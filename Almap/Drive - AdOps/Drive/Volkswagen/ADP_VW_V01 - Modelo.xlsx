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P" sheetId="1" r:id="rId4"/>
    <sheet state="visible" name="Validação" sheetId="2" r:id="rId5"/>
    <sheet state="visible" name="IDs e contadores" sheetId="3" r:id="rId6"/>
    <sheet state="visible" name="All Codes" sheetId="4" r:id="rId7"/>
  </sheets>
  <definedNames>
    <definedName name="URL">ADP!$H:$H</definedName>
    <definedName name="Objetivo">ADP!$X:$X</definedName>
    <definedName name="URL_Adobe">ADP!$BG:$BG</definedName>
    <definedName name="Channel">ADP!$V:$V</definedName>
    <definedName name="Segmentação_Anúncio">ADP!$AB:$AB</definedName>
    <definedName name="Segmentação">ADP!$AA:$AA</definedName>
    <definedName name="Buying_Type">ADP!$R:$R</definedName>
    <definedName name="Structure_Name">ADP!$C$4:$F$4</definedName>
    <definedName name="Servido_Por">ADP!$G:$G</definedName>
    <definedName name="Campanha_ou_InsertionOrder">ADP!$BJ:$BJ</definedName>
    <definedName name="LineItem_ou_Grupodeanúncio">ADP!$BK:$BK</definedName>
    <definedName name="Anúncio_ou_criativo">ADP!$BL:$BL</definedName>
    <definedName name="Size">ADP!$AD:$AD</definedName>
    <definedName name="Strategy_Phase">ADP!$K:$K</definedName>
    <definedName name="col_utmmedium">ADP!$AS:$AS</definedName>
    <definedName name="col_keyword">ADP!$AV:$AV</definedName>
    <definedName name="AD_name">ADP!$AN:$AN</definedName>
    <definedName name="IDs_contadores_ADP">ADP!$AQ:$AQ</definedName>
    <definedName name="Nome_da_campanha">ADP!$AX:$AX</definedName>
    <definedName name="Data_Final">ADP!$F:$F</definedName>
    <definedName name="Tipo_Midia">ADP!$Q:$Q</definedName>
    <definedName name="Unique_ID">ADP!$BD:$BD</definedName>
    <definedName name="col_utmsource">ADP!$AR:$AR</definedName>
    <definedName name="col_utmcampaing">ADP!$AT:$AT</definedName>
    <definedName name="Country">ADP!$AZ:$AZ</definedName>
    <definedName name="Type">ADP!$L:$L</definedName>
    <definedName name="Campaign_Category">ADP!$M:$M</definedName>
    <definedName name="Tracking_Type">ADP!$T:$T</definedName>
    <definedName name="Linha_Criativa">ADP!$Y:$Y</definedName>
    <definedName name="Device">ADP!$W:$W</definedName>
    <definedName name="Creative_name">ADP!$AO:$AO</definedName>
    <definedName name="Linha_criativa_2">ADP!$Z:$Z</definedName>
    <definedName name="IDs_contadores">'IDs e contadores'!$A:$C</definedName>
    <definedName name="Placement">ADP!$AM:$AM</definedName>
    <definedName name="Plannig_Principle">ADP!$J:$J</definedName>
    <definedName name="Parametrização">ADP!$I:$I</definedName>
    <definedName name="Model_Variant">ADP!$N:$N</definedName>
    <definedName name="URL_GA">ADP!$AW:$AW</definedName>
    <definedName name="Buy_type">'All Codes'!$H$2:$I$4</definedName>
    <definedName name="col_utmcontent">ADP!$AU:$AU</definedName>
    <definedName name="Unit_Name">ADP!$U:$U</definedName>
    <definedName name="Buying_Metric">ADP!$S:$S</definedName>
    <definedName name="Veiculo">ADP!$O:$O</definedName>
    <definedName name="Publish">ADP!$P:$P</definedName>
    <definedName hidden="1" localSheetId="0" name="_xlnm._FilterDatabase">ADP!$B$7:$BG$997</definedName>
    <definedName hidden="1" localSheetId="1" name="_xlnm._FilterDatabase">'Validação'!$A$1:$D$3</definedName>
    <definedName hidden="1" localSheetId="2" name="_xlnm._FilterDatabase">'IDs e contadores'!$A$1:$C$2</definedName>
  </definedNames>
  <calcPr/>
</workbook>
</file>

<file path=xl/sharedStrings.xml><?xml version="1.0" encoding="utf-8"?>
<sst xmlns="http://schemas.openxmlformats.org/spreadsheetml/2006/main" count="6361" uniqueCount="924">
  <si>
    <t>ID Campaign</t>
  </si>
  <si>
    <t>NVL-NVS-IMC-DSY-0820</t>
  </si>
  <si>
    <t>Name CM</t>
  </si>
  <si>
    <t>BR_IMC_DSY_LANCH_ND_NC_2020Q3AUG_NVS_Nivus-Launch-Consideracao</t>
  </si>
  <si>
    <t>Structure Name</t>
  </si>
  <si>
    <t>IMC_DSY_LANCH_ND_NC_NVS_Nivus-Launch-Consideracao_NA</t>
  </si>
  <si>
    <t>adpl</t>
  </si>
  <si>
    <t>publisher</t>
  </si>
  <si>
    <t>adchan</t>
  </si>
  <si>
    <t>adcr</t>
  </si>
  <si>
    <t>adpay</t>
  </si>
  <si>
    <t>format</t>
  </si>
  <si>
    <t>adplt</t>
  </si>
  <si>
    <t>country / language</t>
  </si>
  <si>
    <t>campaign</t>
  </si>
  <si>
    <t>seatype</t>
  </si>
  <si>
    <t>adgroup</t>
  </si>
  <si>
    <t>adlid</t>
  </si>
  <si>
    <t>adap</t>
  </si>
  <si>
    <t>admt</t>
  </si>
  <si>
    <t>Ação</t>
  </si>
  <si>
    <t>Status AdOps</t>
  </si>
  <si>
    <t>Status Midia</t>
  </si>
  <si>
    <t>Data Inicial</t>
  </si>
  <si>
    <t>Data Final</t>
  </si>
  <si>
    <t>Servido por</t>
  </si>
  <si>
    <t>URL</t>
  </si>
  <si>
    <t>Parametrização</t>
  </si>
  <si>
    <t>Plannig Principle</t>
  </si>
  <si>
    <t>Strategy Phase</t>
  </si>
  <si>
    <t>Type</t>
  </si>
  <si>
    <t>Campaign Category</t>
  </si>
  <si>
    <t>Model Variant</t>
  </si>
  <si>
    <t>Veiculo / Placement (pl)</t>
  </si>
  <si>
    <t>Publish / Publisher (p)</t>
  </si>
  <si>
    <t xml:space="preserve">Tipo Midia </t>
  </si>
  <si>
    <t>Buying Type</t>
  </si>
  <si>
    <t>Buying Metric</t>
  </si>
  <si>
    <t>Tracking Type</t>
  </si>
  <si>
    <t>Unit Name</t>
  </si>
  <si>
    <t>Canal / Channel (c)</t>
  </si>
  <si>
    <t>Device</t>
  </si>
  <si>
    <t>Objetivo</t>
  </si>
  <si>
    <t>Linha Criativa / Creative Elements / Key Words (cr)</t>
  </si>
  <si>
    <t>Linha criativa 2</t>
  </si>
  <si>
    <t>Segmentação</t>
  </si>
  <si>
    <t>Segmentação de Anúncio (Campo Livre)</t>
  </si>
  <si>
    <t>Paid vs AV / PAID vs NON-PAID (py)</t>
  </si>
  <si>
    <t>Size / Format (ft)</t>
  </si>
  <si>
    <t>Tipo de peça</t>
  </si>
  <si>
    <t>Categoria de Peça</t>
  </si>
  <si>
    <t>ID Pacote</t>
  </si>
  <si>
    <t>Nome Pacote</t>
  </si>
  <si>
    <t>Impressões</t>
  </si>
  <si>
    <t>Cliques período</t>
  </si>
  <si>
    <t>Custo unitário liquido</t>
  </si>
  <si>
    <t>Valor negociado total</t>
  </si>
  <si>
    <t>Placement Name / Placement type (pt)</t>
  </si>
  <si>
    <t>AD Name</t>
  </si>
  <si>
    <t>Criative Name</t>
  </si>
  <si>
    <t>URL Parametizada</t>
  </si>
  <si>
    <t>IDs / Contadores</t>
  </si>
  <si>
    <t>utm_source</t>
  </si>
  <si>
    <t>utm_medium</t>
  </si>
  <si>
    <t>utm_campaign</t>
  </si>
  <si>
    <t>utm_content</t>
  </si>
  <si>
    <t>keyword</t>
  </si>
  <si>
    <t>URL GA</t>
  </si>
  <si>
    <t>Nome da Campanha</t>
  </si>
  <si>
    <t>Country (co) / Language (lg)</t>
  </si>
  <si>
    <t>Campaing Name (ca)</t>
  </si>
  <si>
    <t>SEA Branded vs. Non-branded (sb)</t>
  </si>
  <si>
    <t>SEA AD GROUP - a must for SEA (sg)</t>
  </si>
  <si>
    <t>Unique ID (lid)</t>
  </si>
  <si>
    <t>Additional Parameter (ap)</t>
  </si>
  <si>
    <t>Booking ID for Campaign Monitoring (mt)</t>
  </si>
  <si>
    <t>URL Adobe</t>
  </si>
  <si>
    <t>Campanha ou Insertion Order</t>
  </si>
  <si>
    <t>Line Item ou Grupo de anúncio</t>
  </si>
  <si>
    <t>Anúncio ou Criativo</t>
  </si>
  <si>
    <t>Search - Campanha</t>
  </si>
  <si>
    <t>Search - Grupo</t>
  </si>
  <si>
    <t>Aguardando material</t>
  </si>
  <si>
    <t>portal</t>
  </si>
  <si>
    <t>https://www.vw.com.br/</t>
  </si>
  <si>
    <t>GA</t>
  </si>
  <si>
    <t>Awareness-Familiarity</t>
  </si>
  <si>
    <t>Competitor-Response</t>
  </si>
  <si>
    <t>Dealer</t>
  </si>
  <si>
    <t>After-Sales</t>
  </si>
  <si>
    <t>Nivus</t>
  </si>
  <si>
    <t>icarros</t>
  </si>
  <si>
    <t>Digital-Audio</t>
  </si>
  <si>
    <t>Direct</t>
  </si>
  <si>
    <t>CPA</t>
  </si>
  <si>
    <t>1X1</t>
  </si>
  <si>
    <t>MPU</t>
  </si>
  <si>
    <t>Homepage-Takeover</t>
  </si>
  <si>
    <t>All</t>
  </si>
  <si>
    <t>Ontem</t>
  </si>
  <si>
    <t>Video-Homenagem</t>
  </si>
  <si>
    <t>Generico</t>
  </si>
  <si>
    <t>Homenagem-VW</t>
  </si>
  <si>
    <t>looklike</t>
  </si>
  <si>
    <t>Added-Value</t>
  </si>
  <si>
    <t>1000x100</t>
  </si>
  <si>
    <t>%epid!_%ecid!_%eaid!</t>
  </si>
  <si>
    <t>BR</t>
  </si>
  <si>
    <t>brandedcontent</t>
  </si>
  <si>
    <t>no</t>
  </si>
  <si>
    <t>Atualizar</t>
  </si>
  <si>
    <t>adserver-única</t>
  </si>
  <si>
    <t>Adobe</t>
  </si>
  <si>
    <t>SA360</t>
  </si>
  <si>
    <t>Click</t>
  </si>
  <si>
    <t>100x100</t>
  </si>
  <si>
    <t>Inativar</t>
  </si>
  <si>
    <t>adserver-rotacionar</t>
  </si>
  <si>
    <t>GoogleAds</t>
  </si>
  <si>
    <t>Click-&amp;-Impression</t>
  </si>
  <si>
    <t>1000x250</t>
  </si>
  <si>
    <t>Manter / No ar</t>
  </si>
  <si>
    <t>sem-adserver</t>
  </si>
  <si>
    <t>3rd-Party-Engagement</t>
  </si>
  <si>
    <t>Placement Name</t>
  </si>
  <si>
    <t>Creative Click-Through URL</t>
  </si>
  <si>
    <t>Status</t>
  </si>
  <si>
    <t>VALIDADOR DE QUEBRAS</t>
  </si>
  <si>
    <t>alp_varejo-nac-2020________-_-</t>
  </si>
  <si>
    <t>PLACEMENTS</t>
  </si>
  <si>
    <t>ID's</t>
  </si>
  <si>
    <t>CONTADORES</t>
  </si>
  <si>
    <t>alp_vw_icarros_imc_dsy_lanch_nd_nc_nvs_nivus-launch-consideracao_na_ontem_cpa_drct_all_1000x100_homenagem-vw_looklike_video-homenagem_nvl-nvs-imc-dsy-0820-10005</t>
  </si>
  <si>
    <t>https://www.vw.com.br/pt/configurador.html/__app/%2Fnivus/0.app?adlid=nvl-nvs-imc-soc-0820-10033&amp;adplt=alp_vw_youtube_imc_soc_lanch_nd_nc_nvs_nivus-launch-consideracao_na_trafego_cpv_drct_all_trueview_remarketing_pre-sales_lancamento-awareness-nivus-kessy-15_nvl-nvs-imc-soc-0820-10033</t>
  </si>
  <si>
    <t>Brand</t>
  </si>
  <si>
    <t>Buying-Metric</t>
  </si>
  <si>
    <t>Buying-Type</t>
  </si>
  <si>
    <t>Campaign-Category</t>
  </si>
  <si>
    <t>Campaign-Type</t>
  </si>
  <si>
    <t>Country</t>
  </si>
  <si>
    <t>Date</t>
  </si>
  <si>
    <t>Media-Channel</t>
  </si>
  <si>
    <t>Model</t>
  </si>
  <si>
    <t>Model-Variant</t>
  </si>
  <si>
    <t>Paid-vs-AV</t>
  </si>
  <si>
    <t>Planning-Principle</t>
  </si>
  <si>
    <t>Servido-Por</t>
  </si>
  <si>
    <t>Site</t>
  </si>
  <si>
    <t>Site-Section</t>
  </si>
  <si>
    <t>Size</t>
  </si>
  <si>
    <t>Name</t>
  </si>
  <si>
    <t>Strategy-Phase</t>
  </si>
  <si>
    <t>Sub-Media-Channel</t>
  </si>
  <si>
    <t>Tracking-Type</t>
  </si>
  <si>
    <t>Unit-Name</t>
  </si>
  <si>
    <t>Volkswagen</t>
  </si>
  <si>
    <t>VW</t>
  </si>
  <si>
    <t>DRCT</t>
  </si>
  <si>
    <t>AS</t>
  </si>
  <si>
    <t>ALL</t>
  </si>
  <si>
    <t>UAE</t>
  </si>
  <si>
    <t>AE</t>
  </si>
  <si>
    <t>2020-01-Jan</t>
  </si>
  <si>
    <t>2020Q1JAN</t>
  </si>
  <si>
    <t>0120</t>
  </si>
  <si>
    <t>Affiliate</t>
  </si>
  <si>
    <t>AFF</t>
  </si>
  <si>
    <t>AFS</t>
  </si>
  <si>
    <t>AV</t>
  </si>
  <si>
    <t>AAF</t>
  </si>
  <si>
    <t>4x4-brasil</t>
  </si>
  <si>
    <t>HTO</t>
  </si>
  <si>
    <t>Leaderboard</t>
  </si>
  <si>
    <t>COMPR</t>
  </si>
  <si>
    <t>DGA</t>
  </si>
  <si>
    <t>DL</t>
  </si>
  <si>
    <t>LDR</t>
  </si>
  <si>
    <t>brand</t>
  </si>
  <si>
    <t>CPC</t>
  </si>
  <si>
    <t>Programmatic</t>
  </si>
  <si>
    <t>PROG</t>
  </si>
  <si>
    <t>BRD</t>
  </si>
  <si>
    <t>Argentina</t>
  </si>
  <si>
    <t>AR</t>
  </si>
  <si>
    <t>2020-02-Feb</t>
  </si>
  <si>
    <t>2020Q1FEB</t>
  </si>
  <si>
    <t>0220</t>
  </si>
  <si>
    <t>DSK</t>
  </si>
  <si>
    <t>ADOBE</t>
  </si>
  <si>
    <t>Display</t>
  </si>
  <si>
    <t>DSY</t>
  </si>
  <si>
    <t>Atlas</t>
  </si>
  <si>
    <t>ALS</t>
  </si>
  <si>
    <t>Delete-&amp;-Charge</t>
  </si>
  <si>
    <t>DC</t>
  </si>
  <si>
    <t>In-Market-Consideration</t>
  </si>
  <si>
    <t>IMC</t>
  </si>
  <si>
    <t>agrishow</t>
  </si>
  <si>
    <t>Other</t>
  </si>
  <si>
    <t>OTR</t>
  </si>
  <si>
    <t>Launch</t>
  </si>
  <si>
    <t>LANCH</t>
  </si>
  <si>
    <t>Paid-Display</t>
  </si>
  <si>
    <t>DIS</t>
  </si>
  <si>
    <t>CAI</t>
  </si>
  <si>
    <t>Non-Dealer</t>
  </si>
  <si>
    <t>ND</t>
  </si>
  <si>
    <t>Mobile-Banner</t>
  </si>
  <si>
    <t>MBR</t>
  </si>
  <si>
    <t>alcance</t>
  </si>
  <si>
    <t>CPM</t>
  </si>
  <si>
    <t>New-Car</t>
  </si>
  <si>
    <t>NC</t>
  </si>
  <si>
    <t>Tactical</t>
  </si>
  <si>
    <t>TCT</t>
  </si>
  <si>
    <t>Australia</t>
  </si>
  <si>
    <t>AU</t>
  </si>
  <si>
    <t>2020-03-Mar</t>
  </si>
  <si>
    <t>2020Q1MAR</t>
  </si>
  <si>
    <t>0320</t>
  </si>
  <si>
    <t>MOB</t>
  </si>
  <si>
    <t>Search</t>
  </si>
  <si>
    <t>SEA</t>
  </si>
  <si>
    <t>Amarok</t>
  </si>
  <si>
    <t>AMK</t>
  </si>
  <si>
    <t>Alltrack</t>
  </si>
  <si>
    <t>ALT</t>
  </si>
  <si>
    <t>Make-Good</t>
  </si>
  <si>
    <t>MG</t>
  </si>
  <si>
    <t>Trigger-Tactical</t>
  </si>
  <si>
    <t>TAT</t>
  </si>
  <si>
    <t>aol</t>
  </si>
  <si>
    <t>Run-of-Network</t>
  </si>
  <si>
    <t>RON</t>
  </si>
  <si>
    <t>1000x300</t>
  </si>
  <si>
    <t>Model-New-News</t>
  </si>
  <si>
    <t>MODNN</t>
  </si>
  <si>
    <t>Paid-Mobile</t>
  </si>
  <si>
    <t>CLK</t>
  </si>
  <si>
    <t>Mobile-MPU</t>
  </si>
  <si>
    <t>MMP</t>
  </si>
  <si>
    <t>trafego</t>
  </si>
  <si>
    <t>CPV</t>
  </si>
  <si>
    <t>Used-Car</t>
  </si>
  <si>
    <t>UC</t>
  </si>
  <si>
    <t>Belgium</t>
  </si>
  <si>
    <t>BE</t>
  </si>
  <si>
    <t>2020-04-Apr</t>
  </si>
  <si>
    <t>2020Q2APR</t>
  </si>
  <si>
    <t>0420</t>
  </si>
  <si>
    <t>TAB</t>
  </si>
  <si>
    <t>Social</t>
  </si>
  <si>
    <t>SOC</t>
  </si>
  <si>
    <t>Ameo</t>
  </si>
  <si>
    <t>AMO</t>
  </si>
  <si>
    <t>Paid</t>
  </si>
  <si>
    <t>PD</t>
  </si>
  <si>
    <t>aol-dbm</t>
  </si>
  <si>
    <t>Run-of-Site</t>
  </si>
  <si>
    <t>ROS</t>
  </si>
  <si>
    <t>1000x600</t>
  </si>
  <si>
    <t>Motor-Show</t>
  </si>
  <si>
    <t>MTRSW</t>
  </si>
  <si>
    <t>Other-(Online)</t>
  </si>
  <si>
    <t>Impression</t>
  </si>
  <si>
    <t>IMP</t>
  </si>
  <si>
    <t>na</t>
  </si>
  <si>
    <t>Brazil</t>
  </si>
  <si>
    <t>2020-05-May</t>
  </si>
  <si>
    <t>2020Q2MAY</t>
  </si>
  <si>
    <t>0520</t>
  </si>
  <si>
    <t>Video</t>
  </si>
  <si>
    <t>VID</t>
  </si>
  <si>
    <t>Arteon</t>
  </si>
  <si>
    <t>ATN</t>
  </si>
  <si>
    <t>auto-esporte</t>
  </si>
  <si>
    <t>Non-Model-Specific</t>
  </si>
  <si>
    <t>NONMS</t>
  </si>
  <si>
    <t>Paid-Search</t>
  </si>
  <si>
    <t>Mixed</t>
  </si>
  <si>
    <t>MXD</t>
  </si>
  <si>
    <t>engajamento</t>
  </si>
  <si>
    <t>Sponsorship</t>
  </si>
  <si>
    <t>SPR</t>
  </si>
  <si>
    <t>Canada</t>
  </si>
  <si>
    <t>CA</t>
  </si>
  <si>
    <t>2020-06-Jun</t>
  </si>
  <si>
    <t>2020Q2JUN</t>
  </si>
  <si>
    <t>0620</t>
  </si>
  <si>
    <t>Beetle</t>
  </si>
  <si>
    <t>BEE</t>
  </si>
  <si>
    <t>Amarok-V6</t>
  </si>
  <si>
    <t>AMV</t>
  </si>
  <si>
    <t>auto-informe</t>
  </si>
  <si>
    <t>100x13</t>
  </si>
  <si>
    <t>Pre-Sales</t>
  </si>
  <si>
    <t>PRESA</t>
  </si>
  <si>
    <t>Paid-Social</t>
  </si>
  <si>
    <t>Standard</t>
  </si>
  <si>
    <t>STD</t>
  </si>
  <si>
    <t>Skyscraper</t>
  </si>
  <si>
    <t>SKY</t>
  </si>
  <si>
    <t>video-views</t>
  </si>
  <si>
    <t>Switzerland</t>
  </si>
  <si>
    <t>CH</t>
  </si>
  <si>
    <t>2020-07-Jul</t>
  </si>
  <si>
    <t>2020Q3JUL</t>
  </si>
  <si>
    <t>0720</t>
  </si>
  <si>
    <t>California</t>
  </si>
  <si>
    <t>CAL</t>
  </si>
  <si>
    <t>autopapo</t>
  </si>
  <si>
    <t>1024x768</t>
  </si>
  <si>
    <t>Run-Out</t>
  </si>
  <si>
    <t>RUNOT</t>
  </si>
  <si>
    <t>TPE</t>
  </si>
  <si>
    <t>Standard-Roadblock</t>
  </si>
  <si>
    <t>SRB</t>
  </si>
  <si>
    <t>app-installs</t>
  </si>
  <si>
    <t>China</t>
  </si>
  <si>
    <t>CN</t>
  </si>
  <si>
    <t>2020-08-Aug</t>
  </si>
  <si>
    <t>2020Q3AUG</t>
  </si>
  <si>
    <t>0820</t>
  </si>
  <si>
    <t>Caravelle</t>
  </si>
  <si>
    <t>CAR</t>
  </si>
  <si>
    <t>autopista</t>
  </si>
  <si>
    <t>1050x250</t>
  </si>
  <si>
    <t>Sustain</t>
  </si>
  <si>
    <t>SUSTN</t>
  </si>
  <si>
    <t>leads</t>
  </si>
  <si>
    <t>Germany</t>
  </si>
  <si>
    <t>DE</t>
  </si>
  <si>
    <t>2020-09-Sep</t>
  </si>
  <si>
    <t>2020Q3SEP</t>
  </si>
  <si>
    <t>0920</t>
  </si>
  <si>
    <t>CC</t>
  </si>
  <si>
    <t>CCC</t>
  </si>
  <si>
    <t>Branch-Opening</t>
  </si>
  <si>
    <t>BRO</t>
  </si>
  <si>
    <t>buzzfeed</t>
  </si>
  <si>
    <t>1080x1080</t>
  </si>
  <si>
    <t>conversoes</t>
  </si>
  <si>
    <t>Denmark</t>
  </si>
  <si>
    <t>DK</t>
  </si>
  <si>
    <t>2020-10-Oct</t>
  </si>
  <si>
    <t>2020Q4OCT</t>
  </si>
  <si>
    <t>1020</t>
  </si>
  <si>
    <t>C-Class</t>
  </si>
  <si>
    <t>CCL</t>
  </si>
  <si>
    <t>B7</t>
  </si>
  <si>
    <t>BSE</t>
  </si>
  <si>
    <t>campinas.com.br</t>
  </si>
  <si>
    <t>1080x1920</t>
  </si>
  <si>
    <t>visitas</t>
  </si>
  <si>
    <t>Spain</t>
  </si>
  <si>
    <t>ES</t>
  </si>
  <si>
    <t>2020-11-Nov</t>
  </si>
  <si>
    <t>2020Q4NOV</t>
  </si>
  <si>
    <t>1120</t>
  </si>
  <si>
    <t>Caddy</t>
  </si>
  <si>
    <t>CDY</t>
  </si>
  <si>
    <t>Beats</t>
  </si>
  <si>
    <t>BTS</t>
  </si>
  <si>
    <t>canaltech-auto</t>
  </si>
  <si>
    <t>1100x140</t>
  </si>
  <si>
    <t>configuracao</t>
  </si>
  <si>
    <t>France</t>
  </si>
  <si>
    <t>FR</t>
  </si>
  <si>
    <t>2020-12-Dec</t>
  </si>
  <si>
    <t>2020Q4DEC</t>
  </si>
  <si>
    <t>1220</t>
  </si>
  <si>
    <t>Crafter</t>
  </si>
  <si>
    <t>CRA</t>
  </si>
  <si>
    <t>Cabriolet</t>
  </si>
  <si>
    <t>CAB</t>
  </si>
  <si>
    <t>cazamba</t>
  </si>
  <si>
    <t>1100x600</t>
  </si>
  <si>
    <t>vendas</t>
  </si>
  <si>
    <t>United-Kingdom</t>
  </si>
  <si>
    <t>GB</t>
  </si>
  <si>
    <t>2021-01-Jan</t>
  </si>
  <si>
    <t>2021Q1JAN</t>
  </si>
  <si>
    <t>0121</t>
  </si>
  <si>
    <t>Dealers-Advertisement</t>
  </si>
  <si>
    <t>DAD</t>
  </si>
  <si>
    <t>cinemad</t>
  </si>
  <si>
    <t>1122x215</t>
  </si>
  <si>
    <t>Hong-Kong</t>
  </si>
  <si>
    <t>HK</t>
  </si>
  <si>
    <t>2021-02-Feb</t>
  </si>
  <si>
    <t>2021Q1FEB</t>
  </si>
  <si>
    <t>0221</t>
  </si>
  <si>
    <t>E-Golf</t>
  </si>
  <si>
    <t>EGL</t>
  </si>
  <si>
    <t>cm</t>
  </si>
  <si>
    <t>1160x300</t>
  </si>
  <si>
    <t>Ireland</t>
  </si>
  <si>
    <t>IE</t>
  </si>
  <si>
    <t>2021-03-Mar</t>
  </si>
  <si>
    <t>2021Q1MAR</t>
  </si>
  <si>
    <t>0321</t>
  </si>
  <si>
    <t>Fox</t>
  </si>
  <si>
    <t>FOX</t>
  </si>
  <si>
    <t>comprecar</t>
  </si>
  <si>
    <t>1190x330</t>
  </si>
  <si>
    <t>India</t>
  </si>
  <si>
    <t>IN</t>
  </si>
  <si>
    <t>2021-04-Apr</t>
  </si>
  <si>
    <t>2021Q2APR</t>
  </si>
  <si>
    <t>0421</t>
  </si>
  <si>
    <t>Golf-Alltrack</t>
  </si>
  <si>
    <t>GLA</t>
  </si>
  <si>
    <t>dbm</t>
  </si>
  <si>
    <t>1200x627</t>
  </si>
  <si>
    <t>Italy</t>
  </si>
  <si>
    <t>IT</t>
  </si>
  <si>
    <t>2021-05-May</t>
  </si>
  <si>
    <t>2021Q2MAY</t>
  </si>
  <si>
    <t>0521</t>
  </si>
  <si>
    <t>Golf</t>
  </si>
  <si>
    <t>GLF</t>
  </si>
  <si>
    <t>Caddy-Van</t>
  </si>
  <si>
    <t>CDV</t>
  </si>
  <si>
    <t>dbm-aol</t>
  </si>
  <si>
    <t>1200x628</t>
  </si>
  <si>
    <t>Japan</t>
  </si>
  <si>
    <t>JP</t>
  </si>
  <si>
    <t>2021-06-Jun</t>
  </si>
  <si>
    <t>2021Q2JUN</t>
  </si>
  <si>
    <t>0621</t>
  </si>
  <si>
    <t>Gol</t>
  </si>
  <si>
    <t>GOL</t>
  </si>
  <si>
    <t>dbm-estadao</t>
  </si>
  <si>
    <t>1200x675</t>
  </si>
  <si>
    <t>Korea</t>
  </si>
  <si>
    <t>KR</t>
  </si>
  <si>
    <t>2021-07-Jul</t>
  </si>
  <si>
    <t>2021Q3JUL</t>
  </si>
  <si>
    <t>0721</t>
  </si>
  <si>
    <t>ID-Crozz</t>
  </si>
  <si>
    <t>IDC</t>
  </si>
  <si>
    <t>Certified-Pre-Owned</t>
  </si>
  <si>
    <t>CPO</t>
  </si>
  <si>
    <t>dbm-exame</t>
  </si>
  <si>
    <t>1200x800</t>
  </si>
  <si>
    <t>Mexico</t>
  </si>
  <si>
    <t>MX</t>
  </si>
  <si>
    <t>2021-08-Aug</t>
  </si>
  <si>
    <t>2021Q3AUG</t>
  </si>
  <si>
    <t>0821</t>
  </si>
  <si>
    <t>ID</t>
  </si>
  <si>
    <t>IDI</t>
  </si>
  <si>
    <t>dbm-folha</t>
  </si>
  <si>
    <t>1440x960</t>
  </si>
  <si>
    <t>Malaysia</t>
  </si>
  <si>
    <t>MY</t>
  </si>
  <si>
    <t>2021-09-Sep</t>
  </si>
  <si>
    <t>2021Q3SEP</t>
  </si>
  <si>
    <t>0921</t>
  </si>
  <si>
    <t>Jetta</t>
  </si>
  <si>
    <t>JET</t>
  </si>
  <si>
    <t>Cross-Up!</t>
  </si>
  <si>
    <t>CUP</t>
  </si>
  <si>
    <t>dbm-g1</t>
  </si>
  <si>
    <t>120x120</t>
  </si>
  <si>
    <t>Netherlands</t>
  </si>
  <si>
    <t>NL</t>
  </si>
  <si>
    <t>2021-10-Oct</t>
  </si>
  <si>
    <t>2021Q4OCT</t>
  </si>
  <si>
    <t>1021</t>
  </si>
  <si>
    <t>Lavida</t>
  </si>
  <si>
    <t>LAV</t>
  </si>
  <si>
    <t>dbm-ge</t>
  </si>
  <si>
    <t>120x225</t>
  </si>
  <si>
    <t>Norway</t>
  </si>
  <si>
    <t>NO</t>
  </si>
  <si>
    <t>2021-11-Nov</t>
  </si>
  <si>
    <t>2021Q4NOV</t>
  </si>
  <si>
    <t>1121</t>
  </si>
  <si>
    <t>Multivan</t>
  </si>
  <si>
    <t>MLV</t>
  </si>
  <si>
    <t>Dealer-Marketing-Association</t>
  </si>
  <si>
    <t>DMA</t>
  </si>
  <si>
    <t>dbm-globo</t>
  </si>
  <si>
    <t>120x240</t>
  </si>
  <si>
    <t>Poland</t>
  </si>
  <si>
    <t>PL</t>
  </si>
  <si>
    <t>2021-12-Dec</t>
  </si>
  <si>
    <t>2021Q4DEC</t>
  </si>
  <si>
    <t>1221</t>
  </si>
  <si>
    <t>NMC</t>
  </si>
  <si>
    <t>Das-Auto</t>
  </si>
  <si>
    <t>DSA</t>
  </si>
  <si>
    <t>dbm-icarros</t>
  </si>
  <si>
    <t>120x245</t>
  </si>
  <si>
    <t>Portugal</t>
  </si>
  <si>
    <t>PT</t>
  </si>
  <si>
    <t>OTH</t>
  </si>
  <si>
    <t>Das-WeltAuto</t>
  </si>
  <si>
    <t>DWA</t>
  </si>
  <si>
    <t>dbm-msn</t>
  </si>
  <si>
    <t>120x60</t>
  </si>
  <si>
    <t>Russia</t>
  </si>
  <si>
    <t>RU</t>
  </si>
  <si>
    <t>Phaeton</t>
  </si>
  <si>
    <t>PHT</t>
  </si>
  <si>
    <t>Edition</t>
  </si>
  <si>
    <t>EDT</t>
  </si>
  <si>
    <t>dbm-olx</t>
  </si>
  <si>
    <t>120x600</t>
  </si>
  <si>
    <t>Sweden</t>
  </si>
  <si>
    <t>SE</t>
  </si>
  <si>
    <t>Polo</t>
  </si>
  <si>
    <t>POL</t>
  </si>
  <si>
    <t>EGF</t>
  </si>
  <si>
    <t>dbm-r7</t>
  </si>
  <si>
    <t>120x90</t>
  </si>
  <si>
    <t>Singapore</t>
  </si>
  <si>
    <t>SG</t>
  </si>
  <si>
    <t>Passat-Alltrack</t>
  </si>
  <si>
    <t>PSA</t>
  </si>
  <si>
    <t>E-Up!</t>
  </si>
  <si>
    <t>EUP</t>
  </si>
  <si>
    <t>dbm-terra</t>
  </si>
  <si>
    <t>1280x752</t>
  </si>
  <si>
    <t>Slovakia</t>
  </si>
  <si>
    <t>SK</t>
  </si>
  <si>
    <t>Passat</t>
  </si>
  <si>
    <t>PST</t>
  </si>
  <si>
    <t>Events-Sponsorship</t>
  </si>
  <si>
    <t>EVS</t>
  </si>
  <si>
    <t>dbm-uol</t>
  </si>
  <si>
    <t>130x186</t>
  </si>
  <si>
    <t>Taiwan</t>
  </si>
  <si>
    <t>TW</t>
  </si>
  <si>
    <t>Range</t>
  </si>
  <si>
    <t>RNG</t>
  </si>
  <si>
    <t>Fleet</t>
  </si>
  <si>
    <t>FLT</t>
  </si>
  <si>
    <t>dbm-valor</t>
  </si>
  <si>
    <t>135x102</t>
  </si>
  <si>
    <t>United-States</t>
  </si>
  <si>
    <t>US</t>
  </si>
  <si>
    <t>Saveiro</t>
  </si>
  <si>
    <t>SAV</t>
  </si>
  <si>
    <t>dbm-valoreconomico</t>
  </si>
  <si>
    <t>150x150</t>
  </si>
  <si>
    <t>South-Africa</t>
  </si>
  <si>
    <t>ZA</t>
  </si>
  <si>
    <t>Scirocco</t>
  </si>
  <si>
    <t>SCR</t>
  </si>
  <si>
    <t>dbm-veja</t>
  </si>
  <si>
    <t>152x112</t>
  </si>
  <si>
    <t>Sharan</t>
  </si>
  <si>
    <t>SHR</t>
  </si>
  <si>
    <t>dbm-webmotors</t>
  </si>
  <si>
    <t>160x150</t>
  </si>
  <si>
    <t>Santana</t>
  </si>
  <si>
    <t>SNT</t>
  </si>
  <si>
    <t>Golf-GTI</t>
  </si>
  <si>
    <t>GLG</t>
  </si>
  <si>
    <t>dbm-youtube</t>
  </si>
  <si>
    <t>160x185</t>
  </si>
  <si>
    <t>Suran</t>
  </si>
  <si>
    <t>SUR</t>
  </si>
  <si>
    <t>Golf-R</t>
  </si>
  <si>
    <t>GLR</t>
  </si>
  <si>
    <t>decolar</t>
  </si>
  <si>
    <t>160x300</t>
  </si>
  <si>
    <t>T-Cross</t>
  </si>
  <si>
    <t>TCR</t>
  </si>
  <si>
    <t>Golf-Wagon</t>
  </si>
  <si>
    <t>GLW</t>
  </si>
  <si>
    <t>dinheiro-rural</t>
  </si>
  <si>
    <t>160x600</t>
  </si>
  <si>
    <t>Teramont</t>
  </si>
  <si>
    <t>TER</t>
  </si>
  <si>
    <t>editora-globo</t>
  </si>
  <si>
    <t>180x150</t>
  </si>
  <si>
    <t>Tiguan</t>
  </si>
  <si>
    <t>TIG</t>
  </si>
  <si>
    <t>GTE</t>
  </si>
  <si>
    <t>epoca</t>
  </si>
  <si>
    <t>1x1</t>
  </si>
  <si>
    <t>T-Roc</t>
  </si>
  <si>
    <t>TRC</t>
  </si>
  <si>
    <t>GTI</t>
  </si>
  <si>
    <t>estadao</t>
  </si>
  <si>
    <t>200x120</t>
  </si>
  <si>
    <t>Touareg</t>
  </si>
  <si>
    <t>TRG</t>
  </si>
  <si>
    <t>Hatchback-CKD</t>
  </si>
  <si>
    <t>HCD</t>
  </si>
  <si>
    <t>facebook</t>
  </si>
  <si>
    <t>200x200</t>
  </si>
  <si>
    <t>Touran</t>
  </si>
  <si>
    <t>TRN</t>
  </si>
  <si>
    <t>Hybrid</t>
  </si>
  <si>
    <t>HYB</t>
  </si>
  <si>
    <t>faceinsta</t>
  </si>
  <si>
    <t>230x350</t>
  </si>
  <si>
    <t>Transporter</t>
  </si>
  <si>
    <t>TSP</t>
  </si>
  <si>
    <t>folha-de-sao-paulo</t>
  </si>
  <si>
    <t>234x60</t>
  </si>
  <si>
    <t>Up!</t>
  </si>
  <si>
    <t>UPP</t>
  </si>
  <si>
    <t>fullpower</t>
  </si>
  <si>
    <t>240x240</t>
  </si>
  <si>
    <t>Variant</t>
  </si>
  <si>
    <t>VAR</t>
  </si>
  <si>
    <t>Image</t>
  </si>
  <si>
    <t>IMG</t>
  </si>
  <si>
    <t>gdn</t>
  </si>
  <si>
    <t>240x400</t>
  </si>
  <si>
    <t>Vento</t>
  </si>
  <si>
    <t>VNT</t>
  </si>
  <si>
    <t>Innovation-Campaign</t>
  </si>
  <si>
    <t>INC</t>
  </si>
  <si>
    <t>gdn-youtube</t>
  </si>
  <si>
    <t>240x600</t>
  </si>
  <si>
    <t>Voyage</t>
  </si>
  <si>
    <t>VOY</t>
  </si>
  <si>
    <t>Institutional</t>
  </si>
  <si>
    <t>IST</t>
  </si>
  <si>
    <t>globo</t>
  </si>
  <si>
    <t>250x250</t>
  </si>
  <si>
    <t>VW-Brand</t>
  </si>
  <si>
    <t>VWB</t>
  </si>
  <si>
    <t>globo-dbm</t>
  </si>
  <si>
    <t>250x360</t>
  </si>
  <si>
    <t>WRC</t>
  </si>
  <si>
    <t>google</t>
  </si>
  <si>
    <t>250x600</t>
  </si>
  <si>
    <t>hands</t>
  </si>
  <si>
    <t>260x260</t>
  </si>
  <si>
    <t>huffpost</t>
  </si>
  <si>
    <t>278x95</t>
  </si>
  <si>
    <t>280x80</t>
  </si>
  <si>
    <t>Parts-and-Service</t>
  </si>
  <si>
    <t>PAS</t>
  </si>
  <si>
    <t>inloco</t>
  </si>
  <si>
    <t>300x100</t>
  </si>
  <si>
    <t>Performance</t>
  </si>
  <si>
    <t>PFM</t>
  </si>
  <si>
    <t>instagram</t>
  </si>
  <si>
    <t>300x1000</t>
  </si>
  <si>
    <t>istoe-dbm</t>
  </si>
  <si>
    <t>300x1050</t>
  </si>
  <si>
    <t>Polo-GTI</t>
  </si>
  <si>
    <t>POG</t>
  </si>
  <si>
    <t>linkedin</t>
  </si>
  <si>
    <t>300x130</t>
  </si>
  <si>
    <t>logan</t>
  </si>
  <si>
    <t>300x150</t>
  </si>
  <si>
    <t>PR</t>
  </si>
  <si>
    <t>PRR</t>
  </si>
  <si>
    <t>msn</t>
  </si>
  <si>
    <t>300x250</t>
  </si>
  <si>
    <t>oath</t>
  </si>
  <si>
    <t>300x300</t>
  </si>
  <si>
    <t>olx</t>
  </si>
  <si>
    <t>300x395</t>
  </si>
  <si>
    <t>Passat-Wagon</t>
  </si>
  <si>
    <t>PSW</t>
  </si>
  <si>
    <t>opera</t>
  </si>
  <si>
    <t>300x400</t>
  </si>
  <si>
    <t>ReBuild-Trust</t>
  </si>
  <si>
    <t>RBT</t>
  </si>
  <si>
    <t>outlook</t>
  </si>
  <si>
    <t>300x443</t>
  </si>
  <si>
    <t>planeta-offroad</t>
  </si>
  <si>
    <t>300x460</t>
  </si>
  <si>
    <t>R</t>
  </si>
  <si>
    <t>RRR</t>
  </si>
  <si>
    <t>psafe</t>
  </si>
  <si>
    <t>300x50</t>
  </si>
  <si>
    <t>r7</t>
  </si>
  <si>
    <t>300x520</t>
  </si>
  <si>
    <t>SBUC</t>
  </si>
  <si>
    <t>SBC</t>
  </si>
  <si>
    <t>sindloc</t>
  </si>
  <si>
    <t>300x60</t>
  </si>
  <si>
    <t>SBUE</t>
  </si>
  <si>
    <t>SBE</t>
  </si>
  <si>
    <t>spotify</t>
  </si>
  <si>
    <t>300x600</t>
  </si>
  <si>
    <t>SBUN</t>
  </si>
  <si>
    <t>SBN</t>
  </si>
  <si>
    <t>teads</t>
  </si>
  <si>
    <t>300x75</t>
  </si>
  <si>
    <t>SBUS</t>
  </si>
  <si>
    <t>SBS</t>
  </si>
  <si>
    <t>terra</t>
  </si>
  <si>
    <t>300x800</t>
  </si>
  <si>
    <t>SBUW</t>
  </si>
  <si>
    <t>SBW</t>
  </si>
  <si>
    <t>tvxtender</t>
  </si>
  <si>
    <t>300x815</t>
  </si>
  <si>
    <t>twitter</t>
  </si>
  <si>
    <t>300x90</t>
  </si>
  <si>
    <t>Sedan</t>
  </si>
  <si>
    <t>SED</t>
  </si>
  <si>
    <t>uol</t>
  </si>
  <si>
    <t>300x926</t>
  </si>
  <si>
    <t>Sales-Event</t>
  </si>
  <si>
    <t>SEV</t>
  </si>
  <si>
    <t>veja-exame</t>
  </si>
  <si>
    <t>320x100</t>
  </si>
  <si>
    <t>waze</t>
  </si>
  <si>
    <t>320x160</t>
  </si>
  <si>
    <t>webmotors</t>
  </si>
  <si>
    <t>320x165</t>
  </si>
  <si>
    <t>wetransfer</t>
  </si>
  <si>
    <t>320x176</t>
  </si>
  <si>
    <t>Service</t>
  </si>
  <si>
    <t>SVC</t>
  </si>
  <si>
    <t>yahoo</t>
  </si>
  <si>
    <t>320x250</t>
  </si>
  <si>
    <t>Sportwagen</t>
  </si>
  <si>
    <t>SWG</t>
  </si>
  <si>
    <t>youtube</t>
  </si>
  <si>
    <t>320x260</t>
  </si>
  <si>
    <t>Transporter-Cab-Chassis</t>
  </si>
  <si>
    <t>TCC</t>
  </si>
  <si>
    <t>320x265</t>
  </si>
  <si>
    <t>320x320</t>
  </si>
  <si>
    <t>320x480</t>
  </si>
  <si>
    <t>Think-Blue</t>
  </si>
  <si>
    <t>THB</t>
  </si>
  <si>
    <t>320x50</t>
  </si>
  <si>
    <t>320x568</t>
  </si>
  <si>
    <t>320x600</t>
  </si>
  <si>
    <t>320x70</t>
  </si>
  <si>
    <t>336x280</t>
  </si>
  <si>
    <t>336x400</t>
  </si>
  <si>
    <t>336x50</t>
  </si>
  <si>
    <t>336x600</t>
  </si>
  <si>
    <t>Vivo</t>
  </si>
  <si>
    <t>VIV</t>
  </si>
  <si>
    <t>348x208</t>
  </si>
  <si>
    <t>360x640</t>
  </si>
  <si>
    <t>400x300</t>
  </si>
  <si>
    <t>432x432</t>
  </si>
  <si>
    <t>430x343</t>
  </si>
  <si>
    <t>NVS</t>
  </si>
  <si>
    <t>450x75</t>
  </si>
  <si>
    <t>460x175</t>
  </si>
  <si>
    <t>468x60</t>
  </si>
  <si>
    <t>475x300</t>
  </si>
  <si>
    <t>480x320</t>
  </si>
  <si>
    <t>480x70</t>
  </si>
  <si>
    <t>500x100</t>
  </si>
  <si>
    <t>510x500</t>
  </si>
  <si>
    <t>525x80</t>
  </si>
  <si>
    <t>530x300</t>
  </si>
  <si>
    <t>540x544</t>
  </si>
  <si>
    <t>550x100</t>
  </si>
  <si>
    <t>550x220</t>
  </si>
  <si>
    <t>550x480</t>
  </si>
  <si>
    <t>550x90</t>
  </si>
  <si>
    <t>553x220</t>
  </si>
  <si>
    <t>555x240</t>
  </si>
  <si>
    <t>560x400</t>
  </si>
  <si>
    <t>578x60</t>
  </si>
  <si>
    <t>580x220</t>
  </si>
  <si>
    <t>590x147</t>
  </si>
  <si>
    <t>590x250</t>
  </si>
  <si>
    <t>600x100</t>
  </si>
  <si>
    <t>600x125</t>
  </si>
  <si>
    <t>600x150</t>
  </si>
  <si>
    <t>600x195</t>
  </si>
  <si>
    <t>600x200</t>
  </si>
  <si>
    <t>600x220</t>
  </si>
  <si>
    <t>600x250</t>
  </si>
  <si>
    <t>600x300</t>
  </si>
  <si>
    <t>600x335</t>
  </si>
  <si>
    <t>600x500</t>
  </si>
  <si>
    <t>600x600</t>
  </si>
  <si>
    <t>600x80</t>
  </si>
  <si>
    <t>600x90</t>
  </si>
  <si>
    <t>608x220</t>
  </si>
  <si>
    <t>608x240</t>
  </si>
  <si>
    <t>610x220</t>
  </si>
  <si>
    <t>610x240</t>
  </si>
  <si>
    <t>610x270</t>
  </si>
  <si>
    <t>620x200</t>
  </si>
  <si>
    <t>620x250</t>
  </si>
  <si>
    <t>627x627</t>
  </si>
  <si>
    <t>620x90</t>
  </si>
  <si>
    <t>630x180</t>
  </si>
  <si>
    <t>630x220</t>
  </si>
  <si>
    <t>630x242</t>
  </si>
  <si>
    <t>630x500</t>
  </si>
  <si>
    <t>635x210</t>
  </si>
  <si>
    <t>640x107</t>
  </si>
  <si>
    <t>640x200</t>
  </si>
  <si>
    <t>640x220</t>
  </si>
  <si>
    <t>640x250</t>
  </si>
  <si>
    <t>640x300</t>
  </si>
  <si>
    <t>640x332</t>
  </si>
  <si>
    <t>640x360</t>
  </si>
  <si>
    <t>640x480</t>
  </si>
  <si>
    <t>640x90</t>
  </si>
  <si>
    <t>640x960</t>
  </si>
  <si>
    <t>643x200</t>
  </si>
  <si>
    <t>643x220</t>
  </si>
  <si>
    <t>645x120</t>
  </si>
  <si>
    <t>645x75</t>
  </si>
  <si>
    <t>646x193</t>
  </si>
  <si>
    <t>648x140</t>
  </si>
  <si>
    <t>650x1100</t>
  </si>
  <si>
    <t>650x140</t>
  </si>
  <si>
    <t>650x200</t>
  </si>
  <si>
    <t>650x220</t>
  </si>
  <si>
    <t>650x240</t>
  </si>
  <si>
    <t>650x650</t>
  </si>
  <si>
    <t>652x200</t>
  </si>
  <si>
    <t>660x200</t>
  </si>
  <si>
    <t>660x230</t>
  </si>
  <si>
    <t>660x300</t>
  </si>
  <si>
    <t>660x370</t>
  </si>
  <si>
    <t>660x500</t>
  </si>
  <si>
    <t>670x200</t>
  </si>
  <si>
    <t>680x100</t>
  </si>
  <si>
    <t>680x220</t>
  </si>
  <si>
    <t>680x230</t>
  </si>
  <si>
    <t>680x360</t>
  </si>
  <si>
    <t>690x200</t>
  </si>
  <si>
    <t>690x380</t>
  </si>
  <si>
    <t>690x80</t>
  </si>
  <si>
    <t>695x200</t>
  </si>
  <si>
    <t>700x100</t>
  </si>
  <si>
    <t>700x150</t>
  </si>
  <si>
    <t>700x300</t>
  </si>
  <si>
    <t>700x40</t>
  </si>
  <si>
    <t>700x60</t>
  </si>
  <si>
    <t>710x95</t>
  </si>
  <si>
    <t>720x190</t>
  </si>
  <si>
    <t>720x300</t>
  </si>
  <si>
    <t>720x480</t>
  </si>
  <si>
    <t>720x540</t>
  </si>
  <si>
    <t>728x175</t>
  </si>
  <si>
    <t>728x195</t>
  </si>
  <si>
    <t>728x250</t>
  </si>
  <si>
    <t>728x280</t>
  </si>
  <si>
    <t>728x300</t>
  </si>
  <si>
    <t>728x600</t>
  </si>
  <si>
    <t>728x90</t>
  </si>
  <si>
    <t>730x100-1000x600</t>
  </si>
  <si>
    <t>730x50</t>
  </si>
  <si>
    <t>730x510</t>
  </si>
  <si>
    <t>735x180</t>
  </si>
  <si>
    <t>735x250</t>
  </si>
  <si>
    <t>744x666</t>
  </si>
  <si>
    <t>750x200</t>
  </si>
  <si>
    <t>750x280</t>
  </si>
  <si>
    <t>768x1024</t>
  </si>
  <si>
    <t>788x240</t>
  </si>
  <si>
    <t>800x120</t>
  </si>
  <si>
    <t>800x250</t>
  </si>
  <si>
    <t>800x300</t>
  </si>
  <si>
    <t>800x400</t>
  </si>
  <si>
    <t>800x418</t>
  </si>
  <si>
    <t>800x573</t>
  </si>
  <si>
    <t>800x600</t>
  </si>
  <si>
    <t>80x80</t>
  </si>
  <si>
    <t>820x385</t>
  </si>
  <si>
    <t>830x500</t>
  </si>
  <si>
    <t>840x150</t>
  </si>
  <si>
    <t>840x180</t>
  </si>
  <si>
    <t>850x175</t>
  </si>
  <si>
    <t>850x290</t>
  </si>
  <si>
    <t>870x250</t>
  </si>
  <si>
    <t>Mpu</t>
  </si>
  <si>
    <t>88x31</t>
  </si>
  <si>
    <t>900x750</t>
  </si>
  <si>
    <t>900x600</t>
  </si>
  <si>
    <t>920x135</t>
  </si>
  <si>
    <t>930x120</t>
  </si>
  <si>
    <t>930x180</t>
  </si>
  <si>
    <t>930x95</t>
  </si>
  <si>
    <t>950x90</t>
  </si>
  <si>
    <t>960x1440</t>
  </si>
  <si>
    <t>960x150</t>
  </si>
  <si>
    <t>970x125</t>
  </si>
  <si>
    <t>970x150</t>
  </si>
  <si>
    <t>970x180</t>
  </si>
  <si>
    <t>970x250</t>
  </si>
  <si>
    <t>970x300</t>
  </si>
  <si>
    <t>970x500</t>
  </si>
  <si>
    <t>970x600</t>
  </si>
  <si>
    <t>970x90</t>
  </si>
  <si>
    <t>980x120</t>
  </si>
  <si>
    <t>980x240</t>
  </si>
  <si>
    <t>980x250</t>
  </si>
  <si>
    <t>988x60</t>
  </si>
  <si>
    <t>booking-bubble</t>
  </si>
  <si>
    <t>carrossel-landscape-</t>
  </si>
  <si>
    <t>compare-to</t>
  </si>
  <si>
    <t>core</t>
  </si>
  <si>
    <t>featured-results</t>
  </si>
  <si>
    <t>front-door-check</t>
  </si>
  <si>
    <t>front-door-uncheck</t>
  </si>
  <si>
    <t>fullscreen</t>
  </si>
  <si>
    <t>in-line</t>
  </si>
  <si>
    <t>meta-search</t>
  </si>
  <si>
    <t>nativeads</t>
  </si>
  <si>
    <t>pagepost</t>
  </si>
  <si>
    <t>scroller-landscape-</t>
  </si>
  <si>
    <t>scroller-square-</t>
  </si>
  <si>
    <t>video</t>
  </si>
  <si>
    <t>Stories</t>
  </si>
  <si>
    <t>LeadAD</t>
  </si>
  <si>
    <t>Sequency-Stories</t>
  </si>
  <si>
    <t>BumperAD</t>
  </si>
  <si>
    <t>TrueView</t>
  </si>
  <si>
    <t>336x450</t>
  </si>
  <si>
    <t>300x450</t>
  </si>
  <si>
    <t>Mobile-Moments</t>
  </si>
  <si>
    <t>Display-Interativo</t>
  </si>
  <si>
    <t>In-Article</t>
  </si>
  <si>
    <t>NativeAds-Carousel</t>
  </si>
  <si>
    <t>500x500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</si>
</sst>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</font>
    <font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FFFFFF"/>
      <name val="Calibri"/>
    </font>
    <font>
      <color theme="1"/>
      <name val="Calibri"/>
    </font>
    <font>
      <name val="Calibri"/>
    </font>
    <font>
      <b/>
      <sz val="8.0"/>
      <color theme="1"/>
      <name val="Arial"/>
    </font>
    <font>
      <b/>
      <color rgb="FF000000"/>
      <name val="Calibri"/>
    </font>
    <font>
      <sz val="8.0"/>
      <color theme="1"/>
      <name val="Arial"/>
    </font>
    <font>
      <sz val="8.0"/>
      <color rgb="FF000000"/>
      <name val="Arial"/>
    </font>
    <font>
      <color rgb="FF000000"/>
      <name val="Calibri"/>
    </font>
    <font>
      <u/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45F06"/>
        <bgColor rgb="FFB45F06"/>
      </patternFill>
    </fill>
    <fill>
      <patternFill patternType="solid">
        <fgColor rgb="FF000000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002060"/>
        <bgColor rgb="FF002060"/>
      </patternFill>
    </fill>
    <fill>
      <patternFill patternType="solid">
        <fgColor rgb="FF63BE7B"/>
        <bgColor rgb="FF63BE7B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5" fillId="2" fontId="2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readingOrder="0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 shrinkToFit="0" wrapText="0"/>
    </xf>
    <xf borderId="7" fillId="0" fontId="9" numFmtId="0" xfId="0" applyAlignment="1" applyBorder="1" applyFont="1">
      <alignment horizontal="center" shrinkToFit="0" wrapText="0"/>
    </xf>
    <xf borderId="7" fillId="11" fontId="9" numFmtId="164" xfId="0" applyAlignment="1" applyBorder="1" applyFill="1" applyFont="1" applyNumberFormat="1">
      <alignment horizontal="center" readingOrder="0" shrinkToFit="0" wrapText="0"/>
    </xf>
    <xf borderId="7" fillId="0" fontId="9" numFmtId="164" xfId="0" applyAlignment="1" applyBorder="1" applyFont="1" applyNumberFormat="1">
      <alignment horizontal="center" readingOrder="0" shrinkToFit="0" wrapText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7" fillId="0" fontId="9" numFmtId="0" xfId="0" applyAlignment="1" applyBorder="1" applyFont="1">
      <alignment horizontal="left" readingOrder="0" shrinkToFit="0" wrapText="0"/>
    </xf>
    <xf borderId="7" fillId="0" fontId="10" numFmtId="0" xfId="0" applyAlignment="1" applyBorder="1" applyFont="1">
      <alignment horizontal="left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2" fontId="9" numFmtId="0" xfId="0" applyAlignment="1" applyBorder="1" applyFont="1">
      <alignment horizontal="center" readingOrder="0" shrinkToFit="0" wrapText="0"/>
    </xf>
    <xf borderId="7" fillId="12" fontId="9" numFmtId="0" xfId="0" applyAlignment="1" applyBorder="1" applyFill="1" applyFont="1">
      <alignment horizontal="center" readingOrder="0" shrinkToFit="0" wrapText="0"/>
    </xf>
    <xf borderId="7" fillId="2" fontId="9" numFmtId="0" xfId="0" applyAlignment="1" applyBorder="1" applyFont="1">
      <alignment horizontal="center" shrinkToFit="0" wrapText="0"/>
    </xf>
    <xf borderId="7" fillId="0" fontId="10" numFmtId="0" xfId="0" applyAlignment="1" applyBorder="1" applyFont="1">
      <alignment horizontal="left" readingOrder="0" vertical="top"/>
    </xf>
    <xf borderId="7" fillId="0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7" fillId="0" fontId="9" numFmtId="0" xfId="0" applyAlignment="1" applyBorder="1" applyFont="1">
      <alignment horizontal="center" readingOrder="0" shrinkToFit="0" wrapText="0"/>
    </xf>
    <xf borderId="7" fillId="0" fontId="9" numFmtId="0" xfId="0" applyAlignment="1" applyBorder="1" applyFont="1">
      <alignment horizontal="left" readingOrder="0" shrinkToFit="0" wrapText="0"/>
    </xf>
    <xf borderId="7" fillId="0" fontId="9" numFmtId="0" xfId="0" applyAlignment="1" applyBorder="1" applyFont="1">
      <alignment horizontal="left" readingOrder="0" vertical="top"/>
    </xf>
    <xf borderId="8" fillId="13" fontId="11" numFmtId="0" xfId="0" applyAlignment="1" applyBorder="1" applyFill="1" applyFont="1">
      <alignment horizontal="left" readingOrder="0"/>
    </xf>
    <xf borderId="9" fillId="13" fontId="11" numFmtId="0" xfId="0" applyAlignment="1" applyBorder="1" applyFont="1">
      <alignment horizontal="left" readingOrder="0"/>
    </xf>
    <xf borderId="9" fillId="13" fontId="11" numFmtId="0" xfId="0" applyAlignment="1" applyBorder="1" applyFont="1">
      <alignment horizontal="center" readingOrder="0"/>
    </xf>
    <xf borderId="0" fillId="14" fontId="12" numFmtId="0" xfId="0" applyAlignment="1" applyFill="1" applyFont="1">
      <alignment horizontal="center" readingOrder="0" vertical="bottom"/>
    </xf>
    <xf borderId="1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" numFmtId="0" xfId="0" applyBorder="1" applyFont="1"/>
    <xf borderId="1" fillId="0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shrinkToFit="0" vertical="bottom" wrapText="0"/>
    </xf>
    <xf borderId="0" fillId="12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2" fillId="7" fontId="2" numFmtId="0" xfId="0" applyAlignment="1" applyBorder="1" applyFont="1">
      <alignment horizontal="center" readingOrder="0" shrinkToFit="0" wrapText="0"/>
    </xf>
    <xf borderId="6" fillId="7" fontId="2" numFmtId="0" xfId="0" applyAlignment="1" applyBorder="1" applyFont="1">
      <alignment horizontal="center" readingOrder="0" shrinkToFit="0" wrapText="0"/>
    </xf>
    <xf borderId="0" fillId="12" fontId="2" numFmtId="0" xfId="0" applyAlignment="1" applyFont="1">
      <alignment horizontal="center" shrinkToFit="0" wrapText="0"/>
    </xf>
    <xf borderId="0" fillId="7" fontId="2" numFmtId="0" xfId="0" applyAlignment="1" applyFont="1">
      <alignment horizontal="center" readingOrder="0" shrinkToFit="0" wrapText="0"/>
    </xf>
    <xf borderId="0" fillId="7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7" fontId="2" numFmtId="0" xfId="0" applyAlignment="1" applyFont="1">
      <alignment horizontal="center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ampinas.com.br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75"/>
  <cols>
    <col customWidth="1" min="1" max="1" width="5.0"/>
    <col customWidth="1" min="2" max="2" width="18.86"/>
    <col customWidth="1" min="3" max="3" width="22.14"/>
    <col customWidth="1" min="4" max="4" width="15.57"/>
    <col customWidth="1" min="5" max="5" width="14.86"/>
    <col customWidth="1" min="6" max="6" width="14.29"/>
    <col customWidth="1" min="7" max="8" width="20.57"/>
    <col customWidth="1" min="9" max="9" width="16.14"/>
    <col customWidth="1" min="10" max="10" width="22.71"/>
    <col customWidth="1" min="11" max="11" width="22.57"/>
    <col customWidth="1" min="12" max="12" width="9.57"/>
    <col customWidth="1" min="13" max="13" width="13.43"/>
    <col customWidth="1" min="14" max="14" width="15.29"/>
    <col customWidth="1" min="15" max="15" width="15.43"/>
    <col customWidth="1" min="16" max="16" width="11.43"/>
    <col customWidth="1" min="17" max="17" width="14.86"/>
    <col customWidth="1" min="18" max="18" width="13.57"/>
    <col customWidth="1" min="19" max="19" width="9.43"/>
    <col customWidth="1" min="20" max="20" width="23.29"/>
    <col customWidth="1" min="21" max="21" width="12.57"/>
    <col customWidth="1" min="22" max="22" width="21.71"/>
    <col customWidth="1" min="23" max="23" width="9.29"/>
    <col customWidth="1" min="24" max="24" width="10.71"/>
    <col customWidth="1" min="25" max="25" width="16.14"/>
    <col customWidth="1" min="26" max="26" width="15.86"/>
    <col customWidth="1" min="27" max="27" width="14.57"/>
    <col customWidth="1" min="28" max="28" width="14.43"/>
    <col customWidth="1" min="29" max="29" width="17.71"/>
    <col customWidth="1" min="30" max="30" width="12.57"/>
    <col customWidth="1" min="31" max="31" width="9.86"/>
    <col customWidth="1" min="32" max="32" width="14.0"/>
    <col customWidth="1" min="33" max="33" width="11.43"/>
    <col customWidth="1" min="34" max="34" width="14.57"/>
    <col customWidth="1" min="35" max="35" width="13.0"/>
    <col customWidth="1" min="36" max="36" width="10.14"/>
    <col customWidth="1" min="37" max="37" width="10.29"/>
    <col customWidth="1" min="38" max="38" width="12.14"/>
    <col customWidth="1" min="39" max="40" width="144.86"/>
    <col customWidth="1" min="41" max="41" width="40.14"/>
    <col customWidth="1" min="42" max="42" width="357.86"/>
    <col customWidth="1" min="43" max="43" width="243.43"/>
    <col customWidth="1" min="44" max="44" width="13.43"/>
    <col customWidth="1" min="45" max="45" width="14.71"/>
    <col customWidth="1" min="46" max="46" width="61.0"/>
    <col customWidth="1" min="47" max="47" width="144.86"/>
    <col customWidth="1" min="48" max="48" width="18.86"/>
    <col customWidth="1" min="49" max="49" width="320.0"/>
    <col customWidth="1" min="50" max="50" width="61.0"/>
    <col customWidth="1" min="51" max="51" width="144.86"/>
    <col customWidth="1" min="52" max="52" width="17.57"/>
    <col customWidth="1" min="53" max="53" width="13.57"/>
    <col customWidth="1" min="54" max="54" width="14.57"/>
    <col customWidth="1" min="55" max="55" width="14.0"/>
    <col customWidth="1" min="56" max="56" width="22.86"/>
    <col customWidth="1" min="57" max="57" width="12.29"/>
    <col customWidth="1" min="58" max="58" width="14.57"/>
    <col customWidth="1" min="59" max="59" width="197.57"/>
    <col customWidth="1" min="62" max="62" width="74.0"/>
    <col customWidth="1" min="63" max="63" width="43.29"/>
    <col customWidth="1" min="64" max="64" width="150.57"/>
    <col customWidth="1" min="65" max="65" width="9.43"/>
    <col customWidth="1" min="66" max="66" width="12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>
      <c r="A2" s="1"/>
      <c r="B2" s="3" t="s">
        <v>0</v>
      </c>
      <c r="C2" s="4" t="s">
        <v>1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2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>
      <c r="A3" s="1"/>
      <c r="B3" s="8" t="s">
        <v>2</v>
      </c>
      <c r="C3" s="4" t="s">
        <v>3</v>
      </c>
      <c r="D3" s="5"/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>
      <c r="A4" s="1"/>
      <c r="B4" s="8" t="s">
        <v>4</v>
      </c>
      <c r="C4" s="4" t="s">
        <v>5</v>
      </c>
      <c r="D4" s="5"/>
      <c r="E4" s="5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2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>
      <c r="A6" s="1"/>
      <c r="B6" s="1"/>
      <c r="C6" s="1"/>
      <c r="D6" s="1"/>
      <c r="E6" s="1"/>
      <c r="F6" s="1"/>
      <c r="G6" s="1"/>
      <c r="H6" s="1"/>
      <c r="I6" s="1"/>
      <c r="J6" s="9"/>
      <c r="K6" s="9"/>
      <c r="L6" s="9"/>
      <c r="M6" s="9"/>
      <c r="N6" s="9"/>
      <c r="O6" s="9" t="s">
        <v>6</v>
      </c>
      <c r="P6" s="9" t="s">
        <v>7</v>
      </c>
      <c r="Q6" s="1"/>
      <c r="R6" s="1"/>
      <c r="S6" s="1"/>
      <c r="T6" s="1"/>
      <c r="U6" s="1"/>
      <c r="V6" s="9" t="s">
        <v>8</v>
      </c>
      <c r="W6" s="1"/>
      <c r="X6" s="9"/>
      <c r="Y6" s="9" t="s">
        <v>9</v>
      </c>
      <c r="Z6" s="9"/>
      <c r="AA6" s="1"/>
      <c r="AB6" s="1"/>
      <c r="AC6" s="9" t="s">
        <v>10</v>
      </c>
      <c r="AD6" s="9" t="s">
        <v>11</v>
      </c>
      <c r="AE6" s="1"/>
      <c r="AF6" s="1"/>
      <c r="AG6" s="1"/>
      <c r="AH6" s="1"/>
      <c r="AI6" s="1"/>
      <c r="AJ6" s="1"/>
      <c r="AK6" s="1"/>
      <c r="AL6" s="1"/>
      <c r="AM6" s="9" t="s">
        <v>12</v>
      </c>
      <c r="AN6" s="1"/>
      <c r="AO6" s="1"/>
      <c r="AP6" s="2"/>
      <c r="AQ6" s="1"/>
      <c r="AR6" s="1"/>
      <c r="AS6" s="1"/>
      <c r="AT6" s="1"/>
      <c r="AU6" s="1"/>
      <c r="AV6" s="1"/>
      <c r="AW6" s="1"/>
      <c r="AX6" s="1"/>
      <c r="AY6" s="1"/>
      <c r="AZ6" s="9" t="s">
        <v>13</v>
      </c>
      <c r="BA6" s="9" t="s">
        <v>14</v>
      </c>
      <c r="BB6" s="9" t="s">
        <v>15</v>
      </c>
      <c r="BC6" s="9" t="s">
        <v>16</v>
      </c>
      <c r="BD6" s="9" t="s">
        <v>17</v>
      </c>
      <c r="BE6" s="9" t="s">
        <v>18</v>
      </c>
      <c r="BF6" s="9" t="s">
        <v>19</v>
      </c>
      <c r="BG6" s="1"/>
      <c r="BH6" s="1"/>
      <c r="BI6" s="1"/>
      <c r="BJ6" s="1"/>
      <c r="BK6" s="1"/>
      <c r="BL6" s="1"/>
      <c r="BM6" s="1"/>
      <c r="BN6" s="1"/>
    </row>
    <row r="7">
      <c r="A7" s="10"/>
      <c r="B7" s="11" t="s">
        <v>20</v>
      </c>
      <c r="C7" s="12" t="s">
        <v>21</v>
      </c>
      <c r="D7" s="13" t="s">
        <v>22</v>
      </c>
      <c r="E7" s="11" t="s">
        <v>23</v>
      </c>
      <c r="F7" s="11" t="s">
        <v>24</v>
      </c>
      <c r="G7" s="11" t="s">
        <v>25</v>
      </c>
      <c r="H7" s="14" t="s">
        <v>26</v>
      </c>
      <c r="I7" s="14" t="s">
        <v>27</v>
      </c>
      <c r="J7" s="15" t="s">
        <v>28</v>
      </c>
      <c r="K7" s="15" t="s">
        <v>29</v>
      </c>
      <c r="L7" s="15" t="s">
        <v>30</v>
      </c>
      <c r="M7" s="15" t="s">
        <v>31</v>
      </c>
      <c r="N7" s="15" t="s">
        <v>32</v>
      </c>
      <c r="O7" s="16" t="s">
        <v>33</v>
      </c>
      <c r="P7" s="17" t="s">
        <v>34</v>
      </c>
      <c r="Q7" s="16" t="s">
        <v>35</v>
      </c>
      <c r="R7" s="11" t="s">
        <v>36</v>
      </c>
      <c r="S7" s="11" t="s">
        <v>37</v>
      </c>
      <c r="T7" s="11" t="s">
        <v>38</v>
      </c>
      <c r="U7" s="12" t="s">
        <v>39</v>
      </c>
      <c r="V7" s="11" t="s">
        <v>40</v>
      </c>
      <c r="W7" s="11" t="s">
        <v>41</v>
      </c>
      <c r="X7" s="11" t="s">
        <v>42</v>
      </c>
      <c r="Y7" s="11" t="s">
        <v>43</v>
      </c>
      <c r="Z7" s="11" t="s">
        <v>44</v>
      </c>
      <c r="AA7" s="11" t="s">
        <v>45</v>
      </c>
      <c r="AB7" s="18" t="s">
        <v>46</v>
      </c>
      <c r="AC7" s="11" t="s">
        <v>47</v>
      </c>
      <c r="AD7" s="11" t="s">
        <v>48</v>
      </c>
      <c r="AE7" s="11" t="s">
        <v>49</v>
      </c>
      <c r="AF7" s="11" t="s">
        <v>50</v>
      </c>
      <c r="AG7" s="11" t="s">
        <v>51</v>
      </c>
      <c r="AH7" s="11" t="s">
        <v>52</v>
      </c>
      <c r="AI7" s="11" t="s">
        <v>53</v>
      </c>
      <c r="AJ7" s="11" t="s">
        <v>54</v>
      </c>
      <c r="AK7" s="11" t="s">
        <v>55</v>
      </c>
      <c r="AL7" s="11" t="s">
        <v>56</v>
      </c>
      <c r="AM7" s="12" t="s">
        <v>57</v>
      </c>
      <c r="AN7" s="12" t="s">
        <v>58</v>
      </c>
      <c r="AO7" s="12" t="s">
        <v>59</v>
      </c>
      <c r="AP7" s="12" t="s">
        <v>60</v>
      </c>
      <c r="AQ7" s="12" t="s">
        <v>61</v>
      </c>
      <c r="AR7" s="12" t="s">
        <v>62</v>
      </c>
      <c r="AS7" s="12" t="s">
        <v>63</v>
      </c>
      <c r="AT7" s="12" t="s">
        <v>64</v>
      </c>
      <c r="AU7" s="12" t="s">
        <v>65</v>
      </c>
      <c r="AV7" s="12" t="s">
        <v>66</v>
      </c>
      <c r="AW7" s="12" t="s">
        <v>67</v>
      </c>
      <c r="AX7" s="16" t="s">
        <v>68</v>
      </c>
      <c r="AY7" s="16" t="s">
        <v>58</v>
      </c>
      <c r="AZ7" s="19" t="s">
        <v>69</v>
      </c>
      <c r="BA7" s="19" t="s">
        <v>70</v>
      </c>
      <c r="BB7" s="19" t="s">
        <v>71</v>
      </c>
      <c r="BC7" s="19" t="s">
        <v>72</v>
      </c>
      <c r="BD7" s="19" t="s">
        <v>73</v>
      </c>
      <c r="BE7" s="19" t="s">
        <v>74</v>
      </c>
      <c r="BF7" s="19" t="s">
        <v>75</v>
      </c>
      <c r="BG7" s="19" t="s">
        <v>76</v>
      </c>
      <c r="BH7" s="10"/>
      <c r="BI7" s="10"/>
      <c r="BJ7" s="20" t="s">
        <v>77</v>
      </c>
      <c r="BK7" s="20" t="s">
        <v>78</v>
      </c>
      <c r="BL7" s="20" t="s">
        <v>79</v>
      </c>
      <c r="BM7" s="20" t="s">
        <v>80</v>
      </c>
      <c r="BN7" s="20" t="s">
        <v>81</v>
      </c>
    </row>
    <row r="8" ht="20.25" customHeight="1">
      <c r="A8" s="1"/>
      <c r="B8" s="21" t="s">
        <v>82</v>
      </c>
      <c r="C8" s="22"/>
      <c r="D8" s="23"/>
      <c r="E8" s="24">
        <v>43929.0</v>
      </c>
      <c r="F8" s="25">
        <v>43951.0</v>
      </c>
      <c r="G8" s="21" t="s">
        <v>83</v>
      </c>
      <c r="H8" s="26" t="s">
        <v>84</v>
      </c>
      <c r="I8" s="21" t="s">
        <v>85</v>
      </c>
      <c r="J8" s="21" t="s">
        <v>86</v>
      </c>
      <c r="K8" s="21" t="s">
        <v>87</v>
      </c>
      <c r="L8" s="21" t="s">
        <v>88</v>
      </c>
      <c r="M8" s="21" t="s">
        <v>89</v>
      </c>
      <c r="N8" s="21" t="s">
        <v>90</v>
      </c>
      <c r="O8" s="21" t="s">
        <v>91</v>
      </c>
      <c r="P8" s="21" t="s">
        <v>91</v>
      </c>
      <c r="Q8" s="21" t="s">
        <v>92</v>
      </c>
      <c r="R8" s="21" t="s">
        <v>93</v>
      </c>
      <c r="S8" s="21" t="s">
        <v>94</v>
      </c>
      <c r="T8" s="21" t="s">
        <v>95</v>
      </c>
      <c r="U8" s="22" t="s">
        <v>96</v>
      </c>
      <c r="V8" s="21" t="s">
        <v>97</v>
      </c>
      <c r="W8" s="21" t="s">
        <v>98</v>
      </c>
      <c r="X8" s="22" t="s">
        <v>99</v>
      </c>
      <c r="Y8" s="22" t="s">
        <v>100</v>
      </c>
      <c r="Z8" s="22" t="s">
        <v>101</v>
      </c>
      <c r="AA8" s="22" t="s">
        <v>102</v>
      </c>
      <c r="AB8" s="22" t="s">
        <v>103</v>
      </c>
      <c r="AC8" s="21" t="s">
        <v>104</v>
      </c>
      <c r="AD8" s="21" t="s">
        <v>105</v>
      </c>
      <c r="AE8" s="27"/>
      <c r="AF8" s="27"/>
      <c r="AG8" s="27"/>
      <c r="AH8" s="27"/>
      <c r="AI8" s="27"/>
      <c r="AJ8" s="27"/>
      <c r="AK8" s="27"/>
      <c r="AL8" s="27"/>
      <c r="AM8" s="28" t="str">
        <f>LOWER(Campanha_ou_InsertionOrder&amp;"_"&amp;LineItem_ou_Grupodeanúncio&amp;"_"&amp;Linha_Criativa&amp;"_"&amp;Unique_ID)</f>
        <v>alp_vw_icarros_imc_dsy_lanch_nd_nc_nvs_nivus-launch-consideracao_na_ontem_cpa_drct_all_1000x100_homenagem-vw_looklike_video-homenagem_nvl-nvs-imc-dsy-0820-10005</v>
      </c>
      <c r="AN8" s="28" t="str">
        <f>LOWER(Campanha_ou_InsertionOrder&amp;"_"&amp;LineItem_ou_Grupodeanúncio&amp;"_"&amp;Linha_Criativa&amp;"_"&amp;Unique_ID)</f>
        <v>alp_vw_icarros_imc_dsy_lanch_nd_nc_nvs_nivus-launch-consideracao_na_ontem_cpa_drct_all_1000x100_homenagem-vw_looklike_video-homenagem_nvl-nvs-imc-dsy-0820-10005</v>
      </c>
      <c r="AO8" s="28" t="str">
        <f>LOWER("VW"&amp;"_"&amp;Model_Variant&amp;"_"&amp;Size&amp;"_"&amp;Linha_Criativa&amp;"_"&amp;IF(Servido_Por="portal",Veiculo,"adserver"))</f>
        <v>vw_nivus_1000x100_video-homenagem_icarros</v>
      </c>
      <c r="AP8" s="29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https://www.vw.com.br/?utm_source=icarros&amp;utm_medium=Digital-Audio&amp;utm_content=alp_vw_icarros_imc_dsy_lanch_nd_nc_nvs_nivus-launch-consideracao_na_ontem_cpa_drct_all_1000x100_homenagem-vw_looklike_video-homenagem_nvl-nvs-imc-dsy-0820-10005&amp;utm_campaign=BR_IMC_DSY_LANCH_ND_NC_2020Q3AUG_NVS_Nivus-Launch-Consideracao&amp;utm_term=%epid!_%ecid!_%eaid!</v>
      </c>
      <c r="AQ8" s="30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https://www.vw.com.br/pt/configurador.html/__app/%2Fnivus/0.app?adlid=nvl-nvs-imc-soc-0820-10033&amp;adplt=alp_vw_youtube_imc_soc_lanch_nd_nc_nvs_nivus-launch-consideracao_na_trafego_cpv_drct_all_trueview_remarketing_pre-sales_lancamento-awareness-nivus-kessy-15_nvl-nvs-imc-soc-0820-10033</v>
      </c>
      <c r="AR8" s="22" t="str">
        <f t="shared" ref="AR8:AR997" si="1">O8</f>
        <v>icarros</v>
      </c>
      <c r="AS8" s="22" t="str">
        <f t="shared" ref="AS8:AS997" si="2">Q8</f>
        <v>Digital-Audio</v>
      </c>
      <c r="AT8" s="22" t="str">
        <f t="shared" ref="AT8:AT997" si="3">$C$3</f>
        <v>BR_IMC_DSY_LANCH_ND_NC_2020Q3AUG_NVS_Nivus-Launch-Consideracao</v>
      </c>
      <c r="AU8" s="22" t="str">
        <f t="shared" ref="AU8:AU997" si="4">AN8</f>
        <v>alp_vw_icarros_imc_dsy_lanch_nd_nc_nvs_nivus-launch-consideracao_na_ontem_cpa_drct_all_1000x100_homenagem-vw_looklike_video-homenagem_nvl-nvs-imc-dsy-0820-10005</v>
      </c>
      <c r="AV8" s="22" t="s">
        <v>106</v>
      </c>
      <c r="AW8" s="30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https://www.vw.com.br/?utm_source=icarros&amp;utm_medium=Digital-Audio&amp;utm_content=alp_vw_icarros_imc_dsy_lanch_nd_nc_nvs_nivus-launch-consideracao_na_ontem_cpa_drct_all_1000x100_homenagem-vw_looklike_video-homenagem_nvl-nvs-imc-dsy-0820-10005&amp;utm_campaign=BR_IMC_DSY_LANCH_ND_NC_2020Q3AUG_NVS_Nivus-Launch-Consideracao&amp;utm_term=%epid!_%ecid!_%eaid!</v>
      </c>
      <c r="AX8" s="22" t="str">
        <f t="shared" ref="AX8:AX997" si="5">$C$3</f>
        <v>BR_IMC_DSY_LANCH_ND_NC_2020Q3AUG_NVS_Nivus-Launch-Consideracao</v>
      </c>
      <c r="AY8" s="28" t="str">
        <f t="shared" ref="AY8:AY997" si="6">AN8</f>
        <v>alp_vw_icarros_imc_dsy_lanch_nd_nc_nvs_nivus-launch-consideracao_na_ontem_cpa_drct_all_1000x100_homenagem-vw_looklike_video-homenagem_nvl-nvs-imc-dsy-0820-10005</v>
      </c>
      <c r="AZ8" s="22" t="s">
        <v>107</v>
      </c>
      <c r="BA8" s="22" t="s">
        <v>108</v>
      </c>
      <c r="BB8" s="31" t="s">
        <v>109</v>
      </c>
      <c r="BC8" s="31" t="s">
        <v>109</v>
      </c>
      <c r="BD8" s="32" t="str">
        <f t="shared" ref="BD8:BD11" si="7">LOWER($C$2&amp;"-"&amp;SUM(10000+ROW(A5)))</f>
        <v>nvl-nvs-imc-dsy-0820-10005</v>
      </c>
      <c r="BE8" s="33"/>
      <c r="BF8" s="33"/>
      <c r="BG8" s="34" t="str">
        <f>URL&amp;IF(ISNUMBER(FIND("?",URL)),"&amp;","?"&amp;("adlid="&amp;Unique_ID&amp;"&amp;adplt="&amp;Placement))</f>
        <v>https://www.vw.com.br/?adlid=nvl-nvs-imc-dsy-0820-10005&amp;adplt=alp_vw_icarros_imc_dsy_lanch_nd_nc_nvs_nivus-launch-consideracao_na_ontem_cpa_drct_all_1000x100_homenagem-vw_looklike_video-homenagem_nvl-nvs-imc-dsy-0820-10005</v>
      </c>
      <c r="BH8" s="1"/>
      <c r="BI8" s="1"/>
      <c r="BJ8" s="35" t="str">
        <f>LOWER("alp"&amp;"_"&amp;"vw"&amp;"_"&amp;Veiculo&amp;"_"&amp;C$4&amp;"_"&amp;Objetivo)</f>
        <v>alp_vw_icarros_imc_dsy_lanch_nd_nc_nvs_nivus-launch-consideracao_na_ontem</v>
      </c>
      <c r="BK8" s="35" t="str">
        <f>LOWER(Buying_Metric&amp;"_"&amp;VLOOKUP(Buying_Type,Buy_type,2,FALSE)&amp;"_"&amp;Device&amp;"_"&amp;Size&amp;"_"&amp;Segmentação&amp;"_"&amp;Segmentação_Anúncio)</f>
        <v>cpa_drct_all_1000x100_homenagem-vw_looklike</v>
      </c>
      <c r="BL8" s="35" t="str">
        <f>LOWER(Campanha_ou_InsertionOrder&amp;"_"&amp;LineItem_ou_Grupodeanúncio&amp;"_"&amp;Linha_criativa_2&amp;"_"&amp;Unique_ID)</f>
        <v>alp_vw_icarros_imc_dsy_lanch_nd_nc_nvs_nivus-launch-consideracao_na_ontem_cpa_drct_all_1000x100_homenagem-vw_looklike_generico_nvl-nvs-imc-dsy-0820-10005</v>
      </c>
      <c r="BM8" s="35"/>
      <c r="BN8" s="36"/>
    </row>
    <row r="9">
      <c r="A9" s="1"/>
      <c r="B9" s="21" t="s">
        <v>110</v>
      </c>
      <c r="C9" s="23"/>
      <c r="D9" s="23"/>
      <c r="E9" s="24">
        <v>43929.0</v>
      </c>
      <c r="F9" s="25">
        <v>43951.0</v>
      </c>
      <c r="G9" s="21" t="s">
        <v>111</v>
      </c>
      <c r="H9" s="26" t="s">
        <v>84</v>
      </c>
      <c r="I9" s="21" t="s">
        <v>112</v>
      </c>
      <c r="J9" s="21" t="s">
        <v>86</v>
      </c>
      <c r="K9" s="21" t="s">
        <v>87</v>
      </c>
      <c r="L9" s="21" t="s">
        <v>88</v>
      </c>
      <c r="M9" s="21" t="s">
        <v>89</v>
      </c>
      <c r="N9" s="21" t="s">
        <v>90</v>
      </c>
      <c r="O9" s="21" t="s">
        <v>113</v>
      </c>
      <c r="P9" s="21" t="s">
        <v>91</v>
      </c>
      <c r="Q9" s="21" t="s">
        <v>92</v>
      </c>
      <c r="R9" s="21" t="s">
        <v>93</v>
      </c>
      <c r="S9" s="21" t="s">
        <v>94</v>
      </c>
      <c r="T9" s="21" t="s">
        <v>114</v>
      </c>
      <c r="U9" s="22" t="s">
        <v>96</v>
      </c>
      <c r="V9" s="21" t="s">
        <v>97</v>
      </c>
      <c r="W9" s="21" t="s">
        <v>98</v>
      </c>
      <c r="X9" s="22" t="s">
        <v>99</v>
      </c>
      <c r="Y9" s="22" t="s">
        <v>100</v>
      </c>
      <c r="Z9" s="22" t="s">
        <v>101</v>
      </c>
      <c r="AA9" s="22" t="s">
        <v>102</v>
      </c>
      <c r="AB9" s="22" t="s">
        <v>103</v>
      </c>
      <c r="AC9" s="21" t="s">
        <v>104</v>
      </c>
      <c r="AD9" s="21" t="s">
        <v>115</v>
      </c>
      <c r="AE9" s="27"/>
      <c r="AF9" s="27"/>
      <c r="AG9" s="27"/>
      <c r="AH9" s="27"/>
      <c r="AI9" s="27"/>
      <c r="AJ9" s="27"/>
      <c r="AK9" s="27"/>
      <c r="AL9" s="27"/>
      <c r="AM9" s="28" t="str">
        <f>LOWER(Campanha_ou_InsertionOrder&amp;"_"&amp;LineItem_ou_Grupodeanúncio&amp;"_"&amp;Linha_Criativa&amp;"_"&amp;Unique_ID)</f>
        <v>alp_vw_sa360_imc_dsy_lanch_nd_nc_nvs_nivus-launch-consideracao_na_ontem_cpa_drct_all_100x100_homenagem-vw_looklike_video-homenagem_nvl-nvs-imc-dsy-0820-10006</v>
      </c>
      <c r="AN9" s="28" t="str">
        <f>LOWER(Campanha_ou_InsertionOrder&amp;"_"&amp;LineItem_ou_Grupodeanúncio&amp;"_"&amp;Linha_Criativa&amp;"_"&amp;Unique_ID)</f>
        <v>alp_vw_sa360_imc_dsy_lanch_nd_nc_nvs_nivus-launch-consideracao_na_ontem_cpa_drct_all_100x100_homenagem-vw_looklike_video-homenagem_nvl-nvs-imc-dsy-0820-10006</v>
      </c>
      <c r="AO9" s="28" t="str">
        <f>LOWER("VW"&amp;"_"&amp;Model_Variant&amp;"_"&amp;Size&amp;"_"&amp;Linha_Criativa&amp;"_"&amp;IF(Servido_Por="portal",Veiculo,"adserver"))</f>
        <v>vw_nivus_100x100_video-homenagem_adserver</v>
      </c>
      <c r="AP9" s="29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https://www.vw.com.br/?ds_p=[*Part_Site*]&amp;ds_e=[*Part_Comp*]&amp;ds_c={_dscampaign}&amp;ds_ag={_dsadgroup}&amp;ds_k={_dssearchterm}&amp;ds_e={_dsaccounttype}&amp;ds_kid={_dstrackerid}&amp;country=BR&amp;language=BR</v>
      </c>
      <c r="AQ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" s="22" t="str">
        <f t="shared" si="1"/>
        <v>SA360</v>
      </c>
      <c r="AS9" s="22" t="str">
        <f t="shared" si="2"/>
        <v>Digital-Audio</v>
      </c>
      <c r="AT9" s="22" t="str">
        <f t="shared" si="3"/>
        <v>BR_IMC_DSY_LANCH_ND_NC_2020Q3AUG_NVS_Nivus-Launch-Consideracao</v>
      </c>
      <c r="AU9" s="22" t="str">
        <f t="shared" si="4"/>
        <v>alp_vw_sa360_imc_dsy_lanch_nd_nc_nvs_nivus-launch-consideracao_na_ontem_cpa_drct_all_100x100_homenagem-vw_looklike_video-homenagem_nvl-nvs-imc-dsy-0820-10006</v>
      </c>
      <c r="AV9" s="22" t="s">
        <v>106</v>
      </c>
      <c r="AW9" s="30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https://www.vw.com.br/?utm_source=SA360&amp;utm_medium=Digital-Audio&amp;utm_content=alp_vw_sa360_imc_dsy_lanch_nd_nc_nvs_nivus-launch-consideracao_na_ontem_cpa_drct_all_100x100_homenagem-vw_looklike_video-homenagem_nvl-nvs-imc-dsy-0820-10006&amp;utm_campaign=BR_IMC_DSY_LANCH_ND_NC_2020Q3AUG_NVS_Nivus-Launch-Consideracao&amp;utm_term=%epid!_%ecid!_%eaid!</v>
      </c>
      <c r="AX9" s="22" t="str">
        <f t="shared" si="5"/>
        <v>BR_IMC_DSY_LANCH_ND_NC_2020Q3AUG_NVS_Nivus-Launch-Consideracao</v>
      </c>
      <c r="AY9" s="28" t="str">
        <f t="shared" si="6"/>
        <v>alp_vw_sa360_imc_dsy_lanch_nd_nc_nvs_nivus-launch-consideracao_na_ontem_cpa_drct_all_100x100_homenagem-vw_looklike_video-homenagem_nvl-nvs-imc-dsy-0820-10006</v>
      </c>
      <c r="AZ9" s="22" t="s">
        <v>107</v>
      </c>
      <c r="BA9" s="22" t="s">
        <v>108</v>
      </c>
      <c r="BB9" s="31" t="s">
        <v>109</v>
      </c>
      <c r="BC9" s="31" t="s">
        <v>109</v>
      </c>
      <c r="BD9" s="32" t="str">
        <f t="shared" si="7"/>
        <v>nvl-nvs-imc-dsy-0820-10006</v>
      </c>
      <c r="BE9" s="33"/>
      <c r="BF9" s="33"/>
      <c r="BG9" s="34" t="str">
        <f>URL&amp;IF(ISNUMBER(FIND("?",URL)),"&amp;","?"&amp;("adlid="&amp;Unique_ID&amp;"&amp;adplt="&amp;Placement))</f>
        <v>https://www.vw.com.br/?adlid=nvl-nvs-imc-dsy-0820-10006&amp;adplt=alp_vw_sa360_imc_dsy_lanch_nd_nc_nvs_nivus-launch-consideracao_na_ontem_cpa_drct_all_100x100_homenagem-vw_looklike_video-homenagem_nvl-nvs-imc-dsy-0820-10006</v>
      </c>
      <c r="BH9" s="1"/>
      <c r="BI9" s="1"/>
      <c r="BJ9" s="35" t="str">
        <f>LOWER("alp"&amp;"_"&amp;"vw"&amp;"_"&amp;Veiculo&amp;"_"&amp;C$4&amp;"_"&amp;Objetivo)</f>
        <v>alp_vw_sa360_imc_dsy_lanch_nd_nc_nvs_nivus-launch-consideracao_na_ontem</v>
      </c>
      <c r="BK9" s="35" t="str">
        <f>LOWER(Buying_Metric&amp;"_"&amp;VLOOKUP(Buying_Type,Buy_type,2,FALSE)&amp;"_"&amp;Device&amp;"_"&amp;Size&amp;"_"&amp;Segmentação&amp;"_"&amp;Segmentação_Anúncio)</f>
        <v>cpa_drct_all_100x100_homenagem-vw_looklike</v>
      </c>
      <c r="BL9" s="35" t="str">
        <f>LOWER(Campanha_ou_InsertionOrder&amp;"_"&amp;LineItem_ou_Grupodeanúncio&amp;"_"&amp;Linha_criativa_2&amp;"_"&amp;Unique_ID)</f>
        <v>alp_vw_sa360_imc_dsy_lanch_nd_nc_nvs_nivus-launch-consideracao_na_ontem_cpa_drct_all_100x100_homenagem-vw_looklike_generico_nvl-nvs-imc-dsy-0820-10006</v>
      </c>
      <c r="BM9" s="36"/>
      <c r="BN9" s="36"/>
    </row>
    <row r="10">
      <c r="A10" s="1"/>
      <c r="B10" s="21" t="s">
        <v>116</v>
      </c>
      <c r="C10" s="27"/>
      <c r="D10" s="27"/>
      <c r="E10" s="24">
        <v>43929.0</v>
      </c>
      <c r="F10" s="25">
        <v>43951.0</v>
      </c>
      <c r="G10" s="21" t="s">
        <v>117</v>
      </c>
      <c r="H10" s="26" t="s">
        <v>84</v>
      </c>
      <c r="I10" s="21" t="s">
        <v>112</v>
      </c>
      <c r="J10" s="21" t="s">
        <v>86</v>
      </c>
      <c r="K10" s="21" t="s">
        <v>87</v>
      </c>
      <c r="L10" s="21" t="s">
        <v>88</v>
      </c>
      <c r="M10" s="21" t="s">
        <v>89</v>
      </c>
      <c r="N10" s="21" t="s">
        <v>90</v>
      </c>
      <c r="O10" s="21" t="s">
        <v>118</v>
      </c>
      <c r="P10" s="21" t="s">
        <v>91</v>
      </c>
      <c r="Q10" s="21" t="s">
        <v>92</v>
      </c>
      <c r="R10" s="21" t="s">
        <v>93</v>
      </c>
      <c r="S10" s="21" t="s">
        <v>94</v>
      </c>
      <c r="T10" s="21" t="s">
        <v>119</v>
      </c>
      <c r="U10" s="22" t="s">
        <v>96</v>
      </c>
      <c r="V10" s="21" t="s">
        <v>97</v>
      </c>
      <c r="W10" s="21" t="s">
        <v>98</v>
      </c>
      <c r="X10" s="22" t="s">
        <v>99</v>
      </c>
      <c r="Y10" s="22" t="s">
        <v>100</v>
      </c>
      <c r="Z10" s="22" t="s">
        <v>101</v>
      </c>
      <c r="AA10" s="22" t="s">
        <v>102</v>
      </c>
      <c r="AB10" s="22" t="s">
        <v>103</v>
      </c>
      <c r="AC10" s="21" t="s">
        <v>104</v>
      </c>
      <c r="AD10" s="21" t="s">
        <v>120</v>
      </c>
      <c r="AE10" s="27"/>
      <c r="AF10" s="27"/>
      <c r="AG10" s="27"/>
      <c r="AH10" s="27"/>
      <c r="AI10" s="27"/>
      <c r="AJ10" s="27"/>
      <c r="AK10" s="27"/>
      <c r="AL10" s="27"/>
      <c r="AM10" s="28" t="str">
        <f>LOWER(Campanha_ou_InsertionOrder&amp;"_"&amp;LineItem_ou_Grupodeanúncio&amp;"_"&amp;Linha_Criativa&amp;"_"&amp;Unique_ID)</f>
        <v>alp_vw_googleads_imc_dsy_lanch_nd_nc_nvs_nivus-launch-consideracao_na_ontem_cpa_drct_all_1000x250_homenagem-vw_looklike_video-homenagem_nvl-nvs-imc-dsy-0820-10007</v>
      </c>
      <c r="AN10" s="28" t="str">
        <f>LOWER(Campanha_ou_InsertionOrder&amp;"_"&amp;LineItem_ou_Grupodeanúncio&amp;"_"&amp;Linha_Criativa&amp;"_"&amp;Unique_ID)</f>
        <v>alp_vw_googleads_imc_dsy_lanch_nd_nc_nvs_nivus-launch-consideracao_na_ontem_cpa_drct_all_1000x250_homenagem-vw_looklike_video-homenagem_nvl-nvs-imc-dsy-0820-10007</v>
      </c>
      <c r="AO10" s="28" t="str">
        <f>LOWER("VW"&amp;"_"&amp;Model_Variant&amp;"_"&amp;Size&amp;"_"&amp;Linha_Criativa&amp;"_"&amp;IF(Servido_Por="portal",Veiculo,"adserver"))</f>
        <v>vw_nivus_1000x250_video-homenagem_adserver</v>
      </c>
      <c r="AP10" s="29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https://www.vw.com.br/?adlid=nvl-nvs-imc-dsy-0820-10007&amp;adplt=alp_vw_googleads_imc_dsy_lanch_nd_nc_nvs_nivus-launch-consideracao_na_ontem_cpa_drct_all_1000x250_homenagem-vw_looklike_video-homenagem_nvl-nvs-imc-dsy-0820-10007adchan=[*channel*]&amp;campaign=[*Campaign*]&amp;adgroup=[*Adgroup*]&amp;publisher=[*EngineAccountType*]&amp;adpl=[*EngineAccountType*]&amp;country=BR&amp;format=1000x250&amp;language=BR&amp;adcr=[*searchterm*]</v>
      </c>
      <c r="AQ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" s="22" t="str">
        <f t="shared" si="1"/>
        <v>GoogleAds</v>
      </c>
      <c r="AS10" s="22" t="str">
        <f t="shared" si="2"/>
        <v>Digital-Audio</v>
      </c>
      <c r="AT10" s="22" t="str">
        <f t="shared" si="3"/>
        <v>BR_IMC_DSY_LANCH_ND_NC_2020Q3AUG_NVS_Nivus-Launch-Consideracao</v>
      </c>
      <c r="AU10" s="22" t="str">
        <f t="shared" si="4"/>
        <v>alp_vw_googleads_imc_dsy_lanch_nd_nc_nvs_nivus-launch-consideracao_na_ontem_cpa_drct_all_1000x250_homenagem-vw_looklike_video-homenagem_nvl-nvs-imc-dsy-0820-10007</v>
      </c>
      <c r="AV10" s="22" t="s">
        <v>106</v>
      </c>
      <c r="AW10" s="30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https://www.vw.com.br/?utm_source=GoogleAds&amp;utm_medium=Digital-Audio&amp;utm_content=alp_vw_googleads_imc_dsy_lanch_nd_nc_nvs_nivus-launch-consideracao_na_ontem_cpa_drct_all_1000x250_homenagem-vw_looklike_video-homenagem_nvl-nvs-imc-dsy-0820-10007&amp;utm_campaign=BR_IMC_DSY_LANCH_ND_NC_2020Q3AUG_NVS_Nivus-Launch-Consideracao&amp;utm_term=%epid!_%ecid!_%eaid!</v>
      </c>
      <c r="AX10" s="22" t="str">
        <f t="shared" si="5"/>
        <v>BR_IMC_DSY_LANCH_ND_NC_2020Q3AUG_NVS_Nivus-Launch-Consideracao</v>
      </c>
      <c r="AY10" s="28" t="str">
        <f t="shared" si="6"/>
        <v>alp_vw_googleads_imc_dsy_lanch_nd_nc_nvs_nivus-launch-consideracao_na_ontem_cpa_drct_all_1000x250_homenagem-vw_looklike_video-homenagem_nvl-nvs-imc-dsy-0820-10007</v>
      </c>
      <c r="AZ10" s="22" t="s">
        <v>107</v>
      </c>
      <c r="BA10" s="22" t="s">
        <v>108</v>
      </c>
      <c r="BB10" s="31" t="s">
        <v>109</v>
      </c>
      <c r="BC10" s="31" t="s">
        <v>109</v>
      </c>
      <c r="BD10" s="32" t="str">
        <f t="shared" si="7"/>
        <v>nvl-nvs-imc-dsy-0820-10007</v>
      </c>
      <c r="BE10" s="33"/>
      <c r="BF10" s="33"/>
      <c r="BG10" s="34" t="str">
        <f>URL&amp;IF(ISNUMBER(FIND("?",URL)),"&amp;","?"&amp;("adlid="&amp;Unique_ID&amp;"&amp;adplt="&amp;Placement))</f>
        <v>https://www.vw.com.br/?adlid=nvl-nvs-imc-dsy-0820-10007&amp;adplt=alp_vw_googleads_imc_dsy_lanch_nd_nc_nvs_nivus-launch-consideracao_na_ontem_cpa_drct_all_1000x250_homenagem-vw_looklike_video-homenagem_nvl-nvs-imc-dsy-0820-10007</v>
      </c>
      <c r="BH10" s="1"/>
      <c r="BI10" s="1"/>
      <c r="BJ10" s="35" t="str">
        <f>LOWER("alp"&amp;"_"&amp;"vw"&amp;"_"&amp;Veiculo&amp;"_"&amp;C$4&amp;"_"&amp;Objetivo)</f>
        <v>alp_vw_googleads_imc_dsy_lanch_nd_nc_nvs_nivus-launch-consideracao_na_ontem</v>
      </c>
      <c r="BK10" s="35" t="str">
        <f>LOWER(Buying_Metric&amp;"_"&amp;VLOOKUP(Buying_Type,Buy_type,2,FALSE)&amp;"_"&amp;Device&amp;"_"&amp;Size&amp;"_"&amp;Segmentação&amp;"_"&amp;Segmentação_Anúncio)</f>
        <v>cpa_drct_all_1000x250_homenagem-vw_looklike</v>
      </c>
      <c r="BL10" s="35" t="str">
        <f>LOWER(Campanha_ou_InsertionOrder&amp;"_"&amp;LineItem_ou_Grupodeanúncio&amp;"_"&amp;Linha_criativa_2&amp;"_"&amp;Unique_ID)</f>
        <v>alp_vw_googleads_imc_dsy_lanch_nd_nc_nvs_nivus-launch-consideracao_na_ontem_cpa_drct_all_1000x250_homenagem-vw_looklike_generico_nvl-nvs-imc-dsy-0820-10007</v>
      </c>
      <c r="BM10" s="27"/>
      <c r="BN10" s="27"/>
    </row>
    <row r="11">
      <c r="A11" s="1"/>
      <c r="B11" s="21" t="s">
        <v>121</v>
      </c>
      <c r="C11" s="27"/>
      <c r="D11" s="27"/>
      <c r="E11" s="24">
        <v>43929.0</v>
      </c>
      <c r="F11" s="25">
        <v>43951.0</v>
      </c>
      <c r="G11" s="21" t="s">
        <v>122</v>
      </c>
      <c r="H11" s="26" t="s">
        <v>84</v>
      </c>
      <c r="I11" s="21" t="s">
        <v>85</v>
      </c>
      <c r="J11" s="21" t="s">
        <v>86</v>
      </c>
      <c r="K11" s="21" t="s">
        <v>87</v>
      </c>
      <c r="L11" s="21" t="s">
        <v>88</v>
      </c>
      <c r="M11" s="21" t="s">
        <v>89</v>
      </c>
      <c r="N11" s="21" t="s">
        <v>90</v>
      </c>
      <c r="O11" s="21" t="s">
        <v>91</v>
      </c>
      <c r="P11" s="21" t="s">
        <v>91</v>
      </c>
      <c r="Q11" s="21" t="s">
        <v>92</v>
      </c>
      <c r="R11" s="21" t="s">
        <v>93</v>
      </c>
      <c r="S11" s="21" t="s">
        <v>94</v>
      </c>
      <c r="T11" s="21" t="s">
        <v>123</v>
      </c>
      <c r="U11" s="22" t="s">
        <v>96</v>
      </c>
      <c r="V11" s="21" t="s">
        <v>97</v>
      </c>
      <c r="W11" s="21" t="s">
        <v>98</v>
      </c>
      <c r="X11" s="22" t="s">
        <v>99</v>
      </c>
      <c r="Y11" s="22" t="s">
        <v>100</v>
      </c>
      <c r="Z11" s="22" t="s">
        <v>101</v>
      </c>
      <c r="AA11" s="22" t="s">
        <v>102</v>
      </c>
      <c r="AB11" s="22" t="s">
        <v>103</v>
      </c>
      <c r="AC11" s="21" t="s">
        <v>104</v>
      </c>
      <c r="AD11" s="21" t="s">
        <v>115</v>
      </c>
      <c r="AE11" s="27"/>
      <c r="AF11" s="27"/>
      <c r="AG11" s="27"/>
      <c r="AH11" s="27"/>
      <c r="AI11" s="27"/>
      <c r="AJ11" s="27"/>
      <c r="AK11" s="27"/>
      <c r="AL11" s="27"/>
      <c r="AM11" s="28" t="str">
        <f>LOWER(Campanha_ou_InsertionOrder&amp;"_"&amp;LineItem_ou_Grupodeanúncio&amp;"_"&amp;Linha_Criativa&amp;"_"&amp;Unique_ID)</f>
        <v>alp_vw_icarros_imc_dsy_lanch_nd_nc_nvs_nivus-launch-consideracao_na_ontem_cpa_drct_all_100x100_homenagem-vw_looklike_video-homenagem_nvl-nvs-imc-dsy-0820-10008</v>
      </c>
      <c r="AN11" s="28" t="str">
        <f>LOWER(Campanha_ou_InsertionOrder&amp;"_"&amp;LineItem_ou_Grupodeanúncio&amp;"_"&amp;Linha_Criativa&amp;"_"&amp;Unique_ID)</f>
        <v>alp_vw_icarros_imc_dsy_lanch_nd_nc_nvs_nivus-launch-consideracao_na_ontem_cpa_drct_all_100x100_homenagem-vw_looklike_video-homenagem_nvl-nvs-imc-dsy-0820-10008</v>
      </c>
      <c r="AO11" s="28" t="str">
        <f>LOWER("VW"&amp;"_"&amp;Model_Variant&amp;"_"&amp;Size&amp;"_"&amp;Linha_Criativa&amp;"_"&amp;IF(Servido_Por="portal",Veiculo,"adserver"))</f>
        <v>vw_nivus_100x100_video-homenagem_adserver</v>
      </c>
      <c r="AP11" s="29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https://www.vw.com.br/?utm_source=icarros&amp;utm_medium=Digital-Audio&amp;utm_content=alp_vw_icarros_imc_dsy_lanch_nd_nc_nvs_nivus-launch-consideracao_na_ontem_cpa_drct_all_100x100_homenagem-vw_looklike_video-homenagem_nvl-nvs-imc-dsy-0820-10008&amp;utm_campaign=BR_IMC_DSY_LANCH_ND_NC_2020Q3AUG_NVS_Nivus-Launch-Consideracao&amp;utm_term=%epid!_%ecid!_%eaid!</v>
      </c>
      <c r="AQ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" s="22" t="str">
        <f t="shared" si="1"/>
        <v>icarros</v>
      </c>
      <c r="AS11" s="22" t="str">
        <f t="shared" si="2"/>
        <v>Digital-Audio</v>
      </c>
      <c r="AT11" s="22" t="str">
        <f t="shared" si="3"/>
        <v>BR_IMC_DSY_LANCH_ND_NC_2020Q3AUG_NVS_Nivus-Launch-Consideracao</v>
      </c>
      <c r="AU11" s="22" t="str">
        <f t="shared" si="4"/>
        <v>alp_vw_icarros_imc_dsy_lanch_nd_nc_nvs_nivus-launch-consideracao_na_ontem_cpa_drct_all_100x100_homenagem-vw_looklike_video-homenagem_nvl-nvs-imc-dsy-0820-10008</v>
      </c>
      <c r="AV11" s="22" t="s">
        <v>106</v>
      </c>
      <c r="AW11" s="30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https://www.vw.com.br/?utm_source=icarros&amp;utm_medium=Digital-Audio&amp;utm_content=alp_vw_icarros_imc_dsy_lanch_nd_nc_nvs_nivus-launch-consideracao_na_ontem_cpa_drct_all_100x100_homenagem-vw_looklike_video-homenagem_nvl-nvs-imc-dsy-0820-10008&amp;utm_campaign=BR_IMC_DSY_LANCH_ND_NC_2020Q3AUG_NVS_Nivus-Launch-Consideracao&amp;utm_term=%epid!_%ecid!_%eaid!</v>
      </c>
      <c r="AX11" s="22" t="str">
        <f t="shared" si="5"/>
        <v>BR_IMC_DSY_LANCH_ND_NC_2020Q3AUG_NVS_Nivus-Launch-Consideracao</v>
      </c>
      <c r="AY11" s="28" t="str">
        <f t="shared" si="6"/>
        <v>alp_vw_icarros_imc_dsy_lanch_nd_nc_nvs_nivus-launch-consideracao_na_ontem_cpa_drct_all_100x100_homenagem-vw_looklike_video-homenagem_nvl-nvs-imc-dsy-0820-10008</v>
      </c>
      <c r="AZ11" s="22" t="s">
        <v>107</v>
      </c>
      <c r="BA11" s="22" t="s">
        <v>108</v>
      </c>
      <c r="BB11" s="31" t="s">
        <v>109</v>
      </c>
      <c r="BC11" s="31" t="s">
        <v>109</v>
      </c>
      <c r="BD11" s="32" t="str">
        <f t="shared" si="7"/>
        <v>nvl-nvs-imc-dsy-0820-10008</v>
      </c>
      <c r="BE11" s="33"/>
      <c r="BF11" s="33"/>
      <c r="BG11" s="34" t="str">
        <f>URL&amp;IF(ISNUMBER(FIND("?",URL)),"&amp;","?"&amp;("adlid="&amp;Unique_ID&amp;"&amp;adplt="&amp;Placement))</f>
        <v>https://www.vw.com.br/?adlid=nvl-nvs-imc-dsy-0820-10008&amp;adplt=alp_vw_icarros_imc_dsy_lanch_nd_nc_nvs_nivus-launch-consideracao_na_ontem_cpa_drct_all_100x100_homenagem-vw_looklike_video-homenagem_nvl-nvs-imc-dsy-0820-10008</v>
      </c>
      <c r="BH11" s="1"/>
      <c r="BI11" s="1"/>
      <c r="BJ11" s="35" t="str">
        <f>LOWER("alp"&amp;"_"&amp;"vw"&amp;"_"&amp;Veiculo&amp;"_"&amp;C$4&amp;"_"&amp;Objetivo)</f>
        <v>alp_vw_icarros_imc_dsy_lanch_nd_nc_nvs_nivus-launch-consideracao_na_ontem</v>
      </c>
      <c r="BK11" s="35" t="str">
        <f>LOWER(Buying_Metric&amp;"_"&amp;VLOOKUP(Buying_Type,Buy_type,2,FALSE)&amp;"_"&amp;Device&amp;"_"&amp;Size&amp;"_"&amp;Segmentação&amp;"_"&amp;Segmentação_Anúncio)</f>
        <v>cpa_drct_all_100x100_homenagem-vw_looklike</v>
      </c>
      <c r="BL11" s="35" t="str">
        <f>LOWER(Campanha_ou_InsertionOrder&amp;"_"&amp;LineItem_ou_Grupodeanúncio&amp;"_"&amp;Linha_criativa_2&amp;"_"&amp;Unique_ID)</f>
        <v>alp_vw_icarros_imc_dsy_lanch_nd_nc_nvs_nivus-launch-consideracao_na_ontem_cpa_drct_all_100x100_homenagem-vw_looklike_generico_nvl-nvs-imc-dsy-0820-10008</v>
      </c>
      <c r="BM11" s="27"/>
      <c r="BN11" s="27"/>
    </row>
    <row r="12">
      <c r="A12" s="1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8" t="str">
        <f>LOWER(Campanha_ou_InsertionOrder&amp;"_"&amp;LineItem_ou_Grupodeanúncio&amp;"_"&amp;Linha_Criativa&amp;"_"&amp;Unique_ID)</f>
        <v>#N/A</v>
      </c>
      <c r="AN12" s="28" t="str">
        <f>LOWER(Campanha_ou_InsertionOrder&amp;"_"&amp;LineItem_ou_Grupodeanúncio&amp;"_"&amp;Linha_Criativa&amp;"_"&amp;Unique_ID)</f>
        <v>#N/A</v>
      </c>
      <c r="AO12" s="28" t="str">
        <f>LOWER("VW"&amp;"_"&amp;Model_Variant&amp;"_"&amp;Size&amp;"_"&amp;Linha_Criativa&amp;"_"&amp;IF(Servido_Por="portal",Veiculo,"adserver"))</f>
        <v>vw____adserver</v>
      </c>
      <c r="AP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" s="22" t="str">
        <f t="shared" si="1"/>
        <v/>
      </c>
      <c r="AS12" s="22" t="str">
        <f t="shared" si="2"/>
        <v/>
      </c>
      <c r="AT12" s="22" t="str">
        <f t="shared" si="3"/>
        <v>BR_IMC_DSY_LANCH_ND_NC_2020Q3AUG_NVS_Nivus-Launch-Consideracao</v>
      </c>
      <c r="AU12" s="22" t="str">
        <f t="shared" si="4"/>
        <v>#N/A</v>
      </c>
      <c r="AV12" s="22" t="s">
        <v>106</v>
      </c>
      <c r="AW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" s="22" t="str">
        <f t="shared" si="5"/>
        <v>BR_IMC_DSY_LANCH_ND_NC_2020Q3AUG_NVS_Nivus-Launch-Consideracao</v>
      </c>
      <c r="AY12" s="28" t="str">
        <f t="shared" si="6"/>
        <v>#N/A</v>
      </c>
      <c r="AZ12" s="22" t="s">
        <v>107</v>
      </c>
      <c r="BA12" s="22" t="s">
        <v>108</v>
      </c>
      <c r="BB12" s="31" t="s">
        <v>109</v>
      </c>
      <c r="BC12" s="31" t="s">
        <v>109</v>
      </c>
      <c r="BD12" s="32" t="str">
        <f t="shared" ref="BD12:BD997" si="8">LOWER($C$2&amp;"-"&amp;SUM(10000+ROW(A6)))</f>
        <v>nvl-nvs-imc-dsy-0820-10006</v>
      </c>
      <c r="BE12" s="33"/>
      <c r="BF12" s="33"/>
      <c r="BG12" s="39" t="str">
        <f>URL&amp;IF(ISNUMBER(FIND("?",URL)),"&amp;","?"&amp;("adlid="&amp;Unique_ID&amp;"&amp;adplt="&amp;Placement))</f>
        <v>#N/A</v>
      </c>
      <c r="BH12" s="1"/>
      <c r="BI12" s="1"/>
      <c r="BJ12" s="35" t="str">
        <f>LOWER("alp"&amp;"_"&amp;"vw"&amp;"_"&amp;Veiculo&amp;"_"&amp;C8&amp;"_"&amp;Objetivo)</f>
        <v>alp_vw___</v>
      </c>
      <c r="BK12" s="35" t="str">
        <f>LOWER(Buying_Metric&amp;"_"&amp;VLOOKUP(Buying_Type,Buy_type,2,FALSE)&amp;"_"&amp;Device&amp;"_"&amp;Size&amp;"_"&amp;Segmentação&amp;"_"&amp;Segmentação_Anúncio)</f>
        <v>#N/A</v>
      </c>
      <c r="BL12" s="35" t="str">
        <f>LOWER(Campanha_ou_InsertionOrder&amp;"_"&amp;LineItem_ou_Grupodeanúncio&amp;"_"&amp;Linha_criativa_2&amp;"_"&amp;Unique_ID)</f>
        <v>#N/A</v>
      </c>
      <c r="BM12" s="27"/>
      <c r="BN12" s="27"/>
    </row>
    <row r="13">
      <c r="A13" s="1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8" t="str">
        <f>LOWER(Campanha_ou_InsertionOrder&amp;"_"&amp;LineItem_ou_Grupodeanúncio&amp;"_"&amp;Linha_Criativa&amp;"_"&amp;Unique_ID)</f>
        <v>#N/A</v>
      </c>
      <c r="AN13" s="28" t="str">
        <f>LOWER(Campanha_ou_InsertionOrder&amp;"_"&amp;LineItem_ou_Grupodeanúncio&amp;"_"&amp;Linha_Criativa&amp;"_"&amp;Unique_ID)</f>
        <v>#N/A</v>
      </c>
      <c r="AO13" s="28" t="str">
        <f>LOWER("VW"&amp;"_"&amp;Model_Variant&amp;"_"&amp;Size&amp;"_"&amp;Linha_Criativa&amp;"_"&amp;IF(Servido_Por="portal",Veiculo,"adserver"))</f>
        <v>vw____adserver</v>
      </c>
      <c r="AP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" s="22" t="str">
        <f t="shared" si="1"/>
        <v/>
      </c>
      <c r="AS13" s="22" t="str">
        <f t="shared" si="2"/>
        <v/>
      </c>
      <c r="AT13" s="22" t="str">
        <f t="shared" si="3"/>
        <v>BR_IMC_DSY_LANCH_ND_NC_2020Q3AUG_NVS_Nivus-Launch-Consideracao</v>
      </c>
      <c r="AU13" s="22" t="str">
        <f t="shared" si="4"/>
        <v>#N/A</v>
      </c>
      <c r="AV13" s="22" t="s">
        <v>106</v>
      </c>
      <c r="AW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" s="22" t="str">
        <f t="shared" si="5"/>
        <v>BR_IMC_DSY_LANCH_ND_NC_2020Q3AUG_NVS_Nivus-Launch-Consideracao</v>
      </c>
      <c r="AY13" s="28" t="str">
        <f t="shared" si="6"/>
        <v>#N/A</v>
      </c>
      <c r="AZ13" s="22" t="s">
        <v>107</v>
      </c>
      <c r="BA13" s="22" t="s">
        <v>108</v>
      </c>
      <c r="BB13" s="31" t="s">
        <v>109</v>
      </c>
      <c r="BC13" s="31" t="s">
        <v>109</v>
      </c>
      <c r="BD13" s="32" t="str">
        <f t="shared" si="8"/>
        <v>nvl-nvs-imc-dsy-0820-10007</v>
      </c>
      <c r="BE13" s="33"/>
      <c r="BF13" s="33"/>
      <c r="BG13" s="39" t="str">
        <f>URL&amp;IF(ISNUMBER(FIND("?",URL)),"&amp;","?"&amp;("adlid="&amp;Unique_ID&amp;"&amp;adplt="&amp;Placement))</f>
        <v>#N/A</v>
      </c>
      <c r="BH13" s="1"/>
      <c r="BI13" s="1"/>
      <c r="BJ13" s="35" t="str">
        <f>LOWER("alp"&amp;"_"&amp;"vw"&amp;"_"&amp;Veiculo&amp;"_"&amp;C9&amp;"_"&amp;Objetivo)</f>
        <v>alp_vw___</v>
      </c>
      <c r="BK13" s="35" t="str">
        <f>LOWER(Buying_Metric&amp;"_"&amp;VLOOKUP(Buying_Type,Buy_type,2,FALSE)&amp;"_"&amp;Device&amp;"_"&amp;Size&amp;"_"&amp;Segmentação&amp;"_"&amp;Segmentação_Anúncio)</f>
        <v>#N/A</v>
      </c>
      <c r="BL13" s="35" t="str">
        <f>LOWER(Campanha_ou_InsertionOrder&amp;"_"&amp;LineItem_ou_Grupodeanúncio&amp;"_"&amp;Linha_criativa_2&amp;"_"&amp;Unique_ID)</f>
        <v>#N/A</v>
      </c>
      <c r="BM13" s="27"/>
      <c r="BN13" s="27"/>
    </row>
    <row r="14">
      <c r="A14" s="1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8" t="str">
        <f>LOWER(Campanha_ou_InsertionOrder&amp;"_"&amp;LineItem_ou_Grupodeanúncio&amp;"_"&amp;Linha_Criativa&amp;"_"&amp;Unique_ID)</f>
        <v>#N/A</v>
      </c>
      <c r="AN14" s="28" t="str">
        <f>LOWER(Campanha_ou_InsertionOrder&amp;"_"&amp;LineItem_ou_Grupodeanúncio&amp;"_"&amp;Linha_Criativa&amp;"_"&amp;Unique_ID)</f>
        <v>#N/A</v>
      </c>
      <c r="AO14" s="28" t="str">
        <f>LOWER("VW"&amp;"_"&amp;Model_Variant&amp;"_"&amp;Size&amp;"_"&amp;Linha_Criativa&amp;"_"&amp;IF(Servido_Por="portal",Veiculo,"adserver"))</f>
        <v>vw____adserver</v>
      </c>
      <c r="AP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" s="22" t="str">
        <f t="shared" si="1"/>
        <v/>
      </c>
      <c r="AS14" s="22" t="str">
        <f t="shared" si="2"/>
        <v/>
      </c>
      <c r="AT14" s="22" t="str">
        <f t="shared" si="3"/>
        <v>BR_IMC_DSY_LANCH_ND_NC_2020Q3AUG_NVS_Nivus-Launch-Consideracao</v>
      </c>
      <c r="AU14" s="22" t="str">
        <f t="shared" si="4"/>
        <v>#N/A</v>
      </c>
      <c r="AV14" s="22" t="s">
        <v>106</v>
      </c>
      <c r="AW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" s="22" t="str">
        <f t="shared" si="5"/>
        <v>BR_IMC_DSY_LANCH_ND_NC_2020Q3AUG_NVS_Nivus-Launch-Consideracao</v>
      </c>
      <c r="AY14" s="28" t="str">
        <f t="shared" si="6"/>
        <v>#N/A</v>
      </c>
      <c r="AZ14" s="22" t="s">
        <v>107</v>
      </c>
      <c r="BA14" s="22" t="s">
        <v>108</v>
      </c>
      <c r="BB14" s="31" t="s">
        <v>109</v>
      </c>
      <c r="BC14" s="31" t="s">
        <v>109</v>
      </c>
      <c r="BD14" s="32" t="str">
        <f t="shared" si="8"/>
        <v>nvl-nvs-imc-dsy-0820-10008</v>
      </c>
      <c r="BE14" s="33"/>
      <c r="BF14" s="33"/>
      <c r="BG14" s="39" t="str">
        <f>URL&amp;IF(ISNUMBER(FIND("?",URL)),"&amp;","?"&amp;("adlid="&amp;Unique_ID&amp;"&amp;adplt="&amp;Placement))</f>
        <v>#N/A</v>
      </c>
      <c r="BH14" s="1"/>
      <c r="BI14" s="1"/>
      <c r="BJ14" s="35" t="str">
        <f>LOWER("alp"&amp;"_"&amp;"vw"&amp;"_"&amp;Veiculo&amp;"_"&amp;C10&amp;"_"&amp;Objetivo)</f>
        <v>alp_vw___</v>
      </c>
      <c r="BK14" s="35" t="str">
        <f>LOWER(Buying_Metric&amp;"_"&amp;VLOOKUP(Buying_Type,Buy_type,2,FALSE)&amp;"_"&amp;Device&amp;"_"&amp;Size&amp;"_"&amp;Segmentação&amp;"_"&amp;Segmentação_Anúncio)</f>
        <v>#N/A</v>
      </c>
      <c r="BL14" s="35" t="str">
        <f>LOWER(Campanha_ou_InsertionOrder&amp;"_"&amp;LineItem_ou_Grupodeanúncio&amp;"_"&amp;Linha_criativa_2&amp;"_"&amp;Unique_ID)</f>
        <v>#N/A</v>
      </c>
      <c r="BM14" s="27"/>
      <c r="BN14" s="27"/>
    </row>
    <row r="15">
      <c r="A15" s="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8" t="str">
        <f>LOWER(Campanha_ou_InsertionOrder&amp;"_"&amp;LineItem_ou_Grupodeanúncio&amp;"_"&amp;Linha_Criativa&amp;"_"&amp;Unique_ID)</f>
        <v>#N/A</v>
      </c>
      <c r="AN15" s="28" t="str">
        <f>LOWER(Campanha_ou_InsertionOrder&amp;"_"&amp;LineItem_ou_Grupodeanúncio&amp;"_"&amp;Linha_Criativa&amp;"_"&amp;Unique_ID)</f>
        <v>#N/A</v>
      </c>
      <c r="AO15" s="28" t="str">
        <f>LOWER("VW"&amp;"_"&amp;Model_Variant&amp;"_"&amp;Size&amp;"_"&amp;Linha_Criativa&amp;"_"&amp;IF(Servido_Por="portal",Veiculo,"adserver"))</f>
        <v>vw____adserver</v>
      </c>
      <c r="AP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" s="22" t="str">
        <f t="shared" si="1"/>
        <v/>
      </c>
      <c r="AS15" s="22" t="str">
        <f t="shared" si="2"/>
        <v/>
      </c>
      <c r="AT15" s="22" t="str">
        <f t="shared" si="3"/>
        <v>BR_IMC_DSY_LANCH_ND_NC_2020Q3AUG_NVS_Nivus-Launch-Consideracao</v>
      </c>
      <c r="AU15" s="22" t="str">
        <f t="shared" si="4"/>
        <v>#N/A</v>
      </c>
      <c r="AV15" s="22" t="s">
        <v>106</v>
      </c>
      <c r="AW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" s="22" t="str">
        <f t="shared" si="5"/>
        <v>BR_IMC_DSY_LANCH_ND_NC_2020Q3AUG_NVS_Nivus-Launch-Consideracao</v>
      </c>
      <c r="AY15" s="28" t="str">
        <f t="shared" si="6"/>
        <v>#N/A</v>
      </c>
      <c r="AZ15" s="22" t="s">
        <v>107</v>
      </c>
      <c r="BA15" s="22" t="s">
        <v>108</v>
      </c>
      <c r="BB15" s="31" t="s">
        <v>109</v>
      </c>
      <c r="BC15" s="31" t="s">
        <v>109</v>
      </c>
      <c r="BD15" s="32" t="str">
        <f t="shared" si="8"/>
        <v>nvl-nvs-imc-dsy-0820-10009</v>
      </c>
      <c r="BE15" s="33"/>
      <c r="BF15" s="33"/>
      <c r="BG15" s="39" t="str">
        <f>URL&amp;IF(ISNUMBER(FIND("?",URL)),"&amp;","?"&amp;("adlid="&amp;Unique_ID&amp;"&amp;adplt="&amp;Placement))</f>
        <v>#N/A</v>
      </c>
      <c r="BH15" s="1"/>
      <c r="BI15" s="1"/>
      <c r="BJ15" s="35" t="str">
        <f>LOWER("alp"&amp;"_"&amp;"vw"&amp;"_"&amp;Veiculo&amp;"_"&amp;C11&amp;"_"&amp;Objetivo)</f>
        <v>alp_vw___</v>
      </c>
      <c r="BK15" s="35" t="str">
        <f>LOWER(Buying_Metric&amp;"_"&amp;VLOOKUP(Buying_Type,Buy_type,2,FALSE)&amp;"_"&amp;Device&amp;"_"&amp;Size&amp;"_"&amp;Segmentação&amp;"_"&amp;Segmentação_Anúncio)</f>
        <v>#N/A</v>
      </c>
      <c r="BL15" s="35" t="str">
        <f>LOWER(Campanha_ou_InsertionOrder&amp;"_"&amp;LineItem_ou_Grupodeanúncio&amp;"_"&amp;Linha_criativa_2&amp;"_"&amp;Unique_ID)</f>
        <v>#N/A</v>
      </c>
      <c r="BM15" s="27"/>
      <c r="BN15" s="27"/>
    </row>
    <row r="16">
      <c r="A16" s="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8" t="str">
        <f>LOWER(Campanha_ou_InsertionOrder&amp;"_"&amp;LineItem_ou_Grupodeanúncio&amp;"_"&amp;Linha_Criativa&amp;"_"&amp;Unique_ID)</f>
        <v>#N/A</v>
      </c>
      <c r="AN16" s="28" t="str">
        <f>LOWER(Campanha_ou_InsertionOrder&amp;"_"&amp;LineItem_ou_Grupodeanúncio&amp;"_"&amp;Linha_Criativa&amp;"_"&amp;Unique_ID)</f>
        <v>#N/A</v>
      </c>
      <c r="AO16" s="28" t="str">
        <f>LOWER("VW"&amp;"_"&amp;Model_Variant&amp;"_"&amp;Size&amp;"_"&amp;Linha_Criativa&amp;"_"&amp;IF(Servido_Por="portal",Veiculo,"adserver"))</f>
        <v>vw____adserver</v>
      </c>
      <c r="AP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" s="22" t="str">
        <f t="shared" si="1"/>
        <v/>
      </c>
      <c r="AS16" s="22" t="str">
        <f t="shared" si="2"/>
        <v/>
      </c>
      <c r="AT16" s="22" t="str">
        <f t="shared" si="3"/>
        <v>BR_IMC_DSY_LANCH_ND_NC_2020Q3AUG_NVS_Nivus-Launch-Consideracao</v>
      </c>
      <c r="AU16" s="22" t="str">
        <f t="shared" si="4"/>
        <v>#N/A</v>
      </c>
      <c r="AV16" s="22" t="s">
        <v>106</v>
      </c>
      <c r="AW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" s="22" t="str">
        <f t="shared" si="5"/>
        <v>BR_IMC_DSY_LANCH_ND_NC_2020Q3AUG_NVS_Nivus-Launch-Consideracao</v>
      </c>
      <c r="AY16" s="28" t="str">
        <f t="shared" si="6"/>
        <v>#N/A</v>
      </c>
      <c r="AZ16" s="22" t="s">
        <v>107</v>
      </c>
      <c r="BA16" s="22" t="s">
        <v>108</v>
      </c>
      <c r="BB16" s="31" t="s">
        <v>109</v>
      </c>
      <c r="BC16" s="31" t="s">
        <v>109</v>
      </c>
      <c r="BD16" s="32" t="str">
        <f t="shared" si="8"/>
        <v>nvl-nvs-imc-dsy-0820-10010</v>
      </c>
      <c r="BE16" s="33"/>
      <c r="BF16" s="33"/>
      <c r="BG16" s="39" t="str">
        <f>URL&amp;IF(ISNUMBER(FIND("?",URL)),"&amp;","?"&amp;("adlid="&amp;Unique_ID&amp;"&amp;adplt="&amp;Placement))</f>
        <v>#N/A</v>
      </c>
      <c r="BH16" s="1"/>
      <c r="BI16" s="1"/>
      <c r="BJ16" s="35" t="str">
        <f>LOWER("alp"&amp;"_"&amp;"vw"&amp;"_"&amp;Veiculo&amp;"_"&amp;C12&amp;"_"&amp;Objetivo)</f>
        <v>alp_vw___</v>
      </c>
      <c r="BK16" s="35" t="str">
        <f>LOWER(Buying_Metric&amp;"_"&amp;VLOOKUP(Buying_Type,Buy_type,2,FALSE)&amp;"_"&amp;Device&amp;"_"&amp;Size&amp;"_"&amp;Segmentação&amp;"_"&amp;Segmentação_Anúncio)</f>
        <v>#N/A</v>
      </c>
      <c r="BL16" s="35" t="str">
        <f>LOWER(Campanha_ou_InsertionOrder&amp;"_"&amp;LineItem_ou_Grupodeanúncio&amp;"_"&amp;Linha_criativa_2&amp;"_"&amp;Unique_ID)</f>
        <v>#N/A</v>
      </c>
      <c r="BM16" s="27"/>
      <c r="BN16" s="27"/>
    </row>
    <row r="17">
      <c r="A17" s="1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8" t="str">
        <f>LOWER(Campanha_ou_InsertionOrder&amp;"_"&amp;LineItem_ou_Grupodeanúncio&amp;"_"&amp;Linha_Criativa&amp;"_"&amp;Unique_ID)</f>
        <v>#N/A</v>
      </c>
      <c r="AN17" s="28" t="str">
        <f>LOWER(Campanha_ou_InsertionOrder&amp;"_"&amp;LineItem_ou_Grupodeanúncio&amp;"_"&amp;Linha_Criativa&amp;"_"&amp;Unique_ID)</f>
        <v>#N/A</v>
      </c>
      <c r="AO17" s="28" t="str">
        <f>LOWER("VW"&amp;"_"&amp;Model_Variant&amp;"_"&amp;Size&amp;"_"&amp;Linha_Criativa&amp;"_"&amp;IF(Servido_Por="portal",Veiculo,"adserver"))</f>
        <v>vw____adserver</v>
      </c>
      <c r="AP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" s="22" t="str">
        <f t="shared" si="1"/>
        <v/>
      </c>
      <c r="AS17" s="22" t="str">
        <f t="shared" si="2"/>
        <v/>
      </c>
      <c r="AT17" s="22" t="str">
        <f t="shared" si="3"/>
        <v>BR_IMC_DSY_LANCH_ND_NC_2020Q3AUG_NVS_Nivus-Launch-Consideracao</v>
      </c>
      <c r="AU17" s="22" t="str">
        <f t="shared" si="4"/>
        <v>#N/A</v>
      </c>
      <c r="AV17" s="22" t="s">
        <v>106</v>
      </c>
      <c r="AW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" s="22" t="str">
        <f t="shared" si="5"/>
        <v>BR_IMC_DSY_LANCH_ND_NC_2020Q3AUG_NVS_Nivus-Launch-Consideracao</v>
      </c>
      <c r="AY17" s="28" t="str">
        <f t="shared" si="6"/>
        <v>#N/A</v>
      </c>
      <c r="AZ17" s="22" t="s">
        <v>107</v>
      </c>
      <c r="BA17" s="22" t="s">
        <v>108</v>
      </c>
      <c r="BB17" s="31" t="s">
        <v>109</v>
      </c>
      <c r="BC17" s="31" t="s">
        <v>109</v>
      </c>
      <c r="BD17" s="32" t="str">
        <f t="shared" si="8"/>
        <v>nvl-nvs-imc-dsy-0820-10011</v>
      </c>
      <c r="BE17" s="33"/>
      <c r="BF17" s="33"/>
      <c r="BG17" s="39" t="str">
        <f>URL&amp;IF(ISNUMBER(FIND("?",URL)),"&amp;","?"&amp;("adlid="&amp;Unique_ID&amp;"&amp;adplt="&amp;Placement))</f>
        <v>#N/A</v>
      </c>
      <c r="BH17" s="1"/>
      <c r="BI17" s="1"/>
      <c r="BJ17" s="35" t="str">
        <f>LOWER("alp"&amp;"_"&amp;"vw"&amp;"_"&amp;Veiculo&amp;"_"&amp;C13&amp;"_"&amp;Objetivo)</f>
        <v>alp_vw___</v>
      </c>
      <c r="BK17" s="35" t="str">
        <f>LOWER(Buying_Metric&amp;"_"&amp;VLOOKUP(Buying_Type,Buy_type,2,FALSE)&amp;"_"&amp;Device&amp;"_"&amp;Size&amp;"_"&amp;Segmentação&amp;"_"&amp;Segmentação_Anúncio)</f>
        <v>#N/A</v>
      </c>
      <c r="BL17" s="35" t="str">
        <f>LOWER(Campanha_ou_InsertionOrder&amp;"_"&amp;LineItem_ou_Grupodeanúncio&amp;"_"&amp;Linha_criativa_2&amp;"_"&amp;Unique_ID)</f>
        <v>#N/A</v>
      </c>
      <c r="BM17" s="27"/>
      <c r="BN17" s="27"/>
    </row>
    <row r="18">
      <c r="A18" s="1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8" t="str">
        <f>LOWER(Campanha_ou_InsertionOrder&amp;"_"&amp;LineItem_ou_Grupodeanúncio&amp;"_"&amp;Linha_Criativa&amp;"_"&amp;Unique_ID)</f>
        <v>#N/A</v>
      </c>
      <c r="AN18" s="28" t="str">
        <f>LOWER(Campanha_ou_InsertionOrder&amp;"_"&amp;LineItem_ou_Grupodeanúncio&amp;"_"&amp;Linha_Criativa&amp;"_"&amp;Unique_ID)</f>
        <v>#N/A</v>
      </c>
      <c r="AO18" s="28" t="str">
        <f>LOWER("VW"&amp;"_"&amp;Model_Variant&amp;"_"&amp;Size&amp;"_"&amp;Linha_Criativa&amp;"_"&amp;IF(Servido_Por="portal",Veiculo,"adserver"))</f>
        <v>vw____adserver</v>
      </c>
      <c r="AP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" s="22" t="str">
        <f t="shared" si="1"/>
        <v/>
      </c>
      <c r="AS18" s="22" t="str">
        <f t="shared" si="2"/>
        <v/>
      </c>
      <c r="AT18" s="22" t="str">
        <f t="shared" si="3"/>
        <v>BR_IMC_DSY_LANCH_ND_NC_2020Q3AUG_NVS_Nivus-Launch-Consideracao</v>
      </c>
      <c r="AU18" s="22" t="str">
        <f t="shared" si="4"/>
        <v>#N/A</v>
      </c>
      <c r="AV18" s="22" t="s">
        <v>106</v>
      </c>
      <c r="AW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" s="22" t="str">
        <f t="shared" si="5"/>
        <v>BR_IMC_DSY_LANCH_ND_NC_2020Q3AUG_NVS_Nivus-Launch-Consideracao</v>
      </c>
      <c r="AY18" s="28" t="str">
        <f t="shared" si="6"/>
        <v>#N/A</v>
      </c>
      <c r="AZ18" s="22" t="s">
        <v>107</v>
      </c>
      <c r="BA18" s="22" t="s">
        <v>108</v>
      </c>
      <c r="BB18" s="31" t="s">
        <v>109</v>
      </c>
      <c r="BC18" s="31" t="s">
        <v>109</v>
      </c>
      <c r="BD18" s="32" t="str">
        <f t="shared" si="8"/>
        <v>nvl-nvs-imc-dsy-0820-10012</v>
      </c>
      <c r="BE18" s="33"/>
      <c r="BF18" s="33"/>
      <c r="BG18" s="39" t="str">
        <f>URL&amp;IF(ISNUMBER(FIND("?",URL)),"&amp;","?"&amp;("adlid="&amp;Unique_ID&amp;"&amp;adplt="&amp;Placement))</f>
        <v>#N/A</v>
      </c>
      <c r="BH18" s="1"/>
      <c r="BI18" s="1"/>
      <c r="BJ18" s="35" t="str">
        <f>LOWER("alp"&amp;"_"&amp;"vw"&amp;"_"&amp;Veiculo&amp;"_"&amp;C14&amp;"_"&amp;Objetivo)</f>
        <v>alp_vw___</v>
      </c>
      <c r="BK18" s="35" t="str">
        <f>LOWER(Buying_Metric&amp;"_"&amp;VLOOKUP(Buying_Type,Buy_type,2,FALSE)&amp;"_"&amp;Device&amp;"_"&amp;Size&amp;"_"&amp;Segmentação&amp;"_"&amp;Segmentação_Anúncio)</f>
        <v>#N/A</v>
      </c>
      <c r="BL18" s="35" t="str">
        <f>LOWER(Campanha_ou_InsertionOrder&amp;"_"&amp;LineItem_ou_Grupodeanúncio&amp;"_"&amp;Linha_criativa_2&amp;"_"&amp;Unique_ID)</f>
        <v>#N/A</v>
      </c>
      <c r="BM18" s="27"/>
      <c r="BN18" s="27"/>
    </row>
    <row r="19">
      <c r="A19" s="1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8" t="str">
        <f>LOWER(Campanha_ou_InsertionOrder&amp;"_"&amp;LineItem_ou_Grupodeanúncio&amp;"_"&amp;Linha_Criativa&amp;"_"&amp;Unique_ID)</f>
        <v>#N/A</v>
      </c>
      <c r="AN19" s="28" t="str">
        <f>LOWER(Campanha_ou_InsertionOrder&amp;"_"&amp;LineItem_ou_Grupodeanúncio&amp;"_"&amp;Linha_Criativa&amp;"_"&amp;Unique_ID)</f>
        <v>#N/A</v>
      </c>
      <c r="AO19" s="28" t="str">
        <f>LOWER("VW"&amp;"_"&amp;Model_Variant&amp;"_"&amp;Size&amp;"_"&amp;Linha_Criativa&amp;"_"&amp;IF(Servido_Por="portal",Veiculo,"adserver"))</f>
        <v>vw____adserver</v>
      </c>
      <c r="AP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" s="22" t="str">
        <f t="shared" si="1"/>
        <v/>
      </c>
      <c r="AS19" s="22" t="str">
        <f t="shared" si="2"/>
        <v/>
      </c>
      <c r="AT19" s="22" t="str">
        <f t="shared" si="3"/>
        <v>BR_IMC_DSY_LANCH_ND_NC_2020Q3AUG_NVS_Nivus-Launch-Consideracao</v>
      </c>
      <c r="AU19" s="22" t="str">
        <f t="shared" si="4"/>
        <v>#N/A</v>
      </c>
      <c r="AV19" s="22" t="s">
        <v>106</v>
      </c>
      <c r="AW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" s="22" t="str">
        <f t="shared" si="5"/>
        <v>BR_IMC_DSY_LANCH_ND_NC_2020Q3AUG_NVS_Nivus-Launch-Consideracao</v>
      </c>
      <c r="AY19" s="28" t="str">
        <f t="shared" si="6"/>
        <v>#N/A</v>
      </c>
      <c r="AZ19" s="22" t="s">
        <v>107</v>
      </c>
      <c r="BA19" s="22" t="s">
        <v>108</v>
      </c>
      <c r="BB19" s="31" t="s">
        <v>109</v>
      </c>
      <c r="BC19" s="31" t="s">
        <v>109</v>
      </c>
      <c r="BD19" s="32" t="str">
        <f t="shared" si="8"/>
        <v>nvl-nvs-imc-dsy-0820-10013</v>
      </c>
      <c r="BE19" s="33"/>
      <c r="BF19" s="33"/>
      <c r="BG19" s="39" t="str">
        <f>URL&amp;IF(ISNUMBER(FIND("?",URL)),"&amp;","?"&amp;("adlid="&amp;Unique_ID&amp;"&amp;adplt="&amp;Placement))</f>
        <v>#N/A</v>
      </c>
      <c r="BH19" s="1"/>
      <c r="BI19" s="1"/>
      <c r="BJ19" s="35" t="str">
        <f>LOWER("alp"&amp;"_"&amp;"vw"&amp;"_"&amp;Veiculo&amp;"_"&amp;C15&amp;"_"&amp;Objetivo)</f>
        <v>alp_vw___</v>
      </c>
      <c r="BK19" s="35" t="str">
        <f>LOWER(Buying_Metric&amp;"_"&amp;VLOOKUP(Buying_Type,Buy_type,2,FALSE)&amp;"_"&amp;Device&amp;"_"&amp;Size&amp;"_"&amp;Segmentação&amp;"_"&amp;Segmentação_Anúncio)</f>
        <v>#N/A</v>
      </c>
      <c r="BL19" s="35" t="str">
        <f>LOWER(Campanha_ou_InsertionOrder&amp;"_"&amp;LineItem_ou_Grupodeanúncio&amp;"_"&amp;Linha_criativa_2&amp;"_"&amp;Unique_ID)</f>
        <v>#N/A</v>
      </c>
      <c r="BM19" s="27"/>
      <c r="BN19" s="27"/>
    </row>
    <row r="20">
      <c r="A20" s="1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8" t="str">
        <f>LOWER(Campanha_ou_InsertionOrder&amp;"_"&amp;LineItem_ou_Grupodeanúncio&amp;"_"&amp;Linha_Criativa&amp;"_"&amp;Unique_ID)</f>
        <v>#N/A</v>
      </c>
      <c r="AN20" s="28" t="str">
        <f>LOWER(Campanha_ou_InsertionOrder&amp;"_"&amp;LineItem_ou_Grupodeanúncio&amp;"_"&amp;Linha_Criativa&amp;"_"&amp;Unique_ID)</f>
        <v>#N/A</v>
      </c>
      <c r="AO20" s="28" t="str">
        <f>LOWER("VW"&amp;"_"&amp;Model_Variant&amp;"_"&amp;Size&amp;"_"&amp;Linha_Criativa&amp;"_"&amp;IF(Servido_Por="portal",Veiculo,"adserver"))</f>
        <v>vw____adserver</v>
      </c>
      <c r="AP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" s="22" t="str">
        <f t="shared" si="1"/>
        <v/>
      </c>
      <c r="AS20" s="22" t="str">
        <f t="shared" si="2"/>
        <v/>
      </c>
      <c r="AT20" s="22" t="str">
        <f t="shared" si="3"/>
        <v>BR_IMC_DSY_LANCH_ND_NC_2020Q3AUG_NVS_Nivus-Launch-Consideracao</v>
      </c>
      <c r="AU20" s="22" t="str">
        <f t="shared" si="4"/>
        <v>#N/A</v>
      </c>
      <c r="AV20" s="22" t="s">
        <v>106</v>
      </c>
      <c r="AW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" s="22" t="str">
        <f t="shared" si="5"/>
        <v>BR_IMC_DSY_LANCH_ND_NC_2020Q3AUG_NVS_Nivus-Launch-Consideracao</v>
      </c>
      <c r="AY20" s="28" t="str">
        <f t="shared" si="6"/>
        <v>#N/A</v>
      </c>
      <c r="AZ20" s="22" t="s">
        <v>107</v>
      </c>
      <c r="BA20" s="22" t="s">
        <v>108</v>
      </c>
      <c r="BB20" s="31" t="s">
        <v>109</v>
      </c>
      <c r="BC20" s="31" t="s">
        <v>109</v>
      </c>
      <c r="BD20" s="32" t="str">
        <f t="shared" si="8"/>
        <v>nvl-nvs-imc-dsy-0820-10014</v>
      </c>
      <c r="BE20" s="33"/>
      <c r="BF20" s="33"/>
      <c r="BG20" s="39" t="str">
        <f>URL&amp;IF(ISNUMBER(FIND("?",URL)),"&amp;","?"&amp;("adlid="&amp;Unique_ID&amp;"&amp;adplt="&amp;Placement))</f>
        <v>#N/A</v>
      </c>
      <c r="BH20" s="1"/>
      <c r="BI20" s="1"/>
      <c r="BJ20" s="35" t="str">
        <f>LOWER("alp"&amp;"_"&amp;"vw"&amp;"_"&amp;Veiculo&amp;"_"&amp;C16&amp;"_"&amp;Objetivo)</f>
        <v>alp_vw___</v>
      </c>
      <c r="BK20" s="35" t="str">
        <f>LOWER(Buying_Metric&amp;"_"&amp;VLOOKUP(Buying_Type,Buy_type,2,FALSE)&amp;"_"&amp;Device&amp;"_"&amp;Size&amp;"_"&amp;Segmentação&amp;"_"&amp;Segmentação_Anúncio)</f>
        <v>#N/A</v>
      </c>
      <c r="BL20" s="35" t="str">
        <f>LOWER(Campanha_ou_InsertionOrder&amp;"_"&amp;LineItem_ou_Grupodeanúncio&amp;"_"&amp;Linha_criativa_2&amp;"_"&amp;Unique_ID)</f>
        <v>#N/A</v>
      </c>
      <c r="BM20" s="27"/>
      <c r="BN20" s="27"/>
    </row>
    <row r="21">
      <c r="A21" s="1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8" t="str">
        <f>LOWER(Campanha_ou_InsertionOrder&amp;"_"&amp;LineItem_ou_Grupodeanúncio&amp;"_"&amp;Linha_Criativa&amp;"_"&amp;Unique_ID)</f>
        <v>#N/A</v>
      </c>
      <c r="AN21" s="28" t="str">
        <f>LOWER(Campanha_ou_InsertionOrder&amp;"_"&amp;LineItem_ou_Grupodeanúncio&amp;"_"&amp;Linha_Criativa&amp;"_"&amp;Unique_ID)</f>
        <v>#N/A</v>
      </c>
      <c r="AO21" s="28" t="str">
        <f>LOWER("VW"&amp;"_"&amp;Model_Variant&amp;"_"&amp;Size&amp;"_"&amp;Linha_Criativa&amp;"_"&amp;IF(Servido_Por="portal",Veiculo,"adserver"))</f>
        <v>vw____adserver</v>
      </c>
      <c r="AP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" s="22" t="str">
        <f t="shared" si="1"/>
        <v/>
      </c>
      <c r="AS21" s="22" t="str">
        <f t="shared" si="2"/>
        <v/>
      </c>
      <c r="AT21" s="22" t="str">
        <f t="shared" si="3"/>
        <v>BR_IMC_DSY_LANCH_ND_NC_2020Q3AUG_NVS_Nivus-Launch-Consideracao</v>
      </c>
      <c r="AU21" s="22" t="str">
        <f t="shared" si="4"/>
        <v>#N/A</v>
      </c>
      <c r="AV21" s="22" t="s">
        <v>106</v>
      </c>
      <c r="AW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" s="22" t="str">
        <f t="shared" si="5"/>
        <v>BR_IMC_DSY_LANCH_ND_NC_2020Q3AUG_NVS_Nivus-Launch-Consideracao</v>
      </c>
      <c r="AY21" s="28" t="str">
        <f t="shared" si="6"/>
        <v>#N/A</v>
      </c>
      <c r="AZ21" s="22" t="s">
        <v>107</v>
      </c>
      <c r="BA21" s="22" t="s">
        <v>108</v>
      </c>
      <c r="BB21" s="31" t="s">
        <v>109</v>
      </c>
      <c r="BC21" s="31" t="s">
        <v>109</v>
      </c>
      <c r="BD21" s="32" t="str">
        <f t="shared" si="8"/>
        <v>nvl-nvs-imc-dsy-0820-10015</v>
      </c>
      <c r="BE21" s="33"/>
      <c r="BF21" s="33"/>
      <c r="BG21" s="39" t="str">
        <f>URL&amp;IF(ISNUMBER(FIND("?",URL)),"&amp;","?"&amp;("adlid="&amp;Unique_ID&amp;"&amp;adplt="&amp;Placement))</f>
        <v>#N/A</v>
      </c>
      <c r="BH21" s="1"/>
      <c r="BI21" s="1"/>
      <c r="BJ21" s="35" t="str">
        <f>LOWER("alp"&amp;"_"&amp;"vw"&amp;"_"&amp;Veiculo&amp;"_"&amp;C17&amp;"_"&amp;Objetivo)</f>
        <v>alp_vw___</v>
      </c>
      <c r="BK21" s="35" t="str">
        <f>LOWER(Buying_Metric&amp;"_"&amp;VLOOKUP(Buying_Type,Buy_type,2,FALSE)&amp;"_"&amp;Device&amp;"_"&amp;Size&amp;"_"&amp;Segmentação&amp;"_"&amp;Segmentação_Anúncio)</f>
        <v>#N/A</v>
      </c>
      <c r="BL21" s="35" t="str">
        <f>LOWER(Campanha_ou_InsertionOrder&amp;"_"&amp;LineItem_ou_Grupodeanúncio&amp;"_"&amp;Linha_criativa_2&amp;"_"&amp;Unique_ID)</f>
        <v>#N/A</v>
      </c>
      <c r="BM21" s="27"/>
      <c r="BN21" s="27"/>
    </row>
    <row r="22">
      <c r="A22" s="1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8" t="str">
        <f>LOWER(Campanha_ou_InsertionOrder&amp;"_"&amp;LineItem_ou_Grupodeanúncio&amp;"_"&amp;Linha_Criativa&amp;"_"&amp;Unique_ID)</f>
        <v>#N/A</v>
      </c>
      <c r="AN22" s="28" t="str">
        <f>LOWER(Campanha_ou_InsertionOrder&amp;"_"&amp;LineItem_ou_Grupodeanúncio&amp;"_"&amp;Linha_Criativa&amp;"_"&amp;Unique_ID)</f>
        <v>#N/A</v>
      </c>
      <c r="AO22" s="28" t="str">
        <f>LOWER("VW"&amp;"_"&amp;Model_Variant&amp;"_"&amp;Size&amp;"_"&amp;Linha_Criativa&amp;"_"&amp;IF(Servido_Por="portal",Veiculo,"adserver"))</f>
        <v>vw____adserver</v>
      </c>
      <c r="AP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" s="22" t="str">
        <f t="shared" si="1"/>
        <v/>
      </c>
      <c r="AS22" s="22" t="str">
        <f t="shared" si="2"/>
        <v/>
      </c>
      <c r="AT22" s="22" t="str">
        <f t="shared" si="3"/>
        <v>BR_IMC_DSY_LANCH_ND_NC_2020Q3AUG_NVS_Nivus-Launch-Consideracao</v>
      </c>
      <c r="AU22" s="22" t="str">
        <f t="shared" si="4"/>
        <v>#N/A</v>
      </c>
      <c r="AV22" s="22" t="s">
        <v>106</v>
      </c>
      <c r="AW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" s="22" t="str">
        <f t="shared" si="5"/>
        <v>BR_IMC_DSY_LANCH_ND_NC_2020Q3AUG_NVS_Nivus-Launch-Consideracao</v>
      </c>
      <c r="AY22" s="28" t="str">
        <f t="shared" si="6"/>
        <v>#N/A</v>
      </c>
      <c r="AZ22" s="22" t="s">
        <v>107</v>
      </c>
      <c r="BA22" s="22" t="s">
        <v>108</v>
      </c>
      <c r="BB22" s="31" t="s">
        <v>109</v>
      </c>
      <c r="BC22" s="31" t="s">
        <v>109</v>
      </c>
      <c r="BD22" s="32" t="str">
        <f t="shared" si="8"/>
        <v>nvl-nvs-imc-dsy-0820-10016</v>
      </c>
      <c r="BE22" s="33"/>
      <c r="BF22" s="33"/>
      <c r="BG22" s="39" t="str">
        <f>URL&amp;IF(ISNUMBER(FIND("?",URL)),"&amp;","?"&amp;("adlid="&amp;Unique_ID&amp;"&amp;adplt="&amp;Placement))</f>
        <v>#N/A</v>
      </c>
      <c r="BH22" s="1"/>
      <c r="BI22" s="1"/>
      <c r="BJ22" s="35" t="str">
        <f>LOWER("alp"&amp;"_"&amp;"vw"&amp;"_"&amp;Veiculo&amp;"_"&amp;C18&amp;"_"&amp;Objetivo)</f>
        <v>alp_vw___</v>
      </c>
      <c r="BK22" s="35" t="str">
        <f>LOWER(Buying_Metric&amp;"_"&amp;VLOOKUP(Buying_Type,Buy_type,2,FALSE)&amp;"_"&amp;Device&amp;"_"&amp;Size&amp;"_"&amp;Segmentação&amp;"_"&amp;Segmentação_Anúncio)</f>
        <v>#N/A</v>
      </c>
      <c r="BL22" s="35" t="str">
        <f>LOWER(Campanha_ou_InsertionOrder&amp;"_"&amp;LineItem_ou_Grupodeanúncio&amp;"_"&amp;Linha_criativa_2&amp;"_"&amp;Unique_ID)</f>
        <v>#N/A</v>
      </c>
      <c r="BM22" s="27"/>
      <c r="BN22" s="27"/>
    </row>
    <row r="23">
      <c r="A23" s="1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8" t="str">
        <f>LOWER(Campanha_ou_InsertionOrder&amp;"_"&amp;LineItem_ou_Grupodeanúncio&amp;"_"&amp;Linha_Criativa&amp;"_"&amp;Unique_ID)</f>
        <v>#N/A</v>
      </c>
      <c r="AN23" s="28" t="str">
        <f>LOWER(Campanha_ou_InsertionOrder&amp;"_"&amp;LineItem_ou_Grupodeanúncio&amp;"_"&amp;Linha_Criativa&amp;"_"&amp;Unique_ID)</f>
        <v>#N/A</v>
      </c>
      <c r="AO23" s="28" t="str">
        <f>LOWER("VW"&amp;"_"&amp;Model_Variant&amp;"_"&amp;Size&amp;"_"&amp;Linha_Criativa&amp;"_"&amp;IF(Servido_Por="portal",Veiculo,"adserver"))</f>
        <v>vw____adserver</v>
      </c>
      <c r="AP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" s="22" t="str">
        <f t="shared" si="1"/>
        <v/>
      </c>
      <c r="AS23" s="22" t="str">
        <f t="shared" si="2"/>
        <v/>
      </c>
      <c r="AT23" s="22" t="str">
        <f t="shared" si="3"/>
        <v>BR_IMC_DSY_LANCH_ND_NC_2020Q3AUG_NVS_Nivus-Launch-Consideracao</v>
      </c>
      <c r="AU23" s="22" t="str">
        <f t="shared" si="4"/>
        <v>#N/A</v>
      </c>
      <c r="AV23" s="22" t="s">
        <v>106</v>
      </c>
      <c r="AW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" s="22" t="str">
        <f t="shared" si="5"/>
        <v>BR_IMC_DSY_LANCH_ND_NC_2020Q3AUG_NVS_Nivus-Launch-Consideracao</v>
      </c>
      <c r="AY23" s="28" t="str">
        <f t="shared" si="6"/>
        <v>#N/A</v>
      </c>
      <c r="AZ23" s="22" t="s">
        <v>107</v>
      </c>
      <c r="BA23" s="22" t="s">
        <v>108</v>
      </c>
      <c r="BB23" s="31" t="s">
        <v>109</v>
      </c>
      <c r="BC23" s="31" t="s">
        <v>109</v>
      </c>
      <c r="BD23" s="32" t="str">
        <f t="shared" si="8"/>
        <v>nvl-nvs-imc-dsy-0820-10017</v>
      </c>
      <c r="BE23" s="33"/>
      <c r="BF23" s="33"/>
      <c r="BG23" s="39" t="str">
        <f>URL&amp;IF(ISNUMBER(FIND("?",URL)),"&amp;","?"&amp;("adlid="&amp;Unique_ID&amp;"&amp;adplt="&amp;Placement))</f>
        <v>#N/A</v>
      </c>
      <c r="BH23" s="1"/>
      <c r="BI23" s="1"/>
      <c r="BJ23" s="35" t="str">
        <f>LOWER("alp"&amp;"_"&amp;"vw"&amp;"_"&amp;Veiculo&amp;"_"&amp;C19&amp;"_"&amp;Objetivo)</f>
        <v>alp_vw___</v>
      </c>
      <c r="BK23" s="35" t="str">
        <f>LOWER(Buying_Metric&amp;"_"&amp;VLOOKUP(Buying_Type,Buy_type,2,FALSE)&amp;"_"&amp;Device&amp;"_"&amp;Size&amp;"_"&amp;Segmentação&amp;"_"&amp;Segmentação_Anúncio)</f>
        <v>#N/A</v>
      </c>
      <c r="BL23" s="35" t="str">
        <f>LOWER(Campanha_ou_InsertionOrder&amp;"_"&amp;LineItem_ou_Grupodeanúncio&amp;"_"&amp;Linha_criativa_2&amp;"_"&amp;Unique_ID)</f>
        <v>#N/A</v>
      </c>
      <c r="BM23" s="27"/>
      <c r="BN23" s="27"/>
    </row>
    <row r="24">
      <c r="A24" s="1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8" t="str">
        <f>LOWER(Campanha_ou_InsertionOrder&amp;"_"&amp;LineItem_ou_Grupodeanúncio&amp;"_"&amp;Linha_Criativa&amp;"_"&amp;Unique_ID)</f>
        <v>#N/A</v>
      </c>
      <c r="AN24" s="28" t="str">
        <f>LOWER(Campanha_ou_InsertionOrder&amp;"_"&amp;LineItem_ou_Grupodeanúncio&amp;"_"&amp;Linha_Criativa&amp;"_"&amp;Unique_ID)</f>
        <v>#N/A</v>
      </c>
      <c r="AO24" s="28" t="str">
        <f>LOWER("VW"&amp;"_"&amp;Model_Variant&amp;"_"&amp;Size&amp;"_"&amp;Linha_Criativa&amp;"_"&amp;IF(Servido_Por="portal",Veiculo,"adserver"))</f>
        <v>vw____adserver</v>
      </c>
      <c r="AP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" s="22" t="str">
        <f t="shared" si="1"/>
        <v/>
      </c>
      <c r="AS24" s="22" t="str">
        <f t="shared" si="2"/>
        <v/>
      </c>
      <c r="AT24" s="22" t="str">
        <f t="shared" si="3"/>
        <v>BR_IMC_DSY_LANCH_ND_NC_2020Q3AUG_NVS_Nivus-Launch-Consideracao</v>
      </c>
      <c r="AU24" s="22" t="str">
        <f t="shared" si="4"/>
        <v>#N/A</v>
      </c>
      <c r="AV24" s="22" t="s">
        <v>106</v>
      </c>
      <c r="AW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" s="22" t="str">
        <f t="shared" si="5"/>
        <v>BR_IMC_DSY_LANCH_ND_NC_2020Q3AUG_NVS_Nivus-Launch-Consideracao</v>
      </c>
      <c r="AY24" s="28" t="str">
        <f t="shared" si="6"/>
        <v>#N/A</v>
      </c>
      <c r="AZ24" s="22" t="s">
        <v>107</v>
      </c>
      <c r="BA24" s="22" t="s">
        <v>108</v>
      </c>
      <c r="BB24" s="31" t="s">
        <v>109</v>
      </c>
      <c r="BC24" s="31" t="s">
        <v>109</v>
      </c>
      <c r="BD24" s="32" t="str">
        <f t="shared" si="8"/>
        <v>nvl-nvs-imc-dsy-0820-10018</v>
      </c>
      <c r="BE24" s="33"/>
      <c r="BF24" s="33"/>
      <c r="BG24" s="39" t="str">
        <f>URL&amp;IF(ISNUMBER(FIND("?",URL)),"&amp;","?"&amp;("adlid="&amp;Unique_ID&amp;"&amp;adplt="&amp;Placement))</f>
        <v>#N/A</v>
      </c>
      <c r="BH24" s="1"/>
      <c r="BI24" s="1"/>
      <c r="BJ24" s="35" t="str">
        <f>LOWER("alp"&amp;"_"&amp;"vw"&amp;"_"&amp;Veiculo&amp;"_"&amp;C20&amp;"_"&amp;Objetivo)</f>
        <v>alp_vw___</v>
      </c>
      <c r="BK24" s="35" t="str">
        <f>LOWER(Buying_Metric&amp;"_"&amp;VLOOKUP(Buying_Type,Buy_type,2,FALSE)&amp;"_"&amp;Device&amp;"_"&amp;Size&amp;"_"&amp;Segmentação&amp;"_"&amp;Segmentação_Anúncio)</f>
        <v>#N/A</v>
      </c>
      <c r="BL24" s="35" t="str">
        <f>LOWER(Campanha_ou_InsertionOrder&amp;"_"&amp;LineItem_ou_Grupodeanúncio&amp;"_"&amp;Linha_criativa_2&amp;"_"&amp;Unique_ID)</f>
        <v>#N/A</v>
      </c>
      <c r="BM24" s="27"/>
      <c r="BN24" s="27"/>
    </row>
    <row r="25">
      <c r="A25" s="1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8" t="str">
        <f>LOWER(Campanha_ou_InsertionOrder&amp;"_"&amp;LineItem_ou_Grupodeanúncio&amp;"_"&amp;Linha_Criativa&amp;"_"&amp;Unique_ID)</f>
        <v>#N/A</v>
      </c>
      <c r="AN25" s="28" t="str">
        <f>LOWER(Campanha_ou_InsertionOrder&amp;"_"&amp;LineItem_ou_Grupodeanúncio&amp;"_"&amp;Linha_Criativa&amp;"_"&amp;Unique_ID)</f>
        <v>#N/A</v>
      </c>
      <c r="AO25" s="28" t="str">
        <f>LOWER("VW"&amp;"_"&amp;Model_Variant&amp;"_"&amp;Size&amp;"_"&amp;Linha_Criativa&amp;"_"&amp;IF(Servido_Por="portal",Veiculo,"adserver"))</f>
        <v>vw____adserver</v>
      </c>
      <c r="AP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" s="22" t="str">
        <f t="shared" si="1"/>
        <v/>
      </c>
      <c r="AS25" s="22" t="str">
        <f t="shared" si="2"/>
        <v/>
      </c>
      <c r="AT25" s="22" t="str">
        <f t="shared" si="3"/>
        <v>BR_IMC_DSY_LANCH_ND_NC_2020Q3AUG_NVS_Nivus-Launch-Consideracao</v>
      </c>
      <c r="AU25" s="22" t="str">
        <f t="shared" si="4"/>
        <v>#N/A</v>
      </c>
      <c r="AV25" s="22" t="s">
        <v>106</v>
      </c>
      <c r="AW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" s="22" t="str">
        <f t="shared" si="5"/>
        <v>BR_IMC_DSY_LANCH_ND_NC_2020Q3AUG_NVS_Nivus-Launch-Consideracao</v>
      </c>
      <c r="AY25" s="28" t="str">
        <f t="shared" si="6"/>
        <v>#N/A</v>
      </c>
      <c r="AZ25" s="22" t="s">
        <v>107</v>
      </c>
      <c r="BA25" s="22" t="s">
        <v>108</v>
      </c>
      <c r="BB25" s="31" t="s">
        <v>109</v>
      </c>
      <c r="BC25" s="31" t="s">
        <v>109</v>
      </c>
      <c r="BD25" s="32" t="str">
        <f t="shared" si="8"/>
        <v>nvl-nvs-imc-dsy-0820-10019</v>
      </c>
      <c r="BE25" s="33"/>
      <c r="BF25" s="33"/>
      <c r="BG25" s="39" t="str">
        <f>URL&amp;IF(ISNUMBER(FIND("?",URL)),"&amp;","?"&amp;("adlid="&amp;Unique_ID&amp;"&amp;adplt="&amp;Placement))</f>
        <v>#N/A</v>
      </c>
      <c r="BH25" s="1"/>
      <c r="BI25" s="1"/>
      <c r="BJ25" s="35" t="str">
        <f>LOWER("alp"&amp;"_"&amp;"vw"&amp;"_"&amp;Veiculo&amp;"_"&amp;C21&amp;"_"&amp;Objetivo)</f>
        <v>alp_vw___</v>
      </c>
      <c r="BK25" s="35" t="str">
        <f>LOWER(Buying_Metric&amp;"_"&amp;VLOOKUP(Buying_Type,Buy_type,2,FALSE)&amp;"_"&amp;Device&amp;"_"&amp;Size&amp;"_"&amp;Segmentação&amp;"_"&amp;Segmentação_Anúncio)</f>
        <v>#N/A</v>
      </c>
      <c r="BL25" s="35" t="str">
        <f>LOWER(Campanha_ou_InsertionOrder&amp;"_"&amp;LineItem_ou_Grupodeanúncio&amp;"_"&amp;Linha_criativa_2&amp;"_"&amp;Unique_ID)</f>
        <v>#N/A</v>
      </c>
      <c r="BM25" s="27"/>
      <c r="BN25" s="27"/>
    </row>
    <row r="26">
      <c r="A26" s="1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tr">
        <f>LOWER(Campanha_ou_InsertionOrder&amp;"_"&amp;LineItem_ou_Grupodeanúncio&amp;"_"&amp;Linha_Criativa&amp;"_"&amp;Unique_ID)</f>
        <v>#N/A</v>
      </c>
      <c r="AN26" s="28" t="str">
        <f>LOWER(Campanha_ou_InsertionOrder&amp;"_"&amp;LineItem_ou_Grupodeanúncio&amp;"_"&amp;Linha_Criativa&amp;"_"&amp;Unique_ID)</f>
        <v>#N/A</v>
      </c>
      <c r="AO26" s="28" t="str">
        <f>LOWER("VW"&amp;"_"&amp;Model_Variant&amp;"_"&amp;Size&amp;"_"&amp;Linha_Criativa&amp;"_"&amp;IF(Servido_Por="portal",Veiculo,"adserver"))</f>
        <v>vw____adserver</v>
      </c>
      <c r="AP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" s="22" t="str">
        <f t="shared" si="1"/>
        <v/>
      </c>
      <c r="AS26" s="22" t="str">
        <f t="shared" si="2"/>
        <v/>
      </c>
      <c r="AT26" s="22" t="str">
        <f t="shared" si="3"/>
        <v>BR_IMC_DSY_LANCH_ND_NC_2020Q3AUG_NVS_Nivus-Launch-Consideracao</v>
      </c>
      <c r="AU26" s="22" t="str">
        <f t="shared" si="4"/>
        <v>#N/A</v>
      </c>
      <c r="AV26" s="22" t="s">
        <v>106</v>
      </c>
      <c r="AW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" s="22" t="str">
        <f t="shared" si="5"/>
        <v>BR_IMC_DSY_LANCH_ND_NC_2020Q3AUG_NVS_Nivus-Launch-Consideracao</v>
      </c>
      <c r="AY26" s="28" t="str">
        <f t="shared" si="6"/>
        <v>#N/A</v>
      </c>
      <c r="AZ26" s="22" t="s">
        <v>107</v>
      </c>
      <c r="BA26" s="22" t="s">
        <v>108</v>
      </c>
      <c r="BB26" s="31" t="s">
        <v>109</v>
      </c>
      <c r="BC26" s="31" t="s">
        <v>109</v>
      </c>
      <c r="BD26" s="32" t="str">
        <f t="shared" si="8"/>
        <v>nvl-nvs-imc-dsy-0820-10020</v>
      </c>
      <c r="BE26" s="33"/>
      <c r="BF26" s="33"/>
      <c r="BG26" s="39" t="str">
        <f>URL&amp;IF(ISNUMBER(FIND("?",URL)),"&amp;","?"&amp;("adlid="&amp;Unique_ID&amp;"&amp;adplt="&amp;Placement))</f>
        <v>#N/A</v>
      </c>
      <c r="BH26" s="1"/>
      <c r="BI26" s="1"/>
      <c r="BJ26" s="35" t="str">
        <f>LOWER("alp"&amp;"_"&amp;"vw"&amp;"_"&amp;Veiculo&amp;"_"&amp;C22&amp;"_"&amp;Objetivo)</f>
        <v>alp_vw___</v>
      </c>
      <c r="BK26" s="35" t="str">
        <f>LOWER(Buying_Metric&amp;"_"&amp;VLOOKUP(Buying_Type,Buy_type,2,FALSE)&amp;"_"&amp;Device&amp;"_"&amp;Size&amp;"_"&amp;Segmentação&amp;"_"&amp;Segmentação_Anúncio)</f>
        <v>#N/A</v>
      </c>
      <c r="BL26" s="35" t="str">
        <f>LOWER(Campanha_ou_InsertionOrder&amp;"_"&amp;LineItem_ou_Grupodeanúncio&amp;"_"&amp;Linha_criativa_2&amp;"_"&amp;Unique_ID)</f>
        <v>#N/A</v>
      </c>
      <c r="BM26" s="27"/>
      <c r="BN26" s="27"/>
    </row>
    <row r="27">
      <c r="A27" s="1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8" t="str">
        <f>LOWER(Campanha_ou_InsertionOrder&amp;"_"&amp;LineItem_ou_Grupodeanúncio&amp;"_"&amp;Linha_Criativa&amp;"_"&amp;Unique_ID)</f>
        <v>#N/A</v>
      </c>
      <c r="AN27" s="28" t="str">
        <f>LOWER(Campanha_ou_InsertionOrder&amp;"_"&amp;LineItem_ou_Grupodeanúncio&amp;"_"&amp;Linha_Criativa&amp;"_"&amp;Unique_ID)</f>
        <v>#N/A</v>
      </c>
      <c r="AO27" s="28" t="str">
        <f>LOWER("VW"&amp;"_"&amp;Model_Variant&amp;"_"&amp;Size&amp;"_"&amp;Linha_Criativa&amp;"_"&amp;IF(Servido_Por="portal",Veiculo,"adserver"))</f>
        <v>vw____adserver</v>
      </c>
      <c r="AP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" s="22" t="str">
        <f t="shared" si="1"/>
        <v/>
      </c>
      <c r="AS27" s="22" t="str">
        <f t="shared" si="2"/>
        <v/>
      </c>
      <c r="AT27" s="22" t="str">
        <f t="shared" si="3"/>
        <v>BR_IMC_DSY_LANCH_ND_NC_2020Q3AUG_NVS_Nivus-Launch-Consideracao</v>
      </c>
      <c r="AU27" s="22" t="str">
        <f t="shared" si="4"/>
        <v>#N/A</v>
      </c>
      <c r="AV27" s="22" t="s">
        <v>106</v>
      </c>
      <c r="AW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" s="22" t="str">
        <f t="shared" si="5"/>
        <v>BR_IMC_DSY_LANCH_ND_NC_2020Q3AUG_NVS_Nivus-Launch-Consideracao</v>
      </c>
      <c r="AY27" s="28" t="str">
        <f t="shared" si="6"/>
        <v>#N/A</v>
      </c>
      <c r="AZ27" s="22" t="s">
        <v>107</v>
      </c>
      <c r="BA27" s="22" t="s">
        <v>108</v>
      </c>
      <c r="BB27" s="31" t="s">
        <v>109</v>
      </c>
      <c r="BC27" s="31" t="s">
        <v>109</v>
      </c>
      <c r="BD27" s="32" t="str">
        <f t="shared" si="8"/>
        <v>nvl-nvs-imc-dsy-0820-10021</v>
      </c>
      <c r="BE27" s="33"/>
      <c r="BF27" s="33"/>
      <c r="BG27" s="39" t="str">
        <f>URL&amp;IF(ISNUMBER(FIND("?",URL)),"&amp;","?"&amp;("adlid="&amp;Unique_ID&amp;"&amp;adplt="&amp;Placement))</f>
        <v>#N/A</v>
      </c>
      <c r="BH27" s="1"/>
      <c r="BI27" s="1"/>
      <c r="BJ27" s="35" t="str">
        <f>LOWER("alp"&amp;"_"&amp;"vw"&amp;"_"&amp;Veiculo&amp;"_"&amp;C23&amp;"_"&amp;Objetivo)</f>
        <v>alp_vw___</v>
      </c>
      <c r="BK27" s="35" t="str">
        <f>LOWER(Buying_Metric&amp;"_"&amp;VLOOKUP(Buying_Type,Buy_type,2,FALSE)&amp;"_"&amp;Device&amp;"_"&amp;Size&amp;"_"&amp;Segmentação&amp;"_"&amp;Segmentação_Anúncio)</f>
        <v>#N/A</v>
      </c>
      <c r="BL27" s="35" t="str">
        <f>LOWER(Campanha_ou_InsertionOrder&amp;"_"&amp;LineItem_ou_Grupodeanúncio&amp;"_"&amp;Linha_criativa_2&amp;"_"&amp;Unique_ID)</f>
        <v>#N/A</v>
      </c>
      <c r="BM27" s="27"/>
      <c r="BN27" s="27"/>
    </row>
    <row r="28">
      <c r="A28" s="1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 t="str">
        <f>LOWER(Campanha_ou_InsertionOrder&amp;"_"&amp;LineItem_ou_Grupodeanúncio&amp;"_"&amp;Linha_Criativa&amp;"_"&amp;Unique_ID)</f>
        <v>#N/A</v>
      </c>
      <c r="AN28" s="28" t="str">
        <f>LOWER(Campanha_ou_InsertionOrder&amp;"_"&amp;LineItem_ou_Grupodeanúncio&amp;"_"&amp;Linha_Criativa&amp;"_"&amp;Unique_ID)</f>
        <v>#N/A</v>
      </c>
      <c r="AO28" s="28" t="str">
        <f>LOWER("VW"&amp;"_"&amp;Model_Variant&amp;"_"&amp;Size&amp;"_"&amp;Linha_Criativa&amp;"_"&amp;IF(Servido_Por="portal",Veiculo,"adserver"))</f>
        <v>vw____adserver</v>
      </c>
      <c r="AP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" s="22" t="str">
        <f t="shared" si="1"/>
        <v/>
      </c>
      <c r="AS28" s="22" t="str">
        <f t="shared" si="2"/>
        <v/>
      </c>
      <c r="AT28" s="22" t="str">
        <f t="shared" si="3"/>
        <v>BR_IMC_DSY_LANCH_ND_NC_2020Q3AUG_NVS_Nivus-Launch-Consideracao</v>
      </c>
      <c r="AU28" s="22" t="str">
        <f t="shared" si="4"/>
        <v>#N/A</v>
      </c>
      <c r="AV28" s="22" t="s">
        <v>106</v>
      </c>
      <c r="AW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" s="22" t="str">
        <f t="shared" si="5"/>
        <v>BR_IMC_DSY_LANCH_ND_NC_2020Q3AUG_NVS_Nivus-Launch-Consideracao</v>
      </c>
      <c r="AY28" s="28" t="str">
        <f t="shared" si="6"/>
        <v>#N/A</v>
      </c>
      <c r="AZ28" s="22" t="s">
        <v>107</v>
      </c>
      <c r="BA28" s="22" t="s">
        <v>108</v>
      </c>
      <c r="BB28" s="31" t="s">
        <v>109</v>
      </c>
      <c r="BC28" s="31" t="s">
        <v>109</v>
      </c>
      <c r="BD28" s="32" t="str">
        <f t="shared" si="8"/>
        <v>nvl-nvs-imc-dsy-0820-10022</v>
      </c>
      <c r="BE28" s="33"/>
      <c r="BF28" s="33"/>
      <c r="BG28" s="39" t="str">
        <f>URL&amp;IF(ISNUMBER(FIND("?",URL)),"&amp;","?"&amp;("adlid="&amp;Unique_ID&amp;"&amp;adplt="&amp;Placement))</f>
        <v>#N/A</v>
      </c>
      <c r="BH28" s="1"/>
      <c r="BI28" s="1"/>
      <c r="BJ28" s="35" t="str">
        <f>LOWER("alp"&amp;"_"&amp;"vw"&amp;"_"&amp;Veiculo&amp;"_"&amp;C24&amp;"_"&amp;Objetivo)</f>
        <v>alp_vw___</v>
      </c>
      <c r="BK28" s="35" t="str">
        <f>LOWER(Buying_Metric&amp;"_"&amp;VLOOKUP(Buying_Type,Buy_type,2,FALSE)&amp;"_"&amp;Device&amp;"_"&amp;Size&amp;"_"&amp;Segmentação&amp;"_"&amp;Segmentação_Anúncio)</f>
        <v>#N/A</v>
      </c>
      <c r="BL28" s="35" t="str">
        <f>LOWER(Campanha_ou_InsertionOrder&amp;"_"&amp;LineItem_ou_Grupodeanúncio&amp;"_"&amp;Linha_criativa_2&amp;"_"&amp;Unique_ID)</f>
        <v>#N/A</v>
      </c>
      <c r="BM28" s="27"/>
      <c r="BN28" s="27"/>
    </row>
    <row r="29">
      <c r="A29" s="1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8" t="str">
        <f>LOWER(Campanha_ou_InsertionOrder&amp;"_"&amp;LineItem_ou_Grupodeanúncio&amp;"_"&amp;Linha_Criativa&amp;"_"&amp;Unique_ID)</f>
        <v>#N/A</v>
      </c>
      <c r="AN29" s="28" t="str">
        <f>LOWER(Campanha_ou_InsertionOrder&amp;"_"&amp;LineItem_ou_Grupodeanúncio&amp;"_"&amp;Linha_Criativa&amp;"_"&amp;Unique_ID)</f>
        <v>#N/A</v>
      </c>
      <c r="AO29" s="28" t="str">
        <f>LOWER("VW"&amp;"_"&amp;Model_Variant&amp;"_"&amp;Size&amp;"_"&amp;Linha_Criativa&amp;"_"&amp;IF(Servido_Por="portal",Veiculo,"adserver"))</f>
        <v>vw____adserver</v>
      </c>
      <c r="AP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" s="22" t="str">
        <f t="shared" si="1"/>
        <v/>
      </c>
      <c r="AS29" s="22" t="str">
        <f t="shared" si="2"/>
        <v/>
      </c>
      <c r="AT29" s="22" t="str">
        <f t="shared" si="3"/>
        <v>BR_IMC_DSY_LANCH_ND_NC_2020Q3AUG_NVS_Nivus-Launch-Consideracao</v>
      </c>
      <c r="AU29" s="22" t="str">
        <f t="shared" si="4"/>
        <v>#N/A</v>
      </c>
      <c r="AV29" s="22" t="s">
        <v>106</v>
      </c>
      <c r="AW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" s="22" t="str">
        <f t="shared" si="5"/>
        <v>BR_IMC_DSY_LANCH_ND_NC_2020Q3AUG_NVS_Nivus-Launch-Consideracao</v>
      </c>
      <c r="AY29" s="28" t="str">
        <f t="shared" si="6"/>
        <v>#N/A</v>
      </c>
      <c r="AZ29" s="22" t="s">
        <v>107</v>
      </c>
      <c r="BA29" s="22" t="s">
        <v>108</v>
      </c>
      <c r="BB29" s="31" t="s">
        <v>109</v>
      </c>
      <c r="BC29" s="31" t="s">
        <v>109</v>
      </c>
      <c r="BD29" s="32" t="str">
        <f t="shared" si="8"/>
        <v>nvl-nvs-imc-dsy-0820-10023</v>
      </c>
      <c r="BE29" s="33"/>
      <c r="BF29" s="33"/>
      <c r="BG29" s="39" t="str">
        <f>URL&amp;IF(ISNUMBER(FIND("?",URL)),"&amp;","?"&amp;("adlid="&amp;Unique_ID&amp;"&amp;adplt="&amp;Placement))</f>
        <v>#N/A</v>
      </c>
      <c r="BH29" s="1"/>
      <c r="BI29" s="1"/>
      <c r="BJ29" s="35" t="str">
        <f>LOWER("alp"&amp;"_"&amp;"vw"&amp;"_"&amp;Veiculo&amp;"_"&amp;C25&amp;"_"&amp;Objetivo)</f>
        <v>alp_vw___</v>
      </c>
      <c r="BK29" s="35" t="str">
        <f>LOWER(Buying_Metric&amp;"_"&amp;VLOOKUP(Buying_Type,Buy_type,2,FALSE)&amp;"_"&amp;Device&amp;"_"&amp;Size&amp;"_"&amp;Segmentação&amp;"_"&amp;Segmentação_Anúncio)</f>
        <v>#N/A</v>
      </c>
      <c r="BL29" s="35" t="str">
        <f>LOWER(Campanha_ou_InsertionOrder&amp;"_"&amp;LineItem_ou_Grupodeanúncio&amp;"_"&amp;Linha_criativa_2&amp;"_"&amp;Unique_ID)</f>
        <v>#N/A</v>
      </c>
      <c r="BM29" s="27"/>
      <c r="BN29" s="27"/>
    </row>
    <row r="30">
      <c r="A30" s="1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8" t="str">
        <f>LOWER(Campanha_ou_InsertionOrder&amp;"_"&amp;LineItem_ou_Grupodeanúncio&amp;"_"&amp;Linha_Criativa&amp;"_"&amp;Unique_ID)</f>
        <v>#N/A</v>
      </c>
      <c r="AN30" s="28" t="str">
        <f>LOWER(Campanha_ou_InsertionOrder&amp;"_"&amp;LineItem_ou_Grupodeanúncio&amp;"_"&amp;Linha_Criativa&amp;"_"&amp;Unique_ID)</f>
        <v>#N/A</v>
      </c>
      <c r="AO30" s="28" t="str">
        <f>LOWER("VW"&amp;"_"&amp;Model_Variant&amp;"_"&amp;Size&amp;"_"&amp;Linha_Criativa&amp;"_"&amp;IF(Servido_Por="portal",Veiculo,"adserver"))</f>
        <v>vw____adserver</v>
      </c>
      <c r="AP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" s="22" t="str">
        <f t="shared" si="1"/>
        <v/>
      </c>
      <c r="AS30" s="22" t="str">
        <f t="shared" si="2"/>
        <v/>
      </c>
      <c r="AT30" s="22" t="str">
        <f t="shared" si="3"/>
        <v>BR_IMC_DSY_LANCH_ND_NC_2020Q3AUG_NVS_Nivus-Launch-Consideracao</v>
      </c>
      <c r="AU30" s="22" t="str">
        <f t="shared" si="4"/>
        <v>#N/A</v>
      </c>
      <c r="AV30" s="22" t="s">
        <v>106</v>
      </c>
      <c r="AW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" s="22" t="str">
        <f t="shared" si="5"/>
        <v>BR_IMC_DSY_LANCH_ND_NC_2020Q3AUG_NVS_Nivus-Launch-Consideracao</v>
      </c>
      <c r="AY30" s="28" t="str">
        <f t="shared" si="6"/>
        <v>#N/A</v>
      </c>
      <c r="AZ30" s="22" t="s">
        <v>107</v>
      </c>
      <c r="BA30" s="22" t="s">
        <v>108</v>
      </c>
      <c r="BB30" s="31" t="s">
        <v>109</v>
      </c>
      <c r="BC30" s="31" t="s">
        <v>109</v>
      </c>
      <c r="BD30" s="32" t="str">
        <f t="shared" si="8"/>
        <v>nvl-nvs-imc-dsy-0820-10024</v>
      </c>
      <c r="BE30" s="33"/>
      <c r="BF30" s="33"/>
      <c r="BG30" s="39" t="str">
        <f>URL&amp;IF(ISNUMBER(FIND("?",URL)),"&amp;","?"&amp;("adlid="&amp;Unique_ID&amp;"&amp;adplt="&amp;Placement))</f>
        <v>#N/A</v>
      </c>
      <c r="BH30" s="1"/>
      <c r="BI30" s="1"/>
      <c r="BJ30" s="35" t="str">
        <f>LOWER("alp"&amp;"_"&amp;"vw"&amp;"_"&amp;Veiculo&amp;"_"&amp;C26&amp;"_"&amp;Objetivo)</f>
        <v>alp_vw___</v>
      </c>
      <c r="BK30" s="35" t="str">
        <f>LOWER(Buying_Metric&amp;"_"&amp;VLOOKUP(Buying_Type,Buy_type,2,FALSE)&amp;"_"&amp;Device&amp;"_"&amp;Size&amp;"_"&amp;Segmentação&amp;"_"&amp;Segmentação_Anúncio)</f>
        <v>#N/A</v>
      </c>
      <c r="BL30" s="35" t="str">
        <f>LOWER(Campanha_ou_InsertionOrder&amp;"_"&amp;LineItem_ou_Grupodeanúncio&amp;"_"&amp;Linha_criativa_2&amp;"_"&amp;Unique_ID)</f>
        <v>#N/A</v>
      </c>
      <c r="BM30" s="27"/>
      <c r="BN30" s="27"/>
    </row>
    <row r="31">
      <c r="A31" s="1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 t="str">
        <f>LOWER(Campanha_ou_InsertionOrder&amp;"_"&amp;LineItem_ou_Grupodeanúncio&amp;"_"&amp;Linha_Criativa&amp;"_"&amp;Unique_ID)</f>
        <v>#N/A</v>
      </c>
      <c r="AN31" s="28" t="str">
        <f>LOWER(Campanha_ou_InsertionOrder&amp;"_"&amp;LineItem_ou_Grupodeanúncio&amp;"_"&amp;Linha_Criativa&amp;"_"&amp;Unique_ID)</f>
        <v>#N/A</v>
      </c>
      <c r="AO31" s="28" t="str">
        <f>LOWER("VW"&amp;"_"&amp;Model_Variant&amp;"_"&amp;Size&amp;"_"&amp;Linha_Criativa&amp;"_"&amp;IF(Servido_Por="portal",Veiculo,"adserver"))</f>
        <v>vw____adserver</v>
      </c>
      <c r="AP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" s="22" t="str">
        <f t="shared" si="1"/>
        <v/>
      </c>
      <c r="AS31" s="22" t="str">
        <f t="shared" si="2"/>
        <v/>
      </c>
      <c r="AT31" s="22" t="str">
        <f t="shared" si="3"/>
        <v>BR_IMC_DSY_LANCH_ND_NC_2020Q3AUG_NVS_Nivus-Launch-Consideracao</v>
      </c>
      <c r="AU31" s="22" t="str">
        <f t="shared" si="4"/>
        <v>#N/A</v>
      </c>
      <c r="AV31" s="22" t="s">
        <v>106</v>
      </c>
      <c r="AW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" s="22" t="str">
        <f t="shared" si="5"/>
        <v>BR_IMC_DSY_LANCH_ND_NC_2020Q3AUG_NVS_Nivus-Launch-Consideracao</v>
      </c>
      <c r="AY31" s="28" t="str">
        <f t="shared" si="6"/>
        <v>#N/A</v>
      </c>
      <c r="AZ31" s="22" t="s">
        <v>107</v>
      </c>
      <c r="BA31" s="22" t="s">
        <v>108</v>
      </c>
      <c r="BB31" s="31" t="s">
        <v>109</v>
      </c>
      <c r="BC31" s="31" t="s">
        <v>109</v>
      </c>
      <c r="BD31" s="32" t="str">
        <f t="shared" si="8"/>
        <v>nvl-nvs-imc-dsy-0820-10025</v>
      </c>
      <c r="BE31" s="33"/>
      <c r="BF31" s="33"/>
      <c r="BG31" s="39" t="str">
        <f>URL&amp;IF(ISNUMBER(FIND("?",URL)),"&amp;","?"&amp;("adlid="&amp;Unique_ID&amp;"&amp;adplt="&amp;Placement))</f>
        <v>#N/A</v>
      </c>
      <c r="BH31" s="1"/>
      <c r="BI31" s="1"/>
      <c r="BJ31" s="35" t="str">
        <f>LOWER("alp"&amp;"_"&amp;"vw"&amp;"_"&amp;Veiculo&amp;"_"&amp;C27&amp;"_"&amp;Objetivo)</f>
        <v>alp_vw___</v>
      </c>
      <c r="BK31" s="35" t="str">
        <f>LOWER(Buying_Metric&amp;"_"&amp;VLOOKUP(Buying_Type,Buy_type,2,FALSE)&amp;"_"&amp;Device&amp;"_"&amp;Size&amp;"_"&amp;Segmentação&amp;"_"&amp;Segmentação_Anúncio)</f>
        <v>#N/A</v>
      </c>
      <c r="BL31" s="35" t="str">
        <f>LOWER(Campanha_ou_InsertionOrder&amp;"_"&amp;LineItem_ou_Grupodeanúncio&amp;"_"&amp;Linha_criativa_2&amp;"_"&amp;Unique_ID)</f>
        <v>#N/A</v>
      </c>
      <c r="BM31" s="27"/>
      <c r="BN31" s="27"/>
    </row>
    <row r="32">
      <c r="A32" s="1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 t="str">
        <f>LOWER(Campanha_ou_InsertionOrder&amp;"_"&amp;LineItem_ou_Grupodeanúncio&amp;"_"&amp;Linha_Criativa&amp;"_"&amp;Unique_ID)</f>
        <v>#N/A</v>
      </c>
      <c r="AN32" s="28" t="str">
        <f>LOWER(Campanha_ou_InsertionOrder&amp;"_"&amp;LineItem_ou_Grupodeanúncio&amp;"_"&amp;Linha_Criativa&amp;"_"&amp;Unique_ID)</f>
        <v>#N/A</v>
      </c>
      <c r="AO32" s="28" t="str">
        <f>LOWER("VW"&amp;"_"&amp;Model_Variant&amp;"_"&amp;Size&amp;"_"&amp;Linha_Criativa&amp;"_"&amp;IF(Servido_Por="portal",Veiculo,"adserver"))</f>
        <v>vw____adserver</v>
      </c>
      <c r="AP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" s="22" t="str">
        <f t="shared" si="1"/>
        <v/>
      </c>
      <c r="AS32" s="22" t="str">
        <f t="shared" si="2"/>
        <v/>
      </c>
      <c r="AT32" s="22" t="str">
        <f t="shared" si="3"/>
        <v>BR_IMC_DSY_LANCH_ND_NC_2020Q3AUG_NVS_Nivus-Launch-Consideracao</v>
      </c>
      <c r="AU32" s="22" t="str">
        <f t="shared" si="4"/>
        <v>#N/A</v>
      </c>
      <c r="AV32" s="22" t="s">
        <v>106</v>
      </c>
      <c r="AW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" s="22" t="str">
        <f t="shared" si="5"/>
        <v>BR_IMC_DSY_LANCH_ND_NC_2020Q3AUG_NVS_Nivus-Launch-Consideracao</v>
      </c>
      <c r="AY32" s="28" t="str">
        <f t="shared" si="6"/>
        <v>#N/A</v>
      </c>
      <c r="AZ32" s="22" t="s">
        <v>107</v>
      </c>
      <c r="BA32" s="22" t="s">
        <v>108</v>
      </c>
      <c r="BB32" s="31" t="s">
        <v>109</v>
      </c>
      <c r="BC32" s="31" t="s">
        <v>109</v>
      </c>
      <c r="BD32" s="32" t="str">
        <f t="shared" si="8"/>
        <v>nvl-nvs-imc-dsy-0820-10026</v>
      </c>
      <c r="BE32" s="33"/>
      <c r="BF32" s="33"/>
      <c r="BG32" s="39" t="str">
        <f>URL&amp;IF(ISNUMBER(FIND("?",URL)),"&amp;","?"&amp;("adlid="&amp;Unique_ID&amp;"&amp;adplt="&amp;Placement))</f>
        <v>#N/A</v>
      </c>
      <c r="BH32" s="1"/>
      <c r="BI32" s="1"/>
      <c r="BJ32" s="35" t="str">
        <f>LOWER("alp"&amp;"_"&amp;"vw"&amp;"_"&amp;Veiculo&amp;"_"&amp;C28&amp;"_"&amp;Objetivo)</f>
        <v>alp_vw___</v>
      </c>
      <c r="BK32" s="35" t="str">
        <f>LOWER(Buying_Metric&amp;"_"&amp;VLOOKUP(Buying_Type,Buy_type,2,FALSE)&amp;"_"&amp;Device&amp;"_"&amp;Size&amp;"_"&amp;Segmentação&amp;"_"&amp;Segmentação_Anúncio)</f>
        <v>#N/A</v>
      </c>
      <c r="BL32" s="35" t="str">
        <f>LOWER(Campanha_ou_InsertionOrder&amp;"_"&amp;LineItem_ou_Grupodeanúncio&amp;"_"&amp;Linha_criativa_2&amp;"_"&amp;Unique_ID)</f>
        <v>#N/A</v>
      </c>
      <c r="BM32" s="27"/>
      <c r="BN32" s="27"/>
    </row>
    <row r="33">
      <c r="A33" s="1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8" t="str">
        <f>LOWER(Campanha_ou_InsertionOrder&amp;"_"&amp;LineItem_ou_Grupodeanúncio&amp;"_"&amp;Linha_Criativa&amp;"_"&amp;Unique_ID)</f>
        <v>#N/A</v>
      </c>
      <c r="AN33" s="28" t="str">
        <f>LOWER(Campanha_ou_InsertionOrder&amp;"_"&amp;LineItem_ou_Grupodeanúncio&amp;"_"&amp;Linha_Criativa&amp;"_"&amp;Unique_ID)</f>
        <v>#N/A</v>
      </c>
      <c r="AO33" s="28" t="str">
        <f>LOWER("VW"&amp;"_"&amp;Model_Variant&amp;"_"&amp;Size&amp;"_"&amp;Linha_Criativa&amp;"_"&amp;IF(Servido_Por="portal",Veiculo,"adserver"))</f>
        <v>vw____adserver</v>
      </c>
      <c r="AP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" s="22" t="str">
        <f t="shared" si="1"/>
        <v/>
      </c>
      <c r="AS33" s="22" t="str">
        <f t="shared" si="2"/>
        <v/>
      </c>
      <c r="AT33" s="22" t="str">
        <f t="shared" si="3"/>
        <v>BR_IMC_DSY_LANCH_ND_NC_2020Q3AUG_NVS_Nivus-Launch-Consideracao</v>
      </c>
      <c r="AU33" s="22" t="str">
        <f t="shared" si="4"/>
        <v>#N/A</v>
      </c>
      <c r="AV33" s="22" t="s">
        <v>106</v>
      </c>
      <c r="AW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" s="22" t="str">
        <f t="shared" si="5"/>
        <v>BR_IMC_DSY_LANCH_ND_NC_2020Q3AUG_NVS_Nivus-Launch-Consideracao</v>
      </c>
      <c r="AY33" s="28" t="str">
        <f t="shared" si="6"/>
        <v>#N/A</v>
      </c>
      <c r="AZ33" s="22" t="s">
        <v>107</v>
      </c>
      <c r="BA33" s="22" t="s">
        <v>108</v>
      </c>
      <c r="BB33" s="31" t="s">
        <v>109</v>
      </c>
      <c r="BC33" s="31" t="s">
        <v>109</v>
      </c>
      <c r="BD33" s="32" t="str">
        <f t="shared" si="8"/>
        <v>nvl-nvs-imc-dsy-0820-10027</v>
      </c>
      <c r="BE33" s="33"/>
      <c r="BF33" s="33"/>
      <c r="BG33" s="39" t="str">
        <f>URL&amp;IF(ISNUMBER(FIND("?",URL)),"&amp;","?"&amp;("adlid="&amp;Unique_ID&amp;"&amp;adplt="&amp;Placement))</f>
        <v>#N/A</v>
      </c>
      <c r="BH33" s="1"/>
      <c r="BI33" s="1"/>
      <c r="BJ33" s="35" t="str">
        <f>LOWER("alp"&amp;"_"&amp;"vw"&amp;"_"&amp;Veiculo&amp;"_"&amp;C29&amp;"_"&amp;Objetivo)</f>
        <v>alp_vw___</v>
      </c>
      <c r="BK33" s="35" t="str">
        <f>LOWER(Buying_Metric&amp;"_"&amp;VLOOKUP(Buying_Type,Buy_type,2,FALSE)&amp;"_"&amp;Device&amp;"_"&amp;Size&amp;"_"&amp;Segmentação&amp;"_"&amp;Segmentação_Anúncio)</f>
        <v>#N/A</v>
      </c>
      <c r="BL33" s="35" t="str">
        <f>LOWER(Campanha_ou_InsertionOrder&amp;"_"&amp;LineItem_ou_Grupodeanúncio&amp;"_"&amp;Linha_criativa_2&amp;"_"&amp;Unique_ID)</f>
        <v>#N/A</v>
      </c>
      <c r="BM33" s="27"/>
      <c r="BN33" s="27"/>
    </row>
    <row r="34">
      <c r="A34" s="1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8" t="str">
        <f>LOWER(Campanha_ou_InsertionOrder&amp;"_"&amp;LineItem_ou_Grupodeanúncio&amp;"_"&amp;Linha_Criativa&amp;"_"&amp;Unique_ID)</f>
        <v>#N/A</v>
      </c>
      <c r="AN34" s="28" t="str">
        <f>LOWER(Campanha_ou_InsertionOrder&amp;"_"&amp;LineItem_ou_Grupodeanúncio&amp;"_"&amp;Linha_Criativa&amp;"_"&amp;Unique_ID)</f>
        <v>#N/A</v>
      </c>
      <c r="AO34" s="28" t="str">
        <f>LOWER("VW"&amp;"_"&amp;Model_Variant&amp;"_"&amp;Size&amp;"_"&amp;Linha_Criativa&amp;"_"&amp;IF(Servido_Por="portal",Veiculo,"adserver"))</f>
        <v>vw____adserver</v>
      </c>
      <c r="AP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" s="22" t="str">
        <f t="shared" si="1"/>
        <v/>
      </c>
      <c r="AS34" s="22" t="str">
        <f t="shared" si="2"/>
        <v/>
      </c>
      <c r="AT34" s="22" t="str">
        <f t="shared" si="3"/>
        <v>BR_IMC_DSY_LANCH_ND_NC_2020Q3AUG_NVS_Nivus-Launch-Consideracao</v>
      </c>
      <c r="AU34" s="22" t="str">
        <f t="shared" si="4"/>
        <v>#N/A</v>
      </c>
      <c r="AV34" s="22" t="s">
        <v>106</v>
      </c>
      <c r="AW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" s="22" t="str">
        <f t="shared" si="5"/>
        <v>BR_IMC_DSY_LANCH_ND_NC_2020Q3AUG_NVS_Nivus-Launch-Consideracao</v>
      </c>
      <c r="AY34" s="28" t="str">
        <f t="shared" si="6"/>
        <v>#N/A</v>
      </c>
      <c r="AZ34" s="22" t="s">
        <v>107</v>
      </c>
      <c r="BA34" s="22" t="s">
        <v>108</v>
      </c>
      <c r="BB34" s="31" t="s">
        <v>109</v>
      </c>
      <c r="BC34" s="31" t="s">
        <v>109</v>
      </c>
      <c r="BD34" s="32" t="str">
        <f t="shared" si="8"/>
        <v>nvl-nvs-imc-dsy-0820-10028</v>
      </c>
      <c r="BE34" s="33"/>
      <c r="BF34" s="33"/>
      <c r="BG34" s="39" t="str">
        <f>URL&amp;IF(ISNUMBER(FIND("?",URL)),"&amp;","?"&amp;("adlid="&amp;Unique_ID&amp;"&amp;adplt="&amp;Placement))</f>
        <v>#N/A</v>
      </c>
      <c r="BH34" s="1"/>
      <c r="BI34" s="1"/>
      <c r="BJ34" s="35" t="str">
        <f>LOWER("alp"&amp;"_"&amp;"vw"&amp;"_"&amp;Veiculo&amp;"_"&amp;C30&amp;"_"&amp;Objetivo)</f>
        <v>alp_vw___</v>
      </c>
      <c r="BK34" s="35" t="str">
        <f>LOWER(Buying_Metric&amp;"_"&amp;VLOOKUP(Buying_Type,Buy_type,2,FALSE)&amp;"_"&amp;Device&amp;"_"&amp;Size&amp;"_"&amp;Segmentação&amp;"_"&amp;Segmentação_Anúncio)</f>
        <v>#N/A</v>
      </c>
      <c r="BL34" s="35" t="str">
        <f>LOWER(Campanha_ou_InsertionOrder&amp;"_"&amp;LineItem_ou_Grupodeanúncio&amp;"_"&amp;Linha_criativa_2&amp;"_"&amp;Unique_ID)</f>
        <v>#N/A</v>
      </c>
      <c r="BM34" s="27"/>
      <c r="BN34" s="27"/>
    </row>
    <row r="35">
      <c r="A35" s="1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8" t="str">
        <f>LOWER(Campanha_ou_InsertionOrder&amp;"_"&amp;LineItem_ou_Grupodeanúncio&amp;"_"&amp;Linha_Criativa&amp;"_"&amp;Unique_ID)</f>
        <v>#N/A</v>
      </c>
      <c r="AN35" s="28" t="str">
        <f>LOWER(Campanha_ou_InsertionOrder&amp;"_"&amp;LineItem_ou_Grupodeanúncio&amp;"_"&amp;Linha_Criativa&amp;"_"&amp;Unique_ID)</f>
        <v>#N/A</v>
      </c>
      <c r="AO35" s="28" t="str">
        <f>LOWER("VW"&amp;"_"&amp;Model_Variant&amp;"_"&amp;Size&amp;"_"&amp;Linha_Criativa&amp;"_"&amp;IF(Servido_Por="portal",Veiculo,"adserver"))</f>
        <v>vw____adserver</v>
      </c>
      <c r="AP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" s="22" t="str">
        <f t="shared" si="1"/>
        <v/>
      </c>
      <c r="AS35" s="22" t="str">
        <f t="shared" si="2"/>
        <v/>
      </c>
      <c r="AT35" s="22" t="str">
        <f t="shared" si="3"/>
        <v>BR_IMC_DSY_LANCH_ND_NC_2020Q3AUG_NVS_Nivus-Launch-Consideracao</v>
      </c>
      <c r="AU35" s="22" t="str">
        <f t="shared" si="4"/>
        <v>#N/A</v>
      </c>
      <c r="AV35" s="22" t="s">
        <v>106</v>
      </c>
      <c r="AW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" s="22" t="str">
        <f t="shared" si="5"/>
        <v>BR_IMC_DSY_LANCH_ND_NC_2020Q3AUG_NVS_Nivus-Launch-Consideracao</v>
      </c>
      <c r="AY35" s="28" t="str">
        <f t="shared" si="6"/>
        <v>#N/A</v>
      </c>
      <c r="AZ35" s="22" t="s">
        <v>107</v>
      </c>
      <c r="BA35" s="22" t="s">
        <v>108</v>
      </c>
      <c r="BB35" s="31" t="s">
        <v>109</v>
      </c>
      <c r="BC35" s="31" t="s">
        <v>109</v>
      </c>
      <c r="BD35" s="32" t="str">
        <f t="shared" si="8"/>
        <v>nvl-nvs-imc-dsy-0820-10029</v>
      </c>
      <c r="BE35" s="33"/>
      <c r="BF35" s="33"/>
      <c r="BG35" s="39" t="str">
        <f>URL&amp;IF(ISNUMBER(FIND("?",URL)),"&amp;","?"&amp;("adlid="&amp;Unique_ID&amp;"&amp;adplt="&amp;Placement))</f>
        <v>#N/A</v>
      </c>
      <c r="BH35" s="1"/>
      <c r="BI35" s="1"/>
      <c r="BJ35" s="35" t="str">
        <f>LOWER("alp"&amp;"_"&amp;"vw"&amp;"_"&amp;Veiculo&amp;"_"&amp;C31&amp;"_"&amp;Objetivo)</f>
        <v>alp_vw___</v>
      </c>
      <c r="BK35" s="35" t="str">
        <f>LOWER(Buying_Metric&amp;"_"&amp;VLOOKUP(Buying_Type,Buy_type,2,FALSE)&amp;"_"&amp;Device&amp;"_"&amp;Size&amp;"_"&amp;Segmentação&amp;"_"&amp;Segmentação_Anúncio)</f>
        <v>#N/A</v>
      </c>
      <c r="BL35" s="35" t="str">
        <f>LOWER(Campanha_ou_InsertionOrder&amp;"_"&amp;LineItem_ou_Grupodeanúncio&amp;"_"&amp;Linha_criativa_2&amp;"_"&amp;Unique_ID)</f>
        <v>#N/A</v>
      </c>
      <c r="BM35" s="27"/>
      <c r="BN35" s="27"/>
    </row>
    <row r="36">
      <c r="A36" s="1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8" t="str">
        <f>LOWER(Campanha_ou_InsertionOrder&amp;"_"&amp;LineItem_ou_Grupodeanúncio&amp;"_"&amp;Linha_Criativa&amp;"_"&amp;Unique_ID)</f>
        <v>#N/A</v>
      </c>
      <c r="AN36" s="28" t="str">
        <f>LOWER(Campanha_ou_InsertionOrder&amp;"_"&amp;LineItem_ou_Grupodeanúncio&amp;"_"&amp;Linha_Criativa&amp;"_"&amp;Unique_ID)</f>
        <v>#N/A</v>
      </c>
      <c r="AO36" s="28" t="str">
        <f>LOWER("VW"&amp;"_"&amp;Model_Variant&amp;"_"&amp;Size&amp;"_"&amp;Linha_Criativa&amp;"_"&amp;IF(Servido_Por="portal",Veiculo,"adserver"))</f>
        <v>vw____adserver</v>
      </c>
      <c r="AP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" s="22" t="str">
        <f t="shared" si="1"/>
        <v/>
      </c>
      <c r="AS36" s="22" t="str">
        <f t="shared" si="2"/>
        <v/>
      </c>
      <c r="AT36" s="22" t="str">
        <f t="shared" si="3"/>
        <v>BR_IMC_DSY_LANCH_ND_NC_2020Q3AUG_NVS_Nivus-Launch-Consideracao</v>
      </c>
      <c r="AU36" s="22" t="str">
        <f t="shared" si="4"/>
        <v>#N/A</v>
      </c>
      <c r="AV36" s="22" t="s">
        <v>106</v>
      </c>
      <c r="AW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" s="22" t="str">
        <f t="shared" si="5"/>
        <v>BR_IMC_DSY_LANCH_ND_NC_2020Q3AUG_NVS_Nivus-Launch-Consideracao</v>
      </c>
      <c r="AY36" s="28" t="str">
        <f t="shared" si="6"/>
        <v>#N/A</v>
      </c>
      <c r="AZ36" s="22" t="s">
        <v>107</v>
      </c>
      <c r="BA36" s="22" t="s">
        <v>108</v>
      </c>
      <c r="BB36" s="31" t="s">
        <v>109</v>
      </c>
      <c r="BC36" s="31" t="s">
        <v>109</v>
      </c>
      <c r="BD36" s="32" t="str">
        <f t="shared" si="8"/>
        <v>nvl-nvs-imc-dsy-0820-10030</v>
      </c>
      <c r="BE36" s="33"/>
      <c r="BF36" s="33"/>
      <c r="BG36" s="39" t="str">
        <f>URL&amp;IF(ISNUMBER(FIND("?",URL)),"&amp;","?"&amp;("adlid="&amp;Unique_ID&amp;"&amp;adplt="&amp;Placement))</f>
        <v>#N/A</v>
      </c>
      <c r="BH36" s="1"/>
      <c r="BI36" s="1"/>
      <c r="BJ36" s="35" t="str">
        <f>LOWER("alp"&amp;"_"&amp;"vw"&amp;"_"&amp;Veiculo&amp;"_"&amp;C32&amp;"_"&amp;Objetivo)</f>
        <v>alp_vw___</v>
      </c>
      <c r="BK36" s="35" t="str">
        <f>LOWER(Buying_Metric&amp;"_"&amp;VLOOKUP(Buying_Type,Buy_type,2,FALSE)&amp;"_"&amp;Device&amp;"_"&amp;Size&amp;"_"&amp;Segmentação&amp;"_"&amp;Segmentação_Anúncio)</f>
        <v>#N/A</v>
      </c>
      <c r="BL36" s="35" t="str">
        <f>LOWER(Campanha_ou_InsertionOrder&amp;"_"&amp;LineItem_ou_Grupodeanúncio&amp;"_"&amp;Linha_criativa_2&amp;"_"&amp;Unique_ID)</f>
        <v>#N/A</v>
      </c>
      <c r="BM36" s="27"/>
      <c r="BN36" s="27"/>
    </row>
    <row r="37">
      <c r="A37" s="1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8" t="str">
        <f>LOWER(Campanha_ou_InsertionOrder&amp;"_"&amp;LineItem_ou_Grupodeanúncio&amp;"_"&amp;Linha_Criativa&amp;"_"&amp;Unique_ID)</f>
        <v>#N/A</v>
      </c>
      <c r="AN37" s="28" t="str">
        <f>LOWER(Campanha_ou_InsertionOrder&amp;"_"&amp;LineItem_ou_Grupodeanúncio&amp;"_"&amp;Linha_Criativa&amp;"_"&amp;Unique_ID)</f>
        <v>#N/A</v>
      </c>
      <c r="AO37" s="28" t="str">
        <f>LOWER("VW"&amp;"_"&amp;Model_Variant&amp;"_"&amp;Size&amp;"_"&amp;Linha_Criativa&amp;"_"&amp;IF(Servido_Por="portal",Veiculo,"adserver"))</f>
        <v>vw____adserver</v>
      </c>
      <c r="AP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" s="22" t="str">
        <f t="shared" si="1"/>
        <v/>
      </c>
      <c r="AS37" s="22" t="str">
        <f t="shared" si="2"/>
        <v/>
      </c>
      <c r="AT37" s="22" t="str">
        <f t="shared" si="3"/>
        <v>BR_IMC_DSY_LANCH_ND_NC_2020Q3AUG_NVS_Nivus-Launch-Consideracao</v>
      </c>
      <c r="AU37" s="22" t="str">
        <f t="shared" si="4"/>
        <v>#N/A</v>
      </c>
      <c r="AV37" s="22" t="s">
        <v>106</v>
      </c>
      <c r="AW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" s="22" t="str">
        <f t="shared" si="5"/>
        <v>BR_IMC_DSY_LANCH_ND_NC_2020Q3AUG_NVS_Nivus-Launch-Consideracao</v>
      </c>
      <c r="AY37" s="28" t="str">
        <f t="shared" si="6"/>
        <v>#N/A</v>
      </c>
      <c r="AZ37" s="22" t="s">
        <v>107</v>
      </c>
      <c r="BA37" s="22" t="s">
        <v>108</v>
      </c>
      <c r="BB37" s="31" t="s">
        <v>109</v>
      </c>
      <c r="BC37" s="31" t="s">
        <v>109</v>
      </c>
      <c r="BD37" s="32" t="str">
        <f t="shared" si="8"/>
        <v>nvl-nvs-imc-dsy-0820-10031</v>
      </c>
      <c r="BE37" s="33"/>
      <c r="BF37" s="33"/>
      <c r="BG37" s="39" t="str">
        <f>URL&amp;IF(ISNUMBER(FIND("?",URL)),"&amp;","?"&amp;("adlid="&amp;Unique_ID&amp;"&amp;adplt="&amp;Placement))</f>
        <v>#N/A</v>
      </c>
      <c r="BH37" s="1"/>
      <c r="BI37" s="1"/>
      <c r="BJ37" s="35" t="str">
        <f>LOWER("alp"&amp;"_"&amp;"vw"&amp;"_"&amp;Veiculo&amp;"_"&amp;C33&amp;"_"&amp;Objetivo)</f>
        <v>alp_vw___</v>
      </c>
      <c r="BK37" s="35" t="str">
        <f>LOWER(Buying_Metric&amp;"_"&amp;VLOOKUP(Buying_Type,Buy_type,2,FALSE)&amp;"_"&amp;Device&amp;"_"&amp;Size&amp;"_"&amp;Segmentação&amp;"_"&amp;Segmentação_Anúncio)</f>
        <v>#N/A</v>
      </c>
      <c r="BL37" s="35" t="str">
        <f>LOWER(Campanha_ou_InsertionOrder&amp;"_"&amp;LineItem_ou_Grupodeanúncio&amp;"_"&amp;Linha_criativa_2&amp;"_"&amp;Unique_ID)</f>
        <v>#N/A</v>
      </c>
      <c r="BM37" s="27"/>
      <c r="BN37" s="27"/>
    </row>
    <row r="38">
      <c r="A38" s="1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8" t="str">
        <f>LOWER(Campanha_ou_InsertionOrder&amp;"_"&amp;LineItem_ou_Grupodeanúncio&amp;"_"&amp;Linha_Criativa&amp;"_"&amp;Unique_ID)</f>
        <v>#N/A</v>
      </c>
      <c r="AN38" s="28" t="str">
        <f>LOWER(Campanha_ou_InsertionOrder&amp;"_"&amp;LineItem_ou_Grupodeanúncio&amp;"_"&amp;Linha_Criativa&amp;"_"&amp;Unique_ID)</f>
        <v>#N/A</v>
      </c>
      <c r="AO38" s="28" t="str">
        <f>LOWER("VW"&amp;"_"&amp;Model_Variant&amp;"_"&amp;Size&amp;"_"&amp;Linha_Criativa&amp;"_"&amp;IF(Servido_Por="portal",Veiculo,"adserver"))</f>
        <v>vw____adserver</v>
      </c>
      <c r="AP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" s="22" t="str">
        <f t="shared" si="1"/>
        <v/>
      </c>
      <c r="AS38" s="22" t="str">
        <f t="shared" si="2"/>
        <v/>
      </c>
      <c r="AT38" s="22" t="str">
        <f t="shared" si="3"/>
        <v>BR_IMC_DSY_LANCH_ND_NC_2020Q3AUG_NVS_Nivus-Launch-Consideracao</v>
      </c>
      <c r="AU38" s="22" t="str">
        <f t="shared" si="4"/>
        <v>#N/A</v>
      </c>
      <c r="AV38" s="22" t="s">
        <v>106</v>
      </c>
      <c r="AW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" s="22" t="str">
        <f t="shared" si="5"/>
        <v>BR_IMC_DSY_LANCH_ND_NC_2020Q3AUG_NVS_Nivus-Launch-Consideracao</v>
      </c>
      <c r="AY38" s="28" t="str">
        <f t="shared" si="6"/>
        <v>#N/A</v>
      </c>
      <c r="AZ38" s="22" t="s">
        <v>107</v>
      </c>
      <c r="BA38" s="22" t="s">
        <v>108</v>
      </c>
      <c r="BB38" s="31" t="s">
        <v>109</v>
      </c>
      <c r="BC38" s="31" t="s">
        <v>109</v>
      </c>
      <c r="BD38" s="32" t="str">
        <f t="shared" si="8"/>
        <v>nvl-nvs-imc-dsy-0820-10032</v>
      </c>
      <c r="BE38" s="33"/>
      <c r="BF38" s="33"/>
      <c r="BG38" s="39" t="str">
        <f>URL&amp;IF(ISNUMBER(FIND("?",URL)),"&amp;","?"&amp;("adlid="&amp;Unique_ID&amp;"&amp;adplt="&amp;Placement))</f>
        <v>#N/A</v>
      </c>
      <c r="BH38" s="1"/>
      <c r="BI38" s="1"/>
      <c r="BJ38" s="35" t="str">
        <f>LOWER("alp"&amp;"_"&amp;"vw"&amp;"_"&amp;Veiculo&amp;"_"&amp;C34&amp;"_"&amp;Objetivo)</f>
        <v>alp_vw___</v>
      </c>
      <c r="BK38" s="35" t="str">
        <f>LOWER(Buying_Metric&amp;"_"&amp;VLOOKUP(Buying_Type,Buy_type,2,FALSE)&amp;"_"&amp;Device&amp;"_"&amp;Size&amp;"_"&amp;Segmentação&amp;"_"&amp;Segmentação_Anúncio)</f>
        <v>#N/A</v>
      </c>
      <c r="BL38" s="35" t="str">
        <f>LOWER(Campanha_ou_InsertionOrder&amp;"_"&amp;LineItem_ou_Grupodeanúncio&amp;"_"&amp;Linha_criativa_2&amp;"_"&amp;Unique_ID)</f>
        <v>#N/A</v>
      </c>
      <c r="BM38" s="27"/>
      <c r="BN38" s="27"/>
    </row>
    <row r="39">
      <c r="A39" s="1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8" t="str">
        <f>LOWER(Campanha_ou_InsertionOrder&amp;"_"&amp;LineItem_ou_Grupodeanúncio&amp;"_"&amp;Linha_Criativa&amp;"_"&amp;Unique_ID)</f>
        <v>#N/A</v>
      </c>
      <c r="AN39" s="28" t="str">
        <f>LOWER(Campanha_ou_InsertionOrder&amp;"_"&amp;LineItem_ou_Grupodeanúncio&amp;"_"&amp;Linha_Criativa&amp;"_"&amp;Unique_ID)</f>
        <v>#N/A</v>
      </c>
      <c r="AO39" s="28" t="str">
        <f>LOWER("VW"&amp;"_"&amp;Model_Variant&amp;"_"&amp;Size&amp;"_"&amp;Linha_Criativa&amp;"_"&amp;IF(Servido_Por="portal",Veiculo,"adserver"))</f>
        <v>vw____adserver</v>
      </c>
      <c r="AP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" s="22" t="str">
        <f t="shared" si="1"/>
        <v/>
      </c>
      <c r="AS39" s="22" t="str">
        <f t="shared" si="2"/>
        <v/>
      </c>
      <c r="AT39" s="22" t="str">
        <f t="shared" si="3"/>
        <v>BR_IMC_DSY_LANCH_ND_NC_2020Q3AUG_NVS_Nivus-Launch-Consideracao</v>
      </c>
      <c r="AU39" s="22" t="str">
        <f t="shared" si="4"/>
        <v>#N/A</v>
      </c>
      <c r="AV39" s="22" t="s">
        <v>106</v>
      </c>
      <c r="AW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" s="22" t="str">
        <f t="shared" si="5"/>
        <v>BR_IMC_DSY_LANCH_ND_NC_2020Q3AUG_NVS_Nivus-Launch-Consideracao</v>
      </c>
      <c r="AY39" s="28" t="str">
        <f t="shared" si="6"/>
        <v>#N/A</v>
      </c>
      <c r="AZ39" s="22" t="s">
        <v>107</v>
      </c>
      <c r="BA39" s="22" t="s">
        <v>108</v>
      </c>
      <c r="BB39" s="31" t="s">
        <v>109</v>
      </c>
      <c r="BC39" s="31" t="s">
        <v>109</v>
      </c>
      <c r="BD39" s="32" t="str">
        <f t="shared" si="8"/>
        <v>nvl-nvs-imc-dsy-0820-10033</v>
      </c>
      <c r="BE39" s="33"/>
      <c r="BF39" s="33"/>
      <c r="BG39" s="39" t="str">
        <f>URL&amp;IF(ISNUMBER(FIND("?",URL)),"&amp;","?"&amp;("adlid="&amp;Unique_ID&amp;"&amp;adplt="&amp;Placement))</f>
        <v>#N/A</v>
      </c>
      <c r="BH39" s="1"/>
      <c r="BI39" s="1"/>
      <c r="BJ39" s="35" t="str">
        <f>LOWER("alp"&amp;"_"&amp;"vw"&amp;"_"&amp;Veiculo&amp;"_"&amp;C35&amp;"_"&amp;Objetivo)</f>
        <v>alp_vw___</v>
      </c>
      <c r="BK39" s="35" t="str">
        <f>LOWER(Buying_Metric&amp;"_"&amp;VLOOKUP(Buying_Type,Buy_type,2,FALSE)&amp;"_"&amp;Device&amp;"_"&amp;Size&amp;"_"&amp;Segmentação&amp;"_"&amp;Segmentação_Anúncio)</f>
        <v>#N/A</v>
      </c>
      <c r="BL39" s="35" t="str">
        <f>LOWER(Campanha_ou_InsertionOrder&amp;"_"&amp;LineItem_ou_Grupodeanúncio&amp;"_"&amp;Linha_criativa_2&amp;"_"&amp;Unique_ID)</f>
        <v>#N/A</v>
      </c>
      <c r="BM39" s="27"/>
      <c r="BN39" s="27"/>
    </row>
    <row r="40">
      <c r="A40" s="1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8" t="str">
        <f>LOWER(Campanha_ou_InsertionOrder&amp;"_"&amp;LineItem_ou_Grupodeanúncio&amp;"_"&amp;Linha_Criativa&amp;"_"&amp;Unique_ID)</f>
        <v>#N/A</v>
      </c>
      <c r="AN40" s="28" t="str">
        <f>LOWER(Campanha_ou_InsertionOrder&amp;"_"&amp;LineItem_ou_Grupodeanúncio&amp;"_"&amp;Linha_Criativa&amp;"_"&amp;Unique_ID)</f>
        <v>#N/A</v>
      </c>
      <c r="AO40" s="28" t="str">
        <f>LOWER("VW"&amp;"_"&amp;Model_Variant&amp;"_"&amp;Size&amp;"_"&amp;Linha_Criativa&amp;"_"&amp;IF(Servido_Por="portal",Veiculo,"adserver"))</f>
        <v>vw____adserver</v>
      </c>
      <c r="AP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" s="22" t="str">
        <f t="shared" si="1"/>
        <v/>
      </c>
      <c r="AS40" s="22" t="str">
        <f t="shared" si="2"/>
        <v/>
      </c>
      <c r="AT40" s="22" t="str">
        <f t="shared" si="3"/>
        <v>BR_IMC_DSY_LANCH_ND_NC_2020Q3AUG_NVS_Nivus-Launch-Consideracao</v>
      </c>
      <c r="AU40" s="22" t="str">
        <f t="shared" si="4"/>
        <v>#N/A</v>
      </c>
      <c r="AV40" s="22" t="s">
        <v>106</v>
      </c>
      <c r="AW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" s="22" t="str">
        <f t="shared" si="5"/>
        <v>BR_IMC_DSY_LANCH_ND_NC_2020Q3AUG_NVS_Nivus-Launch-Consideracao</v>
      </c>
      <c r="AY40" s="28" t="str">
        <f t="shared" si="6"/>
        <v>#N/A</v>
      </c>
      <c r="AZ40" s="22" t="s">
        <v>107</v>
      </c>
      <c r="BA40" s="22" t="s">
        <v>108</v>
      </c>
      <c r="BB40" s="31" t="s">
        <v>109</v>
      </c>
      <c r="BC40" s="31" t="s">
        <v>109</v>
      </c>
      <c r="BD40" s="32" t="str">
        <f t="shared" si="8"/>
        <v>nvl-nvs-imc-dsy-0820-10034</v>
      </c>
      <c r="BE40" s="33"/>
      <c r="BF40" s="33"/>
      <c r="BG40" s="39" t="str">
        <f>URL&amp;IF(ISNUMBER(FIND("?",URL)),"&amp;","?"&amp;("adlid="&amp;Unique_ID&amp;"&amp;adplt="&amp;Placement))</f>
        <v>#N/A</v>
      </c>
      <c r="BH40" s="1"/>
      <c r="BI40" s="1"/>
      <c r="BJ40" s="35" t="str">
        <f>LOWER("alp"&amp;"_"&amp;"vw"&amp;"_"&amp;Veiculo&amp;"_"&amp;C36&amp;"_"&amp;Objetivo)</f>
        <v>alp_vw___</v>
      </c>
      <c r="BK40" s="35" t="str">
        <f>LOWER(Buying_Metric&amp;"_"&amp;VLOOKUP(Buying_Type,Buy_type,2,FALSE)&amp;"_"&amp;Device&amp;"_"&amp;Size&amp;"_"&amp;Segmentação&amp;"_"&amp;Segmentação_Anúncio)</f>
        <v>#N/A</v>
      </c>
      <c r="BL40" s="35" t="str">
        <f>LOWER(Campanha_ou_InsertionOrder&amp;"_"&amp;LineItem_ou_Grupodeanúncio&amp;"_"&amp;Linha_criativa_2&amp;"_"&amp;Unique_ID)</f>
        <v>#N/A</v>
      </c>
      <c r="BM40" s="27"/>
      <c r="BN40" s="27"/>
    </row>
    <row r="41">
      <c r="A41" s="1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8" t="str">
        <f>LOWER(Campanha_ou_InsertionOrder&amp;"_"&amp;LineItem_ou_Grupodeanúncio&amp;"_"&amp;Linha_Criativa&amp;"_"&amp;Unique_ID)</f>
        <v>#N/A</v>
      </c>
      <c r="AN41" s="28" t="str">
        <f>LOWER(Campanha_ou_InsertionOrder&amp;"_"&amp;LineItem_ou_Grupodeanúncio&amp;"_"&amp;Linha_Criativa&amp;"_"&amp;Unique_ID)</f>
        <v>#N/A</v>
      </c>
      <c r="AO41" s="28" t="str">
        <f>LOWER("VW"&amp;"_"&amp;Model_Variant&amp;"_"&amp;Size&amp;"_"&amp;Linha_Criativa&amp;"_"&amp;IF(Servido_Por="portal",Veiculo,"adserver"))</f>
        <v>vw____adserver</v>
      </c>
      <c r="AP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" s="22" t="str">
        <f t="shared" si="1"/>
        <v/>
      </c>
      <c r="AS41" s="22" t="str">
        <f t="shared" si="2"/>
        <v/>
      </c>
      <c r="AT41" s="22" t="str">
        <f t="shared" si="3"/>
        <v>BR_IMC_DSY_LANCH_ND_NC_2020Q3AUG_NVS_Nivus-Launch-Consideracao</v>
      </c>
      <c r="AU41" s="22" t="str">
        <f t="shared" si="4"/>
        <v>#N/A</v>
      </c>
      <c r="AV41" s="22" t="s">
        <v>106</v>
      </c>
      <c r="AW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" s="22" t="str">
        <f t="shared" si="5"/>
        <v>BR_IMC_DSY_LANCH_ND_NC_2020Q3AUG_NVS_Nivus-Launch-Consideracao</v>
      </c>
      <c r="AY41" s="28" t="str">
        <f t="shared" si="6"/>
        <v>#N/A</v>
      </c>
      <c r="AZ41" s="22" t="s">
        <v>107</v>
      </c>
      <c r="BA41" s="22" t="s">
        <v>108</v>
      </c>
      <c r="BB41" s="31" t="s">
        <v>109</v>
      </c>
      <c r="BC41" s="31" t="s">
        <v>109</v>
      </c>
      <c r="BD41" s="32" t="str">
        <f t="shared" si="8"/>
        <v>nvl-nvs-imc-dsy-0820-10035</v>
      </c>
      <c r="BE41" s="33"/>
      <c r="BF41" s="33"/>
      <c r="BG41" s="39" t="str">
        <f>URL&amp;IF(ISNUMBER(FIND("?",URL)),"&amp;","?"&amp;("adlid="&amp;Unique_ID&amp;"&amp;adplt="&amp;Placement))</f>
        <v>#N/A</v>
      </c>
      <c r="BH41" s="1"/>
      <c r="BI41" s="1"/>
      <c r="BJ41" s="35" t="str">
        <f>LOWER("alp"&amp;"_"&amp;"vw"&amp;"_"&amp;Veiculo&amp;"_"&amp;C37&amp;"_"&amp;Objetivo)</f>
        <v>alp_vw___</v>
      </c>
      <c r="BK41" s="35" t="str">
        <f>LOWER(Buying_Metric&amp;"_"&amp;VLOOKUP(Buying_Type,Buy_type,2,FALSE)&amp;"_"&amp;Device&amp;"_"&amp;Size&amp;"_"&amp;Segmentação&amp;"_"&amp;Segmentação_Anúncio)</f>
        <v>#N/A</v>
      </c>
      <c r="BL41" s="35" t="str">
        <f>LOWER(Campanha_ou_InsertionOrder&amp;"_"&amp;LineItem_ou_Grupodeanúncio&amp;"_"&amp;Linha_criativa_2&amp;"_"&amp;Unique_ID)</f>
        <v>#N/A</v>
      </c>
      <c r="BM41" s="27"/>
      <c r="BN41" s="27"/>
    </row>
    <row r="42">
      <c r="A42" s="1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8" t="str">
        <f>LOWER(Campanha_ou_InsertionOrder&amp;"_"&amp;LineItem_ou_Grupodeanúncio&amp;"_"&amp;Linha_Criativa&amp;"_"&amp;Unique_ID)</f>
        <v>#N/A</v>
      </c>
      <c r="AN42" s="28" t="str">
        <f>LOWER(Campanha_ou_InsertionOrder&amp;"_"&amp;LineItem_ou_Grupodeanúncio&amp;"_"&amp;Linha_Criativa&amp;"_"&amp;Unique_ID)</f>
        <v>#N/A</v>
      </c>
      <c r="AO42" s="28" t="str">
        <f>LOWER("VW"&amp;"_"&amp;Model_Variant&amp;"_"&amp;Size&amp;"_"&amp;Linha_Criativa&amp;"_"&amp;IF(Servido_Por="portal",Veiculo,"adserver"))</f>
        <v>vw____adserver</v>
      </c>
      <c r="AP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" s="22" t="str">
        <f t="shared" si="1"/>
        <v/>
      </c>
      <c r="AS42" s="22" t="str">
        <f t="shared" si="2"/>
        <v/>
      </c>
      <c r="AT42" s="22" t="str">
        <f t="shared" si="3"/>
        <v>BR_IMC_DSY_LANCH_ND_NC_2020Q3AUG_NVS_Nivus-Launch-Consideracao</v>
      </c>
      <c r="AU42" s="22" t="str">
        <f t="shared" si="4"/>
        <v>#N/A</v>
      </c>
      <c r="AV42" s="22" t="s">
        <v>106</v>
      </c>
      <c r="AW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" s="22" t="str">
        <f t="shared" si="5"/>
        <v>BR_IMC_DSY_LANCH_ND_NC_2020Q3AUG_NVS_Nivus-Launch-Consideracao</v>
      </c>
      <c r="AY42" s="28" t="str">
        <f t="shared" si="6"/>
        <v>#N/A</v>
      </c>
      <c r="AZ42" s="22" t="s">
        <v>107</v>
      </c>
      <c r="BA42" s="22" t="s">
        <v>108</v>
      </c>
      <c r="BB42" s="31" t="s">
        <v>109</v>
      </c>
      <c r="BC42" s="31" t="s">
        <v>109</v>
      </c>
      <c r="BD42" s="32" t="str">
        <f t="shared" si="8"/>
        <v>nvl-nvs-imc-dsy-0820-10036</v>
      </c>
      <c r="BE42" s="33"/>
      <c r="BF42" s="33"/>
      <c r="BG42" s="39" t="str">
        <f>URL&amp;IF(ISNUMBER(FIND("?",URL)),"&amp;","?"&amp;("adlid="&amp;Unique_ID&amp;"&amp;adplt="&amp;Placement))</f>
        <v>#N/A</v>
      </c>
      <c r="BH42" s="1"/>
      <c r="BI42" s="1"/>
      <c r="BJ42" s="35" t="str">
        <f>LOWER("alp"&amp;"_"&amp;"vw"&amp;"_"&amp;Veiculo&amp;"_"&amp;C38&amp;"_"&amp;Objetivo)</f>
        <v>alp_vw___</v>
      </c>
      <c r="BK42" s="35" t="str">
        <f>LOWER(Buying_Metric&amp;"_"&amp;VLOOKUP(Buying_Type,Buy_type,2,FALSE)&amp;"_"&amp;Device&amp;"_"&amp;Size&amp;"_"&amp;Segmentação&amp;"_"&amp;Segmentação_Anúncio)</f>
        <v>#N/A</v>
      </c>
      <c r="BL42" s="35" t="str">
        <f>LOWER(Campanha_ou_InsertionOrder&amp;"_"&amp;LineItem_ou_Grupodeanúncio&amp;"_"&amp;Linha_criativa_2&amp;"_"&amp;Unique_ID)</f>
        <v>#N/A</v>
      </c>
      <c r="BM42" s="27"/>
      <c r="BN42" s="27"/>
    </row>
    <row r="43">
      <c r="A43" s="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8" t="str">
        <f>LOWER(Campanha_ou_InsertionOrder&amp;"_"&amp;LineItem_ou_Grupodeanúncio&amp;"_"&amp;Linha_Criativa&amp;"_"&amp;Unique_ID)</f>
        <v>#N/A</v>
      </c>
      <c r="AN43" s="28" t="str">
        <f>LOWER(Campanha_ou_InsertionOrder&amp;"_"&amp;LineItem_ou_Grupodeanúncio&amp;"_"&amp;Linha_Criativa&amp;"_"&amp;Unique_ID)</f>
        <v>#N/A</v>
      </c>
      <c r="AO43" s="28" t="str">
        <f>LOWER("VW"&amp;"_"&amp;Model_Variant&amp;"_"&amp;Size&amp;"_"&amp;Linha_Criativa&amp;"_"&amp;IF(Servido_Por="portal",Veiculo,"adserver"))</f>
        <v>vw____adserver</v>
      </c>
      <c r="AP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" s="22" t="str">
        <f t="shared" si="1"/>
        <v/>
      </c>
      <c r="AS43" s="22" t="str">
        <f t="shared" si="2"/>
        <v/>
      </c>
      <c r="AT43" s="22" t="str">
        <f t="shared" si="3"/>
        <v>BR_IMC_DSY_LANCH_ND_NC_2020Q3AUG_NVS_Nivus-Launch-Consideracao</v>
      </c>
      <c r="AU43" s="22" t="str">
        <f t="shared" si="4"/>
        <v>#N/A</v>
      </c>
      <c r="AV43" s="22" t="s">
        <v>106</v>
      </c>
      <c r="AW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" s="22" t="str">
        <f t="shared" si="5"/>
        <v>BR_IMC_DSY_LANCH_ND_NC_2020Q3AUG_NVS_Nivus-Launch-Consideracao</v>
      </c>
      <c r="AY43" s="28" t="str">
        <f t="shared" si="6"/>
        <v>#N/A</v>
      </c>
      <c r="AZ43" s="22" t="s">
        <v>107</v>
      </c>
      <c r="BA43" s="22" t="s">
        <v>108</v>
      </c>
      <c r="BB43" s="31" t="s">
        <v>109</v>
      </c>
      <c r="BC43" s="31" t="s">
        <v>109</v>
      </c>
      <c r="BD43" s="32" t="str">
        <f t="shared" si="8"/>
        <v>nvl-nvs-imc-dsy-0820-10037</v>
      </c>
      <c r="BE43" s="33"/>
      <c r="BF43" s="33"/>
      <c r="BG43" s="39" t="str">
        <f>URL&amp;IF(ISNUMBER(FIND("?",URL)),"&amp;","?"&amp;("adlid="&amp;Unique_ID&amp;"&amp;adplt="&amp;Placement))</f>
        <v>#N/A</v>
      </c>
      <c r="BH43" s="1"/>
      <c r="BI43" s="1"/>
      <c r="BJ43" s="35" t="str">
        <f>LOWER("alp"&amp;"_"&amp;"vw"&amp;"_"&amp;Veiculo&amp;"_"&amp;C39&amp;"_"&amp;Objetivo)</f>
        <v>alp_vw___</v>
      </c>
      <c r="BK43" s="35" t="str">
        <f>LOWER(Buying_Metric&amp;"_"&amp;VLOOKUP(Buying_Type,Buy_type,2,FALSE)&amp;"_"&amp;Device&amp;"_"&amp;Size&amp;"_"&amp;Segmentação&amp;"_"&amp;Segmentação_Anúncio)</f>
        <v>#N/A</v>
      </c>
      <c r="BL43" s="35" t="str">
        <f>LOWER(Campanha_ou_InsertionOrder&amp;"_"&amp;LineItem_ou_Grupodeanúncio&amp;"_"&amp;Linha_criativa_2&amp;"_"&amp;Unique_ID)</f>
        <v>#N/A</v>
      </c>
      <c r="BM43" s="27"/>
      <c r="BN43" s="27"/>
    </row>
    <row r="44">
      <c r="A44" s="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8" t="str">
        <f>LOWER(Campanha_ou_InsertionOrder&amp;"_"&amp;LineItem_ou_Grupodeanúncio&amp;"_"&amp;Linha_Criativa&amp;"_"&amp;Unique_ID)</f>
        <v>#N/A</v>
      </c>
      <c r="AN44" s="28" t="str">
        <f>LOWER(Campanha_ou_InsertionOrder&amp;"_"&amp;LineItem_ou_Grupodeanúncio&amp;"_"&amp;Linha_Criativa&amp;"_"&amp;Unique_ID)</f>
        <v>#N/A</v>
      </c>
      <c r="AO44" s="28" t="str">
        <f>LOWER("VW"&amp;"_"&amp;Model_Variant&amp;"_"&amp;Size&amp;"_"&amp;Linha_Criativa&amp;"_"&amp;IF(Servido_Por="portal",Veiculo,"adserver"))</f>
        <v>vw____adserver</v>
      </c>
      <c r="AP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" s="22" t="str">
        <f t="shared" si="1"/>
        <v/>
      </c>
      <c r="AS44" s="22" t="str">
        <f t="shared" si="2"/>
        <v/>
      </c>
      <c r="AT44" s="22" t="str">
        <f t="shared" si="3"/>
        <v>BR_IMC_DSY_LANCH_ND_NC_2020Q3AUG_NVS_Nivus-Launch-Consideracao</v>
      </c>
      <c r="AU44" s="22" t="str">
        <f t="shared" si="4"/>
        <v>#N/A</v>
      </c>
      <c r="AV44" s="22" t="s">
        <v>106</v>
      </c>
      <c r="AW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" s="22" t="str">
        <f t="shared" si="5"/>
        <v>BR_IMC_DSY_LANCH_ND_NC_2020Q3AUG_NVS_Nivus-Launch-Consideracao</v>
      </c>
      <c r="AY44" s="28" t="str">
        <f t="shared" si="6"/>
        <v>#N/A</v>
      </c>
      <c r="AZ44" s="22" t="s">
        <v>107</v>
      </c>
      <c r="BA44" s="22" t="s">
        <v>108</v>
      </c>
      <c r="BB44" s="31" t="s">
        <v>109</v>
      </c>
      <c r="BC44" s="31" t="s">
        <v>109</v>
      </c>
      <c r="BD44" s="32" t="str">
        <f t="shared" si="8"/>
        <v>nvl-nvs-imc-dsy-0820-10038</v>
      </c>
      <c r="BE44" s="33"/>
      <c r="BF44" s="33"/>
      <c r="BG44" s="39" t="str">
        <f>URL&amp;IF(ISNUMBER(FIND("?",URL)),"&amp;","?"&amp;("adlid="&amp;Unique_ID&amp;"&amp;adplt="&amp;Placement))</f>
        <v>#N/A</v>
      </c>
      <c r="BH44" s="1"/>
      <c r="BI44" s="1"/>
      <c r="BJ44" s="35" t="str">
        <f>LOWER("alp"&amp;"_"&amp;"vw"&amp;"_"&amp;Veiculo&amp;"_"&amp;C40&amp;"_"&amp;Objetivo)</f>
        <v>alp_vw___</v>
      </c>
      <c r="BK44" s="35" t="str">
        <f>LOWER(Buying_Metric&amp;"_"&amp;VLOOKUP(Buying_Type,Buy_type,2,FALSE)&amp;"_"&amp;Device&amp;"_"&amp;Size&amp;"_"&amp;Segmentação&amp;"_"&amp;Segmentação_Anúncio)</f>
        <v>#N/A</v>
      </c>
      <c r="BL44" s="35" t="str">
        <f>LOWER(Campanha_ou_InsertionOrder&amp;"_"&amp;LineItem_ou_Grupodeanúncio&amp;"_"&amp;Linha_criativa_2&amp;"_"&amp;Unique_ID)</f>
        <v>#N/A</v>
      </c>
      <c r="BM44" s="27"/>
      <c r="BN44" s="27"/>
    </row>
    <row r="45">
      <c r="A45" s="1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8" t="str">
        <f>LOWER(Campanha_ou_InsertionOrder&amp;"_"&amp;LineItem_ou_Grupodeanúncio&amp;"_"&amp;Linha_Criativa&amp;"_"&amp;Unique_ID)</f>
        <v>#N/A</v>
      </c>
      <c r="AN45" s="28" t="str">
        <f>LOWER(Campanha_ou_InsertionOrder&amp;"_"&amp;LineItem_ou_Grupodeanúncio&amp;"_"&amp;Linha_Criativa&amp;"_"&amp;Unique_ID)</f>
        <v>#N/A</v>
      </c>
      <c r="AO45" s="28" t="str">
        <f>LOWER("VW"&amp;"_"&amp;Model_Variant&amp;"_"&amp;Size&amp;"_"&amp;Linha_Criativa&amp;"_"&amp;IF(Servido_Por="portal",Veiculo,"adserver"))</f>
        <v>vw____adserver</v>
      </c>
      <c r="AP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" s="22" t="str">
        <f t="shared" si="1"/>
        <v/>
      </c>
      <c r="AS45" s="22" t="str">
        <f t="shared" si="2"/>
        <v/>
      </c>
      <c r="AT45" s="22" t="str">
        <f t="shared" si="3"/>
        <v>BR_IMC_DSY_LANCH_ND_NC_2020Q3AUG_NVS_Nivus-Launch-Consideracao</v>
      </c>
      <c r="AU45" s="22" t="str">
        <f t="shared" si="4"/>
        <v>#N/A</v>
      </c>
      <c r="AV45" s="22" t="s">
        <v>106</v>
      </c>
      <c r="AW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" s="22" t="str">
        <f t="shared" si="5"/>
        <v>BR_IMC_DSY_LANCH_ND_NC_2020Q3AUG_NVS_Nivus-Launch-Consideracao</v>
      </c>
      <c r="AY45" s="28" t="str">
        <f t="shared" si="6"/>
        <v>#N/A</v>
      </c>
      <c r="AZ45" s="22" t="s">
        <v>107</v>
      </c>
      <c r="BA45" s="22" t="s">
        <v>108</v>
      </c>
      <c r="BB45" s="31" t="s">
        <v>109</v>
      </c>
      <c r="BC45" s="31" t="s">
        <v>109</v>
      </c>
      <c r="BD45" s="32" t="str">
        <f t="shared" si="8"/>
        <v>nvl-nvs-imc-dsy-0820-10039</v>
      </c>
      <c r="BE45" s="33"/>
      <c r="BF45" s="33"/>
      <c r="BG45" s="39" t="str">
        <f>URL&amp;IF(ISNUMBER(FIND("?",URL)),"&amp;","?"&amp;("adlid="&amp;Unique_ID&amp;"&amp;adplt="&amp;Placement))</f>
        <v>#N/A</v>
      </c>
      <c r="BH45" s="1"/>
      <c r="BI45" s="1"/>
      <c r="BJ45" s="35" t="str">
        <f>LOWER("alp"&amp;"_"&amp;"vw"&amp;"_"&amp;Veiculo&amp;"_"&amp;C41&amp;"_"&amp;Objetivo)</f>
        <v>alp_vw___</v>
      </c>
      <c r="BK45" s="35" t="str">
        <f>LOWER(Buying_Metric&amp;"_"&amp;VLOOKUP(Buying_Type,Buy_type,2,FALSE)&amp;"_"&amp;Device&amp;"_"&amp;Size&amp;"_"&amp;Segmentação&amp;"_"&amp;Segmentação_Anúncio)</f>
        <v>#N/A</v>
      </c>
      <c r="BL45" s="35" t="str">
        <f>LOWER(Campanha_ou_InsertionOrder&amp;"_"&amp;LineItem_ou_Grupodeanúncio&amp;"_"&amp;Linha_criativa_2&amp;"_"&amp;Unique_ID)</f>
        <v>#N/A</v>
      </c>
      <c r="BM45" s="27"/>
      <c r="BN45" s="27"/>
    </row>
    <row r="46">
      <c r="A46" s="1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8" t="str">
        <f>LOWER(Campanha_ou_InsertionOrder&amp;"_"&amp;LineItem_ou_Grupodeanúncio&amp;"_"&amp;Linha_Criativa&amp;"_"&amp;Unique_ID)</f>
        <v>#N/A</v>
      </c>
      <c r="AN46" s="28" t="str">
        <f>LOWER(Campanha_ou_InsertionOrder&amp;"_"&amp;LineItem_ou_Grupodeanúncio&amp;"_"&amp;Linha_Criativa&amp;"_"&amp;Unique_ID)</f>
        <v>#N/A</v>
      </c>
      <c r="AO46" s="28" t="str">
        <f>LOWER("VW"&amp;"_"&amp;Model_Variant&amp;"_"&amp;Size&amp;"_"&amp;Linha_Criativa&amp;"_"&amp;IF(Servido_Por="portal",Veiculo,"adserver"))</f>
        <v>vw____adserver</v>
      </c>
      <c r="AP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" s="22" t="str">
        <f t="shared" si="1"/>
        <v/>
      </c>
      <c r="AS46" s="22" t="str">
        <f t="shared" si="2"/>
        <v/>
      </c>
      <c r="AT46" s="22" t="str">
        <f t="shared" si="3"/>
        <v>BR_IMC_DSY_LANCH_ND_NC_2020Q3AUG_NVS_Nivus-Launch-Consideracao</v>
      </c>
      <c r="AU46" s="22" t="str">
        <f t="shared" si="4"/>
        <v>#N/A</v>
      </c>
      <c r="AV46" s="22" t="s">
        <v>106</v>
      </c>
      <c r="AW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" s="22" t="str">
        <f t="shared" si="5"/>
        <v>BR_IMC_DSY_LANCH_ND_NC_2020Q3AUG_NVS_Nivus-Launch-Consideracao</v>
      </c>
      <c r="AY46" s="28" t="str">
        <f t="shared" si="6"/>
        <v>#N/A</v>
      </c>
      <c r="AZ46" s="22" t="s">
        <v>107</v>
      </c>
      <c r="BA46" s="22" t="s">
        <v>108</v>
      </c>
      <c r="BB46" s="31" t="s">
        <v>109</v>
      </c>
      <c r="BC46" s="31" t="s">
        <v>109</v>
      </c>
      <c r="BD46" s="32" t="str">
        <f t="shared" si="8"/>
        <v>nvl-nvs-imc-dsy-0820-10040</v>
      </c>
      <c r="BE46" s="33"/>
      <c r="BF46" s="33"/>
      <c r="BG46" s="39" t="str">
        <f>URL&amp;IF(ISNUMBER(FIND("?",URL)),"&amp;","?"&amp;("adlid="&amp;Unique_ID&amp;"&amp;adplt="&amp;Placement))</f>
        <v>#N/A</v>
      </c>
      <c r="BH46" s="1"/>
      <c r="BI46" s="1"/>
      <c r="BJ46" s="35" t="str">
        <f>LOWER("alp"&amp;"_"&amp;"vw"&amp;"_"&amp;Veiculo&amp;"_"&amp;C42&amp;"_"&amp;Objetivo)</f>
        <v>alp_vw___</v>
      </c>
      <c r="BK46" s="35" t="str">
        <f>LOWER(Buying_Metric&amp;"_"&amp;VLOOKUP(Buying_Type,Buy_type,2,FALSE)&amp;"_"&amp;Device&amp;"_"&amp;Size&amp;"_"&amp;Segmentação&amp;"_"&amp;Segmentação_Anúncio)</f>
        <v>#N/A</v>
      </c>
      <c r="BL46" s="35" t="str">
        <f>LOWER(Campanha_ou_InsertionOrder&amp;"_"&amp;LineItem_ou_Grupodeanúncio&amp;"_"&amp;Linha_criativa_2&amp;"_"&amp;Unique_ID)</f>
        <v>#N/A</v>
      </c>
      <c r="BM46" s="27"/>
      <c r="BN46" s="27"/>
    </row>
    <row r="47">
      <c r="A47" s="1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8" t="str">
        <f>LOWER(Campanha_ou_InsertionOrder&amp;"_"&amp;LineItem_ou_Grupodeanúncio&amp;"_"&amp;Linha_Criativa&amp;"_"&amp;Unique_ID)</f>
        <v>#N/A</v>
      </c>
      <c r="AN47" s="28" t="str">
        <f>LOWER(Campanha_ou_InsertionOrder&amp;"_"&amp;LineItem_ou_Grupodeanúncio&amp;"_"&amp;Linha_Criativa&amp;"_"&amp;Unique_ID)</f>
        <v>#N/A</v>
      </c>
      <c r="AO47" s="28" t="str">
        <f>LOWER("VW"&amp;"_"&amp;Model_Variant&amp;"_"&amp;Size&amp;"_"&amp;Linha_Criativa&amp;"_"&amp;IF(Servido_Por="portal",Veiculo,"adserver"))</f>
        <v>vw____adserver</v>
      </c>
      <c r="AP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" s="22" t="str">
        <f t="shared" si="1"/>
        <v/>
      </c>
      <c r="AS47" s="22" t="str">
        <f t="shared" si="2"/>
        <v/>
      </c>
      <c r="AT47" s="22" t="str">
        <f t="shared" si="3"/>
        <v>BR_IMC_DSY_LANCH_ND_NC_2020Q3AUG_NVS_Nivus-Launch-Consideracao</v>
      </c>
      <c r="AU47" s="22" t="str">
        <f t="shared" si="4"/>
        <v>#N/A</v>
      </c>
      <c r="AV47" s="22" t="s">
        <v>106</v>
      </c>
      <c r="AW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" s="22" t="str">
        <f t="shared" si="5"/>
        <v>BR_IMC_DSY_LANCH_ND_NC_2020Q3AUG_NVS_Nivus-Launch-Consideracao</v>
      </c>
      <c r="AY47" s="28" t="str">
        <f t="shared" si="6"/>
        <v>#N/A</v>
      </c>
      <c r="AZ47" s="22" t="s">
        <v>107</v>
      </c>
      <c r="BA47" s="22" t="s">
        <v>108</v>
      </c>
      <c r="BB47" s="31" t="s">
        <v>109</v>
      </c>
      <c r="BC47" s="31" t="s">
        <v>109</v>
      </c>
      <c r="BD47" s="32" t="str">
        <f t="shared" si="8"/>
        <v>nvl-nvs-imc-dsy-0820-10041</v>
      </c>
      <c r="BE47" s="33"/>
      <c r="BF47" s="33"/>
      <c r="BG47" s="39" t="str">
        <f>URL&amp;IF(ISNUMBER(FIND("?",URL)),"&amp;","?"&amp;("adlid="&amp;Unique_ID&amp;"&amp;adplt="&amp;Placement))</f>
        <v>#N/A</v>
      </c>
      <c r="BH47" s="1"/>
      <c r="BI47" s="1"/>
      <c r="BJ47" s="35" t="str">
        <f>LOWER("alp"&amp;"_"&amp;"vw"&amp;"_"&amp;Veiculo&amp;"_"&amp;C43&amp;"_"&amp;Objetivo)</f>
        <v>alp_vw___</v>
      </c>
      <c r="BK47" s="35" t="str">
        <f>LOWER(Buying_Metric&amp;"_"&amp;VLOOKUP(Buying_Type,Buy_type,2,FALSE)&amp;"_"&amp;Device&amp;"_"&amp;Size&amp;"_"&amp;Segmentação&amp;"_"&amp;Segmentação_Anúncio)</f>
        <v>#N/A</v>
      </c>
      <c r="BL47" s="35" t="str">
        <f>LOWER(Campanha_ou_InsertionOrder&amp;"_"&amp;LineItem_ou_Grupodeanúncio&amp;"_"&amp;Linha_criativa_2&amp;"_"&amp;Unique_ID)</f>
        <v>#N/A</v>
      </c>
      <c r="BM47" s="27"/>
      <c r="BN47" s="27"/>
    </row>
    <row r="48">
      <c r="A48" s="1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8" t="str">
        <f>LOWER(Campanha_ou_InsertionOrder&amp;"_"&amp;LineItem_ou_Grupodeanúncio&amp;"_"&amp;Linha_Criativa&amp;"_"&amp;Unique_ID)</f>
        <v>#N/A</v>
      </c>
      <c r="AN48" s="28" t="str">
        <f>LOWER(Campanha_ou_InsertionOrder&amp;"_"&amp;LineItem_ou_Grupodeanúncio&amp;"_"&amp;Linha_Criativa&amp;"_"&amp;Unique_ID)</f>
        <v>#N/A</v>
      </c>
      <c r="AO48" s="28" t="str">
        <f>LOWER("VW"&amp;"_"&amp;Model_Variant&amp;"_"&amp;Size&amp;"_"&amp;Linha_Criativa&amp;"_"&amp;IF(Servido_Por="portal",Veiculo,"adserver"))</f>
        <v>vw____adserver</v>
      </c>
      <c r="AP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" s="22" t="str">
        <f t="shared" si="1"/>
        <v/>
      </c>
      <c r="AS48" s="22" t="str">
        <f t="shared" si="2"/>
        <v/>
      </c>
      <c r="AT48" s="22" t="str">
        <f t="shared" si="3"/>
        <v>BR_IMC_DSY_LANCH_ND_NC_2020Q3AUG_NVS_Nivus-Launch-Consideracao</v>
      </c>
      <c r="AU48" s="22" t="str">
        <f t="shared" si="4"/>
        <v>#N/A</v>
      </c>
      <c r="AV48" s="22" t="s">
        <v>106</v>
      </c>
      <c r="AW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" s="22" t="str">
        <f t="shared" si="5"/>
        <v>BR_IMC_DSY_LANCH_ND_NC_2020Q3AUG_NVS_Nivus-Launch-Consideracao</v>
      </c>
      <c r="AY48" s="28" t="str">
        <f t="shared" si="6"/>
        <v>#N/A</v>
      </c>
      <c r="AZ48" s="22" t="s">
        <v>107</v>
      </c>
      <c r="BA48" s="22" t="s">
        <v>108</v>
      </c>
      <c r="BB48" s="31" t="s">
        <v>109</v>
      </c>
      <c r="BC48" s="31" t="s">
        <v>109</v>
      </c>
      <c r="BD48" s="32" t="str">
        <f t="shared" si="8"/>
        <v>nvl-nvs-imc-dsy-0820-10042</v>
      </c>
      <c r="BE48" s="33"/>
      <c r="BF48" s="33"/>
      <c r="BG48" s="39" t="str">
        <f>URL&amp;IF(ISNUMBER(FIND("?",URL)),"&amp;","?"&amp;("adlid="&amp;Unique_ID&amp;"&amp;adplt="&amp;Placement))</f>
        <v>#N/A</v>
      </c>
      <c r="BH48" s="1"/>
      <c r="BI48" s="1"/>
      <c r="BJ48" s="35" t="str">
        <f>LOWER("alp"&amp;"_"&amp;"vw"&amp;"_"&amp;Veiculo&amp;"_"&amp;C44&amp;"_"&amp;Objetivo)</f>
        <v>alp_vw___</v>
      </c>
      <c r="BK48" s="35" t="str">
        <f>LOWER(Buying_Metric&amp;"_"&amp;VLOOKUP(Buying_Type,Buy_type,2,FALSE)&amp;"_"&amp;Device&amp;"_"&amp;Size&amp;"_"&amp;Segmentação&amp;"_"&amp;Segmentação_Anúncio)</f>
        <v>#N/A</v>
      </c>
      <c r="BL48" s="35" t="str">
        <f>LOWER(Campanha_ou_InsertionOrder&amp;"_"&amp;LineItem_ou_Grupodeanúncio&amp;"_"&amp;Linha_criativa_2&amp;"_"&amp;Unique_ID)</f>
        <v>#N/A</v>
      </c>
      <c r="BM48" s="27"/>
      <c r="BN48" s="27"/>
    </row>
    <row r="49">
      <c r="A49" s="1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8" t="str">
        <f>LOWER(Campanha_ou_InsertionOrder&amp;"_"&amp;LineItem_ou_Grupodeanúncio&amp;"_"&amp;Linha_Criativa&amp;"_"&amp;Unique_ID)</f>
        <v>#N/A</v>
      </c>
      <c r="AN49" s="28" t="str">
        <f>LOWER(Campanha_ou_InsertionOrder&amp;"_"&amp;LineItem_ou_Grupodeanúncio&amp;"_"&amp;Linha_Criativa&amp;"_"&amp;Unique_ID)</f>
        <v>#N/A</v>
      </c>
      <c r="AO49" s="28" t="str">
        <f>LOWER("VW"&amp;"_"&amp;Model_Variant&amp;"_"&amp;Size&amp;"_"&amp;Linha_Criativa&amp;"_"&amp;IF(Servido_Por="portal",Veiculo,"adserver"))</f>
        <v>vw____adserver</v>
      </c>
      <c r="AP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" s="22" t="str">
        <f t="shared" si="1"/>
        <v/>
      </c>
      <c r="AS49" s="22" t="str">
        <f t="shared" si="2"/>
        <v/>
      </c>
      <c r="AT49" s="22" t="str">
        <f t="shared" si="3"/>
        <v>BR_IMC_DSY_LANCH_ND_NC_2020Q3AUG_NVS_Nivus-Launch-Consideracao</v>
      </c>
      <c r="AU49" s="22" t="str">
        <f t="shared" si="4"/>
        <v>#N/A</v>
      </c>
      <c r="AV49" s="22" t="s">
        <v>106</v>
      </c>
      <c r="AW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" s="22" t="str">
        <f t="shared" si="5"/>
        <v>BR_IMC_DSY_LANCH_ND_NC_2020Q3AUG_NVS_Nivus-Launch-Consideracao</v>
      </c>
      <c r="AY49" s="28" t="str">
        <f t="shared" si="6"/>
        <v>#N/A</v>
      </c>
      <c r="AZ49" s="22" t="s">
        <v>107</v>
      </c>
      <c r="BA49" s="22" t="s">
        <v>108</v>
      </c>
      <c r="BB49" s="31" t="s">
        <v>109</v>
      </c>
      <c r="BC49" s="31" t="s">
        <v>109</v>
      </c>
      <c r="BD49" s="32" t="str">
        <f t="shared" si="8"/>
        <v>nvl-nvs-imc-dsy-0820-10043</v>
      </c>
      <c r="BE49" s="33"/>
      <c r="BF49" s="33"/>
      <c r="BG49" s="39" t="str">
        <f>URL&amp;IF(ISNUMBER(FIND("?",URL)),"&amp;","?"&amp;("adlid="&amp;Unique_ID&amp;"&amp;adplt="&amp;Placement))</f>
        <v>#N/A</v>
      </c>
      <c r="BH49" s="1"/>
      <c r="BI49" s="1"/>
      <c r="BJ49" s="35" t="str">
        <f>LOWER("alp"&amp;"_"&amp;"vw"&amp;"_"&amp;Veiculo&amp;"_"&amp;C45&amp;"_"&amp;Objetivo)</f>
        <v>alp_vw___</v>
      </c>
      <c r="BK49" s="35" t="str">
        <f>LOWER(Buying_Metric&amp;"_"&amp;VLOOKUP(Buying_Type,Buy_type,2,FALSE)&amp;"_"&amp;Device&amp;"_"&amp;Size&amp;"_"&amp;Segmentação&amp;"_"&amp;Segmentação_Anúncio)</f>
        <v>#N/A</v>
      </c>
      <c r="BL49" s="35" t="str">
        <f>LOWER(Campanha_ou_InsertionOrder&amp;"_"&amp;LineItem_ou_Grupodeanúncio&amp;"_"&amp;Linha_criativa_2&amp;"_"&amp;Unique_ID)</f>
        <v>#N/A</v>
      </c>
      <c r="BM49" s="27"/>
      <c r="BN49" s="27"/>
    </row>
    <row r="50">
      <c r="A50" s="1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8" t="str">
        <f>LOWER(Campanha_ou_InsertionOrder&amp;"_"&amp;LineItem_ou_Grupodeanúncio&amp;"_"&amp;Linha_Criativa&amp;"_"&amp;Unique_ID)</f>
        <v>#N/A</v>
      </c>
      <c r="AN50" s="28" t="str">
        <f>LOWER(Campanha_ou_InsertionOrder&amp;"_"&amp;LineItem_ou_Grupodeanúncio&amp;"_"&amp;Linha_Criativa&amp;"_"&amp;Unique_ID)</f>
        <v>#N/A</v>
      </c>
      <c r="AO50" s="28" t="str">
        <f>LOWER("VW"&amp;"_"&amp;Model_Variant&amp;"_"&amp;Size&amp;"_"&amp;Linha_Criativa&amp;"_"&amp;IF(Servido_Por="portal",Veiculo,"adserver"))</f>
        <v>vw____adserver</v>
      </c>
      <c r="AP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" s="22" t="str">
        <f t="shared" si="1"/>
        <v/>
      </c>
      <c r="AS50" s="22" t="str">
        <f t="shared" si="2"/>
        <v/>
      </c>
      <c r="AT50" s="22" t="str">
        <f t="shared" si="3"/>
        <v>BR_IMC_DSY_LANCH_ND_NC_2020Q3AUG_NVS_Nivus-Launch-Consideracao</v>
      </c>
      <c r="AU50" s="22" t="str">
        <f t="shared" si="4"/>
        <v>#N/A</v>
      </c>
      <c r="AV50" s="22" t="s">
        <v>106</v>
      </c>
      <c r="AW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" s="22" t="str">
        <f t="shared" si="5"/>
        <v>BR_IMC_DSY_LANCH_ND_NC_2020Q3AUG_NVS_Nivus-Launch-Consideracao</v>
      </c>
      <c r="AY50" s="28" t="str">
        <f t="shared" si="6"/>
        <v>#N/A</v>
      </c>
      <c r="AZ50" s="22" t="s">
        <v>107</v>
      </c>
      <c r="BA50" s="22" t="s">
        <v>108</v>
      </c>
      <c r="BB50" s="31" t="s">
        <v>109</v>
      </c>
      <c r="BC50" s="31" t="s">
        <v>109</v>
      </c>
      <c r="BD50" s="32" t="str">
        <f t="shared" si="8"/>
        <v>nvl-nvs-imc-dsy-0820-10044</v>
      </c>
      <c r="BE50" s="33"/>
      <c r="BF50" s="33"/>
      <c r="BG50" s="39" t="str">
        <f>URL&amp;IF(ISNUMBER(FIND("?",URL)),"&amp;","?"&amp;("adlid="&amp;Unique_ID&amp;"&amp;adplt="&amp;Placement))</f>
        <v>#N/A</v>
      </c>
      <c r="BH50" s="1"/>
      <c r="BI50" s="1"/>
      <c r="BJ50" s="35" t="str">
        <f>LOWER("alp"&amp;"_"&amp;"vw"&amp;"_"&amp;Veiculo&amp;"_"&amp;C46&amp;"_"&amp;Objetivo)</f>
        <v>alp_vw___</v>
      </c>
      <c r="BK50" s="35" t="str">
        <f>LOWER(Buying_Metric&amp;"_"&amp;VLOOKUP(Buying_Type,Buy_type,2,FALSE)&amp;"_"&amp;Device&amp;"_"&amp;Size&amp;"_"&amp;Segmentação&amp;"_"&amp;Segmentação_Anúncio)</f>
        <v>#N/A</v>
      </c>
      <c r="BL50" s="35" t="str">
        <f>LOWER(Campanha_ou_InsertionOrder&amp;"_"&amp;LineItem_ou_Grupodeanúncio&amp;"_"&amp;Linha_criativa_2&amp;"_"&amp;Unique_ID)</f>
        <v>#N/A</v>
      </c>
      <c r="BM50" s="27"/>
      <c r="BN50" s="27"/>
    </row>
    <row r="51">
      <c r="A51" s="1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8" t="str">
        <f>LOWER(Campanha_ou_InsertionOrder&amp;"_"&amp;LineItem_ou_Grupodeanúncio&amp;"_"&amp;Linha_Criativa&amp;"_"&amp;Unique_ID)</f>
        <v>#N/A</v>
      </c>
      <c r="AN51" s="28" t="str">
        <f>LOWER(Campanha_ou_InsertionOrder&amp;"_"&amp;LineItem_ou_Grupodeanúncio&amp;"_"&amp;Linha_Criativa&amp;"_"&amp;Unique_ID)</f>
        <v>#N/A</v>
      </c>
      <c r="AO51" s="28" t="str">
        <f>LOWER("VW"&amp;"_"&amp;Model_Variant&amp;"_"&amp;Size&amp;"_"&amp;Linha_Criativa&amp;"_"&amp;IF(Servido_Por="portal",Veiculo,"adserver"))</f>
        <v>vw____adserver</v>
      </c>
      <c r="AP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" s="22" t="str">
        <f t="shared" si="1"/>
        <v/>
      </c>
      <c r="AS51" s="22" t="str">
        <f t="shared" si="2"/>
        <v/>
      </c>
      <c r="AT51" s="22" t="str">
        <f t="shared" si="3"/>
        <v>BR_IMC_DSY_LANCH_ND_NC_2020Q3AUG_NVS_Nivus-Launch-Consideracao</v>
      </c>
      <c r="AU51" s="22" t="str">
        <f t="shared" si="4"/>
        <v>#N/A</v>
      </c>
      <c r="AV51" s="22" t="s">
        <v>106</v>
      </c>
      <c r="AW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" s="22" t="str">
        <f t="shared" si="5"/>
        <v>BR_IMC_DSY_LANCH_ND_NC_2020Q3AUG_NVS_Nivus-Launch-Consideracao</v>
      </c>
      <c r="AY51" s="28" t="str">
        <f t="shared" si="6"/>
        <v>#N/A</v>
      </c>
      <c r="AZ51" s="22" t="s">
        <v>107</v>
      </c>
      <c r="BA51" s="22" t="s">
        <v>108</v>
      </c>
      <c r="BB51" s="31" t="s">
        <v>109</v>
      </c>
      <c r="BC51" s="31" t="s">
        <v>109</v>
      </c>
      <c r="BD51" s="32" t="str">
        <f t="shared" si="8"/>
        <v>nvl-nvs-imc-dsy-0820-10045</v>
      </c>
      <c r="BE51" s="33"/>
      <c r="BF51" s="33"/>
      <c r="BG51" s="39" t="str">
        <f>URL&amp;IF(ISNUMBER(FIND("?",URL)),"&amp;","?"&amp;("adlid="&amp;Unique_ID&amp;"&amp;adplt="&amp;Placement))</f>
        <v>#N/A</v>
      </c>
      <c r="BH51" s="1"/>
      <c r="BI51" s="1"/>
      <c r="BJ51" s="35" t="str">
        <f>LOWER("alp"&amp;"_"&amp;"vw"&amp;"_"&amp;Veiculo&amp;"_"&amp;C47&amp;"_"&amp;Objetivo)</f>
        <v>alp_vw___</v>
      </c>
      <c r="BK51" s="35" t="str">
        <f>LOWER(Buying_Metric&amp;"_"&amp;VLOOKUP(Buying_Type,Buy_type,2,FALSE)&amp;"_"&amp;Device&amp;"_"&amp;Size&amp;"_"&amp;Segmentação&amp;"_"&amp;Segmentação_Anúncio)</f>
        <v>#N/A</v>
      </c>
      <c r="BL51" s="35" t="str">
        <f>LOWER(Campanha_ou_InsertionOrder&amp;"_"&amp;LineItem_ou_Grupodeanúncio&amp;"_"&amp;Linha_criativa_2&amp;"_"&amp;Unique_ID)</f>
        <v>#N/A</v>
      </c>
      <c r="BM51" s="27"/>
      <c r="BN51" s="27"/>
    </row>
    <row r="52">
      <c r="A52" s="1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8" t="str">
        <f>LOWER(Campanha_ou_InsertionOrder&amp;"_"&amp;LineItem_ou_Grupodeanúncio&amp;"_"&amp;Linha_Criativa&amp;"_"&amp;Unique_ID)</f>
        <v>#N/A</v>
      </c>
      <c r="AN52" s="28" t="str">
        <f>LOWER(Campanha_ou_InsertionOrder&amp;"_"&amp;LineItem_ou_Grupodeanúncio&amp;"_"&amp;Linha_Criativa&amp;"_"&amp;Unique_ID)</f>
        <v>#N/A</v>
      </c>
      <c r="AO52" s="28" t="str">
        <f>LOWER("VW"&amp;"_"&amp;Model_Variant&amp;"_"&amp;Size&amp;"_"&amp;Linha_Criativa&amp;"_"&amp;IF(Servido_Por="portal",Veiculo,"adserver"))</f>
        <v>vw____adserver</v>
      </c>
      <c r="AP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" s="22" t="str">
        <f t="shared" si="1"/>
        <v/>
      </c>
      <c r="AS52" s="22" t="str">
        <f t="shared" si="2"/>
        <v/>
      </c>
      <c r="AT52" s="22" t="str">
        <f t="shared" si="3"/>
        <v>BR_IMC_DSY_LANCH_ND_NC_2020Q3AUG_NVS_Nivus-Launch-Consideracao</v>
      </c>
      <c r="AU52" s="22" t="str">
        <f t="shared" si="4"/>
        <v>#N/A</v>
      </c>
      <c r="AV52" s="22" t="s">
        <v>106</v>
      </c>
      <c r="AW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" s="22" t="str">
        <f t="shared" si="5"/>
        <v>BR_IMC_DSY_LANCH_ND_NC_2020Q3AUG_NVS_Nivus-Launch-Consideracao</v>
      </c>
      <c r="AY52" s="28" t="str">
        <f t="shared" si="6"/>
        <v>#N/A</v>
      </c>
      <c r="AZ52" s="22" t="s">
        <v>107</v>
      </c>
      <c r="BA52" s="22" t="s">
        <v>108</v>
      </c>
      <c r="BB52" s="31" t="s">
        <v>109</v>
      </c>
      <c r="BC52" s="31" t="s">
        <v>109</v>
      </c>
      <c r="BD52" s="32" t="str">
        <f t="shared" si="8"/>
        <v>nvl-nvs-imc-dsy-0820-10046</v>
      </c>
      <c r="BE52" s="33"/>
      <c r="BF52" s="33"/>
      <c r="BG52" s="39" t="str">
        <f>URL&amp;IF(ISNUMBER(FIND("?",URL)),"&amp;","?"&amp;("adlid="&amp;Unique_ID&amp;"&amp;adplt="&amp;Placement))</f>
        <v>#N/A</v>
      </c>
      <c r="BH52" s="1"/>
      <c r="BI52" s="1"/>
      <c r="BJ52" s="35" t="str">
        <f>LOWER("alp"&amp;"_"&amp;"vw"&amp;"_"&amp;Veiculo&amp;"_"&amp;C48&amp;"_"&amp;Objetivo)</f>
        <v>alp_vw___</v>
      </c>
      <c r="BK52" s="35" t="str">
        <f>LOWER(Buying_Metric&amp;"_"&amp;VLOOKUP(Buying_Type,Buy_type,2,FALSE)&amp;"_"&amp;Device&amp;"_"&amp;Size&amp;"_"&amp;Segmentação&amp;"_"&amp;Segmentação_Anúncio)</f>
        <v>#N/A</v>
      </c>
      <c r="BL52" s="35" t="str">
        <f>LOWER(Campanha_ou_InsertionOrder&amp;"_"&amp;LineItem_ou_Grupodeanúncio&amp;"_"&amp;Linha_criativa_2&amp;"_"&amp;Unique_ID)</f>
        <v>#N/A</v>
      </c>
      <c r="BM52" s="27"/>
      <c r="BN52" s="27"/>
    </row>
    <row r="53">
      <c r="A53" s="1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8" t="str">
        <f>LOWER(Campanha_ou_InsertionOrder&amp;"_"&amp;LineItem_ou_Grupodeanúncio&amp;"_"&amp;Linha_Criativa&amp;"_"&amp;Unique_ID)</f>
        <v>#N/A</v>
      </c>
      <c r="AN53" s="28" t="str">
        <f>LOWER(Campanha_ou_InsertionOrder&amp;"_"&amp;LineItem_ou_Grupodeanúncio&amp;"_"&amp;Linha_Criativa&amp;"_"&amp;Unique_ID)</f>
        <v>#N/A</v>
      </c>
      <c r="AO53" s="28" t="str">
        <f>LOWER("VW"&amp;"_"&amp;Model_Variant&amp;"_"&amp;Size&amp;"_"&amp;Linha_Criativa&amp;"_"&amp;IF(Servido_Por="portal",Veiculo,"adserver"))</f>
        <v>vw____adserver</v>
      </c>
      <c r="AP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" s="22" t="str">
        <f t="shared" si="1"/>
        <v/>
      </c>
      <c r="AS53" s="22" t="str">
        <f t="shared" si="2"/>
        <v/>
      </c>
      <c r="AT53" s="22" t="str">
        <f t="shared" si="3"/>
        <v>BR_IMC_DSY_LANCH_ND_NC_2020Q3AUG_NVS_Nivus-Launch-Consideracao</v>
      </c>
      <c r="AU53" s="22" t="str">
        <f t="shared" si="4"/>
        <v>#N/A</v>
      </c>
      <c r="AV53" s="22" t="s">
        <v>106</v>
      </c>
      <c r="AW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" s="22" t="str">
        <f t="shared" si="5"/>
        <v>BR_IMC_DSY_LANCH_ND_NC_2020Q3AUG_NVS_Nivus-Launch-Consideracao</v>
      </c>
      <c r="AY53" s="28" t="str">
        <f t="shared" si="6"/>
        <v>#N/A</v>
      </c>
      <c r="AZ53" s="22" t="s">
        <v>107</v>
      </c>
      <c r="BA53" s="22" t="s">
        <v>108</v>
      </c>
      <c r="BB53" s="31" t="s">
        <v>109</v>
      </c>
      <c r="BC53" s="31" t="s">
        <v>109</v>
      </c>
      <c r="BD53" s="32" t="str">
        <f t="shared" si="8"/>
        <v>nvl-nvs-imc-dsy-0820-10047</v>
      </c>
      <c r="BE53" s="33"/>
      <c r="BF53" s="33"/>
      <c r="BG53" s="39" t="str">
        <f>URL&amp;IF(ISNUMBER(FIND("?",URL)),"&amp;","?"&amp;("adlid="&amp;Unique_ID&amp;"&amp;adplt="&amp;Placement))</f>
        <v>#N/A</v>
      </c>
      <c r="BH53" s="1"/>
      <c r="BI53" s="1"/>
      <c r="BJ53" s="35" t="str">
        <f>LOWER("alp"&amp;"_"&amp;"vw"&amp;"_"&amp;Veiculo&amp;"_"&amp;C49&amp;"_"&amp;Objetivo)</f>
        <v>alp_vw___</v>
      </c>
      <c r="BK53" s="35" t="str">
        <f>LOWER(Buying_Metric&amp;"_"&amp;VLOOKUP(Buying_Type,Buy_type,2,FALSE)&amp;"_"&amp;Device&amp;"_"&amp;Size&amp;"_"&amp;Segmentação&amp;"_"&amp;Segmentação_Anúncio)</f>
        <v>#N/A</v>
      </c>
      <c r="BL53" s="35" t="str">
        <f>LOWER(Campanha_ou_InsertionOrder&amp;"_"&amp;LineItem_ou_Grupodeanúncio&amp;"_"&amp;Linha_criativa_2&amp;"_"&amp;Unique_ID)</f>
        <v>#N/A</v>
      </c>
      <c r="BM53" s="27"/>
      <c r="BN53" s="27"/>
    </row>
    <row r="54">
      <c r="A54" s="1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8" t="str">
        <f>LOWER(Campanha_ou_InsertionOrder&amp;"_"&amp;LineItem_ou_Grupodeanúncio&amp;"_"&amp;Linha_Criativa&amp;"_"&amp;Unique_ID)</f>
        <v>#N/A</v>
      </c>
      <c r="AN54" s="28" t="str">
        <f>LOWER(Campanha_ou_InsertionOrder&amp;"_"&amp;LineItem_ou_Grupodeanúncio&amp;"_"&amp;Linha_Criativa&amp;"_"&amp;Unique_ID)</f>
        <v>#N/A</v>
      </c>
      <c r="AO54" s="28" t="str">
        <f>LOWER("VW"&amp;"_"&amp;Model_Variant&amp;"_"&amp;Size&amp;"_"&amp;Linha_Criativa&amp;"_"&amp;IF(Servido_Por="portal",Veiculo,"adserver"))</f>
        <v>vw____adserver</v>
      </c>
      <c r="AP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" s="22" t="str">
        <f t="shared" si="1"/>
        <v/>
      </c>
      <c r="AS54" s="22" t="str">
        <f t="shared" si="2"/>
        <v/>
      </c>
      <c r="AT54" s="22" t="str">
        <f t="shared" si="3"/>
        <v>BR_IMC_DSY_LANCH_ND_NC_2020Q3AUG_NVS_Nivus-Launch-Consideracao</v>
      </c>
      <c r="AU54" s="22" t="str">
        <f t="shared" si="4"/>
        <v>#N/A</v>
      </c>
      <c r="AV54" s="22" t="s">
        <v>106</v>
      </c>
      <c r="AW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" s="22" t="str">
        <f t="shared" si="5"/>
        <v>BR_IMC_DSY_LANCH_ND_NC_2020Q3AUG_NVS_Nivus-Launch-Consideracao</v>
      </c>
      <c r="AY54" s="28" t="str">
        <f t="shared" si="6"/>
        <v>#N/A</v>
      </c>
      <c r="AZ54" s="22" t="s">
        <v>107</v>
      </c>
      <c r="BA54" s="22" t="s">
        <v>108</v>
      </c>
      <c r="BB54" s="31" t="s">
        <v>109</v>
      </c>
      <c r="BC54" s="31" t="s">
        <v>109</v>
      </c>
      <c r="BD54" s="32" t="str">
        <f t="shared" si="8"/>
        <v>nvl-nvs-imc-dsy-0820-10048</v>
      </c>
      <c r="BE54" s="33"/>
      <c r="BF54" s="33"/>
      <c r="BG54" s="39" t="str">
        <f>URL&amp;IF(ISNUMBER(FIND("?",URL)),"&amp;","?"&amp;("adlid="&amp;Unique_ID&amp;"&amp;adplt="&amp;Placement))</f>
        <v>#N/A</v>
      </c>
      <c r="BH54" s="1"/>
      <c r="BI54" s="1"/>
      <c r="BJ54" s="35" t="str">
        <f>LOWER("alp"&amp;"_"&amp;"vw"&amp;"_"&amp;Veiculo&amp;"_"&amp;C50&amp;"_"&amp;Objetivo)</f>
        <v>alp_vw___</v>
      </c>
      <c r="BK54" s="35" t="str">
        <f>LOWER(Buying_Metric&amp;"_"&amp;VLOOKUP(Buying_Type,Buy_type,2,FALSE)&amp;"_"&amp;Device&amp;"_"&amp;Size&amp;"_"&amp;Segmentação&amp;"_"&amp;Segmentação_Anúncio)</f>
        <v>#N/A</v>
      </c>
      <c r="BL54" s="35" t="str">
        <f>LOWER(Campanha_ou_InsertionOrder&amp;"_"&amp;LineItem_ou_Grupodeanúncio&amp;"_"&amp;Linha_criativa_2&amp;"_"&amp;Unique_ID)</f>
        <v>#N/A</v>
      </c>
      <c r="BM54" s="27"/>
      <c r="BN54" s="27"/>
    </row>
    <row r="55">
      <c r="A55" s="1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8" t="str">
        <f>LOWER(Campanha_ou_InsertionOrder&amp;"_"&amp;LineItem_ou_Grupodeanúncio&amp;"_"&amp;Linha_Criativa&amp;"_"&amp;Unique_ID)</f>
        <v>#N/A</v>
      </c>
      <c r="AN55" s="28" t="str">
        <f>LOWER(Campanha_ou_InsertionOrder&amp;"_"&amp;LineItem_ou_Grupodeanúncio&amp;"_"&amp;Linha_Criativa&amp;"_"&amp;Unique_ID)</f>
        <v>#N/A</v>
      </c>
      <c r="AO55" s="28" t="str">
        <f>LOWER("VW"&amp;"_"&amp;Model_Variant&amp;"_"&amp;Size&amp;"_"&amp;Linha_Criativa&amp;"_"&amp;IF(Servido_Por="portal",Veiculo,"adserver"))</f>
        <v>vw____adserver</v>
      </c>
      <c r="AP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" s="22" t="str">
        <f t="shared" si="1"/>
        <v/>
      </c>
      <c r="AS55" s="22" t="str">
        <f t="shared" si="2"/>
        <v/>
      </c>
      <c r="AT55" s="22" t="str">
        <f t="shared" si="3"/>
        <v>BR_IMC_DSY_LANCH_ND_NC_2020Q3AUG_NVS_Nivus-Launch-Consideracao</v>
      </c>
      <c r="AU55" s="22" t="str">
        <f t="shared" si="4"/>
        <v>#N/A</v>
      </c>
      <c r="AV55" s="22" t="s">
        <v>106</v>
      </c>
      <c r="AW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" s="22" t="str">
        <f t="shared" si="5"/>
        <v>BR_IMC_DSY_LANCH_ND_NC_2020Q3AUG_NVS_Nivus-Launch-Consideracao</v>
      </c>
      <c r="AY55" s="28" t="str">
        <f t="shared" si="6"/>
        <v>#N/A</v>
      </c>
      <c r="AZ55" s="22" t="s">
        <v>107</v>
      </c>
      <c r="BA55" s="22" t="s">
        <v>108</v>
      </c>
      <c r="BB55" s="31" t="s">
        <v>109</v>
      </c>
      <c r="BC55" s="31" t="s">
        <v>109</v>
      </c>
      <c r="BD55" s="32" t="str">
        <f t="shared" si="8"/>
        <v>nvl-nvs-imc-dsy-0820-10049</v>
      </c>
      <c r="BE55" s="33"/>
      <c r="BF55" s="33"/>
      <c r="BG55" s="39" t="str">
        <f>URL&amp;IF(ISNUMBER(FIND("?",URL)),"&amp;","?"&amp;("adlid="&amp;Unique_ID&amp;"&amp;adplt="&amp;Placement))</f>
        <v>#N/A</v>
      </c>
      <c r="BH55" s="1"/>
      <c r="BI55" s="1"/>
      <c r="BJ55" s="35" t="str">
        <f>LOWER("alp"&amp;"_"&amp;"vw"&amp;"_"&amp;Veiculo&amp;"_"&amp;C51&amp;"_"&amp;Objetivo)</f>
        <v>alp_vw___</v>
      </c>
      <c r="BK55" s="35" t="str">
        <f>LOWER(Buying_Metric&amp;"_"&amp;VLOOKUP(Buying_Type,Buy_type,2,FALSE)&amp;"_"&amp;Device&amp;"_"&amp;Size&amp;"_"&amp;Segmentação&amp;"_"&amp;Segmentação_Anúncio)</f>
        <v>#N/A</v>
      </c>
      <c r="BL55" s="35" t="str">
        <f>LOWER(Campanha_ou_InsertionOrder&amp;"_"&amp;LineItem_ou_Grupodeanúncio&amp;"_"&amp;Linha_criativa_2&amp;"_"&amp;Unique_ID)</f>
        <v>#N/A</v>
      </c>
      <c r="BM55" s="27"/>
      <c r="BN55" s="27"/>
    </row>
    <row r="56">
      <c r="A56" s="1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8" t="str">
        <f>LOWER(Campanha_ou_InsertionOrder&amp;"_"&amp;LineItem_ou_Grupodeanúncio&amp;"_"&amp;Linha_Criativa&amp;"_"&amp;Unique_ID)</f>
        <v>#N/A</v>
      </c>
      <c r="AN56" s="28" t="str">
        <f>LOWER(Campanha_ou_InsertionOrder&amp;"_"&amp;LineItem_ou_Grupodeanúncio&amp;"_"&amp;Linha_Criativa&amp;"_"&amp;Unique_ID)</f>
        <v>#N/A</v>
      </c>
      <c r="AO56" s="28" t="str">
        <f>LOWER("VW"&amp;"_"&amp;Model_Variant&amp;"_"&amp;Size&amp;"_"&amp;Linha_Criativa&amp;"_"&amp;IF(Servido_Por="portal",Veiculo,"adserver"))</f>
        <v>vw____adserver</v>
      </c>
      <c r="AP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" s="22" t="str">
        <f t="shared" si="1"/>
        <v/>
      </c>
      <c r="AS56" s="22" t="str">
        <f t="shared" si="2"/>
        <v/>
      </c>
      <c r="AT56" s="22" t="str">
        <f t="shared" si="3"/>
        <v>BR_IMC_DSY_LANCH_ND_NC_2020Q3AUG_NVS_Nivus-Launch-Consideracao</v>
      </c>
      <c r="AU56" s="22" t="str">
        <f t="shared" si="4"/>
        <v>#N/A</v>
      </c>
      <c r="AV56" s="22" t="s">
        <v>106</v>
      </c>
      <c r="AW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" s="22" t="str">
        <f t="shared" si="5"/>
        <v>BR_IMC_DSY_LANCH_ND_NC_2020Q3AUG_NVS_Nivus-Launch-Consideracao</v>
      </c>
      <c r="AY56" s="28" t="str">
        <f t="shared" si="6"/>
        <v>#N/A</v>
      </c>
      <c r="AZ56" s="22" t="s">
        <v>107</v>
      </c>
      <c r="BA56" s="22" t="s">
        <v>108</v>
      </c>
      <c r="BB56" s="31" t="s">
        <v>109</v>
      </c>
      <c r="BC56" s="31" t="s">
        <v>109</v>
      </c>
      <c r="BD56" s="32" t="str">
        <f t="shared" si="8"/>
        <v>nvl-nvs-imc-dsy-0820-10050</v>
      </c>
      <c r="BE56" s="33"/>
      <c r="BF56" s="33"/>
      <c r="BG56" s="39" t="str">
        <f>URL&amp;IF(ISNUMBER(FIND("?",URL)),"&amp;","?"&amp;("adlid="&amp;Unique_ID&amp;"&amp;adplt="&amp;Placement))</f>
        <v>#N/A</v>
      </c>
      <c r="BH56" s="1"/>
      <c r="BI56" s="1"/>
      <c r="BJ56" s="35" t="str">
        <f>LOWER("alp"&amp;"_"&amp;"vw"&amp;"_"&amp;Veiculo&amp;"_"&amp;C52&amp;"_"&amp;Objetivo)</f>
        <v>alp_vw___</v>
      </c>
      <c r="BK56" s="35" t="str">
        <f>LOWER(Buying_Metric&amp;"_"&amp;VLOOKUP(Buying_Type,Buy_type,2,FALSE)&amp;"_"&amp;Device&amp;"_"&amp;Size&amp;"_"&amp;Segmentação&amp;"_"&amp;Segmentação_Anúncio)</f>
        <v>#N/A</v>
      </c>
      <c r="BL56" s="35" t="str">
        <f>LOWER(Campanha_ou_InsertionOrder&amp;"_"&amp;LineItem_ou_Grupodeanúncio&amp;"_"&amp;Linha_criativa_2&amp;"_"&amp;Unique_ID)</f>
        <v>#N/A</v>
      </c>
      <c r="BM56" s="27"/>
      <c r="BN56" s="27"/>
    </row>
    <row r="57">
      <c r="A57" s="1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8" t="str">
        <f>LOWER(Campanha_ou_InsertionOrder&amp;"_"&amp;LineItem_ou_Grupodeanúncio&amp;"_"&amp;Linha_Criativa&amp;"_"&amp;Unique_ID)</f>
        <v>#N/A</v>
      </c>
      <c r="AN57" s="28" t="str">
        <f>LOWER(Campanha_ou_InsertionOrder&amp;"_"&amp;LineItem_ou_Grupodeanúncio&amp;"_"&amp;Linha_Criativa&amp;"_"&amp;Unique_ID)</f>
        <v>#N/A</v>
      </c>
      <c r="AO57" s="28" t="str">
        <f>LOWER("VW"&amp;"_"&amp;Model_Variant&amp;"_"&amp;Size&amp;"_"&amp;Linha_Criativa&amp;"_"&amp;IF(Servido_Por="portal",Veiculo,"adserver"))</f>
        <v>vw____adserver</v>
      </c>
      <c r="AP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" s="22" t="str">
        <f t="shared" si="1"/>
        <v/>
      </c>
      <c r="AS57" s="22" t="str">
        <f t="shared" si="2"/>
        <v/>
      </c>
      <c r="AT57" s="22" t="str">
        <f t="shared" si="3"/>
        <v>BR_IMC_DSY_LANCH_ND_NC_2020Q3AUG_NVS_Nivus-Launch-Consideracao</v>
      </c>
      <c r="AU57" s="22" t="str">
        <f t="shared" si="4"/>
        <v>#N/A</v>
      </c>
      <c r="AV57" s="22" t="s">
        <v>106</v>
      </c>
      <c r="AW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" s="22" t="str">
        <f t="shared" si="5"/>
        <v>BR_IMC_DSY_LANCH_ND_NC_2020Q3AUG_NVS_Nivus-Launch-Consideracao</v>
      </c>
      <c r="AY57" s="28" t="str">
        <f t="shared" si="6"/>
        <v>#N/A</v>
      </c>
      <c r="AZ57" s="22" t="s">
        <v>107</v>
      </c>
      <c r="BA57" s="22" t="s">
        <v>108</v>
      </c>
      <c r="BB57" s="31" t="s">
        <v>109</v>
      </c>
      <c r="BC57" s="31" t="s">
        <v>109</v>
      </c>
      <c r="BD57" s="32" t="str">
        <f t="shared" si="8"/>
        <v>nvl-nvs-imc-dsy-0820-10051</v>
      </c>
      <c r="BE57" s="33"/>
      <c r="BF57" s="33"/>
      <c r="BG57" s="39" t="str">
        <f>URL&amp;IF(ISNUMBER(FIND("?",URL)),"&amp;","?"&amp;("adlid="&amp;Unique_ID&amp;"&amp;adplt="&amp;Placement))</f>
        <v>#N/A</v>
      </c>
      <c r="BH57" s="1"/>
      <c r="BI57" s="1"/>
      <c r="BJ57" s="35" t="str">
        <f>LOWER("alp"&amp;"_"&amp;"vw"&amp;"_"&amp;Veiculo&amp;"_"&amp;C53&amp;"_"&amp;Objetivo)</f>
        <v>alp_vw___</v>
      </c>
      <c r="BK57" s="35" t="str">
        <f>LOWER(Buying_Metric&amp;"_"&amp;VLOOKUP(Buying_Type,Buy_type,2,FALSE)&amp;"_"&amp;Device&amp;"_"&amp;Size&amp;"_"&amp;Segmentação&amp;"_"&amp;Segmentação_Anúncio)</f>
        <v>#N/A</v>
      </c>
      <c r="BL57" s="35" t="str">
        <f>LOWER(Campanha_ou_InsertionOrder&amp;"_"&amp;LineItem_ou_Grupodeanúncio&amp;"_"&amp;Linha_criativa_2&amp;"_"&amp;Unique_ID)</f>
        <v>#N/A</v>
      </c>
      <c r="BM57" s="27"/>
      <c r="BN57" s="27"/>
    </row>
    <row r="58">
      <c r="A58" s="1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8" t="str">
        <f>LOWER(Campanha_ou_InsertionOrder&amp;"_"&amp;LineItem_ou_Grupodeanúncio&amp;"_"&amp;Linha_Criativa&amp;"_"&amp;Unique_ID)</f>
        <v>#N/A</v>
      </c>
      <c r="AN58" s="28" t="str">
        <f>LOWER(Campanha_ou_InsertionOrder&amp;"_"&amp;LineItem_ou_Grupodeanúncio&amp;"_"&amp;Linha_Criativa&amp;"_"&amp;Unique_ID)</f>
        <v>#N/A</v>
      </c>
      <c r="AO58" s="28" t="str">
        <f>LOWER("VW"&amp;"_"&amp;Model_Variant&amp;"_"&amp;Size&amp;"_"&amp;Linha_Criativa&amp;"_"&amp;IF(Servido_Por="portal",Veiculo,"adserver"))</f>
        <v>vw____adserver</v>
      </c>
      <c r="AP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" s="22" t="str">
        <f t="shared" si="1"/>
        <v/>
      </c>
      <c r="AS58" s="22" t="str">
        <f t="shared" si="2"/>
        <v/>
      </c>
      <c r="AT58" s="22" t="str">
        <f t="shared" si="3"/>
        <v>BR_IMC_DSY_LANCH_ND_NC_2020Q3AUG_NVS_Nivus-Launch-Consideracao</v>
      </c>
      <c r="AU58" s="22" t="str">
        <f t="shared" si="4"/>
        <v>#N/A</v>
      </c>
      <c r="AV58" s="22" t="s">
        <v>106</v>
      </c>
      <c r="AW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" s="22" t="str">
        <f t="shared" si="5"/>
        <v>BR_IMC_DSY_LANCH_ND_NC_2020Q3AUG_NVS_Nivus-Launch-Consideracao</v>
      </c>
      <c r="AY58" s="28" t="str">
        <f t="shared" si="6"/>
        <v>#N/A</v>
      </c>
      <c r="AZ58" s="22" t="s">
        <v>107</v>
      </c>
      <c r="BA58" s="22" t="s">
        <v>108</v>
      </c>
      <c r="BB58" s="31" t="s">
        <v>109</v>
      </c>
      <c r="BC58" s="31" t="s">
        <v>109</v>
      </c>
      <c r="BD58" s="32" t="str">
        <f t="shared" si="8"/>
        <v>nvl-nvs-imc-dsy-0820-10052</v>
      </c>
      <c r="BE58" s="33"/>
      <c r="BF58" s="33"/>
      <c r="BG58" s="39" t="str">
        <f>URL&amp;IF(ISNUMBER(FIND("?",URL)),"&amp;","?"&amp;("adlid="&amp;Unique_ID&amp;"&amp;adplt="&amp;Placement))</f>
        <v>#N/A</v>
      </c>
      <c r="BH58" s="1"/>
      <c r="BI58" s="1"/>
      <c r="BJ58" s="35" t="str">
        <f>LOWER("alp"&amp;"_"&amp;"vw"&amp;"_"&amp;Veiculo&amp;"_"&amp;C54&amp;"_"&amp;Objetivo)</f>
        <v>alp_vw___</v>
      </c>
      <c r="BK58" s="35" t="str">
        <f>LOWER(Buying_Metric&amp;"_"&amp;VLOOKUP(Buying_Type,Buy_type,2,FALSE)&amp;"_"&amp;Device&amp;"_"&amp;Size&amp;"_"&amp;Segmentação&amp;"_"&amp;Segmentação_Anúncio)</f>
        <v>#N/A</v>
      </c>
      <c r="BL58" s="35" t="str">
        <f>LOWER(Campanha_ou_InsertionOrder&amp;"_"&amp;LineItem_ou_Grupodeanúncio&amp;"_"&amp;Linha_criativa_2&amp;"_"&amp;Unique_ID)</f>
        <v>#N/A</v>
      </c>
      <c r="BM58" s="27"/>
      <c r="BN58" s="27"/>
    </row>
    <row r="59">
      <c r="A59" s="1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8" t="str">
        <f>LOWER(Campanha_ou_InsertionOrder&amp;"_"&amp;LineItem_ou_Grupodeanúncio&amp;"_"&amp;Linha_Criativa&amp;"_"&amp;Unique_ID)</f>
        <v>#N/A</v>
      </c>
      <c r="AN59" s="28" t="str">
        <f>LOWER(Campanha_ou_InsertionOrder&amp;"_"&amp;LineItem_ou_Grupodeanúncio&amp;"_"&amp;Linha_Criativa&amp;"_"&amp;Unique_ID)</f>
        <v>#N/A</v>
      </c>
      <c r="AO59" s="28" t="str">
        <f>LOWER("VW"&amp;"_"&amp;Model_Variant&amp;"_"&amp;Size&amp;"_"&amp;Linha_Criativa&amp;"_"&amp;IF(Servido_Por="portal",Veiculo,"adserver"))</f>
        <v>vw____adserver</v>
      </c>
      <c r="AP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" s="22" t="str">
        <f t="shared" si="1"/>
        <v/>
      </c>
      <c r="AS59" s="22" t="str">
        <f t="shared" si="2"/>
        <v/>
      </c>
      <c r="AT59" s="22" t="str">
        <f t="shared" si="3"/>
        <v>BR_IMC_DSY_LANCH_ND_NC_2020Q3AUG_NVS_Nivus-Launch-Consideracao</v>
      </c>
      <c r="AU59" s="22" t="str">
        <f t="shared" si="4"/>
        <v>#N/A</v>
      </c>
      <c r="AV59" s="22" t="s">
        <v>106</v>
      </c>
      <c r="AW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" s="22" t="str">
        <f t="shared" si="5"/>
        <v>BR_IMC_DSY_LANCH_ND_NC_2020Q3AUG_NVS_Nivus-Launch-Consideracao</v>
      </c>
      <c r="AY59" s="28" t="str">
        <f t="shared" si="6"/>
        <v>#N/A</v>
      </c>
      <c r="AZ59" s="22" t="s">
        <v>107</v>
      </c>
      <c r="BA59" s="22" t="s">
        <v>108</v>
      </c>
      <c r="BB59" s="31" t="s">
        <v>109</v>
      </c>
      <c r="BC59" s="31" t="s">
        <v>109</v>
      </c>
      <c r="BD59" s="32" t="str">
        <f t="shared" si="8"/>
        <v>nvl-nvs-imc-dsy-0820-10053</v>
      </c>
      <c r="BE59" s="33"/>
      <c r="BF59" s="33"/>
      <c r="BG59" s="39" t="str">
        <f>URL&amp;IF(ISNUMBER(FIND("?",URL)),"&amp;","?"&amp;("adlid="&amp;Unique_ID&amp;"&amp;adplt="&amp;Placement))</f>
        <v>#N/A</v>
      </c>
      <c r="BH59" s="1"/>
      <c r="BI59" s="1"/>
      <c r="BJ59" s="35" t="str">
        <f>LOWER("alp"&amp;"_"&amp;"vw"&amp;"_"&amp;Veiculo&amp;"_"&amp;C55&amp;"_"&amp;Objetivo)</f>
        <v>alp_vw___</v>
      </c>
      <c r="BK59" s="35" t="str">
        <f>LOWER(Buying_Metric&amp;"_"&amp;VLOOKUP(Buying_Type,Buy_type,2,FALSE)&amp;"_"&amp;Device&amp;"_"&amp;Size&amp;"_"&amp;Segmentação&amp;"_"&amp;Segmentação_Anúncio)</f>
        <v>#N/A</v>
      </c>
      <c r="BL59" s="35" t="str">
        <f>LOWER(Campanha_ou_InsertionOrder&amp;"_"&amp;LineItem_ou_Grupodeanúncio&amp;"_"&amp;Linha_criativa_2&amp;"_"&amp;Unique_ID)</f>
        <v>#N/A</v>
      </c>
      <c r="BM59" s="27"/>
      <c r="BN59" s="27"/>
    </row>
    <row r="60">
      <c r="A60" s="1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8" t="str">
        <f>LOWER(Campanha_ou_InsertionOrder&amp;"_"&amp;LineItem_ou_Grupodeanúncio&amp;"_"&amp;Linha_Criativa&amp;"_"&amp;Unique_ID)</f>
        <v>#N/A</v>
      </c>
      <c r="AN60" s="28" t="str">
        <f>LOWER(Campanha_ou_InsertionOrder&amp;"_"&amp;LineItem_ou_Grupodeanúncio&amp;"_"&amp;Linha_Criativa&amp;"_"&amp;Unique_ID)</f>
        <v>#N/A</v>
      </c>
      <c r="AO60" s="28" t="str">
        <f>LOWER("VW"&amp;"_"&amp;Model_Variant&amp;"_"&amp;Size&amp;"_"&amp;Linha_Criativa&amp;"_"&amp;IF(Servido_Por="portal",Veiculo,"adserver"))</f>
        <v>vw____adserver</v>
      </c>
      <c r="AP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" s="22" t="str">
        <f t="shared" si="1"/>
        <v/>
      </c>
      <c r="AS60" s="22" t="str">
        <f t="shared" si="2"/>
        <v/>
      </c>
      <c r="AT60" s="22" t="str">
        <f t="shared" si="3"/>
        <v>BR_IMC_DSY_LANCH_ND_NC_2020Q3AUG_NVS_Nivus-Launch-Consideracao</v>
      </c>
      <c r="AU60" s="22" t="str">
        <f t="shared" si="4"/>
        <v>#N/A</v>
      </c>
      <c r="AV60" s="22" t="s">
        <v>106</v>
      </c>
      <c r="AW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" s="22" t="str">
        <f t="shared" si="5"/>
        <v>BR_IMC_DSY_LANCH_ND_NC_2020Q3AUG_NVS_Nivus-Launch-Consideracao</v>
      </c>
      <c r="AY60" s="28" t="str">
        <f t="shared" si="6"/>
        <v>#N/A</v>
      </c>
      <c r="AZ60" s="22" t="s">
        <v>107</v>
      </c>
      <c r="BA60" s="22" t="s">
        <v>108</v>
      </c>
      <c r="BB60" s="31" t="s">
        <v>109</v>
      </c>
      <c r="BC60" s="31" t="s">
        <v>109</v>
      </c>
      <c r="BD60" s="32" t="str">
        <f t="shared" si="8"/>
        <v>nvl-nvs-imc-dsy-0820-10054</v>
      </c>
      <c r="BE60" s="33"/>
      <c r="BF60" s="33"/>
      <c r="BG60" s="39" t="str">
        <f>URL&amp;IF(ISNUMBER(FIND("?",URL)),"&amp;","?"&amp;("adlid="&amp;Unique_ID&amp;"&amp;adplt="&amp;Placement))</f>
        <v>#N/A</v>
      </c>
      <c r="BH60" s="1"/>
      <c r="BI60" s="1"/>
      <c r="BJ60" s="35" t="str">
        <f>LOWER("alp"&amp;"_"&amp;"vw"&amp;"_"&amp;Veiculo&amp;"_"&amp;C56&amp;"_"&amp;Objetivo)</f>
        <v>alp_vw___</v>
      </c>
      <c r="BK60" s="35" t="str">
        <f>LOWER(Buying_Metric&amp;"_"&amp;VLOOKUP(Buying_Type,Buy_type,2,FALSE)&amp;"_"&amp;Device&amp;"_"&amp;Size&amp;"_"&amp;Segmentação&amp;"_"&amp;Segmentação_Anúncio)</f>
        <v>#N/A</v>
      </c>
      <c r="BL60" s="35" t="str">
        <f>LOWER(Campanha_ou_InsertionOrder&amp;"_"&amp;LineItem_ou_Grupodeanúncio&amp;"_"&amp;Linha_criativa_2&amp;"_"&amp;Unique_ID)</f>
        <v>#N/A</v>
      </c>
      <c r="BM60" s="27"/>
      <c r="BN60" s="27"/>
    </row>
    <row r="61">
      <c r="A61" s="1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8" t="str">
        <f>LOWER(Campanha_ou_InsertionOrder&amp;"_"&amp;LineItem_ou_Grupodeanúncio&amp;"_"&amp;Linha_Criativa&amp;"_"&amp;Unique_ID)</f>
        <v>#N/A</v>
      </c>
      <c r="AN61" s="28" t="str">
        <f>LOWER(Campanha_ou_InsertionOrder&amp;"_"&amp;LineItem_ou_Grupodeanúncio&amp;"_"&amp;Linha_Criativa&amp;"_"&amp;Unique_ID)</f>
        <v>#N/A</v>
      </c>
      <c r="AO61" s="28" t="str">
        <f>LOWER("VW"&amp;"_"&amp;Model_Variant&amp;"_"&amp;Size&amp;"_"&amp;Linha_Criativa&amp;"_"&amp;IF(Servido_Por="portal",Veiculo,"adserver"))</f>
        <v>vw____adserver</v>
      </c>
      <c r="AP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" s="22" t="str">
        <f t="shared" si="1"/>
        <v/>
      </c>
      <c r="AS61" s="22" t="str">
        <f t="shared" si="2"/>
        <v/>
      </c>
      <c r="AT61" s="22" t="str">
        <f t="shared" si="3"/>
        <v>BR_IMC_DSY_LANCH_ND_NC_2020Q3AUG_NVS_Nivus-Launch-Consideracao</v>
      </c>
      <c r="AU61" s="22" t="str">
        <f t="shared" si="4"/>
        <v>#N/A</v>
      </c>
      <c r="AV61" s="22" t="s">
        <v>106</v>
      </c>
      <c r="AW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" s="22" t="str">
        <f t="shared" si="5"/>
        <v>BR_IMC_DSY_LANCH_ND_NC_2020Q3AUG_NVS_Nivus-Launch-Consideracao</v>
      </c>
      <c r="AY61" s="28" t="str">
        <f t="shared" si="6"/>
        <v>#N/A</v>
      </c>
      <c r="AZ61" s="22" t="s">
        <v>107</v>
      </c>
      <c r="BA61" s="22" t="s">
        <v>108</v>
      </c>
      <c r="BB61" s="31" t="s">
        <v>109</v>
      </c>
      <c r="BC61" s="31" t="s">
        <v>109</v>
      </c>
      <c r="BD61" s="32" t="str">
        <f t="shared" si="8"/>
        <v>nvl-nvs-imc-dsy-0820-10055</v>
      </c>
      <c r="BE61" s="33"/>
      <c r="BF61" s="33"/>
      <c r="BG61" s="39" t="str">
        <f>URL&amp;IF(ISNUMBER(FIND("?",URL)),"&amp;","?"&amp;("adlid="&amp;Unique_ID&amp;"&amp;adplt="&amp;Placement))</f>
        <v>#N/A</v>
      </c>
      <c r="BH61" s="1"/>
      <c r="BI61" s="1"/>
      <c r="BJ61" s="35" t="str">
        <f>LOWER("alp"&amp;"_"&amp;"vw"&amp;"_"&amp;Veiculo&amp;"_"&amp;C57&amp;"_"&amp;Objetivo)</f>
        <v>alp_vw___</v>
      </c>
      <c r="BK61" s="35" t="str">
        <f>LOWER(Buying_Metric&amp;"_"&amp;VLOOKUP(Buying_Type,Buy_type,2,FALSE)&amp;"_"&amp;Device&amp;"_"&amp;Size&amp;"_"&amp;Segmentação&amp;"_"&amp;Segmentação_Anúncio)</f>
        <v>#N/A</v>
      </c>
      <c r="BL61" s="35" t="str">
        <f>LOWER(Campanha_ou_InsertionOrder&amp;"_"&amp;LineItem_ou_Grupodeanúncio&amp;"_"&amp;Linha_criativa_2&amp;"_"&amp;Unique_ID)</f>
        <v>#N/A</v>
      </c>
      <c r="BM61" s="27"/>
      <c r="BN61" s="27"/>
    </row>
    <row r="62">
      <c r="A62" s="1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8" t="str">
        <f>LOWER(Campanha_ou_InsertionOrder&amp;"_"&amp;LineItem_ou_Grupodeanúncio&amp;"_"&amp;Linha_Criativa&amp;"_"&amp;Unique_ID)</f>
        <v>#N/A</v>
      </c>
      <c r="AN62" s="28" t="str">
        <f>LOWER(Campanha_ou_InsertionOrder&amp;"_"&amp;LineItem_ou_Grupodeanúncio&amp;"_"&amp;Linha_Criativa&amp;"_"&amp;Unique_ID)</f>
        <v>#N/A</v>
      </c>
      <c r="AO62" s="28" t="str">
        <f>LOWER("VW"&amp;"_"&amp;Model_Variant&amp;"_"&amp;Size&amp;"_"&amp;Linha_Criativa&amp;"_"&amp;IF(Servido_Por="portal",Veiculo,"adserver"))</f>
        <v>vw____adserver</v>
      </c>
      <c r="AP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" s="22" t="str">
        <f t="shared" si="1"/>
        <v/>
      </c>
      <c r="AS62" s="22" t="str">
        <f t="shared" si="2"/>
        <v/>
      </c>
      <c r="AT62" s="22" t="str">
        <f t="shared" si="3"/>
        <v>BR_IMC_DSY_LANCH_ND_NC_2020Q3AUG_NVS_Nivus-Launch-Consideracao</v>
      </c>
      <c r="AU62" s="22" t="str">
        <f t="shared" si="4"/>
        <v>#N/A</v>
      </c>
      <c r="AV62" s="22" t="s">
        <v>106</v>
      </c>
      <c r="AW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" s="22" t="str">
        <f t="shared" si="5"/>
        <v>BR_IMC_DSY_LANCH_ND_NC_2020Q3AUG_NVS_Nivus-Launch-Consideracao</v>
      </c>
      <c r="AY62" s="28" t="str">
        <f t="shared" si="6"/>
        <v>#N/A</v>
      </c>
      <c r="AZ62" s="22" t="s">
        <v>107</v>
      </c>
      <c r="BA62" s="22" t="s">
        <v>108</v>
      </c>
      <c r="BB62" s="31" t="s">
        <v>109</v>
      </c>
      <c r="BC62" s="31" t="s">
        <v>109</v>
      </c>
      <c r="BD62" s="32" t="str">
        <f t="shared" si="8"/>
        <v>nvl-nvs-imc-dsy-0820-10056</v>
      </c>
      <c r="BE62" s="33"/>
      <c r="BF62" s="33"/>
      <c r="BG62" s="39" t="str">
        <f>URL&amp;IF(ISNUMBER(FIND("?",URL)),"&amp;","?"&amp;("adlid="&amp;Unique_ID&amp;"&amp;adplt="&amp;Placement))</f>
        <v>#N/A</v>
      </c>
      <c r="BH62" s="1"/>
      <c r="BI62" s="1"/>
      <c r="BJ62" s="35" t="str">
        <f>LOWER("alp"&amp;"_"&amp;"vw"&amp;"_"&amp;Veiculo&amp;"_"&amp;C58&amp;"_"&amp;Objetivo)</f>
        <v>alp_vw___</v>
      </c>
      <c r="BK62" s="35" t="str">
        <f>LOWER(Buying_Metric&amp;"_"&amp;VLOOKUP(Buying_Type,Buy_type,2,FALSE)&amp;"_"&amp;Device&amp;"_"&amp;Size&amp;"_"&amp;Segmentação&amp;"_"&amp;Segmentação_Anúncio)</f>
        <v>#N/A</v>
      </c>
      <c r="BL62" s="35" t="str">
        <f>LOWER(Campanha_ou_InsertionOrder&amp;"_"&amp;LineItem_ou_Grupodeanúncio&amp;"_"&amp;Linha_criativa_2&amp;"_"&amp;Unique_ID)</f>
        <v>#N/A</v>
      </c>
      <c r="BM62" s="27"/>
      <c r="BN62" s="27"/>
    </row>
    <row r="63">
      <c r="A63" s="1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8" t="str">
        <f>LOWER(Campanha_ou_InsertionOrder&amp;"_"&amp;LineItem_ou_Grupodeanúncio&amp;"_"&amp;Linha_Criativa&amp;"_"&amp;Unique_ID)</f>
        <v>#N/A</v>
      </c>
      <c r="AN63" s="28" t="str">
        <f>LOWER(Campanha_ou_InsertionOrder&amp;"_"&amp;LineItem_ou_Grupodeanúncio&amp;"_"&amp;Linha_Criativa&amp;"_"&amp;Unique_ID)</f>
        <v>#N/A</v>
      </c>
      <c r="AO63" s="28" t="str">
        <f>LOWER("VW"&amp;"_"&amp;Model_Variant&amp;"_"&amp;Size&amp;"_"&amp;Linha_Criativa&amp;"_"&amp;IF(Servido_Por="portal",Veiculo,"adserver"))</f>
        <v>vw____adserver</v>
      </c>
      <c r="AP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" s="22" t="str">
        <f t="shared" si="1"/>
        <v/>
      </c>
      <c r="AS63" s="22" t="str">
        <f t="shared" si="2"/>
        <v/>
      </c>
      <c r="AT63" s="22" t="str">
        <f t="shared" si="3"/>
        <v>BR_IMC_DSY_LANCH_ND_NC_2020Q3AUG_NVS_Nivus-Launch-Consideracao</v>
      </c>
      <c r="AU63" s="22" t="str">
        <f t="shared" si="4"/>
        <v>#N/A</v>
      </c>
      <c r="AV63" s="22" t="s">
        <v>106</v>
      </c>
      <c r="AW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" s="22" t="str">
        <f t="shared" si="5"/>
        <v>BR_IMC_DSY_LANCH_ND_NC_2020Q3AUG_NVS_Nivus-Launch-Consideracao</v>
      </c>
      <c r="AY63" s="28" t="str">
        <f t="shared" si="6"/>
        <v>#N/A</v>
      </c>
      <c r="AZ63" s="22" t="s">
        <v>107</v>
      </c>
      <c r="BA63" s="22" t="s">
        <v>108</v>
      </c>
      <c r="BB63" s="31" t="s">
        <v>109</v>
      </c>
      <c r="BC63" s="31" t="s">
        <v>109</v>
      </c>
      <c r="BD63" s="32" t="str">
        <f t="shared" si="8"/>
        <v>nvl-nvs-imc-dsy-0820-10057</v>
      </c>
      <c r="BE63" s="33"/>
      <c r="BF63" s="33"/>
      <c r="BG63" s="39" t="str">
        <f>URL&amp;IF(ISNUMBER(FIND("?",URL)),"&amp;","?"&amp;("adlid="&amp;Unique_ID&amp;"&amp;adplt="&amp;Placement))</f>
        <v>#N/A</v>
      </c>
      <c r="BH63" s="1"/>
      <c r="BI63" s="1"/>
      <c r="BJ63" s="35" t="str">
        <f>LOWER("alp"&amp;"_"&amp;"vw"&amp;"_"&amp;Veiculo&amp;"_"&amp;C59&amp;"_"&amp;Objetivo)</f>
        <v>alp_vw___</v>
      </c>
      <c r="BK63" s="35" t="str">
        <f>LOWER(Buying_Metric&amp;"_"&amp;VLOOKUP(Buying_Type,Buy_type,2,FALSE)&amp;"_"&amp;Device&amp;"_"&amp;Size&amp;"_"&amp;Segmentação&amp;"_"&amp;Segmentação_Anúncio)</f>
        <v>#N/A</v>
      </c>
      <c r="BL63" s="35" t="str">
        <f>LOWER(Campanha_ou_InsertionOrder&amp;"_"&amp;LineItem_ou_Grupodeanúncio&amp;"_"&amp;Linha_criativa_2&amp;"_"&amp;Unique_ID)</f>
        <v>#N/A</v>
      </c>
      <c r="BM63" s="27"/>
      <c r="BN63" s="27"/>
    </row>
    <row r="64">
      <c r="A64" s="1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tr">
        <f>LOWER(Campanha_ou_InsertionOrder&amp;"_"&amp;LineItem_ou_Grupodeanúncio&amp;"_"&amp;Linha_Criativa&amp;"_"&amp;Unique_ID)</f>
        <v>#N/A</v>
      </c>
      <c r="AN64" s="28" t="str">
        <f>LOWER(Campanha_ou_InsertionOrder&amp;"_"&amp;LineItem_ou_Grupodeanúncio&amp;"_"&amp;Linha_Criativa&amp;"_"&amp;Unique_ID)</f>
        <v>#N/A</v>
      </c>
      <c r="AO64" s="28" t="str">
        <f>LOWER("VW"&amp;"_"&amp;Model_Variant&amp;"_"&amp;Size&amp;"_"&amp;Linha_Criativa&amp;"_"&amp;IF(Servido_Por="portal",Veiculo,"adserver"))</f>
        <v>vw____adserver</v>
      </c>
      <c r="AP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" s="22" t="str">
        <f t="shared" si="1"/>
        <v/>
      </c>
      <c r="AS64" s="22" t="str">
        <f t="shared" si="2"/>
        <v/>
      </c>
      <c r="AT64" s="22" t="str">
        <f t="shared" si="3"/>
        <v>BR_IMC_DSY_LANCH_ND_NC_2020Q3AUG_NVS_Nivus-Launch-Consideracao</v>
      </c>
      <c r="AU64" s="22" t="str">
        <f t="shared" si="4"/>
        <v>#N/A</v>
      </c>
      <c r="AV64" s="22" t="s">
        <v>106</v>
      </c>
      <c r="AW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" s="22" t="str">
        <f t="shared" si="5"/>
        <v>BR_IMC_DSY_LANCH_ND_NC_2020Q3AUG_NVS_Nivus-Launch-Consideracao</v>
      </c>
      <c r="AY64" s="28" t="str">
        <f t="shared" si="6"/>
        <v>#N/A</v>
      </c>
      <c r="AZ64" s="22" t="s">
        <v>107</v>
      </c>
      <c r="BA64" s="22" t="s">
        <v>108</v>
      </c>
      <c r="BB64" s="31" t="s">
        <v>109</v>
      </c>
      <c r="BC64" s="31" t="s">
        <v>109</v>
      </c>
      <c r="BD64" s="32" t="str">
        <f t="shared" si="8"/>
        <v>nvl-nvs-imc-dsy-0820-10058</v>
      </c>
      <c r="BE64" s="33"/>
      <c r="BF64" s="33"/>
      <c r="BG64" s="39" t="str">
        <f>URL&amp;IF(ISNUMBER(FIND("?",URL)),"&amp;","?"&amp;("adlid="&amp;Unique_ID&amp;"&amp;adplt="&amp;Placement))</f>
        <v>#N/A</v>
      </c>
      <c r="BH64" s="1"/>
      <c r="BI64" s="1"/>
      <c r="BJ64" s="35" t="str">
        <f>LOWER("alp"&amp;"_"&amp;"vw"&amp;"_"&amp;Veiculo&amp;"_"&amp;C60&amp;"_"&amp;Objetivo)</f>
        <v>alp_vw___</v>
      </c>
      <c r="BK64" s="35" t="str">
        <f>LOWER(Buying_Metric&amp;"_"&amp;VLOOKUP(Buying_Type,Buy_type,2,FALSE)&amp;"_"&amp;Device&amp;"_"&amp;Size&amp;"_"&amp;Segmentação&amp;"_"&amp;Segmentação_Anúncio)</f>
        <v>#N/A</v>
      </c>
      <c r="BL64" s="35" t="str">
        <f>LOWER(Campanha_ou_InsertionOrder&amp;"_"&amp;LineItem_ou_Grupodeanúncio&amp;"_"&amp;Linha_criativa_2&amp;"_"&amp;Unique_ID)</f>
        <v>#N/A</v>
      </c>
      <c r="BM64" s="27"/>
      <c r="BN64" s="27"/>
    </row>
    <row r="65">
      <c r="A65" s="1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8" t="str">
        <f>LOWER(Campanha_ou_InsertionOrder&amp;"_"&amp;LineItem_ou_Grupodeanúncio&amp;"_"&amp;Linha_Criativa&amp;"_"&amp;Unique_ID)</f>
        <v>#N/A</v>
      </c>
      <c r="AN65" s="28" t="str">
        <f>LOWER(Campanha_ou_InsertionOrder&amp;"_"&amp;LineItem_ou_Grupodeanúncio&amp;"_"&amp;Linha_Criativa&amp;"_"&amp;Unique_ID)</f>
        <v>#N/A</v>
      </c>
      <c r="AO65" s="28" t="str">
        <f>LOWER("VW"&amp;"_"&amp;Model_Variant&amp;"_"&amp;Size&amp;"_"&amp;Linha_Criativa&amp;"_"&amp;IF(Servido_Por="portal",Veiculo,"adserver"))</f>
        <v>vw____adserver</v>
      </c>
      <c r="AP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" s="22" t="str">
        <f t="shared" si="1"/>
        <v/>
      </c>
      <c r="AS65" s="22" t="str">
        <f t="shared" si="2"/>
        <v/>
      </c>
      <c r="AT65" s="22" t="str">
        <f t="shared" si="3"/>
        <v>BR_IMC_DSY_LANCH_ND_NC_2020Q3AUG_NVS_Nivus-Launch-Consideracao</v>
      </c>
      <c r="AU65" s="22" t="str">
        <f t="shared" si="4"/>
        <v>#N/A</v>
      </c>
      <c r="AV65" s="22" t="s">
        <v>106</v>
      </c>
      <c r="AW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" s="22" t="str">
        <f t="shared" si="5"/>
        <v>BR_IMC_DSY_LANCH_ND_NC_2020Q3AUG_NVS_Nivus-Launch-Consideracao</v>
      </c>
      <c r="AY65" s="28" t="str">
        <f t="shared" si="6"/>
        <v>#N/A</v>
      </c>
      <c r="AZ65" s="22" t="s">
        <v>107</v>
      </c>
      <c r="BA65" s="22" t="s">
        <v>108</v>
      </c>
      <c r="BB65" s="31" t="s">
        <v>109</v>
      </c>
      <c r="BC65" s="31" t="s">
        <v>109</v>
      </c>
      <c r="BD65" s="32" t="str">
        <f t="shared" si="8"/>
        <v>nvl-nvs-imc-dsy-0820-10059</v>
      </c>
      <c r="BE65" s="33"/>
      <c r="BF65" s="33"/>
      <c r="BG65" s="39" t="str">
        <f>URL&amp;IF(ISNUMBER(FIND("?",URL)),"&amp;","?"&amp;("adlid="&amp;Unique_ID&amp;"&amp;adplt="&amp;Placement))</f>
        <v>#N/A</v>
      </c>
      <c r="BH65" s="1"/>
      <c r="BI65" s="1"/>
      <c r="BJ65" s="35" t="str">
        <f>LOWER("alp"&amp;"_"&amp;"vw"&amp;"_"&amp;Veiculo&amp;"_"&amp;C61&amp;"_"&amp;Objetivo)</f>
        <v>alp_vw___</v>
      </c>
      <c r="BK65" s="35" t="str">
        <f>LOWER(Buying_Metric&amp;"_"&amp;VLOOKUP(Buying_Type,Buy_type,2,FALSE)&amp;"_"&amp;Device&amp;"_"&amp;Size&amp;"_"&amp;Segmentação&amp;"_"&amp;Segmentação_Anúncio)</f>
        <v>#N/A</v>
      </c>
      <c r="BL65" s="35" t="str">
        <f>LOWER(Campanha_ou_InsertionOrder&amp;"_"&amp;LineItem_ou_Grupodeanúncio&amp;"_"&amp;Linha_criativa_2&amp;"_"&amp;Unique_ID)</f>
        <v>#N/A</v>
      </c>
      <c r="BM65" s="27"/>
      <c r="BN65" s="27"/>
    </row>
    <row r="66">
      <c r="A66" s="1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8" t="str">
        <f>LOWER(Campanha_ou_InsertionOrder&amp;"_"&amp;LineItem_ou_Grupodeanúncio&amp;"_"&amp;Linha_Criativa&amp;"_"&amp;Unique_ID)</f>
        <v>#N/A</v>
      </c>
      <c r="AN66" s="28" t="str">
        <f>LOWER(Campanha_ou_InsertionOrder&amp;"_"&amp;LineItem_ou_Grupodeanúncio&amp;"_"&amp;Linha_Criativa&amp;"_"&amp;Unique_ID)</f>
        <v>#N/A</v>
      </c>
      <c r="AO66" s="28" t="str">
        <f>LOWER("VW"&amp;"_"&amp;Model_Variant&amp;"_"&amp;Size&amp;"_"&amp;Linha_Criativa&amp;"_"&amp;IF(Servido_Por="portal",Veiculo,"adserver"))</f>
        <v>vw____adserver</v>
      </c>
      <c r="AP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" s="22" t="str">
        <f t="shared" si="1"/>
        <v/>
      </c>
      <c r="AS66" s="22" t="str">
        <f t="shared" si="2"/>
        <v/>
      </c>
      <c r="AT66" s="22" t="str">
        <f t="shared" si="3"/>
        <v>BR_IMC_DSY_LANCH_ND_NC_2020Q3AUG_NVS_Nivus-Launch-Consideracao</v>
      </c>
      <c r="AU66" s="22" t="str">
        <f t="shared" si="4"/>
        <v>#N/A</v>
      </c>
      <c r="AV66" s="22" t="s">
        <v>106</v>
      </c>
      <c r="AW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" s="22" t="str">
        <f t="shared" si="5"/>
        <v>BR_IMC_DSY_LANCH_ND_NC_2020Q3AUG_NVS_Nivus-Launch-Consideracao</v>
      </c>
      <c r="AY66" s="28" t="str">
        <f t="shared" si="6"/>
        <v>#N/A</v>
      </c>
      <c r="AZ66" s="22" t="s">
        <v>107</v>
      </c>
      <c r="BA66" s="22" t="s">
        <v>108</v>
      </c>
      <c r="BB66" s="31" t="s">
        <v>109</v>
      </c>
      <c r="BC66" s="31" t="s">
        <v>109</v>
      </c>
      <c r="BD66" s="32" t="str">
        <f t="shared" si="8"/>
        <v>nvl-nvs-imc-dsy-0820-10060</v>
      </c>
      <c r="BE66" s="33"/>
      <c r="BF66" s="33"/>
      <c r="BG66" s="39" t="str">
        <f>URL&amp;IF(ISNUMBER(FIND("?",URL)),"&amp;","?"&amp;("adlid="&amp;Unique_ID&amp;"&amp;adplt="&amp;Placement))</f>
        <v>#N/A</v>
      </c>
      <c r="BH66" s="1"/>
      <c r="BI66" s="1"/>
      <c r="BJ66" s="35" t="str">
        <f>LOWER("alp"&amp;"_"&amp;"vw"&amp;"_"&amp;Veiculo&amp;"_"&amp;C62&amp;"_"&amp;Objetivo)</f>
        <v>alp_vw___</v>
      </c>
      <c r="BK66" s="35" t="str">
        <f>LOWER(Buying_Metric&amp;"_"&amp;VLOOKUP(Buying_Type,Buy_type,2,FALSE)&amp;"_"&amp;Device&amp;"_"&amp;Size&amp;"_"&amp;Segmentação&amp;"_"&amp;Segmentação_Anúncio)</f>
        <v>#N/A</v>
      </c>
      <c r="BL66" s="35" t="str">
        <f>LOWER(Campanha_ou_InsertionOrder&amp;"_"&amp;LineItem_ou_Grupodeanúncio&amp;"_"&amp;Linha_criativa_2&amp;"_"&amp;Unique_ID)</f>
        <v>#N/A</v>
      </c>
      <c r="BM66" s="27"/>
      <c r="BN66" s="27"/>
    </row>
    <row r="67">
      <c r="A67" s="1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8" t="str">
        <f>LOWER(Campanha_ou_InsertionOrder&amp;"_"&amp;LineItem_ou_Grupodeanúncio&amp;"_"&amp;Linha_Criativa&amp;"_"&amp;Unique_ID)</f>
        <v>#N/A</v>
      </c>
      <c r="AN67" s="28" t="str">
        <f>LOWER(Campanha_ou_InsertionOrder&amp;"_"&amp;LineItem_ou_Grupodeanúncio&amp;"_"&amp;Linha_Criativa&amp;"_"&amp;Unique_ID)</f>
        <v>#N/A</v>
      </c>
      <c r="AO67" s="28" t="str">
        <f>LOWER("VW"&amp;"_"&amp;Model_Variant&amp;"_"&amp;Size&amp;"_"&amp;Linha_Criativa&amp;"_"&amp;IF(Servido_Por="portal",Veiculo,"adserver"))</f>
        <v>vw____adserver</v>
      </c>
      <c r="AP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" s="22" t="str">
        <f t="shared" si="1"/>
        <v/>
      </c>
      <c r="AS67" s="22" t="str">
        <f t="shared" si="2"/>
        <v/>
      </c>
      <c r="AT67" s="22" t="str">
        <f t="shared" si="3"/>
        <v>BR_IMC_DSY_LANCH_ND_NC_2020Q3AUG_NVS_Nivus-Launch-Consideracao</v>
      </c>
      <c r="AU67" s="22" t="str">
        <f t="shared" si="4"/>
        <v>#N/A</v>
      </c>
      <c r="AV67" s="22" t="s">
        <v>106</v>
      </c>
      <c r="AW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" s="22" t="str">
        <f t="shared" si="5"/>
        <v>BR_IMC_DSY_LANCH_ND_NC_2020Q3AUG_NVS_Nivus-Launch-Consideracao</v>
      </c>
      <c r="AY67" s="28" t="str">
        <f t="shared" si="6"/>
        <v>#N/A</v>
      </c>
      <c r="AZ67" s="22" t="s">
        <v>107</v>
      </c>
      <c r="BA67" s="22" t="s">
        <v>108</v>
      </c>
      <c r="BB67" s="31" t="s">
        <v>109</v>
      </c>
      <c r="BC67" s="31" t="s">
        <v>109</v>
      </c>
      <c r="BD67" s="32" t="str">
        <f t="shared" si="8"/>
        <v>nvl-nvs-imc-dsy-0820-10061</v>
      </c>
      <c r="BE67" s="33"/>
      <c r="BF67" s="33"/>
      <c r="BG67" s="39" t="str">
        <f>URL&amp;IF(ISNUMBER(FIND("?",URL)),"&amp;","?"&amp;("adlid="&amp;Unique_ID&amp;"&amp;adplt="&amp;Placement))</f>
        <v>#N/A</v>
      </c>
      <c r="BH67" s="1"/>
      <c r="BI67" s="1"/>
      <c r="BJ67" s="35" t="str">
        <f>LOWER("alp"&amp;"_"&amp;"vw"&amp;"_"&amp;Veiculo&amp;"_"&amp;C63&amp;"_"&amp;Objetivo)</f>
        <v>alp_vw___</v>
      </c>
      <c r="BK67" s="35" t="str">
        <f>LOWER(Buying_Metric&amp;"_"&amp;VLOOKUP(Buying_Type,Buy_type,2,FALSE)&amp;"_"&amp;Device&amp;"_"&amp;Size&amp;"_"&amp;Segmentação&amp;"_"&amp;Segmentação_Anúncio)</f>
        <v>#N/A</v>
      </c>
      <c r="BL67" s="35" t="str">
        <f>LOWER(Campanha_ou_InsertionOrder&amp;"_"&amp;LineItem_ou_Grupodeanúncio&amp;"_"&amp;Linha_criativa_2&amp;"_"&amp;Unique_ID)</f>
        <v>#N/A</v>
      </c>
      <c r="BM67" s="27"/>
      <c r="BN67" s="27"/>
    </row>
    <row r="68">
      <c r="A68" s="1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8" t="str">
        <f>LOWER(Campanha_ou_InsertionOrder&amp;"_"&amp;LineItem_ou_Grupodeanúncio&amp;"_"&amp;Linha_Criativa&amp;"_"&amp;Unique_ID)</f>
        <v>#N/A</v>
      </c>
      <c r="AN68" s="28" t="str">
        <f>LOWER(Campanha_ou_InsertionOrder&amp;"_"&amp;LineItem_ou_Grupodeanúncio&amp;"_"&amp;Linha_Criativa&amp;"_"&amp;Unique_ID)</f>
        <v>#N/A</v>
      </c>
      <c r="AO68" s="28" t="str">
        <f>LOWER("VW"&amp;"_"&amp;Model_Variant&amp;"_"&amp;Size&amp;"_"&amp;Linha_Criativa&amp;"_"&amp;IF(Servido_Por="portal",Veiculo,"adserver"))</f>
        <v>vw____adserver</v>
      </c>
      <c r="AP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" s="22" t="str">
        <f t="shared" si="1"/>
        <v/>
      </c>
      <c r="AS68" s="22" t="str">
        <f t="shared" si="2"/>
        <v/>
      </c>
      <c r="AT68" s="22" t="str">
        <f t="shared" si="3"/>
        <v>BR_IMC_DSY_LANCH_ND_NC_2020Q3AUG_NVS_Nivus-Launch-Consideracao</v>
      </c>
      <c r="AU68" s="22" t="str">
        <f t="shared" si="4"/>
        <v>#N/A</v>
      </c>
      <c r="AV68" s="22" t="s">
        <v>106</v>
      </c>
      <c r="AW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" s="22" t="str">
        <f t="shared" si="5"/>
        <v>BR_IMC_DSY_LANCH_ND_NC_2020Q3AUG_NVS_Nivus-Launch-Consideracao</v>
      </c>
      <c r="AY68" s="28" t="str">
        <f t="shared" si="6"/>
        <v>#N/A</v>
      </c>
      <c r="AZ68" s="22" t="s">
        <v>107</v>
      </c>
      <c r="BA68" s="22" t="s">
        <v>108</v>
      </c>
      <c r="BB68" s="31" t="s">
        <v>109</v>
      </c>
      <c r="BC68" s="31" t="s">
        <v>109</v>
      </c>
      <c r="BD68" s="32" t="str">
        <f t="shared" si="8"/>
        <v>nvl-nvs-imc-dsy-0820-10062</v>
      </c>
      <c r="BE68" s="33"/>
      <c r="BF68" s="33"/>
      <c r="BG68" s="39" t="str">
        <f>URL&amp;IF(ISNUMBER(FIND("?",URL)),"&amp;","?"&amp;("adlid="&amp;Unique_ID&amp;"&amp;adplt="&amp;Placement))</f>
        <v>#N/A</v>
      </c>
      <c r="BH68" s="1"/>
      <c r="BI68" s="1"/>
      <c r="BJ68" s="35" t="str">
        <f>LOWER("alp"&amp;"_"&amp;"vw"&amp;"_"&amp;Veiculo&amp;"_"&amp;C64&amp;"_"&amp;Objetivo)</f>
        <v>alp_vw___</v>
      </c>
      <c r="BK68" s="35" t="str">
        <f>LOWER(Buying_Metric&amp;"_"&amp;VLOOKUP(Buying_Type,Buy_type,2,FALSE)&amp;"_"&amp;Device&amp;"_"&amp;Size&amp;"_"&amp;Segmentação&amp;"_"&amp;Segmentação_Anúncio)</f>
        <v>#N/A</v>
      </c>
      <c r="BL68" s="35" t="str">
        <f>LOWER(Campanha_ou_InsertionOrder&amp;"_"&amp;LineItem_ou_Grupodeanúncio&amp;"_"&amp;Linha_criativa_2&amp;"_"&amp;Unique_ID)</f>
        <v>#N/A</v>
      </c>
      <c r="BM68" s="27"/>
      <c r="BN68" s="27"/>
    </row>
    <row r="69">
      <c r="A69" s="1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8" t="str">
        <f>LOWER(Campanha_ou_InsertionOrder&amp;"_"&amp;LineItem_ou_Grupodeanúncio&amp;"_"&amp;Linha_Criativa&amp;"_"&amp;Unique_ID)</f>
        <v>#N/A</v>
      </c>
      <c r="AN69" s="28" t="str">
        <f>LOWER(Campanha_ou_InsertionOrder&amp;"_"&amp;LineItem_ou_Grupodeanúncio&amp;"_"&amp;Linha_Criativa&amp;"_"&amp;Unique_ID)</f>
        <v>#N/A</v>
      </c>
      <c r="AO69" s="28" t="str">
        <f>LOWER("VW"&amp;"_"&amp;Model_Variant&amp;"_"&amp;Size&amp;"_"&amp;Linha_Criativa&amp;"_"&amp;IF(Servido_Por="portal",Veiculo,"adserver"))</f>
        <v>vw____adserver</v>
      </c>
      <c r="AP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" s="22" t="str">
        <f t="shared" si="1"/>
        <v/>
      </c>
      <c r="AS69" s="22" t="str">
        <f t="shared" si="2"/>
        <v/>
      </c>
      <c r="AT69" s="22" t="str">
        <f t="shared" si="3"/>
        <v>BR_IMC_DSY_LANCH_ND_NC_2020Q3AUG_NVS_Nivus-Launch-Consideracao</v>
      </c>
      <c r="AU69" s="22" t="str">
        <f t="shared" si="4"/>
        <v>#N/A</v>
      </c>
      <c r="AV69" s="22" t="s">
        <v>106</v>
      </c>
      <c r="AW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" s="22" t="str">
        <f t="shared" si="5"/>
        <v>BR_IMC_DSY_LANCH_ND_NC_2020Q3AUG_NVS_Nivus-Launch-Consideracao</v>
      </c>
      <c r="AY69" s="28" t="str">
        <f t="shared" si="6"/>
        <v>#N/A</v>
      </c>
      <c r="AZ69" s="22" t="s">
        <v>107</v>
      </c>
      <c r="BA69" s="22" t="s">
        <v>108</v>
      </c>
      <c r="BB69" s="31" t="s">
        <v>109</v>
      </c>
      <c r="BC69" s="31" t="s">
        <v>109</v>
      </c>
      <c r="BD69" s="32" t="str">
        <f t="shared" si="8"/>
        <v>nvl-nvs-imc-dsy-0820-10063</v>
      </c>
      <c r="BE69" s="33"/>
      <c r="BF69" s="33"/>
      <c r="BG69" s="39" t="str">
        <f>URL&amp;IF(ISNUMBER(FIND("?",URL)),"&amp;","?"&amp;("adlid="&amp;Unique_ID&amp;"&amp;adplt="&amp;Placement))</f>
        <v>#N/A</v>
      </c>
      <c r="BH69" s="1"/>
      <c r="BI69" s="1"/>
      <c r="BJ69" s="35" t="str">
        <f>LOWER("alp"&amp;"_"&amp;"vw"&amp;"_"&amp;Veiculo&amp;"_"&amp;C65&amp;"_"&amp;Objetivo)</f>
        <v>alp_vw___</v>
      </c>
      <c r="BK69" s="35" t="str">
        <f>LOWER(Buying_Metric&amp;"_"&amp;VLOOKUP(Buying_Type,Buy_type,2,FALSE)&amp;"_"&amp;Device&amp;"_"&amp;Size&amp;"_"&amp;Segmentação&amp;"_"&amp;Segmentação_Anúncio)</f>
        <v>#N/A</v>
      </c>
      <c r="BL69" s="35" t="str">
        <f>LOWER(Campanha_ou_InsertionOrder&amp;"_"&amp;LineItem_ou_Grupodeanúncio&amp;"_"&amp;Linha_criativa_2&amp;"_"&amp;Unique_ID)</f>
        <v>#N/A</v>
      </c>
      <c r="BM69" s="27"/>
      <c r="BN69" s="27"/>
    </row>
    <row r="70">
      <c r="A70" s="1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8" t="str">
        <f>LOWER(Campanha_ou_InsertionOrder&amp;"_"&amp;LineItem_ou_Grupodeanúncio&amp;"_"&amp;Linha_Criativa&amp;"_"&amp;Unique_ID)</f>
        <v>#N/A</v>
      </c>
      <c r="AN70" s="28" t="str">
        <f>LOWER(Campanha_ou_InsertionOrder&amp;"_"&amp;LineItem_ou_Grupodeanúncio&amp;"_"&amp;Linha_Criativa&amp;"_"&amp;Unique_ID)</f>
        <v>#N/A</v>
      </c>
      <c r="AO70" s="28" t="str">
        <f>LOWER("VW"&amp;"_"&amp;Model_Variant&amp;"_"&amp;Size&amp;"_"&amp;Linha_Criativa&amp;"_"&amp;IF(Servido_Por="portal",Veiculo,"adserver"))</f>
        <v>vw____adserver</v>
      </c>
      <c r="AP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" s="22" t="str">
        <f t="shared" si="1"/>
        <v/>
      </c>
      <c r="AS70" s="22" t="str">
        <f t="shared" si="2"/>
        <v/>
      </c>
      <c r="AT70" s="22" t="str">
        <f t="shared" si="3"/>
        <v>BR_IMC_DSY_LANCH_ND_NC_2020Q3AUG_NVS_Nivus-Launch-Consideracao</v>
      </c>
      <c r="AU70" s="22" t="str">
        <f t="shared" si="4"/>
        <v>#N/A</v>
      </c>
      <c r="AV70" s="22" t="s">
        <v>106</v>
      </c>
      <c r="AW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" s="22" t="str">
        <f t="shared" si="5"/>
        <v>BR_IMC_DSY_LANCH_ND_NC_2020Q3AUG_NVS_Nivus-Launch-Consideracao</v>
      </c>
      <c r="AY70" s="28" t="str">
        <f t="shared" si="6"/>
        <v>#N/A</v>
      </c>
      <c r="AZ70" s="22" t="s">
        <v>107</v>
      </c>
      <c r="BA70" s="22" t="s">
        <v>108</v>
      </c>
      <c r="BB70" s="31" t="s">
        <v>109</v>
      </c>
      <c r="BC70" s="31" t="s">
        <v>109</v>
      </c>
      <c r="BD70" s="32" t="str">
        <f t="shared" si="8"/>
        <v>nvl-nvs-imc-dsy-0820-10064</v>
      </c>
      <c r="BE70" s="33"/>
      <c r="BF70" s="33"/>
      <c r="BG70" s="39" t="str">
        <f>URL&amp;IF(ISNUMBER(FIND("?",URL)),"&amp;","?"&amp;("adlid="&amp;Unique_ID&amp;"&amp;adplt="&amp;Placement))</f>
        <v>#N/A</v>
      </c>
      <c r="BH70" s="1"/>
      <c r="BI70" s="1"/>
      <c r="BJ70" s="35" t="str">
        <f>LOWER("alp"&amp;"_"&amp;"vw"&amp;"_"&amp;Veiculo&amp;"_"&amp;C66&amp;"_"&amp;Objetivo)</f>
        <v>alp_vw___</v>
      </c>
      <c r="BK70" s="35" t="str">
        <f>LOWER(Buying_Metric&amp;"_"&amp;VLOOKUP(Buying_Type,Buy_type,2,FALSE)&amp;"_"&amp;Device&amp;"_"&amp;Size&amp;"_"&amp;Segmentação&amp;"_"&amp;Segmentação_Anúncio)</f>
        <v>#N/A</v>
      </c>
      <c r="BL70" s="35" t="str">
        <f>LOWER(Campanha_ou_InsertionOrder&amp;"_"&amp;LineItem_ou_Grupodeanúncio&amp;"_"&amp;Linha_criativa_2&amp;"_"&amp;Unique_ID)</f>
        <v>#N/A</v>
      </c>
      <c r="BM70" s="27"/>
      <c r="BN70" s="27"/>
    </row>
    <row r="71">
      <c r="A71" s="1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8" t="str">
        <f>LOWER(Campanha_ou_InsertionOrder&amp;"_"&amp;LineItem_ou_Grupodeanúncio&amp;"_"&amp;Linha_Criativa&amp;"_"&amp;Unique_ID)</f>
        <v>#N/A</v>
      </c>
      <c r="AN71" s="28" t="str">
        <f>LOWER(Campanha_ou_InsertionOrder&amp;"_"&amp;LineItem_ou_Grupodeanúncio&amp;"_"&amp;Linha_Criativa&amp;"_"&amp;Unique_ID)</f>
        <v>#N/A</v>
      </c>
      <c r="AO71" s="28" t="str">
        <f>LOWER("VW"&amp;"_"&amp;Model_Variant&amp;"_"&amp;Size&amp;"_"&amp;Linha_Criativa&amp;"_"&amp;IF(Servido_Por="portal",Veiculo,"adserver"))</f>
        <v>vw____adserver</v>
      </c>
      <c r="AP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" s="22" t="str">
        <f t="shared" si="1"/>
        <v/>
      </c>
      <c r="AS71" s="22" t="str">
        <f t="shared" si="2"/>
        <v/>
      </c>
      <c r="AT71" s="22" t="str">
        <f t="shared" si="3"/>
        <v>BR_IMC_DSY_LANCH_ND_NC_2020Q3AUG_NVS_Nivus-Launch-Consideracao</v>
      </c>
      <c r="AU71" s="22" t="str">
        <f t="shared" si="4"/>
        <v>#N/A</v>
      </c>
      <c r="AV71" s="22" t="s">
        <v>106</v>
      </c>
      <c r="AW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" s="22" t="str">
        <f t="shared" si="5"/>
        <v>BR_IMC_DSY_LANCH_ND_NC_2020Q3AUG_NVS_Nivus-Launch-Consideracao</v>
      </c>
      <c r="AY71" s="28" t="str">
        <f t="shared" si="6"/>
        <v>#N/A</v>
      </c>
      <c r="AZ71" s="22" t="s">
        <v>107</v>
      </c>
      <c r="BA71" s="22" t="s">
        <v>108</v>
      </c>
      <c r="BB71" s="31" t="s">
        <v>109</v>
      </c>
      <c r="BC71" s="31" t="s">
        <v>109</v>
      </c>
      <c r="BD71" s="32" t="str">
        <f t="shared" si="8"/>
        <v>nvl-nvs-imc-dsy-0820-10065</v>
      </c>
      <c r="BE71" s="33"/>
      <c r="BF71" s="33"/>
      <c r="BG71" s="39" t="str">
        <f>URL&amp;IF(ISNUMBER(FIND("?",URL)),"&amp;","?"&amp;("adlid="&amp;Unique_ID&amp;"&amp;adplt="&amp;Placement))</f>
        <v>#N/A</v>
      </c>
      <c r="BH71" s="1"/>
      <c r="BI71" s="1"/>
      <c r="BJ71" s="35" t="str">
        <f>LOWER("alp"&amp;"_"&amp;"vw"&amp;"_"&amp;Veiculo&amp;"_"&amp;C67&amp;"_"&amp;Objetivo)</f>
        <v>alp_vw___</v>
      </c>
      <c r="BK71" s="35" t="str">
        <f>LOWER(Buying_Metric&amp;"_"&amp;VLOOKUP(Buying_Type,Buy_type,2,FALSE)&amp;"_"&amp;Device&amp;"_"&amp;Size&amp;"_"&amp;Segmentação&amp;"_"&amp;Segmentação_Anúncio)</f>
        <v>#N/A</v>
      </c>
      <c r="BL71" s="35" t="str">
        <f>LOWER(Campanha_ou_InsertionOrder&amp;"_"&amp;LineItem_ou_Grupodeanúncio&amp;"_"&amp;Linha_criativa_2&amp;"_"&amp;Unique_ID)</f>
        <v>#N/A</v>
      </c>
      <c r="BM71" s="27"/>
      <c r="BN71" s="27"/>
    </row>
    <row r="72">
      <c r="A72" s="1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8" t="str">
        <f>LOWER(Campanha_ou_InsertionOrder&amp;"_"&amp;LineItem_ou_Grupodeanúncio&amp;"_"&amp;Linha_Criativa&amp;"_"&amp;Unique_ID)</f>
        <v>#N/A</v>
      </c>
      <c r="AN72" s="28" t="str">
        <f>LOWER(Campanha_ou_InsertionOrder&amp;"_"&amp;LineItem_ou_Grupodeanúncio&amp;"_"&amp;Linha_Criativa&amp;"_"&amp;Unique_ID)</f>
        <v>#N/A</v>
      </c>
      <c r="AO72" s="28" t="str">
        <f>LOWER("VW"&amp;"_"&amp;Model_Variant&amp;"_"&amp;Size&amp;"_"&amp;Linha_Criativa&amp;"_"&amp;IF(Servido_Por="portal",Veiculo,"adserver"))</f>
        <v>vw____adserver</v>
      </c>
      <c r="AP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" s="22" t="str">
        <f t="shared" si="1"/>
        <v/>
      </c>
      <c r="AS72" s="22" t="str">
        <f t="shared" si="2"/>
        <v/>
      </c>
      <c r="AT72" s="22" t="str">
        <f t="shared" si="3"/>
        <v>BR_IMC_DSY_LANCH_ND_NC_2020Q3AUG_NVS_Nivus-Launch-Consideracao</v>
      </c>
      <c r="AU72" s="22" t="str">
        <f t="shared" si="4"/>
        <v>#N/A</v>
      </c>
      <c r="AV72" s="22" t="s">
        <v>106</v>
      </c>
      <c r="AW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" s="22" t="str">
        <f t="shared" si="5"/>
        <v>BR_IMC_DSY_LANCH_ND_NC_2020Q3AUG_NVS_Nivus-Launch-Consideracao</v>
      </c>
      <c r="AY72" s="28" t="str">
        <f t="shared" si="6"/>
        <v>#N/A</v>
      </c>
      <c r="AZ72" s="22" t="s">
        <v>107</v>
      </c>
      <c r="BA72" s="22" t="s">
        <v>108</v>
      </c>
      <c r="BB72" s="31" t="s">
        <v>109</v>
      </c>
      <c r="BC72" s="31" t="s">
        <v>109</v>
      </c>
      <c r="BD72" s="32" t="str">
        <f t="shared" si="8"/>
        <v>nvl-nvs-imc-dsy-0820-10066</v>
      </c>
      <c r="BE72" s="33"/>
      <c r="BF72" s="33"/>
      <c r="BG72" s="39" t="str">
        <f>URL&amp;IF(ISNUMBER(FIND("?",URL)),"&amp;","?"&amp;("adlid="&amp;Unique_ID&amp;"&amp;adplt="&amp;Placement))</f>
        <v>#N/A</v>
      </c>
      <c r="BH72" s="1"/>
      <c r="BI72" s="1"/>
      <c r="BJ72" s="35" t="str">
        <f>LOWER("alp"&amp;"_"&amp;"vw"&amp;"_"&amp;Veiculo&amp;"_"&amp;C68&amp;"_"&amp;Objetivo)</f>
        <v>alp_vw___</v>
      </c>
      <c r="BK72" s="35" t="str">
        <f>LOWER(Buying_Metric&amp;"_"&amp;VLOOKUP(Buying_Type,Buy_type,2,FALSE)&amp;"_"&amp;Device&amp;"_"&amp;Size&amp;"_"&amp;Segmentação&amp;"_"&amp;Segmentação_Anúncio)</f>
        <v>#N/A</v>
      </c>
      <c r="BL72" s="35" t="str">
        <f>LOWER(Campanha_ou_InsertionOrder&amp;"_"&amp;LineItem_ou_Grupodeanúncio&amp;"_"&amp;Linha_criativa_2&amp;"_"&amp;Unique_ID)</f>
        <v>#N/A</v>
      </c>
      <c r="BM72" s="27"/>
      <c r="BN72" s="27"/>
    </row>
    <row r="73">
      <c r="A73" s="1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8" t="str">
        <f>LOWER(Campanha_ou_InsertionOrder&amp;"_"&amp;LineItem_ou_Grupodeanúncio&amp;"_"&amp;Linha_Criativa&amp;"_"&amp;Unique_ID)</f>
        <v>#N/A</v>
      </c>
      <c r="AN73" s="28" t="str">
        <f>LOWER(Campanha_ou_InsertionOrder&amp;"_"&amp;LineItem_ou_Grupodeanúncio&amp;"_"&amp;Linha_Criativa&amp;"_"&amp;Unique_ID)</f>
        <v>#N/A</v>
      </c>
      <c r="AO73" s="28" t="str">
        <f>LOWER("VW"&amp;"_"&amp;Model_Variant&amp;"_"&amp;Size&amp;"_"&amp;Linha_Criativa&amp;"_"&amp;IF(Servido_Por="portal",Veiculo,"adserver"))</f>
        <v>vw____adserver</v>
      </c>
      <c r="AP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" s="22" t="str">
        <f t="shared" si="1"/>
        <v/>
      </c>
      <c r="AS73" s="22" t="str">
        <f t="shared" si="2"/>
        <v/>
      </c>
      <c r="AT73" s="22" t="str">
        <f t="shared" si="3"/>
        <v>BR_IMC_DSY_LANCH_ND_NC_2020Q3AUG_NVS_Nivus-Launch-Consideracao</v>
      </c>
      <c r="AU73" s="22" t="str">
        <f t="shared" si="4"/>
        <v>#N/A</v>
      </c>
      <c r="AV73" s="22" t="s">
        <v>106</v>
      </c>
      <c r="AW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" s="22" t="str">
        <f t="shared" si="5"/>
        <v>BR_IMC_DSY_LANCH_ND_NC_2020Q3AUG_NVS_Nivus-Launch-Consideracao</v>
      </c>
      <c r="AY73" s="28" t="str">
        <f t="shared" si="6"/>
        <v>#N/A</v>
      </c>
      <c r="AZ73" s="22" t="s">
        <v>107</v>
      </c>
      <c r="BA73" s="22" t="s">
        <v>108</v>
      </c>
      <c r="BB73" s="31" t="s">
        <v>109</v>
      </c>
      <c r="BC73" s="31" t="s">
        <v>109</v>
      </c>
      <c r="BD73" s="32" t="str">
        <f t="shared" si="8"/>
        <v>nvl-nvs-imc-dsy-0820-10067</v>
      </c>
      <c r="BE73" s="33"/>
      <c r="BF73" s="33"/>
      <c r="BG73" s="39" t="str">
        <f>URL&amp;IF(ISNUMBER(FIND("?",URL)),"&amp;","?"&amp;("adlid="&amp;Unique_ID&amp;"&amp;adplt="&amp;Placement))</f>
        <v>#N/A</v>
      </c>
      <c r="BH73" s="1"/>
      <c r="BI73" s="1"/>
      <c r="BJ73" s="35" t="str">
        <f>LOWER("alp"&amp;"_"&amp;"vw"&amp;"_"&amp;Veiculo&amp;"_"&amp;C69&amp;"_"&amp;Objetivo)</f>
        <v>alp_vw___</v>
      </c>
      <c r="BK73" s="35" t="str">
        <f>LOWER(Buying_Metric&amp;"_"&amp;VLOOKUP(Buying_Type,Buy_type,2,FALSE)&amp;"_"&amp;Device&amp;"_"&amp;Size&amp;"_"&amp;Segmentação&amp;"_"&amp;Segmentação_Anúncio)</f>
        <v>#N/A</v>
      </c>
      <c r="BL73" s="35" t="str">
        <f>LOWER(Campanha_ou_InsertionOrder&amp;"_"&amp;LineItem_ou_Grupodeanúncio&amp;"_"&amp;Linha_criativa_2&amp;"_"&amp;Unique_ID)</f>
        <v>#N/A</v>
      </c>
      <c r="BM73" s="27"/>
      <c r="BN73" s="27"/>
    </row>
    <row r="74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8" t="str">
        <f>LOWER(Campanha_ou_InsertionOrder&amp;"_"&amp;LineItem_ou_Grupodeanúncio&amp;"_"&amp;Linha_Criativa&amp;"_"&amp;Unique_ID)</f>
        <v>#N/A</v>
      </c>
      <c r="AN74" s="28" t="str">
        <f>LOWER(Campanha_ou_InsertionOrder&amp;"_"&amp;LineItem_ou_Grupodeanúncio&amp;"_"&amp;Linha_Criativa&amp;"_"&amp;Unique_ID)</f>
        <v>#N/A</v>
      </c>
      <c r="AO74" s="28" t="str">
        <f>LOWER("VW"&amp;"_"&amp;Model_Variant&amp;"_"&amp;Size&amp;"_"&amp;Linha_Criativa&amp;"_"&amp;IF(Servido_Por="portal",Veiculo,"adserver"))</f>
        <v>vw____adserver</v>
      </c>
      <c r="AP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" s="22" t="str">
        <f t="shared" si="1"/>
        <v/>
      </c>
      <c r="AS74" s="22" t="str">
        <f t="shared" si="2"/>
        <v/>
      </c>
      <c r="AT74" s="22" t="str">
        <f t="shared" si="3"/>
        <v>BR_IMC_DSY_LANCH_ND_NC_2020Q3AUG_NVS_Nivus-Launch-Consideracao</v>
      </c>
      <c r="AU74" s="22" t="str">
        <f t="shared" si="4"/>
        <v>#N/A</v>
      </c>
      <c r="AV74" s="22" t="s">
        <v>106</v>
      </c>
      <c r="AW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" s="22" t="str">
        <f t="shared" si="5"/>
        <v>BR_IMC_DSY_LANCH_ND_NC_2020Q3AUG_NVS_Nivus-Launch-Consideracao</v>
      </c>
      <c r="AY74" s="28" t="str">
        <f t="shared" si="6"/>
        <v>#N/A</v>
      </c>
      <c r="AZ74" s="22" t="s">
        <v>107</v>
      </c>
      <c r="BA74" s="22" t="s">
        <v>108</v>
      </c>
      <c r="BB74" s="31" t="s">
        <v>109</v>
      </c>
      <c r="BC74" s="31" t="s">
        <v>109</v>
      </c>
      <c r="BD74" s="32" t="str">
        <f t="shared" si="8"/>
        <v>nvl-nvs-imc-dsy-0820-10068</v>
      </c>
      <c r="BE74" s="33"/>
      <c r="BF74" s="33"/>
      <c r="BG74" s="39" t="str">
        <f>URL&amp;IF(ISNUMBER(FIND("?",URL)),"&amp;","?"&amp;("adlid="&amp;Unique_ID&amp;"&amp;adplt="&amp;Placement))</f>
        <v>#N/A</v>
      </c>
      <c r="BH74" s="1"/>
      <c r="BI74" s="1"/>
      <c r="BJ74" s="35" t="str">
        <f>LOWER("alp"&amp;"_"&amp;"vw"&amp;"_"&amp;Veiculo&amp;"_"&amp;C70&amp;"_"&amp;Objetivo)</f>
        <v>alp_vw___</v>
      </c>
      <c r="BK74" s="35" t="str">
        <f>LOWER(Buying_Metric&amp;"_"&amp;VLOOKUP(Buying_Type,Buy_type,2,FALSE)&amp;"_"&amp;Device&amp;"_"&amp;Size&amp;"_"&amp;Segmentação&amp;"_"&amp;Segmentação_Anúncio)</f>
        <v>#N/A</v>
      </c>
      <c r="BL74" s="35" t="str">
        <f>LOWER(Campanha_ou_InsertionOrder&amp;"_"&amp;LineItem_ou_Grupodeanúncio&amp;"_"&amp;Linha_criativa_2&amp;"_"&amp;Unique_ID)</f>
        <v>#N/A</v>
      </c>
      <c r="BM74" s="27"/>
      <c r="BN74" s="27"/>
    </row>
    <row r="75">
      <c r="A75" s="1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8" t="str">
        <f>LOWER(Campanha_ou_InsertionOrder&amp;"_"&amp;LineItem_ou_Grupodeanúncio&amp;"_"&amp;Linha_Criativa&amp;"_"&amp;Unique_ID)</f>
        <v>#N/A</v>
      </c>
      <c r="AN75" s="28" t="str">
        <f>LOWER(Campanha_ou_InsertionOrder&amp;"_"&amp;LineItem_ou_Grupodeanúncio&amp;"_"&amp;Linha_Criativa&amp;"_"&amp;Unique_ID)</f>
        <v>#N/A</v>
      </c>
      <c r="AO75" s="28" t="str">
        <f>LOWER("VW"&amp;"_"&amp;Model_Variant&amp;"_"&amp;Size&amp;"_"&amp;Linha_Criativa&amp;"_"&amp;IF(Servido_Por="portal",Veiculo,"adserver"))</f>
        <v>vw____adserver</v>
      </c>
      <c r="AP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" s="22" t="str">
        <f t="shared" si="1"/>
        <v/>
      </c>
      <c r="AS75" s="22" t="str">
        <f t="shared" si="2"/>
        <v/>
      </c>
      <c r="AT75" s="22" t="str">
        <f t="shared" si="3"/>
        <v>BR_IMC_DSY_LANCH_ND_NC_2020Q3AUG_NVS_Nivus-Launch-Consideracao</v>
      </c>
      <c r="AU75" s="22" t="str">
        <f t="shared" si="4"/>
        <v>#N/A</v>
      </c>
      <c r="AV75" s="22" t="s">
        <v>106</v>
      </c>
      <c r="AW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" s="22" t="str">
        <f t="shared" si="5"/>
        <v>BR_IMC_DSY_LANCH_ND_NC_2020Q3AUG_NVS_Nivus-Launch-Consideracao</v>
      </c>
      <c r="AY75" s="28" t="str">
        <f t="shared" si="6"/>
        <v>#N/A</v>
      </c>
      <c r="AZ75" s="22" t="s">
        <v>107</v>
      </c>
      <c r="BA75" s="22" t="s">
        <v>108</v>
      </c>
      <c r="BB75" s="31" t="s">
        <v>109</v>
      </c>
      <c r="BC75" s="31" t="s">
        <v>109</v>
      </c>
      <c r="BD75" s="32" t="str">
        <f t="shared" si="8"/>
        <v>nvl-nvs-imc-dsy-0820-10069</v>
      </c>
      <c r="BE75" s="33"/>
      <c r="BF75" s="33"/>
      <c r="BG75" s="39" t="str">
        <f>URL&amp;IF(ISNUMBER(FIND("?",URL)),"&amp;","?"&amp;("adlid="&amp;Unique_ID&amp;"&amp;adplt="&amp;Placement))</f>
        <v>#N/A</v>
      </c>
      <c r="BH75" s="1"/>
      <c r="BI75" s="1"/>
      <c r="BJ75" s="35" t="str">
        <f>LOWER("alp"&amp;"_"&amp;"vw"&amp;"_"&amp;Veiculo&amp;"_"&amp;C71&amp;"_"&amp;Objetivo)</f>
        <v>alp_vw___</v>
      </c>
      <c r="BK75" s="35" t="str">
        <f>LOWER(Buying_Metric&amp;"_"&amp;VLOOKUP(Buying_Type,Buy_type,2,FALSE)&amp;"_"&amp;Device&amp;"_"&amp;Size&amp;"_"&amp;Segmentação&amp;"_"&amp;Segmentação_Anúncio)</f>
        <v>#N/A</v>
      </c>
      <c r="BL75" s="35" t="str">
        <f>LOWER(Campanha_ou_InsertionOrder&amp;"_"&amp;LineItem_ou_Grupodeanúncio&amp;"_"&amp;Linha_criativa_2&amp;"_"&amp;Unique_ID)</f>
        <v>#N/A</v>
      </c>
      <c r="BM75" s="27"/>
      <c r="BN75" s="27"/>
    </row>
    <row r="76">
      <c r="A76" s="1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8" t="str">
        <f>LOWER(Campanha_ou_InsertionOrder&amp;"_"&amp;LineItem_ou_Grupodeanúncio&amp;"_"&amp;Linha_Criativa&amp;"_"&amp;Unique_ID)</f>
        <v>#N/A</v>
      </c>
      <c r="AN76" s="28" t="str">
        <f>LOWER(Campanha_ou_InsertionOrder&amp;"_"&amp;LineItem_ou_Grupodeanúncio&amp;"_"&amp;Linha_Criativa&amp;"_"&amp;Unique_ID)</f>
        <v>#N/A</v>
      </c>
      <c r="AO76" s="28" t="str">
        <f>LOWER("VW"&amp;"_"&amp;Model_Variant&amp;"_"&amp;Size&amp;"_"&amp;Linha_Criativa&amp;"_"&amp;IF(Servido_Por="portal",Veiculo,"adserver"))</f>
        <v>vw____adserver</v>
      </c>
      <c r="AP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" s="22" t="str">
        <f t="shared" si="1"/>
        <v/>
      </c>
      <c r="AS76" s="22" t="str">
        <f t="shared" si="2"/>
        <v/>
      </c>
      <c r="AT76" s="22" t="str">
        <f t="shared" si="3"/>
        <v>BR_IMC_DSY_LANCH_ND_NC_2020Q3AUG_NVS_Nivus-Launch-Consideracao</v>
      </c>
      <c r="AU76" s="22" t="str">
        <f t="shared" si="4"/>
        <v>#N/A</v>
      </c>
      <c r="AV76" s="22" t="s">
        <v>106</v>
      </c>
      <c r="AW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" s="22" t="str">
        <f t="shared" si="5"/>
        <v>BR_IMC_DSY_LANCH_ND_NC_2020Q3AUG_NVS_Nivus-Launch-Consideracao</v>
      </c>
      <c r="AY76" s="28" t="str">
        <f t="shared" si="6"/>
        <v>#N/A</v>
      </c>
      <c r="AZ76" s="22" t="s">
        <v>107</v>
      </c>
      <c r="BA76" s="22" t="s">
        <v>108</v>
      </c>
      <c r="BB76" s="31" t="s">
        <v>109</v>
      </c>
      <c r="BC76" s="31" t="s">
        <v>109</v>
      </c>
      <c r="BD76" s="32" t="str">
        <f t="shared" si="8"/>
        <v>nvl-nvs-imc-dsy-0820-10070</v>
      </c>
      <c r="BE76" s="33"/>
      <c r="BF76" s="33"/>
      <c r="BG76" s="39" t="str">
        <f>URL&amp;IF(ISNUMBER(FIND("?",URL)),"&amp;","?"&amp;("adlid="&amp;Unique_ID&amp;"&amp;adplt="&amp;Placement))</f>
        <v>#N/A</v>
      </c>
      <c r="BH76" s="1"/>
      <c r="BI76" s="1"/>
      <c r="BJ76" s="35" t="str">
        <f>LOWER("alp"&amp;"_"&amp;"vw"&amp;"_"&amp;Veiculo&amp;"_"&amp;C72&amp;"_"&amp;Objetivo)</f>
        <v>alp_vw___</v>
      </c>
      <c r="BK76" s="35" t="str">
        <f>LOWER(Buying_Metric&amp;"_"&amp;VLOOKUP(Buying_Type,Buy_type,2,FALSE)&amp;"_"&amp;Device&amp;"_"&amp;Size&amp;"_"&amp;Segmentação&amp;"_"&amp;Segmentação_Anúncio)</f>
        <v>#N/A</v>
      </c>
      <c r="BL76" s="35" t="str">
        <f>LOWER(Campanha_ou_InsertionOrder&amp;"_"&amp;LineItem_ou_Grupodeanúncio&amp;"_"&amp;Linha_criativa_2&amp;"_"&amp;Unique_ID)</f>
        <v>#N/A</v>
      </c>
      <c r="BM76" s="27"/>
      <c r="BN76" s="27"/>
    </row>
    <row r="77">
      <c r="A77" s="1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8" t="str">
        <f>LOWER(Campanha_ou_InsertionOrder&amp;"_"&amp;LineItem_ou_Grupodeanúncio&amp;"_"&amp;Linha_Criativa&amp;"_"&amp;Unique_ID)</f>
        <v>#N/A</v>
      </c>
      <c r="AN77" s="28" t="str">
        <f>LOWER(Campanha_ou_InsertionOrder&amp;"_"&amp;LineItem_ou_Grupodeanúncio&amp;"_"&amp;Linha_Criativa&amp;"_"&amp;Unique_ID)</f>
        <v>#N/A</v>
      </c>
      <c r="AO77" s="28" t="str">
        <f>LOWER("VW"&amp;"_"&amp;Model_Variant&amp;"_"&amp;Size&amp;"_"&amp;Linha_Criativa&amp;"_"&amp;IF(Servido_Por="portal",Veiculo,"adserver"))</f>
        <v>vw____adserver</v>
      </c>
      <c r="AP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" s="22" t="str">
        <f t="shared" si="1"/>
        <v/>
      </c>
      <c r="AS77" s="22" t="str">
        <f t="shared" si="2"/>
        <v/>
      </c>
      <c r="AT77" s="22" t="str">
        <f t="shared" si="3"/>
        <v>BR_IMC_DSY_LANCH_ND_NC_2020Q3AUG_NVS_Nivus-Launch-Consideracao</v>
      </c>
      <c r="AU77" s="22" t="str">
        <f t="shared" si="4"/>
        <v>#N/A</v>
      </c>
      <c r="AV77" s="22" t="s">
        <v>106</v>
      </c>
      <c r="AW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" s="22" t="str">
        <f t="shared" si="5"/>
        <v>BR_IMC_DSY_LANCH_ND_NC_2020Q3AUG_NVS_Nivus-Launch-Consideracao</v>
      </c>
      <c r="AY77" s="28" t="str">
        <f t="shared" si="6"/>
        <v>#N/A</v>
      </c>
      <c r="AZ77" s="22" t="s">
        <v>107</v>
      </c>
      <c r="BA77" s="22" t="s">
        <v>108</v>
      </c>
      <c r="BB77" s="31" t="s">
        <v>109</v>
      </c>
      <c r="BC77" s="31" t="s">
        <v>109</v>
      </c>
      <c r="BD77" s="32" t="str">
        <f t="shared" si="8"/>
        <v>nvl-nvs-imc-dsy-0820-10071</v>
      </c>
      <c r="BE77" s="33"/>
      <c r="BF77" s="33"/>
      <c r="BG77" s="39" t="str">
        <f>URL&amp;IF(ISNUMBER(FIND("?",URL)),"&amp;","?"&amp;("adlid="&amp;Unique_ID&amp;"&amp;adplt="&amp;Placement))</f>
        <v>#N/A</v>
      </c>
      <c r="BH77" s="1"/>
      <c r="BI77" s="1"/>
      <c r="BJ77" s="35" t="str">
        <f>LOWER("alp"&amp;"_"&amp;"vw"&amp;"_"&amp;Veiculo&amp;"_"&amp;C73&amp;"_"&amp;Objetivo)</f>
        <v>alp_vw___</v>
      </c>
      <c r="BK77" s="35" t="str">
        <f>LOWER(Buying_Metric&amp;"_"&amp;VLOOKUP(Buying_Type,Buy_type,2,FALSE)&amp;"_"&amp;Device&amp;"_"&amp;Size&amp;"_"&amp;Segmentação&amp;"_"&amp;Segmentação_Anúncio)</f>
        <v>#N/A</v>
      </c>
      <c r="BL77" s="35" t="str">
        <f>LOWER(Campanha_ou_InsertionOrder&amp;"_"&amp;LineItem_ou_Grupodeanúncio&amp;"_"&amp;Linha_criativa_2&amp;"_"&amp;Unique_ID)</f>
        <v>#N/A</v>
      </c>
      <c r="BM77" s="27"/>
      <c r="BN77" s="27"/>
    </row>
    <row r="78">
      <c r="A78" s="1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8" t="str">
        <f>LOWER(Campanha_ou_InsertionOrder&amp;"_"&amp;LineItem_ou_Grupodeanúncio&amp;"_"&amp;Linha_Criativa&amp;"_"&amp;Unique_ID)</f>
        <v>#N/A</v>
      </c>
      <c r="AN78" s="28" t="str">
        <f>LOWER(Campanha_ou_InsertionOrder&amp;"_"&amp;LineItem_ou_Grupodeanúncio&amp;"_"&amp;Linha_Criativa&amp;"_"&amp;Unique_ID)</f>
        <v>#N/A</v>
      </c>
      <c r="AO78" s="28" t="str">
        <f>LOWER("VW"&amp;"_"&amp;Model_Variant&amp;"_"&amp;Size&amp;"_"&amp;Linha_Criativa&amp;"_"&amp;IF(Servido_Por="portal",Veiculo,"adserver"))</f>
        <v>vw____adserver</v>
      </c>
      <c r="AP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" s="22" t="str">
        <f t="shared" si="1"/>
        <v/>
      </c>
      <c r="AS78" s="22" t="str">
        <f t="shared" si="2"/>
        <v/>
      </c>
      <c r="AT78" s="22" t="str">
        <f t="shared" si="3"/>
        <v>BR_IMC_DSY_LANCH_ND_NC_2020Q3AUG_NVS_Nivus-Launch-Consideracao</v>
      </c>
      <c r="AU78" s="22" t="str">
        <f t="shared" si="4"/>
        <v>#N/A</v>
      </c>
      <c r="AV78" s="22" t="s">
        <v>106</v>
      </c>
      <c r="AW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" s="22" t="str">
        <f t="shared" si="5"/>
        <v>BR_IMC_DSY_LANCH_ND_NC_2020Q3AUG_NVS_Nivus-Launch-Consideracao</v>
      </c>
      <c r="AY78" s="28" t="str">
        <f t="shared" si="6"/>
        <v>#N/A</v>
      </c>
      <c r="AZ78" s="22" t="s">
        <v>107</v>
      </c>
      <c r="BA78" s="22" t="s">
        <v>108</v>
      </c>
      <c r="BB78" s="31" t="s">
        <v>109</v>
      </c>
      <c r="BC78" s="31" t="s">
        <v>109</v>
      </c>
      <c r="BD78" s="32" t="str">
        <f t="shared" si="8"/>
        <v>nvl-nvs-imc-dsy-0820-10072</v>
      </c>
      <c r="BE78" s="33"/>
      <c r="BF78" s="33"/>
      <c r="BG78" s="39" t="str">
        <f>URL&amp;IF(ISNUMBER(FIND("?",URL)),"&amp;","?"&amp;("adlid="&amp;Unique_ID&amp;"&amp;adplt="&amp;Placement))</f>
        <v>#N/A</v>
      </c>
      <c r="BH78" s="1"/>
      <c r="BI78" s="1"/>
      <c r="BJ78" s="35" t="str">
        <f>LOWER("alp"&amp;"_"&amp;"vw"&amp;"_"&amp;Veiculo&amp;"_"&amp;C74&amp;"_"&amp;Objetivo)</f>
        <v>alp_vw___</v>
      </c>
      <c r="BK78" s="35" t="str">
        <f>LOWER(Buying_Metric&amp;"_"&amp;VLOOKUP(Buying_Type,Buy_type,2,FALSE)&amp;"_"&amp;Device&amp;"_"&amp;Size&amp;"_"&amp;Segmentação&amp;"_"&amp;Segmentação_Anúncio)</f>
        <v>#N/A</v>
      </c>
      <c r="BL78" s="35" t="str">
        <f>LOWER(Campanha_ou_InsertionOrder&amp;"_"&amp;LineItem_ou_Grupodeanúncio&amp;"_"&amp;Linha_criativa_2&amp;"_"&amp;Unique_ID)</f>
        <v>#N/A</v>
      </c>
      <c r="BM78" s="27"/>
      <c r="BN78" s="27"/>
    </row>
    <row r="79">
      <c r="A79" s="1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8" t="str">
        <f>LOWER(Campanha_ou_InsertionOrder&amp;"_"&amp;LineItem_ou_Grupodeanúncio&amp;"_"&amp;Linha_Criativa&amp;"_"&amp;Unique_ID)</f>
        <v>#N/A</v>
      </c>
      <c r="AN79" s="28" t="str">
        <f>LOWER(Campanha_ou_InsertionOrder&amp;"_"&amp;LineItem_ou_Grupodeanúncio&amp;"_"&amp;Linha_Criativa&amp;"_"&amp;Unique_ID)</f>
        <v>#N/A</v>
      </c>
      <c r="AO79" s="28" t="str">
        <f>LOWER("VW"&amp;"_"&amp;Model_Variant&amp;"_"&amp;Size&amp;"_"&amp;Linha_Criativa&amp;"_"&amp;IF(Servido_Por="portal",Veiculo,"adserver"))</f>
        <v>vw____adserver</v>
      </c>
      <c r="AP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" s="22" t="str">
        <f t="shared" si="1"/>
        <v/>
      </c>
      <c r="AS79" s="22" t="str">
        <f t="shared" si="2"/>
        <v/>
      </c>
      <c r="AT79" s="22" t="str">
        <f t="shared" si="3"/>
        <v>BR_IMC_DSY_LANCH_ND_NC_2020Q3AUG_NVS_Nivus-Launch-Consideracao</v>
      </c>
      <c r="AU79" s="22" t="str">
        <f t="shared" si="4"/>
        <v>#N/A</v>
      </c>
      <c r="AV79" s="22" t="s">
        <v>106</v>
      </c>
      <c r="AW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" s="22" t="str">
        <f t="shared" si="5"/>
        <v>BR_IMC_DSY_LANCH_ND_NC_2020Q3AUG_NVS_Nivus-Launch-Consideracao</v>
      </c>
      <c r="AY79" s="28" t="str">
        <f t="shared" si="6"/>
        <v>#N/A</v>
      </c>
      <c r="AZ79" s="22" t="s">
        <v>107</v>
      </c>
      <c r="BA79" s="22" t="s">
        <v>108</v>
      </c>
      <c r="BB79" s="31" t="s">
        <v>109</v>
      </c>
      <c r="BC79" s="31" t="s">
        <v>109</v>
      </c>
      <c r="BD79" s="32" t="str">
        <f t="shared" si="8"/>
        <v>nvl-nvs-imc-dsy-0820-10073</v>
      </c>
      <c r="BE79" s="33"/>
      <c r="BF79" s="33"/>
      <c r="BG79" s="39" t="str">
        <f>URL&amp;IF(ISNUMBER(FIND("?",URL)),"&amp;","?"&amp;("adlid="&amp;Unique_ID&amp;"&amp;adplt="&amp;Placement))</f>
        <v>#N/A</v>
      </c>
      <c r="BH79" s="1"/>
      <c r="BI79" s="1"/>
      <c r="BJ79" s="35" t="str">
        <f>LOWER("alp"&amp;"_"&amp;"vw"&amp;"_"&amp;Veiculo&amp;"_"&amp;C75&amp;"_"&amp;Objetivo)</f>
        <v>alp_vw___</v>
      </c>
      <c r="BK79" s="35" t="str">
        <f>LOWER(Buying_Metric&amp;"_"&amp;VLOOKUP(Buying_Type,Buy_type,2,FALSE)&amp;"_"&amp;Device&amp;"_"&amp;Size&amp;"_"&amp;Segmentação&amp;"_"&amp;Segmentação_Anúncio)</f>
        <v>#N/A</v>
      </c>
      <c r="BL79" s="35" t="str">
        <f>LOWER(Campanha_ou_InsertionOrder&amp;"_"&amp;LineItem_ou_Grupodeanúncio&amp;"_"&amp;Linha_criativa_2&amp;"_"&amp;Unique_ID)</f>
        <v>#N/A</v>
      </c>
      <c r="BM79" s="27"/>
      <c r="BN79" s="27"/>
    </row>
    <row r="80">
      <c r="A80" s="1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8" t="str">
        <f>LOWER(Campanha_ou_InsertionOrder&amp;"_"&amp;LineItem_ou_Grupodeanúncio&amp;"_"&amp;Linha_Criativa&amp;"_"&amp;Unique_ID)</f>
        <v>#N/A</v>
      </c>
      <c r="AN80" s="28" t="str">
        <f>LOWER(Campanha_ou_InsertionOrder&amp;"_"&amp;LineItem_ou_Grupodeanúncio&amp;"_"&amp;Linha_Criativa&amp;"_"&amp;Unique_ID)</f>
        <v>#N/A</v>
      </c>
      <c r="AO80" s="28" t="str">
        <f>LOWER("VW"&amp;"_"&amp;Model_Variant&amp;"_"&amp;Size&amp;"_"&amp;Linha_Criativa&amp;"_"&amp;IF(Servido_Por="portal",Veiculo,"adserver"))</f>
        <v>vw____adserver</v>
      </c>
      <c r="AP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" s="22" t="str">
        <f t="shared" si="1"/>
        <v/>
      </c>
      <c r="AS80" s="22" t="str">
        <f t="shared" si="2"/>
        <v/>
      </c>
      <c r="AT80" s="22" t="str">
        <f t="shared" si="3"/>
        <v>BR_IMC_DSY_LANCH_ND_NC_2020Q3AUG_NVS_Nivus-Launch-Consideracao</v>
      </c>
      <c r="AU80" s="22" t="str">
        <f t="shared" si="4"/>
        <v>#N/A</v>
      </c>
      <c r="AV80" s="22" t="s">
        <v>106</v>
      </c>
      <c r="AW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" s="22" t="str">
        <f t="shared" si="5"/>
        <v>BR_IMC_DSY_LANCH_ND_NC_2020Q3AUG_NVS_Nivus-Launch-Consideracao</v>
      </c>
      <c r="AY80" s="28" t="str">
        <f t="shared" si="6"/>
        <v>#N/A</v>
      </c>
      <c r="AZ80" s="22" t="s">
        <v>107</v>
      </c>
      <c r="BA80" s="22" t="s">
        <v>108</v>
      </c>
      <c r="BB80" s="31" t="s">
        <v>109</v>
      </c>
      <c r="BC80" s="31" t="s">
        <v>109</v>
      </c>
      <c r="BD80" s="32" t="str">
        <f t="shared" si="8"/>
        <v>nvl-nvs-imc-dsy-0820-10074</v>
      </c>
      <c r="BE80" s="33"/>
      <c r="BF80" s="33"/>
      <c r="BG80" s="39" t="str">
        <f>URL&amp;IF(ISNUMBER(FIND("?",URL)),"&amp;","?"&amp;("adlid="&amp;Unique_ID&amp;"&amp;adplt="&amp;Placement))</f>
        <v>#N/A</v>
      </c>
      <c r="BH80" s="1"/>
      <c r="BI80" s="1"/>
      <c r="BJ80" s="35" t="str">
        <f>LOWER("alp"&amp;"_"&amp;"vw"&amp;"_"&amp;Veiculo&amp;"_"&amp;C76&amp;"_"&amp;Objetivo)</f>
        <v>alp_vw___</v>
      </c>
      <c r="BK80" s="35" t="str">
        <f>LOWER(Buying_Metric&amp;"_"&amp;VLOOKUP(Buying_Type,Buy_type,2,FALSE)&amp;"_"&amp;Device&amp;"_"&amp;Size&amp;"_"&amp;Segmentação&amp;"_"&amp;Segmentação_Anúncio)</f>
        <v>#N/A</v>
      </c>
      <c r="BL80" s="35" t="str">
        <f>LOWER(Campanha_ou_InsertionOrder&amp;"_"&amp;LineItem_ou_Grupodeanúncio&amp;"_"&amp;Linha_criativa_2&amp;"_"&amp;Unique_ID)</f>
        <v>#N/A</v>
      </c>
      <c r="BM80" s="27"/>
      <c r="BN80" s="27"/>
    </row>
    <row r="81">
      <c r="A81" s="1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8" t="str">
        <f>LOWER(Campanha_ou_InsertionOrder&amp;"_"&amp;LineItem_ou_Grupodeanúncio&amp;"_"&amp;Linha_Criativa&amp;"_"&amp;Unique_ID)</f>
        <v>#N/A</v>
      </c>
      <c r="AN81" s="28" t="str">
        <f>LOWER(Campanha_ou_InsertionOrder&amp;"_"&amp;LineItem_ou_Grupodeanúncio&amp;"_"&amp;Linha_Criativa&amp;"_"&amp;Unique_ID)</f>
        <v>#N/A</v>
      </c>
      <c r="AO81" s="28" t="str">
        <f>LOWER("VW"&amp;"_"&amp;Model_Variant&amp;"_"&amp;Size&amp;"_"&amp;Linha_Criativa&amp;"_"&amp;IF(Servido_Por="portal",Veiculo,"adserver"))</f>
        <v>vw____adserver</v>
      </c>
      <c r="AP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" s="22" t="str">
        <f t="shared" si="1"/>
        <v/>
      </c>
      <c r="AS81" s="22" t="str">
        <f t="shared" si="2"/>
        <v/>
      </c>
      <c r="AT81" s="22" t="str">
        <f t="shared" si="3"/>
        <v>BR_IMC_DSY_LANCH_ND_NC_2020Q3AUG_NVS_Nivus-Launch-Consideracao</v>
      </c>
      <c r="AU81" s="22" t="str">
        <f t="shared" si="4"/>
        <v>#N/A</v>
      </c>
      <c r="AV81" s="22" t="s">
        <v>106</v>
      </c>
      <c r="AW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" s="22" t="str">
        <f t="shared" si="5"/>
        <v>BR_IMC_DSY_LANCH_ND_NC_2020Q3AUG_NVS_Nivus-Launch-Consideracao</v>
      </c>
      <c r="AY81" s="28" t="str">
        <f t="shared" si="6"/>
        <v>#N/A</v>
      </c>
      <c r="AZ81" s="22" t="s">
        <v>107</v>
      </c>
      <c r="BA81" s="22" t="s">
        <v>108</v>
      </c>
      <c r="BB81" s="31" t="s">
        <v>109</v>
      </c>
      <c r="BC81" s="31" t="s">
        <v>109</v>
      </c>
      <c r="BD81" s="32" t="str">
        <f t="shared" si="8"/>
        <v>nvl-nvs-imc-dsy-0820-10075</v>
      </c>
      <c r="BE81" s="33"/>
      <c r="BF81" s="33"/>
      <c r="BG81" s="39" t="str">
        <f>URL&amp;IF(ISNUMBER(FIND("?",URL)),"&amp;","?"&amp;("adlid="&amp;Unique_ID&amp;"&amp;adplt="&amp;Placement))</f>
        <v>#N/A</v>
      </c>
      <c r="BH81" s="1"/>
      <c r="BI81" s="1"/>
      <c r="BJ81" s="35" t="str">
        <f>LOWER("alp"&amp;"_"&amp;"vw"&amp;"_"&amp;Veiculo&amp;"_"&amp;C77&amp;"_"&amp;Objetivo)</f>
        <v>alp_vw___</v>
      </c>
      <c r="BK81" s="35" t="str">
        <f>LOWER(Buying_Metric&amp;"_"&amp;VLOOKUP(Buying_Type,Buy_type,2,FALSE)&amp;"_"&amp;Device&amp;"_"&amp;Size&amp;"_"&amp;Segmentação&amp;"_"&amp;Segmentação_Anúncio)</f>
        <v>#N/A</v>
      </c>
      <c r="BL81" s="35" t="str">
        <f>LOWER(Campanha_ou_InsertionOrder&amp;"_"&amp;LineItem_ou_Grupodeanúncio&amp;"_"&amp;Linha_criativa_2&amp;"_"&amp;Unique_ID)</f>
        <v>#N/A</v>
      </c>
      <c r="BM81" s="27"/>
      <c r="BN81" s="27"/>
    </row>
    <row r="82">
      <c r="A82" s="1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8" t="str">
        <f>LOWER(Campanha_ou_InsertionOrder&amp;"_"&amp;LineItem_ou_Grupodeanúncio&amp;"_"&amp;Linha_Criativa&amp;"_"&amp;Unique_ID)</f>
        <v>#N/A</v>
      </c>
      <c r="AN82" s="28" t="str">
        <f>LOWER(Campanha_ou_InsertionOrder&amp;"_"&amp;LineItem_ou_Grupodeanúncio&amp;"_"&amp;Linha_Criativa&amp;"_"&amp;Unique_ID)</f>
        <v>#N/A</v>
      </c>
      <c r="AO82" s="28" t="str">
        <f>LOWER("VW"&amp;"_"&amp;Model_Variant&amp;"_"&amp;Size&amp;"_"&amp;Linha_Criativa&amp;"_"&amp;IF(Servido_Por="portal",Veiculo,"adserver"))</f>
        <v>vw____adserver</v>
      </c>
      <c r="AP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" s="22" t="str">
        <f t="shared" si="1"/>
        <v/>
      </c>
      <c r="AS82" s="22" t="str">
        <f t="shared" si="2"/>
        <v/>
      </c>
      <c r="AT82" s="22" t="str">
        <f t="shared" si="3"/>
        <v>BR_IMC_DSY_LANCH_ND_NC_2020Q3AUG_NVS_Nivus-Launch-Consideracao</v>
      </c>
      <c r="AU82" s="22" t="str">
        <f t="shared" si="4"/>
        <v>#N/A</v>
      </c>
      <c r="AV82" s="22" t="s">
        <v>106</v>
      </c>
      <c r="AW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" s="22" t="str">
        <f t="shared" si="5"/>
        <v>BR_IMC_DSY_LANCH_ND_NC_2020Q3AUG_NVS_Nivus-Launch-Consideracao</v>
      </c>
      <c r="AY82" s="28" t="str">
        <f t="shared" si="6"/>
        <v>#N/A</v>
      </c>
      <c r="AZ82" s="22" t="s">
        <v>107</v>
      </c>
      <c r="BA82" s="22" t="s">
        <v>108</v>
      </c>
      <c r="BB82" s="31" t="s">
        <v>109</v>
      </c>
      <c r="BC82" s="31" t="s">
        <v>109</v>
      </c>
      <c r="BD82" s="32" t="str">
        <f t="shared" si="8"/>
        <v>nvl-nvs-imc-dsy-0820-10076</v>
      </c>
      <c r="BE82" s="33"/>
      <c r="BF82" s="33"/>
      <c r="BG82" s="39" t="str">
        <f>URL&amp;IF(ISNUMBER(FIND("?",URL)),"&amp;","?"&amp;("adlid="&amp;Unique_ID&amp;"&amp;adplt="&amp;Placement))</f>
        <v>#N/A</v>
      </c>
      <c r="BH82" s="1"/>
      <c r="BI82" s="1"/>
      <c r="BJ82" s="35" t="str">
        <f>LOWER("alp"&amp;"_"&amp;"vw"&amp;"_"&amp;Veiculo&amp;"_"&amp;C78&amp;"_"&amp;Objetivo)</f>
        <v>alp_vw___</v>
      </c>
      <c r="BK82" s="35" t="str">
        <f>LOWER(Buying_Metric&amp;"_"&amp;VLOOKUP(Buying_Type,Buy_type,2,FALSE)&amp;"_"&amp;Device&amp;"_"&amp;Size&amp;"_"&amp;Segmentação&amp;"_"&amp;Segmentação_Anúncio)</f>
        <v>#N/A</v>
      </c>
      <c r="BL82" s="35" t="str">
        <f>LOWER(Campanha_ou_InsertionOrder&amp;"_"&amp;LineItem_ou_Grupodeanúncio&amp;"_"&amp;Linha_criativa_2&amp;"_"&amp;Unique_ID)</f>
        <v>#N/A</v>
      </c>
      <c r="BM82" s="27"/>
      <c r="BN82" s="27"/>
    </row>
    <row r="83">
      <c r="A83" s="1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8" t="str">
        <f>LOWER(Campanha_ou_InsertionOrder&amp;"_"&amp;LineItem_ou_Grupodeanúncio&amp;"_"&amp;Linha_Criativa&amp;"_"&amp;Unique_ID)</f>
        <v>#N/A</v>
      </c>
      <c r="AN83" s="28" t="str">
        <f>LOWER(Campanha_ou_InsertionOrder&amp;"_"&amp;LineItem_ou_Grupodeanúncio&amp;"_"&amp;Linha_Criativa&amp;"_"&amp;Unique_ID)</f>
        <v>#N/A</v>
      </c>
      <c r="AO83" s="28" t="str">
        <f>LOWER("VW"&amp;"_"&amp;Model_Variant&amp;"_"&amp;Size&amp;"_"&amp;Linha_Criativa&amp;"_"&amp;IF(Servido_Por="portal",Veiculo,"adserver"))</f>
        <v>vw____adserver</v>
      </c>
      <c r="AP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" s="22" t="str">
        <f t="shared" si="1"/>
        <v/>
      </c>
      <c r="AS83" s="22" t="str">
        <f t="shared" si="2"/>
        <v/>
      </c>
      <c r="AT83" s="22" t="str">
        <f t="shared" si="3"/>
        <v>BR_IMC_DSY_LANCH_ND_NC_2020Q3AUG_NVS_Nivus-Launch-Consideracao</v>
      </c>
      <c r="AU83" s="22" t="str">
        <f t="shared" si="4"/>
        <v>#N/A</v>
      </c>
      <c r="AV83" s="22" t="s">
        <v>106</v>
      </c>
      <c r="AW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" s="22" t="str">
        <f t="shared" si="5"/>
        <v>BR_IMC_DSY_LANCH_ND_NC_2020Q3AUG_NVS_Nivus-Launch-Consideracao</v>
      </c>
      <c r="AY83" s="28" t="str">
        <f t="shared" si="6"/>
        <v>#N/A</v>
      </c>
      <c r="AZ83" s="22" t="s">
        <v>107</v>
      </c>
      <c r="BA83" s="22" t="s">
        <v>108</v>
      </c>
      <c r="BB83" s="31" t="s">
        <v>109</v>
      </c>
      <c r="BC83" s="31" t="s">
        <v>109</v>
      </c>
      <c r="BD83" s="32" t="str">
        <f t="shared" si="8"/>
        <v>nvl-nvs-imc-dsy-0820-10077</v>
      </c>
      <c r="BE83" s="33"/>
      <c r="BF83" s="33"/>
      <c r="BG83" s="39" t="str">
        <f>URL&amp;IF(ISNUMBER(FIND("?",URL)),"&amp;","?"&amp;("adlid="&amp;Unique_ID&amp;"&amp;adplt="&amp;Placement))</f>
        <v>#N/A</v>
      </c>
      <c r="BH83" s="1"/>
      <c r="BI83" s="1"/>
      <c r="BJ83" s="35" t="str">
        <f>LOWER("alp"&amp;"_"&amp;"vw"&amp;"_"&amp;Veiculo&amp;"_"&amp;C79&amp;"_"&amp;Objetivo)</f>
        <v>alp_vw___</v>
      </c>
      <c r="BK83" s="35" t="str">
        <f>LOWER(Buying_Metric&amp;"_"&amp;VLOOKUP(Buying_Type,Buy_type,2,FALSE)&amp;"_"&amp;Device&amp;"_"&amp;Size&amp;"_"&amp;Segmentação&amp;"_"&amp;Segmentação_Anúncio)</f>
        <v>#N/A</v>
      </c>
      <c r="BL83" s="35" t="str">
        <f>LOWER(Campanha_ou_InsertionOrder&amp;"_"&amp;LineItem_ou_Grupodeanúncio&amp;"_"&amp;Linha_criativa_2&amp;"_"&amp;Unique_ID)</f>
        <v>#N/A</v>
      </c>
      <c r="BM83" s="27"/>
      <c r="BN83" s="27"/>
    </row>
    <row r="84">
      <c r="A84" s="1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8" t="str">
        <f>LOWER(Campanha_ou_InsertionOrder&amp;"_"&amp;LineItem_ou_Grupodeanúncio&amp;"_"&amp;Linha_Criativa&amp;"_"&amp;Unique_ID)</f>
        <v>#N/A</v>
      </c>
      <c r="AN84" s="28" t="str">
        <f>LOWER(Campanha_ou_InsertionOrder&amp;"_"&amp;LineItem_ou_Grupodeanúncio&amp;"_"&amp;Linha_Criativa&amp;"_"&amp;Unique_ID)</f>
        <v>#N/A</v>
      </c>
      <c r="AO84" s="28" t="str">
        <f>LOWER("VW"&amp;"_"&amp;Model_Variant&amp;"_"&amp;Size&amp;"_"&amp;Linha_Criativa&amp;"_"&amp;IF(Servido_Por="portal",Veiculo,"adserver"))</f>
        <v>vw____adserver</v>
      </c>
      <c r="AP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" s="22" t="str">
        <f t="shared" si="1"/>
        <v/>
      </c>
      <c r="AS84" s="22" t="str">
        <f t="shared" si="2"/>
        <v/>
      </c>
      <c r="AT84" s="22" t="str">
        <f t="shared" si="3"/>
        <v>BR_IMC_DSY_LANCH_ND_NC_2020Q3AUG_NVS_Nivus-Launch-Consideracao</v>
      </c>
      <c r="AU84" s="22" t="str">
        <f t="shared" si="4"/>
        <v>#N/A</v>
      </c>
      <c r="AV84" s="22" t="s">
        <v>106</v>
      </c>
      <c r="AW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" s="22" t="str">
        <f t="shared" si="5"/>
        <v>BR_IMC_DSY_LANCH_ND_NC_2020Q3AUG_NVS_Nivus-Launch-Consideracao</v>
      </c>
      <c r="AY84" s="28" t="str">
        <f t="shared" si="6"/>
        <v>#N/A</v>
      </c>
      <c r="AZ84" s="22" t="s">
        <v>107</v>
      </c>
      <c r="BA84" s="22" t="s">
        <v>108</v>
      </c>
      <c r="BB84" s="31" t="s">
        <v>109</v>
      </c>
      <c r="BC84" s="31" t="s">
        <v>109</v>
      </c>
      <c r="BD84" s="32" t="str">
        <f t="shared" si="8"/>
        <v>nvl-nvs-imc-dsy-0820-10078</v>
      </c>
      <c r="BE84" s="33"/>
      <c r="BF84" s="33"/>
      <c r="BG84" s="39" t="str">
        <f>URL&amp;IF(ISNUMBER(FIND("?",URL)),"&amp;","?"&amp;("adlid="&amp;Unique_ID&amp;"&amp;adplt="&amp;Placement))</f>
        <v>#N/A</v>
      </c>
      <c r="BH84" s="1"/>
      <c r="BI84" s="1"/>
      <c r="BJ84" s="35" t="str">
        <f>LOWER("alp"&amp;"_"&amp;"vw"&amp;"_"&amp;Veiculo&amp;"_"&amp;C80&amp;"_"&amp;Objetivo)</f>
        <v>alp_vw___</v>
      </c>
      <c r="BK84" s="35" t="str">
        <f>LOWER(Buying_Metric&amp;"_"&amp;VLOOKUP(Buying_Type,Buy_type,2,FALSE)&amp;"_"&amp;Device&amp;"_"&amp;Size&amp;"_"&amp;Segmentação&amp;"_"&amp;Segmentação_Anúncio)</f>
        <v>#N/A</v>
      </c>
      <c r="BL84" s="35" t="str">
        <f>LOWER(Campanha_ou_InsertionOrder&amp;"_"&amp;LineItem_ou_Grupodeanúncio&amp;"_"&amp;Linha_criativa_2&amp;"_"&amp;Unique_ID)</f>
        <v>#N/A</v>
      </c>
      <c r="BM84" s="27"/>
      <c r="BN84" s="27"/>
    </row>
    <row r="85">
      <c r="A85" s="1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8" t="str">
        <f>LOWER(Campanha_ou_InsertionOrder&amp;"_"&amp;LineItem_ou_Grupodeanúncio&amp;"_"&amp;Linha_Criativa&amp;"_"&amp;Unique_ID)</f>
        <v>#N/A</v>
      </c>
      <c r="AN85" s="28" t="str">
        <f>LOWER(Campanha_ou_InsertionOrder&amp;"_"&amp;LineItem_ou_Grupodeanúncio&amp;"_"&amp;Linha_Criativa&amp;"_"&amp;Unique_ID)</f>
        <v>#N/A</v>
      </c>
      <c r="AO85" s="28" t="str">
        <f>LOWER("VW"&amp;"_"&amp;Model_Variant&amp;"_"&amp;Size&amp;"_"&amp;Linha_Criativa&amp;"_"&amp;IF(Servido_Por="portal",Veiculo,"adserver"))</f>
        <v>vw____adserver</v>
      </c>
      <c r="AP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" s="22" t="str">
        <f t="shared" si="1"/>
        <v/>
      </c>
      <c r="AS85" s="22" t="str">
        <f t="shared" si="2"/>
        <v/>
      </c>
      <c r="AT85" s="22" t="str">
        <f t="shared" si="3"/>
        <v>BR_IMC_DSY_LANCH_ND_NC_2020Q3AUG_NVS_Nivus-Launch-Consideracao</v>
      </c>
      <c r="AU85" s="22" t="str">
        <f t="shared" si="4"/>
        <v>#N/A</v>
      </c>
      <c r="AV85" s="22" t="s">
        <v>106</v>
      </c>
      <c r="AW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" s="22" t="str">
        <f t="shared" si="5"/>
        <v>BR_IMC_DSY_LANCH_ND_NC_2020Q3AUG_NVS_Nivus-Launch-Consideracao</v>
      </c>
      <c r="AY85" s="28" t="str">
        <f t="shared" si="6"/>
        <v>#N/A</v>
      </c>
      <c r="AZ85" s="22" t="s">
        <v>107</v>
      </c>
      <c r="BA85" s="22" t="s">
        <v>108</v>
      </c>
      <c r="BB85" s="31" t="s">
        <v>109</v>
      </c>
      <c r="BC85" s="31" t="s">
        <v>109</v>
      </c>
      <c r="BD85" s="32" t="str">
        <f t="shared" si="8"/>
        <v>nvl-nvs-imc-dsy-0820-10079</v>
      </c>
      <c r="BE85" s="33"/>
      <c r="BF85" s="33"/>
      <c r="BG85" s="39" t="str">
        <f>URL&amp;IF(ISNUMBER(FIND("?",URL)),"&amp;","?"&amp;("adlid="&amp;Unique_ID&amp;"&amp;adplt="&amp;Placement))</f>
        <v>#N/A</v>
      </c>
      <c r="BH85" s="1"/>
      <c r="BI85" s="1"/>
      <c r="BJ85" s="35" t="str">
        <f>LOWER("alp"&amp;"_"&amp;"vw"&amp;"_"&amp;Veiculo&amp;"_"&amp;C81&amp;"_"&amp;Objetivo)</f>
        <v>alp_vw___</v>
      </c>
      <c r="BK85" s="35" t="str">
        <f>LOWER(Buying_Metric&amp;"_"&amp;VLOOKUP(Buying_Type,Buy_type,2,FALSE)&amp;"_"&amp;Device&amp;"_"&amp;Size&amp;"_"&amp;Segmentação&amp;"_"&amp;Segmentação_Anúncio)</f>
        <v>#N/A</v>
      </c>
      <c r="BL85" s="35" t="str">
        <f>LOWER(Campanha_ou_InsertionOrder&amp;"_"&amp;LineItem_ou_Grupodeanúncio&amp;"_"&amp;Linha_criativa_2&amp;"_"&amp;Unique_ID)</f>
        <v>#N/A</v>
      </c>
      <c r="BM85" s="27"/>
      <c r="BN85" s="27"/>
    </row>
    <row r="86">
      <c r="A86" s="1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8" t="str">
        <f>LOWER(Campanha_ou_InsertionOrder&amp;"_"&amp;LineItem_ou_Grupodeanúncio&amp;"_"&amp;Linha_Criativa&amp;"_"&amp;Unique_ID)</f>
        <v>#N/A</v>
      </c>
      <c r="AN86" s="28" t="str">
        <f>LOWER(Campanha_ou_InsertionOrder&amp;"_"&amp;LineItem_ou_Grupodeanúncio&amp;"_"&amp;Linha_Criativa&amp;"_"&amp;Unique_ID)</f>
        <v>#N/A</v>
      </c>
      <c r="AO86" s="28" t="str">
        <f>LOWER("VW"&amp;"_"&amp;Model_Variant&amp;"_"&amp;Size&amp;"_"&amp;Linha_Criativa&amp;"_"&amp;IF(Servido_Por="portal",Veiculo,"adserver"))</f>
        <v>vw____adserver</v>
      </c>
      <c r="AP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" s="22" t="str">
        <f t="shared" si="1"/>
        <v/>
      </c>
      <c r="AS86" s="22" t="str">
        <f t="shared" si="2"/>
        <v/>
      </c>
      <c r="AT86" s="22" t="str">
        <f t="shared" si="3"/>
        <v>BR_IMC_DSY_LANCH_ND_NC_2020Q3AUG_NVS_Nivus-Launch-Consideracao</v>
      </c>
      <c r="AU86" s="22" t="str">
        <f t="shared" si="4"/>
        <v>#N/A</v>
      </c>
      <c r="AV86" s="22" t="s">
        <v>106</v>
      </c>
      <c r="AW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" s="22" t="str">
        <f t="shared" si="5"/>
        <v>BR_IMC_DSY_LANCH_ND_NC_2020Q3AUG_NVS_Nivus-Launch-Consideracao</v>
      </c>
      <c r="AY86" s="28" t="str">
        <f t="shared" si="6"/>
        <v>#N/A</v>
      </c>
      <c r="AZ86" s="22" t="s">
        <v>107</v>
      </c>
      <c r="BA86" s="22" t="s">
        <v>108</v>
      </c>
      <c r="BB86" s="31" t="s">
        <v>109</v>
      </c>
      <c r="BC86" s="31" t="s">
        <v>109</v>
      </c>
      <c r="BD86" s="32" t="str">
        <f t="shared" si="8"/>
        <v>nvl-nvs-imc-dsy-0820-10080</v>
      </c>
      <c r="BE86" s="33"/>
      <c r="BF86" s="33"/>
      <c r="BG86" s="39" t="str">
        <f>URL&amp;IF(ISNUMBER(FIND("?",URL)),"&amp;","?"&amp;("adlid="&amp;Unique_ID&amp;"&amp;adplt="&amp;Placement))</f>
        <v>#N/A</v>
      </c>
      <c r="BH86" s="1"/>
      <c r="BI86" s="1"/>
      <c r="BJ86" s="35" t="str">
        <f>LOWER("alp"&amp;"_"&amp;"vw"&amp;"_"&amp;Veiculo&amp;"_"&amp;C82&amp;"_"&amp;Objetivo)</f>
        <v>alp_vw___</v>
      </c>
      <c r="BK86" s="35" t="str">
        <f>LOWER(Buying_Metric&amp;"_"&amp;VLOOKUP(Buying_Type,Buy_type,2,FALSE)&amp;"_"&amp;Device&amp;"_"&amp;Size&amp;"_"&amp;Segmentação&amp;"_"&amp;Segmentação_Anúncio)</f>
        <v>#N/A</v>
      </c>
      <c r="BL86" s="35" t="str">
        <f>LOWER(Campanha_ou_InsertionOrder&amp;"_"&amp;LineItem_ou_Grupodeanúncio&amp;"_"&amp;Linha_criativa_2&amp;"_"&amp;Unique_ID)</f>
        <v>#N/A</v>
      </c>
      <c r="BM86" s="27"/>
      <c r="BN86" s="27"/>
    </row>
    <row r="87">
      <c r="A87" s="1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8" t="str">
        <f>LOWER(Campanha_ou_InsertionOrder&amp;"_"&amp;LineItem_ou_Grupodeanúncio&amp;"_"&amp;Linha_Criativa&amp;"_"&amp;Unique_ID)</f>
        <v>#N/A</v>
      </c>
      <c r="AN87" s="28" t="str">
        <f>LOWER(Campanha_ou_InsertionOrder&amp;"_"&amp;LineItem_ou_Grupodeanúncio&amp;"_"&amp;Linha_Criativa&amp;"_"&amp;Unique_ID)</f>
        <v>#N/A</v>
      </c>
      <c r="AO87" s="28" t="str">
        <f>LOWER("VW"&amp;"_"&amp;Model_Variant&amp;"_"&amp;Size&amp;"_"&amp;Linha_Criativa&amp;"_"&amp;IF(Servido_Por="portal",Veiculo,"adserver"))</f>
        <v>vw____adserver</v>
      </c>
      <c r="AP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" s="22" t="str">
        <f t="shared" si="1"/>
        <v/>
      </c>
      <c r="AS87" s="22" t="str">
        <f t="shared" si="2"/>
        <v/>
      </c>
      <c r="AT87" s="22" t="str">
        <f t="shared" si="3"/>
        <v>BR_IMC_DSY_LANCH_ND_NC_2020Q3AUG_NVS_Nivus-Launch-Consideracao</v>
      </c>
      <c r="AU87" s="22" t="str">
        <f t="shared" si="4"/>
        <v>#N/A</v>
      </c>
      <c r="AV87" s="22" t="s">
        <v>106</v>
      </c>
      <c r="AW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" s="22" t="str">
        <f t="shared" si="5"/>
        <v>BR_IMC_DSY_LANCH_ND_NC_2020Q3AUG_NVS_Nivus-Launch-Consideracao</v>
      </c>
      <c r="AY87" s="28" t="str">
        <f t="shared" si="6"/>
        <v>#N/A</v>
      </c>
      <c r="AZ87" s="22" t="s">
        <v>107</v>
      </c>
      <c r="BA87" s="22" t="s">
        <v>108</v>
      </c>
      <c r="BB87" s="31" t="s">
        <v>109</v>
      </c>
      <c r="BC87" s="31" t="s">
        <v>109</v>
      </c>
      <c r="BD87" s="32" t="str">
        <f t="shared" si="8"/>
        <v>nvl-nvs-imc-dsy-0820-10081</v>
      </c>
      <c r="BE87" s="33"/>
      <c r="BF87" s="33"/>
      <c r="BG87" s="39" t="str">
        <f>URL&amp;IF(ISNUMBER(FIND("?",URL)),"&amp;","?"&amp;("adlid="&amp;Unique_ID&amp;"&amp;adplt="&amp;Placement))</f>
        <v>#N/A</v>
      </c>
      <c r="BH87" s="1"/>
      <c r="BI87" s="1"/>
      <c r="BJ87" s="35" t="str">
        <f>LOWER("alp"&amp;"_"&amp;"vw"&amp;"_"&amp;Veiculo&amp;"_"&amp;C83&amp;"_"&amp;Objetivo)</f>
        <v>alp_vw___</v>
      </c>
      <c r="BK87" s="35" t="str">
        <f>LOWER(Buying_Metric&amp;"_"&amp;VLOOKUP(Buying_Type,Buy_type,2,FALSE)&amp;"_"&amp;Device&amp;"_"&amp;Size&amp;"_"&amp;Segmentação&amp;"_"&amp;Segmentação_Anúncio)</f>
        <v>#N/A</v>
      </c>
      <c r="BL87" s="35" t="str">
        <f>LOWER(Campanha_ou_InsertionOrder&amp;"_"&amp;LineItem_ou_Grupodeanúncio&amp;"_"&amp;Linha_criativa_2&amp;"_"&amp;Unique_ID)</f>
        <v>#N/A</v>
      </c>
      <c r="BM87" s="27"/>
      <c r="BN87" s="27"/>
    </row>
    <row r="88">
      <c r="A88" s="1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8" t="str">
        <f>LOWER(Campanha_ou_InsertionOrder&amp;"_"&amp;LineItem_ou_Grupodeanúncio&amp;"_"&amp;Linha_Criativa&amp;"_"&amp;Unique_ID)</f>
        <v>#N/A</v>
      </c>
      <c r="AN88" s="28" t="str">
        <f>LOWER(Campanha_ou_InsertionOrder&amp;"_"&amp;LineItem_ou_Grupodeanúncio&amp;"_"&amp;Linha_Criativa&amp;"_"&amp;Unique_ID)</f>
        <v>#N/A</v>
      </c>
      <c r="AO88" s="28" t="str">
        <f>LOWER("VW"&amp;"_"&amp;Model_Variant&amp;"_"&amp;Size&amp;"_"&amp;Linha_Criativa&amp;"_"&amp;IF(Servido_Por="portal",Veiculo,"adserver"))</f>
        <v>vw____adserver</v>
      </c>
      <c r="AP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" s="22" t="str">
        <f t="shared" si="1"/>
        <v/>
      </c>
      <c r="AS88" s="22" t="str">
        <f t="shared" si="2"/>
        <v/>
      </c>
      <c r="AT88" s="22" t="str">
        <f t="shared" si="3"/>
        <v>BR_IMC_DSY_LANCH_ND_NC_2020Q3AUG_NVS_Nivus-Launch-Consideracao</v>
      </c>
      <c r="AU88" s="22" t="str">
        <f t="shared" si="4"/>
        <v>#N/A</v>
      </c>
      <c r="AV88" s="22" t="s">
        <v>106</v>
      </c>
      <c r="AW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" s="22" t="str">
        <f t="shared" si="5"/>
        <v>BR_IMC_DSY_LANCH_ND_NC_2020Q3AUG_NVS_Nivus-Launch-Consideracao</v>
      </c>
      <c r="AY88" s="28" t="str">
        <f t="shared" si="6"/>
        <v>#N/A</v>
      </c>
      <c r="AZ88" s="22" t="s">
        <v>107</v>
      </c>
      <c r="BA88" s="22" t="s">
        <v>108</v>
      </c>
      <c r="BB88" s="31" t="s">
        <v>109</v>
      </c>
      <c r="BC88" s="31" t="s">
        <v>109</v>
      </c>
      <c r="BD88" s="32" t="str">
        <f t="shared" si="8"/>
        <v>nvl-nvs-imc-dsy-0820-10082</v>
      </c>
      <c r="BE88" s="33"/>
      <c r="BF88" s="33"/>
      <c r="BG88" s="39" t="str">
        <f>URL&amp;IF(ISNUMBER(FIND("?",URL)),"&amp;","?"&amp;("adlid="&amp;Unique_ID&amp;"&amp;adplt="&amp;Placement))</f>
        <v>#N/A</v>
      </c>
      <c r="BH88" s="1"/>
      <c r="BI88" s="1"/>
      <c r="BJ88" s="35" t="str">
        <f>LOWER("alp"&amp;"_"&amp;"vw"&amp;"_"&amp;Veiculo&amp;"_"&amp;C84&amp;"_"&amp;Objetivo)</f>
        <v>alp_vw___</v>
      </c>
      <c r="BK88" s="35" t="str">
        <f>LOWER(Buying_Metric&amp;"_"&amp;VLOOKUP(Buying_Type,Buy_type,2,FALSE)&amp;"_"&amp;Device&amp;"_"&amp;Size&amp;"_"&amp;Segmentação&amp;"_"&amp;Segmentação_Anúncio)</f>
        <v>#N/A</v>
      </c>
      <c r="BL88" s="35" t="str">
        <f>LOWER(Campanha_ou_InsertionOrder&amp;"_"&amp;LineItem_ou_Grupodeanúncio&amp;"_"&amp;Linha_criativa_2&amp;"_"&amp;Unique_ID)</f>
        <v>#N/A</v>
      </c>
      <c r="BM88" s="27"/>
      <c r="BN88" s="27"/>
    </row>
    <row r="89">
      <c r="A89" s="1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8" t="str">
        <f>LOWER(Campanha_ou_InsertionOrder&amp;"_"&amp;LineItem_ou_Grupodeanúncio&amp;"_"&amp;Linha_Criativa&amp;"_"&amp;Unique_ID)</f>
        <v>#N/A</v>
      </c>
      <c r="AN89" s="28" t="str">
        <f>LOWER(Campanha_ou_InsertionOrder&amp;"_"&amp;LineItem_ou_Grupodeanúncio&amp;"_"&amp;Linha_Criativa&amp;"_"&amp;Unique_ID)</f>
        <v>#N/A</v>
      </c>
      <c r="AO89" s="28" t="str">
        <f>LOWER("VW"&amp;"_"&amp;Model_Variant&amp;"_"&amp;Size&amp;"_"&amp;Linha_Criativa&amp;"_"&amp;IF(Servido_Por="portal",Veiculo,"adserver"))</f>
        <v>vw____adserver</v>
      </c>
      <c r="AP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" s="22" t="str">
        <f t="shared" si="1"/>
        <v/>
      </c>
      <c r="AS89" s="22" t="str">
        <f t="shared" si="2"/>
        <v/>
      </c>
      <c r="AT89" s="22" t="str">
        <f t="shared" si="3"/>
        <v>BR_IMC_DSY_LANCH_ND_NC_2020Q3AUG_NVS_Nivus-Launch-Consideracao</v>
      </c>
      <c r="AU89" s="22" t="str">
        <f t="shared" si="4"/>
        <v>#N/A</v>
      </c>
      <c r="AV89" s="22" t="s">
        <v>106</v>
      </c>
      <c r="AW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" s="22" t="str">
        <f t="shared" si="5"/>
        <v>BR_IMC_DSY_LANCH_ND_NC_2020Q3AUG_NVS_Nivus-Launch-Consideracao</v>
      </c>
      <c r="AY89" s="28" t="str">
        <f t="shared" si="6"/>
        <v>#N/A</v>
      </c>
      <c r="AZ89" s="22" t="s">
        <v>107</v>
      </c>
      <c r="BA89" s="22" t="s">
        <v>108</v>
      </c>
      <c r="BB89" s="31" t="s">
        <v>109</v>
      </c>
      <c r="BC89" s="31" t="s">
        <v>109</v>
      </c>
      <c r="BD89" s="32" t="str">
        <f t="shared" si="8"/>
        <v>nvl-nvs-imc-dsy-0820-10083</v>
      </c>
      <c r="BE89" s="33"/>
      <c r="BF89" s="33"/>
      <c r="BG89" s="39" t="str">
        <f>URL&amp;IF(ISNUMBER(FIND("?",URL)),"&amp;","?"&amp;("adlid="&amp;Unique_ID&amp;"&amp;adplt="&amp;Placement))</f>
        <v>#N/A</v>
      </c>
      <c r="BH89" s="1"/>
      <c r="BI89" s="1"/>
      <c r="BJ89" s="35" t="str">
        <f>LOWER("alp"&amp;"_"&amp;"vw"&amp;"_"&amp;Veiculo&amp;"_"&amp;C85&amp;"_"&amp;Objetivo)</f>
        <v>alp_vw___</v>
      </c>
      <c r="BK89" s="35" t="str">
        <f>LOWER(Buying_Metric&amp;"_"&amp;VLOOKUP(Buying_Type,Buy_type,2,FALSE)&amp;"_"&amp;Device&amp;"_"&amp;Size&amp;"_"&amp;Segmentação&amp;"_"&amp;Segmentação_Anúncio)</f>
        <v>#N/A</v>
      </c>
      <c r="BL89" s="35" t="str">
        <f>LOWER(Campanha_ou_InsertionOrder&amp;"_"&amp;LineItem_ou_Grupodeanúncio&amp;"_"&amp;Linha_criativa_2&amp;"_"&amp;Unique_ID)</f>
        <v>#N/A</v>
      </c>
      <c r="BM89" s="27"/>
      <c r="BN89" s="27"/>
    </row>
    <row r="90">
      <c r="A90" s="1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8" t="str">
        <f>LOWER(Campanha_ou_InsertionOrder&amp;"_"&amp;LineItem_ou_Grupodeanúncio&amp;"_"&amp;Linha_Criativa&amp;"_"&amp;Unique_ID)</f>
        <v>#N/A</v>
      </c>
      <c r="AN90" s="28" t="str">
        <f>LOWER(Campanha_ou_InsertionOrder&amp;"_"&amp;LineItem_ou_Grupodeanúncio&amp;"_"&amp;Linha_Criativa&amp;"_"&amp;Unique_ID)</f>
        <v>#N/A</v>
      </c>
      <c r="AO90" s="28" t="str">
        <f>LOWER("VW"&amp;"_"&amp;Model_Variant&amp;"_"&amp;Size&amp;"_"&amp;Linha_Criativa&amp;"_"&amp;IF(Servido_Por="portal",Veiculo,"adserver"))</f>
        <v>vw____adserver</v>
      </c>
      <c r="AP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" s="22" t="str">
        <f t="shared" si="1"/>
        <v/>
      </c>
      <c r="AS90" s="22" t="str">
        <f t="shared" si="2"/>
        <v/>
      </c>
      <c r="AT90" s="22" t="str">
        <f t="shared" si="3"/>
        <v>BR_IMC_DSY_LANCH_ND_NC_2020Q3AUG_NVS_Nivus-Launch-Consideracao</v>
      </c>
      <c r="AU90" s="22" t="str">
        <f t="shared" si="4"/>
        <v>#N/A</v>
      </c>
      <c r="AV90" s="22" t="s">
        <v>106</v>
      </c>
      <c r="AW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" s="22" t="str">
        <f t="shared" si="5"/>
        <v>BR_IMC_DSY_LANCH_ND_NC_2020Q3AUG_NVS_Nivus-Launch-Consideracao</v>
      </c>
      <c r="AY90" s="28" t="str">
        <f t="shared" si="6"/>
        <v>#N/A</v>
      </c>
      <c r="AZ90" s="22" t="s">
        <v>107</v>
      </c>
      <c r="BA90" s="22" t="s">
        <v>108</v>
      </c>
      <c r="BB90" s="31" t="s">
        <v>109</v>
      </c>
      <c r="BC90" s="31" t="s">
        <v>109</v>
      </c>
      <c r="BD90" s="32" t="str">
        <f t="shared" si="8"/>
        <v>nvl-nvs-imc-dsy-0820-10084</v>
      </c>
      <c r="BE90" s="33"/>
      <c r="BF90" s="33"/>
      <c r="BG90" s="39" t="str">
        <f>URL&amp;IF(ISNUMBER(FIND("?",URL)),"&amp;","?"&amp;("adlid="&amp;Unique_ID&amp;"&amp;adplt="&amp;Placement))</f>
        <v>#N/A</v>
      </c>
      <c r="BH90" s="1"/>
      <c r="BI90" s="1"/>
      <c r="BJ90" s="35" t="str">
        <f>LOWER("alp"&amp;"_"&amp;"vw"&amp;"_"&amp;Veiculo&amp;"_"&amp;C86&amp;"_"&amp;Objetivo)</f>
        <v>alp_vw___</v>
      </c>
      <c r="BK90" s="35" t="str">
        <f>LOWER(Buying_Metric&amp;"_"&amp;VLOOKUP(Buying_Type,Buy_type,2,FALSE)&amp;"_"&amp;Device&amp;"_"&amp;Size&amp;"_"&amp;Segmentação&amp;"_"&amp;Segmentação_Anúncio)</f>
        <v>#N/A</v>
      </c>
      <c r="BL90" s="35" t="str">
        <f>LOWER(Campanha_ou_InsertionOrder&amp;"_"&amp;LineItem_ou_Grupodeanúncio&amp;"_"&amp;Linha_criativa_2&amp;"_"&amp;Unique_ID)</f>
        <v>#N/A</v>
      </c>
      <c r="BM90" s="27"/>
      <c r="BN90" s="27"/>
    </row>
    <row r="91">
      <c r="A91" s="1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8" t="str">
        <f>LOWER(Campanha_ou_InsertionOrder&amp;"_"&amp;LineItem_ou_Grupodeanúncio&amp;"_"&amp;Linha_Criativa&amp;"_"&amp;Unique_ID)</f>
        <v>#N/A</v>
      </c>
      <c r="AN91" s="28" t="str">
        <f>LOWER(Campanha_ou_InsertionOrder&amp;"_"&amp;LineItem_ou_Grupodeanúncio&amp;"_"&amp;Linha_Criativa&amp;"_"&amp;Unique_ID)</f>
        <v>#N/A</v>
      </c>
      <c r="AO91" s="28" t="str">
        <f>LOWER("VW"&amp;"_"&amp;Model_Variant&amp;"_"&amp;Size&amp;"_"&amp;Linha_Criativa&amp;"_"&amp;IF(Servido_Por="portal",Veiculo,"adserver"))</f>
        <v>vw____adserver</v>
      </c>
      <c r="AP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" s="22" t="str">
        <f t="shared" si="1"/>
        <v/>
      </c>
      <c r="AS91" s="22" t="str">
        <f t="shared" si="2"/>
        <v/>
      </c>
      <c r="AT91" s="22" t="str">
        <f t="shared" si="3"/>
        <v>BR_IMC_DSY_LANCH_ND_NC_2020Q3AUG_NVS_Nivus-Launch-Consideracao</v>
      </c>
      <c r="AU91" s="22" t="str">
        <f t="shared" si="4"/>
        <v>#N/A</v>
      </c>
      <c r="AV91" s="22" t="s">
        <v>106</v>
      </c>
      <c r="AW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" s="22" t="str">
        <f t="shared" si="5"/>
        <v>BR_IMC_DSY_LANCH_ND_NC_2020Q3AUG_NVS_Nivus-Launch-Consideracao</v>
      </c>
      <c r="AY91" s="28" t="str">
        <f t="shared" si="6"/>
        <v>#N/A</v>
      </c>
      <c r="AZ91" s="22" t="s">
        <v>107</v>
      </c>
      <c r="BA91" s="22" t="s">
        <v>108</v>
      </c>
      <c r="BB91" s="31" t="s">
        <v>109</v>
      </c>
      <c r="BC91" s="31" t="s">
        <v>109</v>
      </c>
      <c r="BD91" s="32" t="str">
        <f t="shared" si="8"/>
        <v>nvl-nvs-imc-dsy-0820-10085</v>
      </c>
      <c r="BE91" s="33"/>
      <c r="BF91" s="33"/>
      <c r="BG91" s="39" t="str">
        <f>URL&amp;IF(ISNUMBER(FIND("?",URL)),"&amp;","?"&amp;("adlid="&amp;Unique_ID&amp;"&amp;adplt="&amp;Placement))</f>
        <v>#N/A</v>
      </c>
      <c r="BH91" s="1"/>
      <c r="BI91" s="1"/>
      <c r="BJ91" s="35" t="str">
        <f>LOWER("alp"&amp;"_"&amp;"vw"&amp;"_"&amp;Veiculo&amp;"_"&amp;C87&amp;"_"&amp;Objetivo)</f>
        <v>alp_vw___</v>
      </c>
      <c r="BK91" s="35" t="str">
        <f>LOWER(Buying_Metric&amp;"_"&amp;VLOOKUP(Buying_Type,Buy_type,2,FALSE)&amp;"_"&amp;Device&amp;"_"&amp;Size&amp;"_"&amp;Segmentação&amp;"_"&amp;Segmentação_Anúncio)</f>
        <v>#N/A</v>
      </c>
      <c r="BL91" s="35" t="str">
        <f>LOWER(Campanha_ou_InsertionOrder&amp;"_"&amp;LineItem_ou_Grupodeanúncio&amp;"_"&amp;Linha_criativa_2&amp;"_"&amp;Unique_ID)</f>
        <v>#N/A</v>
      </c>
      <c r="BM91" s="27"/>
      <c r="BN91" s="27"/>
    </row>
    <row r="92">
      <c r="A92" s="1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8" t="str">
        <f>LOWER(Campanha_ou_InsertionOrder&amp;"_"&amp;LineItem_ou_Grupodeanúncio&amp;"_"&amp;Linha_Criativa&amp;"_"&amp;Unique_ID)</f>
        <v>#N/A</v>
      </c>
      <c r="AN92" s="28" t="str">
        <f>LOWER(Campanha_ou_InsertionOrder&amp;"_"&amp;LineItem_ou_Grupodeanúncio&amp;"_"&amp;Linha_Criativa&amp;"_"&amp;Unique_ID)</f>
        <v>#N/A</v>
      </c>
      <c r="AO92" s="28" t="str">
        <f>LOWER("VW"&amp;"_"&amp;Model_Variant&amp;"_"&amp;Size&amp;"_"&amp;Linha_Criativa&amp;"_"&amp;IF(Servido_Por="portal",Veiculo,"adserver"))</f>
        <v>vw____adserver</v>
      </c>
      <c r="AP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" s="22" t="str">
        <f t="shared" si="1"/>
        <v/>
      </c>
      <c r="AS92" s="22" t="str">
        <f t="shared" si="2"/>
        <v/>
      </c>
      <c r="AT92" s="22" t="str">
        <f t="shared" si="3"/>
        <v>BR_IMC_DSY_LANCH_ND_NC_2020Q3AUG_NVS_Nivus-Launch-Consideracao</v>
      </c>
      <c r="AU92" s="22" t="str">
        <f t="shared" si="4"/>
        <v>#N/A</v>
      </c>
      <c r="AV92" s="22" t="s">
        <v>106</v>
      </c>
      <c r="AW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" s="22" t="str">
        <f t="shared" si="5"/>
        <v>BR_IMC_DSY_LANCH_ND_NC_2020Q3AUG_NVS_Nivus-Launch-Consideracao</v>
      </c>
      <c r="AY92" s="28" t="str">
        <f t="shared" si="6"/>
        <v>#N/A</v>
      </c>
      <c r="AZ92" s="22" t="s">
        <v>107</v>
      </c>
      <c r="BA92" s="22" t="s">
        <v>108</v>
      </c>
      <c r="BB92" s="31" t="s">
        <v>109</v>
      </c>
      <c r="BC92" s="31" t="s">
        <v>109</v>
      </c>
      <c r="BD92" s="32" t="str">
        <f t="shared" si="8"/>
        <v>nvl-nvs-imc-dsy-0820-10086</v>
      </c>
      <c r="BE92" s="33"/>
      <c r="BF92" s="33"/>
      <c r="BG92" s="39" t="str">
        <f>URL&amp;IF(ISNUMBER(FIND("?",URL)),"&amp;","?"&amp;("adlid="&amp;Unique_ID&amp;"&amp;adplt="&amp;Placement))</f>
        <v>#N/A</v>
      </c>
      <c r="BH92" s="1"/>
      <c r="BI92" s="1"/>
      <c r="BJ92" s="35" t="str">
        <f>LOWER("alp"&amp;"_"&amp;"vw"&amp;"_"&amp;Veiculo&amp;"_"&amp;C88&amp;"_"&amp;Objetivo)</f>
        <v>alp_vw___</v>
      </c>
      <c r="BK92" s="35" t="str">
        <f>LOWER(Buying_Metric&amp;"_"&amp;VLOOKUP(Buying_Type,Buy_type,2,FALSE)&amp;"_"&amp;Device&amp;"_"&amp;Size&amp;"_"&amp;Segmentação&amp;"_"&amp;Segmentação_Anúncio)</f>
        <v>#N/A</v>
      </c>
      <c r="BL92" s="35" t="str">
        <f>LOWER(Campanha_ou_InsertionOrder&amp;"_"&amp;LineItem_ou_Grupodeanúncio&amp;"_"&amp;Linha_criativa_2&amp;"_"&amp;Unique_ID)</f>
        <v>#N/A</v>
      </c>
      <c r="BM92" s="27"/>
      <c r="BN92" s="27"/>
    </row>
    <row r="93">
      <c r="A93" s="1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8" t="str">
        <f>LOWER(Campanha_ou_InsertionOrder&amp;"_"&amp;LineItem_ou_Grupodeanúncio&amp;"_"&amp;Linha_Criativa&amp;"_"&amp;Unique_ID)</f>
        <v>#N/A</v>
      </c>
      <c r="AN93" s="28" t="str">
        <f>LOWER(Campanha_ou_InsertionOrder&amp;"_"&amp;LineItem_ou_Grupodeanúncio&amp;"_"&amp;Linha_Criativa&amp;"_"&amp;Unique_ID)</f>
        <v>#N/A</v>
      </c>
      <c r="AO93" s="28" t="str">
        <f>LOWER("VW"&amp;"_"&amp;Model_Variant&amp;"_"&amp;Size&amp;"_"&amp;Linha_Criativa&amp;"_"&amp;IF(Servido_Por="portal",Veiculo,"adserver"))</f>
        <v>vw____adserver</v>
      </c>
      <c r="AP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" s="22" t="str">
        <f t="shared" si="1"/>
        <v/>
      </c>
      <c r="AS93" s="22" t="str">
        <f t="shared" si="2"/>
        <v/>
      </c>
      <c r="AT93" s="22" t="str">
        <f t="shared" si="3"/>
        <v>BR_IMC_DSY_LANCH_ND_NC_2020Q3AUG_NVS_Nivus-Launch-Consideracao</v>
      </c>
      <c r="AU93" s="22" t="str">
        <f t="shared" si="4"/>
        <v>#N/A</v>
      </c>
      <c r="AV93" s="22" t="s">
        <v>106</v>
      </c>
      <c r="AW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" s="22" t="str">
        <f t="shared" si="5"/>
        <v>BR_IMC_DSY_LANCH_ND_NC_2020Q3AUG_NVS_Nivus-Launch-Consideracao</v>
      </c>
      <c r="AY93" s="28" t="str">
        <f t="shared" si="6"/>
        <v>#N/A</v>
      </c>
      <c r="AZ93" s="22" t="s">
        <v>107</v>
      </c>
      <c r="BA93" s="22" t="s">
        <v>108</v>
      </c>
      <c r="BB93" s="31" t="s">
        <v>109</v>
      </c>
      <c r="BC93" s="31" t="s">
        <v>109</v>
      </c>
      <c r="BD93" s="32" t="str">
        <f t="shared" si="8"/>
        <v>nvl-nvs-imc-dsy-0820-10087</v>
      </c>
      <c r="BE93" s="33"/>
      <c r="BF93" s="33"/>
      <c r="BG93" s="39" t="str">
        <f>URL&amp;IF(ISNUMBER(FIND("?",URL)),"&amp;","?"&amp;("adlid="&amp;Unique_ID&amp;"&amp;adplt="&amp;Placement))</f>
        <v>#N/A</v>
      </c>
      <c r="BH93" s="1"/>
      <c r="BI93" s="1"/>
      <c r="BJ93" s="35" t="str">
        <f>LOWER("alp"&amp;"_"&amp;"vw"&amp;"_"&amp;Veiculo&amp;"_"&amp;C89&amp;"_"&amp;Objetivo)</f>
        <v>alp_vw___</v>
      </c>
      <c r="BK93" s="35" t="str">
        <f>LOWER(Buying_Metric&amp;"_"&amp;VLOOKUP(Buying_Type,Buy_type,2,FALSE)&amp;"_"&amp;Device&amp;"_"&amp;Size&amp;"_"&amp;Segmentação&amp;"_"&amp;Segmentação_Anúncio)</f>
        <v>#N/A</v>
      </c>
      <c r="BL93" s="35" t="str">
        <f>LOWER(Campanha_ou_InsertionOrder&amp;"_"&amp;LineItem_ou_Grupodeanúncio&amp;"_"&amp;Linha_criativa_2&amp;"_"&amp;Unique_ID)</f>
        <v>#N/A</v>
      </c>
      <c r="BM93" s="27"/>
      <c r="BN93" s="27"/>
    </row>
    <row r="94">
      <c r="A94" s="1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8" t="str">
        <f>LOWER(Campanha_ou_InsertionOrder&amp;"_"&amp;LineItem_ou_Grupodeanúncio&amp;"_"&amp;Linha_Criativa&amp;"_"&amp;Unique_ID)</f>
        <v>#N/A</v>
      </c>
      <c r="AN94" s="28" t="str">
        <f>LOWER(Campanha_ou_InsertionOrder&amp;"_"&amp;LineItem_ou_Grupodeanúncio&amp;"_"&amp;Linha_Criativa&amp;"_"&amp;Unique_ID)</f>
        <v>#N/A</v>
      </c>
      <c r="AO94" s="28" t="str">
        <f>LOWER("VW"&amp;"_"&amp;Model_Variant&amp;"_"&amp;Size&amp;"_"&amp;Linha_Criativa&amp;"_"&amp;IF(Servido_Por="portal",Veiculo,"adserver"))</f>
        <v>vw____adserver</v>
      </c>
      <c r="AP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" s="22" t="str">
        <f t="shared" si="1"/>
        <v/>
      </c>
      <c r="AS94" s="22" t="str">
        <f t="shared" si="2"/>
        <v/>
      </c>
      <c r="AT94" s="22" t="str">
        <f t="shared" si="3"/>
        <v>BR_IMC_DSY_LANCH_ND_NC_2020Q3AUG_NVS_Nivus-Launch-Consideracao</v>
      </c>
      <c r="AU94" s="22" t="str">
        <f t="shared" si="4"/>
        <v>#N/A</v>
      </c>
      <c r="AV94" s="22" t="s">
        <v>106</v>
      </c>
      <c r="AW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" s="22" t="str">
        <f t="shared" si="5"/>
        <v>BR_IMC_DSY_LANCH_ND_NC_2020Q3AUG_NVS_Nivus-Launch-Consideracao</v>
      </c>
      <c r="AY94" s="28" t="str">
        <f t="shared" si="6"/>
        <v>#N/A</v>
      </c>
      <c r="AZ94" s="22" t="s">
        <v>107</v>
      </c>
      <c r="BA94" s="22" t="s">
        <v>108</v>
      </c>
      <c r="BB94" s="31" t="s">
        <v>109</v>
      </c>
      <c r="BC94" s="31" t="s">
        <v>109</v>
      </c>
      <c r="BD94" s="32" t="str">
        <f t="shared" si="8"/>
        <v>nvl-nvs-imc-dsy-0820-10088</v>
      </c>
      <c r="BE94" s="33"/>
      <c r="BF94" s="33"/>
      <c r="BG94" s="39" t="str">
        <f>URL&amp;IF(ISNUMBER(FIND("?",URL)),"&amp;","?"&amp;("adlid="&amp;Unique_ID&amp;"&amp;adplt="&amp;Placement))</f>
        <v>#N/A</v>
      </c>
      <c r="BH94" s="1"/>
      <c r="BI94" s="1"/>
      <c r="BJ94" s="35" t="str">
        <f>LOWER("alp"&amp;"_"&amp;"vw"&amp;"_"&amp;Veiculo&amp;"_"&amp;C90&amp;"_"&amp;Objetivo)</f>
        <v>alp_vw___</v>
      </c>
      <c r="BK94" s="35" t="str">
        <f>LOWER(Buying_Metric&amp;"_"&amp;VLOOKUP(Buying_Type,Buy_type,2,FALSE)&amp;"_"&amp;Device&amp;"_"&amp;Size&amp;"_"&amp;Segmentação&amp;"_"&amp;Segmentação_Anúncio)</f>
        <v>#N/A</v>
      </c>
      <c r="BL94" s="35" t="str">
        <f>LOWER(Campanha_ou_InsertionOrder&amp;"_"&amp;LineItem_ou_Grupodeanúncio&amp;"_"&amp;Linha_criativa_2&amp;"_"&amp;Unique_ID)</f>
        <v>#N/A</v>
      </c>
      <c r="BM94" s="27"/>
      <c r="BN94" s="27"/>
    </row>
    <row r="95">
      <c r="A95" s="1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8" t="str">
        <f>LOWER(Campanha_ou_InsertionOrder&amp;"_"&amp;LineItem_ou_Grupodeanúncio&amp;"_"&amp;Linha_Criativa&amp;"_"&amp;Unique_ID)</f>
        <v>#N/A</v>
      </c>
      <c r="AN95" s="28" t="str">
        <f>LOWER(Campanha_ou_InsertionOrder&amp;"_"&amp;LineItem_ou_Grupodeanúncio&amp;"_"&amp;Linha_Criativa&amp;"_"&amp;Unique_ID)</f>
        <v>#N/A</v>
      </c>
      <c r="AO95" s="28" t="str">
        <f>LOWER("VW"&amp;"_"&amp;Model_Variant&amp;"_"&amp;Size&amp;"_"&amp;Linha_Criativa&amp;"_"&amp;IF(Servido_Por="portal",Veiculo,"adserver"))</f>
        <v>vw____adserver</v>
      </c>
      <c r="AP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" s="22" t="str">
        <f t="shared" si="1"/>
        <v/>
      </c>
      <c r="AS95" s="22" t="str">
        <f t="shared" si="2"/>
        <v/>
      </c>
      <c r="AT95" s="22" t="str">
        <f t="shared" si="3"/>
        <v>BR_IMC_DSY_LANCH_ND_NC_2020Q3AUG_NVS_Nivus-Launch-Consideracao</v>
      </c>
      <c r="AU95" s="22" t="str">
        <f t="shared" si="4"/>
        <v>#N/A</v>
      </c>
      <c r="AV95" s="22" t="s">
        <v>106</v>
      </c>
      <c r="AW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" s="22" t="str">
        <f t="shared" si="5"/>
        <v>BR_IMC_DSY_LANCH_ND_NC_2020Q3AUG_NVS_Nivus-Launch-Consideracao</v>
      </c>
      <c r="AY95" s="28" t="str">
        <f t="shared" si="6"/>
        <v>#N/A</v>
      </c>
      <c r="AZ95" s="22" t="s">
        <v>107</v>
      </c>
      <c r="BA95" s="22" t="s">
        <v>108</v>
      </c>
      <c r="BB95" s="31" t="s">
        <v>109</v>
      </c>
      <c r="BC95" s="31" t="s">
        <v>109</v>
      </c>
      <c r="BD95" s="32" t="str">
        <f t="shared" si="8"/>
        <v>nvl-nvs-imc-dsy-0820-10089</v>
      </c>
      <c r="BE95" s="33"/>
      <c r="BF95" s="33"/>
      <c r="BG95" s="39" t="str">
        <f>URL&amp;IF(ISNUMBER(FIND("?",URL)),"&amp;","?"&amp;("adlid="&amp;Unique_ID&amp;"&amp;adplt="&amp;Placement))</f>
        <v>#N/A</v>
      </c>
      <c r="BH95" s="1"/>
      <c r="BI95" s="1"/>
      <c r="BJ95" s="35" t="str">
        <f>LOWER("alp"&amp;"_"&amp;"vw"&amp;"_"&amp;Veiculo&amp;"_"&amp;C91&amp;"_"&amp;Objetivo)</f>
        <v>alp_vw___</v>
      </c>
      <c r="BK95" s="35" t="str">
        <f>LOWER(Buying_Metric&amp;"_"&amp;VLOOKUP(Buying_Type,Buy_type,2,FALSE)&amp;"_"&amp;Device&amp;"_"&amp;Size&amp;"_"&amp;Segmentação&amp;"_"&amp;Segmentação_Anúncio)</f>
        <v>#N/A</v>
      </c>
      <c r="BL95" s="35" t="str">
        <f>LOWER(Campanha_ou_InsertionOrder&amp;"_"&amp;LineItem_ou_Grupodeanúncio&amp;"_"&amp;Linha_criativa_2&amp;"_"&amp;Unique_ID)</f>
        <v>#N/A</v>
      </c>
      <c r="BM95" s="27"/>
      <c r="BN95" s="27"/>
    </row>
    <row r="96">
      <c r="A96" s="1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8" t="str">
        <f>LOWER(Campanha_ou_InsertionOrder&amp;"_"&amp;LineItem_ou_Grupodeanúncio&amp;"_"&amp;Linha_Criativa&amp;"_"&amp;Unique_ID)</f>
        <v>#N/A</v>
      </c>
      <c r="AN96" s="28" t="str">
        <f>LOWER(Campanha_ou_InsertionOrder&amp;"_"&amp;LineItem_ou_Grupodeanúncio&amp;"_"&amp;Linha_Criativa&amp;"_"&amp;Unique_ID)</f>
        <v>#N/A</v>
      </c>
      <c r="AO96" s="28" t="str">
        <f>LOWER("VW"&amp;"_"&amp;Model_Variant&amp;"_"&amp;Size&amp;"_"&amp;Linha_Criativa&amp;"_"&amp;IF(Servido_Por="portal",Veiculo,"adserver"))</f>
        <v>vw____adserver</v>
      </c>
      <c r="AP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" s="22" t="str">
        <f t="shared" si="1"/>
        <v/>
      </c>
      <c r="AS96" s="22" t="str">
        <f t="shared" si="2"/>
        <v/>
      </c>
      <c r="AT96" s="22" t="str">
        <f t="shared" si="3"/>
        <v>BR_IMC_DSY_LANCH_ND_NC_2020Q3AUG_NVS_Nivus-Launch-Consideracao</v>
      </c>
      <c r="AU96" s="22" t="str">
        <f t="shared" si="4"/>
        <v>#N/A</v>
      </c>
      <c r="AV96" s="22" t="s">
        <v>106</v>
      </c>
      <c r="AW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" s="22" t="str">
        <f t="shared" si="5"/>
        <v>BR_IMC_DSY_LANCH_ND_NC_2020Q3AUG_NVS_Nivus-Launch-Consideracao</v>
      </c>
      <c r="AY96" s="28" t="str">
        <f t="shared" si="6"/>
        <v>#N/A</v>
      </c>
      <c r="AZ96" s="22" t="s">
        <v>107</v>
      </c>
      <c r="BA96" s="22" t="s">
        <v>108</v>
      </c>
      <c r="BB96" s="31" t="s">
        <v>109</v>
      </c>
      <c r="BC96" s="31" t="s">
        <v>109</v>
      </c>
      <c r="BD96" s="32" t="str">
        <f t="shared" si="8"/>
        <v>nvl-nvs-imc-dsy-0820-10090</v>
      </c>
      <c r="BE96" s="33"/>
      <c r="BF96" s="33"/>
      <c r="BG96" s="39" t="str">
        <f>URL&amp;IF(ISNUMBER(FIND("?",URL)),"&amp;","?"&amp;("adlid="&amp;Unique_ID&amp;"&amp;adplt="&amp;Placement))</f>
        <v>#N/A</v>
      </c>
      <c r="BH96" s="1"/>
      <c r="BI96" s="1"/>
      <c r="BJ96" s="35" t="str">
        <f>LOWER("alp"&amp;"_"&amp;"vw"&amp;"_"&amp;Veiculo&amp;"_"&amp;C92&amp;"_"&amp;Objetivo)</f>
        <v>alp_vw___</v>
      </c>
      <c r="BK96" s="35" t="str">
        <f>LOWER(Buying_Metric&amp;"_"&amp;VLOOKUP(Buying_Type,Buy_type,2,FALSE)&amp;"_"&amp;Device&amp;"_"&amp;Size&amp;"_"&amp;Segmentação&amp;"_"&amp;Segmentação_Anúncio)</f>
        <v>#N/A</v>
      </c>
      <c r="BL96" s="35" t="str">
        <f>LOWER(Campanha_ou_InsertionOrder&amp;"_"&amp;LineItem_ou_Grupodeanúncio&amp;"_"&amp;Linha_criativa_2&amp;"_"&amp;Unique_ID)</f>
        <v>#N/A</v>
      </c>
      <c r="BM96" s="27"/>
      <c r="BN96" s="27"/>
    </row>
    <row r="97">
      <c r="A97" s="1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8" t="str">
        <f>LOWER(Campanha_ou_InsertionOrder&amp;"_"&amp;LineItem_ou_Grupodeanúncio&amp;"_"&amp;Linha_Criativa&amp;"_"&amp;Unique_ID)</f>
        <v>#N/A</v>
      </c>
      <c r="AN97" s="28" t="str">
        <f>LOWER(Campanha_ou_InsertionOrder&amp;"_"&amp;LineItem_ou_Grupodeanúncio&amp;"_"&amp;Linha_Criativa&amp;"_"&amp;Unique_ID)</f>
        <v>#N/A</v>
      </c>
      <c r="AO97" s="28" t="str">
        <f>LOWER("VW"&amp;"_"&amp;Model_Variant&amp;"_"&amp;Size&amp;"_"&amp;Linha_Criativa&amp;"_"&amp;IF(Servido_Por="portal",Veiculo,"adserver"))</f>
        <v>vw____adserver</v>
      </c>
      <c r="AP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" s="22" t="str">
        <f t="shared" si="1"/>
        <v/>
      </c>
      <c r="AS97" s="22" t="str">
        <f t="shared" si="2"/>
        <v/>
      </c>
      <c r="AT97" s="22" t="str">
        <f t="shared" si="3"/>
        <v>BR_IMC_DSY_LANCH_ND_NC_2020Q3AUG_NVS_Nivus-Launch-Consideracao</v>
      </c>
      <c r="AU97" s="22" t="str">
        <f t="shared" si="4"/>
        <v>#N/A</v>
      </c>
      <c r="AV97" s="22" t="s">
        <v>106</v>
      </c>
      <c r="AW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" s="22" t="str">
        <f t="shared" si="5"/>
        <v>BR_IMC_DSY_LANCH_ND_NC_2020Q3AUG_NVS_Nivus-Launch-Consideracao</v>
      </c>
      <c r="AY97" s="28" t="str">
        <f t="shared" si="6"/>
        <v>#N/A</v>
      </c>
      <c r="AZ97" s="22" t="s">
        <v>107</v>
      </c>
      <c r="BA97" s="22" t="s">
        <v>108</v>
      </c>
      <c r="BB97" s="31" t="s">
        <v>109</v>
      </c>
      <c r="BC97" s="31" t="s">
        <v>109</v>
      </c>
      <c r="BD97" s="32" t="str">
        <f t="shared" si="8"/>
        <v>nvl-nvs-imc-dsy-0820-10091</v>
      </c>
      <c r="BE97" s="33"/>
      <c r="BF97" s="33"/>
      <c r="BG97" s="39" t="str">
        <f>URL&amp;IF(ISNUMBER(FIND("?",URL)),"&amp;","?"&amp;("adlid="&amp;Unique_ID&amp;"&amp;adplt="&amp;Placement))</f>
        <v>#N/A</v>
      </c>
      <c r="BH97" s="1"/>
      <c r="BI97" s="1"/>
      <c r="BJ97" s="35" t="str">
        <f>LOWER("alp"&amp;"_"&amp;"vw"&amp;"_"&amp;Veiculo&amp;"_"&amp;C93&amp;"_"&amp;Objetivo)</f>
        <v>alp_vw___</v>
      </c>
      <c r="BK97" s="35" t="str">
        <f>LOWER(Buying_Metric&amp;"_"&amp;VLOOKUP(Buying_Type,Buy_type,2,FALSE)&amp;"_"&amp;Device&amp;"_"&amp;Size&amp;"_"&amp;Segmentação&amp;"_"&amp;Segmentação_Anúncio)</f>
        <v>#N/A</v>
      </c>
      <c r="BL97" s="35" t="str">
        <f>LOWER(Campanha_ou_InsertionOrder&amp;"_"&amp;LineItem_ou_Grupodeanúncio&amp;"_"&amp;Linha_criativa_2&amp;"_"&amp;Unique_ID)</f>
        <v>#N/A</v>
      </c>
      <c r="BM97" s="27"/>
      <c r="BN97" s="27"/>
    </row>
    <row r="98">
      <c r="A98" s="1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8" t="str">
        <f>LOWER(Campanha_ou_InsertionOrder&amp;"_"&amp;LineItem_ou_Grupodeanúncio&amp;"_"&amp;Linha_Criativa&amp;"_"&amp;Unique_ID)</f>
        <v>#N/A</v>
      </c>
      <c r="AN98" s="28" t="str">
        <f>LOWER(Campanha_ou_InsertionOrder&amp;"_"&amp;LineItem_ou_Grupodeanúncio&amp;"_"&amp;Linha_Criativa&amp;"_"&amp;Unique_ID)</f>
        <v>#N/A</v>
      </c>
      <c r="AO98" s="28" t="str">
        <f>LOWER("VW"&amp;"_"&amp;Model_Variant&amp;"_"&amp;Size&amp;"_"&amp;Linha_Criativa&amp;"_"&amp;IF(Servido_Por="portal",Veiculo,"adserver"))</f>
        <v>vw____adserver</v>
      </c>
      <c r="AP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" s="22" t="str">
        <f t="shared" si="1"/>
        <v/>
      </c>
      <c r="AS98" s="22" t="str">
        <f t="shared" si="2"/>
        <v/>
      </c>
      <c r="AT98" s="22" t="str">
        <f t="shared" si="3"/>
        <v>BR_IMC_DSY_LANCH_ND_NC_2020Q3AUG_NVS_Nivus-Launch-Consideracao</v>
      </c>
      <c r="AU98" s="22" t="str">
        <f t="shared" si="4"/>
        <v>#N/A</v>
      </c>
      <c r="AV98" s="22" t="s">
        <v>106</v>
      </c>
      <c r="AW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" s="22" t="str">
        <f t="shared" si="5"/>
        <v>BR_IMC_DSY_LANCH_ND_NC_2020Q3AUG_NVS_Nivus-Launch-Consideracao</v>
      </c>
      <c r="AY98" s="28" t="str">
        <f t="shared" si="6"/>
        <v>#N/A</v>
      </c>
      <c r="AZ98" s="22" t="s">
        <v>107</v>
      </c>
      <c r="BA98" s="22" t="s">
        <v>108</v>
      </c>
      <c r="BB98" s="31" t="s">
        <v>109</v>
      </c>
      <c r="BC98" s="31" t="s">
        <v>109</v>
      </c>
      <c r="BD98" s="32" t="str">
        <f t="shared" si="8"/>
        <v>nvl-nvs-imc-dsy-0820-10092</v>
      </c>
      <c r="BE98" s="33"/>
      <c r="BF98" s="33"/>
      <c r="BG98" s="39" t="str">
        <f>URL&amp;IF(ISNUMBER(FIND("?",URL)),"&amp;","?"&amp;("adlid="&amp;Unique_ID&amp;"&amp;adplt="&amp;Placement))</f>
        <v>#N/A</v>
      </c>
      <c r="BH98" s="1"/>
      <c r="BI98" s="1"/>
      <c r="BJ98" s="35" t="str">
        <f>LOWER("alp"&amp;"_"&amp;"vw"&amp;"_"&amp;Veiculo&amp;"_"&amp;C94&amp;"_"&amp;Objetivo)</f>
        <v>alp_vw___</v>
      </c>
      <c r="BK98" s="35" t="str">
        <f>LOWER(Buying_Metric&amp;"_"&amp;VLOOKUP(Buying_Type,Buy_type,2,FALSE)&amp;"_"&amp;Device&amp;"_"&amp;Size&amp;"_"&amp;Segmentação&amp;"_"&amp;Segmentação_Anúncio)</f>
        <v>#N/A</v>
      </c>
      <c r="BL98" s="35" t="str">
        <f>LOWER(Campanha_ou_InsertionOrder&amp;"_"&amp;LineItem_ou_Grupodeanúncio&amp;"_"&amp;Linha_criativa_2&amp;"_"&amp;Unique_ID)</f>
        <v>#N/A</v>
      </c>
      <c r="BM98" s="27"/>
      <c r="BN98" s="27"/>
    </row>
    <row r="99">
      <c r="A99" s="1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8" t="str">
        <f>LOWER(Campanha_ou_InsertionOrder&amp;"_"&amp;LineItem_ou_Grupodeanúncio&amp;"_"&amp;Linha_Criativa&amp;"_"&amp;Unique_ID)</f>
        <v>#N/A</v>
      </c>
      <c r="AN99" s="28" t="str">
        <f>LOWER(Campanha_ou_InsertionOrder&amp;"_"&amp;LineItem_ou_Grupodeanúncio&amp;"_"&amp;Linha_Criativa&amp;"_"&amp;Unique_ID)</f>
        <v>#N/A</v>
      </c>
      <c r="AO99" s="28" t="str">
        <f>LOWER("VW"&amp;"_"&amp;Model_Variant&amp;"_"&amp;Size&amp;"_"&amp;Linha_Criativa&amp;"_"&amp;IF(Servido_Por="portal",Veiculo,"adserver"))</f>
        <v>vw____adserver</v>
      </c>
      <c r="AP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" s="22" t="str">
        <f t="shared" si="1"/>
        <v/>
      </c>
      <c r="AS99" s="22" t="str">
        <f t="shared" si="2"/>
        <v/>
      </c>
      <c r="AT99" s="22" t="str">
        <f t="shared" si="3"/>
        <v>BR_IMC_DSY_LANCH_ND_NC_2020Q3AUG_NVS_Nivus-Launch-Consideracao</v>
      </c>
      <c r="AU99" s="22" t="str">
        <f t="shared" si="4"/>
        <v>#N/A</v>
      </c>
      <c r="AV99" s="22" t="s">
        <v>106</v>
      </c>
      <c r="AW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" s="22" t="str">
        <f t="shared" si="5"/>
        <v>BR_IMC_DSY_LANCH_ND_NC_2020Q3AUG_NVS_Nivus-Launch-Consideracao</v>
      </c>
      <c r="AY99" s="28" t="str">
        <f t="shared" si="6"/>
        <v>#N/A</v>
      </c>
      <c r="AZ99" s="22" t="s">
        <v>107</v>
      </c>
      <c r="BA99" s="22" t="s">
        <v>108</v>
      </c>
      <c r="BB99" s="31" t="s">
        <v>109</v>
      </c>
      <c r="BC99" s="31" t="s">
        <v>109</v>
      </c>
      <c r="BD99" s="32" t="str">
        <f t="shared" si="8"/>
        <v>nvl-nvs-imc-dsy-0820-10093</v>
      </c>
      <c r="BE99" s="33"/>
      <c r="BF99" s="33"/>
      <c r="BG99" s="39" t="str">
        <f>URL&amp;IF(ISNUMBER(FIND("?",URL)),"&amp;","?"&amp;("adlid="&amp;Unique_ID&amp;"&amp;adplt="&amp;Placement))</f>
        <v>#N/A</v>
      </c>
      <c r="BH99" s="1"/>
      <c r="BI99" s="1"/>
      <c r="BJ99" s="35" t="str">
        <f>LOWER("alp"&amp;"_"&amp;"vw"&amp;"_"&amp;Veiculo&amp;"_"&amp;C95&amp;"_"&amp;Objetivo)</f>
        <v>alp_vw___</v>
      </c>
      <c r="BK99" s="35" t="str">
        <f>LOWER(Buying_Metric&amp;"_"&amp;VLOOKUP(Buying_Type,Buy_type,2,FALSE)&amp;"_"&amp;Device&amp;"_"&amp;Size&amp;"_"&amp;Segmentação&amp;"_"&amp;Segmentação_Anúncio)</f>
        <v>#N/A</v>
      </c>
      <c r="BL99" s="35" t="str">
        <f>LOWER(Campanha_ou_InsertionOrder&amp;"_"&amp;LineItem_ou_Grupodeanúncio&amp;"_"&amp;Linha_criativa_2&amp;"_"&amp;Unique_ID)</f>
        <v>#N/A</v>
      </c>
      <c r="BM99" s="27"/>
      <c r="BN99" s="27"/>
    </row>
    <row r="100">
      <c r="A100" s="1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8" t="str">
        <f>LOWER(Campanha_ou_InsertionOrder&amp;"_"&amp;LineItem_ou_Grupodeanúncio&amp;"_"&amp;Linha_Criativa&amp;"_"&amp;Unique_ID)</f>
        <v>#N/A</v>
      </c>
      <c r="AN100" s="28" t="str">
        <f>LOWER(Campanha_ou_InsertionOrder&amp;"_"&amp;LineItem_ou_Grupodeanúncio&amp;"_"&amp;Linha_Criativa&amp;"_"&amp;Unique_ID)</f>
        <v>#N/A</v>
      </c>
      <c r="AO100" s="28" t="str">
        <f>LOWER("VW"&amp;"_"&amp;Model_Variant&amp;"_"&amp;Size&amp;"_"&amp;Linha_Criativa&amp;"_"&amp;IF(Servido_Por="portal",Veiculo,"adserver"))</f>
        <v>vw____adserver</v>
      </c>
      <c r="AP1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0" s="22" t="str">
        <f t="shared" si="1"/>
        <v/>
      </c>
      <c r="AS100" s="22" t="str">
        <f t="shared" si="2"/>
        <v/>
      </c>
      <c r="AT100" s="22" t="str">
        <f t="shared" si="3"/>
        <v>BR_IMC_DSY_LANCH_ND_NC_2020Q3AUG_NVS_Nivus-Launch-Consideracao</v>
      </c>
      <c r="AU100" s="22" t="str">
        <f t="shared" si="4"/>
        <v>#N/A</v>
      </c>
      <c r="AV100" s="22" t="s">
        <v>106</v>
      </c>
      <c r="AW1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0" s="22" t="str">
        <f t="shared" si="5"/>
        <v>BR_IMC_DSY_LANCH_ND_NC_2020Q3AUG_NVS_Nivus-Launch-Consideracao</v>
      </c>
      <c r="AY100" s="28" t="str">
        <f t="shared" si="6"/>
        <v>#N/A</v>
      </c>
      <c r="AZ100" s="22" t="s">
        <v>107</v>
      </c>
      <c r="BA100" s="22" t="s">
        <v>108</v>
      </c>
      <c r="BB100" s="31" t="s">
        <v>109</v>
      </c>
      <c r="BC100" s="31" t="s">
        <v>109</v>
      </c>
      <c r="BD100" s="32" t="str">
        <f t="shared" si="8"/>
        <v>nvl-nvs-imc-dsy-0820-10094</v>
      </c>
      <c r="BE100" s="33"/>
      <c r="BF100" s="33"/>
      <c r="BG100" s="39" t="str">
        <f>URL&amp;IF(ISNUMBER(FIND("?",URL)),"&amp;","?"&amp;("adlid="&amp;Unique_ID&amp;"&amp;adplt="&amp;Placement))</f>
        <v>#N/A</v>
      </c>
      <c r="BH100" s="1"/>
      <c r="BI100" s="1"/>
      <c r="BJ100" s="35" t="str">
        <f>LOWER("alp"&amp;"_"&amp;"vw"&amp;"_"&amp;Veiculo&amp;"_"&amp;C96&amp;"_"&amp;Objetivo)</f>
        <v>alp_vw___</v>
      </c>
      <c r="BK100" s="35" t="str">
        <f>LOWER(Buying_Metric&amp;"_"&amp;VLOOKUP(Buying_Type,Buy_type,2,FALSE)&amp;"_"&amp;Device&amp;"_"&amp;Size&amp;"_"&amp;Segmentação&amp;"_"&amp;Segmentação_Anúncio)</f>
        <v>#N/A</v>
      </c>
      <c r="BL100" s="35" t="str">
        <f>LOWER(Campanha_ou_InsertionOrder&amp;"_"&amp;LineItem_ou_Grupodeanúncio&amp;"_"&amp;Linha_criativa_2&amp;"_"&amp;Unique_ID)</f>
        <v>#N/A</v>
      </c>
      <c r="BM100" s="27"/>
      <c r="BN100" s="27"/>
    </row>
    <row r="101">
      <c r="A101" s="1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8" t="str">
        <f>LOWER(Campanha_ou_InsertionOrder&amp;"_"&amp;LineItem_ou_Grupodeanúncio&amp;"_"&amp;Linha_Criativa&amp;"_"&amp;Unique_ID)</f>
        <v>#N/A</v>
      </c>
      <c r="AN101" s="28" t="str">
        <f>LOWER(Campanha_ou_InsertionOrder&amp;"_"&amp;LineItem_ou_Grupodeanúncio&amp;"_"&amp;Linha_Criativa&amp;"_"&amp;Unique_ID)</f>
        <v>#N/A</v>
      </c>
      <c r="AO101" s="28" t="str">
        <f>LOWER("VW"&amp;"_"&amp;Model_Variant&amp;"_"&amp;Size&amp;"_"&amp;Linha_Criativa&amp;"_"&amp;IF(Servido_Por="portal",Veiculo,"adserver"))</f>
        <v>vw____adserver</v>
      </c>
      <c r="AP1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1" s="22" t="str">
        <f t="shared" si="1"/>
        <v/>
      </c>
      <c r="AS101" s="22" t="str">
        <f t="shared" si="2"/>
        <v/>
      </c>
      <c r="AT101" s="22" t="str">
        <f t="shared" si="3"/>
        <v>BR_IMC_DSY_LANCH_ND_NC_2020Q3AUG_NVS_Nivus-Launch-Consideracao</v>
      </c>
      <c r="AU101" s="22" t="str">
        <f t="shared" si="4"/>
        <v>#N/A</v>
      </c>
      <c r="AV101" s="22" t="s">
        <v>106</v>
      </c>
      <c r="AW1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1" s="22" t="str">
        <f t="shared" si="5"/>
        <v>BR_IMC_DSY_LANCH_ND_NC_2020Q3AUG_NVS_Nivus-Launch-Consideracao</v>
      </c>
      <c r="AY101" s="28" t="str">
        <f t="shared" si="6"/>
        <v>#N/A</v>
      </c>
      <c r="AZ101" s="22" t="s">
        <v>107</v>
      </c>
      <c r="BA101" s="22" t="s">
        <v>108</v>
      </c>
      <c r="BB101" s="31" t="s">
        <v>109</v>
      </c>
      <c r="BC101" s="31" t="s">
        <v>109</v>
      </c>
      <c r="BD101" s="32" t="str">
        <f t="shared" si="8"/>
        <v>nvl-nvs-imc-dsy-0820-10095</v>
      </c>
      <c r="BE101" s="33"/>
      <c r="BF101" s="33"/>
      <c r="BG101" s="39" t="str">
        <f>URL&amp;IF(ISNUMBER(FIND("?",URL)),"&amp;","?"&amp;("adlid="&amp;Unique_ID&amp;"&amp;adplt="&amp;Placement))</f>
        <v>#N/A</v>
      </c>
      <c r="BH101" s="1"/>
      <c r="BI101" s="1"/>
      <c r="BJ101" s="35" t="str">
        <f>LOWER("alp"&amp;"_"&amp;"vw"&amp;"_"&amp;Veiculo&amp;"_"&amp;C97&amp;"_"&amp;Objetivo)</f>
        <v>alp_vw___</v>
      </c>
      <c r="BK101" s="35" t="str">
        <f>LOWER(Buying_Metric&amp;"_"&amp;VLOOKUP(Buying_Type,Buy_type,2,FALSE)&amp;"_"&amp;Device&amp;"_"&amp;Size&amp;"_"&amp;Segmentação&amp;"_"&amp;Segmentação_Anúncio)</f>
        <v>#N/A</v>
      </c>
      <c r="BL101" s="35" t="str">
        <f>LOWER(Campanha_ou_InsertionOrder&amp;"_"&amp;LineItem_ou_Grupodeanúncio&amp;"_"&amp;Linha_criativa_2&amp;"_"&amp;Unique_ID)</f>
        <v>#N/A</v>
      </c>
      <c r="BM101" s="27"/>
      <c r="BN101" s="27"/>
    </row>
    <row r="102">
      <c r="A102" s="1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tr">
        <f>LOWER(Campanha_ou_InsertionOrder&amp;"_"&amp;LineItem_ou_Grupodeanúncio&amp;"_"&amp;Linha_Criativa&amp;"_"&amp;Unique_ID)</f>
        <v>#N/A</v>
      </c>
      <c r="AN102" s="28" t="str">
        <f>LOWER(Campanha_ou_InsertionOrder&amp;"_"&amp;LineItem_ou_Grupodeanúncio&amp;"_"&amp;Linha_Criativa&amp;"_"&amp;Unique_ID)</f>
        <v>#N/A</v>
      </c>
      <c r="AO102" s="28" t="str">
        <f>LOWER("VW"&amp;"_"&amp;Model_Variant&amp;"_"&amp;Size&amp;"_"&amp;Linha_Criativa&amp;"_"&amp;IF(Servido_Por="portal",Veiculo,"adserver"))</f>
        <v>vw____adserver</v>
      </c>
      <c r="AP1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2" s="22" t="str">
        <f t="shared" si="1"/>
        <v/>
      </c>
      <c r="AS102" s="22" t="str">
        <f t="shared" si="2"/>
        <v/>
      </c>
      <c r="AT102" s="22" t="str">
        <f t="shared" si="3"/>
        <v>BR_IMC_DSY_LANCH_ND_NC_2020Q3AUG_NVS_Nivus-Launch-Consideracao</v>
      </c>
      <c r="AU102" s="22" t="str">
        <f t="shared" si="4"/>
        <v>#N/A</v>
      </c>
      <c r="AV102" s="22" t="s">
        <v>106</v>
      </c>
      <c r="AW1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2" s="22" t="str">
        <f t="shared" si="5"/>
        <v>BR_IMC_DSY_LANCH_ND_NC_2020Q3AUG_NVS_Nivus-Launch-Consideracao</v>
      </c>
      <c r="AY102" s="28" t="str">
        <f t="shared" si="6"/>
        <v>#N/A</v>
      </c>
      <c r="AZ102" s="22" t="s">
        <v>107</v>
      </c>
      <c r="BA102" s="22" t="s">
        <v>108</v>
      </c>
      <c r="BB102" s="31" t="s">
        <v>109</v>
      </c>
      <c r="BC102" s="31" t="s">
        <v>109</v>
      </c>
      <c r="BD102" s="32" t="str">
        <f t="shared" si="8"/>
        <v>nvl-nvs-imc-dsy-0820-10096</v>
      </c>
      <c r="BE102" s="33"/>
      <c r="BF102" s="33"/>
      <c r="BG102" s="39" t="str">
        <f>URL&amp;IF(ISNUMBER(FIND("?",URL)),"&amp;","?"&amp;("adlid="&amp;Unique_ID&amp;"&amp;adplt="&amp;Placement))</f>
        <v>#N/A</v>
      </c>
      <c r="BH102" s="1"/>
      <c r="BI102" s="1"/>
      <c r="BJ102" s="35" t="str">
        <f>LOWER("alp"&amp;"_"&amp;"vw"&amp;"_"&amp;Veiculo&amp;"_"&amp;C98&amp;"_"&amp;Objetivo)</f>
        <v>alp_vw___</v>
      </c>
      <c r="BK102" s="35" t="str">
        <f>LOWER(Buying_Metric&amp;"_"&amp;VLOOKUP(Buying_Type,Buy_type,2,FALSE)&amp;"_"&amp;Device&amp;"_"&amp;Size&amp;"_"&amp;Segmentação&amp;"_"&amp;Segmentação_Anúncio)</f>
        <v>#N/A</v>
      </c>
      <c r="BL102" s="35" t="str">
        <f>LOWER(Campanha_ou_InsertionOrder&amp;"_"&amp;LineItem_ou_Grupodeanúncio&amp;"_"&amp;Linha_criativa_2&amp;"_"&amp;Unique_ID)</f>
        <v>#N/A</v>
      </c>
      <c r="BM102" s="27"/>
      <c r="BN102" s="27"/>
    </row>
    <row r="103">
      <c r="A103" s="1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8" t="str">
        <f>LOWER(Campanha_ou_InsertionOrder&amp;"_"&amp;LineItem_ou_Grupodeanúncio&amp;"_"&amp;Linha_Criativa&amp;"_"&amp;Unique_ID)</f>
        <v>#N/A</v>
      </c>
      <c r="AN103" s="28" t="str">
        <f>LOWER(Campanha_ou_InsertionOrder&amp;"_"&amp;LineItem_ou_Grupodeanúncio&amp;"_"&amp;Linha_Criativa&amp;"_"&amp;Unique_ID)</f>
        <v>#N/A</v>
      </c>
      <c r="AO103" s="28" t="str">
        <f>LOWER("VW"&amp;"_"&amp;Model_Variant&amp;"_"&amp;Size&amp;"_"&amp;Linha_Criativa&amp;"_"&amp;IF(Servido_Por="portal",Veiculo,"adserver"))</f>
        <v>vw____adserver</v>
      </c>
      <c r="AP1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3" s="22" t="str">
        <f t="shared" si="1"/>
        <v/>
      </c>
      <c r="AS103" s="22" t="str">
        <f t="shared" si="2"/>
        <v/>
      </c>
      <c r="AT103" s="22" t="str">
        <f t="shared" si="3"/>
        <v>BR_IMC_DSY_LANCH_ND_NC_2020Q3AUG_NVS_Nivus-Launch-Consideracao</v>
      </c>
      <c r="AU103" s="22" t="str">
        <f t="shared" si="4"/>
        <v>#N/A</v>
      </c>
      <c r="AV103" s="22" t="s">
        <v>106</v>
      </c>
      <c r="AW1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3" s="22" t="str">
        <f t="shared" si="5"/>
        <v>BR_IMC_DSY_LANCH_ND_NC_2020Q3AUG_NVS_Nivus-Launch-Consideracao</v>
      </c>
      <c r="AY103" s="28" t="str">
        <f t="shared" si="6"/>
        <v>#N/A</v>
      </c>
      <c r="AZ103" s="22" t="s">
        <v>107</v>
      </c>
      <c r="BA103" s="22" t="s">
        <v>108</v>
      </c>
      <c r="BB103" s="31" t="s">
        <v>109</v>
      </c>
      <c r="BC103" s="31" t="s">
        <v>109</v>
      </c>
      <c r="BD103" s="32" t="str">
        <f t="shared" si="8"/>
        <v>nvl-nvs-imc-dsy-0820-10097</v>
      </c>
      <c r="BE103" s="33"/>
      <c r="BF103" s="33"/>
      <c r="BG103" s="39" t="str">
        <f>URL&amp;IF(ISNUMBER(FIND("?",URL)),"&amp;","?"&amp;("adlid="&amp;Unique_ID&amp;"&amp;adplt="&amp;Placement))</f>
        <v>#N/A</v>
      </c>
      <c r="BH103" s="1"/>
      <c r="BI103" s="1"/>
      <c r="BJ103" s="35" t="str">
        <f>LOWER("alp"&amp;"_"&amp;"vw"&amp;"_"&amp;Veiculo&amp;"_"&amp;C99&amp;"_"&amp;Objetivo)</f>
        <v>alp_vw___</v>
      </c>
      <c r="BK103" s="35" t="str">
        <f>LOWER(Buying_Metric&amp;"_"&amp;VLOOKUP(Buying_Type,Buy_type,2,FALSE)&amp;"_"&amp;Device&amp;"_"&amp;Size&amp;"_"&amp;Segmentação&amp;"_"&amp;Segmentação_Anúncio)</f>
        <v>#N/A</v>
      </c>
      <c r="BL103" s="35" t="str">
        <f>LOWER(Campanha_ou_InsertionOrder&amp;"_"&amp;LineItem_ou_Grupodeanúncio&amp;"_"&amp;Linha_criativa_2&amp;"_"&amp;Unique_ID)</f>
        <v>#N/A</v>
      </c>
      <c r="BM103" s="27"/>
      <c r="BN103" s="27"/>
    </row>
    <row r="104">
      <c r="A104" s="1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8" t="str">
        <f>LOWER(Campanha_ou_InsertionOrder&amp;"_"&amp;LineItem_ou_Grupodeanúncio&amp;"_"&amp;Linha_Criativa&amp;"_"&amp;Unique_ID)</f>
        <v>#N/A</v>
      </c>
      <c r="AN104" s="28" t="str">
        <f>LOWER(Campanha_ou_InsertionOrder&amp;"_"&amp;LineItem_ou_Grupodeanúncio&amp;"_"&amp;Linha_Criativa&amp;"_"&amp;Unique_ID)</f>
        <v>#N/A</v>
      </c>
      <c r="AO104" s="28" t="str">
        <f>LOWER("VW"&amp;"_"&amp;Model_Variant&amp;"_"&amp;Size&amp;"_"&amp;Linha_Criativa&amp;"_"&amp;IF(Servido_Por="portal",Veiculo,"adserver"))</f>
        <v>vw____adserver</v>
      </c>
      <c r="AP1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4" s="22" t="str">
        <f t="shared" si="1"/>
        <v/>
      </c>
      <c r="AS104" s="22" t="str">
        <f t="shared" si="2"/>
        <v/>
      </c>
      <c r="AT104" s="22" t="str">
        <f t="shared" si="3"/>
        <v>BR_IMC_DSY_LANCH_ND_NC_2020Q3AUG_NVS_Nivus-Launch-Consideracao</v>
      </c>
      <c r="AU104" s="22" t="str">
        <f t="shared" si="4"/>
        <v>#N/A</v>
      </c>
      <c r="AV104" s="22" t="s">
        <v>106</v>
      </c>
      <c r="AW1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4" s="22" t="str">
        <f t="shared" si="5"/>
        <v>BR_IMC_DSY_LANCH_ND_NC_2020Q3AUG_NVS_Nivus-Launch-Consideracao</v>
      </c>
      <c r="AY104" s="28" t="str">
        <f t="shared" si="6"/>
        <v>#N/A</v>
      </c>
      <c r="AZ104" s="22" t="s">
        <v>107</v>
      </c>
      <c r="BA104" s="22" t="s">
        <v>108</v>
      </c>
      <c r="BB104" s="31" t="s">
        <v>109</v>
      </c>
      <c r="BC104" s="31" t="s">
        <v>109</v>
      </c>
      <c r="BD104" s="32" t="str">
        <f t="shared" si="8"/>
        <v>nvl-nvs-imc-dsy-0820-10098</v>
      </c>
      <c r="BE104" s="33"/>
      <c r="BF104" s="33"/>
      <c r="BG104" s="39" t="str">
        <f>URL&amp;IF(ISNUMBER(FIND("?",URL)),"&amp;","?"&amp;("adlid="&amp;Unique_ID&amp;"&amp;adplt="&amp;Placement))</f>
        <v>#N/A</v>
      </c>
      <c r="BH104" s="1"/>
      <c r="BI104" s="1"/>
      <c r="BJ104" s="35" t="str">
        <f>LOWER("alp"&amp;"_"&amp;"vw"&amp;"_"&amp;Veiculo&amp;"_"&amp;C100&amp;"_"&amp;Objetivo)</f>
        <v>alp_vw___</v>
      </c>
      <c r="BK104" s="35" t="str">
        <f>LOWER(Buying_Metric&amp;"_"&amp;VLOOKUP(Buying_Type,Buy_type,2,FALSE)&amp;"_"&amp;Device&amp;"_"&amp;Size&amp;"_"&amp;Segmentação&amp;"_"&amp;Segmentação_Anúncio)</f>
        <v>#N/A</v>
      </c>
      <c r="BL104" s="35" t="str">
        <f>LOWER(Campanha_ou_InsertionOrder&amp;"_"&amp;LineItem_ou_Grupodeanúncio&amp;"_"&amp;Linha_criativa_2&amp;"_"&amp;Unique_ID)</f>
        <v>#N/A</v>
      </c>
      <c r="BM104" s="27"/>
      <c r="BN104" s="27"/>
    </row>
    <row r="105">
      <c r="A105" s="1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8" t="str">
        <f>LOWER(Campanha_ou_InsertionOrder&amp;"_"&amp;LineItem_ou_Grupodeanúncio&amp;"_"&amp;Linha_Criativa&amp;"_"&amp;Unique_ID)</f>
        <v>#N/A</v>
      </c>
      <c r="AN105" s="28" t="str">
        <f>LOWER(Campanha_ou_InsertionOrder&amp;"_"&amp;LineItem_ou_Grupodeanúncio&amp;"_"&amp;Linha_Criativa&amp;"_"&amp;Unique_ID)</f>
        <v>#N/A</v>
      </c>
      <c r="AO105" s="28" t="str">
        <f>LOWER("VW"&amp;"_"&amp;Model_Variant&amp;"_"&amp;Size&amp;"_"&amp;Linha_Criativa&amp;"_"&amp;IF(Servido_Por="portal",Veiculo,"adserver"))</f>
        <v>vw____adserver</v>
      </c>
      <c r="AP1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5" s="22" t="str">
        <f t="shared" si="1"/>
        <v/>
      </c>
      <c r="AS105" s="22" t="str">
        <f t="shared" si="2"/>
        <v/>
      </c>
      <c r="AT105" s="22" t="str">
        <f t="shared" si="3"/>
        <v>BR_IMC_DSY_LANCH_ND_NC_2020Q3AUG_NVS_Nivus-Launch-Consideracao</v>
      </c>
      <c r="AU105" s="22" t="str">
        <f t="shared" si="4"/>
        <v>#N/A</v>
      </c>
      <c r="AV105" s="22" t="s">
        <v>106</v>
      </c>
      <c r="AW1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5" s="22" t="str">
        <f t="shared" si="5"/>
        <v>BR_IMC_DSY_LANCH_ND_NC_2020Q3AUG_NVS_Nivus-Launch-Consideracao</v>
      </c>
      <c r="AY105" s="28" t="str">
        <f t="shared" si="6"/>
        <v>#N/A</v>
      </c>
      <c r="AZ105" s="22" t="s">
        <v>107</v>
      </c>
      <c r="BA105" s="22" t="s">
        <v>108</v>
      </c>
      <c r="BB105" s="31" t="s">
        <v>109</v>
      </c>
      <c r="BC105" s="31" t="s">
        <v>109</v>
      </c>
      <c r="BD105" s="32" t="str">
        <f t="shared" si="8"/>
        <v>nvl-nvs-imc-dsy-0820-10099</v>
      </c>
      <c r="BE105" s="33"/>
      <c r="BF105" s="33"/>
      <c r="BG105" s="39" t="str">
        <f>URL&amp;IF(ISNUMBER(FIND("?",URL)),"&amp;","?"&amp;("adlid="&amp;Unique_ID&amp;"&amp;adplt="&amp;Placement))</f>
        <v>#N/A</v>
      </c>
      <c r="BH105" s="1"/>
      <c r="BI105" s="1"/>
      <c r="BJ105" s="35" t="str">
        <f>LOWER("alp"&amp;"_"&amp;"vw"&amp;"_"&amp;Veiculo&amp;"_"&amp;C101&amp;"_"&amp;Objetivo)</f>
        <v>alp_vw___</v>
      </c>
      <c r="BK105" s="35" t="str">
        <f>LOWER(Buying_Metric&amp;"_"&amp;VLOOKUP(Buying_Type,Buy_type,2,FALSE)&amp;"_"&amp;Device&amp;"_"&amp;Size&amp;"_"&amp;Segmentação&amp;"_"&amp;Segmentação_Anúncio)</f>
        <v>#N/A</v>
      </c>
      <c r="BL105" s="35" t="str">
        <f>LOWER(Campanha_ou_InsertionOrder&amp;"_"&amp;LineItem_ou_Grupodeanúncio&amp;"_"&amp;Linha_criativa_2&amp;"_"&amp;Unique_ID)</f>
        <v>#N/A</v>
      </c>
      <c r="BM105" s="27"/>
      <c r="BN105" s="27"/>
    </row>
    <row r="106">
      <c r="A106" s="1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8" t="str">
        <f>LOWER(Campanha_ou_InsertionOrder&amp;"_"&amp;LineItem_ou_Grupodeanúncio&amp;"_"&amp;Linha_Criativa&amp;"_"&amp;Unique_ID)</f>
        <v>#N/A</v>
      </c>
      <c r="AN106" s="28" t="str">
        <f>LOWER(Campanha_ou_InsertionOrder&amp;"_"&amp;LineItem_ou_Grupodeanúncio&amp;"_"&amp;Linha_Criativa&amp;"_"&amp;Unique_ID)</f>
        <v>#N/A</v>
      </c>
      <c r="AO106" s="28" t="str">
        <f>LOWER("VW"&amp;"_"&amp;Model_Variant&amp;"_"&amp;Size&amp;"_"&amp;Linha_Criativa&amp;"_"&amp;IF(Servido_Por="portal",Veiculo,"adserver"))</f>
        <v>vw____adserver</v>
      </c>
      <c r="AP1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6" s="22" t="str">
        <f t="shared" si="1"/>
        <v/>
      </c>
      <c r="AS106" s="22" t="str">
        <f t="shared" si="2"/>
        <v/>
      </c>
      <c r="AT106" s="22" t="str">
        <f t="shared" si="3"/>
        <v>BR_IMC_DSY_LANCH_ND_NC_2020Q3AUG_NVS_Nivus-Launch-Consideracao</v>
      </c>
      <c r="AU106" s="22" t="str">
        <f t="shared" si="4"/>
        <v>#N/A</v>
      </c>
      <c r="AV106" s="22" t="s">
        <v>106</v>
      </c>
      <c r="AW1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6" s="22" t="str">
        <f t="shared" si="5"/>
        <v>BR_IMC_DSY_LANCH_ND_NC_2020Q3AUG_NVS_Nivus-Launch-Consideracao</v>
      </c>
      <c r="AY106" s="28" t="str">
        <f t="shared" si="6"/>
        <v>#N/A</v>
      </c>
      <c r="AZ106" s="22" t="s">
        <v>107</v>
      </c>
      <c r="BA106" s="22" t="s">
        <v>108</v>
      </c>
      <c r="BB106" s="31" t="s">
        <v>109</v>
      </c>
      <c r="BC106" s="31" t="s">
        <v>109</v>
      </c>
      <c r="BD106" s="32" t="str">
        <f t="shared" si="8"/>
        <v>nvl-nvs-imc-dsy-0820-10100</v>
      </c>
      <c r="BE106" s="33"/>
      <c r="BF106" s="33"/>
      <c r="BG106" s="39" t="str">
        <f>URL&amp;IF(ISNUMBER(FIND("?",URL)),"&amp;","?"&amp;("adlid="&amp;Unique_ID&amp;"&amp;adplt="&amp;Placement))</f>
        <v>#N/A</v>
      </c>
      <c r="BH106" s="1"/>
      <c r="BI106" s="1"/>
      <c r="BJ106" s="35" t="str">
        <f>LOWER("alp"&amp;"_"&amp;"vw"&amp;"_"&amp;Veiculo&amp;"_"&amp;C102&amp;"_"&amp;Objetivo)</f>
        <v>alp_vw___</v>
      </c>
      <c r="BK106" s="35" t="str">
        <f>LOWER(Buying_Metric&amp;"_"&amp;VLOOKUP(Buying_Type,Buy_type,2,FALSE)&amp;"_"&amp;Device&amp;"_"&amp;Size&amp;"_"&amp;Segmentação&amp;"_"&amp;Segmentação_Anúncio)</f>
        <v>#N/A</v>
      </c>
      <c r="BL106" s="35" t="str">
        <f>LOWER(Campanha_ou_InsertionOrder&amp;"_"&amp;LineItem_ou_Grupodeanúncio&amp;"_"&amp;Linha_criativa_2&amp;"_"&amp;Unique_ID)</f>
        <v>#N/A</v>
      </c>
      <c r="BM106" s="27"/>
      <c r="BN106" s="27"/>
    </row>
    <row r="107">
      <c r="A107" s="1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8" t="str">
        <f>LOWER(Campanha_ou_InsertionOrder&amp;"_"&amp;LineItem_ou_Grupodeanúncio&amp;"_"&amp;Linha_Criativa&amp;"_"&amp;Unique_ID)</f>
        <v>#N/A</v>
      </c>
      <c r="AN107" s="28" t="str">
        <f>LOWER(Campanha_ou_InsertionOrder&amp;"_"&amp;LineItem_ou_Grupodeanúncio&amp;"_"&amp;Linha_Criativa&amp;"_"&amp;Unique_ID)</f>
        <v>#N/A</v>
      </c>
      <c r="AO107" s="28" t="str">
        <f>LOWER("VW"&amp;"_"&amp;Model_Variant&amp;"_"&amp;Size&amp;"_"&amp;Linha_Criativa&amp;"_"&amp;IF(Servido_Por="portal",Veiculo,"adserver"))</f>
        <v>vw____adserver</v>
      </c>
      <c r="AP1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7" s="22" t="str">
        <f t="shared" si="1"/>
        <v/>
      </c>
      <c r="AS107" s="22" t="str">
        <f t="shared" si="2"/>
        <v/>
      </c>
      <c r="AT107" s="22" t="str">
        <f t="shared" si="3"/>
        <v>BR_IMC_DSY_LANCH_ND_NC_2020Q3AUG_NVS_Nivus-Launch-Consideracao</v>
      </c>
      <c r="AU107" s="22" t="str">
        <f t="shared" si="4"/>
        <v>#N/A</v>
      </c>
      <c r="AV107" s="22" t="s">
        <v>106</v>
      </c>
      <c r="AW1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7" s="22" t="str">
        <f t="shared" si="5"/>
        <v>BR_IMC_DSY_LANCH_ND_NC_2020Q3AUG_NVS_Nivus-Launch-Consideracao</v>
      </c>
      <c r="AY107" s="28" t="str">
        <f t="shared" si="6"/>
        <v>#N/A</v>
      </c>
      <c r="AZ107" s="22" t="s">
        <v>107</v>
      </c>
      <c r="BA107" s="22" t="s">
        <v>108</v>
      </c>
      <c r="BB107" s="31" t="s">
        <v>109</v>
      </c>
      <c r="BC107" s="31" t="s">
        <v>109</v>
      </c>
      <c r="BD107" s="32" t="str">
        <f t="shared" si="8"/>
        <v>nvl-nvs-imc-dsy-0820-10101</v>
      </c>
      <c r="BE107" s="33"/>
      <c r="BF107" s="33"/>
      <c r="BG107" s="39" t="str">
        <f>URL&amp;IF(ISNUMBER(FIND("?",URL)),"&amp;","?"&amp;("adlid="&amp;Unique_ID&amp;"&amp;adplt="&amp;Placement))</f>
        <v>#N/A</v>
      </c>
      <c r="BH107" s="1"/>
      <c r="BI107" s="1"/>
      <c r="BJ107" s="35" t="str">
        <f>LOWER("alp"&amp;"_"&amp;"vw"&amp;"_"&amp;Veiculo&amp;"_"&amp;C103&amp;"_"&amp;Objetivo)</f>
        <v>alp_vw___</v>
      </c>
      <c r="BK107" s="35" t="str">
        <f>LOWER(Buying_Metric&amp;"_"&amp;VLOOKUP(Buying_Type,Buy_type,2,FALSE)&amp;"_"&amp;Device&amp;"_"&amp;Size&amp;"_"&amp;Segmentação&amp;"_"&amp;Segmentação_Anúncio)</f>
        <v>#N/A</v>
      </c>
      <c r="BL107" s="35" t="str">
        <f>LOWER(Campanha_ou_InsertionOrder&amp;"_"&amp;LineItem_ou_Grupodeanúncio&amp;"_"&amp;Linha_criativa_2&amp;"_"&amp;Unique_ID)</f>
        <v>#N/A</v>
      </c>
      <c r="BM107" s="27"/>
      <c r="BN107" s="27"/>
    </row>
    <row r="108">
      <c r="A108" s="1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8" t="str">
        <f>LOWER(Campanha_ou_InsertionOrder&amp;"_"&amp;LineItem_ou_Grupodeanúncio&amp;"_"&amp;Linha_Criativa&amp;"_"&amp;Unique_ID)</f>
        <v>#N/A</v>
      </c>
      <c r="AN108" s="28" t="str">
        <f>LOWER(Campanha_ou_InsertionOrder&amp;"_"&amp;LineItem_ou_Grupodeanúncio&amp;"_"&amp;Linha_Criativa&amp;"_"&amp;Unique_ID)</f>
        <v>#N/A</v>
      </c>
      <c r="AO108" s="28" t="str">
        <f>LOWER("VW"&amp;"_"&amp;Model_Variant&amp;"_"&amp;Size&amp;"_"&amp;Linha_Criativa&amp;"_"&amp;IF(Servido_Por="portal",Veiculo,"adserver"))</f>
        <v>vw____adserver</v>
      </c>
      <c r="AP1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8" s="22" t="str">
        <f t="shared" si="1"/>
        <v/>
      </c>
      <c r="AS108" s="22" t="str">
        <f t="shared" si="2"/>
        <v/>
      </c>
      <c r="AT108" s="22" t="str">
        <f t="shared" si="3"/>
        <v>BR_IMC_DSY_LANCH_ND_NC_2020Q3AUG_NVS_Nivus-Launch-Consideracao</v>
      </c>
      <c r="AU108" s="22" t="str">
        <f t="shared" si="4"/>
        <v>#N/A</v>
      </c>
      <c r="AV108" s="22" t="s">
        <v>106</v>
      </c>
      <c r="AW1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8" s="22" t="str">
        <f t="shared" si="5"/>
        <v>BR_IMC_DSY_LANCH_ND_NC_2020Q3AUG_NVS_Nivus-Launch-Consideracao</v>
      </c>
      <c r="AY108" s="28" t="str">
        <f t="shared" si="6"/>
        <v>#N/A</v>
      </c>
      <c r="AZ108" s="22" t="s">
        <v>107</v>
      </c>
      <c r="BA108" s="22" t="s">
        <v>108</v>
      </c>
      <c r="BB108" s="31" t="s">
        <v>109</v>
      </c>
      <c r="BC108" s="31" t="s">
        <v>109</v>
      </c>
      <c r="BD108" s="32" t="str">
        <f t="shared" si="8"/>
        <v>nvl-nvs-imc-dsy-0820-10102</v>
      </c>
      <c r="BE108" s="33"/>
      <c r="BF108" s="33"/>
      <c r="BG108" s="39" t="str">
        <f>URL&amp;IF(ISNUMBER(FIND("?",URL)),"&amp;","?"&amp;("adlid="&amp;Unique_ID&amp;"&amp;adplt="&amp;Placement))</f>
        <v>#N/A</v>
      </c>
      <c r="BH108" s="1"/>
      <c r="BI108" s="1"/>
      <c r="BJ108" s="35" t="str">
        <f>LOWER("alp"&amp;"_"&amp;"vw"&amp;"_"&amp;Veiculo&amp;"_"&amp;C104&amp;"_"&amp;Objetivo)</f>
        <v>alp_vw___</v>
      </c>
      <c r="BK108" s="35" t="str">
        <f>LOWER(Buying_Metric&amp;"_"&amp;VLOOKUP(Buying_Type,Buy_type,2,FALSE)&amp;"_"&amp;Device&amp;"_"&amp;Size&amp;"_"&amp;Segmentação&amp;"_"&amp;Segmentação_Anúncio)</f>
        <v>#N/A</v>
      </c>
      <c r="BL108" s="35" t="str">
        <f>LOWER(Campanha_ou_InsertionOrder&amp;"_"&amp;LineItem_ou_Grupodeanúncio&amp;"_"&amp;Linha_criativa_2&amp;"_"&amp;Unique_ID)</f>
        <v>#N/A</v>
      </c>
      <c r="BM108" s="27"/>
      <c r="BN108" s="27"/>
    </row>
    <row r="109">
      <c r="A109" s="1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8" t="str">
        <f>LOWER(Campanha_ou_InsertionOrder&amp;"_"&amp;LineItem_ou_Grupodeanúncio&amp;"_"&amp;Linha_Criativa&amp;"_"&amp;Unique_ID)</f>
        <v>#N/A</v>
      </c>
      <c r="AN109" s="28" t="str">
        <f>LOWER(Campanha_ou_InsertionOrder&amp;"_"&amp;LineItem_ou_Grupodeanúncio&amp;"_"&amp;Linha_Criativa&amp;"_"&amp;Unique_ID)</f>
        <v>#N/A</v>
      </c>
      <c r="AO109" s="28" t="str">
        <f>LOWER("VW"&amp;"_"&amp;Model_Variant&amp;"_"&amp;Size&amp;"_"&amp;Linha_Criativa&amp;"_"&amp;IF(Servido_Por="portal",Veiculo,"adserver"))</f>
        <v>vw____adserver</v>
      </c>
      <c r="AP1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09" s="22" t="str">
        <f t="shared" si="1"/>
        <v/>
      </c>
      <c r="AS109" s="22" t="str">
        <f t="shared" si="2"/>
        <v/>
      </c>
      <c r="AT109" s="22" t="str">
        <f t="shared" si="3"/>
        <v>BR_IMC_DSY_LANCH_ND_NC_2020Q3AUG_NVS_Nivus-Launch-Consideracao</v>
      </c>
      <c r="AU109" s="22" t="str">
        <f t="shared" si="4"/>
        <v>#N/A</v>
      </c>
      <c r="AV109" s="22" t="s">
        <v>106</v>
      </c>
      <c r="AW1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09" s="22" t="str">
        <f t="shared" si="5"/>
        <v>BR_IMC_DSY_LANCH_ND_NC_2020Q3AUG_NVS_Nivus-Launch-Consideracao</v>
      </c>
      <c r="AY109" s="28" t="str">
        <f t="shared" si="6"/>
        <v>#N/A</v>
      </c>
      <c r="AZ109" s="22" t="s">
        <v>107</v>
      </c>
      <c r="BA109" s="22" t="s">
        <v>108</v>
      </c>
      <c r="BB109" s="31" t="s">
        <v>109</v>
      </c>
      <c r="BC109" s="31" t="s">
        <v>109</v>
      </c>
      <c r="BD109" s="32" t="str">
        <f t="shared" si="8"/>
        <v>nvl-nvs-imc-dsy-0820-10103</v>
      </c>
      <c r="BE109" s="33"/>
      <c r="BF109" s="33"/>
      <c r="BG109" s="39" t="str">
        <f>URL&amp;IF(ISNUMBER(FIND("?",URL)),"&amp;","?"&amp;("adlid="&amp;Unique_ID&amp;"&amp;adplt="&amp;Placement))</f>
        <v>#N/A</v>
      </c>
      <c r="BH109" s="1"/>
      <c r="BI109" s="1"/>
      <c r="BJ109" s="35" t="str">
        <f>LOWER("alp"&amp;"_"&amp;"vw"&amp;"_"&amp;Veiculo&amp;"_"&amp;C105&amp;"_"&amp;Objetivo)</f>
        <v>alp_vw___</v>
      </c>
      <c r="BK109" s="35" t="str">
        <f>LOWER(Buying_Metric&amp;"_"&amp;VLOOKUP(Buying_Type,Buy_type,2,FALSE)&amp;"_"&amp;Device&amp;"_"&amp;Size&amp;"_"&amp;Segmentação&amp;"_"&amp;Segmentação_Anúncio)</f>
        <v>#N/A</v>
      </c>
      <c r="BL109" s="35" t="str">
        <f>LOWER(Campanha_ou_InsertionOrder&amp;"_"&amp;LineItem_ou_Grupodeanúncio&amp;"_"&amp;Linha_criativa_2&amp;"_"&amp;Unique_ID)</f>
        <v>#N/A</v>
      </c>
      <c r="BM109" s="27"/>
      <c r="BN109" s="27"/>
    </row>
    <row r="110">
      <c r="A110" s="1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8" t="str">
        <f>LOWER(Campanha_ou_InsertionOrder&amp;"_"&amp;LineItem_ou_Grupodeanúncio&amp;"_"&amp;Linha_Criativa&amp;"_"&amp;Unique_ID)</f>
        <v>#N/A</v>
      </c>
      <c r="AN110" s="28" t="str">
        <f>LOWER(Campanha_ou_InsertionOrder&amp;"_"&amp;LineItem_ou_Grupodeanúncio&amp;"_"&amp;Linha_Criativa&amp;"_"&amp;Unique_ID)</f>
        <v>#N/A</v>
      </c>
      <c r="AO110" s="28" t="str">
        <f>LOWER("VW"&amp;"_"&amp;Model_Variant&amp;"_"&amp;Size&amp;"_"&amp;Linha_Criativa&amp;"_"&amp;IF(Servido_Por="portal",Veiculo,"adserver"))</f>
        <v>vw____adserver</v>
      </c>
      <c r="AP1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0" s="22" t="str">
        <f t="shared" si="1"/>
        <v/>
      </c>
      <c r="AS110" s="22" t="str">
        <f t="shared" si="2"/>
        <v/>
      </c>
      <c r="AT110" s="22" t="str">
        <f t="shared" si="3"/>
        <v>BR_IMC_DSY_LANCH_ND_NC_2020Q3AUG_NVS_Nivus-Launch-Consideracao</v>
      </c>
      <c r="AU110" s="22" t="str">
        <f t="shared" si="4"/>
        <v>#N/A</v>
      </c>
      <c r="AV110" s="22" t="s">
        <v>106</v>
      </c>
      <c r="AW1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0" s="22" t="str">
        <f t="shared" si="5"/>
        <v>BR_IMC_DSY_LANCH_ND_NC_2020Q3AUG_NVS_Nivus-Launch-Consideracao</v>
      </c>
      <c r="AY110" s="28" t="str">
        <f t="shared" si="6"/>
        <v>#N/A</v>
      </c>
      <c r="AZ110" s="22" t="s">
        <v>107</v>
      </c>
      <c r="BA110" s="22" t="s">
        <v>108</v>
      </c>
      <c r="BB110" s="31" t="s">
        <v>109</v>
      </c>
      <c r="BC110" s="31" t="s">
        <v>109</v>
      </c>
      <c r="BD110" s="32" t="str">
        <f t="shared" si="8"/>
        <v>nvl-nvs-imc-dsy-0820-10104</v>
      </c>
      <c r="BE110" s="33"/>
      <c r="BF110" s="33"/>
      <c r="BG110" s="39" t="str">
        <f>URL&amp;IF(ISNUMBER(FIND("?",URL)),"&amp;","?"&amp;("adlid="&amp;Unique_ID&amp;"&amp;adplt="&amp;Placement))</f>
        <v>#N/A</v>
      </c>
      <c r="BH110" s="1"/>
      <c r="BI110" s="1"/>
      <c r="BJ110" s="35" t="str">
        <f>LOWER("alp"&amp;"_"&amp;"vw"&amp;"_"&amp;Veiculo&amp;"_"&amp;C106&amp;"_"&amp;Objetivo)</f>
        <v>alp_vw___</v>
      </c>
      <c r="BK110" s="35" t="str">
        <f>LOWER(Buying_Metric&amp;"_"&amp;VLOOKUP(Buying_Type,Buy_type,2,FALSE)&amp;"_"&amp;Device&amp;"_"&amp;Size&amp;"_"&amp;Segmentação&amp;"_"&amp;Segmentação_Anúncio)</f>
        <v>#N/A</v>
      </c>
      <c r="BL110" s="35" t="str">
        <f>LOWER(Campanha_ou_InsertionOrder&amp;"_"&amp;LineItem_ou_Grupodeanúncio&amp;"_"&amp;Linha_criativa_2&amp;"_"&amp;Unique_ID)</f>
        <v>#N/A</v>
      </c>
      <c r="BM110" s="27"/>
      <c r="BN110" s="27"/>
    </row>
    <row r="111">
      <c r="A111" s="1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8" t="str">
        <f>LOWER(Campanha_ou_InsertionOrder&amp;"_"&amp;LineItem_ou_Grupodeanúncio&amp;"_"&amp;Linha_Criativa&amp;"_"&amp;Unique_ID)</f>
        <v>#N/A</v>
      </c>
      <c r="AN111" s="28" t="str">
        <f>LOWER(Campanha_ou_InsertionOrder&amp;"_"&amp;LineItem_ou_Grupodeanúncio&amp;"_"&amp;Linha_Criativa&amp;"_"&amp;Unique_ID)</f>
        <v>#N/A</v>
      </c>
      <c r="AO111" s="28" t="str">
        <f>LOWER("VW"&amp;"_"&amp;Model_Variant&amp;"_"&amp;Size&amp;"_"&amp;Linha_Criativa&amp;"_"&amp;IF(Servido_Por="portal",Veiculo,"adserver"))</f>
        <v>vw____adserver</v>
      </c>
      <c r="AP1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1" s="22" t="str">
        <f t="shared" si="1"/>
        <v/>
      </c>
      <c r="AS111" s="22" t="str">
        <f t="shared" si="2"/>
        <v/>
      </c>
      <c r="AT111" s="22" t="str">
        <f t="shared" si="3"/>
        <v>BR_IMC_DSY_LANCH_ND_NC_2020Q3AUG_NVS_Nivus-Launch-Consideracao</v>
      </c>
      <c r="AU111" s="22" t="str">
        <f t="shared" si="4"/>
        <v>#N/A</v>
      </c>
      <c r="AV111" s="22" t="s">
        <v>106</v>
      </c>
      <c r="AW1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1" s="22" t="str">
        <f t="shared" si="5"/>
        <v>BR_IMC_DSY_LANCH_ND_NC_2020Q3AUG_NVS_Nivus-Launch-Consideracao</v>
      </c>
      <c r="AY111" s="28" t="str">
        <f t="shared" si="6"/>
        <v>#N/A</v>
      </c>
      <c r="AZ111" s="22" t="s">
        <v>107</v>
      </c>
      <c r="BA111" s="22" t="s">
        <v>108</v>
      </c>
      <c r="BB111" s="31" t="s">
        <v>109</v>
      </c>
      <c r="BC111" s="31" t="s">
        <v>109</v>
      </c>
      <c r="BD111" s="32" t="str">
        <f t="shared" si="8"/>
        <v>nvl-nvs-imc-dsy-0820-10105</v>
      </c>
      <c r="BE111" s="33"/>
      <c r="BF111" s="33"/>
      <c r="BG111" s="39" t="str">
        <f>URL&amp;IF(ISNUMBER(FIND("?",URL)),"&amp;","?"&amp;("adlid="&amp;Unique_ID&amp;"&amp;adplt="&amp;Placement))</f>
        <v>#N/A</v>
      </c>
      <c r="BH111" s="1"/>
      <c r="BI111" s="1"/>
      <c r="BJ111" s="35" t="str">
        <f>LOWER("alp"&amp;"_"&amp;"vw"&amp;"_"&amp;Veiculo&amp;"_"&amp;C107&amp;"_"&amp;Objetivo)</f>
        <v>alp_vw___</v>
      </c>
      <c r="BK111" s="35" t="str">
        <f>LOWER(Buying_Metric&amp;"_"&amp;VLOOKUP(Buying_Type,Buy_type,2,FALSE)&amp;"_"&amp;Device&amp;"_"&amp;Size&amp;"_"&amp;Segmentação&amp;"_"&amp;Segmentação_Anúncio)</f>
        <v>#N/A</v>
      </c>
      <c r="BL111" s="35" t="str">
        <f>LOWER(Campanha_ou_InsertionOrder&amp;"_"&amp;LineItem_ou_Grupodeanúncio&amp;"_"&amp;Linha_criativa_2&amp;"_"&amp;Unique_ID)</f>
        <v>#N/A</v>
      </c>
      <c r="BM111" s="27"/>
      <c r="BN111" s="27"/>
    </row>
    <row r="112">
      <c r="A112" s="1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8" t="str">
        <f>LOWER(Campanha_ou_InsertionOrder&amp;"_"&amp;LineItem_ou_Grupodeanúncio&amp;"_"&amp;Linha_Criativa&amp;"_"&amp;Unique_ID)</f>
        <v>#N/A</v>
      </c>
      <c r="AN112" s="28" t="str">
        <f>LOWER(Campanha_ou_InsertionOrder&amp;"_"&amp;LineItem_ou_Grupodeanúncio&amp;"_"&amp;Linha_Criativa&amp;"_"&amp;Unique_ID)</f>
        <v>#N/A</v>
      </c>
      <c r="AO112" s="28" t="str">
        <f>LOWER("VW"&amp;"_"&amp;Model_Variant&amp;"_"&amp;Size&amp;"_"&amp;Linha_Criativa&amp;"_"&amp;IF(Servido_Por="portal",Veiculo,"adserver"))</f>
        <v>vw____adserver</v>
      </c>
      <c r="AP1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2" s="22" t="str">
        <f t="shared" si="1"/>
        <v/>
      </c>
      <c r="AS112" s="22" t="str">
        <f t="shared" si="2"/>
        <v/>
      </c>
      <c r="AT112" s="22" t="str">
        <f t="shared" si="3"/>
        <v>BR_IMC_DSY_LANCH_ND_NC_2020Q3AUG_NVS_Nivus-Launch-Consideracao</v>
      </c>
      <c r="AU112" s="22" t="str">
        <f t="shared" si="4"/>
        <v>#N/A</v>
      </c>
      <c r="AV112" s="22" t="s">
        <v>106</v>
      </c>
      <c r="AW1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2" s="22" t="str">
        <f t="shared" si="5"/>
        <v>BR_IMC_DSY_LANCH_ND_NC_2020Q3AUG_NVS_Nivus-Launch-Consideracao</v>
      </c>
      <c r="AY112" s="28" t="str">
        <f t="shared" si="6"/>
        <v>#N/A</v>
      </c>
      <c r="AZ112" s="22" t="s">
        <v>107</v>
      </c>
      <c r="BA112" s="22" t="s">
        <v>108</v>
      </c>
      <c r="BB112" s="31" t="s">
        <v>109</v>
      </c>
      <c r="BC112" s="31" t="s">
        <v>109</v>
      </c>
      <c r="BD112" s="32" t="str">
        <f t="shared" si="8"/>
        <v>nvl-nvs-imc-dsy-0820-10106</v>
      </c>
      <c r="BE112" s="33"/>
      <c r="BF112" s="33"/>
      <c r="BG112" s="39" t="str">
        <f>URL&amp;IF(ISNUMBER(FIND("?",URL)),"&amp;","?"&amp;("adlid="&amp;Unique_ID&amp;"&amp;adplt="&amp;Placement))</f>
        <v>#N/A</v>
      </c>
      <c r="BH112" s="1"/>
      <c r="BI112" s="1"/>
      <c r="BJ112" s="35" t="str">
        <f>LOWER("alp"&amp;"_"&amp;"vw"&amp;"_"&amp;Veiculo&amp;"_"&amp;C108&amp;"_"&amp;Objetivo)</f>
        <v>alp_vw___</v>
      </c>
      <c r="BK112" s="35" t="str">
        <f>LOWER(Buying_Metric&amp;"_"&amp;VLOOKUP(Buying_Type,Buy_type,2,FALSE)&amp;"_"&amp;Device&amp;"_"&amp;Size&amp;"_"&amp;Segmentação&amp;"_"&amp;Segmentação_Anúncio)</f>
        <v>#N/A</v>
      </c>
      <c r="BL112" s="35" t="str">
        <f>LOWER(Campanha_ou_InsertionOrder&amp;"_"&amp;LineItem_ou_Grupodeanúncio&amp;"_"&amp;Linha_criativa_2&amp;"_"&amp;Unique_ID)</f>
        <v>#N/A</v>
      </c>
      <c r="BM112" s="27"/>
      <c r="BN112" s="27"/>
    </row>
    <row r="113">
      <c r="A113" s="1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8" t="str">
        <f>LOWER(Campanha_ou_InsertionOrder&amp;"_"&amp;LineItem_ou_Grupodeanúncio&amp;"_"&amp;Linha_Criativa&amp;"_"&amp;Unique_ID)</f>
        <v>#N/A</v>
      </c>
      <c r="AN113" s="28" t="str">
        <f>LOWER(Campanha_ou_InsertionOrder&amp;"_"&amp;LineItem_ou_Grupodeanúncio&amp;"_"&amp;Linha_Criativa&amp;"_"&amp;Unique_ID)</f>
        <v>#N/A</v>
      </c>
      <c r="AO113" s="28" t="str">
        <f>LOWER("VW"&amp;"_"&amp;Model_Variant&amp;"_"&amp;Size&amp;"_"&amp;Linha_Criativa&amp;"_"&amp;IF(Servido_Por="portal",Veiculo,"adserver"))</f>
        <v>vw____adserver</v>
      </c>
      <c r="AP1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3" s="22" t="str">
        <f t="shared" si="1"/>
        <v/>
      </c>
      <c r="AS113" s="22" t="str">
        <f t="shared" si="2"/>
        <v/>
      </c>
      <c r="AT113" s="22" t="str">
        <f t="shared" si="3"/>
        <v>BR_IMC_DSY_LANCH_ND_NC_2020Q3AUG_NVS_Nivus-Launch-Consideracao</v>
      </c>
      <c r="AU113" s="22" t="str">
        <f t="shared" si="4"/>
        <v>#N/A</v>
      </c>
      <c r="AV113" s="22" t="s">
        <v>106</v>
      </c>
      <c r="AW1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3" s="22" t="str">
        <f t="shared" si="5"/>
        <v>BR_IMC_DSY_LANCH_ND_NC_2020Q3AUG_NVS_Nivus-Launch-Consideracao</v>
      </c>
      <c r="AY113" s="28" t="str">
        <f t="shared" si="6"/>
        <v>#N/A</v>
      </c>
      <c r="AZ113" s="22" t="s">
        <v>107</v>
      </c>
      <c r="BA113" s="22" t="s">
        <v>108</v>
      </c>
      <c r="BB113" s="31" t="s">
        <v>109</v>
      </c>
      <c r="BC113" s="31" t="s">
        <v>109</v>
      </c>
      <c r="BD113" s="32" t="str">
        <f t="shared" si="8"/>
        <v>nvl-nvs-imc-dsy-0820-10107</v>
      </c>
      <c r="BE113" s="33"/>
      <c r="BF113" s="33"/>
      <c r="BG113" s="39" t="str">
        <f>URL&amp;IF(ISNUMBER(FIND("?",URL)),"&amp;","?"&amp;("adlid="&amp;Unique_ID&amp;"&amp;adplt="&amp;Placement))</f>
        <v>#N/A</v>
      </c>
      <c r="BH113" s="1"/>
      <c r="BI113" s="1"/>
      <c r="BJ113" s="35" t="str">
        <f>LOWER("alp"&amp;"_"&amp;"vw"&amp;"_"&amp;Veiculo&amp;"_"&amp;C109&amp;"_"&amp;Objetivo)</f>
        <v>alp_vw___</v>
      </c>
      <c r="BK113" s="35" t="str">
        <f>LOWER(Buying_Metric&amp;"_"&amp;VLOOKUP(Buying_Type,Buy_type,2,FALSE)&amp;"_"&amp;Device&amp;"_"&amp;Size&amp;"_"&amp;Segmentação&amp;"_"&amp;Segmentação_Anúncio)</f>
        <v>#N/A</v>
      </c>
      <c r="BL113" s="35" t="str">
        <f>LOWER(Campanha_ou_InsertionOrder&amp;"_"&amp;LineItem_ou_Grupodeanúncio&amp;"_"&amp;Linha_criativa_2&amp;"_"&amp;Unique_ID)</f>
        <v>#N/A</v>
      </c>
      <c r="BM113" s="27"/>
      <c r="BN113" s="27"/>
    </row>
    <row r="114">
      <c r="A114" s="1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8" t="str">
        <f>LOWER(Campanha_ou_InsertionOrder&amp;"_"&amp;LineItem_ou_Grupodeanúncio&amp;"_"&amp;Linha_Criativa&amp;"_"&amp;Unique_ID)</f>
        <v>#N/A</v>
      </c>
      <c r="AN114" s="28" t="str">
        <f>LOWER(Campanha_ou_InsertionOrder&amp;"_"&amp;LineItem_ou_Grupodeanúncio&amp;"_"&amp;Linha_Criativa&amp;"_"&amp;Unique_ID)</f>
        <v>#N/A</v>
      </c>
      <c r="AO114" s="28" t="str">
        <f>LOWER("VW"&amp;"_"&amp;Model_Variant&amp;"_"&amp;Size&amp;"_"&amp;Linha_Criativa&amp;"_"&amp;IF(Servido_Por="portal",Veiculo,"adserver"))</f>
        <v>vw____adserver</v>
      </c>
      <c r="AP1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4" s="22" t="str">
        <f t="shared" si="1"/>
        <v/>
      </c>
      <c r="AS114" s="22" t="str">
        <f t="shared" si="2"/>
        <v/>
      </c>
      <c r="AT114" s="22" t="str">
        <f t="shared" si="3"/>
        <v>BR_IMC_DSY_LANCH_ND_NC_2020Q3AUG_NVS_Nivus-Launch-Consideracao</v>
      </c>
      <c r="AU114" s="22" t="str">
        <f t="shared" si="4"/>
        <v>#N/A</v>
      </c>
      <c r="AV114" s="22" t="s">
        <v>106</v>
      </c>
      <c r="AW1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4" s="22" t="str">
        <f t="shared" si="5"/>
        <v>BR_IMC_DSY_LANCH_ND_NC_2020Q3AUG_NVS_Nivus-Launch-Consideracao</v>
      </c>
      <c r="AY114" s="28" t="str">
        <f t="shared" si="6"/>
        <v>#N/A</v>
      </c>
      <c r="AZ114" s="22" t="s">
        <v>107</v>
      </c>
      <c r="BA114" s="22" t="s">
        <v>108</v>
      </c>
      <c r="BB114" s="31" t="s">
        <v>109</v>
      </c>
      <c r="BC114" s="31" t="s">
        <v>109</v>
      </c>
      <c r="BD114" s="32" t="str">
        <f t="shared" si="8"/>
        <v>nvl-nvs-imc-dsy-0820-10108</v>
      </c>
      <c r="BE114" s="33"/>
      <c r="BF114" s="33"/>
      <c r="BG114" s="39" t="str">
        <f>URL&amp;IF(ISNUMBER(FIND("?",URL)),"&amp;","?"&amp;("adlid="&amp;Unique_ID&amp;"&amp;adplt="&amp;Placement))</f>
        <v>#N/A</v>
      </c>
      <c r="BH114" s="1"/>
      <c r="BI114" s="1"/>
      <c r="BJ114" s="35" t="str">
        <f>LOWER("alp"&amp;"_"&amp;"vw"&amp;"_"&amp;Veiculo&amp;"_"&amp;C110&amp;"_"&amp;Objetivo)</f>
        <v>alp_vw___</v>
      </c>
      <c r="BK114" s="35" t="str">
        <f>LOWER(Buying_Metric&amp;"_"&amp;VLOOKUP(Buying_Type,Buy_type,2,FALSE)&amp;"_"&amp;Device&amp;"_"&amp;Size&amp;"_"&amp;Segmentação&amp;"_"&amp;Segmentação_Anúncio)</f>
        <v>#N/A</v>
      </c>
      <c r="BL114" s="35" t="str">
        <f>LOWER(Campanha_ou_InsertionOrder&amp;"_"&amp;LineItem_ou_Grupodeanúncio&amp;"_"&amp;Linha_criativa_2&amp;"_"&amp;Unique_ID)</f>
        <v>#N/A</v>
      </c>
      <c r="BM114" s="27"/>
      <c r="BN114" s="27"/>
    </row>
    <row r="115">
      <c r="A115" s="1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8" t="str">
        <f>LOWER(Campanha_ou_InsertionOrder&amp;"_"&amp;LineItem_ou_Grupodeanúncio&amp;"_"&amp;Linha_Criativa&amp;"_"&amp;Unique_ID)</f>
        <v>#N/A</v>
      </c>
      <c r="AN115" s="28" t="str">
        <f>LOWER(Campanha_ou_InsertionOrder&amp;"_"&amp;LineItem_ou_Grupodeanúncio&amp;"_"&amp;Linha_Criativa&amp;"_"&amp;Unique_ID)</f>
        <v>#N/A</v>
      </c>
      <c r="AO115" s="28" t="str">
        <f>LOWER("VW"&amp;"_"&amp;Model_Variant&amp;"_"&amp;Size&amp;"_"&amp;Linha_Criativa&amp;"_"&amp;IF(Servido_Por="portal",Veiculo,"adserver"))</f>
        <v>vw____adserver</v>
      </c>
      <c r="AP1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5" s="22" t="str">
        <f t="shared" si="1"/>
        <v/>
      </c>
      <c r="AS115" s="22" t="str">
        <f t="shared" si="2"/>
        <v/>
      </c>
      <c r="AT115" s="22" t="str">
        <f t="shared" si="3"/>
        <v>BR_IMC_DSY_LANCH_ND_NC_2020Q3AUG_NVS_Nivus-Launch-Consideracao</v>
      </c>
      <c r="AU115" s="22" t="str">
        <f t="shared" si="4"/>
        <v>#N/A</v>
      </c>
      <c r="AV115" s="22" t="s">
        <v>106</v>
      </c>
      <c r="AW1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5" s="22" t="str">
        <f t="shared" si="5"/>
        <v>BR_IMC_DSY_LANCH_ND_NC_2020Q3AUG_NVS_Nivus-Launch-Consideracao</v>
      </c>
      <c r="AY115" s="28" t="str">
        <f t="shared" si="6"/>
        <v>#N/A</v>
      </c>
      <c r="AZ115" s="22" t="s">
        <v>107</v>
      </c>
      <c r="BA115" s="22" t="s">
        <v>108</v>
      </c>
      <c r="BB115" s="31" t="s">
        <v>109</v>
      </c>
      <c r="BC115" s="31" t="s">
        <v>109</v>
      </c>
      <c r="BD115" s="32" t="str">
        <f t="shared" si="8"/>
        <v>nvl-nvs-imc-dsy-0820-10109</v>
      </c>
      <c r="BE115" s="33"/>
      <c r="BF115" s="33"/>
      <c r="BG115" s="39" t="str">
        <f>URL&amp;IF(ISNUMBER(FIND("?",URL)),"&amp;","?"&amp;("adlid="&amp;Unique_ID&amp;"&amp;adplt="&amp;Placement))</f>
        <v>#N/A</v>
      </c>
      <c r="BH115" s="1"/>
      <c r="BI115" s="1"/>
      <c r="BJ115" s="35" t="str">
        <f>LOWER("alp"&amp;"_"&amp;"vw"&amp;"_"&amp;Veiculo&amp;"_"&amp;C111&amp;"_"&amp;Objetivo)</f>
        <v>alp_vw___</v>
      </c>
      <c r="BK115" s="35" t="str">
        <f>LOWER(Buying_Metric&amp;"_"&amp;VLOOKUP(Buying_Type,Buy_type,2,FALSE)&amp;"_"&amp;Device&amp;"_"&amp;Size&amp;"_"&amp;Segmentação&amp;"_"&amp;Segmentação_Anúncio)</f>
        <v>#N/A</v>
      </c>
      <c r="BL115" s="35" t="str">
        <f>LOWER(Campanha_ou_InsertionOrder&amp;"_"&amp;LineItem_ou_Grupodeanúncio&amp;"_"&amp;Linha_criativa_2&amp;"_"&amp;Unique_ID)</f>
        <v>#N/A</v>
      </c>
      <c r="BM115" s="27"/>
      <c r="BN115" s="27"/>
    </row>
    <row r="116">
      <c r="A116" s="1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8" t="str">
        <f>LOWER(Campanha_ou_InsertionOrder&amp;"_"&amp;LineItem_ou_Grupodeanúncio&amp;"_"&amp;Linha_Criativa&amp;"_"&amp;Unique_ID)</f>
        <v>#N/A</v>
      </c>
      <c r="AN116" s="28" t="str">
        <f>LOWER(Campanha_ou_InsertionOrder&amp;"_"&amp;LineItem_ou_Grupodeanúncio&amp;"_"&amp;Linha_Criativa&amp;"_"&amp;Unique_ID)</f>
        <v>#N/A</v>
      </c>
      <c r="AO116" s="28" t="str">
        <f>LOWER("VW"&amp;"_"&amp;Model_Variant&amp;"_"&amp;Size&amp;"_"&amp;Linha_Criativa&amp;"_"&amp;IF(Servido_Por="portal",Veiculo,"adserver"))</f>
        <v>vw____adserver</v>
      </c>
      <c r="AP1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6" s="22" t="str">
        <f t="shared" si="1"/>
        <v/>
      </c>
      <c r="AS116" s="22" t="str">
        <f t="shared" si="2"/>
        <v/>
      </c>
      <c r="AT116" s="22" t="str">
        <f t="shared" si="3"/>
        <v>BR_IMC_DSY_LANCH_ND_NC_2020Q3AUG_NVS_Nivus-Launch-Consideracao</v>
      </c>
      <c r="AU116" s="22" t="str">
        <f t="shared" si="4"/>
        <v>#N/A</v>
      </c>
      <c r="AV116" s="22" t="s">
        <v>106</v>
      </c>
      <c r="AW1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6" s="22" t="str">
        <f t="shared" si="5"/>
        <v>BR_IMC_DSY_LANCH_ND_NC_2020Q3AUG_NVS_Nivus-Launch-Consideracao</v>
      </c>
      <c r="AY116" s="28" t="str">
        <f t="shared" si="6"/>
        <v>#N/A</v>
      </c>
      <c r="AZ116" s="22" t="s">
        <v>107</v>
      </c>
      <c r="BA116" s="22" t="s">
        <v>108</v>
      </c>
      <c r="BB116" s="31" t="s">
        <v>109</v>
      </c>
      <c r="BC116" s="31" t="s">
        <v>109</v>
      </c>
      <c r="BD116" s="32" t="str">
        <f t="shared" si="8"/>
        <v>nvl-nvs-imc-dsy-0820-10110</v>
      </c>
      <c r="BE116" s="33"/>
      <c r="BF116" s="33"/>
      <c r="BG116" s="39" t="str">
        <f>URL&amp;IF(ISNUMBER(FIND("?",URL)),"&amp;","?"&amp;("adlid="&amp;Unique_ID&amp;"&amp;adplt="&amp;Placement))</f>
        <v>#N/A</v>
      </c>
      <c r="BH116" s="1"/>
      <c r="BI116" s="1"/>
      <c r="BJ116" s="35" t="str">
        <f>LOWER("alp"&amp;"_"&amp;"vw"&amp;"_"&amp;Veiculo&amp;"_"&amp;C112&amp;"_"&amp;Objetivo)</f>
        <v>alp_vw___</v>
      </c>
      <c r="BK116" s="35" t="str">
        <f>LOWER(Buying_Metric&amp;"_"&amp;VLOOKUP(Buying_Type,Buy_type,2,FALSE)&amp;"_"&amp;Device&amp;"_"&amp;Size&amp;"_"&amp;Segmentação&amp;"_"&amp;Segmentação_Anúncio)</f>
        <v>#N/A</v>
      </c>
      <c r="BL116" s="35" t="str">
        <f>LOWER(Campanha_ou_InsertionOrder&amp;"_"&amp;LineItem_ou_Grupodeanúncio&amp;"_"&amp;Linha_criativa_2&amp;"_"&amp;Unique_ID)</f>
        <v>#N/A</v>
      </c>
      <c r="BM116" s="27"/>
      <c r="BN116" s="27"/>
    </row>
    <row r="117">
      <c r="A117" s="1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8" t="str">
        <f>LOWER(Campanha_ou_InsertionOrder&amp;"_"&amp;LineItem_ou_Grupodeanúncio&amp;"_"&amp;Linha_Criativa&amp;"_"&amp;Unique_ID)</f>
        <v>#N/A</v>
      </c>
      <c r="AN117" s="28" t="str">
        <f>LOWER(Campanha_ou_InsertionOrder&amp;"_"&amp;LineItem_ou_Grupodeanúncio&amp;"_"&amp;Linha_Criativa&amp;"_"&amp;Unique_ID)</f>
        <v>#N/A</v>
      </c>
      <c r="AO117" s="28" t="str">
        <f>LOWER("VW"&amp;"_"&amp;Model_Variant&amp;"_"&amp;Size&amp;"_"&amp;Linha_Criativa&amp;"_"&amp;IF(Servido_Por="portal",Veiculo,"adserver"))</f>
        <v>vw____adserver</v>
      </c>
      <c r="AP1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7" s="22" t="str">
        <f t="shared" si="1"/>
        <v/>
      </c>
      <c r="AS117" s="22" t="str">
        <f t="shared" si="2"/>
        <v/>
      </c>
      <c r="AT117" s="22" t="str">
        <f t="shared" si="3"/>
        <v>BR_IMC_DSY_LANCH_ND_NC_2020Q3AUG_NVS_Nivus-Launch-Consideracao</v>
      </c>
      <c r="AU117" s="22" t="str">
        <f t="shared" si="4"/>
        <v>#N/A</v>
      </c>
      <c r="AV117" s="22" t="s">
        <v>106</v>
      </c>
      <c r="AW1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7" s="22" t="str">
        <f t="shared" si="5"/>
        <v>BR_IMC_DSY_LANCH_ND_NC_2020Q3AUG_NVS_Nivus-Launch-Consideracao</v>
      </c>
      <c r="AY117" s="28" t="str">
        <f t="shared" si="6"/>
        <v>#N/A</v>
      </c>
      <c r="AZ117" s="22" t="s">
        <v>107</v>
      </c>
      <c r="BA117" s="22" t="s">
        <v>108</v>
      </c>
      <c r="BB117" s="31" t="s">
        <v>109</v>
      </c>
      <c r="BC117" s="31" t="s">
        <v>109</v>
      </c>
      <c r="BD117" s="32" t="str">
        <f t="shared" si="8"/>
        <v>nvl-nvs-imc-dsy-0820-10111</v>
      </c>
      <c r="BE117" s="33"/>
      <c r="BF117" s="33"/>
      <c r="BG117" s="39" t="str">
        <f>URL&amp;IF(ISNUMBER(FIND("?",URL)),"&amp;","?"&amp;("adlid="&amp;Unique_ID&amp;"&amp;adplt="&amp;Placement))</f>
        <v>#N/A</v>
      </c>
      <c r="BH117" s="1"/>
      <c r="BI117" s="1"/>
      <c r="BJ117" s="35" t="str">
        <f>LOWER("alp"&amp;"_"&amp;"vw"&amp;"_"&amp;Veiculo&amp;"_"&amp;C113&amp;"_"&amp;Objetivo)</f>
        <v>alp_vw___</v>
      </c>
      <c r="BK117" s="35" t="str">
        <f>LOWER(Buying_Metric&amp;"_"&amp;VLOOKUP(Buying_Type,Buy_type,2,FALSE)&amp;"_"&amp;Device&amp;"_"&amp;Size&amp;"_"&amp;Segmentação&amp;"_"&amp;Segmentação_Anúncio)</f>
        <v>#N/A</v>
      </c>
      <c r="BL117" s="35" t="str">
        <f>LOWER(Campanha_ou_InsertionOrder&amp;"_"&amp;LineItem_ou_Grupodeanúncio&amp;"_"&amp;Linha_criativa_2&amp;"_"&amp;Unique_ID)</f>
        <v>#N/A</v>
      </c>
      <c r="BM117" s="27"/>
      <c r="BN117" s="27"/>
    </row>
    <row r="118">
      <c r="A118" s="1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8" t="str">
        <f>LOWER(Campanha_ou_InsertionOrder&amp;"_"&amp;LineItem_ou_Grupodeanúncio&amp;"_"&amp;Linha_Criativa&amp;"_"&amp;Unique_ID)</f>
        <v>#N/A</v>
      </c>
      <c r="AN118" s="28" t="str">
        <f>LOWER(Campanha_ou_InsertionOrder&amp;"_"&amp;LineItem_ou_Grupodeanúncio&amp;"_"&amp;Linha_Criativa&amp;"_"&amp;Unique_ID)</f>
        <v>#N/A</v>
      </c>
      <c r="AO118" s="28" t="str">
        <f>LOWER("VW"&amp;"_"&amp;Model_Variant&amp;"_"&amp;Size&amp;"_"&amp;Linha_Criativa&amp;"_"&amp;IF(Servido_Por="portal",Veiculo,"adserver"))</f>
        <v>vw____adserver</v>
      </c>
      <c r="AP1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8" s="22" t="str">
        <f t="shared" si="1"/>
        <v/>
      </c>
      <c r="AS118" s="22" t="str">
        <f t="shared" si="2"/>
        <v/>
      </c>
      <c r="AT118" s="22" t="str">
        <f t="shared" si="3"/>
        <v>BR_IMC_DSY_LANCH_ND_NC_2020Q3AUG_NVS_Nivus-Launch-Consideracao</v>
      </c>
      <c r="AU118" s="22" t="str">
        <f t="shared" si="4"/>
        <v>#N/A</v>
      </c>
      <c r="AV118" s="22" t="s">
        <v>106</v>
      </c>
      <c r="AW1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8" s="22" t="str">
        <f t="shared" si="5"/>
        <v>BR_IMC_DSY_LANCH_ND_NC_2020Q3AUG_NVS_Nivus-Launch-Consideracao</v>
      </c>
      <c r="AY118" s="28" t="str">
        <f t="shared" si="6"/>
        <v>#N/A</v>
      </c>
      <c r="AZ118" s="22" t="s">
        <v>107</v>
      </c>
      <c r="BA118" s="22" t="s">
        <v>108</v>
      </c>
      <c r="BB118" s="31" t="s">
        <v>109</v>
      </c>
      <c r="BC118" s="31" t="s">
        <v>109</v>
      </c>
      <c r="BD118" s="32" t="str">
        <f t="shared" si="8"/>
        <v>nvl-nvs-imc-dsy-0820-10112</v>
      </c>
      <c r="BE118" s="33"/>
      <c r="BF118" s="33"/>
      <c r="BG118" s="39" t="str">
        <f>URL&amp;IF(ISNUMBER(FIND("?",URL)),"&amp;","?"&amp;("adlid="&amp;Unique_ID&amp;"&amp;adplt="&amp;Placement))</f>
        <v>#N/A</v>
      </c>
      <c r="BH118" s="1"/>
      <c r="BI118" s="1"/>
      <c r="BJ118" s="35" t="str">
        <f>LOWER("alp"&amp;"_"&amp;"vw"&amp;"_"&amp;Veiculo&amp;"_"&amp;C114&amp;"_"&amp;Objetivo)</f>
        <v>alp_vw___</v>
      </c>
      <c r="BK118" s="35" t="str">
        <f>LOWER(Buying_Metric&amp;"_"&amp;VLOOKUP(Buying_Type,Buy_type,2,FALSE)&amp;"_"&amp;Device&amp;"_"&amp;Size&amp;"_"&amp;Segmentação&amp;"_"&amp;Segmentação_Anúncio)</f>
        <v>#N/A</v>
      </c>
      <c r="BL118" s="35" t="str">
        <f>LOWER(Campanha_ou_InsertionOrder&amp;"_"&amp;LineItem_ou_Grupodeanúncio&amp;"_"&amp;Linha_criativa_2&amp;"_"&amp;Unique_ID)</f>
        <v>#N/A</v>
      </c>
      <c r="BM118" s="27"/>
      <c r="BN118" s="27"/>
    </row>
    <row r="119">
      <c r="A119" s="1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8" t="str">
        <f>LOWER(Campanha_ou_InsertionOrder&amp;"_"&amp;LineItem_ou_Grupodeanúncio&amp;"_"&amp;Linha_Criativa&amp;"_"&amp;Unique_ID)</f>
        <v>#N/A</v>
      </c>
      <c r="AN119" s="28" t="str">
        <f>LOWER(Campanha_ou_InsertionOrder&amp;"_"&amp;LineItem_ou_Grupodeanúncio&amp;"_"&amp;Linha_Criativa&amp;"_"&amp;Unique_ID)</f>
        <v>#N/A</v>
      </c>
      <c r="AO119" s="28" t="str">
        <f>LOWER("VW"&amp;"_"&amp;Model_Variant&amp;"_"&amp;Size&amp;"_"&amp;Linha_Criativa&amp;"_"&amp;IF(Servido_Por="portal",Veiculo,"adserver"))</f>
        <v>vw____adserver</v>
      </c>
      <c r="AP1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19" s="22" t="str">
        <f t="shared" si="1"/>
        <v/>
      </c>
      <c r="AS119" s="22" t="str">
        <f t="shared" si="2"/>
        <v/>
      </c>
      <c r="AT119" s="22" t="str">
        <f t="shared" si="3"/>
        <v>BR_IMC_DSY_LANCH_ND_NC_2020Q3AUG_NVS_Nivus-Launch-Consideracao</v>
      </c>
      <c r="AU119" s="22" t="str">
        <f t="shared" si="4"/>
        <v>#N/A</v>
      </c>
      <c r="AV119" s="22" t="s">
        <v>106</v>
      </c>
      <c r="AW1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19" s="22" t="str">
        <f t="shared" si="5"/>
        <v>BR_IMC_DSY_LANCH_ND_NC_2020Q3AUG_NVS_Nivus-Launch-Consideracao</v>
      </c>
      <c r="AY119" s="28" t="str">
        <f t="shared" si="6"/>
        <v>#N/A</v>
      </c>
      <c r="AZ119" s="22" t="s">
        <v>107</v>
      </c>
      <c r="BA119" s="22" t="s">
        <v>108</v>
      </c>
      <c r="BB119" s="31" t="s">
        <v>109</v>
      </c>
      <c r="BC119" s="31" t="s">
        <v>109</v>
      </c>
      <c r="BD119" s="32" t="str">
        <f t="shared" si="8"/>
        <v>nvl-nvs-imc-dsy-0820-10113</v>
      </c>
      <c r="BE119" s="33"/>
      <c r="BF119" s="33"/>
      <c r="BG119" s="39" t="str">
        <f>URL&amp;IF(ISNUMBER(FIND("?",URL)),"&amp;","?"&amp;("adlid="&amp;Unique_ID&amp;"&amp;adplt="&amp;Placement))</f>
        <v>#N/A</v>
      </c>
      <c r="BH119" s="1"/>
      <c r="BI119" s="1"/>
      <c r="BJ119" s="35" t="str">
        <f>LOWER("alp"&amp;"_"&amp;"vw"&amp;"_"&amp;Veiculo&amp;"_"&amp;C115&amp;"_"&amp;Objetivo)</f>
        <v>alp_vw___</v>
      </c>
      <c r="BK119" s="35" t="str">
        <f>LOWER(Buying_Metric&amp;"_"&amp;VLOOKUP(Buying_Type,Buy_type,2,FALSE)&amp;"_"&amp;Device&amp;"_"&amp;Size&amp;"_"&amp;Segmentação&amp;"_"&amp;Segmentação_Anúncio)</f>
        <v>#N/A</v>
      </c>
      <c r="BL119" s="35" t="str">
        <f>LOWER(Campanha_ou_InsertionOrder&amp;"_"&amp;LineItem_ou_Grupodeanúncio&amp;"_"&amp;Linha_criativa_2&amp;"_"&amp;Unique_ID)</f>
        <v>#N/A</v>
      </c>
      <c r="BM119" s="27"/>
      <c r="BN119" s="27"/>
    </row>
    <row r="120">
      <c r="A120" s="1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8" t="str">
        <f>LOWER(Campanha_ou_InsertionOrder&amp;"_"&amp;LineItem_ou_Grupodeanúncio&amp;"_"&amp;Linha_Criativa&amp;"_"&amp;Unique_ID)</f>
        <v>#N/A</v>
      </c>
      <c r="AN120" s="28" t="str">
        <f>LOWER(Campanha_ou_InsertionOrder&amp;"_"&amp;LineItem_ou_Grupodeanúncio&amp;"_"&amp;Linha_Criativa&amp;"_"&amp;Unique_ID)</f>
        <v>#N/A</v>
      </c>
      <c r="AO120" s="28" t="str">
        <f>LOWER("VW"&amp;"_"&amp;Model_Variant&amp;"_"&amp;Size&amp;"_"&amp;Linha_Criativa&amp;"_"&amp;IF(Servido_Por="portal",Veiculo,"adserver"))</f>
        <v>vw____adserver</v>
      </c>
      <c r="AP1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0" s="22" t="str">
        <f t="shared" si="1"/>
        <v/>
      </c>
      <c r="AS120" s="22" t="str">
        <f t="shared" si="2"/>
        <v/>
      </c>
      <c r="AT120" s="22" t="str">
        <f t="shared" si="3"/>
        <v>BR_IMC_DSY_LANCH_ND_NC_2020Q3AUG_NVS_Nivus-Launch-Consideracao</v>
      </c>
      <c r="AU120" s="22" t="str">
        <f t="shared" si="4"/>
        <v>#N/A</v>
      </c>
      <c r="AV120" s="22" t="s">
        <v>106</v>
      </c>
      <c r="AW1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0" s="22" t="str">
        <f t="shared" si="5"/>
        <v>BR_IMC_DSY_LANCH_ND_NC_2020Q3AUG_NVS_Nivus-Launch-Consideracao</v>
      </c>
      <c r="AY120" s="28" t="str">
        <f t="shared" si="6"/>
        <v>#N/A</v>
      </c>
      <c r="AZ120" s="22" t="s">
        <v>107</v>
      </c>
      <c r="BA120" s="22" t="s">
        <v>108</v>
      </c>
      <c r="BB120" s="31" t="s">
        <v>109</v>
      </c>
      <c r="BC120" s="31" t="s">
        <v>109</v>
      </c>
      <c r="BD120" s="32" t="str">
        <f t="shared" si="8"/>
        <v>nvl-nvs-imc-dsy-0820-10114</v>
      </c>
      <c r="BE120" s="33"/>
      <c r="BF120" s="33"/>
      <c r="BG120" s="39" t="str">
        <f>URL&amp;IF(ISNUMBER(FIND("?",URL)),"&amp;","?"&amp;("adlid="&amp;Unique_ID&amp;"&amp;adplt="&amp;Placement))</f>
        <v>#N/A</v>
      </c>
      <c r="BH120" s="1"/>
      <c r="BI120" s="1"/>
      <c r="BJ120" s="35" t="str">
        <f>LOWER("alp"&amp;"_"&amp;"vw"&amp;"_"&amp;Veiculo&amp;"_"&amp;C116&amp;"_"&amp;Objetivo)</f>
        <v>alp_vw___</v>
      </c>
      <c r="BK120" s="35" t="str">
        <f>LOWER(Buying_Metric&amp;"_"&amp;VLOOKUP(Buying_Type,Buy_type,2,FALSE)&amp;"_"&amp;Device&amp;"_"&amp;Size&amp;"_"&amp;Segmentação&amp;"_"&amp;Segmentação_Anúncio)</f>
        <v>#N/A</v>
      </c>
      <c r="BL120" s="35" t="str">
        <f>LOWER(Campanha_ou_InsertionOrder&amp;"_"&amp;LineItem_ou_Grupodeanúncio&amp;"_"&amp;Linha_criativa_2&amp;"_"&amp;Unique_ID)</f>
        <v>#N/A</v>
      </c>
      <c r="BM120" s="27"/>
      <c r="BN120" s="27"/>
    </row>
    <row r="121">
      <c r="A121" s="1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8" t="str">
        <f>LOWER(Campanha_ou_InsertionOrder&amp;"_"&amp;LineItem_ou_Grupodeanúncio&amp;"_"&amp;Linha_Criativa&amp;"_"&amp;Unique_ID)</f>
        <v>#N/A</v>
      </c>
      <c r="AN121" s="28" t="str">
        <f>LOWER(Campanha_ou_InsertionOrder&amp;"_"&amp;LineItem_ou_Grupodeanúncio&amp;"_"&amp;Linha_Criativa&amp;"_"&amp;Unique_ID)</f>
        <v>#N/A</v>
      </c>
      <c r="AO121" s="28" t="str">
        <f>LOWER("VW"&amp;"_"&amp;Model_Variant&amp;"_"&amp;Size&amp;"_"&amp;Linha_Criativa&amp;"_"&amp;IF(Servido_Por="portal",Veiculo,"adserver"))</f>
        <v>vw____adserver</v>
      </c>
      <c r="AP1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1" s="22" t="str">
        <f t="shared" si="1"/>
        <v/>
      </c>
      <c r="AS121" s="22" t="str">
        <f t="shared" si="2"/>
        <v/>
      </c>
      <c r="AT121" s="22" t="str">
        <f t="shared" si="3"/>
        <v>BR_IMC_DSY_LANCH_ND_NC_2020Q3AUG_NVS_Nivus-Launch-Consideracao</v>
      </c>
      <c r="AU121" s="22" t="str">
        <f t="shared" si="4"/>
        <v>#N/A</v>
      </c>
      <c r="AV121" s="22" t="s">
        <v>106</v>
      </c>
      <c r="AW1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1" s="22" t="str">
        <f t="shared" si="5"/>
        <v>BR_IMC_DSY_LANCH_ND_NC_2020Q3AUG_NVS_Nivus-Launch-Consideracao</v>
      </c>
      <c r="AY121" s="28" t="str">
        <f t="shared" si="6"/>
        <v>#N/A</v>
      </c>
      <c r="AZ121" s="22" t="s">
        <v>107</v>
      </c>
      <c r="BA121" s="22" t="s">
        <v>108</v>
      </c>
      <c r="BB121" s="31" t="s">
        <v>109</v>
      </c>
      <c r="BC121" s="31" t="s">
        <v>109</v>
      </c>
      <c r="BD121" s="32" t="str">
        <f t="shared" si="8"/>
        <v>nvl-nvs-imc-dsy-0820-10115</v>
      </c>
      <c r="BE121" s="33"/>
      <c r="BF121" s="33"/>
      <c r="BG121" s="39" t="str">
        <f>URL&amp;IF(ISNUMBER(FIND("?",URL)),"&amp;","?"&amp;("adlid="&amp;Unique_ID&amp;"&amp;adplt="&amp;Placement))</f>
        <v>#N/A</v>
      </c>
      <c r="BH121" s="1"/>
      <c r="BI121" s="1"/>
      <c r="BJ121" s="35" t="str">
        <f>LOWER("alp"&amp;"_"&amp;"vw"&amp;"_"&amp;Veiculo&amp;"_"&amp;C117&amp;"_"&amp;Objetivo)</f>
        <v>alp_vw___</v>
      </c>
      <c r="BK121" s="35" t="str">
        <f>LOWER(Buying_Metric&amp;"_"&amp;VLOOKUP(Buying_Type,Buy_type,2,FALSE)&amp;"_"&amp;Device&amp;"_"&amp;Size&amp;"_"&amp;Segmentação&amp;"_"&amp;Segmentação_Anúncio)</f>
        <v>#N/A</v>
      </c>
      <c r="BL121" s="35" t="str">
        <f>LOWER(Campanha_ou_InsertionOrder&amp;"_"&amp;LineItem_ou_Grupodeanúncio&amp;"_"&amp;Linha_criativa_2&amp;"_"&amp;Unique_ID)</f>
        <v>#N/A</v>
      </c>
      <c r="BM121" s="27"/>
      <c r="BN121" s="27"/>
    </row>
    <row r="122">
      <c r="A122" s="1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8" t="str">
        <f>LOWER(Campanha_ou_InsertionOrder&amp;"_"&amp;LineItem_ou_Grupodeanúncio&amp;"_"&amp;Linha_Criativa&amp;"_"&amp;Unique_ID)</f>
        <v>#N/A</v>
      </c>
      <c r="AN122" s="28" t="str">
        <f>LOWER(Campanha_ou_InsertionOrder&amp;"_"&amp;LineItem_ou_Grupodeanúncio&amp;"_"&amp;Linha_Criativa&amp;"_"&amp;Unique_ID)</f>
        <v>#N/A</v>
      </c>
      <c r="AO122" s="28" t="str">
        <f>LOWER("VW"&amp;"_"&amp;Model_Variant&amp;"_"&amp;Size&amp;"_"&amp;Linha_Criativa&amp;"_"&amp;IF(Servido_Por="portal",Veiculo,"adserver"))</f>
        <v>vw____adserver</v>
      </c>
      <c r="AP1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2" s="22" t="str">
        <f t="shared" si="1"/>
        <v/>
      </c>
      <c r="AS122" s="22" t="str">
        <f t="shared" si="2"/>
        <v/>
      </c>
      <c r="AT122" s="22" t="str">
        <f t="shared" si="3"/>
        <v>BR_IMC_DSY_LANCH_ND_NC_2020Q3AUG_NVS_Nivus-Launch-Consideracao</v>
      </c>
      <c r="AU122" s="22" t="str">
        <f t="shared" si="4"/>
        <v>#N/A</v>
      </c>
      <c r="AV122" s="22" t="s">
        <v>106</v>
      </c>
      <c r="AW1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2" s="22" t="str">
        <f t="shared" si="5"/>
        <v>BR_IMC_DSY_LANCH_ND_NC_2020Q3AUG_NVS_Nivus-Launch-Consideracao</v>
      </c>
      <c r="AY122" s="28" t="str">
        <f t="shared" si="6"/>
        <v>#N/A</v>
      </c>
      <c r="AZ122" s="22" t="s">
        <v>107</v>
      </c>
      <c r="BA122" s="22" t="s">
        <v>108</v>
      </c>
      <c r="BB122" s="31" t="s">
        <v>109</v>
      </c>
      <c r="BC122" s="31" t="s">
        <v>109</v>
      </c>
      <c r="BD122" s="32" t="str">
        <f t="shared" si="8"/>
        <v>nvl-nvs-imc-dsy-0820-10116</v>
      </c>
      <c r="BE122" s="33"/>
      <c r="BF122" s="33"/>
      <c r="BG122" s="39" t="str">
        <f>URL&amp;IF(ISNUMBER(FIND("?",URL)),"&amp;","?"&amp;("adlid="&amp;Unique_ID&amp;"&amp;adplt="&amp;Placement))</f>
        <v>#N/A</v>
      </c>
      <c r="BH122" s="1"/>
      <c r="BI122" s="1"/>
      <c r="BJ122" s="35" t="str">
        <f>LOWER("alp"&amp;"_"&amp;"vw"&amp;"_"&amp;Veiculo&amp;"_"&amp;C118&amp;"_"&amp;Objetivo)</f>
        <v>alp_vw___</v>
      </c>
      <c r="BK122" s="35" t="str">
        <f>LOWER(Buying_Metric&amp;"_"&amp;VLOOKUP(Buying_Type,Buy_type,2,FALSE)&amp;"_"&amp;Device&amp;"_"&amp;Size&amp;"_"&amp;Segmentação&amp;"_"&amp;Segmentação_Anúncio)</f>
        <v>#N/A</v>
      </c>
      <c r="BL122" s="35" t="str">
        <f>LOWER(Campanha_ou_InsertionOrder&amp;"_"&amp;LineItem_ou_Grupodeanúncio&amp;"_"&amp;Linha_criativa_2&amp;"_"&amp;Unique_ID)</f>
        <v>#N/A</v>
      </c>
      <c r="BM122" s="27"/>
      <c r="BN122" s="27"/>
    </row>
    <row r="123">
      <c r="A123" s="1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8" t="str">
        <f>LOWER(Campanha_ou_InsertionOrder&amp;"_"&amp;LineItem_ou_Grupodeanúncio&amp;"_"&amp;Linha_Criativa&amp;"_"&amp;Unique_ID)</f>
        <v>#N/A</v>
      </c>
      <c r="AN123" s="28" t="str">
        <f>LOWER(Campanha_ou_InsertionOrder&amp;"_"&amp;LineItem_ou_Grupodeanúncio&amp;"_"&amp;Linha_Criativa&amp;"_"&amp;Unique_ID)</f>
        <v>#N/A</v>
      </c>
      <c r="AO123" s="28" t="str">
        <f>LOWER("VW"&amp;"_"&amp;Model_Variant&amp;"_"&amp;Size&amp;"_"&amp;Linha_Criativa&amp;"_"&amp;IF(Servido_Por="portal",Veiculo,"adserver"))</f>
        <v>vw____adserver</v>
      </c>
      <c r="AP1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3" s="22" t="str">
        <f t="shared" si="1"/>
        <v/>
      </c>
      <c r="AS123" s="22" t="str">
        <f t="shared" si="2"/>
        <v/>
      </c>
      <c r="AT123" s="22" t="str">
        <f t="shared" si="3"/>
        <v>BR_IMC_DSY_LANCH_ND_NC_2020Q3AUG_NVS_Nivus-Launch-Consideracao</v>
      </c>
      <c r="AU123" s="22" t="str">
        <f t="shared" si="4"/>
        <v>#N/A</v>
      </c>
      <c r="AV123" s="22" t="s">
        <v>106</v>
      </c>
      <c r="AW1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3" s="22" t="str">
        <f t="shared" si="5"/>
        <v>BR_IMC_DSY_LANCH_ND_NC_2020Q3AUG_NVS_Nivus-Launch-Consideracao</v>
      </c>
      <c r="AY123" s="28" t="str">
        <f t="shared" si="6"/>
        <v>#N/A</v>
      </c>
      <c r="AZ123" s="22" t="s">
        <v>107</v>
      </c>
      <c r="BA123" s="22" t="s">
        <v>108</v>
      </c>
      <c r="BB123" s="31" t="s">
        <v>109</v>
      </c>
      <c r="BC123" s="31" t="s">
        <v>109</v>
      </c>
      <c r="BD123" s="32" t="str">
        <f t="shared" si="8"/>
        <v>nvl-nvs-imc-dsy-0820-10117</v>
      </c>
      <c r="BE123" s="33"/>
      <c r="BF123" s="33"/>
      <c r="BG123" s="39" t="str">
        <f>URL&amp;IF(ISNUMBER(FIND("?",URL)),"&amp;","?"&amp;("adlid="&amp;Unique_ID&amp;"&amp;adplt="&amp;Placement))</f>
        <v>#N/A</v>
      </c>
      <c r="BH123" s="1"/>
      <c r="BI123" s="1"/>
      <c r="BJ123" s="35" t="str">
        <f>LOWER("alp"&amp;"_"&amp;"vw"&amp;"_"&amp;Veiculo&amp;"_"&amp;C119&amp;"_"&amp;Objetivo)</f>
        <v>alp_vw___</v>
      </c>
      <c r="BK123" s="35" t="str">
        <f>LOWER(Buying_Metric&amp;"_"&amp;VLOOKUP(Buying_Type,Buy_type,2,FALSE)&amp;"_"&amp;Device&amp;"_"&amp;Size&amp;"_"&amp;Segmentação&amp;"_"&amp;Segmentação_Anúncio)</f>
        <v>#N/A</v>
      </c>
      <c r="BL123" s="35" t="str">
        <f>LOWER(Campanha_ou_InsertionOrder&amp;"_"&amp;LineItem_ou_Grupodeanúncio&amp;"_"&amp;Linha_criativa_2&amp;"_"&amp;Unique_ID)</f>
        <v>#N/A</v>
      </c>
      <c r="BM123" s="27"/>
      <c r="BN123" s="27"/>
    </row>
    <row r="124">
      <c r="A124" s="1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8" t="str">
        <f>LOWER(Campanha_ou_InsertionOrder&amp;"_"&amp;LineItem_ou_Grupodeanúncio&amp;"_"&amp;Linha_Criativa&amp;"_"&amp;Unique_ID)</f>
        <v>#N/A</v>
      </c>
      <c r="AN124" s="28" t="str">
        <f>LOWER(Campanha_ou_InsertionOrder&amp;"_"&amp;LineItem_ou_Grupodeanúncio&amp;"_"&amp;Linha_Criativa&amp;"_"&amp;Unique_ID)</f>
        <v>#N/A</v>
      </c>
      <c r="AO124" s="28" t="str">
        <f>LOWER("VW"&amp;"_"&amp;Model_Variant&amp;"_"&amp;Size&amp;"_"&amp;Linha_Criativa&amp;"_"&amp;IF(Servido_Por="portal",Veiculo,"adserver"))</f>
        <v>vw____adserver</v>
      </c>
      <c r="AP1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4" s="22" t="str">
        <f t="shared" si="1"/>
        <v/>
      </c>
      <c r="AS124" s="22" t="str">
        <f t="shared" si="2"/>
        <v/>
      </c>
      <c r="AT124" s="22" t="str">
        <f t="shared" si="3"/>
        <v>BR_IMC_DSY_LANCH_ND_NC_2020Q3AUG_NVS_Nivus-Launch-Consideracao</v>
      </c>
      <c r="AU124" s="22" t="str">
        <f t="shared" si="4"/>
        <v>#N/A</v>
      </c>
      <c r="AV124" s="22" t="s">
        <v>106</v>
      </c>
      <c r="AW1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4" s="22" t="str">
        <f t="shared" si="5"/>
        <v>BR_IMC_DSY_LANCH_ND_NC_2020Q3AUG_NVS_Nivus-Launch-Consideracao</v>
      </c>
      <c r="AY124" s="28" t="str">
        <f t="shared" si="6"/>
        <v>#N/A</v>
      </c>
      <c r="AZ124" s="22" t="s">
        <v>107</v>
      </c>
      <c r="BA124" s="22" t="s">
        <v>108</v>
      </c>
      <c r="BB124" s="31" t="s">
        <v>109</v>
      </c>
      <c r="BC124" s="31" t="s">
        <v>109</v>
      </c>
      <c r="BD124" s="32" t="str">
        <f t="shared" si="8"/>
        <v>nvl-nvs-imc-dsy-0820-10118</v>
      </c>
      <c r="BE124" s="33"/>
      <c r="BF124" s="33"/>
      <c r="BG124" s="39" t="str">
        <f>URL&amp;IF(ISNUMBER(FIND("?",URL)),"&amp;","?"&amp;("adlid="&amp;Unique_ID&amp;"&amp;adplt="&amp;Placement))</f>
        <v>#N/A</v>
      </c>
      <c r="BH124" s="1"/>
      <c r="BI124" s="1"/>
      <c r="BJ124" s="35" t="str">
        <f>LOWER("alp"&amp;"_"&amp;"vw"&amp;"_"&amp;Veiculo&amp;"_"&amp;C120&amp;"_"&amp;Objetivo)</f>
        <v>alp_vw___</v>
      </c>
      <c r="BK124" s="35" t="str">
        <f>LOWER(Buying_Metric&amp;"_"&amp;VLOOKUP(Buying_Type,Buy_type,2,FALSE)&amp;"_"&amp;Device&amp;"_"&amp;Size&amp;"_"&amp;Segmentação&amp;"_"&amp;Segmentação_Anúncio)</f>
        <v>#N/A</v>
      </c>
      <c r="BL124" s="35" t="str">
        <f>LOWER(Campanha_ou_InsertionOrder&amp;"_"&amp;LineItem_ou_Grupodeanúncio&amp;"_"&amp;Linha_criativa_2&amp;"_"&amp;Unique_ID)</f>
        <v>#N/A</v>
      </c>
      <c r="BM124" s="27"/>
      <c r="BN124" s="27"/>
    </row>
    <row r="125">
      <c r="A125" s="1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8" t="str">
        <f>LOWER(Campanha_ou_InsertionOrder&amp;"_"&amp;LineItem_ou_Grupodeanúncio&amp;"_"&amp;Linha_Criativa&amp;"_"&amp;Unique_ID)</f>
        <v>#N/A</v>
      </c>
      <c r="AN125" s="28" t="str">
        <f>LOWER(Campanha_ou_InsertionOrder&amp;"_"&amp;LineItem_ou_Grupodeanúncio&amp;"_"&amp;Linha_Criativa&amp;"_"&amp;Unique_ID)</f>
        <v>#N/A</v>
      </c>
      <c r="AO125" s="28" t="str">
        <f>LOWER("VW"&amp;"_"&amp;Model_Variant&amp;"_"&amp;Size&amp;"_"&amp;Linha_Criativa&amp;"_"&amp;IF(Servido_Por="portal",Veiculo,"adserver"))</f>
        <v>vw____adserver</v>
      </c>
      <c r="AP1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5" s="22" t="str">
        <f t="shared" si="1"/>
        <v/>
      </c>
      <c r="AS125" s="22" t="str">
        <f t="shared" si="2"/>
        <v/>
      </c>
      <c r="AT125" s="22" t="str">
        <f t="shared" si="3"/>
        <v>BR_IMC_DSY_LANCH_ND_NC_2020Q3AUG_NVS_Nivus-Launch-Consideracao</v>
      </c>
      <c r="AU125" s="22" t="str">
        <f t="shared" si="4"/>
        <v>#N/A</v>
      </c>
      <c r="AV125" s="22" t="s">
        <v>106</v>
      </c>
      <c r="AW1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5" s="22" t="str">
        <f t="shared" si="5"/>
        <v>BR_IMC_DSY_LANCH_ND_NC_2020Q3AUG_NVS_Nivus-Launch-Consideracao</v>
      </c>
      <c r="AY125" s="28" t="str">
        <f t="shared" si="6"/>
        <v>#N/A</v>
      </c>
      <c r="AZ125" s="22" t="s">
        <v>107</v>
      </c>
      <c r="BA125" s="22" t="s">
        <v>108</v>
      </c>
      <c r="BB125" s="31" t="s">
        <v>109</v>
      </c>
      <c r="BC125" s="31" t="s">
        <v>109</v>
      </c>
      <c r="BD125" s="32" t="str">
        <f t="shared" si="8"/>
        <v>nvl-nvs-imc-dsy-0820-10119</v>
      </c>
      <c r="BE125" s="33"/>
      <c r="BF125" s="33"/>
      <c r="BG125" s="39" t="str">
        <f>URL&amp;IF(ISNUMBER(FIND("?",URL)),"&amp;","?"&amp;("adlid="&amp;Unique_ID&amp;"&amp;adplt="&amp;Placement))</f>
        <v>#N/A</v>
      </c>
      <c r="BH125" s="1"/>
      <c r="BI125" s="1"/>
      <c r="BJ125" s="35" t="str">
        <f>LOWER("alp"&amp;"_"&amp;"vw"&amp;"_"&amp;Veiculo&amp;"_"&amp;C121&amp;"_"&amp;Objetivo)</f>
        <v>alp_vw___</v>
      </c>
      <c r="BK125" s="35" t="str">
        <f>LOWER(Buying_Metric&amp;"_"&amp;VLOOKUP(Buying_Type,Buy_type,2,FALSE)&amp;"_"&amp;Device&amp;"_"&amp;Size&amp;"_"&amp;Segmentação&amp;"_"&amp;Segmentação_Anúncio)</f>
        <v>#N/A</v>
      </c>
      <c r="BL125" s="35" t="str">
        <f>LOWER(Campanha_ou_InsertionOrder&amp;"_"&amp;LineItem_ou_Grupodeanúncio&amp;"_"&amp;Linha_criativa_2&amp;"_"&amp;Unique_ID)</f>
        <v>#N/A</v>
      </c>
      <c r="BM125" s="27"/>
      <c r="BN125" s="27"/>
    </row>
    <row r="126">
      <c r="A126" s="1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8" t="str">
        <f>LOWER(Campanha_ou_InsertionOrder&amp;"_"&amp;LineItem_ou_Grupodeanúncio&amp;"_"&amp;Linha_Criativa&amp;"_"&amp;Unique_ID)</f>
        <v>#N/A</v>
      </c>
      <c r="AN126" s="28" t="str">
        <f>LOWER(Campanha_ou_InsertionOrder&amp;"_"&amp;LineItem_ou_Grupodeanúncio&amp;"_"&amp;Linha_Criativa&amp;"_"&amp;Unique_ID)</f>
        <v>#N/A</v>
      </c>
      <c r="AO126" s="28" t="str">
        <f>LOWER("VW"&amp;"_"&amp;Model_Variant&amp;"_"&amp;Size&amp;"_"&amp;Linha_Criativa&amp;"_"&amp;IF(Servido_Por="portal",Veiculo,"adserver"))</f>
        <v>vw____adserver</v>
      </c>
      <c r="AP1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6" s="22" t="str">
        <f t="shared" si="1"/>
        <v/>
      </c>
      <c r="AS126" s="22" t="str">
        <f t="shared" si="2"/>
        <v/>
      </c>
      <c r="AT126" s="22" t="str">
        <f t="shared" si="3"/>
        <v>BR_IMC_DSY_LANCH_ND_NC_2020Q3AUG_NVS_Nivus-Launch-Consideracao</v>
      </c>
      <c r="AU126" s="22" t="str">
        <f t="shared" si="4"/>
        <v>#N/A</v>
      </c>
      <c r="AV126" s="22" t="s">
        <v>106</v>
      </c>
      <c r="AW1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6" s="22" t="str">
        <f t="shared" si="5"/>
        <v>BR_IMC_DSY_LANCH_ND_NC_2020Q3AUG_NVS_Nivus-Launch-Consideracao</v>
      </c>
      <c r="AY126" s="28" t="str">
        <f t="shared" si="6"/>
        <v>#N/A</v>
      </c>
      <c r="AZ126" s="22" t="s">
        <v>107</v>
      </c>
      <c r="BA126" s="22" t="s">
        <v>108</v>
      </c>
      <c r="BB126" s="31" t="s">
        <v>109</v>
      </c>
      <c r="BC126" s="31" t="s">
        <v>109</v>
      </c>
      <c r="BD126" s="32" t="str">
        <f t="shared" si="8"/>
        <v>nvl-nvs-imc-dsy-0820-10120</v>
      </c>
      <c r="BE126" s="33"/>
      <c r="BF126" s="33"/>
      <c r="BG126" s="39" t="str">
        <f>URL&amp;IF(ISNUMBER(FIND("?",URL)),"&amp;","?"&amp;("adlid="&amp;Unique_ID&amp;"&amp;adplt="&amp;Placement))</f>
        <v>#N/A</v>
      </c>
      <c r="BH126" s="1"/>
      <c r="BI126" s="1"/>
      <c r="BJ126" s="35" t="str">
        <f>LOWER("alp"&amp;"_"&amp;"vw"&amp;"_"&amp;Veiculo&amp;"_"&amp;C122&amp;"_"&amp;Objetivo)</f>
        <v>alp_vw___</v>
      </c>
      <c r="BK126" s="35" t="str">
        <f>LOWER(Buying_Metric&amp;"_"&amp;VLOOKUP(Buying_Type,Buy_type,2,FALSE)&amp;"_"&amp;Device&amp;"_"&amp;Size&amp;"_"&amp;Segmentação&amp;"_"&amp;Segmentação_Anúncio)</f>
        <v>#N/A</v>
      </c>
      <c r="BL126" s="35" t="str">
        <f>LOWER(Campanha_ou_InsertionOrder&amp;"_"&amp;LineItem_ou_Grupodeanúncio&amp;"_"&amp;Linha_criativa_2&amp;"_"&amp;Unique_ID)</f>
        <v>#N/A</v>
      </c>
      <c r="BM126" s="27"/>
      <c r="BN126" s="27"/>
    </row>
    <row r="127">
      <c r="A127" s="1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8" t="str">
        <f>LOWER(Campanha_ou_InsertionOrder&amp;"_"&amp;LineItem_ou_Grupodeanúncio&amp;"_"&amp;Linha_Criativa&amp;"_"&amp;Unique_ID)</f>
        <v>#N/A</v>
      </c>
      <c r="AN127" s="28" t="str">
        <f>LOWER(Campanha_ou_InsertionOrder&amp;"_"&amp;LineItem_ou_Grupodeanúncio&amp;"_"&amp;Linha_Criativa&amp;"_"&amp;Unique_ID)</f>
        <v>#N/A</v>
      </c>
      <c r="AO127" s="28" t="str">
        <f>LOWER("VW"&amp;"_"&amp;Model_Variant&amp;"_"&amp;Size&amp;"_"&amp;Linha_Criativa&amp;"_"&amp;IF(Servido_Por="portal",Veiculo,"adserver"))</f>
        <v>vw____adserver</v>
      </c>
      <c r="AP1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7" s="22" t="str">
        <f t="shared" si="1"/>
        <v/>
      </c>
      <c r="AS127" s="22" t="str">
        <f t="shared" si="2"/>
        <v/>
      </c>
      <c r="AT127" s="22" t="str">
        <f t="shared" si="3"/>
        <v>BR_IMC_DSY_LANCH_ND_NC_2020Q3AUG_NVS_Nivus-Launch-Consideracao</v>
      </c>
      <c r="AU127" s="22" t="str">
        <f t="shared" si="4"/>
        <v>#N/A</v>
      </c>
      <c r="AV127" s="22" t="s">
        <v>106</v>
      </c>
      <c r="AW1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7" s="22" t="str">
        <f t="shared" si="5"/>
        <v>BR_IMC_DSY_LANCH_ND_NC_2020Q3AUG_NVS_Nivus-Launch-Consideracao</v>
      </c>
      <c r="AY127" s="28" t="str">
        <f t="shared" si="6"/>
        <v>#N/A</v>
      </c>
      <c r="AZ127" s="22" t="s">
        <v>107</v>
      </c>
      <c r="BA127" s="22" t="s">
        <v>108</v>
      </c>
      <c r="BB127" s="31" t="s">
        <v>109</v>
      </c>
      <c r="BC127" s="31" t="s">
        <v>109</v>
      </c>
      <c r="BD127" s="32" t="str">
        <f t="shared" si="8"/>
        <v>nvl-nvs-imc-dsy-0820-10121</v>
      </c>
      <c r="BE127" s="33"/>
      <c r="BF127" s="33"/>
      <c r="BG127" s="39" t="str">
        <f>URL&amp;IF(ISNUMBER(FIND("?",URL)),"&amp;","?"&amp;("adlid="&amp;Unique_ID&amp;"&amp;adplt="&amp;Placement))</f>
        <v>#N/A</v>
      </c>
      <c r="BH127" s="1"/>
      <c r="BI127" s="1"/>
      <c r="BJ127" s="35" t="str">
        <f>LOWER("alp"&amp;"_"&amp;"vw"&amp;"_"&amp;Veiculo&amp;"_"&amp;C123&amp;"_"&amp;Objetivo)</f>
        <v>alp_vw___</v>
      </c>
      <c r="BK127" s="35" t="str">
        <f>LOWER(Buying_Metric&amp;"_"&amp;VLOOKUP(Buying_Type,Buy_type,2,FALSE)&amp;"_"&amp;Device&amp;"_"&amp;Size&amp;"_"&amp;Segmentação&amp;"_"&amp;Segmentação_Anúncio)</f>
        <v>#N/A</v>
      </c>
      <c r="BL127" s="35" t="str">
        <f>LOWER(Campanha_ou_InsertionOrder&amp;"_"&amp;LineItem_ou_Grupodeanúncio&amp;"_"&amp;Linha_criativa_2&amp;"_"&amp;Unique_ID)</f>
        <v>#N/A</v>
      </c>
      <c r="BM127" s="27"/>
      <c r="BN127" s="27"/>
    </row>
    <row r="128">
      <c r="A128" s="1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8" t="str">
        <f>LOWER(Campanha_ou_InsertionOrder&amp;"_"&amp;LineItem_ou_Grupodeanúncio&amp;"_"&amp;Linha_Criativa&amp;"_"&amp;Unique_ID)</f>
        <v>#N/A</v>
      </c>
      <c r="AN128" s="28" t="str">
        <f>LOWER(Campanha_ou_InsertionOrder&amp;"_"&amp;LineItem_ou_Grupodeanúncio&amp;"_"&amp;Linha_Criativa&amp;"_"&amp;Unique_ID)</f>
        <v>#N/A</v>
      </c>
      <c r="AO128" s="28" t="str">
        <f>LOWER("VW"&amp;"_"&amp;Model_Variant&amp;"_"&amp;Size&amp;"_"&amp;Linha_Criativa&amp;"_"&amp;IF(Servido_Por="portal",Veiculo,"adserver"))</f>
        <v>vw____adserver</v>
      </c>
      <c r="AP1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8" s="22" t="str">
        <f t="shared" si="1"/>
        <v/>
      </c>
      <c r="AS128" s="22" t="str">
        <f t="shared" si="2"/>
        <v/>
      </c>
      <c r="AT128" s="22" t="str">
        <f t="shared" si="3"/>
        <v>BR_IMC_DSY_LANCH_ND_NC_2020Q3AUG_NVS_Nivus-Launch-Consideracao</v>
      </c>
      <c r="AU128" s="22" t="str">
        <f t="shared" si="4"/>
        <v>#N/A</v>
      </c>
      <c r="AV128" s="22" t="s">
        <v>106</v>
      </c>
      <c r="AW1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8" s="22" t="str">
        <f t="shared" si="5"/>
        <v>BR_IMC_DSY_LANCH_ND_NC_2020Q3AUG_NVS_Nivus-Launch-Consideracao</v>
      </c>
      <c r="AY128" s="28" t="str">
        <f t="shared" si="6"/>
        <v>#N/A</v>
      </c>
      <c r="AZ128" s="22" t="s">
        <v>107</v>
      </c>
      <c r="BA128" s="22" t="s">
        <v>108</v>
      </c>
      <c r="BB128" s="31" t="s">
        <v>109</v>
      </c>
      <c r="BC128" s="31" t="s">
        <v>109</v>
      </c>
      <c r="BD128" s="32" t="str">
        <f t="shared" si="8"/>
        <v>nvl-nvs-imc-dsy-0820-10122</v>
      </c>
      <c r="BE128" s="33"/>
      <c r="BF128" s="33"/>
      <c r="BG128" s="39" t="str">
        <f>URL&amp;IF(ISNUMBER(FIND("?",URL)),"&amp;","?"&amp;("adlid="&amp;Unique_ID&amp;"&amp;adplt="&amp;Placement))</f>
        <v>#N/A</v>
      </c>
      <c r="BH128" s="1"/>
      <c r="BI128" s="1"/>
      <c r="BJ128" s="35" t="str">
        <f>LOWER("alp"&amp;"_"&amp;"vw"&amp;"_"&amp;Veiculo&amp;"_"&amp;C124&amp;"_"&amp;Objetivo)</f>
        <v>alp_vw___</v>
      </c>
      <c r="BK128" s="35" t="str">
        <f>LOWER(Buying_Metric&amp;"_"&amp;VLOOKUP(Buying_Type,Buy_type,2,FALSE)&amp;"_"&amp;Device&amp;"_"&amp;Size&amp;"_"&amp;Segmentação&amp;"_"&amp;Segmentação_Anúncio)</f>
        <v>#N/A</v>
      </c>
      <c r="BL128" s="35" t="str">
        <f>LOWER(Campanha_ou_InsertionOrder&amp;"_"&amp;LineItem_ou_Grupodeanúncio&amp;"_"&amp;Linha_criativa_2&amp;"_"&amp;Unique_ID)</f>
        <v>#N/A</v>
      </c>
      <c r="BM128" s="27"/>
      <c r="BN128" s="27"/>
    </row>
    <row r="129">
      <c r="A129" s="1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8" t="str">
        <f>LOWER(Campanha_ou_InsertionOrder&amp;"_"&amp;LineItem_ou_Grupodeanúncio&amp;"_"&amp;Linha_Criativa&amp;"_"&amp;Unique_ID)</f>
        <v>#N/A</v>
      </c>
      <c r="AN129" s="28" t="str">
        <f>LOWER(Campanha_ou_InsertionOrder&amp;"_"&amp;LineItem_ou_Grupodeanúncio&amp;"_"&amp;Linha_Criativa&amp;"_"&amp;Unique_ID)</f>
        <v>#N/A</v>
      </c>
      <c r="AO129" s="28" t="str">
        <f>LOWER("VW"&amp;"_"&amp;Model_Variant&amp;"_"&amp;Size&amp;"_"&amp;Linha_Criativa&amp;"_"&amp;IF(Servido_Por="portal",Veiculo,"adserver"))</f>
        <v>vw____adserver</v>
      </c>
      <c r="AP1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29" s="22" t="str">
        <f t="shared" si="1"/>
        <v/>
      </c>
      <c r="AS129" s="22" t="str">
        <f t="shared" si="2"/>
        <v/>
      </c>
      <c r="AT129" s="22" t="str">
        <f t="shared" si="3"/>
        <v>BR_IMC_DSY_LANCH_ND_NC_2020Q3AUG_NVS_Nivus-Launch-Consideracao</v>
      </c>
      <c r="AU129" s="22" t="str">
        <f t="shared" si="4"/>
        <v>#N/A</v>
      </c>
      <c r="AV129" s="22" t="s">
        <v>106</v>
      </c>
      <c r="AW1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29" s="22" t="str">
        <f t="shared" si="5"/>
        <v>BR_IMC_DSY_LANCH_ND_NC_2020Q3AUG_NVS_Nivus-Launch-Consideracao</v>
      </c>
      <c r="AY129" s="28" t="str">
        <f t="shared" si="6"/>
        <v>#N/A</v>
      </c>
      <c r="AZ129" s="22" t="s">
        <v>107</v>
      </c>
      <c r="BA129" s="22" t="s">
        <v>108</v>
      </c>
      <c r="BB129" s="31" t="s">
        <v>109</v>
      </c>
      <c r="BC129" s="31" t="s">
        <v>109</v>
      </c>
      <c r="BD129" s="32" t="str">
        <f t="shared" si="8"/>
        <v>nvl-nvs-imc-dsy-0820-10123</v>
      </c>
      <c r="BE129" s="33"/>
      <c r="BF129" s="33"/>
      <c r="BG129" s="39" t="str">
        <f>URL&amp;IF(ISNUMBER(FIND("?",URL)),"&amp;","?"&amp;("adlid="&amp;Unique_ID&amp;"&amp;adplt="&amp;Placement))</f>
        <v>#N/A</v>
      </c>
      <c r="BH129" s="1"/>
      <c r="BI129" s="1"/>
      <c r="BJ129" s="35" t="str">
        <f>LOWER("alp"&amp;"_"&amp;"vw"&amp;"_"&amp;Veiculo&amp;"_"&amp;C125&amp;"_"&amp;Objetivo)</f>
        <v>alp_vw___</v>
      </c>
      <c r="BK129" s="35" t="str">
        <f>LOWER(Buying_Metric&amp;"_"&amp;VLOOKUP(Buying_Type,Buy_type,2,FALSE)&amp;"_"&amp;Device&amp;"_"&amp;Size&amp;"_"&amp;Segmentação&amp;"_"&amp;Segmentação_Anúncio)</f>
        <v>#N/A</v>
      </c>
      <c r="BL129" s="35" t="str">
        <f>LOWER(Campanha_ou_InsertionOrder&amp;"_"&amp;LineItem_ou_Grupodeanúncio&amp;"_"&amp;Linha_criativa_2&amp;"_"&amp;Unique_ID)</f>
        <v>#N/A</v>
      </c>
      <c r="BM129" s="27"/>
      <c r="BN129" s="27"/>
    </row>
    <row r="130">
      <c r="A130" s="1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8" t="str">
        <f>LOWER(Campanha_ou_InsertionOrder&amp;"_"&amp;LineItem_ou_Grupodeanúncio&amp;"_"&amp;Linha_Criativa&amp;"_"&amp;Unique_ID)</f>
        <v>#N/A</v>
      </c>
      <c r="AN130" s="28" t="str">
        <f>LOWER(Campanha_ou_InsertionOrder&amp;"_"&amp;LineItem_ou_Grupodeanúncio&amp;"_"&amp;Linha_Criativa&amp;"_"&amp;Unique_ID)</f>
        <v>#N/A</v>
      </c>
      <c r="AO130" s="28" t="str">
        <f>LOWER("VW"&amp;"_"&amp;Model_Variant&amp;"_"&amp;Size&amp;"_"&amp;Linha_Criativa&amp;"_"&amp;IF(Servido_Por="portal",Veiculo,"adserver"))</f>
        <v>vw____adserver</v>
      </c>
      <c r="AP1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0" s="22" t="str">
        <f t="shared" si="1"/>
        <v/>
      </c>
      <c r="AS130" s="22" t="str">
        <f t="shared" si="2"/>
        <v/>
      </c>
      <c r="AT130" s="22" t="str">
        <f t="shared" si="3"/>
        <v>BR_IMC_DSY_LANCH_ND_NC_2020Q3AUG_NVS_Nivus-Launch-Consideracao</v>
      </c>
      <c r="AU130" s="22" t="str">
        <f t="shared" si="4"/>
        <v>#N/A</v>
      </c>
      <c r="AV130" s="22" t="s">
        <v>106</v>
      </c>
      <c r="AW1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0" s="22" t="str">
        <f t="shared" si="5"/>
        <v>BR_IMC_DSY_LANCH_ND_NC_2020Q3AUG_NVS_Nivus-Launch-Consideracao</v>
      </c>
      <c r="AY130" s="28" t="str">
        <f t="shared" si="6"/>
        <v>#N/A</v>
      </c>
      <c r="AZ130" s="22" t="s">
        <v>107</v>
      </c>
      <c r="BA130" s="22" t="s">
        <v>108</v>
      </c>
      <c r="BB130" s="31" t="s">
        <v>109</v>
      </c>
      <c r="BC130" s="31" t="s">
        <v>109</v>
      </c>
      <c r="BD130" s="32" t="str">
        <f t="shared" si="8"/>
        <v>nvl-nvs-imc-dsy-0820-10124</v>
      </c>
      <c r="BE130" s="33"/>
      <c r="BF130" s="33"/>
      <c r="BG130" s="39" t="str">
        <f>URL&amp;IF(ISNUMBER(FIND("?",URL)),"&amp;","?"&amp;("adlid="&amp;Unique_ID&amp;"&amp;adplt="&amp;Placement))</f>
        <v>#N/A</v>
      </c>
      <c r="BH130" s="1"/>
      <c r="BI130" s="1"/>
      <c r="BJ130" s="35" t="str">
        <f>LOWER("alp"&amp;"_"&amp;"vw"&amp;"_"&amp;Veiculo&amp;"_"&amp;C126&amp;"_"&amp;Objetivo)</f>
        <v>alp_vw___</v>
      </c>
      <c r="BK130" s="35" t="str">
        <f>LOWER(Buying_Metric&amp;"_"&amp;VLOOKUP(Buying_Type,Buy_type,2,FALSE)&amp;"_"&amp;Device&amp;"_"&amp;Size&amp;"_"&amp;Segmentação&amp;"_"&amp;Segmentação_Anúncio)</f>
        <v>#N/A</v>
      </c>
      <c r="BL130" s="35" t="str">
        <f>LOWER(Campanha_ou_InsertionOrder&amp;"_"&amp;LineItem_ou_Grupodeanúncio&amp;"_"&amp;Linha_criativa_2&amp;"_"&amp;Unique_ID)</f>
        <v>#N/A</v>
      </c>
      <c r="BM130" s="27"/>
      <c r="BN130" s="27"/>
    </row>
    <row r="131">
      <c r="A131" s="1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8" t="str">
        <f>LOWER(Campanha_ou_InsertionOrder&amp;"_"&amp;LineItem_ou_Grupodeanúncio&amp;"_"&amp;Linha_Criativa&amp;"_"&amp;Unique_ID)</f>
        <v>#N/A</v>
      </c>
      <c r="AN131" s="28" t="str">
        <f>LOWER(Campanha_ou_InsertionOrder&amp;"_"&amp;LineItem_ou_Grupodeanúncio&amp;"_"&amp;Linha_Criativa&amp;"_"&amp;Unique_ID)</f>
        <v>#N/A</v>
      </c>
      <c r="AO131" s="28" t="str">
        <f>LOWER("VW"&amp;"_"&amp;Model_Variant&amp;"_"&amp;Size&amp;"_"&amp;Linha_Criativa&amp;"_"&amp;IF(Servido_Por="portal",Veiculo,"adserver"))</f>
        <v>vw____adserver</v>
      </c>
      <c r="AP1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1" s="22" t="str">
        <f t="shared" si="1"/>
        <v/>
      </c>
      <c r="AS131" s="22" t="str">
        <f t="shared" si="2"/>
        <v/>
      </c>
      <c r="AT131" s="22" t="str">
        <f t="shared" si="3"/>
        <v>BR_IMC_DSY_LANCH_ND_NC_2020Q3AUG_NVS_Nivus-Launch-Consideracao</v>
      </c>
      <c r="AU131" s="22" t="str">
        <f t="shared" si="4"/>
        <v>#N/A</v>
      </c>
      <c r="AV131" s="22" t="s">
        <v>106</v>
      </c>
      <c r="AW1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1" s="22" t="str">
        <f t="shared" si="5"/>
        <v>BR_IMC_DSY_LANCH_ND_NC_2020Q3AUG_NVS_Nivus-Launch-Consideracao</v>
      </c>
      <c r="AY131" s="28" t="str">
        <f t="shared" si="6"/>
        <v>#N/A</v>
      </c>
      <c r="AZ131" s="22" t="s">
        <v>107</v>
      </c>
      <c r="BA131" s="22" t="s">
        <v>108</v>
      </c>
      <c r="BB131" s="31" t="s">
        <v>109</v>
      </c>
      <c r="BC131" s="31" t="s">
        <v>109</v>
      </c>
      <c r="BD131" s="32" t="str">
        <f t="shared" si="8"/>
        <v>nvl-nvs-imc-dsy-0820-10125</v>
      </c>
      <c r="BE131" s="33"/>
      <c r="BF131" s="33"/>
      <c r="BG131" s="39" t="str">
        <f>URL&amp;IF(ISNUMBER(FIND("?",URL)),"&amp;","?"&amp;("adlid="&amp;Unique_ID&amp;"&amp;adplt="&amp;Placement))</f>
        <v>#N/A</v>
      </c>
      <c r="BH131" s="1"/>
      <c r="BI131" s="1"/>
      <c r="BJ131" s="35" t="str">
        <f>LOWER("alp"&amp;"_"&amp;"vw"&amp;"_"&amp;Veiculo&amp;"_"&amp;C127&amp;"_"&amp;Objetivo)</f>
        <v>alp_vw___</v>
      </c>
      <c r="BK131" s="35" t="str">
        <f>LOWER(Buying_Metric&amp;"_"&amp;VLOOKUP(Buying_Type,Buy_type,2,FALSE)&amp;"_"&amp;Device&amp;"_"&amp;Size&amp;"_"&amp;Segmentação&amp;"_"&amp;Segmentação_Anúncio)</f>
        <v>#N/A</v>
      </c>
      <c r="BL131" s="35" t="str">
        <f>LOWER(Campanha_ou_InsertionOrder&amp;"_"&amp;LineItem_ou_Grupodeanúncio&amp;"_"&amp;Linha_criativa_2&amp;"_"&amp;Unique_ID)</f>
        <v>#N/A</v>
      </c>
      <c r="BM131" s="27"/>
      <c r="BN131" s="27"/>
    </row>
    <row r="132">
      <c r="A132" s="1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8" t="str">
        <f>LOWER(Campanha_ou_InsertionOrder&amp;"_"&amp;LineItem_ou_Grupodeanúncio&amp;"_"&amp;Linha_Criativa&amp;"_"&amp;Unique_ID)</f>
        <v>#N/A</v>
      </c>
      <c r="AN132" s="28" t="str">
        <f>LOWER(Campanha_ou_InsertionOrder&amp;"_"&amp;LineItem_ou_Grupodeanúncio&amp;"_"&amp;Linha_Criativa&amp;"_"&amp;Unique_ID)</f>
        <v>#N/A</v>
      </c>
      <c r="AO132" s="28" t="str">
        <f>LOWER("VW"&amp;"_"&amp;Model_Variant&amp;"_"&amp;Size&amp;"_"&amp;Linha_Criativa&amp;"_"&amp;IF(Servido_Por="portal",Veiculo,"adserver"))</f>
        <v>vw____adserver</v>
      </c>
      <c r="AP1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2" s="22" t="str">
        <f t="shared" si="1"/>
        <v/>
      </c>
      <c r="AS132" s="22" t="str">
        <f t="shared" si="2"/>
        <v/>
      </c>
      <c r="AT132" s="22" t="str">
        <f t="shared" si="3"/>
        <v>BR_IMC_DSY_LANCH_ND_NC_2020Q3AUG_NVS_Nivus-Launch-Consideracao</v>
      </c>
      <c r="AU132" s="22" t="str">
        <f t="shared" si="4"/>
        <v>#N/A</v>
      </c>
      <c r="AV132" s="22" t="s">
        <v>106</v>
      </c>
      <c r="AW1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2" s="22" t="str">
        <f t="shared" si="5"/>
        <v>BR_IMC_DSY_LANCH_ND_NC_2020Q3AUG_NVS_Nivus-Launch-Consideracao</v>
      </c>
      <c r="AY132" s="28" t="str">
        <f t="shared" si="6"/>
        <v>#N/A</v>
      </c>
      <c r="AZ132" s="22" t="s">
        <v>107</v>
      </c>
      <c r="BA132" s="22" t="s">
        <v>108</v>
      </c>
      <c r="BB132" s="31" t="s">
        <v>109</v>
      </c>
      <c r="BC132" s="31" t="s">
        <v>109</v>
      </c>
      <c r="BD132" s="32" t="str">
        <f t="shared" si="8"/>
        <v>nvl-nvs-imc-dsy-0820-10126</v>
      </c>
      <c r="BE132" s="33"/>
      <c r="BF132" s="33"/>
      <c r="BG132" s="39" t="str">
        <f>URL&amp;IF(ISNUMBER(FIND("?",URL)),"&amp;","?"&amp;("adlid="&amp;Unique_ID&amp;"&amp;adplt="&amp;Placement))</f>
        <v>#N/A</v>
      </c>
      <c r="BH132" s="1"/>
      <c r="BI132" s="1"/>
      <c r="BJ132" s="35" t="str">
        <f>LOWER("alp"&amp;"_"&amp;"vw"&amp;"_"&amp;Veiculo&amp;"_"&amp;C128&amp;"_"&amp;Objetivo)</f>
        <v>alp_vw___</v>
      </c>
      <c r="BK132" s="35" t="str">
        <f>LOWER(Buying_Metric&amp;"_"&amp;VLOOKUP(Buying_Type,Buy_type,2,FALSE)&amp;"_"&amp;Device&amp;"_"&amp;Size&amp;"_"&amp;Segmentação&amp;"_"&amp;Segmentação_Anúncio)</f>
        <v>#N/A</v>
      </c>
      <c r="BL132" s="35" t="str">
        <f>LOWER(Campanha_ou_InsertionOrder&amp;"_"&amp;LineItem_ou_Grupodeanúncio&amp;"_"&amp;Linha_criativa_2&amp;"_"&amp;Unique_ID)</f>
        <v>#N/A</v>
      </c>
      <c r="BM132" s="27"/>
      <c r="BN132" s="27"/>
    </row>
    <row r="133">
      <c r="A133" s="1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8" t="str">
        <f>LOWER(Campanha_ou_InsertionOrder&amp;"_"&amp;LineItem_ou_Grupodeanúncio&amp;"_"&amp;Linha_Criativa&amp;"_"&amp;Unique_ID)</f>
        <v>#N/A</v>
      </c>
      <c r="AN133" s="28" t="str">
        <f>LOWER(Campanha_ou_InsertionOrder&amp;"_"&amp;LineItem_ou_Grupodeanúncio&amp;"_"&amp;Linha_Criativa&amp;"_"&amp;Unique_ID)</f>
        <v>#N/A</v>
      </c>
      <c r="AO133" s="28" t="str">
        <f>LOWER("VW"&amp;"_"&amp;Model_Variant&amp;"_"&amp;Size&amp;"_"&amp;Linha_Criativa&amp;"_"&amp;IF(Servido_Por="portal",Veiculo,"adserver"))</f>
        <v>vw____adserver</v>
      </c>
      <c r="AP1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3" s="22" t="str">
        <f t="shared" si="1"/>
        <v/>
      </c>
      <c r="AS133" s="22" t="str">
        <f t="shared" si="2"/>
        <v/>
      </c>
      <c r="AT133" s="22" t="str">
        <f t="shared" si="3"/>
        <v>BR_IMC_DSY_LANCH_ND_NC_2020Q3AUG_NVS_Nivus-Launch-Consideracao</v>
      </c>
      <c r="AU133" s="22" t="str">
        <f t="shared" si="4"/>
        <v>#N/A</v>
      </c>
      <c r="AV133" s="22" t="s">
        <v>106</v>
      </c>
      <c r="AW1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3" s="22" t="str">
        <f t="shared" si="5"/>
        <v>BR_IMC_DSY_LANCH_ND_NC_2020Q3AUG_NVS_Nivus-Launch-Consideracao</v>
      </c>
      <c r="AY133" s="28" t="str">
        <f t="shared" si="6"/>
        <v>#N/A</v>
      </c>
      <c r="AZ133" s="22" t="s">
        <v>107</v>
      </c>
      <c r="BA133" s="22" t="s">
        <v>108</v>
      </c>
      <c r="BB133" s="31" t="s">
        <v>109</v>
      </c>
      <c r="BC133" s="31" t="s">
        <v>109</v>
      </c>
      <c r="BD133" s="32" t="str">
        <f t="shared" si="8"/>
        <v>nvl-nvs-imc-dsy-0820-10127</v>
      </c>
      <c r="BE133" s="33"/>
      <c r="BF133" s="33"/>
      <c r="BG133" s="39" t="str">
        <f>URL&amp;IF(ISNUMBER(FIND("?",URL)),"&amp;","?"&amp;("adlid="&amp;Unique_ID&amp;"&amp;adplt="&amp;Placement))</f>
        <v>#N/A</v>
      </c>
      <c r="BH133" s="1"/>
      <c r="BI133" s="1"/>
      <c r="BJ133" s="35" t="str">
        <f>LOWER("alp"&amp;"_"&amp;"vw"&amp;"_"&amp;Veiculo&amp;"_"&amp;C129&amp;"_"&amp;Objetivo)</f>
        <v>alp_vw___</v>
      </c>
      <c r="BK133" s="35" t="str">
        <f>LOWER(Buying_Metric&amp;"_"&amp;VLOOKUP(Buying_Type,Buy_type,2,FALSE)&amp;"_"&amp;Device&amp;"_"&amp;Size&amp;"_"&amp;Segmentação&amp;"_"&amp;Segmentação_Anúncio)</f>
        <v>#N/A</v>
      </c>
      <c r="BL133" s="35" t="str">
        <f>LOWER(Campanha_ou_InsertionOrder&amp;"_"&amp;LineItem_ou_Grupodeanúncio&amp;"_"&amp;Linha_criativa_2&amp;"_"&amp;Unique_ID)</f>
        <v>#N/A</v>
      </c>
      <c r="BM133" s="27"/>
      <c r="BN133" s="27"/>
    </row>
    <row r="134">
      <c r="A134" s="1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8" t="str">
        <f>LOWER(Campanha_ou_InsertionOrder&amp;"_"&amp;LineItem_ou_Grupodeanúncio&amp;"_"&amp;Linha_Criativa&amp;"_"&amp;Unique_ID)</f>
        <v>#N/A</v>
      </c>
      <c r="AN134" s="28" t="str">
        <f>LOWER(Campanha_ou_InsertionOrder&amp;"_"&amp;LineItem_ou_Grupodeanúncio&amp;"_"&amp;Linha_Criativa&amp;"_"&amp;Unique_ID)</f>
        <v>#N/A</v>
      </c>
      <c r="AO134" s="28" t="str">
        <f>LOWER("VW"&amp;"_"&amp;Model_Variant&amp;"_"&amp;Size&amp;"_"&amp;Linha_Criativa&amp;"_"&amp;IF(Servido_Por="portal",Veiculo,"adserver"))</f>
        <v>vw____adserver</v>
      </c>
      <c r="AP1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4" s="22" t="str">
        <f t="shared" si="1"/>
        <v/>
      </c>
      <c r="AS134" s="22" t="str">
        <f t="shared" si="2"/>
        <v/>
      </c>
      <c r="AT134" s="22" t="str">
        <f t="shared" si="3"/>
        <v>BR_IMC_DSY_LANCH_ND_NC_2020Q3AUG_NVS_Nivus-Launch-Consideracao</v>
      </c>
      <c r="AU134" s="22" t="str">
        <f t="shared" si="4"/>
        <v>#N/A</v>
      </c>
      <c r="AV134" s="22" t="s">
        <v>106</v>
      </c>
      <c r="AW1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4" s="22" t="str">
        <f t="shared" si="5"/>
        <v>BR_IMC_DSY_LANCH_ND_NC_2020Q3AUG_NVS_Nivus-Launch-Consideracao</v>
      </c>
      <c r="AY134" s="28" t="str">
        <f t="shared" si="6"/>
        <v>#N/A</v>
      </c>
      <c r="AZ134" s="22" t="s">
        <v>107</v>
      </c>
      <c r="BA134" s="22" t="s">
        <v>108</v>
      </c>
      <c r="BB134" s="31" t="s">
        <v>109</v>
      </c>
      <c r="BC134" s="31" t="s">
        <v>109</v>
      </c>
      <c r="BD134" s="32" t="str">
        <f t="shared" si="8"/>
        <v>nvl-nvs-imc-dsy-0820-10128</v>
      </c>
      <c r="BE134" s="33"/>
      <c r="BF134" s="33"/>
      <c r="BG134" s="39" t="str">
        <f>URL&amp;IF(ISNUMBER(FIND("?",URL)),"&amp;","?"&amp;("adlid="&amp;Unique_ID&amp;"&amp;adplt="&amp;Placement))</f>
        <v>#N/A</v>
      </c>
      <c r="BH134" s="1"/>
      <c r="BI134" s="1"/>
      <c r="BJ134" s="35" t="str">
        <f>LOWER("alp"&amp;"_"&amp;"vw"&amp;"_"&amp;Veiculo&amp;"_"&amp;C130&amp;"_"&amp;Objetivo)</f>
        <v>alp_vw___</v>
      </c>
      <c r="BK134" s="35" t="str">
        <f>LOWER(Buying_Metric&amp;"_"&amp;VLOOKUP(Buying_Type,Buy_type,2,FALSE)&amp;"_"&amp;Device&amp;"_"&amp;Size&amp;"_"&amp;Segmentação&amp;"_"&amp;Segmentação_Anúncio)</f>
        <v>#N/A</v>
      </c>
      <c r="BL134" s="35" t="str">
        <f>LOWER(Campanha_ou_InsertionOrder&amp;"_"&amp;LineItem_ou_Grupodeanúncio&amp;"_"&amp;Linha_criativa_2&amp;"_"&amp;Unique_ID)</f>
        <v>#N/A</v>
      </c>
      <c r="BM134" s="27"/>
      <c r="BN134" s="27"/>
    </row>
    <row r="135">
      <c r="A135" s="1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8" t="str">
        <f>LOWER(Campanha_ou_InsertionOrder&amp;"_"&amp;LineItem_ou_Grupodeanúncio&amp;"_"&amp;Linha_Criativa&amp;"_"&amp;Unique_ID)</f>
        <v>#N/A</v>
      </c>
      <c r="AN135" s="28" t="str">
        <f>LOWER(Campanha_ou_InsertionOrder&amp;"_"&amp;LineItem_ou_Grupodeanúncio&amp;"_"&amp;Linha_Criativa&amp;"_"&amp;Unique_ID)</f>
        <v>#N/A</v>
      </c>
      <c r="AO135" s="28" t="str">
        <f>LOWER("VW"&amp;"_"&amp;Model_Variant&amp;"_"&amp;Size&amp;"_"&amp;Linha_Criativa&amp;"_"&amp;IF(Servido_Por="portal",Veiculo,"adserver"))</f>
        <v>vw____adserver</v>
      </c>
      <c r="AP1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5" s="22" t="str">
        <f t="shared" si="1"/>
        <v/>
      </c>
      <c r="AS135" s="22" t="str">
        <f t="shared" si="2"/>
        <v/>
      </c>
      <c r="AT135" s="22" t="str">
        <f t="shared" si="3"/>
        <v>BR_IMC_DSY_LANCH_ND_NC_2020Q3AUG_NVS_Nivus-Launch-Consideracao</v>
      </c>
      <c r="AU135" s="22" t="str">
        <f t="shared" si="4"/>
        <v>#N/A</v>
      </c>
      <c r="AV135" s="22" t="s">
        <v>106</v>
      </c>
      <c r="AW1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5" s="22" t="str">
        <f t="shared" si="5"/>
        <v>BR_IMC_DSY_LANCH_ND_NC_2020Q3AUG_NVS_Nivus-Launch-Consideracao</v>
      </c>
      <c r="AY135" s="28" t="str">
        <f t="shared" si="6"/>
        <v>#N/A</v>
      </c>
      <c r="AZ135" s="22" t="s">
        <v>107</v>
      </c>
      <c r="BA135" s="22" t="s">
        <v>108</v>
      </c>
      <c r="BB135" s="31" t="s">
        <v>109</v>
      </c>
      <c r="BC135" s="31" t="s">
        <v>109</v>
      </c>
      <c r="BD135" s="32" t="str">
        <f t="shared" si="8"/>
        <v>nvl-nvs-imc-dsy-0820-10129</v>
      </c>
      <c r="BE135" s="33"/>
      <c r="BF135" s="33"/>
      <c r="BG135" s="39" t="str">
        <f>URL&amp;IF(ISNUMBER(FIND("?",URL)),"&amp;","?"&amp;("adlid="&amp;Unique_ID&amp;"&amp;adplt="&amp;Placement))</f>
        <v>#N/A</v>
      </c>
      <c r="BH135" s="1"/>
      <c r="BI135" s="1"/>
      <c r="BJ135" s="35" t="str">
        <f>LOWER("alp"&amp;"_"&amp;"vw"&amp;"_"&amp;Veiculo&amp;"_"&amp;C131&amp;"_"&amp;Objetivo)</f>
        <v>alp_vw___</v>
      </c>
      <c r="BK135" s="35" t="str">
        <f>LOWER(Buying_Metric&amp;"_"&amp;VLOOKUP(Buying_Type,Buy_type,2,FALSE)&amp;"_"&amp;Device&amp;"_"&amp;Size&amp;"_"&amp;Segmentação&amp;"_"&amp;Segmentação_Anúncio)</f>
        <v>#N/A</v>
      </c>
      <c r="BL135" s="35" t="str">
        <f>LOWER(Campanha_ou_InsertionOrder&amp;"_"&amp;LineItem_ou_Grupodeanúncio&amp;"_"&amp;Linha_criativa_2&amp;"_"&amp;Unique_ID)</f>
        <v>#N/A</v>
      </c>
      <c r="BM135" s="27"/>
      <c r="BN135" s="27"/>
    </row>
    <row r="136">
      <c r="A136" s="1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8" t="str">
        <f>LOWER(Campanha_ou_InsertionOrder&amp;"_"&amp;LineItem_ou_Grupodeanúncio&amp;"_"&amp;Linha_Criativa&amp;"_"&amp;Unique_ID)</f>
        <v>#N/A</v>
      </c>
      <c r="AN136" s="28" t="str">
        <f>LOWER(Campanha_ou_InsertionOrder&amp;"_"&amp;LineItem_ou_Grupodeanúncio&amp;"_"&amp;Linha_Criativa&amp;"_"&amp;Unique_ID)</f>
        <v>#N/A</v>
      </c>
      <c r="AO136" s="28" t="str">
        <f>LOWER("VW"&amp;"_"&amp;Model_Variant&amp;"_"&amp;Size&amp;"_"&amp;Linha_Criativa&amp;"_"&amp;IF(Servido_Por="portal",Veiculo,"adserver"))</f>
        <v>vw____adserver</v>
      </c>
      <c r="AP1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6" s="22" t="str">
        <f t="shared" si="1"/>
        <v/>
      </c>
      <c r="AS136" s="22" t="str">
        <f t="shared" si="2"/>
        <v/>
      </c>
      <c r="AT136" s="22" t="str">
        <f t="shared" si="3"/>
        <v>BR_IMC_DSY_LANCH_ND_NC_2020Q3AUG_NVS_Nivus-Launch-Consideracao</v>
      </c>
      <c r="AU136" s="22" t="str">
        <f t="shared" si="4"/>
        <v>#N/A</v>
      </c>
      <c r="AV136" s="22" t="s">
        <v>106</v>
      </c>
      <c r="AW1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6" s="22" t="str">
        <f t="shared" si="5"/>
        <v>BR_IMC_DSY_LANCH_ND_NC_2020Q3AUG_NVS_Nivus-Launch-Consideracao</v>
      </c>
      <c r="AY136" s="28" t="str">
        <f t="shared" si="6"/>
        <v>#N/A</v>
      </c>
      <c r="AZ136" s="22" t="s">
        <v>107</v>
      </c>
      <c r="BA136" s="22" t="s">
        <v>108</v>
      </c>
      <c r="BB136" s="31" t="s">
        <v>109</v>
      </c>
      <c r="BC136" s="31" t="s">
        <v>109</v>
      </c>
      <c r="BD136" s="32" t="str">
        <f t="shared" si="8"/>
        <v>nvl-nvs-imc-dsy-0820-10130</v>
      </c>
      <c r="BE136" s="33"/>
      <c r="BF136" s="33"/>
      <c r="BG136" s="39" t="str">
        <f>URL&amp;IF(ISNUMBER(FIND("?",URL)),"&amp;","?"&amp;("adlid="&amp;Unique_ID&amp;"&amp;adplt="&amp;Placement))</f>
        <v>#N/A</v>
      </c>
      <c r="BH136" s="1"/>
      <c r="BI136" s="1"/>
      <c r="BJ136" s="35" t="str">
        <f>LOWER("alp"&amp;"_"&amp;"vw"&amp;"_"&amp;Veiculo&amp;"_"&amp;C132&amp;"_"&amp;Objetivo)</f>
        <v>alp_vw___</v>
      </c>
      <c r="BK136" s="35" t="str">
        <f>LOWER(Buying_Metric&amp;"_"&amp;VLOOKUP(Buying_Type,Buy_type,2,FALSE)&amp;"_"&amp;Device&amp;"_"&amp;Size&amp;"_"&amp;Segmentação&amp;"_"&amp;Segmentação_Anúncio)</f>
        <v>#N/A</v>
      </c>
      <c r="BL136" s="35" t="str">
        <f>LOWER(Campanha_ou_InsertionOrder&amp;"_"&amp;LineItem_ou_Grupodeanúncio&amp;"_"&amp;Linha_criativa_2&amp;"_"&amp;Unique_ID)</f>
        <v>#N/A</v>
      </c>
      <c r="BM136" s="27"/>
      <c r="BN136" s="27"/>
    </row>
    <row r="137">
      <c r="A137" s="1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8" t="str">
        <f>LOWER(Campanha_ou_InsertionOrder&amp;"_"&amp;LineItem_ou_Grupodeanúncio&amp;"_"&amp;Linha_Criativa&amp;"_"&amp;Unique_ID)</f>
        <v>#N/A</v>
      </c>
      <c r="AN137" s="28" t="str">
        <f>LOWER(Campanha_ou_InsertionOrder&amp;"_"&amp;LineItem_ou_Grupodeanúncio&amp;"_"&amp;Linha_Criativa&amp;"_"&amp;Unique_ID)</f>
        <v>#N/A</v>
      </c>
      <c r="AO137" s="28" t="str">
        <f>LOWER("VW"&amp;"_"&amp;Model_Variant&amp;"_"&amp;Size&amp;"_"&amp;Linha_Criativa&amp;"_"&amp;IF(Servido_Por="portal",Veiculo,"adserver"))</f>
        <v>vw____adserver</v>
      </c>
      <c r="AP1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7" s="22" t="str">
        <f t="shared" si="1"/>
        <v/>
      </c>
      <c r="AS137" s="22" t="str">
        <f t="shared" si="2"/>
        <v/>
      </c>
      <c r="AT137" s="22" t="str">
        <f t="shared" si="3"/>
        <v>BR_IMC_DSY_LANCH_ND_NC_2020Q3AUG_NVS_Nivus-Launch-Consideracao</v>
      </c>
      <c r="AU137" s="22" t="str">
        <f t="shared" si="4"/>
        <v>#N/A</v>
      </c>
      <c r="AV137" s="22" t="s">
        <v>106</v>
      </c>
      <c r="AW1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7" s="22" t="str">
        <f t="shared" si="5"/>
        <v>BR_IMC_DSY_LANCH_ND_NC_2020Q3AUG_NVS_Nivus-Launch-Consideracao</v>
      </c>
      <c r="AY137" s="28" t="str">
        <f t="shared" si="6"/>
        <v>#N/A</v>
      </c>
      <c r="AZ137" s="22" t="s">
        <v>107</v>
      </c>
      <c r="BA137" s="22" t="s">
        <v>108</v>
      </c>
      <c r="BB137" s="31" t="s">
        <v>109</v>
      </c>
      <c r="BC137" s="31" t="s">
        <v>109</v>
      </c>
      <c r="BD137" s="32" t="str">
        <f t="shared" si="8"/>
        <v>nvl-nvs-imc-dsy-0820-10131</v>
      </c>
      <c r="BE137" s="33"/>
      <c r="BF137" s="33"/>
      <c r="BG137" s="39" t="str">
        <f>URL&amp;IF(ISNUMBER(FIND("?",URL)),"&amp;","?"&amp;("adlid="&amp;Unique_ID&amp;"&amp;adplt="&amp;Placement))</f>
        <v>#N/A</v>
      </c>
      <c r="BH137" s="1"/>
      <c r="BI137" s="1"/>
      <c r="BJ137" s="35" t="str">
        <f>LOWER("alp"&amp;"_"&amp;"vw"&amp;"_"&amp;Veiculo&amp;"_"&amp;C133&amp;"_"&amp;Objetivo)</f>
        <v>alp_vw___</v>
      </c>
      <c r="BK137" s="35" t="str">
        <f>LOWER(Buying_Metric&amp;"_"&amp;VLOOKUP(Buying_Type,Buy_type,2,FALSE)&amp;"_"&amp;Device&amp;"_"&amp;Size&amp;"_"&amp;Segmentação&amp;"_"&amp;Segmentação_Anúncio)</f>
        <v>#N/A</v>
      </c>
      <c r="BL137" s="35" t="str">
        <f>LOWER(Campanha_ou_InsertionOrder&amp;"_"&amp;LineItem_ou_Grupodeanúncio&amp;"_"&amp;Linha_criativa_2&amp;"_"&amp;Unique_ID)</f>
        <v>#N/A</v>
      </c>
      <c r="BM137" s="27"/>
      <c r="BN137" s="27"/>
    </row>
    <row r="138">
      <c r="A138" s="1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8" t="str">
        <f>LOWER(Campanha_ou_InsertionOrder&amp;"_"&amp;LineItem_ou_Grupodeanúncio&amp;"_"&amp;Linha_Criativa&amp;"_"&amp;Unique_ID)</f>
        <v>#N/A</v>
      </c>
      <c r="AN138" s="28" t="str">
        <f>LOWER(Campanha_ou_InsertionOrder&amp;"_"&amp;LineItem_ou_Grupodeanúncio&amp;"_"&amp;Linha_Criativa&amp;"_"&amp;Unique_ID)</f>
        <v>#N/A</v>
      </c>
      <c r="AO138" s="28" t="str">
        <f>LOWER("VW"&amp;"_"&amp;Model_Variant&amp;"_"&amp;Size&amp;"_"&amp;Linha_Criativa&amp;"_"&amp;IF(Servido_Por="portal",Veiculo,"adserver"))</f>
        <v>vw____adserver</v>
      </c>
      <c r="AP1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8" s="22" t="str">
        <f t="shared" si="1"/>
        <v/>
      </c>
      <c r="AS138" s="22" t="str">
        <f t="shared" si="2"/>
        <v/>
      </c>
      <c r="AT138" s="22" t="str">
        <f t="shared" si="3"/>
        <v>BR_IMC_DSY_LANCH_ND_NC_2020Q3AUG_NVS_Nivus-Launch-Consideracao</v>
      </c>
      <c r="AU138" s="22" t="str">
        <f t="shared" si="4"/>
        <v>#N/A</v>
      </c>
      <c r="AV138" s="22" t="s">
        <v>106</v>
      </c>
      <c r="AW1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8" s="22" t="str">
        <f t="shared" si="5"/>
        <v>BR_IMC_DSY_LANCH_ND_NC_2020Q3AUG_NVS_Nivus-Launch-Consideracao</v>
      </c>
      <c r="AY138" s="28" t="str">
        <f t="shared" si="6"/>
        <v>#N/A</v>
      </c>
      <c r="AZ138" s="22" t="s">
        <v>107</v>
      </c>
      <c r="BA138" s="22" t="s">
        <v>108</v>
      </c>
      <c r="BB138" s="31" t="s">
        <v>109</v>
      </c>
      <c r="BC138" s="31" t="s">
        <v>109</v>
      </c>
      <c r="BD138" s="32" t="str">
        <f t="shared" si="8"/>
        <v>nvl-nvs-imc-dsy-0820-10132</v>
      </c>
      <c r="BE138" s="33"/>
      <c r="BF138" s="33"/>
      <c r="BG138" s="39" t="str">
        <f>URL&amp;IF(ISNUMBER(FIND("?",URL)),"&amp;","?"&amp;("adlid="&amp;Unique_ID&amp;"&amp;adplt="&amp;Placement))</f>
        <v>#N/A</v>
      </c>
      <c r="BH138" s="1"/>
      <c r="BI138" s="1"/>
      <c r="BJ138" s="35" t="str">
        <f>LOWER("alp"&amp;"_"&amp;"vw"&amp;"_"&amp;Veiculo&amp;"_"&amp;C134&amp;"_"&amp;Objetivo)</f>
        <v>alp_vw___</v>
      </c>
      <c r="BK138" s="35" t="str">
        <f>LOWER(Buying_Metric&amp;"_"&amp;VLOOKUP(Buying_Type,Buy_type,2,FALSE)&amp;"_"&amp;Device&amp;"_"&amp;Size&amp;"_"&amp;Segmentação&amp;"_"&amp;Segmentação_Anúncio)</f>
        <v>#N/A</v>
      </c>
      <c r="BL138" s="35" t="str">
        <f>LOWER(Campanha_ou_InsertionOrder&amp;"_"&amp;LineItem_ou_Grupodeanúncio&amp;"_"&amp;Linha_criativa_2&amp;"_"&amp;Unique_ID)</f>
        <v>#N/A</v>
      </c>
      <c r="BM138" s="27"/>
      <c r="BN138" s="27"/>
    </row>
    <row r="139">
      <c r="A139" s="1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8" t="str">
        <f>LOWER(Campanha_ou_InsertionOrder&amp;"_"&amp;LineItem_ou_Grupodeanúncio&amp;"_"&amp;Linha_Criativa&amp;"_"&amp;Unique_ID)</f>
        <v>#N/A</v>
      </c>
      <c r="AN139" s="28" t="str">
        <f>LOWER(Campanha_ou_InsertionOrder&amp;"_"&amp;LineItem_ou_Grupodeanúncio&amp;"_"&amp;Linha_Criativa&amp;"_"&amp;Unique_ID)</f>
        <v>#N/A</v>
      </c>
      <c r="AO139" s="28" t="str">
        <f>LOWER("VW"&amp;"_"&amp;Model_Variant&amp;"_"&amp;Size&amp;"_"&amp;Linha_Criativa&amp;"_"&amp;IF(Servido_Por="portal",Veiculo,"adserver"))</f>
        <v>vw____adserver</v>
      </c>
      <c r="AP1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39" s="22" t="str">
        <f t="shared" si="1"/>
        <v/>
      </c>
      <c r="AS139" s="22" t="str">
        <f t="shared" si="2"/>
        <v/>
      </c>
      <c r="AT139" s="22" t="str">
        <f t="shared" si="3"/>
        <v>BR_IMC_DSY_LANCH_ND_NC_2020Q3AUG_NVS_Nivus-Launch-Consideracao</v>
      </c>
      <c r="AU139" s="22" t="str">
        <f t="shared" si="4"/>
        <v>#N/A</v>
      </c>
      <c r="AV139" s="22" t="s">
        <v>106</v>
      </c>
      <c r="AW1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39" s="22" t="str">
        <f t="shared" si="5"/>
        <v>BR_IMC_DSY_LANCH_ND_NC_2020Q3AUG_NVS_Nivus-Launch-Consideracao</v>
      </c>
      <c r="AY139" s="28" t="str">
        <f t="shared" si="6"/>
        <v>#N/A</v>
      </c>
      <c r="AZ139" s="22" t="s">
        <v>107</v>
      </c>
      <c r="BA139" s="22" t="s">
        <v>108</v>
      </c>
      <c r="BB139" s="31" t="s">
        <v>109</v>
      </c>
      <c r="BC139" s="31" t="s">
        <v>109</v>
      </c>
      <c r="BD139" s="32" t="str">
        <f t="shared" si="8"/>
        <v>nvl-nvs-imc-dsy-0820-10133</v>
      </c>
      <c r="BE139" s="33"/>
      <c r="BF139" s="33"/>
      <c r="BG139" s="39" t="str">
        <f>URL&amp;IF(ISNUMBER(FIND("?",URL)),"&amp;","?"&amp;("adlid="&amp;Unique_ID&amp;"&amp;adplt="&amp;Placement))</f>
        <v>#N/A</v>
      </c>
      <c r="BH139" s="1"/>
      <c r="BI139" s="1"/>
      <c r="BJ139" s="35" t="str">
        <f>LOWER("alp"&amp;"_"&amp;"vw"&amp;"_"&amp;Veiculo&amp;"_"&amp;C135&amp;"_"&amp;Objetivo)</f>
        <v>alp_vw___</v>
      </c>
      <c r="BK139" s="35" t="str">
        <f>LOWER(Buying_Metric&amp;"_"&amp;VLOOKUP(Buying_Type,Buy_type,2,FALSE)&amp;"_"&amp;Device&amp;"_"&amp;Size&amp;"_"&amp;Segmentação&amp;"_"&amp;Segmentação_Anúncio)</f>
        <v>#N/A</v>
      </c>
      <c r="BL139" s="35" t="str">
        <f>LOWER(Campanha_ou_InsertionOrder&amp;"_"&amp;LineItem_ou_Grupodeanúncio&amp;"_"&amp;Linha_criativa_2&amp;"_"&amp;Unique_ID)</f>
        <v>#N/A</v>
      </c>
      <c r="BM139" s="27"/>
      <c r="BN139" s="27"/>
    </row>
    <row r="140">
      <c r="A140" s="1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tr">
        <f>LOWER(Campanha_ou_InsertionOrder&amp;"_"&amp;LineItem_ou_Grupodeanúncio&amp;"_"&amp;Linha_Criativa&amp;"_"&amp;Unique_ID)</f>
        <v>#N/A</v>
      </c>
      <c r="AN140" s="28" t="str">
        <f>LOWER(Campanha_ou_InsertionOrder&amp;"_"&amp;LineItem_ou_Grupodeanúncio&amp;"_"&amp;Linha_Criativa&amp;"_"&amp;Unique_ID)</f>
        <v>#N/A</v>
      </c>
      <c r="AO140" s="28" t="str">
        <f>LOWER("VW"&amp;"_"&amp;Model_Variant&amp;"_"&amp;Size&amp;"_"&amp;Linha_Criativa&amp;"_"&amp;IF(Servido_Por="portal",Veiculo,"adserver"))</f>
        <v>vw____adserver</v>
      </c>
      <c r="AP1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0" s="22" t="str">
        <f t="shared" si="1"/>
        <v/>
      </c>
      <c r="AS140" s="22" t="str">
        <f t="shared" si="2"/>
        <v/>
      </c>
      <c r="AT140" s="22" t="str">
        <f t="shared" si="3"/>
        <v>BR_IMC_DSY_LANCH_ND_NC_2020Q3AUG_NVS_Nivus-Launch-Consideracao</v>
      </c>
      <c r="AU140" s="22" t="str">
        <f t="shared" si="4"/>
        <v>#N/A</v>
      </c>
      <c r="AV140" s="22" t="s">
        <v>106</v>
      </c>
      <c r="AW1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0" s="22" t="str">
        <f t="shared" si="5"/>
        <v>BR_IMC_DSY_LANCH_ND_NC_2020Q3AUG_NVS_Nivus-Launch-Consideracao</v>
      </c>
      <c r="AY140" s="28" t="str">
        <f t="shared" si="6"/>
        <v>#N/A</v>
      </c>
      <c r="AZ140" s="22" t="s">
        <v>107</v>
      </c>
      <c r="BA140" s="22" t="s">
        <v>108</v>
      </c>
      <c r="BB140" s="31" t="s">
        <v>109</v>
      </c>
      <c r="BC140" s="31" t="s">
        <v>109</v>
      </c>
      <c r="BD140" s="32" t="str">
        <f t="shared" si="8"/>
        <v>nvl-nvs-imc-dsy-0820-10134</v>
      </c>
      <c r="BE140" s="33"/>
      <c r="BF140" s="33"/>
      <c r="BG140" s="39" t="str">
        <f>URL&amp;IF(ISNUMBER(FIND("?",URL)),"&amp;","?"&amp;("adlid="&amp;Unique_ID&amp;"&amp;adplt="&amp;Placement))</f>
        <v>#N/A</v>
      </c>
      <c r="BH140" s="1"/>
      <c r="BI140" s="1"/>
      <c r="BJ140" s="35" t="str">
        <f>LOWER("alp"&amp;"_"&amp;"vw"&amp;"_"&amp;Veiculo&amp;"_"&amp;C136&amp;"_"&amp;Objetivo)</f>
        <v>alp_vw___</v>
      </c>
      <c r="BK140" s="35" t="str">
        <f>LOWER(Buying_Metric&amp;"_"&amp;VLOOKUP(Buying_Type,Buy_type,2,FALSE)&amp;"_"&amp;Device&amp;"_"&amp;Size&amp;"_"&amp;Segmentação&amp;"_"&amp;Segmentação_Anúncio)</f>
        <v>#N/A</v>
      </c>
      <c r="BL140" s="35" t="str">
        <f>LOWER(Campanha_ou_InsertionOrder&amp;"_"&amp;LineItem_ou_Grupodeanúncio&amp;"_"&amp;Linha_criativa_2&amp;"_"&amp;Unique_ID)</f>
        <v>#N/A</v>
      </c>
      <c r="BM140" s="27"/>
      <c r="BN140" s="27"/>
    </row>
    <row r="141">
      <c r="A141" s="1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8" t="str">
        <f>LOWER(Campanha_ou_InsertionOrder&amp;"_"&amp;LineItem_ou_Grupodeanúncio&amp;"_"&amp;Linha_Criativa&amp;"_"&amp;Unique_ID)</f>
        <v>#N/A</v>
      </c>
      <c r="AN141" s="28" t="str">
        <f>LOWER(Campanha_ou_InsertionOrder&amp;"_"&amp;LineItem_ou_Grupodeanúncio&amp;"_"&amp;Linha_Criativa&amp;"_"&amp;Unique_ID)</f>
        <v>#N/A</v>
      </c>
      <c r="AO141" s="28" t="str">
        <f>LOWER("VW"&amp;"_"&amp;Model_Variant&amp;"_"&amp;Size&amp;"_"&amp;Linha_Criativa&amp;"_"&amp;IF(Servido_Por="portal",Veiculo,"adserver"))</f>
        <v>vw____adserver</v>
      </c>
      <c r="AP1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1" s="22" t="str">
        <f t="shared" si="1"/>
        <v/>
      </c>
      <c r="AS141" s="22" t="str">
        <f t="shared" si="2"/>
        <v/>
      </c>
      <c r="AT141" s="22" t="str">
        <f t="shared" si="3"/>
        <v>BR_IMC_DSY_LANCH_ND_NC_2020Q3AUG_NVS_Nivus-Launch-Consideracao</v>
      </c>
      <c r="AU141" s="22" t="str">
        <f t="shared" si="4"/>
        <v>#N/A</v>
      </c>
      <c r="AV141" s="22" t="s">
        <v>106</v>
      </c>
      <c r="AW1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1" s="22" t="str">
        <f t="shared" si="5"/>
        <v>BR_IMC_DSY_LANCH_ND_NC_2020Q3AUG_NVS_Nivus-Launch-Consideracao</v>
      </c>
      <c r="AY141" s="28" t="str">
        <f t="shared" si="6"/>
        <v>#N/A</v>
      </c>
      <c r="AZ141" s="22" t="s">
        <v>107</v>
      </c>
      <c r="BA141" s="22" t="s">
        <v>108</v>
      </c>
      <c r="BB141" s="31" t="s">
        <v>109</v>
      </c>
      <c r="BC141" s="31" t="s">
        <v>109</v>
      </c>
      <c r="BD141" s="32" t="str">
        <f t="shared" si="8"/>
        <v>nvl-nvs-imc-dsy-0820-10135</v>
      </c>
      <c r="BE141" s="33"/>
      <c r="BF141" s="33"/>
      <c r="BG141" s="39" t="str">
        <f>URL&amp;IF(ISNUMBER(FIND("?",URL)),"&amp;","?"&amp;("adlid="&amp;Unique_ID&amp;"&amp;adplt="&amp;Placement))</f>
        <v>#N/A</v>
      </c>
      <c r="BH141" s="1"/>
      <c r="BI141" s="1"/>
      <c r="BJ141" s="35" t="str">
        <f>LOWER("alp"&amp;"_"&amp;"vw"&amp;"_"&amp;Veiculo&amp;"_"&amp;C137&amp;"_"&amp;Objetivo)</f>
        <v>alp_vw___</v>
      </c>
      <c r="BK141" s="35" t="str">
        <f>LOWER(Buying_Metric&amp;"_"&amp;VLOOKUP(Buying_Type,Buy_type,2,FALSE)&amp;"_"&amp;Device&amp;"_"&amp;Size&amp;"_"&amp;Segmentação&amp;"_"&amp;Segmentação_Anúncio)</f>
        <v>#N/A</v>
      </c>
      <c r="BL141" s="35" t="str">
        <f>LOWER(Campanha_ou_InsertionOrder&amp;"_"&amp;LineItem_ou_Grupodeanúncio&amp;"_"&amp;Linha_criativa_2&amp;"_"&amp;Unique_ID)</f>
        <v>#N/A</v>
      </c>
      <c r="BM141" s="27"/>
      <c r="BN141" s="27"/>
    </row>
    <row r="142">
      <c r="A142" s="1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8" t="str">
        <f>LOWER(Campanha_ou_InsertionOrder&amp;"_"&amp;LineItem_ou_Grupodeanúncio&amp;"_"&amp;Linha_Criativa&amp;"_"&amp;Unique_ID)</f>
        <v>#N/A</v>
      </c>
      <c r="AN142" s="28" t="str">
        <f>LOWER(Campanha_ou_InsertionOrder&amp;"_"&amp;LineItem_ou_Grupodeanúncio&amp;"_"&amp;Linha_Criativa&amp;"_"&amp;Unique_ID)</f>
        <v>#N/A</v>
      </c>
      <c r="AO142" s="28" t="str">
        <f>LOWER("VW"&amp;"_"&amp;Model_Variant&amp;"_"&amp;Size&amp;"_"&amp;Linha_Criativa&amp;"_"&amp;IF(Servido_Por="portal",Veiculo,"adserver"))</f>
        <v>vw____adserver</v>
      </c>
      <c r="AP1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2" s="22" t="str">
        <f t="shared" si="1"/>
        <v/>
      </c>
      <c r="AS142" s="22" t="str">
        <f t="shared" si="2"/>
        <v/>
      </c>
      <c r="AT142" s="22" t="str">
        <f t="shared" si="3"/>
        <v>BR_IMC_DSY_LANCH_ND_NC_2020Q3AUG_NVS_Nivus-Launch-Consideracao</v>
      </c>
      <c r="AU142" s="22" t="str">
        <f t="shared" si="4"/>
        <v>#N/A</v>
      </c>
      <c r="AV142" s="22" t="s">
        <v>106</v>
      </c>
      <c r="AW1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2" s="22" t="str">
        <f t="shared" si="5"/>
        <v>BR_IMC_DSY_LANCH_ND_NC_2020Q3AUG_NVS_Nivus-Launch-Consideracao</v>
      </c>
      <c r="AY142" s="28" t="str">
        <f t="shared" si="6"/>
        <v>#N/A</v>
      </c>
      <c r="AZ142" s="22" t="s">
        <v>107</v>
      </c>
      <c r="BA142" s="22" t="s">
        <v>108</v>
      </c>
      <c r="BB142" s="31" t="s">
        <v>109</v>
      </c>
      <c r="BC142" s="31" t="s">
        <v>109</v>
      </c>
      <c r="BD142" s="32" t="str">
        <f t="shared" si="8"/>
        <v>nvl-nvs-imc-dsy-0820-10136</v>
      </c>
      <c r="BE142" s="33"/>
      <c r="BF142" s="33"/>
      <c r="BG142" s="39" t="str">
        <f>URL&amp;IF(ISNUMBER(FIND("?",URL)),"&amp;","?"&amp;("adlid="&amp;Unique_ID&amp;"&amp;adplt="&amp;Placement))</f>
        <v>#N/A</v>
      </c>
      <c r="BH142" s="1"/>
      <c r="BI142" s="1"/>
      <c r="BJ142" s="35" t="str">
        <f>LOWER("alp"&amp;"_"&amp;"vw"&amp;"_"&amp;Veiculo&amp;"_"&amp;C138&amp;"_"&amp;Objetivo)</f>
        <v>alp_vw___</v>
      </c>
      <c r="BK142" s="35" t="str">
        <f>LOWER(Buying_Metric&amp;"_"&amp;VLOOKUP(Buying_Type,Buy_type,2,FALSE)&amp;"_"&amp;Device&amp;"_"&amp;Size&amp;"_"&amp;Segmentação&amp;"_"&amp;Segmentação_Anúncio)</f>
        <v>#N/A</v>
      </c>
      <c r="BL142" s="35" t="str">
        <f>LOWER(Campanha_ou_InsertionOrder&amp;"_"&amp;LineItem_ou_Grupodeanúncio&amp;"_"&amp;Linha_criativa_2&amp;"_"&amp;Unique_ID)</f>
        <v>#N/A</v>
      </c>
      <c r="BM142" s="27"/>
      <c r="BN142" s="27"/>
    </row>
    <row r="143">
      <c r="A143" s="1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8" t="str">
        <f>LOWER(Campanha_ou_InsertionOrder&amp;"_"&amp;LineItem_ou_Grupodeanúncio&amp;"_"&amp;Linha_Criativa&amp;"_"&amp;Unique_ID)</f>
        <v>#N/A</v>
      </c>
      <c r="AN143" s="28" t="str">
        <f>LOWER(Campanha_ou_InsertionOrder&amp;"_"&amp;LineItem_ou_Grupodeanúncio&amp;"_"&amp;Linha_Criativa&amp;"_"&amp;Unique_ID)</f>
        <v>#N/A</v>
      </c>
      <c r="AO143" s="28" t="str">
        <f>LOWER("VW"&amp;"_"&amp;Model_Variant&amp;"_"&amp;Size&amp;"_"&amp;Linha_Criativa&amp;"_"&amp;IF(Servido_Por="portal",Veiculo,"adserver"))</f>
        <v>vw____adserver</v>
      </c>
      <c r="AP1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3" s="22" t="str">
        <f t="shared" si="1"/>
        <v/>
      </c>
      <c r="AS143" s="22" t="str">
        <f t="shared" si="2"/>
        <v/>
      </c>
      <c r="AT143" s="22" t="str">
        <f t="shared" si="3"/>
        <v>BR_IMC_DSY_LANCH_ND_NC_2020Q3AUG_NVS_Nivus-Launch-Consideracao</v>
      </c>
      <c r="AU143" s="22" t="str">
        <f t="shared" si="4"/>
        <v>#N/A</v>
      </c>
      <c r="AV143" s="22" t="s">
        <v>106</v>
      </c>
      <c r="AW1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3" s="22" t="str">
        <f t="shared" si="5"/>
        <v>BR_IMC_DSY_LANCH_ND_NC_2020Q3AUG_NVS_Nivus-Launch-Consideracao</v>
      </c>
      <c r="AY143" s="28" t="str">
        <f t="shared" si="6"/>
        <v>#N/A</v>
      </c>
      <c r="AZ143" s="22" t="s">
        <v>107</v>
      </c>
      <c r="BA143" s="22" t="s">
        <v>108</v>
      </c>
      <c r="BB143" s="31" t="s">
        <v>109</v>
      </c>
      <c r="BC143" s="31" t="s">
        <v>109</v>
      </c>
      <c r="BD143" s="32" t="str">
        <f t="shared" si="8"/>
        <v>nvl-nvs-imc-dsy-0820-10137</v>
      </c>
      <c r="BE143" s="33"/>
      <c r="BF143" s="33"/>
      <c r="BG143" s="39" t="str">
        <f>URL&amp;IF(ISNUMBER(FIND("?",URL)),"&amp;","?"&amp;("adlid="&amp;Unique_ID&amp;"&amp;adplt="&amp;Placement))</f>
        <v>#N/A</v>
      </c>
      <c r="BH143" s="1"/>
      <c r="BI143" s="1"/>
      <c r="BJ143" s="35" t="str">
        <f>LOWER("alp"&amp;"_"&amp;"vw"&amp;"_"&amp;Veiculo&amp;"_"&amp;C139&amp;"_"&amp;Objetivo)</f>
        <v>alp_vw___</v>
      </c>
      <c r="BK143" s="35" t="str">
        <f>LOWER(Buying_Metric&amp;"_"&amp;VLOOKUP(Buying_Type,Buy_type,2,FALSE)&amp;"_"&amp;Device&amp;"_"&amp;Size&amp;"_"&amp;Segmentação&amp;"_"&amp;Segmentação_Anúncio)</f>
        <v>#N/A</v>
      </c>
      <c r="BL143" s="35" t="str">
        <f>LOWER(Campanha_ou_InsertionOrder&amp;"_"&amp;LineItem_ou_Grupodeanúncio&amp;"_"&amp;Linha_criativa_2&amp;"_"&amp;Unique_ID)</f>
        <v>#N/A</v>
      </c>
      <c r="BM143" s="27"/>
      <c r="BN143" s="27"/>
    </row>
    <row r="144">
      <c r="A144" s="1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8" t="str">
        <f>LOWER(Campanha_ou_InsertionOrder&amp;"_"&amp;LineItem_ou_Grupodeanúncio&amp;"_"&amp;Linha_Criativa&amp;"_"&amp;Unique_ID)</f>
        <v>#N/A</v>
      </c>
      <c r="AN144" s="28" t="str">
        <f>LOWER(Campanha_ou_InsertionOrder&amp;"_"&amp;LineItem_ou_Grupodeanúncio&amp;"_"&amp;Linha_Criativa&amp;"_"&amp;Unique_ID)</f>
        <v>#N/A</v>
      </c>
      <c r="AO144" s="28" t="str">
        <f>LOWER("VW"&amp;"_"&amp;Model_Variant&amp;"_"&amp;Size&amp;"_"&amp;Linha_Criativa&amp;"_"&amp;IF(Servido_Por="portal",Veiculo,"adserver"))</f>
        <v>vw____adserver</v>
      </c>
      <c r="AP1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4" s="22" t="str">
        <f t="shared" si="1"/>
        <v/>
      </c>
      <c r="AS144" s="22" t="str">
        <f t="shared" si="2"/>
        <v/>
      </c>
      <c r="AT144" s="22" t="str">
        <f t="shared" si="3"/>
        <v>BR_IMC_DSY_LANCH_ND_NC_2020Q3AUG_NVS_Nivus-Launch-Consideracao</v>
      </c>
      <c r="AU144" s="22" t="str">
        <f t="shared" si="4"/>
        <v>#N/A</v>
      </c>
      <c r="AV144" s="22" t="s">
        <v>106</v>
      </c>
      <c r="AW1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4" s="22" t="str">
        <f t="shared" si="5"/>
        <v>BR_IMC_DSY_LANCH_ND_NC_2020Q3AUG_NVS_Nivus-Launch-Consideracao</v>
      </c>
      <c r="AY144" s="28" t="str">
        <f t="shared" si="6"/>
        <v>#N/A</v>
      </c>
      <c r="AZ144" s="22" t="s">
        <v>107</v>
      </c>
      <c r="BA144" s="22" t="s">
        <v>108</v>
      </c>
      <c r="BB144" s="31" t="s">
        <v>109</v>
      </c>
      <c r="BC144" s="31" t="s">
        <v>109</v>
      </c>
      <c r="BD144" s="32" t="str">
        <f t="shared" si="8"/>
        <v>nvl-nvs-imc-dsy-0820-10138</v>
      </c>
      <c r="BE144" s="33"/>
      <c r="BF144" s="33"/>
      <c r="BG144" s="39" t="str">
        <f>URL&amp;IF(ISNUMBER(FIND("?",URL)),"&amp;","?"&amp;("adlid="&amp;Unique_ID&amp;"&amp;adplt="&amp;Placement))</f>
        <v>#N/A</v>
      </c>
      <c r="BH144" s="1"/>
      <c r="BI144" s="1"/>
      <c r="BJ144" s="35" t="str">
        <f>LOWER("alp"&amp;"_"&amp;"vw"&amp;"_"&amp;Veiculo&amp;"_"&amp;C140&amp;"_"&amp;Objetivo)</f>
        <v>alp_vw___</v>
      </c>
      <c r="BK144" s="35" t="str">
        <f>LOWER(Buying_Metric&amp;"_"&amp;VLOOKUP(Buying_Type,Buy_type,2,FALSE)&amp;"_"&amp;Device&amp;"_"&amp;Size&amp;"_"&amp;Segmentação&amp;"_"&amp;Segmentação_Anúncio)</f>
        <v>#N/A</v>
      </c>
      <c r="BL144" s="35" t="str">
        <f>LOWER(Campanha_ou_InsertionOrder&amp;"_"&amp;LineItem_ou_Grupodeanúncio&amp;"_"&amp;Linha_criativa_2&amp;"_"&amp;Unique_ID)</f>
        <v>#N/A</v>
      </c>
      <c r="BM144" s="27"/>
      <c r="BN144" s="27"/>
    </row>
    <row r="145">
      <c r="A145" s="1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8" t="str">
        <f>LOWER(Campanha_ou_InsertionOrder&amp;"_"&amp;LineItem_ou_Grupodeanúncio&amp;"_"&amp;Linha_Criativa&amp;"_"&amp;Unique_ID)</f>
        <v>#N/A</v>
      </c>
      <c r="AN145" s="28" t="str">
        <f>LOWER(Campanha_ou_InsertionOrder&amp;"_"&amp;LineItem_ou_Grupodeanúncio&amp;"_"&amp;Linha_Criativa&amp;"_"&amp;Unique_ID)</f>
        <v>#N/A</v>
      </c>
      <c r="AO145" s="28" t="str">
        <f>LOWER("VW"&amp;"_"&amp;Model_Variant&amp;"_"&amp;Size&amp;"_"&amp;Linha_Criativa&amp;"_"&amp;IF(Servido_Por="portal",Veiculo,"adserver"))</f>
        <v>vw____adserver</v>
      </c>
      <c r="AP1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5" s="22" t="str">
        <f t="shared" si="1"/>
        <v/>
      </c>
      <c r="AS145" s="22" t="str">
        <f t="shared" si="2"/>
        <v/>
      </c>
      <c r="AT145" s="22" t="str">
        <f t="shared" si="3"/>
        <v>BR_IMC_DSY_LANCH_ND_NC_2020Q3AUG_NVS_Nivus-Launch-Consideracao</v>
      </c>
      <c r="AU145" s="22" t="str">
        <f t="shared" si="4"/>
        <v>#N/A</v>
      </c>
      <c r="AV145" s="22" t="s">
        <v>106</v>
      </c>
      <c r="AW1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5" s="22" t="str">
        <f t="shared" si="5"/>
        <v>BR_IMC_DSY_LANCH_ND_NC_2020Q3AUG_NVS_Nivus-Launch-Consideracao</v>
      </c>
      <c r="AY145" s="28" t="str">
        <f t="shared" si="6"/>
        <v>#N/A</v>
      </c>
      <c r="AZ145" s="22" t="s">
        <v>107</v>
      </c>
      <c r="BA145" s="22" t="s">
        <v>108</v>
      </c>
      <c r="BB145" s="31" t="s">
        <v>109</v>
      </c>
      <c r="BC145" s="31" t="s">
        <v>109</v>
      </c>
      <c r="BD145" s="32" t="str">
        <f t="shared" si="8"/>
        <v>nvl-nvs-imc-dsy-0820-10139</v>
      </c>
      <c r="BE145" s="33"/>
      <c r="BF145" s="33"/>
      <c r="BG145" s="39" t="str">
        <f>URL&amp;IF(ISNUMBER(FIND("?",URL)),"&amp;","?"&amp;("adlid="&amp;Unique_ID&amp;"&amp;adplt="&amp;Placement))</f>
        <v>#N/A</v>
      </c>
      <c r="BH145" s="1"/>
      <c r="BI145" s="1"/>
      <c r="BJ145" s="35" t="str">
        <f>LOWER("alp"&amp;"_"&amp;"vw"&amp;"_"&amp;Veiculo&amp;"_"&amp;C141&amp;"_"&amp;Objetivo)</f>
        <v>alp_vw___</v>
      </c>
      <c r="BK145" s="35" t="str">
        <f>LOWER(Buying_Metric&amp;"_"&amp;VLOOKUP(Buying_Type,Buy_type,2,FALSE)&amp;"_"&amp;Device&amp;"_"&amp;Size&amp;"_"&amp;Segmentação&amp;"_"&amp;Segmentação_Anúncio)</f>
        <v>#N/A</v>
      </c>
      <c r="BL145" s="35" t="str">
        <f>LOWER(Campanha_ou_InsertionOrder&amp;"_"&amp;LineItem_ou_Grupodeanúncio&amp;"_"&amp;Linha_criativa_2&amp;"_"&amp;Unique_ID)</f>
        <v>#N/A</v>
      </c>
      <c r="BM145" s="27"/>
      <c r="BN145" s="27"/>
    </row>
    <row r="146">
      <c r="A146" s="1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8" t="str">
        <f>LOWER(Campanha_ou_InsertionOrder&amp;"_"&amp;LineItem_ou_Grupodeanúncio&amp;"_"&amp;Linha_Criativa&amp;"_"&amp;Unique_ID)</f>
        <v>#N/A</v>
      </c>
      <c r="AN146" s="28" t="str">
        <f>LOWER(Campanha_ou_InsertionOrder&amp;"_"&amp;LineItem_ou_Grupodeanúncio&amp;"_"&amp;Linha_Criativa&amp;"_"&amp;Unique_ID)</f>
        <v>#N/A</v>
      </c>
      <c r="AO146" s="28" t="str">
        <f>LOWER("VW"&amp;"_"&amp;Model_Variant&amp;"_"&amp;Size&amp;"_"&amp;Linha_Criativa&amp;"_"&amp;IF(Servido_Por="portal",Veiculo,"adserver"))</f>
        <v>vw____adserver</v>
      </c>
      <c r="AP1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6" s="22" t="str">
        <f t="shared" si="1"/>
        <v/>
      </c>
      <c r="AS146" s="22" t="str">
        <f t="shared" si="2"/>
        <v/>
      </c>
      <c r="AT146" s="22" t="str">
        <f t="shared" si="3"/>
        <v>BR_IMC_DSY_LANCH_ND_NC_2020Q3AUG_NVS_Nivus-Launch-Consideracao</v>
      </c>
      <c r="AU146" s="22" t="str">
        <f t="shared" si="4"/>
        <v>#N/A</v>
      </c>
      <c r="AV146" s="22" t="s">
        <v>106</v>
      </c>
      <c r="AW1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6" s="22" t="str">
        <f t="shared" si="5"/>
        <v>BR_IMC_DSY_LANCH_ND_NC_2020Q3AUG_NVS_Nivus-Launch-Consideracao</v>
      </c>
      <c r="AY146" s="28" t="str">
        <f t="shared" si="6"/>
        <v>#N/A</v>
      </c>
      <c r="AZ146" s="22" t="s">
        <v>107</v>
      </c>
      <c r="BA146" s="22" t="s">
        <v>108</v>
      </c>
      <c r="BB146" s="31" t="s">
        <v>109</v>
      </c>
      <c r="BC146" s="31" t="s">
        <v>109</v>
      </c>
      <c r="BD146" s="32" t="str">
        <f t="shared" si="8"/>
        <v>nvl-nvs-imc-dsy-0820-10140</v>
      </c>
      <c r="BE146" s="33"/>
      <c r="BF146" s="33"/>
      <c r="BG146" s="39" t="str">
        <f>URL&amp;IF(ISNUMBER(FIND("?",URL)),"&amp;","?"&amp;("adlid="&amp;Unique_ID&amp;"&amp;adplt="&amp;Placement))</f>
        <v>#N/A</v>
      </c>
      <c r="BH146" s="1"/>
      <c r="BI146" s="1"/>
      <c r="BJ146" s="35" t="str">
        <f>LOWER("alp"&amp;"_"&amp;"vw"&amp;"_"&amp;Veiculo&amp;"_"&amp;C142&amp;"_"&amp;Objetivo)</f>
        <v>alp_vw___</v>
      </c>
      <c r="BK146" s="35" t="str">
        <f>LOWER(Buying_Metric&amp;"_"&amp;VLOOKUP(Buying_Type,Buy_type,2,FALSE)&amp;"_"&amp;Device&amp;"_"&amp;Size&amp;"_"&amp;Segmentação&amp;"_"&amp;Segmentação_Anúncio)</f>
        <v>#N/A</v>
      </c>
      <c r="BL146" s="35" t="str">
        <f>LOWER(Campanha_ou_InsertionOrder&amp;"_"&amp;LineItem_ou_Grupodeanúncio&amp;"_"&amp;Linha_criativa_2&amp;"_"&amp;Unique_ID)</f>
        <v>#N/A</v>
      </c>
      <c r="BM146" s="27"/>
      <c r="BN146" s="27"/>
    </row>
    <row r="147">
      <c r="A147" s="1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8" t="str">
        <f>LOWER(Campanha_ou_InsertionOrder&amp;"_"&amp;LineItem_ou_Grupodeanúncio&amp;"_"&amp;Linha_Criativa&amp;"_"&amp;Unique_ID)</f>
        <v>#N/A</v>
      </c>
      <c r="AN147" s="28" t="str">
        <f>LOWER(Campanha_ou_InsertionOrder&amp;"_"&amp;LineItem_ou_Grupodeanúncio&amp;"_"&amp;Linha_Criativa&amp;"_"&amp;Unique_ID)</f>
        <v>#N/A</v>
      </c>
      <c r="AO147" s="28" t="str">
        <f>LOWER("VW"&amp;"_"&amp;Model_Variant&amp;"_"&amp;Size&amp;"_"&amp;Linha_Criativa&amp;"_"&amp;IF(Servido_Por="portal",Veiculo,"adserver"))</f>
        <v>vw____adserver</v>
      </c>
      <c r="AP1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7" s="22" t="str">
        <f t="shared" si="1"/>
        <v/>
      </c>
      <c r="AS147" s="22" t="str">
        <f t="shared" si="2"/>
        <v/>
      </c>
      <c r="AT147" s="22" t="str">
        <f t="shared" si="3"/>
        <v>BR_IMC_DSY_LANCH_ND_NC_2020Q3AUG_NVS_Nivus-Launch-Consideracao</v>
      </c>
      <c r="AU147" s="22" t="str">
        <f t="shared" si="4"/>
        <v>#N/A</v>
      </c>
      <c r="AV147" s="22" t="s">
        <v>106</v>
      </c>
      <c r="AW1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7" s="22" t="str">
        <f t="shared" si="5"/>
        <v>BR_IMC_DSY_LANCH_ND_NC_2020Q3AUG_NVS_Nivus-Launch-Consideracao</v>
      </c>
      <c r="AY147" s="28" t="str">
        <f t="shared" si="6"/>
        <v>#N/A</v>
      </c>
      <c r="AZ147" s="22" t="s">
        <v>107</v>
      </c>
      <c r="BA147" s="22" t="s">
        <v>108</v>
      </c>
      <c r="BB147" s="31" t="s">
        <v>109</v>
      </c>
      <c r="BC147" s="31" t="s">
        <v>109</v>
      </c>
      <c r="BD147" s="32" t="str">
        <f t="shared" si="8"/>
        <v>nvl-nvs-imc-dsy-0820-10141</v>
      </c>
      <c r="BE147" s="33"/>
      <c r="BF147" s="33"/>
      <c r="BG147" s="39" t="str">
        <f>URL&amp;IF(ISNUMBER(FIND("?",URL)),"&amp;","?"&amp;("adlid="&amp;Unique_ID&amp;"&amp;adplt="&amp;Placement))</f>
        <v>#N/A</v>
      </c>
      <c r="BH147" s="1"/>
      <c r="BI147" s="1"/>
      <c r="BJ147" s="35" t="str">
        <f>LOWER("alp"&amp;"_"&amp;"vw"&amp;"_"&amp;Veiculo&amp;"_"&amp;C143&amp;"_"&amp;Objetivo)</f>
        <v>alp_vw___</v>
      </c>
      <c r="BK147" s="35" t="str">
        <f>LOWER(Buying_Metric&amp;"_"&amp;VLOOKUP(Buying_Type,Buy_type,2,FALSE)&amp;"_"&amp;Device&amp;"_"&amp;Size&amp;"_"&amp;Segmentação&amp;"_"&amp;Segmentação_Anúncio)</f>
        <v>#N/A</v>
      </c>
      <c r="BL147" s="35" t="str">
        <f>LOWER(Campanha_ou_InsertionOrder&amp;"_"&amp;LineItem_ou_Grupodeanúncio&amp;"_"&amp;Linha_criativa_2&amp;"_"&amp;Unique_ID)</f>
        <v>#N/A</v>
      </c>
      <c r="BM147" s="27"/>
      <c r="BN147" s="27"/>
    </row>
    <row r="148">
      <c r="A148" s="1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8" t="str">
        <f>LOWER(Campanha_ou_InsertionOrder&amp;"_"&amp;LineItem_ou_Grupodeanúncio&amp;"_"&amp;Linha_Criativa&amp;"_"&amp;Unique_ID)</f>
        <v>#N/A</v>
      </c>
      <c r="AN148" s="28" t="str">
        <f>LOWER(Campanha_ou_InsertionOrder&amp;"_"&amp;LineItem_ou_Grupodeanúncio&amp;"_"&amp;Linha_Criativa&amp;"_"&amp;Unique_ID)</f>
        <v>#N/A</v>
      </c>
      <c r="AO148" s="28" t="str">
        <f>LOWER("VW"&amp;"_"&amp;Model_Variant&amp;"_"&amp;Size&amp;"_"&amp;Linha_Criativa&amp;"_"&amp;IF(Servido_Por="portal",Veiculo,"adserver"))</f>
        <v>vw____adserver</v>
      </c>
      <c r="AP1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8" s="22" t="str">
        <f t="shared" si="1"/>
        <v/>
      </c>
      <c r="AS148" s="22" t="str">
        <f t="shared" si="2"/>
        <v/>
      </c>
      <c r="AT148" s="22" t="str">
        <f t="shared" si="3"/>
        <v>BR_IMC_DSY_LANCH_ND_NC_2020Q3AUG_NVS_Nivus-Launch-Consideracao</v>
      </c>
      <c r="AU148" s="22" t="str">
        <f t="shared" si="4"/>
        <v>#N/A</v>
      </c>
      <c r="AV148" s="22" t="s">
        <v>106</v>
      </c>
      <c r="AW1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8" s="22" t="str">
        <f t="shared" si="5"/>
        <v>BR_IMC_DSY_LANCH_ND_NC_2020Q3AUG_NVS_Nivus-Launch-Consideracao</v>
      </c>
      <c r="AY148" s="28" t="str">
        <f t="shared" si="6"/>
        <v>#N/A</v>
      </c>
      <c r="AZ148" s="22" t="s">
        <v>107</v>
      </c>
      <c r="BA148" s="22" t="s">
        <v>108</v>
      </c>
      <c r="BB148" s="31" t="s">
        <v>109</v>
      </c>
      <c r="BC148" s="31" t="s">
        <v>109</v>
      </c>
      <c r="BD148" s="32" t="str">
        <f t="shared" si="8"/>
        <v>nvl-nvs-imc-dsy-0820-10142</v>
      </c>
      <c r="BE148" s="33"/>
      <c r="BF148" s="33"/>
      <c r="BG148" s="39" t="str">
        <f>URL&amp;IF(ISNUMBER(FIND("?",URL)),"&amp;","?"&amp;("adlid="&amp;Unique_ID&amp;"&amp;adplt="&amp;Placement))</f>
        <v>#N/A</v>
      </c>
      <c r="BH148" s="1"/>
      <c r="BI148" s="1"/>
      <c r="BJ148" s="35" t="str">
        <f>LOWER("alp"&amp;"_"&amp;"vw"&amp;"_"&amp;Veiculo&amp;"_"&amp;C144&amp;"_"&amp;Objetivo)</f>
        <v>alp_vw___</v>
      </c>
      <c r="BK148" s="35" t="str">
        <f>LOWER(Buying_Metric&amp;"_"&amp;VLOOKUP(Buying_Type,Buy_type,2,FALSE)&amp;"_"&amp;Device&amp;"_"&amp;Size&amp;"_"&amp;Segmentação&amp;"_"&amp;Segmentação_Anúncio)</f>
        <v>#N/A</v>
      </c>
      <c r="BL148" s="35" t="str">
        <f>LOWER(Campanha_ou_InsertionOrder&amp;"_"&amp;LineItem_ou_Grupodeanúncio&amp;"_"&amp;Linha_criativa_2&amp;"_"&amp;Unique_ID)</f>
        <v>#N/A</v>
      </c>
      <c r="BM148" s="27"/>
      <c r="BN148" s="27"/>
    </row>
    <row r="149">
      <c r="A149" s="1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8" t="str">
        <f>LOWER(Campanha_ou_InsertionOrder&amp;"_"&amp;LineItem_ou_Grupodeanúncio&amp;"_"&amp;Linha_Criativa&amp;"_"&amp;Unique_ID)</f>
        <v>#N/A</v>
      </c>
      <c r="AN149" s="28" t="str">
        <f>LOWER(Campanha_ou_InsertionOrder&amp;"_"&amp;LineItem_ou_Grupodeanúncio&amp;"_"&amp;Linha_Criativa&amp;"_"&amp;Unique_ID)</f>
        <v>#N/A</v>
      </c>
      <c r="AO149" s="28" t="str">
        <f>LOWER("VW"&amp;"_"&amp;Model_Variant&amp;"_"&amp;Size&amp;"_"&amp;Linha_Criativa&amp;"_"&amp;IF(Servido_Por="portal",Veiculo,"adserver"))</f>
        <v>vw____adserver</v>
      </c>
      <c r="AP1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49" s="22" t="str">
        <f t="shared" si="1"/>
        <v/>
      </c>
      <c r="AS149" s="22" t="str">
        <f t="shared" si="2"/>
        <v/>
      </c>
      <c r="AT149" s="22" t="str">
        <f t="shared" si="3"/>
        <v>BR_IMC_DSY_LANCH_ND_NC_2020Q3AUG_NVS_Nivus-Launch-Consideracao</v>
      </c>
      <c r="AU149" s="22" t="str">
        <f t="shared" si="4"/>
        <v>#N/A</v>
      </c>
      <c r="AV149" s="22" t="s">
        <v>106</v>
      </c>
      <c r="AW1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49" s="22" t="str">
        <f t="shared" si="5"/>
        <v>BR_IMC_DSY_LANCH_ND_NC_2020Q3AUG_NVS_Nivus-Launch-Consideracao</v>
      </c>
      <c r="AY149" s="28" t="str">
        <f t="shared" si="6"/>
        <v>#N/A</v>
      </c>
      <c r="AZ149" s="22" t="s">
        <v>107</v>
      </c>
      <c r="BA149" s="22" t="s">
        <v>108</v>
      </c>
      <c r="BB149" s="31" t="s">
        <v>109</v>
      </c>
      <c r="BC149" s="31" t="s">
        <v>109</v>
      </c>
      <c r="BD149" s="32" t="str">
        <f t="shared" si="8"/>
        <v>nvl-nvs-imc-dsy-0820-10143</v>
      </c>
      <c r="BE149" s="33"/>
      <c r="BF149" s="33"/>
      <c r="BG149" s="39" t="str">
        <f>URL&amp;IF(ISNUMBER(FIND("?",URL)),"&amp;","?"&amp;("adlid="&amp;Unique_ID&amp;"&amp;adplt="&amp;Placement))</f>
        <v>#N/A</v>
      </c>
      <c r="BH149" s="1"/>
      <c r="BI149" s="1"/>
      <c r="BJ149" s="35" t="str">
        <f>LOWER("alp"&amp;"_"&amp;"vw"&amp;"_"&amp;Veiculo&amp;"_"&amp;C145&amp;"_"&amp;Objetivo)</f>
        <v>alp_vw___</v>
      </c>
      <c r="BK149" s="35" t="str">
        <f>LOWER(Buying_Metric&amp;"_"&amp;VLOOKUP(Buying_Type,Buy_type,2,FALSE)&amp;"_"&amp;Device&amp;"_"&amp;Size&amp;"_"&amp;Segmentação&amp;"_"&amp;Segmentação_Anúncio)</f>
        <v>#N/A</v>
      </c>
      <c r="BL149" s="35" t="str">
        <f>LOWER(Campanha_ou_InsertionOrder&amp;"_"&amp;LineItem_ou_Grupodeanúncio&amp;"_"&amp;Linha_criativa_2&amp;"_"&amp;Unique_ID)</f>
        <v>#N/A</v>
      </c>
      <c r="BM149" s="27"/>
      <c r="BN149" s="27"/>
    </row>
    <row r="150">
      <c r="A150" s="1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8" t="str">
        <f>LOWER(Campanha_ou_InsertionOrder&amp;"_"&amp;LineItem_ou_Grupodeanúncio&amp;"_"&amp;Linha_Criativa&amp;"_"&amp;Unique_ID)</f>
        <v>#N/A</v>
      </c>
      <c r="AN150" s="28" t="str">
        <f>LOWER(Campanha_ou_InsertionOrder&amp;"_"&amp;LineItem_ou_Grupodeanúncio&amp;"_"&amp;Linha_Criativa&amp;"_"&amp;Unique_ID)</f>
        <v>#N/A</v>
      </c>
      <c r="AO150" s="28" t="str">
        <f>LOWER("VW"&amp;"_"&amp;Model_Variant&amp;"_"&amp;Size&amp;"_"&amp;Linha_Criativa&amp;"_"&amp;IF(Servido_Por="portal",Veiculo,"adserver"))</f>
        <v>vw____adserver</v>
      </c>
      <c r="AP1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0" s="22" t="str">
        <f t="shared" si="1"/>
        <v/>
      </c>
      <c r="AS150" s="22" t="str">
        <f t="shared" si="2"/>
        <v/>
      </c>
      <c r="AT150" s="22" t="str">
        <f t="shared" si="3"/>
        <v>BR_IMC_DSY_LANCH_ND_NC_2020Q3AUG_NVS_Nivus-Launch-Consideracao</v>
      </c>
      <c r="AU150" s="22" t="str">
        <f t="shared" si="4"/>
        <v>#N/A</v>
      </c>
      <c r="AV150" s="22" t="s">
        <v>106</v>
      </c>
      <c r="AW1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0" s="22" t="str">
        <f t="shared" si="5"/>
        <v>BR_IMC_DSY_LANCH_ND_NC_2020Q3AUG_NVS_Nivus-Launch-Consideracao</v>
      </c>
      <c r="AY150" s="28" t="str">
        <f t="shared" si="6"/>
        <v>#N/A</v>
      </c>
      <c r="AZ150" s="22" t="s">
        <v>107</v>
      </c>
      <c r="BA150" s="22" t="s">
        <v>108</v>
      </c>
      <c r="BB150" s="31" t="s">
        <v>109</v>
      </c>
      <c r="BC150" s="31" t="s">
        <v>109</v>
      </c>
      <c r="BD150" s="32" t="str">
        <f t="shared" si="8"/>
        <v>nvl-nvs-imc-dsy-0820-10144</v>
      </c>
      <c r="BE150" s="33"/>
      <c r="BF150" s="33"/>
      <c r="BG150" s="39" t="str">
        <f>URL&amp;IF(ISNUMBER(FIND("?",URL)),"&amp;","?"&amp;("adlid="&amp;Unique_ID&amp;"&amp;adplt="&amp;Placement))</f>
        <v>#N/A</v>
      </c>
      <c r="BH150" s="1"/>
      <c r="BI150" s="1"/>
      <c r="BJ150" s="35" t="str">
        <f>LOWER("alp"&amp;"_"&amp;"vw"&amp;"_"&amp;Veiculo&amp;"_"&amp;C146&amp;"_"&amp;Objetivo)</f>
        <v>alp_vw___</v>
      </c>
      <c r="BK150" s="35" t="str">
        <f>LOWER(Buying_Metric&amp;"_"&amp;VLOOKUP(Buying_Type,Buy_type,2,FALSE)&amp;"_"&amp;Device&amp;"_"&amp;Size&amp;"_"&amp;Segmentação&amp;"_"&amp;Segmentação_Anúncio)</f>
        <v>#N/A</v>
      </c>
      <c r="BL150" s="35" t="str">
        <f>LOWER(Campanha_ou_InsertionOrder&amp;"_"&amp;LineItem_ou_Grupodeanúncio&amp;"_"&amp;Linha_criativa_2&amp;"_"&amp;Unique_ID)</f>
        <v>#N/A</v>
      </c>
      <c r="BM150" s="27"/>
      <c r="BN150" s="27"/>
    </row>
    <row r="151">
      <c r="A151" s="1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8" t="str">
        <f>LOWER(Campanha_ou_InsertionOrder&amp;"_"&amp;LineItem_ou_Grupodeanúncio&amp;"_"&amp;Linha_Criativa&amp;"_"&amp;Unique_ID)</f>
        <v>#N/A</v>
      </c>
      <c r="AN151" s="28" t="str">
        <f>LOWER(Campanha_ou_InsertionOrder&amp;"_"&amp;LineItem_ou_Grupodeanúncio&amp;"_"&amp;Linha_Criativa&amp;"_"&amp;Unique_ID)</f>
        <v>#N/A</v>
      </c>
      <c r="AO151" s="28" t="str">
        <f>LOWER("VW"&amp;"_"&amp;Model_Variant&amp;"_"&amp;Size&amp;"_"&amp;Linha_Criativa&amp;"_"&amp;IF(Servido_Por="portal",Veiculo,"adserver"))</f>
        <v>vw____adserver</v>
      </c>
      <c r="AP1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1" s="22" t="str">
        <f t="shared" si="1"/>
        <v/>
      </c>
      <c r="AS151" s="22" t="str">
        <f t="shared" si="2"/>
        <v/>
      </c>
      <c r="AT151" s="22" t="str">
        <f t="shared" si="3"/>
        <v>BR_IMC_DSY_LANCH_ND_NC_2020Q3AUG_NVS_Nivus-Launch-Consideracao</v>
      </c>
      <c r="AU151" s="22" t="str">
        <f t="shared" si="4"/>
        <v>#N/A</v>
      </c>
      <c r="AV151" s="22" t="s">
        <v>106</v>
      </c>
      <c r="AW1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1" s="22" t="str">
        <f t="shared" si="5"/>
        <v>BR_IMC_DSY_LANCH_ND_NC_2020Q3AUG_NVS_Nivus-Launch-Consideracao</v>
      </c>
      <c r="AY151" s="28" t="str">
        <f t="shared" si="6"/>
        <v>#N/A</v>
      </c>
      <c r="AZ151" s="22" t="s">
        <v>107</v>
      </c>
      <c r="BA151" s="22" t="s">
        <v>108</v>
      </c>
      <c r="BB151" s="31" t="s">
        <v>109</v>
      </c>
      <c r="BC151" s="31" t="s">
        <v>109</v>
      </c>
      <c r="BD151" s="32" t="str">
        <f t="shared" si="8"/>
        <v>nvl-nvs-imc-dsy-0820-10145</v>
      </c>
      <c r="BE151" s="33"/>
      <c r="BF151" s="33"/>
      <c r="BG151" s="39" t="str">
        <f>URL&amp;IF(ISNUMBER(FIND("?",URL)),"&amp;","?"&amp;("adlid="&amp;Unique_ID&amp;"&amp;adplt="&amp;Placement))</f>
        <v>#N/A</v>
      </c>
      <c r="BH151" s="1"/>
      <c r="BI151" s="1"/>
      <c r="BJ151" s="35" t="str">
        <f>LOWER("alp"&amp;"_"&amp;"vw"&amp;"_"&amp;Veiculo&amp;"_"&amp;C147&amp;"_"&amp;Objetivo)</f>
        <v>alp_vw___</v>
      </c>
      <c r="BK151" s="35" t="str">
        <f>LOWER(Buying_Metric&amp;"_"&amp;VLOOKUP(Buying_Type,Buy_type,2,FALSE)&amp;"_"&amp;Device&amp;"_"&amp;Size&amp;"_"&amp;Segmentação&amp;"_"&amp;Segmentação_Anúncio)</f>
        <v>#N/A</v>
      </c>
      <c r="BL151" s="35" t="str">
        <f>LOWER(Campanha_ou_InsertionOrder&amp;"_"&amp;LineItem_ou_Grupodeanúncio&amp;"_"&amp;Linha_criativa_2&amp;"_"&amp;Unique_ID)</f>
        <v>#N/A</v>
      </c>
      <c r="BM151" s="27"/>
      <c r="BN151" s="27"/>
    </row>
    <row r="152">
      <c r="A152" s="1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8" t="str">
        <f>LOWER(Campanha_ou_InsertionOrder&amp;"_"&amp;LineItem_ou_Grupodeanúncio&amp;"_"&amp;Linha_Criativa&amp;"_"&amp;Unique_ID)</f>
        <v>#N/A</v>
      </c>
      <c r="AN152" s="28" t="str">
        <f>LOWER(Campanha_ou_InsertionOrder&amp;"_"&amp;LineItem_ou_Grupodeanúncio&amp;"_"&amp;Linha_Criativa&amp;"_"&amp;Unique_ID)</f>
        <v>#N/A</v>
      </c>
      <c r="AO152" s="28" t="str">
        <f>LOWER("VW"&amp;"_"&amp;Model_Variant&amp;"_"&amp;Size&amp;"_"&amp;Linha_Criativa&amp;"_"&amp;IF(Servido_Por="portal",Veiculo,"adserver"))</f>
        <v>vw____adserver</v>
      </c>
      <c r="AP1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2" s="22" t="str">
        <f t="shared" si="1"/>
        <v/>
      </c>
      <c r="AS152" s="22" t="str">
        <f t="shared" si="2"/>
        <v/>
      </c>
      <c r="AT152" s="22" t="str">
        <f t="shared" si="3"/>
        <v>BR_IMC_DSY_LANCH_ND_NC_2020Q3AUG_NVS_Nivus-Launch-Consideracao</v>
      </c>
      <c r="AU152" s="22" t="str">
        <f t="shared" si="4"/>
        <v>#N/A</v>
      </c>
      <c r="AV152" s="22" t="s">
        <v>106</v>
      </c>
      <c r="AW1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2" s="22" t="str">
        <f t="shared" si="5"/>
        <v>BR_IMC_DSY_LANCH_ND_NC_2020Q3AUG_NVS_Nivus-Launch-Consideracao</v>
      </c>
      <c r="AY152" s="28" t="str">
        <f t="shared" si="6"/>
        <v>#N/A</v>
      </c>
      <c r="AZ152" s="22" t="s">
        <v>107</v>
      </c>
      <c r="BA152" s="22" t="s">
        <v>108</v>
      </c>
      <c r="BB152" s="31" t="s">
        <v>109</v>
      </c>
      <c r="BC152" s="31" t="s">
        <v>109</v>
      </c>
      <c r="BD152" s="32" t="str">
        <f t="shared" si="8"/>
        <v>nvl-nvs-imc-dsy-0820-10146</v>
      </c>
      <c r="BE152" s="33"/>
      <c r="BF152" s="33"/>
      <c r="BG152" s="39" t="str">
        <f>URL&amp;IF(ISNUMBER(FIND("?",URL)),"&amp;","?"&amp;("adlid="&amp;Unique_ID&amp;"&amp;adplt="&amp;Placement))</f>
        <v>#N/A</v>
      </c>
      <c r="BH152" s="1"/>
      <c r="BI152" s="1"/>
      <c r="BJ152" s="35" t="str">
        <f>LOWER("alp"&amp;"_"&amp;"vw"&amp;"_"&amp;Veiculo&amp;"_"&amp;C148&amp;"_"&amp;Objetivo)</f>
        <v>alp_vw___</v>
      </c>
      <c r="BK152" s="35" t="str">
        <f>LOWER(Buying_Metric&amp;"_"&amp;VLOOKUP(Buying_Type,Buy_type,2,FALSE)&amp;"_"&amp;Device&amp;"_"&amp;Size&amp;"_"&amp;Segmentação&amp;"_"&amp;Segmentação_Anúncio)</f>
        <v>#N/A</v>
      </c>
      <c r="BL152" s="35" t="str">
        <f>LOWER(Campanha_ou_InsertionOrder&amp;"_"&amp;LineItem_ou_Grupodeanúncio&amp;"_"&amp;Linha_criativa_2&amp;"_"&amp;Unique_ID)</f>
        <v>#N/A</v>
      </c>
      <c r="BM152" s="27"/>
      <c r="BN152" s="27"/>
    </row>
    <row r="153">
      <c r="A153" s="1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8" t="str">
        <f>LOWER(Campanha_ou_InsertionOrder&amp;"_"&amp;LineItem_ou_Grupodeanúncio&amp;"_"&amp;Linha_Criativa&amp;"_"&amp;Unique_ID)</f>
        <v>#N/A</v>
      </c>
      <c r="AN153" s="28" t="str">
        <f>LOWER(Campanha_ou_InsertionOrder&amp;"_"&amp;LineItem_ou_Grupodeanúncio&amp;"_"&amp;Linha_Criativa&amp;"_"&amp;Unique_ID)</f>
        <v>#N/A</v>
      </c>
      <c r="AO153" s="28" t="str">
        <f>LOWER("VW"&amp;"_"&amp;Model_Variant&amp;"_"&amp;Size&amp;"_"&amp;Linha_Criativa&amp;"_"&amp;IF(Servido_Por="portal",Veiculo,"adserver"))</f>
        <v>vw____adserver</v>
      </c>
      <c r="AP1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3" s="22" t="str">
        <f t="shared" si="1"/>
        <v/>
      </c>
      <c r="AS153" s="22" t="str">
        <f t="shared" si="2"/>
        <v/>
      </c>
      <c r="AT153" s="22" t="str">
        <f t="shared" si="3"/>
        <v>BR_IMC_DSY_LANCH_ND_NC_2020Q3AUG_NVS_Nivus-Launch-Consideracao</v>
      </c>
      <c r="AU153" s="22" t="str">
        <f t="shared" si="4"/>
        <v>#N/A</v>
      </c>
      <c r="AV153" s="22" t="s">
        <v>106</v>
      </c>
      <c r="AW1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3" s="22" t="str">
        <f t="shared" si="5"/>
        <v>BR_IMC_DSY_LANCH_ND_NC_2020Q3AUG_NVS_Nivus-Launch-Consideracao</v>
      </c>
      <c r="AY153" s="28" t="str">
        <f t="shared" si="6"/>
        <v>#N/A</v>
      </c>
      <c r="AZ153" s="22" t="s">
        <v>107</v>
      </c>
      <c r="BA153" s="22" t="s">
        <v>108</v>
      </c>
      <c r="BB153" s="31" t="s">
        <v>109</v>
      </c>
      <c r="BC153" s="31" t="s">
        <v>109</v>
      </c>
      <c r="BD153" s="32" t="str">
        <f t="shared" si="8"/>
        <v>nvl-nvs-imc-dsy-0820-10147</v>
      </c>
      <c r="BE153" s="33"/>
      <c r="BF153" s="33"/>
      <c r="BG153" s="39" t="str">
        <f>URL&amp;IF(ISNUMBER(FIND("?",URL)),"&amp;","?"&amp;("adlid="&amp;Unique_ID&amp;"&amp;adplt="&amp;Placement))</f>
        <v>#N/A</v>
      </c>
      <c r="BH153" s="1"/>
      <c r="BI153" s="1"/>
      <c r="BJ153" s="35" t="str">
        <f>LOWER("alp"&amp;"_"&amp;"vw"&amp;"_"&amp;Veiculo&amp;"_"&amp;C149&amp;"_"&amp;Objetivo)</f>
        <v>alp_vw___</v>
      </c>
      <c r="BK153" s="35" t="str">
        <f>LOWER(Buying_Metric&amp;"_"&amp;VLOOKUP(Buying_Type,Buy_type,2,FALSE)&amp;"_"&amp;Device&amp;"_"&amp;Size&amp;"_"&amp;Segmentação&amp;"_"&amp;Segmentação_Anúncio)</f>
        <v>#N/A</v>
      </c>
      <c r="BL153" s="35" t="str">
        <f>LOWER(Campanha_ou_InsertionOrder&amp;"_"&amp;LineItem_ou_Grupodeanúncio&amp;"_"&amp;Linha_criativa_2&amp;"_"&amp;Unique_ID)</f>
        <v>#N/A</v>
      </c>
      <c r="BM153" s="27"/>
      <c r="BN153" s="27"/>
    </row>
    <row r="154">
      <c r="A154" s="1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8" t="str">
        <f>LOWER(Campanha_ou_InsertionOrder&amp;"_"&amp;LineItem_ou_Grupodeanúncio&amp;"_"&amp;Linha_Criativa&amp;"_"&amp;Unique_ID)</f>
        <v>#N/A</v>
      </c>
      <c r="AN154" s="28" t="str">
        <f>LOWER(Campanha_ou_InsertionOrder&amp;"_"&amp;LineItem_ou_Grupodeanúncio&amp;"_"&amp;Linha_Criativa&amp;"_"&amp;Unique_ID)</f>
        <v>#N/A</v>
      </c>
      <c r="AO154" s="28" t="str">
        <f>LOWER("VW"&amp;"_"&amp;Model_Variant&amp;"_"&amp;Size&amp;"_"&amp;Linha_Criativa&amp;"_"&amp;IF(Servido_Por="portal",Veiculo,"adserver"))</f>
        <v>vw____adserver</v>
      </c>
      <c r="AP1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4" s="22" t="str">
        <f t="shared" si="1"/>
        <v/>
      </c>
      <c r="AS154" s="22" t="str">
        <f t="shared" si="2"/>
        <v/>
      </c>
      <c r="AT154" s="22" t="str">
        <f t="shared" si="3"/>
        <v>BR_IMC_DSY_LANCH_ND_NC_2020Q3AUG_NVS_Nivus-Launch-Consideracao</v>
      </c>
      <c r="AU154" s="22" t="str">
        <f t="shared" si="4"/>
        <v>#N/A</v>
      </c>
      <c r="AV154" s="22" t="s">
        <v>106</v>
      </c>
      <c r="AW1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4" s="22" t="str">
        <f t="shared" si="5"/>
        <v>BR_IMC_DSY_LANCH_ND_NC_2020Q3AUG_NVS_Nivus-Launch-Consideracao</v>
      </c>
      <c r="AY154" s="28" t="str">
        <f t="shared" si="6"/>
        <v>#N/A</v>
      </c>
      <c r="AZ154" s="22" t="s">
        <v>107</v>
      </c>
      <c r="BA154" s="22" t="s">
        <v>108</v>
      </c>
      <c r="BB154" s="31" t="s">
        <v>109</v>
      </c>
      <c r="BC154" s="31" t="s">
        <v>109</v>
      </c>
      <c r="BD154" s="32" t="str">
        <f t="shared" si="8"/>
        <v>nvl-nvs-imc-dsy-0820-10148</v>
      </c>
      <c r="BE154" s="33"/>
      <c r="BF154" s="33"/>
      <c r="BG154" s="39" t="str">
        <f>URL&amp;IF(ISNUMBER(FIND("?",URL)),"&amp;","?"&amp;("adlid="&amp;Unique_ID&amp;"&amp;adplt="&amp;Placement))</f>
        <v>#N/A</v>
      </c>
      <c r="BH154" s="1"/>
      <c r="BI154" s="1"/>
      <c r="BJ154" s="35" t="str">
        <f>LOWER("alp"&amp;"_"&amp;"vw"&amp;"_"&amp;Veiculo&amp;"_"&amp;C150&amp;"_"&amp;Objetivo)</f>
        <v>alp_vw___</v>
      </c>
      <c r="BK154" s="35" t="str">
        <f>LOWER(Buying_Metric&amp;"_"&amp;VLOOKUP(Buying_Type,Buy_type,2,FALSE)&amp;"_"&amp;Device&amp;"_"&amp;Size&amp;"_"&amp;Segmentação&amp;"_"&amp;Segmentação_Anúncio)</f>
        <v>#N/A</v>
      </c>
      <c r="BL154" s="35" t="str">
        <f>LOWER(Campanha_ou_InsertionOrder&amp;"_"&amp;LineItem_ou_Grupodeanúncio&amp;"_"&amp;Linha_criativa_2&amp;"_"&amp;Unique_ID)</f>
        <v>#N/A</v>
      </c>
      <c r="BM154" s="27"/>
      <c r="BN154" s="27"/>
    </row>
    <row r="155">
      <c r="A155" s="1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8" t="str">
        <f>LOWER(Campanha_ou_InsertionOrder&amp;"_"&amp;LineItem_ou_Grupodeanúncio&amp;"_"&amp;Linha_Criativa&amp;"_"&amp;Unique_ID)</f>
        <v>#N/A</v>
      </c>
      <c r="AN155" s="28" t="str">
        <f>LOWER(Campanha_ou_InsertionOrder&amp;"_"&amp;LineItem_ou_Grupodeanúncio&amp;"_"&amp;Linha_Criativa&amp;"_"&amp;Unique_ID)</f>
        <v>#N/A</v>
      </c>
      <c r="AO155" s="28" t="str">
        <f>LOWER("VW"&amp;"_"&amp;Model_Variant&amp;"_"&amp;Size&amp;"_"&amp;Linha_Criativa&amp;"_"&amp;IF(Servido_Por="portal",Veiculo,"adserver"))</f>
        <v>vw____adserver</v>
      </c>
      <c r="AP1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5" s="22" t="str">
        <f t="shared" si="1"/>
        <v/>
      </c>
      <c r="AS155" s="22" t="str">
        <f t="shared" si="2"/>
        <v/>
      </c>
      <c r="AT155" s="22" t="str">
        <f t="shared" si="3"/>
        <v>BR_IMC_DSY_LANCH_ND_NC_2020Q3AUG_NVS_Nivus-Launch-Consideracao</v>
      </c>
      <c r="AU155" s="22" t="str">
        <f t="shared" si="4"/>
        <v>#N/A</v>
      </c>
      <c r="AV155" s="22" t="s">
        <v>106</v>
      </c>
      <c r="AW1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5" s="22" t="str">
        <f t="shared" si="5"/>
        <v>BR_IMC_DSY_LANCH_ND_NC_2020Q3AUG_NVS_Nivus-Launch-Consideracao</v>
      </c>
      <c r="AY155" s="28" t="str">
        <f t="shared" si="6"/>
        <v>#N/A</v>
      </c>
      <c r="AZ155" s="22" t="s">
        <v>107</v>
      </c>
      <c r="BA155" s="22" t="s">
        <v>108</v>
      </c>
      <c r="BB155" s="31" t="s">
        <v>109</v>
      </c>
      <c r="BC155" s="31" t="s">
        <v>109</v>
      </c>
      <c r="BD155" s="32" t="str">
        <f t="shared" si="8"/>
        <v>nvl-nvs-imc-dsy-0820-10149</v>
      </c>
      <c r="BE155" s="33"/>
      <c r="BF155" s="33"/>
      <c r="BG155" s="39" t="str">
        <f>URL&amp;IF(ISNUMBER(FIND("?",URL)),"&amp;","?"&amp;("adlid="&amp;Unique_ID&amp;"&amp;adplt="&amp;Placement))</f>
        <v>#N/A</v>
      </c>
      <c r="BH155" s="1"/>
      <c r="BI155" s="1"/>
      <c r="BJ155" s="35" t="str">
        <f>LOWER("alp"&amp;"_"&amp;"vw"&amp;"_"&amp;Veiculo&amp;"_"&amp;C151&amp;"_"&amp;Objetivo)</f>
        <v>alp_vw___</v>
      </c>
      <c r="BK155" s="35" t="str">
        <f>LOWER(Buying_Metric&amp;"_"&amp;VLOOKUP(Buying_Type,Buy_type,2,FALSE)&amp;"_"&amp;Device&amp;"_"&amp;Size&amp;"_"&amp;Segmentação&amp;"_"&amp;Segmentação_Anúncio)</f>
        <v>#N/A</v>
      </c>
      <c r="BL155" s="35" t="str">
        <f>LOWER(Campanha_ou_InsertionOrder&amp;"_"&amp;LineItem_ou_Grupodeanúncio&amp;"_"&amp;Linha_criativa_2&amp;"_"&amp;Unique_ID)</f>
        <v>#N/A</v>
      </c>
      <c r="BM155" s="27"/>
      <c r="BN155" s="27"/>
    </row>
    <row r="156">
      <c r="A156" s="1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8" t="str">
        <f>LOWER(Campanha_ou_InsertionOrder&amp;"_"&amp;LineItem_ou_Grupodeanúncio&amp;"_"&amp;Linha_Criativa&amp;"_"&amp;Unique_ID)</f>
        <v>#N/A</v>
      </c>
      <c r="AN156" s="28" t="str">
        <f>LOWER(Campanha_ou_InsertionOrder&amp;"_"&amp;LineItem_ou_Grupodeanúncio&amp;"_"&amp;Linha_Criativa&amp;"_"&amp;Unique_ID)</f>
        <v>#N/A</v>
      </c>
      <c r="AO156" s="28" t="str">
        <f>LOWER("VW"&amp;"_"&amp;Model_Variant&amp;"_"&amp;Size&amp;"_"&amp;Linha_Criativa&amp;"_"&amp;IF(Servido_Por="portal",Veiculo,"adserver"))</f>
        <v>vw____adserver</v>
      </c>
      <c r="AP1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6" s="22" t="str">
        <f t="shared" si="1"/>
        <v/>
      </c>
      <c r="AS156" s="22" t="str">
        <f t="shared" si="2"/>
        <v/>
      </c>
      <c r="AT156" s="22" t="str">
        <f t="shared" si="3"/>
        <v>BR_IMC_DSY_LANCH_ND_NC_2020Q3AUG_NVS_Nivus-Launch-Consideracao</v>
      </c>
      <c r="AU156" s="22" t="str">
        <f t="shared" si="4"/>
        <v>#N/A</v>
      </c>
      <c r="AV156" s="22" t="s">
        <v>106</v>
      </c>
      <c r="AW1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6" s="22" t="str">
        <f t="shared" si="5"/>
        <v>BR_IMC_DSY_LANCH_ND_NC_2020Q3AUG_NVS_Nivus-Launch-Consideracao</v>
      </c>
      <c r="AY156" s="28" t="str">
        <f t="shared" si="6"/>
        <v>#N/A</v>
      </c>
      <c r="AZ156" s="22" t="s">
        <v>107</v>
      </c>
      <c r="BA156" s="22" t="s">
        <v>108</v>
      </c>
      <c r="BB156" s="31" t="s">
        <v>109</v>
      </c>
      <c r="BC156" s="31" t="s">
        <v>109</v>
      </c>
      <c r="BD156" s="32" t="str">
        <f t="shared" si="8"/>
        <v>nvl-nvs-imc-dsy-0820-10150</v>
      </c>
      <c r="BE156" s="33"/>
      <c r="BF156" s="33"/>
      <c r="BG156" s="39" t="str">
        <f>URL&amp;IF(ISNUMBER(FIND("?",URL)),"&amp;","?"&amp;("adlid="&amp;Unique_ID&amp;"&amp;adplt="&amp;Placement))</f>
        <v>#N/A</v>
      </c>
      <c r="BH156" s="1"/>
      <c r="BI156" s="1"/>
      <c r="BJ156" s="35" t="str">
        <f>LOWER("alp"&amp;"_"&amp;"vw"&amp;"_"&amp;Veiculo&amp;"_"&amp;C152&amp;"_"&amp;Objetivo)</f>
        <v>alp_vw___</v>
      </c>
      <c r="BK156" s="35" t="str">
        <f>LOWER(Buying_Metric&amp;"_"&amp;VLOOKUP(Buying_Type,Buy_type,2,FALSE)&amp;"_"&amp;Device&amp;"_"&amp;Size&amp;"_"&amp;Segmentação&amp;"_"&amp;Segmentação_Anúncio)</f>
        <v>#N/A</v>
      </c>
      <c r="BL156" s="35" t="str">
        <f>LOWER(Campanha_ou_InsertionOrder&amp;"_"&amp;LineItem_ou_Grupodeanúncio&amp;"_"&amp;Linha_criativa_2&amp;"_"&amp;Unique_ID)</f>
        <v>#N/A</v>
      </c>
      <c r="BM156" s="27"/>
      <c r="BN156" s="27"/>
    </row>
    <row r="157">
      <c r="A157" s="1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8" t="str">
        <f>LOWER(Campanha_ou_InsertionOrder&amp;"_"&amp;LineItem_ou_Grupodeanúncio&amp;"_"&amp;Linha_Criativa&amp;"_"&amp;Unique_ID)</f>
        <v>#N/A</v>
      </c>
      <c r="AN157" s="28" t="str">
        <f>LOWER(Campanha_ou_InsertionOrder&amp;"_"&amp;LineItem_ou_Grupodeanúncio&amp;"_"&amp;Linha_Criativa&amp;"_"&amp;Unique_ID)</f>
        <v>#N/A</v>
      </c>
      <c r="AO157" s="28" t="str">
        <f>LOWER("VW"&amp;"_"&amp;Model_Variant&amp;"_"&amp;Size&amp;"_"&amp;Linha_Criativa&amp;"_"&amp;IF(Servido_Por="portal",Veiculo,"adserver"))</f>
        <v>vw____adserver</v>
      </c>
      <c r="AP1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7" s="22" t="str">
        <f t="shared" si="1"/>
        <v/>
      </c>
      <c r="AS157" s="22" t="str">
        <f t="shared" si="2"/>
        <v/>
      </c>
      <c r="AT157" s="22" t="str">
        <f t="shared" si="3"/>
        <v>BR_IMC_DSY_LANCH_ND_NC_2020Q3AUG_NVS_Nivus-Launch-Consideracao</v>
      </c>
      <c r="AU157" s="22" t="str">
        <f t="shared" si="4"/>
        <v>#N/A</v>
      </c>
      <c r="AV157" s="22" t="s">
        <v>106</v>
      </c>
      <c r="AW1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7" s="22" t="str">
        <f t="shared" si="5"/>
        <v>BR_IMC_DSY_LANCH_ND_NC_2020Q3AUG_NVS_Nivus-Launch-Consideracao</v>
      </c>
      <c r="AY157" s="28" t="str">
        <f t="shared" si="6"/>
        <v>#N/A</v>
      </c>
      <c r="AZ157" s="22" t="s">
        <v>107</v>
      </c>
      <c r="BA157" s="22" t="s">
        <v>108</v>
      </c>
      <c r="BB157" s="31" t="s">
        <v>109</v>
      </c>
      <c r="BC157" s="31" t="s">
        <v>109</v>
      </c>
      <c r="BD157" s="32" t="str">
        <f t="shared" si="8"/>
        <v>nvl-nvs-imc-dsy-0820-10151</v>
      </c>
      <c r="BE157" s="33"/>
      <c r="BF157" s="33"/>
      <c r="BG157" s="39" t="str">
        <f>URL&amp;IF(ISNUMBER(FIND("?",URL)),"&amp;","?"&amp;("adlid="&amp;Unique_ID&amp;"&amp;adplt="&amp;Placement))</f>
        <v>#N/A</v>
      </c>
      <c r="BH157" s="1"/>
      <c r="BI157" s="1"/>
      <c r="BJ157" s="35" t="str">
        <f>LOWER("alp"&amp;"_"&amp;"vw"&amp;"_"&amp;Veiculo&amp;"_"&amp;C153&amp;"_"&amp;Objetivo)</f>
        <v>alp_vw___</v>
      </c>
      <c r="BK157" s="35" t="str">
        <f>LOWER(Buying_Metric&amp;"_"&amp;VLOOKUP(Buying_Type,Buy_type,2,FALSE)&amp;"_"&amp;Device&amp;"_"&amp;Size&amp;"_"&amp;Segmentação&amp;"_"&amp;Segmentação_Anúncio)</f>
        <v>#N/A</v>
      </c>
      <c r="BL157" s="35" t="str">
        <f>LOWER(Campanha_ou_InsertionOrder&amp;"_"&amp;LineItem_ou_Grupodeanúncio&amp;"_"&amp;Linha_criativa_2&amp;"_"&amp;Unique_ID)</f>
        <v>#N/A</v>
      </c>
      <c r="BM157" s="27"/>
      <c r="BN157" s="27"/>
    </row>
    <row r="158">
      <c r="A158" s="1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8" t="str">
        <f>LOWER(Campanha_ou_InsertionOrder&amp;"_"&amp;LineItem_ou_Grupodeanúncio&amp;"_"&amp;Linha_Criativa&amp;"_"&amp;Unique_ID)</f>
        <v>#N/A</v>
      </c>
      <c r="AN158" s="28" t="str">
        <f>LOWER(Campanha_ou_InsertionOrder&amp;"_"&amp;LineItem_ou_Grupodeanúncio&amp;"_"&amp;Linha_Criativa&amp;"_"&amp;Unique_ID)</f>
        <v>#N/A</v>
      </c>
      <c r="AO158" s="28" t="str">
        <f>LOWER("VW"&amp;"_"&amp;Model_Variant&amp;"_"&amp;Size&amp;"_"&amp;Linha_Criativa&amp;"_"&amp;IF(Servido_Por="portal",Veiculo,"adserver"))</f>
        <v>vw____adserver</v>
      </c>
      <c r="AP1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8" s="22" t="str">
        <f t="shared" si="1"/>
        <v/>
      </c>
      <c r="AS158" s="22" t="str">
        <f t="shared" si="2"/>
        <v/>
      </c>
      <c r="AT158" s="22" t="str">
        <f t="shared" si="3"/>
        <v>BR_IMC_DSY_LANCH_ND_NC_2020Q3AUG_NVS_Nivus-Launch-Consideracao</v>
      </c>
      <c r="AU158" s="22" t="str">
        <f t="shared" si="4"/>
        <v>#N/A</v>
      </c>
      <c r="AV158" s="22" t="s">
        <v>106</v>
      </c>
      <c r="AW1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8" s="22" t="str">
        <f t="shared" si="5"/>
        <v>BR_IMC_DSY_LANCH_ND_NC_2020Q3AUG_NVS_Nivus-Launch-Consideracao</v>
      </c>
      <c r="AY158" s="28" t="str">
        <f t="shared" si="6"/>
        <v>#N/A</v>
      </c>
      <c r="AZ158" s="22" t="s">
        <v>107</v>
      </c>
      <c r="BA158" s="22" t="s">
        <v>108</v>
      </c>
      <c r="BB158" s="31" t="s">
        <v>109</v>
      </c>
      <c r="BC158" s="31" t="s">
        <v>109</v>
      </c>
      <c r="BD158" s="32" t="str">
        <f t="shared" si="8"/>
        <v>nvl-nvs-imc-dsy-0820-10152</v>
      </c>
      <c r="BE158" s="33"/>
      <c r="BF158" s="33"/>
      <c r="BG158" s="39" t="str">
        <f>URL&amp;IF(ISNUMBER(FIND("?",URL)),"&amp;","?"&amp;("adlid="&amp;Unique_ID&amp;"&amp;adplt="&amp;Placement))</f>
        <v>#N/A</v>
      </c>
      <c r="BH158" s="1"/>
      <c r="BI158" s="1"/>
      <c r="BJ158" s="35" t="str">
        <f>LOWER("alp"&amp;"_"&amp;"vw"&amp;"_"&amp;Veiculo&amp;"_"&amp;C154&amp;"_"&amp;Objetivo)</f>
        <v>alp_vw___</v>
      </c>
      <c r="BK158" s="35" t="str">
        <f>LOWER(Buying_Metric&amp;"_"&amp;VLOOKUP(Buying_Type,Buy_type,2,FALSE)&amp;"_"&amp;Device&amp;"_"&amp;Size&amp;"_"&amp;Segmentação&amp;"_"&amp;Segmentação_Anúncio)</f>
        <v>#N/A</v>
      </c>
      <c r="BL158" s="35" t="str">
        <f>LOWER(Campanha_ou_InsertionOrder&amp;"_"&amp;LineItem_ou_Grupodeanúncio&amp;"_"&amp;Linha_criativa_2&amp;"_"&amp;Unique_ID)</f>
        <v>#N/A</v>
      </c>
      <c r="BM158" s="27"/>
      <c r="BN158" s="27"/>
    </row>
    <row r="159">
      <c r="A159" s="1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8" t="str">
        <f>LOWER(Campanha_ou_InsertionOrder&amp;"_"&amp;LineItem_ou_Grupodeanúncio&amp;"_"&amp;Linha_Criativa&amp;"_"&amp;Unique_ID)</f>
        <v>#N/A</v>
      </c>
      <c r="AN159" s="28" t="str">
        <f>LOWER(Campanha_ou_InsertionOrder&amp;"_"&amp;LineItem_ou_Grupodeanúncio&amp;"_"&amp;Linha_Criativa&amp;"_"&amp;Unique_ID)</f>
        <v>#N/A</v>
      </c>
      <c r="AO159" s="28" t="str">
        <f>LOWER("VW"&amp;"_"&amp;Model_Variant&amp;"_"&amp;Size&amp;"_"&amp;Linha_Criativa&amp;"_"&amp;IF(Servido_Por="portal",Veiculo,"adserver"))</f>
        <v>vw____adserver</v>
      </c>
      <c r="AP1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59" s="22" t="str">
        <f t="shared" si="1"/>
        <v/>
      </c>
      <c r="AS159" s="22" t="str">
        <f t="shared" si="2"/>
        <v/>
      </c>
      <c r="AT159" s="22" t="str">
        <f t="shared" si="3"/>
        <v>BR_IMC_DSY_LANCH_ND_NC_2020Q3AUG_NVS_Nivus-Launch-Consideracao</v>
      </c>
      <c r="AU159" s="22" t="str">
        <f t="shared" si="4"/>
        <v>#N/A</v>
      </c>
      <c r="AV159" s="22" t="s">
        <v>106</v>
      </c>
      <c r="AW1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59" s="22" t="str">
        <f t="shared" si="5"/>
        <v>BR_IMC_DSY_LANCH_ND_NC_2020Q3AUG_NVS_Nivus-Launch-Consideracao</v>
      </c>
      <c r="AY159" s="28" t="str">
        <f t="shared" si="6"/>
        <v>#N/A</v>
      </c>
      <c r="AZ159" s="22" t="s">
        <v>107</v>
      </c>
      <c r="BA159" s="22" t="s">
        <v>108</v>
      </c>
      <c r="BB159" s="31" t="s">
        <v>109</v>
      </c>
      <c r="BC159" s="31" t="s">
        <v>109</v>
      </c>
      <c r="BD159" s="32" t="str">
        <f t="shared" si="8"/>
        <v>nvl-nvs-imc-dsy-0820-10153</v>
      </c>
      <c r="BE159" s="33"/>
      <c r="BF159" s="33"/>
      <c r="BG159" s="39" t="str">
        <f>URL&amp;IF(ISNUMBER(FIND("?",URL)),"&amp;","?"&amp;("adlid="&amp;Unique_ID&amp;"&amp;adplt="&amp;Placement))</f>
        <v>#N/A</v>
      </c>
      <c r="BH159" s="1"/>
      <c r="BI159" s="1"/>
      <c r="BJ159" s="35" t="str">
        <f>LOWER("alp"&amp;"_"&amp;"vw"&amp;"_"&amp;Veiculo&amp;"_"&amp;C155&amp;"_"&amp;Objetivo)</f>
        <v>alp_vw___</v>
      </c>
      <c r="BK159" s="35" t="str">
        <f>LOWER(Buying_Metric&amp;"_"&amp;VLOOKUP(Buying_Type,Buy_type,2,FALSE)&amp;"_"&amp;Device&amp;"_"&amp;Size&amp;"_"&amp;Segmentação&amp;"_"&amp;Segmentação_Anúncio)</f>
        <v>#N/A</v>
      </c>
      <c r="BL159" s="35" t="str">
        <f>LOWER(Campanha_ou_InsertionOrder&amp;"_"&amp;LineItem_ou_Grupodeanúncio&amp;"_"&amp;Linha_criativa_2&amp;"_"&amp;Unique_ID)</f>
        <v>#N/A</v>
      </c>
      <c r="BM159" s="27"/>
      <c r="BN159" s="27"/>
    </row>
    <row r="160">
      <c r="A160" s="1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8" t="str">
        <f>LOWER(Campanha_ou_InsertionOrder&amp;"_"&amp;LineItem_ou_Grupodeanúncio&amp;"_"&amp;Linha_Criativa&amp;"_"&amp;Unique_ID)</f>
        <v>#N/A</v>
      </c>
      <c r="AN160" s="28" t="str">
        <f>LOWER(Campanha_ou_InsertionOrder&amp;"_"&amp;LineItem_ou_Grupodeanúncio&amp;"_"&amp;Linha_Criativa&amp;"_"&amp;Unique_ID)</f>
        <v>#N/A</v>
      </c>
      <c r="AO160" s="28" t="str">
        <f>LOWER("VW"&amp;"_"&amp;Model_Variant&amp;"_"&amp;Size&amp;"_"&amp;Linha_Criativa&amp;"_"&amp;IF(Servido_Por="portal",Veiculo,"adserver"))</f>
        <v>vw____adserver</v>
      </c>
      <c r="AP1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0" s="22" t="str">
        <f t="shared" si="1"/>
        <v/>
      </c>
      <c r="AS160" s="22" t="str">
        <f t="shared" si="2"/>
        <v/>
      </c>
      <c r="AT160" s="22" t="str">
        <f t="shared" si="3"/>
        <v>BR_IMC_DSY_LANCH_ND_NC_2020Q3AUG_NVS_Nivus-Launch-Consideracao</v>
      </c>
      <c r="AU160" s="22" t="str">
        <f t="shared" si="4"/>
        <v>#N/A</v>
      </c>
      <c r="AV160" s="22" t="s">
        <v>106</v>
      </c>
      <c r="AW1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0" s="22" t="str">
        <f t="shared" si="5"/>
        <v>BR_IMC_DSY_LANCH_ND_NC_2020Q3AUG_NVS_Nivus-Launch-Consideracao</v>
      </c>
      <c r="AY160" s="28" t="str">
        <f t="shared" si="6"/>
        <v>#N/A</v>
      </c>
      <c r="AZ160" s="22" t="s">
        <v>107</v>
      </c>
      <c r="BA160" s="22" t="s">
        <v>108</v>
      </c>
      <c r="BB160" s="31" t="s">
        <v>109</v>
      </c>
      <c r="BC160" s="31" t="s">
        <v>109</v>
      </c>
      <c r="BD160" s="32" t="str">
        <f t="shared" si="8"/>
        <v>nvl-nvs-imc-dsy-0820-10154</v>
      </c>
      <c r="BE160" s="33"/>
      <c r="BF160" s="33"/>
      <c r="BG160" s="39" t="str">
        <f>URL&amp;IF(ISNUMBER(FIND("?",URL)),"&amp;","?"&amp;("adlid="&amp;Unique_ID&amp;"&amp;adplt="&amp;Placement))</f>
        <v>#N/A</v>
      </c>
      <c r="BH160" s="1"/>
      <c r="BI160" s="1"/>
      <c r="BJ160" s="35" t="str">
        <f>LOWER("alp"&amp;"_"&amp;"vw"&amp;"_"&amp;Veiculo&amp;"_"&amp;C156&amp;"_"&amp;Objetivo)</f>
        <v>alp_vw___</v>
      </c>
      <c r="BK160" s="35" t="str">
        <f>LOWER(Buying_Metric&amp;"_"&amp;VLOOKUP(Buying_Type,Buy_type,2,FALSE)&amp;"_"&amp;Device&amp;"_"&amp;Size&amp;"_"&amp;Segmentação&amp;"_"&amp;Segmentação_Anúncio)</f>
        <v>#N/A</v>
      </c>
      <c r="BL160" s="35" t="str">
        <f>LOWER(Campanha_ou_InsertionOrder&amp;"_"&amp;LineItem_ou_Grupodeanúncio&amp;"_"&amp;Linha_criativa_2&amp;"_"&amp;Unique_ID)</f>
        <v>#N/A</v>
      </c>
      <c r="BM160" s="27"/>
      <c r="BN160" s="27"/>
    </row>
    <row r="161">
      <c r="A161" s="1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8" t="str">
        <f>LOWER(Campanha_ou_InsertionOrder&amp;"_"&amp;LineItem_ou_Grupodeanúncio&amp;"_"&amp;Linha_Criativa&amp;"_"&amp;Unique_ID)</f>
        <v>#N/A</v>
      </c>
      <c r="AN161" s="28" t="str">
        <f>LOWER(Campanha_ou_InsertionOrder&amp;"_"&amp;LineItem_ou_Grupodeanúncio&amp;"_"&amp;Linha_Criativa&amp;"_"&amp;Unique_ID)</f>
        <v>#N/A</v>
      </c>
      <c r="AO161" s="28" t="str">
        <f>LOWER("VW"&amp;"_"&amp;Model_Variant&amp;"_"&amp;Size&amp;"_"&amp;Linha_Criativa&amp;"_"&amp;IF(Servido_Por="portal",Veiculo,"adserver"))</f>
        <v>vw____adserver</v>
      </c>
      <c r="AP1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1" s="22" t="str">
        <f t="shared" si="1"/>
        <v/>
      </c>
      <c r="AS161" s="22" t="str">
        <f t="shared" si="2"/>
        <v/>
      </c>
      <c r="AT161" s="22" t="str">
        <f t="shared" si="3"/>
        <v>BR_IMC_DSY_LANCH_ND_NC_2020Q3AUG_NVS_Nivus-Launch-Consideracao</v>
      </c>
      <c r="AU161" s="22" t="str">
        <f t="shared" si="4"/>
        <v>#N/A</v>
      </c>
      <c r="AV161" s="22" t="s">
        <v>106</v>
      </c>
      <c r="AW1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1" s="22" t="str">
        <f t="shared" si="5"/>
        <v>BR_IMC_DSY_LANCH_ND_NC_2020Q3AUG_NVS_Nivus-Launch-Consideracao</v>
      </c>
      <c r="AY161" s="28" t="str">
        <f t="shared" si="6"/>
        <v>#N/A</v>
      </c>
      <c r="AZ161" s="22" t="s">
        <v>107</v>
      </c>
      <c r="BA161" s="22" t="s">
        <v>108</v>
      </c>
      <c r="BB161" s="31" t="s">
        <v>109</v>
      </c>
      <c r="BC161" s="31" t="s">
        <v>109</v>
      </c>
      <c r="BD161" s="32" t="str">
        <f t="shared" si="8"/>
        <v>nvl-nvs-imc-dsy-0820-10155</v>
      </c>
      <c r="BE161" s="33"/>
      <c r="BF161" s="33"/>
      <c r="BG161" s="39" t="str">
        <f>URL&amp;IF(ISNUMBER(FIND("?",URL)),"&amp;","?"&amp;("adlid="&amp;Unique_ID&amp;"&amp;adplt="&amp;Placement))</f>
        <v>#N/A</v>
      </c>
      <c r="BH161" s="1"/>
      <c r="BI161" s="1"/>
      <c r="BJ161" s="35" t="str">
        <f>LOWER("alp"&amp;"_"&amp;"vw"&amp;"_"&amp;Veiculo&amp;"_"&amp;C157&amp;"_"&amp;Objetivo)</f>
        <v>alp_vw___</v>
      </c>
      <c r="BK161" s="35" t="str">
        <f>LOWER(Buying_Metric&amp;"_"&amp;VLOOKUP(Buying_Type,Buy_type,2,FALSE)&amp;"_"&amp;Device&amp;"_"&amp;Size&amp;"_"&amp;Segmentação&amp;"_"&amp;Segmentação_Anúncio)</f>
        <v>#N/A</v>
      </c>
      <c r="BL161" s="35" t="str">
        <f>LOWER(Campanha_ou_InsertionOrder&amp;"_"&amp;LineItem_ou_Grupodeanúncio&amp;"_"&amp;Linha_criativa_2&amp;"_"&amp;Unique_ID)</f>
        <v>#N/A</v>
      </c>
      <c r="BM161" s="27"/>
      <c r="BN161" s="27"/>
    </row>
    <row r="162">
      <c r="A162" s="1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8" t="str">
        <f>LOWER(Campanha_ou_InsertionOrder&amp;"_"&amp;LineItem_ou_Grupodeanúncio&amp;"_"&amp;Linha_Criativa&amp;"_"&amp;Unique_ID)</f>
        <v>#N/A</v>
      </c>
      <c r="AN162" s="28" t="str">
        <f>LOWER(Campanha_ou_InsertionOrder&amp;"_"&amp;LineItem_ou_Grupodeanúncio&amp;"_"&amp;Linha_Criativa&amp;"_"&amp;Unique_ID)</f>
        <v>#N/A</v>
      </c>
      <c r="AO162" s="28" t="str">
        <f>LOWER("VW"&amp;"_"&amp;Model_Variant&amp;"_"&amp;Size&amp;"_"&amp;Linha_Criativa&amp;"_"&amp;IF(Servido_Por="portal",Veiculo,"adserver"))</f>
        <v>vw____adserver</v>
      </c>
      <c r="AP1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2" s="22" t="str">
        <f t="shared" si="1"/>
        <v/>
      </c>
      <c r="AS162" s="22" t="str">
        <f t="shared" si="2"/>
        <v/>
      </c>
      <c r="AT162" s="22" t="str">
        <f t="shared" si="3"/>
        <v>BR_IMC_DSY_LANCH_ND_NC_2020Q3AUG_NVS_Nivus-Launch-Consideracao</v>
      </c>
      <c r="AU162" s="22" t="str">
        <f t="shared" si="4"/>
        <v>#N/A</v>
      </c>
      <c r="AV162" s="22" t="s">
        <v>106</v>
      </c>
      <c r="AW1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2" s="22" t="str">
        <f t="shared" si="5"/>
        <v>BR_IMC_DSY_LANCH_ND_NC_2020Q3AUG_NVS_Nivus-Launch-Consideracao</v>
      </c>
      <c r="AY162" s="28" t="str">
        <f t="shared" si="6"/>
        <v>#N/A</v>
      </c>
      <c r="AZ162" s="22" t="s">
        <v>107</v>
      </c>
      <c r="BA162" s="22" t="s">
        <v>108</v>
      </c>
      <c r="BB162" s="31" t="s">
        <v>109</v>
      </c>
      <c r="BC162" s="31" t="s">
        <v>109</v>
      </c>
      <c r="BD162" s="32" t="str">
        <f t="shared" si="8"/>
        <v>nvl-nvs-imc-dsy-0820-10156</v>
      </c>
      <c r="BE162" s="33"/>
      <c r="BF162" s="33"/>
      <c r="BG162" s="39" t="str">
        <f>URL&amp;IF(ISNUMBER(FIND("?",URL)),"&amp;","?"&amp;("adlid="&amp;Unique_ID&amp;"&amp;adplt="&amp;Placement))</f>
        <v>#N/A</v>
      </c>
      <c r="BH162" s="1"/>
      <c r="BI162" s="1"/>
      <c r="BJ162" s="35" t="str">
        <f>LOWER("alp"&amp;"_"&amp;"vw"&amp;"_"&amp;Veiculo&amp;"_"&amp;C158&amp;"_"&amp;Objetivo)</f>
        <v>alp_vw___</v>
      </c>
      <c r="BK162" s="35" t="str">
        <f>LOWER(Buying_Metric&amp;"_"&amp;VLOOKUP(Buying_Type,Buy_type,2,FALSE)&amp;"_"&amp;Device&amp;"_"&amp;Size&amp;"_"&amp;Segmentação&amp;"_"&amp;Segmentação_Anúncio)</f>
        <v>#N/A</v>
      </c>
      <c r="BL162" s="35" t="str">
        <f>LOWER(Campanha_ou_InsertionOrder&amp;"_"&amp;LineItem_ou_Grupodeanúncio&amp;"_"&amp;Linha_criativa_2&amp;"_"&amp;Unique_ID)</f>
        <v>#N/A</v>
      </c>
      <c r="BM162" s="27"/>
      <c r="BN162" s="27"/>
    </row>
    <row r="163">
      <c r="A163" s="1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8" t="str">
        <f>LOWER(Campanha_ou_InsertionOrder&amp;"_"&amp;LineItem_ou_Grupodeanúncio&amp;"_"&amp;Linha_Criativa&amp;"_"&amp;Unique_ID)</f>
        <v>#N/A</v>
      </c>
      <c r="AN163" s="28" t="str">
        <f>LOWER(Campanha_ou_InsertionOrder&amp;"_"&amp;LineItem_ou_Grupodeanúncio&amp;"_"&amp;Linha_Criativa&amp;"_"&amp;Unique_ID)</f>
        <v>#N/A</v>
      </c>
      <c r="AO163" s="28" t="str">
        <f>LOWER("VW"&amp;"_"&amp;Model_Variant&amp;"_"&amp;Size&amp;"_"&amp;Linha_Criativa&amp;"_"&amp;IF(Servido_Por="portal",Veiculo,"adserver"))</f>
        <v>vw____adserver</v>
      </c>
      <c r="AP1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3" s="22" t="str">
        <f t="shared" si="1"/>
        <v/>
      </c>
      <c r="AS163" s="22" t="str">
        <f t="shared" si="2"/>
        <v/>
      </c>
      <c r="AT163" s="22" t="str">
        <f t="shared" si="3"/>
        <v>BR_IMC_DSY_LANCH_ND_NC_2020Q3AUG_NVS_Nivus-Launch-Consideracao</v>
      </c>
      <c r="AU163" s="22" t="str">
        <f t="shared" si="4"/>
        <v>#N/A</v>
      </c>
      <c r="AV163" s="22" t="s">
        <v>106</v>
      </c>
      <c r="AW1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3" s="22" t="str">
        <f t="shared" si="5"/>
        <v>BR_IMC_DSY_LANCH_ND_NC_2020Q3AUG_NVS_Nivus-Launch-Consideracao</v>
      </c>
      <c r="AY163" s="28" t="str">
        <f t="shared" si="6"/>
        <v>#N/A</v>
      </c>
      <c r="AZ163" s="22" t="s">
        <v>107</v>
      </c>
      <c r="BA163" s="22" t="s">
        <v>108</v>
      </c>
      <c r="BB163" s="31" t="s">
        <v>109</v>
      </c>
      <c r="BC163" s="31" t="s">
        <v>109</v>
      </c>
      <c r="BD163" s="32" t="str">
        <f t="shared" si="8"/>
        <v>nvl-nvs-imc-dsy-0820-10157</v>
      </c>
      <c r="BE163" s="33"/>
      <c r="BF163" s="33"/>
      <c r="BG163" s="39" t="str">
        <f>URL&amp;IF(ISNUMBER(FIND("?",URL)),"&amp;","?"&amp;("adlid="&amp;Unique_ID&amp;"&amp;adplt="&amp;Placement))</f>
        <v>#N/A</v>
      </c>
      <c r="BH163" s="1"/>
      <c r="BI163" s="1"/>
      <c r="BJ163" s="35" t="str">
        <f>LOWER("alp"&amp;"_"&amp;"vw"&amp;"_"&amp;Veiculo&amp;"_"&amp;C159&amp;"_"&amp;Objetivo)</f>
        <v>alp_vw___</v>
      </c>
      <c r="BK163" s="35" t="str">
        <f>LOWER(Buying_Metric&amp;"_"&amp;VLOOKUP(Buying_Type,Buy_type,2,FALSE)&amp;"_"&amp;Device&amp;"_"&amp;Size&amp;"_"&amp;Segmentação&amp;"_"&amp;Segmentação_Anúncio)</f>
        <v>#N/A</v>
      </c>
      <c r="BL163" s="35" t="str">
        <f>LOWER(Campanha_ou_InsertionOrder&amp;"_"&amp;LineItem_ou_Grupodeanúncio&amp;"_"&amp;Linha_criativa_2&amp;"_"&amp;Unique_ID)</f>
        <v>#N/A</v>
      </c>
      <c r="BM163" s="27"/>
      <c r="BN163" s="27"/>
    </row>
    <row r="164">
      <c r="A164" s="1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8" t="str">
        <f>LOWER(Campanha_ou_InsertionOrder&amp;"_"&amp;LineItem_ou_Grupodeanúncio&amp;"_"&amp;Linha_Criativa&amp;"_"&amp;Unique_ID)</f>
        <v>#N/A</v>
      </c>
      <c r="AN164" s="28" t="str">
        <f>LOWER(Campanha_ou_InsertionOrder&amp;"_"&amp;LineItem_ou_Grupodeanúncio&amp;"_"&amp;Linha_Criativa&amp;"_"&amp;Unique_ID)</f>
        <v>#N/A</v>
      </c>
      <c r="AO164" s="28" t="str">
        <f>LOWER("VW"&amp;"_"&amp;Model_Variant&amp;"_"&amp;Size&amp;"_"&amp;Linha_Criativa&amp;"_"&amp;IF(Servido_Por="portal",Veiculo,"adserver"))</f>
        <v>vw____adserver</v>
      </c>
      <c r="AP1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4" s="22" t="str">
        <f t="shared" si="1"/>
        <v/>
      </c>
      <c r="AS164" s="22" t="str">
        <f t="shared" si="2"/>
        <v/>
      </c>
      <c r="AT164" s="22" t="str">
        <f t="shared" si="3"/>
        <v>BR_IMC_DSY_LANCH_ND_NC_2020Q3AUG_NVS_Nivus-Launch-Consideracao</v>
      </c>
      <c r="AU164" s="22" t="str">
        <f t="shared" si="4"/>
        <v>#N/A</v>
      </c>
      <c r="AV164" s="22" t="s">
        <v>106</v>
      </c>
      <c r="AW1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4" s="22" t="str">
        <f t="shared" si="5"/>
        <v>BR_IMC_DSY_LANCH_ND_NC_2020Q3AUG_NVS_Nivus-Launch-Consideracao</v>
      </c>
      <c r="AY164" s="28" t="str">
        <f t="shared" si="6"/>
        <v>#N/A</v>
      </c>
      <c r="AZ164" s="22" t="s">
        <v>107</v>
      </c>
      <c r="BA164" s="22" t="s">
        <v>108</v>
      </c>
      <c r="BB164" s="31" t="s">
        <v>109</v>
      </c>
      <c r="BC164" s="31" t="s">
        <v>109</v>
      </c>
      <c r="BD164" s="32" t="str">
        <f t="shared" si="8"/>
        <v>nvl-nvs-imc-dsy-0820-10158</v>
      </c>
      <c r="BE164" s="33"/>
      <c r="BF164" s="33"/>
      <c r="BG164" s="39" t="str">
        <f>URL&amp;IF(ISNUMBER(FIND("?",URL)),"&amp;","?"&amp;("adlid="&amp;Unique_ID&amp;"&amp;adplt="&amp;Placement))</f>
        <v>#N/A</v>
      </c>
      <c r="BH164" s="1"/>
      <c r="BI164" s="1"/>
      <c r="BJ164" s="35" t="str">
        <f>LOWER("alp"&amp;"_"&amp;"vw"&amp;"_"&amp;Veiculo&amp;"_"&amp;C160&amp;"_"&amp;Objetivo)</f>
        <v>alp_vw___</v>
      </c>
      <c r="BK164" s="35" t="str">
        <f>LOWER(Buying_Metric&amp;"_"&amp;VLOOKUP(Buying_Type,Buy_type,2,FALSE)&amp;"_"&amp;Device&amp;"_"&amp;Size&amp;"_"&amp;Segmentação&amp;"_"&amp;Segmentação_Anúncio)</f>
        <v>#N/A</v>
      </c>
      <c r="BL164" s="35" t="str">
        <f>LOWER(Campanha_ou_InsertionOrder&amp;"_"&amp;LineItem_ou_Grupodeanúncio&amp;"_"&amp;Linha_criativa_2&amp;"_"&amp;Unique_ID)</f>
        <v>#N/A</v>
      </c>
      <c r="BM164" s="27"/>
      <c r="BN164" s="27"/>
    </row>
    <row r="165">
      <c r="A165" s="1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8" t="str">
        <f>LOWER(Campanha_ou_InsertionOrder&amp;"_"&amp;LineItem_ou_Grupodeanúncio&amp;"_"&amp;Linha_Criativa&amp;"_"&amp;Unique_ID)</f>
        <v>#N/A</v>
      </c>
      <c r="AN165" s="28" t="str">
        <f>LOWER(Campanha_ou_InsertionOrder&amp;"_"&amp;LineItem_ou_Grupodeanúncio&amp;"_"&amp;Linha_Criativa&amp;"_"&amp;Unique_ID)</f>
        <v>#N/A</v>
      </c>
      <c r="AO165" s="28" t="str">
        <f>LOWER("VW"&amp;"_"&amp;Model_Variant&amp;"_"&amp;Size&amp;"_"&amp;Linha_Criativa&amp;"_"&amp;IF(Servido_Por="portal",Veiculo,"adserver"))</f>
        <v>vw____adserver</v>
      </c>
      <c r="AP1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5" s="22" t="str">
        <f t="shared" si="1"/>
        <v/>
      </c>
      <c r="AS165" s="22" t="str">
        <f t="shared" si="2"/>
        <v/>
      </c>
      <c r="AT165" s="22" t="str">
        <f t="shared" si="3"/>
        <v>BR_IMC_DSY_LANCH_ND_NC_2020Q3AUG_NVS_Nivus-Launch-Consideracao</v>
      </c>
      <c r="AU165" s="22" t="str">
        <f t="shared" si="4"/>
        <v>#N/A</v>
      </c>
      <c r="AV165" s="22" t="s">
        <v>106</v>
      </c>
      <c r="AW1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5" s="22" t="str">
        <f t="shared" si="5"/>
        <v>BR_IMC_DSY_LANCH_ND_NC_2020Q3AUG_NVS_Nivus-Launch-Consideracao</v>
      </c>
      <c r="AY165" s="28" t="str">
        <f t="shared" si="6"/>
        <v>#N/A</v>
      </c>
      <c r="AZ165" s="22" t="s">
        <v>107</v>
      </c>
      <c r="BA165" s="22" t="s">
        <v>108</v>
      </c>
      <c r="BB165" s="31" t="s">
        <v>109</v>
      </c>
      <c r="BC165" s="31" t="s">
        <v>109</v>
      </c>
      <c r="BD165" s="32" t="str">
        <f t="shared" si="8"/>
        <v>nvl-nvs-imc-dsy-0820-10159</v>
      </c>
      <c r="BE165" s="33"/>
      <c r="BF165" s="33"/>
      <c r="BG165" s="39" t="str">
        <f>URL&amp;IF(ISNUMBER(FIND("?",URL)),"&amp;","?"&amp;("adlid="&amp;Unique_ID&amp;"&amp;adplt="&amp;Placement))</f>
        <v>#N/A</v>
      </c>
      <c r="BH165" s="1"/>
      <c r="BI165" s="1"/>
      <c r="BJ165" s="35" t="str">
        <f>LOWER("alp"&amp;"_"&amp;"vw"&amp;"_"&amp;Veiculo&amp;"_"&amp;C161&amp;"_"&amp;Objetivo)</f>
        <v>alp_vw___</v>
      </c>
      <c r="BK165" s="35" t="str">
        <f>LOWER(Buying_Metric&amp;"_"&amp;VLOOKUP(Buying_Type,Buy_type,2,FALSE)&amp;"_"&amp;Device&amp;"_"&amp;Size&amp;"_"&amp;Segmentação&amp;"_"&amp;Segmentação_Anúncio)</f>
        <v>#N/A</v>
      </c>
      <c r="BL165" s="35" t="str">
        <f>LOWER(Campanha_ou_InsertionOrder&amp;"_"&amp;LineItem_ou_Grupodeanúncio&amp;"_"&amp;Linha_criativa_2&amp;"_"&amp;Unique_ID)</f>
        <v>#N/A</v>
      </c>
      <c r="BM165" s="27"/>
      <c r="BN165" s="27"/>
    </row>
    <row r="166">
      <c r="A166" s="1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8" t="str">
        <f>LOWER(Campanha_ou_InsertionOrder&amp;"_"&amp;LineItem_ou_Grupodeanúncio&amp;"_"&amp;Linha_Criativa&amp;"_"&amp;Unique_ID)</f>
        <v>#N/A</v>
      </c>
      <c r="AN166" s="28" t="str">
        <f>LOWER(Campanha_ou_InsertionOrder&amp;"_"&amp;LineItem_ou_Grupodeanúncio&amp;"_"&amp;Linha_Criativa&amp;"_"&amp;Unique_ID)</f>
        <v>#N/A</v>
      </c>
      <c r="AO166" s="28" t="str">
        <f>LOWER("VW"&amp;"_"&amp;Model_Variant&amp;"_"&amp;Size&amp;"_"&amp;Linha_Criativa&amp;"_"&amp;IF(Servido_Por="portal",Veiculo,"adserver"))</f>
        <v>vw____adserver</v>
      </c>
      <c r="AP1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6" s="22" t="str">
        <f t="shared" si="1"/>
        <v/>
      </c>
      <c r="AS166" s="22" t="str">
        <f t="shared" si="2"/>
        <v/>
      </c>
      <c r="AT166" s="22" t="str">
        <f t="shared" si="3"/>
        <v>BR_IMC_DSY_LANCH_ND_NC_2020Q3AUG_NVS_Nivus-Launch-Consideracao</v>
      </c>
      <c r="AU166" s="22" t="str">
        <f t="shared" si="4"/>
        <v>#N/A</v>
      </c>
      <c r="AV166" s="22" t="s">
        <v>106</v>
      </c>
      <c r="AW1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6" s="22" t="str">
        <f t="shared" si="5"/>
        <v>BR_IMC_DSY_LANCH_ND_NC_2020Q3AUG_NVS_Nivus-Launch-Consideracao</v>
      </c>
      <c r="AY166" s="28" t="str">
        <f t="shared" si="6"/>
        <v>#N/A</v>
      </c>
      <c r="AZ166" s="22" t="s">
        <v>107</v>
      </c>
      <c r="BA166" s="22" t="s">
        <v>108</v>
      </c>
      <c r="BB166" s="31" t="s">
        <v>109</v>
      </c>
      <c r="BC166" s="31" t="s">
        <v>109</v>
      </c>
      <c r="BD166" s="32" t="str">
        <f t="shared" si="8"/>
        <v>nvl-nvs-imc-dsy-0820-10160</v>
      </c>
      <c r="BE166" s="33"/>
      <c r="BF166" s="33"/>
      <c r="BG166" s="39" t="str">
        <f>URL&amp;IF(ISNUMBER(FIND("?",URL)),"&amp;","?"&amp;("adlid="&amp;Unique_ID&amp;"&amp;adplt="&amp;Placement))</f>
        <v>#N/A</v>
      </c>
      <c r="BH166" s="1"/>
      <c r="BI166" s="1"/>
      <c r="BJ166" s="35" t="str">
        <f>LOWER("alp"&amp;"_"&amp;"vw"&amp;"_"&amp;Veiculo&amp;"_"&amp;C162&amp;"_"&amp;Objetivo)</f>
        <v>alp_vw___</v>
      </c>
      <c r="BK166" s="35" t="str">
        <f>LOWER(Buying_Metric&amp;"_"&amp;VLOOKUP(Buying_Type,Buy_type,2,FALSE)&amp;"_"&amp;Device&amp;"_"&amp;Size&amp;"_"&amp;Segmentação&amp;"_"&amp;Segmentação_Anúncio)</f>
        <v>#N/A</v>
      </c>
      <c r="BL166" s="35" t="str">
        <f>LOWER(Campanha_ou_InsertionOrder&amp;"_"&amp;LineItem_ou_Grupodeanúncio&amp;"_"&amp;Linha_criativa_2&amp;"_"&amp;Unique_ID)</f>
        <v>#N/A</v>
      </c>
      <c r="BM166" s="27"/>
      <c r="BN166" s="27"/>
    </row>
    <row r="167">
      <c r="A167" s="1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8" t="str">
        <f>LOWER(Campanha_ou_InsertionOrder&amp;"_"&amp;LineItem_ou_Grupodeanúncio&amp;"_"&amp;Linha_Criativa&amp;"_"&amp;Unique_ID)</f>
        <v>#N/A</v>
      </c>
      <c r="AN167" s="28" t="str">
        <f>LOWER(Campanha_ou_InsertionOrder&amp;"_"&amp;LineItem_ou_Grupodeanúncio&amp;"_"&amp;Linha_Criativa&amp;"_"&amp;Unique_ID)</f>
        <v>#N/A</v>
      </c>
      <c r="AO167" s="28" t="str">
        <f>LOWER("VW"&amp;"_"&amp;Model_Variant&amp;"_"&amp;Size&amp;"_"&amp;Linha_Criativa&amp;"_"&amp;IF(Servido_Por="portal",Veiculo,"adserver"))</f>
        <v>vw____adserver</v>
      </c>
      <c r="AP1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7" s="22" t="str">
        <f t="shared" si="1"/>
        <v/>
      </c>
      <c r="AS167" s="22" t="str">
        <f t="shared" si="2"/>
        <v/>
      </c>
      <c r="AT167" s="22" t="str">
        <f t="shared" si="3"/>
        <v>BR_IMC_DSY_LANCH_ND_NC_2020Q3AUG_NVS_Nivus-Launch-Consideracao</v>
      </c>
      <c r="AU167" s="22" t="str">
        <f t="shared" si="4"/>
        <v>#N/A</v>
      </c>
      <c r="AV167" s="22" t="s">
        <v>106</v>
      </c>
      <c r="AW1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7" s="22" t="str">
        <f t="shared" si="5"/>
        <v>BR_IMC_DSY_LANCH_ND_NC_2020Q3AUG_NVS_Nivus-Launch-Consideracao</v>
      </c>
      <c r="AY167" s="28" t="str">
        <f t="shared" si="6"/>
        <v>#N/A</v>
      </c>
      <c r="AZ167" s="22" t="s">
        <v>107</v>
      </c>
      <c r="BA167" s="22" t="s">
        <v>108</v>
      </c>
      <c r="BB167" s="31" t="s">
        <v>109</v>
      </c>
      <c r="BC167" s="31" t="s">
        <v>109</v>
      </c>
      <c r="BD167" s="32" t="str">
        <f t="shared" si="8"/>
        <v>nvl-nvs-imc-dsy-0820-10161</v>
      </c>
      <c r="BE167" s="33"/>
      <c r="BF167" s="33"/>
      <c r="BG167" s="39" t="str">
        <f>URL&amp;IF(ISNUMBER(FIND("?",URL)),"&amp;","?"&amp;("adlid="&amp;Unique_ID&amp;"&amp;adplt="&amp;Placement))</f>
        <v>#N/A</v>
      </c>
      <c r="BH167" s="1"/>
      <c r="BI167" s="1"/>
      <c r="BJ167" s="35" t="str">
        <f>LOWER("alp"&amp;"_"&amp;"vw"&amp;"_"&amp;Veiculo&amp;"_"&amp;C163&amp;"_"&amp;Objetivo)</f>
        <v>alp_vw___</v>
      </c>
      <c r="BK167" s="35" t="str">
        <f>LOWER(Buying_Metric&amp;"_"&amp;VLOOKUP(Buying_Type,Buy_type,2,FALSE)&amp;"_"&amp;Device&amp;"_"&amp;Size&amp;"_"&amp;Segmentação&amp;"_"&amp;Segmentação_Anúncio)</f>
        <v>#N/A</v>
      </c>
      <c r="BL167" s="35" t="str">
        <f>LOWER(Campanha_ou_InsertionOrder&amp;"_"&amp;LineItem_ou_Grupodeanúncio&amp;"_"&amp;Linha_criativa_2&amp;"_"&amp;Unique_ID)</f>
        <v>#N/A</v>
      </c>
      <c r="BM167" s="27"/>
      <c r="BN167" s="27"/>
    </row>
    <row r="168">
      <c r="A168" s="1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8" t="str">
        <f>LOWER(Campanha_ou_InsertionOrder&amp;"_"&amp;LineItem_ou_Grupodeanúncio&amp;"_"&amp;Linha_Criativa&amp;"_"&amp;Unique_ID)</f>
        <v>#N/A</v>
      </c>
      <c r="AN168" s="28" t="str">
        <f>LOWER(Campanha_ou_InsertionOrder&amp;"_"&amp;LineItem_ou_Grupodeanúncio&amp;"_"&amp;Linha_Criativa&amp;"_"&amp;Unique_ID)</f>
        <v>#N/A</v>
      </c>
      <c r="AO168" s="28" t="str">
        <f>LOWER("VW"&amp;"_"&amp;Model_Variant&amp;"_"&amp;Size&amp;"_"&amp;Linha_Criativa&amp;"_"&amp;IF(Servido_Por="portal",Veiculo,"adserver"))</f>
        <v>vw____adserver</v>
      </c>
      <c r="AP1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8" s="22" t="str">
        <f t="shared" si="1"/>
        <v/>
      </c>
      <c r="AS168" s="22" t="str">
        <f t="shared" si="2"/>
        <v/>
      </c>
      <c r="AT168" s="22" t="str">
        <f t="shared" si="3"/>
        <v>BR_IMC_DSY_LANCH_ND_NC_2020Q3AUG_NVS_Nivus-Launch-Consideracao</v>
      </c>
      <c r="AU168" s="22" t="str">
        <f t="shared" si="4"/>
        <v>#N/A</v>
      </c>
      <c r="AV168" s="22" t="s">
        <v>106</v>
      </c>
      <c r="AW1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8" s="22" t="str">
        <f t="shared" si="5"/>
        <v>BR_IMC_DSY_LANCH_ND_NC_2020Q3AUG_NVS_Nivus-Launch-Consideracao</v>
      </c>
      <c r="AY168" s="28" t="str">
        <f t="shared" si="6"/>
        <v>#N/A</v>
      </c>
      <c r="AZ168" s="22" t="s">
        <v>107</v>
      </c>
      <c r="BA168" s="22" t="s">
        <v>108</v>
      </c>
      <c r="BB168" s="31" t="s">
        <v>109</v>
      </c>
      <c r="BC168" s="31" t="s">
        <v>109</v>
      </c>
      <c r="BD168" s="32" t="str">
        <f t="shared" si="8"/>
        <v>nvl-nvs-imc-dsy-0820-10162</v>
      </c>
      <c r="BE168" s="33"/>
      <c r="BF168" s="33"/>
      <c r="BG168" s="39" t="str">
        <f>URL&amp;IF(ISNUMBER(FIND("?",URL)),"&amp;","?"&amp;("adlid="&amp;Unique_ID&amp;"&amp;adplt="&amp;Placement))</f>
        <v>#N/A</v>
      </c>
      <c r="BH168" s="1"/>
      <c r="BI168" s="1"/>
      <c r="BJ168" s="35" t="str">
        <f>LOWER("alp"&amp;"_"&amp;"vw"&amp;"_"&amp;Veiculo&amp;"_"&amp;C164&amp;"_"&amp;Objetivo)</f>
        <v>alp_vw___</v>
      </c>
      <c r="BK168" s="35" t="str">
        <f>LOWER(Buying_Metric&amp;"_"&amp;VLOOKUP(Buying_Type,Buy_type,2,FALSE)&amp;"_"&amp;Device&amp;"_"&amp;Size&amp;"_"&amp;Segmentação&amp;"_"&amp;Segmentação_Anúncio)</f>
        <v>#N/A</v>
      </c>
      <c r="BL168" s="35" t="str">
        <f>LOWER(Campanha_ou_InsertionOrder&amp;"_"&amp;LineItem_ou_Grupodeanúncio&amp;"_"&amp;Linha_criativa_2&amp;"_"&amp;Unique_ID)</f>
        <v>#N/A</v>
      </c>
      <c r="BM168" s="27"/>
      <c r="BN168" s="27"/>
    </row>
    <row r="169">
      <c r="A169" s="1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8" t="str">
        <f>LOWER(Campanha_ou_InsertionOrder&amp;"_"&amp;LineItem_ou_Grupodeanúncio&amp;"_"&amp;Linha_Criativa&amp;"_"&amp;Unique_ID)</f>
        <v>#N/A</v>
      </c>
      <c r="AN169" s="28" t="str">
        <f>LOWER(Campanha_ou_InsertionOrder&amp;"_"&amp;LineItem_ou_Grupodeanúncio&amp;"_"&amp;Linha_Criativa&amp;"_"&amp;Unique_ID)</f>
        <v>#N/A</v>
      </c>
      <c r="AO169" s="28" t="str">
        <f>LOWER("VW"&amp;"_"&amp;Model_Variant&amp;"_"&amp;Size&amp;"_"&amp;Linha_Criativa&amp;"_"&amp;IF(Servido_Por="portal",Veiculo,"adserver"))</f>
        <v>vw____adserver</v>
      </c>
      <c r="AP1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69" s="22" t="str">
        <f t="shared" si="1"/>
        <v/>
      </c>
      <c r="AS169" s="22" t="str">
        <f t="shared" si="2"/>
        <v/>
      </c>
      <c r="AT169" s="22" t="str">
        <f t="shared" si="3"/>
        <v>BR_IMC_DSY_LANCH_ND_NC_2020Q3AUG_NVS_Nivus-Launch-Consideracao</v>
      </c>
      <c r="AU169" s="22" t="str">
        <f t="shared" si="4"/>
        <v>#N/A</v>
      </c>
      <c r="AV169" s="22" t="s">
        <v>106</v>
      </c>
      <c r="AW1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69" s="22" t="str">
        <f t="shared" si="5"/>
        <v>BR_IMC_DSY_LANCH_ND_NC_2020Q3AUG_NVS_Nivus-Launch-Consideracao</v>
      </c>
      <c r="AY169" s="28" t="str">
        <f t="shared" si="6"/>
        <v>#N/A</v>
      </c>
      <c r="AZ169" s="22" t="s">
        <v>107</v>
      </c>
      <c r="BA169" s="22" t="s">
        <v>108</v>
      </c>
      <c r="BB169" s="31" t="s">
        <v>109</v>
      </c>
      <c r="BC169" s="31" t="s">
        <v>109</v>
      </c>
      <c r="BD169" s="32" t="str">
        <f t="shared" si="8"/>
        <v>nvl-nvs-imc-dsy-0820-10163</v>
      </c>
      <c r="BE169" s="33"/>
      <c r="BF169" s="33"/>
      <c r="BG169" s="39" t="str">
        <f>URL&amp;IF(ISNUMBER(FIND("?",URL)),"&amp;","?"&amp;("adlid="&amp;Unique_ID&amp;"&amp;adplt="&amp;Placement))</f>
        <v>#N/A</v>
      </c>
      <c r="BH169" s="1"/>
      <c r="BI169" s="1"/>
      <c r="BJ169" s="35" t="str">
        <f>LOWER("alp"&amp;"_"&amp;"vw"&amp;"_"&amp;Veiculo&amp;"_"&amp;C165&amp;"_"&amp;Objetivo)</f>
        <v>alp_vw___</v>
      </c>
      <c r="BK169" s="35" t="str">
        <f>LOWER(Buying_Metric&amp;"_"&amp;VLOOKUP(Buying_Type,Buy_type,2,FALSE)&amp;"_"&amp;Device&amp;"_"&amp;Size&amp;"_"&amp;Segmentação&amp;"_"&amp;Segmentação_Anúncio)</f>
        <v>#N/A</v>
      </c>
      <c r="BL169" s="35" t="str">
        <f>LOWER(Campanha_ou_InsertionOrder&amp;"_"&amp;LineItem_ou_Grupodeanúncio&amp;"_"&amp;Linha_criativa_2&amp;"_"&amp;Unique_ID)</f>
        <v>#N/A</v>
      </c>
      <c r="BM169" s="27"/>
      <c r="BN169" s="27"/>
    </row>
    <row r="170">
      <c r="A170" s="1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8" t="str">
        <f>LOWER(Campanha_ou_InsertionOrder&amp;"_"&amp;LineItem_ou_Grupodeanúncio&amp;"_"&amp;Linha_Criativa&amp;"_"&amp;Unique_ID)</f>
        <v>#N/A</v>
      </c>
      <c r="AN170" s="28" t="str">
        <f>LOWER(Campanha_ou_InsertionOrder&amp;"_"&amp;LineItem_ou_Grupodeanúncio&amp;"_"&amp;Linha_Criativa&amp;"_"&amp;Unique_ID)</f>
        <v>#N/A</v>
      </c>
      <c r="AO170" s="28" t="str">
        <f>LOWER("VW"&amp;"_"&amp;Model_Variant&amp;"_"&amp;Size&amp;"_"&amp;Linha_Criativa&amp;"_"&amp;IF(Servido_Por="portal",Veiculo,"adserver"))</f>
        <v>vw____adserver</v>
      </c>
      <c r="AP1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0" s="22" t="str">
        <f t="shared" si="1"/>
        <v/>
      </c>
      <c r="AS170" s="22" t="str">
        <f t="shared" si="2"/>
        <v/>
      </c>
      <c r="AT170" s="22" t="str">
        <f t="shared" si="3"/>
        <v>BR_IMC_DSY_LANCH_ND_NC_2020Q3AUG_NVS_Nivus-Launch-Consideracao</v>
      </c>
      <c r="AU170" s="22" t="str">
        <f t="shared" si="4"/>
        <v>#N/A</v>
      </c>
      <c r="AV170" s="22" t="s">
        <v>106</v>
      </c>
      <c r="AW1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0" s="22" t="str">
        <f t="shared" si="5"/>
        <v>BR_IMC_DSY_LANCH_ND_NC_2020Q3AUG_NVS_Nivus-Launch-Consideracao</v>
      </c>
      <c r="AY170" s="28" t="str">
        <f t="shared" si="6"/>
        <v>#N/A</v>
      </c>
      <c r="AZ170" s="22" t="s">
        <v>107</v>
      </c>
      <c r="BA170" s="22" t="s">
        <v>108</v>
      </c>
      <c r="BB170" s="31" t="s">
        <v>109</v>
      </c>
      <c r="BC170" s="31" t="s">
        <v>109</v>
      </c>
      <c r="BD170" s="32" t="str">
        <f t="shared" si="8"/>
        <v>nvl-nvs-imc-dsy-0820-10164</v>
      </c>
      <c r="BE170" s="33"/>
      <c r="BF170" s="33"/>
      <c r="BG170" s="39" t="str">
        <f>URL&amp;IF(ISNUMBER(FIND("?",URL)),"&amp;","?"&amp;("adlid="&amp;Unique_ID&amp;"&amp;adplt="&amp;Placement))</f>
        <v>#N/A</v>
      </c>
      <c r="BH170" s="1"/>
      <c r="BI170" s="1"/>
      <c r="BJ170" s="35" t="str">
        <f>LOWER("alp"&amp;"_"&amp;"vw"&amp;"_"&amp;Veiculo&amp;"_"&amp;C166&amp;"_"&amp;Objetivo)</f>
        <v>alp_vw___</v>
      </c>
      <c r="BK170" s="35" t="str">
        <f>LOWER(Buying_Metric&amp;"_"&amp;VLOOKUP(Buying_Type,Buy_type,2,FALSE)&amp;"_"&amp;Device&amp;"_"&amp;Size&amp;"_"&amp;Segmentação&amp;"_"&amp;Segmentação_Anúncio)</f>
        <v>#N/A</v>
      </c>
      <c r="BL170" s="35" t="str">
        <f>LOWER(Campanha_ou_InsertionOrder&amp;"_"&amp;LineItem_ou_Grupodeanúncio&amp;"_"&amp;Linha_criativa_2&amp;"_"&amp;Unique_ID)</f>
        <v>#N/A</v>
      </c>
      <c r="BM170" s="27"/>
      <c r="BN170" s="27"/>
    </row>
    <row r="171">
      <c r="A171" s="1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8" t="str">
        <f>LOWER(Campanha_ou_InsertionOrder&amp;"_"&amp;LineItem_ou_Grupodeanúncio&amp;"_"&amp;Linha_Criativa&amp;"_"&amp;Unique_ID)</f>
        <v>#N/A</v>
      </c>
      <c r="AN171" s="28" t="str">
        <f>LOWER(Campanha_ou_InsertionOrder&amp;"_"&amp;LineItem_ou_Grupodeanúncio&amp;"_"&amp;Linha_Criativa&amp;"_"&amp;Unique_ID)</f>
        <v>#N/A</v>
      </c>
      <c r="AO171" s="28" t="str">
        <f>LOWER("VW"&amp;"_"&amp;Model_Variant&amp;"_"&amp;Size&amp;"_"&amp;Linha_Criativa&amp;"_"&amp;IF(Servido_Por="portal",Veiculo,"adserver"))</f>
        <v>vw____adserver</v>
      </c>
      <c r="AP1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1" s="22" t="str">
        <f t="shared" si="1"/>
        <v/>
      </c>
      <c r="AS171" s="22" t="str">
        <f t="shared" si="2"/>
        <v/>
      </c>
      <c r="AT171" s="22" t="str">
        <f t="shared" si="3"/>
        <v>BR_IMC_DSY_LANCH_ND_NC_2020Q3AUG_NVS_Nivus-Launch-Consideracao</v>
      </c>
      <c r="AU171" s="22" t="str">
        <f t="shared" si="4"/>
        <v>#N/A</v>
      </c>
      <c r="AV171" s="22" t="s">
        <v>106</v>
      </c>
      <c r="AW1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1" s="22" t="str">
        <f t="shared" si="5"/>
        <v>BR_IMC_DSY_LANCH_ND_NC_2020Q3AUG_NVS_Nivus-Launch-Consideracao</v>
      </c>
      <c r="AY171" s="28" t="str">
        <f t="shared" si="6"/>
        <v>#N/A</v>
      </c>
      <c r="AZ171" s="22" t="s">
        <v>107</v>
      </c>
      <c r="BA171" s="22" t="s">
        <v>108</v>
      </c>
      <c r="BB171" s="31" t="s">
        <v>109</v>
      </c>
      <c r="BC171" s="31" t="s">
        <v>109</v>
      </c>
      <c r="BD171" s="32" t="str">
        <f t="shared" si="8"/>
        <v>nvl-nvs-imc-dsy-0820-10165</v>
      </c>
      <c r="BE171" s="33"/>
      <c r="BF171" s="33"/>
      <c r="BG171" s="39" t="str">
        <f>URL&amp;IF(ISNUMBER(FIND("?",URL)),"&amp;","?"&amp;("adlid="&amp;Unique_ID&amp;"&amp;adplt="&amp;Placement))</f>
        <v>#N/A</v>
      </c>
      <c r="BH171" s="1"/>
      <c r="BI171" s="1"/>
      <c r="BJ171" s="35" t="str">
        <f>LOWER("alp"&amp;"_"&amp;"vw"&amp;"_"&amp;Veiculo&amp;"_"&amp;C167&amp;"_"&amp;Objetivo)</f>
        <v>alp_vw___</v>
      </c>
      <c r="BK171" s="35" t="str">
        <f>LOWER(Buying_Metric&amp;"_"&amp;VLOOKUP(Buying_Type,Buy_type,2,FALSE)&amp;"_"&amp;Device&amp;"_"&amp;Size&amp;"_"&amp;Segmentação&amp;"_"&amp;Segmentação_Anúncio)</f>
        <v>#N/A</v>
      </c>
      <c r="BL171" s="35" t="str">
        <f>LOWER(Campanha_ou_InsertionOrder&amp;"_"&amp;LineItem_ou_Grupodeanúncio&amp;"_"&amp;Linha_criativa_2&amp;"_"&amp;Unique_ID)</f>
        <v>#N/A</v>
      </c>
      <c r="BM171" s="27"/>
      <c r="BN171" s="27"/>
    </row>
    <row r="172">
      <c r="A172" s="1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8" t="str">
        <f>LOWER(Campanha_ou_InsertionOrder&amp;"_"&amp;LineItem_ou_Grupodeanúncio&amp;"_"&amp;Linha_Criativa&amp;"_"&amp;Unique_ID)</f>
        <v>#N/A</v>
      </c>
      <c r="AN172" s="28" t="str">
        <f>LOWER(Campanha_ou_InsertionOrder&amp;"_"&amp;LineItem_ou_Grupodeanúncio&amp;"_"&amp;Linha_Criativa&amp;"_"&amp;Unique_ID)</f>
        <v>#N/A</v>
      </c>
      <c r="AO172" s="28" t="str">
        <f>LOWER("VW"&amp;"_"&amp;Model_Variant&amp;"_"&amp;Size&amp;"_"&amp;Linha_Criativa&amp;"_"&amp;IF(Servido_Por="portal",Veiculo,"adserver"))</f>
        <v>vw____adserver</v>
      </c>
      <c r="AP1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2" s="22" t="str">
        <f t="shared" si="1"/>
        <v/>
      </c>
      <c r="AS172" s="22" t="str">
        <f t="shared" si="2"/>
        <v/>
      </c>
      <c r="AT172" s="22" t="str">
        <f t="shared" si="3"/>
        <v>BR_IMC_DSY_LANCH_ND_NC_2020Q3AUG_NVS_Nivus-Launch-Consideracao</v>
      </c>
      <c r="AU172" s="22" t="str">
        <f t="shared" si="4"/>
        <v>#N/A</v>
      </c>
      <c r="AV172" s="22" t="s">
        <v>106</v>
      </c>
      <c r="AW1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2" s="22" t="str">
        <f t="shared" si="5"/>
        <v>BR_IMC_DSY_LANCH_ND_NC_2020Q3AUG_NVS_Nivus-Launch-Consideracao</v>
      </c>
      <c r="AY172" s="28" t="str">
        <f t="shared" si="6"/>
        <v>#N/A</v>
      </c>
      <c r="AZ172" s="22" t="s">
        <v>107</v>
      </c>
      <c r="BA172" s="22" t="s">
        <v>108</v>
      </c>
      <c r="BB172" s="31" t="s">
        <v>109</v>
      </c>
      <c r="BC172" s="31" t="s">
        <v>109</v>
      </c>
      <c r="BD172" s="32" t="str">
        <f t="shared" si="8"/>
        <v>nvl-nvs-imc-dsy-0820-10166</v>
      </c>
      <c r="BE172" s="33"/>
      <c r="BF172" s="33"/>
      <c r="BG172" s="39" t="str">
        <f>URL&amp;IF(ISNUMBER(FIND("?",URL)),"&amp;","?"&amp;("adlid="&amp;Unique_ID&amp;"&amp;adplt="&amp;Placement))</f>
        <v>#N/A</v>
      </c>
      <c r="BH172" s="1"/>
      <c r="BI172" s="1"/>
      <c r="BJ172" s="35" t="str">
        <f>LOWER("alp"&amp;"_"&amp;"vw"&amp;"_"&amp;Veiculo&amp;"_"&amp;C168&amp;"_"&amp;Objetivo)</f>
        <v>alp_vw___</v>
      </c>
      <c r="BK172" s="35" t="str">
        <f>LOWER(Buying_Metric&amp;"_"&amp;VLOOKUP(Buying_Type,Buy_type,2,FALSE)&amp;"_"&amp;Device&amp;"_"&amp;Size&amp;"_"&amp;Segmentação&amp;"_"&amp;Segmentação_Anúncio)</f>
        <v>#N/A</v>
      </c>
      <c r="BL172" s="35" t="str">
        <f>LOWER(Campanha_ou_InsertionOrder&amp;"_"&amp;LineItem_ou_Grupodeanúncio&amp;"_"&amp;Linha_criativa_2&amp;"_"&amp;Unique_ID)</f>
        <v>#N/A</v>
      </c>
      <c r="BM172" s="27"/>
      <c r="BN172" s="27"/>
    </row>
    <row r="173">
      <c r="A173" s="1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8" t="str">
        <f>LOWER(Campanha_ou_InsertionOrder&amp;"_"&amp;LineItem_ou_Grupodeanúncio&amp;"_"&amp;Linha_Criativa&amp;"_"&amp;Unique_ID)</f>
        <v>#N/A</v>
      </c>
      <c r="AN173" s="28" t="str">
        <f>LOWER(Campanha_ou_InsertionOrder&amp;"_"&amp;LineItem_ou_Grupodeanúncio&amp;"_"&amp;Linha_Criativa&amp;"_"&amp;Unique_ID)</f>
        <v>#N/A</v>
      </c>
      <c r="AO173" s="28" t="str">
        <f>LOWER("VW"&amp;"_"&amp;Model_Variant&amp;"_"&amp;Size&amp;"_"&amp;Linha_Criativa&amp;"_"&amp;IF(Servido_Por="portal",Veiculo,"adserver"))</f>
        <v>vw____adserver</v>
      </c>
      <c r="AP1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3" s="22" t="str">
        <f t="shared" si="1"/>
        <v/>
      </c>
      <c r="AS173" s="22" t="str">
        <f t="shared" si="2"/>
        <v/>
      </c>
      <c r="AT173" s="22" t="str">
        <f t="shared" si="3"/>
        <v>BR_IMC_DSY_LANCH_ND_NC_2020Q3AUG_NVS_Nivus-Launch-Consideracao</v>
      </c>
      <c r="AU173" s="22" t="str">
        <f t="shared" si="4"/>
        <v>#N/A</v>
      </c>
      <c r="AV173" s="22" t="s">
        <v>106</v>
      </c>
      <c r="AW1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3" s="22" t="str">
        <f t="shared" si="5"/>
        <v>BR_IMC_DSY_LANCH_ND_NC_2020Q3AUG_NVS_Nivus-Launch-Consideracao</v>
      </c>
      <c r="AY173" s="28" t="str">
        <f t="shared" si="6"/>
        <v>#N/A</v>
      </c>
      <c r="AZ173" s="22" t="s">
        <v>107</v>
      </c>
      <c r="BA173" s="22" t="s">
        <v>108</v>
      </c>
      <c r="BB173" s="31" t="s">
        <v>109</v>
      </c>
      <c r="BC173" s="31" t="s">
        <v>109</v>
      </c>
      <c r="BD173" s="32" t="str">
        <f t="shared" si="8"/>
        <v>nvl-nvs-imc-dsy-0820-10167</v>
      </c>
      <c r="BE173" s="33"/>
      <c r="BF173" s="33"/>
      <c r="BG173" s="39" t="str">
        <f>URL&amp;IF(ISNUMBER(FIND("?",URL)),"&amp;","?"&amp;("adlid="&amp;Unique_ID&amp;"&amp;adplt="&amp;Placement))</f>
        <v>#N/A</v>
      </c>
      <c r="BH173" s="1"/>
      <c r="BI173" s="1"/>
      <c r="BJ173" s="35" t="str">
        <f>LOWER("alp"&amp;"_"&amp;"vw"&amp;"_"&amp;Veiculo&amp;"_"&amp;C169&amp;"_"&amp;Objetivo)</f>
        <v>alp_vw___</v>
      </c>
      <c r="BK173" s="35" t="str">
        <f>LOWER(Buying_Metric&amp;"_"&amp;VLOOKUP(Buying_Type,Buy_type,2,FALSE)&amp;"_"&amp;Device&amp;"_"&amp;Size&amp;"_"&amp;Segmentação&amp;"_"&amp;Segmentação_Anúncio)</f>
        <v>#N/A</v>
      </c>
      <c r="BL173" s="35" t="str">
        <f>LOWER(Campanha_ou_InsertionOrder&amp;"_"&amp;LineItem_ou_Grupodeanúncio&amp;"_"&amp;Linha_criativa_2&amp;"_"&amp;Unique_ID)</f>
        <v>#N/A</v>
      </c>
      <c r="BM173" s="27"/>
      <c r="BN173" s="27"/>
    </row>
    <row r="174">
      <c r="A174" s="1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8" t="str">
        <f>LOWER(Campanha_ou_InsertionOrder&amp;"_"&amp;LineItem_ou_Grupodeanúncio&amp;"_"&amp;Linha_Criativa&amp;"_"&amp;Unique_ID)</f>
        <v>#N/A</v>
      </c>
      <c r="AN174" s="28" t="str">
        <f>LOWER(Campanha_ou_InsertionOrder&amp;"_"&amp;LineItem_ou_Grupodeanúncio&amp;"_"&amp;Linha_Criativa&amp;"_"&amp;Unique_ID)</f>
        <v>#N/A</v>
      </c>
      <c r="AO174" s="28" t="str">
        <f>LOWER("VW"&amp;"_"&amp;Model_Variant&amp;"_"&amp;Size&amp;"_"&amp;Linha_Criativa&amp;"_"&amp;IF(Servido_Por="portal",Veiculo,"adserver"))</f>
        <v>vw____adserver</v>
      </c>
      <c r="AP1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4" s="22" t="str">
        <f t="shared" si="1"/>
        <v/>
      </c>
      <c r="AS174" s="22" t="str">
        <f t="shared" si="2"/>
        <v/>
      </c>
      <c r="AT174" s="22" t="str">
        <f t="shared" si="3"/>
        <v>BR_IMC_DSY_LANCH_ND_NC_2020Q3AUG_NVS_Nivus-Launch-Consideracao</v>
      </c>
      <c r="AU174" s="22" t="str">
        <f t="shared" si="4"/>
        <v>#N/A</v>
      </c>
      <c r="AV174" s="22" t="s">
        <v>106</v>
      </c>
      <c r="AW1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4" s="22" t="str">
        <f t="shared" si="5"/>
        <v>BR_IMC_DSY_LANCH_ND_NC_2020Q3AUG_NVS_Nivus-Launch-Consideracao</v>
      </c>
      <c r="AY174" s="28" t="str">
        <f t="shared" si="6"/>
        <v>#N/A</v>
      </c>
      <c r="AZ174" s="22" t="s">
        <v>107</v>
      </c>
      <c r="BA174" s="22" t="s">
        <v>108</v>
      </c>
      <c r="BB174" s="31" t="s">
        <v>109</v>
      </c>
      <c r="BC174" s="31" t="s">
        <v>109</v>
      </c>
      <c r="BD174" s="32" t="str">
        <f t="shared" si="8"/>
        <v>nvl-nvs-imc-dsy-0820-10168</v>
      </c>
      <c r="BE174" s="33"/>
      <c r="BF174" s="33"/>
      <c r="BG174" s="39" t="str">
        <f>URL&amp;IF(ISNUMBER(FIND("?",URL)),"&amp;","?"&amp;("adlid="&amp;Unique_ID&amp;"&amp;adplt="&amp;Placement))</f>
        <v>#N/A</v>
      </c>
      <c r="BH174" s="1"/>
      <c r="BI174" s="1"/>
      <c r="BJ174" s="35" t="str">
        <f>LOWER("alp"&amp;"_"&amp;"vw"&amp;"_"&amp;Veiculo&amp;"_"&amp;C170&amp;"_"&amp;Objetivo)</f>
        <v>alp_vw___</v>
      </c>
      <c r="BK174" s="35" t="str">
        <f>LOWER(Buying_Metric&amp;"_"&amp;VLOOKUP(Buying_Type,Buy_type,2,FALSE)&amp;"_"&amp;Device&amp;"_"&amp;Size&amp;"_"&amp;Segmentação&amp;"_"&amp;Segmentação_Anúncio)</f>
        <v>#N/A</v>
      </c>
      <c r="BL174" s="35" t="str">
        <f>LOWER(Campanha_ou_InsertionOrder&amp;"_"&amp;LineItem_ou_Grupodeanúncio&amp;"_"&amp;Linha_criativa_2&amp;"_"&amp;Unique_ID)</f>
        <v>#N/A</v>
      </c>
      <c r="BM174" s="27"/>
      <c r="BN174" s="27"/>
    </row>
    <row r="175">
      <c r="A175" s="1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8" t="str">
        <f>LOWER(Campanha_ou_InsertionOrder&amp;"_"&amp;LineItem_ou_Grupodeanúncio&amp;"_"&amp;Linha_Criativa&amp;"_"&amp;Unique_ID)</f>
        <v>#N/A</v>
      </c>
      <c r="AN175" s="28" t="str">
        <f>LOWER(Campanha_ou_InsertionOrder&amp;"_"&amp;LineItem_ou_Grupodeanúncio&amp;"_"&amp;Linha_Criativa&amp;"_"&amp;Unique_ID)</f>
        <v>#N/A</v>
      </c>
      <c r="AO175" s="28" t="str">
        <f>LOWER("VW"&amp;"_"&amp;Model_Variant&amp;"_"&amp;Size&amp;"_"&amp;Linha_Criativa&amp;"_"&amp;IF(Servido_Por="portal",Veiculo,"adserver"))</f>
        <v>vw____adserver</v>
      </c>
      <c r="AP1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5" s="22" t="str">
        <f t="shared" si="1"/>
        <v/>
      </c>
      <c r="AS175" s="22" t="str">
        <f t="shared" si="2"/>
        <v/>
      </c>
      <c r="AT175" s="22" t="str">
        <f t="shared" si="3"/>
        <v>BR_IMC_DSY_LANCH_ND_NC_2020Q3AUG_NVS_Nivus-Launch-Consideracao</v>
      </c>
      <c r="AU175" s="22" t="str">
        <f t="shared" si="4"/>
        <v>#N/A</v>
      </c>
      <c r="AV175" s="22" t="s">
        <v>106</v>
      </c>
      <c r="AW1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5" s="22" t="str">
        <f t="shared" si="5"/>
        <v>BR_IMC_DSY_LANCH_ND_NC_2020Q3AUG_NVS_Nivus-Launch-Consideracao</v>
      </c>
      <c r="AY175" s="28" t="str">
        <f t="shared" si="6"/>
        <v>#N/A</v>
      </c>
      <c r="AZ175" s="22" t="s">
        <v>107</v>
      </c>
      <c r="BA175" s="22" t="s">
        <v>108</v>
      </c>
      <c r="BB175" s="31" t="s">
        <v>109</v>
      </c>
      <c r="BC175" s="31" t="s">
        <v>109</v>
      </c>
      <c r="BD175" s="32" t="str">
        <f t="shared" si="8"/>
        <v>nvl-nvs-imc-dsy-0820-10169</v>
      </c>
      <c r="BE175" s="33"/>
      <c r="BF175" s="33"/>
      <c r="BG175" s="39" t="str">
        <f>URL&amp;IF(ISNUMBER(FIND("?",URL)),"&amp;","?"&amp;("adlid="&amp;Unique_ID&amp;"&amp;adplt="&amp;Placement))</f>
        <v>#N/A</v>
      </c>
      <c r="BH175" s="1"/>
      <c r="BI175" s="1"/>
      <c r="BJ175" s="35" t="str">
        <f>LOWER("alp"&amp;"_"&amp;"vw"&amp;"_"&amp;Veiculo&amp;"_"&amp;C171&amp;"_"&amp;Objetivo)</f>
        <v>alp_vw___</v>
      </c>
      <c r="BK175" s="35" t="str">
        <f>LOWER(Buying_Metric&amp;"_"&amp;VLOOKUP(Buying_Type,Buy_type,2,FALSE)&amp;"_"&amp;Device&amp;"_"&amp;Size&amp;"_"&amp;Segmentação&amp;"_"&amp;Segmentação_Anúncio)</f>
        <v>#N/A</v>
      </c>
      <c r="BL175" s="35" t="str">
        <f>LOWER(Campanha_ou_InsertionOrder&amp;"_"&amp;LineItem_ou_Grupodeanúncio&amp;"_"&amp;Linha_criativa_2&amp;"_"&amp;Unique_ID)</f>
        <v>#N/A</v>
      </c>
      <c r="BM175" s="27"/>
      <c r="BN175" s="27"/>
    </row>
    <row r="176">
      <c r="A176" s="1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8" t="str">
        <f>LOWER(Campanha_ou_InsertionOrder&amp;"_"&amp;LineItem_ou_Grupodeanúncio&amp;"_"&amp;Linha_Criativa&amp;"_"&amp;Unique_ID)</f>
        <v>#N/A</v>
      </c>
      <c r="AN176" s="28" t="str">
        <f>LOWER(Campanha_ou_InsertionOrder&amp;"_"&amp;LineItem_ou_Grupodeanúncio&amp;"_"&amp;Linha_Criativa&amp;"_"&amp;Unique_ID)</f>
        <v>#N/A</v>
      </c>
      <c r="AO176" s="28" t="str">
        <f>LOWER("VW"&amp;"_"&amp;Model_Variant&amp;"_"&amp;Size&amp;"_"&amp;Linha_Criativa&amp;"_"&amp;IF(Servido_Por="portal",Veiculo,"adserver"))</f>
        <v>vw____adserver</v>
      </c>
      <c r="AP1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6" s="22" t="str">
        <f t="shared" si="1"/>
        <v/>
      </c>
      <c r="AS176" s="22" t="str">
        <f t="shared" si="2"/>
        <v/>
      </c>
      <c r="AT176" s="22" t="str">
        <f t="shared" si="3"/>
        <v>BR_IMC_DSY_LANCH_ND_NC_2020Q3AUG_NVS_Nivus-Launch-Consideracao</v>
      </c>
      <c r="AU176" s="22" t="str">
        <f t="shared" si="4"/>
        <v>#N/A</v>
      </c>
      <c r="AV176" s="22" t="s">
        <v>106</v>
      </c>
      <c r="AW1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6" s="22" t="str">
        <f t="shared" si="5"/>
        <v>BR_IMC_DSY_LANCH_ND_NC_2020Q3AUG_NVS_Nivus-Launch-Consideracao</v>
      </c>
      <c r="AY176" s="28" t="str">
        <f t="shared" si="6"/>
        <v>#N/A</v>
      </c>
      <c r="AZ176" s="22" t="s">
        <v>107</v>
      </c>
      <c r="BA176" s="22" t="s">
        <v>108</v>
      </c>
      <c r="BB176" s="31" t="s">
        <v>109</v>
      </c>
      <c r="BC176" s="31" t="s">
        <v>109</v>
      </c>
      <c r="BD176" s="32" t="str">
        <f t="shared" si="8"/>
        <v>nvl-nvs-imc-dsy-0820-10170</v>
      </c>
      <c r="BE176" s="33"/>
      <c r="BF176" s="33"/>
      <c r="BG176" s="39" t="str">
        <f>URL&amp;IF(ISNUMBER(FIND("?",URL)),"&amp;","?"&amp;("adlid="&amp;Unique_ID&amp;"&amp;adplt="&amp;Placement))</f>
        <v>#N/A</v>
      </c>
      <c r="BH176" s="1"/>
      <c r="BI176" s="1"/>
      <c r="BJ176" s="35" t="str">
        <f>LOWER("alp"&amp;"_"&amp;"vw"&amp;"_"&amp;Veiculo&amp;"_"&amp;C172&amp;"_"&amp;Objetivo)</f>
        <v>alp_vw___</v>
      </c>
      <c r="BK176" s="35" t="str">
        <f>LOWER(Buying_Metric&amp;"_"&amp;VLOOKUP(Buying_Type,Buy_type,2,FALSE)&amp;"_"&amp;Device&amp;"_"&amp;Size&amp;"_"&amp;Segmentação&amp;"_"&amp;Segmentação_Anúncio)</f>
        <v>#N/A</v>
      </c>
      <c r="BL176" s="35" t="str">
        <f>LOWER(Campanha_ou_InsertionOrder&amp;"_"&amp;LineItem_ou_Grupodeanúncio&amp;"_"&amp;Linha_criativa_2&amp;"_"&amp;Unique_ID)</f>
        <v>#N/A</v>
      </c>
      <c r="BM176" s="27"/>
      <c r="BN176" s="27"/>
    </row>
    <row r="177">
      <c r="A177" s="1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8" t="str">
        <f>LOWER(Campanha_ou_InsertionOrder&amp;"_"&amp;LineItem_ou_Grupodeanúncio&amp;"_"&amp;Linha_Criativa&amp;"_"&amp;Unique_ID)</f>
        <v>#N/A</v>
      </c>
      <c r="AN177" s="28" t="str">
        <f>LOWER(Campanha_ou_InsertionOrder&amp;"_"&amp;LineItem_ou_Grupodeanúncio&amp;"_"&amp;Linha_Criativa&amp;"_"&amp;Unique_ID)</f>
        <v>#N/A</v>
      </c>
      <c r="AO177" s="28" t="str">
        <f>LOWER("VW"&amp;"_"&amp;Model_Variant&amp;"_"&amp;Size&amp;"_"&amp;Linha_Criativa&amp;"_"&amp;IF(Servido_Por="portal",Veiculo,"adserver"))</f>
        <v>vw____adserver</v>
      </c>
      <c r="AP1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7" s="22" t="str">
        <f t="shared" si="1"/>
        <v/>
      </c>
      <c r="AS177" s="22" t="str">
        <f t="shared" si="2"/>
        <v/>
      </c>
      <c r="AT177" s="22" t="str">
        <f t="shared" si="3"/>
        <v>BR_IMC_DSY_LANCH_ND_NC_2020Q3AUG_NVS_Nivus-Launch-Consideracao</v>
      </c>
      <c r="AU177" s="22" t="str">
        <f t="shared" si="4"/>
        <v>#N/A</v>
      </c>
      <c r="AV177" s="22" t="s">
        <v>106</v>
      </c>
      <c r="AW1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7" s="22" t="str">
        <f t="shared" si="5"/>
        <v>BR_IMC_DSY_LANCH_ND_NC_2020Q3AUG_NVS_Nivus-Launch-Consideracao</v>
      </c>
      <c r="AY177" s="28" t="str">
        <f t="shared" si="6"/>
        <v>#N/A</v>
      </c>
      <c r="AZ177" s="22" t="s">
        <v>107</v>
      </c>
      <c r="BA177" s="22" t="s">
        <v>108</v>
      </c>
      <c r="BB177" s="31" t="s">
        <v>109</v>
      </c>
      <c r="BC177" s="31" t="s">
        <v>109</v>
      </c>
      <c r="BD177" s="32" t="str">
        <f t="shared" si="8"/>
        <v>nvl-nvs-imc-dsy-0820-10171</v>
      </c>
      <c r="BE177" s="33"/>
      <c r="BF177" s="33"/>
      <c r="BG177" s="39" t="str">
        <f>URL&amp;IF(ISNUMBER(FIND("?",URL)),"&amp;","?"&amp;("adlid="&amp;Unique_ID&amp;"&amp;adplt="&amp;Placement))</f>
        <v>#N/A</v>
      </c>
      <c r="BH177" s="1"/>
      <c r="BI177" s="1"/>
      <c r="BJ177" s="35" t="str">
        <f>LOWER("alp"&amp;"_"&amp;"vw"&amp;"_"&amp;Veiculo&amp;"_"&amp;C173&amp;"_"&amp;Objetivo)</f>
        <v>alp_vw___</v>
      </c>
      <c r="BK177" s="35" t="str">
        <f>LOWER(Buying_Metric&amp;"_"&amp;VLOOKUP(Buying_Type,Buy_type,2,FALSE)&amp;"_"&amp;Device&amp;"_"&amp;Size&amp;"_"&amp;Segmentação&amp;"_"&amp;Segmentação_Anúncio)</f>
        <v>#N/A</v>
      </c>
      <c r="BL177" s="35" t="str">
        <f>LOWER(Campanha_ou_InsertionOrder&amp;"_"&amp;LineItem_ou_Grupodeanúncio&amp;"_"&amp;Linha_criativa_2&amp;"_"&amp;Unique_ID)</f>
        <v>#N/A</v>
      </c>
      <c r="BM177" s="27"/>
      <c r="BN177" s="27"/>
    </row>
    <row r="178">
      <c r="A178" s="1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tr">
        <f>LOWER(Campanha_ou_InsertionOrder&amp;"_"&amp;LineItem_ou_Grupodeanúncio&amp;"_"&amp;Linha_Criativa&amp;"_"&amp;Unique_ID)</f>
        <v>#N/A</v>
      </c>
      <c r="AN178" s="28" t="str">
        <f>LOWER(Campanha_ou_InsertionOrder&amp;"_"&amp;LineItem_ou_Grupodeanúncio&amp;"_"&amp;Linha_Criativa&amp;"_"&amp;Unique_ID)</f>
        <v>#N/A</v>
      </c>
      <c r="AO178" s="28" t="str">
        <f>LOWER("VW"&amp;"_"&amp;Model_Variant&amp;"_"&amp;Size&amp;"_"&amp;Linha_Criativa&amp;"_"&amp;IF(Servido_Por="portal",Veiculo,"adserver"))</f>
        <v>vw____adserver</v>
      </c>
      <c r="AP1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8" s="22" t="str">
        <f t="shared" si="1"/>
        <v/>
      </c>
      <c r="AS178" s="22" t="str">
        <f t="shared" si="2"/>
        <v/>
      </c>
      <c r="AT178" s="22" t="str">
        <f t="shared" si="3"/>
        <v>BR_IMC_DSY_LANCH_ND_NC_2020Q3AUG_NVS_Nivus-Launch-Consideracao</v>
      </c>
      <c r="AU178" s="22" t="str">
        <f t="shared" si="4"/>
        <v>#N/A</v>
      </c>
      <c r="AV178" s="22" t="s">
        <v>106</v>
      </c>
      <c r="AW1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8" s="22" t="str">
        <f t="shared" si="5"/>
        <v>BR_IMC_DSY_LANCH_ND_NC_2020Q3AUG_NVS_Nivus-Launch-Consideracao</v>
      </c>
      <c r="AY178" s="28" t="str">
        <f t="shared" si="6"/>
        <v>#N/A</v>
      </c>
      <c r="AZ178" s="22" t="s">
        <v>107</v>
      </c>
      <c r="BA178" s="22" t="s">
        <v>108</v>
      </c>
      <c r="BB178" s="31" t="s">
        <v>109</v>
      </c>
      <c r="BC178" s="31" t="s">
        <v>109</v>
      </c>
      <c r="BD178" s="32" t="str">
        <f t="shared" si="8"/>
        <v>nvl-nvs-imc-dsy-0820-10172</v>
      </c>
      <c r="BE178" s="33"/>
      <c r="BF178" s="33"/>
      <c r="BG178" s="39" t="str">
        <f>URL&amp;IF(ISNUMBER(FIND("?",URL)),"&amp;","?"&amp;("adlid="&amp;Unique_ID&amp;"&amp;adplt="&amp;Placement))</f>
        <v>#N/A</v>
      </c>
      <c r="BH178" s="1"/>
      <c r="BI178" s="1"/>
      <c r="BJ178" s="35" t="str">
        <f>LOWER("alp"&amp;"_"&amp;"vw"&amp;"_"&amp;Veiculo&amp;"_"&amp;C174&amp;"_"&amp;Objetivo)</f>
        <v>alp_vw___</v>
      </c>
      <c r="BK178" s="35" t="str">
        <f>LOWER(Buying_Metric&amp;"_"&amp;VLOOKUP(Buying_Type,Buy_type,2,FALSE)&amp;"_"&amp;Device&amp;"_"&amp;Size&amp;"_"&amp;Segmentação&amp;"_"&amp;Segmentação_Anúncio)</f>
        <v>#N/A</v>
      </c>
      <c r="BL178" s="35" t="str">
        <f>LOWER(Campanha_ou_InsertionOrder&amp;"_"&amp;LineItem_ou_Grupodeanúncio&amp;"_"&amp;Linha_criativa_2&amp;"_"&amp;Unique_ID)</f>
        <v>#N/A</v>
      </c>
      <c r="BM178" s="27"/>
      <c r="BN178" s="27"/>
    </row>
    <row r="179">
      <c r="A179" s="1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8" t="str">
        <f>LOWER(Campanha_ou_InsertionOrder&amp;"_"&amp;LineItem_ou_Grupodeanúncio&amp;"_"&amp;Linha_Criativa&amp;"_"&amp;Unique_ID)</f>
        <v>#N/A</v>
      </c>
      <c r="AN179" s="28" t="str">
        <f>LOWER(Campanha_ou_InsertionOrder&amp;"_"&amp;LineItem_ou_Grupodeanúncio&amp;"_"&amp;Linha_Criativa&amp;"_"&amp;Unique_ID)</f>
        <v>#N/A</v>
      </c>
      <c r="AO179" s="28" t="str">
        <f>LOWER("VW"&amp;"_"&amp;Model_Variant&amp;"_"&amp;Size&amp;"_"&amp;Linha_Criativa&amp;"_"&amp;IF(Servido_Por="portal",Veiculo,"adserver"))</f>
        <v>vw____adserver</v>
      </c>
      <c r="AP1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79" s="22" t="str">
        <f t="shared" si="1"/>
        <v/>
      </c>
      <c r="AS179" s="22" t="str">
        <f t="shared" si="2"/>
        <v/>
      </c>
      <c r="AT179" s="22" t="str">
        <f t="shared" si="3"/>
        <v>BR_IMC_DSY_LANCH_ND_NC_2020Q3AUG_NVS_Nivus-Launch-Consideracao</v>
      </c>
      <c r="AU179" s="22" t="str">
        <f t="shared" si="4"/>
        <v>#N/A</v>
      </c>
      <c r="AV179" s="22" t="s">
        <v>106</v>
      </c>
      <c r="AW1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79" s="22" t="str">
        <f t="shared" si="5"/>
        <v>BR_IMC_DSY_LANCH_ND_NC_2020Q3AUG_NVS_Nivus-Launch-Consideracao</v>
      </c>
      <c r="AY179" s="28" t="str">
        <f t="shared" si="6"/>
        <v>#N/A</v>
      </c>
      <c r="AZ179" s="22" t="s">
        <v>107</v>
      </c>
      <c r="BA179" s="22" t="s">
        <v>108</v>
      </c>
      <c r="BB179" s="31" t="s">
        <v>109</v>
      </c>
      <c r="BC179" s="31" t="s">
        <v>109</v>
      </c>
      <c r="BD179" s="32" t="str">
        <f t="shared" si="8"/>
        <v>nvl-nvs-imc-dsy-0820-10173</v>
      </c>
      <c r="BE179" s="33"/>
      <c r="BF179" s="33"/>
      <c r="BG179" s="39" t="str">
        <f>URL&amp;IF(ISNUMBER(FIND("?",URL)),"&amp;","?"&amp;("adlid="&amp;Unique_ID&amp;"&amp;adplt="&amp;Placement))</f>
        <v>#N/A</v>
      </c>
      <c r="BH179" s="1"/>
      <c r="BI179" s="1"/>
      <c r="BJ179" s="35" t="str">
        <f>LOWER("alp"&amp;"_"&amp;"vw"&amp;"_"&amp;Veiculo&amp;"_"&amp;C175&amp;"_"&amp;Objetivo)</f>
        <v>alp_vw___</v>
      </c>
      <c r="BK179" s="35" t="str">
        <f>LOWER(Buying_Metric&amp;"_"&amp;VLOOKUP(Buying_Type,Buy_type,2,FALSE)&amp;"_"&amp;Device&amp;"_"&amp;Size&amp;"_"&amp;Segmentação&amp;"_"&amp;Segmentação_Anúncio)</f>
        <v>#N/A</v>
      </c>
      <c r="BL179" s="35" t="str">
        <f>LOWER(Campanha_ou_InsertionOrder&amp;"_"&amp;LineItem_ou_Grupodeanúncio&amp;"_"&amp;Linha_criativa_2&amp;"_"&amp;Unique_ID)</f>
        <v>#N/A</v>
      </c>
      <c r="BM179" s="27"/>
      <c r="BN179" s="27"/>
    </row>
    <row r="180">
      <c r="A180" s="1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8" t="str">
        <f>LOWER(Campanha_ou_InsertionOrder&amp;"_"&amp;LineItem_ou_Grupodeanúncio&amp;"_"&amp;Linha_Criativa&amp;"_"&amp;Unique_ID)</f>
        <v>#N/A</v>
      </c>
      <c r="AN180" s="28" t="str">
        <f>LOWER(Campanha_ou_InsertionOrder&amp;"_"&amp;LineItem_ou_Grupodeanúncio&amp;"_"&amp;Linha_Criativa&amp;"_"&amp;Unique_ID)</f>
        <v>#N/A</v>
      </c>
      <c r="AO180" s="28" t="str">
        <f>LOWER("VW"&amp;"_"&amp;Model_Variant&amp;"_"&amp;Size&amp;"_"&amp;Linha_Criativa&amp;"_"&amp;IF(Servido_Por="portal",Veiculo,"adserver"))</f>
        <v>vw____adserver</v>
      </c>
      <c r="AP1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0" s="22" t="str">
        <f t="shared" si="1"/>
        <v/>
      </c>
      <c r="AS180" s="22" t="str">
        <f t="shared" si="2"/>
        <v/>
      </c>
      <c r="AT180" s="22" t="str">
        <f t="shared" si="3"/>
        <v>BR_IMC_DSY_LANCH_ND_NC_2020Q3AUG_NVS_Nivus-Launch-Consideracao</v>
      </c>
      <c r="AU180" s="22" t="str">
        <f t="shared" si="4"/>
        <v>#N/A</v>
      </c>
      <c r="AV180" s="22" t="s">
        <v>106</v>
      </c>
      <c r="AW1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0" s="22" t="str">
        <f t="shared" si="5"/>
        <v>BR_IMC_DSY_LANCH_ND_NC_2020Q3AUG_NVS_Nivus-Launch-Consideracao</v>
      </c>
      <c r="AY180" s="28" t="str">
        <f t="shared" si="6"/>
        <v>#N/A</v>
      </c>
      <c r="AZ180" s="22" t="s">
        <v>107</v>
      </c>
      <c r="BA180" s="22" t="s">
        <v>108</v>
      </c>
      <c r="BB180" s="31" t="s">
        <v>109</v>
      </c>
      <c r="BC180" s="31" t="s">
        <v>109</v>
      </c>
      <c r="BD180" s="32" t="str">
        <f t="shared" si="8"/>
        <v>nvl-nvs-imc-dsy-0820-10174</v>
      </c>
      <c r="BE180" s="33"/>
      <c r="BF180" s="33"/>
      <c r="BG180" s="39" t="str">
        <f>URL&amp;IF(ISNUMBER(FIND("?",URL)),"&amp;","?"&amp;("adlid="&amp;Unique_ID&amp;"&amp;adplt="&amp;Placement))</f>
        <v>#N/A</v>
      </c>
      <c r="BH180" s="1"/>
      <c r="BI180" s="1"/>
      <c r="BJ180" s="35" t="str">
        <f>LOWER("alp"&amp;"_"&amp;"vw"&amp;"_"&amp;Veiculo&amp;"_"&amp;C176&amp;"_"&amp;Objetivo)</f>
        <v>alp_vw___</v>
      </c>
      <c r="BK180" s="35" t="str">
        <f>LOWER(Buying_Metric&amp;"_"&amp;VLOOKUP(Buying_Type,Buy_type,2,FALSE)&amp;"_"&amp;Device&amp;"_"&amp;Size&amp;"_"&amp;Segmentação&amp;"_"&amp;Segmentação_Anúncio)</f>
        <v>#N/A</v>
      </c>
      <c r="BL180" s="35" t="str">
        <f>LOWER(Campanha_ou_InsertionOrder&amp;"_"&amp;LineItem_ou_Grupodeanúncio&amp;"_"&amp;Linha_criativa_2&amp;"_"&amp;Unique_ID)</f>
        <v>#N/A</v>
      </c>
      <c r="BM180" s="27"/>
      <c r="BN180" s="27"/>
    </row>
    <row r="181">
      <c r="A181" s="1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8" t="str">
        <f>LOWER(Campanha_ou_InsertionOrder&amp;"_"&amp;LineItem_ou_Grupodeanúncio&amp;"_"&amp;Linha_Criativa&amp;"_"&amp;Unique_ID)</f>
        <v>#N/A</v>
      </c>
      <c r="AN181" s="28" t="str">
        <f>LOWER(Campanha_ou_InsertionOrder&amp;"_"&amp;LineItem_ou_Grupodeanúncio&amp;"_"&amp;Linha_Criativa&amp;"_"&amp;Unique_ID)</f>
        <v>#N/A</v>
      </c>
      <c r="AO181" s="28" t="str">
        <f>LOWER("VW"&amp;"_"&amp;Model_Variant&amp;"_"&amp;Size&amp;"_"&amp;Linha_Criativa&amp;"_"&amp;IF(Servido_Por="portal",Veiculo,"adserver"))</f>
        <v>vw____adserver</v>
      </c>
      <c r="AP1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1" s="22" t="str">
        <f t="shared" si="1"/>
        <v/>
      </c>
      <c r="AS181" s="22" t="str">
        <f t="shared" si="2"/>
        <v/>
      </c>
      <c r="AT181" s="22" t="str">
        <f t="shared" si="3"/>
        <v>BR_IMC_DSY_LANCH_ND_NC_2020Q3AUG_NVS_Nivus-Launch-Consideracao</v>
      </c>
      <c r="AU181" s="22" t="str">
        <f t="shared" si="4"/>
        <v>#N/A</v>
      </c>
      <c r="AV181" s="22" t="s">
        <v>106</v>
      </c>
      <c r="AW1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1" s="22" t="str">
        <f t="shared" si="5"/>
        <v>BR_IMC_DSY_LANCH_ND_NC_2020Q3AUG_NVS_Nivus-Launch-Consideracao</v>
      </c>
      <c r="AY181" s="28" t="str">
        <f t="shared" si="6"/>
        <v>#N/A</v>
      </c>
      <c r="AZ181" s="22" t="s">
        <v>107</v>
      </c>
      <c r="BA181" s="22" t="s">
        <v>108</v>
      </c>
      <c r="BB181" s="31" t="s">
        <v>109</v>
      </c>
      <c r="BC181" s="31" t="s">
        <v>109</v>
      </c>
      <c r="BD181" s="32" t="str">
        <f t="shared" si="8"/>
        <v>nvl-nvs-imc-dsy-0820-10175</v>
      </c>
      <c r="BE181" s="33"/>
      <c r="BF181" s="33"/>
      <c r="BG181" s="39" t="str">
        <f>URL&amp;IF(ISNUMBER(FIND("?",URL)),"&amp;","?"&amp;("adlid="&amp;Unique_ID&amp;"&amp;adplt="&amp;Placement))</f>
        <v>#N/A</v>
      </c>
      <c r="BH181" s="1"/>
      <c r="BI181" s="1"/>
      <c r="BJ181" s="35" t="str">
        <f>LOWER("alp"&amp;"_"&amp;"vw"&amp;"_"&amp;Veiculo&amp;"_"&amp;C177&amp;"_"&amp;Objetivo)</f>
        <v>alp_vw___</v>
      </c>
      <c r="BK181" s="35" t="str">
        <f>LOWER(Buying_Metric&amp;"_"&amp;VLOOKUP(Buying_Type,Buy_type,2,FALSE)&amp;"_"&amp;Device&amp;"_"&amp;Size&amp;"_"&amp;Segmentação&amp;"_"&amp;Segmentação_Anúncio)</f>
        <v>#N/A</v>
      </c>
      <c r="BL181" s="35" t="str">
        <f>LOWER(Campanha_ou_InsertionOrder&amp;"_"&amp;LineItem_ou_Grupodeanúncio&amp;"_"&amp;Linha_criativa_2&amp;"_"&amp;Unique_ID)</f>
        <v>#N/A</v>
      </c>
      <c r="BM181" s="27"/>
      <c r="BN181" s="27"/>
    </row>
    <row r="182">
      <c r="A182" s="1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8" t="str">
        <f>LOWER(Campanha_ou_InsertionOrder&amp;"_"&amp;LineItem_ou_Grupodeanúncio&amp;"_"&amp;Linha_Criativa&amp;"_"&amp;Unique_ID)</f>
        <v>#N/A</v>
      </c>
      <c r="AN182" s="28" t="str">
        <f>LOWER(Campanha_ou_InsertionOrder&amp;"_"&amp;LineItem_ou_Grupodeanúncio&amp;"_"&amp;Linha_Criativa&amp;"_"&amp;Unique_ID)</f>
        <v>#N/A</v>
      </c>
      <c r="AO182" s="28" t="str">
        <f>LOWER("VW"&amp;"_"&amp;Model_Variant&amp;"_"&amp;Size&amp;"_"&amp;Linha_Criativa&amp;"_"&amp;IF(Servido_Por="portal",Veiculo,"adserver"))</f>
        <v>vw____adserver</v>
      </c>
      <c r="AP1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2" s="22" t="str">
        <f t="shared" si="1"/>
        <v/>
      </c>
      <c r="AS182" s="22" t="str">
        <f t="shared" si="2"/>
        <v/>
      </c>
      <c r="AT182" s="22" t="str">
        <f t="shared" si="3"/>
        <v>BR_IMC_DSY_LANCH_ND_NC_2020Q3AUG_NVS_Nivus-Launch-Consideracao</v>
      </c>
      <c r="AU182" s="22" t="str">
        <f t="shared" si="4"/>
        <v>#N/A</v>
      </c>
      <c r="AV182" s="22" t="s">
        <v>106</v>
      </c>
      <c r="AW1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2" s="22" t="str">
        <f t="shared" si="5"/>
        <v>BR_IMC_DSY_LANCH_ND_NC_2020Q3AUG_NVS_Nivus-Launch-Consideracao</v>
      </c>
      <c r="AY182" s="28" t="str">
        <f t="shared" si="6"/>
        <v>#N/A</v>
      </c>
      <c r="AZ182" s="22" t="s">
        <v>107</v>
      </c>
      <c r="BA182" s="22" t="s">
        <v>108</v>
      </c>
      <c r="BB182" s="31" t="s">
        <v>109</v>
      </c>
      <c r="BC182" s="31" t="s">
        <v>109</v>
      </c>
      <c r="BD182" s="32" t="str">
        <f t="shared" si="8"/>
        <v>nvl-nvs-imc-dsy-0820-10176</v>
      </c>
      <c r="BE182" s="33"/>
      <c r="BF182" s="33"/>
      <c r="BG182" s="39" t="str">
        <f>URL&amp;IF(ISNUMBER(FIND("?",URL)),"&amp;","?"&amp;("adlid="&amp;Unique_ID&amp;"&amp;adplt="&amp;Placement))</f>
        <v>#N/A</v>
      </c>
      <c r="BH182" s="1"/>
      <c r="BI182" s="1"/>
      <c r="BJ182" s="35" t="str">
        <f>LOWER("alp"&amp;"_"&amp;"vw"&amp;"_"&amp;Veiculo&amp;"_"&amp;C178&amp;"_"&amp;Objetivo)</f>
        <v>alp_vw___</v>
      </c>
      <c r="BK182" s="35" t="str">
        <f>LOWER(Buying_Metric&amp;"_"&amp;VLOOKUP(Buying_Type,Buy_type,2,FALSE)&amp;"_"&amp;Device&amp;"_"&amp;Size&amp;"_"&amp;Segmentação&amp;"_"&amp;Segmentação_Anúncio)</f>
        <v>#N/A</v>
      </c>
      <c r="BL182" s="35" t="str">
        <f>LOWER(Campanha_ou_InsertionOrder&amp;"_"&amp;LineItem_ou_Grupodeanúncio&amp;"_"&amp;Linha_criativa_2&amp;"_"&amp;Unique_ID)</f>
        <v>#N/A</v>
      </c>
      <c r="BM182" s="27"/>
      <c r="BN182" s="27"/>
    </row>
    <row r="183">
      <c r="A183" s="1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8" t="str">
        <f>LOWER(Campanha_ou_InsertionOrder&amp;"_"&amp;LineItem_ou_Grupodeanúncio&amp;"_"&amp;Linha_Criativa&amp;"_"&amp;Unique_ID)</f>
        <v>#N/A</v>
      </c>
      <c r="AN183" s="28" t="str">
        <f>LOWER(Campanha_ou_InsertionOrder&amp;"_"&amp;LineItem_ou_Grupodeanúncio&amp;"_"&amp;Linha_Criativa&amp;"_"&amp;Unique_ID)</f>
        <v>#N/A</v>
      </c>
      <c r="AO183" s="28" t="str">
        <f>LOWER("VW"&amp;"_"&amp;Model_Variant&amp;"_"&amp;Size&amp;"_"&amp;Linha_Criativa&amp;"_"&amp;IF(Servido_Por="portal",Veiculo,"adserver"))</f>
        <v>vw____adserver</v>
      </c>
      <c r="AP1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3" s="22" t="str">
        <f t="shared" si="1"/>
        <v/>
      </c>
      <c r="AS183" s="22" t="str">
        <f t="shared" si="2"/>
        <v/>
      </c>
      <c r="AT183" s="22" t="str">
        <f t="shared" si="3"/>
        <v>BR_IMC_DSY_LANCH_ND_NC_2020Q3AUG_NVS_Nivus-Launch-Consideracao</v>
      </c>
      <c r="AU183" s="22" t="str">
        <f t="shared" si="4"/>
        <v>#N/A</v>
      </c>
      <c r="AV183" s="22" t="s">
        <v>106</v>
      </c>
      <c r="AW1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3" s="22" t="str">
        <f t="shared" si="5"/>
        <v>BR_IMC_DSY_LANCH_ND_NC_2020Q3AUG_NVS_Nivus-Launch-Consideracao</v>
      </c>
      <c r="AY183" s="28" t="str">
        <f t="shared" si="6"/>
        <v>#N/A</v>
      </c>
      <c r="AZ183" s="22" t="s">
        <v>107</v>
      </c>
      <c r="BA183" s="22" t="s">
        <v>108</v>
      </c>
      <c r="BB183" s="31" t="s">
        <v>109</v>
      </c>
      <c r="BC183" s="31" t="s">
        <v>109</v>
      </c>
      <c r="BD183" s="32" t="str">
        <f t="shared" si="8"/>
        <v>nvl-nvs-imc-dsy-0820-10177</v>
      </c>
      <c r="BE183" s="33"/>
      <c r="BF183" s="33"/>
      <c r="BG183" s="39" t="str">
        <f>URL&amp;IF(ISNUMBER(FIND("?",URL)),"&amp;","?"&amp;("adlid="&amp;Unique_ID&amp;"&amp;adplt="&amp;Placement))</f>
        <v>#N/A</v>
      </c>
      <c r="BH183" s="1"/>
      <c r="BI183" s="1"/>
      <c r="BJ183" s="35" t="str">
        <f>LOWER("alp"&amp;"_"&amp;"vw"&amp;"_"&amp;Veiculo&amp;"_"&amp;C179&amp;"_"&amp;Objetivo)</f>
        <v>alp_vw___</v>
      </c>
      <c r="BK183" s="35" t="str">
        <f>LOWER(Buying_Metric&amp;"_"&amp;VLOOKUP(Buying_Type,Buy_type,2,FALSE)&amp;"_"&amp;Device&amp;"_"&amp;Size&amp;"_"&amp;Segmentação&amp;"_"&amp;Segmentação_Anúncio)</f>
        <v>#N/A</v>
      </c>
      <c r="BL183" s="35" t="str">
        <f>LOWER(Campanha_ou_InsertionOrder&amp;"_"&amp;LineItem_ou_Grupodeanúncio&amp;"_"&amp;Linha_criativa_2&amp;"_"&amp;Unique_ID)</f>
        <v>#N/A</v>
      </c>
      <c r="BM183" s="27"/>
      <c r="BN183" s="27"/>
    </row>
    <row r="184">
      <c r="A184" s="1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8" t="str">
        <f>LOWER(Campanha_ou_InsertionOrder&amp;"_"&amp;LineItem_ou_Grupodeanúncio&amp;"_"&amp;Linha_Criativa&amp;"_"&amp;Unique_ID)</f>
        <v>#N/A</v>
      </c>
      <c r="AN184" s="28" t="str">
        <f>LOWER(Campanha_ou_InsertionOrder&amp;"_"&amp;LineItem_ou_Grupodeanúncio&amp;"_"&amp;Linha_Criativa&amp;"_"&amp;Unique_ID)</f>
        <v>#N/A</v>
      </c>
      <c r="AO184" s="28" t="str">
        <f>LOWER("VW"&amp;"_"&amp;Model_Variant&amp;"_"&amp;Size&amp;"_"&amp;Linha_Criativa&amp;"_"&amp;IF(Servido_Por="portal",Veiculo,"adserver"))</f>
        <v>vw____adserver</v>
      </c>
      <c r="AP1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4" s="22" t="str">
        <f t="shared" si="1"/>
        <v/>
      </c>
      <c r="AS184" s="22" t="str">
        <f t="shared" si="2"/>
        <v/>
      </c>
      <c r="AT184" s="22" t="str">
        <f t="shared" si="3"/>
        <v>BR_IMC_DSY_LANCH_ND_NC_2020Q3AUG_NVS_Nivus-Launch-Consideracao</v>
      </c>
      <c r="AU184" s="22" t="str">
        <f t="shared" si="4"/>
        <v>#N/A</v>
      </c>
      <c r="AV184" s="22" t="s">
        <v>106</v>
      </c>
      <c r="AW1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4" s="22" t="str">
        <f t="shared" si="5"/>
        <v>BR_IMC_DSY_LANCH_ND_NC_2020Q3AUG_NVS_Nivus-Launch-Consideracao</v>
      </c>
      <c r="AY184" s="28" t="str">
        <f t="shared" si="6"/>
        <v>#N/A</v>
      </c>
      <c r="AZ184" s="22" t="s">
        <v>107</v>
      </c>
      <c r="BA184" s="22" t="s">
        <v>108</v>
      </c>
      <c r="BB184" s="31" t="s">
        <v>109</v>
      </c>
      <c r="BC184" s="31" t="s">
        <v>109</v>
      </c>
      <c r="BD184" s="32" t="str">
        <f t="shared" si="8"/>
        <v>nvl-nvs-imc-dsy-0820-10178</v>
      </c>
      <c r="BE184" s="33"/>
      <c r="BF184" s="33"/>
      <c r="BG184" s="39" t="str">
        <f>URL&amp;IF(ISNUMBER(FIND("?",URL)),"&amp;","?"&amp;("adlid="&amp;Unique_ID&amp;"&amp;adplt="&amp;Placement))</f>
        <v>#N/A</v>
      </c>
      <c r="BH184" s="1"/>
      <c r="BI184" s="1"/>
      <c r="BJ184" s="35" t="str">
        <f>LOWER("alp"&amp;"_"&amp;"vw"&amp;"_"&amp;Veiculo&amp;"_"&amp;C180&amp;"_"&amp;Objetivo)</f>
        <v>alp_vw___</v>
      </c>
      <c r="BK184" s="35" t="str">
        <f>LOWER(Buying_Metric&amp;"_"&amp;VLOOKUP(Buying_Type,Buy_type,2,FALSE)&amp;"_"&amp;Device&amp;"_"&amp;Size&amp;"_"&amp;Segmentação&amp;"_"&amp;Segmentação_Anúncio)</f>
        <v>#N/A</v>
      </c>
      <c r="BL184" s="35" t="str">
        <f>LOWER(Campanha_ou_InsertionOrder&amp;"_"&amp;LineItem_ou_Grupodeanúncio&amp;"_"&amp;Linha_criativa_2&amp;"_"&amp;Unique_ID)</f>
        <v>#N/A</v>
      </c>
      <c r="BM184" s="27"/>
      <c r="BN184" s="27"/>
    </row>
    <row r="185">
      <c r="A185" s="1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8" t="str">
        <f>LOWER(Campanha_ou_InsertionOrder&amp;"_"&amp;LineItem_ou_Grupodeanúncio&amp;"_"&amp;Linha_Criativa&amp;"_"&amp;Unique_ID)</f>
        <v>#N/A</v>
      </c>
      <c r="AN185" s="28" t="str">
        <f>LOWER(Campanha_ou_InsertionOrder&amp;"_"&amp;LineItem_ou_Grupodeanúncio&amp;"_"&amp;Linha_Criativa&amp;"_"&amp;Unique_ID)</f>
        <v>#N/A</v>
      </c>
      <c r="AO185" s="28" t="str">
        <f>LOWER("VW"&amp;"_"&amp;Model_Variant&amp;"_"&amp;Size&amp;"_"&amp;Linha_Criativa&amp;"_"&amp;IF(Servido_Por="portal",Veiculo,"adserver"))</f>
        <v>vw____adserver</v>
      </c>
      <c r="AP1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5" s="22" t="str">
        <f t="shared" si="1"/>
        <v/>
      </c>
      <c r="AS185" s="22" t="str">
        <f t="shared" si="2"/>
        <v/>
      </c>
      <c r="AT185" s="22" t="str">
        <f t="shared" si="3"/>
        <v>BR_IMC_DSY_LANCH_ND_NC_2020Q3AUG_NVS_Nivus-Launch-Consideracao</v>
      </c>
      <c r="AU185" s="22" t="str">
        <f t="shared" si="4"/>
        <v>#N/A</v>
      </c>
      <c r="AV185" s="22" t="s">
        <v>106</v>
      </c>
      <c r="AW1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5" s="22" t="str">
        <f t="shared" si="5"/>
        <v>BR_IMC_DSY_LANCH_ND_NC_2020Q3AUG_NVS_Nivus-Launch-Consideracao</v>
      </c>
      <c r="AY185" s="28" t="str">
        <f t="shared" si="6"/>
        <v>#N/A</v>
      </c>
      <c r="AZ185" s="22" t="s">
        <v>107</v>
      </c>
      <c r="BA185" s="22" t="s">
        <v>108</v>
      </c>
      <c r="BB185" s="31" t="s">
        <v>109</v>
      </c>
      <c r="BC185" s="31" t="s">
        <v>109</v>
      </c>
      <c r="BD185" s="32" t="str">
        <f t="shared" si="8"/>
        <v>nvl-nvs-imc-dsy-0820-10179</v>
      </c>
      <c r="BE185" s="33"/>
      <c r="BF185" s="33"/>
      <c r="BG185" s="39" t="str">
        <f>URL&amp;IF(ISNUMBER(FIND("?",URL)),"&amp;","?"&amp;("adlid="&amp;Unique_ID&amp;"&amp;adplt="&amp;Placement))</f>
        <v>#N/A</v>
      </c>
      <c r="BH185" s="1"/>
      <c r="BI185" s="1"/>
      <c r="BJ185" s="35" t="str">
        <f>LOWER("alp"&amp;"_"&amp;"vw"&amp;"_"&amp;Veiculo&amp;"_"&amp;C181&amp;"_"&amp;Objetivo)</f>
        <v>alp_vw___</v>
      </c>
      <c r="BK185" s="35" t="str">
        <f>LOWER(Buying_Metric&amp;"_"&amp;VLOOKUP(Buying_Type,Buy_type,2,FALSE)&amp;"_"&amp;Device&amp;"_"&amp;Size&amp;"_"&amp;Segmentação&amp;"_"&amp;Segmentação_Anúncio)</f>
        <v>#N/A</v>
      </c>
      <c r="BL185" s="35" t="str">
        <f>LOWER(Campanha_ou_InsertionOrder&amp;"_"&amp;LineItem_ou_Grupodeanúncio&amp;"_"&amp;Linha_criativa_2&amp;"_"&amp;Unique_ID)</f>
        <v>#N/A</v>
      </c>
      <c r="BM185" s="27"/>
      <c r="BN185" s="27"/>
    </row>
    <row r="186">
      <c r="A186" s="1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8" t="str">
        <f>LOWER(Campanha_ou_InsertionOrder&amp;"_"&amp;LineItem_ou_Grupodeanúncio&amp;"_"&amp;Linha_Criativa&amp;"_"&amp;Unique_ID)</f>
        <v>#N/A</v>
      </c>
      <c r="AN186" s="28" t="str">
        <f>LOWER(Campanha_ou_InsertionOrder&amp;"_"&amp;LineItem_ou_Grupodeanúncio&amp;"_"&amp;Linha_Criativa&amp;"_"&amp;Unique_ID)</f>
        <v>#N/A</v>
      </c>
      <c r="AO186" s="28" t="str">
        <f>LOWER("VW"&amp;"_"&amp;Model_Variant&amp;"_"&amp;Size&amp;"_"&amp;Linha_Criativa&amp;"_"&amp;IF(Servido_Por="portal",Veiculo,"adserver"))</f>
        <v>vw____adserver</v>
      </c>
      <c r="AP1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6" s="22" t="str">
        <f t="shared" si="1"/>
        <v/>
      </c>
      <c r="AS186" s="22" t="str">
        <f t="shared" si="2"/>
        <v/>
      </c>
      <c r="AT186" s="22" t="str">
        <f t="shared" si="3"/>
        <v>BR_IMC_DSY_LANCH_ND_NC_2020Q3AUG_NVS_Nivus-Launch-Consideracao</v>
      </c>
      <c r="AU186" s="22" t="str">
        <f t="shared" si="4"/>
        <v>#N/A</v>
      </c>
      <c r="AV186" s="22" t="s">
        <v>106</v>
      </c>
      <c r="AW1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6" s="22" t="str">
        <f t="shared" si="5"/>
        <v>BR_IMC_DSY_LANCH_ND_NC_2020Q3AUG_NVS_Nivus-Launch-Consideracao</v>
      </c>
      <c r="AY186" s="28" t="str">
        <f t="shared" si="6"/>
        <v>#N/A</v>
      </c>
      <c r="AZ186" s="22" t="s">
        <v>107</v>
      </c>
      <c r="BA186" s="22" t="s">
        <v>108</v>
      </c>
      <c r="BB186" s="31" t="s">
        <v>109</v>
      </c>
      <c r="BC186" s="31" t="s">
        <v>109</v>
      </c>
      <c r="BD186" s="32" t="str">
        <f t="shared" si="8"/>
        <v>nvl-nvs-imc-dsy-0820-10180</v>
      </c>
      <c r="BE186" s="33"/>
      <c r="BF186" s="33"/>
      <c r="BG186" s="39" t="str">
        <f>URL&amp;IF(ISNUMBER(FIND("?",URL)),"&amp;","?"&amp;("adlid="&amp;Unique_ID&amp;"&amp;adplt="&amp;Placement))</f>
        <v>#N/A</v>
      </c>
      <c r="BH186" s="1"/>
      <c r="BI186" s="1"/>
      <c r="BJ186" s="35" t="str">
        <f>LOWER("alp"&amp;"_"&amp;"vw"&amp;"_"&amp;Veiculo&amp;"_"&amp;C182&amp;"_"&amp;Objetivo)</f>
        <v>alp_vw___</v>
      </c>
      <c r="BK186" s="35" t="str">
        <f>LOWER(Buying_Metric&amp;"_"&amp;VLOOKUP(Buying_Type,Buy_type,2,FALSE)&amp;"_"&amp;Device&amp;"_"&amp;Size&amp;"_"&amp;Segmentação&amp;"_"&amp;Segmentação_Anúncio)</f>
        <v>#N/A</v>
      </c>
      <c r="BL186" s="35" t="str">
        <f>LOWER(Campanha_ou_InsertionOrder&amp;"_"&amp;LineItem_ou_Grupodeanúncio&amp;"_"&amp;Linha_criativa_2&amp;"_"&amp;Unique_ID)</f>
        <v>#N/A</v>
      </c>
      <c r="BM186" s="27"/>
      <c r="BN186" s="27"/>
    </row>
    <row r="187">
      <c r="A187" s="1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8" t="str">
        <f>LOWER(Campanha_ou_InsertionOrder&amp;"_"&amp;LineItem_ou_Grupodeanúncio&amp;"_"&amp;Linha_Criativa&amp;"_"&amp;Unique_ID)</f>
        <v>#N/A</v>
      </c>
      <c r="AN187" s="28" t="str">
        <f>LOWER(Campanha_ou_InsertionOrder&amp;"_"&amp;LineItem_ou_Grupodeanúncio&amp;"_"&amp;Linha_Criativa&amp;"_"&amp;Unique_ID)</f>
        <v>#N/A</v>
      </c>
      <c r="AO187" s="28" t="str">
        <f>LOWER("VW"&amp;"_"&amp;Model_Variant&amp;"_"&amp;Size&amp;"_"&amp;Linha_Criativa&amp;"_"&amp;IF(Servido_Por="portal",Veiculo,"adserver"))</f>
        <v>vw____adserver</v>
      </c>
      <c r="AP1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7" s="22" t="str">
        <f t="shared" si="1"/>
        <v/>
      </c>
      <c r="AS187" s="22" t="str">
        <f t="shared" si="2"/>
        <v/>
      </c>
      <c r="AT187" s="22" t="str">
        <f t="shared" si="3"/>
        <v>BR_IMC_DSY_LANCH_ND_NC_2020Q3AUG_NVS_Nivus-Launch-Consideracao</v>
      </c>
      <c r="AU187" s="22" t="str">
        <f t="shared" si="4"/>
        <v>#N/A</v>
      </c>
      <c r="AV187" s="22" t="s">
        <v>106</v>
      </c>
      <c r="AW1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7" s="22" t="str">
        <f t="shared" si="5"/>
        <v>BR_IMC_DSY_LANCH_ND_NC_2020Q3AUG_NVS_Nivus-Launch-Consideracao</v>
      </c>
      <c r="AY187" s="28" t="str">
        <f t="shared" si="6"/>
        <v>#N/A</v>
      </c>
      <c r="AZ187" s="22" t="s">
        <v>107</v>
      </c>
      <c r="BA187" s="22" t="s">
        <v>108</v>
      </c>
      <c r="BB187" s="31" t="s">
        <v>109</v>
      </c>
      <c r="BC187" s="31" t="s">
        <v>109</v>
      </c>
      <c r="BD187" s="32" t="str">
        <f t="shared" si="8"/>
        <v>nvl-nvs-imc-dsy-0820-10181</v>
      </c>
      <c r="BE187" s="33"/>
      <c r="BF187" s="33"/>
      <c r="BG187" s="39" t="str">
        <f>URL&amp;IF(ISNUMBER(FIND("?",URL)),"&amp;","?"&amp;("adlid="&amp;Unique_ID&amp;"&amp;adplt="&amp;Placement))</f>
        <v>#N/A</v>
      </c>
      <c r="BH187" s="1"/>
      <c r="BI187" s="1"/>
      <c r="BJ187" s="35" t="str">
        <f>LOWER("alp"&amp;"_"&amp;"vw"&amp;"_"&amp;Veiculo&amp;"_"&amp;C183&amp;"_"&amp;Objetivo)</f>
        <v>alp_vw___</v>
      </c>
      <c r="BK187" s="35" t="str">
        <f>LOWER(Buying_Metric&amp;"_"&amp;VLOOKUP(Buying_Type,Buy_type,2,FALSE)&amp;"_"&amp;Device&amp;"_"&amp;Size&amp;"_"&amp;Segmentação&amp;"_"&amp;Segmentação_Anúncio)</f>
        <v>#N/A</v>
      </c>
      <c r="BL187" s="35" t="str">
        <f>LOWER(Campanha_ou_InsertionOrder&amp;"_"&amp;LineItem_ou_Grupodeanúncio&amp;"_"&amp;Linha_criativa_2&amp;"_"&amp;Unique_ID)</f>
        <v>#N/A</v>
      </c>
      <c r="BM187" s="27"/>
      <c r="BN187" s="27"/>
    </row>
    <row r="188">
      <c r="A188" s="1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8" t="str">
        <f>LOWER(Campanha_ou_InsertionOrder&amp;"_"&amp;LineItem_ou_Grupodeanúncio&amp;"_"&amp;Linha_Criativa&amp;"_"&amp;Unique_ID)</f>
        <v>#N/A</v>
      </c>
      <c r="AN188" s="28" t="str">
        <f>LOWER(Campanha_ou_InsertionOrder&amp;"_"&amp;LineItem_ou_Grupodeanúncio&amp;"_"&amp;Linha_Criativa&amp;"_"&amp;Unique_ID)</f>
        <v>#N/A</v>
      </c>
      <c r="AO188" s="28" t="str">
        <f>LOWER("VW"&amp;"_"&amp;Model_Variant&amp;"_"&amp;Size&amp;"_"&amp;Linha_Criativa&amp;"_"&amp;IF(Servido_Por="portal",Veiculo,"adserver"))</f>
        <v>vw____adserver</v>
      </c>
      <c r="AP1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8" s="22" t="str">
        <f t="shared" si="1"/>
        <v/>
      </c>
      <c r="AS188" s="22" t="str">
        <f t="shared" si="2"/>
        <v/>
      </c>
      <c r="AT188" s="22" t="str">
        <f t="shared" si="3"/>
        <v>BR_IMC_DSY_LANCH_ND_NC_2020Q3AUG_NVS_Nivus-Launch-Consideracao</v>
      </c>
      <c r="AU188" s="22" t="str">
        <f t="shared" si="4"/>
        <v>#N/A</v>
      </c>
      <c r="AV188" s="22" t="s">
        <v>106</v>
      </c>
      <c r="AW1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8" s="22" t="str">
        <f t="shared" si="5"/>
        <v>BR_IMC_DSY_LANCH_ND_NC_2020Q3AUG_NVS_Nivus-Launch-Consideracao</v>
      </c>
      <c r="AY188" s="28" t="str">
        <f t="shared" si="6"/>
        <v>#N/A</v>
      </c>
      <c r="AZ188" s="22" t="s">
        <v>107</v>
      </c>
      <c r="BA188" s="22" t="s">
        <v>108</v>
      </c>
      <c r="BB188" s="31" t="s">
        <v>109</v>
      </c>
      <c r="BC188" s="31" t="s">
        <v>109</v>
      </c>
      <c r="BD188" s="32" t="str">
        <f t="shared" si="8"/>
        <v>nvl-nvs-imc-dsy-0820-10182</v>
      </c>
      <c r="BE188" s="33"/>
      <c r="BF188" s="33"/>
      <c r="BG188" s="39" t="str">
        <f>URL&amp;IF(ISNUMBER(FIND("?",URL)),"&amp;","?"&amp;("adlid="&amp;Unique_ID&amp;"&amp;adplt="&amp;Placement))</f>
        <v>#N/A</v>
      </c>
      <c r="BH188" s="1"/>
      <c r="BI188" s="1"/>
      <c r="BJ188" s="35" t="str">
        <f>LOWER("alp"&amp;"_"&amp;"vw"&amp;"_"&amp;Veiculo&amp;"_"&amp;C184&amp;"_"&amp;Objetivo)</f>
        <v>alp_vw___</v>
      </c>
      <c r="BK188" s="35" t="str">
        <f>LOWER(Buying_Metric&amp;"_"&amp;VLOOKUP(Buying_Type,Buy_type,2,FALSE)&amp;"_"&amp;Device&amp;"_"&amp;Size&amp;"_"&amp;Segmentação&amp;"_"&amp;Segmentação_Anúncio)</f>
        <v>#N/A</v>
      </c>
      <c r="BL188" s="35" t="str">
        <f>LOWER(Campanha_ou_InsertionOrder&amp;"_"&amp;LineItem_ou_Grupodeanúncio&amp;"_"&amp;Linha_criativa_2&amp;"_"&amp;Unique_ID)</f>
        <v>#N/A</v>
      </c>
      <c r="BM188" s="27"/>
      <c r="BN188" s="27"/>
    </row>
    <row r="189">
      <c r="A189" s="1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8" t="str">
        <f>LOWER(Campanha_ou_InsertionOrder&amp;"_"&amp;LineItem_ou_Grupodeanúncio&amp;"_"&amp;Linha_Criativa&amp;"_"&amp;Unique_ID)</f>
        <v>#N/A</v>
      </c>
      <c r="AN189" s="28" t="str">
        <f>LOWER(Campanha_ou_InsertionOrder&amp;"_"&amp;LineItem_ou_Grupodeanúncio&amp;"_"&amp;Linha_Criativa&amp;"_"&amp;Unique_ID)</f>
        <v>#N/A</v>
      </c>
      <c r="AO189" s="28" t="str">
        <f>LOWER("VW"&amp;"_"&amp;Model_Variant&amp;"_"&amp;Size&amp;"_"&amp;Linha_Criativa&amp;"_"&amp;IF(Servido_Por="portal",Veiculo,"adserver"))</f>
        <v>vw____adserver</v>
      </c>
      <c r="AP1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89" s="22" t="str">
        <f t="shared" si="1"/>
        <v/>
      </c>
      <c r="AS189" s="22" t="str">
        <f t="shared" si="2"/>
        <v/>
      </c>
      <c r="AT189" s="22" t="str">
        <f t="shared" si="3"/>
        <v>BR_IMC_DSY_LANCH_ND_NC_2020Q3AUG_NVS_Nivus-Launch-Consideracao</v>
      </c>
      <c r="AU189" s="22" t="str">
        <f t="shared" si="4"/>
        <v>#N/A</v>
      </c>
      <c r="AV189" s="22" t="s">
        <v>106</v>
      </c>
      <c r="AW1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89" s="22" t="str">
        <f t="shared" si="5"/>
        <v>BR_IMC_DSY_LANCH_ND_NC_2020Q3AUG_NVS_Nivus-Launch-Consideracao</v>
      </c>
      <c r="AY189" s="28" t="str">
        <f t="shared" si="6"/>
        <v>#N/A</v>
      </c>
      <c r="AZ189" s="22" t="s">
        <v>107</v>
      </c>
      <c r="BA189" s="22" t="s">
        <v>108</v>
      </c>
      <c r="BB189" s="31" t="s">
        <v>109</v>
      </c>
      <c r="BC189" s="31" t="s">
        <v>109</v>
      </c>
      <c r="BD189" s="32" t="str">
        <f t="shared" si="8"/>
        <v>nvl-nvs-imc-dsy-0820-10183</v>
      </c>
      <c r="BE189" s="33"/>
      <c r="BF189" s="33"/>
      <c r="BG189" s="39" t="str">
        <f>URL&amp;IF(ISNUMBER(FIND("?",URL)),"&amp;","?"&amp;("adlid="&amp;Unique_ID&amp;"&amp;adplt="&amp;Placement))</f>
        <v>#N/A</v>
      </c>
      <c r="BH189" s="1"/>
      <c r="BI189" s="1"/>
      <c r="BJ189" s="35" t="str">
        <f>LOWER("alp"&amp;"_"&amp;"vw"&amp;"_"&amp;Veiculo&amp;"_"&amp;C185&amp;"_"&amp;Objetivo)</f>
        <v>alp_vw___</v>
      </c>
      <c r="BK189" s="35" t="str">
        <f>LOWER(Buying_Metric&amp;"_"&amp;VLOOKUP(Buying_Type,Buy_type,2,FALSE)&amp;"_"&amp;Device&amp;"_"&amp;Size&amp;"_"&amp;Segmentação&amp;"_"&amp;Segmentação_Anúncio)</f>
        <v>#N/A</v>
      </c>
      <c r="BL189" s="35" t="str">
        <f>LOWER(Campanha_ou_InsertionOrder&amp;"_"&amp;LineItem_ou_Grupodeanúncio&amp;"_"&amp;Linha_criativa_2&amp;"_"&amp;Unique_ID)</f>
        <v>#N/A</v>
      </c>
      <c r="BM189" s="27"/>
      <c r="BN189" s="27"/>
    </row>
    <row r="190">
      <c r="A190" s="1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8" t="str">
        <f>LOWER(Campanha_ou_InsertionOrder&amp;"_"&amp;LineItem_ou_Grupodeanúncio&amp;"_"&amp;Linha_Criativa&amp;"_"&amp;Unique_ID)</f>
        <v>#N/A</v>
      </c>
      <c r="AN190" s="28" t="str">
        <f>LOWER(Campanha_ou_InsertionOrder&amp;"_"&amp;LineItem_ou_Grupodeanúncio&amp;"_"&amp;Linha_Criativa&amp;"_"&amp;Unique_ID)</f>
        <v>#N/A</v>
      </c>
      <c r="AO190" s="28" t="str">
        <f>LOWER("VW"&amp;"_"&amp;Model_Variant&amp;"_"&amp;Size&amp;"_"&amp;Linha_Criativa&amp;"_"&amp;IF(Servido_Por="portal",Veiculo,"adserver"))</f>
        <v>vw____adserver</v>
      </c>
      <c r="AP1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0" s="22" t="str">
        <f t="shared" si="1"/>
        <v/>
      </c>
      <c r="AS190" s="22" t="str">
        <f t="shared" si="2"/>
        <v/>
      </c>
      <c r="AT190" s="22" t="str">
        <f t="shared" si="3"/>
        <v>BR_IMC_DSY_LANCH_ND_NC_2020Q3AUG_NVS_Nivus-Launch-Consideracao</v>
      </c>
      <c r="AU190" s="22" t="str">
        <f t="shared" si="4"/>
        <v>#N/A</v>
      </c>
      <c r="AV190" s="22" t="s">
        <v>106</v>
      </c>
      <c r="AW1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0" s="22" t="str">
        <f t="shared" si="5"/>
        <v>BR_IMC_DSY_LANCH_ND_NC_2020Q3AUG_NVS_Nivus-Launch-Consideracao</v>
      </c>
      <c r="AY190" s="28" t="str">
        <f t="shared" si="6"/>
        <v>#N/A</v>
      </c>
      <c r="AZ190" s="22" t="s">
        <v>107</v>
      </c>
      <c r="BA190" s="22" t="s">
        <v>108</v>
      </c>
      <c r="BB190" s="31" t="s">
        <v>109</v>
      </c>
      <c r="BC190" s="31" t="s">
        <v>109</v>
      </c>
      <c r="BD190" s="32" t="str">
        <f t="shared" si="8"/>
        <v>nvl-nvs-imc-dsy-0820-10184</v>
      </c>
      <c r="BE190" s="33"/>
      <c r="BF190" s="33"/>
      <c r="BG190" s="39" t="str">
        <f>URL&amp;IF(ISNUMBER(FIND("?",URL)),"&amp;","?"&amp;("adlid="&amp;Unique_ID&amp;"&amp;adplt="&amp;Placement))</f>
        <v>#N/A</v>
      </c>
      <c r="BH190" s="1"/>
      <c r="BI190" s="1"/>
      <c r="BJ190" s="35" t="str">
        <f>LOWER("alp"&amp;"_"&amp;"vw"&amp;"_"&amp;Veiculo&amp;"_"&amp;C186&amp;"_"&amp;Objetivo)</f>
        <v>alp_vw___</v>
      </c>
      <c r="BK190" s="35" t="str">
        <f>LOWER(Buying_Metric&amp;"_"&amp;VLOOKUP(Buying_Type,Buy_type,2,FALSE)&amp;"_"&amp;Device&amp;"_"&amp;Size&amp;"_"&amp;Segmentação&amp;"_"&amp;Segmentação_Anúncio)</f>
        <v>#N/A</v>
      </c>
      <c r="BL190" s="35" t="str">
        <f>LOWER(Campanha_ou_InsertionOrder&amp;"_"&amp;LineItem_ou_Grupodeanúncio&amp;"_"&amp;Linha_criativa_2&amp;"_"&amp;Unique_ID)</f>
        <v>#N/A</v>
      </c>
      <c r="BM190" s="27"/>
      <c r="BN190" s="27"/>
    </row>
    <row r="191">
      <c r="A191" s="1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8" t="str">
        <f>LOWER(Campanha_ou_InsertionOrder&amp;"_"&amp;LineItem_ou_Grupodeanúncio&amp;"_"&amp;Linha_Criativa&amp;"_"&amp;Unique_ID)</f>
        <v>#N/A</v>
      </c>
      <c r="AN191" s="28" t="str">
        <f>LOWER(Campanha_ou_InsertionOrder&amp;"_"&amp;LineItem_ou_Grupodeanúncio&amp;"_"&amp;Linha_Criativa&amp;"_"&amp;Unique_ID)</f>
        <v>#N/A</v>
      </c>
      <c r="AO191" s="28" t="str">
        <f>LOWER("VW"&amp;"_"&amp;Model_Variant&amp;"_"&amp;Size&amp;"_"&amp;Linha_Criativa&amp;"_"&amp;IF(Servido_Por="portal",Veiculo,"adserver"))</f>
        <v>vw____adserver</v>
      </c>
      <c r="AP1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1" s="22" t="str">
        <f t="shared" si="1"/>
        <v/>
      </c>
      <c r="AS191" s="22" t="str">
        <f t="shared" si="2"/>
        <v/>
      </c>
      <c r="AT191" s="22" t="str">
        <f t="shared" si="3"/>
        <v>BR_IMC_DSY_LANCH_ND_NC_2020Q3AUG_NVS_Nivus-Launch-Consideracao</v>
      </c>
      <c r="AU191" s="22" t="str">
        <f t="shared" si="4"/>
        <v>#N/A</v>
      </c>
      <c r="AV191" s="22" t="s">
        <v>106</v>
      </c>
      <c r="AW1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1" s="22" t="str">
        <f t="shared" si="5"/>
        <v>BR_IMC_DSY_LANCH_ND_NC_2020Q3AUG_NVS_Nivus-Launch-Consideracao</v>
      </c>
      <c r="AY191" s="28" t="str">
        <f t="shared" si="6"/>
        <v>#N/A</v>
      </c>
      <c r="AZ191" s="22" t="s">
        <v>107</v>
      </c>
      <c r="BA191" s="22" t="s">
        <v>108</v>
      </c>
      <c r="BB191" s="31" t="s">
        <v>109</v>
      </c>
      <c r="BC191" s="31" t="s">
        <v>109</v>
      </c>
      <c r="BD191" s="32" t="str">
        <f t="shared" si="8"/>
        <v>nvl-nvs-imc-dsy-0820-10185</v>
      </c>
      <c r="BE191" s="33"/>
      <c r="BF191" s="33"/>
      <c r="BG191" s="39" t="str">
        <f>URL&amp;IF(ISNUMBER(FIND("?",URL)),"&amp;","?"&amp;("adlid="&amp;Unique_ID&amp;"&amp;adplt="&amp;Placement))</f>
        <v>#N/A</v>
      </c>
      <c r="BH191" s="1"/>
      <c r="BI191" s="1"/>
      <c r="BJ191" s="35" t="str">
        <f>LOWER("alp"&amp;"_"&amp;"vw"&amp;"_"&amp;Veiculo&amp;"_"&amp;C187&amp;"_"&amp;Objetivo)</f>
        <v>alp_vw___</v>
      </c>
      <c r="BK191" s="35" t="str">
        <f>LOWER(Buying_Metric&amp;"_"&amp;VLOOKUP(Buying_Type,Buy_type,2,FALSE)&amp;"_"&amp;Device&amp;"_"&amp;Size&amp;"_"&amp;Segmentação&amp;"_"&amp;Segmentação_Anúncio)</f>
        <v>#N/A</v>
      </c>
      <c r="BL191" s="35" t="str">
        <f>LOWER(Campanha_ou_InsertionOrder&amp;"_"&amp;LineItem_ou_Grupodeanúncio&amp;"_"&amp;Linha_criativa_2&amp;"_"&amp;Unique_ID)</f>
        <v>#N/A</v>
      </c>
      <c r="BM191" s="27"/>
      <c r="BN191" s="27"/>
    </row>
    <row r="192">
      <c r="A192" s="1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8" t="str">
        <f>LOWER(Campanha_ou_InsertionOrder&amp;"_"&amp;LineItem_ou_Grupodeanúncio&amp;"_"&amp;Linha_Criativa&amp;"_"&amp;Unique_ID)</f>
        <v>#N/A</v>
      </c>
      <c r="AN192" s="28" t="str">
        <f>LOWER(Campanha_ou_InsertionOrder&amp;"_"&amp;LineItem_ou_Grupodeanúncio&amp;"_"&amp;Linha_Criativa&amp;"_"&amp;Unique_ID)</f>
        <v>#N/A</v>
      </c>
      <c r="AO192" s="28" t="str">
        <f>LOWER("VW"&amp;"_"&amp;Model_Variant&amp;"_"&amp;Size&amp;"_"&amp;Linha_Criativa&amp;"_"&amp;IF(Servido_Por="portal",Veiculo,"adserver"))</f>
        <v>vw____adserver</v>
      </c>
      <c r="AP1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2" s="22" t="str">
        <f t="shared" si="1"/>
        <v/>
      </c>
      <c r="AS192" s="22" t="str">
        <f t="shared" si="2"/>
        <v/>
      </c>
      <c r="AT192" s="22" t="str">
        <f t="shared" si="3"/>
        <v>BR_IMC_DSY_LANCH_ND_NC_2020Q3AUG_NVS_Nivus-Launch-Consideracao</v>
      </c>
      <c r="AU192" s="22" t="str">
        <f t="shared" si="4"/>
        <v>#N/A</v>
      </c>
      <c r="AV192" s="22" t="s">
        <v>106</v>
      </c>
      <c r="AW1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2" s="22" t="str">
        <f t="shared" si="5"/>
        <v>BR_IMC_DSY_LANCH_ND_NC_2020Q3AUG_NVS_Nivus-Launch-Consideracao</v>
      </c>
      <c r="AY192" s="28" t="str">
        <f t="shared" si="6"/>
        <v>#N/A</v>
      </c>
      <c r="AZ192" s="22" t="s">
        <v>107</v>
      </c>
      <c r="BA192" s="22" t="s">
        <v>108</v>
      </c>
      <c r="BB192" s="31" t="s">
        <v>109</v>
      </c>
      <c r="BC192" s="31" t="s">
        <v>109</v>
      </c>
      <c r="BD192" s="32" t="str">
        <f t="shared" si="8"/>
        <v>nvl-nvs-imc-dsy-0820-10186</v>
      </c>
      <c r="BE192" s="33"/>
      <c r="BF192" s="33"/>
      <c r="BG192" s="39" t="str">
        <f>URL&amp;IF(ISNUMBER(FIND("?",URL)),"&amp;","?"&amp;("adlid="&amp;Unique_ID&amp;"&amp;adplt="&amp;Placement))</f>
        <v>#N/A</v>
      </c>
      <c r="BH192" s="1"/>
      <c r="BI192" s="1"/>
      <c r="BJ192" s="35" t="str">
        <f>LOWER("alp"&amp;"_"&amp;"vw"&amp;"_"&amp;Veiculo&amp;"_"&amp;C188&amp;"_"&amp;Objetivo)</f>
        <v>alp_vw___</v>
      </c>
      <c r="BK192" s="35" t="str">
        <f>LOWER(Buying_Metric&amp;"_"&amp;VLOOKUP(Buying_Type,Buy_type,2,FALSE)&amp;"_"&amp;Device&amp;"_"&amp;Size&amp;"_"&amp;Segmentação&amp;"_"&amp;Segmentação_Anúncio)</f>
        <v>#N/A</v>
      </c>
      <c r="BL192" s="35" t="str">
        <f>LOWER(Campanha_ou_InsertionOrder&amp;"_"&amp;LineItem_ou_Grupodeanúncio&amp;"_"&amp;Linha_criativa_2&amp;"_"&amp;Unique_ID)</f>
        <v>#N/A</v>
      </c>
      <c r="BM192" s="27"/>
      <c r="BN192" s="27"/>
    </row>
    <row r="193">
      <c r="A193" s="1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8" t="str">
        <f>LOWER(Campanha_ou_InsertionOrder&amp;"_"&amp;LineItem_ou_Grupodeanúncio&amp;"_"&amp;Linha_Criativa&amp;"_"&amp;Unique_ID)</f>
        <v>#N/A</v>
      </c>
      <c r="AN193" s="28" t="str">
        <f>LOWER(Campanha_ou_InsertionOrder&amp;"_"&amp;LineItem_ou_Grupodeanúncio&amp;"_"&amp;Linha_Criativa&amp;"_"&amp;Unique_ID)</f>
        <v>#N/A</v>
      </c>
      <c r="AO193" s="28" t="str">
        <f>LOWER("VW"&amp;"_"&amp;Model_Variant&amp;"_"&amp;Size&amp;"_"&amp;Linha_Criativa&amp;"_"&amp;IF(Servido_Por="portal",Veiculo,"adserver"))</f>
        <v>vw____adserver</v>
      </c>
      <c r="AP1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3" s="22" t="str">
        <f t="shared" si="1"/>
        <v/>
      </c>
      <c r="AS193" s="22" t="str">
        <f t="shared" si="2"/>
        <v/>
      </c>
      <c r="AT193" s="22" t="str">
        <f t="shared" si="3"/>
        <v>BR_IMC_DSY_LANCH_ND_NC_2020Q3AUG_NVS_Nivus-Launch-Consideracao</v>
      </c>
      <c r="AU193" s="22" t="str">
        <f t="shared" si="4"/>
        <v>#N/A</v>
      </c>
      <c r="AV193" s="22" t="s">
        <v>106</v>
      </c>
      <c r="AW1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3" s="22" t="str">
        <f t="shared" si="5"/>
        <v>BR_IMC_DSY_LANCH_ND_NC_2020Q3AUG_NVS_Nivus-Launch-Consideracao</v>
      </c>
      <c r="AY193" s="28" t="str">
        <f t="shared" si="6"/>
        <v>#N/A</v>
      </c>
      <c r="AZ193" s="22" t="s">
        <v>107</v>
      </c>
      <c r="BA193" s="22" t="s">
        <v>108</v>
      </c>
      <c r="BB193" s="31" t="s">
        <v>109</v>
      </c>
      <c r="BC193" s="31" t="s">
        <v>109</v>
      </c>
      <c r="BD193" s="32" t="str">
        <f t="shared" si="8"/>
        <v>nvl-nvs-imc-dsy-0820-10187</v>
      </c>
      <c r="BE193" s="33"/>
      <c r="BF193" s="33"/>
      <c r="BG193" s="39" t="str">
        <f>URL&amp;IF(ISNUMBER(FIND("?",URL)),"&amp;","?"&amp;("adlid="&amp;Unique_ID&amp;"&amp;adplt="&amp;Placement))</f>
        <v>#N/A</v>
      </c>
      <c r="BH193" s="1"/>
      <c r="BI193" s="1"/>
      <c r="BJ193" s="35" t="str">
        <f>LOWER("alp"&amp;"_"&amp;"vw"&amp;"_"&amp;Veiculo&amp;"_"&amp;C189&amp;"_"&amp;Objetivo)</f>
        <v>alp_vw___</v>
      </c>
      <c r="BK193" s="35" t="str">
        <f>LOWER(Buying_Metric&amp;"_"&amp;VLOOKUP(Buying_Type,Buy_type,2,FALSE)&amp;"_"&amp;Device&amp;"_"&amp;Size&amp;"_"&amp;Segmentação&amp;"_"&amp;Segmentação_Anúncio)</f>
        <v>#N/A</v>
      </c>
      <c r="BL193" s="35" t="str">
        <f>LOWER(Campanha_ou_InsertionOrder&amp;"_"&amp;LineItem_ou_Grupodeanúncio&amp;"_"&amp;Linha_criativa_2&amp;"_"&amp;Unique_ID)</f>
        <v>#N/A</v>
      </c>
      <c r="BM193" s="27"/>
      <c r="BN193" s="27"/>
    </row>
    <row r="194">
      <c r="A194" s="1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8" t="str">
        <f>LOWER(Campanha_ou_InsertionOrder&amp;"_"&amp;LineItem_ou_Grupodeanúncio&amp;"_"&amp;Linha_Criativa&amp;"_"&amp;Unique_ID)</f>
        <v>#N/A</v>
      </c>
      <c r="AN194" s="28" t="str">
        <f>LOWER(Campanha_ou_InsertionOrder&amp;"_"&amp;LineItem_ou_Grupodeanúncio&amp;"_"&amp;Linha_Criativa&amp;"_"&amp;Unique_ID)</f>
        <v>#N/A</v>
      </c>
      <c r="AO194" s="28" t="str">
        <f>LOWER("VW"&amp;"_"&amp;Model_Variant&amp;"_"&amp;Size&amp;"_"&amp;Linha_Criativa&amp;"_"&amp;IF(Servido_Por="portal",Veiculo,"adserver"))</f>
        <v>vw____adserver</v>
      </c>
      <c r="AP1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4" s="22" t="str">
        <f t="shared" si="1"/>
        <v/>
      </c>
      <c r="AS194" s="22" t="str">
        <f t="shared" si="2"/>
        <v/>
      </c>
      <c r="AT194" s="22" t="str">
        <f t="shared" si="3"/>
        <v>BR_IMC_DSY_LANCH_ND_NC_2020Q3AUG_NVS_Nivus-Launch-Consideracao</v>
      </c>
      <c r="AU194" s="22" t="str">
        <f t="shared" si="4"/>
        <v>#N/A</v>
      </c>
      <c r="AV194" s="22" t="s">
        <v>106</v>
      </c>
      <c r="AW1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4" s="22" t="str">
        <f t="shared" si="5"/>
        <v>BR_IMC_DSY_LANCH_ND_NC_2020Q3AUG_NVS_Nivus-Launch-Consideracao</v>
      </c>
      <c r="AY194" s="28" t="str">
        <f t="shared" si="6"/>
        <v>#N/A</v>
      </c>
      <c r="AZ194" s="22" t="s">
        <v>107</v>
      </c>
      <c r="BA194" s="22" t="s">
        <v>108</v>
      </c>
      <c r="BB194" s="31" t="s">
        <v>109</v>
      </c>
      <c r="BC194" s="31" t="s">
        <v>109</v>
      </c>
      <c r="BD194" s="32" t="str">
        <f t="shared" si="8"/>
        <v>nvl-nvs-imc-dsy-0820-10188</v>
      </c>
      <c r="BE194" s="33"/>
      <c r="BF194" s="33"/>
      <c r="BG194" s="39" t="str">
        <f>URL&amp;IF(ISNUMBER(FIND("?",URL)),"&amp;","?"&amp;("adlid="&amp;Unique_ID&amp;"&amp;adplt="&amp;Placement))</f>
        <v>#N/A</v>
      </c>
      <c r="BH194" s="1"/>
      <c r="BI194" s="1"/>
      <c r="BJ194" s="35" t="str">
        <f>LOWER("alp"&amp;"_"&amp;"vw"&amp;"_"&amp;Veiculo&amp;"_"&amp;C190&amp;"_"&amp;Objetivo)</f>
        <v>alp_vw___</v>
      </c>
      <c r="BK194" s="35" t="str">
        <f>LOWER(Buying_Metric&amp;"_"&amp;VLOOKUP(Buying_Type,Buy_type,2,FALSE)&amp;"_"&amp;Device&amp;"_"&amp;Size&amp;"_"&amp;Segmentação&amp;"_"&amp;Segmentação_Anúncio)</f>
        <v>#N/A</v>
      </c>
      <c r="BL194" s="35" t="str">
        <f>LOWER(Campanha_ou_InsertionOrder&amp;"_"&amp;LineItem_ou_Grupodeanúncio&amp;"_"&amp;Linha_criativa_2&amp;"_"&amp;Unique_ID)</f>
        <v>#N/A</v>
      </c>
      <c r="BM194" s="27"/>
      <c r="BN194" s="27"/>
    </row>
    <row r="195">
      <c r="A195" s="1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8" t="str">
        <f>LOWER(Campanha_ou_InsertionOrder&amp;"_"&amp;LineItem_ou_Grupodeanúncio&amp;"_"&amp;Linha_Criativa&amp;"_"&amp;Unique_ID)</f>
        <v>#N/A</v>
      </c>
      <c r="AN195" s="28" t="str">
        <f>LOWER(Campanha_ou_InsertionOrder&amp;"_"&amp;LineItem_ou_Grupodeanúncio&amp;"_"&amp;Linha_Criativa&amp;"_"&amp;Unique_ID)</f>
        <v>#N/A</v>
      </c>
      <c r="AO195" s="28" t="str">
        <f>LOWER("VW"&amp;"_"&amp;Model_Variant&amp;"_"&amp;Size&amp;"_"&amp;Linha_Criativa&amp;"_"&amp;IF(Servido_Por="portal",Veiculo,"adserver"))</f>
        <v>vw____adserver</v>
      </c>
      <c r="AP1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5" s="22" t="str">
        <f t="shared" si="1"/>
        <v/>
      </c>
      <c r="AS195" s="22" t="str">
        <f t="shared" si="2"/>
        <v/>
      </c>
      <c r="AT195" s="22" t="str">
        <f t="shared" si="3"/>
        <v>BR_IMC_DSY_LANCH_ND_NC_2020Q3AUG_NVS_Nivus-Launch-Consideracao</v>
      </c>
      <c r="AU195" s="22" t="str">
        <f t="shared" si="4"/>
        <v>#N/A</v>
      </c>
      <c r="AV195" s="22" t="s">
        <v>106</v>
      </c>
      <c r="AW1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5" s="22" t="str">
        <f t="shared" si="5"/>
        <v>BR_IMC_DSY_LANCH_ND_NC_2020Q3AUG_NVS_Nivus-Launch-Consideracao</v>
      </c>
      <c r="AY195" s="28" t="str">
        <f t="shared" si="6"/>
        <v>#N/A</v>
      </c>
      <c r="AZ195" s="22" t="s">
        <v>107</v>
      </c>
      <c r="BA195" s="22" t="s">
        <v>108</v>
      </c>
      <c r="BB195" s="31" t="s">
        <v>109</v>
      </c>
      <c r="BC195" s="31" t="s">
        <v>109</v>
      </c>
      <c r="BD195" s="32" t="str">
        <f t="shared" si="8"/>
        <v>nvl-nvs-imc-dsy-0820-10189</v>
      </c>
      <c r="BE195" s="33"/>
      <c r="BF195" s="33"/>
      <c r="BG195" s="39" t="str">
        <f>URL&amp;IF(ISNUMBER(FIND("?",URL)),"&amp;","?"&amp;("adlid="&amp;Unique_ID&amp;"&amp;adplt="&amp;Placement))</f>
        <v>#N/A</v>
      </c>
      <c r="BH195" s="1"/>
      <c r="BI195" s="1"/>
      <c r="BJ195" s="35" t="str">
        <f>LOWER("alp"&amp;"_"&amp;"vw"&amp;"_"&amp;Veiculo&amp;"_"&amp;C191&amp;"_"&amp;Objetivo)</f>
        <v>alp_vw___</v>
      </c>
      <c r="BK195" s="35" t="str">
        <f>LOWER(Buying_Metric&amp;"_"&amp;VLOOKUP(Buying_Type,Buy_type,2,FALSE)&amp;"_"&amp;Device&amp;"_"&amp;Size&amp;"_"&amp;Segmentação&amp;"_"&amp;Segmentação_Anúncio)</f>
        <v>#N/A</v>
      </c>
      <c r="BL195" s="35" t="str">
        <f>LOWER(Campanha_ou_InsertionOrder&amp;"_"&amp;LineItem_ou_Grupodeanúncio&amp;"_"&amp;Linha_criativa_2&amp;"_"&amp;Unique_ID)</f>
        <v>#N/A</v>
      </c>
      <c r="BM195" s="27"/>
      <c r="BN195" s="27"/>
    </row>
    <row r="196">
      <c r="A196" s="1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8" t="str">
        <f>LOWER(Campanha_ou_InsertionOrder&amp;"_"&amp;LineItem_ou_Grupodeanúncio&amp;"_"&amp;Linha_Criativa&amp;"_"&amp;Unique_ID)</f>
        <v>#N/A</v>
      </c>
      <c r="AN196" s="28" t="str">
        <f>LOWER(Campanha_ou_InsertionOrder&amp;"_"&amp;LineItem_ou_Grupodeanúncio&amp;"_"&amp;Linha_Criativa&amp;"_"&amp;Unique_ID)</f>
        <v>#N/A</v>
      </c>
      <c r="AO196" s="28" t="str">
        <f>LOWER("VW"&amp;"_"&amp;Model_Variant&amp;"_"&amp;Size&amp;"_"&amp;Linha_Criativa&amp;"_"&amp;IF(Servido_Por="portal",Veiculo,"adserver"))</f>
        <v>vw____adserver</v>
      </c>
      <c r="AP1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6" s="22" t="str">
        <f t="shared" si="1"/>
        <v/>
      </c>
      <c r="AS196" s="22" t="str">
        <f t="shared" si="2"/>
        <v/>
      </c>
      <c r="AT196" s="22" t="str">
        <f t="shared" si="3"/>
        <v>BR_IMC_DSY_LANCH_ND_NC_2020Q3AUG_NVS_Nivus-Launch-Consideracao</v>
      </c>
      <c r="AU196" s="22" t="str">
        <f t="shared" si="4"/>
        <v>#N/A</v>
      </c>
      <c r="AV196" s="22" t="s">
        <v>106</v>
      </c>
      <c r="AW1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6" s="22" t="str">
        <f t="shared" si="5"/>
        <v>BR_IMC_DSY_LANCH_ND_NC_2020Q3AUG_NVS_Nivus-Launch-Consideracao</v>
      </c>
      <c r="AY196" s="28" t="str">
        <f t="shared" si="6"/>
        <v>#N/A</v>
      </c>
      <c r="AZ196" s="22" t="s">
        <v>107</v>
      </c>
      <c r="BA196" s="22" t="s">
        <v>108</v>
      </c>
      <c r="BB196" s="31" t="s">
        <v>109</v>
      </c>
      <c r="BC196" s="31" t="s">
        <v>109</v>
      </c>
      <c r="BD196" s="32" t="str">
        <f t="shared" si="8"/>
        <v>nvl-nvs-imc-dsy-0820-10190</v>
      </c>
      <c r="BE196" s="33"/>
      <c r="BF196" s="33"/>
      <c r="BG196" s="39" t="str">
        <f>URL&amp;IF(ISNUMBER(FIND("?",URL)),"&amp;","?"&amp;("adlid="&amp;Unique_ID&amp;"&amp;adplt="&amp;Placement))</f>
        <v>#N/A</v>
      </c>
      <c r="BH196" s="1"/>
      <c r="BI196" s="1"/>
      <c r="BJ196" s="35" t="str">
        <f>LOWER("alp"&amp;"_"&amp;"vw"&amp;"_"&amp;Veiculo&amp;"_"&amp;C192&amp;"_"&amp;Objetivo)</f>
        <v>alp_vw___</v>
      </c>
      <c r="BK196" s="35" t="str">
        <f>LOWER(Buying_Metric&amp;"_"&amp;VLOOKUP(Buying_Type,Buy_type,2,FALSE)&amp;"_"&amp;Device&amp;"_"&amp;Size&amp;"_"&amp;Segmentação&amp;"_"&amp;Segmentação_Anúncio)</f>
        <v>#N/A</v>
      </c>
      <c r="BL196" s="35" t="str">
        <f>LOWER(Campanha_ou_InsertionOrder&amp;"_"&amp;LineItem_ou_Grupodeanúncio&amp;"_"&amp;Linha_criativa_2&amp;"_"&amp;Unique_ID)</f>
        <v>#N/A</v>
      </c>
      <c r="BM196" s="27"/>
      <c r="BN196" s="27"/>
    </row>
    <row r="197">
      <c r="A197" s="1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8" t="str">
        <f>LOWER(Campanha_ou_InsertionOrder&amp;"_"&amp;LineItem_ou_Grupodeanúncio&amp;"_"&amp;Linha_Criativa&amp;"_"&amp;Unique_ID)</f>
        <v>#N/A</v>
      </c>
      <c r="AN197" s="28" t="str">
        <f>LOWER(Campanha_ou_InsertionOrder&amp;"_"&amp;LineItem_ou_Grupodeanúncio&amp;"_"&amp;Linha_Criativa&amp;"_"&amp;Unique_ID)</f>
        <v>#N/A</v>
      </c>
      <c r="AO197" s="28" t="str">
        <f>LOWER("VW"&amp;"_"&amp;Model_Variant&amp;"_"&amp;Size&amp;"_"&amp;Linha_Criativa&amp;"_"&amp;IF(Servido_Por="portal",Veiculo,"adserver"))</f>
        <v>vw____adserver</v>
      </c>
      <c r="AP1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7" s="22" t="str">
        <f t="shared" si="1"/>
        <v/>
      </c>
      <c r="AS197" s="22" t="str">
        <f t="shared" si="2"/>
        <v/>
      </c>
      <c r="AT197" s="22" t="str">
        <f t="shared" si="3"/>
        <v>BR_IMC_DSY_LANCH_ND_NC_2020Q3AUG_NVS_Nivus-Launch-Consideracao</v>
      </c>
      <c r="AU197" s="22" t="str">
        <f t="shared" si="4"/>
        <v>#N/A</v>
      </c>
      <c r="AV197" s="22" t="s">
        <v>106</v>
      </c>
      <c r="AW1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7" s="22" t="str">
        <f t="shared" si="5"/>
        <v>BR_IMC_DSY_LANCH_ND_NC_2020Q3AUG_NVS_Nivus-Launch-Consideracao</v>
      </c>
      <c r="AY197" s="28" t="str">
        <f t="shared" si="6"/>
        <v>#N/A</v>
      </c>
      <c r="AZ197" s="22" t="s">
        <v>107</v>
      </c>
      <c r="BA197" s="22" t="s">
        <v>108</v>
      </c>
      <c r="BB197" s="31" t="s">
        <v>109</v>
      </c>
      <c r="BC197" s="31" t="s">
        <v>109</v>
      </c>
      <c r="BD197" s="32" t="str">
        <f t="shared" si="8"/>
        <v>nvl-nvs-imc-dsy-0820-10191</v>
      </c>
      <c r="BE197" s="33"/>
      <c r="BF197" s="33"/>
      <c r="BG197" s="39" t="str">
        <f>URL&amp;IF(ISNUMBER(FIND("?",URL)),"&amp;","?"&amp;("adlid="&amp;Unique_ID&amp;"&amp;adplt="&amp;Placement))</f>
        <v>#N/A</v>
      </c>
      <c r="BH197" s="1"/>
      <c r="BI197" s="1"/>
      <c r="BJ197" s="35" t="str">
        <f>LOWER("alp"&amp;"_"&amp;"vw"&amp;"_"&amp;Veiculo&amp;"_"&amp;C193&amp;"_"&amp;Objetivo)</f>
        <v>alp_vw___</v>
      </c>
      <c r="BK197" s="35" t="str">
        <f>LOWER(Buying_Metric&amp;"_"&amp;VLOOKUP(Buying_Type,Buy_type,2,FALSE)&amp;"_"&amp;Device&amp;"_"&amp;Size&amp;"_"&amp;Segmentação&amp;"_"&amp;Segmentação_Anúncio)</f>
        <v>#N/A</v>
      </c>
      <c r="BL197" s="35" t="str">
        <f>LOWER(Campanha_ou_InsertionOrder&amp;"_"&amp;LineItem_ou_Grupodeanúncio&amp;"_"&amp;Linha_criativa_2&amp;"_"&amp;Unique_ID)</f>
        <v>#N/A</v>
      </c>
      <c r="BM197" s="27"/>
      <c r="BN197" s="27"/>
    </row>
    <row r="198">
      <c r="A198" s="1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8" t="str">
        <f>LOWER(Campanha_ou_InsertionOrder&amp;"_"&amp;LineItem_ou_Grupodeanúncio&amp;"_"&amp;Linha_Criativa&amp;"_"&amp;Unique_ID)</f>
        <v>#N/A</v>
      </c>
      <c r="AN198" s="28" t="str">
        <f>LOWER(Campanha_ou_InsertionOrder&amp;"_"&amp;LineItem_ou_Grupodeanúncio&amp;"_"&amp;Linha_Criativa&amp;"_"&amp;Unique_ID)</f>
        <v>#N/A</v>
      </c>
      <c r="AO198" s="28" t="str">
        <f>LOWER("VW"&amp;"_"&amp;Model_Variant&amp;"_"&amp;Size&amp;"_"&amp;Linha_Criativa&amp;"_"&amp;IF(Servido_Por="portal",Veiculo,"adserver"))</f>
        <v>vw____adserver</v>
      </c>
      <c r="AP1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8" s="22" t="str">
        <f t="shared" si="1"/>
        <v/>
      </c>
      <c r="AS198" s="22" t="str">
        <f t="shared" si="2"/>
        <v/>
      </c>
      <c r="AT198" s="22" t="str">
        <f t="shared" si="3"/>
        <v>BR_IMC_DSY_LANCH_ND_NC_2020Q3AUG_NVS_Nivus-Launch-Consideracao</v>
      </c>
      <c r="AU198" s="22" t="str">
        <f t="shared" si="4"/>
        <v>#N/A</v>
      </c>
      <c r="AV198" s="22" t="s">
        <v>106</v>
      </c>
      <c r="AW1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8" s="22" t="str">
        <f t="shared" si="5"/>
        <v>BR_IMC_DSY_LANCH_ND_NC_2020Q3AUG_NVS_Nivus-Launch-Consideracao</v>
      </c>
      <c r="AY198" s="28" t="str">
        <f t="shared" si="6"/>
        <v>#N/A</v>
      </c>
      <c r="AZ198" s="22" t="s">
        <v>107</v>
      </c>
      <c r="BA198" s="22" t="s">
        <v>108</v>
      </c>
      <c r="BB198" s="31" t="s">
        <v>109</v>
      </c>
      <c r="BC198" s="31" t="s">
        <v>109</v>
      </c>
      <c r="BD198" s="32" t="str">
        <f t="shared" si="8"/>
        <v>nvl-nvs-imc-dsy-0820-10192</v>
      </c>
      <c r="BE198" s="33"/>
      <c r="BF198" s="33"/>
      <c r="BG198" s="39" t="str">
        <f>URL&amp;IF(ISNUMBER(FIND("?",URL)),"&amp;","?"&amp;("adlid="&amp;Unique_ID&amp;"&amp;adplt="&amp;Placement))</f>
        <v>#N/A</v>
      </c>
      <c r="BH198" s="1"/>
      <c r="BI198" s="1"/>
      <c r="BJ198" s="35" t="str">
        <f>LOWER("alp"&amp;"_"&amp;"vw"&amp;"_"&amp;Veiculo&amp;"_"&amp;C194&amp;"_"&amp;Objetivo)</f>
        <v>alp_vw___</v>
      </c>
      <c r="BK198" s="35" t="str">
        <f>LOWER(Buying_Metric&amp;"_"&amp;VLOOKUP(Buying_Type,Buy_type,2,FALSE)&amp;"_"&amp;Device&amp;"_"&amp;Size&amp;"_"&amp;Segmentação&amp;"_"&amp;Segmentação_Anúncio)</f>
        <v>#N/A</v>
      </c>
      <c r="BL198" s="35" t="str">
        <f>LOWER(Campanha_ou_InsertionOrder&amp;"_"&amp;LineItem_ou_Grupodeanúncio&amp;"_"&amp;Linha_criativa_2&amp;"_"&amp;Unique_ID)</f>
        <v>#N/A</v>
      </c>
      <c r="BM198" s="27"/>
      <c r="BN198" s="27"/>
    </row>
    <row r="199">
      <c r="A199" s="1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8" t="str">
        <f>LOWER(Campanha_ou_InsertionOrder&amp;"_"&amp;LineItem_ou_Grupodeanúncio&amp;"_"&amp;Linha_Criativa&amp;"_"&amp;Unique_ID)</f>
        <v>#N/A</v>
      </c>
      <c r="AN199" s="28" t="str">
        <f>LOWER(Campanha_ou_InsertionOrder&amp;"_"&amp;LineItem_ou_Grupodeanúncio&amp;"_"&amp;Linha_Criativa&amp;"_"&amp;Unique_ID)</f>
        <v>#N/A</v>
      </c>
      <c r="AO199" s="28" t="str">
        <f>LOWER("VW"&amp;"_"&amp;Model_Variant&amp;"_"&amp;Size&amp;"_"&amp;Linha_Criativa&amp;"_"&amp;IF(Servido_Por="portal",Veiculo,"adserver"))</f>
        <v>vw____adserver</v>
      </c>
      <c r="AP1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1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199" s="22" t="str">
        <f t="shared" si="1"/>
        <v/>
      </c>
      <c r="AS199" s="22" t="str">
        <f t="shared" si="2"/>
        <v/>
      </c>
      <c r="AT199" s="22" t="str">
        <f t="shared" si="3"/>
        <v>BR_IMC_DSY_LANCH_ND_NC_2020Q3AUG_NVS_Nivus-Launch-Consideracao</v>
      </c>
      <c r="AU199" s="22" t="str">
        <f t="shared" si="4"/>
        <v>#N/A</v>
      </c>
      <c r="AV199" s="22" t="s">
        <v>106</v>
      </c>
      <c r="AW1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199" s="22" t="str">
        <f t="shared" si="5"/>
        <v>BR_IMC_DSY_LANCH_ND_NC_2020Q3AUG_NVS_Nivus-Launch-Consideracao</v>
      </c>
      <c r="AY199" s="28" t="str">
        <f t="shared" si="6"/>
        <v>#N/A</v>
      </c>
      <c r="AZ199" s="22" t="s">
        <v>107</v>
      </c>
      <c r="BA199" s="22" t="s">
        <v>108</v>
      </c>
      <c r="BB199" s="31" t="s">
        <v>109</v>
      </c>
      <c r="BC199" s="31" t="s">
        <v>109</v>
      </c>
      <c r="BD199" s="32" t="str">
        <f t="shared" si="8"/>
        <v>nvl-nvs-imc-dsy-0820-10193</v>
      </c>
      <c r="BE199" s="33"/>
      <c r="BF199" s="33"/>
      <c r="BG199" s="39" t="str">
        <f>URL&amp;IF(ISNUMBER(FIND("?",URL)),"&amp;","?"&amp;("adlid="&amp;Unique_ID&amp;"&amp;adplt="&amp;Placement))</f>
        <v>#N/A</v>
      </c>
      <c r="BH199" s="1"/>
      <c r="BI199" s="1"/>
      <c r="BJ199" s="35" t="str">
        <f>LOWER("alp"&amp;"_"&amp;"vw"&amp;"_"&amp;Veiculo&amp;"_"&amp;C195&amp;"_"&amp;Objetivo)</f>
        <v>alp_vw___</v>
      </c>
      <c r="BK199" s="35" t="str">
        <f>LOWER(Buying_Metric&amp;"_"&amp;VLOOKUP(Buying_Type,Buy_type,2,FALSE)&amp;"_"&amp;Device&amp;"_"&amp;Size&amp;"_"&amp;Segmentação&amp;"_"&amp;Segmentação_Anúncio)</f>
        <v>#N/A</v>
      </c>
      <c r="BL199" s="35" t="str">
        <f>LOWER(Campanha_ou_InsertionOrder&amp;"_"&amp;LineItem_ou_Grupodeanúncio&amp;"_"&amp;Linha_criativa_2&amp;"_"&amp;Unique_ID)</f>
        <v>#N/A</v>
      </c>
      <c r="BM199" s="27"/>
      <c r="BN199" s="27"/>
    </row>
    <row r="200">
      <c r="A200" s="1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8" t="str">
        <f>LOWER(Campanha_ou_InsertionOrder&amp;"_"&amp;LineItem_ou_Grupodeanúncio&amp;"_"&amp;Linha_Criativa&amp;"_"&amp;Unique_ID)</f>
        <v>#N/A</v>
      </c>
      <c r="AN200" s="28" t="str">
        <f>LOWER(Campanha_ou_InsertionOrder&amp;"_"&amp;LineItem_ou_Grupodeanúncio&amp;"_"&amp;Linha_Criativa&amp;"_"&amp;Unique_ID)</f>
        <v>#N/A</v>
      </c>
      <c r="AO200" s="28" t="str">
        <f>LOWER("VW"&amp;"_"&amp;Model_Variant&amp;"_"&amp;Size&amp;"_"&amp;Linha_Criativa&amp;"_"&amp;IF(Servido_Por="portal",Veiculo,"adserver"))</f>
        <v>vw____adserver</v>
      </c>
      <c r="AP2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0" s="22" t="str">
        <f t="shared" si="1"/>
        <v/>
      </c>
      <c r="AS200" s="22" t="str">
        <f t="shared" si="2"/>
        <v/>
      </c>
      <c r="AT200" s="22" t="str">
        <f t="shared" si="3"/>
        <v>BR_IMC_DSY_LANCH_ND_NC_2020Q3AUG_NVS_Nivus-Launch-Consideracao</v>
      </c>
      <c r="AU200" s="22" t="str">
        <f t="shared" si="4"/>
        <v>#N/A</v>
      </c>
      <c r="AV200" s="22" t="s">
        <v>106</v>
      </c>
      <c r="AW2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0" s="22" t="str">
        <f t="shared" si="5"/>
        <v>BR_IMC_DSY_LANCH_ND_NC_2020Q3AUG_NVS_Nivus-Launch-Consideracao</v>
      </c>
      <c r="AY200" s="28" t="str">
        <f t="shared" si="6"/>
        <v>#N/A</v>
      </c>
      <c r="AZ200" s="22" t="s">
        <v>107</v>
      </c>
      <c r="BA200" s="22" t="s">
        <v>108</v>
      </c>
      <c r="BB200" s="31" t="s">
        <v>109</v>
      </c>
      <c r="BC200" s="31" t="s">
        <v>109</v>
      </c>
      <c r="BD200" s="32" t="str">
        <f t="shared" si="8"/>
        <v>nvl-nvs-imc-dsy-0820-10194</v>
      </c>
      <c r="BE200" s="33"/>
      <c r="BF200" s="33"/>
      <c r="BG200" s="39" t="str">
        <f>URL&amp;IF(ISNUMBER(FIND("?",URL)),"&amp;","?"&amp;("adlid="&amp;Unique_ID&amp;"&amp;adplt="&amp;Placement))</f>
        <v>#N/A</v>
      </c>
      <c r="BH200" s="1"/>
      <c r="BI200" s="1"/>
      <c r="BJ200" s="35" t="str">
        <f>LOWER("alp"&amp;"_"&amp;"vw"&amp;"_"&amp;Veiculo&amp;"_"&amp;C196&amp;"_"&amp;Objetivo)</f>
        <v>alp_vw___</v>
      </c>
      <c r="BK200" s="35" t="str">
        <f>LOWER(Buying_Metric&amp;"_"&amp;VLOOKUP(Buying_Type,Buy_type,2,FALSE)&amp;"_"&amp;Device&amp;"_"&amp;Size&amp;"_"&amp;Segmentação&amp;"_"&amp;Segmentação_Anúncio)</f>
        <v>#N/A</v>
      </c>
      <c r="BL200" s="35" t="str">
        <f>LOWER(Campanha_ou_InsertionOrder&amp;"_"&amp;LineItem_ou_Grupodeanúncio&amp;"_"&amp;Linha_criativa_2&amp;"_"&amp;Unique_ID)</f>
        <v>#N/A</v>
      </c>
      <c r="BM200" s="27"/>
      <c r="BN200" s="27"/>
    </row>
    <row r="201">
      <c r="A201" s="1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8" t="str">
        <f>LOWER(Campanha_ou_InsertionOrder&amp;"_"&amp;LineItem_ou_Grupodeanúncio&amp;"_"&amp;Linha_Criativa&amp;"_"&amp;Unique_ID)</f>
        <v>#N/A</v>
      </c>
      <c r="AN201" s="28" t="str">
        <f>LOWER(Campanha_ou_InsertionOrder&amp;"_"&amp;LineItem_ou_Grupodeanúncio&amp;"_"&amp;Linha_Criativa&amp;"_"&amp;Unique_ID)</f>
        <v>#N/A</v>
      </c>
      <c r="AO201" s="28" t="str">
        <f>LOWER("VW"&amp;"_"&amp;Model_Variant&amp;"_"&amp;Size&amp;"_"&amp;Linha_Criativa&amp;"_"&amp;IF(Servido_Por="portal",Veiculo,"adserver"))</f>
        <v>vw____adserver</v>
      </c>
      <c r="AP2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1" s="22" t="str">
        <f t="shared" si="1"/>
        <v/>
      </c>
      <c r="AS201" s="22" t="str">
        <f t="shared" si="2"/>
        <v/>
      </c>
      <c r="AT201" s="22" t="str">
        <f t="shared" si="3"/>
        <v>BR_IMC_DSY_LANCH_ND_NC_2020Q3AUG_NVS_Nivus-Launch-Consideracao</v>
      </c>
      <c r="AU201" s="22" t="str">
        <f t="shared" si="4"/>
        <v>#N/A</v>
      </c>
      <c r="AV201" s="22" t="s">
        <v>106</v>
      </c>
      <c r="AW2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1" s="22" t="str">
        <f t="shared" si="5"/>
        <v>BR_IMC_DSY_LANCH_ND_NC_2020Q3AUG_NVS_Nivus-Launch-Consideracao</v>
      </c>
      <c r="AY201" s="28" t="str">
        <f t="shared" si="6"/>
        <v>#N/A</v>
      </c>
      <c r="AZ201" s="22" t="s">
        <v>107</v>
      </c>
      <c r="BA201" s="22" t="s">
        <v>108</v>
      </c>
      <c r="BB201" s="31" t="s">
        <v>109</v>
      </c>
      <c r="BC201" s="31" t="s">
        <v>109</v>
      </c>
      <c r="BD201" s="32" t="str">
        <f t="shared" si="8"/>
        <v>nvl-nvs-imc-dsy-0820-10195</v>
      </c>
      <c r="BE201" s="33"/>
      <c r="BF201" s="33"/>
      <c r="BG201" s="39" t="str">
        <f>URL&amp;IF(ISNUMBER(FIND("?",URL)),"&amp;","?"&amp;("adlid="&amp;Unique_ID&amp;"&amp;adplt="&amp;Placement))</f>
        <v>#N/A</v>
      </c>
      <c r="BH201" s="1"/>
      <c r="BI201" s="1"/>
      <c r="BJ201" s="35" t="str">
        <f>LOWER("alp"&amp;"_"&amp;"vw"&amp;"_"&amp;Veiculo&amp;"_"&amp;C197&amp;"_"&amp;Objetivo)</f>
        <v>alp_vw___</v>
      </c>
      <c r="BK201" s="35" t="str">
        <f>LOWER(Buying_Metric&amp;"_"&amp;VLOOKUP(Buying_Type,Buy_type,2,FALSE)&amp;"_"&amp;Device&amp;"_"&amp;Size&amp;"_"&amp;Segmentação&amp;"_"&amp;Segmentação_Anúncio)</f>
        <v>#N/A</v>
      </c>
      <c r="BL201" s="35" t="str">
        <f>LOWER(Campanha_ou_InsertionOrder&amp;"_"&amp;LineItem_ou_Grupodeanúncio&amp;"_"&amp;Linha_criativa_2&amp;"_"&amp;Unique_ID)</f>
        <v>#N/A</v>
      </c>
      <c r="BM201" s="27"/>
      <c r="BN201" s="27"/>
    </row>
    <row r="202">
      <c r="A202" s="1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8" t="str">
        <f>LOWER(Campanha_ou_InsertionOrder&amp;"_"&amp;LineItem_ou_Grupodeanúncio&amp;"_"&amp;Linha_Criativa&amp;"_"&amp;Unique_ID)</f>
        <v>#N/A</v>
      </c>
      <c r="AN202" s="28" t="str">
        <f>LOWER(Campanha_ou_InsertionOrder&amp;"_"&amp;LineItem_ou_Grupodeanúncio&amp;"_"&amp;Linha_Criativa&amp;"_"&amp;Unique_ID)</f>
        <v>#N/A</v>
      </c>
      <c r="AO202" s="28" t="str">
        <f>LOWER("VW"&amp;"_"&amp;Model_Variant&amp;"_"&amp;Size&amp;"_"&amp;Linha_Criativa&amp;"_"&amp;IF(Servido_Por="portal",Veiculo,"adserver"))</f>
        <v>vw____adserver</v>
      </c>
      <c r="AP2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2" s="22" t="str">
        <f t="shared" si="1"/>
        <v/>
      </c>
      <c r="AS202" s="22" t="str">
        <f t="shared" si="2"/>
        <v/>
      </c>
      <c r="AT202" s="22" t="str">
        <f t="shared" si="3"/>
        <v>BR_IMC_DSY_LANCH_ND_NC_2020Q3AUG_NVS_Nivus-Launch-Consideracao</v>
      </c>
      <c r="AU202" s="22" t="str">
        <f t="shared" si="4"/>
        <v>#N/A</v>
      </c>
      <c r="AV202" s="22" t="s">
        <v>106</v>
      </c>
      <c r="AW2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2" s="22" t="str">
        <f t="shared" si="5"/>
        <v>BR_IMC_DSY_LANCH_ND_NC_2020Q3AUG_NVS_Nivus-Launch-Consideracao</v>
      </c>
      <c r="AY202" s="28" t="str">
        <f t="shared" si="6"/>
        <v>#N/A</v>
      </c>
      <c r="AZ202" s="22" t="s">
        <v>107</v>
      </c>
      <c r="BA202" s="22" t="s">
        <v>108</v>
      </c>
      <c r="BB202" s="31" t="s">
        <v>109</v>
      </c>
      <c r="BC202" s="31" t="s">
        <v>109</v>
      </c>
      <c r="BD202" s="32" t="str">
        <f t="shared" si="8"/>
        <v>nvl-nvs-imc-dsy-0820-10196</v>
      </c>
      <c r="BE202" s="33"/>
      <c r="BF202" s="33"/>
      <c r="BG202" s="39" t="str">
        <f>URL&amp;IF(ISNUMBER(FIND("?",URL)),"&amp;","?"&amp;("adlid="&amp;Unique_ID&amp;"&amp;adplt="&amp;Placement))</f>
        <v>#N/A</v>
      </c>
      <c r="BH202" s="1"/>
      <c r="BI202" s="1"/>
      <c r="BJ202" s="35" t="str">
        <f>LOWER("alp"&amp;"_"&amp;"vw"&amp;"_"&amp;Veiculo&amp;"_"&amp;C198&amp;"_"&amp;Objetivo)</f>
        <v>alp_vw___</v>
      </c>
      <c r="BK202" s="35" t="str">
        <f>LOWER(Buying_Metric&amp;"_"&amp;VLOOKUP(Buying_Type,Buy_type,2,FALSE)&amp;"_"&amp;Device&amp;"_"&amp;Size&amp;"_"&amp;Segmentação&amp;"_"&amp;Segmentação_Anúncio)</f>
        <v>#N/A</v>
      </c>
      <c r="BL202" s="35" t="str">
        <f>LOWER(Campanha_ou_InsertionOrder&amp;"_"&amp;LineItem_ou_Grupodeanúncio&amp;"_"&amp;Linha_criativa_2&amp;"_"&amp;Unique_ID)</f>
        <v>#N/A</v>
      </c>
      <c r="BM202" s="27"/>
      <c r="BN202" s="27"/>
    </row>
    <row r="203">
      <c r="A203" s="1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8" t="str">
        <f>LOWER(Campanha_ou_InsertionOrder&amp;"_"&amp;LineItem_ou_Grupodeanúncio&amp;"_"&amp;Linha_Criativa&amp;"_"&amp;Unique_ID)</f>
        <v>#N/A</v>
      </c>
      <c r="AN203" s="28" t="str">
        <f>LOWER(Campanha_ou_InsertionOrder&amp;"_"&amp;LineItem_ou_Grupodeanúncio&amp;"_"&amp;Linha_Criativa&amp;"_"&amp;Unique_ID)</f>
        <v>#N/A</v>
      </c>
      <c r="AO203" s="28" t="str">
        <f>LOWER("VW"&amp;"_"&amp;Model_Variant&amp;"_"&amp;Size&amp;"_"&amp;Linha_Criativa&amp;"_"&amp;IF(Servido_Por="portal",Veiculo,"adserver"))</f>
        <v>vw____adserver</v>
      </c>
      <c r="AP2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3" s="22" t="str">
        <f t="shared" si="1"/>
        <v/>
      </c>
      <c r="AS203" s="22" t="str">
        <f t="shared" si="2"/>
        <v/>
      </c>
      <c r="AT203" s="22" t="str">
        <f t="shared" si="3"/>
        <v>BR_IMC_DSY_LANCH_ND_NC_2020Q3AUG_NVS_Nivus-Launch-Consideracao</v>
      </c>
      <c r="AU203" s="22" t="str">
        <f t="shared" si="4"/>
        <v>#N/A</v>
      </c>
      <c r="AV203" s="22" t="s">
        <v>106</v>
      </c>
      <c r="AW2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3" s="22" t="str">
        <f t="shared" si="5"/>
        <v>BR_IMC_DSY_LANCH_ND_NC_2020Q3AUG_NVS_Nivus-Launch-Consideracao</v>
      </c>
      <c r="AY203" s="28" t="str">
        <f t="shared" si="6"/>
        <v>#N/A</v>
      </c>
      <c r="AZ203" s="22" t="s">
        <v>107</v>
      </c>
      <c r="BA203" s="22" t="s">
        <v>108</v>
      </c>
      <c r="BB203" s="31" t="s">
        <v>109</v>
      </c>
      <c r="BC203" s="31" t="s">
        <v>109</v>
      </c>
      <c r="BD203" s="32" t="str">
        <f t="shared" si="8"/>
        <v>nvl-nvs-imc-dsy-0820-10197</v>
      </c>
      <c r="BE203" s="33"/>
      <c r="BF203" s="33"/>
      <c r="BG203" s="39" t="str">
        <f>URL&amp;IF(ISNUMBER(FIND("?",URL)),"&amp;","?"&amp;("adlid="&amp;Unique_ID&amp;"&amp;adplt="&amp;Placement))</f>
        <v>#N/A</v>
      </c>
      <c r="BH203" s="1"/>
      <c r="BI203" s="1"/>
      <c r="BJ203" s="35" t="str">
        <f>LOWER("alp"&amp;"_"&amp;"vw"&amp;"_"&amp;Veiculo&amp;"_"&amp;C199&amp;"_"&amp;Objetivo)</f>
        <v>alp_vw___</v>
      </c>
      <c r="BK203" s="35" t="str">
        <f>LOWER(Buying_Metric&amp;"_"&amp;VLOOKUP(Buying_Type,Buy_type,2,FALSE)&amp;"_"&amp;Device&amp;"_"&amp;Size&amp;"_"&amp;Segmentação&amp;"_"&amp;Segmentação_Anúncio)</f>
        <v>#N/A</v>
      </c>
      <c r="BL203" s="35" t="str">
        <f>LOWER(Campanha_ou_InsertionOrder&amp;"_"&amp;LineItem_ou_Grupodeanúncio&amp;"_"&amp;Linha_criativa_2&amp;"_"&amp;Unique_ID)</f>
        <v>#N/A</v>
      </c>
      <c r="BM203" s="27"/>
      <c r="BN203" s="27"/>
    </row>
    <row r="204">
      <c r="A204" s="1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8" t="str">
        <f>LOWER(Campanha_ou_InsertionOrder&amp;"_"&amp;LineItem_ou_Grupodeanúncio&amp;"_"&amp;Linha_Criativa&amp;"_"&amp;Unique_ID)</f>
        <v>#N/A</v>
      </c>
      <c r="AN204" s="28" t="str">
        <f>LOWER(Campanha_ou_InsertionOrder&amp;"_"&amp;LineItem_ou_Grupodeanúncio&amp;"_"&amp;Linha_Criativa&amp;"_"&amp;Unique_ID)</f>
        <v>#N/A</v>
      </c>
      <c r="AO204" s="28" t="str">
        <f>LOWER("VW"&amp;"_"&amp;Model_Variant&amp;"_"&amp;Size&amp;"_"&amp;Linha_Criativa&amp;"_"&amp;IF(Servido_Por="portal",Veiculo,"adserver"))</f>
        <v>vw____adserver</v>
      </c>
      <c r="AP2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4" s="22" t="str">
        <f t="shared" si="1"/>
        <v/>
      </c>
      <c r="AS204" s="22" t="str">
        <f t="shared" si="2"/>
        <v/>
      </c>
      <c r="AT204" s="22" t="str">
        <f t="shared" si="3"/>
        <v>BR_IMC_DSY_LANCH_ND_NC_2020Q3AUG_NVS_Nivus-Launch-Consideracao</v>
      </c>
      <c r="AU204" s="22" t="str">
        <f t="shared" si="4"/>
        <v>#N/A</v>
      </c>
      <c r="AV204" s="22" t="s">
        <v>106</v>
      </c>
      <c r="AW2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4" s="22" t="str">
        <f t="shared" si="5"/>
        <v>BR_IMC_DSY_LANCH_ND_NC_2020Q3AUG_NVS_Nivus-Launch-Consideracao</v>
      </c>
      <c r="AY204" s="28" t="str">
        <f t="shared" si="6"/>
        <v>#N/A</v>
      </c>
      <c r="AZ204" s="22" t="s">
        <v>107</v>
      </c>
      <c r="BA204" s="22" t="s">
        <v>108</v>
      </c>
      <c r="BB204" s="31" t="s">
        <v>109</v>
      </c>
      <c r="BC204" s="31" t="s">
        <v>109</v>
      </c>
      <c r="BD204" s="32" t="str">
        <f t="shared" si="8"/>
        <v>nvl-nvs-imc-dsy-0820-10198</v>
      </c>
      <c r="BE204" s="33"/>
      <c r="BF204" s="33"/>
      <c r="BG204" s="39" t="str">
        <f>URL&amp;IF(ISNUMBER(FIND("?",URL)),"&amp;","?"&amp;("adlid="&amp;Unique_ID&amp;"&amp;adplt="&amp;Placement))</f>
        <v>#N/A</v>
      </c>
      <c r="BH204" s="1"/>
      <c r="BI204" s="1"/>
      <c r="BJ204" s="35" t="str">
        <f>LOWER("alp"&amp;"_"&amp;"vw"&amp;"_"&amp;Veiculo&amp;"_"&amp;C200&amp;"_"&amp;Objetivo)</f>
        <v>alp_vw___</v>
      </c>
      <c r="BK204" s="35" t="str">
        <f>LOWER(Buying_Metric&amp;"_"&amp;VLOOKUP(Buying_Type,Buy_type,2,FALSE)&amp;"_"&amp;Device&amp;"_"&amp;Size&amp;"_"&amp;Segmentação&amp;"_"&amp;Segmentação_Anúncio)</f>
        <v>#N/A</v>
      </c>
      <c r="BL204" s="35" t="str">
        <f>LOWER(Campanha_ou_InsertionOrder&amp;"_"&amp;LineItem_ou_Grupodeanúncio&amp;"_"&amp;Linha_criativa_2&amp;"_"&amp;Unique_ID)</f>
        <v>#N/A</v>
      </c>
      <c r="BM204" s="27"/>
      <c r="BN204" s="27"/>
    </row>
    <row r="205">
      <c r="A205" s="1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8" t="str">
        <f>LOWER(Campanha_ou_InsertionOrder&amp;"_"&amp;LineItem_ou_Grupodeanúncio&amp;"_"&amp;Linha_Criativa&amp;"_"&amp;Unique_ID)</f>
        <v>#N/A</v>
      </c>
      <c r="AN205" s="28" t="str">
        <f>LOWER(Campanha_ou_InsertionOrder&amp;"_"&amp;LineItem_ou_Grupodeanúncio&amp;"_"&amp;Linha_Criativa&amp;"_"&amp;Unique_ID)</f>
        <v>#N/A</v>
      </c>
      <c r="AO205" s="28" t="str">
        <f>LOWER("VW"&amp;"_"&amp;Model_Variant&amp;"_"&amp;Size&amp;"_"&amp;Linha_Criativa&amp;"_"&amp;IF(Servido_Por="portal",Veiculo,"adserver"))</f>
        <v>vw____adserver</v>
      </c>
      <c r="AP2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5" s="22" t="str">
        <f t="shared" si="1"/>
        <v/>
      </c>
      <c r="AS205" s="22" t="str">
        <f t="shared" si="2"/>
        <v/>
      </c>
      <c r="AT205" s="22" t="str">
        <f t="shared" si="3"/>
        <v>BR_IMC_DSY_LANCH_ND_NC_2020Q3AUG_NVS_Nivus-Launch-Consideracao</v>
      </c>
      <c r="AU205" s="22" t="str">
        <f t="shared" si="4"/>
        <v>#N/A</v>
      </c>
      <c r="AV205" s="22" t="s">
        <v>106</v>
      </c>
      <c r="AW2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5" s="22" t="str">
        <f t="shared" si="5"/>
        <v>BR_IMC_DSY_LANCH_ND_NC_2020Q3AUG_NVS_Nivus-Launch-Consideracao</v>
      </c>
      <c r="AY205" s="28" t="str">
        <f t="shared" si="6"/>
        <v>#N/A</v>
      </c>
      <c r="AZ205" s="22" t="s">
        <v>107</v>
      </c>
      <c r="BA205" s="22" t="s">
        <v>108</v>
      </c>
      <c r="BB205" s="31" t="s">
        <v>109</v>
      </c>
      <c r="BC205" s="31" t="s">
        <v>109</v>
      </c>
      <c r="BD205" s="32" t="str">
        <f t="shared" si="8"/>
        <v>nvl-nvs-imc-dsy-0820-10199</v>
      </c>
      <c r="BE205" s="33"/>
      <c r="BF205" s="33"/>
      <c r="BG205" s="39" t="str">
        <f>URL&amp;IF(ISNUMBER(FIND("?",URL)),"&amp;","?"&amp;("adlid="&amp;Unique_ID&amp;"&amp;adplt="&amp;Placement))</f>
        <v>#N/A</v>
      </c>
      <c r="BH205" s="1"/>
      <c r="BI205" s="1"/>
      <c r="BJ205" s="35" t="str">
        <f>LOWER("alp"&amp;"_"&amp;"vw"&amp;"_"&amp;Veiculo&amp;"_"&amp;C201&amp;"_"&amp;Objetivo)</f>
        <v>alp_vw___</v>
      </c>
      <c r="BK205" s="35" t="str">
        <f>LOWER(Buying_Metric&amp;"_"&amp;VLOOKUP(Buying_Type,Buy_type,2,FALSE)&amp;"_"&amp;Device&amp;"_"&amp;Size&amp;"_"&amp;Segmentação&amp;"_"&amp;Segmentação_Anúncio)</f>
        <v>#N/A</v>
      </c>
      <c r="BL205" s="35" t="str">
        <f>LOWER(Campanha_ou_InsertionOrder&amp;"_"&amp;LineItem_ou_Grupodeanúncio&amp;"_"&amp;Linha_criativa_2&amp;"_"&amp;Unique_ID)</f>
        <v>#N/A</v>
      </c>
      <c r="BM205" s="27"/>
      <c r="BN205" s="27"/>
    </row>
    <row r="206">
      <c r="A206" s="1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8" t="str">
        <f>LOWER(Campanha_ou_InsertionOrder&amp;"_"&amp;LineItem_ou_Grupodeanúncio&amp;"_"&amp;Linha_Criativa&amp;"_"&amp;Unique_ID)</f>
        <v>#N/A</v>
      </c>
      <c r="AN206" s="28" t="str">
        <f>LOWER(Campanha_ou_InsertionOrder&amp;"_"&amp;LineItem_ou_Grupodeanúncio&amp;"_"&amp;Linha_Criativa&amp;"_"&amp;Unique_ID)</f>
        <v>#N/A</v>
      </c>
      <c r="AO206" s="28" t="str">
        <f>LOWER("VW"&amp;"_"&amp;Model_Variant&amp;"_"&amp;Size&amp;"_"&amp;Linha_Criativa&amp;"_"&amp;IF(Servido_Por="portal",Veiculo,"adserver"))</f>
        <v>vw____adserver</v>
      </c>
      <c r="AP2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6" s="22" t="str">
        <f t="shared" si="1"/>
        <v/>
      </c>
      <c r="AS206" s="22" t="str">
        <f t="shared" si="2"/>
        <v/>
      </c>
      <c r="AT206" s="22" t="str">
        <f t="shared" si="3"/>
        <v>BR_IMC_DSY_LANCH_ND_NC_2020Q3AUG_NVS_Nivus-Launch-Consideracao</v>
      </c>
      <c r="AU206" s="22" t="str">
        <f t="shared" si="4"/>
        <v>#N/A</v>
      </c>
      <c r="AV206" s="22" t="s">
        <v>106</v>
      </c>
      <c r="AW2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6" s="22" t="str">
        <f t="shared" si="5"/>
        <v>BR_IMC_DSY_LANCH_ND_NC_2020Q3AUG_NVS_Nivus-Launch-Consideracao</v>
      </c>
      <c r="AY206" s="28" t="str">
        <f t="shared" si="6"/>
        <v>#N/A</v>
      </c>
      <c r="AZ206" s="22" t="s">
        <v>107</v>
      </c>
      <c r="BA206" s="22" t="s">
        <v>108</v>
      </c>
      <c r="BB206" s="31" t="s">
        <v>109</v>
      </c>
      <c r="BC206" s="31" t="s">
        <v>109</v>
      </c>
      <c r="BD206" s="32" t="str">
        <f t="shared" si="8"/>
        <v>nvl-nvs-imc-dsy-0820-10200</v>
      </c>
      <c r="BE206" s="33"/>
      <c r="BF206" s="33"/>
      <c r="BG206" s="39" t="str">
        <f>URL&amp;IF(ISNUMBER(FIND("?",URL)),"&amp;","?"&amp;("adlid="&amp;Unique_ID&amp;"&amp;adplt="&amp;Placement))</f>
        <v>#N/A</v>
      </c>
      <c r="BH206" s="1"/>
      <c r="BI206" s="1"/>
      <c r="BJ206" s="35" t="str">
        <f>LOWER("alp"&amp;"_"&amp;"vw"&amp;"_"&amp;Veiculo&amp;"_"&amp;C202&amp;"_"&amp;Objetivo)</f>
        <v>alp_vw___</v>
      </c>
      <c r="BK206" s="35" t="str">
        <f>LOWER(Buying_Metric&amp;"_"&amp;VLOOKUP(Buying_Type,Buy_type,2,FALSE)&amp;"_"&amp;Device&amp;"_"&amp;Size&amp;"_"&amp;Segmentação&amp;"_"&amp;Segmentação_Anúncio)</f>
        <v>#N/A</v>
      </c>
      <c r="BL206" s="35" t="str">
        <f>LOWER(Campanha_ou_InsertionOrder&amp;"_"&amp;LineItem_ou_Grupodeanúncio&amp;"_"&amp;Linha_criativa_2&amp;"_"&amp;Unique_ID)</f>
        <v>#N/A</v>
      </c>
      <c r="BM206" s="27"/>
      <c r="BN206" s="27"/>
    </row>
    <row r="207">
      <c r="A207" s="1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8" t="str">
        <f>LOWER(Campanha_ou_InsertionOrder&amp;"_"&amp;LineItem_ou_Grupodeanúncio&amp;"_"&amp;Linha_Criativa&amp;"_"&amp;Unique_ID)</f>
        <v>#N/A</v>
      </c>
      <c r="AN207" s="28" t="str">
        <f>LOWER(Campanha_ou_InsertionOrder&amp;"_"&amp;LineItem_ou_Grupodeanúncio&amp;"_"&amp;Linha_Criativa&amp;"_"&amp;Unique_ID)</f>
        <v>#N/A</v>
      </c>
      <c r="AO207" s="28" t="str">
        <f>LOWER("VW"&amp;"_"&amp;Model_Variant&amp;"_"&amp;Size&amp;"_"&amp;Linha_Criativa&amp;"_"&amp;IF(Servido_Por="portal",Veiculo,"adserver"))</f>
        <v>vw____adserver</v>
      </c>
      <c r="AP2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7" s="22" t="str">
        <f t="shared" si="1"/>
        <v/>
      </c>
      <c r="AS207" s="22" t="str">
        <f t="shared" si="2"/>
        <v/>
      </c>
      <c r="AT207" s="22" t="str">
        <f t="shared" si="3"/>
        <v>BR_IMC_DSY_LANCH_ND_NC_2020Q3AUG_NVS_Nivus-Launch-Consideracao</v>
      </c>
      <c r="AU207" s="22" t="str">
        <f t="shared" si="4"/>
        <v>#N/A</v>
      </c>
      <c r="AV207" s="22" t="s">
        <v>106</v>
      </c>
      <c r="AW2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7" s="22" t="str">
        <f t="shared" si="5"/>
        <v>BR_IMC_DSY_LANCH_ND_NC_2020Q3AUG_NVS_Nivus-Launch-Consideracao</v>
      </c>
      <c r="AY207" s="28" t="str">
        <f t="shared" si="6"/>
        <v>#N/A</v>
      </c>
      <c r="AZ207" s="22" t="s">
        <v>107</v>
      </c>
      <c r="BA207" s="22" t="s">
        <v>108</v>
      </c>
      <c r="BB207" s="31" t="s">
        <v>109</v>
      </c>
      <c r="BC207" s="31" t="s">
        <v>109</v>
      </c>
      <c r="BD207" s="32" t="str">
        <f t="shared" si="8"/>
        <v>nvl-nvs-imc-dsy-0820-10201</v>
      </c>
      <c r="BE207" s="33"/>
      <c r="BF207" s="33"/>
      <c r="BG207" s="39" t="str">
        <f>URL&amp;IF(ISNUMBER(FIND("?",URL)),"&amp;","?"&amp;("adlid="&amp;Unique_ID&amp;"&amp;adplt="&amp;Placement))</f>
        <v>#N/A</v>
      </c>
      <c r="BH207" s="1"/>
      <c r="BI207" s="1"/>
      <c r="BJ207" s="35" t="str">
        <f>LOWER("alp"&amp;"_"&amp;"vw"&amp;"_"&amp;Veiculo&amp;"_"&amp;C203&amp;"_"&amp;Objetivo)</f>
        <v>alp_vw___</v>
      </c>
      <c r="BK207" s="35" t="str">
        <f>LOWER(Buying_Metric&amp;"_"&amp;VLOOKUP(Buying_Type,Buy_type,2,FALSE)&amp;"_"&amp;Device&amp;"_"&amp;Size&amp;"_"&amp;Segmentação&amp;"_"&amp;Segmentação_Anúncio)</f>
        <v>#N/A</v>
      </c>
      <c r="BL207" s="35" t="str">
        <f>LOWER(Campanha_ou_InsertionOrder&amp;"_"&amp;LineItem_ou_Grupodeanúncio&amp;"_"&amp;Linha_criativa_2&amp;"_"&amp;Unique_ID)</f>
        <v>#N/A</v>
      </c>
      <c r="BM207" s="27"/>
      <c r="BN207" s="27"/>
    </row>
    <row r="208">
      <c r="A208" s="1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8" t="str">
        <f>LOWER(Campanha_ou_InsertionOrder&amp;"_"&amp;LineItem_ou_Grupodeanúncio&amp;"_"&amp;Linha_Criativa&amp;"_"&amp;Unique_ID)</f>
        <v>#N/A</v>
      </c>
      <c r="AN208" s="28" t="str">
        <f>LOWER(Campanha_ou_InsertionOrder&amp;"_"&amp;LineItem_ou_Grupodeanúncio&amp;"_"&amp;Linha_Criativa&amp;"_"&amp;Unique_ID)</f>
        <v>#N/A</v>
      </c>
      <c r="AO208" s="28" t="str">
        <f>LOWER("VW"&amp;"_"&amp;Model_Variant&amp;"_"&amp;Size&amp;"_"&amp;Linha_Criativa&amp;"_"&amp;IF(Servido_Por="portal",Veiculo,"adserver"))</f>
        <v>vw____adserver</v>
      </c>
      <c r="AP2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8" s="22" t="str">
        <f t="shared" si="1"/>
        <v/>
      </c>
      <c r="AS208" s="22" t="str">
        <f t="shared" si="2"/>
        <v/>
      </c>
      <c r="AT208" s="22" t="str">
        <f t="shared" si="3"/>
        <v>BR_IMC_DSY_LANCH_ND_NC_2020Q3AUG_NVS_Nivus-Launch-Consideracao</v>
      </c>
      <c r="AU208" s="22" t="str">
        <f t="shared" si="4"/>
        <v>#N/A</v>
      </c>
      <c r="AV208" s="22" t="s">
        <v>106</v>
      </c>
      <c r="AW2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8" s="22" t="str">
        <f t="shared" si="5"/>
        <v>BR_IMC_DSY_LANCH_ND_NC_2020Q3AUG_NVS_Nivus-Launch-Consideracao</v>
      </c>
      <c r="AY208" s="28" t="str">
        <f t="shared" si="6"/>
        <v>#N/A</v>
      </c>
      <c r="AZ208" s="22" t="s">
        <v>107</v>
      </c>
      <c r="BA208" s="22" t="s">
        <v>108</v>
      </c>
      <c r="BB208" s="31" t="s">
        <v>109</v>
      </c>
      <c r="BC208" s="31" t="s">
        <v>109</v>
      </c>
      <c r="BD208" s="32" t="str">
        <f t="shared" si="8"/>
        <v>nvl-nvs-imc-dsy-0820-10202</v>
      </c>
      <c r="BE208" s="33"/>
      <c r="BF208" s="33"/>
      <c r="BG208" s="39" t="str">
        <f>URL&amp;IF(ISNUMBER(FIND("?",URL)),"&amp;","?"&amp;("adlid="&amp;Unique_ID&amp;"&amp;adplt="&amp;Placement))</f>
        <v>#N/A</v>
      </c>
      <c r="BH208" s="1"/>
      <c r="BI208" s="1"/>
      <c r="BJ208" s="35" t="str">
        <f>LOWER("alp"&amp;"_"&amp;"vw"&amp;"_"&amp;Veiculo&amp;"_"&amp;C204&amp;"_"&amp;Objetivo)</f>
        <v>alp_vw___</v>
      </c>
      <c r="BK208" s="35" t="str">
        <f>LOWER(Buying_Metric&amp;"_"&amp;VLOOKUP(Buying_Type,Buy_type,2,FALSE)&amp;"_"&amp;Device&amp;"_"&amp;Size&amp;"_"&amp;Segmentação&amp;"_"&amp;Segmentação_Anúncio)</f>
        <v>#N/A</v>
      </c>
      <c r="BL208" s="35" t="str">
        <f>LOWER(Campanha_ou_InsertionOrder&amp;"_"&amp;LineItem_ou_Grupodeanúncio&amp;"_"&amp;Linha_criativa_2&amp;"_"&amp;Unique_ID)</f>
        <v>#N/A</v>
      </c>
      <c r="BM208" s="27"/>
      <c r="BN208" s="27"/>
    </row>
    <row r="209">
      <c r="A209" s="1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8" t="str">
        <f>LOWER(Campanha_ou_InsertionOrder&amp;"_"&amp;LineItem_ou_Grupodeanúncio&amp;"_"&amp;Linha_Criativa&amp;"_"&amp;Unique_ID)</f>
        <v>#N/A</v>
      </c>
      <c r="AN209" s="28" t="str">
        <f>LOWER(Campanha_ou_InsertionOrder&amp;"_"&amp;LineItem_ou_Grupodeanúncio&amp;"_"&amp;Linha_Criativa&amp;"_"&amp;Unique_ID)</f>
        <v>#N/A</v>
      </c>
      <c r="AO209" s="28" t="str">
        <f>LOWER("VW"&amp;"_"&amp;Model_Variant&amp;"_"&amp;Size&amp;"_"&amp;Linha_Criativa&amp;"_"&amp;IF(Servido_Por="portal",Veiculo,"adserver"))</f>
        <v>vw____adserver</v>
      </c>
      <c r="AP2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09" s="22" t="str">
        <f t="shared" si="1"/>
        <v/>
      </c>
      <c r="AS209" s="22" t="str">
        <f t="shared" si="2"/>
        <v/>
      </c>
      <c r="AT209" s="22" t="str">
        <f t="shared" si="3"/>
        <v>BR_IMC_DSY_LANCH_ND_NC_2020Q3AUG_NVS_Nivus-Launch-Consideracao</v>
      </c>
      <c r="AU209" s="22" t="str">
        <f t="shared" si="4"/>
        <v>#N/A</v>
      </c>
      <c r="AV209" s="22" t="s">
        <v>106</v>
      </c>
      <c r="AW2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09" s="22" t="str">
        <f t="shared" si="5"/>
        <v>BR_IMC_DSY_LANCH_ND_NC_2020Q3AUG_NVS_Nivus-Launch-Consideracao</v>
      </c>
      <c r="AY209" s="28" t="str">
        <f t="shared" si="6"/>
        <v>#N/A</v>
      </c>
      <c r="AZ209" s="22" t="s">
        <v>107</v>
      </c>
      <c r="BA209" s="22" t="s">
        <v>108</v>
      </c>
      <c r="BB209" s="31" t="s">
        <v>109</v>
      </c>
      <c r="BC209" s="31" t="s">
        <v>109</v>
      </c>
      <c r="BD209" s="32" t="str">
        <f t="shared" si="8"/>
        <v>nvl-nvs-imc-dsy-0820-10203</v>
      </c>
      <c r="BE209" s="33"/>
      <c r="BF209" s="33"/>
      <c r="BG209" s="39" t="str">
        <f>URL&amp;IF(ISNUMBER(FIND("?",URL)),"&amp;","?"&amp;("adlid="&amp;Unique_ID&amp;"&amp;adplt="&amp;Placement))</f>
        <v>#N/A</v>
      </c>
      <c r="BH209" s="1"/>
      <c r="BI209" s="1"/>
      <c r="BJ209" s="35" t="str">
        <f>LOWER("alp"&amp;"_"&amp;"vw"&amp;"_"&amp;Veiculo&amp;"_"&amp;C205&amp;"_"&amp;Objetivo)</f>
        <v>alp_vw___</v>
      </c>
      <c r="BK209" s="35" t="str">
        <f>LOWER(Buying_Metric&amp;"_"&amp;VLOOKUP(Buying_Type,Buy_type,2,FALSE)&amp;"_"&amp;Device&amp;"_"&amp;Size&amp;"_"&amp;Segmentação&amp;"_"&amp;Segmentação_Anúncio)</f>
        <v>#N/A</v>
      </c>
      <c r="BL209" s="35" t="str">
        <f>LOWER(Campanha_ou_InsertionOrder&amp;"_"&amp;LineItem_ou_Grupodeanúncio&amp;"_"&amp;Linha_criativa_2&amp;"_"&amp;Unique_ID)</f>
        <v>#N/A</v>
      </c>
      <c r="BM209" s="27"/>
      <c r="BN209" s="27"/>
    </row>
    <row r="210">
      <c r="A210" s="1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8" t="str">
        <f>LOWER(Campanha_ou_InsertionOrder&amp;"_"&amp;LineItem_ou_Grupodeanúncio&amp;"_"&amp;Linha_Criativa&amp;"_"&amp;Unique_ID)</f>
        <v>#N/A</v>
      </c>
      <c r="AN210" s="28" t="str">
        <f>LOWER(Campanha_ou_InsertionOrder&amp;"_"&amp;LineItem_ou_Grupodeanúncio&amp;"_"&amp;Linha_Criativa&amp;"_"&amp;Unique_ID)</f>
        <v>#N/A</v>
      </c>
      <c r="AO210" s="28" t="str">
        <f>LOWER("VW"&amp;"_"&amp;Model_Variant&amp;"_"&amp;Size&amp;"_"&amp;Linha_Criativa&amp;"_"&amp;IF(Servido_Por="portal",Veiculo,"adserver"))</f>
        <v>vw____adserver</v>
      </c>
      <c r="AP2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0" s="22" t="str">
        <f t="shared" si="1"/>
        <v/>
      </c>
      <c r="AS210" s="22" t="str">
        <f t="shared" si="2"/>
        <v/>
      </c>
      <c r="AT210" s="22" t="str">
        <f t="shared" si="3"/>
        <v>BR_IMC_DSY_LANCH_ND_NC_2020Q3AUG_NVS_Nivus-Launch-Consideracao</v>
      </c>
      <c r="AU210" s="22" t="str">
        <f t="shared" si="4"/>
        <v>#N/A</v>
      </c>
      <c r="AV210" s="22" t="s">
        <v>106</v>
      </c>
      <c r="AW2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0" s="22" t="str">
        <f t="shared" si="5"/>
        <v>BR_IMC_DSY_LANCH_ND_NC_2020Q3AUG_NVS_Nivus-Launch-Consideracao</v>
      </c>
      <c r="AY210" s="28" t="str">
        <f t="shared" si="6"/>
        <v>#N/A</v>
      </c>
      <c r="AZ210" s="22" t="s">
        <v>107</v>
      </c>
      <c r="BA210" s="22" t="s">
        <v>108</v>
      </c>
      <c r="BB210" s="31" t="s">
        <v>109</v>
      </c>
      <c r="BC210" s="31" t="s">
        <v>109</v>
      </c>
      <c r="BD210" s="32" t="str">
        <f t="shared" si="8"/>
        <v>nvl-nvs-imc-dsy-0820-10204</v>
      </c>
      <c r="BE210" s="33"/>
      <c r="BF210" s="33"/>
      <c r="BG210" s="39" t="str">
        <f>URL&amp;IF(ISNUMBER(FIND("?",URL)),"&amp;","?"&amp;("adlid="&amp;Unique_ID&amp;"&amp;adplt="&amp;Placement))</f>
        <v>#N/A</v>
      </c>
      <c r="BH210" s="1"/>
      <c r="BI210" s="1"/>
      <c r="BJ210" s="35" t="str">
        <f>LOWER("alp"&amp;"_"&amp;"vw"&amp;"_"&amp;Veiculo&amp;"_"&amp;C206&amp;"_"&amp;Objetivo)</f>
        <v>alp_vw___</v>
      </c>
      <c r="BK210" s="35" t="str">
        <f>LOWER(Buying_Metric&amp;"_"&amp;VLOOKUP(Buying_Type,Buy_type,2,FALSE)&amp;"_"&amp;Device&amp;"_"&amp;Size&amp;"_"&amp;Segmentação&amp;"_"&amp;Segmentação_Anúncio)</f>
        <v>#N/A</v>
      </c>
      <c r="BL210" s="35" t="str">
        <f>LOWER(Campanha_ou_InsertionOrder&amp;"_"&amp;LineItem_ou_Grupodeanúncio&amp;"_"&amp;Linha_criativa_2&amp;"_"&amp;Unique_ID)</f>
        <v>#N/A</v>
      </c>
      <c r="BM210" s="27"/>
      <c r="BN210" s="27"/>
    </row>
    <row r="211">
      <c r="A211" s="1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8" t="str">
        <f>LOWER(Campanha_ou_InsertionOrder&amp;"_"&amp;LineItem_ou_Grupodeanúncio&amp;"_"&amp;Linha_Criativa&amp;"_"&amp;Unique_ID)</f>
        <v>#N/A</v>
      </c>
      <c r="AN211" s="28" t="str">
        <f>LOWER(Campanha_ou_InsertionOrder&amp;"_"&amp;LineItem_ou_Grupodeanúncio&amp;"_"&amp;Linha_Criativa&amp;"_"&amp;Unique_ID)</f>
        <v>#N/A</v>
      </c>
      <c r="AO211" s="28" t="str">
        <f>LOWER("VW"&amp;"_"&amp;Model_Variant&amp;"_"&amp;Size&amp;"_"&amp;Linha_Criativa&amp;"_"&amp;IF(Servido_Por="portal",Veiculo,"adserver"))</f>
        <v>vw____adserver</v>
      </c>
      <c r="AP2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1" s="22" t="str">
        <f t="shared" si="1"/>
        <v/>
      </c>
      <c r="AS211" s="22" t="str">
        <f t="shared" si="2"/>
        <v/>
      </c>
      <c r="AT211" s="22" t="str">
        <f t="shared" si="3"/>
        <v>BR_IMC_DSY_LANCH_ND_NC_2020Q3AUG_NVS_Nivus-Launch-Consideracao</v>
      </c>
      <c r="AU211" s="22" t="str">
        <f t="shared" si="4"/>
        <v>#N/A</v>
      </c>
      <c r="AV211" s="22" t="s">
        <v>106</v>
      </c>
      <c r="AW2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1" s="22" t="str">
        <f t="shared" si="5"/>
        <v>BR_IMC_DSY_LANCH_ND_NC_2020Q3AUG_NVS_Nivus-Launch-Consideracao</v>
      </c>
      <c r="AY211" s="28" t="str">
        <f t="shared" si="6"/>
        <v>#N/A</v>
      </c>
      <c r="AZ211" s="22" t="s">
        <v>107</v>
      </c>
      <c r="BA211" s="22" t="s">
        <v>108</v>
      </c>
      <c r="BB211" s="31" t="s">
        <v>109</v>
      </c>
      <c r="BC211" s="31" t="s">
        <v>109</v>
      </c>
      <c r="BD211" s="32" t="str">
        <f t="shared" si="8"/>
        <v>nvl-nvs-imc-dsy-0820-10205</v>
      </c>
      <c r="BE211" s="33"/>
      <c r="BF211" s="33"/>
      <c r="BG211" s="39" t="str">
        <f>URL&amp;IF(ISNUMBER(FIND("?",URL)),"&amp;","?"&amp;("adlid="&amp;Unique_ID&amp;"&amp;adplt="&amp;Placement))</f>
        <v>#N/A</v>
      </c>
      <c r="BH211" s="1"/>
      <c r="BI211" s="1"/>
      <c r="BJ211" s="35" t="str">
        <f>LOWER("alp"&amp;"_"&amp;"vw"&amp;"_"&amp;Veiculo&amp;"_"&amp;C207&amp;"_"&amp;Objetivo)</f>
        <v>alp_vw___</v>
      </c>
      <c r="BK211" s="35" t="str">
        <f>LOWER(Buying_Metric&amp;"_"&amp;VLOOKUP(Buying_Type,Buy_type,2,FALSE)&amp;"_"&amp;Device&amp;"_"&amp;Size&amp;"_"&amp;Segmentação&amp;"_"&amp;Segmentação_Anúncio)</f>
        <v>#N/A</v>
      </c>
      <c r="BL211" s="35" t="str">
        <f>LOWER(Campanha_ou_InsertionOrder&amp;"_"&amp;LineItem_ou_Grupodeanúncio&amp;"_"&amp;Linha_criativa_2&amp;"_"&amp;Unique_ID)</f>
        <v>#N/A</v>
      </c>
      <c r="BM211" s="27"/>
      <c r="BN211" s="27"/>
    </row>
    <row r="212">
      <c r="A212" s="1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8" t="str">
        <f>LOWER(Campanha_ou_InsertionOrder&amp;"_"&amp;LineItem_ou_Grupodeanúncio&amp;"_"&amp;Linha_Criativa&amp;"_"&amp;Unique_ID)</f>
        <v>#N/A</v>
      </c>
      <c r="AN212" s="28" t="str">
        <f>LOWER(Campanha_ou_InsertionOrder&amp;"_"&amp;LineItem_ou_Grupodeanúncio&amp;"_"&amp;Linha_Criativa&amp;"_"&amp;Unique_ID)</f>
        <v>#N/A</v>
      </c>
      <c r="AO212" s="28" t="str">
        <f>LOWER("VW"&amp;"_"&amp;Model_Variant&amp;"_"&amp;Size&amp;"_"&amp;Linha_Criativa&amp;"_"&amp;IF(Servido_Por="portal",Veiculo,"adserver"))</f>
        <v>vw____adserver</v>
      </c>
      <c r="AP2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2" s="22" t="str">
        <f t="shared" si="1"/>
        <v/>
      </c>
      <c r="AS212" s="22" t="str">
        <f t="shared" si="2"/>
        <v/>
      </c>
      <c r="AT212" s="22" t="str">
        <f t="shared" si="3"/>
        <v>BR_IMC_DSY_LANCH_ND_NC_2020Q3AUG_NVS_Nivus-Launch-Consideracao</v>
      </c>
      <c r="AU212" s="22" t="str">
        <f t="shared" si="4"/>
        <v>#N/A</v>
      </c>
      <c r="AV212" s="22" t="s">
        <v>106</v>
      </c>
      <c r="AW2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2" s="22" t="str">
        <f t="shared" si="5"/>
        <v>BR_IMC_DSY_LANCH_ND_NC_2020Q3AUG_NVS_Nivus-Launch-Consideracao</v>
      </c>
      <c r="AY212" s="28" t="str">
        <f t="shared" si="6"/>
        <v>#N/A</v>
      </c>
      <c r="AZ212" s="22" t="s">
        <v>107</v>
      </c>
      <c r="BA212" s="22" t="s">
        <v>108</v>
      </c>
      <c r="BB212" s="31" t="s">
        <v>109</v>
      </c>
      <c r="BC212" s="31" t="s">
        <v>109</v>
      </c>
      <c r="BD212" s="32" t="str">
        <f t="shared" si="8"/>
        <v>nvl-nvs-imc-dsy-0820-10206</v>
      </c>
      <c r="BE212" s="33"/>
      <c r="BF212" s="33"/>
      <c r="BG212" s="39" t="str">
        <f>URL&amp;IF(ISNUMBER(FIND("?",URL)),"&amp;","?"&amp;("adlid="&amp;Unique_ID&amp;"&amp;adplt="&amp;Placement))</f>
        <v>#N/A</v>
      </c>
      <c r="BH212" s="1"/>
      <c r="BI212" s="1"/>
      <c r="BJ212" s="35" t="str">
        <f>LOWER("alp"&amp;"_"&amp;"vw"&amp;"_"&amp;Veiculo&amp;"_"&amp;C208&amp;"_"&amp;Objetivo)</f>
        <v>alp_vw___</v>
      </c>
      <c r="BK212" s="35" t="str">
        <f>LOWER(Buying_Metric&amp;"_"&amp;VLOOKUP(Buying_Type,Buy_type,2,FALSE)&amp;"_"&amp;Device&amp;"_"&amp;Size&amp;"_"&amp;Segmentação&amp;"_"&amp;Segmentação_Anúncio)</f>
        <v>#N/A</v>
      </c>
      <c r="BL212" s="35" t="str">
        <f>LOWER(Campanha_ou_InsertionOrder&amp;"_"&amp;LineItem_ou_Grupodeanúncio&amp;"_"&amp;Linha_criativa_2&amp;"_"&amp;Unique_ID)</f>
        <v>#N/A</v>
      </c>
      <c r="BM212" s="27"/>
      <c r="BN212" s="27"/>
    </row>
    <row r="213">
      <c r="A213" s="1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8" t="str">
        <f>LOWER(Campanha_ou_InsertionOrder&amp;"_"&amp;LineItem_ou_Grupodeanúncio&amp;"_"&amp;Linha_Criativa&amp;"_"&amp;Unique_ID)</f>
        <v>#N/A</v>
      </c>
      <c r="AN213" s="28" t="str">
        <f>LOWER(Campanha_ou_InsertionOrder&amp;"_"&amp;LineItem_ou_Grupodeanúncio&amp;"_"&amp;Linha_Criativa&amp;"_"&amp;Unique_ID)</f>
        <v>#N/A</v>
      </c>
      <c r="AO213" s="28" t="str">
        <f>LOWER("VW"&amp;"_"&amp;Model_Variant&amp;"_"&amp;Size&amp;"_"&amp;Linha_Criativa&amp;"_"&amp;IF(Servido_Por="portal",Veiculo,"adserver"))</f>
        <v>vw____adserver</v>
      </c>
      <c r="AP2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3" s="22" t="str">
        <f t="shared" si="1"/>
        <v/>
      </c>
      <c r="AS213" s="22" t="str">
        <f t="shared" si="2"/>
        <v/>
      </c>
      <c r="AT213" s="22" t="str">
        <f t="shared" si="3"/>
        <v>BR_IMC_DSY_LANCH_ND_NC_2020Q3AUG_NVS_Nivus-Launch-Consideracao</v>
      </c>
      <c r="AU213" s="22" t="str">
        <f t="shared" si="4"/>
        <v>#N/A</v>
      </c>
      <c r="AV213" s="22" t="s">
        <v>106</v>
      </c>
      <c r="AW2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3" s="22" t="str">
        <f t="shared" si="5"/>
        <v>BR_IMC_DSY_LANCH_ND_NC_2020Q3AUG_NVS_Nivus-Launch-Consideracao</v>
      </c>
      <c r="AY213" s="28" t="str">
        <f t="shared" si="6"/>
        <v>#N/A</v>
      </c>
      <c r="AZ213" s="22" t="s">
        <v>107</v>
      </c>
      <c r="BA213" s="22" t="s">
        <v>108</v>
      </c>
      <c r="BB213" s="31" t="s">
        <v>109</v>
      </c>
      <c r="BC213" s="31" t="s">
        <v>109</v>
      </c>
      <c r="BD213" s="32" t="str">
        <f t="shared" si="8"/>
        <v>nvl-nvs-imc-dsy-0820-10207</v>
      </c>
      <c r="BE213" s="33"/>
      <c r="BF213" s="33"/>
      <c r="BG213" s="39" t="str">
        <f>URL&amp;IF(ISNUMBER(FIND("?",URL)),"&amp;","?"&amp;("adlid="&amp;Unique_ID&amp;"&amp;adplt="&amp;Placement))</f>
        <v>#N/A</v>
      </c>
      <c r="BH213" s="1"/>
      <c r="BI213" s="1"/>
      <c r="BJ213" s="35" t="str">
        <f>LOWER("alp"&amp;"_"&amp;"vw"&amp;"_"&amp;Veiculo&amp;"_"&amp;C209&amp;"_"&amp;Objetivo)</f>
        <v>alp_vw___</v>
      </c>
      <c r="BK213" s="35" t="str">
        <f>LOWER(Buying_Metric&amp;"_"&amp;VLOOKUP(Buying_Type,Buy_type,2,FALSE)&amp;"_"&amp;Device&amp;"_"&amp;Size&amp;"_"&amp;Segmentação&amp;"_"&amp;Segmentação_Anúncio)</f>
        <v>#N/A</v>
      </c>
      <c r="BL213" s="35" t="str">
        <f>LOWER(Campanha_ou_InsertionOrder&amp;"_"&amp;LineItem_ou_Grupodeanúncio&amp;"_"&amp;Linha_criativa_2&amp;"_"&amp;Unique_ID)</f>
        <v>#N/A</v>
      </c>
      <c r="BM213" s="27"/>
      <c r="BN213" s="27"/>
    </row>
    <row r="214">
      <c r="A214" s="1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8" t="str">
        <f>LOWER(Campanha_ou_InsertionOrder&amp;"_"&amp;LineItem_ou_Grupodeanúncio&amp;"_"&amp;Linha_Criativa&amp;"_"&amp;Unique_ID)</f>
        <v>#N/A</v>
      </c>
      <c r="AN214" s="28" t="str">
        <f>LOWER(Campanha_ou_InsertionOrder&amp;"_"&amp;LineItem_ou_Grupodeanúncio&amp;"_"&amp;Linha_Criativa&amp;"_"&amp;Unique_ID)</f>
        <v>#N/A</v>
      </c>
      <c r="AO214" s="28" t="str">
        <f>LOWER("VW"&amp;"_"&amp;Model_Variant&amp;"_"&amp;Size&amp;"_"&amp;Linha_Criativa&amp;"_"&amp;IF(Servido_Por="portal",Veiculo,"adserver"))</f>
        <v>vw____adserver</v>
      </c>
      <c r="AP2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4" s="22" t="str">
        <f t="shared" si="1"/>
        <v/>
      </c>
      <c r="AS214" s="22" t="str">
        <f t="shared" si="2"/>
        <v/>
      </c>
      <c r="AT214" s="22" t="str">
        <f t="shared" si="3"/>
        <v>BR_IMC_DSY_LANCH_ND_NC_2020Q3AUG_NVS_Nivus-Launch-Consideracao</v>
      </c>
      <c r="AU214" s="22" t="str">
        <f t="shared" si="4"/>
        <v>#N/A</v>
      </c>
      <c r="AV214" s="22" t="s">
        <v>106</v>
      </c>
      <c r="AW2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4" s="22" t="str">
        <f t="shared" si="5"/>
        <v>BR_IMC_DSY_LANCH_ND_NC_2020Q3AUG_NVS_Nivus-Launch-Consideracao</v>
      </c>
      <c r="AY214" s="28" t="str">
        <f t="shared" si="6"/>
        <v>#N/A</v>
      </c>
      <c r="AZ214" s="22" t="s">
        <v>107</v>
      </c>
      <c r="BA214" s="22" t="s">
        <v>108</v>
      </c>
      <c r="BB214" s="31" t="s">
        <v>109</v>
      </c>
      <c r="BC214" s="31" t="s">
        <v>109</v>
      </c>
      <c r="BD214" s="32" t="str">
        <f t="shared" si="8"/>
        <v>nvl-nvs-imc-dsy-0820-10208</v>
      </c>
      <c r="BE214" s="33"/>
      <c r="BF214" s="33"/>
      <c r="BG214" s="39" t="str">
        <f>URL&amp;IF(ISNUMBER(FIND("?",URL)),"&amp;","?"&amp;("adlid="&amp;Unique_ID&amp;"&amp;adplt="&amp;Placement))</f>
        <v>#N/A</v>
      </c>
      <c r="BH214" s="1"/>
      <c r="BI214" s="1"/>
      <c r="BJ214" s="35" t="str">
        <f>LOWER("alp"&amp;"_"&amp;"vw"&amp;"_"&amp;Veiculo&amp;"_"&amp;C210&amp;"_"&amp;Objetivo)</f>
        <v>alp_vw___</v>
      </c>
      <c r="BK214" s="35" t="str">
        <f>LOWER(Buying_Metric&amp;"_"&amp;VLOOKUP(Buying_Type,Buy_type,2,FALSE)&amp;"_"&amp;Device&amp;"_"&amp;Size&amp;"_"&amp;Segmentação&amp;"_"&amp;Segmentação_Anúncio)</f>
        <v>#N/A</v>
      </c>
      <c r="BL214" s="35" t="str">
        <f>LOWER(Campanha_ou_InsertionOrder&amp;"_"&amp;LineItem_ou_Grupodeanúncio&amp;"_"&amp;Linha_criativa_2&amp;"_"&amp;Unique_ID)</f>
        <v>#N/A</v>
      </c>
      <c r="BM214" s="27"/>
      <c r="BN214" s="27"/>
    </row>
    <row r="215">
      <c r="A215" s="1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8" t="str">
        <f>LOWER(Campanha_ou_InsertionOrder&amp;"_"&amp;LineItem_ou_Grupodeanúncio&amp;"_"&amp;Linha_Criativa&amp;"_"&amp;Unique_ID)</f>
        <v>#N/A</v>
      </c>
      <c r="AN215" s="28" t="str">
        <f>LOWER(Campanha_ou_InsertionOrder&amp;"_"&amp;LineItem_ou_Grupodeanúncio&amp;"_"&amp;Linha_Criativa&amp;"_"&amp;Unique_ID)</f>
        <v>#N/A</v>
      </c>
      <c r="AO215" s="28" t="str">
        <f>LOWER("VW"&amp;"_"&amp;Model_Variant&amp;"_"&amp;Size&amp;"_"&amp;Linha_Criativa&amp;"_"&amp;IF(Servido_Por="portal",Veiculo,"adserver"))</f>
        <v>vw____adserver</v>
      </c>
      <c r="AP2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5" s="22" t="str">
        <f t="shared" si="1"/>
        <v/>
      </c>
      <c r="AS215" s="22" t="str">
        <f t="shared" si="2"/>
        <v/>
      </c>
      <c r="AT215" s="22" t="str">
        <f t="shared" si="3"/>
        <v>BR_IMC_DSY_LANCH_ND_NC_2020Q3AUG_NVS_Nivus-Launch-Consideracao</v>
      </c>
      <c r="AU215" s="22" t="str">
        <f t="shared" si="4"/>
        <v>#N/A</v>
      </c>
      <c r="AV215" s="22" t="s">
        <v>106</v>
      </c>
      <c r="AW2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5" s="22" t="str">
        <f t="shared" si="5"/>
        <v>BR_IMC_DSY_LANCH_ND_NC_2020Q3AUG_NVS_Nivus-Launch-Consideracao</v>
      </c>
      <c r="AY215" s="28" t="str">
        <f t="shared" si="6"/>
        <v>#N/A</v>
      </c>
      <c r="AZ215" s="22" t="s">
        <v>107</v>
      </c>
      <c r="BA215" s="22" t="s">
        <v>108</v>
      </c>
      <c r="BB215" s="31" t="s">
        <v>109</v>
      </c>
      <c r="BC215" s="31" t="s">
        <v>109</v>
      </c>
      <c r="BD215" s="32" t="str">
        <f t="shared" si="8"/>
        <v>nvl-nvs-imc-dsy-0820-10209</v>
      </c>
      <c r="BE215" s="33"/>
      <c r="BF215" s="33"/>
      <c r="BG215" s="39" t="str">
        <f>URL&amp;IF(ISNUMBER(FIND("?",URL)),"&amp;","?"&amp;("adlid="&amp;Unique_ID&amp;"&amp;adplt="&amp;Placement))</f>
        <v>#N/A</v>
      </c>
      <c r="BH215" s="1"/>
      <c r="BI215" s="1"/>
      <c r="BJ215" s="35" t="str">
        <f>LOWER("alp"&amp;"_"&amp;"vw"&amp;"_"&amp;Veiculo&amp;"_"&amp;C211&amp;"_"&amp;Objetivo)</f>
        <v>alp_vw___</v>
      </c>
      <c r="BK215" s="35" t="str">
        <f>LOWER(Buying_Metric&amp;"_"&amp;VLOOKUP(Buying_Type,Buy_type,2,FALSE)&amp;"_"&amp;Device&amp;"_"&amp;Size&amp;"_"&amp;Segmentação&amp;"_"&amp;Segmentação_Anúncio)</f>
        <v>#N/A</v>
      </c>
      <c r="BL215" s="35" t="str">
        <f>LOWER(Campanha_ou_InsertionOrder&amp;"_"&amp;LineItem_ou_Grupodeanúncio&amp;"_"&amp;Linha_criativa_2&amp;"_"&amp;Unique_ID)</f>
        <v>#N/A</v>
      </c>
      <c r="BM215" s="27"/>
      <c r="BN215" s="27"/>
    </row>
    <row r="216">
      <c r="A216" s="1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tr">
        <f>LOWER(Campanha_ou_InsertionOrder&amp;"_"&amp;LineItem_ou_Grupodeanúncio&amp;"_"&amp;Linha_Criativa&amp;"_"&amp;Unique_ID)</f>
        <v>#N/A</v>
      </c>
      <c r="AN216" s="28" t="str">
        <f>LOWER(Campanha_ou_InsertionOrder&amp;"_"&amp;LineItem_ou_Grupodeanúncio&amp;"_"&amp;Linha_Criativa&amp;"_"&amp;Unique_ID)</f>
        <v>#N/A</v>
      </c>
      <c r="AO216" s="28" t="str">
        <f>LOWER("VW"&amp;"_"&amp;Model_Variant&amp;"_"&amp;Size&amp;"_"&amp;Linha_Criativa&amp;"_"&amp;IF(Servido_Por="portal",Veiculo,"adserver"))</f>
        <v>vw____adserver</v>
      </c>
      <c r="AP2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6" s="22" t="str">
        <f t="shared" si="1"/>
        <v/>
      </c>
      <c r="AS216" s="22" t="str">
        <f t="shared" si="2"/>
        <v/>
      </c>
      <c r="AT216" s="22" t="str">
        <f t="shared" si="3"/>
        <v>BR_IMC_DSY_LANCH_ND_NC_2020Q3AUG_NVS_Nivus-Launch-Consideracao</v>
      </c>
      <c r="AU216" s="22" t="str">
        <f t="shared" si="4"/>
        <v>#N/A</v>
      </c>
      <c r="AV216" s="22" t="s">
        <v>106</v>
      </c>
      <c r="AW2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6" s="22" t="str">
        <f t="shared" si="5"/>
        <v>BR_IMC_DSY_LANCH_ND_NC_2020Q3AUG_NVS_Nivus-Launch-Consideracao</v>
      </c>
      <c r="AY216" s="28" t="str">
        <f t="shared" si="6"/>
        <v>#N/A</v>
      </c>
      <c r="AZ216" s="22" t="s">
        <v>107</v>
      </c>
      <c r="BA216" s="22" t="s">
        <v>108</v>
      </c>
      <c r="BB216" s="31" t="s">
        <v>109</v>
      </c>
      <c r="BC216" s="31" t="s">
        <v>109</v>
      </c>
      <c r="BD216" s="32" t="str">
        <f t="shared" si="8"/>
        <v>nvl-nvs-imc-dsy-0820-10210</v>
      </c>
      <c r="BE216" s="33"/>
      <c r="BF216" s="33"/>
      <c r="BG216" s="39" t="str">
        <f>URL&amp;IF(ISNUMBER(FIND("?",URL)),"&amp;","?"&amp;("adlid="&amp;Unique_ID&amp;"&amp;adplt="&amp;Placement))</f>
        <v>#N/A</v>
      </c>
      <c r="BH216" s="1"/>
      <c r="BI216" s="1"/>
      <c r="BJ216" s="35" t="str">
        <f>LOWER("alp"&amp;"_"&amp;"vw"&amp;"_"&amp;Veiculo&amp;"_"&amp;C212&amp;"_"&amp;Objetivo)</f>
        <v>alp_vw___</v>
      </c>
      <c r="BK216" s="35" t="str">
        <f>LOWER(Buying_Metric&amp;"_"&amp;VLOOKUP(Buying_Type,Buy_type,2,FALSE)&amp;"_"&amp;Device&amp;"_"&amp;Size&amp;"_"&amp;Segmentação&amp;"_"&amp;Segmentação_Anúncio)</f>
        <v>#N/A</v>
      </c>
      <c r="BL216" s="35" t="str">
        <f>LOWER(Campanha_ou_InsertionOrder&amp;"_"&amp;LineItem_ou_Grupodeanúncio&amp;"_"&amp;Linha_criativa_2&amp;"_"&amp;Unique_ID)</f>
        <v>#N/A</v>
      </c>
      <c r="BM216" s="27"/>
      <c r="BN216" s="27"/>
    </row>
    <row r="217">
      <c r="A217" s="1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8" t="str">
        <f>LOWER(Campanha_ou_InsertionOrder&amp;"_"&amp;LineItem_ou_Grupodeanúncio&amp;"_"&amp;Linha_Criativa&amp;"_"&amp;Unique_ID)</f>
        <v>#N/A</v>
      </c>
      <c r="AN217" s="28" t="str">
        <f>LOWER(Campanha_ou_InsertionOrder&amp;"_"&amp;LineItem_ou_Grupodeanúncio&amp;"_"&amp;Linha_Criativa&amp;"_"&amp;Unique_ID)</f>
        <v>#N/A</v>
      </c>
      <c r="AO217" s="28" t="str">
        <f>LOWER("VW"&amp;"_"&amp;Model_Variant&amp;"_"&amp;Size&amp;"_"&amp;Linha_Criativa&amp;"_"&amp;IF(Servido_Por="portal",Veiculo,"adserver"))</f>
        <v>vw____adserver</v>
      </c>
      <c r="AP2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7" s="22" t="str">
        <f t="shared" si="1"/>
        <v/>
      </c>
      <c r="AS217" s="22" t="str">
        <f t="shared" si="2"/>
        <v/>
      </c>
      <c r="AT217" s="22" t="str">
        <f t="shared" si="3"/>
        <v>BR_IMC_DSY_LANCH_ND_NC_2020Q3AUG_NVS_Nivus-Launch-Consideracao</v>
      </c>
      <c r="AU217" s="22" t="str">
        <f t="shared" si="4"/>
        <v>#N/A</v>
      </c>
      <c r="AV217" s="22" t="s">
        <v>106</v>
      </c>
      <c r="AW2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7" s="22" t="str">
        <f t="shared" si="5"/>
        <v>BR_IMC_DSY_LANCH_ND_NC_2020Q3AUG_NVS_Nivus-Launch-Consideracao</v>
      </c>
      <c r="AY217" s="28" t="str">
        <f t="shared" si="6"/>
        <v>#N/A</v>
      </c>
      <c r="AZ217" s="22" t="s">
        <v>107</v>
      </c>
      <c r="BA217" s="22" t="s">
        <v>108</v>
      </c>
      <c r="BB217" s="31" t="s">
        <v>109</v>
      </c>
      <c r="BC217" s="31" t="s">
        <v>109</v>
      </c>
      <c r="BD217" s="32" t="str">
        <f t="shared" si="8"/>
        <v>nvl-nvs-imc-dsy-0820-10211</v>
      </c>
      <c r="BE217" s="33"/>
      <c r="BF217" s="33"/>
      <c r="BG217" s="39" t="str">
        <f>URL&amp;IF(ISNUMBER(FIND("?",URL)),"&amp;","?"&amp;("adlid="&amp;Unique_ID&amp;"&amp;adplt="&amp;Placement))</f>
        <v>#N/A</v>
      </c>
      <c r="BH217" s="1"/>
      <c r="BI217" s="1"/>
      <c r="BJ217" s="35" t="str">
        <f>LOWER("alp"&amp;"_"&amp;"vw"&amp;"_"&amp;Veiculo&amp;"_"&amp;C213&amp;"_"&amp;Objetivo)</f>
        <v>alp_vw___</v>
      </c>
      <c r="BK217" s="35" t="str">
        <f>LOWER(Buying_Metric&amp;"_"&amp;VLOOKUP(Buying_Type,Buy_type,2,FALSE)&amp;"_"&amp;Device&amp;"_"&amp;Size&amp;"_"&amp;Segmentação&amp;"_"&amp;Segmentação_Anúncio)</f>
        <v>#N/A</v>
      </c>
      <c r="BL217" s="35" t="str">
        <f>LOWER(Campanha_ou_InsertionOrder&amp;"_"&amp;LineItem_ou_Grupodeanúncio&amp;"_"&amp;Linha_criativa_2&amp;"_"&amp;Unique_ID)</f>
        <v>#N/A</v>
      </c>
      <c r="BM217" s="27"/>
      <c r="BN217" s="27"/>
    </row>
    <row r="218">
      <c r="A218" s="1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8" t="str">
        <f>LOWER(Campanha_ou_InsertionOrder&amp;"_"&amp;LineItem_ou_Grupodeanúncio&amp;"_"&amp;Linha_Criativa&amp;"_"&amp;Unique_ID)</f>
        <v>#N/A</v>
      </c>
      <c r="AN218" s="28" t="str">
        <f>LOWER(Campanha_ou_InsertionOrder&amp;"_"&amp;LineItem_ou_Grupodeanúncio&amp;"_"&amp;Linha_Criativa&amp;"_"&amp;Unique_ID)</f>
        <v>#N/A</v>
      </c>
      <c r="AO218" s="28" t="str">
        <f>LOWER("VW"&amp;"_"&amp;Model_Variant&amp;"_"&amp;Size&amp;"_"&amp;Linha_Criativa&amp;"_"&amp;IF(Servido_Por="portal",Veiculo,"adserver"))</f>
        <v>vw____adserver</v>
      </c>
      <c r="AP2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8" s="22" t="str">
        <f t="shared" si="1"/>
        <v/>
      </c>
      <c r="AS218" s="22" t="str">
        <f t="shared" si="2"/>
        <v/>
      </c>
      <c r="AT218" s="22" t="str">
        <f t="shared" si="3"/>
        <v>BR_IMC_DSY_LANCH_ND_NC_2020Q3AUG_NVS_Nivus-Launch-Consideracao</v>
      </c>
      <c r="AU218" s="22" t="str">
        <f t="shared" si="4"/>
        <v>#N/A</v>
      </c>
      <c r="AV218" s="22" t="s">
        <v>106</v>
      </c>
      <c r="AW2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8" s="22" t="str">
        <f t="shared" si="5"/>
        <v>BR_IMC_DSY_LANCH_ND_NC_2020Q3AUG_NVS_Nivus-Launch-Consideracao</v>
      </c>
      <c r="AY218" s="28" t="str">
        <f t="shared" si="6"/>
        <v>#N/A</v>
      </c>
      <c r="AZ218" s="22" t="s">
        <v>107</v>
      </c>
      <c r="BA218" s="22" t="s">
        <v>108</v>
      </c>
      <c r="BB218" s="31" t="s">
        <v>109</v>
      </c>
      <c r="BC218" s="31" t="s">
        <v>109</v>
      </c>
      <c r="BD218" s="32" t="str">
        <f t="shared" si="8"/>
        <v>nvl-nvs-imc-dsy-0820-10212</v>
      </c>
      <c r="BE218" s="33"/>
      <c r="BF218" s="33"/>
      <c r="BG218" s="39" t="str">
        <f>URL&amp;IF(ISNUMBER(FIND("?",URL)),"&amp;","?"&amp;("adlid="&amp;Unique_ID&amp;"&amp;adplt="&amp;Placement))</f>
        <v>#N/A</v>
      </c>
      <c r="BH218" s="1"/>
      <c r="BI218" s="1"/>
      <c r="BJ218" s="35" t="str">
        <f>LOWER("alp"&amp;"_"&amp;"vw"&amp;"_"&amp;Veiculo&amp;"_"&amp;C214&amp;"_"&amp;Objetivo)</f>
        <v>alp_vw___</v>
      </c>
      <c r="BK218" s="35" t="str">
        <f>LOWER(Buying_Metric&amp;"_"&amp;VLOOKUP(Buying_Type,Buy_type,2,FALSE)&amp;"_"&amp;Device&amp;"_"&amp;Size&amp;"_"&amp;Segmentação&amp;"_"&amp;Segmentação_Anúncio)</f>
        <v>#N/A</v>
      </c>
      <c r="BL218" s="35" t="str">
        <f>LOWER(Campanha_ou_InsertionOrder&amp;"_"&amp;LineItem_ou_Grupodeanúncio&amp;"_"&amp;Linha_criativa_2&amp;"_"&amp;Unique_ID)</f>
        <v>#N/A</v>
      </c>
      <c r="BM218" s="27"/>
      <c r="BN218" s="27"/>
    </row>
    <row r="219">
      <c r="A219" s="1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8" t="str">
        <f>LOWER(Campanha_ou_InsertionOrder&amp;"_"&amp;LineItem_ou_Grupodeanúncio&amp;"_"&amp;Linha_Criativa&amp;"_"&amp;Unique_ID)</f>
        <v>#N/A</v>
      </c>
      <c r="AN219" s="28" t="str">
        <f>LOWER(Campanha_ou_InsertionOrder&amp;"_"&amp;LineItem_ou_Grupodeanúncio&amp;"_"&amp;Linha_Criativa&amp;"_"&amp;Unique_ID)</f>
        <v>#N/A</v>
      </c>
      <c r="AO219" s="28" t="str">
        <f>LOWER("VW"&amp;"_"&amp;Model_Variant&amp;"_"&amp;Size&amp;"_"&amp;Linha_Criativa&amp;"_"&amp;IF(Servido_Por="portal",Veiculo,"adserver"))</f>
        <v>vw____adserver</v>
      </c>
      <c r="AP2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19" s="22" t="str">
        <f t="shared" si="1"/>
        <v/>
      </c>
      <c r="AS219" s="22" t="str">
        <f t="shared" si="2"/>
        <v/>
      </c>
      <c r="AT219" s="22" t="str">
        <f t="shared" si="3"/>
        <v>BR_IMC_DSY_LANCH_ND_NC_2020Q3AUG_NVS_Nivus-Launch-Consideracao</v>
      </c>
      <c r="AU219" s="22" t="str">
        <f t="shared" si="4"/>
        <v>#N/A</v>
      </c>
      <c r="AV219" s="22" t="s">
        <v>106</v>
      </c>
      <c r="AW2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19" s="22" t="str">
        <f t="shared" si="5"/>
        <v>BR_IMC_DSY_LANCH_ND_NC_2020Q3AUG_NVS_Nivus-Launch-Consideracao</v>
      </c>
      <c r="AY219" s="28" t="str">
        <f t="shared" si="6"/>
        <v>#N/A</v>
      </c>
      <c r="AZ219" s="22" t="s">
        <v>107</v>
      </c>
      <c r="BA219" s="22" t="s">
        <v>108</v>
      </c>
      <c r="BB219" s="31" t="s">
        <v>109</v>
      </c>
      <c r="BC219" s="31" t="s">
        <v>109</v>
      </c>
      <c r="BD219" s="32" t="str">
        <f t="shared" si="8"/>
        <v>nvl-nvs-imc-dsy-0820-10213</v>
      </c>
      <c r="BE219" s="33"/>
      <c r="BF219" s="33"/>
      <c r="BG219" s="39" t="str">
        <f>URL&amp;IF(ISNUMBER(FIND("?",URL)),"&amp;","?"&amp;("adlid="&amp;Unique_ID&amp;"&amp;adplt="&amp;Placement))</f>
        <v>#N/A</v>
      </c>
      <c r="BH219" s="1"/>
      <c r="BI219" s="1"/>
      <c r="BJ219" s="35" t="str">
        <f>LOWER("alp"&amp;"_"&amp;"vw"&amp;"_"&amp;Veiculo&amp;"_"&amp;C215&amp;"_"&amp;Objetivo)</f>
        <v>alp_vw___</v>
      </c>
      <c r="BK219" s="35" t="str">
        <f>LOWER(Buying_Metric&amp;"_"&amp;VLOOKUP(Buying_Type,Buy_type,2,FALSE)&amp;"_"&amp;Device&amp;"_"&amp;Size&amp;"_"&amp;Segmentação&amp;"_"&amp;Segmentação_Anúncio)</f>
        <v>#N/A</v>
      </c>
      <c r="BL219" s="35" t="str">
        <f>LOWER(Campanha_ou_InsertionOrder&amp;"_"&amp;LineItem_ou_Grupodeanúncio&amp;"_"&amp;Linha_criativa_2&amp;"_"&amp;Unique_ID)</f>
        <v>#N/A</v>
      </c>
      <c r="BM219" s="27"/>
      <c r="BN219" s="27"/>
    </row>
    <row r="220">
      <c r="A220" s="1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8" t="str">
        <f>LOWER(Campanha_ou_InsertionOrder&amp;"_"&amp;LineItem_ou_Grupodeanúncio&amp;"_"&amp;Linha_Criativa&amp;"_"&amp;Unique_ID)</f>
        <v>#N/A</v>
      </c>
      <c r="AN220" s="28" t="str">
        <f>LOWER(Campanha_ou_InsertionOrder&amp;"_"&amp;LineItem_ou_Grupodeanúncio&amp;"_"&amp;Linha_Criativa&amp;"_"&amp;Unique_ID)</f>
        <v>#N/A</v>
      </c>
      <c r="AO220" s="28" t="str">
        <f>LOWER("VW"&amp;"_"&amp;Model_Variant&amp;"_"&amp;Size&amp;"_"&amp;Linha_Criativa&amp;"_"&amp;IF(Servido_Por="portal",Veiculo,"adserver"))</f>
        <v>vw____adserver</v>
      </c>
      <c r="AP2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0" s="22" t="str">
        <f t="shared" si="1"/>
        <v/>
      </c>
      <c r="AS220" s="22" t="str">
        <f t="shared" si="2"/>
        <v/>
      </c>
      <c r="AT220" s="22" t="str">
        <f t="shared" si="3"/>
        <v>BR_IMC_DSY_LANCH_ND_NC_2020Q3AUG_NVS_Nivus-Launch-Consideracao</v>
      </c>
      <c r="AU220" s="22" t="str">
        <f t="shared" si="4"/>
        <v>#N/A</v>
      </c>
      <c r="AV220" s="22" t="s">
        <v>106</v>
      </c>
      <c r="AW2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0" s="22" t="str">
        <f t="shared" si="5"/>
        <v>BR_IMC_DSY_LANCH_ND_NC_2020Q3AUG_NVS_Nivus-Launch-Consideracao</v>
      </c>
      <c r="AY220" s="28" t="str">
        <f t="shared" si="6"/>
        <v>#N/A</v>
      </c>
      <c r="AZ220" s="22" t="s">
        <v>107</v>
      </c>
      <c r="BA220" s="22" t="s">
        <v>108</v>
      </c>
      <c r="BB220" s="31" t="s">
        <v>109</v>
      </c>
      <c r="BC220" s="31" t="s">
        <v>109</v>
      </c>
      <c r="BD220" s="32" t="str">
        <f t="shared" si="8"/>
        <v>nvl-nvs-imc-dsy-0820-10214</v>
      </c>
      <c r="BE220" s="33"/>
      <c r="BF220" s="33"/>
      <c r="BG220" s="39" t="str">
        <f>URL&amp;IF(ISNUMBER(FIND("?",URL)),"&amp;","?"&amp;("adlid="&amp;Unique_ID&amp;"&amp;adplt="&amp;Placement))</f>
        <v>#N/A</v>
      </c>
      <c r="BH220" s="1"/>
      <c r="BI220" s="1"/>
      <c r="BJ220" s="35" t="str">
        <f>LOWER("alp"&amp;"_"&amp;"vw"&amp;"_"&amp;Veiculo&amp;"_"&amp;C216&amp;"_"&amp;Objetivo)</f>
        <v>alp_vw___</v>
      </c>
      <c r="BK220" s="35" t="str">
        <f>LOWER(Buying_Metric&amp;"_"&amp;VLOOKUP(Buying_Type,Buy_type,2,FALSE)&amp;"_"&amp;Device&amp;"_"&amp;Size&amp;"_"&amp;Segmentação&amp;"_"&amp;Segmentação_Anúncio)</f>
        <v>#N/A</v>
      </c>
      <c r="BL220" s="35" t="str">
        <f>LOWER(Campanha_ou_InsertionOrder&amp;"_"&amp;LineItem_ou_Grupodeanúncio&amp;"_"&amp;Linha_criativa_2&amp;"_"&amp;Unique_ID)</f>
        <v>#N/A</v>
      </c>
      <c r="BM220" s="27"/>
      <c r="BN220" s="27"/>
    </row>
    <row r="221">
      <c r="A221" s="1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8" t="str">
        <f>LOWER(Campanha_ou_InsertionOrder&amp;"_"&amp;LineItem_ou_Grupodeanúncio&amp;"_"&amp;Linha_Criativa&amp;"_"&amp;Unique_ID)</f>
        <v>#N/A</v>
      </c>
      <c r="AN221" s="28" t="str">
        <f>LOWER(Campanha_ou_InsertionOrder&amp;"_"&amp;LineItem_ou_Grupodeanúncio&amp;"_"&amp;Linha_Criativa&amp;"_"&amp;Unique_ID)</f>
        <v>#N/A</v>
      </c>
      <c r="AO221" s="28" t="str">
        <f>LOWER("VW"&amp;"_"&amp;Model_Variant&amp;"_"&amp;Size&amp;"_"&amp;Linha_Criativa&amp;"_"&amp;IF(Servido_Por="portal",Veiculo,"adserver"))</f>
        <v>vw____adserver</v>
      </c>
      <c r="AP2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1" s="22" t="str">
        <f t="shared" si="1"/>
        <v/>
      </c>
      <c r="AS221" s="22" t="str">
        <f t="shared" si="2"/>
        <v/>
      </c>
      <c r="AT221" s="22" t="str">
        <f t="shared" si="3"/>
        <v>BR_IMC_DSY_LANCH_ND_NC_2020Q3AUG_NVS_Nivus-Launch-Consideracao</v>
      </c>
      <c r="AU221" s="22" t="str">
        <f t="shared" si="4"/>
        <v>#N/A</v>
      </c>
      <c r="AV221" s="22" t="s">
        <v>106</v>
      </c>
      <c r="AW2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1" s="22" t="str">
        <f t="shared" si="5"/>
        <v>BR_IMC_DSY_LANCH_ND_NC_2020Q3AUG_NVS_Nivus-Launch-Consideracao</v>
      </c>
      <c r="AY221" s="28" t="str">
        <f t="shared" si="6"/>
        <v>#N/A</v>
      </c>
      <c r="AZ221" s="22" t="s">
        <v>107</v>
      </c>
      <c r="BA221" s="22" t="s">
        <v>108</v>
      </c>
      <c r="BB221" s="31" t="s">
        <v>109</v>
      </c>
      <c r="BC221" s="31" t="s">
        <v>109</v>
      </c>
      <c r="BD221" s="32" t="str">
        <f t="shared" si="8"/>
        <v>nvl-nvs-imc-dsy-0820-10215</v>
      </c>
      <c r="BE221" s="33"/>
      <c r="BF221" s="33"/>
      <c r="BG221" s="39" t="str">
        <f>URL&amp;IF(ISNUMBER(FIND("?",URL)),"&amp;","?"&amp;("adlid="&amp;Unique_ID&amp;"&amp;adplt="&amp;Placement))</f>
        <v>#N/A</v>
      </c>
      <c r="BH221" s="1"/>
      <c r="BI221" s="1"/>
      <c r="BJ221" s="35" t="str">
        <f>LOWER("alp"&amp;"_"&amp;"vw"&amp;"_"&amp;Veiculo&amp;"_"&amp;C217&amp;"_"&amp;Objetivo)</f>
        <v>alp_vw___</v>
      </c>
      <c r="BK221" s="35" t="str">
        <f>LOWER(Buying_Metric&amp;"_"&amp;VLOOKUP(Buying_Type,Buy_type,2,FALSE)&amp;"_"&amp;Device&amp;"_"&amp;Size&amp;"_"&amp;Segmentação&amp;"_"&amp;Segmentação_Anúncio)</f>
        <v>#N/A</v>
      </c>
      <c r="BL221" s="35" t="str">
        <f>LOWER(Campanha_ou_InsertionOrder&amp;"_"&amp;LineItem_ou_Grupodeanúncio&amp;"_"&amp;Linha_criativa_2&amp;"_"&amp;Unique_ID)</f>
        <v>#N/A</v>
      </c>
      <c r="BM221" s="27"/>
      <c r="BN221" s="27"/>
    </row>
    <row r="222">
      <c r="A222" s="1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8" t="str">
        <f>LOWER(Campanha_ou_InsertionOrder&amp;"_"&amp;LineItem_ou_Grupodeanúncio&amp;"_"&amp;Linha_Criativa&amp;"_"&amp;Unique_ID)</f>
        <v>#N/A</v>
      </c>
      <c r="AN222" s="28" t="str">
        <f>LOWER(Campanha_ou_InsertionOrder&amp;"_"&amp;LineItem_ou_Grupodeanúncio&amp;"_"&amp;Linha_Criativa&amp;"_"&amp;Unique_ID)</f>
        <v>#N/A</v>
      </c>
      <c r="AO222" s="28" t="str">
        <f>LOWER("VW"&amp;"_"&amp;Model_Variant&amp;"_"&amp;Size&amp;"_"&amp;Linha_Criativa&amp;"_"&amp;IF(Servido_Por="portal",Veiculo,"adserver"))</f>
        <v>vw____adserver</v>
      </c>
      <c r="AP2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2" s="22" t="str">
        <f t="shared" si="1"/>
        <v/>
      </c>
      <c r="AS222" s="22" t="str">
        <f t="shared" si="2"/>
        <v/>
      </c>
      <c r="AT222" s="22" t="str">
        <f t="shared" si="3"/>
        <v>BR_IMC_DSY_LANCH_ND_NC_2020Q3AUG_NVS_Nivus-Launch-Consideracao</v>
      </c>
      <c r="AU222" s="22" t="str">
        <f t="shared" si="4"/>
        <v>#N/A</v>
      </c>
      <c r="AV222" s="22" t="s">
        <v>106</v>
      </c>
      <c r="AW2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2" s="22" t="str">
        <f t="shared" si="5"/>
        <v>BR_IMC_DSY_LANCH_ND_NC_2020Q3AUG_NVS_Nivus-Launch-Consideracao</v>
      </c>
      <c r="AY222" s="28" t="str">
        <f t="shared" si="6"/>
        <v>#N/A</v>
      </c>
      <c r="AZ222" s="22" t="s">
        <v>107</v>
      </c>
      <c r="BA222" s="22" t="s">
        <v>108</v>
      </c>
      <c r="BB222" s="31" t="s">
        <v>109</v>
      </c>
      <c r="BC222" s="31" t="s">
        <v>109</v>
      </c>
      <c r="BD222" s="32" t="str">
        <f t="shared" si="8"/>
        <v>nvl-nvs-imc-dsy-0820-10216</v>
      </c>
      <c r="BE222" s="33"/>
      <c r="BF222" s="33"/>
      <c r="BG222" s="39" t="str">
        <f>URL&amp;IF(ISNUMBER(FIND("?",URL)),"&amp;","?"&amp;("adlid="&amp;Unique_ID&amp;"&amp;adplt="&amp;Placement))</f>
        <v>#N/A</v>
      </c>
      <c r="BH222" s="1"/>
      <c r="BI222" s="1"/>
      <c r="BJ222" s="35" t="str">
        <f>LOWER("alp"&amp;"_"&amp;"vw"&amp;"_"&amp;Veiculo&amp;"_"&amp;C218&amp;"_"&amp;Objetivo)</f>
        <v>alp_vw___</v>
      </c>
      <c r="BK222" s="35" t="str">
        <f>LOWER(Buying_Metric&amp;"_"&amp;VLOOKUP(Buying_Type,Buy_type,2,FALSE)&amp;"_"&amp;Device&amp;"_"&amp;Size&amp;"_"&amp;Segmentação&amp;"_"&amp;Segmentação_Anúncio)</f>
        <v>#N/A</v>
      </c>
      <c r="BL222" s="35" t="str">
        <f>LOWER(Campanha_ou_InsertionOrder&amp;"_"&amp;LineItem_ou_Grupodeanúncio&amp;"_"&amp;Linha_criativa_2&amp;"_"&amp;Unique_ID)</f>
        <v>#N/A</v>
      </c>
      <c r="BM222" s="27"/>
      <c r="BN222" s="27"/>
    </row>
    <row r="223">
      <c r="A223" s="1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8" t="str">
        <f>LOWER(Campanha_ou_InsertionOrder&amp;"_"&amp;LineItem_ou_Grupodeanúncio&amp;"_"&amp;Linha_Criativa&amp;"_"&amp;Unique_ID)</f>
        <v>#N/A</v>
      </c>
      <c r="AN223" s="28" t="str">
        <f>LOWER(Campanha_ou_InsertionOrder&amp;"_"&amp;LineItem_ou_Grupodeanúncio&amp;"_"&amp;Linha_Criativa&amp;"_"&amp;Unique_ID)</f>
        <v>#N/A</v>
      </c>
      <c r="AO223" s="28" t="str">
        <f>LOWER("VW"&amp;"_"&amp;Model_Variant&amp;"_"&amp;Size&amp;"_"&amp;Linha_Criativa&amp;"_"&amp;IF(Servido_Por="portal",Veiculo,"adserver"))</f>
        <v>vw____adserver</v>
      </c>
      <c r="AP2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3" s="22" t="str">
        <f t="shared" si="1"/>
        <v/>
      </c>
      <c r="AS223" s="22" t="str">
        <f t="shared" si="2"/>
        <v/>
      </c>
      <c r="AT223" s="22" t="str">
        <f t="shared" si="3"/>
        <v>BR_IMC_DSY_LANCH_ND_NC_2020Q3AUG_NVS_Nivus-Launch-Consideracao</v>
      </c>
      <c r="AU223" s="22" t="str">
        <f t="shared" si="4"/>
        <v>#N/A</v>
      </c>
      <c r="AV223" s="22" t="s">
        <v>106</v>
      </c>
      <c r="AW2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3" s="22" t="str">
        <f t="shared" si="5"/>
        <v>BR_IMC_DSY_LANCH_ND_NC_2020Q3AUG_NVS_Nivus-Launch-Consideracao</v>
      </c>
      <c r="AY223" s="28" t="str">
        <f t="shared" si="6"/>
        <v>#N/A</v>
      </c>
      <c r="AZ223" s="22" t="s">
        <v>107</v>
      </c>
      <c r="BA223" s="22" t="s">
        <v>108</v>
      </c>
      <c r="BB223" s="31" t="s">
        <v>109</v>
      </c>
      <c r="BC223" s="31" t="s">
        <v>109</v>
      </c>
      <c r="BD223" s="32" t="str">
        <f t="shared" si="8"/>
        <v>nvl-nvs-imc-dsy-0820-10217</v>
      </c>
      <c r="BE223" s="33"/>
      <c r="BF223" s="33"/>
      <c r="BG223" s="39" t="str">
        <f>URL&amp;IF(ISNUMBER(FIND("?",URL)),"&amp;","?"&amp;("adlid="&amp;Unique_ID&amp;"&amp;adplt="&amp;Placement))</f>
        <v>#N/A</v>
      </c>
      <c r="BH223" s="1"/>
      <c r="BI223" s="1"/>
      <c r="BJ223" s="35" t="str">
        <f>LOWER("alp"&amp;"_"&amp;"vw"&amp;"_"&amp;Veiculo&amp;"_"&amp;C219&amp;"_"&amp;Objetivo)</f>
        <v>alp_vw___</v>
      </c>
      <c r="BK223" s="35" t="str">
        <f>LOWER(Buying_Metric&amp;"_"&amp;VLOOKUP(Buying_Type,Buy_type,2,FALSE)&amp;"_"&amp;Device&amp;"_"&amp;Size&amp;"_"&amp;Segmentação&amp;"_"&amp;Segmentação_Anúncio)</f>
        <v>#N/A</v>
      </c>
      <c r="BL223" s="35" t="str">
        <f>LOWER(Campanha_ou_InsertionOrder&amp;"_"&amp;LineItem_ou_Grupodeanúncio&amp;"_"&amp;Linha_criativa_2&amp;"_"&amp;Unique_ID)</f>
        <v>#N/A</v>
      </c>
      <c r="BM223" s="27"/>
      <c r="BN223" s="27"/>
    </row>
    <row r="224">
      <c r="A224" s="1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8" t="str">
        <f>LOWER(Campanha_ou_InsertionOrder&amp;"_"&amp;LineItem_ou_Grupodeanúncio&amp;"_"&amp;Linha_Criativa&amp;"_"&amp;Unique_ID)</f>
        <v>#N/A</v>
      </c>
      <c r="AN224" s="28" t="str">
        <f>LOWER(Campanha_ou_InsertionOrder&amp;"_"&amp;LineItem_ou_Grupodeanúncio&amp;"_"&amp;Linha_Criativa&amp;"_"&amp;Unique_ID)</f>
        <v>#N/A</v>
      </c>
      <c r="AO224" s="28" t="str">
        <f>LOWER("VW"&amp;"_"&amp;Model_Variant&amp;"_"&amp;Size&amp;"_"&amp;Linha_Criativa&amp;"_"&amp;IF(Servido_Por="portal",Veiculo,"adserver"))</f>
        <v>vw____adserver</v>
      </c>
      <c r="AP2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4" s="22" t="str">
        <f t="shared" si="1"/>
        <v/>
      </c>
      <c r="AS224" s="22" t="str">
        <f t="shared" si="2"/>
        <v/>
      </c>
      <c r="AT224" s="22" t="str">
        <f t="shared" si="3"/>
        <v>BR_IMC_DSY_LANCH_ND_NC_2020Q3AUG_NVS_Nivus-Launch-Consideracao</v>
      </c>
      <c r="AU224" s="22" t="str">
        <f t="shared" si="4"/>
        <v>#N/A</v>
      </c>
      <c r="AV224" s="22" t="s">
        <v>106</v>
      </c>
      <c r="AW2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4" s="22" t="str">
        <f t="shared" si="5"/>
        <v>BR_IMC_DSY_LANCH_ND_NC_2020Q3AUG_NVS_Nivus-Launch-Consideracao</v>
      </c>
      <c r="AY224" s="28" t="str">
        <f t="shared" si="6"/>
        <v>#N/A</v>
      </c>
      <c r="AZ224" s="22" t="s">
        <v>107</v>
      </c>
      <c r="BA224" s="22" t="s">
        <v>108</v>
      </c>
      <c r="BB224" s="31" t="s">
        <v>109</v>
      </c>
      <c r="BC224" s="31" t="s">
        <v>109</v>
      </c>
      <c r="BD224" s="32" t="str">
        <f t="shared" si="8"/>
        <v>nvl-nvs-imc-dsy-0820-10218</v>
      </c>
      <c r="BE224" s="33"/>
      <c r="BF224" s="33"/>
      <c r="BG224" s="39" t="str">
        <f>URL&amp;IF(ISNUMBER(FIND("?",URL)),"&amp;","?"&amp;("adlid="&amp;Unique_ID&amp;"&amp;adplt="&amp;Placement))</f>
        <v>#N/A</v>
      </c>
      <c r="BH224" s="1"/>
      <c r="BI224" s="1"/>
      <c r="BJ224" s="35" t="str">
        <f>LOWER("alp"&amp;"_"&amp;"vw"&amp;"_"&amp;Veiculo&amp;"_"&amp;C220&amp;"_"&amp;Objetivo)</f>
        <v>alp_vw___</v>
      </c>
      <c r="BK224" s="35" t="str">
        <f>LOWER(Buying_Metric&amp;"_"&amp;VLOOKUP(Buying_Type,Buy_type,2,FALSE)&amp;"_"&amp;Device&amp;"_"&amp;Size&amp;"_"&amp;Segmentação&amp;"_"&amp;Segmentação_Anúncio)</f>
        <v>#N/A</v>
      </c>
      <c r="BL224" s="35" t="str">
        <f>LOWER(Campanha_ou_InsertionOrder&amp;"_"&amp;LineItem_ou_Grupodeanúncio&amp;"_"&amp;Linha_criativa_2&amp;"_"&amp;Unique_ID)</f>
        <v>#N/A</v>
      </c>
      <c r="BM224" s="27"/>
      <c r="BN224" s="27"/>
    </row>
    <row r="225">
      <c r="A225" s="1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8" t="str">
        <f>LOWER(Campanha_ou_InsertionOrder&amp;"_"&amp;LineItem_ou_Grupodeanúncio&amp;"_"&amp;Linha_Criativa&amp;"_"&amp;Unique_ID)</f>
        <v>#N/A</v>
      </c>
      <c r="AN225" s="28" t="str">
        <f>LOWER(Campanha_ou_InsertionOrder&amp;"_"&amp;LineItem_ou_Grupodeanúncio&amp;"_"&amp;Linha_Criativa&amp;"_"&amp;Unique_ID)</f>
        <v>#N/A</v>
      </c>
      <c r="AO225" s="28" t="str">
        <f>LOWER("VW"&amp;"_"&amp;Model_Variant&amp;"_"&amp;Size&amp;"_"&amp;Linha_Criativa&amp;"_"&amp;IF(Servido_Por="portal",Veiculo,"adserver"))</f>
        <v>vw____adserver</v>
      </c>
      <c r="AP2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5" s="22" t="str">
        <f t="shared" si="1"/>
        <v/>
      </c>
      <c r="AS225" s="22" t="str">
        <f t="shared" si="2"/>
        <v/>
      </c>
      <c r="AT225" s="22" t="str">
        <f t="shared" si="3"/>
        <v>BR_IMC_DSY_LANCH_ND_NC_2020Q3AUG_NVS_Nivus-Launch-Consideracao</v>
      </c>
      <c r="AU225" s="22" t="str">
        <f t="shared" si="4"/>
        <v>#N/A</v>
      </c>
      <c r="AV225" s="22" t="s">
        <v>106</v>
      </c>
      <c r="AW2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5" s="22" t="str">
        <f t="shared" si="5"/>
        <v>BR_IMC_DSY_LANCH_ND_NC_2020Q3AUG_NVS_Nivus-Launch-Consideracao</v>
      </c>
      <c r="AY225" s="28" t="str">
        <f t="shared" si="6"/>
        <v>#N/A</v>
      </c>
      <c r="AZ225" s="22" t="s">
        <v>107</v>
      </c>
      <c r="BA225" s="22" t="s">
        <v>108</v>
      </c>
      <c r="BB225" s="31" t="s">
        <v>109</v>
      </c>
      <c r="BC225" s="31" t="s">
        <v>109</v>
      </c>
      <c r="BD225" s="32" t="str">
        <f t="shared" si="8"/>
        <v>nvl-nvs-imc-dsy-0820-10219</v>
      </c>
      <c r="BE225" s="33"/>
      <c r="BF225" s="33"/>
      <c r="BG225" s="39" t="str">
        <f>URL&amp;IF(ISNUMBER(FIND("?",URL)),"&amp;","?"&amp;("adlid="&amp;Unique_ID&amp;"&amp;adplt="&amp;Placement))</f>
        <v>#N/A</v>
      </c>
      <c r="BH225" s="1"/>
      <c r="BI225" s="1"/>
      <c r="BJ225" s="35" t="str">
        <f>LOWER("alp"&amp;"_"&amp;"vw"&amp;"_"&amp;Veiculo&amp;"_"&amp;C221&amp;"_"&amp;Objetivo)</f>
        <v>alp_vw___</v>
      </c>
      <c r="BK225" s="35" t="str">
        <f>LOWER(Buying_Metric&amp;"_"&amp;VLOOKUP(Buying_Type,Buy_type,2,FALSE)&amp;"_"&amp;Device&amp;"_"&amp;Size&amp;"_"&amp;Segmentação&amp;"_"&amp;Segmentação_Anúncio)</f>
        <v>#N/A</v>
      </c>
      <c r="BL225" s="35" t="str">
        <f>LOWER(Campanha_ou_InsertionOrder&amp;"_"&amp;LineItem_ou_Grupodeanúncio&amp;"_"&amp;Linha_criativa_2&amp;"_"&amp;Unique_ID)</f>
        <v>#N/A</v>
      </c>
      <c r="BM225" s="27"/>
      <c r="BN225" s="27"/>
    </row>
    <row r="226">
      <c r="A226" s="1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8" t="str">
        <f>LOWER(Campanha_ou_InsertionOrder&amp;"_"&amp;LineItem_ou_Grupodeanúncio&amp;"_"&amp;Linha_Criativa&amp;"_"&amp;Unique_ID)</f>
        <v>#N/A</v>
      </c>
      <c r="AN226" s="28" t="str">
        <f>LOWER(Campanha_ou_InsertionOrder&amp;"_"&amp;LineItem_ou_Grupodeanúncio&amp;"_"&amp;Linha_Criativa&amp;"_"&amp;Unique_ID)</f>
        <v>#N/A</v>
      </c>
      <c r="AO226" s="28" t="str">
        <f>LOWER("VW"&amp;"_"&amp;Model_Variant&amp;"_"&amp;Size&amp;"_"&amp;Linha_Criativa&amp;"_"&amp;IF(Servido_Por="portal",Veiculo,"adserver"))</f>
        <v>vw____adserver</v>
      </c>
      <c r="AP2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6" s="22" t="str">
        <f t="shared" si="1"/>
        <v/>
      </c>
      <c r="AS226" s="22" t="str">
        <f t="shared" si="2"/>
        <v/>
      </c>
      <c r="AT226" s="22" t="str">
        <f t="shared" si="3"/>
        <v>BR_IMC_DSY_LANCH_ND_NC_2020Q3AUG_NVS_Nivus-Launch-Consideracao</v>
      </c>
      <c r="AU226" s="22" t="str">
        <f t="shared" si="4"/>
        <v>#N/A</v>
      </c>
      <c r="AV226" s="22" t="s">
        <v>106</v>
      </c>
      <c r="AW2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6" s="22" t="str">
        <f t="shared" si="5"/>
        <v>BR_IMC_DSY_LANCH_ND_NC_2020Q3AUG_NVS_Nivus-Launch-Consideracao</v>
      </c>
      <c r="AY226" s="28" t="str">
        <f t="shared" si="6"/>
        <v>#N/A</v>
      </c>
      <c r="AZ226" s="22" t="s">
        <v>107</v>
      </c>
      <c r="BA226" s="22" t="s">
        <v>108</v>
      </c>
      <c r="BB226" s="31" t="s">
        <v>109</v>
      </c>
      <c r="BC226" s="31" t="s">
        <v>109</v>
      </c>
      <c r="BD226" s="32" t="str">
        <f t="shared" si="8"/>
        <v>nvl-nvs-imc-dsy-0820-10220</v>
      </c>
      <c r="BE226" s="33"/>
      <c r="BF226" s="33"/>
      <c r="BG226" s="39" t="str">
        <f>URL&amp;IF(ISNUMBER(FIND("?",URL)),"&amp;","?"&amp;("adlid="&amp;Unique_ID&amp;"&amp;adplt="&amp;Placement))</f>
        <v>#N/A</v>
      </c>
      <c r="BH226" s="1"/>
      <c r="BI226" s="1"/>
      <c r="BJ226" s="35" t="str">
        <f>LOWER("alp"&amp;"_"&amp;"vw"&amp;"_"&amp;Veiculo&amp;"_"&amp;C222&amp;"_"&amp;Objetivo)</f>
        <v>alp_vw___</v>
      </c>
      <c r="BK226" s="35" t="str">
        <f>LOWER(Buying_Metric&amp;"_"&amp;VLOOKUP(Buying_Type,Buy_type,2,FALSE)&amp;"_"&amp;Device&amp;"_"&amp;Size&amp;"_"&amp;Segmentação&amp;"_"&amp;Segmentação_Anúncio)</f>
        <v>#N/A</v>
      </c>
      <c r="BL226" s="35" t="str">
        <f>LOWER(Campanha_ou_InsertionOrder&amp;"_"&amp;LineItem_ou_Grupodeanúncio&amp;"_"&amp;Linha_criativa_2&amp;"_"&amp;Unique_ID)</f>
        <v>#N/A</v>
      </c>
      <c r="BM226" s="27"/>
      <c r="BN226" s="27"/>
    </row>
    <row r="227">
      <c r="A227" s="1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8" t="str">
        <f>LOWER(Campanha_ou_InsertionOrder&amp;"_"&amp;LineItem_ou_Grupodeanúncio&amp;"_"&amp;Linha_Criativa&amp;"_"&amp;Unique_ID)</f>
        <v>#N/A</v>
      </c>
      <c r="AN227" s="28" t="str">
        <f>LOWER(Campanha_ou_InsertionOrder&amp;"_"&amp;LineItem_ou_Grupodeanúncio&amp;"_"&amp;Linha_Criativa&amp;"_"&amp;Unique_ID)</f>
        <v>#N/A</v>
      </c>
      <c r="AO227" s="28" t="str">
        <f>LOWER("VW"&amp;"_"&amp;Model_Variant&amp;"_"&amp;Size&amp;"_"&amp;Linha_Criativa&amp;"_"&amp;IF(Servido_Por="portal",Veiculo,"adserver"))</f>
        <v>vw____adserver</v>
      </c>
      <c r="AP2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7" s="22" t="str">
        <f t="shared" si="1"/>
        <v/>
      </c>
      <c r="AS227" s="22" t="str">
        <f t="shared" si="2"/>
        <v/>
      </c>
      <c r="AT227" s="22" t="str">
        <f t="shared" si="3"/>
        <v>BR_IMC_DSY_LANCH_ND_NC_2020Q3AUG_NVS_Nivus-Launch-Consideracao</v>
      </c>
      <c r="AU227" s="22" t="str">
        <f t="shared" si="4"/>
        <v>#N/A</v>
      </c>
      <c r="AV227" s="22" t="s">
        <v>106</v>
      </c>
      <c r="AW2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7" s="22" t="str">
        <f t="shared" si="5"/>
        <v>BR_IMC_DSY_LANCH_ND_NC_2020Q3AUG_NVS_Nivus-Launch-Consideracao</v>
      </c>
      <c r="AY227" s="28" t="str">
        <f t="shared" si="6"/>
        <v>#N/A</v>
      </c>
      <c r="AZ227" s="22" t="s">
        <v>107</v>
      </c>
      <c r="BA227" s="22" t="s">
        <v>108</v>
      </c>
      <c r="BB227" s="31" t="s">
        <v>109</v>
      </c>
      <c r="BC227" s="31" t="s">
        <v>109</v>
      </c>
      <c r="BD227" s="32" t="str">
        <f t="shared" si="8"/>
        <v>nvl-nvs-imc-dsy-0820-10221</v>
      </c>
      <c r="BE227" s="33"/>
      <c r="BF227" s="33"/>
      <c r="BG227" s="39" t="str">
        <f>URL&amp;IF(ISNUMBER(FIND("?",URL)),"&amp;","?"&amp;("adlid="&amp;Unique_ID&amp;"&amp;adplt="&amp;Placement))</f>
        <v>#N/A</v>
      </c>
      <c r="BH227" s="1"/>
      <c r="BI227" s="1"/>
      <c r="BJ227" s="35" t="str">
        <f>LOWER("alp"&amp;"_"&amp;"vw"&amp;"_"&amp;Veiculo&amp;"_"&amp;C223&amp;"_"&amp;Objetivo)</f>
        <v>alp_vw___</v>
      </c>
      <c r="BK227" s="35" t="str">
        <f>LOWER(Buying_Metric&amp;"_"&amp;VLOOKUP(Buying_Type,Buy_type,2,FALSE)&amp;"_"&amp;Device&amp;"_"&amp;Size&amp;"_"&amp;Segmentação&amp;"_"&amp;Segmentação_Anúncio)</f>
        <v>#N/A</v>
      </c>
      <c r="BL227" s="35" t="str">
        <f>LOWER(Campanha_ou_InsertionOrder&amp;"_"&amp;LineItem_ou_Grupodeanúncio&amp;"_"&amp;Linha_criativa_2&amp;"_"&amp;Unique_ID)</f>
        <v>#N/A</v>
      </c>
      <c r="BM227" s="27"/>
      <c r="BN227" s="27"/>
    </row>
    <row r="228">
      <c r="A228" s="1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8" t="str">
        <f>LOWER(Campanha_ou_InsertionOrder&amp;"_"&amp;LineItem_ou_Grupodeanúncio&amp;"_"&amp;Linha_Criativa&amp;"_"&amp;Unique_ID)</f>
        <v>#N/A</v>
      </c>
      <c r="AN228" s="28" t="str">
        <f>LOWER(Campanha_ou_InsertionOrder&amp;"_"&amp;LineItem_ou_Grupodeanúncio&amp;"_"&amp;Linha_Criativa&amp;"_"&amp;Unique_ID)</f>
        <v>#N/A</v>
      </c>
      <c r="AO228" s="28" t="str">
        <f>LOWER("VW"&amp;"_"&amp;Model_Variant&amp;"_"&amp;Size&amp;"_"&amp;Linha_Criativa&amp;"_"&amp;IF(Servido_Por="portal",Veiculo,"adserver"))</f>
        <v>vw____adserver</v>
      </c>
      <c r="AP2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8" s="22" t="str">
        <f t="shared" si="1"/>
        <v/>
      </c>
      <c r="AS228" s="22" t="str">
        <f t="shared" si="2"/>
        <v/>
      </c>
      <c r="AT228" s="22" t="str">
        <f t="shared" si="3"/>
        <v>BR_IMC_DSY_LANCH_ND_NC_2020Q3AUG_NVS_Nivus-Launch-Consideracao</v>
      </c>
      <c r="AU228" s="22" t="str">
        <f t="shared" si="4"/>
        <v>#N/A</v>
      </c>
      <c r="AV228" s="22" t="s">
        <v>106</v>
      </c>
      <c r="AW2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8" s="22" t="str">
        <f t="shared" si="5"/>
        <v>BR_IMC_DSY_LANCH_ND_NC_2020Q3AUG_NVS_Nivus-Launch-Consideracao</v>
      </c>
      <c r="AY228" s="28" t="str">
        <f t="shared" si="6"/>
        <v>#N/A</v>
      </c>
      <c r="AZ228" s="22" t="s">
        <v>107</v>
      </c>
      <c r="BA228" s="22" t="s">
        <v>108</v>
      </c>
      <c r="BB228" s="31" t="s">
        <v>109</v>
      </c>
      <c r="BC228" s="31" t="s">
        <v>109</v>
      </c>
      <c r="BD228" s="32" t="str">
        <f t="shared" si="8"/>
        <v>nvl-nvs-imc-dsy-0820-10222</v>
      </c>
      <c r="BE228" s="33"/>
      <c r="BF228" s="33"/>
      <c r="BG228" s="39" t="str">
        <f>URL&amp;IF(ISNUMBER(FIND("?",URL)),"&amp;","?"&amp;("adlid="&amp;Unique_ID&amp;"&amp;adplt="&amp;Placement))</f>
        <v>#N/A</v>
      </c>
      <c r="BH228" s="1"/>
      <c r="BI228" s="1"/>
      <c r="BJ228" s="35" t="str">
        <f>LOWER("alp"&amp;"_"&amp;"vw"&amp;"_"&amp;Veiculo&amp;"_"&amp;C224&amp;"_"&amp;Objetivo)</f>
        <v>alp_vw___</v>
      </c>
      <c r="BK228" s="35" t="str">
        <f>LOWER(Buying_Metric&amp;"_"&amp;VLOOKUP(Buying_Type,Buy_type,2,FALSE)&amp;"_"&amp;Device&amp;"_"&amp;Size&amp;"_"&amp;Segmentação&amp;"_"&amp;Segmentação_Anúncio)</f>
        <v>#N/A</v>
      </c>
      <c r="BL228" s="35" t="str">
        <f>LOWER(Campanha_ou_InsertionOrder&amp;"_"&amp;LineItem_ou_Grupodeanúncio&amp;"_"&amp;Linha_criativa_2&amp;"_"&amp;Unique_ID)</f>
        <v>#N/A</v>
      </c>
      <c r="BM228" s="27"/>
      <c r="BN228" s="27"/>
    </row>
    <row r="229">
      <c r="A229" s="1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8" t="str">
        <f>LOWER(Campanha_ou_InsertionOrder&amp;"_"&amp;LineItem_ou_Grupodeanúncio&amp;"_"&amp;Linha_Criativa&amp;"_"&amp;Unique_ID)</f>
        <v>#N/A</v>
      </c>
      <c r="AN229" s="28" t="str">
        <f>LOWER(Campanha_ou_InsertionOrder&amp;"_"&amp;LineItem_ou_Grupodeanúncio&amp;"_"&amp;Linha_Criativa&amp;"_"&amp;Unique_ID)</f>
        <v>#N/A</v>
      </c>
      <c r="AO229" s="28" t="str">
        <f>LOWER("VW"&amp;"_"&amp;Model_Variant&amp;"_"&amp;Size&amp;"_"&amp;Linha_Criativa&amp;"_"&amp;IF(Servido_Por="portal",Veiculo,"adserver"))</f>
        <v>vw____adserver</v>
      </c>
      <c r="AP2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29" s="22" t="str">
        <f t="shared" si="1"/>
        <v/>
      </c>
      <c r="AS229" s="22" t="str">
        <f t="shared" si="2"/>
        <v/>
      </c>
      <c r="AT229" s="22" t="str">
        <f t="shared" si="3"/>
        <v>BR_IMC_DSY_LANCH_ND_NC_2020Q3AUG_NVS_Nivus-Launch-Consideracao</v>
      </c>
      <c r="AU229" s="22" t="str">
        <f t="shared" si="4"/>
        <v>#N/A</v>
      </c>
      <c r="AV229" s="22" t="s">
        <v>106</v>
      </c>
      <c r="AW2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29" s="22" t="str">
        <f t="shared" si="5"/>
        <v>BR_IMC_DSY_LANCH_ND_NC_2020Q3AUG_NVS_Nivus-Launch-Consideracao</v>
      </c>
      <c r="AY229" s="28" t="str">
        <f t="shared" si="6"/>
        <v>#N/A</v>
      </c>
      <c r="AZ229" s="22" t="s">
        <v>107</v>
      </c>
      <c r="BA229" s="22" t="s">
        <v>108</v>
      </c>
      <c r="BB229" s="31" t="s">
        <v>109</v>
      </c>
      <c r="BC229" s="31" t="s">
        <v>109</v>
      </c>
      <c r="BD229" s="32" t="str">
        <f t="shared" si="8"/>
        <v>nvl-nvs-imc-dsy-0820-10223</v>
      </c>
      <c r="BE229" s="33"/>
      <c r="BF229" s="33"/>
      <c r="BG229" s="39" t="str">
        <f>URL&amp;IF(ISNUMBER(FIND("?",URL)),"&amp;","?"&amp;("adlid="&amp;Unique_ID&amp;"&amp;adplt="&amp;Placement))</f>
        <v>#N/A</v>
      </c>
      <c r="BH229" s="1"/>
      <c r="BI229" s="1"/>
      <c r="BJ229" s="35" t="str">
        <f>LOWER("alp"&amp;"_"&amp;"vw"&amp;"_"&amp;Veiculo&amp;"_"&amp;C225&amp;"_"&amp;Objetivo)</f>
        <v>alp_vw___</v>
      </c>
      <c r="BK229" s="35" t="str">
        <f>LOWER(Buying_Metric&amp;"_"&amp;VLOOKUP(Buying_Type,Buy_type,2,FALSE)&amp;"_"&amp;Device&amp;"_"&amp;Size&amp;"_"&amp;Segmentação&amp;"_"&amp;Segmentação_Anúncio)</f>
        <v>#N/A</v>
      </c>
      <c r="BL229" s="35" t="str">
        <f>LOWER(Campanha_ou_InsertionOrder&amp;"_"&amp;LineItem_ou_Grupodeanúncio&amp;"_"&amp;Linha_criativa_2&amp;"_"&amp;Unique_ID)</f>
        <v>#N/A</v>
      </c>
      <c r="BM229" s="27"/>
      <c r="BN229" s="27"/>
    </row>
    <row r="230">
      <c r="A230" s="1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8" t="str">
        <f>LOWER(Campanha_ou_InsertionOrder&amp;"_"&amp;LineItem_ou_Grupodeanúncio&amp;"_"&amp;Linha_Criativa&amp;"_"&amp;Unique_ID)</f>
        <v>#N/A</v>
      </c>
      <c r="AN230" s="28" t="str">
        <f>LOWER(Campanha_ou_InsertionOrder&amp;"_"&amp;LineItem_ou_Grupodeanúncio&amp;"_"&amp;Linha_Criativa&amp;"_"&amp;Unique_ID)</f>
        <v>#N/A</v>
      </c>
      <c r="AO230" s="28" t="str">
        <f>LOWER("VW"&amp;"_"&amp;Model_Variant&amp;"_"&amp;Size&amp;"_"&amp;Linha_Criativa&amp;"_"&amp;IF(Servido_Por="portal",Veiculo,"adserver"))</f>
        <v>vw____adserver</v>
      </c>
      <c r="AP2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0" s="22" t="str">
        <f t="shared" si="1"/>
        <v/>
      </c>
      <c r="AS230" s="22" t="str">
        <f t="shared" si="2"/>
        <v/>
      </c>
      <c r="AT230" s="22" t="str">
        <f t="shared" si="3"/>
        <v>BR_IMC_DSY_LANCH_ND_NC_2020Q3AUG_NVS_Nivus-Launch-Consideracao</v>
      </c>
      <c r="AU230" s="22" t="str">
        <f t="shared" si="4"/>
        <v>#N/A</v>
      </c>
      <c r="AV230" s="22" t="s">
        <v>106</v>
      </c>
      <c r="AW2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0" s="22" t="str">
        <f t="shared" si="5"/>
        <v>BR_IMC_DSY_LANCH_ND_NC_2020Q3AUG_NVS_Nivus-Launch-Consideracao</v>
      </c>
      <c r="AY230" s="28" t="str">
        <f t="shared" si="6"/>
        <v>#N/A</v>
      </c>
      <c r="AZ230" s="22" t="s">
        <v>107</v>
      </c>
      <c r="BA230" s="22" t="s">
        <v>108</v>
      </c>
      <c r="BB230" s="31" t="s">
        <v>109</v>
      </c>
      <c r="BC230" s="31" t="s">
        <v>109</v>
      </c>
      <c r="BD230" s="32" t="str">
        <f t="shared" si="8"/>
        <v>nvl-nvs-imc-dsy-0820-10224</v>
      </c>
      <c r="BE230" s="33"/>
      <c r="BF230" s="33"/>
      <c r="BG230" s="39" t="str">
        <f>URL&amp;IF(ISNUMBER(FIND("?",URL)),"&amp;","?"&amp;("adlid="&amp;Unique_ID&amp;"&amp;adplt="&amp;Placement))</f>
        <v>#N/A</v>
      </c>
      <c r="BH230" s="1"/>
      <c r="BI230" s="1"/>
      <c r="BJ230" s="35" t="str">
        <f>LOWER("alp"&amp;"_"&amp;"vw"&amp;"_"&amp;Veiculo&amp;"_"&amp;C226&amp;"_"&amp;Objetivo)</f>
        <v>alp_vw___</v>
      </c>
      <c r="BK230" s="35" t="str">
        <f>LOWER(Buying_Metric&amp;"_"&amp;VLOOKUP(Buying_Type,Buy_type,2,FALSE)&amp;"_"&amp;Device&amp;"_"&amp;Size&amp;"_"&amp;Segmentação&amp;"_"&amp;Segmentação_Anúncio)</f>
        <v>#N/A</v>
      </c>
      <c r="BL230" s="35" t="str">
        <f>LOWER(Campanha_ou_InsertionOrder&amp;"_"&amp;LineItem_ou_Grupodeanúncio&amp;"_"&amp;Linha_criativa_2&amp;"_"&amp;Unique_ID)</f>
        <v>#N/A</v>
      </c>
      <c r="BM230" s="27"/>
      <c r="BN230" s="27"/>
    </row>
    <row r="231">
      <c r="A231" s="1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8" t="str">
        <f>LOWER(Campanha_ou_InsertionOrder&amp;"_"&amp;LineItem_ou_Grupodeanúncio&amp;"_"&amp;Linha_Criativa&amp;"_"&amp;Unique_ID)</f>
        <v>#N/A</v>
      </c>
      <c r="AN231" s="28" t="str">
        <f>LOWER(Campanha_ou_InsertionOrder&amp;"_"&amp;LineItem_ou_Grupodeanúncio&amp;"_"&amp;Linha_Criativa&amp;"_"&amp;Unique_ID)</f>
        <v>#N/A</v>
      </c>
      <c r="AO231" s="28" t="str">
        <f>LOWER("VW"&amp;"_"&amp;Model_Variant&amp;"_"&amp;Size&amp;"_"&amp;Linha_Criativa&amp;"_"&amp;IF(Servido_Por="portal",Veiculo,"adserver"))</f>
        <v>vw____adserver</v>
      </c>
      <c r="AP2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1" s="22" t="str">
        <f t="shared" si="1"/>
        <v/>
      </c>
      <c r="AS231" s="22" t="str">
        <f t="shared" si="2"/>
        <v/>
      </c>
      <c r="AT231" s="22" t="str">
        <f t="shared" si="3"/>
        <v>BR_IMC_DSY_LANCH_ND_NC_2020Q3AUG_NVS_Nivus-Launch-Consideracao</v>
      </c>
      <c r="AU231" s="22" t="str">
        <f t="shared" si="4"/>
        <v>#N/A</v>
      </c>
      <c r="AV231" s="22" t="s">
        <v>106</v>
      </c>
      <c r="AW2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1" s="22" t="str">
        <f t="shared" si="5"/>
        <v>BR_IMC_DSY_LANCH_ND_NC_2020Q3AUG_NVS_Nivus-Launch-Consideracao</v>
      </c>
      <c r="AY231" s="28" t="str">
        <f t="shared" si="6"/>
        <v>#N/A</v>
      </c>
      <c r="AZ231" s="22" t="s">
        <v>107</v>
      </c>
      <c r="BA231" s="22" t="s">
        <v>108</v>
      </c>
      <c r="BB231" s="31" t="s">
        <v>109</v>
      </c>
      <c r="BC231" s="31" t="s">
        <v>109</v>
      </c>
      <c r="BD231" s="32" t="str">
        <f t="shared" si="8"/>
        <v>nvl-nvs-imc-dsy-0820-10225</v>
      </c>
      <c r="BE231" s="33"/>
      <c r="BF231" s="33"/>
      <c r="BG231" s="39" t="str">
        <f>URL&amp;IF(ISNUMBER(FIND("?",URL)),"&amp;","?"&amp;("adlid="&amp;Unique_ID&amp;"&amp;adplt="&amp;Placement))</f>
        <v>#N/A</v>
      </c>
      <c r="BH231" s="1"/>
      <c r="BI231" s="1"/>
      <c r="BJ231" s="35" t="str">
        <f>LOWER("alp"&amp;"_"&amp;"vw"&amp;"_"&amp;Veiculo&amp;"_"&amp;C227&amp;"_"&amp;Objetivo)</f>
        <v>alp_vw___</v>
      </c>
      <c r="BK231" s="35" t="str">
        <f>LOWER(Buying_Metric&amp;"_"&amp;VLOOKUP(Buying_Type,Buy_type,2,FALSE)&amp;"_"&amp;Device&amp;"_"&amp;Size&amp;"_"&amp;Segmentação&amp;"_"&amp;Segmentação_Anúncio)</f>
        <v>#N/A</v>
      </c>
      <c r="BL231" s="35" t="str">
        <f>LOWER(Campanha_ou_InsertionOrder&amp;"_"&amp;LineItem_ou_Grupodeanúncio&amp;"_"&amp;Linha_criativa_2&amp;"_"&amp;Unique_ID)</f>
        <v>#N/A</v>
      </c>
      <c r="BM231" s="27"/>
      <c r="BN231" s="27"/>
    </row>
    <row r="232">
      <c r="A232" s="1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8" t="str">
        <f>LOWER(Campanha_ou_InsertionOrder&amp;"_"&amp;LineItem_ou_Grupodeanúncio&amp;"_"&amp;Linha_Criativa&amp;"_"&amp;Unique_ID)</f>
        <v>#N/A</v>
      </c>
      <c r="AN232" s="28" t="str">
        <f>LOWER(Campanha_ou_InsertionOrder&amp;"_"&amp;LineItem_ou_Grupodeanúncio&amp;"_"&amp;Linha_Criativa&amp;"_"&amp;Unique_ID)</f>
        <v>#N/A</v>
      </c>
      <c r="AO232" s="28" t="str">
        <f>LOWER("VW"&amp;"_"&amp;Model_Variant&amp;"_"&amp;Size&amp;"_"&amp;Linha_Criativa&amp;"_"&amp;IF(Servido_Por="portal",Veiculo,"adserver"))</f>
        <v>vw____adserver</v>
      </c>
      <c r="AP2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2" s="22" t="str">
        <f t="shared" si="1"/>
        <v/>
      </c>
      <c r="AS232" s="22" t="str">
        <f t="shared" si="2"/>
        <v/>
      </c>
      <c r="AT232" s="22" t="str">
        <f t="shared" si="3"/>
        <v>BR_IMC_DSY_LANCH_ND_NC_2020Q3AUG_NVS_Nivus-Launch-Consideracao</v>
      </c>
      <c r="AU232" s="22" t="str">
        <f t="shared" si="4"/>
        <v>#N/A</v>
      </c>
      <c r="AV232" s="22" t="s">
        <v>106</v>
      </c>
      <c r="AW2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2" s="22" t="str">
        <f t="shared" si="5"/>
        <v>BR_IMC_DSY_LANCH_ND_NC_2020Q3AUG_NVS_Nivus-Launch-Consideracao</v>
      </c>
      <c r="AY232" s="28" t="str">
        <f t="shared" si="6"/>
        <v>#N/A</v>
      </c>
      <c r="AZ232" s="22" t="s">
        <v>107</v>
      </c>
      <c r="BA232" s="22" t="s">
        <v>108</v>
      </c>
      <c r="BB232" s="31" t="s">
        <v>109</v>
      </c>
      <c r="BC232" s="31" t="s">
        <v>109</v>
      </c>
      <c r="BD232" s="32" t="str">
        <f t="shared" si="8"/>
        <v>nvl-nvs-imc-dsy-0820-10226</v>
      </c>
      <c r="BE232" s="33"/>
      <c r="BF232" s="33"/>
      <c r="BG232" s="39" t="str">
        <f>URL&amp;IF(ISNUMBER(FIND("?",URL)),"&amp;","?"&amp;("adlid="&amp;Unique_ID&amp;"&amp;adplt="&amp;Placement))</f>
        <v>#N/A</v>
      </c>
      <c r="BH232" s="1"/>
      <c r="BI232" s="1"/>
      <c r="BJ232" s="35" t="str">
        <f>LOWER("alp"&amp;"_"&amp;"vw"&amp;"_"&amp;Veiculo&amp;"_"&amp;C228&amp;"_"&amp;Objetivo)</f>
        <v>alp_vw___</v>
      </c>
      <c r="BK232" s="35" t="str">
        <f>LOWER(Buying_Metric&amp;"_"&amp;VLOOKUP(Buying_Type,Buy_type,2,FALSE)&amp;"_"&amp;Device&amp;"_"&amp;Size&amp;"_"&amp;Segmentação&amp;"_"&amp;Segmentação_Anúncio)</f>
        <v>#N/A</v>
      </c>
      <c r="BL232" s="35" t="str">
        <f>LOWER(Campanha_ou_InsertionOrder&amp;"_"&amp;LineItem_ou_Grupodeanúncio&amp;"_"&amp;Linha_criativa_2&amp;"_"&amp;Unique_ID)</f>
        <v>#N/A</v>
      </c>
      <c r="BM232" s="27"/>
      <c r="BN232" s="27"/>
    </row>
    <row r="233">
      <c r="A233" s="1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8" t="str">
        <f>LOWER(Campanha_ou_InsertionOrder&amp;"_"&amp;LineItem_ou_Grupodeanúncio&amp;"_"&amp;Linha_Criativa&amp;"_"&amp;Unique_ID)</f>
        <v>#N/A</v>
      </c>
      <c r="AN233" s="28" t="str">
        <f>LOWER(Campanha_ou_InsertionOrder&amp;"_"&amp;LineItem_ou_Grupodeanúncio&amp;"_"&amp;Linha_Criativa&amp;"_"&amp;Unique_ID)</f>
        <v>#N/A</v>
      </c>
      <c r="AO233" s="28" t="str">
        <f>LOWER("VW"&amp;"_"&amp;Model_Variant&amp;"_"&amp;Size&amp;"_"&amp;Linha_Criativa&amp;"_"&amp;IF(Servido_Por="portal",Veiculo,"adserver"))</f>
        <v>vw____adserver</v>
      </c>
      <c r="AP2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3" s="22" t="str">
        <f t="shared" si="1"/>
        <v/>
      </c>
      <c r="AS233" s="22" t="str">
        <f t="shared" si="2"/>
        <v/>
      </c>
      <c r="AT233" s="22" t="str">
        <f t="shared" si="3"/>
        <v>BR_IMC_DSY_LANCH_ND_NC_2020Q3AUG_NVS_Nivus-Launch-Consideracao</v>
      </c>
      <c r="AU233" s="22" t="str">
        <f t="shared" si="4"/>
        <v>#N/A</v>
      </c>
      <c r="AV233" s="22" t="s">
        <v>106</v>
      </c>
      <c r="AW2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3" s="22" t="str">
        <f t="shared" si="5"/>
        <v>BR_IMC_DSY_LANCH_ND_NC_2020Q3AUG_NVS_Nivus-Launch-Consideracao</v>
      </c>
      <c r="AY233" s="28" t="str">
        <f t="shared" si="6"/>
        <v>#N/A</v>
      </c>
      <c r="AZ233" s="22" t="s">
        <v>107</v>
      </c>
      <c r="BA233" s="22" t="s">
        <v>108</v>
      </c>
      <c r="BB233" s="31" t="s">
        <v>109</v>
      </c>
      <c r="BC233" s="31" t="s">
        <v>109</v>
      </c>
      <c r="BD233" s="32" t="str">
        <f t="shared" si="8"/>
        <v>nvl-nvs-imc-dsy-0820-10227</v>
      </c>
      <c r="BE233" s="33"/>
      <c r="BF233" s="33"/>
      <c r="BG233" s="39" t="str">
        <f>URL&amp;IF(ISNUMBER(FIND("?",URL)),"&amp;","?"&amp;("adlid="&amp;Unique_ID&amp;"&amp;adplt="&amp;Placement))</f>
        <v>#N/A</v>
      </c>
      <c r="BH233" s="1"/>
      <c r="BI233" s="1"/>
      <c r="BJ233" s="35" t="str">
        <f>LOWER("alp"&amp;"_"&amp;"vw"&amp;"_"&amp;Veiculo&amp;"_"&amp;C229&amp;"_"&amp;Objetivo)</f>
        <v>alp_vw___</v>
      </c>
      <c r="BK233" s="35" t="str">
        <f>LOWER(Buying_Metric&amp;"_"&amp;VLOOKUP(Buying_Type,Buy_type,2,FALSE)&amp;"_"&amp;Device&amp;"_"&amp;Size&amp;"_"&amp;Segmentação&amp;"_"&amp;Segmentação_Anúncio)</f>
        <v>#N/A</v>
      </c>
      <c r="BL233" s="35" t="str">
        <f>LOWER(Campanha_ou_InsertionOrder&amp;"_"&amp;LineItem_ou_Grupodeanúncio&amp;"_"&amp;Linha_criativa_2&amp;"_"&amp;Unique_ID)</f>
        <v>#N/A</v>
      </c>
      <c r="BM233" s="27"/>
      <c r="BN233" s="27"/>
    </row>
    <row r="234">
      <c r="A234" s="1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8" t="str">
        <f>LOWER(Campanha_ou_InsertionOrder&amp;"_"&amp;LineItem_ou_Grupodeanúncio&amp;"_"&amp;Linha_Criativa&amp;"_"&amp;Unique_ID)</f>
        <v>#N/A</v>
      </c>
      <c r="AN234" s="28" t="str">
        <f>LOWER(Campanha_ou_InsertionOrder&amp;"_"&amp;LineItem_ou_Grupodeanúncio&amp;"_"&amp;Linha_Criativa&amp;"_"&amp;Unique_ID)</f>
        <v>#N/A</v>
      </c>
      <c r="AO234" s="28" t="str">
        <f>LOWER("VW"&amp;"_"&amp;Model_Variant&amp;"_"&amp;Size&amp;"_"&amp;Linha_Criativa&amp;"_"&amp;IF(Servido_Por="portal",Veiculo,"adserver"))</f>
        <v>vw____adserver</v>
      </c>
      <c r="AP2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4" s="22" t="str">
        <f t="shared" si="1"/>
        <v/>
      </c>
      <c r="AS234" s="22" t="str">
        <f t="shared" si="2"/>
        <v/>
      </c>
      <c r="AT234" s="22" t="str">
        <f t="shared" si="3"/>
        <v>BR_IMC_DSY_LANCH_ND_NC_2020Q3AUG_NVS_Nivus-Launch-Consideracao</v>
      </c>
      <c r="AU234" s="22" t="str">
        <f t="shared" si="4"/>
        <v>#N/A</v>
      </c>
      <c r="AV234" s="22" t="s">
        <v>106</v>
      </c>
      <c r="AW2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4" s="22" t="str">
        <f t="shared" si="5"/>
        <v>BR_IMC_DSY_LANCH_ND_NC_2020Q3AUG_NVS_Nivus-Launch-Consideracao</v>
      </c>
      <c r="AY234" s="28" t="str">
        <f t="shared" si="6"/>
        <v>#N/A</v>
      </c>
      <c r="AZ234" s="22" t="s">
        <v>107</v>
      </c>
      <c r="BA234" s="22" t="s">
        <v>108</v>
      </c>
      <c r="BB234" s="31" t="s">
        <v>109</v>
      </c>
      <c r="BC234" s="31" t="s">
        <v>109</v>
      </c>
      <c r="BD234" s="32" t="str">
        <f t="shared" si="8"/>
        <v>nvl-nvs-imc-dsy-0820-10228</v>
      </c>
      <c r="BE234" s="33"/>
      <c r="BF234" s="33"/>
      <c r="BG234" s="39" t="str">
        <f>URL&amp;IF(ISNUMBER(FIND("?",URL)),"&amp;","?"&amp;("adlid="&amp;Unique_ID&amp;"&amp;adplt="&amp;Placement))</f>
        <v>#N/A</v>
      </c>
      <c r="BH234" s="1"/>
      <c r="BI234" s="1"/>
      <c r="BJ234" s="35" t="str">
        <f>LOWER("alp"&amp;"_"&amp;"vw"&amp;"_"&amp;Veiculo&amp;"_"&amp;C230&amp;"_"&amp;Objetivo)</f>
        <v>alp_vw___</v>
      </c>
      <c r="BK234" s="35" t="str">
        <f>LOWER(Buying_Metric&amp;"_"&amp;VLOOKUP(Buying_Type,Buy_type,2,FALSE)&amp;"_"&amp;Device&amp;"_"&amp;Size&amp;"_"&amp;Segmentação&amp;"_"&amp;Segmentação_Anúncio)</f>
        <v>#N/A</v>
      </c>
      <c r="BL234" s="35" t="str">
        <f>LOWER(Campanha_ou_InsertionOrder&amp;"_"&amp;LineItem_ou_Grupodeanúncio&amp;"_"&amp;Linha_criativa_2&amp;"_"&amp;Unique_ID)</f>
        <v>#N/A</v>
      </c>
      <c r="BM234" s="27"/>
      <c r="BN234" s="27"/>
    </row>
    <row r="235">
      <c r="A235" s="1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8" t="str">
        <f>LOWER(Campanha_ou_InsertionOrder&amp;"_"&amp;LineItem_ou_Grupodeanúncio&amp;"_"&amp;Linha_Criativa&amp;"_"&amp;Unique_ID)</f>
        <v>#N/A</v>
      </c>
      <c r="AN235" s="28" t="str">
        <f>LOWER(Campanha_ou_InsertionOrder&amp;"_"&amp;LineItem_ou_Grupodeanúncio&amp;"_"&amp;Linha_Criativa&amp;"_"&amp;Unique_ID)</f>
        <v>#N/A</v>
      </c>
      <c r="AO235" s="28" t="str">
        <f>LOWER("VW"&amp;"_"&amp;Model_Variant&amp;"_"&amp;Size&amp;"_"&amp;Linha_Criativa&amp;"_"&amp;IF(Servido_Por="portal",Veiculo,"adserver"))</f>
        <v>vw____adserver</v>
      </c>
      <c r="AP2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5" s="22" t="str">
        <f t="shared" si="1"/>
        <v/>
      </c>
      <c r="AS235" s="22" t="str">
        <f t="shared" si="2"/>
        <v/>
      </c>
      <c r="AT235" s="22" t="str">
        <f t="shared" si="3"/>
        <v>BR_IMC_DSY_LANCH_ND_NC_2020Q3AUG_NVS_Nivus-Launch-Consideracao</v>
      </c>
      <c r="AU235" s="22" t="str">
        <f t="shared" si="4"/>
        <v>#N/A</v>
      </c>
      <c r="AV235" s="22" t="s">
        <v>106</v>
      </c>
      <c r="AW2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5" s="22" t="str">
        <f t="shared" si="5"/>
        <v>BR_IMC_DSY_LANCH_ND_NC_2020Q3AUG_NVS_Nivus-Launch-Consideracao</v>
      </c>
      <c r="AY235" s="28" t="str">
        <f t="shared" si="6"/>
        <v>#N/A</v>
      </c>
      <c r="AZ235" s="22" t="s">
        <v>107</v>
      </c>
      <c r="BA235" s="22" t="s">
        <v>108</v>
      </c>
      <c r="BB235" s="31" t="s">
        <v>109</v>
      </c>
      <c r="BC235" s="31" t="s">
        <v>109</v>
      </c>
      <c r="BD235" s="32" t="str">
        <f t="shared" si="8"/>
        <v>nvl-nvs-imc-dsy-0820-10229</v>
      </c>
      <c r="BE235" s="33"/>
      <c r="BF235" s="33"/>
      <c r="BG235" s="39" t="str">
        <f>URL&amp;IF(ISNUMBER(FIND("?",URL)),"&amp;","?"&amp;("adlid="&amp;Unique_ID&amp;"&amp;adplt="&amp;Placement))</f>
        <v>#N/A</v>
      </c>
      <c r="BH235" s="1"/>
      <c r="BI235" s="1"/>
      <c r="BJ235" s="35" t="str">
        <f>LOWER("alp"&amp;"_"&amp;"vw"&amp;"_"&amp;Veiculo&amp;"_"&amp;C231&amp;"_"&amp;Objetivo)</f>
        <v>alp_vw___</v>
      </c>
      <c r="BK235" s="35" t="str">
        <f>LOWER(Buying_Metric&amp;"_"&amp;VLOOKUP(Buying_Type,Buy_type,2,FALSE)&amp;"_"&amp;Device&amp;"_"&amp;Size&amp;"_"&amp;Segmentação&amp;"_"&amp;Segmentação_Anúncio)</f>
        <v>#N/A</v>
      </c>
      <c r="BL235" s="35" t="str">
        <f>LOWER(Campanha_ou_InsertionOrder&amp;"_"&amp;LineItem_ou_Grupodeanúncio&amp;"_"&amp;Linha_criativa_2&amp;"_"&amp;Unique_ID)</f>
        <v>#N/A</v>
      </c>
      <c r="BM235" s="27"/>
      <c r="BN235" s="27"/>
    </row>
    <row r="236">
      <c r="A236" s="1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8" t="str">
        <f>LOWER(Campanha_ou_InsertionOrder&amp;"_"&amp;LineItem_ou_Grupodeanúncio&amp;"_"&amp;Linha_Criativa&amp;"_"&amp;Unique_ID)</f>
        <v>#N/A</v>
      </c>
      <c r="AN236" s="28" t="str">
        <f>LOWER(Campanha_ou_InsertionOrder&amp;"_"&amp;LineItem_ou_Grupodeanúncio&amp;"_"&amp;Linha_Criativa&amp;"_"&amp;Unique_ID)</f>
        <v>#N/A</v>
      </c>
      <c r="AO236" s="28" t="str">
        <f>LOWER("VW"&amp;"_"&amp;Model_Variant&amp;"_"&amp;Size&amp;"_"&amp;Linha_Criativa&amp;"_"&amp;IF(Servido_Por="portal",Veiculo,"adserver"))</f>
        <v>vw____adserver</v>
      </c>
      <c r="AP2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6" s="22" t="str">
        <f t="shared" si="1"/>
        <v/>
      </c>
      <c r="AS236" s="22" t="str">
        <f t="shared" si="2"/>
        <v/>
      </c>
      <c r="AT236" s="22" t="str">
        <f t="shared" si="3"/>
        <v>BR_IMC_DSY_LANCH_ND_NC_2020Q3AUG_NVS_Nivus-Launch-Consideracao</v>
      </c>
      <c r="AU236" s="22" t="str">
        <f t="shared" si="4"/>
        <v>#N/A</v>
      </c>
      <c r="AV236" s="22" t="s">
        <v>106</v>
      </c>
      <c r="AW2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6" s="22" t="str">
        <f t="shared" si="5"/>
        <v>BR_IMC_DSY_LANCH_ND_NC_2020Q3AUG_NVS_Nivus-Launch-Consideracao</v>
      </c>
      <c r="AY236" s="28" t="str">
        <f t="shared" si="6"/>
        <v>#N/A</v>
      </c>
      <c r="AZ236" s="22" t="s">
        <v>107</v>
      </c>
      <c r="BA236" s="22" t="s">
        <v>108</v>
      </c>
      <c r="BB236" s="31" t="s">
        <v>109</v>
      </c>
      <c r="BC236" s="31" t="s">
        <v>109</v>
      </c>
      <c r="BD236" s="32" t="str">
        <f t="shared" si="8"/>
        <v>nvl-nvs-imc-dsy-0820-10230</v>
      </c>
      <c r="BE236" s="33"/>
      <c r="BF236" s="33"/>
      <c r="BG236" s="39" t="str">
        <f>URL&amp;IF(ISNUMBER(FIND("?",URL)),"&amp;","?"&amp;("adlid="&amp;Unique_ID&amp;"&amp;adplt="&amp;Placement))</f>
        <v>#N/A</v>
      </c>
      <c r="BH236" s="1"/>
      <c r="BI236" s="1"/>
      <c r="BJ236" s="35" t="str">
        <f>LOWER("alp"&amp;"_"&amp;"vw"&amp;"_"&amp;Veiculo&amp;"_"&amp;C232&amp;"_"&amp;Objetivo)</f>
        <v>alp_vw___</v>
      </c>
      <c r="BK236" s="35" t="str">
        <f>LOWER(Buying_Metric&amp;"_"&amp;VLOOKUP(Buying_Type,Buy_type,2,FALSE)&amp;"_"&amp;Device&amp;"_"&amp;Size&amp;"_"&amp;Segmentação&amp;"_"&amp;Segmentação_Anúncio)</f>
        <v>#N/A</v>
      </c>
      <c r="BL236" s="35" t="str">
        <f>LOWER(Campanha_ou_InsertionOrder&amp;"_"&amp;LineItem_ou_Grupodeanúncio&amp;"_"&amp;Linha_criativa_2&amp;"_"&amp;Unique_ID)</f>
        <v>#N/A</v>
      </c>
      <c r="BM236" s="27"/>
      <c r="BN236" s="27"/>
    </row>
    <row r="237">
      <c r="A237" s="1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8" t="str">
        <f>LOWER(Campanha_ou_InsertionOrder&amp;"_"&amp;LineItem_ou_Grupodeanúncio&amp;"_"&amp;Linha_Criativa&amp;"_"&amp;Unique_ID)</f>
        <v>#N/A</v>
      </c>
      <c r="AN237" s="28" t="str">
        <f>LOWER(Campanha_ou_InsertionOrder&amp;"_"&amp;LineItem_ou_Grupodeanúncio&amp;"_"&amp;Linha_Criativa&amp;"_"&amp;Unique_ID)</f>
        <v>#N/A</v>
      </c>
      <c r="AO237" s="28" t="str">
        <f>LOWER("VW"&amp;"_"&amp;Model_Variant&amp;"_"&amp;Size&amp;"_"&amp;Linha_Criativa&amp;"_"&amp;IF(Servido_Por="portal",Veiculo,"adserver"))</f>
        <v>vw____adserver</v>
      </c>
      <c r="AP2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7" s="22" t="str">
        <f t="shared" si="1"/>
        <v/>
      </c>
      <c r="AS237" s="22" t="str">
        <f t="shared" si="2"/>
        <v/>
      </c>
      <c r="AT237" s="22" t="str">
        <f t="shared" si="3"/>
        <v>BR_IMC_DSY_LANCH_ND_NC_2020Q3AUG_NVS_Nivus-Launch-Consideracao</v>
      </c>
      <c r="AU237" s="22" t="str">
        <f t="shared" si="4"/>
        <v>#N/A</v>
      </c>
      <c r="AV237" s="22" t="s">
        <v>106</v>
      </c>
      <c r="AW2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7" s="22" t="str">
        <f t="shared" si="5"/>
        <v>BR_IMC_DSY_LANCH_ND_NC_2020Q3AUG_NVS_Nivus-Launch-Consideracao</v>
      </c>
      <c r="AY237" s="28" t="str">
        <f t="shared" si="6"/>
        <v>#N/A</v>
      </c>
      <c r="AZ237" s="22" t="s">
        <v>107</v>
      </c>
      <c r="BA237" s="22" t="s">
        <v>108</v>
      </c>
      <c r="BB237" s="31" t="s">
        <v>109</v>
      </c>
      <c r="BC237" s="31" t="s">
        <v>109</v>
      </c>
      <c r="BD237" s="32" t="str">
        <f t="shared" si="8"/>
        <v>nvl-nvs-imc-dsy-0820-10231</v>
      </c>
      <c r="BE237" s="33"/>
      <c r="BF237" s="33"/>
      <c r="BG237" s="39" t="str">
        <f>URL&amp;IF(ISNUMBER(FIND("?",URL)),"&amp;","?"&amp;("adlid="&amp;Unique_ID&amp;"&amp;adplt="&amp;Placement))</f>
        <v>#N/A</v>
      </c>
      <c r="BH237" s="1"/>
      <c r="BI237" s="1"/>
      <c r="BJ237" s="35" t="str">
        <f>LOWER("alp"&amp;"_"&amp;"vw"&amp;"_"&amp;Veiculo&amp;"_"&amp;C233&amp;"_"&amp;Objetivo)</f>
        <v>alp_vw___</v>
      </c>
      <c r="BK237" s="35" t="str">
        <f>LOWER(Buying_Metric&amp;"_"&amp;VLOOKUP(Buying_Type,Buy_type,2,FALSE)&amp;"_"&amp;Device&amp;"_"&amp;Size&amp;"_"&amp;Segmentação&amp;"_"&amp;Segmentação_Anúncio)</f>
        <v>#N/A</v>
      </c>
      <c r="BL237" s="35" t="str">
        <f>LOWER(Campanha_ou_InsertionOrder&amp;"_"&amp;LineItem_ou_Grupodeanúncio&amp;"_"&amp;Linha_criativa_2&amp;"_"&amp;Unique_ID)</f>
        <v>#N/A</v>
      </c>
      <c r="BM237" s="27"/>
      <c r="BN237" s="27"/>
    </row>
    <row r="238">
      <c r="A238" s="1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8" t="str">
        <f>LOWER(Campanha_ou_InsertionOrder&amp;"_"&amp;LineItem_ou_Grupodeanúncio&amp;"_"&amp;Linha_Criativa&amp;"_"&amp;Unique_ID)</f>
        <v>#N/A</v>
      </c>
      <c r="AN238" s="28" t="str">
        <f>LOWER(Campanha_ou_InsertionOrder&amp;"_"&amp;LineItem_ou_Grupodeanúncio&amp;"_"&amp;Linha_Criativa&amp;"_"&amp;Unique_ID)</f>
        <v>#N/A</v>
      </c>
      <c r="AO238" s="28" t="str">
        <f>LOWER("VW"&amp;"_"&amp;Model_Variant&amp;"_"&amp;Size&amp;"_"&amp;Linha_Criativa&amp;"_"&amp;IF(Servido_Por="portal",Veiculo,"adserver"))</f>
        <v>vw____adserver</v>
      </c>
      <c r="AP2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8" s="22" t="str">
        <f t="shared" si="1"/>
        <v/>
      </c>
      <c r="AS238" s="22" t="str">
        <f t="shared" si="2"/>
        <v/>
      </c>
      <c r="AT238" s="22" t="str">
        <f t="shared" si="3"/>
        <v>BR_IMC_DSY_LANCH_ND_NC_2020Q3AUG_NVS_Nivus-Launch-Consideracao</v>
      </c>
      <c r="AU238" s="22" t="str">
        <f t="shared" si="4"/>
        <v>#N/A</v>
      </c>
      <c r="AV238" s="22" t="s">
        <v>106</v>
      </c>
      <c r="AW2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8" s="22" t="str">
        <f t="shared" si="5"/>
        <v>BR_IMC_DSY_LANCH_ND_NC_2020Q3AUG_NVS_Nivus-Launch-Consideracao</v>
      </c>
      <c r="AY238" s="28" t="str">
        <f t="shared" si="6"/>
        <v>#N/A</v>
      </c>
      <c r="AZ238" s="22" t="s">
        <v>107</v>
      </c>
      <c r="BA238" s="22" t="s">
        <v>108</v>
      </c>
      <c r="BB238" s="31" t="s">
        <v>109</v>
      </c>
      <c r="BC238" s="31" t="s">
        <v>109</v>
      </c>
      <c r="BD238" s="32" t="str">
        <f t="shared" si="8"/>
        <v>nvl-nvs-imc-dsy-0820-10232</v>
      </c>
      <c r="BE238" s="33"/>
      <c r="BF238" s="33"/>
      <c r="BG238" s="39" t="str">
        <f>URL&amp;IF(ISNUMBER(FIND("?",URL)),"&amp;","?"&amp;("adlid="&amp;Unique_ID&amp;"&amp;adplt="&amp;Placement))</f>
        <v>#N/A</v>
      </c>
      <c r="BH238" s="1"/>
      <c r="BI238" s="1"/>
      <c r="BJ238" s="35" t="str">
        <f>LOWER("alp"&amp;"_"&amp;"vw"&amp;"_"&amp;Veiculo&amp;"_"&amp;C234&amp;"_"&amp;Objetivo)</f>
        <v>alp_vw___</v>
      </c>
      <c r="BK238" s="35" t="str">
        <f>LOWER(Buying_Metric&amp;"_"&amp;VLOOKUP(Buying_Type,Buy_type,2,FALSE)&amp;"_"&amp;Device&amp;"_"&amp;Size&amp;"_"&amp;Segmentação&amp;"_"&amp;Segmentação_Anúncio)</f>
        <v>#N/A</v>
      </c>
      <c r="BL238" s="35" t="str">
        <f>LOWER(Campanha_ou_InsertionOrder&amp;"_"&amp;LineItem_ou_Grupodeanúncio&amp;"_"&amp;Linha_criativa_2&amp;"_"&amp;Unique_ID)</f>
        <v>#N/A</v>
      </c>
      <c r="BM238" s="27"/>
      <c r="BN238" s="27"/>
    </row>
    <row r="239">
      <c r="A239" s="1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8" t="str">
        <f>LOWER(Campanha_ou_InsertionOrder&amp;"_"&amp;LineItem_ou_Grupodeanúncio&amp;"_"&amp;Linha_Criativa&amp;"_"&amp;Unique_ID)</f>
        <v>#N/A</v>
      </c>
      <c r="AN239" s="28" t="str">
        <f>LOWER(Campanha_ou_InsertionOrder&amp;"_"&amp;LineItem_ou_Grupodeanúncio&amp;"_"&amp;Linha_Criativa&amp;"_"&amp;Unique_ID)</f>
        <v>#N/A</v>
      </c>
      <c r="AO239" s="28" t="str">
        <f>LOWER("VW"&amp;"_"&amp;Model_Variant&amp;"_"&amp;Size&amp;"_"&amp;Linha_Criativa&amp;"_"&amp;IF(Servido_Por="portal",Veiculo,"adserver"))</f>
        <v>vw____adserver</v>
      </c>
      <c r="AP2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39" s="22" t="str">
        <f t="shared" si="1"/>
        <v/>
      </c>
      <c r="AS239" s="22" t="str">
        <f t="shared" si="2"/>
        <v/>
      </c>
      <c r="AT239" s="22" t="str">
        <f t="shared" si="3"/>
        <v>BR_IMC_DSY_LANCH_ND_NC_2020Q3AUG_NVS_Nivus-Launch-Consideracao</v>
      </c>
      <c r="AU239" s="22" t="str">
        <f t="shared" si="4"/>
        <v>#N/A</v>
      </c>
      <c r="AV239" s="22" t="s">
        <v>106</v>
      </c>
      <c r="AW2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39" s="22" t="str">
        <f t="shared" si="5"/>
        <v>BR_IMC_DSY_LANCH_ND_NC_2020Q3AUG_NVS_Nivus-Launch-Consideracao</v>
      </c>
      <c r="AY239" s="28" t="str">
        <f t="shared" si="6"/>
        <v>#N/A</v>
      </c>
      <c r="AZ239" s="22" t="s">
        <v>107</v>
      </c>
      <c r="BA239" s="22" t="s">
        <v>108</v>
      </c>
      <c r="BB239" s="31" t="s">
        <v>109</v>
      </c>
      <c r="BC239" s="31" t="s">
        <v>109</v>
      </c>
      <c r="BD239" s="32" t="str">
        <f t="shared" si="8"/>
        <v>nvl-nvs-imc-dsy-0820-10233</v>
      </c>
      <c r="BE239" s="33"/>
      <c r="BF239" s="33"/>
      <c r="BG239" s="39" t="str">
        <f>URL&amp;IF(ISNUMBER(FIND("?",URL)),"&amp;","?"&amp;("adlid="&amp;Unique_ID&amp;"&amp;adplt="&amp;Placement))</f>
        <v>#N/A</v>
      </c>
      <c r="BH239" s="1"/>
      <c r="BI239" s="1"/>
      <c r="BJ239" s="35" t="str">
        <f>LOWER("alp"&amp;"_"&amp;"vw"&amp;"_"&amp;Veiculo&amp;"_"&amp;C235&amp;"_"&amp;Objetivo)</f>
        <v>alp_vw___</v>
      </c>
      <c r="BK239" s="35" t="str">
        <f>LOWER(Buying_Metric&amp;"_"&amp;VLOOKUP(Buying_Type,Buy_type,2,FALSE)&amp;"_"&amp;Device&amp;"_"&amp;Size&amp;"_"&amp;Segmentação&amp;"_"&amp;Segmentação_Anúncio)</f>
        <v>#N/A</v>
      </c>
      <c r="BL239" s="35" t="str">
        <f>LOWER(Campanha_ou_InsertionOrder&amp;"_"&amp;LineItem_ou_Grupodeanúncio&amp;"_"&amp;Linha_criativa_2&amp;"_"&amp;Unique_ID)</f>
        <v>#N/A</v>
      </c>
      <c r="BM239" s="27"/>
      <c r="BN239" s="27"/>
    </row>
    <row r="240">
      <c r="A240" s="1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8" t="str">
        <f>LOWER(Campanha_ou_InsertionOrder&amp;"_"&amp;LineItem_ou_Grupodeanúncio&amp;"_"&amp;Linha_Criativa&amp;"_"&amp;Unique_ID)</f>
        <v>#N/A</v>
      </c>
      <c r="AN240" s="28" t="str">
        <f>LOWER(Campanha_ou_InsertionOrder&amp;"_"&amp;LineItem_ou_Grupodeanúncio&amp;"_"&amp;Linha_Criativa&amp;"_"&amp;Unique_ID)</f>
        <v>#N/A</v>
      </c>
      <c r="AO240" s="28" t="str">
        <f>LOWER("VW"&amp;"_"&amp;Model_Variant&amp;"_"&amp;Size&amp;"_"&amp;Linha_Criativa&amp;"_"&amp;IF(Servido_Por="portal",Veiculo,"adserver"))</f>
        <v>vw____adserver</v>
      </c>
      <c r="AP2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0" s="22" t="str">
        <f t="shared" si="1"/>
        <v/>
      </c>
      <c r="AS240" s="22" t="str">
        <f t="shared" si="2"/>
        <v/>
      </c>
      <c r="AT240" s="22" t="str">
        <f t="shared" si="3"/>
        <v>BR_IMC_DSY_LANCH_ND_NC_2020Q3AUG_NVS_Nivus-Launch-Consideracao</v>
      </c>
      <c r="AU240" s="22" t="str">
        <f t="shared" si="4"/>
        <v>#N/A</v>
      </c>
      <c r="AV240" s="22" t="s">
        <v>106</v>
      </c>
      <c r="AW2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0" s="22" t="str">
        <f t="shared" si="5"/>
        <v>BR_IMC_DSY_LANCH_ND_NC_2020Q3AUG_NVS_Nivus-Launch-Consideracao</v>
      </c>
      <c r="AY240" s="28" t="str">
        <f t="shared" si="6"/>
        <v>#N/A</v>
      </c>
      <c r="AZ240" s="22" t="s">
        <v>107</v>
      </c>
      <c r="BA240" s="22" t="s">
        <v>108</v>
      </c>
      <c r="BB240" s="31" t="s">
        <v>109</v>
      </c>
      <c r="BC240" s="31" t="s">
        <v>109</v>
      </c>
      <c r="BD240" s="32" t="str">
        <f t="shared" si="8"/>
        <v>nvl-nvs-imc-dsy-0820-10234</v>
      </c>
      <c r="BE240" s="33"/>
      <c r="BF240" s="33"/>
      <c r="BG240" s="39" t="str">
        <f>URL&amp;IF(ISNUMBER(FIND("?",URL)),"&amp;","?"&amp;("adlid="&amp;Unique_ID&amp;"&amp;adplt="&amp;Placement))</f>
        <v>#N/A</v>
      </c>
      <c r="BH240" s="1"/>
      <c r="BI240" s="1"/>
      <c r="BJ240" s="35" t="str">
        <f>LOWER("alp"&amp;"_"&amp;"vw"&amp;"_"&amp;Veiculo&amp;"_"&amp;C236&amp;"_"&amp;Objetivo)</f>
        <v>alp_vw___</v>
      </c>
      <c r="BK240" s="35" t="str">
        <f>LOWER(Buying_Metric&amp;"_"&amp;VLOOKUP(Buying_Type,Buy_type,2,FALSE)&amp;"_"&amp;Device&amp;"_"&amp;Size&amp;"_"&amp;Segmentação&amp;"_"&amp;Segmentação_Anúncio)</f>
        <v>#N/A</v>
      </c>
      <c r="BL240" s="35" t="str">
        <f>LOWER(Campanha_ou_InsertionOrder&amp;"_"&amp;LineItem_ou_Grupodeanúncio&amp;"_"&amp;Linha_criativa_2&amp;"_"&amp;Unique_ID)</f>
        <v>#N/A</v>
      </c>
      <c r="BM240" s="27"/>
      <c r="BN240" s="27"/>
    </row>
    <row r="241">
      <c r="A241" s="1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8" t="str">
        <f>LOWER(Campanha_ou_InsertionOrder&amp;"_"&amp;LineItem_ou_Grupodeanúncio&amp;"_"&amp;Linha_Criativa&amp;"_"&amp;Unique_ID)</f>
        <v>#N/A</v>
      </c>
      <c r="AN241" s="28" t="str">
        <f>LOWER(Campanha_ou_InsertionOrder&amp;"_"&amp;LineItem_ou_Grupodeanúncio&amp;"_"&amp;Linha_Criativa&amp;"_"&amp;Unique_ID)</f>
        <v>#N/A</v>
      </c>
      <c r="AO241" s="28" t="str">
        <f>LOWER("VW"&amp;"_"&amp;Model_Variant&amp;"_"&amp;Size&amp;"_"&amp;Linha_Criativa&amp;"_"&amp;IF(Servido_Por="portal",Veiculo,"adserver"))</f>
        <v>vw____adserver</v>
      </c>
      <c r="AP2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1" s="22" t="str">
        <f t="shared" si="1"/>
        <v/>
      </c>
      <c r="AS241" s="22" t="str">
        <f t="shared" si="2"/>
        <v/>
      </c>
      <c r="AT241" s="22" t="str">
        <f t="shared" si="3"/>
        <v>BR_IMC_DSY_LANCH_ND_NC_2020Q3AUG_NVS_Nivus-Launch-Consideracao</v>
      </c>
      <c r="AU241" s="22" t="str">
        <f t="shared" si="4"/>
        <v>#N/A</v>
      </c>
      <c r="AV241" s="22" t="s">
        <v>106</v>
      </c>
      <c r="AW2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1" s="22" t="str">
        <f t="shared" si="5"/>
        <v>BR_IMC_DSY_LANCH_ND_NC_2020Q3AUG_NVS_Nivus-Launch-Consideracao</v>
      </c>
      <c r="AY241" s="28" t="str">
        <f t="shared" si="6"/>
        <v>#N/A</v>
      </c>
      <c r="AZ241" s="22" t="s">
        <v>107</v>
      </c>
      <c r="BA241" s="22" t="s">
        <v>108</v>
      </c>
      <c r="BB241" s="31" t="s">
        <v>109</v>
      </c>
      <c r="BC241" s="31" t="s">
        <v>109</v>
      </c>
      <c r="BD241" s="32" t="str">
        <f t="shared" si="8"/>
        <v>nvl-nvs-imc-dsy-0820-10235</v>
      </c>
      <c r="BE241" s="33"/>
      <c r="BF241" s="33"/>
      <c r="BG241" s="39" t="str">
        <f>URL&amp;IF(ISNUMBER(FIND("?",URL)),"&amp;","?"&amp;("adlid="&amp;Unique_ID&amp;"&amp;adplt="&amp;Placement))</f>
        <v>#N/A</v>
      </c>
      <c r="BH241" s="1"/>
      <c r="BI241" s="1"/>
      <c r="BJ241" s="35" t="str">
        <f>LOWER("alp"&amp;"_"&amp;"vw"&amp;"_"&amp;Veiculo&amp;"_"&amp;C237&amp;"_"&amp;Objetivo)</f>
        <v>alp_vw___</v>
      </c>
      <c r="BK241" s="35" t="str">
        <f>LOWER(Buying_Metric&amp;"_"&amp;VLOOKUP(Buying_Type,Buy_type,2,FALSE)&amp;"_"&amp;Device&amp;"_"&amp;Size&amp;"_"&amp;Segmentação&amp;"_"&amp;Segmentação_Anúncio)</f>
        <v>#N/A</v>
      </c>
      <c r="BL241" s="35" t="str">
        <f>LOWER(Campanha_ou_InsertionOrder&amp;"_"&amp;LineItem_ou_Grupodeanúncio&amp;"_"&amp;Linha_criativa_2&amp;"_"&amp;Unique_ID)</f>
        <v>#N/A</v>
      </c>
      <c r="BM241" s="27"/>
      <c r="BN241" s="27"/>
    </row>
    <row r="242">
      <c r="A242" s="1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8" t="str">
        <f>LOWER(Campanha_ou_InsertionOrder&amp;"_"&amp;LineItem_ou_Grupodeanúncio&amp;"_"&amp;Linha_Criativa&amp;"_"&amp;Unique_ID)</f>
        <v>#N/A</v>
      </c>
      <c r="AN242" s="28" t="str">
        <f>LOWER(Campanha_ou_InsertionOrder&amp;"_"&amp;LineItem_ou_Grupodeanúncio&amp;"_"&amp;Linha_Criativa&amp;"_"&amp;Unique_ID)</f>
        <v>#N/A</v>
      </c>
      <c r="AO242" s="28" t="str">
        <f>LOWER("VW"&amp;"_"&amp;Model_Variant&amp;"_"&amp;Size&amp;"_"&amp;Linha_Criativa&amp;"_"&amp;IF(Servido_Por="portal",Veiculo,"adserver"))</f>
        <v>vw____adserver</v>
      </c>
      <c r="AP2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2" s="22" t="str">
        <f t="shared" si="1"/>
        <v/>
      </c>
      <c r="AS242" s="22" t="str">
        <f t="shared" si="2"/>
        <v/>
      </c>
      <c r="AT242" s="22" t="str">
        <f t="shared" si="3"/>
        <v>BR_IMC_DSY_LANCH_ND_NC_2020Q3AUG_NVS_Nivus-Launch-Consideracao</v>
      </c>
      <c r="AU242" s="22" t="str">
        <f t="shared" si="4"/>
        <v>#N/A</v>
      </c>
      <c r="AV242" s="22" t="s">
        <v>106</v>
      </c>
      <c r="AW2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2" s="22" t="str">
        <f t="shared" si="5"/>
        <v>BR_IMC_DSY_LANCH_ND_NC_2020Q3AUG_NVS_Nivus-Launch-Consideracao</v>
      </c>
      <c r="AY242" s="28" t="str">
        <f t="shared" si="6"/>
        <v>#N/A</v>
      </c>
      <c r="AZ242" s="22" t="s">
        <v>107</v>
      </c>
      <c r="BA242" s="22" t="s">
        <v>108</v>
      </c>
      <c r="BB242" s="31" t="s">
        <v>109</v>
      </c>
      <c r="BC242" s="31" t="s">
        <v>109</v>
      </c>
      <c r="BD242" s="32" t="str">
        <f t="shared" si="8"/>
        <v>nvl-nvs-imc-dsy-0820-10236</v>
      </c>
      <c r="BE242" s="33"/>
      <c r="BF242" s="33"/>
      <c r="BG242" s="39" t="str">
        <f>URL&amp;IF(ISNUMBER(FIND("?",URL)),"&amp;","?"&amp;("adlid="&amp;Unique_ID&amp;"&amp;adplt="&amp;Placement))</f>
        <v>#N/A</v>
      </c>
      <c r="BH242" s="1"/>
      <c r="BI242" s="1"/>
      <c r="BJ242" s="35" t="str">
        <f>LOWER("alp"&amp;"_"&amp;"vw"&amp;"_"&amp;Veiculo&amp;"_"&amp;C238&amp;"_"&amp;Objetivo)</f>
        <v>alp_vw___</v>
      </c>
      <c r="BK242" s="35" t="str">
        <f>LOWER(Buying_Metric&amp;"_"&amp;VLOOKUP(Buying_Type,Buy_type,2,FALSE)&amp;"_"&amp;Device&amp;"_"&amp;Size&amp;"_"&amp;Segmentação&amp;"_"&amp;Segmentação_Anúncio)</f>
        <v>#N/A</v>
      </c>
      <c r="BL242" s="35" t="str">
        <f>LOWER(Campanha_ou_InsertionOrder&amp;"_"&amp;LineItem_ou_Grupodeanúncio&amp;"_"&amp;Linha_criativa_2&amp;"_"&amp;Unique_ID)</f>
        <v>#N/A</v>
      </c>
      <c r="BM242" s="27"/>
      <c r="BN242" s="27"/>
    </row>
    <row r="243">
      <c r="A243" s="1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8" t="str">
        <f>LOWER(Campanha_ou_InsertionOrder&amp;"_"&amp;LineItem_ou_Grupodeanúncio&amp;"_"&amp;Linha_Criativa&amp;"_"&amp;Unique_ID)</f>
        <v>#N/A</v>
      </c>
      <c r="AN243" s="28" t="str">
        <f>LOWER(Campanha_ou_InsertionOrder&amp;"_"&amp;LineItem_ou_Grupodeanúncio&amp;"_"&amp;Linha_Criativa&amp;"_"&amp;Unique_ID)</f>
        <v>#N/A</v>
      </c>
      <c r="AO243" s="28" t="str">
        <f>LOWER("VW"&amp;"_"&amp;Model_Variant&amp;"_"&amp;Size&amp;"_"&amp;Linha_Criativa&amp;"_"&amp;IF(Servido_Por="portal",Veiculo,"adserver"))</f>
        <v>vw____adserver</v>
      </c>
      <c r="AP2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3" s="22" t="str">
        <f t="shared" si="1"/>
        <v/>
      </c>
      <c r="AS243" s="22" t="str">
        <f t="shared" si="2"/>
        <v/>
      </c>
      <c r="AT243" s="22" t="str">
        <f t="shared" si="3"/>
        <v>BR_IMC_DSY_LANCH_ND_NC_2020Q3AUG_NVS_Nivus-Launch-Consideracao</v>
      </c>
      <c r="AU243" s="22" t="str">
        <f t="shared" si="4"/>
        <v>#N/A</v>
      </c>
      <c r="AV243" s="22" t="s">
        <v>106</v>
      </c>
      <c r="AW2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3" s="22" t="str">
        <f t="shared" si="5"/>
        <v>BR_IMC_DSY_LANCH_ND_NC_2020Q3AUG_NVS_Nivus-Launch-Consideracao</v>
      </c>
      <c r="AY243" s="28" t="str">
        <f t="shared" si="6"/>
        <v>#N/A</v>
      </c>
      <c r="AZ243" s="22" t="s">
        <v>107</v>
      </c>
      <c r="BA243" s="22" t="s">
        <v>108</v>
      </c>
      <c r="BB243" s="31" t="s">
        <v>109</v>
      </c>
      <c r="BC243" s="31" t="s">
        <v>109</v>
      </c>
      <c r="BD243" s="32" t="str">
        <f t="shared" si="8"/>
        <v>nvl-nvs-imc-dsy-0820-10237</v>
      </c>
      <c r="BE243" s="33"/>
      <c r="BF243" s="33"/>
      <c r="BG243" s="39" t="str">
        <f>URL&amp;IF(ISNUMBER(FIND("?",URL)),"&amp;","?"&amp;("adlid="&amp;Unique_ID&amp;"&amp;adplt="&amp;Placement))</f>
        <v>#N/A</v>
      </c>
      <c r="BH243" s="1"/>
      <c r="BI243" s="1"/>
      <c r="BJ243" s="35" t="str">
        <f>LOWER("alp"&amp;"_"&amp;"vw"&amp;"_"&amp;Veiculo&amp;"_"&amp;C239&amp;"_"&amp;Objetivo)</f>
        <v>alp_vw___</v>
      </c>
      <c r="BK243" s="35" t="str">
        <f>LOWER(Buying_Metric&amp;"_"&amp;VLOOKUP(Buying_Type,Buy_type,2,FALSE)&amp;"_"&amp;Device&amp;"_"&amp;Size&amp;"_"&amp;Segmentação&amp;"_"&amp;Segmentação_Anúncio)</f>
        <v>#N/A</v>
      </c>
      <c r="BL243" s="35" t="str">
        <f>LOWER(Campanha_ou_InsertionOrder&amp;"_"&amp;LineItem_ou_Grupodeanúncio&amp;"_"&amp;Linha_criativa_2&amp;"_"&amp;Unique_ID)</f>
        <v>#N/A</v>
      </c>
      <c r="BM243" s="27"/>
      <c r="BN243" s="27"/>
    </row>
    <row r="244">
      <c r="A244" s="1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8" t="str">
        <f>LOWER(Campanha_ou_InsertionOrder&amp;"_"&amp;LineItem_ou_Grupodeanúncio&amp;"_"&amp;Linha_Criativa&amp;"_"&amp;Unique_ID)</f>
        <v>#N/A</v>
      </c>
      <c r="AN244" s="28" t="str">
        <f>LOWER(Campanha_ou_InsertionOrder&amp;"_"&amp;LineItem_ou_Grupodeanúncio&amp;"_"&amp;Linha_Criativa&amp;"_"&amp;Unique_ID)</f>
        <v>#N/A</v>
      </c>
      <c r="AO244" s="28" t="str">
        <f>LOWER("VW"&amp;"_"&amp;Model_Variant&amp;"_"&amp;Size&amp;"_"&amp;Linha_Criativa&amp;"_"&amp;IF(Servido_Por="portal",Veiculo,"adserver"))</f>
        <v>vw____adserver</v>
      </c>
      <c r="AP2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4" s="22" t="str">
        <f t="shared" si="1"/>
        <v/>
      </c>
      <c r="AS244" s="22" t="str">
        <f t="shared" si="2"/>
        <v/>
      </c>
      <c r="AT244" s="22" t="str">
        <f t="shared" si="3"/>
        <v>BR_IMC_DSY_LANCH_ND_NC_2020Q3AUG_NVS_Nivus-Launch-Consideracao</v>
      </c>
      <c r="AU244" s="22" t="str">
        <f t="shared" si="4"/>
        <v>#N/A</v>
      </c>
      <c r="AV244" s="22" t="s">
        <v>106</v>
      </c>
      <c r="AW2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4" s="22" t="str">
        <f t="shared" si="5"/>
        <v>BR_IMC_DSY_LANCH_ND_NC_2020Q3AUG_NVS_Nivus-Launch-Consideracao</v>
      </c>
      <c r="AY244" s="28" t="str">
        <f t="shared" si="6"/>
        <v>#N/A</v>
      </c>
      <c r="AZ244" s="22" t="s">
        <v>107</v>
      </c>
      <c r="BA244" s="22" t="s">
        <v>108</v>
      </c>
      <c r="BB244" s="31" t="s">
        <v>109</v>
      </c>
      <c r="BC244" s="31" t="s">
        <v>109</v>
      </c>
      <c r="BD244" s="32" t="str">
        <f t="shared" si="8"/>
        <v>nvl-nvs-imc-dsy-0820-10238</v>
      </c>
      <c r="BE244" s="33"/>
      <c r="BF244" s="33"/>
      <c r="BG244" s="39" t="str">
        <f>URL&amp;IF(ISNUMBER(FIND("?",URL)),"&amp;","?"&amp;("adlid="&amp;Unique_ID&amp;"&amp;adplt="&amp;Placement))</f>
        <v>#N/A</v>
      </c>
      <c r="BH244" s="1"/>
      <c r="BI244" s="1"/>
      <c r="BJ244" s="35" t="str">
        <f>LOWER("alp"&amp;"_"&amp;"vw"&amp;"_"&amp;Veiculo&amp;"_"&amp;C240&amp;"_"&amp;Objetivo)</f>
        <v>alp_vw___</v>
      </c>
      <c r="BK244" s="35" t="str">
        <f>LOWER(Buying_Metric&amp;"_"&amp;VLOOKUP(Buying_Type,Buy_type,2,FALSE)&amp;"_"&amp;Device&amp;"_"&amp;Size&amp;"_"&amp;Segmentação&amp;"_"&amp;Segmentação_Anúncio)</f>
        <v>#N/A</v>
      </c>
      <c r="BL244" s="35" t="str">
        <f>LOWER(Campanha_ou_InsertionOrder&amp;"_"&amp;LineItem_ou_Grupodeanúncio&amp;"_"&amp;Linha_criativa_2&amp;"_"&amp;Unique_ID)</f>
        <v>#N/A</v>
      </c>
      <c r="BM244" s="27"/>
      <c r="BN244" s="27"/>
    </row>
    <row r="245">
      <c r="A245" s="1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8" t="str">
        <f>LOWER(Campanha_ou_InsertionOrder&amp;"_"&amp;LineItem_ou_Grupodeanúncio&amp;"_"&amp;Linha_Criativa&amp;"_"&amp;Unique_ID)</f>
        <v>#N/A</v>
      </c>
      <c r="AN245" s="28" t="str">
        <f>LOWER(Campanha_ou_InsertionOrder&amp;"_"&amp;LineItem_ou_Grupodeanúncio&amp;"_"&amp;Linha_Criativa&amp;"_"&amp;Unique_ID)</f>
        <v>#N/A</v>
      </c>
      <c r="AO245" s="28" t="str">
        <f>LOWER("VW"&amp;"_"&amp;Model_Variant&amp;"_"&amp;Size&amp;"_"&amp;Linha_Criativa&amp;"_"&amp;IF(Servido_Por="portal",Veiculo,"adserver"))</f>
        <v>vw____adserver</v>
      </c>
      <c r="AP2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5" s="22" t="str">
        <f t="shared" si="1"/>
        <v/>
      </c>
      <c r="AS245" s="22" t="str">
        <f t="shared" si="2"/>
        <v/>
      </c>
      <c r="AT245" s="22" t="str">
        <f t="shared" si="3"/>
        <v>BR_IMC_DSY_LANCH_ND_NC_2020Q3AUG_NVS_Nivus-Launch-Consideracao</v>
      </c>
      <c r="AU245" s="22" t="str">
        <f t="shared" si="4"/>
        <v>#N/A</v>
      </c>
      <c r="AV245" s="22" t="s">
        <v>106</v>
      </c>
      <c r="AW2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5" s="22" t="str">
        <f t="shared" si="5"/>
        <v>BR_IMC_DSY_LANCH_ND_NC_2020Q3AUG_NVS_Nivus-Launch-Consideracao</v>
      </c>
      <c r="AY245" s="28" t="str">
        <f t="shared" si="6"/>
        <v>#N/A</v>
      </c>
      <c r="AZ245" s="22" t="s">
        <v>107</v>
      </c>
      <c r="BA245" s="22" t="s">
        <v>108</v>
      </c>
      <c r="BB245" s="31" t="s">
        <v>109</v>
      </c>
      <c r="BC245" s="31" t="s">
        <v>109</v>
      </c>
      <c r="BD245" s="32" t="str">
        <f t="shared" si="8"/>
        <v>nvl-nvs-imc-dsy-0820-10239</v>
      </c>
      <c r="BE245" s="33"/>
      <c r="BF245" s="33"/>
      <c r="BG245" s="39" t="str">
        <f>URL&amp;IF(ISNUMBER(FIND("?",URL)),"&amp;","?"&amp;("adlid="&amp;Unique_ID&amp;"&amp;adplt="&amp;Placement))</f>
        <v>#N/A</v>
      </c>
      <c r="BH245" s="1"/>
      <c r="BI245" s="1"/>
      <c r="BJ245" s="35" t="str">
        <f>LOWER("alp"&amp;"_"&amp;"vw"&amp;"_"&amp;Veiculo&amp;"_"&amp;C241&amp;"_"&amp;Objetivo)</f>
        <v>alp_vw___</v>
      </c>
      <c r="BK245" s="35" t="str">
        <f>LOWER(Buying_Metric&amp;"_"&amp;VLOOKUP(Buying_Type,Buy_type,2,FALSE)&amp;"_"&amp;Device&amp;"_"&amp;Size&amp;"_"&amp;Segmentação&amp;"_"&amp;Segmentação_Anúncio)</f>
        <v>#N/A</v>
      </c>
      <c r="BL245" s="35" t="str">
        <f>LOWER(Campanha_ou_InsertionOrder&amp;"_"&amp;LineItem_ou_Grupodeanúncio&amp;"_"&amp;Linha_criativa_2&amp;"_"&amp;Unique_ID)</f>
        <v>#N/A</v>
      </c>
      <c r="BM245" s="27"/>
      <c r="BN245" s="27"/>
    </row>
    <row r="246">
      <c r="A246" s="1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8" t="str">
        <f>LOWER(Campanha_ou_InsertionOrder&amp;"_"&amp;LineItem_ou_Grupodeanúncio&amp;"_"&amp;Linha_Criativa&amp;"_"&amp;Unique_ID)</f>
        <v>#N/A</v>
      </c>
      <c r="AN246" s="28" t="str">
        <f>LOWER(Campanha_ou_InsertionOrder&amp;"_"&amp;LineItem_ou_Grupodeanúncio&amp;"_"&amp;Linha_Criativa&amp;"_"&amp;Unique_ID)</f>
        <v>#N/A</v>
      </c>
      <c r="AO246" s="28" t="str">
        <f>LOWER("VW"&amp;"_"&amp;Model_Variant&amp;"_"&amp;Size&amp;"_"&amp;Linha_Criativa&amp;"_"&amp;IF(Servido_Por="portal",Veiculo,"adserver"))</f>
        <v>vw____adserver</v>
      </c>
      <c r="AP2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6" s="22" t="str">
        <f t="shared" si="1"/>
        <v/>
      </c>
      <c r="AS246" s="22" t="str">
        <f t="shared" si="2"/>
        <v/>
      </c>
      <c r="AT246" s="22" t="str">
        <f t="shared" si="3"/>
        <v>BR_IMC_DSY_LANCH_ND_NC_2020Q3AUG_NVS_Nivus-Launch-Consideracao</v>
      </c>
      <c r="AU246" s="22" t="str">
        <f t="shared" si="4"/>
        <v>#N/A</v>
      </c>
      <c r="AV246" s="22" t="s">
        <v>106</v>
      </c>
      <c r="AW2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6" s="22" t="str">
        <f t="shared" si="5"/>
        <v>BR_IMC_DSY_LANCH_ND_NC_2020Q3AUG_NVS_Nivus-Launch-Consideracao</v>
      </c>
      <c r="AY246" s="28" t="str">
        <f t="shared" si="6"/>
        <v>#N/A</v>
      </c>
      <c r="AZ246" s="22" t="s">
        <v>107</v>
      </c>
      <c r="BA246" s="22" t="s">
        <v>108</v>
      </c>
      <c r="BB246" s="31" t="s">
        <v>109</v>
      </c>
      <c r="BC246" s="31" t="s">
        <v>109</v>
      </c>
      <c r="BD246" s="32" t="str">
        <f t="shared" si="8"/>
        <v>nvl-nvs-imc-dsy-0820-10240</v>
      </c>
      <c r="BE246" s="33"/>
      <c r="BF246" s="33"/>
      <c r="BG246" s="39" t="str">
        <f>URL&amp;IF(ISNUMBER(FIND("?",URL)),"&amp;","?"&amp;("adlid="&amp;Unique_ID&amp;"&amp;adplt="&amp;Placement))</f>
        <v>#N/A</v>
      </c>
      <c r="BH246" s="1"/>
      <c r="BI246" s="1"/>
      <c r="BJ246" s="35" t="str">
        <f>LOWER("alp"&amp;"_"&amp;"vw"&amp;"_"&amp;Veiculo&amp;"_"&amp;C242&amp;"_"&amp;Objetivo)</f>
        <v>alp_vw___</v>
      </c>
      <c r="BK246" s="35" t="str">
        <f>LOWER(Buying_Metric&amp;"_"&amp;VLOOKUP(Buying_Type,Buy_type,2,FALSE)&amp;"_"&amp;Device&amp;"_"&amp;Size&amp;"_"&amp;Segmentação&amp;"_"&amp;Segmentação_Anúncio)</f>
        <v>#N/A</v>
      </c>
      <c r="BL246" s="35" t="str">
        <f>LOWER(Campanha_ou_InsertionOrder&amp;"_"&amp;LineItem_ou_Grupodeanúncio&amp;"_"&amp;Linha_criativa_2&amp;"_"&amp;Unique_ID)</f>
        <v>#N/A</v>
      </c>
      <c r="BM246" s="27"/>
      <c r="BN246" s="27"/>
    </row>
    <row r="247">
      <c r="A247" s="1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8" t="str">
        <f>LOWER(Campanha_ou_InsertionOrder&amp;"_"&amp;LineItem_ou_Grupodeanúncio&amp;"_"&amp;Linha_Criativa&amp;"_"&amp;Unique_ID)</f>
        <v>#N/A</v>
      </c>
      <c r="AN247" s="28" t="str">
        <f>LOWER(Campanha_ou_InsertionOrder&amp;"_"&amp;LineItem_ou_Grupodeanúncio&amp;"_"&amp;Linha_Criativa&amp;"_"&amp;Unique_ID)</f>
        <v>#N/A</v>
      </c>
      <c r="AO247" s="28" t="str">
        <f>LOWER("VW"&amp;"_"&amp;Model_Variant&amp;"_"&amp;Size&amp;"_"&amp;Linha_Criativa&amp;"_"&amp;IF(Servido_Por="portal",Veiculo,"adserver"))</f>
        <v>vw____adserver</v>
      </c>
      <c r="AP2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7" s="22" t="str">
        <f t="shared" si="1"/>
        <v/>
      </c>
      <c r="AS247" s="22" t="str">
        <f t="shared" si="2"/>
        <v/>
      </c>
      <c r="AT247" s="22" t="str">
        <f t="shared" si="3"/>
        <v>BR_IMC_DSY_LANCH_ND_NC_2020Q3AUG_NVS_Nivus-Launch-Consideracao</v>
      </c>
      <c r="AU247" s="22" t="str">
        <f t="shared" si="4"/>
        <v>#N/A</v>
      </c>
      <c r="AV247" s="22" t="s">
        <v>106</v>
      </c>
      <c r="AW2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7" s="22" t="str">
        <f t="shared" si="5"/>
        <v>BR_IMC_DSY_LANCH_ND_NC_2020Q3AUG_NVS_Nivus-Launch-Consideracao</v>
      </c>
      <c r="AY247" s="28" t="str">
        <f t="shared" si="6"/>
        <v>#N/A</v>
      </c>
      <c r="AZ247" s="22" t="s">
        <v>107</v>
      </c>
      <c r="BA247" s="22" t="s">
        <v>108</v>
      </c>
      <c r="BB247" s="31" t="s">
        <v>109</v>
      </c>
      <c r="BC247" s="31" t="s">
        <v>109</v>
      </c>
      <c r="BD247" s="32" t="str">
        <f t="shared" si="8"/>
        <v>nvl-nvs-imc-dsy-0820-10241</v>
      </c>
      <c r="BE247" s="33"/>
      <c r="BF247" s="33"/>
      <c r="BG247" s="39" t="str">
        <f>URL&amp;IF(ISNUMBER(FIND("?",URL)),"&amp;","?"&amp;("adlid="&amp;Unique_ID&amp;"&amp;adplt="&amp;Placement))</f>
        <v>#N/A</v>
      </c>
      <c r="BH247" s="1"/>
      <c r="BI247" s="1"/>
      <c r="BJ247" s="35" t="str">
        <f>LOWER("alp"&amp;"_"&amp;"vw"&amp;"_"&amp;Veiculo&amp;"_"&amp;C243&amp;"_"&amp;Objetivo)</f>
        <v>alp_vw___</v>
      </c>
      <c r="BK247" s="35" t="str">
        <f>LOWER(Buying_Metric&amp;"_"&amp;VLOOKUP(Buying_Type,Buy_type,2,FALSE)&amp;"_"&amp;Device&amp;"_"&amp;Size&amp;"_"&amp;Segmentação&amp;"_"&amp;Segmentação_Anúncio)</f>
        <v>#N/A</v>
      </c>
      <c r="BL247" s="35" t="str">
        <f>LOWER(Campanha_ou_InsertionOrder&amp;"_"&amp;LineItem_ou_Grupodeanúncio&amp;"_"&amp;Linha_criativa_2&amp;"_"&amp;Unique_ID)</f>
        <v>#N/A</v>
      </c>
      <c r="BM247" s="27"/>
      <c r="BN247" s="27"/>
    </row>
    <row r="248">
      <c r="A248" s="1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8" t="str">
        <f>LOWER(Campanha_ou_InsertionOrder&amp;"_"&amp;LineItem_ou_Grupodeanúncio&amp;"_"&amp;Linha_Criativa&amp;"_"&amp;Unique_ID)</f>
        <v>#N/A</v>
      </c>
      <c r="AN248" s="28" t="str">
        <f>LOWER(Campanha_ou_InsertionOrder&amp;"_"&amp;LineItem_ou_Grupodeanúncio&amp;"_"&amp;Linha_Criativa&amp;"_"&amp;Unique_ID)</f>
        <v>#N/A</v>
      </c>
      <c r="AO248" s="28" t="str">
        <f>LOWER("VW"&amp;"_"&amp;Model_Variant&amp;"_"&amp;Size&amp;"_"&amp;Linha_Criativa&amp;"_"&amp;IF(Servido_Por="portal",Veiculo,"adserver"))</f>
        <v>vw____adserver</v>
      </c>
      <c r="AP2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8" s="22" t="str">
        <f t="shared" si="1"/>
        <v/>
      </c>
      <c r="AS248" s="22" t="str">
        <f t="shared" si="2"/>
        <v/>
      </c>
      <c r="AT248" s="22" t="str">
        <f t="shared" si="3"/>
        <v>BR_IMC_DSY_LANCH_ND_NC_2020Q3AUG_NVS_Nivus-Launch-Consideracao</v>
      </c>
      <c r="AU248" s="22" t="str">
        <f t="shared" si="4"/>
        <v>#N/A</v>
      </c>
      <c r="AV248" s="22" t="s">
        <v>106</v>
      </c>
      <c r="AW2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8" s="22" t="str">
        <f t="shared" si="5"/>
        <v>BR_IMC_DSY_LANCH_ND_NC_2020Q3AUG_NVS_Nivus-Launch-Consideracao</v>
      </c>
      <c r="AY248" s="28" t="str">
        <f t="shared" si="6"/>
        <v>#N/A</v>
      </c>
      <c r="AZ248" s="22" t="s">
        <v>107</v>
      </c>
      <c r="BA248" s="22" t="s">
        <v>108</v>
      </c>
      <c r="BB248" s="31" t="s">
        <v>109</v>
      </c>
      <c r="BC248" s="31" t="s">
        <v>109</v>
      </c>
      <c r="BD248" s="32" t="str">
        <f t="shared" si="8"/>
        <v>nvl-nvs-imc-dsy-0820-10242</v>
      </c>
      <c r="BE248" s="33"/>
      <c r="BF248" s="33"/>
      <c r="BG248" s="39" t="str">
        <f>URL&amp;IF(ISNUMBER(FIND("?",URL)),"&amp;","?"&amp;("adlid="&amp;Unique_ID&amp;"&amp;adplt="&amp;Placement))</f>
        <v>#N/A</v>
      </c>
      <c r="BH248" s="1"/>
      <c r="BI248" s="1"/>
      <c r="BJ248" s="35" t="str">
        <f>LOWER("alp"&amp;"_"&amp;"vw"&amp;"_"&amp;Veiculo&amp;"_"&amp;C244&amp;"_"&amp;Objetivo)</f>
        <v>alp_vw___</v>
      </c>
      <c r="BK248" s="35" t="str">
        <f>LOWER(Buying_Metric&amp;"_"&amp;VLOOKUP(Buying_Type,Buy_type,2,FALSE)&amp;"_"&amp;Device&amp;"_"&amp;Size&amp;"_"&amp;Segmentação&amp;"_"&amp;Segmentação_Anúncio)</f>
        <v>#N/A</v>
      </c>
      <c r="BL248" s="35" t="str">
        <f>LOWER(Campanha_ou_InsertionOrder&amp;"_"&amp;LineItem_ou_Grupodeanúncio&amp;"_"&amp;Linha_criativa_2&amp;"_"&amp;Unique_ID)</f>
        <v>#N/A</v>
      </c>
      <c r="BM248" s="27"/>
      <c r="BN248" s="27"/>
    </row>
    <row r="249">
      <c r="A249" s="1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8" t="str">
        <f>LOWER(Campanha_ou_InsertionOrder&amp;"_"&amp;LineItem_ou_Grupodeanúncio&amp;"_"&amp;Linha_Criativa&amp;"_"&amp;Unique_ID)</f>
        <v>#N/A</v>
      </c>
      <c r="AN249" s="28" t="str">
        <f>LOWER(Campanha_ou_InsertionOrder&amp;"_"&amp;LineItem_ou_Grupodeanúncio&amp;"_"&amp;Linha_Criativa&amp;"_"&amp;Unique_ID)</f>
        <v>#N/A</v>
      </c>
      <c r="AO249" s="28" t="str">
        <f>LOWER("VW"&amp;"_"&amp;Model_Variant&amp;"_"&amp;Size&amp;"_"&amp;Linha_Criativa&amp;"_"&amp;IF(Servido_Por="portal",Veiculo,"adserver"))</f>
        <v>vw____adserver</v>
      </c>
      <c r="AP2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49" s="22" t="str">
        <f t="shared" si="1"/>
        <v/>
      </c>
      <c r="AS249" s="22" t="str">
        <f t="shared" si="2"/>
        <v/>
      </c>
      <c r="AT249" s="22" t="str">
        <f t="shared" si="3"/>
        <v>BR_IMC_DSY_LANCH_ND_NC_2020Q3AUG_NVS_Nivus-Launch-Consideracao</v>
      </c>
      <c r="AU249" s="22" t="str">
        <f t="shared" si="4"/>
        <v>#N/A</v>
      </c>
      <c r="AV249" s="22" t="s">
        <v>106</v>
      </c>
      <c r="AW2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49" s="22" t="str">
        <f t="shared" si="5"/>
        <v>BR_IMC_DSY_LANCH_ND_NC_2020Q3AUG_NVS_Nivus-Launch-Consideracao</v>
      </c>
      <c r="AY249" s="28" t="str">
        <f t="shared" si="6"/>
        <v>#N/A</v>
      </c>
      <c r="AZ249" s="22" t="s">
        <v>107</v>
      </c>
      <c r="BA249" s="22" t="s">
        <v>108</v>
      </c>
      <c r="BB249" s="31" t="s">
        <v>109</v>
      </c>
      <c r="BC249" s="31" t="s">
        <v>109</v>
      </c>
      <c r="BD249" s="32" t="str">
        <f t="shared" si="8"/>
        <v>nvl-nvs-imc-dsy-0820-10243</v>
      </c>
      <c r="BE249" s="33"/>
      <c r="BF249" s="33"/>
      <c r="BG249" s="39" t="str">
        <f>URL&amp;IF(ISNUMBER(FIND("?",URL)),"&amp;","?"&amp;("adlid="&amp;Unique_ID&amp;"&amp;adplt="&amp;Placement))</f>
        <v>#N/A</v>
      </c>
      <c r="BH249" s="1"/>
      <c r="BI249" s="1"/>
      <c r="BJ249" s="35" t="str">
        <f>LOWER("alp"&amp;"_"&amp;"vw"&amp;"_"&amp;Veiculo&amp;"_"&amp;C245&amp;"_"&amp;Objetivo)</f>
        <v>alp_vw___</v>
      </c>
      <c r="BK249" s="35" t="str">
        <f>LOWER(Buying_Metric&amp;"_"&amp;VLOOKUP(Buying_Type,Buy_type,2,FALSE)&amp;"_"&amp;Device&amp;"_"&amp;Size&amp;"_"&amp;Segmentação&amp;"_"&amp;Segmentação_Anúncio)</f>
        <v>#N/A</v>
      </c>
      <c r="BL249" s="35" t="str">
        <f>LOWER(Campanha_ou_InsertionOrder&amp;"_"&amp;LineItem_ou_Grupodeanúncio&amp;"_"&amp;Linha_criativa_2&amp;"_"&amp;Unique_ID)</f>
        <v>#N/A</v>
      </c>
      <c r="BM249" s="27"/>
      <c r="BN249" s="27"/>
    </row>
    <row r="250">
      <c r="A250" s="1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8" t="str">
        <f>LOWER(Campanha_ou_InsertionOrder&amp;"_"&amp;LineItem_ou_Grupodeanúncio&amp;"_"&amp;Linha_Criativa&amp;"_"&amp;Unique_ID)</f>
        <v>#N/A</v>
      </c>
      <c r="AN250" s="28" t="str">
        <f>LOWER(Campanha_ou_InsertionOrder&amp;"_"&amp;LineItem_ou_Grupodeanúncio&amp;"_"&amp;Linha_Criativa&amp;"_"&amp;Unique_ID)</f>
        <v>#N/A</v>
      </c>
      <c r="AO250" s="28" t="str">
        <f>LOWER("VW"&amp;"_"&amp;Model_Variant&amp;"_"&amp;Size&amp;"_"&amp;Linha_Criativa&amp;"_"&amp;IF(Servido_Por="portal",Veiculo,"adserver"))</f>
        <v>vw____adserver</v>
      </c>
      <c r="AP2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0" s="22" t="str">
        <f t="shared" si="1"/>
        <v/>
      </c>
      <c r="AS250" s="22" t="str">
        <f t="shared" si="2"/>
        <v/>
      </c>
      <c r="AT250" s="22" t="str">
        <f t="shared" si="3"/>
        <v>BR_IMC_DSY_LANCH_ND_NC_2020Q3AUG_NVS_Nivus-Launch-Consideracao</v>
      </c>
      <c r="AU250" s="22" t="str">
        <f t="shared" si="4"/>
        <v>#N/A</v>
      </c>
      <c r="AV250" s="22" t="s">
        <v>106</v>
      </c>
      <c r="AW2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0" s="22" t="str">
        <f t="shared" si="5"/>
        <v>BR_IMC_DSY_LANCH_ND_NC_2020Q3AUG_NVS_Nivus-Launch-Consideracao</v>
      </c>
      <c r="AY250" s="28" t="str">
        <f t="shared" si="6"/>
        <v>#N/A</v>
      </c>
      <c r="AZ250" s="22" t="s">
        <v>107</v>
      </c>
      <c r="BA250" s="22" t="s">
        <v>108</v>
      </c>
      <c r="BB250" s="31" t="s">
        <v>109</v>
      </c>
      <c r="BC250" s="31" t="s">
        <v>109</v>
      </c>
      <c r="BD250" s="32" t="str">
        <f t="shared" si="8"/>
        <v>nvl-nvs-imc-dsy-0820-10244</v>
      </c>
      <c r="BE250" s="33"/>
      <c r="BF250" s="33"/>
      <c r="BG250" s="39" t="str">
        <f>URL&amp;IF(ISNUMBER(FIND("?",URL)),"&amp;","?"&amp;("adlid="&amp;Unique_ID&amp;"&amp;adplt="&amp;Placement))</f>
        <v>#N/A</v>
      </c>
      <c r="BH250" s="1"/>
      <c r="BI250" s="1"/>
      <c r="BJ250" s="35" t="str">
        <f>LOWER("alp"&amp;"_"&amp;"vw"&amp;"_"&amp;Veiculo&amp;"_"&amp;C246&amp;"_"&amp;Objetivo)</f>
        <v>alp_vw___</v>
      </c>
      <c r="BK250" s="35" t="str">
        <f>LOWER(Buying_Metric&amp;"_"&amp;VLOOKUP(Buying_Type,Buy_type,2,FALSE)&amp;"_"&amp;Device&amp;"_"&amp;Size&amp;"_"&amp;Segmentação&amp;"_"&amp;Segmentação_Anúncio)</f>
        <v>#N/A</v>
      </c>
      <c r="BL250" s="35" t="str">
        <f>LOWER(Campanha_ou_InsertionOrder&amp;"_"&amp;LineItem_ou_Grupodeanúncio&amp;"_"&amp;Linha_criativa_2&amp;"_"&amp;Unique_ID)</f>
        <v>#N/A</v>
      </c>
      <c r="BM250" s="27"/>
      <c r="BN250" s="27"/>
    </row>
    <row r="251">
      <c r="A251" s="1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8" t="str">
        <f>LOWER(Campanha_ou_InsertionOrder&amp;"_"&amp;LineItem_ou_Grupodeanúncio&amp;"_"&amp;Linha_Criativa&amp;"_"&amp;Unique_ID)</f>
        <v>#N/A</v>
      </c>
      <c r="AN251" s="28" t="str">
        <f>LOWER(Campanha_ou_InsertionOrder&amp;"_"&amp;LineItem_ou_Grupodeanúncio&amp;"_"&amp;Linha_Criativa&amp;"_"&amp;Unique_ID)</f>
        <v>#N/A</v>
      </c>
      <c r="AO251" s="28" t="str">
        <f>LOWER("VW"&amp;"_"&amp;Model_Variant&amp;"_"&amp;Size&amp;"_"&amp;Linha_Criativa&amp;"_"&amp;IF(Servido_Por="portal",Veiculo,"adserver"))</f>
        <v>vw____adserver</v>
      </c>
      <c r="AP2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1" s="22" t="str">
        <f t="shared" si="1"/>
        <v/>
      </c>
      <c r="AS251" s="22" t="str">
        <f t="shared" si="2"/>
        <v/>
      </c>
      <c r="AT251" s="22" t="str">
        <f t="shared" si="3"/>
        <v>BR_IMC_DSY_LANCH_ND_NC_2020Q3AUG_NVS_Nivus-Launch-Consideracao</v>
      </c>
      <c r="AU251" s="22" t="str">
        <f t="shared" si="4"/>
        <v>#N/A</v>
      </c>
      <c r="AV251" s="22" t="s">
        <v>106</v>
      </c>
      <c r="AW2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1" s="22" t="str">
        <f t="shared" si="5"/>
        <v>BR_IMC_DSY_LANCH_ND_NC_2020Q3AUG_NVS_Nivus-Launch-Consideracao</v>
      </c>
      <c r="AY251" s="28" t="str">
        <f t="shared" si="6"/>
        <v>#N/A</v>
      </c>
      <c r="AZ251" s="22" t="s">
        <v>107</v>
      </c>
      <c r="BA251" s="22" t="s">
        <v>108</v>
      </c>
      <c r="BB251" s="31" t="s">
        <v>109</v>
      </c>
      <c r="BC251" s="31" t="s">
        <v>109</v>
      </c>
      <c r="BD251" s="32" t="str">
        <f t="shared" si="8"/>
        <v>nvl-nvs-imc-dsy-0820-10245</v>
      </c>
      <c r="BE251" s="33"/>
      <c r="BF251" s="33"/>
      <c r="BG251" s="39" t="str">
        <f>URL&amp;IF(ISNUMBER(FIND("?",URL)),"&amp;","?"&amp;("adlid="&amp;Unique_ID&amp;"&amp;adplt="&amp;Placement))</f>
        <v>#N/A</v>
      </c>
      <c r="BH251" s="1"/>
      <c r="BI251" s="1"/>
      <c r="BJ251" s="35" t="str">
        <f>LOWER("alp"&amp;"_"&amp;"vw"&amp;"_"&amp;Veiculo&amp;"_"&amp;C247&amp;"_"&amp;Objetivo)</f>
        <v>alp_vw___</v>
      </c>
      <c r="BK251" s="35" t="str">
        <f>LOWER(Buying_Metric&amp;"_"&amp;VLOOKUP(Buying_Type,Buy_type,2,FALSE)&amp;"_"&amp;Device&amp;"_"&amp;Size&amp;"_"&amp;Segmentação&amp;"_"&amp;Segmentação_Anúncio)</f>
        <v>#N/A</v>
      </c>
      <c r="BL251" s="35" t="str">
        <f>LOWER(Campanha_ou_InsertionOrder&amp;"_"&amp;LineItem_ou_Grupodeanúncio&amp;"_"&amp;Linha_criativa_2&amp;"_"&amp;Unique_ID)</f>
        <v>#N/A</v>
      </c>
      <c r="BM251" s="27"/>
      <c r="BN251" s="27"/>
    </row>
    <row r="252">
      <c r="A252" s="1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8" t="str">
        <f>LOWER(Campanha_ou_InsertionOrder&amp;"_"&amp;LineItem_ou_Grupodeanúncio&amp;"_"&amp;Linha_Criativa&amp;"_"&amp;Unique_ID)</f>
        <v>#N/A</v>
      </c>
      <c r="AN252" s="28" t="str">
        <f>LOWER(Campanha_ou_InsertionOrder&amp;"_"&amp;LineItem_ou_Grupodeanúncio&amp;"_"&amp;Linha_Criativa&amp;"_"&amp;Unique_ID)</f>
        <v>#N/A</v>
      </c>
      <c r="AO252" s="28" t="str">
        <f>LOWER("VW"&amp;"_"&amp;Model_Variant&amp;"_"&amp;Size&amp;"_"&amp;Linha_Criativa&amp;"_"&amp;IF(Servido_Por="portal",Veiculo,"adserver"))</f>
        <v>vw____adserver</v>
      </c>
      <c r="AP2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2" s="22" t="str">
        <f t="shared" si="1"/>
        <v/>
      </c>
      <c r="AS252" s="22" t="str">
        <f t="shared" si="2"/>
        <v/>
      </c>
      <c r="AT252" s="22" t="str">
        <f t="shared" si="3"/>
        <v>BR_IMC_DSY_LANCH_ND_NC_2020Q3AUG_NVS_Nivus-Launch-Consideracao</v>
      </c>
      <c r="AU252" s="22" t="str">
        <f t="shared" si="4"/>
        <v>#N/A</v>
      </c>
      <c r="AV252" s="22" t="s">
        <v>106</v>
      </c>
      <c r="AW2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2" s="22" t="str">
        <f t="shared" si="5"/>
        <v>BR_IMC_DSY_LANCH_ND_NC_2020Q3AUG_NVS_Nivus-Launch-Consideracao</v>
      </c>
      <c r="AY252" s="28" t="str">
        <f t="shared" si="6"/>
        <v>#N/A</v>
      </c>
      <c r="AZ252" s="22" t="s">
        <v>107</v>
      </c>
      <c r="BA252" s="22" t="s">
        <v>108</v>
      </c>
      <c r="BB252" s="31" t="s">
        <v>109</v>
      </c>
      <c r="BC252" s="31" t="s">
        <v>109</v>
      </c>
      <c r="BD252" s="32" t="str">
        <f t="shared" si="8"/>
        <v>nvl-nvs-imc-dsy-0820-10246</v>
      </c>
      <c r="BE252" s="33"/>
      <c r="BF252" s="33"/>
      <c r="BG252" s="39" t="str">
        <f>URL&amp;IF(ISNUMBER(FIND("?",URL)),"&amp;","?"&amp;("adlid="&amp;Unique_ID&amp;"&amp;adplt="&amp;Placement))</f>
        <v>#N/A</v>
      </c>
      <c r="BH252" s="1"/>
      <c r="BI252" s="1"/>
      <c r="BJ252" s="35" t="str">
        <f>LOWER("alp"&amp;"_"&amp;"vw"&amp;"_"&amp;Veiculo&amp;"_"&amp;C248&amp;"_"&amp;Objetivo)</f>
        <v>alp_vw___</v>
      </c>
      <c r="BK252" s="35" t="str">
        <f>LOWER(Buying_Metric&amp;"_"&amp;VLOOKUP(Buying_Type,Buy_type,2,FALSE)&amp;"_"&amp;Device&amp;"_"&amp;Size&amp;"_"&amp;Segmentação&amp;"_"&amp;Segmentação_Anúncio)</f>
        <v>#N/A</v>
      </c>
      <c r="BL252" s="35" t="str">
        <f>LOWER(Campanha_ou_InsertionOrder&amp;"_"&amp;LineItem_ou_Grupodeanúncio&amp;"_"&amp;Linha_criativa_2&amp;"_"&amp;Unique_ID)</f>
        <v>#N/A</v>
      </c>
      <c r="BM252" s="27"/>
      <c r="BN252" s="27"/>
    </row>
    <row r="253">
      <c r="A253" s="1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8" t="str">
        <f>LOWER(Campanha_ou_InsertionOrder&amp;"_"&amp;LineItem_ou_Grupodeanúncio&amp;"_"&amp;Linha_Criativa&amp;"_"&amp;Unique_ID)</f>
        <v>#N/A</v>
      </c>
      <c r="AN253" s="28" t="str">
        <f>LOWER(Campanha_ou_InsertionOrder&amp;"_"&amp;LineItem_ou_Grupodeanúncio&amp;"_"&amp;Linha_Criativa&amp;"_"&amp;Unique_ID)</f>
        <v>#N/A</v>
      </c>
      <c r="AO253" s="28" t="str">
        <f>LOWER("VW"&amp;"_"&amp;Model_Variant&amp;"_"&amp;Size&amp;"_"&amp;Linha_Criativa&amp;"_"&amp;IF(Servido_Por="portal",Veiculo,"adserver"))</f>
        <v>vw____adserver</v>
      </c>
      <c r="AP2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3" s="22" t="str">
        <f t="shared" si="1"/>
        <v/>
      </c>
      <c r="AS253" s="22" t="str">
        <f t="shared" si="2"/>
        <v/>
      </c>
      <c r="AT253" s="22" t="str">
        <f t="shared" si="3"/>
        <v>BR_IMC_DSY_LANCH_ND_NC_2020Q3AUG_NVS_Nivus-Launch-Consideracao</v>
      </c>
      <c r="AU253" s="22" t="str">
        <f t="shared" si="4"/>
        <v>#N/A</v>
      </c>
      <c r="AV253" s="22" t="s">
        <v>106</v>
      </c>
      <c r="AW2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3" s="22" t="str">
        <f t="shared" si="5"/>
        <v>BR_IMC_DSY_LANCH_ND_NC_2020Q3AUG_NVS_Nivus-Launch-Consideracao</v>
      </c>
      <c r="AY253" s="28" t="str">
        <f t="shared" si="6"/>
        <v>#N/A</v>
      </c>
      <c r="AZ253" s="22" t="s">
        <v>107</v>
      </c>
      <c r="BA253" s="22" t="s">
        <v>108</v>
      </c>
      <c r="BB253" s="31" t="s">
        <v>109</v>
      </c>
      <c r="BC253" s="31" t="s">
        <v>109</v>
      </c>
      <c r="BD253" s="32" t="str">
        <f t="shared" si="8"/>
        <v>nvl-nvs-imc-dsy-0820-10247</v>
      </c>
      <c r="BE253" s="33"/>
      <c r="BF253" s="33"/>
      <c r="BG253" s="39" t="str">
        <f>URL&amp;IF(ISNUMBER(FIND("?",URL)),"&amp;","?"&amp;("adlid="&amp;Unique_ID&amp;"&amp;adplt="&amp;Placement))</f>
        <v>#N/A</v>
      </c>
      <c r="BH253" s="1"/>
      <c r="BI253" s="1"/>
      <c r="BJ253" s="35" t="str">
        <f>LOWER("alp"&amp;"_"&amp;"vw"&amp;"_"&amp;Veiculo&amp;"_"&amp;C249&amp;"_"&amp;Objetivo)</f>
        <v>alp_vw___</v>
      </c>
      <c r="BK253" s="35" t="str">
        <f>LOWER(Buying_Metric&amp;"_"&amp;VLOOKUP(Buying_Type,Buy_type,2,FALSE)&amp;"_"&amp;Device&amp;"_"&amp;Size&amp;"_"&amp;Segmentação&amp;"_"&amp;Segmentação_Anúncio)</f>
        <v>#N/A</v>
      </c>
      <c r="BL253" s="35" t="str">
        <f>LOWER(Campanha_ou_InsertionOrder&amp;"_"&amp;LineItem_ou_Grupodeanúncio&amp;"_"&amp;Linha_criativa_2&amp;"_"&amp;Unique_ID)</f>
        <v>#N/A</v>
      </c>
      <c r="BM253" s="27"/>
      <c r="BN253" s="27"/>
    </row>
    <row r="254">
      <c r="A254" s="1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tr">
        <f>LOWER(Campanha_ou_InsertionOrder&amp;"_"&amp;LineItem_ou_Grupodeanúncio&amp;"_"&amp;Linha_Criativa&amp;"_"&amp;Unique_ID)</f>
        <v>#N/A</v>
      </c>
      <c r="AN254" s="28" t="str">
        <f>LOWER(Campanha_ou_InsertionOrder&amp;"_"&amp;LineItem_ou_Grupodeanúncio&amp;"_"&amp;Linha_Criativa&amp;"_"&amp;Unique_ID)</f>
        <v>#N/A</v>
      </c>
      <c r="AO254" s="28" t="str">
        <f>LOWER("VW"&amp;"_"&amp;Model_Variant&amp;"_"&amp;Size&amp;"_"&amp;Linha_Criativa&amp;"_"&amp;IF(Servido_Por="portal",Veiculo,"adserver"))</f>
        <v>vw____adserver</v>
      </c>
      <c r="AP2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4" s="22" t="str">
        <f t="shared" si="1"/>
        <v/>
      </c>
      <c r="AS254" s="22" t="str">
        <f t="shared" si="2"/>
        <v/>
      </c>
      <c r="AT254" s="22" t="str">
        <f t="shared" si="3"/>
        <v>BR_IMC_DSY_LANCH_ND_NC_2020Q3AUG_NVS_Nivus-Launch-Consideracao</v>
      </c>
      <c r="AU254" s="22" t="str">
        <f t="shared" si="4"/>
        <v>#N/A</v>
      </c>
      <c r="AV254" s="22" t="s">
        <v>106</v>
      </c>
      <c r="AW2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4" s="22" t="str">
        <f t="shared" si="5"/>
        <v>BR_IMC_DSY_LANCH_ND_NC_2020Q3AUG_NVS_Nivus-Launch-Consideracao</v>
      </c>
      <c r="AY254" s="28" t="str">
        <f t="shared" si="6"/>
        <v>#N/A</v>
      </c>
      <c r="AZ254" s="22" t="s">
        <v>107</v>
      </c>
      <c r="BA254" s="22" t="s">
        <v>108</v>
      </c>
      <c r="BB254" s="31" t="s">
        <v>109</v>
      </c>
      <c r="BC254" s="31" t="s">
        <v>109</v>
      </c>
      <c r="BD254" s="32" t="str">
        <f t="shared" si="8"/>
        <v>nvl-nvs-imc-dsy-0820-10248</v>
      </c>
      <c r="BE254" s="33"/>
      <c r="BF254" s="33"/>
      <c r="BG254" s="39" t="str">
        <f>URL&amp;IF(ISNUMBER(FIND("?",URL)),"&amp;","?"&amp;("adlid="&amp;Unique_ID&amp;"&amp;adplt="&amp;Placement))</f>
        <v>#N/A</v>
      </c>
      <c r="BH254" s="1"/>
      <c r="BI254" s="1"/>
      <c r="BJ254" s="35" t="str">
        <f>LOWER("alp"&amp;"_"&amp;"vw"&amp;"_"&amp;Veiculo&amp;"_"&amp;C250&amp;"_"&amp;Objetivo)</f>
        <v>alp_vw___</v>
      </c>
      <c r="BK254" s="35" t="str">
        <f>LOWER(Buying_Metric&amp;"_"&amp;VLOOKUP(Buying_Type,Buy_type,2,FALSE)&amp;"_"&amp;Device&amp;"_"&amp;Size&amp;"_"&amp;Segmentação&amp;"_"&amp;Segmentação_Anúncio)</f>
        <v>#N/A</v>
      </c>
      <c r="BL254" s="35" t="str">
        <f>LOWER(Campanha_ou_InsertionOrder&amp;"_"&amp;LineItem_ou_Grupodeanúncio&amp;"_"&amp;Linha_criativa_2&amp;"_"&amp;Unique_ID)</f>
        <v>#N/A</v>
      </c>
      <c r="BM254" s="27"/>
      <c r="BN254" s="27"/>
    </row>
    <row r="255">
      <c r="A255" s="1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8" t="str">
        <f>LOWER(Campanha_ou_InsertionOrder&amp;"_"&amp;LineItem_ou_Grupodeanúncio&amp;"_"&amp;Linha_Criativa&amp;"_"&amp;Unique_ID)</f>
        <v>#N/A</v>
      </c>
      <c r="AN255" s="28" t="str">
        <f>LOWER(Campanha_ou_InsertionOrder&amp;"_"&amp;LineItem_ou_Grupodeanúncio&amp;"_"&amp;Linha_Criativa&amp;"_"&amp;Unique_ID)</f>
        <v>#N/A</v>
      </c>
      <c r="AO255" s="28" t="str">
        <f>LOWER("VW"&amp;"_"&amp;Model_Variant&amp;"_"&amp;Size&amp;"_"&amp;Linha_Criativa&amp;"_"&amp;IF(Servido_Por="portal",Veiculo,"adserver"))</f>
        <v>vw____adserver</v>
      </c>
      <c r="AP2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5" s="22" t="str">
        <f t="shared" si="1"/>
        <v/>
      </c>
      <c r="AS255" s="22" t="str">
        <f t="shared" si="2"/>
        <v/>
      </c>
      <c r="AT255" s="22" t="str">
        <f t="shared" si="3"/>
        <v>BR_IMC_DSY_LANCH_ND_NC_2020Q3AUG_NVS_Nivus-Launch-Consideracao</v>
      </c>
      <c r="AU255" s="22" t="str">
        <f t="shared" si="4"/>
        <v>#N/A</v>
      </c>
      <c r="AV255" s="22" t="s">
        <v>106</v>
      </c>
      <c r="AW2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5" s="22" t="str">
        <f t="shared" si="5"/>
        <v>BR_IMC_DSY_LANCH_ND_NC_2020Q3AUG_NVS_Nivus-Launch-Consideracao</v>
      </c>
      <c r="AY255" s="28" t="str">
        <f t="shared" si="6"/>
        <v>#N/A</v>
      </c>
      <c r="AZ255" s="22" t="s">
        <v>107</v>
      </c>
      <c r="BA255" s="22" t="s">
        <v>108</v>
      </c>
      <c r="BB255" s="31" t="s">
        <v>109</v>
      </c>
      <c r="BC255" s="31" t="s">
        <v>109</v>
      </c>
      <c r="BD255" s="32" t="str">
        <f t="shared" si="8"/>
        <v>nvl-nvs-imc-dsy-0820-10249</v>
      </c>
      <c r="BE255" s="33"/>
      <c r="BF255" s="33"/>
      <c r="BG255" s="39" t="str">
        <f>URL&amp;IF(ISNUMBER(FIND("?",URL)),"&amp;","?"&amp;("adlid="&amp;Unique_ID&amp;"&amp;adplt="&amp;Placement))</f>
        <v>#N/A</v>
      </c>
      <c r="BH255" s="1"/>
      <c r="BI255" s="1"/>
      <c r="BJ255" s="35" t="str">
        <f>LOWER("alp"&amp;"_"&amp;"vw"&amp;"_"&amp;Veiculo&amp;"_"&amp;C251&amp;"_"&amp;Objetivo)</f>
        <v>alp_vw___</v>
      </c>
      <c r="BK255" s="35" t="str">
        <f>LOWER(Buying_Metric&amp;"_"&amp;VLOOKUP(Buying_Type,Buy_type,2,FALSE)&amp;"_"&amp;Device&amp;"_"&amp;Size&amp;"_"&amp;Segmentação&amp;"_"&amp;Segmentação_Anúncio)</f>
        <v>#N/A</v>
      </c>
      <c r="BL255" s="35" t="str">
        <f>LOWER(Campanha_ou_InsertionOrder&amp;"_"&amp;LineItem_ou_Grupodeanúncio&amp;"_"&amp;Linha_criativa_2&amp;"_"&amp;Unique_ID)</f>
        <v>#N/A</v>
      </c>
      <c r="BM255" s="27"/>
      <c r="BN255" s="27"/>
    </row>
    <row r="256">
      <c r="A256" s="1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8" t="str">
        <f>LOWER(Campanha_ou_InsertionOrder&amp;"_"&amp;LineItem_ou_Grupodeanúncio&amp;"_"&amp;Linha_Criativa&amp;"_"&amp;Unique_ID)</f>
        <v>#N/A</v>
      </c>
      <c r="AN256" s="28" t="str">
        <f>LOWER(Campanha_ou_InsertionOrder&amp;"_"&amp;LineItem_ou_Grupodeanúncio&amp;"_"&amp;Linha_Criativa&amp;"_"&amp;Unique_ID)</f>
        <v>#N/A</v>
      </c>
      <c r="AO256" s="28" t="str">
        <f>LOWER("VW"&amp;"_"&amp;Model_Variant&amp;"_"&amp;Size&amp;"_"&amp;Linha_Criativa&amp;"_"&amp;IF(Servido_Por="portal",Veiculo,"adserver"))</f>
        <v>vw____adserver</v>
      </c>
      <c r="AP2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6" s="22" t="str">
        <f t="shared" si="1"/>
        <v/>
      </c>
      <c r="AS256" s="22" t="str">
        <f t="shared" si="2"/>
        <v/>
      </c>
      <c r="AT256" s="22" t="str">
        <f t="shared" si="3"/>
        <v>BR_IMC_DSY_LANCH_ND_NC_2020Q3AUG_NVS_Nivus-Launch-Consideracao</v>
      </c>
      <c r="AU256" s="22" t="str">
        <f t="shared" si="4"/>
        <v>#N/A</v>
      </c>
      <c r="AV256" s="22" t="s">
        <v>106</v>
      </c>
      <c r="AW2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6" s="22" t="str">
        <f t="shared" si="5"/>
        <v>BR_IMC_DSY_LANCH_ND_NC_2020Q3AUG_NVS_Nivus-Launch-Consideracao</v>
      </c>
      <c r="AY256" s="28" t="str">
        <f t="shared" si="6"/>
        <v>#N/A</v>
      </c>
      <c r="AZ256" s="22" t="s">
        <v>107</v>
      </c>
      <c r="BA256" s="22" t="s">
        <v>108</v>
      </c>
      <c r="BB256" s="31" t="s">
        <v>109</v>
      </c>
      <c r="BC256" s="31" t="s">
        <v>109</v>
      </c>
      <c r="BD256" s="32" t="str">
        <f t="shared" si="8"/>
        <v>nvl-nvs-imc-dsy-0820-10250</v>
      </c>
      <c r="BE256" s="33"/>
      <c r="BF256" s="33"/>
      <c r="BG256" s="39" t="str">
        <f>URL&amp;IF(ISNUMBER(FIND("?",URL)),"&amp;","?"&amp;("adlid="&amp;Unique_ID&amp;"&amp;adplt="&amp;Placement))</f>
        <v>#N/A</v>
      </c>
      <c r="BH256" s="1"/>
      <c r="BI256" s="1"/>
      <c r="BJ256" s="35" t="str">
        <f>LOWER("alp"&amp;"_"&amp;"vw"&amp;"_"&amp;Veiculo&amp;"_"&amp;C252&amp;"_"&amp;Objetivo)</f>
        <v>alp_vw___</v>
      </c>
      <c r="BK256" s="35" t="str">
        <f>LOWER(Buying_Metric&amp;"_"&amp;VLOOKUP(Buying_Type,Buy_type,2,FALSE)&amp;"_"&amp;Device&amp;"_"&amp;Size&amp;"_"&amp;Segmentação&amp;"_"&amp;Segmentação_Anúncio)</f>
        <v>#N/A</v>
      </c>
      <c r="BL256" s="35" t="str">
        <f>LOWER(Campanha_ou_InsertionOrder&amp;"_"&amp;LineItem_ou_Grupodeanúncio&amp;"_"&amp;Linha_criativa_2&amp;"_"&amp;Unique_ID)</f>
        <v>#N/A</v>
      </c>
      <c r="BM256" s="27"/>
      <c r="BN256" s="27"/>
    </row>
    <row r="257">
      <c r="A257" s="1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8" t="str">
        <f>LOWER(Campanha_ou_InsertionOrder&amp;"_"&amp;LineItem_ou_Grupodeanúncio&amp;"_"&amp;Linha_Criativa&amp;"_"&amp;Unique_ID)</f>
        <v>#N/A</v>
      </c>
      <c r="AN257" s="28" t="str">
        <f>LOWER(Campanha_ou_InsertionOrder&amp;"_"&amp;LineItem_ou_Grupodeanúncio&amp;"_"&amp;Linha_Criativa&amp;"_"&amp;Unique_ID)</f>
        <v>#N/A</v>
      </c>
      <c r="AO257" s="28" t="str">
        <f>LOWER("VW"&amp;"_"&amp;Model_Variant&amp;"_"&amp;Size&amp;"_"&amp;Linha_Criativa&amp;"_"&amp;IF(Servido_Por="portal",Veiculo,"adserver"))</f>
        <v>vw____adserver</v>
      </c>
      <c r="AP2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7" s="22" t="str">
        <f t="shared" si="1"/>
        <v/>
      </c>
      <c r="AS257" s="22" t="str">
        <f t="shared" si="2"/>
        <v/>
      </c>
      <c r="AT257" s="22" t="str">
        <f t="shared" si="3"/>
        <v>BR_IMC_DSY_LANCH_ND_NC_2020Q3AUG_NVS_Nivus-Launch-Consideracao</v>
      </c>
      <c r="AU257" s="22" t="str">
        <f t="shared" si="4"/>
        <v>#N/A</v>
      </c>
      <c r="AV257" s="22" t="s">
        <v>106</v>
      </c>
      <c r="AW2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7" s="22" t="str">
        <f t="shared" si="5"/>
        <v>BR_IMC_DSY_LANCH_ND_NC_2020Q3AUG_NVS_Nivus-Launch-Consideracao</v>
      </c>
      <c r="AY257" s="28" t="str">
        <f t="shared" si="6"/>
        <v>#N/A</v>
      </c>
      <c r="AZ257" s="22" t="s">
        <v>107</v>
      </c>
      <c r="BA257" s="22" t="s">
        <v>108</v>
      </c>
      <c r="BB257" s="31" t="s">
        <v>109</v>
      </c>
      <c r="BC257" s="31" t="s">
        <v>109</v>
      </c>
      <c r="BD257" s="32" t="str">
        <f t="shared" si="8"/>
        <v>nvl-nvs-imc-dsy-0820-10251</v>
      </c>
      <c r="BE257" s="33"/>
      <c r="BF257" s="33"/>
      <c r="BG257" s="39" t="str">
        <f>URL&amp;IF(ISNUMBER(FIND("?",URL)),"&amp;","?"&amp;("adlid="&amp;Unique_ID&amp;"&amp;adplt="&amp;Placement))</f>
        <v>#N/A</v>
      </c>
      <c r="BH257" s="1"/>
      <c r="BI257" s="1"/>
      <c r="BJ257" s="35" t="str">
        <f>LOWER("alp"&amp;"_"&amp;"vw"&amp;"_"&amp;Veiculo&amp;"_"&amp;C253&amp;"_"&amp;Objetivo)</f>
        <v>alp_vw___</v>
      </c>
      <c r="BK257" s="35" t="str">
        <f>LOWER(Buying_Metric&amp;"_"&amp;VLOOKUP(Buying_Type,Buy_type,2,FALSE)&amp;"_"&amp;Device&amp;"_"&amp;Size&amp;"_"&amp;Segmentação&amp;"_"&amp;Segmentação_Anúncio)</f>
        <v>#N/A</v>
      </c>
      <c r="BL257" s="35" t="str">
        <f>LOWER(Campanha_ou_InsertionOrder&amp;"_"&amp;LineItem_ou_Grupodeanúncio&amp;"_"&amp;Linha_criativa_2&amp;"_"&amp;Unique_ID)</f>
        <v>#N/A</v>
      </c>
      <c r="BM257" s="27"/>
      <c r="BN257" s="27"/>
    </row>
    <row r="258">
      <c r="A258" s="1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8" t="str">
        <f>LOWER(Campanha_ou_InsertionOrder&amp;"_"&amp;LineItem_ou_Grupodeanúncio&amp;"_"&amp;Linha_Criativa&amp;"_"&amp;Unique_ID)</f>
        <v>#N/A</v>
      </c>
      <c r="AN258" s="28" t="str">
        <f>LOWER(Campanha_ou_InsertionOrder&amp;"_"&amp;LineItem_ou_Grupodeanúncio&amp;"_"&amp;Linha_Criativa&amp;"_"&amp;Unique_ID)</f>
        <v>#N/A</v>
      </c>
      <c r="AO258" s="28" t="str">
        <f>LOWER("VW"&amp;"_"&amp;Model_Variant&amp;"_"&amp;Size&amp;"_"&amp;Linha_Criativa&amp;"_"&amp;IF(Servido_Por="portal",Veiculo,"adserver"))</f>
        <v>vw____adserver</v>
      </c>
      <c r="AP2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8" s="22" t="str">
        <f t="shared" si="1"/>
        <v/>
      </c>
      <c r="AS258" s="22" t="str">
        <f t="shared" si="2"/>
        <v/>
      </c>
      <c r="AT258" s="22" t="str">
        <f t="shared" si="3"/>
        <v>BR_IMC_DSY_LANCH_ND_NC_2020Q3AUG_NVS_Nivus-Launch-Consideracao</v>
      </c>
      <c r="AU258" s="22" t="str">
        <f t="shared" si="4"/>
        <v>#N/A</v>
      </c>
      <c r="AV258" s="22" t="s">
        <v>106</v>
      </c>
      <c r="AW2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8" s="22" t="str">
        <f t="shared" si="5"/>
        <v>BR_IMC_DSY_LANCH_ND_NC_2020Q3AUG_NVS_Nivus-Launch-Consideracao</v>
      </c>
      <c r="AY258" s="28" t="str">
        <f t="shared" si="6"/>
        <v>#N/A</v>
      </c>
      <c r="AZ258" s="22" t="s">
        <v>107</v>
      </c>
      <c r="BA258" s="22" t="s">
        <v>108</v>
      </c>
      <c r="BB258" s="31" t="s">
        <v>109</v>
      </c>
      <c r="BC258" s="31" t="s">
        <v>109</v>
      </c>
      <c r="BD258" s="32" t="str">
        <f t="shared" si="8"/>
        <v>nvl-nvs-imc-dsy-0820-10252</v>
      </c>
      <c r="BE258" s="33"/>
      <c r="BF258" s="33"/>
      <c r="BG258" s="39" t="str">
        <f>URL&amp;IF(ISNUMBER(FIND("?",URL)),"&amp;","?"&amp;("adlid="&amp;Unique_ID&amp;"&amp;adplt="&amp;Placement))</f>
        <v>#N/A</v>
      </c>
      <c r="BH258" s="1"/>
      <c r="BI258" s="1"/>
      <c r="BJ258" s="35" t="str">
        <f>LOWER("alp"&amp;"_"&amp;"vw"&amp;"_"&amp;Veiculo&amp;"_"&amp;C254&amp;"_"&amp;Objetivo)</f>
        <v>alp_vw___</v>
      </c>
      <c r="BK258" s="35" t="str">
        <f>LOWER(Buying_Metric&amp;"_"&amp;VLOOKUP(Buying_Type,Buy_type,2,FALSE)&amp;"_"&amp;Device&amp;"_"&amp;Size&amp;"_"&amp;Segmentação&amp;"_"&amp;Segmentação_Anúncio)</f>
        <v>#N/A</v>
      </c>
      <c r="BL258" s="35" t="str">
        <f>LOWER(Campanha_ou_InsertionOrder&amp;"_"&amp;LineItem_ou_Grupodeanúncio&amp;"_"&amp;Linha_criativa_2&amp;"_"&amp;Unique_ID)</f>
        <v>#N/A</v>
      </c>
      <c r="BM258" s="27"/>
      <c r="BN258" s="27"/>
    </row>
    <row r="259">
      <c r="A259" s="1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8" t="str">
        <f>LOWER(Campanha_ou_InsertionOrder&amp;"_"&amp;LineItem_ou_Grupodeanúncio&amp;"_"&amp;Linha_Criativa&amp;"_"&amp;Unique_ID)</f>
        <v>#N/A</v>
      </c>
      <c r="AN259" s="28" t="str">
        <f>LOWER(Campanha_ou_InsertionOrder&amp;"_"&amp;LineItem_ou_Grupodeanúncio&amp;"_"&amp;Linha_Criativa&amp;"_"&amp;Unique_ID)</f>
        <v>#N/A</v>
      </c>
      <c r="AO259" s="28" t="str">
        <f>LOWER("VW"&amp;"_"&amp;Model_Variant&amp;"_"&amp;Size&amp;"_"&amp;Linha_Criativa&amp;"_"&amp;IF(Servido_Por="portal",Veiculo,"adserver"))</f>
        <v>vw____adserver</v>
      </c>
      <c r="AP2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59" s="22" t="str">
        <f t="shared" si="1"/>
        <v/>
      </c>
      <c r="AS259" s="22" t="str">
        <f t="shared" si="2"/>
        <v/>
      </c>
      <c r="AT259" s="22" t="str">
        <f t="shared" si="3"/>
        <v>BR_IMC_DSY_LANCH_ND_NC_2020Q3AUG_NVS_Nivus-Launch-Consideracao</v>
      </c>
      <c r="AU259" s="22" t="str">
        <f t="shared" si="4"/>
        <v>#N/A</v>
      </c>
      <c r="AV259" s="22" t="s">
        <v>106</v>
      </c>
      <c r="AW2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59" s="22" t="str">
        <f t="shared" si="5"/>
        <v>BR_IMC_DSY_LANCH_ND_NC_2020Q3AUG_NVS_Nivus-Launch-Consideracao</v>
      </c>
      <c r="AY259" s="28" t="str">
        <f t="shared" si="6"/>
        <v>#N/A</v>
      </c>
      <c r="AZ259" s="22" t="s">
        <v>107</v>
      </c>
      <c r="BA259" s="22" t="s">
        <v>108</v>
      </c>
      <c r="BB259" s="31" t="s">
        <v>109</v>
      </c>
      <c r="BC259" s="31" t="s">
        <v>109</v>
      </c>
      <c r="BD259" s="32" t="str">
        <f t="shared" si="8"/>
        <v>nvl-nvs-imc-dsy-0820-10253</v>
      </c>
      <c r="BE259" s="33"/>
      <c r="BF259" s="33"/>
      <c r="BG259" s="39" t="str">
        <f>URL&amp;IF(ISNUMBER(FIND("?",URL)),"&amp;","?"&amp;("adlid="&amp;Unique_ID&amp;"&amp;adplt="&amp;Placement))</f>
        <v>#N/A</v>
      </c>
      <c r="BH259" s="1"/>
      <c r="BI259" s="1"/>
      <c r="BJ259" s="35" t="str">
        <f>LOWER("alp"&amp;"_"&amp;"vw"&amp;"_"&amp;Veiculo&amp;"_"&amp;C255&amp;"_"&amp;Objetivo)</f>
        <v>alp_vw___</v>
      </c>
      <c r="BK259" s="35" t="str">
        <f>LOWER(Buying_Metric&amp;"_"&amp;VLOOKUP(Buying_Type,Buy_type,2,FALSE)&amp;"_"&amp;Device&amp;"_"&amp;Size&amp;"_"&amp;Segmentação&amp;"_"&amp;Segmentação_Anúncio)</f>
        <v>#N/A</v>
      </c>
      <c r="BL259" s="35" t="str">
        <f>LOWER(Campanha_ou_InsertionOrder&amp;"_"&amp;LineItem_ou_Grupodeanúncio&amp;"_"&amp;Linha_criativa_2&amp;"_"&amp;Unique_ID)</f>
        <v>#N/A</v>
      </c>
      <c r="BM259" s="27"/>
      <c r="BN259" s="27"/>
    </row>
    <row r="260">
      <c r="A260" s="1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8" t="str">
        <f>LOWER(Campanha_ou_InsertionOrder&amp;"_"&amp;LineItem_ou_Grupodeanúncio&amp;"_"&amp;Linha_Criativa&amp;"_"&amp;Unique_ID)</f>
        <v>#N/A</v>
      </c>
      <c r="AN260" s="28" t="str">
        <f>LOWER(Campanha_ou_InsertionOrder&amp;"_"&amp;LineItem_ou_Grupodeanúncio&amp;"_"&amp;Linha_Criativa&amp;"_"&amp;Unique_ID)</f>
        <v>#N/A</v>
      </c>
      <c r="AO260" s="28" t="str">
        <f>LOWER("VW"&amp;"_"&amp;Model_Variant&amp;"_"&amp;Size&amp;"_"&amp;Linha_Criativa&amp;"_"&amp;IF(Servido_Por="portal",Veiculo,"adserver"))</f>
        <v>vw____adserver</v>
      </c>
      <c r="AP2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0" s="22" t="str">
        <f t="shared" si="1"/>
        <v/>
      </c>
      <c r="AS260" s="22" t="str">
        <f t="shared" si="2"/>
        <v/>
      </c>
      <c r="AT260" s="22" t="str">
        <f t="shared" si="3"/>
        <v>BR_IMC_DSY_LANCH_ND_NC_2020Q3AUG_NVS_Nivus-Launch-Consideracao</v>
      </c>
      <c r="AU260" s="22" t="str">
        <f t="shared" si="4"/>
        <v>#N/A</v>
      </c>
      <c r="AV260" s="22" t="s">
        <v>106</v>
      </c>
      <c r="AW2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0" s="22" t="str">
        <f t="shared" si="5"/>
        <v>BR_IMC_DSY_LANCH_ND_NC_2020Q3AUG_NVS_Nivus-Launch-Consideracao</v>
      </c>
      <c r="AY260" s="28" t="str">
        <f t="shared" si="6"/>
        <v>#N/A</v>
      </c>
      <c r="AZ260" s="22" t="s">
        <v>107</v>
      </c>
      <c r="BA260" s="22" t="s">
        <v>108</v>
      </c>
      <c r="BB260" s="31" t="s">
        <v>109</v>
      </c>
      <c r="BC260" s="31" t="s">
        <v>109</v>
      </c>
      <c r="BD260" s="32" t="str">
        <f t="shared" si="8"/>
        <v>nvl-nvs-imc-dsy-0820-10254</v>
      </c>
      <c r="BE260" s="33"/>
      <c r="BF260" s="33"/>
      <c r="BG260" s="39" t="str">
        <f>URL&amp;IF(ISNUMBER(FIND("?",URL)),"&amp;","?"&amp;("adlid="&amp;Unique_ID&amp;"&amp;adplt="&amp;Placement))</f>
        <v>#N/A</v>
      </c>
      <c r="BH260" s="1"/>
      <c r="BI260" s="1"/>
      <c r="BJ260" s="35" t="str">
        <f>LOWER("alp"&amp;"_"&amp;"vw"&amp;"_"&amp;Veiculo&amp;"_"&amp;C256&amp;"_"&amp;Objetivo)</f>
        <v>alp_vw___</v>
      </c>
      <c r="BK260" s="35" t="str">
        <f>LOWER(Buying_Metric&amp;"_"&amp;VLOOKUP(Buying_Type,Buy_type,2,FALSE)&amp;"_"&amp;Device&amp;"_"&amp;Size&amp;"_"&amp;Segmentação&amp;"_"&amp;Segmentação_Anúncio)</f>
        <v>#N/A</v>
      </c>
      <c r="BL260" s="35" t="str">
        <f>LOWER(Campanha_ou_InsertionOrder&amp;"_"&amp;LineItem_ou_Grupodeanúncio&amp;"_"&amp;Linha_criativa_2&amp;"_"&amp;Unique_ID)</f>
        <v>#N/A</v>
      </c>
      <c r="BM260" s="27"/>
      <c r="BN260" s="27"/>
    </row>
    <row r="261">
      <c r="A261" s="1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8" t="str">
        <f>LOWER(Campanha_ou_InsertionOrder&amp;"_"&amp;LineItem_ou_Grupodeanúncio&amp;"_"&amp;Linha_Criativa&amp;"_"&amp;Unique_ID)</f>
        <v>#N/A</v>
      </c>
      <c r="AN261" s="28" t="str">
        <f>LOWER(Campanha_ou_InsertionOrder&amp;"_"&amp;LineItem_ou_Grupodeanúncio&amp;"_"&amp;Linha_Criativa&amp;"_"&amp;Unique_ID)</f>
        <v>#N/A</v>
      </c>
      <c r="AO261" s="28" t="str">
        <f>LOWER("VW"&amp;"_"&amp;Model_Variant&amp;"_"&amp;Size&amp;"_"&amp;Linha_Criativa&amp;"_"&amp;IF(Servido_Por="portal",Veiculo,"adserver"))</f>
        <v>vw____adserver</v>
      </c>
      <c r="AP2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1" s="22" t="str">
        <f t="shared" si="1"/>
        <v/>
      </c>
      <c r="AS261" s="22" t="str">
        <f t="shared" si="2"/>
        <v/>
      </c>
      <c r="AT261" s="22" t="str">
        <f t="shared" si="3"/>
        <v>BR_IMC_DSY_LANCH_ND_NC_2020Q3AUG_NVS_Nivus-Launch-Consideracao</v>
      </c>
      <c r="AU261" s="22" t="str">
        <f t="shared" si="4"/>
        <v>#N/A</v>
      </c>
      <c r="AV261" s="22" t="s">
        <v>106</v>
      </c>
      <c r="AW2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1" s="22" t="str">
        <f t="shared" si="5"/>
        <v>BR_IMC_DSY_LANCH_ND_NC_2020Q3AUG_NVS_Nivus-Launch-Consideracao</v>
      </c>
      <c r="AY261" s="28" t="str">
        <f t="shared" si="6"/>
        <v>#N/A</v>
      </c>
      <c r="AZ261" s="22" t="s">
        <v>107</v>
      </c>
      <c r="BA261" s="22" t="s">
        <v>108</v>
      </c>
      <c r="BB261" s="31" t="s">
        <v>109</v>
      </c>
      <c r="BC261" s="31" t="s">
        <v>109</v>
      </c>
      <c r="BD261" s="32" t="str">
        <f t="shared" si="8"/>
        <v>nvl-nvs-imc-dsy-0820-10255</v>
      </c>
      <c r="BE261" s="33"/>
      <c r="BF261" s="33"/>
      <c r="BG261" s="39" t="str">
        <f>URL&amp;IF(ISNUMBER(FIND("?",URL)),"&amp;","?"&amp;("adlid="&amp;Unique_ID&amp;"&amp;adplt="&amp;Placement))</f>
        <v>#N/A</v>
      </c>
      <c r="BH261" s="1"/>
      <c r="BI261" s="1"/>
      <c r="BJ261" s="35" t="str">
        <f>LOWER("alp"&amp;"_"&amp;"vw"&amp;"_"&amp;Veiculo&amp;"_"&amp;C257&amp;"_"&amp;Objetivo)</f>
        <v>alp_vw___</v>
      </c>
      <c r="BK261" s="35" t="str">
        <f>LOWER(Buying_Metric&amp;"_"&amp;VLOOKUP(Buying_Type,Buy_type,2,FALSE)&amp;"_"&amp;Device&amp;"_"&amp;Size&amp;"_"&amp;Segmentação&amp;"_"&amp;Segmentação_Anúncio)</f>
        <v>#N/A</v>
      </c>
      <c r="BL261" s="35" t="str">
        <f>LOWER(Campanha_ou_InsertionOrder&amp;"_"&amp;LineItem_ou_Grupodeanúncio&amp;"_"&amp;Linha_criativa_2&amp;"_"&amp;Unique_ID)</f>
        <v>#N/A</v>
      </c>
      <c r="BM261" s="27"/>
      <c r="BN261" s="27"/>
    </row>
    <row r="262">
      <c r="A262" s="1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8" t="str">
        <f>LOWER(Campanha_ou_InsertionOrder&amp;"_"&amp;LineItem_ou_Grupodeanúncio&amp;"_"&amp;Linha_Criativa&amp;"_"&amp;Unique_ID)</f>
        <v>#N/A</v>
      </c>
      <c r="AN262" s="28" t="str">
        <f>LOWER(Campanha_ou_InsertionOrder&amp;"_"&amp;LineItem_ou_Grupodeanúncio&amp;"_"&amp;Linha_Criativa&amp;"_"&amp;Unique_ID)</f>
        <v>#N/A</v>
      </c>
      <c r="AO262" s="28" t="str">
        <f>LOWER("VW"&amp;"_"&amp;Model_Variant&amp;"_"&amp;Size&amp;"_"&amp;Linha_Criativa&amp;"_"&amp;IF(Servido_Por="portal",Veiculo,"adserver"))</f>
        <v>vw____adserver</v>
      </c>
      <c r="AP2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2" s="22" t="str">
        <f t="shared" si="1"/>
        <v/>
      </c>
      <c r="AS262" s="22" t="str">
        <f t="shared" si="2"/>
        <v/>
      </c>
      <c r="AT262" s="22" t="str">
        <f t="shared" si="3"/>
        <v>BR_IMC_DSY_LANCH_ND_NC_2020Q3AUG_NVS_Nivus-Launch-Consideracao</v>
      </c>
      <c r="AU262" s="22" t="str">
        <f t="shared" si="4"/>
        <v>#N/A</v>
      </c>
      <c r="AV262" s="22" t="s">
        <v>106</v>
      </c>
      <c r="AW2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2" s="22" t="str">
        <f t="shared" si="5"/>
        <v>BR_IMC_DSY_LANCH_ND_NC_2020Q3AUG_NVS_Nivus-Launch-Consideracao</v>
      </c>
      <c r="AY262" s="28" t="str">
        <f t="shared" si="6"/>
        <v>#N/A</v>
      </c>
      <c r="AZ262" s="22" t="s">
        <v>107</v>
      </c>
      <c r="BA262" s="22" t="s">
        <v>108</v>
      </c>
      <c r="BB262" s="31" t="s">
        <v>109</v>
      </c>
      <c r="BC262" s="31" t="s">
        <v>109</v>
      </c>
      <c r="BD262" s="32" t="str">
        <f t="shared" si="8"/>
        <v>nvl-nvs-imc-dsy-0820-10256</v>
      </c>
      <c r="BE262" s="33"/>
      <c r="BF262" s="33"/>
      <c r="BG262" s="39" t="str">
        <f>URL&amp;IF(ISNUMBER(FIND("?",URL)),"&amp;","?"&amp;("adlid="&amp;Unique_ID&amp;"&amp;adplt="&amp;Placement))</f>
        <v>#N/A</v>
      </c>
      <c r="BH262" s="1"/>
      <c r="BI262" s="1"/>
      <c r="BJ262" s="35" t="str">
        <f>LOWER("alp"&amp;"_"&amp;"vw"&amp;"_"&amp;Veiculo&amp;"_"&amp;C258&amp;"_"&amp;Objetivo)</f>
        <v>alp_vw___</v>
      </c>
      <c r="BK262" s="35" t="str">
        <f>LOWER(Buying_Metric&amp;"_"&amp;VLOOKUP(Buying_Type,Buy_type,2,FALSE)&amp;"_"&amp;Device&amp;"_"&amp;Size&amp;"_"&amp;Segmentação&amp;"_"&amp;Segmentação_Anúncio)</f>
        <v>#N/A</v>
      </c>
      <c r="BL262" s="35" t="str">
        <f>LOWER(Campanha_ou_InsertionOrder&amp;"_"&amp;LineItem_ou_Grupodeanúncio&amp;"_"&amp;Linha_criativa_2&amp;"_"&amp;Unique_ID)</f>
        <v>#N/A</v>
      </c>
      <c r="BM262" s="27"/>
      <c r="BN262" s="27"/>
    </row>
    <row r="263">
      <c r="A263" s="1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8" t="str">
        <f>LOWER(Campanha_ou_InsertionOrder&amp;"_"&amp;LineItem_ou_Grupodeanúncio&amp;"_"&amp;Linha_Criativa&amp;"_"&amp;Unique_ID)</f>
        <v>#N/A</v>
      </c>
      <c r="AN263" s="28" t="str">
        <f>LOWER(Campanha_ou_InsertionOrder&amp;"_"&amp;LineItem_ou_Grupodeanúncio&amp;"_"&amp;Linha_Criativa&amp;"_"&amp;Unique_ID)</f>
        <v>#N/A</v>
      </c>
      <c r="AO263" s="28" t="str">
        <f>LOWER("VW"&amp;"_"&amp;Model_Variant&amp;"_"&amp;Size&amp;"_"&amp;Linha_Criativa&amp;"_"&amp;IF(Servido_Por="portal",Veiculo,"adserver"))</f>
        <v>vw____adserver</v>
      </c>
      <c r="AP2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3" s="22" t="str">
        <f t="shared" si="1"/>
        <v/>
      </c>
      <c r="AS263" s="22" t="str">
        <f t="shared" si="2"/>
        <v/>
      </c>
      <c r="AT263" s="22" t="str">
        <f t="shared" si="3"/>
        <v>BR_IMC_DSY_LANCH_ND_NC_2020Q3AUG_NVS_Nivus-Launch-Consideracao</v>
      </c>
      <c r="AU263" s="22" t="str">
        <f t="shared" si="4"/>
        <v>#N/A</v>
      </c>
      <c r="AV263" s="22" t="s">
        <v>106</v>
      </c>
      <c r="AW2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3" s="22" t="str">
        <f t="shared" si="5"/>
        <v>BR_IMC_DSY_LANCH_ND_NC_2020Q3AUG_NVS_Nivus-Launch-Consideracao</v>
      </c>
      <c r="AY263" s="28" t="str">
        <f t="shared" si="6"/>
        <v>#N/A</v>
      </c>
      <c r="AZ263" s="22" t="s">
        <v>107</v>
      </c>
      <c r="BA263" s="22" t="s">
        <v>108</v>
      </c>
      <c r="BB263" s="31" t="s">
        <v>109</v>
      </c>
      <c r="BC263" s="31" t="s">
        <v>109</v>
      </c>
      <c r="BD263" s="32" t="str">
        <f t="shared" si="8"/>
        <v>nvl-nvs-imc-dsy-0820-10257</v>
      </c>
      <c r="BE263" s="33"/>
      <c r="BF263" s="33"/>
      <c r="BG263" s="39" t="str">
        <f>URL&amp;IF(ISNUMBER(FIND("?",URL)),"&amp;","?"&amp;("adlid="&amp;Unique_ID&amp;"&amp;adplt="&amp;Placement))</f>
        <v>#N/A</v>
      </c>
      <c r="BH263" s="1"/>
      <c r="BI263" s="1"/>
      <c r="BJ263" s="35" t="str">
        <f>LOWER("alp"&amp;"_"&amp;"vw"&amp;"_"&amp;Veiculo&amp;"_"&amp;C259&amp;"_"&amp;Objetivo)</f>
        <v>alp_vw___</v>
      </c>
      <c r="BK263" s="35" t="str">
        <f>LOWER(Buying_Metric&amp;"_"&amp;VLOOKUP(Buying_Type,Buy_type,2,FALSE)&amp;"_"&amp;Device&amp;"_"&amp;Size&amp;"_"&amp;Segmentação&amp;"_"&amp;Segmentação_Anúncio)</f>
        <v>#N/A</v>
      </c>
      <c r="BL263" s="35" t="str">
        <f>LOWER(Campanha_ou_InsertionOrder&amp;"_"&amp;LineItem_ou_Grupodeanúncio&amp;"_"&amp;Linha_criativa_2&amp;"_"&amp;Unique_ID)</f>
        <v>#N/A</v>
      </c>
      <c r="BM263" s="27"/>
      <c r="BN263" s="27"/>
    </row>
    <row r="264">
      <c r="A264" s="1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8" t="str">
        <f>LOWER(Campanha_ou_InsertionOrder&amp;"_"&amp;LineItem_ou_Grupodeanúncio&amp;"_"&amp;Linha_Criativa&amp;"_"&amp;Unique_ID)</f>
        <v>#N/A</v>
      </c>
      <c r="AN264" s="28" t="str">
        <f>LOWER(Campanha_ou_InsertionOrder&amp;"_"&amp;LineItem_ou_Grupodeanúncio&amp;"_"&amp;Linha_Criativa&amp;"_"&amp;Unique_ID)</f>
        <v>#N/A</v>
      </c>
      <c r="AO264" s="28" t="str">
        <f>LOWER("VW"&amp;"_"&amp;Model_Variant&amp;"_"&amp;Size&amp;"_"&amp;Linha_Criativa&amp;"_"&amp;IF(Servido_Por="portal",Veiculo,"adserver"))</f>
        <v>vw____adserver</v>
      </c>
      <c r="AP2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4" s="22" t="str">
        <f t="shared" si="1"/>
        <v/>
      </c>
      <c r="AS264" s="22" t="str">
        <f t="shared" si="2"/>
        <v/>
      </c>
      <c r="AT264" s="22" t="str">
        <f t="shared" si="3"/>
        <v>BR_IMC_DSY_LANCH_ND_NC_2020Q3AUG_NVS_Nivus-Launch-Consideracao</v>
      </c>
      <c r="AU264" s="22" t="str">
        <f t="shared" si="4"/>
        <v>#N/A</v>
      </c>
      <c r="AV264" s="22" t="s">
        <v>106</v>
      </c>
      <c r="AW2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4" s="22" t="str">
        <f t="shared" si="5"/>
        <v>BR_IMC_DSY_LANCH_ND_NC_2020Q3AUG_NVS_Nivus-Launch-Consideracao</v>
      </c>
      <c r="AY264" s="28" t="str">
        <f t="shared" si="6"/>
        <v>#N/A</v>
      </c>
      <c r="AZ264" s="22" t="s">
        <v>107</v>
      </c>
      <c r="BA264" s="22" t="s">
        <v>108</v>
      </c>
      <c r="BB264" s="31" t="s">
        <v>109</v>
      </c>
      <c r="BC264" s="31" t="s">
        <v>109</v>
      </c>
      <c r="BD264" s="32" t="str">
        <f t="shared" si="8"/>
        <v>nvl-nvs-imc-dsy-0820-10258</v>
      </c>
      <c r="BE264" s="33"/>
      <c r="BF264" s="33"/>
      <c r="BG264" s="39" t="str">
        <f>URL&amp;IF(ISNUMBER(FIND("?",URL)),"&amp;","?"&amp;("adlid="&amp;Unique_ID&amp;"&amp;adplt="&amp;Placement))</f>
        <v>#N/A</v>
      </c>
      <c r="BH264" s="1"/>
      <c r="BI264" s="1"/>
      <c r="BJ264" s="35" t="str">
        <f>LOWER("alp"&amp;"_"&amp;"vw"&amp;"_"&amp;Veiculo&amp;"_"&amp;C260&amp;"_"&amp;Objetivo)</f>
        <v>alp_vw___</v>
      </c>
      <c r="BK264" s="35" t="str">
        <f>LOWER(Buying_Metric&amp;"_"&amp;VLOOKUP(Buying_Type,Buy_type,2,FALSE)&amp;"_"&amp;Device&amp;"_"&amp;Size&amp;"_"&amp;Segmentação&amp;"_"&amp;Segmentação_Anúncio)</f>
        <v>#N/A</v>
      </c>
      <c r="BL264" s="35" t="str">
        <f>LOWER(Campanha_ou_InsertionOrder&amp;"_"&amp;LineItem_ou_Grupodeanúncio&amp;"_"&amp;Linha_criativa_2&amp;"_"&amp;Unique_ID)</f>
        <v>#N/A</v>
      </c>
      <c r="BM264" s="27"/>
      <c r="BN264" s="27"/>
    </row>
    <row r="265">
      <c r="A265" s="1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8" t="str">
        <f>LOWER(Campanha_ou_InsertionOrder&amp;"_"&amp;LineItem_ou_Grupodeanúncio&amp;"_"&amp;Linha_Criativa&amp;"_"&amp;Unique_ID)</f>
        <v>#N/A</v>
      </c>
      <c r="AN265" s="28" t="str">
        <f>LOWER(Campanha_ou_InsertionOrder&amp;"_"&amp;LineItem_ou_Grupodeanúncio&amp;"_"&amp;Linha_Criativa&amp;"_"&amp;Unique_ID)</f>
        <v>#N/A</v>
      </c>
      <c r="AO265" s="28" t="str">
        <f>LOWER("VW"&amp;"_"&amp;Model_Variant&amp;"_"&amp;Size&amp;"_"&amp;Linha_Criativa&amp;"_"&amp;IF(Servido_Por="portal",Veiculo,"adserver"))</f>
        <v>vw____adserver</v>
      </c>
      <c r="AP2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5" s="22" t="str">
        <f t="shared" si="1"/>
        <v/>
      </c>
      <c r="AS265" s="22" t="str">
        <f t="shared" si="2"/>
        <v/>
      </c>
      <c r="AT265" s="22" t="str">
        <f t="shared" si="3"/>
        <v>BR_IMC_DSY_LANCH_ND_NC_2020Q3AUG_NVS_Nivus-Launch-Consideracao</v>
      </c>
      <c r="AU265" s="22" t="str">
        <f t="shared" si="4"/>
        <v>#N/A</v>
      </c>
      <c r="AV265" s="22" t="s">
        <v>106</v>
      </c>
      <c r="AW2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5" s="22" t="str">
        <f t="shared" si="5"/>
        <v>BR_IMC_DSY_LANCH_ND_NC_2020Q3AUG_NVS_Nivus-Launch-Consideracao</v>
      </c>
      <c r="AY265" s="28" t="str">
        <f t="shared" si="6"/>
        <v>#N/A</v>
      </c>
      <c r="AZ265" s="22" t="s">
        <v>107</v>
      </c>
      <c r="BA265" s="22" t="s">
        <v>108</v>
      </c>
      <c r="BB265" s="31" t="s">
        <v>109</v>
      </c>
      <c r="BC265" s="31" t="s">
        <v>109</v>
      </c>
      <c r="BD265" s="32" t="str">
        <f t="shared" si="8"/>
        <v>nvl-nvs-imc-dsy-0820-10259</v>
      </c>
      <c r="BE265" s="33"/>
      <c r="BF265" s="33"/>
      <c r="BG265" s="39" t="str">
        <f>URL&amp;IF(ISNUMBER(FIND("?",URL)),"&amp;","?"&amp;("adlid="&amp;Unique_ID&amp;"&amp;adplt="&amp;Placement))</f>
        <v>#N/A</v>
      </c>
      <c r="BH265" s="1"/>
      <c r="BI265" s="1"/>
      <c r="BJ265" s="35" t="str">
        <f>LOWER("alp"&amp;"_"&amp;"vw"&amp;"_"&amp;Veiculo&amp;"_"&amp;C261&amp;"_"&amp;Objetivo)</f>
        <v>alp_vw___</v>
      </c>
      <c r="BK265" s="35" t="str">
        <f>LOWER(Buying_Metric&amp;"_"&amp;VLOOKUP(Buying_Type,Buy_type,2,FALSE)&amp;"_"&amp;Device&amp;"_"&amp;Size&amp;"_"&amp;Segmentação&amp;"_"&amp;Segmentação_Anúncio)</f>
        <v>#N/A</v>
      </c>
      <c r="BL265" s="35" t="str">
        <f>LOWER(Campanha_ou_InsertionOrder&amp;"_"&amp;LineItem_ou_Grupodeanúncio&amp;"_"&amp;Linha_criativa_2&amp;"_"&amp;Unique_ID)</f>
        <v>#N/A</v>
      </c>
      <c r="BM265" s="27"/>
      <c r="BN265" s="27"/>
    </row>
    <row r="266">
      <c r="A266" s="1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8" t="str">
        <f>LOWER(Campanha_ou_InsertionOrder&amp;"_"&amp;LineItem_ou_Grupodeanúncio&amp;"_"&amp;Linha_Criativa&amp;"_"&amp;Unique_ID)</f>
        <v>#N/A</v>
      </c>
      <c r="AN266" s="28" t="str">
        <f>LOWER(Campanha_ou_InsertionOrder&amp;"_"&amp;LineItem_ou_Grupodeanúncio&amp;"_"&amp;Linha_Criativa&amp;"_"&amp;Unique_ID)</f>
        <v>#N/A</v>
      </c>
      <c r="AO266" s="28" t="str">
        <f>LOWER("VW"&amp;"_"&amp;Model_Variant&amp;"_"&amp;Size&amp;"_"&amp;Linha_Criativa&amp;"_"&amp;IF(Servido_Por="portal",Veiculo,"adserver"))</f>
        <v>vw____adserver</v>
      </c>
      <c r="AP2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6" s="22" t="str">
        <f t="shared" si="1"/>
        <v/>
      </c>
      <c r="AS266" s="22" t="str">
        <f t="shared" si="2"/>
        <v/>
      </c>
      <c r="AT266" s="22" t="str">
        <f t="shared" si="3"/>
        <v>BR_IMC_DSY_LANCH_ND_NC_2020Q3AUG_NVS_Nivus-Launch-Consideracao</v>
      </c>
      <c r="AU266" s="22" t="str">
        <f t="shared" si="4"/>
        <v>#N/A</v>
      </c>
      <c r="AV266" s="22" t="s">
        <v>106</v>
      </c>
      <c r="AW2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6" s="22" t="str">
        <f t="shared" si="5"/>
        <v>BR_IMC_DSY_LANCH_ND_NC_2020Q3AUG_NVS_Nivus-Launch-Consideracao</v>
      </c>
      <c r="AY266" s="28" t="str">
        <f t="shared" si="6"/>
        <v>#N/A</v>
      </c>
      <c r="AZ266" s="22" t="s">
        <v>107</v>
      </c>
      <c r="BA266" s="22" t="s">
        <v>108</v>
      </c>
      <c r="BB266" s="31" t="s">
        <v>109</v>
      </c>
      <c r="BC266" s="31" t="s">
        <v>109</v>
      </c>
      <c r="BD266" s="32" t="str">
        <f t="shared" si="8"/>
        <v>nvl-nvs-imc-dsy-0820-10260</v>
      </c>
      <c r="BE266" s="33"/>
      <c r="BF266" s="33"/>
      <c r="BG266" s="39" t="str">
        <f>URL&amp;IF(ISNUMBER(FIND("?",URL)),"&amp;","?"&amp;("adlid="&amp;Unique_ID&amp;"&amp;adplt="&amp;Placement))</f>
        <v>#N/A</v>
      </c>
      <c r="BH266" s="1"/>
      <c r="BI266" s="1"/>
      <c r="BJ266" s="35" t="str">
        <f>LOWER("alp"&amp;"_"&amp;"vw"&amp;"_"&amp;Veiculo&amp;"_"&amp;C262&amp;"_"&amp;Objetivo)</f>
        <v>alp_vw___</v>
      </c>
      <c r="BK266" s="35" t="str">
        <f>LOWER(Buying_Metric&amp;"_"&amp;VLOOKUP(Buying_Type,Buy_type,2,FALSE)&amp;"_"&amp;Device&amp;"_"&amp;Size&amp;"_"&amp;Segmentação&amp;"_"&amp;Segmentação_Anúncio)</f>
        <v>#N/A</v>
      </c>
      <c r="BL266" s="35" t="str">
        <f>LOWER(Campanha_ou_InsertionOrder&amp;"_"&amp;LineItem_ou_Grupodeanúncio&amp;"_"&amp;Linha_criativa_2&amp;"_"&amp;Unique_ID)</f>
        <v>#N/A</v>
      </c>
      <c r="BM266" s="27"/>
      <c r="BN266" s="27"/>
    </row>
    <row r="267">
      <c r="A267" s="1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8" t="str">
        <f>LOWER(Campanha_ou_InsertionOrder&amp;"_"&amp;LineItem_ou_Grupodeanúncio&amp;"_"&amp;Linha_Criativa&amp;"_"&amp;Unique_ID)</f>
        <v>#N/A</v>
      </c>
      <c r="AN267" s="28" t="str">
        <f>LOWER(Campanha_ou_InsertionOrder&amp;"_"&amp;LineItem_ou_Grupodeanúncio&amp;"_"&amp;Linha_Criativa&amp;"_"&amp;Unique_ID)</f>
        <v>#N/A</v>
      </c>
      <c r="AO267" s="28" t="str">
        <f>LOWER("VW"&amp;"_"&amp;Model_Variant&amp;"_"&amp;Size&amp;"_"&amp;Linha_Criativa&amp;"_"&amp;IF(Servido_Por="portal",Veiculo,"adserver"))</f>
        <v>vw____adserver</v>
      </c>
      <c r="AP2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7" s="22" t="str">
        <f t="shared" si="1"/>
        <v/>
      </c>
      <c r="AS267" s="22" t="str">
        <f t="shared" si="2"/>
        <v/>
      </c>
      <c r="AT267" s="22" t="str">
        <f t="shared" si="3"/>
        <v>BR_IMC_DSY_LANCH_ND_NC_2020Q3AUG_NVS_Nivus-Launch-Consideracao</v>
      </c>
      <c r="AU267" s="22" t="str">
        <f t="shared" si="4"/>
        <v>#N/A</v>
      </c>
      <c r="AV267" s="22" t="s">
        <v>106</v>
      </c>
      <c r="AW2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7" s="22" t="str">
        <f t="shared" si="5"/>
        <v>BR_IMC_DSY_LANCH_ND_NC_2020Q3AUG_NVS_Nivus-Launch-Consideracao</v>
      </c>
      <c r="AY267" s="28" t="str">
        <f t="shared" si="6"/>
        <v>#N/A</v>
      </c>
      <c r="AZ267" s="22" t="s">
        <v>107</v>
      </c>
      <c r="BA267" s="22" t="s">
        <v>108</v>
      </c>
      <c r="BB267" s="31" t="s">
        <v>109</v>
      </c>
      <c r="BC267" s="31" t="s">
        <v>109</v>
      </c>
      <c r="BD267" s="32" t="str">
        <f t="shared" si="8"/>
        <v>nvl-nvs-imc-dsy-0820-10261</v>
      </c>
      <c r="BE267" s="33"/>
      <c r="BF267" s="33"/>
      <c r="BG267" s="39" t="str">
        <f>URL&amp;IF(ISNUMBER(FIND("?",URL)),"&amp;","?"&amp;("adlid="&amp;Unique_ID&amp;"&amp;adplt="&amp;Placement))</f>
        <v>#N/A</v>
      </c>
      <c r="BH267" s="1"/>
      <c r="BI267" s="1"/>
      <c r="BJ267" s="35" t="str">
        <f>LOWER("alp"&amp;"_"&amp;"vw"&amp;"_"&amp;Veiculo&amp;"_"&amp;C263&amp;"_"&amp;Objetivo)</f>
        <v>alp_vw___</v>
      </c>
      <c r="BK267" s="35" t="str">
        <f>LOWER(Buying_Metric&amp;"_"&amp;VLOOKUP(Buying_Type,Buy_type,2,FALSE)&amp;"_"&amp;Device&amp;"_"&amp;Size&amp;"_"&amp;Segmentação&amp;"_"&amp;Segmentação_Anúncio)</f>
        <v>#N/A</v>
      </c>
      <c r="BL267" s="35" t="str">
        <f>LOWER(Campanha_ou_InsertionOrder&amp;"_"&amp;LineItem_ou_Grupodeanúncio&amp;"_"&amp;Linha_criativa_2&amp;"_"&amp;Unique_ID)</f>
        <v>#N/A</v>
      </c>
      <c r="BM267" s="27"/>
      <c r="BN267" s="27"/>
    </row>
    <row r="268">
      <c r="A268" s="1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8" t="str">
        <f>LOWER(Campanha_ou_InsertionOrder&amp;"_"&amp;LineItem_ou_Grupodeanúncio&amp;"_"&amp;Linha_Criativa&amp;"_"&amp;Unique_ID)</f>
        <v>#N/A</v>
      </c>
      <c r="AN268" s="28" t="str">
        <f>LOWER(Campanha_ou_InsertionOrder&amp;"_"&amp;LineItem_ou_Grupodeanúncio&amp;"_"&amp;Linha_Criativa&amp;"_"&amp;Unique_ID)</f>
        <v>#N/A</v>
      </c>
      <c r="AO268" s="28" t="str">
        <f>LOWER("VW"&amp;"_"&amp;Model_Variant&amp;"_"&amp;Size&amp;"_"&amp;Linha_Criativa&amp;"_"&amp;IF(Servido_Por="portal",Veiculo,"adserver"))</f>
        <v>vw____adserver</v>
      </c>
      <c r="AP2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8" s="22" t="str">
        <f t="shared" si="1"/>
        <v/>
      </c>
      <c r="AS268" s="22" t="str">
        <f t="shared" si="2"/>
        <v/>
      </c>
      <c r="AT268" s="22" t="str">
        <f t="shared" si="3"/>
        <v>BR_IMC_DSY_LANCH_ND_NC_2020Q3AUG_NVS_Nivus-Launch-Consideracao</v>
      </c>
      <c r="AU268" s="22" t="str">
        <f t="shared" si="4"/>
        <v>#N/A</v>
      </c>
      <c r="AV268" s="22" t="s">
        <v>106</v>
      </c>
      <c r="AW2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8" s="22" t="str">
        <f t="shared" si="5"/>
        <v>BR_IMC_DSY_LANCH_ND_NC_2020Q3AUG_NVS_Nivus-Launch-Consideracao</v>
      </c>
      <c r="AY268" s="28" t="str">
        <f t="shared" si="6"/>
        <v>#N/A</v>
      </c>
      <c r="AZ268" s="22" t="s">
        <v>107</v>
      </c>
      <c r="BA268" s="22" t="s">
        <v>108</v>
      </c>
      <c r="BB268" s="31" t="s">
        <v>109</v>
      </c>
      <c r="BC268" s="31" t="s">
        <v>109</v>
      </c>
      <c r="BD268" s="32" t="str">
        <f t="shared" si="8"/>
        <v>nvl-nvs-imc-dsy-0820-10262</v>
      </c>
      <c r="BE268" s="33"/>
      <c r="BF268" s="33"/>
      <c r="BG268" s="39" t="str">
        <f>URL&amp;IF(ISNUMBER(FIND("?",URL)),"&amp;","?"&amp;("adlid="&amp;Unique_ID&amp;"&amp;adplt="&amp;Placement))</f>
        <v>#N/A</v>
      </c>
      <c r="BH268" s="1"/>
      <c r="BI268" s="1"/>
      <c r="BJ268" s="35" t="str">
        <f>LOWER("alp"&amp;"_"&amp;"vw"&amp;"_"&amp;Veiculo&amp;"_"&amp;C264&amp;"_"&amp;Objetivo)</f>
        <v>alp_vw___</v>
      </c>
      <c r="BK268" s="35" t="str">
        <f>LOWER(Buying_Metric&amp;"_"&amp;VLOOKUP(Buying_Type,Buy_type,2,FALSE)&amp;"_"&amp;Device&amp;"_"&amp;Size&amp;"_"&amp;Segmentação&amp;"_"&amp;Segmentação_Anúncio)</f>
        <v>#N/A</v>
      </c>
      <c r="BL268" s="35" t="str">
        <f>LOWER(Campanha_ou_InsertionOrder&amp;"_"&amp;LineItem_ou_Grupodeanúncio&amp;"_"&amp;Linha_criativa_2&amp;"_"&amp;Unique_ID)</f>
        <v>#N/A</v>
      </c>
      <c r="BM268" s="27"/>
      <c r="BN268" s="27"/>
    </row>
    <row r="269">
      <c r="A269" s="1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8" t="str">
        <f>LOWER(Campanha_ou_InsertionOrder&amp;"_"&amp;LineItem_ou_Grupodeanúncio&amp;"_"&amp;Linha_Criativa&amp;"_"&amp;Unique_ID)</f>
        <v>#N/A</v>
      </c>
      <c r="AN269" s="28" t="str">
        <f>LOWER(Campanha_ou_InsertionOrder&amp;"_"&amp;LineItem_ou_Grupodeanúncio&amp;"_"&amp;Linha_Criativa&amp;"_"&amp;Unique_ID)</f>
        <v>#N/A</v>
      </c>
      <c r="AO269" s="28" t="str">
        <f>LOWER("VW"&amp;"_"&amp;Model_Variant&amp;"_"&amp;Size&amp;"_"&amp;Linha_Criativa&amp;"_"&amp;IF(Servido_Por="portal",Veiculo,"adserver"))</f>
        <v>vw____adserver</v>
      </c>
      <c r="AP2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69" s="22" t="str">
        <f t="shared" si="1"/>
        <v/>
      </c>
      <c r="AS269" s="22" t="str">
        <f t="shared" si="2"/>
        <v/>
      </c>
      <c r="AT269" s="22" t="str">
        <f t="shared" si="3"/>
        <v>BR_IMC_DSY_LANCH_ND_NC_2020Q3AUG_NVS_Nivus-Launch-Consideracao</v>
      </c>
      <c r="AU269" s="22" t="str">
        <f t="shared" si="4"/>
        <v>#N/A</v>
      </c>
      <c r="AV269" s="22" t="s">
        <v>106</v>
      </c>
      <c r="AW2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69" s="22" t="str">
        <f t="shared" si="5"/>
        <v>BR_IMC_DSY_LANCH_ND_NC_2020Q3AUG_NVS_Nivus-Launch-Consideracao</v>
      </c>
      <c r="AY269" s="28" t="str">
        <f t="shared" si="6"/>
        <v>#N/A</v>
      </c>
      <c r="AZ269" s="22" t="s">
        <v>107</v>
      </c>
      <c r="BA269" s="22" t="s">
        <v>108</v>
      </c>
      <c r="BB269" s="31" t="s">
        <v>109</v>
      </c>
      <c r="BC269" s="31" t="s">
        <v>109</v>
      </c>
      <c r="BD269" s="32" t="str">
        <f t="shared" si="8"/>
        <v>nvl-nvs-imc-dsy-0820-10263</v>
      </c>
      <c r="BE269" s="33"/>
      <c r="BF269" s="33"/>
      <c r="BG269" s="39" t="str">
        <f>URL&amp;IF(ISNUMBER(FIND("?",URL)),"&amp;","?"&amp;("adlid="&amp;Unique_ID&amp;"&amp;adplt="&amp;Placement))</f>
        <v>#N/A</v>
      </c>
      <c r="BH269" s="1"/>
      <c r="BI269" s="1"/>
      <c r="BJ269" s="35" t="str">
        <f>LOWER("alp"&amp;"_"&amp;"vw"&amp;"_"&amp;Veiculo&amp;"_"&amp;C265&amp;"_"&amp;Objetivo)</f>
        <v>alp_vw___</v>
      </c>
      <c r="BK269" s="35" t="str">
        <f>LOWER(Buying_Metric&amp;"_"&amp;VLOOKUP(Buying_Type,Buy_type,2,FALSE)&amp;"_"&amp;Device&amp;"_"&amp;Size&amp;"_"&amp;Segmentação&amp;"_"&amp;Segmentação_Anúncio)</f>
        <v>#N/A</v>
      </c>
      <c r="BL269" s="35" t="str">
        <f>LOWER(Campanha_ou_InsertionOrder&amp;"_"&amp;LineItem_ou_Grupodeanúncio&amp;"_"&amp;Linha_criativa_2&amp;"_"&amp;Unique_ID)</f>
        <v>#N/A</v>
      </c>
      <c r="BM269" s="27"/>
      <c r="BN269" s="27"/>
    </row>
    <row r="270">
      <c r="A270" s="1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8" t="str">
        <f>LOWER(Campanha_ou_InsertionOrder&amp;"_"&amp;LineItem_ou_Grupodeanúncio&amp;"_"&amp;Linha_Criativa&amp;"_"&amp;Unique_ID)</f>
        <v>#N/A</v>
      </c>
      <c r="AN270" s="28" t="str">
        <f>LOWER(Campanha_ou_InsertionOrder&amp;"_"&amp;LineItem_ou_Grupodeanúncio&amp;"_"&amp;Linha_Criativa&amp;"_"&amp;Unique_ID)</f>
        <v>#N/A</v>
      </c>
      <c r="AO270" s="28" t="str">
        <f>LOWER("VW"&amp;"_"&amp;Model_Variant&amp;"_"&amp;Size&amp;"_"&amp;Linha_Criativa&amp;"_"&amp;IF(Servido_Por="portal",Veiculo,"adserver"))</f>
        <v>vw____adserver</v>
      </c>
      <c r="AP2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0" s="22" t="str">
        <f t="shared" si="1"/>
        <v/>
      </c>
      <c r="AS270" s="22" t="str">
        <f t="shared" si="2"/>
        <v/>
      </c>
      <c r="AT270" s="22" t="str">
        <f t="shared" si="3"/>
        <v>BR_IMC_DSY_LANCH_ND_NC_2020Q3AUG_NVS_Nivus-Launch-Consideracao</v>
      </c>
      <c r="AU270" s="22" t="str">
        <f t="shared" si="4"/>
        <v>#N/A</v>
      </c>
      <c r="AV270" s="22" t="s">
        <v>106</v>
      </c>
      <c r="AW2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0" s="22" t="str">
        <f t="shared" si="5"/>
        <v>BR_IMC_DSY_LANCH_ND_NC_2020Q3AUG_NVS_Nivus-Launch-Consideracao</v>
      </c>
      <c r="AY270" s="28" t="str">
        <f t="shared" si="6"/>
        <v>#N/A</v>
      </c>
      <c r="AZ270" s="22" t="s">
        <v>107</v>
      </c>
      <c r="BA270" s="22" t="s">
        <v>108</v>
      </c>
      <c r="BB270" s="31" t="s">
        <v>109</v>
      </c>
      <c r="BC270" s="31" t="s">
        <v>109</v>
      </c>
      <c r="BD270" s="32" t="str">
        <f t="shared" si="8"/>
        <v>nvl-nvs-imc-dsy-0820-10264</v>
      </c>
      <c r="BE270" s="33"/>
      <c r="BF270" s="33"/>
      <c r="BG270" s="39" t="str">
        <f>URL&amp;IF(ISNUMBER(FIND("?",URL)),"&amp;","?"&amp;("adlid="&amp;Unique_ID&amp;"&amp;adplt="&amp;Placement))</f>
        <v>#N/A</v>
      </c>
      <c r="BH270" s="1"/>
      <c r="BI270" s="1"/>
      <c r="BJ270" s="35" t="str">
        <f>LOWER("alp"&amp;"_"&amp;"vw"&amp;"_"&amp;Veiculo&amp;"_"&amp;C266&amp;"_"&amp;Objetivo)</f>
        <v>alp_vw___</v>
      </c>
      <c r="BK270" s="35" t="str">
        <f>LOWER(Buying_Metric&amp;"_"&amp;VLOOKUP(Buying_Type,Buy_type,2,FALSE)&amp;"_"&amp;Device&amp;"_"&amp;Size&amp;"_"&amp;Segmentação&amp;"_"&amp;Segmentação_Anúncio)</f>
        <v>#N/A</v>
      </c>
      <c r="BL270" s="35" t="str">
        <f>LOWER(Campanha_ou_InsertionOrder&amp;"_"&amp;LineItem_ou_Grupodeanúncio&amp;"_"&amp;Linha_criativa_2&amp;"_"&amp;Unique_ID)</f>
        <v>#N/A</v>
      </c>
      <c r="BM270" s="27"/>
      <c r="BN270" s="27"/>
    </row>
    <row r="271">
      <c r="A271" s="1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8" t="str">
        <f>LOWER(Campanha_ou_InsertionOrder&amp;"_"&amp;LineItem_ou_Grupodeanúncio&amp;"_"&amp;Linha_Criativa&amp;"_"&amp;Unique_ID)</f>
        <v>#N/A</v>
      </c>
      <c r="AN271" s="28" t="str">
        <f>LOWER(Campanha_ou_InsertionOrder&amp;"_"&amp;LineItem_ou_Grupodeanúncio&amp;"_"&amp;Linha_Criativa&amp;"_"&amp;Unique_ID)</f>
        <v>#N/A</v>
      </c>
      <c r="AO271" s="28" t="str">
        <f>LOWER("VW"&amp;"_"&amp;Model_Variant&amp;"_"&amp;Size&amp;"_"&amp;Linha_Criativa&amp;"_"&amp;IF(Servido_Por="portal",Veiculo,"adserver"))</f>
        <v>vw____adserver</v>
      </c>
      <c r="AP2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1" s="22" t="str">
        <f t="shared" si="1"/>
        <v/>
      </c>
      <c r="AS271" s="22" t="str">
        <f t="shared" si="2"/>
        <v/>
      </c>
      <c r="AT271" s="22" t="str">
        <f t="shared" si="3"/>
        <v>BR_IMC_DSY_LANCH_ND_NC_2020Q3AUG_NVS_Nivus-Launch-Consideracao</v>
      </c>
      <c r="AU271" s="22" t="str">
        <f t="shared" si="4"/>
        <v>#N/A</v>
      </c>
      <c r="AV271" s="22" t="s">
        <v>106</v>
      </c>
      <c r="AW2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1" s="22" t="str">
        <f t="shared" si="5"/>
        <v>BR_IMC_DSY_LANCH_ND_NC_2020Q3AUG_NVS_Nivus-Launch-Consideracao</v>
      </c>
      <c r="AY271" s="28" t="str">
        <f t="shared" si="6"/>
        <v>#N/A</v>
      </c>
      <c r="AZ271" s="22" t="s">
        <v>107</v>
      </c>
      <c r="BA271" s="22" t="s">
        <v>108</v>
      </c>
      <c r="BB271" s="31" t="s">
        <v>109</v>
      </c>
      <c r="BC271" s="31" t="s">
        <v>109</v>
      </c>
      <c r="BD271" s="32" t="str">
        <f t="shared" si="8"/>
        <v>nvl-nvs-imc-dsy-0820-10265</v>
      </c>
      <c r="BE271" s="33"/>
      <c r="BF271" s="33"/>
      <c r="BG271" s="39" t="str">
        <f>URL&amp;IF(ISNUMBER(FIND("?",URL)),"&amp;","?"&amp;("adlid="&amp;Unique_ID&amp;"&amp;adplt="&amp;Placement))</f>
        <v>#N/A</v>
      </c>
      <c r="BH271" s="1"/>
      <c r="BI271" s="1"/>
      <c r="BJ271" s="35" t="str">
        <f>LOWER("alp"&amp;"_"&amp;"vw"&amp;"_"&amp;Veiculo&amp;"_"&amp;C267&amp;"_"&amp;Objetivo)</f>
        <v>alp_vw___</v>
      </c>
      <c r="BK271" s="35" t="str">
        <f>LOWER(Buying_Metric&amp;"_"&amp;VLOOKUP(Buying_Type,Buy_type,2,FALSE)&amp;"_"&amp;Device&amp;"_"&amp;Size&amp;"_"&amp;Segmentação&amp;"_"&amp;Segmentação_Anúncio)</f>
        <v>#N/A</v>
      </c>
      <c r="BL271" s="35" t="str">
        <f>LOWER(Campanha_ou_InsertionOrder&amp;"_"&amp;LineItem_ou_Grupodeanúncio&amp;"_"&amp;Linha_criativa_2&amp;"_"&amp;Unique_ID)</f>
        <v>#N/A</v>
      </c>
      <c r="BM271" s="27"/>
      <c r="BN271" s="27"/>
    </row>
    <row r="272">
      <c r="A272" s="1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8" t="str">
        <f>LOWER(Campanha_ou_InsertionOrder&amp;"_"&amp;LineItem_ou_Grupodeanúncio&amp;"_"&amp;Linha_Criativa&amp;"_"&amp;Unique_ID)</f>
        <v>#N/A</v>
      </c>
      <c r="AN272" s="28" t="str">
        <f>LOWER(Campanha_ou_InsertionOrder&amp;"_"&amp;LineItem_ou_Grupodeanúncio&amp;"_"&amp;Linha_Criativa&amp;"_"&amp;Unique_ID)</f>
        <v>#N/A</v>
      </c>
      <c r="AO272" s="28" t="str">
        <f>LOWER("VW"&amp;"_"&amp;Model_Variant&amp;"_"&amp;Size&amp;"_"&amp;Linha_Criativa&amp;"_"&amp;IF(Servido_Por="portal",Veiculo,"adserver"))</f>
        <v>vw____adserver</v>
      </c>
      <c r="AP2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2" s="22" t="str">
        <f t="shared" si="1"/>
        <v/>
      </c>
      <c r="AS272" s="22" t="str">
        <f t="shared" si="2"/>
        <v/>
      </c>
      <c r="AT272" s="22" t="str">
        <f t="shared" si="3"/>
        <v>BR_IMC_DSY_LANCH_ND_NC_2020Q3AUG_NVS_Nivus-Launch-Consideracao</v>
      </c>
      <c r="AU272" s="22" t="str">
        <f t="shared" si="4"/>
        <v>#N/A</v>
      </c>
      <c r="AV272" s="22" t="s">
        <v>106</v>
      </c>
      <c r="AW2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2" s="22" t="str">
        <f t="shared" si="5"/>
        <v>BR_IMC_DSY_LANCH_ND_NC_2020Q3AUG_NVS_Nivus-Launch-Consideracao</v>
      </c>
      <c r="AY272" s="28" t="str">
        <f t="shared" si="6"/>
        <v>#N/A</v>
      </c>
      <c r="AZ272" s="22" t="s">
        <v>107</v>
      </c>
      <c r="BA272" s="22" t="s">
        <v>108</v>
      </c>
      <c r="BB272" s="31" t="s">
        <v>109</v>
      </c>
      <c r="BC272" s="31" t="s">
        <v>109</v>
      </c>
      <c r="BD272" s="32" t="str">
        <f t="shared" si="8"/>
        <v>nvl-nvs-imc-dsy-0820-10266</v>
      </c>
      <c r="BE272" s="33"/>
      <c r="BF272" s="33"/>
      <c r="BG272" s="39" t="str">
        <f>URL&amp;IF(ISNUMBER(FIND("?",URL)),"&amp;","?"&amp;("adlid="&amp;Unique_ID&amp;"&amp;adplt="&amp;Placement))</f>
        <v>#N/A</v>
      </c>
      <c r="BH272" s="1"/>
      <c r="BI272" s="1"/>
      <c r="BJ272" s="35" t="str">
        <f>LOWER("alp"&amp;"_"&amp;"vw"&amp;"_"&amp;Veiculo&amp;"_"&amp;C268&amp;"_"&amp;Objetivo)</f>
        <v>alp_vw___</v>
      </c>
      <c r="BK272" s="35" t="str">
        <f>LOWER(Buying_Metric&amp;"_"&amp;VLOOKUP(Buying_Type,Buy_type,2,FALSE)&amp;"_"&amp;Device&amp;"_"&amp;Size&amp;"_"&amp;Segmentação&amp;"_"&amp;Segmentação_Anúncio)</f>
        <v>#N/A</v>
      </c>
      <c r="BL272" s="35" t="str">
        <f>LOWER(Campanha_ou_InsertionOrder&amp;"_"&amp;LineItem_ou_Grupodeanúncio&amp;"_"&amp;Linha_criativa_2&amp;"_"&amp;Unique_ID)</f>
        <v>#N/A</v>
      </c>
      <c r="BM272" s="27"/>
      <c r="BN272" s="27"/>
    </row>
    <row r="273">
      <c r="A273" s="1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8" t="str">
        <f>LOWER(Campanha_ou_InsertionOrder&amp;"_"&amp;LineItem_ou_Grupodeanúncio&amp;"_"&amp;Linha_Criativa&amp;"_"&amp;Unique_ID)</f>
        <v>#N/A</v>
      </c>
      <c r="AN273" s="28" t="str">
        <f>LOWER(Campanha_ou_InsertionOrder&amp;"_"&amp;LineItem_ou_Grupodeanúncio&amp;"_"&amp;Linha_Criativa&amp;"_"&amp;Unique_ID)</f>
        <v>#N/A</v>
      </c>
      <c r="AO273" s="28" t="str">
        <f>LOWER("VW"&amp;"_"&amp;Model_Variant&amp;"_"&amp;Size&amp;"_"&amp;Linha_Criativa&amp;"_"&amp;IF(Servido_Por="portal",Veiculo,"adserver"))</f>
        <v>vw____adserver</v>
      </c>
      <c r="AP2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3" s="22" t="str">
        <f t="shared" si="1"/>
        <v/>
      </c>
      <c r="AS273" s="22" t="str">
        <f t="shared" si="2"/>
        <v/>
      </c>
      <c r="AT273" s="22" t="str">
        <f t="shared" si="3"/>
        <v>BR_IMC_DSY_LANCH_ND_NC_2020Q3AUG_NVS_Nivus-Launch-Consideracao</v>
      </c>
      <c r="AU273" s="22" t="str">
        <f t="shared" si="4"/>
        <v>#N/A</v>
      </c>
      <c r="AV273" s="22" t="s">
        <v>106</v>
      </c>
      <c r="AW2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3" s="22" t="str">
        <f t="shared" si="5"/>
        <v>BR_IMC_DSY_LANCH_ND_NC_2020Q3AUG_NVS_Nivus-Launch-Consideracao</v>
      </c>
      <c r="AY273" s="28" t="str">
        <f t="shared" si="6"/>
        <v>#N/A</v>
      </c>
      <c r="AZ273" s="22" t="s">
        <v>107</v>
      </c>
      <c r="BA273" s="22" t="s">
        <v>108</v>
      </c>
      <c r="BB273" s="31" t="s">
        <v>109</v>
      </c>
      <c r="BC273" s="31" t="s">
        <v>109</v>
      </c>
      <c r="BD273" s="32" t="str">
        <f t="shared" si="8"/>
        <v>nvl-nvs-imc-dsy-0820-10267</v>
      </c>
      <c r="BE273" s="33"/>
      <c r="BF273" s="33"/>
      <c r="BG273" s="39" t="str">
        <f>URL&amp;IF(ISNUMBER(FIND("?",URL)),"&amp;","?"&amp;("adlid="&amp;Unique_ID&amp;"&amp;adplt="&amp;Placement))</f>
        <v>#N/A</v>
      </c>
      <c r="BH273" s="1"/>
      <c r="BI273" s="1"/>
      <c r="BJ273" s="35" t="str">
        <f>LOWER("alp"&amp;"_"&amp;"vw"&amp;"_"&amp;Veiculo&amp;"_"&amp;C269&amp;"_"&amp;Objetivo)</f>
        <v>alp_vw___</v>
      </c>
      <c r="BK273" s="35" t="str">
        <f>LOWER(Buying_Metric&amp;"_"&amp;VLOOKUP(Buying_Type,Buy_type,2,FALSE)&amp;"_"&amp;Device&amp;"_"&amp;Size&amp;"_"&amp;Segmentação&amp;"_"&amp;Segmentação_Anúncio)</f>
        <v>#N/A</v>
      </c>
      <c r="BL273" s="35" t="str">
        <f>LOWER(Campanha_ou_InsertionOrder&amp;"_"&amp;LineItem_ou_Grupodeanúncio&amp;"_"&amp;Linha_criativa_2&amp;"_"&amp;Unique_ID)</f>
        <v>#N/A</v>
      </c>
      <c r="BM273" s="27"/>
      <c r="BN273" s="27"/>
    </row>
    <row r="274">
      <c r="A274" s="1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8" t="str">
        <f>LOWER(Campanha_ou_InsertionOrder&amp;"_"&amp;LineItem_ou_Grupodeanúncio&amp;"_"&amp;Linha_Criativa&amp;"_"&amp;Unique_ID)</f>
        <v>#N/A</v>
      </c>
      <c r="AN274" s="28" t="str">
        <f>LOWER(Campanha_ou_InsertionOrder&amp;"_"&amp;LineItem_ou_Grupodeanúncio&amp;"_"&amp;Linha_Criativa&amp;"_"&amp;Unique_ID)</f>
        <v>#N/A</v>
      </c>
      <c r="AO274" s="28" t="str">
        <f>LOWER("VW"&amp;"_"&amp;Model_Variant&amp;"_"&amp;Size&amp;"_"&amp;Linha_Criativa&amp;"_"&amp;IF(Servido_Por="portal",Veiculo,"adserver"))</f>
        <v>vw____adserver</v>
      </c>
      <c r="AP2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4" s="22" t="str">
        <f t="shared" si="1"/>
        <v/>
      </c>
      <c r="AS274" s="22" t="str">
        <f t="shared" si="2"/>
        <v/>
      </c>
      <c r="AT274" s="22" t="str">
        <f t="shared" si="3"/>
        <v>BR_IMC_DSY_LANCH_ND_NC_2020Q3AUG_NVS_Nivus-Launch-Consideracao</v>
      </c>
      <c r="AU274" s="22" t="str">
        <f t="shared" si="4"/>
        <v>#N/A</v>
      </c>
      <c r="AV274" s="22" t="s">
        <v>106</v>
      </c>
      <c r="AW2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4" s="22" t="str">
        <f t="shared" si="5"/>
        <v>BR_IMC_DSY_LANCH_ND_NC_2020Q3AUG_NVS_Nivus-Launch-Consideracao</v>
      </c>
      <c r="AY274" s="28" t="str">
        <f t="shared" si="6"/>
        <v>#N/A</v>
      </c>
      <c r="AZ274" s="22" t="s">
        <v>107</v>
      </c>
      <c r="BA274" s="22" t="s">
        <v>108</v>
      </c>
      <c r="BB274" s="31" t="s">
        <v>109</v>
      </c>
      <c r="BC274" s="31" t="s">
        <v>109</v>
      </c>
      <c r="BD274" s="32" t="str">
        <f t="shared" si="8"/>
        <v>nvl-nvs-imc-dsy-0820-10268</v>
      </c>
      <c r="BE274" s="33"/>
      <c r="BF274" s="33"/>
      <c r="BG274" s="39" t="str">
        <f>URL&amp;IF(ISNUMBER(FIND("?",URL)),"&amp;","?"&amp;("adlid="&amp;Unique_ID&amp;"&amp;adplt="&amp;Placement))</f>
        <v>#N/A</v>
      </c>
      <c r="BH274" s="1"/>
      <c r="BI274" s="1"/>
      <c r="BJ274" s="35" t="str">
        <f>LOWER("alp"&amp;"_"&amp;"vw"&amp;"_"&amp;Veiculo&amp;"_"&amp;C270&amp;"_"&amp;Objetivo)</f>
        <v>alp_vw___</v>
      </c>
      <c r="BK274" s="35" t="str">
        <f>LOWER(Buying_Metric&amp;"_"&amp;VLOOKUP(Buying_Type,Buy_type,2,FALSE)&amp;"_"&amp;Device&amp;"_"&amp;Size&amp;"_"&amp;Segmentação&amp;"_"&amp;Segmentação_Anúncio)</f>
        <v>#N/A</v>
      </c>
      <c r="BL274" s="35" t="str">
        <f>LOWER(Campanha_ou_InsertionOrder&amp;"_"&amp;LineItem_ou_Grupodeanúncio&amp;"_"&amp;Linha_criativa_2&amp;"_"&amp;Unique_ID)</f>
        <v>#N/A</v>
      </c>
      <c r="BM274" s="27"/>
      <c r="BN274" s="27"/>
    </row>
    <row r="275">
      <c r="A275" s="1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8" t="str">
        <f>LOWER(Campanha_ou_InsertionOrder&amp;"_"&amp;LineItem_ou_Grupodeanúncio&amp;"_"&amp;Linha_Criativa&amp;"_"&amp;Unique_ID)</f>
        <v>#N/A</v>
      </c>
      <c r="AN275" s="28" t="str">
        <f>LOWER(Campanha_ou_InsertionOrder&amp;"_"&amp;LineItem_ou_Grupodeanúncio&amp;"_"&amp;Linha_Criativa&amp;"_"&amp;Unique_ID)</f>
        <v>#N/A</v>
      </c>
      <c r="AO275" s="28" t="str">
        <f>LOWER("VW"&amp;"_"&amp;Model_Variant&amp;"_"&amp;Size&amp;"_"&amp;Linha_Criativa&amp;"_"&amp;IF(Servido_Por="portal",Veiculo,"adserver"))</f>
        <v>vw____adserver</v>
      </c>
      <c r="AP2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5" s="22" t="str">
        <f t="shared" si="1"/>
        <v/>
      </c>
      <c r="AS275" s="22" t="str">
        <f t="shared" si="2"/>
        <v/>
      </c>
      <c r="AT275" s="22" t="str">
        <f t="shared" si="3"/>
        <v>BR_IMC_DSY_LANCH_ND_NC_2020Q3AUG_NVS_Nivus-Launch-Consideracao</v>
      </c>
      <c r="AU275" s="22" t="str">
        <f t="shared" si="4"/>
        <v>#N/A</v>
      </c>
      <c r="AV275" s="22" t="s">
        <v>106</v>
      </c>
      <c r="AW2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5" s="22" t="str">
        <f t="shared" si="5"/>
        <v>BR_IMC_DSY_LANCH_ND_NC_2020Q3AUG_NVS_Nivus-Launch-Consideracao</v>
      </c>
      <c r="AY275" s="28" t="str">
        <f t="shared" si="6"/>
        <v>#N/A</v>
      </c>
      <c r="AZ275" s="22" t="s">
        <v>107</v>
      </c>
      <c r="BA275" s="22" t="s">
        <v>108</v>
      </c>
      <c r="BB275" s="31" t="s">
        <v>109</v>
      </c>
      <c r="BC275" s="31" t="s">
        <v>109</v>
      </c>
      <c r="BD275" s="32" t="str">
        <f t="shared" si="8"/>
        <v>nvl-nvs-imc-dsy-0820-10269</v>
      </c>
      <c r="BE275" s="33"/>
      <c r="BF275" s="33"/>
      <c r="BG275" s="39" t="str">
        <f>URL&amp;IF(ISNUMBER(FIND("?",URL)),"&amp;","?"&amp;("adlid="&amp;Unique_ID&amp;"&amp;adplt="&amp;Placement))</f>
        <v>#N/A</v>
      </c>
      <c r="BH275" s="1"/>
      <c r="BI275" s="1"/>
      <c r="BJ275" s="35" t="str">
        <f>LOWER("alp"&amp;"_"&amp;"vw"&amp;"_"&amp;Veiculo&amp;"_"&amp;C271&amp;"_"&amp;Objetivo)</f>
        <v>alp_vw___</v>
      </c>
      <c r="BK275" s="35" t="str">
        <f>LOWER(Buying_Metric&amp;"_"&amp;VLOOKUP(Buying_Type,Buy_type,2,FALSE)&amp;"_"&amp;Device&amp;"_"&amp;Size&amp;"_"&amp;Segmentação&amp;"_"&amp;Segmentação_Anúncio)</f>
        <v>#N/A</v>
      </c>
      <c r="BL275" s="35" t="str">
        <f>LOWER(Campanha_ou_InsertionOrder&amp;"_"&amp;LineItem_ou_Grupodeanúncio&amp;"_"&amp;Linha_criativa_2&amp;"_"&amp;Unique_ID)</f>
        <v>#N/A</v>
      </c>
      <c r="BM275" s="27"/>
      <c r="BN275" s="27"/>
    </row>
    <row r="276">
      <c r="A276" s="1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8" t="str">
        <f>LOWER(Campanha_ou_InsertionOrder&amp;"_"&amp;LineItem_ou_Grupodeanúncio&amp;"_"&amp;Linha_Criativa&amp;"_"&amp;Unique_ID)</f>
        <v>#N/A</v>
      </c>
      <c r="AN276" s="28" t="str">
        <f>LOWER(Campanha_ou_InsertionOrder&amp;"_"&amp;LineItem_ou_Grupodeanúncio&amp;"_"&amp;Linha_Criativa&amp;"_"&amp;Unique_ID)</f>
        <v>#N/A</v>
      </c>
      <c r="AO276" s="28" t="str">
        <f>LOWER("VW"&amp;"_"&amp;Model_Variant&amp;"_"&amp;Size&amp;"_"&amp;Linha_Criativa&amp;"_"&amp;IF(Servido_Por="portal",Veiculo,"adserver"))</f>
        <v>vw____adserver</v>
      </c>
      <c r="AP2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6" s="22" t="str">
        <f t="shared" si="1"/>
        <v/>
      </c>
      <c r="AS276" s="22" t="str">
        <f t="shared" si="2"/>
        <v/>
      </c>
      <c r="AT276" s="22" t="str">
        <f t="shared" si="3"/>
        <v>BR_IMC_DSY_LANCH_ND_NC_2020Q3AUG_NVS_Nivus-Launch-Consideracao</v>
      </c>
      <c r="AU276" s="22" t="str">
        <f t="shared" si="4"/>
        <v>#N/A</v>
      </c>
      <c r="AV276" s="22" t="s">
        <v>106</v>
      </c>
      <c r="AW2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6" s="22" t="str">
        <f t="shared" si="5"/>
        <v>BR_IMC_DSY_LANCH_ND_NC_2020Q3AUG_NVS_Nivus-Launch-Consideracao</v>
      </c>
      <c r="AY276" s="28" t="str">
        <f t="shared" si="6"/>
        <v>#N/A</v>
      </c>
      <c r="AZ276" s="22" t="s">
        <v>107</v>
      </c>
      <c r="BA276" s="22" t="s">
        <v>108</v>
      </c>
      <c r="BB276" s="31" t="s">
        <v>109</v>
      </c>
      <c r="BC276" s="31" t="s">
        <v>109</v>
      </c>
      <c r="BD276" s="32" t="str">
        <f t="shared" si="8"/>
        <v>nvl-nvs-imc-dsy-0820-10270</v>
      </c>
      <c r="BE276" s="33"/>
      <c r="BF276" s="33"/>
      <c r="BG276" s="39" t="str">
        <f>URL&amp;IF(ISNUMBER(FIND("?",URL)),"&amp;","?"&amp;("adlid="&amp;Unique_ID&amp;"&amp;adplt="&amp;Placement))</f>
        <v>#N/A</v>
      </c>
      <c r="BH276" s="1"/>
      <c r="BI276" s="1"/>
      <c r="BJ276" s="35" t="str">
        <f>LOWER("alp"&amp;"_"&amp;"vw"&amp;"_"&amp;Veiculo&amp;"_"&amp;C272&amp;"_"&amp;Objetivo)</f>
        <v>alp_vw___</v>
      </c>
      <c r="BK276" s="35" t="str">
        <f>LOWER(Buying_Metric&amp;"_"&amp;VLOOKUP(Buying_Type,Buy_type,2,FALSE)&amp;"_"&amp;Device&amp;"_"&amp;Size&amp;"_"&amp;Segmentação&amp;"_"&amp;Segmentação_Anúncio)</f>
        <v>#N/A</v>
      </c>
      <c r="BL276" s="35" t="str">
        <f>LOWER(Campanha_ou_InsertionOrder&amp;"_"&amp;LineItem_ou_Grupodeanúncio&amp;"_"&amp;Linha_criativa_2&amp;"_"&amp;Unique_ID)</f>
        <v>#N/A</v>
      </c>
      <c r="BM276" s="27"/>
      <c r="BN276" s="27"/>
    </row>
    <row r="277">
      <c r="A277" s="1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8" t="str">
        <f>LOWER(Campanha_ou_InsertionOrder&amp;"_"&amp;LineItem_ou_Grupodeanúncio&amp;"_"&amp;Linha_Criativa&amp;"_"&amp;Unique_ID)</f>
        <v>#N/A</v>
      </c>
      <c r="AN277" s="28" t="str">
        <f>LOWER(Campanha_ou_InsertionOrder&amp;"_"&amp;LineItem_ou_Grupodeanúncio&amp;"_"&amp;Linha_Criativa&amp;"_"&amp;Unique_ID)</f>
        <v>#N/A</v>
      </c>
      <c r="AO277" s="28" t="str">
        <f>LOWER("VW"&amp;"_"&amp;Model_Variant&amp;"_"&amp;Size&amp;"_"&amp;Linha_Criativa&amp;"_"&amp;IF(Servido_Por="portal",Veiculo,"adserver"))</f>
        <v>vw____adserver</v>
      </c>
      <c r="AP2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7" s="22" t="str">
        <f t="shared" si="1"/>
        <v/>
      </c>
      <c r="AS277" s="22" t="str">
        <f t="shared" si="2"/>
        <v/>
      </c>
      <c r="AT277" s="22" t="str">
        <f t="shared" si="3"/>
        <v>BR_IMC_DSY_LANCH_ND_NC_2020Q3AUG_NVS_Nivus-Launch-Consideracao</v>
      </c>
      <c r="AU277" s="22" t="str">
        <f t="shared" si="4"/>
        <v>#N/A</v>
      </c>
      <c r="AV277" s="22" t="s">
        <v>106</v>
      </c>
      <c r="AW2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7" s="22" t="str">
        <f t="shared" si="5"/>
        <v>BR_IMC_DSY_LANCH_ND_NC_2020Q3AUG_NVS_Nivus-Launch-Consideracao</v>
      </c>
      <c r="AY277" s="28" t="str">
        <f t="shared" si="6"/>
        <v>#N/A</v>
      </c>
      <c r="AZ277" s="22" t="s">
        <v>107</v>
      </c>
      <c r="BA277" s="22" t="s">
        <v>108</v>
      </c>
      <c r="BB277" s="31" t="s">
        <v>109</v>
      </c>
      <c r="BC277" s="31" t="s">
        <v>109</v>
      </c>
      <c r="BD277" s="32" t="str">
        <f t="shared" si="8"/>
        <v>nvl-nvs-imc-dsy-0820-10271</v>
      </c>
      <c r="BE277" s="33"/>
      <c r="BF277" s="33"/>
      <c r="BG277" s="39" t="str">
        <f>URL&amp;IF(ISNUMBER(FIND("?",URL)),"&amp;","?"&amp;("adlid="&amp;Unique_ID&amp;"&amp;adplt="&amp;Placement))</f>
        <v>#N/A</v>
      </c>
      <c r="BH277" s="1"/>
      <c r="BI277" s="1"/>
      <c r="BJ277" s="35" t="str">
        <f>LOWER("alp"&amp;"_"&amp;"vw"&amp;"_"&amp;Veiculo&amp;"_"&amp;C273&amp;"_"&amp;Objetivo)</f>
        <v>alp_vw___</v>
      </c>
      <c r="BK277" s="35" t="str">
        <f>LOWER(Buying_Metric&amp;"_"&amp;VLOOKUP(Buying_Type,Buy_type,2,FALSE)&amp;"_"&amp;Device&amp;"_"&amp;Size&amp;"_"&amp;Segmentação&amp;"_"&amp;Segmentação_Anúncio)</f>
        <v>#N/A</v>
      </c>
      <c r="BL277" s="35" t="str">
        <f>LOWER(Campanha_ou_InsertionOrder&amp;"_"&amp;LineItem_ou_Grupodeanúncio&amp;"_"&amp;Linha_criativa_2&amp;"_"&amp;Unique_ID)</f>
        <v>#N/A</v>
      </c>
      <c r="BM277" s="27"/>
      <c r="BN277" s="27"/>
    </row>
    <row r="278">
      <c r="A278" s="1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8" t="str">
        <f>LOWER(Campanha_ou_InsertionOrder&amp;"_"&amp;LineItem_ou_Grupodeanúncio&amp;"_"&amp;Linha_Criativa&amp;"_"&amp;Unique_ID)</f>
        <v>#N/A</v>
      </c>
      <c r="AN278" s="28" t="str">
        <f>LOWER(Campanha_ou_InsertionOrder&amp;"_"&amp;LineItem_ou_Grupodeanúncio&amp;"_"&amp;Linha_Criativa&amp;"_"&amp;Unique_ID)</f>
        <v>#N/A</v>
      </c>
      <c r="AO278" s="28" t="str">
        <f>LOWER("VW"&amp;"_"&amp;Model_Variant&amp;"_"&amp;Size&amp;"_"&amp;Linha_Criativa&amp;"_"&amp;IF(Servido_Por="portal",Veiculo,"adserver"))</f>
        <v>vw____adserver</v>
      </c>
      <c r="AP2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8" s="22" t="str">
        <f t="shared" si="1"/>
        <v/>
      </c>
      <c r="AS278" s="22" t="str">
        <f t="shared" si="2"/>
        <v/>
      </c>
      <c r="AT278" s="22" t="str">
        <f t="shared" si="3"/>
        <v>BR_IMC_DSY_LANCH_ND_NC_2020Q3AUG_NVS_Nivus-Launch-Consideracao</v>
      </c>
      <c r="AU278" s="22" t="str">
        <f t="shared" si="4"/>
        <v>#N/A</v>
      </c>
      <c r="AV278" s="22" t="s">
        <v>106</v>
      </c>
      <c r="AW2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8" s="22" t="str">
        <f t="shared" si="5"/>
        <v>BR_IMC_DSY_LANCH_ND_NC_2020Q3AUG_NVS_Nivus-Launch-Consideracao</v>
      </c>
      <c r="AY278" s="28" t="str">
        <f t="shared" si="6"/>
        <v>#N/A</v>
      </c>
      <c r="AZ278" s="22" t="s">
        <v>107</v>
      </c>
      <c r="BA278" s="22" t="s">
        <v>108</v>
      </c>
      <c r="BB278" s="31" t="s">
        <v>109</v>
      </c>
      <c r="BC278" s="31" t="s">
        <v>109</v>
      </c>
      <c r="BD278" s="32" t="str">
        <f t="shared" si="8"/>
        <v>nvl-nvs-imc-dsy-0820-10272</v>
      </c>
      <c r="BE278" s="33"/>
      <c r="BF278" s="33"/>
      <c r="BG278" s="39" t="str">
        <f>URL&amp;IF(ISNUMBER(FIND("?",URL)),"&amp;","?"&amp;("adlid="&amp;Unique_ID&amp;"&amp;adplt="&amp;Placement))</f>
        <v>#N/A</v>
      </c>
      <c r="BH278" s="1"/>
      <c r="BI278" s="1"/>
      <c r="BJ278" s="35" t="str">
        <f>LOWER("alp"&amp;"_"&amp;"vw"&amp;"_"&amp;Veiculo&amp;"_"&amp;C274&amp;"_"&amp;Objetivo)</f>
        <v>alp_vw___</v>
      </c>
      <c r="BK278" s="35" t="str">
        <f>LOWER(Buying_Metric&amp;"_"&amp;VLOOKUP(Buying_Type,Buy_type,2,FALSE)&amp;"_"&amp;Device&amp;"_"&amp;Size&amp;"_"&amp;Segmentação&amp;"_"&amp;Segmentação_Anúncio)</f>
        <v>#N/A</v>
      </c>
      <c r="BL278" s="35" t="str">
        <f>LOWER(Campanha_ou_InsertionOrder&amp;"_"&amp;LineItem_ou_Grupodeanúncio&amp;"_"&amp;Linha_criativa_2&amp;"_"&amp;Unique_ID)</f>
        <v>#N/A</v>
      </c>
      <c r="BM278" s="27"/>
      <c r="BN278" s="27"/>
    </row>
    <row r="279">
      <c r="A279" s="1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8" t="str">
        <f>LOWER(Campanha_ou_InsertionOrder&amp;"_"&amp;LineItem_ou_Grupodeanúncio&amp;"_"&amp;Linha_Criativa&amp;"_"&amp;Unique_ID)</f>
        <v>#N/A</v>
      </c>
      <c r="AN279" s="28" t="str">
        <f>LOWER(Campanha_ou_InsertionOrder&amp;"_"&amp;LineItem_ou_Grupodeanúncio&amp;"_"&amp;Linha_Criativa&amp;"_"&amp;Unique_ID)</f>
        <v>#N/A</v>
      </c>
      <c r="AO279" s="28" t="str">
        <f>LOWER("VW"&amp;"_"&amp;Model_Variant&amp;"_"&amp;Size&amp;"_"&amp;Linha_Criativa&amp;"_"&amp;IF(Servido_Por="portal",Veiculo,"adserver"))</f>
        <v>vw____adserver</v>
      </c>
      <c r="AP2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79" s="22" t="str">
        <f t="shared" si="1"/>
        <v/>
      </c>
      <c r="AS279" s="22" t="str">
        <f t="shared" si="2"/>
        <v/>
      </c>
      <c r="AT279" s="22" t="str">
        <f t="shared" si="3"/>
        <v>BR_IMC_DSY_LANCH_ND_NC_2020Q3AUG_NVS_Nivus-Launch-Consideracao</v>
      </c>
      <c r="AU279" s="22" t="str">
        <f t="shared" si="4"/>
        <v>#N/A</v>
      </c>
      <c r="AV279" s="22" t="s">
        <v>106</v>
      </c>
      <c r="AW2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79" s="22" t="str">
        <f t="shared" si="5"/>
        <v>BR_IMC_DSY_LANCH_ND_NC_2020Q3AUG_NVS_Nivus-Launch-Consideracao</v>
      </c>
      <c r="AY279" s="28" t="str">
        <f t="shared" si="6"/>
        <v>#N/A</v>
      </c>
      <c r="AZ279" s="22" t="s">
        <v>107</v>
      </c>
      <c r="BA279" s="22" t="s">
        <v>108</v>
      </c>
      <c r="BB279" s="31" t="s">
        <v>109</v>
      </c>
      <c r="BC279" s="31" t="s">
        <v>109</v>
      </c>
      <c r="BD279" s="32" t="str">
        <f t="shared" si="8"/>
        <v>nvl-nvs-imc-dsy-0820-10273</v>
      </c>
      <c r="BE279" s="33"/>
      <c r="BF279" s="33"/>
      <c r="BG279" s="39" t="str">
        <f>URL&amp;IF(ISNUMBER(FIND("?",URL)),"&amp;","?"&amp;("adlid="&amp;Unique_ID&amp;"&amp;adplt="&amp;Placement))</f>
        <v>#N/A</v>
      </c>
      <c r="BH279" s="1"/>
      <c r="BI279" s="1"/>
      <c r="BJ279" s="35" t="str">
        <f>LOWER("alp"&amp;"_"&amp;"vw"&amp;"_"&amp;Veiculo&amp;"_"&amp;C275&amp;"_"&amp;Objetivo)</f>
        <v>alp_vw___</v>
      </c>
      <c r="BK279" s="35" t="str">
        <f>LOWER(Buying_Metric&amp;"_"&amp;VLOOKUP(Buying_Type,Buy_type,2,FALSE)&amp;"_"&amp;Device&amp;"_"&amp;Size&amp;"_"&amp;Segmentação&amp;"_"&amp;Segmentação_Anúncio)</f>
        <v>#N/A</v>
      </c>
      <c r="BL279" s="35" t="str">
        <f>LOWER(Campanha_ou_InsertionOrder&amp;"_"&amp;LineItem_ou_Grupodeanúncio&amp;"_"&amp;Linha_criativa_2&amp;"_"&amp;Unique_ID)</f>
        <v>#N/A</v>
      </c>
      <c r="BM279" s="27"/>
      <c r="BN279" s="27"/>
    </row>
    <row r="280">
      <c r="A280" s="1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8" t="str">
        <f>LOWER(Campanha_ou_InsertionOrder&amp;"_"&amp;LineItem_ou_Grupodeanúncio&amp;"_"&amp;Linha_Criativa&amp;"_"&amp;Unique_ID)</f>
        <v>#N/A</v>
      </c>
      <c r="AN280" s="28" t="str">
        <f>LOWER(Campanha_ou_InsertionOrder&amp;"_"&amp;LineItem_ou_Grupodeanúncio&amp;"_"&amp;Linha_Criativa&amp;"_"&amp;Unique_ID)</f>
        <v>#N/A</v>
      </c>
      <c r="AO280" s="28" t="str">
        <f>LOWER("VW"&amp;"_"&amp;Model_Variant&amp;"_"&amp;Size&amp;"_"&amp;Linha_Criativa&amp;"_"&amp;IF(Servido_Por="portal",Veiculo,"adserver"))</f>
        <v>vw____adserver</v>
      </c>
      <c r="AP2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0" s="22" t="str">
        <f t="shared" si="1"/>
        <v/>
      </c>
      <c r="AS280" s="22" t="str">
        <f t="shared" si="2"/>
        <v/>
      </c>
      <c r="AT280" s="22" t="str">
        <f t="shared" si="3"/>
        <v>BR_IMC_DSY_LANCH_ND_NC_2020Q3AUG_NVS_Nivus-Launch-Consideracao</v>
      </c>
      <c r="AU280" s="22" t="str">
        <f t="shared" si="4"/>
        <v>#N/A</v>
      </c>
      <c r="AV280" s="22" t="s">
        <v>106</v>
      </c>
      <c r="AW2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0" s="22" t="str">
        <f t="shared" si="5"/>
        <v>BR_IMC_DSY_LANCH_ND_NC_2020Q3AUG_NVS_Nivus-Launch-Consideracao</v>
      </c>
      <c r="AY280" s="28" t="str">
        <f t="shared" si="6"/>
        <v>#N/A</v>
      </c>
      <c r="AZ280" s="22" t="s">
        <v>107</v>
      </c>
      <c r="BA280" s="22" t="s">
        <v>108</v>
      </c>
      <c r="BB280" s="31" t="s">
        <v>109</v>
      </c>
      <c r="BC280" s="31" t="s">
        <v>109</v>
      </c>
      <c r="BD280" s="32" t="str">
        <f t="shared" si="8"/>
        <v>nvl-nvs-imc-dsy-0820-10274</v>
      </c>
      <c r="BE280" s="33"/>
      <c r="BF280" s="33"/>
      <c r="BG280" s="39" t="str">
        <f>URL&amp;IF(ISNUMBER(FIND("?",URL)),"&amp;","?"&amp;("adlid="&amp;Unique_ID&amp;"&amp;adplt="&amp;Placement))</f>
        <v>#N/A</v>
      </c>
      <c r="BH280" s="1"/>
      <c r="BI280" s="1"/>
      <c r="BJ280" s="35" t="str">
        <f>LOWER("alp"&amp;"_"&amp;"vw"&amp;"_"&amp;Veiculo&amp;"_"&amp;C276&amp;"_"&amp;Objetivo)</f>
        <v>alp_vw___</v>
      </c>
      <c r="BK280" s="35" t="str">
        <f>LOWER(Buying_Metric&amp;"_"&amp;VLOOKUP(Buying_Type,Buy_type,2,FALSE)&amp;"_"&amp;Device&amp;"_"&amp;Size&amp;"_"&amp;Segmentação&amp;"_"&amp;Segmentação_Anúncio)</f>
        <v>#N/A</v>
      </c>
      <c r="BL280" s="35" t="str">
        <f>LOWER(Campanha_ou_InsertionOrder&amp;"_"&amp;LineItem_ou_Grupodeanúncio&amp;"_"&amp;Linha_criativa_2&amp;"_"&amp;Unique_ID)</f>
        <v>#N/A</v>
      </c>
      <c r="BM280" s="27"/>
      <c r="BN280" s="27"/>
    </row>
    <row r="281">
      <c r="A281" s="1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8" t="str">
        <f>LOWER(Campanha_ou_InsertionOrder&amp;"_"&amp;LineItem_ou_Grupodeanúncio&amp;"_"&amp;Linha_Criativa&amp;"_"&amp;Unique_ID)</f>
        <v>#N/A</v>
      </c>
      <c r="AN281" s="28" t="str">
        <f>LOWER(Campanha_ou_InsertionOrder&amp;"_"&amp;LineItem_ou_Grupodeanúncio&amp;"_"&amp;Linha_Criativa&amp;"_"&amp;Unique_ID)</f>
        <v>#N/A</v>
      </c>
      <c r="AO281" s="28" t="str">
        <f>LOWER("VW"&amp;"_"&amp;Model_Variant&amp;"_"&amp;Size&amp;"_"&amp;Linha_Criativa&amp;"_"&amp;IF(Servido_Por="portal",Veiculo,"adserver"))</f>
        <v>vw____adserver</v>
      </c>
      <c r="AP2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1" s="22" t="str">
        <f t="shared" si="1"/>
        <v/>
      </c>
      <c r="AS281" s="22" t="str">
        <f t="shared" si="2"/>
        <v/>
      </c>
      <c r="AT281" s="22" t="str">
        <f t="shared" si="3"/>
        <v>BR_IMC_DSY_LANCH_ND_NC_2020Q3AUG_NVS_Nivus-Launch-Consideracao</v>
      </c>
      <c r="AU281" s="22" t="str">
        <f t="shared" si="4"/>
        <v>#N/A</v>
      </c>
      <c r="AV281" s="22" t="s">
        <v>106</v>
      </c>
      <c r="AW2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1" s="22" t="str">
        <f t="shared" si="5"/>
        <v>BR_IMC_DSY_LANCH_ND_NC_2020Q3AUG_NVS_Nivus-Launch-Consideracao</v>
      </c>
      <c r="AY281" s="28" t="str">
        <f t="shared" si="6"/>
        <v>#N/A</v>
      </c>
      <c r="AZ281" s="22" t="s">
        <v>107</v>
      </c>
      <c r="BA281" s="22" t="s">
        <v>108</v>
      </c>
      <c r="BB281" s="31" t="s">
        <v>109</v>
      </c>
      <c r="BC281" s="31" t="s">
        <v>109</v>
      </c>
      <c r="BD281" s="32" t="str">
        <f t="shared" si="8"/>
        <v>nvl-nvs-imc-dsy-0820-10275</v>
      </c>
      <c r="BE281" s="33"/>
      <c r="BF281" s="33"/>
      <c r="BG281" s="39" t="str">
        <f>URL&amp;IF(ISNUMBER(FIND("?",URL)),"&amp;","?"&amp;("adlid="&amp;Unique_ID&amp;"&amp;adplt="&amp;Placement))</f>
        <v>#N/A</v>
      </c>
      <c r="BH281" s="1"/>
      <c r="BI281" s="1"/>
      <c r="BJ281" s="35" t="str">
        <f>LOWER("alp"&amp;"_"&amp;"vw"&amp;"_"&amp;Veiculo&amp;"_"&amp;C277&amp;"_"&amp;Objetivo)</f>
        <v>alp_vw___</v>
      </c>
      <c r="BK281" s="35" t="str">
        <f>LOWER(Buying_Metric&amp;"_"&amp;VLOOKUP(Buying_Type,Buy_type,2,FALSE)&amp;"_"&amp;Device&amp;"_"&amp;Size&amp;"_"&amp;Segmentação&amp;"_"&amp;Segmentação_Anúncio)</f>
        <v>#N/A</v>
      </c>
      <c r="BL281" s="35" t="str">
        <f>LOWER(Campanha_ou_InsertionOrder&amp;"_"&amp;LineItem_ou_Grupodeanúncio&amp;"_"&amp;Linha_criativa_2&amp;"_"&amp;Unique_ID)</f>
        <v>#N/A</v>
      </c>
      <c r="BM281" s="27"/>
      <c r="BN281" s="27"/>
    </row>
    <row r="282">
      <c r="A282" s="1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8" t="str">
        <f>LOWER(Campanha_ou_InsertionOrder&amp;"_"&amp;LineItem_ou_Grupodeanúncio&amp;"_"&amp;Linha_Criativa&amp;"_"&amp;Unique_ID)</f>
        <v>#N/A</v>
      </c>
      <c r="AN282" s="28" t="str">
        <f>LOWER(Campanha_ou_InsertionOrder&amp;"_"&amp;LineItem_ou_Grupodeanúncio&amp;"_"&amp;Linha_Criativa&amp;"_"&amp;Unique_ID)</f>
        <v>#N/A</v>
      </c>
      <c r="AO282" s="28" t="str">
        <f>LOWER("VW"&amp;"_"&amp;Model_Variant&amp;"_"&amp;Size&amp;"_"&amp;Linha_Criativa&amp;"_"&amp;IF(Servido_Por="portal",Veiculo,"adserver"))</f>
        <v>vw____adserver</v>
      </c>
      <c r="AP2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2" s="22" t="str">
        <f t="shared" si="1"/>
        <v/>
      </c>
      <c r="AS282" s="22" t="str">
        <f t="shared" si="2"/>
        <v/>
      </c>
      <c r="AT282" s="22" t="str">
        <f t="shared" si="3"/>
        <v>BR_IMC_DSY_LANCH_ND_NC_2020Q3AUG_NVS_Nivus-Launch-Consideracao</v>
      </c>
      <c r="AU282" s="22" t="str">
        <f t="shared" si="4"/>
        <v>#N/A</v>
      </c>
      <c r="AV282" s="22" t="s">
        <v>106</v>
      </c>
      <c r="AW2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2" s="22" t="str">
        <f t="shared" si="5"/>
        <v>BR_IMC_DSY_LANCH_ND_NC_2020Q3AUG_NVS_Nivus-Launch-Consideracao</v>
      </c>
      <c r="AY282" s="28" t="str">
        <f t="shared" si="6"/>
        <v>#N/A</v>
      </c>
      <c r="AZ282" s="22" t="s">
        <v>107</v>
      </c>
      <c r="BA282" s="22" t="s">
        <v>108</v>
      </c>
      <c r="BB282" s="31" t="s">
        <v>109</v>
      </c>
      <c r="BC282" s="31" t="s">
        <v>109</v>
      </c>
      <c r="BD282" s="32" t="str">
        <f t="shared" si="8"/>
        <v>nvl-nvs-imc-dsy-0820-10276</v>
      </c>
      <c r="BE282" s="33"/>
      <c r="BF282" s="33"/>
      <c r="BG282" s="39" t="str">
        <f>URL&amp;IF(ISNUMBER(FIND("?",URL)),"&amp;","?"&amp;("adlid="&amp;Unique_ID&amp;"&amp;adplt="&amp;Placement))</f>
        <v>#N/A</v>
      </c>
      <c r="BH282" s="1"/>
      <c r="BI282" s="1"/>
      <c r="BJ282" s="35" t="str">
        <f>LOWER("alp"&amp;"_"&amp;"vw"&amp;"_"&amp;Veiculo&amp;"_"&amp;C278&amp;"_"&amp;Objetivo)</f>
        <v>alp_vw___</v>
      </c>
      <c r="BK282" s="35" t="str">
        <f>LOWER(Buying_Metric&amp;"_"&amp;VLOOKUP(Buying_Type,Buy_type,2,FALSE)&amp;"_"&amp;Device&amp;"_"&amp;Size&amp;"_"&amp;Segmentação&amp;"_"&amp;Segmentação_Anúncio)</f>
        <v>#N/A</v>
      </c>
      <c r="BL282" s="35" t="str">
        <f>LOWER(Campanha_ou_InsertionOrder&amp;"_"&amp;LineItem_ou_Grupodeanúncio&amp;"_"&amp;Linha_criativa_2&amp;"_"&amp;Unique_ID)</f>
        <v>#N/A</v>
      </c>
      <c r="BM282" s="27"/>
      <c r="BN282" s="27"/>
    </row>
    <row r="283">
      <c r="A283" s="1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8" t="str">
        <f>LOWER(Campanha_ou_InsertionOrder&amp;"_"&amp;LineItem_ou_Grupodeanúncio&amp;"_"&amp;Linha_Criativa&amp;"_"&amp;Unique_ID)</f>
        <v>#N/A</v>
      </c>
      <c r="AN283" s="28" t="str">
        <f>LOWER(Campanha_ou_InsertionOrder&amp;"_"&amp;LineItem_ou_Grupodeanúncio&amp;"_"&amp;Linha_Criativa&amp;"_"&amp;Unique_ID)</f>
        <v>#N/A</v>
      </c>
      <c r="AO283" s="28" t="str">
        <f>LOWER("VW"&amp;"_"&amp;Model_Variant&amp;"_"&amp;Size&amp;"_"&amp;Linha_Criativa&amp;"_"&amp;IF(Servido_Por="portal",Veiculo,"adserver"))</f>
        <v>vw____adserver</v>
      </c>
      <c r="AP2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3" s="22" t="str">
        <f t="shared" si="1"/>
        <v/>
      </c>
      <c r="AS283" s="22" t="str">
        <f t="shared" si="2"/>
        <v/>
      </c>
      <c r="AT283" s="22" t="str">
        <f t="shared" si="3"/>
        <v>BR_IMC_DSY_LANCH_ND_NC_2020Q3AUG_NVS_Nivus-Launch-Consideracao</v>
      </c>
      <c r="AU283" s="22" t="str">
        <f t="shared" si="4"/>
        <v>#N/A</v>
      </c>
      <c r="AV283" s="22" t="s">
        <v>106</v>
      </c>
      <c r="AW2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3" s="22" t="str">
        <f t="shared" si="5"/>
        <v>BR_IMC_DSY_LANCH_ND_NC_2020Q3AUG_NVS_Nivus-Launch-Consideracao</v>
      </c>
      <c r="AY283" s="28" t="str">
        <f t="shared" si="6"/>
        <v>#N/A</v>
      </c>
      <c r="AZ283" s="22" t="s">
        <v>107</v>
      </c>
      <c r="BA283" s="22" t="s">
        <v>108</v>
      </c>
      <c r="BB283" s="31" t="s">
        <v>109</v>
      </c>
      <c r="BC283" s="31" t="s">
        <v>109</v>
      </c>
      <c r="BD283" s="32" t="str">
        <f t="shared" si="8"/>
        <v>nvl-nvs-imc-dsy-0820-10277</v>
      </c>
      <c r="BE283" s="33"/>
      <c r="BF283" s="33"/>
      <c r="BG283" s="39" t="str">
        <f>URL&amp;IF(ISNUMBER(FIND("?",URL)),"&amp;","?"&amp;("adlid="&amp;Unique_ID&amp;"&amp;adplt="&amp;Placement))</f>
        <v>#N/A</v>
      </c>
      <c r="BH283" s="1"/>
      <c r="BI283" s="1"/>
      <c r="BJ283" s="35" t="str">
        <f>LOWER("alp"&amp;"_"&amp;"vw"&amp;"_"&amp;Veiculo&amp;"_"&amp;C279&amp;"_"&amp;Objetivo)</f>
        <v>alp_vw___</v>
      </c>
      <c r="BK283" s="35" t="str">
        <f>LOWER(Buying_Metric&amp;"_"&amp;VLOOKUP(Buying_Type,Buy_type,2,FALSE)&amp;"_"&amp;Device&amp;"_"&amp;Size&amp;"_"&amp;Segmentação&amp;"_"&amp;Segmentação_Anúncio)</f>
        <v>#N/A</v>
      </c>
      <c r="BL283" s="35" t="str">
        <f>LOWER(Campanha_ou_InsertionOrder&amp;"_"&amp;LineItem_ou_Grupodeanúncio&amp;"_"&amp;Linha_criativa_2&amp;"_"&amp;Unique_ID)</f>
        <v>#N/A</v>
      </c>
      <c r="BM283" s="27"/>
      <c r="BN283" s="27"/>
    </row>
    <row r="284">
      <c r="A284" s="1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8" t="str">
        <f>LOWER(Campanha_ou_InsertionOrder&amp;"_"&amp;LineItem_ou_Grupodeanúncio&amp;"_"&amp;Linha_Criativa&amp;"_"&amp;Unique_ID)</f>
        <v>#N/A</v>
      </c>
      <c r="AN284" s="28" t="str">
        <f>LOWER(Campanha_ou_InsertionOrder&amp;"_"&amp;LineItem_ou_Grupodeanúncio&amp;"_"&amp;Linha_Criativa&amp;"_"&amp;Unique_ID)</f>
        <v>#N/A</v>
      </c>
      <c r="AO284" s="28" t="str">
        <f>LOWER("VW"&amp;"_"&amp;Model_Variant&amp;"_"&amp;Size&amp;"_"&amp;Linha_Criativa&amp;"_"&amp;IF(Servido_Por="portal",Veiculo,"adserver"))</f>
        <v>vw____adserver</v>
      </c>
      <c r="AP2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4" s="22" t="str">
        <f t="shared" si="1"/>
        <v/>
      </c>
      <c r="AS284" s="22" t="str">
        <f t="shared" si="2"/>
        <v/>
      </c>
      <c r="AT284" s="22" t="str">
        <f t="shared" si="3"/>
        <v>BR_IMC_DSY_LANCH_ND_NC_2020Q3AUG_NVS_Nivus-Launch-Consideracao</v>
      </c>
      <c r="AU284" s="22" t="str">
        <f t="shared" si="4"/>
        <v>#N/A</v>
      </c>
      <c r="AV284" s="22" t="s">
        <v>106</v>
      </c>
      <c r="AW2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4" s="22" t="str">
        <f t="shared" si="5"/>
        <v>BR_IMC_DSY_LANCH_ND_NC_2020Q3AUG_NVS_Nivus-Launch-Consideracao</v>
      </c>
      <c r="AY284" s="28" t="str">
        <f t="shared" si="6"/>
        <v>#N/A</v>
      </c>
      <c r="AZ284" s="22" t="s">
        <v>107</v>
      </c>
      <c r="BA284" s="22" t="s">
        <v>108</v>
      </c>
      <c r="BB284" s="31" t="s">
        <v>109</v>
      </c>
      <c r="BC284" s="31" t="s">
        <v>109</v>
      </c>
      <c r="BD284" s="32" t="str">
        <f t="shared" si="8"/>
        <v>nvl-nvs-imc-dsy-0820-10278</v>
      </c>
      <c r="BE284" s="33"/>
      <c r="BF284" s="33"/>
      <c r="BG284" s="39" t="str">
        <f>URL&amp;IF(ISNUMBER(FIND("?",URL)),"&amp;","?"&amp;("adlid="&amp;Unique_ID&amp;"&amp;adplt="&amp;Placement))</f>
        <v>#N/A</v>
      </c>
      <c r="BH284" s="1"/>
      <c r="BI284" s="1"/>
      <c r="BJ284" s="35" t="str">
        <f>LOWER("alp"&amp;"_"&amp;"vw"&amp;"_"&amp;Veiculo&amp;"_"&amp;C280&amp;"_"&amp;Objetivo)</f>
        <v>alp_vw___</v>
      </c>
      <c r="BK284" s="35" t="str">
        <f>LOWER(Buying_Metric&amp;"_"&amp;VLOOKUP(Buying_Type,Buy_type,2,FALSE)&amp;"_"&amp;Device&amp;"_"&amp;Size&amp;"_"&amp;Segmentação&amp;"_"&amp;Segmentação_Anúncio)</f>
        <v>#N/A</v>
      </c>
      <c r="BL284" s="35" t="str">
        <f>LOWER(Campanha_ou_InsertionOrder&amp;"_"&amp;LineItem_ou_Grupodeanúncio&amp;"_"&amp;Linha_criativa_2&amp;"_"&amp;Unique_ID)</f>
        <v>#N/A</v>
      </c>
      <c r="BM284" s="27"/>
      <c r="BN284" s="27"/>
    </row>
    <row r="285">
      <c r="A285" s="1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8" t="str">
        <f>LOWER(Campanha_ou_InsertionOrder&amp;"_"&amp;LineItem_ou_Grupodeanúncio&amp;"_"&amp;Linha_Criativa&amp;"_"&amp;Unique_ID)</f>
        <v>#N/A</v>
      </c>
      <c r="AN285" s="28" t="str">
        <f>LOWER(Campanha_ou_InsertionOrder&amp;"_"&amp;LineItem_ou_Grupodeanúncio&amp;"_"&amp;Linha_Criativa&amp;"_"&amp;Unique_ID)</f>
        <v>#N/A</v>
      </c>
      <c r="AO285" s="28" t="str">
        <f>LOWER("VW"&amp;"_"&amp;Model_Variant&amp;"_"&amp;Size&amp;"_"&amp;Linha_Criativa&amp;"_"&amp;IF(Servido_Por="portal",Veiculo,"adserver"))</f>
        <v>vw____adserver</v>
      </c>
      <c r="AP2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5" s="22" t="str">
        <f t="shared" si="1"/>
        <v/>
      </c>
      <c r="AS285" s="22" t="str">
        <f t="shared" si="2"/>
        <v/>
      </c>
      <c r="AT285" s="22" t="str">
        <f t="shared" si="3"/>
        <v>BR_IMC_DSY_LANCH_ND_NC_2020Q3AUG_NVS_Nivus-Launch-Consideracao</v>
      </c>
      <c r="AU285" s="22" t="str">
        <f t="shared" si="4"/>
        <v>#N/A</v>
      </c>
      <c r="AV285" s="22" t="s">
        <v>106</v>
      </c>
      <c r="AW2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5" s="22" t="str">
        <f t="shared" si="5"/>
        <v>BR_IMC_DSY_LANCH_ND_NC_2020Q3AUG_NVS_Nivus-Launch-Consideracao</v>
      </c>
      <c r="AY285" s="28" t="str">
        <f t="shared" si="6"/>
        <v>#N/A</v>
      </c>
      <c r="AZ285" s="22" t="s">
        <v>107</v>
      </c>
      <c r="BA285" s="22" t="s">
        <v>108</v>
      </c>
      <c r="BB285" s="31" t="s">
        <v>109</v>
      </c>
      <c r="BC285" s="31" t="s">
        <v>109</v>
      </c>
      <c r="BD285" s="32" t="str">
        <f t="shared" si="8"/>
        <v>nvl-nvs-imc-dsy-0820-10279</v>
      </c>
      <c r="BE285" s="33"/>
      <c r="BF285" s="33"/>
      <c r="BG285" s="39" t="str">
        <f>URL&amp;IF(ISNUMBER(FIND("?",URL)),"&amp;","?"&amp;("adlid="&amp;Unique_ID&amp;"&amp;adplt="&amp;Placement))</f>
        <v>#N/A</v>
      </c>
      <c r="BH285" s="1"/>
      <c r="BI285" s="1"/>
      <c r="BJ285" s="35" t="str">
        <f>LOWER("alp"&amp;"_"&amp;"vw"&amp;"_"&amp;Veiculo&amp;"_"&amp;C281&amp;"_"&amp;Objetivo)</f>
        <v>alp_vw___</v>
      </c>
      <c r="BK285" s="35" t="str">
        <f>LOWER(Buying_Metric&amp;"_"&amp;VLOOKUP(Buying_Type,Buy_type,2,FALSE)&amp;"_"&amp;Device&amp;"_"&amp;Size&amp;"_"&amp;Segmentação&amp;"_"&amp;Segmentação_Anúncio)</f>
        <v>#N/A</v>
      </c>
      <c r="BL285" s="35" t="str">
        <f>LOWER(Campanha_ou_InsertionOrder&amp;"_"&amp;LineItem_ou_Grupodeanúncio&amp;"_"&amp;Linha_criativa_2&amp;"_"&amp;Unique_ID)</f>
        <v>#N/A</v>
      </c>
      <c r="BM285" s="27"/>
      <c r="BN285" s="27"/>
    </row>
    <row r="286">
      <c r="A286" s="1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8" t="str">
        <f>LOWER(Campanha_ou_InsertionOrder&amp;"_"&amp;LineItem_ou_Grupodeanúncio&amp;"_"&amp;Linha_Criativa&amp;"_"&amp;Unique_ID)</f>
        <v>#N/A</v>
      </c>
      <c r="AN286" s="28" t="str">
        <f>LOWER(Campanha_ou_InsertionOrder&amp;"_"&amp;LineItem_ou_Grupodeanúncio&amp;"_"&amp;Linha_Criativa&amp;"_"&amp;Unique_ID)</f>
        <v>#N/A</v>
      </c>
      <c r="AO286" s="28" t="str">
        <f>LOWER("VW"&amp;"_"&amp;Model_Variant&amp;"_"&amp;Size&amp;"_"&amp;Linha_Criativa&amp;"_"&amp;IF(Servido_Por="portal",Veiculo,"adserver"))</f>
        <v>vw____adserver</v>
      </c>
      <c r="AP2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6" s="22" t="str">
        <f t="shared" si="1"/>
        <v/>
      </c>
      <c r="AS286" s="22" t="str">
        <f t="shared" si="2"/>
        <v/>
      </c>
      <c r="AT286" s="22" t="str">
        <f t="shared" si="3"/>
        <v>BR_IMC_DSY_LANCH_ND_NC_2020Q3AUG_NVS_Nivus-Launch-Consideracao</v>
      </c>
      <c r="AU286" s="22" t="str">
        <f t="shared" si="4"/>
        <v>#N/A</v>
      </c>
      <c r="AV286" s="22" t="s">
        <v>106</v>
      </c>
      <c r="AW2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6" s="22" t="str">
        <f t="shared" si="5"/>
        <v>BR_IMC_DSY_LANCH_ND_NC_2020Q3AUG_NVS_Nivus-Launch-Consideracao</v>
      </c>
      <c r="AY286" s="28" t="str">
        <f t="shared" si="6"/>
        <v>#N/A</v>
      </c>
      <c r="AZ286" s="22" t="s">
        <v>107</v>
      </c>
      <c r="BA286" s="22" t="s">
        <v>108</v>
      </c>
      <c r="BB286" s="31" t="s">
        <v>109</v>
      </c>
      <c r="BC286" s="31" t="s">
        <v>109</v>
      </c>
      <c r="BD286" s="32" t="str">
        <f t="shared" si="8"/>
        <v>nvl-nvs-imc-dsy-0820-10280</v>
      </c>
      <c r="BE286" s="33"/>
      <c r="BF286" s="33"/>
      <c r="BG286" s="39" t="str">
        <f>URL&amp;IF(ISNUMBER(FIND("?",URL)),"&amp;","?"&amp;("adlid="&amp;Unique_ID&amp;"&amp;adplt="&amp;Placement))</f>
        <v>#N/A</v>
      </c>
      <c r="BH286" s="1"/>
      <c r="BI286" s="1"/>
      <c r="BJ286" s="35" t="str">
        <f>LOWER("alp"&amp;"_"&amp;"vw"&amp;"_"&amp;Veiculo&amp;"_"&amp;C282&amp;"_"&amp;Objetivo)</f>
        <v>alp_vw___</v>
      </c>
      <c r="BK286" s="35" t="str">
        <f>LOWER(Buying_Metric&amp;"_"&amp;VLOOKUP(Buying_Type,Buy_type,2,FALSE)&amp;"_"&amp;Device&amp;"_"&amp;Size&amp;"_"&amp;Segmentação&amp;"_"&amp;Segmentação_Anúncio)</f>
        <v>#N/A</v>
      </c>
      <c r="BL286" s="35" t="str">
        <f>LOWER(Campanha_ou_InsertionOrder&amp;"_"&amp;LineItem_ou_Grupodeanúncio&amp;"_"&amp;Linha_criativa_2&amp;"_"&amp;Unique_ID)</f>
        <v>#N/A</v>
      </c>
      <c r="BM286" s="27"/>
      <c r="BN286" s="27"/>
    </row>
    <row r="287">
      <c r="A287" s="1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8" t="str">
        <f>LOWER(Campanha_ou_InsertionOrder&amp;"_"&amp;LineItem_ou_Grupodeanúncio&amp;"_"&amp;Linha_Criativa&amp;"_"&amp;Unique_ID)</f>
        <v>#N/A</v>
      </c>
      <c r="AN287" s="28" t="str">
        <f>LOWER(Campanha_ou_InsertionOrder&amp;"_"&amp;LineItem_ou_Grupodeanúncio&amp;"_"&amp;Linha_Criativa&amp;"_"&amp;Unique_ID)</f>
        <v>#N/A</v>
      </c>
      <c r="AO287" s="28" t="str">
        <f>LOWER("VW"&amp;"_"&amp;Model_Variant&amp;"_"&amp;Size&amp;"_"&amp;Linha_Criativa&amp;"_"&amp;IF(Servido_Por="portal",Veiculo,"adserver"))</f>
        <v>vw____adserver</v>
      </c>
      <c r="AP2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7" s="22" t="str">
        <f t="shared" si="1"/>
        <v/>
      </c>
      <c r="AS287" s="22" t="str">
        <f t="shared" si="2"/>
        <v/>
      </c>
      <c r="AT287" s="22" t="str">
        <f t="shared" si="3"/>
        <v>BR_IMC_DSY_LANCH_ND_NC_2020Q3AUG_NVS_Nivus-Launch-Consideracao</v>
      </c>
      <c r="AU287" s="22" t="str">
        <f t="shared" si="4"/>
        <v>#N/A</v>
      </c>
      <c r="AV287" s="22" t="s">
        <v>106</v>
      </c>
      <c r="AW2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7" s="22" t="str">
        <f t="shared" si="5"/>
        <v>BR_IMC_DSY_LANCH_ND_NC_2020Q3AUG_NVS_Nivus-Launch-Consideracao</v>
      </c>
      <c r="AY287" s="28" t="str">
        <f t="shared" si="6"/>
        <v>#N/A</v>
      </c>
      <c r="AZ287" s="22" t="s">
        <v>107</v>
      </c>
      <c r="BA287" s="22" t="s">
        <v>108</v>
      </c>
      <c r="BB287" s="31" t="s">
        <v>109</v>
      </c>
      <c r="BC287" s="31" t="s">
        <v>109</v>
      </c>
      <c r="BD287" s="32" t="str">
        <f t="shared" si="8"/>
        <v>nvl-nvs-imc-dsy-0820-10281</v>
      </c>
      <c r="BE287" s="33"/>
      <c r="BF287" s="33"/>
      <c r="BG287" s="39" t="str">
        <f>URL&amp;IF(ISNUMBER(FIND("?",URL)),"&amp;","?"&amp;("adlid="&amp;Unique_ID&amp;"&amp;adplt="&amp;Placement))</f>
        <v>#N/A</v>
      </c>
      <c r="BH287" s="1"/>
      <c r="BI287" s="1"/>
      <c r="BJ287" s="35" t="str">
        <f>LOWER("alp"&amp;"_"&amp;"vw"&amp;"_"&amp;Veiculo&amp;"_"&amp;C283&amp;"_"&amp;Objetivo)</f>
        <v>alp_vw___</v>
      </c>
      <c r="BK287" s="35" t="str">
        <f>LOWER(Buying_Metric&amp;"_"&amp;VLOOKUP(Buying_Type,Buy_type,2,FALSE)&amp;"_"&amp;Device&amp;"_"&amp;Size&amp;"_"&amp;Segmentação&amp;"_"&amp;Segmentação_Anúncio)</f>
        <v>#N/A</v>
      </c>
      <c r="BL287" s="35" t="str">
        <f>LOWER(Campanha_ou_InsertionOrder&amp;"_"&amp;LineItem_ou_Grupodeanúncio&amp;"_"&amp;Linha_criativa_2&amp;"_"&amp;Unique_ID)</f>
        <v>#N/A</v>
      </c>
      <c r="BM287" s="27"/>
      <c r="BN287" s="27"/>
    </row>
    <row r="288">
      <c r="A288" s="1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8" t="str">
        <f>LOWER(Campanha_ou_InsertionOrder&amp;"_"&amp;LineItem_ou_Grupodeanúncio&amp;"_"&amp;Linha_Criativa&amp;"_"&amp;Unique_ID)</f>
        <v>#N/A</v>
      </c>
      <c r="AN288" s="28" t="str">
        <f>LOWER(Campanha_ou_InsertionOrder&amp;"_"&amp;LineItem_ou_Grupodeanúncio&amp;"_"&amp;Linha_Criativa&amp;"_"&amp;Unique_ID)</f>
        <v>#N/A</v>
      </c>
      <c r="AO288" s="28" t="str">
        <f>LOWER("VW"&amp;"_"&amp;Model_Variant&amp;"_"&amp;Size&amp;"_"&amp;Linha_Criativa&amp;"_"&amp;IF(Servido_Por="portal",Veiculo,"adserver"))</f>
        <v>vw____adserver</v>
      </c>
      <c r="AP2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8" s="22" t="str">
        <f t="shared" si="1"/>
        <v/>
      </c>
      <c r="AS288" s="22" t="str">
        <f t="shared" si="2"/>
        <v/>
      </c>
      <c r="AT288" s="22" t="str">
        <f t="shared" si="3"/>
        <v>BR_IMC_DSY_LANCH_ND_NC_2020Q3AUG_NVS_Nivus-Launch-Consideracao</v>
      </c>
      <c r="AU288" s="22" t="str">
        <f t="shared" si="4"/>
        <v>#N/A</v>
      </c>
      <c r="AV288" s="22" t="s">
        <v>106</v>
      </c>
      <c r="AW2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8" s="22" t="str">
        <f t="shared" si="5"/>
        <v>BR_IMC_DSY_LANCH_ND_NC_2020Q3AUG_NVS_Nivus-Launch-Consideracao</v>
      </c>
      <c r="AY288" s="28" t="str">
        <f t="shared" si="6"/>
        <v>#N/A</v>
      </c>
      <c r="AZ288" s="22" t="s">
        <v>107</v>
      </c>
      <c r="BA288" s="22" t="s">
        <v>108</v>
      </c>
      <c r="BB288" s="31" t="s">
        <v>109</v>
      </c>
      <c r="BC288" s="31" t="s">
        <v>109</v>
      </c>
      <c r="BD288" s="32" t="str">
        <f t="shared" si="8"/>
        <v>nvl-nvs-imc-dsy-0820-10282</v>
      </c>
      <c r="BE288" s="33"/>
      <c r="BF288" s="33"/>
      <c r="BG288" s="39" t="str">
        <f>URL&amp;IF(ISNUMBER(FIND("?",URL)),"&amp;","?"&amp;("adlid="&amp;Unique_ID&amp;"&amp;adplt="&amp;Placement))</f>
        <v>#N/A</v>
      </c>
      <c r="BH288" s="1"/>
      <c r="BI288" s="1"/>
      <c r="BJ288" s="35" t="str">
        <f>LOWER("alp"&amp;"_"&amp;"vw"&amp;"_"&amp;Veiculo&amp;"_"&amp;C284&amp;"_"&amp;Objetivo)</f>
        <v>alp_vw___</v>
      </c>
      <c r="BK288" s="35" t="str">
        <f>LOWER(Buying_Metric&amp;"_"&amp;VLOOKUP(Buying_Type,Buy_type,2,FALSE)&amp;"_"&amp;Device&amp;"_"&amp;Size&amp;"_"&amp;Segmentação&amp;"_"&amp;Segmentação_Anúncio)</f>
        <v>#N/A</v>
      </c>
      <c r="BL288" s="35" t="str">
        <f>LOWER(Campanha_ou_InsertionOrder&amp;"_"&amp;LineItem_ou_Grupodeanúncio&amp;"_"&amp;Linha_criativa_2&amp;"_"&amp;Unique_ID)</f>
        <v>#N/A</v>
      </c>
      <c r="BM288" s="27"/>
      <c r="BN288" s="27"/>
    </row>
    <row r="289">
      <c r="A289" s="1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8" t="str">
        <f>LOWER(Campanha_ou_InsertionOrder&amp;"_"&amp;LineItem_ou_Grupodeanúncio&amp;"_"&amp;Linha_Criativa&amp;"_"&amp;Unique_ID)</f>
        <v>#N/A</v>
      </c>
      <c r="AN289" s="28" t="str">
        <f>LOWER(Campanha_ou_InsertionOrder&amp;"_"&amp;LineItem_ou_Grupodeanúncio&amp;"_"&amp;Linha_Criativa&amp;"_"&amp;Unique_ID)</f>
        <v>#N/A</v>
      </c>
      <c r="AO289" s="28" t="str">
        <f>LOWER("VW"&amp;"_"&amp;Model_Variant&amp;"_"&amp;Size&amp;"_"&amp;Linha_Criativa&amp;"_"&amp;IF(Servido_Por="portal",Veiculo,"adserver"))</f>
        <v>vw____adserver</v>
      </c>
      <c r="AP2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89" s="22" t="str">
        <f t="shared" si="1"/>
        <v/>
      </c>
      <c r="AS289" s="22" t="str">
        <f t="shared" si="2"/>
        <v/>
      </c>
      <c r="AT289" s="22" t="str">
        <f t="shared" si="3"/>
        <v>BR_IMC_DSY_LANCH_ND_NC_2020Q3AUG_NVS_Nivus-Launch-Consideracao</v>
      </c>
      <c r="AU289" s="22" t="str">
        <f t="shared" si="4"/>
        <v>#N/A</v>
      </c>
      <c r="AV289" s="22" t="s">
        <v>106</v>
      </c>
      <c r="AW2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89" s="22" t="str">
        <f t="shared" si="5"/>
        <v>BR_IMC_DSY_LANCH_ND_NC_2020Q3AUG_NVS_Nivus-Launch-Consideracao</v>
      </c>
      <c r="AY289" s="28" t="str">
        <f t="shared" si="6"/>
        <v>#N/A</v>
      </c>
      <c r="AZ289" s="22" t="s">
        <v>107</v>
      </c>
      <c r="BA289" s="22" t="s">
        <v>108</v>
      </c>
      <c r="BB289" s="31" t="s">
        <v>109</v>
      </c>
      <c r="BC289" s="31" t="s">
        <v>109</v>
      </c>
      <c r="BD289" s="32" t="str">
        <f t="shared" si="8"/>
        <v>nvl-nvs-imc-dsy-0820-10283</v>
      </c>
      <c r="BE289" s="33"/>
      <c r="BF289" s="33"/>
      <c r="BG289" s="39" t="str">
        <f>URL&amp;IF(ISNUMBER(FIND("?",URL)),"&amp;","?"&amp;("adlid="&amp;Unique_ID&amp;"&amp;adplt="&amp;Placement))</f>
        <v>#N/A</v>
      </c>
      <c r="BH289" s="1"/>
      <c r="BI289" s="1"/>
      <c r="BJ289" s="35" t="str">
        <f>LOWER("alp"&amp;"_"&amp;"vw"&amp;"_"&amp;Veiculo&amp;"_"&amp;C285&amp;"_"&amp;Objetivo)</f>
        <v>alp_vw___</v>
      </c>
      <c r="BK289" s="35" t="str">
        <f>LOWER(Buying_Metric&amp;"_"&amp;VLOOKUP(Buying_Type,Buy_type,2,FALSE)&amp;"_"&amp;Device&amp;"_"&amp;Size&amp;"_"&amp;Segmentação&amp;"_"&amp;Segmentação_Anúncio)</f>
        <v>#N/A</v>
      </c>
      <c r="BL289" s="35" t="str">
        <f>LOWER(Campanha_ou_InsertionOrder&amp;"_"&amp;LineItem_ou_Grupodeanúncio&amp;"_"&amp;Linha_criativa_2&amp;"_"&amp;Unique_ID)</f>
        <v>#N/A</v>
      </c>
      <c r="BM289" s="27"/>
      <c r="BN289" s="27"/>
    </row>
    <row r="290">
      <c r="A290" s="1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8" t="str">
        <f>LOWER(Campanha_ou_InsertionOrder&amp;"_"&amp;LineItem_ou_Grupodeanúncio&amp;"_"&amp;Linha_Criativa&amp;"_"&amp;Unique_ID)</f>
        <v>#N/A</v>
      </c>
      <c r="AN290" s="28" t="str">
        <f>LOWER(Campanha_ou_InsertionOrder&amp;"_"&amp;LineItem_ou_Grupodeanúncio&amp;"_"&amp;Linha_Criativa&amp;"_"&amp;Unique_ID)</f>
        <v>#N/A</v>
      </c>
      <c r="AO290" s="28" t="str">
        <f>LOWER("VW"&amp;"_"&amp;Model_Variant&amp;"_"&amp;Size&amp;"_"&amp;Linha_Criativa&amp;"_"&amp;IF(Servido_Por="portal",Veiculo,"adserver"))</f>
        <v>vw____adserver</v>
      </c>
      <c r="AP2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0" s="22" t="str">
        <f t="shared" si="1"/>
        <v/>
      </c>
      <c r="AS290" s="22" t="str">
        <f t="shared" si="2"/>
        <v/>
      </c>
      <c r="AT290" s="22" t="str">
        <f t="shared" si="3"/>
        <v>BR_IMC_DSY_LANCH_ND_NC_2020Q3AUG_NVS_Nivus-Launch-Consideracao</v>
      </c>
      <c r="AU290" s="22" t="str">
        <f t="shared" si="4"/>
        <v>#N/A</v>
      </c>
      <c r="AV290" s="22" t="s">
        <v>106</v>
      </c>
      <c r="AW2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0" s="22" t="str">
        <f t="shared" si="5"/>
        <v>BR_IMC_DSY_LANCH_ND_NC_2020Q3AUG_NVS_Nivus-Launch-Consideracao</v>
      </c>
      <c r="AY290" s="28" t="str">
        <f t="shared" si="6"/>
        <v>#N/A</v>
      </c>
      <c r="AZ290" s="22" t="s">
        <v>107</v>
      </c>
      <c r="BA290" s="22" t="s">
        <v>108</v>
      </c>
      <c r="BB290" s="31" t="s">
        <v>109</v>
      </c>
      <c r="BC290" s="31" t="s">
        <v>109</v>
      </c>
      <c r="BD290" s="32" t="str">
        <f t="shared" si="8"/>
        <v>nvl-nvs-imc-dsy-0820-10284</v>
      </c>
      <c r="BE290" s="33"/>
      <c r="BF290" s="33"/>
      <c r="BG290" s="39" t="str">
        <f>URL&amp;IF(ISNUMBER(FIND("?",URL)),"&amp;","?"&amp;("adlid="&amp;Unique_ID&amp;"&amp;adplt="&amp;Placement))</f>
        <v>#N/A</v>
      </c>
      <c r="BH290" s="1"/>
      <c r="BI290" s="1"/>
      <c r="BJ290" s="35" t="str">
        <f>LOWER("alp"&amp;"_"&amp;"vw"&amp;"_"&amp;Veiculo&amp;"_"&amp;C286&amp;"_"&amp;Objetivo)</f>
        <v>alp_vw___</v>
      </c>
      <c r="BK290" s="35" t="str">
        <f>LOWER(Buying_Metric&amp;"_"&amp;VLOOKUP(Buying_Type,Buy_type,2,FALSE)&amp;"_"&amp;Device&amp;"_"&amp;Size&amp;"_"&amp;Segmentação&amp;"_"&amp;Segmentação_Anúncio)</f>
        <v>#N/A</v>
      </c>
      <c r="BL290" s="35" t="str">
        <f>LOWER(Campanha_ou_InsertionOrder&amp;"_"&amp;LineItem_ou_Grupodeanúncio&amp;"_"&amp;Linha_criativa_2&amp;"_"&amp;Unique_ID)</f>
        <v>#N/A</v>
      </c>
      <c r="BM290" s="27"/>
      <c r="BN290" s="27"/>
    </row>
    <row r="291">
      <c r="A291" s="1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8" t="str">
        <f>LOWER(Campanha_ou_InsertionOrder&amp;"_"&amp;LineItem_ou_Grupodeanúncio&amp;"_"&amp;Linha_Criativa&amp;"_"&amp;Unique_ID)</f>
        <v>#N/A</v>
      </c>
      <c r="AN291" s="28" t="str">
        <f>LOWER(Campanha_ou_InsertionOrder&amp;"_"&amp;LineItem_ou_Grupodeanúncio&amp;"_"&amp;Linha_Criativa&amp;"_"&amp;Unique_ID)</f>
        <v>#N/A</v>
      </c>
      <c r="AO291" s="28" t="str">
        <f>LOWER("VW"&amp;"_"&amp;Model_Variant&amp;"_"&amp;Size&amp;"_"&amp;Linha_Criativa&amp;"_"&amp;IF(Servido_Por="portal",Veiculo,"adserver"))</f>
        <v>vw____adserver</v>
      </c>
      <c r="AP2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1" s="22" t="str">
        <f t="shared" si="1"/>
        <v/>
      </c>
      <c r="AS291" s="22" t="str">
        <f t="shared" si="2"/>
        <v/>
      </c>
      <c r="AT291" s="22" t="str">
        <f t="shared" si="3"/>
        <v>BR_IMC_DSY_LANCH_ND_NC_2020Q3AUG_NVS_Nivus-Launch-Consideracao</v>
      </c>
      <c r="AU291" s="22" t="str">
        <f t="shared" si="4"/>
        <v>#N/A</v>
      </c>
      <c r="AV291" s="22" t="s">
        <v>106</v>
      </c>
      <c r="AW2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1" s="22" t="str">
        <f t="shared" si="5"/>
        <v>BR_IMC_DSY_LANCH_ND_NC_2020Q3AUG_NVS_Nivus-Launch-Consideracao</v>
      </c>
      <c r="AY291" s="28" t="str">
        <f t="shared" si="6"/>
        <v>#N/A</v>
      </c>
      <c r="AZ291" s="22" t="s">
        <v>107</v>
      </c>
      <c r="BA291" s="22" t="s">
        <v>108</v>
      </c>
      <c r="BB291" s="31" t="s">
        <v>109</v>
      </c>
      <c r="BC291" s="31" t="s">
        <v>109</v>
      </c>
      <c r="BD291" s="32" t="str">
        <f t="shared" si="8"/>
        <v>nvl-nvs-imc-dsy-0820-10285</v>
      </c>
      <c r="BE291" s="33"/>
      <c r="BF291" s="33"/>
      <c r="BG291" s="39" t="str">
        <f>URL&amp;IF(ISNUMBER(FIND("?",URL)),"&amp;","?"&amp;("adlid="&amp;Unique_ID&amp;"&amp;adplt="&amp;Placement))</f>
        <v>#N/A</v>
      </c>
      <c r="BH291" s="1"/>
      <c r="BI291" s="1"/>
      <c r="BJ291" s="35" t="str">
        <f>LOWER("alp"&amp;"_"&amp;"vw"&amp;"_"&amp;Veiculo&amp;"_"&amp;C287&amp;"_"&amp;Objetivo)</f>
        <v>alp_vw___</v>
      </c>
      <c r="BK291" s="35" t="str">
        <f>LOWER(Buying_Metric&amp;"_"&amp;VLOOKUP(Buying_Type,Buy_type,2,FALSE)&amp;"_"&amp;Device&amp;"_"&amp;Size&amp;"_"&amp;Segmentação&amp;"_"&amp;Segmentação_Anúncio)</f>
        <v>#N/A</v>
      </c>
      <c r="BL291" s="35" t="str">
        <f>LOWER(Campanha_ou_InsertionOrder&amp;"_"&amp;LineItem_ou_Grupodeanúncio&amp;"_"&amp;Linha_criativa_2&amp;"_"&amp;Unique_ID)</f>
        <v>#N/A</v>
      </c>
      <c r="BM291" s="27"/>
      <c r="BN291" s="27"/>
    </row>
    <row r="292">
      <c r="A292" s="1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tr">
        <f>LOWER(Campanha_ou_InsertionOrder&amp;"_"&amp;LineItem_ou_Grupodeanúncio&amp;"_"&amp;Linha_Criativa&amp;"_"&amp;Unique_ID)</f>
        <v>#N/A</v>
      </c>
      <c r="AN292" s="28" t="str">
        <f>LOWER(Campanha_ou_InsertionOrder&amp;"_"&amp;LineItem_ou_Grupodeanúncio&amp;"_"&amp;Linha_Criativa&amp;"_"&amp;Unique_ID)</f>
        <v>#N/A</v>
      </c>
      <c r="AO292" s="28" t="str">
        <f>LOWER("VW"&amp;"_"&amp;Model_Variant&amp;"_"&amp;Size&amp;"_"&amp;Linha_Criativa&amp;"_"&amp;IF(Servido_Por="portal",Veiculo,"adserver"))</f>
        <v>vw____adserver</v>
      </c>
      <c r="AP2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2" s="22" t="str">
        <f t="shared" si="1"/>
        <v/>
      </c>
      <c r="AS292" s="22" t="str">
        <f t="shared" si="2"/>
        <v/>
      </c>
      <c r="AT292" s="22" t="str">
        <f t="shared" si="3"/>
        <v>BR_IMC_DSY_LANCH_ND_NC_2020Q3AUG_NVS_Nivus-Launch-Consideracao</v>
      </c>
      <c r="AU292" s="22" t="str">
        <f t="shared" si="4"/>
        <v>#N/A</v>
      </c>
      <c r="AV292" s="22" t="s">
        <v>106</v>
      </c>
      <c r="AW2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2" s="22" t="str">
        <f t="shared" si="5"/>
        <v>BR_IMC_DSY_LANCH_ND_NC_2020Q3AUG_NVS_Nivus-Launch-Consideracao</v>
      </c>
      <c r="AY292" s="28" t="str">
        <f t="shared" si="6"/>
        <v>#N/A</v>
      </c>
      <c r="AZ292" s="22" t="s">
        <v>107</v>
      </c>
      <c r="BA292" s="22" t="s">
        <v>108</v>
      </c>
      <c r="BB292" s="31" t="s">
        <v>109</v>
      </c>
      <c r="BC292" s="31" t="s">
        <v>109</v>
      </c>
      <c r="BD292" s="32" t="str">
        <f t="shared" si="8"/>
        <v>nvl-nvs-imc-dsy-0820-10286</v>
      </c>
      <c r="BE292" s="33"/>
      <c r="BF292" s="33"/>
      <c r="BG292" s="39" t="str">
        <f>URL&amp;IF(ISNUMBER(FIND("?",URL)),"&amp;","?"&amp;("adlid="&amp;Unique_ID&amp;"&amp;adplt="&amp;Placement))</f>
        <v>#N/A</v>
      </c>
      <c r="BH292" s="1"/>
      <c r="BI292" s="1"/>
      <c r="BJ292" s="35" t="str">
        <f>LOWER("alp"&amp;"_"&amp;"vw"&amp;"_"&amp;Veiculo&amp;"_"&amp;C288&amp;"_"&amp;Objetivo)</f>
        <v>alp_vw___</v>
      </c>
      <c r="BK292" s="35" t="str">
        <f>LOWER(Buying_Metric&amp;"_"&amp;VLOOKUP(Buying_Type,Buy_type,2,FALSE)&amp;"_"&amp;Device&amp;"_"&amp;Size&amp;"_"&amp;Segmentação&amp;"_"&amp;Segmentação_Anúncio)</f>
        <v>#N/A</v>
      </c>
      <c r="BL292" s="35" t="str">
        <f>LOWER(Campanha_ou_InsertionOrder&amp;"_"&amp;LineItem_ou_Grupodeanúncio&amp;"_"&amp;Linha_criativa_2&amp;"_"&amp;Unique_ID)</f>
        <v>#N/A</v>
      </c>
      <c r="BM292" s="27"/>
      <c r="BN292" s="27"/>
    </row>
    <row r="293">
      <c r="A293" s="1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8" t="str">
        <f>LOWER(Campanha_ou_InsertionOrder&amp;"_"&amp;LineItem_ou_Grupodeanúncio&amp;"_"&amp;Linha_Criativa&amp;"_"&amp;Unique_ID)</f>
        <v>#N/A</v>
      </c>
      <c r="AN293" s="28" t="str">
        <f>LOWER(Campanha_ou_InsertionOrder&amp;"_"&amp;LineItem_ou_Grupodeanúncio&amp;"_"&amp;Linha_Criativa&amp;"_"&amp;Unique_ID)</f>
        <v>#N/A</v>
      </c>
      <c r="AO293" s="28" t="str">
        <f>LOWER("VW"&amp;"_"&amp;Model_Variant&amp;"_"&amp;Size&amp;"_"&amp;Linha_Criativa&amp;"_"&amp;IF(Servido_Por="portal",Veiculo,"adserver"))</f>
        <v>vw____adserver</v>
      </c>
      <c r="AP2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3" s="22" t="str">
        <f t="shared" si="1"/>
        <v/>
      </c>
      <c r="AS293" s="22" t="str">
        <f t="shared" si="2"/>
        <v/>
      </c>
      <c r="AT293" s="22" t="str">
        <f t="shared" si="3"/>
        <v>BR_IMC_DSY_LANCH_ND_NC_2020Q3AUG_NVS_Nivus-Launch-Consideracao</v>
      </c>
      <c r="AU293" s="22" t="str">
        <f t="shared" si="4"/>
        <v>#N/A</v>
      </c>
      <c r="AV293" s="22" t="s">
        <v>106</v>
      </c>
      <c r="AW2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3" s="22" t="str">
        <f t="shared" si="5"/>
        <v>BR_IMC_DSY_LANCH_ND_NC_2020Q3AUG_NVS_Nivus-Launch-Consideracao</v>
      </c>
      <c r="AY293" s="28" t="str">
        <f t="shared" si="6"/>
        <v>#N/A</v>
      </c>
      <c r="AZ293" s="22" t="s">
        <v>107</v>
      </c>
      <c r="BA293" s="22" t="s">
        <v>108</v>
      </c>
      <c r="BB293" s="31" t="s">
        <v>109</v>
      </c>
      <c r="BC293" s="31" t="s">
        <v>109</v>
      </c>
      <c r="BD293" s="32" t="str">
        <f t="shared" si="8"/>
        <v>nvl-nvs-imc-dsy-0820-10287</v>
      </c>
      <c r="BE293" s="33"/>
      <c r="BF293" s="33"/>
      <c r="BG293" s="39" t="str">
        <f>URL&amp;IF(ISNUMBER(FIND("?",URL)),"&amp;","?"&amp;("adlid="&amp;Unique_ID&amp;"&amp;adplt="&amp;Placement))</f>
        <v>#N/A</v>
      </c>
      <c r="BH293" s="1"/>
      <c r="BI293" s="1"/>
      <c r="BJ293" s="35" t="str">
        <f>LOWER("alp"&amp;"_"&amp;"vw"&amp;"_"&amp;Veiculo&amp;"_"&amp;C289&amp;"_"&amp;Objetivo)</f>
        <v>alp_vw___</v>
      </c>
      <c r="BK293" s="35" t="str">
        <f>LOWER(Buying_Metric&amp;"_"&amp;VLOOKUP(Buying_Type,Buy_type,2,FALSE)&amp;"_"&amp;Device&amp;"_"&amp;Size&amp;"_"&amp;Segmentação&amp;"_"&amp;Segmentação_Anúncio)</f>
        <v>#N/A</v>
      </c>
      <c r="BL293" s="35" t="str">
        <f>LOWER(Campanha_ou_InsertionOrder&amp;"_"&amp;LineItem_ou_Grupodeanúncio&amp;"_"&amp;Linha_criativa_2&amp;"_"&amp;Unique_ID)</f>
        <v>#N/A</v>
      </c>
      <c r="BM293" s="27"/>
      <c r="BN293" s="27"/>
    </row>
    <row r="294">
      <c r="A294" s="1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8" t="str">
        <f>LOWER(Campanha_ou_InsertionOrder&amp;"_"&amp;LineItem_ou_Grupodeanúncio&amp;"_"&amp;Linha_Criativa&amp;"_"&amp;Unique_ID)</f>
        <v>#N/A</v>
      </c>
      <c r="AN294" s="28" t="str">
        <f>LOWER(Campanha_ou_InsertionOrder&amp;"_"&amp;LineItem_ou_Grupodeanúncio&amp;"_"&amp;Linha_Criativa&amp;"_"&amp;Unique_ID)</f>
        <v>#N/A</v>
      </c>
      <c r="AO294" s="28" t="str">
        <f>LOWER("VW"&amp;"_"&amp;Model_Variant&amp;"_"&amp;Size&amp;"_"&amp;Linha_Criativa&amp;"_"&amp;IF(Servido_Por="portal",Veiculo,"adserver"))</f>
        <v>vw____adserver</v>
      </c>
      <c r="AP2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4" s="22" t="str">
        <f t="shared" si="1"/>
        <v/>
      </c>
      <c r="AS294" s="22" t="str">
        <f t="shared" si="2"/>
        <v/>
      </c>
      <c r="AT294" s="22" t="str">
        <f t="shared" si="3"/>
        <v>BR_IMC_DSY_LANCH_ND_NC_2020Q3AUG_NVS_Nivus-Launch-Consideracao</v>
      </c>
      <c r="AU294" s="22" t="str">
        <f t="shared" si="4"/>
        <v>#N/A</v>
      </c>
      <c r="AV294" s="22" t="s">
        <v>106</v>
      </c>
      <c r="AW2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4" s="22" t="str">
        <f t="shared" si="5"/>
        <v>BR_IMC_DSY_LANCH_ND_NC_2020Q3AUG_NVS_Nivus-Launch-Consideracao</v>
      </c>
      <c r="AY294" s="28" t="str">
        <f t="shared" si="6"/>
        <v>#N/A</v>
      </c>
      <c r="AZ294" s="22" t="s">
        <v>107</v>
      </c>
      <c r="BA294" s="22" t="s">
        <v>108</v>
      </c>
      <c r="BB294" s="31" t="s">
        <v>109</v>
      </c>
      <c r="BC294" s="31" t="s">
        <v>109</v>
      </c>
      <c r="BD294" s="32" t="str">
        <f t="shared" si="8"/>
        <v>nvl-nvs-imc-dsy-0820-10288</v>
      </c>
      <c r="BE294" s="33"/>
      <c r="BF294" s="33"/>
      <c r="BG294" s="39" t="str">
        <f>URL&amp;IF(ISNUMBER(FIND("?",URL)),"&amp;","?"&amp;("adlid="&amp;Unique_ID&amp;"&amp;adplt="&amp;Placement))</f>
        <v>#N/A</v>
      </c>
      <c r="BH294" s="1"/>
      <c r="BI294" s="1"/>
      <c r="BJ294" s="35" t="str">
        <f>LOWER("alp"&amp;"_"&amp;"vw"&amp;"_"&amp;Veiculo&amp;"_"&amp;C290&amp;"_"&amp;Objetivo)</f>
        <v>alp_vw___</v>
      </c>
      <c r="BK294" s="35" t="str">
        <f>LOWER(Buying_Metric&amp;"_"&amp;VLOOKUP(Buying_Type,Buy_type,2,FALSE)&amp;"_"&amp;Device&amp;"_"&amp;Size&amp;"_"&amp;Segmentação&amp;"_"&amp;Segmentação_Anúncio)</f>
        <v>#N/A</v>
      </c>
      <c r="BL294" s="35" t="str">
        <f>LOWER(Campanha_ou_InsertionOrder&amp;"_"&amp;LineItem_ou_Grupodeanúncio&amp;"_"&amp;Linha_criativa_2&amp;"_"&amp;Unique_ID)</f>
        <v>#N/A</v>
      </c>
      <c r="BM294" s="27"/>
      <c r="BN294" s="27"/>
    </row>
    <row r="295">
      <c r="A295" s="1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8" t="str">
        <f>LOWER(Campanha_ou_InsertionOrder&amp;"_"&amp;LineItem_ou_Grupodeanúncio&amp;"_"&amp;Linha_Criativa&amp;"_"&amp;Unique_ID)</f>
        <v>#N/A</v>
      </c>
      <c r="AN295" s="28" t="str">
        <f>LOWER(Campanha_ou_InsertionOrder&amp;"_"&amp;LineItem_ou_Grupodeanúncio&amp;"_"&amp;Linha_Criativa&amp;"_"&amp;Unique_ID)</f>
        <v>#N/A</v>
      </c>
      <c r="AO295" s="28" t="str">
        <f>LOWER("VW"&amp;"_"&amp;Model_Variant&amp;"_"&amp;Size&amp;"_"&amp;Linha_Criativa&amp;"_"&amp;IF(Servido_Por="portal",Veiculo,"adserver"))</f>
        <v>vw____adserver</v>
      </c>
      <c r="AP2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5" s="22" t="str">
        <f t="shared" si="1"/>
        <v/>
      </c>
      <c r="AS295" s="22" t="str">
        <f t="shared" si="2"/>
        <v/>
      </c>
      <c r="AT295" s="22" t="str">
        <f t="shared" si="3"/>
        <v>BR_IMC_DSY_LANCH_ND_NC_2020Q3AUG_NVS_Nivus-Launch-Consideracao</v>
      </c>
      <c r="AU295" s="22" t="str">
        <f t="shared" si="4"/>
        <v>#N/A</v>
      </c>
      <c r="AV295" s="22" t="s">
        <v>106</v>
      </c>
      <c r="AW2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5" s="22" t="str">
        <f t="shared" si="5"/>
        <v>BR_IMC_DSY_LANCH_ND_NC_2020Q3AUG_NVS_Nivus-Launch-Consideracao</v>
      </c>
      <c r="AY295" s="28" t="str">
        <f t="shared" si="6"/>
        <v>#N/A</v>
      </c>
      <c r="AZ295" s="22" t="s">
        <v>107</v>
      </c>
      <c r="BA295" s="22" t="s">
        <v>108</v>
      </c>
      <c r="BB295" s="31" t="s">
        <v>109</v>
      </c>
      <c r="BC295" s="31" t="s">
        <v>109</v>
      </c>
      <c r="BD295" s="32" t="str">
        <f t="shared" si="8"/>
        <v>nvl-nvs-imc-dsy-0820-10289</v>
      </c>
      <c r="BE295" s="33"/>
      <c r="BF295" s="33"/>
      <c r="BG295" s="39" t="str">
        <f>URL&amp;IF(ISNUMBER(FIND("?",URL)),"&amp;","?"&amp;("adlid="&amp;Unique_ID&amp;"&amp;adplt="&amp;Placement))</f>
        <v>#N/A</v>
      </c>
      <c r="BH295" s="1"/>
      <c r="BI295" s="1"/>
      <c r="BJ295" s="35" t="str">
        <f>LOWER("alp"&amp;"_"&amp;"vw"&amp;"_"&amp;Veiculo&amp;"_"&amp;C291&amp;"_"&amp;Objetivo)</f>
        <v>alp_vw___</v>
      </c>
      <c r="BK295" s="35" t="str">
        <f>LOWER(Buying_Metric&amp;"_"&amp;VLOOKUP(Buying_Type,Buy_type,2,FALSE)&amp;"_"&amp;Device&amp;"_"&amp;Size&amp;"_"&amp;Segmentação&amp;"_"&amp;Segmentação_Anúncio)</f>
        <v>#N/A</v>
      </c>
      <c r="BL295" s="35" t="str">
        <f>LOWER(Campanha_ou_InsertionOrder&amp;"_"&amp;LineItem_ou_Grupodeanúncio&amp;"_"&amp;Linha_criativa_2&amp;"_"&amp;Unique_ID)</f>
        <v>#N/A</v>
      </c>
      <c r="BM295" s="27"/>
      <c r="BN295" s="27"/>
    </row>
    <row r="296">
      <c r="A296" s="1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8" t="str">
        <f>LOWER(Campanha_ou_InsertionOrder&amp;"_"&amp;LineItem_ou_Grupodeanúncio&amp;"_"&amp;Linha_Criativa&amp;"_"&amp;Unique_ID)</f>
        <v>#N/A</v>
      </c>
      <c r="AN296" s="28" t="str">
        <f>LOWER(Campanha_ou_InsertionOrder&amp;"_"&amp;LineItem_ou_Grupodeanúncio&amp;"_"&amp;Linha_Criativa&amp;"_"&amp;Unique_ID)</f>
        <v>#N/A</v>
      </c>
      <c r="AO296" s="28" t="str">
        <f>LOWER("VW"&amp;"_"&amp;Model_Variant&amp;"_"&amp;Size&amp;"_"&amp;Linha_Criativa&amp;"_"&amp;IF(Servido_Por="portal",Veiculo,"adserver"))</f>
        <v>vw____adserver</v>
      </c>
      <c r="AP2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6" s="22" t="str">
        <f t="shared" si="1"/>
        <v/>
      </c>
      <c r="AS296" s="22" t="str">
        <f t="shared" si="2"/>
        <v/>
      </c>
      <c r="AT296" s="22" t="str">
        <f t="shared" si="3"/>
        <v>BR_IMC_DSY_LANCH_ND_NC_2020Q3AUG_NVS_Nivus-Launch-Consideracao</v>
      </c>
      <c r="AU296" s="22" t="str">
        <f t="shared" si="4"/>
        <v>#N/A</v>
      </c>
      <c r="AV296" s="22" t="s">
        <v>106</v>
      </c>
      <c r="AW2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6" s="22" t="str">
        <f t="shared" si="5"/>
        <v>BR_IMC_DSY_LANCH_ND_NC_2020Q3AUG_NVS_Nivus-Launch-Consideracao</v>
      </c>
      <c r="AY296" s="28" t="str">
        <f t="shared" si="6"/>
        <v>#N/A</v>
      </c>
      <c r="AZ296" s="22" t="s">
        <v>107</v>
      </c>
      <c r="BA296" s="22" t="s">
        <v>108</v>
      </c>
      <c r="BB296" s="31" t="s">
        <v>109</v>
      </c>
      <c r="BC296" s="31" t="s">
        <v>109</v>
      </c>
      <c r="BD296" s="32" t="str">
        <f t="shared" si="8"/>
        <v>nvl-nvs-imc-dsy-0820-10290</v>
      </c>
      <c r="BE296" s="33"/>
      <c r="BF296" s="33"/>
      <c r="BG296" s="39" t="str">
        <f>URL&amp;IF(ISNUMBER(FIND("?",URL)),"&amp;","?"&amp;("adlid="&amp;Unique_ID&amp;"&amp;adplt="&amp;Placement))</f>
        <v>#N/A</v>
      </c>
      <c r="BH296" s="1"/>
      <c r="BI296" s="1"/>
      <c r="BJ296" s="35" t="str">
        <f>LOWER("alp"&amp;"_"&amp;"vw"&amp;"_"&amp;Veiculo&amp;"_"&amp;C292&amp;"_"&amp;Objetivo)</f>
        <v>alp_vw___</v>
      </c>
      <c r="BK296" s="35" t="str">
        <f>LOWER(Buying_Metric&amp;"_"&amp;VLOOKUP(Buying_Type,Buy_type,2,FALSE)&amp;"_"&amp;Device&amp;"_"&amp;Size&amp;"_"&amp;Segmentação&amp;"_"&amp;Segmentação_Anúncio)</f>
        <v>#N/A</v>
      </c>
      <c r="BL296" s="35" t="str">
        <f>LOWER(Campanha_ou_InsertionOrder&amp;"_"&amp;LineItem_ou_Grupodeanúncio&amp;"_"&amp;Linha_criativa_2&amp;"_"&amp;Unique_ID)</f>
        <v>#N/A</v>
      </c>
      <c r="BM296" s="27"/>
      <c r="BN296" s="27"/>
    </row>
    <row r="297">
      <c r="A297" s="1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8" t="str">
        <f>LOWER(Campanha_ou_InsertionOrder&amp;"_"&amp;LineItem_ou_Grupodeanúncio&amp;"_"&amp;Linha_Criativa&amp;"_"&amp;Unique_ID)</f>
        <v>#N/A</v>
      </c>
      <c r="AN297" s="28" t="str">
        <f>LOWER(Campanha_ou_InsertionOrder&amp;"_"&amp;LineItem_ou_Grupodeanúncio&amp;"_"&amp;Linha_Criativa&amp;"_"&amp;Unique_ID)</f>
        <v>#N/A</v>
      </c>
      <c r="AO297" s="28" t="str">
        <f>LOWER("VW"&amp;"_"&amp;Model_Variant&amp;"_"&amp;Size&amp;"_"&amp;Linha_Criativa&amp;"_"&amp;IF(Servido_Por="portal",Veiculo,"adserver"))</f>
        <v>vw____adserver</v>
      </c>
      <c r="AP2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7" s="22" t="str">
        <f t="shared" si="1"/>
        <v/>
      </c>
      <c r="AS297" s="22" t="str">
        <f t="shared" si="2"/>
        <v/>
      </c>
      <c r="AT297" s="22" t="str">
        <f t="shared" si="3"/>
        <v>BR_IMC_DSY_LANCH_ND_NC_2020Q3AUG_NVS_Nivus-Launch-Consideracao</v>
      </c>
      <c r="AU297" s="22" t="str">
        <f t="shared" si="4"/>
        <v>#N/A</v>
      </c>
      <c r="AV297" s="22" t="s">
        <v>106</v>
      </c>
      <c r="AW2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7" s="22" t="str">
        <f t="shared" si="5"/>
        <v>BR_IMC_DSY_LANCH_ND_NC_2020Q3AUG_NVS_Nivus-Launch-Consideracao</v>
      </c>
      <c r="AY297" s="28" t="str">
        <f t="shared" si="6"/>
        <v>#N/A</v>
      </c>
      <c r="AZ297" s="22" t="s">
        <v>107</v>
      </c>
      <c r="BA297" s="22" t="s">
        <v>108</v>
      </c>
      <c r="BB297" s="31" t="s">
        <v>109</v>
      </c>
      <c r="BC297" s="31" t="s">
        <v>109</v>
      </c>
      <c r="BD297" s="32" t="str">
        <f t="shared" si="8"/>
        <v>nvl-nvs-imc-dsy-0820-10291</v>
      </c>
      <c r="BE297" s="33"/>
      <c r="BF297" s="33"/>
      <c r="BG297" s="39" t="str">
        <f>URL&amp;IF(ISNUMBER(FIND("?",URL)),"&amp;","?"&amp;("adlid="&amp;Unique_ID&amp;"&amp;adplt="&amp;Placement))</f>
        <v>#N/A</v>
      </c>
      <c r="BH297" s="1"/>
      <c r="BI297" s="1"/>
      <c r="BJ297" s="35" t="str">
        <f>LOWER("alp"&amp;"_"&amp;"vw"&amp;"_"&amp;Veiculo&amp;"_"&amp;C293&amp;"_"&amp;Objetivo)</f>
        <v>alp_vw___</v>
      </c>
      <c r="BK297" s="35" t="str">
        <f>LOWER(Buying_Metric&amp;"_"&amp;VLOOKUP(Buying_Type,Buy_type,2,FALSE)&amp;"_"&amp;Device&amp;"_"&amp;Size&amp;"_"&amp;Segmentação&amp;"_"&amp;Segmentação_Anúncio)</f>
        <v>#N/A</v>
      </c>
      <c r="BL297" s="35" t="str">
        <f>LOWER(Campanha_ou_InsertionOrder&amp;"_"&amp;LineItem_ou_Grupodeanúncio&amp;"_"&amp;Linha_criativa_2&amp;"_"&amp;Unique_ID)</f>
        <v>#N/A</v>
      </c>
      <c r="BM297" s="27"/>
      <c r="BN297" s="27"/>
    </row>
    <row r="298">
      <c r="A298" s="1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8" t="str">
        <f>LOWER(Campanha_ou_InsertionOrder&amp;"_"&amp;LineItem_ou_Grupodeanúncio&amp;"_"&amp;Linha_Criativa&amp;"_"&amp;Unique_ID)</f>
        <v>#N/A</v>
      </c>
      <c r="AN298" s="28" t="str">
        <f>LOWER(Campanha_ou_InsertionOrder&amp;"_"&amp;LineItem_ou_Grupodeanúncio&amp;"_"&amp;Linha_Criativa&amp;"_"&amp;Unique_ID)</f>
        <v>#N/A</v>
      </c>
      <c r="AO298" s="28" t="str">
        <f>LOWER("VW"&amp;"_"&amp;Model_Variant&amp;"_"&amp;Size&amp;"_"&amp;Linha_Criativa&amp;"_"&amp;IF(Servido_Por="portal",Veiculo,"adserver"))</f>
        <v>vw____adserver</v>
      </c>
      <c r="AP2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8" s="22" t="str">
        <f t="shared" si="1"/>
        <v/>
      </c>
      <c r="AS298" s="22" t="str">
        <f t="shared" si="2"/>
        <v/>
      </c>
      <c r="AT298" s="22" t="str">
        <f t="shared" si="3"/>
        <v>BR_IMC_DSY_LANCH_ND_NC_2020Q3AUG_NVS_Nivus-Launch-Consideracao</v>
      </c>
      <c r="AU298" s="22" t="str">
        <f t="shared" si="4"/>
        <v>#N/A</v>
      </c>
      <c r="AV298" s="22" t="s">
        <v>106</v>
      </c>
      <c r="AW2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8" s="22" t="str">
        <f t="shared" si="5"/>
        <v>BR_IMC_DSY_LANCH_ND_NC_2020Q3AUG_NVS_Nivus-Launch-Consideracao</v>
      </c>
      <c r="AY298" s="28" t="str">
        <f t="shared" si="6"/>
        <v>#N/A</v>
      </c>
      <c r="AZ298" s="22" t="s">
        <v>107</v>
      </c>
      <c r="BA298" s="22" t="s">
        <v>108</v>
      </c>
      <c r="BB298" s="31" t="s">
        <v>109</v>
      </c>
      <c r="BC298" s="31" t="s">
        <v>109</v>
      </c>
      <c r="BD298" s="32" t="str">
        <f t="shared" si="8"/>
        <v>nvl-nvs-imc-dsy-0820-10292</v>
      </c>
      <c r="BE298" s="33"/>
      <c r="BF298" s="33"/>
      <c r="BG298" s="39" t="str">
        <f>URL&amp;IF(ISNUMBER(FIND("?",URL)),"&amp;","?"&amp;("adlid="&amp;Unique_ID&amp;"&amp;adplt="&amp;Placement))</f>
        <v>#N/A</v>
      </c>
      <c r="BH298" s="1"/>
      <c r="BI298" s="1"/>
      <c r="BJ298" s="35" t="str">
        <f>LOWER("alp"&amp;"_"&amp;"vw"&amp;"_"&amp;Veiculo&amp;"_"&amp;C294&amp;"_"&amp;Objetivo)</f>
        <v>alp_vw___</v>
      </c>
      <c r="BK298" s="35" t="str">
        <f>LOWER(Buying_Metric&amp;"_"&amp;VLOOKUP(Buying_Type,Buy_type,2,FALSE)&amp;"_"&amp;Device&amp;"_"&amp;Size&amp;"_"&amp;Segmentação&amp;"_"&amp;Segmentação_Anúncio)</f>
        <v>#N/A</v>
      </c>
      <c r="BL298" s="35" t="str">
        <f>LOWER(Campanha_ou_InsertionOrder&amp;"_"&amp;LineItem_ou_Grupodeanúncio&amp;"_"&amp;Linha_criativa_2&amp;"_"&amp;Unique_ID)</f>
        <v>#N/A</v>
      </c>
      <c r="BM298" s="27"/>
      <c r="BN298" s="27"/>
    </row>
    <row r="299">
      <c r="A299" s="1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8" t="str">
        <f>LOWER(Campanha_ou_InsertionOrder&amp;"_"&amp;LineItem_ou_Grupodeanúncio&amp;"_"&amp;Linha_Criativa&amp;"_"&amp;Unique_ID)</f>
        <v>#N/A</v>
      </c>
      <c r="AN299" s="28" t="str">
        <f>LOWER(Campanha_ou_InsertionOrder&amp;"_"&amp;LineItem_ou_Grupodeanúncio&amp;"_"&amp;Linha_Criativa&amp;"_"&amp;Unique_ID)</f>
        <v>#N/A</v>
      </c>
      <c r="AO299" s="28" t="str">
        <f>LOWER("VW"&amp;"_"&amp;Model_Variant&amp;"_"&amp;Size&amp;"_"&amp;Linha_Criativa&amp;"_"&amp;IF(Servido_Por="portal",Veiculo,"adserver"))</f>
        <v>vw____adserver</v>
      </c>
      <c r="AP2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2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299" s="22" t="str">
        <f t="shared" si="1"/>
        <v/>
      </c>
      <c r="AS299" s="22" t="str">
        <f t="shared" si="2"/>
        <v/>
      </c>
      <c r="AT299" s="22" t="str">
        <f t="shared" si="3"/>
        <v>BR_IMC_DSY_LANCH_ND_NC_2020Q3AUG_NVS_Nivus-Launch-Consideracao</v>
      </c>
      <c r="AU299" s="22" t="str">
        <f t="shared" si="4"/>
        <v>#N/A</v>
      </c>
      <c r="AV299" s="22" t="s">
        <v>106</v>
      </c>
      <c r="AW2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299" s="22" t="str">
        <f t="shared" si="5"/>
        <v>BR_IMC_DSY_LANCH_ND_NC_2020Q3AUG_NVS_Nivus-Launch-Consideracao</v>
      </c>
      <c r="AY299" s="28" t="str">
        <f t="shared" si="6"/>
        <v>#N/A</v>
      </c>
      <c r="AZ299" s="22" t="s">
        <v>107</v>
      </c>
      <c r="BA299" s="22" t="s">
        <v>108</v>
      </c>
      <c r="BB299" s="31" t="s">
        <v>109</v>
      </c>
      <c r="BC299" s="31" t="s">
        <v>109</v>
      </c>
      <c r="BD299" s="32" t="str">
        <f t="shared" si="8"/>
        <v>nvl-nvs-imc-dsy-0820-10293</v>
      </c>
      <c r="BE299" s="33"/>
      <c r="BF299" s="33"/>
      <c r="BG299" s="39" t="str">
        <f>URL&amp;IF(ISNUMBER(FIND("?",URL)),"&amp;","?"&amp;("adlid="&amp;Unique_ID&amp;"&amp;adplt="&amp;Placement))</f>
        <v>#N/A</v>
      </c>
      <c r="BH299" s="1"/>
      <c r="BI299" s="1"/>
      <c r="BJ299" s="35" t="str">
        <f>LOWER("alp"&amp;"_"&amp;"vw"&amp;"_"&amp;Veiculo&amp;"_"&amp;C295&amp;"_"&amp;Objetivo)</f>
        <v>alp_vw___</v>
      </c>
      <c r="BK299" s="35" t="str">
        <f>LOWER(Buying_Metric&amp;"_"&amp;VLOOKUP(Buying_Type,Buy_type,2,FALSE)&amp;"_"&amp;Device&amp;"_"&amp;Size&amp;"_"&amp;Segmentação&amp;"_"&amp;Segmentação_Anúncio)</f>
        <v>#N/A</v>
      </c>
      <c r="BL299" s="35" t="str">
        <f>LOWER(Campanha_ou_InsertionOrder&amp;"_"&amp;LineItem_ou_Grupodeanúncio&amp;"_"&amp;Linha_criativa_2&amp;"_"&amp;Unique_ID)</f>
        <v>#N/A</v>
      </c>
      <c r="BM299" s="27"/>
      <c r="BN299" s="27"/>
    </row>
    <row r="300">
      <c r="A300" s="1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8" t="str">
        <f>LOWER(Campanha_ou_InsertionOrder&amp;"_"&amp;LineItem_ou_Grupodeanúncio&amp;"_"&amp;Linha_Criativa&amp;"_"&amp;Unique_ID)</f>
        <v>#N/A</v>
      </c>
      <c r="AN300" s="28" t="str">
        <f>LOWER(Campanha_ou_InsertionOrder&amp;"_"&amp;LineItem_ou_Grupodeanúncio&amp;"_"&amp;Linha_Criativa&amp;"_"&amp;Unique_ID)</f>
        <v>#N/A</v>
      </c>
      <c r="AO300" s="28" t="str">
        <f>LOWER("VW"&amp;"_"&amp;Model_Variant&amp;"_"&amp;Size&amp;"_"&amp;Linha_Criativa&amp;"_"&amp;IF(Servido_Por="portal",Veiculo,"adserver"))</f>
        <v>vw____adserver</v>
      </c>
      <c r="AP3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0" s="22" t="str">
        <f t="shared" si="1"/>
        <v/>
      </c>
      <c r="AS300" s="22" t="str">
        <f t="shared" si="2"/>
        <v/>
      </c>
      <c r="AT300" s="22" t="str">
        <f t="shared" si="3"/>
        <v>BR_IMC_DSY_LANCH_ND_NC_2020Q3AUG_NVS_Nivus-Launch-Consideracao</v>
      </c>
      <c r="AU300" s="22" t="str">
        <f t="shared" si="4"/>
        <v>#N/A</v>
      </c>
      <c r="AV300" s="22" t="s">
        <v>106</v>
      </c>
      <c r="AW3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0" s="22" t="str">
        <f t="shared" si="5"/>
        <v>BR_IMC_DSY_LANCH_ND_NC_2020Q3AUG_NVS_Nivus-Launch-Consideracao</v>
      </c>
      <c r="AY300" s="28" t="str">
        <f t="shared" si="6"/>
        <v>#N/A</v>
      </c>
      <c r="AZ300" s="22" t="s">
        <v>107</v>
      </c>
      <c r="BA300" s="22" t="s">
        <v>108</v>
      </c>
      <c r="BB300" s="31" t="s">
        <v>109</v>
      </c>
      <c r="BC300" s="31" t="s">
        <v>109</v>
      </c>
      <c r="BD300" s="32" t="str">
        <f t="shared" si="8"/>
        <v>nvl-nvs-imc-dsy-0820-10294</v>
      </c>
      <c r="BE300" s="33"/>
      <c r="BF300" s="33"/>
      <c r="BG300" s="39" t="str">
        <f>URL&amp;IF(ISNUMBER(FIND("?",URL)),"&amp;","?"&amp;("adlid="&amp;Unique_ID&amp;"&amp;adplt="&amp;Placement))</f>
        <v>#N/A</v>
      </c>
      <c r="BH300" s="1"/>
      <c r="BI300" s="1"/>
      <c r="BJ300" s="35" t="str">
        <f>LOWER("alp"&amp;"_"&amp;"vw"&amp;"_"&amp;Veiculo&amp;"_"&amp;C296&amp;"_"&amp;Objetivo)</f>
        <v>alp_vw___</v>
      </c>
      <c r="BK300" s="35" t="str">
        <f>LOWER(Buying_Metric&amp;"_"&amp;VLOOKUP(Buying_Type,Buy_type,2,FALSE)&amp;"_"&amp;Device&amp;"_"&amp;Size&amp;"_"&amp;Segmentação&amp;"_"&amp;Segmentação_Anúncio)</f>
        <v>#N/A</v>
      </c>
      <c r="BL300" s="35" t="str">
        <f>LOWER(Campanha_ou_InsertionOrder&amp;"_"&amp;LineItem_ou_Grupodeanúncio&amp;"_"&amp;Linha_criativa_2&amp;"_"&amp;Unique_ID)</f>
        <v>#N/A</v>
      </c>
      <c r="BM300" s="27"/>
      <c r="BN300" s="27"/>
    </row>
    <row r="301">
      <c r="A301" s="1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8" t="str">
        <f>LOWER(Campanha_ou_InsertionOrder&amp;"_"&amp;LineItem_ou_Grupodeanúncio&amp;"_"&amp;Linha_Criativa&amp;"_"&amp;Unique_ID)</f>
        <v>#N/A</v>
      </c>
      <c r="AN301" s="28" t="str">
        <f>LOWER(Campanha_ou_InsertionOrder&amp;"_"&amp;LineItem_ou_Grupodeanúncio&amp;"_"&amp;Linha_Criativa&amp;"_"&amp;Unique_ID)</f>
        <v>#N/A</v>
      </c>
      <c r="AO301" s="28" t="str">
        <f>LOWER("VW"&amp;"_"&amp;Model_Variant&amp;"_"&amp;Size&amp;"_"&amp;Linha_Criativa&amp;"_"&amp;IF(Servido_Por="portal",Veiculo,"adserver"))</f>
        <v>vw____adserver</v>
      </c>
      <c r="AP3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1" s="22" t="str">
        <f t="shared" si="1"/>
        <v/>
      </c>
      <c r="AS301" s="22" t="str">
        <f t="shared" si="2"/>
        <v/>
      </c>
      <c r="AT301" s="22" t="str">
        <f t="shared" si="3"/>
        <v>BR_IMC_DSY_LANCH_ND_NC_2020Q3AUG_NVS_Nivus-Launch-Consideracao</v>
      </c>
      <c r="AU301" s="22" t="str">
        <f t="shared" si="4"/>
        <v>#N/A</v>
      </c>
      <c r="AV301" s="22" t="s">
        <v>106</v>
      </c>
      <c r="AW3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1" s="22" t="str">
        <f t="shared" si="5"/>
        <v>BR_IMC_DSY_LANCH_ND_NC_2020Q3AUG_NVS_Nivus-Launch-Consideracao</v>
      </c>
      <c r="AY301" s="28" t="str">
        <f t="shared" si="6"/>
        <v>#N/A</v>
      </c>
      <c r="AZ301" s="22" t="s">
        <v>107</v>
      </c>
      <c r="BA301" s="22" t="s">
        <v>108</v>
      </c>
      <c r="BB301" s="31" t="s">
        <v>109</v>
      </c>
      <c r="BC301" s="31" t="s">
        <v>109</v>
      </c>
      <c r="BD301" s="32" t="str">
        <f t="shared" si="8"/>
        <v>nvl-nvs-imc-dsy-0820-10295</v>
      </c>
      <c r="BE301" s="33"/>
      <c r="BF301" s="33"/>
      <c r="BG301" s="39" t="str">
        <f>URL&amp;IF(ISNUMBER(FIND("?",URL)),"&amp;","?"&amp;("adlid="&amp;Unique_ID&amp;"&amp;adplt="&amp;Placement))</f>
        <v>#N/A</v>
      </c>
      <c r="BH301" s="1"/>
      <c r="BI301" s="1"/>
      <c r="BJ301" s="35" t="str">
        <f>LOWER("alp"&amp;"_"&amp;"vw"&amp;"_"&amp;Veiculo&amp;"_"&amp;C297&amp;"_"&amp;Objetivo)</f>
        <v>alp_vw___</v>
      </c>
      <c r="BK301" s="35" t="str">
        <f>LOWER(Buying_Metric&amp;"_"&amp;VLOOKUP(Buying_Type,Buy_type,2,FALSE)&amp;"_"&amp;Device&amp;"_"&amp;Size&amp;"_"&amp;Segmentação&amp;"_"&amp;Segmentação_Anúncio)</f>
        <v>#N/A</v>
      </c>
      <c r="BL301" s="35" t="str">
        <f>LOWER(Campanha_ou_InsertionOrder&amp;"_"&amp;LineItem_ou_Grupodeanúncio&amp;"_"&amp;Linha_criativa_2&amp;"_"&amp;Unique_ID)</f>
        <v>#N/A</v>
      </c>
      <c r="BM301" s="27"/>
      <c r="BN301" s="27"/>
    </row>
    <row r="302">
      <c r="A302" s="1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8" t="str">
        <f>LOWER(Campanha_ou_InsertionOrder&amp;"_"&amp;LineItem_ou_Grupodeanúncio&amp;"_"&amp;Linha_Criativa&amp;"_"&amp;Unique_ID)</f>
        <v>#N/A</v>
      </c>
      <c r="AN302" s="28" t="str">
        <f>LOWER(Campanha_ou_InsertionOrder&amp;"_"&amp;LineItem_ou_Grupodeanúncio&amp;"_"&amp;Linha_Criativa&amp;"_"&amp;Unique_ID)</f>
        <v>#N/A</v>
      </c>
      <c r="AO302" s="28" t="str">
        <f>LOWER("VW"&amp;"_"&amp;Model_Variant&amp;"_"&amp;Size&amp;"_"&amp;Linha_Criativa&amp;"_"&amp;IF(Servido_Por="portal",Veiculo,"adserver"))</f>
        <v>vw____adserver</v>
      </c>
      <c r="AP3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2" s="22" t="str">
        <f t="shared" si="1"/>
        <v/>
      </c>
      <c r="AS302" s="22" t="str">
        <f t="shared" si="2"/>
        <v/>
      </c>
      <c r="AT302" s="22" t="str">
        <f t="shared" si="3"/>
        <v>BR_IMC_DSY_LANCH_ND_NC_2020Q3AUG_NVS_Nivus-Launch-Consideracao</v>
      </c>
      <c r="AU302" s="22" t="str">
        <f t="shared" si="4"/>
        <v>#N/A</v>
      </c>
      <c r="AV302" s="22" t="s">
        <v>106</v>
      </c>
      <c r="AW3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2" s="22" t="str">
        <f t="shared" si="5"/>
        <v>BR_IMC_DSY_LANCH_ND_NC_2020Q3AUG_NVS_Nivus-Launch-Consideracao</v>
      </c>
      <c r="AY302" s="28" t="str">
        <f t="shared" si="6"/>
        <v>#N/A</v>
      </c>
      <c r="AZ302" s="22" t="s">
        <v>107</v>
      </c>
      <c r="BA302" s="22" t="s">
        <v>108</v>
      </c>
      <c r="BB302" s="31" t="s">
        <v>109</v>
      </c>
      <c r="BC302" s="31" t="s">
        <v>109</v>
      </c>
      <c r="BD302" s="32" t="str">
        <f t="shared" si="8"/>
        <v>nvl-nvs-imc-dsy-0820-10296</v>
      </c>
      <c r="BE302" s="33"/>
      <c r="BF302" s="33"/>
      <c r="BG302" s="39" t="str">
        <f>URL&amp;IF(ISNUMBER(FIND("?",URL)),"&amp;","?"&amp;("adlid="&amp;Unique_ID&amp;"&amp;adplt="&amp;Placement))</f>
        <v>#N/A</v>
      </c>
      <c r="BH302" s="1"/>
      <c r="BI302" s="1"/>
      <c r="BJ302" s="35" t="str">
        <f>LOWER("alp"&amp;"_"&amp;"vw"&amp;"_"&amp;Veiculo&amp;"_"&amp;C298&amp;"_"&amp;Objetivo)</f>
        <v>alp_vw___</v>
      </c>
      <c r="BK302" s="35" t="str">
        <f>LOWER(Buying_Metric&amp;"_"&amp;VLOOKUP(Buying_Type,Buy_type,2,FALSE)&amp;"_"&amp;Device&amp;"_"&amp;Size&amp;"_"&amp;Segmentação&amp;"_"&amp;Segmentação_Anúncio)</f>
        <v>#N/A</v>
      </c>
      <c r="BL302" s="35" t="str">
        <f>LOWER(Campanha_ou_InsertionOrder&amp;"_"&amp;LineItem_ou_Grupodeanúncio&amp;"_"&amp;Linha_criativa_2&amp;"_"&amp;Unique_ID)</f>
        <v>#N/A</v>
      </c>
      <c r="BM302" s="27"/>
      <c r="BN302" s="27"/>
    </row>
    <row r="303">
      <c r="A303" s="1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8" t="str">
        <f>LOWER(Campanha_ou_InsertionOrder&amp;"_"&amp;LineItem_ou_Grupodeanúncio&amp;"_"&amp;Linha_Criativa&amp;"_"&amp;Unique_ID)</f>
        <v>#N/A</v>
      </c>
      <c r="AN303" s="28" t="str">
        <f>LOWER(Campanha_ou_InsertionOrder&amp;"_"&amp;LineItem_ou_Grupodeanúncio&amp;"_"&amp;Linha_Criativa&amp;"_"&amp;Unique_ID)</f>
        <v>#N/A</v>
      </c>
      <c r="AO303" s="28" t="str">
        <f>LOWER("VW"&amp;"_"&amp;Model_Variant&amp;"_"&amp;Size&amp;"_"&amp;Linha_Criativa&amp;"_"&amp;IF(Servido_Por="portal",Veiculo,"adserver"))</f>
        <v>vw____adserver</v>
      </c>
      <c r="AP3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3" s="22" t="str">
        <f t="shared" si="1"/>
        <v/>
      </c>
      <c r="AS303" s="22" t="str">
        <f t="shared" si="2"/>
        <v/>
      </c>
      <c r="AT303" s="22" t="str">
        <f t="shared" si="3"/>
        <v>BR_IMC_DSY_LANCH_ND_NC_2020Q3AUG_NVS_Nivus-Launch-Consideracao</v>
      </c>
      <c r="AU303" s="22" t="str">
        <f t="shared" si="4"/>
        <v>#N/A</v>
      </c>
      <c r="AV303" s="22" t="s">
        <v>106</v>
      </c>
      <c r="AW3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3" s="22" t="str">
        <f t="shared" si="5"/>
        <v>BR_IMC_DSY_LANCH_ND_NC_2020Q3AUG_NVS_Nivus-Launch-Consideracao</v>
      </c>
      <c r="AY303" s="28" t="str">
        <f t="shared" si="6"/>
        <v>#N/A</v>
      </c>
      <c r="AZ303" s="22" t="s">
        <v>107</v>
      </c>
      <c r="BA303" s="22" t="s">
        <v>108</v>
      </c>
      <c r="BB303" s="31" t="s">
        <v>109</v>
      </c>
      <c r="BC303" s="31" t="s">
        <v>109</v>
      </c>
      <c r="BD303" s="32" t="str">
        <f t="shared" si="8"/>
        <v>nvl-nvs-imc-dsy-0820-10297</v>
      </c>
      <c r="BE303" s="33"/>
      <c r="BF303" s="33"/>
      <c r="BG303" s="39" t="str">
        <f>URL&amp;IF(ISNUMBER(FIND("?",URL)),"&amp;","?"&amp;("adlid="&amp;Unique_ID&amp;"&amp;adplt="&amp;Placement))</f>
        <v>#N/A</v>
      </c>
      <c r="BH303" s="1"/>
      <c r="BI303" s="1"/>
      <c r="BJ303" s="35" t="str">
        <f>LOWER("alp"&amp;"_"&amp;"vw"&amp;"_"&amp;Veiculo&amp;"_"&amp;C299&amp;"_"&amp;Objetivo)</f>
        <v>alp_vw___</v>
      </c>
      <c r="BK303" s="35" t="str">
        <f>LOWER(Buying_Metric&amp;"_"&amp;VLOOKUP(Buying_Type,Buy_type,2,FALSE)&amp;"_"&amp;Device&amp;"_"&amp;Size&amp;"_"&amp;Segmentação&amp;"_"&amp;Segmentação_Anúncio)</f>
        <v>#N/A</v>
      </c>
      <c r="BL303" s="35" t="str">
        <f>LOWER(Campanha_ou_InsertionOrder&amp;"_"&amp;LineItem_ou_Grupodeanúncio&amp;"_"&amp;Linha_criativa_2&amp;"_"&amp;Unique_ID)</f>
        <v>#N/A</v>
      </c>
      <c r="BM303" s="27"/>
      <c r="BN303" s="27"/>
    </row>
    <row r="304">
      <c r="A304" s="1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8" t="str">
        <f>LOWER(Campanha_ou_InsertionOrder&amp;"_"&amp;LineItem_ou_Grupodeanúncio&amp;"_"&amp;Linha_Criativa&amp;"_"&amp;Unique_ID)</f>
        <v>#N/A</v>
      </c>
      <c r="AN304" s="28" t="str">
        <f>LOWER(Campanha_ou_InsertionOrder&amp;"_"&amp;LineItem_ou_Grupodeanúncio&amp;"_"&amp;Linha_Criativa&amp;"_"&amp;Unique_ID)</f>
        <v>#N/A</v>
      </c>
      <c r="AO304" s="28" t="str">
        <f>LOWER("VW"&amp;"_"&amp;Model_Variant&amp;"_"&amp;Size&amp;"_"&amp;Linha_Criativa&amp;"_"&amp;IF(Servido_Por="portal",Veiculo,"adserver"))</f>
        <v>vw____adserver</v>
      </c>
      <c r="AP3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4" s="22" t="str">
        <f t="shared" si="1"/>
        <v/>
      </c>
      <c r="AS304" s="22" t="str">
        <f t="shared" si="2"/>
        <v/>
      </c>
      <c r="AT304" s="22" t="str">
        <f t="shared" si="3"/>
        <v>BR_IMC_DSY_LANCH_ND_NC_2020Q3AUG_NVS_Nivus-Launch-Consideracao</v>
      </c>
      <c r="AU304" s="22" t="str">
        <f t="shared" si="4"/>
        <v>#N/A</v>
      </c>
      <c r="AV304" s="22" t="s">
        <v>106</v>
      </c>
      <c r="AW3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4" s="22" t="str">
        <f t="shared" si="5"/>
        <v>BR_IMC_DSY_LANCH_ND_NC_2020Q3AUG_NVS_Nivus-Launch-Consideracao</v>
      </c>
      <c r="AY304" s="28" t="str">
        <f t="shared" si="6"/>
        <v>#N/A</v>
      </c>
      <c r="AZ304" s="22" t="s">
        <v>107</v>
      </c>
      <c r="BA304" s="22" t="s">
        <v>108</v>
      </c>
      <c r="BB304" s="31" t="s">
        <v>109</v>
      </c>
      <c r="BC304" s="31" t="s">
        <v>109</v>
      </c>
      <c r="BD304" s="32" t="str">
        <f t="shared" si="8"/>
        <v>nvl-nvs-imc-dsy-0820-10298</v>
      </c>
      <c r="BE304" s="33"/>
      <c r="BF304" s="33"/>
      <c r="BG304" s="39" t="str">
        <f>URL&amp;IF(ISNUMBER(FIND("?",URL)),"&amp;","?"&amp;("adlid="&amp;Unique_ID&amp;"&amp;adplt="&amp;Placement))</f>
        <v>#N/A</v>
      </c>
      <c r="BH304" s="1"/>
      <c r="BI304" s="1"/>
      <c r="BJ304" s="35" t="str">
        <f>LOWER("alp"&amp;"_"&amp;"vw"&amp;"_"&amp;Veiculo&amp;"_"&amp;C300&amp;"_"&amp;Objetivo)</f>
        <v>alp_vw___</v>
      </c>
      <c r="BK304" s="35" t="str">
        <f>LOWER(Buying_Metric&amp;"_"&amp;VLOOKUP(Buying_Type,Buy_type,2,FALSE)&amp;"_"&amp;Device&amp;"_"&amp;Size&amp;"_"&amp;Segmentação&amp;"_"&amp;Segmentação_Anúncio)</f>
        <v>#N/A</v>
      </c>
      <c r="BL304" s="35" t="str">
        <f>LOWER(Campanha_ou_InsertionOrder&amp;"_"&amp;LineItem_ou_Grupodeanúncio&amp;"_"&amp;Linha_criativa_2&amp;"_"&amp;Unique_ID)</f>
        <v>#N/A</v>
      </c>
      <c r="BM304" s="27"/>
      <c r="BN304" s="27"/>
    </row>
    <row r="305">
      <c r="A305" s="1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8" t="str">
        <f>LOWER(Campanha_ou_InsertionOrder&amp;"_"&amp;LineItem_ou_Grupodeanúncio&amp;"_"&amp;Linha_Criativa&amp;"_"&amp;Unique_ID)</f>
        <v>#N/A</v>
      </c>
      <c r="AN305" s="28" t="str">
        <f>LOWER(Campanha_ou_InsertionOrder&amp;"_"&amp;LineItem_ou_Grupodeanúncio&amp;"_"&amp;Linha_Criativa&amp;"_"&amp;Unique_ID)</f>
        <v>#N/A</v>
      </c>
      <c r="AO305" s="28" t="str">
        <f>LOWER("VW"&amp;"_"&amp;Model_Variant&amp;"_"&amp;Size&amp;"_"&amp;Linha_Criativa&amp;"_"&amp;IF(Servido_Por="portal",Veiculo,"adserver"))</f>
        <v>vw____adserver</v>
      </c>
      <c r="AP3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5" s="22" t="str">
        <f t="shared" si="1"/>
        <v/>
      </c>
      <c r="AS305" s="22" t="str">
        <f t="shared" si="2"/>
        <v/>
      </c>
      <c r="AT305" s="22" t="str">
        <f t="shared" si="3"/>
        <v>BR_IMC_DSY_LANCH_ND_NC_2020Q3AUG_NVS_Nivus-Launch-Consideracao</v>
      </c>
      <c r="AU305" s="22" t="str">
        <f t="shared" si="4"/>
        <v>#N/A</v>
      </c>
      <c r="AV305" s="22" t="s">
        <v>106</v>
      </c>
      <c r="AW3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5" s="22" t="str">
        <f t="shared" si="5"/>
        <v>BR_IMC_DSY_LANCH_ND_NC_2020Q3AUG_NVS_Nivus-Launch-Consideracao</v>
      </c>
      <c r="AY305" s="28" t="str">
        <f t="shared" si="6"/>
        <v>#N/A</v>
      </c>
      <c r="AZ305" s="22" t="s">
        <v>107</v>
      </c>
      <c r="BA305" s="22" t="s">
        <v>108</v>
      </c>
      <c r="BB305" s="31" t="s">
        <v>109</v>
      </c>
      <c r="BC305" s="31" t="s">
        <v>109</v>
      </c>
      <c r="BD305" s="32" t="str">
        <f t="shared" si="8"/>
        <v>nvl-nvs-imc-dsy-0820-10299</v>
      </c>
      <c r="BE305" s="33"/>
      <c r="BF305" s="33"/>
      <c r="BG305" s="39" t="str">
        <f>URL&amp;IF(ISNUMBER(FIND("?",URL)),"&amp;","?"&amp;("adlid="&amp;Unique_ID&amp;"&amp;adplt="&amp;Placement))</f>
        <v>#N/A</v>
      </c>
      <c r="BH305" s="1"/>
      <c r="BI305" s="1"/>
      <c r="BJ305" s="35" t="str">
        <f>LOWER("alp"&amp;"_"&amp;"vw"&amp;"_"&amp;Veiculo&amp;"_"&amp;C301&amp;"_"&amp;Objetivo)</f>
        <v>alp_vw___</v>
      </c>
      <c r="BK305" s="35" t="str">
        <f>LOWER(Buying_Metric&amp;"_"&amp;VLOOKUP(Buying_Type,Buy_type,2,FALSE)&amp;"_"&amp;Device&amp;"_"&amp;Size&amp;"_"&amp;Segmentação&amp;"_"&amp;Segmentação_Anúncio)</f>
        <v>#N/A</v>
      </c>
      <c r="BL305" s="35" t="str">
        <f>LOWER(Campanha_ou_InsertionOrder&amp;"_"&amp;LineItem_ou_Grupodeanúncio&amp;"_"&amp;Linha_criativa_2&amp;"_"&amp;Unique_ID)</f>
        <v>#N/A</v>
      </c>
      <c r="BM305" s="27"/>
      <c r="BN305" s="27"/>
    </row>
    <row r="306">
      <c r="A306" s="1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8" t="str">
        <f>LOWER(Campanha_ou_InsertionOrder&amp;"_"&amp;LineItem_ou_Grupodeanúncio&amp;"_"&amp;Linha_Criativa&amp;"_"&amp;Unique_ID)</f>
        <v>#N/A</v>
      </c>
      <c r="AN306" s="28" t="str">
        <f>LOWER(Campanha_ou_InsertionOrder&amp;"_"&amp;LineItem_ou_Grupodeanúncio&amp;"_"&amp;Linha_Criativa&amp;"_"&amp;Unique_ID)</f>
        <v>#N/A</v>
      </c>
      <c r="AO306" s="28" t="str">
        <f>LOWER("VW"&amp;"_"&amp;Model_Variant&amp;"_"&amp;Size&amp;"_"&amp;Linha_Criativa&amp;"_"&amp;IF(Servido_Por="portal",Veiculo,"adserver"))</f>
        <v>vw____adserver</v>
      </c>
      <c r="AP3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6" s="22" t="str">
        <f t="shared" si="1"/>
        <v/>
      </c>
      <c r="AS306" s="22" t="str">
        <f t="shared" si="2"/>
        <v/>
      </c>
      <c r="AT306" s="22" t="str">
        <f t="shared" si="3"/>
        <v>BR_IMC_DSY_LANCH_ND_NC_2020Q3AUG_NVS_Nivus-Launch-Consideracao</v>
      </c>
      <c r="AU306" s="22" t="str">
        <f t="shared" si="4"/>
        <v>#N/A</v>
      </c>
      <c r="AV306" s="22" t="s">
        <v>106</v>
      </c>
      <c r="AW3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6" s="22" t="str">
        <f t="shared" si="5"/>
        <v>BR_IMC_DSY_LANCH_ND_NC_2020Q3AUG_NVS_Nivus-Launch-Consideracao</v>
      </c>
      <c r="AY306" s="28" t="str">
        <f t="shared" si="6"/>
        <v>#N/A</v>
      </c>
      <c r="AZ306" s="22" t="s">
        <v>107</v>
      </c>
      <c r="BA306" s="22" t="s">
        <v>108</v>
      </c>
      <c r="BB306" s="31" t="s">
        <v>109</v>
      </c>
      <c r="BC306" s="31" t="s">
        <v>109</v>
      </c>
      <c r="BD306" s="32" t="str">
        <f t="shared" si="8"/>
        <v>nvl-nvs-imc-dsy-0820-10300</v>
      </c>
      <c r="BE306" s="33"/>
      <c r="BF306" s="33"/>
      <c r="BG306" s="39" t="str">
        <f>URL&amp;IF(ISNUMBER(FIND("?",URL)),"&amp;","?"&amp;("adlid="&amp;Unique_ID&amp;"&amp;adplt="&amp;Placement))</f>
        <v>#N/A</v>
      </c>
      <c r="BH306" s="1"/>
      <c r="BI306" s="1"/>
      <c r="BJ306" s="35" t="str">
        <f>LOWER("alp"&amp;"_"&amp;"vw"&amp;"_"&amp;Veiculo&amp;"_"&amp;C302&amp;"_"&amp;Objetivo)</f>
        <v>alp_vw___</v>
      </c>
      <c r="BK306" s="35" t="str">
        <f>LOWER(Buying_Metric&amp;"_"&amp;VLOOKUP(Buying_Type,Buy_type,2,FALSE)&amp;"_"&amp;Device&amp;"_"&amp;Size&amp;"_"&amp;Segmentação&amp;"_"&amp;Segmentação_Anúncio)</f>
        <v>#N/A</v>
      </c>
      <c r="BL306" s="35" t="str">
        <f>LOWER(Campanha_ou_InsertionOrder&amp;"_"&amp;LineItem_ou_Grupodeanúncio&amp;"_"&amp;Linha_criativa_2&amp;"_"&amp;Unique_ID)</f>
        <v>#N/A</v>
      </c>
      <c r="BM306" s="27"/>
      <c r="BN306" s="27"/>
    </row>
    <row r="307">
      <c r="A307" s="1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8" t="str">
        <f>LOWER(Campanha_ou_InsertionOrder&amp;"_"&amp;LineItem_ou_Grupodeanúncio&amp;"_"&amp;Linha_Criativa&amp;"_"&amp;Unique_ID)</f>
        <v>#N/A</v>
      </c>
      <c r="AN307" s="28" t="str">
        <f>LOWER(Campanha_ou_InsertionOrder&amp;"_"&amp;LineItem_ou_Grupodeanúncio&amp;"_"&amp;Linha_Criativa&amp;"_"&amp;Unique_ID)</f>
        <v>#N/A</v>
      </c>
      <c r="AO307" s="28" t="str">
        <f>LOWER("VW"&amp;"_"&amp;Model_Variant&amp;"_"&amp;Size&amp;"_"&amp;Linha_Criativa&amp;"_"&amp;IF(Servido_Por="portal",Veiculo,"adserver"))</f>
        <v>vw____adserver</v>
      </c>
      <c r="AP3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7" s="22" t="str">
        <f t="shared" si="1"/>
        <v/>
      </c>
      <c r="AS307" s="22" t="str">
        <f t="shared" si="2"/>
        <v/>
      </c>
      <c r="AT307" s="22" t="str">
        <f t="shared" si="3"/>
        <v>BR_IMC_DSY_LANCH_ND_NC_2020Q3AUG_NVS_Nivus-Launch-Consideracao</v>
      </c>
      <c r="AU307" s="22" t="str">
        <f t="shared" si="4"/>
        <v>#N/A</v>
      </c>
      <c r="AV307" s="22" t="s">
        <v>106</v>
      </c>
      <c r="AW3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7" s="22" t="str">
        <f t="shared" si="5"/>
        <v>BR_IMC_DSY_LANCH_ND_NC_2020Q3AUG_NVS_Nivus-Launch-Consideracao</v>
      </c>
      <c r="AY307" s="28" t="str">
        <f t="shared" si="6"/>
        <v>#N/A</v>
      </c>
      <c r="AZ307" s="22" t="s">
        <v>107</v>
      </c>
      <c r="BA307" s="22" t="s">
        <v>108</v>
      </c>
      <c r="BB307" s="31" t="s">
        <v>109</v>
      </c>
      <c r="BC307" s="31" t="s">
        <v>109</v>
      </c>
      <c r="BD307" s="32" t="str">
        <f t="shared" si="8"/>
        <v>nvl-nvs-imc-dsy-0820-10301</v>
      </c>
      <c r="BE307" s="33"/>
      <c r="BF307" s="33"/>
      <c r="BG307" s="39" t="str">
        <f>URL&amp;IF(ISNUMBER(FIND("?",URL)),"&amp;","?"&amp;("adlid="&amp;Unique_ID&amp;"&amp;adplt="&amp;Placement))</f>
        <v>#N/A</v>
      </c>
      <c r="BH307" s="1"/>
      <c r="BI307" s="1"/>
      <c r="BJ307" s="35" t="str">
        <f>LOWER("alp"&amp;"_"&amp;"vw"&amp;"_"&amp;Veiculo&amp;"_"&amp;C303&amp;"_"&amp;Objetivo)</f>
        <v>alp_vw___</v>
      </c>
      <c r="BK307" s="35" t="str">
        <f>LOWER(Buying_Metric&amp;"_"&amp;VLOOKUP(Buying_Type,Buy_type,2,FALSE)&amp;"_"&amp;Device&amp;"_"&amp;Size&amp;"_"&amp;Segmentação&amp;"_"&amp;Segmentação_Anúncio)</f>
        <v>#N/A</v>
      </c>
      <c r="BL307" s="35" t="str">
        <f>LOWER(Campanha_ou_InsertionOrder&amp;"_"&amp;LineItem_ou_Grupodeanúncio&amp;"_"&amp;Linha_criativa_2&amp;"_"&amp;Unique_ID)</f>
        <v>#N/A</v>
      </c>
      <c r="BM307" s="27"/>
      <c r="BN307" s="27"/>
    </row>
    <row r="308">
      <c r="A308" s="1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8" t="str">
        <f>LOWER(Campanha_ou_InsertionOrder&amp;"_"&amp;LineItem_ou_Grupodeanúncio&amp;"_"&amp;Linha_Criativa&amp;"_"&amp;Unique_ID)</f>
        <v>#N/A</v>
      </c>
      <c r="AN308" s="28" t="str">
        <f>LOWER(Campanha_ou_InsertionOrder&amp;"_"&amp;LineItem_ou_Grupodeanúncio&amp;"_"&amp;Linha_Criativa&amp;"_"&amp;Unique_ID)</f>
        <v>#N/A</v>
      </c>
      <c r="AO308" s="28" t="str">
        <f>LOWER("VW"&amp;"_"&amp;Model_Variant&amp;"_"&amp;Size&amp;"_"&amp;Linha_Criativa&amp;"_"&amp;IF(Servido_Por="portal",Veiculo,"adserver"))</f>
        <v>vw____adserver</v>
      </c>
      <c r="AP3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8" s="22" t="str">
        <f t="shared" si="1"/>
        <v/>
      </c>
      <c r="AS308" s="22" t="str">
        <f t="shared" si="2"/>
        <v/>
      </c>
      <c r="AT308" s="22" t="str">
        <f t="shared" si="3"/>
        <v>BR_IMC_DSY_LANCH_ND_NC_2020Q3AUG_NVS_Nivus-Launch-Consideracao</v>
      </c>
      <c r="AU308" s="22" t="str">
        <f t="shared" si="4"/>
        <v>#N/A</v>
      </c>
      <c r="AV308" s="22" t="s">
        <v>106</v>
      </c>
      <c r="AW3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8" s="22" t="str">
        <f t="shared" si="5"/>
        <v>BR_IMC_DSY_LANCH_ND_NC_2020Q3AUG_NVS_Nivus-Launch-Consideracao</v>
      </c>
      <c r="AY308" s="28" t="str">
        <f t="shared" si="6"/>
        <v>#N/A</v>
      </c>
      <c r="AZ308" s="22" t="s">
        <v>107</v>
      </c>
      <c r="BA308" s="22" t="s">
        <v>108</v>
      </c>
      <c r="BB308" s="31" t="s">
        <v>109</v>
      </c>
      <c r="BC308" s="31" t="s">
        <v>109</v>
      </c>
      <c r="BD308" s="32" t="str">
        <f t="shared" si="8"/>
        <v>nvl-nvs-imc-dsy-0820-10302</v>
      </c>
      <c r="BE308" s="33"/>
      <c r="BF308" s="33"/>
      <c r="BG308" s="39" t="str">
        <f>URL&amp;IF(ISNUMBER(FIND("?",URL)),"&amp;","?"&amp;("adlid="&amp;Unique_ID&amp;"&amp;adplt="&amp;Placement))</f>
        <v>#N/A</v>
      </c>
      <c r="BH308" s="1"/>
      <c r="BI308" s="1"/>
      <c r="BJ308" s="35" t="str">
        <f>LOWER("alp"&amp;"_"&amp;"vw"&amp;"_"&amp;Veiculo&amp;"_"&amp;C304&amp;"_"&amp;Objetivo)</f>
        <v>alp_vw___</v>
      </c>
      <c r="BK308" s="35" t="str">
        <f>LOWER(Buying_Metric&amp;"_"&amp;VLOOKUP(Buying_Type,Buy_type,2,FALSE)&amp;"_"&amp;Device&amp;"_"&amp;Size&amp;"_"&amp;Segmentação&amp;"_"&amp;Segmentação_Anúncio)</f>
        <v>#N/A</v>
      </c>
      <c r="BL308" s="35" t="str">
        <f>LOWER(Campanha_ou_InsertionOrder&amp;"_"&amp;LineItem_ou_Grupodeanúncio&amp;"_"&amp;Linha_criativa_2&amp;"_"&amp;Unique_ID)</f>
        <v>#N/A</v>
      </c>
      <c r="BM308" s="27"/>
      <c r="BN308" s="27"/>
    </row>
    <row r="309">
      <c r="A309" s="1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8" t="str">
        <f>LOWER(Campanha_ou_InsertionOrder&amp;"_"&amp;LineItem_ou_Grupodeanúncio&amp;"_"&amp;Linha_Criativa&amp;"_"&amp;Unique_ID)</f>
        <v>#N/A</v>
      </c>
      <c r="AN309" s="28" t="str">
        <f>LOWER(Campanha_ou_InsertionOrder&amp;"_"&amp;LineItem_ou_Grupodeanúncio&amp;"_"&amp;Linha_Criativa&amp;"_"&amp;Unique_ID)</f>
        <v>#N/A</v>
      </c>
      <c r="AO309" s="28" t="str">
        <f>LOWER("VW"&amp;"_"&amp;Model_Variant&amp;"_"&amp;Size&amp;"_"&amp;Linha_Criativa&amp;"_"&amp;IF(Servido_Por="portal",Veiculo,"adserver"))</f>
        <v>vw____adserver</v>
      </c>
      <c r="AP3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09" s="22" t="str">
        <f t="shared" si="1"/>
        <v/>
      </c>
      <c r="AS309" s="22" t="str">
        <f t="shared" si="2"/>
        <v/>
      </c>
      <c r="AT309" s="22" t="str">
        <f t="shared" si="3"/>
        <v>BR_IMC_DSY_LANCH_ND_NC_2020Q3AUG_NVS_Nivus-Launch-Consideracao</v>
      </c>
      <c r="AU309" s="22" t="str">
        <f t="shared" si="4"/>
        <v>#N/A</v>
      </c>
      <c r="AV309" s="22" t="s">
        <v>106</v>
      </c>
      <c r="AW3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09" s="22" t="str">
        <f t="shared" si="5"/>
        <v>BR_IMC_DSY_LANCH_ND_NC_2020Q3AUG_NVS_Nivus-Launch-Consideracao</v>
      </c>
      <c r="AY309" s="28" t="str">
        <f t="shared" si="6"/>
        <v>#N/A</v>
      </c>
      <c r="AZ309" s="22" t="s">
        <v>107</v>
      </c>
      <c r="BA309" s="22" t="s">
        <v>108</v>
      </c>
      <c r="BB309" s="31" t="s">
        <v>109</v>
      </c>
      <c r="BC309" s="31" t="s">
        <v>109</v>
      </c>
      <c r="BD309" s="32" t="str">
        <f t="shared" si="8"/>
        <v>nvl-nvs-imc-dsy-0820-10303</v>
      </c>
      <c r="BE309" s="33"/>
      <c r="BF309" s="33"/>
      <c r="BG309" s="39" t="str">
        <f>URL&amp;IF(ISNUMBER(FIND("?",URL)),"&amp;","?"&amp;("adlid="&amp;Unique_ID&amp;"&amp;adplt="&amp;Placement))</f>
        <v>#N/A</v>
      </c>
      <c r="BH309" s="1"/>
      <c r="BI309" s="1"/>
      <c r="BJ309" s="35" t="str">
        <f>LOWER("alp"&amp;"_"&amp;"vw"&amp;"_"&amp;Veiculo&amp;"_"&amp;C305&amp;"_"&amp;Objetivo)</f>
        <v>alp_vw___</v>
      </c>
      <c r="BK309" s="35" t="str">
        <f>LOWER(Buying_Metric&amp;"_"&amp;VLOOKUP(Buying_Type,Buy_type,2,FALSE)&amp;"_"&amp;Device&amp;"_"&amp;Size&amp;"_"&amp;Segmentação&amp;"_"&amp;Segmentação_Anúncio)</f>
        <v>#N/A</v>
      </c>
      <c r="BL309" s="35" t="str">
        <f>LOWER(Campanha_ou_InsertionOrder&amp;"_"&amp;LineItem_ou_Grupodeanúncio&amp;"_"&amp;Linha_criativa_2&amp;"_"&amp;Unique_ID)</f>
        <v>#N/A</v>
      </c>
      <c r="BM309" s="27"/>
      <c r="BN309" s="27"/>
    </row>
    <row r="310">
      <c r="A310" s="1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8" t="str">
        <f>LOWER(Campanha_ou_InsertionOrder&amp;"_"&amp;LineItem_ou_Grupodeanúncio&amp;"_"&amp;Linha_Criativa&amp;"_"&amp;Unique_ID)</f>
        <v>#N/A</v>
      </c>
      <c r="AN310" s="28" t="str">
        <f>LOWER(Campanha_ou_InsertionOrder&amp;"_"&amp;LineItem_ou_Grupodeanúncio&amp;"_"&amp;Linha_Criativa&amp;"_"&amp;Unique_ID)</f>
        <v>#N/A</v>
      </c>
      <c r="AO310" s="28" t="str">
        <f>LOWER("VW"&amp;"_"&amp;Model_Variant&amp;"_"&amp;Size&amp;"_"&amp;Linha_Criativa&amp;"_"&amp;IF(Servido_Por="portal",Veiculo,"adserver"))</f>
        <v>vw____adserver</v>
      </c>
      <c r="AP3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0" s="22" t="str">
        <f t="shared" si="1"/>
        <v/>
      </c>
      <c r="AS310" s="22" t="str">
        <f t="shared" si="2"/>
        <v/>
      </c>
      <c r="AT310" s="22" t="str">
        <f t="shared" si="3"/>
        <v>BR_IMC_DSY_LANCH_ND_NC_2020Q3AUG_NVS_Nivus-Launch-Consideracao</v>
      </c>
      <c r="AU310" s="22" t="str">
        <f t="shared" si="4"/>
        <v>#N/A</v>
      </c>
      <c r="AV310" s="22" t="s">
        <v>106</v>
      </c>
      <c r="AW3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0" s="22" t="str">
        <f t="shared" si="5"/>
        <v>BR_IMC_DSY_LANCH_ND_NC_2020Q3AUG_NVS_Nivus-Launch-Consideracao</v>
      </c>
      <c r="AY310" s="28" t="str">
        <f t="shared" si="6"/>
        <v>#N/A</v>
      </c>
      <c r="AZ310" s="22" t="s">
        <v>107</v>
      </c>
      <c r="BA310" s="22" t="s">
        <v>108</v>
      </c>
      <c r="BB310" s="31" t="s">
        <v>109</v>
      </c>
      <c r="BC310" s="31" t="s">
        <v>109</v>
      </c>
      <c r="BD310" s="32" t="str">
        <f t="shared" si="8"/>
        <v>nvl-nvs-imc-dsy-0820-10304</v>
      </c>
      <c r="BE310" s="33"/>
      <c r="BF310" s="33"/>
      <c r="BG310" s="39" t="str">
        <f>URL&amp;IF(ISNUMBER(FIND("?",URL)),"&amp;","?"&amp;("adlid="&amp;Unique_ID&amp;"&amp;adplt="&amp;Placement))</f>
        <v>#N/A</v>
      </c>
      <c r="BH310" s="1"/>
      <c r="BI310" s="1"/>
      <c r="BJ310" s="35" t="str">
        <f>LOWER("alp"&amp;"_"&amp;"vw"&amp;"_"&amp;Veiculo&amp;"_"&amp;C306&amp;"_"&amp;Objetivo)</f>
        <v>alp_vw___</v>
      </c>
      <c r="BK310" s="35" t="str">
        <f>LOWER(Buying_Metric&amp;"_"&amp;VLOOKUP(Buying_Type,Buy_type,2,FALSE)&amp;"_"&amp;Device&amp;"_"&amp;Size&amp;"_"&amp;Segmentação&amp;"_"&amp;Segmentação_Anúncio)</f>
        <v>#N/A</v>
      </c>
      <c r="BL310" s="35" t="str">
        <f>LOWER(Campanha_ou_InsertionOrder&amp;"_"&amp;LineItem_ou_Grupodeanúncio&amp;"_"&amp;Linha_criativa_2&amp;"_"&amp;Unique_ID)</f>
        <v>#N/A</v>
      </c>
      <c r="BM310" s="27"/>
      <c r="BN310" s="27"/>
    </row>
    <row r="311">
      <c r="A311" s="1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8" t="str">
        <f>LOWER(Campanha_ou_InsertionOrder&amp;"_"&amp;LineItem_ou_Grupodeanúncio&amp;"_"&amp;Linha_Criativa&amp;"_"&amp;Unique_ID)</f>
        <v>#N/A</v>
      </c>
      <c r="AN311" s="28" t="str">
        <f>LOWER(Campanha_ou_InsertionOrder&amp;"_"&amp;LineItem_ou_Grupodeanúncio&amp;"_"&amp;Linha_Criativa&amp;"_"&amp;Unique_ID)</f>
        <v>#N/A</v>
      </c>
      <c r="AO311" s="28" t="str">
        <f>LOWER("VW"&amp;"_"&amp;Model_Variant&amp;"_"&amp;Size&amp;"_"&amp;Linha_Criativa&amp;"_"&amp;IF(Servido_Por="portal",Veiculo,"adserver"))</f>
        <v>vw____adserver</v>
      </c>
      <c r="AP3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1" s="22" t="str">
        <f t="shared" si="1"/>
        <v/>
      </c>
      <c r="AS311" s="22" t="str">
        <f t="shared" si="2"/>
        <v/>
      </c>
      <c r="AT311" s="22" t="str">
        <f t="shared" si="3"/>
        <v>BR_IMC_DSY_LANCH_ND_NC_2020Q3AUG_NVS_Nivus-Launch-Consideracao</v>
      </c>
      <c r="AU311" s="22" t="str">
        <f t="shared" si="4"/>
        <v>#N/A</v>
      </c>
      <c r="AV311" s="22" t="s">
        <v>106</v>
      </c>
      <c r="AW3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1" s="22" t="str">
        <f t="shared" si="5"/>
        <v>BR_IMC_DSY_LANCH_ND_NC_2020Q3AUG_NVS_Nivus-Launch-Consideracao</v>
      </c>
      <c r="AY311" s="28" t="str">
        <f t="shared" si="6"/>
        <v>#N/A</v>
      </c>
      <c r="AZ311" s="22" t="s">
        <v>107</v>
      </c>
      <c r="BA311" s="22" t="s">
        <v>108</v>
      </c>
      <c r="BB311" s="31" t="s">
        <v>109</v>
      </c>
      <c r="BC311" s="31" t="s">
        <v>109</v>
      </c>
      <c r="BD311" s="32" t="str">
        <f t="shared" si="8"/>
        <v>nvl-nvs-imc-dsy-0820-10305</v>
      </c>
      <c r="BE311" s="33"/>
      <c r="BF311" s="33"/>
      <c r="BG311" s="39" t="str">
        <f>URL&amp;IF(ISNUMBER(FIND("?",URL)),"&amp;","?"&amp;("adlid="&amp;Unique_ID&amp;"&amp;adplt="&amp;Placement))</f>
        <v>#N/A</v>
      </c>
      <c r="BH311" s="1"/>
      <c r="BI311" s="1"/>
      <c r="BJ311" s="35" t="str">
        <f>LOWER("alp"&amp;"_"&amp;"vw"&amp;"_"&amp;Veiculo&amp;"_"&amp;C307&amp;"_"&amp;Objetivo)</f>
        <v>alp_vw___</v>
      </c>
      <c r="BK311" s="35" t="str">
        <f>LOWER(Buying_Metric&amp;"_"&amp;VLOOKUP(Buying_Type,Buy_type,2,FALSE)&amp;"_"&amp;Device&amp;"_"&amp;Size&amp;"_"&amp;Segmentação&amp;"_"&amp;Segmentação_Anúncio)</f>
        <v>#N/A</v>
      </c>
      <c r="BL311" s="35" t="str">
        <f>LOWER(Campanha_ou_InsertionOrder&amp;"_"&amp;LineItem_ou_Grupodeanúncio&amp;"_"&amp;Linha_criativa_2&amp;"_"&amp;Unique_ID)</f>
        <v>#N/A</v>
      </c>
      <c r="BM311" s="27"/>
      <c r="BN311" s="27"/>
    </row>
    <row r="312">
      <c r="A312" s="1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8" t="str">
        <f>LOWER(Campanha_ou_InsertionOrder&amp;"_"&amp;LineItem_ou_Grupodeanúncio&amp;"_"&amp;Linha_Criativa&amp;"_"&amp;Unique_ID)</f>
        <v>#N/A</v>
      </c>
      <c r="AN312" s="28" t="str">
        <f>LOWER(Campanha_ou_InsertionOrder&amp;"_"&amp;LineItem_ou_Grupodeanúncio&amp;"_"&amp;Linha_Criativa&amp;"_"&amp;Unique_ID)</f>
        <v>#N/A</v>
      </c>
      <c r="AO312" s="28" t="str">
        <f>LOWER("VW"&amp;"_"&amp;Model_Variant&amp;"_"&amp;Size&amp;"_"&amp;Linha_Criativa&amp;"_"&amp;IF(Servido_Por="portal",Veiculo,"adserver"))</f>
        <v>vw____adserver</v>
      </c>
      <c r="AP3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2" s="22" t="str">
        <f t="shared" si="1"/>
        <v/>
      </c>
      <c r="AS312" s="22" t="str">
        <f t="shared" si="2"/>
        <v/>
      </c>
      <c r="AT312" s="22" t="str">
        <f t="shared" si="3"/>
        <v>BR_IMC_DSY_LANCH_ND_NC_2020Q3AUG_NVS_Nivus-Launch-Consideracao</v>
      </c>
      <c r="AU312" s="22" t="str">
        <f t="shared" si="4"/>
        <v>#N/A</v>
      </c>
      <c r="AV312" s="22" t="s">
        <v>106</v>
      </c>
      <c r="AW3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2" s="22" t="str">
        <f t="shared" si="5"/>
        <v>BR_IMC_DSY_LANCH_ND_NC_2020Q3AUG_NVS_Nivus-Launch-Consideracao</v>
      </c>
      <c r="AY312" s="28" t="str">
        <f t="shared" si="6"/>
        <v>#N/A</v>
      </c>
      <c r="AZ312" s="22" t="s">
        <v>107</v>
      </c>
      <c r="BA312" s="22" t="s">
        <v>108</v>
      </c>
      <c r="BB312" s="31" t="s">
        <v>109</v>
      </c>
      <c r="BC312" s="31" t="s">
        <v>109</v>
      </c>
      <c r="BD312" s="32" t="str">
        <f t="shared" si="8"/>
        <v>nvl-nvs-imc-dsy-0820-10306</v>
      </c>
      <c r="BE312" s="33"/>
      <c r="BF312" s="33"/>
      <c r="BG312" s="39" t="str">
        <f>URL&amp;IF(ISNUMBER(FIND("?",URL)),"&amp;","?"&amp;("adlid="&amp;Unique_ID&amp;"&amp;adplt="&amp;Placement))</f>
        <v>#N/A</v>
      </c>
      <c r="BH312" s="1"/>
      <c r="BI312" s="1"/>
      <c r="BJ312" s="35" t="str">
        <f>LOWER("alp"&amp;"_"&amp;"vw"&amp;"_"&amp;Veiculo&amp;"_"&amp;C308&amp;"_"&amp;Objetivo)</f>
        <v>alp_vw___</v>
      </c>
      <c r="BK312" s="35" t="str">
        <f>LOWER(Buying_Metric&amp;"_"&amp;VLOOKUP(Buying_Type,Buy_type,2,FALSE)&amp;"_"&amp;Device&amp;"_"&amp;Size&amp;"_"&amp;Segmentação&amp;"_"&amp;Segmentação_Anúncio)</f>
        <v>#N/A</v>
      </c>
      <c r="BL312" s="35" t="str">
        <f>LOWER(Campanha_ou_InsertionOrder&amp;"_"&amp;LineItem_ou_Grupodeanúncio&amp;"_"&amp;Linha_criativa_2&amp;"_"&amp;Unique_ID)</f>
        <v>#N/A</v>
      </c>
      <c r="BM312" s="27"/>
      <c r="BN312" s="27"/>
    </row>
    <row r="313">
      <c r="A313" s="1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8" t="str">
        <f>LOWER(Campanha_ou_InsertionOrder&amp;"_"&amp;LineItem_ou_Grupodeanúncio&amp;"_"&amp;Linha_Criativa&amp;"_"&amp;Unique_ID)</f>
        <v>#N/A</v>
      </c>
      <c r="AN313" s="28" t="str">
        <f>LOWER(Campanha_ou_InsertionOrder&amp;"_"&amp;LineItem_ou_Grupodeanúncio&amp;"_"&amp;Linha_Criativa&amp;"_"&amp;Unique_ID)</f>
        <v>#N/A</v>
      </c>
      <c r="AO313" s="28" t="str">
        <f>LOWER("VW"&amp;"_"&amp;Model_Variant&amp;"_"&amp;Size&amp;"_"&amp;Linha_Criativa&amp;"_"&amp;IF(Servido_Por="portal",Veiculo,"adserver"))</f>
        <v>vw____adserver</v>
      </c>
      <c r="AP3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3" s="22" t="str">
        <f t="shared" si="1"/>
        <v/>
      </c>
      <c r="AS313" s="22" t="str">
        <f t="shared" si="2"/>
        <v/>
      </c>
      <c r="AT313" s="22" t="str">
        <f t="shared" si="3"/>
        <v>BR_IMC_DSY_LANCH_ND_NC_2020Q3AUG_NVS_Nivus-Launch-Consideracao</v>
      </c>
      <c r="AU313" s="22" t="str">
        <f t="shared" si="4"/>
        <v>#N/A</v>
      </c>
      <c r="AV313" s="22" t="s">
        <v>106</v>
      </c>
      <c r="AW3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3" s="22" t="str">
        <f t="shared" si="5"/>
        <v>BR_IMC_DSY_LANCH_ND_NC_2020Q3AUG_NVS_Nivus-Launch-Consideracao</v>
      </c>
      <c r="AY313" s="28" t="str">
        <f t="shared" si="6"/>
        <v>#N/A</v>
      </c>
      <c r="AZ313" s="22" t="s">
        <v>107</v>
      </c>
      <c r="BA313" s="22" t="s">
        <v>108</v>
      </c>
      <c r="BB313" s="31" t="s">
        <v>109</v>
      </c>
      <c r="BC313" s="31" t="s">
        <v>109</v>
      </c>
      <c r="BD313" s="32" t="str">
        <f t="shared" si="8"/>
        <v>nvl-nvs-imc-dsy-0820-10307</v>
      </c>
      <c r="BE313" s="33"/>
      <c r="BF313" s="33"/>
      <c r="BG313" s="39" t="str">
        <f>URL&amp;IF(ISNUMBER(FIND("?",URL)),"&amp;","?"&amp;("adlid="&amp;Unique_ID&amp;"&amp;adplt="&amp;Placement))</f>
        <v>#N/A</v>
      </c>
      <c r="BH313" s="1"/>
      <c r="BI313" s="1"/>
      <c r="BJ313" s="35" t="str">
        <f>LOWER("alp"&amp;"_"&amp;"vw"&amp;"_"&amp;Veiculo&amp;"_"&amp;C309&amp;"_"&amp;Objetivo)</f>
        <v>alp_vw___</v>
      </c>
      <c r="BK313" s="35" t="str">
        <f>LOWER(Buying_Metric&amp;"_"&amp;VLOOKUP(Buying_Type,Buy_type,2,FALSE)&amp;"_"&amp;Device&amp;"_"&amp;Size&amp;"_"&amp;Segmentação&amp;"_"&amp;Segmentação_Anúncio)</f>
        <v>#N/A</v>
      </c>
      <c r="BL313" s="35" t="str">
        <f>LOWER(Campanha_ou_InsertionOrder&amp;"_"&amp;LineItem_ou_Grupodeanúncio&amp;"_"&amp;Linha_criativa_2&amp;"_"&amp;Unique_ID)</f>
        <v>#N/A</v>
      </c>
      <c r="BM313" s="27"/>
      <c r="BN313" s="27"/>
    </row>
    <row r="314">
      <c r="A314" s="1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8" t="str">
        <f>LOWER(Campanha_ou_InsertionOrder&amp;"_"&amp;LineItem_ou_Grupodeanúncio&amp;"_"&amp;Linha_Criativa&amp;"_"&amp;Unique_ID)</f>
        <v>#N/A</v>
      </c>
      <c r="AN314" s="28" t="str">
        <f>LOWER(Campanha_ou_InsertionOrder&amp;"_"&amp;LineItem_ou_Grupodeanúncio&amp;"_"&amp;Linha_Criativa&amp;"_"&amp;Unique_ID)</f>
        <v>#N/A</v>
      </c>
      <c r="AO314" s="28" t="str">
        <f>LOWER("VW"&amp;"_"&amp;Model_Variant&amp;"_"&amp;Size&amp;"_"&amp;Linha_Criativa&amp;"_"&amp;IF(Servido_Por="portal",Veiculo,"adserver"))</f>
        <v>vw____adserver</v>
      </c>
      <c r="AP3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4" s="22" t="str">
        <f t="shared" si="1"/>
        <v/>
      </c>
      <c r="AS314" s="22" t="str">
        <f t="shared" si="2"/>
        <v/>
      </c>
      <c r="AT314" s="22" t="str">
        <f t="shared" si="3"/>
        <v>BR_IMC_DSY_LANCH_ND_NC_2020Q3AUG_NVS_Nivus-Launch-Consideracao</v>
      </c>
      <c r="AU314" s="22" t="str">
        <f t="shared" si="4"/>
        <v>#N/A</v>
      </c>
      <c r="AV314" s="22" t="s">
        <v>106</v>
      </c>
      <c r="AW3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4" s="22" t="str">
        <f t="shared" si="5"/>
        <v>BR_IMC_DSY_LANCH_ND_NC_2020Q3AUG_NVS_Nivus-Launch-Consideracao</v>
      </c>
      <c r="AY314" s="28" t="str">
        <f t="shared" si="6"/>
        <v>#N/A</v>
      </c>
      <c r="AZ314" s="22" t="s">
        <v>107</v>
      </c>
      <c r="BA314" s="22" t="s">
        <v>108</v>
      </c>
      <c r="BB314" s="31" t="s">
        <v>109</v>
      </c>
      <c r="BC314" s="31" t="s">
        <v>109</v>
      </c>
      <c r="BD314" s="32" t="str">
        <f t="shared" si="8"/>
        <v>nvl-nvs-imc-dsy-0820-10308</v>
      </c>
      <c r="BE314" s="33"/>
      <c r="BF314" s="33"/>
      <c r="BG314" s="39" t="str">
        <f>URL&amp;IF(ISNUMBER(FIND("?",URL)),"&amp;","?"&amp;("adlid="&amp;Unique_ID&amp;"&amp;adplt="&amp;Placement))</f>
        <v>#N/A</v>
      </c>
      <c r="BH314" s="1"/>
      <c r="BI314" s="1"/>
      <c r="BJ314" s="35" t="str">
        <f>LOWER("alp"&amp;"_"&amp;"vw"&amp;"_"&amp;Veiculo&amp;"_"&amp;C310&amp;"_"&amp;Objetivo)</f>
        <v>alp_vw___</v>
      </c>
      <c r="BK314" s="35" t="str">
        <f>LOWER(Buying_Metric&amp;"_"&amp;VLOOKUP(Buying_Type,Buy_type,2,FALSE)&amp;"_"&amp;Device&amp;"_"&amp;Size&amp;"_"&amp;Segmentação&amp;"_"&amp;Segmentação_Anúncio)</f>
        <v>#N/A</v>
      </c>
      <c r="BL314" s="35" t="str">
        <f>LOWER(Campanha_ou_InsertionOrder&amp;"_"&amp;LineItem_ou_Grupodeanúncio&amp;"_"&amp;Linha_criativa_2&amp;"_"&amp;Unique_ID)</f>
        <v>#N/A</v>
      </c>
      <c r="BM314" s="27"/>
      <c r="BN314" s="27"/>
    </row>
    <row r="315">
      <c r="A315" s="1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8" t="str">
        <f>LOWER(Campanha_ou_InsertionOrder&amp;"_"&amp;LineItem_ou_Grupodeanúncio&amp;"_"&amp;Linha_Criativa&amp;"_"&amp;Unique_ID)</f>
        <v>#N/A</v>
      </c>
      <c r="AN315" s="28" t="str">
        <f>LOWER(Campanha_ou_InsertionOrder&amp;"_"&amp;LineItem_ou_Grupodeanúncio&amp;"_"&amp;Linha_Criativa&amp;"_"&amp;Unique_ID)</f>
        <v>#N/A</v>
      </c>
      <c r="AO315" s="28" t="str">
        <f>LOWER("VW"&amp;"_"&amp;Model_Variant&amp;"_"&amp;Size&amp;"_"&amp;Linha_Criativa&amp;"_"&amp;IF(Servido_Por="portal",Veiculo,"adserver"))</f>
        <v>vw____adserver</v>
      </c>
      <c r="AP3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5" s="22" t="str">
        <f t="shared" si="1"/>
        <v/>
      </c>
      <c r="AS315" s="22" t="str">
        <f t="shared" si="2"/>
        <v/>
      </c>
      <c r="AT315" s="22" t="str">
        <f t="shared" si="3"/>
        <v>BR_IMC_DSY_LANCH_ND_NC_2020Q3AUG_NVS_Nivus-Launch-Consideracao</v>
      </c>
      <c r="AU315" s="22" t="str">
        <f t="shared" si="4"/>
        <v>#N/A</v>
      </c>
      <c r="AV315" s="22" t="s">
        <v>106</v>
      </c>
      <c r="AW3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5" s="22" t="str">
        <f t="shared" si="5"/>
        <v>BR_IMC_DSY_LANCH_ND_NC_2020Q3AUG_NVS_Nivus-Launch-Consideracao</v>
      </c>
      <c r="AY315" s="28" t="str">
        <f t="shared" si="6"/>
        <v>#N/A</v>
      </c>
      <c r="AZ315" s="22" t="s">
        <v>107</v>
      </c>
      <c r="BA315" s="22" t="s">
        <v>108</v>
      </c>
      <c r="BB315" s="31" t="s">
        <v>109</v>
      </c>
      <c r="BC315" s="31" t="s">
        <v>109</v>
      </c>
      <c r="BD315" s="32" t="str">
        <f t="shared" si="8"/>
        <v>nvl-nvs-imc-dsy-0820-10309</v>
      </c>
      <c r="BE315" s="33"/>
      <c r="BF315" s="33"/>
      <c r="BG315" s="39" t="str">
        <f>URL&amp;IF(ISNUMBER(FIND("?",URL)),"&amp;","?"&amp;("adlid="&amp;Unique_ID&amp;"&amp;adplt="&amp;Placement))</f>
        <v>#N/A</v>
      </c>
      <c r="BH315" s="1"/>
      <c r="BI315" s="1"/>
      <c r="BJ315" s="35" t="str">
        <f>LOWER("alp"&amp;"_"&amp;"vw"&amp;"_"&amp;Veiculo&amp;"_"&amp;C311&amp;"_"&amp;Objetivo)</f>
        <v>alp_vw___</v>
      </c>
      <c r="BK315" s="35" t="str">
        <f>LOWER(Buying_Metric&amp;"_"&amp;VLOOKUP(Buying_Type,Buy_type,2,FALSE)&amp;"_"&amp;Device&amp;"_"&amp;Size&amp;"_"&amp;Segmentação&amp;"_"&amp;Segmentação_Anúncio)</f>
        <v>#N/A</v>
      </c>
      <c r="BL315" s="35" t="str">
        <f>LOWER(Campanha_ou_InsertionOrder&amp;"_"&amp;LineItem_ou_Grupodeanúncio&amp;"_"&amp;Linha_criativa_2&amp;"_"&amp;Unique_ID)</f>
        <v>#N/A</v>
      </c>
      <c r="BM315" s="27"/>
      <c r="BN315" s="27"/>
    </row>
    <row r="316">
      <c r="A316" s="1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8" t="str">
        <f>LOWER(Campanha_ou_InsertionOrder&amp;"_"&amp;LineItem_ou_Grupodeanúncio&amp;"_"&amp;Linha_Criativa&amp;"_"&amp;Unique_ID)</f>
        <v>#N/A</v>
      </c>
      <c r="AN316" s="28" t="str">
        <f>LOWER(Campanha_ou_InsertionOrder&amp;"_"&amp;LineItem_ou_Grupodeanúncio&amp;"_"&amp;Linha_Criativa&amp;"_"&amp;Unique_ID)</f>
        <v>#N/A</v>
      </c>
      <c r="AO316" s="28" t="str">
        <f>LOWER("VW"&amp;"_"&amp;Model_Variant&amp;"_"&amp;Size&amp;"_"&amp;Linha_Criativa&amp;"_"&amp;IF(Servido_Por="portal",Veiculo,"adserver"))</f>
        <v>vw____adserver</v>
      </c>
      <c r="AP3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6" s="22" t="str">
        <f t="shared" si="1"/>
        <v/>
      </c>
      <c r="AS316" s="22" t="str">
        <f t="shared" si="2"/>
        <v/>
      </c>
      <c r="AT316" s="22" t="str">
        <f t="shared" si="3"/>
        <v>BR_IMC_DSY_LANCH_ND_NC_2020Q3AUG_NVS_Nivus-Launch-Consideracao</v>
      </c>
      <c r="AU316" s="22" t="str">
        <f t="shared" si="4"/>
        <v>#N/A</v>
      </c>
      <c r="AV316" s="22" t="s">
        <v>106</v>
      </c>
      <c r="AW3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6" s="22" t="str">
        <f t="shared" si="5"/>
        <v>BR_IMC_DSY_LANCH_ND_NC_2020Q3AUG_NVS_Nivus-Launch-Consideracao</v>
      </c>
      <c r="AY316" s="28" t="str">
        <f t="shared" si="6"/>
        <v>#N/A</v>
      </c>
      <c r="AZ316" s="22" t="s">
        <v>107</v>
      </c>
      <c r="BA316" s="22" t="s">
        <v>108</v>
      </c>
      <c r="BB316" s="31" t="s">
        <v>109</v>
      </c>
      <c r="BC316" s="31" t="s">
        <v>109</v>
      </c>
      <c r="BD316" s="32" t="str">
        <f t="shared" si="8"/>
        <v>nvl-nvs-imc-dsy-0820-10310</v>
      </c>
      <c r="BE316" s="33"/>
      <c r="BF316" s="33"/>
      <c r="BG316" s="39" t="str">
        <f>URL&amp;IF(ISNUMBER(FIND("?",URL)),"&amp;","?"&amp;("adlid="&amp;Unique_ID&amp;"&amp;adplt="&amp;Placement))</f>
        <v>#N/A</v>
      </c>
      <c r="BH316" s="1"/>
      <c r="BI316" s="1"/>
      <c r="BJ316" s="35" t="str">
        <f>LOWER("alp"&amp;"_"&amp;"vw"&amp;"_"&amp;Veiculo&amp;"_"&amp;C312&amp;"_"&amp;Objetivo)</f>
        <v>alp_vw___</v>
      </c>
      <c r="BK316" s="35" t="str">
        <f>LOWER(Buying_Metric&amp;"_"&amp;VLOOKUP(Buying_Type,Buy_type,2,FALSE)&amp;"_"&amp;Device&amp;"_"&amp;Size&amp;"_"&amp;Segmentação&amp;"_"&amp;Segmentação_Anúncio)</f>
        <v>#N/A</v>
      </c>
      <c r="BL316" s="35" t="str">
        <f>LOWER(Campanha_ou_InsertionOrder&amp;"_"&amp;LineItem_ou_Grupodeanúncio&amp;"_"&amp;Linha_criativa_2&amp;"_"&amp;Unique_ID)</f>
        <v>#N/A</v>
      </c>
      <c r="BM316" s="27"/>
      <c r="BN316" s="27"/>
    </row>
    <row r="317">
      <c r="A317" s="1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8" t="str">
        <f>LOWER(Campanha_ou_InsertionOrder&amp;"_"&amp;LineItem_ou_Grupodeanúncio&amp;"_"&amp;Linha_Criativa&amp;"_"&amp;Unique_ID)</f>
        <v>#N/A</v>
      </c>
      <c r="AN317" s="28" t="str">
        <f>LOWER(Campanha_ou_InsertionOrder&amp;"_"&amp;LineItem_ou_Grupodeanúncio&amp;"_"&amp;Linha_Criativa&amp;"_"&amp;Unique_ID)</f>
        <v>#N/A</v>
      </c>
      <c r="AO317" s="28" t="str">
        <f>LOWER("VW"&amp;"_"&amp;Model_Variant&amp;"_"&amp;Size&amp;"_"&amp;Linha_Criativa&amp;"_"&amp;IF(Servido_Por="portal",Veiculo,"adserver"))</f>
        <v>vw____adserver</v>
      </c>
      <c r="AP3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7" s="22" t="str">
        <f t="shared" si="1"/>
        <v/>
      </c>
      <c r="AS317" s="22" t="str">
        <f t="shared" si="2"/>
        <v/>
      </c>
      <c r="AT317" s="22" t="str">
        <f t="shared" si="3"/>
        <v>BR_IMC_DSY_LANCH_ND_NC_2020Q3AUG_NVS_Nivus-Launch-Consideracao</v>
      </c>
      <c r="AU317" s="22" t="str">
        <f t="shared" si="4"/>
        <v>#N/A</v>
      </c>
      <c r="AV317" s="22" t="s">
        <v>106</v>
      </c>
      <c r="AW3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7" s="22" t="str">
        <f t="shared" si="5"/>
        <v>BR_IMC_DSY_LANCH_ND_NC_2020Q3AUG_NVS_Nivus-Launch-Consideracao</v>
      </c>
      <c r="AY317" s="28" t="str">
        <f t="shared" si="6"/>
        <v>#N/A</v>
      </c>
      <c r="AZ317" s="22" t="s">
        <v>107</v>
      </c>
      <c r="BA317" s="22" t="s">
        <v>108</v>
      </c>
      <c r="BB317" s="31" t="s">
        <v>109</v>
      </c>
      <c r="BC317" s="31" t="s">
        <v>109</v>
      </c>
      <c r="BD317" s="32" t="str">
        <f t="shared" si="8"/>
        <v>nvl-nvs-imc-dsy-0820-10311</v>
      </c>
      <c r="BE317" s="33"/>
      <c r="BF317" s="33"/>
      <c r="BG317" s="39" t="str">
        <f>URL&amp;IF(ISNUMBER(FIND("?",URL)),"&amp;","?"&amp;("adlid="&amp;Unique_ID&amp;"&amp;adplt="&amp;Placement))</f>
        <v>#N/A</v>
      </c>
      <c r="BH317" s="1"/>
      <c r="BI317" s="1"/>
      <c r="BJ317" s="35" t="str">
        <f>LOWER("alp"&amp;"_"&amp;"vw"&amp;"_"&amp;Veiculo&amp;"_"&amp;C313&amp;"_"&amp;Objetivo)</f>
        <v>alp_vw___</v>
      </c>
      <c r="BK317" s="35" t="str">
        <f>LOWER(Buying_Metric&amp;"_"&amp;VLOOKUP(Buying_Type,Buy_type,2,FALSE)&amp;"_"&amp;Device&amp;"_"&amp;Size&amp;"_"&amp;Segmentação&amp;"_"&amp;Segmentação_Anúncio)</f>
        <v>#N/A</v>
      </c>
      <c r="BL317" s="35" t="str">
        <f>LOWER(Campanha_ou_InsertionOrder&amp;"_"&amp;LineItem_ou_Grupodeanúncio&amp;"_"&amp;Linha_criativa_2&amp;"_"&amp;Unique_ID)</f>
        <v>#N/A</v>
      </c>
      <c r="BM317" s="27"/>
      <c r="BN317" s="27"/>
    </row>
    <row r="318">
      <c r="A318" s="1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8" t="str">
        <f>LOWER(Campanha_ou_InsertionOrder&amp;"_"&amp;LineItem_ou_Grupodeanúncio&amp;"_"&amp;Linha_Criativa&amp;"_"&amp;Unique_ID)</f>
        <v>#N/A</v>
      </c>
      <c r="AN318" s="28" t="str">
        <f>LOWER(Campanha_ou_InsertionOrder&amp;"_"&amp;LineItem_ou_Grupodeanúncio&amp;"_"&amp;Linha_Criativa&amp;"_"&amp;Unique_ID)</f>
        <v>#N/A</v>
      </c>
      <c r="AO318" s="28" t="str">
        <f>LOWER("VW"&amp;"_"&amp;Model_Variant&amp;"_"&amp;Size&amp;"_"&amp;Linha_Criativa&amp;"_"&amp;IF(Servido_Por="portal",Veiculo,"adserver"))</f>
        <v>vw____adserver</v>
      </c>
      <c r="AP3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8" s="22" t="str">
        <f t="shared" si="1"/>
        <v/>
      </c>
      <c r="AS318" s="22" t="str">
        <f t="shared" si="2"/>
        <v/>
      </c>
      <c r="AT318" s="22" t="str">
        <f t="shared" si="3"/>
        <v>BR_IMC_DSY_LANCH_ND_NC_2020Q3AUG_NVS_Nivus-Launch-Consideracao</v>
      </c>
      <c r="AU318" s="22" t="str">
        <f t="shared" si="4"/>
        <v>#N/A</v>
      </c>
      <c r="AV318" s="22" t="s">
        <v>106</v>
      </c>
      <c r="AW3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8" s="22" t="str">
        <f t="shared" si="5"/>
        <v>BR_IMC_DSY_LANCH_ND_NC_2020Q3AUG_NVS_Nivus-Launch-Consideracao</v>
      </c>
      <c r="AY318" s="28" t="str">
        <f t="shared" si="6"/>
        <v>#N/A</v>
      </c>
      <c r="AZ318" s="22" t="s">
        <v>107</v>
      </c>
      <c r="BA318" s="22" t="s">
        <v>108</v>
      </c>
      <c r="BB318" s="31" t="s">
        <v>109</v>
      </c>
      <c r="BC318" s="31" t="s">
        <v>109</v>
      </c>
      <c r="BD318" s="32" t="str">
        <f t="shared" si="8"/>
        <v>nvl-nvs-imc-dsy-0820-10312</v>
      </c>
      <c r="BE318" s="33"/>
      <c r="BF318" s="33"/>
      <c r="BG318" s="39" t="str">
        <f>URL&amp;IF(ISNUMBER(FIND("?",URL)),"&amp;","?"&amp;("adlid="&amp;Unique_ID&amp;"&amp;adplt="&amp;Placement))</f>
        <v>#N/A</v>
      </c>
      <c r="BH318" s="1"/>
      <c r="BI318" s="1"/>
      <c r="BJ318" s="35" t="str">
        <f>LOWER("alp"&amp;"_"&amp;"vw"&amp;"_"&amp;Veiculo&amp;"_"&amp;C314&amp;"_"&amp;Objetivo)</f>
        <v>alp_vw___</v>
      </c>
      <c r="BK318" s="35" t="str">
        <f>LOWER(Buying_Metric&amp;"_"&amp;VLOOKUP(Buying_Type,Buy_type,2,FALSE)&amp;"_"&amp;Device&amp;"_"&amp;Size&amp;"_"&amp;Segmentação&amp;"_"&amp;Segmentação_Anúncio)</f>
        <v>#N/A</v>
      </c>
      <c r="BL318" s="35" t="str">
        <f>LOWER(Campanha_ou_InsertionOrder&amp;"_"&amp;LineItem_ou_Grupodeanúncio&amp;"_"&amp;Linha_criativa_2&amp;"_"&amp;Unique_ID)</f>
        <v>#N/A</v>
      </c>
      <c r="BM318" s="27"/>
      <c r="BN318" s="27"/>
    </row>
    <row r="319">
      <c r="A319" s="1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8" t="str">
        <f>LOWER(Campanha_ou_InsertionOrder&amp;"_"&amp;LineItem_ou_Grupodeanúncio&amp;"_"&amp;Linha_Criativa&amp;"_"&amp;Unique_ID)</f>
        <v>#N/A</v>
      </c>
      <c r="AN319" s="28" t="str">
        <f>LOWER(Campanha_ou_InsertionOrder&amp;"_"&amp;LineItem_ou_Grupodeanúncio&amp;"_"&amp;Linha_Criativa&amp;"_"&amp;Unique_ID)</f>
        <v>#N/A</v>
      </c>
      <c r="AO319" s="28" t="str">
        <f>LOWER("VW"&amp;"_"&amp;Model_Variant&amp;"_"&amp;Size&amp;"_"&amp;Linha_Criativa&amp;"_"&amp;IF(Servido_Por="portal",Veiculo,"adserver"))</f>
        <v>vw____adserver</v>
      </c>
      <c r="AP3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19" s="22" t="str">
        <f t="shared" si="1"/>
        <v/>
      </c>
      <c r="AS319" s="22" t="str">
        <f t="shared" si="2"/>
        <v/>
      </c>
      <c r="AT319" s="22" t="str">
        <f t="shared" si="3"/>
        <v>BR_IMC_DSY_LANCH_ND_NC_2020Q3AUG_NVS_Nivus-Launch-Consideracao</v>
      </c>
      <c r="AU319" s="22" t="str">
        <f t="shared" si="4"/>
        <v>#N/A</v>
      </c>
      <c r="AV319" s="22" t="s">
        <v>106</v>
      </c>
      <c r="AW3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19" s="22" t="str">
        <f t="shared" si="5"/>
        <v>BR_IMC_DSY_LANCH_ND_NC_2020Q3AUG_NVS_Nivus-Launch-Consideracao</v>
      </c>
      <c r="AY319" s="28" t="str">
        <f t="shared" si="6"/>
        <v>#N/A</v>
      </c>
      <c r="AZ319" s="22" t="s">
        <v>107</v>
      </c>
      <c r="BA319" s="22" t="s">
        <v>108</v>
      </c>
      <c r="BB319" s="31" t="s">
        <v>109</v>
      </c>
      <c r="BC319" s="31" t="s">
        <v>109</v>
      </c>
      <c r="BD319" s="32" t="str">
        <f t="shared" si="8"/>
        <v>nvl-nvs-imc-dsy-0820-10313</v>
      </c>
      <c r="BE319" s="33"/>
      <c r="BF319" s="33"/>
      <c r="BG319" s="39" t="str">
        <f>URL&amp;IF(ISNUMBER(FIND("?",URL)),"&amp;","?"&amp;("adlid="&amp;Unique_ID&amp;"&amp;adplt="&amp;Placement))</f>
        <v>#N/A</v>
      </c>
      <c r="BH319" s="1"/>
      <c r="BI319" s="1"/>
      <c r="BJ319" s="35" t="str">
        <f>LOWER("alp"&amp;"_"&amp;"vw"&amp;"_"&amp;Veiculo&amp;"_"&amp;C315&amp;"_"&amp;Objetivo)</f>
        <v>alp_vw___</v>
      </c>
      <c r="BK319" s="35" t="str">
        <f>LOWER(Buying_Metric&amp;"_"&amp;VLOOKUP(Buying_Type,Buy_type,2,FALSE)&amp;"_"&amp;Device&amp;"_"&amp;Size&amp;"_"&amp;Segmentação&amp;"_"&amp;Segmentação_Anúncio)</f>
        <v>#N/A</v>
      </c>
      <c r="BL319" s="35" t="str">
        <f>LOWER(Campanha_ou_InsertionOrder&amp;"_"&amp;LineItem_ou_Grupodeanúncio&amp;"_"&amp;Linha_criativa_2&amp;"_"&amp;Unique_ID)</f>
        <v>#N/A</v>
      </c>
      <c r="BM319" s="27"/>
      <c r="BN319" s="27"/>
    </row>
    <row r="320">
      <c r="A320" s="1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8" t="str">
        <f>LOWER(Campanha_ou_InsertionOrder&amp;"_"&amp;LineItem_ou_Grupodeanúncio&amp;"_"&amp;Linha_Criativa&amp;"_"&amp;Unique_ID)</f>
        <v>#N/A</v>
      </c>
      <c r="AN320" s="28" t="str">
        <f>LOWER(Campanha_ou_InsertionOrder&amp;"_"&amp;LineItem_ou_Grupodeanúncio&amp;"_"&amp;Linha_Criativa&amp;"_"&amp;Unique_ID)</f>
        <v>#N/A</v>
      </c>
      <c r="AO320" s="28" t="str">
        <f>LOWER("VW"&amp;"_"&amp;Model_Variant&amp;"_"&amp;Size&amp;"_"&amp;Linha_Criativa&amp;"_"&amp;IF(Servido_Por="portal",Veiculo,"adserver"))</f>
        <v>vw____adserver</v>
      </c>
      <c r="AP3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0" s="22" t="str">
        <f t="shared" si="1"/>
        <v/>
      </c>
      <c r="AS320" s="22" t="str">
        <f t="shared" si="2"/>
        <v/>
      </c>
      <c r="AT320" s="22" t="str">
        <f t="shared" si="3"/>
        <v>BR_IMC_DSY_LANCH_ND_NC_2020Q3AUG_NVS_Nivus-Launch-Consideracao</v>
      </c>
      <c r="AU320" s="22" t="str">
        <f t="shared" si="4"/>
        <v>#N/A</v>
      </c>
      <c r="AV320" s="22" t="s">
        <v>106</v>
      </c>
      <c r="AW3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0" s="22" t="str">
        <f t="shared" si="5"/>
        <v>BR_IMC_DSY_LANCH_ND_NC_2020Q3AUG_NVS_Nivus-Launch-Consideracao</v>
      </c>
      <c r="AY320" s="28" t="str">
        <f t="shared" si="6"/>
        <v>#N/A</v>
      </c>
      <c r="AZ320" s="22" t="s">
        <v>107</v>
      </c>
      <c r="BA320" s="22" t="s">
        <v>108</v>
      </c>
      <c r="BB320" s="31" t="s">
        <v>109</v>
      </c>
      <c r="BC320" s="31" t="s">
        <v>109</v>
      </c>
      <c r="BD320" s="32" t="str">
        <f t="shared" si="8"/>
        <v>nvl-nvs-imc-dsy-0820-10314</v>
      </c>
      <c r="BE320" s="33"/>
      <c r="BF320" s="33"/>
      <c r="BG320" s="39" t="str">
        <f>URL&amp;IF(ISNUMBER(FIND("?",URL)),"&amp;","?"&amp;("adlid="&amp;Unique_ID&amp;"&amp;adplt="&amp;Placement))</f>
        <v>#N/A</v>
      </c>
      <c r="BH320" s="1"/>
      <c r="BI320" s="1"/>
      <c r="BJ320" s="35" t="str">
        <f>LOWER("alp"&amp;"_"&amp;"vw"&amp;"_"&amp;Veiculo&amp;"_"&amp;C316&amp;"_"&amp;Objetivo)</f>
        <v>alp_vw___</v>
      </c>
      <c r="BK320" s="35" t="str">
        <f>LOWER(Buying_Metric&amp;"_"&amp;VLOOKUP(Buying_Type,Buy_type,2,FALSE)&amp;"_"&amp;Device&amp;"_"&amp;Size&amp;"_"&amp;Segmentação&amp;"_"&amp;Segmentação_Anúncio)</f>
        <v>#N/A</v>
      </c>
      <c r="BL320" s="35" t="str">
        <f>LOWER(Campanha_ou_InsertionOrder&amp;"_"&amp;LineItem_ou_Grupodeanúncio&amp;"_"&amp;Linha_criativa_2&amp;"_"&amp;Unique_ID)</f>
        <v>#N/A</v>
      </c>
      <c r="BM320" s="27"/>
      <c r="BN320" s="27"/>
    </row>
    <row r="321">
      <c r="A321" s="1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8" t="str">
        <f>LOWER(Campanha_ou_InsertionOrder&amp;"_"&amp;LineItem_ou_Grupodeanúncio&amp;"_"&amp;Linha_Criativa&amp;"_"&amp;Unique_ID)</f>
        <v>#N/A</v>
      </c>
      <c r="AN321" s="28" t="str">
        <f>LOWER(Campanha_ou_InsertionOrder&amp;"_"&amp;LineItem_ou_Grupodeanúncio&amp;"_"&amp;Linha_Criativa&amp;"_"&amp;Unique_ID)</f>
        <v>#N/A</v>
      </c>
      <c r="AO321" s="28" t="str">
        <f>LOWER("VW"&amp;"_"&amp;Model_Variant&amp;"_"&amp;Size&amp;"_"&amp;Linha_Criativa&amp;"_"&amp;IF(Servido_Por="portal",Veiculo,"adserver"))</f>
        <v>vw____adserver</v>
      </c>
      <c r="AP3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1" s="22" t="str">
        <f t="shared" si="1"/>
        <v/>
      </c>
      <c r="AS321" s="22" t="str">
        <f t="shared" si="2"/>
        <v/>
      </c>
      <c r="AT321" s="22" t="str">
        <f t="shared" si="3"/>
        <v>BR_IMC_DSY_LANCH_ND_NC_2020Q3AUG_NVS_Nivus-Launch-Consideracao</v>
      </c>
      <c r="AU321" s="22" t="str">
        <f t="shared" si="4"/>
        <v>#N/A</v>
      </c>
      <c r="AV321" s="22" t="s">
        <v>106</v>
      </c>
      <c r="AW3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1" s="22" t="str">
        <f t="shared" si="5"/>
        <v>BR_IMC_DSY_LANCH_ND_NC_2020Q3AUG_NVS_Nivus-Launch-Consideracao</v>
      </c>
      <c r="AY321" s="28" t="str">
        <f t="shared" si="6"/>
        <v>#N/A</v>
      </c>
      <c r="AZ321" s="22" t="s">
        <v>107</v>
      </c>
      <c r="BA321" s="22" t="s">
        <v>108</v>
      </c>
      <c r="BB321" s="31" t="s">
        <v>109</v>
      </c>
      <c r="BC321" s="31" t="s">
        <v>109</v>
      </c>
      <c r="BD321" s="32" t="str">
        <f t="shared" si="8"/>
        <v>nvl-nvs-imc-dsy-0820-10315</v>
      </c>
      <c r="BE321" s="33"/>
      <c r="BF321" s="33"/>
      <c r="BG321" s="39" t="str">
        <f>URL&amp;IF(ISNUMBER(FIND("?",URL)),"&amp;","?"&amp;("adlid="&amp;Unique_ID&amp;"&amp;adplt="&amp;Placement))</f>
        <v>#N/A</v>
      </c>
      <c r="BH321" s="1"/>
      <c r="BI321" s="1"/>
      <c r="BJ321" s="35" t="str">
        <f>LOWER("alp"&amp;"_"&amp;"vw"&amp;"_"&amp;Veiculo&amp;"_"&amp;C317&amp;"_"&amp;Objetivo)</f>
        <v>alp_vw___</v>
      </c>
      <c r="BK321" s="35" t="str">
        <f>LOWER(Buying_Metric&amp;"_"&amp;VLOOKUP(Buying_Type,Buy_type,2,FALSE)&amp;"_"&amp;Device&amp;"_"&amp;Size&amp;"_"&amp;Segmentação&amp;"_"&amp;Segmentação_Anúncio)</f>
        <v>#N/A</v>
      </c>
      <c r="BL321" s="35" t="str">
        <f>LOWER(Campanha_ou_InsertionOrder&amp;"_"&amp;LineItem_ou_Grupodeanúncio&amp;"_"&amp;Linha_criativa_2&amp;"_"&amp;Unique_ID)</f>
        <v>#N/A</v>
      </c>
      <c r="BM321" s="27"/>
      <c r="BN321" s="27"/>
    </row>
    <row r="322">
      <c r="A322" s="1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8" t="str">
        <f>LOWER(Campanha_ou_InsertionOrder&amp;"_"&amp;LineItem_ou_Grupodeanúncio&amp;"_"&amp;Linha_Criativa&amp;"_"&amp;Unique_ID)</f>
        <v>#N/A</v>
      </c>
      <c r="AN322" s="28" t="str">
        <f>LOWER(Campanha_ou_InsertionOrder&amp;"_"&amp;LineItem_ou_Grupodeanúncio&amp;"_"&amp;Linha_Criativa&amp;"_"&amp;Unique_ID)</f>
        <v>#N/A</v>
      </c>
      <c r="AO322" s="28" t="str">
        <f>LOWER("VW"&amp;"_"&amp;Model_Variant&amp;"_"&amp;Size&amp;"_"&amp;Linha_Criativa&amp;"_"&amp;IF(Servido_Por="portal",Veiculo,"adserver"))</f>
        <v>vw____adserver</v>
      </c>
      <c r="AP3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2" s="22" t="str">
        <f t="shared" si="1"/>
        <v/>
      </c>
      <c r="AS322" s="22" t="str">
        <f t="shared" si="2"/>
        <v/>
      </c>
      <c r="AT322" s="22" t="str">
        <f t="shared" si="3"/>
        <v>BR_IMC_DSY_LANCH_ND_NC_2020Q3AUG_NVS_Nivus-Launch-Consideracao</v>
      </c>
      <c r="AU322" s="22" t="str">
        <f t="shared" si="4"/>
        <v>#N/A</v>
      </c>
      <c r="AV322" s="22" t="s">
        <v>106</v>
      </c>
      <c r="AW3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2" s="22" t="str">
        <f t="shared" si="5"/>
        <v>BR_IMC_DSY_LANCH_ND_NC_2020Q3AUG_NVS_Nivus-Launch-Consideracao</v>
      </c>
      <c r="AY322" s="28" t="str">
        <f t="shared" si="6"/>
        <v>#N/A</v>
      </c>
      <c r="AZ322" s="22" t="s">
        <v>107</v>
      </c>
      <c r="BA322" s="22" t="s">
        <v>108</v>
      </c>
      <c r="BB322" s="31" t="s">
        <v>109</v>
      </c>
      <c r="BC322" s="31" t="s">
        <v>109</v>
      </c>
      <c r="BD322" s="32" t="str">
        <f t="shared" si="8"/>
        <v>nvl-nvs-imc-dsy-0820-10316</v>
      </c>
      <c r="BE322" s="33"/>
      <c r="BF322" s="33"/>
      <c r="BG322" s="39" t="str">
        <f>URL&amp;IF(ISNUMBER(FIND("?",URL)),"&amp;","?"&amp;("adlid="&amp;Unique_ID&amp;"&amp;adplt="&amp;Placement))</f>
        <v>#N/A</v>
      </c>
      <c r="BH322" s="1"/>
      <c r="BI322" s="1"/>
      <c r="BJ322" s="35" t="str">
        <f>LOWER("alp"&amp;"_"&amp;"vw"&amp;"_"&amp;Veiculo&amp;"_"&amp;C318&amp;"_"&amp;Objetivo)</f>
        <v>alp_vw___</v>
      </c>
      <c r="BK322" s="35" t="str">
        <f>LOWER(Buying_Metric&amp;"_"&amp;VLOOKUP(Buying_Type,Buy_type,2,FALSE)&amp;"_"&amp;Device&amp;"_"&amp;Size&amp;"_"&amp;Segmentação&amp;"_"&amp;Segmentação_Anúncio)</f>
        <v>#N/A</v>
      </c>
      <c r="BL322" s="35" t="str">
        <f>LOWER(Campanha_ou_InsertionOrder&amp;"_"&amp;LineItem_ou_Grupodeanúncio&amp;"_"&amp;Linha_criativa_2&amp;"_"&amp;Unique_ID)</f>
        <v>#N/A</v>
      </c>
      <c r="BM322" s="27"/>
      <c r="BN322" s="27"/>
    </row>
    <row r="323">
      <c r="A323" s="1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8" t="str">
        <f>LOWER(Campanha_ou_InsertionOrder&amp;"_"&amp;LineItem_ou_Grupodeanúncio&amp;"_"&amp;Linha_Criativa&amp;"_"&amp;Unique_ID)</f>
        <v>#N/A</v>
      </c>
      <c r="AN323" s="28" t="str">
        <f>LOWER(Campanha_ou_InsertionOrder&amp;"_"&amp;LineItem_ou_Grupodeanúncio&amp;"_"&amp;Linha_Criativa&amp;"_"&amp;Unique_ID)</f>
        <v>#N/A</v>
      </c>
      <c r="AO323" s="28" t="str">
        <f>LOWER("VW"&amp;"_"&amp;Model_Variant&amp;"_"&amp;Size&amp;"_"&amp;Linha_Criativa&amp;"_"&amp;IF(Servido_Por="portal",Veiculo,"adserver"))</f>
        <v>vw____adserver</v>
      </c>
      <c r="AP3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3" s="22" t="str">
        <f t="shared" si="1"/>
        <v/>
      </c>
      <c r="AS323" s="22" t="str">
        <f t="shared" si="2"/>
        <v/>
      </c>
      <c r="AT323" s="22" t="str">
        <f t="shared" si="3"/>
        <v>BR_IMC_DSY_LANCH_ND_NC_2020Q3AUG_NVS_Nivus-Launch-Consideracao</v>
      </c>
      <c r="AU323" s="22" t="str">
        <f t="shared" si="4"/>
        <v>#N/A</v>
      </c>
      <c r="AV323" s="22" t="s">
        <v>106</v>
      </c>
      <c r="AW3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3" s="22" t="str">
        <f t="shared" si="5"/>
        <v>BR_IMC_DSY_LANCH_ND_NC_2020Q3AUG_NVS_Nivus-Launch-Consideracao</v>
      </c>
      <c r="AY323" s="28" t="str">
        <f t="shared" si="6"/>
        <v>#N/A</v>
      </c>
      <c r="AZ323" s="22" t="s">
        <v>107</v>
      </c>
      <c r="BA323" s="22" t="s">
        <v>108</v>
      </c>
      <c r="BB323" s="31" t="s">
        <v>109</v>
      </c>
      <c r="BC323" s="31" t="s">
        <v>109</v>
      </c>
      <c r="BD323" s="32" t="str">
        <f t="shared" si="8"/>
        <v>nvl-nvs-imc-dsy-0820-10317</v>
      </c>
      <c r="BE323" s="33"/>
      <c r="BF323" s="33"/>
      <c r="BG323" s="39" t="str">
        <f>URL&amp;IF(ISNUMBER(FIND("?",URL)),"&amp;","?"&amp;("adlid="&amp;Unique_ID&amp;"&amp;adplt="&amp;Placement))</f>
        <v>#N/A</v>
      </c>
      <c r="BH323" s="1"/>
      <c r="BI323" s="1"/>
      <c r="BJ323" s="35" t="str">
        <f>LOWER("alp"&amp;"_"&amp;"vw"&amp;"_"&amp;Veiculo&amp;"_"&amp;C319&amp;"_"&amp;Objetivo)</f>
        <v>alp_vw___</v>
      </c>
      <c r="BK323" s="35" t="str">
        <f>LOWER(Buying_Metric&amp;"_"&amp;VLOOKUP(Buying_Type,Buy_type,2,FALSE)&amp;"_"&amp;Device&amp;"_"&amp;Size&amp;"_"&amp;Segmentação&amp;"_"&amp;Segmentação_Anúncio)</f>
        <v>#N/A</v>
      </c>
      <c r="BL323" s="35" t="str">
        <f>LOWER(Campanha_ou_InsertionOrder&amp;"_"&amp;LineItem_ou_Grupodeanúncio&amp;"_"&amp;Linha_criativa_2&amp;"_"&amp;Unique_ID)</f>
        <v>#N/A</v>
      </c>
      <c r="BM323" s="27"/>
      <c r="BN323" s="27"/>
    </row>
    <row r="324">
      <c r="A324" s="1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8" t="str">
        <f>LOWER(Campanha_ou_InsertionOrder&amp;"_"&amp;LineItem_ou_Grupodeanúncio&amp;"_"&amp;Linha_Criativa&amp;"_"&amp;Unique_ID)</f>
        <v>#N/A</v>
      </c>
      <c r="AN324" s="28" t="str">
        <f>LOWER(Campanha_ou_InsertionOrder&amp;"_"&amp;LineItem_ou_Grupodeanúncio&amp;"_"&amp;Linha_Criativa&amp;"_"&amp;Unique_ID)</f>
        <v>#N/A</v>
      </c>
      <c r="AO324" s="28" t="str">
        <f>LOWER("VW"&amp;"_"&amp;Model_Variant&amp;"_"&amp;Size&amp;"_"&amp;Linha_Criativa&amp;"_"&amp;IF(Servido_Por="portal",Veiculo,"adserver"))</f>
        <v>vw____adserver</v>
      </c>
      <c r="AP3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4" s="22" t="str">
        <f t="shared" si="1"/>
        <v/>
      </c>
      <c r="AS324" s="22" t="str">
        <f t="shared" si="2"/>
        <v/>
      </c>
      <c r="AT324" s="22" t="str">
        <f t="shared" si="3"/>
        <v>BR_IMC_DSY_LANCH_ND_NC_2020Q3AUG_NVS_Nivus-Launch-Consideracao</v>
      </c>
      <c r="AU324" s="22" t="str">
        <f t="shared" si="4"/>
        <v>#N/A</v>
      </c>
      <c r="AV324" s="22" t="s">
        <v>106</v>
      </c>
      <c r="AW3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4" s="22" t="str">
        <f t="shared" si="5"/>
        <v>BR_IMC_DSY_LANCH_ND_NC_2020Q3AUG_NVS_Nivus-Launch-Consideracao</v>
      </c>
      <c r="AY324" s="28" t="str">
        <f t="shared" si="6"/>
        <v>#N/A</v>
      </c>
      <c r="AZ324" s="22" t="s">
        <v>107</v>
      </c>
      <c r="BA324" s="22" t="s">
        <v>108</v>
      </c>
      <c r="BB324" s="31" t="s">
        <v>109</v>
      </c>
      <c r="BC324" s="31" t="s">
        <v>109</v>
      </c>
      <c r="BD324" s="32" t="str">
        <f t="shared" si="8"/>
        <v>nvl-nvs-imc-dsy-0820-10318</v>
      </c>
      <c r="BE324" s="33"/>
      <c r="BF324" s="33"/>
      <c r="BG324" s="39" t="str">
        <f>URL&amp;IF(ISNUMBER(FIND("?",URL)),"&amp;","?"&amp;("adlid="&amp;Unique_ID&amp;"&amp;adplt="&amp;Placement))</f>
        <v>#N/A</v>
      </c>
      <c r="BH324" s="1"/>
      <c r="BI324" s="1"/>
      <c r="BJ324" s="35" t="str">
        <f>LOWER("alp"&amp;"_"&amp;"vw"&amp;"_"&amp;Veiculo&amp;"_"&amp;C320&amp;"_"&amp;Objetivo)</f>
        <v>alp_vw___</v>
      </c>
      <c r="BK324" s="35" t="str">
        <f>LOWER(Buying_Metric&amp;"_"&amp;VLOOKUP(Buying_Type,Buy_type,2,FALSE)&amp;"_"&amp;Device&amp;"_"&amp;Size&amp;"_"&amp;Segmentação&amp;"_"&amp;Segmentação_Anúncio)</f>
        <v>#N/A</v>
      </c>
      <c r="BL324" s="35" t="str">
        <f>LOWER(Campanha_ou_InsertionOrder&amp;"_"&amp;LineItem_ou_Grupodeanúncio&amp;"_"&amp;Linha_criativa_2&amp;"_"&amp;Unique_ID)</f>
        <v>#N/A</v>
      </c>
      <c r="BM324" s="27"/>
      <c r="BN324" s="27"/>
    </row>
    <row r="325">
      <c r="A325" s="1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8" t="str">
        <f>LOWER(Campanha_ou_InsertionOrder&amp;"_"&amp;LineItem_ou_Grupodeanúncio&amp;"_"&amp;Linha_Criativa&amp;"_"&amp;Unique_ID)</f>
        <v>#N/A</v>
      </c>
      <c r="AN325" s="28" t="str">
        <f>LOWER(Campanha_ou_InsertionOrder&amp;"_"&amp;LineItem_ou_Grupodeanúncio&amp;"_"&amp;Linha_Criativa&amp;"_"&amp;Unique_ID)</f>
        <v>#N/A</v>
      </c>
      <c r="AO325" s="28" t="str">
        <f>LOWER("VW"&amp;"_"&amp;Model_Variant&amp;"_"&amp;Size&amp;"_"&amp;Linha_Criativa&amp;"_"&amp;IF(Servido_Por="portal",Veiculo,"adserver"))</f>
        <v>vw____adserver</v>
      </c>
      <c r="AP3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5" s="22" t="str">
        <f t="shared" si="1"/>
        <v/>
      </c>
      <c r="AS325" s="22" t="str">
        <f t="shared" si="2"/>
        <v/>
      </c>
      <c r="AT325" s="22" t="str">
        <f t="shared" si="3"/>
        <v>BR_IMC_DSY_LANCH_ND_NC_2020Q3AUG_NVS_Nivus-Launch-Consideracao</v>
      </c>
      <c r="AU325" s="22" t="str">
        <f t="shared" si="4"/>
        <v>#N/A</v>
      </c>
      <c r="AV325" s="22" t="s">
        <v>106</v>
      </c>
      <c r="AW3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5" s="22" t="str">
        <f t="shared" si="5"/>
        <v>BR_IMC_DSY_LANCH_ND_NC_2020Q3AUG_NVS_Nivus-Launch-Consideracao</v>
      </c>
      <c r="AY325" s="28" t="str">
        <f t="shared" si="6"/>
        <v>#N/A</v>
      </c>
      <c r="AZ325" s="22" t="s">
        <v>107</v>
      </c>
      <c r="BA325" s="22" t="s">
        <v>108</v>
      </c>
      <c r="BB325" s="31" t="s">
        <v>109</v>
      </c>
      <c r="BC325" s="31" t="s">
        <v>109</v>
      </c>
      <c r="BD325" s="32" t="str">
        <f t="shared" si="8"/>
        <v>nvl-nvs-imc-dsy-0820-10319</v>
      </c>
      <c r="BE325" s="33"/>
      <c r="BF325" s="33"/>
      <c r="BG325" s="39" t="str">
        <f>URL&amp;IF(ISNUMBER(FIND("?",URL)),"&amp;","?"&amp;("adlid="&amp;Unique_ID&amp;"&amp;adplt="&amp;Placement))</f>
        <v>#N/A</v>
      </c>
      <c r="BH325" s="1"/>
      <c r="BI325" s="1"/>
      <c r="BJ325" s="35" t="str">
        <f>LOWER("alp"&amp;"_"&amp;"vw"&amp;"_"&amp;Veiculo&amp;"_"&amp;C321&amp;"_"&amp;Objetivo)</f>
        <v>alp_vw___</v>
      </c>
      <c r="BK325" s="35" t="str">
        <f>LOWER(Buying_Metric&amp;"_"&amp;VLOOKUP(Buying_Type,Buy_type,2,FALSE)&amp;"_"&amp;Device&amp;"_"&amp;Size&amp;"_"&amp;Segmentação&amp;"_"&amp;Segmentação_Anúncio)</f>
        <v>#N/A</v>
      </c>
      <c r="BL325" s="35" t="str">
        <f>LOWER(Campanha_ou_InsertionOrder&amp;"_"&amp;LineItem_ou_Grupodeanúncio&amp;"_"&amp;Linha_criativa_2&amp;"_"&amp;Unique_ID)</f>
        <v>#N/A</v>
      </c>
      <c r="BM325" s="27"/>
      <c r="BN325" s="27"/>
    </row>
    <row r="326">
      <c r="A326" s="1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8" t="str">
        <f>LOWER(Campanha_ou_InsertionOrder&amp;"_"&amp;LineItem_ou_Grupodeanúncio&amp;"_"&amp;Linha_Criativa&amp;"_"&amp;Unique_ID)</f>
        <v>#N/A</v>
      </c>
      <c r="AN326" s="28" t="str">
        <f>LOWER(Campanha_ou_InsertionOrder&amp;"_"&amp;LineItem_ou_Grupodeanúncio&amp;"_"&amp;Linha_Criativa&amp;"_"&amp;Unique_ID)</f>
        <v>#N/A</v>
      </c>
      <c r="AO326" s="28" t="str">
        <f>LOWER("VW"&amp;"_"&amp;Model_Variant&amp;"_"&amp;Size&amp;"_"&amp;Linha_Criativa&amp;"_"&amp;IF(Servido_Por="portal",Veiculo,"adserver"))</f>
        <v>vw____adserver</v>
      </c>
      <c r="AP3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6" s="22" t="str">
        <f t="shared" si="1"/>
        <v/>
      </c>
      <c r="AS326" s="22" t="str">
        <f t="shared" si="2"/>
        <v/>
      </c>
      <c r="AT326" s="22" t="str">
        <f t="shared" si="3"/>
        <v>BR_IMC_DSY_LANCH_ND_NC_2020Q3AUG_NVS_Nivus-Launch-Consideracao</v>
      </c>
      <c r="AU326" s="22" t="str">
        <f t="shared" si="4"/>
        <v>#N/A</v>
      </c>
      <c r="AV326" s="22" t="s">
        <v>106</v>
      </c>
      <c r="AW3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6" s="22" t="str">
        <f t="shared" si="5"/>
        <v>BR_IMC_DSY_LANCH_ND_NC_2020Q3AUG_NVS_Nivus-Launch-Consideracao</v>
      </c>
      <c r="AY326" s="28" t="str">
        <f t="shared" si="6"/>
        <v>#N/A</v>
      </c>
      <c r="AZ326" s="22" t="s">
        <v>107</v>
      </c>
      <c r="BA326" s="22" t="s">
        <v>108</v>
      </c>
      <c r="BB326" s="31" t="s">
        <v>109</v>
      </c>
      <c r="BC326" s="31" t="s">
        <v>109</v>
      </c>
      <c r="BD326" s="32" t="str">
        <f t="shared" si="8"/>
        <v>nvl-nvs-imc-dsy-0820-10320</v>
      </c>
      <c r="BE326" s="33"/>
      <c r="BF326" s="33"/>
      <c r="BG326" s="39" t="str">
        <f>URL&amp;IF(ISNUMBER(FIND("?",URL)),"&amp;","?"&amp;("adlid="&amp;Unique_ID&amp;"&amp;adplt="&amp;Placement))</f>
        <v>#N/A</v>
      </c>
      <c r="BH326" s="1"/>
      <c r="BI326" s="1"/>
      <c r="BJ326" s="35" t="str">
        <f>LOWER("alp"&amp;"_"&amp;"vw"&amp;"_"&amp;Veiculo&amp;"_"&amp;C322&amp;"_"&amp;Objetivo)</f>
        <v>alp_vw___</v>
      </c>
      <c r="BK326" s="35" t="str">
        <f>LOWER(Buying_Metric&amp;"_"&amp;VLOOKUP(Buying_Type,Buy_type,2,FALSE)&amp;"_"&amp;Device&amp;"_"&amp;Size&amp;"_"&amp;Segmentação&amp;"_"&amp;Segmentação_Anúncio)</f>
        <v>#N/A</v>
      </c>
      <c r="BL326" s="35" t="str">
        <f>LOWER(Campanha_ou_InsertionOrder&amp;"_"&amp;LineItem_ou_Grupodeanúncio&amp;"_"&amp;Linha_criativa_2&amp;"_"&amp;Unique_ID)</f>
        <v>#N/A</v>
      </c>
      <c r="BM326" s="27"/>
      <c r="BN326" s="27"/>
    </row>
    <row r="327">
      <c r="A327" s="1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8" t="str">
        <f>LOWER(Campanha_ou_InsertionOrder&amp;"_"&amp;LineItem_ou_Grupodeanúncio&amp;"_"&amp;Linha_Criativa&amp;"_"&amp;Unique_ID)</f>
        <v>#N/A</v>
      </c>
      <c r="AN327" s="28" t="str">
        <f>LOWER(Campanha_ou_InsertionOrder&amp;"_"&amp;LineItem_ou_Grupodeanúncio&amp;"_"&amp;Linha_Criativa&amp;"_"&amp;Unique_ID)</f>
        <v>#N/A</v>
      </c>
      <c r="AO327" s="28" t="str">
        <f>LOWER("VW"&amp;"_"&amp;Model_Variant&amp;"_"&amp;Size&amp;"_"&amp;Linha_Criativa&amp;"_"&amp;IF(Servido_Por="portal",Veiculo,"adserver"))</f>
        <v>vw____adserver</v>
      </c>
      <c r="AP3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7" s="22" t="str">
        <f t="shared" si="1"/>
        <v/>
      </c>
      <c r="AS327" s="22" t="str">
        <f t="shared" si="2"/>
        <v/>
      </c>
      <c r="AT327" s="22" t="str">
        <f t="shared" si="3"/>
        <v>BR_IMC_DSY_LANCH_ND_NC_2020Q3AUG_NVS_Nivus-Launch-Consideracao</v>
      </c>
      <c r="AU327" s="22" t="str">
        <f t="shared" si="4"/>
        <v>#N/A</v>
      </c>
      <c r="AV327" s="22" t="s">
        <v>106</v>
      </c>
      <c r="AW3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7" s="22" t="str">
        <f t="shared" si="5"/>
        <v>BR_IMC_DSY_LANCH_ND_NC_2020Q3AUG_NVS_Nivus-Launch-Consideracao</v>
      </c>
      <c r="AY327" s="28" t="str">
        <f t="shared" si="6"/>
        <v>#N/A</v>
      </c>
      <c r="AZ327" s="22" t="s">
        <v>107</v>
      </c>
      <c r="BA327" s="22" t="s">
        <v>108</v>
      </c>
      <c r="BB327" s="31" t="s">
        <v>109</v>
      </c>
      <c r="BC327" s="31" t="s">
        <v>109</v>
      </c>
      <c r="BD327" s="32" t="str">
        <f t="shared" si="8"/>
        <v>nvl-nvs-imc-dsy-0820-10321</v>
      </c>
      <c r="BE327" s="33"/>
      <c r="BF327" s="33"/>
      <c r="BG327" s="39" t="str">
        <f>URL&amp;IF(ISNUMBER(FIND("?",URL)),"&amp;","?"&amp;("adlid="&amp;Unique_ID&amp;"&amp;adplt="&amp;Placement))</f>
        <v>#N/A</v>
      </c>
      <c r="BH327" s="1"/>
      <c r="BI327" s="1"/>
      <c r="BJ327" s="35" t="str">
        <f>LOWER("alp"&amp;"_"&amp;"vw"&amp;"_"&amp;Veiculo&amp;"_"&amp;C323&amp;"_"&amp;Objetivo)</f>
        <v>alp_vw___</v>
      </c>
      <c r="BK327" s="35" t="str">
        <f>LOWER(Buying_Metric&amp;"_"&amp;VLOOKUP(Buying_Type,Buy_type,2,FALSE)&amp;"_"&amp;Device&amp;"_"&amp;Size&amp;"_"&amp;Segmentação&amp;"_"&amp;Segmentação_Anúncio)</f>
        <v>#N/A</v>
      </c>
      <c r="BL327" s="35" t="str">
        <f>LOWER(Campanha_ou_InsertionOrder&amp;"_"&amp;LineItem_ou_Grupodeanúncio&amp;"_"&amp;Linha_criativa_2&amp;"_"&amp;Unique_ID)</f>
        <v>#N/A</v>
      </c>
      <c r="BM327" s="27"/>
      <c r="BN327" s="27"/>
    </row>
    <row r="328">
      <c r="A328" s="1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8" t="str">
        <f>LOWER(Campanha_ou_InsertionOrder&amp;"_"&amp;LineItem_ou_Grupodeanúncio&amp;"_"&amp;Linha_Criativa&amp;"_"&amp;Unique_ID)</f>
        <v>#N/A</v>
      </c>
      <c r="AN328" s="28" t="str">
        <f>LOWER(Campanha_ou_InsertionOrder&amp;"_"&amp;LineItem_ou_Grupodeanúncio&amp;"_"&amp;Linha_Criativa&amp;"_"&amp;Unique_ID)</f>
        <v>#N/A</v>
      </c>
      <c r="AO328" s="28" t="str">
        <f>LOWER("VW"&amp;"_"&amp;Model_Variant&amp;"_"&amp;Size&amp;"_"&amp;Linha_Criativa&amp;"_"&amp;IF(Servido_Por="portal",Veiculo,"adserver"))</f>
        <v>vw____adserver</v>
      </c>
      <c r="AP3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8" s="22" t="str">
        <f t="shared" si="1"/>
        <v/>
      </c>
      <c r="AS328" s="22" t="str">
        <f t="shared" si="2"/>
        <v/>
      </c>
      <c r="AT328" s="22" t="str">
        <f t="shared" si="3"/>
        <v>BR_IMC_DSY_LANCH_ND_NC_2020Q3AUG_NVS_Nivus-Launch-Consideracao</v>
      </c>
      <c r="AU328" s="22" t="str">
        <f t="shared" si="4"/>
        <v>#N/A</v>
      </c>
      <c r="AV328" s="22" t="s">
        <v>106</v>
      </c>
      <c r="AW3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8" s="22" t="str">
        <f t="shared" si="5"/>
        <v>BR_IMC_DSY_LANCH_ND_NC_2020Q3AUG_NVS_Nivus-Launch-Consideracao</v>
      </c>
      <c r="AY328" s="28" t="str">
        <f t="shared" si="6"/>
        <v>#N/A</v>
      </c>
      <c r="AZ328" s="22" t="s">
        <v>107</v>
      </c>
      <c r="BA328" s="22" t="s">
        <v>108</v>
      </c>
      <c r="BB328" s="31" t="s">
        <v>109</v>
      </c>
      <c r="BC328" s="31" t="s">
        <v>109</v>
      </c>
      <c r="BD328" s="32" t="str">
        <f t="shared" si="8"/>
        <v>nvl-nvs-imc-dsy-0820-10322</v>
      </c>
      <c r="BE328" s="33"/>
      <c r="BF328" s="33"/>
      <c r="BG328" s="39" t="str">
        <f>URL&amp;IF(ISNUMBER(FIND("?",URL)),"&amp;","?"&amp;("adlid="&amp;Unique_ID&amp;"&amp;adplt="&amp;Placement))</f>
        <v>#N/A</v>
      </c>
      <c r="BH328" s="1"/>
      <c r="BI328" s="1"/>
      <c r="BJ328" s="35" t="str">
        <f>LOWER("alp"&amp;"_"&amp;"vw"&amp;"_"&amp;Veiculo&amp;"_"&amp;C324&amp;"_"&amp;Objetivo)</f>
        <v>alp_vw___</v>
      </c>
      <c r="BK328" s="35" t="str">
        <f>LOWER(Buying_Metric&amp;"_"&amp;VLOOKUP(Buying_Type,Buy_type,2,FALSE)&amp;"_"&amp;Device&amp;"_"&amp;Size&amp;"_"&amp;Segmentação&amp;"_"&amp;Segmentação_Anúncio)</f>
        <v>#N/A</v>
      </c>
      <c r="BL328" s="35" t="str">
        <f>LOWER(Campanha_ou_InsertionOrder&amp;"_"&amp;LineItem_ou_Grupodeanúncio&amp;"_"&amp;Linha_criativa_2&amp;"_"&amp;Unique_ID)</f>
        <v>#N/A</v>
      </c>
      <c r="BM328" s="27"/>
      <c r="BN328" s="27"/>
    </row>
    <row r="329">
      <c r="A329" s="1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8" t="str">
        <f>LOWER(Campanha_ou_InsertionOrder&amp;"_"&amp;LineItem_ou_Grupodeanúncio&amp;"_"&amp;Linha_Criativa&amp;"_"&amp;Unique_ID)</f>
        <v>#N/A</v>
      </c>
      <c r="AN329" s="28" t="str">
        <f>LOWER(Campanha_ou_InsertionOrder&amp;"_"&amp;LineItem_ou_Grupodeanúncio&amp;"_"&amp;Linha_Criativa&amp;"_"&amp;Unique_ID)</f>
        <v>#N/A</v>
      </c>
      <c r="AO329" s="28" t="str">
        <f>LOWER("VW"&amp;"_"&amp;Model_Variant&amp;"_"&amp;Size&amp;"_"&amp;Linha_Criativa&amp;"_"&amp;IF(Servido_Por="portal",Veiculo,"adserver"))</f>
        <v>vw____adserver</v>
      </c>
      <c r="AP3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29" s="22" t="str">
        <f t="shared" si="1"/>
        <v/>
      </c>
      <c r="AS329" s="22" t="str">
        <f t="shared" si="2"/>
        <v/>
      </c>
      <c r="AT329" s="22" t="str">
        <f t="shared" si="3"/>
        <v>BR_IMC_DSY_LANCH_ND_NC_2020Q3AUG_NVS_Nivus-Launch-Consideracao</v>
      </c>
      <c r="AU329" s="22" t="str">
        <f t="shared" si="4"/>
        <v>#N/A</v>
      </c>
      <c r="AV329" s="22" t="s">
        <v>106</v>
      </c>
      <c r="AW3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29" s="22" t="str">
        <f t="shared" si="5"/>
        <v>BR_IMC_DSY_LANCH_ND_NC_2020Q3AUG_NVS_Nivus-Launch-Consideracao</v>
      </c>
      <c r="AY329" s="28" t="str">
        <f t="shared" si="6"/>
        <v>#N/A</v>
      </c>
      <c r="AZ329" s="22" t="s">
        <v>107</v>
      </c>
      <c r="BA329" s="22" t="s">
        <v>108</v>
      </c>
      <c r="BB329" s="31" t="s">
        <v>109</v>
      </c>
      <c r="BC329" s="31" t="s">
        <v>109</v>
      </c>
      <c r="BD329" s="32" t="str">
        <f t="shared" si="8"/>
        <v>nvl-nvs-imc-dsy-0820-10323</v>
      </c>
      <c r="BE329" s="33"/>
      <c r="BF329" s="33"/>
      <c r="BG329" s="39" t="str">
        <f>URL&amp;IF(ISNUMBER(FIND("?",URL)),"&amp;","?"&amp;("adlid="&amp;Unique_ID&amp;"&amp;adplt="&amp;Placement))</f>
        <v>#N/A</v>
      </c>
      <c r="BH329" s="1"/>
      <c r="BI329" s="1"/>
      <c r="BJ329" s="35" t="str">
        <f>LOWER("alp"&amp;"_"&amp;"vw"&amp;"_"&amp;Veiculo&amp;"_"&amp;C325&amp;"_"&amp;Objetivo)</f>
        <v>alp_vw___</v>
      </c>
      <c r="BK329" s="35" t="str">
        <f>LOWER(Buying_Metric&amp;"_"&amp;VLOOKUP(Buying_Type,Buy_type,2,FALSE)&amp;"_"&amp;Device&amp;"_"&amp;Size&amp;"_"&amp;Segmentação&amp;"_"&amp;Segmentação_Anúncio)</f>
        <v>#N/A</v>
      </c>
      <c r="BL329" s="35" t="str">
        <f>LOWER(Campanha_ou_InsertionOrder&amp;"_"&amp;LineItem_ou_Grupodeanúncio&amp;"_"&amp;Linha_criativa_2&amp;"_"&amp;Unique_ID)</f>
        <v>#N/A</v>
      </c>
      <c r="BM329" s="27"/>
      <c r="BN329" s="27"/>
    </row>
    <row r="330">
      <c r="A330" s="1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tr">
        <f>LOWER(Campanha_ou_InsertionOrder&amp;"_"&amp;LineItem_ou_Grupodeanúncio&amp;"_"&amp;Linha_Criativa&amp;"_"&amp;Unique_ID)</f>
        <v>#N/A</v>
      </c>
      <c r="AN330" s="28" t="str">
        <f>LOWER(Campanha_ou_InsertionOrder&amp;"_"&amp;LineItem_ou_Grupodeanúncio&amp;"_"&amp;Linha_Criativa&amp;"_"&amp;Unique_ID)</f>
        <v>#N/A</v>
      </c>
      <c r="AO330" s="28" t="str">
        <f>LOWER("VW"&amp;"_"&amp;Model_Variant&amp;"_"&amp;Size&amp;"_"&amp;Linha_Criativa&amp;"_"&amp;IF(Servido_Por="portal",Veiculo,"adserver"))</f>
        <v>vw____adserver</v>
      </c>
      <c r="AP3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0" s="22" t="str">
        <f t="shared" si="1"/>
        <v/>
      </c>
      <c r="AS330" s="22" t="str">
        <f t="shared" si="2"/>
        <v/>
      </c>
      <c r="AT330" s="22" t="str">
        <f t="shared" si="3"/>
        <v>BR_IMC_DSY_LANCH_ND_NC_2020Q3AUG_NVS_Nivus-Launch-Consideracao</v>
      </c>
      <c r="AU330" s="22" t="str">
        <f t="shared" si="4"/>
        <v>#N/A</v>
      </c>
      <c r="AV330" s="22" t="s">
        <v>106</v>
      </c>
      <c r="AW3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0" s="22" t="str">
        <f t="shared" si="5"/>
        <v>BR_IMC_DSY_LANCH_ND_NC_2020Q3AUG_NVS_Nivus-Launch-Consideracao</v>
      </c>
      <c r="AY330" s="28" t="str">
        <f t="shared" si="6"/>
        <v>#N/A</v>
      </c>
      <c r="AZ330" s="22" t="s">
        <v>107</v>
      </c>
      <c r="BA330" s="22" t="s">
        <v>108</v>
      </c>
      <c r="BB330" s="31" t="s">
        <v>109</v>
      </c>
      <c r="BC330" s="31" t="s">
        <v>109</v>
      </c>
      <c r="BD330" s="32" t="str">
        <f t="shared" si="8"/>
        <v>nvl-nvs-imc-dsy-0820-10324</v>
      </c>
      <c r="BE330" s="33"/>
      <c r="BF330" s="33"/>
      <c r="BG330" s="39" t="str">
        <f>URL&amp;IF(ISNUMBER(FIND("?",URL)),"&amp;","?"&amp;("adlid="&amp;Unique_ID&amp;"&amp;adplt="&amp;Placement))</f>
        <v>#N/A</v>
      </c>
      <c r="BH330" s="1"/>
      <c r="BI330" s="1"/>
      <c r="BJ330" s="35" t="str">
        <f>LOWER("alp"&amp;"_"&amp;"vw"&amp;"_"&amp;Veiculo&amp;"_"&amp;C326&amp;"_"&amp;Objetivo)</f>
        <v>alp_vw___</v>
      </c>
      <c r="BK330" s="35" t="str">
        <f>LOWER(Buying_Metric&amp;"_"&amp;VLOOKUP(Buying_Type,Buy_type,2,FALSE)&amp;"_"&amp;Device&amp;"_"&amp;Size&amp;"_"&amp;Segmentação&amp;"_"&amp;Segmentação_Anúncio)</f>
        <v>#N/A</v>
      </c>
      <c r="BL330" s="35" t="str">
        <f>LOWER(Campanha_ou_InsertionOrder&amp;"_"&amp;LineItem_ou_Grupodeanúncio&amp;"_"&amp;Linha_criativa_2&amp;"_"&amp;Unique_ID)</f>
        <v>#N/A</v>
      </c>
      <c r="BM330" s="27"/>
      <c r="BN330" s="27"/>
    </row>
    <row r="331">
      <c r="A331" s="1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8" t="str">
        <f>LOWER(Campanha_ou_InsertionOrder&amp;"_"&amp;LineItem_ou_Grupodeanúncio&amp;"_"&amp;Linha_Criativa&amp;"_"&amp;Unique_ID)</f>
        <v>#N/A</v>
      </c>
      <c r="AN331" s="28" t="str">
        <f>LOWER(Campanha_ou_InsertionOrder&amp;"_"&amp;LineItem_ou_Grupodeanúncio&amp;"_"&amp;Linha_Criativa&amp;"_"&amp;Unique_ID)</f>
        <v>#N/A</v>
      </c>
      <c r="AO331" s="28" t="str">
        <f>LOWER("VW"&amp;"_"&amp;Model_Variant&amp;"_"&amp;Size&amp;"_"&amp;Linha_Criativa&amp;"_"&amp;IF(Servido_Por="portal",Veiculo,"adserver"))</f>
        <v>vw____adserver</v>
      </c>
      <c r="AP3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1" s="22" t="str">
        <f t="shared" si="1"/>
        <v/>
      </c>
      <c r="AS331" s="22" t="str">
        <f t="shared" si="2"/>
        <v/>
      </c>
      <c r="AT331" s="22" t="str">
        <f t="shared" si="3"/>
        <v>BR_IMC_DSY_LANCH_ND_NC_2020Q3AUG_NVS_Nivus-Launch-Consideracao</v>
      </c>
      <c r="AU331" s="22" t="str">
        <f t="shared" si="4"/>
        <v>#N/A</v>
      </c>
      <c r="AV331" s="22" t="s">
        <v>106</v>
      </c>
      <c r="AW3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1" s="22" t="str">
        <f t="shared" si="5"/>
        <v>BR_IMC_DSY_LANCH_ND_NC_2020Q3AUG_NVS_Nivus-Launch-Consideracao</v>
      </c>
      <c r="AY331" s="28" t="str">
        <f t="shared" si="6"/>
        <v>#N/A</v>
      </c>
      <c r="AZ331" s="22" t="s">
        <v>107</v>
      </c>
      <c r="BA331" s="22" t="s">
        <v>108</v>
      </c>
      <c r="BB331" s="31" t="s">
        <v>109</v>
      </c>
      <c r="BC331" s="31" t="s">
        <v>109</v>
      </c>
      <c r="BD331" s="32" t="str">
        <f t="shared" si="8"/>
        <v>nvl-nvs-imc-dsy-0820-10325</v>
      </c>
      <c r="BE331" s="33"/>
      <c r="BF331" s="33"/>
      <c r="BG331" s="39" t="str">
        <f>URL&amp;IF(ISNUMBER(FIND("?",URL)),"&amp;","?"&amp;("adlid="&amp;Unique_ID&amp;"&amp;adplt="&amp;Placement))</f>
        <v>#N/A</v>
      </c>
      <c r="BH331" s="1"/>
      <c r="BI331" s="1"/>
      <c r="BJ331" s="35" t="str">
        <f>LOWER("alp"&amp;"_"&amp;"vw"&amp;"_"&amp;Veiculo&amp;"_"&amp;C327&amp;"_"&amp;Objetivo)</f>
        <v>alp_vw___</v>
      </c>
      <c r="BK331" s="35" t="str">
        <f>LOWER(Buying_Metric&amp;"_"&amp;VLOOKUP(Buying_Type,Buy_type,2,FALSE)&amp;"_"&amp;Device&amp;"_"&amp;Size&amp;"_"&amp;Segmentação&amp;"_"&amp;Segmentação_Anúncio)</f>
        <v>#N/A</v>
      </c>
      <c r="BL331" s="35" t="str">
        <f>LOWER(Campanha_ou_InsertionOrder&amp;"_"&amp;LineItem_ou_Grupodeanúncio&amp;"_"&amp;Linha_criativa_2&amp;"_"&amp;Unique_ID)</f>
        <v>#N/A</v>
      </c>
      <c r="BM331" s="27"/>
      <c r="BN331" s="27"/>
    </row>
    <row r="332">
      <c r="A332" s="1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8" t="str">
        <f>LOWER(Campanha_ou_InsertionOrder&amp;"_"&amp;LineItem_ou_Grupodeanúncio&amp;"_"&amp;Linha_Criativa&amp;"_"&amp;Unique_ID)</f>
        <v>#N/A</v>
      </c>
      <c r="AN332" s="28" t="str">
        <f>LOWER(Campanha_ou_InsertionOrder&amp;"_"&amp;LineItem_ou_Grupodeanúncio&amp;"_"&amp;Linha_Criativa&amp;"_"&amp;Unique_ID)</f>
        <v>#N/A</v>
      </c>
      <c r="AO332" s="28" t="str">
        <f>LOWER("VW"&amp;"_"&amp;Model_Variant&amp;"_"&amp;Size&amp;"_"&amp;Linha_Criativa&amp;"_"&amp;IF(Servido_Por="portal",Veiculo,"adserver"))</f>
        <v>vw____adserver</v>
      </c>
      <c r="AP3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2" s="22" t="str">
        <f t="shared" si="1"/>
        <v/>
      </c>
      <c r="AS332" s="22" t="str">
        <f t="shared" si="2"/>
        <v/>
      </c>
      <c r="AT332" s="22" t="str">
        <f t="shared" si="3"/>
        <v>BR_IMC_DSY_LANCH_ND_NC_2020Q3AUG_NVS_Nivus-Launch-Consideracao</v>
      </c>
      <c r="AU332" s="22" t="str">
        <f t="shared" si="4"/>
        <v>#N/A</v>
      </c>
      <c r="AV332" s="22" t="s">
        <v>106</v>
      </c>
      <c r="AW3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2" s="22" t="str">
        <f t="shared" si="5"/>
        <v>BR_IMC_DSY_LANCH_ND_NC_2020Q3AUG_NVS_Nivus-Launch-Consideracao</v>
      </c>
      <c r="AY332" s="28" t="str">
        <f t="shared" si="6"/>
        <v>#N/A</v>
      </c>
      <c r="AZ332" s="22" t="s">
        <v>107</v>
      </c>
      <c r="BA332" s="22" t="s">
        <v>108</v>
      </c>
      <c r="BB332" s="31" t="s">
        <v>109</v>
      </c>
      <c r="BC332" s="31" t="s">
        <v>109</v>
      </c>
      <c r="BD332" s="32" t="str">
        <f t="shared" si="8"/>
        <v>nvl-nvs-imc-dsy-0820-10326</v>
      </c>
      <c r="BE332" s="33"/>
      <c r="BF332" s="33"/>
      <c r="BG332" s="39" t="str">
        <f>URL&amp;IF(ISNUMBER(FIND("?",URL)),"&amp;","?"&amp;("adlid="&amp;Unique_ID&amp;"&amp;adplt="&amp;Placement))</f>
        <v>#N/A</v>
      </c>
      <c r="BH332" s="1"/>
      <c r="BI332" s="1"/>
      <c r="BJ332" s="35" t="str">
        <f>LOWER("alp"&amp;"_"&amp;"vw"&amp;"_"&amp;Veiculo&amp;"_"&amp;C328&amp;"_"&amp;Objetivo)</f>
        <v>alp_vw___</v>
      </c>
      <c r="BK332" s="35" t="str">
        <f>LOWER(Buying_Metric&amp;"_"&amp;VLOOKUP(Buying_Type,Buy_type,2,FALSE)&amp;"_"&amp;Device&amp;"_"&amp;Size&amp;"_"&amp;Segmentação&amp;"_"&amp;Segmentação_Anúncio)</f>
        <v>#N/A</v>
      </c>
      <c r="BL332" s="35" t="str">
        <f>LOWER(Campanha_ou_InsertionOrder&amp;"_"&amp;LineItem_ou_Grupodeanúncio&amp;"_"&amp;Linha_criativa_2&amp;"_"&amp;Unique_ID)</f>
        <v>#N/A</v>
      </c>
      <c r="BM332" s="27"/>
      <c r="BN332" s="27"/>
    </row>
    <row r="333">
      <c r="A333" s="1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8" t="str">
        <f>LOWER(Campanha_ou_InsertionOrder&amp;"_"&amp;LineItem_ou_Grupodeanúncio&amp;"_"&amp;Linha_Criativa&amp;"_"&amp;Unique_ID)</f>
        <v>#N/A</v>
      </c>
      <c r="AN333" s="28" t="str">
        <f>LOWER(Campanha_ou_InsertionOrder&amp;"_"&amp;LineItem_ou_Grupodeanúncio&amp;"_"&amp;Linha_Criativa&amp;"_"&amp;Unique_ID)</f>
        <v>#N/A</v>
      </c>
      <c r="AO333" s="28" t="str">
        <f>LOWER("VW"&amp;"_"&amp;Model_Variant&amp;"_"&amp;Size&amp;"_"&amp;Linha_Criativa&amp;"_"&amp;IF(Servido_Por="portal",Veiculo,"adserver"))</f>
        <v>vw____adserver</v>
      </c>
      <c r="AP3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3" s="22" t="str">
        <f t="shared" si="1"/>
        <v/>
      </c>
      <c r="AS333" s="22" t="str">
        <f t="shared" si="2"/>
        <v/>
      </c>
      <c r="AT333" s="22" t="str">
        <f t="shared" si="3"/>
        <v>BR_IMC_DSY_LANCH_ND_NC_2020Q3AUG_NVS_Nivus-Launch-Consideracao</v>
      </c>
      <c r="AU333" s="22" t="str">
        <f t="shared" si="4"/>
        <v>#N/A</v>
      </c>
      <c r="AV333" s="22" t="s">
        <v>106</v>
      </c>
      <c r="AW3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3" s="22" t="str">
        <f t="shared" si="5"/>
        <v>BR_IMC_DSY_LANCH_ND_NC_2020Q3AUG_NVS_Nivus-Launch-Consideracao</v>
      </c>
      <c r="AY333" s="28" t="str">
        <f t="shared" si="6"/>
        <v>#N/A</v>
      </c>
      <c r="AZ333" s="22" t="s">
        <v>107</v>
      </c>
      <c r="BA333" s="22" t="s">
        <v>108</v>
      </c>
      <c r="BB333" s="31" t="s">
        <v>109</v>
      </c>
      <c r="BC333" s="31" t="s">
        <v>109</v>
      </c>
      <c r="BD333" s="32" t="str">
        <f t="shared" si="8"/>
        <v>nvl-nvs-imc-dsy-0820-10327</v>
      </c>
      <c r="BE333" s="33"/>
      <c r="BF333" s="33"/>
      <c r="BG333" s="39" t="str">
        <f>URL&amp;IF(ISNUMBER(FIND("?",URL)),"&amp;","?"&amp;("adlid="&amp;Unique_ID&amp;"&amp;adplt="&amp;Placement))</f>
        <v>#N/A</v>
      </c>
      <c r="BH333" s="1"/>
      <c r="BI333" s="1"/>
      <c r="BJ333" s="35" t="str">
        <f>LOWER("alp"&amp;"_"&amp;"vw"&amp;"_"&amp;Veiculo&amp;"_"&amp;C329&amp;"_"&amp;Objetivo)</f>
        <v>alp_vw___</v>
      </c>
      <c r="BK333" s="35" t="str">
        <f>LOWER(Buying_Metric&amp;"_"&amp;VLOOKUP(Buying_Type,Buy_type,2,FALSE)&amp;"_"&amp;Device&amp;"_"&amp;Size&amp;"_"&amp;Segmentação&amp;"_"&amp;Segmentação_Anúncio)</f>
        <v>#N/A</v>
      </c>
      <c r="BL333" s="35" t="str">
        <f>LOWER(Campanha_ou_InsertionOrder&amp;"_"&amp;LineItem_ou_Grupodeanúncio&amp;"_"&amp;Linha_criativa_2&amp;"_"&amp;Unique_ID)</f>
        <v>#N/A</v>
      </c>
      <c r="BM333" s="27"/>
      <c r="BN333" s="27"/>
    </row>
    <row r="334">
      <c r="A334" s="1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8" t="str">
        <f>LOWER(Campanha_ou_InsertionOrder&amp;"_"&amp;LineItem_ou_Grupodeanúncio&amp;"_"&amp;Linha_Criativa&amp;"_"&amp;Unique_ID)</f>
        <v>#N/A</v>
      </c>
      <c r="AN334" s="28" t="str">
        <f>LOWER(Campanha_ou_InsertionOrder&amp;"_"&amp;LineItem_ou_Grupodeanúncio&amp;"_"&amp;Linha_Criativa&amp;"_"&amp;Unique_ID)</f>
        <v>#N/A</v>
      </c>
      <c r="AO334" s="28" t="str">
        <f>LOWER("VW"&amp;"_"&amp;Model_Variant&amp;"_"&amp;Size&amp;"_"&amp;Linha_Criativa&amp;"_"&amp;IF(Servido_Por="portal",Veiculo,"adserver"))</f>
        <v>vw____adserver</v>
      </c>
      <c r="AP3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4" s="22" t="str">
        <f t="shared" si="1"/>
        <v/>
      </c>
      <c r="AS334" s="22" t="str">
        <f t="shared" si="2"/>
        <v/>
      </c>
      <c r="AT334" s="22" t="str">
        <f t="shared" si="3"/>
        <v>BR_IMC_DSY_LANCH_ND_NC_2020Q3AUG_NVS_Nivus-Launch-Consideracao</v>
      </c>
      <c r="AU334" s="22" t="str">
        <f t="shared" si="4"/>
        <v>#N/A</v>
      </c>
      <c r="AV334" s="22" t="s">
        <v>106</v>
      </c>
      <c r="AW3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4" s="22" t="str">
        <f t="shared" si="5"/>
        <v>BR_IMC_DSY_LANCH_ND_NC_2020Q3AUG_NVS_Nivus-Launch-Consideracao</v>
      </c>
      <c r="AY334" s="28" t="str">
        <f t="shared" si="6"/>
        <v>#N/A</v>
      </c>
      <c r="AZ334" s="22" t="s">
        <v>107</v>
      </c>
      <c r="BA334" s="22" t="s">
        <v>108</v>
      </c>
      <c r="BB334" s="31" t="s">
        <v>109</v>
      </c>
      <c r="BC334" s="31" t="s">
        <v>109</v>
      </c>
      <c r="BD334" s="32" t="str">
        <f t="shared" si="8"/>
        <v>nvl-nvs-imc-dsy-0820-10328</v>
      </c>
      <c r="BE334" s="33"/>
      <c r="BF334" s="33"/>
      <c r="BG334" s="39" t="str">
        <f>URL&amp;IF(ISNUMBER(FIND("?",URL)),"&amp;","?"&amp;("adlid="&amp;Unique_ID&amp;"&amp;adplt="&amp;Placement))</f>
        <v>#N/A</v>
      </c>
      <c r="BH334" s="1"/>
      <c r="BI334" s="1"/>
      <c r="BJ334" s="35" t="str">
        <f>LOWER("alp"&amp;"_"&amp;"vw"&amp;"_"&amp;Veiculo&amp;"_"&amp;C330&amp;"_"&amp;Objetivo)</f>
        <v>alp_vw___</v>
      </c>
      <c r="BK334" s="35" t="str">
        <f>LOWER(Buying_Metric&amp;"_"&amp;VLOOKUP(Buying_Type,Buy_type,2,FALSE)&amp;"_"&amp;Device&amp;"_"&amp;Size&amp;"_"&amp;Segmentação&amp;"_"&amp;Segmentação_Anúncio)</f>
        <v>#N/A</v>
      </c>
      <c r="BL334" s="35" t="str">
        <f>LOWER(Campanha_ou_InsertionOrder&amp;"_"&amp;LineItem_ou_Grupodeanúncio&amp;"_"&amp;Linha_criativa_2&amp;"_"&amp;Unique_ID)</f>
        <v>#N/A</v>
      </c>
      <c r="BM334" s="27"/>
      <c r="BN334" s="27"/>
    </row>
    <row r="335">
      <c r="A335" s="1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8" t="str">
        <f>LOWER(Campanha_ou_InsertionOrder&amp;"_"&amp;LineItem_ou_Grupodeanúncio&amp;"_"&amp;Linha_Criativa&amp;"_"&amp;Unique_ID)</f>
        <v>#N/A</v>
      </c>
      <c r="AN335" s="28" t="str">
        <f>LOWER(Campanha_ou_InsertionOrder&amp;"_"&amp;LineItem_ou_Grupodeanúncio&amp;"_"&amp;Linha_Criativa&amp;"_"&amp;Unique_ID)</f>
        <v>#N/A</v>
      </c>
      <c r="AO335" s="28" t="str">
        <f>LOWER("VW"&amp;"_"&amp;Model_Variant&amp;"_"&amp;Size&amp;"_"&amp;Linha_Criativa&amp;"_"&amp;IF(Servido_Por="portal",Veiculo,"adserver"))</f>
        <v>vw____adserver</v>
      </c>
      <c r="AP3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5" s="22" t="str">
        <f t="shared" si="1"/>
        <v/>
      </c>
      <c r="AS335" s="22" t="str">
        <f t="shared" si="2"/>
        <v/>
      </c>
      <c r="AT335" s="22" t="str">
        <f t="shared" si="3"/>
        <v>BR_IMC_DSY_LANCH_ND_NC_2020Q3AUG_NVS_Nivus-Launch-Consideracao</v>
      </c>
      <c r="AU335" s="22" t="str">
        <f t="shared" si="4"/>
        <v>#N/A</v>
      </c>
      <c r="AV335" s="22" t="s">
        <v>106</v>
      </c>
      <c r="AW3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5" s="22" t="str">
        <f t="shared" si="5"/>
        <v>BR_IMC_DSY_LANCH_ND_NC_2020Q3AUG_NVS_Nivus-Launch-Consideracao</v>
      </c>
      <c r="AY335" s="28" t="str">
        <f t="shared" si="6"/>
        <v>#N/A</v>
      </c>
      <c r="AZ335" s="22" t="s">
        <v>107</v>
      </c>
      <c r="BA335" s="22" t="s">
        <v>108</v>
      </c>
      <c r="BB335" s="31" t="s">
        <v>109</v>
      </c>
      <c r="BC335" s="31" t="s">
        <v>109</v>
      </c>
      <c r="BD335" s="32" t="str">
        <f t="shared" si="8"/>
        <v>nvl-nvs-imc-dsy-0820-10329</v>
      </c>
      <c r="BE335" s="33"/>
      <c r="BF335" s="33"/>
      <c r="BG335" s="39" t="str">
        <f>URL&amp;IF(ISNUMBER(FIND("?",URL)),"&amp;","?"&amp;("adlid="&amp;Unique_ID&amp;"&amp;adplt="&amp;Placement))</f>
        <v>#N/A</v>
      </c>
      <c r="BH335" s="1"/>
      <c r="BI335" s="1"/>
      <c r="BJ335" s="35" t="str">
        <f>LOWER("alp"&amp;"_"&amp;"vw"&amp;"_"&amp;Veiculo&amp;"_"&amp;C331&amp;"_"&amp;Objetivo)</f>
        <v>alp_vw___</v>
      </c>
      <c r="BK335" s="35" t="str">
        <f>LOWER(Buying_Metric&amp;"_"&amp;VLOOKUP(Buying_Type,Buy_type,2,FALSE)&amp;"_"&amp;Device&amp;"_"&amp;Size&amp;"_"&amp;Segmentação&amp;"_"&amp;Segmentação_Anúncio)</f>
        <v>#N/A</v>
      </c>
      <c r="BL335" s="35" t="str">
        <f>LOWER(Campanha_ou_InsertionOrder&amp;"_"&amp;LineItem_ou_Grupodeanúncio&amp;"_"&amp;Linha_criativa_2&amp;"_"&amp;Unique_ID)</f>
        <v>#N/A</v>
      </c>
      <c r="BM335" s="27"/>
      <c r="BN335" s="27"/>
    </row>
    <row r="336">
      <c r="A336" s="1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8" t="str">
        <f>LOWER(Campanha_ou_InsertionOrder&amp;"_"&amp;LineItem_ou_Grupodeanúncio&amp;"_"&amp;Linha_Criativa&amp;"_"&amp;Unique_ID)</f>
        <v>#N/A</v>
      </c>
      <c r="AN336" s="28" t="str">
        <f>LOWER(Campanha_ou_InsertionOrder&amp;"_"&amp;LineItem_ou_Grupodeanúncio&amp;"_"&amp;Linha_Criativa&amp;"_"&amp;Unique_ID)</f>
        <v>#N/A</v>
      </c>
      <c r="AO336" s="28" t="str">
        <f>LOWER("VW"&amp;"_"&amp;Model_Variant&amp;"_"&amp;Size&amp;"_"&amp;Linha_Criativa&amp;"_"&amp;IF(Servido_Por="portal",Veiculo,"adserver"))</f>
        <v>vw____adserver</v>
      </c>
      <c r="AP3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6" s="22" t="str">
        <f t="shared" si="1"/>
        <v/>
      </c>
      <c r="AS336" s="22" t="str">
        <f t="shared" si="2"/>
        <v/>
      </c>
      <c r="AT336" s="22" t="str">
        <f t="shared" si="3"/>
        <v>BR_IMC_DSY_LANCH_ND_NC_2020Q3AUG_NVS_Nivus-Launch-Consideracao</v>
      </c>
      <c r="AU336" s="22" t="str">
        <f t="shared" si="4"/>
        <v>#N/A</v>
      </c>
      <c r="AV336" s="22" t="s">
        <v>106</v>
      </c>
      <c r="AW3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6" s="22" t="str">
        <f t="shared" si="5"/>
        <v>BR_IMC_DSY_LANCH_ND_NC_2020Q3AUG_NVS_Nivus-Launch-Consideracao</v>
      </c>
      <c r="AY336" s="28" t="str">
        <f t="shared" si="6"/>
        <v>#N/A</v>
      </c>
      <c r="AZ336" s="22" t="s">
        <v>107</v>
      </c>
      <c r="BA336" s="22" t="s">
        <v>108</v>
      </c>
      <c r="BB336" s="31" t="s">
        <v>109</v>
      </c>
      <c r="BC336" s="31" t="s">
        <v>109</v>
      </c>
      <c r="BD336" s="32" t="str">
        <f t="shared" si="8"/>
        <v>nvl-nvs-imc-dsy-0820-10330</v>
      </c>
      <c r="BE336" s="33"/>
      <c r="BF336" s="33"/>
      <c r="BG336" s="39" t="str">
        <f>URL&amp;IF(ISNUMBER(FIND("?",URL)),"&amp;","?"&amp;("adlid="&amp;Unique_ID&amp;"&amp;adplt="&amp;Placement))</f>
        <v>#N/A</v>
      </c>
      <c r="BH336" s="1"/>
      <c r="BI336" s="1"/>
      <c r="BJ336" s="35" t="str">
        <f>LOWER("alp"&amp;"_"&amp;"vw"&amp;"_"&amp;Veiculo&amp;"_"&amp;C332&amp;"_"&amp;Objetivo)</f>
        <v>alp_vw___</v>
      </c>
      <c r="BK336" s="35" t="str">
        <f>LOWER(Buying_Metric&amp;"_"&amp;VLOOKUP(Buying_Type,Buy_type,2,FALSE)&amp;"_"&amp;Device&amp;"_"&amp;Size&amp;"_"&amp;Segmentação&amp;"_"&amp;Segmentação_Anúncio)</f>
        <v>#N/A</v>
      </c>
      <c r="BL336" s="35" t="str">
        <f>LOWER(Campanha_ou_InsertionOrder&amp;"_"&amp;LineItem_ou_Grupodeanúncio&amp;"_"&amp;Linha_criativa_2&amp;"_"&amp;Unique_ID)</f>
        <v>#N/A</v>
      </c>
      <c r="BM336" s="27"/>
      <c r="BN336" s="27"/>
    </row>
    <row r="337">
      <c r="A337" s="1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8" t="str">
        <f>LOWER(Campanha_ou_InsertionOrder&amp;"_"&amp;LineItem_ou_Grupodeanúncio&amp;"_"&amp;Linha_Criativa&amp;"_"&amp;Unique_ID)</f>
        <v>#N/A</v>
      </c>
      <c r="AN337" s="28" t="str">
        <f>LOWER(Campanha_ou_InsertionOrder&amp;"_"&amp;LineItem_ou_Grupodeanúncio&amp;"_"&amp;Linha_Criativa&amp;"_"&amp;Unique_ID)</f>
        <v>#N/A</v>
      </c>
      <c r="AO337" s="28" t="str">
        <f>LOWER("VW"&amp;"_"&amp;Model_Variant&amp;"_"&amp;Size&amp;"_"&amp;Linha_Criativa&amp;"_"&amp;IF(Servido_Por="portal",Veiculo,"adserver"))</f>
        <v>vw____adserver</v>
      </c>
      <c r="AP3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7" s="22" t="str">
        <f t="shared" si="1"/>
        <v/>
      </c>
      <c r="AS337" s="22" t="str">
        <f t="shared" si="2"/>
        <v/>
      </c>
      <c r="AT337" s="22" t="str">
        <f t="shared" si="3"/>
        <v>BR_IMC_DSY_LANCH_ND_NC_2020Q3AUG_NVS_Nivus-Launch-Consideracao</v>
      </c>
      <c r="AU337" s="22" t="str">
        <f t="shared" si="4"/>
        <v>#N/A</v>
      </c>
      <c r="AV337" s="22" t="s">
        <v>106</v>
      </c>
      <c r="AW3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7" s="22" t="str">
        <f t="shared" si="5"/>
        <v>BR_IMC_DSY_LANCH_ND_NC_2020Q3AUG_NVS_Nivus-Launch-Consideracao</v>
      </c>
      <c r="AY337" s="28" t="str">
        <f t="shared" si="6"/>
        <v>#N/A</v>
      </c>
      <c r="AZ337" s="22" t="s">
        <v>107</v>
      </c>
      <c r="BA337" s="22" t="s">
        <v>108</v>
      </c>
      <c r="BB337" s="31" t="s">
        <v>109</v>
      </c>
      <c r="BC337" s="31" t="s">
        <v>109</v>
      </c>
      <c r="BD337" s="32" t="str">
        <f t="shared" si="8"/>
        <v>nvl-nvs-imc-dsy-0820-10331</v>
      </c>
      <c r="BE337" s="33"/>
      <c r="BF337" s="33"/>
      <c r="BG337" s="39" t="str">
        <f>URL&amp;IF(ISNUMBER(FIND("?",URL)),"&amp;","?"&amp;("adlid="&amp;Unique_ID&amp;"&amp;adplt="&amp;Placement))</f>
        <v>#N/A</v>
      </c>
      <c r="BH337" s="1"/>
      <c r="BI337" s="1"/>
      <c r="BJ337" s="35" t="str">
        <f>LOWER("alp"&amp;"_"&amp;"vw"&amp;"_"&amp;Veiculo&amp;"_"&amp;C333&amp;"_"&amp;Objetivo)</f>
        <v>alp_vw___</v>
      </c>
      <c r="BK337" s="35" t="str">
        <f>LOWER(Buying_Metric&amp;"_"&amp;VLOOKUP(Buying_Type,Buy_type,2,FALSE)&amp;"_"&amp;Device&amp;"_"&amp;Size&amp;"_"&amp;Segmentação&amp;"_"&amp;Segmentação_Anúncio)</f>
        <v>#N/A</v>
      </c>
      <c r="BL337" s="35" t="str">
        <f>LOWER(Campanha_ou_InsertionOrder&amp;"_"&amp;LineItem_ou_Grupodeanúncio&amp;"_"&amp;Linha_criativa_2&amp;"_"&amp;Unique_ID)</f>
        <v>#N/A</v>
      </c>
      <c r="BM337" s="27"/>
      <c r="BN337" s="27"/>
    </row>
    <row r="338">
      <c r="A338" s="1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8" t="str">
        <f>LOWER(Campanha_ou_InsertionOrder&amp;"_"&amp;LineItem_ou_Grupodeanúncio&amp;"_"&amp;Linha_Criativa&amp;"_"&amp;Unique_ID)</f>
        <v>#N/A</v>
      </c>
      <c r="AN338" s="28" t="str">
        <f>LOWER(Campanha_ou_InsertionOrder&amp;"_"&amp;LineItem_ou_Grupodeanúncio&amp;"_"&amp;Linha_Criativa&amp;"_"&amp;Unique_ID)</f>
        <v>#N/A</v>
      </c>
      <c r="AO338" s="28" t="str">
        <f>LOWER("VW"&amp;"_"&amp;Model_Variant&amp;"_"&amp;Size&amp;"_"&amp;Linha_Criativa&amp;"_"&amp;IF(Servido_Por="portal",Veiculo,"adserver"))</f>
        <v>vw____adserver</v>
      </c>
      <c r="AP3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8" s="22" t="str">
        <f t="shared" si="1"/>
        <v/>
      </c>
      <c r="AS338" s="22" t="str">
        <f t="shared" si="2"/>
        <v/>
      </c>
      <c r="AT338" s="22" t="str">
        <f t="shared" si="3"/>
        <v>BR_IMC_DSY_LANCH_ND_NC_2020Q3AUG_NVS_Nivus-Launch-Consideracao</v>
      </c>
      <c r="AU338" s="22" t="str">
        <f t="shared" si="4"/>
        <v>#N/A</v>
      </c>
      <c r="AV338" s="22" t="s">
        <v>106</v>
      </c>
      <c r="AW3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8" s="22" t="str">
        <f t="shared" si="5"/>
        <v>BR_IMC_DSY_LANCH_ND_NC_2020Q3AUG_NVS_Nivus-Launch-Consideracao</v>
      </c>
      <c r="AY338" s="28" t="str">
        <f t="shared" si="6"/>
        <v>#N/A</v>
      </c>
      <c r="AZ338" s="22" t="s">
        <v>107</v>
      </c>
      <c r="BA338" s="22" t="s">
        <v>108</v>
      </c>
      <c r="BB338" s="31" t="s">
        <v>109</v>
      </c>
      <c r="BC338" s="31" t="s">
        <v>109</v>
      </c>
      <c r="BD338" s="32" t="str">
        <f t="shared" si="8"/>
        <v>nvl-nvs-imc-dsy-0820-10332</v>
      </c>
      <c r="BE338" s="33"/>
      <c r="BF338" s="33"/>
      <c r="BG338" s="39" t="str">
        <f>URL&amp;IF(ISNUMBER(FIND("?",URL)),"&amp;","?"&amp;("adlid="&amp;Unique_ID&amp;"&amp;adplt="&amp;Placement))</f>
        <v>#N/A</v>
      </c>
      <c r="BH338" s="1"/>
      <c r="BI338" s="1"/>
      <c r="BJ338" s="35" t="str">
        <f>LOWER("alp"&amp;"_"&amp;"vw"&amp;"_"&amp;Veiculo&amp;"_"&amp;C334&amp;"_"&amp;Objetivo)</f>
        <v>alp_vw___</v>
      </c>
      <c r="BK338" s="35" t="str">
        <f>LOWER(Buying_Metric&amp;"_"&amp;VLOOKUP(Buying_Type,Buy_type,2,FALSE)&amp;"_"&amp;Device&amp;"_"&amp;Size&amp;"_"&amp;Segmentação&amp;"_"&amp;Segmentação_Anúncio)</f>
        <v>#N/A</v>
      </c>
      <c r="BL338" s="35" t="str">
        <f>LOWER(Campanha_ou_InsertionOrder&amp;"_"&amp;LineItem_ou_Grupodeanúncio&amp;"_"&amp;Linha_criativa_2&amp;"_"&amp;Unique_ID)</f>
        <v>#N/A</v>
      </c>
      <c r="BM338" s="27"/>
      <c r="BN338" s="27"/>
    </row>
    <row r="339">
      <c r="A339" s="1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8" t="str">
        <f>LOWER(Campanha_ou_InsertionOrder&amp;"_"&amp;LineItem_ou_Grupodeanúncio&amp;"_"&amp;Linha_Criativa&amp;"_"&amp;Unique_ID)</f>
        <v>#N/A</v>
      </c>
      <c r="AN339" s="28" t="str">
        <f>LOWER(Campanha_ou_InsertionOrder&amp;"_"&amp;LineItem_ou_Grupodeanúncio&amp;"_"&amp;Linha_Criativa&amp;"_"&amp;Unique_ID)</f>
        <v>#N/A</v>
      </c>
      <c r="AO339" s="28" t="str">
        <f>LOWER("VW"&amp;"_"&amp;Model_Variant&amp;"_"&amp;Size&amp;"_"&amp;Linha_Criativa&amp;"_"&amp;IF(Servido_Por="portal",Veiculo,"adserver"))</f>
        <v>vw____adserver</v>
      </c>
      <c r="AP3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39" s="22" t="str">
        <f t="shared" si="1"/>
        <v/>
      </c>
      <c r="AS339" s="22" t="str">
        <f t="shared" si="2"/>
        <v/>
      </c>
      <c r="AT339" s="22" t="str">
        <f t="shared" si="3"/>
        <v>BR_IMC_DSY_LANCH_ND_NC_2020Q3AUG_NVS_Nivus-Launch-Consideracao</v>
      </c>
      <c r="AU339" s="22" t="str">
        <f t="shared" si="4"/>
        <v>#N/A</v>
      </c>
      <c r="AV339" s="22" t="s">
        <v>106</v>
      </c>
      <c r="AW3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39" s="22" t="str">
        <f t="shared" si="5"/>
        <v>BR_IMC_DSY_LANCH_ND_NC_2020Q3AUG_NVS_Nivus-Launch-Consideracao</v>
      </c>
      <c r="AY339" s="28" t="str">
        <f t="shared" si="6"/>
        <v>#N/A</v>
      </c>
      <c r="AZ339" s="22" t="s">
        <v>107</v>
      </c>
      <c r="BA339" s="22" t="s">
        <v>108</v>
      </c>
      <c r="BB339" s="31" t="s">
        <v>109</v>
      </c>
      <c r="BC339" s="31" t="s">
        <v>109</v>
      </c>
      <c r="BD339" s="32" t="str">
        <f t="shared" si="8"/>
        <v>nvl-nvs-imc-dsy-0820-10333</v>
      </c>
      <c r="BE339" s="33"/>
      <c r="BF339" s="33"/>
      <c r="BG339" s="39" t="str">
        <f>URL&amp;IF(ISNUMBER(FIND("?",URL)),"&amp;","?"&amp;("adlid="&amp;Unique_ID&amp;"&amp;adplt="&amp;Placement))</f>
        <v>#N/A</v>
      </c>
      <c r="BH339" s="1"/>
      <c r="BI339" s="1"/>
      <c r="BJ339" s="35" t="str">
        <f>LOWER("alp"&amp;"_"&amp;"vw"&amp;"_"&amp;Veiculo&amp;"_"&amp;C335&amp;"_"&amp;Objetivo)</f>
        <v>alp_vw___</v>
      </c>
      <c r="BK339" s="35" t="str">
        <f>LOWER(Buying_Metric&amp;"_"&amp;VLOOKUP(Buying_Type,Buy_type,2,FALSE)&amp;"_"&amp;Device&amp;"_"&amp;Size&amp;"_"&amp;Segmentação&amp;"_"&amp;Segmentação_Anúncio)</f>
        <v>#N/A</v>
      </c>
      <c r="BL339" s="35" t="str">
        <f>LOWER(Campanha_ou_InsertionOrder&amp;"_"&amp;LineItem_ou_Grupodeanúncio&amp;"_"&amp;Linha_criativa_2&amp;"_"&amp;Unique_ID)</f>
        <v>#N/A</v>
      </c>
      <c r="BM339" s="27"/>
      <c r="BN339" s="27"/>
    </row>
    <row r="340">
      <c r="A340" s="1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8" t="str">
        <f>LOWER(Campanha_ou_InsertionOrder&amp;"_"&amp;LineItem_ou_Grupodeanúncio&amp;"_"&amp;Linha_Criativa&amp;"_"&amp;Unique_ID)</f>
        <v>#N/A</v>
      </c>
      <c r="AN340" s="28" t="str">
        <f>LOWER(Campanha_ou_InsertionOrder&amp;"_"&amp;LineItem_ou_Grupodeanúncio&amp;"_"&amp;Linha_Criativa&amp;"_"&amp;Unique_ID)</f>
        <v>#N/A</v>
      </c>
      <c r="AO340" s="28" t="str">
        <f>LOWER("VW"&amp;"_"&amp;Model_Variant&amp;"_"&amp;Size&amp;"_"&amp;Linha_Criativa&amp;"_"&amp;IF(Servido_Por="portal",Veiculo,"adserver"))</f>
        <v>vw____adserver</v>
      </c>
      <c r="AP3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0" s="22" t="str">
        <f t="shared" si="1"/>
        <v/>
      </c>
      <c r="AS340" s="22" t="str">
        <f t="shared" si="2"/>
        <v/>
      </c>
      <c r="AT340" s="22" t="str">
        <f t="shared" si="3"/>
        <v>BR_IMC_DSY_LANCH_ND_NC_2020Q3AUG_NVS_Nivus-Launch-Consideracao</v>
      </c>
      <c r="AU340" s="22" t="str">
        <f t="shared" si="4"/>
        <v>#N/A</v>
      </c>
      <c r="AV340" s="22" t="s">
        <v>106</v>
      </c>
      <c r="AW3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0" s="22" t="str">
        <f t="shared" si="5"/>
        <v>BR_IMC_DSY_LANCH_ND_NC_2020Q3AUG_NVS_Nivus-Launch-Consideracao</v>
      </c>
      <c r="AY340" s="28" t="str">
        <f t="shared" si="6"/>
        <v>#N/A</v>
      </c>
      <c r="AZ340" s="22" t="s">
        <v>107</v>
      </c>
      <c r="BA340" s="22" t="s">
        <v>108</v>
      </c>
      <c r="BB340" s="31" t="s">
        <v>109</v>
      </c>
      <c r="BC340" s="31" t="s">
        <v>109</v>
      </c>
      <c r="BD340" s="32" t="str">
        <f t="shared" si="8"/>
        <v>nvl-nvs-imc-dsy-0820-10334</v>
      </c>
      <c r="BE340" s="33"/>
      <c r="BF340" s="33"/>
      <c r="BG340" s="39" t="str">
        <f>URL&amp;IF(ISNUMBER(FIND("?",URL)),"&amp;","?"&amp;("adlid="&amp;Unique_ID&amp;"&amp;adplt="&amp;Placement))</f>
        <v>#N/A</v>
      </c>
      <c r="BH340" s="1"/>
      <c r="BI340" s="1"/>
      <c r="BJ340" s="35" t="str">
        <f>LOWER("alp"&amp;"_"&amp;"vw"&amp;"_"&amp;Veiculo&amp;"_"&amp;C336&amp;"_"&amp;Objetivo)</f>
        <v>alp_vw___</v>
      </c>
      <c r="BK340" s="35" t="str">
        <f>LOWER(Buying_Metric&amp;"_"&amp;VLOOKUP(Buying_Type,Buy_type,2,FALSE)&amp;"_"&amp;Device&amp;"_"&amp;Size&amp;"_"&amp;Segmentação&amp;"_"&amp;Segmentação_Anúncio)</f>
        <v>#N/A</v>
      </c>
      <c r="BL340" s="35" t="str">
        <f>LOWER(Campanha_ou_InsertionOrder&amp;"_"&amp;LineItem_ou_Grupodeanúncio&amp;"_"&amp;Linha_criativa_2&amp;"_"&amp;Unique_ID)</f>
        <v>#N/A</v>
      </c>
      <c r="BM340" s="27"/>
      <c r="BN340" s="27"/>
    </row>
    <row r="341">
      <c r="A341" s="1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8" t="str">
        <f>LOWER(Campanha_ou_InsertionOrder&amp;"_"&amp;LineItem_ou_Grupodeanúncio&amp;"_"&amp;Linha_Criativa&amp;"_"&amp;Unique_ID)</f>
        <v>#N/A</v>
      </c>
      <c r="AN341" s="28" t="str">
        <f>LOWER(Campanha_ou_InsertionOrder&amp;"_"&amp;LineItem_ou_Grupodeanúncio&amp;"_"&amp;Linha_Criativa&amp;"_"&amp;Unique_ID)</f>
        <v>#N/A</v>
      </c>
      <c r="AO341" s="28" t="str">
        <f>LOWER("VW"&amp;"_"&amp;Model_Variant&amp;"_"&amp;Size&amp;"_"&amp;Linha_Criativa&amp;"_"&amp;IF(Servido_Por="portal",Veiculo,"adserver"))</f>
        <v>vw____adserver</v>
      </c>
      <c r="AP3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1" s="22" t="str">
        <f t="shared" si="1"/>
        <v/>
      </c>
      <c r="AS341" s="22" t="str">
        <f t="shared" si="2"/>
        <v/>
      </c>
      <c r="AT341" s="22" t="str">
        <f t="shared" si="3"/>
        <v>BR_IMC_DSY_LANCH_ND_NC_2020Q3AUG_NVS_Nivus-Launch-Consideracao</v>
      </c>
      <c r="AU341" s="22" t="str">
        <f t="shared" si="4"/>
        <v>#N/A</v>
      </c>
      <c r="AV341" s="22" t="s">
        <v>106</v>
      </c>
      <c r="AW3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1" s="22" t="str">
        <f t="shared" si="5"/>
        <v>BR_IMC_DSY_LANCH_ND_NC_2020Q3AUG_NVS_Nivus-Launch-Consideracao</v>
      </c>
      <c r="AY341" s="28" t="str">
        <f t="shared" si="6"/>
        <v>#N/A</v>
      </c>
      <c r="AZ341" s="22" t="s">
        <v>107</v>
      </c>
      <c r="BA341" s="22" t="s">
        <v>108</v>
      </c>
      <c r="BB341" s="31" t="s">
        <v>109</v>
      </c>
      <c r="BC341" s="31" t="s">
        <v>109</v>
      </c>
      <c r="BD341" s="32" t="str">
        <f t="shared" si="8"/>
        <v>nvl-nvs-imc-dsy-0820-10335</v>
      </c>
      <c r="BE341" s="33"/>
      <c r="BF341" s="33"/>
      <c r="BG341" s="39" t="str">
        <f>URL&amp;IF(ISNUMBER(FIND("?",URL)),"&amp;","?"&amp;("adlid="&amp;Unique_ID&amp;"&amp;adplt="&amp;Placement))</f>
        <v>#N/A</v>
      </c>
      <c r="BH341" s="1"/>
      <c r="BI341" s="1"/>
      <c r="BJ341" s="35" t="str">
        <f>LOWER("alp"&amp;"_"&amp;"vw"&amp;"_"&amp;Veiculo&amp;"_"&amp;C337&amp;"_"&amp;Objetivo)</f>
        <v>alp_vw___</v>
      </c>
      <c r="BK341" s="35" t="str">
        <f>LOWER(Buying_Metric&amp;"_"&amp;VLOOKUP(Buying_Type,Buy_type,2,FALSE)&amp;"_"&amp;Device&amp;"_"&amp;Size&amp;"_"&amp;Segmentação&amp;"_"&amp;Segmentação_Anúncio)</f>
        <v>#N/A</v>
      </c>
      <c r="BL341" s="35" t="str">
        <f>LOWER(Campanha_ou_InsertionOrder&amp;"_"&amp;LineItem_ou_Grupodeanúncio&amp;"_"&amp;Linha_criativa_2&amp;"_"&amp;Unique_ID)</f>
        <v>#N/A</v>
      </c>
      <c r="BM341" s="27"/>
      <c r="BN341" s="27"/>
    </row>
    <row r="342">
      <c r="A342" s="1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8" t="str">
        <f>LOWER(Campanha_ou_InsertionOrder&amp;"_"&amp;LineItem_ou_Grupodeanúncio&amp;"_"&amp;Linha_Criativa&amp;"_"&amp;Unique_ID)</f>
        <v>#N/A</v>
      </c>
      <c r="AN342" s="28" t="str">
        <f>LOWER(Campanha_ou_InsertionOrder&amp;"_"&amp;LineItem_ou_Grupodeanúncio&amp;"_"&amp;Linha_Criativa&amp;"_"&amp;Unique_ID)</f>
        <v>#N/A</v>
      </c>
      <c r="AO342" s="28" t="str">
        <f>LOWER("VW"&amp;"_"&amp;Model_Variant&amp;"_"&amp;Size&amp;"_"&amp;Linha_Criativa&amp;"_"&amp;IF(Servido_Por="portal",Veiculo,"adserver"))</f>
        <v>vw____adserver</v>
      </c>
      <c r="AP3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2" s="22" t="str">
        <f t="shared" si="1"/>
        <v/>
      </c>
      <c r="AS342" s="22" t="str">
        <f t="shared" si="2"/>
        <v/>
      </c>
      <c r="AT342" s="22" t="str">
        <f t="shared" si="3"/>
        <v>BR_IMC_DSY_LANCH_ND_NC_2020Q3AUG_NVS_Nivus-Launch-Consideracao</v>
      </c>
      <c r="AU342" s="22" t="str">
        <f t="shared" si="4"/>
        <v>#N/A</v>
      </c>
      <c r="AV342" s="22" t="s">
        <v>106</v>
      </c>
      <c r="AW3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2" s="22" t="str">
        <f t="shared" si="5"/>
        <v>BR_IMC_DSY_LANCH_ND_NC_2020Q3AUG_NVS_Nivus-Launch-Consideracao</v>
      </c>
      <c r="AY342" s="28" t="str">
        <f t="shared" si="6"/>
        <v>#N/A</v>
      </c>
      <c r="AZ342" s="22" t="s">
        <v>107</v>
      </c>
      <c r="BA342" s="22" t="s">
        <v>108</v>
      </c>
      <c r="BB342" s="31" t="s">
        <v>109</v>
      </c>
      <c r="BC342" s="31" t="s">
        <v>109</v>
      </c>
      <c r="BD342" s="32" t="str">
        <f t="shared" si="8"/>
        <v>nvl-nvs-imc-dsy-0820-10336</v>
      </c>
      <c r="BE342" s="33"/>
      <c r="BF342" s="33"/>
      <c r="BG342" s="39" t="str">
        <f>URL&amp;IF(ISNUMBER(FIND("?",URL)),"&amp;","?"&amp;("adlid="&amp;Unique_ID&amp;"&amp;adplt="&amp;Placement))</f>
        <v>#N/A</v>
      </c>
      <c r="BH342" s="1"/>
      <c r="BI342" s="1"/>
      <c r="BJ342" s="35" t="str">
        <f>LOWER("alp"&amp;"_"&amp;"vw"&amp;"_"&amp;Veiculo&amp;"_"&amp;C338&amp;"_"&amp;Objetivo)</f>
        <v>alp_vw___</v>
      </c>
      <c r="BK342" s="35" t="str">
        <f>LOWER(Buying_Metric&amp;"_"&amp;VLOOKUP(Buying_Type,Buy_type,2,FALSE)&amp;"_"&amp;Device&amp;"_"&amp;Size&amp;"_"&amp;Segmentação&amp;"_"&amp;Segmentação_Anúncio)</f>
        <v>#N/A</v>
      </c>
      <c r="BL342" s="35" t="str">
        <f>LOWER(Campanha_ou_InsertionOrder&amp;"_"&amp;LineItem_ou_Grupodeanúncio&amp;"_"&amp;Linha_criativa_2&amp;"_"&amp;Unique_ID)</f>
        <v>#N/A</v>
      </c>
      <c r="BM342" s="27"/>
      <c r="BN342" s="27"/>
    </row>
    <row r="343">
      <c r="A343" s="1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8" t="str">
        <f>LOWER(Campanha_ou_InsertionOrder&amp;"_"&amp;LineItem_ou_Grupodeanúncio&amp;"_"&amp;Linha_Criativa&amp;"_"&amp;Unique_ID)</f>
        <v>#N/A</v>
      </c>
      <c r="AN343" s="28" t="str">
        <f>LOWER(Campanha_ou_InsertionOrder&amp;"_"&amp;LineItem_ou_Grupodeanúncio&amp;"_"&amp;Linha_Criativa&amp;"_"&amp;Unique_ID)</f>
        <v>#N/A</v>
      </c>
      <c r="AO343" s="28" t="str">
        <f>LOWER("VW"&amp;"_"&amp;Model_Variant&amp;"_"&amp;Size&amp;"_"&amp;Linha_Criativa&amp;"_"&amp;IF(Servido_Por="portal",Veiculo,"adserver"))</f>
        <v>vw____adserver</v>
      </c>
      <c r="AP3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3" s="22" t="str">
        <f t="shared" si="1"/>
        <v/>
      </c>
      <c r="AS343" s="22" t="str">
        <f t="shared" si="2"/>
        <v/>
      </c>
      <c r="AT343" s="22" t="str">
        <f t="shared" si="3"/>
        <v>BR_IMC_DSY_LANCH_ND_NC_2020Q3AUG_NVS_Nivus-Launch-Consideracao</v>
      </c>
      <c r="AU343" s="22" t="str">
        <f t="shared" si="4"/>
        <v>#N/A</v>
      </c>
      <c r="AV343" s="22" t="s">
        <v>106</v>
      </c>
      <c r="AW3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3" s="22" t="str">
        <f t="shared" si="5"/>
        <v>BR_IMC_DSY_LANCH_ND_NC_2020Q3AUG_NVS_Nivus-Launch-Consideracao</v>
      </c>
      <c r="AY343" s="28" t="str">
        <f t="shared" si="6"/>
        <v>#N/A</v>
      </c>
      <c r="AZ343" s="22" t="s">
        <v>107</v>
      </c>
      <c r="BA343" s="22" t="s">
        <v>108</v>
      </c>
      <c r="BB343" s="31" t="s">
        <v>109</v>
      </c>
      <c r="BC343" s="31" t="s">
        <v>109</v>
      </c>
      <c r="BD343" s="32" t="str">
        <f t="shared" si="8"/>
        <v>nvl-nvs-imc-dsy-0820-10337</v>
      </c>
      <c r="BE343" s="33"/>
      <c r="BF343" s="33"/>
      <c r="BG343" s="39" t="str">
        <f>URL&amp;IF(ISNUMBER(FIND("?",URL)),"&amp;","?"&amp;("adlid="&amp;Unique_ID&amp;"&amp;adplt="&amp;Placement))</f>
        <v>#N/A</v>
      </c>
      <c r="BH343" s="1"/>
      <c r="BI343" s="1"/>
      <c r="BJ343" s="35" t="str">
        <f>LOWER("alp"&amp;"_"&amp;"vw"&amp;"_"&amp;Veiculo&amp;"_"&amp;C339&amp;"_"&amp;Objetivo)</f>
        <v>alp_vw___</v>
      </c>
      <c r="BK343" s="35" t="str">
        <f>LOWER(Buying_Metric&amp;"_"&amp;VLOOKUP(Buying_Type,Buy_type,2,FALSE)&amp;"_"&amp;Device&amp;"_"&amp;Size&amp;"_"&amp;Segmentação&amp;"_"&amp;Segmentação_Anúncio)</f>
        <v>#N/A</v>
      </c>
      <c r="BL343" s="35" t="str">
        <f>LOWER(Campanha_ou_InsertionOrder&amp;"_"&amp;LineItem_ou_Grupodeanúncio&amp;"_"&amp;Linha_criativa_2&amp;"_"&amp;Unique_ID)</f>
        <v>#N/A</v>
      </c>
      <c r="BM343" s="27"/>
      <c r="BN343" s="27"/>
    </row>
    <row r="344">
      <c r="A344" s="1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8" t="str">
        <f>LOWER(Campanha_ou_InsertionOrder&amp;"_"&amp;LineItem_ou_Grupodeanúncio&amp;"_"&amp;Linha_Criativa&amp;"_"&amp;Unique_ID)</f>
        <v>#N/A</v>
      </c>
      <c r="AN344" s="28" t="str">
        <f>LOWER(Campanha_ou_InsertionOrder&amp;"_"&amp;LineItem_ou_Grupodeanúncio&amp;"_"&amp;Linha_Criativa&amp;"_"&amp;Unique_ID)</f>
        <v>#N/A</v>
      </c>
      <c r="AO344" s="28" t="str">
        <f>LOWER("VW"&amp;"_"&amp;Model_Variant&amp;"_"&amp;Size&amp;"_"&amp;Linha_Criativa&amp;"_"&amp;IF(Servido_Por="portal",Veiculo,"adserver"))</f>
        <v>vw____adserver</v>
      </c>
      <c r="AP3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4" s="22" t="str">
        <f t="shared" si="1"/>
        <v/>
      </c>
      <c r="AS344" s="22" t="str">
        <f t="shared" si="2"/>
        <v/>
      </c>
      <c r="AT344" s="22" t="str">
        <f t="shared" si="3"/>
        <v>BR_IMC_DSY_LANCH_ND_NC_2020Q3AUG_NVS_Nivus-Launch-Consideracao</v>
      </c>
      <c r="AU344" s="22" t="str">
        <f t="shared" si="4"/>
        <v>#N/A</v>
      </c>
      <c r="AV344" s="22" t="s">
        <v>106</v>
      </c>
      <c r="AW3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4" s="22" t="str">
        <f t="shared" si="5"/>
        <v>BR_IMC_DSY_LANCH_ND_NC_2020Q3AUG_NVS_Nivus-Launch-Consideracao</v>
      </c>
      <c r="AY344" s="28" t="str">
        <f t="shared" si="6"/>
        <v>#N/A</v>
      </c>
      <c r="AZ344" s="22" t="s">
        <v>107</v>
      </c>
      <c r="BA344" s="22" t="s">
        <v>108</v>
      </c>
      <c r="BB344" s="31" t="s">
        <v>109</v>
      </c>
      <c r="BC344" s="31" t="s">
        <v>109</v>
      </c>
      <c r="BD344" s="32" t="str">
        <f t="shared" si="8"/>
        <v>nvl-nvs-imc-dsy-0820-10338</v>
      </c>
      <c r="BE344" s="33"/>
      <c r="BF344" s="33"/>
      <c r="BG344" s="39" t="str">
        <f>URL&amp;IF(ISNUMBER(FIND("?",URL)),"&amp;","?"&amp;("adlid="&amp;Unique_ID&amp;"&amp;adplt="&amp;Placement))</f>
        <v>#N/A</v>
      </c>
      <c r="BH344" s="1"/>
      <c r="BI344" s="1"/>
      <c r="BJ344" s="35" t="str">
        <f>LOWER("alp"&amp;"_"&amp;"vw"&amp;"_"&amp;Veiculo&amp;"_"&amp;C340&amp;"_"&amp;Objetivo)</f>
        <v>alp_vw___</v>
      </c>
      <c r="BK344" s="35" t="str">
        <f>LOWER(Buying_Metric&amp;"_"&amp;VLOOKUP(Buying_Type,Buy_type,2,FALSE)&amp;"_"&amp;Device&amp;"_"&amp;Size&amp;"_"&amp;Segmentação&amp;"_"&amp;Segmentação_Anúncio)</f>
        <v>#N/A</v>
      </c>
      <c r="BL344" s="35" t="str">
        <f>LOWER(Campanha_ou_InsertionOrder&amp;"_"&amp;LineItem_ou_Grupodeanúncio&amp;"_"&amp;Linha_criativa_2&amp;"_"&amp;Unique_ID)</f>
        <v>#N/A</v>
      </c>
      <c r="BM344" s="27"/>
      <c r="BN344" s="27"/>
    </row>
    <row r="345">
      <c r="A345" s="1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8" t="str">
        <f>LOWER(Campanha_ou_InsertionOrder&amp;"_"&amp;LineItem_ou_Grupodeanúncio&amp;"_"&amp;Linha_Criativa&amp;"_"&amp;Unique_ID)</f>
        <v>#N/A</v>
      </c>
      <c r="AN345" s="28" t="str">
        <f>LOWER(Campanha_ou_InsertionOrder&amp;"_"&amp;LineItem_ou_Grupodeanúncio&amp;"_"&amp;Linha_Criativa&amp;"_"&amp;Unique_ID)</f>
        <v>#N/A</v>
      </c>
      <c r="AO345" s="28" t="str">
        <f>LOWER("VW"&amp;"_"&amp;Model_Variant&amp;"_"&amp;Size&amp;"_"&amp;Linha_Criativa&amp;"_"&amp;IF(Servido_Por="portal",Veiculo,"adserver"))</f>
        <v>vw____adserver</v>
      </c>
      <c r="AP3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5" s="22" t="str">
        <f t="shared" si="1"/>
        <v/>
      </c>
      <c r="AS345" s="22" t="str">
        <f t="shared" si="2"/>
        <v/>
      </c>
      <c r="AT345" s="22" t="str">
        <f t="shared" si="3"/>
        <v>BR_IMC_DSY_LANCH_ND_NC_2020Q3AUG_NVS_Nivus-Launch-Consideracao</v>
      </c>
      <c r="AU345" s="22" t="str">
        <f t="shared" si="4"/>
        <v>#N/A</v>
      </c>
      <c r="AV345" s="22" t="s">
        <v>106</v>
      </c>
      <c r="AW3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5" s="22" t="str">
        <f t="shared" si="5"/>
        <v>BR_IMC_DSY_LANCH_ND_NC_2020Q3AUG_NVS_Nivus-Launch-Consideracao</v>
      </c>
      <c r="AY345" s="28" t="str">
        <f t="shared" si="6"/>
        <v>#N/A</v>
      </c>
      <c r="AZ345" s="22" t="s">
        <v>107</v>
      </c>
      <c r="BA345" s="22" t="s">
        <v>108</v>
      </c>
      <c r="BB345" s="31" t="s">
        <v>109</v>
      </c>
      <c r="BC345" s="31" t="s">
        <v>109</v>
      </c>
      <c r="BD345" s="32" t="str">
        <f t="shared" si="8"/>
        <v>nvl-nvs-imc-dsy-0820-10339</v>
      </c>
      <c r="BE345" s="33"/>
      <c r="BF345" s="33"/>
      <c r="BG345" s="39" t="str">
        <f>URL&amp;IF(ISNUMBER(FIND("?",URL)),"&amp;","?"&amp;("adlid="&amp;Unique_ID&amp;"&amp;adplt="&amp;Placement))</f>
        <v>#N/A</v>
      </c>
      <c r="BH345" s="1"/>
      <c r="BI345" s="1"/>
      <c r="BJ345" s="35" t="str">
        <f>LOWER("alp"&amp;"_"&amp;"vw"&amp;"_"&amp;Veiculo&amp;"_"&amp;C341&amp;"_"&amp;Objetivo)</f>
        <v>alp_vw___</v>
      </c>
      <c r="BK345" s="35" t="str">
        <f>LOWER(Buying_Metric&amp;"_"&amp;VLOOKUP(Buying_Type,Buy_type,2,FALSE)&amp;"_"&amp;Device&amp;"_"&amp;Size&amp;"_"&amp;Segmentação&amp;"_"&amp;Segmentação_Anúncio)</f>
        <v>#N/A</v>
      </c>
      <c r="BL345" s="35" t="str">
        <f>LOWER(Campanha_ou_InsertionOrder&amp;"_"&amp;LineItem_ou_Grupodeanúncio&amp;"_"&amp;Linha_criativa_2&amp;"_"&amp;Unique_ID)</f>
        <v>#N/A</v>
      </c>
      <c r="BM345" s="27"/>
      <c r="BN345" s="27"/>
    </row>
    <row r="346">
      <c r="A346" s="1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8" t="str">
        <f>LOWER(Campanha_ou_InsertionOrder&amp;"_"&amp;LineItem_ou_Grupodeanúncio&amp;"_"&amp;Linha_Criativa&amp;"_"&amp;Unique_ID)</f>
        <v>#N/A</v>
      </c>
      <c r="AN346" s="28" t="str">
        <f>LOWER(Campanha_ou_InsertionOrder&amp;"_"&amp;LineItem_ou_Grupodeanúncio&amp;"_"&amp;Linha_Criativa&amp;"_"&amp;Unique_ID)</f>
        <v>#N/A</v>
      </c>
      <c r="AO346" s="28" t="str">
        <f>LOWER("VW"&amp;"_"&amp;Model_Variant&amp;"_"&amp;Size&amp;"_"&amp;Linha_Criativa&amp;"_"&amp;IF(Servido_Por="portal",Veiculo,"adserver"))</f>
        <v>vw____adserver</v>
      </c>
      <c r="AP3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6" s="22" t="str">
        <f t="shared" si="1"/>
        <v/>
      </c>
      <c r="AS346" s="22" t="str">
        <f t="shared" si="2"/>
        <v/>
      </c>
      <c r="AT346" s="22" t="str">
        <f t="shared" si="3"/>
        <v>BR_IMC_DSY_LANCH_ND_NC_2020Q3AUG_NVS_Nivus-Launch-Consideracao</v>
      </c>
      <c r="AU346" s="22" t="str">
        <f t="shared" si="4"/>
        <v>#N/A</v>
      </c>
      <c r="AV346" s="22" t="s">
        <v>106</v>
      </c>
      <c r="AW3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6" s="22" t="str">
        <f t="shared" si="5"/>
        <v>BR_IMC_DSY_LANCH_ND_NC_2020Q3AUG_NVS_Nivus-Launch-Consideracao</v>
      </c>
      <c r="AY346" s="28" t="str">
        <f t="shared" si="6"/>
        <v>#N/A</v>
      </c>
      <c r="AZ346" s="22" t="s">
        <v>107</v>
      </c>
      <c r="BA346" s="22" t="s">
        <v>108</v>
      </c>
      <c r="BB346" s="31" t="s">
        <v>109</v>
      </c>
      <c r="BC346" s="31" t="s">
        <v>109</v>
      </c>
      <c r="BD346" s="32" t="str">
        <f t="shared" si="8"/>
        <v>nvl-nvs-imc-dsy-0820-10340</v>
      </c>
      <c r="BE346" s="33"/>
      <c r="BF346" s="33"/>
      <c r="BG346" s="39" t="str">
        <f>URL&amp;IF(ISNUMBER(FIND("?",URL)),"&amp;","?"&amp;("adlid="&amp;Unique_ID&amp;"&amp;adplt="&amp;Placement))</f>
        <v>#N/A</v>
      </c>
      <c r="BH346" s="1"/>
      <c r="BI346" s="1"/>
      <c r="BJ346" s="35" t="str">
        <f>LOWER("alp"&amp;"_"&amp;"vw"&amp;"_"&amp;Veiculo&amp;"_"&amp;C342&amp;"_"&amp;Objetivo)</f>
        <v>alp_vw___</v>
      </c>
      <c r="BK346" s="35" t="str">
        <f>LOWER(Buying_Metric&amp;"_"&amp;VLOOKUP(Buying_Type,Buy_type,2,FALSE)&amp;"_"&amp;Device&amp;"_"&amp;Size&amp;"_"&amp;Segmentação&amp;"_"&amp;Segmentação_Anúncio)</f>
        <v>#N/A</v>
      </c>
      <c r="BL346" s="35" t="str">
        <f>LOWER(Campanha_ou_InsertionOrder&amp;"_"&amp;LineItem_ou_Grupodeanúncio&amp;"_"&amp;Linha_criativa_2&amp;"_"&amp;Unique_ID)</f>
        <v>#N/A</v>
      </c>
      <c r="BM346" s="27"/>
      <c r="BN346" s="27"/>
    </row>
    <row r="347">
      <c r="A347" s="1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8" t="str">
        <f>LOWER(Campanha_ou_InsertionOrder&amp;"_"&amp;LineItem_ou_Grupodeanúncio&amp;"_"&amp;Linha_Criativa&amp;"_"&amp;Unique_ID)</f>
        <v>#N/A</v>
      </c>
      <c r="AN347" s="28" t="str">
        <f>LOWER(Campanha_ou_InsertionOrder&amp;"_"&amp;LineItem_ou_Grupodeanúncio&amp;"_"&amp;Linha_Criativa&amp;"_"&amp;Unique_ID)</f>
        <v>#N/A</v>
      </c>
      <c r="AO347" s="28" t="str">
        <f>LOWER("VW"&amp;"_"&amp;Model_Variant&amp;"_"&amp;Size&amp;"_"&amp;Linha_Criativa&amp;"_"&amp;IF(Servido_Por="portal",Veiculo,"adserver"))</f>
        <v>vw____adserver</v>
      </c>
      <c r="AP3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7" s="22" t="str">
        <f t="shared" si="1"/>
        <v/>
      </c>
      <c r="AS347" s="22" t="str">
        <f t="shared" si="2"/>
        <v/>
      </c>
      <c r="AT347" s="22" t="str">
        <f t="shared" si="3"/>
        <v>BR_IMC_DSY_LANCH_ND_NC_2020Q3AUG_NVS_Nivus-Launch-Consideracao</v>
      </c>
      <c r="AU347" s="22" t="str">
        <f t="shared" si="4"/>
        <v>#N/A</v>
      </c>
      <c r="AV347" s="22" t="s">
        <v>106</v>
      </c>
      <c r="AW3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7" s="22" t="str">
        <f t="shared" si="5"/>
        <v>BR_IMC_DSY_LANCH_ND_NC_2020Q3AUG_NVS_Nivus-Launch-Consideracao</v>
      </c>
      <c r="AY347" s="28" t="str">
        <f t="shared" si="6"/>
        <v>#N/A</v>
      </c>
      <c r="AZ347" s="22" t="s">
        <v>107</v>
      </c>
      <c r="BA347" s="22" t="s">
        <v>108</v>
      </c>
      <c r="BB347" s="31" t="s">
        <v>109</v>
      </c>
      <c r="BC347" s="31" t="s">
        <v>109</v>
      </c>
      <c r="BD347" s="32" t="str">
        <f t="shared" si="8"/>
        <v>nvl-nvs-imc-dsy-0820-10341</v>
      </c>
      <c r="BE347" s="33"/>
      <c r="BF347" s="33"/>
      <c r="BG347" s="39" t="str">
        <f>URL&amp;IF(ISNUMBER(FIND("?",URL)),"&amp;","?"&amp;("adlid="&amp;Unique_ID&amp;"&amp;adplt="&amp;Placement))</f>
        <v>#N/A</v>
      </c>
      <c r="BH347" s="1"/>
      <c r="BI347" s="1"/>
      <c r="BJ347" s="35" t="str">
        <f>LOWER("alp"&amp;"_"&amp;"vw"&amp;"_"&amp;Veiculo&amp;"_"&amp;C343&amp;"_"&amp;Objetivo)</f>
        <v>alp_vw___</v>
      </c>
      <c r="BK347" s="35" t="str">
        <f>LOWER(Buying_Metric&amp;"_"&amp;VLOOKUP(Buying_Type,Buy_type,2,FALSE)&amp;"_"&amp;Device&amp;"_"&amp;Size&amp;"_"&amp;Segmentação&amp;"_"&amp;Segmentação_Anúncio)</f>
        <v>#N/A</v>
      </c>
      <c r="BL347" s="35" t="str">
        <f>LOWER(Campanha_ou_InsertionOrder&amp;"_"&amp;LineItem_ou_Grupodeanúncio&amp;"_"&amp;Linha_criativa_2&amp;"_"&amp;Unique_ID)</f>
        <v>#N/A</v>
      </c>
      <c r="BM347" s="27"/>
      <c r="BN347" s="27"/>
    </row>
    <row r="348">
      <c r="A348" s="1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8" t="str">
        <f>LOWER(Campanha_ou_InsertionOrder&amp;"_"&amp;LineItem_ou_Grupodeanúncio&amp;"_"&amp;Linha_Criativa&amp;"_"&amp;Unique_ID)</f>
        <v>#N/A</v>
      </c>
      <c r="AN348" s="28" t="str">
        <f>LOWER(Campanha_ou_InsertionOrder&amp;"_"&amp;LineItem_ou_Grupodeanúncio&amp;"_"&amp;Linha_Criativa&amp;"_"&amp;Unique_ID)</f>
        <v>#N/A</v>
      </c>
      <c r="AO348" s="28" t="str">
        <f>LOWER("VW"&amp;"_"&amp;Model_Variant&amp;"_"&amp;Size&amp;"_"&amp;Linha_Criativa&amp;"_"&amp;IF(Servido_Por="portal",Veiculo,"adserver"))</f>
        <v>vw____adserver</v>
      </c>
      <c r="AP3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8" s="22" t="str">
        <f t="shared" si="1"/>
        <v/>
      </c>
      <c r="AS348" s="22" t="str">
        <f t="shared" si="2"/>
        <v/>
      </c>
      <c r="AT348" s="22" t="str">
        <f t="shared" si="3"/>
        <v>BR_IMC_DSY_LANCH_ND_NC_2020Q3AUG_NVS_Nivus-Launch-Consideracao</v>
      </c>
      <c r="AU348" s="22" t="str">
        <f t="shared" si="4"/>
        <v>#N/A</v>
      </c>
      <c r="AV348" s="22" t="s">
        <v>106</v>
      </c>
      <c r="AW3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8" s="22" t="str">
        <f t="shared" si="5"/>
        <v>BR_IMC_DSY_LANCH_ND_NC_2020Q3AUG_NVS_Nivus-Launch-Consideracao</v>
      </c>
      <c r="AY348" s="28" t="str">
        <f t="shared" si="6"/>
        <v>#N/A</v>
      </c>
      <c r="AZ348" s="22" t="s">
        <v>107</v>
      </c>
      <c r="BA348" s="22" t="s">
        <v>108</v>
      </c>
      <c r="BB348" s="31" t="s">
        <v>109</v>
      </c>
      <c r="BC348" s="31" t="s">
        <v>109</v>
      </c>
      <c r="BD348" s="32" t="str">
        <f t="shared" si="8"/>
        <v>nvl-nvs-imc-dsy-0820-10342</v>
      </c>
      <c r="BE348" s="33"/>
      <c r="BF348" s="33"/>
      <c r="BG348" s="39" t="str">
        <f>URL&amp;IF(ISNUMBER(FIND("?",URL)),"&amp;","?"&amp;("adlid="&amp;Unique_ID&amp;"&amp;adplt="&amp;Placement))</f>
        <v>#N/A</v>
      </c>
      <c r="BH348" s="1"/>
      <c r="BI348" s="1"/>
      <c r="BJ348" s="35" t="str">
        <f>LOWER("alp"&amp;"_"&amp;"vw"&amp;"_"&amp;Veiculo&amp;"_"&amp;C344&amp;"_"&amp;Objetivo)</f>
        <v>alp_vw___</v>
      </c>
      <c r="BK348" s="35" t="str">
        <f>LOWER(Buying_Metric&amp;"_"&amp;VLOOKUP(Buying_Type,Buy_type,2,FALSE)&amp;"_"&amp;Device&amp;"_"&amp;Size&amp;"_"&amp;Segmentação&amp;"_"&amp;Segmentação_Anúncio)</f>
        <v>#N/A</v>
      </c>
      <c r="BL348" s="35" t="str">
        <f>LOWER(Campanha_ou_InsertionOrder&amp;"_"&amp;LineItem_ou_Grupodeanúncio&amp;"_"&amp;Linha_criativa_2&amp;"_"&amp;Unique_ID)</f>
        <v>#N/A</v>
      </c>
      <c r="BM348" s="27"/>
      <c r="BN348" s="27"/>
    </row>
    <row r="349">
      <c r="A349" s="1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8" t="str">
        <f>LOWER(Campanha_ou_InsertionOrder&amp;"_"&amp;LineItem_ou_Grupodeanúncio&amp;"_"&amp;Linha_Criativa&amp;"_"&amp;Unique_ID)</f>
        <v>#N/A</v>
      </c>
      <c r="AN349" s="28" t="str">
        <f>LOWER(Campanha_ou_InsertionOrder&amp;"_"&amp;LineItem_ou_Grupodeanúncio&amp;"_"&amp;Linha_Criativa&amp;"_"&amp;Unique_ID)</f>
        <v>#N/A</v>
      </c>
      <c r="AO349" s="28" t="str">
        <f>LOWER("VW"&amp;"_"&amp;Model_Variant&amp;"_"&amp;Size&amp;"_"&amp;Linha_Criativa&amp;"_"&amp;IF(Servido_Por="portal",Veiculo,"adserver"))</f>
        <v>vw____adserver</v>
      </c>
      <c r="AP3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49" s="22" t="str">
        <f t="shared" si="1"/>
        <v/>
      </c>
      <c r="AS349" s="22" t="str">
        <f t="shared" si="2"/>
        <v/>
      </c>
      <c r="AT349" s="22" t="str">
        <f t="shared" si="3"/>
        <v>BR_IMC_DSY_LANCH_ND_NC_2020Q3AUG_NVS_Nivus-Launch-Consideracao</v>
      </c>
      <c r="AU349" s="22" t="str">
        <f t="shared" si="4"/>
        <v>#N/A</v>
      </c>
      <c r="AV349" s="22" t="s">
        <v>106</v>
      </c>
      <c r="AW3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49" s="22" t="str">
        <f t="shared" si="5"/>
        <v>BR_IMC_DSY_LANCH_ND_NC_2020Q3AUG_NVS_Nivus-Launch-Consideracao</v>
      </c>
      <c r="AY349" s="28" t="str">
        <f t="shared" si="6"/>
        <v>#N/A</v>
      </c>
      <c r="AZ349" s="22" t="s">
        <v>107</v>
      </c>
      <c r="BA349" s="22" t="s">
        <v>108</v>
      </c>
      <c r="BB349" s="31" t="s">
        <v>109</v>
      </c>
      <c r="BC349" s="31" t="s">
        <v>109</v>
      </c>
      <c r="BD349" s="32" t="str">
        <f t="shared" si="8"/>
        <v>nvl-nvs-imc-dsy-0820-10343</v>
      </c>
      <c r="BE349" s="33"/>
      <c r="BF349" s="33"/>
      <c r="BG349" s="39" t="str">
        <f>URL&amp;IF(ISNUMBER(FIND("?",URL)),"&amp;","?"&amp;("adlid="&amp;Unique_ID&amp;"&amp;adplt="&amp;Placement))</f>
        <v>#N/A</v>
      </c>
      <c r="BH349" s="1"/>
      <c r="BI349" s="1"/>
      <c r="BJ349" s="35" t="str">
        <f>LOWER("alp"&amp;"_"&amp;"vw"&amp;"_"&amp;Veiculo&amp;"_"&amp;C345&amp;"_"&amp;Objetivo)</f>
        <v>alp_vw___</v>
      </c>
      <c r="BK349" s="35" t="str">
        <f>LOWER(Buying_Metric&amp;"_"&amp;VLOOKUP(Buying_Type,Buy_type,2,FALSE)&amp;"_"&amp;Device&amp;"_"&amp;Size&amp;"_"&amp;Segmentação&amp;"_"&amp;Segmentação_Anúncio)</f>
        <v>#N/A</v>
      </c>
      <c r="BL349" s="35" t="str">
        <f>LOWER(Campanha_ou_InsertionOrder&amp;"_"&amp;LineItem_ou_Grupodeanúncio&amp;"_"&amp;Linha_criativa_2&amp;"_"&amp;Unique_ID)</f>
        <v>#N/A</v>
      </c>
      <c r="BM349" s="27"/>
      <c r="BN349" s="27"/>
    </row>
    <row r="350">
      <c r="A350" s="1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8" t="str">
        <f>LOWER(Campanha_ou_InsertionOrder&amp;"_"&amp;LineItem_ou_Grupodeanúncio&amp;"_"&amp;Linha_Criativa&amp;"_"&amp;Unique_ID)</f>
        <v>#N/A</v>
      </c>
      <c r="AN350" s="28" t="str">
        <f>LOWER(Campanha_ou_InsertionOrder&amp;"_"&amp;LineItem_ou_Grupodeanúncio&amp;"_"&amp;Linha_Criativa&amp;"_"&amp;Unique_ID)</f>
        <v>#N/A</v>
      </c>
      <c r="AO350" s="28" t="str">
        <f>LOWER("VW"&amp;"_"&amp;Model_Variant&amp;"_"&amp;Size&amp;"_"&amp;Linha_Criativa&amp;"_"&amp;IF(Servido_Por="portal",Veiculo,"adserver"))</f>
        <v>vw____adserver</v>
      </c>
      <c r="AP3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0" s="22" t="str">
        <f t="shared" si="1"/>
        <v/>
      </c>
      <c r="AS350" s="22" t="str">
        <f t="shared" si="2"/>
        <v/>
      </c>
      <c r="AT350" s="22" t="str">
        <f t="shared" si="3"/>
        <v>BR_IMC_DSY_LANCH_ND_NC_2020Q3AUG_NVS_Nivus-Launch-Consideracao</v>
      </c>
      <c r="AU350" s="22" t="str">
        <f t="shared" si="4"/>
        <v>#N/A</v>
      </c>
      <c r="AV350" s="22" t="s">
        <v>106</v>
      </c>
      <c r="AW3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0" s="22" t="str">
        <f t="shared" si="5"/>
        <v>BR_IMC_DSY_LANCH_ND_NC_2020Q3AUG_NVS_Nivus-Launch-Consideracao</v>
      </c>
      <c r="AY350" s="28" t="str">
        <f t="shared" si="6"/>
        <v>#N/A</v>
      </c>
      <c r="AZ350" s="22" t="s">
        <v>107</v>
      </c>
      <c r="BA350" s="22" t="s">
        <v>108</v>
      </c>
      <c r="BB350" s="31" t="s">
        <v>109</v>
      </c>
      <c r="BC350" s="31" t="s">
        <v>109</v>
      </c>
      <c r="BD350" s="32" t="str">
        <f t="shared" si="8"/>
        <v>nvl-nvs-imc-dsy-0820-10344</v>
      </c>
      <c r="BE350" s="33"/>
      <c r="BF350" s="33"/>
      <c r="BG350" s="39" t="str">
        <f>URL&amp;IF(ISNUMBER(FIND("?",URL)),"&amp;","?"&amp;("adlid="&amp;Unique_ID&amp;"&amp;adplt="&amp;Placement))</f>
        <v>#N/A</v>
      </c>
      <c r="BH350" s="1"/>
      <c r="BI350" s="1"/>
      <c r="BJ350" s="35" t="str">
        <f>LOWER("alp"&amp;"_"&amp;"vw"&amp;"_"&amp;Veiculo&amp;"_"&amp;C346&amp;"_"&amp;Objetivo)</f>
        <v>alp_vw___</v>
      </c>
      <c r="BK350" s="35" t="str">
        <f>LOWER(Buying_Metric&amp;"_"&amp;VLOOKUP(Buying_Type,Buy_type,2,FALSE)&amp;"_"&amp;Device&amp;"_"&amp;Size&amp;"_"&amp;Segmentação&amp;"_"&amp;Segmentação_Anúncio)</f>
        <v>#N/A</v>
      </c>
      <c r="BL350" s="35" t="str">
        <f>LOWER(Campanha_ou_InsertionOrder&amp;"_"&amp;LineItem_ou_Grupodeanúncio&amp;"_"&amp;Linha_criativa_2&amp;"_"&amp;Unique_ID)</f>
        <v>#N/A</v>
      </c>
      <c r="BM350" s="27"/>
      <c r="BN350" s="27"/>
    </row>
    <row r="351">
      <c r="A351" s="1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8" t="str">
        <f>LOWER(Campanha_ou_InsertionOrder&amp;"_"&amp;LineItem_ou_Grupodeanúncio&amp;"_"&amp;Linha_Criativa&amp;"_"&amp;Unique_ID)</f>
        <v>#N/A</v>
      </c>
      <c r="AN351" s="28" t="str">
        <f>LOWER(Campanha_ou_InsertionOrder&amp;"_"&amp;LineItem_ou_Grupodeanúncio&amp;"_"&amp;Linha_Criativa&amp;"_"&amp;Unique_ID)</f>
        <v>#N/A</v>
      </c>
      <c r="AO351" s="28" t="str">
        <f>LOWER("VW"&amp;"_"&amp;Model_Variant&amp;"_"&amp;Size&amp;"_"&amp;Linha_Criativa&amp;"_"&amp;IF(Servido_Por="portal",Veiculo,"adserver"))</f>
        <v>vw____adserver</v>
      </c>
      <c r="AP3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1" s="22" t="str">
        <f t="shared" si="1"/>
        <v/>
      </c>
      <c r="AS351" s="22" t="str">
        <f t="shared" si="2"/>
        <v/>
      </c>
      <c r="AT351" s="22" t="str">
        <f t="shared" si="3"/>
        <v>BR_IMC_DSY_LANCH_ND_NC_2020Q3AUG_NVS_Nivus-Launch-Consideracao</v>
      </c>
      <c r="AU351" s="22" t="str">
        <f t="shared" si="4"/>
        <v>#N/A</v>
      </c>
      <c r="AV351" s="22" t="s">
        <v>106</v>
      </c>
      <c r="AW3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1" s="22" t="str">
        <f t="shared" si="5"/>
        <v>BR_IMC_DSY_LANCH_ND_NC_2020Q3AUG_NVS_Nivus-Launch-Consideracao</v>
      </c>
      <c r="AY351" s="28" t="str">
        <f t="shared" si="6"/>
        <v>#N/A</v>
      </c>
      <c r="AZ351" s="22" t="s">
        <v>107</v>
      </c>
      <c r="BA351" s="22" t="s">
        <v>108</v>
      </c>
      <c r="BB351" s="31" t="s">
        <v>109</v>
      </c>
      <c r="BC351" s="31" t="s">
        <v>109</v>
      </c>
      <c r="BD351" s="32" t="str">
        <f t="shared" si="8"/>
        <v>nvl-nvs-imc-dsy-0820-10345</v>
      </c>
      <c r="BE351" s="33"/>
      <c r="BF351" s="33"/>
      <c r="BG351" s="39" t="str">
        <f>URL&amp;IF(ISNUMBER(FIND("?",URL)),"&amp;","?"&amp;("adlid="&amp;Unique_ID&amp;"&amp;adplt="&amp;Placement))</f>
        <v>#N/A</v>
      </c>
      <c r="BH351" s="1"/>
      <c r="BI351" s="1"/>
      <c r="BJ351" s="35" t="str">
        <f>LOWER("alp"&amp;"_"&amp;"vw"&amp;"_"&amp;Veiculo&amp;"_"&amp;C347&amp;"_"&amp;Objetivo)</f>
        <v>alp_vw___</v>
      </c>
      <c r="BK351" s="35" t="str">
        <f>LOWER(Buying_Metric&amp;"_"&amp;VLOOKUP(Buying_Type,Buy_type,2,FALSE)&amp;"_"&amp;Device&amp;"_"&amp;Size&amp;"_"&amp;Segmentação&amp;"_"&amp;Segmentação_Anúncio)</f>
        <v>#N/A</v>
      </c>
      <c r="BL351" s="35" t="str">
        <f>LOWER(Campanha_ou_InsertionOrder&amp;"_"&amp;LineItem_ou_Grupodeanúncio&amp;"_"&amp;Linha_criativa_2&amp;"_"&amp;Unique_ID)</f>
        <v>#N/A</v>
      </c>
      <c r="BM351" s="27"/>
      <c r="BN351" s="27"/>
    </row>
    <row r="352">
      <c r="A352" s="1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8" t="str">
        <f>LOWER(Campanha_ou_InsertionOrder&amp;"_"&amp;LineItem_ou_Grupodeanúncio&amp;"_"&amp;Linha_Criativa&amp;"_"&amp;Unique_ID)</f>
        <v>#N/A</v>
      </c>
      <c r="AN352" s="28" t="str">
        <f>LOWER(Campanha_ou_InsertionOrder&amp;"_"&amp;LineItem_ou_Grupodeanúncio&amp;"_"&amp;Linha_Criativa&amp;"_"&amp;Unique_ID)</f>
        <v>#N/A</v>
      </c>
      <c r="AO352" s="28" t="str">
        <f>LOWER("VW"&amp;"_"&amp;Model_Variant&amp;"_"&amp;Size&amp;"_"&amp;Linha_Criativa&amp;"_"&amp;IF(Servido_Por="portal",Veiculo,"adserver"))</f>
        <v>vw____adserver</v>
      </c>
      <c r="AP3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2" s="22" t="str">
        <f t="shared" si="1"/>
        <v/>
      </c>
      <c r="AS352" s="22" t="str">
        <f t="shared" si="2"/>
        <v/>
      </c>
      <c r="AT352" s="22" t="str">
        <f t="shared" si="3"/>
        <v>BR_IMC_DSY_LANCH_ND_NC_2020Q3AUG_NVS_Nivus-Launch-Consideracao</v>
      </c>
      <c r="AU352" s="22" t="str">
        <f t="shared" si="4"/>
        <v>#N/A</v>
      </c>
      <c r="AV352" s="22" t="s">
        <v>106</v>
      </c>
      <c r="AW3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2" s="22" t="str">
        <f t="shared" si="5"/>
        <v>BR_IMC_DSY_LANCH_ND_NC_2020Q3AUG_NVS_Nivus-Launch-Consideracao</v>
      </c>
      <c r="AY352" s="28" t="str">
        <f t="shared" si="6"/>
        <v>#N/A</v>
      </c>
      <c r="AZ352" s="22" t="s">
        <v>107</v>
      </c>
      <c r="BA352" s="22" t="s">
        <v>108</v>
      </c>
      <c r="BB352" s="31" t="s">
        <v>109</v>
      </c>
      <c r="BC352" s="31" t="s">
        <v>109</v>
      </c>
      <c r="BD352" s="32" t="str">
        <f t="shared" si="8"/>
        <v>nvl-nvs-imc-dsy-0820-10346</v>
      </c>
      <c r="BE352" s="33"/>
      <c r="BF352" s="33"/>
      <c r="BG352" s="39" t="str">
        <f>URL&amp;IF(ISNUMBER(FIND("?",URL)),"&amp;","?"&amp;("adlid="&amp;Unique_ID&amp;"&amp;adplt="&amp;Placement))</f>
        <v>#N/A</v>
      </c>
      <c r="BH352" s="1"/>
      <c r="BI352" s="1"/>
      <c r="BJ352" s="35" t="str">
        <f>LOWER("alp"&amp;"_"&amp;"vw"&amp;"_"&amp;Veiculo&amp;"_"&amp;C348&amp;"_"&amp;Objetivo)</f>
        <v>alp_vw___</v>
      </c>
      <c r="BK352" s="35" t="str">
        <f>LOWER(Buying_Metric&amp;"_"&amp;VLOOKUP(Buying_Type,Buy_type,2,FALSE)&amp;"_"&amp;Device&amp;"_"&amp;Size&amp;"_"&amp;Segmentação&amp;"_"&amp;Segmentação_Anúncio)</f>
        <v>#N/A</v>
      </c>
      <c r="BL352" s="35" t="str">
        <f>LOWER(Campanha_ou_InsertionOrder&amp;"_"&amp;LineItem_ou_Grupodeanúncio&amp;"_"&amp;Linha_criativa_2&amp;"_"&amp;Unique_ID)</f>
        <v>#N/A</v>
      </c>
      <c r="BM352" s="27"/>
      <c r="BN352" s="27"/>
    </row>
    <row r="353">
      <c r="A353" s="1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8" t="str">
        <f>LOWER(Campanha_ou_InsertionOrder&amp;"_"&amp;LineItem_ou_Grupodeanúncio&amp;"_"&amp;Linha_Criativa&amp;"_"&amp;Unique_ID)</f>
        <v>#N/A</v>
      </c>
      <c r="AN353" s="28" t="str">
        <f>LOWER(Campanha_ou_InsertionOrder&amp;"_"&amp;LineItem_ou_Grupodeanúncio&amp;"_"&amp;Linha_Criativa&amp;"_"&amp;Unique_ID)</f>
        <v>#N/A</v>
      </c>
      <c r="AO353" s="28" t="str">
        <f>LOWER("VW"&amp;"_"&amp;Model_Variant&amp;"_"&amp;Size&amp;"_"&amp;Linha_Criativa&amp;"_"&amp;IF(Servido_Por="portal",Veiculo,"adserver"))</f>
        <v>vw____adserver</v>
      </c>
      <c r="AP3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3" s="22" t="str">
        <f t="shared" si="1"/>
        <v/>
      </c>
      <c r="AS353" s="22" t="str">
        <f t="shared" si="2"/>
        <v/>
      </c>
      <c r="AT353" s="22" t="str">
        <f t="shared" si="3"/>
        <v>BR_IMC_DSY_LANCH_ND_NC_2020Q3AUG_NVS_Nivus-Launch-Consideracao</v>
      </c>
      <c r="AU353" s="22" t="str">
        <f t="shared" si="4"/>
        <v>#N/A</v>
      </c>
      <c r="AV353" s="22" t="s">
        <v>106</v>
      </c>
      <c r="AW3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3" s="22" t="str">
        <f t="shared" si="5"/>
        <v>BR_IMC_DSY_LANCH_ND_NC_2020Q3AUG_NVS_Nivus-Launch-Consideracao</v>
      </c>
      <c r="AY353" s="28" t="str">
        <f t="shared" si="6"/>
        <v>#N/A</v>
      </c>
      <c r="AZ353" s="22" t="s">
        <v>107</v>
      </c>
      <c r="BA353" s="22" t="s">
        <v>108</v>
      </c>
      <c r="BB353" s="31" t="s">
        <v>109</v>
      </c>
      <c r="BC353" s="31" t="s">
        <v>109</v>
      </c>
      <c r="BD353" s="32" t="str">
        <f t="shared" si="8"/>
        <v>nvl-nvs-imc-dsy-0820-10347</v>
      </c>
      <c r="BE353" s="33"/>
      <c r="BF353" s="33"/>
      <c r="BG353" s="39" t="str">
        <f>URL&amp;IF(ISNUMBER(FIND("?",URL)),"&amp;","?"&amp;("adlid="&amp;Unique_ID&amp;"&amp;adplt="&amp;Placement))</f>
        <v>#N/A</v>
      </c>
      <c r="BH353" s="1"/>
      <c r="BI353" s="1"/>
      <c r="BJ353" s="35" t="str">
        <f>LOWER("alp"&amp;"_"&amp;"vw"&amp;"_"&amp;Veiculo&amp;"_"&amp;C349&amp;"_"&amp;Objetivo)</f>
        <v>alp_vw___</v>
      </c>
      <c r="BK353" s="35" t="str">
        <f>LOWER(Buying_Metric&amp;"_"&amp;VLOOKUP(Buying_Type,Buy_type,2,FALSE)&amp;"_"&amp;Device&amp;"_"&amp;Size&amp;"_"&amp;Segmentação&amp;"_"&amp;Segmentação_Anúncio)</f>
        <v>#N/A</v>
      </c>
      <c r="BL353" s="35" t="str">
        <f>LOWER(Campanha_ou_InsertionOrder&amp;"_"&amp;LineItem_ou_Grupodeanúncio&amp;"_"&amp;Linha_criativa_2&amp;"_"&amp;Unique_ID)</f>
        <v>#N/A</v>
      </c>
      <c r="BM353" s="27"/>
      <c r="BN353" s="27"/>
    </row>
    <row r="354">
      <c r="A354" s="1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8" t="str">
        <f>LOWER(Campanha_ou_InsertionOrder&amp;"_"&amp;LineItem_ou_Grupodeanúncio&amp;"_"&amp;Linha_Criativa&amp;"_"&amp;Unique_ID)</f>
        <v>#N/A</v>
      </c>
      <c r="AN354" s="28" t="str">
        <f>LOWER(Campanha_ou_InsertionOrder&amp;"_"&amp;LineItem_ou_Grupodeanúncio&amp;"_"&amp;Linha_Criativa&amp;"_"&amp;Unique_ID)</f>
        <v>#N/A</v>
      </c>
      <c r="AO354" s="28" t="str">
        <f>LOWER("VW"&amp;"_"&amp;Model_Variant&amp;"_"&amp;Size&amp;"_"&amp;Linha_Criativa&amp;"_"&amp;IF(Servido_Por="portal",Veiculo,"adserver"))</f>
        <v>vw____adserver</v>
      </c>
      <c r="AP3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4" s="22" t="str">
        <f t="shared" si="1"/>
        <v/>
      </c>
      <c r="AS354" s="22" t="str">
        <f t="shared" si="2"/>
        <v/>
      </c>
      <c r="AT354" s="22" t="str">
        <f t="shared" si="3"/>
        <v>BR_IMC_DSY_LANCH_ND_NC_2020Q3AUG_NVS_Nivus-Launch-Consideracao</v>
      </c>
      <c r="AU354" s="22" t="str">
        <f t="shared" si="4"/>
        <v>#N/A</v>
      </c>
      <c r="AV354" s="22" t="s">
        <v>106</v>
      </c>
      <c r="AW3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4" s="22" t="str">
        <f t="shared" si="5"/>
        <v>BR_IMC_DSY_LANCH_ND_NC_2020Q3AUG_NVS_Nivus-Launch-Consideracao</v>
      </c>
      <c r="AY354" s="28" t="str">
        <f t="shared" si="6"/>
        <v>#N/A</v>
      </c>
      <c r="AZ354" s="22" t="s">
        <v>107</v>
      </c>
      <c r="BA354" s="22" t="s">
        <v>108</v>
      </c>
      <c r="BB354" s="31" t="s">
        <v>109</v>
      </c>
      <c r="BC354" s="31" t="s">
        <v>109</v>
      </c>
      <c r="BD354" s="32" t="str">
        <f t="shared" si="8"/>
        <v>nvl-nvs-imc-dsy-0820-10348</v>
      </c>
      <c r="BE354" s="33"/>
      <c r="BF354" s="33"/>
      <c r="BG354" s="39" t="str">
        <f>URL&amp;IF(ISNUMBER(FIND("?",URL)),"&amp;","?"&amp;("adlid="&amp;Unique_ID&amp;"&amp;adplt="&amp;Placement))</f>
        <v>#N/A</v>
      </c>
      <c r="BH354" s="1"/>
      <c r="BI354" s="1"/>
      <c r="BJ354" s="35" t="str">
        <f>LOWER("alp"&amp;"_"&amp;"vw"&amp;"_"&amp;Veiculo&amp;"_"&amp;C350&amp;"_"&amp;Objetivo)</f>
        <v>alp_vw___</v>
      </c>
      <c r="BK354" s="35" t="str">
        <f>LOWER(Buying_Metric&amp;"_"&amp;VLOOKUP(Buying_Type,Buy_type,2,FALSE)&amp;"_"&amp;Device&amp;"_"&amp;Size&amp;"_"&amp;Segmentação&amp;"_"&amp;Segmentação_Anúncio)</f>
        <v>#N/A</v>
      </c>
      <c r="BL354" s="35" t="str">
        <f>LOWER(Campanha_ou_InsertionOrder&amp;"_"&amp;LineItem_ou_Grupodeanúncio&amp;"_"&amp;Linha_criativa_2&amp;"_"&amp;Unique_ID)</f>
        <v>#N/A</v>
      </c>
      <c r="BM354" s="27"/>
      <c r="BN354" s="27"/>
    </row>
    <row r="355">
      <c r="A355" s="1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8" t="str">
        <f>LOWER(Campanha_ou_InsertionOrder&amp;"_"&amp;LineItem_ou_Grupodeanúncio&amp;"_"&amp;Linha_Criativa&amp;"_"&amp;Unique_ID)</f>
        <v>#N/A</v>
      </c>
      <c r="AN355" s="28" t="str">
        <f>LOWER(Campanha_ou_InsertionOrder&amp;"_"&amp;LineItem_ou_Grupodeanúncio&amp;"_"&amp;Linha_Criativa&amp;"_"&amp;Unique_ID)</f>
        <v>#N/A</v>
      </c>
      <c r="AO355" s="28" t="str">
        <f>LOWER("VW"&amp;"_"&amp;Model_Variant&amp;"_"&amp;Size&amp;"_"&amp;Linha_Criativa&amp;"_"&amp;IF(Servido_Por="portal",Veiculo,"adserver"))</f>
        <v>vw____adserver</v>
      </c>
      <c r="AP3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5" s="22" t="str">
        <f t="shared" si="1"/>
        <v/>
      </c>
      <c r="AS355" s="22" t="str">
        <f t="shared" si="2"/>
        <v/>
      </c>
      <c r="AT355" s="22" t="str">
        <f t="shared" si="3"/>
        <v>BR_IMC_DSY_LANCH_ND_NC_2020Q3AUG_NVS_Nivus-Launch-Consideracao</v>
      </c>
      <c r="AU355" s="22" t="str">
        <f t="shared" si="4"/>
        <v>#N/A</v>
      </c>
      <c r="AV355" s="22" t="s">
        <v>106</v>
      </c>
      <c r="AW3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5" s="22" t="str">
        <f t="shared" si="5"/>
        <v>BR_IMC_DSY_LANCH_ND_NC_2020Q3AUG_NVS_Nivus-Launch-Consideracao</v>
      </c>
      <c r="AY355" s="28" t="str">
        <f t="shared" si="6"/>
        <v>#N/A</v>
      </c>
      <c r="AZ355" s="22" t="s">
        <v>107</v>
      </c>
      <c r="BA355" s="22" t="s">
        <v>108</v>
      </c>
      <c r="BB355" s="31" t="s">
        <v>109</v>
      </c>
      <c r="BC355" s="31" t="s">
        <v>109</v>
      </c>
      <c r="BD355" s="32" t="str">
        <f t="shared" si="8"/>
        <v>nvl-nvs-imc-dsy-0820-10349</v>
      </c>
      <c r="BE355" s="33"/>
      <c r="BF355" s="33"/>
      <c r="BG355" s="39" t="str">
        <f>URL&amp;IF(ISNUMBER(FIND("?",URL)),"&amp;","?"&amp;("adlid="&amp;Unique_ID&amp;"&amp;adplt="&amp;Placement))</f>
        <v>#N/A</v>
      </c>
      <c r="BH355" s="1"/>
      <c r="BI355" s="1"/>
      <c r="BJ355" s="35" t="str">
        <f>LOWER("alp"&amp;"_"&amp;"vw"&amp;"_"&amp;Veiculo&amp;"_"&amp;C351&amp;"_"&amp;Objetivo)</f>
        <v>alp_vw___</v>
      </c>
      <c r="BK355" s="35" t="str">
        <f>LOWER(Buying_Metric&amp;"_"&amp;VLOOKUP(Buying_Type,Buy_type,2,FALSE)&amp;"_"&amp;Device&amp;"_"&amp;Size&amp;"_"&amp;Segmentação&amp;"_"&amp;Segmentação_Anúncio)</f>
        <v>#N/A</v>
      </c>
      <c r="BL355" s="35" t="str">
        <f>LOWER(Campanha_ou_InsertionOrder&amp;"_"&amp;LineItem_ou_Grupodeanúncio&amp;"_"&amp;Linha_criativa_2&amp;"_"&amp;Unique_ID)</f>
        <v>#N/A</v>
      </c>
      <c r="BM355" s="27"/>
      <c r="BN355" s="27"/>
    </row>
    <row r="356">
      <c r="A356" s="1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8" t="str">
        <f>LOWER(Campanha_ou_InsertionOrder&amp;"_"&amp;LineItem_ou_Grupodeanúncio&amp;"_"&amp;Linha_Criativa&amp;"_"&amp;Unique_ID)</f>
        <v>#N/A</v>
      </c>
      <c r="AN356" s="28" t="str">
        <f>LOWER(Campanha_ou_InsertionOrder&amp;"_"&amp;LineItem_ou_Grupodeanúncio&amp;"_"&amp;Linha_Criativa&amp;"_"&amp;Unique_ID)</f>
        <v>#N/A</v>
      </c>
      <c r="AO356" s="28" t="str">
        <f>LOWER("VW"&amp;"_"&amp;Model_Variant&amp;"_"&amp;Size&amp;"_"&amp;Linha_Criativa&amp;"_"&amp;IF(Servido_Por="portal",Veiculo,"adserver"))</f>
        <v>vw____adserver</v>
      </c>
      <c r="AP3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6" s="22" t="str">
        <f t="shared" si="1"/>
        <v/>
      </c>
      <c r="AS356" s="22" t="str">
        <f t="shared" si="2"/>
        <v/>
      </c>
      <c r="AT356" s="22" t="str">
        <f t="shared" si="3"/>
        <v>BR_IMC_DSY_LANCH_ND_NC_2020Q3AUG_NVS_Nivus-Launch-Consideracao</v>
      </c>
      <c r="AU356" s="22" t="str">
        <f t="shared" si="4"/>
        <v>#N/A</v>
      </c>
      <c r="AV356" s="22" t="s">
        <v>106</v>
      </c>
      <c r="AW3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6" s="22" t="str">
        <f t="shared" si="5"/>
        <v>BR_IMC_DSY_LANCH_ND_NC_2020Q3AUG_NVS_Nivus-Launch-Consideracao</v>
      </c>
      <c r="AY356" s="28" t="str">
        <f t="shared" si="6"/>
        <v>#N/A</v>
      </c>
      <c r="AZ356" s="22" t="s">
        <v>107</v>
      </c>
      <c r="BA356" s="22" t="s">
        <v>108</v>
      </c>
      <c r="BB356" s="31" t="s">
        <v>109</v>
      </c>
      <c r="BC356" s="31" t="s">
        <v>109</v>
      </c>
      <c r="BD356" s="32" t="str">
        <f t="shared" si="8"/>
        <v>nvl-nvs-imc-dsy-0820-10350</v>
      </c>
      <c r="BE356" s="33"/>
      <c r="BF356" s="33"/>
      <c r="BG356" s="39" t="str">
        <f>URL&amp;IF(ISNUMBER(FIND("?",URL)),"&amp;","?"&amp;("adlid="&amp;Unique_ID&amp;"&amp;adplt="&amp;Placement))</f>
        <v>#N/A</v>
      </c>
      <c r="BH356" s="1"/>
      <c r="BI356" s="1"/>
      <c r="BJ356" s="35" t="str">
        <f>LOWER("alp"&amp;"_"&amp;"vw"&amp;"_"&amp;Veiculo&amp;"_"&amp;C352&amp;"_"&amp;Objetivo)</f>
        <v>alp_vw___</v>
      </c>
      <c r="BK356" s="35" t="str">
        <f>LOWER(Buying_Metric&amp;"_"&amp;VLOOKUP(Buying_Type,Buy_type,2,FALSE)&amp;"_"&amp;Device&amp;"_"&amp;Size&amp;"_"&amp;Segmentação&amp;"_"&amp;Segmentação_Anúncio)</f>
        <v>#N/A</v>
      </c>
      <c r="BL356" s="35" t="str">
        <f>LOWER(Campanha_ou_InsertionOrder&amp;"_"&amp;LineItem_ou_Grupodeanúncio&amp;"_"&amp;Linha_criativa_2&amp;"_"&amp;Unique_ID)</f>
        <v>#N/A</v>
      </c>
      <c r="BM356" s="27"/>
      <c r="BN356" s="27"/>
    </row>
    <row r="357">
      <c r="A357" s="1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8" t="str">
        <f>LOWER(Campanha_ou_InsertionOrder&amp;"_"&amp;LineItem_ou_Grupodeanúncio&amp;"_"&amp;Linha_Criativa&amp;"_"&amp;Unique_ID)</f>
        <v>#N/A</v>
      </c>
      <c r="AN357" s="28" t="str">
        <f>LOWER(Campanha_ou_InsertionOrder&amp;"_"&amp;LineItem_ou_Grupodeanúncio&amp;"_"&amp;Linha_Criativa&amp;"_"&amp;Unique_ID)</f>
        <v>#N/A</v>
      </c>
      <c r="AO357" s="28" t="str">
        <f>LOWER("VW"&amp;"_"&amp;Model_Variant&amp;"_"&amp;Size&amp;"_"&amp;Linha_Criativa&amp;"_"&amp;IF(Servido_Por="portal",Veiculo,"adserver"))</f>
        <v>vw____adserver</v>
      </c>
      <c r="AP3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7" s="22" t="str">
        <f t="shared" si="1"/>
        <v/>
      </c>
      <c r="AS357" s="22" t="str">
        <f t="shared" si="2"/>
        <v/>
      </c>
      <c r="AT357" s="22" t="str">
        <f t="shared" si="3"/>
        <v>BR_IMC_DSY_LANCH_ND_NC_2020Q3AUG_NVS_Nivus-Launch-Consideracao</v>
      </c>
      <c r="AU357" s="22" t="str">
        <f t="shared" si="4"/>
        <v>#N/A</v>
      </c>
      <c r="AV357" s="22" t="s">
        <v>106</v>
      </c>
      <c r="AW3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7" s="22" t="str">
        <f t="shared" si="5"/>
        <v>BR_IMC_DSY_LANCH_ND_NC_2020Q3AUG_NVS_Nivus-Launch-Consideracao</v>
      </c>
      <c r="AY357" s="28" t="str">
        <f t="shared" si="6"/>
        <v>#N/A</v>
      </c>
      <c r="AZ357" s="22" t="s">
        <v>107</v>
      </c>
      <c r="BA357" s="22" t="s">
        <v>108</v>
      </c>
      <c r="BB357" s="31" t="s">
        <v>109</v>
      </c>
      <c r="BC357" s="31" t="s">
        <v>109</v>
      </c>
      <c r="BD357" s="32" t="str">
        <f t="shared" si="8"/>
        <v>nvl-nvs-imc-dsy-0820-10351</v>
      </c>
      <c r="BE357" s="33"/>
      <c r="BF357" s="33"/>
      <c r="BG357" s="39" t="str">
        <f>URL&amp;IF(ISNUMBER(FIND("?",URL)),"&amp;","?"&amp;("adlid="&amp;Unique_ID&amp;"&amp;adplt="&amp;Placement))</f>
        <v>#N/A</v>
      </c>
      <c r="BH357" s="1"/>
      <c r="BI357" s="1"/>
      <c r="BJ357" s="35" t="str">
        <f>LOWER("alp"&amp;"_"&amp;"vw"&amp;"_"&amp;Veiculo&amp;"_"&amp;C353&amp;"_"&amp;Objetivo)</f>
        <v>alp_vw___</v>
      </c>
      <c r="BK357" s="35" t="str">
        <f>LOWER(Buying_Metric&amp;"_"&amp;VLOOKUP(Buying_Type,Buy_type,2,FALSE)&amp;"_"&amp;Device&amp;"_"&amp;Size&amp;"_"&amp;Segmentação&amp;"_"&amp;Segmentação_Anúncio)</f>
        <v>#N/A</v>
      </c>
      <c r="BL357" s="35" t="str">
        <f>LOWER(Campanha_ou_InsertionOrder&amp;"_"&amp;LineItem_ou_Grupodeanúncio&amp;"_"&amp;Linha_criativa_2&amp;"_"&amp;Unique_ID)</f>
        <v>#N/A</v>
      </c>
      <c r="BM357" s="27"/>
      <c r="BN357" s="27"/>
    </row>
    <row r="358">
      <c r="A358" s="1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8" t="str">
        <f>LOWER(Campanha_ou_InsertionOrder&amp;"_"&amp;LineItem_ou_Grupodeanúncio&amp;"_"&amp;Linha_Criativa&amp;"_"&amp;Unique_ID)</f>
        <v>#N/A</v>
      </c>
      <c r="AN358" s="28" t="str">
        <f>LOWER(Campanha_ou_InsertionOrder&amp;"_"&amp;LineItem_ou_Grupodeanúncio&amp;"_"&amp;Linha_Criativa&amp;"_"&amp;Unique_ID)</f>
        <v>#N/A</v>
      </c>
      <c r="AO358" s="28" t="str">
        <f>LOWER("VW"&amp;"_"&amp;Model_Variant&amp;"_"&amp;Size&amp;"_"&amp;Linha_Criativa&amp;"_"&amp;IF(Servido_Por="portal",Veiculo,"adserver"))</f>
        <v>vw____adserver</v>
      </c>
      <c r="AP3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8" s="22" t="str">
        <f t="shared" si="1"/>
        <v/>
      </c>
      <c r="AS358" s="22" t="str">
        <f t="shared" si="2"/>
        <v/>
      </c>
      <c r="AT358" s="22" t="str">
        <f t="shared" si="3"/>
        <v>BR_IMC_DSY_LANCH_ND_NC_2020Q3AUG_NVS_Nivus-Launch-Consideracao</v>
      </c>
      <c r="AU358" s="22" t="str">
        <f t="shared" si="4"/>
        <v>#N/A</v>
      </c>
      <c r="AV358" s="22" t="s">
        <v>106</v>
      </c>
      <c r="AW3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8" s="22" t="str">
        <f t="shared" si="5"/>
        <v>BR_IMC_DSY_LANCH_ND_NC_2020Q3AUG_NVS_Nivus-Launch-Consideracao</v>
      </c>
      <c r="AY358" s="28" t="str">
        <f t="shared" si="6"/>
        <v>#N/A</v>
      </c>
      <c r="AZ358" s="22" t="s">
        <v>107</v>
      </c>
      <c r="BA358" s="22" t="s">
        <v>108</v>
      </c>
      <c r="BB358" s="31" t="s">
        <v>109</v>
      </c>
      <c r="BC358" s="31" t="s">
        <v>109</v>
      </c>
      <c r="BD358" s="32" t="str">
        <f t="shared" si="8"/>
        <v>nvl-nvs-imc-dsy-0820-10352</v>
      </c>
      <c r="BE358" s="33"/>
      <c r="BF358" s="33"/>
      <c r="BG358" s="39" t="str">
        <f>URL&amp;IF(ISNUMBER(FIND("?",URL)),"&amp;","?"&amp;("adlid="&amp;Unique_ID&amp;"&amp;adplt="&amp;Placement))</f>
        <v>#N/A</v>
      </c>
      <c r="BH358" s="1"/>
      <c r="BI358" s="1"/>
      <c r="BJ358" s="35" t="str">
        <f>LOWER("alp"&amp;"_"&amp;"vw"&amp;"_"&amp;Veiculo&amp;"_"&amp;C354&amp;"_"&amp;Objetivo)</f>
        <v>alp_vw___</v>
      </c>
      <c r="BK358" s="35" t="str">
        <f>LOWER(Buying_Metric&amp;"_"&amp;VLOOKUP(Buying_Type,Buy_type,2,FALSE)&amp;"_"&amp;Device&amp;"_"&amp;Size&amp;"_"&amp;Segmentação&amp;"_"&amp;Segmentação_Anúncio)</f>
        <v>#N/A</v>
      </c>
      <c r="BL358" s="35" t="str">
        <f>LOWER(Campanha_ou_InsertionOrder&amp;"_"&amp;LineItem_ou_Grupodeanúncio&amp;"_"&amp;Linha_criativa_2&amp;"_"&amp;Unique_ID)</f>
        <v>#N/A</v>
      </c>
      <c r="BM358" s="27"/>
      <c r="BN358" s="27"/>
    </row>
    <row r="359">
      <c r="A359" s="1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8" t="str">
        <f>LOWER(Campanha_ou_InsertionOrder&amp;"_"&amp;LineItem_ou_Grupodeanúncio&amp;"_"&amp;Linha_Criativa&amp;"_"&amp;Unique_ID)</f>
        <v>#N/A</v>
      </c>
      <c r="AN359" s="28" t="str">
        <f>LOWER(Campanha_ou_InsertionOrder&amp;"_"&amp;LineItem_ou_Grupodeanúncio&amp;"_"&amp;Linha_Criativa&amp;"_"&amp;Unique_ID)</f>
        <v>#N/A</v>
      </c>
      <c r="AO359" s="28" t="str">
        <f>LOWER("VW"&amp;"_"&amp;Model_Variant&amp;"_"&amp;Size&amp;"_"&amp;Linha_Criativa&amp;"_"&amp;IF(Servido_Por="portal",Veiculo,"adserver"))</f>
        <v>vw____adserver</v>
      </c>
      <c r="AP3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59" s="22" t="str">
        <f t="shared" si="1"/>
        <v/>
      </c>
      <c r="AS359" s="22" t="str">
        <f t="shared" si="2"/>
        <v/>
      </c>
      <c r="AT359" s="22" t="str">
        <f t="shared" si="3"/>
        <v>BR_IMC_DSY_LANCH_ND_NC_2020Q3AUG_NVS_Nivus-Launch-Consideracao</v>
      </c>
      <c r="AU359" s="22" t="str">
        <f t="shared" si="4"/>
        <v>#N/A</v>
      </c>
      <c r="AV359" s="22" t="s">
        <v>106</v>
      </c>
      <c r="AW3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59" s="22" t="str">
        <f t="shared" si="5"/>
        <v>BR_IMC_DSY_LANCH_ND_NC_2020Q3AUG_NVS_Nivus-Launch-Consideracao</v>
      </c>
      <c r="AY359" s="28" t="str">
        <f t="shared" si="6"/>
        <v>#N/A</v>
      </c>
      <c r="AZ359" s="22" t="s">
        <v>107</v>
      </c>
      <c r="BA359" s="22" t="s">
        <v>108</v>
      </c>
      <c r="BB359" s="31" t="s">
        <v>109</v>
      </c>
      <c r="BC359" s="31" t="s">
        <v>109</v>
      </c>
      <c r="BD359" s="32" t="str">
        <f t="shared" si="8"/>
        <v>nvl-nvs-imc-dsy-0820-10353</v>
      </c>
      <c r="BE359" s="33"/>
      <c r="BF359" s="33"/>
      <c r="BG359" s="39" t="str">
        <f>URL&amp;IF(ISNUMBER(FIND("?",URL)),"&amp;","?"&amp;("adlid="&amp;Unique_ID&amp;"&amp;adplt="&amp;Placement))</f>
        <v>#N/A</v>
      </c>
      <c r="BH359" s="1"/>
      <c r="BI359" s="1"/>
      <c r="BJ359" s="35" t="str">
        <f>LOWER("alp"&amp;"_"&amp;"vw"&amp;"_"&amp;Veiculo&amp;"_"&amp;C355&amp;"_"&amp;Objetivo)</f>
        <v>alp_vw___</v>
      </c>
      <c r="BK359" s="35" t="str">
        <f>LOWER(Buying_Metric&amp;"_"&amp;VLOOKUP(Buying_Type,Buy_type,2,FALSE)&amp;"_"&amp;Device&amp;"_"&amp;Size&amp;"_"&amp;Segmentação&amp;"_"&amp;Segmentação_Anúncio)</f>
        <v>#N/A</v>
      </c>
      <c r="BL359" s="35" t="str">
        <f>LOWER(Campanha_ou_InsertionOrder&amp;"_"&amp;LineItem_ou_Grupodeanúncio&amp;"_"&amp;Linha_criativa_2&amp;"_"&amp;Unique_ID)</f>
        <v>#N/A</v>
      </c>
      <c r="BM359" s="27"/>
      <c r="BN359" s="27"/>
    </row>
    <row r="360">
      <c r="A360" s="1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8" t="str">
        <f>LOWER(Campanha_ou_InsertionOrder&amp;"_"&amp;LineItem_ou_Grupodeanúncio&amp;"_"&amp;Linha_Criativa&amp;"_"&amp;Unique_ID)</f>
        <v>#N/A</v>
      </c>
      <c r="AN360" s="28" t="str">
        <f>LOWER(Campanha_ou_InsertionOrder&amp;"_"&amp;LineItem_ou_Grupodeanúncio&amp;"_"&amp;Linha_Criativa&amp;"_"&amp;Unique_ID)</f>
        <v>#N/A</v>
      </c>
      <c r="AO360" s="28" t="str">
        <f>LOWER("VW"&amp;"_"&amp;Model_Variant&amp;"_"&amp;Size&amp;"_"&amp;Linha_Criativa&amp;"_"&amp;IF(Servido_Por="portal",Veiculo,"adserver"))</f>
        <v>vw____adserver</v>
      </c>
      <c r="AP3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0" s="22" t="str">
        <f t="shared" si="1"/>
        <v/>
      </c>
      <c r="AS360" s="22" t="str">
        <f t="shared" si="2"/>
        <v/>
      </c>
      <c r="AT360" s="22" t="str">
        <f t="shared" si="3"/>
        <v>BR_IMC_DSY_LANCH_ND_NC_2020Q3AUG_NVS_Nivus-Launch-Consideracao</v>
      </c>
      <c r="AU360" s="22" t="str">
        <f t="shared" si="4"/>
        <v>#N/A</v>
      </c>
      <c r="AV360" s="22" t="s">
        <v>106</v>
      </c>
      <c r="AW3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0" s="22" t="str">
        <f t="shared" si="5"/>
        <v>BR_IMC_DSY_LANCH_ND_NC_2020Q3AUG_NVS_Nivus-Launch-Consideracao</v>
      </c>
      <c r="AY360" s="28" t="str">
        <f t="shared" si="6"/>
        <v>#N/A</v>
      </c>
      <c r="AZ360" s="22" t="s">
        <v>107</v>
      </c>
      <c r="BA360" s="22" t="s">
        <v>108</v>
      </c>
      <c r="BB360" s="31" t="s">
        <v>109</v>
      </c>
      <c r="BC360" s="31" t="s">
        <v>109</v>
      </c>
      <c r="BD360" s="32" t="str">
        <f t="shared" si="8"/>
        <v>nvl-nvs-imc-dsy-0820-10354</v>
      </c>
      <c r="BE360" s="33"/>
      <c r="BF360" s="33"/>
      <c r="BG360" s="39" t="str">
        <f>URL&amp;IF(ISNUMBER(FIND("?",URL)),"&amp;","?"&amp;("adlid="&amp;Unique_ID&amp;"&amp;adplt="&amp;Placement))</f>
        <v>#N/A</v>
      </c>
      <c r="BH360" s="1"/>
      <c r="BI360" s="1"/>
      <c r="BJ360" s="35" t="str">
        <f>LOWER("alp"&amp;"_"&amp;"vw"&amp;"_"&amp;Veiculo&amp;"_"&amp;C356&amp;"_"&amp;Objetivo)</f>
        <v>alp_vw___</v>
      </c>
      <c r="BK360" s="35" t="str">
        <f>LOWER(Buying_Metric&amp;"_"&amp;VLOOKUP(Buying_Type,Buy_type,2,FALSE)&amp;"_"&amp;Device&amp;"_"&amp;Size&amp;"_"&amp;Segmentação&amp;"_"&amp;Segmentação_Anúncio)</f>
        <v>#N/A</v>
      </c>
      <c r="BL360" s="35" t="str">
        <f>LOWER(Campanha_ou_InsertionOrder&amp;"_"&amp;LineItem_ou_Grupodeanúncio&amp;"_"&amp;Linha_criativa_2&amp;"_"&amp;Unique_ID)</f>
        <v>#N/A</v>
      </c>
      <c r="BM360" s="27"/>
      <c r="BN360" s="27"/>
    </row>
    <row r="361">
      <c r="A361" s="1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8" t="str">
        <f>LOWER(Campanha_ou_InsertionOrder&amp;"_"&amp;LineItem_ou_Grupodeanúncio&amp;"_"&amp;Linha_Criativa&amp;"_"&amp;Unique_ID)</f>
        <v>#N/A</v>
      </c>
      <c r="AN361" s="28" t="str">
        <f>LOWER(Campanha_ou_InsertionOrder&amp;"_"&amp;LineItem_ou_Grupodeanúncio&amp;"_"&amp;Linha_Criativa&amp;"_"&amp;Unique_ID)</f>
        <v>#N/A</v>
      </c>
      <c r="AO361" s="28" t="str">
        <f>LOWER("VW"&amp;"_"&amp;Model_Variant&amp;"_"&amp;Size&amp;"_"&amp;Linha_Criativa&amp;"_"&amp;IF(Servido_Por="portal",Veiculo,"adserver"))</f>
        <v>vw____adserver</v>
      </c>
      <c r="AP3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1" s="22" t="str">
        <f t="shared" si="1"/>
        <v/>
      </c>
      <c r="AS361" s="22" t="str">
        <f t="shared" si="2"/>
        <v/>
      </c>
      <c r="AT361" s="22" t="str">
        <f t="shared" si="3"/>
        <v>BR_IMC_DSY_LANCH_ND_NC_2020Q3AUG_NVS_Nivus-Launch-Consideracao</v>
      </c>
      <c r="AU361" s="22" t="str">
        <f t="shared" si="4"/>
        <v>#N/A</v>
      </c>
      <c r="AV361" s="22" t="s">
        <v>106</v>
      </c>
      <c r="AW3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1" s="22" t="str">
        <f t="shared" si="5"/>
        <v>BR_IMC_DSY_LANCH_ND_NC_2020Q3AUG_NVS_Nivus-Launch-Consideracao</v>
      </c>
      <c r="AY361" s="28" t="str">
        <f t="shared" si="6"/>
        <v>#N/A</v>
      </c>
      <c r="AZ361" s="22" t="s">
        <v>107</v>
      </c>
      <c r="BA361" s="22" t="s">
        <v>108</v>
      </c>
      <c r="BB361" s="31" t="s">
        <v>109</v>
      </c>
      <c r="BC361" s="31" t="s">
        <v>109</v>
      </c>
      <c r="BD361" s="32" t="str">
        <f t="shared" si="8"/>
        <v>nvl-nvs-imc-dsy-0820-10355</v>
      </c>
      <c r="BE361" s="33"/>
      <c r="BF361" s="33"/>
      <c r="BG361" s="39" t="str">
        <f>URL&amp;IF(ISNUMBER(FIND("?",URL)),"&amp;","?"&amp;("adlid="&amp;Unique_ID&amp;"&amp;adplt="&amp;Placement))</f>
        <v>#N/A</v>
      </c>
      <c r="BH361" s="1"/>
      <c r="BI361" s="1"/>
      <c r="BJ361" s="35" t="str">
        <f>LOWER("alp"&amp;"_"&amp;"vw"&amp;"_"&amp;Veiculo&amp;"_"&amp;C357&amp;"_"&amp;Objetivo)</f>
        <v>alp_vw___</v>
      </c>
      <c r="BK361" s="35" t="str">
        <f>LOWER(Buying_Metric&amp;"_"&amp;VLOOKUP(Buying_Type,Buy_type,2,FALSE)&amp;"_"&amp;Device&amp;"_"&amp;Size&amp;"_"&amp;Segmentação&amp;"_"&amp;Segmentação_Anúncio)</f>
        <v>#N/A</v>
      </c>
      <c r="BL361" s="35" t="str">
        <f>LOWER(Campanha_ou_InsertionOrder&amp;"_"&amp;LineItem_ou_Grupodeanúncio&amp;"_"&amp;Linha_criativa_2&amp;"_"&amp;Unique_ID)</f>
        <v>#N/A</v>
      </c>
      <c r="BM361" s="27"/>
      <c r="BN361" s="27"/>
    </row>
    <row r="362">
      <c r="A362" s="1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8" t="str">
        <f>LOWER(Campanha_ou_InsertionOrder&amp;"_"&amp;LineItem_ou_Grupodeanúncio&amp;"_"&amp;Linha_Criativa&amp;"_"&amp;Unique_ID)</f>
        <v>#N/A</v>
      </c>
      <c r="AN362" s="28" t="str">
        <f>LOWER(Campanha_ou_InsertionOrder&amp;"_"&amp;LineItem_ou_Grupodeanúncio&amp;"_"&amp;Linha_Criativa&amp;"_"&amp;Unique_ID)</f>
        <v>#N/A</v>
      </c>
      <c r="AO362" s="28" t="str">
        <f>LOWER("VW"&amp;"_"&amp;Model_Variant&amp;"_"&amp;Size&amp;"_"&amp;Linha_Criativa&amp;"_"&amp;IF(Servido_Por="portal",Veiculo,"adserver"))</f>
        <v>vw____adserver</v>
      </c>
      <c r="AP3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2" s="22" t="str">
        <f t="shared" si="1"/>
        <v/>
      </c>
      <c r="AS362" s="22" t="str">
        <f t="shared" si="2"/>
        <v/>
      </c>
      <c r="AT362" s="22" t="str">
        <f t="shared" si="3"/>
        <v>BR_IMC_DSY_LANCH_ND_NC_2020Q3AUG_NVS_Nivus-Launch-Consideracao</v>
      </c>
      <c r="AU362" s="22" t="str">
        <f t="shared" si="4"/>
        <v>#N/A</v>
      </c>
      <c r="AV362" s="22" t="s">
        <v>106</v>
      </c>
      <c r="AW3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2" s="22" t="str">
        <f t="shared" si="5"/>
        <v>BR_IMC_DSY_LANCH_ND_NC_2020Q3AUG_NVS_Nivus-Launch-Consideracao</v>
      </c>
      <c r="AY362" s="28" t="str">
        <f t="shared" si="6"/>
        <v>#N/A</v>
      </c>
      <c r="AZ362" s="22" t="s">
        <v>107</v>
      </c>
      <c r="BA362" s="22" t="s">
        <v>108</v>
      </c>
      <c r="BB362" s="31" t="s">
        <v>109</v>
      </c>
      <c r="BC362" s="31" t="s">
        <v>109</v>
      </c>
      <c r="BD362" s="32" t="str">
        <f t="shared" si="8"/>
        <v>nvl-nvs-imc-dsy-0820-10356</v>
      </c>
      <c r="BE362" s="33"/>
      <c r="BF362" s="33"/>
      <c r="BG362" s="39" t="str">
        <f>URL&amp;IF(ISNUMBER(FIND("?",URL)),"&amp;","?"&amp;("adlid="&amp;Unique_ID&amp;"&amp;adplt="&amp;Placement))</f>
        <v>#N/A</v>
      </c>
      <c r="BH362" s="1"/>
      <c r="BI362" s="1"/>
      <c r="BJ362" s="35" t="str">
        <f>LOWER("alp"&amp;"_"&amp;"vw"&amp;"_"&amp;Veiculo&amp;"_"&amp;C358&amp;"_"&amp;Objetivo)</f>
        <v>alp_vw___</v>
      </c>
      <c r="BK362" s="35" t="str">
        <f>LOWER(Buying_Metric&amp;"_"&amp;VLOOKUP(Buying_Type,Buy_type,2,FALSE)&amp;"_"&amp;Device&amp;"_"&amp;Size&amp;"_"&amp;Segmentação&amp;"_"&amp;Segmentação_Anúncio)</f>
        <v>#N/A</v>
      </c>
      <c r="BL362" s="35" t="str">
        <f>LOWER(Campanha_ou_InsertionOrder&amp;"_"&amp;LineItem_ou_Grupodeanúncio&amp;"_"&amp;Linha_criativa_2&amp;"_"&amp;Unique_ID)</f>
        <v>#N/A</v>
      </c>
      <c r="BM362" s="27"/>
      <c r="BN362" s="27"/>
    </row>
    <row r="363">
      <c r="A363" s="1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8" t="str">
        <f>LOWER(Campanha_ou_InsertionOrder&amp;"_"&amp;LineItem_ou_Grupodeanúncio&amp;"_"&amp;Linha_Criativa&amp;"_"&amp;Unique_ID)</f>
        <v>#N/A</v>
      </c>
      <c r="AN363" s="28" t="str">
        <f>LOWER(Campanha_ou_InsertionOrder&amp;"_"&amp;LineItem_ou_Grupodeanúncio&amp;"_"&amp;Linha_Criativa&amp;"_"&amp;Unique_ID)</f>
        <v>#N/A</v>
      </c>
      <c r="AO363" s="28" t="str">
        <f>LOWER("VW"&amp;"_"&amp;Model_Variant&amp;"_"&amp;Size&amp;"_"&amp;Linha_Criativa&amp;"_"&amp;IF(Servido_Por="portal",Veiculo,"adserver"))</f>
        <v>vw____adserver</v>
      </c>
      <c r="AP3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3" s="22" t="str">
        <f t="shared" si="1"/>
        <v/>
      </c>
      <c r="AS363" s="22" t="str">
        <f t="shared" si="2"/>
        <v/>
      </c>
      <c r="AT363" s="22" t="str">
        <f t="shared" si="3"/>
        <v>BR_IMC_DSY_LANCH_ND_NC_2020Q3AUG_NVS_Nivus-Launch-Consideracao</v>
      </c>
      <c r="AU363" s="22" t="str">
        <f t="shared" si="4"/>
        <v>#N/A</v>
      </c>
      <c r="AV363" s="22" t="s">
        <v>106</v>
      </c>
      <c r="AW3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3" s="22" t="str">
        <f t="shared" si="5"/>
        <v>BR_IMC_DSY_LANCH_ND_NC_2020Q3AUG_NVS_Nivus-Launch-Consideracao</v>
      </c>
      <c r="AY363" s="28" t="str">
        <f t="shared" si="6"/>
        <v>#N/A</v>
      </c>
      <c r="AZ363" s="22" t="s">
        <v>107</v>
      </c>
      <c r="BA363" s="22" t="s">
        <v>108</v>
      </c>
      <c r="BB363" s="31" t="s">
        <v>109</v>
      </c>
      <c r="BC363" s="31" t="s">
        <v>109</v>
      </c>
      <c r="BD363" s="32" t="str">
        <f t="shared" si="8"/>
        <v>nvl-nvs-imc-dsy-0820-10357</v>
      </c>
      <c r="BE363" s="33"/>
      <c r="BF363" s="33"/>
      <c r="BG363" s="39" t="str">
        <f>URL&amp;IF(ISNUMBER(FIND("?",URL)),"&amp;","?"&amp;("adlid="&amp;Unique_ID&amp;"&amp;adplt="&amp;Placement))</f>
        <v>#N/A</v>
      </c>
      <c r="BH363" s="1"/>
      <c r="BI363" s="1"/>
      <c r="BJ363" s="35" t="str">
        <f>LOWER("alp"&amp;"_"&amp;"vw"&amp;"_"&amp;Veiculo&amp;"_"&amp;C359&amp;"_"&amp;Objetivo)</f>
        <v>alp_vw___</v>
      </c>
      <c r="BK363" s="35" t="str">
        <f>LOWER(Buying_Metric&amp;"_"&amp;VLOOKUP(Buying_Type,Buy_type,2,FALSE)&amp;"_"&amp;Device&amp;"_"&amp;Size&amp;"_"&amp;Segmentação&amp;"_"&amp;Segmentação_Anúncio)</f>
        <v>#N/A</v>
      </c>
      <c r="BL363" s="35" t="str">
        <f>LOWER(Campanha_ou_InsertionOrder&amp;"_"&amp;LineItem_ou_Grupodeanúncio&amp;"_"&amp;Linha_criativa_2&amp;"_"&amp;Unique_ID)</f>
        <v>#N/A</v>
      </c>
      <c r="BM363" s="27"/>
      <c r="BN363" s="27"/>
    </row>
    <row r="364">
      <c r="A364" s="1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8" t="str">
        <f>LOWER(Campanha_ou_InsertionOrder&amp;"_"&amp;LineItem_ou_Grupodeanúncio&amp;"_"&amp;Linha_Criativa&amp;"_"&amp;Unique_ID)</f>
        <v>#N/A</v>
      </c>
      <c r="AN364" s="28" t="str">
        <f>LOWER(Campanha_ou_InsertionOrder&amp;"_"&amp;LineItem_ou_Grupodeanúncio&amp;"_"&amp;Linha_Criativa&amp;"_"&amp;Unique_ID)</f>
        <v>#N/A</v>
      </c>
      <c r="AO364" s="28" t="str">
        <f>LOWER("VW"&amp;"_"&amp;Model_Variant&amp;"_"&amp;Size&amp;"_"&amp;Linha_Criativa&amp;"_"&amp;IF(Servido_Por="portal",Veiculo,"adserver"))</f>
        <v>vw____adserver</v>
      </c>
      <c r="AP3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4" s="22" t="str">
        <f t="shared" si="1"/>
        <v/>
      </c>
      <c r="AS364" s="22" t="str">
        <f t="shared" si="2"/>
        <v/>
      </c>
      <c r="AT364" s="22" t="str">
        <f t="shared" si="3"/>
        <v>BR_IMC_DSY_LANCH_ND_NC_2020Q3AUG_NVS_Nivus-Launch-Consideracao</v>
      </c>
      <c r="AU364" s="22" t="str">
        <f t="shared" si="4"/>
        <v>#N/A</v>
      </c>
      <c r="AV364" s="22" t="s">
        <v>106</v>
      </c>
      <c r="AW3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4" s="22" t="str">
        <f t="shared" si="5"/>
        <v>BR_IMC_DSY_LANCH_ND_NC_2020Q3AUG_NVS_Nivus-Launch-Consideracao</v>
      </c>
      <c r="AY364" s="28" t="str">
        <f t="shared" si="6"/>
        <v>#N/A</v>
      </c>
      <c r="AZ364" s="22" t="s">
        <v>107</v>
      </c>
      <c r="BA364" s="22" t="s">
        <v>108</v>
      </c>
      <c r="BB364" s="31" t="s">
        <v>109</v>
      </c>
      <c r="BC364" s="31" t="s">
        <v>109</v>
      </c>
      <c r="BD364" s="32" t="str">
        <f t="shared" si="8"/>
        <v>nvl-nvs-imc-dsy-0820-10358</v>
      </c>
      <c r="BE364" s="33"/>
      <c r="BF364" s="33"/>
      <c r="BG364" s="39" t="str">
        <f>URL&amp;IF(ISNUMBER(FIND("?",URL)),"&amp;","?"&amp;("adlid="&amp;Unique_ID&amp;"&amp;adplt="&amp;Placement))</f>
        <v>#N/A</v>
      </c>
      <c r="BH364" s="1"/>
      <c r="BI364" s="1"/>
      <c r="BJ364" s="35" t="str">
        <f>LOWER("alp"&amp;"_"&amp;"vw"&amp;"_"&amp;Veiculo&amp;"_"&amp;C360&amp;"_"&amp;Objetivo)</f>
        <v>alp_vw___</v>
      </c>
      <c r="BK364" s="35" t="str">
        <f>LOWER(Buying_Metric&amp;"_"&amp;VLOOKUP(Buying_Type,Buy_type,2,FALSE)&amp;"_"&amp;Device&amp;"_"&amp;Size&amp;"_"&amp;Segmentação&amp;"_"&amp;Segmentação_Anúncio)</f>
        <v>#N/A</v>
      </c>
      <c r="BL364" s="35" t="str">
        <f>LOWER(Campanha_ou_InsertionOrder&amp;"_"&amp;LineItem_ou_Grupodeanúncio&amp;"_"&amp;Linha_criativa_2&amp;"_"&amp;Unique_ID)</f>
        <v>#N/A</v>
      </c>
      <c r="BM364" s="27"/>
      <c r="BN364" s="27"/>
    </row>
    <row r="365">
      <c r="A365" s="1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8" t="str">
        <f>LOWER(Campanha_ou_InsertionOrder&amp;"_"&amp;LineItem_ou_Grupodeanúncio&amp;"_"&amp;Linha_Criativa&amp;"_"&amp;Unique_ID)</f>
        <v>#N/A</v>
      </c>
      <c r="AN365" s="28" t="str">
        <f>LOWER(Campanha_ou_InsertionOrder&amp;"_"&amp;LineItem_ou_Grupodeanúncio&amp;"_"&amp;Linha_Criativa&amp;"_"&amp;Unique_ID)</f>
        <v>#N/A</v>
      </c>
      <c r="AO365" s="28" t="str">
        <f>LOWER("VW"&amp;"_"&amp;Model_Variant&amp;"_"&amp;Size&amp;"_"&amp;Linha_Criativa&amp;"_"&amp;IF(Servido_Por="portal",Veiculo,"adserver"))</f>
        <v>vw____adserver</v>
      </c>
      <c r="AP3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5" s="22" t="str">
        <f t="shared" si="1"/>
        <v/>
      </c>
      <c r="AS365" s="22" t="str">
        <f t="shared" si="2"/>
        <v/>
      </c>
      <c r="AT365" s="22" t="str">
        <f t="shared" si="3"/>
        <v>BR_IMC_DSY_LANCH_ND_NC_2020Q3AUG_NVS_Nivus-Launch-Consideracao</v>
      </c>
      <c r="AU365" s="22" t="str">
        <f t="shared" si="4"/>
        <v>#N/A</v>
      </c>
      <c r="AV365" s="22" t="s">
        <v>106</v>
      </c>
      <c r="AW3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5" s="22" t="str">
        <f t="shared" si="5"/>
        <v>BR_IMC_DSY_LANCH_ND_NC_2020Q3AUG_NVS_Nivus-Launch-Consideracao</v>
      </c>
      <c r="AY365" s="28" t="str">
        <f t="shared" si="6"/>
        <v>#N/A</v>
      </c>
      <c r="AZ365" s="22" t="s">
        <v>107</v>
      </c>
      <c r="BA365" s="22" t="s">
        <v>108</v>
      </c>
      <c r="BB365" s="31" t="s">
        <v>109</v>
      </c>
      <c r="BC365" s="31" t="s">
        <v>109</v>
      </c>
      <c r="BD365" s="32" t="str">
        <f t="shared" si="8"/>
        <v>nvl-nvs-imc-dsy-0820-10359</v>
      </c>
      <c r="BE365" s="33"/>
      <c r="BF365" s="33"/>
      <c r="BG365" s="39" t="str">
        <f>URL&amp;IF(ISNUMBER(FIND("?",URL)),"&amp;","?"&amp;("adlid="&amp;Unique_ID&amp;"&amp;adplt="&amp;Placement))</f>
        <v>#N/A</v>
      </c>
      <c r="BH365" s="1"/>
      <c r="BI365" s="1"/>
      <c r="BJ365" s="35" t="str">
        <f>LOWER("alp"&amp;"_"&amp;"vw"&amp;"_"&amp;Veiculo&amp;"_"&amp;C361&amp;"_"&amp;Objetivo)</f>
        <v>alp_vw___</v>
      </c>
      <c r="BK365" s="35" t="str">
        <f>LOWER(Buying_Metric&amp;"_"&amp;VLOOKUP(Buying_Type,Buy_type,2,FALSE)&amp;"_"&amp;Device&amp;"_"&amp;Size&amp;"_"&amp;Segmentação&amp;"_"&amp;Segmentação_Anúncio)</f>
        <v>#N/A</v>
      </c>
      <c r="BL365" s="35" t="str">
        <f>LOWER(Campanha_ou_InsertionOrder&amp;"_"&amp;LineItem_ou_Grupodeanúncio&amp;"_"&amp;Linha_criativa_2&amp;"_"&amp;Unique_ID)</f>
        <v>#N/A</v>
      </c>
      <c r="BM365" s="27"/>
      <c r="BN365" s="27"/>
    </row>
    <row r="366">
      <c r="A366" s="1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8" t="str">
        <f>LOWER(Campanha_ou_InsertionOrder&amp;"_"&amp;LineItem_ou_Grupodeanúncio&amp;"_"&amp;Linha_Criativa&amp;"_"&amp;Unique_ID)</f>
        <v>#N/A</v>
      </c>
      <c r="AN366" s="28" t="str">
        <f>LOWER(Campanha_ou_InsertionOrder&amp;"_"&amp;LineItem_ou_Grupodeanúncio&amp;"_"&amp;Linha_Criativa&amp;"_"&amp;Unique_ID)</f>
        <v>#N/A</v>
      </c>
      <c r="AO366" s="28" t="str">
        <f>LOWER("VW"&amp;"_"&amp;Model_Variant&amp;"_"&amp;Size&amp;"_"&amp;Linha_Criativa&amp;"_"&amp;IF(Servido_Por="portal",Veiculo,"adserver"))</f>
        <v>vw____adserver</v>
      </c>
      <c r="AP3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6" s="22" t="str">
        <f t="shared" si="1"/>
        <v/>
      </c>
      <c r="AS366" s="22" t="str">
        <f t="shared" si="2"/>
        <v/>
      </c>
      <c r="AT366" s="22" t="str">
        <f t="shared" si="3"/>
        <v>BR_IMC_DSY_LANCH_ND_NC_2020Q3AUG_NVS_Nivus-Launch-Consideracao</v>
      </c>
      <c r="AU366" s="22" t="str">
        <f t="shared" si="4"/>
        <v>#N/A</v>
      </c>
      <c r="AV366" s="22" t="s">
        <v>106</v>
      </c>
      <c r="AW3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6" s="22" t="str">
        <f t="shared" si="5"/>
        <v>BR_IMC_DSY_LANCH_ND_NC_2020Q3AUG_NVS_Nivus-Launch-Consideracao</v>
      </c>
      <c r="AY366" s="28" t="str">
        <f t="shared" si="6"/>
        <v>#N/A</v>
      </c>
      <c r="AZ366" s="22" t="s">
        <v>107</v>
      </c>
      <c r="BA366" s="22" t="s">
        <v>108</v>
      </c>
      <c r="BB366" s="31" t="s">
        <v>109</v>
      </c>
      <c r="BC366" s="31" t="s">
        <v>109</v>
      </c>
      <c r="BD366" s="32" t="str">
        <f t="shared" si="8"/>
        <v>nvl-nvs-imc-dsy-0820-10360</v>
      </c>
      <c r="BE366" s="33"/>
      <c r="BF366" s="33"/>
      <c r="BG366" s="39" t="str">
        <f>URL&amp;IF(ISNUMBER(FIND("?",URL)),"&amp;","?"&amp;("adlid="&amp;Unique_ID&amp;"&amp;adplt="&amp;Placement))</f>
        <v>#N/A</v>
      </c>
      <c r="BH366" s="1"/>
      <c r="BI366" s="1"/>
      <c r="BJ366" s="35" t="str">
        <f>LOWER("alp"&amp;"_"&amp;"vw"&amp;"_"&amp;Veiculo&amp;"_"&amp;C362&amp;"_"&amp;Objetivo)</f>
        <v>alp_vw___</v>
      </c>
      <c r="BK366" s="35" t="str">
        <f>LOWER(Buying_Metric&amp;"_"&amp;VLOOKUP(Buying_Type,Buy_type,2,FALSE)&amp;"_"&amp;Device&amp;"_"&amp;Size&amp;"_"&amp;Segmentação&amp;"_"&amp;Segmentação_Anúncio)</f>
        <v>#N/A</v>
      </c>
      <c r="BL366" s="35" t="str">
        <f>LOWER(Campanha_ou_InsertionOrder&amp;"_"&amp;LineItem_ou_Grupodeanúncio&amp;"_"&amp;Linha_criativa_2&amp;"_"&amp;Unique_ID)</f>
        <v>#N/A</v>
      </c>
      <c r="BM366" s="27"/>
      <c r="BN366" s="27"/>
    </row>
    <row r="367">
      <c r="A367" s="1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8" t="str">
        <f>LOWER(Campanha_ou_InsertionOrder&amp;"_"&amp;LineItem_ou_Grupodeanúncio&amp;"_"&amp;Linha_Criativa&amp;"_"&amp;Unique_ID)</f>
        <v>#N/A</v>
      </c>
      <c r="AN367" s="28" t="str">
        <f>LOWER(Campanha_ou_InsertionOrder&amp;"_"&amp;LineItem_ou_Grupodeanúncio&amp;"_"&amp;Linha_Criativa&amp;"_"&amp;Unique_ID)</f>
        <v>#N/A</v>
      </c>
      <c r="AO367" s="28" t="str">
        <f>LOWER("VW"&amp;"_"&amp;Model_Variant&amp;"_"&amp;Size&amp;"_"&amp;Linha_Criativa&amp;"_"&amp;IF(Servido_Por="portal",Veiculo,"adserver"))</f>
        <v>vw____adserver</v>
      </c>
      <c r="AP3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7" s="22" t="str">
        <f t="shared" si="1"/>
        <v/>
      </c>
      <c r="AS367" s="22" t="str">
        <f t="shared" si="2"/>
        <v/>
      </c>
      <c r="AT367" s="22" t="str">
        <f t="shared" si="3"/>
        <v>BR_IMC_DSY_LANCH_ND_NC_2020Q3AUG_NVS_Nivus-Launch-Consideracao</v>
      </c>
      <c r="AU367" s="22" t="str">
        <f t="shared" si="4"/>
        <v>#N/A</v>
      </c>
      <c r="AV367" s="22" t="s">
        <v>106</v>
      </c>
      <c r="AW3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7" s="22" t="str">
        <f t="shared" si="5"/>
        <v>BR_IMC_DSY_LANCH_ND_NC_2020Q3AUG_NVS_Nivus-Launch-Consideracao</v>
      </c>
      <c r="AY367" s="28" t="str">
        <f t="shared" si="6"/>
        <v>#N/A</v>
      </c>
      <c r="AZ367" s="22" t="s">
        <v>107</v>
      </c>
      <c r="BA367" s="22" t="s">
        <v>108</v>
      </c>
      <c r="BB367" s="31" t="s">
        <v>109</v>
      </c>
      <c r="BC367" s="31" t="s">
        <v>109</v>
      </c>
      <c r="BD367" s="32" t="str">
        <f t="shared" si="8"/>
        <v>nvl-nvs-imc-dsy-0820-10361</v>
      </c>
      <c r="BE367" s="33"/>
      <c r="BF367" s="33"/>
      <c r="BG367" s="39" t="str">
        <f>URL&amp;IF(ISNUMBER(FIND("?",URL)),"&amp;","?"&amp;("adlid="&amp;Unique_ID&amp;"&amp;adplt="&amp;Placement))</f>
        <v>#N/A</v>
      </c>
      <c r="BH367" s="1"/>
      <c r="BI367" s="1"/>
      <c r="BJ367" s="35" t="str">
        <f>LOWER("alp"&amp;"_"&amp;"vw"&amp;"_"&amp;Veiculo&amp;"_"&amp;C363&amp;"_"&amp;Objetivo)</f>
        <v>alp_vw___</v>
      </c>
      <c r="BK367" s="35" t="str">
        <f>LOWER(Buying_Metric&amp;"_"&amp;VLOOKUP(Buying_Type,Buy_type,2,FALSE)&amp;"_"&amp;Device&amp;"_"&amp;Size&amp;"_"&amp;Segmentação&amp;"_"&amp;Segmentação_Anúncio)</f>
        <v>#N/A</v>
      </c>
      <c r="BL367" s="35" t="str">
        <f>LOWER(Campanha_ou_InsertionOrder&amp;"_"&amp;LineItem_ou_Grupodeanúncio&amp;"_"&amp;Linha_criativa_2&amp;"_"&amp;Unique_ID)</f>
        <v>#N/A</v>
      </c>
      <c r="BM367" s="27"/>
      <c r="BN367" s="27"/>
    </row>
    <row r="368">
      <c r="A368" s="1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tr">
        <f>LOWER(Campanha_ou_InsertionOrder&amp;"_"&amp;LineItem_ou_Grupodeanúncio&amp;"_"&amp;Linha_Criativa&amp;"_"&amp;Unique_ID)</f>
        <v>#N/A</v>
      </c>
      <c r="AN368" s="28" t="str">
        <f>LOWER(Campanha_ou_InsertionOrder&amp;"_"&amp;LineItem_ou_Grupodeanúncio&amp;"_"&amp;Linha_Criativa&amp;"_"&amp;Unique_ID)</f>
        <v>#N/A</v>
      </c>
      <c r="AO368" s="28" t="str">
        <f>LOWER("VW"&amp;"_"&amp;Model_Variant&amp;"_"&amp;Size&amp;"_"&amp;Linha_Criativa&amp;"_"&amp;IF(Servido_Por="portal",Veiculo,"adserver"))</f>
        <v>vw____adserver</v>
      </c>
      <c r="AP3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8" s="22" t="str">
        <f t="shared" si="1"/>
        <v/>
      </c>
      <c r="AS368" s="22" t="str">
        <f t="shared" si="2"/>
        <v/>
      </c>
      <c r="AT368" s="22" t="str">
        <f t="shared" si="3"/>
        <v>BR_IMC_DSY_LANCH_ND_NC_2020Q3AUG_NVS_Nivus-Launch-Consideracao</v>
      </c>
      <c r="AU368" s="22" t="str">
        <f t="shared" si="4"/>
        <v>#N/A</v>
      </c>
      <c r="AV368" s="22" t="s">
        <v>106</v>
      </c>
      <c r="AW3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8" s="22" t="str">
        <f t="shared" si="5"/>
        <v>BR_IMC_DSY_LANCH_ND_NC_2020Q3AUG_NVS_Nivus-Launch-Consideracao</v>
      </c>
      <c r="AY368" s="28" t="str">
        <f t="shared" si="6"/>
        <v>#N/A</v>
      </c>
      <c r="AZ368" s="22" t="s">
        <v>107</v>
      </c>
      <c r="BA368" s="22" t="s">
        <v>108</v>
      </c>
      <c r="BB368" s="31" t="s">
        <v>109</v>
      </c>
      <c r="BC368" s="31" t="s">
        <v>109</v>
      </c>
      <c r="BD368" s="32" t="str">
        <f t="shared" si="8"/>
        <v>nvl-nvs-imc-dsy-0820-10362</v>
      </c>
      <c r="BE368" s="33"/>
      <c r="BF368" s="33"/>
      <c r="BG368" s="39" t="str">
        <f>URL&amp;IF(ISNUMBER(FIND("?",URL)),"&amp;","?"&amp;("adlid="&amp;Unique_ID&amp;"&amp;adplt="&amp;Placement))</f>
        <v>#N/A</v>
      </c>
      <c r="BH368" s="1"/>
      <c r="BI368" s="1"/>
      <c r="BJ368" s="35" t="str">
        <f>LOWER("alp"&amp;"_"&amp;"vw"&amp;"_"&amp;Veiculo&amp;"_"&amp;C364&amp;"_"&amp;Objetivo)</f>
        <v>alp_vw___</v>
      </c>
      <c r="BK368" s="35" t="str">
        <f>LOWER(Buying_Metric&amp;"_"&amp;VLOOKUP(Buying_Type,Buy_type,2,FALSE)&amp;"_"&amp;Device&amp;"_"&amp;Size&amp;"_"&amp;Segmentação&amp;"_"&amp;Segmentação_Anúncio)</f>
        <v>#N/A</v>
      </c>
      <c r="BL368" s="35" t="str">
        <f>LOWER(Campanha_ou_InsertionOrder&amp;"_"&amp;LineItem_ou_Grupodeanúncio&amp;"_"&amp;Linha_criativa_2&amp;"_"&amp;Unique_ID)</f>
        <v>#N/A</v>
      </c>
      <c r="BM368" s="27"/>
      <c r="BN368" s="27"/>
    </row>
    <row r="369">
      <c r="A369" s="1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8" t="str">
        <f>LOWER(Campanha_ou_InsertionOrder&amp;"_"&amp;LineItem_ou_Grupodeanúncio&amp;"_"&amp;Linha_Criativa&amp;"_"&amp;Unique_ID)</f>
        <v>#N/A</v>
      </c>
      <c r="AN369" s="28" t="str">
        <f>LOWER(Campanha_ou_InsertionOrder&amp;"_"&amp;LineItem_ou_Grupodeanúncio&amp;"_"&amp;Linha_Criativa&amp;"_"&amp;Unique_ID)</f>
        <v>#N/A</v>
      </c>
      <c r="AO369" s="28" t="str">
        <f>LOWER("VW"&amp;"_"&amp;Model_Variant&amp;"_"&amp;Size&amp;"_"&amp;Linha_Criativa&amp;"_"&amp;IF(Servido_Por="portal",Veiculo,"adserver"))</f>
        <v>vw____adserver</v>
      </c>
      <c r="AP3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69" s="22" t="str">
        <f t="shared" si="1"/>
        <v/>
      </c>
      <c r="AS369" s="22" t="str">
        <f t="shared" si="2"/>
        <v/>
      </c>
      <c r="AT369" s="22" t="str">
        <f t="shared" si="3"/>
        <v>BR_IMC_DSY_LANCH_ND_NC_2020Q3AUG_NVS_Nivus-Launch-Consideracao</v>
      </c>
      <c r="AU369" s="22" t="str">
        <f t="shared" si="4"/>
        <v>#N/A</v>
      </c>
      <c r="AV369" s="22" t="s">
        <v>106</v>
      </c>
      <c r="AW3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69" s="22" t="str">
        <f t="shared" si="5"/>
        <v>BR_IMC_DSY_LANCH_ND_NC_2020Q3AUG_NVS_Nivus-Launch-Consideracao</v>
      </c>
      <c r="AY369" s="28" t="str">
        <f t="shared" si="6"/>
        <v>#N/A</v>
      </c>
      <c r="AZ369" s="22" t="s">
        <v>107</v>
      </c>
      <c r="BA369" s="22" t="s">
        <v>108</v>
      </c>
      <c r="BB369" s="31" t="s">
        <v>109</v>
      </c>
      <c r="BC369" s="31" t="s">
        <v>109</v>
      </c>
      <c r="BD369" s="32" t="str">
        <f t="shared" si="8"/>
        <v>nvl-nvs-imc-dsy-0820-10363</v>
      </c>
      <c r="BE369" s="33"/>
      <c r="BF369" s="33"/>
      <c r="BG369" s="39" t="str">
        <f>URL&amp;IF(ISNUMBER(FIND("?",URL)),"&amp;","?"&amp;("adlid="&amp;Unique_ID&amp;"&amp;adplt="&amp;Placement))</f>
        <v>#N/A</v>
      </c>
      <c r="BH369" s="1"/>
      <c r="BI369" s="1"/>
      <c r="BJ369" s="35" t="str">
        <f>LOWER("alp"&amp;"_"&amp;"vw"&amp;"_"&amp;Veiculo&amp;"_"&amp;C365&amp;"_"&amp;Objetivo)</f>
        <v>alp_vw___</v>
      </c>
      <c r="BK369" s="35" t="str">
        <f>LOWER(Buying_Metric&amp;"_"&amp;VLOOKUP(Buying_Type,Buy_type,2,FALSE)&amp;"_"&amp;Device&amp;"_"&amp;Size&amp;"_"&amp;Segmentação&amp;"_"&amp;Segmentação_Anúncio)</f>
        <v>#N/A</v>
      </c>
      <c r="BL369" s="35" t="str">
        <f>LOWER(Campanha_ou_InsertionOrder&amp;"_"&amp;LineItem_ou_Grupodeanúncio&amp;"_"&amp;Linha_criativa_2&amp;"_"&amp;Unique_ID)</f>
        <v>#N/A</v>
      </c>
      <c r="BM369" s="27"/>
      <c r="BN369" s="27"/>
    </row>
    <row r="370">
      <c r="A370" s="1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8" t="str">
        <f>LOWER(Campanha_ou_InsertionOrder&amp;"_"&amp;LineItem_ou_Grupodeanúncio&amp;"_"&amp;Linha_Criativa&amp;"_"&amp;Unique_ID)</f>
        <v>#N/A</v>
      </c>
      <c r="AN370" s="28" t="str">
        <f>LOWER(Campanha_ou_InsertionOrder&amp;"_"&amp;LineItem_ou_Grupodeanúncio&amp;"_"&amp;Linha_Criativa&amp;"_"&amp;Unique_ID)</f>
        <v>#N/A</v>
      </c>
      <c r="AO370" s="28" t="str">
        <f>LOWER("VW"&amp;"_"&amp;Model_Variant&amp;"_"&amp;Size&amp;"_"&amp;Linha_Criativa&amp;"_"&amp;IF(Servido_Por="portal",Veiculo,"adserver"))</f>
        <v>vw____adserver</v>
      </c>
      <c r="AP3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0" s="22" t="str">
        <f t="shared" si="1"/>
        <v/>
      </c>
      <c r="AS370" s="22" t="str">
        <f t="shared" si="2"/>
        <v/>
      </c>
      <c r="AT370" s="22" t="str">
        <f t="shared" si="3"/>
        <v>BR_IMC_DSY_LANCH_ND_NC_2020Q3AUG_NVS_Nivus-Launch-Consideracao</v>
      </c>
      <c r="AU370" s="22" t="str">
        <f t="shared" si="4"/>
        <v>#N/A</v>
      </c>
      <c r="AV370" s="22" t="s">
        <v>106</v>
      </c>
      <c r="AW3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0" s="22" t="str">
        <f t="shared" si="5"/>
        <v>BR_IMC_DSY_LANCH_ND_NC_2020Q3AUG_NVS_Nivus-Launch-Consideracao</v>
      </c>
      <c r="AY370" s="28" t="str">
        <f t="shared" si="6"/>
        <v>#N/A</v>
      </c>
      <c r="AZ370" s="22" t="s">
        <v>107</v>
      </c>
      <c r="BA370" s="22" t="s">
        <v>108</v>
      </c>
      <c r="BB370" s="31" t="s">
        <v>109</v>
      </c>
      <c r="BC370" s="31" t="s">
        <v>109</v>
      </c>
      <c r="BD370" s="32" t="str">
        <f t="shared" si="8"/>
        <v>nvl-nvs-imc-dsy-0820-10364</v>
      </c>
      <c r="BE370" s="33"/>
      <c r="BF370" s="33"/>
      <c r="BG370" s="39" t="str">
        <f>URL&amp;IF(ISNUMBER(FIND("?",URL)),"&amp;","?"&amp;("adlid="&amp;Unique_ID&amp;"&amp;adplt="&amp;Placement))</f>
        <v>#N/A</v>
      </c>
      <c r="BH370" s="1"/>
      <c r="BI370" s="1"/>
      <c r="BJ370" s="35" t="str">
        <f>LOWER("alp"&amp;"_"&amp;"vw"&amp;"_"&amp;Veiculo&amp;"_"&amp;C366&amp;"_"&amp;Objetivo)</f>
        <v>alp_vw___</v>
      </c>
      <c r="BK370" s="35" t="str">
        <f>LOWER(Buying_Metric&amp;"_"&amp;VLOOKUP(Buying_Type,Buy_type,2,FALSE)&amp;"_"&amp;Device&amp;"_"&amp;Size&amp;"_"&amp;Segmentação&amp;"_"&amp;Segmentação_Anúncio)</f>
        <v>#N/A</v>
      </c>
      <c r="BL370" s="35" t="str">
        <f>LOWER(Campanha_ou_InsertionOrder&amp;"_"&amp;LineItem_ou_Grupodeanúncio&amp;"_"&amp;Linha_criativa_2&amp;"_"&amp;Unique_ID)</f>
        <v>#N/A</v>
      </c>
      <c r="BM370" s="27"/>
      <c r="BN370" s="27"/>
    </row>
    <row r="371">
      <c r="A371" s="1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8" t="str">
        <f>LOWER(Campanha_ou_InsertionOrder&amp;"_"&amp;LineItem_ou_Grupodeanúncio&amp;"_"&amp;Linha_Criativa&amp;"_"&amp;Unique_ID)</f>
        <v>#N/A</v>
      </c>
      <c r="AN371" s="28" t="str">
        <f>LOWER(Campanha_ou_InsertionOrder&amp;"_"&amp;LineItem_ou_Grupodeanúncio&amp;"_"&amp;Linha_Criativa&amp;"_"&amp;Unique_ID)</f>
        <v>#N/A</v>
      </c>
      <c r="AO371" s="28" t="str">
        <f>LOWER("VW"&amp;"_"&amp;Model_Variant&amp;"_"&amp;Size&amp;"_"&amp;Linha_Criativa&amp;"_"&amp;IF(Servido_Por="portal",Veiculo,"adserver"))</f>
        <v>vw____adserver</v>
      </c>
      <c r="AP3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1" s="22" t="str">
        <f t="shared" si="1"/>
        <v/>
      </c>
      <c r="AS371" s="22" t="str">
        <f t="shared" si="2"/>
        <v/>
      </c>
      <c r="AT371" s="22" t="str">
        <f t="shared" si="3"/>
        <v>BR_IMC_DSY_LANCH_ND_NC_2020Q3AUG_NVS_Nivus-Launch-Consideracao</v>
      </c>
      <c r="AU371" s="22" t="str">
        <f t="shared" si="4"/>
        <v>#N/A</v>
      </c>
      <c r="AV371" s="22" t="s">
        <v>106</v>
      </c>
      <c r="AW3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1" s="22" t="str">
        <f t="shared" si="5"/>
        <v>BR_IMC_DSY_LANCH_ND_NC_2020Q3AUG_NVS_Nivus-Launch-Consideracao</v>
      </c>
      <c r="AY371" s="28" t="str">
        <f t="shared" si="6"/>
        <v>#N/A</v>
      </c>
      <c r="AZ371" s="22" t="s">
        <v>107</v>
      </c>
      <c r="BA371" s="22" t="s">
        <v>108</v>
      </c>
      <c r="BB371" s="31" t="s">
        <v>109</v>
      </c>
      <c r="BC371" s="31" t="s">
        <v>109</v>
      </c>
      <c r="BD371" s="32" t="str">
        <f t="shared" si="8"/>
        <v>nvl-nvs-imc-dsy-0820-10365</v>
      </c>
      <c r="BE371" s="33"/>
      <c r="BF371" s="33"/>
      <c r="BG371" s="39" t="str">
        <f>URL&amp;IF(ISNUMBER(FIND("?",URL)),"&amp;","?"&amp;("adlid="&amp;Unique_ID&amp;"&amp;adplt="&amp;Placement))</f>
        <v>#N/A</v>
      </c>
      <c r="BH371" s="1"/>
      <c r="BI371" s="1"/>
      <c r="BJ371" s="35" t="str">
        <f>LOWER("alp"&amp;"_"&amp;"vw"&amp;"_"&amp;Veiculo&amp;"_"&amp;C367&amp;"_"&amp;Objetivo)</f>
        <v>alp_vw___</v>
      </c>
      <c r="BK371" s="35" t="str">
        <f>LOWER(Buying_Metric&amp;"_"&amp;VLOOKUP(Buying_Type,Buy_type,2,FALSE)&amp;"_"&amp;Device&amp;"_"&amp;Size&amp;"_"&amp;Segmentação&amp;"_"&amp;Segmentação_Anúncio)</f>
        <v>#N/A</v>
      </c>
      <c r="BL371" s="35" t="str">
        <f>LOWER(Campanha_ou_InsertionOrder&amp;"_"&amp;LineItem_ou_Grupodeanúncio&amp;"_"&amp;Linha_criativa_2&amp;"_"&amp;Unique_ID)</f>
        <v>#N/A</v>
      </c>
      <c r="BM371" s="27"/>
      <c r="BN371" s="27"/>
    </row>
    <row r="372">
      <c r="A372" s="1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8" t="str">
        <f>LOWER(Campanha_ou_InsertionOrder&amp;"_"&amp;LineItem_ou_Grupodeanúncio&amp;"_"&amp;Linha_Criativa&amp;"_"&amp;Unique_ID)</f>
        <v>#N/A</v>
      </c>
      <c r="AN372" s="28" t="str">
        <f>LOWER(Campanha_ou_InsertionOrder&amp;"_"&amp;LineItem_ou_Grupodeanúncio&amp;"_"&amp;Linha_Criativa&amp;"_"&amp;Unique_ID)</f>
        <v>#N/A</v>
      </c>
      <c r="AO372" s="28" t="str">
        <f>LOWER("VW"&amp;"_"&amp;Model_Variant&amp;"_"&amp;Size&amp;"_"&amp;Linha_Criativa&amp;"_"&amp;IF(Servido_Por="portal",Veiculo,"adserver"))</f>
        <v>vw____adserver</v>
      </c>
      <c r="AP3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2" s="22" t="str">
        <f t="shared" si="1"/>
        <v/>
      </c>
      <c r="AS372" s="22" t="str">
        <f t="shared" si="2"/>
        <v/>
      </c>
      <c r="AT372" s="22" t="str">
        <f t="shared" si="3"/>
        <v>BR_IMC_DSY_LANCH_ND_NC_2020Q3AUG_NVS_Nivus-Launch-Consideracao</v>
      </c>
      <c r="AU372" s="22" t="str">
        <f t="shared" si="4"/>
        <v>#N/A</v>
      </c>
      <c r="AV372" s="22" t="s">
        <v>106</v>
      </c>
      <c r="AW3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2" s="22" t="str">
        <f t="shared" si="5"/>
        <v>BR_IMC_DSY_LANCH_ND_NC_2020Q3AUG_NVS_Nivus-Launch-Consideracao</v>
      </c>
      <c r="AY372" s="28" t="str">
        <f t="shared" si="6"/>
        <v>#N/A</v>
      </c>
      <c r="AZ372" s="22" t="s">
        <v>107</v>
      </c>
      <c r="BA372" s="22" t="s">
        <v>108</v>
      </c>
      <c r="BB372" s="31" t="s">
        <v>109</v>
      </c>
      <c r="BC372" s="31" t="s">
        <v>109</v>
      </c>
      <c r="BD372" s="32" t="str">
        <f t="shared" si="8"/>
        <v>nvl-nvs-imc-dsy-0820-10366</v>
      </c>
      <c r="BE372" s="33"/>
      <c r="BF372" s="33"/>
      <c r="BG372" s="39" t="str">
        <f>URL&amp;IF(ISNUMBER(FIND("?",URL)),"&amp;","?"&amp;("adlid="&amp;Unique_ID&amp;"&amp;adplt="&amp;Placement))</f>
        <v>#N/A</v>
      </c>
      <c r="BH372" s="1"/>
      <c r="BI372" s="1"/>
      <c r="BJ372" s="35" t="str">
        <f>LOWER("alp"&amp;"_"&amp;"vw"&amp;"_"&amp;Veiculo&amp;"_"&amp;C368&amp;"_"&amp;Objetivo)</f>
        <v>alp_vw___</v>
      </c>
      <c r="BK372" s="35" t="str">
        <f>LOWER(Buying_Metric&amp;"_"&amp;VLOOKUP(Buying_Type,Buy_type,2,FALSE)&amp;"_"&amp;Device&amp;"_"&amp;Size&amp;"_"&amp;Segmentação&amp;"_"&amp;Segmentação_Anúncio)</f>
        <v>#N/A</v>
      </c>
      <c r="BL372" s="35" t="str">
        <f>LOWER(Campanha_ou_InsertionOrder&amp;"_"&amp;LineItem_ou_Grupodeanúncio&amp;"_"&amp;Linha_criativa_2&amp;"_"&amp;Unique_ID)</f>
        <v>#N/A</v>
      </c>
      <c r="BM372" s="27"/>
      <c r="BN372" s="27"/>
    </row>
    <row r="373">
      <c r="A373" s="1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8" t="str">
        <f>LOWER(Campanha_ou_InsertionOrder&amp;"_"&amp;LineItem_ou_Grupodeanúncio&amp;"_"&amp;Linha_Criativa&amp;"_"&amp;Unique_ID)</f>
        <v>#N/A</v>
      </c>
      <c r="AN373" s="28" t="str">
        <f>LOWER(Campanha_ou_InsertionOrder&amp;"_"&amp;LineItem_ou_Grupodeanúncio&amp;"_"&amp;Linha_Criativa&amp;"_"&amp;Unique_ID)</f>
        <v>#N/A</v>
      </c>
      <c r="AO373" s="28" t="str">
        <f>LOWER("VW"&amp;"_"&amp;Model_Variant&amp;"_"&amp;Size&amp;"_"&amp;Linha_Criativa&amp;"_"&amp;IF(Servido_Por="portal",Veiculo,"adserver"))</f>
        <v>vw____adserver</v>
      </c>
      <c r="AP3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3" s="22" t="str">
        <f t="shared" si="1"/>
        <v/>
      </c>
      <c r="AS373" s="22" t="str">
        <f t="shared" si="2"/>
        <v/>
      </c>
      <c r="AT373" s="22" t="str">
        <f t="shared" si="3"/>
        <v>BR_IMC_DSY_LANCH_ND_NC_2020Q3AUG_NVS_Nivus-Launch-Consideracao</v>
      </c>
      <c r="AU373" s="22" t="str">
        <f t="shared" si="4"/>
        <v>#N/A</v>
      </c>
      <c r="AV373" s="22" t="s">
        <v>106</v>
      </c>
      <c r="AW3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3" s="22" t="str">
        <f t="shared" si="5"/>
        <v>BR_IMC_DSY_LANCH_ND_NC_2020Q3AUG_NVS_Nivus-Launch-Consideracao</v>
      </c>
      <c r="AY373" s="28" t="str">
        <f t="shared" si="6"/>
        <v>#N/A</v>
      </c>
      <c r="AZ373" s="22" t="s">
        <v>107</v>
      </c>
      <c r="BA373" s="22" t="s">
        <v>108</v>
      </c>
      <c r="BB373" s="31" t="s">
        <v>109</v>
      </c>
      <c r="BC373" s="31" t="s">
        <v>109</v>
      </c>
      <c r="BD373" s="32" t="str">
        <f t="shared" si="8"/>
        <v>nvl-nvs-imc-dsy-0820-10367</v>
      </c>
      <c r="BE373" s="33"/>
      <c r="BF373" s="33"/>
      <c r="BG373" s="39" t="str">
        <f>URL&amp;IF(ISNUMBER(FIND("?",URL)),"&amp;","?"&amp;("adlid="&amp;Unique_ID&amp;"&amp;adplt="&amp;Placement))</f>
        <v>#N/A</v>
      </c>
      <c r="BH373" s="1"/>
      <c r="BI373" s="1"/>
      <c r="BJ373" s="35" t="str">
        <f>LOWER("alp"&amp;"_"&amp;"vw"&amp;"_"&amp;Veiculo&amp;"_"&amp;C369&amp;"_"&amp;Objetivo)</f>
        <v>alp_vw___</v>
      </c>
      <c r="BK373" s="35" t="str">
        <f>LOWER(Buying_Metric&amp;"_"&amp;VLOOKUP(Buying_Type,Buy_type,2,FALSE)&amp;"_"&amp;Device&amp;"_"&amp;Size&amp;"_"&amp;Segmentação&amp;"_"&amp;Segmentação_Anúncio)</f>
        <v>#N/A</v>
      </c>
      <c r="BL373" s="35" t="str">
        <f>LOWER(Campanha_ou_InsertionOrder&amp;"_"&amp;LineItem_ou_Grupodeanúncio&amp;"_"&amp;Linha_criativa_2&amp;"_"&amp;Unique_ID)</f>
        <v>#N/A</v>
      </c>
      <c r="BM373" s="27"/>
      <c r="BN373" s="27"/>
    </row>
    <row r="374">
      <c r="A374" s="1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8" t="str">
        <f>LOWER(Campanha_ou_InsertionOrder&amp;"_"&amp;LineItem_ou_Grupodeanúncio&amp;"_"&amp;Linha_Criativa&amp;"_"&amp;Unique_ID)</f>
        <v>#N/A</v>
      </c>
      <c r="AN374" s="28" t="str">
        <f>LOWER(Campanha_ou_InsertionOrder&amp;"_"&amp;LineItem_ou_Grupodeanúncio&amp;"_"&amp;Linha_Criativa&amp;"_"&amp;Unique_ID)</f>
        <v>#N/A</v>
      </c>
      <c r="AO374" s="28" t="str">
        <f>LOWER("VW"&amp;"_"&amp;Model_Variant&amp;"_"&amp;Size&amp;"_"&amp;Linha_Criativa&amp;"_"&amp;IF(Servido_Por="portal",Veiculo,"adserver"))</f>
        <v>vw____adserver</v>
      </c>
      <c r="AP3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4" s="22" t="str">
        <f t="shared" si="1"/>
        <v/>
      </c>
      <c r="AS374" s="22" t="str">
        <f t="shared" si="2"/>
        <v/>
      </c>
      <c r="AT374" s="22" t="str">
        <f t="shared" si="3"/>
        <v>BR_IMC_DSY_LANCH_ND_NC_2020Q3AUG_NVS_Nivus-Launch-Consideracao</v>
      </c>
      <c r="AU374" s="22" t="str">
        <f t="shared" si="4"/>
        <v>#N/A</v>
      </c>
      <c r="AV374" s="22" t="s">
        <v>106</v>
      </c>
      <c r="AW3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4" s="22" t="str">
        <f t="shared" si="5"/>
        <v>BR_IMC_DSY_LANCH_ND_NC_2020Q3AUG_NVS_Nivus-Launch-Consideracao</v>
      </c>
      <c r="AY374" s="28" t="str">
        <f t="shared" si="6"/>
        <v>#N/A</v>
      </c>
      <c r="AZ374" s="22" t="s">
        <v>107</v>
      </c>
      <c r="BA374" s="22" t="s">
        <v>108</v>
      </c>
      <c r="BB374" s="31" t="s">
        <v>109</v>
      </c>
      <c r="BC374" s="31" t="s">
        <v>109</v>
      </c>
      <c r="BD374" s="32" t="str">
        <f t="shared" si="8"/>
        <v>nvl-nvs-imc-dsy-0820-10368</v>
      </c>
      <c r="BE374" s="33"/>
      <c r="BF374" s="33"/>
      <c r="BG374" s="39" t="str">
        <f>URL&amp;IF(ISNUMBER(FIND("?",URL)),"&amp;","?"&amp;("adlid="&amp;Unique_ID&amp;"&amp;adplt="&amp;Placement))</f>
        <v>#N/A</v>
      </c>
      <c r="BH374" s="1"/>
      <c r="BI374" s="1"/>
      <c r="BJ374" s="35" t="str">
        <f>LOWER("alp"&amp;"_"&amp;"vw"&amp;"_"&amp;Veiculo&amp;"_"&amp;C370&amp;"_"&amp;Objetivo)</f>
        <v>alp_vw___</v>
      </c>
      <c r="BK374" s="35" t="str">
        <f>LOWER(Buying_Metric&amp;"_"&amp;VLOOKUP(Buying_Type,Buy_type,2,FALSE)&amp;"_"&amp;Device&amp;"_"&amp;Size&amp;"_"&amp;Segmentação&amp;"_"&amp;Segmentação_Anúncio)</f>
        <v>#N/A</v>
      </c>
      <c r="BL374" s="35" t="str">
        <f>LOWER(Campanha_ou_InsertionOrder&amp;"_"&amp;LineItem_ou_Grupodeanúncio&amp;"_"&amp;Linha_criativa_2&amp;"_"&amp;Unique_ID)</f>
        <v>#N/A</v>
      </c>
      <c r="BM374" s="27"/>
      <c r="BN374" s="27"/>
    </row>
    <row r="375">
      <c r="A375" s="1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8" t="str">
        <f>LOWER(Campanha_ou_InsertionOrder&amp;"_"&amp;LineItem_ou_Grupodeanúncio&amp;"_"&amp;Linha_Criativa&amp;"_"&amp;Unique_ID)</f>
        <v>#N/A</v>
      </c>
      <c r="AN375" s="28" t="str">
        <f>LOWER(Campanha_ou_InsertionOrder&amp;"_"&amp;LineItem_ou_Grupodeanúncio&amp;"_"&amp;Linha_Criativa&amp;"_"&amp;Unique_ID)</f>
        <v>#N/A</v>
      </c>
      <c r="AO375" s="28" t="str">
        <f>LOWER("VW"&amp;"_"&amp;Model_Variant&amp;"_"&amp;Size&amp;"_"&amp;Linha_Criativa&amp;"_"&amp;IF(Servido_Por="portal",Veiculo,"adserver"))</f>
        <v>vw____adserver</v>
      </c>
      <c r="AP3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5" s="22" t="str">
        <f t="shared" si="1"/>
        <v/>
      </c>
      <c r="AS375" s="22" t="str">
        <f t="shared" si="2"/>
        <v/>
      </c>
      <c r="AT375" s="22" t="str">
        <f t="shared" si="3"/>
        <v>BR_IMC_DSY_LANCH_ND_NC_2020Q3AUG_NVS_Nivus-Launch-Consideracao</v>
      </c>
      <c r="AU375" s="22" t="str">
        <f t="shared" si="4"/>
        <v>#N/A</v>
      </c>
      <c r="AV375" s="22" t="s">
        <v>106</v>
      </c>
      <c r="AW3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5" s="22" t="str">
        <f t="shared" si="5"/>
        <v>BR_IMC_DSY_LANCH_ND_NC_2020Q3AUG_NVS_Nivus-Launch-Consideracao</v>
      </c>
      <c r="AY375" s="28" t="str">
        <f t="shared" si="6"/>
        <v>#N/A</v>
      </c>
      <c r="AZ375" s="22" t="s">
        <v>107</v>
      </c>
      <c r="BA375" s="22" t="s">
        <v>108</v>
      </c>
      <c r="BB375" s="31" t="s">
        <v>109</v>
      </c>
      <c r="BC375" s="31" t="s">
        <v>109</v>
      </c>
      <c r="BD375" s="32" t="str">
        <f t="shared" si="8"/>
        <v>nvl-nvs-imc-dsy-0820-10369</v>
      </c>
      <c r="BE375" s="33"/>
      <c r="BF375" s="33"/>
      <c r="BG375" s="39" t="str">
        <f>URL&amp;IF(ISNUMBER(FIND("?",URL)),"&amp;","?"&amp;("adlid="&amp;Unique_ID&amp;"&amp;adplt="&amp;Placement))</f>
        <v>#N/A</v>
      </c>
      <c r="BH375" s="1"/>
      <c r="BI375" s="1"/>
      <c r="BJ375" s="35" t="str">
        <f>LOWER("alp"&amp;"_"&amp;"vw"&amp;"_"&amp;Veiculo&amp;"_"&amp;C371&amp;"_"&amp;Objetivo)</f>
        <v>alp_vw___</v>
      </c>
      <c r="BK375" s="35" t="str">
        <f>LOWER(Buying_Metric&amp;"_"&amp;VLOOKUP(Buying_Type,Buy_type,2,FALSE)&amp;"_"&amp;Device&amp;"_"&amp;Size&amp;"_"&amp;Segmentação&amp;"_"&amp;Segmentação_Anúncio)</f>
        <v>#N/A</v>
      </c>
      <c r="BL375" s="35" t="str">
        <f>LOWER(Campanha_ou_InsertionOrder&amp;"_"&amp;LineItem_ou_Grupodeanúncio&amp;"_"&amp;Linha_criativa_2&amp;"_"&amp;Unique_ID)</f>
        <v>#N/A</v>
      </c>
      <c r="BM375" s="27"/>
      <c r="BN375" s="27"/>
    </row>
    <row r="376">
      <c r="A376" s="1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8" t="str">
        <f>LOWER(Campanha_ou_InsertionOrder&amp;"_"&amp;LineItem_ou_Grupodeanúncio&amp;"_"&amp;Linha_Criativa&amp;"_"&amp;Unique_ID)</f>
        <v>#N/A</v>
      </c>
      <c r="AN376" s="28" t="str">
        <f>LOWER(Campanha_ou_InsertionOrder&amp;"_"&amp;LineItem_ou_Grupodeanúncio&amp;"_"&amp;Linha_Criativa&amp;"_"&amp;Unique_ID)</f>
        <v>#N/A</v>
      </c>
      <c r="AO376" s="28" t="str">
        <f>LOWER("VW"&amp;"_"&amp;Model_Variant&amp;"_"&amp;Size&amp;"_"&amp;Linha_Criativa&amp;"_"&amp;IF(Servido_Por="portal",Veiculo,"adserver"))</f>
        <v>vw____adserver</v>
      </c>
      <c r="AP3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6" s="22" t="str">
        <f t="shared" si="1"/>
        <v/>
      </c>
      <c r="AS376" s="22" t="str">
        <f t="shared" si="2"/>
        <v/>
      </c>
      <c r="AT376" s="22" t="str">
        <f t="shared" si="3"/>
        <v>BR_IMC_DSY_LANCH_ND_NC_2020Q3AUG_NVS_Nivus-Launch-Consideracao</v>
      </c>
      <c r="AU376" s="22" t="str">
        <f t="shared" si="4"/>
        <v>#N/A</v>
      </c>
      <c r="AV376" s="22" t="s">
        <v>106</v>
      </c>
      <c r="AW3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6" s="22" t="str">
        <f t="shared" si="5"/>
        <v>BR_IMC_DSY_LANCH_ND_NC_2020Q3AUG_NVS_Nivus-Launch-Consideracao</v>
      </c>
      <c r="AY376" s="28" t="str">
        <f t="shared" si="6"/>
        <v>#N/A</v>
      </c>
      <c r="AZ376" s="22" t="s">
        <v>107</v>
      </c>
      <c r="BA376" s="22" t="s">
        <v>108</v>
      </c>
      <c r="BB376" s="31" t="s">
        <v>109</v>
      </c>
      <c r="BC376" s="31" t="s">
        <v>109</v>
      </c>
      <c r="BD376" s="32" t="str">
        <f t="shared" si="8"/>
        <v>nvl-nvs-imc-dsy-0820-10370</v>
      </c>
      <c r="BE376" s="33"/>
      <c r="BF376" s="33"/>
      <c r="BG376" s="39" t="str">
        <f>URL&amp;IF(ISNUMBER(FIND("?",URL)),"&amp;","?"&amp;("adlid="&amp;Unique_ID&amp;"&amp;adplt="&amp;Placement))</f>
        <v>#N/A</v>
      </c>
      <c r="BH376" s="1"/>
      <c r="BI376" s="1"/>
      <c r="BJ376" s="35" t="str">
        <f>LOWER("alp"&amp;"_"&amp;"vw"&amp;"_"&amp;Veiculo&amp;"_"&amp;C372&amp;"_"&amp;Objetivo)</f>
        <v>alp_vw___</v>
      </c>
      <c r="BK376" s="35" t="str">
        <f>LOWER(Buying_Metric&amp;"_"&amp;VLOOKUP(Buying_Type,Buy_type,2,FALSE)&amp;"_"&amp;Device&amp;"_"&amp;Size&amp;"_"&amp;Segmentação&amp;"_"&amp;Segmentação_Anúncio)</f>
        <v>#N/A</v>
      </c>
      <c r="BL376" s="35" t="str">
        <f>LOWER(Campanha_ou_InsertionOrder&amp;"_"&amp;LineItem_ou_Grupodeanúncio&amp;"_"&amp;Linha_criativa_2&amp;"_"&amp;Unique_ID)</f>
        <v>#N/A</v>
      </c>
      <c r="BM376" s="27"/>
      <c r="BN376" s="27"/>
    </row>
    <row r="377">
      <c r="A377" s="1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8" t="str">
        <f>LOWER(Campanha_ou_InsertionOrder&amp;"_"&amp;LineItem_ou_Grupodeanúncio&amp;"_"&amp;Linha_Criativa&amp;"_"&amp;Unique_ID)</f>
        <v>#N/A</v>
      </c>
      <c r="AN377" s="28" t="str">
        <f>LOWER(Campanha_ou_InsertionOrder&amp;"_"&amp;LineItem_ou_Grupodeanúncio&amp;"_"&amp;Linha_Criativa&amp;"_"&amp;Unique_ID)</f>
        <v>#N/A</v>
      </c>
      <c r="AO377" s="28" t="str">
        <f>LOWER("VW"&amp;"_"&amp;Model_Variant&amp;"_"&amp;Size&amp;"_"&amp;Linha_Criativa&amp;"_"&amp;IF(Servido_Por="portal",Veiculo,"adserver"))</f>
        <v>vw____adserver</v>
      </c>
      <c r="AP3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7" s="22" t="str">
        <f t="shared" si="1"/>
        <v/>
      </c>
      <c r="AS377" s="22" t="str">
        <f t="shared" si="2"/>
        <v/>
      </c>
      <c r="AT377" s="22" t="str">
        <f t="shared" si="3"/>
        <v>BR_IMC_DSY_LANCH_ND_NC_2020Q3AUG_NVS_Nivus-Launch-Consideracao</v>
      </c>
      <c r="AU377" s="22" t="str">
        <f t="shared" si="4"/>
        <v>#N/A</v>
      </c>
      <c r="AV377" s="22" t="s">
        <v>106</v>
      </c>
      <c r="AW3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7" s="22" t="str">
        <f t="shared" si="5"/>
        <v>BR_IMC_DSY_LANCH_ND_NC_2020Q3AUG_NVS_Nivus-Launch-Consideracao</v>
      </c>
      <c r="AY377" s="28" t="str">
        <f t="shared" si="6"/>
        <v>#N/A</v>
      </c>
      <c r="AZ377" s="22" t="s">
        <v>107</v>
      </c>
      <c r="BA377" s="22" t="s">
        <v>108</v>
      </c>
      <c r="BB377" s="31" t="s">
        <v>109</v>
      </c>
      <c r="BC377" s="31" t="s">
        <v>109</v>
      </c>
      <c r="BD377" s="32" t="str">
        <f t="shared" si="8"/>
        <v>nvl-nvs-imc-dsy-0820-10371</v>
      </c>
      <c r="BE377" s="33"/>
      <c r="BF377" s="33"/>
      <c r="BG377" s="39" t="str">
        <f>URL&amp;IF(ISNUMBER(FIND("?",URL)),"&amp;","?"&amp;("adlid="&amp;Unique_ID&amp;"&amp;adplt="&amp;Placement))</f>
        <v>#N/A</v>
      </c>
      <c r="BH377" s="1"/>
      <c r="BI377" s="1"/>
      <c r="BJ377" s="35" t="str">
        <f>LOWER("alp"&amp;"_"&amp;"vw"&amp;"_"&amp;Veiculo&amp;"_"&amp;C373&amp;"_"&amp;Objetivo)</f>
        <v>alp_vw___</v>
      </c>
      <c r="BK377" s="35" t="str">
        <f>LOWER(Buying_Metric&amp;"_"&amp;VLOOKUP(Buying_Type,Buy_type,2,FALSE)&amp;"_"&amp;Device&amp;"_"&amp;Size&amp;"_"&amp;Segmentação&amp;"_"&amp;Segmentação_Anúncio)</f>
        <v>#N/A</v>
      </c>
      <c r="BL377" s="35" t="str">
        <f>LOWER(Campanha_ou_InsertionOrder&amp;"_"&amp;LineItem_ou_Grupodeanúncio&amp;"_"&amp;Linha_criativa_2&amp;"_"&amp;Unique_ID)</f>
        <v>#N/A</v>
      </c>
      <c r="BM377" s="27"/>
      <c r="BN377" s="27"/>
    </row>
    <row r="378">
      <c r="A378" s="1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8" t="str">
        <f>LOWER(Campanha_ou_InsertionOrder&amp;"_"&amp;LineItem_ou_Grupodeanúncio&amp;"_"&amp;Linha_Criativa&amp;"_"&amp;Unique_ID)</f>
        <v>#N/A</v>
      </c>
      <c r="AN378" s="28" t="str">
        <f>LOWER(Campanha_ou_InsertionOrder&amp;"_"&amp;LineItem_ou_Grupodeanúncio&amp;"_"&amp;Linha_Criativa&amp;"_"&amp;Unique_ID)</f>
        <v>#N/A</v>
      </c>
      <c r="AO378" s="28" t="str">
        <f>LOWER("VW"&amp;"_"&amp;Model_Variant&amp;"_"&amp;Size&amp;"_"&amp;Linha_Criativa&amp;"_"&amp;IF(Servido_Por="portal",Veiculo,"adserver"))</f>
        <v>vw____adserver</v>
      </c>
      <c r="AP3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8" s="22" t="str">
        <f t="shared" si="1"/>
        <v/>
      </c>
      <c r="AS378" s="22" t="str">
        <f t="shared" si="2"/>
        <v/>
      </c>
      <c r="AT378" s="22" t="str">
        <f t="shared" si="3"/>
        <v>BR_IMC_DSY_LANCH_ND_NC_2020Q3AUG_NVS_Nivus-Launch-Consideracao</v>
      </c>
      <c r="AU378" s="22" t="str">
        <f t="shared" si="4"/>
        <v>#N/A</v>
      </c>
      <c r="AV378" s="22" t="s">
        <v>106</v>
      </c>
      <c r="AW3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8" s="22" t="str">
        <f t="shared" si="5"/>
        <v>BR_IMC_DSY_LANCH_ND_NC_2020Q3AUG_NVS_Nivus-Launch-Consideracao</v>
      </c>
      <c r="AY378" s="28" t="str">
        <f t="shared" si="6"/>
        <v>#N/A</v>
      </c>
      <c r="AZ378" s="22" t="s">
        <v>107</v>
      </c>
      <c r="BA378" s="22" t="s">
        <v>108</v>
      </c>
      <c r="BB378" s="31" t="s">
        <v>109</v>
      </c>
      <c r="BC378" s="31" t="s">
        <v>109</v>
      </c>
      <c r="BD378" s="32" t="str">
        <f t="shared" si="8"/>
        <v>nvl-nvs-imc-dsy-0820-10372</v>
      </c>
      <c r="BE378" s="33"/>
      <c r="BF378" s="33"/>
      <c r="BG378" s="39" t="str">
        <f>URL&amp;IF(ISNUMBER(FIND("?",URL)),"&amp;","?"&amp;("adlid="&amp;Unique_ID&amp;"&amp;adplt="&amp;Placement))</f>
        <v>#N/A</v>
      </c>
      <c r="BH378" s="1"/>
      <c r="BI378" s="1"/>
      <c r="BJ378" s="35" t="str">
        <f>LOWER("alp"&amp;"_"&amp;"vw"&amp;"_"&amp;Veiculo&amp;"_"&amp;C374&amp;"_"&amp;Objetivo)</f>
        <v>alp_vw___</v>
      </c>
      <c r="BK378" s="35" t="str">
        <f>LOWER(Buying_Metric&amp;"_"&amp;VLOOKUP(Buying_Type,Buy_type,2,FALSE)&amp;"_"&amp;Device&amp;"_"&amp;Size&amp;"_"&amp;Segmentação&amp;"_"&amp;Segmentação_Anúncio)</f>
        <v>#N/A</v>
      </c>
      <c r="BL378" s="35" t="str">
        <f>LOWER(Campanha_ou_InsertionOrder&amp;"_"&amp;LineItem_ou_Grupodeanúncio&amp;"_"&amp;Linha_criativa_2&amp;"_"&amp;Unique_ID)</f>
        <v>#N/A</v>
      </c>
      <c r="BM378" s="27"/>
      <c r="BN378" s="27"/>
    </row>
    <row r="379">
      <c r="A379" s="1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8" t="str">
        <f>LOWER(Campanha_ou_InsertionOrder&amp;"_"&amp;LineItem_ou_Grupodeanúncio&amp;"_"&amp;Linha_Criativa&amp;"_"&amp;Unique_ID)</f>
        <v>#N/A</v>
      </c>
      <c r="AN379" s="28" t="str">
        <f>LOWER(Campanha_ou_InsertionOrder&amp;"_"&amp;LineItem_ou_Grupodeanúncio&amp;"_"&amp;Linha_Criativa&amp;"_"&amp;Unique_ID)</f>
        <v>#N/A</v>
      </c>
      <c r="AO379" s="28" t="str">
        <f>LOWER("VW"&amp;"_"&amp;Model_Variant&amp;"_"&amp;Size&amp;"_"&amp;Linha_Criativa&amp;"_"&amp;IF(Servido_Por="portal",Veiculo,"adserver"))</f>
        <v>vw____adserver</v>
      </c>
      <c r="AP3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79" s="22" t="str">
        <f t="shared" si="1"/>
        <v/>
      </c>
      <c r="AS379" s="22" t="str">
        <f t="shared" si="2"/>
        <v/>
      </c>
      <c r="AT379" s="22" t="str">
        <f t="shared" si="3"/>
        <v>BR_IMC_DSY_LANCH_ND_NC_2020Q3AUG_NVS_Nivus-Launch-Consideracao</v>
      </c>
      <c r="AU379" s="22" t="str">
        <f t="shared" si="4"/>
        <v>#N/A</v>
      </c>
      <c r="AV379" s="22" t="s">
        <v>106</v>
      </c>
      <c r="AW3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79" s="22" t="str">
        <f t="shared" si="5"/>
        <v>BR_IMC_DSY_LANCH_ND_NC_2020Q3AUG_NVS_Nivus-Launch-Consideracao</v>
      </c>
      <c r="AY379" s="28" t="str">
        <f t="shared" si="6"/>
        <v>#N/A</v>
      </c>
      <c r="AZ379" s="22" t="s">
        <v>107</v>
      </c>
      <c r="BA379" s="22" t="s">
        <v>108</v>
      </c>
      <c r="BB379" s="31" t="s">
        <v>109</v>
      </c>
      <c r="BC379" s="31" t="s">
        <v>109</v>
      </c>
      <c r="BD379" s="32" t="str">
        <f t="shared" si="8"/>
        <v>nvl-nvs-imc-dsy-0820-10373</v>
      </c>
      <c r="BE379" s="33"/>
      <c r="BF379" s="33"/>
      <c r="BG379" s="39" t="str">
        <f>URL&amp;IF(ISNUMBER(FIND("?",URL)),"&amp;","?"&amp;("adlid="&amp;Unique_ID&amp;"&amp;adplt="&amp;Placement))</f>
        <v>#N/A</v>
      </c>
      <c r="BH379" s="1"/>
      <c r="BI379" s="1"/>
      <c r="BJ379" s="35" t="str">
        <f>LOWER("alp"&amp;"_"&amp;"vw"&amp;"_"&amp;Veiculo&amp;"_"&amp;C375&amp;"_"&amp;Objetivo)</f>
        <v>alp_vw___</v>
      </c>
      <c r="BK379" s="35" t="str">
        <f>LOWER(Buying_Metric&amp;"_"&amp;VLOOKUP(Buying_Type,Buy_type,2,FALSE)&amp;"_"&amp;Device&amp;"_"&amp;Size&amp;"_"&amp;Segmentação&amp;"_"&amp;Segmentação_Anúncio)</f>
        <v>#N/A</v>
      </c>
      <c r="BL379" s="35" t="str">
        <f>LOWER(Campanha_ou_InsertionOrder&amp;"_"&amp;LineItem_ou_Grupodeanúncio&amp;"_"&amp;Linha_criativa_2&amp;"_"&amp;Unique_ID)</f>
        <v>#N/A</v>
      </c>
      <c r="BM379" s="27"/>
      <c r="BN379" s="27"/>
    </row>
    <row r="380">
      <c r="A380" s="1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8" t="str">
        <f>LOWER(Campanha_ou_InsertionOrder&amp;"_"&amp;LineItem_ou_Grupodeanúncio&amp;"_"&amp;Linha_Criativa&amp;"_"&amp;Unique_ID)</f>
        <v>#N/A</v>
      </c>
      <c r="AN380" s="28" t="str">
        <f>LOWER(Campanha_ou_InsertionOrder&amp;"_"&amp;LineItem_ou_Grupodeanúncio&amp;"_"&amp;Linha_Criativa&amp;"_"&amp;Unique_ID)</f>
        <v>#N/A</v>
      </c>
      <c r="AO380" s="28" t="str">
        <f>LOWER("VW"&amp;"_"&amp;Model_Variant&amp;"_"&amp;Size&amp;"_"&amp;Linha_Criativa&amp;"_"&amp;IF(Servido_Por="portal",Veiculo,"adserver"))</f>
        <v>vw____adserver</v>
      </c>
      <c r="AP3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0" s="22" t="str">
        <f t="shared" si="1"/>
        <v/>
      </c>
      <c r="AS380" s="22" t="str">
        <f t="shared" si="2"/>
        <v/>
      </c>
      <c r="AT380" s="22" t="str">
        <f t="shared" si="3"/>
        <v>BR_IMC_DSY_LANCH_ND_NC_2020Q3AUG_NVS_Nivus-Launch-Consideracao</v>
      </c>
      <c r="AU380" s="22" t="str">
        <f t="shared" si="4"/>
        <v>#N/A</v>
      </c>
      <c r="AV380" s="22" t="s">
        <v>106</v>
      </c>
      <c r="AW3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0" s="22" t="str">
        <f t="shared" si="5"/>
        <v>BR_IMC_DSY_LANCH_ND_NC_2020Q3AUG_NVS_Nivus-Launch-Consideracao</v>
      </c>
      <c r="AY380" s="28" t="str">
        <f t="shared" si="6"/>
        <v>#N/A</v>
      </c>
      <c r="AZ380" s="22" t="s">
        <v>107</v>
      </c>
      <c r="BA380" s="22" t="s">
        <v>108</v>
      </c>
      <c r="BB380" s="31" t="s">
        <v>109</v>
      </c>
      <c r="BC380" s="31" t="s">
        <v>109</v>
      </c>
      <c r="BD380" s="32" t="str">
        <f t="shared" si="8"/>
        <v>nvl-nvs-imc-dsy-0820-10374</v>
      </c>
      <c r="BE380" s="33"/>
      <c r="BF380" s="33"/>
      <c r="BG380" s="39" t="str">
        <f>URL&amp;IF(ISNUMBER(FIND("?",URL)),"&amp;","?"&amp;("adlid="&amp;Unique_ID&amp;"&amp;adplt="&amp;Placement))</f>
        <v>#N/A</v>
      </c>
      <c r="BH380" s="1"/>
      <c r="BI380" s="1"/>
      <c r="BJ380" s="35" t="str">
        <f>LOWER("alp"&amp;"_"&amp;"vw"&amp;"_"&amp;Veiculo&amp;"_"&amp;C376&amp;"_"&amp;Objetivo)</f>
        <v>alp_vw___</v>
      </c>
      <c r="BK380" s="35" t="str">
        <f>LOWER(Buying_Metric&amp;"_"&amp;VLOOKUP(Buying_Type,Buy_type,2,FALSE)&amp;"_"&amp;Device&amp;"_"&amp;Size&amp;"_"&amp;Segmentação&amp;"_"&amp;Segmentação_Anúncio)</f>
        <v>#N/A</v>
      </c>
      <c r="BL380" s="35" t="str">
        <f>LOWER(Campanha_ou_InsertionOrder&amp;"_"&amp;LineItem_ou_Grupodeanúncio&amp;"_"&amp;Linha_criativa_2&amp;"_"&amp;Unique_ID)</f>
        <v>#N/A</v>
      </c>
      <c r="BM380" s="27"/>
      <c r="BN380" s="27"/>
    </row>
    <row r="381">
      <c r="A381" s="1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8" t="str">
        <f>LOWER(Campanha_ou_InsertionOrder&amp;"_"&amp;LineItem_ou_Grupodeanúncio&amp;"_"&amp;Linha_Criativa&amp;"_"&amp;Unique_ID)</f>
        <v>#N/A</v>
      </c>
      <c r="AN381" s="28" t="str">
        <f>LOWER(Campanha_ou_InsertionOrder&amp;"_"&amp;LineItem_ou_Grupodeanúncio&amp;"_"&amp;Linha_Criativa&amp;"_"&amp;Unique_ID)</f>
        <v>#N/A</v>
      </c>
      <c r="AO381" s="28" t="str">
        <f>LOWER("VW"&amp;"_"&amp;Model_Variant&amp;"_"&amp;Size&amp;"_"&amp;Linha_Criativa&amp;"_"&amp;IF(Servido_Por="portal",Veiculo,"adserver"))</f>
        <v>vw____adserver</v>
      </c>
      <c r="AP3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1" s="22" t="str">
        <f t="shared" si="1"/>
        <v/>
      </c>
      <c r="AS381" s="22" t="str">
        <f t="shared" si="2"/>
        <v/>
      </c>
      <c r="AT381" s="22" t="str">
        <f t="shared" si="3"/>
        <v>BR_IMC_DSY_LANCH_ND_NC_2020Q3AUG_NVS_Nivus-Launch-Consideracao</v>
      </c>
      <c r="AU381" s="22" t="str">
        <f t="shared" si="4"/>
        <v>#N/A</v>
      </c>
      <c r="AV381" s="22" t="s">
        <v>106</v>
      </c>
      <c r="AW3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1" s="22" t="str">
        <f t="shared" si="5"/>
        <v>BR_IMC_DSY_LANCH_ND_NC_2020Q3AUG_NVS_Nivus-Launch-Consideracao</v>
      </c>
      <c r="AY381" s="28" t="str">
        <f t="shared" si="6"/>
        <v>#N/A</v>
      </c>
      <c r="AZ381" s="22" t="s">
        <v>107</v>
      </c>
      <c r="BA381" s="22" t="s">
        <v>108</v>
      </c>
      <c r="BB381" s="31" t="s">
        <v>109</v>
      </c>
      <c r="BC381" s="31" t="s">
        <v>109</v>
      </c>
      <c r="BD381" s="32" t="str">
        <f t="shared" si="8"/>
        <v>nvl-nvs-imc-dsy-0820-10375</v>
      </c>
      <c r="BE381" s="33"/>
      <c r="BF381" s="33"/>
      <c r="BG381" s="39" t="str">
        <f>URL&amp;IF(ISNUMBER(FIND("?",URL)),"&amp;","?"&amp;("adlid="&amp;Unique_ID&amp;"&amp;adplt="&amp;Placement))</f>
        <v>#N/A</v>
      </c>
      <c r="BH381" s="1"/>
      <c r="BI381" s="1"/>
      <c r="BJ381" s="35" t="str">
        <f>LOWER("alp"&amp;"_"&amp;"vw"&amp;"_"&amp;Veiculo&amp;"_"&amp;C377&amp;"_"&amp;Objetivo)</f>
        <v>alp_vw___</v>
      </c>
      <c r="BK381" s="35" t="str">
        <f>LOWER(Buying_Metric&amp;"_"&amp;VLOOKUP(Buying_Type,Buy_type,2,FALSE)&amp;"_"&amp;Device&amp;"_"&amp;Size&amp;"_"&amp;Segmentação&amp;"_"&amp;Segmentação_Anúncio)</f>
        <v>#N/A</v>
      </c>
      <c r="BL381" s="35" t="str">
        <f>LOWER(Campanha_ou_InsertionOrder&amp;"_"&amp;LineItem_ou_Grupodeanúncio&amp;"_"&amp;Linha_criativa_2&amp;"_"&amp;Unique_ID)</f>
        <v>#N/A</v>
      </c>
      <c r="BM381" s="27"/>
      <c r="BN381" s="27"/>
    </row>
    <row r="382">
      <c r="A382" s="1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8" t="str">
        <f>LOWER(Campanha_ou_InsertionOrder&amp;"_"&amp;LineItem_ou_Grupodeanúncio&amp;"_"&amp;Linha_Criativa&amp;"_"&amp;Unique_ID)</f>
        <v>#N/A</v>
      </c>
      <c r="AN382" s="28" t="str">
        <f>LOWER(Campanha_ou_InsertionOrder&amp;"_"&amp;LineItem_ou_Grupodeanúncio&amp;"_"&amp;Linha_Criativa&amp;"_"&amp;Unique_ID)</f>
        <v>#N/A</v>
      </c>
      <c r="AO382" s="28" t="str">
        <f>LOWER("VW"&amp;"_"&amp;Model_Variant&amp;"_"&amp;Size&amp;"_"&amp;Linha_Criativa&amp;"_"&amp;IF(Servido_Por="portal",Veiculo,"adserver"))</f>
        <v>vw____adserver</v>
      </c>
      <c r="AP3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2" s="22" t="str">
        <f t="shared" si="1"/>
        <v/>
      </c>
      <c r="AS382" s="22" t="str">
        <f t="shared" si="2"/>
        <v/>
      </c>
      <c r="AT382" s="22" t="str">
        <f t="shared" si="3"/>
        <v>BR_IMC_DSY_LANCH_ND_NC_2020Q3AUG_NVS_Nivus-Launch-Consideracao</v>
      </c>
      <c r="AU382" s="22" t="str">
        <f t="shared" si="4"/>
        <v>#N/A</v>
      </c>
      <c r="AV382" s="22" t="s">
        <v>106</v>
      </c>
      <c r="AW3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2" s="22" t="str">
        <f t="shared" si="5"/>
        <v>BR_IMC_DSY_LANCH_ND_NC_2020Q3AUG_NVS_Nivus-Launch-Consideracao</v>
      </c>
      <c r="AY382" s="28" t="str">
        <f t="shared" si="6"/>
        <v>#N/A</v>
      </c>
      <c r="AZ382" s="22" t="s">
        <v>107</v>
      </c>
      <c r="BA382" s="22" t="s">
        <v>108</v>
      </c>
      <c r="BB382" s="31" t="s">
        <v>109</v>
      </c>
      <c r="BC382" s="31" t="s">
        <v>109</v>
      </c>
      <c r="BD382" s="32" t="str">
        <f t="shared" si="8"/>
        <v>nvl-nvs-imc-dsy-0820-10376</v>
      </c>
      <c r="BE382" s="33"/>
      <c r="BF382" s="33"/>
      <c r="BG382" s="39" t="str">
        <f>URL&amp;IF(ISNUMBER(FIND("?",URL)),"&amp;","?"&amp;("adlid="&amp;Unique_ID&amp;"&amp;adplt="&amp;Placement))</f>
        <v>#N/A</v>
      </c>
      <c r="BH382" s="1"/>
      <c r="BI382" s="1"/>
      <c r="BJ382" s="35" t="str">
        <f>LOWER("alp"&amp;"_"&amp;"vw"&amp;"_"&amp;Veiculo&amp;"_"&amp;C378&amp;"_"&amp;Objetivo)</f>
        <v>alp_vw___</v>
      </c>
      <c r="BK382" s="35" t="str">
        <f>LOWER(Buying_Metric&amp;"_"&amp;VLOOKUP(Buying_Type,Buy_type,2,FALSE)&amp;"_"&amp;Device&amp;"_"&amp;Size&amp;"_"&amp;Segmentação&amp;"_"&amp;Segmentação_Anúncio)</f>
        <v>#N/A</v>
      </c>
      <c r="BL382" s="35" t="str">
        <f>LOWER(Campanha_ou_InsertionOrder&amp;"_"&amp;LineItem_ou_Grupodeanúncio&amp;"_"&amp;Linha_criativa_2&amp;"_"&amp;Unique_ID)</f>
        <v>#N/A</v>
      </c>
      <c r="BM382" s="27"/>
      <c r="BN382" s="27"/>
    </row>
    <row r="383">
      <c r="A383" s="1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8" t="str">
        <f>LOWER(Campanha_ou_InsertionOrder&amp;"_"&amp;LineItem_ou_Grupodeanúncio&amp;"_"&amp;Linha_Criativa&amp;"_"&amp;Unique_ID)</f>
        <v>#N/A</v>
      </c>
      <c r="AN383" s="28" t="str">
        <f>LOWER(Campanha_ou_InsertionOrder&amp;"_"&amp;LineItem_ou_Grupodeanúncio&amp;"_"&amp;Linha_Criativa&amp;"_"&amp;Unique_ID)</f>
        <v>#N/A</v>
      </c>
      <c r="AO383" s="28" t="str">
        <f>LOWER("VW"&amp;"_"&amp;Model_Variant&amp;"_"&amp;Size&amp;"_"&amp;Linha_Criativa&amp;"_"&amp;IF(Servido_Por="portal",Veiculo,"adserver"))</f>
        <v>vw____adserver</v>
      </c>
      <c r="AP3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3" s="22" t="str">
        <f t="shared" si="1"/>
        <v/>
      </c>
      <c r="AS383" s="22" t="str">
        <f t="shared" si="2"/>
        <v/>
      </c>
      <c r="AT383" s="22" t="str">
        <f t="shared" si="3"/>
        <v>BR_IMC_DSY_LANCH_ND_NC_2020Q3AUG_NVS_Nivus-Launch-Consideracao</v>
      </c>
      <c r="AU383" s="22" t="str">
        <f t="shared" si="4"/>
        <v>#N/A</v>
      </c>
      <c r="AV383" s="22" t="s">
        <v>106</v>
      </c>
      <c r="AW3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3" s="22" t="str">
        <f t="shared" si="5"/>
        <v>BR_IMC_DSY_LANCH_ND_NC_2020Q3AUG_NVS_Nivus-Launch-Consideracao</v>
      </c>
      <c r="AY383" s="28" t="str">
        <f t="shared" si="6"/>
        <v>#N/A</v>
      </c>
      <c r="AZ383" s="22" t="s">
        <v>107</v>
      </c>
      <c r="BA383" s="22" t="s">
        <v>108</v>
      </c>
      <c r="BB383" s="31" t="s">
        <v>109</v>
      </c>
      <c r="BC383" s="31" t="s">
        <v>109</v>
      </c>
      <c r="BD383" s="32" t="str">
        <f t="shared" si="8"/>
        <v>nvl-nvs-imc-dsy-0820-10377</v>
      </c>
      <c r="BE383" s="33"/>
      <c r="BF383" s="33"/>
      <c r="BG383" s="39" t="str">
        <f>URL&amp;IF(ISNUMBER(FIND("?",URL)),"&amp;","?"&amp;("adlid="&amp;Unique_ID&amp;"&amp;adplt="&amp;Placement))</f>
        <v>#N/A</v>
      </c>
      <c r="BH383" s="1"/>
      <c r="BI383" s="1"/>
      <c r="BJ383" s="35" t="str">
        <f>LOWER("alp"&amp;"_"&amp;"vw"&amp;"_"&amp;Veiculo&amp;"_"&amp;C379&amp;"_"&amp;Objetivo)</f>
        <v>alp_vw___</v>
      </c>
      <c r="BK383" s="35" t="str">
        <f>LOWER(Buying_Metric&amp;"_"&amp;VLOOKUP(Buying_Type,Buy_type,2,FALSE)&amp;"_"&amp;Device&amp;"_"&amp;Size&amp;"_"&amp;Segmentação&amp;"_"&amp;Segmentação_Anúncio)</f>
        <v>#N/A</v>
      </c>
      <c r="BL383" s="35" t="str">
        <f>LOWER(Campanha_ou_InsertionOrder&amp;"_"&amp;LineItem_ou_Grupodeanúncio&amp;"_"&amp;Linha_criativa_2&amp;"_"&amp;Unique_ID)</f>
        <v>#N/A</v>
      </c>
      <c r="BM383" s="27"/>
      <c r="BN383" s="27"/>
    </row>
    <row r="384">
      <c r="A384" s="1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8" t="str">
        <f>LOWER(Campanha_ou_InsertionOrder&amp;"_"&amp;LineItem_ou_Grupodeanúncio&amp;"_"&amp;Linha_Criativa&amp;"_"&amp;Unique_ID)</f>
        <v>#N/A</v>
      </c>
      <c r="AN384" s="28" t="str">
        <f>LOWER(Campanha_ou_InsertionOrder&amp;"_"&amp;LineItem_ou_Grupodeanúncio&amp;"_"&amp;Linha_Criativa&amp;"_"&amp;Unique_ID)</f>
        <v>#N/A</v>
      </c>
      <c r="AO384" s="28" t="str">
        <f>LOWER("VW"&amp;"_"&amp;Model_Variant&amp;"_"&amp;Size&amp;"_"&amp;Linha_Criativa&amp;"_"&amp;IF(Servido_Por="portal",Veiculo,"adserver"))</f>
        <v>vw____adserver</v>
      </c>
      <c r="AP3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4" s="22" t="str">
        <f t="shared" si="1"/>
        <v/>
      </c>
      <c r="AS384" s="22" t="str">
        <f t="shared" si="2"/>
        <v/>
      </c>
      <c r="AT384" s="22" t="str">
        <f t="shared" si="3"/>
        <v>BR_IMC_DSY_LANCH_ND_NC_2020Q3AUG_NVS_Nivus-Launch-Consideracao</v>
      </c>
      <c r="AU384" s="22" t="str">
        <f t="shared" si="4"/>
        <v>#N/A</v>
      </c>
      <c r="AV384" s="22" t="s">
        <v>106</v>
      </c>
      <c r="AW3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4" s="22" t="str">
        <f t="shared" si="5"/>
        <v>BR_IMC_DSY_LANCH_ND_NC_2020Q3AUG_NVS_Nivus-Launch-Consideracao</v>
      </c>
      <c r="AY384" s="28" t="str">
        <f t="shared" si="6"/>
        <v>#N/A</v>
      </c>
      <c r="AZ384" s="22" t="s">
        <v>107</v>
      </c>
      <c r="BA384" s="22" t="s">
        <v>108</v>
      </c>
      <c r="BB384" s="31" t="s">
        <v>109</v>
      </c>
      <c r="BC384" s="31" t="s">
        <v>109</v>
      </c>
      <c r="BD384" s="32" t="str">
        <f t="shared" si="8"/>
        <v>nvl-nvs-imc-dsy-0820-10378</v>
      </c>
      <c r="BE384" s="33"/>
      <c r="BF384" s="33"/>
      <c r="BG384" s="39" t="str">
        <f>URL&amp;IF(ISNUMBER(FIND("?",URL)),"&amp;","?"&amp;("adlid="&amp;Unique_ID&amp;"&amp;adplt="&amp;Placement))</f>
        <v>#N/A</v>
      </c>
      <c r="BH384" s="1"/>
      <c r="BI384" s="1"/>
      <c r="BJ384" s="35" t="str">
        <f>LOWER("alp"&amp;"_"&amp;"vw"&amp;"_"&amp;Veiculo&amp;"_"&amp;C380&amp;"_"&amp;Objetivo)</f>
        <v>alp_vw___</v>
      </c>
      <c r="BK384" s="35" t="str">
        <f>LOWER(Buying_Metric&amp;"_"&amp;VLOOKUP(Buying_Type,Buy_type,2,FALSE)&amp;"_"&amp;Device&amp;"_"&amp;Size&amp;"_"&amp;Segmentação&amp;"_"&amp;Segmentação_Anúncio)</f>
        <v>#N/A</v>
      </c>
      <c r="BL384" s="35" t="str">
        <f>LOWER(Campanha_ou_InsertionOrder&amp;"_"&amp;LineItem_ou_Grupodeanúncio&amp;"_"&amp;Linha_criativa_2&amp;"_"&amp;Unique_ID)</f>
        <v>#N/A</v>
      </c>
      <c r="BM384" s="27"/>
      <c r="BN384" s="27"/>
    </row>
    <row r="385">
      <c r="A385" s="1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8" t="str">
        <f>LOWER(Campanha_ou_InsertionOrder&amp;"_"&amp;LineItem_ou_Grupodeanúncio&amp;"_"&amp;Linha_Criativa&amp;"_"&amp;Unique_ID)</f>
        <v>#N/A</v>
      </c>
      <c r="AN385" s="28" t="str">
        <f>LOWER(Campanha_ou_InsertionOrder&amp;"_"&amp;LineItem_ou_Grupodeanúncio&amp;"_"&amp;Linha_Criativa&amp;"_"&amp;Unique_ID)</f>
        <v>#N/A</v>
      </c>
      <c r="AO385" s="28" t="str">
        <f>LOWER("VW"&amp;"_"&amp;Model_Variant&amp;"_"&amp;Size&amp;"_"&amp;Linha_Criativa&amp;"_"&amp;IF(Servido_Por="portal",Veiculo,"adserver"))</f>
        <v>vw____adserver</v>
      </c>
      <c r="AP3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5" s="22" t="str">
        <f t="shared" si="1"/>
        <v/>
      </c>
      <c r="AS385" s="22" t="str">
        <f t="shared" si="2"/>
        <v/>
      </c>
      <c r="AT385" s="22" t="str">
        <f t="shared" si="3"/>
        <v>BR_IMC_DSY_LANCH_ND_NC_2020Q3AUG_NVS_Nivus-Launch-Consideracao</v>
      </c>
      <c r="AU385" s="22" t="str">
        <f t="shared" si="4"/>
        <v>#N/A</v>
      </c>
      <c r="AV385" s="22" t="s">
        <v>106</v>
      </c>
      <c r="AW3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5" s="22" t="str">
        <f t="shared" si="5"/>
        <v>BR_IMC_DSY_LANCH_ND_NC_2020Q3AUG_NVS_Nivus-Launch-Consideracao</v>
      </c>
      <c r="AY385" s="28" t="str">
        <f t="shared" si="6"/>
        <v>#N/A</v>
      </c>
      <c r="AZ385" s="22" t="s">
        <v>107</v>
      </c>
      <c r="BA385" s="22" t="s">
        <v>108</v>
      </c>
      <c r="BB385" s="31" t="s">
        <v>109</v>
      </c>
      <c r="BC385" s="31" t="s">
        <v>109</v>
      </c>
      <c r="BD385" s="32" t="str">
        <f t="shared" si="8"/>
        <v>nvl-nvs-imc-dsy-0820-10379</v>
      </c>
      <c r="BE385" s="33"/>
      <c r="BF385" s="33"/>
      <c r="BG385" s="39" t="str">
        <f>URL&amp;IF(ISNUMBER(FIND("?",URL)),"&amp;","?"&amp;("adlid="&amp;Unique_ID&amp;"&amp;adplt="&amp;Placement))</f>
        <v>#N/A</v>
      </c>
      <c r="BH385" s="1"/>
      <c r="BI385" s="1"/>
      <c r="BJ385" s="35" t="str">
        <f>LOWER("alp"&amp;"_"&amp;"vw"&amp;"_"&amp;Veiculo&amp;"_"&amp;C381&amp;"_"&amp;Objetivo)</f>
        <v>alp_vw___</v>
      </c>
      <c r="BK385" s="35" t="str">
        <f>LOWER(Buying_Metric&amp;"_"&amp;VLOOKUP(Buying_Type,Buy_type,2,FALSE)&amp;"_"&amp;Device&amp;"_"&amp;Size&amp;"_"&amp;Segmentação&amp;"_"&amp;Segmentação_Anúncio)</f>
        <v>#N/A</v>
      </c>
      <c r="BL385" s="35" t="str">
        <f>LOWER(Campanha_ou_InsertionOrder&amp;"_"&amp;LineItem_ou_Grupodeanúncio&amp;"_"&amp;Linha_criativa_2&amp;"_"&amp;Unique_ID)</f>
        <v>#N/A</v>
      </c>
      <c r="BM385" s="27"/>
      <c r="BN385" s="27"/>
    </row>
    <row r="386">
      <c r="A386" s="1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8" t="str">
        <f>LOWER(Campanha_ou_InsertionOrder&amp;"_"&amp;LineItem_ou_Grupodeanúncio&amp;"_"&amp;Linha_Criativa&amp;"_"&amp;Unique_ID)</f>
        <v>#N/A</v>
      </c>
      <c r="AN386" s="28" t="str">
        <f>LOWER(Campanha_ou_InsertionOrder&amp;"_"&amp;LineItem_ou_Grupodeanúncio&amp;"_"&amp;Linha_Criativa&amp;"_"&amp;Unique_ID)</f>
        <v>#N/A</v>
      </c>
      <c r="AO386" s="28" t="str">
        <f>LOWER("VW"&amp;"_"&amp;Model_Variant&amp;"_"&amp;Size&amp;"_"&amp;Linha_Criativa&amp;"_"&amp;IF(Servido_Por="portal",Veiculo,"adserver"))</f>
        <v>vw____adserver</v>
      </c>
      <c r="AP3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6" s="22" t="str">
        <f t="shared" si="1"/>
        <v/>
      </c>
      <c r="AS386" s="22" t="str">
        <f t="shared" si="2"/>
        <v/>
      </c>
      <c r="AT386" s="22" t="str">
        <f t="shared" si="3"/>
        <v>BR_IMC_DSY_LANCH_ND_NC_2020Q3AUG_NVS_Nivus-Launch-Consideracao</v>
      </c>
      <c r="AU386" s="22" t="str">
        <f t="shared" si="4"/>
        <v>#N/A</v>
      </c>
      <c r="AV386" s="22" t="s">
        <v>106</v>
      </c>
      <c r="AW3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6" s="22" t="str">
        <f t="shared" si="5"/>
        <v>BR_IMC_DSY_LANCH_ND_NC_2020Q3AUG_NVS_Nivus-Launch-Consideracao</v>
      </c>
      <c r="AY386" s="28" t="str">
        <f t="shared" si="6"/>
        <v>#N/A</v>
      </c>
      <c r="AZ386" s="22" t="s">
        <v>107</v>
      </c>
      <c r="BA386" s="22" t="s">
        <v>108</v>
      </c>
      <c r="BB386" s="31" t="s">
        <v>109</v>
      </c>
      <c r="BC386" s="31" t="s">
        <v>109</v>
      </c>
      <c r="BD386" s="32" t="str">
        <f t="shared" si="8"/>
        <v>nvl-nvs-imc-dsy-0820-10380</v>
      </c>
      <c r="BE386" s="33"/>
      <c r="BF386" s="33"/>
      <c r="BG386" s="39" t="str">
        <f>URL&amp;IF(ISNUMBER(FIND("?",URL)),"&amp;","?"&amp;("adlid="&amp;Unique_ID&amp;"&amp;adplt="&amp;Placement))</f>
        <v>#N/A</v>
      </c>
      <c r="BH386" s="1"/>
      <c r="BI386" s="1"/>
      <c r="BJ386" s="35" t="str">
        <f>LOWER("alp"&amp;"_"&amp;"vw"&amp;"_"&amp;Veiculo&amp;"_"&amp;C382&amp;"_"&amp;Objetivo)</f>
        <v>alp_vw___</v>
      </c>
      <c r="BK386" s="35" t="str">
        <f>LOWER(Buying_Metric&amp;"_"&amp;VLOOKUP(Buying_Type,Buy_type,2,FALSE)&amp;"_"&amp;Device&amp;"_"&amp;Size&amp;"_"&amp;Segmentação&amp;"_"&amp;Segmentação_Anúncio)</f>
        <v>#N/A</v>
      </c>
      <c r="BL386" s="35" t="str">
        <f>LOWER(Campanha_ou_InsertionOrder&amp;"_"&amp;LineItem_ou_Grupodeanúncio&amp;"_"&amp;Linha_criativa_2&amp;"_"&amp;Unique_ID)</f>
        <v>#N/A</v>
      </c>
      <c r="BM386" s="27"/>
      <c r="BN386" s="27"/>
    </row>
    <row r="387">
      <c r="A387" s="1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8" t="str">
        <f>LOWER(Campanha_ou_InsertionOrder&amp;"_"&amp;LineItem_ou_Grupodeanúncio&amp;"_"&amp;Linha_Criativa&amp;"_"&amp;Unique_ID)</f>
        <v>#N/A</v>
      </c>
      <c r="AN387" s="28" t="str">
        <f>LOWER(Campanha_ou_InsertionOrder&amp;"_"&amp;LineItem_ou_Grupodeanúncio&amp;"_"&amp;Linha_Criativa&amp;"_"&amp;Unique_ID)</f>
        <v>#N/A</v>
      </c>
      <c r="AO387" s="28" t="str">
        <f>LOWER("VW"&amp;"_"&amp;Model_Variant&amp;"_"&amp;Size&amp;"_"&amp;Linha_Criativa&amp;"_"&amp;IF(Servido_Por="portal",Veiculo,"adserver"))</f>
        <v>vw____adserver</v>
      </c>
      <c r="AP3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7" s="22" t="str">
        <f t="shared" si="1"/>
        <v/>
      </c>
      <c r="AS387" s="22" t="str">
        <f t="shared" si="2"/>
        <v/>
      </c>
      <c r="AT387" s="22" t="str">
        <f t="shared" si="3"/>
        <v>BR_IMC_DSY_LANCH_ND_NC_2020Q3AUG_NVS_Nivus-Launch-Consideracao</v>
      </c>
      <c r="AU387" s="22" t="str">
        <f t="shared" si="4"/>
        <v>#N/A</v>
      </c>
      <c r="AV387" s="22" t="s">
        <v>106</v>
      </c>
      <c r="AW3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7" s="22" t="str">
        <f t="shared" si="5"/>
        <v>BR_IMC_DSY_LANCH_ND_NC_2020Q3AUG_NVS_Nivus-Launch-Consideracao</v>
      </c>
      <c r="AY387" s="28" t="str">
        <f t="shared" si="6"/>
        <v>#N/A</v>
      </c>
      <c r="AZ387" s="22" t="s">
        <v>107</v>
      </c>
      <c r="BA387" s="22" t="s">
        <v>108</v>
      </c>
      <c r="BB387" s="31" t="s">
        <v>109</v>
      </c>
      <c r="BC387" s="31" t="s">
        <v>109</v>
      </c>
      <c r="BD387" s="32" t="str">
        <f t="shared" si="8"/>
        <v>nvl-nvs-imc-dsy-0820-10381</v>
      </c>
      <c r="BE387" s="33"/>
      <c r="BF387" s="33"/>
      <c r="BG387" s="39" t="str">
        <f>URL&amp;IF(ISNUMBER(FIND("?",URL)),"&amp;","?"&amp;("adlid="&amp;Unique_ID&amp;"&amp;adplt="&amp;Placement))</f>
        <v>#N/A</v>
      </c>
      <c r="BH387" s="1"/>
      <c r="BI387" s="1"/>
      <c r="BJ387" s="35" t="str">
        <f>LOWER("alp"&amp;"_"&amp;"vw"&amp;"_"&amp;Veiculo&amp;"_"&amp;C383&amp;"_"&amp;Objetivo)</f>
        <v>alp_vw___</v>
      </c>
      <c r="BK387" s="35" t="str">
        <f>LOWER(Buying_Metric&amp;"_"&amp;VLOOKUP(Buying_Type,Buy_type,2,FALSE)&amp;"_"&amp;Device&amp;"_"&amp;Size&amp;"_"&amp;Segmentação&amp;"_"&amp;Segmentação_Anúncio)</f>
        <v>#N/A</v>
      </c>
      <c r="BL387" s="35" t="str">
        <f>LOWER(Campanha_ou_InsertionOrder&amp;"_"&amp;LineItem_ou_Grupodeanúncio&amp;"_"&amp;Linha_criativa_2&amp;"_"&amp;Unique_ID)</f>
        <v>#N/A</v>
      </c>
      <c r="BM387" s="27"/>
      <c r="BN387" s="27"/>
    </row>
    <row r="388">
      <c r="A388" s="1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8" t="str">
        <f>LOWER(Campanha_ou_InsertionOrder&amp;"_"&amp;LineItem_ou_Grupodeanúncio&amp;"_"&amp;Linha_Criativa&amp;"_"&amp;Unique_ID)</f>
        <v>#N/A</v>
      </c>
      <c r="AN388" s="28" t="str">
        <f>LOWER(Campanha_ou_InsertionOrder&amp;"_"&amp;LineItem_ou_Grupodeanúncio&amp;"_"&amp;Linha_Criativa&amp;"_"&amp;Unique_ID)</f>
        <v>#N/A</v>
      </c>
      <c r="AO388" s="28" t="str">
        <f>LOWER("VW"&amp;"_"&amp;Model_Variant&amp;"_"&amp;Size&amp;"_"&amp;Linha_Criativa&amp;"_"&amp;IF(Servido_Por="portal",Veiculo,"adserver"))</f>
        <v>vw____adserver</v>
      </c>
      <c r="AP3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8" s="22" t="str">
        <f t="shared" si="1"/>
        <v/>
      </c>
      <c r="AS388" s="22" t="str">
        <f t="shared" si="2"/>
        <v/>
      </c>
      <c r="AT388" s="22" t="str">
        <f t="shared" si="3"/>
        <v>BR_IMC_DSY_LANCH_ND_NC_2020Q3AUG_NVS_Nivus-Launch-Consideracao</v>
      </c>
      <c r="AU388" s="22" t="str">
        <f t="shared" si="4"/>
        <v>#N/A</v>
      </c>
      <c r="AV388" s="22" t="s">
        <v>106</v>
      </c>
      <c r="AW3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8" s="22" t="str">
        <f t="shared" si="5"/>
        <v>BR_IMC_DSY_LANCH_ND_NC_2020Q3AUG_NVS_Nivus-Launch-Consideracao</v>
      </c>
      <c r="AY388" s="28" t="str">
        <f t="shared" si="6"/>
        <v>#N/A</v>
      </c>
      <c r="AZ388" s="22" t="s">
        <v>107</v>
      </c>
      <c r="BA388" s="22" t="s">
        <v>108</v>
      </c>
      <c r="BB388" s="31" t="s">
        <v>109</v>
      </c>
      <c r="BC388" s="31" t="s">
        <v>109</v>
      </c>
      <c r="BD388" s="32" t="str">
        <f t="shared" si="8"/>
        <v>nvl-nvs-imc-dsy-0820-10382</v>
      </c>
      <c r="BE388" s="33"/>
      <c r="BF388" s="33"/>
      <c r="BG388" s="39" t="str">
        <f>URL&amp;IF(ISNUMBER(FIND("?",URL)),"&amp;","?"&amp;("adlid="&amp;Unique_ID&amp;"&amp;adplt="&amp;Placement))</f>
        <v>#N/A</v>
      </c>
      <c r="BH388" s="1"/>
      <c r="BI388" s="1"/>
      <c r="BJ388" s="35" t="str">
        <f>LOWER("alp"&amp;"_"&amp;"vw"&amp;"_"&amp;Veiculo&amp;"_"&amp;C384&amp;"_"&amp;Objetivo)</f>
        <v>alp_vw___</v>
      </c>
      <c r="BK388" s="35" t="str">
        <f>LOWER(Buying_Metric&amp;"_"&amp;VLOOKUP(Buying_Type,Buy_type,2,FALSE)&amp;"_"&amp;Device&amp;"_"&amp;Size&amp;"_"&amp;Segmentação&amp;"_"&amp;Segmentação_Anúncio)</f>
        <v>#N/A</v>
      </c>
      <c r="BL388" s="35" t="str">
        <f>LOWER(Campanha_ou_InsertionOrder&amp;"_"&amp;LineItem_ou_Grupodeanúncio&amp;"_"&amp;Linha_criativa_2&amp;"_"&amp;Unique_ID)</f>
        <v>#N/A</v>
      </c>
      <c r="BM388" s="27"/>
      <c r="BN388" s="27"/>
    </row>
    <row r="389">
      <c r="A389" s="1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8" t="str">
        <f>LOWER(Campanha_ou_InsertionOrder&amp;"_"&amp;LineItem_ou_Grupodeanúncio&amp;"_"&amp;Linha_Criativa&amp;"_"&amp;Unique_ID)</f>
        <v>#N/A</v>
      </c>
      <c r="AN389" s="28" t="str">
        <f>LOWER(Campanha_ou_InsertionOrder&amp;"_"&amp;LineItem_ou_Grupodeanúncio&amp;"_"&amp;Linha_Criativa&amp;"_"&amp;Unique_ID)</f>
        <v>#N/A</v>
      </c>
      <c r="AO389" s="28" t="str">
        <f>LOWER("VW"&amp;"_"&amp;Model_Variant&amp;"_"&amp;Size&amp;"_"&amp;Linha_Criativa&amp;"_"&amp;IF(Servido_Por="portal",Veiculo,"adserver"))</f>
        <v>vw____adserver</v>
      </c>
      <c r="AP3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89" s="22" t="str">
        <f t="shared" si="1"/>
        <v/>
      </c>
      <c r="AS389" s="22" t="str">
        <f t="shared" si="2"/>
        <v/>
      </c>
      <c r="AT389" s="22" t="str">
        <f t="shared" si="3"/>
        <v>BR_IMC_DSY_LANCH_ND_NC_2020Q3AUG_NVS_Nivus-Launch-Consideracao</v>
      </c>
      <c r="AU389" s="22" t="str">
        <f t="shared" si="4"/>
        <v>#N/A</v>
      </c>
      <c r="AV389" s="22" t="s">
        <v>106</v>
      </c>
      <c r="AW3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89" s="22" t="str">
        <f t="shared" si="5"/>
        <v>BR_IMC_DSY_LANCH_ND_NC_2020Q3AUG_NVS_Nivus-Launch-Consideracao</v>
      </c>
      <c r="AY389" s="28" t="str">
        <f t="shared" si="6"/>
        <v>#N/A</v>
      </c>
      <c r="AZ389" s="22" t="s">
        <v>107</v>
      </c>
      <c r="BA389" s="22" t="s">
        <v>108</v>
      </c>
      <c r="BB389" s="31" t="s">
        <v>109</v>
      </c>
      <c r="BC389" s="31" t="s">
        <v>109</v>
      </c>
      <c r="BD389" s="32" t="str">
        <f t="shared" si="8"/>
        <v>nvl-nvs-imc-dsy-0820-10383</v>
      </c>
      <c r="BE389" s="33"/>
      <c r="BF389" s="33"/>
      <c r="BG389" s="39" t="str">
        <f>URL&amp;IF(ISNUMBER(FIND("?",URL)),"&amp;","?"&amp;("adlid="&amp;Unique_ID&amp;"&amp;adplt="&amp;Placement))</f>
        <v>#N/A</v>
      </c>
      <c r="BH389" s="1"/>
      <c r="BI389" s="1"/>
      <c r="BJ389" s="35" t="str">
        <f>LOWER("alp"&amp;"_"&amp;"vw"&amp;"_"&amp;Veiculo&amp;"_"&amp;C385&amp;"_"&amp;Objetivo)</f>
        <v>alp_vw___</v>
      </c>
      <c r="BK389" s="35" t="str">
        <f>LOWER(Buying_Metric&amp;"_"&amp;VLOOKUP(Buying_Type,Buy_type,2,FALSE)&amp;"_"&amp;Device&amp;"_"&amp;Size&amp;"_"&amp;Segmentação&amp;"_"&amp;Segmentação_Anúncio)</f>
        <v>#N/A</v>
      </c>
      <c r="BL389" s="35" t="str">
        <f>LOWER(Campanha_ou_InsertionOrder&amp;"_"&amp;LineItem_ou_Grupodeanúncio&amp;"_"&amp;Linha_criativa_2&amp;"_"&amp;Unique_ID)</f>
        <v>#N/A</v>
      </c>
      <c r="BM389" s="27"/>
      <c r="BN389" s="27"/>
    </row>
    <row r="390">
      <c r="A390" s="1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8" t="str">
        <f>LOWER(Campanha_ou_InsertionOrder&amp;"_"&amp;LineItem_ou_Grupodeanúncio&amp;"_"&amp;Linha_Criativa&amp;"_"&amp;Unique_ID)</f>
        <v>#N/A</v>
      </c>
      <c r="AN390" s="28" t="str">
        <f>LOWER(Campanha_ou_InsertionOrder&amp;"_"&amp;LineItem_ou_Grupodeanúncio&amp;"_"&amp;Linha_Criativa&amp;"_"&amp;Unique_ID)</f>
        <v>#N/A</v>
      </c>
      <c r="AO390" s="28" t="str">
        <f>LOWER("VW"&amp;"_"&amp;Model_Variant&amp;"_"&amp;Size&amp;"_"&amp;Linha_Criativa&amp;"_"&amp;IF(Servido_Por="portal",Veiculo,"adserver"))</f>
        <v>vw____adserver</v>
      </c>
      <c r="AP3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0" s="22" t="str">
        <f t="shared" si="1"/>
        <v/>
      </c>
      <c r="AS390" s="22" t="str">
        <f t="shared" si="2"/>
        <v/>
      </c>
      <c r="AT390" s="22" t="str">
        <f t="shared" si="3"/>
        <v>BR_IMC_DSY_LANCH_ND_NC_2020Q3AUG_NVS_Nivus-Launch-Consideracao</v>
      </c>
      <c r="AU390" s="22" t="str">
        <f t="shared" si="4"/>
        <v>#N/A</v>
      </c>
      <c r="AV390" s="22" t="s">
        <v>106</v>
      </c>
      <c r="AW3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0" s="22" t="str">
        <f t="shared" si="5"/>
        <v>BR_IMC_DSY_LANCH_ND_NC_2020Q3AUG_NVS_Nivus-Launch-Consideracao</v>
      </c>
      <c r="AY390" s="28" t="str">
        <f t="shared" si="6"/>
        <v>#N/A</v>
      </c>
      <c r="AZ390" s="22" t="s">
        <v>107</v>
      </c>
      <c r="BA390" s="22" t="s">
        <v>108</v>
      </c>
      <c r="BB390" s="31" t="s">
        <v>109</v>
      </c>
      <c r="BC390" s="31" t="s">
        <v>109</v>
      </c>
      <c r="BD390" s="32" t="str">
        <f t="shared" si="8"/>
        <v>nvl-nvs-imc-dsy-0820-10384</v>
      </c>
      <c r="BE390" s="33"/>
      <c r="BF390" s="33"/>
      <c r="BG390" s="39" t="str">
        <f>URL&amp;IF(ISNUMBER(FIND("?",URL)),"&amp;","?"&amp;("adlid="&amp;Unique_ID&amp;"&amp;adplt="&amp;Placement))</f>
        <v>#N/A</v>
      </c>
      <c r="BH390" s="1"/>
      <c r="BI390" s="1"/>
      <c r="BJ390" s="35" t="str">
        <f>LOWER("alp"&amp;"_"&amp;"vw"&amp;"_"&amp;Veiculo&amp;"_"&amp;C386&amp;"_"&amp;Objetivo)</f>
        <v>alp_vw___</v>
      </c>
      <c r="BK390" s="35" t="str">
        <f>LOWER(Buying_Metric&amp;"_"&amp;VLOOKUP(Buying_Type,Buy_type,2,FALSE)&amp;"_"&amp;Device&amp;"_"&amp;Size&amp;"_"&amp;Segmentação&amp;"_"&amp;Segmentação_Anúncio)</f>
        <v>#N/A</v>
      </c>
      <c r="BL390" s="35" t="str">
        <f>LOWER(Campanha_ou_InsertionOrder&amp;"_"&amp;LineItem_ou_Grupodeanúncio&amp;"_"&amp;Linha_criativa_2&amp;"_"&amp;Unique_ID)</f>
        <v>#N/A</v>
      </c>
      <c r="BM390" s="27"/>
      <c r="BN390" s="27"/>
    </row>
    <row r="391">
      <c r="A391" s="1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8" t="str">
        <f>LOWER(Campanha_ou_InsertionOrder&amp;"_"&amp;LineItem_ou_Grupodeanúncio&amp;"_"&amp;Linha_Criativa&amp;"_"&amp;Unique_ID)</f>
        <v>#N/A</v>
      </c>
      <c r="AN391" s="28" t="str">
        <f>LOWER(Campanha_ou_InsertionOrder&amp;"_"&amp;LineItem_ou_Grupodeanúncio&amp;"_"&amp;Linha_Criativa&amp;"_"&amp;Unique_ID)</f>
        <v>#N/A</v>
      </c>
      <c r="AO391" s="28" t="str">
        <f>LOWER("VW"&amp;"_"&amp;Model_Variant&amp;"_"&amp;Size&amp;"_"&amp;Linha_Criativa&amp;"_"&amp;IF(Servido_Por="portal",Veiculo,"adserver"))</f>
        <v>vw____adserver</v>
      </c>
      <c r="AP3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1" s="22" t="str">
        <f t="shared" si="1"/>
        <v/>
      </c>
      <c r="AS391" s="22" t="str">
        <f t="shared" si="2"/>
        <v/>
      </c>
      <c r="AT391" s="22" t="str">
        <f t="shared" si="3"/>
        <v>BR_IMC_DSY_LANCH_ND_NC_2020Q3AUG_NVS_Nivus-Launch-Consideracao</v>
      </c>
      <c r="AU391" s="22" t="str">
        <f t="shared" si="4"/>
        <v>#N/A</v>
      </c>
      <c r="AV391" s="22" t="s">
        <v>106</v>
      </c>
      <c r="AW3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1" s="22" t="str">
        <f t="shared" si="5"/>
        <v>BR_IMC_DSY_LANCH_ND_NC_2020Q3AUG_NVS_Nivus-Launch-Consideracao</v>
      </c>
      <c r="AY391" s="28" t="str">
        <f t="shared" si="6"/>
        <v>#N/A</v>
      </c>
      <c r="AZ391" s="22" t="s">
        <v>107</v>
      </c>
      <c r="BA391" s="22" t="s">
        <v>108</v>
      </c>
      <c r="BB391" s="31" t="s">
        <v>109</v>
      </c>
      <c r="BC391" s="31" t="s">
        <v>109</v>
      </c>
      <c r="BD391" s="32" t="str">
        <f t="shared" si="8"/>
        <v>nvl-nvs-imc-dsy-0820-10385</v>
      </c>
      <c r="BE391" s="33"/>
      <c r="BF391" s="33"/>
      <c r="BG391" s="39" t="str">
        <f>URL&amp;IF(ISNUMBER(FIND("?",URL)),"&amp;","?"&amp;("adlid="&amp;Unique_ID&amp;"&amp;adplt="&amp;Placement))</f>
        <v>#N/A</v>
      </c>
      <c r="BH391" s="1"/>
      <c r="BI391" s="1"/>
      <c r="BJ391" s="35" t="str">
        <f>LOWER("alp"&amp;"_"&amp;"vw"&amp;"_"&amp;Veiculo&amp;"_"&amp;C387&amp;"_"&amp;Objetivo)</f>
        <v>alp_vw___</v>
      </c>
      <c r="BK391" s="35" t="str">
        <f>LOWER(Buying_Metric&amp;"_"&amp;VLOOKUP(Buying_Type,Buy_type,2,FALSE)&amp;"_"&amp;Device&amp;"_"&amp;Size&amp;"_"&amp;Segmentação&amp;"_"&amp;Segmentação_Anúncio)</f>
        <v>#N/A</v>
      </c>
      <c r="BL391" s="35" t="str">
        <f>LOWER(Campanha_ou_InsertionOrder&amp;"_"&amp;LineItem_ou_Grupodeanúncio&amp;"_"&amp;Linha_criativa_2&amp;"_"&amp;Unique_ID)</f>
        <v>#N/A</v>
      </c>
      <c r="BM391" s="27"/>
      <c r="BN391" s="27"/>
    </row>
    <row r="392">
      <c r="A392" s="1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8" t="str">
        <f>LOWER(Campanha_ou_InsertionOrder&amp;"_"&amp;LineItem_ou_Grupodeanúncio&amp;"_"&amp;Linha_Criativa&amp;"_"&amp;Unique_ID)</f>
        <v>#N/A</v>
      </c>
      <c r="AN392" s="28" t="str">
        <f>LOWER(Campanha_ou_InsertionOrder&amp;"_"&amp;LineItem_ou_Grupodeanúncio&amp;"_"&amp;Linha_Criativa&amp;"_"&amp;Unique_ID)</f>
        <v>#N/A</v>
      </c>
      <c r="AO392" s="28" t="str">
        <f>LOWER("VW"&amp;"_"&amp;Model_Variant&amp;"_"&amp;Size&amp;"_"&amp;Linha_Criativa&amp;"_"&amp;IF(Servido_Por="portal",Veiculo,"adserver"))</f>
        <v>vw____adserver</v>
      </c>
      <c r="AP3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2" s="22" t="str">
        <f t="shared" si="1"/>
        <v/>
      </c>
      <c r="AS392" s="22" t="str">
        <f t="shared" si="2"/>
        <v/>
      </c>
      <c r="AT392" s="22" t="str">
        <f t="shared" si="3"/>
        <v>BR_IMC_DSY_LANCH_ND_NC_2020Q3AUG_NVS_Nivus-Launch-Consideracao</v>
      </c>
      <c r="AU392" s="22" t="str">
        <f t="shared" si="4"/>
        <v>#N/A</v>
      </c>
      <c r="AV392" s="22" t="s">
        <v>106</v>
      </c>
      <c r="AW3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2" s="22" t="str">
        <f t="shared" si="5"/>
        <v>BR_IMC_DSY_LANCH_ND_NC_2020Q3AUG_NVS_Nivus-Launch-Consideracao</v>
      </c>
      <c r="AY392" s="28" t="str">
        <f t="shared" si="6"/>
        <v>#N/A</v>
      </c>
      <c r="AZ392" s="22" t="s">
        <v>107</v>
      </c>
      <c r="BA392" s="22" t="s">
        <v>108</v>
      </c>
      <c r="BB392" s="31" t="s">
        <v>109</v>
      </c>
      <c r="BC392" s="31" t="s">
        <v>109</v>
      </c>
      <c r="BD392" s="32" t="str">
        <f t="shared" si="8"/>
        <v>nvl-nvs-imc-dsy-0820-10386</v>
      </c>
      <c r="BE392" s="33"/>
      <c r="BF392" s="33"/>
      <c r="BG392" s="39" t="str">
        <f>URL&amp;IF(ISNUMBER(FIND("?",URL)),"&amp;","?"&amp;("adlid="&amp;Unique_ID&amp;"&amp;adplt="&amp;Placement))</f>
        <v>#N/A</v>
      </c>
      <c r="BH392" s="1"/>
      <c r="BI392" s="1"/>
      <c r="BJ392" s="35" t="str">
        <f>LOWER("alp"&amp;"_"&amp;"vw"&amp;"_"&amp;Veiculo&amp;"_"&amp;C388&amp;"_"&amp;Objetivo)</f>
        <v>alp_vw___</v>
      </c>
      <c r="BK392" s="35" t="str">
        <f>LOWER(Buying_Metric&amp;"_"&amp;VLOOKUP(Buying_Type,Buy_type,2,FALSE)&amp;"_"&amp;Device&amp;"_"&amp;Size&amp;"_"&amp;Segmentação&amp;"_"&amp;Segmentação_Anúncio)</f>
        <v>#N/A</v>
      </c>
      <c r="BL392" s="35" t="str">
        <f>LOWER(Campanha_ou_InsertionOrder&amp;"_"&amp;LineItem_ou_Grupodeanúncio&amp;"_"&amp;Linha_criativa_2&amp;"_"&amp;Unique_ID)</f>
        <v>#N/A</v>
      </c>
      <c r="BM392" s="27"/>
      <c r="BN392" s="27"/>
    </row>
    <row r="393">
      <c r="A393" s="1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8" t="str">
        <f>LOWER(Campanha_ou_InsertionOrder&amp;"_"&amp;LineItem_ou_Grupodeanúncio&amp;"_"&amp;Linha_Criativa&amp;"_"&amp;Unique_ID)</f>
        <v>#N/A</v>
      </c>
      <c r="AN393" s="28" t="str">
        <f>LOWER(Campanha_ou_InsertionOrder&amp;"_"&amp;LineItem_ou_Grupodeanúncio&amp;"_"&amp;Linha_Criativa&amp;"_"&amp;Unique_ID)</f>
        <v>#N/A</v>
      </c>
      <c r="AO393" s="28" t="str">
        <f>LOWER("VW"&amp;"_"&amp;Model_Variant&amp;"_"&amp;Size&amp;"_"&amp;Linha_Criativa&amp;"_"&amp;IF(Servido_Por="portal",Veiculo,"adserver"))</f>
        <v>vw____adserver</v>
      </c>
      <c r="AP3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3" s="22" t="str">
        <f t="shared" si="1"/>
        <v/>
      </c>
      <c r="AS393" s="22" t="str">
        <f t="shared" si="2"/>
        <v/>
      </c>
      <c r="AT393" s="22" t="str">
        <f t="shared" si="3"/>
        <v>BR_IMC_DSY_LANCH_ND_NC_2020Q3AUG_NVS_Nivus-Launch-Consideracao</v>
      </c>
      <c r="AU393" s="22" t="str">
        <f t="shared" si="4"/>
        <v>#N/A</v>
      </c>
      <c r="AV393" s="22" t="s">
        <v>106</v>
      </c>
      <c r="AW3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3" s="22" t="str">
        <f t="shared" si="5"/>
        <v>BR_IMC_DSY_LANCH_ND_NC_2020Q3AUG_NVS_Nivus-Launch-Consideracao</v>
      </c>
      <c r="AY393" s="28" t="str">
        <f t="shared" si="6"/>
        <v>#N/A</v>
      </c>
      <c r="AZ393" s="22" t="s">
        <v>107</v>
      </c>
      <c r="BA393" s="22" t="s">
        <v>108</v>
      </c>
      <c r="BB393" s="31" t="s">
        <v>109</v>
      </c>
      <c r="BC393" s="31" t="s">
        <v>109</v>
      </c>
      <c r="BD393" s="32" t="str">
        <f t="shared" si="8"/>
        <v>nvl-nvs-imc-dsy-0820-10387</v>
      </c>
      <c r="BE393" s="33"/>
      <c r="BF393" s="33"/>
      <c r="BG393" s="39" t="str">
        <f>URL&amp;IF(ISNUMBER(FIND("?",URL)),"&amp;","?"&amp;("adlid="&amp;Unique_ID&amp;"&amp;adplt="&amp;Placement))</f>
        <v>#N/A</v>
      </c>
      <c r="BH393" s="1"/>
      <c r="BI393" s="1"/>
      <c r="BJ393" s="35" t="str">
        <f>LOWER("alp"&amp;"_"&amp;"vw"&amp;"_"&amp;Veiculo&amp;"_"&amp;C389&amp;"_"&amp;Objetivo)</f>
        <v>alp_vw___</v>
      </c>
      <c r="BK393" s="35" t="str">
        <f>LOWER(Buying_Metric&amp;"_"&amp;VLOOKUP(Buying_Type,Buy_type,2,FALSE)&amp;"_"&amp;Device&amp;"_"&amp;Size&amp;"_"&amp;Segmentação&amp;"_"&amp;Segmentação_Anúncio)</f>
        <v>#N/A</v>
      </c>
      <c r="BL393" s="35" t="str">
        <f>LOWER(Campanha_ou_InsertionOrder&amp;"_"&amp;LineItem_ou_Grupodeanúncio&amp;"_"&amp;Linha_criativa_2&amp;"_"&amp;Unique_ID)</f>
        <v>#N/A</v>
      </c>
      <c r="BM393" s="27"/>
      <c r="BN393" s="27"/>
    </row>
    <row r="394">
      <c r="A394" s="1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8" t="str">
        <f>LOWER(Campanha_ou_InsertionOrder&amp;"_"&amp;LineItem_ou_Grupodeanúncio&amp;"_"&amp;Linha_Criativa&amp;"_"&amp;Unique_ID)</f>
        <v>#N/A</v>
      </c>
      <c r="AN394" s="28" t="str">
        <f>LOWER(Campanha_ou_InsertionOrder&amp;"_"&amp;LineItem_ou_Grupodeanúncio&amp;"_"&amp;Linha_Criativa&amp;"_"&amp;Unique_ID)</f>
        <v>#N/A</v>
      </c>
      <c r="AO394" s="28" t="str">
        <f>LOWER("VW"&amp;"_"&amp;Model_Variant&amp;"_"&amp;Size&amp;"_"&amp;Linha_Criativa&amp;"_"&amp;IF(Servido_Por="portal",Veiculo,"adserver"))</f>
        <v>vw____adserver</v>
      </c>
      <c r="AP3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4" s="22" t="str">
        <f t="shared" si="1"/>
        <v/>
      </c>
      <c r="AS394" s="22" t="str">
        <f t="shared" si="2"/>
        <v/>
      </c>
      <c r="AT394" s="22" t="str">
        <f t="shared" si="3"/>
        <v>BR_IMC_DSY_LANCH_ND_NC_2020Q3AUG_NVS_Nivus-Launch-Consideracao</v>
      </c>
      <c r="AU394" s="22" t="str">
        <f t="shared" si="4"/>
        <v>#N/A</v>
      </c>
      <c r="AV394" s="22" t="s">
        <v>106</v>
      </c>
      <c r="AW3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4" s="22" t="str">
        <f t="shared" si="5"/>
        <v>BR_IMC_DSY_LANCH_ND_NC_2020Q3AUG_NVS_Nivus-Launch-Consideracao</v>
      </c>
      <c r="AY394" s="28" t="str">
        <f t="shared" si="6"/>
        <v>#N/A</v>
      </c>
      <c r="AZ394" s="22" t="s">
        <v>107</v>
      </c>
      <c r="BA394" s="22" t="s">
        <v>108</v>
      </c>
      <c r="BB394" s="31" t="s">
        <v>109</v>
      </c>
      <c r="BC394" s="31" t="s">
        <v>109</v>
      </c>
      <c r="BD394" s="32" t="str">
        <f t="shared" si="8"/>
        <v>nvl-nvs-imc-dsy-0820-10388</v>
      </c>
      <c r="BE394" s="33"/>
      <c r="BF394" s="33"/>
      <c r="BG394" s="39" t="str">
        <f>URL&amp;IF(ISNUMBER(FIND("?",URL)),"&amp;","?"&amp;("adlid="&amp;Unique_ID&amp;"&amp;adplt="&amp;Placement))</f>
        <v>#N/A</v>
      </c>
      <c r="BH394" s="1"/>
      <c r="BI394" s="1"/>
      <c r="BJ394" s="35" t="str">
        <f>LOWER("alp"&amp;"_"&amp;"vw"&amp;"_"&amp;Veiculo&amp;"_"&amp;C390&amp;"_"&amp;Objetivo)</f>
        <v>alp_vw___</v>
      </c>
      <c r="BK394" s="35" t="str">
        <f>LOWER(Buying_Metric&amp;"_"&amp;VLOOKUP(Buying_Type,Buy_type,2,FALSE)&amp;"_"&amp;Device&amp;"_"&amp;Size&amp;"_"&amp;Segmentação&amp;"_"&amp;Segmentação_Anúncio)</f>
        <v>#N/A</v>
      </c>
      <c r="BL394" s="35" t="str">
        <f>LOWER(Campanha_ou_InsertionOrder&amp;"_"&amp;LineItem_ou_Grupodeanúncio&amp;"_"&amp;Linha_criativa_2&amp;"_"&amp;Unique_ID)</f>
        <v>#N/A</v>
      </c>
      <c r="BM394" s="27"/>
      <c r="BN394" s="27"/>
    </row>
    <row r="395">
      <c r="A395" s="1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8" t="str">
        <f>LOWER(Campanha_ou_InsertionOrder&amp;"_"&amp;LineItem_ou_Grupodeanúncio&amp;"_"&amp;Linha_Criativa&amp;"_"&amp;Unique_ID)</f>
        <v>#N/A</v>
      </c>
      <c r="AN395" s="28" t="str">
        <f>LOWER(Campanha_ou_InsertionOrder&amp;"_"&amp;LineItem_ou_Grupodeanúncio&amp;"_"&amp;Linha_Criativa&amp;"_"&amp;Unique_ID)</f>
        <v>#N/A</v>
      </c>
      <c r="AO395" s="28" t="str">
        <f>LOWER("VW"&amp;"_"&amp;Model_Variant&amp;"_"&amp;Size&amp;"_"&amp;Linha_Criativa&amp;"_"&amp;IF(Servido_Por="portal",Veiculo,"adserver"))</f>
        <v>vw____adserver</v>
      </c>
      <c r="AP3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5" s="22" t="str">
        <f t="shared" si="1"/>
        <v/>
      </c>
      <c r="AS395" s="22" t="str">
        <f t="shared" si="2"/>
        <v/>
      </c>
      <c r="AT395" s="22" t="str">
        <f t="shared" si="3"/>
        <v>BR_IMC_DSY_LANCH_ND_NC_2020Q3AUG_NVS_Nivus-Launch-Consideracao</v>
      </c>
      <c r="AU395" s="22" t="str">
        <f t="shared" si="4"/>
        <v>#N/A</v>
      </c>
      <c r="AV395" s="22" t="s">
        <v>106</v>
      </c>
      <c r="AW3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5" s="22" t="str">
        <f t="shared" si="5"/>
        <v>BR_IMC_DSY_LANCH_ND_NC_2020Q3AUG_NVS_Nivus-Launch-Consideracao</v>
      </c>
      <c r="AY395" s="28" t="str">
        <f t="shared" si="6"/>
        <v>#N/A</v>
      </c>
      <c r="AZ395" s="22" t="s">
        <v>107</v>
      </c>
      <c r="BA395" s="22" t="s">
        <v>108</v>
      </c>
      <c r="BB395" s="31" t="s">
        <v>109</v>
      </c>
      <c r="BC395" s="31" t="s">
        <v>109</v>
      </c>
      <c r="BD395" s="32" t="str">
        <f t="shared" si="8"/>
        <v>nvl-nvs-imc-dsy-0820-10389</v>
      </c>
      <c r="BE395" s="33"/>
      <c r="BF395" s="33"/>
      <c r="BG395" s="39" t="str">
        <f>URL&amp;IF(ISNUMBER(FIND("?",URL)),"&amp;","?"&amp;("adlid="&amp;Unique_ID&amp;"&amp;adplt="&amp;Placement))</f>
        <v>#N/A</v>
      </c>
      <c r="BH395" s="1"/>
      <c r="BI395" s="1"/>
      <c r="BJ395" s="35" t="str">
        <f>LOWER("alp"&amp;"_"&amp;"vw"&amp;"_"&amp;Veiculo&amp;"_"&amp;C391&amp;"_"&amp;Objetivo)</f>
        <v>alp_vw___</v>
      </c>
      <c r="BK395" s="35" t="str">
        <f>LOWER(Buying_Metric&amp;"_"&amp;VLOOKUP(Buying_Type,Buy_type,2,FALSE)&amp;"_"&amp;Device&amp;"_"&amp;Size&amp;"_"&amp;Segmentação&amp;"_"&amp;Segmentação_Anúncio)</f>
        <v>#N/A</v>
      </c>
      <c r="BL395" s="35" t="str">
        <f>LOWER(Campanha_ou_InsertionOrder&amp;"_"&amp;LineItem_ou_Grupodeanúncio&amp;"_"&amp;Linha_criativa_2&amp;"_"&amp;Unique_ID)</f>
        <v>#N/A</v>
      </c>
      <c r="BM395" s="27"/>
      <c r="BN395" s="27"/>
    </row>
    <row r="396">
      <c r="A396" s="1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8" t="str">
        <f>LOWER(Campanha_ou_InsertionOrder&amp;"_"&amp;LineItem_ou_Grupodeanúncio&amp;"_"&amp;Linha_Criativa&amp;"_"&amp;Unique_ID)</f>
        <v>#N/A</v>
      </c>
      <c r="AN396" s="28" t="str">
        <f>LOWER(Campanha_ou_InsertionOrder&amp;"_"&amp;LineItem_ou_Grupodeanúncio&amp;"_"&amp;Linha_Criativa&amp;"_"&amp;Unique_ID)</f>
        <v>#N/A</v>
      </c>
      <c r="AO396" s="28" t="str">
        <f>LOWER("VW"&amp;"_"&amp;Model_Variant&amp;"_"&amp;Size&amp;"_"&amp;Linha_Criativa&amp;"_"&amp;IF(Servido_Por="portal",Veiculo,"adserver"))</f>
        <v>vw____adserver</v>
      </c>
      <c r="AP3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6" s="22" t="str">
        <f t="shared" si="1"/>
        <v/>
      </c>
      <c r="AS396" s="22" t="str">
        <f t="shared" si="2"/>
        <v/>
      </c>
      <c r="AT396" s="22" t="str">
        <f t="shared" si="3"/>
        <v>BR_IMC_DSY_LANCH_ND_NC_2020Q3AUG_NVS_Nivus-Launch-Consideracao</v>
      </c>
      <c r="AU396" s="22" t="str">
        <f t="shared" si="4"/>
        <v>#N/A</v>
      </c>
      <c r="AV396" s="22" t="s">
        <v>106</v>
      </c>
      <c r="AW3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6" s="22" t="str">
        <f t="shared" si="5"/>
        <v>BR_IMC_DSY_LANCH_ND_NC_2020Q3AUG_NVS_Nivus-Launch-Consideracao</v>
      </c>
      <c r="AY396" s="28" t="str">
        <f t="shared" si="6"/>
        <v>#N/A</v>
      </c>
      <c r="AZ396" s="22" t="s">
        <v>107</v>
      </c>
      <c r="BA396" s="22" t="s">
        <v>108</v>
      </c>
      <c r="BB396" s="31" t="s">
        <v>109</v>
      </c>
      <c r="BC396" s="31" t="s">
        <v>109</v>
      </c>
      <c r="BD396" s="32" t="str">
        <f t="shared" si="8"/>
        <v>nvl-nvs-imc-dsy-0820-10390</v>
      </c>
      <c r="BE396" s="33"/>
      <c r="BF396" s="33"/>
      <c r="BG396" s="39" t="str">
        <f>URL&amp;IF(ISNUMBER(FIND("?",URL)),"&amp;","?"&amp;("adlid="&amp;Unique_ID&amp;"&amp;adplt="&amp;Placement))</f>
        <v>#N/A</v>
      </c>
      <c r="BH396" s="1"/>
      <c r="BI396" s="1"/>
      <c r="BJ396" s="35" t="str">
        <f>LOWER("alp"&amp;"_"&amp;"vw"&amp;"_"&amp;Veiculo&amp;"_"&amp;C392&amp;"_"&amp;Objetivo)</f>
        <v>alp_vw___</v>
      </c>
      <c r="BK396" s="35" t="str">
        <f>LOWER(Buying_Metric&amp;"_"&amp;VLOOKUP(Buying_Type,Buy_type,2,FALSE)&amp;"_"&amp;Device&amp;"_"&amp;Size&amp;"_"&amp;Segmentação&amp;"_"&amp;Segmentação_Anúncio)</f>
        <v>#N/A</v>
      </c>
      <c r="BL396" s="35" t="str">
        <f>LOWER(Campanha_ou_InsertionOrder&amp;"_"&amp;LineItem_ou_Grupodeanúncio&amp;"_"&amp;Linha_criativa_2&amp;"_"&amp;Unique_ID)</f>
        <v>#N/A</v>
      </c>
      <c r="BM396" s="27"/>
      <c r="BN396" s="27"/>
    </row>
    <row r="397">
      <c r="A397" s="1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8" t="str">
        <f>LOWER(Campanha_ou_InsertionOrder&amp;"_"&amp;LineItem_ou_Grupodeanúncio&amp;"_"&amp;Linha_Criativa&amp;"_"&amp;Unique_ID)</f>
        <v>#N/A</v>
      </c>
      <c r="AN397" s="28" t="str">
        <f>LOWER(Campanha_ou_InsertionOrder&amp;"_"&amp;LineItem_ou_Grupodeanúncio&amp;"_"&amp;Linha_Criativa&amp;"_"&amp;Unique_ID)</f>
        <v>#N/A</v>
      </c>
      <c r="AO397" s="28" t="str">
        <f>LOWER("VW"&amp;"_"&amp;Model_Variant&amp;"_"&amp;Size&amp;"_"&amp;Linha_Criativa&amp;"_"&amp;IF(Servido_Por="portal",Veiculo,"adserver"))</f>
        <v>vw____adserver</v>
      </c>
      <c r="AP3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7" s="22" t="str">
        <f t="shared" si="1"/>
        <v/>
      </c>
      <c r="AS397" s="22" t="str">
        <f t="shared" si="2"/>
        <v/>
      </c>
      <c r="AT397" s="22" t="str">
        <f t="shared" si="3"/>
        <v>BR_IMC_DSY_LANCH_ND_NC_2020Q3AUG_NVS_Nivus-Launch-Consideracao</v>
      </c>
      <c r="AU397" s="22" t="str">
        <f t="shared" si="4"/>
        <v>#N/A</v>
      </c>
      <c r="AV397" s="22" t="s">
        <v>106</v>
      </c>
      <c r="AW3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7" s="22" t="str">
        <f t="shared" si="5"/>
        <v>BR_IMC_DSY_LANCH_ND_NC_2020Q3AUG_NVS_Nivus-Launch-Consideracao</v>
      </c>
      <c r="AY397" s="28" t="str">
        <f t="shared" si="6"/>
        <v>#N/A</v>
      </c>
      <c r="AZ397" s="22" t="s">
        <v>107</v>
      </c>
      <c r="BA397" s="22" t="s">
        <v>108</v>
      </c>
      <c r="BB397" s="31" t="s">
        <v>109</v>
      </c>
      <c r="BC397" s="31" t="s">
        <v>109</v>
      </c>
      <c r="BD397" s="32" t="str">
        <f t="shared" si="8"/>
        <v>nvl-nvs-imc-dsy-0820-10391</v>
      </c>
      <c r="BE397" s="33"/>
      <c r="BF397" s="33"/>
      <c r="BG397" s="39" t="str">
        <f>URL&amp;IF(ISNUMBER(FIND("?",URL)),"&amp;","?"&amp;("adlid="&amp;Unique_ID&amp;"&amp;adplt="&amp;Placement))</f>
        <v>#N/A</v>
      </c>
      <c r="BH397" s="1"/>
      <c r="BI397" s="1"/>
      <c r="BJ397" s="35" t="str">
        <f>LOWER("alp"&amp;"_"&amp;"vw"&amp;"_"&amp;Veiculo&amp;"_"&amp;C393&amp;"_"&amp;Objetivo)</f>
        <v>alp_vw___</v>
      </c>
      <c r="BK397" s="35" t="str">
        <f>LOWER(Buying_Metric&amp;"_"&amp;VLOOKUP(Buying_Type,Buy_type,2,FALSE)&amp;"_"&amp;Device&amp;"_"&amp;Size&amp;"_"&amp;Segmentação&amp;"_"&amp;Segmentação_Anúncio)</f>
        <v>#N/A</v>
      </c>
      <c r="BL397" s="35" t="str">
        <f>LOWER(Campanha_ou_InsertionOrder&amp;"_"&amp;LineItem_ou_Grupodeanúncio&amp;"_"&amp;Linha_criativa_2&amp;"_"&amp;Unique_ID)</f>
        <v>#N/A</v>
      </c>
      <c r="BM397" s="27"/>
      <c r="BN397" s="27"/>
    </row>
    <row r="398">
      <c r="A398" s="1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8" t="str">
        <f>LOWER(Campanha_ou_InsertionOrder&amp;"_"&amp;LineItem_ou_Grupodeanúncio&amp;"_"&amp;Linha_Criativa&amp;"_"&amp;Unique_ID)</f>
        <v>#N/A</v>
      </c>
      <c r="AN398" s="28" t="str">
        <f>LOWER(Campanha_ou_InsertionOrder&amp;"_"&amp;LineItem_ou_Grupodeanúncio&amp;"_"&amp;Linha_Criativa&amp;"_"&amp;Unique_ID)</f>
        <v>#N/A</v>
      </c>
      <c r="AO398" s="28" t="str">
        <f>LOWER("VW"&amp;"_"&amp;Model_Variant&amp;"_"&amp;Size&amp;"_"&amp;Linha_Criativa&amp;"_"&amp;IF(Servido_Por="portal",Veiculo,"adserver"))</f>
        <v>vw____adserver</v>
      </c>
      <c r="AP3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8" s="22" t="str">
        <f t="shared" si="1"/>
        <v/>
      </c>
      <c r="AS398" s="22" t="str">
        <f t="shared" si="2"/>
        <v/>
      </c>
      <c r="AT398" s="22" t="str">
        <f t="shared" si="3"/>
        <v>BR_IMC_DSY_LANCH_ND_NC_2020Q3AUG_NVS_Nivus-Launch-Consideracao</v>
      </c>
      <c r="AU398" s="22" t="str">
        <f t="shared" si="4"/>
        <v>#N/A</v>
      </c>
      <c r="AV398" s="22" t="s">
        <v>106</v>
      </c>
      <c r="AW3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8" s="22" t="str">
        <f t="shared" si="5"/>
        <v>BR_IMC_DSY_LANCH_ND_NC_2020Q3AUG_NVS_Nivus-Launch-Consideracao</v>
      </c>
      <c r="AY398" s="28" t="str">
        <f t="shared" si="6"/>
        <v>#N/A</v>
      </c>
      <c r="AZ398" s="22" t="s">
        <v>107</v>
      </c>
      <c r="BA398" s="22" t="s">
        <v>108</v>
      </c>
      <c r="BB398" s="31" t="s">
        <v>109</v>
      </c>
      <c r="BC398" s="31" t="s">
        <v>109</v>
      </c>
      <c r="BD398" s="32" t="str">
        <f t="shared" si="8"/>
        <v>nvl-nvs-imc-dsy-0820-10392</v>
      </c>
      <c r="BE398" s="33"/>
      <c r="BF398" s="33"/>
      <c r="BG398" s="39" t="str">
        <f>URL&amp;IF(ISNUMBER(FIND("?",URL)),"&amp;","?"&amp;("adlid="&amp;Unique_ID&amp;"&amp;adplt="&amp;Placement))</f>
        <v>#N/A</v>
      </c>
      <c r="BH398" s="1"/>
      <c r="BI398" s="1"/>
      <c r="BJ398" s="35" t="str">
        <f>LOWER("alp"&amp;"_"&amp;"vw"&amp;"_"&amp;Veiculo&amp;"_"&amp;C394&amp;"_"&amp;Objetivo)</f>
        <v>alp_vw___</v>
      </c>
      <c r="BK398" s="35" t="str">
        <f>LOWER(Buying_Metric&amp;"_"&amp;VLOOKUP(Buying_Type,Buy_type,2,FALSE)&amp;"_"&amp;Device&amp;"_"&amp;Size&amp;"_"&amp;Segmentação&amp;"_"&amp;Segmentação_Anúncio)</f>
        <v>#N/A</v>
      </c>
      <c r="BL398" s="35" t="str">
        <f>LOWER(Campanha_ou_InsertionOrder&amp;"_"&amp;LineItem_ou_Grupodeanúncio&amp;"_"&amp;Linha_criativa_2&amp;"_"&amp;Unique_ID)</f>
        <v>#N/A</v>
      </c>
      <c r="BM398" s="27"/>
      <c r="BN398" s="27"/>
    </row>
    <row r="399">
      <c r="A399" s="1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8" t="str">
        <f>LOWER(Campanha_ou_InsertionOrder&amp;"_"&amp;LineItem_ou_Grupodeanúncio&amp;"_"&amp;Linha_Criativa&amp;"_"&amp;Unique_ID)</f>
        <v>#N/A</v>
      </c>
      <c r="AN399" s="28" t="str">
        <f>LOWER(Campanha_ou_InsertionOrder&amp;"_"&amp;LineItem_ou_Grupodeanúncio&amp;"_"&amp;Linha_Criativa&amp;"_"&amp;Unique_ID)</f>
        <v>#N/A</v>
      </c>
      <c r="AO399" s="28" t="str">
        <f>LOWER("VW"&amp;"_"&amp;Model_Variant&amp;"_"&amp;Size&amp;"_"&amp;Linha_Criativa&amp;"_"&amp;IF(Servido_Por="portal",Veiculo,"adserver"))</f>
        <v>vw____adserver</v>
      </c>
      <c r="AP3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3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399" s="22" t="str">
        <f t="shared" si="1"/>
        <v/>
      </c>
      <c r="AS399" s="22" t="str">
        <f t="shared" si="2"/>
        <v/>
      </c>
      <c r="AT399" s="22" t="str">
        <f t="shared" si="3"/>
        <v>BR_IMC_DSY_LANCH_ND_NC_2020Q3AUG_NVS_Nivus-Launch-Consideracao</v>
      </c>
      <c r="AU399" s="22" t="str">
        <f t="shared" si="4"/>
        <v>#N/A</v>
      </c>
      <c r="AV399" s="22" t="s">
        <v>106</v>
      </c>
      <c r="AW3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399" s="22" t="str">
        <f t="shared" si="5"/>
        <v>BR_IMC_DSY_LANCH_ND_NC_2020Q3AUG_NVS_Nivus-Launch-Consideracao</v>
      </c>
      <c r="AY399" s="28" t="str">
        <f t="shared" si="6"/>
        <v>#N/A</v>
      </c>
      <c r="AZ399" s="22" t="s">
        <v>107</v>
      </c>
      <c r="BA399" s="22" t="s">
        <v>108</v>
      </c>
      <c r="BB399" s="31" t="s">
        <v>109</v>
      </c>
      <c r="BC399" s="31" t="s">
        <v>109</v>
      </c>
      <c r="BD399" s="32" t="str">
        <f t="shared" si="8"/>
        <v>nvl-nvs-imc-dsy-0820-10393</v>
      </c>
      <c r="BE399" s="33"/>
      <c r="BF399" s="33"/>
      <c r="BG399" s="39" t="str">
        <f>URL&amp;IF(ISNUMBER(FIND("?",URL)),"&amp;","?"&amp;("adlid="&amp;Unique_ID&amp;"&amp;adplt="&amp;Placement))</f>
        <v>#N/A</v>
      </c>
      <c r="BH399" s="1"/>
      <c r="BI399" s="1"/>
      <c r="BJ399" s="35" t="str">
        <f>LOWER("alp"&amp;"_"&amp;"vw"&amp;"_"&amp;Veiculo&amp;"_"&amp;C395&amp;"_"&amp;Objetivo)</f>
        <v>alp_vw___</v>
      </c>
      <c r="BK399" s="35" t="str">
        <f>LOWER(Buying_Metric&amp;"_"&amp;VLOOKUP(Buying_Type,Buy_type,2,FALSE)&amp;"_"&amp;Device&amp;"_"&amp;Size&amp;"_"&amp;Segmentação&amp;"_"&amp;Segmentação_Anúncio)</f>
        <v>#N/A</v>
      </c>
      <c r="BL399" s="35" t="str">
        <f>LOWER(Campanha_ou_InsertionOrder&amp;"_"&amp;LineItem_ou_Grupodeanúncio&amp;"_"&amp;Linha_criativa_2&amp;"_"&amp;Unique_ID)</f>
        <v>#N/A</v>
      </c>
      <c r="BM399" s="27"/>
      <c r="BN399" s="27"/>
    </row>
    <row r="400">
      <c r="A400" s="1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8" t="str">
        <f>LOWER(Campanha_ou_InsertionOrder&amp;"_"&amp;LineItem_ou_Grupodeanúncio&amp;"_"&amp;Linha_Criativa&amp;"_"&amp;Unique_ID)</f>
        <v>#N/A</v>
      </c>
      <c r="AN400" s="28" t="str">
        <f>LOWER(Campanha_ou_InsertionOrder&amp;"_"&amp;LineItem_ou_Grupodeanúncio&amp;"_"&amp;Linha_Criativa&amp;"_"&amp;Unique_ID)</f>
        <v>#N/A</v>
      </c>
      <c r="AO400" s="28" t="str">
        <f>LOWER("VW"&amp;"_"&amp;Model_Variant&amp;"_"&amp;Size&amp;"_"&amp;Linha_Criativa&amp;"_"&amp;IF(Servido_Por="portal",Veiculo,"adserver"))</f>
        <v>vw____adserver</v>
      </c>
      <c r="AP4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0" s="22" t="str">
        <f t="shared" si="1"/>
        <v/>
      </c>
      <c r="AS400" s="22" t="str">
        <f t="shared" si="2"/>
        <v/>
      </c>
      <c r="AT400" s="22" t="str">
        <f t="shared" si="3"/>
        <v>BR_IMC_DSY_LANCH_ND_NC_2020Q3AUG_NVS_Nivus-Launch-Consideracao</v>
      </c>
      <c r="AU400" s="22" t="str">
        <f t="shared" si="4"/>
        <v>#N/A</v>
      </c>
      <c r="AV400" s="22" t="s">
        <v>106</v>
      </c>
      <c r="AW4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0" s="22" t="str">
        <f t="shared" si="5"/>
        <v>BR_IMC_DSY_LANCH_ND_NC_2020Q3AUG_NVS_Nivus-Launch-Consideracao</v>
      </c>
      <c r="AY400" s="28" t="str">
        <f t="shared" si="6"/>
        <v>#N/A</v>
      </c>
      <c r="AZ400" s="22" t="s">
        <v>107</v>
      </c>
      <c r="BA400" s="22" t="s">
        <v>108</v>
      </c>
      <c r="BB400" s="31" t="s">
        <v>109</v>
      </c>
      <c r="BC400" s="31" t="s">
        <v>109</v>
      </c>
      <c r="BD400" s="32" t="str">
        <f t="shared" si="8"/>
        <v>nvl-nvs-imc-dsy-0820-10394</v>
      </c>
      <c r="BE400" s="33"/>
      <c r="BF400" s="33"/>
      <c r="BG400" s="39" t="str">
        <f>URL&amp;IF(ISNUMBER(FIND("?",URL)),"&amp;","?"&amp;("adlid="&amp;Unique_ID&amp;"&amp;adplt="&amp;Placement))</f>
        <v>#N/A</v>
      </c>
      <c r="BH400" s="1"/>
      <c r="BI400" s="1"/>
      <c r="BJ400" s="35" t="str">
        <f>LOWER("alp"&amp;"_"&amp;"vw"&amp;"_"&amp;Veiculo&amp;"_"&amp;C396&amp;"_"&amp;Objetivo)</f>
        <v>alp_vw___</v>
      </c>
      <c r="BK400" s="35" t="str">
        <f>LOWER(Buying_Metric&amp;"_"&amp;VLOOKUP(Buying_Type,Buy_type,2,FALSE)&amp;"_"&amp;Device&amp;"_"&amp;Size&amp;"_"&amp;Segmentação&amp;"_"&amp;Segmentação_Anúncio)</f>
        <v>#N/A</v>
      </c>
      <c r="BL400" s="35" t="str">
        <f>LOWER(Campanha_ou_InsertionOrder&amp;"_"&amp;LineItem_ou_Grupodeanúncio&amp;"_"&amp;Linha_criativa_2&amp;"_"&amp;Unique_ID)</f>
        <v>#N/A</v>
      </c>
      <c r="BM400" s="27"/>
      <c r="BN400" s="27"/>
    </row>
    <row r="401">
      <c r="A401" s="1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8" t="str">
        <f>LOWER(Campanha_ou_InsertionOrder&amp;"_"&amp;LineItem_ou_Grupodeanúncio&amp;"_"&amp;Linha_Criativa&amp;"_"&amp;Unique_ID)</f>
        <v>#N/A</v>
      </c>
      <c r="AN401" s="28" t="str">
        <f>LOWER(Campanha_ou_InsertionOrder&amp;"_"&amp;LineItem_ou_Grupodeanúncio&amp;"_"&amp;Linha_Criativa&amp;"_"&amp;Unique_ID)</f>
        <v>#N/A</v>
      </c>
      <c r="AO401" s="28" t="str">
        <f>LOWER("VW"&amp;"_"&amp;Model_Variant&amp;"_"&amp;Size&amp;"_"&amp;Linha_Criativa&amp;"_"&amp;IF(Servido_Por="portal",Veiculo,"adserver"))</f>
        <v>vw____adserver</v>
      </c>
      <c r="AP4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1" s="22" t="str">
        <f t="shared" si="1"/>
        <v/>
      </c>
      <c r="AS401" s="22" t="str">
        <f t="shared" si="2"/>
        <v/>
      </c>
      <c r="AT401" s="22" t="str">
        <f t="shared" si="3"/>
        <v>BR_IMC_DSY_LANCH_ND_NC_2020Q3AUG_NVS_Nivus-Launch-Consideracao</v>
      </c>
      <c r="AU401" s="22" t="str">
        <f t="shared" si="4"/>
        <v>#N/A</v>
      </c>
      <c r="AV401" s="22" t="s">
        <v>106</v>
      </c>
      <c r="AW4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1" s="22" t="str">
        <f t="shared" si="5"/>
        <v>BR_IMC_DSY_LANCH_ND_NC_2020Q3AUG_NVS_Nivus-Launch-Consideracao</v>
      </c>
      <c r="AY401" s="28" t="str">
        <f t="shared" si="6"/>
        <v>#N/A</v>
      </c>
      <c r="AZ401" s="22" t="s">
        <v>107</v>
      </c>
      <c r="BA401" s="22" t="s">
        <v>108</v>
      </c>
      <c r="BB401" s="31" t="s">
        <v>109</v>
      </c>
      <c r="BC401" s="31" t="s">
        <v>109</v>
      </c>
      <c r="BD401" s="32" t="str">
        <f t="shared" si="8"/>
        <v>nvl-nvs-imc-dsy-0820-10395</v>
      </c>
      <c r="BE401" s="33"/>
      <c r="BF401" s="33"/>
      <c r="BG401" s="39" t="str">
        <f>URL&amp;IF(ISNUMBER(FIND("?",URL)),"&amp;","?"&amp;("adlid="&amp;Unique_ID&amp;"&amp;adplt="&amp;Placement))</f>
        <v>#N/A</v>
      </c>
      <c r="BH401" s="1"/>
      <c r="BI401" s="1"/>
      <c r="BJ401" s="35" t="str">
        <f>LOWER("alp"&amp;"_"&amp;"vw"&amp;"_"&amp;Veiculo&amp;"_"&amp;C397&amp;"_"&amp;Objetivo)</f>
        <v>alp_vw___</v>
      </c>
      <c r="BK401" s="35" t="str">
        <f>LOWER(Buying_Metric&amp;"_"&amp;VLOOKUP(Buying_Type,Buy_type,2,FALSE)&amp;"_"&amp;Device&amp;"_"&amp;Size&amp;"_"&amp;Segmentação&amp;"_"&amp;Segmentação_Anúncio)</f>
        <v>#N/A</v>
      </c>
      <c r="BL401" s="35" t="str">
        <f>LOWER(Campanha_ou_InsertionOrder&amp;"_"&amp;LineItem_ou_Grupodeanúncio&amp;"_"&amp;Linha_criativa_2&amp;"_"&amp;Unique_ID)</f>
        <v>#N/A</v>
      </c>
      <c r="BM401" s="27"/>
      <c r="BN401" s="27"/>
    </row>
    <row r="402">
      <c r="A402" s="1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8" t="str">
        <f>LOWER(Campanha_ou_InsertionOrder&amp;"_"&amp;LineItem_ou_Grupodeanúncio&amp;"_"&amp;Linha_Criativa&amp;"_"&amp;Unique_ID)</f>
        <v>#N/A</v>
      </c>
      <c r="AN402" s="28" t="str">
        <f>LOWER(Campanha_ou_InsertionOrder&amp;"_"&amp;LineItem_ou_Grupodeanúncio&amp;"_"&amp;Linha_Criativa&amp;"_"&amp;Unique_ID)</f>
        <v>#N/A</v>
      </c>
      <c r="AO402" s="28" t="str">
        <f>LOWER("VW"&amp;"_"&amp;Model_Variant&amp;"_"&amp;Size&amp;"_"&amp;Linha_Criativa&amp;"_"&amp;IF(Servido_Por="portal",Veiculo,"adserver"))</f>
        <v>vw____adserver</v>
      </c>
      <c r="AP4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2" s="22" t="str">
        <f t="shared" si="1"/>
        <v/>
      </c>
      <c r="AS402" s="22" t="str">
        <f t="shared" si="2"/>
        <v/>
      </c>
      <c r="AT402" s="22" t="str">
        <f t="shared" si="3"/>
        <v>BR_IMC_DSY_LANCH_ND_NC_2020Q3AUG_NVS_Nivus-Launch-Consideracao</v>
      </c>
      <c r="AU402" s="22" t="str">
        <f t="shared" si="4"/>
        <v>#N/A</v>
      </c>
      <c r="AV402" s="22" t="s">
        <v>106</v>
      </c>
      <c r="AW4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2" s="22" t="str">
        <f t="shared" si="5"/>
        <v>BR_IMC_DSY_LANCH_ND_NC_2020Q3AUG_NVS_Nivus-Launch-Consideracao</v>
      </c>
      <c r="AY402" s="28" t="str">
        <f t="shared" si="6"/>
        <v>#N/A</v>
      </c>
      <c r="AZ402" s="22" t="s">
        <v>107</v>
      </c>
      <c r="BA402" s="22" t="s">
        <v>108</v>
      </c>
      <c r="BB402" s="31" t="s">
        <v>109</v>
      </c>
      <c r="BC402" s="31" t="s">
        <v>109</v>
      </c>
      <c r="BD402" s="32" t="str">
        <f t="shared" si="8"/>
        <v>nvl-nvs-imc-dsy-0820-10396</v>
      </c>
      <c r="BE402" s="33"/>
      <c r="BF402" s="33"/>
      <c r="BG402" s="39" t="str">
        <f>URL&amp;IF(ISNUMBER(FIND("?",URL)),"&amp;","?"&amp;("adlid="&amp;Unique_ID&amp;"&amp;adplt="&amp;Placement))</f>
        <v>#N/A</v>
      </c>
      <c r="BH402" s="1"/>
      <c r="BI402" s="1"/>
      <c r="BJ402" s="35" t="str">
        <f>LOWER("alp"&amp;"_"&amp;"vw"&amp;"_"&amp;Veiculo&amp;"_"&amp;C398&amp;"_"&amp;Objetivo)</f>
        <v>alp_vw___</v>
      </c>
      <c r="BK402" s="35" t="str">
        <f>LOWER(Buying_Metric&amp;"_"&amp;VLOOKUP(Buying_Type,Buy_type,2,FALSE)&amp;"_"&amp;Device&amp;"_"&amp;Size&amp;"_"&amp;Segmentação&amp;"_"&amp;Segmentação_Anúncio)</f>
        <v>#N/A</v>
      </c>
      <c r="BL402" s="35" t="str">
        <f>LOWER(Campanha_ou_InsertionOrder&amp;"_"&amp;LineItem_ou_Grupodeanúncio&amp;"_"&amp;Linha_criativa_2&amp;"_"&amp;Unique_ID)</f>
        <v>#N/A</v>
      </c>
      <c r="BM402" s="27"/>
      <c r="BN402" s="27"/>
    </row>
    <row r="403">
      <c r="A403" s="1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8" t="str">
        <f>LOWER(Campanha_ou_InsertionOrder&amp;"_"&amp;LineItem_ou_Grupodeanúncio&amp;"_"&amp;Linha_Criativa&amp;"_"&amp;Unique_ID)</f>
        <v>#N/A</v>
      </c>
      <c r="AN403" s="28" t="str">
        <f>LOWER(Campanha_ou_InsertionOrder&amp;"_"&amp;LineItem_ou_Grupodeanúncio&amp;"_"&amp;Linha_Criativa&amp;"_"&amp;Unique_ID)</f>
        <v>#N/A</v>
      </c>
      <c r="AO403" s="28" t="str">
        <f>LOWER("VW"&amp;"_"&amp;Model_Variant&amp;"_"&amp;Size&amp;"_"&amp;Linha_Criativa&amp;"_"&amp;IF(Servido_Por="portal",Veiculo,"adserver"))</f>
        <v>vw____adserver</v>
      </c>
      <c r="AP4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3" s="22" t="str">
        <f t="shared" si="1"/>
        <v/>
      </c>
      <c r="AS403" s="22" t="str">
        <f t="shared" si="2"/>
        <v/>
      </c>
      <c r="AT403" s="22" t="str">
        <f t="shared" si="3"/>
        <v>BR_IMC_DSY_LANCH_ND_NC_2020Q3AUG_NVS_Nivus-Launch-Consideracao</v>
      </c>
      <c r="AU403" s="22" t="str">
        <f t="shared" si="4"/>
        <v>#N/A</v>
      </c>
      <c r="AV403" s="22" t="s">
        <v>106</v>
      </c>
      <c r="AW4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3" s="22" t="str">
        <f t="shared" si="5"/>
        <v>BR_IMC_DSY_LANCH_ND_NC_2020Q3AUG_NVS_Nivus-Launch-Consideracao</v>
      </c>
      <c r="AY403" s="28" t="str">
        <f t="shared" si="6"/>
        <v>#N/A</v>
      </c>
      <c r="AZ403" s="22" t="s">
        <v>107</v>
      </c>
      <c r="BA403" s="22" t="s">
        <v>108</v>
      </c>
      <c r="BB403" s="31" t="s">
        <v>109</v>
      </c>
      <c r="BC403" s="31" t="s">
        <v>109</v>
      </c>
      <c r="BD403" s="32" t="str">
        <f t="shared" si="8"/>
        <v>nvl-nvs-imc-dsy-0820-10397</v>
      </c>
      <c r="BE403" s="33"/>
      <c r="BF403" s="33"/>
      <c r="BG403" s="39" t="str">
        <f>URL&amp;IF(ISNUMBER(FIND("?",URL)),"&amp;","?"&amp;("adlid="&amp;Unique_ID&amp;"&amp;adplt="&amp;Placement))</f>
        <v>#N/A</v>
      </c>
      <c r="BH403" s="1"/>
      <c r="BI403" s="1"/>
      <c r="BJ403" s="35" t="str">
        <f>LOWER("alp"&amp;"_"&amp;"vw"&amp;"_"&amp;Veiculo&amp;"_"&amp;C399&amp;"_"&amp;Objetivo)</f>
        <v>alp_vw___</v>
      </c>
      <c r="BK403" s="35" t="str">
        <f>LOWER(Buying_Metric&amp;"_"&amp;VLOOKUP(Buying_Type,Buy_type,2,FALSE)&amp;"_"&amp;Device&amp;"_"&amp;Size&amp;"_"&amp;Segmentação&amp;"_"&amp;Segmentação_Anúncio)</f>
        <v>#N/A</v>
      </c>
      <c r="BL403" s="35" t="str">
        <f>LOWER(Campanha_ou_InsertionOrder&amp;"_"&amp;LineItem_ou_Grupodeanúncio&amp;"_"&amp;Linha_criativa_2&amp;"_"&amp;Unique_ID)</f>
        <v>#N/A</v>
      </c>
      <c r="BM403" s="27"/>
      <c r="BN403" s="27"/>
    </row>
    <row r="404">
      <c r="A404" s="1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8" t="str">
        <f>LOWER(Campanha_ou_InsertionOrder&amp;"_"&amp;LineItem_ou_Grupodeanúncio&amp;"_"&amp;Linha_Criativa&amp;"_"&amp;Unique_ID)</f>
        <v>#N/A</v>
      </c>
      <c r="AN404" s="28" t="str">
        <f>LOWER(Campanha_ou_InsertionOrder&amp;"_"&amp;LineItem_ou_Grupodeanúncio&amp;"_"&amp;Linha_Criativa&amp;"_"&amp;Unique_ID)</f>
        <v>#N/A</v>
      </c>
      <c r="AO404" s="28" t="str">
        <f>LOWER("VW"&amp;"_"&amp;Model_Variant&amp;"_"&amp;Size&amp;"_"&amp;Linha_Criativa&amp;"_"&amp;IF(Servido_Por="portal",Veiculo,"adserver"))</f>
        <v>vw____adserver</v>
      </c>
      <c r="AP4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4" s="22" t="str">
        <f t="shared" si="1"/>
        <v/>
      </c>
      <c r="AS404" s="22" t="str">
        <f t="shared" si="2"/>
        <v/>
      </c>
      <c r="AT404" s="22" t="str">
        <f t="shared" si="3"/>
        <v>BR_IMC_DSY_LANCH_ND_NC_2020Q3AUG_NVS_Nivus-Launch-Consideracao</v>
      </c>
      <c r="AU404" s="22" t="str">
        <f t="shared" si="4"/>
        <v>#N/A</v>
      </c>
      <c r="AV404" s="22" t="s">
        <v>106</v>
      </c>
      <c r="AW4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4" s="22" t="str">
        <f t="shared" si="5"/>
        <v>BR_IMC_DSY_LANCH_ND_NC_2020Q3AUG_NVS_Nivus-Launch-Consideracao</v>
      </c>
      <c r="AY404" s="28" t="str">
        <f t="shared" si="6"/>
        <v>#N/A</v>
      </c>
      <c r="AZ404" s="22" t="s">
        <v>107</v>
      </c>
      <c r="BA404" s="22" t="s">
        <v>108</v>
      </c>
      <c r="BB404" s="31" t="s">
        <v>109</v>
      </c>
      <c r="BC404" s="31" t="s">
        <v>109</v>
      </c>
      <c r="BD404" s="32" t="str">
        <f t="shared" si="8"/>
        <v>nvl-nvs-imc-dsy-0820-10398</v>
      </c>
      <c r="BE404" s="33"/>
      <c r="BF404" s="33"/>
      <c r="BG404" s="39" t="str">
        <f>URL&amp;IF(ISNUMBER(FIND("?",URL)),"&amp;","?"&amp;("adlid="&amp;Unique_ID&amp;"&amp;adplt="&amp;Placement))</f>
        <v>#N/A</v>
      </c>
      <c r="BH404" s="1"/>
      <c r="BI404" s="1"/>
      <c r="BJ404" s="35" t="str">
        <f>LOWER("alp"&amp;"_"&amp;"vw"&amp;"_"&amp;Veiculo&amp;"_"&amp;C400&amp;"_"&amp;Objetivo)</f>
        <v>alp_vw___</v>
      </c>
      <c r="BK404" s="35" t="str">
        <f>LOWER(Buying_Metric&amp;"_"&amp;VLOOKUP(Buying_Type,Buy_type,2,FALSE)&amp;"_"&amp;Device&amp;"_"&amp;Size&amp;"_"&amp;Segmentação&amp;"_"&amp;Segmentação_Anúncio)</f>
        <v>#N/A</v>
      </c>
      <c r="BL404" s="35" t="str">
        <f>LOWER(Campanha_ou_InsertionOrder&amp;"_"&amp;LineItem_ou_Grupodeanúncio&amp;"_"&amp;Linha_criativa_2&amp;"_"&amp;Unique_ID)</f>
        <v>#N/A</v>
      </c>
      <c r="BM404" s="27"/>
      <c r="BN404" s="27"/>
    </row>
    <row r="405">
      <c r="A405" s="1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8" t="str">
        <f>LOWER(Campanha_ou_InsertionOrder&amp;"_"&amp;LineItem_ou_Grupodeanúncio&amp;"_"&amp;Linha_Criativa&amp;"_"&amp;Unique_ID)</f>
        <v>#N/A</v>
      </c>
      <c r="AN405" s="28" t="str">
        <f>LOWER(Campanha_ou_InsertionOrder&amp;"_"&amp;LineItem_ou_Grupodeanúncio&amp;"_"&amp;Linha_Criativa&amp;"_"&amp;Unique_ID)</f>
        <v>#N/A</v>
      </c>
      <c r="AO405" s="28" t="str">
        <f>LOWER("VW"&amp;"_"&amp;Model_Variant&amp;"_"&amp;Size&amp;"_"&amp;Linha_Criativa&amp;"_"&amp;IF(Servido_Por="portal",Veiculo,"adserver"))</f>
        <v>vw____adserver</v>
      </c>
      <c r="AP4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5" s="22" t="str">
        <f t="shared" si="1"/>
        <v/>
      </c>
      <c r="AS405" s="22" t="str">
        <f t="shared" si="2"/>
        <v/>
      </c>
      <c r="AT405" s="22" t="str">
        <f t="shared" si="3"/>
        <v>BR_IMC_DSY_LANCH_ND_NC_2020Q3AUG_NVS_Nivus-Launch-Consideracao</v>
      </c>
      <c r="AU405" s="22" t="str">
        <f t="shared" si="4"/>
        <v>#N/A</v>
      </c>
      <c r="AV405" s="22" t="s">
        <v>106</v>
      </c>
      <c r="AW4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5" s="22" t="str">
        <f t="shared" si="5"/>
        <v>BR_IMC_DSY_LANCH_ND_NC_2020Q3AUG_NVS_Nivus-Launch-Consideracao</v>
      </c>
      <c r="AY405" s="28" t="str">
        <f t="shared" si="6"/>
        <v>#N/A</v>
      </c>
      <c r="AZ405" s="22" t="s">
        <v>107</v>
      </c>
      <c r="BA405" s="22" t="s">
        <v>108</v>
      </c>
      <c r="BB405" s="31" t="s">
        <v>109</v>
      </c>
      <c r="BC405" s="31" t="s">
        <v>109</v>
      </c>
      <c r="BD405" s="32" t="str">
        <f t="shared" si="8"/>
        <v>nvl-nvs-imc-dsy-0820-10399</v>
      </c>
      <c r="BE405" s="33"/>
      <c r="BF405" s="33"/>
      <c r="BG405" s="39" t="str">
        <f>URL&amp;IF(ISNUMBER(FIND("?",URL)),"&amp;","?"&amp;("adlid="&amp;Unique_ID&amp;"&amp;adplt="&amp;Placement))</f>
        <v>#N/A</v>
      </c>
      <c r="BH405" s="1"/>
      <c r="BI405" s="1"/>
      <c r="BJ405" s="35" t="str">
        <f>LOWER("alp"&amp;"_"&amp;"vw"&amp;"_"&amp;Veiculo&amp;"_"&amp;C401&amp;"_"&amp;Objetivo)</f>
        <v>alp_vw___</v>
      </c>
      <c r="BK405" s="35" t="str">
        <f>LOWER(Buying_Metric&amp;"_"&amp;VLOOKUP(Buying_Type,Buy_type,2,FALSE)&amp;"_"&amp;Device&amp;"_"&amp;Size&amp;"_"&amp;Segmentação&amp;"_"&amp;Segmentação_Anúncio)</f>
        <v>#N/A</v>
      </c>
      <c r="BL405" s="35" t="str">
        <f>LOWER(Campanha_ou_InsertionOrder&amp;"_"&amp;LineItem_ou_Grupodeanúncio&amp;"_"&amp;Linha_criativa_2&amp;"_"&amp;Unique_ID)</f>
        <v>#N/A</v>
      </c>
      <c r="BM405" s="27"/>
      <c r="BN405" s="27"/>
    </row>
    <row r="406">
      <c r="A406" s="1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tr">
        <f>LOWER(Campanha_ou_InsertionOrder&amp;"_"&amp;LineItem_ou_Grupodeanúncio&amp;"_"&amp;Linha_Criativa&amp;"_"&amp;Unique_ID)</f>
        <v>#N/A</v>
      </c>
      <c r="AN406" s="28" t="str">
        <f>LOWER(Campanha_ou_InsertionOrder&amp;"_"&amp;LineItem_ou_Grupodeanúncio&amp;"_"&amp;Linha_Criativa&amp;"_"&amp;Unique_ID)</f>
        <v>#N/A</v>
      </c>
      <c r="AO406" s="28" t="str">
        <f>LOWER("VW"&amp;"_"&amp;Model_Variant&amp;"_"&amp;Size&amp;"_"&amp;Linha_Criativa&amp;"_"&amp;IF(Servido_Por="portal",Veiculo,"adserver"))</f>
        <v>vw____adserver</v>
      </c>
      <c r="AP4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6" s="22" t="str">
        <f t="shared" si="1"/>
        <v/>
      </c>
      <c r="AS406" s="22" t="str">
        <f t="shared" si="2"/>
        <v/>
      </c>
      <c r="AT406" s="22" t="str">
        <f t="shared" si="3"/>
        <v>BR_IMC_DSY_LANCH_ND_NC_2020Q3AUG_NVS_Nivus-Launch-Consideracao</v>
      </c>
      <c r="AU406" s="22" t="str">
        <f t="shared" si="4"/>
        <v>#N/A</v>
      </c>
      <c r="AV406" s="22" t="s">
        <v>106</v>
      </c>
      <c r="AW4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6" s="22" t="str">
        <f t="shared" si="5"/>
        <v>BR_IMC_DSY_LANCH_ND_NC_2020Q3AUG_NVS_Nivus-Launch-Consideracao</v>
      </c>
      <c r="AY406" s="28" t="str">
        <f t="shared" si="6"/>
        <v>#N/A</v>
      </c>
      <c r="AZ406" s="22" t="s">
        <v>107</v>
      </c>
      <c r="BA406" s="22" t="s">
        <v>108</v>
      </c>
      <c r="BB406" s="31" t="s">
        <v>109</v>
      </c>
      <c r="BC406" s="31" t="s">
        <v>109</v>
      </c>
      <c r="BD406" s="32" t="str">
        <f t="shared" si="8"/>
        <v>nvl-nvs-imc-dsy-0820-10400</v>
      </c>
      <c r="BE406" s="33"/>
      <c r="BF406" s="33"/>
      <c r="BG406" s="39" t="str">
        <f>URL&amp;IF(ISNUMBER(FIND("?",URL)),"&amp;","?"&amp;("adlid="&amp;Unique_ID&amp;"&amp;adplt="&amp;Placement))</f>
        <v>#N/A</v>
      </c>
      <c r="BH406" s="1"/>
      <c r="BI406" s="1"/>
      <c r="BJ406" s="35" t="str">
        <f>LOWER("alp"&amp;"_"&amp;"vw"&amp;"_"&amp;Veiculo&amp;"_"&amp;C402&amp;"_"&amp;Objetivo)</f>
        <v>alp_vw___</v>
      </c>
      <c r="BK406" s="35" t="str">
        <f>LOWER(Buying_Metric&amp;"_"&amp;VLOOKUP(Buying_Type,Buy_type,2,FALSE)&amp;"_"&amp;Device&amp;"_"&amp;Size&amp;"_"&amp;Segmentação&amp;"_"&amp;Segmentação_Anúncio)</f>
        <v>#N/A</v>
      </c>
      <c r="BL406" s="35" t="str">
        <f>LOWER(Campanha_ou_InsertionOrder&amp;"_"&amp;LineItem_ou_Grupodeanúncio&amp;"_"&amp;Linha_criativa_2&amp;"_"&amp;Unique_ID)</f>
        <v>#N/A</v>
      </c>
      <c r="BM406" s="27"/>
      <c r="BN406" s="27"/>
    </row>
    <row r="407">
      <c r="A407" s="1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8" t="str">
        <f>LOWER(Campanha_ou_InsertionOrder&amp;"_"&amp;LineItem_ou_Grupodeanúncio&amp;"_"&amp;Linha_Criativa&amp;"_"&amp;Unique_ID)</f>
        <v>#N/A</v>
      </c>
      <c r="AN407" s="28" t="str">
        <f>LOWER(Campanha_ou_InsertionOrder&amp;"_"&amp;LineItem_ou_Grupodeanúncio&amp;"_"&amp;Linha_Criativa&amp;"_"&amp;Unique_ID)</f>
        <v>#N/A</v>
      </c>
      <c r="AO407" s="28" t="str">
        <f>LOWER("VW"&amp;"_"&amp;Model_Variant&amp;"_"&amp;Size&amp;"_"&amp;Linha_Criativa&amp;"_"&amp;IF(Servido_Por="portal",Veiculo,"adserver"))</f>
        <v>vw____adserver</v>
      </c>
      <c r="AP4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7" s="22" t="str">
        <f t="shared" si="1"/>
        <v/>
      </c>
      <c r="AS407" s="22" t="str">
        <f t="shared" si="2"/>
        <v/>
      </c>
      <c r="AT407" s="22" t="str">
        <f t="shared" si="3"/>
        <v>BR_IMC_DSY_LANCH_ND_NC_2020Q3AUG_NVS_Nivus-Launch-Consideracao</v>
      </c>
      <c r="AU407" s="22" t="str">
        <f t="shared" si="4"/>
        <v>#N/A</v>
      </c>
      <c r="AV407" s="22" t="s">
        <v>106</v>
      </c>
      <c r="AW4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7" s="22" t="str">
        <f t="shared" si="5"/>
        <v>BR_IMC_DSY_LANCH_ND_NC_2020Q3AUG_NVS_Nivus-Launch-Consideracao</v>
      </c>
      <c r="AY407" s="28" t="str">
        <f t="shared" si="6"/>
        <v>#N/A</v>
      </c>
      <c r="AZ407" s="22" t="s">
        <v>107</v>
      </c>
      <c r="BA407" s="22" t="s">
        <v>108</v>
      </c>
      <c r="BB407" s="31" t="s">
        <v>109</v>
      </c>
      <c r="BC407" s="31" t="s">
        <v>109</v>
      </c>
      <c r="BD407" s="32" t="str">
        <f t="shared" si="8"/>
        <v>nvl-nvs-imc-dsy-0820-10401</v>
      </c>
      <c r="BE407" s="33"/>
      <c r="BF407" s="33"/>
      <c r="BG407" s="39" t="str">
        <f>URL&amp;IF(ISNUMBER(FIND("?",URL)),"&amp;","?"&amp;("adlid="&amp;Unique_ID&amp;"&amp;adplt="&amp;Placement))</f>
        <v>#N/A</v>
      </c>
      <c r="BH407" s="1"/>
      <c r="BI407" s="1"/>
      <c r="BJ407" s="35" t="str">
        <f>LOWER("alp"&amp;"_"&amp;"vw"&amp;"_"&amp;Veiculo&amp;"_"&amp;C403&amp;"_"&amp;Objetivo)</f>
        <v>alp_vw___</v>
      </c>
      <c r="BK407" s="35" t="str">
        <f>LOWER(Buying_Metric&amp;"_"&amp;VLOOKUP(Buying_Type,Buy_type,2,FALSE)&amp;"_"&amp;Device&amp;"_"&amp;Size&amp;"_"&amp;Segmentação&amp;"_"&amp;Segmentação_Anúncio)</f>
        <v>#N/A</v>
      </c>
      <c r="BL407" s="35" t="str">
        <f>LOWER(Campanha_ou_InsertionOrder&amp;"_"&amp;LineItem_ou_Grupodeanúncio&amp;"_"&amp;Linha_criativa_2&amp;"_"&amp;Unique_ID)</f>
        <v>#N/A</v>
      </c>
      <c r="BM407" s="27"/>
      <c r="BN407" s="27"/>
    </row>
    <row r="408">
      <c r="A408" s="1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8" t="str">
        <f>LOWER(Campanha_ou_InsertionOrder&amp;"_"&amp;LineItem_ou_Grupodeanúncio&amp;"_"&amp;Linha_Criativa&amp;"_"&amp;Unique_ID)</f>
        <v>#N/A</v>
      </c>
      <c r="AN408" s="28" t="str">
        <f>LOWER(Campanha_ou_InsertionOrder&amp;"_"&amp;LineItem_ou_Grupodeanúncio&amp;"_"&amp;Linha_Criativa&amp;"_"&amp;Unique_ID)</f>
        <v>#N/A</v>
      </c>
      <c r="AO408" s="28" t="str">
        <f>LOWER("VW"&amp;"_"&amp;Model_Variant&amp;"_"&amp;Size&amp;"_"&amp;Linha_Criativa&amp;"_"&amp;IF(Servido_Por="portal",Veiculo,"adserver"))</f>
        <v>vw____adserver</v>
      </c>
      <c r="AP4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8" s="22" t="str">
        <f t="shared" si="1"/>
        <v/>
      </c>
      <c r="AS408" s="22" t="str">
        <f t="shared" si="2"/>
        <v/>
      </c>
      <c r="AT408" s="22" t="str">
        <f t="shared" si="3"/>
        <v>BR_IMC_DSY_LANCH_ND_NC_2020Q3AUG_NVS_Nivus-Launch-Consideracao</v>
      </c>
      <c r="AU408" s="22" t="str">
        <f t="shared" si="4"/>
        <v>#N/A</v>
      </c>
      <c r="AV408" s="22" t="s">
        <v>106</v>
      </c>
      <c r="AW4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8" s="22" t="str">
        <f t="shared" si="5"/>
        <v>BR_IMC_DSY_LANCH_ND_NC_2020Q3AUG_NVS_Nivus-Launch-Consideracao</v>
      </c>
      <c r="AY408" s="28" t="str">
        <f t="shared" si="6"/>
        <v>#N/A</v>
      </c>
      <c r="AZ408" s="22" t="s">
        <v>107</v>
      </c>
      <c r="BA408" s="22" t="s">
        <v>108</v>
      </c>
      <c r="BB408" s="31" t="s">
        <v>109</v>
      </c>
      <c r="BC408" s="31" t="s">
        <v>109</v>
      </c>
      <c r="BD408" s="32" t="str">
        <f t="shared" si="8"/>
        <v>nvl-nvs-imc-dsy-0820-10402</v>
      </c>
      <c r="BE408" s="33"/>
      <c r="BF408" s="33"/>
      <c r="BG408" s="39" t="str">
        <f>URL&amp;IF(ISNUMBER(FIND("?",URL)),"&amp;","?"&amp;("adlid="&amp;Unique_ID&amp;"&amp;adplt="&amp;Placement))</f>
        <v>#N/A</v>
      </c>
      <c r="BH408" s="1"/>
      <c r="BI408" s="1"/>
      <c r="BJ408" s="35" t="str">
        <f>LOWER("alp"&amp;"_"&amp;"vw"&amp;"_"&amp;Veiculo&amp;"_"&amp;C404&amp;"_"&amp;Objetivo)</f>
        <v>alp_vw___</v>
      </c>
      <c r="BK408" s="35" t="str">
        <f>LOWER(Buying_Metric&amp;"_"&amp;VLOOKUP(Buying_Type,Buy_type,2,FALSE)&amp;"_"&amp;Device&amp;"_"&amp;Size&amp;"_"&amp;Segmentação&amp;"_"&amp;Segmentação_Anúncio)</f>
        <v>#N/A</v>
      </c>
      <c r="BL408" s="35" t="str">
        <f>LOWER(Campanha_ou_InsertionOrder&amp;"_"&amp;LineItem_ou_Grupodeanúncio&amp;"_"&amp;Linha_criativa_2&amp;"_"&amp;Unique_ID)</f>
        <v>#N/A</v>
      </c>
      <c r="BM408" s="27"/>
      <c r="BN408" s="27"/>
    </row>
    <row r="409">
      <c r="A409" s="1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8" t="str">
        <f>LOWER(Campanha_ou_InsertionOrder&amp;"_"&amp;LineItem_ou_Grupodeanúncio&amp;"_"&amp;Linha_Criativa&amp;"_"&amp;Unique_ID)</f>
        <v>#N/A</v>
      </c>
      <c r="AN409" s="28" t="str">
        <f>LOWER(Campanha_ou_InsertionOrder&amp;"_"&amp;LineItem_ou_Grupodeanúncio&amp;"_"&amp;Linha_Criativa&amp;"_"&amp;Unique_ID)</f>
        <v>#N/A</v>
      </c>
      <c r="AO409" s="28" t="str">
        <f>LOWER("VW"&amp;"_"&amp;Model_Variant&amp;"_"&amp;Size&amp;"_"&amp;Linha_Criativa&amp;"_"&amp;IF(Servido_Por="portal",Veiculo,"adserver"))</f>
        <v>vw____adserver</v>
      </c>
      <c r="AP4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09" s="22" t="str">
        <f t="shared" si="1"/>
        <v/>
      </c>
      <c r="AS409" s="22" t="str">
        <f t="shared" si="2"/>
        <v/>
      </c>
      <c r="AT409" s="22" t="str">
        <f t="shared" si="3"/>
        <v>BR_IMC_DSY_LANCH_ND_NC_2020Q3AUG_NVS_Nivus-Launch-Consideracao</v>
      </c>
      <c r="AU409" s="22" t="str">
        <f t="shared" si="4"/>
        <v>#N/A</v>
      </c>
      <c r="AV409" s="22" t="s">
        <v>106</v>
      </c>
      <c r="AW4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09" s="22" t="str">
        <f t="shared" si="5"/>
        <v>BR_IMC_DSY_LANCH_ND_NC_2020Q3AUG_NVS_Nivus-Launch-Consideracao</v>
      </c>
      <c r="AY409" s="28" t="str">
        <f t="shared" si="6"/>
        <v>#N/A</v>
      </c>
      <c r="AZ409" s="22" t="s">
        <v>107</v>
      </c>
      <c r="BA409" s="22" t="s">
        <v>108</v>
      </c>
      <c r="BB409" s="31" t="s">
        <v>109</v>
      </c>
      <c r="BC409" s="31" t="s">
        <v>109</v>
      </c>
      <c r="BD409" s="32" t="str">
        <f t="shared" si="8"/>
        <v>nvl-nvs-imc-dsy-0820-10403</v>
      </c>
      <c r="BE409" s="33"/>
      <c r="BF409" s="33"/>
      <c r="BG409" s="39" t="str">
        <f>URL&amp;IF(ISNUMBER(FIND("?",URL)),"&amp;","?"&amp;("adlid="&amp;Unique_ID&amp;"&amp;adplt="&amp;Placement))</f>
        <v>#N/A</v>
      </c>
      <c r="BH409" s="1"/>
      <c r="BI409" s="1"/>
      <c r="BJ409" s="35" t="str">
        <f>LOWER("alp"&amp;"_"&amp;"vw"&amp;"_"&amp;Veiculo&amp;"_"&amp;C405&amp;"_"&amp;Objetivo)</f>
        <v>alp_vw___</v>
      </c>
      <c r="BK409" s="35" t="str">
        <f>LOWER(Buying_Metric&amp;"_"&amp;VLOOKUP(Buying_Type,Buy_type,2,FALSE)&amp;"_"&amp;Device&amp;"_"&amp;Size&amp;"_"&amp;Segmentação&amp;"_"&amp;Segmentação_Anúncio)</f>
        <v>#N/A</v>
      </c>
      <c r="BL409" s="35" t="str">
        <f>LOWER(Campanha_ou_InsertionOrder&amp;"_"&amp;LineItem_ou_Grupodeanúncio&amp;"_"&amp;Linha_criativa_2&amp;"_"&amp;Unique_ID)</f>
        <v>#N/A</v>
      </c>
      <c r="BM409" s="27"/>
      <c r="BN409" s="27"/>
    </row>
    <row r="410">
      <c r="A410" s="1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8" t="str">
        <f>LOWER(Campanha_ou_InsertionOrder&amp;"_"&amp;LineItem_ou_Grupodeanúncio&amp;"_"&amp;Linha_Criativa&amp;"_"&amp;Unique_ID)</f>
        <v>#N/A</v>
      </c>
      <c r="AN410" s="28" t="str">
        <f>LOWER(Campanha_ou_InsertionOrder&amp;"_"&amp;LineItem_ou_Grupodeanúncio&amp;"_"&amp;Linha_Criativa&amp;"_"&amp;Unique_ID)</f>
        <v>#N/A</v>
      </c>
      <c r="AO410" s="28" t="str">
        <f>LOWER("VW"&amp;"_"&amp;Model_Variant&amp;"_"&amp;Size&amp;"_"&amp;Linha_Criativa&amp;"_"&amp;IF(Servido_Por="portal",Veiculo,"adserver"))</f>
        <v>vw____adserver</v>
      </c>
      <c r="AP4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0" s="22" t="str">
        <f t="shared" si="1"/>
        <v/>
      </c>
      <c r="AS410" s="22" t="str">
        <f t="shared" si="2"/>
        <v/>
      </c>
      <c r="AT410" s="22" t="str">
        <f t="shared" si="3"/>
        <v>BR_IMC_DSY_LANCH_ND_NC_2020Q3AUG_NVS_Nivus-Launch-Consideracao</v>
      </c>
      <c r="AU410" s="22" t="str">
        <f t="shared" si="4"/>
        <v>#N/A</v>
      </c>
      <c r="AV410" s="22" t="s">
        <v>106</v>
      </c>
      <c r="AW4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0" s="22" t="str">
        <f t="shared" si="5"/>
        <v>BR_IMC_DSY_LANCH_ND_NC_2020Q3AUG_NVS_Nivus-Launch-Consideracao</v>
      </c>
      <c r="AY410" s="28" t="str">
        <f t="shared" si="6"/>
        <v>#N/A</v>
      </c>
      <c r="AZ410" s="22" t="s">
        <v>107</v>
      </c>
      <c r="BA410" s="22" t="s">
        <v>108</v>
      </c>
      <c r="BB410" s="31" t="s">
        <v>109</v>
      </c>
      <c r="BC410" s="31" t="s">
        <v>109</v>
      </c>
      <c r="BD410" s="32" t="str">
        <f t="shared" si="8"/>
        <v>nvl-nvs-imc-dsy-0820-10404</v>
      </c>
      <c r="BE410" s="33"/>
      <c r="BF410" s="33"/>
      <c r="BG410" s="39" t="str">
        <f>URL&amp;IF(ISNUMBER(FIND("?",URL)),"&amp;","?"&amp;("adlid="&amp;Unique_ID&amp;"&amp;adplt="&amp;Placement))</f>
        <v>#N/A</v>
      </c>
      <c r="BH410" s="1"/>
      <c r="BI410" s="1"/>
      <c r="BJ410" s="35" t="str">
        <f>LOWER("alp"&amp;"_"&amp;"vw"&amp;"_"&amp;Veiculo&amp;"_"&amp;C406&amp;"_"&amp;Objetivo)</f>
        <v>alp_vw___</v>
      </c>
      <c r="BK410" s="35" t="str">
        <f>LOWER(Buying_Metric&amp;"_"&amp;VLOOKUP(Buying_Type,Buy_type,2,FALSE)&amp;"_"&amp;Device&amp;"_"&amp;Size&amp;"_"&amp;Segmentação&amp;"_"&amp;Segmentação_Anúncio)</f>
        <v>#N/A</v>
      </c>
      <c r="BL410" s="35" t="str">
        <f>LOWER(Campanha_ou_InsertionOrder&amp;"_"&amp;LineItem_ou_Grupodeanúncio&amp;"_"&amp;Linha_criativa_2&amp;"_"&amp;Unique_ID)</f>
        <v>#N/A</v>
      </c>
      <c r="BM410" s="27"/>
      <c r="BN410" s="27"/>
    </row>
    <row r="411">
      <c r="A411" s="1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8" t="str">
        <f>LOWER(Campanha_ou_InsertionOrder&amp;"_"&amp;LineItem_ou_Grupodeanúncio&amp;"_"&amp;Linha_Criativa&amp;"_"&amp;Unique_ID)</f>
        <v>#N/A</v>
      </c>
      <c r="AN411" s="28" t="str">
        <f>LOWER(Campanha_ou_InsertionOrder&amp;"_"&amp;LineItem_ou_Grupodeanúncio&amp;"_"&amp;Linha_Criativa&amp;"_"&amp;Unique_ID)</f>
        <v>#N/A</v>
      </c>
      <c r="AO411" s="28" t="str">
        <f>LOWER("VW"&amp;"_"&amp;Model_Variant&amp;"_"&amp;Size&amp;"_"&amp;Linha_Criativa&amp;"_"&amp;IF(Servido_Por="portal",Veiculo,"adserver"))</f>
        <v>vw____adserver</v>
      </c>
      <c r="AP4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1" s="22" t="str">
        <f t="shared" si="1"/>
        <v/>
      </c>
      <c r="AS411" s="22" t="str">
        <f t="shared" si="2"/>
        <v/>
      </c>
      <c r="AT411" s="22" t="str">
        <f t="shared" si="3"/>
        <v>BR_IMC_DSY_LANCH_ND_NC_2020Q3AUG_NVS_Nivus-Launch-Consideracao</v>
      </c>
      <c r="AU411" s="22" t="str">
        <f t="shared" si="4"/>
        <v>#N/A</v>
      </c>
      <c r="AV411" s="22" t="s">
        <v>106</v>
      </c>
      <c r="AW4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1" s="22" t="str">
        <f t="shared" si="5"/>
        <v>BR_IMC_DSY_LANCH_ND_NC_2020Q3AUG_NVS_Nivus-Launch-Consideracao</v>
      </c>
      <c r="AY411" s="28" t="str">
        <f t="shared" si="6"/>
        <v>#N/A</v>
      </c>
      <c r="AZ411" s="22" t="s">
        <v>107</v>
      </c>
      <c r="BA411" s="22" t="s">
        <v>108</v>
      </c>
      <c r="BB411" s="31" t="s">
        <v>109</v>
      </c>
      <c r="BC411" s="31" t="s">
        <v>109</v>
      </c>
      <c r="BD411" s="32" t="str">
        <f t="shared" si="8"/>
        <v>nvl-nvs-imc-dsy-0820-10405</v>
      </c>
      <c r="BE411" s="33"/>
      <c r="BF411" s="33"/>
      <c r="BG411" s="39" t="str">
        <f>URL&amp;IF(ISNUMBER(FIND("?",URL)),"&amp;","?"&amp;("adlid="&amp;Unique_ID&amp;"&amp;adplt="&amp;Placement))</f>
        <v>#N/A</v>
      </c>
      <c r="BH411" s="1"/>
      <c r="BI411" s="1"/>
      <c r="BJ411" s="35" t="str">
        <f>LOWER("alp"&amp;"_"&amp;"vw"&amp;"_"&amp;Veiculo&amp;"_"&amp;C407&amp;"_"&amp;Objetivo)</f>
        <v>alp_vw___</v>
      </c>
      <c r="BK411" s="35" t="str">
        <f>LOWER(Buying_Metric&amp;"_"&amp;VLOOKUP(Buying_Type,Buy_type,2,FALSE)&amp;"_"&amp;Device&amp;"_"&amp;Size&amp;"_"&amp;Segmentação&amp;"_"&amp;Segmentação_Anúncio)</f>
        <v>#N/A</v>
      </c>
      <c r="BL411" s="35" t="str">
        <f>LOWER(Campanha_ou_InsertionOrder&amp;"_"&amp;LineItem_ou_Grupodeanúncio&amp;"_"&amp;Linha_criativa_2&amp;"_"&amp;Unique_ID)</f>
        <v>#N/A</v>
      </c>
      <c r="BM411" s="27"/>
      <c r="BN411" s="27"/>
    </row>
    <row r="412">
      <c r="A412" s="1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8" t="str">
        <f>LOWER(Campanha_ou_InsertionOrder&amp;"_"&amp;LineItem_ou_Grupodeanúncio&amp;"_"&amp;Linha_Criativa&amp;"_"&amp;Unique_ID)</f>
        <v>#N/A</v>
      </c>
      <c r="AN412" s="28" t="str">
        <f>LOWER(Campanha_ou_InsertionOrder&amp;"_"&amp;LineItem_ou_Grupodeanúncio&amp;"_"&amp;Linha_Criativa&amp;"_"&amp;Unique_ID)</f>
        <v>#N/A</v>
      </c>
      <c r="AO412" s="28" t="str">
        <f>LOWER("VW"&amp;"_"&amp;Model_Variant&amp;"_"&amp;Size&amp;"_"&amp;Linha_Criativa&amp;"_"&amp;IF(Servido_Por="portal",Veiculo,"adserver"))</f>
        <v>vw____adserver</v>
      </c>
      <c r="AP4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2" s="22" t="str">
        <f t="shared" si="1"/>
        <v/>
      </c>
      <c r="AS412" s="22" t="str">
        <f t="shared" si="2"/>
        <v/>
      </c>
      <c r="AT412" s="22" t="str">
        <f t="shared" si="3"/>
        <v>BR_IMC_DSY_LANCH_ND_NC_2020Q3AUG_NVS_Nivus-Launch-Consideracao</v>
      </c>
      <c r="AU412" s="22" t="str">
        <f t="shared" si="4"/>
        <v>#N/A</v>
      </c>
      <c r="AV412" s="22" t="s">
        <v>106</v>
      </c>
      <c r="AW4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2" s="22" t="str">
        <f t="shared" si="5"/>
        <v>BR_IMC_DSY_LANCH_ND_NC_2020Q3AUG_NVS_Nivus-Launch-Consideracao</v>
      </c>
      <c r="AY412" s="28" t="str">
        <f t="shared" si="6"/>
        <v>#N/A</v>
      </c>
      <c r="AZ412" s="22" t="s">
        <v>107</v>
      </c>
      <c r="BA412" s="22" t="s">
        <v>108</v>
      </c>
      <c r="BB412" s="31" t="s">
        <v>109</v>
      </c>
      <c r="BC412" s="31" t="s">
        <v>109</v>
      </c>
      <c r="BD412" s="32" t="str">
        <f t="shared" si="8"/>
        <v>nvl-nvs-imc-dsy-0820-10406</v>
      </c>
      <c r="BE412" s="33"/>
      <c r="BF412" s="33"/>
      <c r="BG412" s="39" t="str">
        <f>URL&amp;IF(ISNUMBER(FIND("?",URL)),"&amp;","?"&amp;("adlid="&amp;Unique_ID&amp;"&amp;adplt="&amp;Placement))</f>
        <v>#N/A</v>
      </c>
      <c r="BH412" s="1"/>
      <c r="BI412" s="1"/>
      <c r="BJ412" s="35" t="str">
        <f>LOWER("alp"&amp;"_"&amp;"vw"&amp;"_"&amp;Veiculo&amp;"_"&amp;C408&amp;"_"&amp;Objetivo)</f>
        <v>alp_vw___</v>
      </c>
      <c r="BK412" s="35" t="str">
        <f>LOWER(Buying_Metric&amp;"_"&amp;VLOOKUP(Buying_Type,Buy_type,2,FALSE)&amp;"_"&amp;Device&amp;"_"&amp;Size&amp;"_"&amp;Segmentação&amp;"_"&amp;Segmentação_Anúncio)</f>
        <v>#N/A</v>
      </c>
      <c r="BL412" s="35" t="str">
        <f>LOWER(Campanha_ou_InsertionOrder&amp;"_"&amp;LineItem_ou_Grupodeanúncio&amp;"_"&amp;Linha_criativa_2&amp;"_"&amp;Unique_ID)</f>
        <v>#N/A</v>
      </c>
      <c r="BM412" s="27"/>
      <c r="BN412" s="27"/>
    </row>
    <row r="413">
      <c r="A413" s="1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8" t="str">
        <f>LOWER(Campanha_ou_InsertionOrder&amp;"_"&amp;LineItem_ou_Grupodeanúncio&amp;"_"&amp;Linha_Criativa&amp;"_"&amp;Unique_ID)</f>
        <v>#N/A</v>
      </c>
      <c r="AN413" s="28" t="str">
        <f>LOWER(Campanha_ou_InsertionOrder&amp;"_"&amp;LineItem_ou_Grupodeanúncio&amp;"_"&amp;Linha_Criativa&amp;"_"&amp;Unique_ID)</f>
        <v>#N/A</v>
      </c>
      <c r="AO413" s="28" t="str">
        <f>LOWER("VW"&amp;"_"&amp;Model_Variant&amp;"_"&amp;Size&amp;"_"&amp;Linha_Criativa&amp;"_"&amp;IF(Servido_Por="portal",Veiculo,"adserver"))</f>
        <v>vw____adserver</v>
      </c>
      <c r="AP4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3" s="22" t="str">
        <f t="shared" si="1"/>
        <v/>
      </c>
      <c r="AS413" s="22" t="str">
        <f t="shared" si="2"/>
        <v/>
      </c>
      <c r="AT413" s="22" t="str">
        <f t="shared" si="3"/>
        <v>BR_IMC_DSY_LANCH_ND_NC_2020Q3AUG_NVS_Nivus-Launch-Consideracao</v>
      </c>
      <c r="AU413" s="22" t="str">
        <f t="shared" si="4"/>
        <v>#N/A</v>
      </c>
      <c r="AV413" s="22" t="s">
        <v>106</v>
      </c>
      <c r="AW4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3" s="22" t="str">
        <f t="shared" si="5"/>
        <v>BR_IMC_DSY_LANCH_ND_NC_2020Q3AUG_NVS_Nivus-Launch-Consideracao</v>
      </c>
      <c r="AY413" s="28" t="str">
        <f t="shared" si="6"/>
        <v>#N/A</v>
      </c>
      <c r="AZ413" s="22" t="s">
        <v>107</v>
      </c>
      <c r="BA413" s="22" t="s">
        <v>108</v>
      </c>
      <c r="BB413" s="31" t="s">
        <v>109</v>
      </c>
      <c r="BC413" s="31" t="s">
        <v>109</v>
      </c>
      <c r="BD413" s="32" t="str">
        <f t="shared" si="8"/>
        <v>nvl-nvs-imc-dsy-0820-10407</v>
      </c>
      <c r="BE413" s="33"/>
      <c r="BF413" s="33"/>
      <c r="BG413" s="39" t="str">
        <f>URL&amp;IF(ISNUMBER(FIND("?",URL)),"&amp;","?"&amp;("adlid="&amp;Unique_ID&amp;"&amp;adplt="&amp;Placement))</f>
        <v>#N/A</v>
      </c>
      <c r="BH413" s="1"/>
      <c r="BI413" s="1"/>
      <c r="BJ413" s="35" t="str">
        <f>LOWER("alp"&amp;"_"&amp;"vw"&amp;"_"&amp;Veiculo&amp;"_"&amp;C409&amp;"_"&amp;Objetivo)</f>
        <v>alp_vw___</v>
      </c>
      <c r="BK413" s="35" t="str">
        <f>LOWER(Buying_Metric&amp;"_"&amp;VLOOKUP(Buying_Type,Buy_type,2,FALSE)&amp;"_"&amp;Device&amp;"_"&amp;Size&amp;"_"&amp;Segmentação&amp;"_"&amp;Segmentação_Anúncio)</f>
        <v>#N/A</v>
      </c>
      <c r="BL413" s="35" t="str">
        <f>LOWER(Campanha_ou_InsertionOrder&amp;"_"&amp;LineItem_ou_Grupodeanúncio&amp;"_"&amp;Linha_criativa_2&amp;"_"&amp;Unique_ID)</f>
        <v>#N/A</v>
      </c>
      <c r="BM413" s="27"/>
      <c r="BN413" s="27"/>
    </row>
    <row r="414">
      <c r="A414" s="1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8" t="str">
        <f>LOWER(Campanha_ou_InsertionOrder&amp;"_"&amp;LineItem_ou_Grupodeanúncio&amp;"_"&amp;Linha_Criativa&amp;"_"&amp;Unique_ID)</f>
        <v>#N/A</v>
      </c>
      <c r="AN414" s="28" t="str">
        <f>LOWER(Campanha_ou_InsertionOrder&amp;"_"&amp;LineItem_ou_Grupodeanúncio&amp;"_"&amp;Linha_Criativa&amp;"_"&amp;Unique_ID)</f>
        <v>#N/A</v>
      </c>
      <c r="AO414" s="28" t="str">
        <f>LOWER("VW"&amp;"_"&amp;Model_Variant&amp;"_"&amp;Size&amp;"_"&amp;Linha_Criativa&amp;"_"&amp;IF(Servido_Por="portal",Veiculo,"adserver"))</f>
        <v>vw____adserver</v>
      </c>
      <c r="AP4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4" s="22" t="str">
        <f t="shared" si="1"/>
        <v/>
      </c>
      <c r="AS414" s="22" t="str">
        <f t="shared" si="2"/>
        <v/>
      </c>
      <c r="AT414" s="22" t="str">
        <f t="shared" si="3"/>
        <v>BR_IMC_DSY_LANCH_ND_NC_2020Q3AUG_NVS_Nivus-Launch-Consideracao</v>
      </c>
      <c r="AU414" s="22" t="str">
        <f t="shared" si="4"/>
        <v>#N/A</v>
      </c>
      <c r="AV414" s="22" t="s">
        <v>106</v>
      </c>
      <c r="AW4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4" s="22" t="str">
        <f t="shared" si="5"/>
        <v>BR_IMC_DSY_LANCH_ND_NC_2020Q3AUG_NVS_Nivus-Launch-Consideracao</v>
      </c>
      <c r="AY414" s="28" t="str">
        <f t="shared" si="6"/>
        <v>#N/A</v>
      </c>
      <c r="AZ414" s="22" t="s">
        <v>107</v>
      </c>
      <c r="BA414" s="22" t="s">
        <v>108</v>
      </c>
      <c r="BB414" s="31" t="s">
        <v>109</v>
      </c>
      <c r="BC414" s="31" t="s">
        <v>109</v>
      </c>
      <c r="BD414" s="32" t="str">
        <f t="shared" si="8"/>
        <v>nvl-nvs-imc-dsy-0820-10408</v>
      </c>
      <c r="BE414" s="33"/>
      <c r="BF414" s="33"/>
      <c r="BG414" s="39" t="str">
        <f>URL&amp;IF(ISNUMBER(FIND("?",URL)),"&amp;","?"&amp;("adlid="&amp;Unique_ID&amp;"&amp;adplt="&amp;Placement))</f>
        <v>#N/A</v>
      </c>
      <c r="BH414" s="1"/>
      <c r="BI414" s="1"/>
      <c r="BJ414" s="35" t="str">
        <f>LOWER("alp"&amp;"_"&amp;"vw"&amp;"_"&amp;Veiculo&amp;"_"&amp;C410&amp;"_"&amp;Objetivo)</f>
        <v>alp_vw___</v>
      </c>
      <c r="BK414" s="35" t="str">
        <f>LOWER(Buying_Metric&amp;"_"&amp;VLOOKUP(Buying_Type,Buy_type,2,FALSE)&amp;"_"&amp;Device&amp;"_"&amp;Size&amp;"_"&amp;Segmentação&amp;"_"&amp;Segmentação_Anúncio)</f>
        <v>#N/A</v>
      </c>
      <c r="BL414" s="35" t="str">
        <f>LOWER(Campanha_ou_InsertionOrder&amp;"_"&amp;LineItem_ou_Grupodeanúncio&amp;"_"&amp;Linha_criativa_2&amp;"_"&amp;Unique_ID)</f>
        <v>#N/A</v>
      </c>
      <c r="BM414" s="27"/>
      <c r="BN414" s="27"/>
    </row>
    <row r="415">
      <c r="A415" s="1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8" t="str">
        <f>LOWER(Campanha_ou_InsertionOrder&amp;"_"&amp;LineItem_ou_Grupodeanúncio&amp;"_"&amp;Linha_Criativa&amp;"_"&amp;Unique_ID)</f>
        <v>#N/A</v>
      </c>
      <c r="AN415" s="28" t="str">
        <f>LOWER(Campanha_ou_InsertionOrder&amp;"_"&amp;LineItem_ou_Grupodeanúncio&amp;"_"&amp;Linha_Criativa&amp;"_"&amp;Unique_ID)</f>
        <v>#N/A</v>
      </c>
      <c r="AO415" s="28" t="str">
        <f>LOWER("VW"&amp;"_"&amp;Model_Variant&amp;"_"&amp;Size&amp;"_"&amp;Linha_Criativa&amp;"_"&amp;IF(Servido_Por="portal",Veiculo,"adserver"))</f>
        <v>vw____adserver</v>
      </c>
      <c r="AP4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5" s="22" t="str">
        <f t="shared" si="1"/>
        <v/>
      </c>
      <c r="AS415" s="22" t="str">
        <f t="shared" si="2"/>
        <v/>
      </c>
      <c r="AT415" s="22" t="str">
        <f t="shared" si="3"/>
        <v>BR_IMC_DSY_LANCH_ND_NC_2020Q3AUG_NVS_Nivus-Launch-Consideracao</v>
      </c>
      <c r="AU415" s="22" t="str">
        <f t="shared" si="4"/>
        <v>#N/A</v>
      </c>
      <c r="AV415" s="22" t="s">
        <v>106</v>
      </c>
      <c r="AW4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5" s="22" t="str">
        <f t="shared" si="5"/>
        <v>BR_IMC_DSY_LANCH_ND_NC_2020Q3AUG_NVS_Nivus-Launch-Consideracao</v>
      </c>
      <c r="AY415" s="28" t="str">
        <f t="shared" si="6"/>
        <v>#N/A</v>
      </c>
      <c r="AZ415" s="22" t="s">
        <v>107</v>
      </c>
      <c r="BA415" s="22" t="s">
        <v>108</v>
      </c>
      <c r="BB415" s="31" t="s">
        <v>109</v>
      </c>
      <c r="BC415" s="31" t="s">
        <v>109</v>
      </c>
      <c r="BD415" s="32" t="str">
        <f t="shared" si="8"/>
        <v>nvl-nvs-imc-dsy-0820-10409</v>
      </c>
      <c r="BE415" s="33"/>
      <c r="BF415" s="33"/>
      <c r="BG415" s="39" t="str">
        <f>URL&amp;IF(ISNUMBER(FIND("?",URL)),"&amp;","?"&amp;("adlid="&amp;Unique_ID&amp;"&amp;adplt="&amp;Placement))</f>
        <v>#N/A</v>
      </c>
      <c r="BH415" s="1"/>
      <c r="BI415" s="1"/>
      <c r="BJ415" s="35" t="str">
        <f>LOWER("alp"&amp;"_"&amp;"vw"&amp;"_"&amp;Veiculo&amp;"_"&amp;C411&amp;"_"&amp;Objetivo)</f>
        <v>alp_vw___</v>
      </c>
      <c r="BK415" s="35" t="str">
        <f>LOWER(Buying_Metric&amp;"_"&amp;VLOOKUP(Buying_Type,Buy_type,2,FALSE)&amp;"_"&amp;Device&amp;"_"&amp;Size&amp;"_"&amp;Segmentação&amp;"_"&amp;Segmentação_Anúncio)</f>
        <v>#N/A</v>
      </c>
      <c r="BL415" s="35" t="str">
        <f>LOWER(Campanha_ou_InsertionOrder&amp;"_"&amp;LineItem_ou_Grupodeanúncio&amp;"_"&amp;Linha_criativa_2&amp;"_"&amp;Unique_ID)</f>
        <v>#N/A</v>
      </c>
      <c r="BM415" s="27"/>
      <c r="BN415" s="27"/>
    </row>
    <row r="416">
      <c r="A416" s="1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8" t="str">
        <f>LOWER(Campanha_ou_InsertionOrder&amp;"_"&amp;LineItem_ou_Grupodeanúncio&amp;"_"&amp;Linha_Criativa&amp;"_"&amp;Unique_ID)</f>
        <v>#N/A</v>
      </c>
      <c r="AN416" s="28" t="str">
        <f>LOWER(Campanha_ou_InsertionOrder&amp;"_"&amp;LineItem_ou_Grupodeanúncio&amp;"_"&amp;Linha_Criativa&amp;"_"&amp;Unique_ID)</f>
        <v>#N/A</v>
      </c>
      <c r="AO416" s="28" t="str">
        <f>LOWER("VW"&amp;"_"&amp;Model_Variant&amp;"_"&amp;Size&amp;"_"&amp;Linha_Criativa&amp;"_"&amp;IF(Servido_Por="portal",Veiculo,"adserver"))</f>
        <v>vw____adserver</v>
      </c>
      <c r="AP4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6" s="22" t="str">
        <f t="shared" si="1"/>
        <v/>
      </c>
      <c r="AS416" s="22" t="str">
        <f t="shared" si="2"/>
        <v/>
      </c>
      <c r="AT416" s="22" t="str">
        <f t="shared" si="3"/>
        <v>BR_IMC_DSY_LANCH_ND_NC_2020Q3AUG_NVS_Nivus-Launch-Consideracao</v>
      </c>
      <c r="AU416" s="22" t="str">
        <f t="shared" si="4"/>
        <v>#N/A</v>
      </c>
      <c r="AV416" s="22" t="s">
        <v>106</v>
      </c>
      <c r="AW4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6" s="22" t="str">
        <f t="shared" si="5"/>
        <v>BR_IMC_DSY_LANCH_ND_NC_2020Q3AUG_NVS_Nivus-Launch-Consideracao</v>
      </c>
      <c r="AY416" s="28" t="str">
        <f t="shared" si="6"/>
        <v>#N/A</v>
      </c>
      <c r="AZ416" s="22" t="s">
        <v>107</v>
      </c>
      <c r="BA416" s="22" t="s">
        <v>108</v>
      </c>
      <c r="BB416" s="31" t="s">
        <v>109</v>
      </c>
      <c r="BC416" s="31" t="s">
        <v>109</v>
      </c>
      <c r="BD416" s="32" t="str">
        <f t="shared" si="8"/>
        <v>nvl-nvs-imc-dsy-0820-10410</v>
      </c>
      <c r="BE416" s="33"/>
      <c r="BF416" s="33"/>
      <c r="BG416" s="39" t="str">
        <f>URL&amp;IF(ISNUMBER(FIND("?",URL)),"&amp;","?"&amp;("adlid="&amp;Unique_ID&amp;"&amp;adplt="&amp;Placement))</f>
        <v>#N/A</v>
      </c>
      <c r="BH416" s="1"/>
      <c r="BI416" s="1"/>
      <c r="BJ416" s="35" t="str">
        <f>LOWER("alp"&amp;"_"&amp;"vw"&amp;"_"&amp;Veiculo&amp;"_"&amp;C412&amp;"_"&amp;Objetivo)</f>
        <v>alp_vw___</v>
      </c>
      <c r="BK416" s="35" t="str">
        <f>LOWER(Buying_Metric&amp;"_"&amp;VLOOKUP(Buying_Type,Buy_type,2,FALSE)&amp;"_"&amp;Device&amp;"_"&amp;Size&amp;"_"&amp;Segmentação&amp;"_"&amp;Segmentação_Anúncio)</f>
        <v>#N/A</v>
      </c>
      <c r="BL416" s="35" t="str">
        <f>LOWER(Campanha_ou_InsertionOrder&amp;"_"&amp;LineItem_ou_Grupodeanúncio&amp;"_"&amp;Linha_criativa_2&amp;"_"&amp;Unique_ID)</f>
        <v>#N/A</v>
      </c>
      <c r="BM416" s="27"/>
      <c r="BN416" s="27"/>
    </row>
    <row r="417">
      <c r="A417" s="1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8" t="str">
        <f>LOWER(Campanha_ou_InsertionOrder&amp;"_"&amp;LineItem_ou_Grupodeanúncio&amp;"_"&amp;Linha_Criativa&amp;"_"&amp;Unique_ID)</f>
        <v>#N/A</v>
      </c>
      <c r="AN417" s="28" t="str">
        <f>LOWER(Campanha_ou_InsertionOrder&amp;"_"&amp;LineItem_ou_Grupodeanúncio&amp;"_"&amp;Linha_Criativa&amp;"_"&amp;Unique_ID)</f>
        <v>#N/A</v>
      </c>
      <c r="AO417" s="28" t="str">
        <f>LOWER("VW"&amp;"_"&amp;Model_Variant&amp;"_"&amp;Size&amp;"_"&amp;Linha_Criativa&amp;"_"&amp;IF(Servido_Por="portal",Veiculo,"adserver"))</f>
        <v>vw____adserver</v>
      </c>
      <c r="AP4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7" s="22" t="str">
        <f t="shared" si="1"/>
        <v/>
      </c>
      <c r="AS417" s="22" t="str">
        <f t="shared" si="2"/>
        <v/>
      </c>
      <c r="AT417" s="22" t="str">
        <f t="shared" si="3"/>
        <v>BR_IMC_DSY_LANCH_ND_NC_2020Q3AUG_NVS_Nivus-Launch-Consideracao</v>
      </c>
      <c r="AU417" s="22" t="str">
        <f t="shared" si="4"/>
        <v>#N/A</v>
      </c>
      <c r="AV417" s="22" t="s">
        <v>106</v>
      </c>
      <c r="AW4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7" s="22" t="str">
        <f t="shared" si="5"/>
        <v>BR_IMC_DSY_LANCH_ND_NC_2020Q3AUG_NVS_Nivus-Launch-Consideracao</v>
      </c>
      <c r="AY417" s="28" t="str">
        <f t="shared" si="6"/>
        <v>#N/A</v>
      </c>
      <c r="AZ417" s="22" t="s">
        <v>107</v>
      </c>
      <c r="BA417" s="22" t="s">
        <v>108</v>
      </c>
      <c r="BB417" s="31" t="s">
        <v>109</v>
      </c>
      <c r="BC417" s="31" t="s">
        <v>109</v>
      </c>
      <c r="BD417" s="32" t="str">
        <f t="shared" si="8"/>
        <v>nvl-nvs-imc-dsy-0820-10411</v>
      </c>
      <c r="BE417" s="33"/>
      <c r="BF417" s="33"/>
      <c r="BG417" s="39" t="str">
        <f>URL&amp;IF(ISNUMBER(FIND("?",URL)),"&amp;","?"&amp;("adlid="&amp;Unique_ID&amp;"&amp;adplt="&amp;Placement))</f>
        <v>#N/A</v>
      </c>
      <c r="BH417" s="1"/>
      <c r="BI417" s="1"/>
      <c r="BJ417" s="35" t="str">
        <f>LOWER("alp"&amp;"_"&amp;"vw"&amp;"_"&amp;Veiculo&amp;"_"&amp;C413&amp;"_"&amp;Objetivo)</f>
        <v>alp_vw___</v>
      </c>
      <c r="BK417" s="35" t="str">
        <f>LOWER(Buying_Metric&amp;"_"&amp;VLOOKUP(Buying_Type,Buy_type,2,FALSE)&amp;"_"&amp;Device&amp;"_"&amp;Size&amp;"_"&amp;Segmentação&amp;"_"&amp;Segmentação_Anúncio)</f>
        <v>#N/A</v>
      </c>
      <c r="BL417" s="35" t="str">
        <f>LOWER(Campanha_ou_InsertionOrder&amp;"_"&amp;LineItem_ou_Grupodeanúncio&amp;"_"&amp;Linha_criativa_2&amp;"_"&amp;Unique_ID)</f>
        <v>#N/A</v>
      </c>
      <c r="BM417" s="27"/>
      <c r="BN417" s="27"/>
    </row>
    <row r="418">
      <c r="A418" s="1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8" t="str">
        <f>LOWER(Campanha_ou_InsertionOrder&amp;"_"&amp;LineItem_ou_Grupodeanúncio&amp;"_"&amp;Linha_Criativa&amp;"_"&amp;Unique_ID)</f>
        <v>#N/A</v>
      </c>
      <c r="AN418" s="28" t="str">
        <f>LOWER(Campanha_ou_InsertionOrder&amp;"_"&amp;LineItem_ou_Grupodeanúncio&amp;"_"&amp;Linha_Criativa&amp;"_"&amp;Unique_ID)</f>
        <v>#N/A</v>
      </c>
      <c r="AO418" s="28" t="str">
        <f>LOWER("VW"&amp;"_"&amp;Model_Variant&amp;"_"&amp;Size&amp;"_"&amp;Linha_Criativa&amp;"_"&amp;IF(Servido_Por="portal",Veiculo,"adserver"))</f>
        <v>vw____adserver</v>
      </c>
      <c r="AP4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8" s="22" t="str">
        <f t="shared" si="1"/>
        <v/>
      </c>
      <c r="AS418" s="22" t="str">
        <f t="shared" si="2"/>
        <v/>
      </c>
      <c r="AT418" s="22" t="str">
        <f t="shared" si="3"/>
        <v>BR_IMC_DSY_LANCH_ND_NC_2020Q3AUG_NVS_Nivus-Launch-Consideracao</v>
      </c>
      <c r="AU418" s="22" t="str">
        <f t="shared" si="4"/>
        <v>#N/A</v>
      </c>
      <c r="AV418" s="22" t="s">
        <v>106</v>
      </c>
      <c r="AW4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8" s="22" t="str">
        <f t="shared" si="5"/>
        <v>BR_IMC_DSY_LANCH_ND_NC_2020Q3AUG_NVS_Nivus-Launch-Consideracao</v>
      </c>
      <c r="AY418" s="28" t="str">
        <f t="shared" si="6"/>
        <v>#N/A</v>
      </c>
      <c r="AZ418" s="22" t="s">
        <v>107</v>
      </c>
      <c r="BA418" s="22" t="s">
        <v>108</v>
      </c>
      <c r="BB418" s="31" t="s">
        <v>109</v>
      </c>
      <c r="BC418" s="31" t="s">
        <v>109</v>
      </c>
      <c r="BD418" s="32" t="str">
        <f t="shared" si="8"/>
        <v>nvl-nvs-imc-dsy-0820-10412</v>
      </c>
      <c r="BE418" s="33"/>
      <c r="BF418" s="33"/>
      <c r="BG418" s="39" t="str">
        <f>URL&amp;IF(ISNUMBER(FIND("?",URL)),"&amp;","?"&amp;("adlid="&amp;Unique_ID&amp;"&amp;adplt="&amp;Placement))</f>
        <v>#N/A</v>
      </c>
      <c r="BH418" s="1"/>
      <c r="BI418" s="1"/>
      <c r="BJ418" s="35" t="str">
        <f>LOWER("alp"&amp;"_"&amp;"vw"&amp;"_"&amp;Veiculo&amp;"_"&amp;C414&amp;"_"&amp;Objetivo)</f>
        <v>alp_vw___</v>
      </c>
      <c r="BK418" s="35" t="str">
        <f>LOWER(Buying_Metric&amp;"_"&amp;VLOOKUP(Buying_Type,Buy_type,2,FALSE)&amp;"_"&amp;Device&amp;"_"&amp;Size&amp;"_"&amp;Segmentação&amp;"_"&amp;Segmentação_Anúncio)</f>
        <v>#N/A</v>
      </c>
      <c r="BL418" s="35" t="str">
        <f>LOWER(Campanha_ou_InsertionOrder&amp;"_"&amp;LineItem_ou_Grupodeanúncio&amp;"_"&amp;Linha_criativa_2&amp;"_"&amp;Unique_ID)</f>
        <v>#N/A</v>
      </c>
      <c r="BM418" s="27"/>
      <c r="BN418" s="27"/>
    </row>
    <row r="419">
      <c r="A419" s="1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8" t="str">
        <f>LOWER(Campanha_ou_InsertionOrder&amp;"_"&amp;LineItem_ou_Grupodeanúncio&amp;"_"&amp;Linha_Criativa&amp;"_"&amp;Unique_ID)</f>
        <v>#N/A</v>
      </c>
      <c r="AN419" s="28" t="str">
        <f>LOWER(Campanha_ou_InsertionOrder&amp;"_"&amp;LineItem_ou_Grupodeanúncio&amp;"_"&amp;Linha_Criativa&amp;"_"&amp;Unique_ID)</f>
        <v>#N/A</v>
      </c>
      <c r="AO419" s="28" t="str">
        <f>LOWER("VW"&amp;"_"&amp;Model_Variant&amp;"_"&amp;Size&amp;"_"&amp;Linha_Criativa&amp;"_"&amp;IF(Servido_Por="portal",Veiculo,"adserver"))</f>
        <v>vw____adserver</v>
      </c>
      <c r="AP4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19" s="22" t="str">
        <f t="shared" si="1"/>
        <v/>
      </c>
      <c r="AS419" s="22" t="str">
        <f t="shared" si="2"/>
        <v/>
      </c>
      <c r="AT419" s="22" t="str">
        <f t="shared" si="3"/>
        <v>BR_IMC_DSY_LANCH_ND_NC_2020Q3AUG_NVS_Nivus-Launch-Consideracao</v>
      </c>
      <c r="AU419" s="22" t="str">
        <f t="shared" si="4"/>
        <v>#N/A</v>
      </c>
      <c r="AV419" s="22" t="s">
        <v>106</v>
      </c>
      <c r="AW4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19" s="22" t="str">
        <f t="shared" si="5"/>
        <v>BR_IMC_DSY_LANCH_ND_NC_2020Q3AUG_NVS_Nivus-Launch-Consideracao</v>
      </c>
      <c r="AY419" s="28" t="str">
        <f t="shared" si="6"/>
        <v>#N/A</v>
      </c>
      <c r="AZ419" s="22" t="s">
        <v>107</v>
      </c>
      <c r="BA419" s="22" t="s">
        <v>108</v>
      </c>
      <c r="BB419" s="31" t="s">
        <v>109</v>
      </c>
      <c r="BC419" s="31" t="s">
        <v>109</v>
      </c>
      <c r="BD419" s="32" t="str">
        <f t="shared" si="8"/>
        <v>nvl-nvs-imc-dsy-0820-10413</v>
      </c>
      <c r="BE419" s="33"/>
      <c r="BF419" s="33"/>
      <c r="BG419" s="39" t="str">
        <f>URL&amp;IF(ISNUMBER(FIND("?",URL)),"&amp;","?"&amp;("adlid="&amp;Unique_ID&amp;"&amp;adplt="&amp;Placement))</f>
        <v>#N/A</v>
      </c>
      <c r="BH419" s="1"/>
      <c r="BI419" s="1"/>
      <c r="BJ419" s="35" t="str">
        <f>LOWER("alp"&amp;"_"&amp;"vw"&amp;"_"&amp;Veiculo&amp;"_"&amp;C415&amp;"_"&amp;Objetivo)</f>
        <v>alp_vw___</v>
      </c>
      <c r="BK419" s="35" t="str">
        <f>LOWER(Buying_Metric&amp;"_"&amp;VLOOKUP(Buying_Type,Buy_type,2,FALSE)&amp;"_"&amp;Device&amp;"_"&amp;Size&amp;"_"&amp;Segmentação&amp;"_"&amp;Segmentação_Anúncio)</f>
        <v>#N/A</v>
      </c>
      <c r="BL419" s="35" t="str">
        <f>LOWER(Campanha_ou_InsertionOrder&amp;"_"&amp;LineItem_ou_Grupodeanúncio&amp;"_"&amp;Linha_criativa_2&amp;"_"&amp;Unique_ID)</f>
        <v>#N/A</v>
      </c>
      <c r="BM419" s="27"/>
      <c r="BN419" s="27"/>
    </row>
    <row r="420">
      <c r="A420" s="1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8" t="str">
        <f>LOWER(Campanha_ou_InsertionOrder&amp;"_"&amp;LineItem_ou_Grupodeanúncio&amp;"_"&amp;Linha_Criativa&amp;"_"&amp;Unique_ID)</f>
        <v>#N/A</v>
      </c>
      <c r="AN420" s="28" t="str">
        <f>LOWER(Campanha_ou_InsertionOrder&amp;"_"&amp;LineItem_ou_Grupodeanúncio&amp;"_"&amp;Linha_Criativa&amp;"_"&amp;Unique_ID)</f>
        <v>#N/A</v>
      </c>
      <c r="AO420" s="28" t="str">
        <f>LOWER("VW"&amp;"_"&amp;Model_Variant&amp;"_"&amp;Size&amp;"_"&amp;Linha_Criativa&amp;"_"&amp;IF(Servido_Por="portal",Veiculo,"adserver"))</f>
        <v>vw____adserver</v>
      </c>
      <c r="AP4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0" s="22" t="str">
        <f t="shared" si="1"/>
        <v/>
      </c>
      <c r="AS420" s="22" t="str">
        <f t="shared" si="2"/>
        <v/>
      </c>
      <c r="AT420" s="22" t="str">
        <f t="shared" si="3"/>
        <v>BR_IMC_DSY_LANCH_ND_NC_2020Q3AUG_NVS_Nivus-Launch-Consideracao</v>
      </c>
      <c r="AU420" s="22" t="str">
        <f t="shared" si="4"/>
        <v>#N/A</v>
      </c>
      <c r="AV420" s="22" t="s">
        <v>106</v>
      </c>
      <c r="AW4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0" s="22" t="str">
        <f t="shared" si="5"/>
        <v>BR_IMC_DSY_LANCH_ND_NC_2020Q3AUG_NVS_Nivus-Launch-Consideracao</v>
      </c>
      <c r="AY420" s="28" t="str">
        <f t="shared" si="6"/>
        <v>#N/A</v>
      </c>
      <c r="AZ420" s="22" t="s">
        <v>107</v>
      </c>
      <c r="BA420" s="22" t="s">
        <v>108</v>
      </c>
      <c r="BB420" s="31" t="s">
        <v>109</v>
      </c>
      <c r="BC420" s="31" t="s">
        <v>109</v>
      </c>
      <c r="BD420" s="32" t="str">
        <f t="shared" si="8"/>
        <v>nvl-nvs-imc-dsy-0820-10414</v>
      </c>
      <c r="BE420" s="33"/>
      <c r="BF420" s="33"/>
      <c r="BG420" s="39" t="str">
        <f>URL&amp;IF(ISNUMBER(FIND("?",URL)),"&amp;","?"&amp;("adlid="&amp;Unique_ID&amp;"&amp;adplt="&amp;Placement))</f>
        <v>#N/A</v>
      </c>
      <c r="BH420" s="1"/>
      <c r="BI420" s="1"/>
      <c r="BJ420" s="35" t="str">
        <f>LOWER("alp"&amp;"_"&amp;"vw"&amp;"_"&amp;Veiculo&amp;"_"&amp;C416&amp;"_"&amp;Objetivo)</f>
        <v>alp_vw___</v>
      </c>
      <c r="BK420" s="35" t="str">
        <f>LOWER(Buying_Metric&amp;"_"&amp;VLOOKUP(Buying_Type,Buy_type,2,FALSE)&amp;"_"&amp;Device&amp;"_"&amp;Size&amp;"_"&amp;Segmentação&amp;"_"&amp;Segmentação_Anúncio)</f>
        <v>#N/A</v>
      </c>
      <c r="BL420" s="35" t="str">
        <f>LOWER(Campanha_ou_InsertionOrder&amp;"_"&amp;LineItem_ou_Grupodeanúncio&amp;"_"&amp;Linha_criativa_2&amp;"_"&amp;Unique_ID)</f>
        <v>#N/A</v>
      </c>
      <c r="BM420" s="27"/>
      <c r="BN420" s="27"/>
    </row>
    <row r="421">
      <c r="A421" s="1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8" t="str">
        <f>LOWER(Campanha_ou_InsertionOrder&amp;"_"&amp;LineItem_ou_Grupodeanúncio&amp;"_"&amp;Linha_Criativa&amp;"_"&amp;Unique_ID)</f>
        <v>#N/A</v>
      </c>
      <c r="AN421" s="28" t="str">
        <f>LOWER(Campanha_ou_InsertionOrder&amp;"_"&amp;LineItem_ou_Grupodeanúncio&amp;"_"&amp;Linha_Criativa&amp;"_"&amp;Unique_ID)</f>
        <v>#N/A</v>
      </c>
      <c r="AO421" s="28" t="str">
        <f>LOWER("VW"&amp;"_"&amp;Model_Variant&amp;"_"&amp;Size&amp;"_"&amp;Linha_Criativa&amp;"_"&amp;IF(Servido_Por="portal",Veiculo,"adserver"))</f>
        <v>vw____adserver</v>
      </c>
      <c r="AP4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1" s="22" t="str">
        <f t="shared" si="1"/>
        <v/>
      </c>
      <c r="AS421" s="22" t="str">
        <f t="shared" si="2"/>
        <v/>
      </c>
      <c r="AT421" s="22" t="str">
        <f t="shared" si="3"/>
        <v>BR_IMC_DSY_LANCH_ND_NC_2020Q3AUG_NVS_Nivus-Launch-Consideracao</v>
      </c>
      <c r="AU421" s="22" t="str">
        <f t="shared" si="4"/>
        <v>#N/A</v>
      </c>
      <c r="AV421" s="22" t="s">
        <v>106</v>
      </c>
      <c r="AW4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1" s="22" t="str">
        <f t="shared" si="5"/>
        <v>BR_IMC_DSY_LANCH_ND_NC_2020Q3AUG_NVS_Nivus-Launch-Consideracao</v>
      </c>
      <c r="AY421" s="28" t="str">
        <f t="shared" si="6"/>
        <v>#N/A</v>
      </c>
      <c r="AZ421" s="22" t="s">
        <v>107</v>
      </c>
      <c r="BA421" s="22" t="s">
        <v>108</v>
      </c>
      <c r="BB421" s="31" t="s">
        <v>109</v>
      </c>
      <c r="BC421" s="31" t="s">
        <v>109</v>
      </c>
      <c r="BD421" s="32" t="str">
        <f t="shared" si="8"/>
        <v>nvl-nvs-imc-dsy-0820-10415</v>
      </c>
      <c r="BE421" s="33"/>
      <c r="BF421" s="33"/>
      <c r="BG421" s="39" t="str">
        <f>URL&amp;IF(ISNUMBER(FIND("?",URL)),"&amp;","?"&amp;("adlid="&amp;Unique_ID&amp;"&amp;adplt="&amp;Placement))</f>
        <v>#N/A</v>
      </c>
      <c r="BH421" s="1"/>
      <c r="BI421" s="1"/>
      <c r="BJ421" s="35" t="str">
        <f>LOWER("alp"&amp;"_"&amp;"vw"&amp;"_"&amp;Veiculo&amp;"_"&amp;C417&amp;"_"&amp;Objetivo)</f>
        <v>alp_vw___</v>
      </c>
      <c r="BK421" s="35" t="str">
        <f>LOWER(Buying_Metric&amp;"_"&amp;VLOOKUP(Buying_Type,Buy_type,2,FALSE)&amp;"_"&amp;Device&amp;"_"&amp;Size&amp;"_"&amp;Segmentação&amp;"_"&amp;Segmentação_Anúncio)</f>
        <v>#N/A</v>
      </c>
      <c r="BL421" s="35" t="str">
        <f>LOWER(Campanha_ou_InsertionOrder&amp;"_"&amp;LineItem_ou_Grupodeanúncio&amp;"_"&amp;Linha_criativa_2&amp;"_"&amp;Unique_ID)</f>
        <v>#N/A</v>
      </c>
      <c r="BM421" s="27"/>
      <c r="BN421" s="27"/>
    </row>
    <row r="422">
      <c r="A422" s="1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8" t="str">
        <f>LOWER(Campanha_ou_InsertionOrder&amp;"_"&amp;LineItem_ou_Grupodeanúncio&amp;"_"&amp;Linha_Criativa&amp;"_"&amp;Unique_ID)</f>
        <v>#N/A</v>
      </c>
      <c r="AN422" s="28" t="str">
        <f>LOWER(Campanha_ou_InsertionOrder&amp;"_"&amp;LineItem_ou_Grupodeanúncio&amp;"_"&amp;Linha_Criativa&amp;"_"&amp;Unique_ID)</f>
        <v>#N/A</v>
      </c>
      <c r="AO422" s="28" t="str">
        <f>LOWER("VW"&amp;"_"&amp;Model_Variant&amp;"_"&amp;Size&amp;"_"&amp;Linha_Criativa&amp;"_"&amp;IF(Servido_Por="portal",Veiculo,"adserver"))</f>
        <v>vw____adserver</v>
      </c>
      <c r="AP4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2" s="22" t="str">
        <f t="shared" si="1"/>
        <v/>
      </c>
      <c r="AS422" s="22" t="str">
        <f t="shared" si="2"/>
        <v/>
      </c>
      <c r="AT422" s="22" t="str">
        <f t="shared" si="3"/>
        <v>BR_IMC_DSY_LANCH_ND_NC_2020Q3AUG_NVS_Nivus-Launch-Consideracao</v>
      </c>
      <c r="AU422" s="22" t="str">
        <f t="shared" si="4"/>
        <v>#N/A</v>
      </c>
      <c r="AV422" s="22" t="s">
        <v>106</v>
      </c>
      <c r="AW4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2" s="22" t="str">
        <f t="shared" si="5"/>
        <v>BR_IMC_DSY_LANCH_ND_NC_2020Q3AUG_NVS_Nivus-Launch-Consideracao</v>
      </c>
      <c r="AY422" s="28" t="str">
        <f t="shared" si="6"/>
        <v>#N/A</v>
      </c>
      <c r="AZ422" s="22" t="s">
        <v>107</v>
      </c>
      <c r="BA422" s="22" t="s">
        <v>108</v>
      </c>
      <c r="BB422" s="31" t="s">
        <v>109</v>
      </c>
      <c r="BC422" s="31" t="s">
        <v>109</v>
      </c>
      <c r="BD422" s="32" t="str">
        <f t="shared" si="8"/>
        <v>nvl-nvs-imc-dsy-0820-10416</v>
      </c>
      <c r="BE422" s="33"/>
      <c r="BF422" s="33"/>
      <c r="BG422" s="39" t="str">
        <f>URL&amp;IF(ISNUMBER(FIND("?",URL)),"&amp;","?"&amp;("adlid="&amp;Unique_ID&amp;"&amp;adplt="&amp;Placement))</f>
        <v>#N/A</v>
      </c>
      <c r="BH422" s="1"/>
      <c r="BI422" s="1"/>
      <c r="BJ422" s="35" t="str">
        <f>LOWER("alp"&amp;"_"&amp;"vw"&amp;"_"&amp;Veiculo&amp;"_"&amp;C418&amp;"_"&amp;Objetivo)</f>
        <v>alp_vw___</v>
      </c>
      <c r="BK422" s="35" t="str">
        <f>LOWER(Buying_Metric&amp;"_"&amp;VLOOKUP(Buying_Type,Buy_type,2,FALSE)&amp;"_"&amp;Device&amp;"_"&amp;Size&amp;"_"&amp;Segmentação&amp;"_"&amp;Segmentação_Anúncio)</f>
        <v>#N/A</v>
      </c>
      <c r="BL422" s="35" t="str">
        <f>LOWER(Campanha_ou_InsertionOrder&amp;"_"&amp;LineItem_ou_Grupodeanúncio&amp;"_"&amp;Linha_criativa_2&amp;"_"&amp;Unique_ID)</f>
        <v>#N/A</v>
      </c>
      <c r="BM422" s="27"/>
      <c r="BN422" s="27"/>
    </row>
    <row r="423">
      <c r="A423" s="1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8" t="str">
        <f>LOWER(Campanha_ou_InsertionOrder&amp;"_"&amp;LineItem_ou_Grupodeanúncio&amp;"_"&amp;Linha_Criativa&amp;"_"&amp;Unique_ID)</f>
        <v>#N/A</v>
      </c>
      <c r="AN423" s="28" t="str">
        <f>LOWER(Campanha_ou_InsertionOrder&amp;"_"&amp;LineItem_ou_Grupodeanúncio&amp;"_"&amp;Linha_Criativa&amp;"_"&amp;Unique_ID)</f>
        <v>#N/A</v>
      </c>
      <c r="AO423" s="28" t="str">
        <f>LOWER("VW"&amp;"_"&amp;Model_Variant&amp;"_"&amp;Size&amp;"_"&amp;Linha_Criativa&amp;"_"&amp;IF(Servido_Por="portal",Veiculo,"adserver"))</f>
        <v>vw____adserver</v>
      </c>
      <c r="AP4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3" s="22" t="str">
        <f t="shared" si="1"/>
        <v/>
      </c>
      <c r="AS423" s="22" t="str">
        <f t="shared" si="2"/>
        <v/>
      </c>
      <c r="AT423" s="22" t="str">
        <f t="shared" si="3"/>
        <v>BR_IMC_DSY_LANCH_ND_NC_2020Q3AUG_NVS_Nivus-Launch-Consideracao</v>
      </c>
      <c r="AU423" s="22" t="str">
        <f t="shared" si="4"/>
        <v>#N/A</v>
      </c>
      <c r="AV423" s="22" t="s">
        <v>106</v>
      </c>
      <c r="AW4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3" s="22" t="str">
        <f t="shared" si="5"/>
        <v>BR_IMC_DSY_LANCH_ND_NC_2020Q3AUG_NVS_Nivus-Launch-Consideracao</v>
      </c>
      <c r="AY423" s="28" t="str">
        <f t="shared" si="6"/>
        <v>#N/A</v>
      </c>
      <c r="AZ423" s="22" t="s">
        <v>107</v>
      </c>
      <c r="BA423" s="22" t="s">
        <v>108</v>
      </c>
      <c r="BB423" s="31" t="s">
        <v>109</v>
      </c>
      <c r="BC423" s="31" t="s">
        <v>109</v>
      </c>
      <c r="BD423" s="32" t="str">
        <f t="shared" si="8"/>
        <v>nvl-nvs-imc-dsy-0820-10417</v>
      </c>
      <c r="BE423" s="33"/>
      <c r="BF423" s="33"/>
      <c r="BG423" s="39" t="str">
        <f>URL&amp;IF(ISNUMBER(FIND("?",URL)),"&amp;","?"&amp;("adlid="&amp;Unique_ID&amp;"&amp;adplt="&amp;Placement))</f>
        <v>#N/A</v>
      </c>
      <c r="BH423" s="1"/>
      <c r="BI423" s="1"/>
      <c r="BJ423" s="35" t="str">
        <f>LOWER("alp"&amp;"_"&amp;"vw"&amp;"_"&amp;Veiculo&amp;"_"&amp;C419&amp;"_"&amp;Objetivo)</f>
        <v>alp_vw___</v>
      </c>
      <c r="BK423" s="35" t="str">
        <f>LOWER(Buying_Metric&amp;"_"&amp;VLOOKUP(Buying_Type,Buy_type,2,FALSE)&amp;"_"&amp;Device&amp;"_"&amp;Size&amp;"_"&amp;Segmentação&amp;"_"&amp;Segmentação_Anúncio)</f>
        <v>#N/A</v>
      </c>
      <c r="BL423" s="35" t="str">
        <f>LOWER(Campanha_ou_InsertionOrder&amp;"_"&amp;LineItem_ou_Grupodeanúncio&amp;"_"&amp;Linha_criativa_2&amp;"_"&amp;Unique_ID)</f>
        <v>#N/A</v>
      </c>
      <c r="BM423" s="27"/>
      <c r="BN423" s="27"/>
    </row>
    <row r="424">
      <c r="A424" s="1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8" t="str">
        <f>LOWER(Campanha_ou_InsertionOrder&amp;"_"&amp;LineItem_ou_Grupodeanúncio&amp;"_"&amp;Linha_Criativa&amp;"_"&amp;Unique_ID)</f>
        <v>#N/A</v>
      </c>
      <c r="AN424" s="28" t="str">
        <f>LOWER(Campanha_ou_InsertionOrder&amp;"_"&amp;LineItem_ou_Grupodeanúncio&amp;"_"&amp;Linha_Criativa&amp;"_"&amp;Unique_ID)</f>
        <v>#N/A</v>
      </c>
      <c r="AO424" s="28" t="str">
        <f>LOWER("VW"&amp;"_"&amp;Model_Variant&amp;"_"&amp;Size&amp;"_"&amp;Linha_Criativa&amp;"_"&amp;IF(Servido_Por="portal",Veiculo,"adserver"))</f>
        <v>vw____adserver</v>
      </c>
      <c r="AP4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4" s="22" t="str">
        <f t="shared" si="1"/>
        <v/>
      </c>
      <c r="AS424" s="22" t="str">
        <f t="shared" si="2"/>
        <v/>
      </c>
      <c r="AT424" s="22" t="str">
        <f t="shared" si="3"/>
        <v>BR_IMC_DSY_LANCH_ND_NC_2020Q3AUG_NVS_Nivus-Launch-Consideracao</v>
      </c>
      <c r="AU424" s="22" t="str">
        <f t="shared" si="4"/>
        <v>#N/A</v>
      </c>
      <c r="AV424" s="22" t="s">
        <v>106</v>
      </c>
      <c r="AW4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4" s="22" t="str">
        <f t="shared" si="5"/>
        <v>BR_IMC_DSY_LANCH_ND_NC_2020Q3AUG_NVS_Nivus-Launch-Consideracao</v>
      </c>
      <c r="AY424" s="28" t="str">
        <f t="shared" si="6"/>
        <v>#N/A</v>
      </c>
      <c r="AZ424" s="22" t="s">
        <v>107</v>
      </c>
      <c r="BA424" s="22" t="s">
        <v>108</v>
      </c>
      <c r="BB424" s="31" t="s">
        <v>109</v>
      </c>
      <c r="BC424" s="31" t="s">
        <v>109</v>
      </c>
      <c r="BD424" s="32" t="str">
        <f t="shared" si="8"/>
        <v>nvl-nvs-imc-dsy-0820-10418</v>
      </c>
      <c r="BE424" s="33"/>
      <c r="BF424" s="33"/>
      <c r="BG424" s="39" t="str">
        <f>URL&amp;IF(ISNUMBER(FIND("?",URL)),"&amp;","?"&amp;("adlid="&amp;Unique_ID&amp;"&amp;adplt="&amp;Placement))</f>
        <v>#N/A</v>
      </c>
      <c r="BH424" s="1"/>
      <c r="BI424" s="1"/>
      <c r="BJ424" s="35" t="str">
        <f>LOWER("alp"&amp;"_"&amp;"vw"&amp;"_"&amp;Veiculo&amp;"_"&amp;C420&amp;"_"&amp;Objetivo)</f>
        <v>alp_vw___</v>
      </c>
      <c r="BK424" s="35" t="str">
        <f>LOWER(Buying_Metric&amp;"_"&amp;VLOOKUP(Buying_Type,Buy_type,2,FALSE)&amp;"_"&amp;Device&amp;"_"&amp;Size&amp;"_"&amp;Segmentação&amp;"_"&amp;Segmentação_Anúncio)</f>
        <v>#N/A</v>
      </c>
      <c r="BL424" s="35" t="str">
        <f>LOWER(Campanha_ou_InsertionOrder&amp;"_"&amp;LineItem_ou_Grupodeanúncio&amp;"_"&amp;Linha_criativa_2&amp;"_"&amp;Unique_ID)</f>
        <v>#N/A</v>
      </c>
      <c r="BM424" s="27"/>
      <c r="BN424" s="27"/>
    </row>
    <row r="425">
      <c r="A425" s="1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8" t="str">
        <f>LOWER(Campanha_ou_InsertionOrder&amp;"_"&amp;LineItem_ou_Grupodeanúncio&amp;"_"&amp;Linha_Criativa&amp;"_"&amp;Unique_ID)</f>
        <v>#N/A</v>
      </c>
      <c r="AN425" s="28" t="str">
        <f>LOWER(Campanha_ou_InsertionOrder&amp;"_"&amp;LineItem_ou_Grupodeanúncio&amp;"_"&amp;Linha_Criativa&amp;"_"&amp;Unique_ID)</f>
        <v>#N/A</v>
      </c>
      <c r="AO425" s="28" t="str">
        <f>LOWER("VW"&amp;"_"&amp;Model_Variant&amp;"_"&amp;Size&amp;"_"&amp;Linha_Criativa&amp;"_"&amp;IF(Servido_Por="portal",Veiculo,"adserver"))</f>
        <v>vw____adserver</v>
      </c>
      <c r="AP4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5" s="22" t="str">
        <f t="shared" si="1"/>
        <v/>
      </c>
      <c r="AS425" s="22" t="str">
        <f t="shared" si="2"/>
        <v/>
      </c>
      <c r="AT425" s="22" t="str">
        <f t="shared" si="3"/>
        <v>BR_IMC_DSY_LANCH_ND_NC_2020Q3AUG_NVS_Nivus-Launch-Consideracao</v>
      </c>
      <c r="AU425" s="22" t="str">
        <f t="shared" si="4"/>
        <v>#N/A</v>
      </c>
      <c r="AV425" s="22" t="s">
        <v>106</v>
      </c>
      <c r="AW4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5" s="22" t="str">
        <f t="shared" si="5"/>
        <v>BR_IMC_DSY_LANCH_ND_NC_2020Q3AUG_NVS_Nivus-Launch-Consideracao</v>
      </c>
      <c r="AY425" s="28" t="str">
        <f t="shared" si="6"/>
        <v>#N/A</v>
      </c>
      <c r="AZ425" s="22" t="s">
        <v>107</v>
      </c>
      <c r="BA425" s="22" t="s">
        <v>108</v>
      </c>
      <c r="BB425" s="31" t="s">
        <v>109</v>
      </c>
      <c r="BC425" s="31" t="s">
        <v>109</v>
      </c>
      <c r="BD425" s="32" t="str">
        <f t="shared" si="8"/>
        <v>nvl-nvs-imc-dsy-0820-10419</v>
      </c>
      <c r="BE425" s="33"/>
      <c r="BF425" s="33"/>
      <c r="BG425" s="39" t="str">
        <f>URL&amp;IF(ISNUMBER(FIND("?",URL)),"&amp;","?"&amp;("adlid="&amp;Unique_ID&amp;"&amp;adplt="&amp;Placement))</f>
        <v>#N/A</v>
      </c>
      <c r="BH425" s="1"/>
      <c r="BI425" s="1"/>
      <c r="BJ425" s="35" t="str">
        <f>LOWER("alp"&amp;"_"&amp;"vw"&amp;"_"&amp;Veiculo&amp;"_"&amp;C421&amp;"_"&amp;Objetivo)</f>
        <v>alp_vw___</v>
      </c>
      <c r="BK425" s="35" t="str">
        <f>LOWER(Buying_Metric&amp;"_"&amp;VLOOKUP(Buying_Type,Buy_type,2,FALSE)&amp;"_"&amp;Device&amp;"_"&amp;Size&amp;"_"&amp;Segmentação&amp;"_"&amp;Segmentação_Anúncio)</f>
        <v>#N/A</v>
      </c>
      <c r="BL425" s="35" t="str">
        <f>LOWER(Campanha_ou_InsertionOrder&amp;"_"&amp;LineItem_ou_Grupodeanúncio&amp;"_"&amp;Linha_criativa_2&amp;"_"&amp;Unique_ID)</f>
        <v>#N/A</v>
      </c>
      <c r="BM425" s="27"/>
      <c r="BN425" s="27"/>
    </row>
    <row r="426">
      <c r="A426" s="1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8" t="str">
        <f>LOWER(Campanha_ou_InsertionOrder&amp;"_"&amp;LineItem_ou_Grupodeanúncio&amp;"_"&amp;Linha_Criativa&amp;"_"&amp;Unique_ID)</f>
        <v>#N/A</v>
      </c>
      <c r="AN426" s="28" t="str">
        <f>LOWER(Campanha_ou_InsertionOrder&amp;"_"&amp;LineItem_ou_Grupodeanúncio&amp;"_"&amp;Linha_Criativa&amp;"_"&amp;Unique_ID)</f>
        <v>#N/A</v>
      </c>
      <c r="AO426" s="28" t="str">
        <f>LOWER("VW"&amp;"_"&amp;Model_Variant&amp;"_"&amp;Size&amp;"_"&amp;Linha_Criativa&amp;"_"&amp;IF(Servido_Por="portal",Veiculo,"adserver"))</f>
        <v>vw____adserver</v>
      </c>
      <c r="AP4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6" s="22" t="str">
        <f t="shared" si="1"/>
        <v/>
      </c>
      <c r="AS426" s="22" t="str">
        <f t="shared" si="2"/>
        <v/>
      </c>
      <c r="AT426" s="22" t="str">
        <f t="shared" si="3"/>
        <v>BR_IMC_DSY_LANCH_ND_NC_2020Q3AUG_NVS_Nivus-Launch-Consideracao</v>
      </c>
      <c r="AU426" s="22" t="str">
        <f t="shared" si="4"/>
        <v>#N/A</v>
      </c>
      <c r="AV426" s="22" t="s">
        <v>106</v>
      </c>
      <c r="AW4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6" s="22" t="str">
        <f t="shared" si="5"/>
        <v>BR_IMC_DSY_LANCH_ND_NC_2020Q3AUG_NVS_Nivus-Launch-Consideracao</v>
      </c>
      <c r="AY426" s="28" t="str">
        <f t="shared" si="6"/>
        <v>#N/A</v>
      </c>
      <c r="AZ426" s="22" t="s">
        <v>107</v>
      </c>
      <c r="BA426" s="22" t="s">
        <v>108</v>
      </c>
      <c r="BB426" s="31" t="s">
        <v>109</v>
      </c>
      <c r="BC426" s="31" t="s">
        <v>109</v>
      </c>
      <c r="BD426" s="32" t="str">
        <f t="shared" si="8"/>
        <v>nvl-nvs-imc-dsy-0820-10420</v>
      </c>
      <c r="BE426" s="33"/>
      <c r="BF426" s="33"/>
      <c r="BG426" s="39" t="str">
        <f>URL&amp;IF(ISNUMBER(FIND("?",URL)),"&amp;","?"&amp;("adlid="&amp;Unique_ID&amp;"&amp;adplt="&amp;Placement))</f>
        <v>#N/A</v>
      </c>
      <c r="BH426" s="1"/>
      <c r="BI426" s="1"/>
      <c r="BJ426" s="35" t="str">
        <f>LOWER("alp"&amp;"_"&amp;"vw"&amp;"_"&amp;Veiculo&amp;"_"&amp;C422&amp;"_"&amp;Objetivo)</f>
        <v>alp_vw___</v>
      </c>
      <c r="BK426" s="35" t="str">
        <f>LOWER(Buying_Metric&amp;"_"&amp;VLOOKUP(Buying_Type,Buy_type,2,FALSE)&amp;"_"&amp;Device&amp;"_"&amp;Size&amp;"_"&amp;Segmentação&amp;"_"&amp;Segmentação_Anúncio)</f>
        <v>#N/A</v>
      </c>
      <c r="BL426" s="35" t="str">
        <f>LOWER(Campanha_ou_InsertionOrder&amp;"_"&amp;LineItem_ou_Grupodeanúncio&amp;"_"&amp;Linha_criativa_2&amp;"_"&amp;Unique_ID)</f>
        <v>#N/A</v>
      </c>
      <c r="BM426" s="27"/>
      <c r="BN426" s="27"/>
    </row>
    <row r="427">
      <c r="A427" s="1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8" t="str">
        <f>LOWER(Campanha_ou_InsertionOrder&amp;"_"&amp;LineItem_ou_Grupodeanúncio&amp;"_"&amp;Linha_Criativa&amp;"_"&amp;Unique_ID)</f>
        <v>#N/A</v>
      </c>
      <c r="AN427" s="28" t="str">
        <f>LOWER(Campanha_ou_InsertionOrder&amp;"_"&amp;LineItem_ou_Grupodeanúncio&amp;"_"&amp;Linha_Criativa&amp;"_"&amp;Unique_ID)</f>
        <v>#N/A</v>
      </c>
      <c r="AO427" s="28" t="str">
        <f>LOWER("VW"&amp;"_"&amp;Model_Variant&amp;"_"&amp;Size&amp;"_"&amp;Linha_Criativa&amp;"_"&amp;IF(Servido_Por="portal",Veiculo,"adserver"))</f>
        <v>vw____adserver</v>
      </c>
      <c r="AP4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7" s="22" t="str">
        <f t="shared" si="1"/>
        <v/>
      </c>
      <c r="AS427" s="22" t="str">
        <f t="shared" si="2"/>
        <v/>
      </c>
      <c r="AT427" s="22" t="str">
        <f t="shared" si="3"/>
        <v>BR_IMC_DSY_LANCH_ND_NC_2020Q3AUG_NVS_Nivus-Launch-Consideracao</v>
      </c>
      <c r="AU427" s="22" t="str">
        <f t="shared" si="4"/>
        <v>#N/A</v>
      </c>
      <c r="AV427" s="22" t="s">
        <v>106</v>
      </c>
      <c r="AW4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7" s="22" t="str">
        <f t="shared" si="5"/>
        <v>BR_IMC_DSY_LANCH_ND_NC_2020Q3AUG_NVS_Nivus-Launch-Consideracao</v>
      </c>
      <c r="AY427" s="28" t="str">
        <f t="shared" si="6"/>
        <v>#N/A</v>
      </c>
      <c r="AZ427" s="22" t="s">
        <v>107</v>
      </c>
      <c r="BA427" s="22" t="s">
        <v>108</v>
      </c>
      <c r="BB427" s="31" t="s">
        <v>109</v>
      </c>
      <c r="BC427" s="31" t="s">
        <v>109</v>
      </c>
      <c r="BD427" s="32" t="str">
        <f t="shared" si="8"/>
        <v>nvl-nvs-imc-dsy-0820-10421</v>
      </c>
      <c r="BE427" s="33"/>
      <c r="BF427" s="33"/>
      <c r="BG427" s="39" t="str">
        <f>URL&amp;IF(ISNUMBER(FIND("?",URL)),"&amp;","?"&amp;("adlid="&amp;Unique_ID&amp;"&amp;adplt="&amp;Placement))</f>
        <v>#N/A</v>
      </c>
      <c r="BH427" s="1"/>
      <c r="BI427" s="1"/>
      <c r="BJ427" s="35" t="str">
        <f>LOWER("alp"&amp;"_"&amp;"vw"&amp;"_"&amp;Veiculo&amp;"_"&amp;C423&amp;"_"&amp;Objetivo)</f>
        <v>alp_vw___</v>
      </c>
      <c r="BK427" s="35" t="str">
        <f>LOWER(Buying_Metric&amp;"_"&amp;VLOOKUP(Buying_Type,Buy_type,2,FALSE)&amp;"_"&amp;Device&amp;"_"&amp;Size&amp;"_"&amp;Segmentação&amp;"_"&amp;Segmentação_Anúncio)</f>
        <v>#N/A</v>
      </c>
      <c r="BL427" s="35" t="str">
        <f>LOWER(Campanha_ou_InsertionOrder&amp;"_"&amp;LineItem_ou_Grupodeanúncio&amp;"_"&amp;Linha_criativa_2&amp;"_"&amp;Unique_ID)</f>
        <v>#N/A</v>
      </c>
      <c r="BM427" s="27"/>
      <c r="BN427" s="27"/>
    </row>
    <row r="428">
      <c r="A428" s="1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8" t="str">
        <f>LOWER(Campanha_ou_InsertionOrder&amp;"_"&amp;LineItem_ou_Grupodeanúncio&amp;"_"&amp;Linha_Criativa&amp;"_"&amp;Unique_ID)</f>
        <v>#N/A</v>
      </c>
      <c r="AN428" s="28" t="str">
        <f>LOWER(Campanha_ou_InsertionOrder&amp;"_"&amp;LineItem_ou_Grupodeanúncio&amp;"_"&amp;Linha_Criativa&amp;"_"&amp;Unique_ID)</f>
        <v>#N/A</v>
      </c>
      <c r="AO428" s="28" t="str">
        <f>LOWER("VW"&amp;"_"&amp;Model_Variant&amp;"_"&amp;Size&amp;"_"&amp;Linha_Criativa&amp;"_"&amp;IF(Servido_Por="portal",Veiculo,"adserver"))</f>
        <v>vw____adserver</v>
      </c>
      <c r="AP4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8" s="22" t="str">
        <f t="shared" si="1"/>
        <v/>
      </c>
      <c r="AS428" s="22" t="str">
        <f t="shared" si="2"/>
        <v/>
      </c>
      <c r="AT428" s="22" t="str">
        <f t="shared" si="3"/>
        <v>BR_IMC_DSY_LANCH_ND_NC_2020Q3AUG_NVS_Nivus-Launch-Consideracao</v>
      </c>
      <c r="AU428" s="22" t="str">
        <f t="shared" si="4"/>
        <v>#N/A</v>
      </c>
      <c r="AV428" s="22" t="s">
        <v>106</v>
      </c>
      <c r="AW4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8" s="22" t="str">
        <f t="shared" si="5"/>
        <v>BR_IMC_DSY_LANCH_ND_NC_2020Q3AUG_NVS_Nivus-Launch-Consideracao</v>
      </c>
      <c r="AY428" s="28" t="str">
        <f t="shared" si="6"/>
        <v>#N/A</v>
      </c>
      <c r="AZ428" s="22" t="s">
        <v>107</v>
      </c>
      <c r="BA428" s="22" t="s">
        <v>108</v>
      </c>
      <c r="BB428" s="31" t="s">
        <v>109</v>
      </c>
      <c r="BC428" s="31" t="s">
        <v>109</v>
      </c>
      <c r="BD428" s="32" t="str">
        <f t="shared" si="8"/>
        <v>nvl-nvs-imc-dsy-0820-10422</v>
      </c>
      <c r="BE428" s="33"/>
      <c r="BF428" s="33"/>
      <c r="BG428" s="39" t="str">
        <f>URL&amp;IF(ISNUMBER(FIND("?",URL)),"&amp;","?"&amp;("adlid="&amp;Unique_ID&amp;"&amp;adplt="&amp;Placement))</f>
        <v>#N/A</v>
      </c>
      <c r="BH428" s="1"/>
      <c r="BI428" s="1"/>
      <c r="BJ428" s="35" t="str">
        <f>LOWER("alp"&amp;"_"&amp;"vw"&amp;"_"&amp;Veiculo&amp;"_"&amp;C424&amp;"_"&amp;Objetivo)</f>
        <v>alp_vw___</v>
      </c>
      <c r="BK428" s="35" t="str">
        <f>LOWER(Buying_Metric&amp;"_"&amp;VLOOKUP(Buying_Type,Buy_type,2,FALSE)&amp;"_"&amp;Device&amp;"_"&amp;Size&amp;"_"&amp;Segmentação&amp;"_"&amp;Segmentação_Anúncio)</f>
        <v>#N/A</v>
      </c>
      <c r="BL428" s="35" t="str">
        <f>LOWER(Campanha_ou_InsertionOrder&amp;"_"&amp;LineItem_ou_Grupodeanúncio&amp;"_"&amp;Linha_criativa_2&amp;"_"&amp;Unique_ID)</f>
        <v>#N/A</v>
      </c>
      <c r="BM428" s="27"/>
      <c r="BN428" s="27"/>
    </row>
    <row r="429">
      <c r="A429" s="1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8" t="str">
        <f>LOWER(Campanha_ou_InsertionOrder&amp;"_"&amp;LineItem_ou_Grupodeanúncio&amp;"_"&amp;Linha_Criativa&amp;"_"&amp;Unique_ID)</f>
        <v>#N/A</v>
      </c>
      <c r="AN429" s="28" t="str">
        <f>LOWER(Campanha_ou_InsertionOrder&amp;"_"&amp;LineItem_ou_Grupodeanúncio&amp;"_"&amp;Linha_Criativa&amp;"_"&amp;Unique_ID)</f>
        <v>#N/A</v>
      </c>
      <c r="AO429" s="28" t="str">
        <f>LOWER("VW"&amp;"_"&amp;Model_Variant&amp;"_"&amp;Size&amp;"_"&amp;Linha_Criativa&amp;"_"&amp;IF(Servido_Por="portal",Veiculo,"adserver"))</f>
        <v>vw____adserver</v>
      </c>
      <c r="AP4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29" s="22" t="str">
        <f t="shared" si="1"/>
        <v/>
      </c>
      <c r="AS429" s="22" t="str">
        <f t="shared" si="2"/>
        <v/>
      </c>
      <c r="AT429" s="22" t="str">
        <f t="shared" si="3"/>
        <v>BR_IMC_DSY_LANCH_ND_NC_2020Q3AUG_NVS_Nivus-Launch-Consideracao</v>
      </c>
      <c r="AU429" s="22" t="str">
        <f t="shared" si="4"/>
        <v>#N/A</v>
      </c>
      <c r="AV429" s="22" t="s">
        <v>106</v>
      </c>
      <c r="AW4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29" s="22" t="str">
        <f t="shared" si="5"/>
        <v>BR_IMC_DSY_LANCH_ND_NC_2020Q3AUG_NVS_Nivus-Launch-Consideracao</v>
      </c>
      <c r="AY429" s="28" t="str">
        <f t="shared" si="6"/>
        <v>#N/A</v>
      </c>
      <c r="AZ429" s="22" t="s">
        <v>107</v>
      </c>
      <c r="BA429" s="22" t="s">
        <v>108</v>
      </c>
      <c r="BB429" s="31" t="s">
        <v>109</v>
      </c>
      <c r="BC429" s="31" t="s">
        <v>109</v>
      </c>
      <c r="BD429" s="32" t="str">
        <f t="shared" si="8"/>
        <v>nvl-nvs-imc-dsy-0820-10423</v>
      </c>
      <c r="BE429" s="33"/>
      <c r="BF429" s="33"/>
      <c r="BG429" s="39" t="str">
        <f>URL&amp;IF(ISNUMBER(FIND("?",URL)),"&amp;","?"&amp;("adlid="&amp;Unique_ID&amp;"&amp;adplt="&amp;Placement))</f>
        <v>#N/A</v>
      </c>
      <c r="BH429" s="1"/>
      <c r="BI429" s="1"/>
      <c r="BJ429" s="35" t="str">
        <f>LOWER("alp"&amp;"_"&amp;"vw"&amp;"_"&amp;Veiculo&amp;"_"&amp;C425&amp;"_"&amp;Objetivo)</f>
        <v>alp_vw___</v>
      </c>
      <c r="BK429" s="35" t="str">
        <f>LOWER(Buying_Metric&amp;"_"&amp;VLOOKUP(Buying_Type,Buy_type,2,FALSE)&amp;"_"&amp;Device&amp;"_"&amp;Size&amp;"_"&amp;Segmentação&amp;"_"&amp;Segmentação_Anúncio)</f>
        <v>#N/A</v>
      </c>
      <c r="BL429" s="35" t="str">
        <f>LOWER(Campanha_ou_InsertionOrder&amp;"_"&amp;LineItem_ou_Grupodeanúncio&amp;"_"&amp;Linha_criativa_2&amp;"_"&amp;Unique_ID)</f>
        <v>#N/A</v>
      </c>
      <c r="BM429" s="27"/>
      <c r="BN429" s="27"/>
    </row>
    <row r="430">
      <c r="A430" s="1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8" t="str">
        <f>LOWER(Campanha_ou_InsertionOrder&amp;"_"&amp;LineItem_ou_Grupodeanúncio&amp;"_"&amp;Linha_Criativa&amp;"_"&amp;Unique_ID)</f>
        <v>#N/A</v>
      </c>
      <c r="AN430" s="28" t="str">
        <f>LOWER(Campanha_ou_InsertionOrder&amp;"_"&amp;LineItem_ou_Grupodeanúncio&amp;"_"&amp;Linha_Criativa&amp;"_"&amp;Unique_ID)</f>
        <v>#N/A</v>
      </c>
      <c r="AO430" s="28" t="str">
        <f>LOWER("VW"&amp;"_"&amp;Model_Variant&amp;"_"&amp;Size&amp;"_"&amp;Linha_Criativa&amp;"_"&amp;IF(Servido_Por="portal",Veiculo,"adserver"))</f>
        <v>vw____adserver</v>
      </c>
      <c r="AP4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0" s="22" t="str">
        <f t="shared" si="1"/>
        <v/>
      </c>
      <c r="AS430" s="22" t="str">
        <f t="shared" si="2"/>
        <v/>
      </c>
      <c r="AT430" s="22" t="str">
        <f t="shared" si="3"/>
        <v>BR_IMC_DSY_LANCH_ND_NC_2020Q3AUG_NVS_Nivus-Launch-Consideracao</v>
      </c>
      <c r="AU430" s="22" t="str">
        <f t="shared" si="4"/>
        <v>#N/A</v>
      </c>
      <c r="AV430" s="22" t="s">
        <v>106</v>
      </c>
      <c r="AW4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0" s="22" t="str">
        <f t="shared" si="5"/>
        <v>BR_IMC_DSY_LANCH_ND_NC_2020Q3AUG_NVS_Nivus-Launch-Consideracao</v>
      </c>
      <c r="AY430" s="28" t="str">
        <f t="shared" si="6"/>
        <v>#N/A</v>
      </c>
      <c r="AZ430" s="22" t="s">
        <v>107</v>
      </c>
      <c r="BA430" s="22" t="s">
        <v>108</v>
      </c>
      <c r="BB430" s="31" t="s">
        <v>109</v>
      </c>
      <c r="BC430" s="31" t="s">
        <v>109</v>
      </c>
      <c r="BD430" s="32" t="str">
        <f t="shared" si="8"/>
        <v>nvl-nvs-imc-dsy-0820-10424</v>
      </c>
      <c r="BE430" s="33"/>
      <c r="BF430" s="33"/>
      <c r="BG430" s="39" t="str">
        <f>URL&amp;IF(ISNUMBER(FIND("?",URL)),"&amp;","?"&amp;("adlid="&amp;Unique_ID&amp;"&amp;adplt="&amp;Placement))</f>
        <v>#N/A</v>
      </c>
      <c r="BH430" s="1"/>
      <c r="BI430" s="1"/>
      <c r="BJ430" s="35" t="str">
        <f>LOWER("alp"&amp;"_"&amp;"vw"&amp;"_"&amp;Veiculo&amp;"_"&amp;C426&amp;"_"&amp;Objetivo)</f>
        <v>alp_vw___</v>
      </c>
      <c r="BK430" s="35" t="str">
        <f>LOWER(Buying_Metric&amp;"_"&amp;VLOOKUP(Buying_Type,Buy_type,2,FALSE)&amp;"_"&amp;Device&amp;"_"&amp;Size&amp;"_"&amp;Segmentação&amp;"_"&amp;Segmentação_Anúncio)</f>
        <v>#N/A</v>
      </c>
      <c r="BL430" s="35" t="str">
        <f>LOWER(Campanha_ou_InsertionOrder&amp;"_"&amp;LineItem_ou_Grupodeanúncio&amp;"_"&amp;Linha_criativa_2&amp;"_"&amp;Unique_ID)</f>
        <v>#N/A</v>
      </c>
      <c r="BM430" s="27"/>
      <c r="BN430" s="27"/>
    </row>
    <row r="431">
      <c r="A431" s="1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8" t="str">
        <f>LOWER(Campanha_ou_InsertionOrder&amp;"_"&amp;LineItem_ou_Grupodeanúncio&amp;"_"&amp;Linha_Criativa&amp;"_"&amp;Unique_ID)</f>
        <v>#N/A</v>
      </c>
      <c r="AN431" s="28" t="str">
        <f>LOWER(Campanha_ou_InsertionOrder&amp;"_"&amp;LineItem_ou_Grupodeanúncio&amp;"_"&amp;Linha_Criativa&amp;"_"&amp;Unique_ID)</f>
        <v>#N/A</v>
      </c>
      <c r="AO431" s="28" t="str">
        <f>LOWER("VW"&amp;"_"&amp;Model_Variant&amp;"_"&amp;Size&amp;"_"&amp;Linha_Criativa&amp;"_"&amp;IF(Servido_Por="portal",Veiculo,"adserver"))</f>
        <v>vw____adserver</v>
      </c>
      <c r="AP4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1" s="22" t="str">
        <f t="shared" si="1"/>
        <v/>
      </c>
      <c r="AS431" s="22" t="str">
        <f t="shared" si="2"/>
        <v/>
      </c>
      <c r="AT431" s="22" t="str">
        <f t="shared" si="3"/>
        <v>BR_IMC_DSY_LANCH_ND_NC_2020Q3AUG_NVS_Nivus-Launch-Consideracao</v>
      </c>
      <c r="AU431" s="22" t="str">
        <f t="shared" si="4"/>
        <v>#N/A</v>
      </c>
      <c r="AV431" s="22" t="s">
        <v>106</v>
      </c>
      <c r="AW4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1" s="22" t="str">
        <f t="shared" si="5"/>
        <v>BR_IMC_DSY_LANCH_ND_NC_2020Q3AUG_NVS_Nivus-Launch-Consideracao</v>
      </c>
      <c r="AY431" s="28" t="str">
        <f t="shared" si="6"/>
        <v>#N/A</v>
      </c>
      <c r="AZ431" s="22" t="s">
        <v>107</v>
      </c>
      <c r="BA431" s="22" t="s">
        <v>108</v>
      </c>
      <c r="BB431" s="31" t="s">
        <v>109</v>
      </c>
      <c r="BC431" s="31" t="s">
        <v>109</v>
      </c>
      <c r="BD431" s="32" t="str">
        <f t="shared" si="8"/>
        <v>nvl-nvs-imc-dsy-0820-10425</v>
      </c>
      <c r="BE431" s="33"/>
      <c r="BF431" s="33"/>
      <c r="BG431" s="39" t="str">
        <f>URL&amp;IF(ISNUMBER(FIND("?",URL)),"&amp;","?"&amp;("adlid="&amp;Unique_ID&amp;"&amp;adplt="&amp;Placement))</f>
        <v>#N/A</v>
      </c>
      <c r="BH431" s="1"/>
      <c r="BI431" s="1"/>
      <c r="BJ431" s="35" t="str">
        <f>LOWER("alp"&amp;"_"&amp;"vw"&amp;"_"&amp;Veiculo&amp;"_"&amp;C427&amp;"_"&amp;Objetivo)</f>
        <v>alp_vw___</v>
      </c>
      <c r="BK431" s="35" t="str">
        <f>LOWER(Buying_Metric&amp;"_"&amp;VLOOKUP(Buying_Type,Buy_type,2,FALSE)&amp;"_"&amp;Device&amp;"_"&amp;Size&amp;"_"&amp;Segmentação&amp;"_"&amp;Segmentação_Anúncio)</f>
        <v>#N/A</v>
      </c>
      <c r="BL431" s="35" t="str">
        <f>LOWER(Campanha_ou_InsertionOrder&amp;"_"&amp;LineItem_ou_Grupodeanúncio&amp;"_"&amp;Linha_criativa_2&amp;"_"&amp;Unique_ID)</f>
        <v>#N/A</v>
      </c>
      <c r="BM431" s="27"/>
      <c r="BN431" s="27"/>
    </row>
    <row r="432">
      <c r="A432" s="1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8" t="str">
        <f>LOWER(Campanha_ou_InsertionOrder&amp;"_"&amp;LineItem_ou_Grupodeanúncio&amp;"_"&amp;Linha_Criativa&amp;"_"&amp;Unique_ID)</f>
        <v>#N/A</v>
      </c>
      <c r="AN432" s="28" t="str">
        <f>LOWER(Campanha_ou_InsertionOrder&amp;"_"&amp;LineItem_ou_Grupodeanúncio&amp;"_"&amp;Linha_Criativa&amp;"_"&amp;Unique_ID)</f>
        <v>#N/A</v>
      </c>
      <c r="AO432" s="28" t="str">
        <f>LOWER("VW"&amp;"_"&amp;Model_Variant&amp;"_"&amp;Size&amp;"_"&amp;Linha_Criativa&amp;"_"&amp;IF(Servido_Por="portal",Veiculo,"adserver"))</f>
        <v>vw____adserver</v>
      </c>
      <c r="AP4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2" s="22" t="str">
        <f t="shared" si="1"/>
        <v/>
      </c>
      <c r="AS432" s="22" t="str">
        <f t="shared" si="2"/>
        <v/>
      </c>
      <c r="AT432" s="22" t="str">
        <f t="shared" si="3"/>
        <v>BR_IMC_DSY_LANCH_ND_NC_2020Q3AUG_NVS_Nivus-Launch-Consideracao</v>
      </c>
      <c r="AU432" s="22" t="str">
        <f t="shared" si="4"/>
        <v>#N/A</v>
      </c>
      <c r="AV432" s="22" t="s">
        <v>106</v>
      </c>
      <c r="AW4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2" s="22" t="str">
        <f t="shared" si="5"/>
        <v>BR_IMC_DSY_LANCH_ND_NC_2020Q3AUG_NVS_Nivus-Launch-Consideracao</v>
      </c>
      <c r="AY432" s="28" t="str">
        <f t="shared" si="6"/>
        <v>#N/A</v>
      </c>
      <c r="AZ432" s="22" t="s">
        <v>107</v>
      </c>
      <c r="BA432" s="22" t="s">
        <v>108</v>
      </c>
      <c r="BB432" s="31" t="s">
        <v>109</v>
      </c>
      <c r="BC432" s="31" t="s">
        <v>109</v>
      </c>
      <c r="BD432" s="32" t="str">
        <f t="shared" si="8"/>
        <v>nvl-nvs-imc-dsy-0820-10426</v>
      </c>
      <c r="BE432" s="33"/>
      <c r="BF432" s="33"/>
      <c r="BG432" s="39" t="str">
        <f>URL&amp;IF(ISNUMBER(FIND("?",URL)),"&amp;","?"&amp;("adlid="&amp;Unique_ID&amp;"&amp;adplt="&amp;Placement))</f>
        <v>#N/A</v>
      </c>
      <c r="BH432" s="1"/>
      <c r="BI432" s="1"/>
      <c r="BJ432" s="35" t="str">
        <f>LOWER("alp"&amp;"_"&amp;"vw"&amp;"_"&amp;Veiculo&amp;"_"&amp;C428&amp;"_"&amp;Objetivo)</f>
        <v>alp_vw___</v>
      </c>
      <c r="BK432" s="35" t="str">
        <f>LOWER(Buying_Metric&amp;"_"&amp;VLOOKUP(Buying_Type,Buy_type,2,FALSE)&amp;"_"&amp;Device&amp;"_"&amp;Size&amp;"_"&amp;Segmentação&amp;"_"&amp;Segmentação_Anúncio)</f>
        <v>#N/A</v>
      </c>
      <c r="BL432" s="35" t="str">
        <f>LOWER(Campanha_ou_InsertionOrder&amp;"_"&amp;LineItem_ou_Grupodeanúncio&amp;"_"&amp;Linha_criativa_2&amp;"_"&amp;Unique_ID)</f>
        <v>#N/A</v>
      </c>
      <c r="BM432" s="27"/>
      <c r="BN432" s="27"/>
    </row>
    <row r="433">
      <c r="A433" s="1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8" t="str">
        <f>LOWER(Campanha_ou_InsertionOrder&amp;"_"&amp;LineItem_ou_Grupodeanúncio&amp;"_"&amp;Linha_Criativa&amp;"_"&amp;Unique_ID)</f>
        <v>#N/A</v>
      </c>
      <c r="AN433" s="28" t="str">
        <f>LOWER(Campanha_ou_InsertionOrder&amp;"_"&amp;LineItem_ou_Grupodeanúncio&amp;"_"&amp;Linha_Criativa&amp;"_"&amp;Unique_ID)</f>
        <v>#N/A</v>
      </c>
      <c r="AO433" s="28" t="str">
        <f>LOWER("VW"&amp;"_"&amp;Model_Variant&amp;"_"&amp;Size&amp;"_"&amp;Linha_Criativa&amp;"_"&amp;IF(Servido_Por="portal",Veiculo,"adserver"))</f>
        <v>vw____adserver</v>
      </c>
      <c r="AP4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3" s="22" t="str">
        <f t="shared" si="1"/>
        <v/>
      </c>
      <c r="AS433" s="22" t="str">
        <f t="shared" si="2"/>
        <v/>
      </c>
      <c r="AT433" s="22" t="str">
        <f t="shared" si="3"/>
        <v>BR_IMC_DSY_LANCH_ND_NC_2020Q3AUG_NVS_Nivus-Launch-Consideracao</v>
      </c>
      <c r="AU433" s="22" t="str">
        <f t="shared" si="4"/>
        <v>#N/A</v>
      </c>
      <c r="AV433" s="22" t="s">
        <v>106</v>
      </c>
      <c r="AW4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3" s="22" t="str">
        <f t="shared" si="5"/>
        <v>BR_IMC_DSY_LANCH_ND_NC_2020Q3AUG_NVS_Nivus-Launch-Consideracao</v>
      </c>
      <c r="AY433" s="28" t="str">
        <f t="shared" si="6"/>
        <v>#N/A</v>
      </c>
      <c r="AZ433" s="22" t="s">
        <v>107</v>
      </c>
      <c r="BA433" s="22" t="s">
        <v>108</v>
      </c>
      <c r="BB433" s="31" t="s">
        <v>109</v>
      </c>
      <c r="BC433" s="31" t="s">
        <v>109</v>
      </c>
      <c r="BD433" s="32" t="str">
        <f t="shared" si="8"/>
        <v>nvl-nvs-imc-dsy-0820-10427</v>
      </c>
      <c r="BE433" s="33"/>
      <c r="BF433" s="33"/>
      <c r="BG433" s="39" t="str">
        <f>URL&amp;IF(ISNUMBER(FIND("?",URL)),"&amp;","?"&amp;("adlid="&amp;Unique_ID&amp;"&amp;adplt="&amp;Placement))</f>
        <v>#N/A</v>
      </c>
      <c r="BH433" s="1"/>
      <c r="BI433" s="1"/>
      <c r="BJ433" s="35" t="str">
        <f>LOWER("alp"&amp;"_"&amp;"vw"&amp;"_"&amp;Veiculo&amp;"_"&amp;C429&amp;"_"&amp;Objetivo)</f>
        <v>alp_vw___</v>
      </c>
      <c r="BK433" s="35" t="str">
        <f>LOWER(Buying_Metric&amp;"_"&amp;VLOOKUP(Buying_Type,Buy_type,2,FALSE)&amp;"_"&amp;Device&amp;"_"&amp;Size&amp;"_"&amp;Segmentação&amp;"_"&amp;Segmentação_Anúncio)</f>
        <v>#N/A</v>
      </c>
      <c r="BL433" s="35" t="str">
        <f>LOWER(Campanha_ou_InsertionOrder&amp;"_"&amp;LineItem_ou_Grupodeanúncio&amp;"_"&amp;Linha_criativa_2&amp;"_"&amp;Unique_ID)</f>
        <v>#N/A</v>
      </c>
      <c r="BM433" s="27"/>
      <c r="BN433" s="27"/>
    </row>
    <row r="434">
      <c r="A434" s="1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8" t="str">
        <f>LOWER(Campanha_ou_InsertionOrder&amp;"_"&amp;LineItem_ou_Grupodeanúncio&amp;"_"&amp;Linha_Criativa&amp;"_"&amp;Unique_ID)</f>
        <v>#N/A</v>
      </c>
      <c r="AN434" s="28" t="str">
        <f>LOWER(Campanha_ou_InsertionOrder&amp;"_"&amp;LineItem_ou_Grupodeanúncio&amp;"_"&amp;Linha_Criativa&amp;"_"&amp;Unique_ID)</f>
        <v>#N/A</v>
      </c>
      <c r="AO434" s="28" t="str">
        <f>LOWER("VW"&amp;"_"&amp;Model_Variant&amp;"_"&amp;Size&amp;"_"&amp;Linha_Criativa&amp;"_"&amp;IF(Servido_Por="portal",Veiculo,"adserver"))</f>
        <v>vw____adserver</v>
      </c>
      <c r="AP4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4" s="22" t="str">
        <f t="shared" si="1"/>
        <v/>
      </c>
      <c r="AS434" s="22" t="str">
        <f t="shared" si="2"/>
        <v/>
      </c>
      <c r="AT434" s="22" t="str">
        <f t="shared" si="3"/>
        <v>BR_IMC_DSY_LANCH_ND_NC_2020Q3AUG_NVS_Nivus-Launch-Consideracao</v>
      </c>
      <c r="AU434" s="22" t="str">
        <f t="shared" si="4"/>
        <v>#N/A</v>
      </c>
      <c r="AV434" s="22" t="s">
        <v>106</v>
      </c>
      <c r="AW4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4" s="22" t="str">
        <f t="shared" si="5"/>
        <v>BR_IMC_DSY_LANCH_ND_NC_2020Q3AUG_NVS_Nivus-Launch-Consideracao</v>
      </c>
      <c r="AY434" s="28" t="str">
        <f t="shared" si="6"/>
        <v>#N/A</v>
      </c>
      <c r="AZ434" s="22" t="s">
        <v>107</v>
      </c>
      <c r="BA434" s="22" t="s">
        <v>108</v>
      </c>
      <c r="BB434" s="31" t="s">
        <v>109</v>
      </c>
      <c r="BC434" s="31" t="s">
        <v>109</v>
      </c>
      <c r="BD434" s="32" t="str">
        <f t="shared" si="8"/>
        <v>nvl-nvs-imc-dsy-0820-10428</v>
      </c>
      <c r="BE434" s="33"/>
      <c r="BF434" s="33"/>
      <c r="BG434" s="39" t="str">
        <f>URL&amp;IF(ISNUMBER(FIND("?",URL)),"&amp;","?"&amp;("adlid="&amp;Unique_ID&amp;"&amp;adplt="&amp;Placement))</f>
        <v>#N/A</v>
      </c>
      <c r="BH434" s="1"/>
      <c r="BI434" s="1"/>
      <c r="BJ434" s="35" t="str">
        <f>LOWER("alp"&amp;"_"&amp;"vw"&amp;"_"&amp;Veiculo&amp;"_"&amp;C430&amp;"_"&amp;Objetivo)</f>
        <v>alp_vw___</v>
      </c>
      <c r="BK434" s="35" t="str">
        <f>LOWER(Buying_Metric&amp;"_"&amp;VLOOKUP(Buying_Type,Buy_type,2,FALSE)&amp;"_"&amp;Device&amp;"_"&amp;Size&amp;"_"&amp;Segmentação&amp;"_"&amp;Segmentação_Anúncio)</f>
        <v>#N/A</v>
      </c>
      <c r="BL434" s="35" t="str">
        <f>LOWER(Campanha_ou_InsertionOrder&amp;"_"&amp;LineItem_ou_Grupodeanúncio&amp;"_"&amp;Linha_criativa_2&amp;"_"&amp;Unique_ID)</f>
        <v>#N/A</v>
      </c>
      <c r="BM434" s="27"/>
      <c r="BN434" s="27"/>
    </row>
    <row r="435">
      <c r="A435" s="1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8" t="str">
        <f>LOWER(Campanha_ou_InsertionOrder&amp;"_"&amp;LineItem_ou_Grupodeanúncio&amp;"_"&amp;Linha_Criativa&amp;"_"&amp;Unique_ID)</f>
        <v>#N/A</v>
      </c>
      <c r="AN435" s="28" t="str">
        <f>LOWER(Campanha_ou_InsertionOrder&amp;"_"&amp;LineItem_ou_Grupodeanúncio&amp;"_"&amp;Linha_Criativa&amp;"_"&amp;Unique_ID)</f>
        <v>#N/A</v>
      </c>
      <c r="AO435" s="28" t="str">
        <f>LOWER("VW"&amp;"_"&amp;Model_Variant&amp;"_"&amp;Size&amp;"_"&amp;Linha_Criativa&amp;"_"&amp;IF(Servido_Por="portal",Veiculo,"adserver"))</f>
        <v>vw____adserver</v>
      </c>
      <c r="AP4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5" s="22" t="str">
        <f t="shared" si="1"/>
        <v/>
      </c>
      <c r="AS435" s="22" t="str">
        <f t="shared" si="2"/>
        <v/>
      </c>
      <c r="AT435" s="22" t="str">
        <f t="shared" si="3"/>
        <v>BR_IMC_DSY_LANCH_ND_NC_2020Q3AUG_NVS_Nivus-Launch-Consideracao</v>
      </c>
      <c r="AU435" s="22" t="str">
        <f t="shared" si="4"/>
        <v>#N/A</v>
      </c>
      <c r="AV435" s="22" t="s">
        <v>106</v>
      </c>
      <c r="AW4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5" s="22" t="str">
        <f t="shared" si="5"/>
        <v>BR_IMC_DSY_LANCH_ND_NC_2020Q3AUG_NVS_Nivus-Launch-Consideracao</v>
      </c>
      <c r="AY435" s="28" t="str">
        <f t="shared" si="6"/>
        <v>#N/A</v>
      </c>
      <c r="AZ435" s="22" t="s">
        <v>107</v>
      </c>
      <c r="BA435" s="22" t="s">
        <v>108</v>
      </c>
      <c r="BB435" s="31" t="s">
        <v>109</v>
      </c>
      <c r="BC435" s="31" t="s">
        <v>109</v>
      </c>
      <c r="BD435" s="32" t="str">
        <f t="shared" si="8"/>
        <v>nvl-nvs-imc-dsy-0820-10429</v>
      </c>
      <c r="BE435" s="33"/>
      <c r="BF435" s="33"/>
      <c r="BG435" s="39" t="str">
        <f>URL&amp;IF(ISNUMBER(FIND("?",URL)),"&amp;","?"&amp;("adlid="&amp;Unique_ID&amp;"&amp;adplt="&amp;Placement))</f>
        <v>#N/A</v>
      </c>
      <c r="BH435" s="1"/>
      <c r="BI435" s="1"/>
      <c r="BJ435" s="35" t="str">
        <f>LOWER("alp"&amp;"_"&amp;"vw"&amp;"_"&amp;Veiculo&amp;"_"&amp;C431&amp;"_"&amp;Objetivo)</f>
        <v>alp_vw___</v>
      </c>
      <c r="BK435" s="35" t="str">
        <f>LOWER(Buying_Metric&amp;"_"&amp;VLOOKUP(Buying_Type,Buy_type,2,FALSE)&amp;"_"&amp;Device&amp;"_"&amp;Size&amp;"_"&amp;Segmentação&amp;"_"&amp;Segmentação_Anúncio)</f>
        <v>#N/A</v>
      </c>
      <c r="BL435" s="35" t="str">
        <f>LOWER(Campanha_ou_InsertionOrder&amp;"_"&amp;LineItem_ou_Grupodeanúncio&amp;"_"&amp;Linha_criativa_2&amp;"_"&amp;Unique_ID)</f>
        <v>#N/A</v>
      </c>
      <c r="BM435" s="27"/>
      <c r="BN435" s="27"/>
    </row>
    <row r="436">
      <c r="A436" s="1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8" t="str">
        <f>LOWER(Campanha_ou_InsertionOrder&amp;"_"&amp;LineItem_ou_Grupodeanúncio&amp;"_"&amp;Linha_Criativa&amp;"_"&amp;Unique_ID)</f>
        <v>#N/A</v>
      </c>
      <c r="AN436" s="28" t="str">
        <f>LOWER(Campanha_ou_InsertionOrder&amp;"_"&amp;LineItem_ou_Grupodeanúncio&amp;"_"&amp;Linha_Criativa&amp;"_"&amp;Unique_ID)</f>
        <v>#N/A</v>
      </c>
      <c r="AO436" s="28" t="str">
        <f>LOWER("VW"&amp;"_"&amp;Model_Variant&amp;"_"&amp;Size&amp;"_"&amp;Linha_Criativa&amp;"_"&amp;IF(Servido_Por="portal",Veiculo,"adserver"))</f>
        <v>vw____adserver</v>
      </c>
      <c r="AP4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6" s="22" t="str">
        <f t="shared" si="1"/>
        <v/>
      </c>
      <c r="AS436" s="22" t="str">
        <f t="shared" si="2"/>
        <v/>
      </c>
      <c r="AT436" s="22" t="str">
        <f t="shared" si="3"/>
        <v>BR_IMC_DSY_LANCH_ND_NC_2020Q3AUG_NVS_Nivus-Launch-Consideracao</v>
      </c>
      <c r="AU436" s="22" t="str">
        <f t="shared" si="4"/>
        <v>#N/A</v>
      </c>
      <c r="AV436" s="22" t="s">
        <v>106</v>
      </c>
      <c r="AW4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6" s="22" t="str">
        <f t="shared" si="5"/>
        <v>BR_IMC_DSY_LANCH_ND_NC_2020Q3AUG_NVS_Nivus-Launch-Consideracao</v>
      </c>
      <c r="AY436" s="28" t="str">
        <f t="shared" si="6"/>
        <v>#N/A</v>
      </c>
      <c r="AZ436" s="22" t="s">
        <v>107</v>
      </c>
      <c r="BA436" s="22" t="s">
        <v>108</v>
      </c>
      <c r="BB436" s="31" t="s">
        <v>109</v>
      </c>
      <c r="BC436" s="31" t="s">
        <v>109</v>
      </c>
      <c r="BD436" s="32" t="str">
        <f t="shared" si="8"/>
        <v>nvl-nvs-imc-dsy-0820-10430</v>
      </c>
      <c r="BE436" s="33"/>
      <c r="BF436" s="33"/>
      <c r="BG436" s="39" t="str">
        <f>URL&amp;IF(ISNUMBER(FIND("?",URL)),"&amp;","?"&amp;("adlid="&amp;Unique_ID&amp;"&amp;adplt="&amp;Placement))</f>
        <v>#N/A</v>
      </c>
      <c r="BH436" s="1"/>
      <c r="BI436" s="1"/>
      <c r="BJ436" s="35" t="str">
        <f>LOWER("alp"&amp;"_"&amp;"vw"&amp;"_"&amp;Veiculo&amp;"_"&amp;C432&amp;"_"&amp;Objetivo)</f>
        <v>alp_vw___</v>
      </c>
      <c r="BK436" s="35" t="str">
        <f>LOWER(Buying_Metric&amp;"_"&amp;VLOOKUP(Buying_Type,Buy_type,2,FALSE)&amp;"_"&amp;Device&amp;"_"&amp;Size&amp;"_"&amp;Segmentação&amp;"_"&amp;Segmentação_Anúncio)</f>
        <v>#N/A</v>
      </c>
      <c r="BL436" s="35" t="str">
        <f>LOWER(Campanha_ou_InsertionOrder&amp;"_"&amp;LineItem_ou_Grupodeanúncio&amp;"_"&amp;Linha_criativa_2&amp;"_"&amp;Unique_ID)</f>
        <v>#N/A</v>
      </c>
      <c r="BM436" s="27"/>
      <c r="BN436" s="27"/>
    </row>
    <row r="437">
      <c r="A437" s="1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8" t="str">
        <f>LOWER(Campanha_ou_InsertionOrder&amp;"_"&amp;LineItem_ou_Grupodeanúncio&amp;"_"&amp;Linha_Criativa&amp;"_"&amp;Unique_ID)</f>
        <v>#N/A</v>
      </c>
      <c r="AN437" s="28" t="str">
        <f>LOWER(Campanha_ou_InsertionOrder&amp;"_"&amp;LineItem_ou_Grupodeanúncio&amp;"_"&amp;Linha_Criativa&amp;"_"&amp;Unique_ID)</f>
        <v>#N/A</v>
      </c>
      <c r="AO437" s="28" t="str">
        <f>LOWER("VW"&amp;"_"&amp;Model_Variant&amp;"_"&amp;Size&amp;"_"&amp;Linha_Criativa&amp;"_"&amp;IF(Servido_Por="portal",Veiculo,"adserver"))</f>
        <v>vw____adserver</v>
      </c>
      <c r="AP4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7" s="22" t="str">
        <f t="shared" si="1"/>
        <v/>
      </c>
      <c r="AS437" s="22" t="str">
        <f t="shared" si="2"/>
        <v/>
      </c>
      <c r="AT437" s="22" t="str">
        <f t="shared" si="3"/>
        <v>BR_IMC_DSY_LANCH_ND_NC_2020Q3AUG_NVS_Nivus-Launch-Consideracao</v>
      </c>
      <c r="AU437" s="22" t="str">
        <f t="shared" si="4"/>
        <v>#N/A</v>
      </c>
      <c r="AV437" s="22" t="s">
        <v>106</v>
      </c>
      <c r="AW4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7" s="22" t="str">
        <f t="shared" si="5"/>
        <v>BR_IMC_DSY_LANCH_ND_NC_2020Q3AUG_NVS_Nivus-Launch-Consideracao</v>
      </c>
      <c r="AY437" s="28" t="str">
        <f t="shared" si="6"/>
        <v>#N/A</v>
      </c>
      <c r="AZ437" s="22" t="s">
        <v>107</v>
      </c>
      <c r="BA437" s="22" t="s">
        <v>108</v>
      </c>
      <c r="BB437" s="31" t="s">
        <v>109</v>
      </c>
      <c r="BC437" s="31" t="s">
        <v>109</v>
      </c>
      <c r="BD437" s="32" t="str">
        <f t="shared" si="8"/>
        <v>nvl-nvs-imc-dsy-0820-10431</v>
      </c>
      <c r="BE437" s="33"/>
      <c r="BF437" s="33"/>
      <c r="BG437" s="39" t="str">
        <f>URL&amp;IF(ISNUMBER(FIND("?",URL)),"&amp;","?"&amp;("adlid="&amp;Unique_ID&amp;"&amp;adplt="&amp;Placement))</f>
        <v>#N/A</v>
      </c>
      <c r="BH437" s="1"/>
      <c r="BI437" s="1"/>
      <c r="BJ437" s="35" t="str">
        <f>LOWER("alp"&amp;"_"&amp;"vw"&amp;"_"&amp;Veiculo&amp;"_"&amp;C433&amp;"_"&amp;Objetivo)</f>
        <v>alp_vw___</v>
      </c>
      <c r="BK437" s="35" t="str">
        <f>LOWER(Buying_Metric&amp;"_"&amp;VLOOKUP(Buying_Type,Buy_type,2,FALSE)&amp;"_"&amp;Device&amp;"_"&amp;Size&amp;"_"&amp;Segmentação&amp;"_"&amp;Segmentação_Anúncio)</f>
        <v>#N/A</v>
      </c>
      <c r="BL437" s="35" t="str">
        <f>LOWER(Campanha_ou_InsertionOrder&amp;"_"&amp;LineItem_ou_Grupodeanúncio&amp;"_"&amp;Linha_criativa_2&amp;"_"&amp;Unique_ID)</f>
        <v>#N/A</v>
      </c>
      <c r="BM437" s="27"/>
      <c r="BN437" s="27"/>
    </row>
    <row r="438">
      <c r="A438" s="1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8" t="str">
        <f>LOWER(Campanha_ou_InsertionOrder&amp;"_"&amp;LineItem_ou_Grupodeanúncio&amp;"_"&amp;Linha_Criativa&amp;"_"&amp;Unique_ID)</f>
        <v>#N/A</v>
      </c>
      <c r="AN438" s="28" t="str">
        <f>LOWER(Campanha_ou_InsertionOrder&amp;"_"&amp;LineItem_ou_Grupodeanúncio&amp;"_"&amp;Linha_Criativa&amp;"_"&amp;Unique_ID)</f>
        <v>#N/A</v>
      </c>
      <c r="AO438" s="28" t="str">
        <f>LOWER("VW"&amp;"_"&amp;Model_Variant&amp;"_"&amp;Size&amp;"_"&amp;Linha_Criativa&amp;"_"&amp;IF(Servido_Por="portal",Veiculo,"adserver"))</f>
        <v>vw____adserver</v>
      </c>
      <c r="AP4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8" s="22" t="str">
        <f t="shared" si="1"/>
        <v/>
      </c>
      <c r="AS438" s="22" t="str">
        <f t="shared" si="2"/>
        <v/>
      </c>
      <c r="AT438" s="22" t="str">
        <f t="shared" si="3"/>
        <v>BR_IMC_DSY_LANCH_ND_NC_2020Q3AUG_NVS_Nivus-Launch-Consideracao</v>
      </c>
      <c r="AU438" s="22" t="str">
        <f t="shared" si="4"/>
        <v>#N/A</v>
      </c>
      <c r="AV438" s="22" t="s">
        <v>106</v>
      </c>
      <c r="AW4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8" s="22" t="str">
        <f t="shared" si="5"/>
        <v>BR_IMC_DSY_LANCH_ND_NC_2020Q3AUG_NVS_Nivus-Launch-Consideracao</v>
      </c>
      <c r="AY438" s="28" t="str">
        <f t="shared" si="6"/>
        <v>#N/A</v>
      </c>
      <c r="AZ438" s="22" t="s">
        <v>107</v>
      </c>
      <c r="BA438" s="22" t="s">
        <v>108</v>
      </c>
      <c r="BB438" s="31" t="s">
        <v>109</v>
      </c>
      <c r="BC438" s="31" t="s">
        <v>109</v>
      </c>
      <c r="BD438" s="32" t="str">
        <f t="shared" si="8"/>
        <v>nvl-nvs-imc-dsy-0820-10432</v>
      </c>
      <c r="BE438" s="33"/>
      <c r="BF438" s="33"/>
      <c r="BG438" s="39" t="str">
        <f>URL&amp;IF(ISNUMBER(FIND("?",URL)),"&amp;","?"&amp;("adlid="&amp;Unique_ID&amp;"&amp;adplt="&amp;Placement))</f>
        <v>#N/A</v>
      </c>
      <c r="BH438" s="1"/>
      <c r="BI438" s="1"/>
      <c r="BJ438" s="35" t="str">
        <f>LOWER("alp"&amp;"_"&amp;"vw"&amp;"_"&amp;Veiculo&amp;"_"&amp;C434&amp;"_"&amp;Objetivo)</f>
        <v>alp_vw___</v>
      </c>
      <c r="BK438" s="35" t="str">
        <f>LOWER(Buying_Metric&amp;"_"&amp;VLOOKUP(Buying_Type,Buy_type,2,FALSE)&amp;"_"&amp;Device&amp;"_"&amp;Size&amp;"_"&amp;Segmentação&amp;"_"&amp;Segmentação_Anúncio)</f>
        <v>#N/A</v>
      </c>
      <c r="BL438" s="35" t="str">
        <f>LOWER(Campanha_ou_InsertionOrder&amp;"_"&amp;LineItem_ou_Grupodeanúncio&amp;"_"&amp;Linha_criativa_2&amp;"_"&amp;Unique_ID)</f>
        <v>#N/A</v>
      </c>
      <c r="BM438" s="27"/>
      <c r="BN438" s="27"/>
    </row>
    <row r="439">
      <c r="A439" s="1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8" t="str">
        <f>LOWER(Campanha_ou_InsertionOrder&amp;"_"&amp;LineItem_ou_Grupodeanúncio&amp;"_"&amp;Linha_Criativa&amp;"_"&amp;Unique_ID)</f>
        <v>#N/A</v>
      </c>
      <c r="AN439" s="28" t="str">
        <f>LOWER(Campanha_ou_InsertionOrder&amp;"_"&amp;LineItem_ou_Grupodeanúncio&amp;"_"&amp;Linha_Criativa&amp;"_"&amp;Unique_ID)</f>
        <v>#N/A</v>
      </c>
      <c r="AO439" s="28" t="str">
        <f>LOWER("VW"&amp;"_"&amp;Model_Variant&amp;"_"&amp;Size&amp;"_"&amp;Linha_Criativa&amp;"_"&amp;IF(Servido_Por="portal",Veiculo,"adserver"))</f>
        <v>vw____adserver</v>
      </c>
      <c r="AP4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39" s="22" t="str">
        <f t="shared" si="1"/>
        <v/>
      </c>
      <c r="AS439" s="22" t="str">
        <f t="shared" si="2"/>
        <v/>
      </c>
      <c r="AT439" s="22" t="str">
        <f t="shared" si="3"/>
        <v>BR_IMC_DSY_LANCH_ND_NC_2020Q3AUG_NVS_Nivus-Launch-Consideracao</v>
      </c>
      <c r="AU439" s="22" t="str">
        <f t="shared" si="4"/>
        <v>#N/A</v>
      </c>
      <c r="AV439" s="22" t="s">
        <v>106</v>
      </c>
      <c r="AW4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39" s="22" t="str">
        <f t="shared" si="5"/>
        <v>BR_IMC_DSY_LANCH_ND_NC_2020Q3AUG_NVS_Nivus-Launch-Consideracao</v>
      </c>
      <c r="AY439" s="28" t="str">
        <f t="shared" si="6"/>
        <v>#N/A</v>
      </c>
      <c r="AZ439" s="22" t="s">
        <v>107</v>
      </c>
      <c r="BA439" s="22" t="s">
        <v>108</v>
      </c>
      <c r="BB439" s="31" t="s">
        <v>109</v>
      </c>
      <c r="BC439" s="31" t="s">
        <v>109</v>
      </c>
      <c r="BD439" s="32" t="str">
        <f t="shared" si="8"/>
        <v>nvl-nvs-imc-dsy-0820-10433</v>
      </c>
      <c r="BE439" s="33"/>
      <c r="BF439" s="33"/>
      <c r="BG439" s="39" t="str">
        <f>URL&amp;IF(ISNUMBER(FIND("?",URL)),"&amp;","?"&amp;("adlid="&amp;Unique_ID&amp;"&amp;adplt="&amp;Placement))</f>
        <v>#N/A</v>
      </c>
      <c r="BH439" s="1"/>
      <c r="BI439" s="1"/>
      <c r="BJ439" s="35" t="str">
        <f>LOWER("alp"&amp;"_"&amp;"vw"&amp;"_"&amp;Veiculo&amp;"_"&amp;C435&amp;"_"&amp;Objetivo)</f>
        <v>alp_vw___</v>
      </c>
      <c r="BK439" s="35" t="str">
        <f>LOWER(Buying_Metric&amp;"_"&amp;VLOOKUP(Buying_Type,Buy_type,2,FALSE)&amp;"_"&amp;Device&amp;"_"&amp;Size&amp;"_"&amp;Segmentação&amp;"_"&amp;Segmentação_Anúncio)</f>
        <v>#N/A</v>
      </c>
      <c r="BL439" s="35" t="str">
        <f>LOWER(Campanha_ou_InsertionOrder&amp;"_"&amp;LineItem_ou_Grupodeanúncio&amp;"_"&amp;Linha_criativa_2&amp;"_"&amp;Unique_ID)</f>
        <v>#N/A</v>
      </c>
      <c r="BM439" s="27"/>
      <c r="BN439" s="27"/>
    </row>
    <row r="440">
      <c r="A440" s="1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8" t="str">
        <f>LOWER(Campanha_ou_InsertionOrder&amp;"_"&amp;LineItem_ou_Grupodeanúncio&amp;"_"&amp;Linha_Criativa&amp;"_"&amp;Unique_ID)</f>
        <v>#N/A</v>
      </c>
      <c r="AN440" s="28" t="str">
        <f>LOWER(Campanha_ou_InsertionOrder&amp;"_"&amp;LineItem_ou_Grupodeanúncio&amp;"_"&amp;Linha_Criativa&amp;"_"&amp;Unique_ID)</f>
        <v>#N/A</v>
      </c>
      <c r="AO440" s="28" t="str">
        <f>LOWER("VW"&amp;"_"&amp;Model_Variant&amp;"_"&amp;Size&amp;"_"&amp;Linha_Criativa&amp;"_"&amp;IF(Servido_Por="portal",Veiculo,"adserver"))</f>
        <v>vw____adserver</v>
      </c>
      <c r="AP4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0" s="22" t="str">
        <f t="shared" si="1"/>
        <v/>
      </c>
      <c r="AS440" s="22" t="str">
        <f t="shared" si="2"/>
        <v/>
      </c>
      <c r="AT440" s="22" t="str">
        <f t="shared" si="3"/>
        <v>BR_IMC_DSY_LANCH_ND_NC_2020Q3AUG_NVS_Nivus-Launch-Consideracao</v>
      </c>
      <c r="AU440" s="22" t="str">
        <f t="shared" si="4"/>
        <v>#N/A</v>
      </c>
      <c r="AV440" s="22" t="s">
        <v>106</v>
      </c>
      <c r="AW4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0" s="22" t="str">
        <f t="shared" si="5"/>
        <v>BR_IMC_DSY_LANCH_ND_NC_2020Q3AUG_NVS_Nivus-Launch-Consideracao</v>
      </c>
      <c r="AY440" s="28" t="str">
        <f t="shared" si="6"/>
        <v>#N/A</v>
      </c>
      <c r="AZ440" s="22" t="s">
        <v>107</v>
      </c>
      <c r="BA440" s="22" t="s">
        <v>108</v>
      </c>
      <c r="BB440" s="31" t="s">
        <v>109</v>
      </c>
      <c r="BC440" s="31" t="s">
        <v>109</v>
      </c>
      <c r="BD440" s="32" t="str">
        <f t="shared" si="8"/>
        <v>nvl-nvs-imc-dsy-0820-10434</v>
      </c>
      <c r="BE440" s="33"/>
      <c r="BF440" s="33"/>
      <c r="BG440" s="39" t="str">
        <f>URL&amp;IF(ISNUMBER(FIND("?",URL)),"&amp;","?"&amp;("adlid="&amp;Unique_ID&amp;"&amp;adplt="&amp;Placement))</f>
        <v>#N/A</v>
      </c>
      <c r="BH440" s="1"/>
      <c r="BI440" s="1"/>
      <c r="BJ440" s="35" t="str">
        <f>LOWER("alp"&amp;"_"&amp;"vw"&amp;"_"&amp;Veiculo&amp;"_"&amp;C436&amp;"_"&amp;Objetivo)</f>
        <v>alp_vw___</v>
      </c>
      <c r="BK440" s="35" t="str">
        <f>LOWER(Buying_Metric&amp;"_"&amp;VLOOKUP(Buying_Type,Buy_type,2,FALSE)&amp;"_"&amp;Device&amp;"_"&amp;Size&amp;"_"&amp;Segmentação&amp;"_"&amp;Segmentação_Anúncio)</f>
        <v>#N/A</v>
      </c>
      <c r="BL440" s="35" t="str">
        <f>LOWER(Campanha_ou_InsertionOrder&amp;"_"&amp;LineItem_ou_Grupodeanúncio&amp;"_"&amp;Linha_criativa_2&amp;"_"&amp;Unique_ID)</f>
        <v>#N/A</v>
      </c>
      <c r="BM440" s="27"/>
      <c r="BN440" s="27"/>
    </row>
    <row r="441">
      <c r="A441" s="1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8" t="str">
        <f>LOWER(Campanha_ou_InsertionOrder&amp;"_"&amp;LineItem_ou_Grupodeanúncio&amp;"_"&amp;Linha_Criativa&amp;"_"&amp;Unique_ID)</f>
        <v>#N/A</v>
      </c>
      <c r="AN441" s="28" t="str">
        <f>LOWER(Campanha_ou_InsertionOrder&amp;"_"&amp;LineItem_ou_Grupodeanúncio&amp;"_"&amp;Linha_Criativa&amp;"_"&amp;Unique_ID)</f>
        <v>#N/A</v>
      </c>
      <c r="AO441" s="28" t="str">
        <f>LOWER("VW"&amp;"_"&amp;Model_Variant&amp;"_"&amp;Size&amp;"_"&amp;Linha_Criativa&amp;"_"&amp;IF(Servido_Por="portal",Veiculo,"adserver"))</f>
        <v>vw____adserver</v>
      </c>
      <c r="AP4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1" s="22" t="str">
        <f t="shared" si="1"/>
        <v/>
      </c>
      <c r="AS441" s="22" t="str">
        <f t="shared" si="2"/>
        <v/>
      </c>
      <c r="AT441" s="22" t="str">
        <f t="shared" si="3"/>
        <v>BR_IMC_DSY_LANCH_ND_NC_2020Q3AUG_NVS_Nivus-Launch-Consideracao</v>
      </c>
      <c r="AU441" s="22" t="str">
        <f t="shared" si="4"/>
        <v>#N/A</v>
      </c>
      <c r="AV441" s="22" t="s">
        <v>106</v>
      </c>
      <c r="AW4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1" s="22" t="str">
        <f t="shared" si="5"/>
        <v>BR_IMC_DSY_LANCH_ND_NC_2020Q3AUG_NVS_Nivus-Launch-Consideracao</v>
      </c>
      <c r="AY441" s="28" t="str">
        <f t="shared" si="6"/>
        <v>#N/A</v>
      </c>
      <c r="AZ441" s="22" t="s">
        <v>107</v>
      </c>
      <c r="BA441" s="22" t="s">
        <v>108</v>
      </c>
      <c r="BB441" s="31" t="s">
        <v>109</v>
      </c>
      <c r="BC441" s="31" t="s">
        <v>109</v>
      </c>
      <c r="BD441" s="32" t="str">
        <f t="shared" si="8"/>
        <v>nvl-nvs-imc-dsy-0820-10435</v>
      </c>
      <c r="BE441" s="33"/>
      <c r="BF441" s="33"/>
      <c r="BG441" s="39" t="str">
        <f>URL&amp;IF(ISNUMBER(FIND("?",URL)),"&amp;","?"&amp;("adlid="&amp;Unique_ID&amp;"&amp;adplt="&amp;Placement))</f>
        <v>#N/A</v>
      </c>
      <c r="BH441" s="1"/>
      <c r="BI441" s="1"/>
      <c r="BJ441" s="35" t="str">
        <f>LOWER("alp"&amp;"_"&amp;"vw"&amp;"_"&amp;Veiculo&amp;"_"&amp;C437&amp;"_"&amp;Objetivo)</f>
        <v>alp_vw___</v>
      </c>
      <c r="BK441" s="35" t="str">
        <f>LOWER(Buying_Metric&amp;"_"&amp;VLOOKUP(Buying_Type,Buy_type,2,FALSE)&amp;"_"&amp;Device&amp;"_"&amp;Size&amp;"_"&amp;Segmentação&amp;"_"&amp;Segmentação_Anúncio)</f>
        <v>#N/A</v>
      </c>
      <c r="BL441" s="35" t="str">
        <f>LOWER(Campanha_ou_InsertionOrder&amp;"_"&amp;LineItem_ou_Grupodeanúncio&amp;"_"&amp;Linha_criativa_2&amp;"_"&amp;Unique_ID)</f>
        <v>#N/A</v>
      </c>
      <c r="BM441" s="27"/>
      <c r="BN441" s="27"/>
    </row>
    <row r="442">
      <c r="A442" s="1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8" t="str">
        <f>LOWER(Campanha_ou_InsertionOrder&amp;"_"&amp;LineItem_ou_Grupodeanúncio&amp;"_"&amp;Linha_Criativa&amp;"_"&amp;Unique_ID)</f>
        <v>#N/A</v>
      </c>
      <c r="AN442" s="28" t="str">
        <f>LOWER(Campanha_ou_InsertionOrder&amp;"_"&amp;LineItem_ou_Grupodeanúncio&amp;"_"&amp;Linha_Criativa&amp;"_"&amp;Unique_ID)</f>
        <v>#N/A</v>
      </c>
      <c r="AO442" s="28" t="str">
        <f>LOWER("VW"&amp;"_"&amp;Model_Variant&amp;"_"&amp;Size&amp;"_"&amp;Linha_Criativa&amp;"_"&amp;IF(Servido_Por="portal",Veiculo,"adserver"))</f>
        <v>vw____adserver</v>
      </c>
      <c r="AP4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2" s="22" t="str">
        <f t="shared" si="1"/>
        <v/>
      </c>
      <c r="AS442" s="22" t="str">
        <f t="shared" si="2"/>
        <v/>
      </c>
      <c r="AT442" s="22" t="str">
        <f t="shared" si="3"/>
        <v>BR_IMC_DSY_LANCH_ND_NC_2020Q3AUG_NVS_Nivus-Launch-Consideracao</v>
      </c>
      <c r="AU442" s="22" t="str">
        <f t="shared" si="4"/>
        <v>#N/A</v>
      </c>
      <c r="AV442" s="22" t="s">
        <v>106</v>
      </c>
      <c r="AW4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2" s="22" t="str">
        <f t="shared" si="5"/>
        <v>BR_IMC_DSY_LANCH_ND_NC_2020Q3AUG_NVS_Nivus-Launch-Consideracao</v>
      </c>
      <c r="AY442" s="28" t="str">
        <f t="shared" si="6"/>
        <v>#N/A</v>
      </c>
      <c r="AZ442" s="22" t="s">
        <v>107</v>
      </c>
      <c r="BA442" s="22" t="s">
        <v>108</v>
      </c>
      <c r="BB442" s="31" t="s">
        <v>109</v>
      </c>
      <c r="BC442" s="31" t="s">
        <v>109</v>
      </c>
      <c r="BD442" s="32" t="str">
        <f t="shared" si="8"/>
        <v>nvl-nvs-imc-dsy-0820-10436</v>
      </c>
      <c r="BE442" s="33"/>
      <c r="BF442" s="33"/>
      <c r="BG442" s="39" t="str">
        <f>URL&amp;IF(ISNUMBER(FIND("?",URL)),"&amp;","?"&amp;("adlid="&amp;Unique_ID&amp;"&amp;adplt="&amp;Placement))</f>
        <v>#N/A</v>
      </c>
      <c r="BH442" s="1"/>
      <c r="BI442" s="1"/>
      <c r="BJ442" s="35" t="str">
        <f>LOWER("alp"&amp;"_"&amp;"vw"&amp;"_"&amp;Veiculo&amp;"_"&amp;C438&amp;"_"&amp;Objetivo)</f>
        <v>alp_vw___</v>
      </c>
      <c r="BK442" s="35" t="str">
        <f>LOWER(Buying_Metric&amp;"_"&amp;VLOOKUP(Buying_Type,Buy_type,2,FALSE)&amp;"_"&amp;Device&amp;"_"&amp;Size&amp;"_"&amp;Segmentação&amp;"_"&amp;Segmentação_Anúncio)</f>
        <v>#N/A</v>
      </c>
      <c r="BL442" s="35" t="str">
        <f>LOWER(Campanha_ou_InsertionOrder&amp;"_"&amp;LineItem_ou_Grupodeanúncio&amp;"_"&amp;Linha_criativa_2&amp;"_"&amp;Unique_ID)</f>
        <v>#N/A</v>
      </c>
      <c r="BM442" s="27"/>
      <c r="BN442" s="27"/>
    </row>
    <row r="443">
      <c r="A443" s="1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8" t="str">
        <f>LOWER(Campanha_ou_InsertionOrder&amp;"_"&amp;LineItem_ou_Grupodeanúncio&amp;"_"&amp;Linha_Criativa&amp;"_"&amp;Unique_ID)</f>
        <v>#N/A</v>
      </c>
      <c r="AN443" s="28" t="str">
        <f>LOWER(Campanha_ou_InsertionOrder&amp;"_"&amp;LineItem_ou_Grupodeanúncio&amp;"_"&amp;Linha_Criativa&amp;"_"&amp;Unique_ID)</f>
        <v>#N/A</v>
      </c>
      <c r="AO443" s="28" t="str">
        <f>LOWER("VW"&amp;"_"&amp;Model_Variant&amp;"_"&amp;Size&amp;"_"&amp;Linha_Criativa&amp;"_"&amp;IF(Servido_Por="portal",Veiculo,"adserver"))</f>
        <v>vw____adserver</v>
      </c>
      <c r="AP4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3" s="22" t="str">
        <f t="shared" si="1"/>
        <v/>
      </c>
      <c r="AS443" s="22" t="str">
        <f t="shared" si="2"/>
        <v/>
      </c>
      <c r="AT443" s="22" t="str">
        <f t="shared" si="3"/>
        <v>BR_IMC_DSY_LANCH_ND_NC_2020Q3AUG_NVS_Nivus-Launch-Consideracao</v>
      </c>
      <c r="AU443" s="22" t="str">
        <f t="shared" si="4"/>
        <v>#N/A</v>
      </c>
      <c r="AV443" s="22" t="s">
        <v>106</v>
      </c>
      <c r="AW4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3" s="22" t="str">
        <f t="shared" si="5"/>
        <v>BR_IMC_DSY_LANCH_ND_NC_2020Q3AUG_NVS_Nivus-Launch-Consideracao</v>
      </c>
      <c r="AY443" s="28" t="str">
        <f t="shared" si="6"/>
        <v>#N/A</v>
      </c>
      <c r="AZ443" s="22" t="s">
        <v>107</v>
      </c>
      <c r="BA443" s="22" t="s">
        <v>108</v>
      </c>
      <c r="BB443" s="31" t="s">
        <v>109</v>
      </c>
      <c r="BC443" s="31" t="s">
        <v>109</v>
      </c>
      <c r="BD443" s="32" t="str">
        <f t="shared" si="8"/>
        <v>nvl-nvs-imc-dsy-0820-10437</v>
      </c>
      <c r="BE443" s="33"/>
      <c r="BF443" s="33"/>
      <c r="BG443" s="39" t="str">
        <f>URL&amp;IF(ISNUMBER(FIND("?",URL)),"&amp;","?"&amp;("adlid="&amp;Unique_ID&amp;"&amp;adplt="&amp;Placement))</f>
        <v>#N/A</v>
      </c>
      <c r="BH443" s="1"/>
      <c r="BI443" s="1"/>
      <c r="BJ443" s="35" t="str">
        <f>LOWER("alp"&amp;"_"&amp;"vw"&amp;"_"&amp;Veiculo&amp;"_"&amp;C439&amp;"_"&amp;Objetivo)</f>
        <v>alp_vw___</v>
      </c>
      <c r="BK443" s="35" t="str">
        <f>LOWER(Buying_Metric&amp;"_"&amp;VLOOKUP(Buying_Type,Buy_type,2,FALSE)&amp;"_"&amp;Device&amp;"_"&amp;Size&amp;"_"&amp;Segmentação&amp;"_"&amp;Segmentação_Anúncio)</f>
        <v>#N/A</v>
      </c>
      <c r="BL443" s="35" t="str">
        <f>LOWER(Campanha_ou_InsertionOrder&amp;"_"&amp;LineItem_ou_Grupodeanúncio&amp;"_"&amp;Linha_criativa_2&amp;"_"&amp;Unique_ID)</f>
        <v>#N/A</v>
      </c>
      <c r="BM443" s="27"/>
      <c r="BN443" s="27"/>
    </row>
    <row r="444">
      <c r="A444" s="1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tr">
        <f>LOWER(Campanha_ou_InsertionOrder&amp;"_"&amp;LineItem_ou_Grupodeanúncio&amp;"_"&amp;Linha_Criativa&amp;"_"&amp;Unique_ID)</f>
        <v>#N/A</v>
      </c>
      <c r="AN444" s="28" t="str">
        <f>LOWER(Campanha_ou_InsertionOrder&amp;"_"&amp;LineItem_ou_Grupodeanúncio&amp;"_"&amp;Linha_Criativa&amp;"_"&amp;Unique_ID)</f>
        <v>#N/A</v>
      </c>
      <c r="AO444" s="28" t="str">
        <f>LOWER("VW"&amp;"_"&amp;Model_Variant&amp;"_"&amp;Size&amp;"_"&amp;Linha_Criativa&amp;"_"&amp;IF(Servido_Por="portal",Veiculo,"adserver"))</f>
        <v>vw____adserver</v>
      </c>
      <c r="AP4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4" s="22" t="str">
        <f t="shared" si="1"/>
        <v/>
      </c>
      <c r="AS444" s="22" t="str">
        <f t="shared" si="2"/>
        <v/>
      </c>
      <c r="AT444" s="22" t="str">
        <f t="shared" si="3"/>
        <v>BR_IMC_DSY_LANCH_ND_NC_2020Q3AUG_NVS_Nivus-Launch-Consideracao</v>
      </c>
      <c r="AU444" s="22" t="str">
        <f t="shared" si="4"/>
        <v>#N/A</v>
      </c>
      <c r="AV444" s="22" t="s">
        <v>106</v>
      </c>
      <c r="AW4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4" s="22" t="str">
        <f t="shared" si="5"/>
        <v>BR_IMC_DSY_LANCH_ND_NC_2020Q3AUG_NVS_Nivus-Launch-Consideracao</v>
      </c>
      <c r="AY444" s="28" t="str">
        <f t="shared" si="6"/>
        <v>#N/A</v>
      </c>
      <c r="AZ444" s="22" t="s">
        <v>107</v>
      </c>
      <c r="BA444" s="22" t="s">
        <v>108</v>
      </c>
      <c r="BB444" s="31" t="s">
        <v>109</v>
      </c>
      <c r="BC444" s="31" t="s">
        <v>109</v>
      </c>
      <c r="BD444" s="32" t="str">
        <f t="shared" si="8"/>
        <v>nvl-nvs-imc-dsy-0820-10438</v>
      </c>
      <c r="BE444" s="33"/>
      <c r="BF444" s="33"/>
      <c r="BG444" s="39" t="str">
        <f>URL&amp;IF(ISNUMBER(FIND("?",URL)),"&amp;","?"&amp;("adlid="&amp;Unique_ID&amp;"&amp;adplt="&amp;Placement))</f>
        <v>#N/A</v>
      </c>
      <c r="BH444" s="1"/>
      <c r="BI444" s="1"/>
      <c r="BJ444" s="35" t="str">
        <f>LOWER("alp"&amp;"_"&amp;"vw"&amp;"_"&amp;Veiculo&amp;"_"&amp;C440&amp;"_"&amp;Objetivo)</f>
        <v>alp_vw___</v>
      </c>
      <c r="BK444" s="35" t="str">
        <f>LOWER(Buying_Metric&amp;"_"&amp;VLOOKUP(Buying_Type,Buy_type,2,FALSE)&amp;"_"&amp;Device&amp;"_"&amp;Size&amp;"_"&amp;Segmentação&amp;"_"&amp;Segmentação_Anúncio)</f>
        <v>#N/A</v>
      </c>
      <c r="BL444" s="35" t="str">
        <f>LOWER(Campanha_ou_InsertionOrder&amp;"_"&amp;LineItem_ou_Grupodeanúncio&amp;"_"&amp;Linha_criativa_2&amp;"_"&amp;Unique_ID)</f>
        <v>#N/A</v>
      </c>
      <c r="BM444" s="27"/>
      <c r="BN444" s="27"/>
    </row>
    <row r="445">
      <c r="A445" s="1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8" t="str">
        <f>LOWER(Campanha_ou_InsertionOrder&amp;"_"&amp;LineItem_ou_Grupodeanúncio&amp;"_"&amp;Linha_Criativa&amp;"_"&amp;Unique_ID)</f>
        <v>#N/A</v>
      </c>
      <c r="AN445" s="28" t="str">
        <f>LOWER(Campanha_ou_InsertionOrder&amp;"_"&amp;LineItem_ou_Grupodeanúncio&amp;"_"&amp;Linha_Criativa&amp;"_"&amp;Unique_ID)</f>
        <v>#N/A</v>
      </c>
      <c r="AO445" s="28" t="str">
        <f>LOWER("VW"&amp;"_"&amp;Model_Variant&amp;"_"&amp;Size&amp;"_"&amp;Linha_Criativa&amp;"_"&amp;IF(Servido_Por="portal",Veiculo,"adserver"))</f>
        <v>vw____adserver</v>
      </c>
      <c r="AP4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5" s="22" t="str">
        <f t="shared" si="1"/>
        <v/>
      </c>
      <c r="AS445" s="22" t="str">
        <f t="shared" si="2"/>
        <v/>
      </c>
      <c r="AT445" s="22" t="str">
        <f t="shared" si="3"/>
        <v>BR_IMC_DSY_LANCH_ND_NC_2020Q3AUG_NVS_Nivus-Launch-Consideracao</v>
      </c>
      <c r="AU445" s="22" t="str">
        <f t="shared" si="4"/>
        <v>#N/A</v>
      </c>
      <c r="AV445" s="22" t="s">
        <v>106</v>
      </c>
      <c r="AW4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5" s="22" t="str">
        <f t="shared" si="5"/>
        <v>BR_IMC_DSY_LANCH_ND_NC_2020Q3AUG_NVS_Nivus-Launch-Consideracao</v>
      </c>
      <c r="AY445" s="28" t="str">
        <f t="shared" si="6"/>
        <v>#N/A</v>
      </c>
      <c r="AZ445" s="22" t="s">
        <v>107</v>
      </c>
      <c r="BA445" s="22" t="s">
        <v>108</v>
      </c>
      <c r="BB445" s="31" t="s">
        <v>109</v>
      </c>
      <c r="BC445" s="31" t="s">
        <v>109</v>
      </c>
      <c r="BD445" s="32" t="str">
        <f t="shared" si="8"/>
        <v>nvl-nvs-imc-dsy-0820-10439</v>
      </c>
      <c r="BE445" s="33"/>
      <c r="BF445" s="33"/>
      <c r="BG445" s="39" t="str">
        <f>URL&amp;IF(ISNUMBER(FIND("?",URL)),"&amp;","?"&amp;("adlid="&amp;Unique_ID&amp;"&amp;adplt="&amp;Placement))</f>
        <v>#N/A</v>
      </c>
      <c r="BH445" s="1"/>
      <c r="BI445" s="1"/>
      <c r="BJ445" s="35" t="str">
        <f>LOWER("alp"&amp;"_"&amp;"vw"&amp;"_"&amp;Veiculo&amp;"_"&amp;C441&amp;"_"&amp;Objetivo)</f>
        <v>alp_vw___</v>
      </c>
      <c r="BK445" s="35" t="str">
        <f>LOWER(Buying_Metric&amp;"_"&amp;VLOOKUP(Buying_Type,Buy_type,2,FALSE)&amp;"_"&amp;Device&amp;"_"&amp;Size&amp;"_"&amp;Segmentação&amp;"_"&amp;Segmentação_Anúncio)</f>
        <v>#N/A</v>
      </c>
      <c r="BL445" s="35" t="str">
        <f>LOWER(Campanha_ou_InsertionOrder&amp;"_"&amp;LineItem_ou_Grupodeanúncio&amp;"_"&amp;Linha_criativa_2&amp;"_"&amp;Unique_ID)</f>
        <v>#N/A</v>
      </c>
      <c r="BM445" s="27"/>
      <c r="BN445" s="27"/>
    </row>
    <row r="446">
      <c r="A446" s="1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8" t="str">
        <f>LOWER(Campanha_ou_InsertionOrder&amp;"_"&amp;LineItem_ou_Grupodeanúncio&amp;"_"&amp;Linha_Criativa&amp;"_"&amp;Unique_ID)</f>
        <v>#N/A</v>
      </c>
      <c r="AN446" s="28" t="str">
        <f>LOWER(Campanha_ou_InsertionOrder&amp;"_"&amp;LineItem_ou_Grupodeanúncio&amp;"_"&amp;Linha_Criativa&amp;"_"&amp;Unique_ID)</f>
        <v>#N/A</v>
      </c>
      <c r="AO446" s="28" t="str">
        <f>LOWER("VW"&amp;"_"&amp;Model_Variant&amp;"_"&amp;Size&amp;"_"&amp;Linha_Criativa&amp;"_"&amp;IF(Servido_Por="portal",Veiculo,"adserver"))</f>
        <v>vw____adserver</v>
      </c>
      <c r="AP4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6" s="22" t="str">
        <f t="shared" si="1"/>
        <v/>
      </c>
      <c r="AS446" s="22" t="str">
        <f t="shared" si="2"/>
        <v/>
      </c>
      <c r="AT446" s="22" t="str">
        <f t="shared" si="3"/>
        <v>BR_IMC_DSY_LANCH_ND_NC_2020Q3AUG_NVS_Nivus-Launch-Consideracao</v>
      </c>
      <c r="AU446" s="22" t="str">
        <f t="shared" si="4"/>
        <v>#N/A</v>
      </c>
      <c r="AV446" s="22" t="s">
        <v>106</v>
      </c>
      <c r="AW4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6" s="22" t="str">
        <f t="shared" si="5"/>
        <v>BR_IMC_DSY_LANCH_ND_NC_2020Q3AUG_NVS_Nivus-Launch-Consideracao</v>
      </c>
      <c r="AY446" s="28" t="str">
        <f t="shared" si="6"/>
        <v>#N/A</v>
      </c>
      <c r="AZ446" s="22" t="s">
        <v>107</v>
      </c>
      <c r="BA446" s="22" t="s">
        <v>108</v>
      </c>
      <c r="BB446" s="31" t="s">
        <v>109</v>
      </c>
      <c r="BC446" s="31" t="s">
        <v>109</v>
      </c>
      <c r="BD446" s="32" t="str">
        <f t="shared" si="8"/>
        <v>nvl-nvs-imc-dsy-0820-10440</v>
      </c>
      <c r="BE446" s="33"/>
      <c r="BF446" s="33"/>
      <c r="BG446" s="39" t="str">
        <f>URL&amp;IF(ISNUMBER(FIND("?",URL)),"&amp;","?"&amp;("adlid="&amp;Unique_ID&amp;"&amp;adplt="&amp;Placement))</f>
        <v>#N/A</v>
      </c>
      <c r="BH446" s="1"/>
      <c r="BI446" s="1"/>
      <c r="BJ446" s="35" t="str">
        <f>LOWER("alp"&amp;"_"&amp;"vw"&amp;"_"&amp;Veiculo&amp;"_"&amp;C442&amp;"_"&amp;Objetivo)</f>
        <v>alp_vw___</v>
      </c>
      <c r="BK446" s="35" t="str">
        <f>LOWER(Buying_Metric&amp;"_"&amp;VLOOKUP(Buying_Type,Buy_type,2,FALSE)&amp;"_"&amp;Device&amp;"_"&amp;Size&amp;"_"&amp;Segmentação&amp;"_"&amp;Segmentação_Anúncio)</f>
        <v>#N/A</v>
      </c>
      <c r="BL446" s="35" t="str">
        <f>LOWER(Campanha_ou_InsertionOrder&amp;"_"&amp;LineItem_ou_Grupodeanúncio&amp;"_"&amp;Linha_criativa_2&amp;"_"&amp;Unique_ID)</f>
        <v>#N/A</v>
      </c>
      <c r="BM446" s="27"/>
      <c r="BN446" s="27"/>
    </row>
    <row r="447">
      <c r="A447" s="1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8" t="str">
        <f>LOWER(Campanha_ou_InsertionOrder&amp;"_"&amp;LineItem_ou_Grupodeanúncio&amp;"_"&amp;Linha_Criativa&amp;"_"&amp;Unique_ID)</f>
        <v>#N/A</v>
      </c>
      <c r="AN447" s="28" t="str">
        <f>LOWER(Campanha_ou_InsertionOrder&amp;"_"&amp;LineItem_ou_Grupodeanúncio&amp;"_"&amp;Linha_Criativa&amp;"_"&amp;Unique_ID)</f>
        <v>#N/A</v>
      </c>
      <c r="AO447" s="28" t="str">
        <f>LOWER("VW"&amp;"_"&amp;Model_Variant&amp;"_"&amp;Size&amp;"_"&amp;Linha_Criativa&amp;"_"&amp;IF(Servido_Por="portal",Veiculo,"adserver"))</f>
        <v>vw____adserver</v>
      </c>
      <c r="AP4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7" s="22" t="str">
        <f t="shared" si="1"/>
        <v/>
      </c>
      <c r="AS447" s="22" t="str">
        <f t="shared" si="2"/>
        <v/>
      </c>
      <c r="AT447" s="22" t="str">
        <f t="shared" si="3"/>
        <v>BR_IMC_DSY_LANCH_ND_NC_2020Q3AUG_NVS_Nivus-Launch-Consideracao</v>
      </c>
      <c r="AU447" s="22" t="str">
        <f t="shared" si="4"/>
        <v>#N/A</v>
      </c>
      <c r="AV447" s="22" t="s">
        <v>106</v>
      </c>
      <c r="AW4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7" s="22" t="str">
        <f t="shared" si="5"/>
        <v>BR_IMC_DSY_LANCH_ND_NC_2020Q3AUG_NVS_Nivus-Launch-Consideracao</v>
      </c>
      <c r="AY447" s="28" t="str">
        <f t="shared" si="6"/>
        <v>#N/A</v>
      </c>
      <c r="AZ447" s="22" t="s">
        <v>107</v>
      </c>
      <c r="BA447" s="22" t="s">
        <v>108</v>
      </c>
      <c r="BB447" s="31" t="s">
        <v>109</v>
      </c>
      <c r="BC447" s="31" t="s">
        <v>109</v>
      </c>
      <c r="BD447" s="32" t="str">
        <f t="shared" si="8"/>
        <v>nvl-nvs-imc-dsy-0820-10441</v>
      </c>
      <c r="BE447" s="33"/>
      <c r="BF447" s="33"/>
      <c r="BG447" s="39" t="str">
        <f>URL&amp;IF(ISNUMBER(FIND("?",URL)),"&amp;","?"&amp;("adlid="&amp;Unique_ID&amp;"&amp;adplt="&amp;Placement))</f>
        <v>#N/A</v>
      </c>
      <c r="BH447" s="1"/>
      <c r="BI447" s="1"/>
      <c r="BJ447" s="35" t="str">
        <f>LOWER("alp"&amp;"_"&amp;"vw"&amp;"_"&amp;Veiculo&amp;"_"&amp;C443&amp;"_"&amp;Objetivo)</f>
        <v>alp_vw___</v>
      </c>
      <c r="BK447" s="35" t="str">
        <f>LOWER(Buying_Metric&amp;"_"&amp;VLOOKUP(Buying_Type,Buy_type,2,FALSE)&amp;"_"&amp;Device&amp;"_"&amp;Size&amp;"_"&amp;Segmentação&amp;"_"&amp;Segmentação_Anúncio)</f>
        <v>#N/A</v>
      </c>
      <c r="BL447" s="35" t="str">
        <f>LOWER(Campanha_ou_InsertionOrder&amp;"_"&amp;LineItem_ou_Grupodeanúncio&amp;"_"&amp;Linha_criativa_2&amp;"_"&amp;Unique_ID)</f>
        <v>#N/A</v>
      </c>
      <c r="BM447" s="27"/>
      <c r="BN447" s="27"/>
    </row>
    <row r="448">
      <c r="A448" s="1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8" t="str">
        <f>LOWER(Campanha_ou_InsertionOrder&amp;"_"&amp;LineItem_ou_Grupodeanúncio&amp;"_"&amp;Linha_Criativa&amp;"_"&amp;Unique_ID)</f>
        <v>#N/A</v>
      </c>
      <c r="AN448" s="28" t="str">
        <f>LOWER(Campanha_ou_InsertionOrder&amp;"_"&amp;LineItem_ou_Grupodeanúncio&amp;"_"&amp;Linha_Criativa&amp;"_"&amp;Unique_ID)</f>
        <v>#N/A</v>
      </c>
      <c r="AO448" s="28" t="str">
        <f>LOWER("VW"&amp;"_"&amp;Model_Variant&amp;"_"&amp;Size&amp;"_"&amp;Linha_Criativa&amp;"_"&amp;IF(Servido_Por="portal",Veiculo,"adserver"))</f>
        <v>vw____adserver</v>
      </c>
      <c r="AP4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8" s="22" t="str">
        <f t="shared" si="1"/>
        <v/>
      </c>
      <c r="AS448" s="22" t="str">
        <f t="shared" si="2"/>
        <v/>
      </c>
      <c r="AT448" s="22" t="str">
        <f t="shared" si="3"/>
        <v>BR_IMC_DSY_LANCH_ND_NC_2020Q3AUG_NVS_Nivus-Launch-Consideracao</v>
      </c>
      <c r="AU448" s="22" t="str">
        <f t="shared" si="4"/>
        <v>#N/A</v>
      </c>
      <c r="AV448" s="22" t="s">
        <v>106</v>
      </c>
      <c r="AW4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8" s="22" t="str">
        <f t="shared" si="5"/>
        <v>BR_IMC_DSY_LANCH_ND_NC_2020Q3AUG_NVS_Nivus-Launch-Consideracao</v>
      </c>
      <c r="AY448" s="28" t="str">
        <f t="shared" si="6"/>
        <v>#N/A</v>
      </c>
      <c r="AZ448" s="22" t="s">
        <v>107</v>
      </c>
      <c r="BA448" s="22" t="s">
        <v>108</v>
      </c>
      <c r="BB448" s="31" t="s">
        <v>109</v>
      </c>
      <c r="BC448" s="31" t="s">
        <v>109</v>
      </c>
      <c r="BD448" s="32" t="str">
        <f t="shared" si="8"/>
        <v>nvl-nvs-imc-dsy-0820-10442</v>
      </c>
      <c r="BE448" s="33"/>
      <c r="BF448" s="33"/>
      <c r="BG448" s="39" t="str">
        <f>URL&amp;IF(ISNUMBER(FIND("?",URL)),"&amp;","?"&amp;("adlid="&amp;Unique_ID&amp;"&amp;adplt="&amp;Placement))</f>
        <v>#N/A</v>
      </c>
      <c r="BH448" s="1"/>
      <c r="BI448" s="1"/>
      <c r="BJ448" s="35" t="str">
        <f>LOWER("alp"&amp;"_"&amp;"vw"&amp;"_"&amp;Veiculo&amp;"_"&amp;C444&amp;"_"&amp;Objetivo)</f>
        <v>alp_vw___</v>
      </c>
      <c r="BK448" s="35" t="str">
        <f>LOWER(Buying_Metric&amp;"_"&amp;VLOOKUP(Buying_Type,Buy_type,2,FALSE)&amp;"_"&amp;Device&amp;"_"&amp;Size&amp;"_"&amp;Segmentação&amp;"_"&amp;Segmentação_Anúncio)</f>
        <v>#N/A</v>
      </c>
      <c r="BL448" s="35" t="str">
        <f>LOWER(Campanha_ou_InsertionOrder&amp;"_"&amp;LineItem_ou_Grupodeanúncio&amp;"_"&amp;Linha_criativa_2&amp;"_"&amp;Unique_ID)</f>
        <v>#N/A</v>
      </c>
      <c r="BM448" s="27"/>
      <c r="BN448" s="27"/>
    </row>
    <row r="449">
      <c r="A449" s="1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8" t="str">
        <f>LOWER(Campanha_ou_InsertionOrder&amp;"_"&amp;LineItem_ou_Grupodeanúncio&amp;"_"&amp;Linha_Criativa&amp;"_"&amp;Unique_ID)</f>
        <v>#N/A</v>
      </c>
      <c r="AN449" s="28" t="str">
        <f>LOWER(Campanha_ou_InsertionOrder&amp;"_"&amp;LineItem_ou_Grupodeanúncio&amp;"_"&amp;Linha_Criativa&amp;"_"&amp;Unique_ID)</f>
        <v>#N/A</v>
      </c>
      <c r="AO449" s="28" t="str">
        <f>LOWER("VW"&amp;"_"&amp;Model_Variant&amp;"_"&amp;Size&amp;"_"&amp;Linha_Criativa&amp;"_"&amp;IF(Servido_Por="portal",Veiculo,"adserver"))</f>
        <v>vw____adserver</v>
      </c>
      <c r="AP4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49" s="22" t="str">
        <f t="shared" si="1"/>
        <v/>
      </c>
      <c r="AS449" s="22" t="str">
        <f t="shared" si="2"/>
        <v/>
      </c>
      <c r="AT449" s="22" t="str">
        <f t="shared" si="3"/>
        <v>BR_IMC_DSY_LANCH_ND_NC_2020Q3AUG_NVS_Nivus-Launch-Consideracao</v>
      </c>
      <c r="AU449" s="22" t="str">
        <f t="shared" si="4"/>
        <v>#N/A</v>
      </c>
      <c r="AV449" s="22" t="s">
        <v>106</v>
      </c>
      <c r="AW4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49" s="22" t="str">
        <f t="shared" si="5"/>
        <v>BR_IMC_DSY_LANCH_ND_NC_2020Q3AUG_NVS_Nivus-Launch-Consideracao</v>
      </c>
      <c r="AY449" s="28" t="str">
        <f t="shared" si="6"/>
        <v>#N/A</v>
      </c>
      <c r="AZ449" s="22" t="s">
        <v>107</v>
      </c>
      <c r="BA449" s="22" t="s">
        <v>108</v>
      </c>
      <c r="BB449" s="31" t="s">
        <v>109</v>
      </c>
      <c r="BC449" s="31" t="s">
        <v>109</v>
      </c>
      <c r="BD449" s="32" t="str">
        <f t="shared" si="8"/>
        <v>nvl-nvs-imc-dsy-0820-10443</v>
      </c>
      <c r="BE449" s="33"/>
      <c r="BF449" s="33"/>
      <c r="BG449" s="39" t="str">
        <f>URL&amp;IF(ISNUMBER(FIND("?",URL)),"&amp;","?"&amp;("adlid="&amp;Unique_ID&amp;"&amp;adplt="&amp;Placement))</f>
        <v>#N/A</v>
      </c>
      <c r="BH449" s="1"/>
      <c r="BI449" s="1"/>
      <c r="BJ449" s="35" t="str">
        <f>LOWER("alp"&amp;"_"&amp;"vw"&amp;"_"&amp;Veiculo&amp;"_"&amp;C445&amp;"_"&amp;Objetivo)</f>
        <v>alp_vw___</v>
      </c>
      <c r="BK449" s="35" t="str">
        <f>LOWER(Buying_Metric&amp;"_"&amp;VLOOKUP(Buying_Type,Buy_type,2,FALSE)&amp;"_"&amp;Device&amp;"_"&amp;Size&amp;"_"&amp;Segmentação&amp;"_"&amp;Segmentação_Anúncio)</f>
        <v>#N/A</v>
      </c>
      <c r="BL449" s="35" t="str">
        <f>LOWER(Campanha_ou_InsertionOrder&amp;"_"&amp;LineItem_ou_Grupodeanúncio&amp;"_"&amp;Linha_criativa_2&amp;"_"&amp;Unique_ID)</f>
        <v>#N/A</v>
      </c>
      <c r="BM449" s="27"/>
      <c r="BN449" s="27"/>
    </row>
    <row r="450">
      <c r="A450" s="1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8" t="str">
        <f>LOWER(Campanha_ou_InsertionOrder&amp;"_"&amp;LineItem_ou_Grupodeanúncio&amp;"_"&amp;Linha_Criativa&amp;"_"&amp;Unique_ID)</f>
        <v>#N/A</v>
      </c>
      <c r="AN450" s="28" t="str">
        <f>LOWER(Campanha_ou_InsertionOrder&amp;"_"&amp;LineItem_ou_Grupodeanúncio&amp;"_"&amp;Linha_Criativa&amp;"_"&amp;Unique_ID)</f>
        <v>#N/A</v>
      </c>
      <c r="AO450" s="28" t="str">
        <f>LOWER("VW"&amp;"_"&amp;Model_Variant&amp;"_"&amp;Size&amp;"_"&amp;Linha_Criativa&amp;"_"&amp;IF(Servido_Por="portal",Veiculo,"adserver"))</f>
        <v>vw____adserver</v>
      </c>
      <c r="AP4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0" s="22" t="str">
        <f t="shared" si="1"/>
        <v/>
      </c>
      <c r="AS450" s="22" t="str">
        <f t="shared" si="2"/>
        <v/>
      </c>
      <c r="AT450" s="22" t="str">
        <f t="shared" si="3"/>
        <v>BR_IMC_DSY_LANCH_ND_NC_2020Q3AUG_NVS_Nivus-Launch-Consideracao</v>
      </c>
      <c r="AU450" s="22" t="str">
        <f t="shared" si="4"/>
        <v>#N/A</v>
      </c>
      <c r="AV450" s="22" t="s">
        <v>106</v>
      </c>
      <c r="AW4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0" s="22" t="str">
        <f t="shared" si="5"/>
        <v>BR_IMC_DSY_LANCH_ND_NC_2020Q3AUG_NVS_Nivus-Launch-Consideracao</v>
      </c>
      <c r="AY450" s="28" t="str">
        <f t="shared" si="6"/>
        <v>#N/A</v>
      </c>
      <c r="AZ450" s="22" t="s">
        <v>107</v>
      </c>
      <c r="BA450" s="22" t="s">
        <v>108</v>
      </c>
      <c r="BB450" s="31" t="s">
        <v>109</v>
      </c>
      <c r="BC450" s="31" t="s">
        <v>109</v>
      </c>
      <c r="BD450" s="32" t="str">
        <f t="shared" si="8"/>
        <v>nvl-nvs-imc-dsy-0820-10444</v>
      </c>
      <c r="BE450" s="33"/>
      <c r="BF450" s="33"/>
      <c r="BG450" s="39" t="str">
        <f>URL&amp;IF(ISNUMBER(FIND("?",URL)),"&amp;","?"&amp;("adlid="&amp;Unique_ID&amp;"&amp;adplt="&amp;Placement))</f>
        <v>#N/A</v>
      </c>
      <c r="BH450" s="1"/>
      <c r="BI450" s="1"/>
      <c r="BJ450" s="35" t="str">
        <f>LOWER("alp"&amp;"_"&amp;"vw"&amp;"_"&amp;Veiculo&amp;"_"&amp;C446&amp;"_"&amp;Objetivo)</f>
        <v>alp_vw___</v>
      </c>
      <c r="BK450" s="35" t="str">
        <f>LOWER(Buying_Metric&amp;"_"&amp;VLOOKUP(Buying_Type,Buy_type,2,FALSE)&amp;"_"&amp;Device&amp;"_"&amp;Size&amp;"_"&amp;Segmentação&amp;"_"&amp;Segmentação_Anúncio)</f>
        <v>#N/A</v>
      </c>
      <c r="BL450" s="35" t="str">
        <f>LOWER(Campanha_ou_InsertionOrder&amp;"_"&amp;LineItem_ou_Grupodeanúncio&amp;"_"&amp;Linha_criativa_2&amp;"_"&amp;Unique_ID)</f>
        <v>#N/A</v>
      </c>
      <c r="BM450" s="27"/>
      <c r="BN450" s="27"/>
    </row>
    <row r="451">
      <c r="A451" s="1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8" t="str">
        <f>LOWER(Campanha_ou_InsertionOrder&amp;"_"&amp;LineItem_ou_Grupodeanúncio&amp;"_"&amp;Linha_Criativa&amp;"_"&amp;Unique_ID)</f>
        <v>#N/A</v>
      </c>
      <c r="AN451" s="28" t="str">
        <f>LOWER(Campanha_ou_InsertionOrder&amp;"_"&amp;LineItem_ou_Grupodeanúncio&amp;"_"&amp;Linha_Criativa&amp;"_"&amp;Unique_ID)</f>
        <v>#N/A</v>
      </c>
      <c r="AO451" s="28" t="str">
        <f>LOWER("VW"&amp;"_"&amp;Model_Variant&amp;"_"&amp;Size&amp;"_"&amp;Linha_Criativa&amp;"_"&amp;IF(Servido_Por="portal",Veiculo,"adserver"))</f>
        <v>vw____adserver</v>
      </c>
      <c r="AP4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1" s="22" t="str">
        <f t="shared" si="1"/>
        <v/>
      </c>
      <c r="AS451" s="22" t="str">
        <f t="shared" si="2"/>
        <v/>
      </c>
      <c r="AT451" s="22" t="str">
        <f t="shared" si="3"/>
        <v>BR_IMC_DSY_LANCH_ND_NC_2020Q3AUG_NVS_Nivus-Launch-Consideracao</v>
      </c>
      <c r="AU451" s="22" t="str">
        <f t="shared" si="4"/>
        <v>#N/A</v>
      </c>
      <c r="AV451" s="22" t="s">
        <v>106</v>
      </c>
      <c r="AW4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1" s="22" t="str">
        <f t="shared" si="5"/>
        <v>BR_IMC_DSY_LANCH_ND_NC_2020Q3AUG_NVS_Nivus-Launch-Consideracao</v>
      </c>
      <c r="AY451" s="28" t="str">
        <f t="shared" si="6"/>
        <v>#N/A</v>
      </c>
      <c r="AZ451" s="22" t="s">
        <v>107</v>
      </c>
      <c r="BA451" s="22" t="s">
        <v>108</v>
      </c>
      <c r="BB451" s="31" t="s">
        <v>109</v>
      </c>
      <c r="BC451" s="31" t="s">
        <v>109</v>
      </c>
      <c r="BD451" s="32" t="str">
        <f t="shared" si="8"/>
        <v>nvl-nvs-imc-dsy-0820-10445</v>
      </c>
      <c r="BE451" s="33"/>
      <c r="BF451" s="33"/>
      <c r="BG451" s="39" t="str">
        <f>URL&amp;IF(ISNUMBER(FIND("?",URL)),"&amp;","?"&amp;("adlid="&amp;Unique_ID&amp;"&amp;adplt="&amp;Placement))</f>
        <v>#N/A</v>
      </c>
      <c r="BH451" s="1"/>
      <c r="BI451" s="1"/>
      <c r="BJ451" s="35" t="str">
        <f>LOWER("alp"&amp;"_"&amp;"vw"&amp;"_"&amp;Veiculo&amp;"_"&amp;C447&amp;"_"&amp;Objetivo)</f>
        <v>alp_vw___</v>
      </c>
      <c r="BK451" s="35" t="str">
        <f>LOWER(Buying_Metric&amp;"_"&amp;VLOOKUP(Buying_Type,Buy_type,2,FALSE)&amp;"_"&amp;Device&amp;"_"&amp;Size&amp;"_"&amp;Segmentação&amp;"_"&amp;Segmentação_Anúncio)</f>
        <v>#N/A</v>
      </c>
      <c r="BL451" s="35" t="str">
        <f>LOWER(Campanha_ou_InsertionOrder&amp;"_"&amp;LineItem_ou_Grupodeanúncio&amp;"_"&amp;Linha_criativa_2&amp;"_"&amp;Unique_ID)</f>
        <v>#N/A</v>
      </c>
      <c r="BM451" s="27"/>
      <c r="BN451" s="27"/>
    </row>
    <row r="452">
      <c r="A452" s="1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8" t="str">
        <f>LOWER(Campanha_ou_InsertionOrder&amp;"_"&amp;LineItem_ou_Grupodeanúncio&amp;"_"&amp;Linha_Criativa&amp;"_"&amp;Unique_ID)</f>
        <v>#N/A</v>
      </c>
      <c r="AN452" s="28" t="str">
        <f>LOWER(Campanha_ou_InsertionOrder&amp;"_"&amp;LineItem_ou_Grupodeanúncio&amp;"_"&amp;Linha_Criativa&amp;"_"&amp;Unique_ID)</f>
        <v>#N/A</v>
      </c>
      <c r="AO452" s="28" t="str">
        <f>LOWER("VW"&amp;"_"&amp;Model_Variant&amp;"_"&amp;Size&amp;"_"&amp;Linha_Criativa&amp;"_"&amp;IF(Servido_Por="portal",Veiculo,"adserver"))</f>
        <v>vw____adserver</v>
      </c>
      <c r="AP4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2" s="22" t="str">
        <f t="shared" si="1"/>
        <v/>
      </c>
      <c r="AS452" s="22" t="str">
        <f t="shared" si="2"/>
        <v/>
      </c>
      <c r="AT452" s="22" t="str">
        <f t="shared" si="3"/>
        <v>BR_IMC_DSY_LANCH_ND_NC_2020Q3AUG_NVS_Nivus-Launch-Consideracao</v>
      </c>
      <c r="AU452" s="22" t="str">
        <f t="shared" si="4"/>
        <v>#N/A</v>
      </c>
      <c r="AV452" s="22" t="s">
        <v>106</v>
      </c>
      <c r="AW4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2" s="22" t="str">
        <f t="shared" si="5"/>
        <v>BR_IMC_DSY_LANCH_ND_NC_2020Q3AUG_NVS_Nivus-Launch-Consideracao</v>
      </c>
      <c r="AY452" s="28" t="str">
        <f t="shared" si="6"/>
        <v>#N/A</v>
      </c>
      <c r="AZ452" s="22" t="s">
        <v>107</v>
      </c>
      <c r="BA452" s="22" t="s">
        <v>108</v>
      </c>
      <c r="BB452" s="31" t="s">
        <v>109</v>
      </c>
      <c r="BC452" s="31" t="s">
        <v>109</v>
      </c>
      <c r="BD452" s="32" t="str">
        <f t="shared" si="8"/>
        <v>nvl-nvs-imc-dsy-0820-10446</v>
      </c>
      <c r="BE452" s="33"/>
      <c r="BF452" s="33"/>
      <c r="BG452" s="39" t="str">
        <f>URL&amp;IF(ISNUMBER(FIND("?",URL)),"&amp;","?"&amp;("adlid="&amp;Unique_ID&amp;"&amp;adplt="&amp;Placement))</f>
        <v>#N/A</v>
      </c>
      <c r="BH452" s="1"/>
      <c r="BI452" s="1"/>
      <c r="BJ452" s="35" t="str">
        <f>LOWER("alp"&amp;"_"&amp;"vw"&amp;"_"&amp;Veiculo&amp;"_"&amp;C448&amp;"_"&amp;Objetivo)</f>
        <v>alp_vw___</v>
      </c>
      <c r="BK452" s="35" t="str">
        <f>LOWER(Buying_Metric&amp;"_"&amp;VLOOKUP(Buying_Type,Buy_type,2,FALSE)&amp;"_"&amp;Device&amp;"_"&amp;Size&amp;"_"&amp;Segmentação&amp;"_"&amp;Segmentação_Anúncio)</f>
        <v>#N/A</v>
      </c>
      <c r="BL452" s="35" t="str">
        <f>LOWER(Campanha_ou_InsertionOrder&amp;"_"&amp;LineItem_ou_Grupodeanúncio&amp;"_"&amp;Linha_criativa_2&amp;"_"&amp;Unique_ID)</f>
        <v>#N/A</v>
      </c>
      <c r="BM452" s="27"/>
      <c r="BN452" s="27"/>
    </row>
    <row r="453">
      <c r="A453" s="1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8" t="str">
        <f>LOWER(Campanha_ou_InsertionOrder&amp;"_"&amp;LineItem_ou_Grupodeanúncio&amp;"_"&amp;Linha_Criativa&amp;"_"&amp;Unique_ID)</f>
        <v>#N/A</v>
      </c>
      <c r="AN453" s="28" t="str">
        <f>LOWER(Campanha_ou_InsertionOrder&amp;"_"&amp;LineItem_ou_Grupodeanúncio&amp;"_"&amp;Linha_Criativa&amp;"_"&amp;Unique_ID)</f>
        <v>#N/A</v>
      </c>
      <c r="AO453" s="28" t="str">
        <f>LOWER("VW"&amp;"_"&amp;Model_Variant&amp;"_"&amp;Size&amp;"_"&amp;Linha_Criativa&amp;"_"&amp;IF(Servido_Por="portal",Veiculo,"adserver"))</f>
        <v>vw____adserver</v>
      </c>
      <c r="AP4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3" s="22" t="str">
        <f t="shared" si="1"/>
        <v/>
      </c>
      <c r="AS453" s="22" t="str">
        <f t="shared" si="2"/>
        <v/>
      </c>
      <c r="AT453" s="22" t="str">
        <f t="shared" si="3"/>
        <v>BR_IMC_DSY_LANCH_ND_NC_2020Q3AUG_NVS_Nivus-Launch-Consideracao</v>
      </c>
      <c r="AU453" s="22" t="str">
        <f t="shared" si="4"/>
        <v>#N/A</v>
      </c>
      <c r="AV453" s="22" t="s">
        <v>106</v>
      </c>
      <c r="AW4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3" s="22" t="str">
        <f t="shared" si="5"/>
        <v>BR_IMC_DSY_LANCH_ND_NC_2020Q3AUG_NVS_Nivus-Launch-Consideracao</v>
      </c>
      <c r="AY453" s="28" t="str">
        <f t="shared" si="6"/>
        <v>#N/A</v>
      </c>
      <c r="AZ453" s="22" t="s">
        <v>107</v>
      </c>
      <c r="BA453" s="22" t="s">
        <v>108</v>
      </c>
      <c r="BB453" s="31" t="s">
        <v>109</v>
      </c>
      <c r="BC453" s="31" t="s">
        <v>109</v>
      </c>
      <c r="BD453" s="32" t="str">
        <f t="shared" si="8"/>
        <v>nvl-nvs-imc-dsy-0820-10447</v>
      </c>
      <c r="BE453" s="33"/>
      <c r="BF453" s="33"/>
      <c r="BG453" s="39" t="str">
        <f>URL&amp;IF(ISNUMBER(FIND("?",URL)),"&amp;","?"&amp;("adlid="&amp;Unique_ID&amp;"&amp;adplt="&amp;Placement))</f>
        <v>#N/A</v>
      </c>
      <c r="BH453" s="1"/>
      <c r="BI453" s="1"/>
      <c r="BJ453" s="35" t="str">
        <f>LOWER("alp"&amp;"_"&amp;"vw"&amp;"_"&amp;Veiculo&amp;"_"&amp;C449&amp;"_"&amp;Objetivo)</f>
        <v>alp_vw___</v>
      </c>
      <c r="BK453" s="35" t="str">
        <f>LOWER(Buying_Metric&amp;"_"&amp;VLOOKUP(Buying_Type,Buy_type,2,FALSE)&amp;"_"&amp;Device&amp;"_"&amp;Size&amp;"_"&amp;Segmentação&amp;"_"&amp;Segmentação_Anúncio)</f>
        <v>#N/A</v>
      </c>
      <c r="BL453" s="35" t="str">
        <f>LOWER(Campanha_ou_InsertionOrder&amp;"_"&amp;LineItem_ou_Grupodeanúncio&amp;"_"&amp;Linha_criativa_2&amp;"_"&amp;Unique_ID)</f>
        <v>#N/A</v>
      </c>
      <c r="BM453" s="27"/>
      <c r="BN453" s="27"/>
    </row>
    <row r="454">
      <c r="A454" s="1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8" t="str">
        <f>LOWER(Campanha_ou_InsertionOrder&amp;"_"&amp;LineItem_ou_Grupodeanúncio&amp;"_"&amp;Linha_Criativa&amp;"_"&amp;Unique_ID)</f>
        <v>#N/A</v>
      </c>
      <c r="AN454" s="28" t="str">
        <f>LOWER(Campanha_ou_InsertionOrder&amp;"_"&amp;LineItem_ou_Grupodeanúncio&amp;"_"&amp;Linha_Criativa&amp;"_"&amp;Unique_ID)</f>
        <v>#N/A</v>
      </c>
      <c r="AO454" s="28" t="str">
        <f>LOWER("VW"&amp;"_"&amp;Model_Variant&amp;"_"&amp;Size&amp;"_"&amp;Linha_Criativa&amp;"_"&amp;IF(Servido_Por="portal",Veiculo,"adserver"))</f>
        <v>vw____adserver</v>
      </c>
      <c r="AP4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4" s="22" t="str">
        <f t="shared" si="1"/>
        <v/>
      </c>
      <c r="AS454" s="22" t="str">
        <f t="shared" si="2"/>
        <v/>
      </c>
      <c r="AT454" s="22" t="str">
        <f t="shared" si="3"/>
        <v>BR_IMC_DSY_LANCH_ND_NC_2020Q3AUG_NVS_Nivus-Launch-Consideracao</v>
      </c>
      <c r="AU454" s="22" t="str">
        <f t="shared" si="4"/>
        <v>#N/A</v>
      </c>
      <c r="AV454" s="22" t="s">
        <v>106</v>
      </c>
      <c r="AW4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4" s="22" t="str">
        <f t="shared" si="5"/>
        <v>BR_IMC_DSY_LANCH_ND_NC_2020Q3AUG_NVS_Nivus-Launch-Consideracao</v>
      </c>
      <c r="AY454" s="28" t="str">
        <f t="shared" si="6"/>
        <v>#N/A</v>
      </c>
      <c r="AZ454" s="22" t="s">
        <v>107</v>
      </c>
      <c r="BA454" s="22" t="s">
        <v>108</v>
      </c>
      <c r="BB454" s="31" t="s">
        <v>109</v>
      </c>
      <c r="BC454" s="31" t="s">
        <v>109</v>
      </c>
      <c r="BD454" s="32" t="str">
        <f t="shared" si="8"/>
        <v>nvl-nvs-imc-dsy-0820-10448</v>
      </c>
      <c r="BE454" s="33"/>
      <c r="BF454" s="33"/>
      <c r="BG454" s="39" t="str">
        <f>URL&amp;IF(ISNUMBER(FIND("?",URL)),"&amp;","?"&amp;("adlid="&amp;Unique_ID&amp;"&amp;adplt="&amp;Placement))</f>
        <v>#N/A</v>
      </c>
      <c r="BH454" s="1"/>
      <c r="BI454" s="1"/>
      <c r="BJ454" s="35" t="str">
        <f>LOWER("alp"&amp;"_"&amp;"vw"&amp;"_"&amp;Veiculo&amp;"_"&amp;C450&amp;"_"&amp;Objetivo)</f>
        <v>alp_vw___</v>
      </c>
      <c r="BK454" s="35" t="str">
        <f>LOWER(Buying_Metric&amp;"_"&amp;VLOOKUP(Buying_Type,Buy_type,2,FALSE)&amp;"_"&amp;Device&amp;"_"&amp;Size&amp;"_"&amp;Segmentação&amp;"_"&amp;Segmentação_Anúncio)</f>
        <v>#N/A</v>
      </c>
      <c r="BL454" s="35" t="str">
        <f>LOWER(Campanha_ou_InsertionOrder&amp;"_"&amp;LineItem_ou_Grupodeanúncio&amp;"_"&amp;Linha_criativa_2&amp;"_"&amp;Unique_ID)</f>
        <v>#N/A</v>
      </c>
      <c r="BM454" s="27"/>
      <c r="BN454" s="27"/>
    </row>
    <row r="455">
      <c r="A455" s="1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8" t="str">
        <f>LOWER(Campanha_ou_InsertionOrder&amp;"_"&amp;LineItem_ou_Grupodeanúncio&amp;"_"&amp;Linha_Criativa&amp;"_"&amp;Unique_ID)</f>
        <v>#N/A</v>
      </c>
      <c r="AN455" s="28" t="str">
        <f>LOWER(Campanha_ou_InsertionOrder&amp;"_"&amp;LineItem_ou_Grupodeanúncio&amp;"_"&amp;Linha_Criativa&amp;"_"&amp;Unique_ID)</f>
        <v>#N/A</v>
      </c>
      <c r="AO455" s="28" t="str">
        <f>LOWER("VW"&amp;"_"&amp;Model_Variant&amp;"_"&amp;Size&amp;"_"&amp;Linha_Criativa&amp;"_"&amp;IF(Servido_Por="portal",Veiculo,"adserver"))</f>
        <v>vw____adserver</v>
      </c>
      <c r="AP4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5" s="22" t="str">
        <f t="shared" si="1"/>
        <v/>
      </c>
      <c r="AS455" s="22" t="str">
        <f t="shared" si="2"/>
        <v/>
      </c>
      <c r="AT455" s="22" t="str">
        <f t="shared" si="3"/>
        <v>BR_IMC_DSY_LANCH_ND_NC_2020Q3AUG_NVS_Nivus-Launch-Consideracao</v>
      </c>
      <c r="AU455" s="22" t="str">
        <f t="shared" si="4"/>
        <v>#N/A</v>
      </c>
      <c r="AV455" s="22" t="s">
        <v>106</v>
      </c>
      <c r="AW4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5" s="22" t="str">
        <f t="shared" si="5"/>
        <v>BR_IMC_DSY_LANCH_ND_NC_2020Q3AUG_NVS_Nivus-Launch-Consideracao</v>
      </c>
      <c r="AY455" s="28" t="str">
        <f t="shared" si="6"/>
        <v>#N/A</v>
      </c>
      <c r="AZ455" s="22" t="s">
        <v>107</v>
      </c>
      <c r="BA455" s="22" t="s">
        <v>108</v>
      </c>
      <c r="BB455" s="31" t="s">
        <v>109</v>
      </c>
      <c r="BC455" s="31" t="s">
        <v>109</v>
      </c>
      <c r="BD455" s="32" t="str">
        <f t="shared" si="8"/>
        <v>nvl-nvs-imc-dsy-0820-10449</v>
      </c>
      <c r="BE455" s="33"/>
      <c r="BF455" s="33"/>
      <c r="BG455" s="39" t="str">
        <f>URL&amp;IF(ISNUMBER(FIND("?",URL)),"&amp;","?"&amp;("adlid="&amp;Unique_ID&amp;"&amp;adplt="&amp;Placement))</f>
        <v>#N/A</v>
      </c>
      <c r="BH455" s="1"/>
      <c r="BI455" s="1"/>
      <c r="BJ455" s="35" t="str">
        <f>LOWER("alp"&amp;"_"&amp;"vw"&amp;"_"&amp;Veiculo&amp;"_"&amp;C451&amp;"_"&amp;Objetivo)</f>
        <v>alp_vw___</v>
      </c>
      <c r="BK455" s="35" t="str">
        <f>LOWER(Buying_Metric&amp;"_"&amp;VLOOKUP(Buying_Type,Buy_type,2,FALSE)&amp;"_"&amp;Device&amp;"_"&amp;Size&amp;"_"&amp;Segmentação&amp;"_"&amp;Segmentação_Anúncio)</f>
        <v>#N/A</v>
      </c>
      <c r="BL455" s="35" t="str">
        <f>LOWER(Campanha_ou_InsertionOrder&amp;"_"&amp;LineItem_ou_Grupodeanúncio&amp;"_"&amp;Linha_criativa_2&amp;"_"&amp;Unique_ID)</f>
        <v>#N/A</v>
      </c>
      <c r="BM455" s="27"/>
      <c r="BN455" s="27"/>
    </row>
    <row r="456">
      <c r="A456" s="1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8" t="str">
        <f>LOWER(Campanha_ou_InsertionOrder&amp;"_"&amp;LineItem_ou_Grupodeanúncio&amp;"_"&amp;Linha_Criativa&amp;"_"&amp;Unique_ID)</f>
        <v>#N/A</v>
      </c>
      <c r="AN456" s="28" t="str">
        <f>LOWER(Campanha_ou_InsertionOrder&amp;"_"&amp;LineItem_ou_Grupodeanúncio&amp;"_"&amp;Linha_Criativa&amp;"_"&amp;Unique_ID)</f>
        <v>#N/A</v>
      </c>
      <c r="AO456" s="28" t="str">
        <f>LOWER("VW"&amp;"_"&amp;Model_Variant&amp;"_"&amp;Size&amp;"_"&amp;Linha_Criativa&amp;"_"&amp;IF(Servido_Por="portal",Veiculo,"adserver"))</f>
        <v>vw____adserver</v>
      </c>
      <c r="AP4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6" s="22" t="str">
        <f t="shared" si="1"/>
        <v/>
      </c>
      <c r="AS456" s="22" t="str">
        <f t="shared" si="2"/>
        <v/>
      </c>
      <c r="AT456" s="22" t="str">
        <f t="shared" si="3"/>
        <v>BR_IMC_DSY_LANCH_ND_NC_2020Q3AUG_NVS_Nivus-Launch-Consideracao</v>
      </c>
      <c r="AU456" s="22" t="str">
        <f t="shared" si="4"/>
        <v>#N/A</v>
      </c>
      <c r="AV456" s="22" t="s">
        <v>106</v>
      </c>
      <c r="AW4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6" s="22" t="str">
        <f t="shared" si="5"/>
        <v>BR_IMC_DSY_LANCH_ND_NC_2020Q3AUG_NVS_Nivus-Launch-Consideracao</v>
      </c>
      <c r="AY456" s="28" t="str">
        <f t="shared" si="6"/>
        <v>#N/A</v>
      </c>
      <c r="AZ456" s="22" t="s">
        <v>107</v>
      </c>
      <c r="BA456" s="22" t="s">
        <v>108</v>
      </c>
      <c r="BB456" s="31" t="s">
        <v>109</v>
      </c>
      <c r="BC456" s="31" t="s">
        <v>109</v>
      </c>
      <c r="BD456" s="32" t="str">
        <f t="shared" si="8"/>
        <v>nvl-nvs-imc-dsy-0820-10450</v>
      </c>
      <c r="BE456" s="33"/>
      <c r="BF456" s="33"/>
      <c r="BG456" s="39" t="str">
        <f>URL&amp;IF(ISNUMBER(FIND("?",URL)),"&amp;","?"&amp;("adlid="&amp;Unique_ID&amp;"&amp;adplt="&amp;Placement))</f>
        <v>#N/A</v>
      </c>
      <c r="BH456" s="1"/>
      <c r="BI456" s="1"/>
      <c r="BJ456" s="35" t="str">
        <f>LOWER("alp"&amp;"_"&amp;"vw"&amp;"_"&amp;Veiculo&amp;"_"&amp;C452&amp;"_"&amp;Objetivo)</f>
        <v>alp_vw___</v>
      </c>
      <c r="BK456" s="35" t="str">
        <f>LOWER(Buying_Metric&amp;"_"&amp;VLOOKUP(Buying_Type,Buy_type,2,FALSE)&amp;"_"&amp;Device&amp;"_"&amp;Size&amp;"_"&amp;Segmentação&amp;"_"&amp;Segmentação_Anúncio)</f>
        <v>#N/A</v>
      </c>
      <c r="BL456" s="35" t="str">
        <f>LOWER(Campanha_ou_InsertionOrder&amp;"_"&amp;LineItem_ou_Grupodeanúncio&amp;"_"&amp;Linha_criativa_2&amp;"_"&amp;Unique_ID)</f>
        <v>#N/A</v>
      </c>
      <c r="BM456" s="27"/>
      <c r="BN456" s="27"/>
    </row>
    <row r="457">
      <c r="A457" s="1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8" t="str">
        <f>LOWER(Campanha_ou_InsertionOrder&amp;"_"&amp;LineItem_ou_Grupodeanúncio&amp;"_"&amp;Linha_Criativa&amp;"_"&amp;Unique_ID)</f>
        <v>#N/A</v>
      </c>
      <c r="AN457" s="28" t="str">
        <f>LOWER(Campanha_ou_InsertionOrder&amp;"_"&amp;LineItem_ou_Grupodeanúncio&amp;"_"&amp;Linha_Criativa&amp;"_"&amp;Unique_ID)</f>
        <v>#N/A</v>
      </c>
      <c r="AO457" s="28" t="str">
        <f>LOWER("VW"&amp;"_"&amp;Model_Variant&amp;"_"&amp;Size&amp;"_"&amp;Linha_Criativa&amp;"_"&amp;IF(Servido_Por="portal",Veiculo,"adserver"))</f>
        <v>vw____adserver</v>
      </c>
      <c r="AP4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7" s="22" t="str">
        <f t="shared" si="1"/>
        <v/>
      </c>
      <c r="AS457" s="22" t="str">
        <f t="shared" si="2"/>
        <v/>
      </c>
      <c r="AT457" s="22" t="str">
        <f t="shared" si="3"/>
        <v>BR_IMC_DSY_LANCH_ND_NC_2020Q3AUG_NVS_Nivus-Launch-Consideracao</v>
      </c>
      <c r="AU457" s="22" t="str">
        <f t="shared" si="4"/>
        <v>#N/A</v>
      </c>
      <c r="AV457" s="22" t="s">
        <v>106</v>
      </c>
      <c r="AW4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7" s="22" t="str">
        <f t="shared" si="5"/>
        <v>BR_IMC_DSY_LANCH_ND_NC_2020Q3AUG_NVS_Nivus-Launch-Consideracao</v>
      </c>
      <c r="AY457" s="28" t="str">
        <f t="shared" si="6"/>
        <v>#N/A</v>
      </c>
      <c r="AZ457" s="22" t="s">
        <v>107</v>
      </c>
      <c r="BA457" s="22" t="s">
        <v>108</v>
      </c>
      <c r="BB457" s="31" t="s">
        <v>109</v>
      </c>
      <c r="BC457" s="31" t="s">
        <v>109</v>
      </c>
      <c r="BD457" s="32" t="str">
        <f t="shared" si="8"/>
        <v>nvl-nvs-imc-dsy-0820-10451</v>
      </c>
      <c r="BE457" s="33"/>
      <c r="BF457" s="33"/>
      <c r="BG457" s="39" t="str">
        <f>URL&amp;IF(ISNUMBER(FIND("?",URL)),"&amp;","?"&amp;("adlid="&amp;Unique_ID&amp;"&amp;adplt="&amp;Placement))</f>
        <v>#N/A</v>
      </c>
      <c r="BH457" s="1"/>
      <c r="BI457" s="1"/>
      <c r="BJ457" s="35" t="str">
        <f>LOWER("alp"&amp;"_"&amp;"vw"&amp;"_"&amp;Veiculo&amp;"_"&amp;C453&amp;"_"&amp;Objetivo)</f>
        <v>alp_vw___</v>
      </c>
      <c r="BK457" s="35" t="str">
        <f>LOWER(Buying_Metric&amp;"_"&amp;VLOOKUP(Buying_Type,Buy_type,2,FALSE)&amp;"_"&amp;Device&amp;"_"&amp;Size&amp;"_"&amp;Segmentação&amp;"_"&amp;Segmentação_Anúncio)</f>
        <v>#N/A</v>
      </c>
      <c r="BL457" s="35" t="str">
        <f>LOWER(Campanha_ou_InsertionOrder&amp;"_"&amp;LineItem_ou_Grupodeanúncio&amp;"_"&amp;Linha_criativa_2&amp;"_"&amp;Unique_ID)</f>
        <v>#N/A</v>
      </c>
      <c r="BM457" s="27"/>
      <c r="BN457" s="27"/>
    </row>
    <row r="458">
      <c r="A458" s="1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8" t="str">
        <f>LOWER(Campanha_ou_InsertionOrder&amp;"_"&amp;LineItem_ou_Grupodeanúncio&amp;"_"&amp;Linha_Criativa&amp;"_"&amp;Unique_ID)</f>
        <v>#N/A</v>
      </c>
      <c r="AN458" s="28" t="str">
        <f>LOWER(Campanha_ou_InsertionOrder&amp;"_"&amp;LineItem_ou_Grupodeanúncio&amp;"_"&amp;Linha_Criativa&amp;"_"&amp;Unique_ID)</f>
        <v>#N/A</v>
      </c>
      <c r="AO458" s="28" t="str">
        <f>LOWER("VW"&amp;"_"&amp;Model_Variant&amp;"_"&amp;Size&amp;"_"&amp;Linha_Criativa&amp;"_"&amp;IF(Servido_Por="portal",Veiculo,"adserver"))</f>
        <v>vw____adserver</v>
      </c>
      <c r="AP4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8" s="22" t="str">
        <f t="shared" si="1"/>
        <v/>
      </c>
      <c r="AS458" s="22" t="str">
        <f t="shared" si="2"/>
        <v/>
      </c>
      <c r="AT458" s="22" t="str">
        <f t="shared" si="3"/>
        <v>BR_IMC_DSY_LANCH_ND_NC_2020Q3AUG_NVS_Nivus-Launch-Consideracao</v>
      </c>
      <c r="AU458" s="22" t="str">
        <f t="shared" si="4"/>
        <v>#N/A</v>
      </c>
      <c r="AV458" s="22" t="s">
        <v>106</v>
      </c>
      <c r="AW4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8" s="22" t="str">
        <f t="shared" si="5"/>
        <v>BR_IMC_DSY_LANCH_ND_NC_2020Q3AUG_NVS_Nivus-Launch-Consideracao</v>
      </c>
      <c r="AY458" s="28" t="str">
        <f t="shared" si="6"/>
        <v>#N/A</v>
      </c>
      <c r="AZ458" s="22" t="s">
        <v>107</v>
      </c>
      <c r="BA458" s="22" t="s">
        <v>108</v>
      </c>
      <c r="BB458" s="31" t="s">
        <v>109</v>
      </c>
      <c r="BC458" s="31" t="s">
        <v>109</v>
      </c>
      <c r="BD458" s="32" t="str">
        <f t="shared" si="8"/>
        <v>nvl-nvs-imc-dsy-0820-10452</v>
      </c>
      <c r="BE458" s="33"/>
      <c r="BF458" s="33"/>
      <c r="BG458" s="39" t="str">
        <f>URL&amp;IF(ISNUMBER(FIND("?",URL)),"&amp;","?"&amp;("adlid="&amp;Unique_ID&amp;"&amp;adplt="&amp;Placement))</f>
        <v>#N/A</v>
      </c>
      <c r="BH458" s="1"/>
      <c r="BI458" s="1"/>
      <c r="BJ458" s="35" t="str">
        <f>LOWER("alp"&amp;"_"&amp;"vw"&amp;"_"&amp;Veiculo&amp;"_"&amp;C454&amp;"_"&amp;Objetivo)</f>
        <v>alp_vw___</v>
      </c>
      <c r="BK458" s="35" t="str">
        <f>LOWER(Buying_Metric&amp;"_"&amp;VLOOKUP(Buying_Type,Buy_type,2,FALSE)&amp;"_"&amp;Device&amp;"_"&amp;Size&amp;"_"&amp;Segmentação&amp;"_"&amp;Segmentação_Anúncio)</f>
        <v>#N/A</v>
      </c>
      <c r="BL458" s="35" t="str">
        <f>LOWER(Campanha_ou_InsertionOrder&amp;"_"&amp;LineItem_ou_Grupodeanúncio&amp;"_"&amp;Linha_criativa_2&amp;"_"&amp;Unique_ID)</f>
        <v>#N/A</v>
      </c>
      <c r="BM458" s="27"/>
      <c r="BN458" s="27"/>
    </row>
    <row r="459">
      <c r="A459" s="1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8" t="str">
        <f>LOWER(Campanha_ou_InsertionOrder&amp;"_"&amp;LineItem_ou_Grupodeanúncio&amp;"_"&amp;Linha_Criativa&amp;"_"&amp;Unique_ID)</f>
        <v>#N/A</v>
      </c>
      <c r="AN459" s="28" t="str">
        <f>LOWER(Campanha_ou_InsertionOrder&amp;"_"&amp;LineItem_ou_Grupodeanúncio&amp;"_"&amp;Linha_Criativa&amp;"_"&amp;Unique_ID)</f>
        <v>#N/A</v>
      </c>
      <c r="AO459" s="28" t="str">
        <f>LOWER("VW"&amp;"_"&amp;Model_Variant&amp;"_"&amp;Size&amp;"_"&amp;Linha_Criativa&amp;"_"&amp;IF(Servido_Por="portal",Veiculo,"adserver"))</f>
        <v>vw____adserver</v>
      </c>
      <c r="AP4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59" s="22" t="str">
        <f t="shared" si="1"/>
        <v/>
      </c>
      <c r="AS459" s="22" t="str">
        <f t="shared" si="2"/>
        <v/>
      </c>
      <c r="AT459" s="22" t="str">
        <f t="shared" si="3"/>
        <v>BR_IMC_DSY_LANCH_ND_NC_2020Q3AUG_NVS_Nivus-Launch-Consideracao</v>
      </c>
      <c r="AU459" s="22" t="str">
        <f t="shared" si="4"/>
        <v>#N/A</v>
      </c>
      <c r="AV459" s="22" t="s">
        <v>106</v>
      </c>
      <c r="AW4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59" s="22" t="str">
        <f t="shared" si="5"/>
        <v>BR_IMC_DSY_LANCH_ND_NC_2020Q3AUG_NVS_Nivus-Launch-Consideracao</v>
      </c>
      <c r="AY459" s="28" t="str">
        <f t="shared" si="6"/>
        <v>#N/A</v>
      </c>
      <c r="AZ459" s="22" t="s">
        <v>107</v>
      </c>
      <c r="BA459" s="22" t="s">
        <v>108</v>
      </c>
      <c r="BB459" s="31" t="s">
        <v>109</v>
      </c>
      <c r="BC459" s="31" t="s">
        <v>109</v>
      </c>
      <c r="BD459" s="32" t="str">
        <f t="shared" si="8"/>
        <v>nvl-nvs-imc-dsy-0820-10453</v>
      </c>
      <c r="BE459" s="33"/>
      <c r="BF459" s="33"/>
      <c r="BG459" s="39" t="str">
        <f>URL&amp;IF(ISNUMBER(FIND("?",URL)),"&amp;","?"&amp;("adlid="&amp;Unique_ID&amp;"&amp;adplt="&amp;Placement))</f>
        <v>#N/A</v>
      </c>
      <c r="BH459" s="1"/>
      <c r="BI459" s="1"/>
      <c r="BJ459" s="35" t="str">
        <f>LOWER("alp"&amp;"_"&amp;"vw"&amp;"_"&amp;Veiculo&amp;"_"&amp;C455&amp;"_"&amp;Objetivo)</f>
        <v>alp_vw___</v>
      </c>
      <c r="BK459" s="35" t="str">
        <f>LOWER(Buying_Metric&amp;"_"&amp;VLOOKUP(Buying_Type,Buy_type,2,FALSE)&amp;"_"&amp;Device&amp;"_"&amp;Size&amp;"_"&amp;Segmentação&amp;"_"&amp;Segmentação_Anúncio)</f>
        <v>#N/A</v>
      </c>
      <c r="BL459" s="35" t="str">
        <f>LOWER(Campanha_ou_InsertionOrder&amp;"_"&amp;LineItem_ou_Grupodeanúncio&amp;"_"&amp;Linha_criativa_2&amp;"_"&amp;Unique_ID)</f>
        <v>#N/A</v>
      </c>
      <c r="BM459" s="27"/>
      <c r="BN459" s="27"/>
    </row>
    <row r="460">
      <c r="A460" s="1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8" t="str">
        <f>LOWER(Campanha_ou_InsertionOrder&amp;"_"&amp;LineItem_ou_Grupodeanúncio&amp;"_"&amp;Linha_Criativa&amp;"_"&amp;Unique_ID)</f>
        <v>#N/A</v>
      </c>
      <c r="AN460" s="28" t="str">
        <f>LOWER(Campanha_ou_InsertionOrder&amp;"_"&amp;LineItem_ou_Grupodeanúncio&amp;"_"&amp;Linha_Criativa&amp;"_"&amp;Unique_ID)</f>
        <v>#N/A</v>
      </c>
      <c r="AO460" s="28" t="str">
        <f>LOWER("VW"&amp;"_"&amp;Model_Variant&amp;"_"&amp;Size&amp;"_"&amp;Linha_Criativa&amp;"_"&amp;IF(Servido_Por="portal",Veiculo,"adserver"))</f>
        <v>vw____adserver</v>
      </c>
      <c r="AP4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0" s="22" t="str">
        <f t="shared" si="1"/>
        <v/>
      </c>
      <c r="AS460" s="22" t="str">
        <f t="shared" si="2"/>
        <v/>
      </c>
      <c r="AT460" s="22" t="str">
        <f t="shared" si="3"/>
        <v>BR_IMC_DSY_LANCH_ND_NC_2020Q3AUG_NVS_Nivus-Launch-Consideracao</v>
      </c>
      <c r="AU460" s="22" t="str">
        <f t="shared" si="4"/>
        <v>#N/A</v>
      </c>
      <c r="AV460" s="22" t="s">
        <v>106</v>
      </c>
      <c r="AW4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0" s="22" t="str">
        <f t="shared" si="5"/>
        <v>BR_IMC_DSY_LANCH_ND_NC_2020Q3AUG_NVS_Nivus-Launch-Consideracao</v>
      </c>
      <c r="AY460" s="28" t="str">
        <f t="shared" si="6"/>
        <v>#N/A</v>
      </c>
      <c r="AZ460" s="22" t="s">
        <v>107</v>
      </c>
      <c r="BA460" s="22" t="s">
        <v>108</v>
      </c>
      <c r="BB460" s="31" t="s">
        <v>109</v>
      </c>
      <c r="BC460" s="31" t="s">
        <v>109</v>
      </c>
      <c r="BD460" s="32" t="str">
        <f t="shared" si="8"/>
        <v>nvl-nvs-imc-dsy-0820-10454</v>
      </c>
      <c r="BE460" s="33"/>
      <c r="BF460" s="33"/>
      <c r="BG460" s="39" t="str">
        <f>URL&amp;IF(ISNUMBER(FIND("?",URL)),"&amp;","?"&amp;("adlid="&amp;Unique_ID&amp;"&amp;adplt="&amp;Placement))</f>
        <v>#N/A</v>
      </c>
      <c r="BH460" s="1"/>
      <c r="BI460" s="1"/>
      <c r="BJ460" s="35" t="str">
        <f>LOWER("alp"&amp;"_"&amp;"vw"&amp;"_"&amp;Veiculo&amp;"_"&amp;C456&amp;"_"&amp;Objetivo)</f>
        <v>alp_vw___</v>
      </c>
      <c r="BK460" s="35" t="str">
        <f>LOWER(Buying_Metric&amp;"_"&amp;VLOOKUP(Buying_Type,Buy_type,2,FALSE)&amp;"_"&amp;Device&amp;"_"&amp;Size&amp;"_"&amp;Segmentação&amp;"_"&amp;Segmentação_Anúncio)</f>
        <v>#N/A</v>
      </c>
      <c r="BL460" s="35" t="str">
        <f>LOWER(Campanha_ou_InsertionOrder&amp;"_"&amp;LineItem_ou_Grupodeanúncio&amp;"_"&amp;Linha_criativa_2&amp;"_"&amp;Unique_ID)</f>
        <v>#N/A</v>
      </c>
      <c r="BM460" s="27"/>
      <c r="BN460" s="27"/>
    </row>
    <row r="461">
      <c r="A461" s="1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8" t="str">
        <f>LOWER(Campanha_ou_InsertionOrder&amp;"_"&amp;LineItem_ou_Grupodeanúncio&amp;"_"&amp;Linha_Criativa&amp;"_"&amp;Unique_ID)</f>
        <v>#N/A</v>
      </c>
      <c r="AN461" s="28" t="str">
        <f>LOWER(Campanha_ou_InsertionOrder&amp;"_"&amp;LineItem_ou_Grupodeanúncio&amp;"_"&amp;Linha_Criativa&amp;"_"&amp;Unique_ID)</f>
        <v>#N/A</v>
      </c>
      <c r="AO461" s="28" t="str">
        <f>LOWER("VW"&amp;"_"&amp;Model_Variant&amp;"_"&amp;Size&amp;"_"&amp;Linha_Criativa&amp;"_"&amp;IF(Servido_Por="portal",Veiculo,"adserver"))</f>
        <v>vw____adserver</v>
      </c>
      <c r="AP4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1" s="22" t="str">
        <f t="shared" si="1"/>
        <v/>
      </c>
      <c r="AS461" s="22" t="str">
        <f t="shared" si="2"/>
        <v/>
      </c>
      <c r="AT461" s="22" t="str">
        <f t="shared" si="3"/>
        <v>BR_IMC_DSY_LANCH_ND_NC_2020Q3AUG_NVS_Nivus-Launch-Consideracao</v>
      </c>
      <c r="AU461" s="22" t="str">
        <f t="shared" si="4"/>
        <v>#N/A</v>
      </c>
      <c r="AV461" s="22" t="s">
        <v>106</v>
      </c>
      <c r="AW4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1" s="22" t="str">
        <f t="shared" si="5"/>
        <v>BR_IMC_DSY_LANCH_ND_NC_2020Q3AUG_NVS_Nivus-Launch-Consideracao</v>
      </c>
      <c r="AY461" s="28" t="str">
        <f t="shared" si="6"/>
        <v>#N/A</v>
      </c>
      <c r="AZ461" s="22" t="s">
        <v>107</v>
      </c>
      <c r="BA461" s="22" t="s">
        <v>108</v>
      </c>
      <c r="BB461" s="31" t="s">
        <v>109</v>
      </c>
      <c r="BC461" s="31" t="s">
        <v>109</v>
      </c>
      <c r="BD461" s="32" t="str">
        <f t="shared" si="8"/>
        <v>nvl-nvs-imc-dsy-0820-10455</v>
      </c>
      <c r="BE461" s="33"/>
      <c r="BF461" s="33"/>
      <c r="BG461" s="39" t="str">
        <f>URL&amp;IF(ISNUMBER(FIND("?",URL)),"&amp;","?"&amp;("adlid="&amp;Unique_ID&amp;"&amp;adplt="&amp;Placement))</f>
        <v>#N/A</v>
      </c>
      <c r="BH461" s="1"/>
      <c r="BI461" s="1"/>
      <c r="BJ461" s="35" t="str">
        <f>LOWER("alp"&amp;"_"&amp;"vw"&amp;"_"&amp;Veiculo&amp;"_"&amp;C457&amp;"_"&amp;Objetivo)</f>
        <v>alp_vw___</v>
      </c>
      <c r="BK461" s="35" t="str">
        <f>LOWER(Buying_Metric&amp;"_"&amp;VLOOKUP(Buying_Type,Buy_type,2,FALSE)&amp;"_"&amp;Device&amp;"_"&amp;Size&amp;"_"&amp;Segmentação&amp;"_"&amp;Segmentação_Anúncio)</f>
        <v>#N/A</v>
      </c>
      <c r="BL461" s="35" t="str">
        <f>LOWER(Campanha_ou_InsertionOrder&amp;"_"&amp;LineItem_ou_Grupodeanúncio&amp;"_"&amp;Linha_criativa_2&amp;"_"&amp;Unique_ID)</f>
        <v>#N/A</v>
      </c>
      <c r="BM461" s="27"/>
      <c r="BN461" s="27"/>
    </row>
    <row r="462">
      <c r="A462" s="1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8" t="str">
        <f>LOWER(Campanha_ou_InsertionOrder&amp;"_"&amp;LineItem_ou_Grupodeanúncio&amp;"_"&amp;Linha_Criativa&amp;"_"&amp;Unique_ID)</f>
        <v>#N/A</v>
      </c>
      <c r="AN462" s="28" t="str">
        <f>LOWER(Campanha_ou_InsertionOrder&amp;"_"&amp;LineItem_ou_Grupodeanúncio&amp;"_"&amp;Linha_Criativa&amp;"_"&amp;Unique_ID)</f>
        <v>#N/A</v>
      </c>
      <c r="AO462" s="28" t="str">
        <f>LOWER("VW"&amp;"_"&amp;Model_Variant&amp;"_"&amp;Size&amp;"_"&amp;Linha_Criativa&amp;"_"&amp;IF(Servido_Por="portal",Veiculo,"adserver"))</f>
        <v>vw____adserver</v>
      </c>
      <c r="AP4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2" s="22" t="str">
        <f t="shared" si="1"/>
        <v/>
      </c>
      <c r="AS462" s="22" t="str">
        <f t="shared" si="2"/>
        <v/>
      </c>
      <c r="AT462" s="22" t="str">
        <f t="shared" si="3"/>
        <v>BR_IMC_DSY_LANCH_ND_NC_2020Q3AUG_NVS_Nivus-Launch-Consideracao</v>
      </c>
      <c r="AU462" s="22" t="str">
        <f t="shared" si="4"/>
        <v>#N/A</v>
      </c>
      <c r="AV462" s="22" t="s">
        <v>106</v>
      </c>
      <c r="AW4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2" s="22" t="str">
        <f t="shared" si="5"/>
        <v>BR_IMC_DSY_LANCH_ND_NC_2020Q3AUG_NVS_Nivus-Launch-Consideracao</v>
      </c>
      <c r="AY462" s="28" t="str">
        <f t="shared" si="6"/>
        <v>#N/A</v>
      </c>
      <c r="AZ462" s="22" t="s">
        <v>107</v>
      </c>
      <c r="BA462" s="22" t="s">
        <v>108</v>
      </c>
      <c r="BB462" s="31" t="s">
        <v>109</v>
      </c>
      <c r="BC462" s="31" t="s">
        <v>109</v>
      </c>
      <c r="BD462" s="32" t="str">
        <f t="shared" si="8"/>
        <v>nvl-nvs-imc-dsy-0820-10456</v>
      </c>
      <c r="BE462" s="33"/>
      <c r="BF462" s="33"/>
      <c r="BG462" s="39" t="str">
        <f>URL&amp;IF(ISNUMBER(FIND("?",URL)),"&amp;","?"&amp;("adlid="&amp;Unique_ID&amp;"&amp;adplt="&amp;Placement))</f>
        <v>#N/A</v>
      </c>
      <c r="BH462" s="1"/>
      <c r="BI462" s="1"/>
      <c r="BJ462" s="35" t="str">
        <f>LOWER("alp"&amp;"_"&amp;"vw"&amp;"_"&amp;Veiculo&amp;"_"&amp;C458&amp;"_"&amp;Objetivo)</f>
        <v>alp_vw___</v>
      </c>
      <c r="BK462" s="35" t="str">
        <f>LOWER(Buying_Metric&amp;"_"&amp;VLOOKUP(Buying_Type,Buy_type,2,FALSE)&amp;"_"&amp;Device&amp;"_"&amp;Size&amp;"_"&amp;Segmentação&amp;"_"&amp;Segmentação_Anúncio)</f>
        <v>#N/A</v>
      </c>
      <c r="BL462" s="35" t="str">
        <f>LOWER(Campanha_ou_InsertionOrder&amp;"_"&amp;LineItem_ou_Grupodeanúncio&amp;"_"&amp;Linha_criativa_2&amp;"_"&amp;Unique_ID)</f>
        <v>#N/A</v>
      </c>
      <c r="BM462" s="27"/>
      <c r="BN462" s="27"/>
    </row>
    <row r="463">
      <c r="A463" s="1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8" t="str">
        <f>LOWER(Campanha_ou_InsertionOrder&amp;"_"&amp;LineItem_ou_Grupodeanúncio&amp;"_"&amp;Linha_Criativa&amp;"_"&amp;Unique_ID)</f>
        <v>#N/A</v>
      </c>
      <c r="AN463" s="28" t="str">
        <f>LOWER(Campanha_ou_InsertionOrder&amp;"_"&amp;LineItem_ou_Grupodeanúncio&amp;"_"&amp;Linha_Criativa&amp;"_"&amp;Unique_ID)</f>
        <v>#N/A</v>
      </c>
      <c r="AO463" s="28" t="str">
        <f>LOWER("VW"&amp;"_"&amp;Model_Variant&amp;"_"&amp;Size&amp;"_"&amp;Linha_Criativa&amp;"_"&amp;IF(Servido_Por="portal",Veiculo,"adserver"))</f>
        <v>vw____adserver</v>
      </c>
      <c r="AP4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3" s="22" t="str">
        <f t="shared" si="1"/>
        <v/>
      </c>
      <c r="AS463" s="22" t="str">
        <f t="shared" si="2"/>
        <v/>
      </c>
      <c r="AT463" s="22" t="str">
        <f t="shared" si="3"/>
        <v>BR_IMC_DSY_LANCH_ND_NC_2020Q3AUG_NVS_Nivus-Launch-Consideracao</v>
      </c>
      <c r="AU463" s="22" t="str">
        <f t="shared" si="4"/>
        <v>#N/A</v>
      </c>
      <c r="AV463" s="22" t="s">
        <v>106</v>
      </c>
      <c r="AW4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3" s="22" t="str">
        <f t="shared" si="5"/>
        <v>BR_IMC_DSY_LANCH_ND_NC_2020Q3AUG_NVS_Nivus-Launch-Consideracao</v>
      </c>
      <c r="AY463" s="28" t="str">
        <f t="shared" si="6"/>
        <v>#N/A</v>
      </c>
      <c r="AZ463" s="22" t="s">
        <v>107</v>
      </c>
      <c r="BA463" s="22" t="s">
        <v>108</v>
      </c>
      <c r="BB463" s="31" t="s">
        <v>109</v>
      </c>
      <c r="BC463" s="31" t="s">
        <v>109</v>
      </c>
      <c r="BD463" s="32" t="str">
        <f t="shared" si="8"/>
        <v>nvl-nvs-imc-dsy-0820-10457</v>
      </c>
      <c r="BE463" s="33"/>
      <c r="BF463" s="33"/>
      <c r="BG463" s="39" t="str">
        <f>URL&amp;IF(ISNUMBER(FIND("?",URL)),"&amp;","?"&amp;("adlid="&amp;Unique_ID&amp;"&amp;adplt="&amp;Placement))</f>
        <v>#N/A</v>
      </c>
      <c r="BH463" s="1"/>
      <c r="BI463" s="1"/>
      <c r="BJ463" s="35" t="str">
        <f>LOWER("alp"&amp;"_"&amp;"vw"&amp;"_"&amp;Veiculo&amp;"_"&amp;C459&amp;"_"&amp;Objetivo)</f>
        <v>alp_vw___</v>
      </c>
      <c r="BK463" s="35" t="str">
        <f>LOWER(Buying_Metric&amp;"_"&amp;VLOOKUP(Buying_Type,Buy_type,2,FALSE)&amp;"_"&amp;Device&amp;"_"&amp;Size&amp;"_"&amp;Segmentação&amp;"_"&amp;Segmentação_Anúncio)</f>
        <v>#N/A</v>
      </c>
      <c r="BL463" s="35" t="str">
        <f>LOWER(Campanha_ou_InsertionOrder&amp;"_"&amp;LineItem_ou_Grupodeanúncio&amp;"_"&amp;Linha_criativa_2&amp;"_"&amp;Unique_ID)</f>
        <v>#N/A</v>
      </c>
      <c r="BM463" s="27"/>
      <c r="BN463" s="27"/>
    </row>
    <row r="464">
      <c r="A464" s="1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8" t="str">
        <f>LOWER(Campanha_ou_InsertionOrder&amp;"_"&amp;LineItem_ou_Grupodeanúncio&amp;"_"&amp;Linha_Criativa&amp;"_"&amp;Unique_ID)</f>
        <v>#N/A</v>
      </c>
      <c r="AN464" s="28" t="str">
        <f>LOWER(Campanha_ou_InsertionOrder&amp;"_"&amp;LineItem_ou_Grupodeanúncio&amp;"_"&amp;Linha_Criativa&amp;"_"&amp;Unique_ID)</f>
        <v>#N/A</v>
      </c>
      <c r="AO464" s="28" t="str">
        <f>LOWER("VW"&amp;"_"&amp;Model_Variant&amp;"_"&amp;Size&amp;"_"&amp;Linha_Criativa&amp;"_"&amp;IF(Servido_Por="portal",Veiculo,"adserver"))</f>
        <v>vw____adserver</v>
      </c>
      <c r="AP4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4" s="22" t="str">
        <f t="shared" si="1"/>
        <v/>
      </c>
      <c r="AS464" s="22" t="str">
        <f t="shared" si="2"/>
        <v/>
      </c>
      <c r="AT464" s="22" t="str">
        <f t="shared" si="3"/>
        <v>BR_IMC_DSY_LANCH_ND_NC_2020Q3AUG_NVS_Nivus-Launch-Consideracao</v>
      </c>
      <c r="AU464" s="22" t="str">
        <f t="shared" si="4"/>
        <v>#N/A</v>
      </c>
      <c r="AV464" s="22" t="s">
        <v>106</v>
      </c>
      <c r="AW4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4" s="22" t="str">
        <f t="shared" si="5"/>
        <v>BR_IMC_DSY_LANCH_ND_NC_2020Q3AUG_NVS_Nivus-Launch-Consideracao</v>
      </c>
      <c r="AY464" s="28" t="str">
        <f t="shared" si="6"/>
        <v>#N/A</v>
      </c>
      <c r="AZ464" s="22" t="s">
        <v>107</v>
      </c>
      <c r="BA464" s="22" t="s">
        <v>108</v>
      </c>
      <c r="BB464" s="31" t="s">
        <v>109</v>
      </c>
      <c r="BC464" s="31" t="s">
        <v>109</v>
      </c>
      <c r="BD464" s="32" t="str">
        <f t="shared" si="8"/>
        <v>nvl-nvs-imc-dsy-0820-10458</v>
      </c>
      <c r="BE464" s="33"/>
      <c r="BF464" s="33"/>
      <c r="BG464" s="39" t="str">
        <f>URL&amp;IF(ISNUMBER(FIND("?",URL)),"&amp;","?"&amp;("adlid="&amp;Unique_ID&amp;"&amp;adplt="&amp;Placement))</f>
        <v>#N/A</v>
      </c>
      <c r="BH464" s="1"/>
      <c r="BI464" s="1"/>
      <c r="BJ464" s="35" t="str">
        <f>LOWER("alp"&amp;"_"&amp;"vw"&amp;"_"&amp;Veiculo&amp;"_"&amp;C460&amp;"_"&amp;Objetivo)</f>
        <v>alp_vw___</v>
      </c>
      <c r="BK464" s="35" t="str">
        <f>LOWER(Buying_Metric&amp;"_"&amp;VLOOKUP(Buying_Type,Buy_type,2,FALSE)&amp;"_"&amp;Device&amp;"_"&amp;Size&amp;"_"&amp;Segmentação&amp;"_"&amp;Segmentação_Anúncio)</f>
        <v>#N/A</v>
      </c>
      <c r="BL464" s="35" t="str">
        <f>LOWER(Campanha_ou_InsertionOrder&amp;"_"&amp;LineItem_ou_Grupodeanúncio&amp;"_"&amp;Linha_criativa_2&amp;"_"&amp;Unique_ID)</f>
        <v>#N/A</v>
      </c>
      <c r="BM464" s="27"/>
      <c r="BN464" s="27"/>
    </row>
    <row r="465">
      <c r="A465" s="1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8" t="str">
        <f>LOWER(Campanha_ou_InsertionOrder&amp;"_"&amp;LineItem_ou_Grupodeanúncio&amp;"_"&amp;Linha_Criativa&amp;"_"&amp;Unique_ID)</f>
        <v>#N/A</v>
      </c>
      <c r="AN465" s="28" t="str">
        <f>LOWER(Campanha_ou_InsertionOrder&amp;"_"&amp;LineItem_ou_Grupodeanúncio&amp;"_"&amp;Linha_Criativa&amp;"_"&amp;Unique_ID)</f>
        <v>#N/A</v>
      </c>
      <c r="AO465" s="28" t="str">
        <f>LOWER("VW"&amp;"_"&amp;Model_Variant&amp;"_"&amp;Size&amp;"_"&amp;Linha_Criativa&amp;"_"&amp;IF(Servido_Por="portal",Veiculo,"adserver"))</f>
        <v>vw____adserver</v>
      </c>
      <c r="AP4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5" s="22" t="str">
        <f t="shared" si="1"/>
        <v/>
      </c>
      <c r="AS465" s="22" t="str">
        <f t="shared" si="2"/>
        <v/>
      </c>
      <c r="AT465" s="22" t="str">
        <f t="shared" si="3"/>
        <v>BR_IMC_DSY_LANCH_ND_NC_2020Q3AUG_NVS_Nivus-Launch-Consideracao</v>
      </c>
      <c r="AU465" s="22" t="str">
        <f t="shared" si="4"/>
        <v>#N/A</v>
      </c>
      <c r="AV465" s="22" t="s">
        <v>106</v>
      </c>
      <c r="AW4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5" s="22" t="str">
        <f t="shared" si="5"/>
        <v>BR_IMC_DSY_LANCH_ND_NC_2020Q3AUG_NVS_Nivus-Launch-Consideracao</v>
      </c>
      <c r="AY465" s="28" t="str">
        <f t="shared" si="6"/>
        <v>#N/A</v>
      </c>
      <c r="AZ465" s="22" t="s">
        <v>107</v>
      </c>
      <c r="BA465" s="22" t="s">
        <v>108</v>
      </c>
      <c r="BB465" s="31" t="s">
        <v>109</v>
      </c>
      <c r="BC465" s="31" t="s">
        <v>109</v>
      </c>
      <c r="BD465" s="32" t="str">
        <f t="shared" si="8"/>
        <v>nvl-nvs-imc-dsy-0820-10459</v>
      </c>
      <c r="BE465" s="33"/>
      <c r="BF465" s="33"/>
      <c r="BG465" s="39" t="str">
        <f>URL&amp;IF(ISNUMBER(FIND("?",URL)),"&amp;","?"&amp;("adlid="&amp;Unique_ID&amp;"&amp;adplt="&amp;Placement))</f>
        <v>#N/A</v>
      </c>
      <c r="BH465" s="1"/>
      <c r="BI465" s="1"/>
      <c r="BJ465" s="35" t="str">
        <f>LOWER("alp"&amp;"_"&amp;"vw"&amp;"_"&amp;Veiculo&amp;"_"&amp;C461&amp;"_"&amp;Objetivo)</f>
        <v>alp_vw___</v>
      </c>
      <c r="BK465" s="35" t="str">
        <f>LOWER(Buying_Metric&amp;"_"&amp;VLOOKUP(Buying_Type,Buy_type,2,FALSE)&amp;"_"&amp;Device&amp;"_"&amp;Size&amp;"_"&amp;Segmentação&amp;"_"&amp;Segmentação_Anúncio)</f>
        <v>#N/A</v>
      </c>
      <c r="BL465" s="35" t="str">
        <f>LOWER(Campanha_ou_InsertionOrder&amp;"_"&amp;LineItem_ou_Grupodeanúncio&amp;"_"&amp;Linha_criativa_2&amp;"_"&amp;Unique_ID)</f>
        <v>#N/A</v>
      </c>
      <c r="BM465" s="27"/>
      <c r="BN465" s="27"/>
    </row>
    <row r="466">
      <c r="A466" s="1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8" t="str">
        <f>LOWER(Campanha_ou_InsertionOrder&amp;"_"&amp;LineItem_ou_Grupodeanúncio&amp;"_"&amp;Linha_Criativa&amp;"_"&amp;Unique_ID)</f>
        <v>#N/A</v>
      </c>
      <c r="AN466" s="28" t="str">
        <f>LOWER(Campanha_ou_InsertionOrder&amp;"_"&amp;LineItem_ou_Grupodeanúncio&amp;"_"&amp;Linha_Criativa&amp;"_"&amp;Unique_ID)</f>
        <v>#N/A</v>
      </c>
      <c r="AO466" s="28" t="str">
        <f>LOWER("VW"&amp;"_"&amp;Model_Variant&amp;"_"&amp;Size&amp;"_"&amp;Linha_Criativa&amp;"_"&amp;IF(Servido_Por="portal",Veiculo,"adserver"))</f>
        <v>vw____adserver</v>
      </c>
      <c r="AP4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6" s="22" t="str">
        <f t="shared" si="1"/>
        <v/>
      </c>
      <c r="AS466" s="22" t="str">
        <f t="shared" si="2"/>
        <v/>
      </c>
      <c r="AT466" s="22" t="str">
        <f t="shared" si="3"/>
        <v>BR_IMC_DSY_LANCH_ND_NC_2020Q3AUG_NVS_Nivus-Launch-Consideracao</v>
      </c>
      <c r="AU466" s="22" t="str">
        <f t="shared" si="4"/>
        <v>#N/A</v>
      </c>
      <c r="AV466" s="22" t="s">
        <v>106</v>
      </c>
      <c r="AW4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6" s="22" t="str">
        <f t="shared" si="5"/>
        <v>BR_IMC_DSY_LANCH_ND_NC_2020Q3AUG_NVS_Nivus-Launch-Consideracao</v>
      </c>
      <c r="AY466" s="28" t="str">
        <f t="shared" si="6"/>
        <v>#N/A</v>
      </c>
      <c r="AZ466" s="22" t="s">
        <v>107</v>
      </c>
      <c r="BA466" s="22" t="s">
        <v>108</v>
      </c>
      <c r="BB466" s="31" t="s">
        <v>109</v>
      </c>
      <c r="BC466" s="31" t="s">
        <v>109</v>
      </c>
      <c r="BD466" s="32" t="str">
        <f t="shared" si="8"/>
        <v>nvl-nvs-imc-dsy-0820-10460</v>
      </c>
      <c r="BE466" s="33"/>
      <c r="BF466" s="33"/>
      <c r="BG466" s="39" t="str">
        <f>URL&amp;IF(ISNUMBER(FIND("?",URL)),"&amp;","?"&amp;("adlid="&amp;Unique_ID&amp;"&amp;adplt="&amp;Placement))</f>
        <v>#N/A</v>
      </c>
      <c r="BH466" s="1"/>
      <c r="BI466" s="1"/>
      <c r="BJ466" s="35" t="str">
        <f>LOWER("alp"&amp;"_"&amp;"vw"&amp;"_"&amp;Veiculo&amp;"_"&amp;C462&amp;"_"&amp;Objetivo)</f>
        <v>alp_vw___</v>
      </c>
      <c r="BK466" s="35" t="str">
        <f>LOWER(Buying_Metric&amp;"_"&amp;VLOOKUP(Buying_Type,Buy_type,2,FALSE)&amp;"_"&amp;Device&amp;"_"&amp;Size&amp;"_"&amp;Segmentação&amp;"_"&amp;Segmentação_Anúncio)</f>
        <v>#N/A</v>
      </c>
      <c r="BL466" s="35" t="str">
        <f>LOWER(Campanha_ou_InsertionOrder&amp;"_"&amp;LineItem_ou_Grupodeanúncio&amp;"_"&amp;Linha_criativa_2&amp;"_"&amp;Unique_ID)</f>
        <v>#N/A</v>
      </c>
      <c r="BM466" s="27"/>
      <c r="BN466" s="27"/>
    </row>
    <row r="467">
      <c r="A467" s="1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8" t="str">
        <f>LOWER(Campanha_ou_InsertionOrder&amp;"_"&amp;LineItem_ou_Grupodeanúncio&amp;"_"&amp;Linha_Criativa&amp;"_"&amp;Unique_ID)</f>
        <v>#N/A</v>
      </c>
      <c r="AN467" s="28" t="str">
        <f>LOWER(Campanha_ou_InsertionOrder&amp;"_"&amp;LineItem_ou_Grupodeanúncio&amp;"_"&amp;Linha_Criativa&amp;"_"&amp;Unique_ID)</f>
        <v>#N/A</v>
      </c>
      <c r="AO467" s="28" t="str">
        <f>LOWER("VW"&amp;"_"&amp;Model_Variant&amp;"_"&amp;Size&amp;"_"&amp;Linha_Criativa&amp;"_"&amp;IF(Servido_Por="portal",Veiculo,"adserver"))</f>
        <v>vw____adserver</v>
      </c>
      <c r="AP4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7" s="22" t="str">
        <f t="shared" si="1"/>
        <v/>
      </c>
      <c r="AS467" s="22" t="str">
        <f t="shared" si="2"/>
        <v/>
      </c>
      <c r="AT467" s="22" t="str">
        <f t="shared" si="3"/>
        <v>BR_IMC_DSY_LANCH_ND_NC_2020Q3AUG_NVS_Nivus-Launch-Consideracao</v>
      </c>
      <c r="AU467" s="22" t="str">
        <f t="shared" si="4"/>
        <v>#N/A</v>
      </c>
      <c r="AV467" s="22" t="s">
        <v>106</v>
      </c>
      <c r="AW4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7" s="22" t="str">
        <f t="shared" si="5"/>
        <v>BR_IMC_DSY_LANCH_ND_NC_2020Q3AUG_NVS_Nivus-Launch-Consideracao</v>
      </c>
      <c r="AY467" s="28" t="str">
        <f t="shared" si="6"/>
        <v>#N/A</v>
      </c>
      <c r="AZ467" s="22" t="s">
        <v>107</v>
      </c>
      <c r="BA467" s="22" t="s">
        <v>108</v>
      </c>
      <c r="BB467" s="31" t="s">
        <v>109</v>
      </c>
      <c r="BC467" s="31" t="s">
        <v>109</v>
      </c>
      <c r="BD467" s="32" t="str">
        <f t="shared" si="8"/>
        <v>nvl-nvs-imc-dsy-0820-10461</v>
      </c>
      <c r="BE467" s="33"/>
      <c r="BF467" s="33"/>
      <c r="BG467" s="39" t="str">
        <f>URL&amp;IF(ISNUMBER(FIND("?",URL)),"&amp;","?"&amp;("adlid="&amp;Unique_ID&amp;"&amp;adplt="&amp;Placement))</f>
        <v>#N/A</v>
      </c>
      <c r="BH467" s="1"/>
      <c r="BI467" s="1"/>
      <c r="BJ467" s="35" t="str">
        <f>LOWER("alp"&amp;"_"&amp;"vw"&amp;"_"&amp;Veiculo&amp;"_"&amp;C463&amp;"_"&amp;Objetivo)</f>
        <v>alp_vw___</v>
      </c>
      <c r="BK467" s="35" t="str">
        <f>LOWER(Buying_Metric&amp;"_"&amp;VLOOKUP(Buying_Type,Buy_type,2,FALSE)&amp;"_"&amp;Device&amp;"_"&amp;Size&amp;"_"&amp;Segmentação&amp;"_"&amp;Segmentação_Anúncio)</f>
        <v>#N/A</v>
      </c>
      <c r="BL467" s="35" t="str">
        <f>LOWER(Campanha_ou_InsertionOrder&amp;"_"&amp;LineItem_ou_Grupodeanúncio&amp;"_"&amp;Linha_criativa_2&amp;"_"&amp;Unique_ID)</f>
        <v>#N/A</v>
      </c>
      <c r="BM467" s="27"/>
      <c r="BN467" s="27"/>
    </row>
    <row r="468">
      <c r="A468" s="1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8" t="str">
        <f>LOWER(Campanha_ou_InsertionOrder&amp;"_"&amp;LineItem_ou_Grupodeanúncio&amp;"_"&amp;Linha_Criativa&amp;"_"&amp;Unique_ID)</f>
        <v>#N/A</v>
      </c>
      <c r="AN468" s="28" t="str">
        <f>LOWER(Campanha_ou_InsertionOrder&amp;"_"&amp;LineItem_ou_Grupodeanúncio&amp;"_"&amp;Linha_Criativa&amp;"_"&amp;Unique_ID)</f>
        <v>#N/A</v>
      </c>
      <c r="AO468" s="28" t="str">
        <f>LOWER("VW"&amp;"_"&amp;Model_Variant&amp;"_"&amp;Size&amp;"_"&amp;Linha_Criativa&amp;"_"&amp;IF(Servido_Por="portal",Veiculo,"adserver"))</f>
        <v>vw____adserver</v>
      </c>
      <c r="AP4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8" s="22" t="str">
        <f t="shared" si="1"/>
        <v/>
      </c>
      <c r="AS468" s="22" t="str">
        <f t="shared" si="2"/>
        <v/>
      </c>
      <c r="AT468" s="22" t="str">
        <f t="shared" si="3"/>
        <v>BR_IMC_DSY_LANCH_ND_NC_2020Q3AUG_NVS_Nivus-Launch-Consideracao</v>
      </c>
      <c r="AU468" s="22" t="str">
        <f t="shared" si="4"/>
        <v>#N/A</v>
      </c>
      <c r="AV468" s="22" t="s">
        <v>106</v>
      </c>
      <c r="AW4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8" s="22" t="str">
        <f t="shared" si="5"/>
        <v>BR_IMC_DSY_LANCH_ND_NC_2020Q3AUG_NVS_Nivus-Launch-Consideracao</v>
      </c>
      <c r="AY468" s="28" t="str">
        <f t="shared" si="6"/>
        <v>#N/A</v>
      </c>
      <c r="AZ468" s="22" t="s">
        <v>107</v>
      </c>
      <c r="BA468" s="22" t="s">
        <v>108</v>
      </c>
      <c r="BB468" s="31" t="s">
        <v>109</v>
      </c>
      <c r="BC468" s="31" t="s">
        <v>109</v>
      </c>
      <c r="BD468" s="32" t="str">
        <f t="shared" si="8"/>
        <v>nvl-nvs-imc-dsy-0820-10462</v>
      </c>
      <c r="BE468" s="33"/>
      <c r="BF468" s="33"/>
      <c r="BG468" s="39" t="str">
        <f>URL&amp;IF(ISNUMBER(FIND("?",URL)),"&amp;","?"&amp;("adlid="&amp;Unique_ID&amp;"&amp;adplt="&amp;Placement))</f>
        <v>#N/A</v>
      </c>
      <c r="BH468" s="1"/>
      <c r="BI468" s="1"/>
      <c r="BJ468" s="35" t="str">
        <f>LOWER("alp"&amp;"_"&amp;"vw"&amp;"_"&amp;Veiculo&amp;"_"&amp;C464&amp;"_"&amp;Objetivo)</f>
        <v>alp_vw___</v>
      </c>
      <c r="BK468" s="35" t="str">
        <f>LOWER(Buying_Metric&amp;"_"&amp;VLOOKUP(Buying_Type,Buy_type,2,FALSE)&amp;"_"&amp;Device&amp;"_"&amp;Size&amp;"_"&amp;Segmentação&amp;"_"&amp;Segmentação_Anúncio)</f>
        <v>#N/A</v>
      </c>
      <c r="BL468" s="35" t="str">
        <f>LOWER(Campanha_ou_InsertionOrder&amp;"_"&amp;LineItem_ou_Grupodeanúncio&amp;"_"&amp;Linha_criativa_2&amp;"_"&amp;Unique_ID)</f>
        <v>#N/A</v>
      </c>
      <c r="BM468" s="27"/>
      <c r="BN468" s="27"/>
    </row>
    <row r="469">
      <c r="A469" s="1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8" t="str">
        <f>LOWER(Campanha_ou_InsertionOrder&amp;"_"&amp;LineItem_ou_Grupodeanúncio&amp;"_"&amp;Linha_Criativa&amp;"_"&amp;Unique_ID)</f>
        <v>#N/A</v>
      </c>
      <c r="AN469" s="28" t="str">
        <f>LOWER(Campanha_ou_InsertionOrder&amp;"_"&amp;LineItem_ou_Grupodeanúncio&amp;"_"&amp;Linha_Criativa&amp;"_"&amp;Unique_ID)</f>
        <v>#N/A</v>
      </c>
      <c r="AO469" s="28" t="str">
        <f>LOWER("VW"&amp;"_"&amp;Model_Variant&amp;"_"&amp;Size&amp;"_"&amp;Linha_Criativa&amp;"_"&amp;IF(Servido_Por="portal",Veiculo,"adserver"))</f>
        <v>vw____adserver</v>
      </c>
      <c r="AP4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69" s="22" t="str">
        <f t="shared" si="1"/>
        <v/>
      </c>
      <c r="AS469" s="22" t="str">
        <f t="shared" si="2"/>
        <v/>
      </c>
      <c r="AT469" s="22" t="str">
        <f t="shared" si="3"/>
        <v>BR_IMC_DSY_LANCH_ND_NC_2020Q3AUG_NVS_Nivus-Launch-Consideracao</v>
      </c>
      <c r="AU469" s="22" t="str">
        <f t="shared" si="4"/>
        <v>#N/A</v>
      </c>
      <c r="AV469" s="22" t="s">
        <v>106</v>
      </c>
      <c r="AW4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69" s="22" t="str">
        <f t="shared" si="5"/>
        <v>BR_IMC_DSY_LANCH_ND_NC_2020Q3AUG_NVS_Nivus-Launch-Consideracao</v>
      </c>
      <c r="AY469" s="28" t="str">
        <f t="shared" si="6"/>
        <v>#N/A</v>
      </c>
      <c r="AZ469" s="22" t="s">
        <v>107</v>
      </c>
      <c r="BA469" s="22" t="s">
        <v>108</v>
      </c>
      <c r="BB469" s="31" t="s">
        <v>109</v>
      </c>
      <c r="BC469" s="31" t="s">
        <v>109</v>
      </c>
      <c r="BD469" s="32" t="str">
        <f t="shared" si="8"/>
        <v>nvl-nvs-imc-dsy-0820-10463</v>
      </c>
      <c r="BE469" s="33"/>
      <c r="BF469" s="33"/>
      <c r="BG469" s="39" t="str">
        <f>URL&amp;IF(ISNUMBER(FIND("?",URL)),"&amp;","?"&amp;("adlid="&amp;Unique_ID&amp;"&amp;adplt="&amp;Placement))</f>
        <v>#N/A</v>
      </c>
      <c r="BH469" s="1"/>
      <c r="BI469" s="1"/>
      <c r="BJ469" s="35" t="str">
        <f>LOWER("alp"&amp;"_"&amp;"vw"&amp;"_"&amp;Veiculo&amp;"_"&amp;C465&amp;"_"&amp;Objetivo)</f>
        <v>alp_vw___</v>
      </c>
      <c r="BK469" s="35" t="str">
        <f>LOWER(Buying_Metric&amp;"_"&amp;VLOOKUP(Buying_Type,Buy_type,2,FALSE)&amp;"_"&amp;Device&amp;"_"&amp;Size&amp;"_"&amp;Segmentação&amp;"_"&amp;Segmentação_Anúncio)</f>
        <v>#N/A</v>
      </c>
      <c r="BL469" s="35" t="str">
        <f>LOWER(Campanha_ou_InsertionOrder&amp;"_"&amp;LineItem_ou_Grupodeanúncio&amp;"_"&amp;Linha_criativa_2&amp;"_"&amp;Unique_ID)</f>
        <v>#N/A</v>
      </c>
      <c r="BM469" s="27"/>
      <c r="BN469" s="27"/>
    </row>
    <row r="470">
      <c r="A470" s="1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8" t="str">
        <f>LOWER(Campanha_ou_InsertionOrder&amp;"_"&amp;LineItem_ou_Grupodeanúncio&amp;"_"&amp;Linha_Criativa&amp;"_"&amp;Unique_ID)</f>
        <v>#N/A</v>
      </c>
      <c r="AN470" s="28" t="str">
        <f>LOWER(Campanha_ou_InsertionOrder&amp;"_"&amp;LineItem_ou_Grupodeanúncio&amp;"_"&amp;Linha_Criativa&amp;"_"&amp;Unique_ID)</f>
        <v>#N/A</v>
      </c>
      <c r="AO470" s="28" t="str">
        <f>LOWER("VW"&amp;"_"&amp;Model_Variant&amp;"_"&amp;Size&amp;"_"&amp;Linha_Criativa&amp;"_"&amp;IF(Servido_Por="portal",Veiculo,"adserver"))</f>
        <v>vw____adserver</v>
      </c>
      <c r="AP4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0" s="22" t="str">
        <f t="shared" si="1"/>
        <v/>
      </c>
      <c r="AS470" s="22" t="str">
        <f t="shared" si="2"/>
        <v/>
      </c>
      <c r="AT470" s="22" t="str">
        <f t="shared" si="3"/>
        <v>BR_IMC_DSY_LANCH_ND_NC_2020Q3AUG_NVS_Nivus-Launch-Consideracao</v>
      </c>
      <c r="AU470" s="22" t="str">
        <f t="shared" si="4"/>
        <v>#N/A</v>
      </c>
      <c r="AV470" s="22" t="s">
        <v>106</v>
      </c>
      <c r="AW4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0" s="22" t="str">
        <f t="shared" si="5"/>
        <v>BR_IMC_DSY_LANCH_ND_NC_2020Q3AUG_NVS_Nivus-Launch-Consideracao</v>
      </c>
      <c r="AY470" s="28" t="str">
        <f t="shared" si="6"/>
        <v>#N/A</v>
      </c>
      <c r="AZ470" s="22" t="s">
        <v>107</v>
      </c>
      <c r="BA470" s="22" t="s">
        <v>108</v>
      </c>
      <c r="BB470" s="31" t="s">
        <v>109</v>
      </c>
      <c r="BC470" s="31" t="s">
        <v>109</v>
      </c>
      <c r="BD470" s="32" t="str">
        <f t="shared" si="8"/>
        <v>nvl-nvs-imc-dsy-0820-10464</v>
      </c>
      <c r="BE470" s="33"/>
      <c r="BF470" s="33"/>
      <c r="BG470" s="39" t="str">
        <f>URL&amp;IF(ISNUMBER(FIND("?",URL)),"&amp;","?"&amp;("adlid="&amp;Unique_ID&amp;"&amp;adplt="&amp;Placement))</f>
        <v>#N/A</v>
      </c>
      <c r="BH470" s="1"/>
      <c r="BI470" s="1"/>
      <c r="BJ470" s="35" t="str">
        <f>LOWER("alp"&amp;"_"&amp;"vw"&amp;"_"&amp;Veiculo&amp;"_"&amp;C466&amp;"_"&amp;Objetivo)</f>
        <v>alp_vw___</v>
      </c>
      <c r="BK470" s="35" t="str">
        <f>LOWER(Buying_Metric&amp;"_"&amp;VLOOKUP(Buying_Type,Buy_type,2,FALSE)&amp;"_"&amp;Device&amp;"_"&amp;Size&amp;"_"&amp;Segmentação&amp;"_"&amp;Segmentação_Anúncio)</f>
        <v>#N/A</v>
      </c>
      <c r="BL470" s="35" t="str">
        <f>LOWER(Campanha_ou_InsertionOrder&amp;"_"&amp;LineItem_ou_Grupodeanúncio&amp;"_"&amp;Linha_criativa_2&amp;"_"&amp;Unique_ID)</f>
        <v>#N/A</v>
      </c>
      <c r="BM470" s="27"/>
      <c r="BN470" s="27"/>
    </row>
    <row r="471">
      <c r="A471" s="1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8" t="str">
        <f>LOWER(Campanha_ou_InsertionOrder&amp;"_"&amp;LineItem_ou_Grupodeanúncio&amp;"_"&amp;Linha_Criativa&amp;"_"&amp;Unique_ID)</f>
        <v>#N/A</v>
      </c>
      <c r="AN471" s="28" t="str">
        <f>LOWER(Campanha_ou_InsertionOrder&amp;"_"&amp;LineItem_ou_Grupodeanúncio&amp;"_"&amp;Linha_Criativa&amp;"_"&amp;Unique_ID)</f>
        <v>#N/A</v>
      </c>
      <c r="AO471" s="28" t="str">
        <f>LOWER("VW"&amp;"_"&amp;Model_Variant&amp;"_"&amp;Size&amp;"_"&amp;Linha_Criativa&amp;"_"&amp;IF(Servido_Por="portal",Veiculo,"adserver"))</f>
        <v>vw____adserver</v>
      </c>
      <c r="AP4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1" s="22" t="str">
        <f t="shared" si="1"/>
        <v/>
      </c>
      <c r="AS471" s="22" t="str">
        <f t="shared" si="2"/>
        <v/>
      </c>
      <c r="AT471" s="22" t="str">
        <f t="shared" si="3"/>
        <v>BR_IMC_DSY_LANCH_ND_NC_2020Q3AUG_NVS_Nivus-Launch-Consideracao</v>
      </c>
      <c r="AU471" s="22" t="str">
        <f t="shared" si="4"/>
        <v>#N/A</v>
      </c>
      <c r="AV471" s="22" t="s">
        <v>106</v>
      </c>
      <c r="AW4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1" s="22" t="str">
        <f t="shared" si="5"/>
        <v>BR_IMC_DSY_LANCH_ND_NC_2020Q3AUG_NVS_Nivus-Launch-Consideracao</v>
      </c>
      <c r="AY471" s="28" t="str">
        <f t="shared" si="6"/>
        <v>#N/A</v>
      </c>
      <c r="AZ471" s="22" t="s">
        <v>107</v>
      </c>
      <c r="BA471" s="22" t="s">
        <v>108</v>
      </c>
      <c r="BB471" s="31" t="s">
        <v>109</v>
      </c>
      <c r="BC471" s="31" t="s">
        <v>109</v>
      </c>
      <c r="BD471" s="32" t="str">
        <f t="shared" si="8"/>
        <v>nvl-nvs-imc-dsy-0820-10465</v>
      </c>
      <c r="BE471" s="33"/>
      <c r="BF471" s="33"/>
      <c r="BG471" s="39" t="str">
        <f>URL&amp;IF(ISNUMBER(FIND("?",URL)),"&amp;","?"&amp;("adlid="&amp;Unique_ID&amp;"&amp;adplt="&amp;Placement))</f>
        <v>#N/A</v>
      </c>
      <c r="BH471" s="1"/>
      <c r="BI471" s="1"/>
      <c r="BJ471" s="35" t="str">
        <f>LOWER("alp"&amp;"_"&amp;"vw"&amp;"_"&amp;Veiculo&amp;"_"&amp;C467&amp;"_"&amp;Objetivo)</f>
        <v>alp_vw___</v>
      </c>
      <c r="BK471" s="35" t="str">
        <f>LOWER(Buying_Metric&amp;"_"&amp;VLOOKUP(Buying_Type,Buy_type,2,FALSE)&amp;"_"&amp;Device&amp;"_"&amp;Size&amp;"_"&amp;Segmentação&amp;"_"&amp;Segmentação_Anúncio)</f>
        <v>#N/A</v>
      </c>
      <c r="BL471" s="35" t="str">
        <f>LOWER(Campanha_ou_InsertionOrder&amp;"_"&amp;LineItem_ou_Grupodeanúncio&amp;"_"&amp;Linha_criativa_2&amp;"_"&amp;Unique_ID)</f>
        <v>#N/A</v>
      </c>
      <c r="BM471" s="27"/>
      <c r="BN471" s="27"/>
    </row>
    <row r="472">
      <c r="A472" s="1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8" t="str">
        <f>LOWER(Campanha_ou_InsertionOrder&amp;"_"&amp;LineItem_ou_Grupodeanúncio&amp;"_"&amp;Linha_Criativa&amp;"_"&amp;Unique_ID)</f>
        <v>#N/A</v>
      </c>
      <c r="AN472" s="28" t="str">
        <f>LOWER(Campanha_ou_InsertionOrder&amp;"_"&amp;LineItem_ou_Grupodeanúncio&amp;"_"&amp;Linha_Criativa&amp;"_"&amp;Unique_ID)</f>
        <v>#N/A</v>
      </c>
      <c r="AO472" s="28" t="str">
        <f>LOWER("VW"&amp;"_"&amp;Model_Variant&amp;"_"&amp;Size&amp;"_"&amp;Linha_Criativa&amp;"_"&amp;IF(Servido_Por="portal",Veiculo,"adserver"))</f>
        <v>vw____adserver</v>
      </c>
      <c r="AP4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2" s="22" t="str">
        <f t="shared" si="1"/>
        <v/>
      </c>
      <c r="AS472" s="22" t="str">
        <f t="shared" si="2"/>
        <v/>
      </c>
      <c r="AT472" s="22" t="str">
        <f t="shared" si="3"/>
        <v>BR_IMC_DSY_LANCH_ND_NC_2020Q3AUG_NVS_Nivus-Launch-Consideracao</v>
      </c>
      <c r="AU472" s="22" t="str">
        <f t="shared" si="4"/>
        <v>#N/A</v>
      </c>
      <c r="AV472" s="22" t="s">
        <v>106</v>
      </c>
      <c r="AW4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2" s="22" t="str">
        <f t="shared" si="5"/>
        <v>BR_IMC_DSY_LANCH_ND_NC_2020Q3AUG_NVS_Nivus-Launch-Consideracao</v>
      </c>
      <c r="AY472" s="28" t="str">
        <f t="shared" si="6"/>
        <v>#N/A</v>
      </c>
      <c r="AZ472" s="22" t="s">
        <v>107</v>
      </c>
      <c r="BA472" s="22" t="s">
        <v>108</v>
      </c>
      <c r="BB472" s="31" t="s">
        <v>109</v>
      </c>
      <c r="BC472" s="31" t="s">
        <v>109</v>
      </c>
      <c r="BD472" s="32" t="str">
        <f t="shared" si="8"/>
        <v>nvl-nvs-imc-dsy-0820-10466</v>
      </c>
      <c r="BE472" s="33"/>
      <c r="BF472" s="33"/>
      <c r="BG472" s="39" t="str">
        <f>URL&amp;IF(ISNUMBER(FIND("?",URL)),"&amp;","?"&amp;("adlid="&amp;Unique_ID&amp;"&amp;adplt="&amp;Placement))</f>
        <v>#N/A</v>
      </c>
      <c r="BH472" s="1"/>
      <c r="BI472" s="1"/>
      <c r="BJ472" s="35" t="str">
        <f>LOWER("alp"&amp;"_"&amp;"vw"&amp;"_"&amp;Veiculo&amp;"_"&amp;C468&amp;"_"&amp;Objetivo)</f>
        <v>alp_vw___</v>
      </c>
      <c r="BK472" s="35" t="str">
        <f>LOWER(Buying_Metric&amp;"_"&amp;VLOOKUP(Buying_Type,Buy_type,2,FALSE)&amp;"_"&amp;Device&amp;"_"&amp;Size&amp;"_"&amp;Segmentação&amp;"_"&amp;Segmentação_Anúncio)</f>
        <v>#N/A</v>
      </c>
      <c r="BL472" s="35" t="str">
        <f>LOWER(Campanha_ou_InsertionOrder&amp;"_"&amp;LineItem_ou_Grupodeanúncio&amp;"_"&amp;Linha_criativa_2&amp;"_"&amp;Unique_ID)</f>
        <v>#N/A</v>
      </c>
      <c r="BM472" s="27"/>
      <c r="BN472" s="27"/>
    </row>
    <row r="473">
      <c r="A473" s="1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8" t="str">
        <f>LOWER(Campanha_ou_InsertionOrder&amp;"_"&amp;LineItem_ou_Grupodeanúncio&amp;"_"&amp;Linha_Criativa&amp;"_"&amp;Unique_ID)</f>
        <v>#N/A</v>
      </c>
      <c r="AN473" s="28" t="str">
        <f>LOWER(Campanha_ou_InsertionOrder&amp;"_"&amp;LineItem_ou_Grupodeanúncio&amp;"_"&amp;Linha_Criativa&amp;"_"&amp;Unique_ID)</f>
        <v>#N/A</v>
      </c>
      <c r="AO473" s="28" t="str">
        <f>LOWER("VW"&amp;"_"&amp;Model_Variant&amp;"_"&amp;Size&amp;"_"&amp;Linha_Criativa&amp;"_"&amp;IF(Servido_Por="portal",Veiculo,"adserver"))</f>
        <v>vw____adserver</v>
      </c>
      <c r="AP4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3" s="22" t="str">
        <f t="shared" si="1"/>
        <v/>
      </c>
      <c r="AS473" s="22" t="str">
        <f t="shared" si="2"/>
        <v/>
      </c>
      <c r="AT473" s="22" t="str">
        <f t="shared" si="3"/>
        <v>BR_IMC_DSY_LANCH_ND_NC_2020Q3AUG_NVS_Nivus-Launch-Consideracao</v>
      </c>
      <c r="AU473" s="22" t="str">
        <f t="shared" si="4"/>
        <v>#N/A</v>
      </c>
      <c r="AV473" s="22" t="s">
        <v>106</v>
      </c>
      <c r="AW4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3" s="22" t="str">
        <f t="shared" si="5"/>
        <v>BR_IMC_DSY_LANCH_ND_NC_2020Q3AUG_NVS_Nivus-Launch-Consideracao</v>
      </c>
      <c r="AY473" s="28" t="str">
        <f t="shared" si="6"/>
        <v>#N/A</v>
      </c>
      <c r="AZ473" s="22" t="s">
        <v>107</v>
      </c>
      <c r="BA473" s="22" t="s">
        <v>108</v>
      </c>
      <c r="BB473" s="31" t="s">
        <v>109</v>
      </c>
      <c r="BC473" s="31" t="s">
        <v>109</v>
      </c>
      <c r="BD473" s="32" t="str">
        <f t="shared" si="8"/>
        <v>nvl-nvs-imc-dsy-0820-10467</v>
      </c>
      <c r="BE473" s="33"/>
      <c r="BF473" s="33"/>
      <c r="BG473" s="39" t="str">
        <f>URL&amp;IF(ISNUMBER(FIND("?",URL)),"&amp;","?"&amp;("adlid="&amp;Unique_ID&amp;"&amp;adplt="&amp;Placement))</f>
        <v>#N/A</v>
      </c>
      <c r="BH473" s="1"/>
      <c r="BI473" s="1"/>
      <c r="BJ473" s="35" t="str">
        <f>LOWER("alp"&amp;"_"&amp;"vw"&amp;"_"&amp;Veiculo&amp;"_"&amp;C469&amp;"_"&amp;Objetivo)</f>
        <v>alp_vw___</v>
      </c>
      <c r="BK473" s="35" t="str">
        <f>LOWER(Buying_Metric&amp;"_"&amp;VLOOKUP(Buying_Type,Buy_type,2,FALSE)&amp;"_"&amp;Device&amp;"_"&amp;Size&amp;"_"&amp;Segmentação&amp;"_"&amp;Segmentação_Anúncio)</f>
        <v>#N/A</v>
      </c>
      <c r="BL473" s="35" t="str">
        <f>LOWER(Campanha_ou_InsertionOrder&amp;"_"&amp;LineItem_ou_Grupodeanúncio&amp;"_"&amp;Linha_criativa_2&amp;"_"&amp;Unique_ID)</f>
        <v>#N/A</v>
      </c>
      <c r="BM473" s="27"/>
      <c r="BN473" s="27"/>
    </row>
    <row r="474">
      <c r="A474" s="1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8" t="str">
        <f>LOWER(Campanha_ou_InsertionOrder&amp;"_"&amp;LineItem_ou_Grupodeanúncio&amp;"_"&amp;Linha_Criativa&amp;"_"&amp;Unique_ID)</f>
        <v>#N/A</v>
      </c>
      <c r="AN474" s="28" t="str">
        <f>LOWER(Campanha_ou_InsertionOrder&amp;"_"&amp;LineItem_ou_Grupodeanúncio&amp;"_"&amp;Linha_Criativa&amp;"_"&amp;Unique_ID)</f>
        <v>#N/A</v>
      </c>
      <c r="AO474" s="28" t="str">
        <f>LOWER("VW"&amp;"_"&amp;Model_Variant&amp;"_"&amp;Size&amp;"_"&amp;Linha_Criativa&amp;"_"&amp;IF(Servido_Por="portal",Veiculo,"adserver"))</f>
        <v>vw____adserver</v>
      </c>
      <c r="AP4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4" s="22" t="str">
        <f t="shared" si="1"/>
        <v/>
      </c>
      <c r="AS474" s="22" t="str">
        <f t="shared" si="2"/>
        <v/>
      </c>
      <c r="AT474" s="22" t="str">
        <f t="shared" si="3"/>
        <v>BR_IMC_DSY_LANCH_ND_NC_2020Q3AUG_NVS_Nivus-Launch-Consideracao</v>
      </c>
      <c r="AU474" s="22" t="str">
        <f t="shared" si="4"/>
        <v>#N/A</v>
      </c>
      <c r="AV474" s="22" t="s">
        <v>106</v>
      </c>
      <c r="AW4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4" s="22" t="str">
        <f t="shared" si="5"/>
        <v>BR_IMC_DSY_LANCH_ND_NC_2020Q3AUG_NVS_Nivus-Launch-Consideracao</v>
      </c>
      <c r="AY474" s="28" t="str">
        <f t="shared" si="6"/>
        <v>#N/A</v>
      </c>
      <c r="AZ474" s="22" t="s">
        <v>107</v>
      </c>
      <c r="BA474" s="22" t="s">
        <v>108</v>
      </c>
      <c r="BB474" s="31" t="s">
        <v>109</v>
      </c>
      <c r="BC474" s="31" t="s">
        <v>109</v>
      </c>
      <c r="BD474" s="32" t="str">
        <f t="shared" si="8"/>
        <v>nvl-nvs-imc-dsy-0820-10468</v>
      </c>
      <c r="BE474" s="33"/>
      <c r="BF474" s="33"/>
      <c r="BG474" s="39" t="str">
        <f>URL&amp;IF(ISNUMBER(FIND("?",URL)),"&amp;","?"&amp;("adlid="&amp;Unique_ID&amp;"&amp;adplt="&amp;Placement))</f>
        <v>#N/A</v>
      </c>
      <c r="BH474" s="1"/>
      <c r="BI474" s="1"/>
      <c r="BJ474" s="35" t="str">
        <f>LOWER("alp"&amp;"_"&amp;"vw"&amp;"_"&amp;Veiculo&amp;"_"&amp;C470&amp;"_"&amp;Objetivo)</f>
        <v>alp_vw___</v>
      </c>
      <c r="BK474" s="35" t="str">
        <f>LOWER(Buying_Metric&amp;"_"&amp;VLOOKUP(Buying_Type,Buy_type,2,FALSE)&amp;"_"&amp;Device&amp;"_"&amp;Size&amp;"_"&amp;Segmentação&amp;"_"&amp;Segmentação_Anúncio)</f>
        <v>#N/A</v>
      </c>
      <c r="BL474" s="35" t="str">
        <f>LOWER(Campanha_ou_InsertionOrder&amp;"_"&amp;LineItem_ou_Grupodeanúncio&amp;"_"&amp;Linha_criativa_2&amp;"_"&amp;Unique_ID)</f>
        <v>#N/A</v>
      </c>
      <c r="BM474" s="27"/>
      <c r="BN474" s="27"/>
    </row>
    <row r="475">
      <c r="A475" s="1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8" t="str">
        <f>LOWER(Campanha_ou_InsertionOrder&amp;"_"&amp;LineItem_ou_Grupodeanúncio&amp;"_"&amp;Linha_Criativa&amp;"_"&amp;Unique_ID)</f>
        <v>#N/A</v>
      </c>
      <c r="AN475" s="28" t="str">
        <f>LOWER(Campanha_ou_InsertionOrder&amp;"_"&amp;LineItem_ou_Grupodeanúncio&amp;"_"&amp;Linha_Criativa&amp;"_"&amp;Unique_ID)</f>
        <v>#N/A</v>
      </c>
      <c r="AO475" s="28" t="str">
        <f>LOWER("VW"&amp;"_"&amp;Model_Variant&amp;"_"&amp;Size&amp;"_"&amp;Linha_Criativa&amp;"_"&amp;IF(Servido_Por="portal",Veiculo,"adserver"))</f>
        <v>vw____adserver</v>
      </c>
      <c r="AP4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5" s="22" t="str">
        <f t="shared" si="1"/>
        <v/>
      </c>
      <c r="AS475" s="22" t="str">
        <f t="shared" si="2"/>
        <v/>
      </c>
      <c r="AT475" s="22" t="str">
        <f t="shared" si="3"/>
        <v>BR_IMC_DSY_LANCH_ND_NC_2020Q3AUG_NVS_Nivus-Launch-Consideracao</v>
      </c>
      <c r="AU475" s="22" t="str">
        <f t="shared" si="4"/>
        <v>#N/A</v>
      </c>
      <c r="AV475" s="22" t="s">
        <v>106</v>
      </c>
      <c r="AW4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5" s="22" t="str">
        <f t="shared" si="5"/>
        <v>BR_IMC_DSY_LANCH_ND_NC_2020Q3AUG_NVS_Nivus-Launch-Consideracao</v>
      </c>
      <c r="AY475" s="28" t="str">
        <f t="shared" si="6"/>
        <v>#N/A</v>
      </c>
      <c r="AZ475" s="22" t="s">
        <v>107</v>
      </c>
      <c r="BA475" s="22" t="s">
        <v>108</v>
      </c>
      <c r="BB475" s="31" t="s">
        <v>109</v>
      </c>
      <c r="BC475" s="31" t="s">
        <v>109</v>
      </c>
      <c r="BD475" s="32" t="str">
        <f t="shared" si="8"/>
        <v>nvl-nvs-imc-dsy-0820-10469</v>
      </c>
      <c r="BE475" s="33"/>
      <c r="BF475" s="33"/>
      <c r="BG475" s="39" t="str">
        <f>URL&amp;IF(ISNUMBER(FIND("?",URL)),"&amp;","?"&amp;("adlid="&amp;Unique_ID&amp;"&amp;adplt="&amp;Placement))</f>
        <v>#N/A</v>
      </c>
      <c r="BH475" s="1"/>
      <c r="BI475" s="1"/>
      <c r="BJ475" s="35" t="str">
        <f>LOWER("alp"&amp;"_"&amp;"vw"&amp;"_"&amp;Veiculo&amp;"_"&amp;C471&amp;"_"&amp;Objetivo)</f>
        <v>alp_vw___</v>
      </c>
      <c r="BK475" s="35" t="str">
        <f>LOWER(Buying_Metric&amp;"_"&amp;VLOOKUP(Buying_Type,Buy_type,2,FALSE)&amp;"_"&amp;Device&amp;"_"&amp;Size&amp;"_"&amp;Segmentação&amp;"_"&amp;Segmentação_Anúncio)</f>
        <v>#N/A</v>
      </c>
      <c r="BL475" s="35" t="str">
        <f>LOWER(Campanha_ou_InsertionOrder&amp;"_"&amp;LineItem_ou_Grupodeanúncio&amp;"_"&amp;Linha_criativa_2&amp;"_"&amp;Unique_ID)</f>
        <v>#N/A</v>
      </c>
      <c r="BM475" s="27"/>
      <c r="BN475" s="27"/>
    </row>
    <row r="476">
      <c r="A476" s="1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8" t="str">
        <f>LOWER(Campanha_ou_InsertionOrder&amp;"_"&amp;LineItem_ou_Grupodeanúncio&amp;"_"&amp;Linha_Criativa&amp;"_"&amp;Unique_ID)</f>
        <v>#N/A</v>
      </c>
      <c r="AN476" s="28" t="str">
        <f>LOWER(Campanha_ou_InsertionOrder&amp;"_"&amp;LineItem_ou_Grupodeanúncio&amp;"_"&amp;Linha_Criativa&amp;"_"&amp;Unique_ID)</f>
        <v>#N/A</v>
      </c>
      <c r="AO476" s="28" t="str">
        <f>LOWER("VW"&amp;"_"&amp;Model_Variant&amp;"_"&amp;Size&amp;"_"&amp;Linha_Criativa&amp;"_"&amp;IF(Servido_Por="portal",Veiculo,"adserver"))</f>
        <v>vw____adserver</v>
      </c>
      <c r="AP4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6" s="22" t="str">
        <f t="shared" si="1"/>
        <v/>
      </c>
      <c r="AS476" s="22" t="str">
        <f t="shared" si="2"/>
        <v/>
      </c>
      <c r="AT476" s="22" t="str">
        <f t="shared" si="3"/>
        <v>BR_IMC_DSY_LANCH_ND_NC_2020Q3AUG_NVS_Nivus-Launch-Consideracao</v>
      </c>
      <c r="AU476" s="22" t="str">
        <f t="shared" si="4"/>
        <v>#N/A</v>
      </c>
      <c r="AV476" s="22" t="s">
        <v>106</v>
      </c>
      <c r="AW4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6" s="22" t="str">
        <f t="shared" si="5"/>
        <v>BR_IMC_DSY_LANCH_ND_NC_2020Q3AUG_NVS_Nivus-Launch-Consideracao</v>
      </c>
      <c r="AY476" s="28" t="str">
        <f t="shared" si="6"/>
        <v>#N/A</v>
      </c>
      <c r="AZ476" s="22" t="s">
        <v>107</v>
      </c>
      <c r="BA476" s="22" t="s">
        <v>108</v>
      </c>
      <c r="BB476" s="31" t="s">
        <v>109</v>
      </c>
      <c r="BC476" s="31" t="s">
        <v>109</v>
      </c>
      <c r="BD476" s="32" t="str">
        <f t="shared" si="8"/>
        <v>nvl-nvs-imc-dsy-0820-10470</v>
      </c>
      <c r="BE476" s="33"/>
      <c r="BF476" s="33"/>
      <c r="BG476" s="39" t="str">
        <f>URL&amp;IF(ISNUMBER(FIND("?",URL)),"&amp;","?"&amp;("adlid="&amp;Unique_ID&amp;"&amp;adplt="&amp;Placement))</f>
        <v>#N/A</v>
      </c>
      <c r="BH476" s="1"/>
      <c r="BI476" s="1"/>
      <c r="BJ476" s="35" t="str">
        <f>LOWER("alp"&amp;"_"&amp;"vw"&amp;"_"&amp;Veiculo&amp;"_"&amp;C472&amp;"_"&amp;Objetivo)</f>
        <v>alp_vw___</v>
      </c>
      <c r="BK476" s="35" t="str">
        <f>LOWER(Buying_Metric&amp;"_"&amp;VLOOKUP(Buying_Type,Buy_type,2,FALSE)&amp;"_"&amp;Device&amp;"_"&amp;Size&amp;"_"&amp;Segmentação&amp;"_"&amp;Segmentação_Anúncio)</f>
        <v>#N/A</v>
      </c>
      <c r="BL476" s="35" t="str">
        <f>LOWER(Campanha_ou_InsertionOrder&amp;"_"&amp;LineItem_ou_Grupodeanúncio&amp;"_"&amp;Linha_criativa_2&amp;"_"&amp;Unique_ID)</f>
        <v>#N/A</v>
      </c>
      <c r="BM476" s="27"/>
      <c r="BN476" s="27"/>
    </row>
    <row r="477">
      <c r="A477" s="1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8" t="str">
        <f>LOWER(Campanha_ou_InsertionOrder&amp;"_"&amp;LineItem_ou_Grupodeanúncio&amp;"_"&amp;Linha_Criativa&amp;"_"&amp;Unique_ID)</f>
        <v>#N/A</v>
      </c>
      <c r="AN477" s="28" t="str">
        <f>LOWER(Campanha_ou_InsertionOrder&amp;"_"&amp;LineItem_ou_Grupodeanúncio&amp;"_"&amp;Linha_Criativa&amp;"_"&amp;Unique_ID)</f>
        <v>#N/A</v>
      </c>
      <c r="AO477" s="28" t="str">
        <f>LOWER("VW"&amp;"_"&amp;Model_Variant&amp;"_"&amp;Size&amp;"_"&amp;Linha_Criativa&amp;"_"&amp;IF(Servido_Por="portal",Veiculo,"adserver"))</f>
        <v>vw____adserver</v>
      </c>
      <c r="AP4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7" s="22" t="str">
        <f t="shared" si="1"/>
        <v/>
      </c>
      <c r="AS477" s="22" t="str">
        <f t="shared" si="2"/>
        <v/>
      </c>
      <c r="AT477" s="22" t="str">
        <f t="shared" si="3"/>
        <v>BR_IMC_DSY_LANCH_ND_NC_2020Q3AUG_NVS_Nivus-Launch-Consideracao</v>
      </c>
      <c r="AU477" s="22" t="str">
        <f t="shared" si="4"/>
        <v>#N/A</v>
      </c>
      <c r="AV477" s="22" t="s">
        <v>106</v>
      </c>
      <c r="AW4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7" s="22" t="str">
        <f t="shared" si="5"/>
        <v>BR_IMC_DSY_LANCH_ND_NC_2020Q3AUG_NVS_Nivus-Launch-Consideracao</v>
      </c>
      <c r="AY477" s="28" t="str">
        <f t="shared" si="6"/>
        <v>#N/A</v>
      </c>
      <c r="AZ477" s="22" t="s">
        <v>107</v>
      </c>
      <c r="BA477" s="22" t="s">
        <v>108</v>
      </c>
      <c r="BB477" s="31" t="s">
        <v>109</v>
      </c>
      <c r="BC477" s="31" t="s">
        <v>109</v>
      </c>
      <c r="BD477" s="32" t="str">
        <f t="shared" si="8"/>
        <v>nvl-nvs-imc-dsy-0820-10471</v>
      </c>
      <c r="BE477" s="33"/>
      <c r="BF477" s="33"/>
      <c r="BG477" s="39" t="str">
        <f>URL&amp;IF(ISNUMBER(FIND("?",URL)),"&amp;","?"&amp;("adlid="&amp;Unique_ID&amp;"&amp;adplt="&amp;Placement))</f>
        <v>#N/A</v>
      </c>
      <c r="BH477" s="1"/>
      <c r="BI477" s="1"/>
      <c r="BJ477" s="35" t="str">
        <f>LOWER("alp"&amp;"_"&amp;"vw"&amp;"_"&amp;Veiculo&amp;"_"&amp;C473&amp;"_"&amp;Objetivo)</f>
        <v>alp_vw___</v>
      </c>
      <c r="BK477" s="35" t="str">
        <f>LOWER(Buying_Metric&amp;"_"&amp;VLOOKUP(Buying_Type,Buy_type,2,FALSE)&amp;"_"&amp;Device&amp;"_"&amp;Size&amp;"_"&amp;Segmentação&amp;"_"&amp;Segmentação_Anúncio)</f>
        <v>#N/A</v>
      </c>
      <c r="BL477" s="35" t="str">
        <f>LOWER(Campanha_ou_InsertionOrder&amp;"_"&amp;LineItem_ou_Grupodeanúncio&amp;"_"&amp;Linha_criativa_2&amp;"_"&amp;Unique_ID)</f>
        <v>#N/A</v>
      </c>
      <c r="BM477" s="27"/>
      <c r="BN477" s="27"/>
    </row>
    <row r="478">
      <c r="A478" s="1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8" t="str">
        <f>LOWER(Campanha_ou_InsertionOrder&amp;"_"&amp;LineItem_ou_Grupodeanúncio&amp;"_"&amp;Linha_Criativa&amp;"_"&amp;Unique_ID)</f>
        <v>#N/A</v>
      </c>
      <c r="AN478" s="28" t="str">
        <f>LOWER(Campanha_ou_InsertionOrder&amp;"_"&amp;LineItem_ou_Grupodeanúncio&amp;"_"&amp;Linha_Criativa&amp;"_"&amp;Unique_ID)</f>
        <v>#N/A</v>
      </c>
      <c r="AO478" s="28" t="str">
        <f>LOWER("VW"&amp;"_"&amp;Model_Variant&amp;"_"&amp;Size&amp;"_"&amp;Linha_Criativa&amp;"_"&amp;IF(Servido_Por="portal",Veiculo,"adserver"))</f>
        <v>vw____adserver</v>
      </c>
      <c r="AP4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8" s="22" t="str">
        <f t="shared" si="1"/>
        <v/>
      </c>
      <c r="AS478" s="22" t="str">
        <f t="shared" si="2"/>
        <v/>
      </c>
      <c r="AT478" s="22" t="str">
        <f t="shared" si="3"/>
        <v>BR_IMC_DSY_LANCH_ND_NC_2020Q3AUG_NVS_Nivus-Launch-Consideracao</v>
      </c>
      <c r="AU478" s="22" t="str">
        <f t="shared" si="4"/>
        <v>#N/A</v>
      </c>
      <c r="AV478" s="22" t="s">
        <v>106</v>
      </c>
      <c r="AW4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8" s="22" t="str">
        <f t="shared" si="5"/>
        <v>BR_IMC_DSY_LANCH_ND_NC_2020Q3AUG_NVS_Nivus-Launch-Consideracao</v>
      </c>
      <c r="AY478" s="28" t="str">
        <f t="shared" si="6"/>
        <v>#N/A</v>
      </c>
      <c r="AZ478" s="22" t="s">
        <v>107</v>
      </c>
      <c r="BA478" s="22" t="s">
        <v>108</v>
      </c>
      <c r="BB478" s="31" t="s">
        <v>109</v>
      </c>
      <c r="BC478" s="31" t="s">
        <v>109</v>
      </c>
      <c r="BD478" s="32" t="str">
        <f t="shared" si="8"/>
        <v>nvl-nvs-imc-dsy-0820-10472</v>
      </c>
      <c r="BE478" s="33"/>
      <c r="BF478" s="33"/>
      <c r="BG478" s="39" t="str">
        <f>URL&amp;IF(ISNUMBER(FIND("?",URL)),"&amp;","?"&amp;("adlid="&amp;Unique_ID&amp;"&amp;adplt="&amp;Placement))</f>
        <v>#N/A</v>
      </c>
      <c r="BH478" s="1"/>
      <c r="BI478" s="1"/>
      <c r="BJ478" s="35" t="str">
        <f>LOWER("alp"&amp;"_"&amp;"vw"&amp;"_"&amp;Veiculo&amp;"_"&amp;C474&amp;"_"&amp;Objetivo)</f>
        <v>alp_vw___</v>
      </c>
      <c r="BK478" s="35" t="str">
        <f>LOWER(Buying_Metric&amp;"_"&amp;VLOOKUP(Buying_Type,Buy_type,2,FALSE)&amp;"_"&amp;Device&amp;"_"&amp;Size&amp;"_"&amp;Segmentação&amp;"_"&amp;Segmentação_Anúncio)</f>
        <v>#N/A</v>
      </c>
      <c r="BL478" s="35" t="str">
        <f>LOWER(Campanha_ou_InsertionOrder&amp;"_"&amp;LineItem_ou_Grupodeanúncio&amp;"_"&amp;Linha_criativa_2&amp;"_"&amp;Unique_ID)</f>
        <v>#N/A</v>
      </c>
      <c r="BM478" s="27"/>
      <c r="BN478" s="27"/>
    </row>
    <row r="479">
      <c r="A479" s="1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8" t="str">
        <f>LOWER(Campanha_ou_InsertionOrder&amp;"_"&amp;LineItem_ou_Grupodeanúncio&amp;"_"&amp;Linha_Criativa&amp;"_"&amp;Unique_ID)</f>
        <v>#N/A</v>
      </c>
      <c r="AN479" s="28" t="str">
        <f>LOWER(Campanha_ou_InsertionOrder&amp;"_"&amp;LineItem_ou_Grupodeanúncio&amp;"_"&amp;Linha_Criativa&amp;"_"&amp;Unique_ID)</f>
        <v>#N/A</v>
      </c>
      <c r="AO479" s="28" t="str">
        <f>LOWER("VW"&amp;"_"&amp;Model_Variant&amp;"_"&amp;Size&amp;"_"&amp;Linha_Criativa&amp;"_"&amp;IF(Servido_Por="portal",Veiculo,"adserver"))</f>
        <v>vw____adserver</v>
      </c>
      <c r="AP4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79" s="22" t="str">
        <f t="shared" si="1"/>
        <v/>
      </c>
      <c r="AS479" s="22" t="str">
        <f t="shared" si="2"/>
        <v/>
      </c>
      <c r="AT479" s="22" t="str">
        <f t="shared" si="3"/>
        <v>BR_IMC_DSY_LANCH_ND_NC_2020Q3AUG_NVS_Nivus-Launch-Consideracao</v>
      </c>
      <c r="AU479" s="22" t="str">
        <f t="shared" si="4"/>
        <v>#N/A</v>
      </c>
      <c r="AV479" s="22" t="s">
        <v>106</v>
      </c>
      <c r="AW4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79" s="22" t="str">
        <f t="shared" si="5"/>
        <v>BR_IMC_DSY_LANCH_ND_NC_2020Q3AUG_NVS_Nivus-Launch-Consideracao</v>
      </c>
      <c r="AY479" s="28" t="str">
        <f t="shared" si="6"/>
        <v>#N/A</v>
      </c>
      <c r="AZ479" s="22" t="s">
        <v>107</v>
      </c>
      <c r="BA479" s="22" t="s">
        <v>108</v>
      </c>
      <c r="BB479" s="31" t="s">
        <v>109</v>
      </c>
      <c r="BC479" s="31" t="s">
        <v>109</v>
      </c>
      <c r="BD479" s="32" t="str">
        <f t="shared" si="8"/>
        <v>nvl-nvs-imc-dsy-0820-10473</v>
      </c>
      <c r="BE479" s="33"/>
      <c r="BF479" s="33"/>
      <c r="BG479" s="39" t="str">
        <f>URL&amp;IF(ISNUMBER(FIND("?",URL)),"&amp;","?"&amp;("adlid="&amp;Unique_ID&amp;"&amp;adplt="&amp;Placement))</f>
        <v>#N/A</v>
      </c>
      <c r="BH479" s="1"/>
      <c r="BI479" s="1"/>
      <c r="BJ479" s="35" t="str">
        <f>LOWER("alp"&amp;"_"&amp;"vw"&amp;"_"&amp;Veiculo&amp;"_"&amp;C475&amp;"_"&amp;Objetivo)</f>
        <v>alp_vw___</v>
      </c>
      <c r="BK479" s="35" t="str">
        <f>LOWER(Buying_Metric&amp;"_"&amp;VLOOKUP(Buying_Type,Buy_type,2,FALSE)&amp;"_"&amp;Device&amp;"_"&amp;Size&amp;"_"&amp;Segmentação&amp;"_"&amp;Segmentação_Anúncio)</f>
        <v>#N/A</v>
      </c>
      <c r="BL479" s="35" t="str">
        <f>LOWER(Campanha_ou_InsertionOrder&amp;"_"&amp;LineItem_ou_Grupodeanúncio&amp;"_"&amp;Linha_criativa_2&amp;"_"&amp;Unique_ID)</f>
        <v>#N/A</v>
      </c>
      <c r="BM479" s="27"/>
      <c r="BN479" s="27"/>
    </row>
    <row r="480">
      <c r="A480" s="1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8" t="str">
        <f>LOWER(Campanha_ou_InsertionOrder&amp;"_"&amp;LineItem_ou_Grupodeanúncio&amp;"_"&amp;Linha_Criativa&amp;"_"&amp;Unique_ID)</f>
        <v>#N/A</v>
      </c>
      <c r="AN480" s="28" t="str">
        <f>LOWER(Campanha_ou_InsertionOrder&amp;"_"&amp;LineItem_ou_Grupodeanúncio&amp;"_"&amp;Linha_Criativa&amp;"_"&amp;Unique_ID)</f>
        <v>#N/A</v>
      </c>
      <c r="AO480" s="28" t="str">
        <f>LOWER("VW"&amp;"_"&amp;Model_Variant&amp;"_"&amp;Size&amp;"_"&amp;Linha_Criativa&amp;"_"&amp;IF(Servido_Por="portal",Veiculo,"adserver"))</f>
        <v>vw____adserver</v>
      </c>
      <c r="AP4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0" s="22" t="str">
        <f t="shared" si="1"/>
        <v/>
      </c>
      <c r="AS480" s="22" t="str">
        <f t="shared" si="2"/>
        <v/>
      </c>
      <c r="AT480" s="22" t="str">
        <f t="shared" si="3"/>
        <v>BR_IMC_DSY_LANCH_ND_NC_2020Q3AUG_NVS_Nivus-Launch-Consideracao</v>
      </c>
      <c r="AU480" s="22" t="str">
        <f t="shared" si="4"/>
        <v>#N/A</v>
      </c>
      <c r="AV480" s="22" t="s">
        <v>106</v>
      </c>
      <c r="AW4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0" s="22" t="str">
        <f t="shared" si="5"/>
        <v>BR_IMC_DSY_LANCH_ND_NC_2020Q3AUG_NVS_Nivus-Launch-Consideracao</v>
      </c>
      <c r="AY480" s="28" t="str">
        <f t="shared" si="6"/>
        <v>#N/A</v>
      </c>
      <c r="AZ480" s="22" t="s">
        <v>107</v>
      </c>
      <c r="BA480" s="22" t="s">
        <v>108</v>
      </c>
      <c r="BB480" s="31" t="s">
        <v>109</v>
      </c>
      <c r="BC480" s="31" t="s">
        <v>109</v>
      </c>
      <c r="BD480" s="32" t="str">
        <f t="shared" si="8"/>
        <v>nvl-nvs-imc-dsy-0820-10474</v>
      </c>
      <c r="BE480" s="33"/>
      <c r="BF480" s="33"/>
      <c r="BG480" s="39" t="str">
        <f>URL&amp;IF(ISNUMBER(FIND("?",URL)),"&amp;","?"&amp;("adlid="&amp;Unique_ID&amp;"&amp;adplt="&amp;Placement))</f>
        <v>#N/A</v>
      </c>
      <c r="BH480" s="1"/>
      <c r="BI480" s="1"/>
      <c r="BJ480" s="35" t="str">
        <f>LOWER("alp"&amp;"_"&amp;"vw"&amp;"_"&amp;Veiculo&amp;"_"&amp;C476&amp;"_"&amp;Objetivo)</f>
        <v>alp_vw___</v>
      </c>
      <c r="BK480" s="35" t="str">
        <f>LOWER(Buying_Metric&amp;"_"&amp;VLOOKUP(Buying_Type,Buy_type,2,FALSE)&amp;"_"&amp;Device&amp;"_"&amp;Size&amp;"_"&amp;Segmentação&amp;"_"&amp;Segmentação_Anúncio)</f>
        <v>#N/A</v>
      </c>
      <c r="BL480" s="35" t="str">
        <f>LOWER(Campanha_ou_InsertionOrder&amp;"_"&amp;LineItem_ou_Grupodeanúncio&amp;"_"&amp;Linha_criativa_2&amp;"_"&amp;Unique_ID)</f>
        <v>#N/A</v>
      </c>
      <c r="BM480" s="27"/>
      <c r="BN480" s="27"/>
    </row>
    <row r="481">
      <c r="A481" s="1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8" t="str">
        <f>LOWER(Campanha_ou_InsertionOrder&amp;"_"&amp;LineItem_ou_Grupodeanúncio&amp;"_"&amp;Linha_Criativa&amp;"_"&amp;Unique_ID)</f>
        <v>#N/A</v>
      </c>
      <c r="AN481" s="28" t="str">
        <f>LOWER(Campanha_ou_InsertionOrder&amp;"_"&amp;LineItem_ou_Grupodeanúncio&amp;"_"&amp;Linha_Criativa&amp;"_"&amp;Unique_ID)</f>
        <v>#N/A</v>
      </c>
      <c r="AO481" s="28" t="str">
        <f>LOWER("VW"&amp;"_"&amp;Model_Variant&amp;"_"&amp;Size&amp;"_"&amp;Linha_Criativa&amp;"_"&amp;IF(Servido_Por="portal",Veiculo,"adserver"))</f>
        <v>vw____adserver</v>
      </c>
      <c r="AP4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1" s="22" t="str">
        <f t="shared" si="1"/>
        <v/>
      </c>
      <c r="AS481" s="22" t="str">
        <f t="shared" si="2"/>
        <v/>
      </c>
      <c r="AT481" s="22" t="str">
        <f t="shared" si="3"/>
        <v>BR_IMC_DSY_LANCH_ND_NC_2020Q3AUG_NVS_Nivus-Launch-Consideracao</v>
      </c>
      <c r="AU481" s="22" t="str">
        <f t="shared" si="4"/>
        <v>#N/A</v>
      </c>
      <c r="AV481" s="22" t="s">
        <v>106</v>
      </c>
      <c r="AW4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1" s="22" t="str">
        <f t="shared" si="5"/>
        <v>BR_IMC_DSY_LANCH_ND_NC_2020Q3AUG_NVS_Nivus-Launch-Consideracao</v>
      </c>
      <c r="AY481" s="28" t="str">
        <f t="shared" si="6"/>
        <v>#N/A</v>
      </c>
      <c r="AZ481" s="22" t="s">
        <v>107</v>
      </c>
      <c r="BA481" s="22" t="s">
        <v>108</v>
      </c>
      <c r="BB481" s="31" t="s">
        <v>109</v>
      </c>
      <c r="BC481" s="31" t="s">
        <v>109</v>
      </c>
      <c r="BD481" s="32" t="str">
        <f t="shared" si="8"/>
        <v>nvl-nvs-imc-dsy-0820-10475</v>
      </c>
      <c r="BE481" s="33"/>
      <c r="BF481" s="33"/>
      <c r="BG481" s="39" t="str">
        <f>URL&amp;IF(ISNUMBER(FIND("?",URL)),"&amp;","?"&amp;("adlid="&amp;Unique_ID&amp;"&amp;adplt="&amp;Placement))</f>
        <v>#N/A</v>
      </c>
      <c r="BH481" s="1"/>
      <c r="BI481" s="1"/>
      <c r="BJ481" s="35" t="str">
        <f>LOWER("alp"&amp;"_"&amp;"vw"&amp;"_"&amp;Veiculo&amp;"_"&amp;C477&amp;"_"&amp;Objetivo)</f>
        <v>alp_vw___</v>
      </c>
      <c r="BK481" s="35" t="str">
        <f>LOWER(Buying_Metric&amp;"_"&amp;VLOOKUP(Buying_Type,Buy_type,2,FALSE)&amp;"_"&amp;Device&amp;"_"&amp;Size&amp;"_"&amp;Segmentação&amp;"_"&amp;Segmentação_Anúncio)</f>
        <v>#N/A</v>
      </c>
      <c r="BL481" s="35" t="str">
        <f>LOWER(Campanha_ou_InsertionOrder&amp;"_"&amp;LineItem_ou_Grupodeanúncio&amp;"_"&amp;Linha_criativa_2&amp;"_"&amp;Unique_ID)</f>
        <v>#N/A</v>
      </c>
      <c r="BM481" s="27"/>
      <c r="BN481" s="27"/>
    </row>
    <row r="482">
      <c r="A482" s="1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tr">
        <f>LOWER(Campanha_ou_InsertionOrder&amp;"_"&amp;LineItem_ou_Grupodeanúncio&amp;"_"&amp;Linha_Criativa&amp;"_"&amp;Unique_ID)</f>
        <v>#N/A</v>
      </c>
      <c r="AN482" s="28" t="str">
        <f>LOWER(Campanha_ou_InsertionOrder&amp;"_"&amp;LineItem_ou_Grupodeanúncio&amp;"_"&amp;Linha_Criativa&amp;"_"&amp;Unique_ID)</f>
        <v>#N/A</v>
      </c>
      <c r="AO482" s="28" t="str">
        <f>LOWER("VW"&amp;"_"&amp;Model_Variant&amp;"_"&amp;Size&amp;"_"&amp;Linha_Criativa&amp;"_"&amp;IF(Servido_Por="portal",Veiculo,"adserver"))</f>
        <v>vw____adserver</v>
      </c>
      <c r="AP4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2" s="22" t="str">
        <f t="shared" si="1"/>
        <v/>
      </c>
      <c r="AS482" s="22" t="str">
        <f t="shared" si="2"/>
        <v/>
      </c>
      <c r="AT482" s="22" t="str">
        <f t="shared" si="3"/>
        <v>BR_IMC_DSY_LANCH_ND_NC_2020Q3AUG_NVS_Nivus-Launch-Consideracao</v>
      </c>
      <c r="AU482" s="22" t="str">
        <f t="shared" si="4"/>
        <v>#N/A</v>
      </c>
      <c r="AV482" s="22" t="s">
        <v>106</v>
      </c>
      <c r="AW4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2" s="22" t="str">
        <f t="shared" si="5"/>
        <v>BR_IMC_DSY_LANCH_ND_NC_2020Q3AUG_NVS_Nivus-Launch-Consideracao</v>
      </c>
      <c r="AY482" s="28" t="str">
        <f t="shared" si="6"/>
        <v>#N/A</v>
      </c>
      <c r="AZ482" s="22" t="s">
        <v>107</v>
      </c>
      <c r="BA482" s="22" t="s">
        <v>108</v>
      </c>
      <c r="BB482" s="31" t="s">
        <v>109</v>
      </c>
      <c r="BC482" s="31" t="s">
        <v>109</v>
      </c>
      <c r="BD482" s="32" t="str">
        <f t="shared" si="8"/>
        <v>nvl-nvs-imc-dsy-0820-10476</v>
      </c>
      <c r="BE482" s="33"/>
      <c r="BF482" s="33"/>
      <c r="BG482" s="39" t="str">
        <f>URL&amp;IF(ISNUMBER(FIND("?",URL)),"&amp;","?"&amp;("adlid="&amp;Unique_ID&amp;"&amp;adplt="&amp;Placement))</f>
        <v>#N/A</v>
      </c>
      <c r="BH482" s="1"/>
      <c r="BI482" s="1"/>
      <c r="BJ482" s="35" t="str">
        <f>LOWER("alp"&amp;"_"&amp;"vw"&amp;"_"&amp;Veiculo&amp;"_"&amp;C478&amp;"_"&amp;Objetivo)</f>
        <v>alp_vw___</v>
      </c>
      <c r="BK482" s="35" t="str">
        <f>LOWER(Buying_Metric&amp;"_"&amp;VLOOKUP(Buying_Type,Buy_type,2,FALSE)&amp;"_"&amp;Device&amp;"_"&amp;Size&amp;"_"&amp;Segmentação&amp;"_"&amp;Segmentação_Anúncio)</f>
        <v>#N/A</v>
      </c>
      <c r="BL482" s="35" t="str">
        <f>LOWER(Campanha_ou_InsertionOrder&amp;"_"&amp;LineItem_ou_Grupodeanúncio&amp;"_"&amp;Linha_criativa_2&amp;"_"&amp;Unique_ID)</f>
        <v>#N/A</v>
      </c>
      <c r="BM482" s="27"/>
      <c r="BN482" s="27"/>
    </row>
    <row r="483">
      <c r="A483" s="1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8" t="str">
        <f>LOWER(Campanha_ou_InsertionOrder&amp;"_"&amp;LineItem_ou_Grupodeanúncio&amp;"_"&amp;Linha_Criativa&amp;"_"&amp;Unique_ID)</f>
        <v>#N/A</v>
      </c>
      <c r="AN483" s="28" t="str">
        <f>LOWER(Campanha_ou_InsertionOrder&amp;"_"&amp;LineItem_ou_Grupodeanúncio&amp;"_"&amp;Linha_Criativa&amp;"_"&amp;Unique_ID)</f>
        <v>#N/A</v>
      </c>
      <c r="AO483" s="28" t="str">
        <f>LOWER("VW"&amp;"_"&amp;Model_Variant&amp;"_"&amp;Size&amp;"_"&amp;Linha_Criativa&amp;"_"&amp;IF(Servido_Por="portal",Veiculo,"adserver"))</f>
        <v>vw____adserver</v>
      </c>
      <c r="AP4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3" s="22" t="str">
        <f t="shared" si="1"/>
        <v/>
      </c>
      <c r="AS483" s="22" t="str">
        <f t="shared" si="2"/>
        <v/>
      </c>
      <c r="AT483" s="22" t="str">
        <f t="shared" si="3"/>
        <v>BR_IMC_DSY_LANCH_ND_NC_2020Q3AUG_NVS_Nivus-Launch-Consideracao</v>
      </c>
      <c r="AU483" s="22" t="str">
        <f t="shared" si="4"/>
        <v>#N/A</v>
      </c>
      <c r="AV483" s="22" t="s">
        <v>106</v>
      </c>
      <c r="AW4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3" s="22" t="str">
        <f t="shared" si="5"/>
        <v>BR_IMC_DSY_LANCH_ND_NC_2020Q3AUG_NVS_Nivus-Launch-Consideracao</v>
      </c>
      <c r="AY483" s="28" t="str">
        <f t="shared" si="6"/>
        <v>#N/A</v>
      </c>
      <c r="AZ483" s="22" t="s">
        <v>107</v>
      </c>
      <c r="BA483" s="22" t="s">
        <v>108</v>
      </c>
      <c r="BB483" s="31" t="s">
        <v>109</v>
      </c>
      <c r="BC483" s="31" t="s">
        <v>109</v>
      </c>
      <c r="BD483" s="32" t="str">
        <f t="shared" si="8"/>
        <v>nvl-nvs-imc-dsy-0820-10477</v>
      </c>
      <c r="BE483" s="33"/>
      <c r="BF483" s="33"/>
      <c r="BG483" s="39" t="str">
        <f>URL&amp;IF(ISNUMBER(FIND("?",URL)),"&amp;","?"&amp;("adlid="&amp;Unique_ID&amp;"&amp;adplt="&amp;Placement))</f>
        <v>#N/A</v>
      </c>
      <c r="BH483" s="1"/>
      <c r="BI483" s="1"/>
      <c r="BJ483" s="35" t="str">
        <f>LOWER("alp"&amp;"_"&amp;"vw"&amp;"_"&amp;Veiculo&amp;"_"&amp;C479&amp;"_"&amp;Objetivo)</f>
        <v>alp_vw___</v>
      </c>
      <c r="BK483" s="35" t="str">
        <f>LOWER(Buying_Metric&amp;"_"&amp;VLOOKUP(Buying_Type,Buy_type,2,FALSE)&amp;"_"&amp;Device&amp;"_"&amp;Size&amp;"_"&amp;Segmentação&amp;"_"&amp;Segmentação_Anúncio)</f>
        <v>#N/A</v>
      </c>
      <c r="BL483" s="35" t="str">
        <f>LOWER(Campanha_ou_InsertionOrder&amp;"_"&amp;LineItem_ou_Grupodeanúncio&amp;"_"&amp;Linha_criativa_2&amp;"_"&amp;Unique_ID)</f>
        <v>#N/A</v>
      </c>
      <c r="BM483" s="27"/>
      <c r="BN483" s="27"/>
    </row>
    <row r="484">
      <c r="A484" s="1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8" t="str">
        <f>LOWER(Campanha_ou_InsertionOrder&amp;"_"&amp;LineItem_ou_Grupodeanúncio&amp;"_"&amp;Linha_Criativa&amp;"_"&amp;Unique_ID)</f>
        <v>#N/A</v>
      </c>
      <c r="AN484" s="28" t="str">
        <f>LOWER(Campanha_ou_InsertionOrder&amp;"_"&amp;LineItem_ou_Grupodeanúncio&amp;"_"&amp;Linha_Criativa&amp;"_"&amp;Unique_ID)</f>
        <v>#N/A</v>
      </c>
      <c r="AO484" s="28" t="str">
        <f>LOWER("VW"&amp;"_"&amp;Model_Variant&amp;"_"&amp;Size&amp;"_"&amp;Linha_Criativa&amp;"_"&amp;IF(Servido_Por="portal",Veiculo,"adserver"))</f>
        <v>vw____adserver</v>
      </c>
      <c r="AP4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4" s="22" t="str">
        <f t="shared" si="1"/>
        <v/>
      </c>
      <c r="AS484" s="22" t="str">
        <f t="shared" si="2"/>
        <v/>
      </c>
      <c r="AT484" s="22" t="str">
        <f t="shared" si="3"/>
        <v>BR_IMC_DSY_LANCH_ND_NC_2020Q3AUG_NVS_Nivus-Launch-Consideracao</v>
      </c>
      <c r="AU484" s="22" t="str">
        <f t="shared" si="4"/>
        <v>#N/A</v>
      </c>
      <c r="AV484" s="22" t="s">
        <v>106</v>
      </c>
      <c r="AW4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4" s="22" t="str">
        <f t="shared" si="5"/>
        <v>BR_IMC_DSY_LANCH_ND_NC_2020Q3AUG_NVS_Nivus-Launch-Consideracao</v>
      </c>
      <c r="AY484" s="28" t="str">
        <f t="shared" si="6"/>
        <v>#N/A</v>
      </c>
      <c r="AZ484" s="22" t="s">
        <v>107</v>
      </c>
      <c r="BA484" s="22" t="s">
        <v>108</v>
      </c>
      <c r="BB484" s="31" t="s">
        <v>109</v>
      </c>
      <c r="BC484" s="31" t="s">
        <v>109</v>
      </c>
      <c r="BD484" s="32" t="str">
        <f t="shared" si="8"/>
        <v>nvl-nvs-imc-dsy-0820-10478</v>
      </c>
      <c r="BE484" s="33"/>
      <c r="BF484" s="33"/>
      <c r="BG484" s="39" t="str">
        <f>URL&amp;IF(ISNUMBER(FIND("?",URL)),"&amp;","?"&amp;("adlid="&amp;Unique_ID&amp;"&amp;adplt="&amp;Placement))</f>
        <v>#N/A</v>
      </c>
      <c r="BH484" s="1"/>
      <c r="BI484" s="1"/>
      <c r="BJ484" s="35" t="str">
        <f>LOWER("alp"&amp;"_"&amp;"vw"&amp;"_"&amp;Veiculo&amp;"_"&amp;C480&amp;"_"&amp;Objetivo)</f>
        <v>alp_vw___</v>
      </c>
      <c r="BK484" s="35" t="str">
        <f>LOWER(Buying_Metric&amp;"_"&amp;VLOOKUP(Buying_Type,Buy_type,2,FALSE)&amp;"_"&amp;Device&amp;"_"&amp;Size&amp;"_"&amp;Segmentação&amp;"_"&amp;Segmentação_Anúncio)</f>
        <v>#N/A</v>
      </c>
      <c r="BL484" s="35" t="str">
        <f>LOWER(Campanha_ou_InsertionOrder&amp;"_"&amp;LineItem_ou_Grupodeanúncio&amp;"_"&amp;Linha_criativa_2&amp;"_"&amp;Unique_ID)</f>
        <v>#N/A</v>
      </c>
      <c r="BM484" s="27"/>
      <c r="BN484" s="27"/>
    </row>
    <row r="485">
      <c r="A485" s="1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8" t="str">
        <f>LOWER(Campanha_ou_InsertionOrder&amp;"_"&amp;LineItem_ou_Grupodeanúncio&amp;"_"&amp;Linha_Criativa&amp;"_"&amp;Unique_ID)</f>
        <v>#N/A</v>
      </c>
      <c r="AN485" s="28" t="str">
        <f>LOWER(Campanha_ou_InsertionOrder&amp;"_"&amp;LineItem_ou_Grupodeanúncio&amp;"_"&amp;Linha_Criativa&amp;"_"&amp;Unique_ID)</f>
        <v>#N/A</v>
      </c>
      <c r="AO485" s="28" t="str">
        <f>LOWER("VW"&amp;"_"&amp;Model_Variant&amp;"_"&amp;Size&amp;"_"&amp;Linha_Criativa&amp;"_"&amp;IF(Servido_Por="portal",Veiculo,"adserver"))</f>
        <v>vw____adserver</v>
      </c>
      <c r="AP4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5" s="22" t="str">
        <f t="shared" si="1"/>
        <v/>
      </c>
      <c r="AS485" s="22" t="str">
        <f t="shared" si="2"/>
        <v/>
      </c>
      <c r="AT485" s="22" t="str">
        <f t="shared" si="3"/>
        <v>BR_IMC_DSY_LANCH_ND_NC_2020Q3AUG_NVS_Nivus-Launch-Consideracao</v>
      </c>
      <c r="AU485" s="22" t="str">
        <f t="shared" si="4"/>
        <v>#N/A</v>
      </c>
      <c r="AV485" s="22" t="s">
        <v>106</v>
      </c>
      <c r="AW4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5" s="22" t="str">
        <f t="shared" si="5"/>
        <v>BR_IMC_DSY_LANCH_ND_NC_2020Q3AUG_NVS_Nivus-Launch-Consideracao</v>
      </c>
      <c r="AY485" s="28" t="str">
        <f t="shared" si="6"/>
        <v>#N/A</v>
      </c>
      <c r="AZ485" s="22" t="s">
        <v>107</v>
      </c>
      <c r="BA485" s="22" t="s">
        <v>108</v>
      </c>
      <c r="BB485" s="31" t="s">
        <v>109</v>
      </c>
      <c r="BC485" s="31" t="s">
        <v>109</v>
      </c>
      <c r="BD485" s="32" t="str">
        <f t="shared" si="8"/>
        <v>nvl-nvs-imc-dsy-0820-10479</v>
      </c>
      <c r="BE485" s="33"/>
      <c r="BF485" s="33"/>
      <c r="BG485" s="39" t="str">
        <f>URL&amp;IF(ISNUMBER(FIND("?",URL)),"&amp;","?"&amp;("adlid="&amp;Unique_ID&amp;"&amp;adplt="&amp;Placement))</f>
        <v>#N/A</v>
      </c>
      <c r="BH485" s="1"/>
      <c r="BI485" s="1"/>
      <c r="BJ485" s="35" t="str">
        <f>LOWER("alp"&amp;"_"&amp;"vw"&amp;"_"&amp;Veiculo&amp;"_"&amp;C481&amp;"_"&amp;Objetivo)</f>
        <v>alp_vw___</v>
      </c>
      <c r="BK485" s="35" t="str">
        <f>LOWER(Buying_Metric&amp;"_"&amp;VLOOKUP(Buying_Type,Buy_type,2,FALSE)&amp;"_"&amp;Device&amp;"_"&amp;Size&amp;"_"&amp;Segmentação&amp;"_"&amp;Segmentação_Anúncio)</f>
        <v>#N/A</v>
      </c>
      <c r="BL485" s="35" t="str">
        <f>LOWER(Campanha_ou_InsertionOrder&amp;"_"&amp;LineItem_ou_Grupodeanúncio&amp;"_"&amp;Linha_criativa_2&amp;"_"&amp;Unique_ID)</f>
        <v>#N/A</v>
      </c>
      <c r="BM485" s="27"/>
      <c r="BN485" s="27"/>
    </row>
    <row r="486">
      <c r="A486" s="1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8" t="str">
        <f>LOWER(Campanha_ou_InsertionOrder&amp;"_"&amp;LineItem_ou_Grupodeanúncio&amp;"_"&amp;Linha_Criativa&amp;"_"&amp;Unique_ID)</f>
        <v>#N/A</v>
      </c>
      <c r="AN486" s="28" t="str">
        <f>LOWER(Campanha_ou_InsertionOrder&amp;"_"&amp;LineItem_ou_Grupodeanúncio&amp;"_"&amp;Linha_Criativa&amp;"_"&amp;Unique_ID)</f>
        <v>#N/A</v>
      </c>
      <c r="AO486" s="28" t="str">
        <f>LOWER("VW"&amp;"_"&amp;Model_Variant&amp;"_"&amp;Size&amp;"_"&amp;Linha_Criativa&amp;"_"&amp;IF(Servido_Por="portal",Veiculo,"adserver"))</f>
        <v>vw____adserver</v>
      </c>
      <c r="AP4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6" s="22" t="str">
        <f t="shared" si="1"/>
        <v/>
      </c>
      <c r="AS486" s="22" t="str">
        <f t="shared" si="2"/>
        <v/>
      </c>
      <c r="AT486" s="22" t="str">
        <f t="shared" si="3"/>
        <v>BR_IMC_DSY_LANCH_ND_NC_2020Q3AUG_NVS_Nivus-Launch-Consideracao</v>
      </c>
      <c r="AU486" s="22" t="str">
        <f t="shared" si="4"/>
        <v>#N/A</v>
      </c>
      <c r="AV486" s="22" t="s">
        <v>106</v>
      </c>
      <c r="AW4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6" s="22" t="str">
        <f t="shared" si="5"/>
        <v>BR_IMC_DSY_LANCH_ND_NC_2020Q3AUG_NVS_Nivus-Launch-Consideracao</v>
      </c>
      <c r="AY486" s="28" t="str">
        <f t="shared" si="6"/>
        <v>#N/A</v>
      </c>
      <c r="AZ486" s="22" t="s">
        <v>107</v>
      </c>
      <c r="BA486" s="22" t="s">
        <v>108</v>
      </c>
      <c r="BB486" s="31" t="s">
        <v>109</v>
      </c>
      <c r="BC486" s="31" t="s">
        <v>109</v>
      </c>
      <c r="BD486" s="32" t="str">
        <f t="shared" si="8"/>
        <v>nvl-nvs-imc-dsy-0820-10480</v>
      </c>
      <c r="BE486" s="33"/>
      <c r="BF486" s="33"/>
      <c r="BG486" s="39" t="str">
        <f>URL&amp;IF(ISNUMBER(FIND("?",URL)),"&amp;","?"&amp;("adlid="&amp;Unique_ID&amp;"&amp;adplt="&amp;Placement))</f>
        <v>#N/A</v>
      </c>
      <c r="BH486" s="1"/>
      <c r="BI486" s="1"/>
      <c r="BJ486" s="35" t="str">
        <f>LOWER("alp"&amp;"_"&amp;"vw"&amp;"_"&amp;Veiculo&amp;"_"&amp;C482&amp;"_"&amp;Objetivo)</f>
        <v>alp_vw___</v>
      </c>
      <c r="BK486" s="35" t="str">
        <f>LOWER(Buying_Metric&amp;"_"&amp;VLOOKUP(Buying_Type,Buy_type,2,FALSE)&amp;"_"&amp;Device&amp;"_"&amp;Size&amp;"_"&amp;Segmentação&amp;"_"&amp;Segmentação_Anúncio)</f>
        <v>#N/A</v>
      </c>
      <c r="BL486" s="35" t="str">
        <f>LOWER(Campanha_ou_InsertionOrder&amp;"_"&amp;LineItem_ou_Grupodeanúncio&amp;"_"&amp;Linha_criativa_2&amp;"_"&amp;Unique_ID)</f>
        <v>#N/A</v>
      </c>
      <c r="BM486" s="27"/>
      <c r="BN486" s="27"/>
    </row>
    <row r="487">
      <c r="A487" s="1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8" t="str">
        <f>LOWER(Campanha_ou_InsertionOrder&amp;"_"&amp;LineItem_ou_Grupodeanúncio&amp;"_"&amp;Linha_Criativa&amp;"_"&amp;Unique_ID)</f>
        <v>#N/A</v>
      </c>
      <c r="AN487" s="28" t="str">
        <f>LOWER(Campanha_ou_InsertionOrder&amp;"_"&amp;LineItem_ou_Grupodeanúncio&amp;"_"&amp;Linha_Criativa&amp;"_"&amp;Unique_ID)</f>
        <v>#N/A</v>
      </c>
      <c r="AO487" s="28" t="str">
        <f>LOWER("VW"&amp;"_"&amp;Model_Variant&amp;"_"&amp;Size&amp;"_"&amp;Linha_Criativa&amp;"_"&amp;IF(Servido_Por="portal",Veiculo,"adserver"))</f>
        <v>vw____adserver</v>
      </c>
      <c r="AP4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7" s="22" t="str">
        <f t="shared" si="1"/>
        <v/>
      </c>
      <c r="AS487" s="22" t="str">
        <f t="shared" si="2"/>
        <v/>
      </c>
      <c r="AT487" s="22" t="str">
        <f t="shared" si="3"/>
        <v>BR_IMC_DSY_LANCH_ND_NC_2020Q3AUG_NVS_Nivus-Launch-Consideracao</v>
      </c>
      <c r="AU487" s="22" t="str">
        <f t="shared" si="4"/>
        <v>#N/A</v>
      </c>
      <c r="AV487" s="22" t="s">
        <v>106</v>
      </c>
      <c r="AW4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7" s="22" t="str">
        <f t="shared" si="5"/>
        <v>BR_IMC_DSY_LANCH_ND_NC_2020Q3AUG_NVS_Nivus-Launch-Consideracao</v>
      </c>
      <c r="AY487" s="28" t="str">
        <f t="shared" si="6"/>
        <v>#N/A</v>
      </c>
      <c r="AZ487" s="22" t="s">
        <v>107</v>
      </c>
      <c r="BA487" s="22" t="s">
        <v>108</v>
      </c>
      <c r="BB487" s="31" t="s">
        <v>109</v>
      </c>
      <c r="BC487" s="31" t="s">
        <v>109</v>
      </c>
      <c r="BD487" s="32" t="str">
        <f t="shared" si="8"/>
        <v>nvl-nvs-imc-dsy-0820-10481</v>
      </c>
      <c r="BE487" s="33"/>
      <c r="BF487" s="33"/>
      <c r="BG487" s="39" t="str">
        <f>URL&amp;IF(ISNUMBER(FIND("?",URL)),"&amp;","?"&amp;("adlid="&amp;Unique_ID&amp;"&amp;adplt="&amp;Placement))</f>
        <v>#N/A</v>
      </c>
      <c r="BH487" s="1"/>
      <c r="BI487" s="1"/>
      <c r="BJ487" s="35" t="str">
        <f>LOWER("alp"&amp;"_"&amp;"vw"&amp;"_"&amp;Veiculo&amp;"_"&amp;C483&amp;"_"&amp;Objetivo)</f>
        <v>alp_vw___</v>
      </c>
      <c r="BK487" s="35" t="str">
        <f>LOWER(Buying_Metric&amp;"_"&amp;VLOOKUP(Buying_Type,Buy_type,2,FALSE)&amp;"_"&amp;Device&amp;"_"&amp;Size&amp;"_"&amp;Segmentação&amp;"_"&amp;Segmentação_Anúncio)</f>
        <v>#N/A</v>
      </c>
      <c r="BL487" s="35" t="str">
        <f>LOWER(Campanha_ou_InsertionOrder&amp;"_"&amp;LineItem_ou_Grupodeanúncio&amp;"_"&amp;Linha_criativa_2&amp;"_"&amp;Unique_ID)</f>
        <v>#N/A</v>
      </c>
      <c r="BM487" s="27"/>
      <c r="BN487" s="27"/>
    </row>
    <row r="488">
      <c r="A488" s="1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8" t="str">
        <f>LOWER(Campanha_ou_InsertionOrder&amp;"_"&amp;LineItem_ou_Grupodeanúncio&amp;"_"&amp;Linha_Criativa&amp;"_"&amp;Unique_ID)</f>
        <v>#N/A</v>
      </c>
      <c r="AN488" s="28" t="str">
        <f>LOWER(Campanha_ou_InsertionOrder&amp;"_"&amp;LineItem_ou_Grupodeanúncio&amp;"_"&amp;Linha_Criativa&amp;"_"&amp;Unique_ID)</f>
        <v>#N/A</v>
      </c>
      <c r="AO488" s="28" t="str">
        <f>LOWER("VW"&amp;"_"&amp;Model_Variant&amp;"_"&amp;Size&amp;"_"&amp;Linha_Criativa&amp;"_"&amp;IF(Servido_Por="portal",Veiculo,"adserver"))</f>
        <v>vw____adserver</v>
      </c>
      <c r="AP4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8" s="22" t="str">
        <f t="shared" si="1"/>
        <v/>
      </c>
      <c r="AS488" s="22" t="str">
        <f t="shared" si="2"/>
        <v/>
      </c>
      <c r="AT488" s="22" t="str">
        <f t="shared" si="3"/>
        <v>BR_IMC_DSY_LANCH_ND_NC_2020Q3AUG_NVS_Nivus-Launch-Consideracao</v>
      </c>
      <c r="AU488" s="22" t="str">
        <f t="shared" si="4"/>
        <v>#N/A</v>
      </c>
      <c r="AV488" s="22" t="s">
        <v>106</v>
      </c>
      <c r="AW4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8" s="22" t="str">
        <f t="shared" si="5"/>
        <v>BR_IMC_DSY_LANCH_ND_NC_2020Q3AUG_NVS_Nivus-Launch-Consideracao</v>
      </c>
      <c r="AY488" s="28" t="str">
        <f t="shared" si="6"/>
        <v>#N/A</v>
      </c>
      <c r="AZ488" s="22" t="s">
        <v>107</v>
      </c>
      <c r="BA488" s="22" t="s">
        <v>108</v>
      </c>
      <c r="BB488" s="31" t="s">
        <v>109</v>
      </c>
      <c r="BC488" s="31" t="s">
        <v>109</v>
      </c>
      <c r="BD488" s="32" t="str">
        <f t="shared" si="8"/>
        <v>nvl-nvs-imc-dsy-0820-10482</v>
      </c>
      <c r="BE488" s="33"/>
      <c r="BF488" s="33"/>
      <c r="BG488" s="39" t="str">
        <f>URL&amp;IF(ISNUMBER(FIND("?",URL)),"&amp;","?"&amp;("adlid="&amp;Unique_ID&amp;"&amp;adplt="&amp;Placement))</f>
        <v>#N/A</v>
      </c>
      <c r="BH488" s="1"/>
      <c r="BI488" s="1"/>
      <c r="BJ488" s="35" t="str">
        <f>LOWER("alp"&amp;"_"&amp;"vw"&amp;"_"&amp;Veiculo&amp;"_"&amp;C484&amp;"_"&amp;Objetivo)</f>
        <v>alp_vw___</v>
      </c>
      <c r="BK488" s="35" t="str">
        <f>LOWER(Buying_Metric&amp;"_"&amp;VLOOKUP(Buying_Type,Buy_type,2,FALSE)&amp;"_"&amp;Device&amp;"_"&amp;Size&amp;"_"&amp;Segmentação&amp;"_"&amp;Segmentação_Anúncio)</f>
        <v>#N/A</v>
      </c>
      <c r="BL488" s="35" t="str">
        <f>LOWER(Campanha_ou_InsertionOrder&amp;"_"&amp;LineItem_ou_Grupodeanúncio&amp;"_"&amp;Linha_criativa_2&amp;"_"&amp;Unique_ID)</f>
        <v>#N/A</v>
      </c>
      <c r="BM488" s="27"/>
      <c r="BN488" s="27"/>
    </row>
    <row r="489">
      <c r="A489" s="1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8" t="str">
        <f>LOWER(Campanha_ou_InsertionOrder&amp;"_"&amp;LineItem_ou_Grupodeanúncio&amp;"_"&amp;Linha_Criativa&amp;"_"&amp;Unique_ID)</f>
        <v>#N/A</v>
      </c>
      <c r="AN489" s="28" t="str">
        <f>LOWER(Campanha_ou_InsertionOrder&amp;"_"&amp;LineItem_ou_Grupodeanúncio&amp;"_"&amp;Linha_Criativa&amp;"_"&amp;Unique_ID)</f>
        <v>#N/A</v>
      </c>
      <c r="AO489" s="28" t="str">
        <f>LOWER("VW"&amp;"_"&amp;Model_Variant&amp;"_"&amp;Size&amp;"_"&amp;Linha_Criativa&amp;"_"&amp;IF(Servido_Por="portal",Veiculo,"adserver"))</f>
        <v>vw____adserver</v>
      </c>
      <c r="AP4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89" s="22" t="str">
        <f t="shared" si="1"/>
        <v/>
      </c>
      <c r="AS489" s="22" t="str">
        <f t="shared" si="2"/>
        <v/>
      </c>
      <c r="AT489" s="22" t="str">
        <f t="shared" si="3"/>
        <v>BR_IMC_DSY_LANCH_ND_NC_2020Q3AUG_NVS_Nivus-Launch-Consideracao</v>
      </c>
      <c r="AU489" s="22" t="str">
        <f t="shared" si="4"/>
        <v>#N/A</v>
      </c>
      <c r="AV489" s="22" t="s">
        <v>106</v>
      </c>
      <c r="AW4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89" s="22" t="str">
        <f t="shared" si="5"/>
        <v>BR_IMC_DSY_LANCH_ND_NC_2020Q3AUG_NVS_Nivus-Launch-Consideracao</v>
      </c>
      <c r="AY489" s="28" t="str">
        <f t="shared" si="6"/>
        <v>#N/A</v>
      </c>
      <c r="AZ489" s="22" t="s">
        <v>107</v>
      </c>
      <c r="BA489" s="22" t="s">
        <v>108</v>
      </c>
      <c r="BB489" s="31" t="s">
        <v>109</v>
      </c>
      <c r="BC489" s="31" t="s">
        <v>109</v>
      </c>
      <c r="BD489" s="32" t="str">
        <f t="shared" si="8"/>
        <v>nvl-nvs-imc-dsy-0820-10483</v>
      </c>
      <c r="BE489" s="33"/>
      <c r="BF489" s="33"/>
      <c r="BG489" s="39" t="str">
        <f>URL&amp;IF(ISNUMBER(FIND("?",URL)),"&amp;","?"&amp;("adlid="&amp;Unique_ID&amp;"&amp;adplt="&amp;Placement))</f>
        <v>#N/A</v>
      </c>
      <c r="BH489" s="1"/>
      <c r="BI489" s="1"/>
      <c r="BJ489" s="35" t="str">
        <f>LOWER("alp"&amp;"_"&amp;"vw"&amp;"_"&amp;Veiculo&amp;"_"&amp;C485&amp;"_"&amp;Objetivo)</f>
        <v>alp_vw___</v>
      </c>
      <c r="BK489" s="35" t="str">
        <f>LOWER(Buying_Metric&amp;"_"&amp;VLOOKUP(Buying_Type,Buy_type,2,FALSE)&amp;"_"&amp;Device&amp;"_"&amp;Size&amp;"_"&amp;Segmentação&amp;"_"&amp;Segmentação_Anúncio)</f>
        <v>#N/A</v>
      </c>
      <c r="BL489" s="35" t="str">
        <f>LOWER(Campanha_ou_InsertionOrder&amp;"_"&amp;LineItem_ou_Grupodeanúncio&amp;"_"&amp;Linha_criativa_2&amp;"_"&amp;Unique_ID)</f>
        <v>#N/A</v>
      </c>
      <c r="BM489" s="27"/>
      <c r="BN489" s="27"/>
    </row>
    <row r="490">
      <c r="A490" s="1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8" t="str">
        <f>LOWER(Campanha_ou_InsertionOrder&amp;"_"&amp;LineItem_ou_Grupodeanúncio&amp;"_"&amp;Linha_Criativa&amp;"_"&amp;Unique_ID)</f>
        <v>#N/A</v>
      </c>
      <c r="AN490" s="28" t="str">
        <f>LOWER(Campanha_ou_InsertionOrder&amp;"_"&amp;LineItem_ou_Grupodeanúncio&amp;"_"&amp;Linha_Criativa&amp;"_"&amp;Unique_ID)</f>
        <v>#N/A</v>
      </c>
      <c r="AO490" s="28" t="str">
        <f>LOWER("VW"&amp;"_"&amp;Model_Variant&amp;"_"&amp;Size&amp;"_"&amp;Linha_Criativa&amp;"_"&amp;IF(Servido_Por="portal",Veiculo,"adserver"))</f>
        <v>vw____adserver</v>
      </c>
      <c r="AP4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0" s="22" t="str">
        <f t="shared" si="1"/>
        <v/>
      </c>
      <c r="AS490" s="22" t="str">
        <f t="shared" si="2"/>
        <v/>
      </c>
      <c r="AT490" s="22" t="str">
        <f t="shared" si="3"/>
        <v>BR_IMC_DSY_LANCH_ND_NC_2020Q3AUG_NVS_Nivus-Launch-Consideracao</v>
      </c>
      <c r="AU490" s="22" t="str">
        <f t="shared" si="4"/>
        <v>#N/A</v>
      </c>
      <c r="AV490" s="22" t="s">
        <v>106</v>
      </c>
      <c r="AW4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0" s="22" t="str">
        <f t="shared" si="5"/>
        <v>BR_IMC_DSY_LANCH_ND_NC_2020Q3AUG_NVS_Nivus-Launch-Consideracao</v>
      </c>
      <c r="AY490" s="28" t="str">
        <f t="shared" si="6"/>
        <v>#N/A</v>
      </c>
      <c r="AZ490" s="22" t="s">
        <v>107</v>
      </c>
      <c r="BA490" s="22" t="s">
        <v>108</v>
      </c>
      <c r="BB490" s="31" t="s">
        <v>109</v>
      </c>
      <c r="BC490" s="31" t="s">
        <v>109</v>
      </c>
      <c r="BD490" s="32" t="str">
        <f t="shared" si="8"/>
        <v>nvl-nvs-imc-dsy-0820-10484</v>
      </c>
      <c r="BE490" s="33"/>
      <c r="BF490" s="33"/>
      <c r="BG490" s="39" t="str">
        <f>URL&amp;IF(ISNUMBER(FIND("?",URL)),"&amp;","?"&amp;("adlid="&amp;Unique_ID&amp;"&amp;adplt="&amp;Placement))</f>
        <v>#N/A</v>
      </c>
      <c r="BH490" s="1"/>
      <c r="BI490" s="1"/>
      <c r="BJ490" s="35" t="str">
        <f>LOWER("alp"&amp;"_"&amp;"vw"&amp;"_"&amp;Veiculo&amp;"_"&amp;C486&amp;"_"&amp;Objetivo)</f>
        <v>alp_vw___</v>
      </c>
      <c r="BK490" s="35" t="str">
        <f>LOWER(Buying_Metric&amp;"_"&amp;VLOOKUP(Buying_Type,Buy_type,2,FALSE)&amp;"_"&amp;Device&amp;"_"&amp;Size&amp;"_"&amp;Segmentação&amp;"_"&amp;Segmentação_Anúncio)</f>
        <v>#N/A</v>
      </c>
      <c r="BL490" s="35" t="str">
        <f>LOWER(Campanha_ou_InsertionOrder&amp;"_"&amp;LineItem_ou_Grupodeanúncio&amp;"_"&amp;Linha_criativa_2&amp;"_"&amp;Unique_ID)</f>
        <v>#N/A</v>
      </c>
      <c r="BM490" s="27"/>
      <c r="BN490" s="27"/>
    </row>
    <row r="491">
      <c r="A491" s="1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8" t="str">
        <f>LOWER(Campanha_ou_InsertionOrder&amp;"_"&amp;LineItem_ou_Grupodeanúncio&amp;"_"&amp;Linha_Criativa&amp;"_"&amp;Unique_ID)</f>
        <v>#N/A</v>
      </c>
      <c r="AN491" s="28" t="str">
        <f>LOWER(Campanha_ou_InsertionOrder&amp;"_"&amp;LineItem_ou_Grupodeanúncio&amp;"_"&amp;Linha_Criativa&amp;"_"&amp;Unique_ID)</f>
        <v>#N/A</v>
      </c>
      <c r="AO491" s="28" t="str">
        <f>LOWER("VW"&amp;"_"&amp;Model_Variant&amp;"_"&amp;Size&amp;"_"&amp;Linha_Criativa&amp;"_"&amp;IF(Servido_Por="portal",Veiculo,"adserver"))</f>
        <v>vw____adserver</v>
      </c>
      <c r="AP4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1" s="22" t="str">
        <f t="shared" si="1"/>
        <v/>
      </c>
      <c r="AS491" s="22" t="str">
        <f t="shared" si="2"/>
        <v/>
      </c>
      <c r="AT491" s="22" t="str">
        <f t="shared" si="3"/>
        <v>BR_IMC_DSY_LANCH_ND_NC_2020Q3AUG_NVS_Nivus-Launch-Consideracao</v>
      </c>
      <c r="AU491" s="22" t="str">
        <f t="shared" si="4"/>
        <v>#N/A</v>
      </c>
      <c r="AV491" s="22" t="s">
        <v>106</v>
      </c>
      <c r="AW4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1" s="22" t="str">
        <f t="shared" si="5"/>
        <v>BR_IMC_DSY_LANCH_ND_NC_2020Q3AUG_NVS_Nivus-Launch-Consideracao</v>
      </c>
      <c r="AY491" s="28" t="str">
        <f t="shared" si="6"/>
        <v>#N/A</v>
      </c>
      <c r="AZ491" s="22" t="s">
        <v>107</v>
      </c>
      <c r="BA491" s="22" t="s">
        <v>108</v>
      </c>
      <c r="BB491" s="31" t="s">
        <v>109</v>
      </c>
      <c r="BC491" s="31" t="s">
        <v>109</v>
      </c>
      <c r="BD491" s="32" t="str">
        <f t="shared" si="8"/>
        <v>nvl-nvs-imc-dsy-0820-10485</v>
      </c>
      <c r="BE491" s="33"/>
      <c r="BF491" s="33"/>
      <c r="BG491" s="39" t="str">
        <f>URL&amp;IF(ISNUMBER(FIND("?",URL)),"&amp;","?"&amp;("adlid="&amp;Unique_ID&amp;"&amp;adplt="&amp;Placement))</f>
        <v>#N/A</v>
      </c>
      <c r="BH491" s="1"/>
      <c r="BI491" s="1"/>
      <c r="BJ491" s="35" t="str">
        <f>LOWER("alp"&amp;"_"&amp;"vw"&amp;"_"&amp;Veiculo&amp;"_"&amp;C487&amp;"_"&amp;Objetivo)</f>
        <v>alp_vw___</v>
      </c>
      <c r="BK491" s="35" t="str">
        <f>LOWER(Buying_Metric&amp;"_"&amp;VLOOKUP(Buying_Type,Buy_type,2,FALSE)&amp;"_"&amp;Device&amp;"_"&amp;Size&amp;"_"&amp;Segmentação&amp;"_"&amp;Segmentação_Anúncio)</f>
        <v>#N/A</v>
      </c>
      <c r="BL491" s="35" t="str">
        <f>LOWER(Campanha_ou_InsertionOrder&amp;"_"&amp;LineItem_ou_Grupodeanúncio&amp;"_"&amp;Linha_criativa_2&amp;"_"&amp;Unique_ID)</f>
        <v>#N/A</v>
      </c>
      <c r="BM491" s="27"/>
      <c r="BN491" s="27"/>
    </row>
    <row r="492">
      <c r="A492" s="1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8" t="str">
        <f>LOWER(Campanha_ou_InsertionOrder&amp;"_"&amp;LineItem_ou_Grupodeanúncio&amp;"_"&amp;Linha_Criativa&amp;"_"&amp;Unique_ID)</f>
        <v>#N/A</v>
      </c>
      <c r="AN492" s="28" t="str">
        <f>LOWER(Campanha_ou_InsertionOrder&amp;"_"&amp;LineItem_ou_Grupodeanúncio&amp;"_"&amp;Linha_Criativa&amp;"_"&amp;Unique_ID)</f>
        <v>#N/A</v>
      </c>
      <c r="AO492" s="28" t="str">
        <f>LOWER("VW"&amp;"_"&amp;Model_Variant&amp;"_"&amp;Size&amp;"_"&amp;Linha_Criativa&amp;"_"&amp;IF(Servido_Por="portal",Veiculo,"adserver"))</f>
        <v>vw____adserver</v>
      </c>
      <c r="AP4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2" s="22" t="str">
        <f t="shared" si="1"/>
        <v/>
      </c>
      <c r="AS492" s="22" t="str">
        <f t="shared" si="2"/>
        <v/>
      </c>
      <c r="AT492" s="22" t="str">
        <f t="shared" si="3"/>
        <v>BR_IMC_DSY_LANCH_ND_NC_2020Q3AUG_NVS_Nivus-Launch-Consideracao</v>
      </c>
      <c r="AU492" s="22" t="str">
        <f t="shared" si="4"/>
        <v>#N/A</v>
      </c>
      <c r="AV492" s="22" t="s">
        <v>106</v>
      </c>
      <c r="AW4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2" s="22" t="str">
        <f t="shared" si="5"/>
        <v>BR_IMC_DSY_LANCH_ND_NC_2020Q3AUG_NVS_Nivus-Launch-Consideracao</v>
      </c>
      <c r="AY492" s="28" t="str">
        <f t="shared" si="6"/>
        <v>#N/A</v>
      </c>
      <c r="AZ492" s="22" t="s">
        <v>107</v>
      </c>
      <c r="BA492" s="22" t="s">
        <v>108</v>
      </c>
      <c r="BB492" s="31" t="s">
        <v>109</v>
      </c>
      <c r="BC492" s="31" t="s">
        <v>109</v>
      </c>
      <c r="BD492" s="32" t="str">
        <f t="shared" si="8"/>
        <v>nvl-nvs-imc-dsy-0820-10486</v>
      </c>
      <c r="BE492" s="33"/>
      <c r="BF492" s="33"/>
      <c r="BG492" s="39" t="str">
        <f>URL&amp;IF(ISNUMBER(FIND("?",URL)),"&amp;","?"&amp;("adlid="&amp;Unique_ID&amp;"&amp;adplt="&amp;Placement))</f>
        <v>#N/A</v>
      </c>
      <c r="BH492" s="1"/>
      <c r="BI492" s="1"/>
      <c r="BJ492" s="35" t="str">
        <f>LOWER("alp"&amp;"_"&amp;"vw"&amp;"_"&amp;Veiculo&amp;"_"&amp;C488&amp;"_"&amp;Objetivo)</f>
        <v>alp_vw___</v>
      </c>
      <c r="BK492" s="35" t="str">
        <f>LOWER(Buying_Metric&amp;"_"&amp;VLOOKUP(Buying_Type,Buy_type,2,FALSE)&amp;"_"&amp;Device&amp;"_"&amp;Size&amp;"_"&amp;Segmentação&amp;"_"&amp;Segmentação_Anúncio)</f>
        <v>#N/A</v>
      </c>
      <c r="BL492" s="35" t="str">
        <f>LOWER(Campanha_ou_InsertionOrder&amp;"_"&amp;LineItem_ou_Grupodeanúncio&amp;"_"&amp;Linha_criativa_2&amp;"_"&amp;Unique_ID)</f>
        <v>#N/A</v>
      </c>
      <c r="BM492" s="27"/>
      <c r="BN492" s="27"/>
    </row>
    <row r="493">
      <c r="A493" s="1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8" t="str">
        <f>LOWER(Campanha_ou_InsertionOrder&amp;"_"&amp;LineItem_ou_Grupodeanúncio&amp;"_"&amp;Linha_Criativa&amp;"_"&amp;Unique_ID)</f>
        <v>#N/A</v>
      </c>
      <c r="AN493" s="28" t="str">
        <f>LOWER(Campanha_ou_InsertionOrder&amp;"_"&amp;LineItem_ou_Grupodeanúncio&amp;"_"&amp;Linha_Criativa&amp;"_"&amp;Unique_ID)</f>
        <v>#N/A</v>
      </c>
      <c r="AO493" s="28" t="str">
        <f>LOWER("VW"&amp;"_"&amp;Model_Variant&amp;"_"&amp;Size&amp;"_"&amp;Linha_Criativa&amp;"_"&amp;IF(Servido_Por="portal",Veiculo,"adserver"))</f>
        <v>vw____adserver</v>
      </c>
      <c r="AP4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3" s="22" t="str">
        <f t="shared" si="1"/>
        <v/>
      </c>
      <c r="AS493" s="22" t="str">
        <f t="shared" si="2"/>
        <v/>
      </c>
      <c r="AT493" s="22" t="str">
        <f t="shared" si="3"/>
        <v>BR_IMC_DSY_LANCH_ND_NC_2020Q3AUG_NVS_Nivus-Launch-Consideracao</v>
      </c>
      <c r="AU493" s="22" t="str">
        <f t="shared" si="4"/>
        <v>#N/A</v>
      </c>
      <c r="AV493" s="22" t="s">
        <v>106</v>
      </c>
      <c r="AW4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3" s="22" t="str">
        <f t="shared" si="5"/>
        <v>BR_IMC_DSY_LANCH_ND_NC_2020Q3AUG_NVS_Nivus-Launch-Consideracao</v>
      </c>
      <c r="AY493" s="28" t="str">
        <f t="shared" si="6"/>
        <v>#N/A</v>
      </c>
      <c r="AZ493" s="22" t="s">
        <v>107</v>
      </c>
      <c r="BA493" s="22" t="s">
        <v>108</v>
      </c>
      <c r="BB493" s="31" t="s">
        <v>109</v>
      </c>
      <c r="BC493" s="31" t="s">
        <v>109</v>
      </c>
      <c r="BD493" s="32" t="str">
        <f t="shared" si="8"/>
        <v>nvl-nvs-imc-dsy-0820-10487</v>
      </c>
      <c r="BE493" s="33"/>
      <c r="BF493" s="33"/>
      <c r="BG493" s="39" t="str">
        <f>URL&amp;IF(ISNUMBER(FIND("?",URL)),"&amp;","?"&amp;("adlid="&amp;Unique_ID&amp;"&amp;adplt="&amp;Placement))</f>
        <v>#N/A</v>
      </c>
      <c r="BH493" s="1"/>
      <c r="BI493" s="1"/>
      <c r="BJ493" s="35" t="str">
        <f>LOWER("alp"&amp;"_"&amp;"vw"&amp;"_"&amp;Veiculo&amp;"_"&amp;C489&amp;"_"&amp;Objetivo)</f>
        <v>alp_vw___</v>
      </c>
      <c r="BK493" s="35" t="str">
        <f>LOWER(Buying_Metric&amp;"_"&amp;VLOOKUP(Buying_Type,Buy_type,2,FALSE)&amp;"_"&amp;Device&amp;"_"&amp;Size&amp;"_"&amp;Segmentação&amp;"_"&amp;Segmentação_Anúncio)</f>
        <v>#N/A</v>
      </c>
      <c r="BL493" s="35" t="str">
        <f>LOWER(Campanha_ou_InsertionOrder&amp;"_"&amp;LineItem_ou_Grupodeanúncio&amp;"_"&amp;Linha_criativa_2&amp;"_"&amp;Unique_ID)</f>
        <v>#N/A</v>
      </c>
      <c r="BM493" s="27"/>
      <c r="BN493" s="27"/>
    </row>
    <row r="494">
      <c r="A494" s="1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8" t="str">
        <f>LOWER(Campanha_ou_InsertionOrder&amp;"_"&amp;LineItem_ou_Grupodeanúncio&amp;"_"&amp;Linha_Criativa&amp;"_"&amp;Unique_ID)</f>
        <v>#N/A</v>
      </c>
      <c r="AN494" s="28" t="str">
        <f>LOWER(Campanha_ou_InsertionOrder&amp;"_"&amp;LineItem_ou_Grupodeanúncio&amp;"_"&amp;Linha_Criativa&amp;"_"&amp;Unique_ID)</f>
        <v>#N/A</v>
      </c>
      <c r="AO494" s="28" t="str">
        <f>LOWER("VW"&amp;"_"&amp;Model_Variant&amp;"_"&amp;Size&amp;"_"&amp;Linha_Criativa&amp;"_"&amp;IF(Servido_Por="portal",Veiculo,"adserver"))</f>
        <v>vw____adserver</v>
      </c>
      <c r="AP4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4" s="22" t="str">
        <f t="shared" si="1"/>
        <v/>
      </c>
      <c r="AS494" s="22" t="str">
        <f t="shared" si="2"/>
        <v/>
      </c>
      <c r="AT494" s="22" t="str">
        <f t="shared" si="3"/>
        <v>BR_IMC_DSY_LANCH_ND_NC_2020Q3AUG_NVS_Nivus-Launch-Consideracao</v>
      </c>
      <c r="AU494" s="22" t="str">
        <f t="shared" si="4"/>
        <v>#N/A</v>
      </c>
      <c r="AV494" s="22" t="s">
        <v>106</v>
      </c>
      <c r="AW4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4" s="22" t="str">
        <f t="shared" si="5"/>
        <v>BR_IMC_DSY_LANCH_ND_NC_2020Q3AUG_NVS_Nivus-Launch-Consideracao</v>
      </c>
      <c r="AY494" s="28" t="str">
        <f t="shared" si="6"/>
        <v>#N/A</v>
      </c>
      <c r="AZ494" s="22" t="s">
        <v>107</v>
      </c>
      <c r="BA494" s="22" t="s">
        <v>108</v>
      </c>
      <c r="BB494" s="31" t="s">
        <v>109</v>
      </c>
      <c r="BC494" s="31" t="s">
        <v>109</v>
      </c>
      <c r="BD494" s="32" t="str">
        <f t="shared" si="8"/>
        <v>nvl-nvs-imc-dsy-0820-10488</v>
      </c>
      <c r="BE494" s="33"/>
      <c r="BF494" s="33"/>
      <c r="BG494" s="39" t="str">
        <f>URL&amp;IF(ISNUMBER(FIND("?",URL)),"&amp;","?"&amp;("adlid="&amp;Unique_ID&amp;"&amp;adplt="&amp;Placement))</f>
        <v>#N/A</v>
      </c>
      <c r="BH494" s="1"/>
      <c r="BI494" s="1"/>
      <c r="BJ494" s="35" t="str">
        <f>LOWER("alp"&amp;"_"&amp;"vw"&amp;"_"&amp;Veiculo&amp;"_"&amp;C490&amp;"_"&amp;Objetivo)</f>
        <v>alp_vw___</v>
      </c>
      <c r="BK494" s="35" t="str">
        <f>LOWER(Buying_Metric&amp;"_"&amp;VLOOKUP(Buying_Type,Buy_type,2,FALSE)&amp;"_"&amp;Device&amp;"_"&amp;Size&amp;"_"&amp;Segmentação&amp;"_"&amp;Segmentação_Anúncio)</f>
        <v>#N/A</v>
      </c>
      <c r="BL494" s="35" t="str">
        <f>LOWER(Campanha_ou_InsertionOrder&amp;"_"&amp;LineItem_ou_Grupodeanúncio&amp;"_"&amp;Linha_criativa_2&amp;"_"&amp;Unique_ID)</f>
        <v>#N/A</v>
      </c>
      <c r="BM494" s="27"/>
      <c r="BN494" s="27"/>
    </row>
    <row r="495">
      <c r="A495" s="1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8" t="str">
        <f>LOWER(Campanha_ou_InsertionOrder&amp;"_"&amp;LineItem_ou_Grupodeanúncio&amp;"_"&amp;Linha_Criativa&amp;"_"&amp;Unique_ID)</f>
        <v>#N/A</v>
      </c>
      <c r="AN495" s="28" t="str">
        <f>LOWER(Campanha_ou_InsertionOrder&amp;"_"&amp;LineItem_ou_Grupodeanúncio&amp;"_"&amp;Linha_Criativa&amp;"_"&amp;Unique_ID)</f>
        <v>#N/A</v>
      </c>
      <c r="AO495" s="28" t="str">
        <f>LOWER("VW"&amp;"_"&amp;Model_Variant&amp;"_"&amp;Size&amp;"_"&amp;Linha_Criativa&amp;"_"&amp;IF(Servido_Por="portal",Veiculo,"adserver"))</f>
        <v>vw____adserver</v>
      </c>
      <c r="AP4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5" s="22" t="str">
        <f t="shared" si="1"/>
        <v/>
      </c>
      <c r="AS495" s="22" t="str">
        <f t="shared" si="2"/>
        <v/>
      </c>
      <c r="AT495" s="22" t="str">
        <f t="shared" si="3"/>
        <v>BR_IMC_DSY_LANCH_ND_NC_2020Q3AUG_NVS_Nivus-Launch-Consideracao</v>
      </c>
      <c r="AU495" s="22" t="str">
        <f t="shared" si="4"/>
        <v>#N/A</v>
      </c>
      <c r="AV495" s="22" t="s">
        <v>106</v>
      </c>
      <c r="AW4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5" s="22" t="str">
        <f t="shared" si="5"/>
        <v>BR_IMC_DSY_LANCH_ND_NC_2020Q3AUG_NVS_Nivus-Launch-Consideracao</v>
      </c>
      <c r="AY495" s="28" t="str">
        <f t="shared" si="6"/>
        <v>#N/A</v>
      </c>
      <c r="AZ495" s="22" t="s">
        <v>107</v>
      </c>
      <c r="BA495" s="22" t="s">
        <v>108</v>
      </c>
      <c r="BB495" s="31" t="s">
        <v>109</v>
      </c>
      <c r="BC495" s="31" t="s">
        <v>109</v>
      </c>
      <c r="BD495" s="32" t="str">
        <f t="shared" si="8"/>
        <v>nvl-nvs-imc-dsy-0820-10489</v>
      </c>
      <c r="BE495" s="33"/>
      <c r="BF495" s="33"/>
      <c r="BG495" s="39" t="str">
        <f>URL&amp;IF(ISNUMBER(FIND("?",URL)),"&amp;","?"&amp;("adlid="&amp;Unique_ID&amp;"&amp;adplt="&amp;Placement))</f>
        <v>#N/A</v>
      </c>
      <c r="BH495" s="1"/>
      <c r="BI495" s="1"/>
      <c r="BJ495" s="35" t="str">
        <f>LOWER("alp"&amp;"_"&amp;"vw"&amp;"_"&amp;Veiculo&amp;"_"&amp;C491&amp;"_"&amp;Objetivo)</f>
        <v>alp_vw___</v>
      </c>
      <c r="BK495" s="35" t="str">
        <f>LOWER(Buying_Metric&amp;"_"&amp;VLOOKUP(Buying_Type,Buy_type,2,FALSE)&amp;"_"&amp;Device&amp;"_"&amp;Size&amp;"_"&amp;Segmentação&amp;"_"&amp;Segmentação_Anúncio)</f>
        <v>#N/A</v>
      </c>
      <c r="BL495" s="35" t="str">
        <f>LOWER(Campanha_ou_InsertionOrder&amp;"_"&amp;LineItem_ou_Grupodeanúncio&amp;"_"&amp;Linha_criativa_2&amp;"_"&amp;Unique_ID)</f>
        <v>#N/A</v>
      </c>
      <c r="BM495" s="27"/>
      <c r="BN495" s="27"/>
    </row>
    <row r="496">
      <c r="A496" s="1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8" t="str">
        <f>LOWER(Campanha_ou_InsertionOrder&amp;"_"&amp;LineItem_ou_Grupodeanúncio&amp;"_"&amp;Linha_Criativa&amp;"_"&amp;Unique_ID)</f>
        <v>#N/A</v>
      </c>
      <c r="AN496" s="28" t="str">
        <f>LOWER(Campanha_ou_InsertionOrder&amp;"_"&amp;LineItem_ou_Grupodeanúncio&amp;"_"&amp;Linha_Criativa&amp;"_"&amp;Unique_ID)</f>
        <v>#N/A</v>
      </c>
      <c r="AO496" s="28" t="str">
        <f>LOWER("VW"&amp;"_"&amp;Model_Variant&amp;"_"&amp;Size&amp;"_"&amp;Linha_Criativa&amp;"_"&amp;IF(Servido_Por="portal",Veiculo,"adserver"))</f>
        <v>vw____adserver</v>
      </c>
      <c r="AP4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6" s="22" t="str">
        <f t="shared" si="1"/>
        <v/>
      </c>
      <c r="AS496" s="22" t="str">
        <f t="shared" si="2"/>
        <v/>
      </c>
      <c r="AT496" s="22" t="str">
        <f t="shared" si="3"/>
        <v>BR_IMC_DSY_LANCH_ND_NC_2020Q3AUG_NVS_Nivus-Launch-Consideracao</v>
      </c>
      <c r="AU496" s="22" t="str">
        <f t="shared" si="4"/>
        <v>#N/A</v>
      </c>
      <c r="AV496" s="22" t="s">
        <v>106</v>
      </c>
      <c r="AW4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6" s="22" t="str">
        <f t="shared" si="5"/>
        <v>BR_IMC_DSY_LANCH_ND_NC_2020Q3AUG_NVS_Nivus-Launch-Consideracao</v>
      </c>
      <c r="AY496" s="28" t="str">
        <f t="shared" si="6"/>
        <v>#N/A</v>
      </c>
      <c r="AZ496" s="22" t="s">
        <v>107</v>
      </c>
      <c r="BA496" s="22" t="s">
        <v>108</v>
      </c>
      <c r="BB496" s="31" t="s">
        <v>109</v>
      </c>
      <c r="BC496" s="31" t="s">
        <v>109</v>
      </c>
      <c r="BD496" s="32" t="str">
        <f t="shared" si="8"/>
        <v>nvl-nvs-imc-dsy-0820-10490</v>
      </c>
      <c r="BE496" s="33"/>
      <c r="BF496" s="33"/>
      <c r="BG496" s="39" t="str">
        <f>URL&amp;IF(ISNUMBER(FIND("?",URL)),"&amp;","?"&amp;("adlid="&amp;Unique_ID&amp;"&amp;adplt="&amp;Placement))</f>
        <v>#N/A</v>
      </c>
      <c r="BH496" s="1"/>
      <c r="BI496" s="1"/>
      <c r="BJ496" s="35" t="str">
        <f>LOWER("alp"&amp;"_"&amp;"vw"&amp;"_"&amp;Veiculo&amp;"_"&amp;C492&amp;"_"&amp;Objetivo)</f>
        <v>alp_vw___</v>
      </c>
      <c r="BK496" s="35" t="str">
        <f>LOWER(Buying_Metric&amp;"_"&amp;VLOOKUP(Buying_Type,Buy_type,2,FALSE)&amp;"_"&amp;Device&amp;"_"&amp;Size&amp;"_"&amp;Segmentação&amp;"_"&amp;Segmentação_Anúncio)</f>
        <v>#N/A</v>
      </c>
      <c r="BL496" s="35" t="str">
        <f>LOWER(Campanha_ou_InsertionOrder&amp;"_"&amp;LineItem_ou_Grupodeanúncio&amp;"_"&amp;Linha_criativa_2&amp;"_"&amp;Unique_ID)</f>
        <v>#N/A</v>
      </c>
      <c r="BM496" s="27"/>
      <c r="BN496" s="27"/>
    </row>
    <row r="497">
      <c r="A497" s="1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8" t="str">
        <f>LOWER(Campanha_ou_InsertionOrder&amp;"_"&amp;LineItem_ou_Grupodeanúncio&amp;"_"&amp;Linha_Criativa&amp;"_"&amp;Unique_ID)</f>
        <v>#N/A</v>
      </c>
      <c r="AN497" s="28" t="str">
        <f>LOWER(Campanha_ou_InsertionOrder&amp;"_"&amp;LineItem_ou_Grupodeanúncio&amp;"_"&amp;Linha_Criativa&amp;"_"&amp;Unique_ID)</f>
        <v>#N/A</v>
      </c>
      <c r="AO497" s="28" t="str">
        <f>LOWER("VW"&amp;"_"&amp;Model_Variant&amp;"_"&amp;Size&amp;"_"&amp;Linha_Criativa&amp;"_"&amp;IF(Servido_Por="portal",Veiculo,"adserver"))</f>
        <v>vw____adserver</v>
      </c>
      <c r="AP4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7" s="22" t="str">
        <f t="shared" si="1"/>
        <v/>
      </c>
      <c r="AS497" s="22" t="str">
        <f t="shared" si="2"/>
        <v/>
      </c>
      <c r="AT497" s="22" t="str">
        <f t="shared" si="3"/>
        <v>BR_IMC_DSY_LANCH_ND_NC_2020Q3AUG_NVS_Nivus-Launch-Consideracao</v>
      </c>
      <c r="AU497" s="22" t="str">
        <f t="shared" si="4"/>
        <v>#N/A</v>
      </c>
      <c r="AV497" s="22" t="s">
        <v>106</v>
      </c>
      <c r="AW4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7" s="22" t="str">
        <f t="shared" si="5"/>
        <v>BR_IMC_DSY_LANCH_ND_NC_2020Q3AUG_NVS_Nivus-Launch-Consideracao</v>
      </c>
      <c r="AY497" s="28" t="str">
        <f t="shared" si="6"/>
        <v>#N/A</v>
      </c>
      <c r="AZ497" s="22" t="s">
        <v>107</v>
      </c>
      <c r="BA497" s="22" t="s">
        <v>108</v>
      </c>
      <c r="BB497" s="31" t="s">
        <v>109</v>
      </c>
      <c r="BC497" s="31" t="s">
        <v>109</v>
      </c>
      <c r="BD497" s="32" t="str">
        <f t="shared" si="8"/>
        <v>nvl-nvs-imc-dsy-0820-10491</v>
      </c>
      <c r="BE497" s="33"/>
      <c r="BF497" s="33"/>
      <c r="BG497" s="39" t="str">
        <f>URL&amp;IF(ISNUMBER(FIND("?",URL)),"&amp;","?"&amp;("adlid="&amp;Unique_ID&amp;"&amp;adplt="&amp;Placement))</f>
        <v>#N/A</v>
      </c>
      <c r="BH497" s="1"/>
      <c r="BI497" s="1"/>
      <c r="BJ497" s="35" t="str">
        <f>LOWER("alp"&amp;"_"&amp;"vw"&amp;"_"&amp;Veiculo&amp;"_"&amp;C493&amp;"_"&amp;Objetivo)</f>
        <v>alp_vw___</v>
      </c>
      <c r="BK497" s="35" t="str">
        <f>LOWER(Buying_Metric&amp;"_"&amp;VLOOKUP(Buying_Type,Buy_type,2,FALSE)&amp;"_"&amp;Device&amp;"_"&amp;Size&amp;"_"&amp;Segmentação&amp;"_"&amp;Segmentação_Anúncio)</f>
        <v>#N/A</v>
      </c>
      <c r="BL497" s="35" t="str">
        <f>LOWER(Campanha_ou_InsertionOrder&amp;"_"&amp;LineItem_ou_Grupodeanúncio&amp;"_"&amp;Linha_criativa_2&amp;"_"&amp;Unique_ID)</f>
        <v>#N/A</v>
      </c>
      <c r="BM497" s="27"/>
      <c r="BN497" s="27"/>
    </row>
    <row r="498">
      <c r="A498" s="1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8" t="str">
        <f>LOWER(Campanha_ou_InsertionOrder&amp;"_"&amp;LineItem_ou_Grupodeanúncio&amp;"_"&amp;Linha_Criativa&amp;"_"&amp;Unique_ID)</f>
        <v>#N/A</v>
      </c>
      <c r="AN498" s="28" t="str">
        <f>LOWER(Campanha_ou_InsertionOrder&amp;"_"&amp;LineItem_ou_Grupodeanúncio&amp;"_"&amp;Linha_Criativa&amp;"_"&amp;Unique_ID)</f>
        <v>#N/A</v>
      </c>
      <c r="AO498" s="28" t="str">
        <f>LOWER("VW"&amp;"_"&amp;Model_Variant&amp;"_"&amp;Size&amp;"_"&amp;Linha_Criativa&amp;"_"&amp;IF(Servido_Por="portal",Veiculo,"adserver"))</f>
        <v>vw____adserver</v>
      </c>
      <c r="AP4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8" s="22" t="str">
        <f t="shared" si="1"/>
        <v/>
      </c>
      <c r="AS498" s="22" t="str">
        <f t="shared" si="2"/>
        <v/>
      </c>
      <c r="AT498" s="22" t="str">
        <f t="shared" si="3"/>
        <v>BR_IMC_DSY_LANCH_ND_NC_2020Q3AUG_NVS_Nivus-Launch-Consideracao</v>
      </c>
      <c r="AU498" s="22" t="str">
        <f t="shared" si="4"/>
        <v>#N/A</v>
      </c>
      <c r="AV498" s="22" t="s">
        <v>106</v>
      </c>
      <c r="AW4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8" s="22" t="str">
        <f t="shared" si="5"/>
        <v>BR_IMC_DSY_LANCH_ND_NC_2020Q3AUG_NVS_Nivus-Launch-Consideracao</v>
      </c>
      <c r="AY498" s="28" t="str">
        <f t="shared" si="6"/>
        <v>#N/A</v>
      </c>
      <c r="AZ498" s="22" t="s">
        <v>107</v>
      </c>
      <c r="BA498" s="22" t="s">
        <v>108</v>
      </c>
      <c r="BB498" s="31" t="s">
        <v>109</v>
      </c>
      <c r="BC498" s="31" t="s">
        <v>109</v>
      </c>
      <c r="BD498" s="32" t="str">
        <f t="shared" si="8"/>
        <v>nvl-nvs-imc-dsy-0820-10492</v>
      </c>
      <c r="BE498" s="33"/>
      <c r="BF498" s="33"/>
      <c r="BG498" s="39" t="str">
        <f>URL&amp;IF(ISNUMBER(FIND("?",URL)),"&amp;","?"&amp;("adlid="&amp;Unique_ID&amp;"&amp;adplt="&amp;Placement))</f>
        <v>#N/A</v>
      </c>
      <c r="BH498" s="1"/>
      <c r="BI498" s="1"/>
      <c r="BJ498" s="35" t="str">
        <f>LOWER("alp"&amp;"_"&amp;"vw"&amp;"_"&amp;Veiculo&amp;"_"&amp;C494&amp;"_"&amp;Objetivo)</f>
        <v>alp_vw___</v>
      </c>
      <c r="BK498" s="35" t="str">
        <f>LOWER(Buying_Metric&amp;"_"&amp;VLOOKUP(Buying_Type,Buy_type,2,FALSE)&amp;"_"&amp;Device&amp;"_"&amp;Size&amp;"_"&amp;Segmentação&amp;"_"&amp;Segmentação_Anúncio)</f>
        <v>#N/A</v>
      </c>
      <c r="BL498" s="35" t="str">
        <f>LOWER(Campanha_ou_InsertionOrder&amp;"_"&amp;LineItem_ou_Grupodeanúncio&amp;"_"&amp;Linha_criativa_2&amp;"_"&amp;Unique_ID)</f>
        <v>#N/A</v>
      </c>
      <c r="BM498" s="27"/>
      <c r="BN498" s="27"/>
    </row>
    <row r="499">
      <c r="A499" s="1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8" t="str">
        <f>LOWER(Campanha_ou_InsertionOrder&amp;"_"&amp;LineItem_ou_Grupodeanúncio&amp;"_"&amp;Linha_Criativa&amp;"_"&amp;Unique_ID)</f>
        <v>#N/A</v>
      </c>
      <c r="AN499" s="28" t="str">
        <f>LOWER(Campanha_ou_InsertionOrder&amp;"_"&amp;LineItem_ou_Grupodeanúncio&amp;"_"&amp;Linha_Criativa&amp;"_"&amp;Unique_ID)</f>
        <v>#N/A</v>
      </c>
      <c r="AO499" s="28" t="str">
        <f>LOWER("VW"&amp;"_"&amp;Model_Variant&amp;"_"&amp;Size&amp;"_"&amp;Linha_Criativa&amp;"_"&amp;IF(Servido_Por="portal",Veiculo,"adserver"))</f>
        <v>vw____adserver</v>
      </c>
      <c r="AP4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4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499" s="22" t="str">
        <f t="shared" si="1"/>
        <v/>
      </c>
      <c r="AS499" s="22" t="str">
        <f t="shared" si="2"/>
        <v/>
      </c>
      <c r="AT499" s="22" t="str">
        <f t="shared" si="3"/>
        <v>BR_IMC_DSY_LANCH_ND_NC_2020Q3AUG_NVS_Nivus-Launch-Consideracao</v>
      </c>
      <c r="AU499" s="22" t="str">
        <f t="shared" si="4"/>
        <v>#N/A</v>
      </c>
      <c r="AV499" s="22" t="s">
        <v>106</v>
      </c>
      <c r="AW4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499" s="22" t="str">
        <f t="shared" si="5"/>
        <v>BR_IMC_DSY_LANCH_ND_NC_2020Q3AUG_NVS_Nivus-Launch-Consideracao</v>
      </c>
      <c r="AY499" s="28" t="str">
        <f t="shared" si="6"/>
        <v>#N/A</v>
      </c>
      <c r="AZ499" s="22" t="s">
        <v>107</v>
      </c>
      <c r="BA499" s="22" t="s">
        <v>108</v>
      </c>
      <c r="BB499" s="31" t="s">
        <v>109</v>
      </c>
      <c r="BC499" s="31" t="s">
        <v>109</v>
      </c>
      <c r="BD499" s="32" t="str">
        <f t="shared" si="8"/>
        <v>nvl-nvs-imc-dsy-0820-10493</v>
      </c>
      <c r="BE499" s="33"/>
      <c r="BF499" s="33"/>
      <c r="BG499" s="39" t="str">
        <f>URL&amp;IF(ISNUMBER(FIND("?",URL)),"&amp;","?"&amp;("adlid="&amp;Unique_ID&amp;"&amp;adplt="&amp;Placement))</f>
        <v>#N/A</v>
      </c>
      <c r="BH499" s="1"/>
      <c r="BI499" s="1"/>
      <c r="BJ499" s="35" t="str">
        <f>LOWER("alp"&amp;"_"&amp;"vw"&amp;"_"&amp;Veiculo&amp;"_"&amp;C495&amp;"_"&amp;Objetivo)</f>
        <v>alp_vw___</v>
      </c>
      <c r="BK499" s="35" t="str">
        <f>LOWER(Buying_Metric&amp;"_"&amp;VLOOKUP(Buying_Type,Buy_type,2,FALSE)&amp;"_"&amp;Device&amp;"_"&amp;Size&amp;"_"&amp;Segmentação&amp;"_"&amp;Segmentação_Anúncio)</f>
        <v>#N/A</v>
      </c>
      <c r="BL499" s="35" t="str">
        <f>LOWER(Campanha_ou_InsertionOrder&amp;"_"&amp;LineItem_ou_Grupodeanúncio&amp;"_"&amp;Linha_criativa_2&amp;"_"&amp;Unique_ID)</f>
        <v>#N/A</v>
      </c>
      <c r="BM499" s="27"/>
      <c r="BN499" s="27"/>
    </row>
    <row r="500">
      <c r="A500" s="1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8" t="str">
        <f>LOWER(Campanha_ou_InsertionOrder&amp;"_"&amp;LineItem_ou_Grupodeanúncio&amp;"_"&amp;Linha_Criativa&amp;"_"&amp;Unique_ID)</f>
        <v>#N/A</v>
      </c>
      <c r="AN500" s="28" t="str">
        <f>LOWER(Campanha_ou_InsertionOrder&amp;"_"&amp;LineItem_ou_Grupodeanúncio&amp;"_"&amp;Linha_Criativa&amp;"_"&amp;Unique_ID)</f>
        <v>#N/A</v>
      </c>
      <c r="AO500" s="28" t="str">
        <f>LOWER("VW"&amp;"_"&amp;Model_Variant&amp;"_"&amp;Size&amp;"_"&amp;Linha_Criativa&amp;"_"&amp;IF(Servido_Por="portal",Veiculo,"adserver"))</f>
        <v>vw____adserver</v>
      </c>
      <c r="AP5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0" s="22" t="str">
        <f t="shared" si="1"/>
        <v/>
      </c>
      <c r="AS500" s="22" t="str">
        <f t="shared" si="2"/>
        <v/>
      </c>
      <c r="AT500" s="22" t="str">
        <f t="shared" si="3"/>
        <v>BR_IMC_DSY_LANCH_ND_NC_2020Q3AUG_NVS_Nivus-Launch-Consideracao</v>
      </c>
      <c r="AU500" s="22" t="str">
        <f t="shared" si="4"/>
        <v>#N/A</v>
      </c>
      <c r="AV500" s="22" t="s">
        <v>106</v>
      </c>
      <c r="AW5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0" s="22" t="str">
        <f t="shared" si="5"/>
        <v>BR_IMC_DSY_LANCH_ND_NC_2020Q3AUG_NVS_Nivus-Launch-Consideracao</v>
      </c>
      <c r="AY500" s="28" t="str">
        <f t="shared" si="6"/>
        <v>#N/A</v>
      </c>
      <c r="AZ500" s="22" t="s">
        <v>107</v>
      </c>
      <c r="BA500" s="22" t="s">
        <v>108</v>
      </c>
      <c r="BB500" s="31" t="s">
        <v>109</v>
      </c>
      <c r="BC500" s="31" t="s">
        <v>109</v>
      </c>
      <c r="BD500" s="32" t="str">
        <f t="shared" si="8"/>
        <v>nvl-nvs-imc-dsy-0820-10494</v>
      </c>
      <c r="BE500" s="33"/>
      <c r="BF500" s="33"/>
      <c r="BG500" s="39" t="str">
        <f>URL&amp;IF(ISNUMBER(FIND("?",URL)),"&amp;","?"&amp;("adlid="&amp;Unique_ID&amp;"&amp;adplt="&amp;Placement))</f>
        <v>#N/A</v>
      </c>
      <c r="BH500" s="1"/>
      <c r="BI500" s="1"/>
      <c r="BJ500" s="35" t="str">
        <f>LOWER("alp"&amp;"_"&amp;"vw"&amp;"_"&amp;Veiculo&amp;"_"&amp;C496&amp;"_"&amp;Objetivo)</f>
        <v>alp_vw___</v>
      </c>
      <c r="BK500" s="35" t="str">
        <f>LOWER(Buying_Metric&amp;"_"&amp;VLOOKUP(Buying_Type,Buy_type,2,FALSE)&amp;"_"&amp;Device&amp;"_"&amp;Size&amp;"_"&amp;Segmentação&amp;"_"&amp;Segmentação_Anúncio)</f>
        <v>#N/A</v>
      </c>
      <c r="BL500" s="35" t="str">
        <f>LOWER(Campanha_ou_InsertionOrder&amp;"_"&amp;LineItem_ou_Grupodeanúncio&amp;"_"&amp;Linha_criativa_2&amp;"_"&amp;Unique_ID)</f>
        <v>#N/A</v>
      </c>
      <c r="BM500" s="27"/>
      <c r="BN500" s="27"/>
    </row>
    <row r="501">
      <c r="A501" s="1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8" t="str">
        <f>LOWER(Campanha_ou_InsertionOrder&amp;"_"&amp;LineItem_ou_Grupodeanúncio&amp;"_"&amp;Linha_Criativa&amp;"_"&amp;Unique_ID)</f>
        <v>#N/A</v>
      </c>
      <c r="AN501" s="28" t="str">
        <f>LOWER(Campanha_ou_InsertionOrder&amp;"_"&amp;LineItem_ou_Grupodeanúncio&amp;"_"&amp;Linha_Criativa&amp;"_"&amp;Unique_ID)</f>
        <v>#N/A</v>
      </c>
      <c r="AO501" s="28" t="str">
        <f>LOWER("VW"&amp;"_"&amp;Model_Variant&amp;"_"&amp;Size&amp;"_"&amp;Linha_Criativa&amp;"_"&amp;IF(Servido_Por="portal",Veiculo,"adserver"))</f>
        <v>vw____adserver</v>
      </c>
      <c r="AP5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1" s="22" t="str">
        <f t="shared" si="1"/>
        <v/>
      </c>
      <c r="AS501" s="22" t="str">
        <f t="shared" si="2"/>
        <v/>
      </c>
      <c r="AT501" s="22" t="str">
        <f t="shared" si="3"/>
        <v>BR_IMC_DSY_LANCH_ND_NC_2020Q3AUG_NVS_Nivus-Launch-Consideracao</v>
      </c>
      <c r="AU501" s="22" t="str">
        <f t="shared" si="4"/>
        <v>#N/A</v>
      </c>
      <c r="AV501" s="22" t="s">
        <v>106</v>
      </c>
      <c r="AW5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1" s="22" t="str">
        <f t="shared" si="5"/>
        <v>BR_IMC_DSY_LANCH_ND_NC_2020Q3AUG_NVS_Nivus-Launch-Consideracao</v>
      </c>
      <c r="AY501" s="28" t="str">
        <f t="shared" si="6"/>
        <v>#N/A</v>
      </c>
      <c r="AZ501" s="22" t="s">
        <v>107</v>
      </c>
      <c r="BA501" s="22" t="s">
        <v>108</v>
      </c>
      <c r="BB501" s="31" t="s">
        <v>109</v>
      </c>
      <c r="BC501" s="31" t="s">
        <v>109</v>
      </c>
      <c r="BD501" s="32" t="str">
        <f t="shared" si="8"/>
        <v>nvl-nvs-imc-dsy-0820-10495</v>
      </c>
      <c r="BE501" s="33"/>
      <c r="BF501" s="33"/>
      <c r="BG501" s="39" t="str">
        <f>URL&amp;IF(ISNUMBER(FIND("?",URL)),"&amp;","?"&amp;("adlid="&amp;Unique_ID&amp;"&amp;adplt="&amp;Placement))</f>
        <v>#N/A</v>
      </c>
      <c r="BH501" s="1"/>
      <c r="BI501" s="1"/>
      <c r="BJ501" s="35" t="str">
        <f>LOWER("alp"&amp;"_"&amp;"vw"&amp;"_"&amp;Veiculo&amp;"_"&amp;C497&amp;"_"&amp;Objetivo)</f>
        <v>alp_vw___</v>
      </c>
      <c r="BK501" s="35" t="str">
        <f>LOWER(Buying_Metric&amp;"_"&amp;VLOOKUP(Buying_Type,Buy_type,2,FALSE)&amp;"_"&amp;Device&amp;"_"&amp;Size&amp;"_"&amp;Segmentação&amp;"_"&amp;Segmentação_Anúncio)</f>
        <v>#N/A</v>
      </c>
      <c r="BL501" s="35" t="str">
        <f>LOWER(Campanha_ou_InsertionOrder&amp;"_"&amp;LineItem_ou_Grupodeanúncio&amp;"_"&amp;Linha_criativa_2&amp;"_"&amp;Unique_ID)</f>
        <v>#N/A</v>
      </c>
      <c r="BM501" s="27"/>
      <c r="BN501" s="27"/>
    </row>
    <row r="502">
      <c r="A502" s="1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8" t="str">
        <f>LOWER(Campanha_ou_InsertionOrder&amp;"_"&amp;LineItem_ou_Grupodeanúncio&amp;"_"&amp;Linha_Criativa&amp;"_"&amp;Unique_ID)</f>
        <v>#N/A</v>
      </c>
      <c r="AN502" s="28" t="str">
        <f>LOWER(Campanha_ou_InsertionOrder&amp;"_"&amp;LineItem_ou_Grupodeanúncio&amp;"_"&amp;Linha_Criativa&amp;"_"&amp;Unique_ID)</f>
        <v>#N/A</v>
      </c>
      <c r="AO502" s="28" t="str">
        <f>LOWER("VW"&amp;"_"&amp;Model_Variant&amp;"_"&amp;Size&amp;"_"&amp;Linha_Criativa&amp;"_"&amp;IF(Servido_Por="portal",Veiculo,"adserver"))</f>
        <v>vw____adserver</v>
      </c>
      <c r="AP5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2" s="22" t="str">
        <f t="shared" si="1"/>
        <v/>
      </c>
      <c r="AS502" s="22" t="str">
        <f t="shared" si="2"/>
        <v/>
      </c>
      <c r="AT502" s="22" t="str">
        <f t="shared" si="3"/>
        <v>BR_IMC_DSY_LANCH_ND_NC_2020Q3AUG_NVS_Nivus-Launch-Consideracao</v>
      </c>
      <c r="AU502" s="22" t="str">
        <f t="shared" si="4"/>
        <v>#N/A</v>
      </c>
      <c r="AV502" s="22" t="s">
        <v>106</v>
      </c>
      <c r="AW5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2" s="22" t="str">
        <f t="shared" si="5"/>
        <v>BR_IMC_DSY_LANCH_ND_NC_2020Q3AUG_NVS_Nivus-Launch-Consideracao</v>
      </c>
      <c r="AY502" s="28" t="str">
        <f t="shared" si="6"/>
        <v>#N/A</v>
      </c>
      <c r="AZ502" s="22" t="s">
        <v>107</v>
      </c>
      <c r="BA502" s="22" t="s">
        <v>108</v>
      </c>
      <c r="BB502" s="31" t="s">
        <v>109</v>
      </c>
      <c r="BC502" s="31" t="s">
        <v>109</v>
      </c>
      <c r="BD502" s="32" t="str">
        <f t="shared" si="8"/>
        <v>nvl-nvs-imc-dsy-0820-10496</v>
      </c>
      <c r="BE502" s="33"/>
      <c r="BF502" s="33"/>
      <c r="BG502" s="39" t="str">
        <f>URL&amp;IF(ISNUMBER(FIND("?",URL)),"&amp;","?"&amp;("adlid="&amp;Unique_ID&amp;"&amp;adplt="&amp;Placement))</f>
        <v>#N/A</v>
      </c>
      <c r="BH502" s="1"/>
      <c r="BI502" s="1"/>
      <c r="BJ502" s="35" t="str">
        <f>LOWER("alp"&amp;"_"&amp;"vw"&amp;"_"&amp;Veiculo&amp;"_"&amp;C498&amp;"_"&amp;Objetivo)</f>
        <v>alp_vw___</v>
      </c>
      <c r="BK502" s="35" t="str">
        <f>LOWER(Buying_Metric&amp;"_"&amp;VLOOKUP(Buying_Type,Buy_type,2,FALSE)&amp;"_"&amp;Device&amp;"_"&amp;Size&amp;"_"&amp;Segmentação&amp;"_"&amp;Segmentação_Anúncio)</f>
        <v>#N/A</v>
      </c>
      <c r="BL502" s="35" t="str">
        <f>LOWER(Campanha_ou_InsertionOrder&amp;"_"&amp;LineItem_ou_Grupodeanúncio&amp;"_"&amp;Linha_criativa_2&amp;"_"&amp;Unique_ID)</f>
        <v>#N/A</v>
      </c>
      <c r="BM502" s="27"/>
      <c r="BN502" s="27"/>
    </row>
    <row r="503">
      <c r="A503" s="1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8" t="str">
        <f>LOWER(Campanha_ou_InsertionOrder&amp;"_"&amp;LineItem_ou_Grupodeanúncio&amp;"_"&amp;Linha_Criativa&amp;"_"&amp;Unique_ID)</f>
        <v>#N/A</v>
      </c>
      <c r="AN503" s="28" t="str">
        <f>LOWER(Campanha_ou_InsertionOrder&amp;"_"&amp;LineItem_ou_Grupodeanúncio&amp;"_"&amp;Linha_Criativa&amp;"_"&amp;Unique_ID)</f>
        <v>#N/A</v>
      </c>
      <c r="AO503" s="28" t="str">
        <f>LOWER("VW"&amp;"_"&amp;Model_Variant&amp;"_"&amp;Size&amp;"_"&amp;Linha_Criativa&amp;"_"&amp;IF(Servido_Por="portal",Veiculo,"adserver"))</f>
        <v>vw____adserver</v>
      </c>
      <c r="AP5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3" s="22" t="str">
        <f t="shared" si="1"/>
        <v/>
      </c>
      <c r="AS503" s="22" t="str">
        <f t="shared" si="2"/>
        <v/>
      </c>
      <c r="AT503" s="22" t="str">
        <f t="shared" si="3"/>
        <v>BR_IMC_DSY_LANCH_ND_NC_2020Q3AUG_NVS_Nivus-Launch-Consideracao</v>
      </c>
      <c r="AU503" s="22" t="str">
        <f t="shared" si="4"/>
        <v>#N/A</v>
      </c>
      <c r="AV503" s="22" t="s">
        <v>106</v>
      </c>
      <c r="AW5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3" s="22" t="str">
        <f t="shared" si="5"/>
        <v>BR_IMC_DSY_LANCH_ND_NC_2020Q3AUG_NVS_Nivus-Launch-Consideracao</v>
      </c>
      <c r="AY503" s="28" t="str">
        <f t="shared" si="6"/>
        <v>#N/A</v>
      </c>
      <c r="AZ503" s="22" t="s">
        <v>107</v>
      </c>
      <c r="BA503" s="22" t="s">
        <v>108</v>
      </c>
      <c r="BB503" s="31" t="s">
        <v>109</v>
      </c>
      <c r="BC503" s="31" t="s">
        <v>109</v>
      </c>
      <c r="BD503" s="32" t="str">
        <f t="shared" si="8"/>
        <v>nvl-nvs-imc-dsy-0820-10497</v>
      </c>
      <c r="BE503" s="33"/>
      <c r="BF503" s="33"/>
      <c r="BG503" s="39" t="str">
        <f>URL&amp;IF(ISNUMBER(FIND("?",URL)),"&amp;","?"&amp;("adlid="&amp;Unique_ID&amp;"&amp;adplt="&amp;Placement))</f>
        <v>#N/A</v>
      </c>
      <c r="BH503" s="1"/>
      <c r="BI503" s="1"/>
      <c r="BJ503" s="35" t="str">
        <f>LOWER("alp"&amp;"_"&amp;"vw"&amp;"_"&amp;Veiculo&amp;"_"&amp;C499&amp;"_"&amp;Objetivo)</f>
        <v>alp_vw___</v>
      </c>
      <c r="BK503" s="35" t="str">
        <f>LOWER(Buying_Metric&amp;"_"&amp;VLOOKUP(Buying_Type,Buy_type,2,FALSE)&amp;"_"&amp;Device&amp;"_"&amp;Size&amp;"_"&amp;Segmentação&amp;"_"&amp;Segmentação_Anúncio)</f>
        <v>#N/A</v>
      </c>
      <c r="BL503" s="35" t="str">
        <f>LOWER(Campanha_ou_InsertionOrder&amp;"_"&amp;LineItem_ou_Grupodeanúncio&amp;"_"&amp;Linha_criativa_2&amp;"_"&amp;Unique_ID)</f>
        <v>#N/A</v>
      </c>
      <c r="BM503" s="27"/>
      <c r="BN503" s="27"/>
    </row>
    <row r="504">
      <c r="A504" s="1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8" t="str">
        <f>LOWER(Campanha_ou_InsertionOrder&amp;"_"&amp;LineItem_ou_Grupodeanúncio&amp;"_"&amp;Linha_Criativa&amp;"_"&amp;Unique_ID)</f>
        <v>#N/A</v>
      </c>
      <c r="AN504" s="28" t="str">
        <f>LOWER(Campanha_ou_InsertionOrder&amp;"_"&amp;LineItem_ou_Grupodeanúncio&amp;"_"&amp;Linha_Criativa&amp;"_"&amp;Unique_ID)</f>
        <v>#N/A</v>
      </c>
      <c r="AO504" s="28" t="str">
        <f>LOWER("VW"&amp;"_"&amp;Model_Variant&amp;"_"&amp;Size&amp;"_"&amp;Linha_Criativa&amp;"_"&amp;IF(Servido_Por="portal",Veiculo,"adserver"))</f>
        <v>vw____adserver</v>
      </c>
      <c r="AP5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4" s="22" t="str">
        <f t="shared" si="1"/>
        <v/>
      </c>
      <c r="AS504" s="22" t="str">
        <f t="shared" si="2"/>
        <v/>
      </c>
      <c r="AT504" s="22" t="str">
        <f t="shared" si="3"/>
        <v>BR_IMC_DSY_LANCH_ND_NC_2020Q3AUG_NVS_Nivus-Launch-Consideracao</v>
      </c>
      <c r="AU504" s="22" t="str">
        <f t="shared" si="4"/>
        <v>#N/A</v>
      </c>
      <c r="AV504" s="22" t="s">
        <v>106</v>
      </c>
      <c r="AW5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4" s="22" t="str">
        <f t="shared" si="5"/>
        <v>BR_IMC_DSY_LANCH_ND_NC_2020Q3AUG_NVS_Nivus-Launch-Consideracao</v>
      </c>
      <c r="AY504" s="28" t="str">
        <f t="shared" si="6"/>
        <v>#N/A</v>
      </c>
      <c r="AZ504" s="22" t="s">
        <v>107</v>
      </c>
      <c r="BA504" s="22" t="s">
        <v>108</v>
      </c>
      <c r="BB504" s="31" t="s">
        <v>109</v>
      </c>
      <c r="BC504" s="31" t="s">
        <v>109</v>
      </c>
      <c r="BD504" s="32" t="str">
        <f t="shared" si="8"/>
        <v>nvl-nvs-imc-dsy-0820-10498</v>
      </c>
      <c r="BE504" s="33"/>
      <c r="BF504" s="33"/>
      <c r="BG504" s="39" t="str">
        <f>URL&amp;IF(ISNUMBER(FIND("?",URL)),"&amp;","?"&amp;("adlid="&amp;Unique_ID&amp;"&amp;adplt="&amp;Placement))</f>
        <v>#N/A</v>
      </c>
      <c r="BH504" s="1"/>
      <c r="BI504" s="1"/>
      <c r="BJ504" s="35" t="str">
        <f>LOWER("alp"&amp;"_"&amp;"vw"&amp;"_"&amp;Veiculo&amp;"_"&amp;C500&amp;"_"&amp;Objetivo)</f>
        <v>alp_vw___</v>
      </c>
      <c r="BK504" s="35" t="str">
        <f>LOWER(Buying_Metric&amp;"_"&amp;VLOOKUP(Buying_Type,Buy_type,2,FALSE)&amp;"_"&amp;Device&amp;"_"&amp;Size&amp;"_"&amp;Segmentação&amp;"_"&amp;Segmentação_Anúncio)</f>
        <v>#N/A</v>
      </c>
      <c r="BL504" s="35" t="str">
        <f>LOWER(Campanha_ou_InsertionOrder&amp;"_"&amp;LineItem_ou_Grupodeanúncio&amp;"_"&amp;Linha_criativa_2&amp;"_"&amp;Unique_ID)</f>
        <v>#N/A</v>
      </c>
      <c r="BM504" s="27"/>
      <c r="BN504" s="27"/>
    </row>
    <row r="505">
      <c r="A505" s="1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8" t="str">
        <f>LOWER(Campanha_ou_InsertionOrder&amp;"_"&amp;LineItem_ou_Grupodeanúncio&amp;"_"&amp;Linha_Criativa&amp;"_"&amp;Unique_ID)</f>
        <v>#N/A</v>
      </c>
      <c r="AN505" s="28" t="str">
        <f>LOWER(Campanha_ou_InsertionOrder&amp;"_"&amp;LineItem_ou_Grupodeanúncio&amp;"_"&amp;Linha_Criativa&amp;"_"&amp;Unique_ID)</f>
        <v>#N/A</v>
      </c>
      <c r="AO505" s="28" t="str">
        <f>LOWER("VW"&amp;"_"&amp;Model_Variant&amp;"_"&amp;Size&amp;"_"&amp;Linha_Criativa&amp;"_"&amp;IF(Servido_Por="portal",Veiculo,"adserver"))</f>
        <v>vw____adserver</v>
      </c>
      <c r="AP5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5" s="22" t="str">
        <f t="shared" si="1"/>
        <v/>
      </c>
      <c r="AS505" s="22" t="str">
        <f t="shared" si="2"/>
        <v/>
      </c>
      <c r="AT505" s="22" t="str">
        <f t="shared" si="3"/>
        <v>BR_IMC_DSY_LANCH_ND_NC_2020Q3AUG_NVS_Nivus-Launch-Consideracao</v>
      </c>
      <c r="AU505" s="22" t="str">
        <f t="shared" si="4"/>
        <v>#N/A</v>
      </c>
      <c r="AV505" s="22" t="s">
        <v>106</v>
      </c>
      <c r="AW5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5" s="22" t="str">
        <f t="shared" si="5"/>
        <v>BR_IMC_DSY_LANCH_ND_NC_2020Q3AUG_NVS_Nivus-Launch-Consideracao</v>
      </c>
      <c r="AY505" s="28" t="str">
        <f t="shared" si="6"/>
        <v>#N/A</v>
      </c>
      <c r="AZ505" s="22" t="s">
        <v>107</v>
      </c>
      <c r="BA505" s="22" t="s">
        <v>108</v>
      </c>
      <c r="BB505" s="31" t="s">
        <v>109</v>
      </c>
      <c r="BC505" s="31" t="s">
        <v>109</v>
      </c>
      <c r="BD505" s="32" t="str">
        <f t="shared" si="8"/>
        <v>nvl-nvs-imc-dsy-0820-10499</v>
      </c>
      <c r="BE505" s="33"/>
      <c r="BF505" s="33"/>
      <c r="BG505" s="39" t="str">
        <f>URL&amp;IF(ISNUMBER(FIND("?",URL)),"&amp;","?"&amp;("adlid="&amp;Unique_ID&amp;"&amp;adplt="&amp;Placement))</f>
        <v>#N/A</v>
      </c>
      <c r="BH505" s="1"/>
      <c r="BI505" s="1"/>
      <c r="BJ505" s="35" t="str">
        <f>LOWER("alp"&amp;"_"&amp;"vw"&amp;"_"&amp;Veiculo&amp;"_"&amp;C501&amp;"_"&amp;Objetivo)</f>
        <v>alp_vw___</v>
      </c>
      <c r="BK505" s="35" t="str">
        <f>LOWER(Buying_Metric&amp;"_"&amp;VLOOKUP(Buying_Type,Buy_type,2,FALSE)&amp;"_"&amp;Device&amp;"_"&amp;Size&amp;"_"&amp;Segmentação&amp;"_"&amp;Segmentação_Anúncio)</f>
        <v>#N/A</v>
      </c>
      <c r="BL505" s="35" t="str">
        <f>LOWER(Campanha_ou_InsertionOrder&amp;"_"&amp;LineItem_ou_Grupodeanúncio&amp;"_"&amp;Linha_criativa_2&amp;"_"&amp;Unique_ID)</f>
        <v>#N/A</v>
      </c>
      <c r="BM505" s="27"/>
      <c r="BN505" s="27"/>
    </row>
    <row r="506">
      <c r="A506" s="1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8" t="str">
        <f>LOWER(Campanha_ou_InsertionOrder&amp;"_"&amp;LineItem_ou_Grupodeanúncio&amp;"_"&amp;Linha_Criativa&amp;"_"&amp;Unique_ID)</f>
        <v>#N/A</v>
      </c>
      <c r="AN506" s="28" t="str">
        <f>LOWER(Campanha_ou_InsertionOrder&amp;"_"&amp;LineItem_ou_Grupodeanúncio&amp;"_"&amp;Linha_Criativa&amp;"_"&amp;Unique_ID)</f>
        <v>#N/A</v>
      </c>
      <c r="AO506" s="28" t="str">
        <f>LOWER("VW"&amp;"_"&amp;Model_Variant&amp;"_"&amp;Size&amp;"_"&amp;Linha_Criativa&amp;"_"&amp;IF(Servido_Por="portal",Veiculo,"adserver"))</f>
        <v>vw____adserver</v>
      </c>
      <c r="AP5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6" s="22" t="str">
        <f t="shared" si="1"/>
        <v/>
      </c>
      <c r="AS506" s="22" t="str">
        <f t="shared" si="2"/>
        <v/>
      </c>
      <c r="AT506" s="22" t="str">
        <f t="shared" si="3"/>
        <v>BR_IMC_DSY_LANCH_ND_NC_2020Q3AUG_NVS_Nivus-Launch-Consideracao</v>
      </c>
      <c r="AU506" s="22" t="str">
        <f t="shared" si="4"/>
        <v>#N/A</v>
      </c>
      <c r="AV506" s="22" t="s">
        <v>106</v>
      </c>
      <c r="AW5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6" s="22" t="str">
        <f t="shared" si="5"/>
        <v>BR_IMC_DSY_LANCH_ND_NC_2020Q3AUG_NVS_Nivus-Launch-Consideracao</v>
      </c>
      <c r="AY506" s="28" t="str">
        <f t="shared" si="6"/>
        <v>#N/A</v>
      </c>
      <c r="AZ506" s="22" t="s">
        <v>107</v>
      </c>
      <c r="BA506" s="22" t="s">
        <v>108</v>
      </c>
      <c r="BB506" s="31" t="s">
        <v>109</v>
      </c>
      <c r="BC506" s="31" t="s">
        <v>109</v>
      </c>
      <c r="BD506" s="32" t="str">
        <f t="shared" si="8"/>
        <v>nvl-nvs-imc-dsy-0820-10500</v>
      </c>
      <c r="BE506" s="33"/>
      <c r="BF506" s="33"/>
      <c r="BG506" s="39" t="str">
        <f>URL&amp;IF(ISNUMBER(FIND("?",URL)),"&amp;","?"&amp;("adlid="&amp;Unique_ID&amp;"&amp;adplt="&amp;Placement))</f>
        <v>#N/A</v>
      </c>
      <c r="BH506" s="1"/>
      <c r="BI506" s="1"/>
      <c r="BJ506" s="35" t="str">
        <f>LOWER("alp"&amp;"_"&amp;"vw"&amp;"_"&amp;Veiculo&amp;"_"&amp;C502&amp;"_"&amp;Objetivo)</f>
        <v>alp_vw___</v>
      </c>
      <c r="BK506" s="35" t="str">
        <f>LOWER(Buying_Metric&amp;"_"&amp;VLOOKUP(Buying_Type,Buy_type,2,FALSE)&amp;"_"&amp;Device&amp;"_"&amp;Size&amp;"_"&amp;Segmentação&amp;"_"&amp;Segmentação_Anúncio)</f>
        <v>#N/A</v>
      </c>
      <c r="BL506" s="35" t="str">
        <f>LOWER(Campanha_ou_InsertionOrder&amp;"_"&amp;LineItem_ou_Grupodeanúncio&amp;"_"&amp;Linha_criativa_2&amp;"_"&amp;Unique_ID)</f>
        <v>#N/A</v>
      </c>
      <c r="BM506" s="27"/>
      <c r="BN506" s="27"/>
    </row>
    <row r="507">
      <c r="A507" s="1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8" t="str">
        <f>LOWER(Campanha_ou_InsertionOrder&amp;"_"&amp;LineItem_ou_Grupodeanúncio&amp;"_"&amp;Linha_Criativa&amp;"_"&amp;Unique_ID)</f>
        <v>#N/A</v>
      </c>
      <c r="AN507" s="28" t="str">
        <f>LOWER(Campanha_ou_InsertionOrder&amp;"_"&amp;LineItem_ou_Grupodeanúncio&amp;"_"&amp;Linha_Criativa&amp;"_"&amp;Unique_ID)</f>
        <v>#N/A</v>
      </c>
      <c r="AO507" s="28" t="str">
        <f>LOWER("VW"&amp;"_"&amp;Model_Variant&amp;"_"&amp;Size&amp;"_"&amp;Linha_Criativa&amp;"_"&amp;IF(Servido_Por="portal",Veiculo,"adserver"))</f>
        <v>vw____adserver</v>
      </c>
      <c r="AP5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7" s="22" t="str">
        <f t="shared" si="1"/>
        <v/>
      </c>
      <c r="AS507" s="22" t="str">
        <f t="shared" si="2"/>
        <v/>
      </c>
      <c r="AT507" s="22" t="str">
        <f t="shared" si="3"/>
        <v>BR_IMC_DSY_LANCH_ND_NC_2020Q3AUG_NVS_Nivus-Launch-Consideracao</v>
      </c>
      <c r="AU507" s="22" t="str">
        <f t="shared" si="4"/>
        <v>#N/A</v>
      </c>
      <c r="AV507" s="22" t="s">
        <v>106</v>
      </c>
      <c r="AW5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7" s="22" t="str">
        <f t="shared" si="5"/>
        <v>BR_IMC_DSY_LANCH_ND_NC_2020Q3AUG_NVS_Nivus-Launch-Consideracao</v>
      </c>
      <c r="AY507" s="28" t="str">
        <f t="shared" si="6"/>
        <v>#N/A</v>
      </c>
      <c r="AZ507" s="22" t="s">
        <v>107</v>
      </c>
      <c r="BA507" s="22" t="s">
        <v>108</v>
      </c>
      <c r="BB507" s="31" t="s">
        <v>109</v>
      </c>
      <c r="BC507" s="31" t="s">
        <v>109</v>
      </c>
      <c r="BD507" s="32" t="str">
        <f t="shared" si="8"/>
        <v>nvl-nvs-imc-dsy-0820-10501</v>
      </c>
      <c r="BE507" s="33"/>
      <c r="BF507" s="33"/>
      <c r="BG507" s="39" t="str">
        <f>URL&amp;IF(ISNUMBER(FIND("?",URL)),"&amp;","?"&amp;("adlid="&amp;Unique_ID&amp;"&amp;adplt="&amp;Placement))</f>
        <v>#N/A</v>
      </c>
      <c r="BH507" s="1"/>
      <c r="BI507" s="1"/>
      <c r="BJ507" s="35" t="str">
        <f>LOWER("alp"&amp;"_"&amp;"vw"&amp;"_"&amp;Veiculo&amp;"_"&amp;C503&amp;"_"&amp;Objetivo)</f>
        <v>alp_vw___</v>
      </c>
      <c r="BK507" s="35" t="str">
        <f>LOWER(Buying_Metric&amp;"_"&amp;VLOOKUP(Buying_Type,Buy_type,2,FALSE)&amp;"_"&amp;Device&amp;"_"&amp;Size&amp;"_"&amp;Segmentação&amp;"_"&amp;Segmentação_Anúncio)</f>
        <v>#N/A</v>
      </c>
      <c r="BL507" s="35" t="str">
        <f>LOWER(Campanha_ou_InsertionOrder&amp;"_"&amp;LineItem_ou_Grupodeanúncio&amp;"_"&amp;Linha_criativa_2&amp;"_"&amp;Unique_ID)</f>
        <v>#N/A</v>
      </c>
      <c r="BM507" s="27"/>
      <c r="BN507" s="27"/>
    </row>
    <row r="508">
      <c r="A508" s="1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8" t="str">
        <f>LOWER(Campanha_ou_InsertionOrder&amp;"_"&amp;LineItem_ou_Grupodeanúncio&amp;"_"&amp;Linha_Criativa&amp;"_"&amp;Unique_ID)</f>
        <v>#N/A</v>
      </c>
      <c r="AN508" s="28" t="str">
        <f>LOWER(Campanha_ou_InsertionOrder&amp;"_"&amp;LineItem_ou_Grupodeanúncio&amp;"_"&amp;Linha_Criativa&amp;"_"&amp;Unique_ID)</f>
        <v>#N/A</v>
      </c>
      <c r="AO508" s="28" t="str">
        <f>LOWER("VW"&amp;"_"&amp;Model_Variant&amp;"_"&amp;Size&amp;"_"&amp;Linha_Criativa&amp;"_"&amp;IF(Servido_Por="portal",Veiculo,"adserver"))</f>
        <v>vw____adserver</v>
      </c>
      <c r="AP5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8" s="22" t="str">
        <f t="shared" si="1"/>
        <v/>
      </c>
      <c r="AS508" s="22" t="str">
        <f t="shared" si="2"/>
        <v/>
      </c>
      <c r="AT508" s="22" t="str">
        <f t="shared" si="3"/>
        <v>BR_IMC_DSY_LANCH_ND_NC_2020Q3AUG_NVS_Nivus-Launch-Consideracao</v>
      </c>
      <c r="AU508" s="22" t="str">
        <f t="shared" si="4"/>
        <v>#N/A</v>
      </c>
      <c r="AV508" s="22" t="s">
        <v>106</v>
      </c>
      <c r="AW5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8" s="22" t="str">
        <f t="shared" si="5"/>
        <v>BR_IMC_DSY_LANCH_ND_NC_2020Q3AUG_NVS_Nivus-Launch-Consideracao</v>
      </c>
      <c r="AY508" s="28" t="str">
        <f t="shared" si="6"/>
        <v>#N/A</v>
      </c>
      <c r="AZ508" s="22" t="s">
        <v>107</v>
      </c>
      <c r="BA508" s="22" t="s">
        <v>108</v>
      </c>
      <c r="BB508" s="31" t="s">
        <v>109</v>
      </c>
      <c r="BC508" s="31" t="s">
        <v>109</v>
      </c>
      <c r="BD508" s="32" t="str">
        <f t="shared" si="8"/>
        <v>nvl-nvs-imc-dsy-0820-10502</v>
      </c>
      <c r="BE508" s="33"/>
      <c r="BF508" s="33"/>
      <c r="BG508" s="39" t="str">
        <f>URL&amp;IF(ISNUMBER(FIND("?",URL)),"&amp;","?"&amp;("adlid="&amp;Unique_ID&amp;"&amp;adplt="&amp;Placement))</f>
        <v>#N/A</v>
      </c>
      <c r="BH508" s="1"/>
      <c r="BI508" s="1"/>
      <c r="BJ508" s="35" t="str">
        <f>LOWER("alp"&amp;"_"&amp;"vw"&amp;"_"&amp;Veiculo&amp;"_"&amp;C504&amp;"_"&amp;Objetivo)</f>
        <v>alp_vw___</v>
      </c>
      <c r="BK508" s="35" t="str">
        <f>LOWER(Buying_Metric&amp;"_"&amp;VLOOKUP(Buying_Type,Buy_type,2,FALSE)&amp;"_"&amp;Device&amp;"_"&amp;Size&amp;"_"&amp;Segmentação&amp;"_"&amp;Segmentação_Anúncio)</f>
        <v>#N/A</v>
      </c>
      <c r="BL508" s="35" t="str">
        <f>LOWER(Campanha_ou_InsertionOrder&amp;"_"&amp;LineItem_ou_Grupodeanúncio&amp;"_"&amp;Linha_criativa_2&amp;"_"&amp;Unique_ID)</f>
        <v>#N/A</v>
      </c>
      <c r="BM508" s="27"/>
      <c r="BN508" s="27"/>
    </row>
    <row r="509">
      <c r="A509" s="1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8" t="str">
        <f>LOWER(Campanha_ou_InsertionOrder&amp;"_"&amp;LineItem_ou_Grupodeanúncio&amp;"_"&amp;Linha_Criativa&amp;"_"&amp;Unique_ID)</f>
        <v>#N/A</v>
      </c>
      <c r="AN509" s="28" t="str">
        <f>LOWER(Campanha_ou_InsertionOrder&amp;"_"&amp;LineItem_ou_Grupodeanúncio&amp;"_"&amp;Linha_Criativa&amp;"_"&amp;Unique_ID)</f>
        <v>#N/A</v>
      </c>
      <c r="AO509" s="28" t="str">
        <f>LOWER("VW"&amp;"_"&amp;Model_Variant&amp;"_"&amp;Size&amp;"_"&amp;Linha_Criativa&amp;"_"&amp;IF(Servido_Por="portal",Veiculo,"adserver"))</f>
        <v>vw____adserver</v>
      </c>
      <c r="AP5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09" s="22" t="str">
        <f t="shared" si="1"/>
        <v/>
      </c>
      <c r="AS509" s="22" t="str">
        <f t="shared" si="2"/>
        <v/>
      </c>
      <c r="AT509" s="22" t="str">
        <f t="shared" si="3"/>
        <v>BR_IMC_DSY_LANCH_ND_NC_2020Q3AUG_NVS_Nivus-Launch-Consideracao</v>
      </c>
      <c r="AU509" s="22" t="str">
        <f t="shared" si="4"/>
        <v>#N/A</v>
      </c>
      <c r="AV509" s="22" t="s">
        <v>106</v>
      </c>
      <c r="AW5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09" s="22" t="str">
        <f t="shared" si="5"/>
        <v>BR_IMC_DSY_LANCH_ND_NC_2020Q3AUG_NVS_Nivus-Launch-Consideracao</v>
      </c>
      <c r="AY509" s="28" t="str">
        <f t="shared" si="6"/>
        <v>#N/A</v>
      </c>
      <c r="AZ509" s="22" t="s">
        <v>107</v>
      </c>
      <c r="BA509" s="22" t="s">
        <v>108</v>
      </c>
      <c r="BB509" s="31" t="s">
        <v>109</v>
      </c>
      <c r="BC509" s="31" t="s">
        <v>109</v>
      </c>
      <c r="BD509" s="32" t="str">
        <f t="shared" si="8"/>
        <v>nvl-nvs-imc-dsy-0820-10503</v>
      </c>
      <c r="BE509" s="33"/>
      <c r="BF509" s="33"/>
      <c r="BG509" s="39" t="str">
        <f>URL&amp;IF(ISNUMBER(FIND("?",URL)),"&amp;","?"&amp;("adlid="&amp;Unique_ID&amp;"&amp;adplt="&amp;Placement))</f>
        <v>#N/A</v>
      </c>
      <c r="BH509" s="1"/>
      <c r="BI509" s="1"/>
      <c r="BJ509" s="35" t="str">
        <f>LOWER("alp"&amp;"_"&amp;"vw"&amp;"_"&amp;Veiculo&amp;"_"&amp;C505&amp;"_"&amp;Objetivo)</f>
        <v>alp_vw___</v>
      </c>
      <c r="BK509" s="35" t="str">
        <f>LOWER(Buying_Metric&amp;"_"&amp;VLOOKUP(Buying_Type,Buy_type,2,FALSE)&amp;"_"&amp;Device&amp;"_"&amp;Size&amp;"_"&amp;Segmentação&amp;"_"&amp;Segmentação_Anúncio)</f>
        <v>#N/A</v>
      </c>
      <c r="BL509" s="35" t="str">
        <f>LOWER(Campanha_ou_InsertionOrder&amp;"_"&amp;LineItem_ou_Grupodeanúncio&amp;"_"&amp;Linha_criativa_2&amp;"_"&amp;Unique_ID)</f>
        <v>#N/A</v>
      </c>
      <c r="BM509" s="27"/>
      <c r="BN509" s="27"/>
    </row>
    <row r="510">
      <c r="A510" s="1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8" t="str">
        <f>LOWER(Campanha_ou_InsertionOrder&amp;"_"&amp;LineItem_ou_Grupodeanúncio&amp;"_"&amp;Linha_Criativa&amp;"_"&amp;Unique_ID)</f>
        <v>#N/A</v>
      </c>
      <c r="AN510" s="28" t="str">
        <f>LOWER(Campanha_ou_InsertionOrder&amp;"_"&amp;LineItem_ou_Grupodeanúncio&amp;"_"&amp;Linha_Criativa&amp;"_"&amp;Unique_ID)</f>
        <v>#N/A</v>
      </c>
      <c r="AO510" s="28" t="str">
        <f>LOWER("VW"&amp;"_"&amp;Model_Variant&amp;"_"&amp;Size&amp;"_"&amp;Linha_Criativa&amp;"_"&amp;IF(Servido_Por="portal",Veiculo,"adserver"))</f>
        <v>vw____adserver</v>
      </c>
      <c r="AP5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0" s="22" t="str">
        <f t="shared" si="1"/>
        <v/>
      </c>
      <c r="AS510" s="22" t="str">
        <f t="shared" si="2"/>
        <v/>
      </c>
      <c r="AT510" s="22" t="str">
        <f t="shared" si="3"/>
        <v>BR_IMC_DSY_LANCH_ND_NC_2020Q3AUG_NVS_Nivus-Launch-Consideracao</v>
      </c>
      <c r="AU510" s="22" t="str">
        <f t="shared" si="4"/>
        <v>#N/A</v>
      </c>
      <c r="AV510" s="22" t="s">
        <v>106</v>
      </c>
      <c r="AW5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0" s="22" t="str">
        <f t="shared" si="5"/>
        <v>BR_IMC_DSY_LANCH_ND_NC_2020Q3AUG_NVS_Nivus-Launch-Consideracao</v>
      </c>
      <c r="AY510" s="28" t="str">
        <f t="shared" si="6"/>
        <v>#N/A</v>
      </c>
      <c r="AZ510" s="22" t="s">
        <v>107</v>
      </c>
      <c r="BA510" s="22" t="s">
        <v>108</v>
      </c>
      <c r="BB510" s="31" t="s">
        <v>109</v>
      </c>
      <c r="BC510" s="31" t="s">
        <v>109</v>
      </c>
      <c r="BD510" s="32" t="str">
        <f t="shared" si="8"/>
        <v>nvl-nvs-imc-dsy-0820-10504</v>
      </c>
      <c r="BE510" s="33"/>
      <c r="BF510" s="33"/>
      <c r="BG510" s="39" t="str">
        <f>URL&amp;IF(ISNUMBER(FIND("?",URL)),"&amp;","?"&amp;("adlid="&amp;Unique_ID&amp;"&amp;adplt="&amp;Placement))</f>
        <v>#N/A</v>
      </c>
      <c r="BH510" s="1"/>
      <c r="BI510" s="1"/>
      <c r="BJ510" s="35" t="str">
        <f>LOWER("alp"&amp;"_"&amp;"vw"&amp;"_"&amp;Veiculo&amp;"_"&amp;C506&amp;"_"&amp;Objetivo)</f>
        <v>alp_vw___</v>
      </c>
      <c r="BK510" s="35" t="str">
        <f>LOWER(Buying_Metric&amp;"_"&amp;VLOOKUP(Buying_Type,Buy_type,2,FALSE)&amp;"_"&amp;Device&amp;"_"&amp;Size&amp;"_"&amp;Segmentação&amp;"_"&amp;Segmentação_Anúncio)</f>
        <v>#N/A</v>
      </c>
      <c r="BL510" s="35" t="str">
        <f>LOWER(Campanha_ou_InsertionOrder&amp;"_"&amp;LineItem_ou_Grupodeanúncio&amp;"_"&amp;Linha_criativa_2&amp;"_"&amp;Unique_ID)</f>
        <v>#N/A</v>
      </c>
      <c r="BM510" s="27"/>
      <c r="BN510" s="27"/>
    </row>
    <row r="511">
      <c r="A511" s="1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8" t="str">
        <f>LOWER(Campanha_ou_InsertionOrder&amp;"_"&amp;LineItem_ou_Grupodeanúncio&amp;"_"&amp;Linha_Criativa&amp;"_"&amp;Unique_ID)</f>
        <v>#N/A</v>
      </c>
      <c r="AN511" s="28" t="str">
        <f>LOWER(Campanha_ou_InsertionOrder&amp;"_"&amp;LineItem_ou_Grupodeanúncio&amp;"_"&amp;Linha_Criativa&amp;"_"&amp;Unique_ID)</f>
        <v>#N/A</v>
      </c>
      <c r="AO511" s="28" t="str">
        <f>LOWER("VW"&amp;"_"&amp;Model_Variant&amp;"_"&amp;Size&amp;"_"&amp;Linha_Criativa&amp;"_"&amp;IF(Servido_Por="portal",Veiculo,"adserver"))</f>
        <v>vw____adserver</v>
      </c>
      <c r="AP5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1" s="22" t="str">
        <f t="shared" si="1"/>
        <v/>
      </c>
      <c r="AS511" s="22" t="str">
        <f t="shared" si="2"/>
        <v/>
      </c>
      <c r="AT511" s="22" t="str">
        <f t="shared" si="3"/>
        <v>BR_IMC_DSY_LANCH_ND_NC_2020Q3AUG_NVS_Nivus-Launch-Consideracao</v>
      </c>
      <c r="AU511" s="22" t="str">
        <f t="shared" si="4"/>
        <v>#N/A</v>
      </c>
      <c r="AV511" s="22" t="s">
        <v>106</v>
      </c>
      <c r="AW5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1" s="22" t="str">
        <f t="shared" si="5"/>
        <v>BR_IMC_DSY_LANCH_ND_NC_2020Q3AUG_NVS_Nivus-Launch-Consideracao</v>
      </c>
      <c r="AY511" s="28" t="str">
        <f t="shared" si="6"/>
        <v>#N/A</v>
      </c>
      <c r="AZ511" s="22" t="s">
        <v>107</v>
      </c>
      <c r="BA511" s="22" t="s">
        <v>108</v>
      </c>
      <c r="BB511" s="31" t="s">
        <v>109</v>
      </c>
      <c r="BC511" s="31" t="s">
        <v>109</v>
      </c>
      <c r="BD511" s="32" t="str">
        <f t="shared" si="8"/>
        <v>nvl-nvs-imc-dsy-0820-10505</v>
      </c>
      <c r="BE511" s="33"/>
      <c r="BF511" s="33"/>
      <c r="BG511" s="39" t="str">
        <f>URL&amp;IF(ISNUMBER(FIND("?",URL)),"&amp;","?"&amp;("adlid="&amp;Unique_ID&amp;"&amp;adplt="&amp;Placement))</f>
        <v>#N/A</v>
      </c>
      <c r="BH511" s="1"/>
      <c r="BI511" s="1"/>
      <c r="BJ511" s="35" t="str">
        <f>LOWER("alp"&amp;"_"&amp;"vw"&amp;"_"&amp;Veiculo&amp;"_"&amp;C507&amp;"_"&amp;Objetivo)</f>
        <v>alp_vw___</v>
      </c>
      <c r="BK511" s="35" t="str">
        <f>LOWER(Buying_Metric&amp;"_"&amp;VLOOKUP(Buying_Type,Buy_type,2,FALSE)&amp;"_"&amp;Device&amp;"_"&amp;Size&amp;"_"&amp;Segmentação&amp;"_"&amp;Segmentação_Anúncio)</f>
        <v>#N/A</v>
      </c>
      <c r="BL511" s="35" t="str">
        <f>LOWER(Campanha_ou_InsertionOrder&amp;"_"&amp;LineItem_ou_Grupodeanúncio&amp;"_"&amp;Linha_criativa_2&amp;"_"&amp;Unique_ID)</f>
        <v>#N/A</v>
      </c>
      <c r="BM511" s="27"/>
      <c r="BN511" s="27"/>
    </row>
    <row r="512">
      <c r="A512" s="1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8" t="str">
        <f>LOWER(Campanha_ou_InsertionOrder&amp;"_"&amp;LineItem_ou_Grupodeanúncio&amp;"_"&amp;Linha_Criativa&amp;"_"&amp;Unique_ID)</f>
        <v>#N/A</v>
      </c>
      <c r="AN512" s="28" t="str">
        <f>LOWER(Campanha_ou_InsertionOrder&amp;"_"&amp;LineItem_ou_Grupodeanúncio&amp;"_"&amp;Linha_Criativa&amp;"_"&amp;Unique_ID)</f>
        <v>#N/A</v>
      </c>
      <c r="AO512" s="28" t="str">
        <f>LOWER("VW"&amp;"_"&amp;Model_Variant&amp;"_"&amp;Size&amp;"_"&amp;Linha_Criativa&amp;"_"&amp;IF(Servido_Por="portal",Veiculo,"adserver"))</f>
        <v>vw____adserver</v>
      </c>
      <c r="AP5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2" s="22" t="str">
        <f t="shared" si="1"/>
        <v/>
      </c>
      <c r="AS512" s="22" t="str">
        <f t="shared" si="2"/>
        <v/>
      </c>
      <c r="AT512" s="22" t="str">
        <f t="shared" si="3"/>
        <v>BR_IMC_DSY_LANCH_ND_NC_2020Q3AUG_NVS_Nivus-Launch-Consideracao</v>
      </c>
      <c r="AU512" s="22" t="str">
        <f t="shared" si="4"/>
        <v>#N/A</v>
      </c>
      <c r="AV512" s="22" t="s">
        <v>106</v>
      </c>
      <c r="AW5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2" s="22" t="str">
        <f t="shared" si="5"/>
        <v>BR_IMC_DSY_LANCH_ND_NC_2020Q3AUG_NVS_Nivus-Launch-Consideracao</v>
      </c>
      <c r="AY512" s="28" t="str">
        <f t="shared" si="6"/>
        <v>#N/A</v>
      </c>
      <c r="AZ512" s="22" t="s">
        <v>107</v>
      </c>
      <c r="BA512" s="22" t="s">
        <v>108</v>
      </c>
      <c r="BB512" s="31" t="s">
        <v>109</v>
      </c>
      <c r="BC512" s="31" t="s">
        <v>109</v>
      </c>
      <c r="BD512" s="32" t="str">
        <f t="shared" si="8"/>
        <v>nvl-nvs-imc-dsy-0820-10506</v>
      </c>
      <c r="BE512" s="33"/>
      <c r="BF512" s="33"/>
      <c r="BG512" s="39" t="str">
        <f>URL&amp;IF(ISNUMBER(FIND("?",URL)),"&amp;","?"&amp;("adlid="&amp;Unique_ID&amp;"&amp;adplt="&amp;Placement))</f>
        <v>#N/A</v>
      </c>
      <c r="BH512" s="1"/>
      <c r="BI512" s="1"/>
      <c r="BJ512" s="35" t="str">
        <f>LOWER("alp"&amp;"_"&amp;"vw"&amp;"_"&amp;Veiculo&amp;"_"&amp;C508&amp;"_"&amp;Objetivo)</f>
        <v>alp_vw___</v>
      </c>
      <c r="BK512" s="35" t="str">
        <f>LOWER(Buying_Metric&amp;"_"&amp;VLOOKUP(Buying_Type,Buy_type,2,FALSE)&amp;"_"&amp;Device&amp;"_"&amp;Size&amp;"_"&amp;Segmentação&amp;"_"&amp;Segmentação_Anúncio)</f>
        <v>#N/A</v>
      </c>
      <c r="BL512" s="35" t="str">
        <f>LOWER(Campanha_ou_InsertionOrder&amp;"_"&amp;LineItem_ou_Grupodeanúncio&amp;"_"&amp;Linha_criativa_2&amp;"_"&amp;Unique_ID)</f>
        <v>#N/A</v>
      </c>
      <c r="BM512" s="27"/>
      <c r="BN512" s="27"/>
    </row>
    <row r="513">
      <c r="A513" s="1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8" t="str">
        <f>LOWER(Campanha_ou_InsertionOrder&amp;"_"&amp;LineItem_ou_Grupodeanúncio&amp;"_"&amp;Linha_Criativa&amp;"_"&amp;Unique_ID)</f>
        <v>#N/A</v>
      </c>
      <c r="AN513" s="28" t="str">
        <f>LOWER(Campanha_ou_InsertionOrder&amp;"_"&amp;LineItem_ou_Grupodeanúncio&amp;"_"&amp;Linha_Criativa&amp;"_"&amp;Unique_ID)</f>
        <v>#N/A</v>
      </c>
      <c r="AO513" s="28" t="str">
        <f>LOWER("VW"&amp;"_"&amp;Model_Variant&amp;"_"&amp;Size&amp;"_"&amp;Linha_Criativa&amp;"_"&amp;IF(Servido_Por="portal",Veiculo,"adserver"))</f>
        <v>vw____adserver</v>
      </c>
      <c r="AP5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3" s="22" t="str">
        <f t="shared" si="1"/>
        <v/>
      </c>
      <c r="AS513" s="22" t="str">
        <f t="shared" si="2"/>
        <v/>
      </c>
      <c r="AT513" s="22" t="str">
        <f t="shared" si="3"/>
        <v>BR_IMC_DSY_LANCH_ND_NC_2020Q3AUG_NVS_Nivus-Launch-Consideracao</v>
      </c>
      <c r="AU513" s="22" t="str">
        <f t="shared" si="4"/>
        <v>#N/A</v>
      </c>
      <c r="AV513" s="22" t="s">
        <v>106</v>
      </c>
      <c r="AW5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3" s="22" t="str">
        <f t="shared" si="5"/>
        <v>BR_IMC_DSY_LANCH_ND_NC_2020Q3AUG_NVS_Nivus-Launch-Consideracao</v>
      </c>
      <c r="AY513" s="28" t="str">
        <f t="shared" si="6"/>
        <v>#N/A</v>
      </c>
      <c r="AZ513" s="22" t="s">
        <v>107</v>
      </c>
      <c r="BA513" s="22" t="s">
        <v>108</v>
      </c>
      <c r="BB513" s="31" t="s">
        <v>109</v>
      </c>
      <c r="BC513" s="31" t="s">
        <v>109</v>
      </c>
      <c r="BD513" s="32" t="str">
        <f t="shared" si="8"/>
        <v>nvl-nvs-imc-dsy-0820-10507</v>
      </c>
      <c r="BE513" s="33"/>
      <c r="BF513" s="33"/>
      <c r="BG513" s="39" t="str">
        <f>URL&amp;IF(ISNUMBER(FIND("?",URL)),"&amp;","?"&amp;("adlid="&amp;Unique_ID&amp;"&amp;adplt="&amp;Placement))</f>
        <v>#N/A</v>
      </c>
      <c r="BH513" s="1"/>
      <c r="BI513" s="1"/>
      <c r="BJ513" s="35" t="str">
        <f>LOWER("alp"&amp;"_"&amp;"vw"&amp;"_"&amp;Veiculo&amp;"_"&amp;C509&amp;"_"&amp;Objetivo)</f>
        <v>alp_vw___</v>
      </c>
      <c r="BK513" s="35" t="str">
        <f>LOWER(Buying_Metric&amp;"_"&amp;VLOOKUP(Buying_Type,Buy_type,2,FALSE)&amp;"_"&amp;Device&amp;"_"&amp;Size&amp;"_"&amp;Segmentação&amp;"_"&amp;Segmentação_Anúncio)</f>
        <v>#N/A</v>
      </c>
      <c r="BL513" s="35" t="str">
        <f>LOWER(Campanha_ou_InsertionOrder&amp;"_"&amp;LineItem_ou_Grupodeanúncio&amp;"_"&amp;Linha_criativa_2&amp;"_"&amp;Unique_ID)</f>
        <v>#N/A</v>
      </c>
      <c r="BM513" s="27"/>
      <c r="BN513" s="27"/>
    </row>
    <row r="514">
      <c r="A514" s="1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8" t="str">
        <f>LOWER(Campanha_ou_InsertionOrder&amp;"_"&amp;LineItem_ou_Grupodeanúncio&amp;"_"&amp;Linha_Criativa&amp;"_"&amp;Unique_ID)</f>
        <v>#N/A</v>
      </c>
      <c r="AN514" s="28" t="str">
        <f>LOWER(Campanha_ou_InsertionOrder&amp;"_"&amp;LineItem_ou_Grupodeanúncio&amp;"_"&amp;Linha_Criativa&amp;"_"&amp;Unique_ID)</f>
        <v>#N/A</v>
      </c>
      <c r="AO514" s="28" t="str">
        <f>LOWER("VW"&amp;"_"&amp;Model_Variant&amp;"_"&amp;Size&amp;"_"&amp;Linha_Criativa&amp;"_"&amp;IF(Servido_Por="portal",Veiculo,"adserver"))</f>
        <v>vw____adserver</v>
      </c>
      <c r="AP5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4" s="22" t="str">
        <f t="shared" si="1"/>
        <v/>
      </c>
      <c r="AS514" s="22" t="str">
        <f t="shared" si="2"/>
        <v/>
      </c>
      <c r="AT514" s="22" t="str">
        <f t="shared" si="3"/>
        <v>BR_IMC_DSY_LANCH_ND_NC_2020Q3AUG_NVS_Nivus-Launch-Consideracao</v>
      </c>
      <c r="AU514" s="22" t="str">
        <f t="shared" si="4"/>
        <v>#N/A</v>
      </c>
      <c r="AV514" s="22" t="s">
        <v>106</v>
      </c>
      <c r="AW5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4" s="22" t="str">
        <f t="shared" si="5"/>
        <v>BR_IMC_DSY_LANCH_ND_NC_2020Q3AUG_NVS_Nivus-Launch-Consideracao</v>
      </c>
      <c r="AY514" s="28" t="str">
        <f t="shared" si="6"/>
        <v>#N/A</v>
      </c>
      <c r="AZ514" s="22" t="s">
        <v>107</v>
      </c>
      <c r="BA514" s="22" t="s">
        <v>108</v>
      </c>
      <c r="BB514" s="31" t="s">
        <v>109</v>
      </c>
      <c r="BC514" s="31" t="s">
        <v>109</v>
      </c>
      <c r="BD514" s="32" t="str">
        <f t="shared" si="8"/>
        <v>nvl-nvs-imc-dsy-0820-10508</v>
      </c>
      <c r="BE514" s="33"/>
      <c r="BF514" s="33"/>
      <c r="BG514" s="39" t="str">
        <f>URL&amp;IF(ISNUMBER(FIND("?",URL)),"&amp;","?"&amp;("adlid="&amp;Unique_ID&amp;"&amp;adplt="&amp;Placement))</f>
        <v>#N/A</v>
      </c>
      <c r="BH514" s="1"/>
      <c r="BI514" s="1"/>
      <c r="BJ514" s="35" t="str">
        <f>LOWER("alp"&amp;"_"&amp;"vw"&amp;"_"&amp;Veiculo&amp;"_"&amp;C510&amp;"_"&amp;Objetivo)</f>
        <v>alp_vw___</v>
      </c>
      <c r="BK514" s="35" t="str">
        <f>LOWER(Buying_Metric&amp;"_"&amp;VLOOKUP(Buying_Type,Buy_type,2,FALSE)&amp;"_"&amp;Device&amp;"_"&amp;Size&amp;"_"&amp;Segmentação&amp;"_"&amp;Segmentação_Anúncio)</f>
        <v>#N/A</v>
      </c>
      <c r="BL514" s="35" t="str">
        <f>LOWER(Campanha_ou_InsertionOrder&amp;"_"&amp;LineItem_ou_Grupodeanúncio&amp;"_"&amp;Linha_criativa_2&amp;"_"&amp;Unique_ID)</f>
        <v>#N/A</v>
      </c>
      <c r="BM514" s="27"/>
      <c r="BN514" s="27"/>
    </row>
    <row r="515">
      <c r="A515" s="1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8" t="str">
        <f>LOWER(Campanha_ou_InsertionOrder&amp;"_"&amp;LineItem_ou_Grupodeanúncio&amp;"_"&amp;Linha_Criativa&amp;"_"&amp;Unique_ID)</f>
        <v>#N/A</v>
      </c>
      <c r="AN515" s="28" t="str">
        <f>LOWER(Campanha_ou_InsertionOrder&amp;"_"&amp;LineItem_ou_Grupodeanúncio&amp;"_"&amp;Linha_Criativa&amp;"_"&amp;Unique_ID)</f>
        <v>#N/A</v>
      </c>
      <c r="AO515" s="28" t="str">
        <f>LOWER("VW"&amp;"_"&amp;Model_Variant&amp;"_"&amp;Size&amp;"_"&amp;Linha_Criativa&amp;"_"&amp;IF(Servido_Por="portal",Veiculo,"adserver"))</f>
        <v>vw____adserver</v>
      </c>
      <c r="AP5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5" s="22" t="str">
        <f t="shared" si="1"/>
        <v/>
      </c>
      <c r="AS515" s="22" t="str">
        <f t="shared" si="2"/>
        <v/>
      </c>
      <c r="AT515" s="22" t="str">
        <f t="shared" si="3"/>
        <v>BR_IMC_DSY_LANCH_ND_NC_2020Q3AUG_NVS_Nivus-Launch-Consideracao</v>
      </c>
      <c r="AU515" s="22" t="str">
        <f t="shared" si="4"/>
        <v>#N/A</v>
      </c>
      <c r="AV515" s="22" t="s">
        <v>106</v>
      </c>
      <c r="AW5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5" s="22" t="str">
        <f t="shared" si="5"/>
        <v>BR_IMC_DSY_LANCH_ND_NC_2020Q3AUG_NVS_Nivus-Launch-Consideracao</v>
      </c>
      <c r="AY515" s="28" t="str">
        <f t="shared" si="6"/>
        <v>#N/A</v>
      </c>
      <c r="AZ515" s="22" t="s">
        <v>107</v>
      </c>
      <c r="BA515" s="22" t="s">
        <v>108</v>
      </c>
      <c r="BB515" s="31" t="s">
        <v>109</v>
      </c>
      <c r="BC515" s="31" t="s">
        <v>109</v>
      </c>
      <c r="BD515" s="32" t="str">
        <f t="shared" si="8"/>
        <v>nvl-nvs-imc-dsy-0820-10509</v>
      </c>
      <c r="BE515" s="33"/>
      <c r="BF515" s="33"/>
      <c r="BG515" s="39" t="str">
        <f>URL&amp;IF(ISNUMBER(FIND("?",URL)),"&amp;","?"&amp;("adlid="&amp;Unique_ID&amp;"&amp;adplt="&amp;Placement))</f>
        <v>#N/A</v>
      </c>
      <c r="BH515" s="1"/>
      <c r="BI515" s="1"/>
      <c r="BJ515" s="35" t="str">
        <f>LOWER("alp"&amp;"_"&amp;"vw"&amp;"_"&amp;Veiculo&amp;"_"&amp;C511&amp;"_"&amp;Objetivo)</f>
        <v>alp_vw___</v>
      </c>
      <c r="BK515" s="35" t="str">
        <f>LOWER(Buying_Metric&amp;"_"&amp;VLOOKUP(Buying_Type,Buy_type,2,FALSE)&amp;"_"&amp;Device&amp;"_"&amp;Size&amp;"_"&amp;Segmentação&amp;"_"&amp;Segmentação_Anúncio)</f>
        <v>#N/A</v>
      </c>
      <c r="BL515" s="35" t="str">
        <f>LOWER(Campanha_ou_InsertionOrder&amp;"_"&amp;LineItem_ou_Grupodeanúncio&amp;"_"&amp;Linha_criativa_2&amp;"_"&amp;Unique_ID)</f>
        <v>#N/A</v>
      </c>
      <c r="BM515" s="27"/>
      <c r="BN515" s="27"/>
    </row>
    <row r="516">
      <c r="A516" s="1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8" t="str">
        <f>LOWER(Campanha_ou_InsertionOrder&amp;"_"&amp;LineItem_ou_Grupodeanúncio&amp;"_"&amp;Linha_Criativa&amp;"_"&amp;Unique_ID)</f>
        <v>#N/A</v>
      </c>
      <c r="AN516" s="28" t="str">
        <f>LOWER(Campanha_ou_InsertionOrder&amp;"_"&amp;LineItem_ou_Grupodeanúncio&amp;"_"&amp;Linha_Criativa&amp;"_"&amp;Unique_ID)</f>
        <v>#N/A</v>
      </c>
      <c r="AO516" s="28" t="str">
        <f>LOWER("VW"&amp;"_"&amp;Model_Variant&amp;"_"&amp;Size&amp;"_"&amp;Linha_Criativa&amp;"_"&amp;IF(Servido_Por="portal",Veiculo,"adserver"))</f>
        <v>vw____adserver</v>
      </c>
      <c r="AP5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6" s="22" t="str">
        <f t="shared" si="1"/>
        <v/>
      </c>
      <c r="AS516" s="22" t="str">
        <f t="shared" si="2"/>
        <v/>
      </c>
      <c r="AT516" s="22" t="str">
        <f t="shared" si="3"/>
        <v>BR_IMC_DSY_LANCH_ND_NC_2020Q3AUG_NVS_Nivus-Launch-Consideracao</v>
      </c>
      <c r="AU516" s="22" t="str">
        <f t="shared" si="4"/>
        <v>#N/A</v>
      </c>
      <c r="AV516" s="22" t="s">
        <v>106</v>
      </c>
      <c r="AW5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6" s="22" t="str">
        <f t="shared" si="5"/>
        <v>BR_IMC_DSY_LANCH_ND_NC_2020Q3AUG_NVS_Nivus-Launch-Consideracao</v>
      </c>
      <c r="AY516" s="28" t="str">
        <f t="shared" si="6"/>
        <v>#N/A</v>
      </c>
      <c r="AZ516" s="22" t="s">
        <v>107</v>
      </c>
      <c r="BA516" s="22" t="s">
        <v>108</v>
      </c>
      <c r="BB516" s="31" t="s">
        <v>109</v>
      </c>
      <c r="BC516" s="31" t="s">
        <v>109</v>
      </c>
      <c r="BD516" s="32" t="str">
        <f t="shared" si="8"/>
        <v>nvl-nvs-imc-dsy-0820-10510</v>
      </c>
      <c r="BE516" s="33"/>
      <c r="BF516" s="33"/>
      <c r="BG516" s="39" t="str">
        <f>URL&amp;IF(ISNUMBER(FIND("?",URL)),"&amp;","?"&amp;("adlid="&amp;Unique_ID&amp;"&amp;adplt="&amp;Placement))</f>
        <v>#N/A</v>
      </c>
      <c r="BH516" s="1"/>
      <c r="BI516" s="1"/>
      <c r="BJ516" s="35" t="str">
        <f>LOWER("alp"&amp;"_"&amp;"vw"&amp;"_"&amp;Veiculo&amp;"_"&amp;C512&amp;"_"&amp;Objetivo)</f>
        <v>alp_vw___</v>
      </c>
      <c r="BK516" s="35" t="str">
        <f>LOWER(Buying_Metric&amp;"_"&amp;VLOOKUP(Buying_Type,Buy_type,2,FALSE)&amp;"_"&amp;Device&amp;"_"&amp;Size&amp;"_"&amp;Segmentação&amp;"_"&amp;Segmentação_Anúncio)</f>
        <v>#N/A</v>
      </c>
      <c r="BL516" s="35" t="str">
        <f>LOWER(Campanha_ou_InsertionOrder&amp;"_"&amp;LineItem_ou_Grupodeanúncio&amp;"_"&amp;Linha_criativa_2&amp;"_"&amp;Unique_ID)</f>
        <v>#N/A</v>
      </c>
      <c r="BM516" s="27"/>
      <c r="BN516" s="27"/>
    </row>
    <row r="517">
      <c r="A517" s="1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8" t="str">
        <f>LOWER(Campanha_ou_InsertionOrder&amp;"_"&amp;LineItem_ou_Grupodeanúncio&amp;"_"&amp;Linha_Criativa&amp;"_"&amp;Unique_ID)</f>
        <v>#N/A</v>
      </c>
      <c r="AN517" s="28" t="str">
        <f>LOWER(Campanha_ou_InsertionOrder&amp;"_"&amp;LineItem_ou_Grupodeanúncio&amp;"_"&amp;Linha_Criativa&amp;"_"&amp;Unique_ID)</f>
        <v>#N/A</v>
      </c>
      <c r="AO517" s="28" t="str">
        <f>LOWER("VW"&amp;"_"&amp;Model_Variant&amp;"_"&amp;Size&amp;"_"&amp;Linha_Criativa&amp;"_"&amp;IF(Servido_Por="portal",Veiculo,"adserver"))</f>
        <v>vw____adserver</v>
      </c>
      <c r="AP5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7" s="22" t="str">
        <f t="shared" si="1"/>
        <v/>
      </c>
      <c r="AS517" s="22" t="str">
        <f t="shared" si="2"/>
        <v/>
      </c>
      <c r="AT517" s="22" t="str">
        <f t="shared" si="3"/>
        <v>BR_IMC_DSY_LANCH_ND_NC_2020Q3AUG_NVS_Nivus-Launch-Consideracao</v>
      </c>
      <c r="AU517" s="22" t="str">
        <f t="shared" si="4"/>
        <v>#N/A</v>
      </c>
      <c r="AV517" s="22" t="s">
        <v>106</v>
      </c>
      <c r="AW5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7" s="22" t="str">
        <f t="shared" si="5"/>
        <v>BR_IMC_DSY_LANCH_ND_NC_2020Q3AUG_NVS_Nivus-Launch-Consideracao</v>
      </c>
      <c r="AY517" s="28" t="str">
        <f t="shared" si="6"/>
        <v>#N/A</v>
      </c>
      <c r="AZ517" s="22" t="s">
        <v>107</v>
      </c>
      <c r="BA517" s="22" t="s">
        <v>108</v>
      </c>
      <c r="BB517" s="31" t="s">
        <v>109</v>
      </c>
      <c r="BC517" s="31" t="s">
        <v>109</v>
      </c>
      <c r="BD517" s="32" t="str">
        <f t="shared" si="8"/>
        <v>nvl-nvs-imc-dsy-0820-10511</v>
      </c>
      <c r="BE517" s="33"/>
      <c r="BF517" s="33"/>
      <c r="BG517" s="39" t="str">
        <f>URL&amp;IF(ISNUMBER(FIND("?",URL)),"&amp;","?"&amp;("adlid="&amp;Unique_ID&amp;"&amp;adplt="&amp;Placement))</f>
        <v>#N/A</v>
      </c>
      <c r="BH517" s="1"/>
      <c r="BI517" s="1"/>
      <c r="BJ517" s="35" t="str">
        <f>LOWER("alp"&amp;"_"&amp;"vw"&amp;"_"&amp;Veiculo&amp;"_"&amp;C513&amp;"_"&amp;Objetivo)</f>
        <v>alp_vw___</v>
      </c>
      <c r="BK517" s="35" t="str">
        <f>LOWER(Buying_Metric&amp;"_"&amp;VLOOKUP(Buying_Type,Buy_type,2,FALSE)&amp;"_"&amp;Device&amp;"_"&amp;Size&amp;"_"&amp;Segmentação&amp;"_"&amp;Segmentação_Anúncio)</f>
        <v>#N/A</v>
      </c>
      <c r="BL517" s="35" t="str">
        <f>LOWER(Campanha_ou_InsertionOrder&amp;"_"&amp;LineItem_ou_Grupodeanúncio&amp;"_"&amp;Linha_criativa_2&amp;"_"&amp;Unique_ID)</f>
        <v>#N/A</v>
      </c>
      <c r="BM517" s="27"/>
      <c r="BN517" s="27"/>
    </row>
    <row r="518">
      <c r="A518" s="1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8" t="str">
        <f>LOWER(Campanha_ou_InsertionOrder&amp;"_"&amp;LineItem_ou_Grupodeanúncio&amp;"_"&amp;Linha_Criativa&amp;"_"&amp;Unique_ID)</f>
        <v>#N/A</v>
      </c>
      <c r="AN518" s="28" t="str">
        <f>LOWER(Campanha_ou_InsertionOrder&amp;"_"&amp;LineItem_ou_Grupodeanúncio&amp;"_"&amp;Linha_Criativa&amp;"_"&amp;Unique_ID)</f>
        <v>#N/A</v>
      </c>
      <c r="AO518" s="28" t="str">
        <f>LOWER("VW"&amp;"_"&amp;Model_Variant&amp;"_"&amp;Size&amp;"_"&amp;Linha_Criativa&amp;"_"&amp;IF(Servido_Por="portal",Veiculo,"adserver"))</f>
        <v>vw____adserver</v>
      </c>
      <c r="AP5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8" s="22" t="str">
        <f t="shared" si="1"/>
        <v/>
      </c>
      <c r="AS518" s="22" t="str">
        <f t="shared" si="2"/>
        <v/>
      </c>
      <c r="AT518" s="22" t="str">
        <f t="shared" si="3"/>
        <v>BR_IMC_DSY_LANCH_ND_NC_2020Q3AUG_NVS_Nivus-Launch-Consideracao</v>
      </c>
      <c r="AU518" s="22" t="str">
        <f t="shared" si="4"/>
        <v>#N/A</v>
      </c>
      <c r="AV518" s="22" t="s">
        <v>106</v>
      </c>
      <c r="AW5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8" s="22" t="str">
        <f t="shared" si="5"/>
        <v>BR_IMC_DSY_LANCH_ND_NC_2020Q3AUG_NVS_Nivus-Launch-Consideracao</v>
      </c>
      <c r="AY518" s="28" t="str">
        <f t="shared" si="6"/>
        <v>#N/A</v>
      </c>
      <c r="AZ518" s="22" t="s">
        <v>107</v>
      </c>
      <c r="BA518" s="22" t="s">
        <v>108</v>
      </c>
      <c r="BB518" s="31" t="s">
        <v>109</v>
      </c>
      <c r="BC518" s="31" t="s">
        <v>109</v>
      </c>
      <c r="BD518" s="32" t="str">
        <f t="shared" si="8"/>
        <v>nvl-nvs-imc-dsy-0820-10512</v>
      </c>
      <c r="BE518" s="33"/>
      <c r="BF518" s="33"/>
      <c r="BG518" s="39" t="str">
        <f>URL&amp;IF(ISNUMBER(FIND("?",URL)),"&amp;","?"&amp;("adlid="&amp;Unique_ID&amp;"&amp;adplt="&amp;Placement))</f>
        <v>#N/A</v>
      </c>
      <c r="BH518" s="1"/>
      <c r="BI518" s="1"/>
      <c r="BJ518" s="35" t="str">
        <f>LOWER("alp"&amp;"_"&amp;"vw"&amp;"_"&amp;Veiculo&amp;"_"&amp;C514&amp;"_"&amp;Objetivo)</f>
        <v>alp_vw___</v>
      </c>
      <c r="BK518" s="35" t="str">
        <f>LOWER(Buying_Metric&amp;"_"&amp;VLOOKUP(Buying_Type,Buy_type,2,FALSE)&amp;"_"&amp;Device&amp;"_"&amp;Size&amp;"_"&amp;Segmentação&amp;"_"&amp;Segmentação_Anúncio)</f>
        <v>#N/A</v>
      </c>
      <c r="BL518" s="35" t="str">
        <f>LOWER(Campanha_ou_InsertionOrder&amp;"_"&amp;LineItem_ou_Grupodeanúncio&amp;"_"&amp;Linha_criativa_2&amp;"_"&amp;Unique_ID)</f>
        <v>#N/A</v>
      </c>
      <c r="BM518" s="27"/>
      <c r="BN518" s="27"/>
    </row>
    <row r="519">
      <c r="A519" s="1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8" t="str">
        <f>LOWER(Campanha_ou_InsertionOrder&amp;"_"&amp;LineItem_ou_Grupodeanúncio&amp;"_"&amp;Linha_Criativa&amp;"_"&amp;Unique_ID)</f>
        <v>#N/A</v>
      </c>
      <c r="AN519" s="28" t="str">
        <f>LOWER(Campanha_ou_InsertionOrder&amp;"_"&amp;LineItem_ou_Grupodeanúncio&amp;"_"&amp;Linha_Criativa&amp;"_"&amp;Unique_ID)</f>
        <v>#N/A</v>
      </c>
      <c r="AO519" s="28" t="str">
        <f>LOWER("VW"&amp;"_"&amp;Model_Variant&amp;"_"&amp;Size&amp;"_"&amp;Linha_Criativa&amp;"_"&amp;IF(Servido_Por="portal",Veiculo,"adserver"))</f>
        <v>vw____adserver</v>
      </c>
      <c r="AP5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19" s="22" t="str">
        <f t="shared" si="1"/>
        <v/>
      </c>
      <c r="AS519" s="22" t="str">
        <f t="shared" si="2"/>
        <v/>
      </c>
      <c r="AT519" s="22" t="str">
        <f t="shared" si="3"/>
        <v>BR_IMC_DSY_LANCH_ND_NC_2020Q3AUG_NVS_Nivus-Launch-Consideracao</v>
      </c>
      <c r="AU519" s="22" t="str">
        <f t="shared" si="4"/>
        <v>#N/A</v>
      </c>
      <c r="AV519" s="22" t="s">
        <v>106</v>
      </c>
      <c r="AW5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19" s="22" t="str">
        <f t="shared" si="5"/>
        <v>BR_IMC_DSY_LANCH_ND_NC_2020Q3AUG_NVS_Nivus-Launch-Consideracao</v>
      </c>
      <c r="AY519" s="28" t="str">
        <f t="shared" si="6"/>
        <v>#N/A</v>
      </c>
      <c r="AZ519" s="22" t="s">
        <v>107</v>
      </c>
      <c r="BA519" s="22" t="s">
        <v>108</v>
      </c>
      <c r="BB519" s="31" t="s">
        <v>109</v>
      </c>
      <c r="BC519" s="31" t="s">
        <v>109</v>
      </c>
      <c r="BD519" s="32" t="str">
        <f t="shared" si="8"/>
        <v>nvl-nvs-imc-dsy-0820-10513</v>
      </c>
      <c r="BE519" s="33"/>
      <c r="BF519" s="33"/>
      <c r="BG519" s="39" t="str">
        <f>URL&amp;IF(ISNUMBER(FIND("?",URL)),"&amp;","?"&amp;("adlid="&amp;Unique_ID&amp;"&amp;adplt="&amp;Placement))</f>
        <v>#N/A</v>
      </c>
      <c r="BH519" s="1"/>
      <c r="BI519" s="1"/>
      <c r="BJ519" s="35" t="str">
        <f>LOWER("alp"&amp;"_"&amp;"vw"&amp;"_"&amp;Veiculo&amp;"_"&amp;C515&amp;"_"&amp;Objetivo)</f>
        <v>alp_vw___</v>
      </c>
      <c r="BK519" s="35" t="str">
        <f>LOWER(Buying_Metric&amp;"_"&amp;VLOOKUP(Buying_Type,Buy_type,2,FALSE)&amp;"_"&amp;Device&amp;"_"&amp;Size&amp;"_"&amp;Segmentação&amp;"_"&amp;Segmentação_Anúncio)</f>
        <v>#N/A</v>
      </c>
      <c r="BL519" s="35" t="str">
        <f>LOWER(Campanha_ou_InsertionOrder&amp;"_"&amp;LineItem_ou_Grupodeanúncio&amp;"_"&amp;Linha_criativa_2&amp;"_"&amp;Unique_ID)</f>
        <v>#N/A</v>
      </c>
      <c r="BM519" s="27"/>
      <c r="BN519" s="27"/>
    </row>
    <row r="520">
      <c r="A520" s="1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tr">
        <f>LOWER(Campanha_ou_InsertionOrder&amp;"_"&amp;LineItem_ou_Grupodeanúncio&amp;"_"&amp;Linha_Criativa&amp;"_"&amp;Unique_ID)</f>
        <v>#N/A</v>
      </c>
      <c r="AN520" s="28" t="str">
        <f>LOWER(Campanha_ou_InsertionOrder&amp;"_"&amp;LineItem_ou_Grupodeanúncio&amp;"_"&amp;Linha_Criativa&amp;"_"&amp;Unique_ID)</f>
        <v>#N/A</v>
      </c>
      <c r="AO520" s="28" t="str">
        <f>LOWER("VW"&amp;"_"&amp;Model_Variant&amp;"_"&amp;Size&amp;"_"&amp;Linha_Criativa&amp;"_"&amp;IF(Servido_Por="portal",Veiculo,"adserver"))</f>
        <v>vw____adserver</v>
      </c>
      <c r="AP5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0" s="22" t="str">
        <f t="shared" si="1"/>
        <v/>
      </c>
      <c r="AS520" s="22" t="str">
        <f t="shared" si="2"/>
        <v/>
      </c>
      <c r="AT520" s="22" t="str">
        <f t="shared" si="3"/>
        <v>BR_IMC_DSY_LANCH_ND_NC_2020Q3AUG_NVS_Nivus-Launch-Consideracao</v>
      </c>
      <c r="AU520" s="22" t="str">
        <f t="shared" si="4"/>
        <v>#N/A</v>
      </c>
      <c r="AV520" s="22" t="s">
        <v>106</v>
      </c>
      <c r="AW5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0" s="22" t="str">
        <f t="shared" si="5"/>
        <v>BR_IMC_DSY_LANCH_ND_NC_2020Q3AUG_NVS_Nivus-Launch-Consideracao</v>
      </c>
      <c r="AY520" s="28" t="str">
        <f t="shared" si="6"/>
        <v>#N/A</v>
      </c>
      <c r="AZ520" s="22" t="s">
        <v>107</v>
      </c>
      <c r="BA520" s="22" t="s">
        <v>108</v>
      </c>
      <c r="BB520" s="31" t="s">
        <v>109</v>
      </c>
      <c r="BC520" s="31" t="s">
        <v>109</v>
      </c>
      <c r="BD520" s="32" t="str">
        <f t="shared" si="8"/>
        <v>nvl-nvs-imc-dsy-0820-10514</v>
      </c>
      <c r="BE520" s="33"/>
      <c r="BF520" s="33"/>
      <c r="BG520" s="39" t="str">
        <f>URL&amp;IF(ISNUMBER(FIND("?",URL)),"&amp;","?"&amp;("adlid="&amp;Unique_ID&amp;"&amp;adplt="&amp;Placement))</f>
        <v>#N/A</v>
      </c>
      <c r="BH520" s="1"/>
      <c r="BI520" s="1"/>
      <c r="BJ520" s="35" t="str">
        <f>LOWER("alp"&amp;"_"&amp;"vw"&amp;"_"&amp;Veiculo&amp;"_"&amp;C516&amp;"_"&amp;Objetivo)</f>
        <v>alp_vw___</v>
      </c>
      <c r="BK520" s="35" t="str">
        <f>LOWER(Buying_Metric&amp;"_"&amp;VLOOKUP(Buying_Type,Buy_type,2,FALSE)&amp;"_"&amp;Device&amp;"_"&amp;Size&amp;"_"&amp;Segmentação&amp;"_"&amp;Segmentação_Anúncio)</f>
        <v>#N/A</v>
      </c>
      <c r="BL520" s="35" t="str">
        <f>LOWER(Campanha_ou_InsertionOrder&amp;"_"&amp;LineItem_ou_Grupodeanúncio&amp;"_"&amp;Linha_criativa_2&amp;"_"&amp;Unique_ID)</f>
        <v>#N/A</v>
      </c>
      <c r="BM520" s="27"/>
      <c r="BN520" s="27"/>
    </row>
    <row r="521">
      <c r="A521" s="1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8" t="str">
        <f>LOWER(Campanha_ou_InsertionOrder&amp;"_"&amp;LineItem_ou_Grupodeanúncio&amp;"_"&amp;Linha_Criativa&amp;"_"&amp;Unique_ID)</f>
        <v>#N/A</v>
      </c>
      <c r="AN521" s="28" t="str">
        <f>LOWER(Campanha_ou_InsertionOrder&amp;"_"&amp;LineItem_ou_Grupodeanúncio&amp;"_"&amp;Linha_Criativa&amp;"_"&amp;Unique_ID)</f>
        <v>#N/A</v>
      </c>
      <c r="AO521" s="28" t="str">
        <f>LOWER("VW"&amp;"_"&amp;Model_Variant&amp;"_"&amp;Size&amp;"_"&amp;Linha_Criativa&amp;"_"&amp;IF(Servido_Por="portal",Veiculo,"adserver"))</f>
        <v>vw____adserver</v>
      </c>
      <c r="AP5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1" s="22" t="str">
        <f t="shared" si="1"/>
        <v/>
      </c>
      <c r="AS521" s="22" t="str">
        <f t="shared" si="2"/>
        <v/>
      </c>
      <c r="AT521" s="22" t="str">
        <f t="shared" si="3"/>
        <v>BR_IMC_DSY_LANCH_ND_NC_2020Q3AUG_NVS_Nivus-Launch-Consideracao</v>
      </c>
      <c r="AU521" s="22" t="str">
        <f t="shared" si="4"/>
        <v>#N/A</v>
      </c>
      <c r="AV521" s="22" t="s">
        <v>106</v>
      </c>
      <c r="AW5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1" s="22" t="str">
        <f t="shared" si="5"/>
        <v>BR_IMC_DSY_LANCH_ND_NC_2020Q3AUG_NVS_Nivus-Launch-Consideracao</v>
      </c>
      <c r="AY521" s="28" t="str">
        <f t="shared" si="6"/>
        <v>#N/A</v>
      </c>
      <c r="AZ521" s="22" t="s">
        <v>107</v>
      </c>
      <c r="BA521" s="22" t="s">
        <v>108</v>
      </c>
      <c r="BB521" s="31" t="s">
        <v>109</v>
      </c>
      <c r="BC521" s="31" t="s">
        <v>109</v>
      </c>
      <c r="BD521" s="32" t="str">
        <f t="shared" si="8"/>
        <v>nvl-nvs-imc-dsy-0820-10515</v>
      </c>
      <c r="BE521" s="33"/>
      <c r="BF521" s="33"/>
      <c r="BG521" s="39" t="str">
        <f>URL&amp;IF(ISNUMBER(FIND("?",URL)),"&amp;","?"&amp;("adlid="&amp;Unique_ID&amp;"&amp;adplt="&amp;Placement))</f>
        <v>#N/A</v>
      </c>
      <c r="BH521" s="1"/>
      <c r="BI521" s="1"/>
      <c r="BJ521" s="35" t="str">
        <f>LOWER("alp"&amp;"_"&amp;"vw"&amp;"_"&amp;Veiculo&amp;"_"&amp;C517&amp;"_"&amp;Objetivo)</f>
        <v>alp_vw___</v>
      </c>
      <c r="BK521" s="35" t="str">
        <f>LOWER(Buying_Metric&amp;"_"&amp;VLOOKUP(Buying_Type,Buy_type,2,FALSE)&amp;"_"&amp;Device&amp;"_"&amp;Size&amp;"_"&amp;Segmentação&amp;"_"&amp;Segmentação_Anúncio)</f>
        <v>#N/A</v>
      </c>
      <c r="BL521" s="35" t="str">
        <f>LOWER(Campanha_ou_InsertionOrder&amp;"_"&amp;LineItem_ou_Grupodeanúncio&amp;"_"&amp;Linha_criativa_2&amp;"_"&amp;Unique_ID)</f>
        <v>#N/A</v>
      </c>
      <c r="BM521" s="27"/>
      <c r="BN521" s="27"/>
    </row>
    <row r="522">
      <c r="A522" s="1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8" t="str">
        <f>LOWER(Campanha_ou_InsertionOrder&amp;"_"&amp;LineItem_ou_Grupodeanúncio&amp;"_"&amp;Linha_Criativa&amp;"_"&amp;Unique_ID)</f>
        <v>#N/A</v>
      </c>
      <c r="AN522" s="28" t="str">
        <f>LOWER(Campanha_ou_InsertionOrder&amp;"_"&amp;LineItem_ou_Grupodeanúncio&amp;"_"&amp;Linha_Criativa&amp;"_"&amp;Unique_ID)</f>
        <v>#N/A</v>
      </c>
      <c r="AO522" s="28" t="str">
        <f>LOWER("VW"&amp;"_"&amp;Model_Variant&amp;"_"&amp;Size&amp;"_"&amp;Linha_Criativa&amp;"_"&amp;IF(Servido_Por="portal",Veiculo,"adserver"))</f>
        <v>vw____adserver</v>
      </c>
      <c r="AP5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2" s="22" t="str">
        <f t="shared" si="1"/>
        <v/>
      </c>
      <c r="AS522" s="22" t="str">
        <f t="shared" si="2"/>
        <v/>
      </c>
      <c r="AT522" s="22" t="str">
        <f t="shared" si="3"/>
        <v>BR_IMC_DSY_LANCH_ND_NC_2020Q3AUG_NVS_Nivus-Launch-Consideracao</v>
      </c>
      <c r="AU522" s="22" t="str">
        <f t="shared" si="4"/>
        <v>#N/A</v>
      </c>
      <c r="AV522" s="22" t="s">
        <v>106</v>
      </c>
      <c r="AW5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2" s="22" t="str">
        <f t="shared" si="5"/>
        <v>BR_IMC_DSY_LANCH_ND_NC_2020Q3AUG_NVS_Nivus-Launch-Consideracao</v>
      </c>
      <c r="AY522" s="28" t="str">
        <f t="shared" si="6"/>
        <v>#N/A</v>
      </c>
      <c r="AZ522" s="22" t="s">
        <v>107</v>
      </c>
      <c r="BA522" s="22" t="s">
        <v>108</v>
      </c>
      <c r="BB522" s="31" t="s">
        <v>109</v>
      </c>
      <c r="BC522" s="31" t="s">
        <v>109</v>
      </c>
      <c r="BD522" s="32" t="str">
        <f t="shared" si="8"/>
        <v>nvl-nvs-imc-dsy-0820-10516</v>
      </c>
      <c r="BE522" s="33"/>
      <c r="BF522" s="33"/>
      <c r="BG522" s="39" t="str">
        <f>URL&amp;IF(ISNUMBER(FIND("?",URL)),"&amp;","?"&amp;("adlid="&amp;Unique_ID&amp;"&amp;adplt="&amp;Placement))</f>
        <v>#N/A</v>
      </c>
      <c r="BH522" s="1"/>
      <c r="BI522" s="1"/>
      <c r="BJ522" s="35" t="str">
        <f>LOWER("alp"&amp;"_"&amp;"vw"&amp;"_"&amp;Veiculo&amp;"_"&amp;C518&amp;"_"&amp;Objetivo)</f>
        <v>alp_vw___</v>
      </c>
      <c r="BK522" s="35" t="str">
        <f>LOWER(Buying_Metric&amp;"_"&amp;VLOOKUP(Buying_Type,Buy_type,2,FALSE)&amp;"_"&amp;Device&amp;"_"&amp;Size&amp;"_"&amp;Segmentação&amp;"_"&amp;Segmentação_Anúncio)</f>
        <v>#N/A</v>
      </c>
      <c r="BL522" s="35" t="str">
        <f>LOWER(Campanha_ou_InsertionOrder&amp;"_"&amp;LineItem_ou_Grupodeanúncio&amp;"_"&amp;Linha_criativa_2&amp;"_"&amp;Unique_ID)</f>
        <v>#N/A</v>
      </c>
      <c r="BM522" s="27"/>
      <c r="BN522" s="27"/>
    </row>
    <row r="523">
      <c r="A523" s="1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8" t="str">
        <f>LOWER(Campanha_ou_InsertionOrder&amp;"_"&amp;LineItem_ou_Grupodeanúncio&amp;"_"&amp;Linha_Criativa&amp;"_"&amp;Unique_ID)</f>
        <v>#N/A</v>
      </c>
      <c r="AN523" s="28" t="str">
        <f>LOWER(Campanha_ou_InsertionOrder&amp;"_"&amp;LineItem_ou_Grupodeanúncio&amp;"_"&amp;Linha_Criativa&amp;"_"&amp;Unique_ID)</f>
        <v>#N/A</v>
      </c>
      <c r="AO523" s="28" t="str">
        <f>LOWER("VW"&amp;"_"&amp;Model_Variant&amp;"_"&amp;Size&amp;"_"&amp;Linha_Criativa&amp;"_"&amp;IF(Servido_Por="portal",Veiculo,"adserver"))</f>
        <v>vw____adserver</v>
      </c>
      <c r="AP5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3" s="22" t="str">
        <f t="shared" si="1"/>
        <v/>
      </c>
      <c r="AS523" s="22" t="str">
        <f t="shared" si="2"/>
        <v/>
      </c>
      <c r="AT523" s="22" t="str">
        <f t="shared" si="3"/>
        <v>BR_IMC_DSY_LANCH_ND_NC_2020Q3AUG_NVS_Nivus-Launch-Consideracao</v>
      </c>
      <c r="AU523" s="22" t="str">
        <f t="shared" si="4"/>
        <v>#N/A</v>
      </c>
      <c r="AV523" s="22" t="s">
        <v>106</v>
      </c>
      <c r="AW5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3" s="22" t="str">
        <f t="shared" si="5"/>
        <v>BR_IMC_DSY_LANCH_ND_NC_2020Q3AUG_NVS_Nivus-Launch-Consideracao</v>
      </c>
      <c r="AY523" s="28" t="str">
        <f t="shared" si="6"/>
        <v>#N/A</v>
      </c>
      <c r="AZ523" s="22" t="s">
        <v>107</v>
      </c>
      <c r="BA523" s="22" t="s">
        <v>108</v>
      </c>
      <c r="BB523" s="31" t="s">
        <v>109</v>
      </c>
      <c r="BC523" s="31" t="s">
        <v>109</v>
      </c>
      <c r="BD523" s="32" t="str">
        <f t="shared" si="8"/>
        <v>nvl-nvs-imc-dsy-0820-10517</v>
      </c>
      <c r="BE523" s="33"/>
      <c r="BF523" s="33"/>
      <c r="BG523" s="39" t="str">
        <f>URL&amp;IF(ISNUMBER(FIND("?",URL)),"&amp;","?"&amp;("adlid="&amp;Unique_ID&amp;"&amp;adplt="&amp;Placement))</f>
        <v>#N/A</v>
      </c>
      <c r="BH523" s="1"/>
      <c r="BI523" s="1"/>
      <c r="BJ523" s="35" t="str">
        <f>LOWER("alp"&amp;"_"&amp;"vw"&amp;"_"&amp;Veiculo&amp;"_"&amp;C519&amp;"_"&amp;Objetivo)</f>
        <v>alp_vw___</v>
      </c>
      <c r="BK523" s="35" t="str">
        <f>LOWER(Buying_Metric&amp;"_"&amp;VLOOKUP(Buying_Type,Buy_type,2,FALSE)&amp;"_"&amp;Device&amp;"_"&amp;Size&amp;"_"&amp;Segmentação&amp;"_"&amp;Segmentação_Anúncio)</f>
        <v>#N/A</v>
      </c>
      <c r="BL523" s="35" t="str">
        <f>LOWER(Campanha_ou_InsertionOrder&amp;"_"&amp;LineItem_ou_Grupodeanúncio&amp;"_"&amp;Linha_criativa_2&amp;"_"&amp;Unique_ID)</f>
        <v>#N/A</v>
      </c>
      <c r="BM523" s="27"/>
      <c r="BN523" s="27"/>
    </row>
    <row r="524">
      <c r="A524" s="1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8" t="str">
        <f>LOWER(Campanha_ou_InsertionOrder&amp;"_"&amp;LineItem_ou_Grupodeanúncio&amp;"_"&amp;Linha_Criativa&amp;"_"&amp;Unique_ID)</f>
        <v>#N/A</v>
      </c>
      <c r="AN524" s="28" t="str">
        <f>LOWER(Campanha_ou_InsertionOrder&amp;"_"&amp;LineItem_ou_Grupodeanúncio&amp;"_"&amp;Linha_Criativa&amp;"_"&amp;Unique_ID)</f>
        <v>#N/A</v>
      </c>
      <c r="AO524" s="28" t="str">
        <f>LOWER("VW"&amp;"_"&amp;Model_Variant&amp;"_"&amp;Size&amp;"_"&amp;Linha_Criativa&amp;"_"&amp;IF(Servido_Por="portal",Veiculo,"adserver"))</f>
        <v>vw____adserver</v>
      </c>
      <c r="AP5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4" s="22" t="str">
        <f t="shared" si="1"/>
        <v/>
      </c>
      <c r="AS524" s="22" t="str">
        <f t="shared" si="2"/>
        <v/>
      </c>
      <c r="AT524" s="22" t="str">
        <f t="shared" si="3"/>
        <v>BR_IMC_DSY_LANCH_ND_NC_2020Q3AUG_NVS_Nivus-Launch-Consideracao</v>
      </c>
      <c r="AU524" s="22" t="str">
        <f t="shared" si="4"/>
        <v>#N/A</v>
      </c>
      <c r="AV524" s="22" t="s">
        <v>106</v>
      </c>
      <c r="AW5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4" s="22" t="str">
        <f t="shared" si="5"/>
        <v>BR_IMC_DSY_LANCH_ND_NC_2020Q3AUG_NVS_Nivus-Launch-Consideracao</v>
      </c>
      <c r="AY524" s="28" t="str">
        <f t="shared" si="6"/>
        <v>#N/A</v>
      </c>
      <c r="AZ524" s="22" t="s">
        <v>107</v>
      </c>
      <c r="BA524" s="22" t="s">
        <v>108</v>
      </c>
      <c r="BB524" s="31" t="s">
        <v>109</v>
      </c>
      <c r="BC524" s="31" t="s">
        <v>109</v>
      </c>
      <c r="BD524" s="32" t="str">
        <f t="shared" si="8"/>
        <v>nvl-nvs-imc-dsy-0820-10518</v>
      </c>
      <c r="BE524" s="33"/>
      <c r="BF524" s="33"/>
      <c r="BG524" s="39" t="str">
        <f>URL&amp;IF(ISNUMBER(FIND("?",URL)),"&amp;","?"&amp;("adlid="&amp;Unique_ID&amp;"&amp;adplt="&amp;Placement))</f>
        <v>#N/A</v>
      </c>
      <c r="BH524" s="1"/>
      <c r="BI524" s="1"/>
      <c r="BJ524" s="35" t="str">
        <f>LOWER("alp"&amp;"_"&amp;"vw"&amp;"_"&amp;Veiculo&amp;"_"&amp;C520&amp;"_"&amp;Objetivo)</f>
        <v>alp_vw___</v>
      </c>
      <c r="BK524" s="35" t="str">
        <f>LOWER(Buying_Metric&amp;"_"&amp;VLOOKUP(Buying_Type,Buy_type,2,FALSE)&amp;"_"&amp;Device&amp;"_"&amp;Size&amp;"_"&amp;Segmentação&amp;"_"&amp;Segmentação_Anúncio)</f>
        <v>#N/A</v>
      </c>
      <c r="BL524" s="35" t="str">
        <f>LOWER(Campanha_ou_InsertionOrder&amp;"_"&amp;LineItem_ou_Grupodeanúncio&amp;"_"&amp;Linha_criativa_2&amp;"_"&amp;Unique_ID)</f>
        <v>#N/A</v>
      </c>
      <c r="BM524" s="27"/>
      <c r="BN524" s="27"/>
    </row>
    <row r="525">
      <c r="A525" s="1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8" t="str">
        <f>LOWER(Campanha_ou_InsertionOrder&amp;"_"&amp;LineItem_ou_Grupodeanúncio&amp;"_"&amp;Linha_Criativa&amp;"_"&amp;Unique_ID)</f>
        <v>#N/A</v>
      </c>
      <c r="AN525" s="28" t="str">
        <f>LOWER(Campanha_ou_InsertionOrder&amp;"_"&amp;LineItem_ou_Grupodeanúncio&amp;"_"&amp;Linha_Criativa&amp;"_"&amp;Unique_ID)</f>
        <v>#N/A</v>
      </c>
      <c r="AO525" s="28" t="str">
        <f>LOWER("VW"&amp;"_"&amp;Model_Variant&amp;"_"&amp;Size&amp;"_"&amp;Linha_Criativa&amp;"_"&amp;IF(Servido_Por="portal",Veiculo,"adserver"))</f>
        <v>vw____adserver</v>
      </c>
      <c r="AP5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5" s="22" t="str">
        <f t="shared" si="1"/>
        <v/>
      </c>
      <c r="AS525" s="22" t="str">
        <f t="shared" si="2"/>
        <v/>
      </c>
      <c r="AT525" s="22" t="str">
        <f t="shared" si="3"/>
        <v>BR_IMC_DSY_LANCH_ND_NC_2020Q3AUG_NVS_Nivus-Launch-Consideracao</v>
      </c>
      <c r="AU525" s="22" t="str">
        <f t="shared" si="4"/>
        <v>#N/A</v>
      </c>
      <c r="AV525" s="22" t="s">
        <v>106</v>
      </c>
      <c r="AW5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5" s="22" t="str">
        <f t="shared" si="5"/>
        <v>BR_IMC_DSY_LANCH_ND_NC_2020Q3AUG_NVS_Nivus-Launch-Consideracao</v>
      </c>
      <c r="AY525" s="28" t="str">
        <f t="shared" si="6"/>
        <v>#N/A</v>
      </c>
      <c r="AZ525" s="22" t="s">
        <v>107</v>
      </c>
      <c r="BA525" s="22" t="s">
        <v>108</v>
      </c>
      <c r="BB525" s="31" t="s">
        <v>109</v>
      </c>
      <c r="BC525" s="31" t="s">
        <v>109</v>
      </c>
      <c r="BD525" s="32" t="str">
        <f t="shared" si="8"/>
        <v>nvl-nvs-imc-dsy-0820-10519</v>
      </c>
      <c r="BE525" s="33"/>
      <c r="BF525" s="33"/>
      <c r="BG525" s="39" t="str">
        <f>URL&amp;IF(ISNUMBER(FIND("?",URL)),"&amp;","?"&amp;("adlid="&amp;Unique_ID&amp;"&amp;adplt="&amp;Placement))</f>
        <v>#N/A</v>
      </c>
      <c r="BH525" s="1"/>
      <c r="BI525" s="1"/>
      <c r="BJ525" s="35" t="str">
        <f>LOWER("alp"&amp;"_"&amp;"vw"&amp;"_"&amp;Veiculo&amp;"_"&amp;C521&amp;"_"&amp;Objetivo)</f>
        <v>alp_vw___</v>
      </c>
      <c r="BK525" s="35" t="str">
        <f>LOWER(Buying_Metric&amp;"_"&amp;VLOOKUP(Buying_Type,Buy_type,2,FALSE)&amp;"_"&amp;Device&amp;"_"&amp;Size&amp;"_"&amp;Segmentação&amp;"_"&amp;Segmentação_Anúncio)</f>
        <v>#N/A</v>
      </c>
      <c r="BL525" s="35" t="str">
        <f>LOWER(Campanha_ou_InsertionOrder&amp;"_"&amp;LineItem_ou_Grupodeanúncio&amp;"_"&amp;Linha_criativa_2&amp;"_"&amp;Unique_ID)</f>
        <v>#N/A</v>
      </c>
      <c r="BM525" s="27"/>
      <c r="BN525" s="27"/>
    </row>
    <row r="526">
      <c r="A526" s="1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8" t="str">
        <f>LOWER(Campanha_ou_InsertionOrder&amp;"_"&amp;LineItem_ou_Grupodeanúncio&amp;"_"&amp;Linha_Criativa&amp;"_"&amp;Unique_ID)</f>
        <v>#N/A</v>
      </c>
      <c r="AN526" s="28" t="str">
        <f>LOWER(Campanha_ou_InsertionOrder&amp;"_"&amp;LineItem_ou_Grupodeanúncio&amp;"_"&amp;Linha_Criativa&amp;"_"&amp;Unique_ID)</f>
        <v>#N/A</v>
      </c>
      <c r="AO526" s="28" t="str">
        <f>LOWER("VW"&amp;"_"&amp;Model_Variant&amp;"_"&amp;Size&amp;"_"&amp;Linha_Criativa&amp;"_"&amp;IF(Servido_Por="portal",Veiculo,"adserver"))</f>
        <v>vw____adserver</v>
      </c>
      <c r="AP5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6" s="22" t="str">
        <f t="shared" si="1"/>
        <v/>
      </c>
      <c r="AS526" s="22" t="str">
        <f t="shared" si="2"/>
        <v/>
      </c>
      <c r="AT526" s="22" t="str">
        <f t="shared" si="3"/>
        <v>BR_IMC_DSY_LANCH_ND_NC_2020Q3AUG_NVS_Nivus-Launch-Consideracao</v>
      </c>
      <c r="AU526" s="22" t="str">
        <f t="shared" si="4"/>
        <v>#N/A</v>
      </c>
      <c r="AV526" s="22" t="s">
        <v>106</v>
      </c>
      <c r="AW5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6" s="22" t="str">
        <f t="shared" si="5"/>
        <v>BR_IMC_DSY_LANCH_ND_NC_2020Q3AUG_NVS_Nivus-Launch-Consideracao</v>
      </c>
      <c r="AY526" s="28" t="str">
        <f t="shared" si="6"/>
        <v>#N/A</v>
      </c>
      <c r="AZ526" s="22" t="s">
        <v>107</v>
      </c>
      <c r="BA526" s="22" t="s">
        <v>108</v>
      </c>
      <c r="BB526" s="31" t="s">
        <v>109</v>
      </c>
      <c r="BC526" s="31" t="s">
        <v>109</v>
      </c>
      <c r="BD526" s="32" t="str">
        <f t="shared" si="8"/>
        <v>nvl-nvs-imc-dsy-0820-10520</v>
      </c>
      <c r="BE526" s="33"/>
      <c r="BF526" s="33"/>
      <c r="BG526" s="39" t="str">
        <f>URL&amp;IF(ISNUMBER(FIND("?",URL)),"&amp;","?"&amp;("adlid="&amp;Unique_ID&amp;"&amp;adplt="&amp;Placement))</f>
        <v>#N/A</v>
      </c>
      <c r="BH526" s="1"/>
      <c r="BI526" s="1"/>
      <c r="BJ526" s="35" t="str">
        <f>LOWER("alp"&amp;"_"&amp;"vw"&amp;"_"&amp;Veiculo&amp;"_"&amp;C522&amp;"_"&amp;Objetivo)</f>
        <v>alp_vw___</v>
      </c>
      <c r="BK526" s="35" t="str">
        <f>LOWER(Buying_Metric&amp;"_"&amp;VLOOKUP(Buying_Type,Buy_type,2,FALSE)&amp;"_"&amp;Device&amp;"_"&amp;Size&amp;"_"&amp;Segmentação&amp;"_"&amp;Segmentação_Anúncio)</f>
        <v>#N/A</v>
      </c>
      <c r="BL526" s="35" t="str">
        <f>LOWER(Campanha_ou_InsertionOrder&amp;"_"&amp;LineItem_ou_Grupodeanúncio&amp;"_"&amp;Linha_criativa_2&amp;"_"&amp;Unique_ID)</f>
        <v>#N/A</v>
      </c>
      <c r="BM526" s="27"/>
      <c r="BN526" s="27"/>
    </row>
    <row r="527">
      <c r="A527" s="1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8" t="str">
        <f>LOWER(Campanha_ou_InsertionOrder&amp;"_"&amp;LineItem_ou_Grupodeanúncio&amp;"_"&amp;Linha_Criativa&amp;"_"&amp;Unique_ID)</f>
        <v>#N/A</v>
      </c>
      <c r="AN527" s="28" t="str">
        <f>LOWER(Campanha_ou_InsertionOrder&amp;"_"&amp;LineItem_ou_Grupodeanúncio&amp;"_"&amp;Linha_Criativa&amp;"_"&amp;Unique_ID)</f>
        <v>#N/A</v>
      </c>
      <c r="AO527" s="28" t="str">
        <f>LOWER("VW"&amp;"_"&amp;Model_Variant&amp;"_"&amp;Size&amp;"_"&amp;Linha_Criativa&amp;"_"&amp;IF(Servido_Por="portal",Veiculo,"adserver"))</f>
        <v>vw____adserver</v>
      </c>
      <c r="AP5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7" s="22" t="str">
        <f t="shared" si="1"/>
        <v/>
      </c>
      <c r="AS527" s="22" t="str">
        <f t="shared" si="2"/>
        <v/>
      </c>
      <c r="AT527" s="22" t="str">
        <f t="shared" si="3"/>
        <v>BR_IMC_DSY_LANCH_ND_NC_2020Q3AUG_NVS_Nivus-Launch-Consideracao</v>
      </c>
      <c r="AU527" s="22" t="str">
        <f t="shared" si="4"/>
        <v>#N/A</v>
      </c>
      <c r="AV527" s="22" t="s">
        <v>106</v>
      </c>
      <c r="AW5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7" s="22" t="str">
        <f t="shared" si="5"/>
        <v>BR_IMC_DSY_LANCH_ND_NC_2020Q3AUG_NVS_Nivus-Launch-Consideracao</v>
      </c>
      <c r="AY527" s="28" t="str">
        <f t="shared" si="6"/>
        <v>#N/A</v>
      </c>
      <c r="AZ527" s="22" t="s">
        <v>107</v>
      </c>
      <c r="BA527" s="22" t="s">
        <v>108</v>
      </c>
      <c r="BB527" s="31" t="s">
        <v>109</v>
      </c>
      <c r="BC527" s="31" t="s">
        <v>109</v>
      </c>
      <c r="BD527" s="32" t="str">
        <f t="shared" si="8"/>
        <v>nvl-nvs-imc-dsy-0820-10521</v>
      </c>
      <c r="BE527" s="33"/>
      <c r="BF527" s="33"/>
      <c r="BG527" s="39" t="str">
        <f>URL&amp;IF(ISNUMBER(FIND("?",URL)),"&amp;","?"&amp;("adlid="&amp;Unique_ID&amp;"&amp;adplt="&amp;Placement))</f>
        <v>#N/A</v>
      </c>
      <c r="BH527" s="1"/>
      <c r="BI527" s="1"/>
      <c r="BJ527" s="35" t="str">
        <f>LOWER("alp"&amp;"_"&amp;"vw"&amp;"_"&amp;Veiculo&amp;"_"&amp;C523&amp;"_"&amp;Objetivo)</f>
        <v>alp_vw___</v>
      </c>
      <c r="BK527" s="35" t="str">
        <f>LOWER(Buying_Metric&amp;"_"&amp;VLOOKUP(Buying_Type,Buy_type,2,FALSE)&amp;"_"&amp;Device&amp;"_"&amp;Size&amp;"_"&amp;Segmentação&amp;"_"&amp;Segmentação_Anúncio)</f>
        <v>#N/A</v>
      </c>
      <c r="BL527" s="35" t="str">
        <f>LOWER(Campanha_ou_InsertionOrder&amp;"_"&amp;LineItem_ou_Grupodeanúncio&amp;"_"&amp;Linha_criativa_2&amp;"_"&amp;Unique_ID)</f>
        <v>#N/A</v>
      </c>
      <c r="BM527" s="27"/>
      <c r="BN527" s="27"/>
    </row>
    <row r="528">
      <c r="A528" s="1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8" t="str">
        <f>LOWER(Campanha_ou_InsertionOrder&amp;"_"&amp;LineItem_ou_Grupodeanúncio&amp;"_"&amp;Linha_Criativa&amp;"_"&amp;Unique_ID)</f>
        <v>#N/A</v>
      </c>
      <c r="AN528" s="28" t="str">
        <f>LOWER(Campanha_ou_InsertionOrder&amp;"_"&amp;LineItem_ou_Grupodeanúncio&amp;"_"&amp;Linha_Criativa&amp;"_"&amp;Unique_ID)</f>
        <v>#N/A</v>
      </c>
      <c r="AO528" s="28" t="str">
        <f>LOWER("VW"&amp;"_"&amp;Model_Variant&amp;"_"&amp;Size&amp;"_"&amp;Linha_Criativa&amp;"_"&amp;IF(Servido_Por="portal",Veiculo,"adserver"))</f>
        <v>vw____adserver</v>
      </c>
      <c r="AP5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8" s="22" t="str">
        <f t="shared" si="1"/>
        <v/>
      </c>
      <c r="AS528" s="22" t="str">
        <f t="shared" si="2"/>
        <v/>
      </c>
      <c r="AT528" s="22" t="str">
        <f t="shared" si="3"/>
        <v>BR_IMC_DSY_LANCH_ND_NC_2020Q3AUG_NVS_Nivus-Launch-Consideracao</v>
      </c>
      <c r="AU528" s="22" t="str">
        <f t="shared" si="4"/>
        <v>#N/A</v>
      </c>
      <c r="AV528" s="22" t="s">
        <v>106</v>
      </c>
      <c r="AW5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8" s="22" t="str">
        <f t="shared" si="5"/>
        <v>BR_IMC_DSY_LANCH_ND_NC_2020Q3AUG_NVS_Nivus-Launch-Consideracao</v>
      </c>
      <c r="AY528" s="28" t="str">
        <f t="shared" si="6"/>
        <v>#N/A</v>
      </c>
      <c r="AZ528" s="22" t="s">
        <v>107</v>
      </c>
      <c r="BA528" s="22" t="s">
        <v>108</v>
      </c>
      <c r="BB528" s="31" t="s">
        <v>109</v>
      </c>
      <c r="BC528" s="31" t="s">
        <v>109</v>
      </c>
      <c r="BD528" s="32" t="str">
        <f t="shared" si="8"/>
        <v>nvl-nvs-imc-dsy-0820-10522</v>
      </c>
      <c r="BE528" s="33"/>
      <c r="BF528" s="33"/>
      <c r="BG528" s="39" t="str">
        <f>URL&amp;IF(ISNUMBER(FIND("?",URL)),"&amp;","?"&amp;("adlid="&amp;Unique_ID&amp;"&amp;adplt="&amp;Placement))</f>
        <v>#N/A</v>
      </c>
      <c r="BH528" s="1"/>
      <c r="BI528" s="1"/>
      <c r="BJ528" s="35" t="str">
        <f>LOWER("alp"&amp;"_"&amp;"vw"&amp;"_"&amp;Veiculo&amp;"_"&amp;C524&amp;"_"&amp;Objetivo)</f>
        <v>alp_vw___</v>
      </c>
      <c r="BK528" s="35" t="str">
        <f>LOWER(Buying_Metric&amp;"_"&amp;VLOOKUP(Buying_Type,Buy_type,2,FALSE)&amp;"_"&amp;Device&amp;"_"&amp;Size&amp;"_"&amp;Segmentação&amp;"_"&amp;Segmentação_Anúncio)</f>
        <v>#N/A</v>
      </c>
      <c r="BL528" s="35" t="str">
        <f>LOWER(Campanha_ou_InsertionOrder&amp;"_"&amp;LineItem_ou_Grupodeanúncio&amp;"_"&amp;Linha_criativa_2&amp;"_"&amp;Unique_ID)</f>
        <v>#N/A</v>
      </c>
      <c r="BM528" s="27"/>
      <c r="BN528" s="27"/>
    </row>
    <row r="529">
      <c r="A529" s="1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8" t="str">
        <f>LOWER(Campanha_ou_InsertionOrder&amp;"_"&amp;LineItem_ou_Grupodeanúncio&amp;"_"&amp;Linha_Criativa&amp;"_"&amp;Unique_ID)</f>
        <v>#N/A</v>
      </c>
      <c r="AN529" s="28" t="str">
        <f>LOWER(Campanha_ou_InsertionOrder&amp;"_"&amp;LineItem_ou_Grupodeanúncio&amp;"_"&amp;Linha_Criativa&amp;"_"&amp;Unique_ID)</f>
        <v>#N/A</v>
      </c>
      <c r="AO529" s="28" t="str">
        <f>LOWER("VW"&amp;"_"&amp;Model_Variant&amp;"_"&amp;Size&amp;"_"&amp;Linha_Criativa&amp;"_"&amp;IF(Servido_Por="portal",Veiculo,"adserver"))</f>
        <v>vw____adserver</v>
      </c>
      <c r="AP5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29" s="22" t="str">
        <f t="shared" si="1"/>
        <v/>
      </c>
      <c r="AS529" s="22" t="str">
        <f t="shared" si="2"/>
        <v/>
      </c>
      <c r="AT529" s="22" t="str">
        <f t="shared" si="3"/>
        <v>BR_IMC_DSY_LANCH_ND_NC_2020Q3AUG_NVS_Nivus-Launch-Consideracao</v>
      </c>
      <c r="AU529" s="22" t="str">
        <f t="shared" si="4"/>
        <v>#N/A</v>
      </c>
      <c r="AV529" s="22" t="s">
        <v>106</v>
      </c>
      <c r="AW5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29" s="22" t="str">
        <f t="shared" si="5"/>
        <v>BR_IMC_DSY_LANCH_ND_NC_2020Q3AUG_NVS_Nivus-Launch-Consideracao</v>
      </c>
      <c r="AY529" s="28" t="str">
        <f t="shared" si="6"/>
        <v>#N/A</v>
      </c>
      <c r="AZ529" s="22" t="s">
        <v>107</v>
      </c>
      <c r="BA529" s="22" t="s">
        <v>108</v>
      </c>
      <c r="BB529" s="31" t="s">
        <v>109</v>
      </c>
      <c r="BC529" s="31" t="s">
        <v>109</v>
      </c>
      <c r="BD529" s="32" t="str">
        <f t="shared" si="8"/>
        <v>nvl-nvs-imc-dsy-0820-10523</v>
      </c>
      <c r="BE529" s="33"/>
      <c r="BF529" s="33"/>
      <c r="BG529" s="39" t="str">
        <f>URL&amp;IF(ISNUMBER(FIND("?",URL)),"&amp;","?"&amp;("adlid="&amp;Unique_ID&amp;"&amp;adplt="&amp;Placement))</f>
        <v>#N/A</v>
      </c>
      <c r="BH529" s="1"/>
      <c r="BI529" s="1"/>
      <c r="BJ529" s="35" t="str">
        <f>LOWER("alp"&amp;"_"&amp;"vw"&amp;"_"&amp;Veiculo&amp;"_"&amp;C525&amp;"_"&amp;Objetivo)</f>
        <v>alp_vw___</v>
      </c>
      <c r="BK529" s="35" t="str">
        <f>LOWER(Buying_Metric&amp;"_"&amp;VLOOKUP(Buying_Type,Buy_type,2,FALSE)&amp;"_"&amp;Device&amp;"_"&amp;Size&amp;"_"&amp;Segmentação&amp;"_"&amp;Segmentação_Anúncio)</f>
        <v>#N/A</v>
      </c>
      <c r="BL529" s="35" t="str">
        <f>LOWER(Campanha_ou_InsertionOrder&amp;"_"&amp;LineItem_ou_Grupodeanúncio&amp;"_"&amp;Linha_criativa_2&amp;"_"&amp;Unique_ID)</f>
        <v>#N/A</v>
      </c>
      <c r="BM529" s="27"/>
      <c r="BN529" s="27"/>
    </row>
    <row r="530">
      <c r="A530" s="1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8" t="str">
        <f>LOWER(Campanha_ou_InsertionOrder&amp;"_"&amp;LineItem_ou_Grupodeanúncio&amp;"_"&amp;Linha_Criativa&amp;"_"&amp;Unique_ID)</f>
        <v>#N/A</v>
      </c>
      <c r="AN530" s="28" t="str">
        <f>LOWER(Campanha_ou_InsertionOrder&amp;"_"&amp;LineItem_ou_Grupodeanúncio&amp;"_"&amp;Linha_Criativa&amp;"_"&amp;Unique_ID)</f>
        <v>#N/A</v>
      </c>
      <c r="AO530" s="28" t="str">
        <f>LOWER("VW"&amp;"_"&amp;Model_Variant&amp;"_"&amp;Size&amp;"_"&amp;Linha_Criativa&amp;"_"&amp;IF(Servido_Por="portal",Veiculo,"adserver"))</f>
        <v>vw____adserver</v>
      </c>
      <c r="AP5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0" s="22" t="str">
        <f t="shared" si="1"/>
        <v/>
      </c>
      <c r="AS530" s="22" t="str">
        <f t="shared" si="2"/>
        <v/>
      </c>
      <c r="AT530" s="22" t="str">
        <f t="shared" si="3"/>
        <v>BR_IMC_DSY_LANCH_ND_NC_2020Q3AUG_NVS_Nivus-Launch-Consideracao</v>
      </c>
      <c r="AU530" s="22" t="str">
        <f t="shared" si="4"/>
        <v>#N/A</v>
      </c>
      <c r="AV530" s="22" t="s">
        <v>106</v>
      </c>
      <c r="AW5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0" s="22" t="str">
        <f t="shared" si="5"/>
        <v>BR_IMC_DSY_LANCH_ND_NC_2020Q3AUG_NVS_Nivus-Launch-Consideracao</v>
      </c>
      <c r="AY530" s="28" t="str">
        <f t="shared" si="6"/>
        <v>#N/A</v>
      </c>
      <c r="AZ530" s="22" t="s">
        <v>107</v>
      </c>
      <c r="BA530" s="22" t="s">
        <v>108</v>
      </c>
      <c r="BB530" s="31" t="s">
        <v>109</v>
      </c>
      <c r="BC530" s="31" t="s">
        <v>109</v>
      </c>
      <c r="BD530" s="32" t="str">
        <f t="shared" si="8"/>
        <v>nvl-nvs-imc-dsy-0820-10524</v>
      </c>
      <c r="BE530" s="33"/>
      <c r="BF530" s="33"/>
      <c r="BG530" s="39" t="str">
        <f>URL&amp;IF(ISNUMBER(FIND("?",URL)),"&amp;","?"&amp;("adlid="&amp;Unique_ID&amp;"&amp;adplt="&amp;Placement))</f>
        <v>#N/A</v>
      </c>
      <c r="BH530" s="1"/>
      <c r="BI530" s="1"/>
      <c r="BJ530" s="35" t="str">
        <f>LOWER("alp"&amp;"_"&amp;"vw"&amp;"_"&amp;Veiculo&amp;"_"&amp;C526&amp;"_"&amp;Objetivo)</f>
        <v>alp_vw___</v>
      </c>
      <c r="BK530" s="35" t="str">
        <f>LOWER(Buying_Metric&amp;"_"&amp;VLOOKUP(Buying_Type,Buy_type,2,FALSE)&amp;"_"&amp;Device&amp;"_"&amp;Size&amp;"_"&amp;Segmentação&amp;"_"&amp;Segmentação_Anúncio)</f>
        <v>#N/A</v>
      </c>
      <c r="BL530" s="35" t="str">
        <f>LOWER(Campanha_ou_InsertionOrder&amp;"_"&amp;LineItem_ou_Grupodeanúncio&amp;"_"&amp;Linha_criativa_2&amp;"_"&amp;Unique_ID)</f>
        <v>#N/A</v>
      </c>
      <c r="BM530" s="27"/>
      <c r="BN530" s="27"/>
    </row>
    <row r="531">
      <c r="A531" s="1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8" t="str">
        <f>LOWER(Campanha_ou_InsertionOrder&amp;"_"&amp;LineItem_ou_Grupodeanúncio&amp;"_"&amp;Linha_Criativa&amp;"_"&amp;Unique_ID)</f>
        <v>#N/A</v>
      </c>
      <c r="AN531" s="28" t="str">
        <f>LOWER(Campanha_ou_InsertionOrder&amp;"_"&amp;LineItem_ou_Grupodeanúncio&amp;"_"&amp;Linha_Criativa&amp;"_"&amp;Unique_ID)</f>
        <v>#N/A</v>
      </c>
      <c r="AO531" s="28" t="str">
        <f>LOWER("VW"&amp;"_"&amp;Model_Variant&amp;"_"&amp;Size&amp;"_"&amp;Linha_Criativa&amp;"_"&amp;IF(Servido_Por="portal",Veiculo,"adserver"))</f>
        <v>vw____adserver</v>
      </c>
      <c r="AP5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1" s="22" t="str">
        <f t="shared" si="1"/>
        <v/>
      </c>
      <c r="AS531" s="22" t="str">
        <f t="shared" si="2"/>
        <v/>
      </c>
      <c r="AT531" s="22" t="str">
        <f t="shared" si="3"/>
        <v>BR_IMC_DSY_LANCH_ND_NC_2020Q3AUG_NVS_Nivus-Launch-Consideracao</v>
      </c>
      <c r="AU531" s="22" t="str">
        <f t="shared" si="4"/>
        <v>#N/A</v>
      </c>
      <c r="AV531" s="22" t="s">
        <v>106</v>
      </c>
      <c r="AW5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1" s="22" t="str">
        <f t="shared" si="5"/>
        <v>BR_IMC_DSY_LANCH_ND_NC_2020Q3AUG_NVS_Nivus-Launch-Consideracao</v>
      </c>
      <c r="AY531" s="28" t="str">
        <f t="shared" si="6"/>
        <v>#N/A</v>
      </c>
      <c r="AZ531" s="22" t="s">
        <v>107</v>
      </c>
      <c r="BA531" s="22" t="s">
        <v>108</v>
      </c>
      <c r="BB531" s="31" t="s">
        <v>109</v>
      </c>
      <c r="BC531" s="31" t="s">
        <v>109</v>
      </c>
      <c r="BD531" s="32" t="str">
        <f t="shared" si="8"/>
        <v>nvl-nvs-imc-dsy-0820-10525</v>
      </c>
      <c r="BE531" s="33"/>
      <c r="BF531" s="33"/>
      <c r="BG531" s="39" t="str">
        <f>URL&amp;IF(ISNUMBER(FIND("?",URL)),"&amp;","?"&amp;("adlid="&amp;Unique_ID&amp;"&amp;adplt="&amp;Placement))</f>
        <v>#N/A</v>
      </c>
      <c r="BH531" s="1"/>
      <c r="BI531" s="1"/>
      <c r="BJ531" s="35" t="str">
        <f>LOWER("alp"&amp;"_"&amp;"vw"&amp;"_"&amp;Veiculo&amp;"_"&amp;C527&amp;"_"&amp;Objetivo)</f>
        <v>alp_vw___</v>
      </c>
      <c r="BK531" s="35" t="str">
        <f>LOWER(Buying_Metric&amp;"_"&amp;VLOOKUP(Buying_Type,Buy_type,2,FALSE)&amp;"_"&amp;Device&amp;"_"&amp;Size&amp;"_"&amp;Segmentação&amp;"_"&amp;Segmentação_Anúncio)</f>
        <v>#N/A</v>
      </c>
      <c r="BL531" s="35" t="str">
        <f>LOWER(Campanha_ou_InsertionOrder&amp;"_"&amp;LineItem_ou_Grupodeanúncio&amp;"_"&amp;Linha_criativa_2&amp;"_"&amp;Unique_ID)</f>
        <v>#N/A</v>
      </c>
      <c r="BM531" s="27"/>
      <c r="BN531" s="27"/>
    </row>
    <row r="532">
      <c r="A532" s="1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8" t="str">
        <f>LOWER(Campanha_ou_InsertionOrder&amp;"_"&amp;LineItem_ou_Grupodeanúncio&amp;"_"&amp;Linha_Criativa&amp;"_"&amp;Unique_ID)</f>
        <v>#N/A</v>
      </c>
      <c r="AN532" s="28" t="str">
        <f>LOWER(Campanha_ou_InsertionOrder&amp;"_"&amp;LineItem_ou_Grupodeanúncio&amp;"_"&amp;Linha_Criativa&amp;"_"&amp;Unique_ID)</f>
        <v>#N/A</v>
      </c>
      <c r="AO532" s="28" t="str">
        <f>LOWER("VW"&amp;"_"&amp;Model_Variant&amp;"_"&amp;Size&amp;"_"&amp;Linha_Criativa&amp;"_"&amp;IF(Servido_Por="portal",Veiculo,"adserver"))</f>
        <v>vw____adserver</v>
      </c>
      <c r="AP5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2" s="22" t="str">
        <f t="shared" si="1"/>
        <v/>
      </c>
      <c r="AS532" s="22" t="str">
        <f t="shared" si="2"/>
        <v/>
      </c>
      <c r="AT532" s="22" t="str">
        <f t="shared" si="3"/>
        <v>BR_IMC_DSY_LANCH_ND_NC_2020Q3AUG_NVS_Nivus-Launch-Consideracao</v>
      </c>
      <c r="AU532" s="22" t="str">
        <f t="shared" si="4"/>
        <v>#N/A</v>
      </c>
      <c r="AV532" s="22" t="s">
        <v>106</v>
      </c>
      <c r="AW5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2" s="22" t="str">
        <f t="shared" si="5"/>
        <v>BR_IMC_DSY_LANCH_ND_NC_2020Q3AUG_NVS_Nivus-Launch-Consideracao</v>
      </c>
      <c r="AY532" s="28" t="str">
        <f t="shared" si="6"/>
        <v>#N/A</v>
      </c>
      <c r="AZ532" s="22" t="s">
        <v>107</v>
      </c>
      <c r="BA532" s="22" t="s">
        <v>108</v>
      </c>
      <c r="BB532" s="31" t="s">
        <v>109</v>
      </c>
      <c r="BC532" s="31" t="s">
        <v>109</v>
      </c>
      <c r="BD532" s="32" t="str">
        <f t="shared" si="8"/>
        <v>nvl-nvs-imc-dsy-0820-10526</v>
      </c>
      <c r="BE532" s="33"/>
      <c r="BF532" s="33"/>
      <c r="BG532" s="39" t="str">
        <f>URL&amp;IF(ISNUMBER(FIND("?",URL)),"&amp;","?"&amp;("adlid="&amp;Unique_ID&amp;"&amp;adplt="&amp;Placement))</f>
        <v>#N/A</v>
      </c>
      <c r="BH532" s="1"/>
      <c r="BI532" s="1"/>
      <c r="BJ532" s="35" t="str">
        <f>LOWER("alp"&amp;"_"&amp;"vw"&amp;"_"&amp;Veiculo&amp;"_"&amp;C528&amp;"_"&amp;Objetivo)</f>
        <v>alp_vw___</v>
      </c>
      <c r="BK532" s="35" t="str">
        <f>LOWER(Buying_Metric&amp;"_"&amp;VLOOKUP(Buying_Type,Buy_type,2,FALSE)&amp;"_"&amp;Device&amp;"_"&amp;Size&amp;"_"&amp;Segmentação&amp;"_"&amp;Segmentação_Anúncio)</f>
        <v>#N/A</v>
      </c>
      <c r="BL532" s="35" t="str">
        <f>LOWER(Campanha_ou_InsertionOrder&amp;"_"&amp;LineItem_ou_Grupodeanúncio&amp;"_"&amp;Linha_criativa_2&amp;"_"&amp;Unique_ID)</f>
        <v>#N/A</v>
      </c>
      <c r="BM532" s="27"/>
      <c r="BN532" s="27"/>
    </row>
    <row r="533">
      <c r="A533" s="1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8" t="str">
        <f>LOWER(Campanha_ou_InsertionOrder&amp;"_"&amp;LineItem_ou_Grupodeanúncio&amp;"_"&amp;Linha_Criativa&amp;"_"&amp;Unique_ID)</f>
        <v>#N/A</v>
      </c>
      <c r="AN533" s="28" t="str">
        <f>LOWER(Campanha_ou_InsertionOrder&amp;"_"&amp;LineItem_ou_Grupodeanúncio&amp;"_"&amp;Linha_Criativa&amp;"_"&amp;Unique_ID)</f>
        <v>#N/A</v>
      </c>
      <c r="AO533" s="28" t="str">
        <f>LOWER("VW"&amp;"_"&amp;Model_Variant&amp;"_"&amp;Size&amp;"_"&amp;Linha_Criativa&amp;"_"&amp;IF(Servido_Por="portal",Veiculo,"adserver"))</f>
        <v>vw____adserver</v>
      </c>
      <c r="AP5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3" s="22" t="str">
        <f t="shared" si="1"/>
        <v/>
      </c>
      <c r="AS533" s="22" t="str">
        <f t="shared" si="2"/>
        <v/>
      </c>
      <c r="AT533" s="22" t="str">
        <f t="shared" si="3"/>
        <v>BR_IMC_DSY_LANCH_ND_NC_2020Q3AUG_NVS_Nivus-Launch-Consideracao</v>
      </c>
      <c r="AU533" s="22" t="str">
        <f t="shared" si="4"/>
        <v>#N/A</v>
      </c>
      <c r="AV533" s="22" t="s">
        <v>106</v>
      </c>
      <c r="AW5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3" s="22" t="str">
        <f t="shared" si="5"/>
        <v>BR_IMC_DSY_LANCH_ND_NC_2020Q3AUG_NVS_Nivus-Launch-Consideracao</v>
      </c>
      <c r="AY533" s="28" t="str">
        <f t="shared" si="6"/>
        <v>#N/A</v>
      </c>
      <c r="AZ533" s="22" t="s">
        <v>107</v>
      </c>
      <c r="BA533" s="22" t="s">
        <v>108</v>
      </c>
      <c r="BB533" s="31" t="s">
        <v>109</v>
      </c>
      <c r="BC533" s="31" t="s">
        <v>109</v>
      </c>
      <c r="BD533" s="32" t="str">
        <f t="shared" si="8"/>
        <v>nvl-nvs-imc-dsy-0820-10527</v>
      </c>
      <c r="BE533" s="33"/>
      <c r="BF533" s="33"/>
      <c r="BG533" s="39" t="str">
        <f>URL&amp;IF(ISNUMBER(FIND("?",URL)),"&amp;","?"&amp;("adlid="&amp;Unique_ID&amp;"&amp;adplt="&amp;Placement))</f>
        <v>#N/A</v>
      </c>
      <c r="BH533" s="1"/>
      <c r="BI533" s="1"/>
      <c r="BJ533" s="35" t="str">
        <f>LOWER("alp"&amp;"_"&amp;"vw"&amp;"_"&amp;Veiculo&amp;"_"&amp;C529&amp;"_"&amp;Objetivo)</f>
        <v>alp_vw___</v>
      </c>
      <c r="BK533" s="35" t="str">
        <f>LOWER(Buying_Metric&amp;"_"&amp;VLOOKUP(Buying_Type,Buy_type,2,FALSE)&amp;"_"&amp;Device&amp;"_"&amp;Size&amp;"_"&amp;Segmentação&amp;"_"&amp;Segmentação_Anúncio)</f>
        <v>#N/A</v>
      </c>
      <c r="BL533" s="35" t="str">
        <f>LOWER(Campanha_ou_InsertionOrder&amp;"_"&amp;LineItem_ou_Grupodeanúncio&amp;"_"&amp;Linha_criativa_2&amp;"_"&amp;Unique_ID)</f>
        <v>#N/A</v>
      </c>
      <c r="BM533" s="27"/>
      <c r="BN533" s="27"/>
    </row>
    <row r="534">
      <c r="A534" s="1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8" t="str">
        <f>LOWER(Campanha_ou_InsertionOrder&amp;"_"&amp;LineItem_ou_Grupodeanúncio&amp;"_"&amp;Linha_Criativa&amp;"_"&amp;Unique_ID)</f>
        <v>#N/A</v>
      </c>
      <c r="AN534" s="28" t="str">
        <f>LOWER(Campanha_ou_InsertionOrder&amp;"_"&amp;LineItem_ou_Grupodeanúncio&amp;"_"&amp;Linha_Criativa&amp;"_"&amp;Unique_ID)</f>
        <v>#N/A</v>
      </c>
      <c r="AO534" s="28" t="str">
        <f>LOWER("VW"&amp;"_"&amp;Model_Variant&amp;"_"&amp;Size&amp;"_"&amp;Linha_Criativa&amp;"_"&amp;IF(Servido_Por="portal",Veiculo,"adserver"))</f>
        <v>vw____adserver</v>
      </c>
      <c r="AP5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4" s="22" t="str">
        <f t="shared" si="1"/>
        <v/>
      </c>
      <c r="AS534" s="22" t="str">
        <f t="shared" si="2"/>
        <v/>
      </c>
      <c r="AT534" s="22" t="str">
        <f t="shared" si="3"/>
        <v>BR_IMC_DSY_LANCH_ND_NC_2020Q3AUG_NVS_Nivus-Launch-Consideracao</v>
      </c>
      <c r="AU534" s="22" t="str">
        <f t="shared" si="4"/>
        <v>#N/A</v>
      </c>
      <c r="AV534" s="22" t="s">
        <v>106</v>
      </c>
      <c r="AW5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4" s="22" t="str">
        <f t="shared" si="5"/>
        <v>BR_IMC_DSY_LANCH_ND_NC_2020Q3AUG_NVS_Nivus-Launch-Consideracao</v>
      </c>
      <c r="AY534" s="28" t="str">
        <f t="shared" si="6"/>
        <v>#N/A</v>
      </c>
      <c r="AZ534" s="22" t="s">
        <v>107</v>
      </c>
      <c r="BA534" s="22" t="s">
        <v>108</v>
      </c>
      <c r="BB534" s="31" t="s">
        <v>109</v>
      </c>
      <c r="BC534" s="31" t="s">
        <v>109</v>
      </c>
      <c r="BD534" s="32" t="str">
        <f t="shared" si="8"/>
        <v>nvl-nvs-imc-dsy-0820-10528</v>
      </c>
      <c r="BE534" s="33"/>
      <c r="BF534" s="33"/>
      <c r="BG534" s="39" t="str">
        <f>URL&amp;IF(ISNUMBER(FIND("?",URL)),"&amp;","?"&amp;("adlid="&amp;Unique_ID&amp;"&amp;adplt="&amp;Placement))</f>
        <v>#N/A</v>
      </c>
      <c r="BH534" s="1"/>
      <c r="BI534" s="1"/>
      <c r="BJ534" s="35" t="str">
        <f>LOWER("alp"&amp;"_"&amp;"vw"&amp;"_"&amp;Veiculo&amp;"_"&amp;C530&amp;"_"&amp;Objetivo)</f>
        <v>alp_vw___</v>
      </c>
      <c r="BK534" s="35" t="str">
        <f>LOWER(Buying_Metric&amp;"_"&amp;VLOOKUP(Buying_Type,Buy_type,2,FALSE)&amp;"_"&amp;Device&amp;"_"&amp;Size&amp;"_"&amp;Segmentação&amp;"_"&amp;Segmentação_Anúncio)</f>
        <v>#N/A</v>
      </c>
      <c r="BL534" s="35" t="str">
        <f>LOWER(Campanha_ou_InsertionOrder&amp;"_"&amp;LineItem_ou_Grupodeanúncio&amp;"_"&amp;Linha_criativa_2&amp;"_"&amp;Unique_ID)</f>
        <v>#N/A</v>
      </c>
      <c r="BM534" s="27"/>
      <c r="BN534" s="27"/>
    </row>
    <row r="535">
      <c r="A535" s="1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8" t="str">
        <f>LOWER(Campanha_ou_InsertionOrder&amp;"_"&amp;LineItem_ou_Grupodeanúncio&amp;"_"&amp;Linha_Criativa&amp;"_"&amp;Unique_ID)</f>
        <v>#N/A</v>
      </c>
      <c r="AN535" s="28" t="str">
        <f>LOWER(Campanha_ou_InsertionOrder&amp;"_"&amp;LineItem_ou_Grupodeanúncio&amp;"_"&amp;Linha_Criativa&amp;"_"&amp;Unique_ID)</f>
        <v>#N/A</v>
      </c>
      <c r="AO535" s="28" t="str">
        <f>LOWER("VW"&amp;"_"&amp;Model_Variant&amp;"_"&amp;Size&amp;"_"&amp;Linha_Criativa&amp;"_"&amp;IF(Servido_Por="portal",Veiculo,"adserver"))</f>
        <v>vw____adserver</v>
      </c>
      <c r="AP5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5" s="22" t="str">
        <f t="shared" si="1"/>
        <v/>
      </c>
      <c r="AS535" s="22" t="str">
        <f t="shared" si="2"/>
        <v/>
      </c>
      <c r="AT535" s="22" t="str">
        <f t="shared" si="3"/>
        <v>BR_IMC_DSY_LANCH_ND_NC_2020Q3AUG_NVS_Nivus-Launch-Consideracao</v>
      </c>
      <c r="AU535" s="22" t="str">
        <f t="shared" si="4"/>
        <v>#N/A</v>
      </c>
      <c r="AV535" s="22" t="s">
        <v>106</v>
      </c>
      <c r="AW5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5" s="22" t="str">
        <f t="shared" si="5"/>
        <v>BR_IMC_DSY_LANCH_ND_NC_2020Q3AUG_NVS_Nivus-Launch-Consideracao</v>
      </c>
      <c r="AY535" s="28" t="str">
        <f t="shared" si="6"/>
        <v>#N/A</v>
      </c>
      <c r="AZ535" s="22" t="s">
        <v>107</v>
      </c>
      <c r="BA535" s="22" t="s">
        <v>108</v>
      </c>
      <c r="BB535" s="31" t="s">
        <v>109</v>
      </c>
      <c r="BC535" s="31" t="s">
        <v>109</v>
      </c>
      <c r="BD535" s="32" t="str">
        <f t="shared" si="8"/>
        <v>nvl-nvs-imc-dsy-0820-10529</v>
      </c>
      <c r="BE535" s="33"/>
      <c r="BF535" s="33"/>
      <c r="BG535" s="39" t="str">
        <f>URL&amp;IF(ISNUMBER(FIND("?",URL)),"&amp;","?"&amp;("adlid="&amp;Unique_ID&amp;"&amp;adplt="&amp;Placement))</f>
        <v>#N/A</v>
      </c>
      <c r="BH535" s="1"/>
      <c r="BI535" s="1"/>
      <c r="BJ535" s="35" t="str">
        <f>LOWER("alp"&amp;"_"&amp;"vw"&amp;"_"&amp;Veiculo&amp;"_"&amp;C531&amp;"_"&amp;Objetivo)</f>
        <v>alp_vw___</v>
      </c>
      <c r="BK535" s="35" t="str">
        <f>LOWER(Buying_Metric&amp;"_"&amp;VLOOKUP(Buying_Type,Buy_type,2,FALSE)&amp;"_"&amp;Device&amp;"_"&amp;Size&amp;"_"&amp;Segmentação&amp;"_"&amp;Segmentação_Anúncio)</f>
        <v>#N/A</v>
      </c>
      <c r="BL535" s="35" t="str">
        <f>LOWER(Campanha_ou_InsertionOrder&amp;"_"&amp;LineItem_ou_Grupodeanúncio&amp;"_"&amp;Linha_criativa_2&amp;"_"&amp;Unique_ID)</f>
        <v>#N/A</v>
      </c>
      <c r="BM535" s="27"/>
      <c r="BN535" s="27"/>
    </row>
    <row r="536">
      <c r="A536" s="1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8" t="str">
        <f>LOWER(Campanha_ou_InsertionOrder&amp;"_"&amp;LineItem_ou_Grupodeanúncio&amp;"_"&amp;Linha_Criativa&amp;"_"&amp;Unique_ID)</f>
        <v>#N/A</v>
      </c>
      <c r="AN536" s="28" t="str">
        <f>LOWER(Campanha_ou_InsertionOrder&amp;"_"&amp;LineItem_ou_Grupodeanúncio&amp;"_"&amp;Linha_Criativa&amp;"_"&amp;Unique_ID)</f>
        <v>#N/A</v>
      </c>
      <c r="AO536" s="28" t="str">
        <f>LOWER("VW"&amp;"_"&amp;Model_Variant&amp;"_"&amp;Size&amp;"_"&amp;Linha_Criativa&amp;"_"&amp;IF(Servido_Por="portal",Veiculo,"adserver"))</f>
        <v>vw____adserver</v>
      </c>
      <c r="AP5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6" s="22" t="str">
        <f t="shared" si="1"/>
        <v/>
      </c>
      <c r="AS536" s="22" t="str">
        <f t="shared" si="2"/>
        <v/>
      </c>
      <c r="AT536" s="22" t="str">
        <f t="shared" si="3"/>
        <v>BR_IMC_DSY_LANCH_ND_NC_2020Q3AUG_NVS_Nivus-Launch-Consideracao</v>
      </c>
      <c r="AU536" s="22" t="str">
        <f t="shared" si="4"/>
        <v>#N/A</v>
      </c>
      <c r="AV536" s="22" t="s">
        <v>106</v>
      </c>
      <c r="AW5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6" s="22" t="str">
        <f t="shared" si="5"/>
        <v>BR_IMC_DSY_LANCH_ND_NC_2020Q3AUG_NVS_Nivus-Launch-Consideracao</v>
      </c>
      <c r="AY536" s="28" t="str">
        <f t="shared" si="6"/>
        <v>#N/A</v>
      </c>
      <c r="AZ536" s="22" t="s">
        <v>107</v>
      </c>
      <c r="BA536" s="22" t="s">
        <v>108</v>
      </c>
      <c r="BB536" s="31" t="s">
        <v>109</v>
      </c>
      <c r="BC536" s="31" t="s">
        <v>109</v>
      </c>
      <c r="BD536" s="32" t="str">
        <f t="shared" si="8"/>
        <v>nvl-nvs-imc-dsy-0820-10530</v>
      </c>
      <c r="BE536" s="33"/>
      <c r="BF536" s="33"/>
      <c r="BG536" s="39" t="str">
        <f>URL&amp;IF(ISNUMBER(FIND("?",URL)),"&amp;","?"&amp;("adlid="&amp;Unique_ID&amp;"&amp;adplt="&amp;Placement))</f>
        <v>#N/A</v>
      </c>
      <c r="BH536" s="1"/>
      <c r="BI536" s="1"/>
      <c r="BJ536" s="35" t="str">
        <f>LOWER("alp"&amp;"_"&amp;"vw"&amp;"_"&amp;Veiculo&amp;"_"&amp;C532&amp;"_"&amp;Objetivo)</f>
        <v>alp_vw___</v>
      </c>
      <c r="BK536" s="35" t="str">
        <f>LOWER(Buying_Metric&amp;"_"&amp;VLOOKUP(Buying_Type,Buy_type,2,FALSE)&amp;"_"&amp;Device&amp;"_"&amp;Size&amp;"_"&amp;Segmentação&amp;"_"&amp;Segmentação_Anúncio)</f>
        <v>#N/A</v>
      </c>
      <c r="BL536" s="35" t="str">
        <f>LOWER(Campanha_ou_InsertionOrder&amp;"_"&amp;LineItem_ou_Grupodeanúncio&amp;"_"&amp;Linha_criativa_2&amp;"_"&amp;Unique_ID)</f>
        <v>#N/A</v>
      </c>
      <c r="BM536" s="27"/>
      <c r="BN536" s="27"/>
    </row>
    <row r="537">
      <c r="A537" s="1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8" t="str">
        <f>LOWER(Campanha_ou_InsertionOrder&amp;"_"&amp;LineItem_ou_Grupodeanúncio&amp;"_"&amp;Linha_Criativa&amp;"_"&amp;Unique_ID)</f>
        <v>#N/A</v>
      </c>
      <c r="AN537" s="28" t="str">
        <f>LOWER(Campanha_ou_InsertionOrder&amp;"_"&amp;LineItem_ou_Grupodeanúncio&amp;"_"&amp;Linha_Criativa&amp;"_"&amp;Unique_ID)</f>
        <v>#N/A</v>
      </c>
      <c r="AO537" s="28" t="str">
        <f>LOWER("VW"&amp;"_"&amp;Model_Variant&amp;"_"&amp;Size&amp;"_"&amp;Linha_Criativa&amp;"_"&amp;IF(Servido_Por="portal",Veiculo,"adserver"))</f>
        <v>vw____adserver</v>
      </c>
      <c r="AP5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7" s="22" t="str">
        <f t="shared" si="1"/>
        <v/>
      </c>
      <c r="AS537" s="22" t="str">
        <f t="shared" si="2"/>
        <v/>
      </c>
      <c r="AT537" s="22" t="str">
        <f t="shared" si="3"/>
        <v>BR_IMC_DSY_LANCH_ND_NC_2020Q3AUG_NVS_Nivus-Launch-Consideracao</v>
      </c>
      <c r="AU537" s="22" t="str">
        <f t="shared" si="4"/>
        <v>#N/A</v>
      </c>
      <c r="AV537" s="22" t="s">
        <v>106</v>
      </c>
      <c r="AW5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7" s="22" t="str">
        <f t="shared" si="5"/>
        <v>BR_IMC_DSY_LANCH_ND_NC_2020Q3AUG_NVS_Nivus-Launch-Consideracao</v>
      </c>
      <c r="AY537" s="28" t="str">
        <f t="shared" si="6"/>
        <v>#N/A</v>
      </c>
      <c r="AZ537" s="22" t="s">
        <v>107</v>
      </c>
      <c r="BA537" s="22" t="s">
        <v>108</v>
      </c>
      <c r="BB537" s="31" t="s">
        <v>109</v>
      </c>
      <c r="BC537" s="31" t="s">
        <v>109</v>
      </c>
      <c r="BD537" s="32" t="str">
        <f t="shared" si="8"/>
        <v>nvl-nvs-imc-dsy-0820-10531</v>
      </c>
      <c r="BE537" s="33"/>
      <c r="BF537" s="33"/>
      <c r="BG537" s="39" t="str">
        <f>URL&amp;IF(ISNUMBER(FIND("?",URL)),"&amp;","?"&amp;("adlid="&amp;Unique_ID&amp;"&amp;adplt="&amp;Placement))</f>
        <v>#N/A</v>
      </c>
      <c r="BH537" s="1"/>
      <c r="BI537" s="1"/>
      <c r="BJ537" s="35" t="str">
        <f>LOWER("alp"&amp;"_"&amp;"vw"&amp;"_"&amp;Veiculo&amp;"_"&amp;C533&amp;"_"&amp;Objetivo)</f>
        <v>alp_vw___</v>
      </c>
      <c r="BK537" s="35" t="str">
        <f>LOWER(Buying_Metric&amp;"_"&amp;VLOOKUP(Buying_Type,Buy_type,2,FALSE)&amp;"_"&amp;Device&amp;"_"&amp;Size&amp;"_"&amp;Segmentação&amp;"_"&amp;Segmentação_Anúncio)</f>
        <v>#N/A</v>
      </c>
      <c r="BL537" s="35" t="str">
        <f>LOWER(Campanha_ou_InsertionOrder&amp;"_"&amp;LineItem_ou_Grupodeanúncio&amp;"_"&amp;Linha_criativa_2&amp;"_"&amp;Unique_ID)</f>
        <v>#N/A</v>
      </c>
      <c r="BM537" s="27"/>
      <c r="BN537" s="27"/>
    </row>
    <row r="538">
      <c r="A538" s="1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8" t="str">
        <f>LOWER(Campanha_ou_InsertionOrder&amp;"_"&amp;LineItem_ou_Grupodeanúncio&amp;"_"&amp;Linha_Criativa&amp;"_"&amp;Unique_ID)</f>
        <v>#N/A</v>
      </c>
      <c r="AN538" s="28" t="str">
        <f>LOWER(Campanha_ou_InsertionOrder&amp;"_"&amp;LineItem_ou_Grupodeanúncio&amp;"_"&amp;Linha_Criativa&amp;"_"&amp;Unique_ID)</f>
        <v>#N/A</v>
      </c>
      <c r="AO538" s="28" t="str">
        <f>LOWER("VW"&amp;"_"&amp;Model_Variant&amp;"_"&amp;Size&amp;"_"&amp;Linha_Criativa&amp;"_"&amp;IF(Servido_Por="portal",Veiculo,"adserver"))</f>
        <v>vw____adserver</v>
      </c>
      <c r="AP5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8" s="22" t="str">
        <f t="shared" si="1"/>
        <v/>
      </c>
      <c r="AS538" s="22" t="str">
        <f t="shared" si="2"/>
        <v/>
      </c>
      <c r="AT538" s="22" t="str">
        <f t="shared" si="3"/>
        <v>BR_IMC_DSY_LANCH_ND_NC_2020Q3AUG_NVS_Nivus-Launch-Consideracao</v>
      </c>
      <c r="AU538" s="22" t="str">
        <f t="shared" si="4"/>
        <v>#N/A</v>
      </c>
      <c r="AV538" s="22" t="s">
        <v>106</v>
      </c>
      <c r="AW5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8" s="22" t="str">
        <f t="shared" si="5"/>
        <v>BR_IMC_DSY_LANCH_ND_NC_2020Q3AUG_NVS_Nivus-Launch-Consideracao</v>
      </c>
      <c r="AY538" s="28" t="str">
        <f t="shared" si="6"/>
        <v>#N/A</v>
      </c>
      <c r="AZ538" s="22" t="s">
        <v>107</v>
      </c>
      <c r="BA538" s="22" t="s">
        <v>108</v>
      </c>
      <c r="BB538" s="31" t="s">
        <v>109</v>
      </c>
      <c r="BC538" s="31" t="s">
        <v>109</v>
      </c>
      <c r="BD538" s="32" t="str">
        <f t="shared" si="8"/>
        <v>nvl-nvs-imc-dsy-0820-10532</v>
      </c>
      <c r="BE538" s="33"/>
      <c r="BF538" s="33"/>
      <c r="BG538" s="39" t="str">
        <f>URL&amp;IF(ISNUMBER(FIND("?",URL)),"&amp;","?"&amp;("adlid="&amp;Unique_ID&amp;"&amp;adplt="&amp;Placement))</f>
        <v>#N/A</v>
      </c>
      <c r="BH538" s="1"/>
      <c r="BI538" s="1"/>
      <c r="BJ538" s="35" t="str">
        <f>LOWER("alp"&amp;"_"&amp;"vw"&amp;"_"&amp;Veiculo&amp;"_"&amp;C534&amp;"_"&amp;Objetivo)</f>
        <v>alp_vw___</v>
      </c>
      <c r="BK538" s="35" t="str">
        <f>LOWER(Buying_Metric&amp;"_"&amp;VLOOKUP(Buying_Type,Buy_type,2,FALSE)&amp;"_"&amp;Device&amp;"_"&amp;Size&amp;"_"&amp;Segmentação&amp;"_"&amp;Segmentação_Anúncio)</f>
        <v>#N/A</v>
      </c>
      <c r="BL538" s="35" t="str">
        <f>LOWER(Campanha_ou_InsertionOrder&amp;"_"&amp;LineItem_ou_Grupodeanúncio&amp;"_"&amp;Linha_criativa_2&amp;"_"&amp;Unique_ID)</f>
        <v>#N/A</v>
      </c>
      <c r="BM538" s="27"/>
      <c r="BN538" s="27"/>
    </row>
    <row r="539">
      <c r="A539" s="1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8" t="str">
        <f>LOWER(Campanha_ou_InsertionOrder&amp;"_"&amp;LineItem_ou_Grupodeanúncio&amp;"_"&amp;Linha_Criativa&amp;"_"&amp;Unique_ID)</f>
        <v>#N/A</v>
      </c>
      <c r="AN539" s="28" t="str">
        <f>LOWER(Campanha_ou_InsertionOrder&amp;"_"&amp;LineItem_ou_Grupodeanúncio&amp;"_"&amp;Linha_Criativa&amp;"_"&amp;Unique_ID)</f>
        <v>#N/A</v>
      </c>
      <c r="AO539" s="28" t="str">
        <f>LOWER("VW"&amp;"_"&amp;Model_Variant&amp;"_"&amp;Size&amp;"_"&amp;Linha_Criativa&amp;"_"&amp;IF(Servido_Por="portal",Veiculo,"adserver"))</f>
        <v>vw____adserver</v>
      </c>
      <c r="AP5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39" s="22" t="str">
        <f t="shared" si="1"/>
        <v/>
      </c>
      <c r="AS539" s="22" t="str">
        <f t="shared" si="2"/>
        <v/>
      </c>
      <c r="AT539" s="22" t="str">
        <f t="shared" si="3"/>
        <v>BR_IMC_DSY_LANCH_ND_NC_2020Q3AUG_NVS_Nivus-Launch-Consideracao</v>
      </c>
      <c r="AU539" s="22" t="str">
        <f t="shared" si="4"/>
        <v>#N/A</v>
      </c>
      <c r="AV539" s="22" t="s">
        <v>106</v>
      </c>
      <c r="AW5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39" s="22" t="str">
        <f t="shared" si="5"/>
        <v>BR_IMC_DSY_LANCH_ND_NC_2020Q3AUG_NVS_Nivus-Launch-Consideracao</v>
      </c>
      <c r="AY539" s="28" t="str">
        <f t="shared" si="6"/>
        <v>#N/A</v>
      </c>
      <c r="AZ539" s="22" t="s">
        <v>107</v>
      </c>
      <c r="BA539" s="22" t="s">
        <v>108</v>
      </c>
      <c r="BB539" s="31" t="s">
        <v>109</v>
      </c>
      <c r="BC539" s="31" t="s">
        <v>109</v>
      </c>
      <c r="BD539" s="32" t="str">
        <f t="shared" si="8"/>
        <v>nvl-nvs-imc-dsy-0820-10533</v>
      </c>
      <c r="BE539" s="33"/>
      <c r="BF539" s="33"/>
      <c r="BG539" s="39" t="str">
        <f>URL&amp;IF(ISNUMBER(FIND("?",URL)),"&amp;","?"&amp;("adlid="&amp;Unique_ID&amp;"&amp;adplt="&amp;Placement))</f>
        <v>#N/A</v>
      </c>
      <c r="BH539" s="1"/>
      <c r="BI539" s="1"/>
      <c r="BJ539" s="35" t="str">
        <f>LOWER("alp"&amp;"_"&amp;"vw"&amp;"_"&amp;Veiculo&amp;"_"&amp;C535&amp;"_"&amp;Objetivo)</f>
        <v>alp_vw___</v>
      </c>
      <c r="BK539" s="35" t="str">
        <f>LOWER(Buying_Metric&amp;"_"&amp;VLOOKUP(Buying_Type,Buy_type,2,FALSE)&amp;"_"&amp;Device&amp;"_"&amp;Size&amp;"_"&amp;Segmentação&amp;"_"&amp;Segmentação_Anúncio)</f>
        <v>#N/A</v>
      </c>
      <c r="BL539" s="35" t="str">
        <f>LOWER(Campanha_ou_InsertionOrder&amp;"_"&amp;LineItem_ou_Grupodeanúncio&amp;"_"&amp;Linha_criativa_2&amp;"_"&amp;Unique_ID)</f>
        <v>#N/A</v>
      </c>
      <c r="BM539" s="27"/>
      <c r="BN539" s="27"/>
    </row>
    <row r="540">
      <c r="A540" s="1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8" t="str">
        <f>LOWER(Campanha_ou_InsertionOrder&amp;"_"&amp;LineItem_ou_Grupodeanúncio&amp;"_"&amp;Linha_Criativa&amp;"_"&amp;Unique_ID)</f>
        <v>#N/A</v>
      </c>
      <c r="AN540" s="28" t="str">
        <f>LOWER(Campanha_ou_InsertionOrder&amp;"_"&amp;LineItem_ou_Grupodeanúncio&amp;"_"&amp;Linha_Criativa&amp;"_"&amp;Unique_ID)</f>
        <v>#N/A</v>
      </c>
      <c r="AO540" s="28" t="str">
        <f>LOWER("VW"&amp;"_"&amp;Model_Variant&amp;"_"&amp;Size&amp;"_"&amp;Linha_Criativa&amp;"_"&amp;IF(Servido_Por="portal",Veiculo,"adserver"))</f>
        <v>vw____adserver</v>
      </c>
      <c r="AP5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0" s="22" t="str">
        <f t="shared" si="1"/>
        <v/>
      </c>
      <c r="AS540" s="22" t="str">
        <f t="shared" si="2"/>
        <v/>
      </c>
      <c r="AT540" s="22" t="str">
        <f t="shared" si="3"/>
        <v>BR_IMC_DSY_LANCH_ND_NC_2020Q3AUG_NVS_Nivus-Launch-Consideracao</v>
      </c>
      <c r="AU540" s="22" t="str">
        <f t="shared" si="4"/>
        <v>#N/A</v>
      </c>
      <c r="AV540" s="22" t="s">
        <v>106</v>
      </c>
      <c r="AW5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0" s="22" t="str">
        <f t="shared" si="5"/>
        <v>BR_IMC_DSY_LANCH_ND_NC_2020Q3AUG_NVS_Nivus-Launch-Consideracao</v>
      </c>
      <c r="AY540" s="28" t="str">
        <f t="shared" si="6"/>
        <v>#N/A</v>
      </c>
      <c r="AZ540" s="22" t="s">
        <v>107</v>
      </c>
      <c r="BA540" s="22" t="s">
        <v>108</v>
      </c>
      <c r="BB540" s="31" t="s">
        <v>109</v>
      </c>
      <c r="BC540" s="31" t="s">
        <v>109</v>
      </c>
      <c r="BD540" s="32" t="str">
        <f t="shared" si="8"/>
        <v>nvl-nvs-imc-dsy-0820-10534</v>
      </c>
      <c r="BE540" s="33"/>
      <c r="BF540" s="33"/>
      <c r="BG540" s="39" t="str">
        <f>URL&amp;IF(ISNUMBER(FIND("?",URL)),"&amp;","?"&amp;("adlid="&amp;Unique_ID&amp;"&amp;adplt="&amp;Placement))</f>
        <v>#N/A</v>
      </c>
      <c r="BH540" s="1"/>
      <c r="BI540" s="1"/>
      <c r="BJ540" s="35" t="str">
        <f>LOWER("alp"&amp;"_"&amp;"vw"&amp;"_"&amp;Veiculo&amp;"_"&amp;C536&amp;"_"&amp;Objetivo)</f>
        <v>alp_vw___</v>
      </c>
      <c r="BK540" s="35" t="str">
        <f>LOWER(Buying_Metric&amp;"_"&amp;VLOOKUP(Buying_Type,Buy_type,2,FALSE)&amp;"_"&amp;Device&amp;"_"&amp;Size&amp;"_"&amp;Segmentação&amp;"_"&amp;Segmentação_Anúncio)</f>
        <v>#N/A</v>
      </c>
      <c r="BL540" s="35" t="str">
        <f>LOWER(Campanha_ou_InsertionOrder&amp;"_"&amp;LineItem_ou_Grupodeanúncio&amp;"_"&amp;Linha_criativa_2&amp;"_"&amp;Unique_ID)</f>
        <v>#N/A</v>
      </c>
      <c r="BM540" s="27"/>
      <c r="BN540" s="27"/>
    </row>
    <row r="541">
      <c r="A541" s="1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8" t="str">
        <f>LOWER(Campanha_ou_InsertionOrder&amp;"_"&amp;LineItem_ou_Grupodeanúncio&amp;"_"&amp;Linha_Criativa&amp;"_"&amp;Unique_ID)</f>
        <v>#N/A</v>
      </c>
      <c r="AN541" s="28" t="str">
        <f>LOWER(Campanha_ou_InsertionOrder&amp;"_"&amp;LineItem_ou_Grupodeanúncio&amp;"_"&amp;Linha_Criativa&amp;"_"&amp;Unique_ID)</f>
        <v>#N/A</v>
      </c>
      <c r="AO541" s="28" t="str">
        <f>LOWER("VW"&amp;"_"&amp;Model_Variant&amp;"_"&amp;Size&amp;"_"&amp;Linha_Criativa&amp;"_"&amp;IF(Servido_Por="portal",Veiculo,"adserver"))</f>
        <v>vw____adserver</v>
      </c>
      <c r="AP5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1" s="22" t="str">
        <f t="shared" si="1"/>
        <v/>
      </c>
      <c r="AS541" s="22" t="str">
        <f t="shared" si="2"/>
        <v/>
      </c>
      <c r="AT541" s="22" t="str">
        <f t="shared" si="3"/>
        <v>BR_IMC_DSY_LANCH_ND_NC_2020Q3AUG_NVS_Nivus-Launch-Consideracao</v>
      </c>
      <c r="AU541" s="22" t="str">
        <f t="shared" si="4"/>
        <v>#N/A</v>
      </c>
      <c r="AV541" s="22" t="s">
        <v>106</v>
      </c>
      <c r="AW5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1" s="22" t="str">
        <f t="shared" si="5"/>
        <v>BR_IMC_DSY_LANCH_ND_NC_2020Q3AUG_NVS_Nivus-Launch-Consideracao</v>
      </c>
      <c r="AY541" s="28" t="str">
        <f t="shared" si="6"/>
        <v>#N/A</v>
      </c>
      <c r="AZ541" s="22" t="s">
        <v>107</v>
      </c>
      <c r="BA541" s="22" t="s">
        <v>108</v>
      </c>
      <c r="BB541" s="31" t="s">
        <v>109</v>
      </c>
      <c r="BC541" s="31" t="s">
        <v>109</v>
      </c>
      <c r="BD541" s="32" t="str">
        <f t="shared" si="8"/>
        <v>nvl-nvs-imc-dsy-0820-10535</v>
      </c>
      <c r="BE541" s="33"/>
      <c r="BF541" s="33"/>
      <c r="BG541" s="39" t="str">
        <f>URL&amp;IF(ISNUMBER(FIND("?",URL)),"&amp;","?"&amp;("adlid="&amp;Unique_ID&amp;"&amp;adplt="&amp;Placement))</f>
        <v>#N/A</v>
      </c>
      <c r="BH541" s="1"/>
      <c r="BI541" s="1"/>
      <c r="BJ541" s="35" t="str">
        <f>LOWER("alp"&amp;"_"&amp;"vw"&amp;"_"&amp;Veiculo&amp;"_"&amp;C537&amp;"_"&amp;Objetivo)</f>
        <v>alp_vw___</v>
      </c>
      <c r="BK541" s="35" t="str">
        <f>LOWER(Buying_Metric&amp;"_"&amp;VLOOKUP(Buying_Type,Buy_type,2,FALSE)&amp;"_"&amp;Device&amp;"_"&amp;Size&amp;"_"&amp;Segmentação&amp;"_"&amp;Segmentação_Anúncio)</f>
        <v>#N/A</v>
      </c>
      <c r="BL541" s="35" t="str">
        <f>LOWER(Campanha_ou_InsertionOrder&amp;"_"&amp;LineItem_ou_Grupodeanúncio&amp;"_"&amp;Linha_criativa_2&amp;"_"&amp;Unique_ID)</f>
        <v>#N/A</v>
      </c>
      <c r="BM541" s="27"/>
      <c r="BN541" s="27"/>
    </row>
    <row r="542">
      <c r="A542" s="1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8" t="str">
        <f>LOWER(Campanha_ou_InsertionOrder&amp;"_"&amp;LineItem_ou_Grupodeanúncio&amp;"_"&amp;Linha_Criativa&amp;"_"&amp;Unique_ID)</f>
        <v>#N/A</v>
      </c>
      <c r="AN542" s="28" t="str">
        <f>LOWER(Campanha_ou_InsertionOrder&amp;"_"&amp;LineItem_ou_Grupodeanúncio&amp;"_"&amp;Linha_Criativa&amp;"_"&amp;Unique_ID)</f>
        <v>#N/A</v>
      </c>
      <c r="AO542" s="28" t="str">
        <f>LOWER("VW"&amp;"_"&amp;Model_Variant&amp;"_"&amp;Size&amp;"_"&amp;Linha_Criativa&amp;"_"&amp;IF(Servido_Por="portal",Veiculo,"adserver"))</f>
        <v>vw____adserver</v>
      </c>
      <c r="AP5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2" s="22" t="str">
        <f t="shared" si="1"/>
        <v/>
      </c>
      <c r="AS542" s="22" t="str">
        <f t="shared" si="2"/>
        <v/>
      </c>
      <c r="AT542" s="22" t="str">
        <f t="shared" si="3"/>
        <v>BR_IMC_DSY_LANCH_ND_NC_2020Q3AUG_NVS_Nivus-Launch-Consideracao</v>
      </c>
      <c r="AU542" s="22" t="str">
        <f t="shared" si="4"/>
        <v>#N/A</v>
      </c>
      <c r="AV542" s="22" t="s">
        <v>106</v>
      </c>
      <c r="AW5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2" s="22" t="str">
        <f t="shared" si="5"/>
        <v>BR_IMC_DSY_LANCH_ND_NC_2020Q3AUG_NVS_Nivus-Launch-Consideracao</v>
      </c>
      <c r="AY542" s="28" t="str">
        <f t="shared" si="6"/>
        <v>#N/A</v>
      </c>
      <c r="AZ542" s="22" t="s">
        <v>107</v>
      </c>
      <c r="BA542" s="22" t="s">
        <v>108</v>
      </c>
      <c r="BB542" s="31" t="s">
        <v>109</v>
      </c>
      <c r="BC542" s="31" t="s">
        <v>109</v>
      </c>
      <c r="BD542" s="32" t="str">
        <f t="shared" si="8"/>
        <v>nvl-nvs-imc-dsy-0820-10536</v>
      </c>
      <c r="BE542" s="33"/>
      <c r="BF542" s="33"/>
      <c r="BG542" s="39" t="str">
        <f>URL&amp;IF(ISNUMBER(FIND("?",URL)),"&amp;","?"&amp;("adlid="&amp;Unique_ID&amp;"&amp;adplt="&amp;Placement))</f>
        <v>#N/A</v>
      </c>
      <c r="BH542" s="1"/>
      <c r="BI542" s="1"/>
      <c r="BJ542" s="35" t="str">
        <f>LOWER("alp"&amp;"_"&amp;"vw"&amp;"_"&amp;Veiculo&amp;"_"&amp;C538&amp;"_"&amp;Objetivo)</f>
        <v>alp_vw___</v>
      </c>
      <c r="BK542" s="35" t="str">
        <f>LOWER(Buying_Metric&amp;"_"&amp;VLOOKUP(Buying_Type,Buy_type,2,FALSE)&amp;"_"&amp;Device&amp;"_"&amp;Size&amp;"_"&amp;Segmentação&amp;"_"&amp;Segmentação_Anúncio)</f>
        <v>#N/A</v>
      </c>
      <c r="BL542" s="35" t="str">
        <f>LOWER(Campanha_ou_InsertionOrder&amp;"_"&amp;LineItem_ou_Grupodeanúncio&amp;"_"&amp;Linha_criativa_2&amp;"_"&amp;Unique_ID)</f>
        <v>#N/A</v>
      </c>
      <c r="BM542" s="27"/>
      <c r="BN542" s="27"/>
    </row>
    <row r="543">
      <c r="A543" s="1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8" t="str">
        <f>LOWER(Campanha_ou_InsertionOrder&amp;"_"&amp;LineItem_ou_Grupodeanúncio&amp;"_"&amp;Linha_Criativa&amp;"_"&amp;Unique_ID)</f>
        <v>#N/A</v>
      </c>
      <c r="AN543" s="28" t="str">
        <f>LOWER(Campanha_ou_InsertionOrder&amp;"_"&amp;LineItem_ou_Grupodeanúncio&amp;"_"&amp;Linha_Criativa&amp;"_"&amp;Unique_ID)</f>
        <v>#N/A</v>
      </c>
      <c r="AO543" s="28" t="str">
        <f>LOWER("VW"&amp;"_"&amp;Model_Variant&amp;"_"&amp;Size&amp;"_"&amp;Linha_Criativa&amp;"_"&amp;IF(Servido_Por="portal",Veiculo,"adserver"))</f>
        <v>vw____adserver</v>
      </c>
      <c r="AP5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3" s="22" t="str">
        <f t="shared" si="1"/>
        <v/>
      </c>
      <c r="AS543" s="22" t="str">
        <f t="shared" si="2"/>
        <v/>
      </c>
      <c r="AT543" s="22" t="str">
        <f t="shared" si="3"/>
        <v>BR_IMC_DSY_LANCH_ND_NC_2020Q3AUG_NVS_Nivus-Launch-Consideracao</v>
      </c>
      <c r="AU543" s="22" t="str">
        <f t="shared" si="4"/>
        <v>#N/A</v>
      </c>
      <c r="AV543" s="22" t="s">
        <v>106</v>
      </c>
      <c r="AW5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3" s="22" t="str">
        <f t="shared" si="5"/>
        <v>BR_IMC_DSY_LANCH_ND_NC_2020Q3AUG_NVS_Nivus-Launch-Consideracao</v>
      </c>
      <c r="AY543" s="28" t="str">
        <f t="shared" si="6"/>
        <v>#N/A</v>
      </c>
      <c r="AZ543" s="22" t="s">
        <v>107</v>
      </c>
      <c r="BA543" s="22" t="s">
        <v>108</v>
      </c>
      <c r="BB543" s="31" t="s">
        <v>109</v>
      </c>
      <c r="BC543" s="31" t="s">
        <v>109</v>
      </c>
      <c r="BD543" s="32" t="str">
        <f t="shared" si="8"/>
        <v>nvl-nvs-imc-dsy-0820-10537</v>
      </c>
      <c r="BE543" s="33"/>
      <c r="BF543" s="33"/>
      <c r="BG543" s="39" t="str">
        <f>URL&amp;IF(ISNUMBER(FIND("?",URL)),"&amp;","?"&amp;("adlid="&amp;Unique_ID&amp;"&amp;adplt="&amp;Placement))</f>
        <v>#N/A</v>
      </c>
      <c r="BH543" s="1"/>
      <c r="BI543" s="1"/>
      <c r="BJ543" s="35" t="str">
        <f>LOWER("alp"&amp;"_"&amp;"vw"&amp;"_"&amp;Veiculo&amp;"_"&amp;C539&amp;"_"&amp;Objetivo)</f>
        <v>alp_vw___</v>
      </c>
      <c r="BK543" s="35" t="str">
        <f>LOWER(Buying_Metric&amp;"_"&amp;VLOOKUP(Buying_Type,Buy_type,2,FALSE)&amp;"_"&amp;Device&amp;"_"&amp;Size&amp;"_"&amp;Segmentação&amp;"_"&amp;Segmentação_Anúncio)</f>
        <v>#N/A</v>
      </c>
      <c r="BL543" s="35" t="str">
        <f>LOWER(Campanha_ou_InsertionOrder&amp;"_"&amp;LineItem_ou_Grupodeanúncio&amp;"_"&amp;Linha_criativa_2&amp;"_"&amp;Unique_ID)</f>
        <v>#N/A</v>
      </c>
      <c r="BM543" s="27"/>
      <c r="BN543" s="27"/>
    </row>
    <row r="544">
      <c r="A544" s="1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8" t="str">
        <f>LOWER(Campanha_ou_InsertionOrder&amp;"_"&amp;LineItem_ou_Grupodeanúncio&amp;"_"&amp;Linha_Criativa&amp;"_"&amp;Unique_ID)</f>
        <v>#N/A</v>
      </c>
      <c r="AN544" s="28" t="str">
        <f>LOWER(Campanha_ou_InsertionOrder&amp;"_"&amp;LineItem_ou_Grupodeanúncio&amp;"_"&amp;Linha_Criativa&amp;"_"&amp;Unique_ID)</f>
        <v>#N/A</v>
      </c>
      <c r="AO544" s="28" t="str">
        <f>LOWER("VW"&amp;"_"&amp;Model_Variant&amp;"_"&amp;Size&amp;"_"&amp;Linha_Criativa&amp;"_"&amp;IF(Servido_Por="portal",Veiculo,"adserver"))</f>
        <v>vw____adserver</v>
      </c>
      <c r="AP5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4" s="22" t="str">
        <f t="shared" si="1"/>
        <v/>
      </c>
      <c r="AS544" s="22" t="str">
        <f t="shared" si="2"/>
        <v/>
      </c>
      <c r="AT544" s="22" t="str">
        <f t="shared" si="3"/>
        <v>BR_IMC_DSY_LANCH_ND_NC_2020Q3AUG_NVS_Nivus-Launch-Consideracao</v>
      </c>
      <c r="AU544" s="22" t="str">
        <f t="shared" si="4"/>
        <v>#N/A</v>
      </c>
      <c r="AV544" s="22" t="s">
        <v>106</v>
      </c>
      <c r="AW5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4" s="22" t="str">
        <f t="shared" si="5"/>
        <v>BR_IMC_DSY_LANCH_ND_NC_2020Q3AUG_NVS_Nivus-Launch-Consideracao</v>
      </c>
      <c r="AY544" s="28" t="str">
        <f t="shared" si="6"/>
        <v>#N/A</v>
      </c>
      <c r="AZ544" s="22" t="s">
        <v>107</v>
      </c>
      <c r="BA544" s="22" t="s">
        <v>108</v>
      </c>
      <c r="BB544" s="31" t="s">
        <v>109</v>
      </c>
      <c r="BC544" s="31" t="s">
        <v>109</v>
      </c>
      <c r="BD544" s="32" t="str">
        <f t="shared" si="8"/>
        <v>nvl-nvs-imc-dsy-0820-10538</v>
      </c>
      <c r="BE544" s="33"/>
      <c r="BF544" s="33"/>
      <c r="BG544" s="39" t="str">
        <f>URL&amp;IF(ISNUMBER(FIND("?",URL)),"&amp;","?"&amp;("adlid="&amp;Unique_ID&amp;"&amp;adplt="&amp;Placement))</f>
        <v>#N/A</v>
      </c>
      <c r="BH544" s="1"/>
      <c r="BI544" s="1"/>
      <c r="BJ544" s="35" t="str">
        <f>LOWER("alp"&amp;"_"&amp;"vw"&amp;"_"&amp;Veiculo&amp;"_"&amp;C540&amp;"_"&amp;Objetivo)</f>
        <v>alp_vw___</v>
      </c>
      <c r="BK544" s="35" t="str">
        <f>LOWER(Buying_Metric&amp;"_"&amp;VLOOKUP(Buying_Type,Buy_type,2,FALSE)&amp;"_"&amp;Device&amp;"_"&amp;Size&amp;"_"&amp;Segmentação&amp;"_"&amp;Segmentação_Anúncio)</f>
        <v>#N/A</v>
      </c>
      <c r="BL544" s="35" t="str">
        <f>LOWER(Campanha_ou_InsertionOrder&amp;"_"&amp;LineItem_ou_Grupodeanúncio&amp;"_"&amp;Linha_criativa_2&amp;"_"&amp;Unique_ID)</f>
        <v>#N/A</v>
      </c>
      <c r="BM544" s="27"/>
      <c r="BN544" s="27"/>
    </row>
    <row r="545">
      <c r="A545" s="1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8" t="str">
        <f>LOWER(Campanha_ou_InsertionOrder&amp;"_"&amp;LineItem_ou_Grupodeanúncio&amp;"_"&amp;Linha_Criativa&amp;"_"&amp;Unique_ID)</f>
        <v>#N/A</v>
      </c>
      <c r="AN545" s="28" t="str">
        <f>LOWER(Campanha_ou_InsertionOrder&amp;"_"&amp;LineItem_ou_Grupodeanúncio&amp;"_"&amp;Linha_Criativa&amp;"_"&amp;Unique_ID)</f>
        <v>#N/A</v>
      </c>
      <c r="AO545" s="28" t="str">
        <f>LOWER("VW"&amp;"_"&amp;Model_Variant&amp;"_"&amp;Size&amp;"_"&amp;Linha_Criativa&amp;"_"&amp;IF(Servido_Por="portal",Veiculo,"adserver"))</f>
        <v>vw____adserver</v>
      </c>
      <c r="AP5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5" s="22" t="str">
        <f t="shared" si="1"/>
        <v/>
      </c>
      <c r="AS545" s="22" t="str">
        <f t="shared" si="2"/>
        <v/>
      </c>
      <c r="AT545" s="22" t="str">
        <f t="shared" si="3"/>
        <v>BR_IMC_DSY_LANCH_ND_NC_2020Q3AUG_NVS_Nivus-Launch-Consideracao</v>
      </c>
      <c r="AU545" s="22" t="str">
        <f t="shared" si="4"/>
        <v>#N/A</v>
      </c>
      <c r="AV545" s="22" t="s">
        <v>106</v>
      </c>
      <c r="AW5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5" s="22" t="str">
        <f t="shared" si="5"/>
        <v>BR_IMC_DSY_LANCH_ND_NC_2020Q3AUG_NVS_Nivus-Launch-Consideracao</v>
      </c>
      <c r="AY545" s="28" t="str">
        <f t="shared" si="6"/>
        <v>#N/A</v>
      </c>
      <c r="AZ545" s="22" t="s">
        <v>107</v>
      </c>
      <c r="BA545" s="22" t="s">
        <v>108</v>
      </c>
      <c r="BB545" s="31" t="s">
        <v>109</v>
      </c>
      <c r="BC545" s="31" t="s">
        <v>109</v>
      </c>
      <c r="BD545" s="32" t="str">
        <f t="shared" si="8"/>
        <v>nvl-nvs-imc-dsy-0820-10539</v>
      </c>
      <c r="BE545" s="33"/>
      <c r="BF545" s="33"/>
      <c r="BG545" s="39" t="str">
        <f>URL&amp;IF(ISNUMBER(FIND("?",URL)),"&amp;","?"&amp;("adlid="&amp;Unique_ID&amp;"&amp;adplt="&amp;Placement))</f>
        <v>#N/A</v>
      </c>
      <c r="BH545" s="1"/>
      <c r="BI545" s="1"/>
      <c r="BJ545" s="35" t="str">
        <f>LOWER("alp"&amp;"_"&amp;"vw"&amp;"_"&amp;Veiculo&amp;"_"&amp;C541&amp;"_"&amp;Objetivo)</f>
        <v>alp_vw___</v>
      </c>
      <c r="BK545" s="35" t="str">
        <f>LOWER(Buying_Metric&amp;"_"&amp;VLOOKUP(Buying_Type,Buy_type,2,FALSE)&amp;"_"&amp;Device&amp;"_"&amp;Size&amp;"_"&amp;Segmentação&amp;"_"&amp;Segmentação_Anúncio)</f>
        <v>#N/A</v>
      </c>
      <c r="BL545" s="35" t="str">
        <f>LOWER(Campanha_ou_InsertionOrder&amp;"_"&amp;LineItem_ou_Grupodeanúncio&amp;"_"&amp;Linha_criativa_2&amp;"_"&amp;Unique_ID)</f>
        <v>#N/A</v>
      </c>
      <c r="BM545" s="27"/>
      <c r="BN545" s="27"/>
    </row>
    <row r="546">
      <c r="A546" s="1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8" t="str">
        <f>LOWER(Campanha_ou_InsertionOrder&amp;"_"&amp;LineItem_ou_Grupodeanúncio&amp;"_"&amp;Linha_Criativa&amp;"_"&amp;Unique_ID)</f>
        <v>#N/A</v>
      </c>
      <c r="AN546" s="28" t="str">
        <f>LOWER(Campanha_ou_InsertionOrder&amp;"_"&amp;LineItem_ou_Grupodeanúncio&amp;"_"&amp;Linha_Criativa&amp;"_"&amp;Unique_ID)</f>
        <v>#N/A</v>
      </c>
      <c r="AO546" s="28" t="str">
        <f>LOWER("VW"&amp;"_"&amp;Model_Variant&amp;"_"&amp;Size&amp;"_"&amp;Linha_Criativa&amp;"_"&amp;IF(Servido_Por="portal",Veiculo,"adserver"))</f>
        <v>vw____adserver</v>
      </c>
      <c r="AP5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6" s="22" t="str">
        <f t="shared" si="1"/>
        <v/>
      </c>
      <c r="AS546" s="22" t="str">
        <f t="shared" si="2"/>
        <v/>
      </c>
      <c r="AT546" s="22" t="str">
        <f t="shared" si="3"/>
        <v>BR_IMC_DSY_LANCH_ND_NC_2020Q3AUG_NVS_Nivus-Launch-Consideracao</v>
      </c>
      <c r="AU546" s="22" t="str">
        <f t="shared" si="4"/>
        <v>#N/A</v>
      </c>
      <c r="AV546" s="22" t="s">
        <v>106</v>
      </c>
      <c r="AW5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6" s="22" t="str">
        <f t="shared" si="5"/>
        <v>BR_IMC_DSY_LANCH_ND_NC_2020Q3AUG_NVS_Nivus-Launch-Consideracao</v>
      </c>
      <c r="AY546" s="28" t="str">
        <f t="shared" si="6"/>
        <v>#N/A</v>
      </c>
      <c r="AZ546" s="22" t="s">
        <v>107</v>
      </c>
      <c r="BA546" s="22" t="s">
        <v>108</v>
      </c>
      <c r="BB546" s="31" t="s">
        <v>109</v>
      </c>
      <c r="BC546" s="31" t="s">
        <v>109</v>
      </c>
      <c r="BD546" s="32" t="str">
        <f t="shared" si="8"/>
        <v>nvl-nvs-imc-dsy-0820-10540</v>
      </c>
      <c r="BE546" s="33"/>
      <c r="BF546" s="33"/>
      <c r="BG546" s="39" t="str">
        <f>URL&amp;IF(ISNUMBER(FIND("?",URL)),"&amp;","?"&amp;("adlid="&amp;Unique_ID&amp;"&amp;adplt="&amp;Placement))</f>
        <v>#N/A</v>
      </c>
      <c r="BH546" s="1"/>
      <c r="BI546" s="1"/>
      <c r="BJ546" s="35" t="str">
        <f>LOWER("alp"&amp;"_"&amp;"vw"&amp;"_"&amp;Veiculo&amp;"_"&amp;C542&amp;"_"&amp;Objetivo)</f>
        <v>alp_vw___</v>
      </c>
      <c r="BK546" s="35" t="str">
        <f>LOWER(Buying_Metric&amp;"_"&amp;VLOOKUP(Buying_Type,Buy_type,2,FALSE)&amp;"_"&amp;Device&amp;"_"&amp;Size&amp;"_"&amp;Segmentação&amp;"_"&amp;Segmentação_Anúncio)</f>
        <v>#N/A</v>
      </c>
      <c r="BL546" s="35" t="str">
        <f>LOWER(Campanha_ou_InsertionOrder&amp;"_"&amp;LineItem_ou_Grupodeanúncio&amp;"_"&amp;Linha_criativa_2&amp;"_"&amp;Unique_ID)</f>
        <v>#N/A</v>
      </c>
      <c r="BM546" s="27"/>
      <c r="BN546" s="27"/>
    </row>
    <row r="547">
      <c r="A547" s="1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8" t="str">
        <f>LOWER(Campanha_ou_InsertionOrder&amp;"_"&amp;LineItem_ou_Grupodeanúncio&amp;"_"&amp;Linha_Criativa&amp;"_"&amp;Unique_ID)</f>
        <v>#N/A</v>
      </c>
      <c r="AN547" s="28" t="str">
        <f>LOWER(Campanha_ou_InsertionOrder&amp;"_"&amp;LineItem_ou_Grupodeanúncio&amp;"_"&amp;Linha_Criativa&amp;"_"&amp;Unique_ID)</f>
        <v>#N/A</v>
      </c>
      <c r="AO547" s="28" t="str">
        <f>LOWER("VW"&amp;"_"&amp;Model_Variant&amp;"_"&amp;Size&amp;"_"&amp;Linha_Criativa&amp;"_"&amp;IF(Servido_Por="portal",Veiculo,"adserver"))</f>
        <v>vw____adserver</v>
      </c>
      <c r="AP5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7" s="22" t="str">
        <f t="shared" si="1"/>
        <v/>
      </c>
      <c r="AS547" s="22" t="str">
        <f t="shared" si="2"/>
        <v/>
      </c>
      <c r="AT547" s="22" t="str">
        <f t="shared" si="3"/>
        <v>BR_IMC_DSY_LANCH_ND_NC_2020Q3AUG_NVS_Nivus-Launch-Consideracao</v>
      </c>
      <c r="AU547" s="22" t="str">
        <f t="shared" si="4"/>
        <v>#N/A</v>
      </c>
      <c r="AV547" s="22" t="s">
        <v>106</v>
      </c>
      <c r="AW5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7" s="22" t="str">
        <f t="shared" si="5"/>
        <v>BR_IMC_DSY_LANCH_ND_NC_2020Q3AUG_NVS_Nivus-Launch-Consideracao</v>
      </c>
      <c r="AY547" s="28" t="str">
        <f t="shared" si="6"/>
        <v>#N/A</v>
      </c>
      <c r="AZ547" s="22" t="s">
        <v>107</v>
      </c>
      <c r="BA547" s="22" t="s">
        <v>108</v>
      </c>
      <c r="BB547" s="31" t="s">
        <v>109</v>
      </c>
      <c r="BC547" s="31" t="s">
        <v>109</v>
      </c>
      <c r="BD547" s="32" t="str">
        <f t="shared" si="8"/>
        <v>nvl-nvs-imc-dsy-0820-10541</v>
      </c>
      <c r="BE547" s="33"/>
      <c r="BF547" s="33"/>
      <c r="BG547" s="39" t="str">
        <f>URL&amp;IF(ISNUMBER(FIND("?",URL)),"&amp;","?"&amp;("adlid="&amp;Unique_ID&amp;"&amp;adplt="&amp;Placement))</f>
        <v>#N/A</v>
      </c>
      <c r="BH547" s="1"/>
      <c r="BI547" s="1"/>
      <c r="BJ547" s="35" t="str">
        <f>LOWER("alp"&amp;"_"&amp;"vw"&amp;"_"&amp;Veiculo&amp;"_"&amp;C543&amp;"_"&amp;Objetivo)</f>
        <v>alp_vw___</v>
      </c>
      <c r="BK547" s="35" t="str">
        <f>LOWER(Buying_Metric&amp;"_"&amp;VLOOKUP(Buying_Type,Buy_type,2,FALSE)&amp;"_"&amp;Device&amp;"_"&amp;Size&amp;"_"&amp;Segmentação&amp;"_"&amp;Segmentação_Anúncio)</f>
        <v>#N/A</v>
      </c>
      <c r="BL547" s="35" t="str">
        <f>LOWER(Campanha_ou_InsertionOrder&amp;"_"&amp;LineItem_ou_Grupodeanúncio&amp;"_"&amp;Linha_criativa_2&amp;"_"&amp;Unique_ID)</f>
        <v>#N/A</v>
      </c>
      <c r="BM547" s="27"/>
      <c r="BN547" s="27"/>
    </row>
    <row r="548">
      <c r="A548" s="1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8" t="str">
        <f>LOWER(Campanha_ou_InsertionOrder&amp;"_"&amp;LineItem_ou_Grupodeanúncio&amp;"_"&amp;Linha_Criativa&amp;"_"&amp;Unique_ID)</f>
        <v>#N/A</v>
      </c>
      <c r="AN548" s="28" t="str">
        <f>LOWER(Campanha_ou_InsertionOrder&amp;"_"&amp;LineItem_ou_Grupodeanúncio&amp;"_"&amp;Linha_Criativa&amp;"_"&amp;Unique_ID)</f>
        <v>#N/A</v>
      </c>
      <c r="AO548" s="28" t="str">
        <f>LOWER("VW"&amp;"_"&amp;Model_Variant&amp;"_"&amp;Size&amp;"_"&amp;Linha_Criativa&amp;"_"&amp;IF(Servido_Por="portal",Veiculo,"adserver"))</f>
        <v>vw____adserver</v>
      </c>
      <c r="AP5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8" s="22" t="str">
        <f t="shared" si="1"/>
        <v/>
      </c>
      <c r="AS548" s="22" t="str">
        <f t="shared" si="2"/>
        <v/>
      </c>
      <c r="AT548" s="22" t="str">
        <f t="shared" si="3"/>
        <v>BR_IMC_DSY_LANCH_ND_NC_2020Q3AUG_NVS_Nivus-Launch-Consideracao</v>
      </c>
      <c r="AU548" s="22" t="str">
        <f t="shared" si="4"/>
        <v>#N/A</v>
      </c>
      <c r="AV548" s="22" t="s">
        <v>106</v>
      </c>
      <c r="AW5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8" s="22" t="str">
        <f t="shared" si="5"/>
        <v>BR_IMC_DSY_LANCH_ND_NC_2020Q3AUG_NVS_Nivus-Launch-Consideracao</v>
      </c>
      <c r="AY548" s="28" t="str">
        <f t="shared" si="6"/>
        <v>#N/A</v>
      </c>
      <c r="AZ548" s="22" t="s">
        <v>107</v>
      </c>
      <c r="BA548" s="22" t="s">
        <v>108</v>
      </c>
      <c r="BB548" s="31" t="s">
        <v>109</v>
      </c>
      <c r="BC548" s="31" t="s">
        <v>109</v>
      </c>
      <c r="BD548" s="32" t="str">
        <f t="shared" si="8"/>
        <v>nvl-nvs-imc-dsy-0820-10542</v>
      </c>
      <c r="BE548" s="33"/>
      <c r="BF548" s="33"/>
      <c r="BG548" s="39" t="str">
        <f>URL&amp;IF(ISNUMBER(FIND("?",URL)),"&amp;","?"&amp;("adlid="&amp;Unique_ID&amp;"&amp;adplt="&amp;Placement))</f>
        <v>#N/A</v>
      </c>
      <c r="BH548" s="1"/>
      <c r="BI548" s="1"/>
      <c r="BJ548" s="35" t="str">
        <f>LOWER("alp"&amp;"_"&amp;"vw"&amp;"_"&amp;Veiculo&amp;"_"&amp;C544&amp;"_"&amp;Objetivo)</f>
        <v>alp_vw___</v>
      </c>
      <c r="BK548" s="35" t="str">
        <f>LOWER(Buying_Metric&amp;"_"&amp;VLOOKUP(Buying_Type,Buy_type,2,FALSE)&amp;"_"&amp;Device&amp;"_"&amp;Size&amp;"_"&amp;Segmentação&amp;"_"&amp;Segmentação_Anúncio)</f>
        <v>#N/A</v>
      </c>
      <c r="BL548" s="35" t="str">
        <f>LOWER(Campanha_ou_InsertionOrder&amp;"_"&amp;LineItem_ou_Grupodeanúncio&amp;"_"&amp;Linha_criativa_2&amp;"_"&amp;Unique_ID)</f>
        <v>#N/A</v>
      </c>
      <c r="BM548" s="27"/>
      <c r="BN548" s="27"/>
    </row>
    <row r="549">
      <c r="A549" s="1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8" t="str">
        <f>LOWER(Campanha_ou_InsertionOrder&amp;"_"&amp;LineItem_ou_Grupodeanúncio&amp;"_"&amp;Linha_Criativa&amp;"_"&amp;Unique_ID)</f>
        <v>#N/A</v>
      </c>
      <c r="AN549" s="28" t="str">
        <f>LOWER(Campanha_ou_InsertionOrder&amp;"_"&amp;LineItem_ou_Grupodeanúncio&amp;"_"&amp;Linha_Criativa&amp;"_"&amp;Unique_ID)</f>
        <v>#N/A</v>
      </c>
      <c r="AO549" s="28" t="str">
        <f>LOWER("VW"&amp;"_"&amp;Model_Variant&amp;"_"&amp;Size&amp;"_"&amp;Linha_Criativa&amp;"_"&amp;IF(Servido_Por="portal",Veiculo,"adserver"))</f>
        <v>vw____adserver</v>
      </c>
      <c r="AP5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49" s="22" t="str">
        <f t="shared" si="1"/>
        <v/>
      </c>
      <c r="AS549" s="22" t="str">
        <f t="shared" si="2"/>
        <v/>
      </c>
      <c r="AT549" s="22" t="str">
        <f t="shared" si="3"/>
        <v>BR_IMC_DSY_LANCH_ND_NC_2020Q3AUG_NVS_Nivus-Launch-Consideracao</v>
      </c>
      <c r="AU549" s="22" t="str">
        <f t="shared" si="4"/>
        <v>#N/A</v>
      </c>
      <c r="AV549" s="22" t="s">
        <v>106</v>
      </c>
      <c r="AW5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49" s="22" t="str">
        <f t="shared" si="5"/>
        <v>BR_IMC_DSY_LANCH_ND_NC_2020Q3AUG_NVS_Nivus-Launch-Consideracao</v>
      </c>
      <c r="AY549" s="28" t="str">
        <f t="shared" si="6"/>
        <v>#N/A</v>
      </c>
      <c r="AZ549" s="22" t="s">
        <v>107</v>
      </c>
      <c r="BA549" s="22" t="s">
        <v>108</v>
      </c>
      <c r="BB549" s="31" t="s">
        <v>109</v>
      </c>
      <c r="BC549" s="31" t="s">
        <v>109</v>
      </c>
      <c r="BD549" s="32" t="str">
        <f t="shared" si="8"/>
        <v>nvl-nvs-imc-dsy-0820-10543</v>
      </c>
      <c r="BE549" s="33"/>
      <c r="BF549" s="33"/>
      <c r="BG549" s="39" t="str">
        <f>URL&amp;IF(ISNUMBER(FIND("?",URL)),"&amp;","?"&amp;("adlid="&amp;Unique_ID&amp;"&amp;adplt="&amp;Placement))</f>
        <v>#N/A</v>
      </c>
      <c r="BH549" s="1"/>
      <c r="BI549" s="1"/>
      <c r="BJ549" s="35" t="str">
        <f>LOWER("alp"&amp;"_"&amp;"vw"&amp;"_"&amp;Veiculo&amp;"_"&amp;C545&amp;"_"&amp;Objetivo)</f>
        <v>alp_vw___</v>
      </c>
      <c r="BK549" s="35" t="str">
        <f>LOWER(Buying_Metric&amp;"_"&amp;VLOOKUP(Buying_Type,Buy_type,2,FALSE)&amp;"_"&amp;Device&amp;"_"&amp;Size&amp;"_"&amp;Segmentação&amp;"_"&amp;Segmentação_Anúncio)</f>
        <v>#N/A</v>
      </c>
      <c r="BL549" s="35" t="str">
        <f>LOWER(Campanha_ou_InsertionOrder&amp;"_"&amp;LineItem_ou_Grupodeanúncio&amp;"_"&amp;Linha_criativa_2&amp;"_"&amp;Unique_ID)</f>
        <v>#N/A</v>
      </c>
      <c r="BM549" s="27"/>
      <c r="BN549" s="27"/>
    </row>
    <row r="550">
      <c r="A550" s="1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8" t="str">
        <f>LOWER(Campanha_ou_InsertionOrder&amp;"_"&amp;LineItem_ou_Grupodeanúncio&amp;"_"&amp;Linha_Criativa&amp;"_"&amp;Unique_ID)</f>
        <v>#N/A</v>
      </c>
      <c r="AN550" s="28" t="str">
        <f>LOWER(Campanha_ou_InsertionOrder&amp;"_"&amp;LineItem_ou_Grupodeanúncio&amp;"_"&amp;Linha_Criativa&amp;"_"&amp;Unique_ID)</f>
        <v>#N/A</v>
      </c>
      <c r="AO550" s="28" t="str">
        <f>LOWER("VW"&amp;"_"&amp;Model_Variant&amp;"_"&amp;Size&amp;"_"&amp;Linha_Criativa&amp;"_"&amp;IF(Servido_Por="portal",Veiculo,"adserver"))</f>
        <v>vw____adserver</v>
      </c>
      <c r="AP5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0" s="22" t="str">
        <f t="shared" si="1"/>
        <v/>
      </c>
      <c r="AS550" s="22" t="str">
        <f t="shared" si="2"/>
        <v/>
      </c>
      <c r="AT550" s="22" t="str">
        <f t="shared" si="3"/>
        <v>BR_IMC_DSY_LANCH_ND_NC_2020Q3AUG_NVS_Nivus-Launch-Consideracao</v>
      </c>
      <c r="AU550" s="22" t="str">
        <f t="shared" si="4"/>
        <v>#N/A</v>
      </c>
      <c r="AV550" s="22" t="s">
        <v>106</v>
      </c>
      <c r="AW5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0" s="22" t="str">
        <f t="shared" si="5"/>
        <v>BR_IMC_DSY_LANCH_ND_NC_2020Q3AUG_NVS_Nivus-Launch-Consideracao</v>
      </c>
      <c r="AY550" s="28" t="str">
        <f t="shared" si="6"/>
        <v>#N/A</v>
      </c>
      <c r="AZ550" s="22" t="s">
        <v>107</v>
      </c>
      <c r="BA550" s="22" t="s">
        <v>108</v>
      </c>
      <c r="BB550" s="31" t="s">
        <v>109</v>
      </c>
      <c r="BC550" s="31" t="s">
        <v>109</v>
      </c>
      <c r="BD550" s="32" t="str">
        <f t="shared" si="8"/>
        <v>nvl-nvs-imc-dsy-0820-10544</v>
      </c>
      <c r="BE550" s="33"/>
      <c r="BF550" s="33"/>
      <c r="BG550" s="39" t="str">
        <f>URL&amp;IF(ISNUMBER(FIND("?",URL)),"&amp;","?"&amp;("adlid="&amp;Unique_ID&amp;"&amp;adplt="&amp;Placement))</f>
        <v>#N/A</v>
      </c>
      <c r="BH550" s="1"/>
      <c r="BI550" s="1"/>
      <c r="BJ550" s="35" t="str">
        <f>LOWER("alp"&amp;"_"&amp;"vw"&amp;"_"&amp;Veiculo&amp;"_"&amp;C546&amp;"_"&amp;Objetivo)</f>
        <v>alp_vw___</v>
      </c>
      <c r="BK550" s="35" t="str">
        <f>LOWER(Buying_Metric&amp;"_"&amp;VLOOKUP(Buying_Type,Buy_type,2,FALSE)&amp;"_"&amp;Device&amp;"_"&amp;Size&amp;"_"&amp;Segmentação&amp;"_"&amp;Segmentação_Anúncio)</f>
        <v>#N/A</v>
      </c>
      <c r="BL550" s="35" t="str">
        <f>LOWER(Campanha_ou_InsertionOrder&amp;"_"&amp;LineItem_ou_Grupodeanúncio&amp;"_"&amp;Linha_criativa_2&amp;"_"&amp;Unique_ID)</f>
        <v>#N/A</v>
      </c>
      <c r="BM550" s="27"/>
      <c r="BN550" s="27"/>
    </row>
    <row r="551">
      <c r="A551" s="1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8" t="str">
        <f>LOWER(Campanha_ou_InsertionOrder&amp;"_"&amp;LineItem_ou_Grupodeanúncio&amp;"_"&amp;Linha_Criativa&amp;"_"&amp;Unique_ID)</f>
        <v>#N/A</v>
      </c>
      <c r="AN551" s="28" t="str">
        <f>LOWER(Campanha_ou_InsertionOrder&amp;"_"&amp;LineItem_ou_Grupodeanúncio&amp;"_"&amp;Linha_Criativa&amp;"_"&amp;Unique_ID)</f>
        <v>#N/A</v>
      </c>
      <c r="AO551" s="28" t="str">
        <f>LOWER("VW"&amp;"_"&amp;Model_Variant&amp;"_"&amp;Size&amp;"_"&amp;Linha_Criativa&amp;"_"&amp;IF(Servido_Por="portal",Veiculo,"adserver"))</f>
        <v>vw____adserver</v>
      </c>
      <c r="AP5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1" s="22" t="str">
        <f t="shared" si="1"/>
        <v/>
      </c>
      <c r="AS551" s="22" t="str">
        <f t="shared" si="2"/>
        <v/>
      </c>
      <c r="AT551" s="22" t="str">
        <f t="shared" si="3"/>
        <v>BR_IMC_DSY_LANCH_ND_NC_2020Q3AUG_NVS_Nivus-Launch-Consideracao</v>
      </c>
      <c r="AU551" s="22" t="str">
        <f t="shared" si="4"/>
        <v>#N/A</v>
      </c>
      <c r="AV551" s="22" t="s">
        <v>106</v>
      </c>
      <c r="AW5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1" s="22" t="str">
        <f t="shared" si="5"/>
        <v>BR_IMC_DSY_LANCH_ND_NC_2020Q3AUG_NVS_Nivus-Launch-Consideracao</v>
      </c>
      <c r="AY551" s="28" t="str">
        <f t="shared" si="6"/>
        <v>#N/A</v>
      </c>
      <c r="AZ551" s="22" t="s">
        <v>107</v>
      </c>
      <c r="BA551" s="22" t="s">
        <v>108</v>
      </c>
      <c r="BB551" s="31" t="s">
        <v>109</v>
      </c>
      <c r="BC551" s="31" t="s">
        <v>109</v>
      </c>
      <c r="BD551" s="32" t="str">
        <f t="shared" si="8"/>
        <v>nvl-nvs-imc-dsy-0820-10545</v>
      </c>
      <c r="BE551" s="33"/>
      <c r="BF551" s="33"/>
      <c r="BG551" s="39" t="str">
        <f>URL&amp;IF(ISNUMBER(FIND("?",URL)),"&amp;","?"&amp;("adlid="&amp;Unique_ID&amp;"&amp;adplt="&amp;Placement))</f>
        <v>#N/A</v>
      </c>
      <c r="BH551" s="1"/>
      <c r="BI551" s="1"/>
      <c r="BJ551" s="35" t="str">
        <f>LOWER("alp"&amp;"_"&amp;"vw"&amp;"_"&amp;Veiculo&amp;"_"&amp;C547&amp;"_"&amp;Objetivo)</f>
        <v>alp_vw___</v>
      </c>
      <c r="BK551" s="35" t="str">
        <f>LOWER(Buying_Metric&amp;"_"&amp;VLOOKUP(Buying_Type,Buy_type,2,FALSE)&amp;"_"&amp;Device&amp;"_"&amp;Size&amp;"_"&amp;Segmentação&amp;"_"&amp;Segmentação_Anúncio)</f>
        <v>#N/A</v>
      </c>
      <c r="BL551" s="35" t="str">
        <f>LOWER(Campanha_ou_InsertionOrder&amp;"_"&amp;LineItem_ou_Grupodeanúncio&amp;"_"&amp;Linha_criativa_2&amp;"_"&amp;Unique_ID)</f>
        <v>#N/A</v>
      </c>
      <c r="BM551" s="27"/>
      <c r="BN551" s="27"/>
    </row>
    <row r="552">
      <c r="A552" s="1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8" t="str">
        <f>LOWER(Campanha_ou_InsertionOrder&amp;"_"&amp;LineItem_ou_Grupodeanúncio&amp;"_"&amp;Linha_Criativa&amp;"_"&amp;Unique_ID)</f>
        <v>#N/A</v>
      </c>
      <c r="AN552" s="28" t="str">
        <f>LOWER(Campanha_ou_InsertionOrder&amp;"_"&amp;LineItem_ou_Grupodeanúncio&amp;"_"&amp;Linha_Criativa&amp;"_"&amp;Unique_ID)</f>
        <v>#N/A</v>
      </c>
      <c r="AO552" s="28" t="str">
        <f>LOWER("VW"&amp;"_"&amp;Model_Variant&amp;"_"&amp;Size&amp;"_"&amp;Linha_Criativa&amp;"_"&amp;IF(Servido_Por="portal",Veiculo,"adserver"))</f>
        <v>vw____adserver</v>
      </c>
      <c r="AP5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2" s="22" t="str">
        <f t="shared" si="1"/>
        <v/>
      </c>
      <c r="AS552" s="22" t="str">
        <f t="shared" si="2"/>
        <v/>
      </c>
      <c r="AT552" s="22" t="str">
        <f t="shared" si="3"/>
        <v>BR_IMC_DSY_LANCH_ND_NC_2020Q3AUG_NVS_Nivus-Launch-Consideracao</v>
      </c>
      <c r="AU552" s="22" t="str">
        <f t="shared" si="4"/>
        <v>#N/A</v>
      </c>
      <c r="AV552" s="22" t="s">
        <v>106</v>
      </c>
      <c r="AW5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2" s="22" t="str">
        <f t="shared" si="5"/>
        <v>BR_IMC_DSY_LANCH_ND_NC_2020Q3AUG_NVS_Nivus-Launch-Consideracao</v>
      </c>
      <c r="AY552" s="28" t="str">
        <f t="shared" si="6"/>
        <v>#N/A</v>
      </c>
      <c r="AZ552" s="22" t="s">
        <v>107</v>
      </c>
      <c r="BA552" s="22" t="s">
        <v>108</v>
      </c>
      <c r="BB552" s="31" t="s">
        <v>109</v>
      </c>
      <c r="BC552" s="31" t="s">
        <v>109</v>
      </c>
      <c r="BD552" s="32" t="str">
        <f t="shared" si="8"/>
        <v>nvl-nvs-imc-dsy-0820-10546</v>
      </c>
      <c r="BE552" s="33"/>
      <c r="BF552" s="33"/>
      <c r="BG552" s="39" t="str">
        <f>URL&amp;IF(ISNUMBER(FIND("?",URL)),"&amp;","?"&amp;("adlid="&amp;Unique_ID&amp;"&amp;adplt="&amp;Placement))</f>
        <v>#N/A</v>
      </c>
      <c r="BH552" s="1"/>
      <c r="BI552" s="1"/>
      <c r="BJ552" s="35" t="str">
        <f>LOWER("alp"&amp;"_"&amp;"vw"&amp;"_"&amp;Veiculo&amp;"_"&amp;C548&amp;"_"&amp;Objetivo)</f>
        <v>alp_vw___</v>
      </c>
      <c r="BK552" s="35" t="str">
        <f>LOWER(Buying_Metric&amp;"_"&amp;VLOOKUP(Buying_Type,Buy_type,2,FALSE)&amp;"_"&amp;Device&amp;"_"&amp;Size&amp;"_"&amp;Segmentação&amp;"_"&amp;Segmentação_Anúncio)</f>
        <v>#N/A</v>
      </c>
      <c r="BL552" s="35" t="str">
        <f>LOWER(Campanha_ou_InsertionOrder&amp;"_"&amp;LineItem_ou_Grupodeanúncio&amp;"_"&amp;Linha_criativa_2&amp;"_"&amp;Unique_ID)</f>
        <v>#N/A</v>
      </c>
      <c r="BM552" s="27"/>
      <c r="BN552" s="27"/>
    </row>
    <row r="553">
      <c r="A553" s="1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8" t="str">
        <f>LOWER(Campanha_ou_InsertionOrder&amp;"_"&amp;LineItem_ou_Grupodeanúncio&amp;"_"&amp;Linha_Criativa&amp;"_"&amp;Unique_ID)</f>
        <v>#N/A</v>
      </c>
      <c r="AN553" s="28" t="str">
        <f>LOWER(Campanha_ou_InsertionOrder&amp;"_"&amp;LineItem_ou_Grupodeanúncio&amp;"_"&amp;Linha_Criativa&amp;"_"&amp;Unique_ID)</f>
        <v>#N/A</v>
      </c>
      <c r="AO553" s="28" t="str">
        <f>LOWER("VW"&amp;"_"&amp;Model_Variant&amp;"_"&amp;Size&amp;"_"&amp;Linha_Criativa&amp;"_"&amp;IF(Servido_Por="portal",Veiculo,"adserver"))</f>
        <v>vw____adserver</v>
      </c>
      <c r="AP5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3" s="22" t="str">
        <f t="shared" si="1"/>
        <v/>
      </c>
      <c r="AS553" s="22" t="str">
        <f t="shared" si="2"/>
        <v/>
      </c>
      <c r="AT553" s="22" t="str">
        <f t="shared" si="3"/>
        <v>BR_IMC_DSY_LANCH_ND_NC_2020Q3AUG_NVS_Nivus-Launch-Consideracao</v>
      </c>
      <c r="AU553" s="22" t="str">
        <f t="shared" si="4"/>
        <v>#N/A</v>
      </c>
      <c r="AV553" s="22" t="s">
        <v>106</v>
      </c>
      <c r="AW5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3" s="22" t="str">
        <f t="shared" si="5"/>
        <v>BR_IMC_DSY_LANCH_ND_NC_2020Q3AUG_NVS_Nivus-Launch-Consideracao</v>
      </c>
      <c r="AY553" s="28" t="str">
        <f t="shared" si="6"/>
        <v>#N/A</v>
      </c>
      <c r="AZ553" s="22" t="s">
        <v>107</v>
      </c>
      <c r="BA553" s="22" t="s">
        <v>108</v>
      </c>
      <c r="BB553" s="31" t="s">
        <v>109</v>
      </c>
      <c r="BC553" s="31" t="s">
        <v>109</v>
      </c>
      <c r="BD553" s="32" t="str">
        <f t="shared" si="8"/>
        <v>nvl-nvs-imc-dsy-0820-10547</v>
      </c>
      <c r="BE553" s="33"/>
      <c r="BF553" s="33"/>
      <c r="BG553" s="39" t="str">
        <f>URL&amp;IF(ISNUMBER(FIND("?",URL)),"&amp;","?"&amp;("adlid="&amp;Unique_ID&amp;"&amp;adplt="&amp;Placement))</f>
        <v>#N/A</v>
      </c>
      <c r="BH553" s="1"/>
      <c r="BI553" s="1"/>
      <c r="BJ553" s="35" t="str">
        <f>LOWER("alp"&amp;"_"&amp;"vw"&amp;"_"&amp;Veiculo&amp;"_"&amp;C549&amp;"_"&amp;Objetivo)</f>
        <v>alp_vw___</v>
      </c>
      <c r="BK553" s="35" t="str">
        <f>LOWER(Buying_Metric&amp;"_"&amp;VLOOKUP(Buying_Type,Buy_type,2,FALSE)&amp;"_"&amp;Device&amp;"_"&amp;Size&amp;"_"&amp;Segmentação&amp;"_"&amp;Segmentação_Anúncio)</f>
        <v>#N/A</v>
      </c>
      <c r="BL553" s="35" t="str">
        <f>LOWER(Campanha_ou_InsertionOrder&amp;"_"&amp;LineItem_ou_Grupodeanúncio&amp;"_"&amp;Linha_criativa_2&amp;"_"&amp;Unique_ID)</f>
        <v>#N/A</v>
      </c>
      <c r="BM553" s="27"/>
      <c r="BN553" s="27"/>
    </row>
    <row r="554">
      <c r="A554" s="1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8" t="str">
        <f>LOWER(Campanha_ou_InsertionOrder&amp;"_"&amp;LineItem_ou_Grupodeanúncio&amp;"_"&amp;Linha_Criativa&amp;"_"&amp;Unique_ID)</f>
        <v>#N/A</v>
      </c>
      <c r="AN554" s="28" t="str">
        <f>LOWER(Campanha_ou_InsertionOrder&amp;"_"&amp;LineItem_ou_Grupodeanúncio&amp;"_"&amp;Linha_Criativa&amp;"_"&amp;Unique_ID)</f>
        <v>#N/A</v>
      </c>
      <c r="AO554" s="28" t="str">
        <f>LOWER("VW"&amp;"_"&amp;Model_Variant&amp;"_"&amp;Size&amp;"_"&amp;Linha_Criativa&amp;"_"&amp;IF(Servido_Por="portal",Veiculo,"adserver"))</f>
        <v>vw____adserver</v>
      </c>
      <c r="AP5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4" s="22" t="str">
        <f t="shared" si="1"/>
        <v/>
      </c>
      <c r="AS554" s="22" t="str">
        <f t="shared" si="2"/>
        <v/>
      </c>
      <c r="AT554" s="22" t="str">
        <f t="shared" si="3"/>
        <v>BR_IMC_DSY_LANCH_ND_NC_2020Q3AUG_NVS_Nivus-Launch-Consideracao</v>
      </c>
      <c r="AU554" s="22" t="str">
        <f t="shared" si="4"/>
        <v>#N/A</v>
      </c>
      <c r="AV554" s="22" t="s">
        <v>106</v>
      </c>
      <c r="AW5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4" s="22" t="str">
        <f t="shared" si="5"/>
        <v>BR_IMC_DSY_LANCH_ND_NC_2020Q3AUG_NVS_Nivus-Launch-Consideracao</v>
      </c>
      <c r="AY554" s="28" t="str">
        <f t="shared" si="6"/>
        <v>#N/A</v>
      </c>
      <c r="AZ554" s="22" t="s">
        <v>107</v>
      </c>
      <c r="BA554" s="22" t="s">
        <v>108</v>
      </c>
      <c r="BB554" s="31" t="s">
        <v>109</v>
      </c>
      <c r="BC554" s="31" t="s">
        <v>109</v>
      </c>
      <c r="BD554" s="32" t="str">
        <f t="shared" si="8"/>
        <v>nvl-nvs-imc-dsy-0820-10548</v>
      </c>
      <c r="BE554" s="33"/>
      <c r="BF554" s="33"/>
      <c r="BG554" s="39" t="str">
        <f>URL&amp;IF(ISNUMBER(FIND("?",URL)),"&amp;","?"&amp;("adlid="&amp;Unique_ID&amp;"&amp;adplt="&amp;Placement))</f>
        <v>#N/A</v>
      </c>
      <c r="BH554" s="1"/>
      <c r="BI554" s="1"/>
      <c r="BJ554" s="35" t="str">
        <f>LOWER("alp"&amp;"_"&amp;"vw"&amp;"_"&amp;Veiculo&amp;"_"&amp;C550&amp;"_"&amp;Objetivo)</f>
        <v>alp_vw___</v>
      </c>
      <c r="BK554" s="35" t="str">
        <f>LOWER(Buying_Metric&amp;"_"&amp;VLOOKUP(Buying_Type,Buy_type,2,FALSE)&amp;"_"&amp;Device&amp;"_"&amp;Size&amp;"_"&amp;Segmentação&amp;"_"&amp;Segmentação_Anúncio)</f>
        <v>#N/A</v>
      </c>
      <c r="BL554" s="35" t="str">
        <f>LOWER(Campanha_ou_InsertionOrder&amp;"_"&amp;LineItem_ou_Grupodeanúncio&amp;"_"&amp;Linha_criativa_2&amp;"_"&amp;Unique_ID)</f>
        <v>#N/A</v>
      </c>
      <c r="BM554" s="27"/>
      <c r="BN554" s="27"/>
    </row>
    <row r="555">
      <c r="A555" s="1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8" t="str">
        <f>LOWER(Campanha_ou_InsertionOrder&amp;"_"&amp;LineItem_ou_Grupodeanúncio&amp;"_"&amp;Linha_Criativa&amp;"_"&amp;Unique_ID)</f>
        <v>#N/A</v>
      </c>
      <c r="AN555" s="28" t="str">
        <f>LOWER(Campanha_ou_InsertionOrder&amp;"_"&amp;LineItem_ou_Grupodeanúncio&amp;"_"&amp;Linha_Criativa&amp;"_"&amp;Unique_ID)</f>
        <v>#N/A</v>
      </c>
      <c r="AO555" s="28" t="str">
        <f>LOWER("VW"&amp;"_"&amp;Model_Variant&amp;"_"&amp;Size&amp;"_"&amp;Linha_Criativa&amp;"_"&amp;IF(Servido_Por="portal",Veiculo,"adserver"))</f>
        <v>vw____adserver</v>
      </c>
      <c r="AP5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5" s="22" t="str">
        <f t="shared" si="1"/>
        <v/>
      </c>
      <c r="AS555" s="22" t="str">
        <f t="shared" si="2"/>
        <v/>
      </c>
      <c r="AT555" s="22" t="str">
        <f t="shared" si="3"/>
        <v>BR_IMC_DSY_LANCH_ND_NC_2020Q3AUG_NVS_Nivus-Launch-Consideracao</v>
      </c>
      <c r="AU555" s="22" t="str">
        <f t="shared" si="4"/>
        <v>#N/A</v>
      </c>
      <c r="AV555" s="22" t="s">
        <v>106</v>
      </c>
      <c r="AW5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5" s="22" t="str">
        <f t="shared" si="5"/>
        <v>BR_IMC_DSY_LANCH_ND_NC_2020Q3AUG_NVS_Nivus-Launch-Consideracao</v>
      </c>
      <c r="AY555" s="28" t="str">
        <f t="shared" si="6"/>
        <v>#N/A</v>
      </c>
      <c r="AZ555" s="22" t="s">
        <v>107</v>
      </c>
      <c r="BA555" s="22" t="s">
        <v>108</v>
      </c>
      <c r="BB555" s="31" t="s">
        <v>109</v>
      </c>
      <c r="BC555" s="31" t="s">
        <v>109</v>
      </c>
      <c r="BD555" s="32" t="str">
        <f t="shared" si="8"/>
        <v>nvl-nvs-imc-dsy-0820-10549</v>
      </c>
      <c r="BE555" s="33"/>
      <c r="BF555" s="33"/>
      <c r="BG555" s="39" t="str">
        <f>URL&amp;IF(ISNUMBER(FIND("?",URL)),"&amp;","?"&amp;("adlid="&amp;Unique_ID&amp;"&amp;adplt="&amp;Placement))</f>
        <v>#N/A</v>
      </c>
      <c r="BH555" s="1"/>
      <c r="BI555" s="1"/>
      <c r="BJ555" s="35" t="str">
        <f>LOWER("alp"&amp;"_"&amp;"vw"&amp;"_"&amp;Veiculo&amp;"_"&amp;C551&amp;"_"&amp;Objetivo)</f>
        <v>alp_vw___</v>
      </c>
      <c r="BK555" s="35" t="str">
        <f>LOWER(Buying_Metric&amp;"_"&amp;VLOOKUP(Buying_Type,Buy_type,2,FALSE)&amp;"_"&amp;Device&amp;"_"&amp;Size&amp;"_"&amp;Segmentação&amp;"_"&amp;Segmentação_Anúncio)</f>
        <v>#N/A</v>
      </c>
      <c r="BL555" s="35" t="str">
        <f>LOWER(Campanha_ou_InsertionOrder&amp;"_"&amp;LineItem_ou_Grupodeanúncio&amp;"_"&amp;Linha_criativa_2&amp;"_"&amp;Unique_ID)</f>
        <v>#N/A</v>
      </c>
      <c r="BM555" s="27"/>
      <c r="BN555" s="27"/>
    </row>
    <row r="556">
      <c r="A556" s="1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8" t="str">
        <f>LOWER(Campanha_ou_InsertionOrder&amp;"_"&amp;LineItem_ou_Grupodeanúncio&amp;"_"&amp;Linha_Criativa&amp;"_"&amp;Unique_ID)</f>
        <v>#N/A</v>
      </c>
      <c r="AN556" s="28" t="str">
        <f>LOWER(Campanha_ou_InsertionOrder&amp;"_"&amp;LineItem_ou_Grupodeanúncio&amp;"_"&amp;Linha_Criativa&amp;"_"&amp;Unique_ID)</f>
        <v>#N/A</v>
      </c>
      <c r="AO556" s="28" t="str">
        <f>LOWER("VW"&amp;"_"&amp;Model_Variant&amp;"_"&amp;Size&amp;"_"&amp;Linha_Criativa&amp;"_"&amp;IF(Servido_Por="portal",Veiculo,"adserver"))</f>
        <v>vw____adserver</v>
      </c>
      <c r="AP5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6" s="22" t="str">
        <f t="shared" si="1"/>
        <v/>
      </c>
      <c r="AS556" s="22" t="str">
        <f t="shared" si="2"/>
        <v/>
      </c>
      <c r="AT556" s="22" t="str">
        <f t="shared" si="3"/>
        <v>BR_IMC_DSY_LANCH_ND_NC_2020Q3AUG_NVS_Nivus-Launch-Consideracao</v>
      </c>
      <c r="AU556" s="22" t="str">
        <f t="shared" si="4"/>
        <v>#N/A</v>
      </c>
      <c r="AV556" s="22" t="s">
        <v>106</v>
      </c>
      <c r="AW5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6" s="22" t="str">
        <f t="shared" si="5"/>
        <v>BR_IMC_DSY_LANCH_ND_NC_2020Q3AUG_NVS_Nivus-Launch-Consideracao</v>
      </c>
      <c r="AY556" s="28" t="str">
        <f t="shared" si="6"/>
        <v>#N/A</v>
      </c>
      <c r="AZ556" s="22" t="s">
        <v>107</v>
      </c>
      <c r="BA556" s="22" t="s">
        <v>108</v>
      </c>
      <c r="BB556" s="31" t="s">
        <v>109</v>
      </c>
      <c r="BC556" s="31" t="s">
        <v>109</v>
      </c>
      <c r="BD556" s="32" t="str">
        <f t="shared" si="8"/>
        <v>nvl-nvs-imc-dsy-0820-10550</v>
      </c>
      <c r="BE556" s="33"/>
      <c r="BF556" s="33"/>
      <c r="BG556" s="39" t="str">
        <f>URL&amp;IF(ISNUMBER(FIND("?",URL)),"&amp;","?"&amp;("adlid="&amp;Unique_ID&amp;"&amp;adplt="&amp;Placement))</f>
        <v>#N/A</v>
      </c>
      <c r="BH556" s="1"/>
      <c r="BI556" s="1"/>
      <c r="BJ556" s="35" t="str">
        <f>LOWER("alp"&amp;"_"&amp;"vw"&amp;"_"&amp;Veiculo&amp;"_"&amp;C552&amp;"_"&amp;Objetivo)</f>
        <v>alp_vw___</v>
      </c>
      <c r="BK556" s="35" t="str">
        <f>LOWER(Buying_Metric&amp;"_"&amp;VLOOKUP(Buying_Type,Buy_type,2,FALSE)&amp;"_"&amp;Device&amp;"_"&amp;Size&amp;"_"&amp;Segmentação&amp;"_"&amp;Segmentação_Anúncio)</f>
        <v>#N/A</v>
      </c>
      <c r="BL556" s="35" t="str">
        <f>LOWER(Campanha_ou_InsertionOrder&amp;"_"&amp;LineItem_ou_Grupodeanúncio&amp;"_"&amp;Linha_criativa_2&amp;"_"&amp;Unique_ID)</f>
        <v>#N/A</v>
      </c>
      <c r="BM556" s="27"/>
      <c r="BN556" s="27"/>
    </row>
    <row r="557">
      <c r="A557" s="1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8" t="str">
        <f>LOWER(Campanha_ou_InsertionOrder&amp;"_"&amp;LineItem_ou_Grupodeanúncio&amp;"_"&amp;Linha_Criativa&amp;"_"&amp;Unique_ID)</f>
        <v>#N/A</v>
      </c>
      <c r="AN557" s="28" t="str">
        <f>LOWER(Campanha_ou_InsertionOrder&amp;"_"&amp;LineItem_ou_Grupodeanúncio&amp;"_"&amp;Linha_Criativa&amp;"_"&amp;Unique_ID)</f>
        <v>#N/A</v>
      </c>
      <c r="AO557" s="28" t="str">
        <f>LOWER("VW"&amp;"_"&amp;Model_Variant&amp;"_"&amp;Size&amp;"_"&amp;Linha_Criativa&amp;"_"&amp;IF(Servido_Por="portal",Veiculo,"adserver"))</f>
        <v>vw____adserver</v>
      </c>
      <c r="AP5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7" s="22" t="str">
        <f t="shared" si="1"/>
        <v/>
      </c>
      <c r="AS557" s="22" t="str">
        <f t="shared" si="2"/>
        <v/>
      </c>
      <c r="AT557" s="22" t="str">
        <f t="shared" si="3"/>
        <v>BR_IMC_DSY_LANCH_ND_NC_2020Q3AUG_NVS_Nivus-Launch-Consideracao</v>
      </c>
      <c r="AU557" s="22" t="str">
        <f t="shared" si="4"/>
        <v>#N/A</v>
      </c>
      <c r="AV557" s="22" t="s">
        <v>106</v>
      </c>
      <c r="AW5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7" s="22" t="str">
        <f t="shared" si="5"/>
        <v>BR_IMC_DSY_LANCH_ND_NC_2020Q3AUG_NVS_Nivus-Launch-Consideracao</v>
      </c>
      <c r="AY557" s="28" t="str">
        <f t="shared" si="6"/>
        <v>#N/A</v>
      </c>
      <c r="AZ557" s="22" t="s">
        <v>107</v>
      </c>
      <c r="BA557" s="22" t="s">
        <v>108</v>
      </c>
      <c r="BB557" s="31" t="s">
        <v>109</v>
      </c>
      <c r="BC557" s="31" t="s">
        <v>109</v>
      </c>
      <c r="BD557" s="32" t="str">
        <f t="shared" si="8"/>
        <v>nvl-nvs-imc-dsy-0820-10551</v>
      </c>
      <c r="BE557" s="33"/>
      <c r="BF557" s="33"/>
      <c r="BG557" s="39" t="str">
        <f>URL&amp;IF(ISNUMBER(FIND("?",URL)),"&amp;","?"&amp;("adlid="&amp;Unique_ID&amp;"&amp;adplt="&amp;Placement))</f>
        <v>#N/A</v>
      </c>
      <c r="BH557" s="1"/>
      <c r="BI557" s="1"/>
      <c r="BJ557" s="35" t="str">
        <f>LOWER("alp"&amp;"_"&amp;"vw"&amp;"_"&amp;Veiculo&amp;"_"&amp;C553&amp;"_"&amp;Objetivo)</f>
        <v>alp_vw___</v>
      </c>
      <c r="BK557" s="35" t="str">
        <f>LOWER(Buying_Metric&amp;"_"&amp;VLOOKUP(Buying_Type,Buy_type,2,FALSE)&amp;"_"&amp;Device&amp;"_"&amp;Size&amp;"_"&amp;Segmentação&amp;"_"&amp;Segmentação_Anúncio)</f>
        <v>#N/A</v>
      </c>
      <c r="BL557" s="35" t="str">
        <f>LOWER(Campanha_ou_InsertionOrder&amp;"_"&amp;LineItem_ou_Grupodeanúncio&amp;"_"&amp;Linha_criativa_2&amp;"_"&amp;Unique_ID)</f>
        <v>#N/A</v>
      </c>
      <c r="BM557" s="27"/>
      <c r="BN557" s="27"/>
    </row>
    <row r="558">
      <c r="A558" s="1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tr">
        <f>LOWER(Campanha_ou_InsertionOrder&amp;"_"&amp;LineItem_ou_Grupodeanúncio&amp;"_"&amp;Linha_Criativa&amp;"_"&amp;Unique_ID)</f>
        <v>#N/A</v>
      </c>
      <c r="AN558" s="28" t="str">
        <f>LOWER(Campanha_ou_InsertionOrder&amp;"_"&amp;LineItem_ou_Grupodeanúncio&amp;"_"&amp;Linha_Criativa&amp;"_"&amp;Unique_ID)</f>
        <v>#N/A</v>
      </c>
      <c r="AO558" s="28" t="str">
        <f>LOWER("VW"&amp;"_"&amp;Model_Variant&amp;"_"&amp;Size&amp;"_"&amp;Linha_Criativa&amp;"_"&amp;IF(Servido_Por="portal",Veiculo,"adserver"))</f>
        <v>vw____adserver</v>
      </c>
      <c r="AP5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8" s="22" t="str">
        <f t="shared" si="1"/>
        <v/>
      </c>
      <c r="AS558" s="22" t="str">
        <f t="shared" si="2"/>
        <v/>
      </c>
      <c r="AT558" s="22" t="str">
        <f t="shared" si="3"/>
        <v>BR_IMC_DSY_LANCH_ND_NC_2020Q3AUG_NVS_Nivus-Launch-Consideracao</v>
      </c>
      <c r="AU558" s="22" t="str">
        <f t="shared" si="4"/>
        <v>#N/A</v>
      </c>
      <c r="AV558" s="22" t="s">
        <v>106</v>
      </c>
      <c r="AW5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8" s="22" t="str">
        <f t="shared" si="5"/>
        <v>BR_IMC_DSY_LANCH_ND_NC_2020Q3AUG_NVS_Nivus-Launch-Consideracao</v>
      </c>
      <c r="AY558" s="28" t="str">
        <f t="shared" si="6"/>
        <v>#N/A</v>
      </c>
      <c r="AZ558" s="22" t="s">
        <v>107</v>
      </c>
      <c r="BA558" s="22" t="s">
        <v>108</v>
      </c>
      <c r="BB558" s="31" t="s">
        <v>109</v>
      </c>
      <c r="BC558" s="31" t="s">
        <v>109</v>
      </c>
      <c r="BD558" s="32" t="str">
        <f t="shared" si="8"/>
        <v>nvl-nvs-imc-dsy-0820-10552</v>
      </c>
      <c r="BE558" s="33"/>
      <c r="BF558" s="33"/>
      <c r="BG558" s="39" t="str">
        <f>URL&amp;IF(ISNUMBER(FIND("?",URL)),"&amp;","?"&amp;("adlid="&amp;Unique_ID&amp;"&amp;adplt="&amp;Placement))</f>
        <v>#N/A</v>
      </c>
      <c r="BH558" s="1"/>
      <c r="BI558" s="1"/>
      <c r="BJ558" s="35" t="str">
        <f>LOWER("alp"&amp;"_"&amp;"vw"&amp;"_"&amp;Veiculo&amp;"_"&amp;C554&amp;"_"&amp;Objetivo)</f>
        <v>alp_vw___</v>
      </c>
      <c r="BK558" s="35" t="str">
        <f>LOWER(Buying_Metric&amp;"_"&amp;VLOOKUP(Buying_Type,Buy_type,2,FALSE)&amp;"_"&amp;Device&amp;"_"&amp;Size&amp;"_"&amp;Segmentação&amp;"_"&amp;Segmentação_Anúncio)</f>
        <v>#N/A</v>
      </c>
      <c r="BL558" s="35" t="str">
        <f>LOWER(Campanha_ou_InsertionOrder&amp;"_"&amp;LineItem_ou_Grupodeanúncio&amp;"_"&amp;Linha_criativa_2&amp;"_"&amp;Unique_ID)</f>
        <v>#N/A</v>
      </c>
      <c r="BM558" s="27"/>
      <c r="BN558" s="27"/>
    </row>
    <row r="559">
      <c r="A559" s="1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8" t="str">
        <f>LOWER(Campanha_ou_InsertionOrder&amp;"_"&amp;LineItem_ou_Grupodeanúncio&amp;"_"&amp;Linha_Criativa&amp;"_"&amp;Unique_ID)</f>
        <v>#N/A</v>
      </c>
      <c r="AN559" s="28" t="str">
        <f>LOWER(Campanha_ou_InsertionOrder&amp;"_"&amp;LineItem_ou_Grupodeanúncio&amp;"_"&amp;Linha_Criativa&amp;"_"&amp;Unique_ID)</f>
        <v>#N/A</v>
      </c>
      <c r="AO559" s="28" t="str">
        <f>LOWER("VW"&amp;"_"&amp;Model_Variant&amp;"_"&amp;Size&amp;"_"&amp;Linha_Criativa&amp;"_"&amp;IF(Servido_Por="portal",Veiculo,"adserver"))</f>
        <v>vw____adserver</v>
      </c>
      <c r="AP5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59" s="22" t="str">
        <f t="shared" si="1"/>
        <v/>
      </c>
      <c r="AS559" s="22" t="str">
        <f t="shared" si="2"/>
        <v/>
      </c>
      <c r="AT559" s="22" t="str">
        <f t="shared" si="3"/>
        <v>BR_IMC_DSY_LANCH_ND_NC_2020Q3AUG_NVS_Nivus-Launch-Consideracao</v>
      </c>
      <c r="AU559" s="22" t="str">
        <f t="shared" si="4"/>
        <v>#N/A</v>
      </c>
      <c r="AV559" s="22" t="s">
        <v>106</v>
      </c>
      <c r="AW5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59" s="22" t="str">
        <f t="shared" si="5"/>
        <v>BR_IMC_DSY_LANCH_ND_NC_2020Q3AUG_NVS_Nivus-Launch-Consideracao</v>
      </c>
      <c r="AY559" s="28" t="str">
        <f t="shared" si="6"/>
        <v>#N/A</v>
      </c>
      <c r="AZ559" s="22" t="s">
        <v>107</v>
      </c>
      <c r="BA559" s="22" t="s">
        <v>108</v>
      </c>
      <c r="BB559" s="31" t="s">
        <v>109</v>
      </c>
      <c r="BC559" s="31" t="s">
        <v>109</v>
      </c>
      <c r="BD559" s="32" t="str">
        <f t="shared" si="8"/>
        <v>nvl-nvs-imc-dsy-0820-10553</v>
      </c>
      <c r="BE559" s="33"/>
      <c r="BF559" s="33"/>
      <c r="BG559" s="39" t="str">
        <f>URL&amp;IF(ISNUMBER(FIND("?",URL)),"&amp;","?"&amp;("adlid="&amp;Unique_ID&amp;"&amp;adplt="&amp;Placement))</f>
        <v>#N/A</v>
      </c>
      <c r="BH559" s="1"/>
      <c r="BI559" s="1"/>
      <c r="BJ559" s="35" t="str">
        <f>LOWER("alp"&amp;"_"&amp;"vw"&amp;"_"&amp;Veiculo&amp;"_"&amp;C555&amp;"_"&amp;Objetivo)</f>
        <v>alp_vw___</v>
      </c>
      <c r="BK559" s="35" t="str">
        <f>LOWER(Buying_Metric&amp;"_"&amp;VLOOKUP(Buying_Type,Buy_type,2,FALSE)&amp;"_"&amp;Device&amp;"_"&amp;Size&amp;"_"&amp;Segmentação&amp;"_"&amp;Segmentação_Anúncio)</f>
        <v>#N/A</v>
      </c>
      <c r="BL559" s="35" t="str">
        <f>LOWER(Campanha_ou_InsertionOrder&amp;"_"&amp;LineItem_ou_Grupodeanúncio&amp;"_"&amp;Linha_criativa_2&amp;"_"&amp;Unique_ID)</f>
        <v>#N/A</v>
      </c>
      <c r="BM559" s="27"/>
      <c r="BN559" s="27"/>
    </row>
    <row r="560">
      <c r="A560" s="1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8" t="str">
        <f>LOWER(Campanha_ou_InsertionOrder&amp;"_"&amp;LineItem_ou_Grupodeanúncio&amp;"_"&amp;Linha_Criativa&amp;"_"&amp;Unique_ID)</f>
        <v>#N/A</v>
      </c>
      <c r="AN560" s="28" t="str">
        <f>LOWER(Campanha_ou_InsertionOrder&amp;"_"&amp;LineItem_ou_Grupodeanúncio&amp;"_"&amp;Linha_Criativa&amp;"_"&amp;Unique_ID)</f>
        <v>#N/A</v>
      </c>
      <c r="AO560" s="28" t="str">
        <f>LOWER("VW"&amp;"_"&amp;Model_Variant&amp;"_"&amp;Size&amp;"_"&amp;Linha_Criativa&amp;"_"&amp;IF(Servido_Por="portal",Veiculo,"adserver"))</f>
        <v>vw____adserver</v>
      </c>
      <c r="AP5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0" s="22" t="str">
        <f t="shared" si="1"/>
        <v/>
      </c>
      <c r="AS560" s="22" t="str">
        <f t="shared" si="2"/>
        <v/>
      </c>
      <c r="AT560" s="22" t="str">
        <f t="shared" si="3"/>
        <v>BR_IMC_DSY_LANCH_ND_NC_2020Q3AUG_NVS_Nivus-Launch-Consideracao</v>
      </c>
      <c r="AU560" s="22" t="str">
        <f t="shared" si="4"/>
        <v>#N/A</v>
      </c>
      <c r="AV560" s="22" t="s">
        <v>106</v>
      </c>
      <c r="AW5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0" s="22" t="str">
        <f t="shared" si="5"/>
        <v>BR_IMC_DSY_LANCH_ND_NC_2020Q3AUG_NVS_Nivus-Launch-Consideracao</v>
      </c>
      <c r="AY560" s="28" t="str">
        <f t="shared" si="6"/>
        <v>#N/A</v>
      </c>
      <c r="AZ560" s="22" t="s">
        <v>107</v>
      </c>
      <c r="BA560" s="22" t="s">
        <v>108</v>
      </c>
      <c r="BB560" s="31" t="s">
        <v>109</v>
      </c>
      <c r="BC560" s="31" t="s">
        <v>109</v>
      </c>
      <c r="BD560" s="32" t="str">
        <f t="shared" si="8"/>
        <v>nvl-nvs-imc-dsy-0820-10554</v>
      </c>
      <c r="BE560" s="33"/>
      <c r="BF560" s="33"/>
      <c r="BG560" s="39" t="str">
        <f>URL&amp;IF(ISNUMBER(FIND("?",URL)),"&amp;","?"&amp;("adlid="&amp;Unique_ID&amp;"&amp;adplt="&amp;Placement))</f>
        <v>#N/A</v>
      </c>
      <c r="BH560" s="1"/>
      <c r="BI560" s="1"/>
      <c r="BJ560" s="35" t="str">
        <f>LOWER("alp"&amp;"_"&amp;"vw"&amp;"_"&amp;Veiculo&amp;"_"&amp;C556&amp;"_"&amp;Objetivo)</f>
        <v>alp_vw___</v>
      </c>
      <c r="BK560" s="35" t="str">
        <f>LOWER(Buying_Metric&amp;"_"&amp;VLOOKUP(Buying_Type,Buy_type,2,FALSE)&amp;"_"&amp;Device&amp;"_"&amp;Size&amp;"_"&amp;Segmentação&amp;"_"&amp;Segmentação_Anúncio)</f>
        <v>#N/A</v>
      </c>
      <c r="BL560" s="35" t="str">
        <f>LOWER(Campanha_ou_InsertionOrder&amp;"_"&amp;LineItem_ou_Grupodeanúncio&amp;"_"&amp;Linha_criativa_2&amp;"_"&amp;Unique_ID)</f>
        <v>#N/A</v>
      </c>
      <c r="BM560" s="27"/>
      <c r="BN560" s="27"/>
    </row>
    <row r="561">
      <c r="A561" s="1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8" t="str">
        <f>LOWER(Campanha_ou_InsertionOrder&amp;"_"&amp;LineItem_ou_Grupodeanúncio&amp;"_"&amp;Linha_Criativa&amp;"_"&amp;Unique_ID)</f>
        <v>#N/A</v>
      </c>
      <c r="AN561" s="28" t="str">
        <f>LOWER(Campanha_ou_InsertionOrder&amp;"_"&amp;LineItem_ou_Grupodeanúncio&amp;"_"&amp;Linha_Criativa&amp;"_"&amp;Unique_ID)</f>
        <v>#N/A</v>
      </c>
      <c r="AO561" s="28" t="str">
        <f>LOWER("VW"&amp;"_"&amp;Model_Variant&amp;"_"&amp;Size&amp;"_"&amp;Linha_Criativa&amp;"_"&amp;IF(Servido_Por="portal",Veiculo,"adserver"))</f>
        <v>vw____adserver</v>
      </c>
      <c r="AP5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1" s="22" t="str">
        <f t="shared" si="1"/>
        <v/>
      </c>
      <c r="AS561" s="22" t="str">
        <f t="shared" si="2"/>
        <v/>
      </c>
      <c r="AT561" s="22" t="str">
        <f t="shared" si="3"/>
        <v>BR_IMC_DSY_LANCH_ND_NC_2020Q3AUG_NVS_Nivus-Launch-Consideracao</v>
      </c>
      <c r="AU561" s="22" t="str">
        <f t="shared" si="4"/>
        <v>#N/A</v>
      </c>
      <c r="AV561" s="22" t="s">
        <v>106</v>
      </c>
      <c r="AW5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1" s="22" t="str">
        <f t="shared" si="5"/>
        <v>BR_IMC_DSY_LANCH_ND_NC_2020Q3AUG_NVS_Nivus-Launch-Consideracao</v>
      </c>
      <c r="AY561" s="28" t="str">
        <f t="shared" si="6"/>
        <v>#N/A</v>
      </c>
      <c r="AZ561" s="22" t="s">
        <v>107</v>
      </c>
      <c r="BA561" s="22" t="s">
        <v>108</v>
      </c>
      <c r="BB561" s="31" t="s">
        <v>109</v>
      </c>
      <c r="BC561" s="31" t="s">
        <v>109</v>
      </c>
      <c r="BD561" s="32" t="str">
        <f t="shared" si="8"/>
        <v>nvl-nvs-imc-dsy-0820-10555</v>
      </c>
      <c r="BE561" s="33"/>
      <c r="BF561" s="33"/>
      <c r="BG561" s="39" t="str">
        <f>URL&amp;IF(ISNUMBER(FIND("?",URL)),"&amp;","?"&amp;("adlid="&amp;Unique_ID&amp;"&amp;adplt="&amp;Placement))</f>
        <v>#N/A</v>
      </c>
      <c r="BH561" s="1"/>
      <c r="BI561" s="1"/>
      <c r="BJ561" s="35" t="str">
        <f>LOWER("alp"&amp;"_"&amp;"vw"&amp;"_"&amp;Veiculo&amp;"_"&amp;C557&amp;"_"&amp;Objetivo)</f>
        <v>alp_vw___</v>
      </c>
      <c r="BK561" s="35" t="str">
        <f>LOWER(Buying_Metric&amp;"_"&amp;VLOOKUP(Buying_Type,Buy_type,2,FALSE)&amp;"_"&amp;Device&amp;"_"&amp;Size&amp;"_"&amp;Segmentação&amp;"_"&amp;Segmentação_Anúncio)</f>
        <v>#N/A</v>
      </c>
      <c r="BL561" s="35" t="str">
        <f>LOWER(Campanha_ou_InsertionOrder&amp;"_"&amp;LineItem_ou_Grupodeanúncio&amp;"_"&amp;Linha_criativa_2&amp;"_"&amp;Unique_ID)</f>
        <v>#N/A</v>
      </c>
      <c r="BM561" s="27"/>
      <c r="BN561" s="27"/>
    </row>
    <row r="562">
      <c r="A562" s="1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8" t="str">
        <f>LOWER(Campanha_ou_InsertionOrder&amp;"_"&amp;LineItem_ou_Grupodeanúncio&amp;"_"&amp;Linha_Criativa&amp;"_"&amp;Unique_ID)</f>
        <v>#N/A</v>
      </c>
      <c r="AN562" s="28" t="str">
        <f>LOWER(Campanha_ou_InsertionOrder&amp;"_"&amp;LineItem_ou_Grupodeanúncio&amp;"_"&amp;Linha_Criativa&amp;"_"&amp;Unique_ID)</f>
        <v>#N/A</v>
      </c>
      <c r="AO562" s="28" t="str">
        <f>LOWER("VW"&amp;"_"&amp;Model_Variant&amp;"_"&amp;Size&amp;"_"&amp;Linha_Criativa&amp;"_"&amp;IF(Servido_Por="portal",Veiculo,"adserver"))</f>
        <v>vw____adserver</v>
      </c>
      <c r="AP5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2" s="22" t="str">
        <f t="shared" si="1"/>
        <v/>
      </c>
      <c r="AS562" s="22" t="str">
        <f t="shared" si="2"/>
        <v/>
      </c>
      <c r="AT562" s="22" t="str">
        <f t="shared" si="3"/>
        <v>BR_IMC_DSY_LANCH_ND_NC_2020Q3AUG_NVS_Nivus-Launch-Consideracao</v>
      </c>
      <c r="AU562" s="22" t="str">
        <f t="shared" si="4"/>
        <v>#N/A</v>
      </c>
      <c r="AV562" s="22" t="s">
        <v>106</v>
      </c>
      <c r="AW5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2" s="22" t="str">
        <f t="shared" si="5"/>
        <v>BR_IMC_DSY_LANCH_ND_NC_2020Q3AUG_NVS_Nivus-Launch-Consideracao</v>
      </c>
      <c r="AY562" s="28" t="str">
        <f t="shared" si="6"/>
        <v>#N/A</v>
      </c>
      <c r="AZ562" s="22" t="s">
        <v>107</v>
      </c>
      <c r="BA562" s="22" t="s">
        <v>108</v>
      </c>
      <c r="BB562" s="31" t="s">
        <v>109</v>
      </c>
      <c r="BC562" s="31" t="s">
        <v>109</v>
      </c>
      <c r="BD562" s="32" t="str">
        <f t="shared" si="8"/>
        <v>nvl-nvs-imc-dsy-0820-10556</v>
      </c>
      <c r="BE562" s="33"/>
      <c r="BF562" s="33"/>
      <c r="BG562" s="39" t="str">
        <f>URL&amp;IF(ISNUMBER(FIND("?",URL)),"&amp;","?"&amp;("adlid="&amp;Unique_ID&amp;"&amp;adplt="&amp;Placement))</f>
        <v>#N/A</v>
      </c>
      <c r="BH562" s="1"/>
      <c r="BI562" s="1"/>
      <c r="BJ562" s="35" t="str">
        <f>LOWER("alp"&amp;"_"&amp;"vw"&amp;"_"&amp;Veiculo&amp;"_"&amp;C558&amp;"_"&amp;Objetivo)</f>
        <v>alp_vw___</v>
      </c>
      <c r="BK562" s="35" t="str">
        <f>LOWER(Buying_Metric&amp;"_"&amp;VLOOKUP(Buying_Type,Buy_type,2,FALSE)&amp;"_"&amp;Device&amp;"_"&amp;Size&amp;"_"&amp;Segmentação&amp;"_"&amp;Segmentação_Anúncio)</f>
        <v>#N/A</v>
      </c>
      <c r="BL562" s="35" t="str">
        <f>LOWER(Campanha_ou_InsertionOrder&amp;"_"&amp;LineItem_ou_Grupodeanúncio&amp;"_"&amp;Linha_criativa_2&amp;"_"&amp;Unique_ID)</f>
        <v>#N/A</v>
      </c>
      <c r="BM562" s="27"/>
      <c r="BN562" s="27"/>
    </row>
    <row r="563">
      <c r="A563" s="1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8" t="str">
        <f>LOWER(Campanha_ou_InsertionOrder&amp;"_"&amp;LineItem_ou_Grupodeanúncio&amp;"_"&amp;Linha_Criativa&amp;"_"&amp;Unique_ID)</f>
        <v>#N/A</v>
      </c>
      <c r="AN563" s="28" t="str">
        <f>LOWER(Campanha_ou_InsertionOrder&amp;"_"&amp;LineItem_ou_Grupodeanúncio&amp;"_"&amp;Linha_Criativa&amp;"_"&amp;Unique_ID)</f>
        <v>#N/A</v>
      </c>
      <c r="AO563" s="28" t="str">
        <f>LOWER("VW"&amp;"_"&amp;Model_Variant&amp;"_"&amp;Size&amp;"_"&amp;Linha_Criativa&amp;"_"&amp;IF(Servido_Por="portal",Veiculo,"adserver"))</f>
        <v>vw____adserver</v>
      </c>
      <c r="AP5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3" s="22" t="str">
        <f t="shared" si="1"/>
        <v/>
      </c>
      <c r="AS563" s="22" t="str">
        <f t="shared" si="2"/>
        <v/>
      </c>
      <c r="AT563" s="22" t="str">
        <f t="shared" si="3"/>
        <v>BR_IMC_DSY_LANCH_ND_NC_2020Q3AUG_NVS_Nivus-Launch-Consideracao</v>
      </c>
      <c r="AU563" s="22" t="str">
        <f t="shared" si="4"/>
        <v>#N/A</v>
      </c>
      <c r="AV563" s="22" t="s">
        <v>106</v>
      </c>
      <c r="AW5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3" s="22" t="str">
        <f t="shared" si="5"/>
        <v>BR_IMC_DSY_LANCH_ND_NC_2020Q3AUG_NVS_Nivus-Launch-Consideracao</v>
      </c>
      <c r="AY563" s="28" t="str">
        <f t="shared" si="6"/>
        <v>#N/A</v>
      </c>
      <c r="AZ563" s="22" t="s">
        <v>107</v>
      </c>
      <c r="BA563" s="22" t="s">
        <v>108</v>
      </c>
      <c r="BB563" s="31" t="s">
        <v>109</v>
      </c>
      <c r="BC563" s="31" t="s">
        <v>109</v>
      </c>
      <c r="BD563" s="32" t="str">
        <f t="shared" si="8"/>
        <v>nvl-nvs-imc-dsy-0820-10557</v>
      </c>
      <c r="BE563" s="33"/>
      <c r="BF563" s="33"/>
      <c r="BG563" s="39" t="str">
        <f>URL&amp;IF(ISNUMBER(FIND("?",URL)),"&amp;","?"&amp;("adlid="&amp;Unique_ID&amp;"&amp;adplt="&amp;Placement))</f>
        <v>#N/A</v>
      </c>
      <c r="BH563" s="1"/>
      <c r="BI563" s="1"/>
      <c r="BJ563" s="35" t="str">
        <f>LOWER("alp"&amp;"_"&amp;"vw"&amp;"_"&amp;Veiculo&amp;"_"&amp;C559&amp;"_"&amp;Objetivo)</f>
        <v>alp_vw___</v>
      </c>
      <c r="BK563" s="35" t="str">
        <f>LOWER(Buying_Metric&amp;"_"&amp;VLOOKUP(Buying_Type,Buy_type,2,FALSE)&amp;"_"&amp;Device&amp;"_"&amp;Size&amp;"_"&amp;Segmentação&amp;"_"&amp;Segmentação_Anúncio)</f>
        <v>#N/A</v>
      </c>
      <c r="BL563" s="35" t="str">
        <f>LOWER(Campanha_ou_InsertionOrder&amp;"_"&amp;LineItem_ou_Grupodeanúncio&amp;"_"&amp;Linha_criativa_2&amp;"_"&amp;Unique_ID)</f>
        <v>#N/A</v>
      </c>
      <c r="BM563" s="27"/>
      <c r="BN563" s="27"/>
    </row>
    <row r="564">
      <c r="A564" s="1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8" t="str">
        <f>LOWER(Campanha_ou_InsertionOrder&amp;"_"&amp;LineItem_ou_Grupodeanúncio&amp;"_"&amp;Linha_Criativa&amp;"_"&amp;Unique_ID)</f>
        <v>#N/A</v>
      </c>
      <c r="AN564" s="28" t="str">
        <f>LOWER(Campanha_ou_InsertionOrder&amp;"_"&amp;LineItem_ou_Grupodeanúncio&amp;"_"&amp;Linha_Criativa&amp;"_"&amp;Unique_ID)</f>
        <v>#N/A</v>
      </c>
      <c r="AO564" s="28" t="str">
        <f>LOWER("VW"&amp;"_"&amp;Model_Variant&amp;"_"&amp;Size&amp;"_"&amp;Linha_Criativa&amp;"_"&amp;IF(Servido_Por="portal",Veiculo,"adserver"))</f>
        <v>vw____adserver</v>
      </c>
      <c r="AP5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4" s="22" t="str">
        <f t="shared" si="1"/>
        <v/>
      </c>
      <c r="AS564" s="22" t="str">
        <f t="shared" si="2"/>
        <v/>
      </c>
      <c r="AT564" s="22" t="str">
        <f t="shared" si="3"/>
        <v>BR_IMC_DSY_LANCH_ND_NC_2020Q3AUG_NVS_Nivus-Launch-Consideracao</v>
      </c>
      <c r="AU564" s="22" t="str">
        <f t="shared" si="4"/>
        <v>#N/A</v>
      </c>
      <c r="AV564" s="22" t="s">
        <v>106</v>
      </c>
      <c r="AW5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4" s="22" t="str">
        <f t="shared" si="5"/>
        <v>BR_IMC_DSY_LANCH_ND_NC_2020Q3AUG_NVS_Nivus-Launch-Consideracao</v>
      </c>
      <c r="AY564" s="28" t="str">
        <f t="shared" si="6"/>
        <v>#N/A</v>
      </c>
      <c r="AZ564" s="22" t="s">
        <v>107</v>
      </c>
      <c r="BA564" s="22" t="s">
        <v>108</v>
      </c>
      <c r="BB564" s="31" t="s">
        <v>109</v>
      </c>
      <c r="BC564" s="31" t="s">
        <v>109</v>
      </c>
      <c r="BD564" s="32" t="str">
        <f t="shared" si="8"/>
        <v>nvl-nvs-imc-dsy-0820-10558</v>
      </c>
      <c r="BE564" s="33"/>
      <c r="BF564" s="33"/>
      <c r="BG564" s="39" t="str">
        <f>URL&amp;IF(ISNUMBER(FIND("?",URL)),"&amp;","?"&amp;("adlid="&amp;Unique_ID&amp;"&amp;adplt="&amp;Placement))</f>
        <v>#N/A</v>
      </c>
      <c r="BH564" s="1"/>
      <c r="BI564" s="1"/>
      <c r="BJ564" s="35" t="str">
        <f>LOWER("alp"&amp;"_"&amp;"vw"&amp;"_"&amp;Veiculo&amp;"_"&amp;C560&amp;"_"&amp;Objetivo)</f>
        <v>alp_vw___</v>
      </c>
      <c r="BK564" s="35" t="str">
        <f>LOWER(Buying_Metric&amp;"_"&amp;VLOOKUP(Buying_Type,Buy_type,2,FALSE)&amp;"_"&amp;Device&amp;"_"&amp;Size&amp;"_"&amp;Segmentação&amp;"_"&amp;Segmentação_Anúncio)</f>
        <v>#N/A</v>
      </c>
      <c r="BL564" s="35" t="str">
        <f>LOWER(Campanha_ou_InsertionOrder&amp;"_"&amp;LineItem_ou_Grupodeanúncio&amp;"_"&amp;Linha_criativa_2&amp;"_"&amp;Unique_ID)</f>
        <v>#N/A</v>
      </c>
      <c r="BM564" s="27"/>
      <c r="BN564" s="27"/>
    </row>
    <row r="565">
      <c r="A565" s="1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8" t="str">
        <f>LOWER(Campanha_ou_InsertionOrder&amp;"_"&amp;LineItem_ou_Grupodeanúncio&amp;"_"&amp;Linha_Criativa&amp;"_"&amp;Unique_ID)</f>
        <v>#N/A</v>
      </c>
      <c r="AN565" s="28" t="str">
        <f>LOWER(Campanha_ou_InsertionOrder&amp;"_"&amp;LineItem_ou_Grupodeanúncio&amp;"_"&amp;Linha_Criativa&amp;"_"&amp;Unique_ID)</f>
        <v>#N/A</v>
      </c>
      <c r="AO565" s="28" t="str">
        <f>LOWER("VW"&amp;"_"&amp;Model_Variant&amp;"_"&amp;Size&amp;"_"&amp;Linha_Criativa&amp;"_"&amp;IF(Servido_Por="portal",Veiculo,"adserver"))</f>
        <v>vw____adserver</v>
      </c>
      <c r="AP5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5" s="22" t="str">
        <f t="shared" si="1"/>
        <v/>
      </c>
      <c r="AS565" s="22" t="str">
        <f t="shared" si="2"/>
        <v/>
      </c>
      <c r="AT565" s="22" t="str">
        <f t="shared" si="3"/>
        <v>BR_IMC_DSY_LANCH_ND_NC_2020Q3AUG_NVS_Nivus-Launch-Consideracao</v>
      </c>
      <c r="AU565" s="22" t="str">
        <f t="shared" si="4"/>
        <v>#N/A</v>
      </c>
      <c r="AV565" s="22" t="s">
        <v>106</v>
      </c>
      <c r="AW5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5" s="22" t="str">
        <f t="shared" si="5"/>
        <v>BR_IMC_DSY_LANCH_ND_NC_2020Q3AUG_NVS_Nivus-Launch-Consideracao</v>
      </c>
      <c r="AY565" s="28" t="str">
        <f t="shared" si="6"/>
        <v>#N/A</v>
      </c>
      <c r="AZ565" s="22" t="s">
        <v>107</v>
      </c>
      <c r="BA565" s="22" t="s">
        <v>108</v>
      </c>
      <c r="BB565" s="31" t="s">
        <v>109</v>
      </c>
      <c r="BC565" s="31" t="s">
        <v>109</v>
      </c>
      <c r="BD565" s="32" t="str">
        <f t="shared" si="8"/>
        <v>nvl-nvs-imc-dsy-0820-10559</v>
      </c>
      <c r="BE565" s="33"/>
      <c r="BF565" s="33"/>
      <c r="BG565" s="39" t="str">
        <f>URL&amp;IF(ISNUMBER(FIND("?",URL)),"&amp;","?"&amp;("adlid="&amp;Unique_ID&amp;"&amp;adplt="&amp;Placement))</f>
        <v>#N/A</v>
      </c>
      <c r="BH565" s="1"/>
      <c r="BI565" s="1"/>
      <c r="BJ565" s="35" t="str">
        <f>LOWER("alp"&amp;"_"&amp;"vw"&amp;"_"&amp;Veiculo&amp;"_"&amp;C561&amp;"_"&amp;Objetivo)</f>
        <v>alp_vw___</v>
      </c>
      <c r="BK565" s="35" t="str">
        <f>LOWER(Buying_Metric&amp;"_"&amp;VLOOKUP(Buying_Type,Buy_type,2,FALSE)&amp;"_"&amp;Device&amp;"_"&amp;Size&amp;"_"&amp;Segmentação&amp;"_"&amp;Segmentação_Anúncio)</f>
        <v>#N/A</v>
      </c>
      <c r="BL565" s="35" t="str">
        <f>LOWER(Campanha_ou_InsertionOrder&amp;"_"&amp;LineItem_ou_Grupodeanúncio&amp;"_"&amp;Linha_criativa_2&amp;"_"&amp;Unique_ID)</f>
        <v>#N/A</v>
      </c>
      <c r="BM565" s="27"/>
      <c r="BN565" s="27"/>
    </row>
    <row r="566">
      <c r="A566" s="1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8" t="str">
        <f>LOWER(Campanha_ou_InsertionOrder&amp;"_"&amp;LineItem_ou_Grupodeanúncio&amp;"_"&amp;Linha_Criativa&amp;"_"&amp;Unique_ID)</f>
        <v>#N/A</v>
      </c>
      <c r="AN566" s="28" t="str">
        <f>LOWER(Campanha_ou_InsertionOrder&amp;"_"&amp;LineItem_ou_Grupodeanúncio&amp;"_"&amp;Linha_Criativa&amp;"_"&amp;Unique_ID)</f>
        <v>#N/A</v>
      </c>
      <c r="AO566" s="28" t="str">
        <f>LOWER("VW"&amp;"_"&amp;Model_Variant&amp;"_"&amp;Size&amp;"_"&amp;Linha_Criativa&amp;"_"&amp;IF(Servido_Por="portal",Veiculo,"adserver"))</f>
        <v>vw____adserver</v>
      </c>
      <c r="AP5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6" s="22" t="str">
        <f t="shared" si="1"/>
        <v/>
      </c>
      <c r="AS566" s="22" t="str">
        <f t="shared" si="2"/>
        <v/>
      </c>
      <c r="AT566" s="22" t="str">
        <f t="shared" si="3"/>
        <v>BR_IMC_DSY_LANCH_ND_NC_2020Q3AUG_NVS_Nivus-Launch-Consideracao</v>
      </c>
      <c r="AU566" s="22" t="str">
        <f t="shared" si="4"/>
        <v>#N/A</v>
      </c>
      <c r="AV566" s="22" t="s">
        <v>106</v>
      </c>
      <c r="AW5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6" s="22" t="str">
        <f t="shared" si="5"/>
        <v>BR_IMC_DSY_LANCH_ND_NC_2020Q3AUG_NVS_Nivus-Launch-Consideracao</v>
      </c>
      <c r="AY566" s="28" t="str">
        <f t="shared" si="6"/>
        <v>#N/A</v>
      </c>
      <c r="AZ566" s="22" t="s">
        <v>107</v>
      </c>
      <c r="BA566" s="22" t="s">
        <v>108</v>
      </c>
      <c r="BB566" s="31" t="s">
        <v>109</v>
      </c>
      <c r="BC566" s="31" t="s">
        <v>109</v>
      </c>
      <c r="BD566" s="32" t="str">
        <f t="shared" si="8"/>
        <v>nvl-nvs-imc-dsy-0820-10560</v>
      </c>
      <c r="BE566" s="33"/>
      <c r="BF566" s="33"/>
      <c r="BG566" s="39" t="str">
        <f>URL&amp;IF(ISNUMBER(FIND("?",URL)),"&amp;","?"&amp;("adlid="&amp;Unique_ID&amp;"&amp;adplt="&amp;Placement))</f>
        <v>#N/A</v>
      </c>
      <c r="BH566" s="1"/>
      <c r="BI566" s="1"/>
      <c r="BJ566" s="35" t="str">
        <f>LOWER("alp"&amp;"_"&amp;"vw"&amp;"_"&amp;Veiculo&amp;"_"&amp;C562&amp;"_"&amp;Objetivo)</f>
        <v>alp_vw___</v>
      </c>
      <c r="BK566" s="35" t="str">
        <f>LOWER(Buying_Metric&amp;"_"&amp;VLOOKUP(Buying_Type,Buy_type,2,FALSE)&amp;"_"&amp;Device&amp;"_"&amp;Size&amp;"_"&amp;Segmentação&amp;"_"&amp;Segmentação_Anúncio)</f>
        <v>#N/A</v>
      </c>
      <c r="BL566" s="35" t="str">
        <f>LOWER(Campanha_ou_InsertionOrder&amp;"_"&amp;LineItem_ou_Grupodeanúncio&amp;"_"&amp;Linha_criativa_2&amp;"_"&amp;Unique_ID)</f>
        <v>#N/A</v>
      </c>
      <c r="BM566" s="27"/>
      <c r="BN566" s="27"/>
    </row>
    <row r="567">
      <c r="A567" s="1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8" t="str">
        <f>LOWER(Campanha_ou_InsertionOrder&amp;"_"&amp;LineItem_ou_Grupodeanúncio&amp;"_"&amp;Linha_Criativa&amp;"_"&amp;Unique_ID)</f>
        <v>#N/A</v>
      </c>
      <c r="AN567" s="28" t="str">
        <f>LOWER(Campanha_ou_InsertionOrder&amp;"_"&amp;LineItem_ou_Grupodeanúncio&amp;"_"&amp;Linha_Criativa&amp;"_"&amp;Unique_ID)</f>
        <v>#N/A</v>
      </c>
      <c r="AO567" s="28" t="str">
        <f>LOWER("VW"&amp;"_"&amp;Model_Variant&amp;"_"&amp;Size&amp;"_"&amp;Linha_Criativa&amp;"_"&amp;IF(Servido_Por="portal",Veiculo,"adserver"))</f>
        <v>vw____adserver</v>
      </c>
      <c r="AP5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7" s="22" t="str">
        <f t="shared" si="1"/>
        <v/>
      </c>
      <c r="AS567" s="22" t="str">
        <f t="shared" si="2"/>
        <v/>
      </c>
      <c r="AT567" s="22" t="str">
        <f t="shared" si="3"/>
        <v>BR_IMC_DSY_LANCH_ND_NC_2020Q3AUG_NVS_Nivus-Launch-Consideracao</v>
      </c>
      <c r="AU567" s="22" t="str">
        <f t="shared" si="4"/>
        <v>#N/A</v>
      </c>
      <c r="AV567" s="22" t="s">
        <v>106</v>
      </c>
      <c r="AW5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7" s="22" t="str">
        <f t="shared" si="5"/>
        <v>BR_IMC_DSY_LANCH_ND_NC_2020Q3AUG_NVS_Nivus-Launch-Consideracao</v>
      </c>
      <c r="AY567" s="28" t="str">
        <f t="shared" si="6"/>
        <v>#N/A</v>
      </c>
      <c r="AZ567" s="22" t="s">
        <v>107</v>
      </c>
      <c r="BA567" s="22" t="s">
        <v>108</v>
      </c>
      <c r="BB567" s="31" t="s">
        <v>109</v>
      </c>
      <c r="BC567" s="31" t="s">
        <v>109</v>
      </c>
      <c r="BD567" s="32" t="str">
        <f t="shared" si="8"/>
        <v>nvl-nvs-imc-dsy-0820-10561</v>
      </c>
      <c r="BE567" s="33"/>
      <c r="BF567" s="33"/>
      <c r="BG567" s="39" t="str">
        <f>URL&amp;IF(ISNUMBER(FIND("?",URL)),"&amp;","?"&amp;("adlid="&amp;Unique_ID&amp;"&amp;adplt="&amp;Placement))</f>
        <v>#N/A</v>
      </c>
      <c r="BH567" s="1"/>
      <c r="BI567" s="1"/>
      <c r="BJ567" s="35" t="str">
        <f>LOWER("alp"&amp;"_"&amp;"vw"&amp;"_"&amp;Veiculo&amp;"_"&amp;C563&amp;"_"&amp;Objetivo)</f>
        <v>alp_vw___</v>
      </c>
      <c r="BK567" s="35" t="str">
        <f>LOWER(Buying_Metric&amp;"_"&amp;VLOOKUP(Buying_Type,Buy_type,2,FALSE)&amp;"_"&amp;Device&amp;"_"&amp;Size&amp;"_"&amp;Segmentação&amp;"_"&amp;Segmentação_Anúncio)</f>
        <v>#N/A</v>
      </c>
      <c r="BL567" s="35" t="str">
        <f>LOWER(Campanha_ou_InsertionOrder&amp;"_"&amp;LineItem_ou_Grupodeanúncio&amp;"_"&amp;Linha_criativa_2&amp;"_"&amp;Unique_ID)</f>
        <v>#N/A</v>
      </c>
      <c r="BM567" s="27"/>
      <c r="BN567" s="27"/>
    </row>
    <row r="568">
      <c r="A568" s="1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8" t="str">
        <f>LOWER(Campanha_ou_InsertionOrder&amp;"_"&amp;LineItem_ou_Grupodeanúncio&amp;"_"&amp;Linha_Criativa&amp;"_"&amp;Unique_ID)</f>
        <v>#N/A</v>
      </c>
      <c r="AN568" s="28" t="str">
        <f>LOWER(Campanha_ou_InsertionOrder&amp;"_"&amp;LineItem_ou_Grupodeanúncio&amp;"_"&amp;Linha_Criativa&amp;"_"&amp;Unique_ID)</f>
        <v>#N/A</v>
      </c>
      <c r="AO568" s="28" t="str">
        <f>LOWER("VW"&amp;"_"&amp;Model_Variant&amp;"_"&amp;Size&amp;"_"&amp;Linha_Criativa&amp;"_"&amp;IF(Servido_Por="portal",Veiculo,"adserver"))</f>
        <v>vw____adserver</v>
      </c>
      <c r="AP5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8" s="22" t="str">
        <f t="shared" si="1"/>
        <v/>
      </c>
      <c r="AS568" s="22" t="str">
        <f t="shared" si="2"/>
        <v/>
      </c>
      <c r="AT568" s="22" t="str">
        <f t="shared" si="3"/>
        <v>BR_IMC_DSY_LANCH_ND_NC_2020Q3AUG_NVS_Nivus-Launch-Consideracao</v>
      </c>
      <c r="AU568" s="22" t="str">
        <f t="shared" si="4"/>
        <v>#N/A</v>
      </c>
      <c r="AV568" s="22" t="s">
        <v>106</v>
      </c>
      <c r="AW5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8" s="22" t="str">
        <f t="shared" si="5"/>
        <v>BR_IMC_DSY_LANCH_ND_NC_2020Q3AUG_NVS_Nivus-Launch-Consideracao</v>
      </c>
      <c r="AY568" s="28" t="str">
        <f t="shared" si="6"/>
        <v>#N/A</v>
      </c>
      <c r="AZ568" s="22" t="s">
        <v>107</v>
      </c>
      <c r="BA568" s="22" t="s">
        <v>108</v>
      </c>
      <c r="BB568" s="31" t="s">
        <v>109</v>
      </c>
      <c r="BC568" s="31" t="s">
        <v>109</v>
      </c>
      <c r="BD568" s="32" t="str">
        <f t="shared" si="8"/>
        <v>nvl-nvs-imc-dsy-0820-10562</v>
      </c>
      <c r="BE568" s="33"/>
      <c r="BF568" s="33"/>
      <c r="BG568" s="39" t="str">
        <f>URL&amp;IF(ISNUMBER(FIND("?",URL)),"&amp;","?"&amp;("adlid="&amp;Unique_ID&amp;"&amp;adplt="&amp;Placement))</f>
        <v>#N/A</v>
      </c>
      <c r="BH568" s="1"/>
      <c r="BI568" s="1"/>
      <c r="BJ568" s="35" t="str">
        <f>LOWER("alp"&amp;"_"&amp;"vw"&amp;"_"&amp;Veiculo&amp;"_"&amp;C564&amp;"_"&amp;Objetivo)</f>
        <v>alp_vw___</v>
      </c>
      <c r="BK568" s="35" t="str">
        <f>LOWER(Buying_Metric&amp;"_"&amp;VLOOKUP(Buying_Type,Buy_type,2,FALSE)&amp;"_"&amp;Device&amp;"_"&amp;Size&amp;"_"&amp;Segmentação&amp;"_"&amp;Segmentação_Anúncio)</f>
        <v>#N/A</v>
      </c>
      <c r="BL568" s="35" t="str">
        <f>LOWER(Campanha_ou_InsertionOrder&amp;"_"&amp;LineItem_ou_Grupodeanúncio&amp;"_"&amp;Linha_criativa_2&amp;"_"&amp;Unique_ID)</f>
        <v>#N/A</v>
      </c>
      <c r="BM568" s="27"/>
      <c r="BN568" s="27"/>
    </row>
    <row r="569">
      <c r="A569" s="1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8" t="str">
        <f>LOWER(Campanha_ou_InsertionOrder&amp;"_"&amp;LineItem_ou_Grupodeanúncio&amp;"_"&amp;Linha_Criativa&amp;"_"&amp;Unique_ID)</f>
        <v>#N/A</v>
      </c>
      <c r="AN569" s="28" t="str">
        <f>LOWER(Campanha_ou_InsertionOrder&amp;"_"&amp;LineItem_ou_Grupodeanúncio&amp;"_"&amp;Linha_Criativa&amp;"_"&amp;Unique_ID)</f>
        <v>#N/A</v>
      </c>
      <c r="AO569" s="28" t="str">
        <f>LOWER("VW"&amp;"_"&amp;Model_Variant&amp;"_"&amp;Size&amp;"_"&amp;Linha_Criativa&amp;"_"&amp;IF(Servido_Por="portal",Veiculo,"adserver"))</f>
        <v>vw____adserver</v>
      </c>
      <c r="AP5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69" s="22" t="str">
        <f t="shared" si="1"/>
        <v/>
      </c>
      <c r="AS569" s="22" t="str">
        <f t="shared" si="2"/>
        <v/>
      </c>
      <c r="AT569" s="22" t="str">
        <f t="shared" si="3"/>
        <v>BR_IMC_DSY_LANCH_ND_NC_2020Q3AUG_NVS_Nivus-Launch-Consideracao</v>
      </c>
      <c r="AU569" s="22" t="str">
        <f t="shared" si="4"/>
        <v>#N/A</v>
      </c>
      <c r="AV569" s="22" t="s">
        <v>106</v>
      </c>
      <c r="AW5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69" s="22" t="str">
        <f t="shared" si="5"/>
        <v>BR_IMC_DSY_LANCH_ND_NC_2020Q3AUG_NVS_Nivus-Launch-Consideracao</v>
      </c>
      <c r="AY569" s="28" t="str">
        <f t="shared" si="6"/>
        <v>#N/A</v>
      </c>
      <c r="AZ569" s="22" t="s">
        <v>107</v>
      </c>
      <c r="BA569" s="22" t="s">
        <v>108</v>
      </c>
      <c r="BB569" s="31" t="s">
        <v>109</v>
      </c>
      <c r="BC569" s="31" t="s">
        <v>109</v>
      </c>
      <c r="BD569" s="32" t="str">
        <f t="shared" si="8"/>
        <v>nvl-nvs-imc-dsy-0820-10563</v>
      </c>
      <c r="BE569" s="33"/>
      <c r="BF569" s="33"/>
      <c r="BG569" s="39" t="str">
        <f>URL&amp;IF(ISNUMBER(FIND("?",URL)),"&amp;","?"&amp;("adlid="&amp;Unique_ID&amp;"&amp;adplt="&amp;Placement))</f>
        <v>#N/A</v>
      </c>
      <c r="BH569" s="1"/>
      <c r="BI569" s="1"/>
      <c r="BJ569" s="35" t="str">
        <f>LOWER("alp"&amp;"_"&amp;"vw"&amp;"_"&amp;Veiculo&amp;"_"&amp;C565&amp;"_"&amp;Objetivo)</f>
        <v>alp_vw___</v>
      </c>
      <c r="BK569" s="35" t="str">
        <f>LOWER(Buying_Metric&amp;"_"&amp;VLOOKUP(Buying_Type,Buy_type,2,FALSE)&amp;"_"&amp;Device&amp;"_"&amp;Size&amp;"_"&amp;Segmentação&amp;"_"&amp;Segmentação_Anúncio)</f>
        <v>#N/A</v>
      </c>
      <c r="BL569" s="35" t="str">
        <f>LOWER(Campanha_ou_InsertionOrder&amp;"_"&amp;LineItem_ou_Grupodeanúncio&amp;"_"&amp;Linha_criativa_2&amp;"_"&amp;Unique_ID)</f>
        <v>#N/A</v>
      </c>
      <c r="BM569" s="27"/>
      <c r="BN569" s="27"/>
    </row>
    <row r="570">
      <c r="A570" s="1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8" t="str">
        <f>LOWER(Campanha_ou_InsertionOrder&amp;"_"&amp;LineItem_ou_Grupodeanúncio&amp;"_"&amp;Linha_Criativa&amp;"_"&amp;Unique_ID)</f>
        <v>#N/A</v>
      </c>
      <c r="AN570" s="28" t="str">
        <f>LOWER(Campanha_ou_InsertionOrder&amp;"_"&amp;LineItem_ou_Grupodeanúncio&amp;"_"&amp;Linha_Criativa&amp;"_"&amp;Unique_ID)</f>
        <v>#N/A</v>
      </c>
      <c r="AO570" s="28" t="str">
        <f>LOWER("VW"&amp;"_"&amp;Model_Variant&amp;"_"&amp;Size&amp;"_"&amp;Linha_Criativa&amp;"_"&amp;IF(Servido_Por="portal",Veiculo,"adserver"))</f>
        <v>vw____adserver</v>
      </c>
      <c r="AP5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0" s="22" t="str">
        <f t="shared" si="1"/>
        <v/>
      </c>
      <c r="AS570" s="22" t="str">
        <f t="shared" si="2"/>
        <v/>
      </c>
      <c r="AT570" s="22" t="str">
        <f t="shared" si="3"/>
        <v>BR_IMC_DSY_LANCH_ND_NC_2020Q3AUG_NVS_Nivus-Launch-Consideracao</v>
      </c>
      <c r="AU570" s="22" t="str">
        <f t="shared" si="4"/>
        <v>#N/A</v>
      </c>
      <c r="AV570" s="22" t="s">
        <v>106</v>
      </c>
      <c r="AW5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0" s="22" t="str">
        <f t="shared" si="5"/>
        <v>BR_IMC_DSY_LANCH_ND_NC_2020Q3AUG_NVS_Nivus-Launch-Consideracao</v>
      </c>
      <c r="AY570" s="28" t="str">
        <f t="shared" si="6"/>
        <v>#N/A</v>
      </c>
      <c r="AZ570" s="22" t="s">
        <v>107</v>
      </c>
      <c r="BA570" s="22" t="s">
        <v>108</v>
      </c>
      <c r="BB570" s="31" t="s">
        <v>109</v>
      </c>
      <c r="BC570" s="31" t="s">
        <v>109</v>
      </c>
      <c r="BD570" s="32" t="str">
        <f t="shared" si="8"/>
        <v>nvl-nvs-imc-dsy-0820-10564</v>
      </c>
      <c r="BE570" s="33"/>
      <c r="BF570" s="33"/>
      <c r="BG570" s="39" t="str">
        <f>URL&amp;IF(ISNUMBER(FIND("?",URL)),"&amp;","?"&amp;("adlid="&amp;Unique_ID&amp;"&amp;adplt="&amp;Placement))</f>
        <v>#N/A</v>
      </c>
      <c r="BH570" s="1"/>
      <c r="BI570" s="1"/>
      <c r="BJ570" s="35" t="str">
        <f>LOWER("alp"&amp;"_"&amp;"vw"&amp;"_"&amp;Veiculo&amp;"_"&amp;C566&amp;"_"&amp;Objetivo)</f>
        <v>alp_vw___</v>
      </c>
      <c r="BK570" s="35" t="str">
        <f>LOWER(Buying_Metric&amp;"_"&amp;VLOOKUP(Buying_Type,Buy_type,2,FALSE)&amp;"_"&amp;Device&amp;"_"&amp;Size&amp;"_"&amp;Segmentação&amp;"_"&amp;Segmentação_Anúncio)</f>
        <v>#N/A</v>
      </c>
      <c r="BL570" s="35" t="str">
        <f>LOWER(Campanha_ou_InsertionOrder&amp;"_"&amp;LineItem_ou_Grupodeanúncio&amp;"_"&amp;Linha_criativa_2&amp;"_"&amp;Unique_ID)</f>
        <v>#N/A</v>
      </c>
      <c r="BM570" s="27"/>
      <c r="BN570" s="27"/>
    </row>
    <row r="571">
      <c r="A571" s="1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8" t="str">
        <f>LOWER(Campanha_ou_InsertionOrder&amp;"_"&amp;LineItem_ou_Grupodeanúncio&amp;"_"&amp;Linha_Criativa&amp;"_"&amp;Unique_ID)</f>
        <v>#N/A</v>
      </c>
      <c r="AN571" s="28" t="str">
        <f>LOWER(Campanha_ou_InsertionOrder&amp;"_"&amp;LineItem_ou_Grupodeanúncio&amp;"_"&amp;Linha_Criativa&amp;"_"&amp;Unique_ID)</f>
        <v>#N/A</v>
      </c>
      <c r="AO571" s="28" t="str">
        <f>LOWER("VW"&amp;"_"&amp;Model_Variant&amp;"_"&amp;Size&amp;"_"&amp;Linha_Criativa&amp;"_"&amp;IF(Servido_Por="portal",Veiculo,"adserver"))</f>
        <v>vw____adserver</v>
      </c>
      <c r="AP5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1" s="22" t="str">
        <f t="shared" si="1"/>
        <v/>
      </c>
      <c r="AS571" s="22" t="str">
        <f t="shared" si="2"/>
        <v/>
      </c>
      <c r="AT571" s="22" t="str">
        <f t="shared" si="3"/>
        <v>BR_IMC_DSY_LANCH_ND_NC_2020Q3AUG_NVS_Nivus-Launch-Consideracao</v>
      </c>
      <c r="AU571" s="22" t="str">
        <f t="shared" si="4"/>
        <v>#N/A</v>
      </c>
      <c r="AV571" s="22" t="s">
        <v>106</v>
      </c>
      <c r="AW5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1" s="22" t="str">
        <f t="shared" si="5"/>
        <v>BR_IMC_DSY_LANCH_ND_NC_2020Q3AUG_NVS_Nivus-Launch-Consideracao</v>
      </c>
      <c r="AY571" s="28" t="str">
        <f t="shared" si="6"/>
        <v>#N/A</v>
      </c>
      <c r="AZ571" s="22" t="s">
        <v>107</v>
      </c>
      <c r="BA571" s="22" t="s">
        <v>108</v>
      </c>
      <c r="BB571" s="31" t="s">
        <v>109</v>
      </c>
      <c r="BC571" s="31" t="s">
        <v>109</v>
      </c>
      <c r="BD571" s="32" t="str">
        <f t="shared" si="8"/>
        <v>nvl-nvs-imc-dsy-0820-10565</v>
      </c>
      <c r="BE571" s="33"/>
      <c r="BF571" s="33"/>
      <c r="BG571" s="39" t="str">
        <f>URL&amp;IF(ISNUMBER(FIND("?",URL)),"&amp;","?"&amp;("adlid="&amp;Unique_ID&amp;"&amp;adplt="&amp;Placement))</f>
        <v>#N/A</v>
      </c>
      <c r="BH571" s="1"/>
      <c r="BI571" s="1"/>
      <c r="BJ571" s="35" t="str">
        <f>LOWER("alp"&amp;"_"&amp;"vw"&amp;"_"&amp;Veiculo&amp;"_"&amp;C567&amp;"_"&amp;Objetivo)</f>
        <v>alp_vw___</v>
      </c>
      <c r="BK571" s="35" t="str">
        <f>LOWER(Buying_Metric&amp;"_"&amp;VLOOKUP(Buying_Type,Buy_type,2,FALSE)&amp;"_"&amp;Device&amp;"_"&amp;Size&amp;"_"&amp;Segmentação&amp;"_"&amp;Segmentação_Anúncio)</f>
        <v>#N/A</v>
      </c>
      <c r="BL571" s="35" t="str">
        <f>LOWER(Campanha_ou_InsertionOrder&amp;"_"&amp;LineItem_ou_Grupodeanúncio&amp;"_"&amp;Linha_criativa_2&amp;"_"&amp;Unique_ID)</f>
        <v>#N/A</v>
      </c>
      <c r="BM571" s="27"/>
      <c r="BN571" s="27"/>
    </row>
    <row r="572">
      <c r="A572" s="1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8" t="str">
        <f>LOWER(Campanha_ou_InsertionOrder&amp;"_"&amp;LineItem_ou_Grupodeanúncio&amp;"_"&amp;Linha_Criativa&amp;"_"&amp;Unique_ID)</f>
        <v>#N/A</v>
      </c>
      <c r="AN572" s="28" t="str">
        <f>LOWER(Campanha_ou_InsertionOrder&amp;"_"&amp;LineItem_ou_Grupodeanúncio&amp;"_"&amp;Linha_Criativa&amp;"_"&amp;Unique_ID)</f>
        <v>#N/A</v>
      </c>
      <c r="AO572" s="28" t="str">
        <f>LOWER("VW"&amp;"_"&amp;Model_Variant&amp;"_"&amp;Size&amp;"_"&amp;Linha_Criativa&amp;"_"&amp;IF(Servido_Por="portal",Veiculo,"adserver"))</f>
        <v>vw____adserver</v>
      </c>
      <c r="AP5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2" s="22" t="str">
        <f t="shared" si="1"/>
        <v/>
      </c>
      <c r="AS572" s="22" t="str">
        <f t="shared" si="2"/>
        <v/>
      </c>
      <c r="AT572" s="22" t="str">
        <f t="shared" si="3"/>
        <v>BR_IMC_DSY_LANCH_ND_NC_2020Q3AUG_NVS_Nivus-Launch-Consideracao</v>
      </c>
      <c r="AU572" s="22" t="str">
        <f t="shared" si="4"/>
        <v>#N/A</v>
      </c>
      <c r="AV572" s="22" t="s">
        <v>106</v>
      </c>
      <c r="AW5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2" s="22" t="str">
        <f t="shared" si="5"/>
        <v>BR_IMC_DSY_LANCH_ND_NC_2020Q3AUG_NVS_Nivus-Launch-Consideracao</v>
      </c>
      <c r="AY572" s="28" t="str">
        <f t="shared" si="6"/>
        <v>#N/A</v>
      </c>
      <c r="AZ572" s="22" t="s">
        <v>107</v>
      </c>
      <c r="BA572" s="22" t="s">
        <v>108</v>
      </c>
      <c r="BB572" s="31" t="s">
        <v>109</v>
      </c>
      <c r="BC572" s="31" t="s">
        <v>109</v>
      </c>
      <c r="BD572" s="32" t="str">
        <f t="shared" si="8"/>
        <v>nvl-nvs-imc-dsy-0820-10566</v>
      </c>
      <c r="BE572" s="33"/>
      <c r="BF572" s="33"/>
      <c r="BG572" s="39" t="str">
        <f>URL&amp;IF(ISNUMBER(FIND("?",URL)),"&amp;","?"&amp;("adlid="&amp;Unique_ID&amp;"&amp;adplt="&amp;Placement))</f>
        <v>#N/A</v>
      </c>
      <c r="BH572" s="1"/>
      <c r="BI572" s="1"/>
      <c r="BJ572" s="35" t="str">
        <f>LOWER("alp"&amp;"_"&amp;"vw"&amp;"_"&amp;Veiculo&amp;"_"&amp;C568&amp;"_"&amp;Objetivo)</f>
        <v>alp_vw___</v>
      </c>
      <c r="BK572" s="35" t="str">
        <f>LOWER(Buying_Metric&amp;"_"&amp;VLOOKUP(Buying_Type,Buy_type,2,FALSE)&amp;"_"&amp;Device&amp;"_"&amp;Size&amp;"_"&amp;Segmentação&amp;"_"&amp;Segmentação_Anúncio)</f>
        <v>#N/A</v>
      </c>
      <c r="BL572" s="35" t="str">
        <f>LOWER(Campanha_ou_InsertionOrder&amp;"_"&amp;LineItem_ou_Grupodeanúncio&amp;"_"&amp;Linha_criativa_2&amp;"_"&amp;Unique_ID)</f>
        <v>#N/A</v>
      </c>
      <c r="BM572" s="27"/>
      <c r="BN572" s="27"/>
    </row>
    <row r="573">
      <c r="A573" s="1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8" t="str">
        <f>LOWER(Campanha_ou_InsertionOrder&amp;"_"&amp;LineItem_ou_Grupodeanúncio&amp;"_"&amp;Linha_Criativa&amp;"_"&amp;Unique_ID)</f>
        <v>#N/A</v>
      </c>
      <c r="AN573" s="28" t="str">
        <f>LOWER(Campanha_ou_InsertionOrder&amp;"_"&amp;LineItem_ou_Grupodeanúncio&amp;"_"&amp;Linha_Criativa&amp;"_"&amp;Unique_ID)</f>
        <v>#N/A</v>
      </c>
      <c r="AO573" s="28" t="str">
        <f>LOWER("VW"&amp;"_"&amp;Model_Variant&amp;"_"&amp;Size&amp;"_"&amp;Linha_Criativa&amp;"_"&amp;IF(Servido_Por="portal",Veiculo,"adserver"))</f>
        <v>vw____adserver</v>
      </c>
      <c r="AP5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3" s="22" t="str">
        <f t="shared" si="1"/>
        <v/>
      </c>
      <c r="AS573" s="22" t="str">
        <f t="shared" si="2"/>
        <v/>
      </c>
      <c r="AT573" s="22" t="str">
        <f t="shared" si="3"/>
        <v>BR_IMC_DSY_LANCH_ND_NC_2020Q3AUG_NVS_Nivus-Launch-Consideracao</v>
      </c>
      <c r="AU573" s="22" t="str">
        <f t="shared" si="4"/>
        <v>#N/A</v>
      </c>
      <c r="AV573" s="22" t="s">
        <v>106</v>
      </c>
      <c r="AW5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3" s="22" t="str">
        <f t="shared" si="5"/>
        <v>BR_IMC_DSY_LANCH_ND_NC_2020Q3AUG_NVS_Nivus-Launch-Consideracao</v>
      </c>
      <c r="AY573" s="28" t="str">
        <f t="shared" si="6"/>
        <v>#N/A</v>
      </c>
      <c r="AZ573" s="22" t="s">
        <v>107</v>
      </c>
      <c r="BA573" s="22" t="s">
        <v>108</v>
      </c>
      <c r="BB573" s="31" t="s">
        <v>109</v>
      </c>
      <c r="BC573" s="31" t="s">
        <v>109</v>
      </c>
      <c r="BD573" s="32" t="str">
        <f t="shared" si="8"/>
        <v>nvl-nvs-imc-dsy-0820-10567</v>
      </c>
      <c r="BE573" s="33"/>
      <c r="BF573" s="33"/>
      <c r="BG573" s="39" t="str">
        <f>URL&amp;IF(ISNUMBER(FIND("?",URL)),"&amp;","?"&amp;("adlid="&amp;Unique_ID&amp;"&amp;adplt="&amp;Placement))</f>
        <v>#N/A</v>
      </c>
      <c r="BH573" s="1"/>
      <c r="BI573" s="1"/>
      <c r="BJ573" s="35" t="str">
        <f>LOWER("alp"&amp;"_"&amp;"vw"&amp;"_"&amp;Veiculo&amp;"_"&amp;C569&amp;"_"&amp;Objetivo)</f>
        <v>alp_vw___</v>
      </c>
      <c r="BK573" s="35" t="str">
        <f>LOWER(Buying_Metric&amp;"_"&amp;VLOOKUP(Buying_Type,Buy_type,2,FALSE)&amp;"_"&amp;Device&amp;"_"&amp;Size&amp;"_"&amp;Segmentação&amp;"_"&amp;Segmentação_Anúncio)</f>
        <v>#N/A</v>
      </c>
      <c r="BL573" s="35" t="str">
        <f>LOWER(Campanha_ou_InsertionOrder&amp;"_"&amp;LineItem_ou_Grupodeanúncio&amp;"_"&amp;Linha_criativa_2&amp;"_"&amp;Unique_ID)</f>
        <v>#N/A</v>
      </c>
      <c r="BM573" s="27"/>
      <c r="BN573" s="27"/>
    </row>
    <row r="574">
      <c r="A574" s="1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8" t="str">
        <f>LOWER(Campanha_ou_InsertionOrder&amp;"_"&amp;LineItem_ou_Grupodeanúncio&amp;"_"&amp;Linha_Criativa&amp;"_"&amp;Unique_ID)</f>
        <v>#N/A</v>
      </c>
      <c r="AN574" s="28" t="str">
        <f>LOWER(Campanha_ou_InsertionOrder&amp;"_"&amp;LineItem_ou_Grupodeanúncio&amp;"_"&amp;Linha_Criativa&amp;"_"&amp;Unique_ID)</f>
        <v>#N/A</v>
      </c>
      <c r="AO574" s="28" t="str">
        <f>LOWER("VW"&amp;"_"&amp;Model_Variant&amp;"_"&amp;Size&amp;"_"&amp;Linha_Criativa&amp;"_"&amp;IF(Servido_Por="portal",Veiculo,"adserver"))</f>
        <v>vw____adserver</v>
      </c>
      <c r="AP5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4" s="22" t="str">
        <f t="shared" si="1"/>
        <v/>
      </c>
      <c r="AS574" s="22" t="str">
        <f t="shared" si="2"/>
        <v/>
      </c>
      <c r="AT574" s="22" t="str">
        <f t="shared" si="3"/>
        <v>BR_IMC_DSY_LANCH_ND_NC_2020Q3AUG_NVS_Nivus-Launch-Consideracao</v>
      </c>
      <c r="AU574" s="22" t="str">
        <f t="shared" si="4"/>
        <v>#N/A</v>
      </c>
      <c r="AV574" s="22" t="s">
        <v>106</v>
      </c>
      <c r="AW5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4" s="22" t="str">
        <f t="shared" si="5"/>
        <v>BR_IMC_DSY_LANCH_ND_NC_2020Q3AUG_NVS_Nivus-Launch-Consideracao</v>
      </c>
      <c r="AY574" s="28" t="str">
        <f t="shared" si="6"/>
        <v>#N/A</v>
      </c>
      <c r="AZ574" s="22" t="s">
        <v>107</v>
      </c>
      <c r="BA574" s="22" t="s">
        <v>108</v>
      </c>
      <c r="BB574" s="31" t="s">
        <v>109</v>
      </c>
      <c r="BC574" s="31" t="s">
        <v>109</v>
      </c>
      <c r="BD574" s="32" t="str">
        <f t="shared" si="8"/>
        <v>nvl-nvs-imc-dsy-0820-10568</v>
      </c>
      <c r="BE574" s="33"/>
      <c r="BF574" s="33"/>
      <c r="BG574" s="39" t="str">
        <f>URL&amp;IF(ISNUMBER(FIND("?",URL)),"&amp;","?"&amp;("adlid="&amp;Unique_ID&amp;"&amp;adplt="&amp;Placement))</f>
        <v>#N/A</v>
      </c>
      <c r="BH574" s="1"/>
      <c r="BI574" s="1"/>
      <c r="BJ574" s="35" t="str">
        <f>LOWER("alp"&amp;"_"&amp;"vw"&amp;"_"&amp;Veiculo&amp;"_"&amp;C570&amp;"_"&amp;Objetivo)</f>
        <v>alp_vw___</v>
      </c>
      <c r="BK574" s="35" t="str">
        <f>LOWER(Buying_Metric&amp;"_"&amp;VLOOKUP(Buying_Type,Buy_type,2,FALSE)&amp;"_"&amp;Device&amp;"_"&amp;Size&amp;"_"&amp;Segmentação&amp;"_"&amp;Segmentação_Anúncio)</f>
        <v>#N/A</v>
      </c>
      <c r="BL574" s="35" t="str">
        <f>LOWER(Campanha_ou_InsertionOrder&amp;"_"&amp;LineItem_ou_Grupodeanúncio&amp;"_"&amp;Linha_criativa_2&amp;"_"&amp;Unique_ID)</f>
        <v>#N/A</v>
      </c>
      <c r="BM574" s="27"/>
      <c r="BN574" s="27"/>
    </row>
    <row r="575">
      <c r="A575" s="1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8" t="str">
        <f>LOWER(Campanha_ou_InsertionOrder&amp;"_"&amp;LineItem_ou_Grupodeanúncio&amp;"_"&amp;Linha_Criativa&amp;"_"&amp;Unique_ID)</f>
        <v>#N/A</v>
      </c>
      <c r="AN575" s="28" t="str">
        <f>LOWER(Campanha_ou_InsertionOrder&amp;"_"&amp;LineItem_ou_Grupodeanúncio&amp;"_"&amp;Linha_Criativa&amp;"_"&amp;Unique_ID)</f>
        <v>#N/A</v>
      </c>
      <c r="AO575" s="28" t="str">
        <f>LOWER("VW"&amp;"_"&amp;Model_Variant&amp;"_"&amp;Size&amp;"_"&amp;Linha_Criativa&amp;"_"&amp;IF(Servido_Por="portal",Veiculo,"adserver"))</f>
        <v>vw____adserver</v>
      </c>
      <c r="AP5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5" s="22" t="str">
        <f t="shared" si="1"/>
        <v/>
      </c>
      <c r="AS575" s="22" t="str">
        <f t="shared" si="2"/>
        <v/>
      </c>
      <c r="AT575" s="22" t="str">
        <f t="shared" si="3"/>
        <v>BR_IMC_DSY_LANCH_ND_NC_2020Q3AUG_NVS_Nivus-Launch-Consideracao</v>
      </c>
      <c r="AU575" s="22" t="str">
        <f t="shared" si="4"/>
        <v>#N/A</v>
      </c>
      <c r="AV575" s="22" t="s">
        <v>106</v>
      </c>
      <c r="AW5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5" s="22" t="str">
        <f t="shared" si="5"/>
        <v>BR_IMC_DSY_LANCH_ND_NC_2020Q3AUG_NVS_Nivus-Launch-Consideracao</v>
      </c>
      <c r="AY575" s="28" t="str">
        <f t="shared" si="6"/>
        <v>#N/A</v>
      </c>
      <c r="AZ575" s="22" t="s">
        <v>107</v>
      </c>
      <c r="BA575" s="22" t="s">
        <v>108</v>
      </c>
      <c r="BB575" s="31" t="s">
        <v>109</v>
      </c>
      <c r="BC575" s="31" t="s">
        <v>109</v>
      </c>
      <c r="BD575" s="32" t="str">
        <f t="shared" si="8"/>
        <v>nvl-nvs-imc-dsy-0820-10569</v>
      </c>
      <c r="BE575" s="33"/>
      <c r="BF575" s="33"/>
      <c r="BG575" s="39" t="str">
        <f>URL&amp;IF(ISNUMBER(FIND("?",URL)),"&amp;","?"&amp;("adlid="&amp;Unique_ID&amp;"&amp;adplt="&amp;Placement))</f>
        <v>#N/A</v>
      </c>
      <c r="BH575" s="1"/>
      <c r="BI575" s="1"/>
      <c r="BJ575" s="35" t="str">
        <f>LOWER("alp"&amp;"_"&amp;"vw"&amp;"_"&amp;Veiculo&amp;"_"&amp;C571&amp;"_"&amp;Objetivo)</f>
        <v>alp_vw___</v>
      </c>
      <c r="BK575" s="35" t="str">
        <f>LOWER(Buying_Metric&amp;"_"&amp;VLOOKUP(Buying_Type,Buy_type,2,FALSE)&amp;"_"&amp;Device&amp;"_"&amp;Size&amp;"_"&amp;Segmentação&amp;"_"&amp;Segmentação_Anúncio)</f>
        <v>#N/A</v>
      </c>
      <c r="BL575" s="35" t="str">
        <f>LOWER(Campanha_ou_InsertionOrder&amp;"_"&amp;LineItem_ou_Grupodeanúncio&amp;"_"&amp;Linha_criativa_2&amp;"_"&amp;Unique_ID)</f>
        <v>#N/A</v>
      </c>
      <c r="BM575" s="27"/>
      <c r="BN575" s="27"/>
    </row>
    <row r="576">
      <c r="A576" s="1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8" t="str">
        <f>LOWER(Campanha_ou_InsertionOrder&amp;"_"&amp;LineItem_ou_Grupodeanúncio&amp;"_"&amp;Linha_Criativa&amp;"_"&amp;Unique_ID)</f>
        <v>#N/A</v>
      </c>
      <c r="AN576" s="28" t="str">
        <f>LOWER(Campanha_ou_InsertionOrder&amp;"_"&amp;LineItem_ou_Grupodeanúncio&amp;"_"&amp;Linha_Criativa&amp;"_"&amp;Unique_ID)</f>
        <v>#N/A</v>
      </c>
      <c r="AO576" s="28" t="str">
        <f>LOWER("VW"&amp;"_"&amp;Model_Variant&amp;"_"&amp;Size&amp;"_"&amp;Linha_Criativa&amp;"_"&amp;IF(Servido_Por="portal",Veiculo,"adserver"))</f>
        <v>vw____adserver</v>
      </c>
      <c r="AP5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6" s="22" t="str">
        <f t="shared" si="1"/>
        <v/>
      </c>
      <c r="AS576" s="22" t="str">
        <f t="shared" si="2"/>
        <v/>
      </c>
      <c r="AT576" s="22" t="str">
        <f t="shared" si="3"/>
        <v>BR_IMC_DSY_LANCH_ND_NC_2020Q3AUG_NVS_Nivus-Launch-Consideracao</v>
      </c>
      <c r="AU576" s="22" t="str">
        <f t="shared" si="4"/>
        <v>#N/A</v>
      </c>
      <c r="AV576" s="22" t="s">
        <v>106</v>
      </c>
      <c r="AW5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6" s="22" t="str">
        <f t="shared" si="5"/>
        <v>BR_IMC_DSY_LANCH_ND_NC_2020Q3AUG_NVS_Nivus-Launch-Consideracao</v>
      </c>
      <c r="AY576" s="28" t="str">
        <f t="shared" si="6"/>
        <v>#N/A</v>
      </c>
      <c r="AZ576" s="22" t="s">
        <v>107</v>
      </c>
      <c r="BA576" s="22" t="s">
        <v>108</v>
      </c>
      <c r="BB576" s="31" t="s">
        <v>109</v>
      </c>
      <c r="BC576" s="31" t="s">
        <v>109</v>
      </c>
      <c r="BD576" s="32" t="str">
        <f t="shared" si="8"/>
        <v>nvl-nvs-imc-dsy-0820-10570</v>
      </c>
      <c r="BE576" s="33"/>
      <c r="BF576" s="33"/>
      <c r="BG576" s="39" t="str">
        <f>URL&amp;IF(ISNUMBER(FIND("?",URL)),"&amp;","?"&amp;("adlid="&amp;Unique_ID&amp;"&amp;adplt="&amp;Placement))</f>
        <v>#N/A</v>
      </c>
      <c r="BH576" s="1"/>
      <c r="BI576" s="1"/>
      <c r="BJ576" s="35" t="str">
        <f>LOWER("alp"&amp;"_"&amp;"vw"&amp;"_"&amp;Veiculo&amp;"_"&amp;C572&amp;"_"&amp;Objetivo)</f>
        <v>alp_vw___</v>
      </c>
      <c r="BK576" s="35" t="str">
        <f>LOWER(Buying_Metric&amp;"_"&amp;VLOOKUP(Buying_Type,Buy_type,2,FALSE)&amp;"_"&amp;Device&amp;"_"&amp;Size&amp;"_"&amp;Segmentação&amp;"_"&amp;Segmentação_Anúncio)</f>
        <v>#N/A</v>
      </c>
      <c r="BL576" s="35" t="str">
        <f>LOWER(Campanha_ou_InsertionOrder&amp;"_"&amp;LineItem_ou_Grupodeanúncio&amp;"_"&amp;Linha_criativa_2&amp;"_"&amp;Unique_ID)</f>
        <v>#N/A</v>
      </c>
      <c r="BM576" s="27"/>
      <c r="BN576" s="27"/>
    </row>
    <row r="577">
      <c r="A577" s="1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8" t="str">
        <f>LOWER(Campanha_ou_InsertionOrder&amp;"_"&amp;LineItem_ou_Grupodeanúncio&amp;"_"&amp;Linha_Criativa&amp;"_"&amp;Unique_ID)</f>
        <v>#N/A</v>
      </c>
      <c r="AN577" s="28" t="str">
        <f>LOWER(Campanha_ou_InsertionOrder&amp;"_"&amp;LineItem_ou_Grupodeanúncio&amp;"_"&amp;Linha_Criativa&amp;"_"&amp;Unique_ID)</f>
        <v>#N/A</v>
      </c>
      <c r="AO577" s="28" t="str">
        <f>LOWER("VW"&amp;"_"&amp;Model_Variant&amp;"_"&amp;Size&amp;"_"&amp;Linha_Criativa&amp;"_"&amp;IF(Servido_Por="portal",Veiculo,"adserver"))</f>
        <v>vw____adserver</v>
      </c>
      <c r="AP5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7" s="22" t="str">
        <f t="shared" si="1"/>
        <v/>
      </c>
      <c r="AS577" s="22" t="str">
        <f t="shared" si="2"/>
        <v/>
      </c>
      <c r="AT577" s="22" t="str">
        <f t="shared" si="3"/>
        <v>BR_IMC_DSY_LANCH_ND_NC_2020Q3AUG_NVS_Nivus-Launch-Consideracao</v>
      </c>
      <c r="AU577" s="22" t="str">
        <f t="shared" si="4"/>
        <v>#N/A</v>
      </c>
      <c r="AV577" s="22" t="s">
        <v>106</v>
      </c>
      <c r="AW5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7" s="22" t="str">
        <f t="shared" si="5"/>
        <v>BR_IMC_DSY_LANCH_ND_NC_2020Q3AUG_NVS_Nivus-Launch-Consideracao</v>
      </c>
      <c r="AY577" s="28" t="str">
        <f t="shared" si="6"/>
        <v>#N/A</v>
      </c>
      <c r="AZ577" s="22" t="s">
        <v>107</v>
      </c>
      <c r="BA577" s="22" t="s">
        <v>108</v>
      </c>
      <c r="BB577" s="31" t="s">
        <v>109</v>
      </c>
      <c r="BC577" s="31" t="s">
        <v>109</v>
      </c>
      <c r="BD577" s="32" t="str">
        <f t="shared" si="8"/>
        <v>nvl-nvs-imc-dsy-0820-10571</v>
      </c>
      <c r="BE577" s="33"/>
      <c r="BF577" s="33"/>
      <c r="BG577" s="39" t="str">
        <f>URL&amp;IF(ISNUMBER(FIND("?",URL)),"&amp;","?"&amp;("adlid="&amp;Unique_ID&amp;"&amp;adplt="&amp;Placement))</f>
        <v>#N/A</v>
      </c>
      <c r="BH577" s="1"/>
      <c r="BI577" s="1"/>
      <c r="BJ577" s="35" t="str">
        <f>LOWER("alp"&amp;"_"&amp;"vw"&amp;"_"&amp;Veiculo&amp;"_"&amp;C573&amp;"_"&amp;Objetivo)</f>
        <v>alp_vw___</v>
      </c>
      <c r="BK577" s="35" t="str">
        <f>LOWER(Buying_Metric&amp;"_"&amp;VLOOKUP(Buying_Type,Buy_type,2,FALSE)&amp;"_"&amp;Device&amp;"_"&amp;Size&amp;"_"&amp;Segmentação&amp;"_"&amp;Segmentação_Anúncio)</f>
        <v>#N/A</v>
      </c>
      <c r="BL577" s="35" t="str">
        <f>LOWER(Campanha_ou_InsertionOrder&amp;"_"&amp;LineItem_ou_Grupodeanúncio&amp;"_"&amp;Linha_criativa_2&amp;"_"&amp;Unique_ID)</f>
        <v>#N/A</v>
      </c>
      <c r="BM577" s="27"/>
      <c r="BN577" s="27"/>
    </row>
    <row r="578">
      <c r="A578" s="1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8" t="str">
        <f>LOWER(Campanha_ou_InsertionOrder&amp;"_"&amp;LineItem_ou_Grupodeanúncio&amp;"_"&amp;Linha_Criativa&amp;"_"&amp;Unique_ID)</f>
        <v>#N/A</v>
      </c>
      <c r="AN578" s="28" t="str">
        <f>LOWER(Campanha_ou_InsertionOrder&amp;"_"&amp;LineItem_ou_Grupodeanúncio&amp;"_"&amp;Linha_Criativa&amp;"_"&amp;Unique_ID)</f>
        <v>#N/A</v>
      </c>
      <c r="AO578" s="28" t="str">
        <f>LOWER("VW"&amp;"_"&amp;Model_Variant&amp;"_"&amp;Size&amp;"_"&amp;Linha_Criativa&amp;"_"&amp;IF(Servido_Por="portal",Veiculo,"adserver"))</f>
        <v>vw____adserver</v>
      </c>
      <c r="AP5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8" s="22" t="str">
        <f t="shared" si="1"/>
        <v/>
      </c>
      <c r="AS578" s="22" t="str">
        <f t="shared" si="2"/>
        <v/>
      </c>
      <c r="AT578" s="22" t="str">
        <f t="shared" si="3"/>
        <v>BR_IMC_DSY_LANCH_ND_NC_2020Q3AUG_NVS_Nivus-Launch-Consideracao</v>
      </c>
      <c r="AU578" s="22" t="str">
        <f t="shared" si="4"/>
        <v>#N/A</v>
      </c>
      <c r="AV578" s="22" t="s">
        <v>106</v>
      </c>
      <c r="AW5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8" s="22" t="str">
        <f t="shared" si="5"/>
        <v>BR_IMC_DSY_LANCH_ND_NC_2020Q3AUG_NVS_Nivus-Launch-Consideracao</v>
      </c>
      <c r="AY578" s="28" t="str">
        <f t="shared" si="6"/>
        <v>#N/A</v>
      </c>
      <c r="AZ578" s="22" t="s">
        <v>107</v>
      </c>
      <c r="BA578" s="22" t="s">
        <v>108</v>
      </c>
      <c r="BB578" s="31" t="s">
        <v>109</v>
      </c>
      <c r="BC578" s="31" t="s">
        <v>109</v>
      </c>
      <c r="BD578" s="32" t="str">
        <f t="shared" si="8"/>
        <v>nvl-nvs-imc-dsy-0820-10572</v>
      </c>
      <c r="BE578" s="33"/>
      <c r="BF578" s="33"/>
      <c r="BG578" s="39" t="str">
        <f>URL&amp;IF(ISNUMBER(FIND("?",URL)),"&amp;","?"&amp;("adlid="&amp;Unique_ID&amp;"&amp;adplt="&amp;Placement))</f>
        <v>#N/A</v>
      </c>
      <c r="BH578" s="1"/>
      <c r="BI578" s="1"/>
      <c r="BJ578" s="35" t="str">
        <f>LOWER("alp"&amp;"_"&amp;"vw"&amp;"_"&amp;Veiculo&amp;"_"&amp;C574&amp;"_"&amp;Objetivo)</f>
        <v>alp_vw___</v>
      </c>
      <c r="BK578" s="35" t="str">
        <f>LOWER(Buying_Metric&amp;"_"&amp;VLOOKUP(Buying_Type,Buy_type,2,FALSE)&amp;"_"&amp;Device&amp;"_"&amp;Size&amp;"_"&amp;Segmentação&amp;"_"&amp;Segmentação_Anúncio)</f>
        <v>#N/A</v>
      </c>
      <c r="BL578" s="35" t="str">
        <f>LOWER(Campanha_ou_InsertionOrder&amp;"_"&amp;LineItem_ou_Grupodeanúncio&amp;"_"&amp;Linha_criativa_2&amp;"_"&amp;Unique_ID)</f>
        <v>#N/A</v>
      </c>
      <c r="BM578" s="27"/>
      <c r="BN578" s="27"/>
    </row>
    <row r="579">
      <c r="A579" s="1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8" t="str">
        <f>LOWER(Campanha_ou_InsertionOrder&amp;"_"&amp;LineItem_ou_Grupodeanúncio&amp;"_"&amp;Linha_Criativa&amp;"_"&amp;Unique_ID)</f>
        <v>#N/A</v>
      </c>
      <c r="AN579" s="28" t="str">
        <f>LOWER(Campanha_ou_InsertionOrder&amp;"_"&amp;LineItem_ou_Grupodeanúncio&amp;"_"&amp;Linha_Criativa&amp;"_"&amp;Unique_ID)</f>
        <v>#N/A</v>
      </c>
      <c r="AO579" s="28" t="str">
        <f>LOWER("VW"&amp;"_"&amp;Model_Variant&amp;"_"&amp;Size&amp;"_"&amp;Linha_Criativa&amp;"_"&amp;IF(Servido_Por="portal",Veiculo,"adserver"))</f>
        <v>vw____adserver</v>
      </c>
      <c r="AP5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79" s="22" t="str">
        <f t="shared" si="1"/>
        <v/>
      </c>
      <c r="AS579" s="22" t="str">
        <f t="shared" si="2"/>
        <v/>
      </c>
      <c r="AT579" s="22" t="str">
        <f t="shared" si="3"/>
        <v>BR_IMC_DSY_LANCH_ND_NC_2020Q3AUG_NVS_Nivus-Launch-Consideracao</v>
      </c>
      <c r="AU579" s="22" t="str">
        <f t="shared" si="4"/>
        <v>#N/A</v>
      </c>
      <c r="AV579" s="22" t="s">
        <v>106</v>
      </c>
      <c r="AW5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79" s="22" t="str">
        <f t="shared" si="5"/>
        <v>BR_IMC_DSY_LANCH_ND_NC_2020Q3AUG_NVS_Nivus-Launch-Consideracao</v>
      </c>
      <c r="AY579" s="28" t="str">
        <f t="shared" si="6"/>
        <v>#N/A</v>
      </c>
      <c r="AZ579" s="22" t="s">
        <v>107</v>
      </c>
      <c r="BA579" s="22" t="s">
        <v>108</v>
      </c>
      <c r="BB579" s="31" t="s">
        <v>109</v>
      </c>
      <c r="BC579" s="31" t="s">
        <v>109</v>
      </c>
      <c r="BD579" s="32" t="str">
        <f t="shared" si="8"/>
        <v>nvl-nvs-imc-dsy-0820-10573</v>
      </c>
      <c r="BE579" s="33"/>
      <c r="BF579" s="33"/>
      <c r="BG579" s="39" t="str">
        <f>URL&amp;IF(ISNUMBER(FIND("?",URL)),"&amp;","?"&amp;("adlid="&amp;Unique_ID&amp;"&amp;adplt="&amp;Placement))</f>
        <v>#N/A</v>
      </c>
      <c r="BH579" s="1"/>
      <c r="BI579" s="1"/>
      <c r="BJ579" s="35" t="str">
        <f>LOWER("alp"&amp;"_"&amp;"vw"&amp;"_"&amp;Veiculo&amp;"_"&amp;C575&amp;"_"&amp;Objetivo)</f>
        <v>alp_vw___</v>
      </c>
      <c r="BK579" s="35" t="str">
        <f>LOWER(Buying_Metric&amp;"_"&amp;VLOOKUP(Buying_Type,Buy_type,2,FALSE)&amp;"_"&amp;Device&amp;"_"&amp;Size&amp;"_"&amp;Segmentação&amp;"_"&amp;Segmentação_Anúncio)</f>
        <v>#N/A</v>
      </c>
      <c r="BL579" s="35" t="str">
        <f>LOWER(Campanha_ou_InsertionOrder&amp;"_"&amp;LineItem_ou_Grupodeanúncio&amp;"_"&amp;Linha_criativa_2&amp;"_"&amp;Unique_ID)</f>
        <v>#N/A</v>
      </c>
      <c r="BM579" s="27"/>
      <c r="BN579" s="27"/>
    </row>
    <row r="580">
      <c r="A580" s="1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8" t="str">
        <f>LOWER(Campanha_ou_InsertionOrder&amp;"_"&amp;LineItem_ou_Grupodeanúncio&amp;"_"&amp;Linha_Criativa&amp;"_"&amp;Unique_ID)</f>
        <v>#N/A</v>
      </c>
      <c r="AN580" s="28" t="str">
        <f>LOWER(Campanha_ou_InsertionOrder&amp;"_"&amp;LineItem_ou_Grupodeanúncio&amp;"_"&amp;Linha_Criativa&amp;"_"&amp;Unique_ID)</f>
        <v>#N/A</v>
      </c>
      <c r="AO580" s="28" t="str">
        <f>LOWER("VW"&amp;"_"&amp;Model_Variant&amp;"_"&amp;Size&amp;"_"&amp;Linha_Criativa&amp;"_"&amp;IF(Servido_Por="portal",Veiculo,"adserver"))</f>
        <v>vw____adserver</v>
      </c>
      <c r="AP5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0" s="22" t="str">
        <f t="shared" si="1"/>
        <v/>
      </c>
      <c r="AS580" s="22" t="str">
        <f t="shared" si="2"/>
        <v/>
      </c>
      <c r="AT580" s="22" t="str">
        <f t="shared" si="3"/>
        <v>BR_IMC_DSY_LANCH_ND_NC_2020Q3AUG_NVS_Nivus-Launch-Consideracao</v>
      </c>
      <c r="AU580" s="22" t="str">
        <f t="shared" si="4"/>
        <v>#N/A</v>
      </c>
      <c r="AV580" s="22" t="s">
        <v>106</v>
      </c>
      <c r="AW5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0" s="22" t="str">
        <f t="shared" si="5"/>
        <v>BR_IMC_DSY_LANCH_ND_NC_2020Q3AUG_NVS_Nivus-Launch-Consideracao</v>
      </c>
      <c r="AY580" s="28" t="str">
        <f t="shared" si="6"/>
        <v>#N/A</v>
      </c>
      <c r="AZ580" s="22" t="s">
        <v>107</v>
      </c>
      <c r="BA580" s="22" t="s">
        <v>108</v>
      </c>
      <c r="BB580" s="31" t="s">
        <v>109</v>
      </c>
      <c r="BC580" s="31" t="s">
        <v>109</v>
      </c>
      <c r="BD580" s="32" t="str">
        <f t="shared" si="8"/>
        <v>nvl-nvs-imc-dsy-0820-10574</v>
      </c>
      <c r="BE580" s="33"/>
      <c r="BF580" s="33"/>
      <c r="BG580" s="39" t="str">
        <f>URL&amp;IF(ISNUMBER(FIND("?",URL)),"&amp;","?"&amp;("adlid="&amp;Unique_ID&amp;"&amp;adplt="&amp;Placement))</f>
        <v>#N/A</v>
      </c>
      <c r="BH580" s="1"/>
      <c r="BI580" s="1"/>
      <c r="BJ580" s="35" t="str">
        <f>LOWER("alp"&amp;"_"&amp;"vw"&amp;"_"&amp;Veiculo&amp;"_"&amp;C576&amp;"_"&amp;Objetivo)</f>
        <v>alp_vw___</v>
      </c>
      <c r="BK580" s="35" t="str">
        <f>LOWER(Buying_Metric&amp;"_"&amp;VLOOKUP(Buying_Type,Buy_type,2,FALSE)&amp;"_"&amp;Device&amp;"_"&amp;Size&amp;"_"&amp;Segmentação&amp;"_"&amp;Segmentação_Anúncio)</f>
        <v>#N/A</v>
      </c>
      <c r="BL580" s="35" t="str">
        <f>LOWER(Campanha_ou_InsertionOrder&amp;"_"&amp;LineItem_ou_Grupodeanúncio&amp;"_"&amp;Linha_criativa_2&amp;"_"&amp;Unique_ID)</f>
        <v>#N/A</v>
      </c>
      <c r="BM580" s="27"/>
      <c r="BN580" s="27"/>
    </row>
    <row r="581">
      <c r="A581" s="1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8" t="str">
        <f>LOWER(Campanha_ou_InsertionOrder&amp;"_"&amp;LineItem_ou_Grupodeanúncio&amp;"_"&amp;Linha_Criativa&amp;"_"&amp;Unique_ID)</f>
        <v>#N/A</v>
      </c>
      <c r="AN581" s="28" t="str">
        <f>LOWER(Campanha_ou_InsertionOrder&amp;"_"&amp;LineItem_ou_Grupodeanúncio&amp;"_"&amp;Linha_Criativa&amp;"_"&amp;Unique_ID)</f>
        <v>#N/A</v>
      </c>
      <c r="AO581" s="28" t="str">
        <f>LOWER("VW"&amp;"_"&amp;Model_Variant&amp;"_"&amp;Size&amp;"_"&amp;Linha_Criativa&amp;"_"&amp;IF(Servido_Por="portal",Veiculo,"adserver"))</f>
        <v>vw____adserver</v>
      </c>
      <c r="AP5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1" s="22" t="str">
        <f t="shared" si="1"/>
        <v/>
      </c>
      <c r="AS581" s="22" t="str">
        <f t="shared" si="2"/>
        <v/>
      </c>
      <c r="AT581" s="22" t="str">
        <f t="shared" si="3"/>
        <v>BR_IMC_DSY_LANCH_ND_NC_2020Q3AUG_NVS_Nivus-Launch-Consideracao</v>
      </c>
      <c r="AU581" s="22" t="str">
        <f t="shared" si="4"/>
        <v>#N/A</v>
      </c>
      <c r="AV581" s="22" t="s">
        <v>106</v>
      </c>
      <c r="AW5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1" s="22" t="str">
        <f t="shared" si="5"/>
        <v>BR_IMC_DSY_LANCH_ND_NC_2020Q3AUG_NVS_Nivus-Launch-Consideracao</v>
      </c>
      <c r="AY581" s="28" t="str">
        <f t="shared" si="6"/>
        <v>#N/A</v>
      </c>
      <c r="AZ581" s="22" t="s">
        <v>107</v>
      </c>
      <c r="BA581" s="22" t="s">
        <v>108</v>
      </c>
      <c r="BB581" s="31" t="s">
        <v>109</v>
      </c>
      <c r="BC581" s="31" t="s">
        <v>109</v>
      </c>
      <c r="BD581" s="32" t="str">
        <f t="shared" si="8"/>
        <v>nvl-nvs-imc-dsy-0820-10575</v>
      </c>
      <c r="BE581" s="33"/>
      <c r="BF581" s="33"/>
      <c r="BG581" s="39" t="str">
        <f>URL&amp;IF(ISNUMBER(FIND("?",URL)),"&amp;","?"&amp;("adlid="&amp;Unique_ID&amp;"&amp;adplt="&amp;Placement))</f>
        <v>#N/A</v>
      </c>
      <c r="BH581" s="1"/>
      <c r="BI581" s="1"/>
      <c r="BJ581" s="35" t="str">
        <f>LOWER("alp"&amp;"_"&amp;"vw"&amp;"_"&amp;Veiculo&amp;"_"&amp;C577&amp;"_"&amp;Objetivo)</f>
        <v>alp_vw___</v>
      </c>
      <c r="BK581" s="35" t="str">
        <f>LOWER(Buying_Metric&amp;"_"&amp;VLOOKUP(Buying_Type,Buy_type,2,FALSE)&amp;"_"&amp;Device&amp;"_"&amp;Size&amp;"_"&amp;Segmentação&amp;"_"&amp;Segmentação_Anúncio)</f>
        <v>#N/A</v>
      </c>
      <c r="BL581" s="35" t="str">
        <f>LOWER(Campanha_ou_InsertionOrder&amp;"_"&amp;LineItem_ou_Grupodeanúncio&amp;"_"&amp;Linha_criativa_2&amp;"_"&amp;Unique_ID)</f>
        <v>#N/A</v>
      </c>
      <c r="BM581" s="27"/>
      <c r="BN581" s="27"/>
    </row>
    <row r="582">
      <c r="A582" s="1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8" t="str">
        <f>LOWER(Campanha_ou_InsertionOrder&amp;"_"&amp;LineItem_ou_Grupodeanúncio&amp;"_"&amp;Linha_Criativa&amp;"_"&amp;Unique_ID)</f>
        <v>#N/A</v>
      </c>
      <c r="AN582" s="28" t="str">
        <f>LOWER(Campanha_ou_InsertionOrder&amp;"_"&amp;LineItem_ou_Grupodeanúncio&amp;"_"&amp;Linha_Criativa&amp;"_"&amp;Unique_ID)</f>
        <v>#N/A</v>
      </c>
      <c r="AO582" s="28" t="str">
        <f>LOWER("VW"&amp;"_"&amp;Model_Variant&amp;"_"&amp;Size&amp;"_"&amp;Linha_Criativa&amp;"_"&amp;IF(Servido_Por="portal",Veiculo,"adserver"))</f>
        <v>vw____adserver</v>
      </c>
      <c r="AP5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2" s="22" t="str">
        <f t="shared" si="1"/>
        <v/>
      </c>
      <c r="AS582" s="22" t="str">
        <f t="shared" si="2"/>
        <v/>
      </c>
      <c r="AT582" s="22" t="str">
        <f t="shared" si="3"/>
        <v>BR_IMC_DSY_LANCH_ND_NC_2020Q3AUG_NVS_Nivus-Launch-Consideracao</v>
      </c>
      <c r="AU582" s="22" t="str">
        <f t="shared" si="4"/>
        <v>#N/A</v>
      </c>
      <c r="AV582" s="22" t="s">
        <v>106</v>
      </c>
      <c r="AW5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2" s="22" t="str">
        <f t="shared" si="5"/>
        <v>BR_IMC_DSY_LANCH_ND_NC_2020Q3AUG_NVS_Nivus-Launch-Consideracao</v>
      </c>
      <c r="AY582" s="28" t="str">
        <f t="shared" si="6"/>
        <v>#N/A</v>
      </c>
      <c r="AZ582" s="22" t="s">
        <v>107</v>
      </c>
      <c r="BA582" s="22" t="s">
        <v>108</v>
      </c>
      <c r="BB582" s="31" t="s">
        <v>109</v>
      </c>
      <c r="BC582" s="31" t="s">
        <v>109</v>
      </c>
      <c r="BD582" s="32" t="str">
        <f t="shared" si="8"/>
        <v>nvl-nvs-imc-dsy-0820-10576</v>
      </c>
      <c r="BE582" s="33"/>
      <c r="BF582" s="33"/>
      <c r="BG582" s="39" t="str">
        <f>URL&amp;IF(ISNUMBER(FIND("?",URL)),"&amp;","?"&amp;("adlid="&amp;Unique_ID&amp;"&amp;adplt="&amp;Placement))</f>
        <v>#N/A</v>
      </c>
      <c r="BH582" s="1"/>
      <c r="BI582" s="1"/>
      <c r="BJ582" s="35" t="str">
        <f>LOWER("alp"&amp;"_"&amp;"vw"&amp;"_"&amp;Veiculo&amp;"_"&amp;C578&amp;"_"&amp;Objetivo)</f>
        <v>alp_vw___</v>
      </c>
      <c r="BK582" s="35" t="str">
        <f>LOWER(Buying_Metric&amp;"_"&amp;VLOOKUP(Buying_Type,Buy_type,2,FALSE)&amp;"_"&amp;Device&amp;"_"&amp;Size&amp;"_"&amp;Segmentação&amp;"_"&amp;Segmentação_Anúncio)</f>
        <v>#N/A</v>
      </c>
      <c r="BL582" s="35" t="str">
        <f>LOWER(Campanha_ou_InsertionOrder&amp;"_"&amp;LineItem_ou_Grupodeanúncio&amp;"_"&amp;Linha_criativa_2&amp;"_"&amp;Unique_ID)</f>
        <v>#N/A</v>
      </c>
      <c r="BM582" s="27"/>
      <c r="BN582" s="27"/>
    </row>
    <row r="583">
      <c r="A583" s="1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8" t="str">
        <f>LOWER(Campanha_ou_InsertionOrder&amp;"_"&amp;LineItem_ou_Grupodeanúncio&amp;"_"&amp;Linha_Criativa&amp;"_"&amp;Unique_ID)</f>
        <v>#N/A</v>
      </c>
      <c r="AN583" s="28" t="str">
        <f>LOWER(Campanha_ou_InsertionOrder&amp;"_"&amp;LineItem_ou_Grupodeanúncio&amp;"_"&amp;Linha_Criativa&amp;"_"&amp;Unique_ID)</f>
        <v>#N/A</v>
      </c>
      <c r="AO583" s="28" t="str">
        <f>LOWER("VW"&amp;"_"&amp;Model_Variant&amp;"_"&amp;Size&amp;"_"&amp;Linha_Criativa&amp;"_"&amp;IF(Servido_Por="portal",Veiculo,"adserver"))</f>
        <v>vw____adserver</v>
      </c>
      <c r="AP5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3" s="22" t="str">
        <f t="shared" si="1"/>
        <v/>
      </c>
      <c r="AS583" s="22" t="str">
        <f t="shared" si="2"/>
        <v/>
      </c>
      <c r="AT583" s="22" t="str">
        <f t="shared" si="3"/>
        <v>BR_IMC_DSY_LANCH_ND_NC_2020Q3AUG_NVS_Nivus-Launch-Consideracao</v>
      </c>
      <c r="AU583" s="22" t="str">
        <f t="shared" si="4"/>
        <v>#N/A</v>
      </c>
      <c r="AV583" s="22" t="s">
        <v>106</v>
      </c>
      <c r="AW5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3" s="22" t="str">
        <f t="shared" si="5"/>
        <v>BR_IMC_DSY_LANCH_ND_NC_2020Q3AUG_NVS_Nivus-Launch-Consideracao</v>
      </c>
      <c r="AY583" s="28" t="str">
        <f t="shared" si="6"/>
        <v>#N/A</v>
      </c>
      <c r="AZ583" s="22" t="s">
        <v>107</v>
      </c>
      <c r="BA583" s="22" t="s">
        <v>108</v>
      </c>
      <c r="BB583" s="31" t="s">
        <v>109</v>
      </c>
      <c r="BC583" s="31" t="s">
        <v>109</v>
      </c>
      <c r="BD583" s="32" t="str">
        <f t="shared" si="8"/>
        <v>nvl-nvs-imc-dsy-0820-10577</v>
      </c>
      <c r="BE583" s="33"/>
      <c r="BF583" s="33"/>
      <c r="BG583" s="39" t="str">
        <f>URL&amp;IF(ISNUMBER(FIND("?",URL)),"&amp;","?"&amp;("adlid="&amp;Unique_ID&amp;"&amp;adplt="&amp;Placement))</f>
        <v>#N/A</v>
      </c>
      <c r="BH583" s="1"/>
      <c r="BI583" s="1"/>
      <c r="BJ583" s="35" t="str">
        <f>LOWER("alp"&amp;"_"&amp;"vw"&amp;"_"&amp;Veiculo&amp;"_"&amp;C579&amp;"_"&amp;Objetivo)</f>
        <v>alp_vw___</v>
      </c>
      <c r="BK583" s="35" t="str">
        <f>LOWER(Buying_Metric&amp;"_"&amp;VLOOKUP(Buying_Type,Buy_type,2,FALSE)&amp;"_"&amp;Device&amp;"_"&amp;Size&amp;"_"&amp;Segmentação&amp;"_"&amp;Segmentação_Anúncio)</f>
        <v>#N/A</v>
      </c>
      <c r="BL583" s="35" t="str">
        <f>LOWER(Campanha_ou_InsertionOrder&amp;"_"&amp;LineItem_ou_Grupodeanúncio&amp;"_"&amp;Linha_criativa_2&amp;"_"&amp;Unique_ID)</f>
        <v>#N/A</v>
      </c>
      <c r="BM583" s="27"/>
      <c r="BN583" s="27"/>
    </row>
    <row r="584">
      <c r="A584" s="1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8" t="str">
        <f>LOWER(Campanha_ou_InsertionOrder&amp;"_"&amp;LineItem_ou_Grupodeanúncio&amp;"_"&amp;Linha_Criativa&amp;"_"&amp;Unique_ID)</f>
        <v>#N/A</v>
      </c>
      <c r="AN584" s="28" t="str">
        <f>LOWER(Campanha_ou_InsertionOrder&amp;"_"&amp;LineItem_ou_Grupodeanúncio&amp;"_"&amp;Linha_Criativa&amp;"_"&amp;Unique_ID)</f>
        <v>#N/A</v>
      </c>
      <c r="AO584" s="28" t="str">
        <f>LOWER("VW"&amp;"_"&amp;Model_Variant&amp;"_"&amp;Size&amp;"_"&amp;Linha_Criativa&amp;"_"&amp;IF(Servido_Por="portal",Veiculo,"adserver"))</f>
        <v>vw____adserver</v>
      </c>
      <c r="AP5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4" s="22" t="str">
        <f t="shared" si="1"/>
        <v/>
      </c>
      <c r="AS584" s="22" t="str">
        <f t="shared" si="2"/>
        <v/>
      </c>
      <c r="AT584" s="22" t="str">
        <f t="shared" si="3"/>
        <v>BR_IMC_DSY_LANCH_ND_NC_2020Q3AUG_NVS_Nivus-Launch-Consideracao</v>
      </c>
      <c r="AU584" s="22" t="str">
        <f t="shared" si="4"/>
        <v>#N/A</v>
      </c>
      <c r="AV584" s="22" t="s">
        <v>106</v>
      </c>
      <c r="AW5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4" s="22" t="str">
        <f t="shared" si="5"/>
        <v>BR_IMC_DSY_LANCH_ND_NC_2020Q3AUG_NVS_Nivus-Launch-Consideracao</v>
      </c>
      <c r="AY584" s="28" t="str">
        <f t="shared" si="6"/>
        <v>#N/A</v>
      </c>
      <c r="AZ584" s="22" t="s">
        <v>107</v>
      </c>
      <c r="BA584" s="22" t="s">
        <v>108</v>
      </c>
      <c r="BB584" s="31" t="s">
        <v>109</v>
      </c>
      <c r="BC584" s="31" t="s">
        <v>109</v>
      </c>
      <c r="BD584" s="32" t="str">
        <f t="shared" si="8"/>
        <v>nvl-nvs-imc-dsy-0820-10578</v>
      </c>
      <c r="BE584" s="33"/>
      <c r="BF584" s="33"/>
      <c r="BG584" s="39" t="str">
        <f>URL&amp;IF(ISNUMBER(FIND("?",URL)),"&amp;","?"&amp;("adlid="&amp;Unique_ID&amp;"&amp;adplt="&amp;Placement))</f>
        <v>#N/A</v>
      </c>
      <c r="BH584" s="1"/>
      <c r="BI584" s="1"/>
      <c r="BJ584" s="35" t="str">
        <f>LOWER("alp"&amp;"_"&amp;"vw"&amp;"_"&amp;Veiculo&amp;"_"&amp;C580&amp;"_"&amp;Objetivo)</f>
        <v>alp_vw___</v>
      </c>
      <c r="BK584" s="35" t="str">
        <f>LOWER(Buying_Metric&amp;"_"&amp;VLOOKUP(Buying_Type,Buy_type,2,FALSE)&amp;"_"&amp;Device&amp;"_"&amp;Size&amp;"_"&amp;Segmentação&amp;"_"&amp;Segmentação_Anúncio)</f>
        <v>#N/A</v>
      </c>
      <c r="BL584" s="35" t="str">
        <f>LOWER(Campanha_ou_InsertionOrder&amp;"_"&amp;LineItem_ou_Grupodeanúncio&amp;"_"&amp;Linha_criativa_2&amp;"_"&amp;Unique_ID)</f>
        <v>#N/A</v>
      </c>
      <c r="BM584" s="27"/>
      <c r="BN584" s="27"/>
    </row>
    <row r="585">
      <c r="A585" s="1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8" t="str">
        <f>LOWER(Campanha_ou_InsertionOrder&amp;"_"&amp;LineItem_ou_Grupodeanúncio&amp;"_"&amp;Linha_Criativa&amp;"_"&amp;Unique_ID)</f>
        <v>#N/A</v>
      </c>
      <c r="AN585" s="28" t="str">
        <f>LOWER(Campanha_ou_InsertionOrder&amp;"_"&amp;LineItem_ou_Grupodeanúncio&amp;"_"&amp;Linha_Criativa&amp;"_"&amp;Unique_ID)</f>
        <v>#N/A</v>
      </c>
      <c r="AO585" s="28" t="str">
        <f>LOWER("VW"&amp;"_"&amp;Model_Variant&amp;"_"&amp;Size&amp;"_"&amp;Linha_Criativa&amp;"_"&amp;IF(Servido_Por="portal",Veiculo,"adserver"))</f>
        <v>vw____adserver</v>
      </c>
      <c r="AP5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5" s="22" t="str">
        <f t="shared" si="1"/>
        <v/>
      </c>
      <c r="AS585" s="22" t="str">
        <f t="shared" si="2"/>
        <v/>
      </c>
      <c r="AT585" s="22" t="str">
        <f t="shared" si="3"/>
        <v>BR_IMC_DSY_LANCH_ND_NC_2020Q3AUG_NVS_Nivus-Launch-Consideracao</v>
      </c>
      <c r="AU585" s="22" t="str">
        <f t="shared" si="4"/>
        <v>#N/A</v>
      </c>
      <c r="AV585" s="22" t="s">
        <v>106</v>
      </c>
      <c r="AW5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5" s="22" t="str">
        <f t="shared" si="5"/>
        <v>BR_IMC_DSY_LANCH_ND_NC_2020Q3AUG_NVS_Nivus-Launch-Consideracao</v>
      </c>
      <c r="AY585" s="28" t="str">
        <f t="shared" si="6"/>
        <v>#N/A</v>
      </c>
      <c r="AZ585" s="22" t="s">
        <v>107</v>
      </c>
      <c r="BA585" s="22" t="s">
        <v>108</v>
      </c>
      <c r="BB585" s="31" t="s">
        <v>109</v>
      </c>
      <c r="BC585" s="31" t="s">
        <v>109</v>
      </c>
      <c r="BD585" s="32" t="str">
        <f t="shared" si="8"/>
        <v>nvl-nvs-imc-dsy-0820-10579</v>
      </c>
      <c r="BE585" s="33"/>
      <c r="BF585" s="33"/>
      <c r="BG585" s="39" t="str">
        <f>URL&amp;IF(ISNUMBER(FIND("?",URL)),"&amp;","?"&amp;("adlid="&amp;Unique_ID&amp;"&amp;adplt="&amp;Placement))</f>
        <v>#N/A</v>
      </c>
      <c r="BH585" s="1"/>
      <c r="BI585" s="1"/>
      <c r="BJ585" s="35" t="str">
        <f>LOWER("alp"&amp;"_"&amp;"vw"&amp;"_"&amp;Veiculo&amp;"_"&amp;C581&amp;"_"&amp;Objetivo)</f>
        <v>alp_vw___</v>
      </c>
      <c r="BK585" s="35" t="str">
        <f>LOWER(Buying_Metric&amp;"_"&amp;VLOOKUP(Buying_Type,Buy_type,2,FALSE)&amp;"_"&amp;Device&amp;"_"&amp;Size&amp;"_"&amp;Segmentação&amp;"_"&amp;Segmentação_Anúncio)</f>
        <v>#N/A</v>
      </c>
      <c r="BL585" s="35" t="str">
        <f>LOWER(Campanha_ou_InsertionOrder&amp;"_"&amp;LineItem_ou_Grupodeanúncio&amp;"_"&amp;Linha_criativa_2&amp;"_"&amp;Unique_ID)</f>
        <v>#N/A</v>
      </c>
      <c r="BM585" s="27"/>
      <c r="BN585" s="27"/>
    </row>
    <row r="586">
      <c r="A586" s="1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8" t="str">
        <f>LOWER(Campanha_ou_InsertionOrder&amp;"_"&amp;LineItem_ou_Grupodeanúncio&amp;"_"&amp;Linha_Criativa&amp;"_"&amp;Unique_ID)</f>
        <v>#N/A</v>
      </c>
      <c r="AN586" s="28" t="str">
        <f>LOWER(Campanha_ou_InsertionOrder&amp;"_"&amp;LineItem_ou_Grupodeanúncio&amp;"_"&amp;Linha_Criativa&amp;"_"&amp;Unique_ID)</f>
        <v>#N/A</v>
      </c>
      <c r="AO586" s="28" t="str">
        <f>LOWER("VW"&amp;"_"&amp;Model_Variant&amp;"_"&amp;Size&amp;"_"&amp;Linha_Criativa&amp;"_"&amp;IF(Servido_Por="portal",Veiculo,"adserver"))</f>
        <v>vw____adserver</v>
      </c>
      <c r="AP5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6" s="22" t="str">
        <f t="shared" si="1"/>
        <v/>
      </c>
      <c r="AS586" s="22" t="str">
        <f t="shared" si="2"/>
        <v/>
      </c>
      <c r="AT586" s="22" t="str">
        <f t="shared" si="3"/>
        <v>BR_IMC_DSY_LANCH_ND_NC_2020Q3AUG_NVS_Nivus-Launch-Consideracao</v>
      </c>
      <c r="AU586" s="22" t="str">
        <f t="shared" si="4"/>
        <v>#N/A</v>
      </c>
      <c r="AV586" s="22" t="s">
        <v>106</v>
      </c>
      <c r="AW5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6" s="22" t="str">
        <f t="shared" si="5"/>
        <v>BR_IMC_DSY_LANCH_ND_NC_2020Q3AUG_NVS_Nivus-Launch-Consideracao</v>
      </c>
      <c r="AY586" s="28" t="str">
        <f t="shared" si="6"/>
        <v>#N/A</v>
      </c>
      <c r="AZ586" s="22" t="s">
        <v>107</v>
      </c>
      <c r="BA586" s="22" t="s">
        <v>108</v>
      </c>
      <c r="BB586" s="31" t="s">
        <v>109</v>
      </c>
      <c r="BC586" s="31" t="s">
        <v>109</v>
      </c>
      <c r="BD586" s="32" t="str">
        <f t="shared" si="8"/>
        <v>nvl-nvs-imc-dsy-0820-10580</v>
      </c>
      <c r="BE586" s="33"/>
      <c r="BF586" s="33"/>
      <c r="BG586" s="39" t="str">
        <f>URL&amp;IF(ISNUMBER(FIND("?",URL)),"&amp;","?"&amp;("adlid="&amp;Unique_ID&amp;"&amp;adplt="&amp;Placement))</f>
        <v>#N/A</v>
      </c>
      <c r="BH586" s="1"/>
      <c r="BI586" s="1"/>
      <c r="BJ586" s="35" t="str">
        <f>LOWER("alp"&amp;"_"&amp;"vw"&amp;"_"&amp;Veiculo&amp;"_"&amp;C582&amp;"_"&amp;Objetivo)</f>
        <v>alp_vw___</v>
      </c>
      <c r="BK586" s="35" t="str">
        <f>LOWER(Buying_Metric&amp;"_"&amp;VLOOKUP(Buying_Type,Buy_type,2,FALSE)&amp;"_"&amp;Device&amp;"_"&amp;Size&amp;"_"&amp;Segmentação&amp;"_"&amp;Segmentação_Anúncio)</f>
        <v>#N/A</v>
      </c>
      <c r="BL586" s="35" t="str">
        <f>LOWER(Campanha_ou_InsertionOrder&amp;"_"&amp;LineItem_ou_Grupodeanúncio&amp;"_"&amp;Linha_criativa_2&amp;"_"&amp;Unique_ID)</f>
        <v>#N/A</v>
      </c>
      <c r="BM586" s="27"/>
      <c r="BN586" s="27"/>
    </row>
    <row r="587">
      <c r="A587" s="1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8" t="str">
        <f>LOWER(Campanha_ou_InsertionOrder&amp;"_"&amp;LineItem_ou_Grupodeanúncio&amp;"_"&amp;Linha_Criativa&amp;"_"&amp;Unique_ID)</f>
        <v>#N/A</v>
      </c>
      <c r="AN587" s="28" t="str">
        <f>LOWER(Campanha_ou_InsertionOrder&amp;"_"&amp;LineItem_ou_Grupodeanúncio&amp;"_"&amp;Linha_Criativa&amp;"_"&amp;Unique_ID)</f>
        <v>#N/A</v>
      </c>
      <c r="AO587" s="28" t="str">
        <f>LOWER("VW"&amp;"_"&amp;Model_Variant&amp;"_"&amp;Size&amp;"_"&amp;Linha_Criativa&amp;"_"&amp;IF(Servido_Por="portal",Veiculo,"adserver"))</f>
        <v>vw____adserver</v>
      </c>
      <c r="AP5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7" s="22" t="str">
        <f t="shared" si="1"/>
        <v/>
      </c>
      <c r="AS587" s="22" t="str">
        <f t="shared" si="2"/>
        <v/>
      </c>
      <c r="AT587" s="22" t="str">
        <f t="shared" si="3"/>
        <v>BR_IMC_DSY_LANCH_ND_NC_2020Q3AUG_NVS_Nivus-Launch-Consideracao</v>
      </c>
      <c r="AU587" s="22" t="str">
        <f t="shared" si="4"/>
        <v>#N/A</v>
      </c>
      <c r="AV587" s="22" t="s">
        <v>106</v>
      </c>
      <c r="AW5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7" s="22" t="str">
        <f t="shared" si="5"/>
        <v>BR_IMC_DSY_LANCH_ND_NC_2020Q3AUG_NVS_Nivus-Launch-Consideracao</v>
      </c>
      <c r="AY587" s="28" t="str">
        <f t="shared" si="6"/>
        <v>#N/A</v>
      </c>
      <c r="AZ587" s="22" t="s">
        <v>107</v>
      </c>
      <c r="BA587" s="22" t="s">
        <v>108</v>
      </c>
      <c r="BB587" s="31" t="s">
        <v>109</v>
      </c>
      <c r="BC587" s="31" t="s">
        <v>109</v>
      </c>
      <c r="BD587" s="32" t="str">
        <f t="shared" si="8"/>
        <v>nvl-nvs-imc-dsy-0820-10581</v>
      </c>
      <c r="BE587" s="33"/>
      <c r="BF587" s="33"/>
      <c r="BG587" s="39" t="str">
        <f>URL&amp;IF(ISNUMBER(FIND("?",URL)),"&amp;","?"&amp;("adlid="&amp;Unique_ID&amp;"&amp;adplt="&amp;Placement))</f>
        <v>#N/A</v>
      </c>
      <c r="BH587" s="1"/>
      <c r="BI587" s="1"/>
      <c r="BJ587" s="35" t="str">
        <f>LOWER("alp"&amp;"_"&amp;"vw"&amp;"_"&amp;Veiculo&amp;"_"&amp;C583&amp;"_"&amp;Objetivo)</f>
        <v>alp_vw___</v>
      </c>
      <c r="BK587" s="35" t="str">
        <f>LOWER(Buying_Metric&amp;"_"&amp;VLOOKUP(Buying_Type,Buy_type,2,FALSE)&amp;"_"&amp;Device&amp;"_"&amp;Size&amp;"_"&amp;Segmentação&amp;"_"&amp;Segmentação_Anúncio)</f>
        <v>#N/A</v>
      </c>
      <c r="BL587" s="35" t="str">
        <f>LOWER(Campanha_ou_InsertionOrder&amp;"_"&amp;LineItem_ou_Grupodeanúncio&amp;"_"&amp;Linha_criativa_2&amp;"_"&amp;Unique_ID)</f>
        <v>#N/A</v>
      </c>
      <c r="BM587" s="27"/>
      <c r="BN587" s="27"/>
    </row>
    <row r="588">
      <c r="A588" s="1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8" t="str">
        <f>LOWER(Campanha_ou_InsertionOrder&amp;"_"&amp;LineItem_ou_Grupodeanúncio&amp;"_"&amp;Linha_Criativa&amp;"_"&amp;Unique_ID)</f>
        <v>#N/A</v>
      </c>
      <c r="AN588" s="28" t="str">
        <f>LOWER(Campanha_ou_InsertionOrder&amp;"_"&amp;LineItem_ou_Grupodeanúncio&amp;"_"&amp;Linha_Criativa&amp;"_"&amp;Unique_ID)</f>
        <v>#N/A</v>
      </c>
      <c r="AO588" s="28" t="str">
        <f>LOWER("VW"&amp;"_"&amp;Model_Variant&amp;"_"&amp;Size&amp;"_"&amp;Linha_Criativa&amp;"_"&amp;IF(Servido_Por="portal",Veiculo,"adserver"))</f>
        <v>vw____adserver</v>
      </c>
      <c r="AP5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8" s="22" t="str">
        <f t="shared" si="1"/>
        <v/>
      </c>
      <c r="AS588" s="22" t="str">
        <f t="shared" si="2"/>
        <v/>
      </c>
      <c r="AT588" s="22" t="str">
        <f t="shared" si="3"/>
        <v>BR_IMC_DSY_LANCH_ND_NC_2020Q3AUG_NVS_Nivus-Launch-Consideracao</v>
      </c>
      <c r="AU588" s="22" t="str">
        <f t="shared" si="4"/>
        <v>#N/A</v>
      </c>
      <c r="AV588" s="22" t="s">
        <v>106</v>
      </c>
      <c r="AW5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8" s="22" t="str">
        <f t="shared" si="5"/>
        <v>BR_IMC_DSY_LANCH_ND_NC_2020Q3AUG_NVS_Nivus-Launch-Consideracao</v>
      </c>
      <c r="AY588" s="28" t="str">
        <f t="shared" si="6"/>
        <v>#N/A</v>
      </c>
      <c r="AZ588" s="22" t="s">
        <v>107</v>
      </c>
      <c r="BA588" s="22" t="s">
        <v>108</v>
      </c>
      <c r="BB588" s="31" t="s">
        <v>109</v>
      </c>
      <c r="BC588" s="31" t="s">
        <v>109</v>
      </c>
      <c r="BD588" s="32" t="str">
        <f t="shared" si="8"/>
        <v>nvl-nvs-imc-dsy-0820-10582</v>
      </c>
      <c r="BE588" s="33"/>
      <c r="BF588" s="33"/>
      <c r="BG588" s="39" t="str">
        <f>URL&amp;IF(ISNUMBER(FIND("?",URL)),"&amp;","?"&amp;("adlid="&amp;Unique_ID&amp;"&amp;adplt="&amp;Placement))</f>
        <v>#N/A</v>
      </c>
      <c r="BH588" s="1"/>
      <c r="BI588" s="1"/>
      <c r="BJ588" s="35" t="str">
        <f>LOWER("alp"&amp;"_"&amp;"vw"&amp;"_"&amp;Veiculo&amp;"_"&amp;C584&amp;"_"&amp;Objetivo)</f>
        <v>alp_vw___</v>
      </c>
      <c r="BK588" s="35" t="str">
        <f>LOWER(Buying_Metric&amp;"_"&amp;VLOOKUP(Buying_Type,Buy_type,2,FALSE)&amp;"_"&amp;Device&amp;"_"&amp;Size&amp;"_"&amp;Segmentação&amp;"_"&amp;Segmentação_Anúncio)</f>
        <v>#N/A</v>
      </c>
      <c r="BL588" s="35" t="str">
        <f>LOWER(Campanha_ou_InsertionOrder&amp;"_"&amp;LineItem_ou_Grupodeanúncio&amp;"_"&amp;Linha_criativa_2&amp;"_"&amp;Unique_ID)</f>
        <v>#N/A</v>
      </c>
      <c r="BM588" s="27"/>
      <c r="BN588" s="27"/>
    </row>
    <row r="589">
      <c r="A589" s="1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8" t="str">
        <f>LOWER(Campanha_ou_InsertionOrder&amp;"_"&amp;LineItem_ou_Grupodeanúncio&amp;"_"&amp;Linha_Criativa&amp;"_"&amp;Unique_ID)</f>
        <v>#N/A</v>
      </c>
      <c r="AN589" s="28" t="str">
        <f>LOWER(Campanha_ou_InsertionOrder&amp;"_"&amp;LineItem_ou_Grupodeanúncio&amp;"_"&amp;Linha_Criativa&amp;"_"&amp;Unique_ID)</f>
        <v>#N/A</v>
      </c>
      <c r="AO589" s="28" t="str">
        <f>LOWER("VW"&amp;"_"&amp;Model_Variant&amp;"_"&amp;Size&amp;"_"&amp;Linha_Criativa&amp;"_"&amp;IF(Servido_Por="portal",Veiculo,"adserver"))</f>
        <v>vw____adserver</v>
      </c>
      <c r="AP5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89" s="22" t="str">
        <f t="shared" si="1"/>
        <v/>
      </c>
      <c r="AS589" s="22" t="str">
        <f t="shared" si="2"/>
        <v/>
      </c>
      <c r="AT589" s="22" t="str">
        <f t="shared" si="3"/>
        <v>BR_IMC_DSY_LANCH_ND_NC_2020Q3AUG_NVS_Nivus-Launch-Consideracao</v>
      </c>
      <c r="AU589" s="22" t="str">
        <f t="shared" si="4"/>
        <v>#N/A</v>
      </c>
      <c r="AV589" s="22" t="s">
        <v>106</v>
      </c>
      <c r="AW5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89" s="22" t="str">
        <f t="shared" si="5"/>
        <v>BR_IMC_DSY_LANCH_ND_NC_2020Q3AUG_NVS_Nivus-Launch-Consideracao</v>
      </c>
      <c r="AY589" s="28" t="str">
        <f t="shared" si="6"/>
        <v>#N/A</v>
      </c>
      <c r="AZ589" s="22" t="s">
        <v>107</v>
      </c>
      <c r="BA589" s="22" t="s">
        <v>108</v>
      </c>
      <c r="BB589" s="31" t="s">
        <v>109</v>
      </c>
      <c r="BC589" s="31" t="s">
        <v>109</v>
      </c>
      <c r="BD589" s="32" t="str">
        <f t="shared" si="8"/>
        <v>nvl-nvs-imc-dsy-0820-10583</v>
      </c>
      <c r="BE589" s="33"/>
      <c r="BF589" s="33"/>
      <c r="BG589" s="39" t="str">
        <f>URL&amp;IF(ISNUMBER(FIND("?",URL)),"&amp;","?"&amp;("adlid="&amp;Unique_ID&amp;"&amp;adplt="&amp;Placement))</f>
        <v>#N/A</v>
      </c>
      <c r="BH589" s="1"/>
      <c r="BI589" s="1"/>
      <c r="BJ589" s="35" t="str">
        <f>LOWER("alp"&amp;"_"&amp;"vw"&amp;"_"&amp;Veiculo&amp;"_"&amp;C585&amp;"_"&amp;Objetivo)</f>
        <v>alp_vw___</v>
      </c>
      <c r="BK589" s="35" t="str">
        <f>LOWER(Buying_Metric&amp;"_"&amp;VLOOKUP(Buying_Type,Buy_type,2,FALSE)&amp;"_"&amp;Device&amp;"_"&amp;Size&amp;"_"&amp;Segmentação&amp;"_"&amp;Segmentação_Anúncio)</f>
        <v>#N/A</v>
      </c>
      <c r="BL589" s="35" t="str">
        <f>LOWER(Campanha_ou_InsertionOrder&amp;"_"&amp;LineItem_ou_Grupodeanúncio&amp;"_"&amp;Linha_criativa_2&amp;"_"&amp;Unique_ID)</f>
        <v>#N/A</v>
      </c>
      <c r="BM589" s="27"/>
      <c r="BN589" s="27"/>
    </row>
    <row r="590">
      <c r="A590" s="1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8" t="str">
        <f>LOWER(Campanha_ou_InsertionOrder&amp;"_"&amp;LineItem_ou_Grupodeanúncio&amp;"_"&amp;Linha_Criativa&amp;"_"&amp;Unique_ID)</f>
        <v>#N/A</v>
      </c>
      <c r="AN590" s="28" t="str">
        <f>LOWER(Campanha_ou_InsertionOrder&amp;"_"&amp;LineItem_ou_Grupodeanúncio&amp;"_"&amp;Linha_Criativa&amp;"_"&amp;Unique_ID)</f>
        <v>#N/A</v>
      </c>
      <c r="AO590" s="28" t="str">
        <f>LOWER("VW"&amp;"_"&amp;Model_Variant&amp;"_"&amp;Size&amp;"_"&amp;Linha_Criativa&amp;"_"&amp;IF(Servido_Por="portal",Veiculo,"adserver"))</f>
        <v>vw____adserver</v>
      </c>
      <c r="AP5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0" s="22" t="str">
        <f t="shared" si="1"/>
        <v/>
      </c>
      <c r="AS590" s="22" t="str">
        <f t="shared" si="2"/>
        <v/>
      </c>
      <c r="AT590" s="22" t="str">
        <f t="shared" si="3"/>
        <v>BR_IMC_DSY_LANCH_ND_NC_2020Q3AUG_NVS_Nivus-Launch-Consideracao</v>
      </c>
      <c r="AU590" s="22" t="str">
        <f t="shared" si="4"/>
        <v>#N/A</v>
      </c>
      <c r="AV590" s="22" t="s">
        <v>106</v>
      </c>
      <c r="AW5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0" s="22" t="str">
        <f t="shared" si="5"/>
        <v>BR_IMC_DSY_LANCH_ND_NC_2020Q3AUG_NVS_Nivus-Launch-Consideracao</v>
      </c>
      <c r="AY590" s="28" t="str">
        <f t="shared" si="6"/>
        <v>#N/A</v>
      </c>
      <c r="AZ590" s="22" t="s">
        <v>107</v>
      </c>
      <c r="BA590" s="22" t="s">
        <v>108</v>
      </c>
      <c r="BB590" s="31" t="s">
        <v>109</v>
      </c>
      <c r="BC590" s="31" t="s">
        <v>109</v>
      </c>
      <c r="BD590" s="32" t="str">
        <f t="shared" si="8"/>
        <v>nvl-nvs-imc-dsy-0820-10584</v>
      </c>
      <c r="BE590" s="33"/>
      <c r="BF590" s="33"/>
      <c r="BG590" s="39" t="str">
        <f>URL&amp;IF(ISNUMBER(FIND("?",URL)),"&amp;","?"&amp;("adlid="&amp;Unique_ID&amp;"&amp;adplt="&amp;Placement))</f>
        <v>#N/A</v>
      </c>
      <c r="BH590" s="1"/>
      <c r="BI590" s="1"/>
      <c r="BJ590" s="35" t="str">
        <f>LOWER("alp"&amp;"_"&amp;"vw"&amp;"_"&amp;Veiculo&amp;"_"&amp;C586&amp;"_"&amp;Objetivo)</f>
        <v>alp_vw___</v>
      </c>
      <c r="BK590" s="35" t="str">
        <f>LOWER(Buying_Metric&amp;"_"&amp;VLOOKUP(Buying_Type,Buy_type,2,FALSE)&amp;"_"&amp;Device&amp;"_"&amp;Size&amp;"_"&amp;Segmentação&amp;"_"&amp;Segmentação_Anúncio)</f>
        <v>#N/A</v>
      </c>
      <c r="BL590" s="35" t="str">
        <f>LOWER(Campanha_ou_InsertionOrder&amp;"_"&amp;LineItem_ou_Grupodeanúncio&amp;"_"&amp;Linha_criativa_2&amp;"_"&amp;Unique_ID)</f>
        <v>#N/A</v>
      </c>
      <c r="BM590" s="27"/>
      <c r="BN590" s="27"/>
    </row>
    <row r="591">
      <c r="A591" s="1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8" t="str">
        <f>LOWER(Campanha_ou_InsertionOrder&amp;"_"&amp;LineItem_ou_Grupodeanúncio&amp;"_"&amp;Linha_Criativa&amp;"_"&amp;Unique_ID)</f>
        <v>#N/A</v>
      </c>
      <c r="AN591" s="28" t="str">
        <f>LOWER(Campanha_ou_InsertionOrder&amp;"_"&amp;LineItem_ou_Grupodeanúncio&amp;"_"&amp;Linha_Criativa&amp;"_"&amp;Unique_ID)</f>
        <v>#N/A</v>
      </c>
      <c r="AO591" s="28" t="str">
        <f>LOWER("VW"&amp;"_"&amp;Model_Variant&amp;"_"&amp;Size&amp;"_"&amp;Linha_Criativa&amp;"_"&amp;IF(Servido_Por="portal",Veiculo,"adserver"))</f>
        <v>vw____adserver</v>
      </c>
      <c r="AP5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1" s="22" t="str">
        <f t="shared" si="1"/>
        <v/>
      </c>
      <c r="AS591" s="22" t="str">
        <f t="shared" si="2"/>
        <v/>
      </c>
      <c r="AT591" s="22" t="str">
        <f t="shared" si="3"/>
        <v>BR_IMC_DSY_LANCH_ND_NC_2020Q3AUG_NVS_Nivus-Launch-Consideracao</v>
      </c>
      <c r="AU591" s="22" t="str">
        <f t="shared" si="4"/>
        <v>#N/A</v>
      </c>
      <c r="AV591" s="22" t="s">
        <v>106</v>
      </c>
      <c r="AW5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1" s="22" t="str">
        <f t="shared" si="5"/>
        <v>BR_IMC_DSY_LANCH_ND_NC_2020Q3AUG_NVS_Nivus-Launch-Consideracao</v>
      </c>
      <c r="AY591" s="28" t="str">
        <f t="shared" si="6"/>
        <v>#N/A</v>
      </c>
      <c r="AZ591" s="22" t="s">
        <v>107</v>
      </c>
      <c r="BA591" s="22" t="s">
        <v>108</v>
      </c>
      <c r="BB591" s="31" t="s">
        <v>109</v>
      </c>
      <c r="BC591" s="31" t="s">
        <v>109</v>
      </c>
      <c r="BD591" s="32" t="str">
        <f t="shared" si="8"/>
        <v>nvl-nvs-imc-dsy-0820-10585</v>
      </c>
      <c r="BE591" s="33"/>
      <c r="BF591" s="33"/>
      <c r="BG591" s="39" t="str">
        <f>URL&amp;IF(ISNUMBER(FIND("?",URL)),"&amp;","?"&amp;("adlid="&amp;Unique_ID&amp;"&amp;adplt="&amp;Placement))</f>
        <v>#N/A</v>
      </c>
      <c r="BH591" s="1"/>
      <c r="BI591" s="1"/>
      <c r="BJ591" s="35" t="str">
        <f>LOWER("alp"&amp;"_"&amp;"vw"&amp;"_"&amp;Veiculo&amp;"_"&amp;C587&amp;"_"&amp;Objetivo)</f>
        <v>alp_vw___</v>
      </c>
      <c r="BK591" s="35" t="str">
        <f>LOWER(Buying_Metric&amp;"_"&amp;VLOOKUP(Buying_Type,Buy_type,2,FALSE)&amp;"_"&amp;Device&amp;"_"&amp;Size&amp;"_"&amp;Segmentação&amp;"_"&amp;Segmentação_Anúncio)</f>
        <v>#N/A</v>
      </c>
      <c r="BL591" s="35" t="str">
        <f>LOWER(Campanha_ou_InsertionOrder&amp;"_"&amp;LineItem_ou_Grupodeanúncio&amp;"_"&amp;Linha_criativa_2&amp;"_"&amp;Unique_ID)</f>
        <v>#N/A</v>
      </c>
      <c r="BM591" s="27"/>
      <c r="BN591" s="27"/>
    </row>
    <row r="592">
      <c r="A592" s="1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8" t="str">
        <f>LOWER(Campanha_ou_InsertionOrder&amp;"_"&amp;LineItem_ou_Grupodeanúncio&amp;"_"&amp;Linha_Criativa&amp;"_"&amp;Unique_ID)</f>
        <v>#N/A</v>
      </c>
      <c r="AN592" s="28" t="str">
        <f>LOWER(Campanha_ou_InsertionOrder&amp;"_"&amp;LineItem_ou_Grupodeanúncio&amp;"_"&amp;Linha_Criativa&amp;"_"&amp;Unique_ID)</f>
        <v>#N/A</v>
      </c>
      <c r="AO592" s="28" t="str">
        <f>LOWER("VW"&amp;"_"&amp;Model_Variant&amp;"_"&amp;Size&amp;"_"&amp;Linha_Criativa&amp;"_"&amp;IF(Servido_Por="portal",Veiculo,"adserver"))</f>
        <v>vw____adserver</v>
      </c>
      <c r="AP5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2" s="22" t="str">
        <f t="shared" si="1"/>
        <v/>
      </c>
      <c r="AS592" s="22" t="str">
        <f t="shared" si="2"/>
        <v/>
      </c>
      <c r="AT592" s="22" t="str">
        <f t="shared" si="3"/>
        <v>BR_IMC_DSY_LANCH_ND_NC_2020Q3AUG_NVS_Nivus-Launch-Consideracao</v>
      </c>
      <c r="AU592" s="22" t="str">
        <f t="shared" si="4"/>
        <v>#N/A</v>
      </c>
      <c r="AV592" s="22" t="s">
        <v>106</v>
      </c>
      <c r="AW5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2" s="22" t="str">
        <f t="shared" si="5"/>
        <v>BR_IMC_DSY_LANCH_ND_NC_2020Q3AUG_NVS_Nivus-Launch-Consideracao</v>
      </c>
      <c r="AY592" s="28" t="str">
        <f t="shared" si="6"/>
        <v>#N/A</v>
      </c>
      <c r="AZ592" s="22" t="s">
        <v>107</v>
      </c>
      <c r="BA592" s="22" t="s">
        <v>108</v>
      </c>
      <c r="BB592" s="31" t="s">
        <v>109</v>
      </c>
      <c r="BC592" s="31" t="s">
        <v>109</v>
      </c>
      <c r="BD592" s="32" t="str">
        <f t="shared" si="8"/>
        <v>nvl-nvs-imc-dsy-0820-10586</v>
      </c>
      <c r="BE592" s="33"/>
      <c r="BF592" s="33"/>
      <c r="BG592" s="39" t="str">
        <f>URL&amp;IF(ISNUMBER(FIND("?",URL)),"&amp;","?"&amp;("adlid="&amp;Unique_ID&amp;"&amp;adplt="&amp;Placement))</f>
        <v>#N/A</v>
      </c>
      <c r="BH592" s="1"/>
      <c r="BI592" s="1"/>
      <c r="BJ592" s="35" t="str">
        <f>LOWER("alp"&amp;"_"&amp;"vw"&amp;"_"&amp;Veiculo&amp;"_"&amp;C588&amp;"_"&amp;Objetivo)</f>
        <v>alp_vw___</v>
      </c>
      <c r="BK592" s="35" t="str">
        <f>LOWER(Buying_Metric&amp;"_"&amp;VLOOKUP(Buying_Type,Buy_type,2,FALSE)&amp;"_"&amp;Device&amp;"_"&amp;Size&amp;"_"&amp;Segmentação&amp;"_"&amp;Segmentação_Anúncio)</f>
        <v>#N/A</v>
      </c>
      <c r="BL592" s="35" t="str">
        <f>LOWER(Campanha_ou_InsertionOrder&amp;"_"&amp;LineItem_ou_Grupodeanúncio&amp;"_"&amp;Linha_criativa_2&amp;"_"&amp;Unique_ID)</f>
        <v>#N/A</v>
      </c>
      <c r="BM592" s="27"/>
      <c r="BN592" s="27"/>
    </row>
    <row r="593">
      <c r="A593" s="1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8" t="str">
        <f>LOWER(Campanha_ou_InsertionOrder&amp;"_"&amp;LineItem_ou_Grupodeanúncio&amp;"_"&amp;Linha_Criativa&amp;"_"&amp;Unique_ID)</f>
        <v>#N/A</v>
      </c>
      <c r="AN593" s="28" t="str">
        <f>LOWER(Campanha_ou_InsertionOrder&amp;"_"&amp;LineItem_ou_Grupodeanúncio&amp;"_"&amp;Linha_Criativa&amp;"_"&amp;Unique_ID)</f>
        <v>#N/A</v>
      </c>
      <c r="AO593" s="28" t="str">
        <f>LOWER("VW"&amp;"_"&amp;Model_Variant&amp;"_"&amp;Size&amp;"_"&amp;Linha_Criativa&amp;"_"&amp;IF(Servido_Por="portal",Veiculo,"adserver"))</f>
        <v>vw____adserver</v>
      </c>
      <c r="AP5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3" s="22" t="str">
        <f t="shared" si="1"/>
        <v/>
      </c>
      <c r="AS593" s="22" t="str">
        <f t="shared" si="2"/>
        <v/>
      </c>
      <c r="AT593" s="22" t="str">
        <f t="shared" si="3"/>
        <v>BR_IMC_DSY_LANCH_ND_NC_2020Q3AUG_NVS_Nivus-Launch-Consideracao</v>
      </c>
      <c r="AU593" s="22" t="str">
        <f t="shared" si="4"/>
        <v>#N/A</v>
      </c>
      <c r="AV593" s="22" t="s">
        <v>106</v>
      </c>
      <c r="AW5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3" s="22" t="str">
        <f t="shared" si="5"/>
        <v>BR_IMC_DSY_LANCH_ND_NC_2020Q3AUG_NVS_Nivus-Launch-Consideracao</v>
      </c>
      <c r="AY593" s="28" t="str">
        <f t="shared" si="6"/>
        <v>#N/A</v>
      </c>
      <c r="AZ593" s="22" t="s">
        <v>107</v>
      </c>
      <c r="BA593" s="22" t="s">
        <v>108</v>
      </c>
      <c r="BB593" s="31" t="s">
        <v>109</v>
      </c>
      <c r="BC593" s="31" t="s">
        <v>109</v>
      </c>
      <c r="BD593" s="32" t="str">
        <f t="shared" si="8"/>
        <v>nvl-nvs-imc-dsy-0820-10587</v>
      </c>
      <c r="BE593" s="33"/>
      <c r="BF593" s="33"/>
      <c r="BG593" s="39" t="str">
        <f>URL&amp;IF(ISNUMBER(FIND("?",URL)),"&amp;","?"&amp;("adlid="&amp;Unique_ID&amp;"&amp;adplt="&amp;Placement))</f>
        <v>#N/A</v>
      </c>
      <c r="BH593" s="1"/>
      <c r="BI593" s="1"/>
      <c r="BJ593" s="35" t="str">
        <f>LOWER("alp"&amp;"_"&amp;"vw"&amp;"_"&amp;Veiculo&amp;"_"&amp;C589&amp;"_"&amp;Objetivo)</f>
        <v>alp_vw___</v>
      </c>
      <c r="BK593" s="35" t="str">
        <f>LOWER(Buying_Metric&amp;"_"&amp;VLOOKUP(Buying_Type,Buy_type,2,FALSE)&amp;"_"&amp;Device&amp;"_"&amp;Size&amp;"_"&amp;Segmentação&amp;"_"&amp;Segmentação_Anúncio)</f>
        <v>#N/A</v>
      </c>
      <c r="BL593" s="35" t="str">
        <f>LOWER(Campanha_ou_InsertionOrder&amp;"_"&amp;LineItem_ou_Grupodeanúncio&amp;"_"&amp;Linha_criativa_2&amp;"_"&amp;Unique_ID)</f>
        <v>#N/A</v>
      </c>
      <c r="BM593" s="27"/>
      <c r="BN593" s="27"/>
    </row>
    <row r="594">
      <c r="A594" s="1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8" t="str">
        <f>LOWER(Campanha_ou_InsertionOrder&amp;"_"&amp;LineItem_ou_Grupodeanúncio&amp;"_"&amp;Linha_Criativa&amp;"_"&amp;Unique_ID)</f>
        <v>#N/A</v>
      </c>
      <c r="AN594" s="28" t="str">
        <f>LOWER(Campanha_ou_InsertionOrder&amp;"_"&amp;LineItem_ou_Grupodeanúncio&amp;"_"&amp;Linha_Criativa&amp;"_"&amp;Unique_ID)</f>
        <v>#N/A</v>
      </c>
      <c r="AO594" s="28" t="str">
        <f>LOWER("VW"&amp;"_"&amp;Model_Variant&amp;"_"&amp;Size&amp;"_"&amp;Linha_Criativa&amp;"_"&amp;IF(Servido_Por="portal",Veiculo,"adserver"))</f>
        <v>vw____adserver</v>
      </c>
      <c r="AP5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4" s="22" t="str">
        <f t="shared" si="1"/>
        <v/>
      </c>
      <c r="AS594" s="22" t="str">
        <f t="shared" si="2"/>
        <v/>
      </c>
      <c r="AT594" s="22" t="str">
        <f t="shared" si="3"/>
        <v>BR_IMC_DSY_LANCH_ND_NC_2020Q3AUG_NVS_Nivus-Launch-Consideracao</v>
      </c>
      <c r="AU594" s="22" t="str">
        <f t="shared" si="4"/>
        <v>#N/A</v>
      </c>
      <c r="AV594" s="22" t="s">
        <v>106</v>
      </c>
      <c r="AW5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4" s="22" t="str">
        <f t="shared" si="5"/>
        <v>BR_IMC_DSY_LANCH_ND_NC_2020Q3AUG_NVS_Nivus-Launch-Consideracao</v>
      </c>
      <c r="AY594" s="28" t="str">
        <f t="shared" si="6"/>
        <v>#N/A</v>
      </c>
      <c r="AZ594" s="22" t="s">
        <v>107</v>
      </c>
      <c r="BA594" s="22" t="s">
        <v>108</v>
      </c>
      <c r="BB594" s="31" t="s">
        <v>109</v>
      </c>
      <c r="BC594" s="31" t="s">
        <v>109</v>
      </c>
      <c r="BD594" s="32" t="str">
        <f t="shared" si="8"/>
        <v>nvl-nvs-imc-dsy-0820-10588</v>
      </c>
      <c r="BE594" s="33"/>
      <c r="BF594" s="33"/>
      <c r="BG594" s="39" t="str">
        <f>URL&amp;IF(ISNUMBER(FIND("?",URL)),"&amp;","?"&amp;("adlid="&amp;Unique_ID&amp;"&amp;adplt="&amp;Placement))</f>
        <v>#N/A</v>
      </c>
      <c r="BH594" s="1"/>
      <c r="BI594" s="1"/>
      <c r="BJ594" s="35" t="str">
        <f>LOWER("alp"&amp;"_"&amp;"vw"&amp;"_"&amp;Veiculo&amp;"_"&amp;C590&amp;"_"&amp;Objetivo)</f>
        <v>alp_vw___</v>
      </c>
      <c r="BK594" s="35" t="str">
        <f>LOWER(Buying_Metric&amp;"_"&amp;VLOOKUP(Buying_Type,Buy_type,2,FALSE)&amp;"_"&amp;Device&amp;"_"&amp;Size&amp;"_"&amp;Segmentação&amp;"_"&amp;Segmentação_Anúncio)</f>
        <v>#N/A</v>
      </c>
      <c r="BL594" s="35" t="str">
        <f>LOWER(Campanha_ou_InsertionOrder&amp;"_"&amp;LineItem_ou_Grupodeanúncio&amp;"_"&amp;Linha_criativa_2&amp;"_"&amp;Unique_ID)</f>
        <v>#N/A</v>
      </c>
      <c r="BM594" s="27"/>
      <c r="BN594" s="27"/>
    </row>
    <row r="595">
      <c r="A595" s="1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8" t="str">
        <f>LOWER(Campanha_ou_InsertionOrder&amp;"_"&amp;LineItem_ou_Grupodeanúncio&amp;"_"&amp;Linha_Criativa&amp;"_"&amp;Unique_ID)</f>
        <v>#N/A</v>
      </c>
      <c r="AN595" s="28" t="str">
        <f>LOWER(Campanha_ou_InsertionOrder&amp;"_"&amp;LineItem_ou_Grupodeanúncio&amp;"_"&amp;Linha_Criativa&amp;"_"&amp;Unique_ID)</f>
        <v>#N/A</v>
      </c>
      <c r="AO595" s="28" t="str">
        <f>LOWER("VW"&amp;"_"&amp;Model_Variant&amp;"_"&amp;Size&amp;"_"&amp;Linha_Criativa&amp;"_"&amp;IF(Servido_Por="portal",Veiculo,"adserver"))</f>
        <v>vw____adserver</v>
      </c>
      <c r="AP5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5" s="22" t="str">
        <f t="shared" si="1"/>
        <v/>
      </c>
      <c r="AS595" s="22" t="str">
        <f t="shared" si="2"/>
        <v/>
      </c>
      <c r="AT595" s="22" t="str">
        <f t="shared" si="3"/>
        <v>BR_IMC_DSY_LANCH_ND_NC_2020Q3AUG_NVS_Nivus-Launch-Consideracao</v>
      </c>
      <c r="AU595" s="22" t="str">
        <f t="shared" si="4"/>
        <v>#N/A</v>
      </c>
      <c r="AV595" s="22" t="s">
        <v>106</v>
      </c>
      <c r="AW5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5" s="22" t="str">
        <f t="shared" si="5"/>
        <v>BR_IMC_DSY_LANCH_ND_NC_2020Q3AUG_NVS_Nivus-Launch-Consideracao</v>
      </c>
      <c r="AY595" s="28" t="str">
        <f t="shared" si="6"/>
        <v>#N/A</v>
      </c>
      <c r="AZ595" s="22" t="s">
        <v>107</v>
      </c>
      <c r="BA595" s="22" t="s">
        <v>108</v>
      </c>
      <c r="BB595" s="31" t="s">
        <v>109</v>
      </c>
      <c r="BC595" s="31" t="s">
        <v>109</v>
      </c>
      <c r="BD595" s="32" t="str">
        <f t="shared" si="8"/>
        <v>nvl-nvs-imc-dsy-0820-10589</v>
      </c>
      <c r="BE595" s="33"/>
      <c r="BF595" s="33"/>
      <c r="BG595" s="39" t="str">
        <f>URL&amp;IF(ISNUMBER(FIND("?",URL)),"&amp;","?"&amp;("adlid="&amp;Unique_ID&amp;"&amp;adplt="&amp;Placement))</f>
        <v>#N/A</v>
      </c>
      <c r="BH595" s="1"/>
      <c r="BI595" s="1"/>
      <c r="BJ595" s="35" t="str">
        <f>LOWER("alp"&amp;"_"&amp;"vw"&amp;"_"&amp;Veiculo&amp;"_"&amp;C591&amp;"_"&amp;Objetivo)</f>
        <v>alp_vw___</v>
      </c>
      <c r="BK595" s="35" t="str">
        <f>LOWER(Buying_Metric&amp;"_"&amp;VLOOKUP(Buying_Type,Buy_type,2,FALSE)&amp;"_"&amp;Device&amp;"_"&amp;Size&amp;"_"&amp;Segmentação&amp;"_"&amp;Segmentação_Anúncio)</f>
        <v>#N/A</v>
      </c>
      <c r="BL595" s="35" t="str">
        <f>LOWER(Campanha_ou_InsertionOrder&amp;"_"&amp;LineItem_ou_Grupodeanúncio&amp;"_"&amp;Linha_criativa_2&amp;"_"&amp;Unique_ID)</f>
        <v>#N/A</v>
      </c>
      <c r="BM595" s="27"/>
      <c r="BN595" s="27"/>
    </row>
    <row r="596">
      <c r="A596" s="1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tr">
        <f>LOWER(Campanha_ou_InsertionOrder&amp;"_"&amp;LineItem_ou_Grupodeanúncio&amp;"_"&amp;Linha_Criativa&amp;"_"&amp;Unique_ID)</f>
        <v>#N/A</v>
      </c>
      <c r="AN596" s="28" t="str">
        <f>LOWER(Campanha_ou_InsertionOrder&amp;"_"&amp;LineItem_ou_Grupodeanúncio&amp;"_"&amp;Linha_Criativa&amp;"_"&amp;Unique_ID)</f>
        <v>#N/A</v>
      </c>
      <c r="AO596" s="28" t="str">
        <f>LOWER("VW"&amp;"_"&amp;Model_Variant&amp;"_"&amp;Size&amp;"_"&amp;Linha_Criativa&amp;"_"&amp;IF(Servido_Por="portal",Veiculo,"adserver"))</f>
        <v>vw____adserver</v>
      </c>
      <c r="AP5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6" s="22" t="str">
        <f t="shared" si="1"/>
        <v/>
      </c>
      <c r="AS596" s="22" t="str">
        <f t="shared" si="2"/>
        <v/>
      </c>
      <c r="AT596" s="22" t="str">
        <f t="shared" si="3"/>
        <v>BR_IMC_DSY_LANCH_ND_NC_2020Q3AUG_NVS_Nivus-Launch-Consideracao</v>
      </c>
      <c r="AU596" s="22" t="str">
        <f t="shared" si="4"/>
        <v>#N/A</v>
      </c>
      <c r="AV596" s="22" t="s">
        <v>106</v>
      </c>
      <c r="AW5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6" s="22" t="str">
        <f t="shared" si="5"/>
        <v>BR_IMC_DSY_LANCH_ND_NC_2020Q3AUG_NVS_Nivus-Launch-Consideracao</v>
      </c>
      <c r="AY596" s="28" t="str">
        <f t="shared" si="6"/>
        <v>#N/A</v>
      </c>
      <c r="AZ596" s="22" t="s">
        <v>107</v>
      </c>
      <c r="BA596" s="22" t="s">
        <v>108</v>
      </c>
      <c r="BB596" s="31" t="s">
        <v>109</v>
      </c>
      <c r="BC596" s="31" t="s">
        <v>109</v>
      </c>
      <c r="BD596" s="32" t="str">
        <f t="shared" si="8"/>
        <v>nvl-nvs-imc-dsy-0820-10590</v>
      </c>
      <c r="BE596" s="33"/>
      <c r="BF596" s="33"/>
      <c r="BG596" s="39" t="str">
        <f>URL&amp;IF(ISNUMBER(FIND("?",URL)),"&amp;","?"&amp;("adlid="&amp;Unique_ID&amp;"&amp;adplt="&amp;Placement))</f>
        <v>#N/A</v>
      </c>
      <c r="BH596" s="1"/>
      <c r="BI596" s="1"/>
      <c r="BJ596" s="35" t="str">
        <f>LOWER("alp"&amp;"_"&amp;"vw"&amp;"_"&amp;Veiculo&amp;"_"&amp;C592&amp;"_"&amp;Objetivo)</f>
        <v>alp_vw___</v>
      </c>
      <c r="BK596" s="35" t="str">
        <f>LOWER(Buying_Metric&amp;"_"&amp;VLOOKUP(Buying_Type,Buy_type,2,FALSE)&amp;"_"&amp;Device&amp;"_"&amp;Size&amp;"_"&amp;Segmentação&amp;"_"&amp;Segmentação_Anúncio)</f>
        <v>#N/A</v>
      </c>
      <c r="BL596" s="35" t="str">
        <f>LOWER(Campanha_ou_InsertionOrder&amp;"_"&amp;LineItem_ou_Grupodeanúncio&amp;"_"&amp;Linha_criativa_2&amp;"_"&amp;Unique_ID)</f>
        <v>#N/A</v>
      </c>
      <c r="BM596" s="27"/>
      <c r="BN596" s="27"/>
    </row>
    <row r="597">
      <c r="A597" s="1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8" t="str">
        <f>LOWER(Campanha_ou_InsertionOrder&amp;"_"&amp;LineItem_ou_Grupodeanúncio&amp;"_"&amp;Linha_Criativa&amp;"_"&amp;Unique_ID)</f>
        <v>#N/A</v>
      </c>
      <c r="AN597" s="28" t="str">
        <f>LOWER(Campanha_ou_InsertionOrder&amp;"_"&amp;LineItem_ou_Grupodeanúncio&amp;"_"&amp;Linha_Criativa&amp;"_"&amp;Unique_ID)</f>
        <v>#N/A</v>
      </c>
      <c r="AO597" s="28" t="str">
        <f>LOWER("VW"&amp;"_"&amp;Model_Variant&amp;"_"&amp;Size&amp;"_"&amp;Linha_Criativa&amp;"_"&amp;IF(Servido_Por="portal",Veiculo,"adserver"))</f>
        <v>vw____adserver</v>
      </c>
      <c r="AP5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7" s="22" t="str">
        <f t="shared" si="1"/>
        <v/>
      </c>
      <c r="AS597" s="22" t="str">
        <f t="shared" si="2"/>
        <v/>
      </c>
      <c r="AT597" s="22" t="str">
        <f t="shared" si="3"/>
        <v>BR_IMC_DSY_LANCH_ND_NC_2020Q3AUG_NVS_Nivus-Launch-Consideracao</v>
      </c>
      <c r="AU597" s="22" t="str">
        <f t="shared" si="4"/>
        <v>#N/A</v>
      </c>
      <c r="AV597" s="22" t="s">
        <v>106</v>
      </c>
      <c r="AW5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7" s="22" t="str">
        <f t="shared" si="5"/>
        <v>BR_IMC_DSY_LANCH_ND_NC_2020Q3AUG_NVS_Nivus-Launch-Consideracao</v>
      </c>
      <c r="AY597" s="28" t="str">
        <f t="shared" si="6"/>
        <v>#N/A</v>
      </c>
      <c r="AZ597" s="22" t="s">
        <v>107</v>
      </c>
      <c r="BA597" s="22" t="s">
        <v>108</v>
      </c>
      <c r="BB597" s="31" t="s">
        <v>109</v>
      </c>
      <c r="BC597" s="31" t="s">
        <v>109</v>
      </c>
      <c r="BD597" s="32" t="str">
        <f t="shared" si="8"/>
        <v>nvl-nvs-imc-dsy-0820-10591</v>
      </c>
      <c r="BE597" s="33"/>
      <c r="BF597" s="33"/>
      <c r="BG597" s="39" t="str">
        <f>URL&amp;IF(ISNUMBER(FIND("?",URL)),"&amp;","?"&amp;("adlid="&amp;Unique_ID&amp;"&amp;adplt="&amp;Placement))</f>
        <v>#N/A</v>
      </c>
      <c r="BH597" s="1"/>
      <c r="BI597" s="1"/>
      <c r="BJ597" s="35" t="str">
        <f>LOWER("alp"&amp;"_"&amp;"vw"&amp;"_"&amp;Veiculo&amp;"_"&amp;C593&amp;"_"&amp;Objetivo)</f>
        <v>alp_vw___</v>
      </c>
      <c r="BK597" s="35" t="str">
        <f>LOWER(Buying_Metric&amp;"_"&amp;VLOOKUP(Buying_Type,Buy_type,2,FALSE)&amp;"_"&amp;Device&amp;"_"&amp;Size&amp;"_"&amp;Segmentação&amp;"_"&amp;Segmentação_Anúncio)</f>
        <v>#N/A</v>
      </c>
      <c r="BL597" s="35" t="str">
        <f>LOWER(Campanha_ou_InsertionOrder&amp;"_"&amp;LineItem_ou_Grupodeanúncio&amp;"_"&amp;Linha_criativa_2&amp;"_"&amp;Unique_ID)</f>
        <v>#N/A</v>
      </c>
      <c r="BM597" s="27"/>
      <c r="BN597" s="27"/>
    </row>
    <row r="598">
      <c r="A598" s="1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8" t="str">
        <f>LOWER(Campanha_ou_InsertionOrder&amp;"_"&amp;LineItem_ou_Grupodeanúncio&amp;"_"&amp;Linha_Criativa&amp;"_"&amp;Unique_ID)</f>
        <v>#N/A</v>
      </c>
      <c r="AN598" s="28" t="str">
        <f>LOWER(Campanha_ou_InsertionOrder&amp;"_"&amp;LineItem_ou_Grupodeanúncio&amp;"_"&amp;Linha_Criativa&amp;"_"&amp;Unique_ID)</f>
        <v>#N/A</v>
      </c>
      <c r="AO598" s="28" t="str">
        <f>LOWER("VW"&amp;"_"&amp;Model_Variant&amp;"_"&amp;Size&amp;"_"&amp;Linha_Criativa&amp;"_"&amp;IF(Servido_Por="portal",Veiculo,"adserver"))</f>
        <v>vw____adserver</v>
      </c>
      <c r="AP5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8" s="22" t="str">
        <f t="shared" si="1"/>
        <v/>
      </c>
      <c r="AS598" s="22" t="str">
        <f t="shared" si="2"/>
        <v/>
      </c>
      <c r="AT598" s="22" t="str">
        <f t="shared" si="3"/>
        <v>BR_IMC_DSY_LANCH_ND_NC_2020Q3AUG_NVS_Nivus-Launch-Consideracao</v>
      </c>
      <c r="AU598" s="22" t="str">
        <f t="shared" si="4"/>
        <v>#N/A</v>
      </c>
      <c r="AV598" s="22" t="s">
        <v>106</v>
      </c>
      <c r="AW5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8" s="22" t="str">
        <f t="shared" si="5"/>
        <v>BR_IMC_DSY_LANCH_ND_NC_2020Q3AUG_NVS_Nivus-Launch-Consideracao</v>
      </c>
      <c r="AY598" s="28" t="str">
        <f t="shared" si="6"/>
        <v>#N/A</v>
      </c>
      <c r="AZ598" s="22" t="s">
        <v>107</v>
      </c>
      <c r="BA598" s="22" t="s">
        <v>108</v>
      </c>
      <c r="BB598" s="31" t="s">
        <v>109</v>
      </c>
      <c r="BC598" s="31" t="s">
        <v>109</v>
      </c>
      <c r="BD598" s="32" t="str">
        <f t="shared" si="8"/>
        <v>nvl-nvs-imc-dsy-0820-10592</v>
      </c>
      <c r="BE598" s="33"/>
      <c r="BF598" s="33"/>
      <c r="BG598" s="39" t="str">
        <f>URL&amp;IF(ISNUMBER(FIND("?",URL)),"&amp;","?"&amp;("adlid="&amp;Unique_ID&amp;"&amp;adplt="&amp;Placement))</f>
        <v>#N/A</v>
      </c>
      <c r="BH598" s="1"/>
      <c r="BI598" s="1"/>
      <c r="BJ598" s="35" t="str">
        <f>LOWER("alp"&amp;"_"&amp;"vw"&amp;"_"&amp;Veiculo&amp;"_"&amp;C594&amp;"_"&amp;Objetivo)</f>
        <v>alp_vw___</v>
      </c>
      <c r="BK598" s="35" t="str">
        <f>LOWER(Buying_Metric&amp;"_"&amp;VLOOKUP(Buying_Type,Buy_type,2,FALSE)&amp;"_"&amp;Device&amp;"_"&amp;Size&amp;"_"&amp;Segmentação&amp;"_"&amp;Segmentação_Anúncio)</f>
        <v>#N/A</v>
      </c>
      <c r="BL598" s="35" t="str">
        <f>LOWER(Campanha_ou_InsertionOrder&amp;"_"&amp;LineItem_ou_Grupodeanúncio&amp;"_"&amp;Linha_criativa_2&amp;"_"&amp;Unique_ID)</f>
        <v>#N/A</v>
      </c>
      <c r="BM598" s="27"/>
      <c r="BN598" s="27"/>
    </row>
    <row r="599">
      <c r="A599" s="1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8" t="str">
        <f>LOWER(Campanha_ou_InsertionOrder&amp;"_"&amp;LineItem_ou_Grupodeanúncio&amp;"_"&amp;Linha_Criativa&amp;"_"&amp;Unique_ID)</f>
        <v>#N/A</v>
      </c>
      <c r="AN599" s="28" t="str">
        <f>LOWER(Campanha_ou_InsertionOrder&amp;"_"&amp;LineItem_ou_Grupodeanúncio&amp;"_"&amp;Linha_Criativa&amp;"_"&amp;Unique_ID)</f>
        <v>#N/A</v>
      </c>
      <c r="AO599" s="28" t="str">
        <f>LOWER("VW"&amp;"_"&amp;Model_Variant&amp;"_"&amp;Size&amp;"_"&amp;Linha_Criativa&amp;"_"&amp;IF(Servido_Por="portal",Veiculo,"adserver"))</f>
        <v>vw____adserver</v>
      </c>
      <c r="AP5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5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599" s="22" t="str">
        <f t="shared" si="1"/>
        <v/>
      </c>
      <c r="AS599" s="22" t="str">
        <f t="shared" si="2"/>
        <v/>
      </c>
      <c r="AT599" s="22" t="str">
        <f t="shared" si="3"/>
        <v>BR_IMC_DSY_LANCH_ND_NC_2020Q3AUG_NVS_Nivus-Launch-Consideracao</v>
      </c>
      <c r="AU599" s="22" t="str">
        <f t="shared" si="4"/>
        <v>#N/A</v>
      </c>
      <c r="AV599" s="22" t="s">
        <v>106</v>
      </c>
      <c r="AW5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599" s="22" t="str">
        <f t="shared" si="5"/>
        <v>BR_IMC_DSY_LANCH_ND_NC_2020Q3AUG_NVS_Nivus-Launch-Consideracao</v>
      </c>
      <c r="AY599" s="28" t="str">
        <f t="shared" si="6"/>
        <v>#N/A</v>
      </c>
      <c r="AZ599" s="22" t="s">
        <v>107</v>
      </c>
      <c r="BA599" s="22" t="s">
        <v>108</v>
      </c>
      <c r="BB599" s="31" t="s">
        <v>109</v>
      </c>
      <c r="BC599" s="31" t="s">
        <v>109</v>
      </c>
      <c r="BD599" s="32" t="str">
        <f t="shared" si="8"/>
        <v>nvl-nvs-imc-dsy-0820-10593</v>
      </c>
      <c r="BE599" s="33"/>
      <c r="BF599" s="33"/>
      <c r="BG599" s="39" t="str">
        <f>URL&amp;IF(ISNUMBER(FIND("?",URL)),"&amp;","?"&amp;("adlid="&amp;Unique_ID&amp;"&amp;adplt="&amp;Placement))</f>
        <v>#N/A</v>
      </c>
      <c r="BH599" s="1"/>
      <c r="BI599" s="1"/>
      <c r="BJ599" s="35" t="str">
        <f>LOWER("alp"&amp;"_"&amp;"vw"&amp;"_"&amp;Veiculo&amp;"_"&amp;C595&amp;"_"&amp;Objetivo)</f>
        <v>alp_vw___</v>
      </c>
      <c r="BK599" s="35" t="str">
        <f>LOWER(Buying_Metric&amp;"_"&amp;VLOOKUP(Buying_Type,Buy_type,2,FALSE)&amp;"_"&amp;Device&amp;"_"&amp;Size&amp;"_"&amp;Segmentação&amp;"_"&amp;Segmentação_Anúncio)</f>
        <v>#N/A</v>
      </c>
      <c r="BL599" s="35" t="str">
        <f>LOWER(Campanha_ou_InsertionOrder&amp;"_"&amp;LineItem_ou_Grupodeanúncio&amp;"_"&amp;Linha_criativa_2&amp;"_"&amp;Unique_ID)</f>
        <v>#N/A</v>
      </c>
      <c r="BM599" s="27"/>
      <c r="BN599" s="27"/>
    </row>
    <row r="600">
      <c r="A600" s="1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8" t="str">
        <f>LOWER(Campanha_ou_InsertionOrder&amp;"_"&amp;LineItem_ou_Grupodeanúncio&amp;"_"&amp;Linha_Criativa&amp;"_"&amp;Unique_ID)</f>
        <v>#N/A</v>
      </c>
      <c r="AN600" s="28" t="str">
        <f>LOWER(Campanha_ou_InsertionOrder&amp;"_"&amp;LineItem_ou_Grupodeanúncio&amp;"_"&amp;Linha_Criativa&amp;"_"&amp;Unique_ID)</f>
        <v>#N/A</v>
      </c>
      <c r="AO600" s="28" t="str">
        <f>LOWER("VW"&amp;"_"&amp;Model_Variant&amp;"_"&amp;Size&amp;"_"&amp;Linha_Criativa&amp;"_"&amp;IF(Servido_Por="portal",Veiculo,"adserver"))</f>
        <v>vw____adserver</v>
      </c>
      <c r="AP6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0" s="22" t="str">
        <f t="shared" si="1"/>
        <v/>
      </c>
      <c r="AS600" s="22" t="str">
        <f t="shared" si="2"/>
        <v/>
      </c>
      <c r="AT600" s="22" t="str">
        <f t="shared" si="3"/>
        <v>BR_IMC_DSY_LANCH_ND_NC_2020Q3AUG_NVS_Nivus-Launch-Consideracao</v>
      </c>
      <c r="AU600" s="22" t="str">
        <f t="shared" si="4"/>
        <v>#N/A</v>
      </c>
      <c r="AV600" s="22" t="s">
        <v>106</v>
      </c>
      <c r="AW6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0" s="22" t="str">
        <f t="shared" si="5"/>
        <v>BR_IMC_DSY_LANCH_ND_NC_2020Q3AUG_NVS_Nivus-Launch-Consideracao</v>
      </c>
      <c r="AY600" s="28" t="str">
        <f t="shared" si="6"/>
        <v>#N/A</v>
      </c>
      <c r="AZ600" s="22" t="s">
        <v>107</v>
      </c>
      <c r="BA600" s="22" t="s">
        <v>108</v>
      </c>
      <c r="BB600" s="31" t="s">
        <v>109</v>
      </c>
      <c r="BC600" s="31" t="s">
        <v>109</v>
      </c>
      <c r="BD600" s="32" t="str">
        <f t="shared" si="8"/>
        <v>nvl-nvs-imc-dsy-0820-10594</v>
      </c>
      <c r="BE600" s="33"/>
      <c r="BF600" s="33"/>
      <c r="BG600" s="39" t="str">
        <f>URL&amp;IF(ISNUMBER(FIND("?",URL)),"&amp;","?"&amp;("adlid="&amp;Unique_ID&amp;"&amp;adplt="&amp;Placement))</f>
        <v>#N/A</v>
      </c>
      <c r="BH600" s="1"/>
      <c r="BI600" s="1"/>
      <c r="BJ600" s="35" t="str">
        <f>LOWER("alp"&amp;"_"&amp;"vw"&amp;"_"&amp;Veiculo&amp;"_"&amp;C596&amp;"_"&amp;Objetivo)</f>
        <v>alp_vw___</v>
      </c>
      <c r="BK600" s="35" t="str">
        <f>LOWER(Buying_Metric&amp;"_"&amp;VLOOKUP(Buying_Type,Buy_type,2,FALSE)&amp;"_"&amp;Device&amp;"_"&amp;Size&amp;"_"&amp;Segmentação&amp;"_"&amp;Segmentação_Anúncio)</f>
        <v>#N/A</v>
      </c>
      <c r="BL600" s="35" t="str">
        <f>LOWER(Campanha_ou_InsertionOrder&amp;"_"&amp;LineItem_ou_Grupodeanúncio&amp;"_"&amp;Linha_criativa_2&amp;"_"&amp;Unique_ID)</f>
        <v>#N/A</v>
      </c>
      <c r="BM600" s="27"/>
      <c r="BN600" s="27"/>
    </row>
    <row r="601">
      <c r="A601" s="1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8" t="str">
        <f>LOWER(Campanha_ou_InsertionOrder&amp;"_"&amp;LineItem_ou_Grupodeanúncio&amp;"_"&amp;Linha_Criativa&amp;"_"&amp;Unique_ID)</f>
        <v>#N/A</v>
      </c>
      <c r="AN601" s="28" t="str">
        <f>LOWER(Campanha_ou_InsertionOrder&amp;"_"&amp;LineItem_ou_Grupodeanúncio&amp;"_"&amp;Linha_Criativa&amp;"_"&amp;Unique_ID)</f>
        <v>#N/A</v>
      </c>
      <c r="AO601" s="28" t="str">
        <f>LOWER("VW"&amp;"_"&amp;Model_Variant&amp;"_"&amp;Size&amp;"_"&amp;Linha_Criativa&amp;"_"&amp;IF(Servido_Por="portal",Veiculo,"adserver"))</f>
        <v>vw____adserver</v>
      </c>
      <c r="AP6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1" s="22" t="str">
        <f t="shared" si="1"/>
        <v/>
      </c>
      <c r="AS601" s="22" t="str">
        <f t="shared" si="2"/>
        <v/>
      </c>
      <c r="AT601" s="22" t="str">
        <f t="shared" si="3"/>
        <v>BR_IMC_DSY_LANCH_ND_NC_2020Q3AUG_NVS_Nivus-Launch-Consideracao</v>
      </c>
      <c r="AU601" s="22" t="str">
        <f t="shared" si="4"/>
        <v>#N/A</v>
      </c>
      <c r="AV601" s="22" t="s">
        <v>106</v>
      </c>
      <c r="AW6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1" s="22" t="str">
        <f t="shared" si="5"/>
        <v>BR_IMC_DSY_LANCH_ND_NC_2020Q3AUG_NVS_Nivus-Launch-Consideracao</v>
      </c>
      <c r="AY601" s="28" t="str">
        <f t="shared" si="6"/>
        <v>#N/A</v>
      </c>
      <c r="AZ601" s="22" t="s">
        <v>107</v>
      </c>
      <c r="BA601" s="22" t="s">
        <v>108</v>
      </c>
      <c r="BB601" s="31" t="s">
        <v>109</v>
      </c>
      <c r="BC601" s="31" t="s">
        <v>109</v>
      </c>
      <c r="BD601" s="32" t="str">
        <f t="shared" si="8"/>
        <v>nvl-nvs-imc-dsy-0820-10595</v>
      </c>
      <c r="BE601" s="33"/>
      <c r="BF601" s="33"/>
      <c r="BG601" s="39" t="str">
        <f>URL&amp;IF(ISNUMBER(FIND("?",URL)),"&amp;","?"&amp;("adlid="&amp;Unique_ID&amp;"&amp;adplt="&amp;Placement))</f>
        <v>#N/A</v>
      </c>
      <c r="BH601" s="1"/>
      <c r="BI601" s="1"/>
      <c r="BJ601" s="35" t="str">
        <f>LOWER("alp"&amp;"_"&amp;"vw"&amp;"_"&amp;Veiculo&amp;"_"&amp;C597&amp;"_"&amp;Objetivo)</f>
        <v>alp_vw___</v>
      </c>
      <c r="BK601" s="35" t="str">
        <f>LOWER(Buying_Metric&amp;"_"&amp;VLOOKUP(Buying_Type,Buy_type,2,FALSE)&amp;"_"&amp;Device&amp;"_"&amp;Size&amp;"_"&amp;Segmentação&amp;"_"&amp;Segmentação_Anúncio)</f>
        <v>#N/A</v>
      </c>
      <c r="BL601" s="35" t="str">
        <f>LOWER(Campanha_ou_InsertionOrder&amp;"_"&amp;LineItem_ou_Grupodeanúncio&amp;"_"&amp;Linha_criativa_2&amp;"_"&amp;Unique_ID)</f>
        <v>#N/A</v>
      </c>
      <c r="BM601" s="27"/>
      <c r="BN601" s="27"/>
    </row>
    <row r="602">
      <c r="A602" s="1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8" t="str">
        <f>LOWER(Campanha_ou_InsertionOrder&amp;"_"&amp;LineItem_ou_Grupodeanúncio&amp;"_"&amp;Linha_Criativa&amp;"_"&amp;Unique_ID)</f>
        <v>#N/A</v>
      </c>
      <c r="AN602" s="28" t="str">
        <f>LOWER(Campanha_ou_InsertionOrder&amp;"_"&amp;LineItem_ou_Grupodeanúncio&amp;"_"&amp;Linha_Criativa&amp;"_"&amp;Unique_ID)</f>
        <v>#N/A</v>
      </c>
      <c r="AO602" s="28" t="str">
        <f>LOWER("VW"&amp;"_"&amp;Model_Variant&amp;"_"&amp;Size&amp;"_"&amp;Linha_Criativa&amp;"_"&amp;IF(Servido_Por="portal",Veiculo,"adserver"))</f>
        <v>vw____adserver</v>
      </c>
      <c r="AP6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2" s="22" t="str">
        <f t="shared" si="1"/>
        <v/>
      </c>
      <c r="AS602" s="22" t="str">
        <f t="shared" si="2"/>
        <v/>
      </c>
      <c r="AT602" s="22" t="str">
        <f t="shared" si="3"/>
        <v>BR_IMC_DSY_LANCH_ND_NC_2020Q3AUG_NVS_Nivus-Launch-Consideracao</v>
      </c>
      <c r="AU602" s="22" t="str">
        <f t="shared" si="4"/>
        <v>#N/A</v>
      </c>
      <c r="AV602" s="22" t="s">
        <v>106</v>
      </c>
      <c r="AW6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2" s="22" t="str">
        <f t="shared" si="5"/>
        <v>BR_IMC_DSY_LANCH_ND_NC_2020Q3AUG_NVS_Nivus-Launch-Consideracao</v>
      </c>
      <c r="AY602" s="28" t="str">
        <f t="shared" si="6"/>
        <v>#N/A</v>
      </c>
      <c r="AZ602" s="22" t="s">
        <v>107</v>
      </c>
      <c r="BA602" s="22" t="s">
        <v>108</v>
      </c>
      <c r="BB602" s="31" t="s">
        <v>109</v>
      </c>
      <c r="BC602" s="31" t="s">
        <v>109</v>
      </c>
      <c r="BD602" s="32" t="str">
        <f t="shared" si="8"/>
        <v>nvl-nvs-imc-dsy-0820-10596</v>
      </c>
      <c r="BE602" s="33"/>
      <c r="BF602" s="33"/>
      <c r="BG602" s="39" t="str">
        <f>URL&amp;IF(ISNUMBER(FIND("?",URL)),"&amp;","?"&amp;("adlid="&amp;Unique_ID&amp;"&amp;adplt="&amp;Placement))</f>
        <v>#N/A</v>
      </c>
      <c r="BH602" s="1"/>
      <c r="BI602" s="1"/>
      <c r="BJ602" s="35" t="str">
        <f>LOWER("alp"&amp;"_"&amp;"vw"&amp;"_"&amp;Veiculo&amp;"_"&amp;C598&amp;"_"&amp;Objetivo)</f>
        <v>alp_vw___</v>
      </c>
      <c r="BK602" s="35" t="str">
        <f>LOWER(Buying_Metric&amp;"_"&amp;VLOOKUP(Buying_Type,Buy_type,2,FALSE)&amp;"_"&amp;Device&amp;"_"&amp;Size&amp;"_"&amp;Segmentação&amp;"_"&amp;Segmentação_Anúncio)</f>
        <v>#N/A</v>
      </c>
      <c r="BL602" s="35" t="str">
        <f>LOWER(Campanha_ou_InsertionOrder&amp;"_"&amp;LineItem_ou_Grupodeanúncio&amp;"_"&amp;Linha_criativa_2&amp;"_"&amp;Unique_ID)</f>
        <v>#N/A</v>
      </c>
      <c r="BM602" s="27"/>
      <c r="BN602" s="27"/>
    </row>
    <row r="603">
      <c r="A603" s="1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8" t="str">
        <f>LOWER(Campanha_ou_InsertionOrder&amp;"_"&amp;LineItem_ou_Grupodeanúncio&amp;"_"&amp;Linha_Criativa&amp;"_"&amp;Unique_ID)</f>
        <v>#N/A</v>
      </c>
      <c r="AN603" s="28" t="str">
        <f>LOWER(Campanha_ou_InsertionOrder&amp;"_"&amp;LineItem_ou_Grupodeanúncio&amp;"_"&amp;Linha_Criativa&amp;"_"&amp;Unique_ID)</f>
        <v>#N/A</v>
      </c>
      <c r="AO603" s="28" t="str">
        <f>LOWER("VW"&amp;"_"&amp;Model_Variant&amp;"_"&amp;Size&amp;"_"&amp;Linha_Criativa&amp;"_"&amp;IF(Servido_Por="portal",Veiculo,"adserver"))</f>
        <v>vw____adserver</v>
      </c>
      <c r="AP6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3" s="22" t="str">
        <f t="shared" si="1"/>
        <v/>
      </c>
      <c r="AS603" s="22" t="str">
        <f t="shared" si="2"/>
        <v/>
      </c>
      <c r="AT603" s="22" t="str">
        <f t="shared" si="3"/>
        <v>BR_IMC_DSY_LANCH_ND_NC_2020Q3AUG_NVS_Nivus-Launch-Consideracao</v>
      </c>
      <c r="AU603" s="22" t="str">
        <f t="shared" si="4"/>
        <v>#N/A</v>
      </c>
      <c r="AV603" s="22" t="s">
        <v>106</v>
      </c>
      <c r="AW6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3" s="22" t="str">
        <f t="shared" si="5"/>
        <v>BR_IMC_DSY_LANCH_ND_NC_2020Q3AUG_NVS_Nivus-Launch-Consideracao</v>
      </c>
      <c r="AY603" s="28" t="str">
        <f t="shared" si="6"/>
        <v>#N/A</v>
      </c>
      <c r="AZ603" s="22" t="s">
        <v>107</v>
      </c>
      <c r="BA603" s="22" t="s">
        <v>108</v>
      </c>
      <c r="BB603" s="31" t="s">
        <v>109</v>
      </c>
      <c r="BC603" s="31" t="s">
        <v>109</v>
      </c>
      <c r="BD603" s="32" t="str">
        <f t="shared" si="8"/>
        <v>nvl-nvs-imc-dsy-0820-10597</v>
      </c>
      <c r="BE603" s="33"/>
      <c r="BF603" s="33"/>
      <c r="BG603" s="39" t="str">
        <f>URL&amp;IF(ISNUMBER(FIND("?",URL)),"&amp;","?"&amp;("adlid="&amp;Unique_ID&amp;"&amp;adplt="&amp;Placement))</f>
        <v>#N/A</v>
      </c>
      <c r="BH603" s="1"/>
      <c r="BI603" s="1"/>
      <c r="BJ603" s="35" t="str">
        <f>LOWER("alp"&amp;"_"&amp;"vw"&amp;"_"&amp;Veiculo&amp;"_"&amp;C599&amp;"_"&amp;Objetivo)</f>
        <v>alp_vw___</v>
      </c>
      <c r="BK603" s="35" t="str">
        <f>LOWER(Buying_Metric&amp;"_"&amp;VLOOKUP(Buying_Type,Buy_type,2,FALSE)&amp;"_"&amp;Device&amp;"_"&amp;Size&amp;"_"&amp;Segmentação&amp;"_"&amp;Segmentação_Anúncio)</f>
        <v>#N/A</v>
      </c>
      <c r="BL603" s="35" t="str">
        <f>LOWER(Campanha_ou_InsertionOrder&amp;"_"&amp;LineItem_ou_Grupodeanúncio&amp;"_"&amp;Linha_criativa_2&amp;"_"&amp;Unique_ID)</f>
        <v>#N/A</v>
      </c>
      <c r="BM603" s="27"/>
      <c r="BN603" s="27"/>
    </row>
    <row r="604">
      <c r="A604" s="1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8" t="str">
        <f>LOWER(Campanha_ou_InsertionOrder&amp;"_"&amp;LineItem_ou_Grupodeanúncio&amp;"_"&amp;Linha_Criativa&amp;"_"&amp;Unique_ID)</f>
        <v>#N/A</v>
      </c>
      <c r="AN604" s="28" t="str">
        <f>LOWER(Campanha_ou_InsertionOrder&amp;"_"&amp;LineItem_ou_Grupodeanúncio&amp;"_"&amp;Linha_Criativa&amp;"_"&amp;Unique_ID)</f>
        <v>#N/A</v>
      </c>
      <c r="AO604" s="28" t="str">
        <f>LOWER("VW"&amp;"_"&amp;Model_Variant&amp;"_"&amp;Size&amp;"_"&amp;Linha_Criativa&amp;"_"&amp;IF(Servido_Por="portal",Veiculo,"adserver"))</f>
        <v>vw____adserver</v>
      </c>
      <c r="AP6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4" s="22" t="str">
        <f t="shared" si="1"/>
        <v/>
      </c>
      <c r="AS604" s="22" t="str">
        <f t="shared" si="2"/>
        <v/>
      </c>
      <c r="AT604" s="22" t="str">
        <f t="shared" si="3"/>
        <v>BR_IMC_DSY_LANCH_ND_NC_2020Q3AUG_NVS_Nivus-Launch-Consideracao</v>
      </c>
      <c r="AU604" s="22" t="str">
        <f t="shared" si="4"/>
        <v>#N/A</v>
      </c>
      <c r="AV604" s="22" t="s">
        <v>106</v>
      </c>
      <c r="AW6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4" s="22" t="str">
        <f t="shared" si="5"/>
        <v>BR_IMC_DSY_LANCH_ND_NC_2020Q3AUG_NVS_Nivus-Launch-Consideracao</v>
      </c>
      <c r="AY604" s="28" t="str">
        <f t="shared" si="6"/>
        <v>#N/A</v>
      </c>
      <c r="AZ604" s="22" t="s">
        <v>107</v>
      </c>
      <c r="BA604" s="22" t="s">
        <v>108</v>
      </c>
      <c r="BB604" s="31" t="s">
        <v>109</v>
      </c>
      <c r="BC604" s="31" t="s">
        <v>109</v>
      </c>
      <c r="BD604" s="32" t="str">
        <f t="shared" si="8"/>
        <v>nvl-nvs-imc-dsy-0820-10598</v>
      </c>
      <c r="BE604" s="33"/>
      <c r="BF604" s="33"/>
      <c r="BG604" s="39" t="str">
        <f>URL&amp;IF(ISNUMBER(FIND("?",URL)),"&amp;","?"&amp;("adlid="&amp;Unique_ID&amp;"&amp;adplt="&amp;Placement))</f>
        <v>#N/A</v>
      </c>
      <c r="BH604" s="1"/>
      <c r="BI604" s="1"/>
      <c r="BJ604" s="35" t="str">
        <f>LOWER("alp"&amp;"_"&amp;"vw"&amp;"_"&amp;Veiculo&amp;"_"&amp;C600&amp;"_"&amp;Objetivo)</f>
        <v>alp_vw___</v>
      </c>
      <c r="BK604" s="35" t="str">
        <f>LOWER(Buying_Metric&amp;"_"&amp;VLOOKUP(Buying_Type,Buy_type,2,FALSE)&amp;"_"&amp;Device&amp;"_"&amp;Size&amp;"_"&amp;Segmentação&amp;"_"&amp;Segmentação_Anúncio)</f>
        <v>#N/A</v>
      </c>
      <c r="BL604" s="35" t="str">
        <f>LOWER(Campanha_ou_InsertionOrder&amp;"_"&amp;LineItem_ou_Grupodeanúncio&amp;"_"&amp;Linha_criativa_2&amp;"_"&amp;Unique_ID)</f>
        <v>#N/A</v>
      </c>
      <c r="BM604" s="27"/>
      <c r="BN604" s="27"/>
    </row>
    <row r="605">
      <c r="A605" s="1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8" t="str">
        <f>LOWER(Campanha_ou_InsertionOrder&amp;"_"&amp;LineItem_ou_Grupodeanúncio&amp;"_"&amp;Linha_Criativa&amp;"_"&amp;Unique_ID)</f>
        <v>#N/A</v>
      </c>
      <c r="AN605" s="28" t="str">
        <f>LOWER(Campanha_ou_InsertionOrder&amp;"_"&amp;LineItem_ou_Grupodeanúncio&amp;"_"&amp;Linha_Criativa&amp;"_"&amp;Unique_ID)</f>
        <v>#N/A</v>
      </c>
      <c r="AO605" s="28" t="str">
        <f>LOWER("VW"&amp;"_"&amp;Model_Variant&amp;"_"&amp;Size&amp;"_"&amp;Linha_Criativa&amp;"_"&amp;IF(Servido_Por="portal",Veiculo,"adserver"))</f>
        <v>vw____adserver</v>
      </c>
      <c r="AP6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5" s="22" t="str">
        <f t="shared" si="1"/>
        <v/>
      </c>
      <c r="AS605" s="22" t="str">
        <f t="shared" si="2"/>
        <v/>
      </c>
      <c r="AT605" s="22" t="str">
        <f t="shared" si="3"/>
        <v>BR_IMC_DSY_LANCH_ND_NC_2020Q3AUG_NVS_Nivus-Launch-Consideracao</v>
      </c>
      <c r="AU605" s="22" t="str">
        <f t="shared" si="4"/>
        <v>#N/A</v>
      </c>
      <c r="AV605" s="22" t="s">
        <v>106</v>
      </c>
      <c r="AW6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5" s="22" t="str">
        <f t="shared" si="5"/>
        <v>BR_IMC_DSY_LANCH_ND_NC_2020Q3AUG_NVS_Nivus-Launch-Consideracao</v>
      </c>
      <c r="AY605" s="28" t="str">
        <f t="shared" si="6"/>
        <v>#N/A</v>
      </c>
      <c r="AZ605" s="22" t="s">
        <v>107</v>
      </c>
      <c r="BA605" s="22" t="s">
        <v>108</v>
      </c>
      <c r="BB605" s="31" t="s">
        <v>109</v>
      </c>
      <c r="BC605" s="31" t="s">
        <v>109</v>
      </c>
      <c r="BD605" s="32" t="str">
        <f t="shared" si="8"/>
        <v>nvl-nvs-imc-dsy-0820-10599</v>
      </c>
      <c r="BE605" s="33"/>
      <c r="BF605" s="33"/>
      <c r="BG605" s="39" t="str">
        <f>URL&amp;IF(ISNUMBER(FIND("?",URL)),"&amp;","?"&amp;("adlid="&amp;Unique_ID&amp;"&amp;adplt="&amp;Placement))</f>
        <v>#N/A</v>
      </c>
      <c r="BH605" s="1"/>
      <c r="BI605" s="1"/>
      <c r="BJ605" s="35" t="str">
        <f>LOWER("alp"&amp;"_"&amp;"vw"&amp;"_"&amp;Veiculo&amp;"_"&amp;C601&amp;"_"&amp;Objetivo)</f>
        <v>alp_vw___</v>
      </c>
      <c r="BK605" s="35" t="str">
        <f>LOWER(Buying_Metric&amp;"_"&amp;VLOOKUP(Buying_Type,Buy_type,2,FALSE)&amp;"_"&amp;Device&amp;"_"&amp;Size&amp;"_"&amp;Segmentação&amp;"_"&amp;Segmentação_Anúncio)</f>
        <v>#N/A</v>
      </c>
      <c r="BL605" s="35" t="str">
        <f>LOWER(Campanha_ou_InsertionOrder&amp;"_"&amp;LineItem_ou_Grupodeanúncio&amp;"_"&amp;Linha_criativa_2&amp;"_"&amp;Unique_ID)</f>
        <v>#N/A</v>
      </c>
      <c r="BM605" s="27"/>
      <c r="BN605" s="27"/>
    </row>
    <row r="606">
      <c r="A606" s="1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8" t="str">
        <f>LOWER(Campanha_ou_InsertionOrder&amp;"_"&amp;LineItem_ou_Grupodeanúncio&amp;"_"&amp;Linha_Criativa&amp;"_"&amp;Unique_ID)</f>
        <v>#N/A</v>
      </c>
      <c r="AN606" s="28" t="str">
        <f>LOWER(Campanha_ou_InsertionOrder&amp;"_"&amp;LineItem_ou_Grupodeanúncio&amp;"_"&amp;Linha_Criativa&amp;"_"&amp;Unique_ID)</f>
        <v>#N/A</v>
      </c>
      <c r="AO606" s="28" t="str">
        <f>LOWER("VW"&amp;"_"&amp;Model_Variant&amp;"_"&amp;Size&amp;"_"&amp;Linha_Criativa&amp;"_"&amp;IF(Servido_Por="portal",Veiculo,"adserver"))</f>
        <v>vw____adserver</v>
      </c>
      <c r="AP6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6" s="22" t="str">
        <f t="shared" si="1"/>
        <v/>
      </c>
      <c r="AS606" s="22" t="str">
        <f t="shared" si="2"/>
        <v/>
      </c>
      <c r="AT606" s="22" t="str">
        <f t="shared" si="3"/>
        <v>BR_IMC_DSY_LANCH_ND_NC_2020Q3AUG_NVS_Nivus-Launch-Consideracao</v>
      </c>
      <c r="AU606" s="22" t="str">
        <f t="shared" si="4"/>
        <v>#N/A</v>
      </c>
      <c r="AV606" s="22" t="s">
        <v>106</v>
      </c>
      <c r="AW6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6" s="22" t="str">
        <f t="shared" si="5"/>
        <v>BR_IMC_DSY_LANCH_ND_NC_2020Q3AUG_NVS_Nivus-Launch-Consideracao</v>
      </c>
      <c r="AY606" s="28" t="str">
        <f t="shared" si="6"/>
        <v>#N/A</v>
      </c>
      <c r="AZ606" s="22" t="s">
        <v>107</v>
      </c>
      <c r="BA606" s="22" t="s">
        <v>108</v>
      </c>
      <c r="BB606" s="31" t="s">
        <v>109</v>
      </c>
      <c r="BC606" s="31" t="s">
        <v>109</v>
      </c>
      <c r="BD606" s="32" t="str">
        <f t="shared" si="8"/>
        <v>nvl-nvs-imc-dsy-0820-10600</v>
      </c>
      <c r="BE606" s="33"/>
      <c r="BF606" s="33"/>
      <c r="BG606" s="39" t="str">
        <f>URL&amp;IF(ISNUMBER(FIND("?",URL)),"&amp;","?"&amp;("adlid="&amp;Unique_ID&amp;"&amp;adplt="&amp;Placement))</f>
        <v>#N/A</v>
      </c>
      <c r="BH606" s="1"/>
      <c r="BI606" s="1"/>
      <c r="BJ606" s="35" t="str">
        <f>LOWER("alp"&amp;"_"&amp;"vw"&amp;"_"&amp;Veiculo&amp;"_"&amp;C602&amp;"_"&amp;Objetivo)</f>
        <v>alp_vw___</v>
      </c>
      <c r="BK606" s="35" t="str">
        <f>LOWER(Buying_Metric&amp;"_"&amp;VLOOKUP(Buying_Type,Buy_type,2,FALSE)&amp;"_"&amp;Device&amp;"_"&amp;Size&amp;"_"&amp;Segmentação&amp;"_"&amp;Segmentação_Anúncio)</f>
        <v>#N/A</v>
      </c>
      <c r="BL606" s="35" t="str">
        <f>LOWER(Campanha_ou_InsertionOrder&amp;"_"&amp;LineItem_ou_Grupodeanúncio&amp;"_"&amp;Linha_criativa_2&amp;"_"&amp;Unique_ID)</f>
        <v>#N/A</v>
      </c>
      <c r="BM606" s="27"/>
      <c r="BN606" s="27"/>
    </row>
    <row r="607">
      <c r="A607" s="1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8" t="str">
        <f>LOWER(Campanha_ou_InsertionOrder&amp;"_"&amp;LineItem_ou_Grupodeanúncio&amp;"_"&amp;Linha_Criativa&amp;"_"&amp;Unique_ID)</f>
        <v>#N/A</v>
      </c>
      <c r="AN607" s="28" t="str">
        <f>LOWER(Campanha_ou_InsertionOrder&amp;"_"&amp;LineItem_ou_Grupodeanúncio&amp;"_"&amp;Linha_Criativa&amp;"_"&amp;Unique_ID)</f>
        <v>#N/A</v>
      </c>
      <c r="AO607" s="28" t="str">
        <f>LOWER("VW"&amp;"_"&amp;Model_Variant&amp;"_"&amp;Size&amp;"_"&amp;Linha_Criativa&amp;"_"&amp;IF(Servido_Por="portal",Veiculo,"adserver"))</f>
        <v>vw____adserver</v>
      </c>
      <c r="AP6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7" s="22" t="str">
        <f t="shared" si="1"/>
        <v/>
      </c>
      <c r="AS607" s="22" t="str">
        <f t="shared" si="2"/>
        <v/>
      </c>
      <c r="AT607" s="22" t="str">
        <f t="shared" si="3"/>
        <v>BR_IMC_DSY_LANCH_ND_NC_2020Q3AUG_NVS_Nivus-Launch-Consideracao</v>
      </c>
      <c r="AU607" s="22" t="str">
        <f t="shared" si="4"/>
        <v>#N/A</v>
      </c>
      <c r="AV607" s="22" t="s">
        <v>106</v>
      </c>
      <c r="AW6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7" s="22" t="str">
        <f t="shared" si="5"/>
        <v>BR_IMC_DSY_LANCH_ND_NC_2020Q3AUG_NVS_Nivus-Launch-Consideracao</v>
      </c>
      <c r="AY607" s="28" t="str">
        <f t="shared" si="6"/>
        <v>#N/A</v>
      </c>
      <c r="AZ607" s="22" t="s">
        <v>107</v>
      </c>
      <c r="BA607" s="22" t="s">
        <v>108</v>
      </c>
      <c r="BB607" s="31" t="s">
        <v>109</v>
      </c>
      <c r="BC607" s="31" t="s">
        <v>109</v>
      </c>
      <c r="BD607" s="32" t="str">
        <f t="shared" si="8"/>
        <v>nvl-nvs-imc-dsy-0820-10601</v>
      </c>
      <c r="BE607" s="33"/>
      <c r="BF607" s="33"/>
      <c r="BG607" s="39" t="str">
        <f>URL&amp;IF(ISNUMBER(FIND("?",URL)),"&amp;","?"&amp;("adlid="&amp;Unique_ID&amp;"&amp;adplt="&amp;Placement))</f>
        <v>#N/A</v>
      </c>
      <c r="BH607" s="1"/>
      <c r="BI607" s="1"/>
      <c r="BJ607" s="35" t="str">
        <f>LOWER("alp"&amp;"_"&amp;"vw"&amp;"_"&amp;Veiculo&amp;"_"&amp;C603&amp;"_"&amp;Objetivo)</f>
        <v>alp_vw___</v>
      </c>
      <c r="BK607" s="35" t="str">
        <f>LOWER(Buying_Metric&amp;"_"&amp;VLOOKUP(Buying_Type,Buy_type,2,FALSE)&amp;"_"&amp;Device&amp;"_"&amp;Size&amp;"_"&amp;Segmentação&amp;"_"&amp;Segmentação_Anúncio)</f>
        <v>#N/A</v>
      </c>
      <c r="BL607" s="35" t="str">
        <f>LOWER(Campanha_ou_InsertionOrder&amp;"_"&amp;LineItem_ou_Grupodeanúncio&amp;"_"&amp;Linha_criativa_2&amp;"_"&amp;Unique_ID)</f>
        <v>#N/A</v>
      </c>
      <c r="BM607" s="27"/>
      <c r="BN607" s="27"/>
    </row>
    <row r="608">
      <c r="A608" s="1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8" t="str">
        <f>LOWER(Campanha_ou_InsertionOrder&amp;"_"&amp;LineItem_ou_Grupodeanúncio&amp;"_"&amp;Linha_Criativa&amp;"_"&amp;Unique_ID)</f>
        <v>#N/A</v>
      </c>
      <c r="AN608" s="28" t="str">
        <f>LOWER(Campanha_ou_InsertionOrder&amp;"_"&amp;LineItem_ou_Grupodeanúncio&amp;"_"&amp;Linha_Criativa&amp;"_"&amp;Unique_ID)</f>
        <v>#N/A</v>
      </c>
      <c r="AO608" s="28" t="str">
        <f>LOWER("VW"&amp;"_"&amp;Model_Variant&amp;"_"&amp;Size&amp;"_"&amp;Linha_Criativa&amp;"_"&amp;IF(Servido_Por="portal",Veiculo,"adserver"))</f>
        <v>vw____adserver</v>
      </c>
      <c r="AP6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8" s="22" t="str">
        <f t="shared" si="1"/>
        <v/>
      </c>
      <c r="AS608" s="22" t="str">
        <f t="shared" si="2"/>
        <v/>
      </c>
      <c r="AT608" s="22" t="str">
        <f t="shared" si="3"/>
        <v>BR_IMC_DSY_LANCH_ND_NC_2020Q3AUG_NVS_Nivus-Launch-Consideracao</v>
      </c>
      <c r="AU608" s="22" t="str">
        <f t="shared" si="4"/>
        <v>#N/A</v>
      </c>
      <c r="AV608" s="22" t="s">
        <v>106</v>
      </c>
      <c r="AW6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8" s="22" t="str">
        <f t="shared" si="5"/>
        <v>BR_IMC_DSY_LANCH_ND_NC_2020Q3AUG_NVS_Nivus-Launch-Consideracao</v>
      </c>
      <c r="AY608" s="28" t="str">
        <f t="shared" si="6"/>
        <v>#N/A</v>
      </c>
      <c r="AZ608" s="22" t="s">
        <v>107</v>
      </c>
      <c r="BA608" s="22" t="s">
        <v>108</v>
      </c>
      <c r="BB608" s="31" t="s">
        <v>109</v>
      </c>
      <c r="BC608" s="31" t="s">
        <v>109</v>
      </c>
      <c r="BD608" s="32" t="str">
        <f t="shared" si="8"/>
        <v>nvl-nvs-imc-dsy-0820-10602</v>
      </c>
      <c r="BE608" s="33"/>
      <c r="BF608" s="33"/>
      <c r="BG608" s="39" t="str">
        <f>URL&amp;IF(ISNUMBER(FIND("?",URL)),"&amp;","?"&amp;("adlid="&amp;Unique_ID&amp;"&amp;adplt="&amp;Placement))</f>
        <v>#N/A</v>
      </c>
      <c r="BH608" s="1"/>
      <c r="BI608" s="1"/>
      <c r="BJ608" s="35" t="str">
        <f>LOWER("alp"&amp;"_"&amp;"vw"&amp;"_"&amp;Veiculo&amp;"_"&amp;C604&amp;"_"&amp;Objetivo)</f>
        <v>alp_vw___</v>
      </c>
      <c r="BK608" s="35" t="str">
        <f>LOWER(Buying_Metric&amp;"_"&amp;VLOOKUP(Buying_Type,Buy_type,2,FALSE)&amp;"_"&amp;Device&amp;"_"&amp;Size&amp;"_"&amp;Segmentação&amp;"_"&amp;Segmentação_Anúncio)</f>
        <v>#N/A</v>
      </c>
      <c r="BL608" s="35" t="str">
        <f>LOWER(Campanha_ou_InsertionOrder&amp;"_"&amp;LineItem_ou_Grupodeanúncio&amp;"_"&amp;Linha_criativa_2&amp;"_"&amp;Unique_ID)</f>
        <v>#N/A</v>
      </c>
      <c r="BM608" s="27"/>
      <c r="BN608" s="27"/>
    </row>
    <row r="609">
      <c r="A609" s="1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8" t="str">
        <f>LOWER(Campanha_ou_InsertionOrder&amp;"_"&amp;LineItem_ou_Grupodeanúncio&amp;"_"&amp;Linha_Criativa&amp;"_"&amp;Unique_ID)</f>
        <v>#N/A</v>
      </c>
      <c r="AN609" s="28" t="str">
        <f>LOWER(Campanha_ou_InsertionOrder&amp;"_"&amp;LineItem_ou_Grupodeanúncio&amp;"_"&amp;Linha_Criativa&amp;"_"&amp;Unique_ID)</f>
        <v>#N/A</v>
      </c>
      <c r="AO609" s="28" t="str">
        <f>LOWER("VW"&amp;"_"&amp;Model_Variant&amp;"_"&amp;Size&amp;"_"&amp;Linha_Criativa&amp;"_"&amp;IF(Servido_Por="portal",Veiculo,"adserver"))</f>
        <v>vw____adserver</v>
      </c>
      <c r="AP6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09" s="22" t="str">
        <f t="shared" si="1"/>
        <v/>
      </c>
      <c r="AS609" s="22" t="str">
        <f t="shared" si="2"/>
        <v/>
      </c>
      <c r="AT609" s="22" t="str">
        <f t="shared" si="3"/>
        <v>BR_IMC_DSY_LANCH_ND_NC_2020Q3AUG_NVS_Nivus-Launch-Consideracao</v>
      </c>
      <c r="AU609" s="22" t="str">
        <f t="shared" si="4"/>
        <v>#N/A</v>
      </c>
      <c r="AV609" s="22" t="s">
        <v>106</v>
      </c>
      <c r="AW6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09" s="22" t="str">
        <f t="shared" si="5"/>
        <v>BR_IMC_DSY_LANCH_ND_NC_2020Q3AUG_NVS_Nivus-Launch-Consideracao</v>
      </c>
      <c r="AY609" s="28" t="str">
        <f t="shared" si="6"/>
        <v>#N/A</v>
      </c>
      <c r="AZ609" s="22" t="s">
        <v>107</v>
      </c>
      <c r="BA609" s="22" t="s">
        <v>108</v>
      </c>
      <c r="BB609" s="31" t="s">
        <v>109</v>
      </c>
      <c r="BC609" s="31" t="s">
        <v>109</v>
      </c>
      <c r="BD609" s="32" t="str">
        <f t="shared" si="8"/>
        <v>nvl-nvs-imc-dsy-0820-10603</v>
      </c>
      <c r="BE609" s="33"/>
      <c r="BF609" s="33"/>
      <c r="BG609" s="39" t="str">
        <f>URL&amp;IF(ISNUMBER(FIND("?",URL)),"&amp;","?"&amp;("adlid="&amp;Unique_ID&amp;"&amp;adplt="&amp;Placement))</f>
        <v>#N/A</v>
      </c>
      <c r="BH609" s="1"/>
      <c r="BI609" s="1"/>
      <c r="BJ609" s="35" t="str">
        <f>LOWER("alp"&amp;"_"&amp;"vw"&amp;"_"&amp;Veiculo&amp;"_"&amp;C605&amp;"_"&amp;Objetivo)</f>
        <v>alp_vw___</v>
      </c>
      <c r="BK609" s="35" t="str">
        <f>LOWER(Buying_Metric&amp;"_"&amp;VLOOKUP(Buying_Type,Buy_type,2,FALSE)&amp;"_"&amp;Device&amp;"_"&amp;Size&amp;"_"&amp;Segmentação&amp;"_"&amp;Segmentação_Anúncio)</f>
        <v>#N/A</v>
      </c>
      <c r="BL609" s="35" t="str">
        <f>LOWER(Campanha_ou_InsertionOrder&amp;"_"&amp;LineItem_ou_Grupodeanúncio&amp;"_"&amp;Linha_criativa_2&amp;"_"&amp;Unique_ID)</f>
        <v>#N/A</v>
      </c>
      <c r="BM609" s="27"/>
      <c r="BN609" s="27"/>
    </row>
    <row r="610">
      <c r="A610" s="1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8" t="str">
        <f>LOWER(Campanha_ou_InsertionOrder&amp;"_"&amp;LineItem_ou_Grupodeanúncio&amp;"_"&amp;Linha_Criativa&amp;"_"&amp;Unique_ID)</f>
        <v>#N/A</v>
      </c>
      <c r="AN610" s="28" t="str">
        <f>LOWER(Campanha_ou_InsertionOrder&amp;"_"&amp;LineItem_ou_Grupodeanúncio&amp;"_"&amp;Linha_Criativa&amp;"_"&amp;Unique_ID)</f>
        <v>#N/A</v>
      </c>
      <c r="AO610" s="28" t="str">
        <f>LOWER("VW"&amp;"_"&amp;Model_Variant&amp;"_"&amp;Size&amp;"_"&amp;Linha_Criativa&amp;"_"&amp;IF(Servido_Por="portal",Veiculo,"adserver"))</f>
        <v>vw____adserver</v>
      </c>
      <c r="AP6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0" s="22" t="str">
        <f t="shared" si="1"/>
        <v/>
      </c>
      <c r="AS610" s="22" t="str">
        <f t="shared" si="2"/>
        <v/>
      </c>
      <c r="AT610" s="22" t="str">
        <f t="shared" si="3"/>
        <v>BR_IMC_DSY_LANCH_ND_NC_2020Q3AUG_NVS_Nivus-Launch-Consideracao</v>
      </c>
      <c r="AU610" s="22" t="str">
        <f t="shared" si="4"/>
        <v>#N/A</v>
      </c>
      <c r="AV610" s="22" t="s">
        <v>106</v>
      </c>
      <c r="AW6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0" s="22" t="str">
        <f t="shared" si="5"/>
        <v>BR_IMC_DSY_LANCH_ND_NC_2020Q3AUG_NVS_Nivus-Launch-Consideracao</v>
      </c>
      <c r="AY610" s="28" t="str">
        <f t="shared" si="6"/>
        <v>#N/A</v>
      </c>
      <c r="AZ610" s="22" t="s">
        <v>107</v>
      </c>
      <c r="BA610" s="22" t="s">
        <v>108</v>
      </c>
      <c r="BB610" s="31" t="s">
        <v>109</v>
      </c>
      <c r="BC610" s="31" t="s">
        <v>109</v>
      </c>
      <c r="BD610" s="32" t="str">
        <f t="shared" si="8"/>
        <v>nvl-nvs-imc-dsy-0820-10604</v>
      </c>
      <c r="BE610" s="33"/>
      <c r="BF610" s="33"/>
      <c r="BG610" s="39" t="str">
        <f>URL&amp;IF(ISNUMBER(FIND("?",URL)),"&amp;","?"&amp;("adlid="&amp;Unique_ID&amp;"&amp;adplt="&amp;Placement))</f>
        <v>#N/A</v>
      </c>
      <c r="BH610" s="1"/>
      <c r="BI610" s="1"/>
      <c r="BJ610" s="35" t="str">
        <f>LOWER("alp"&amp;"_"&amp;"vw"&amp;"_"&amp;Veiculo&amp;"_"&amp;C606&amp;"_"&amp;Objetivo)</f>
        <v>alp_vw___</v>
      </c>
      <c r="BK610" s="35" t="str">
        <f>LOWER(Buying_Metric&amp;"_"&amp;VLOOKUP(Buying_Type,Buy_type,2,FALSE)&amp;"_"&amp;Device&amp;"_"&amp;Size&amp;"_"&amp;Segmentação&amp;"_"&amp;Segmentação_Anúncio)</f>
        <v>#N/A</v>
      </c>
      <c r="BL610" s="35" t="str">
        <f>LOWER(Campanha_ou_InsertionOrder&amp;"_"&amp;LineItem_ou_Grupodeanúncio&amp;"_"&amp;Linha_criativa_2&amp;"_"&amp;Unique_ID)</f>
        <v>#N/A</v>
      </c>
      <c r="BM610" s="27"/>
      <c r="BN610" s="27"/>
    </row>
    <row r="611">
      <c r="A611" s="1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8" t="str">
        <f>LOWER(Campanha_ou_InsertionOrder&amp;"_"&amp;LineItem_ou_Grupodeanúncio&amp;"_"&amp;Linha_Criativa&amp;"_"&amp;Unique_ID)</f>
        <v>#N/A</v>
      </c>
      <c r="AN611" s="28" t="str">
        <f>LOWER(Campanha_ou_InsertionOrder&amp;"_"&amp;LineItem_ou_Grupodeanúncio&amp;"_"&amp;Linha_Criativa&amp;"_"&amp;Unique_ID)</f>
        <v>#N/A</v>
      </c>
      <c r="AO611" s="28" t="str">
        <f>LOWER("VW"&amp;"_"&amp;Model_Variant&amp;"_"&amp;Size&amp;"_"&amp;Linha_Criativa&amp;"_"&amp;IF(Servido_Por="portal",Veiculo,"adserver"))</f>
        <v>vw____adserver</v>
      </c>
      <c r="AP6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1" s="22" t="str">
        <f t="shared" si="1"/>
        <v/>
      </c>
      <c r="AS611" s="22" t="str">
        <f t="shared" si="2"/>
        <v/>
      </c>
      <c r="AT611" s="22" t="str">
        <f t="shared" si="3"/>
        <v>BR_IMC_DSY_LANCH_ND_NC_2020Q3AUG_NVS_Nivus-Launch-Consideracao</v>
      </c>
      <c r="AU611" s="22" t="str">
        <f t="shared" si="4"/>
        <v>#N/A</v>
      </c>
      <c r="AV611" s="22" t="s">
        <v>106</v>
      </c>
      <c r="AW6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1" s="22" t="str">
        <f t="shared" si="5"/>
        <v>BR_IMC_DSY_LANCH_ND_NC_2020Q3AUG_NVS_Nivus-Launch-Consideracao</v>
      </c>
      <c r="AY611" s="28" t="str">
        <f t="shared" si="6"/>
        <v>#N/A</v>
      </c>
      <c r="AZ611" s="22" t="s">
        <v>107</v>
      </c>
      <c r="BA611" s="22" t="s">
        <v>108</v>
      </c>
      <c r="BB611" s="31" t="s">
        <v>109</v>
      </c>
      <c r="BC611" s="31" t="s">
        <v>109</v>
      </c>
      <c r="BD611" s="32" t="str">
        <f t="shared" si="8"/>
        <v>nvl-nvs-imc-dsy-0820-10605</v>
      </c>
      <c r="BE611" s="33"/>
      <c r="BF611" s="33"/>
      <c r="BG611" s="39" t="str">
        <f>URL&amp;IF(ISNUMBER(FIND("?",URL)),"&amp;","?"&amp;("adlid="&amp;Unique_ID&amp;"&amp;adplt="&amp;Placement))</f>
        <v>#N/A</v>
      </c>
      <c r="BH611" s="1"/>
      <c r="BI611" s="1"/>
      <c r="BJ611" s="35" t="str">
        <f>LOWER("alp"&amp;"_"&amp;"vw"&amp;"_"&amp;Veiculo&amp;"_"&amp;C607&amp;"_"&amp;Objetivo)</f>
        <v>alp_vw___</v>
      </c>
      <c r="BK611" s="35" t="str">
        <f>LOWER(Buying_Metric&amp;"_"&amp;VLOOKUP(Buying_Type,Buy_type,2,FALSE)&amp;"_"&amp;Device&amp;"_"&amp;Size&amp;"_"&amp;Segmentação&amp;"_"&amp;Segmentação_Anúncio)</f>
        <v>#N/A</v>
      </c>
      <c r="BL611" s="35" t="str">
        <f>LOWER(Campanha_ou_InsertionOrder&amp;"_"&amp;LineItem_ou_Grupodeanúncio&amp;"_"&amp;Linha_criativa_2&amp;"_"&amp;Unique_ID)</f>
        <v>#N/A</v>
      </c>
      <c r="BM611" s="27"/>
      <c r="BN611" s="27"/>
    </row>
    <row r="612">
      <c r="A612" s="1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8" t="str">
        <f>LOWER(Campanha_ou_InsertionOrder&amp;"_"&amp;LineItem_ou_Grupodeanúncio&amp;"_"&amp;Linha_Criativa&amp;"_"&amp;Unique_ID)</f>
        <v>#N/A</v>
      </c>
      <c r="AN612" s="28" t="str">
        <f>LOWER(Campanha_ou_InsertionOrder&amp;"_"&amp;LineItem_ou_Grupodeanúncio&amp;"_"&amp;Linha_Criativa&amp;"_"&amp;Unique_ID)</f>
        <v>#N/A</v>
      </c>
      <c r="AO612" s="28" t="str">
        <f>LOWER("VW"&amp;"_"&amp;Model_Variant&amp;"_"&amp;Size&amp;"_"&amp;Linha_Criativa&amp;"_"&amp;IF(Servido_Por="portal",Veiculo,"adserver"))</f>
        <v>vw____adserver</v>
      </c>
      <c r="AP6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2" s="22" t="str">
        <f t="shared" si="1"/>
        <v/>
      </c>
      <c r="AS612" s="22" t="str">
        <f t="shared" si="2"/>
        <v/>
      </c>
      <c r="AT612" s="22" t="str">
        <f t="shared" si="3"/>
        <v>BR_IMC_DSY_LANCH_ND_NC_2020Q3AUG_NVS_Nivus-Launch-Consideracao</v>
      </c>
      <c r="AU612" s="22" t="str">
        <f t="shared" si="4"/>
        <v>#N/A</v>
      </c>
      <c r="AV612" s="22" t="s">
        <v>106</v>
      </c>
      <c r="AW6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2" s="22" t="str">
        <f t="shared" si="5"/>
        <v>BR_IMC_DSY_LANCH_ND_NC_2020Q3AUG_NVS_Nivus-Launch-Consideracao</v>
      </c>
      <c r="AY612" s="28" t="str">
        <f t="shared" si="6"/>
        <v>#N/A</v>
      </c>
      <c r="AZ612" s="22" t="s">
        <v>107</v>
      </c>
      <c r="BA612" s="22" t="s">
        <v>108</v>
      </c>
      <c r="BB612" s="31" t="s">
        <v>109</v>
      </c>
      <c r="BC612" s="31" t="s">
        <v>109</v>
      </c>
      <c r="BD612" s="32" t="str">
        <f t="shared" si="8"/>
        <v>nvl-nvs-imc-dsy-0820-10606</v>
      </c>
      <c r="BE612" s="33"/>
      <c r="BF612" s="33"/>
      <c r="BG612" s="39" t="str">
        <f>URL&amp;IF(ISNUMBER(FIND("?",URL)),"&amp;","?"&amp;("adlid="&amp;Unique_ID&amp;"&amp;adplt="&amp;Placement))</f>
        <v>#N/A</v>
      </c>
      <c r="BH612" s="1"/>
      <c r="BI612" s="1"/>
      <c r="BJ612" s="35" t="str">
        <f>LOWER("alp"&amp;"_"&amp;"vw"&amp;"_"&amp;Veiculo&amp;"_"&amp;C608&amp;"_"&amp;Objetivo)</f>
        <v>alp_vw___</v>
      </c>
      <c r="BK612" s="35" t="str">
        <f>LOWER(Buying_Metric&amp;"_"&amp;VLOOKUP(Buying_Type,Buy_type,2,FALSE)&amp;"_"&amp;Device&amp;"_"&amp;Size&amp;"_"&amp;Segmentação&amp;"_"&amp;Segmentação_Anúncio)</f>
        <v>#N/A</v>
      </c>
      <c r="BL612" s="35" t="str">
        <f>LOWER(Campanha_ou_InsertionOrder&amp;"_"&amp;LineItem_ou_Grupodeanúncio&amp;"_"&amp;Linha_criativa_2&amp;"_"&amp;Unique_ID)</f>
        <v>#N/A</v>
      </c>
      <c r="BM612" s="27"/>
      <c r="BN612" s="27"/>
    </row>
    <row r="613">
      <c r="A613" s="1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8" t="str">
        <f>LOWER(Campanha_ou_InsertionOrder&amp;"_"&amp;LineItem_ou_Grupodeanúncio&amp;"_"&amp;Linha_Criativa&amp;"_"&amp;Unique_ID)</f>
        <v>#N/A</v>
      </c>
      <c r="AN613" s="28" t="str">
        <f>LOWER(Campanha_ou_InsertionOrder&amp;"_"&amp;LineItem_ou_Grupodeanúncio&amp;"_"&amp;Linha_Criativa&amp;"_"&amp;Unique_ID)</f>
        <v>#N/A</v>
      </c>
      <c r="AO613" s="28" t="str">
        <f>LOWER("VW"&amp;"_"&amp;Model_Variant&amp;"_"&amp;Size&amp;"_"&amp;Linha_Criativa&amp;"_"&amp;IF(Servido_Por="portal",Veiculo,"adserver"))</f>
        <v>vw____adserver</v>
      </c>
      <c r="AP6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3" s="22" t="str">
        <f t="shared" si="1"/>
        <v/>
      </c>
      <c r="AS613" s="22" t="str">
        <f t="shared" si="2"/>
        <v/>
      </c>
      <c r="AT613" s="22" t="str">
        <f t="shared" si="3"/>
        <v>BR_IMC_DSY_LANCH_ND_NC_2020Q3AUG_NVS_Nivus-Launch-Consideracao</v>
      </c>
      <c r="AU613" s="22" t="str">
        <f t="shared" si="4"/>
        <v>#N/A</v>
      </c>
      <c r="AV613" s="22" t="s">
        <v>106</v>
      </c>
      <c r="AW6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3" s="22" t="str">
        <f t="shared" si="5"/>
        <v>BR_IMC_DSY_LANCH_ND_NC_2020Q3AUG_NVS_Nivus-Launch-Consideracao</v>
      </c>
      <c r="AY613" s="28" t="str">
        <f t="shared" si="6"/>
        <v>#N/A</v>
      </c>
      <c r="AZ613" s="22" t="s">
        <v>107</v>
      </c>
      <c r="BA613" s="22" t="s">
        <v>108</v>
      </c>
      <c r="BB613" s="31" t="s">
        <v>109</v>
      </c>
      <c r="BC613" s="31" t="s">
        <v>109</v>
      </c>
      <c r="BD613" s="32" t="str">
        <f t="shared" si="8"/>
        <v>nvl-nvs-imc-dsy-0820-10607</v>
      </c>
      <c r="BE613" s="33"/>
      <c r="BF613" s="33"/>
      <c r="BG613" s="39" t="str">
        <f>URL&amp;IF(ISNUMBER(FIND("?",URL)),"&amp;","?"&amp;("adlid="&amp;Unique_ID&amp;"&amp;adplt="&amp;Placement))</f>
        <v>#N/A</v>
      </c>
      <c r="BH613" s="1"/>
      <c r="BI613" s="1"/>
      <c r="BJ613" s="35" t="str">
        <f>LOWER("alp"&amp;"_"&amp;"vw"&amp;"_"&amp;Veiculo&amp;"_"&amp;C609&amp;"_"&amp;Objetivo)</f>
        <v>alp_vw___</v>
      </c>
      <c r="BK613" s="35" t="str">
        <f>LOWER(Buying_Metric&amp;"_"&amp;VLOOKUP(Buying_Type,Buy_type,2,FALSE)&amp;"_"&amp;Device&amp;"_"&amp;Size&amp;"_"&amp;Segmentação&amp;"_"&amp;Segmentação_Anúncio)</f>
        <v>#N/A</v>
      </c>
      <c r="BL613" s="35" t="str">
        <f>LOWER(Campanha_ou_InsertionOrder&amp;"_"&amp;LineItem_ou_Grupodeanúncio&amp;"_"&amp;Linha_criativa_2&amp;"_"&amp;Unique_ID)</f>
        <v>#N/A</v>
      </c>
      <c r="BM613" s="27"/>
      <c r="BN613" s="27"/>
    </row>
    <row r="614">
      <c r="A614" s="1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8" t="str">
        <f>LOWER(Campanha_ou_InsertionOrder&amp;"_"&amp;LineItem_ou_Grupodeanúncio&amp;"_"&amp;Linha_Criativa&amp;"_"&amp;Unique_ID)</f>
        <v>#N/A</v>
      </c>
      <c r="AN614" s="28" t="str">
        <f>LOWER(Campanha_ou_InsertionOrder&amp;"_"&amp;LineItem_ou_Grupodeanúncio&amp;"_"&amp;Linha_Criativa&amp;"_"&amp;Unique_ID)</f>
        <v>#N/A</v>
      </c>
      <c r="AO614" s="28" t="str">
        <f>LOWER("VW"&amp;"_"&amp;Model_Variant&amp;"_"&amp;Size&amp;"_"&amp;Linha_Criativa&amp;"_"&amp;IF(Servido_Por="portal",Veiculo,"adserver"))</f>
        <v>vw____adserver</v>
      </c>
      <c r="AP6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4" s="22" t="str">
        <f t="shared" si="1"/>
        <v/>
      </c>
      <c r="AS614" s="22" t="str">
        <f t="shared" si="2"/>
        <v/>
      </c>
      <c r="AT614" s="22" t="str">
        <f t="shared" si="3"/>
        <v>BR_IMC_DSY_LANCH_ND_NC_2020Q3AUG_NVS_Nivus-Launch-Consideracao</v>
      </c>
      <c r="AU614" s="22" t="str">
        <f t="shared" si="4"/>
        <v>#N/A</v>
      </c>
      <c r="AV614" s="22" t="s">
        <v>106</v>
      </c>
      <c r="AW6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4" s="22" t="str">
        <f t="shared" si="5"/>
        <v>BR_IMC_DSY_LANCH_ND_NC_2020Q3AUG_NVS_Nivus-Launch-Consideracao</v>
      </c>
      <c r="AY614" s="28" t="str">
        <f t="shared" si="6"/>
        <v>#N/A</v>
      </c>
      <c r="AZ614" s="22" t="s">
        <v>107</v>
      </c>
      <c r="BA614" s="22" t="s">
        <v>108</v>
      </c>
      <c r="BB614" s="31" t="s">
        <v>109</v>
      </c>
      <c r="BC614" s="31" t="s">
        <v>109</v>
      </c>
      <c r="BD614" s="32" t="str">
        <f t="shared" si="8"/>
        <v>nvl-nvs-imc-dsy-0820-10608</v>
      </c>
      <c r="BE614" s="33"/>
      <c r="BF614" s="33"/>
      <c r="BG614" s="39" t="str">
        <f>URL&amp;IF(ISNUMBER(FIND("?",URL)),"&amp;","?"&amp;("adlid="&amp;Unique_ID&amp;"&amp;adplt="&amp;Placement))</f>
        <v>#N/A</v>
      </c>
      <c r="BH614" s="1"/>
      <c r="BI614" s="1"/>
      <c r="BJ614" s="35" t="str">
        <f>LOWER("alp"&amp;"_"&amp;"vw"&amp;"_"&amp;Veiculo&amp;"_"&amp;C610&amp;"_"&amp;Objetivo)</f>
        <v>alp_vw___</v>
      </c>
      <c r="BK614" s="35" t="str">
        <f>LOWER(Buying_Metric&amp;"_"&amp;VLOOKUP(Buying_Type,Buy_type,2,FALSE)&amp;"_"&amp;Device&amp;"_"&amp;Size&amp;"_"&amp;Segmentação&amp;"_"&amp;Segmentação_Anúncio)</f>
        <v>#N/A</v>
      </c>
      <c r="BL614" s="35" t="str">
        <f>LOWER(Campanha_ou_InsertionOrder&amp;"_"&amp;LineItem_ou_Grupodeanúncio&amp;"_"&amp;Linha_criativa_2&amp;"_"&amp;Unique_ID)</f>
        <v>#N/A</v>
      </c>
      <c r="BM614" s="27"/>
      <c r="BN614" s="27"/>
    </row>
    <row r="615">
      <c r="A615" s="1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8" t="str">
        <f>LOWER(Campanha_ou_InsertionOrder&amp;"_"&amp;LineItem_ou_Grupodeanúncio&amp;"_"&amp;Linha_Criativa&amp;"_"&amp;Unique_ID)</f>
        <v>#N/A</v>
      </c>
      <c r="AN615" s="28" t="str">
        <f>LOWER(Campanha_ou_InsertionOrder&amp;"_"&amp;LineItem_ou_Grupodeanúncio&amp;"_"&amp;Linha_Criativa&amp;"_"&amp;Unique_ID)</f>
        <v>#N/A</v>
      </c>
      <c r="AO615" s="28" t="str">
        <f>LOWER("VW"&amp;"_"&amp;Model_Variant&amp;"_"&amp;Size&amp;"_"&amp;Linha_Criativa&amp;"_"&amp;IF(Servido_Por="portal",Veiculo,"adserver"))</f>
        <v>vw____adserver</v>
      </c>
      <c r="AP6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5" s="22" t="str">
        <f t="shared" si="1"/>
        <v/>
      </c>
      <c r="AS615" s="22" t="str">
        <f t="shared" si="2"/>
        <v/>
      </c>
      <c r="AT615" s="22" t="str">
        <f t="shared" si="3"/>
        <v>BR_IMC_DSY_LANCH_ND_NC_2020Q3AUG_NVS_Nivus-Launch-Consideracao</v>
      </c>
      <c r="AU615" s="22" t="str">
        <f t="shared" si="4"/>
        <v>#N/A</v>
      </c>
      <c r="AV615" s="22" t="s">
        <v>106</v>
      </c>
      <c r="AW6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5" s="22" t="str">
        <f t="shared" si="5"/>
        <v>BR_IMC_DSY_LANCH_ND_NC_2020Q3AUG_NVS_Nivus-Launch-Consideracao</v>
      </c>
      <c r="AY615" s="28" t="str">
        <f t="shared" si="6"/>
        <v>#N/A</v>
      </c>
      <c r="AZ615" s="22" t="s">
        <v>107</v>
      </c>
      <c r="BA615" s="22" t="s">
        <v>108</v>
      </c>
      <c r="BB615" s="31" t="s">
        <v>109</v>
      </c>
      <c r="BC615" s="31" t="s">
        <v>109</v>
      </c>
      <c r="BD615" s="32" t="str">
        <f t="shared" si="8"/>
        <v>nvl-nvs-imc-dsy-0820-10609</v>
      </c>
      <c r="BE615" s="33"/>
      <c r="BF615" s="33"/>
      <c r="BG615" s="39" t="str">
        <f>URL&amp;IF(ISNUMBER(FIND("?",URL)),"&amp;","?"&amp;("adlid="&amp;Unique_ID&amp;"&amp;adplt="&amp;Placement))</f>
        <v>#N/A</v>
      </c>
      <c r="BH615" s="1"/>
      <c r="BI615" s="1"/>
      <c r="BJ615" s="35" t="str">
        <f>LOWER("alp"&amp;"_"&amp;"vw"&amp;"_"&amp;Veiculo&amp;"_"&amp;C611&amp;"_"&amp;Objetivo)</f>
        <v>alp_vw___</v>
      </c>
      <c r="BK615" s="35" t="str">
        <f>LOWER(Buying_Metric&amp;"_"&amp;VLOOKUP(Buying_Type,Buy_type,2,FALSE)&amp;"_"&amp;Device&amp;"_"&amp;Size&amp;"_"&amp;Segmentação&amp;"_"&amp;Segmentação_Anúncio)</f>
        <v>#N/A</v>
      </c>
      <c r="BL615" s="35" t="str">
        <f>LOWER(Campanha_ou_InsertionOrder&amp;"_"&amp;LineItem_ou_Grupodeanúncio&amp;"_"&amp;Linha_criativa_2&amp;"_"&amp;Unique_ID)</f>
        <v>#N/A</v>
      </c>
      <c r="BM615" s="27"/>
      <c r="BN615" s="27"/>
    </row>
    <row r="616">
      <c r="A616" s="1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8" t="str">
        <f>LOWER(Campanha_ou_InsertionOrder&amp;"_"&amp;LineItem_ou_Grupodeanúncio&amp;"_"&amp;Linha_Criativa&amp;"_"&amp;Unique_ID)</f>
        <v>#N/A</v>
      </c>
      <c r="AN616" s="28" t="str">
        <f>LOWER(Campanha_ou_InsertionOrder&amp;"_"&amp;LineItem_ou_Grupodeanúncio&amp;"_"&amp;Linha_Criativa&amp;"_"&amp;Unique_ID)</f>
        <v>#N/A</v>
      </c>
      <c r="AO616" s="28" t="str">
        <f>LOWER("VW"&amp;"_"&amp;Model_Variant&amp;"_"&amp;Size&amp;"_"&amp;Linha_Criativa&amp;"_"&amp;IF(Servido_Por="portal",Veiculo,"adserver"))</f>
        <v>vw____adserver</v>
      </c>
      <c r="AP6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6" s="22" t="str">
        <f t="shared" si="1"/>
        <v/>
      </c>
      <c r="AS616" s="22" t="str">
        <f t="shared" si="2"/>
        <v/>
      </c>
      <c r="AT616" s="22" t="str">
        <f t="shared" si="3"/>
        <v>BR_IMC_DSY_LANCH_ND_NC_2020Q3AUG_NVS_Nivus-Launch-Consideracao</v>
      </c>
      <c r="AU616" s="22" t="str">
        <f t="shared" si="4"/>
        <v>#N/A</v>
      </c>
      <c r="AV616" s="22" t="s">
        <v>106</v>
      </c>
      <c r="AW6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6" s="22" t="str">
        <f t="shared" si="5"/>
        <v>BR_IMC_DSY_LANCH_ND_NC_2020Q3AUG_NVS_Nivus-Launch-Consideracao</v>
      </c>
      <c r="AY616" s="28" t="str">
        <f t="shared" si="6"/>
        <v>#N/A</v>
      </c>
      <c r="AZ616" s="22" t="s">
        <v>107</v>
      </c>
      <c r="BA616" s="22" t="s">
        <v>108</v>
      </c>
      <c r="BB616" s="31" t="s">
        <v>109</v>
      </c>
      <c r="BC616" s="31" t="s">
        <v>109</v>
      </c>
      <c r="BD616" s="32" t="str">
        <f t="shared" si="8"/>
        <v>nvl-nvs-imc-dsy-0820-10610</v>
      </c>
      <c r="BE616" s="33"/>
      <c r="BF616" s="33"/>
      <c r="BG616" s="39" t="str">
        <f>URL&amp;IF(ISNUMBER(FIND("?",URL)),"&amp;","?"&amp;("adlid="&amp;Unique_ID&amp;"&amp;adplt="&amp;Placement))</f>
        <v>#N/A</v>
      </c>
      <c r="BH616" s="1"/>
      <c r="BI616" s="1"/>
      <c r="BJ616" s="35" t="str">
        <f>LOWER("alp"&amp;"_"&amp;"vw"&amp;"_"&amp;Veiculo&amp;"_"&amp;C612&amp;"_"&amp;Objetivo)</f>
        <v>alp_vw___</v>
      </c>
      <c r="BK616" s="35" t="str">
        <f>LOWER(Buying_Metric&amp;"_"&amp;VLOOKUP(Buying_Type,Buy_type,2,FALSE)&amp;"_"&amp;Device&amp;"_"&amp;Size&amp;"_"&amp;Segmentação&amp;"_"&amp;Segmentação_Anúncio)</f>
        <v>#N/A</v>
      </c>
      <c r="BL616" s="35" t="str">
        <f>LOWER(Campanha_ou_InsertionOrder&amp;"_"&amp;LineItem_ou_Grupodeanúncio&amp;"_"&amp;Linha_criativa_2&amp;"_"&amp;Unique_ID)</f>
        <v>#N/A</v>
      </c>
      <c r="BM616" s="27"/>
      <c r="BN616" s="27"/>
    </row>
    <row r="617">
      <c r="A617" s="1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8" t="str">
        <f>LOWER(Campanha_ou_InsertionOrder&amp;"_"&amp;LineItem_ou_Grupodeanúncio&amp;"_"&amp;Linha_Criativa&amp;"_"&amp;Unique_ID)</f>
        <v>#N/A</v>
      </c>
      <c r="AN617" s="28" t="str">
        <f>LOWER(Campanha_ou_InsertionOrder&amp;"_"&amp;LineItem_ou_Grupodeanúncio&amp;"_"&amp;Linha_Criativa&amp;"_"&amp;Unique_ID)</f>
        <v>#N/A</v>
      </c>
      <c r="AO617" s="28" t="str">
        <f>LOWER("VW"&amp;"_"&amp;Model_Variant&amp;"_"&amp;Size&amp;"_"&amp;Linha_Criativa&amp;"_"&amp;IF(Servido_Por="portal",Veiculo,"adserver"))</f>
        <v>vw____adserver</v>
      </c>
      <c r="AP6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7" s="22" t="str">
        <f t="shared" si="1"/>
        <v/>
      </c>
      <c r="AS617" s="22" t="str">
        <f t="shared" si="2"/>
        <v/>
      </c>
      <c r="AT617" s="22" t="str">
        <f t="shared" si="3"/>
        <v>BR_IMC_DSY_LANCH_ND_NC_2020Q3AUG_NVS_Nivus-Launch-Consideracao</v>
      </c>
      <c r="AU617" s="22" t="str">
        <f t="shared" si="4"/>
        <v>#N/A</v>
      </c>
      <c r="AV617" s="22" t="s">
        <v>106</v>
      </c>
      <c r="AW6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7" s="22" t="str">
        <f t="shared" si="5"/>
        <v>BR_IMC_DSY_LANCH_ND_NC_2020Q3AUG_NVS_Nivus-Launch-Consideracao</v>
      </c>
      <c r="AY617" s="28" t="str">
        <f t="shared" si="6"/>
        <v>#N/A</v>
      </c>
      <c r="AZ617" s="22" t="s">
        <v>107</v>
      </c>
      <c r="BA617" s="22" t="s">
        <v>108</v>
      </c>
      <c r="BB617" s="31" t="s">
        <v>109</v>
      </c>
      <c r="BC617" s="31" t="s">
        <v>109</v>
      </c>
      <c r="BD617" s="32" t="str">
        <f t="shared" si="8"/>
        <v>nvl-nvs-imc-dsy-0820-10611</v>
      </c>
      <c r="BE617" s="33"/>
      <c r="BF617" s="33"/>
      <c r="BG617" s="39" t="str">
        <f>URL&amp;IF(ISNUMBER(FIND("?",URL)),"&amp;","?"&amp;("adlid="&amp;Unique_ID&amp;"&amp;adplt="&amp;Placement))</f>
        <v>#N/A</v>
      </c>
      <c r="BH617" s="1"/>
      <c r="BI617" s="1"/>
      <c r="BJ617" s="35" t="str">
        <f>LOWER("alp"&amp;"_"&amp;"vw"&amp;"_"&amp;Veiculo&amp;"_"&amp;C613&amp;"_"&amp;Objetivo)</f>
        <v>alp_vw___</v>
      </c>
      <c r="BK617" s="35" t="str">
        <f>LOWER(Buying_Metric&amp;"_"&amp;VLOOKUP(Buying_Type,Buy_type,2,FALSE)&amp;"_"&amp;Device&amp;"_"&amp;Size&amp;"_"&amp;Segmentação&amp;"_"&amp;Segmentação_Anúncio)</f>
        <v>#N/A</v>
      </c>
      <c r="BL617" s="35" t="str">
        <f>LOWER(Campanha_ou_InsertionOrder&amp;"_"&amp;LineItem_ou_Grupodeanúncio&amp;"_"&amp;Linha_criativa_2&amp;"_"&amp;Unique_ID)</f>
        <v>#N/A</v>
      </c>
      <c r="BM617" s="27"/>
      <c r="BN617" s="27"/>
    </row>
    <row r="618">
      <c r="A618" s="1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8" t="str">
        <f>LOWER(Campanha_ou_InsertionOrder&amp;"_"&amp;LineItem_ou_Grupodeanúncio&amp;"_"&amp;Linha_Criativa&amp;"_"&amp;Unique_ID)</f>
        <v>#N/A</v>
      </c>
      <c r="AN618" s="28" t="str">
        <f>LOWER(Campanha_ou_InsertionOrder&amp;"_"&amp;LineItem_ou_Grupodeanúncio&amp;"_"&amp;Linha_Criativa&amp;"_"&amp;Unique_ID)</f>
        <v>#N/A</v>
      </c>
      <c r="AO618" s="28" t="str">
        <f>LOWER("VW"&amp;"_"&amp;Model_Variant&amp;"_"&amp;Size&amp;"_"&amp;Linha_Criativa&amp;"_"&amp;IF(Servido_Por="portal",Veiculo,"adserver"))</f>
        <v>vw____adserver</v>
      </c>
      <c r="AP6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8" s="22" t="str">
        <f t="shared" si="1"/>
        <v/>
      </c>
      <c r="AS618" s="22" t="str">
        <f t="shared" si="2"/>
        <v/>
      </c>
      <c r="AT618" s="22" t="str">
        <f t="shared" si="3"/>
        <v>BR_IMC_DSY_LANCH_ND_NC_2020Q3AUG_NVS_Nivus-Launch-Consideracao</v>
      </c>
      <c r="AU618" s="22" t="str">
        <f t="shared" si="4"/>
        <v>#N/A</v>
      </c>
      <c r="AV618" s="22" t="s">
        <v>106</v>
      </c>
      <c r="AW6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8" s="22" t="str">
        <f t="shared" si="5"/>
        <v>BR_IMC_DSY_LANCH_ND_NC_2020Q3AUG_NVS_Nivus-Launch-Consideracao</v>
      </c>
      <c r="AY618" s="28" t="str">
        <f t="shared" si="6"/>
        <v>#N/A</v>
      </c>
      <c r="AZ618" s="22" t="s">
        <v>107</v>
      </c>
      <c r="BA618" s="22" t="s">
        <v>108</v>
      </c>
      <c r="BB618" s="31" t="s">
        <v>109</v>
      </c>
      <c r="BC618" s="31" t="s">
        <v>109</v>
      </c>
      <c r="BD618" s="32" t="str">
        <f t="shared" si="8"/>
        <v>nvl-nvs-imc-dsy-0820-10612</v>
      </c>
      <c r="BE618" s="33"/>
      <c r="BF618" s="33"/>
      <c r="BG618" s="39" t="str">
        <f>URL&amp;IF(ISNUMBER(FIND("?",URL)),"&amp;","?"&amp;("adlid="&amp;Unique_ID&amp;"&amp;adplt="&amp;Placement))</f>
        <v>#N/A</v>
      </c>
      <c r="BH618" s="1"/>
      <c r="BI618" s="1"/>
      <c r="BJ618" s="35" t="str">
        <f>LOWER("alp"&amp;"_"&amp;"vw"&amp;"_"&amp;Veiculo&amp;"_"&amp;C614&amp;"_"&amp;Objetivo)</f>
        <v>alp_vw___</v>
      </c>
      <c r="BK618" s="35" t="str">
        <f>LOWER(Buying_Metric&amp;"_"&amp;VLOOKUP(Buying_Type,Buy_type,2,FALSE)&amp;"_"&amp;Device&amp;"_"&amp;Size&amp;"_"&amp;Segmentação&amp;"_"&amp;Segmentação_Anúncio)</f>
        <v>#N/A</v>
      </c>
      <c r="BL618" s="35" t="str">
        <f>LOWER(Campanha_ou_InsertionOrder&amp;"_"&amp;LineItem_ou_Grupodeanúncio&amp;"_"&amp;Linha_criativa_2&amp;"_"&amp;Unique_ID)</f>
        <v>#N/A</v>
      </c>
      <c r="BM618" s="27"/>
      <c r="BN618" s="27"/>
    </row>
    <row r="619">
      <c r="A619" s="1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8" t="str">
        <f>LOWER(Campanha_ou_InsertionOrder&amp;"_"&amp;LineItem_ou_Grupodeanúncio&amp;"_"&amp;Linha_Criativa&amp;"_"&amp;Unique_ID)</f>
        <v>#N/A</v>
      </c>
      <c r="AN619" s="28" t="str">
        <f>LOWER(Campanha_ou_InsertionOrder&amp;"_"&amp;LineItem_ou_Grupodeanúncio&amp;"_"&amp;Linha_Criativa&amp;"_"&amp;Unique_ID)</f>
        <v>#N/A</v>
      </c>
      <c r="AO619" s="28" t="str">
        <f>LOWER("VW"&amp;"_"&amp;Model_Variant&amp;"_"&amp;Size&amp;"_"&amp;Linha_Criativa&amp;"_"&amp;IF(Servido_Por="portal",Veiculo,"adserver"))</f>
        <v>vw____adserver</v>
      </c>
      <c r="AP6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19" s="22" t="str">
        <f t="shared" si="1"/>
        <v/>
      </c>
      <c r="AS619" s="22" t="str">
        <f t="shared" si="2"/>
        <v/>
      </c>
      <c r="AT619" s="22" t="str">
        <f t="shared" si="3"/>
        <v>BR_IMC_DSY_LANCH_ND_NC_2020Q3AUG_NVS_Nivus-Launch-Consideracao</v>
      </c>
      <c r="AU619" s="22" t="str">
        <f t="shared" si="4"/>
        <v>#N/A</v>
      </c>
      <c r="AV619" s="22" t="s">
        <v>106</v>
      </c>
      <c r="AW6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19" s="22" t="str">
        <f t="shared" si="5"/>
        <v>BR_IMC_DSY_LANCH_ND_NC_2020Q3AUG_NVS_Nivus-Launch-Consideracao</v>
      </c>
      <c r="AY619" s="28" t="str">
        <f t="shared" si="6"/>
        <v>#N/A</v>
      </c>
      <c r="AZ619" s="22" t="s">
        <v>107</v>
      </c>
      <c r="BA619" s="22" t="s">
        <v>108</v>
      </c>
      <c r="BB619" s="31" t="s">
        <v>109</v>
      </c>
      <c r="BC619" s="31" t="s">
        <v>109</v>
      </c>
      <c r="BD619" s="32" t="str">
        <f t="shared" si="8"/>
        <v>nvl-nvs-imc-dsy-0820-10613</v>
      </c>
      <c r="BE619" s="33"/>
      <c r="BF619" s="33"/>
      <c r="BG619" s="39" t="str">
        <f>URL&amp;IF(ISNUMBER(FIND("?",URL)),"&amp;","?"&amp;("adlid="&amp;Unique_ID&amp;"&amp;adplt="&amp;Placement))</f>
        <v>#N/A</v>
      </c>
      <c r="BH619" s="1"/>
      <c r="BI619" s="1"/>
      <c r="BJ619" s="35" t="str">
        <f>LOWER("alp"&amp;"_"&amp;"vw"&amp;"_"&amp;Veiculo&amp;"_"&amp;C615&amp;"_"&amp;Objetivo)</f>
        <v>alp_vw___</v>
      </c>
      <c r="BK619" s="35" t="str">
        <f>LOWER(Buying_Metric&amp;"_"&amp;VLOOKUP(Buying_Type,Buy_type,2,FALSE)&amp;"_"&amp;Device&amp;"_"&amp;Size&amp;"_"&amp;Segmentação&amp;"_"&amp;Segmentação_Anúncio)</f>
        <v>#N/A</v>
      </c>
      <c r="BL619" s="35" t="str">
        <f>LOWER(Campanha_ou_InsertionOrder&amp;"_"&amp;LineItem_ou_Grupodeanúncio&amp;"_"&amp;Linha_criativa_2&amp;"_"&amp;Unique_ID)</f>
        <v>#N/A</v>
      </c>
      <c r="BM619" s="27"/>
      <c r="BN619" s="27"/>
    </row>
    <row r="620">
      <c r="A620" s="1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8" t="str">
        <f>LOWER(Campanha_ou_InsertionOrder&amp;"_"&amp;LineItem_ou_Grupodeanúncio&amp;"_"&amp;Linha_Criativa&amp;"_"&amp;Unique_ID)</f>
        <v>#N/A</v>
      </c>
      <c r="AN620" s="28" t="str">
        <f>LOWER(Campanha_ou_InsertionOrder&amp;"_"&amp;LineItem_ou_Grupodeanúncio&amp;"_"&amp;Linha_Criativa&amp;"_"&amp;Unique_ID)</f>
        <v>#N/A</v>
      </c>
      <c r="AO620" s="28" t="str">
        <f>LOWER("VW"&amp;"_"&amp;Model_Variant&amp;"_"&amp;Size&amp;"_"&amp;Linha_Criativa&amp;"_"&amp;IF(Servido_Por="portal",Veiculo,"adserver"))</f>
        <v>vw____adserver</v>
      </c>
      <c r="AP6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0" s="22" t="str">
        <f t="shared" si="1"/>
        <v/>
      </c>
      <c r="AS620" s="22" t="str">
        <f t="shared" si="2"/>
        <v/>
      </c>
      <c r="AT620" s="22" t="str">
        <f t="shared" si="3"/>
        <v>BR_IMC_DSY_LANCH_ND_NC_2020Q3AUG_NVS_Nivus-Launch-Consideracao</v>
      </c>
      <c r="AU620" s="22" t="str">
        <f t="shared" si="4"/>
        <v>#N/A</v>
      </c>
      <c r="AV620" s="22" t="s">
        <v>106</v>
      </c>
      <c r="AW6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0" s="22" t="str">
        <f t="shared" si="5"/>
        <v>BR_IMC_DSY_LANCH_ND_NC_2020Q3AUG_NVS_Nivus-Launch-Consideracao</v>
      </c>
      <c r="AY620" s="28" t="str">
        <f t="shared" si="6"/>
        <v>#N/A</v>
      </c>
      <c r="AZ620" s="22" t="s">
        <v>107</v>
      </c>
      <c r="BA620" s="22" t="s">
        <v>108</v>
      </c>
      <c r="BB620" s="31" t="s">
        <v>109</v>
      </c>
      <c r="BC620" s="31" t="s">
        <v>109</v>
      </c>
      <c r="BD620" s="32" t="str">
        <f t="shared" si="8"/>
        <v>nvl-nvs-imc-dsy-0820-10614</v>
      </c>
      <c r="BE620" s="33"/>
      <c r="BF620" s="33"/>
      <c r="BG620" s="39" t="str">
        <f>URL&amp;IF(ISNUMBER(FIND("?",URL)),"&amp;","?"&amp;("adlid="&amp;Unique_ID&amp;"&amp;adplt="&amp;Placement))</f>
        <v>#N/A</v>
      </c>
      <c r="BH620" s="1"/>
      <c r="BI620" s="1"/>
      <c r="BJ620" s="35" t="str">
        <f>LOWER("alp"&amp;"_"&amp;"vw"&amp;"_"&amp;Veiculo&amp;"_"&amp;C616&amp;"_"&amp;Objetivo)</f>
        <v>alp_vw___</v>
      </c>
      <c r="BK620" s="35" t="str">
        <f>LOWER(Buying_Metric&amp;"_"&amp;VLOOKUP(Buying_Type,Buy_type,2,FALSE)&amp;"_"&amp;Device&amp;"_"&amp;Size&amp;"_"&amp;Segmentação&amp;"_"&amp;Segmentação_Anúncio)</f>
        <v>#N/A</v>
      </c>
      <c r="BL620" s="35" t="str">
        <f>LOWER(Campanha_ou_InsertionOrder&amp;"_"&amp;LineItem_ou_Grupodeanúncio&amp;"_"&amp;Linha_criativa_2&amp;"_"&amp;Unique_ID)</f>
        <v>#N/A</v>
      </c>
      <c r="BM620" s="27"/>
      <c r="BN620" s="27"/>
    </row>
    <row r="621">
      <c r="A621" s="1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8" t="str">
        <f>LOWER(Campanha_ou_InsertionOrder&amp;"_"&amp;LineItem_ou_Grupodeanúncio&amp;"_"&amp;Linha_Criativa&amp;"_"&amp;Unique_ID)</f>
        <v>#N/A</v>
      </c>
      <c r="AN621" s="28" t="str">
        <f>LOWER(Campanha_ou_InsertionOrder&amp;"_"&amp;LineItem_ou_Grupodeanúncio&amp;"_"&amp;Linha_Criativa&amp;"_"&amp;Unique_ID)</f>
        <v>#N/A</v>
      </c>
      <c r="AO621" s="28" t="str">
        <f>LOWER("VW"&amp;"_"&amp;Model_Variant&amp;"_"&amp;Size&amp;"_"&amp;Linha_Criativa&amp;"_"&amp;IF(Servido_Por="portal",Veiculo,"adserver"))</f>
        <v>vw____adserver</v>
      </c>
      <c r="AP6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1" s="22" t="str">
        <f t="shared" si="1"/>
        <v/>
      </c>
      <c r="AS621" s="22" t="str">
        <f t="shared" si="2"/>
        <v/>
      </c>
      <c r="AT621" s="22" t="str">
        <f t="shared" si="3"/>
        <v>BR_IMC_DSY_LANCH_ND_NC_2020Q3AUG_NVS_Nivus-Launch-Consideracao</v>
      </c>
      <c r="AU621" s="22" t="str">
        <f t="shared" si="4"/>
        <v>#N/A</v>
      </c>
      <c r="AV621" s="22" t="s">
        <v>106</v>
      </c>
      <c r="AW6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1" s="22" t="str">
        <f t="shared" si="5"/>
        <v>BR_IMC_DSY_LANCH_ND_NC_2020Q3AUG_NVS_Nivus-Launch-Consideracao</v>
      </c>
      <c r="AY621" s="28" t="str">
        <f t="shared" si="6"/>
        <v>#N/A</v>
      </c>
      <c r="AZ621" s="22" t="s">
        <v>107</v>
      </c>
      <c r="BA621" s="22" t="s">
        <v>108</v>
      </c>
      <c r="BB621" s="31" t="s">
        <v>109</v>
      </c>
      <c r="BC621" s="31" t="s">
        <v>109</v>
      </c>
      <c r="BD621" s="32" t="str">
        <f t="shared" si="8"/>
        <v>nvl-nvs-imc-dsy-0820-10615</v>
      </c>
      <c r="BE621" s="33"/>
      <c r="BF621" s="33"/>
      <c r="BG621" s="39" t="str">
        <f>URL&amp;IF(ISNUMBER(FIND("?",URL)),"&amp;","?"&amp;("adlid="&amp;Unique_ID&amp;"&amp;adplt="&amp;Placement))</f>
        <v>#N/A</v>
      </c>
      <c r="BH621" s="1"/>
      <c r="BI621" s="1"/>
      <c r="BJ621" s="35" t="str">
        <f>LOWER("alp"&amp;"_"&amp;"vw"&amp;"_"&amp;Veiculo&amp;"_"&amp;C617&amp;"_"&amp;Objetivo)</f>
        <v>alp_vw___</v>
      </c>
      <c r="BK621" s="35" t="str">
        <f>LOWER(Buying_Metric&amp;"_"&amp;VLOOKUP(Buying_Type,Buy_type,2,FALSE)&amp;"_"&amp;Device&amp;"_"&amp;Size&amp;"_"&amp;Segmentação&amp;"_"&amp;Segmentação_Anúncio)</f>
        <v>#N/A</v>
      </c>
      <c r="BL621" s="35" t="str">
        <f>LOWER(Campanha_ou_InsertionOrder&amp;"_"&amp;LineItem_ou_Grupodeanúncio&amp;"_"&amp;Linha_criativa_2&amp;"_"&amp;Unique_ID)</f>
        <v>#N/A</v>
      </c>
      <c r="BM621" s="27"/>
      <c r="BN621" s="27"/>
    </row>
    <row r="622">
      <c r="A622" s="1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8" t="str">
        <f>LOWER(Campanha_ou_InsertionOrder&amp;"_"&amp;LineItem_ou_Grupodeanúncio&amp;"_"&amp;Linha_Criativa&amp;"_"&amp;Unique_ID)</f>
        <v>#N/A</v>
      </c>
      <c r="AN622" s="28" t="str">
        <f>LOWER(Campanha_ou_InsertionOrder&amp;"_"&amp;LineItem_ou_Grupodeanúncio&amp;"_"&amp;Linha_Criativa&amp;"_"&amp;Unique_ID)</f>
        <v>#N/A</v>
      </c>
      <c r="AO622" s="28" t="str">
        <f>LOWER("VW"&amp;"_"&amp;Model_Variant&amp;"_"&amp;Size&amp;"_"&amp;Linha_Criativa&amp;"_"&amp;IF(Servido_Por="portal",Veiculo,"adserver"))</f>
        <v>vw____adserver</v>
      </c>
      <c r="AP6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2" s="22" t="str">
        <f t="shared" si="1"/>
        <v/>
      </c>
      <c r="AS622" s="22" t="str">
        <f t="shared" si="2"/>
        <v/>
      </c>
      <c r="AT622" s="22" t="str">
        <f t="shared" si="3"/>
        <v>BR_IMC_DSY_LANCH_ND_NC_2020Q3AUG_NVS_Nivus-Launch-Consideracao</v>
      </c>
      <c r="AU622" s="22" t="str">
        <f t="shared" si="4"/>
        <v>#N/A</v>
      </c>
      <c r="AV622" s="22" t="s">
        <v>106</v>
      </c>
      <c r="AW6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2" s="22" t="str">
        <f t="shared" si="5"/>
        <v>BR_IMC_DSY_LANCH_ND_NC_2020Q3AUG_NVS_Nivus-Launch-Consideracao</v>
      </c>
      <c r="AY622" s="28" t="str">
        <f t="shared" si="6"/>
        <v>#N/A</v>
      </c>
      <c r="AZ622" s="22" t="s">
        <v>107</v>
      </c>
      <c r="BA622" s="22" t="s">
        <v>108</v>
      </c>
      <c r="BB622" s="31" t="s">
        <v>109</v>
      </c>
      <c r="BC622" s="31" t="s">
        <v>109</v>
      </c>
      <c r="BD622" s="32" t="str">
        <f t="shared" si="8"/>
        <v>nvl-nvs-imc-dsy-0820-10616</v>
      </c>
      <c r="BE622" s="33"/>
      <c r="BF622" s="33"/>
      <c r="BG622" s="39" t="str">
        <f>URL&amp;IF(ISNUMBER(FIND("?",URL)),"&amp;","?"&amp;("adlid="&amp;Unique_ID&amp;"&amp;adplt="&amp;Placement))</f>
        <v>#N/A</v>
      </c>
      <c r="BH622" s="1"/>
      <c r="BI622" s="1"/>
      <c r="BJ622" s="35" t="str">
        <f>LOWER("alp"&amp;"_"&amp;"vw"&amp;"_"&amp;Veiculo&amp;"_"&amp;C618&amp;"_"&amp;Objetivo)</f>
        <v>alp_vw___</v>
      </c>
      <c r="BK622" s="35" t="str">
        <f>LOWER(Buying_Metric&amp;"_"&amp;VLOOKUP(Buying_Type,Buy_type,2,FALSE)&amp;"_"&amp;Device&amp;"_"&amp;Size&amp;"_"&amp;Segmentação&amp;"_"&amp;Segmentação_Anúncio)</f>
        <v>#N/A</v>
      </c>
      <c r="BL622" s="35" t="str">
        <f>LOWER(Campanha_ou_InsertionOrder&amp;"_"&amp;LineItem_ou_Grupodeanúncio&amp;"_"&amp;Linha_criativa_2&amp;"_"&amp;Unique_ID)</f>
        <v>#N/A</v>
      </c>
      <c r="BM622" s="27"/>
      <c r="BN622" s="27"/>
    </row>
    <row r="623">
      <c r="A623" s="1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8" t="str">
        <f>LOWER(Campanha_ou_InsertionOrder&amp;"_"&amp;LineItem_ou_Grupodeanúncio&amp;"_"&amp;Linha_Criativa&amp;"_"&amp;Unique_ID)</f>
        <v>#N/A</v>
      </c>
      <c r="AN623" s="28" t="str">
        <f>LOWER(Campanha_ou_InsertionOrder&amp;"_"&amp;LineItem_ou_Grupodeanúncio&amp;"_"&amp;Linha_Criativa&amp;"_"&amp;Unique_ID)</f>
        <v>#N/A</v>
      </c>
      <c r="AO623" s="28" t="str">
        <f>LOWER("VW"&amp;"_"&amp;Model_Variant&amp;"_"&amp;Size&amp;"_"&amp;Linha_Criativa&amp;"_"&amp;IF(Servido_Por="portal",Veiculo,"adserver"))</f>
        <v>vw____adserver</v>
      </c>
      <c r="AP6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3" s="22" t="str">
        <f t="shared" si="1"/>
        <v/>
      </c>
      <c r="AS623" s="22" t="str">
        <f t="shared" si="2"/>
        <v/>
      </c>
      <c r="AT623" s="22" t="str">
        <f t="shared" si="3"/>
        <v>BR_IMC_DSY_LANCH_ND_NC_2020Q3AUG_NVS_Nivus-Launch-Consideracao</v>
      </c>
      <c r="AU623" s="22" t="str">
        <f t="shared" si="4"/>
        <v>#N/A</v>
      </c>
      <c r="AV623" s="22" t="s">
        <v>106</v>
      </c>
      <c r="AW6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3" s="22" t="str">
        <f t="shared" si="5"/>
        <v>BR_IMC_DSY_LANCH_ND_NC_2020Q3AUG_NVS_Nivus-Launch-Consideracao</v>
      </c>
      <c r="AY623" s="28" t="str">
        <f t="shared" si="6"/>
        <v>#N/A</v>
      </c>
      <c r="AZ623" s="22" t="s">
        <v>107</v>
      </c>
      <c r="BA623" s="22" t="s">
        <v>108</v>
      </c>
      <c r="BB623" s="31" t="s">
        <v>109</v>
      </c>
      <c r="BC623" s="31" t="s">
        <v>109</v>
      </c>
      <c r="BD623" s="32" t="str">
        <f t="shared" si="8"/>
        <v>nvl-nvs-imc-dsy-0820-10617</v>
      </c>
      <c r="BE623" s="33"/>
      <c r="BF623" s="33"/>
      <c r="BG623" s="39" t="str">
        <f>URL&amp;IF(ISNUMBER(FIND("?",URL)),"&amp;","?"&amp;("adlid="&amp;Unique_ID&amp;"&amp;adplt="&amp;Placement))</f>
        <v>#N/A</v>
      </c>
      <c r="BH623" s="1"/>
      <c r="BI623" s="1"/>
      <c r="BJ623" s="35" t="str">
        <f>LOWER("alp"&amp;"_"&amp;"vw"&amp;"_"&amp;Veiculo&amp;"_"&amp;C619&amp;"_"&amp;Objetivo)</f>
        <v>alp_vw___</v>
      </c>
      <c r="BK623" s="35" t="str">
        <f>LOWER(Buying_Metric&amp;"_"&amp;VLOOKUP(Buying_Type,Buy_type,2,FALSE)&amp;"_"&amp;Device&amp;"_"&amp;Size&amp;"_"&amp;Segmentação&amp;"_"&amp;Segmentação_Anúncio)</f>
        <v>#N/A</v>
      </c>
      <c r="BL623" s="35" t="str">
        <f>LOWER(Campanha_ou_InsertionOrder&amp;"_"&amp;LineItem_ou_Grupodeanúncio&amp;"_"&amp;Linha_criativa_2&amp;"_"&amp;Unique_ID)</f>
        <v>#N/A</v>
      </c>
      <c r="BM623" s="27"/>
      <c r="BN623" s="27"/>
    </row>
    <row r="624">
      <c r="A624" s="1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8" t="str">
        <f>LOWER(Campanha_ou_InsertionOrder&amp;"_"&amp;LineItem_ou_Grupodeanúncio&amp;"_"&amp;Linha_Criativa&amp;"_"&amp;Unique_ID)</f>
        <v>#N/A</v>
      </c>
      <c r="AN624" s="28" t="str">
        <f>LOWER(Campanha_ou_InsertionOrder&amp;"_"&amp;LineItem_ou_Grupodeanúncio&amp;"_"&amp;Linha_Criativa&amp;"_"&amp;Unique_ID)</f>
        <v>#N/A</v>
      </c>
      <c r="AO624" s="28" t="str">
        <f>LOWER("VW"&amp;"_"&amp;Model_Variant&amp;"_"&amp;Size&amp;"_"&amp;Linha_Criativa&amp;"_"&amp;IF(Servido_Por="portal",Veiculo,"adserver"))</f>
        <v>vw____adserver</v>
      </c>
      <c r="AP6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4" s="22" t="str">
        <f t="shared" si="1"/>
        <v/>
      </c>
      <c r="AS624" s="22" t="str">
        <f t="shared" si="2"/>
        <v/>
      </c>
      <c r="AT624" s="22" t="str">
        <f t="shared" si="3"/>
        <v>BR_IMC_DSY_LANCH_ND_NC_2020Q3AUG_NVS_Nivus-Launch-Consideracao</v>
      </c>
      <c r="AU624" s="22" t="str">
        <f t="shared" si="4"/>
        <v>#N/A</v>
      </c>
      <c r="AV624" s="22" t="s">
        <v>106</v>
      </c>
      <c r="AW6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4" s="22" t="str">
        <f t="shared" si="5"/>
        <v>BR_IMC_DSY_LANCH_ND_NC_2020Q3AUG_NVS_Nivus-Launch-Consideracao</v>
      </c>
      <c r="AY624" s="28" t="str">
        <f t="shared" si="6"/>
        <v>#N/A</v>
      </c>
      <c r="AZ624" s="22" t="s">
        <v>107</v>
      </c>
      <c r="BA624" s="22" t="s">
        <v>108</v>
      </c>
      <c r="BB624" s="31" t="s">
        <v>109</v>
      </c>
      <c r="BC624" s="31" t="s">
        <v>109</v>
      </c>
      <c r="BD624" s="32" t="str">
        <f t="shared" si="8"/>
        <v>nvl-nvs-imc-dsy-0820-10618</v>
      </c>
      <c r="BE624" s="33"/>
      <c r="BF624" s="33"/>
      <c r="BG624" s="39" t="str">
        <f>URL&amp;IF(ISNUMBER(FIND("?",URL)),"&amp;","?"&amp;("adlid="&amp;Unique_ID&amp;"&amp;adplt="&amp;Placement))</f>
        <v>#N/A</v>
      </c>
      <c r="BH624" s="1"/>
      <c r="BI624" s="1"/>
      <c r="BJ624" s="35" t="str">
        <f>LOWER("alp"&amp;"_"&amp;"vw"&amp;"_"&amp;Veiculo&amp;"_"&amp;C620&amp;"_"&amp;Objetivo)</f>
        <v>alp_vw___</v>
      </c>
      <c r="BK624" s="35" t="str">
        <f>LOWER(Buying_Metric&amp;"_"&amp;VLOOKUP(Buying_Type,Buy_type,2,FALSE)&amp;"_"&amp;Device&amp;"_"&amp;Size&amp;"_"&amp;Segmentação&amp;"_"&amp;Segmentação_Anúncio)</f>
        <v>#N/A</v>
      </c>
      <c r="BL624" s="35" t="str">
        <f>LOWER(Campanha_ou_InsertionOrder&amp;"_"&amp;LineItem_ou_Grupodeanúncio&amp;"_"&amp;Linha_criativa_2&amp;"_"&amp;Unique_ID)</f>
        <v>#N/A</v>
      </c>
      <c r="BM624" s="27"/>
      <c r="BN624" s="27"/>
    </row>
    <row r="625">
      <c r="A625" s="1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8" t="str">
        <f>LOWER(Campanha_ou_InsertionOrder&amp;"_"&amp;LineItem_ou_Grupodeanúncio&amp;"_"&amp;Linha_Criativa&amp;"_"&amp;Unique_ID)</f>
        <v>#N/A</v>
      </c>
      <c r="AN625" s="28" t="str">
        <f>LOWER(Campanha_ou_InsertionOrder&amp;"_"&amp;LineItem_ou_Grupodeanúncio&amp;"_"&amp;Linha_Criativa&amp;"_"&amp;Unique_ID)</f>
        <v>#N/A</v>
      </c>
      <c r="AO625" s="28" t="str">
        <f>LOWER("VW"&amp;"_"&amp;Model_Variant&amp;"_"&amp;Size&amp;"_"&amp;Linha_Criativa&amp;"_"&amp;IF(Servido_Por="portal",Veiculo,"adserver"))</f>
        <v>vw____adserver</v>
      </c>
      <c r="AP6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5" s="22" t="str">
        <f t="shared" si="1"/>
        <v/>
      </c>
      <c r="AS625" s="22" t="str">
        <f t="shared" si="2"/>
        <v/>
      </c>
      <c r="AT625" s="22" t="str">
        <f t="shared" si="3"/>
        <v>BR_IMC_DSY_LANCH_ND_NC_2020Q3AUG_NVS_Nivus-Launch-Consideracao</v>
      </c>
      <c r="AU625" s="22" t="str">
        <f t="shared" si="4"/>
        <v>#N/A</v>
      </c>
      <c r="AV625" s="22" t="s">
        <v>106</v>
      </c>
      <c r="AW6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5" s="22" t="str">
        <f t="shared" si="5"/>
        <v>BR_IMC_DSY_LANCH_ND_NC_2020Q3AUG_NVS_Nivus-Launch-Consideracao</v>
      </c>
      <c r="AY625" s="28" t="str">
        <f t="shared" si="6"/>
        <v>#N/A</v>
      </c>
      <c r="AZ625" s="22" t="s">
        <v>107</v>
      </c>
      <c r="BA625" s="22" t="s">
        <v>108</v>
      </c>
      <c r="BB625" s="31" t="s">
        <v>109</v>
      </c>
      <c r="BC625" s="31" t="s">
        <v>109</v>
      </c>
      <c r="BD625" s="32" t="str">
        <f t="shared" si="8"/>
        <v>nvl-nvs-imc-dsy-0820-10619</v>
      </c>
      <c r="BE625" s="33"/>
      <c r="BF625" s="33"/>
      <c r="BG625" s="39" t="str">
        <f>URL&amp;IF(ISNUMBER(FIND("?",URL)),"&amp;","?"&amp;("adlid="&amp;Unique_ID&amp;"&amp;adplt="&amp;Placement))</f>
        <v>#N/A</v>
      </c>
      <c r="BH625" s="1"/>
      <c r="BI625" s="1"/>
      <c r="BJ625" s="35" t="str">
        <f>LOWER("alp"&amp;"_"&amp;"vw"&amp;"_"&amp;Veiculo&amp;"_"&amp;C621&amp;"_"&amp;Objetivo)</f>
        <v>alp_vw___</v>
      </c>
      <c r="BK625" s="35" t="str">
        <f>LOWER(Buying_Metric&amp;"_"&amp;VLOOKUP(Buying_Type,Buy_type,2,FALSE)&amp;"_"&amp;Device&amp;"_"&amp;Size&amp;"_"&amp;Segmentação&amp;"_"&amp;Segmentação_Anúncio)</f>
        <v>#N/A</v>
      </c>
      <c r="BL625" s="35" t="str">
        <f>LOWER(Campanha_ou_InsertionOrder&amp;"_"&amp;LineItem_ou_Grupodeanúncio&amp;"_"&amp;Linha_criativa_2&amp;"_"&amp;Unique_ID)</f>
        <v>#N/A</v>
      </c>
      <c r="BM625" s="27"/>
      <c r="BN625" s="27"/>
    </row>
    <row r="626">
      <c r="A626" s="1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8" t="str">
        <f>LOWER(Campanha_ou_InsertionOrder&amp;"_"&amp;LineItem_ou_Grupodeanúncio&amp;"_"&amp;Linha_Criativa&amp;"_"&amp;Unique_ID)</f>
        <v>#N/A</v>
      </c>
      <c r="AN626" s="28" t="str">
        <f>LOWER(Campanha_ou_InsertionOrder&amp;"_"&amp;LineItem_ou_Grupodeanúncio&amp;"_"&amp;Linha_Criativa&amp;"_"&amp;Unique_ID)</f>
        <v>#N/A</v>
      </c>
      <c r="AO626" s="28" t="str">
        <f>LOWER("VW"&amp;"_"&amp;Model_Variant&amp;"_"&amp;Size&amp;"_"&amp;Linha_Criativa&amp;"_"&amp;IF(Servido_Por="portal",Veiculo,"adserver"))</f>
        <v>vw____adserver</v>
      </c>
      <c r="AP6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6" s="22" t="str">
        <f t="shared" si="1"/>
        <v/>
      </c>
      <c r="AS626" s="22" t="str">
        <f t="shared" si="2"/>
        <v/>
      </c>
      <c r="AT626" s="22" t="str">
        <f t="shared" si="3"/>
        <v>BR_IMC_DSY_LANCH_ND_NC_2020Q3AUG_NVS_Nivus-Launch-Consideracao</v>
      </c>
      <c r="AU626" s="22" t="str">
        <f t="shared" si="4"/>
        <v>#N/A</v>
      </c>
      <c r="AV626" s="22" t="s">
        <v>106</v>
      </c>
      <c r="AW6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6" s="22" t="str">
        <f t="shared" si="5"/>
        <v>BR_IMC_DSY_LANCH_ND_NC_2020Q3AUG_NVS_Nivus-Launch-Consideracao</v>
      </c>
      <c r="AY626" s="28" t="str">
        <f t="shared" si="6"/>
        <v>#N/A</v>
      </c>
      <c r="AZ626" s="22" t="s">
        <v>107</v>
      </c>
      <c r="BA626" s="22" t="s">
        <v>108</v>
      </c>
      <c r="BB626" s="31" t="s">
        <v>109</v>
      </c>
      <c r="BC626" s="31" t="s">
        <v>109</v>
      </c>
      <c r="BD626" s="32" t="str">
        <f t="shared" si="8"/>
        <v>nvl-nvs-imc-dsy-0820-10620</v>
      </c>
      <c r="BE626" s="33"/>
      <c r="BF626" s="33"/>
      <c r="BG626" s="39" t="str">
        <f>URL&amp;IF(ISNUMBER(FIND("?",URL)),"&amp;","?"&amp;("adlid="&amp;Unique_ID&amp;"&amp;adplt="&amp;Placement))</f>
        <v>#N/A</v>
      </c>
      <c r="BH626" s="1"/>
      <c r="BI626" s="1"/>
      <c r="BJ626" s="35" t="str">
        <f>LOWER("alp"&amp;"_"&amp;"vw"&amp;"_"&amp;Veiculo&amp;"_"&amp;C622&amp;"_"&amp;Objetivo)</f>
        <v>alp_vw___</v>
      </c>
      <c r="BK626" s="35" t="str">
        <f>LOWER(Buying_Metric&amp;"_"&amp;VLOOKUP(Buying_Type,Buy_type,2,FALSE)&amp;"_"&amp;Device&amp;"_"&amp;Size&amp;"_"&amp;Segmentação&amp;"_"&amp;Segmentação_Anúncio)</f>
        <v>#N/A</v>
      </c>
      <c r="BL626" s="35" t="str">
        <f>LOWER(Campanha_ou_InsertionOrder&amp;"_"&amp;LineItem_ou_Grupodeanúncio&amp;"_"&amp;Linha_criativa_2&amp;"_"&amp;Unique_ID)</f>
        <v>#N/A</v>
      </c>
      <c r="BM626" s="27"/>
      <c r="BN626" s="27"/>
    </row>
    <row r="627">
      <c r="A627" s="1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8" t="str">
        <f>LOWER(Campanha_ou_InsertionOrder&amp;"_"&amp;LineItem_ou_Grupodeanúncio&amp;"_"&amp;Linha_Criativa&amp;"_"&amp;Unique_ID)</f>
        <v>#N/A</v>
      </c>
      <c r="AN627" s="28" t="str">
        <f>LOWER(Campanha_ou_InsertionOrder&amp;"_"&amp;LineItem_ou_Grupodeanúncio&amp;"_"&amp;Linha_Criativa&amp;"_"&amp;Unique_ID)</f>
        <v>#N/A</v>
      </c>
      <c r="AO627" s="28" t="str">
        <f>LOWER("VW"&amp;"_"&amp;Model_Variant&amp;"_"&amp;Size&amp;"_"&amp;Linha_Criativa&amp;"_"&amp;IF(Servido_Por="portal",Veiculo,"adserver"))</f>
        <v>vw____adserver</v>
      </c>
      <c r="AP6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7" s="22" t="str">
        <f t="shared" si="1"/>
        <v/>
      </c>
      <c r="AS627" s="22" t="str">
        <f t="shared" si="2"/>
        <v/>
      </c>
      <c r="AT627" s="22" t="str">
        <f t="shared" si="3"/>
        <v>BR_IMC_DSY_LANCH_ND_NC_2020Q3AUG_NVS_Nivus-Launch-Consideracao</v>
      </c>
      <c r="AU627" s="22" t="str">
        <f t="shared" si="4"/>
        <v>#N/A</v>
      </c>
      <c r="AV627" s="22" t="s">
        <v>106</v>
      </c>
      <c r="AW6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7" s="22" t="str">
        <f t="shared" si="5"/>
        <v>BR_IMC_DSY_LANCH_ND_NC_2020Q3AUG_NVS_Nivus-Launch-Consideracao</v>
      </c>
      <c r="AY627" s="28" t="str">
        <f t="shared" si="6"/>
        <v>#N/A</v>
      </c>
      <c r="AZ627" s="22" t="s">
        <v>107</v>
      </c>
      <c r="BA627" s="22" t="s">
        <v>108</v>
      </c>
      <c r="BB627" s="31" t="s">
        <v>109</v>
      </c>
      <c r="BC627" s="31" t="s">
        <v>109</v>
      </c>
      <c r="BD627" s="32" t="str">
        <f t="shared" si="8"/>
        <v>nvl-nvs-imc-dsy-0820-10621</v>
      </c>
      <c r="BE627" s="33"/>
      <c r="BF627" s="33"/>
      <c r="BG627" s="39" t="str">
        <f>URL&amp;IF(ISNUMBER(FIND("?",URL)),"&amp;","?"&amp;("adlid="&amp;Unique_ID&amp;"&amp;adplt="&amp;Placement))</f>
        <v>#N/A</v>
      </c>
      <c r="BH627" s="1"/>
      <c r="BI627" s="1"/>
      <c r="BJ627" s="35" t="str">
        <f>LOWER("alp"&amp;"_"&amp;"vw"&amp;"_"&amp;Veiculo&amp;"_"&amp;C623&amp;"_"&amp;Objetivo)</f>
        <v>alp_vw___</v>
      </c>
      <c r="BK627" s="35" t="str">
        <f>LOWER(Buying_Metric&amp;"_"&amp;VLOOKUP(Buying_Type,Buy_type,2,FALSE)&amp;"_"&amp;Device&amp;"_"&amp;Size&amp;"_"&amp;Segmentação&amp;"_"&amp;Segmentação_Anúncio)</f>
        <v>#N/A</v>
      </c>
      <c r="BL627" s="35" t="str">
        <f>LOWER(Campanha_ou_InsertionOrder&amp;"_"&amp;LineItem_ou_Grupodeanúncio&amp;"_"&amp;Linha_criativa_2&amp;"_"&amp;Unique_ID)</f>
        <v>#N/A</v>
      </c>
      <c r="BM627" s="27"/>
      <c r="BN627" s="27"/>
    </row>
    <row r="628">
      <c r="A628" s="1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8" t="str">
        <f>LOWER(Campanha_ou_InsertionOrder&amp;"_"&amp;LineItem_ou_Grupodeanúncio&amp;"_"&amp;Linha_Criativa&amp;"_"&amp;Unique_ID)</f>
        <v>#N/A</v>
      </c>
      <c r="AN628" s="28" t="str">
        <f>LOWER(Campanha_ou_InsertionOrder&amp;"_"&amp;LineItem_ou_Grupodeanúncio&amp;"_"&amp;Linha_Criativa&amp;"_"&amp;Unique_ID)</f>
        <v>#N/A</v>
      </c>
      <c r="AO628" s="28" t="str">
        <f>LOWER("VW"&amp;"_"&amp;Model_Variant&amp;"_"&amp;Size&amp;"_"&amp;Linha_Criativa&amp;"_"&amp;IF(Servido_Por="portal",Veiculo,"adserver"))</f>
        <v>vw____adserver</v>
      </c>
      <c r="AP6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8" s="22" t="str">
        <f t="shared" si="1"/>
        <v/>
      </c>
      <c r="AS628" s="22" t="str">
        <f t="shared" si="2"/>
        <v/>
      </c>
      <c r="AT628" s="22" t="str">
        <f t="shared" si="3"/>
        <v>BR_IMC_DSY_LANCH_ND_NC_2020Q3AUG_NVS_Nivus-Launch-Consideracao</v>
      </c>
      <c r="AU628" s="22" t="str">
        <f t="shared" si="4"/>
        <v>#N/A</v>
      </c>
      <c r="AV628" s="22" t="s">
        <v>106</v>
      </c>
      <c r="AW6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8" s="22" t="str">
        <f t="shared" si="5"/>
        <v>BR_IMC_DSY_LANCH_ND_NC_2020Q3AUG_NVS_Nivus-Launch-Consideracao</v>
      </c>
      <c r="AY628" s="28" t="str">
        <f t="shared" si="6"/>
        <v>#N/A</v>
      </c>
      <c r="AZ628" s="22" t="s">
        <v>107</v>
      </c>
      <c r="BA628" s="22" t="s">
        <v>108</v>
      </c>
      <c r="BB628" s="31" t="s">
        <v>109</v>
      </c>
      <c r="BC628" s="31" t="s">
        <v>109</v>
      </c>
      <c r="BD628" s="32" t="str">
        <f t="shared" si="8"/>
        <v>nvl-nvs-imc-dsy-0820-10622</v>
      </c>
      <c r="BE628" s="33"/>
      <c r="BF628" s="33"/>
      <c r="BG628" s="39" t="str">
        <f>URL&amp;IF(ISNUMBER(FIND("?",URL)),"&amp;","?"&amp;("adlid="&amp;Unique_ID&amp;"&amp;adplt="&amp;Placement))</f>
        <v>#N/A</v>
      </c>
      <c r="BH628" s="1"/>
      <c r="BI628" s="1"/>
      <c r="BJ628" s="35" t="str">
        <f>LOWER("alp"&amp;"_"&amp;"vw"&amp;"_"&amp;Veiculo&amp;"_"&amp;C624&amp;"_"&amp;Objetivo)</f>
        <v>alp_vw___</v>
      </c>
      <c r="BK628" s="35" t="str">
        <f>LOWER(Buying_Metric&amp;"_"&amp;VLOOKUP(Buying_Type,Buy_type,2,FALSE)&amp;"_"&amp;Device&amp;"_"&amp;Size&amp;"_"&amp;Segmentação&amp;"_"&amp;Segmentação_Anúncio)</f>
        <v>#N/A</v>
      </c>
      <c r="BL628" s="35" t="str">
        <f>LOWER(Campanha_ou_InsertionOrder&amp;"_"&amp;LineItem_ou_Grupodeanúncio&amp;"_"&amp;Linha_criativa_2&amp;"_"&amp;Unique_ID)</f>
        <v>#N/A</v>
      </c>
      <c r="BM628" s="27"/>
      <c r="BN628" s="27"/>
    </row>
    <row r="629">
      <c r="A629" s="1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8" t="str">
        <f>LOWER(Campanha_ou_InsertionOrder&amp;"_"&amp;LineItem_ou_Grupodeanúncio&amp;"_"&amp;Linha_Criativa&amp;"_"&amp;Unique_ID)</f>
        <v>#N/A</v>
      </c>
      <c r="AN629" s="28" t="str">
        <f>LOWER(Campanha_ou_InsertionOrder&amp;"_"&amp;LineItem_ou_Grupodeanúncio&amp;"_"&amp;Linha_Criativa&amp;"_"&amp;Unique_ID)</f>
        <v>#N/A</v>
      </c>
      <c r="AO629" s="28" t="str">
        <f>LOWER("VW"&amp;"_"&amp;Model_Variant&amp;"_"&amp;Size&amp;"_"&amp;Linha_Criativa&amp;"_"&amp;IF(Servido_Por="portal",Veiculo,"adserver"))</f>
        <v>vw____adserver</v>
      </c>
      <c r="AP6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29" s="22" t="str">
        <f t="shared" si="1"/>
        <v/>
      </c>
      <c r="AS629" s="22" t="str">
        <f t="shared" si="2"/>
        <v/>
      </c>
      <c r="AT629" s="22" t="str">
        <f t="shared" si="3"/>
        <v>BR_IMC_DSY_LANCH_ND_NC_2020Q3AUG_NVS_Nivus-Launch-Consideracao</v>
      </c>
      <c r="AU629" s="22" t="str">
        <f t="shared" si="4"/>
        <v>#N/A</v>
      </c>
      <c r="AV629" s="22" t="s">
        <v>106</v>
      </c>
      <c r="AW6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29" s="22" t="str">
        <f t="shared" si="5"/>
        <v>BR_IMC_DSY_LANCH_ND_NC_2020Q3AUG_NVS_Nivus-Launch-Consideracao</v>
      </c>
      <c r="AY629" s="28" t="str">
        <f t="shared" si="6"/>
        <v>#N/A</v>
      </c>
      <c r="AZ629" s="22" t="s">
        <v>107</v>
      </c>
      <c r="BA629" s="22" t="s">
        <v>108</v>
      </c>
      <c r="BB629" s="31" t="s">
        <v>109</v>
      </c>
      <c r="BC629" s="31" t="s">
        <v>109</v>
      </c>
      <c r="BD629" s="32" t="str">
        <f t="shared" si="8"/>
        <v>nvl-nvs-imc-dsy-0820-10623</v>
      </c>
      <c r="BE629" s="33"/>
      <c r="BF629" s="33"/>
      <c r="BG629" s="39" t="str">
        <f>URL&amp;IF(ISNUMBER(FIND("?",URL)),"&amp;","?"&amp;("adlid="&amp;Unique_ID&amp;"&amp;adplt="&amp;Placement))</f>
        <v>#N/A</v>
      </c>
      <c r="BH629" s="1"/>
      <c r="BI629" s="1"/>
      <c r="BJ629" s="35" t="str">
        <f>LOWER("alp"&amp;"_"&amp;"vw"&amp;"_"&amp;Veiculo&amp;"_"&amp;C625&amp;"_"&amp;Objetivo)</f>
        <v>alp_vw___</v>
      </c>
      <c r="BK629" s="35" t="str">
        <f>LOWER(Buying_Metric&amp;"_"&amp;VLOOKUP(Buying_Type,Buy_type,2,FALSE)&amp;"_"&amp;Device&amp;"_"&amp;Size&amp;"_"&amp;Segmentação&amp;"_"&amp;Segmentação_Anúncio)</f>
        <v>#N/A</v>
      </c>
      <c r="BL629" s="35" t="str">
        <f>LOWER(Campanha_ou_InsertionOrder&amp;"_"&amp;LineItem_ou_Grupodeanúncio&amp;"_"&amp;Linha_criativa_2&amp;"_"&amp;Unique_ID)</f>
        <v>#N/A</v>
      </c>
      <c r="BM629" s="27"/>
      <c r="BN629" s="27"/>
    </row>
    <row r="630">
      <c r="A630" s="1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8" t="str">
        <f>LOWER(Campanha_ou_InsertionOrder&amp;"_"&amp;LineItem_ou_Grupodeanúncio&amp;"_"&amp;Linha_Criativa&amp;"_"&amp;Unique_ID)</f>
        <v>#N/A</v>
      </c>
      <c r="AN630" s="28" t="str">
        <f>LOWER(Campanha_ou_InsertionOrder&amp;"_"&amp;LineItem_ou_Grupodeanúncio&amp;"_"&amp;Linha_Criativa&amp;"_"&amp;Unique_ID)</f>
        <v>#N/A</v>
      </c>
      <c r="AO630" s="28" t="str">
        <f>LOWER("VW"&amp;"_"&amp;Model_Variant&amp;"_"&amp;Size&amp;"_"&amp;Linha_Criativa&amp;"_"&amp;IF(Servido_Por="portal",Veiculo,"adserver"))</f>
        <v>vw____adserver</v>
      </c>
      <c r="AP6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0" s="22" t="str">
        <f t="shared" si="1"/>
        <v/>
      </c>
      <c r="AS630" s="22" t="str">
        <f t="shared" si="2"/>
        <v/>
      </c>
      <c r="AT630" s="22" t="str">
        <f t="shared" si="3"/>
        <v>BR_IMC_DSY_LANCH_ND_NC_2020Q3AUG_NVS_Nivus-Launch-Consideracao</v>
      </c>
      <c r="AU630" s="22" t="str">
        <f t="shared" si="4"/>
        <v>#N/A</v>
      </c>
      <c r="AV630" s="22" t="s">
        <v>106</v>
      </c>
      <c r="AW6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0" s="22" t="str">
        <f t="shared" si="5"/>
        <v>BR_IMC_DSY_LANCH_ND_NC_2020Q3AUG_NVS_Nivus-Launch-Consideracao</v>
      </c>
      <c r="AY630" s="28" t="str">
        <f t="shared" si="6"/>
        <v>#N/A</v>
      </c>
      <c r="AZ630" s="22" t="s">
        <v>107</v>
      </c>
      <c r="BA630" s="22" t="s">
        <v>108</v>
      </c>
      <c r="BB630" s="31" t="s">
        <v>109</v>
      </c>
      <c r="BC630" s="31" t="s">
        <v>109</v>
      </c>
      <c r="BD630" s="32" t="str">
        <f t="shared" si="8"/>
        <v>nvl-nvs-imc-dsy-0820-10624</v>
      </c>
      <c r="BE630" s="33"/>
      <c r="BF630" s="33"/>
      <c r="BG630" s="39" t="str">
        <f>URL&amp;IF(ISNUMBER(FIND("?",URL)),"&amp;","?"&amp;("adlid="&amp;Unique_ID&amp;"&amp;adplt="&amp;Placement))</f>
        <v>#N/A</v>
      </c>
      <c r="BH630" s="1"/>
      <c r="BI630" s="1"/>
      <c r="BJ630" s="35" t="str">
        <f>LOWER("alp"&amp;"_"&amp;"vw"&amp;"_"&amp;Veiculo&amp;"_"&amp;C626&amp;"_"&amp;Objetivo)</f>
        <v>alp_vw___</v>
      </c>
      <c r="BK630" s="35" t="str">
        <f>LOWER(Buying_Metric&amp;"_"&amp;VLOOKUP(Buying_Type,Buy_type,2,FALSE)&amp;"_"&amp;Device&amp;"_"&amp;Size&amp;"_"&amp;Segmentação&amp;"_"&amp;Segmentação_Anúncio)</f>
        <v>#N/A</v>
      </c>
      <c r="BL630" s="35" t="str">
        <f>LOWER(Campanha_ou_InsertionOrder&amp;"_"&amp;LineItem_ou_Grupodeanúncio&amp;"_"&amp;Linha_criativa_2&amp;"_"&amp;Unique_ID)</f>
        <v>#N/A</v>
      </c>
      <c r="BM630" s="27"/>
      <c r="BN630" s="27"/>
    </row>
    <row r="631">
      <c r="A631" s="1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8" t="str">
        <f>LOWER(Campanha_ou_InsertionOrder&amp;"_"&amp;LineItem_ou_Grupodeanúncio&amp;"_"&amp;Linha_Criativa&amp;"_"&amp;Unique_ID)</f>
        <v>#N/A</v>
      </c>
      <c r="AN631" s="28" t="str">
        <f>LOWER(Campanha_ou_InsertionOrder&amp;"_"&amp;LineItem_ou_Grupodeanúncio&amp;"_"&amp;Linha_Criativa&amp;"_"&amp;Unique_ID)</f>
        <v>#N/A</v>
      </c>
      <c r="AO631" s="28" t="str">
        <f>LOWER("VW"&amp;"_"&amp;Model_Variant&amp;"_"&amp;Size&amp;"_"&amp;Linha_Criativa&amp;"_"&amp;IF(Servido_Por="portal",Veiculo,"adserver"))</f>
        <v>vw____adserver</v>
      </c>
      <c r="AP6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1" s="22" t="str">
        <f t="shared" si="1"/>
        <v/>
      </c>
      <c r="AS631" s="22" t="str">
        <f t="shared" si="2"/>
        <v/>
      </c>
      <c r="AT631" s="22" t="str">
        <f t="shared" si="3"/>
        <v>BR_IMC_DSY_LANCH_ND_NC_2020Q3AUG_NVS_Nivus-Launch-Consideracao</v>
      </c>
      <c r="AU631" s="22" t="str">
        <f t="shared" si="4"/>
        <v>#N/A</v>
      </c>
      <c r="AV631" s="22" t="s">
        <v>106</v>
      </c>
      <c r="AW6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1" s="22" t="str">
        <f t="shared" si="5"/>
        <v>BR_IMC_DSY_LANCH_ND_NC_2020Q3AUG_NVS_Nivus-Launch-Consideracao</v>
      </c>
      <c r="AY631" s="28" t="str">
        <f t="shared" si="6"/>
        <v>#N/A</v>
      </c>
      <c r="AZ631" s="22" t="s">
        <v>107</v>
      </c>
      <c r="BA631" s="22" t="s">
        <v>108</v>
      </c>
      <c r="BB631" s="31" t="s">
        <v>109</v>
      </c>
      <c r="BC631" s="31" t="s">
        <v>109</v>
      </c>
      <c r="BD631" s="32" t="str">
        <f t="shared" si="8"/>
        <v>nvl-nvs-imc-dsy-0820-10625</v>
      </c>
      <c r="BE631" s="33"/>
      <c r="BF631" s="33"/>
      <c r="BG631" s="39" t="str">
        <f>URL&amp;IF(ISNUMBER(FIND("?",URL)),"&amp;","?"&amp;("adlid="&amp;Unique_ID&amp;"&amp;adplt="&amp;Placement))</f>
        <v>#N/A</v>
      </c>
      <c r="BH631" s="1"/>
      <c r="BI631" s="1"/>
      <c r="BJ631" s="35" t="str">
        <f>LOWER("alp"&amp;"_"&amp;"vw"&amp;"_"&amp;Veiculo&amp;"_"&amp;C627&amp;"_"&amp;Objetivo)</f>
        <v>alp_vw___</v>
      </c>
      <c r="BK631" s="35" t="str">
        <f>LOWER(Buying_Metric&amp;"_"&amp;VLOOKUP(Buying_Type,Buy_type,2,FALSE)&amp;"_"&amp;Device&amp;"_"&amp;Size&amp;"_"&amp;Segmentação&amp;"_"&amp;Segmentação_Anúncio)</f>
        <v>#N/A</v>
      </c>
      <c r="BL631" s="35" t="str">
        <f>LOWER(Campanha_ou_InsertionOrder&amp;"_"&amp;LineItem_ou_Grupodeanúncio&amp;"_"&amp;Linha_criativa_2&amp;"_"&amp;Unique_ID)</f>
        <v>#N/A</v>
      </c>
      <c r="BM631" s="27"/>
      <c r="BN631" s="27"/>
    </row>
    <row r="632">
      <c r="A632" s="1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8" t="str">
        <f>LOWER(Campanha_ou_InsertionOrder&amp;"_"&amp;LineItem_ou_Grupodeanúncio&amp;"_"&amp;Linha_Criativa&amp;"_"&amp;Unique_ID)</f>
        <v>#N/A</v>
      </c>
      <c r="AN632" s="28" t="str">
        <f>LOWER(Campanha_ou_InsertionOrder&amp;"_"&amp;LineItem_ou_Grupodeanúncio&amp;"_"&amp;Linha_Criativa&amp;"_"&amp;Unique_ID)</f>
        <v>#N/A</v>
      </c>
      <c r="AO632" s="28" t="str">
        <f>LOWER("VW"&amp;"_"&amp;Model_Variant&amp;"_"&amp;Size&amp;"_"&amp;Linha_Criativa&amp;"_"&amp;IF(Servido_Por="portal",Veiculo,"adserver"))</f>
        <v>vw____adserver</v>
      </c>
      <c r="AP6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2" s="22" t="str">
        <f t="shared" si="1"/>
        <v/>
      </c>
      <c r="AS632" s="22" t="str">
        <f t="shared" si="2"/>
        <v/>
      </c>
      <c r="AT632" s="22" t="str">
        <f t="shared" si="3"/>
        <v>BR_IMC_DSY_LANCH_ND_NC_2020Q3AUG_NVS_Nivus-Launch-Consideracao</v>
      </c>
      <c r="AU632" s="22" t="str">
        <f t="shared" si="4"/>
        <v>#N/A</v>
      </c>
      <c r="AV632" s="22" t="s">
        <v>106</v>
      </c>
      <c r="AW6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2" s="22" t="str">
        <f t="shared" si="5"/>
        <v>BR_IMC_DSY_LANCH_ND_NC_2020Q3AUG_NVS_Nivus-Launch-Consideracao</v>
      </c>
      <c r="AY632" s="28" t="str">
        <f t="shared" si="6"/>
        <v>#N/A</v>
      </c>
      <c r="AZ632" s="22" t="s">
        <v>107</v>
      </c>
      <c r="BA632" s="22" t="s">
        <v>108</v>
      </c>
      <c r="BB632" s="31" t="s">
        <v>109</v>
      </c>
      <c r="BC632" s="31" t="s">
        <v>109</v>
      </c>
      <c r="BD632" s="32" t="str">
        <f t="shared" si="8"/>
        <v>nvl-nvs-imc-dsy-0820-10626</v>
      </c>
      <c r="BE632" s="33"/>
      <c r="BF632" s="33"/>
      <c r="BG632" s="39" t="str">
        <f>URL&amp;IF(ISNUMBER(FIND("?",URL)),"&amp;","?"&amp;("adlid="&amp;Unique_ID&amp;"&amp;adplt="&amp;Placement))</f>
        <v>#N/A</v>
      </c>
      <c r="BH632" s="1"/>
      <c r="BI632" s="1"/>
      <c r="BJ632" s="35" t="str">
        <f>LOWER("alp"&amp;"_"&amp;"vw"&amp;"_"&amp;Veiculo&amp;"_"&amp;C628&amp;"_"&amp;Objetivo)</f>
        <v>alp_vw___</v>
      </c>
      <c r="BK632" s="35" t="str">
        <f>LOWER(Buying_Metric&amp;"_"&amp;VLOOKUP(Buying_Type,Buy_type,2,FALSE)&amp;"_"&amp;Device&amp;"_"&amp;Size&amp;"_"&amp;Segmentação&amp;"_"&amp;Segmentação_Anúncio)</f>
        <v>#N/A</v>
      </c>
      <c r="BL632" s="35" t="str">
        <f>LOWER(Campanha_ou_InsertionOrder&amp;"_"&amp;LineItem_ou_Grupodeanúncio&amp;"_"&amp;Linha_criativa_2&amp;"_"&amp;Unique_ID)</f>
        <v>#N/A</v>
      </c>
      <c r="BM632" s="27"/>
      <c r="BN632" s="27"/>
    </row>
    <row r="633">
      <c r="A633" s="1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8" t="str">
        <f>LOWER(Campanha_ou_InsertionOrder&amp;"_"&amp;LineItem_ou_Grupodeanúncio&amp;"_"&amp;Linha_Criativa&amp;"_"&amp;Unique_ID)</f>
        <v>#N/A</v>
      </c>
      <c r="AN633" s="28" t="str">
        <f>LOWER(Campanha_ou_InsertionOrder&amp;"_"&amp;LineItem_ou_Grupodeanúncio&amp;"_"&amp;Linha_Criativa&amp;"_"&amp;Unique_ID)</f>
        <v>#N/A</v>
      </c>
      <c r="AO633" s="28" t="str">
        <f>LOWER("VW"&amp;"_"&amp;Model_Variant&amp;"_"&amp;Size&amp;"_"&amp;Linha_Criativa&amp;"_"&amp;IF(Servido_Por="portal",Veiculo,"adserver"))</f>
        <v>vw____adserver</v>
      </c>
      <c r="AP6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3" s="22" t="str">
        <f t="shared" si="1"/>
        <v/>
      </c>
      <c r="AS633" s="22" t="str">
        <f t="shared" si="2"/>
        <v/>
      </c>
      <c r="AT633" s="22" t="str">
        <f t="shared" si="3"/>
        <v>BR_IMC_DSY_LANCH_ND_NC_2020Q3AUG_NVS_Nivus-Launch-Consideracao</v>
      </c>
      <c r="AU633" s="22" t="str">
        <f t="shared" si="4"/>
        <v>#N/A</v>
      </c>
      <c r="AV633" s="22" t="s">
        <v>106</v>
      </c>
      <c r="AW6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3" s="22" t="str">
        <f t="shared" si="5"/>
        <v>BR_IMC_DSY_LANCH_ND_NC_2020Q3AUG_NVS_Nivus-Launch-Consideracao</v>
      </c>
      <c r="AY633" s="28" t="str">
        <f t="shared" si="6"/>
        <v>#N/A</v>
      </c>
      <c r="AZ633" s="22" t="s">
        <v>107</v>
      </c>
      <c r="BA633" s="22" t="s">
        <v>108</v>
      </c>
      <c r="BB633" s="31" t="s">
        <v>109</v>
      </c>
      <c r="BC633" s="31" t="s">
        <v>109</v>
      </c>
      <c r="BD633" s="32" t="str">
        <f t="shared" si="8"/>
        <v>nvl-nvs-imc-dsy-0820-10627</v>
      </c>
      <c r="BE633" s="33"/>
      <c r="BF633" s="33"/>
      <c r="BG633" s="39" t="str">
        <f>URL&amp;IF(ISNUMBER(FIND("?",URL)),"&amp;","?"&amp;("adlid="&amp;Unique_ID&amp;"&amp;adplt="&amp;Placement))</f>
        <v>#N/A</v>
      </c>
      <c r="BH633" s="1"/>
      <c r="BI633" s="1"/>
      <c r="BJ633" s="35" t="str">
        <f>LOWER("alp"&amp;"_"&amp;"vw"&amp;"_"&amp;Veiculo&amp;"_"&amp;C629&amp;"_"&amp;Objetivo)</f>
        <v>alp_vw___</v>
      </c>
      <c r="BK633" s="35" t="str">
        <f>LOWER(Buying_Metric&amp;"_"&amp;VLOOKUP(Buying_Type,Buy_type,2,FALSE)&amp;"_"&amp;Device&amp;"_"&amp;Size&amp;"_"&amp;Segmentação&amp;"_"&amp;Segmentação_Anúncio)</f>
        <v>#N/A</v>
      </c>
      <c r="BL633" s="35" t="str">
        <f>LOWER(Campanha_ou_InsertionOrder&amp;"_"&amp;LineItem_ou_Grupodeanúncio&amp;"_"&amp;Linha_criativa_2&amp;"_"&amp;Unique_ID)</f>
        <v>#N/A</v>
      </c>
      <c r="BM633" s="27"/>
      <c r="BN633" s="27"/>
    </row>
    <row r="634">
      <c r="A634" s="1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tr">
        <f>LOWER(Campanha_ou_InsertionOrder&amp;"_"&amp;LineItem_ou_Grupodeanúncio&amp;"_"&amp;Linha_Criativa&amp;"_"&amp;Unique_ID)</f>
        <v>#N/A</v>
      </c>
      <c r="AN634" s="28" t="str">
        <f>LOWER(Campanha_ou_InsertionOrder&amp;"_"&amp;LineItem_ou_Grupodeanúncio&amp;"_"&amp;Linha_Criativa&amp;"_"&amp;Unique_ID)</f>
        <v>#N/A</v>
      </c>
      <c r="AO634" s="28" t="str">
        <f>LOWER("VW"&amp;"_"&amp;Model_Variant&amp;"_"&amp;Size&amp;"_"&amp;Linha_Criativa&amp;"_"&amp;IF(Servido_Por="portal",Veiculo,"adserver"))</f>
        <v>vw____adserver</v>
      </c>
      <c r="AP6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4" s="22" t="str">
        <f t="shared" si="1"/>
        <v/>
      </c>
      <c r="AS634" s="22" t="str">
        <f t="shared" si="2"/>
        <v/>
      </c>
      <c r="AT634" s="22" t="str">
        <f t="shared" si="3"/>
        <v>BR_IMC_DSY_LANCH_ND_NC_2020Q3AUG_NVS_Nivus-Launch-Consideracao</v>
      </c>
      <c r="AU634" s="22" t="str">
        <f t="shared" si="4"/>
        <v>#N/A</v>
      </c>
      <c r="AV634" s="22" t="s">
        <v>106</v>
      </c>
      <c r="AW6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4" s="22" t="str">
        <f t="shared" si="5"/>
        <v>BR_IMC_DSY_LANCH_ND_NC_2020Q3AUG_NVS_Nivus-Launch-Consideracao</v>
      </c>
      <c r="AY634" s="28" t="str">
        <f t="shared" si="6"/>
        <v>#N/A</v>
      </c>
      <c r="AZ634" s="22" t="s">
        <v>107</v>
      </c>
      <c r="BA634" s="22" t="s">
        <v>108</v>
      </c>
      <c r="BB634" s="31" t="s">
        <v>109</v>
      </c>
      <c r="BC634" s="31" t="s">
        <v>109</v>
      </c>
      <c r="BD634" s="32" t="str">
        <f t="shared" si="8"/>
        <v>nvl-nvs-imc-dsy-0820-10628</v>
      </c>
      <c r="BE634" s="33"/>
      <c r="BF634" s="33"/>
      <c r="BG634" s="39" t="str">
        <f>URL&amp;IF(ISNUMBER(FIND("?",URL)),"&amp;","?"&amp;("adlid="&amp;Unique_ID&amp;"&amp;adplt="&amp;Placement))</f>
        <v>#N/A</v>
      </c>
      <c r="BH634" s="1"/>
      <c r="BI634" s="1"/>
      <c r="BJ634" s="35" t="str">
        <f>LOWER("alp"&amp;"_"&amp;"vw"&amp;"_"&amp;Veiculo&amp;"_"&amp;C630&amp;"_"&amp;Objetivo)</f>
        <v>alp_vw___</v>
      </c>
      <c r="BK634" s="35" t="str">
        <f>LOWER(Buying_Metric&amp;"_"&amp;VLOOKUP(Buying_Type,Buy_type,2,FALSE)&amp;"_"&amp;Device&amp;"_"&amp;Size&amp;"_"&amp;Segmentação&amp;"_"&amp;Segmentação_Anúncio)</f>
        <v>#N/A</v>
      </c>
      <c r="BL634" s="35" t="str">
        <f>LOWER(Campanha_ou_InsertionOrder&amp;"_"&amp;LineItem_ou_Grupodeanúncio&amp;"_"&amp;Linha_criativa_2&amp;"_"&amp;Unique_ID)</f>
        <v>#N/A</v>
      </c>
      <c r="BM634" s="27"/>
      <c r="BN634" s="27"/>
    </row>
    <row r="635">
      <c r="A635" s="1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8" t="str">
        <f>LOWER(Campanha_ou_InsertionOrder&amp;"_"&amp;LineItem_ou_Grupodeanúncio&amp;"_"&amp;Linha_Criativa&amp;"_"&amp;Unique_ID)</f>
        <v>#N/A</v>
      </c>
      <c r="AN635" s="28" t="str">
        <f>LOWER(Campanha_ou_InsertionOrder&amp;"_"&amp;LineItem_ou_Grupodeanúncio&amp;"_"&amp;Linha_Criativa&amp;"_"&amp;Unique_ID)</f>
        <v>#N/A</v>
      </c>
      <c r="AO635" s="28" t="str">
        <f>LOWER("VW"&amp;"_"&amp;Model_Variant&amp;"_"&amp;Size&amp;"_"&amp;Linha_Criativa&amp;"_"&amp;IF(Servido_Por="portal",Veiculo,"adserver"))</f>
        <v>vw____adserver</v>
      </c>
      <c r="AP6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5" s="22" t="str">
        <f t="shared" si="1"/>
        <v/>
      </c>
      <c r="AS635" s="22" t="str">
        <f t="shared" si="2"/>
        <v/>
      </c>
      <c r="AT635" s="22" t="str">
        <f t="shared" si="3"/>
        <v>BR_IMC_DSY_LANCH_ND_NC_2020Q3AUG_NVS_Nivus-Launch-Consideracao</v>
      </c>
      <c r="AU635" s="22" t="str">
        <f t="shared" si="4"/>
        <v>#N/A</v>
      </c>
      <c r="AV635" s="22" t="s">
        <v>106</v>
      </c>
      <c r="AW6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5" s="22" t="str">
        <f t="shared" si="5"/>
        <v>BR_IMC_DSY_LANCH_ND_NC_2020Q3AUG_NVS_Nivus-Launch-Consideracao</v>
      </c>
      <c r="AY635" s="28" t="str">
        <f t="shared" si="6"/>
        <v>#N/A</v>
      </c>
      <c r="AZ635" s="22" t="s">
        <v>107</v>
      </c>
      <c r="BA635" s="22" t="s">
        <v>108</v>
      </c>
      <c r="BB635" s="31" t="s">
        <v>109</v>
      </c>
      <c r="BC635" s="31" t="s">
        <v>109</v>
      </c>
      <c r="BD635" s="32" t="str">
        <f t="shared" si="8"/>
        <v>nvl-nvs-imc-dsy-0820-10629</v>
      </c>
      <c r="BE635" s="33"/>
      <c r="BF635" s="33"/>
      <c r="BG635" s="39" t="str">
        <f>URL&amp;IF(ISNUMBER(FIND("?",URL)),"&amp;","?"&amp;("adlid="&amp;Unique_ID&amp;"&amp;adplt="&amp;Placement))</f>
        <v>#N/A</v>
      </c>
      <c r="BH635" s="1"/>
      <c r="BI635" s="1"/>
      <c r="BJ635" s="35" t="str">
        <f>LOWER("alp"&amp;"_"&amp;"vw"&amp;"_"&amp;Veiculo&amp;"_"&amp;C631&amp;"_"&amp;Objetivo)</f>
        <v>alp_vw___</v>
      </c>
      <c r="BK635" s="35" t="str">
        <f>LOWER(Buying_Metric&amp;"_"&amp;VLOOKUP(Buying_Type,Buy_type,2,FALSE)&amp;"_"&amp;Device&amp;"_"&amp;Size&amp;"_"&amp;Segmentação&amp;"_"&amp;Segmentação_Anúncio)</f>
        <v>#N/A</v>
      </c>
      <c r="BL635" s="35" t="str">
        <f>LOWER(Campanha_ou_InsertionOrder&amp;"_"&amp;LineItem_ou_Grupodeanúncio&amp;"_"&amp;Linha_criativa_2&amp;"_"&amp;Unique_ID)</f>
        <v>#N/A</v>
      </c>
      <c r="BM635" s="27"/>
      <c r="BN635" s="27"/>
    </row>
    <row r="636">
      <c r="A636" s="1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8" t="str">
        <f>LOWER(Campanha_ou_InsertionOrder&amp;"_"&amp;LineItem_ou_Grupodeanúncio&amp;"_"&amp;Linha_Criativa&amp;"_"&amp;Unique_ID)</f>
        <v>#N/A</v>
      </c>
      <c r="AN636" s="28" t="str">
        <f>LOWER(Campanha_ou_InsertionOrder&amp;"_"&amp;LineItem_ou_Grupodeanúncio&amp;"_"&amp;Linha_Criativa&amp;"_"&amp;Unique_ID)</f>
        <v>#N/A</v>
      </c>
      <c r="AO636" s="28" t="str">
        <f>LOWER("VW"&amp;"_"&amp;Model_Variant&amp;"_"&amp;Size&amp;"_"&amp;Linha_Criativa&amp;"_"&amp;IF(Servido_Por="portal",Veiculo,"adserver"))</f>
        <v>vw____adserver</v>
      </c>
      <c r="AP6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6" s="22" t="str">
        <f t="shared" si="1"/>
        <v/>
      </c>
      <c r="AS636" s="22" t="str">
        <f t="shared" si="2"/>
        <v/>
      </c>
      <c r="AT636" s="22" t="str">
        <f t="shared" si="3"/>
        <v>BR_IMC_DSY_LANCH_ND_NC_2020Q3AUG_NVS_Nivus-Launch-Consideracao</v>
      </c>
      <c r="AU636" s="22" t="str">
        <f t="shared" si="4"/>
        <v>#N/A</v>
      </c>
      <c r="AV636" s="22" t="s">
        <v>106</v>
      </c>
      <c r="AW6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6" s="22" t="str">
        <f t="shared" si="5"/>
        <v>BR_IMC_DSY_LANCH_ND_NC_2020Q3AUG_NVS_Nivus-Launch-Consideracao</v>
      </c>
      <c r="AY636" s="28" t="str">
        <f t="shared" si="6"/>
        <v>#N/A</v>
      </c>
      <c r="AZ636" s="22" t="s">
        <v>107</v>
      </c>
      <c r="BA636" s="22" t="s">
        <v>108</v>
      </c>
      <c r="BB636" s="31" t="s">
        <v>109</v>
      </c>
      <c r="BC636" s="31" t="s">
        <v>109</v>
      </c>
      <c r="BD636" s="32" t="str">
        <f t="shared" si="8"/>
        <v>nvl-nvs-imc-dsy-0820-10630</v>
      </c>
      <c r="BE636" s="33"/>
      <c r="BF636" s="33"/>
      <c r="BG636" s="39" t="str">
        <f>URL&amp;IF(ISNUMBER(FIND("?",URL)),"&amp;","?"&amp;("adlid="&amp;Unique_ID&amp;"&amp;adplt="&amp;Placement))</f>
        <v>#N/A</v>
      </c>
      <c r="BH636" s="1"/>
      <c r="BI636" s="1"/>
      <c r="BJ636" s="35" t="str">
        <f>LOWER("alp"&amp;"_"&amp;"vw"&amp;"_"&amp;Veiculo&amp;"_"&amp;C632&amp;"_"&amp;Objetivo)</f>
        <v>alp_vw___</v>
      </c>
      <c r="BK636" s="35" t="str">
        <f>LOWER(Buying_Metric&amp;"_"&amp;VLOOKUP(Buying_Type,Buy_type,2,FALSE)&amp;"_"&amp;Device&amp;"_"&amp;Size&amp;"_"&amp;Segmentação&amp;"_"&amp;Segmentação_Anúncio)</f>
        <v>#N/A</v>
      </c>
      <c r="BL636" s="35" t="str">
        <f>LOWER(Campanha_ou_InsertionOrder&amp;"_"&amp;LineItem_ou_Grupodeanúncio&amp;"_"&amp;Linha_criativa_2&amp;"_"&amp;Unique_ID)</f>
        <v>#N/A</v>
      </c>
      <c r="BM636" s="27"/>
      <c r="BN636" s="27"/>
    </row>
    <row r="637">
      <c r="A637" s="1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8" t="str">
        <f>LOWER(Campanha_ou_InsertionOrder&amp;"_"&amp;LineItem_ou_Grupodeanúncio&amp;"_"&amp;Linha_Criativa&amp;"_"&amp;Unique_ID)</f>
        <v>#N/A</v>
      </c>
      <c r="AN637" s="28" t="str">
        <f>LOWER(Campanha_ou_InsertionOrder&amp;"_"&amp;LineItem_ou_Grupodeanúncio&amp;"_"&amp;Linha_Criativa&amp;"_"&amp;Unique_ID)</f>
        <v>#N/A</v>
      </c>
      <c r="AO637" s="28" t="str">
        <f>LOWER("VW"&amp;"_"&amp;Model_Variant&amp;"_"&amp;Size&amp;"_"&amp;Linha_Criativa&amp;"_"&amp;IF(Servido_Por="portal",Veiculo,"adserver"))</f>
        <v>vw____adserver</v>
      </c>
      <c r="AP6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7" s="22" t="str">
        <f t="shared" si="1"/>
        <v/>
      </c>
      <c r="AS637" s="22" t="str">
        <f t="shared" si="2"/>
        <v/>
      </c>
      <c r="AT637" s="22" t="str">
        <f t="shared" si="3"/>
        <v>BR_IMC_DSY_LANCH_ND_NC_2020Q3AUG_NVS_Nivus-Launch-Consideracao</v>
      </c>
      <c r="AU637" s="22" t="str">
        <f t="shared" si="4"/>
        <v>#N/A</v>
      </c>
      <c r="AV637" s="22" t="s">
        <v>106</v>
      </c>
      <c r="AW6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7" s="22" t="str">
        <f t="shared" si="5"/>
        <v>BR_IMC_DSY_LANCH_ND_NC_2020Q3AUG_NVS_Nivus-Launch-Consideracao</v>
      </c>
      <c r="AY637" s="28" t="str">
        <f t="shared" si="6"/>
        <v>#N/A</v>
      </c>
      <c r="AZ637" s="22" t="s">
        <v>107</v>
      </c>
      <c r="BA637" s="22" t="s">
        <v>108</v>
      </c>
      <c r="BB637" s="31" t="s">
        <v>109</v>
      </c>
      <c r="BC637" s="31" t="s">
        <v>109</v>
      </c>
      <c r="BD637" s="32" t="str">
        <f t="shared" si="8"/>
        <v>nvl-nvs-imc-dsy-0820-10631</v>
      </c>
      <c r="BE637" s="33"/>
      <c r="BF637" s="33"/>
      <c r="BG637" s="39" t="str">
        <f>URL&amp;IF(ISNUMBER(FIND("?",URL)),"&amp;","?"&amp;("adlid="&amp;Unique_ID&amp;"&amp;adplt="&amp;Placement))</f>
        <v>#N/A</v>
      </c>
      <c r="BH637" s="1"/>
      <c r="BI637" s="1"/>
      <c r="BJ637" s="35" t="str">
        <f>LOWER("alp"&amp;"_"&amp;"vw"&amp;"_"&amp;Veiculo&amp;"_"&amp;C633&amp;"_"&amp;Objetivo)</f>
        <v>alp_vw___</v>
      </c>
      <c r="BK637" s="35" t="str">
        <f>LOWER(Buying_Metric&amp;"_"&amp;VLOOKUP(Buying_Type,Buy_type,2,FALSE)&amp;"_"&amp;Device&amp;"_"&amp;Size&amp;"_"&amp;Segmentação&amp;"_"&amp;Segmentação_Anúncio)</f>
        <v>#N/A</v>
      </c>
      <c r="BL637" s="35" t="str">
        <f>LOWER(Campanha_ou_InsertionOrder&amp;"_"&amp;LineItem_ou_Grupodeanúncio&amp;"_"&amp;Linha_criativa_2&amp;"_"&amp;Unique_ID)</f>
        <v>#N/A</v>
      </c>
      <c r="BM637" s="27"/>
      <c r="BN637" s="27"/>
    </row>
    <row r="638">
      <c r="A638" s="1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8" t="str">
        <f>LOWER(Campanha_ou_InsertionOrder&amp;"_"&amp;LineItem_ou_Grupodeanúncio&amp;"_"&amp;Linha_Criativa&amp;"_"&amp;Unique_ID)</f>
        <v>#N/A</v>
      </c>
      <c r="AN638" s="28" t="str">
        <f>LOWER(Campanha_ou_InsertionOrder&amp;"_"&amp;LineItem_ou_Grupodeanúncio&amp;"_"&amp;Linha_Criativa&amp;"_"&amp;Unique_ID)</f>
        <v>#N/A</v>
      </c>
      <c r="AO638" s="28" t="str">
        <f>LOWER("VW"&amp;"_"&amp;Model_Variant&amp;"_"&amp;Size&amp;"_"&amp;Linha_Criativa&amp;"_"&amp;IF(Servido_Por="portal",Veiculo,"adserver"))</f>
        <v>vw____adserver</v>
      </c>
      <c r="AP6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8" s="22" t="str">
        <f t="shared" si="1"/>
        <v/>
      </c>
      <c r="AS638" s="22" t="str">
        <f t="shared" si="2"/>
        <v/>
      </c>
      <c r="AT638" s="22" t="str">
        <f t="shared" si="3"/>
        <v>BR_IMC_DSY_LANCH_ND_NC_2020Q3AUG_NVS_Nivus-Launch-Consideracao</v>
      </c>
      <c r="AU638" s="22" t="str">
        <f t="shared" si="4"/>
        <v>#N/A</v>
      </c>
      <c r="AV638" s="22" t="s">
        <v>106</v>
      </c>
      <c r="AW6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8" s="22" t="str">
        <f t="shared" si="5"/>
        <v>BR_IMC_DSY_LANCH_ND_NC_2020Q3AUG_NVS_Nivus-Launch-Consideracao</v>
      </c>
      <c r="AY638" s="28" t="str">
        <f t="shared" si="6"/>
        <v>#N/A</v>
      </c>
      <c r="AZ638" s="22" t="s">
        <v>107</v>
      </c>
      <c r="BA638" s="22" t="s">
        <v>108</v>
      </c>
      <c r="BB638" s="31" t="s">
        <v>109</v>
      </c>
      <c r="BC638" s="31" t="s">
        <v>109</v>
      </c>
      <c r="BD638" s="32" t="str">
        <f t="shared" si="8"/>
        <v>nvl-nvs-imc-dsy-0820-10632</v>
      </c>
      <c r="BE638" s="33"/>
      <c r="BF638" s="33"/>
      <c r="BG638" s="39" t="str">
        <f>URL&amp;IF(ISNUMBER(FIND("?",URL)),"&amp;","?"&amp;("adlid="&amp;Unique_ID&amp;"&amp;adplt="&amp;Placement))</f>
        <v>#N/A</v>
      </c>
      <c r="BH638" s="1"/>
      <c r="BI638" s="1"/>
      <c r="BJ638" s="35" t="str">
        <f>LOWER("alp"&amp;"_"&amp;"vw"&amp;"_"&amp;Veiculo&amp;"_"&amp;C634&amp;"_"&amp;Objetivo)</f>
        <v>alp_vw___</v>
      </c>
      <c r="BK638" s="35" t="str">
        <f>LOWER(Buying_Metric&amp;"_"&amp;VLOOKUP(Buying_Type,Buy_type,2,FALSE)&amp;"_"&amp;Device&amp;"_"&amp;Size&amp;"_"&amp;Segmentação&amp;"_"&amp;Segmentação_Anúncio)</f>
        <v>#N/A</v>
      </c>
      <c r="BL638" s="35" t="str">
        <f>LOWER(Campanha_ou_InsertionOrder&amp;"_"&amp;LineItem_ou_Grupodeanúncio&amp;"_"&amp;Linha_criativa_2&amp;"_"&amp;Unique_ID)</f>
        <v>#N/A</v>
      </c>
      <c r="BM638" s="27"/>
      <c r="BN638" s="27"/>
    </row>
    <row r="639">
      <c r="A639" s="1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8" t="str">
        <f>LOWER(Campanha_ou_InsertionOrder&amp;"_"&amp;LineItem_ou_Grupodeanúncio&amp;"_"&amp;Linha_Criativa&amp;"_"&amp;Unique_ID)</f>
        <v>#N/A</v>
      </c>
      <c r="AN639" s="28" t="str">
        <f>LOWER(Campanha_ou_InsertionOrder&amp;"_"&amp;LineItem_ou_Grupodeanúncio&amp;"_"&amp;Linha_Criativa&amp;"_"&amp;Unique_ID)</f>
        <v>#N/A</v>
      </c>
      <c r="AO639" s="28" t="str">
        <f>LOWER("VW"&amp;"_"&amp;Model_Variant&amp;"_"&amp;Size&amp;"_"&amp;Linha_Criativa&amp;"_"&amp;IF(Servido_Por="portal",Veiculo,"adserver"))</f>
        <v>vw____adserver</v>
      </c>
      <c r="AP6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39" s="22" t="str">
        <f t="shared" si="1"/>
        <v/>
      </c>
      <c r="AS639" s="22" t="str">
        <f t="shared" si="2"/>
        <v/>
      </c>
      <c r="AT639" s="22" t="str">
        <f t="shared" si="3"/>
        <v>BR_IMC_DSY_LANCH_ND_NC_2020Q3AUG_NVS_Nivus-Launch-Consideracao</v>
      </c>
      <c r="AU639" s="22" t="str">
        <f t="shared" si="4"/>
        <v>#N/A</v>
      </c>
      <c r="AV639" s="22" t="s">
        <v>106</v>
      </c>
      <c r="AW6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39" s="22" t="str">
        <f t="shared" si="5"/>
        <v>BR_IMC_DSY_LANCH_ND_NC_2020Q3AUG_NVS_Nivus-Launch-Consideracao</v>
      </c>
      <c r="AY639" s="28" t="str">
        <f t="shared" si="6"/>
        <v>#N/A</v>
      </c>
      <c r="AZ639" s="22" t="s">
        <v>107</v>
      </c>
      <c r="BA639" s="22" t="s">
        <v>108</v>
      </c>
      <c r="BB639" s="31" t="s">
        <v>109</v>
      </c>
      <c r="BC639" s="31" t="s">
        <v>109</v>
      </c>
      <c r="BD639" s="32" t="str">
        <f t="shared" si="8"/>
        <v>nvl-nvs-imc-dsy-0820-10633</v>
      </c>
      <c r="BE639" s="33"/>
      <c r="BF639" s="33"/>
      <c r="BG639" s="39" t="str">
        <f>URL&amp;IF(ISNUMBER(FIND("?",URL)),"&amp;","?"&amp;("adlid="&amp;Unique_ID&amp;"&amp;adplt="&amp;Placement))</f>
        <v>#N/A</v>
      </c>
      <c r="BH639" s="1"/>
      <c r="BI639" s="1"/>
      <c r="BJ639" s="35" t="str">
        <f>LOWER("alp"&amp;"_"&amp;"vw"&amp;"_"&amp;Veiculo&amp;"_"&amp;C635&amp;"_"&amp;Objetivo)</f>
        <v>alp_vw___</v>
      </c>
      <c r="BK639" s="35" t="str">
        <f>LOWER(Buying_Metric&amp;"_"&amp;VLOOKUP(Buying_Type,Buy_type,2,FALSE)&amp;"_"&amp;Device&amp;"_"&amp;Size&amp;"_"&amp;Segmentação&amp;"_"&amp;Segmentação_Anúncio)</f>
        <v>#N/A</v>
      </c>
      <c r="BL639" s="35" t="str">
        <f>LOWER(Campanha_ou_InsertionOrder&amp;"_"&amp;LineItem_ou_Grupodeanúncio&amp;"_"&amp;Linha_criativa_2&amp;"_"&amp;Unique_ID)</f>
        <v>#N/A</v>
      </c>
      <c r="BM639" s="27"/>
      <c r="BN639" s="27"/>
    </row>
    <row r="640">
      <c r="A640" s="1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8" t="str">
        <f>LOWER(Campanha_ou_InsertionOrder&amp;"_"&amp;LineItem_ou_Grupodeanúncio&amp;"_"&amp;Linha_Criativa&amp;"_"&amp;Unique_ID)</f>
        <v>#N/A</v>
      </c>
      <c r="AN640" s="28" t="str">
        <f>LOWER(Campanha_ou_InsertionOrder&amp;"_"&amp;LineItem_ou_Grupodeanúncio&amp;"_"&amp;Linha_Criativa&amp;"_"&amp;Unique_ID)</f>
        <v>#N/A</v>
      </c>
      <c r="AO640" s="28" t="str">
        <f>LOWER("VW"&amp;"_"&amp;Model_Variant&amp;"_"&amp;Size&amp;"_"&amp;Linha_Criativa&amp;"_"&amp;IF(Servido_Por="portal",Veiculo,"adserver"))</f>
        <v>vw____adserver</v>
      </c>
      <c r="AP6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0" s="22" t="str">
        <f t="shared" si="1"/>
        <v/>
      </c>
      <c r="AS640" s="22" t="str">
        <f t="shared" si="2"/>
        <v/>
      </c>
      <c r="AT640" s="22" t="str">
        <f t="shared" si="3"/>
        <v>BR_IMC_DSY_LANCH_ND_NC_2020Q3AUG_NVS_Nivus-Launch-Consideracao</v>
      </c>
      <c r="AU640" s="22" t="str">
        <f t="shared" si="4"/>
        <v>#N/A</v>
      </c>
      <c r="AV640" s="22" t="s">
        <v>106</v>
      </c>
      <c r="AW6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0" s="22" t="str">
        <f t="shared" si="5"/>
        <v>BR_IMC_DSY_LANCH_ND_NC_2020Q3AUG_NVS_Nivus-Launch-Consideracao</v>
      </c>
      <c r="AY640" s="28" t="str">
        <f t="shared" si="6"/>
        <v>#N/A</v>
      </c>
      <c r="AZ640" s="22" t="s">
        <v>107</v>
      </c>
      <c r="BA640" s="22" t="s">
        <v>108</v>
      </c>
      <c r="BB640" s="31" t="s">
        <v>109</v>
      </c>
      <c r="BC640" s="31" t="s">
        <v>109</v>
      </c>
      <c r="BD640" s="32" t="str">
        <f t="shared" si="8"/>
        <v>nvl-nvs-imc-dsy-0820-10634</v>
      </c>
      <c r="BE640" s="33"/>
      <c r="BF640" s="33"/>
      <c r="BG640" s="39" t="str">
        <f>URL&amp;IF(ISNUMBER(FIND("?",URL)),"&amp;","?"&amp;("adlid="&amp;Unique_ID&amp;"&amp;adplt="&amp;Placement))</f>
        <v>#N/A</v>
      </c>
      <c r="BH640" s="1"/>
      <c r="BI640" s="1"/>
      <c r="BJ640" s="35" t="str">
        <f>LOWER("alp"&amp;"_"&amp;"vw"&amp;"_"&amp;Veiculo&amp;"_"&amp;C636&amp;"_"&amp;Objetivo)</f>
        <v>alp_vw___</v>
      </c>
      <c r="BK640" s="35" t="str">
        <f>LOWER(Buying_Metric&amp;"_"&amp;VLOOKUP(Buying_Type,Buy_type,2,FALSE)&amp;"_"&amp;Device&amp;"_"&amp;Size&amp;"_"&amp;Segmentação&amp;"_"&amp;Segmentação_Anúncio)</f>
        <v>#N/A</v>
      </c>
      <c r="BL640" s="35" t="str">
        <f>LOWER(Campanha_ou_InsertionOrder&amp;"_"&amp;LineItem_ou_Grupodeanúncio&amp;"_"&amp;Linha_criativa_2&amp;"_"&amp;Unique_ID)</f>
        <v>#N/A</v>
      </c>
      <c r="BM640" s="27"/>
      <c r="BN640" s="27"/>
    </row>
    <row r="641">
      <c r="A641" s="1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8" t="str">
        <f>LOWER(Campanha_ou_InsertionOrder&amp;"_"&amp;LineItem_ou_Grupodeanúncio&amp;"_"&amp;Linha_Criativa&amp;"_"&amp;Unique_ID)</f>
        <v>#N/A</v>
      </c>
      <c r="AN641" s="28" t="str">
        <f>LOWER(Campanha_ou_InsertionOrder&amp;"_"&amp;LineItem_ou_Grupodeanúncio&amp;"_"&amp;Linha_Criativa&amp;"_"&amp;Unique_ID)</f>
        <v>#N/A</v>
      </c>
      <c r="AO641" s="28" t="str">
        <f>LOWER("VW"&amp;"_"&amp;Model_Variant&amp;"_"&amp;Size&amp;"_"&amp;Linha_Criativa&amp;"_"&amp;IF(Servido_Por="portal",Veiculo,"adserver"))</f>
        <v>vw____adserver</v>
      </c>
      <c r="AP6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1" s="22" t="str">
        <f t="shared" si="1"/>
        <v/>
      </c>
      <c r="AS641" s="22" t="str">
        <f t="shared" si="2"/>
        <v/>
      </c>
      <c r="AT641" s="22" t="str">
        <f t="shared" si="3"/>
        <v>BR_IMC_DSY_LANCH_ND_NC_2020Q3AUG_NVS_Nivus-Launch-Consideracao</v>
      </c>
      <c r="AU641" s="22" t="str">
        <f t="shared" si="4"/>
        <v>#N/A</v>
      </c>
      <c r="AV641" s="22" t="s">
        <v>106</v>
      </c>
      <c r="AW6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1" s="22" t="str">
        <f t="shared" si="5"/>
        <v>BR_IMC_DSY_LANCH_ND_NC_2020Q3AUG_NVS_Nivus-Launch-Consideracao</v>
      </c>
      <c r="AY641" s="28" t="str">
        <f t="shared" si="6"/>
        <v>#N/A</v>
      </c>
      <c r="AZ641" s="22" t="s">
        <v>107</v>
      </c>
      <c r="BA641" s="22" t="s">
        <v>108</v>
      </c>
      <c r="BB641" s="31" t="s">
        <v>109</v>
      </c>
      <c r="BC641" s="31" t="s">
        <v>109</v>
      </c>
      <c r="BD641" s="32" t="str">
        <f t="shared" si="8"/>
        <v>nvl-nvs-imc-dsy-0820-10635</v>
      </c>
      <c r="BE641" s="33"/>
      <c r="BF641" s="33"/>
      <c r="BG641" s="39" t="str">
        <f>URL&amp;IF(ISNUMBER(FIND("?",URL)),"&amp;","?"&amp;("adlid="&amp;Unique_ID&amp;"&amp;adplt="&amp;Placement))</f>
        <v>#N/A</v>
      </c>
      <c r="BH641" s="1"/>
      <c r="BI641" s="1"/>
      <c r="BJ641" s="35" t="str">
        <f>LOWER("alp"&amp;"_"&amp;"vw"&amp;"_"&amp;Veiculo&amp;"_"&amp;C637&amp;"_"&amp;Objetivo)</f>
        <v>alp_vw___</v>
      </c>
      <c r="BK641" s="35" t="str">
        <f>LOWER(Buying_Metric&amp;"_"&amp;VLOOKUP(Buying_Type,Buy_type,2,FALSE)&amp;"_"&amp;Device&amp;"_"&amp;Size&amp;"_"&amp;Segmentação&amp;"_"&amp;Segmentação_Anúncio)</f>
        <v>#N/A</v>
      </c>
      <c r="BL641" s="35" t="str">
        <f>LOWER(Campanha_ou_InsertionOrder&amp;"_"&amp;LineItem_ou_Grupodeanúncio&amp;"_"&amp;Linha_criativa_2&amp;"_"&amp;Unique_ID)</f>
        <v>#N/A</v>
      </c>
      <c r="BM641" s="27"/>
      <c r="BN641" s="27"/>
    </row>
    <row r="642">
      <c r="A642" s="1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8" t="str">
        <f>LOWER(Campanha_ou_InsertionOrder&amp;"_"&amp;LineItem_ou_Grupodeanúncio&amp;"_"&amp;Linha_Criativa&amp;"_"&amp;Unique_ID)</f>
        <v>#N/A</v>
      </c>
      <c r="AN642" s="28" t="str">
        <f>LOWER(Campanha_ou_InsertionOrder&amp;"_"&amp;LineItem_ou_Grupodeanúncio&amp;"_"&amp;Linha_Criativa&amp;"_"&amp;Unique_ID)</f>
        <v>#N/A</v>
      </c>
      <c r="AO642" s="28" t="str">
        <f>LOWER("VW"&amp;"_"&amp;Model_Variant&amp;"_"&amp;Size&amp;"_"&amp;Linha_Criativa&amp;"_"&amp;IF(Servido_Por="portal",Veiculo,"adserver"))</f>
        <v>vw____adserver</v>
      </c>
      <c r="AP6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2" s="22" t="str">
        <f t="shared" si="1"/>
        <v/>
      </c>
      <c r="AS642" s="22" t="str">
        <f t="shared" si="2"/>
        <v/>
      </c>
      <c r="AT642" s="22" t="str">
        <f t="shared" si="3"/>
        <v>BR_IMC_DSY_LANCH_ND_NC_2020Q3AUG_NVS_Nivus-Launch-Consideracao</v>
      </c>
      <c r="AU642" s="22" t="str">
        <f t="shared" si="4"/>
        <v>#N/A</v>
      </c>
      <c r="AV642" s="22" t="s">
        <v>106</v>
      </c>
      <c r="AW6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2" s="22" t="str">
        <f t="shared" si="5"/>
        <v>BR_IMC_DSY_LANCH_ND_NC_2020Q3AUG_NVS_Nivus-Launch-Consideracao</v>
      </c>
      <c r="AY642" s="28" t="str">
        <f t="shared" si="6"/>
        <v>#N/A</v>
      </c>
      <c r="AZ642" s="22" t="s">
        <v>107</v>
      </c>
      <c r="BA642" s="22" t="s">
        <v>108</v>
      </c>
      <c r="BB642" s="31" t="s">
        <v>109</v>
      </c>
      <c r="BC642" s="31" t="s">
        <v>109</v>
      </c>
      <c r="BD642" s="32" t="str">
        <f t="shared" si="8"/>
        <v>nvl-nvs-imc-dsy-0820-10636</v>
      </c>
      <c r="BE642" s="33"/>
      <c r="BF642" s="33"/>
      <c r="BG642" s="39" t="str">
        <f>URL&amp;IF(ISNUMBER(FIND("?",URL)),"&amp;","?"&amp;("adlid="&amp;Unique_ID&amp;"&amp;adplt="&amp;Placement))</f>
        <v>#N/A</v>
      </c>
      <c r="BH642" s="1"/>
      <c r="BI642" s="1"/>
      <c r="BJ642" s="35" t="str">
        <f>LOWER("alp"&amp;"_"&amp;"vw"&amp;"_"&amp;Veiculo&amp;"_"&amp;C638&amp;"_"&amp;Objetivo)</f>
        <v>alp_vw___</v>
      </c>
      <c r="BK642" s="35" t="str">
        <f>LOWER(Buying_Metric&amp;"_"&amp;VLOOKUP(Buying_Type,Buy_type,2,FALSE)&amp;"_"&amp;Device&amp;"_"&amp;Size&amp;"_"&amp;Segmentação&amp;"_"&amp;Segmentação_Anúncio)</f>
        <v>#N/A</v>
      </c>
      <c r="BL642" s="35" t="str">
        <f>LOWER(Campanha_ou_InsertionOrder&amp;"_"&amp;LineItem_ou_Grupodeanúncio&amp;"_"&amp;Linha_criativa_2&amp;"_"&amp;Unique_ID)</f>
        <v>#N/A</v>
      </c>
      <c r="BM642" s="27"/>
      <c r="BN642" s="27"/>
    </row>
    <row r="643">
      <c r="A643" s="1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8" t="str">
        <f>LOWER(Campanha_ou_InsertionOrder&amp;"_"&amp;LineItem_ou_Grupodeanúncio&amp;"_"&amp;Linha_Criativa&amp;"_"&amp;Unique_ID)</f>
        <v>#N/A</v>
      </c>
      <c r="AN643" s="28" t="str">
        <f>LOWER(Campanha_ou_InsertionOrder&amp;"_"&amp;LineItem_ou_Grupodeanúncio&amp;"_"&amp;Linha_Criativa&amp;"_"&amp;Unique_ID)</f>
        <v>#N/A</v>
      </c>
      <c r="AO643" s="28" t="str">
        <f>LOWER("VW"&amp;"_"&amp;Model_Variant&amp;"_"&amp;Size&amp;"_"&amp;Linha_Criativa&amp;"_"&amp;IF(Servido_Por="portal",Veiculo,"adserver"))</f>
        <v>vw____adserver</v>
      </c>
      <c r="AP6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3" s="22" t="str">
        <f t="shared" si="1"/>
        <v/>
      </c>
      <c r="AS643" s="22" t="str">
        <f t="shared" si="2"/>
        <v/>
      </c>
      <c r="AT643" s="22" t="str">
        <f t="shared" si="3"/>
        <v>BR_IMC_DSY_LANCH_ND_NC_2020Q3AUG_NVS_Nivus-Launch-Consideracao</v>
      </c>
      <c r="AU643" s="22" t="str">
        <f t="shared" si="4"/>
        <v>#N/A</v>
      </c>
      <c r="AV643" s="22" t="s">
        <v>106</v>
      </c>
      <c r="AW6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3" s="22" t="str">
        <f t="shared" si="5"/>
        <v>BR_IMC_DSY_LANCH_ND_NC_2020Q3AUG_NVS_Nivus-Launch-Consideracao</v>
      </c>
      <c r="AY643" s="28" t="str">
        <f t="shared" si="6"/>
        <v>#N/A</v>
      </c>
      <c r="AZ643" s="22" t="s">
        <v>107</v>
      </c>
      <c r="BA643" s="22" t="s">
        <v>108</v>
      </c>
      <c r="BB643" s="31" t="s">
        <v>109</v>
      </c>
      <c r="BC643" s="31" t="s">
        <v>109</v>
      </c>
      <c r="BD643" s="32" t="str">
        <f t="shared" si="8"/>
        <v>nvl-nvs-imc-dsy-0820-10637</v>
      </c>
      <c r="BE643" s="33"/>
      <c r="BF643" s="33"/>
      <c r="BG643" s="39" t="str">
        <f>URL&amp;IF(ISNUMBER(FIND("?",URL)),"&amp;","?"&amp;("adlid="&amp;Unique_ID&amp;"&amp;adplt="&amp;Placement))</f>
        <v>#N/A</v>
      </c>
      <c r="BH643" s="1"/>
      <c r="BI643" s="1"/>
      <c r="BJ643" s="35" t="str">
        <f>LOWER("alp"&amp;"_"&amp;"vw"&amp;"_"&amp;Veiculo&amp;"_"&amp;C639&amp;"_"&amp;Objetivo)</f>
        <v>alp_vw___</v>
      </c>
      <c r="BK643" s="35" t="str">
        <f>LOWER(Buying_Metric&amp;"_"&amp;VLOOKUP(Buying_Type,Buy_type,2,FALSE)&amp;"_"&amp;Device&amp;"_"&amp;Size&amp;"_"&amp;Segmentação&amp;"_"&amp;Segmentação_Anúncio)</f>
        <v>#N/A</v>
      </c>
      <c r="BL643" s="35" t="str">
        <f>LOWER(Campanha_ou_InsertionOrder&amp;"_"&amp;LineItem_ou_Grupodeanúncio&amp;"_"&amp;Linha_criativa_2&amp;"_"&amp;Unique_ID)</f>
        <v>#N/A</v>
      </c>
      <c r="BM643" s="27"/>
      <c r="BN643" s="27"/>
    </row>
    <row r="644">
      <c r="A644" s="1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8" t="str">
        <f>LOWER(Campanha_ou_InsertionOrder&amp;"_"&amp;LineItem_ou_Grupodeanúncio&amp;"_"&amp;Linha_Criativa&amp;"_"&amp;Unique_ID)</f>
        <v>#N/A</v>
      </c>
      <c r="AN644" s="28" t="str">
        <f>LOWER(Campanha_ou_InsertionOrder&amp;"_"&amp;LineItem_ou_Grupodeanúncio&amp;"_"&amp;Linha_Criativa&amp;"_"&amp;Unique_ID)</f>
        <v>#N/A</v>
      </c>
      <c r="AO644" s="28" t="str">
        <f>LOWER("VW"&amp;"_"&amp;Model_Variant&amp;"_"&amp;Size&amp;"_"&amp;Linha_Criativa&amp;"_"&amp;IF(Servido_Por="portal",Veiculo,"adserver"))</f>
        <v>vw____adserver</v>
      </c>
      <c r="AP6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4" s="22" t="str">
        <f t="shared" si="1"/>
        <v/>
      </c>
      <c r="AS644" s="22" t="str">
        <f t="shared" si="2"/>
        <v/>
      </c>
      <c r="AT644" s="22" t="str">
        <f t="shared" si="3"/>
        <v>BR_IMC_DSY_LANCH_ND_NC_2020Q3AUG_NVS_Nivus-Launch-Consideracao</v>
      </c>
      <c r="AU644" s="22" t="str">
        <f t="shared" si="4"/>
        <v>#N/A</v>
      </c>
      <c r="AV644" s="22" t="s">
        <v>106</v>
      </c>
      <c r="AW6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4" s="22" t="str">
        <f t="shared" si="5"/>
        <v>BR_IMC_DSY_LANCH_ND_NC_2020Q3AUG_NVS_Nivus-Launch-Consideracao</v>
      </c>
      <c r="AY644" s="28" t="str">
        <f t="shared" si="6"/>
        <v>#N/A</v>
      </c>
      <c r="AZ644" s="22" t="s">
        <v>107</v>
      </c>
      <c r="BA644" s="22" t="s">
        <v>108</v>
      </c>
      <c r="BB644" s="31" t="s">
        <v>109</v>
      </c>
      <c r="BC644" s="31" t="s">
        <v>109</v>
      </c>
      <c r="BD644" s="32" t="str">
        <f t="shared" si="8"/>
        <v>nvl-nvs-imc-dsy-0820-10638</v>
      </c>
      <c r="BE644" s="33"/>
      <c r="BF644" s="33"/>
      <c r="BG644" s="39" t="str">
        <f>URL&amp;IF(ISNUMBER(FIND("?",URL)),"&amp;","?"&amp;("adlid="&amp;Unique_ID&amp;"&amp;adplt="&amp;Placement))</f>
        <v>#N/A</v>
      </c>
      <c r="BH644" s="1"/>
      <c r="BI644" s="1"/>
      <c r="BJ644" s="35" t="str">
        <f>LOWER("alp"&amp;"_"&amp;"vw"&amp;"_"&amp;Veiculo&amp;"_"&amp;C640&amp;"_"&amp;Objetivo)</f>
        <v>alp_vw___</v>
      </c>
      <c r="BK644" s="35" t="str">
        <f>LOWER(Buying_Metric&amp;"_"&amp;VLOOKUP(Buying_Type,Buy_type,2,FALSE)&amp;"_"&amp;Device&amp;"_"&amp;Size&amp;"_"&amp;Segmentação&amp;"_"&amp;Segmentação_Anúncio)</f>
        <v>#N/A</v>
      </c>
      <c r="BL644" s="35" t="str">
        <f>LOWER(Campanha_ou_InsertionOrder&amp;"_"&amp;LineItem_ou_Grupodeanúncio&amp;"_"&amp;Linha_criativa_2&amp;"_"&amp;Unique_ID)</f>
        <v>#N/A</v>
      </c>
      <c r="BM644" s="27"/>
      <c r="BN644" s="27"/>
    </row>
    <row r="645">
      <c r="A645" s="1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8" t="str">
        <f>LOWER(Campanha_ou_InsertionOrder&amp;"_"&amp;LineItem_ou_Grupodeanúncio&amp;"_"&amp;Linha_Criativa&amp;"_"&amp;Unique_ID)</f>
        <v>#N/A</v>
      </c>
      <c r="AN645" s="28" t="str">
        <f>LOWER(Campanha_ou_InsertionOrder&amp;"_"&amp;LineItem_ou_Grupodeanúncio&amp;"_"&amp;Linha_Criativa&amp;"_"&amp;Unique_ID)</f>
        <v>#N/A</v>
      </c>
      <c r="AO645" s="28" t="str">
        <f>LOWER("VW"&amp;"_"&amp;Model_Variant&amp;"_"&amp;Size&amp;"_"&amp;Linha_Criativa&amp;"_"&amp;IF(Servido_Por="portal",Veiculo,"adserver"))</f>
        <v>vw____adserver</v>
      </c>
      <c r="AP6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5" s="22" t="str">
        <f t="shared" si="1"/>
        <v/>
      </c>
      <c r="AS645" s="22" t="str">
        <f t="shared" si="2"/>
        <v/>
      </c>
      <c r="AT645" s="22" t="str">
        <f t="shared" si="3"/>
        <v>BR_IMC_DSY_LANCH_ND_NC_2020Q3AUG_NVS_Nivus-Launch-Consideracao</v>
      </c>
      <c r="AU645" s="22" t="str">
        <f t="shared" si="4"/>
        <v>#N/A</v>
      </c>
      <c r="AV645" s="22" t="s">
        <v>106</v>
      </c>
      <c r="AW6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5" s="22" t="str">
        <f t="shared" si="5"/>
        <v>BR_IMC_DSY_LANCH_ND_NC_2020Q3AUG_NVS_Nivus-Launch-Consideracao</v>
      </c>
      <c r="AY645" s="28" t="str">
        <f t="shared" si="6"/>
        <v>#N/A</v>
      </c>
      <c r="AZ645" s="22" t="s">
        <v>107</v>
      </c>
      <c r="BA645" s="22" t="s">
        <v>108</v>
      </c>
      <c r="BB645" s="31" t="s">
        <v>109</v>
      </c>
      <c r="BC645" s="31" t="s">
        <v>109</v>
      </c>
      <c r="BD645" s="32" t="str">
        <f t="shared" si="8"/>
        <v>nvl-nvs-imc-dsy-0820-10639</v>
      </c>
      <c r="BE645" s="33"/>
      <c r="BF645" s="33"/>
      <c r="BG645" s="39" t="str">
        <f>URL&amp;IF(ISNUMBER(FIND("?",URL)),"&amp;","?"&amp;("adlid="&amp;Unique_ID&amp;"&amp;adplt="&amp;Placement))</f>
        <v>#N/A</v>
      </c>
      <c r="BH645" s="1"/>
      <c r="BI645" s="1"/>
      <c r="BJ645" s="35" t="str">
        <f>LOWER("alp"&amp;"_"&amp;"vw"&amp;"_"&amp;Veiculo&amp;"_"&amp;C641&amp;"_"&amp;Objetivo)</f>
        <v>alp_vw___</v>
      </c>
      <c r="BK645" s="35" t="str">
        <f>LOWER(Buying_Metric&amp;"_"&amp;VLOOKUP(Buying_Type,Buy_type,2,FALSE)&amp;"_"&amp;Device&amp;"_"&amp;Size&amp;"_"&amp;Segmentação&amp;"_"&amp;Segmentação_Anúncio)</f>
        <v>#N/A</v>
      </c>
      <c r="BL645" s="35" t="str">
        <f>LOWER(Campanha_ou_InsertionOrder&amp;"_"&amp;LineItem_ou_Grupodeanúncio&amp;"_"&amp;Linha_criativa_2&amp;"_"&amp;Unique_ID)</f>
        <v>#N/A</v>
      </c>
      <c r="BM645" s="27"/>
      <c r="BN645" s="27"/>
    </row>
    <row r="646">
      <c r="A646" s="1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8" t="str">
        <f>LOWER(Campanha_ou_InsertionOrder&amp;"_"&amp;LineItem_ou_Grupodeanúncio&amp;"_"&amp;Linha_Criativa&amp;"_"&amp;Unique_ID)</f>
        <v>#N/A</v>
      </c>
      <c r="AN646" s="28" t="str">
        <f>LOWER(Campanha_ou_InsertionOrder&amp;"_"&amp;LineItem_ou_Grupodeanúncio&amp;"_"&amp;Linha_Criativa&amp;"_"&amp;Unique_ID)</f>
        <v>#N/A</v>
      </c>
      <c r="AO646" s="28" t="str">
        <f>LOWER("VW"&amp;"_"&amp;Model_Variant&amp;"_"&amp;Size&amp;"_"&amp;Linha_Criativa&amp;"_"&amp;IF(Servido_Por="portal",Veiculo,"adserver"))</f>
        <v>vw____adserver</v>
      </c>
      <c r="AP6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6" s="22" t="str">
        <f t="shared" si="1"/>
        <v/>
      </c>
      <c r="AS646" s="22" t="str">
        <f t="shared" si="2"/>
        <v/>
      </c>
      <c r="AT646" s="22" t="str">
        <f t="shared" si="3"/>
        <v>BR_IMC_DSY_LANCH_ND_NC_2020Q3AUG_NVS_Nivus-Launch-Consideracao</v>
      </c>
      <c r="AU646" s="22" t="str">
        <f t="shared" si="4"/>
        <v>#N/A</v>
      </c>
      <c r="AV646" s="22" t="s">
        <v>106</v>
      </c>
      <c r="AW6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6" s="22" t="str">
        <f t="shared" si="5"/>
        <v>BR_IMC_DSY_LANCH_ND_NC_2020Q3AUG_NVS_Nivus-Launch-Consideracao</v>
      </c>
      <c r="AY646" s="28" t="str">
        <f t="shared" si="6"/>
        <v>#N/A</v>
      </c>
      <c r="AZ646" s="22" t="s">
        <v>107</v>
      </c>
      <c r="BA646" s="22" t="s">
        <v>108</v>
      </c>
      <c r="BB646" s="31" t="s">
        <v>109</v>
      </c>
      <c r="BC646" s="31" t="s">
        <v>109</v>
      </c>
      <c r="BD646" s="32" t="str">
        <f t="shared" si="8"/>
        <v>nvl-nvs-imc-dsy-0820-10640</v>
      </c>
      <c r="BE646" s="33"/>
      <c r="BF646" s="33"/>
      <c r="BG646" s="39" t="str">
        <f>URL&amp;IF(ISNUMBER(FIND("?",URL)),"&amp;","?"&amp;("adlid="&amp;Unique_ID&amp;"&amp;adplt="&amp;Placement))</f>
        <v>#N/A</v>
      </c>
      <c r="BH646" s="1"/>
      <c r="BI646" s="1"/>
      <c r="BJ646" s="35" t="str">
        <f>LOWER("alp"&amp;"_"&amp;"vw"&amp;"_"&amp;Veiculo&amp;"_"&amp;C642&amp;"_"&amp;Objetivo)</f>
        <v>alp_vw___</v>
      </c>
      <c r="BK646" s="35" t="str">
        <f>LOWER(Buying_Metric&amp;"_"&amp;VLOOKUP(Buying_Type,Buy_type,2,FALSE)&amp;"_"&amp;Device&amp;"_"&amp;Size&amp;"_"&amp;Segmentação&amp;"_"&amp;Segmentação_Anúncio)</f>
        <v>#N/A</v>
      </c>
      <c r="BL646" s="35" t="str">
        <f>LOWER(Campanha_ou_InsertionOrder&amp;"_"&amp;LineItem_ou_Grupodeanúncio&amp;"_"&amp;Linha_criativa_2&amp;"_"&amp;Unique_ID)</f>
        <v>#N/A</v>
      </c>
      <c r="BM646" s="27"/>
      <c r="BN646" s="27"/>
    </row>
    <row r="647">
      <c r="A647" s="1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8" t="str">
        <f>LOWER(Campanha_ou_InsertionOrder&amp;"_"&amp;LineItem_ou_Grupodeanúncio&amp;"_"&amp;Linha_Criativa&amp;"_"&amp;Unique_ID)</f>
        <v>#N/A</v>
      </c>
      <c r="AN647" s="28" t="str">
        <f>LOWER(Campanha_ou_InsertionOrder&amp;"_"&amp;LineItem_ou_Grupodeanúncio&amp;"_"&amp;Linha_Criativa&amp;"_"&amp;Unique_ID)</f>
        <v>#N/A</v>
      </c>
      <c r="AO647" s="28" t="str">
        <f>LOWER("VW"&amp;"_"&amp;Model_Variant&amp;"_"&amp;Size&amp;"_"&amp;Linha_Criativa&amp;"_"&amp;IF(Servido_Por="portal",Veiculo,"adserver"))</f>
        <v>vw____adserver</v>
      </c>
      <c r="AP6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7" s="22" t="str">
        <f t="shared" si="1"/>
        <v/>
      </c>
      <c r="AS647" s="22" t="str">
        <f t="shared" si="2"/>
        <v/>
      </c>
      <c r="AT647" s="22" t="str">
        <f t="shared" si="3"/>
        <v>BR_IMC_DSY_LANCH_ND_NC_2020Q3AUG_NVS_Nivus-Launch-Consideracao</v>
      </c>
      <c r="AU647" s="22" t="str">
        <f t="shared" si="4"/>
        <v>#N/A</v>
      </c>
      <c r="AV647" s="22" t="s">
        <v>106</v>
      </c>
      <c r="AW6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7" s="22" t="str">
        <f t="shared" si="5"/>
        <v>BR_IMC_DSY_LANCH_ND_NC_2020Q3AUG_NVS_Nivus-Launch-Consideracao</v>
      </c>
      <c r="AY647" s="28" t="str">
        <f t="shared" si="6"/>
        <v>#N/A</v>
      </c>
      <c r="AZ647" s="22" t="s">
        <v>107</v>
      </c>
      <c r="BA647" s="22" t="s">
        <v>108</v>
      </c>
      <c r="BB647" s="31" t="s">
        <v>109</v>
      </c>
      <c r="BC647" s="31" t="s">
        <v>109</v>
      </c>
      <c r="BD647" s="32" t="str">
        <f t="shared" si="8"/>
        <v>nvl-nvs-imc-dsy-0820-10641</v>
      </c>
      <c r="BE647" s="33"/>
      <c r="BF647" s="33"/>
      <c r="BG647" s="39" t="str">
        <f>URL&amp;IF(ISNUMBER(FIND("?",URL)),"&amp;","?"&amp;("adlid="&amp;Unique_ID&amp;"&amp;adplt="&amp;Placement))</f>
        <v>#N/A</v>
      </c>
      <c r="BH647" s="1"/>
      <c r="BI647" s="1"/>
      <c r="BJ647" s="35" t="str">
        <f>LOWER("alp"&amp;"_"&amp;"vw"&amp;"_"&amp;Veiculo&amp;"_"&amp;C643&amp;"_"&amp;Objetivo)</f>
        <v>alp_vw___</v>
      </c>
      <c r="BK647" s="35" t="str">
        <f>LOWER(Buying_Metric&amp;"_"&amp;VLOOKUP(Buying_Type,Buy_type,2,FALSE)&amp;"_"&amp;Device&amp;"_"&amp;Size&amp;"_"&amp;Segmentação&amp;"_"&amp;Segmentação_Anúncio)</f>
        <v>#N/A</v>
      </c>
      <c r="BL647" s="35" t="str">
        <f>LOWER(Campanha_ou_InsertionOrder&amp;"_"&amp;LineItem_ou_Grupodeanúncio&amp;"_"&amp;Linha_criativa_2&amp;"_"&amp;Unique_ID)</f>
        <v>#N/A</v>
      </c>
      <c r="BM647" s="27"/>
      <c r="BN647" s="27"/>
    </row>
    <row r="648">
      <c r="A648" s="1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8" t="str">
        <f>LOWER(Campanha_ou_InsertionOrder&amp;"_"&amp;LineItem_ou_Grupodeanúncio&amp;"_"&amp;Linha_Criativa&amp;"_"&amp;Unique_ID)</f>
        <v>#N/A</v>
      </c>
      <c r="AN648" s="28" t="str">
        <f>LOWER(Campanha_ou_InsertionOrder&amp;"_"&amp;LineItem_ou_Grupodeanúncio&amp;"_"&amp;Linha_Criativa&amp;"_"&amp;Unique_ID)</f>
        <v>#N/A</v>
      </c>
      <c r="AO648" s="28" t="str">
        <f>LOWER("VW"&amp;"_"&amp;Model_Variant&amp;"_"&amp;Size&amp;"_"&amp;Linha_Criativa&amp;"_"&amp;IF(Servido_Por="portal",Veiculo,"adserver"))</f>
        <v>vw____adserver</v>
      </c>
      <c r="AP6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8" s="22" t="str">
        <f t="shared" si="1"/>
        <v/>
      </c>
      <c r="AS648" s="22" t="str">
        <f t="shared" si="2"/>
        <v/>
      </c>
      <c r="AT648" s="22" t="str">
        <f t="shared" si="3"/>
        <v>BR_IMC_DSY_LANCH_ND_NC_2020Q3AUG_NVS_Nivus-Launch-Consideracao</v>
      </c>
      <c r="AU648" s="22" t="str">
        <f t="shared" si="4"/>
        <v>#N/A</v>
      </c>
      <c r="AV648" s="22" t="s">
        <v>106</v>
      </c>
      <c r="AW6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8" s="22" t="str">
        <f t="shared" si="5"/>
        <v>BR_IMC_DSY_LANCH_ND_NC_2020Q3AUG_NVS_Nivus-Launch-Consideracao</v>
      </c>
      <c r="AY648" s="28" t="str">
        <f t="shared" si="6"/>
        <v>#N/A</v>
      </c>
      <c r="AZ648" s="22" t="s">
        <v>107</v>
      </c>
      <c r="BA648" s="22" t="s">
        <v>108</v>
      </c>
      <c r="BB648" s="31" t="s">
        <v>109</v>
      </c>
      <c r="BC648" s="31" t="s">
        <v>109</v>
      </c>
      <c r="BD648" s="32" t="str">
        <f t="shared" si="8"/>
        <v>nvl-nvs-imc-dsy-0820-10642</v>
      </c>
      <c r="BE648" s="33"/>
      <c r="BF648" s="33"/>
      <c r="BG648" s="39" t="str">
        <f>URL&amp;IF(ISNUMBER(FIND("?",URL)),"&amp;","?"&amp;("adlid="&amp;Unique_ID&amp;"&amp;adplt="&amp;Placement))</f>
        <v>#N/A</v>
      </c>
      <c r="BH648" s="1"/>
      <c r="BI648" s="1"/>
      <c r="BJ648" s="35" t="str">
        <f>LOWER("alp"&amp;"_"&amp;"vw"&amp;"_"&amp;Veiculo&amp;"_"&amp;C644&amp;"_"&amp;Objetivo)</f>
        <v>alp_vw___</v>
      </c>
      <c r="BK648" s="35" t="str">
        <f>LOWER(Buying_Metric&amp;"_"&amp;VLOOKUP(Buying_Type,Buy_type,2,FALSE)&amp;"_"&amp;Device&amp;"_"&amp;Size&amp;"_"&amp;Segmentação&amp;"_"&amp;Segmentação_Anúncio)</f>
        <v>#N/A</v>
      </c>
      <c r="BL648" s="35" t="str">
        <f>LOWER(Campanha_ou_InsertionOrder&amp;"_"&amp;LineItem_ou_Grupodeanúncio&amp;"_"&amp;Linha_criativa_2&amp;"_"&amp;Unique_ID)</f>
        <v>#N/A</v>
      </c>
      <c r="BM648" s="27"/>
      <c r="BN648" s="27"/>
    </row>
    <row r="649">
      <c r="A649" s="1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8" t="str">
        <f>LOWER(Campanha_ou_InsertionOrder&amp;"_"&amp;LineItem_ou_Grupodeanúncio&amp;"_"&amp;Linha_Criativa&amp;"_"&amp;Unique_ID)</f>
        <v>#N/A</v>
      </c>
      <c r="AN649" s="28" t="str">
        <f>LOWER(Campanha_ou_InsertionOrder&amp;"_"&amp;LineItem_ou_Grupodeanúncio&amp;"_"&amp;Linha_Criativa&amp;"_"&amp;Unique_ID)</f>
        <v>#N/A</v>
      </c>
      <c r="AO649" s="28" t="str">
        <f>LOWER("VW"&amp;"_"&amp;Model_Variant&amp;"_"&amp;Size&amp;"_"&amp;Linha_Criativa&amp;"_"&amp;IF(Servido_Por="portal",Veiculo,"adserver"))</f>
        <v>vw____adserver</v>
      </c>
      <c r="AP6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49" s="22" t="str">
        <f t="shared" si="1"/>
        <v/>
      </c>
      <c r="AS649" s="22" t="str">
        <f t="shared" si="2"/>
        <v/>
      </c>
      <c r="AT649" s="22" t="str">
        <f t="shared" si="3"/>
        <v>BR_IMC_DSY_LANCH_ND_NC_2020Q3AUG_NVS_Nivus-Launch-Consideracao</v>
      </c>
      <c r="AU649" s="22" t="str">
        <f t="shared" si="4"/>
        <v>#N/A</v>
      </c>
      <c r="AV649" s="22" t="s">
        <v>106</v>
      </c>
      <c r="AW6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49" s="22" t="str">
        <f t="shared" si="5"/>
        <v>BR_IMC_DSY_LANCH_ND_NC_2020Q3AUG_NVS_Nivus-Launch-Consideracao</v>
      </c>
      <c r="AY649" s="28" t="str">
        <f t="shared" si="6"/>
        <v>#N/A</v>
      </c>
      <c r="AZ649" s="22" t="s">
        <v>107</v>
      </c>
      <c r="BA649" s="22" t="s">
        <v>108</v>
      </c>
      <c r="BB649" s="31" t="s">
        <v>109</v>
      </c>
      <c r="BC649" s="31" t="s">
        <v>109</v>
      </c>
      <c r="BD649" s="32" t="str">
        <f t="shared" si="8"/>
        <v>nvl-nvs-imc-dsy-0820-10643</v>
      </c>
      <c r="BE649" s="33"/>
      <c r="BF649" s="33"/>
      <c r="BG649" s="39" t="str">
        <f>URL&amp;IF(ISNUMBER(FIND("?",URL)),"&amp;","?"&amp;("adlid="&amp;Unique_ID&amp;"&amp;adplt="&amp;Placement))</f>
        <v>#N/A</v>
      </c>
      <c r="BH649" s="1"/>
      <c r="BI649" s="1"/>
      <c r="BJ649" s="35" t="str">
        <f>LOWER("alp"&amp;"_"&amp;"vw"&amp;"_"&amp;Veiculo&amp;"_"&amp;C645&amp;"_"&amp;Objetivo)</f>
        <v>alp_vw___</v>
      </c>
      <c r="BK649" s="35" t="str">
        <f>LOWER(Buying_Metric&amp;"_"&amp;VLOOKUP(Buying_Type,Buy_type,2,FALSE)&amp;"_"&amp;Device&amp;"_"&amp;Size&amp;"_"&amp;Segmentação&amp;"_"&amp;Segmentação_Anúncio)</f>
        <v>#N/A</v>
      </c>
      <c r="BL649" s="35" t="str">
        <f>LOWER(Campanha_ou_InsertionOrder&amp;"_"&amp;LineItem_ou_Grupodeanúncio&amp;"_"&amp;Linha_criativa_2&amp;"_"&amp;Unique_ID)</f>
        <v>#N/A</v>
      </c>
      <c r="BM649" s="27"/>
      <c r="BN649" s="27"/>
    </row>
    <row r="650">
      <c r="A650" s="1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8" t="str">
        <f>LOWER(Campanha_ou_InsertionOrder&amp;"_"&amp;LineItem_ou_Grupodeanúncio&amp;"_"&amp;Linha_Criativa&amp;"_"&amp;Unique_ID)</f>
        <v>#N/A</v>
      </c>
      <c r="AN650" s="28" t="str">
        <f>LOWER(Campanha_ou_InsertionOrder&amp;"_"&amp;LineItem_ou_Grupodeanúncio&amp;"_"&amp;Linha_Criativa&amp;"_"&amp;Unique_ID)</f>
        <v>#N/A</v>
      </c>
      <c r="AO650" s="28" t="str">
        <f>LOWER("VW"&amp;"_"&amp;Model_Variant&amp;"_"&amp;Size&amp;"_"&amp;Linha_Criativa&amp;"_"&amp;IF(Servido_Por="portal",Veiculo,"adserver"))</f>
        <v>vw____adserver</v>
      </c>
      <c r="AP6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0" s="22" t="str">
        <f t="shared" si="1"/>
        <v/>
      </c>
      <c r="AS650" s="22" t="str">
        <f t="shared" si="2"/>
        <v/>
      </c>
      <c r="AT650" s="22" t="str">
        <f t="shared" si="3"/>
        <v>BR_IMC_DSY_LANCH_ND_NC_2020Q3AUG_NVS_Nivus-Launch-Consideracao</v>
      </c>
      <c r="AU650" s="22" t="str">
        <f t="shared" si="4"/>
        <v>#N/A</v>
      </c>
      <c r="AV650" s="22" t="s">
        <v>106</v>
      </c>
      <c r="AW6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0" s="22" t="str">
        <f t="shared" si="5"/>
        <v>BR_IMC_DSY_LANCH_ND_NC_2020Q3AUG_NVS_Nivus-Launch-Consideracao</v>
      </c>
      <c r="AY650" s="28" t="str">
        <f t="shared" si="6"/>
        <v>#N/A</v>
      </c>
      <c r="AZ650" s="22" t="s">
        <v>107</v>
      </c>
      <c r="BA650" s="22" t="s">
        <v>108</v>
      </c>
      <c r="BB650" s="31" t="s">
        <v>109</v>
      </c>
      <c r="BC650" s="31" t="s">
        <v>109</v>
      </c>
      <c r="BD650" s="32" t="str">
        <f t="shared" si="8"/>
        <v>nvl-nvs-imc-dsy-0820-10644</v>
      </c>
      <c r="BE650" s="33"/>
      <c r="BF650" s="33"/>
      <c r="BG650" s="39" t="str">
        <f>URL&amp;IF(ISNUMBER(FIND("?",URL)),"&amp;","?"&amp;("adlid="&amp;Unique_ID&amp;"&amp;adplt="&amp;Placement))</f>
        <v>#N/A</v>
      </c>
      <c r="BH650" s="1"/>
      <c r="BI650" s="1"/>
      <c r="BJ650" s="35" t="str">
        <f>LOWER("alp"&amp;"_"&amp;"vw"&amp;"_"&amp;Veiculo&amp;"_"&amp;C646&amp;"_"&amp;Objetivo)</f>
        <v>alp_vw___</v>
      </c>
      <c r="BK650" s="35" t="str">
        <f>LOWER(Buying_Metric&amp;"_"&amp;VLOOKUP(Buying_Type,Buy_type,2,FALSE)&amp;"_"&amp;Device&amp;"_"&amp;Size&amp;"_"&amp;Segmentação&amp;"_"&amp;Segmentação_Anúncio)</f>
        <v>#N/A</v>
      </c>
      <c r="BL650" s="35" t="str">
        <f>LOWER(Campanha_ou_InsertionOrder&amp;"_"&amp;LineItem_ou_Grupodeanúncio&amp;"_"&amp;Linha_criativa_2&amp;"_"&amp;Unique_ID)</f>
        <v>#N/A</v>
      </c>
      <c r="BM650" s="27"/>
      <c r="BN650" s="27"/>
    </row>
    <row r="651">
      <c r="A651" s="1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8" t="str">
        <f>LOWER(Campanha_ou_InsertionOrder&amp;"_"&amp;LineItem_ou_Grupodeanúncio&amp;"_"&amp;Linha_Criativa&amp;"_"&amp;Unique_ID)</f>
        <v>#N/A</v>
      </c>
      <c r="AN651" s="28" t="str">
        <f>LOWER(Campanha_ou_InsertionOrder&amp;"_"&amp;LineItem_ou_Grupodeanúncio&amp;"_"&amp;Linha_Criativa&amp;"_"&amp;Unique_ID)</f>
        <v>#N/A</v>
      </c>
      <c r="AO651" s="28" t="str">
        <f>LOWER("VW"&amp;"_"&amp;Model_Variant&amp;"_"&amp;Size&amp;"_"&amp;Linha_Criativa&amp;"_"&amp;IF(Servido_Por="portal",Veiculo,"adserver"))</f>
        <v>vw____adserver</v>
      </c>
      <c r="AP6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1" s="22" t="str">
        <f t="shared" si="1"/>
        <v/>
      </c>
      <c r="AS651" s="22" t="str">
        <f t="shared" si="2"/>
        <v/>
      </c>
      <c r="AT651" s="22" t="str">
        <f t="shared" si="3"/>
        <v>BR_IMC_DSY_LANCH_ND_NC_2020Q3AUG_NVS_Nivus-Launch-Consideracao</v>
      </c>
      <c r="AU651" s="22" t="str">
        <f t="shared" si="4"/>
        <v>#N/A</v>
      </c>
      <c r="AV651" s="22" t="s">
        <v>106</v>
      </c>
      <c r="AW6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1" s="22" t="str">
        <f t="shared" si="5"/>
        <v>BR_IMC_DSY_LANCH_ND_NC_2020Q3AUG_NVS_Nivus-Launch-Consideracao</v>
      </c>
      <c r="AY651" s="28" t="str">
        <f t="shared" si="6"/>
        <v>#N/A</v>
      </c>
      <c r="AZ651" s="22" t="s">
        <v>107</v>
      </c>
      <c r="BA651" s="22" t="s">
        <v>108</v>
      </c>
      <c r="BB651" s="31" t="s">
        <v>109</v>
      </c>
      <c r="BC651" s="31" t="s">
        <v>109</v>
      </c>
      <c r="BD651" s="32" t="str">
        <f t="shared" si="8"/>
        <v>nvl-nvs-imc-dsy-0820-10645</v>
      </c>
      <c r="BE651" s="33"/>
      <c r="BF651" s="33"/>
      <c r="BG651" s="39" t="str">
        <f>URL&amp;IF(ISNUMBER(FIND("?",URL)),"&amp;","?"&amp;("adlid="&amp;Unique_ID&amp;"&amp;adplt="&amp;Placement))</f>
        <v>#N/A</v>
      </c>
      <c r="BH651" s="1"/>
      <c r="BI651" s="1"/>
      <c r="BJ651" s="35" t="str">
        <f>LOWER("alp"&amp;"_"&amp;"vw"&amp;"_"&amp;Veiculo&amp;"_"&amp;C647&amp;"_"&amp;Objetivo)</f>
        <v>alp_vw___</v>
      </c>
      <c r="BK651" s="35" t="str">
        <f>LOWER(Buying_Metric&amp;"_"&amp;VLOOKUP(Buying_Type,Buy_type,2,FALSE)&amp;"_"&amp;Device&amp;"_"&amp;Size&amp;"_"&amp;Segmentação&amp;"_"&amp;Segmentação_Anúncio)</f>
        <v>#N/A</v>
      </c>
      <c r="BL651" s="35" t="str">
        <f>LOWER(Campanha_ou_InsertionOrder&amp;"_"&amp;LineItem_ou_Grupodeanúncio&amp;"_"&amp;Linha_criativa_2&amp;"_"&amp;Unique_ID)</f>
        <v>#N/A</v>
      </c>
      <c r="BM651" s="27"/>
      <c r="BN651" s="27"/>
    </row>
    <row r="652">
      <c r="A652" s="1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8" t="str">
        <f>LOWER(Campanha_ou_InsertionOrder&amp;"_"&amp;LineItem_ou_Grupodeanúncio&amp;"_"&amp;Linha_Criativa&amp;"_"&amp;Unique_ID)</f>
        <v>#N/A</v>
      </c>
      <c r="AN652" s="28" t="str">
        <f>LOWER(Campanha_ou_InsertionOrder&amp;"_"&amp;LineItem_ou_Grupodeanúncio&amp;"_"&amp;Linha_Criativa&amp;"_"&amp;Unique_ID)</f>
        <v>#N/A</v>
      </c>
      <c r="AO652" s="28" t="str">
        <f>LOWER("VW"&amp;"_"&amp;Model_Variant&amp;"_"&amp;Size&amp;"_"&amp;Linha_Criativa&amp;"_"&amp;IF(Servido_Por="portal",Veiculo,"adserver"))</f>
        <v>vw____adserver</v>
      </c>
      <c r="AP6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2" s="22" t="str">
        <f t="shared" si="1"/>
        <v/>
      </c>
      <c r="AS652" s="22" t="str">
        <f t="shared" si="2"/>
        <v/>
      </c>
      <c r="AT652" s="22" t="str">
        <f t="shared" si="3"/>
        <v>BR_IMC_DSY_LANCH_ND_NC_2020Q3AUG_NVS_Nivus-Launch-Consideracao</v>
      </c>
      <c r="AU652" s="22" t="str">
        <f t="shared" si="4"/>
        <v>#N/A</v>
      </c>
      <c r="AV652" s="22" t="s">
        <v>106</v>
      </c>
      <c r="AW6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2" s="22" t="str">
        <f t="shared" si="5"/>
        <v>BR_IMC_DSY_LANCH_ND_NC_2020Q3AUG_NVS_Nivus-Launch-Consideracao</v>
      </c>
      <c r="AY652" s="28" t="str">
        <f t="shared" si="6"/>
        <v>#N/A</v>
      </c>
      <c r="AZ652" s="22" t="s">
        <v>107</v>
      </c>
      <c r="BA652" s="22" t="s">
        <v>108</v>
      </c>
      <c r="BB652" s="31" t="s">
        <v>109</v>
      </c>
      <c r="BC652" s="31" t="s">
        <v>109</v>
      </c>
      <c r="BD652" s="32" t="str">
        <f t="shared" si="8"/>
        <v>nvl-nvs-imc-dsy-0820-10646</v>
      </c>
      <c r="BE652" s="33"/>
      <c r="BF652" s="33"/>
      <c r="BG652" s="39" t="str">
        <f>URL&amp;IF(ISNUMBER(FIND("?",URL)),"&amp;","?"&amp;("adlid="&amp;Unique_ID&amp;"&amp;adplt="&amp;Placement))</f>
        <v>#N/A</v>
      </c>
      <c r="BH652" s="1"/>
      <c r="BI652" s="1"/>
      <c r="BJ652" s="35" t="str">
        <f>LOWER("alp"&amp;"_"&amp;"vw"&amp;"_"&amp;Veiculo&amp;"_"&amp;C648&amp;"_"&amp;Objetivo)</f>
        <v>alp_vw___</v>
      </c>
      <c r="BK652" s="35" t="str">
        <f>LOWER(Buying_Metric&amp;"_"&amp;VLOOKUP(Buying_Type,Buy_type,2,FALSE)&amp;"_"&amp;Device&amp;"_"&amp;Size&amp;"_"&amp;Segmentação&amp;"_"&amp;Segmentação_Anúncio)</f>
        <v>#N/A</v>
      </c>
      <c r="BL652" s="35" t="str">
        <f>LOWER(Campanha_ou_InsertionOrder&amp;"_"&amp;LineItem_ou_Grupodeanúncio&amp;"_"&amp;Linha_criativa_2&amp;"_"&amp;Unique_ID)</f>
        <v>#N/A</v>
      </c>
      <c r="BM652" s="27"/>
      <c r="BN652" s="27"/>
    </row>
    <row r="653">
      <c r="A653" s="1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8" t="str">
        <f>LOWER(Campanha_ou_InsertionOrder&amp;"_"&amp;LineItem_ou_Grupodeanúncio&amp;"_"&amp;Linha_Criativa&amp;"_"&amp;Unique_ID)</f>
        <v>#N/A</v>
      </c>
      <c r="AN653" s="28" t="str">
        <f>LOWER(Campanha_ou_InsertionOrder&amp;"_"&amp;LineItem_ou_Grupodeanúncio&amp;"_"&amp;Linha_Criativa&amp;"_"&amp;Unique_ID)</f>
        <v>#N/A</v>
      </c>
      <c r="AO653" s="28" t="str">
        <f>LOWER("VW"&amp;"_"&amp;Model_Variant&amp;"_"&amp;Size&amp;"_"&amp;Linha_Criativa&amp;"_"&amp;IF(Servido_Por="portal",Veiculo,"adserver"))</f>
        <v>vw____adserver</v>
      </c>
      <c r="AP6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3" s="22" t="str">
        <f t="shared" si="1"/>
        <v/>
      </c>
      <c r="AS653" s="22" t="str">
        <f t="shared" si="2"/>
        <v/>
      </c>
      <c r="AT653" s="22" t="str">
        <f t="shared" si="3"/>
        <v>BR_IMC_DSY_LANCH_ND_NC_2020Q3AUG_NVS_Nivus-Launch-Consideracao</v>
      </c>
      <c r="AU653" s="22" t="str">
        <f t="shared" si="4"/>
        <v>#N/A</v>
      </c>
      <c r="AV653" s="22" t="s">
        <v>106</v>
      </c>
      <c r="AW6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3" s="22" t="str">
        <f t="shared" si="5"/>
        <v>BR_IMC_DSY_LANCH_ND_NC_2020Q3AUG_NVS_Nivus-Launch-Consideracao</v>
      </c>
      <c r="AY653" s="28" t="str">
        <f t="shared" si="6"/>
        <v>#N/A</v>
      </c>
      <c r="AZ653" s="22" t="s">
        <v>107</v>
      </c>
      <c r="BA653" s="22" t="s">
        <v>108</v>
      </c>
      <c r="BB653" s="31" t="s">
        <v>109</v>
      </c>
      <c r="BC653" s="31" t="s">
        <v>109</v>
      </c>
      <c r="BD653" s="32" t="str">
        <f t="shared" si="8"/>
        <v>nvl-nvs-imc-dsy-0820-10647</v>
      </c>
      <c r="BE653" s="33"/>
      <c r="BF653" s="33"/>
      <c r="BG653" s="39" t="str">
        <f>URL&amp;IF(ISNUMBER(FIND("?",URL)),"&amp;","?"&amp;("adlid="&amp;Unique_ID&amp;"&amp;adplt="&amp;Placement))</f>
        <v>#N/A</v>
      </c>
      <c r="BH653" s="1"/>
      <c r="BI653" s="1"/>
      <c r="BJ653" s="35" t="str">
        <f>LOWER("alp"&amp;"_"&amp;"vw"&amp;"_"&amp;Veiculo&amp;"_"&amp;C649&amp;"_"&amp;Objetivo)</f>
        <v>alp_vw___</v>
      </c>
      <c r="BK653" s="35" t="str">
        <f>LOWER(Buying_Metric&amp;"_"&amp;VLOOKUP(Buying_Type,Buy_type,2,FALSE)&amp;"_"&amp;Device&amp;"_"&amp;Size&amp;"_"&amp;Segmentação&amp;"_"&amp;Segmentação_Anúncio)</f>
        <v>#N/A</v>
      </c>
      <c r="BL653" s="35" t="str">
        <f>LOWER(Campanha_ou_InsertionOrder&amp;"_"&amp;LineItem_ou_Grupodeanúncio&amp;"_"&amp;Linha_criativa_2&amp;"_"&amp;Unique_ID)</f>
        <v>#N/A</v>
      </c>
      <c r="BM653" s="27"/>
      <c r="BN653" s="27"/>
    </row>
    <row r="654">
      <c r="A654" s="1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8" t="str">
        <f>LOWER(Campanha_ou_InsertionOrder&amp;"_"&amp;LineItem_ou_Grupodeanúncio&amp;"_"&amp;Linha_Criativa&amp;"_"&amp;Unique_ID)</f>
        <v>#N/A</v>
      </c>
      <c r="AN654" s="28" t="str">
        <f>LOWER(Campanha_ou_InsertionOrder&amp;"_"&amp;LineItem_ou_Grupodeanúncio&amp;"_"&amp;Linha_Criativa&amp;"_"&amp;Unique_ID)</f>
        <v>#N/A</v>
      </c>
      <c r="AO654" s="28" t="str">
        <f>LOWER("VW"&amp;"_"&amp;Model_Variant&amp;"_"&amp;Size&amp;"_"&amp;Linha_Criativa&amp;"_"&amp;IF(Servido_Por="portal",Veiculo,"adserver"))</f>
        <v>vw____adserver</v>
      </c>
      <c r="AP6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4" s="22" t="str">
        <f t="shared" si="1"/>
        <v/>
      </c>
      <c r="AS654" s="22" t="str">
        <f t="shared" si="2"/>
        <v/>
      </c>
      <c r="AT654" s="22" t="str">
        <f t="shared" si="3"/>
        <v>BR_IMC_DSY_LANCH_ND_NC_2020Q3AUG_NVS_Nivus-Launch-Consideracao</v>
      </c>
      <c r="AU654" s="22" t="str">
        <f t="shared" si="4"/>
        <v>#N/A</v>
      </c>
      <c r="AV654" s="22" t="s">
        <v>106</v>
      </c>
      <c r="AW6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4" s="22" t="str">
        <f t="shared" si="5"/>
        <v>BR_IMC_DSY_LANCH_ND_NC_2020Q3AUG_NVS_Nivus-Launch-Consideracao</v>
      </c>
      <c r="AY654" s="28" t="str">
        <f t="shared" si="6"/>
        <v>#N/A</v>
      </c>
      <c r="AZ654" s="22" t="s">
        <v>107</v>
      </c>
      <c r="BA654" s="22" t="s">
        <v>108</v>
      </c>
      <c r="BB654" s="31" t="s">
        <v>109</v>
      </c>
      <c r="BC654" s="31" t="s">
        <v>109</v>
      </c>
      <c r="BD654" s="32" t="str">
        <f t="shared" si="8"/>
        <v>nvl-nvs-imc-dsy-0820-10648</v>
      </c>
      <c r="BE654" s="33"/>
      <c r="BF654" s="33"/>
      <c r="BG654" s="39" t="str">
        <f>URL&amp;IF(ISNUMBER(FIND("?",URL)),"&amp;","?"&amp;("adlid="&amp;Unique_ID&amp;"&amp;adplt="&amp;Placement))</f>
        <v>#N/A</v>
      </c>
      <c r="BH654" s="1"/>
      <c r="BI654" s="1"/>
      <c r="BJ654" s="35" t="str">
        <f>LOWER("alp"&amp;"_"&amp;"vw"&amp;"_"&amp;Veiculo&amp;"_"&amp;C650&amp;"_"&amp;Objetivo)</f>
        <v>alp_vw___</v>
      </c>
      <c r="BK654" s="35" t="str">
        <f>LOWER(Buying_Metric&amp;"_"&amp;VLOOKUP(Buying_Type,Buy_type,2,FALSE)&amp;"_"&amp;Device&amp;"_"&amp;Size&amp;"_"&amp;Segmentação&amp;"_"&amp;Segmentação_Anúncio)</f>
        <v>#N/A</v>
      </c>
      <c r="BL654" s="35" t="str">
        <f>LOWER(Campanha_ou_InsertionOrder&amp;"_"&amp;LineItem_ou_Grupodeanúncio&amp;"_"&amp;Linha_criativa_2&amp;"_"&amp;Unique_ID)</f>
        <v>#N/A</v>
      </c>
      <c r="BM654" s="27"/>
      <c r="BN654" s="27"/>
    </row>
    <row r="655">
      <c r="A655" s="1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8" t="str">
        <f>LOWER(Campanha_ou_InsertionOrder&amp;"_"&amp;LineItem_ou_Grupodeanúncio&amp;"_"&amp;Linha_Criativa&amp;"_"&amp;Unique_ID)</f>
        <v>#N/A</v>
      </c>
      <c r="AN655" s="28" t="str">
        <f>LOWER(Campanha_ou_InsertionOrder&amp;"_"&amp;LineItem_ou_Grupodeanúncio&amp;"_"&amp;Linha_Criativa&amp;"_"&amp;Unique_ID)</f>
        <v>#N/A</v>
      </c>
      <c r="AO655" s="28" t="str">
        <f>LOWER("VW"&amp;"_"&amp;Model_Variant&amp;"_"&amp;Size&amp;"_"&amp;Linha_Criativa&amp;"_"&amp;IF(Servido_Por="portal",Veiculo,"adserver"))</f>
        <v>vw____adserver</v>
      </c>
      <c r="AP6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5" s="22" t="str">
        <f t="shared" si="1"/>
        <v/>
      </c>
      <c r="AS655" s="22" t="str">
        <f t="shared" si="2"/>
        <v/>
      </c>
      <c r="AT655" s="22" t="str">
        <f t="shared" si="3"/>
        <v>BR_IMC_DSY_LANCH_ND_NC_2020Q3AUG_NVS_Nivus-Launch-Consideracao</v>
      </c>
      <c r="AU655" s="22" t="str">
        <f t="shared" si="4"/>
        <v>#N/A</v>
      </c>
      <c r="AV655" s="22" t="s">
        <v>106</v>
      </c>
      <c r="AW6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5" s="22" t="str">
        <f t="shared" si="5"/>
        <v>BR_IMC_DSY_LANCH_ND_NC_2020Q3AUG_NVS_Nivus-Launch-Consideracao</v>
      </c>
      <c r="AY655" s="28" t="str">
        <f t="shared" si="6"/>
        <v>#N/A</v>
      </c>
      <c r="AZ655" s="22" t="s">
        <v>107</v>
      </c>
      <c r="BA655" s="22" t="s">
        <v>108</v>
      </c>
      <c r="BB655" s="31" t="s">
        <v>109</v>
      </c>
      <c r="BC655" s="31" t="s">
        <v>109</v>
      </c>
      <c r="BD655" s="32" t="str">
        <f t="shared" si="8"/>
        <v>nvl-nvs-imc-dsy-0820-10649</v>
      </c>
      <c r="BE655" s="33"/>
      <c r="BF655" s="33"/>
      <c r="BG655" s="39" t="str">
        <f>URL&amp;IF(ISNUMBER(FIND("?",URL)),"&amp;","?"&amp;("adlid="&amp;Unique_ID&amp;"&amp;adplt="&amp;Placement))</f>
        <v>#N/A</v>
      </c>
      <c r="BH655" s="1"/>
      <c r="BI655" s="1"/>
      <c r="BJ655" s="35" t="str">
        <f>LOWER("alp"&amp;"_"&amp;"vw"&amp;"_"&amp;Veiculo&amp;"_"&amp;C651&amp;"_"&amp;Objetivo)</f>
        <v>alp_vw___</v>
      </c>
      <c r="BK655" s="35" t="str">
        <f>LOWER(Buying_Metric&amp;"_"&amp;VLOOKUP(Buying_Type,Buy_type,2,FALSE)&amp;"_"&amp;Device&amp;"_"&amp;Size&amp;"_"&amp;Segmentação&amp;"_"&amp;Segmentação_Anúncio)</f>
        <v>#N/A</v>
      </c>
      <c r="BL655" s="35" t="str">
        <f>LOWER(Campanha_ou_InsertionOrder&amp;"_"&amp;LineItem_ou_Grupodeanúncio&amp;"_"&amp;Linha_criativa_2&amp;"_"&amp;Unique_ID)</f>
        <v>#N/A</v>
      </c>
      <c r="BM655" s="27"/>
      <c r="BN655" s="27"/>
    </row>
    <row r="656">
      <c r="A656" s="1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8" t="str">
        <f>LOWER(Campanha_ou_InsertionOrder&amp;"_"&amp;LineItem_ou_Grupodeanúncio&amp;"_"&amp;Linha_Criativa&amp;"_"&amp;Unique_ID)</f>
        <v>#N/A</v>
      </c>
      <c r="AN656" s="28" t="str">
        <f>LOWER(Campanha_ou_InsertionOrder&amp;"_"&amp;LineItem_ou_Grupodeanúncio&amp;"_"&amp;Linha_Criativa&amp;"_"&amp;Unique_ID)</f>
        <v>#N/A</v>
      </c>
      <c r="AO656" s="28" t="str">
        <f>LOWER("VW"&amp;"_"&amp;Model_Variant&amp;"_"&amp;Size&amp;"_"&amp;Linha_Criativa&amp;"_"&amp;IF(Servido_Por="portal",Veiculo,"adserver"))</f>
        <v>vw____adserver</v>
      </c>
      <c r="AP6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6" s="22" t="str">
        <f t="shared" si="1"/>
        <v/>
      </c>
      <c r="AS656" s="22" t="str">
        <f t="shared" si="2"/>
        <v/>
      </c>
      <c r="AT656" s="22" t="str">
        <f t="shared" si="3"/>
        <v>BR_IMC_DSY_LANCH_ND_NC_2020Q3AUG_NVS_Nivus-Launch-Consideracao</v>
      </c>
      <c r="AU656" s="22" t="str">
        <f t="shared" si="4"/>
        <v>#N/A</v>
      </c>
      <c r="AV656" s="22" t="s">
        <v>106</v>
      </c>
      <c r="AW6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6" s="22" t="str">
        <f t="shared" si="5"/>
        <v>BR_IMC_DSY_LANCH_ND_NC_2020Q3AUG_NVS_Nivus-Launch-Consideracao</v>
      </c>
      <c r="AY656" s="28" t="str">
        <f t="shared" si="6"/>
        <v>#N/A</v>
      </c>
      <c r="AZ656" s="22" t="s">
        <v>107</v>
      </c>
      <c r="BA656" s="22" t="s">
        <v>108</v>
      </c>
      <c r="BB656" s="31" t="s">
        <v>109</v>
      </c>
      <c r="BC656" s="31" t="s">
        <v>109</v>
      </c>
      <c r="BD656" s="32" t="str">
        <f t="shared" si="8"/>
        <v>nvl-nvs-imc-dsy-0820-10650</v>
      </c>
      <c r="BE656" s="33"/>
      <c r="BF656" s="33"/>
      <c r="BG656" s="39" t="str">
        <f>URL&amp;IF(ISNUMBER(FIND("?",URL)),"&amp;","?"&amp;("adlid="&amp;Unique_ID&amp;"&amp;adplt="&amp;Placement))</f>
        <v>#N/A</v>
      </c>
      <c r="BH656" s="1"/>
      <c r="BI656" s="1"/>
      <c r="BJ656" s="35" t="str">
        <f>LOWER("alp"&amp;"_"&amp;"vw"&amp;"_"&amp;Veiculo&amp;"_"&amp;C652&amp;"_"&amp;Objetivo)</f>
        <v>alp_vw___</v>
      </c>
      <c r="BK656" s="35" t="str">
        <f>LOWER(Buying_Metric&amp;"_"&amp;VLOOKUP(Buying_Type,Buy_type,2,FALSE)&amp;"_"&amp;Device&amp;"_"&amp;Size&amp;"_"&amp;Segmentação&amp;"_"&amp;Segmentação_Anúncio)</f>
        <v>#N/A</v>
      </c>
      <c r="BL656" s="35" t="str">
        <f>LOWER(Campanha_ou_InsertionOrder&amp;"_"&amp;LineItem_ou_Grupodeanúncio&amp;"_"&amp;Linha_criativa_2&amp;"_"&amp;Unique_ID)</f>
        <v>#N/A</v>
      </c>
      <c r="BM656" s="27"/>
      <c r="BN656" s="27"/>
    </row>
    <row r="657">
      <c r="A657" s="1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8" t="str">
        <f>LOWER(Campanha_ou_InsertionOrder&amp;"_"&amp;LineItem_ou_Grupodeanúncio&amp;"_"&amp;Linha_Criativa&amp;"_"&amp;Unique_ID)</f>
        <v>#N/A</v>
      </c>
      <c r="AN657" s="28" t="str">
        <f>LOWER(Campanha_ou_InsertionOrder&amp;"_"&amp;LineItem_ou_Grupodeanúncio&amp;"_"&amp;Linha_Criativa&amp;"_"&amp;Unique_ID)</f>
        <v>#N/A</v>
      </c>
      <c r="AO657" s="28" t="str">
        <f>LOWER("VW"&amp;"_"&amp;Model_Variant&amp;"_"&amp;Size&amp;"_"&amp;Linha_Criativa&amp;"_"&amp;IF(Servido_Por="portal",Veiculo,"adserver"))</f>
        <v>vw____adserver</v>
      </c>
      <c r="AP6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7" s="22" t="str">
        <f t="shared" si="1"/>
        <v/>
      </c>
      <c r="AS657" s="22" t="str">
        <f t="shared" si="2"/>
        <v/>
      </c>
      <c r="AT657" s="22" t="str">
        <f t="shared" si="3"/>
        <v>BR_IMC_DSY_LANCH_ND_NC_2020Q3AUG_NVS_Nivus-Launch-Consideracao</v>
      </c>
      <c r="AU657" s="22" t="str">
        <f t="shared" si="4"/>
        <v>#N/A</v>
      </c>
      <c r="AV657" s="22" t="s">
        <v>106</v>
      </c>
      <c r="AW6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7" s="22" t="str">
        <f t="shared" si="5"/>
        <v>BR_IMC_DSY_LANCH_ND_NC_2020Q3AUG_NVS_Nivus-Launch-Consideracao</v>
      </c>
      <c r="AY657" s="28" t="str">
        <f t="shared" si="6"/>
        <v>#N/A</v>
      </c>
      <c r="AZ657" s="22" t="s">
        <v>107</v>
      </c>
      <c r="BA657" s="22" t="s">
        <v>108</v>
      </c>
      <c r="BB657" s="31" t="s">
        <v>109</v>
      </c>
      <c r="BC657" s="31" t="s">
        <v>109</v>
      </c>
      <c r="BD657" s="32" t="str">
        <f t="shared" si="8"/>
        <v>nvl-nvs-imc-dsy-0820-10651</v>
      </c>
      <c r="BE657" s="33"/>
      <c r="BF657" s="33"/>
      <c r="BG657" s="39" t="str">
        <f>URL&amp;IF(ISNUMBER(FIND("?",URL)),"&amp;","?"&amp;("adlid="&amp;Unique_ID&amp;"&amp;adplt="&amp;Placement))</f>
        <v>#N/A</v>
      </c>
      <c r="BH657" s="1"/>
      <c r="BI657" s="1"/>
      <c r="BJ657" s="35" t="str">
        <f>LOWER("alp"&amp;"_"&amp;"vw"&amp;"_"&amp;Veiculo&amp;"_"&amp;C653&amp;"_"&amp;Objetivo)</f>
        <v>alp_vw___</v>
      </c>
      <c r="BK657" s="35" t="str">
        <f>LOWER(Buying_Metric&amp;"_"&amp;VLOOKUP(Buying_Type,Buy_type,2,FALSE)&amp;"_"&amp;Device&amp;"_"&amp;Size&amp;"_"&amp;Segmentação&amp;"_"&amp;Segmentação_Anúncio)</f>
        <v>#N/A</v>
      </c>
      <c r="BL657" s="35" t="str">
        <f>LOWER(Campanha_ou_InsertionOrder&amp;"_"&amp;LineItem_ou_Grupodeanúncio&amp;"_"&amp;Linha_criativa_2&amp;"_"&amp;Unique_ID)</f>
        <v>#N/A</v>
      </c>
      <c r="BM657" s="27"/>
      <c r="BN657" s="27"/>
    </row>
    <row r="658">
      <c r="A658" s="1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8" t="str">
        <f>LOWER(Campanha_ou_InsertionOrder&amp;"_"&amp;LineItem_ou_Grupodeanúncio&amp;"_"&amp;Linha_Criativa&amp;"_"&amp;Unique_ID)</f>
        <v>#N/A</v>
      </c>
      <c r="AN658" s="28" t="str">
        <f>LOWER(Campanha_ou_InsertionOrder&amp;"_"&amp;LineItem_ou_Grupodeanúncio&amp;"_"&amp;Linha_Criativa&amp;"_"&amp;Unique_ID)</f>
        <v>#N/A</v>
      </c>
      <c r="AO658" s="28" t="str">
        <f>LOWER("VW"&amp;"_"&amp;Model_Variant&amp;"_"&amp;Size&amp;"_"&amp;Linha_Criativa&amp;"_"&amp;IF(Servido_Por="portal",Veiculo,"adserver"))</f>
        <v>vw____adserver</v>
      </c>
      <c r="AP6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8" s="22" t="str">
        <f t="shared" si="1"/>
        <v/>
      </c>
      <c r="AS658" s="22" t="str">
        <f t="shared" si="2"/>
        <v/>
      </c>
      <c r="AT658" s="22" t="str">
        <f t="shared" si="3"/>
        <v>BR_IMC_DSY_LANCH_ND_NC_2020Q3AUG_NVS_Nivus-Launch-Consideracao</v>
      </c>
      <c r="AU658" s="22" t="str">
        <f t="shared" si="4"/>
        <v>#N/A</v>
      </c>
      <c r="AV658" s="22" t="s">
        <v>106</v>
      </c>
      <c r="AW6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8" s="22" t="str">
        <f t="shared" si="5"/>
        <v>BR_IMC_DSY_LANCH_ND_NC_2020Q3AUG_NVS_Nivus-Launch-Consideracao</v>
      </c>
      <c r="AY658" s="28" t="str">
        <f t="shared" si="6"/>
        <v>#N/A</v>
      </c>
      <c r="AZ658" s="22" t="s">
        <v>107</v>
      </c>
      <c r="BA658" s="22" t="s">
        <v>108</v>
      </c>
      <c r="BB658" s="31" t="s">
        <v>109</v>
      </c>
      <c r="BC658" s="31" t="s">
        <v>109</v>
      </c>
      <c r="BD658" s="32" t="str">
        <f t="shared" si="8"/>
        <v>nvl-nvs-imc-dsy-0820-10652</v>
      </c>
      <c r="BE658" s="33"/>
      <c r="BF658" s="33"/>
      <c r="BG658" s="39" t="str">
        <f>URL&amp;IF(ISNUMBER(FIND("?",URL)),"&amp;","?"&amp;("adlid="&amp;Unique_ID&amp;"&amp;adplt="&amp;Placement))</f>
        <v>#N/A</v>
      </c>
      <c r="BH658" s="1"/>
      <c r="BI658" s="1"/>
      <c r="BJ658" s="35" t="str">
        <f>LOWER("alp"&amp;"_"&amp;"vw"&amp;"_"&amp;Veiculo&amp;"_"&amp;C654&amp;"_"&amp;Objetivo)</f>
        <v>alp_vw___</v>
      </c>
      <c r="BK658" s="35" t="str">
        <f>LOWER(Buying_Metric&amp;"_"&amp;VLOOKUP(Buying_Type,Buy_type,2,FALSE)&amp;"_"&amp;Device&amp;"_"&amp;Size&amp;"_"&amp;Segmentação&amp;"_"&amp;Segmentação_Anúncio)</f>
        <v>#N/A</v>
      </c>
      <c r="BL658" s="35" t="str">
        <f>LOWER(Campanha_ou_InsertionOrder&amp;"_"&amp;LineItem_ou_Grupodeanúncio&amp;"_"&amp;Linha_criativa_2&amp;"_"&amp;Unique_ID)</f>
        <v>#N/A</v>
      </c>
      <c r="BM658" s="27"/>
      <c r="BN658" s="27"/>
    </row>
    <row r="659">
      <c r="A659" s="1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8" t="str">
        <f>LOWER(Campanha_ou_InsertionOrder&amp;"_"&amp;LineItem_ou_Grupodeanúncio&amp;"_"&amp;Linha_Criativa&amp;"_"&amp;Unique_ID)</f>
        <v>#N/A</v>
      </c>
      <c r="AN659" s="28" t="str">
        <f>LOWER(Campanha_ou_InsertionOrder&amp;"_"&amp;LineItem_ou_Grupodeanúncio&amp;"_"&amp;Linha_Criativa&amp;"_"&amp;Unique_ID)</f>
        <v>#N/A</v>
      </c>
      <c r="AO659" s="28" t="str">
        <f>LOWER("VW"&amp;"_"&amp;Model_Variant&amp;"_"&amp;Size&amp;"_"&amp;Linha_Criativa&amp;"_"&amp;IF(Servido_Por="portal",Veiculo,"adserver"))</f>
        <v>vw____adserver</v>
      </c>
      <c r="AP6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59" s="22" t="str">
        <f t="shared" si="1"/>
        <v/>
      </c>
      <c r="AS659" s="22" t="str">
        <f t="shared" si="2"/>
        <v/>
      </c>
      <c r="AT659" s="22" t="str">
        <f t="shared" si="3"/>
        <v>BR_IMC_DSY_LANCH_ND_NC_2020Q3AUG_NVS_Nivus-Launch-Consideracao</v>
      </c>
      <c r="AU659" s="22" t="str">
        <f t="shared" si="4"/>
        <v>#N/A</v>
      </c>
      <c r="AV659" s="22" t="s">
        <v>106</v>
      </c>
      <c r="AW6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59" s="22" t="str">
        <f t="shared" si="5"/>
        <v>BR_IMC_DSY_LANCH_ND_NC_2020Q3AUG_NVS_Nivus-Launch-Consideracao</v>
      </c>
      <c r="AY659" s="28" t="str">
        <f t="shared" si="6"/>
        <v>#N/A</v>
      </c>
      <c r="AZ659" s="22" t="s">
        <v>107</v>
      </c>
      <c r="BA659" s="22" t="s">
        <v>108</v>
      </c>
      <c r="BB659" s="31" t="s">
        <v>109</v>
      </c>
      <c r="BC659" s="31" t="s">
        <v>109</v>
      </c>
      <c r="BD659" s="32" t="str">
        <f t="shared" si="8"/>
        <v>nvl-nvs-imc-dsy-0820-10653</v>
      </c>
      <c r="BE659" s="33"/>
      <c r="BF659" s="33"/>
      <c r="BG659" s="39" t="str">
        <f>URL&amp;IF(ISNUMBER(FIND("?",URL)),"&amp;","?"&amp;("adlid="&amp;Unique_ID&amp;"&amp;adplt="&amp;Placement))</f>
        <v>#N/A</v>
      </c>
      <c r="BH659" s="1"/>
      <c r="BI659" s="1"/>
      <c r="BJ659" s="35" t="str">
        <f>LOWER("alp"&amp;"_"&amp;"vw"&amp;"_"&amp;Veiculo&amp;"_"&amp;C655&amp;"_"&amp;Objetivo)</f>
        <v>alp_vw___</v>
      </c>
      <c r="BK659" s="35" t="str">
        <f>LOWER(Buying_Metric&amp;"_"&amp;VLOOKUP(Buying_Type,Buy_type,2,FALSE)&amp;"_"&amp;Device&amp;"_"&amp;Size&amp;"_"&amp;Segmentação&amp;"_"&amp;Segmentação_Anúncio)</f>
        <v>#N/A</v>
      </c>
      <c r="BL659" s="35" t="str">
        <f>LOWER(Campanha_ou_InsertionOrder&amp;"_"&amp;LineItem_ou_Grupodeanúncio&amp;"_"&amp;Linha_criativa_2&amp;"_"&amp;Unique_ID)</f>
        <v>#N/A</v>
      </c>
      <c r="BM659" s="27"/>
      <c r="BN659" s="27"/>
    </row>
    <row r="660">
      <c r="A660" s="1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8" t="str">
        <f>LOWER(Campanha_ou_InsertionOrder&amp;"_"&amp;LineItem_ou_Grupodeanúncio&amp;"_"&amp;Linha_Criativa&amp;"_"&amp;Unique_ID)</f>
        <v>#N/A</v>
      </c>
      <c r="AN660" s="28" t="str">
        <f>LOWER(Campanha_ou_InsertionOrder&amp;"_"&amp;LineItem_ou_Grupodeanúncio&amp;"_"&amp;Linha_Criativa&amp;"_"&amp;Unique_ID)</f>
        <v>#N/A</v>
      </c>
      <c r="AO660" s="28" t="str">
        <f>LOWER("VW"&amp;"_"&amp;Model_Variant&amp;"_"&amp;Size&amp;"_"&amp;Linha_Criativa&amp;"_"&amp;IF(Servido_Por="portal",Veiculo,"adserver"))</f>
        <v>vw____adserver</v>
      </c>
      <c r="AP6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0" s="22" t="str">
        <f t="shared" si="1"/>
        <v/>
      </c>
      <c r="AS660" s="22" t="str">
        <f t="shared" si="2"/>
        <v/>
      </c>
      <c r="AT660" s="22" t="str">
        <f t="shared" si="3"/>
        <v>BR_IMC_DSY_LANCH_ND_NC_2020Q3AUG_NVS_Nivus-Launch-Consideracao</v>
      </c>
      <c r="AU660" s="22" t="str">
        <f t="shared" si="4"/>
        <v>#N/A</v>
      </c>
      <c r="AV660" s="22" t="s">
        <v>106</v>
      </c>
      <c r="AW6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0" s="22" t="str">
        <f t="shared" si="5"/>
        <v>BR_IMC_DSY_LANCH_ND_NC_2020Q3AUG_NVS_Nivus-Launch-Consideracao</v>
      </c>
      <c r="AY660" s="28" t="str">
        <f t="shared" si="6"/>
        <v>#N/A</v>
      </c>
      <c r="AZ660" s="22" t="s">
        <v>107</v>
      </c>
      <c r="BA660" s="22" t="s">
        <v>108</v>
      </c>
      <c r="BB660" s="31" t="s">
        <v>109</v>
      </c>
      <c r="BC660" s="31" t="s">
        <v>109</v>
      </c>
      <c r="BD660" s="32" t="str">
        <f t="shared" si="8"/>
        <v>nvl-nvs-imc-dsy-0820-10654</v>
      </c>
      <c r="BE660" s="33"/>
      <c r="BF660" s="33"/>
      <c r="BG660" s="39" t="str">
        <f>URL&amp;IF(ISNUMBER(FIND("?",URL)),"&amp;","?"&amp;("adlid="&amp;Unique_ID&amp;"&amp;adplt="&amp;Placement))</f>
        <v>#N/A</v>
      </c>
      <c r="BH660" s="1"/>
      <c r="BI660" s="1"/>
      <c r="BJ660" s="35" t="str">
        <f>LOWER("alp"&amp;"_"&amp;"vw"&amp;"_"&amp;Veiculo&amp;"_"&amp;C656&amp;"_"&amp;Objetivo)</f>
        <v>alp_vw___</v>
      </c>
      <c r="BK660" s="35" t="str">
        <f>LOWER(Buying_Metric&amp;"_"&amp;VLOOKUP(Buying_Type,Buy_type,2,FALSE)&amp;"_"&amp;Device&amp;"_"&amp;Size&amp;"_"&amp;Segmentação&amp;"_"&amp;Segmentação_Anúncio)</f>
        <v>#N/A</v>
      </c>
      <c r="BL660" s="35" t="str">
        <f>LOWER(Campanha_ou_InsertionOrder&amp;"_"&amp;LineItem_ou_Grupodeanúncio&amp;"_"&amp;Linha_criativa_2&amp;"_"&amp;Unique_ID)</f>
        <v>#N/A</v>
      </c>
      <c r="BM660" s="27"/>
      <c r="BN660" s="27"/>
    </row>
    <row r="661">
      <c r="A661" s="1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8" t="str">
        <f>LOWER(Campanha_ou_InsertionOrder&amp;"_"&amp;LineItem_ou_Grupodeanúncio&amp;"_"&amp;Linha_Criativa&amp;"_"&amp;Unique_ID)</f>
        <v>#N/A</v>
      </c>
      <c r="AN661" s="28" t="str">
        <f>LOWER(Campanha_ou_InsertionOrder&amp;"_"&amp;LineItem_ou_Grupodeanúncio&amp;"_"&amp;Linha_Criativa&amp;"_"&amp;Unique_ID)</f>
        <v>#N/A</v>
      </c>
      <c r="AO661" s="28" t="str">
        <f>LOWER("VW"&amp;"_"&amp;Model_Variant&amp;"_"&amp;Size&amp;"_"&amp;Linha_Criativa&amp;"_"&amp;IF(Servido_Por="portal",Veiculo,"adserver"))</f>
        <v>vw____adserver</v>
      </c>
      <c r="AP6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1" s="22" t="str">
        <f t="shared" si="1"/>
        <v/>
      </c>
      <c r="AS661" s="22" t="str">
        <f t="shared" si="2"/>
        <v/>
      </c>
      <c r="AT661" s="22" t="str">
        <f t="shared" si="3"/>
        <v>BR_IMC_DSY_LANCH_ND_NC_2020Q3AUG_NVS_Nivus-Launch-Consideracao</v>
      </c>
      <c r="AU661" s="22" t="str">
        <f t="shared" si="4"/>
        <v>#N/A</v>
      </c>
      <c r="AV661" s="22" t="s">
        <v>106</v>
      </c>
      <c r="AW6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1" s="22" t="str">
        <f t="shared" si="5"/>
        <v>BR_IMC_DSY_LANCH_ND_NC_2020Q3AUG_NVS_Nivus-Launch-Consideracao</v>
      </c>
      <c r="AY661" s="28" t="str">
        <f t="shared" si="6"/>
        <v>#N/A</v>
      </c>
      <c r="AZ661" s="22" t="s">
        <v>107</v>
      </c>
      <c r="BA661" s="22" t="s">
        <v>108</v>
      </c>
      <c r="BB661" s="31" t="s">
        <v>109</v>
      </c>
      <c r="BC661" s="31" t="s">
        <v>109</v>
      </c>
      <c r="BD661" s="32" t="str">
        <f t="shared" si="8"/>
        <v>nvl-nvs-imc-dsy-0820-10655</v>
      </c>
      <c r="BE661" s="33"/>
      <c r="BF661" s="33"/>
      <c r="BG661" s="39" t="str">
        <f>URL&amp;IF(ISNUMBER(FIND("?",URL)),"&amp;","?"&amp;("adlid="&amp;Unique_ID&amp;"&amp;adplt="&amp;Placement))</f>
        <v>#N/A</v>
      </c>
      <c r="BH661" s="1"/>
      <c r="BI661" s="1"/>
      <c r="BJ661" s="35" t="str">
        <f>LOWER("alp"&amp;"_"&amp;"vw"&amp;"_"&amp;Veiculo&amp;"_"&amp;C657&amp;"_"&amp;Objetivo)</f>
        <v>alp_vw___</v>
      </c>
      <c r="BK661" s="35" t="str">
        <f>LOWER(Buying_Metric&amp;"_"&amp;VLOOKUP(Buying_Type,Buy_type,2,FALSE)&amp;"_"&amp;Device&amp;"_"&amp;Size&amp;"_"&amp;Segmentação&amp;"_"&amp;Segmentação_Anúncio)</f>
        <v>#N/A</v>
      </c>
      <c r="BL661" s="35" t="str">
        <f>LOWER(Campanha_ou_InsertionOrder&amp;"_"&amp;LineItem_ou_Grupodeanúncio&amp;"_"&amp;Linha_criativa_2&amp;"_"&amp;Unique_ID)</f>
        <v>#N/A</v>
      </c>
      <c r="BM661" s="27"/>
      <c r="BN661" s="27"/>
    </row>
    <row r="662">
      <c r="A662" s="1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8" t="str">
        <f>LOWER(Campanha_ou_InsertionOrder&amp;"_"&amp;LineItem_ou_Grupodeanúncio&amp;"_"&amp;Linha_Criativa&amp;"_"&amp;Unique_ID)</f>
        <v>#N/A</v>
      </c>
      <c r="AN662" s="28" t="str">
        <f>LOWER(Campanha_ou_InsertionOrder&amp;"_"&amp;LineItem_ou_Grupodeanúncio&amp;"_"&amp;Linha_Criativa&amp;"_"&amp;Unique_ID)</f>
        <v>#N/A</v>
      </c>
      <c r="AO662" s="28" t="str">
        <f>LOWER("VW"&amp;"_"&amp;Model_Variant&amp;"_"&amp;Size&amp;"_"&amp;Linha_Criativa&amp;"_"&amp;IF(Servido_Por="portal",Veiculo,"adserver"))</f>
        <v>vw____adserver</v>
      </c>
      <c r="AP6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2" s="22" t="str">
        <f t="shared" si="1"/>
        <v/>
      </c>
      <c r="AS662" s="22" t="str">
        <f t="shared" si="2"/>
        <v/>
      </c>
      <c r="AT662" s="22" t="str">
        <f t="shared" si="3"/>
        <v>BR_IMC_DSY_LANCH_ND_NC_2020Q3AUG_NVS_Nivus-Launch-Consideracao</v>
      </c>
      <c r="AU662" s="22" t="str">
        <f t="shared" si="4"/>
        <v>#N/A</v>
      </c>
      <c r="AV662" s="22" t="s">
        <v>106</v>
      </c>
      <c r="AW6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2" s="22" t="str">
        <f t="shared" si="5"/>
        <v>BR_IMC_DSY_LANCH_ND_NC_2020Q3AUG_NVS_Nivus-Launch-Consideracao</v>
      </c>
      <c r="AY662" s="28" t="str">
        <f t="shared" si="6"/>
        <v>#N/A</v>
      </c>
      <c r="AZ662" s="22" t="s">
        <v>107</v>
      </c>
      <c r="BA662" s="22" t="s">
        <v>108</v>
      </c>
      <c r="BB662" s="31" t="s">
        <v>109</v>
      </c>
      <c r="BC662" s="31" t="s">
        <v>109</v>
      </c>
      <c r="BD662" s="32" t="str">
        <f t="shared" si="8"/>
        <v>nvl-nvs-imc-dsy-0820-10656</v>
      </c>
      <c r="BE662" s="33"/>
      <c r="BF662" s="33"/>
      <c r="BG662" s="39" t="str">
        <f>URL&amp;IF(ISNUMBER(FIND("?",URL)),"&amp;","?"&amp;("adlid="&amp;Unique_ID&amp;"&amp;adplt="&amp;Placement))</f>
        <v>#N/A</v>
      </c>
      <c r="BH662" s="1"/>
      <c r="BI662" s="1"/>
      <c r="BJ662" s="35" t="str">
        <f>LOWER("alp"&amp;"_"&amp;"vw"&amp;"_"&amp;Veiculo&amp;"_"&amp;C658&amp;"_"&amp;Objetivo)</f>
        <v>alp_vw___</v>
      </c>
      <c r="BK662" s="35" t="str">
        <f>LOWER(Buying_Metric&amp;"_"&amp;VLOOKUP(Buying_Type,Buy_type,2,FALSE)&amp;"_"&amp;Device&amp;"_"&amp;Size&amp;"_"&amp;Segmentação&amp;"_"&amp;Segmentação_Anúncio)</f>
        <v>#N/A</v>
      </c>
      <c r="BL662" s="35" t="str">
        <f>LOWER(Campanha_ou_InsertionOrder&amp;"_"&amp;LineItem_ou_Grupodeanúncio&amp;"_"&amp;Linha_criativa_2&amp;"_"&amp;Unique_ID)</f>
        <v>#N/A</v>
      </c>
      <c r="BM662" s="27"/>
      <c r="BN662" s="27"/>
    </row>
    <row r="663">
      <c r="A663" s="1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8" t="str">
        <f>LOWER(Campanha_ou_InsertionOrder&amp;"_"&amp;LineItem_ou_Grupodeanúncio&amp;"_"&amp;Linha_Criativa&amp;"_"&amp;Unique_ID)</f>
        <v>#N/A</v>
      </c>
      <c r="AN663" s="28" t="str">
        <f>LOWER(Campanha_ou_InsertionOrder&amp;"_"&amp;LineItem_ou_Grupodeanúncio&amp;"_"&amp;Linha_Criativa&amp;"_"&amp;Unique_ID)</f>
        <v>#N/A</v>
      </c>
      <c r="AO663" s="28" t="str">
        <f>LOWER("VW"&amp;"_"&amp;Model_Variant&amp;"_"&amp;Size&amp;"_"&amp;Linha_Criativa&amp;"_"&amp;IF(Servido_Por="portal",Veiculo,"adserver"))</f>
        <v>vw____adserver</v>
      </c>
      <c r="AP6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3" s="22" t="str">
        <f t="shared" si="1"/>
        <v/>
      </c>
      <c r="AS663" s="22" t="str">
        <f t="shared" si="2"/>
        <v/>
      </c>
      <c r="AT663" s="22" t="str">
        <f t="shared" si="3"/>
        <v>BR_IMC_DSY_LANCH_ND_NC_2020Q3AUG_NVS_Nivus-Launch-Consideracao</v>
      </c>
      <c r="AU663" s="22" t="str">
        <f t="shared" si="4"/>
        <v>#N/A</v>
      </c>
      <c r="AV663" s="22" t="s">
        <v>106</v>
      </c>
      <c r="AW6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3" s="22" t="str">
        <f t="shared" si="5"/>
        <v>BR_IMC_DSY_LANCH_ND_NC_2020Q3AUG_NVS_Nivus-Launch-Consideracao</v>
      </c>
      <c r="AY663" s="28" t="str">
        <f t="shared" si="6"/>
        <v>#N/A</v>
      </c>
      <c r="AZ663" s="22" t="s">
        <v>107</v>
      </c>
      <c r="BA663" s="22" t="s">
        <v>108</v>
      </c>
      <c r="BB663" s="31" t="s">
        <v>109</v>
      </c>
      <c r="BC663" s="31" t="s">
        <v>109</v>
      </c>
      <c r="BD663" s="32" t="str">
        <f t="shared" si="8"/>
        <v>nvl-nvs-imc-dsy-0820-10657</v>
      </c>
      <c r="BE663" s="33"/>
      <c r="BF663" s="33"/>
      <c r="BG663" s="39" t="str">
        <f>URL&amp;IF(ISNUMBER(FIND("?",URL)),"&amp;","?"&amp;("adlid="&amp;Unique_ID&amp;"&amp;adplt="&amp;Placement))</f>
        <v>#N/A</v>
      </c>
      <c r="BH663" s="1"/>
      <c r="BI663" s="1"/>
      <c r="BJ663" s="35" t="str">
        <f>LOWER("alp"&amp;"_"&amp;"vw"&amp;"_"&amp;Veiculo&amp;"_"&amp;C659&amp;"_"&amp;Objetivo)</f>
        <v>alp_vw___</v>
      </c>
      <c r="BK663" s="35" t="str">
        <f>LOWER(Buying_Metric&amp;"_"&amp;VLOOKUP(Buying_Type,Buy_type,2,FALSE)&amp;"_"&amp;Device&amp;"_"&amp;Size&amp;"_"&amp;Segmentação&amp;"_"&amp;Segmentação_Anúncio)</f>
        <v>#N/A</v>
      </c>
      <c r="BL663" s="35" t="str">
        <f>LOWER(Campanha_ou_InsertionOrder&amp;"_"&amp;LineItem_ou_Grupodeanúncio&amp;"_"&amp;Linha_criativa_2&amp;"_"&amp;Unique_ID)</f>
        <v>#N/A</v>
      </c>
      <c r="BM663" s="27"/>
      <c r="BN663" s="27"/>
    </row>
    <row r="664">
      <c r="A664" s="1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8" t="str">
        <f>LOWER(Campanha_ou_InsertionOrder&amp;"_"&amp;LineItem_ou_Grupodeanúncio&amp;"_"&amp;Linha_Criativa&amp;"_"&amp;Unique_ID)</f>
        <v>#N/A</v>
      </c>
      <c r="AN664" s="28" t="str">
        <f>LOWER(Campanha_ou_InsertionOrder&amp;"_"&amp;LineItem_ou_Grupodeanúncio&amp;"_"&amp;Linha_Criativa&amp;"_"&amp;Unique_ID)</f>
        <v>#N/A</v>
      </c>
      <c r="AO664" s="28" t="str">
        <f>LOWER("VW"&amp;"_"&amp;Model_Variant&amp;"_"&amp;Size&amp;"_"&amp;Linha_Criativa&amp;"_"&amp;IF(Servido_Por="portal",Veiculo,"adserver"))</f>
        <v>vw____adserver</v>
      </c>
      <c r="AP6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4" s="22" t="str">
        <f t="shared" si="1"/>
        <v/>
      </c>
      <c r="AS664" s="22" t="str">
        <f t="shared" si="2"/>
        <v/>
      </c>
      <c r="AT664" s="22" t="str">
        <f t="shared" si="3"/>
        <v>BR_IMC_DSY_LANCH_ND_NC_2020Q3AUG_NVS_Nivus-Launch-Consideracao</v>
      </c>
      <c r="AU664" s="22" t="str">
        <f t="shared" si="4"/>
        <v>#N/A</v>
      </c>
      <c r="AV664" s="22" t="s">
        <v>106</v>
      </c>
      <c r="AW6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4" s="22" t="str">
        <f t="shared" si="5"/>
        <v>BR_IMC_DSY_LANCH_ND_NC_2020Q3AUG_NVS_Nivus-Launch-Consideracao</v>
      </c>
      <c r="AY664" s="28" t="str">
        <f t="shared" si="6"/>
        <v>#N/A</v>
      </c>
      <c r="AZ664" s="22" t="s">
        <v>107</v>
      </c>
      <c r="BA664" s="22" t="s">
        <v>108</v>
      </c>
      <c r="BB664" s="31" t="s">
        <v>109</v>
      </c>
      <c r="BC664" s="31" t="s">
        <v>109</v>
      </c>
      <c r="BD664" s="32" t="str">
        <f t="shared" si="8"/>
        <v>nvl-nvs-imc-dsy-0820-10658</v>
      </c>
      <c r="BE664" s="33"/>
      <c r="BF664" s="33"/>
      <c r="BG664" s="39" t="str">
        <f>URL&amp;IF(ISNUMBER(FIND("?",URL)),"&amp;","?"&amp;("adlid="&amp;Unique_ID&amp;"&amp;adplt="&amp;Placement))</f>
        <v>#N/A</v>
      </c>
      <c r="BH664" s="1"/>
      <c r="BI664" s="1"/>
      <c r="BJ664" s="35" t="str">
        <f>LOWER("alp"&amp;"_"&amp;"vw"&amp;"_"&amp;Veiculo&amp;"_"&amp;C660&amp;"_"&amp;Objetivo)</f>
        <v>alp_vw___</v>
      </c>
      <c r="BK664" s="35" t="str">
        <f>LOWER(Buying_Metric&amp;"_"&amp;VLOOKUP(Buying_Type,Buy_type,2,FALSE)&amp;"_"&amp;Device&amp;"_"&amp;Size&amp;"_"&amp;Segmentação&amp;"_"&amp;Segmentação_Anúncio)</f>
        <v>#N/A</v>
      </c>
      <c r="BL664" s="35" t="str">
        <f>LOWER(Campanha_ou_InsertionOrder&amp;"_"&amp;LineItem_ou_Grupodeanúncio&amp;"_"&amp;Linha_criativa_2&amp;"_"&amp;Unique_ID)</f>
        <v>#N/A</v>
      </c>
      <c r="BM664" s="27"/>
      <c r="BN664" s="27"/>
    </row>
    <row r="665">
      <c r="A665" s="1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8" t="str">
        <f>LOWER(Campanha_ou_InsertionOrder&amp;"_"&amp;LineItem_ou_Grupodeanúncio&amp;"_"&amp;Linha_Criativa&amp;"_"&amp;Unique_ID)</f>
        <v>#N/A</v>
      </c>
      <c r="AN665" s="28" t="str">
        <f>LOWER(Campanha_ou_InsertionOrder&amp;"_"&amp;LineItem_ou_Grupodeanúncio&amp;"_"&amp;Linha_Criativa&amp;"_"&amp;Unique_ID)</f>
        <v>#N/A</v>
      </c>
      <c r="AO665" s="28" t="str">
        <f>LOWER("VW"&amp;"_"&amp;Model_Variant&amp;"_"&amp;Size&amp;"_"&amp;Linha_Criativa&amp;"_"&amp;IF(Servido_Por="portal",Veiculo,"adserver"))</f>
        <v>vw____adserver</v>
      </c>
      <c r="AP6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5" s="22" t="str">
        <f t="shared" si="1"/>
        <v/>
      </c>
      <c r="AS665" s="22" t="str">
        <f t="shared" si="2"/>
        <v/>
      </c>
      <c r="AT665" s="22" t="str">
        <f t="shared" si="3"/>
        <v>BR_IMC_DSY_LANCH_ND_NC_2020Q3AUG_NVS_Nivus-Launch-Consideracao</v>
      </c>
      <c r="AU665" s="22" t="str">
        <f t="shared" si="4"/>
        <v>#N/A</v>
      </c>
      <c r="AV665" s="22" t="s">
        <v>106</v>
      </c>
      <c r="AW6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5" s="22" t="str">
        <f t="shared" si="5"/>
        <v>BR_IMC_DSY_LANCH_ND_NC_2020Q3AUG_NVS_Nivus-Launch-Consideracao</v>
      </c>
      <c r="AY665" s="28" t="str">
        <f t="shared" si="6"/>
        <v>#N/A</v>
      </c>
      <c r="AZ665" s="22" t="s">
        <v>107</v>
      </c>
      <c r="BA665" s="22" t="s">
        <v>108</v>
      </c>
      <c r="BB665" s="31" t="s">
        <v>109</v>
      </c>
      <c r="BC665" s="31" t="s">
        <v>109</v>
      </c>
      <c r="BD665" s="32" t="str">
        <f t="shared" si="8"/>
        <v>nvl-nvs-imc-dsy-0820-10659</v>
      </c>
      <c r="BE665" s="33"/>
      <c r="BF665" s="33"/>
      <c r="BG665" s="39" t="str">
        <f>URL&amp;IF(ISNUMBER(FIND("?",URL)),"&amp;","?"&amp;("adlid="&amp;Unique_ID&amp;"&amp;adplt="&amp;Placement))</f>
        <v>#N/A</v>
      </c>
      <c r="BH665" s="1"/>
      <c r="BI665" s="1"/>
      <c r="BJ665" s="35" t="str">
        <f>LOWER("alp"&amp;"_"&amp;"vw"&amp;"_"&amp;Veiculo&amp;"_"&amp;C661&amp;"_"&amp;Objetivo)</f>
        <v>alp_vw___</v>
      </c>
      <c r="BK665" s="35" t="str">
        <f>LOWER(Buying_Metric&amp;"_"&amp;VLOOKUP(Buying_Type,Buy_type,2,FALSE)&amp;"_"&amp;Device&amp;"_"&amp;Size&amp;"_"&amp;Segmentação&amp;"_"&amp;Segmentação_Anúncio)</f>
        <v>#N/A</v>
      </c>
      <c r="BL665" s="35" t="str">
        <f>LOWER(Campanha_ou_InsertionOrder&amp;"_"&amp;LineItem_ou_Grupodeanúncio&amp;"_"&amp;Linha_criativa_2&amp;"_"&amp;Unique_ID)</f>
        <v>#N/A</v>
      </c>
      <c r="BM665" s="27"/>
      <c r="BN665" s="27"/>
    </row>
    <row r="666">
      <c r="A666" s="1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8" t="str">
        <f>LOWER(Campanha_ou_InsertionOrder&amp;"_"&amp;LineItem_ou_Grupodeanúncio&amp;"_"&amp;Linha_Criativa&amp;"_"&amp;Unique_ID)</f>
        <v>#N/A</v>
      </c>
      <c r="AN666" s="28" t="str">
        <f>LOWER(Campanha_ou_InsertionOrder&amp;"_"&amp;LineItem_ou_Grupodeanúncio&amp;"_"&amp;Linha_Criativa&amp;"_"&amp;Unique_ID)</f>
        <v>#N/A</v>
      </c>
      <c r="AO666" s="28" t="str">
        <f>LOWER("VW"&amp;"_"&amp;Model_Variant&amp;"_"&amp;Size&amp;"_"&amp;Linha_Criativa&amp;"_"&amp;IF(Servido_Por="portal",Veiculo,"adserver"))</f>
        <v>vw____adserver</v>
      </c>
      <c r="AP6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6" s="22" t="str">
        <f t="shared" si="1"/>
        <v/>
      </c>
      <c r="AS666" s="22" t="str">
        <f t="shared" si="2"/>
        <v/>
      </c>
      <c r="AT666" s="22" t="str">
        <f t="shared" si="3"/>
        <v>BR_IMC_DSY_LANCH_ND_NC_2020Q3AUG_NVS_Nivus-Launch-Consideracao</v>
      </c>
      <c r="AU666" s="22" t="str">
        <f t="shared" si="4"/>
        <v>#N/A</v>
      </c>
      <c r="AV666" s="22" t="s">
        <v>106</v>
      </c>
      <c r="AW6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6" s="22" t="str">
        <f t="shared" si="5"/>
        <v>BR_IMC_DSY_LANCH_ND_NC_2020Q3AUG_NVS_Nivus-Launch-Consideracao</v>
      </c>
      <c r="AY666" s="28" t="str">
        <f t="shared" si="6"/>
        <v>#N/A</v>
      </c>
      <c r="AZ666" s="22" t="s">
        <v>107</v>
      </c>
      <c r="BA666" s="22" t="s">
        <v>108</v>
      </c>
      <c r="BB666" s="31" t="s">
        <v>109</v>
      </c>
      <c r="BC666" s="31" t="s">
        <v>109</v>
      </c>
      <c r="BD666" s="32" t="str">
        <f t="shared" si="8"/>
        <v>nvl-nvs-imc-dsy-0820-10660</v>
      </c>
      <c r="BE666" s="33"/>
      <c r="BF666" s="33"/>
      <c r="BG666" s="39" t="str">
        <f>URL&amp;IF(ISNUMBER(FIND("?",URL)),"&amp;","?"&amp;("adlid="&amp;Unique_ID&amp;"&amp;adplt="&amp;Placement))</f>
        <v>#N/A</v>
      </c>
      <c r="BH666" s="1"/>
      <c r="BI666" s="1"/>
      <c r="BJ666" s="35" t="str">
        <f>LOWER("alp"&amp;"_"&amp;"vw"&amp;"_"&amp;Veiculo&amp;"_"&amp;C662&amp;"_"&amp;Objetivo)</f>
        <v>alp_vw___</v>
      </c>
      <c r="BK666" s="35" t="str">
        <f>LOWER(Buying_Metric&amp;"_"&amp;VLOOKUP(Buying_Type,Buy_type,2,FALSE)&amp;"_"&amp;Device&amp;"_"&amp;Size&amp;"_"&amp;Segmentação&amp;"_"&amp;Segmentação_Anúncio)</f>
        <v>#N/A</v>
      </c>
      <c r="BL666" s="35" t="str">
        <f>LOWER(Campanha_ou_InsertionOrder&amp;"_"&amp;LineItem_ou_Grupodeanúncio&amp;"_"&amp;Linha_criativa_2&amp;"_"&amp;Unique_ID)</f>
        <v>#N/A</v>
      </c>
      <c r="BM666" s="27"/>
      <c r="BN666" s="27"/>
    </row>
    <row r="667">
      <c r="A667" s="1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8" t="str">
        <f>LOWER(Campanha_ou_InsertionOrder&amp;"_"&amp;LineItem_ou_Grupodeanúncio&amp;"_"&amp;Linha_Criativa&amp;"_"&amp;Unique_ID)</f>
        <v>#N/A</v>
      </c>
      <c r="AN667" s="28" t="str">
        <f>LOWER(Campanha_ou_InsertionOrder&amp;"_"&amp;LineItem_ou_Grupodeanúncio&amp;"_"&amp;Linha_Criativa&amp;"_"&amp;Unique_ID)</f>
        <v>#N/A</v>
      </c>
      <c r="AO667" s="28" t="str">
        <f>LOWER("VW"&amp;"_"&amp;Model_Variant&amp;"_"&amp;Size&amp;"_"&amp;Linha_Criativa&amp;"_"&amp;IF(Servido_Por="portal",Veiculo,"adserver"))</f>
        <v>vw____adserver</v>
      </c>
      <c r="AP6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7" s="22" t="str">
        <f t="shared" si="1"/>
        <v/>
      </c>
      <c r="AS667" s="22" t="str">
        <f t="shared" si="2"/>
        <v/>
      </c>
      <c r="AT667" s="22" t="str">
        <f t="shared" si="3"/>
        <v>BR_IMC_DSY_LANCH_ND_NC_2020Q3AUG_NVS_Nivus-Launch-Consideracao</v>
      </c>
      <c r="AU667" s="22" t="str">
        <f t="shared" si="4"/>
        <v>#N/A</v>
      </c>
      <c r="AV667" s="22" t="s">
        <v>106</v>
      </c>
      <c r="AW6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7" s="22" t="str">
        <f t="shared" si="5"/>
        <v>BR_IMC_DSY_LANCH_ND_NC_2020Q3AUG_NVS_Nivus-Launch-Consideracao</v>
      </c>
      <c r="AY667" s="28" t="str">
        <f t="shared" si="6"/>
        <v>#N/A</v>
      </c>
      <c r="AZ667" s="22" t="s">
        <v>107</v>
      </c>
      <c r="BA667" s="22" t="s">
        <v>108</v>
      </c>
      <c r="BB667" s="31" t="s">
        <v>109</v>
      </c>
      <c r="BC667" s="31" t="s">
        <v>109</v>
      </c>
      <c r="BD667" s="32" t="str">
        <f t="shared" si="8"/>
        <v>nvl-nvs-imc-dsy-0820-10661</v>
      </c>
      <c r="BE667" s="33"/>
      <c r="BF667" s="33"/>
      <c r="BG667" s="39" t="str">
        <f>URL&amp;IF(ISNUMBER(FIND("?",URL)),"&amp;","?"&amp;("adlid="&amp;Unique_ID&amp;"&amp;adplt="&amp;Placement))</f>
        <v>#N/A</v>
      </c>
      <c r="BH667" s="1"/>
      <c r="BI667" s="1"/>
      <c r="BJ667" s="35" t="str">
        <f>LOWER("alp"&amp;"_"&amp;"vw"&amp;"_"&amp;Veiculo&amp;"_"&amp;C663&amp;"_"&amp;Objetivo)</f>
        <v>alp_vw___</v>
      </c>
      <c r="BK667" s="35" t="str">
        <f>LOWER(Buying_Metric&amp;"_"&amp;VLOOKUP(Buying_Type,Buy_type,2,FALSE)&amp;"_"&amp;Device&amp;"_"&amp;Size&amp;"_"&amp;Segmentação&amp;"_"&amp;Segmentação_Anúncio)</f>
        <v>#N/A</v>
      </c>
      <c r="BL667" s="35" t="str">
        <f>LOWER(Campanha_ou_InsertionOrder&amp;"_"&amp;LineItem_ou_Grupodeanúncio&amp;"_"&amp;Linha_criativa_2&amp;"_"&amp;Unique_ID)</f>
        <v>#N/A</v>
      </c>
      <c r="BM667" s="27"/>
      <c r="BN667" s="27"/>
    </row>
    <row r="668">
      <c r="A668" s="1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8" t="str">
        <f>LOWER(Campanha_ou_InsertionOrder&amp;"_"&amp;LineItem_ou_Grupodeanúncio&amp;"_"&amp;Linha_Criativa&amp;"_"&amp;Unique_ID)</f>
        <v>#N/A</v>
      </c>
      <c r="AN668" s="28" t="str">
        <f>LOWER(Campanha_ou_InsertionOrder&amp;"_"&amp;LineItem_ou_Grupodeanúncio&amp;"_"&amp;Linha_Criativa&amp;"_"&amp;Unique_ID)</f>
        <v>#N/A</v>
      </c>
      <c r="AO668" s="28" t="str">
        <f>LOWER("VW"&amp;"_"&amp;Model_Variant&amp;"_"&amp;Size&amp;"_"&amp;Linha_Criativa&amp;"_"&amp;IF(Servido_Por="portal",Veiculo,"adserver"))</f>
        <v>vw____adserver</v>
      </c>
      <c r="AP6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8" s="22" t="str">
        <f t="shared" si="1"/>
        <v/>
      </c>
      <c r="AS668" s="22" t="str">
        <f t="shared" si="2"/>
        <v/>
      </c>
      <c r="AT668" s="22" t="str">
        <f t="shared" si="3"/>
        <v>BR_IMC_DSY_LANCH_ND_NC_2020Q3AUG_NVS_Nivus-Launch-Consideracao</v>
      </c>
      <c r="AU668" s="22" t="str">
        <f t="shared" si="4"/>
        <v>#N/A</v>
      </c>
      <c r="AV668" s="22" t="s">
        <v>106</v>
      </c>
      <c r="AW6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8" s="22" t="str">
        <f t="shared" si="5"/>
        <v>BR_IMC_DSY_LANCH_ND_NC_2020Q3AUG_NVS_Nivus-Launch-Consideracao</v>
      </c>
      <c r="AY668" s="28" t="str">
        <f t="shared" si="6"/>
        <v>#N/A</v>
      </c>
      <c r="AZ668" s="22" t="s">
        <v>107</v>
      </c>
      <c r="BA668" s="22" t="s">
        <v>108</v>
      </c>
      <c r="BB668" s="31" t="s">
        <v>109</v>
      </c>
      <c r="BC668" s="31" t="s">
        <v>109</v>
      </c>
      <c r="BD668" s="32" t="str">
        <f t="shared" si="8"/>
        <v>nvl-nvs-imc-dsy-0820-10662</v>
      </c>
      <c r="BE668" s="33"/>
      <c r="BF668" s="33"/>
      <c r="BG668" s="39" t="str">
        <f>URL&amp;IF(ISNUMBER(FIND("?",URL)),"&amp;","?"&amp;("adlid="&amp;Unique_ID&amp;"&amp;adplt="&amp;Placement))</f>
        <v>#N/A</v>
      </c>
      <c r="BH668" s="1"/>
      <c r="BI668" s="1"/>
      <c r="BJ668" s="35" t="str">
        <f>LOWER("alp"&amp;"_"&amp;"vw"&amp;"_"&amp;Veiculo&amp;"_"&amp;C664&amp;"_"&amp;Objetivo)</f>
        <v>alp_vw___</v>
      </c>
      <c r="BK668" s="35" t="str">
        <f>LOWER(Buying_Metric&amp;"_"&amp;VLOOKUP(Buying_Type,Buy_type,2,FALSE)&amp;"_"&amp;Device&amp;"_"&amp;Size&amp;"_"&amp;Segmentação&amp;"_"&amp;Segmentação_Anúncio)</f>
        <v>#N/A</v>
      </c>
      <c r="BL668" s="35" t="str">
        <f>LOWER(Campanha_ou_InsertionOrder&amp;"_"&amp;LineItem_ou_Grupodeanúncio&amp;"_"&amp;Linha_criativa_2&amp;"_"&amp;Unique_ID)</f>
        <v>#N/A</v>
      </c>
      <c r="BM668" s="27"/>
      <c r="BN668" s="27"/>
    </row>
    <row r="669">
      <c r="A669" s="1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8" t="str">
        <f>LOWER(Campanha_ou_InsertionOrder&amp;"_"&amp;LineItem_ou_Grupodeanúncio&amp;"_"&amp;Linha_Criativa&amp;"_"&amp;Unique_ID)</f>
        <v>#N/A</v>
      </c>
      <c r="AN669" s="28" t="str">
        <f>LOWER(Campanha_ou_InsertionOrder&amp;"_"&amp;LineItem_ou_Grupodeanúncio&amp;"_"&amp;Linha_Criativa&amp;"_"&amp;Unique_ID)</f>
        <v>#N/A</v>
      </c>
      <c r="AO669" s="28" t="str">
        <f>LOWER("VW"&amp;"_"&amp;Model_Variant&amp;"_"&amp;Size&amp;"_"&amp;Linha_Criativa&amp;"_"&amp;IF(Servido_Por="portal",Veiculo,"adserver"))</f>
        <v>vw____adserver</v>
      </c>
      <c r="AP6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69" s="22" t="str">
        <f t="shared" si="1"/>
        <v/>
      </c>
      <c r="AS669" s="22" t="str">
        <f t="shared" si="2"/>
        <v/>
      </c>
      <c r="AT669" s="22" t="str">
        <f t="shared" si="3"/>
        <v>BR_IMC_DSY_LANCH_ND_NC_2020Q3AUG_NVS_Nivus-Launch-Consideracao</v>
      </c>
      <c r="AU669" s="22" t="str">
        <f t="shared" si="4"/>
        <v>#N/A</v>
      </c>
      <c r="AV669" s="22" t="s">
        <v>106</v>
      </c>
      <c r="AW6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69" s="22" t="str">
        <f t="shared" si="5"/>
        <v>BR_IMC_DSY_LANCH_ND_NC_2020Q3AUG_NVS_Nivus-Launch-Consideracao</v>
      </c>
      <c r="AY669" s="28" t="str">
        <f t="shared" si="6"/>
        <v>#N/A</v>
      </c>
      <c r="AZ669" s="22" t="s">
        <v>107</v>
      </c>
      <c r="BA669" s="22" t="s">
        <v>108</v>
      </c>
      <c r="BB669" s="31" t="s">
        <v>109</v>
      </c>
      <c r="BC669" s="31" t="s">
        <v>109</v>
      </c>
      <c r="BD669" s="32" t="str">
        <f t="shared" si="8"/>
        <v>nvl-nvs-imc-dsy-0820-10663</v>
      </c>
      <c r="BE669" s="33"/>
      <c r="BF669" s="33"/>
      <c r="BG669" s="39" t="str">
        <f>URL&amp;IF(ISNUMBER(FIND("?",URL)),"&amp;","?"&amp;("adlid="&amp;Unique_ID&amp;"&amp;adplt="&amp;Placement))</f>
        <v>#N/A</v>
      </c>
      <c r="BH669" s="1"/>
      <c r="BI669" s="1"/>
      <c r="BJ669" s="35" t="str">
        <f>LOWER("alp"&amp;"_"&amp;"vw"&amp;"_"&amp;Veiculo&amp;"_"&amp;C665&amp;"_"&amp;Objetivo)</f>
        <v>alp_vw___</v>
      </c>
      <c r="BK669" s="35" t="str">
        <f>LOWER(Buying_Metric&amp;"_"&amp;VLOOKUP(Buying_Type,Buy_type,2,FALSE)&amp;"_"&amp;Device&amp;"_"&amp;Size&amp;"_"&amp;Segmentação&amp;"_"&amp;Segmentação_Anúncio)</f>
        <v>#N/A</v>
      </c>
      <c r="BL669" s="35" t="str">
        <f>LOWER(Campanha_ou_InsertionOrder&amp;"_"&amp;LineItem_ou_Grupodeanúncio&amp;"_"&amp;Linha_criativa_2&amp;"_"&amp;Unique_ID)</f>
        <v>#N/A</v>
      </c>
      <c r="BM669" s="27"/>
      <c r="BN669" s="27"/>
    </row>
    <row r="670">
      <c r="A670" s="1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8" t="str">
        <f>LOWER(Campanha_ou_InsertionOrder&amp;"_"&amp;LineItem_ou_Grupodeanúncio&amp;"_"&amp;Linha_Criativa&amp;"_"&amp;Unique_ID)</f>
        <v>#N/A</v>
      </c>
      <c r="AN670" s="28" t="str">
        <f>LOWER(Campanha_ou_InsertionOrder&amp;"_"&amp;LineItem_ou_Grupodeanúncio&amp;"_"&amp;Linha_Criativa&amp;"_"&amp;Unique_ID)</f>
        <v>#N/A</v>
      </c>
      <c r="AO670" s="28" t="str">
        <f>LOWER("VW"&amp;"_"&amp;Model_Variant&amp;"_"&amp;Size&amp;"_"&amp;Linha_Criativa&amp;"_"&amp;IF(Servido_Por="portal",Veiculo,"adserver"))</f>
        <v>vw____adserver</v>
      </c>
      <c r="AP6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0" s="22" t="str">
        <f t="shared" si="1"/>
        <v/>
      </c>
      <c r="AS670" s="22" t="str">
        <f t="shared" si="2"/>
        <v/>
      </c>
      <c r="AT670" s="22" t="str">
        <f t="shared" si="3"/>
        <v>BR_IMC_DSY_LANCH_ND_NC_2020Q3AUG_NVS_Nivus-Launch-Consideracao</v>
      </c>
      <c r="AU670" s="22" t="str">
        <f t="shared" si="4"/>
        <v>#N/A</v>
      </c>
      <c r="AV670" s="22" t="s">
        <v>106</v>
      </c>
      <c r="AW6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0" s="22" t="str">
        <f t="shared" si="5"/>
        <v>BR_IMC_DSY_LANCH_ND_NC_2020Q3AUG_NVS_Nivus-Launch-Consideracao</v>
      </c>
      <c r="AY670" s="28" t="str">
        <f t="shared" si="6"/>
        <v>#N/A</v>
      </c>
      <c r="AZ670" s="22" t="s">
        <v>107</v>
      </c>
      <c r="BA670" s="22" t="s">
        <v>108</v>
      </c>
      <c r="BB670" s="31" t="s">
        <v>109</v>
      </c>
      <c r="BC670" s="31" t="s">
        <v>109</v>
      </c>
      <c r="BD670" s="32" t="str">
        <f t="shared" si="8"/>
        <v>nvl-nvs-imc-dsy-0820-10664</v>
      </c>
      <c r="BE670" s="33"/>
      <c r="BF670" s="33"/>
      <c r="BG670" s="39" t="str">
        <f>URL&amp;IF(ISNUMBER(FIND("?",URL)),"&amp;","?"&amp;("adlid="&amp;Unique_ID&amp;"&amp;adplt="&amp;Placement))</f>
        <v>#N/A</v>
      </c>
      <c r="BH670" s="1"/>
      <c r="BI670" s="1"/>
      <c r="BJ670" s="35" t="str">
        <f>LOWER("alp"&amp;"_"&amp;"vw"&amp;"_"&amp;Veiculo&amp;"_"&amp;C666&amp;"_"&amp;Objetivo)</f>
        <v>alp_vw___</v>
      </c>
      <c r="BK670" s="35" t="str">
        <f>LOWER(Buying_Metric&amp;"_"&amp;VLOOKUP(Buying_Type,Buy_type,2,FALSE)&amp;"_"&amp;Device&amp;"_"&amp;Size&amp;"_"&amp;Segmentação&amp;"_"&amp;Segmentação_Anúncio)</f>
        <v>#N/A</v>
      </c>
      <c r="BL670" s="35" t="str">
        <f>LOWER(Campanha_ou_InsertionOrder&amp;"_"&amp;LineItem_ou_Grupodeanúncio&amp;"_"&amp;Linha_criativa_2&amp;"_"&amp;Unique_ID)</f>
        <v>#N/A</v>
      </c>
      <c r="BM670" s="27"/>
      <c r="BN670" s="27"/>
    </row>
    <row r="671">
      <c r="A671" s="1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8" t="str">
        <f>LOWER(Campanha_ou_InsertionOrder&amp;"_"&amp;LineItem_ou_Grupodeanúncio&amp;"_"&amp;Linha_Criativa&amp;"_"&amp;Unique_ID)</f>
        <v>#N/A</v>
      </c>
      <c r="AN671" s="28" t="str">
        <f>LOWER(Campanha_ou_InsertionOrder&amp;"_"&amp;LineItem_ou_Grupodeanúncio&amp;"_"&amp;Linha_Criativa&amp;"_"&amp;Unique_ID)</f>
        <v>#N/A</v>
      </c>
      <c r="AO671" s="28" t="str">
        <f>LOWER("VW"&amp;"_"&amp;Model_Variant&amp;"_"&amp;Size&amp;"_"&amp;Linha_Criativa&amp;"_"&amp;IF(Servido_Por="portal",Veiculo,"adserver"))</f>
        <v>vw____adserver</v>
      </c>
      <c r="AP6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1" s="22" t="str">
        <f t="shared" si="1"/>
        <v/>
      </c>
      <c r="AS671" s="22" t="str">
        <f t="shared" si="2"/>
        <v/>
      </c>
      <c r="AT671" s="22" t="str">
        <f t="shared" si="3"/>
        <v>BR_IMC_DSY_LANCH_ND_NC_2020Q3AUG_NVS_Nivus-Launch-Consideracao</v>
      </c>
      <c r="AU671" s="22" t="str">
        <f t="shared" si="4"/>
        <v>#N/A</v>
      </c>
      <c r="AV671" s="22" t="s">
        <v>106</v>
      </c>
      <c r="AW6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1" s="22" t="str">
        <f t="shared" si="5"/>
        <v>BR_IMC_DSY_LANCH_ND_NC_2020Q3AUG_NVS_Nivus-Launch-Consideracao</v>
      </c>
      <c r="AY671" s="28" t="str">
        <f t="shared" si="6"/>
        <v>#N/A</v>
      </c>
      <c r="AZ671" s="22" t="s">
        <v>107</v>
      </c>
      <c r="BA671" s="22" t="s">
        <v>108</v>
      </c>
      <c r="BB671" s="31" t="s">
        <v>109</v>
      </c>
      <c r="BC671" s="31" t="s">
        <v>109</v>
      </c>
      <c r="BD671" s="32" t="str">
        <f t="shared" si="8"/>
        <v>nvl-nvs-imc-dsy-0820-10665</v>
      </c>
      <c r="BE671" s="33"/>
      <c r="BF671" s="33"/>
      <c r="BG671" s="39" t="str">
        <f>URL&amp;IF(ISNUMBER(FIND("?",URL)),"&amp;","?"&amp;("adlid="&amp;Unique_ID&amp;"&amp;adplt="&amp;Placement))</f>
        <v>#N/A</v>
      </c>
      <c r="BH671" s="1"/>
      <c r="BI671" s="1"/>
      <c r="BJ671" s="35" t="str">
        <f>LOWER("alp"&amp;"_"&amp;"vw"&amp;"_"&amp;Veiculo&amp;"_"&amp;C667&amp;"_"&amp;Objetivo)</f>
        <v>alp_vw___</v>
      </c>
      <c r="BK671" s="35" t="str">
        <f>LOWER(Buying_Metric&amp;"_"&amp;VLOOKUP(Buying_Type,Buy_type,2,FALSE)&amp;"_"&amp;Device&amp;"_"&amp;Size&amp;"_"&amp;Segmentação&amp;"_"&amp;Segmentação_Anúncio)</f>
        <v>#N/A</v>
      </c>
      <c r="BL671" s="35" t="str">
        <f>LOWER(Campanha_ou_InsertionOrder&amp;"_"&amp;LineItem_ou_Grupodeanúncio&amp;"_"&amp;Linha_criativa_2&amp;"_"&amp;Unique_ID)</f>
        <v>#N/A</v>
      </c>
      <c r="BM671" s="27"/>
      <c r="BN671" s="27"/>
    </row>
    <row r="672">
      <c r="A672" s="1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tr">
        <f>LOWER(Campanha_ou_InsertionOrder&amp;"_"&amp;LineItem_ou_Grupodeanúncio&amp;"_"&amp;Linha_Criativa&amp;"_"&amp;Unique_ID)</f>
        <v>#N/A</v>
      </c>
      <c r="AN672" s="28" t="str">
        <f>LOWER(Campanha_ou_InsertionOrder&amp;"_"&amp;LineItem_ou_Grupodeanúncio&amp;"_"&amp;Linha_Criativa&amp;"_"&amp;Unique_ID)</f>
        <v>#N/A</v>
      </c>
      <c r="AO672" s="28" t="str">
        <f>LOWER("VW"&amp;"_"&amp;Model_Variant&amp;"_"&amp;Size&amp;"_"&amp;Linha_Criativa&amp;"_"&amp;IF(Servido_Por="portal",Veiculo,"adserver"))</f>
        <v>vw____adserver</v>
      </c>
      <c r="AP6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2" s="22" t="str">
        <f t="shared" si="1"/>
        <v/>
      </c>
      <c r="AS672" s="22" t="str">
        <f t="shared" si="2"/>
        <v/>
      </c>
      <c r="AT672" s="22" t="str">
        <f t="shared" si="3"/>
        <v>BR_IMC_DSY_LANCH_ND_NC_2020Q3AUG_NVS_Nivus-Launch-Consideracao</v>
      </c>
      <c r="AU672" s="22" t="str">
        <f t="shared" si="4"/>
        <v>#N/A</v>
      </c>
      <c r="AV672" s="22" t="s">
        <v>106</v>
      </c>
      <c r="AW6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2" s="22" t="str">
        <f t="shared" si="5"/>
        <v>BR_IMC_DSY_LANCH_ND_NC_2020Q3AUG_NVS_Nivus-Launch-Consideracao</v>
      </c>
      <c r="AY672" s="28" t="str">
        <f t="shared" si="6"/>
        <v>#N/A</v>
      </c>
      <c r="AZ672" s="22" t="s">
        <v>107</v>
      </c>
      <c r="BA672" s="22" t="s">
        <v>108</v>
      </c>
      <c r="BB672" s="31" t="s">
        <v>109</v>
      </c>
      <c r="BC672" s="31" t="s">
        <v>109</v>
      </c>
      <c r="BD672" s="32" t="str">
        <f t="shared" si="8"/>
        <v>nvl-nvs-imc-dsy-0820-10666</v>
      </c>
      <c r="BE672" s="33"/>
      <c r="BF672" s="33"/>
      <c r="BG672" s="39" t="str">
        <f>URL&amp;IF(ISNUMBER(FIND("?",URL)),"&amp;","?"&amp;("adlid="&amp;Unique_ID&amp;"&amp;adplt="&amp;Placement))</f>
        <v>#N/A</v>
      </c>
      <c r="BH672" s="1"/>
      <c r="BI672" s="1"/>
      <c r="BJ672" s="35" t="str">
        <f>LOWER("alp"&amp;"_"&amp;"vw"&amp;"_"&amp;Veiculo&amp;"_"&amp;C668&amp;"_"&amp;Objetivo)</f>
        <v>alp_vw___</v>
      </c>
      <c r="BK672" s="35" t="str">
        <f>LOWER(Buying_Metric&amp;"_"&amp;VLOOKUP(Buying_Type,Buy_type,2,FALSE)&amp;"_"&amp;Device&amp;"_"&amp;Size&amp;"_"&amp;Segmentação&amp;"_"&amp;Segmentação_Anúncio)</f>
        <v>#N/A</v>
      </c>
      <c r="BL672" s="35" t="str">
        <f>LOWER(Campanha_ou_InsertionOrder&amp;"_"&amp;LineItem_ou_Grupodeanúncio&amp;"_"&amp;Linha_criativa_2&amp;"_"&amp;Unique_ID)</f>
        <v>#N/A</v>
      </c>
      <c r="BM672" s="27"/>
      <c r="BN672" s="27"/>
    </row>
    <row r="673">
      <c r="A673" s="1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8" t="str">
        <f>LOWER(Campanha_ou_InsertionOrder&amp;"_"&amp;LineItem_ou_Grupodeanúncio&amp;"_"&amp;Linha_Criativa&amp;"_"&amp;Unique_ID)</f>
        <v>#N/A</v>
      </c>
      <c r="AN673" s="28" t="str">
        <f>LOWER(Campanha_ou_InsertionOrder&amp;"_"&amp;LineItem_ou_Grupodeanúncio&amp;"_"&amp;Linha_Criativa&amp;"_"&amp;Unique_ID)</f>
        <v>#N/A</v>
      </c>
      <c r="AO673" s="28" t="str">
        <f>LOWER("VW"&amp;"_"&amp;Model_Variant&amp;"_"&amp;Size&amp;"_"&amp;Linha_Criativa&amp;"_"&amp;IF(Servido_Por="portal",Veiculo,"adserver"))</f>
        <v>vw____adserver</v>
      </c>
      <c r="AP6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3" s="22" t="str">
        <f t="shared" si="1"/>
        <v/>
      </c>
      <c r="AS673" s="22" t="str">
        <f t="shared" si="2"/>
        <v/>
      </c>
      <c r="AT673" s="22" t="str">
        <f t="shared" si="3"/>
        <v>BR_IMC_DSY_LANCH_ND_NC_2020Q3AUG_NVS_Nivus-Launch-Consideracao</v>
      </c>
      <c r="AU673" s="22" t="str">
        <f t="shared" si="4"/>
        <v>#N/A</v>
      </c>
      <c r="AV673" s="22" t="s">
        <v>106</v>
      </c>
      <c r="AW6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3" s="22" t="str">
        <f t="shared" si="5"/>
        <v>BR_IMC_DSY_LANCH_ND_NC_2020Q3AUG_NVS_Nivus-Launch-Consideracao</v>
      </c>
      <c r="AY673" s="28" t="str">
        <f t="shared" si="6"/>
        <v>#N/A</v>
      </c>
      <c r="AZ673" s="22" t="s">
        <v>107</v>
      </c>
      <c r="BA673" s="22" t="s">
        <v>108</v>
      </c>
      <c r="BB673" s="31" t="s">
        <v>109</v>
      </c>
      <c r="BC673" s="31" t="s">
        <v>109</v>
      </c>
      <c r="BD673" s="32" t="str">
        <f t="shared" si="8"/>
        <v>nvl-nvs-imc-dsy-0820-10667</v>
      </c>
      <c r="BE673" s="33"/>
      <c r="BF673" s="33"/>
      <c r="BG673" s="39" t="str">
        <f>URL&amp;IF(ISNUMBER(FIND("?",URL)),"&amp;","?"&amp;("adlid="&amp;Unique_ID&amp;"&amp;adplt="&amp;Placement))</f>
        <v>#N/A</v>
      </c>
      <c r="BH673" s="1"/>
      <c r="BI673" s="1"/>
      <c r="BJ673" s="35" t="str">
        <f>LOWER("alp"&amp;"_"&amp;"vw"&amp;"_"&amp;Veiculo&amp;"_"&amp;C669&amp;"_"&amp;Objetivo)</f>
        <v>alp_vw___</v>
      </c>
      <c r="BK673" s="35" t="str">
        <f>LOWER(Buying_Metric&amp;"_"&amp;VLOOKUP(Buying_Type,Buy_type,2,FALSE)&amp;"_"&amp;Device&amp;"_"&amp;Size&amp;"_"&amp;Segmentação&amp;"_"&amp;Segmentação_Anúncio)</f>
        <v>#N/A</v>
      </c>
      <c r="BL673" s="35" t="str">
        <f>LOWER(Campanha_ou_InsertionOrder&amp;"_"&amp;LineItem_ou_Grupodeanúncio&amp;"_"&amp;Linha_criativa_2&amp;"_"&amp;Unique_ID)</f>
        <v>#N/A</v>
      </c>
      <c r="BM673" s="27"/>
      <c r="BN673" s="27"/>
    </row>
    <row r="674">
      <c r="A674" s="1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8" t="str">
        <f>LOWER(Campanha_ou_InsertionOrder&amp;"_"&amp;LineItem_ou_Grupodeanúncio&amp;"_"&amp;Linha_Criativa&amp;"_"&amp;Unique_ID)</f>
        <v>#N/A</v>
      </c>
      <c r="AN674" s="28" t="str">
        <f>LOWER(Campanha_ou_InsertionOrder&amp;"_"&amp;LineItem_ou_Grupodeanúncio&amp;"_"&amp;Linha_Criativa&amp;"_"&amp;Unique_ID)</f>
        <v>#N/A</v>
      </c>
      <c r="AO674" s="28" t="str">
        <f>LOWER("VW"&amp;"_"&amp;Model_Variant&amp;"_"&amp;Size&amp;"_"&amp;Linha_Criativa&amp;"_"&amp;IF(Servido_Por="portal",Veiculo,"adserver"))</f>
        <v>vw____adserver</v>
      </c>
      <c r="AP6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4" s="22" t="str">
        <f t="shared" si="1"/>
        <v/>
      </c>
      <c r="AS674" s="22" t="str">
        <f t="shared" si="2"/>
        <v/>
      </c>
      <c r="AT674" s="22" t="str">
        <f t="shared" si="3"/>
        <v>BR_IMC_DSY_LANCH_ND_NC_2020Q3AUG_NVS_Nivus-Launch-Consideracao</v>
      </c>
      <c r="AU674" s="22" t="str">
        <f t="shared" si="4"/>
        <v>#N/A</v>
      </c>
      <c r="AV674" s="22" t="s">
        <v>106</v>
      </c>
      <c r="AW6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4" s="22" t="str">
        <f t="shared" si="5"/>
        <v>BR_IMC_DSY_LANCH_ND_NC_2020Q3AUG_NVS_Nivus-Launch-Consideracao</v>
      </c>
      <c r="AY674" s="28" t="str">
        <f t="shared" si="6"/>
        <v>#N/A</v>
      </c>
      <c r="AZ674" s="22" t="s">
        <v>107</v>
      </c>
      <c r="BA674" s="22" t="s">
        <v>108</v>
      </c>
      <c r="BB674" s="31" t="s">
        <v>109</v>
      </c>
      <c r="BC674" s="31" t="s">
        <v>109</v>
      </c>
      <c r="BD674" s="32" t="str">
        <f t="shared" si="8"/>
        <v>nvl-nvs-imc-dsy-0820-10668</v>
      </c>
      <c r="BE674" s="33"/>
      <c r="BF674" s="33"/>
      <c r="BG674" s="39" t="str">
        <f>URL&amp;IF(ISNUMBER(FIND("?",URL)),"&amp;","?"&amp;("adlid="&amp;Unique_ID&amp;"&amp;adplt="&amp;Placement))</f>
        <v>#N/A</v>
      </c>
      <c r="BH674" s="1"/>
      <c r="BI674" s="1"/>
      <c r="BJ674" s="35" t="str">
        <f>LOWER("alp"&amp;"_"&amp;"vw"&amp;"_"&amp;Veiculo&amp;"_"&amp;C670&amp;"_"&amp;Objetivo)</f>
        <v>alp_vw___</v>
      </c>
      <c r="BK674" s="35" t="str">
        <f>LOWER(Buying_Metric&amp;"_"&amp;VLOOKUP(Buying_Type,Buy_type,2,FALSE)&amp;"_"&amp;Device&amp;"_"&amp;Size&amp;"_"&amp;Segmentação&amp;"_"&amp;Segmentação_Anúncio)</f>
        <v>#N/A</v>
      </c>
      <c r="BL674" s="35" t="str">
        <f>LOWER(Campanha_ou_InsertionOrder&amp;"_"&amp;LineItem_ou_Grupodeanúncio&amp;"_"&amp;Linha_criativa_2&amp;"_"&amp;Unique_ID)</f>
        <v>#N/A</v>
      </c>
      <c r="BM674" s="27"/>
      <c r="BN674" s="27"/>
    </row>
    <row r="675">
      <c r="A675" s="1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8" t="str">
        <f>LOWER(Campanha_ou_InsertionOrder&amp;"_"&amp;LineItem_ou_Grupodeanúncio&amp;"_"&amp;Linha_Criativa&amp;"_"&amp;Unique_ID)</f>
        <v>#N/A</v>
      </c>
      <c r="AN675" s="28" t="str">
        <f>LOWER(Campanha_ou_InsertionOrder&amp;"_"&amp;LineItem_ou_Grupodeanúncio&amp;"_"&amp;Linha_Criativa&amp;"_"&amp;Unique_ID)</f>
        <v>#N/A</v>
      </c>
      <c r="AO675" s="28" t="str">
        <f>LOWER("VW"&amp;"_"&amp;Model_Variant&amp;"_"&amp;Size&amp;"_"&amp;Linha_Criativa&amp;"_"&amp;IF(Servido_Por="portal",Veiculo,"adserver"))</f>
        <v>vw____adserver</v>
      </c>
      <c r="AP6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5" s="22" t="str">
        <f t="shared" si="1"/>
        <v/>
      </c>
      <c r="AS675" s="22" t="str">
        <f t="shared" si="2"/>
        <v/>
      </c>
      <c r="AT675" s="22" t="str">
        <f t="shared" si="3"/>
        <v>BR_IMC_DSY_LANCH_ND_NC_2020Q3AUG_NVS_Nivus-Launch-Consideracao</v>
      </c>
      <c r="AU675" s="22" t="str">
        <f t="shared" si="4"/>
        <v>#N/A</v>
      </c>
      <c r="AV675" s="22" t="s">
        <v>106</v>
      </c>
      <c r="AW6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5" s="22" t="str">
        <f t="shared" si="5"/>
        <v>BR_IMC_DSY_LANCH_ND_NC_2020Q3AUG_NVS_Nivus-Launch-Consideracao</v>
      </c>
      <c r="AY675" s="28" t="str">
        <f t="shared" si="6"/>
        <v>#N/A</v>
      </c>
      <c r="AZ675" s="22" t="s">
        <v>107</v>
      </c>
      <c r="BA675" s="22" t="s">
        <v>108</v>
      </c>
      <c r="BB675" s="31" t="s">
        <v>109</v>
      </c>
      <c r="BC675" s="31" t="s">
        <v>109</v>
      </c>
      <c r="BD675" s="32" t="str">
        <f t="shared" si="8"/>
        <v>nvl-nvs-imc-dsy-0820-10669</v>
      </c>
      <c r="BE675" s="33"/>
      <c r="BF675" s="33"/>
      <c r="BG675" s="39" t="str">
        <f>URL&amp;IF(ISNUMBER(FIND("?",URL)),"&amp;","?"&amp;("adlid="&amp;Unique_ID&amp;"&amp;adplt="&amp;Placement))</f>
        <v>#N/A</v>
      </c>
      <c r="BH675" s="1"/>
      <c r="BI675" s="1"/>
      <c r="BJ675" s="35" t="str">
        <f>LOWER("alp"&amp;"_"&amp;"vw"&amp;"_"&amp;Veiculo&amp;"_"&amp;C671&amp;"_"&amp;Objetivo)</f>
        <v>alp_vw___</v>
      </c>
      <c r="BK675" s="35" t="str">
        <f>LOWER(Buying_Metric&amp;"_"&amp;VLOOKUP(Buying_Type,Buy_type,2,FALSE)&amp;"_"&amp;Device&amp;"_"&amp;Size&amp;"_"&amp;Segmentação&amp;"_"&amp;Segmentação_Anúncio)</f>
        <v>#N/A</v>
      </c>
      <c r="BL675" s="35" t="str">
        <f>LOWER(Campanha_ou_InsertionOrder&amp;"_"&amp;LineItem_ou_Grupodeanúncio&amp;"_"&amp;Linha_criativa_2&amp;"_"&amp;Unique_ID)</f>
        <v>#N/A</v>
      </c>
      <c r="BM675" s="27"/>
      <c r="BN675" s="27"/>
    </row>
    <row r="676">
      <c r="A676" s="1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8" t="str">
        <f>LOWER(Campanha_ou_InsertionOrder&amp;"_"&amp;LineItem_ou_Grupodeanúncio&amp;"_"&amp;Linha_Criativa&amp;"_"&amp;Unique_ID)</f>
        <v>#N/A</v>
      </c>
      <c r="AN676" s="28" t="str">
        <f>LOWER(Campanha_ou_InsertionOrder&amp;"_"&amp;LineItem_ou_Grupodeanúncio&amp;"_"&amp;Linha_Criativa&amp;"_"&amp;Unique_ID)</f>
        <v>#N/A</v>
      </c>
      <c r="AO676" s="28" t="str">
        <f>LOWER("VW"&amp;"_"&amp;Model_Variant&amp;"_"&amp;Size&amp;"_"&amp;Linha_Criativa&amp;"_"&amp;IF(Servido_Por="portal",Veiculo,"adserver"))</f>
        <v>vw____adserver</v>
      </c>
      <c r="AP6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6" s="22" t="str">
        <f t="shared" si="1"/>
        <v/>
      </c>
      <c r="AS676" s="22" t="str">
        <f t="shared" si="2"/>
        <v/>
      </c>
      <c r="AT676" s="22" t="str">
        <f t="shared" si="3"/>
        <v>BR_IMC_DSY_LANCH_ND_NC_2020Q3AUG_NVS_Nivus-Launch-Consideracao</v>
      </c>
      <c r="AU676" s="22" t="str">
        <f t="shared" si="4"/>
        <v>#N/A</v>
      </c>
      <c r="AV676" s="22" t="s">
        <v>106</v>
      </c>
      <c r="AW6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6" s="22" t="str">
        <f t="shared" si="5"/>
        <v>BR_IMC_DSY_LANCH_ND_NC_2020Q3AUG_NVS_Nivus-Launch-Consideracao</v>
      </c>
      <c r="AY676" s="28" t="str">
        <f t="shared" si="6"/>
        <v>#N/A</v>
      </c>
      <c r="AZ676" s="22" t="s">
        <v>107</v>
      </c>
      <c r="BA676" s="22" t="s">
        <v>108</v>
      </c>
      <c r="BB676" s="31" t="s">
        <v>109</v>
      </c>
      <c r="BC676" s="31" t="s">
        <v>109</v>
      </c>
      <c r="BD676" s="32" t="str">
        <f t="shared" si="8"/>
        <v>nvl-nvs-imc-dsy-0820-10670</v>
      </c>
      <c r="BE676" s="33"/>
      <c r="BF676" s="33"/>
      <c r="BG676" s="39" t="str">
        <f>URL&amp;IF(ISNUMBER(FIND("?",URL)),"&amp;","?"&amp;("adlid="&amp;Unique_ID&amp;"&amp;adplt="&amp;Placement))</f>
        <v>#N/A</v>
      </c>
      <c r="BH676" s="1"/>
      <c r="BI676" s="1"/>
      <c r="BJ676" s="35" t="str">
        <f>LOWER("alp"&amp;"_"&amp;"vw"&amp;"_"&amp;Veiculo&amp;"_"&amp;C672&amp;"_"&amp;Objetivo)</f>
        <v>alp_vw___</v>
      </c>
      <c r="BK676" s="35" t="str">
        <f>LOWER(Buying_Metric&amp;"_"&amp;VLOOKUP(Buying_Type,Buy_type,2,FALSE)&amp;"_"&amp;Device&amp;"_"&amp;Size&amp;"_"&amp;Segmentação&amp;"_"&amp;Segmentação_Anúncio)</f>
        <v>#N/A</v>
      </c>
      <c r="BL676" s="35" t="str">
        <f>LOWER(Campanha_ou_InsertionOrder&amp;"_"&amp;LineItem_ou_Grupodeanúncio&amp;"_"&amp;Linha_criativa_2&amp;"_"&amp;Unique_ID)</f>
        <v>#N/A</v>
      </c>
      <c r="BM676" s="27"/>
      <c r="BN676" s="27"/>
    </row>
    <row r="677">
      <c r="A677" s="1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8" t="str">
        <f>LOWER(Campanha_ou_InsertionOrder&amp;"_"&amp;LineItem_ou_Grupodeanúncio&amp;"_"&amp;Linha_Criativa&amp;"_"&amp;Unique_ID)</f>
        <v>#N/A</v>
      </c>
      <c r="AN677" s="28" t="str">
        <f>LOWER(Campanha_ou_InsertionOrder&amp;"_"&amp;LineItem_ou_Grupodeanúncio&amp;"_"&amp;Linha_Criativa&amp;"_"&amp;Unique_ID)</f>
        <v>#N/A</v>
      </c>
      <c r="AO677" s="28" t="str">
        <f>LOWER("VW"&amp;"_"&amp;Model_Variant&amp;"_"&amp;Size&amp;"_"&amp;Linha_Criativa&amp;"_"&amp;IF(Servido_Por="portal",Veiculo,"adserver"))</f>
        <v>vw____adserver</v>
      </c>
      <c r="AP6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7" s="22" t="str">
        <f t="shared" si="1"/>
        <v/>
      </c>
      <c r="AS677" s="22" t="str">
        <f t="shared" si="2"/>
        <v/>
      </c>
      <c r="AT677" s="22" t="str">
        <f t="shared" si="3"/>
        <v>BR_IMC_DSY_LANCH_ND_NC_2020Q3AUG_NVS_Nivus-Launch-Consideracao</v>
      </c>
      <c r="AU677" s="22" t="str">
        <f t="shared" si="4"/>
        <v>#N/A</v>
      </c>
      <c r="AV677" s="22" t="s">
        <v>106</v>
      </c>
      <c r="AW6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7" s="22" t="str">
        <f t="shared" si="5"/>
        <v>BR_IMC_DSY_LANCH_ND_NC_2020Q3AUG_NVS_Nivus-Launch-Consideracao</v>
      </c>
      <c r="AY677" s="28" t="str">
        <f t="shared" si="6"/>
        <v>#N/A</v>
      </c>
      <c r="AZ677" s="22" t="s">
        <v>107</v>
      </c>
      <c r="BA677" s="22" t="s">
        <v>108</v>
      </c>
      <c r="BB677" s="31" t="s">
        <v>109</v>
      </c>
      <c r="BC677" s="31" t="s">
        <v>109</v>
      </c>
      <c r="BD677" s="32" t="str">
        <f t="shared" si="8"/>
        <v>nvl-nvs-imc-dsy-0820-10671</v>
      </c>
      <c r="BE677" s="33"/>
      <c r="BF677" s="33"/>
      <c r="BG677" s="39" t="str">
        <f>URL&amp;IF(ISNUMBER(FIND("?",URL)),"&amp;","?"&amp;("adlid="&amp;Unique_ID&amp;"&amp;adplt="&amp;Placement))</f>
        <v>#N/A</v>
      </c>
      <c r="BH677" s="1"/>
      <c r="BI677" s="1"/>
      <c r="BJ677" s="35" t="str">
        <f>LOWER("alp"&amp;"_"&amp;"vw"&amp;"_"&amp;Veiculo&amp;"_"&amp;C673&amp;"_"&amp;Objetivo)</f>
        <v>alp_vw___</v>
      </c>
      <c r="BK677" s="35" t="str">
        <f>LOWER(Buying_Metric&amp;"_"&amp;VLOOKUP(Buying_Type,Buy_type,2,FALSE)&amp;"_"&amp;Device&amp;"_"&amp;Size&amp;"_"&amp;Segmentação&amp;"_"&amp;Segmentação_Anúncio)</f>
        <v>#N/A</v>
      </c>
      <c r="BL677" s="35" t="str">
        <f>LOWER(Campanha_ou_InsertionOrder&amp;"_"&amp;LineItem_ou_Grupodeanúncio&amp;"_"&amp;Linha_criativa_2&amp;"_"&amp;Unique_ID)</f>
        <v>#N/A</v>
      </c>
      <c r="BM677" s="27"/>
      <c r="BN677" s="27"/>
    </row>
    <row r="678">
      <c r="A678" s="1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8" t="str">
        <f>LOWER(Campanha_ou_InsertionOrder&amp;"_"&amp;LineItem_ou_Grupodeanúncio&amp;"_"&amp;Linha_Criativa&amp;"_"&amp;Unique_ID)</f>
        <v>#N/A</v>
      </c>
      <c r="AN678" s="28" t="str">
        <f>LOWER(Campanha_ou_InsertionOrder&amp;"_"&amp;LineItem_ou_Grupodeanúncio&amp;"_"&amp;Linha_Criativa&amp;"_"&amp;Unique_ID)</f>
        <v>#N/A</v>
      </c>
      <c r="AO678" s="28" t="str">
        <f>LOWER("VW"&amp;"_"&amp;Model_Variant&amp;"_"&amp;Size&amp;"_"&amp;Linha_Criativa&amp;"_"&amp;IF(Servido_Por="portal",Veiculo,"adserver"))</f>
        <v>vw____adserver</v>
      </c>
      <c r="AP6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8" s="22" t="str">
        <f t="shared" si="1"/>
        <v/>
      </c>
      <c r="AS678" s="22" t="str">
        <f t="shared" si="2"/>
        <v/>
      </c>
      <c r="AT678" s="22" t="str">
        <f t="shared" si="3"/>
        <v>BR_IMC_DSY_LANCH_ND_NC_2020Q3AUG_NVS_Nivus-Launch-Consideracao</v>
      </c>
      <c r="AU678" s="22" t="str">
        <f t="shared" si="4"/>
        <v>#N/A</v>
      </c>
      <c r="AV678" s="22" t="s">
        <v>106</v>
      </c>
      <c r="AW6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8" s="22" t="str">
        <f t="shared" si="5"/>
        <v>BR_IMC_DSY_LANCH_ND_NC_2020Q3AUG_NVS_Nivus-Launch-Consideracao</v>
      </c>
      <c r="AY678" s="28" t="str">
        <f t="shared" si="6"/>
        <v>#N/A</v>
      </c>
      <c r="AZ678" s="22" t="s">
        <v>107</v>
      </c>
      <c r="BA678" s="22" t="s">
        <v>108</v>
      </c>
      <c r="BB678" s="31" t="s">
        <v>109</v>
      </c>
      <c r="BC678" s="31" t="s">
        <v>109</v>
      </c>
      <c r="BD678" s="32" t="str">
        <f t="shared" si="8"/>
        <v>nvl-nvs-imc-dsy-0820-10672</v>
      </c>
      <c r="BE678" s="33"/>
      <c r="BF678" s="33"/>
      <c r="BG678" s="39" t="str">
        <f>URL&amp;IF(ISNUMBER(FIND("?",URL)),"&amp;","?"&amp;("adlid="&amp;Unique_ID&amp;"&amp;adplt="&amp;Placement))</f>
        <v>#N/A</v>
      </c>
      <c r="BH678" s="1"/>
      <c r="BI678" s="1"/>
      <c r="BJ678" s="35" t="str">
        <f>LOWER("alp"&amp;"_"&amp;"vw"&amp;"_"&amp;Veiculo&amp;"_"&amp;C674&amp;"_"&amp;Objetivo)</f>
        <v>alp_vw___</v>
      </c>
      <c r="BK678" s="35" t="str">
        <f>LOWER(Buying_Metric&amp;"_"&amp;VLOOKUP(Buying_Type,Buy_type,2,FALSE)&amp;"_"&amp;Device&amp;"_"&amp;Size&amp;"_"&amp;Segmentação&amp;"_"&amp;Segmentação_Anúncio)</f>
        <v>#N/A</v>
      </c>
      <c r="BL678" s="35" t="str">
        <f>LOWER(Campanha_ou_InsertionOrder&amp;"_"&amp;LineItem_ou_Grupodeanúncio&amp;"_"&amp;Linha_criativa_2&amp;"_"&amp;Unique_ID)</f>
        <v>#N/A</v>
      </c>
      <c r="BM678" s="27"/>
      <c r="BN678" s="27"/>
    </row>
    <row r="679">
      <c r="A679" s="1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8" t="str">
        <f>LOWER(Campanha_ou_InsertionOrder&amp;"_"&amp;LineItem_ou_Grupodeanúncio&amp;"_"&amp;Linha_Criativa&amp;"_"&amp;Unique_ID)</f>
        <v>#N/A</v>
      </c>
      <c r="AN679" s="28" t="str">
        <f>LOWER(Campanha_ou_InsertionOrder&amp;"_"&amp;LineItem_ou_Grupodeanúncio&amp;"_"&amp;Linha_Criativa&amp;"_"&amp;Unique_ID)</f>
        <v>#N/A</v>
      </c>
      <c r="AO679" s="28" t="str">
        <f>LOWER("VW"&amp;"_"&amp;Model_Variant&amp;"_"&amp;Size&amp;"_"&amp;Linha_Criativa&amp;"_"&amp;IF(Servido_Por="portal",Veiculo,"adserver"))</f>
        <v>vw____adserver</v>
      </c>
      <c r="AP6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79" s="22" t="str">
        <f t="shared" si="1"/>
        <v/>
      </c>
      <c r="AS679" s="22" t="str">
        <f t="shared" si="2"/>
        <v/>
      </c>
      <c r="AT679" s="22" t="str">
        <f t="shared" si="3"/>
        <v>BR_IMC_DSY_LANCH_ND_NC_2020Q3AUG_NVS_Nivus-Launch-Consideracao</v>
      </c>
      <c r="AU679" s="22" t="str">
        <f t="shared" si="4"/>
        <v>#N/A</v>
      </c>
      <c r="AV679" s="22" t="s">
        <v>106</v>
      </c>
      <c r="AW6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79" s="22" t="str">
        <f t="shared" si="5"/>
        <v>BR_IMC_DSY_LANCH_ND_NC_2020Q3AUG_NVS_Nivus-Launch-Consideracao</v>
      </c>
      <c r="AY679" s="28" t="str">
        <f t="shared" si="6"/>
        <v>#N/A</v>
      </c>
      <c r="AZ679" s="22" t="s">
        <v>107</v>
      </c>
      <c r="BA679" s="22" t="s">
        <v>108</v>
      </c>
      <c r="BB679" s="31" t="s">
        <v>109</v>
      </c>
      <c r="BC679" s="31" t="s">
        <v>109</v>
      </c>
      <c r="BD679" s="32" t="str">
        <f t="shared" si="8"/>
        <v>nvl-nvs-imc-dsy-0820-10673</v>
      </c>
      <c r="BE679" s="33"/>
      <c r="BF679" s="33"/>
      <c r="BG679" s="39" t="str">
        <f>URL&amp;IF(ISNUMBER(FIND("?",URL)),"&amp;","?"&amp;("adlid="&amp;Unique_ID&amp;"&amp;adplt="&amp;Placement))</f>
        <v>#N/A</v>
      </c>
      <c r="BH679" s="1"/>
      <c r="BI679" s="1"/>
      <c r="BJ679" s="35" t="str">
        <f>LOWER("alp"&amp;"_"&amp;"vw"&amp;"_"&amp;Veiculo&amp;"_"&amp;C675&amp;"_"&amp;Objetivo)</f>
        <v>alp_vw___</v>
      </c>
      <c r="BK679" s="35" t="str">
        <f>LOWER(Buying_Metric&amp;"_"&amp;VLOOKUP(Buying_Type,Buy_type,2,FALSE)&amp;"_"&amp;Device&amp;"_"&amp;Size&amp;"_"&amp;Segmentação&amp;"_"&amp;Segmentação_Anúncio)</f>
        <v>#N/A</v>
      </c>
      <c r="BL679" s="35" t="str">
        <f>LOWER(Campanha_ou_InsertionOrder&amp;"_"&amp;LineItem_ou_Grupodeanúncio&amp;"_"&amp;Linha_criativa_2&amp;"_"&amp;Unique_ID)</f>
        <v>#N/A</v>
      </c>
      <c r="BM679" s="27"/>
      <c r="BN679" s="27"/>
    </row>
    <row r="680">
      <c r="A680" s="1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8" t="str">
        <f>LOWER(Campanha_ou_InsertionOrder&amp;"_"&amp;LineItem_ou_Grupodeanúncio&amp;"_"&amp;Linha_Criativa&amp;"_"&amp;Unique_ID)</f>
        <v>#N/A</v>
      </c>
      <c r="AN680" s="28" t="str">
        <f>LOWER(Campanha_ou_InsertionOrder&amp;"_"&amp;LineItem_ou_Grupodeanúncio&amp;"_"&amp;Linha_Criativa&amp;"_"&amp;Unique_ID)</f>
        <v>#N/A</v>
      </c>
      <c r="AO680" s="28" t="str">
        <f>LOWER("VW"&amp;"_"&amp;Model_Variant&amp;"_"&amp;Size&amp;"_"&amp;Linha_Criativa&amp;"_"&amp;IF(Servido_Por="portal",Veiculo,"adserver"))</f>
        <v>vw____adserver</v>
      </c>
      <c r="AP6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0" s="22" t="str">
        <f t="shared" si="1"/>
        <v/>
      </c>
      <c r="AS680" s="22" t="str">
        <f t="shared" si="2"/>
        <v/>
      </c>
      <c r="AT680" s="22" t="str">
        <f t="shared" si="3"/>
        <v>BR_IMC_DSY_LANCH_ND_NC_2020Q3AUG_NVS_Nivus-Launch-Consideracao</v>
      </c>
      <c r="AU680" s="22" t="str">
        <f t="shared" si="4"/>
        <v>#N/A</v>
      </c>
      <c r="AV680" s="22" t="s">
        <v>106</v>
      </c>
      <c r="AW6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0" s="22" t="str">
        <f t="shared" si="5"/>
        <v>BR_IMC_DSY_LANCH_ND_NC_2020Q3AUG_NVS_Nivus-Launch-Consideracao</v>
      </c>
      <c r="AY680" s="28" t="str">
        <f t="shared" si="6"/>
        <v>#N/A</v>
      </c>
      <c r="AZ680" s="22" t="s">
        <v>107</v>
      </c>
      <c r="BA680" s="22" t="s">
        <v>108</v>
      </c>
      <c r="BB680" s="31" t="s">
        <v>109</v>
      </c>
      <c r="BC680" s="31" t="s">
        <v>109</v>
      </c>
      <c r="BD680" s="32" t="str">
        <f t="shared" si="8"/>
        <v>nvl-nvs-imc-dsy-0820-10674</v>
      </c>
      <c r="BE680" s="33"/>
      <c r="BF680" s="33"/>
      <c r="BG680" s="39" t="str">
        <f>URL&amp;IF(ISNUMBER(FIND("?",URL)),"&amp;","?"&amp;("adlid="&amp;Unique_ID&amp;"&amp;adplt="&amp;Placement))</f>
        <v>#N/A</v>
      </c>
      <c r="BH680" s="1"/>
      <c r="BI680" s="1"/>
      <c r="BJ680" s="35" t="str">
        <f>LOWER("alp"&amp;"_"&amp;"vw"&amp;"_"&amp;Veiculo&amp;"_"&amp;C676&amp;"_"&amp;Objetivo)</f>
        <v>alp_vw___</v>
      </c>
      <c r="BK680" s="35" t="str">
        <f>LOWER(Buying_Metric&amp;"_"&amp;VLOOKUP(Buying_Type,Buy_type,2,FALSE)&amp;"_"&amp;Device&amp;"_"&amp;Size&amp;"_"&amp;Segmentação&amp;"_"&amp;Segmentação_Anúncio)</f>
        <v>#N/A</v>
      </c>
      <c r="BL680" s="35" t="str">
        <f>LOWER(Campanha_ou_InsertionOrder&amp;"_"&amp;LineItem_ou_Grupodeanúncio&amp;"_"&amp;Linha_criativa_2&amp;"_"&amp;Unique_ID)</f>
        <v>#N/A</v>
      </c>
      <c r="BM680" s="27"/>
      <c r="BN680" s="27"/>
    </row>
    <row r="681">
      <c r="A681" s="1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8" t="str">
        <f>LOWER(Campanha_ou_InsertionOrder&amp;"_"&amp;LineItem_ou_Grupodeanúncio&amp;"_"&amp;Linha_Criativa&amp;"_"&amp;Unique_ID)</f>
        <v>#N/A</v>
      </c>
      <c r="AN681" s="28" t="str">
        <f>LOWER(Campanha_ou_InsertionOrder&amp;"_"&amp;LineItem_ou_Grupodeanúncio&amp;"_"&amp;Linha_Criativa&amp;"_"&amp;Unique_ID)</f>
        <v>#N/A</v>
      </c>
      <c r="AO681" s="28" t="str">
        <f>LOWER("VW"&amp;"_"&amp;Model_Variant&amp;"_"&amp;Size&amp;"_"&amp;Linha_Criativa&amp;"_"&amp;IF(Servido_Por="portal",Veiculo,"adserver"))</f>
        <v>vw____adserver</v>
      </c>
      <c r="AP6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1" s="22" t="str">
        <f t="shared" si="1"/>
        <v/>
      </c>
      <c r="AS681" s="22" t="str">
        <f t="shared" si="2"/>
        <v/>
      </c>
      <c r="AT681" s="22" t="str">
        <f t="shared" si="3"/>
        <v>BR_IMC_DSY_LANCH_ND_NC_2020Q3AUG_NVS_Nivus-Launch-Consideracao</v>
      </c>
      <c r="AU681" s="22" t="str">
        <f t="shared" si="4"/>
        <v>#N/A</v>
      </c>
      <c r="AV681" s="22" t="s">
        <v>106</v>
      </c>
      <c r="AW6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1" s="22" t="str">
        <f t="shared" si="5"/>
        <v>BR_IMC_DSY_LANCH_ND_NC_2020Q3AUG_NVS_Nivus-Launch-Consideracao</v>
      </c>
      <c r="AY681" s="28" t="str">
        <f t="shared" si="6"/>
        <v>#N/A</v>
      </c>
      <c r="AZ681" s="22" t="s">
        <v>107</v>
      </c>
      <c r="BA681" s="22" t="s">
        <v>108</v>
      </c>
      <c r="BB681" s="31" t="s">
        <v>109</v>
      </c>
      <c r="BC681" s="31" t="s">
        <v>109</v>
      </c>
      <c r="BD681" s="32" t="str">
        <f t="shared" si="8"/>
        <v>nvl-nvs-imc-dsy-0820-10675</v>
      </c>
      <c r="BE681" s="33"/>
      <c r="BF681" s="33"/>
      <c r="BG681" s="39" t="str">
        <f>URL&amp;IF(ISNUMBER(FIND("?",URL)),"&amp;","?"&amp;("adlid="&amp;Unique_ID&amp;"&amp;adplt="&amp;Placement))</f>
        <v>#N/A</v>
      </c>
      <c r="BH681" s="1"/>
      <c r="BI681" s="1"/>
      <c r="BJ681" s="35" t="str">
        <f>LOWER("alp"&amp;"_"&amp;"vw"&amp;"_"&amp;Veiculo&amp;"_"&amp;C677&amp;"_"&amp;Objetivo)</f>
        <v>alp_vw___</v>
      </c>
      <c r="BK681" s="35" t="str">
        <f>LOWER(Buying_Metric&amp;"_"&amp;VLOOKUP(Buying_Type,Buy_type,2,FALSE)&amp;"_"&amp;Device&amp;"_"&amp;Size&amp;"_"&amp;Segmentação&amp;"_"&amp;Segmentação_Anúncio)</f>
        <v>#N/A</v>
      </c>
      <c r="BL681" s="35" t="str">
        <f>LOWER(Campanha_ou_InsertionOrder&amp;"_"&amp;LineItem_ou_Grupodeanúncio&amp;"_"&amp;Linha_criativa_2&amp;"_"&amp;Unique_ID)</f>
        <v>#N/A</v>
      </c>
      <c r="BM681" s="27"/>
      <c r="BN681" s="27"/>
    </row>
    <row r="682">
      <c r="A682" s="1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8" t="str">
        <f>LOWER(Campanha_ou_InsertionOrder&amp;"_"&amp;LineItem_ou_Grupodeanúncio&amp;"_"&amp;Linha_Criativa&amp;"_"&amp;Unique_ID)</f>
        <v>#N/A</v>
      </c>
      <c r="AN682" s="28" t="str">
        <f>LOWER(Campanha_ou_InsertionOrder&amp;"_"&amp;LineItem_ou_Grupodeanúncio&amp;"_"&amp;Linha_Criativa&amp;"_"&amp;Unique_ID)</f>
        <v>#N/A</v>
      </c>
      <c r="AO682" s="28" t="str">
        <f>LOWER("VW"&amp;"_"&amp;Model_Variant&amp;"_"&amp;Size&amp;"_"&amp;Linha_Criativa&amp;"_"&amp;IF(Servido_Por="portal",Veiculo,"adserver"))</f>
        <v>vw____adserver</v>
      </c>
      <c r="AP6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2" s="22" t="str">
        <f t="shared" si="1"/>
        <v/>
      </c>
      <c r="AS682" s="22" t="str">
        <f t="shared" si="2"/>
        <v/>
      </c>
      <c r="AT682" s="22" t="str">
        <f t="shared" si="3"/>
        <v>BR_IMC_DSY_LANCH_ND_NC_2020Q3AUG_NVS_Nivus-Launch-Consideracao</v>
      </c>
      <c r="AU682" s="22" t="str">
        <f t="shared" si="4"/>
        <v>#N/A</v>
      </c>
      <c r="AV682" s="22" t="s">
        <v>106</v>
      </c>
      <c r="AW6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2" s="22" t="str">
        <f t="shared" si="5"/>
        <v>BR_IMC_DSY_LANCH_ND_NC_2020Q3AUG_NVS_Nivus-Launch-Consideracao</v>
      </c>
      <c r="AY682" s="28" t="str">
        <f t="shared" si="6"/>
        <v>#N/A</v>
      </c>
      <c r="AZ682" s="22" t="s">
        <v>107</v>
      </c>
      <c r="BA682" s="22" t="s">
        <v>108</v>
      </c>
      <c r="BB682" s="31" t="s">
        <v>109</v>
      </c>
      <c r="BC682" s="31" t="s">
        <v>109</v>
      </c>
      <c r="BD682" s="32" t="str">
        <f t="shared" si="8"/>
        <v>nvl-nvs-imc-dsy-0820-10676</v>
      </c>
      <c r="BE682" s="33"/>
      <c r="BF682" s="33"/>
      <c r="BG682" s="39" t="str">
        <f>URL&amp;IF(ISNUMBER(FIND("?",URL)),"&amp;","?"&amp;("adlid="&amp;Unique_ID&amp;"&amp;adplt="&amp;Placement))</f>
        <v>#N/A</v>
      </c>
      <c r="BH682" s="1"/>
      <c r="BI682" s="1"/>
      <c r="BJ682" s="35" t="str">
        <f>LOWER("alp"&amp;"_"&amp;"vw"&amp;"_"&amp;Veiculo&amp;"_"&amp;C678&amp;"_"&amp;Objetivo)</f>
        <v>alp_vw___</v>
      </c>
      <c r="BK682" s="35" t="str">
        <f>LOWER(Buying_Metric&amp;"_"&amp;VLOOKUP(Buying_Type,Buy_type,2,FALSE)&amp;"_"&amp;Device&amp;"_"&amp;Size&amp;"_"&amp;Segmentação&amp;"_"&amp;Segmentação_Anúncio)</f>
        <v>#N/A</v>
      </c>
      <c r="BL682" s="35" t="str">
        <f>LOWER(Campanha_ou_InsertionOrder&amp;"_"&amp;LineItem_ou_Grupodeanúncio&amp;"_"&amp;Linha_criativa_2&amp;"_"&amp;Unique_ID)</f>
        <v>#N/A</v>
      </c>
      <c r="BM682" s="27"/>
      <c r="BN682" s="27"/>
    </row>
    <row r="683">
      <c r="A683" s="1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8" t="str">
        <f>LOWER(Campanha_ou_InsertionOrder&amp;"_"&amp;LineItem_ou_Grupodeanúncio&amp;"_"&amp;Linha_Criativa&amp;"_"&amp;Unique_ID)</f>
        <v>#N/A</v>
      </c>
      <c r="AN683" s="28" t="str">
        <f>LOWER(Campanha_ou_InsertionOrder&amp;"_"&amp;LineItem_ou_Grupodeanúncio&amp;"_"&amp;Linha_Criativa&amp;"_"&amp;Unique_ID)</f>
        <v>#N/A</v>
      </c>
      <c r="AO683" s="28" t="str">
        <f>LOWER("VW"&amp;"_"&amp;Model_Variant&amp;"_"&amp;Size&amp;"_"&amp;Linha_Criativa&amp;"_"&amp;IF(Servido_Por="portal",Veiculo,"adserver"))</f>
        <v>vw____adserver</v>
      </c>
      <c r="AP6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3" s="22" t="str">
        <f t="shared" si="1"/>
        <v/>
      </c>
      <c r="AS683" s="22" t="str">
        <f t="shared" si="2"/>
        <v/>
      </c>
      <c r="AT683" s="22" t="str">
        <f t="shared" si="3"/>
        <v>BR_IMC_DSY_LANCH_ND_NC_2020Q3AUG_NVS_Nivus-Launch-Consideracao</v>
      </c>
      <c r="AU683" s="22" t="str">
        <f t="shared" si="4"/>
        <v>#N/A</v>
      </c>
      <c r="AV683" s="22" t="s">
        <v>106</v>
      </c>
      <c r="AW6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3" s="22" t="str">
        <f t="shared" si="5"/>
        <v>BR_IMC_DSY_LANCH_ND_NC_2020Q3AUG_NVS_Nivus-Launch-Consideracao</v>
      </c>
      <c r="AY683" s="28" t="str">
        <f t="shared" si="6"/>
        <v>#N/A</v>
      </c>
      <c r="AZ683" s="22" t="s">
        <v>107</v>
      </c>
      <c r="BA683" s="22" t="s">
        <v>108</v>
      </c>
      <c r="BB683" s="31" t="s">
        <v>109</v>
      </c>
      <c r="BC683" s="31" t="s">
        <v>109</v>
      </c>
      <c r="BD683" s="32" t="str">
        <f t="shared" si="8"/>
        <v>nvl-nvs-imc-dsy-0820-10677</v>
      </c>
      <c r="BE683" s="33"/>
      <c r="BF683" s="33"/>
      <c r="BG683" s="39" t="str">
        <f>URL&amp;IF(ISNUMBER(FIND("?",URL)),"&amp;","?"&amp;("adlid="&amp;Unique_ID&amp;"&amp;adplt="&amp;Placement))</f>
        <v>#N/A</v>
      </c>
      <c r="BH683" s="1"/>
      <c r="BI683" s="1"/>
      <c r="BJ683" s="35" t="str">
        <f>LOWER("alp"&amp;"_"&amp;"vw"&amp;"_"&amp;Veiculo&amp;"_"&amp;C679&amp;"_"&amp;Objetivo)</f>
        <v>alp_vw___</v>
      </c>
      <c r="BK683" s="35" t="str">
        <f>LOWER(Buying_Metric&amp;"_"&amp;VLOOKUP(Buying_Type,Buy_type,2,FALSE)&amp;"_"&amp;Device&amp;"_"&amp;Size&amp;"_"&amp;Segmentação&amp;"_"&amp;Segmentação_Anúncio)</f>
        <v>#N/A</v>
      </c>
      <c r="BL683" s="35" t="str">
        <f>LOWER(Campanha_ou_InsertionOrder&amp;"_"&amp;LineItem_ou_Grupodeanúncio&amp;"_"&amp;Linha_criativa_2&amp;"_"&amp;Unique_ID)</f>
        <v>#N/A</v>
      </c>
      <c r="BM683" s="27"/>
      <c r="BN683" s="27"/>
    </row>
    <row r="684">
      <c r="A684" s="1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8" t="str">
        <f>LOWER(Campanha_ou_InsertionOrder&amp;"_"&amp;LineItem_ou_Grupodeanúncio&amp;"_"&amp;Linha_Criativa&amp;"_"&amp;Unique_ID)</f>
        <v>#N/A</v>
      </c>
      <c r="AN684" s="28" t="str">
        <f>LOWER(Campanha_ou_InsertionOrder&amp;"_"&amp;LineItem_ou_Grupodeanúncio&amp;"_"&amp;Linha_Criativa&amp;"_"&amp;Unique_ID)</f>
        <v>#N/A</v>
      </c>
      <c r="AO684" s="28" t="str">
        <f>LOWER("VW"&amp;"_"&amp;Model_Variant&amp;"_"&amp;Size&amp;"_"&amp;Linha_Criativa&amp;"_"&amp;IF(Servido_Por="portal",Veiculo,"adserver"))</f>
        <v>vw____adserver</v>
      </c>
      <c r="AP6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4" s="22" t="str">
        <f t="shared" si="1"/>
        <v/>
      </c>
      <c r="AS684" s="22" t="str">
        <f t="shared" si="2"/>
        <v/>
      </c>
      <c r="AT684" s="22" t="str">
        <f t="shared" si="3"/>
        <v>BR_IMC_DSY_LANCH_ND_NC_2020Q3AUG_NVS_Nivus-Launch-Consideracao</v>
      </c>
      <c r="AU684" s="22" t="str">
        <f t="shared" si="4"/>
        <v>#N/A</v>
      </c>
      <c r="AV684" s="22" t="s">
        <v>106</v>
      </c>
      <c r="AW6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4" s="22" t="str">
        <f t="shared" si="5"/>
        <v>BR_IMC_DSY_LANCH_ND_NC_2020Q3AUG_NVS_Nivus-Launch-Consideracao</v>
      </c>
      <c r="AY684" s="28" t="str">
        <f t="shared" si="6"/>
        <v>#N/A</v>
      </c>
      <c r="AZ684" s="22" t="s">
        <v>107</v>
      </c>
      <c r="BA684" s="22" t="s">
        <v>108</v>
      </c>
      <c r="BB684" s="31" t="s">
        <v>109</v>
      </c>
      <c r="BC684" s="31" t="s">
        <v>109</v>
      </c>
      <c r="BD684" s="32" t="str">
        <f t="shared" si="8"/>
        <v>nvl-nvs-imc-dsy-0820-10678</v>
      </c>
      <c r="BE684" s="33"/>
      <c r="BF684" s="33"/>
      <c r="BG684" s="39" t="str">
        <f>URL&amp;IF(ISNUMBER(FIND("?",URL)),"&amp;","?"&amp;("adlid="&amp;Unique_ID&amp;"&amp;adplt="&amp;Placement))</f>
        <v>#N/A</v>
      </c>
      <c r="BH684" s="1"/>
      <c r="BI684" s="1"/>
      <c r="BJ684" s="35" t="str">
        <f>LOWER("alp"&amp;"_"&amp;"vw"&amp;"_"&amp;Veiculo&amp;"_"&amp;C680&amp;"_"&amp;Objetivo)</f>
        <v>alp_vw___</v>
      </c>
      <c r="BK684" s="35" t="str">
        <f>LOWER(Buying_Metric&amp;"_"&amp;VLOOKUP(Buying_Type,Buy_type,2,FALSE)&amp;"_"&amp;Device&amp;"_"&amp;Size&amp;"_"&amp;Segmentação&amp;"_"&amp;Segmentação_Anúncio)</f>
        <v>#N/A</v>
      </c>
      <c r="BL684" s="35" t="str">
        <f>LOWER(Campanha_ou_InsertionOrder&amp;"_"&amp;LineItem_ou_Grupodeanúncio&amp;"_"&amp;Linha_criativa_2&amp;"_"&amp;Unique_ID)</f>
        <v>#N/A</v>
      </c>
      <c r="BM684" s="27"/>
      <c r="BN684" s="27"/>
    </row>
    <row r="685">
      <c r="A685" s="1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8" t="str">
        <f>LOWER(Campanha_ou_InsertionOrder&amp;"_"&amp;LineItem_ou_Grupodeanúncio&amp;"_"&amp;Linha_Criativa&amp;"_"&amp;Unique_ID)</f>
        <v>#N/A</v>
      </c>
      <c r="AN685" s="28" t="str">
        <f>LOWER(Campanha_ou_InsertionOrder&amp;"_"&amp;LineItem_ou_Grupodeanúncio&amp;"_"&amp;Linha_Criativa&amp;"_"&amp;Unique_ID)</f>
        <v>#N/A</v>
      </c>
      <c r="AO685" s="28" t="str">
        <f>LOWER("VW"&amp;"_"&amp;Model_Variant&amp;"_"&amp;Size&amp;"_"&amp;Linha_Criativa&amp;"_"&amp;IF(Servido_Por="portal",Veiculo,"adserver"))</f>
        <v>vw____adserver</v>
      </c>
      <c r="AP6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5" s="22" t="str">
        <f t="shared" si="1"/>
        <v/>
      </c>
      <c r="AS685" s="22" t="str">
        <f t="shared" si="2"/>
        <v/>
      </c>
      <c r="AT685" s="22" t="str">
        <f t="shared" si="3"/>
        <v>BR_IMC_DSY_LANCH_ND_NC_2020Q3AUG_NVS_Nivus-Launch-Consideracao</v>
      </c>
      <c r="AU685" s="22" t="str">
        <f t="shared" si="4"/>
        <v>#N/A</v>
      </c>
      <c r="AV685" s="22" t="s">
        <v>106</v>
      </c>
      <c r="AW6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5" s="22" t="str">
        <f t="shared" si="5"/>
        <v>BR_IMC_DSY_LANCH_ND_NC_2020Q3AUG_NVS_Nivus-Launch-Consideracao</v>
      </c>
      <c r="AY685" s="28" t="str">
        <f t="shared" si="6"/>
        <v>#N/A</v>
      </c>
      <c r="AZ685" s="22" t="s">
        <v>107</v>
      </c>
      <c r="BA685" s="22" t="s">
        <v>108</v>
      </c>
      <c r="BB685" s="31" t="s">
        <v>109</v>
      </c>
      <c r="BC685" s="31" t="s">
        <v>109</v>
      </c>
      <c r="BD685" s="32" t="str">
        <f t="shared" si="8"/>
        <v>nvl-nvs-imc-dsy-0820-10679</v>
      </c>
      <c r="BE685" s="33"/>
      <c r="BF685" s="33"/>
      <c r="BG685" s="39" t="str">
        <f>URL&amp;IF(ISNUMBER(FIND("?",URL)),"&amp;","?"&amp;("adlid="&amp;Unique_ID&amp;"&amp;adplt="&amp;Placement))</f>
        <v>#N/A</v>
      </c>
      <c r="BH685" s="1"/>
      <c r="BI685" s="1"/>
      <c r="BJ685" s="35" t="str">
        <f>LOWER("alp"&amp;"_"&amp;"vw"&amp;"_"&amp;Veiculo&amp;"_"&amp;C681&amp;"_"&amp;Objetivo)</f>
        <v>alp_vw___</v>
      </c>
      <c r="BK685" s="35" t="str">
        <f>LOWER(Buying_Metric&amp;"_"&amp;VLOOKUP(Buying_Type,Buy_type,2,FALSE)&amp;"_"&amp;Device&amp;"_"&amp;Size&amp;"_"&amp;Segmentação&amp;"_"&amp;Segmentação_Anúncio)</f>
        <v>#N/A</v>
      </c>
      <c r="BL685" s="35" t="str">
        <f>LOWER(Campanha_ou_InsertionOrder&amp;"_"&amp;LineItem_ou_Grupodeanúncio&amp;"_"&amp;Linha_criativa_2&amp;"_"&amp;Unique_ID)</f>
        <v>#N/A</v>
      </c>
      <c r="BM685" s="27"/>
      <c r="BN685" s="27"/>
    </row>
    <row r="686">
      <c r="A686" s="1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8" t="str">
        <f>LOWER(Campanha_ou_InsertionOrder&amp;"_"&amp;LineItem_ou_Grupodeanúncio&amp;"_"&amp;Linha_Criativa&amp;"_"&amp;Unique_ID)</f>
        <v>#N/A</v>
      </c>
      <c r="AN686" s="28" t="str">
        <f>LOWER(Campanha_ou_InsertionOrder&amp;"_"&amp;LineItem_ou_Grupodeanúncio&amp;"_"&amp;Linha_Criativa&amp;"_"&amp;Unique_ID)</f>
        <v>#N/A</v>
      </c>
      <c r="AO686" s="28" t="str">
        <f>LOWER("VW"&amp;"_"&amp;Model_Variant&amp;"_"&amp;Size&amp;"_"&amp;Linha_Criativa&amp;"_"&amp;IF(Servido_Por="portal",Veiculo,"adserver"))</f>
        <v>vw____adserver</v>
      </c>
      <c r="AP6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6" s="22" t="str">
        <f t="shared" si="1"/>
        <v/>
      </c>
      <c r="AS686" s="22" t="str">
        <f t="shared" si="2"/>
        <v/>
      </c>
      <c r="AT686" s="22" t="str">
        <f t="shared" si="3"/>
        <v>BR_IMC_DSY_LANCH_ND_NC_2020Q3AUG_NVS_Nivus-Launch-Consideracao</v>
      </c>
      <c r="AU686" s="22" t="str">
        <f t="shared" si="4"/>
        <v>#N/A</v>
      </c>
      <c r="AV686" s="22" t="s">
        <v>106</v>
      </c>
      <c r="AW6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6" s="22" t="str">
        <f t="shared" si="5"/>
        <v>BR_IMC_DSY_LANCH_ND_NC_2020Q3AUG_NVS_Nivus-Launch-Consideracao</v>
      </c>
      <c r="AY686" s="28" t="str">
        <f t="shared" si="6"/>
        <v>#N/A</v>
      </c>
      <c r="AZ686" s="22" t="s">
        <v>107</v>
      </c>
      <c r="BA686" s="22" t="s">
        <v>108</v>
      </c>
      <c r="BB686" s="31" t="s">
        <v>109</v>
      </c>
      <c r="BC686" s="31" t="s">
        <v>109</v>
      </c>
      <c r="BD686" s="32" t="str">
        <f t="shared" si="8"/>
        <v>nvl-nvs-imc-dsy-0820-10680</v>
      </c>
      <c r="BE686" s="33"/>
      <c r="BF686" s="33"/>
      <c r="BG686" s="39" t="str">
        <f>URL&amp;IF(ISNUMBER(FIND("?",URL)),"&amp;","?"&amp;("adlid="&amp;Unique_ID&amp;"&amp;adplt="&amp;Placement))</f>
        <v>#N/A</v>
      </c>
      <c r="BH686" s="1"/>
      <c r="BI686" s="1"/>
      <c r="BJ686" s="35" t="str">
        <f>LOWER("alp"&amp;"_"&amp;"vw"&amp;"_"&amp;Veiculo&amp;"_"&amp;C682&amp;"_"&amp;Objetivo)</f>
        <v>alp_vw___</v>
      </c>
      <c r="BK686" s="35" t="str">
        <f>LOWER(Buying_Metric&amp;"_"&amp;VLOOKUP(Buying_Type,Buy_type,2,FALSE)&amp;"_"&amp;Device&amp;"_"&amp;Size&amp;"_"&amp;Segmentação&amp;"_"&amp;Segmentação_Anúncio)</f>
        <v>#N/A</v>
      </c>
      <c r="BL686" s="35" t="str">
        <f>LOWER(Campanha_ou_InsertionOrder&amp;"_"&amp;LineItem_ou_Grupodeanúncio&amp;"_"&amp;Linha_criativa_2&amp;"_"&amp;Unique_ID)</f>
        <v>#N/A</v>
      </c>
      <c r="BM686" s="27"/>
      <c r="BN686" s="27"/>
    </row>
    <row r="687">
      <c r="A687" s="1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8" t="str">
        <f>LOWER(Campanha_ou_InsertionOrder&amp;"_"&amp;LineItem_ou_Grupodeanúncio&amp;"_"&amp;Linha_Criativa&amp;"_"&amp;Unique_ID)</f>
        <v>#N/A</v>
      </c>
      <c r="AN687" s="28" t="str">
        <f>LOWER(Campanha_ou_InsertionOrder&amp;"_"&amp;LineItem_ou_Grupodeanúncio&amp;"_"&amp;Linha_Criativa&amp;"_"&amp;Unique_ID)</f>
        <v>#N/A</v>
      </c>
      <c r="AO687" s="28" t="str">
        <f>LOWER("VW"&amp;"_"&amp;Model_Variant&amp;"_"&amp;Size&amp;"_"&amp;Linha_Criativa&amp;"_"&amp;IF(Servido_Por="portal",Veiculo,"adserver"))</f>
        <v>vw____adserver</v>
      </c>
      <c r="AP6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7" s="22" t="str">
        <f t="shared" si="1"/>
        <v/>
      </c>
      <c r="AS687" s="22" t="str">
        <f t="shared" si="2"/>
        <v/>
      </c>
      <c r="AT687" s="22" t="str">
        <f t="shared" si="3"/>
        <v>BR_IMC_DSY_LANCH_ND_NC_2020Q3AUG_NVS_Nivus-Launch-Consideracao</v>
      </c>
      <c r="AU687" s="22" t="str">
        <f t="shared" si="4"/>
        <v>#N/A</v>
      </c>
      <c r="AV687" s="22" t="s">
        <v>106</v>
      </c>
      <c r="AW6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7" s="22" t="str">
        <f t="shared" si="5"/>
        <v>BR_IMC_DSY_LANCH_ND_NC_2020Q3AUG_NVS_Nivus-Launch-Consideracao</v>
      </c>
      <c r="AY687" s="28" t="str">
        <f t="shared" si="6"/>
        <v>#N/A</v>
      </c>
      <c r="AZ687" s="22" t="s">
        <v>107</v>
      </c>
      <c r="BA687" s="22" t="s">
        <v>108</v>
      </c>
      <c r="BB687" s="31" t="s">
        <v>109</v>
      </c>
      <c r="BC687" s="31" t="s">
        <v>109</v>
      </c>
      <c r="BD687" s="32" t="str">
        <f t="shared" si="8"/>
        <v>nvl-nvs-imc-dsy-0820-10681</v>
      </c>
      <c r="BE687" s="33"/>
      <c r="BF687" s="33"/>
      <c r="BG687" s="39" t="str">
        <f>URL&amp;IF(ISNUMBER(FIND("?",URL)),"&amp;","?"&amp;("adlid="&amp;Unique_ID&amp;"&amp;adplt="&amp;Placement))</f>
        <v>#N/A</v>
      </c>
      <c r="BH687" s="1"/>
      <c r="BI687" s="1"/>
      <c r="BJ687" s="35" t="str">
        <f>LOWER("alp"&amp;"_"&amp;"vw"&amp;"_"&amp;Veiculo&amp;"_"&amp;C683&amp;"_"&amp;Objetivo)</f>
        <v>alp_vw___</v>
      </c>
      <c r="BK687" s="35" t="str">
        <f>LOWER(Buying_Metric&amp;"_"&amp;VLOOKUP(Buying_Type,Buy_type,2,FALSE)&amp;"_"&amp;Device&amp;"_"&amp;Size&amp;"_"&amp;Segmentação&amp;"_"&amp;Segmentação_Anúncio)</f>
        <v>#N/A</v>
      </c>
      <c r="BL687" s="35" t="str">
        <f>LOWER(Campanha_ou_InsertionOrder&amp;"_"&amp;LineItem_ou_Grupodeanúncio&amp;"_"&amp;Linha_criativa_2&amp;"_"&amp;Unique_ID)</f>
        <v>#N/A</v>
      </c>
      <c r="BM687" s="27"/>
      <c r="BN687" s="27"/>
    </row>
    <row r="688">
      <c r="A688" s="1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8" t="str">
        <f>LOWER(Campanha_ou_InsertionOrder&amp;"_"&amp;LineItem_ou_Grupodeanúncio&amp;"_"&amp;Linha_Criativa&amp;"_"&amp;Unique_ID)</f>
        <v>#N/A</v>
      </c>
      <c r="AN688" s="28" t="str">
        <f>LOWER(Campanha_ou_InsertionOrder&amp;"_"&amp;LineItem_ou_Grupodeanúncio&amp;"_"&amp;Linha_Criativa&amp;"_"&amp;Unique_ID)</f>
        <v>#N/A</v>
      </c>
      <c r="AO688" s="28" t="str">
        <f>LOWER("VW"&amp;"_"&amp;Model_Variant&amp;"_"&amp;Size&amp;"_"&amp;Linha_Criativa&amp;"_"&amp;IF(Servido_Por="portal",Veiculo,"adserver"))</f>
        <v>vw____adserver</v>
      </c>
      <c r="AP6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8" s="22" t="str">
        <f t="shared" si="1"/>
        <v/>
      </c>
      <c r="AS688" s="22" t="str">
        <f t="shared" si="2"/>
        <v/>
      </c>
      <c r="AT688" s="22" t="str">
        <f t="shared" si="3"/>
        <v>BR_IMC_DSY_LANCH_ND_NC_2020Q3AUG_NVS_Nivus-Launch-Consideracao</v>
      </c>
      <c r="AU688" s="22" t="str">
        <f t="shared" si="4"/>
        <v>#N/A</v>
      </c>
      <c r="AV688" s="22" t="s">
        <v>106</v>
      </c>
      <c r="AW6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8" s="22" t="str">
        <f t="shared" si="5"/>
        <v>BR_IMC_DSY_LANCH_ND_NC_2020Q3AUG_NVS_Nivus-Launch-Consideracao</v>
      </c>
      <c r="AY688" s="28" t="str">
        <f t="shared" si="6"/>
        <v>#N/A</v>
      </c>
      <c r="AZ688" s="22" t="s">
        <v>107</v>
      </c>
      <c r="BA688" s="22" t="s">
        <v>108</v>
      </c>
      <c r="BB688" s="31" t="s">
        <v>109</v>
      </c>
      <c r="BC688" s="31" t="s">
        <v>109</v>
      </c>
      <c r="BD688" s="32" t="str">
        <f t="shared" si="8"/>
        <v>nvl-nvs-imc-dsy-0820-10682</v>
      </c>
      <c r="BE688" s="33"/>
      <c r="BF688" s="33"/>
      <c r="BG688" s="39" t="str">
        <f>URL&amp;IF(ISNUMBER(FIND("?",URL)),"&amp;","?"&amp;("adlid="&amp;Unique_ID&amp;"&amp;adplt="&amp;Placement))</f>
        <v>#N/A</v>
      </c>
      <c r="BH688" s="1"/>
      <c r="BI688" s="1"/>
      <c r="BJ688" s="35" t="str">
        <f>LOWER("alp"&amp;"_"&amp;"vw"&amp;"_"&amp;Veiculo&amp;"_"&amp;C684&amp;"_"&amp;Objetivo)</f>
        <v>alp_vw___</v>
      </c>
      <c r="BK688" s="35" t="str">
        <f>LOWER(Buying_Metric&amp;"_"&amp;VLOOKUP(Buying_Type,Buy_type,2,FALSE)&amp;"_"&amp;Device&amp;"_"&amp;Size&amp;"_"&amp;Segmentação&amp;"_"&amp;Segmentação_Anúncio)</f>
        <v>#N/A</v>
      </c>
      <c r="BL688" s="35" t="str">
        <f>LOWER(Campanha_ou_InsertionOrder&amp;"_"&amp;LineItem_ou_Grupodeanúncio&amp;"_"&amp;Linha_criativa_2&amp;"_"&amp;Unique_ID)</f>
        <v>#N/A</v>
      </c>
      <c r="BM688" s="27"/>
      <c r="BN688" s="27"/>
    </row>
    <row r="689">
      <c r="A689" s="1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8" t="str">
        <f>LOWER(Campanha_ou_InsertionOrder&amp;"_"&amp;LineItem_ou_Grupodeanúncio&amp;"_"&amp;Linha_Criativa&amp;"_"&amp;Unique_ID)</f>
        <v>#N/A</v>
      </c>
      <c r="AN689" s="28" t="str">
        <f>LOWER(Campanha_ou_InsertionOrder&amp;"_"&amp;LineItem_ou_Grupodeanúncio&amp;"_"&amp;Linha_Criativa&amp;"_"&amp;Unique_ID)</f>
        <v>#N/A</v>
      </c>
      <c r="AO689" s="28" t="str">
        <f>LOWER("VW"&amp;"_"&amp;Model_Variant&amp;"_"&amp;Size&amp;"_"&amp;Linha_Criativa&amp;"_"&amp;IF(Servido_Por="portal",Veiculo,"adserver"))</f>
        <v>vw____adserver</v>
      </c>
      <c r="AP6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89" s="22" t="str">
        <f t="shared" si="1"/>
        <v/>
      </c>
      <c r="AS689" s="22" t="str">
        <f t="shared" si="2"/>
        <v/>
      </c>
      <c r="AT689" s="22" t="str">
        <f t="shared" si="3"/>
        <v>BR_IMC_DSY_LANCH_ND_NC_2020Q3AUG_NVS_Nivus-Launch-Consideracao</v>
      </c>
      <c r="AU689" s="22" t="str">
        <f t="shared" si="4"/>
        <v>#N/A</v>
      </c>
      <c r="AV689" s="22" t="s">
        <v>106</v>
      </c>
      <c r="AW6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89" s="22" t="str">
        <f t="shared" si="5"/>
        <v>BR_IMC_DSY_LANCH_ND_NC_2020Q3AUG_NVS_Nivus-Launch-Consideracao</v>
      </c>
      <c r="AY689" s="28" t="str">
        <f t="shared" si="6"/>
        <v>#N/A</v>
      </c>
      <c r="AZ689" s="22" t="s">
        <v>107</v>
      </c>
      <c r="BA689" s="22" t="s">
        <v>108</v>
      </c>
      <c r="BB689" s="31" t="s">
        <v>109</v>
      </c>
      <c r="BC689" s="31" t="s">
        <v>109</v>
      </c>
      <c r="BD689" s="32" t="str">
        <f t="shared" si="8"/>
        <v>nvl-nvs-imc-dsy-0820-10683</v>
      </c>
      <c r="BE689" s="33"/>
      <c r="BF689" s="33"/>
      <c r="BG689" s="39" t="str">
        <f>URL&amp;IF(ISNUMBER(FIND("?",URL)),"&amp;","?"&amp;("adlid="&amp;Unique_ID&amp;"&amp;adplt="&amp;Placement))</f>
        <v>#N/A</v>
      </c>
      <c r="BH689" s="1"/>
      <c r="BI689" s="1"/>
      <c r="BJ689" s="35" t="str">
        <f>LOWER("alp"&amp;"_"&amp;"vw"&amp;"_"&amp;Veiculo&amp;"_"&amp;C685&amp;"_"&amp;Objetivo)</f>
        <v>alp_vw___</v>
      </c>
      <c r="BK689" s="35" t="str">
        <f>LOWER(Buying_Metric&amp;"_"&amp;VLOOKUP(Buying_Type,Buy_type,2,FALSE)&amp;"_"&amp;Device&amp;"_"&amp;Size&amp;"_"&amp;Segmentação&amp;"_"&amp;Segmentação_Anúncio)</f>
        <v>#N/A</v>
      </c>
      <c r="BL689" s="35" t="str">
        <f>LOWER(Campanha_ou_InsertionOrder&amp;"_"&amp;LineItem_ou_Grupodeanúncio&amp;"_"&amp;Linha_criativa_2&amp;"_"&amp;Unique_ID)</f>
        <v>#N/A</v>
      </c>
      <c r="BM689" s="27"/>
      <c r="BN689" s="27"/>
    </row>
    <row r="690">
      <c r="A690" s="1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8" t="str">
        <f>LOWER(Campanha_ou_InsertionOrder&amp;"_"&amp;LineItem_ou_Grupodeanúncio&amp;"_"&amp;Linha_Criativa&amp;"_"&amp;Unique_ID)</f>
        <v>#N/A</v>
      </c>
      <c r="AN690" s="28" t="str">
        <f>LOWER(Campanha_ou_InsertionOrder&amp;"_"&amp;LineItem_ou_Grupodeanúncio&amp;"_"&amp;Linha_Criativa&amp;"_"&amp;Unique_ID)</f>
        <v>#N/A</v>
      </c>
      <c r="AO690" s="28" t="str">
        <f>LOWER("VW"&amp;"_"&amp;Model_Variant&amp;"_"&amp;Size&amp;"_"&amp;Linha_Criativa&amp;"_"&amp;IF(Servido_Por="portal",Veiculo,"adserver"))</f>
        <v>vw____adserver</v>
      </c>
      <c r="AP6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0" s="22" t="str">
        <f t="shared" si="1"/>
        <v/>
      </c>
      <c r="AS690" s="22" t="str">
        <f t="shared" si="2"/>
        <v/>
      </c>
      <c r="AT690" s="22" t="str">
        <f t="shared" si="3"/>
        <v>BR_IMC_DSY_LANCH_ND_NC_2020Q3AUG_NVS_Nivus-Launch-Consideracao</v>
      </c>
      <c r="AU690" s="22" t="str">
        <f t="shared" si="4"/>
        <v>#N/A</v>
      </c>
      <c r="AV690" s="22" t="s">
        <v>106</v>
      </c>
      <c r="AW6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0" s="22" t="str">
        <f t="shared" si="5"/>
        <v>BR_IMC_DSY_LANCH_ND_NC_2020Q3AUG_NVS_Nivus-Launch-Consideracao</v>
      </c>
      <c r="AY690" s="28" t="str">
        <f t="shared" si="6"/>
        <v>#N/A</v>
      </c>
      <c r="AZ690" s="22" t="s">
        <v>107</v>
      </c>
      <c r="BA690" s="22" t="s">
        <v>108</v>
      </c>
      <c r="BB690" s="31" t="s">
        <v>109</v>
      </c>
      <c r="BC690" s="31" t="s">
        <v>109</v>
      </c>
      <c r="BD690" s="32" t="str">
        <f t="shared" si="8"/>
        <v>nvl-nvs-imc-dsy-0820-10684</v>
      </c>
      <c r="BE690" s="33"/>
      <c r="BF690" s="33"/>
      <c r="BG690" s="39" t="str">
        <f>URL&amp;IF(ISNUMBER(FIND("?",URL)),"&amp;","?"&amp;("adlid="&amp;Unique_ID&amp;"&amp;adplt="&amp;Placement))</f>
        <v>#N/A</v>
      </c>
      <c r="BH690" s="1"/>
      <c r="BI690" s="1"/>
      <c r="BJ690" s="35" t="str">
        <f>LOWER("alp"&amp;"_"&amp;"vw"&amp;"_"&amp;Veiculo&amp;"_"&amp;C686&amp;"_"&amp;Objetivo)</f>
        <v>alp_vw___</v>
      </c>
      <c r="BK690" s="35" t="str">
        <f>LOWER(Buying_Metric&amp;"_"&amp;VLOOKUP(Buying_Type,Buy_type,2,FALSE)&amp;"_"&amp;Device&amp;"_"&amp;Size&amp;"_"&amp;Segmentação&amp;"_"&amp;Segmentação_Anúncio)</f>
        <v>#N/A</v>
      </c>
      <c r="BL690" s="35" t="str">
        <f>LOWER(Campanha_ou_InsertionOrder&amp;"_"&amp;LineItem_ou_Grupodeanúncio&amp;"_"&amp;Linha_criativa_2&amp;"_"&amp;Unique_ID)</f>
        <v>#N/A</v>
      </c>
      <c r="BM690" s="27"/>
      <c r="BN690" s="27"/>
    </row>
    <row r="691">
      <c r="A691" s="1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8" t="str">
        <f>LOWER(Campanha_ou_InsertionOrder&amp;"_"&amp;LineItem_ou_Grupodeanúncio&amp;"_"&amp;Linha_Criativa&amp;"_"&amp;Unique_ID)</f>
        <v>#N/A</v>
      </c>
      <c r="AN691" s="28" t="str">
        <f>LOWER(Campanha_ou_InsertionOrder&amp;"_"&amp;LineItem_ou_Grupodeanúncio&amp;"_"&amp;Linha_Criativa&amp;"_"&amp;Unique_ID)</f>
        <v>#N/A</v>
      </c>
      <c r="AO691" s="28" t="str">
        <f>LOWER("VW"&amp;"_"&amp;Model_Variant&amp;"_"&amp;Size&amp;"_"&amp;Linha_Criativa&amp;"_"&amp;IF(Servido_Por="portal",Veiculo,"adserver"))</f>
        <v>vw____adserver</v>
      </c>
      <c r="AP6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1" s="22" t="str">
        <f t="shared" si="1"/>
        <v/>
      </c>
      <c r="AS691" s="22" t="str">
        <f t="shared" si="2"/>
        <v/>
      </c>
      <c r="AT691" s="22" t="str">
        <f t="shared" si="3"/>
        <v>BR_IMC_DSY_LANCH_ND_NC_2020Q3AUG_NVS_Nivus-Launch-Consideracao</v>
      </c>
      <c r="AU691" s="22" t="str">
        <f t="shared" si="4"/>
        <v>#N/A</v>
      </c>
      <c r="AV691" s="22" t="s">
        <v>106</v>
      </c>
      <c r="AW6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1" s="22" t="str">
        <f t="shared" si="5"/>
        <v>BR_IMC_DSY_LANCH_ND_NC_2020Q3AUG_NVS_Nivus-Launch-Consideracao</v>
      </c>
      <c r="AY691" s="28" t="str">
        <f t="shared" si="6"/>
        <v>#N/A</v>
      </c>
      <c r="AZ691" s="22" t="s">
        <v>107</v>
      </c>
      <c r="BA691" s="22" t="s">
        <v>108</v>
      </c>
      <c r="BB691" s="31" t="s">
        <v>109</v>
      </c>
      <c r="BC691" s="31" t="s">
        <v>109</v>
      </c>
      <c r="BD691" s="32" t="str">
        <f t="shared" si="8"/>
        <v>nvl-nvs-imc-dsy-0820-10685</v>
      </c>
      <c r="BE691" s="33"/>
      <c r="BF691" s="33"/>
      <c r="BG691" s="39" t="str">
        <f>URL&amp;IF(ISNUMBER(FIND("?",URL)),"&amp;","?"&amp;("adlid="&amp;Unique_ID&amp;"&amp;adplt="&amp;Placement))</f>
        <v>#N/A</v>
      </c>
      <c r="BH691" s="1"/>
      <c r="BI691" s="1"/>
      <c r="BJ691" s="35" t="str">
        <f>LOWER("alp"&amp;"_"&amp;"vw"&amp;"_"&amp;Veiculo&amp;"_"&amp;C687&amp;"_"&amp;Objetivo)</f>
        <v>alp_vw___</v>
      </c>
      <c r="BK691" s="35" t="str">
        <f>LOWER(Buying_Metric&amp;"_"&amp;VLOOKUP(Buying_Type,Buy_type,2,FALSE)&amp;"_"&amp;Device&amp;"_"&amp;Size&amp;"_"&amp;Segmentação&amp;"_"&amp;Segmentação_Anúncio)</f>
        <v>#N/A</v>
      </c>
      <c r="BL691" s="35" t="str">
        <f>LOWER(Campanha_ou_InsertionOrder&amp;"_"&amp;LineItem_ou_Grupodeanúncio&amp;"_"&amp;Linha_criativa_2&amp;"_"&amp;Unique_ID)</f>
        <v>#N/A</v>
      </c>
      <c r="BM691" s="27"/>
      <c r="BN691" s="27"/>
    </row>
    <row r="692">
      <c r="A692" s="1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8" t="str">
        <f>LOWER(Campanha_ou_InsertionOrder&amp;"_"&amp;LineItem_ou_Grupodeanúncio&amp;"_"&amp;Linha_Criativa&amp;"_"&amp;Unique_ID)</f>
        <v>#N/A</v>
      </c>
      <c r="AN692" s="28" t="str">
        <f>LOWER(Campanha_ou_InsertionOrder&amp;"_"&amp;LineItem_ou_Grupodeanúncio&amp;"_"&amp;Linha_Criativa&amp;"_"&amp;Unique_ID)</f>
        <v>#N/A</v>
      </c>
      <c r="AO692" s="28" t="str">
        <f>LOWER("VW"&amp;"_"&amp;Model_Variant&amp;"_"&amp;Size&amp;"_"&amp;Linha_Criativa&amp;"_"&amp;IF(Servido_Por="portal",Veiculo,"adserver"))</f>
        <v>vw____adserver</v>
      </c>
      <c r="AP6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2" s="22" t="str">
        <f t="shared" si="1"/>
        <v/>
      </c>
      <c r="AS692" s="22" t="str">
        <f t="shared" si="2"/>
        <v/>
      </c>
      <c r="AT692" s="22" t="str">
        <f t="shared" si="3"/>
        <v>BR_IMC_DSY_LANCH_ND_NC_2020Q3AUG_NVS_Nivus-Launch-Consideracao</v>
      </c>
      <c r="AU692" s="22" t="str">
        <f t="shared" si="4"/>
        <v>#N/A</v>
      </c>
      <c r="AV692" s="22" t="s">
        <v>106</v>
      </c>
      <c r="AW6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2" s="22" t="str">
        <f t="shared" si="5"/>
        <v>BR_IMC_DSY_LANCH_ND_NC_2020Q3AUG_NVS_Nivus-Launch-Consideracao</v>
      </c>
      <c r="AY692" s="28" t="str">
        <f t="shared" si="6"/>
        <v>#N/A</v>
      </c>
      <c r="AZ692" s="22" t="s">
        <v>107</v>
      </c>
      <c r="BA692" s="22" t="s">
        <v>108</v>
      </c>
      <c r="BB692" s="31" t="s">
        <v>109</v>
      </c>
      <c r="BC692" s="31" t="s">
        <v>109</v>
      </c>
      <c r="BD692" s="32" t="str">
        <f t="shared" si="8"/>
        <v>nvl-nvs-imc-dsy-0820-10686</v>
      </c>
      <c r="BE692" s="33"/>
      <c r="BF692" s="33"/>
      <c r="BG692" s="39" t="str">
        <f>URL&amp;IF(ISNUMBER(FIND("?",URL)),"&amp;","?"&amp;("adlid="&amp;Unique_ID&amp;"&amp;adplt="&amp;Placement))</f>
        <v>#N/A</v>
      </c>
      <c r="BH692" s="1"/>
      <c r="BI692" s="1"/>
      <c r="BJ692" s="35" t="str">
        <f>LOWER("alp"&amp;"_"&amp;"vw"&amp;"_"&amp;Veiculo&amp;"_"&amp;C688&amp;"_"&amp;Objetivo)</f>
        <v>alp_vw___</v>
      </c>
      <c r="BK692" s="35" t="str">
        <f>LOWER(Buying_Metric&amp;"_"&amp;VLOOKUP(Buying_Type,Buy_type,2,FALSE)&amp;"_"&amp;Device&amp;"_"&amp;Size&amp;"_"&amp;Segmentação&amp;"_"&amp;Segmentação_Anúncio)</f>
        <v>#N/A</v>
      </c>
      <c r="BL692" s="35" t="str">
        <f>LOWER(Campanha_ou_InsertionOrder&amp;"_"&amp;LineItem_ou_Grupodeanúncio&amp;"_"&amp;Linha_criativa_2&amp;"_"&amp;Unique_ID)</f>
        <v>#N/A</v>
      </c>
      <c r="BM692" s="27"/>
      <c r="BN692" s="27"/>
    </row>
    <row r="693">
      <c r="A693" s="1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8" t="str">
        <f>LOWER(Campanha_ou_InsertionOrder&amp;"_"&amp;LineItem_ou_Grupodeanúncio&amp;"_"&amp;Linha_Criativa&amp;"_"&amp;Unique_ID)</f>
        <v>#N/A</v>
      </c>
      <c r="AN693" s="28" t="str">
        <f>LOWER(Campanha_ou_InsertionOrder&amp;"_"&amp;LineItem_ou_Grupodeanúncio&amp;"_"&amp;Linha_Criativa&amp;"_"&amp;Unique_ID)</f>
        <v>#N/A</v>
      </c>
      <c r="AO693" s="28" t="str">
        <f>LOWER("VW"&amp;"_"&amp;Model_Variant&amp;"_"&amp;Size&amp;"_"&amp;Linha_Criativa&amp;"_"&amp;IF(Servido_Por="portal",Veiculo,"adserver"))</f>
        <v>vw____adserver</v>
      </c>
      <c r="AP6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3" s="22" t="str">
        <f t="shared" si="1"/>
        <v/>
      </c>
      <c r="AS693" s="22" t="str">
        <f t="shared" si="2"/>
        <v/>
      </c>
      <c r="AT693" s="22" t="str">
        <f t="shared" si="3"/>
        <v>BR_IMC_DSY_LANCH_ND_NC_2020Q3AUG_NVS_Nivus-Launch-Consideracao</v>
      </c>
      <c r="AU693" s="22" t="str">
        <f t="shared" si="4"/>
        <v>#N/A</v>
      </c>
      <c r="AV693" s="22" t="s">
        <v>106</v>
      </c>
      <c r="AW6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3" s="22" t="str">
        <f t="shared" si="5"/>
        <v>BR_IMC_DSY_LANCH_ND_NC_2020Q3AUG_NVS_Nivus-Launch-Consideracao</v>
      </c>
      <c r="AY693" s="28" t="str">
        <f t="shared" si="6"/>
        <v>#N/A</v>
      </c>
      <c r="AZ693" s="22" t="s">
        <v>107</v>
      </c>
      <c r="BA693" s="22" t="s">
        <v>108</v>
      </c>
      <c r="BB693" s="31" t="s">
        <v>109</v>
      </c>
      <c r="BC693" s="31" t="s">
        <v>109</v>
      </c>
      <c r="BD693" s="32" t="str">
        <f t="shared" si="8"/>
        <v>nvl-nvs-imc-dsy-0820-10687</v>
      </c>
      <c r="BE693" s="33"/>
      <c r="BF693" s="33"/>
      <c r="BG693" s="39" t="str">
        <f>URL&amp;IF(ISNUMBER(FIND("?",URL)),"&amp;","?"&amp;("adlid="&amp;Unique_ID&amp;"&amp;adplt="&amp;Placement))</f>
        <v>#N/A</v>
      </c>
      <c r="BH693" s="1"/>
      <c r="BI693" s="1"/>
      <c r="BJ693" s="35" t="str">
        <f>LOWER("alp"&amp;"_"&amp;"vw"&amp;"_"&amp;Veiculo&amp;"_"&amp;C689&amp;"_"&amp;Objetivo)</f>
        <v>alp_vw___</v>
      </c>
      <c r="BK693" s="35" t="str">
        <f>LOWER(Buying_Metric&amp;"_"&amp;VLOOKUP(Buying_Type,Buy_type,2,FALSE)&amp;"_"&amp;Device&amp;"_"&amp;Size&amp;"_"&amp;Segmentação&amp;"_"&amp;Segmentação_Anúncio)</f>
        <v>#N/A</v>
      </c>
      <c r="BL693" s="35" t="str">
        <f>LOWER(Campanha_ou_InsertionOrder&amp;"_"&amp;LineItem_ou_Grupodeanúncio&amp;"_"&amp;Linha_criativa_2&amp;"_"&amp;Unique_ID)</f>
        <v>#N/A</v>
      </c>
      <c r="BM693" s="27"/>
      <c r="BN693" s="27"/>
    </row>
    <row r="694">
      <c r="A694" s="1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8" t="str">
        <f>LOWER(Campanha_ou_InsertionOrder&amp;"_"&amp;LineItem_ou_Grupodeanúncio&amp;"_"&amp;Linha_Criativa&amp;"_"&amp;Unique_ID)</f>
        <v>#N/A</v>
      </c>
      <c r="AN694" s="28" t="str">
        <f>LOWER(Campanha_ou_InsertionOrder&amp;"_"&amp;LineItem_ou_Grupodeanúncio&amp;"_"&amp;Linha_Criativa&amp;"_"&amp;Unique_ID)</f>
        <v>#N/A</v>
      </c>
      <c r="AO694" s="28" t="str">
        <f>LOWER("VW"&amp;"_"&amp;Model_Variant&amp;"_"&amp;Size&amp;"_"&amp;Linha_Criativa&amp;"_"&amp;IF(Servido_Por="portal",Veiculo,"adserver"))</f>
        <v>vw____adserver</v>
      </c>
      <c r="AP6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4" s="22" t="str">
        <f t="shared" si="1"/>
        <v/>
      </c>
      <c r="AS694" s="22" t="str">
        <f t="shared" si="2"/>
        <v/>
      </c>
      <c r="AT694" s="22" t="str">
        <f t="shared" si="3"/>
        <v>BR_IMC_DSY_LANCH_ND_NC_2020Q3AUG_NVS_Nivus-Launch-Consideracao</v>
      </c>
      <c r="AU694" s="22" t="str">
        <f t="shared" si="4"/>
        <v>#N/A</v>
      </c>
      <c r="AV694" s="22" t="s">
        <v>106</v>
      </c>
      <c r="AW6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4" s="22" t="str">
        <f t="shared" si="5"/>
        <v>BR_IMC_DSY_LANCH_ND_NC_2020Q3AUG_NVS_Nivus-Launch-Consideracao</v>
      </c>
      <c r="AY694" s="28" t="str">
        <f t="shared" si="6"/>
        <v>#N/A</v>
      </c>
      <c r="AZ694" s="22" t="s">
        <v>107</v>
      </c>
      <c r="BA694" s="22" t="s">
        <v>108</v>
      </c>
      <c r="BB694" s="31" t="s">
        <v>109</v>
      </c>
      <c r="BC694" s="31" t="s">
        <v>109</v>
      </c>
      <c r="BD694" s="32" t="str">
        <f t="shared" si="8"/>
        <v>nvl-nvs-imc-dsy-0820-10688</v>
      </c>
      <c r="BE694" s="33"/>
      <c r="BF694" s="33"/>
      <c r="BG694" s="39" t="str">
        <f>URL&amp;IF(ISNUMBER(FIND("?",URL)),"&amp;","?"&amp;("adlid="&amp;Unique_ID&amp;"&amp;adplt="&amp;Placement))</f>
        <v>#N/A</v>
      </c>
      <c r="BH694" s="1"/>
      <c r="BI694" s="1"/>
      <c r="BJ694" s="35" t="str">
        <f>LOWER("alp"&amp;"_"&amp;"vw"&amp;"_"&amp;Veiculo&amp;"_"&amp;C690&amp;"_"&amp;Objetivo)</f>
        <v>alp_vw___</v>
      </c>
      <c r="BK694" s="35" t="str">
        <f>LOWER(Buying_Metric&amp;"_"&amp;VLOOKUP(Buying_Type,Buy_type,2,FALSE)&amp;"_"&amp;Device&amp;"_"&amp;Size&amp;"_"&amp;Segmentação&amp;"_"&amp;Segmentação_Anúncio)</f>
        <v>#N/A</v>
      </c>
      <c r="BL694" s="35" t="str">
        <f>LOWER(Campanha_ou_InsertionOrder&amp;"_"&amp;LineItem_ou_Grupodeanúncio&amp;"_"&amp;Linha_criativa_2&amp;"_"&amp;Unique_ID)</f>
        <v>#N/A</v>
      </c>
      <c r="BM694" s="27"/>
      <c r="BN694" s="27"/>
    </row>
    <row r="695">
      <c r="A695" s="1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8" t="str">
        <f>LOWER(Campanha_ou_InsertionOrder&amp;"_"&amp;LineItem_ou_Grupodeanúncio&amp;"_"&amp;Linha_Criativa&amp;"_"&amp;Unique_ID)</f>
        <v>#N/A</v>
      </c>
      <c r="AN695" s="28" t="str">
        <f>LOWER(Campanha_ou_InsertionOrder&amp;"_"&amp;LineItem_ou_Grupodeanúncio&amp;"_"&amp;Linha_Criativa&amp;"_"&amp;Unique_ID)</f>
        <v>#N/A</v>
      </c>
      <c r="AO695" s="28" t="str">
        <f>LOWER("VW"&amp;"_"&amp;Model_Variant&amp;"_"&amp;Size&amp;"_"&amp;Linha_Criativa&amp;"_"&amp;IF(Servido_Por="portal",Veiculo,"adserver"))</f>
        <v>vw____adserver</v>
      </c>
      <c r="AP6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5" s="22" t="str">
        <f t="shared" si="1"/>
        <v/>
      </c>
      <c r="AS695" s="22" t="str">
        <f t="shared" si="2"/>
        <v/>
      </c>
      <c r="AT695" s="22" t="str">
        <f t="shared" si="3"/>
        <v>BR_IMC_DSY_LANCH_ND_NC_2020Q3AUG_NVS_Nivus-Launch-Consideracao</v>
      </c>
      <c r="AU695" s="22" t="str">
        <f t="shared" si="4"/>
        <v>#N/A</v>
      </c>
      <c r="AV695" s="22" t="s">
        <v>106</v>
      </c>
      <c r="AW6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5" s="22" t="str">
        <f t="shared" si="5"/>
        <v>BR_IMC_DSY_LANCH_ND_NC_2020Q3AUG_NVS_Nivus-Launch-Consideracao</v>
      </c>
      <c r="AY695" s="28" t="str">
        <f t="shared" si="6"/>
        <v>#N/A</v>
      </c>
      <c r="AZ695" s="22" t="s">
        <v>107</v>
      </c>
      <c r="BA695" s="22" t="s">
        <v>108</v>
      </c>
      <c r="BB695" s="31" t="s">
        <v>109</v>
      </c>
      <c r="BC695" s="31" t="s">
        <v>109</v>
      </c>
      <c r="BD695" s="32" t="str">
        <f t="shared" si="8"/>
        <v>nvl-nvs-imc-dsy-0820-10689</v>
      </c>
      <c r="BE695" s="33"/>
      <c r="BF695" s="33"/>
      <c r="BG695" s="39" t="str">
        <f>URL&amp;IF(ISNUMBER(FIND("?",URL)),"&amp;","?"&amp;("adlid="&amp;Unique_ID&amp;"&amp;adplt="&amp;Placement))</f>
        <v>#N/A</v>
      </c>
      <c r="BH695" s="1"/>
      <c r="BI695" s="1"/>
      <c r="BJ695" s="35" t="str">
        <f>LOWER("alp"&amp;"_"&amp;"vw"&amp;"_"&amp;Veiculo&amp;"_"&amp;C691&amp;"_"&amp;Objetivo)</f>
        <v>alp_vw___</v>
      </c>
      <c r="BK695" s="35" t="str">
        <f>LOWER(Buying_Metric&amp;"_"&amp;VLOOKUP(Buying_Type,Buy_type,2,FALSE)&amp;"_"&amp;Device&amp;"_"&amp;Size&amp;"_"&amp;Segmentação&amp;"_"&amp;Segmentação_Anúncio)</f>
        <v>#N/A</v>
      </c>
      <c r="BL695" s="35" t="str">
        <f>LOWER(Campanha_ou_InsertionOrder&amp;"_"&amp;LineItem_ou_Grupodeanúncio&amp;"_"&amp;Linha_criativa_2&amp;"_"&amp;Unique_ID)</f>
        <v>#N/A</v>
      </c>
      <c r="BM695" s="27"/>
      <c r="BN695" s="27"/>
    </row>
    <row r="696">
      <c r="A696" s="1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8" t="str">
        <f>LOWER(Campanha_ou_InsertionOrder&amp;"_"&amp;LineItem_ou_Grupodeanúncio&amp;"_"&amp;Linha_Criativa&amp;"_"&amp;Unique_ID)</f>
        <v>#N/A</v>
      </c>
      <c r="AN696" s="28" t="str">
        <f>LOWER(Campanha_ou_InsertionOrder&amp;"_"&amp;LineItem_ou_Grupodeanúncio&amp;"_"&amp;Linha_Criativa&amp;"_"&amp;Unique_ID)</f>
        <v>#N/A</v>
      </c>
      <c r="AO696" s="28" t="str">
        <f>LOWER("VW"&amp;"_"&amp;Model_Variant&amp;"_"&amp;Size&amp;"_"&amp;Linha_Criativa&amp;"_"&amp;IF(Servido_Por="portal",Veiculo,"adserver"))</f>
        <v>vw____adserver</v>
      </c>
      <c r="AP6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6" s="22" t="str">
        <f t="shared" si="1"/>
        <v/>
      </c>
      <c r="AS696" s="22" t="str">
        <f t="shared" si="2"/>
        <v/>
      </c>
      <c r="AT696" s="22" t="str">
        <f t="shared" si="3"/>
        <v>BR_IMC_DSY_LANCH_ND_NC_2020Q3AUG_NVS_Nivus-Launch-Consideracao</v>
      </c>
      <c r="AU696" s="22" t="str">
        <f t="shared" si="4"/>
        <v>#N/A</v>
      </c>
      <c r="AV696" s="22" t="s">
        <v>106</v>
      </c>
      <c r="AW6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6" s="22" t="str">
        <f t="shared" si="5"/>
        <v>BR_IMC_DSY_LANCH_ND_NC_2020Q3AUG_NVS_Nivus-Launch-Consideracao</v>
      </c>
      <c r="AY696" s="28" t="str">
        <f t="shared" si="6"/>
        <v>#N/A</v>
      </c>
      <c r="AZ696" s="22" t="s">
        <v>107</v>
      </c>
      <c r="BA696" s="22" t="s">
        <v>108</v>
      </c>
      <c r="BB696" s="31" t="s">
        <v>109</v>
      </c>
      <c r="BC696" s="31" t="s">
        <v>109</v>
      </c>
      <c r="BD696" s="32" t="str">
        <f t="shared" si="8"/>
        <v>nvl-nvs-imc-dsy-0820-10690</v>
      </c>
      <c r="BE696" s="33"/>
      <c r="BF696" s="33"/>
      <c r="BG696" s="39" t="str">
        <f>URL&amp;IF(ISNUMBER(FIND("?",URL)),"&amp;","?"&amp;("adlid="&amp;Unique_ID&amp;"&amp;adplt="&amp;Placement))</f>
        <v>#N/A</v>
      </c>
      <c r="BH696" s="1"/>
      <c r="BI696" s="1"/>
      <c r="BJ696" s="35" t="str">
        <f>LOWER("alp"&amp;"_"&amp;"vw"&amp;"_"&amp;Veiculo&amp;"_"&amp;C692&amp;"_"&amp;Objetivo)</f>
        <v>alp_vw___</v>
      </c>
      <c r="BK696" s="35" t="str">
        <f>LOWER(Buying_Metric&amp;"_"&amp;VLOOKUP(Buying_Type,Buy_type,2,FALSE)&amp;"_"&amp;Device&amp;"_"&amp;Size&amp;"_"&amp;Segmentação&amp;"_"&amp;Segmentação_Anúncio)</f>
        <v>#N/A</v>
      </c>
      <c r="BL696" s="35" t="str">
        <f>LOWER(Campanha_ou_InsertionOrder&amp;"_"&amp;LineItem_ou_Grupodeanúncio&amp;"_"&amp;Linha_criativa_2&amp;"_"&amp;Unique_ID)</f>
        <v>#N/A</v>
      </c>
      <c r="BM696" s="27"/>
      <c r="BN696" s="27"/>
    </row>
    <row r="697">
      <c r="A697" s="1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8" t="str">
        <f>LOWER(Campanha_ou_InsertionOrder&amp;"_"&amp;LineItem_ou_Grupodeanúncio&amp;"_"&amp;Linha_Criativa&amp;"_"&amp;Unique_ID)</f>
        <v>#N/A</v>
      </c>
      <c r="AN697" s="28" t="str">
        <f>LOWER(Campanha_ou_InsertionOrder&amp;"_"&amp;LineItem_ou_Grupodeanúncio&amp;"_"&amp;Linha_Criativa&amp;"_"&amp;Unique_ID)</f>
        <v>#N/A</v>
      </c>
      <c r="AO697" s="28" t="str">
        <f>LOWER("VW"&amp;"_"&amp;Model_Variant&amp;"_"&amp;Size&amp;"_"&amp;Linha_Criativa&amp;"_"&amp;IF(Servido_Por="portal",Veiculo,"adserver"))</f>
        <v>vw____adserver</v>
      </c>
      <c r="AP6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7" s="22" t="str">
        <f t="shared" si="1"/>
        <v/>
      </c>
      <c r="AS697" s="22" t="str">
        <f t="shared" si="2"/>
        <v/>
      </c>
      <c r="AT697" s="22" t="str">
        <f t="shared" si="3"/>
        <v>BR_IMC_DSY_LANCH_ND_NC_2020Q3AUG_NVS_Nivus-Launch-Consideracao</v>
      </c>
      <c r="AU697" s="22" t="str">
        <f t="shared" si="4"/>
        <v>#N/A</v>
      </c>
      <c r="AV697" s="22" t="s">
        <v>106</v>
      </c>
      <c r="AW6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7" s="22" t="str">
        <f t="shared" si="5"/>
        <v>BR_IMC_DSY_LANCH_ND_NC_2020Q3AUG_NVS_Nivus-Launch-Consideracao</v>
      </c>
      <c r="AY697" s="28" t="str">
        <f t="shared" si="6"/>
        <v>#N/A</v>
      </c>
      <c r="AZ697" s="22" t="s">
        <v>107</v>
      </c>
      <c r="BA697" s="22" t="s">
        <v>108</v>
      </c>
      <c r="BB697" s="31" t="s">
        <v>109</v>
      </c>
      <c r="BC697" s="31" t="s">
        <v>109</v>
      </c>
      <c r="BD697" s="32" t="str">
        <f t="shared" si="8"/>
        <v>nvl-nvs-imc-dsy-0820-10691</v>
      </c>
      <c r="BE697" s="33"/>
      <c r="BF697" s="33"/>
      <c r="BG697" s="39" t="str">
        <f>URL&amp;IF(ISNUMBER(FIND("?",URL)),"&amp;","?"&amp;("adlid="&amp;Unique_ID&amp;"&amp;adplt="&amp;Placement))</f>
        <v>#N/A</v>
      </c>
      <c r="BH697" s="1"/>
      <c r="BI697" s="1"/>
      <c r="BJ697" s="35" t="str">
        <f>LOWER("alp"&amp;"_"&amp;"vw"&amp;"_"&amp;Veiculo&amp;"_"&amp;C693&amp;"_"&amp;Objetivo)</f>
        <v>alp_vw___</v>
      </c>
      <c r="BK697" s="35" t="str">
        <f>LOWER(Buying_Metric&amp;"_"&amp;VLOOKUP(Buying_Type,Buy_type,2,FALSE)&amp;"_"&amp;Device&amp;"_"&amp;Size&amp;"_"&amp;Segmentação&amp;"_"&amp;Segmentação_Anúncio)</f>
        <v>#N/A</v>
      </c>
      <c r="BL697" s="35" t="str">
        <f>LOWER(Campanha_ou_InsertionOrder&amp;"_"&amp;LineItem_ou_Grupodeanúncio&amp;"_"&amp;Linha_criativa_2&amp;"_"&amp;Unique_ID)</f>
        <v>#N/A</v>
      </c>
      <c r="BM697" s="27"/>
      <c r="BN697" s="27"/>
    </row>
    <row r="698">
      <c r="A698" s="1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8" t="str">
        <f>LOWER(Campanha_ou_InsertionOrder&amp;"_"&amp;LineItem_ou_Grupodeanúncio&amp;"_"&amp;Linha_Criativa&amp;"_"&amp;Unique_ID)</f>
        <v>#N/A</v>
      </c>
      <c r="AN698" s="28" t="str">
        <f>LOWER(Campanha_ou_InsertionOrder&amp;"_"&amp;LineItem_ou_Grupodeanúncio&amp;"_"&amp;Linha_Criativa&amp;"_"&amp;Unique_ID)</f>
        <v>#N/A</v>
      </c>
      <c r="AO698" s="28" t="str">
        <f>LOWER("VW"&amp;"_"&amp;Model_Variant&amp;"_"&amp;Size&amp;"_"&amp;Linha_Criativa&amp;"_"&amp;IF(Servido_Por="portal",Veiculo,"adserver"))</f>
        <v>vw____adserver</v>
      </c>
      <c r="AP6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8" s="22" t="str">
        <f t="shared" si="1"/>
        <v/>
      </c>
      <c r="AS698" s="22" t="str">
        <f t="shared" si="2"/>
        <v/>
      </c>
      <c r="AT698" s="22" t="str">
        <f t="shared" si="3"/>
        <v>BR_IMC_DSY_LANCH_ND_NC_2020Q3AUG_NVS_Nivus-Launch-Consideracao</v>
      </c>
      <c r="AU698" s="22" t="str">
        <f t="shared" si="4"/>
        <v>#N/A</v>
      </c>
      <c r="AV698" s="22" t="s">
        <v>106</v>
      </c>
      <c r="AW6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8" s="22" t="str">
        <f t="shared" si="5"/>
        <v>BR_IMC_DSY_LANCH_ND_NC_2020Q3AUG_NVS_Nivus-Launch-Consideracao</v>
      </c>
      <c r="AY698" s="28" t="str">
        <f t="shared" si="6"/>
        <v>#N/A</v>
      </c>
      <c r="AZ698" s="22" t="s">
        <v>107</v>
      </c>
      <c r="BA698" s="22" t="s">
        <v>108</v>
      </c>
      <c r="BB698" s="31" t="s">
        <v>109</v>
      </c>
      <c r="BC698" s="31" t="s">
        <v>109</v>
      </c>
      <c r="BD698" s="32" t="str">
        <f t="shared" si="8"/>
        <v>nvl-nvs-imc-dsy-0820-10692</v>
      </c>
      <c r="BE698" s="33"/>
      <c r="BF698" s="33"/>
      <c r="BG698" s="39" t="str">
        <f>URL&amp;IF(ISNUMBER(FIND("?",URL)),"&amp;","?"&amp;("adlid="&amp;Unique_ID&amp;"&amp;adplt="&amp;Placement))</f>
        <v>#N/A</v>
      </c>
      <c r="BH698" s="1"/>
      <c r="BI698" s="1"/>
      <c r="BJ698" s="35" t="str">
        <f>LOWER("alp"&amp;"_"&amp;"vw"&amp;"_"&amp;Veiculo&amp;"_"&amp;C694&amp;"_"&amp;Objetivo)</f>
        <v>alp_vw___</v>
      </c>
      <c r="BK698" s="35" t="str">
        <f>LOWER(Buying_Metric&amp;"_"&amp;VLOOKUP(Buying_Type,Buy_type,2,FALSE)&amp;"_"&amp;Device&amp;"_"&amp;Size&amp;"_"&amp;Segmentação&amp;"_"&amp;Segmentação_Anúncio)</f>
        <v>#N/A</v>
      </c>
      <c r="BL698" s="35" t="str">
        <f>LOWER(Campanha_ou_InsertionOrder&amp;"_"&amp;LineItem_ou_Grupodeanúncio&amp;"_"&amp;Linha_criativa_2&amp;"_"&amp;Unique_ID)</f>
        <v>#N/A</v>
      </c>
      <c r="BM698" s="27"/>
      <c r="BN698" s="27"/>
    </row>
    <row r="699">
      <c r="A699" s="1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8" t="str">
        <f>LOWER(Campanha_ou_InsertionOrder&amp;"_"&amp;LineItem_ou_Grupodeanúncio&amp;"_"&amp;Linha_Criativa&amp;"_"&amp;Unique_ID)</f>
        <v>#N/A</v>
      </c>
      <c r="AN699" s="28" t="str">
        <f>LOWER(Campanha_ou_InsertionOrder&amp;"_"&amp;LineItem_ou_Grupodeanúncio&amp;"_"&amp;Linha_Criativa&amp;"_"&amp;Unique_ID)</f>
        <v>#N/A</v>
      </c>
      <c r="AO699" s="28" t="str">
        <f>LOWER("VW"&amp;"_"&amp;Model_Variant&amp;"_"&amp;Size&amp;"_"&amp;Linha_Criativa&amp;"_"&amp;IF(Servido_Por="portal",Veiculo,"adserver"))</f>
        <v>vw____adserver</v>
      </c>
      <c r="AP6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6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699" s="22" t="str">
        <f t="shared" si="1"/>
        <v/>
      </c>
      <c r="AS699" s="22" t="str">
        <f t="shared" si="2"/>
        <v/>
      </c>
      <c r="AT699" s="22" t="str">
        <f t="shared" si="3"/>
        <v>BR_IMC_DSY_LANCH_ND_NC_2020Q3AUG_NVS_Nivus-Launch-Consideracao</v>
      </c>
      <c r="AU699" s="22" t="str">
        <f t="shared" si="4"/>
        <v>#N/A</v>
      </c>
      <c r="AV699" s="22" t="s">
        <v>106</v>
      </c>
      <c r="AW6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699" s="22" t="str">
        <f t="shared" si="5"/>
        <v>BR_IMC_DSY_LANCH_ND_NC_2020Q3AUG_NVS_Nivus-Launch-Consideracao</v>
      </c>
      <c r="AY699" s="28" t="str">
        <f t="shared" si="6"/>
        <v>#N/A</v>
      </c>
      <c r="AZ699" s="22" t="s">
        <v>107</v>
      </c>
      <c r="BA699" s="22" t="s">
        <v>108</v>
      </c>
      <c r="BB699" s="31" t="s">
        <v>109</v>
      </c>
      <c r="BC699" s="31" t="s">
        <v>109</v>
      </c>
      <c r="BD699" s="32" t="str">
        <f t="shared" si="8"/>
        <v>nvl-nvs-imc-dsy-0820-10693</v>
      </c>
      <c r="BE699" s="33"/>
      <c r="BF699" s="33"/>
      <c r="BG699" s="39" t="str">
        <f>URL&amp;IF(ISNUMBER(FIND("?",URL)),"&amp;","?"&amp;("adlid="&amp;Unique_ID&amp;"&amp;adplt="&amp;Placement))</f>
        <v>#N/A</v>
      </c>
      <c r="BH699" s="1"/>
      <c r="BI699" s="1"/>
      <c r="BJ699" s="35" t="str">
        <f>LOWER("alp"&amp;"_"&amp;"vw"&amp;"_"&amp;Veiculo&amp;"_"&amp;C695&amp;"_"&amp;Objetivo)</f>
        <v>alp_vw___</v>
      </c>
      <c r="BK699" s="35" t="str">
        <f>LOWER(Buying_Metric&amp;"_"&amp;VLOOKUP(Buying_Type,Buy_type,2,FALSE)&amp;"_"&amp;Device&amp;"_"&amp;Size&amp;"_"&amp;Segmentação&amp;"_"&amp;Segmentação_Anúncio)</f>
        <v>#N/A</v>
      </c>
      <c r="BL699" s="35" t="str">
        <f>LOWER(Campanha_ou_InsertionOrder&amp;"_"&amp;LineItem_ou_Grupodeanúncio&amp;"_"&amp;Linha_criativa_2&amp;"_"&amp;Unique_ID)</f>
        <v>#N/A</v>
      </c>
      <c r="BM699" s="27"/>
      <c r="BN699" s="27"/>
    </row>
    <row r="700">
      <c r="A700" s="1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8" t="str">
        <f>LOWER(Campanha_ou_InsertionOrder&amp;"_"&amp;LineItem_ou_Grupodeanúncio&amp;"_"&amp;Linha_Criativa&amp;"_"&amp;Unique_ID)</f>
        <v>#N/A</v>
      </c>
      <c r="AN700" s="28" t="str">
        <f>LOWER(Campanha_ou_InsertionOrder&amp;"_"&amp;LineItem_ou_Grupodeanúncio&amp;"_"&amp;Linha_Criativa&amp;"_"&amp;Unique_ID)</f>
        <v>#N/A</v>
      </c>
      <c r="AO700" s="28" t="str">
        <f>LOWER("VW"&amp;"_"&amp;Model_Variant&amp;"_"&amp;Size&amp;"_"&amp;Linha_Criativa&amp;"_"&amp;IF(Servido_Por="portal",Veiculo,"adserver"))</f>
        <v>vw____adserver</v>
      </c>
      <c r="AP7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0" s="22" t="str">
        <f t="shared" si="1"/>
        <v/>
      </c>
      <c r="AS700" s="22" t="str">
        <f t="shared" si="2"/>
        <v/>
      </c>
      <c r="AT700" s="22" t="str">
        <f t="shared" si="3"/>
        <v>BR_IMC_DSY_LANCH_ND_NC_2020Q3AUG_NVS_Nivus-Launch-Consideracao</v>
      </c>
      <c r="AU700" s="22" t="str">
        <f t="shared" si="4"/>
        <v>#N/A</v>
      </c>
      <c r="AV700" s="22" t="s">
        <v>106</v>
      </c>
      <c r="AW7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0" s="22" t="str">
        <f t="shared" si="5"/>
        <v>BR_IMC_DSY_LANCH_ND_NC_2020Q3AUG_NVS_Nivus-Launch-Consideracao</v>
      </c>
      <c r="AY700" s="28" t="str">
        <f t="shared" si="6"/>
        <v>#N/A</v>
      </c>
      <c r="AZ700" s="22" t="s">
        <v>107</v>
      </c>
      <c r="BA700" s="22" t="s">
        <v>108</v>
      </c>
      <c r="BB700" s="31" t="s">
        <v>109</v>
      </c>
      <c r="BC700" s="31" t="s">
        <v>109</v>
      </c>
      <c r="BD700" s="32" t="str">
        <f t="shared" si="8"/>
        <v>nvl-nvs-imc-dsy-0820-10694</v>
      </c>
      <c r="BE700" s="33"/>
      <c r="BF700" s="33"/>
      <c r="BG700" s="39" t="str">
        <f>URL&amp;IF(ISNUMBER(FIND("?",URL)),"&amp;","?"&amp;("adlid="&amp;Unique_ID&amp;"&amp;adplt="&amp;Placement))</f>
        <v>#N/A</v>
      </c>
      <c r="BH700" s="1"/>
      <c r="BI700" s="1"/>
      <c r="BJ700" s="35" t="str">
        <f>LOWER("alp"&amp;"_"&amp;"vw"&amp;"_"&amp;Veiculo&amp;"_"&amp;C696&amp;"_"&amp;Objetivo)</f>
        <v>alp_vw___</v>
      </c>
      <c r="BK700" s="35" t="str">
        <f>LOWER(Buying_Metric&amp;"_"&amp;VLOOKUP(Buying_Type,Buy_type,2,FALSE)&amp;"_"&amp;Device&amp;"_"&amp;Size&amp;"_"&amp;Segmentação&amp;"_"&amp;Segmentação_Anúncio)</f>
        <v>#N/A</v>
      </c>
      <c r="BL700" s="35" t="str">
        <f>LOWER(Campanha_ou_InsertionOrder&amp;"_"&amp;LineItem_ou_Grupodeanúncio&amp;"_"&amp;Linha_criativa_2&amp;"_"&amp;Unique_ID)</f>
        <v>#N/A</v>
      </c>
      <c r="BM700" s="27"/>
      <c r="BN700" s="27"/>
    </row>
    <row r="701">
      <c r="A701" s="1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8" t="str">
        <f>LOWER(Campanha_ou_InsertionOrder&amp;"_"&amp;LineItem_ou_Grupodeanúncio&amp;"_"&amp;Linha_Criativa&amp;"_"&amp;Unique_ID)</f>
        <v>#N/A</v>
      </c>
      <c r="AN701" s="28" t="str">
        <f>LOWER(Campanha_ou_InsertionOrder&amp;"_"&amp;LineItem_ou_Grupodeanúncio&amp;"_"&amp;Linha_Criativa&amp;"_"&amp;Unique_ID)</f>
        <v>#N/A</v>
      </c>
      <c r="AO701" s="28" t="str">
        <f>LOWER("VW"&amp;"_"&amp;Model_Variant&amp;"_"&amp;Size&amp;"_"&amp;Linha_Criativa&amp;"_"&amp;IF(Servido_Por="portal",Veiculo,"adserver"))</f>
        <v>vw____adserver</v>
      </c>
      <c r="AP7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1" s="22" t="str">
        <f t="shared" si="1"/>
        <v/>
      </c>
      <c r="AS701" s="22" t="str">
        <f t="shared" si="2"/>
        <v/>
      </c>
      <c r="AT701" s="22" t="str">
        <f t="shared" si="3"/>
        <v>BR_IMC_DSY_LANCH_ND_NC_2020Q3AUG_NVS_Nivus-Launch-Consideracao</v>
      </c>
      <c r="AU701" s="22" t="str">
        <f t="shared" si="4"/>
        <v>#N/A</v>
      </c>
      <c r="AV701" s="22" t="s">
        <v>106</v>
      </c>
      <c r="AW7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1" s="22" t="str">
        <f t="shared" si="5"/>
        <v>BR_IMC_DSY_LANCH_ND_NC_2020Q3AUG_NVS_Nivus-Launch-Consideracao</v>
      </c>
      <c r="AY701" s="28" t="str">
        <f t="shared" si="6"/>
        <v>#N/A</v>
      </c>
      <c r="AZ701" s="22" t="s">
        <v>107</v>
      </c>
      <c r="BA701" s="22" t="s">
        <v>108</v>
      </c>
      <c r="BB701" s="31" t="s">
        <v>109</v>
      </c>
      <c r="BC701" s="31" t="s">
        <v>109</v>
      </c>
      <c r="BD701" s="32" t="str">
        <f t="shared" si="8"/>
        <v>nvl-nvs-imc-dsy-0820-10695</v>
      </c>
      <c r="BE701" s="33"/>
      <c r="BF701" s="33"/>
      <c r="BG701" s="39" t="str">
        <f>URL&amp;IF(ISNUMBER(FIND("?",URL)),"&amp;","?"&amp;("adlid="&amp;Unique_ID&amp;"&amp;adplt="&amp;Placement))</f>
        <v>#N/A</v>
      </c>
      <c r="BH701" s="1"/>
      <c r="BI701" s="1"/>
      <c r="BJ701" s="35" t="str">
        <f>LOWER("alp"&amp;"_"&amp;"vw"&amp;"_"&amp;Veiculo&amp;"_"&amp;C697&amp;"_"&amp;Objetivo)</f>
        <v>alp_vw___</v>
      </c>
      <c r="BK701" s="35" t="str">
        <f>LOWER(Buying_Metric&amp;"_"&amp;VLOOKUP(Buying_Type,Buy_type,2,FALSE)&amp;"_"&amp;Device&amp;"_"&amp;Size&amp;"_"&amp;Segmentação&amp;"_"&amp;Segmentação_Anúncio)</f>
        <v>#N/A</v>
      </c>
      <c r="BL701" s="35" t="str">
        <f>LOWER(Campanha_ou_InsertionOrder&amp;"_"&amp;LineItem_ou_Grupodeanúncio&amp;"_"&amp;Linha_criativa_2&amp;"_"&amp;Unique_ID)</f>
        <v>#N/A</v>
      </c>
      <c r="BM701" s="27"/>
      <c r="BN701" s="27"/>
    </row>
    <row r="702">
      <c r="A702" s="1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8" t="str">
        <f>LOWER(Campanha_ou_InsertionOrder&amp;"_"&amp;LineItem_ou_Grupodeanúncio&amp;"_"&amp;Linha_Criativa&amp;"_"&amp;Unique_ID)</f>
        <v>#N/A</v>
      </c>
      <c r="AN702" s="28" t="str">
        <f>LOWER(Campanha_ou_InsertionOrder&amp;"_"&amp;LineItem_ou_Grupodeanúncio&amp;"_"&amp;Linha_Criativa&amp;"_"&amp;Unique_ID)</f>
        <v>#N/A</v>
      </c>
      <c r="AO702" s="28" t="str">
        <f>LOWER("VW"&amp;"_"&amp;Model_Variant&amp;"_"&amp;Size&amp;"_"&amp;Linha_Criativa&amp;"_"&amp;IF(Servido_Por="portal",Veiculo,"adserver"))</f>
        <v>vw____adserver</v>
      </c>
      <c r="AP7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2" s="22" t="str">
        <f t="shared" si="1"/>
        <v/>
      </c>
      <c r="AS702" s="22" t="str">
        <f t="shared" si="2"/>
        <v/>
      </c>
      <c r="AT702" s="22" t="str">
        <f t="shared" si="3"/>
        <v>BR_IMC_DSY_LANCH_ND_NC_2020Q3AUG_NVS_Nivus-Launch-Consideracao</v>
      </c>
      <c r="AU702" s="22" t="str">
        <f t="shared" si="4"/>
        <v>#N/A</v>
      </c>
      <c r="AV702" s="22" t="s">
        <v>106</v>
      </c>
      <c r="AW7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2" s="22" t="str">
        <f t="shared" si="5"/>
        <v>BR_IMC_DSY_LANCH_ND_NC_2020Q3AUG_NVS_Nivus-Launch-Consideracao</v>
      </c>
      <c r="AY702" s="28" t="str">
        <f t="shared" si="6"/>
        <v>#N/A</v>
      </c>
      <c r="AZ702" s="22" t="s">
        <v>107</v>
      </c>
      <c r="BA702" s="22" t="s">
        <v>108</v>
      </c>
      <c r="BB702" s="31" t="s">
        <v>109</v>
      </c>
      <c r="BC702" s="31" t="s">
        <v>109</v>
      </c>
      <c r="BD702" s="32" t="str">
        <f t="shared" si="8"/>
        <v>nvl-nvs-imc-dsy-0820-10696</v>
      </c>
      <c r="BE702" s="33"/>
      <c r="BF702" s="33"/>
      <c r="BG702" s="39" t="str">
        <f>URL&amp;IF(ISNUMBER(FIND("?",URL)),"&amp;","?"&amp;("adlid="&amp;Unique_ID&amp;"&amp;adplt="&amp;Placement))</f>
        <v>#N/A</v>
      </c>
      <c r="BH702" s="1"/>
      <c r="BI702" s="1"/>
      <c r="BJ702" s="35" t="str">
        <f>LOWER("alp"&amp;"_"&amp;"vw"&amp;"_"&amp;Veiculo&amp;"_"&amp;C698&amp;"_"&amp;Objetivo)</f>
        <v>alp_vw___</v>
      </c>
      <c r="BK702" s="35" t="str">
        <f>LOWER(Buying_Metric&amp;"_"&amp;VLOOKUP(Buying_Type,Buy_type,2,FALSE)&amp;"_"&amp;Device&amp;"_"&amp;Size&amp;"_"&amp;Segmentação&amp;"_"&amp;Segmentação_Anúncio)</f>
        <v>#N/A</v>
      </c>
      <c r="BL702" s="35" t="str">
        <f>LOWER(Campanha_ou_InsertionOrder&amp;"_"&amp;LineItem_ou_Grupodeanúncio&amp;"_"&amp;Linha_criativa_2&amp;"_"&amp;Unique_ID)</f>
        <v>#N/A</v>
      </c>
      <c r="BM702" s="27"/>
      <c r="BN702" s="27"/>
    </row>
    <row r="703">
      <c r="A703" s="1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8" t="str">
        <f>LOWER(Campanha_ou_InsertionOrder&amp;"_"&amp;LineItem_ou_Grupodeanúncio&amp;"_"&amp;Linha_Criativa&amp;"_"&amp;Unique_ID)</f>
        <v>#N/A</v>
      </c>
      <c r="AN703" s="28" t="str">
        <f>LOWER(Campanha_ou_InsertionOrder&amp;"_"&amp;LineItem_ou_Grupodeanúncio&amp;"_"&amp;Linha_Criativa&amp;"_"&amp;Unique_ID)</f>
        <v>#N/A</v>
      </c>
      <c r="AO703" s="28" t="str">
        <f>LOWER("VW"&amp;"_"&amp;Model_Variant&amp;"_"&amp;Size&amp;"_"&amp;Linha_Criativa&amp;"_"&amp;IF(Servido_Por="portal",Veiculo,"adserver"))</f>
        <v>vw____adserver</v>
      </c>
      <c r="AP7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3" s="22" t="str">
        <f t="shared" si="1"/>
        <v/>
      </c>
      <c r="AS703" s="22" t="str">
        <f t="shared" si="2"/>
        <v/>
      </c>
      <c r="AT703" s="22" t="str">
        <f t="shared" si="3"/>
        <v>BR_IMC_DSY_LANCH_ND_NC_2020Q3AUG_NVS_Nivus-Launch-Consideracao</v>
      </c>
      <c r="AU703" s="22" t="str">
        <f t="shared" si="4"/>
        <v>#N/A</v>
      </c>
      <c r="AV703" s="22" t="s">
        <v>106</v>
      </c>
      <c r="AW7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3" s="22" t="str">
        <f t="shared" si="5"/>
        <v>BR_IMC_DSY_LANCH_ND_NC_2020Q3AUG_NVS_Nivus-Launch-Consideracao</v>
      </c>
      <c r="AY703" s="28" t="str">
        <f t="shared" si="6"/>
        <v>#N/A</v>
      </c>
      <c r="AZ703" s="22" t="s">
        <v>107</v>
      </c>
      <c r="BA703" s="22" t="s">
        <v>108</v>
      </c>
      <c r="BB703" s="31" t="s">
        <v>109</v>
      </c>
      <c r="BC703" s="31" t="s">
        <v>109</v>
      </c>
      <c r="BD703" s="32" t="str">
        <f t="shared" si="8"/>
        <v>nvl-nvs-imc-dsy-0820-10697</v>
      </c>
      <c r="BE703" s="33"/>
      <c r="BF703" s="33"/>
      <c r="BG703" s="39" t="str">
        <f>URL&amp;IF(ISNUMBER(FIND("?",URL)),"&amp;","?"&amp;("adlid="&amp;Unique_ID&amp;"&amp;adplt="&amp;Placement))</f>
        <v>#N/A</v>
      </c>
      <c r="BH703" s="1"/>
      <c r="BI703" s="1"/>
      <c r="BJ703" s="35" t="str">
        <f>LOWER("alp"&amp;"_"&amp;"vw"&amp;"_"&amp;Veiculo&amp;"_"&amp;C699&amp;"_"&amp;Objetivo)</f>
        <v>alp_vw___</v>
      </c>
      <c r="BK703" s="35" t="str">
        <f>LOWER(Buying_Metric&amp;"_"&amp;VLOOKUP(Buying_Type,Buy_type,2,FALSE)&amp;"_"&amp;Device&amp;"_"&amp;Size&amp;"_"&amp;Segmentação&amp;"_"&amp;Segmentação_Anúncio)</f>
        <v>#N/A</v>
      </c>
      <c r="BL703" s="35" t="str">
        <f>LOWER(Campanha_ou_InsertionOrder&amp;"_"&amp;LineItem_ou_Grupodeanúncio&amp;"_"&amp;Linha_criativa_2&amp;"_"&amp;Unique_ID)</f>
        <v>#N/A</v>
      </c>
      <c r="BM703" s="27"/>
      <c r="BN703" s="27"/>
    </row>
    <row r="704">
      <c r="A704" s="1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8" t="str">
        <f>LOWER(Campanha_ou_InsertionOrder&amp;"_"&amp;LineItem_ou_Grupodeanúncio&amp;"_"&amp;Linha_Criativa&amp;"_"&amp;Unique_ID)</f>
        <v>#N/A</v>
      </c>
      <c r="AN704" s="28" t="str">
        <f>LOWER(Campanha_ou_InsertionOrder&amp;"_"&amp;LineItem_ou_Grupodeanúncio&amp;"_"&amp;Linha_Criativa&amp;"_"&amp;Unique_ID)</f>
        <v>#N/A</v>
      </c>
      <c r="AO704" s="28" t="str">
        <f>LOWER("VW"&amp;"_"&amp;Model_Variant&amp;"_"&amp;Size&amp;"_"&amp;Linha_Criativa&amp;"_"&amp;IF(Servido_Por="portal",Veiculo,"adserver"))</f>
        <v>vw____adserver</v>
      </c>
      <c r="AP7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4" s="22" t="str">
        <f t="shared" si="1"/>
        <v/>
      </c>
      <c r="AS704" s="22" t="str">
        <f t="shared" si="2"/>
        <v/>
      </c>
      <c r="AT704" s="22" t="str">
        <f t="shared" si="3"/>
        <v>BR_IMC_DSY_LANCH_ND_NC_2020Q3AUG_NVS_Nivus-Launch-Consideracao</v>
      </c>
      <c r="AU704" s="22" t="str">
        <f t="shared" si="4"/>
        <v>#N/A</v>
      </c>
      <c r="AV704" s="22" t="s">
        <v>106</v>
      </c>
      <c r="AW7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4" s="22" t="str">
        <f t="shared" si="5"/>
        <v>BR_IMC_DSY_LANCH_ND_NC_2020Q3AUG_NVS_Nivus-Launch-Consideracao</v>
      </c>
      <c r="AY704" s="28" t="str">
        <f t="shared" si="6"/>
        <v>#N/A</v>
      </c>
      <c r="AZ704" s="22" t="s">
        <v>107</v>
      </c>
      <c r="BA704" s="22" t="s">
        <v>108</v>
      </c>
      <c r="BB704" s="31" t="s">
        <v>109</v>
      </c>
      <c r="BC704" s="31" t="s">
        <v>109</v>
      </c>
      <c r="BD704" s="32" t="str">
        <f t="shared" si="8"/>
        <v>nvl-nvs-imc-dsy-0820-10698</v>
      </c>
      <c r="BE704" s="33"/>
      <c r="BF704" s="33"/>
      <c r="BG704" s="39" t="str">
        <f>URL&amp;IF(ISNUMBER(FIND("?",URL)),"&amp;","?"&amp;("adlid="&amp;Unique_ID&amp;"&amp;adplt="&amp;Placement))</f>
        <v>#N/A</v>
      </c>
      <c r="BH704" s="1"/>
      <c r="BI704" s="1"/>
      <c r="BJ704" s="35" t="str">
        <f>LOWER("alp"&amp;"_"&amp;"vw"&amp;"_"&amp;Veiculo&amp;"_"&amp;C700&amp;"_"&amp;Objetivo)</f>
        <v>alp_vw___</v>
      </c>
      <c r="BK704" s="35" t="str">
        <f>LOWER(Buying_Metric&amp;"_"&amp;VLOOKUP(Buying_Type,Buy_type,2,FALSE)&amp;"_"&amp;Device&amp;"_"&amp;Size&amp;"_"&amp;Segmentação&amp;"_"&amp;Segmentação_Anúncio)</f>
        <v>#N/A</v>
      </c>
      <c r="BL704" s="35" t="str">
        <f>LOWER(Campanha_ou_InsertionOrder&amp;"_"&amp;LineItem_ou_Grupodeanúncio&amp;"_"&amp;Linha_criativa_2&amp;"_"&amp;Unique_ID)</f>
        <v>#N/A</v>
      </c>
      <c r="BM704" s="27"/>
      <c r="BN704" s="27"/>
    </row>
    <row r="705">
      <c r="A705" s="1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8" t="str">
        <f>LOWER(Campanha_ou_InsertionOrder&amp;"_"&amp;LineItem_ou_Grupodeanúncio&amp;"_"&amp;Linha_Criativa&amp;"_"&amp;Unique_ID)</f>
        <v>#N/A</v>
      </c>
      <c r="AN705" s="28" t="str">
        <f>LOWER(Campanha_ou_InsertionOrder&amp;"_"&amp;LineItem_ou_Grupodeanúncio&amp;"_"&amp;Linha_Criativa&amp;"_"&amp;Unique_ID)</f>
        <v>#N/A</v>
      </c>
      <c r="AO705" s="28" t="str">
        <f>LOWER("VW"&amp;"_"&amp;Model_Variant&amp;"_"&amp;Size&amp;"_"&amp;Linha_Criativa&amp;"_"&amp;IF(Servido_Por="portal",Veiculo,"adserver"))</f>
        <v>vw____adserver</v>
      </c>
      <c r="AP7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5" s="22" t="str">
        <f t="shared" si="1"/>
        <v/>
      </c>
      <c r="AS705" s="22" t="str">
        <f t="shared" si="2"/>
        <v/>
      </c>
      <c r="AT705" s="22" t="str">
        <f t="shared" si="3"/>
        <v>BR_IMC_DSY_LANCH_ND_NC_2020Q3AUG_NVS_Nivus-Launch-Consideracao</v>
      </c>
      <c r="AU705" s="22" t="str">
        <f t="shared" si="4"/>
        <v>#N/A</v>
      </c>
      <c r="AV705" s="22" t="s">
        <v>106</v>
      </c>
      <c r="AW7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5" s="22" t="str">
        <f t="shared" si="5"/>
        <v>BR_IMC_DSY_LANCH_ND_NC_2020Q3AUG_NVS_Nivus-Launch-Consideracao</v>
      </c>
      <c r="AY705" s="28" t="str">
        <f t="shared" si="6"/>
        <v>#N/A</v>
      </c>
      <c r="AZ705" s="22" t="s">
        <v>107</v>
      </c>
      <c r="BA705" s="22" t="s">
        <v>108</v>
      </c>
      <c r="BB705" s="31" t="s">
        <v>109</v>
      </c>
      <c r="BC705" s="31" t="s">
        <v>109</v>
      </c>
      <c r="BD705" s="32" t="str">
        <f t="shared" si="8"/>
        <v>nvl-nvs-imc-dsy-0820-10699</v>
      </c>
      <c r="BE705" s="33"/>
      <c r="BF705" s="33"/>
      <c r="BG705" s="39" t="str">
        <f>URL&amp;IF(ISNUMBER(FIND("?",URL)),"&amp;","?"&amp;("adlid="&amp;Unique_ID&amp;"&amp;adplt="&amp;Placement))</f>
        <v>#N/A</v>
      </c>
      <c r="BH705" s="1"/>
      <c r="BI705" s="1"/>
      <c r="BJ705" s="35" t="str">
        <f>LOWER("alp"&amp;"_"&amp;"vw"&amp;"_"&amp;Veiculo&amp;"_"&amp;C701&amp;"_"&amp;Objetivo)</f>
        <v>alp_vw___</v>
      </c>
      <c r="BK705" s="35" t="str">
        <f>LOWER(Buying_Metric&amp;"_"&amp;VLOOKUP(Buying_Type,Buy_type,2,FALSE)&amp;"_"&amp;Device&amp;"_"&amp;Size&amp;"_"&amp;Segmentação&amp;"_"&amp;Segmentação_Anúncio)</f>
        <v>#N/A</v>
      </c>
      <c r="BL705" s="35" t="str">
        <f>LOWER(Campanha_ou_InsertionOrder&amp;"_"&amp;LineItem_ou_Grupodeanúncio&amp;"_"&amp;Linha_criativa_2&amp;"_"&amp;Unique_ID)</f>
        <v>#N/A</v>
      </c>
      <c r="BM705" s="27"/>
      <c r="BN705" s="27"/>
    </row>
    <row r="706">
      <c r="A706" s="1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8" t="str">
        <f>LOWER(Campanha_ou_InsertionOrder&amp;"_"&amp;LineItem_ou_Grupodeanúncio&amp;"_"&amp;Linha_Criativa&amp;"_"&amp;Unique_ID)</f>
        <v>#N/A</v>
      </c>
      <c r="AN706" s="28" t="str">
        <f>LOWER(Campanha_ou_InsertionOrder&amp;"_"&amp;LineItem_ou_Grupodeanúncio&amp;"_"&amp;Linha_Criativa&amp;"_"&amp;Unique_ID)</f>
        <v>#N/A</v>
      </c>
      <c r="AO706" s="28" t="str">
        <f>LOWER("VW"&amp;"_"&amp;Model_Variant&amp;"_"&amp;Size&amp;"_"&amp;Linha_Criativa&amp;"_"&amp;IF(Servido_Por="portal",Veiculo,"adserver"))</f>
        <v>vw____adserver</v>
      </c>
      <c r="AP7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6" s="22" t="str">
        <f t="shared" si="1"/>
        <v/>
      </c>
      <c r="AS706" s="22" t="str">
        <f t="shared" si="2"/>
        <v/>
      </c>
      <c r="AT706" s="22" t="str">
        <f t="shared" si="3"/>
        <v>BR_IMC_DSY_LANCH_ND_NC_2020Q3AUG_NVS_Nivus-Launch-Consideracao</v>
      </c>
      <c r="AU706" s="22" t="str">
        <f t="shared" si="4"/>
        <v>#N/A</v>
      </c>
      <c r="AV706" s="22" t="s">
        <v>106</v>
      </c>
      <c r="AW7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6" s="22" t="str">
        <f t="shared" si="5"/>
        <v>BR_IMC_DSY_LANCH_ND_NC_2020Q3AUG_NVS_Nivus-Launch-Consideracao</v>
      </c>
      <c r="AY706" s="28" t="str">
        <f t="shared" si="6"/>
        <v>#N/A</v>
      </c>
      <c r="AZ706" s="22" t="s">
        <v>107</v>
      </c>
      <c r="BA706" s="22" t="s">
        <v>108</v>
      </c>
      <c r="BB706" s="31" t="s">
        <v>109</v>
      </c>
      <c r="BC706" s="31" t="s">
        <v>109</v>
      </c>
      <c r="BD706" s="32" t="str">
        <f t="shared" si="8"/>
        <v>nvl-nvs-imc-dsy-0820-10700</v>
      </c>
      <c r="BE706" s="33"/>
      <c r="BF706" s="33"/>
      <c r="BG706" s="39" t="str">
        <f>URL&amp;IF(ISNUMBER(FIND("?",URL)),"&amp;","?"&amp;("adlid="&amp;Unique_ID&amp;"&amp;adplt="&amp;Placement))</f>
        <v>#N/A</v>
      </c>
      <c r="BH706" s="1"/>
      <c r="BI706" s="1"/>
      <c r="BJ706" s="35" t="str">
        <f>LOWER("alp"&amp;"_"&amp;"vw"&amp;"_"&amp;Veiculo&amp;"_"&amp;C702&amp;"_"&amp;Objetivo)</f>
        <v>alp_vw___</v>
      </c>
      <c r="BK706" s="35" t="str">
        <f>LOWER(Buying_Metric&amp;"_"&amp;VLOOKUP(Buying_Type,Buy_type,2,FALSE)&amp;"_"&amp;Device&amp;"_"&amp;Size&amp;"_"&amp;Segmentação&amp;"_"&amp;Segmentação_Anúncio)</f>
        <v>#N/A</v>
      </c>
      <c r="BL706" s="35" t="str">
        <f>LOWER(Campanha_ou_InsertionOrder&amp;"_"&amp;LineItem_ou_Grupodeanúncio&amp;"_"&amp;Linha_criativa_2&amp;"_"&amp;Unique_ID)</f>
        <v>#N/A</v>
      </c>
      <c r="BM706" s="27"/>
      <c r="BN706" s="27"/>
    </row>
    <row r="707">
      <c r="A707" s="1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8" t="str">
        <f>LOWER(Campanha_ou_InsertionOrder&amp;"_"&amp;LineItem_ou_Grupodeanúncio&amp;"_"&amp;Linha_Criativa&amp;"_"&amp;Unique_ID)</f>
        <v>#N/A</v>
      </c>
      <c r="AN707" s="28" t="str">
        <f>LOWER(Campanha_ou_InsertionOrder&amp;"_"&amp;LineItem_ou_Grupodeanúncio&amp;"_"&amp;Linha_Criativa&amp;"_"&amp;Unique_ID)</f>
        <v>#N/A</v>
      </c>
      <c r="AO707" s="28" t="str">
        <f>LOWER("VW"&amp;"_"&amp;Model_Variant&amp;"_"&amp;Size&amp;"_"&amp;Linha_Criativa&amp;"_"&amp;IF(Servido_Por="portal",Veiculo,"adserver"))</f>
        <v>vw____adserver</v>
      </c>
      <c r="AP7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7" s="22" t="str">
        <f t="shared" si="1"/>
        <v/>
      </c>
      <c r="AS707" s="22" t="str">
        <f t="shared" si="2"/>
        <v/>
      </c>
      <c r="AT707" s="22" t="str">
        <f t="shared" si="3"/>
        <v>BR_IMC_DSY_LANCH_ND_NC_2020Q3AUG_NVS_Nivus-Launch-Consideracao</v>
      </c>
      <c r="AU707" s="22" t="str">
        <f t="shared" si="4"/>
        <v>#N/A</v>
      </c>
      <c r="AV707" s="22" t="s">
        <v>106</v>
      </c>
      <c r="AW7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7" s="22" t="str">
        <f t="shared" si="5"/>
        <v>BR_IMC_DSY_LANCH_ND_NC_2020Q3AUG_NVS_Nivus-Launch-Consideracao</v>
      </c>
      <c r="AY707" s="28" t="str">
        <f t="shared" si="6"/>
        <v>#N/A</v>
      </c>
      <c r="AZ707" s="22" t="s">
        <v>107</v>
      </c>
      <c r="BA707" s="22" t="s">
        <v>108</v>
      </c>
      <c r="BB707" s="31" t="s">
        <v>109</v>
      </c>
      <c r="BC707" s="31" t="s">
        <v>109</v>
      </c>
      <c r="BD707" s="32" t="str">
        <f t="shared" si="8"/>
        <v>nvl-nvs-imc-dsy-0820-10701</v>
      </c>
      <c r="BE707" s="33"/>
      <c r="BF707" s="33"/>
      <c r="BG707" s="39" t="str">
        <f>URL&amp;IF(ISNUMBER(FIND("?",URL)),"&amp;","?"&amp;("adlid="&amp;Unique_ID&amp;"&amp;adplt="&amp;Placement))</f>
        <v>#N/A</v>
      </c>
      <c r="BH707" s="1"/>
      <c r="BI707" s="1"/>
      <c r="BJ707" s="35" t="str">
        <f>LOWER("alp"&amp;"_"&amp;"vw"&amp;"_"&amp;Veiculo&amp;"_"&amp;C703&amp;"_"&amp;Objetivo)</f>
        <v>alp_vw___</v>
      </c>
      <c r="BK707" s="35" t="str">
        <f>LOWER(Buying_Metric&amp;"_"&amp;VLOOKUP(Buying_Type,Buy_type,2,FALSE)&amp;"_"&amp;Device&amp;"_"&amp;Size&amp;"_"&amp;Segmentação&amp;"_"&amp;Segmentação_Anúncio)</f>
        <v>#N/A</v>
      </c>
      <c r="BL707" s="35" t="str">
        <f>LOWER(Campanha_ou_InsertionOrder&amp;"_"&amp;LineItem_ou_Grupodeanúncio&amp;"_"&amp;Linha_criativa_2&amp;"_"&amp;Unique_ID)</f>
        <v>#N/A</v>
      </c>
      <c r="BM707" s="27"/>
      <c r="BN707" s="27"/>
    </row>
    <row r="708">
      <c r="A708" s="1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8" t="str">
        <f>LOWER(Campanha_ou_InsertionOrder&amp;"_"&amp;LineItem_ou_Grupodeanúncio&amp;"_"&amp;Linha_Criativa&amp;"_"&amp;Unique_ID)</f>
        <v>#N/A</v>
      </c>
      <c r="AN708" s="28" t="str">
        <f>LOWER(Campanha_ou_InsertionOrder&amp;"_"&amp;LineItem_ou_Grupodeanúncio&amp;"_"&amp;Linha_Criativa&amp;"_"&amp;Unique_ID)</f>
        <v>#N/A</v>
      </c>
      <c r="AO708" s="28" t="str">
        <f>LOWER("VW"&amp;"_"&amp;Model_Variant&amp;"_"&amp;Size&amp;"_"&amp;Linha_Criativa&amp;"_"&amp;IF(Servido_Por="portal",Veiculo,"adserver"))</f>
        <v>vw____adserver</v>
      </c>
      <c r="AP7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8" s="22" t="str">
        <f t="shared" si="1"/>
        <v/>
      </c>
      <c r="AS708" s="22" t="str">
        <f t="shared" si="2"/>
        <v/>
      </c>
      <c r="AT708" s="22" t="str">
        <f t="shared" si="3"/>
        <v>BR_IMC_DSY_LANCH_ND_NC_2020Q3AUG_NVS_Nivus-Launch-Consideracao</v>
      </c>
      <c r="AU708" s="22" t="str">
        <f t="shared" si="4"/>
        <v>#N/A</v>
      </c>
      <c r="AV708" s="22" t="s">
        <v>106</v>
      </c>
      <c r="AW7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8" s="22" t="str">
        <f t="shared" si="5"/>
        <v>BR_IMC_DSY_LANCH_ND_NC_2020Q3AUG_NVS_Nivus-Launch-Consideracao</v>
      </c>
      <c r="AY708" s="28" t="str">
        <f t="shared" si="6"/>
        <v>#N/A</v>
      </c>
      <c r="AZ708" s="22" t="s">
        <v>107</v>
      </c>
      <c r="BA708" s="22" t="s">
        <v>108</v>
      </c>
      <c r="BB708" s="31" t="s">
        <v>109</v>
      </c>
      <c r="BC708" s="31" t="s">
        <v>109</v>
      </c>
      <c r="BD708" s="32" t="str">
        <f t="shared" si="8"/>
        <v>nvl-nvs-imc-dsy-0820-10702</v>
      </c>
      <c r="BE708" s="33"/>
      <c r="BF708" s="33"/>
      <c r="BG708" s="39" t="str">
        <f>URL&amp;IF(ISNUMBER(FIND("?",URL)),"&amp;","?"&amp;("adlid="&amp;Unique_ID&amp;"&amp;adplt="&amp;Placement))</f>
        <v>#N/A</v>
      </c>
      <c r="BH708" s="1"/>
      <c r="BI708" s="1"/>
      <c r="BJ708" s="35" t="str">
        <f>LOWER("alp"&amp;"_"&amp;"vw"&amp;"_"&amp;Veiculo&amp;"_"&amp;C704&amp;"_"&amp;Objetivo)</f>
        <v>alp_vw___</v>
      </c>
      <c r="BK708" s="35" t="str">
        <f>LOWER(Buying_Metric&amp;"_"&amp;VLOOKUP(Buying_Type,Buy_type,2,FALSE)&amp;"_"&amp;Device&amp;"_"&amp;Size&amp;"_"&amp;Segmentação&amp;"_"&amp;Segmentação_Anúncio)</f>
        <v>#N/A</v>
      </c>
      <c r="BL708" s="35" t="str">
        <f>LOWER(Campanha_ou_InsertionOrder&amp;"_"&amp;LineItem_ou_Grupodeanúncio&amp;"_"&amp;Linha_criativa_2&amp;"_"&amp;Unique_ID)</f>
        <v>#N/A</v>
      </c>
      <c r="BM708" s="27"/>
      <c r="BN708" s="27"/>
    </row>
    <row r="709">
      <c r="A709" s="1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8" t="str">
        <f>LOWER(Campanha_ou_InsertionOrder&amp;"_"&amp;LineItem_ou_Grupodeanúncio&amp;"_"&amp;Linha_Criativa&amp;"_"&amp;Unique_ID)</f>
        <v>#N/A</v>
      </c>
      <c r="AN709" s="28" t="str">
        <f>LOWER(Campanha_ou_InsertionOrder&amp;"_"&amp;LineItem_ou_Grupodeanúncio&amp;"_"&amp;Linha_Criativa&amp;"_"&amp;Unique_ID)</f>
        <v>#N/A</v>
      </c>
      <c r="AO709" s="28" t="str">
        <f>LOWER("VW"&amp;"_"&amp;Model_Variant&amp;"_"&amp;Size&amp;"_"&amp;Linha_Criativa&amp;"_"&amp;IF(Servido_Por="portal",Veiculo,"adserver"))</f>
        <v>vw____adserver</v>
      </c>
      <c r="AP7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09" s="22" t="str">
        <f t="shared" si="1"/>
        <v/>
      </c>
      <c r="AS709" s="22" t="str">
        <f t="shared" si="2"/>
        <v/>
      </c>
      <c r="AT709" s="22" t="str">
        <f t="shared" si="3"/>
        <v>BR_IMC_DSY_LANCH_ND_NC_2020Q3AUG_NVS_Nivus-Launch-Consideracao</v>
      </c>
      <c r="AU709" s="22" t="str">
        <f t="shared" si="4"/>
        <v>#N/A</v>
      </c>
      <c r="AV709" s="22" t="s">
        <v>106</v>
      </c>
      <c r="AW7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09" s="22" t="str">
        <f t="shared" si="5"/>
        <v>BR_IMC_DSY_LANCH_ND_NC_2020Q3AUG_NVS_Nivus-Launch-Consideracao</v>
      </c>
      <c r="AY709" s="28" t="str">
        <f t="shared" si="6"/>
        <v>#N/A</v>
      </c>
      <c r="AZ709" s="22" t="s">
        <v>107</v>
      </c>
      <c r="BA709" s="22" t="s">
        <v>108</v>
      </c>
      <c r="BB709" s="31" t="s">
        <v>109</v>
      </c>
      <c r="BC709" s="31" t="s">
        <v>109</v>
      </c>
      <c r="BD709" s="32" t="str">
        <f t="shared" si="8"/>
        <v>nvl-nvs-imc-dsy-0820-10703</v>
      </c>
      <c r="BE709" s="33"/>
      <c r="BF709" s="33"/>
      <c r="BG709" s="39" t="str">
        <f>URL&amp;IF(ISNUMBER(FIND("?",URL)),"&amp;","?"&amp;("adlid="&amp;Unique_ID&amp;"&amp;adplt="&amp;Placement))</f>
        <v>#N/A</v>
      </c>
      <c r="BH709" s="1"/>
      <c r="BI709" s="1"/>
      <c r="BJ709" s="35" t="str">
        <f>LOWER("alp"&amp;"_"&amp;"vw"&amp;"_"&amp;Veiculo&amp;"_"&amp;C705&amp;"_"&amp;Objetivo)</f>
        <v>alp_vw___</v>
      </c>
      <c r="BK709" s="35" t="str">
        <f>LOWER(Buying_Metric&amp;"_"&amp;VLOOKUP(Buying_Type,Buy_type,2,FALSE)&amp;"_"&amp;Device&amp;"_"&amp;Size&amp;"_"&amp;Segmentação&amp;"_"&amp;Segmentação_Anúncio)</f>
        <v>#N/A</v>
      </c>
      <c r="BL709" s="35" t="str">
        <f>LOWER(Campanha_ou_InsertionOrder&amp;"_"&amp;LineItem_ou_Grupodeanúncio&amp;"_"&amp;Linha_criativa_2&amp;"_"&amp;Unique_ID)</f>
        <v>#N/A</v>
      </c>
      <c r="BM709" s="27"/>
      <c r="BN709" s="27"/>
    </row>
    <row r="710">
      <c r="A710" s="1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tr">
        <f>LOWER(Campanha_ou_InsertionOrder&amp;"_"&amp;LineItem_ou_Grupodeanúncio&amp;"_"&amp;Linha_Criativa&amp;"_"&amp;Unique_ID)</f>
        <v>#N/A</v>
      </c>
      <c r="AN710" s="28" t="str">
        <f>LOWER(Campanha_ou_InsertionOrder&amp;"_"&amp;LineItem_ou_Grupodeanúncio&amp;"_"&amp;Linha_Criativa&amp;"_"&amp;Unique_ID)</f>
        <v>#N/A</v>
      </c>
      <c r="AO710" s="28" t="str">
        <f>LOWER("VW"&amp;"_"&amp;Model_Variant&amp;"_"&amp;Size&amp;"_"&amp;Linha_Criativa&amp;"_"&amp;IF(Servido_Por="portal",Veiculo,"adserver"))</f>
        <v>vw____adserver</v>
      </c>
      <c r="AP7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0" s="22" t="str">
        <f t="shared" si="1"/>
        <v/>
      </c>
      <c r="AS710" s="22" t="str">
        <f t="shared" si="2"/>
        <v/>
      </c>
      <c r="AT710" s="22" t="str">
        <f t="shared" si="3"/>
        <v>BR_IMC_DSY_LANCH_ND_NC_2020Q3AUG_NVS_Nivus-Launch-Consideracao</v>
      </c>
      <c r="AU710" s="22" t="str">
        <f t="shared" si="4"/>
        <v>#N/A</v>
      </c>
      <c r="AV710" s="22" t="s">
        <v>106</v>
      </c>
      <c r="AW7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0" s="22" t="str">
        <f t="shared" si="5"/>
        <v>BR_IMC_DSY_LANCH_ND_NC_2020Q3AUG_NVS_Nivus-Launch-Consideracao</v>
      </c>
      <c r="AY710" s="28" t="str">
        <f t="shared" si="6"/>
        <v>#N/A</v>
      </c>
      <c r="AZ710" s="22" t="s">
        <v>107</v>
      </c>
      <c r="BA710" s="22" t="s">
        <v>108</v>
      </c>
      <c r="BB710" s="31" t="s">
        <v>109</v>
      </c>
      <c r="BC710" s="31" t="s">
        <v>109</v>
      </c>
      <c r="BD710" s="32" t="str">
        <f t="shared" si="8"/>
        <v>nvl-nvs-imc-dsy-0820-10704</v>
      </c>
      <c r="BE710" s="33"/>
      <c r="BF710" s="33"/>
      <c r="BG710" s="39" t="str">
        <f>URL&amp;IF(ISNUMBER(FIND("?",URL)),"&amp;","?"&amp;("adlid="&amp;Unique_ID&amp;"&amp;adplt="&amp;Placement))</f>
        <v>#N/A</v>
      </c>
      <c r="BH710" s="1"/>
      <c r="BI710" s="1"/>
      <c r="BJ710" s="35" t="str">
        <f>LOWER("alp"&amp;"_"&amp;"vw"&amp;"_"&amp;Veiculo&amp;"_"&amp;C706&amp;"_"&amp;Objetivo)</f>
        <v>alp_vw___</v>
      </c>
      <c r="BK710" s="35" t="str">
        <f>LOWER(Buying_Metric&amp;"_"&amp;VLOOKUP(Buying_Type,Buy_type,2,FALSE)&amp;"_"&amp;Device&amp;"_"&amp;Size&amp;"_"&amp;Segmentação&amp;"_"&amp;Segmentação_Anúncio)</f>
        <v>#N/A</v>
      </c>
      <c r="BL710" s="35" t="str">
        <f>LOWER(Campanha_ou_InsertionOrder&amp;"_"&amp;LineItem_ou_Grupodeanúncio&amp;"_"&amp;Linha_criativa_2&amp;"_"&amp;Unique_ID)</f>
        <v>#N/A</v>
      </c>
      <c r="BM710" s="27"/>
      <c r="BN710" s="27"/>
    </row>
    <row r="711">
      <c r="A711" s="1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8" t="str">
        <f>LOWER(Campanha_ou_InsertionOrder&amp;"_"&amp;LineItem_ou_Grupodeanúncio&amp;"_"&amp;Linha_Criativa&amp;"_"&amp;Unique_ID)</f>
        <v>#N/A</v>
      </c>
      <c r="AN711" s="28" t="str">
        <f>LOWER(Campanha_ou_InsertionOrder&amp;"_"&amp;LineItem_ou_Grupodeanúncio&amp;"_"&amp;Linha_Criativa&amp;"_"&amp;Unique_ID)</f>
        <v>#N/A</v>
      </c>
      <c r="AO711" s="28" t="str">
        <f>LOWER("VW"&amp;"_"&amp;Model_Variant&amp;"_"&amp;Size&amp;"_"&amp;Linha_Criativa&amp;"_"&amp;IF(Servido_Por="portal",Veiculo,"adserver"))</f>
        <v>vw____adserver</v>
      </c>
      <c r="AP7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1" s="22" t="str">
        <f t="shared" si="1"/>
        <v/>
      </c>
      <c r="AS711" s="22" t="str">
        <f t="shared" si="2"/>
        <v/>
      </c>
      <c r="AT711" s="22" t="str">
        <f t="shared" si="3"/>
        <v>BR_IMC_DSY_LANCH_ND_NC_2020Q3AUG_NVS_Nivus-Launch-Consideracao</v>
      </c>
      <c r="AU711" s="22" t="str">
        <f t="shared" si="4"/>
        <v>#N/A</v>
      </c>
      <c r="AV711" s="22" t="s">
        <v>106</v>
      </c>
      <c r="AW7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1" s="22" t="str">
        <f t="shared" si="5"/>
        <v>BR_IMC_DSY_LANCH_ND_NC_2020Q3AUG_NVS_Nivus-Launch-Consideracao</v>
      </c>
      <c r="AY711" s="28" t="str">
        <f t="shared" si="6"/>
        <v>#N/A</v>
      </c>
      <c r="AZ711" s="22" t="s">
        <v>107</v>
      </c>
      <c r="BA711" s="22" t="s">
        <v>108</v>
      </c>
      <c r="BB711" s="31" t="s">
        <v>109</v>
      </c>
      <c r="BC711" s="31" t="s">
        <v>109</v>
      </c>
      <c r="BD711" s="32" t="str">
        <f t="shared" si="8"/>
        <v>nvl-nvs-imc-dsy-0820-10705</v>
      </c>
      <c r="BE711" s="33"/>
      <c r="BF711" s="33"/>
      <c r="BG711" s="39" t="str">
        <f>URL&amp;IF(ISNUMBER(FIND("?",URL)),"&amp;","?"&amp;("adlid="&amp;Unique_ID&amp;"&amp;adplt="&amp;Placement))</f>
        <v>#N/A</v>
      </c>
      <c r="BH711" s="1"/>
      <c r="BI711" s="1"/>
      <c r="BJ711" s="35" t="str">
        <f>LOWER("alp"&amp;"_"&amp;"vw"&amp;"_"&amp;Veiculo&amp;"_"&amp;C707&amp;"_"&amp;Objetivo)</f>
        <v>alp_vw___</v>
      </c>
      <c r="BK711" s="35" t="str">
        <f>LOWER(Buying_Metric&amp;"_"&amp;VLOOKUP(Buying_Type,Buy_type,2,FALSE)&amp;"_"&amp;Device&amp;"_"&amp;Size&amp;"_"&amp;Segmentação&amp;"_"&amp;Segmentação_Anúncio)</f>
        <v>#N/A</v>
      </c>
      <c r="BL711" s="35" t="str">
        <f>LOWER(Campanha_ou_InsertionOrder&amp;"_"&amp;LineItem_ou_Grupodeanúncio&amp;"_"&amp;Linha_criativa_2&amp;"_"&amp;Unique_ID)</f>
        <v>#N/A</v>
      </c>
      <c r="BM711" s="27"/>
      <c r="BN711" s="27"/>
    </row>
    <row r="712">
      <c r="A712" s="1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8" t="str">
        <f>LOWER(Campanha_ou_InsertionOrder&amp;"_"&amp;LineItem_ou_Grupodeanúncio&amp;"_"&amp;Linha_Criativa&amp;"_"&amp;Unique_ID)</f>
        <v>#N/A</v>
      </c>
      <c r="AN712" s="28" t="str">
        <f>LOWER(Campanha_ou_InsertionOrder&amp;"_"&amp;LineItem_ou_Grupodeanúncio&amp;"_"&amp;Linha_Criativa&amp;"_"&amp;Unique_ID)</f>
        <v>#N/A</v>
      </c>
      <c r="AO712" s="28" t="str">
        <f>LOWER("VW"&amp;"_"&amp;Model_Variant&amp;"_"&amp;Size&amp;"_"&amp;Linha_Criativa&amp;"_"&amp;IF(Servido_Por="portal",Veiculo,"adserver"))</f>
        <v>vw____adserver</v>
      </c>
      <c r="AP7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2" s="22" t="str">
        <f t="shared" si="1"/>
        <v/>
      </c>
      <c r="AS712" s="22" t="str">
        <f t="shared" si="2"/>
        <v/>
      </c>
      <c r="AT712" s="22" t="str">
        <f t="shared" si="3"/>
        <v>BR_IMC_DSY_LANCH_ND_NC_2020Q3AUG_NVS_Nivus-Launch-Consideracao</v>
      </c>
      <c r="AU712" s="22" t="str">
        <f t="shared" si="4"/>
        <v>#N/A</v>
      </c>
      <c r="AV712" s="22" t="s">
        <v>106</v>
      </c>
      <c r="AW7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2" s="22" t="str">
        <f t="shared" si="5"/>
        <v>BR_IMC_DSY_LANCH_ND_NC_2020Q3AUG_NVS_Nivus-Launch-Consideracao</v>
      </c>
      <c r="AY712" s="28" t="str">
        <f t="shared" si="6"/>
        <v>#N/A</v>
      </c>
      <c r="AZ712" s="22" t="s">
        <v>107</v>
      </c>
      <c r="BA712" s="22" t="s">
        <v>108</v>
      </c>
      <c r="BB712" s="31" t="s">
        <v>109</v>
      </c>
      <c r="BC712" s="31" t="s">
        <v>109</v>
      </c>
      <c r="BD712" s="32" t="str">
        <f t="shared" si="8"/>
        <v>nvl-nvs-imc-dsy-0820-10706</v>
      </c>
      <c r="BE712" s="33"/>
      <c r="BF712" s="33"/>
      <c r="BG712" s="39" t="str">
        <f>URL&amp;IF(ISNUMBER(FIND("?",URL)),"&amp;","?"&amp;("adlid="&amp;Unique_ID&amp;"&amp;adplt="&amp;Placement))</f>
        <v>#N/A</v>
      </c>
      <c r="BH712" s="1"/>
      <c r="BI712" s="1"/>
      <c r="BJ712" s="35" t="str">
        <f>LOWER("alp"&amp;"_"&amp;"vw"&amp;"_"&amp;Veiculo&amp;"_"&amp;C708&amp;"_"&amp;Objetivo)</f>
        <v>alp_vw___</v>
      </c>
      <c r="BK712" s="35" t="str">
        <f>LOWER(Buying_Metric&amp;"_"&amp;VLOOKUP(Buying_Type,Buy_type,2,FALSE)&amp;"_"&amp;Device&amp;"_"&amp;Size&amp;"_"&amp;Segmentação&amp;"_"&amp;Segmentação_Anúncio)</f>
        <v>#N/A</v>
      </c>
      <c r="BL712" s="35" t="str">
        <f>LOWER(Campanha_ou_InsertionOrder&amp;"_"&amp;LineItem_ou_Grupodeanúncio&amp;"_"&amp;Linha_criativa_2&amp;"_"&amp;Unique_ID)</f>
        <v>#N/A</v>
      </c>
      <c r="BM712" s="27"/>
      <c r="BN712" s="27"/>
    </row>
    <row r="713">
      <c r="A713" s="1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8" t="str">
        <f>LOWER(Campanha_ou_InsertionOrder&amp;"_"&amp;LineItem_ou_Grupodeanúncio&amp;"_"&amp;Linha_Criativa&amp;"_"&amp;Unique_ID)</f>
        <v>#N/A</v>
      </c>
      <c r="AN713" s="28" t="str">
        <f>LOWER(Campanha_ou_InsertionOrder&amp;"_"&amp;LineItem_ou_Grupodeanúncio&amp;"_"&amp;Linha_Criativa&amp;"_"&amp;Unique_ID)</f>
        <v>#N/A</v>
      </c>
      <c r="AO713" s="28" t="str">
        <f>LOWER("VW"&amp;"_"&amp;Model_Variant&amp;"_"&amp;Size&amp;"_"&amp;Linha_Criativa&amp;"_"&amp;IF(Servido_Por="portal",Veiculo,"adserver"))</f>
        <v>vw____adserver</v>
      </c>
      <c r="AP7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3" s="22" t="str">
        <f t="shared" si="1"/>
        <v/>
      </c>
      <c r="AS713" s="22" t="str">
        <f t="shared" si="2"/>
        <v/>
      </c>
      <c r="AT713" s="22" t="str">
        <f t="shared" si="3"/>
        <v>BR_IMC_DSY_LANCH_ND_NC_2020Q3AUG_NVS_Nivus-Launch-Consideracao</v>
      </c>
      <c r="AU713" s="22" t="str">
        <f t="shared" si="4"/>
        <v>#N/A</v>
      </c>
      <c r="AV713" s="22" t="s">
        <v>106</v>
      </c>
      <c r="AW7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3" s="22" t="str">
        <f t="shared" si="5"/>
        <v>BR_IMC_DSY_LANCH_ND_NC_2020Q3AUG_NVS_Nivus-Launch-Consideracao</v>
      </c>
      <c r="AY713" s="28" t="str">
        <f t="shared" si="6"/>
        <v>#N/A</v>
      </c>
      <c r="AZ713" s="22" t="s">
        <v>107</v>
      </c>
      <c r="BA713" s="22" t="s">
        <v>108</v>
      </c>
      <c r="BB713" s="31" t="s">
        <v>109</v>
      </c>
      <c r="BC713" s="31" t="s">
        <v>109</v>
      </c>
      <c r="BD713" s="32" t="str">
        <f t="shared" si="8"/>
        <v>nvl-nvs-imc-dsy-0820-10707</v>
      </c>
      <c r="BE713" s="33"/>
      <c r="BF713" s="33"/>
      <c r="BG713" s="39" t="str">
        <f>URL&amp;IF(ISNUMBER(FIND("?",URL)),"&amp;","?"&amp;("adlid="&amp;Unique_ID&amp;"&amp;adplt="&amp;Placement))</f>
        <v>#N/A</v>
      </c>
      <c r="BH713" s="1"/>
      <c r="BI713" s="1"/>
      <c r="BJ713" s="35" t="str">
        <f>LOWER("alp"&amp;"_"&amp;"vw"&amp;"_"&amp;Veiculo&amp;"_"&amp;C709&amp;"_"&amp;Objetivo)</f>
        <v>alp_vw___</v>
      </c>
      <c r="BK713" s="35" t="str">
        <f>LOWER(Buying_Metric&amp;"_"&amp;VLOOKUP(Buying_Type,Buy_type,2,FALSE)&amp;"_"&amp;Device&amp;"_"&amp;Size&amp;"_"&amp;Segmentação&amp;"_"&amp;Segmentação_Anúncio)</f>
        <v>#N/A</v>
      </c>
      <c r="BL713" s="35" t="str">
        <f>LOWER(Campanha_ou_InsertionOrder&amp;"_"&amp;LineItem_ou_Grupodeanúncio&amp;"_"&amp;Linha_criativa_2&amp;"_"&amp;Unique_ID)</f>
        <v>#N/A</v>
      </c>
      <c r="BM713" s="27"/>
      <c r="BN713" s="27"/>
    </row>
    <row r="714">
      <c r="A714" s="1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8" t="str">
        <f>LOWER(Campanha_ou_InsertionOrder&amp;"_"&amp;LineItem_ou_Grupodeanúncio&amp;"_"&amp;Linha_Criativa&amp;"_"&amp;Unique_ID)</f>
        <v>#N/A</v>
      </c>
      <c r="AN714" s="28" t="str">
        <f>LOWER(Campanha_ou_InsertionOrder&amp;"_"&amp;LineItem_ou_Grupodeanúncio&amp;"_"&amp;Linha_Criativa&amp;"_"&amp;Unique_ID)</f>
        <v>#N/A</v>
      </c>
      <c r="AO714" s="28" t="str">
        <f>LOWER("VW"&amp;"_"&amp;Model_Variant&amp;"_"&amp;Size&amp;"_"&amp;Linha_Criativa&amp;"_"&amp;IF(Servido_Por="portal",Veiculo,"adserver"))</f>
        <v>vw____adserver</v>
      </c>
      <c r="AP7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4" s="22" t="str">
        <f t="shared" si="1"/>
        <v/>
      </c>
      <c r="AS714" s="22" t="str">
        <f t="shared" si="2"/>
        <v/>
      </c>
      <c r="AT714" s="22" t="str">
        <f t="shared" si="3"/>
        <v>BR_IMC_DSY_LANCH_ND_NC_2020Q3AUG_NVS_Nivus-Launch-Consideracao</v>
      </c>
      <c r="AU714" s="22" t="str">
        <f t="shared" si="4"/>
        <v>#N/A</v>
      </c>
      <c r="AV714" s="22" t="s">
        <v>106</v>
      </c>
      <c r="AW7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4" s="22" t="str">
        <f t="shared" si="5"/>
        <v>BR_IMC_DSY_LANCH_ND_NC_2020Q3AUG_NVS_Nivus-Launch-Consideracao</v>
      </c>
      <c r="AY714" s="28" t="str">
        <f t="shared" si="6"/>
        <v>#N/A</v>
      </c>
      <c r="AZ714" s="22" t="s">
        <v>107</v>
      </c>
      <c r="BA714" s="22" t="s">
        <v>108</v>
      </c>
      <c r="BB714" s="31" t="s">
        <v>109</v>
      </c>
      <c r="BC714" s="31" t="s">
        <v>109</v>
      </c>
      <c r="BD714" s="32" t="str">
        <f t="shared" si="8"/>
        <v>nvl-nvs-imc-dsy-0820-10708</v>
      </c>
      <c r="BE714" s="33"/>
      <c r="BF714" s="33"/>
      <c r="BG714" s="39" t="str">
        <f>URL&amp;IF(ISNUMBER(FIND("?",URL)),"&amp;","?"&amp;("adlid="&amp;Unique_ID&amp;"&amp;adplt="&amp;Placement))</f>
        <v>#N/A</v>
      </c>
      <c r="BH714" s="1"/>
      <c r="BI714" s="1"/>
      <c r="BJ714" s="35" t="str">
        <f>LOWER("alp"&amp;"_"&amp;"vw"&amp;"_"&amp;Veiculo&amp;"_"&amp;C710&amp;"_"&amp;Objetivo)</f>
        <v>alp_vw___</v>
      </c>
      <c r="BK714" s="35" t="str">
        <f>LOWER(Buying_Metric&amp;"_"&amp;VLOOKUP(Buying_Type,Buy_type,2,FALSE)&amp;"_"&amp;Device&amp;"_"&amp;Size&amp;"_"&amp;Segmentação&amp;"_"&amp;Segmentação_Anúncio)</f>
        <v>#N/A</v>
      </c>
      <c r="BL714" s="35" t="str">
        <f>LOWER(Campanha_ou_InsertionOrder&amp;"_"&amp;LineItem_ou_Grupodeanúncio&amp;"_"&amp;Linha_criativa_2&amp;"_"&amp;Unique_ID)</f>
        <v>#N/A</v>
      </c>
      <c r="BM714" s="27"/>
      <c r="BN714" s="27"/>
    </row>
    <row r="715">
      <c r="A715" s="1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8" t="str">
        <f>LOWER(Campanha_ou_InsertionOrder&amp;"_"&amp;LineItem_ou_Grupodeanúncio&amp;"_"&amp;Linha_Criativa&amp;"_"&amp;Unique_ID)</f>
        <v>#N/A</v>
      </c>
      <c r="AN715" s="28" t="str">
        <f>LOWER(Campanha_ou_InsertionOrder&amp;"_"&amp;LineItem_ou_Grupodeanúncio&amp;"_"&amp;Linha_Criativa&amp;"_"&amp;Unique_ID)</f>
        <v>#N/A</v>
      </c>
      <c r="AO715" s="28" t="str">
        <f>LOWER("VW"&amp;"_"&amp;Model_Variant&amp;"_"&amp;Size&amp;"_"&amp;Linha_Criativa&amp;"_"&amp;IF(Servido_Por="portal",Veiculo,"adserver"))</f>
        <v>vw____adserver</v>
      </c>
      <c r="AP7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5" s="22" t="str">
        <f t="shared" si="1"/>
        <v/>
      </c>
      <c r="AS715" s="22" t="str">
        <f t="shared" si="2"/>
        <v/>
      </c>
      <c r="AT715" s="22" t="str">
        <f t="shared" si="3"/>
        <v>BR_IMC_DSY_LANCH_ND_NC_2020Q3AUG_NVS_Nivus-Launch-Consideracao</v>
      </c>
      <c r="AU715" s="22" t="str">
        <f t="shared" si="4"/>
        <v>#N/A</v>
      </c>
      <c r="AV715" s="22" t="s">
        <v>106</v>
      </c>
      <c r="AW7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5" s="22" t="str">
        <f t="shared" si="5"/>
        <v>BR_IMC_DSY_LANCH_ND_NC_2020Q3AUG_NVS_Nivus-Launch-Consideracao</v>
      </c>
      <c r="AY715" s="28" t="str">
        <f t="shared" si="6"/>
        <v>#N/A</v>
      </c>
      <c r="AZ715" s="22" t="s">
        <v>107</v>
      </c>
      <c r="BA715" s="22" t="s">
        <v>108</v>
      </c>
      <c r="BB715" s="31" t="s">
        <v>109</v>
      </c>
      <c r="BC715" s="31" t="s">
        <v>109</v>
      </c>
      <c r="BD715" s="32" t="str">
        <f t="shared" si="8"/>
        <v>nvl-nvs-imc-dsy-0820-10709</v>
      </c>
      <c r="BE715" s="33"/>
      <c r="BF715" s="33"/>
      <c r="BG715" s="39" t="str">
        <f>URL&amp;IF(ISNUMBER(FIND("?",URL)),"&amp;","?"&amp;("adlid="&amp;Unique_ID&amp;"&amp;adplt="&amp;Placement))</f>
        <v>#N/A</v>
      </c>
      <c r="BH715" s="1"/>
      <c r="BI715" s="1"/>
      <c r="BJ715" s="35" t="str">
        <f>LOWER("alp"&amp;"_"&amp;"vw"&amp;"_"&amp;Veiculo&amp;"_"&amp;C711&amp;"_"&amp;Objetivo)</f>
        <v>alp_vw___</v>
      </c>
      <c r="BK715" s="35" t="str">
        <f>LOWER(Buying_Metric&amp;"_"&amp;VLOOKUP(Buying_Type,Buy_type,2,FALSE)&amp;"_"&amp;Device&amp;"_"&amp;Size&amp;"_"&amp;Segmentação&amp;"_"&amp;Segmentação_Anúncio)</f>
        <v>#N/A</v>
      </c>
      <c r="BL715" s="35" t="str">
        <f>LOWER(Campanha_ou_InsertionOrder&amp;"_"&amp;LineItem_ou_Grupodeanúncio&amp;"_"&amp;Linha_criativa_2&amp;"_"&amp;Unique_ID)</f>
        <v>#N/A</v>
      </c>
      <c r="BM715" s="27"/>
      <c r="BN715" s="27"/>
    </row>
    <row r="716">
      <c r="A716" s="1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8" t="str">
        <f>LOWER(Campanha_ou_InsertionOrder&amp;"_"&amp;LineItem_ou_Grupodeanúncio&amp;"_"&amp;Linha_Criativa&amp;"_"&amp;Unique_ID)</f>
        <v>#N/A</v>
      </c>
      <c r="AN716" s="28" t="str">
        <f>LOWER(Campanha_ou_InsertionOrder&amp;"_"&amp;LineItem_ou_Grupodeanúncio&amp;"_"&amp;Linha_Criativa&amp;"_"&amp;Unique_ID)</f>
        <v>#N/A</v>
      </c>
      <c r="AO716" s="28" t="str">
        <f>LOWER("VW"&amp;"_"&amp;Model_Variant&amp;"_"&amp;Size&amp;"_"&amp;Linha_Criativa&amp;"_"&amp;IF(Servido_Por="portal",Veiculo,"adserver"))</f>
        <v>vw____adserver</v>
      </c>
      <c r="AP7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6" s="22" t="str">
        <f t="shared" si="1"/>
        <v/>
      </c>
      <c r="AS716" s="22" t="str">
        <f t="shared" si="2"/>
        <v/>
      </c>
      <c r="AT716" s="22" t="str">
        <f t="shared" si="3"/>
        <v>BR_IMC_DSY_LANCH_ND_NC_2020Q3AUG_NVS_Nivus-Launch-Consideracao</v>
      </c>
      <c r="AU716" s="22" t="str">
        <f t="shared" si="4"/>
        <v>#N/A</v>
      </c>
      <c r="AV716" s="22" t="s">
        <v>106</v>
      </c>
      <c r="AW7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6" s="22" t="str">
        <f t="shared" si="5"/>
        <v>BR_IMC_DSY_LANCH_ND_NC_2020Q3AUG_NVS_Nivus-Launch-Consideracao</v>
      </c>
      <c r="AY716" s="28" t="str">
        <f t="shared" si="6"/>
        <v>#N/A</v>
      </c>
      <c r="AZ716" s="22" t="s">
        <v>107</v>
      </c>
      <c r="BA716" s="22" t="s">
        <v>108</v>
      </c>
      <c r="BB716" s="31" t="s">
        <v>109</v>
      </c>
      <c r="BC716" s="31" t="s">
        <v>109</v>
      </c>
      <c r="BD716" s="32" t="str">
        <f t="shared" si="8"/>
        <v>nvl-nvs-imc-dsy-0820-10710</v>
      </c>
      <c r="BE716" s="33"/>
      <c r="BF716" s="33"/>
      <c r="BG716" s="39" t="str">
        <f>URL&amp;IF(ISNUMBER(FIND("?",URL)),"&amp;","?"&amp;("adlid="&amp;Unique_ID&amp;"&amp;adplt="&amp;Placement))</f>
        <v>#N/A</v>
      </c>
      <c r="BH716" s="1"/>
      <c r="BI716" s="1"/>
      <c r="BJ716" s="35" t="str">
        <f>LOWER("alp"&amp;"_"&amp;"vw"&amp;"_"&amp;Veiculo&amp;"_"&amp;C712&amp;"_"&amp;Objetivo)</f>
        <v>alp_vw___</v>
      </c>
      <c r="BK716" s="35" t="str">
        <f>LOWER(Buying_Metric&amp;"_"&amp;VLOOKUP(Buying_Type,Buy_type,2,FALSE)&amp;"_"&amp;Device&amp;"_"&amp;Size&amp;"_"&amp;Segmentação&amp;"_"&amp;Segmentação_Anúncio)</f>
        <v>#N/A</v>
      </c>
      <c r="BL716" s="35" t="str">
        <f>LOWER(Campanha_ou_InsertionOrder&amp;"_"&amp;LineItem_ou_Grupodeanúncio&amp;"_"&amp;Linha_criativa_2&amp;"_"&amp;Unique_ID)</f>
        <v>#N/A</v>
      </c>
      <c r="BM716" s="27"/>
      <c r="BN716" s="27"/>
    </row>
    <row r="717">
      <c r="A717" s="1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8" t="str">
        <f>LOWER(Campanha_ou_InsertionOrder&amp;"_"&amp;LineItem_ou_Grupodeanúncio&amp;"_"&amp;Linha_Criativa&amp;"_"&amp;Unique_ID)</f>
        <v>#N/A</v>
      </c>
      <c r="AN717" s="28" t="str">
        <f>LOWER(Campanha_ou_InsertionOrder&amp;"_"&amp;LineItem_ou_Grupodeanúncio&amp;"_"&amp;Linha_Criativa&amp;"_"&amp;Unique_ID)</f>
        <v>#N/A</v>
      </c>
      <c r="AO717" s="28" t="str">
        <f>LOWER("VW"&amp;"_"&amp;Model_Variant&amp;"_"&amp;Size&amp;"_"&amp;Linha_Criativa&amp;"_"&amp;IF(Servido_Por="portal",Veiculo,"adserver"))</f>
        <v>vw____adserver</v>
      </c>
      <c r="AP7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7" s="22" t="str">
        <f t="shared" si="1"/>
        <v/>
      </c>
      <c r="AS717" s="22" t="str">
        <f t="shared" si="2"/>
        <v/>
      </c>
      <c r="AT717" s="22" t="str">
        <f t="shared" si="3"/>
        <v>BR_IMC_DSY_LANCH_ND_NC_2020Q3AUG_NVS_Nivus-Launch-Consideracao</v>
      </c>
      <c r="AU717" s="22" t="str">
        <f t="shared" si="4"/>
        <v>#N/A</v>
      </c>
      <c r="AV717" s="22" t="s">
        <v>106</v>
      </c>
      <c r="AW7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7" s="22" t="str">
        <f t="shared" si="5"/>
        <v>BR_IMC_DSY_LANCH_ND_NC_2020Q3AUG_NVS_Nivus-Launch-Consideracao</v>
      </c>
      <c r="AY717" s="28" t="str">
        <f t="shared" si="6"/>
        <v>#N/A</v>
      </c>
      <c r="AZ717" s="22" t="s">
        <v>107</v>
      </c>
      <c r="BA717" s="22" t="s">
        <v>108</v>
      </c>
      <c r="BB717" s="31" t="s">
        <v>109</v>
      </c>
      <c r="BC717" s="31" t="s">
        <v>109</v>
      </c>
      <c r="BD717" s="32" t="str">
        <f t="shared" si="8"/>
        <v>nvl-nvs-imc-dsy-0820-10711</v>
      </c>
      <c r="BE717" s="33"/>
      <c r="BF717" s="33"/>
      <c r="BG717" s="39" t="str">
        <f>URL&amp;IF(ISNUMBER(FIND("?",URL)),"&amp;","?"&amp;("adlid="&amp;Unique_ID&amp;"&amp;adplt="&amp;Placement))</f>
        <v>#N/A</v>
      </c>
      <c r="BH717" s="1"/>
      <c r="BI717" s="1"/>
      <c r="BJ717" s="35" t="str">
        <f>LOWER("alp"&amp;"_"&amp;"vw"&amp;"_"&amp;Veiculo&amp;"_"&amp;C713&amp;"_"&amp;Objetivo)</f>
        <v>alp_vw___</v>
      </c>
      <c r="BK717" s="35" t="str">
        <f>LOWER(Buying_Metric&amp;"_"&amp;VLOOKUP(Buying_Type,Buy_type,2,FALSE)&amp;"_"&amp;Device&amp;"_"&amp;Size&amp;"_"&amp;Segmentação&amp;"_"&amp;Segmentação_Anúncio)</f>
        <v>#N/A</v>
      </c>
      <c r="BL717" s="35" t="str">
        <f>LOWER(Campanha_ou_InsertionOrder&amp;"_"&amp;LineItem_ou_Grupodeanúncio&amp;"_"&amp;Linha_criativa_2&amp;"_"&amp;Unique_ID)</f>
        <v>#N/A</v>
      </c>
      <c r="BM717" s="27"/>
      <c r="BN717" s="27"/>
    </row>
    <row r="718">
      <c r="A718" s="1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8" t="str">
        <f>LOWER(Campanha_ou_InsertionOrder&amp;"_"&amp;LineItem_ou_Grupodeanúncio&amp;"_"&amp;Linha_Criativa&amp;"_"&amp;Unique_ID)</f>
        <v>#N/A</v>
      </c>
      <c r="AN718" s="28" t="str">
        <f>LOWER(Campanha_ou_InsertionOrder&amp;"_"&amp;LineItem_ou_Grupodeanúncio&amp;"_"&amp;Linha_Criativa&amp;"_"&amp;Unique_ID)</f>
        <v>#N/A</v>
      </c>
      <c r="AO718" s="28" t="str">
        <f>LOWER("VW"&amp;"_"&amp;Model_Variant&amp;"_"&amp;Size&amp;"_"&amp;Linha_Criativa&amp;"_"&amp;IF(Servido_Por="portal",Veiculo,"adserver"))</f>
        <v>vw____adserver</v>
      </c>
      <c r="AP7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8" s="22" t="str">
        <f t="shared" si="1"/>
        <v/>
      </c>
      <c r="AS718" s="22" t="str">
        <f t="shared" si="2"/>
        <v/>
      </c>
      <c r="AT718" s="22" t="str">
        <f t="shared" si="3"/>
        <v>BR_IMC_DSY_LANCH_ND_NC_2020Q3AUG_NVS_Nivus-Launch-Consideracao</v>
      </c>
      <c r="AU718" s="22" t="str">
        <f t="shared" si="4"/>
        <v>#N/A</v>
      </c>
      <c r="AV718" s="22" t="s">
        <v>106</v>
      </c>
      <c r="AW7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8" s="22" t="str">
        <f t="shared" si="5"/>
        <v>BR_IMC_DSY_LANCH_ND_NC_2020Q3AUG_NVS_Nivus-Launch-Consideracao</v>
      </c>
      <c r="AY718" s="28" t="str">
        <f t="shared" si="6"/>
        <v>#N/A</v>
      </c>
      <c r="AZ718" s="22" t="s">
        <v>107</v>
      </c>
      <c r="BA718" s="22" t="s">
        <v>108</v>
      </c>
      <c r="BB718" s="31" t="s">
        <v>109</v>
      </c>
      <c r="BC718" s="31" t="s">
        <v>109</v>
      </c>
      <c r="BD718" s="32" t="str">
        <f t="shared" si="8"/>
        <v>nvl-nvs-imc-dsy-0820-10712</v>
      </c>
      <c r="BE718" s="33"/>
      <c r="BF718" s="33"/>
      <c r="BG718" s="39" t="str">
        <f>URL&amp;IF(ISNUMBER(FIND("?",URL)),"&amp;","?"&amp;("adlid="&amp;Unique_ID&amp;"&amp;adplt="&amp;Placement))</f>
        <v>#N/A</v>
      </c>
      <c r="BH718" s="1"/>
      <c r="BI718" s="1"/>
      <c r="BJ718" s="35" t="str">
        <f>LOWER("alp"&amp;"_"&amp;"vw"&amp;"_"&amp;Veiculo&amp;"_"&amp;C714&amp;"_"&amp;Objetivo)</f>
        <v>alp_vw___</v>
      </c>
      <c r="BK718" s="35" t="str">
        <f>LOWER(Buying_Metric&amp;"_"&amp;VLOOKUP(Buying_Type,Buy_type,2,FALSE)&amp;"_"&amp;Device&amp;"_"&amp;Size&amp;"_"&amp;Segmentação&amp;"_"&amp;Segmentação_Anúncio)</f>
        <v>#N/A</v>
      </c>
      <c r="BL718" s="35" t="str">
        <f>LOWER(Campanha_ou_InsertionOrder&amp;"_"&amp;LineItem_ou_Grupodeanúncio&amp;"_"&amp;Linha_criativa_2&amp;"_"&amp;Unique_ID)</f>
        <v>#N/A</v>
      </c>
      <c r="BM718" s="27"/>
      <c r="BN718" s="27"/>
    </row>
    <row r="719">
      <c r="A719" s="1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8" t="str">
        <f>LOWER(Campanha_ou_InsertionOrder&amp;"_"&amp;LineItem_ou_Grupodeanúncio&amp;"_"&amp;Linha_Criativa&amp;"_"&amp;Unique_ID)</f>
        <v>#N/A</v>
      </c>
      <c r="AN719" s="28" t="str">
        <f>LOWER(Campanha_ou_InsertionOrder&amp;"_"&amp;LineItem_ou_Grupodeanúncio&amp;"_"&amp;Linha_Criativa&amp;"_"&amp;Unique_ID)</f>
        <v>#N/A</v>
      </c>
      <c r="AO719" s="28" t="str">
        <f>LOWER("VW"&amp;"_"&amp;Model_Variant&amp;"_"&amp;Size&amp;"_"&amp;Linha_Criativa&amp;"_"&amp;IF(Servido_Por="portal",Veiculo,"adserver"))</f>
        <v>vw____adserver</v>
      </c>
      <c r="AP7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19" s="22" t="str">
        <f t="shared" si="1"/>
        <v/>
      </c>
      <c r="AS719" s="22" t="str">
        <f t="shared" si="2"/>
        <v/>
      </c>
      <c r="AT719" s="22" t="str">
        <f t="shared" si="3"/>
        <v>BR_IMC_DSY_LANCH_ND_NC_2020Q3AUG_NVS_Nivus-Launch-Consideracao</v>
      </c>
      <c r="AU719" s="22" t="str">
        <f t="shared" si="4"/>
        <v>#N/A</v>
      </c>
      <c r="AV719" s="22" t="s">
        <v>106</v>
      </c>
      <c r="AW7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19" s="22" t="str">
        <f t="shared" si="5"/>
        <v>BR_IMC_DSY_LANCH_ND_NC_2020Q3AUG_NVS_Nivus-Launch-Consideracao</v>
      </c>
      <c r="AY719" s="28" t="str">
        <f t="shared" si="6"/>
        <v>#N/A</v>
      </c>
      <c r="AZ719" s="22" t="s">
        <v>107</v>
      </c>
      <c r="BA719" s="22" t="s">
        <v>108</v>
      </c>
      <c r="BB719" s="31" t="s">
        <v>109</v>
      </c>
      <c r="BC719" s="31" t="s">
        <v>109</v>
      </c>
      <c r="BD719" s="32" t="str">
        <f t="shared" si="8"/>
        <v>nvl-nvs-imc-dsy-0820-10713</v>
      </c>
      <c r="BE719" s="33"/>
      <c r="BF719" s="33"/>
      <c r="BG719" s="39" t="str">
        <f>URL&amp;IF(ISNUMBER(FIND("?",URL)),"&amp;","?"&amp;("adlid="&amp;Unique_ID&amp;"&amp;adplt="&amp;Placement))</f>
        <v>#N/A</v>
      </c>
      <c r="BH719" s="1"/>
      <c r="BI719" s="1"/>
      <c r="BJ719" s="35" t="str">
        <f>LOWER("alp"&amp;"_"&amp;"vw"&amp;"_"&amp;Veiculo&amp;"_"&amp;C715&amp;"_"&amp;Objetivo)</f>
        <v>alp_vw___</v>
      </c>
      <c r="BK719" s="35" t="str">
        <f>LOWER(Buying_Metric&amp;"_"&amp;VLOOKUP(Buying_Type,Buy_type,2,FALSE)&amp;"_"&amp;Device&amp;"_"&amp;Size&amp;"_"&amp;Segmentação&amp;"_"&amp;Segmentação_Anúncio)</f>
        <v>#N/A</v>
      </c>
      <c r="BL719" s="35" t="str">
        <f>LOWER(Campanha_ou_InsertionOrder&amp;"_"&amp;LineItem_ou_Grupodeanúncio&amp;"_"&amp;Linha_criativa_2&amp;"_"&amp;Unique_ID)</f>
        <v>#N/A</v>
      </c>
      <c r="BM719" s="27"/>
      <c r="BN719" s="27"/>
    </row>
    <row r="720">
      <c r="A720" s="1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8" t="str">
        <f>LOWER(Campanha_ou_InsertionOrder&amp;"_"&amp;LineItem_ou_Grupodeanúncio&amp;"_"&amp;Linha_Criativa&amp;"_"&amp;Unique_ID)</f>
        <v>#N/A</v>
      </c>
      <c r="AN720" s="28" t="str">
        <f>LOWER(Campanha_ou_InsertionOrder&amp;"_"&amp;LineItem_ou_Grupodeanúncio&amp;"_"&amp;Linha_Criativa&amp;"_"&amp;Unique_ID)</f>
        <v>#N/A</v>
      </c>
      <c r="AO720" s="28" t="str">
        <f>LOWER("VW"&amp;"_"&amp;Model_Variant&amp;"_"&amp;Size&amp;"_"&amp;Linha_Criativa&amp;"_"&amp;IF(Servido_Por="portal",Veiculo,"adserver"))</f>
        <v>vw____adserver</v>
      </c>
      <c r="AP7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0" s="22" t="str">
        <f t="shared" si="1"/>
        <v/>
      </c>
      <c r="AS720" s="22" t="str">
        <f t="shared" si="2"/>
        <v/>
      </c>
      <c r="AT720" s="22" t="str">
        <f t="shared" si="3"/>
        <v>BR_IMC_DSY_LANCH_ND_NC_2020Q3AUG_NVS_Nivus-Launch-Consideracao</v>
      </c>
      <c r="AU720" s="22" t="str">
        <f t="shared" si="4"/>
        <v>#N/A</v>
      </c>
      <c r="AV720" s="22" t="s">
        <v>106</v>
      </c>
      <c r="AW7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0" s="22" t="str">
        <f t="shared" si="5"/>
        <v>BR_IMC_DSY_LANCH_ND_NC_2020Q3AUG_NVS_Nivus-Launch-Consideracao</v>
      </c>
      <c r="AY720" s="28" t="str">
        <f t="shared" si="6"/>
        <v>#N/A</v>
      </c>
      <c r="AZ720" s="22" t="s">
        <v>107</v>
      </c>
      <c r="BA720" s="22" t="s">
        <v>108</v>
      </c>
      <c r="BB720" s="31" t="s">
        <v>109</v>
      </c>
      <c r="BC720" s="31" t="s">
        <v>109</v>
      </c>
      <c r="BD720" s="32" t="str">
        <f t="shared" si="8"/>
        <v>nvl-nvs-imc-dsy-0820-10714</v>
      </c>
      <c r="BE720" s="33"/>
      <c r="BF720" s="33"/>
      <c r="BG720" s="39" t="str">
        <f>URL&amp;IF(ISNUMBER(FIND("?",URL)),"&amp;","?"&amp;("adlid="&amp;Unique_ID&amp;"&amp;adplt="&amp;Placement))</f>
        <v>#N/A</v>
      </c>
      <c r="BH720" s="1"/>
      <c r="BI720" s="1"/>
      <c r="BJ720" s="35" t="str">
        <f>LOWER("alp"&amp;"_"&amp;"vw"&amp;"_"&amp;Veiculo&amp;"_"&amp;C716&amp;"_"&amp;Objetivo)</f>
        <v>alp_vw___</v>
      </c>
      <c r="BK720" s="35" t="str">
        <f>LOWER(Buying_Metric&amp;"_"&amp;VLOOKUP(Buying_Type,Buy_type,2,FALSE)&amp;"_"&amp;Device&amp;"_"&amp;Size&amp;"_"&amp;Segmentação&amp;"_"&amp;Segmentação_Anúncio)</f>
        <v>#N/A</v>
      </c>
      <c r="BL720" s="35" t="str">
        <f>LOWER(Campanha_ou_InsertionOrder&amp;"_"&amp;LineItem_ou_Grupodeanúncio&amp;"_"&amp;Linha_criativa_2&amp;"_"&amp;Unique_ID)</f>
        <v>#N/A</v>
      </c>
      <c r="BM720" s="27"/>
      <c r="BN720" s="27"/>
    </row>
    <row r="721">
      <c r="A721" s="1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8" t="str">
        <f>LOWER(Campanha_ou_InsertionOrder&amp;"_"&amp;LineItem_ou_Grupodeanúncio&amp;"_"&amp;Linha_Criativa&amp;"_"&amp;Unique_ID)</f>
        <v>#N/A</v>
      </c>
      <c r="AN721" s="28" t="str">
        <f>LOWER(Campanha_ou_InsertionOrder&amp;"_"&amp;LineItem_ou_Grupodeanúncio&amp;"_"&amp;Linha_Criativa&amp;"_"&amp;Unique_ID)</f>
        <v>#N/A</v>
      </c>
      <c r="AO721" s="28" t="str">
        <f>LOWER("VW"&amp;"_"&amp;Model_Variant&amp;"_"&amp;Size&amp;"_"&amp;Linha_Criativa&amp;"_"&amp;IF(Servido_Por="portal",Veiculo,"adserver"))</f>
        <v>vw____adserver</v>
      </c>
      <c r="AP7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1" s="22" t="str">
        <f t="shared" si="1"/>
        <v/>
      </c>
      <c r="AS721" s="22" t="str">
        <f t="shared" si="2"/>
        <v/>
      </c>
      <c r="AT721" s="22" t="str">
        <f t="shared" si="3"/>
        <v>BR_IMC_DSY_LANCH_ND_NC_2020Q3AUG_NVS_Nivus-Launch-Consideracao</v>
      </c>
      <c r="AU721" s="22" t="str">
        <f t="shared" si="4"/>
        <v>#N/A</v>
      </c>
      <c r="AV721" s="22" t="s">
        <v>106</v>
      </c>
      <c r="AW7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1" s="22" t="str">
        <f t="shared" si="5"/>
        <v>BR_IMC_DSY_LANCH_ND_NC_2020Q3AUG_NVS_Nivus-Launch-Consideracao</v>
      </c>
      <c r="AY721" s="28" t="str">
        <f t="shared" si="6"/>
        <v>#N/A</v>
      </c>
      <c r="AZ721" s="22" t="s">
        <v>107</v>
      </c>
      <c r="BA721" s="22" t="s">
        <v>108</v>
      </c>
      <c r="BB721" s="31" t="s">
        <v>109</v>
      </c>
      <c r="BC721" s="31" t="s">
        <v>109</v>
      </c>
      <c r="BD721" s="32" t="str">
        <f t="shared" si="8"/>
        <v>nvl-nvs-imc-dsy-0820-10715</v>
      </c>
      <c r="BE721" s="33"/>
      <c r="BF721" s="33"/>
      <c r="BG721" s="39" t="str">
        <f>URL&amp;IF(ISNUMBER(FIND("?",URL)),"&amp;","?"&amp;("adlid="&amp;Unique_ID&amp;"&amp;adplt="&amp;Placement))</f>
        <v>#N/A</v>
      </c>
      <c r="BH721" s="1"/>
      <c r="BI721" s="1"/>
      <c r="BJ721" s="35" t="str">
        <f>LOWER("alp"&amp;"_"&amp;"vw"&amp;"_"&amp;Veiculo&amp;"_"&amp;C717&amp;"_"&amp;Objetivo)</f>
        <v>alp_vw___</v>
      </c>
      <c r="BK721" s="35" t="str">
        <f>LOWER(Buying_Metric&amp;"_"&amp;VLOOKUP(Buying_Type,Buy_type,2,FALSE)&amp;"_"&amp;Device&amp;"_"&amp;Size&amp;"_"&amp;Segmentação&amp;"_"&amp;Segmentação_Anúncio)</f>
        <v>#N/A</v>
      </c>
      <c r="BL721" s="35" t="str">
        <f>LOWER(Campanha_ou_InsertionOrder&amp;"_"&amp;LineItem_ou_Grupodeanúncio&amp;"_"&amp;Linha_criativa_2&amp;"_"&amp;Unique_ID)</f>
        <v>#N/A</v>
      </c>
      <c r="BM721" s="27"/>
      <c r="BN721" s="27"/>
    </row>
    <row r="722">
      <c r="A722" s="1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8" t="str">
        <f>LOWER(Campanha_ou_InsertionOrder&amp;"_"&amp;LineItem_ou_Grupodeanúncio&amp;"_"&amp;Linha_Criativa&amp;"_"&amp;Unique_ID)</f>
        <v>#N/A</v>
      </c>
      <c r="AN722" s="28" t="str">
        <f>LOWER(Campanha_ou_InsertionOrder&amp;"_"&amp;LineItem_ou_Grupodeanúncio&amp;"_"&amp;Linha_Criativa&amp;"_"&amp;Unique_ID)</f>
        <v>#N/A</v>
      </c>
      <c r="AO722" s="28" t="str">
        <f>LOWER("VW"&amp;"_"&amp;Model_Variant&amp;"_"&amp;Size&amp;"_"&amp;Linha_Criativa&amp;"_"&amp;IF(Servido_Por="portal",Veiculo,"adserver"))</f>
        <v>vw____adserver</v>
      </c>
      <c r="AP7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2" s="22" t="str">
        <f t="shared" si="1"/>
        <v/>
      </c>
      <c r="AS722" s="22" t="str">
        <f t="shared" si="2"/>
        <v/>
      </c>
      <c r="AT722" s="22" t="str">
        <f t="shared" si="3"/>
        <v>BR_IMC_DSY_LANCH_ND_NC_2020Q3AUG_NVS_Nivus-Launch-Consideracao</v>
      </c>
      <c r="AU722" s="22" t="str">
        <f t="shared" si="4"/>
        <v>#N/A</v>
      </c>
      <c r="AV722" s="22" t="s">
        <v>106</v>
      </c>
      <c r="AW7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2" s="22" t="str">
        <f t="shared" si="5"/>
        <v>BR_IMC_DSY_LANCH_ND_NC_2020Q3AUG_NVS_Nivus-Launch-Consideracao</v>
      </c>
      <c r="AY722" s="28" t="str">
        <f t="shared" si="6"/>
        <v>#N/A</v>
      </c>
      <c r="AZ722" s="22" t="s">
        <v>107</v>
      </c>
      <c r="BA722" s="22" t="s">
        <v>108</v>
      </c>
      <c r="BB722" s="31" t="s">
        <v>109</v>
      </c>
      <c r="BC722" s="31" t="s">
        <v>109</v>
      </c>
      <c r="BD722" s="32" t="str">
        <f t="shared" si="8"/>
        <v>nvl-nvs-imc-dsy-0820-10716</v>
      </c>
      <c r="BE722" s="33"/>
      <c r="BF722" s="33"/>
      <c r="BG722" s="39" t="str">
        <f>URL&amp;IF(ISNUMBER(FIND("?",URL)),"&amp;","?"&amp;("adlid="&amp;Unique_ID&amp;"&amp;adplt="&amp;Placement))</f>
        <v>#N/A</v>
      </c>
      <c r="BH722" s="1"/>
      <c r="BI722" s="1"/>
      <c r="BJ722" s="35" t="str">
        <f>LOWER("alp"&amp;"_"&amp;"vw"&amp;"_"&amp;Veiculo&amp;"_"&amp;C718&amp;"_"&amp;Objetivo)</f>
        <v>alp_vw___</v>
      </c>
      <c r="BK722" s="35" t="str">
        <f>LOWER(Buying_Metric&amp;"_"&amp;VLOOKUP(Buying_Type,Buy_type,2,FALSE)&amp;"_"&amp;Device&amp;"_"&amp;Size&amp;"_"&amp;Segmentação&amp;"_"&amp;Segmentação_Anúncio)</f>
        <v>#N/A</v>
      </c>
      <c r="BL722" s="35" t="str">
        <f>LOWER(Campanha_ou_InsertionOrder&amp;"_"&amp;LineItem_ou_Grupodeanúncio&amp;"_"&amp;Linha_criativa_2&amp;"_"&amp;Unique_ID)</f>
        <v>#N/A</v>
      </c>
      <c r="BM722" s="27"/>
      <c r="BN722" s="27"/>
    </row>
    <row r="723">
      <c r="A723" s="1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8" t="str">
        <f>LOWER(Campanha_ou_InsertionOrder&amp;"_"&amp;LineItem_ou_Grupodeanúncio&amp;"_"&amp;Linha_Criativa&amp;"_"&amp;Unique_ID)</f>
        <v>#N/A</v>
      </c>
      <c r="AN723" s="28" t="str">
        <f>LOWER(Campanha_ou_InsertionOrder&amp;"_"&amp;LineItem_ou_Grupodeanúncio&amp;"_"&amp;Linha_Criativa&amp;"_"&amp;Unique_ID)</f>
        <v>#N/A</v>
      </c>
      <c r="AO723" s="28" t="str">
        <f>LOWER("VW"&amp;"_"&amp;Model_Variant&amp;"_"&amp;Size&amp;"_"&amp;Linha_Criativa&amp;"_"&amp;IF(Servido_Por="portal",Veiculo,"adserver"))</f>
        <v>vw____adserver</v>
      </c>
      <c r="AP7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3" s="22" t="str">
        <f t="shared" si="1"/>
        <v/>
      </c>
      <c r="AS723" s="22" t="str">
        <f t="shared" si="2"/>
        <v/>
      </c>
      <c r="AT723" s="22" t="str">
        <f t="shared" si="3"/>
        <v>BR_IMC_DSY_LANCH_ND_NC_2020Q3AUG_NVS_Nivus-Launch-Consideracao</v>
      </c>
      <c r="AU723" s="22" t="str">
        <f t="shared" si="4"/>
        <v>#N/A</v>
      </c>
      <c r="AV723" s="22" t="s">
        <v>106</v>
      </c>
      <c r="AW7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3" s="22" t="str">
        <f t="shared" si="5"/>
        <v>BR_IMC_DSY_LANCH_ND_NC_2020Q3AUG_NVS_Nivus-Launch-Consideracao</v>
      </c>
      <c r="AY723" s="28" t="str">
        <f t="shared" si="6"/>
        <v>#N/A</v>
      </c>
      <c r="AZ723" s="22" t="s">
        <v>107</v>
      </c>
      <c r="BA723" s="22" t="s">
        <v>108</v>
      </c>
      <c r="BB723" s="31" t="s">
        <v>109</v>
      </c>
      <c r="BC723" s="31" t="s">
        <v>109</v>
      </c>
      <c r="BD723" s="32" t="str">
        <f t="shared" si="8"/>
        <v>nvl-nvs-imc-dsy-0820-10717</v>
      </c>
      <c r="BE723" s="33"/>
      <c r="BF723" s="33"/>
      <c r="BG723" s="39" t="str">
        <f>URL&amp;IF(ISNUMBER(FIND("?",URL)),"&amp;","?"&amp;("adlid="&amp;Unique_ID&amp;"&amp;adplt="&amp;Placement))</f>
        <v>#N/A</v>
      </c>
      <c r="BH723" s="1"/>
      <c r="BI723" s="1"/>
      <c r="BJ723" s="35" t="str">
        <f>LOWER("alp"&amp;"_"&amp;"vw"&amp;"_"&amp;Veiculo&amp;"_"&amp;C719&amp;"_"&amp;Objetivo)</f>
        <v>alp_vw___</v>
      </c>
      <c r="BK723" s="35" t="str">
        <f>LOWER(Buying_Metric&amp;"_"&amp;VLOOKUP(Buying_Type,Buy_type,2,FALSE)&amp;"_"&amp;Device&amp;"_"&amp;Size&amp;"_"&amp;Segmentação&amp;"_"&amp;Segmentação_Anúncio)</f>
        <v>#N/A</v>
      </c>
      <c r="BL723" s="35" t="str">
        <f>LOWER(Campanha_ou_InsertionOrder&amp;"_"&amp;LineItem_ou_Grupodeanúncio&amp;"_"&amp;Linha_criativa_2&amp;"_"&amp;Unique_ID)</f>
        <v>#N/A</v>
      </c>
      <c r="BM723" s="27"/>
      <c r="BN723" s="27"/>
    </row>
    <row r="724">
      <c r="A724" s="1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8" t="str">
        <f>LOWER(Campanha_ou_InsertionOrder&amp;"_"&amp;LineItem_ou_Grupodeanúncio&amp;"_"&amp;Linha_Criativa&amp;"_"&amp;Unique_ID)</f>
        <v>#N/A</v>
      </c>
      <c r="AN724" s="28" t="str">
        <f>LOWER(Campanha_ou_InsertionOrder&amp;"_"&amp;LineItem_ou_Grupodeanúncio&amp;"_"&amp;Linha_Criativa&amp;"_"&amp;Unique_ID)</f>
        <v>#N/A</v>
      </c>
      <c r="AO724" s="28" t="str">
        <f>LOWER("VW"&amp;"_"&amp;Model_Variant&amp;"_"&amp;Size&amp;"_"&amp;Linha_Criativa&amp;"_"&amp;IF(Servido_Por="portal",Veiculo,"adserver"))</f>
        <v>vw____adserver</v>
      </c>
      <c r="AP7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4" s="22" t="str">
        <f t="shared" si="1"/>
        <v/>
      </c>
      <c r="AS724" s="22" t="str">
        <f t="shared" si="2"/>
        <v/>
      </c>
      <c r="AT724" s="22" t="str">
        <f t="shared" si="3"/>
        <v>BR_IMC_DSY_LANCH_ND_NC_2020Q3AUG_NVS_Nivus-Launch-Consideracao</v>
      </c>
      <c r="AU724" s="22" t="str">
        <f t="shared" si="4"/>
        <v>#N/A</v>
      </c>
      <c r="AV724" s="22" t="s">
        <v>106</v>
      </c>
      <c r="AW7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4" s="22" t="str">
        <f t="shared" si="5"/>
        <v>BR_IMC_DSY_LANCH_ND_NC_2020Q3AUG_NVS_Nivus-Launch-Consideracao</v>
      </c>
      <c r="AY724" s="28" t="str">
        <f t="shared" si="6"/>
        <v>#N/A</v>
      </c>
      <c r="AZ724" s="22" t="s">
        <v>107</v>
      </c>
      <c r="BA724" s="22" t="s">
        <v>108</v>
      </c>
      <c r="BB724" s="31" t="s">
        <v>109</v>
      </c>
      <c r="BC724" s="31" t="s">
        <v>109</v>
      </c>
      <c r="BD724" s="32" t="str">
        <f t="shared" si="8"/>
        <v>nvl-nvs-imc-dsy-0820-10718</v>
      </c>
      <c r="BE724" s="33"/>
      <c r="BF724" s="33"/>
      <c r="BG724" s="39" t="str">
        <f>URL&amp;IF(ISNUMBER(FIND("?",URL)),"&amp;","?"&amp;("adlid="&amp;Unique_ID&amp;"&amp;adplt="&amp;Placement))</f>
        <v>#N/A</v>
      </c>
      <c r="BH724" s="1"/>
      <c r="BI724" s="1"/>
      <c r="BJ724" s="35" t="str">
        <f>LOWER("alp"&amp;"_"&amp;"vw"&amp;"_"&amp;Veiculo&amp;"_"&amp;C720&amp;"_"&amp;Objetivo)</f>
        <v>alp_vw___</v>
      </c>
      <c r="BK724" s="35" t="str">
        <f>LOWER(Buying_Metric&amp;"_"&amp;VLOOKUP(Buying_Type,Buy_type,2,FALSE)&amp;"_"&amp;Device&amp;"_"&amp;Size&amp;"_"&amp;Segmentação&amp;"_"&amp;Segmentação_Anúncio)</f>
        <v>#N/A</v>
      </c>
      <c r="BL724" s="35" t="str">
        <f>LOWER(Campanha_ou_InsertionOrder&amp;"_"&amp;LineItem_ou_Grupodeanúncio&amp;"_"&amp;Linha_criativa_2&amp;"_"&amp;Unique_ID)</f>
        <v>#N/A</v>
      </c>
      <c r="BM724" s="27"/>
      <c r="BN724" s="27"/>
    </row>
    <row r="725">
      <c r="A725" s="1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8" t="str">
        <f>LOWER(Campanha_ou_InsertionOrder&amp;"_"&amp;LineItem_ou_Grupodeanúncio&amp;"_"&amp;Linha_Criativa&amp;"_"&amp;Unique_ID)</f>
        <v>#N/A</v>
      </c>
      <c r="AN725" s="28" t="str">
        <f>LOWER(Campanha_ou_InsertionOrder&amp;"_"&amp;LineItem_ou_Grupodeanúncio&amp;"_"&amp;Linha_Criativa&amp;"_"&amp;Unique_ID)</f>
        <v>#N/A</v>
      </c>
      <c r="AO725" s="28" t="str">
        <f>LOWER("VW"&amp;"_"&amp;Model_Variant&amp;"_"&amp;Size&amp;"_"&amp;Linha_Criativa&amp;"_"&amp;IF(Servido_Por="portal",Veiculo,"adserver"))</f>
        <v>vw____adserver</v>
      </c>
      <c r="AP7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5" s="22" t="str">
        <f t="shared" si="1"/>
        <v/>
      </c>
      <c r="AS725" s="22" t="str">
        <f t="shared" si="2"/>
        <v/>
      </c>
      <c r="AT725" s="22" t="str">
        <f t="shared" si="3"/>
        <v>BR_IMC_DSY_LANCH_ND_NC_2020Q3AUG_NVS_Nivus-Launch-Consideracao</v>
      </c>
      <c r="AU725" s="22" t="str">
        <f t="shared" si="4"/>
        <v>#N/A</v>
      </c>
      <c r="AV725" s="22" t="s">
        <v>106</v>
      </c>
      <c r="AW7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5" s="22" t="str">
        <f t="shared" si="5"/>
        <v>BR_IMC_DSY_LANCH_ND_NC_2020Q3AUG_NVS_Nivus-Launch-Consideracao</v>
      </c>
      <c r="AY725" s="28" t="str">
        <f t="shared" si="6"/>
        <v>#N/A</v>
      </c>
      <c r="AZ725" s="22" t="s">
        <v>107</v>
      </c>
      <c r="BA725" s="22" t="s">
        <v>108</v>
      </c>
      <c r="BB725" s="31" t="s">
        <v>109</v>
      </c>
      <c r="BC725" s="31" t="s">
        <v>109</v>
      </c>
      <c r="BD725" s="32" t="str">
        <f t="shared" si="8"/>
        <v>nvl-nvs-imc-dsy-0820-10719</v>
      </c>
      <c r="BE725" s="33"/>
      <c r="BF725" s="33"/>
      <c r="BG725" s="39" t="str">
        <f>URL&amp;IF(ISNUMBER(FIND("?",URL)),"&amp;","?"&amp;("adlid="&amp;Unique_ID&amp;"&amp;adplt="&amp;Placement))</f>
        <v>#N/A</v>
      </c>
      <c r="BH725" s="1"/>
      <c r="BI725" s="1"/>
      <c r="BJ725" s="35" t="str">
        <f>LOWER("alp"&amp;"_"&amp;"vw"&amp;"_"&amp;Veiculo&amp;"_"&amp;C721&amp;"_"&amp;Objetivo)</f>
        <v>alp_vw___</v>
      </c>
      <c r="BK725" s="35" t="str">
        <f>LOWER(Buying_Metric&amp;"_"&amp;VLOOKUP(Buying_Type,Buy_type,2,FALSE)&amp;"_"&amp;Device&amp;"_"&amp;Size&amp;"_"&amp;Segmentação&amp;"_"&amp;Segmentação_Anúncio)</f>
        <v>#N/A</v>
      </c>
      <c r="BL725" s="35" t="str">
        <f>LOWER(Campanha_ou_InsertionOrder&amp;"_"&amp;LineItem_ou_Grupodeanúncio&amp;"_"&amp;Linha_criativa_2&amp;"_"&amp;Unique_ID)</f>
        <v>#N/A</v>
      </c>
      <c r="BM725" s="27"/>
      <c r="BN725" s="27"/>
    </row>
    <row r="726">
      <c r="A726" s="1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8" t="str">
        <f>LOWER(Campanha_ou_InsertionOrder&amp;"_"&amp;LineItem_ou_Grupodeanúncio&amp;"_"&amp;Linha_Criativa&amp;"_"&amp;Unique_ID)</f>
        <v>#N/A</v>
      </c>
      <c r="AN726" s="28" t="str">
        <f>LOWER(Campanha_ou_InsertionOrder&amp;"_"&amp;LineItem_ou_Grupodeanúncio&amp;"_"&amp;Linha_Criativa&amp;"_"&amp;Unique_ID)</f>
        <v>#N/A</v>
      </c>
      <c r="AO726" s="28" t="str">
        <f>LOWER("VW"&amp;"_"&amp;Model_Variant&amp;"_"&amp;Size&amp;"_"&amp;Linha_Criativa&amp;"_"&amp;IF(Servido_Por="portal",Veiculo,"adserver"))</f>
        <v>vw____adserver</v>
      </c>
      <c r="AP7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6" s="22" t="str">
        <f t="shared" si="1"/>
        <v/>
      </c>
      <c r="AS726" s="22" t="str">
        <f t="shared" si="2"/>
        <v/>
      </c>
      <c r="AT726" s="22" t="str">
        <f t="shared" si="3"/>
        <v>BR_IMC_DSY_LANCH_ND_NC_2020Q3AUG_NVS_Nivus-Launch-Consideracao</v>
      </c>
      <c r="AU726" s="22" t="str">
        <f t="shared" si="4"/>
        <v>#N/A</v>
      </c>
      <c r="AV726" s="22" t="s">
        <v>106</v>
      </c>
      <c r="AW7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6" s="22" t="str">
        <f t="shared" si="5"/>
        <v>BR_IMC_DSY_LANCH_ND_NC_2020Q3AUG_NVS_Nivus-Launch-Consideracao</v>
      </c>
      <c r="AY726" s="28" t="str">
        <f t="shared" si="6"/>
        <v>#N/A</v>
      </c>
      <c r="AZ726" s="22" t="s">
        <v>107</v>
      </c>
      <c r="BA726" s="22" t="s">
        <v>108</v>
      </c>
      <c r="BB726" s="31" t="s">
        <v>109</v>
      </c>
      <c r="BC726" s="31" t="s">
        <v>109</v>
      </c>
      <c r="BD726" s="32" t="str">
        <f t="shared" si="8"/>
        <v>nvl-nvs-imc-dsy-0820-10720</v>
      </c>
      <c r="BE726" s="33"/>
      <c r="BF726" s="33"/>
      <c r="BG726" s="39" t="str">
        <f>URL&amp;IF(ISNUMBER(FIND("?",URL)),"&amp;","?"&amp;("adlid="&amp;Unique_ID&amp;"&amp;adplt="&amp;Placement))</f>
        <v>#N/A</v>
      </c>
      <c r="BH726" s="1"/>
      <c r="BI726" s="1"/>
      <c r="BJ726" s="35" t="str">
        <f>LOWER("alp"&amp;"_"&amp;"vw"&amp;"_"&amp;Veiculo&amp;"_"&amp;C722&amp;"_"&amp;Objetivo)</f>
        <v>alp_vw___</v>
      </c>
      <c r="BK726" s="35" t="str">
        <f>LOWER(Buying_Metric&amp;"_"&amp;VLOOKUP(Buying_Type,Buy_type,2,FALSE)&amp;"_"&amp;Device&amp;"_"&amp;Size&amp;"_"&amp;Segmentação&amp;"_"&amp;Segmentação_Anúncio)</f>
        <v>#N/A</v>
      </c>
      <c r="BL726" s="35" t="str">
        <f>LOWER(Campanha_ou_InsertionOrder&amp;"_"&amp;LineItem_ou_Grupodeanúncio&amp;"_"&amp;Linha_criativa_2&amp;"_"&amp;Unique_ID)</f>
        <v>#N/A</v>
      </c>
      <c r="BM726" s="27"/>
      <c r="BN726" s="27"/>
    </row>
    <row r="727">
      <c r="A727" s="1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8" t="str">
        <f>LOWER(Campanha_ou_InsertionOrder&amp;"_"&amp;LineItem_ou_Grupodeanúncio&amp;"_"&amp;Linha_Criativa&amp;"_"&amp;Unique_ID)</f>
        <v>#N/A</v>
      </c>
      <c r="AN727" s="28" t="str">
        <f>LOWER(Campanha_ou_InsertionOrder&amp;"_"&amp;LineItem_ou_Grupodeanúncio&amp;"_"&amp;Linha_Criativa&amp;"_"&amp;Unique_ID)</f>
        <v>#N/A</v>
      </c>
      <c r="AO727" s="28" t="str">
        <f>LOWER("VW"&amp;"_"&amp;Model_Variant&amp;"_"&amp;Size&amp;"_"&amp;Linha_Criativa&amp;"_"&amp;IF(Servido_Por="portal",Veiculo,"adserver"))</f>
        <v>vw____adserver</v>
      </c>
      <c r="AP7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7" s="22" t="str">
        <f t="shared" si="1"/>
        <v/>
      </c>
      <c r="AS727" s="22" t="str">
        <f t="shared" si="2"/>
        <v/>
      </c>
      <c r="AT727" s="22" t="str">
        <f t="shared" si="3"/>
        <v>BR_IMC_DSY_LANCH_ND_NC_2020Q3AUG_NVS_Nivus-Launch-Consideracao</v>
      </c>
      <c r="AU727" s="22" t="str">
        <f t="shared" si="4"/>
        <v>#N/A</v>
      </c>
      <c r="AV727" s="22" t="s">
        <v>106</v>
      </c>
      <c r="AW7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7" s="22" t="str">
        <f t="shared" si="5"/>
        <v>BR_IMC_DSY_LANCH_ND_NC_2020Q3AUG_NVS_Nivus-Launch-Consideracao</v>
      </c>
      <c r="AY727" s="28" t="str">
        <f t="shared" si="6"/>
        <v>#N/A</v>
      </c>
      <c r="AZ727" s="22" t="s">
        <v>107</v>
      </c>
      <c r="BA727" s="22" t="s">
        <v>108</v>
      </c>
      <c r="BB727" s="31" t="s">
        <v>109</v>
      </c>
      <c r="BC727" s="31" t="s">
        <v>109</v>
      </c>
      <c r="BD727" s="32" t="str">
        <f t="shared" si="8"/>
        <v>nvl-nvs-imc-dsy-0820-10721</v>
      </c>
      <c r="BE727" s="33"/>
      <c r="BF727" s="33"/>
      <c r="BG727" s="39" t="str">
        <f>URL&amp;IF(ISNUMBER(FIND("?",URL)),"&amp;","?"&amp;("adlid="&amp;Unique_ID&amp;"&amp;adplt="&amp;Placement))</f>
        <v>#N/A</v>
      </c>
      <c r="BH727" s="1"/>
      <c r="BI727" s="1"/>
      <c r="BJ727" s="35" t="str">
        <f>LOWER("alp"&amp;"_"&amp;"vw"&amp;"_"&amp;Veiculo&amp;"_"&amp;C723&amp;"_"&amp;Objetivo)</f>
        <v>alp_vw___</v>
      </c>
      <c r="BK727" s="35" t="str">
        <f>LOWER(Buying_Metric&amp;"_"&amp;VLOOKUP(Buying_Type,Buy_type,2,FALSE)&amp;"_"&amp;Device&amp;"_"&amp;Size&amp;"_"&amp;Segmentação&amp;"_"&amp;Segmentação_Anúncio)</f>
        <v>#N/A</v>
      </c>
      <c r="BL727" s="35" t="str">
        <f>LOWER(Campanha_ou_InsertionOrder&amp;"_"&amp;LineItem_ou_Grupodeanúncio&amp;"_"&amp;Linha_criativa_2&amp;"_"&amp;Unique_ID)</f>
        <v>#N/A</v>
      </c>
      <c r="BM727" s="27"/>
      <c r="BN727" s="27"/>
    </row>
    <row r="728">
      <c r="A728" s="1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8" t="str">
        <f>LOWER(Campanha_ou_InsertionOrder&amp;"_"&amp;LineItem_ou_Grupodeanúncio&amp;"_"&amp;Linha_Criativa&amp;"_"&amp;Unique_ID)</f>
        <v>#N/A</v>
      </c>
      <c r="AN728" s="28" t="str">
        <f>LOWER(Campanha_ou_InsertionOrder&amp;"_"&amp;LineItem_ou_Grupodeanúncio&amp;"_"&amp;Linha_Criativa&amp;"_"&amp;Unique_ID)</f>
        <v>#N/A</v>
      </c>
      <c r="AO728" s="28" t="str">
        <f>LOWER("VW"&amp;"_"&amp;Model_Variant&amp;"_"&amp;Size&amp;"_"&amp;Linha_Criativa&amp;"_"&amp;IF(Servido_Por="portal",Veiculo,"adserver"))</f>
        <v>vw____adserver</v>
      </c>
      <c r="AP7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8" s="22" t="str">
        <f t="shared" si="1"/>
        <v/>
      </c>
      <c r="AS728" s="22" t="str">
        <f t="shared" si="2"/>
        <v/>
      </c>
      <c r="AT728" s="22" t="str">
        <f t="shared" si="3"/>
        <v>BR_IMC_DSY_LANCH_ND_NC_2020Q3AUG_NVS_Nivus-Launch-Consideracao</v>
      </c>
      <c r="AU728" s="22" t="str">
        <f t="shared" si="4"/>
        <v>#N/A</v>
      </c>
      <c r="AV728" s="22" t="s">
        <v>106</v>
      </c>
      <c r="AW7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8" s="22" t="str">
        <f t="shared" si="5"/>
        <v>BR_IMC_DSY_LANCH_ND_NC_2020Q3AUG_NVS_Nivus-Launch-Consideracao</v>
      </c>
      <c r="AY728" s="28" t="str">
        <f t="shared" si="6"/>
        <v>#N/A</v>
      </c>
      <c r="AZ728" s="22" t="s">
        <v>107</v>
      </c>
      <c r="BA728" s="22" t="s">
        <v>108</v>
      </c>
      <c r="BB728" s="31" t="s">
        <v>109</v>
      </c>
      <c r="BC728" s="31" t="s">
        <v>109</v>
      </c>
      <c r="BD728" s="32" t="str">
        <f t="shared" si="8"/>
        <v>nvl-nvs-imc-dsy-0820-10722</v>
      </c>
      <c r="BE728" s="33"/>
      <c r="BF728" s="33"/>
      <c r="BG728" s="39" t="str">
        <f>URL&amp;IF(ISNUMBER(FIND("?",URL)),"&amp;","?"&amp;("adlid="&amp;Unique_ID&amp;"&amp;adplt="&amp;Placement))</f>
        <v>#N/A</v>
      </c>
      <c r="BH728" s="1"/>
      <c r="BI728" s="1"/>
      <c r="BJ728" s="35" t="str">
        <f>LOWER("alp"&amp;"_"&amp;"vw"&amp;"_"&amp;Veiculo&amp;"_"&amp;C724&amp;"_"&amp;Objetivo)</f>
        <v>alp_vw___</v>
      </c>
      <c r="BK728" s="35" t="str">
        <f>LOWER(Buying_Metric&amp;"_"&amp;VLOOKUP(Buying_Type,Buy_type,2,FALSE)&amp;"_"&amp;Device&amp;"_"&amp;Size&amp;"_"&amp;Segmentação&amp;"_"&amp;Segmentação_Anúncio)</f>
        <v>#N/A</v>
      </c>
      <c r="BL728" s="35" t="str">
        <f>LOWER(Campanha_ou_InsertionOrder&amp;"_"&amp;LineItem_ou_Grupodeanúncio&amp;"_"&amp;Linha_criativa_2&amp;"_"&amp;Unique_ID)</f>
        <v>#N/A</v>
      </c>
      <c r="BM728" s="27"/>
      <c r="BN728" s="27"/>
    </row>
    <row r="729">
      <c r="A729" s="1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8" t="str">
        <f>LOWER(Campanha_ou_InsertionOrder&amp;"_"&amp;LineItem_ou_Grupodeanúncio&amp;"_"&amp;Linha_Criativa&amp;"_"&amp;Unique_ID)</f>
        <v>#N/A</v>
      </c>
      <c r="AN729" s="28" t="str">
        <f>LOWER(Campanha_ou_InsertionOrder&amp;"_"&amp;LineItem_ou_Grupodeanúncio&amp;"_"&amp;Linha_Criativa&amp;"_"&amp;Unique_ID)</f>
        <v>#N/A</v>
      </c>
      <c r="AO729" s="28" t="str">
        <f>LOWER("VW"&amp;"_"&amp;Model_Variant&amp;"_"&amp;Size&amp;"_"&amp;Linha_Criativa&amp;"_"&amp;IF(Servido_Por="portal",Veiculo,"adserver"))</f>
        <v>vw____adserver</v>
      </c>
      <c r="AP7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29" s="22" t="str">
        <f t="shared" si="1"/>
        <v/>
      </c>
      <c r="AS729" s="22" t="str">
        <f t="shared" si="2"/>
        <v/>
      </c>
      <c r="AT729" s="22" t="str">
        <f t="shared" si="3"/>
        <v>BR_IMC_DSY_LANCH_ND_NC_2020Q3AUG_NVS_Nivus-Launch-Consideracao</v>
      </c>
      <c r="AU729" s="22" t="str">
        <f t="shared" si="4"/>
        <v>#N/A</v>
      </c>
      <c r="AV729" s="22" t="s">
        <v>106</v>
      </c>
      <c r="AW7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29" s="22" t="str">
        <f t="shared" si="5"/>
        <v>BR_IMC_DSY_LANCH_ND_NC_2020Q3AUG_NVS_Nivus-Launch-Consideracao</v>
      </c>
      <c r="AY729" s="28" t="str">
        <f t="shared" si="6"/>
        <v>#N/A</v>
      </c>
      <c r="AZ729" s="22" t="s">
        <v>107</v>
      </c>
      <c r="BA729" s="22" t="s">
        <v>108</v>
      </c>
      <c r="BB729" s="31" t="s">
        <v>109</v>
      </c>
      <c r="BC729" s="31" t="s">
        <v>109</v>
      </c>
      <c r="BD729" s="32" t="str">
        <f t="shared" si="8"/>
        <v>nvl-nvs-imc-dsy-0820-10723</v>
      </c>
      <c r="BE729" s="33"/>
      <c r="BF729" s="33"/>
      <c r="BG729" s="39" t="str">
        <f>URL&amp;IF(ISNUMBER(FIND("?",URL)),"&amp;","?"&amp;("adlid="&amp;Unique_ID&amp;"&amp;adplt="&amp;Placement))</f>
        <v>#N/A</v>
      </c>
      <c r="BH729" s="1"/>
      <c r="BI729" s="1"/>
      <c r="BJ729" s="35" t="str">
        <f>LOWER("alp"&amp;"_"&amp;"vw"&amp;"_"&amp;Veiculo&amp;"_"&amp;C725&amp;"_"&amp;Objetivo)</f>
        <v>alp_vw___</v>
      </c>
      <c r="BK729" s="35" t="str">
        <f>LOWER(Buying_Metric&amp;"_"&amp;VLOOKUP(Buying_Type,Buy_type,2,FALSE)&amp;"_"&amp;Device&amp;"_"&amp;Size&amp;"_"&amp;Segmentação&amp;"_"&amp;Segmentação_Anúncio)</f>
        <v>#N/A</v>
      </c>
      <c r="BL729" s="35" t="str">
        <f>LOWER(Campanha_ou_InsertionOrder&amp;"_"&amp;LineItem_ou_Grupodeanúncio&amp;"_"&amp;Linha_criativa_2&amp;"_"&amp;Unique_ID)</f>
        <v>#N/A</v>
      </c>
      <c r="BM729" s="27"/>
      <c r="BN729" s="27"/>
    </row>
    <row r="730">
      <c r="A730" s="1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8" t="str">
        <f>LOWER(Campanha_ou_InsertionOrder&amp;"_"&amp;LineItem_ou_Grupodeanúncio&amp;"_"&amp;Linha_Criativa&amp;"_"&amp;Unique_ID)</f>
        <v>#N/A</v>
      </c>
      <c r="AN730" s="28" t="str">
        <f>LOWER(Campanha_ou_InsertionOrder&amp;"_"&amp;LineItem_ou_Grupodeanúncio&amp;"_"&amp;Linha_Criativa&amp;"_"&amp;Unique_ID)</f>
        <v>#N/A</v>
      </c>
      <c r="AO730" s="28" t="str">
        <f>LOWER("VW"&amp;"_"&amp;Model_Variant&amp;"_"&amp;Size&amp;"_"&amp;Linha_Criativa&amp;"_"&amp;IF(Servido_Por="portal",Veiculo,"adserver"))</f>
        <v>vw____adserver</v>
      </c>
      <c r="AP7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0" s="22" t="str">
        <f t="shared" si="1"/>
        <v/>
      </c>
      <c r="AS730" s="22" t="str">
        <f t="shared" si="2"/>
        <v/>
      </c>
      <c r="AT730" s="22" t="str">
        <f t="shared" si="3"/>
        <v>BR_IMC_DSY_LANCH_ND_NC_2020Q3AUG_NVS_Nivus-Launch-Consideracao</v>
      </c>
      <c r="AU730" s="22" t="str">
        <f t="shared" si="4"/>
        <v>#N/A</v>
      </c>
      <c r="AV730" s="22" t="s">
        <v>106</v>
      </c>
      <c r="AW7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0" s="22" t="str">
        <f t="shared" si="5"/>
        <v>BR_IMC_DSY_LANCH_ND_NC_2020Q3AUG_NVS_Nivus-Launch-Consideracao</v>
      </c>
      <c r="AY730" s="28" t="str">
        <f t="shared" si="6"/>
        <v>#N/A</v>
      </c>
      <c r="AZ730" s="22" t="s">
        <v>107</v>
      </c>
      <c r="BA730" s="22" t="s">
        <v>108</v>
      </c>
      <c r="BB730" s="31" t="s">
        <v>109</v>
      </c>
      <c r="BC730" s="31" t="s">
        <v>109</v>
      </c>
      <c r="BD730" s="32" t="str">
        <f t="shared" si="8"/>
        <v>nvl-nvs-imc-dsy-0820-10724</v>
      </c>
      <c r="BE730" s="33"/>
      <c r="BF730" s="33"/>
      <c r="BG730" s="39" t="str">
        <f>URL&amp;IF(ISNUMBER(FIND("?",URL)),"&amp;","?"&amp;("adlid="&amp;Unique_ID&amp;"&amp;adplt="&amp;Placement))</f>
        <v>#N/A</v>
      </c>
      <c r="BH730" s="1"/>
      <c r="BI730" s="1"/>
      <c r="BJ730" s="35" t="str">
        <f>LOWER("alp"&amp;"_"&amp;"vw"&amp;"_"&amp;Veiculo&amp;"_"&amp;C726&amp;"_"&amp;Objetivo)</f>
        <v>alp_vw___</v>
      </c>
      <c r="BK730" s="35" t="str">
        <f>LOWER(Buying_Metric&amp;"_"&amp;VLOOKUP(Buying_Type,Buy_type,2,FALSE)&amp;"_"&amp;Device&amp;"_"&amp;Size&amp;"_"&amp;Segmentação&amp;"_"&amp;Segmentação_Anúncio)</f>
        <v>#N/A</v>
      </c>
      <c r="BL730" s="35" t="str">
        <f>LOWER(Campanha_ou_InsertionOrder&amp;"_"&amp;LineItem_ou_Grupodeanúncio&amp;"_"&amp;Linha_criativa_2&amp;"_"&amp;Unique_ID)</f>
        <v>#N/A</v>
      </c>
      <c r="BM730" s="27"/>
      <c r="BN730" s="27"/>
    </row>
    <row r="731">
      <c r="A731" s="1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8" t="str">
        <f>LOWER(Campanha_ou_InsertionOrder&amp;"_"&amp;LineItem_ou_Grupodeanúncio&amp;"_"&amp;Linha_Criativa&amp;"_"&amp;Unique_ID)</f>
        <v>#N/A</v>
      </c>
      <c r="AN731" s="28" t="str">
        <f>LOWER(Campanha_ou_InsertionOrder&amp;"_"&amp;LineItem_ou_Grupodeanúncio&amp;"_"&amp;Linha_Criativa&amp;"_"&amp;Unique_ID)</f>
        <v>#N/A</v>
      </c>
      <c r="AO731" s="28" t="str">
        <f>LOWER("VW"&amp;"_"&amp;Model_Variant&amp;"_"&amp;Size&amp;"_"&amp;Linha_Criativa&amp;"_"&amp;IF(Servido_Por="portal",Veiculo,"adserver"))</f>
        <v>vw____adserver</v>
      </c>
      <c r="AP7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1" s="22" t="str">
        <f t="shared" si="1"/>
        <v/>
      </c>
      <c r="AS731" s="22" t="str">
        <f t="shared" si="2"/>
        <v/>
      </c>
      <c r="AT731" s="22" t="str">
        <f t="shared" si="3"/>
        <v>BR_IMC_DSY_LANCH_ND_NC_2020Q3AUG_NVS_Nivus-Launch-Consideracao</v>
      </c>
      <c r="AU731" s="22" t="str">
        <f t="shared" si="4"/>
        <v>#N/A</v>
      </c>
      <c r="AV731" s="22" t="s">
        <v>106</v>
      </c>
      <c r="AW7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1" s="22" t="str">
        <f t="shared" si="5"/>
        <v>BR_IMC_DSY_LANCH_ND_NC_2020Q3AUG_NVS_Nivus-Launch-Consideracao</v>
      </c>
      <c r="AY731" s="28" t="str">
        <f t="shared" si="6"/>
        <v>#N/A</v>
      </c>
      <c r="AZ731" s="22" t="s">
        <v>107</v>
      </c>
      <c r="BA731" s="22" t="s">
        <v>108</v>
      </c>
      <c r="BB731" s="31" t="s">
        <v>109</v>
      </c>
      <c r="BC731" s="31" t="s">
        <v>109</v>
      </c>
      <c r="BD731" s="32" t="str">
        <f t="shared" si="8"/>
        <v>nvl-nvs-imc-dsy-0820-10725</v>
      </c>
      <c r="BE731" s="33"/>
      <c r="BF731" s="33"/>
      <c r="BG731" s="39" t="str">
        <f>URL&amp;IF(ISNUMBER(FIND("?",URL)),"&amp;","?"&amp;("adlid="&amp;Unique_ID&amp;"&amp;adplt="&amp;Placement))</f>
        <v>#N/A</v>
      </c>
      <c r="BH731" s="1"/>
      <c r="BI731" s="1"/>
      <c r="BJ731" s="35" t="str">
        <f>LOWER("alp"&amp;"_"&amp;"vw"&amp;"_"&amp;Veiculo&amp;"_"&amp;C727&amp;"_"&amp;Objetivo)</f>
        <v>alp_vw___</v>
      </c>
      <c r="BK731" s="35" t="str">
        <f>LOWER(Buying_Metric&amp;"_"&amp;VLOOKUP(Buying_Type,Buy_type,2,FALSE)&amp;"_"&amp;Device&amp;"_"&amp;Size&amp;"_"&amp;Segmentação&amp;"_"&amp;Segmentação_Anúncio)</f>
        <v>#N/A</v>
      </c>
      <c r="BL731" s="35" t="str">
        <f>LOWER(Campanha_ou_InsertionOrder&amp;"_"&amp;LineItem_ou_Grupodeanúncio&amp;"_"&amp;Linha_criativa_2&amp;"_"&amp;Unique_ID)</f>
        <v>#N/A</v>
      </c>
      <c r="BM731" s="27"/>
      <c r="BN731" s="27"/>
    </row>
    <row r="732">
      <c r="A732" s="1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8" t="str">
        <f>LOWER(Campanha_ou_InsertionOrder&amp;"_"&amp;LineItem_ou_Grupodeanúncio&amp;"_"&amp;Linha_Criativa&amp;"_"&amp;Unique_ID)</f>
        <v>#N/A</v>
      </c>
      <c r="AN732" s="28" t="str">
        <f>LOWER(Campanha_ou_InsertionOrder&amp;"_"&amp;LineItem_ou_Grupodeanúncio&amp;"_"&amp;Linha_Criativa&amp;"_"&amp;Unique_ID)</f>
        <v>#N/A</v>
      </c>
      <c r="AO732" s="28" t="str">
        <f>LOWER("VW"&amp;"_"&amp;Model_Variant&amp;"_"&amp;Size&amp;"_"&amp;Linha_Criativa&amp;"_"&amp;IF(Servido_Por="portal",Veiculo,"adserver"))</f>
        <v>vw____adserver</v>
      </c>
      <c r="AP7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2" s="22" t="str">
        <f t="shared" si="1"/>
        <v/>
      </c>
      <c r="AS732" s="22" t="str">
        <f t="shared" si="2"/>
        <v/>
      </c>
      <c r="AT732" s="22" t="str">
        <f t="shared" si="3"/>
        <v>BR_IMC_DSY_LANCH_ND_NC_2020Q3AUG_NVS_Nivus-Launch-Consideracao</v>
      </c>
      <c r="AU732" s="22" t="str">
        <f t="shared" si="4"/>
        <v>#N/A</v>
      </c>
      <c r="AV732" s="22" t="s">
        <v>106</v>
      </c>
      <c r="AW7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2" s="22" t="str">
        <f t="shared" si="5"/>
        <v>BR_IMC_DSY_LANCH_ND_NC_2020Q3AUG_NVS_Nivus-Launch-Consideracao</v>
      </c>
      <c r="AY732" s="28" t="str">
        <f t="shared" si="6"/>
        <v>#N/A</v>
      </c>
      <c r="AZ732" s="22" t="s">
        <v>107</v>
      </c>
      <c r="BA732" s="22" t="s">
        <v>108</v>
      </c>
      <c r="BB732" s="31" t="s">
        <v>109</v>
      </c>
      <c r="BC732" s="31" t="s">
        <v>109</v>
      </c>
      <c r="BD732" s="32" t="str">
        <f t="shared" si="8"/>
        <v>nvl-nvs-imc-dsy-0820-10726</v>
      </c>
      <c r="BE732" s="33"/>
      <c r="BF732" s="33"/>
      <c r="BG732" s="39" t="str">
        <f>URL&amp;IF(ISNUMBER(FIND("?",URL)),"&amp;","?"&amp;("adlid="&amp;Unique_ID&amp;"&amp;adplt="&amp;Placement))</f>
        <v>#N/A</v>
      </c>
      <c r="BH732" s="1"/>
      <c r="BI732" s="1"/>
      <c r="BJ732" s="35" t="str">
        <f>LOWER("alp"&amp;"_"&amp;"vw"&amp;"_"&amp;Veiculo&amp;"_"&amp;C728&amp;"_"&amp;Objetivo)</f>
        <v>alp_vw___</v>
      </c>
      <c r="BK732" s="35" t="str">
        <f>LOWER(Buying_Metric&amp;"_"&amp;VLOOKUP(Buying_Type,Buy_type,2,FALSE)&amp;"_"&amp;Device&amp;"_"&amp;Size&amp;"_"&amp;Segmentação&amp;"_"&amp;Segmentação_Anúncio)</f>
        <v>#N/A</v>
      </c>
      <c r="BL732" s="35" t="str">
        <f>LOWER(Campanha_ou_InsertionOrder&amp;"_"&amp;LineItem_ou_Grupodeanúncio&amp;"_"&amp;Linha_criativa_2&amp;"_"&amp;Unique_ID)</f>
        <v>#N/A</v>
      </c>
      <c r="BM732" s="27"/>
      <c r="BN732" s="27"/>
    </row>
    <row r="733">
      <c r="A733" s="1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8" t="str">
        <f>LOWER(Campanha_ou_InsertionOrder&amp;"_"&amp;LineItem_ou_Grupodeanúncio&amp;"_"&amp;Linha_Criativa&amp;"_"&amp;Unique_ID)</f>
        <v>#N/A</v>
      </c>
      <c r="AN733" s="28" t="str">
        <f>LOWER(Campanha_ou_InsertionOrder&amp;"_"&amp;LineItem_ou_Grupodeanúncio&amp;"_"&amp;Linha_Criativa&amp;"_"&amp;Unique_ID)</f>
        <v>#N/A</v>
      </c>
      <c r="AO733" s="28" t="str">
        <f>LOWER("VW"&amp;"_"&amp;Model_Variant&amp;"_"&amp;Size&amp;"_"&amp;Linha_Criativa&amp;"_"&amp;IF(Servido_Por="portal",Veiculo,"adserver"))</f>
        <v>vw____adserver</v>
      </c>
      <c r="AP7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3" s="22" t="str">
        <f t="shared" si="1"/>
        <v/>
      </c>
      <c r="AS733" s="22" t="str">
        <f t="shared" si="2"/>
        <v/>
      </c>
      <c r="AT733" s="22" t="str">
        <f t="shared" si="3"/>
        <v>BR_IMC_DSY_LANCH_ND_NC_2020Q3AUG_NVS_Nivus-Launch-Consideracao</v>
      </c>
      <c r="AU733" s="22" t="str">
        <f t="shared" si="4"/>
        <v>#N/A</v>
      </c>
      <c r="AV733" s="22" t="s">
        <v>106</v>
      </c>
      <c r="AW7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3" s="22" t="str">
        <f t="shared" si="5"/>
        <v>BR_IMC_DSY_LANCH_ND_NC_2020Q3AUG_NVS_Nivus-Launch-Consideracao</v>
      </c>
      <c r="AY733" s="28" t="str">
        <f t="shared" si="6"/>
        <v>#N/A</v>
      </c>
      <c r="AZ733" s="22" t="s">
        <v>107</v>
      </c>
      <c r="BA733" s="22" t="s">
        <v>108</v>
      </c>
      <c r="BB733" s="31" t="s">
        <v>109</v>
      </c>
      <c r="BC733" s="31" t="s">
        <v>109</v>
      </c>
      <c r="BD733" s="32" t="str">
        <f t="shared" si="8"/>
        <v>nvl-nvs-imc-dsy-0820-10727</v>
      </c>
      <c r="BE733" s="33"/>
      <c r="BF733" s="33"/>
      <c r="BG733" s="39" t="str">
        <f>URL&amp;IF(ISNUMBER(FIND("?",URL)),"&amp;","?"&amp;("adlid="&amp;Unique_ID&amp;"&amp;adplt="&amp;Placement))</f>
        <v>#N/A</v>
      </c>
      <c r="BH733" s="1"/>
      <c r="BI733" s="1"/>
      <c r="BJ733" s="35" t="str">
        <f>LOWER("alp"&amp;"_"&amp;"vw"&amp;"_"&amp;Veiculo&amp;"_"&amp;C729&amp;"_"&amp;Objetivo)</f>
        <v>alp_vw___</v>
      </c>
      <c r="BK733" s="35" t="str">
        <f>LOWER(Buying_Metric&amp;"_"&amp;VLOOKUP(Buying_Type,Buy_type,2,FALSE)&amp;"_"&amp;Device&amp;"_"&amp;Size&amp;"_"&amp;Segmentação&amp;"_"&amp;Segmentação_Anúncio)</f>
        <v>#N/A</v>
      </c>
      <c r="BL733" s="35" t="str">
        <f>LOWER(Campanha_ou_InsertionOrder&amp;"_"&amp;LineItem_ou_Grupodeanúncio&amp;"_"&amp;Linha_criativa_2&amp;"_"&amp;Unique_ID)</f>
        <v>#N/A</v>
      </c>
      <c r="BM733" s="27"/>
      <c r="BN733" s="27"/>
    </row>
    <row r="734">
      <c r="A734" s="1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8" t="str">
        <f>LOWER(Campanha_ou_InsertionOrder&amp;"_"&amp;LineItem_ou_Grupodeanúncio&amp;"_"&amp;Linha_Criativa&amp;"_"&amp;Unique_ID)</f>
        <v>#N/A</v>
      </c>
      <c r="AN734" s="28" t="str">
        <f>LOWER(Campanha_ou_InsertionOrder&amp;"_"&amp;LineItem_ou_Grupodeanúncio&amp;"_"&amp;Linha_Criativa&amp;"_"&amp;Unique_ID)</f>
        <v>#N/A</v>
      </c>
      <c r="AO734" s="28" t="str">
        <f>LOWER("VW"&amp;"_"&amp;Model_Variant&amp;"_"&amp;Size&amp;"_"&amp;Linha_Criativa&amp;"_"&amp;IF(Servido_Por="portal",Veiculo,"adserver"))</f>
        <v>vw____adserver</v>
      </c>
      <c r="AP7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4" s="22" t="str">
        <f t="shared" si="1"/>
        <v/>
      </c>
      <c r="AS734" s="22" t="str">
        <f t="shared" si="2"/>
        <v/>
      </c>
      <c r="AT734" s="22" t="str">
        <f t="shared" si="3"/>
        <v>BR_IMC_DSY_LANCH_ND_NC_2020Q3AUG_NVS_Nivus-Launch-Consideracao</v>
      </c>
      <c r="AU734" s="22" t="str">
        <f t="shared" si="4"/>
        <v>#N/A</v>
      </c>
      <c r="AV734" s="22" t="s">
        <v>106</v>
      </c>
      <c r="AW7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4" s="22" t="str">
        <f t="shared" si="5"/>
        <v>BR_IMC_DSY_LANCH_ND_NC_2020Q3AUG_NVS_Nivus-Launch-Consideracao</v>
      </c>
      <c r="AY734" s="28" t="str">
        <f t="shared" si="6"/>
        <v>#N/A</v>
      </c>
      <c r="AZ734" s="22" t="s">
        <v>107</v>
      </c>
      <c r="BA734" s="22" t="s">
        <v>108</v>
      </c>
      <c r="BB734" s="31" t="s">
        <v>109</v>
      </c>
      <c r="BC734" s="31" t="s">
        <v>109</v>
      </c>
      <c r="BD734" s="32" t="str">
        <f t="shared" si="8"/>
        <v>nvl-nvs-imc-dsy-0820-10728</v>
      </c>
      <c r="BE734" s="33"/>
      <c r="BF734" s="33"/>
      <c r="BG734" s="39" t="str">
        <f>URL&amp;IF(ISNUMBER(FIND("?",URL)),"&amp;","?"&amp;("adlid="&amp;Unique_ID&amp;"&amp;adplt="&amp;Placement))</f>
        <v>#N/A</v>
      </c>
      <c r="BH734" s="1"/>
      <c r="BI734" s="1"/>
      <c r="BJ734" s="35" t="str">
        <f>LOWER("alp"&amp;"_"&amp;"vw"&amp;"_"&amp;Veiculo&amp;"_"&amp;C730&amp;"_"&amp;Objetivo)</f>
        <v>alp_vw___</v>
      </c>
      <c r="BK734" s="35" t="str">
        <f>LOWER(Buying_Metric&amp;"_"&amp;VLOOKUP(Buying_Type,Buy_type,2,FALSE)&amp;"_"&amp;Device&amp;"_"&amp;Size&amp;"_"&amp;Segmentação&amp;"_"&amp;Segmentação_Anúncio)</f>
        <v>#N/A</v>
      </c>
      <c r="BL734" s="35" t="str">
        <f>LOWER(Campanha_ou_InsertionOrder&amp;"_"&amp;LineItem_ou_Grupodeanúncio&amp;"_"&amp;Linha_criativa_2&amp;"_"&amp;Unique_ID)</f>
        <v>#N/A</v>
      </c>
      <c r="BM734" s="27"/>
      <c r="BN734" s="27"/>
    </row>
    <row r="735">
      <c r="A735" s="1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8" t="str">
        <f>LOWER(Campanha_ou_InsertionOrder&amp;"_"&amp;LineItem_ou_Grupodeanúncio&amp;"_"&amp;Linha_Criativa&amp;"_"&amp;Unique_ID)</f>
        <v>#N/A</v>
      </c>
      <c r="AN735" s="28" t="str">
        <f>LOWER(Campanha_ou_InsertionOrder&amp;"_"&amp;LineItem_ou_Grupodeanúncio&amp;"_"&amp;Linha_Criativa&amp;"_"&amp;Unique_ID)</f>
        <v>#N/A</v>
      </c>
      <c r="AO735" s="28" t="str">
        <f>LOWER("VW"&amp;"_"&amp;Model_Variant&amp;"_"&amp;Size&amp;"_"&amp;Linha_Criativa&amp;"_"&amp;IF(Servido_Por="portal",Veiculo,"adserver"))</f>
        <v>vw____adserver</v>
      </c>
      <c r="AP7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5" s="22" t="str">
        <f t="shared" si="1"/>
        <v/>
      </c>
      <c r="AS735" s="22" t="str">
        <f t="shared" si="2"/>
        <v/>
      </c>
      <c r="AT735" s="22" t="str">
        <f t="shared" si="3"/>
        <v>BR_IMC_DSY_LANCH_ND_NC_2020Q3AUG_NVS_Nivus-Launch-Consideracao</v>
      </c>
      <c r="AU735" s="22" t="str">
        <f t="shared" si="4"/>
        <v>#N/A</v>
      </c>
      <c r="AV735" s="22" t="s">
        <v>106</v>
      </c>
      <c r="AW7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5" s="22" t="str">
        <f t="shared" si="5"/>
        <v>BR_IMC_DSY_LANCH_ND_NC_2020Q3AUG_NVS_Nivus-Launch-Consideracao</v>
      </c>
      <c r="AY735" s="28" t="str">
        <f t="shared" si="6"/>
        <v>#N/A</v>
      </c>
      <c r="AZ735" s="22" t="s">
        <v>107</v>
      </c>
      <c r="BA735" s="22" t="s">
        <v>108</v>
      </c>
      <c r="BB735" s="31" t="s">
        <v>109</v>
      </c>
      <c r="BC735" s="31" t="s">
        <v>109</v>
      </c>
      <c r="BD735" s="32" t="str">
        <f t="shared" si="8"/>
        <v>nvl-nvs-imc-dsy-0820-10729</v>
      </c>
      <c r="BE735" s="33"/>
      <c r="BF735" s="33"/>
      <c r="BG735" s="39" t="str">
        <f>URL&amp;IF(ISNUMBER(FIND("?",URL)),"&amp;","?"&amp;("adlid="&amp;Unique_ID&amp;"&amp;adplt="&amp;Placement))</f>
        <v>#N/A</v>
      </c>
      <c r="BH735" s="1"/>
      <c r="BI735" s="1"/>
      <c r="BJ735" s="35" t="str">
        <f>LOWER("alp"&amp;"_"&amp;"vw"&amp;"_"&amp;Veiculo&amp;"_"&amp;C731&amp;"_"&amp;Objetivo)</f>
        <v>alp_vw___</v>
      </c>
      <c r="BK735" s="35" t="str">
        <f>LOWER(Buying_Metric&amp;"_"&amp;VLOOKUP(Buying_Type,Buy_type,2,FALSE)&amp;"_"&amp;Device&amp;"_"&amp;Size&amp;"_"&amp;Segmentação&amp;"_"&amp;Segmentação_Anúncio)</f>
        <v>#N/A</v>
      </c>
      <c r="BL735" s="35" t="str">
        <f>LOWER(Campanha_ou_InsertionOrder&amp;"_"&amp;LineItem_ou_Grupodeanúncio&amp;"_"&amp;Linha_criativa_2&amp;"_"&amp;Unique_ID)</f>
        <v>#N/A</v>
      </c>
      <c r="BM735" s="27"/>
      <c r="BN735" s="27"/>
    </row>
    <row r="736">
      <c r="A736" s="1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8" t="str">
        <f>LOWER(Campanha_ou_InsertionOrder&amp;"_"&amp;LineItem_ou_Grupodeanúncio&amp;"_"&amp;Linha_Criativa&amp;"_"&amp;Unique_ID)</f>
        <v>#N/A</v>
      </c>
      <c r="AN736" s="28" t="str">
        <f>LOWER(Campanha_ou_InsertionOrder&amp;"_"&amp;LineItem_ou_Grupodeanúncio&amp;"_"&amp;Linha_Criativa&amp;"_"&amp;Unique_ID)</f>
        <v>#N/A</v>
      </c>
      <c r="AO736" s="28" t="str">
        <f>LOWER("VW"&amp;"_"&amp;Model_Variant&amp;"_"&amp;Size&amp;"_"&amp;Linha_Criativa&amp;"_"&amp;IF(Servido_Por="portal",Veiculo,"adserver"))</f>
        <v>vw____adserver</v>
      </c>
      <c r="AP7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6" s="22" t="str">
        <f t="shared" si="1"/>
        <v/>
      </c>
      <c r="AS736" s="22" t="str">
        <f t="shared" si="2"/>
        <v/>
      </c>
      <c r="AT736" s="22" t="str">
        <f t="shared" si="3"/>
        <v>BR_IMC_DSY_LANCH_ND_NC_2020Q3AUG_NVS_Nivus-Launch-Consideracao</v>
      </c>
      <c r="AU736" s="22" t="str">
        <f t="shared" si="4"/>
        <v>#N/A</v>
      </c>
      <c r="AV736" s="22" t="s">
        <v>106</v>
      </c>
      <c r="AW7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6" s="22" t="str">
        <f t="shared" si="5"/>
        <v>BR_IMC_DSY_LANCH_ND_NC_2020Q3AUG_NVS_Nivus-Launch-Consideracao</v>
      </c>
      <c r="AY736" s="28" t="str">
        <f t="shared" si="6"/>
        <v>#N/A</v>
      </c>
      <c r="AZ736" s="22" t="s">
        <v>107</v>
      </c>
      <c r="BA736" s="22" t="s">
        <v>108</v>
      </c>
      <c r="BB736" s="31" t="s">
        <v>109</v>
      </c>
      <c r="BC736" s="31" t="s">
        <v>109</v>
      </c>
      <c r="BD736" s="32" t="str">
        <f t="shared" si="8"/>
        <v>nvl-nvs-imc-dsy-0820-10730</v>
      </c>
      <c r="BE736" s="33"/>
      <c r="BF736" s="33"/>
      <c r="BG736" s="39" t="str">
        <f>URL&amp;IF(ISNUMBER(FIND("?",URL)),"&amp;","?"&amp;("adlid="&amp;Unique_ID&amp;"&amp;adplt="&amp;Placement))</f>
        <v>#N/A</v>
      </c>
      <c r="BH736" s="1"/>
      <c r="BI736" s="1"/>
      <c r="BJ736" s="35" t="str">
        <f>LOWER("alp"&amp;"_"&amp;"vw"&amp;"_"&amp;Veiculo&amp;"_"&amp;C732&amp;"_"&amp;Objetivo)</f>
        <v>alp_vw___</v>
      </c>
      <c r="BK736" s="35" t="str">
        <f>LOWER(Buying_Metric&amp;"_"&amp;VLOOKUP(Buying_Type,Buy_type,2,FALSE)&amp;"_"&amp;Device&amp;"_"&amp;Size&amp;"_"&amp;Segmentação&amp;"_"&amp;Segmentação_Anúncio)</f>
        <v>#N/A</v>
      </c>
      <c r="BL736" s="35" t="str">
        <f>LOWER(Campanha_ou_InsertionOrder&amp;"_"&amp;LineItem_ou_Grupodeanúncio&amp;"_"&amp;Linha_criativa_2&amp;"_"&amp;Unique_ID)</f>
        <v>#N/A</v>
      </c>
      <c r="BM736" s="27"/>
      <c r="BN736" s="27"/>
    </row>
    <row r="737">
      <c r="A737" s="1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8" t="str">
        <f>LOWER(Campanha_ou_InsertionOrder&amp;"_"&amp;LineItem_ou_Grupodeanúncio&amp;"_"&amp;Linha_Criativa&amp;"_"&amp;Unique_ID)</f>
        <v>#N/A</v>
      </c>
      <c r="AN737" s="28" t="str">
        <f>LOWER(Campanha_ou_InsertionOrder&amp;"_"&amp;LineItem_ou_Grupodeanúncio&amp;"_"&amp;Linha_Criativa&amp;"_"&amp;Unique_ID)</f>
        <v>#N/A</v>
      </c>
      <c r="AO737" s="28" t="str">
        <f>LOWER("VW"&amp;"_"&amp;Model_Variant&amp;"_"&amp;Size&amp;"_"&amp;Linha_Criativa&amp;"_"&amp;IF(Servido_Por="portal",Veiculo,"adserver"))</f>
        <v>vw____adserver</v>
      </c>
      <c r="AP7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7" s="22" t="str">
        <f t="shared" si="1"/>
        <v/>
      </c>
      <c r="AS737" s="22" t="str">
        <f t="shared" si="2"/>
        <v/>
      </c>
      <c r="AT737" s="22" t="str">
        <f t="shared" si="3"/>
        <v>BR_IMC_DSY_LANCH_ND_NC_2020Q3AUG_NVS_Nivus-Launch-Consideracao</v>
      </c>
      <c r="AU737" s="22" t="str">
        <f t="shared" si="4"/>
        <v>#N/A</v>
      </c>
      <c r="AV737" s="22" t="s">
        <v>106</v>
      </c>
      <c r="AW7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7" s="22" t="str">
        <f t="shared" si="5"/>
        <v>BR_IMC_DSY_LANCH_ND_NC_2020Q3AUG_NVS_Nivus-Launch-Consideracao</v>
      </c>
      <c r="AY737" s="28" t="str">
        <f t="shared" si="6"/>
        <v>#N/A</v>
      </c>
      <c r="AZ737" s="22" t="s">
        <v>107</v>
      </c>
      <c r="BA737" s="22" t="s">
        <v>108</v>
      </c>
      <c r="BB737" s="31" t="s">
        <v>109</v>
      </c>
      <c r="BC737" s="31" t="s">
        <v>109</v>
      </c>
      <c r="BD737" s="32" t="str">
        <f t="shared" si="8"/>
        <v>nvl-nvs-imc-dsy-0820-10731</v>
      </c>
      <c r="BE737" s="33"/>
      <c r="BF737" s="33"/>
      <c r="BG737" s="39" t="str">
        <f>URL&amp;IF(ISNUMBER(FIND("?",URL)),"&amp;","?"&amp;("adlid="&amp;Unique_ID&amp;"&amp;adplt="&amp;Placement))</f>
        <v>#N/A</v>
      </c>
      <c r="BH737" s="1"/>
      <c r="BI737" s="1"/>
      <c r="BJ737" s="35" t="str">
        <f>LOWER("alp"&amp;"_"&amp;"vw"&amp;"_"&amp;Veiculo&amp;"_"&amp;C733&amp;"_"&amp;Objetivo)</f>
        <v>alp_vw___</v>
      </c>
      <c r="BK737" s="35" t="str">
        <f>LOWER(Buying_Metric&amp;"_"&amp;VLOOKUP(Buying_Type,Buy_type,2,FALSE)&amp;"_"&amp;Device&amp;"_"&amp;Size&amp;"_"&amp;Segmentação&amp;"_"&amp;Segmentação_Anúncio)</f>
        <v>#N/A</v>
      </c>
      <c r="BL737" s="35" t="str">
        <f>LOWER(Campanha_ou_InsertionOrder&amp;"_"&amp;LineItem_ou_Grupodeanúncio&amp;"_"&amp;Linha_criativa_2&amp;"_"&amp;Unique_ID)</f>
        <v>#N/A</v>
      </c>
      <c r="BM737" s="27"/>
      <c r="BN737" s="27"/>
    </row>
    <row r="738">
      <c r="A738" s="1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8" t="str">
        <f>LOWER(Campanha_ou_InsertionOrder&amp;"_"&amp;LineItem_ou_Grupodeanúncio&amp;"_"&amp;Linha_Criativa&amp;"_"&amp;Unique_ID)</f>
        <v>#N/A</v>
      </c>
      <c r="AN738" s="28" t="str">
        <f>LOWER(Campanha_ou_InsertionOrder&amp;"_"&amp;LineItem_ou_Grupodeanúncio&amp;"_"&amp;Linha_Criativa&amp;"_"&amp;Unique_ID)</f>
        <v>#N/A</v>
      </c>
      <c r="AO738" s="28" t="str">
        <f>LOWER("VW"&amp;"_"&amp;Model_Variant&amp;"_"&amp;Size&amp;"_"&amp;Linha_Criativa&amp;"_"&amp;IF(Servido_Por="portal",Veiculo,"adserver"))</f>
        <v>vw____adserver</v>
      </c>
      <c r="AP7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8" s="22" t="str">
        <f t="shared" si="1"/>
        <v/>
      </c>
      <c r="AS738" s="22" t="str">
        <f t="shared" si="2"/>
        <v/>
      </c>
      <c r="AT738" s="22" t="str">
        <f t="shared" si="3"/>
        <v>BR_IMC_DSY_LANCH_ND_NC_2020Q3AUG_NVS_Nivus-Launch-Consideracao</v>
      </c>
      <c r="AU738" s="22" t="str">
        <f t="shared" si="4"/>
        <v>#N/A</v>
      </c>
      <c r="AV738" s="22" t="s">
        <v>106</v>
      </c>
      <c r="AW7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8" s="22" t="str">
        <f t="shared" si="5"/>
        <v>BR_IMC_DSY_LANCH_ND_NC_2020Q3AUG_NVS_Nivus-Launch-Consideracao</v>
      </c>
      <c r="AY738" s="28" t="str">
        <f t="shared" si="6"/>
        <v>#N/A</v>
      </c>
      <c r="AZ738" s="22" t="s">
        <v>107</v>
      </c>
      <c r="BA738" s="22" t="s">
        <v>108</v>
      </c>
      <c r="BB738" s="31" t="s">
        <v>109</v>
      </c>
      <c r="BC738" s="31" t="s">
        <v>109</v>
      </c>
      <c r="BD738" s="32" t="str">
        <f t="shared" si="8"/>
        <v>nvl-nvs-imc-dsy-0820-10732</v>
      </c>
      <c r="BE738" s="33"/>
      <c r="BF738" s="33"/>
      <c r="BG738" s="39" t="str">
        <f>URL&amp;IF(ISNUMBER(FIND("?",URL)),"&amp;","?"&amp;("adlid="&amp;Unique_ID&amp;"&amp;adplt="&amp;Placement))</f>
        <v>#N/A</v>
      </c>
      <c r="BH738" s="1"/>
      <c r="BI738" s="1"/>
      <c r="BJ738" s="35" t="str">
        <f>LOWER("alp"&amp;"_"&amp;"vw"&amp;"_"&amp;Veiculo&amp;"_"&amp;C734&amp;"_"&amp;Objetivo)</f>
        <v>alp_vw___</v>
      </c>
      <c r="BK738" s="35" t="str">
        <f>LOWER(Buying_Metric&amp;"_"&amp;VLOOKUP(Buying_Type,Buy_type,2,FALSE)&amp;"_"&amp;Device&amp;"_"&amp;Size&amp;"_"&amp;Segmentação&amp;"_"&amp;Segmentação_Anúncio)</f>
        <v>#N/A</v>
      </c>
      <c r="BL738" s="35" t="str">
        <f>LOWER(Campanha_ou_InsertionOrder&amp;"_"&amp;LineItem_ou_Grupodeanúncio&amp;"_"&amp;Linha_criativa_2&amp;"_"&amp;Unique_ID)</f>
        <v>#N/A</v>
      </c>
      <c r="BM738" s="27"/>
      <c r="BN738" s="27"/>
    </row>
    <row r="739">
      <c r="A739" s="1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8" t="str">
        <f>LOWER(Campanha_ou_InsertionOrder&amp;"_"&amp;LineItem_ou_Grupodeanúncio&amp;"_"&amp;Linha_Criativa&amp;"_"&amp;Unique_ID)</f>
        <v>#N/A</v>
      </c>
      <c r="AN739" s="28" t="str">
        <f>LOWER(Campanha_ou_InsertionOrder&amp;"_"&amp;LineItem_ou_Grupodeanúncio&amp;"_"&amp;Linha_Criativa&amp;"_"&amp;Unique_ID)</f>
        <v>#N/A</v>
      </c>
      <c r="AO739" s="28" t="str">
        <f>LOWER("VW"&amp;"_"&amp;Model_Variant&amp;"_"&amp;Size&amp;"_"&amp;Linha_Criativa&amp;"_"&amp;IF(Servido_Por="portal",Veiculo,"adserver"))</f>
        <v>vw____adserver</v>
      </c>
      <c r="AP7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39" s="22" t="str">
        <f t="shared" si="1"/>
        <v/>
      </c>
      <c r="AS739" s="22" t="str">
        <f t="shared" si="2"/>
        <v/>
      </c>
      <c r="AT739" s="22" t="str">
        <f t="shared" si="3"/>
        <v>BR_IMC_DSY_LANCH_ND_NC_2020Q3AUG_NVS_Nivus-Launch-Consideracao</v>
      </c>
      <c r="AU739" s="22" t="str">
        <f t="shared" si="4"/>
        <v>#N/A</v>
      </c>
      <c r="AV739" s="22" t="s">
        <v>106</v>
      </c>
      <c r="AW7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39" s="22" t="str">
        <f t="shared" si="5"/>
        <v>BR_IMC_DSY_LANCH_ND_NC_2020Q3AUG_NVS_Nivus-Launch-Consideracao</v>
      </c>
      <c r="AY739" s="28" t="str">
        <f t="shared" si="6"/>
        <v>#N/A</v>
      </c>
      <c r="AZ739" s="22" t="s">
        <v>107</v>
      </c>
      <c r="BA739" s="22" t="s">
        <v>108</v>
      </c>
      <c r="BB739" s="31" t="s">
        <v>109</v>
      </c>
      <c r="BC739" s="31" t="s">
        <v>109</v>
      </c>
      <c r="BD739" s="32" t="str">
        <f t="shared" si="8"/>
        <v>nvl-nvs-imc-dsy-0820-10733</v>
      </c>
      <c r="BE739" s="33"/>
      <c r="BF739" s="33"/>
      <c r="BG739" s="39" t="str">
        <f>URL&amp;IF(ISNUMBER(FIND("?",URL)),"&amp;","?"&amp;("adlid="&amp;Unique_ID&amp;"&amp;adplt="&amp;Placement))</f>
        <v>#N/A</v>
      </c>
      <c r="BH739" s="1"/>
      <c r="BI739" s="1"/>
      <c r="BJ739" s="35" t="str">
        <f>LOWER("alp"&amp;"_"&amp;"vw"&amp;"_"&amp;Veiculo&amp;"_"&amp;C735&amp;"_"&amp;Objetivo)</f>
        <v>alp_vw___</v>
      </c>
      <c r="BK739" s="35" t="str">
        <f>LOWER(Buying_Metric&amp;"_"&amp;VLOOKUP(Buying_Type,Buy_type,2,FALSE)&amp;"_"&amp;Device&amp;"_"&amp;Size&amp;"_"&amp;Segmentação&amp;"_"&amp;Segmentação_Anúncio)</f>
        <v>#N/A</v>
      </c>
      <c r="BL739" s="35" t="str">
        <f>LOWER(Campanha_ou_InsertionOrder&amp;"_"&amp;LineItem_ou_Grupodeanúncio&amp;"_"&amp;Linha_criativa_2&amp;"_"&amp;Unique_ID)</f>
        <v>#N/A</v>
      </c>
      <c r="BM739" s="27"/>
      <c r="BN739" s="27"/>
    </row>
    <row r="740">
      <c r="A740" s="1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8" t="str">
        <f>LOWER(Campanha_ou_InsertionOrder&amp;"_"&amp;LineItem_ou_Grupodeanúncio&amp;"_"&amp;Linha_Criativa&amp;"_"&amp;Unique_ID)</f>
        <v>#N/A</v>
      </c>
      <c r="AN740" s="28" t="str">
        <f>LOWER(Campanha_ou_InsertionOrder&amp;"_"&amp;LineItem_ou_Grupodeanúncio&amp;"_"&amp;Linha_Criativa&amp;"_"&amp;Unique_ID)</f>
        <v>#N/A</v>
      </c>
      <c r="AO740" s="28" t="str">
        <f>LOWER("VW"&amp;"_"&amp;Model_Variant&amp;"_"&amp;Size&amp;"_"&amp;Linha_Criativa&amp;"_"&amp;IF(Servido_Por="portal",Veiculo,"adserver"))</f>
        <v>vw____adserver</v>
      </c>
      <c r="AP7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0" s="22" t="str">
        <f t="shared" si="1"/>
        <v/>
      </c>
      <c r="AS740" s="22" t="str">
        <f t="shared" si="2"/>
        <v/>
      </c>
      <c r="AT740" s="22" t="str">
        <f t="shared" si="3"/>
        <v>BR_IMC_DSY_LANCH_ND_NC_2020Q3AUG_NVS_Nivus-Launch-Consideracao</v>
      </c>
      <c r="AU740" s="22" t="str">
        <f t="shared" si="4"/>
        <v>#N/A</v>
      </c>
      <c r="AV740" s="22" t="s">
        <v>106</v>
      </c>
      <c r="AW7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0" s="22" t="str">
        <f t="shared" si="5"/>
        <v>BR_IMC_DSY_LANCH_ND_NC_2020Q3AUG_NVS_Nivus-Launch-Consideracao</v>
      </c>
      <c r="AY740" s="28" t="str">
        <f t="shared" si="6"/>
        <v>#N/A</v>
      </c>
      <c r="AZ740" s="22" t="s">
        <v>107</v>
      </c>
      <c r="BA740" s="22" t="s">
        <v>108</v>
      </c>
      <c r="BB740" s="31" t="s">
        <v>109</v>
      </c>
      <c r="BC740" s="31" t="s">
        <v>109</v>
      </c>
      <c r="BD740" s="32" t="str">
        <f t="shared" si="8"/>
        <v>nvl-nvs-imc-dsy-0820-10734</v>
      </c>
      <c r="BE740" s="33"/>
      <c r="BF740" s="33"/>
      <c r="BG740" s="39" t="str">
        <f>URL&amp;IF(ISNUMBER(FIND("?",URL)),"&amp;","?"&amp;("adlid="&amp;Unique_ID&amp;"&amp;adplt="&amp;Placement))</f>
        <v>#N/A</v>
      </c>
      <c r="BH740" s="1"/>
      <c r="BI740" s="1"/>
      <c r="BJ740" s="35" t="str">
        <f>LOWER("alp"&amp;"_"&amp;"vw"&amp;"_"&amp;Veiculo&amp;"_"&amp;C736&amp;"_"&amp;Objetivo)</f>
        <v>alp_vw___</v>
      </c>
      <c r="BK740" s="35" t="str">
        <f>LOWER(Buying_Metric&amp;"_"&amp;VLOOKUP(Buying_Type,Buy_type,2,FALSE)&amp;"_"&amp;Device&amp;"_"&amp;Size&amp;"_"&amp;Segmentação&amp;"_"&amp;Segmentação_Anúncio)</f>
        <v>#N/A</v>
      </c>
      <c r="BL740" s="35" t="str">
        <f>LOWER(Campanha_ou_InsertionOrder&amp;"_"&amp;LineItem_ou_Grupodeanúncio&amp;"_"&amp;Linha_criativa_2&amp;"_"&amp;Unique_ID)</f>
        <v>#N/A</v>
      </c>
      <c r="BM740" s="27"/>
      <c r="BN740" s="27"/>
    </row>
    <row r="741">
      <c r="A741" s="1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8" t="str">
        <f>LOWER(Campanha_ou_InsertionOrder&amp;"_"&amp;LineItem_ou_Grupodeanúncio&amp;"_"&amp;Linha_Criativa&amp;"_"&amp;Unique_ID)</f>
        <v>#N/A</v>
      </c>
      <c r="AN741" s="28" t="str">
        <f>LOWER(Campanha_ou_InsertionOrder&amp;"_"&amp;LineItem_ou_Grupodeanúncio&amp;"_"&amp;Linha_Criativa&amp;"_"&amp;Unique_ID)</f>
        <v>#N/A</v>
      </c>
      <c r="AO741" s="28" t="str">
        <f>LOWER("VW"&amp;"_"&amp;Model_Variant&amp;"_"&amp;Size&amp;"_"&amp;Linha_Criativa&amp;"_"&amp;IF(Servido_Por="portal",Veiculo,"adserver"))</f>
        <v>vw____adserver</v>
      </c>
      <c r="AP7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1" s="22" t="str">
        <f t="shared" si="1"/>
        <v/>
      </c>
      <c r="AS741" s="22" t="str">
        <f t="shared" si="2"/>
        <v/>
      </c>
      <c r="AT741" s="22" t="str">
        <f t="shared" si="3"/>
        <v>BR_IMC_DSY_LANCH_ND_NC_2020Q3AUG_NVS_Nivus-Launch-Consideracao</v>
      </c>
      <c r="AU741" s="22" t="str">
        <f t="shared" si="4"/>
        <v>#N/A</v>
      </c>
      <c r="AV741" s="22" t="s">
        <v>106</v>
      </c>
      <c r="AW7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1" s="22" t="str">
        <f t="shared" si="5"/>
        <v>BR_IMC_DSY_LANCH_ND_NC_2020Q3AUG_NVS_Nivus-Launch-Consideracao</v>
      </c>
      <c r="AY741" s="28" t="str">
        <f t="shared" si="6"/>
        <v>#N/A</v>
      </c>
      <c r="AZ741" s="22" t="s">
        <v>107</v>
      </c>
      <c r="BA741" s="22" t="s">
        <v>108</v>
      </c>
      <c r="BB741" s="31" t="s">
        <v>109</v>
      </c>
      <c r="BC741" s="31" t="s">
        <v>109</v>
      </c>
      <c r="BD741" s="32" t="str">
        <f t="shared" si="8"/>
        <v>nvl-nvs-imc-dsy-0820-10735</v>
      </c>
      <c r="BE741" s="33"/>
      <c r="BF741" s="33"/>
      <c r="BG741" s="39" t="str">
        <f>URL&amp;IF(ISNUMBER(FIND("?",URL)),"&amp;","?"&amp;("adlid="&amp;Unique_ID&amp;"&amp;adplt="&amp;Placement))</f>
        <v>#N/A</v>
      </c>
      <c r="BH741" s="1"/>
      <c r="BI741" s="1"/>
      <c r="BJ741" s="35" t="str">
        <f>LOWER("alp"&amp;"_"&amp;"vw"&amp;"_"&amp;Veiculo&amp;"_"&amp;C737&amp;"_"&amp;Objetivo)</f>
        <v>alp_vw___</v>
      </c>
      <c r="BK741" s="35" t="str">
        <f>LOWER(Buying_Metric&amp;"_"&amp;VLOOKUP(Buying_Type,Buy_type,2,FALSE)&amp;"_"&amp;Device&amp;"_"&amp;Size&amp;"_"&amp;Segmentação&amp;"_"&amp;Segmentação_Anúncio)</f>
        <v>#N/A</v>
      </c>
      <c r="BL741" s="35" t="str">
        <f>LOWER(Campanha_ou_InsertionOrder&amp;"_"&amp;LineItem_ou_Grupodeanúncio&amp;"_"&amp;Linha_criativa_2&amp;"_"&amp;Unique_ID)</f>
        <v>#N/A</v>
      </c>
      <c r="BM741" s="27"/>
      <c r="BN741" s="27"/>
    </row>
    <row r="742">
      <c r="A742" s="1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8" t="str">
        <f>LOWER(Campanha_ou_InsertionOrder&amp;"_"&amp;LineItem_ou_Grupodeanúncio&amp;"_"&amp;Linha_Criativa&amp;"_"&amp;Unique_ID)</f>
        <v>#N/A</v>
      </c>
      <c r="AN742" s="28" t="str">
        <f>LOWER(Campanha_ou_InsertionOrder&amp;"_"&amp;LineItem_ou_Grupodeanúncio&amp;"_"&amp;Linha_Criativa&amp;"_"&amp;Unique_ID)</f>
        <v>#N/A</v>
      </c>
      <c r="AO742" s="28" t="str">
        <f>LOWER("VW"&amp;"_"&amp;Model_Variant&amp;"_"&amp;Size&amp;"_"&amp;Linha_Criativa&amp;"_"&amp;IF(Servido_Por="portal",Veiculo,"adserver"))</f>
        <v>vw____adserver</v>
      </c>
      <c r="AP7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2" s="22" t="str">
        <f t="shared" si="1"/>
        <v/>
      </c>
      <c r="AS742" s="22" t="str">
        <f t="shared" si="2"/>
        <v/>
      </c>
      <c r="AT742" s="22" t="str">
        <f t="shared" si="3"/>
        <v>BR_IMC_DSY_LANCH_ND_NC_2020Q3AUG_NVS_Nivus-Launch-Consideracao</v>
      </c>
      <c r="AU742" s="22" t="str">
        <f t="shared" si="4"/>
        <v>#N/A</v>
      </c>
      <c r="AV742" s="22" t="s">
        <v>106</v>
      </c>
      <c r="AW7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2" s="22" t="str">
        <f t="shared" si="5"/>
        <v>BR_IMC_DSY_LANCH_ND_NC_2020Q3AUG_NVS_Nivus-Launch-Consideracao</v>
      </c>
      <c r="AY742" s="28" t="str">
        <f t="shared" si="6"/>
        <v>#N/A</v>
      </c>
      <c r="AZ742" s="22" t="s">
        <v>107</v>
      </c>
      <c r="BA742" s="22" t="s">
        <v>108</v>
      </c>
      <c r="BB742" s="31" t="s">
        <v>109</v>
      </c>
      <c r="BC742" s="31" t="s">
        <v>109</v>
      </c>
      <c r="BD742" s="32" t="str">
        <f t="shared" si="8"/>
        <v>nvl-nvs-imc-dsy-0820-10736</v>
      </c>
      <c r="BE742" s="33"/>
      <c r="BF742" s="33"/>
      <c r="BG742" s="39" t="str">
        <f>URL&amp;IF(ISNUMBER(FIND("?",URL)),"&amp;","?"&amp;("adlid="&amp;Unique_ID&amp;"&amp;adplt="&amp;Placement))</f>
        <v>#N/A</v>
      </c>
      <c r="BH742" s="1"/>
      <c r="BI742" s="1"/>
      <c r="BJ742" s="35" t="str">
        <f>LOWER("alp"&amp;"_"&amp;"vw"&amp;"_"&amp;Veiculo&amp;"_"&amp;C738&amp;"_"&amp;Objetivo)</f>
        <v>alp_vw___</v>
      </c>
      <c r="BK742" s="35" t="str">
        <f>LOWER(Buying_Metric&amp;"_"&amp;VLOOKUP(Buying_Type,Buy_type,2,FALSE)&amp;"_"&amp;Device&amp;"_"&amp;Size&amp;"_"&amp;Segmentação&amp;"_"&amp;Segmentação_Anúncio)</f>
        <v>#N/A</v>
      </c>
      <c r="BL742" s="35" t="str">
        <f>LOWER(Campanha_ou_InsertionOrder&amp;"_"&amp;LineItem_ou_Grupodeanúncio&amp;"_"&amp;Linha_criativa_2&amp;"_"&amp;Unique_ID)</f>
        <v>#N/A</v>
      </c>
      <c r="BM742" s="27"/>
      <c r="BN742" s="27"/>
    </row>
    <row r="743">
      <c r="A743" s="1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8" t="str">
        <f>LOWER(Campanha_ou_InsertionOrder&amp;"_"&amp;LineItem_ou_Grupodeanúncio&amp;"_"&amp;Linha_Criativa&amp;"_"&amp;Unique_ID)</f>
        <v>#N/A</v>
      </c>
      <c r="AN743" s="28" t="str">
        <f>LOWER(Campanha_ou_InsertionOrder&amp;"_"&amp;LineItem_ou_Grupodeanúncio&amp;"_"&amp;Linha_Criativa&amp;"_"&amp;Unique_ID)</f>
        <v>#N/A</v>
      </c>
      <c r="AO743" s="28" t="str">
        <f>LOWER("VW"&amp;"_"&amp;Model_Variant&amp;"_"&amp;Size&amp;"_"&amp;Linha_Criativa&amp;"_"&amp;IF(Servido_Por="portal",Veiculo,"adserver"))</f>
        <v>vw____adserver</v>
      </c>
      <c r="AP7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3" s="22" t="str">
        <f t="shared" si="1"/>
        <v/>
      </c>
      <c r="AS743" s="22" t="str">
        <f t="shared" si="2"/>
        <v/>
      </c>
      <c r="AT743" s="22" t="str">
        <f t="shared" si="3"/>
        <v>BR_IMC_DSY_LANCH_ND_NC_2020Q3AUG_NVS_Nivus-Launch-Consideracao</v>
      </c>
      <c r="AU743" s="22" t="str">
        <f t="shared" si="4"/>
        <v>#N/A</v>
      </c>
      <c r="AV743" s="22" t="s">
        <v>106</v>
      </c>
      <c r="AW7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3" s="22" t="str">
        <f t="shared" si="5"/>
        <v>BR_IMC_DSY_LANCH_ND_NC_2020Q3AUG_NVS_Nivus-Launch-Consideracao</v>
      </c>
      <c r="AY743" s="28" t="str">
        <f t="shared" si="6"/>
        <v>#N/A</v>
      </c>
      <c r="AZ743" s="22" t="s">
        <v>107</v>
      </c>
      <c r="BA743" s="22" t="s">
        <v>108</v>
      </c>
      <c r="BB743" s="31" t="s">
        <v>109</v>
      </c>
      <c r="BC743" s="31" t="s">
        <v>109</v>
      </c>
      <c r="BD743" s="32" t="str">
        <f t="shared" si="8"/>
        <v>nvl-nvs-imc-dsy-0820-10737</v>
      </c>
      <c r="BE743" s="33"/>
      <c r="BF743" s="33"/>
      <c r="BG743" s="39" t="str">
        <f>URL&amp;IF(ISNUMBER(FIND("?",URL)),"&amp;","?"&amp;("adlid="&amp;Unique_ID&amp;"&amp;adplt="&amp;Placement))</f>
        <v>#N/A</v>
      </c>
      <c r="BH743" s="1"/>
      <c r="BI743" s="1"/>
      <c r="BJ743" s="35" t="str">
        <f>LOWER("alp"&amp;"_"&amp;"vw"&amp;"_"&amp;Veiculo&amp;"_"&amp;C739&amp;"_"&amp;Objetivo)</f>
        <v>alp_vw___</v>
      </c>
      <c r="BK743" s="35" t="str">
        <f>LOWER(Buying_Metric&amp;"_"&amp;VLOOKUP(Buying_Type,Buy_type,2,FALSE)&amp;"_"&amp;Device&amp;"_"&amp;Size&amp;"_"&amp;Segmentação&amp;"_"&amp;Segmentação_Anúncio)</f>
        <v>#N/A</v>
      </c>
      <c r="BL743" s="35" t="str">
        <f>LOWER(Campanha_ou_InsertionOrder&amp;"_"&amp;LineItem_ou_Grupodeanúncio&amp;"_"&amp;Linha_criativa_2&amp;"_"&amp;Unique_ID)</f>
        <v>#N/A</v>
      </c>
      <c r="BM743" s="27"/>
      <c r="BN743" s="27"/>
    </row>
    <row r="744">
      <c r="A744" s="1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8" t="str">
        <f>LOWER(Campanha_ou_InsertionOrder&amp;"_"&amp;LineItem_ou_Grupodeanúncio&amp;"_"&amp;Linha_Criativa&amp;"_"&amp;Unique_ID)</f>
        <v>#N/A</v>
      </c>
      <c r="AN744" s="28" t="str">
        <f>LOWER(Campanha_ou_InsertionOrder&amp;"_"&amp;LineItem_ou_Grupodeanúncio&amp;"_"&amp;Linha_Criativa&amp;"_"&amp;Unique_ID)</f>
        <v>#N/A</v>
      </c>
      <c r="AO744" s="28" t="str">
        <f>LOWER("VW"&amp;"_"&amp;Model_Variant&amp;"_"&amp;Size&amp;"_"&amp;Linha_Criativa&amp;"_"&amp;IF(Servido_Por="portal",Veiculo,"adserver"))</f>
        <v>vw____adserver</v>
      </c>
      <c r="AP7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4" s="22" t="str">
        <f t="shared" si="1"/>
        <v/>
      </c>
      <c r="AS744" s="22" t="str">
        <f t="shared" si="2"/>
        <v/>
      </c>
      <c r="AT744" s="22" t="str">
        <f t="shared" si="3"/>
        <v>BR_IMC_DSY_LANCH_ND_NC_2020Q3AUG_NVS_Nivus-Launch-Consideracao</v>
      </c>
      <c r="AU744" s="22" t="str">
        <f t="shared" si="4"/>
        <v>#N/A</v>
      </c>
      <c r="AV744" s="22" t="s">
        <v>106</v>
      </c>
      <c r="AW7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4" s="22" t="str">
        <f t="shared" si="5"/>
        <v>BR_IMC_DSY_LANCH_ND_NC_2020Q3AUG_NVS_Nivus-Launch-Consideracao</v>
      </c>
      <c r="AY744" s="28" t="str">
        <f t="shared" si="6"/>
        <v>#N/A</v>
      </c>
      <c r="AZ744" s="22" t="s">
        <v>107</v>
      </c>
      <c r="BA744" s="22" t="s">
        <v>108</v>
      </c>
      <c r="BB744" s="31" t="s">
        <v>109</v>
      </c>
      <c r="BC744" s="31" t="s">
        <v>109</v>
      </c>
      <c r="BD744" s="32" t="str">
        <f t="shared" si="8"/>
        <v>nvl-nvs-imc-dsy-0820-10738</v>
      </c>
      <c r="BE744" s="33"/>
      <c r="BF744" s="33"/>
      <c r="BG744" s="39" t="str">
        <f>URL&amp;IF(ISNUMBER(FIND("?",URL)),"&amp;","?"&amp;("adlid="&amp;Unique_ID&amp;"&amp;adplt="&amp;Placement))</f>
        <v>#N/A</v>
      </c>
      <c r="BH744" s="1"/>
      <c r="BI744" s="1"/>
      <c r="BJ744" s="35" t="str">
        <f>LOWER("alp"&amp;"_"&amp;"vw"&amp;"_"&amp;Veiculo&amp;"_"&amp;C740&amp;"_"&amp;Objetivo)</f>
        <v>alp_vw___</v>
      </c>
      <c r="BK744" s="35" t="str">
        <f>LOWER(Buying_Metric&amp;"_"&amp;VLOOKUP(Buying_Type,Buy_type,2,FALSE)&amp;"_"&amp;Device&amp;"_"&amp;Size&amp;"_"&amp;Segmentação&amp;"_"&amp;Segmentação_Anúncio)</f>
        <v>#N/A</v>
      </c>
      <c r="BL744" s="35" t="str">
        <f>LOWER(Campanha_ou_InsertionOrder&amp;"_"&amp;LineItem_ou_Grupodeanúncio&amp;"_"&amp;Linha_criativa_2&amp;"_"&amp;Unique_ID)</f>
        <v>#N/A</v>
      </c>
      <c r="BM744" s="27"/>
      <c r="BN744" s="27"/>
    </row>
    <row r="745">
      <c r="A745" s="1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8" t="str">
        <f>LOWER(Campanha_ou_InsertionOrder&amp;"_"&amp;LineItem_ou_Grupodeanúncio&amp;"_"&amp;Linha_Criativa&amp;"_"&amp;Unique_ID)</f>
        <v>#N/A</v>
      </c>
      <c r="AN745" s="28" t="str">
        <f>LOWER(Campanha_ou_InsertionOrder&amp;"_"&amp;LineItem_ou_Grupodeanúncio&amp;"_"&amp;Linha_Criativa&amp;"_"&amp;Unique_ID)</f>
        <v>#N/A</v>
      </c>
      <c r="AO745" s="28" t="str">
        <f>LOWER("VW"&amp;"_"&amp;Model_Variant&amp;"_"&amp;Size&amp;"_"&amp;Linha_Criativa&amp;"_"&amp;IF(Servido_Por="portal",Veiculo,"adserver"))</f>
        <v>vw____adserver</v>
      </c>
      <c r="AP7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5" s="22" t="str">
        <f t="shared" si="1"/>
        <v/>
      </c>
      <c r="AS745" s="22" t="str">
        <f t="shared" si="2"/>
        <v/>
      </c>
      <c r="AT745" s="22" t="str">
        <f t="shared" si="3"/>
        <v>BR_IMC_DSY_LANCH_ND_NC_2020Q3AUG_NVS_Nivus-Launch-Consideracao</v>
      </c>
      <c r="AU745" s="22" t="str">
        <f t="shared" si="4"/>
        <v>#N/A</v>
      </c>
      <c r="AV745" s="22" t="s">
        <v>106</v>
      </c>
      <c r="AW7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5" s="22" t="str">
        <f t="shared" si="5"/>
        <v>BR_IMC_DSY_LANCH_ND_NC_2020Q3AUG_NVS_Nivus-Launch-Consideracao</v>
      </c>
      <c r="AY745" s="28" t="str">
        <f t="shared" si="6"/>
        <v>#N/A</v>
      </c>
      <c r="AZ745" s="22" t="s">
        <v>107</v>
      </c>
      <c r="BA745" s="22" t="s">
        <v>108</v>
      </c>
      <c r="BB745" s="31" t="s">
        <v>109</v>
      </c>
      <c r="BC745" s="31" t="s">
        <v>109</v>
      </c>
      <c r="BD745" s="32" t="str">
        <f t="shared" si="8"/>
        <v>nvl-nvs-imc-dsy-0820-10739</v>
      </c>
      <c r="BE745" s="33"/>
      <c r="BF745" s="33"/>
      <c r="BG745" s="39" t="str">
        <f>URL&amp;IF(ISNUMBER(FIND("?",URL)),"&amp;","?"&amp;("adlid="&amp;Unique_ID&amp;"&amp;adplt="&amp;Placement))</f>
        <v>#N/A</v>
      </c>
      <c r="BH745" s="1"/>
      <c r="BI745" s="1"/>
      <c r="BJ745" s="35" t="str">
        <f>LOWER("alp"&amp;"_"&amp;"vw"&amp;"_"&amp;Veiculo&amp;"_"&amp;C741&amp;"_"&amp;Objetivo)</f>
        <v>alp_vw___</v>
      </c>
      <c r="BK745" s="35" t="str">
        <f>LOWER(Buying_Metric&amp;"_"&amp;VLOOKUP(Buying_Type,Buy_type,2,FALSE)&amp;"_"&amp;Device&amp;"_"&amp;Size&amp;"_"&amp;Segmentação&amp;"_"&amp;Segmentação_Anúncio)</f>
        <v>#N/A</v>
      </c>
      <c r="BL745" s="35" t="str">
        <f>LOWER(Campanha_ou_InsertionOrder&amp;"_"&amp;LineItem_ou_Grupodeanúncio&amp;"_"&amp;Linha_criativa_2&amp;"_"&amp;Unique_ID)</f>
        <v>#N/A</v>
      </c>
      <c r="BM745" s="27"/>
      <c r="BN745" s="27"/>
    </row>
    <row r="746">
      <c r="A746" s="1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8" t="str">
        <f>LOWER(Campanha_ou_InsertionOrder&amp;"_"&amp;LineItem_ou_Grupodeanúncio&amp;"_"&amp;Linha_Criativa&amp;"_"&amp;Unique_ID)</f>
        <v>#N/A</v>
      </c>
      <c r="AN746" s="28" t="str">
        <f>LOWER(Campanha_ou_InsertionOrder&amp;"_"&amp;LineItem_ou_Grupodeanúncio&amp;"_"&amp;Linha_Criativa&amp;"_"&amp;Unique_ID)</f>
        <v>#N/A</v>
      </c>
      <c r="AO746" s="28" t="str">
        <f>LOWER("VW"&amp;"_"&amp;Model_Variant&amp;"_"&amp;Size&amp;"_"&amp;Linha_Criativa&amp;"_"&amp;IF(Servido_Por="portal",Veiculo,"adserver"))</f>
        <v>vw____adserver</v>
      </c>
      <c r="AP7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6" s="22" t="str">
        <f t="shared" si="1"/>
        <v/>
      </c>
      <c r="AS746" s="22" t="str">
        <f t="shared" si="2"/>
        <v/>
      </c>
      <c r="AT746" s="22" t="str">
        <f t="shared" si="3"/>
        <v>BR_IMC_DSY_LANCH_ND_NC_2020Q3AUG_NVS_Nivus-Launch-Consideracao</v>
      </c>
      <c r="AU746" s="22" t="str">
        <f t="shared" si="4"/>
        <v>#N/A</v>
      </c>
      <c r="AV746" s="22" t="s">
        <v>106</v>
      </c>
      <c r="AW7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6" s="22" t="str">
        <f t="shared" si="5"/>
        <v>BR_IMC_DSY_LANCH_ND_NC_2020Q3AUG_NVS_Nivus-Launch-Consideracao</v>
      </c>
      <c r="AY746" s="28" t="str">
        <f t="shared" si="6"/>
        <v>#N/A</v>
      </c>
      <c r="AZ746" s="22" t="s">
        <v>107</v>
      </c>
      <c r="BA746" s="22" t="s">
        <v>108</v>
      </c>
      <c r="BB746" s="31" t="s">
        <v>109</v>
      </c>
      <c r="BC746" s="31" t="s">
        <v>109</v>
      </c>
      <c r="BD746" s="32" t="str">
        <f t="shared" si="8"/>
        <v>nvl-nvs-imc-dsy-0820-10740</v>
      </c>
      <c r="BE746" s="33"/>
      <c r="BF746" s="33"/>
      <c r="BG746" s="39" t="str">
        <f>URL&amp;IF(ISNUMBER(FIND("?",URL)),"&amp;","?"&amp;("adlid="&amp;Unique_ID&amp;"&amp;adplt="&amp;Placement))</f>
        <v>#N/A</v>
      </c>
      <c r="BH746" s="1"/>
      <c r="BI746" s="1"/>
      <c r="BJ746" s="35" t="str">
        <f>LOWER("alp"&amp;"_"&amp;"vw"&amp;"_"&amp;Veiculo&amp;"_"&amp;C742&amp;"_"&amp;Objetivo)</f>
        <v>alp_vw___</v>
      </c>
      <c r="BK746" s="35" t="str">
        <f>LOWER(Buying_Metric&amp;"_"&amp;VLOOKUP(Buying_Type,Buy_type,2,FALSE)&amp;"_"&amp;Device&amp;"_"&amp;Size&amp;"_"&amp;Segmentação&amp;"_"&amp;Segmentação_Anúncio)</f>
        <v>#N/A</v>
      </c>
      <c r="BL746" s="35" t="str">
        <f>LOWER(Campanha_ou_InsertionOrder&amp;"_"&amp;LineItem_ou_Grupodeanúncio&amp;"_"&amp;Linha_criativa_2&amp;"_"&amp;Unique_ID)</f>
        <v>#N/A</v>
      </c>
      <c r="BM746" s="27"/>
      <c r="BN746" s="27"/>
    </row>
    <row r="747">
      <c r="A747" s="1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8" t="str">
        <f>LOWER(Campanha_ou_InsertionOrder&amp;"_"&amp;LineItem_ou_Grupodeanúncio&amp;"_"&amp;Linha_Criativa&amp;"_"&amp;Unique_ID)</f>
        <v>#N/A</v>
      </c>
      <c r="AN747" s="28" t="str">
        <f>LOWER(Campanha_ou_InsertionOrder&amp;"_"&amp;LineItem_ou_Grupodeanúncio&amp;"_"&amp;Linha_Criativa&amp;"_"&amp;Unique_ID)</f>
        <v>#N/A</v>
      </c>
      <c r="AO747" s="28" t="str">
        <f>LOWER("VW"&amp;"_"&amp;Model_Variant&amp;"_"&amp;Size&amp;"_"&amp;Linha_Criativa&amp;"_"&amp;IF(Servido_Por="portal",Veiculo,"adserver"))</f>
        <v>vw____adserver</v>
      </c>
      <c r="AP7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7" s="22" t="str">
        <f t="shared" si="1"/>
        <v/>
      </c>
      <c r="AS747" s="22" t="str">
        <f t="shared" si="2"/>
        <v/>
      </c>
      <c r="AT747" s="22" t="str">
        <f t="shared" si="3"/>
        <v>BR_IMC_DSY_LANCH_ND_NC_2020Q3AUG_NVS_Nivus-Launch-Consideracao</v>
      </c>
      <c r="AU747" s="22" t="str">
        <f t="shared" si="4"/>
        <v>#N/A</v>
      </c>
      <c r="AV747" s="22" t="s">
        <v>106</v>
      </c>
      <c r="AW7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7" s="22" t="str">
        <f t="shared" si="5"/>
        <v>BR_IMC_DSY_LANCH_ND_NC_2020Q3AUG_NVS_Nivus-Launch-Consideracao</v>
      </c>
      <c r="AY747" s="28" t="str">
        <f t="shared" si="6"/>
        <v>#N/A</v>
      </c>
      <c r="AZ747" s="22" t="s">
        <v>107</v>
      </c>
      <c r="BA747" s="22" t="s">
        <v>108</v>
      </c>
      <c r="BB747" s="31" t="s">
        <v>109</v>
      </c>
      <c r="BC747" s="31" t="s">
        <v>109</v>
      </c>
      <c r="BD747" s="32" t="str">
        <f t="shared" si="8"/>
        <v>nvl-nvs-imc-dsy-0820-10741</v>
      </c>
      <c r="BE747" s="33"/>
      <c r="BF747" s="33"/>
      <c r="BG747" s="39" t="str">
        <f>URL&amp;IF(ISNUMBER(FIND("?",URL)),"&amp;","?"&amp;("adlid="&amp;Unique_ID&amp;"&amp;adplt="&amp;Placement))</f>
        <v>#N/A</v>
      </c>
      <c r="BH747" s="1"/>
      <c r="BI747" s="1"/>
      <c r="BJ747" s="35" t="str">
        <f>LOWER("alp"&amp;"_"&amp;"vw"&amp;"_"&amp;Veiculo&amp;"_"&amp;C743&amp;"_"&amp;Objetivo)</f>
        <v>alp_vw___</v>
      </c>
      <c r="BK747" s="35" t="str">
        <f>LOWER(Buying_Metric&amp;"_"&amp;VLOOKUP(Buying_Type,Buy_type,2,FALSE)&amp;"_"&amp;Device&amp;"_"&amp;Size&amp;"_"&amp;Segmentação&amp;"_"&amp;Segmentação_Anúncio)</f>
        <v>#N/A</v>
      </c>
      <c r="BL747" s="35" t="str">
        <f>LOWER(Campanha_ou_InsertionOrder&amp;"_"&amp;LineItem_ou_Grupodeanúncio&amp;"_"&amp;Linha_criativa_2&amp;"_"&amp;Unique_ID)</f>
        <v>#N/A</v>
      </c>
      <c r="BM747" s="27"/>
      <c r="BN747" s="27"/>
    </row>
    <row r="748">
      <c r="A748" s="1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tr">
        <f>LOWER(Campanha_ou_InsertionOrder&amp;"_"&amp;LineItem_ou_Grupodeanúncio&amp;"_"&amp;Linha_Criativa&amp;"_"&amp;Unique_ID)</f>
        <v>#N/A</v>
      </c>
      <c r="AN748" s="28" t="str">
        <f>LOWER(Campanha_ou_InsertionOrder&amp;"_"&amp;LineItem_ou_Grupodeanúncio&amp;"_"&amp;Linha_Criativa&amp;"_"&amp;Unique_ID)</f>
        <v>#N/A</v>
      </c>
      <c r="AO748" s="28" t="str">
        <f>LOWER("VW"&amp;"_"&amp;Model_Variant&amp;"_"&amp;Size&amp;"_"&amp;Linha_Criativa&amp;"_"&amp;IF(Servido_Por="portal",Veiculo,"adserver"))</f>
        <v>vw____adserver</v>
      </c>
      <c r="AP7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8" s="22" t="str">
        <f t="shared" si="1"/>
        <v/>
      </c>
      <c r="AS748" s="22" t="str">
        <f t="shared" si="2"/>
        <v/>
      </c>
      <c r="AT748" s="22" t="str">
        <f t="shared" si="3"/>
        <v>BR_IMC_DSY_LANCH_ND_NC_2020Q3AUG_NVS_Nivus-Launch-Consideracao</v>
      </c>
      <c r="AU748" s="22" t="str">
        <f t="shared" si="4"/>
        <v>#N/A</v>
      </c>
      <c r="AV748" s="22" t="s">
        <v>106</v>
      </c>
      <c r="AW7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8" s="22" t="str">
        <f t="shared" si="5"/>
        <v>BR_IMC_DSY_LANCH_ND_NC_2020Q3AUG_NVS_Nivus-Launch-Consideracao</v>
      </c>
      <c r="AY748" s="28" t="str">
        <f t="shared" si="6"/>
        <v>#N/A</v>
      </c>
      <c r="AZ748" s="22" t="s">
        <v>107</v>
      </c>
      <c r="BA748" s="22" t="s">
        <v>108</v>
      </c>
      <c r="BB748" s="31" t="s">
        <v>109</v>
      </c>
      <c r="BC748" s="31" t="s">
        <v>109</v>
      </c>
      <c r="BD748" s="32" t="str">
        <f t="shared" si="8"/>
        <v>nvl-nvs-imc-dsy-0820-10742</v>
      </c>
      <c r="BE748" s="33"/>
      <c r="BF748" s="33"/>
      <c r="BG748" s="39" t="str">
        <f>URL&amp;IF(ISNUMBER(FIND("?",URL)),"&amp;","?"&amp;("adlid="&amp;Unique_ID&amp;"&amp;adplt="&amp;Placement))</f>
        <v>#N/A</v>
      </c>
      <c r="BH748" s="1"/>
      <c r="BI748" s="1"/>
      <c r="BJ748" s="35" t="str">
        <f>LOWER("alp"&amp;"_"&amp;"vw"&amp;"_"&amp;Veiculo&amp;"_"&amp;C744&amp;"_"&amp;Objetivo)</f>
        <v>alp_vw___</v>
      </c>
      <c r="BK748" s="35" t="str">
        <f>LOWER(Buying_Metric&amp;"_"&amp;VLOOKUP(Buying_Type,Buy_type,2,FALSE)&amp;"_"&amp;Device&amp;"_"&amp;Size&amp;"_"&amp;Segmentação&amp;"_"&amp;Segmentação_Anúncio)</f>
        <v>#N/A</v>
      </c>
      <c r="BL748" s="35" t="str">
        <f>LOWER(Campanha_ou_InsertionOrder&amp;"_"&amp;LineItem_ou_Grupodeanúncio&amp;"_"&amp;Linha_criativa_2&amp;"_"&amp;Unique_ID)</f>
        <v>#N/A</v>
      </c>
      <c r="BM748" s="27"/>
      <c r="BN748" s="27"/>
    </row>
    <row r="749">
      <c r="A749" s="1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8" t="str">
        <f>LOWER(Campanha_ou_InsertionOrder&amp;"_"&amp;LineItem_ou_Grupodeanúncio&amp;"_"&amp;Linha_Criativa&amp;"_"&amp;Unique_ID)</f>
        <v>#N/A</v>
      </c>
      <c r="AN749" s="28" t="str">
        <f>LOWER(Campanha_ou_InsertionOrder&amp;"_"&amp;LineItem_ou_Grupodeanúncio&amp;"_"&amp;Linha_Criativa&amp;"_"&amp;Unique_ID)</f>
        <v>#N/A</v>
      </c>
      <c r="AO749" s="28" t="str">
        <f>LOWER("VW"&amp;"_"&amp;Model_Variant&amp;"_"&amp;Size&amp;"_"&amp;Linha_Criativa&amp;"_"&amp;IF(Servido_Por="portal",Veiculo,"adserver"))</f>
        <v>vw____adserver</v>
      </c>
      <c r="AP7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49" s="22" t="str">
        <f t="shared" si="1"/>
        <v/>
      </c>
      <c r="AS749" s="22" t="str">
        <f t="shared" si="2"/>
        <v/>
      </c>
      <c r="AT749" s="22" t="str">
        <f t="shared" si="3"/>
        <v>BR_IMC_DSY_LANCH_ND_NC_2020Q3AUG_NVS_Nivus-Launch-Consideracao</v>
      </c>
      <c r="AU749" s="22" t="str">
        <f t="shared" si="4"/>
        <v>#N/A</v>
      </c>
      <c r="AV749" s="22" t="s">
        <v>106</v>
      </c>
      <c r="AW7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49" s="22" t="str">
        <f t="shared" si="5"/>
        <v>BR_IMC_DSY_LANCH_ND_NC_2020Q3AUG_NVS_Nivus-Launch-Consideracao</v>
      </c>
      <c r="AY749" s="28" t="str">
        <f t="shared" si="6"/>
        <v>#N/A</v>
      </c>
      <c r="AZ749" s="22" t="s">
        <v>107</v>
      </c>
      <c r="BA749" s="22" t="s">
        <v>108</v>
      </c>
      <c r="BB749" s="31" t="s">
        <v>109</v>
      </c>
      <c r="BC749" s="31" t="s">
        <v>109</v>
      </c>
      <c r="BD749" s="32" t="str">
        <f t="shared" si="8"/>
        <v>nvl-nvs-imc-dsy-0820-10743</v>
      </c>
      <c r="BE749" s="33"/>
      <c r="BF749" s="33"/>
      <c r="BG749" s="39" t="str">
        <f>URL&amp;IF(ISNUMBER(FIND("?",URL)),"&amp;","?"&amp;("adlid="&amp;Unique_ID&amp;"&amp;adplt="&amp;Placement))</f>
        <v>#N/A</v>
      </c>
      <c r="BH749" s="1"/>
      <c r="BI749" s="1"/>
      <c r="BJ749" s="35" t="str">
        <f>LOWER("alp"&amp;"_"&amp;"vw"&amp;"_"&amp;Veiculo&amp;"_"&amp;C745&amp;"_"&amp;Objetivo)</f>
        <v>alp_vw___</v>
      </c>
      <c r="BK749" s="35" t="str">
        <f>LOWER(Buying_Metric&amp;"_"&amp;VLOOKUP(Buying_Type,Buy_type,2,FALSE)&amp;"_"&amp;Device&amp;"_"&amp;Size&amp;"_"&amp;Segmentação&amp;"_"&amp;Segmentação_Anúncio)</f>
        <v>#N/A</v>
      </c>
      <c r="BL749" s="35" t="str">
        <f>LOWER(Campanha_ou_InsertionOrder&amp;"_"&amp;LineItem_ou_Grupodeanúncio&amp;"_"&amp;Linha_criativa_2&amp;"_"&amp;Unique_ID)</f>
        <v>#N/A</v>
      </c>
      <c r="BM749" s="27"/>
      <c r="BN749" s="27"/>
    </row>
    <row r="750">
      <c r="A750" s="1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8" t="str">
        <f>LOWER(Campanha_ou_InsertionOrder&amp;"_"&amp;LineItem_ou_Grupodeanúncio&amp;"_"&amp;Linha_Criativa&amp;"_"&amp;Unique_ID)</f>
        <v>#N/A</v>
      </c>
      <c r="AN750" s="28" t="str">
        <f>LOWER(Campanha_ou_InsertionOrder&amp;"_"&amp;LineItem_ou_Grupodeanúncio&amp;"_"&amp;Linha_Criativa&amp;"_"&amp;Unique_ID)</f>
        <v>#N/A</v>
      </c>
      <c r="AO750" s="28" t="str">
        <f>LOWER("VW"&amp;"_"&amp;Model_Variant&amp;"_"&amp;Size&amp;"_"&amp;Linha_Criativa&amp;"_"&amp;IF(Servido_Por="portal",Veiculo,"adserver"))</f>
        <v>vw____adserver</v>
      </c>
      <c r="AP7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0" s="22" t="str">
        <f t="shared" si="1"/>
        <v/>
      </c>
      <c r="AS750" s="22" t="str">
        <f t="shared" si="2"/>
        <v/>
      </c>
      <c r="AT750" s="22" t="str">
        <f t="shared" si="3"/>
        <v>BR_IMC_DSY_LANCH_ND_NC_2020Q3AUG_NVS_Nivus-Launch-Consideracao</v>
      </c>
      <c r="AU750" s="22" t="str">
        <f t="shared" si="4"/>
        <v>#N/A</v>
      </c>
      <c r="AV750" s="22" t="s">
        <v>106</v>
      </c>
      <c r="AW7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0" s="22" t="str">
        <f t="shared" si="5"/>
        <v>BR_IMC_DSY_LANCH_ND_NC_2020Q3AUG_NVS_Nivus-Launch-Consideracao</v>
      </c>
      <c r="AY750" s="28" t="str">
        <f t="shared" si="6"/>
        <v>#N/A</v>
      </c>
      <c r="AZ750" s="22" t="s">
        <v>107</v>
      </c>
      <c r="BA750" s="22" t="s">
        <v>108</v>
      </c>
      <c r="BB750" s="31" t="s">
        <v>109</v>
      </c>
      <c r="BC750" s="31" t="s">
        <v>109</v>
      </c>
      <c r="BD750" s="32" t="str">
        <f t="shared" si="8"/>
        <v>nvl-nvs-imc-dsy-0820-10744</v>
      </c>
      <c r="BE750" s="33"/>
      <c r="BF750" s="33"/>
      <c r="BG750" s="39" t="str">
        <f>URL&amp;IF(ISNUMBER(FIND("?",URL)),"&amp;","?"&amp;("adlid="&amp;Unique_ID&amp;"&amp;adplt="&amp;Placement))</f>
        <v>#N/A</v>
      </c>
      <c r="BH750" s="1"/>
      <c r="BI750" s="1"/>
      <c r="BJ750" s="35" t="str">
        <f>LOWER("alp"&amp;"_"&amp;"vw"&amp;"_"&amp;Veiculo&amp;"_"&amp;C746&amp;"_"&amp;Objetivo)</f>
        <v>alp_vw___</v>
      </c>
      <c r="BK750" s="35" t="str">
        <f>LOWER(Buying_Metric&amp;"_"&amp;VLOOKUP(Buying_Type,Buy_type,2,FALSE)&amp;"_"&amp;Device&amp;"_"&amp;Size&amp;"_"&amp;Segmentação&amp;"_"&amp;Segmentação_Anúncio)</f>
        <v>#N/A</v>
      </c>
      <c r="BL750" s="35" t="str">
        <f>LOWER(Campanha_ou_InsertionOrder&amp;"_"&amp;LineItem_ou_Grupodeanúncio&amp;"_"&amp;Linha_criativa_2&amp;"_"&amp;Unique_ID)</f>
        <v>#N/A</v>
      </c>
      <c r="BM750" s="27"/>
      <c r="BN750" s="27"/>
    </row>
    <row r="751">
      <c r="A751" s="1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8" t="str">
        <f>LOWER(Campanha_ou_InsertionOrder&amp;"_"&amp;LineItem_ou_Grupodeanúncio&amp;"_"&amp;Linha_Criativa&amp;"_"&amp;Unique_ID)</f>
        <v>#N/A</v>
      </c>
      <c r="AN751" s="28" t="str">
        <f>LOWER(Campanha_ou_InsertionOrder&amp;"_"&amp;LineItem_ou_Grupodeanúncio&amp;"_"&amp;Linha_Criativa&amp;"_"&amp;Unique_ID)</f>
        <v>#N/A</v>
      </c>
      <c r="AO751" s="28" t="str">
        <f>LOWER("VW"&amp;"_"&amp;Model_Variant&amp;"_"&amp;Size&amp;"_"&amp;Linha_Criativa&amp;"_"&amp;IF(Servido_Por="portal",Veiculo,"adserver"))</f>
        <v>vw____adserver</v>
      </c>
      <c r="AP7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1" s="22" t="str">
        <f t="shared" si="1"/>
        <v/>
      </c>
      <c r="AS751" s="22" t="str">
        <f t="shared" si="2"/>
        <v/>
      </c>
      <c r="AT751" s="22" t="str">
        <f t="shared" si="3"/>
        <v>BR_IMC_DSY_LANCH_ND_NC_2020Q3AUG_NVS_Nivus-Launch-Consideracao</v>
      </c>
      <c r="AU751" s="22" t="str">
        <f t="shared" si="4"/>
        <v>#N/A</v>
      </c>
      <c r="AV751" s="22" t="s">
        <v>106</v>
      </c>
      <c r="AW7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1" s="22" t="str">
        <f t="shared" si="5"/>
        <v>BR_IMC_DSY_LANCH_ND_NC_2020Q3AUG_NVS_Nivus-Launch-Consideracao</v>
      </c>
      <c r="AY751" s="28" t="str">
        <f t="shared" si="6"/>
        <v>#N/A</v>
      </c>
      <c r="AZ751" s="22" t="s">
        <v>107</v>
      </c>
      <c r="BA751" s="22" t="s">
        <v>108</v>
      </c>
      <c r="BB751" s="31" t="s">
        <v>109</v>
      </c>
      <c r="BC751" s="31" t="s">
        <v>109</v>
      </c>
      <c r="BD751" s="32" t="str">
        <f t="shared" si="8"/>
        <v>nvl-nvs-imc-dsy-0820-10745</v>
      </c>
      <c r="BE751" s="33"/>
      <c r="BF751" s="33"/>
      <c r="BG751" s="39" t="str">
        <f>URL&amp;IF(ISNUMBER(FIND("?",URL)),"&amp;","?"&amp;("adlid="&amp;Unique_ID&amp;"&amp;adplt="&amp;Placement))</f>
        <v>#N/A</v>
      </c>
      <c r="BH751" s="1"/>
      <c r="BI751" s="1"/>
      <c r="BJ751" s="35" t="str">
        <f>LOWER("alp"&amp;"_"&amp;"vw"&amp;"_"&amp;Veiculo&amp;"_"&amp;C747&amp;"_"&amp;Objetivo)</f>
        <v>alp_vw___</v>
      </c>
      <c r="BK751" s="35" t="str">
        <f>LOWER(Buying_Metric&amp;"_"&amp;VLOOKUP(Buying_Type,Buy_type,2,FALSE)&amp;"_"&amp;Device&amp;"_"&amp;Size&amp;"_"&amp;Segmentação&amp;"_"&amp;Segmentação_Anúncio)</f>
        <v>#N/A</v>
      </c>
      <c r="BL751" s="35" t="str">
        <f>LOWER(Campanha_ou_InsertionOrder&amp;"_"&amp;LineItem_ou_Grupodeanúncio&amp;"_"&amp;Linha_criativa_2&amp;"_"&amp;Unique_ID)</f>
        <v>#N/A</v>
      </c>
      <c r="BM751" s="27"/>
      <c r="BN751" s="27"/>
    </row>
    <row r="752">
      <c r="A752" s="1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8" t="str">
        <f>LOWER(Campanha_ou_InsertionOrder&amp;"_"&amp;LineItem_ou_Grupodeanúncio&amp;"_"&amp;Linha_Criativa&amp;"_"&amp;Unique_ID)</f>
        <v>#N/A</v>
      </c>
      <c r="AN752" s="28" t="str">
        <f>LOWER(Campanha_ou_InsertionOrder&amp;"_"&amp;LineItem_ou_Grupodeanúncio&amp;"_"&amp;Linha_Criativa&amp;"_"&amp;Unique_ID)</f>
        <v>#N/A</v>
      </c>
      <c r="AO752" s="28" t="str">
        <f>LOWER("VW"&amp;"_"&amp;Model_Variant&amp;"_"&amp;Size&amp;"_"&amp;Linha_Criativa&amp;"_"&amp;IF(Servido_Por="portal",Veiculo,"adserver"))</f>
        <v>vw____adserver</v>
      </c>
      <c r="AP7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2" s="22" t="str">
        <f t="shared" si="1"/>
        <v/>
      </c>
      <c r="AS752" s="22" t="str">
        <f t="shared" si="2"/>
        <v/>
      </c>
      <c r="AT752" s="22" t="str">
        <f t="shared" si="3"/>
        <v>BR_IMC_DSY_LANCH_ND_NC_2020Q3AUG_NVS_Nivus-Launch-Consideracao</v>
      </c>
      <c r="AU752" s="22" t="str">
        <f t="shared" si="4"/>
        <v>#N/A</v>
      </c>
      <c r="AV752" s="22" t="s">
        <v>106</v>
      </c>
      <c r="AW7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2" s="22" t="str">
        <f t="shared" si="5"/>
        <v>BR_IMC_DSY_LANCH_ND_NC_2020Q3AUG_NVS_Nivus-Launch-Consideracao</v>
      </c>
      <c r="AY752" s="28" t="str">
        <f t="shared" si="6"/>
        <v>#N/A</v>
      </c>
      <c r="AZ752" s="22" t="s">
        <v>107</v>
      </c>
      <c r="BA752" s="22" t="s">
        <v>108</v>
      </c>
      <c r="BB752" s="31" t="s">
        <v>109</v>
      </c>
      <c r="BC752" s="31" t="s">
        <v>109</v>
      </c>
      <c r="BD752" s="32" t="str">
        <f t="shared" si="8"/>
        <v>nvl-nvs-imc-dsy-0820-10746</v>
      </c>
      <c r="BE752" s="33"/>
      <c r="BF752" s="33"/>
      <c r="BG752" s="39" t="str">
        <f>URL&amp;IF(ISNUMBER(FIND("?",URL)),"&amp;","?"&amp;("adlid="&amp;Unique_ID&amp;"&amp;adplt="&amp;Placement))</f>
        <v>#N/A</v>
      </c>
      <c r="BH752" s="1"/>
      <c r="BI752" s="1"/>
      <c r="BJ752" s="35" t="str">
        <f>LOWER("alp"&amp;"_"&amp;"vw"&amp;"_"&amp;Veiculo&amp;"_"&amp;C748&amp;"_"&amp;Objetivo)</f>
        <v>alp_vw___</v>
      </c>
      <c r="BK752" s="35" t="str">
        <f>LOWER(Buying_Metric&amp;"_"&amp;VLOOKUP(Buying_Type,Buy_type,2,FALSE)&amp;"_"&amp;Device&amp;"_"&amp;Size&amp;"_"&amp;Segmentação&amp;"_"&amp;Segmentação_Anúncio)</f>
        <v>#N/A</v>
      </c>
      <c r="BL752" s="35" t="str">
        <f>LOWER(Campanha_ou_InsertionOrder&amp;"_"&amp;LineItem_ou_Grupodeanúncio&amp;"_"&amp;Linha_criativa_2&amp;"_"&amp;Unique_ID)</f>
        <v>#N/A</v>
      </c>
      <c r="BM752" s="27"/>
      <c r="BN752" s="27"/>
    </row>
    <row r="753">
      <c r="A753" s="1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8" t="str">
        <f>LOWER(Campanha_ou_InsertionOrder&amp;"_"&amp;LineItem_ou_Grupodeanúncio&amp;"_"&amp;Linha_Criativa&amp;"_"&amp;Unique_ID)</f>
        <v>#N/A</v>
      </c>
      <c r="AN753" s="28" t="str">
        <f>LOWER(Campanha_ou_InsertionOrder&amp;"_"&amp;LineItem_ou_Grupodeanúncio&amp;"_"&amp;Linha_Criativa&amp;"_"&amp;Unique_ID)</f>
        <v>#N/A</v>
      </c>
      <c r="AO753" s="28" t="str">
        <f>LOWER("VW"&amp;"_"&amp;Model_Variant&amp;"_"&amp;Size&amp;"_"&amp;Linha_Criativa&amp;"_"&amp;IF(Servido_Por="portal",Veiculo,"adserver"))</f>
        <v>vw____adserver</v>
      </c>
      <c r="AP7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3" s="22" t="str">
        <f t="shared" si="1"/>
        <v/>
      </c>
      <c r="AS753" s="22" t="str">
        <f t="shared" si="2"/>
        <v/>
      </c>
      <c r="AT753" s="22" t="str">
        <f t="shared" si="3"/>
        <v>BR_IMC_DSY_LANCH_ND_NC_2020Q3AUG_NVS_Nivus-Launch-Consideracao</v>
      </c>
      <c r="AU753" s="22" t="str">
        <f t="shared" si="4"/>
        <v>#N/A</v>
      </c>
      <c r="AV753" s="22" t="s">
        <v>106</v>
      </c>
      <c r="AW7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3" s="22" t="str">
        <f t="shared" si="5"/>
        <v>BR_IMC_DSY_LANCH_ND_NC_2020Q3AUG_NVS_Nivus-Launch-Consideracao</v>
      </c>
      <c r="AY753" s="28" t="str">
        <f t="shared" si="6"/>
        <v>#N/A</v>
      </c>
      <c r="AZ753" s="22" t="s">
        <v>107</v>
      </c>
      <c r="BA753" s="22" t="s">
        <v>108</v>
      </c>
      <c r="BB753" s="31" t="s">
        <v>109</v>
      </c>
      <c r="BC753" s="31" t="s">
        <v>109</v>
      </c>
      <c r="BD753" s="32" t="str">
        <f t="shared" si="8"/>
        <v>nvl-nvs-imc-dsy-0820-10747</v>
      </c>
      <c r="BE753" s="33"/>
      <c r="BF753" s="33"/>
      <c r="BG753" s="39" t="str">
        <f>URL&amp;IF(ISNUMBER(FIND("?",URL)),"&amp;","?"&amp;("adlid="&amp;Unique_ID&amp;"&amp;adplt="&amp;Placement))</f>
        <v>#N/A</v>
      </c>
      <c r="BH753" s="1"/>
      <c r="BI753" s="1"/>
      <c r="BJ753" s="35" t="str">
        <f>LOWER("alp"&amp;"_"&amp;"vw"&amp;"_"&amp;Veiculo&amp;"_"&amp;C749&amp;"_"&amp;Objetivo)</f>
        <v>alp_vw___</v>
      </c>
      <c r="BK753" s="35" t="str">
        <f>LOWER(Buying_Metric&amp;"_"&amp;VLOOKUP(Buying_Type,Buy_type,2,FALSE)&amp;"_"&amp;Device&amp;"_"&amp;Size&amp;"_"&amp;Segmentação&amp;"_"&amp;Segmentação_Anúncio)</f>
        <v>#N/A</v>
      </c>
      <c r="BL753" s="35" t="str">
        <f>LOWER(Campanha_ou_InsertionOrder&amp;"_"&amp;LineItem_ou_Grupodeanúncio&amp;"_"&amp;Linha_criativa_2&amp;"_"&amp;Unique_ID)</f>
        <v>#N/A</v>
      </c>
      <c r="BM753" s="27"/>
      <c r="BN753" s="27"/>
    </row>
    <row r="754">
      <c r="A754" s="1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8" t="str">
        <f>LOWER(Campanha_ou_InsertionOrder&amp;"_"&amp;LineItem_ou_Grupodeanúncio&amp;"_"&amp;Linha_Criativa&amp;"_"&amp;Unique_ID)</f>
        <v>#N/A</v>
      </c>
      <c r="AN754" s="28" t="str">
        <f>LOWER(Campanha_ou_InsertionOrder&amp;"_"&amp;LineItem_ou_Grupodeanúncio&amp;"_"&amp;Linha_Criativa&amp;"_"&amp;Unique_ID)</f>
        <v>#N/A</v>
      </c>
      <c r="AO754" s="28" t="str">
        <f>LOWER("VW"&amp;"_"&amp;Model_Variant&amp;"_"&amp;Size&amp;"_"&amp;Linha_Criativa&amp;"_"&amp;IF(Servido_Por="portal",Veiculo,"adserver"))</f>
        <v>vw____adserver</v>
      </c>
      <c r="AP7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4" s="22" t="str">
        <f t="shared" si="1"/>
        <v/>
      </c>
      <c r="AS754" s="22" t="str">
        <f t="shared" si="2"/>
        <v/>
      </c>
      <c r="AT754" s="22" t="str">
        <f t="shared" si="3"/>
        <v>BR_IMC_DSY_LANCH_ND_NC_2020Q3AUG_NVS_Nivus-Launch-Consideracao</v>
      </c>
      <c r="AU754" s="22" t="str">
        <f t="shared" si="4"/>
        <v>#N/A</v>
      </c>
      <c r="AV754" s="22" t="s">
        <v>106</v>
      </c>
      <c r="AW7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4" s="22" t="str">
        <f t="shared" si="5"/>
        <v>BR_IMC_DSY_LANCH_ND_NC_2020Q3AUG_NVS_Nivus-Launch-Consideracao</v>
      </c>
      <c r="AY754" s="28" t="str">
        <f t="shared" si="6"/>
        <v>#N/A</v>
      </c>
      <c r="AZ754" s="22" t="s">
        <v>107</v>
      </c>
      <c r="BA754" s="22" t="s">
        <v>108</v>
      </c>
      <c r="BB754" s="31" t="s">
        <v>109</v>
      </c>
      <c r="BC754" s="31" t="s">
        <v>109</v>
      </c>
      <c r="BD754" s="32" t="str">
        <f t="shared" si="8"/>
        <v>nvl-nvs-imc-dsy-0820-10748</v>
      </c>
      <c r="BE754" s="33"/>
      <c r="BF754" s="33"/>
      <c r="BG754" s="39" t="str">
        <f>URL&amp;IF(ISNUMBER(FIND("?",URL)),"&amp;","?"&amp;("adlid="&amp;Unique_ID&amp;"&amp;adplt="&amp;Placement))</f>
        <v>#N/A</v>
      </c>
      <c r="BH754" s="1"/>
      <c r="BI754" s="1"/>
      <c r="BJ754" s="35" t="str">
        <f>LOWER("alp"&amp;"_"&amp;"vw"&amp;"_"&amp;Veiculo&amp;"_"&amp;C750&amp;"_"&amp;Objetivo)</f>
        <v>alp_vw___</v>
      </c>
      <c r="BK754" s="35" t="str">
        <f>LOWER(Buying_Metric&amp;"_"&amp;VLOOKUP(Buying_Type,Buy_type,2,FALSE)&amp;"_"&amp;Device&amp;"_"&amp;Size&amp;"_"&amp;Segmentação&amp;"_"&amp;Segmentação_Anúncio)</f>
        <v>#N/A</v>
      </c>
      <c r="BL754" s="35" t="str">
        <f>LOWER(Campanha_ou_InsertionOrder&amp;"_"&amp;LineItem_ou_Grupodeanúncio&amp;"_"&amp;Linha_criativa_2&amp;"_"&amp;Unique_ID)</f>
        <v>#N/A</v>
      </c>
      <c r="BM754" s="27"/>
      <c r="BN754" s="27"/>
    </row>
    <row r="755">
      <c r="A755" s="1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8" t="str">
        <f>LOWER(Campanha_ou_InsertionOrder&amp;"_"&amp;LineItem_ou_Grupodeanúncio&amp;"_"&amp;Linha_Criativa&amp;"_"&amp;Unique_ID)</f>
        <v>#N/A</v>
      </c>
      <c r="AN755" s="28" t="str">
        <f>LOWER(Campanha_ou_InsertionOrder&amp;"_"&amp;LineItem_ou_Grupodeanúncio&amp;"_"&amp;Linha_Criativa&amp;"_"&amp;Unique_ID)</f>
        <v>#N/A</v>
      </c>
      <c r="AO755" s="28" t="str">
        <f>LOWER("VW"&amp;"_"&amp;Model_Variant&amp;"_"&amp;Size&amp;"_"&amp;Linha_Criativa&amp;"_"&amp;IF(Servido_Por="portal",Veiculo,"adserver"))</f>
        <v>vw____adserver</v>
      </c>
      <c r="AP7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5" s="22" t="str">
        <f t="shared" si="1"/>
        <v/>
      </c>
      <c r="AS755" s="22" t="str">
        <f t="shared" si="2"/>
        <v/>
      </c>
      <c r="AT755" s="22" t="str">
        <f t="shared" si="3"/>
        <v>BR_IMC_DSY_LANCH_ND_NC_2020Q3AUG_NVS_Nivus-Launch-Consideracao</v>
      </c>
      <c r="AU755" s="22" t="str">
        <f t="shared" si="4"/>
        <v>#N/A</v>
      </c>
      <c r="AV755" s="22" t="s">
        <v>106</v>
      </c>
      <c r="AW7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5" s="22" t="str">
        <f t="shared" si="5"/>
        <v>BR_IMC_DSY_LANCH_ND_NC_2020Q3AUG_NVS_Nivus-Launch-Consideracao</v>
      </c>
      <c r="AY755" s="28" t="str">
        <f t="shared" si="6"/>
        <v>#N/A</v>
      </c>
      <c r="AZ755" s="22" t="s">
        <v>107</v>
      </c>
      <c r="BA755" s="22" t="s">
        <v>108</v>
      </c>
      <c r="BB755" s="31" t="s">
        <v>109</v>
      </c>
      <c r="BC755" s="31" t="s">
        <v>109</v>
      </c>
      <c r="BD755" s="32" t="str">
        <f t="shared" si="8"/>
        <v>nvl-nvs-imc-dsy-0820-10749</v>
      </c>
      <c r="BE755" s="33"/>
      <c r="BF755" s="33"/>
      <c r="BG755" s="39" t="str">
        <f>URL&amp;IF(ISNUMBER(FIND("?",URL)),"&amp;","?"&amp;("adlid="&amp;Unique_ID&amp;"&amp;adplt="&amp;Placement))</f>
        <v>#N/A</v>
      </c>
      <c r="BH755" s="1"/>
      <c r="BI755" s="1"/>
      <c r="BJ755" s="35" t="str">
        <f>LOWER("alp"&amp;"_"&amp;"vw"&amp;"_"&amp;Veiculo&amp;"_"&amp;C751&amp;"_"&amp;Objetivo)</f>
        <v>alp_vw___</v>
      </c>
      <c r="BK755" s="35" t="str">
        <f>LOWER(Buying_Metric&amp;"_"&amp;VLOOKUP(Buying_Type,Buy_type,2,FALSE)&amp;"_"&amp;Device&amp;"_"&amp;Size&amp;"_"&amp;Segmentação&amp;"_"&amp;Segmentação_Anúncio)</f>
        <v>#N/A</v>
      </c>
      <c r="BL755" s="35" t="str">
        <f>LOWER(Campanha_ou_InsertionOrder&amp;"_"&amp;LineItem_ou_Grupodeanúncio&amp;"_"&amp;Linha_criativa_2&amp;"_"&amp;Unique_ID)</f>
        <v>#N/A</v>
      </c>
      <c r="BM755" s="27"/>
      <c r="BN755" s="27"/>
    </row>
    <row r="756">
      <c r="A756" s="1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8" t="str">
        <f>LOWER(Campanha_ou_InsertionOrder&amp;"_"&amp;LineItem_ou_Grupodeanúncio&amp;"_"&amp;Linha_Criativa&amp;"_"&amp;Unique_ID)</f>
        <v>#N/A</v>
      </c>
      <c r="AN756" s="28" t="str">
        <f>LOWER(Campanha_ou_InsertionOrder&amp;"_"&amp;LineItem_ou_Grupodeanúncio&amp;"_"&amp;Linha_Criativa&amp;"_"&amp;Unique_ID)</f>
        <v>#N/A</v>
      </c>
      <c r="AO756" s="28" t="str">
        <f>LOWER("VW"&amp;"_"&amp;Model_Variant&amp;"_"&amp;Size&amp;"_"&amp;Linha_Criativa&amp;"_"&amp;IF(Servido_Por="portal",Veiculo,"adserver"))</f>
        <v>vw____adserver</v>
      </c>
      <c r="AP7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6" s="22" t="str">
        <f t="shared" si="1"/>
        <v/>
      </c>
      <c r="AS756" s="22" t="str">
        <f t="shared" si="2"/>
        <v/>
      </c>
      <c r="AT756" s="22" t="str">
        <f t="shared" si="3"/>
        <v>BR_IMC_DSY_LANCH_ND_NC_2020Q3AUG_NVS_Nivus-Launch-Consideracao</v>
      </c>
      <c r="AU756" s="22" t="str">
        <f t="shared" si="4"/>
        <v>#N/A</v>
      </c>
      <c r="AV756" s="22" t="s">
        <v>106</v>
      </c>
      <c r="AW7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6" s="22" t="str">
        <f t="shared" si="5"/>
        <v>BR_IMC_DSY_LANCH_ND_NC_2020Q3AUG_NVS_Nivus-Launch-Consideracao</v>
      </c>
      <c r="AY756" s="28" t="str">
        <f t="shared" si="6"/>
        <v>#N/A</v>
      </c>
      <c r="AZ756" s="22" t="s">
        <v>107</v>
      </c>
      <c r="BA756" s="22" t="s">
        <v>108</v>
      </c>
      <c r="BB756" s="31" t="s">
        <v>109</v>
      </c>
      <c r="BC756" s="31" t="s">
        <v>109</v>
      </c>
      <c r="BD756" s="32" t="str">
        <f t="shared" si="8"/>
        <v>nvl-nvs-imc-dsy-0820-10750</v>
      </c>
      <c r="BE756" s="33"/>
      <c r="BF756" s="33"/>
      <c r="BG756" s="39" t="str">
        <f>URL&amp;IF(ISNUMBER(FIND("?",URL)),"&amp;","?"&amp;("adlid="&amp;Unique_ID&amp;"&amp;adplt="&amp;Placement))</f>
        <v>#N/A</v>
      </c>
      <c r="BH756" s="1"/>
      <c r="BI756" s="1"/>
      <c r="BJ756" s="35" t="str">
        <f>LOWER("alp"&amp;"_"&amp;"vw"&amp;"_"&amp;Veiculo&amp;"_"&amp;C752&amp;"_"&amp;Objetivo)</f>
        <v>alp_vw___</v>
      </c>
      <c r="BK756" s="35" t="str">
        <f>LOWER(Buying_Metric&amp;"_"&amp;VLOOKUP(Buying_Type,Buy_type,2,FALSE)&amp;"_"&amp;Device&amp;"_"&amp;Size&amp;"_"&amp;Segmentação&amp;"_"&amp;Segmentação_Anúncio)</f>
        <v>#N/A</v>
      </c>
      <c r="BL756" s="35" t="str">
        <f>LOWER(Campanha_ou_InsertionOrder&amp;"_"&amp;LineItem_ou_Grupodeanúncio&amp;"_"&amp;Linha_criativa_2&amp;"_"&amp;Unique_ID)</f>
        <v>#N/A</v>
      </c>
      <c r="BM756" s="27"/>
      <c r="BN756" s="27"/>
    </row>
    <row r="757">
      <c r="A757" s="1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8" t="str">
        <f>LOWER(Campanha_ou_InsertionOrder&amp;"_"&amp;LineItem_ou_Grupodeanúncio&amp;"_"&amp;Linha_Criativa&amp;"_"&amp;Unique_ID)</f>
        <v>#N/A</v>
      </c>
      <c r="AN757" s="28" t="str">
        <f>LOWER(Campanha_ou_InsertionOrder&amp;"_"&amp;LineItem_ou_Grupodeanúncio&amp;"_"&amp;Linha_Criativa&amp;"_"&amp;Unique_ID)</f>
        <v>#N/A</v>
      </c>
      <c r="AO757" s="28" t="str">
        <f>LOWER("VW"&amp;"_"&amp;Model_Variant&amp;"_"&amp;Size&amp;"_"&amp;Linha_Criativa&amp;"_"&amp;IF(Servido_Por="portal",Veiculo,"adserver"))</f>
        <v>vw____adserver</v>
      </c>
      <c r="AP7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7" s="22" t="str">
        <f t="shared" si="1"/>
        <v/>
      </c>
      <c r="AS757" s="22" t="str">
        <f t="shared" si="2"/>
        <v/>
      </c>
      <c r="AT757" s="22" t="str">
        <f t="shared" si="3"/>
        <v>BR_IMC_DSY_LANCH_ND_NC_2020Q3AUG_NVS_Nivus-Launch-Consideracao</v>
      </c>
      <c r="AU757" s="22" t="str">
        <f t="shared" si="4"/>
        <v>#N/A</v>
      </c>
      <c r="AV757" s="22" t="s">
        <v>106</v>
      </c>
      <c r="AW7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7" s="22" t="str">
        <f t="shared" si="5"/>
        <v>BR_IMC_DSY_LANCH_ND_NC_2020Q3AUG_NVS_Nivus-Launch-Consideracao</v>
      </c>
      <c r="AY757" s="28" t="str">
        <f t="shared" si="6"/>
        <v>#N/A</v>
      </c>
      <c r="AZ757" s="22" t="s">
        <v>107</v>
      </c>
      <c r="BA757" s="22" t="s">
        <v>108</v>
      </c>
      <c r="BB757" s="31" t="s">
        <v>109</v>
      </c>
      <c r="BC757" s="31" t="s">
        <v>109</v>
      </c>
      <c r="BD757" s="32" t="str">
        <f t="shared" si="8"/>
        <v>nvl-nvs-imc-dsy-0820-10751</v>
      </c>
      <c r="BE757" s="33"/>
      <c r="BF757" s="33"/>
      <c r="BG757" s="39" t="str">
        <f>URL&amp;IF(ISNUMBER(FIND("?",URL)),"&amp;","?"&amp;("adlid="&amp;Unique_ID&amp;"&amp;adplt="&amp;Placement))</f>
        <v>#N/A</v>
      </c>
      <c r="BH757" s="1"/>
      <c r="BI757" s="1"/>
      <c r="BJ757" s="35" t="str">
        <f>LOWER("alp"&amp;"_"&amp;"vw"&amp;"_"&amp;Veiculo&amp;"_"&amp;C753&amp;"_"&amp;Objetivo)</f>
        <v>alp_vw___</v>
      </c>
      <c r="BK757" s="35" t="str">
        <f>LOWER(Buying_Metric&amp;"_"&amp;VLOOKUP(Buying_Type,Buy_type,2,FALSE)&amp;"_"&amp;Device&amp;"_"&amp;Size&amp;"_"&amp;Segmentação&amp;"_"&amp;Segmentação_Anúncio)</f>
        <v>#N/A</v>
      </c>
      <c r="BL757" s="35" t="str">
        <f>LOWER(Campanha_ou_InsertionOrder&amp;"_"&amp;LineItem_ou_Grupodeanúncio&amp;"_"&amp;Linha_criativa_2&amp;"_"&amp;Unique_ID)</f>
        <v>#N/A</v>
      </c>
      <c r="BM757" s="27"/>
      <c r="BN757" s="27"/>
    </row>
    <row r="758">
      <c r="A758" s="1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8" t="str">
        <f>LOWER(Campanha_ou_InsertionOrder&amp;"_"&amp;LineItem_ou_Grupodeanúncio&amp;"_"&amp;Linha_Criativa&amp;"_"&amp;Unique_ID)</f>
        <v>#N/A</v>
      </c>
      <c r="AN758" s="28" t="str">
        <f>LOWER(Campanha_ou_InsertionOrder&amp;"_"&amp;LineItem_ou_Grupodeanúncio&amp;"_"&amp;Linha_Criativa&amp;"_"&amp;Unique_ID)</f>
        <v>#N/A</v>
      </c>
      <c r="AO758" s="28" t="str">
        <f>LOWER("VW"&amp;"_"&amp;Model_Variant&amp;"_"&amp;Size&amp;"_"&amp;Linha_Criativa&amp;"_"&amp;IF(Servido_Por="portal",Veiculo,"adserver"))</f>
        <v>vw____adserver</v>
      </c>
      <c r="AP7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8" s="22" t="str">
        <f t="shared" si="1"/>
        <v/>
      </c>
      <c r="AS758" s="22" t="str">
        <f t="shared" si="2"/>
        <v/>
      </c>
      <c r="AT758" s="22" t="str">
        <f t="shared" si="3"/>
        <v>BR_IMC_DSY_LANCH_ND_NC_2020Q3AUG_NVS_Nivus-Launch-Consideracao</v>
      </c>
      <c r="AU758" s="22" t="str">
        <f t="shared" si="4"/>
        <v>#N/A</v>
      </c>
      <c r="AV758" s="22" t="s">
        <v>106</v>
      </c>
      <c r="AW7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8" s="22" t="str">
        <f t="shared" si="5"/>
        <v>BR_IMC_DSY_LANCH_ND_NC_2020Q3AUG_NVS_Nivus-Launch-Consideracao</v>
      </c>
      <c r="AY758" s="28" t="str">
        <f t="shared" si="6"/>
        <v>#N/A</v>
      </c>
      <c r="AZ758" s="22" t="s">
        <v>107</v>
      </c>
      <c r="BA758" s="22" t="s">
        <v>108</v>
      </c>
      <c r="BB758" s="31" t="s">
        <v>109</v>
      </c>
      <c r="BC758" s="31" t="s">
        <v>109</v>
      </c>
      <c r="BD758" s="32" t="str">
        <f t="shared" si="8"/>
        <v>nvl-nvs-imc-dsy-0820-10752</v>
      </c>
      <c r="BE758" s="33"/>
      <c r="BF758" s="33"/>
      <c r="BG758" s="39" t="str">
        <f>URL&amp;IF(ISNUMBER(FIND("?",URL)),"&amp;","?"&amp;("adlid="&amp;Unique_ID&amp;"&amp;adplt="&amp;Placement))</f>
        <v>#N/A</v>
      </c>
      <c r="BH758" s="1"/>
      <c r="BI758" s="1"/>
      <c r="BJ758" s="35" t="str">
        <f>LOWER("alp"&amp;"_"&amp;"vw"&amp;"_"&amp;Veiculo&amp;"_"&amp;C754&amp;"_"&amp;Objetivo)</f>
        <v>alp_vw___</v>
      </c>
      <c r="BK758" s="35" t="str">
        <f>LOWER(Buying_Metric&amp;"_"&amp;VLOOKUP(Buying_Type,Buy_type,2,FALSE)&amp;"_"&amp;Device&amp;"_"&amp;Size&amp;"_"&amp;Segmentação&amp;"_"&amp;Segmentação_Anúncio)</f>
        <v>#N/A</v>
      </c>
      <c r="BL758" s="35" t="str">
        <f>LOWER(Campanha_ou_InsertionOrder&amp;"_"&amp;LineItem_ou_Grupodeanúncio&amp;"_"&amp;Linha_criativa_2&amp;"_"&amp;Unique_ID)</f>
        <v>#N/A</v>
      </c>
      <c r="BM758" s="27"/>
      <c r="BN758" s="27"/>
    </row>
    <row r="759">
      <c r="A759" s="1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8" t="str">
        <f>LOWER(Campanha_ou_InsertionOrder&amp;"_"&amp;LineItem_ou_Grupodeanúncio&amp;"_"&amp;Linha_Criativa&amp;"_"&amp;Unique_ID)</f>
        <v>#N/A</v>
      </c>
      <c r="AN759" s="28" t="str">
        <f>LOWER(Campanha_ou_InsertionOrder&amp;"_"&amp;LineItem_ou_Grupodeanúncio&amp;"_"&amp;Linha_Criativa&amp;"_"&amp;Unique_ID)</f>
        <v>#N/A</v>
      </c>
      <c r="AO759" s="28" t="str">
        <f>LOWER("VW"&amp;"_"&amp;Model_Variant&amp;"_"&amp;Size&amp;"_"&amp;Linha_Criativa&amp;"_"&amp;IF(Servido_Por="portal",Veiculo,"adserver"))</f>
        <v>vw____adserver</v>
      </c>
      <c r="AP7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59" s="22" t="str">
        <f t="shared" si="1"/>
        <v/>
      </c>
      <c r="AS759" s="22" t="str">
        <f t="shared" si="2"/>
        <v/>
      </c>
      <c r="AT759" s="22" t="str">
        <f t="shared" si="3"/>
        <v>BR_IMC_DSY_LANCH_ND_NC_2020Q3AUG_NVS_Nivus-Launch-Consideracao</v>
      </c>
      <c r="AU759" s="22" t="str">
        <f t="shared" si="4"/>
        <v>#N/A</v>
      </c>
      <c r="AV759" s="22" t="s">
        <v>106</v>
      </c>
      <c r="AW7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59" s="22" t="str">
        <f t="shared" si="5"/>
        <v>BR_IMC_DSY_LANCH_ND_NC_2020Q3AUG_NVS_Nivus-Launch-Consideracao</v>
      </c>
      <c r="AY759" s="28" t="str">
        <f t="shared" si="6"/>
        <v>#N/A</v>
      </c>
      <c r="AZ759" s="22" t="s">
        <v>107</v>
      </c>
      <c r="BA759" s="22" t="s">
        <v>108</v>
      </c>
      <c r="BB759" s="31" t="s">
        <v>109</v>
      </c>
      <c r="BC759" s="31" t="s">
        <v>109</v>
      </c>
      <c r="BD759" s="32" t="str">
        <f t="shared" si="8"/>
        <v>nvl-nvs-imc-dsy-0820-10753</v>
      </c>
      <c r="BE759" s="33"/>
      <c r="BF759" s="33"/>
      <c r="BG759" s="39" t="str">
        <f>URL&amp;IF(ISNUMBER(FIND("?",URL)),"&amp;","?"&amp;("adlid="&amp;Unique_ID&amp;"&amp;adplt="&amp;Placement))</f>
        <v>#N/A</v>
      </c>
      <c r="BH759" s="1"/>
      <c r="BI759" s="1"/>
      <c r="BJ759" s="35" t="str">
        <f>LOWER("alp"&amp;"_"&amp;"vw"&amp;"_"&amp;Veiculo&amp;"_"&amp;C755&amp;"_"&amp;Objetivo)</f>
        <v>alp_vw___</v>
      </c>
      <c r="BK759" s="35" t="str">
        <f>LOWER(Buying_Metric&amp;"_"&amp;VLOOKUP(Buying_Type,Buy_type,2,FALSE)&amp;"_"&amp;Device&amp;"_"&amp;Size&amp;"_"&amp;Segmentação&amp;"_"&amp;Segmentação_Anúncio)</f>
        <v>#N/A</v>
      </c>
      <c r="BL759" s="35" t="str">
        <f>LOWER(Campanha_ou_InsertionOrder&amp;"_"&amp;LineItem_ou_Grupodeanúncio&amp;"_"&amp;Linha_criativa_2&amp;"_"&amp;Unique_ID)</f>
        <v>#N/A</v>
      </c>
      <c r="BM759" s="27"/>
      <c r="BN759" s="27"/>
    </row>
    <row r="760">
      <c r="A760" s="1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8" t="str">
        <f>LOWER(Campanha_ou_InsertionOrder&amp;"_"&amp;LineItem_ou_Grupodeanúncio&amp;"_"&amp;Linha_Criativa&amp;"_"&amp;Unique_ID)</f>
        <v>#N/A</v>
      </c>
      <c r="AN760" s="28" t="str">
        <f>LOWER(Campanha_ou_InsertionOrder&amp;"_"&amp;LineItem_ou_Grupodeanúncio&amp;"_"&amp;Linha_Criativa&amp;"_"&amp;Unique_ID)</f>
        <v>#N/A</v>
      </c>
      <c r="AO760" s="28" t="str">
        <f>LOWER("VW"&amp;"_"&amp;Model_Variant&amp;"_"&amp;Size&amp;"_"&amp;Linha_Criativa&amp;"_"&amp;IF(Servido_Por="portal",Veiculo,"adserver"))</f>
        <v>vw____adserver</v>
      </c>
      <c r="AP7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0" s="22" t="str">
        <f t="shared" si="1"/>
        <v/>
      </c>
      <c r="AS760" s="22" t="str">
        <f t="shared" si="2"/>
        <v/>
      </c>
      <c r="AT760" s="22" t="str">
        <f t="shared" si="3"/>
        <v>BR_IMC_DSY_LANCH_ND_NC_2020Q3AUG_NVS_Nivus-Launch-Consideracao</v>
      </c>
      <c r="AU760" s="22" t="str">
        <f t="shared" si="4"/>
        <v>#N/A</v>
      </c>
      <c r="AV760" s="22" t="s">
        <v>106</v>
      </c>
      <c r="AW7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0" s="22" t="str">
        <f t="shared" si="5"/>
        <v>BR_IMC_DSY_LANCH_ND_NC_2020Q3AUG_NVS_Nivus-Launch-Consideracao</v>
      </c>
      <c r="AY760" s="28" t="str">
        <f t="shared" si="6"/>
        <v>#N/A</v>
      </c>
      <c r="AZ760" s="22" t="s">
        <v>107</v>
      </c>
      <c r="BA760" s="22" t="s">
        <v>108</v>
      </c>
      <c r="BB760" s="31" t="s">
        <v>109</v>
      </c>
      <c r="BC760" s="31" t="s">
        <v>109</v>
      </c>
      <c r="BD760" s="32" t="str">
        <f t="shared" si="8"/>
        <v>nvl-nvs-imc-dsy-0820-10754</v>
      </c>
      <c r="BE760" s="33"/>
      <c r="BF760" s="33"/>
      <c r="BG760" s="39" t="str">
        <f>URL&amp;IF(ISNUMBER(FIND("?",URL)),"&amp;","?"&amp;("adlid="&amp;Unique_ID&amp;"&amp;adplt="&amp;Placement))</f>
        <v>#N/A</v>
      </c>
      <c r="BH760" s="1"/>
      <c r="BI760" s="1"/>
      <c r="BJ760" s="35" t="str">
        <f>LOWER("alp"&amp;"_"&amp;"vw"&amp;"_"&amp;Veiculo&amp;"_"&amp;C756&amp;"_"&amp;Objetivo)</f>
        <v>alp_vw___</v>
      </c>
      <c r="BK760" s="35" t="str">
        <f>LOWER(Buying_Metric&amp;"_"&amp;VLOOKUP(Buying_Type,Buy_type,2,FALSE)&amp;"_"&amp;Device&amp;"_"&amp;Size&amp;"_"&amp;Segmentação&amp;"_"&amp;Segmentação_Anúncio)</f>
        <v>#N/A</v>
      </c>
      <c r="BL760" s="35" t="str">
        <f>LOWER(Campanha_ou_InsertionOrder&amp;"_"&amp;LineItem_ou_Grupodeanúncio&amp;"_"&amp;Linha_criativa_2&amp;"_"&amp;Unique_ID)</f>
        <v>#N/A</v>
      </c>
      <c r="BM760" s="27"/>
      <c r="BN760" s="27"/>
    </row>
    <row r="761">
      <c r="A761" s="1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8" t="str">
        <f>LOWER(Campanha_ou_InsertionOrder&amp;"_"&amp;LineItem_ou_Grupodeanúncio&amp;"_"&amp;Linha_Criativa&amp;"_"&amp;Unique_ID)</f>
        <v>#N/A</v>
      </c>
      <c r="AN761" s="28" t="str">
        <f>LOWER(Campanha_ou_InsertionOrder&amp;"_"&amp;LineItem_ou_Grupodeanúncio&amp;"_"&amp;Linha_Criativa&amp;"_"&amp;Unique_ID)</f>
        <v>#N/A</v>
      </c>
      <c r="AO761" s="28" t="str">
        <f>LOWER("VW"&amp;"_"&amp;Model_Variant&amp;"_"&amp;Size&amp;"_"&amp;Linha_Criativa&amp;"_"&amp;IF(Servido_Por="portal",Veiculo,"adserver"))</f>
        <v>vw____adserver</v>
      </c>
      <c r="AP7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1" s="22" t="str">
        <f t="shared" si="1"/>
        <v/>
      </c>
      <c r="AS761" s="22" t="str">
        <f t="shared" si="2"/>
        <v/>
      </c>
      <c r="AT761" s="22" t="str">
        <f t="shared" si="3"/>
        <v>BR_IMC_DSY_LANCH_ND_NC_2020Q3AUG_NVS_Nivus-Launch-Consideracao</v>
      </c>
      <c r="AU761" s="22" t="str">
        <f t="shared" si="4"/>
        <v>#N/A</v>
      </c>
      <c r="AV761" s="22" t="s">
        <v>106</v>
      </c>
      <c r="AW7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1" s="22" t="str">
        <f t="shared" si="5"/>
        <v>BR_IMC_DSY_LANCH_ND_NC_2020Q3AUG_NVS_Nivus-Launch-Consideracao</v>
      </c>
      <c r="AY761" s="28" t="str">
        <f t="shared" si="6"/>
        <v>#N/A</v>
      </c>
      <c r="AZ761" s="22" t="s">
        <v>107</v>
      </c>
      <c r="BA761" s="22" t="s">
        <v>108</v>
      </c>
      <c r="BB761" s="31" t="s">
        <v>109</v>
      </c>
      <c r="BC761" s="31" t="s">
        <v>109</v>
      </c>
      <c r="BD761" s="32" t="str">
        <f t="shared" si="8"/>
        <v>nvl-nvs-imc-dsy-0820-10755</v>
      </c>
      <c r="BE761" s="33"/>
      <c r="BF761" s="33"/>
      <c r="BG761" s="39" t="str">
        <f>URL&amp;IF(ISNUMBER(FIND("?",URL)),"&amp;","?"&amp;("adlid="&amp;Unique_ID&amp;"&amp;adplt="&amp;Placement))</f>
        <v>#N/A</v>
      </c>
      <c r="BH761" s="1"/>
      <c r="BI761" s="1"/>
      <c r="BJ761" s="35" t="str">
        <f>LOWER("alp"&amp;"_"&amp;"vw"&amp;"_"&amp;Veiculo&amp;"_"&amp;C757&amp;"_"&amp;Objetivo)</f>
        <v>alp_vw___</v>
      </c>
      <c r="BK761" s="35" t="str">
        <f>LOWER(Buying_Metric&amp;"_"&amp;VLOOKUP(Buying_Type,Buy_type,2,FALSE)&amp;"_"&amp;Device&amp;"_"&amp;Size&amp;"_"&amp;Segmentação&amp;"_"&amp;Segmentação_Anúncio)</f>
        <v>#N/A</v>
      </c>
      <c r="BL761" s="35" t="str">
        <f>LOWER(Campanha_ou_InsertionOrder&amp;"_"&amp;LineItem_ou_Grupodeanúncio&amp;"_"&amp;Linha_criativa_2&amp;"_"&amp;Unique_ID)</f>
        <v>#N/A</v>
      </c>
      <c r="BM761" s="27"/>
      <c r="BN761" s="27"/>
    </row>
    <row r="762">
      <c r="A762" s="1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8" t="str">
        <f>LOWER(Campanha_ou_InsertionOrder&amp;"_"&amp;LineItem_ou_Grupodeanúncio&amp;"_"&amp;Linha_Criativa&amp;"_"&amp;Unique_ID)</f>
        <v>#N/A</v>
      </c>
      <c r="AN762" s="28" t="str">
        <f>LOWER(Campanha_ou_InsertionOrder&amp;"_"&amp;LineItem_ou_Grupodeanúncio&amp;"_"&amp;Linha_Criativa&amp;"_"&amp;Unique_ID)</f>
        <v>#N/A</v>
      </c>
      <c r="AO762" s="28" t="str">
        <f>LOWER("VW"&amp;"_"&amp;Model_Variant&amp;"_"&amp;Size&amp;"_"&amp;Linha_Criativa&amp;"_"&amp;IF(Servido_Por="portal",Veiculo,"adserver"))</f>
        <v>vw____adserver</v>
      </c>
      <c r="AP7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2" s="22" t="str">
        <f t="shared" si="1"/>
        <v/>
      </c>
      <c r="AS762" s="22" t="str">
        <f t="shared" si="2"/>
        <v/>
      </c>
      <c r="AT762" s="22" t="str">
        <f t="shared" si="3"/>
        <v>BR_IMC_DSY_LANCH_ND_NC_2020Q3AUG_NVS_Nivus-Launch-Consideracao</v>
      </c>
      <c r="AU762" s="22" t="str">
        <f t="shared" si="4"/>
        <v>#N/A</v>
      </c>
      <c r="AV762" s="22" t="s">
        <v>106</v>
      </c>
      <c r="AW7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2" s="22" t="str">
        <f t="shared" si="5"/>
        <v>BR_IMC_DSY_LANCH_ND_NC_2020Q3AUG_NVS_Nivus-Launch-Consideracao</v>
      </c>
      <c r="AY762" s="28" t="str">
        <f t="shared" si="6"/>
        <v>#N/A</v>
      </c>
      <c r="AZ762" s="22" t="s">
        <v>107</v>
      </c>
      <c r="BA762" s="22" t="s">
        <v>108</v>
      </c>
      <c r="BB762" s="31" t="s">
        <v>109</v>
      </c>
      <c r="BC762" s="31" t="s">
        <v>109</v>
      </c>
      <c r="BD762" s="32" t="str">
        <f t="shared" si="8"/>
        <v>nvl-nvs-imc-dsy-0820-10756</v>
      </c>
      <c r="BE762" s="33"/>
      <c r="BF762" s="33"/>
      <c r="BG762" s="39" t="str">
        <f>URL&amp;IF(ISNUMBER(FIND("?",URL)),"&amp;","?"&amp;("adlid="&amp;Unique_ID&amp;"&amp;adplt="&amp;Placement))</f>
        <v>#N/A</v>
      </c>
      <c r="BH762" s="1"/>
      <c r="BI762" s="1"/>
      <c r="BJ762" s="35" t="str">
        <f>LOWER("alp"&amp;"_"&amp;"vw"&amp;"_"&amp;Veiculo&amp;"_"&amp;C758&amp;"_"&amp;Objetivo)</f>
        <v>alp_vw___</v>
      </c>
      <c r="BK762" s="35" t="str">
        <f>LOWER(Buying_Metric&amp;"_"&amp;VLOOKUP(Buying_Type,Buy_type,2,FALSE)&amp;"_"&amp;Device&amp;"_"&amp;Size&amp;"_"&amp;Segmentação&amp;"_"&amp;Segmentação_Anúncio)</f>
        <v>#N/A</v>
      </c>
      <c r="BL762" s="35" t="str">
        <f>LOWER(Campanha_ou_InsertionOrder&amp;"_"&amp;LineItem_ou_Grupodeanúncio&amp;"_"&amp;Linha_criativa_2&amp;"_"&amp;Unique_ID)</f>
        <v>#N/A</v>
      </c>
      <c r="BM762" s="27"/>
      <c r="BN762" s="27"/>
    </row>
    <row r="763">
      <c r="A763" s="1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8" t="str">
        <f>LOWER(Campanha_ou_InsertionOrder&amp;"_"&amp;LineItem_ou_Grupodeanúncio&amp;"_"&amp;Linha_Criativa&amp;"_"&amp;Unique_ID)</f>
        <v>#N/A</v>
      </c>
      <c r="AN763" s="28" t="str">
        <f>LOWER(Campanha_ou_InsertionOrder&amp;"_"&amp;LineItem_ou_Grupodeanúncio&amp;"_"&amp;Linha_Criativa&amp;"_"&amp;Unique_ID)</f>
        <v>#N/A</v>
      </c>
      <c r="AO763" s="28" t="str">
        <f>LOWER("VW"&amp;"_"&amp;Model_Variant&amp;"_"&amp;Size&amp;"_"&amp;Linha_Criativa&amp;"_"&amp;IF(Servido_Por="portal",Veiculo,"adserver"))</f>
        <v>vw____adserver</v>
      </c>
      <c r="AP7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3" s="22" t="str">
        <f t="shared" si="1"/>
        <v/>
      </c>
      <c r="AS763" s="22" t="str">
        <f t="shared" si="2"/>
        <v/>
      </c>
      <c r="AT763" s="22" t="str">
        <f t="shared" si="3"/>
        <v>BR_IMC_DSY_LANCH_ND_NC_2020Q3AUG_NVS_Nivus-Launch-Consideracao</v>
      </c>
      <c r="AU763" s="22" t="str">
        <f t="shared" si="4"/>
        <v>#N/A</v>
      </c>
      <c r="AV763" s="22" t="s">
        <v>106</v>
      </c>
      <c r="AW7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3" s="22" t="str">
        <f t="shared" si="5"/>
        <v>BR_IMC_DSY_LANCH_ND_NC_2020Q3AUG_NVS_Nivus-Launch-Consideracao</v>
      </c>
      <c r="AY763" s="28" t="str">
        <f t="shared" si="6"/>
        <v>#N/A</v>
      </c>
      <c r="AZ763" s="22" t="s">
        <v>107</v>
      </c>
      <c r="BA763" s="22" t="s">
        <v>108</v>
      </c>
      <c r="BB763" s="31" t="s">
        <v>109</v>
      </c>
      <c r="BC763" s="31" t="s">
        <v>109</v>
      </c>
      <c r="BD763" s="32" t="str">
        <f t="shared" si="8"/>
        <v>nvl-nvs-imc-dsy-0820-10757</v>
      </c>
      <c r="BE763" s="33"/>
      <c r="BF763" s="33"/>
      <c r="BG763" s="39" t="str">
        <f>URL&amp;IF(ISNUMBER(FIND("?",URL)),"&amp;","?"&amp;("adlid="&amp;Unique_ID&amp;"&amp;adplt="&amp;Placement))</f>
        <v>#N/A</v>
      </c>
      <c r="BH763" s="1"/>
      <c r="BI763" s="1"/>
      <c r="BJ763" s="35" t="str">
        <f>LOWER("alp"&amp;"_"&amp;"vw"&amp;"_"&amp;Veiculo&amp;"_"&amp;C759&amp;"_"&amp;Objetivo)</f>
        <v>alp_vw___</v>
      </c>
      <c r="BK763" s="35" t="str">
        <f>LOWER(Buying_Metric&amp;"_"&amp;VLOOKUP(Buying_Type,Buy_type,2,FALSE)&amp;"_"&amp;Device&amp;"_"&amp;Size&amp;"_"&amp;Segmentação&amp;"_"&amp;Segmentação_Anúncio)</f>
        <v>#N/A</v>
      </c>
      <c r="BL763" s="35" t="str">
        <f>LOWER(Campanha_ou_InsertionOrder&amp;"_"&amp;LineItem_ou_Grupodeanúncio&amp;"_"&amp;Linha_criativa_2&amp;"_"&amp;Unique_ID)</f>
        <v>#N/A</v>
      </c>
      <c r="BM763" s="27"/>
      <c r="BN763" s="27"/>
    </row>
    <row r="764">
      <c r="A764" s="1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8" t="str">
        <f>LOWER(Campanha_ou_InsertionOrder&amp;"_"&amp;LineItem_ou_Grupodeanúncio&amp;"_"&amp;Linha_Criativa&amp;"_"&amp;Unique_ID)</f>
        <v>#N/A</v>
      </c>
      <c r="AN764" s="28" t="str">
        <f>LOWER(Campanha_ou_InsertionOrder&amp;"_"&amp;LineItem_ou_Grupodeanúncio&amp;"_"&amp;Linha_Criativa&amp;"_"&amp;Unique_ID)</f>
        <v>#N/A</v>
      </c>
      <c r="AO764" s="28" t="str">
        <f>LOWER("VW"&amp;"_"&amp;Model_Variant&amp;"_"&amp;Size&amp;"_"&amp;Linha_Criativa&amp;"_"&amp;IF(Servido_Por="portal",Veiculo,"adserver"))</f>
        <v>vw____adserver</v>
      </c>
      <c r="AP7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4" s="22" t="str">
        <f t="shared" si="1"/>
        <v/>
      </c>
      <c r="AS764" s="22" t="str">
        <f t="shared" si="2"/>
        <v/>
      </c>
      <c r="AT764" s="22" t="str">
        <f t="shared" si="3"/>
        <v>BR_IMC_DSY_LANCH_ND_NC_2020Q3AUG_NVS_Nivus-Launch-Consideracao</v>
      </c>
      <c r="AU764" s="22" t="str">
        <f t="shared" si="4"/>
        <v>#N/A</v>
      </c>
      <c r="AV764" s="22" t="s">
        <v>106</v>
      </c>
      <c r="AW7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4" s="22" t="str">
        <f t="shared" si="5"/>
        <v>BR_IMC_DSY_LANCH_ND_NC_2020Q3AUG_NVS_Nivus-Launch-Consideracao</v>
      </c>
      <c r="AY764" s="28" t="str">
        <f t="shared" si="6"/>
        <v>#N/A</v>
      </c>
      <c r="AZ764" s="22" t="s">
        <v>107</v>
      </c>
      <c r="BA764" s="22" t="s">
        <v>108</v>
      </c>
      <c r="BB764" s="31" t="s">
        <v>109</v>
      </c>
      <c r="BC764" s="31" t="s">
        <v>109</v>
      </c>
      <c r="BD764" s="32" t="str">
        <f t="shared" si="8"/>
        <v>nvl-nvs-imc-dsy-0820-10758</v>
      </c>
      <c r="BE764" s="33"/>
      <c r="BF764" s="33"/>
      <c r="BG764" s="39" t="str">
        <f>URL&amp;IF(ISNUMBER(FIND("?",URL)),"&amp;","?"&amp;("adlid="&amp;Unique_ID&amp;"&amp;adplt="&amp;Placement))</f>
        <v>#N/A</v>
      </c>
      <c r="BH764" s="1"/>
      <c r="BI764" s="1"/>
      <c r="BJ764" s="35" t="str">
        <f>LOWER("alp"&amp;"_"&amp;"vw"&amp;"_"&amp;Veiculo&amp;"_"&amp;C760&amp;"_"&amp;Objetivo)</f>
        <v>alp_vw___</v>
      </c>
      <c r="BK764" s="35" t="str">
        <f>LOWER(Buying_Metric&amp;"_"&amp;VLOOKUP(Buying_Type,Buy_type,2,FALSE)&amp;"_"&amp;Device&amp;"_"&amp;Size&amp;"_"&amp;Segmentação&amp;"_"&amp;Segmentação_Anúncio)</f>
        <v>#N/A</v>
      </c>
      <c r="BL764" s="35" t="str">
        <f>LOWER(Campanha_ou_InsertionOrder&amp;"_"&amp;LineItem_ou_Grupodeanúncio&amp;"_"&amp;Linha_criativa_2&amp;"_"&amp;Unique_ID)</f>
        <v>#N/A</v>
      </c>
      <c r="BM764" s="27"/>
      <c r="BN764" s="27"/>
    </row>
    <row r="765">
      <c r="A765" s="1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8" t="str">
        <f>LOWER(Campanha_ou_InsertionOrder&amp;"_"&amp;LineItem_ou_Grupodeanúncio&amp;"_"&amp;Linha_Criativa&amp;"_"&amp;Unique_ID)</f>
        <v>#N/A</v>
      </c>
      <c r="AN765" s="28" t="str">
        <f>LOWER(Campanha_ou_InsertionOrder&amp;"_"&amp;LineItem_ou_Grupodeanúncio&amp;"_"&amp;Linha_Criativa&amp;"_"&amp;Unique_ID)</f>
        <v>#N/A</v>
      </c>
      <c r="AO765" s="28" t="str">
        <f>LOWER("VW"&amp;"_"&amp;Model_Variant&amp;"_"&amp;Size&amp;"_"&amp;Linha_Criativa&amp;"_"&amp;IF(Servido_Por="portal",Veiculo,"adserver"))</f>
        <v>vw____adserver</v>
      </c>
      <c r="AP7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5" s="22" t="str">
        <f t="shared" si="1"/>
        <v/>
      </c>
      <c r="AS765" s="22" t="str">
        <f t="shared" si="2"/>
        <v/>
      </c>
      <c r="AT765" s="22" t="str">
        <f t="shared" si="3"/>
        <v>BR_IMC_DSY_LANCH_ND_NC_2020Q3AUG_NVS_Nivus-Launch-Consideracao</v>
      </c>
      <c r="AU765" s="22" t="str">
        <f t="shared" si="4"/>
        <v>#N/A</v>
      </c>
      <c r="AV765" s="22" t="s">
        <v>106</v>
      </c>
      <c r="AW7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5" s="22" t="str">
        <f t="shared" si="5"/>
        <v>BR_IMC_DSY_LANCH_ND_NC_2020Q3AUG_NVS_Nivus-Launch-Consideracao</v>
      </c>
      <c r="AY765" s="28" t="str">
        <f t="shared" si="6"/>
        <v>#N/A</v>
      </c>
      <c r="AZ765" s="22" t="s">
        <v>107</v>
      </c>
      <c r="BA765" s="22" t="s">
        <v>108</v>
      </c>
      <c r="BB765" s="31" t="s">
        <v>109</v>
      </c>
      <c r="BC765" s="31" t="s">
        <v>109</v>
      </c>
      <c r="BD765" s="32" t="str">
        <f t="shared" si="8"/>
        <v>nvl-nvs-imc-dsy-0820-10759</v>
      </c>
      <c r="BE765" s="33"/>
      <c r="BF765" s="33"/>
      <c r="BG765" s="39" t="str">
        <f>URL&amp;IF(ISNUMBER(FIND("?",URL)),"&amp;","?"&amp;("adlid="&amp;Unique_ID&amp;"&amp;adplt="&amp;Placement))</f>
        <v>#N/A</v>
      </c>
      <c r="BH765" s="1"/>
      <c r="BI765" s="1"/>
      <c r="BJ765" s="35" t="str">
        <f>LOWER("alp"&amp;"_"&amp;"vw"&amp;"_"&amp;Veiculo&amp;"_"&amp;C761&amp;"_"&amp;Objetivo)</f>
        <v>alp_vw___</v>
      </c>
      <c r="BK765" s="35" t="str">
        <f>LOWER(Buying_Metric&amp;"_"&amp;VLOOKUP(Buying_Type,Buy_type,2,FALSE)&amp;"_"&amp;Device&amp;"_"&amp;Size&amp;"_"&amp;Segmentação&amp;"_"&amp;Segmentação_Anúncio)</f>
        <v>#N/A</v>
      </c>
      <c r="BL765" s="35" t="str">
        <f>LOWER(Campanha_ou_InsertionOrder&amp;"_"&amp;LineItem_ou_Grupodeanúncio&amp;"_"&amp;Linha_criativa_2&amp;"_"&amp;Unique_ID)</f>
        <v>#N/A</v>
      </c>
      <c r="BM765" s="27"/>
      <c r="BN765" s="27"/>
    </row>
    <row r="766">
      <c r="A766" s="1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8" t="str">
        <f>LOWER(Campanha_ou_InsertionOrder&amp;"_"&amp;LineItem_ou_Grupodeanúncio&amp;"_"&amp;Linha_Criativa&amp;"_"&amp;Unique_ID)</f>
        <v>#N/A</v>
      </c>
      <c r="AN766" s="28" t="str">
        <f>LOWER(Campanha_ou_InsertionOrder&amp;"_"&amp;LineItem_ou_Grupodeanúncio&amp;"_"&amp;Linha_Criativa&amp;"_"&amp;Unique_ID)</f>
        <v>#N/A</v>
      </c>
      <c r="AO766" s="28" t="str">
        <f>LOWER("VW"&amp;"_"&amp;Model_Variant&amp;"_"&amp;Size&amp;"_"&amp;Linha_Criativa&amp;"_"&amp;IF(Servido_Por="portal",Veiculo,"adserver"))</f>
        <v>vw____adserver</v>
      </c>
      <c r="AP7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6" s="22" t="str">
        <f t="shared" si="1"/>
        <v/>
      </c>
      <c r="AS766" s="22" t="str">
        <f t="shared" si="2"/>
        <v/>
      </c>
      <c r="AT766" s="22" t="str">
        <f t="shared" si="3"/>
        <v>BR_IMC_DSY_LANCH_ND_NC_2020Q3AUG_NVS_Nivus-Launch-Consideracao</v>
      </c>
      <c r="AU766" s="22" t="str">
        <f t="shared" si="4"/>
        <v>#N/A</v>
      </c>
      <c r="AV766" s="22" t="s">
        <v>106</v>
      </c>
      <c r="AW7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6" s="22" t="str">
        <f t="shared" si="5"/>
        <v>BR_IMC_DSY_LANCH_ND_NC_2020Q3AUG_NVS_Nivus-Launch-Consideracao</v>
      </c>
      <c r="AY766" s="28" t="str">
        <f t="shared" si="6"/>
        <v>#N/A</v>
      </c>
      <c r="AZ766" s="22" t="s">
        <v>107</v>
      </c>
      <c r="BA766" s="22" t="s">
        <v>108</v>
      </c>
      <c r="BB766" s="31" t="s">
        <v>109</v>
      </c>
      <c r="BC766" s="31" t="s">
        <v>109</v>
      </c>
      <c r="BD766" s="32" t="str">
        <f t="shared" si="8"/>
        <v>nvl-nvs-imc-dsy-0820-10760</v>
      </c>
      <c r="BE766" s="33"/>
      <c r="BF766" s="33"/>
      <c r="BG766" s="39" t="str">
        <f>URL&amp;IF(ISNUMBER(FIND("?",URL)),"&amp;","?"&amp;("adlid="&amp;Unique_ID&amp;"&amp;adplt="&amp;Placement))</f>
        <v>#N/A</v>
      </c>
      <c r="BH766" s="1"/>
      <c r="BI766" s="1"/>
      <c r="BJ766" s="35" t="str">
        <f>LOWER("alp"&amp;"_"&amp;"vw"&amp;"_"&amp;Veiculo&amp;"_"&amp;C762&amp;"_"&amp;Objetivo)</f>
        <v>alp_vw___</v>
      </c>
      <c r="BK766" s="35" t="str">
        <f>LOWER(Buying_Metric&amp;"_"&amp;VLOOKUP(Buying_Type,Buy_type,2,FALSE)&amp;"_"&amp;Device&amp;"_"&amp;Size&amp;"_"&amp;Segmentação&amp;"_"&amp;Segmentação_Anúncio)</f>
        <v>#N/A</v>
      </c>
      <c r="BL766" s="35" t="str">
        <f>LOWER(Campanha_ou_InsertionOrder&amp;"_"&amp;LineItem_ou_Grupodeanúncio&amp;"_"&amp;Linha_criativa_2&amp;"_"&amp;Unique_ID)</f>
        <v>#N/A</v>
      </c>
      <c r="BM766" s="27"/>
      <c r="BN766" s="27"/>
    </row>
    <row r="767">
      <c r="A767" s="1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8" t="str">
        <f>LOWER(Campanha_ou_InsertionOrder&amp;"_"&amp;LineItem_ou_Grupodeanúncio&amp;"_"&amp;Linha_Criativa&amp;"_"&amp;Unique_ID)</f>
        <v>#N/A</v>
      </c>
      <c r="AN767" s="28" t="str">
        <f>LOWER(Campanha_ou_InsertionOrder&amp;"_"&amp;LineItem_ou_Grupodeanúncio&amp;"_"&amp;Linha_Criativa&amp;"_"&amp;Unique_ID)</f>
        <v>#N/A</v>
      </c>
      <c r="AO767" s="28" t="str">
        <f>LOWER("VW"&amp;"_"&amp;Model_Variant&amp;"_"&amp;Size&amp;"_"&amp;Linha_Criativa&amp;"_"&amp;IF(Servido_Por="portal",Veiculo,"adserver"))</f>
        <v>vw____adserver</v>
      </c>
      <c r="AP7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7" s="22" t="str">
        <f t="shared" si="1"/>
        <v/>
      </c>
      <c r="AS767" s="22" t="str">
        <f t="shared" si="2"/>
        <v/>
      </c>
      <c r="AT767" s="22" t="str">
        <f t="shared" si="3"/>
        <v>BR_IMC_DSY_LANCH_ND_NC_2020Q3AUG_NVS_Nivus-Launch-Consideracao</v>
      </c>
      <c r="AU767" s="22" t="str">
        <f t="shared" si="4"/>
        <v>#N/A</v>
      </c>
      <c r="AV767" s="22" t="s">
        <v>106</v>
      </c>
      <c r="AW7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7" s="22" t="str">
        <f t="shared" si="5"/>
        <v>BR_IMC_DSY_LANCH_ND_NC_2020Q3AUG_NVS_Nivus-Launch-Consideracao</v>
      </c>
      <c r="AY767" s="28" t="str">
        <f t="shared" si="6"/>
        <v>#N/A</v>
      </c>
      <c r="AZ767" s="22" t="s">
        <v>107</v>
      </c>
      <c r="BA767" s="22" t="s">
        <v>108</v>
      </c>
      <c r="BB767" s="31" t="s">
        <v>109</v>
      </c>
      <c r="BC767" s="31" t="s">
        <v>109</v>
      </c>
      <c r="BD767" s="32" t="str">
        <f t="shared" si="8"/>
        <v>nvl-nvs-imc-dsy-0820-10761</v>
      </c>
      <c r="BE767" s="33"/>
      <c r="BF767" s="33"/>
      <c r="BG767" s="39" t="str">
        <f>URL&amp;IF(ISNUMBER(FIND("?",URL)),"&amp;","?"&amp;("adlid="&amp;Unique_ID&amp;"&amp;adplt="&amp;Placement))</f>
        <v>#N/A</v>
      </c>
      <c r="BH767" s="1"/>
      <c r="BI767" s="1"/>
      <c r="BJ767" s="35" t="str">
        <f>LOWER("alp"&amp;"_"&amp;"vw"&amp;"_"&amp;Veiculo&amp;"_"&amp;C763&amp;"_"&amp;Objetivo)</f>
        <v>alp_vw___</v>
      </c>
      <c r="BK767" s="35" t="str">
        <f>LOWER(Buying_Metric&amp;"_"&amp;VLOOKUP(Buying_Type,Buy_type,2,FALSE)&amp;"_"&amp;Device&amp;"_"&amp;Size&amp;"_"&amp;Segmentação&amp;"_"&amp;Segmentação_Anúncio)</f>
        <v>#N/A</v>
      </c>
      <c r="BL767" s="35" t="str">
        <f>LOWER(Campanha_ou_InsertionOrder&amp;"_"&amp;LineItem_ou_Grupodeanúncio&amp;"_"&amp;Linha_criativa_2&amp;"_"&amp;Unique_ID)</f>
        <v>#N/A</v>
      </c>
      <c r="BM767" s="27"/>
      <c r="BN767" s="27"/>
    </row>
    <row r="768">
      <c r="A768" s="1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8" t="str">
        <f>LOWER(Campanha_ou_InsertionOrder&amp;"_"&amp;LineItem_ou_Grupodeanúncio&amp;"_"&amp;Linha_Criativa&amp;"_"&amp;Unique_ID)</f>
        <v>#N/A</v>
      </c>
      <c r="AN768" s="28" t="str">
        <f>LOWER(Campanha_ou_InsertionOrder&amp;"_"&amp;LineItem_ou_Grupodeanúncio&amp;"_"&amp;Linha_Criativa&amp;"_"&amp;Unique_ID)</f>
        <v>#N/A</v>
      </c>
      <c r="AO768" s="28" t="str">
        <f>LOWER("VW"&amp;"_"&amp;Model_Variant&amp;"_"&amp;Size&amp;"_"&amp;Linha_Criativa&amp;"_"&amp;IF(Servido_Por="portal",Veiculo,"adserver"))</f>
        <v>vw____adserver</v>
      </c>
      <c r="AP7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8" s="22" t="str">
        <f t="shared" si="1"/>
        <v/>
      </c>
      <c r="AS768" s="22" t="str">
        <f t="shared" si="2"/>
        <v/>
      </c>
      <c r="AT768" s="22" t="str">
        <f t="shared" si="3"/>
        <v>BR_IMC_DSY_LANCH_ND_NC_2020Q3AUG_NVS_Nivus-Launch-Consideracao</v>
      </c>
      <c r="AU768" s="22" t="str">
        <f t="shared" si="4"/>
        <v>#N/A</v>
      </c>
      <c r="AV768" s="22" t="s">
        <v>106</v>
      </c>
      <c r="AW7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8" s="22" t="str">
        <f t="shared" si="5"/>
        <v>BR_IMC_DSY_LANCH_ND_NC_2020Q3AUG_NVS_Nivus-Launch-Consideracao</v>
      </c>
      <c r="AY768" s="28" t="str">
        <f t="shared" si="6"/>
        <v>#N/A</v>
      </c>
      <c r="AZ768" s="22" t="s">
        <v>107</v>
      </c>
      <c r="BA768" s="22" t="s">
        <v>108</v>
      </c>
      <c r="BB768" s="31" t="s">
        <v>109</v>
      </c>
      <c r="BC768" s="31" t="s">
        <v>109</v>
      </c>
      <c r="BD768" s="32" t="str">
        <f t="shared" si="8"/>
        <v>nvl-nvs-imc-dsy-0820-10762</v>
      </c>
      <c r="BE768" s="33"/>
      <c r="BF768" s="33"/>
      <c r="BG768" s="39" t="str">
        <f>URL&amp;IF(ISNUMBER(FIND("?",URL)),"&amp;","?"&amp;("adlid="&amp;Unique_ID&amp;"&amp;adplt="&amp;Placement))</f>
        <v>#N/A</v>
      </c>
      <c r="BH768" s="1"/>
      <c r="BI768" s="1"/>
      <c r="BJ768" s="35" t="str">
        <f>LOWER("alp"&amp;"_"&amp;"vw"&amp;"_"&amp;Veiculo&amp;"_"&amp;C764&amp;"_"&amp;Objetivo)</f>
        <v>alp_vw___</v>
      </c>
      <c r="BK768" s="35" t="str">
        <f>LOWER(Buying_Metric&amp;"_"&amp;VLOOKUP(Buying_Type,Buy_type,2,FALSE)&amp;"_"&amp;Device&amp;"_"&amp;Size&amp;"_"&amp;Segmentação&amp;"_"&amp;Segmentação_Anúncio)</f>
        <v>#N/A</v>
      </c>
      <c r="BL768" s="35" t="str">
        <f>LOWER(Campanha_ou_InsertionOrder&amp;"_"&amp;LineItem_ou_Grupodeanúncio&amp;"_"&amp;Linha_criativa_2&amp;"_"&amp;Unique_ID)</f>
        <v>#N/A</v>
      </c>
      <c r="BM768" s="27"/>
      <c r="BN768" s="27"/>
    </row>
    <row r="769">
      <c r="A769" s="1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8" t="str">
        <f>LOWER(Campanha_ou_InsertionOrder&amp;"_"&amp;LineItem_ou_Grupodeanúncio&amp;"_"&amp;Linha_Criativa&amp;"_"&amp;Unique_ID)</f>
        <v>#N/A</v>
      </c>
      <c r="AN769" s="28" t="str">
        <f>LOWER(Campanha_ou_InsertionOrder&amp;"_"&amp;LineItem_ou_Grupodeanúncio&amp;"_"&amp;Linha_Criativa&amp;"_"&amp;Unique_ID)</f>
        <v>#N/A</v>
      </c>
      <c r="AO769" s="28" t="str">
        <f>LOWER("VW"&amp;"_"&amp;Model_Variant&amp;"_"&amp;Size&amp;"_"&amp;Linha_Criativa&amp;"_"&amp;IF(Servido_Por="portal",Veiculo,"adserver"))</f>
        <v>vw____adserver</v>
      </c>
      <c r="AP7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69" s="22" t="str">
        <f t="shared" si="1"/>
        <v/>
      </c>
      <c r="AS769" s="22" t="str">
        <f t="shared" si="2"/>
        <v/>
      </c>
      <c r="AT769" s="22" t="str">
        <f t="shared" si="3"/>
        <v>BR_IMC_DSY_LANCH_ND_NC_2020Q3AUG_NVS_Nivus-Launch-Consideracao</v>
      </c>
      <c r="AU769" s="22" t="str">
        <f t="shared" si="4"/>
        <v>#N/A</v>
      </c>
      <c r="AV769" s="22" t="s">
        <v>106</v>
      </c>
      <c r="AW7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69" s="22" t="str">
        <f t="shared" si="5"/>
        <v>BR_IMC_DSY_LANCH_ND_NC_2020Q3AUG_NVS_Nivus-Launch-Consideracao</v>
      </c>
      <c r="AY769" s="28" t="str">
        <f t="shared" si="6"/>
        <v>#N/A</v>
      </c>
      <c r="AZ769" s="22" t="s">
        <v>107</v>
      </c>
      <c r="BA769" s="22" t="s">
        <v>108</v>
      </c>
      <c r="BB769" s="31" t="s">
        <v>109</v>
      </c>
      <c r="BC769" s="31" t="s">
        <v>109</v>
      </c>
      <c r="BD769" s="32" t="str">
        <f t="shared" si="8"/>
        <v>nvl-nvs-imc-dsy-0820-10763</v>
      </c>
      <c r="BE769" s="33"/>
      <c r="BF769" s="33"/>
      <c r="BG769" s="39" t="str">
        <f>URL&amp;IF(ISNUMBER(FIND("?",URL)),"&amp;","?"&amp;("adlid="&amp;Unique_ID&amp;"&amp;adplt="&amp;Placement))</f>
        <v>#N/A</v>
      </c>
      <c r="BH769" s="1"/>
      <c r="BI769" s="1"/>
      <c r="BJ769" s="35" t="str">
        <f>LOWER("alp"&amp;"_"&amp;"vw"&amp;"_"&amp;Veiculo&amp;"_"&amp;C765&amp;"_"&amp;Objetivo)</f>
        <v>alp_vw___</v>
      </c>
      <c r="BK769" s="35" t="str">
        <f>LOWER(Buying_Metric&amp;"_"&amp;VLOOKUP(Buying_Type,Buy_type,2,FALSE)&amp;"_"&amp;Device&amp;"_"&amp;Size&amp;"_"&amp;Segmentação&amp;"_"&amp;Segmentação_Anúncio)</f>
        <v>#N/A</v>
      </c>
      <c r="BL769" s="35" t="str">
        <f>LOWER(Campanha_ou_InsertionOrder&amp;"_"&amp;LineItem_ou_Grupodeanúncio&amp;"_"&amp;Linha_criativa_2&amp;"_"&amp;Unique_ID)</f>
        <v>#N/A</v>
      </c>
      <c r="BM769" s="27"/>
      <c r="BN769" s="27"/>
    </row>
    <row r="770">
      <c r="A770" s="1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8" t="str">
        <f>LOWER(Campanha_ou_InsertionOrder&amp;"_"&amp;LineItem_ou_Grupodeanúncio&amp;"_"&amp;Linha_Criativa&amp;"_"&amp;Unique_ID)</f>
        <v>#N/A</v>
      </c>
      <c r="AN770" s="28" t="str">
        <f>LOWER(Campanha_ou_InsertionOrder&amp;"_"&amp;LineItem_ou_Grupodeanúncio&amp;"_"&amp;Linha_Criativa&amp;"_"&amp;Unique_ID)</f>
        <v>#N/A</v>
      </c>
      <c r="AO770" s="28" t="str">
        <f>LOWER("VW"&amp;"_"&amp;Model_Variant&amp;"_"&amp;Size&amp;"_"&amp;Linha_Criativa&amp;"_"&amp;IF(Servido_Por="portal",Veiculo,"adserver"))</f>
        <v>vw____adserver</v>
      </c>
      <c r="AP7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0" s="22" t="str">
        <f t="shared" si="1"/>
        <v/>
      </c>
      <c r="AS770" s="22" t="str">
        <f t="shared" si="2"/>
        <v/>
      </c>
      <c r="AT770" s="22" t="str">
        <f t="shared" si="3"/>
        <v>BR_IMC_DSY_LANCH_ND_NC_2020Q3AUG_NVS_Nivus-Launch-Consideracao</v>
      </c>
      <c r="AU770" s="22" t="str">
        <f t="shared" si="4"/>
        <v>#N/A</v>
      </c>
      <c r="AV770" s="22" t="s">
        <v>106</v>
      </c>
      <c r="AW7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0" s="22" t="str">
        <f t="shared" si="5"/>
        <v>BR_IMC_DSY_LANCH_ND_NC_2020Q3AUG_NVS_Nivus-Launch-Consideracao</v>
      </c>
      <c r="AY770" s="28" t="str">
        <f t="shared" si="6"/>
        <v>#N/A</v>
      </c>
      <c r="AZ770" s="22" t="s">
        <v>107</v>
      </c>
      <c r="BA770" s="22" t="s">
        <v>108</v>
      </c>
      <c r="BB770" s="31" t="s">
        <v>109</v>
      </c>
      <c r="BC770" s="31" t="s">
        <v>109</v>
      </c>
      <c r="BD770" s="32" t="str">
        <f t="shared" si="8"/>
        <v>nvl-nvs-imc-dsy-0820-10764</v>
      </c>
      <c r="BE770" s="33"/>
      <c r="BF770" s="33"/>
      <c r="BG770" s="39" t="str">
        <f>URL&amp;IF(ISNUMBER(FIND("?",URL)),"&amp;","?"&amp;("adlid="&amp;Unique_ID&amp;"&amp;adplt="&amp;Placement))</f>
        <v>#N/A</v>
      </c>
      <c r="BH770" s="1"/>
      <c r="BI770" s="1"/>
      <c r="BJ770" s="35" t="str">
        <f>LOWER("alp"&amp;"_"&amp;"vw"&amp;"_"&amp;Veiculo&amp;"_"&amp;C766&amp;"_"&amp;Objetivo)</f>
        <v>alp_vw___</v>
      </c>
      <c r="BK770" s="35" t="str">
        <f>LOWER(Buying_Metric&amp;"_"&amp;VLOOKUP(Buying_Type,Buy_type,2,FALSE)&amp;"_"&amp;Device&amp;"_"&amp;Size&amp;"_"&amp;Segmentação&amp;"_"&amp;Segmentação_Anúncio)</f>
        <v>#N/A</v>
      </c>
      <c r="BL770" s="35" t="str">
        <f>LOWER(Campanha_ou_InsertionOrder&amp;"_"&amp;LineItem_ou_Grupodeanúncio&amp;"_"&amp;Linha_criativa_2&amp;"_"&amp;Unique_ID)</f>
        <v>#N/A</v>
      </c>
      <c r="BM770" s="27"/>
      <c r="BN770" s="27"/>
    </row>
    <row r="771">
      <c r="A771" s="1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8" t="str">
        <f>LOWER(Campanha_ou_InsertionOrder&amp;"_"&amp;LineItem_ou_Grupodeanúncio&amp;"_"&amp;Linha_Criativa&amp;"_"&amp;Unique_ID)</f>
        <v>#N/A</v>
      </c>
      <c r="AN771" s="28" t="str">
        <f>LOWER(Campanha_ou_InsertionOrder&amp;"_"&amp;LineItem_ou_Grupodeanúncio&amp;"_"&amp;Linha_Criativa&amp;"_"&amp;Unique_ID)</f>
        <v>#N/A</v>
      </c>
      <c r="AO771" s="28" t="str">
        <f>LOWER("VW"&amp;"_"&amp;Model_Variant&amp;"_"&amp;Size&amp;"_"&amp;Linha_Criativa&amp;"_"&amp;IF(Servido_Por="portal",Veiculo,"adserver"))</f>
        <v>vw____adserver</v>
      </c>
      <c r="AP7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1" s="22" t="str">
        <f t="shared" si="1"/>
        <v/>
      </c>
      <c r="AS771" s="22" t="str">
        <f t="shared" si="2"/>
        <v/>
      </c>
      <c r="AT771" s="22" t="str">
        <f t="shared" si="3"/>
        <v>BR_IMC_DSY_LANCH_ND_NC_2020Q3AUG_NVS_Nivus-Launch-Consideracao</v>
      </c>
      <c r="AU771" s="22" t="str">
        <f t="shared" si="4"/>
        <v>#N/A</v>
      </c>
      <c r="AV771" s="22" t="s">
        <v>106</v>
      </c>
      <c r="AW7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1" s="22" t="str">
        <f t="shared" si="5"/>
        <v>BR_IMC_DSY_LANCH_ND_NC_2020Q3AUG_NVS_Nivus-Launch-Consideracao</v>
      </c>
      <c r="AY771" s="28" t="str">
        <f t="shared" si="6"/>
        <v>#N/A</v>
      </c>
      <c r="AZ771" s="22" t="s">
        <v>107</v>
      </c>
      <c r="BA771" s="22" t="s">
        <v>108</v>
      </c>
      <c r="BB771" s="31" t="s">
        <v>109</v>
      </c>
      <c r="BC771" s="31" t="s">
        <v>109</v>
      </c>
      <c r="BD771" s="32" t="str">
        <f t="shared" si="8"/>
        <v>nvl-nvs-imc-dsy-0820-10765</v>
      </c>
      <c r="BE771" s="33"/>
      <c r="BF771" s="33"/>
      <c r="BG771" s="39" t="str">
        <f>URL&amp;IF(ISNUMBER(FIND("?",URL)),"&amp;","?"&amp;("adlid="&amp;Unique_ID&amp;"&amp;adplt="&amp;Placement))</f>
        <v>#N/A</v>
      </c>
      <c r="BH771" s="1"/>
      <c r="BI771" s="1"/>
      <c r="BJ771" s="35" t="str">
        <f>LOWER("alp"&amp;"_"&amp;"vw"&amp;"_"&amp;Veiculo&amp;"_"&amp;C767&amp;"_"&amp;Objetivo)</f>
        <v>alp_vw___</v>
      </c>
      <c r="BK771" s="35" t="str">
        <f>LOWER(Buying_Metric&amp;"_"&amp;VLOOKUP(Buying_Type,Buy_type,2,FALSE)&amp;"_"&amp;Device&amp;"_"&amp;Size&amp;"_"&amp;Segmentação&amp;"_"&amp;Segmentação_Anúncio)</f>
        <v>#N/A</v>
      </c>
      <c r="BL771" s="35" t="str">
        <f>LOWER(Campanha_ou_InsertionOrder&amp;"_"&amp;LineItem_ou_Grupodeanúncio&amp;"_"&amp;Linha_criativa_2&amp;"_"&amp;Unique_ID)</f>
        <v>#N/A</v>
      </c>
      <c r="BM771" s="27"/>
      <c r="BN771" s="27"/>
    </row>
    <row r="772">
      <c r="A772" s="1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8" t="str">
        <f>LOWER(Campanha_ou_InsertionOrder&amp;"_"&amp;LineItem_ou_Grupodeanúncio&amp;"_"&amp;Linha_Criativa&amp;"_"&amp;Unique_ID)</f>
        <v>#N/A</v>
      </c>
      <c r="AN772" s="28" t="str">
        <f>LOWER(Campanha_ou_InsertionOrder&amp;"_"&amp;LineItem_ou_Grupodeanúncio&amp;"_"&amp;Linha_Criativa&amp;"_"&amp;Unique_ID)</f>
        <v>#N/A</v>
      </c>
      <c r="AO772" s="28" t="str">
        <f>LOWER("VW"&amp;"_"&amp;Model_Variant&amp;"_"&amp;Size&amp;"_"&amp;Linha_Criativa&amp;"_"&amp;IF(Servido_Por="portal",Veiculo,"adserver"))</f>
        <v>vw____adserver</v>
      </c>
      <c r="AP7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2" s="22" t="str">
        <f t="shared" si="1"/>
        <v/>
      </c>
      <c r="AS772" s="22" t="str">
        <f t="shared" si="2"/>
        <v/>
      </c>
      <c r="AT772" s="22" t="str">
        <f t="shared" si="3"/>
        <v>BR_IMC_DSY_LANCH_ND_NC_2020Q3AUG_NVS_Nivus-Launch-Consideracao</v>
      </c>
      <c r="AU772" s="22" t="str">
        <f t="shared" si="4"/>
        <v>#N/A</v>
      </c>
      <c r="AV772" s="22" t="s">
        <v>106</v>
      </c>
      <c r="AW7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2" s="22" t="str">
        <f t="shared" si="5"/>
        <v>BR_IMC_DSY_LANCH_ND_NC_2020Q3AUG_NVS_Nivus-Launch-Consideracao</v>
      </c>
      <c r="AY772" s="28" t="str">
        <f t="shared" si="6"/>
        <v>#N/A</v>
      </c>
      <c r="AZ772" s="22" t="s">
        <v>107</v>
      </c>
      <c r="BA772" s="22" t="s">
        <v>108</v>
      </c>
      <c r="BB772" s="31" t="s">
        <v>109</v>
      </c>
      <c r="BC772" s="31" t="s">
        <v>109</v>
      </c>
      <c r="BD772" s="32" t="str">
        <f t="shared" si="8"/>
        <v>nvl-nvs-imc-dsy-0820-10766</v>
      </c>
      <c r="BE772" s="33"/>
      <c r="BF772" s="33"/>
      <c r="BG772" s="39" t="str">
        <f>URL&amp;IF(ISNUMBER(FIND("?",URL)),"&amp;","?"&amp;("adlid="&amp;Unique_ID&amp;"&amp;adplt="&amp;Placement))</f>
        <v>#N/A</v>
      </c>
      <c r="BH772" s="1"/>
      <c r="BI772" s="1"/>
      <c r="BJ772" s="35" t="str">
        <f>LOWER("alp"&amp;"_"&amp;"vw"&amp;"_"&amp;Veiculo&amp;"_"&amp;C768&amp;"_"&amp;Objetivo)</f>
        <v>alp_vw___</v>
      </c>
      <c r="BK772" s="35" t="str">
        <f>LOWER(Buying_Metric&amp;"_"&amp;VLOOKUP(Buying_Type,Buy_type,2,FALSE)&amp;"_"&amp;Device&amp;"_"&amp;Size&amp;"_"&amp;Segmentação&amp;"_"&amp;Segmentação_Anúncio)</f>
        <v>#N/A</v>
      </c>
      <c r="BL772" s="35" t="str">
        <f>LOWER(Campanha_ou_InsertionOrder&amp;"_"&amp;LineItem_ou_Grupodeanúncio&amp;"_"&amp;Linha_criativa_2&amp;"_"&amp;Unique_ID)</f>
        <v>#N/A</v>
      </c>
      <c r="BM772" s="27"/>
      <c r="BN772" s="27"/>
    </row>
    <row r="773">
      <c r="A773" s="1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8" t="str">
        <f>LOWER(Campanha_ou_InsertionOrder&amp;"_"&amp;LineItem_ou_Grupodeanúncio&amp;"_"&amp;Linha_Criativa&amp;"_"&amp;Unique_ID)</f>
        <v>#N/A</v>
      </c>
      <c r="AN773" s="28" t="str">
        <f>LOWER(Campanha_ou_InsertionOrder&amp;"_"&amp;LineItem_ou_Grupodeanúncio&amp;"_"&amp;Linha_Criativa&amp;"_"&amp;Unique_ID)</f>
        <v>#N/A</v>
      </c>
      <c r="AO773" s="28" t="str">
        <f>LOWER("VW"&amp;"_"&amp;Model_Variant&amp;"_"&amp;Size&amp;"_"&amp;Linha_Criativa&amp;"_"&amp;IF(Servido_Por="portal",Veiculo,"adserver"))</f>
        <v>vw____adserver</v>
      </c>
      <c r="AP7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3" s="22" t="str">
        <f t="shared" si="1"/>
        <v/>
      </c>
      <c r="AS773" s="22" t="str">
        <f t="shared" si="2"/>
        <v/>
      </c>
      <c r="AT773" s="22" t="str">
        <f t="shared" si="3"/>
        <v>BR_IMC_DSY_LANCH_ND_NC_2020Q3AUG_NVS_Nivus-Launch-Consideracao</v>
      </c>
      <c r="AU773" s="22" t="str">
        <f t="shared" si="4"/>
        <v>#N/A</v>
      </c>
      <c r="AV773" s="22" t="s">
        <v>106</v>
      </c>
      <c r="AW7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3" s="22" t="str">
        <f t="shared" si="5"/>
        <v>BR_IMC_DSY_LANCH_ND_NC_2020Q3AUG_NVS_Nivus-Launch-Consideracao</v>
      </c>
      <c r="AY773" s="28" t="str">
        <f t="shared" si="6"/>
        <v>#N/A</v>
      </c>
      <c r="AZ773" s="22" t="s">
        <v>107</v>
      </c>
      <c r="BA773" s="22" t="s">
        <v>108</v>
      </c>
      <c r="BB773" s="31" t="s">
        <v>109</v>
      </c>
      <c r="BC773" s="31" t="s">
        <v>109</v>
      </c>
      <c r="BD773" s="32" t="str">
        <f t="shared" si="8"/>
        <v>nvl-nvs-imc-dsy-0820-10767</v>
      </c>
      <c r="BE773" s="33"/>
      <c r="BF773" s="33"/>
      <c r="BG773" s="39" t="str">
        <f>URL&amp;IF(ISNUMBER(FIND("?",URL)),"&amp;","?"&amp;("adlid="&amp;Unique_ID&amp;"&amp;adplt="&amp;Placement))</f>
        <v>#N/A</v>
      </c>
      <c r="BH773" s="1"/>
      <c r="BI773" s="1"/>
      <c r="BJ773" s="35" t="str">
        <f>LOWER("alp"&amp;"_"&amp;"vw"&amp;"_"&amp;Veiculo&amp;"_"&amp;C769&amp;"_"&amp;Objetivo)</f>
        <v>alp_vw___</v>
      </c>
      <c r="BK773" s="35" t="str">
        <f>LOWER(Buying_Metric&amp;"_"&amp;VLOOKUP(Buying_Type,Buy_type,2,FALSE)&amp;"_"&amp;Device&amp;"_"&amp;Size&amp;"_"&amp;Segmentação&amp;"_"&amp;Segmentação_Anúncio)</f>
        <v>#N/A</v>
      </c>
      <c r="BL773" s="35" t="str">
        <f>LOWER(Campanha_ou_InsertionOrder&amp;"_"&amp;LineItem_ou_Grupodeanúncio&amp;"_"&amp;Linha_criativa_2&amp;"_"&amp;Unique_ID)</f>
        <v>#N/A</v>
      </c>
      <c r="BM773" s="27"/>
      <c r="BN773" s="27"/>
    </row>
    <row r="774">
      <c r="A774" s="1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8" t="str">
        <f>LOWER(Campanha_ou_InsertionOrder&amp;"_"&amp;LineItem_ou_Grupodeanúncio&amp;"_"&amp;Linha_Criativa&amp;"_"&amp;Unique_ID)</f>
        <v>#N/A</v>
      </c>
      <c r="AN774" s="28" t="str">
        <f>LOWER(Campanha_ou_InsertionOrder&amp;"_"&amp;LineItem_ou_Grupodeanúncio&amp;"_"&amp;Linha_Criativa&amp;"_"&amp;Unique_ID)</f>
        <v>#N/A</v>
      </c>
      <c r="AO774" s="28" t="str">
        <f>LOWER("VW"&amp;"_"&amp;Model_Variant&amp;"_"&amp;Size&amp;"_"&amp;Linha_Criativa&amp;"_"&amp;IF(Servido_Por="portal",Veiculo,"adserver"))</f>
        <v>vw____adserver</v>
      </c>
      <c r="AP7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4" s="22" t="str">
        <f t="shared" si="1"/>
        <v/>
      </c>
      <c r="AS774" s="22" t="str">
        <f t="shared" si="2"/>
        <v/>
      </c>
      <c r="AT774" s="22" t="str">
        <f t="shared" si="3"/>
        <v>BR_IMC_DSY_LANCH_ND_NC_2020Q3AUG_NVS_Nivus-Launch-Consideracao</v>
      </c>
      <c r="AU774" s="22" t="str">
        <f t="shared" si="4"/>
        <v>#N/A</v>
      </c>
      <c r="AV774" s="22" t="s">
        <v>106</v>
      </c>
      <c r="AW7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4" s="22" t="str">
        <f t="shared" si="5"/>
        <v>BR_IMC_DSY_LANCH_ND_NC_2020Q3AUG_NVS_Nivus-Launch-Consideracao</v>
      </c>
      <c r="AY774" s="28" t="str">
        <f t="shared" si="6"/>
        <v>#N/A</v>
      </c>
      <c r="AZ774" s="22" t="s">
        <v>107</v>
      </c>
      <c r="BA774" s="22" t="s">
        <v>108</v>
      </c>
      <c r="BB774" s="31" t="s">
        <v>109</v>
      </c>
      <c r="BC774" s="31" t="s">
        <v>109</v>
      </c>
      <c r="BD774" s="32" t="str">
        <f t="shared" si="8"/>
        <v>nvl-nvs-imc-dsy-0820-10768</v>
      </c>
      <c r="BE774" s="33"/>
      <c r="BF774" s="33"/>
      <c r="BG774" s="39" t="str">
        <f>URL&amp;IF(ISNUMBER(FIND("?",URL)),"&amp;","?"&amp;("adlid="&amp;Unique_ID&amp;"&amp;adplt="&amp;Placement))</f>
        <v>#N/A</v>
      </c>
      <c r="BH774" s="1"/>
      <c r="BI774" s="1"/>
      <c r="BJ774" s="35" t="str">
        <f>LOWER("alp"&amp;"_"&amp;"vw"&amp;"_"&amp;Veiculo&amp;"_"&amp;C770&amp;"_"&amp;Objetivo)</f>
        <v>alp_vw___</v>
      </c>
      <c r="BK774" s="35" t="str">
        <f>LOWER(Buying_Metric&amp;"_"&amp;VLOOKUP(Buying_Type,Buy_type,2,FALSE)&amp;"_"&amp;Device&amp;"_"&amp;Size&amp;"_"&amp;Segmentação&amp;"_"&amp;Segmentação_Anúncio)</f>
        <v>#N/A</v>
      </c>
      <c r="BL774" s="35" t="str">
        <f>LOWER(Campanha_ou_InsertionOrder&amp;"_"&amp;LineItem_ou_Grupodeanúncio&amp;"_"&amp;Linha_criativa_2&amp;"_"&amp;Unique_ID)</f>
        <v>#N/A</v>
      </c>
      <c r="BM774" s="27"/>
      <c r="BN774" s="27"/>
    </row>
    <row r="775">
      <c r="A775" s="1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8" t="str">
        <f>LOWER(Campanha_ou_InsertionOrder&amp;"_"&amp;LineItem_ou_Grupodeanúncio&amp;"_"&amp;Linha_Criativa&amp;"_"&amp;Unique_ID)</f>
        <v>#N/A</v>
      </c>
      <c r="AN775" s="28" t="str">
        <f>LOWER(Campanha_ou_InsertionOrder&amp;"_"&amp;LineItem_ou_Grupodeanúncio&amp;"_"&amp;Linha_Criativa&amp;"_"&amp;Unique_ID)</f>
        <v>#N/A</v>
      </c>
      <c r="AO775" s="28" t="str">
        <f>LOWER("VW"&amp;"_"&amp;Model_Variant&amp;"_"&amp;Size&amp;"_"&amp;Linha_Criativa&amp;"_"&amp;IF(Servido_Por="portal",Veiculo,"adserver"))</f>
        <v>vw____adserver</v>
      </c>
      <c r="AP7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5" s="22" t="str">
        <f t="shared" si="1"/>
        <v/>
      </c>
      <c r="AS775" s="22" t="str">
        <f t="shared" si="2"/>
        <v/>
      </c>
      <c r="AT775" s="22" t="str">
        <f t="shared" si="3"/>
        <v>BR_IMC_DSY_LANCH_ND_NC_2020Q3AUG_NVS_Nivus-Launch-Consideracao</v>
      </c>
      <c r="AU775" s="22" t="str">
        <f t="shared" si="4"/>
        <v>#N/A</v>
      </c>
      <c r="AV775" s="22" t="s">
        <v>106</v>
      </c>
      <c r="AW7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5" s="22" t="str">
        <f t="shared" si="5"/>
        <v>BR_IMC_DSY_LANCH_ND_NC_2020Q3AUG_NVS_Nivus-Launch-Consideracao</v>
      </c>
      <c r="AY775" s="28" t="str">
        <f t="shared" si="6"/>
        <v>#N/A</v>
      </c>
      <c r="AZ775" s="22" t="s">
        <v>107</v>
      </c>
      <c r="BA775" s="22" t="s">
        <v>108</v>
      </c>
      <c r="BB775" s="31" t="s">
        <v>109</v>
      </c>
      <c r="BC775" s="31" t="s">
        <v>109</v>
      </c>
      <c r="BD775" s="32" t="str">
        <f t="shared" si="8"/>
        <v>nvl-nvs-imc-dsy-0820-10769</v>
      </c>
      <c r="BE775" s="33"/>
      <c r="BF775" s="33"/>
      <c r="BG775" s="39" t="str">
        <f>URL&amp;IF(ISNUMBER(FIND("?",URL)),"&amp;","?"&amp;("adlid="&amp;Unique_ID&amp;"&amp;adplt="&amp;Placement))</f>
        <v>#N/A</v>
      </c>
      <c r="BH775" s="1"/>
      <c r="BI775" s="1"/>
      <c r="BJ775" s="35" t="str">
        <f>LOWER("alp"&amp;"_"&amp;"vw"&amp;"_"&amp;Veiculo&amp;"_"&amp;C771&amp;"_"&amp;Objetivo)</f>
        <v>alp_vw___</v>
      </c>
      <c r="BK775" s="35" t="str">
        <f>LOWER(Buying_Metric&amp;"_"&amp;VLOOKUP(Buying_Type,Buy_type,2,FALSE)&amp;"_"&amp;Device&amp;"_"&amp;Size&amp;"_"&amp;Segmentação&amp;"_"&amp;Segmentação_Anúncio)</f>
        <v>#N/A</v>
      </c>
      <c r="BL775" s="35" t="str">
        <f>LOWER(Campanha_ou_InsertionOrder&amp;"_"&amp;LineItem_ou_Grupodeanúncio&amp;"_"&amp;Linha_criativa_2&amp;"_"&amp;Unique_ID)</f>
        <v>#N/A</v>
      </c>
      <c r="BM775" s="27"/>
      <c r="BN775" s="27"/>
    </row>
    <row r="776">
      <c r="A776" s="1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8" t="str">
        <f>LOWER(Campanha_ou_InsertionOrder&amp;"_"&amp;LineItem_ou_Grupodeanúncio&amp;"_"&amp;Linha_Criativa&amp;"_"&amp;Unique_ID)</f>
        <v>#N/A</v>
      </c>
      <c r="AN776" s="28" t="str">
        <f>LOWER(Campanha_ou_InsertionOrder&amp;"_"&amp;LineItem_ou_Grupodeanúncio&amp;"_"&amp;Linha_Criativa&amp;"_"&amp;Unique_ID)</f>
        <v>#N/A</v>
      </c>
      <c r="AO776" s="28" t="str">
        <f>LOWER("VW"&amp;"_"&amp;Model_Variant&amp;"_"&amp;Size&amp;"_"&amp;Linha_Criativa&amp;"_"&amp;IF(Servido_Por="portal",Veiculo,"adserver"))</f>
        <v>vw____adserver</v>
      </c>
      <c r="AP7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6" s="22" t="str">
        <f t="shared" si="1"/>
        <v/>
      </c>
      <c r="AS776" s="22" t="str">
        <f t="shared" si="2"/>
        <v/>
      </c>
      <c r="AT776" s="22" t="str">
        <f t="shared" si="3"/>
        <v>BR_IMC_DSY_LANCH_ND_NC_2020Q3AUG_NVS_Nivus-Launch-Consideracao</v>
      </c>
      <c r="AU776" s="22" t="str">
        <f t="shared" si="4"/>
        <v>#N/A</v>
      </c>
      <c r="AV776" s="22" t="s">
        <v>106</v>
      </c>
      <c r="AW7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6" s="22" t="str">
        <f t="shared" si="5"/>
        <v>BR_IMC_DSY_LANCH_ND_NC_2020Q3AUG_NVS_Nivus-Launch-Consideracao</v>
      </c>
      <c r="AY776" s="28" t="str">
        <f t="shared" si="6"/>
        <v>#N/A</v>
      </c>
      <c r="AZ776" s="22" t="s">
        <v>107</v>
      </c>
      <c r="BA776" s="22" t="s">
        <v>108</v>
      </c>
      <c r="BB776" s="31" t="s">
        <v>109</v>
      </c>
      <c r="BC776" s="31" t="s">
        <v>109</v>
      </c>
      <c r="BD776" s="32" t="str">
        <f t="shared" si="8"/>
        <v>nvl-nvs-imc-dsy-0820-10770</v>
      </c>
      <c r="BE776" s="33"/>
      <c r="BF776" s="33"/>
      <c r="BG776" s="39" t="str">
        <f>URL&amp;IF(ISNUMBER(FIND("?",URL)),"&amp;","?"&amp;("adlid="&amp;Unique_ID&amp;"&amp;adplt="&amp;Placement))</f>
        <v>#N/A</v>
      </c>
      <c r="BH776" s="1"/>
      <c r="BI776" s="1"/>
      <c r="BJ776" s="35" t="str">
        <f>LOWER("alp"&amp;"_"&amp;"vw"&amp;"_"&amp;Veiculo&amp;"_"&amp;C772&amp;"_"&amp;Objetivo)</f>
        <v>alp_vw___</v>
      </c>
      <c r="BK776" s="35" t="str">
        <f>LOWER(Buying_Metric&amp;"_"&amp;VLOOKUP(Buying_Type,Buy_type,2,FALSE)&amp;"_"&amp;Device&amp;"_"&amp;Size&amp;"_"&amp;Segmentação&amp;"_"&amp;Segmentação_Anúncio)</f>
        <v>#N/A</v>
      </c>
      <c r="BL776" s="35" t="str">
        <f>LOWER(Campanha_ou_InsertionOrder&amp;"_"&amp;LineItem_ou_Grupodeanúncio&amp;"_"&amp;Linha_criativa_2&amp;"_"&amp;Unique_ID)</f>
        <v>#N/A</v>
      </c>
      <c r="BM776" s="27"/>
      <c r="BN776" s="27"/>
    </row>
    <row r="777">
      <c r="A777" s="1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8" t="str">
        <f>LOWER(Campanha_ou_InsertionOrder&amp;"_"&amp;LineItem_ou_Grupodeanúncio&amp;"_"&amp;Linha_Criativa&amp;"_"&amp;Unique_ID)</f>
        <v>#N/A</v>
      </c>
      <c r="AN777" s="28" t="str">
        <f>LOWER(Campanha_ou_InsertionOrder&amp;"_"&amp;LineItem_ou_Grupodeanúncio&amp;"_"&amp;Linha_Criativa&amp;"_"&amp;Unique_ID)</f>
        <v>#N/A</v>
      </c>
      <c r="AO777" s="28" t="str">
        <f>LOWER("VW"&amp;"_"&amp;Model_Variant&amp;"_"&amp;Size&amp;"_"&amp;Linha_Criativa&amp;"_"&amp;IF(Servido_Por="portal",Veiculo,"adserver"))</f>
        <v>vw____adserver</v>
      </c>
      <c r="AP7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7" s="22" t="str">
        <f t="shared" si="1"/>
        <v/>
      </c>
      <c r="AS777" s="22" t="str">
        <f t="shared" si="2"/>
        <v/>
      </c>
      <c r="AT777" s="22" t="str">
        <f t="shared" si="3"/>
        <v>BR_IMC_DSY_LANCH_ND_NC_2020Q3AUG_NVS_Nivus-Launch-Consideracao</v>
      </c>
      <c r="AU777" s="22" t="str">
        <f t="shared" si="4"/>
        <v>#N/A</v>
      </c>
      <c r="AV777" s="22" t="s">
        <v>106</v>
      </c>
      <c r="AW7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7" s="22" t="str">
        <f t="shared" si="5"/>
        <v>BR_IMC_DSY_LANCH_ND_NC_2020Q3AUG_NVS_Nivus-Launch-Consideracao</v>
      </c>
      <c r="AY777" s="28" t="str">
        <f t="shared" si="6"/>
        <v>#N/A</v>
      </c>
      <c r="AZ777" s="22" t="s">
        <v>107</v>
      </c>
      <c r="BA777" s="22" t="s">
        <v>108</v>
      </c>
      <c r="BB777" s="31" t="s">
        <v>109</v>
      </c>
      <c r="BC777" s="31" t="s">
        <v>109</v>
      </c>
      <c r="BD777" s="32" t="str">
        <f t="shared" si="8"/>
        <v>nvl-nvs-imc-dsy-0820-10771</v>
      </c>
      <c r="BE777" s="33"/>
      <c r="BF777" s="33"/>
      <c r="BG777" s="39" t="str">
        <f>URL&amp;IF(ISNUMBER(FIND("?",URL)),"&amp;","?"&amp;("adlid="&amp;Unique_ID&amp;"&amp;adplt="&amp;Placement))</f>
        <v>#N/A</v>
      </c>
      <c r="BH777" s="1"/>
      <c r="BI777" s="1"/>
      <c r="BJ777" s="35" t="str">
        <f>LOWER("alp"&amp;"_"&amp;"vw"&amp;"_"&amp;Veiculo&amp;"_"&amp;C773&amp;"_"&amp;Objetivo)</f>
        <v>alp_vw___</v>
      </c>
      <c r="BK777" s="35" t="str">
        <f>LOWER(Buying_Metric&amp;"_"&amp;VLOOKUP(Buying_Type,Buy_type,2,FALSE)&amp;"_"&amp;Device&amp;"_"&amp;Size&amp;"_"&amp;Segmentação&amp;"_"&amp;Segmentação_Anúncio)</f>
        <v>#N/A</v>
      </c>
      <c r="BL777" s="35" t="str">
        <f>LOWER(Campanha_ou_InsertionOrder&amp;"_"&amp;LineItem_ou_Grupodeanúncio&amp;"_"&amp;Linha_criativa_2&amp;"_"&amp;Unique_ID)</f>
        <v>#N/A</v>
      </c>
      <c r="BM777" s="27"/>
      <c r="BN777" s="27"/>
    </row>
    <row r="778">
      <c r="A778" s="1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8" t="str">
        <f>LOWER(Campanha_ou_InsertionOrder&amp;"_"&amp;LineItem_ou_Grupodeanúncio&amp;"_"&amp;Linha_Criativa&amp;"_"&amp;Unique_ID)</f>
        <v>#N/A</v>
      </c>
      <c r="AN778" s="28" t="str">
        <f>LOWER(Campanha_ou_InsertionOrder&amp;"_"&amp;LineItem_ou_Grupodeanúncio&amp;"_"&amp;Linha_Criativa&amp;"_"&amp;Unique_ID)</f>
        <v>#N/A</v>
      </c>
      <c r="AO778" s="28" t="str">
        <f>LOWER("VW"&amp;"_"&amp;Model_Variant&amp;"_"&amp;Size&amp;"_"&amp;Linha_Criativa&amp;"_"&amp;IF(Servido_Por="portal",Veiculo,"adserver"))</f>
        <v>vw____adserver</v>
      </c>
      <c r="AP7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8" s="22" t="str">
        <f t="shared" si="1"/>
        <v/>
      </c>
      <c r="AS778" s="22" t="str">
        <f t="shared" si="2"/>
        <v/>
      </c>
      <c r="AT778" s="22" t="str">
        <f t="shared" si="3"/>
        <v>BR_IMC_DSY_LANCH_ND_NC_2020Q3AUG_NVS_Nivus-Launch-Consideracao</v>
      </c>
      <c r="AU778" s="22" t="str">
        <f t="shared" si="4"/>
        <v>#N/A</v>
      </c>
      <c r="AV778" s="22" t="s">
        <v>106</v>
      </c>
      <c r="AW7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8" s="22" t="str">
        <f t="shared" si="5"/>
        <v>BR_IMC_DSY_LANCH_ND_NC_2020Q3AUG_NVS_Nivus-Launch-Consideracao</v>
      </c>
      <c r="AY778" s="28" t="str">
        <f t="shared" si="6"/>
        <v>#N/A</v>
      </c>
      <c r="AZ778" s="22" t="s">
        <v>107</v>
      </c>
      <c r="BA778" s="22" t="s">
        <v>108</v>
      </c>
      <c r="BB778" s="31" t="s">
        <v>109</v>
      </c>
      <c r="BC778" s="31" t="s">
        <v>109</v>
      </c>
      <c r="BD778" s="32" t="str">
        <f t="shared" si="8"/>
        <v>nvl-nvs-imc-dsy-0820-10772</v>
      </c>
      <c r="BE778" s="33"/>
      <c r="BF778" s="33"/>
      <c r="BG778" s="39" t="str">
        <f>URL&amp;IF(ISNUMBER(FIND("?",URL)),"&amp;","?"&amp;("adlid="&amp;Unique_ID&amp;"&amp;adplt="&amp;Placement))</f>
        <v>#N/A</v>
      </c>
      <c r="BH778" s="1"/>
      <c r="BI778" s="1"/>
      <c r="BJ778" s="35" t="str">
        <f>LOWER("alp"&amp;"_"&amp;"vw"&amp;"_"&amp;Veiculo&amp;"_"&amp;C774&amp;"_"&amp;Objetivo)</f>
        <v>alp_vw___</v>
      </c>
      <c r="BK778" s="35" t="str">
        <f>LOWER(Buying_Metric&amp;"_"&amp;VLOOKUP(Buying_Type,Buy_type,2,FALSE)&amp;"_"&amp;Device&amp;"_"&amp;Size&amp;"_"&amp;Segmentação&amp;"_"&amp;Segmentação_Anúncio)</f>
        <v>#N/A</v>
      </c>
      <c r="BL778" s="35" t="str">
        <f>LOWER(Campanha_ou_InsertionOrder&amp;"_"&amp;LineItem_ou_Grupodeanúncio&amp;"_"&amp;Linha_criativa_2&amp;"_"&amp;Unique_ID)</f>
        <v>#N/A</v>
      </c>
      <c r="BM778" s="27"/>
      <c r="BN778" s="27"/>
    </row>
    <row r="779">
      <c r="A779" s="1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8" t="str">
        <f>LOWER(Campanha_ou_InsertionOrder&amp;"_"&amp;LineItem_ou_Grupodeanúncio&amp;"_"&amp;Linha_Criativa&amp;"_"&amp;Unique_ID)</f>
        <v>#N/A</v>
      </c>
      <c r="AN779" s="28" t="str">
        <f>LOWER(Campanha_ou_InsertionOrder&amp;"_"&amp;LineItem_ou_Grupodeanúncio&amp;"_"&amp;Linha_Criativa&amp;"_"&amp;Unique_ID)</f>
        <v>#N/A</v>
      </c>
      <c r="AO779" s="28" t="str">
        <f>LOWER("VW"&amp;"_"&amp;Model_Variant&amp;"_"&amp;Size&amp;"_"&amp;Linha_Criativa&amp;"_"&amp;IF(Servido_Por="portal",Veiculo,"adserver"))</f>
        <v>vw____adserver</v>
      </c>
      <c r="AP7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79" s="22" t="str">
        <f t="shared" si="1"/>
        <v/>
      </c>
      <c r="AS779" s="22" t="str">
        <f t="shared" si="2"/>
        <v/>
      </c>
      <c r="AT779" s="22" t="str">
        <f t="shared" si="3"/>
        <v>BR_IMC_DSY_LANCH_ND_NC_2020Q3AUG_NVS_Nivus-Launch-Consideracao</v>
      </c>
      <c r="AU779" s="22" t="str">
        <f t="shared" si="4"/>
        <v>#N/A</v>
      </c>
      <c r="AV779" s="22" t="s">
        <v>106</v>
      </c>
      <c r="AW7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79" s="22" t="str">
        <f t="shared" si="5"/>
        <v>BR_IMC_DSY_LANCH_ND_NC_2020Q3AUG_NVS_Nivus-Launch-Consideracao</v>
      </c>
      <c r="AY779" s="28" t="str">
        <f t="shared" si="6"/>
        <v>#N/A</v>
      </c>
      <c r="AZ779" s="22" t="s">
        <v>107</v>
      </c>
      <c r="BA779" s="22" t="s">
        <v>108</v>
      </c>
      <c r="BB779" s="31" t="s">
        <v>109</v>
      </c>
      <c r="BC779" s="31" t="s">
        <v>109</v>
      </c>
      <c r="BD779" s="32" t="str">
        <f t="shared" si="8"/>
        <v>nvl-nvs-imc-dsy-0820-10773</v>
      </c>
      <c r="BE779" s="33"/>
      <c r="BF779" s="33"/>
      <c r="BG779" s="39" t="str">
        <f>URL&amp;IF(ISNUMBER(FIND("?",URL)),"&amp;","?"&amp;("adlid="&amp;Unique_ID&amp;"&amp;adplt="&amp;Placement))</f>
        <v>#N/A</v>
      </c>
      <c r="BH779" s="1"/>
      <c r="BI779" s="1"/>
      <c r="BJ779" s="35" t="str">
        <f>LOWER("alp"&amp;"_"&amp;"vw"&amp;"_"&amp;Veiculo&amp;"_"&amp;C775&amp;"_"&amp;Objetivo)</f>
        <v>alp_vw___</v>
      </c>
      <c r="BK779" s="35" t="str">
        <f>LOWER(Buying_Metric&amp;"_"&amp;VLOOKUP(Buying_Type,Buy_type,2,FALSE)&amp;"_"&amp;Device&amp;"_"&amp;Size&amp;"_"&amp;Segmentação&amp;"_"&amp;Segmentação_Anúncio)</f>
        <v>#N/A</v>
      </c>
      <c r="BL779" s="35" t="str">
        <f>LOWER(Campanha_ou_InsertionOrder&amp;"_"&amp;LineItem_ou_Grupodeanúncio&amp;"_"&amp;Linha_criativa_2&amp;"_"&amp;Unique_ID)</f>
        <v>#N/A</v>
      </c>
      <c r="BM779" s="27"/>
      <c r="BN779" s="27"/>
    </row>
    <row r="780">
      <c r="A780" s="1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8" t="str">
        <f>LOWER(Campanha_ou_InsertionOrder&amp;"_"&amp;LineItem_ou_Grupodeanúncio&amp;"_"&amp;Linha_Criativa&amp;"_"&amp;Unique_ID)</f>
        <v>#N/A</v>
      </c>
      <c r="AN780" s="28" t="str">
        <f>LOWER(Campanha_ou_InsertionOrder&amp;"_"&amp;LineItem_ou_Grupodeanúncio&amp;"_"&amp;Linha_Criativa&amp;"_"&amp;Unique_ID)</f>
        <v>#N/A</v>
      </c>
      <c r="AO780" s="28" t="str">
        <f>LOWER("VW"&amp;"_"&amp;Model_Variant&amp;"_"&amp;Size&amp;"_"&amp;Linha_Criativa&amp;"_"&amp;IF(Servido_Por="portal",Veiculo,"adserver"))</f>
        <v>vw____adserver</v>
      </c>
      <c r="AP7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0" s="22" t="str">
        <f t="shared" si="1"/>
        <v/>
      </c>
      <c r="AS780" s="22" t="str">
        <f t="shared" si="2"/>
        <v/>
      </c>
      <c r="AT780" s="22" t="str">
        <f t="shared" si="3"/>
        <v>BR_IMC_DSY_LANCH_ND_NC_2020Q3AUG_NVS_Nivus-Launch-Consideracao</v>
      </c>
      <c r="AU780" s="22" t="str">
        <f t="shared" si="4"/>
        <v>#N/A</v>
      </c>
      <c r="AV780" s="22" t="s">
        <v>106</v>
      </c>
      <c r="AW7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0" s="22" t="str">
        <f t="shared" si="5"/>
        <v>BR_IMC_DSY_LANCH_ND_NC_2020Q3AUG_NVS_Nivus-Launch-Consideracao</v>
      </c>
      <c r="AY780" s="28" t="str">
        <f t="shared" si="6"/>
        <v>#N/A</v>
      </c>
      <c r="AZ780" s="22" t="s">
        <v>107</v>
      </c>
      <c r="BA780" s="22" t="s">
        <v>108</v>
      </c>
      <c r="BB780" s="31" t="s">
        <v>109</v>
      </c>
      <c r="BC780" s="31" t="s">
        <v>109</v>
      </c>
      <c r="BD780" s="32" t="str">
        <f t="shared" si="8"/>
        <v>nvl-nvs-imc-dsy-0820-10774</v>
      </c>
      <c r="BE780" s="33"/>
      <c r="BF780" s="33"/>
      <c r="BG780" s="39" t="str">
        <f>URL&amp;IF(ISNUMBER(FIND("?",URL)),"&amp;","?"&amp;("adlid="&amp;Unique_ID&amp;"&amp;adplt="&amp;Placement))</f>
        <v>#N/A</v>
      </c>
      <c r="BH780" s="1"/>
      <c r="BI780" s="1"/>
      <c r="BJ780" s="35" t="str">
        <f>LOWER("alp"&amp;"_"&amp;"vw"&amp;"_"&amp;Veiculo&amp;"_"&amp;C776&amp;"_"&amp;Objetivo)</f>
        <v>alp_vw___</v>
      </c>
      <c r="BK780" s="35" t="str">
        <f>LOWER(Buying_Metric&amp;"_"&amp;VLOOKUP(Buying_Type,Buy_type,2,FALSE)&amp;"_"&amp;Device&amp;"_"&amp;Size&amp;"_"&amp;Segmentação&amp;"_"&amp;Segmentação_Anúncio)</f>
        <v>#N/A</v>
      </c>
      <c r="BL780" s="35" t="str">
        <f>LOWER(Campanha_ou_InsertionOrder&amp;"_"&amp;LineItem_ou_Grupodeanúncio&amp;"_"&amp;Linha_criativa_2&amp;"_"&amp;Unique_ID)</f>
        <v>#N/A</v>
      </c>
      <c r="BM780" s="27"/>
      <c r="BN780" s="27"/>
    </row>
    <row r="781">
      <c r="A781" s="1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8" t="str">
        <f>LOWER(Campanha_ou_InsertionOrder&amp;"_"&amp;LineItem_ou_Grupodeanúncio&amp;"_"&amp;Linha_Criativa&amp;"_"&amp;Unique_ID)</f>
        <v>#N/A</v>
      </c>
      <c r="AN781" s="28" t="str">
        <f>LOWER(Campanha_ou_InsertionOrder&amp;"_"&amp;LineItem_ou_Grupodeanúncio&amp;"_"&amp;Linha_Criativa&amp;"_"&amp;Unique_ID)</f>
        <v>#N/A</v>
      </c>
      <c r="AO781" s="28" t="str">
        <f>LOWER("VW"&amp;"_"&amp;Model_Variant&amp;"_"&amp;Size&amp;"_"&amp;Linha_Criativa&amp;"_"&amp;IF(Servido_Por="portal",Veiculo,"adserver"))</f>
        <v>vw____adserver</v>
      </c>
      <c r="AP7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1" s="22" t="str">
        <f t="shared" si="1"/>
        <v/>
      </c>
      <c r="AS781" s="22" t="str">
        <f t="shared" si="2"/>
        <v/>
      </c>
      <c r="AT781" s="22" t="str">
        <f t="shared" si="3"/>
        <v>BR_IMC_DSY_LANCH_ND_NC_2020Q3AUG_NVS_Nivus-Launch-Consideracao</v>
      </c>
      <c r="AU781" s="22" t="str">
        <f t="shared" si="4"/>
        <v>#N/A</v>
      </c>
      <c r="AV781" s="22" t="s">
        <v>106</v>
      </c>
      <c r="AW7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1" s="22" t="str">
        <f t="shared" si="5"/>
        <v>BR_IMC_DSY_LANCH_ND_NC_2020Q3AUG_NVS_Nivus-Launch-Consideracao</v>
      </c>
      <c r="AY781" s="28" t="str">
        <f t="shared" si="6"/>
        <v>#N/A</v>
      </c>
      <c r="AZ781" s="22" t="s">
        <v>107</v>
      </c>
      <c r="BA781" s="22" t="s">
        <v>108</v>
      </c>
      <c r="BB781" s="31" t="s">
        <v>109</v>
      </c>
      <c r="BC781" s="31" t="s">
        <v>109</v>
      </c>
      <c r="BD781" s="32" t="str">
        <f t="shared" si="8"/>
        <v>nvl-nvs-imc-dsy-0820-10775</v>
      </c>
      <c r="BE781" s="33"/>
      <c r="BF781" s="33"/>
      <c r="BG781" s="39" t="str">
        <f>URL&amp;IF(ISNUMBER(FIND("?",URL)),"&amp;","?"&amp;("adlid="&amp;Unique_ID&amp;"&amp;adplt="&amp;Placement))</f>
        <v>#N/A</v>
      </c>
      <c r="BH781" s="1"/>
      <c r="BI781" s="1"/>
      <c r="BJ781" s="35" t="str">
        <f>LOWER("alp"&amp;"_"&amp;"vw"&amp;"_"&amp;Veiculo&amp;"_"&amp;C777&amp;"_"&amp;Objetivo)</f>
        <v>alp_vw___</v>
      </c>
      <c r="BK781" s="35" t="str">
        <f>LOWER(Buying_Metric&amp;"_"&amp;VLOOKUP(Buying_Type,Buy_type,2,FALSE)&amp;"_"&amp;Device&amp;"_"&amp;Size&amp;"_"&amp;Segmentação&amp;"_"&amp;Segmentação_Anúncio)</f>
        <v>#N/A</v>
      </c>
      <c r="BL781" s="35" t="str">
        <f>LOWER(Campanha_ou_InsertionOrder&amp;"_"&amp;LineItem_ou_Grupodeanúncio&amp;"_"&amp;Linha_criativa_2&amp;"_"&amp;Unique_ID)</f>
        <v>#N/A</v>
      </c>
      <c r="BM781" s="27"/>
      <c r="BN781" s="27"/>
    </row>
    <row r="782">
      <c r="A782" s="1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8" t="str">
        <f>LOWER(Campanha_ou_InsertionOrder&amp;"_"&amp;LineItem_ou_Grupodeanúncio&amp;"_"&amp;Linha_Criativa&amp;"_"&amp;Unique_ID)</f>
        <v>#N/A</v>
      </c>
      <c r="AN782" s="28" t="str">
        <f>LOWER(Campanha_ou_InsertionOrder&amp;"_"&amp;LineItem_ou_Grupodeanúncio&amp;"_"&amp;Linha_Criativa&amp;"_"&amp;Unique_ID)</f>
        <v>#N/A</v>
      </c>
      <c r="AO782" s="28" t="str">
        <f>LOWER("VW"&amp;"_"&amp;Model_Variant&amp;"_"&amp;Size&amp;"_"&amp;Linha_Criativa&amp;"_"&amp;IF(Servido_Por="portal",Veiculo,"adserver"))</f>
        <v>vw____adserver</v>
      </c>
      <c r="AP7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2" s="22" t="str">
        <f t="shared" si="1"/>
        <v/>
      </c>
      <c r="AS782" s="22" t="str">
        <f t="shared" si="2"/>
        <v/>
      </c>
      <c r="AT782" s="22" t="str">
        <f t="shared" si="3"/>
        <v>BR_IMC_DSY_LANCH_ND_NC_2020Q3AUG_NVS_Nivus-Launch-Consideracao</v>
      </c>
      <c r="AU782" s="22" t="str">
        <f t="shared" si="4"/>
        <v>#N/A</v>
      </c>
      <c r="AV782" s="22" t="s">
        <v>106</v>
      </c>
      <c r="AW7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2" s="22" t="str">
        <f t="shared" si="5"/>
        <v>BR_IMC_DSY_LANCH_ND_NC_2020Q3AUG_NVS_Nivus-Launch-Consideracao</v>
      </c>
      <c r="AY782" s="28" t="str">
        <f t="shared" si="6"/>
        <v>#N/A</v>
      </c>
      <c r="AZ782" s="22" t="s">
        <v>107</v>
      </c>
      <c r="BA782" s="22" t="s">
        <v>108</v>
      </c>
      <c r="BB782" s="31" t="s">
        <v>109</v>
      </c>
      <c r="BC782" s="31" t="s">
        <v>109</v>
      </c>
      <c r="BD782" s="32" t="str">
        <f t="shared" si="8"/>
        <v>nvl-nvs-imc-dsy-0820-10776</v>
      </c>
      <c r="BE782" s="33"/>
      <c r="BF782" s="33"/>
      <c r="BG782" s="39" t="str">
        <f>URL&amp;IF(ISNUMBER(FIND("?",URL)),"&amp;","?"&amp;("adlid="&amp;Unique_ID&amp;"&amp;adplt="&amp;Placement))</f>
        <v>#N/A</v>
      </c>
      <c r="BH782" s="1"/>
      <c r="BI782" s="1"/>
      <c r="BJ782" s="35" t="str">
        <f>LOWER("alp"&amp;"_"&amp;"vw"&amp;"_"&amp;Veiculo&amp;"_"&amp;C778&amp;"_"&amp;Objetivo)</f>
        <v>alp_vw___</v>
      </c>
      <c r="BK782" s="35" t="str">
        <f>LOWER(Buying_Metric&amp;"_"&amp;VLOOKUP(Buying_Type,Buy_type,2,FALSE)&amp;"_"&amp;Device&amp;"_"&amp;Size&amp;"_"&amp;Segmentação&amp;"_"&amp;Segmentação_Anúncio)</f>
        <v>#N/A</v>
      </c>
      <c r="BL782" s="35" t="str">
        <f>LOWER(Campanha_ou_InsertionOrder&amp;"_"&amp;LineItem_ou_Grupodeanúncio&amp;"_"&amp;Linha_criativa_2&amp;"_"&amp;Unique_ID)</f>
        <v>#N/A</v>
      </c>
      <c r="BM782" s="27"/>
      <c r="BN782" s="27"/>
    </row>
    <row r="783">
      <c r="A783" s="1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8" t="str">
        <f>LOWER(Campanha_ou_InsertionOrder&amp;"_"&amp;LineItem_ou_Grupodeanúncio&amp;"_"&amp;Linha_Criativa&amp;"_"&amp;Unique_ID)</f>
        <v>#N/A</v>
      </c>
      <c r="AN783" s="28" t="str">
        <f>LOWER(Campanha_ou_InsertionOrder&amp;"_"&amp;LineItem_ou_Grupodeanúncio&amp;"_"&amp;Linha_Criativa&amp;"_"&amp;Unique_ID)</f>
        <v>#N/A</v>
      </c>
      <c r="AO783" s="28" t="str">
        <f>LOWER("VW"&amp;"_"&amp;Model_Variant&amp;"_"&amp;Size&amp;"_"&amp;Linha_Criativa&amp;"_"&amp;IF(Servido_Por="portal",Veiculo,"adserver"))</f>
        <v>vw____adserver</v>
      </c>
      <c r="AP7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3" s="22" t="str">
        <f t="shared" si="1"/>
        <v/>
      </c>
      <c r="AS783" s="22" t="str">
        <f t="shared" si="2"/>
        <v/>
      </c>
      <c r="AT783" s="22" t="str">
        <f t="shared" si="3"/>
        <v>BR_IMC_DSY_LANCH_ND_NC_2020Q3AUG_NVS_Nivus-Launch-Consideracao</v>
      </c>
      <c r="AU783" s="22" t="str">
        <f t="shared" si="4"/>
        <v>#N/A</v>
      </c>
      <c r="AV783" s="22" t="s">
        <v>106</v>
      </c>
      <c r="AW7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3" s="22" t="str">
        <f t="shared" si="5"/>
        <v>BR_IMC_DSY_LANCH_ND_NC_2020Q3AUG_NVS_Nivus-Launch-Consideracao</v>
      </c>
      <c r="AY783" s="28" t="str">
        <f t="shared" si="6"/>
        <v>#N/A</v>
      </c>
      <c r="AZ783" s="22" t="s">
        <v>107</v>
      </c>
      <c r="BA783" s="22" t="s">
        <v>108</v>
      </c>
      <c r="BB783" s="31" t="s">
        <v>109</v>
      </c>
      <c r="BC783" s="31" t="s">
        <v>109</v>
      </c>
      <c r="BD783" s="32" t="str">
        <f t="shared" si="8"/>
        <v>nvl-nvs-imc-dsy-0820-10777</v>
      </c>
      <c r="BE783" s="33"/>
      <c r="BF783" s="33"/>
      <c r="BG783" s="39" t="str">
        <f>URL&amp;IF(ISNUMBER(FIND("?",URL)),"&amp;","?"&amp;("adlid="&amp;Unique_ID&amp;"&amp;adplt="&amp;Placement))</f>
        <v>#N/A</v>
      </c>
      <c r="BH783" s="1"/>
      <c r="BI783" s="1"/>
      <c r="BJ783" s="35" t="str">
        <f>LOWER("alp"&amp;"_"&amp;"vw"&amp;"_"&amp;Veiculo&amp;"_"&amp;C779&amp;"_"&amp;Objetivo)</f>
        <v>alp_vw___</v>
      </c>
      <c r="BK783" s="35" t="str">
        <f>LOWER(Buying_Metric&amp;"_"&amp;VLOOKUP(Buying_Type,Buy_type,2,FALSE)&amp;"_"&amp;Device&amp;"_"&amp;Size&amp;"_"&amp;Segmentação&amp;"_"&amp;Segmentação_Anúncio)</f>
        <v>#N/A</v>
      </c>
      <c r="BL783" s="35" t="str">
        <f>LOWER(Campanha_ou_InsertionOrder&amp;"_"&amp;LineItem_ou_Grupodeanúncio&amp;"_"&amp;Linha_criativa_2&amp;"_"&amp;Unique_ID)</f>
        <v>#N/A</v>
      </c>
      <c r="BM783" s="27"/>
      <c r="BN783" s="27"/>
    </row>
    <row r="784">
      <c r="A784" s="1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8" t="str">
        <f>LOWER(Campanha_ou_InsertionOrder&amp;"_"&amp;LineItem_ou_Grupodeanúncio&amp;"_"&amp;Linha_Criativa&amp;"_"&amp;Unique_ID)</f>
        <v>#N/A</v>
      </c>
      <c r="AN784" s="28" t="str">
        <f>LOWER(Campanha_ou_InsertionOrder&amp;"_"&amp;LineItem_ou_Grupodeanúncio&amp;"_"&amp;Linha_Criativa&amp;"_"&amp;Unique_ID)</f>
        <v>#N/A</v>
      </c>
      <c r="AO784" s="28" t="str">
        <f>LOWER("VW"&amp;"_"&amp;Model_Variant&amp;"_"&amp;Size&amp;"_"&amp;Linha_Criativa&amp;"_"&amp;IF(Servido_Por="portal",Veiculo,"adserver"))</f>
        <v>vw____adserver</v>
      </c>
      <c r="AP7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4" s="22" t="str">
        <f t="shared" si="1"/>
        <v/>
      </c>
      <c r="AS784" s="22" t="str">
        <f t="shared" si="2"/>
        <v/>
      </c>
      <c r="AT784" s="22" t="str">
        <f t="shared" si="3"/>
        <v>BR_IMC_DSY_LANCH_ND_NC_2020Q3AUG_NVS_Nivus-Launch-Consideracao</v>
      </c>
      <c r="AU784" s="22" t="str">
        <f t="shared" si="4"/>
        <v>#N/A</v>
      </c>
      <c r="AV784" s="22" t="s">
        <v>106</v>
      </c>
      <c r="AW7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4" s="22" t="str">
        <f t="shared" si="5"/>
        <v>BR_IMC_DSY_LANCH_ND_NC_2020Q3AUG_NVS_Nivus-Launch-Consideracao</v>
      </c>
      <c r="AY784" s="28" t="str">
        <f t="shared" si="6"/>
        <v>#N/A</v>
      </c>
      <c r="AZ784" s="22" t="s">
        <v>107</v>
      </c>
      <c r="BA784" s="22" t="s">
        <v>108</v>
      </c>
      <c r="BB784" s="31" t="s">
        <v>109</v>
      </c>
      <c r="BC784" s="31" t="s">
        <v>109</v>
      </c>
      <c r="BD784" s="32" t="str">
        <f t="shared" si="8"/>
        <v>nvl-nvs-imc-dsy-0820-10778</v>
      </c>
      <c r="BE784" s="33"/>
      <c r="BF784" s="33"/>
      <c r="BG784" s="39" t="str">
        <f>URL&amp;IF(ISNUMBER(FIND("?",URL)),"&amp;","?"&amp;("adlid="&amp;Unique_ID&amp;"&amp;adplt="&amp;Placement))</f>
        <v>#N/A</v>
      </c>
      <c r="BH784" s="1"/>
      <c r="BI784" s="1"/>
      <c r="BJ784" s="35" t="str">
        <f>LOWER("alp"&amp;"_"&amp;"vw"&amp;"_"&amp;Veiculo&amp;"_"&amp;C780&amp;"_"&amp;Objetivo)</f>
        <v>alp_vw___</v>
      </c>
      <c r="BK784" s="35" t="str">
        <f>LOWER(Buying_Metric&amp;"_"&amp;VLOOKUP(Buying_Type,Buy_type,2,FALSE)&amp;"_"&amp;Device&amp;"_"&amp;Size&amp;"_"&amp;Segmentação&amp;"_"&amp;Segmentação_Anúncio)</f>
        <v>#N/A</v>
      </c>
      <c r="BL784" s="35" t="str">
        <f>LOWER(Campanha_ou_InsertionOrder&amp;"_"&amp;LineItem_ou_Grupodeanúncio&amp;"_"&amp;Linha_criativa_2&amp;"_"&amp;Unique_ID)</f>
        <v>#N/A</v>
      </c>
      <c r="BM784" s="27"/>
      <c r="BN784" s="27"/>
    </row>
    <row r="785">
      <c r="A785" s="1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8" t="str">
        <f>LOWER(Campanha_ou_InsertionOrder&amp;"_"&amp;LineItem_ou_Grupodeanúncio&amp;"_"&amp;Linha_Criativa&amp;"_"&amp;Unique_ID)</f>
        <v>#N/A</v>
      </c>
      <c r="AN785" s="28" t="str">
        <f>LOWER(Campanha_ou_InsertionOrder&amp;"_"&amp;LineItem_ou_Grupodeanúncio&amp;"_"&amp;Linha_Criativa&amp;"_"&amp;Unique_ID)</f>
        <v>#N/A</v>
      </c>
      <c r="AO785" s="28" t="str">
        <f>LOWER("VW"&amp;"_"&amp;Model_Variant&amp;"_"&amp;Size&amp;"_"&amp;Linha_Criativa&amp;"_"&amp;IF(Servido_Por="portal",Veiculo,"adserver"))</f>
        <v>vw____adserver</v>
      </c>
      <c r="AP7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5" s="22" t="str">
        <f t="shared" si="1"/>
        <v/>
      </c>
      <c r="AS785" s="22" t="str">
        <f t="shared" si="2"/>
        <v/>
      </c>
      <c r="AT785" s="22" t="str">
        <f t="shared" si="3"/>
        <v>BR_IMC_DSY_LANCH_ND_NC_2020Q3AUG_NVS_Nivus-Launch-Consideracao</v>
      </c>
      <c r="AU785" s="22" t="str">
        <f t="shared" si="4"/>
        <v>#N/A</v>
      </c>
      <c r="AV785" s="22" t="s">
        <v>106</v>
      </c>
      <c r="AW7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5" s="22" t="str">
        <f t="shared" si="5"/>
        <v>BR_IMC_DSY_LANCH_ND_NC_2020Q3AUG_NVS_Nivus-Launch-Consideracao</v>
      </c>
      <c r="AY785" s="28" t="str">
        <f t="shared" si="6"/>
        <v>#N/A</v>
      </c>
      <c r="AZ785" s="22" t="s">
        <v>107</v>
      </c>
      <c r="BA785" s="22" t="s">
        <v>108</v>
      </c>
      <c r="BB785" s="31" t="s">
        <v>109</v>
      </c>
      <c r="BC785" s="31" t="s">
        <v>109</v>
      </c>
      <c r="BD785" s="32" t="str">
        <f t="shared" si="8"/>
        <v>nvl-nvs-imc-dsy-0820-10779</v>
      </c>
      <c r="BE785" s="33"/>
      <c r="BF785" s="33"/>
      <c r="BG785" s="39" t="str">
        <f>URL&amp;IF(ISNUMBER(FIND("?",URL)),"&amp;","?"&amp;("adlid="&amp;Unique_ID&amp;"&amp;adplt="&amp;Placement))</f>
        <v>#N/A</v>
      </c>
      <c r="BH785" s="1"/>
      <c r="BI785" s="1"/>
      <c r="BJ785" s="35" t="str">
        <f>LOWER("alp"&amp;"_"&amp;"vw"&amp;"_"&amp;Veiculo&amp;"_"&amp;C781&amp;"_"&amp;Objetivo)</f>
        <v>alp_vw___</v>
      </c>
      <c r="BK785" s="35" t="str">
        <f>LOWER(Buying_Metric&amp;"_"&amp;VLOOKUP(Buying_Type,Buy_type,2,FALSE)&amp;"_"&amp;Device&amp;"_"&amp;Size&amp;"_"&amp;Segmentação&amp;"_"&amp;Segmentação_Anúncio)</f>
        <v>#N/A</v>
      </c>
      <c r="BL785" s="35" t="str">
        <f>LOWER(Campanha_ou_InsertionOrder&amp;"_"&amp;LineItem_ou_Grupodeanúncio&amp;"_"&amp;Linha_criativa_2&amp;"_"&amp;Unique_ID)</f>
        <v>#N/A</v>
      </c>
      <c r="BM785" s="27"/>
      <c r="BN785" s="27"/>
    </row>
    <row r="786">
      <c r="A786" s="1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tr">
        <f>LOWER(Campanha_ou_InsertionOrder&amp;"_"&amp;LineItem_ou_Grupodeanúncio&amp;"_"&amp;Linha_Criativa&amp;"_"&amp;Unique_ID)</f>
        <v>#N/A</v>
      </c>
      <c r="AN786" s="28" t="str">
        <f>LOWER(Campanha_ou_InsertionOrder&amp;"_"&amp;LineItem_ou_Grupodeanúncio&amp;"_"&amp;Linha_Criativa&amp;"_"&amp;Unique_ID)</f>
        <v>#N/A</v>
      </c>
      <c r="AO786" s="28" t="str">
        <f>LOWER("VW"&amp;"_"&amp;Model_Variant&amp;"_"&amp;Size&amp;"_"&amp;Linha_Criativa&amp;"_"&amp;IF(Servido_Por="portal",Veiculo,"adserver"))</f>
        <v>vw____adserver</v>
      </c>
      <c r="AP7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6" s="22" t="str">
        <f t="shared" si="1"/>
        <v/>
      </c>
      <c r="AS786" s="22" t="str">
        <f t="shared" si="2"/>
        <v/>
      </c>
      <c r="AT786" s="22" t="str">
        <f t="shared" si="3"/>
        <v>BR_IMC_DSY_LANCH_ND_NC_2020Q3AUG_NVS_Nivus-Launch-Consideracao</v>
      </c>
      <c r="AU786" s="22" t="str">
        <f t="shared" si="4"/>
        <v>#N/A</v>
      </c>
      <c r="AV786" s="22" t="s">
        <v>106</v>
      </c>
      <c r="AW7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6" s="22" t="str">
        <f t="shared" si="5"/>
        <v>BR_IMC_DSY_LANCH_ND_NC_2020Q3AUG_NVS_Nivus-Launch-Consideracao</v>
      </c>
      <c r="AY786" s="28" t="str">
        <f t="shared" si="6"/>
        <v>#N/A</v>
      </c>
      <c r="AZ786" s="22" t="s">
        <v>107</v>
      </c>
      <c r="BA786" s="22" t="s">
        <v>108</v>
      </c>
      <c r="BB786" s="31" t="s">
        <v>109</v>
      </c>
      <c r="BC786" s="31" t="s">
        <v>109</v>
      </c>
      <c r="BD786" s="32" t="str">
        <f t="shared" si="8"/>
        <v>nvl-nvs-imc-dsy-0820-10780</v>
      </c>
      <c r="BE786" s="33"/>
      <c r="BF786" s="33"/>
      <c r="BG786" s="39" t="str">
        <f>URL&amp;IF(ISNUMBER(FIND("?",URL)),"&amp;","?"&amp;("adlid="&amp;Unique_ID&amp;"&amp;adplt="&amp;Placement))</f>
        <v>#N/A</v>
      </c>
      <c r="BH786" s="1"/>
      <c r="BI786" s="1"/>
      <c r="BJ786" s="35" t="str">
        <f>LOWER("alp"&amp;"_"&amp;"vw"&amp;"_"&amp;Veiculo&amp;"_"&amp;C782&amp;"_"&amp;Objetivo)</f>
        <v>alp_vw___</v>
      </c>
      <c r="BK786" s="35" t="str">
        <f>LOWER(Buying_Metric&amp;"_"&amp;VLOOKUP(Buying_Type,Buy_type,2,FALSE)&amp;"_"&amp;Device&amp;"_"&amp;Size&amp;"_"&amp;Segmentação&amp;"_"&amp;Segmentação_Anúncio)</f>
        <v>#N/A</v>
      </c>
      <c r="BL786" s="35" t="str">
        <f>LOWER(Campanha_ou_InsertionOrder&amp;"_"&amp;LineItem_ou_Grupodeanúncio&amp;"_"&amp;Linha_criativa_2&amp;"_"&amp;Unique_ID)</f>
        <v>#N/A</v>
      </c>
      <c r="BM786" s="27"/>
      <c r="BN786" s="27"/>
    </row>
    <row r="787">
      <c r="A787" s="1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8" t="str">
        <f>LOWER(Campanha_ou_InsertionOrder&amp;"_"&amp;LineItem_ou_Grupodeanúncio&amp;"_"&amp;Linha_Criativa&amp;"_"&amp;Unique_ID)</f>
        <v>#N/A</v>
      </c>
      <c r="AN787" s="28" t="str">
        <f>LOWER(Campanha_ou_InsertionOrder&amp;"_"&amp;LineItem_ou_Grupodeanúncio&amp;"_"&amp;Linha_Criativa&amp;"_"&amp;Unique_ID)</f>
        <v>#N/A</v>
      </c>
      <c r="AO787" s="28" t="str">
        <f>LOWER("VW"&amp;"_"&amp;Model_Variant&amp;"_"&amp;Size&amp;"_"&amp;Linha_Criativa&amp;"_"&amp;IF(Servido_Por="portal",Veiculo,"adserver"))</f>
        <v>vw____adserver</v>
      </c>
      <c r="AP7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7" s="22" t="str">
        <f t="shared" si="1"/>
        <v/>
      </c>
      <c r="AS787" s="22" t="str">
        <f t="shared" si="2"/>
        <v/>
      </c>
      <c r="AT787" s="22" t="str">
        <f t="shared" si="3"/>
        <v>BR_IMC_DSY_LANCH_ND_NC_2020Q3AUG_NVS_Nivus-Launch-Consideracao</v>
      </c>
      <c r="AU787" s="22" t="str">
        <f t="shared" si="4"/>
        <v>#N/A</v>
      </c>
      <c r="AV787" s="22" t="s">
        <v>106</v>
      </c>
      <c r="AW7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7" s="22" t="str">
        <f t="shared" si="5"/>
        <v>BR_IMC_DSY_LANCH_ND_NC_2020Q3AUG_NVS_Nivus-Launch-Consideracao</v>
      </c>
      <c r="AY787" s="28" t="str">
        <f t="shared" si="6"/>
        <v>#N/A</v>
      </c>
      <c r="AZ787" s="22" t="s">
        <v>107</v>
      </c>
      <c r="BA787" s="22" t="s">
        <v>108</v>
      </c>
      <c r="BB787" s="31" t="s">
        <v>109</v>
      </c>
      <c r="BC787" s="31" t="s">
        <v>109</v>
      </c>
      <c r="BD787" s="32" t="str">
        <f t="shared" si="8"/>
        <v>nvl-nvs-imc-dsy-0820-10781</v>
      </c>
      <c r="BE787" s="33"/>
      <c r="BF787" s="33"/>
      <c r="BG787" s="39" t="str">
        <f>URL&amp;IF(ISNUMBER(FIND("?",URL)),"&amp;","?"&amp;("adlid="&amp;Unique_ID&amp;"&amp;adplt="&amp;Placement))</f>
        <v>#N/A</v>
      </c>
      <c r="BH787" s="1"/>
      <c r="BI787" s="1"/>
      <c r="BJ787" s="35" t="str">
        <f>LOWER("alp"&amp;"_"&amp;"vw"&amp;"_"&amp;Veiculo&amp;"_"&amp;C783&amp;"_"&amp;Objetivo)</f>
        <v>alp_vw___</v>
      </c>
      <c r="BK787" s="35" t="str">
        <f>LOWER(Buying_Metric&amp;"_"&amp;VLOOKUP(Buying_Type,Buy_type,2,FALSE)&amp;"_"&amp;Device&amp;"_"&amp;Size&amp;"_"&amp;Segmentação&amp;"_"&amp;Segmentação_Anúncio)</f>
        <v>#N/A</v>
      </c>
      <c r="BL787" s="35" t="str">
        <f>LOWER(Campanha_ou_InsertionOrder&amp;"_"&amp;LineItem_ou_Grupodeanúncio&amp;"_"&amp;Linha_criativa_2&amp;"_"&amp;Unique_ID)</f>
        <v>#N/A</v>
      </c>
      <c r="BM787" s="27"/>
      <c r="BN787" s="27"/>
    </row>
    <row r="788">
      <c r="A788" s="1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8" t="str">
        <f>LOWER(Campanha_ou_InsertionOrder&amp;"_"&amp;LineItem_ou_Grupodeanúncio&amp;"_"&amp;Linha_Criativa&amp;"_"&amp;Unique_ID)</f>
        <v>#N/A</v>
      </c>
      <c r="AN788" s="28" t="str">
        <f>LOWER(Campanha_ou_InsertionOrder&amp;"_"&amp;LineItem_ou_Grupodeanúncio&amp;"_"&amp;Linha_Criativa&amp;"_"&amp;Unique_ID)</f>
        <v>#N/A</v>
      </c>
      <c r="AO788" s="28" t="str">
        <f>LOWER("VW"&amp;"_"&amp;Model_Variant&amp;"_"&amp;Size&amp;"_"&amp;Linha_Criativa&amp;"_"&amp;IF(Servido_Por="portal",Veiculo,"adserver"))</f>
        <v>vw____adserver</v>
      </c>
      <c r="AP7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8" s="22" t="str">
        <f t="shared" si="1"/>
        <v/>
      </c>
      <c r="AS788" s="22" t="str">
        <f t="shared" si="2"/>
        <v/>
      </c>
      <c r="AT788" s="22" t="str">
        <f t="shared" si="3"/>
        <v>BR_IMC_DSY_LANCH_ND_NC_2020Q3AUG_NVS_Nivus-Launch-Consideracao</v>
      </c>
      <c r="AU788" s="22" t="str">
        <f t="shared" si="4"/>
        <v>#N/A</v>
      </c>
      <c r="AV788" s="22" t="s">
        <v>106</v>
      </c>
      <c r="AW7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8" s="22" t="str">
        <f t="shared" si="5"/>
        <v>BR_IMC_DSY_LANCH_ND_NC_2020Q3AUG_NVS_Nivus-Launch-Consideracao</v>
      </c>
      <c r="AY788" s="28" t="str">
        <f t="shared" si="6"/>
        <v>#N/A</v>
      </c>
      <c r="AZ788" s="22" t="s">
        <v>107</v>
      </c>
      <c r="BA788" s="22" t="s">
        <v>108</v>
      </c>
      <c r="BB788" s="31" t="s">
        <v>109</v>
      </c>
      <c r="BC788" s="31" t="s">
        <v>109</v>
      </c>
      <c r="BD788" s="32" t="str">
        <f t="shared" si="8"/>
        <v>nvl-nvs-imc-dsy-0820-10782</v>
      </c>
      <c r="BE788" s="33"/>
      <c r="BF788" s="33"/>
      <c r="BG788" s="39" t="str">
        <f>URL&amp;IF(ISNUMBER(FIND("?",URL)),"&amp;","?"&amp;("adlid="&amp;Unique_ID&amp;"&amp;adplt="&amp;Placement))</f>
        <v>#N/A</v>
      </c>
      <c r="BH788" s="1"/>
      <c r="BI788" s="1"/>
      <c r="BJ788" s="35" t="str">
        <f>LOWER("alp"&amp;"_"&amp;"vw"&amp;"_"&amp;Veiculo&amp;"_"&amp;C784&amp;"_"&amp;Objetivo)</f>
        <v>alp_vw___</v>
      </c>
      <c r="BK788" s="35" t="str">
        <f>LOWER(Buying_Metric&amp;"_"&amp;VLOOKUP(Buying_Type,Buy_type,2,FALSE)&amp;"_"&amp;Device&amp;"_"&amp;Size&amp;"_"&amp;Segmentação&amp;"_"&amp;Segmentação_Anúncio)</f>
        <v>#N/A</v>
      </c>
      <c r="BL788" s="35" t="str">
        <f>LOWER(Campanha_ou_InsertionOrder&amp;"_"&amp;LineItem_ou_Grupodeanúncio&amp;"_"&amp;Linha_criativa_2&amp;"_"&amp;Unique_ID)</f>
        <v>#N/A</v>
      </c>
      <c r="BM788" s="27"/>
      <c r="BN788" s="27"/>
    </row>
    <row r="789">
      <c r="A789" s="1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8" t="str">
        <f>LOWER(Campanha_ou_InsertionOrder&amp;"_"&amp;LineItem_ou_Grupodeanúncio&amp;"_"&amp;Linha_Criativa&amp;"_"&amp;Unique_ID)</f>
        <v>#N/A</v>
      </c>
      <c r="AN789" s="28" t="str">
        <f>LOWER(Campanha_ou_InsertionOrder&amp;"_"&amp;LineItem_ou_Grupodeanúncio&amp;"_"&amp;Linha_Criativa&amp;"_"&amp;Unique_ID)</f>
        <v>#N/A</v>
      </c>
      <c r="AO789" s="28" t="str">
        <f>LOWER("VW"&amp;"_"&amp;Model_Variant&amp;"_"&amp;Size&amp;"_"&amp;Linha_Criativa&amp;"_"&amp;IF(Servido_Por="portal",Veiculo,"adserver"))</f>
        <v>vw____adserver</v>
      </c>
      <c r="AP7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89" s="22" t="str">
        <f t="shared" si="1"/>
        <v/>
      </c>
      <c r="AS789" s="22" t="str">
        <f t="shared" si="2"/>
        <v/>
      </c>
      <c r="AT789" s="22" t="str">
        <f t="shared" si="3"/>
        <v>BR_IMC_DSY_LANCH_ND_NC_2020Q3AUG_NVS_Nivus-Launch-Consideracao</v>
      </c>
      <c r="AU789" s="22" t="str">
        <f t="shared" si="4"/>
        <v>#N/A</v>
      </c>
      <c r="AV789" s="22" t="s">
        <v>106</v>
      </c>
      <c r="AW7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89" s="22" t="str">
        <f t="shared" si="5"/>
        <v>BR_IMC_DSY_LANCH_ND_NC_2020Q3AUG_NVS_Nivus-Launch-Consideracao</v>
      </c>
      <c r="AY789" s="28" t="str">
        <f t="shared" si="6"/>
        <v>#N/A</v>
      </c>
      <c r="AZ789" s="22" t="s">
        <v>107</v>
      </c>
      <c r="BA789" s="22" t="s">
        <v>108</v>
      </c>
      <c r="BB789" s="31" t="s">
        <v>109</v>
      </c>
      <c r="BC789" s="31" t="s">
        <v>109</v>
      </c>
      <c r="BD789" s="32" t="str">
        <f t="shared" si="8"/>
        <v>nvl-nvs-imc-dsy-0820-10783</v>
      </c>
      <c r="BE789" s="33"/>
      <c r="BF789" s="33"/>
      <c r="BG789" s="39" t="str">
        <f>URL&amp;IF(ISNUMBER(FIND("?",URL)),"&amp;","?"&amp;("adlid="&amp;Unique_ID&amp;"&amp;adplt="&amp;Placement))</f>
        <v>#N/A</v>
      </c>
      <c r="BH789" s="1"/>
      <c r="BI789" s="1"/>
      <c r="BJ789" s="35" t="str">
        <f>LOWER("alp"&amp;"_"&amp;"vw"&amp;"_"&amp;Veiculo&amp;"_"&amp;C785&amp;"_"&amp;Objetivo)</f>
        <v>alp_vw___</v>
      </c>
      <c r="BK789" s="35" t="str">
        <f>LOWER(Buying_Metric&amp;"_"&amp;VLOOKUP(Buying_Type,Buy_type,2,FALSE)&amp;"_"&amp;Device&amp;"_"&amp;Size&amp;"_"&amp;Segmentação&amp;"_"&amp;Segmentação_Anúncio)</f>
        <v>#N/A</v>
      </c>
      <c r="BL789" s="35" t="str">
        <f>LOWER(Campanha_ou_InsertionOrder&amp;"_"&amp;LineItem_ou_Grupodeanúncio&amp;"_"&amp;Linha_criativa_2&amp;"_"&amp;Unique_ID)</f>
        <v>#N/A</v>
      </c>
      <c r="BM789" s="27"/>
      <c r="BN789" s="27"/>
    </row>
    <row r="790">
      <c r="A790" s="1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8" t="str">
        <f>LOWER(Campanha_ou_InsertionOrder&amp;"_"&amp;LineItem_ou_Grupodeanúncio&amp;"_"&amp;Linha_Criativa&amp;"_"&amp;Unique_ID)</f>
        <v>#N/A</v>
      </c>
      <c r="AN790" s="28" t="str">
        <f>LOWER(Campanha_ou_InsertionOrder&amp;"_"&amp;LineItem_ou_Grupodeanúncio&amp;"_"&amp;Linha_Criativa&amp;"_"&amp;Unique_ID)</f>
        <v>#N/A</v>
      </c>
      <c r="AO790" s="28" t="str">
        <f>LOWER("VW"&amp;"_"&amp;Model_Variant&amp;"_"&amp;Size&amp;"_"&amp;Linha_Criativa&amp;"_"&amp;IF(Servido_Por="portal",Veiculo,"adserver"))</f>
        <v>vw____adserver</v>
      </c>
      <c r="AP7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0" s="22" t="str">
        <f t="shared" si="1"/>
        <v/>
      </c>
      <c r="AS790" s="22" t="str">
        <f t="shared" si="2"/>
        <v/>
      </c>
      <c r="AT790" s="22" t="str">
        <f t="shared" si="3"/>
        <v>BR_IMC_DSY_LANCH_ND_NC_2020Q3AUG_NVS_Nivus-Launch-Consideracao</v>
      </c>
      <c r="AU790" s="22" t="str">
        <f t="shared" si="4"/>
        <v>#N/A</v>
      </c>
      <c r="AV790" s="22" t="s">
        <v>106</v>
      </c>
      <c r="AW7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0" s="22" t="str">
        <f t="shared" si="5"/>
        <v>BR_IMC_DSY_LANCH_ND_NC_2020Q3AUG_NVS_Nivus-Launch-Consideracao</v>
      </c>
      <c r="AY790" s="28" t="str">
        <f t="shared" si="6"/>
        <v>#N/A</v>
      </c>
      <c r="AZ790" s="22" t="s">
        <v>107</v>
      </c>
      <c r="BA790" s="22" t="s">
        <v>108</v>
      </c>
      <c r="BB790" s="31" t="s">
        <v>109</v>
      </c>
      <c r="BC790" s="31" t="s">
        <v>109</v>
      </c>
      <c r="BD790" s="32" t="str">
        <f t="shared" si="8"/>
        <v>nvl-nvs-imc-dsy-0820-10784</v>
      </c>
      <c r="BE790" s="33"/>
      <c r="BF790" s="33"/>
      <c r="BG790" s="39" t="str">
        <f>URL&amp;IF(ISNUMBER(FIND("?",URL)),"&amp;","?"&amp;("adlid="&amp;Unique_ID&amp;"&amp;adplt="&amp;Placement))</f>
        <v>#N/A</v>
      </c>
      <c r="BH790" s="1"/>
      <c r="BI790" s="1"/>
      <c r="BJ790" s="35" t="str">
        <f>LOWER("alp"&amp;"_"&amp;"vw"&amp;"_"&amp;Veiculo&amp;"_"&amp;C786&amp;"_"&amp;Objetivo)</f>
        <v>alp_vw___</v>
      </c>
      <c r="BK790" s="35" t="str">
        <f>LOWER(Buying_Metric&amp;"_"&amp;VLOOKUP(Buying_Type,Buy_type,2,FALSE)&amp;"_"&amp;Device&amp;"_"&amp;Size&amp;"_"&amp;Segmentação&amp;"_"&amp;Segmentação_Anúncio)</f>
        <v>#N/A</v>
      </c>
      <c r="BL790" s="35" t="str">
        <f>LOWER(Campanha_ou_InsertionOrder&amp;"_"&amp;LineItem_ou_Grupodeanúncio&amp;"_"&amp;Linha_criativa_2&amp;"_"&amp;Unique_ID)</f>
        <v>#N/A</v>
      </c>
      <c r="BM790" s="27"/>
      <c r="BN790" s="27"/>
    </row>
    <row r="791">
      <c r="A791" s="1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8" t="str">
        <f>LOWER(Campanha_ou_InsertionOrder&amp;"_"&amp;LineItem_ou_Grupodeanúncio&amp;"_"&amp;Linha_Criativa&amp;"_"&amp;Unique_ID)</f>
        <v>#N/A</v>
      </c>
      <c r="AN791" s="28" t="str">
        <f>LOWER(Campanha_ou_InsertionOrder&amp;"_"&amp;LineItem_ou_Grupodeanúncio&amp;"_"&amp;Linha_Criativa&amp;"_"&amp;Unique_ID)</f>
        <v>#N/A</v>
      </c>
      <c r="AO791" s="28" t="str">
        <f>LOWER("VW"&amp;"_"&amp;Model_Variant&amp;"_"&amp;Size&amp;"_"&amp;Linha_Criativa&amp;"_"&amp;IF(Servido_Por="portal",Veiculo,"adserver"))</f>
        <v>vw____adserver</v>
      </c>
      <c r="AP7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1" s="22" t="str">
        <f t="shared" si="1"/>
        <v/>
      </c>
      <c r="AS791" s="22" t="str">
        <f t="shared" si="2"/>
        <v/>
      </c>
      <c r="AT791" s="22" t="str">
        <f t="shared" si="3"/>
        <v>BR_IMC_DSY_LANCH_ND_NC_2020Q3AUG_NVS_Nivus-Launch-Consideracao</v>
      </c>
      <c r="AU791" s="22" t="str">
        <f t="shared" si="4"/>
        <v>#N/A</v>
      </c>
      <c r="AV791" s="22" t="s">
        <v>106</v>
      </c>
      <c r="AW7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1" s="22" t="str">
        <f t="shared" si="5"/>
        <v>BR_IMC_DSY_LANCH_ND_NC_2020Q3AUG_NVS_Nivus-Launch-Consideracao</v>
      </c>
      <c r="AY791" s="28" t="str">
        <f t="shared" si="6"/>
        <v>#N/A</v>
      </c>
      <c r="AZ791" s="22" t="s">
        <v>107</v>
      </c>
      <c r="BA791" s="22" t="s">
        <v>108</v>
      </c>
      <c r="BB791" s="31" t="s">
        <v>109</v>
      </c>
      <c r="BC791" s="31" t="s">
        <v>109</v>
      </c>
      <c r="BD791" s="32" t="str">
        <f t="shared" si="8"/>
        <v>nvl-nvs-imc-dsy-0820-10785</v>
      </c>
      <c r="BE791" s="33"/>
      <c r="BF791" s="33"/>
      <c r="BG791" s="39" t="str">
        <f>URL&amp;IF(ISNUMBER(FIND("?",URL)),"&amp;","?"&amp;("adlid="&amp;Unique_ID&amp;"&amp;adplt="&amp;Placement))</f>
        <v>#N/A</v>
      </c>
      <c r="BH791" s="1"/>
      <c r="BI791" s="1"/>
      <c r="BJ791" s="35" t="str">
        <f>LOWER("alp"&amp;"_"&amp;"vw"&amp;"_"&amp;Veiculo&amp;"_"&amp;C787&amp;"_"&amp;Objetivo)</f>
        <v>alp_vw___</v>
      </c>
      <c r="BK791" s="35" t="str">
        <f>LOWER(Buying_Metric&amp;"_"&amp;VLOOKUP(Buying_Type,Buy_type,2,FALSE)&amp;"_"&amp;Device&amp;"_"&amp;Size&amp;"_"&amp;Segmentação&amp;"_"&amp;Segmentação_Anúncio)</f>
        <v>#N/A</v>
      </c>
      <c r="BL791" s="35" t="str">
        <f>LOWER(Campanha_ou_InsertionOrder&amp;"_"&amp;LineItem_ou_Grupodeanúncio&amp;"_"&amp;Linha_criativa_2&amp;"_"&amp;Unique_ID)</f>
        <v>#N/A</v>
      </c>
      <c r="BM791" s="27"/>
      <c r="BN791" s="27"/>
    </row>
    <row r="792">
      <c r="A792" s="1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8" t="str">
        <f>LOWER(Campanha_ou_InsertionOrder&amp;"_"&amp;LineItem_ou_Grupodeanúncio&amp;"_"&amp;Linha_Criativa&amp;"_"&amp;Unique_ID)</f>
        <v>#N/A</v>
      </c>
      <c r="AN792" s="28" t="str">
        <f>LOWER(Campanha_ou_InsertionOrder&amp;"_"&amp;LineItem_ou_Grupodeanúncio&amp;"_"&amp;Linha_Criativa&amp;"_"&amp;Unique_ID)</f>
        <v>#N/A</v>
      </c>
      <c r="AO792" s="28" t="str">
        <f>LOWER("VW"&amp;"_"&amp;Model_Variant&amp;"_"&amp;Size&amp;"_"&amp;Linha_Criativa&amp;"_"&amp;IF(Servido_Por="portal",Veiculo,"adserver"))</f>
        <v>vw____adserver</v>
      </c>
      <c r="AP7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2" s="22" t="str">
        <f t="shared" si="1"/>
        <v/>
      </c>
      <c r="AS792" s="22" t="str">
        <f t="shared" si="2"/>
        <v/>
      </c>
      <c r="AT792" s="22" t="str">
        <f t="shared" si="3"/>
        <v>BR_IMC_DSY_LANCH_ND_NC_2020Q3AUG_NVS_Nivus-Launch-Consideracao</v>
      </c>
      <c r="AU792" s="22" t="str">
        <f t="shared" si="4"/>
        <v>#N/A</v>
      </c>
      <c r="AV792" s="22" t="s">
        <v>106</v>
      </c>
      <c r="AW7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2" s="22" t="str">
        <f t="shared" si="5"/>
        <v>BR_IMC_DSY_LANCH_ND_NC_2020Q3AUG_NVS_Nivus-Launch-Consideracao</v>
      </c>
      <c r="AY792" s="28" t="str">
        <f t="shared" si="6"/>
        <v>#N/A</v>
      </c>
      <c r="AZ792" s="22" t="s">
        <v>107</v>
      </c>
      <c r="BA792" s="22" t="s">
        <v>108</v>
      </c>
      <c r="BB792" s="31" t="s">
        <v>109</v>
      </c>
      <c r="BC792" s="31" t="s">
        <v>109</v>
      </c>
      <c r="BD792" s="32" t="str">
        <f t="shared" si="8"/>
        <v>nvl-nvs-imc-dsy-0820-10786</v>
      </c>
      <c r="BE792" s="33"/>
      <c r="BF792" s="33"/>
      <c r="BG792" s="39" t="str">
        <f>URL&amp;IF(ISNUMBER(FIND("?",URL)),"&amp;","?"&amp;("adlid="&amp;Unique_ID&amp;"&amp;adplt="&amp;Placement))</f>
        <v>#N/A</v>
      </c>
      <c r="BH792" s="1"/>
      <c r="BI792" s="1"/>
      <c r="BJ792" s="35" t="str">
        <f>LOWER("alp"&amp;"_"&amp;"vw"&amp;"_"&amp;Veiculo&amp;"_"&amp;C788&amp;"_"&amp;Objetivo)</f>
        <v>alp_vw___</v>
      </c>
      <c r="BK792" s="35" t="str">
        <f>LOWER(Buying_Metric&amp;"_"&amp;VLOOKUP(Buying_Type,Buy_type,2,FALSE)&amp;"_"&amp;Device&amp;"_"&amp;Size&amp;"_"&amp;Segmentação&amp;"_"&amp;Segmentação_Anúncio)</f>
        <v>#N/A</v>
      </c>
      <c r="BL792" s="35" t="str">
        <f>LOWER(Campanha_ou_InsertionOrder&amp;"_"&amp;LineItem_ou_Grupodeanúncio&amp;"_"&amp;Linha_criativa_2&amp;"_"&amp;Unique_ID)</f>
        <v>#N/A</v>
      </c>
      <c r="BM792" s="27"/>
      <c r="BN792" s="27"/>
    </row>
    <row r="793">
      <c r="A793" s="1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8" t="str">
        <f>LOWER(Campanha_ou_InsertionOrder&amp;"_"&amp;LineItem_ou_Grupodeanúncio&amp;"_"&amp;Linha_Criativa&amp;"_"&amp;Unique_ID)</f>
        <v>#N/A</v>
      </c>
      <c r="AN793" s="28" t="str">
        <f>LOWER(Campanha_ou_InsertionOrder&amp;"_"&amp;LineItem_ou_Grupodeanúncio&amp;"_"&amp;Linha_Criativa&amp;"_"&amp;Unique_ID)</f>
        <v>#N/A</v>
      </c>
      <c r="AO793" s="28" t="str">
        <f>LOWER("VW"&amp;"_"&amp;Model_Variant&amp;"_"&amp;Size&amp;"_"&amp;Linha_Criativa&amp;"_"&amp;IF(Servido_Por="portal",Veiculo,"adserver"))</f>
        <v>vw____adserver</v>
      </c>
      <c r="AP7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3" s="22" t="str">
        <f t="shared" si="1"/>
        <v/>
      </c>
      <c r="AS793" s="22" t="str">
        <f t="shared" si="2"/>
        <v/>
      </c>
      <c r="AT793" s="22" t="str">
        <f t="shared" si="3"/>
        <v>BR_IMC_DSY_LANCH_ND_NC_2020Q3AUG_NVS_Nivus-Launch-Consideracao</v>
      </c>
      <c r="AU793" s="22" t="str">
        <f t="shared" si="4"/>
        <v>#N/A</v>
      </c>
      <c r="AV793" s="22" t="s">
        <v>106</v>
      </c>
      <c r="AW7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3" s="22" t="str">
        <f t="shared" si="5"/>
        <v>BR_IMC_DSY_LANCH_ND_NC_2020Q3AUG_NVS_Nivus-Launch-Consideracao</v>
      </c>
      <c r="AY793" s="28" t="str">
        <f t="shared" si="6"/>
        <v>#N/A</v>
      </c>
      <c r="AZ793" s="22" t="s">
        <v>107</v>
      </c>
      <c r="BA793" s="22" t="s">
        <v>108</v>
      </c>
      <c r="BB793" s="31" t="s">
        <v>109</v>
      </c>
      <c r="BC793" s="31" t="s">
        <v>109</v>
      </c>
      <c r="BD793" s="32" t="str">
        <f t="shared" si="8"/>
        <v>nvl-nvs-imc-dsy-0820-10787</v>
      </c>
      <c r="BE793" s="33"/>
      <c r="BF793" s="33"/>
      <c r="BG793" s="39" t="str">
        <f>URL&amp;IF(ISNUMBER(FIND("?",URL)),"&amp;","?"&amp;("adlid="&amp;Unique_ID&amp;"&amp;adplt="&amp;Placement))</f>
        <v>#N/A</v>
      </c>
      <c r="BH793" s="1"/>
      <c r="BI793" s="1"/>
      <c r="BJ793" s="35" t="str">
        <f>LOWER("alp"&amp;"_"&amp;"vw"&amp;"_"&amp;Veiculo&amp;"_"&amp;C789&amp;"_"&amp;Objetivo)</f>
        <v>alp_vw___</v>
      </c>
      <c r="BK793" s="35" t="str">
        <f>LOWER(Buying_Metric&amp;"_"&amp;VLOOKUP(Buying_Type,Buy_type,2,FALSE)&amp;"_"&amp;Device&amp;"_"&amp;Size&amp;"_"&amp;Segmentação&amp;"_"&amp;Segmentação_Anúncio)</f>
        <v>#N/A</v>
      </c>
      <c r="BL793" s="35" t="str">
        <f>LOWER(Campanha_ou_InsertionOrder&amp;"_"&amp;LineItem_ou_Grupodeanúncio&amp;"_"&amp;Linha_criativa_2&amp;"_"&amp;Unique_ID)</f>
        <v>#N/A</v>
      </c>
      <c r="BM793" s="27"/>
      <c r="BN793" s="27"/>
    </row>
    <row r="794">
      <c r="A794" s="1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8" t="str">
        <f>LOWER(Campanha_ou_InsertionOrder&amp;"_"&amp;LineItem_ou_Grupodeanúncio&amp;"_"&amp;Linha_Criativa&amp;"_"&amp;Unique_ID)</f>
        <v>#N/A</v>
      </c>
      <c r="AN794" s="28" t="str">
        <f>LOWER(Campanha_ou_InsertionOrder&amp;"_"&amp;LineItem_ou_Grupodeanúncio&amp;"_"&amp;Linha_Criativa&amp;"_"&amp;Unique_ID)</f>
        <v>#N/A</v>
      </c>
      <c r="AO794" s="28" t="str">
        <f>LOWER("VW"&amp;"_"&amp;Model_Variant&amp;"_"&amp;Size&amp;"_"&amp;Linha_Criativa&amp;"_"&amp;IF(Servido_Por="portal",Veiculo,"adserver"))</f>
        <v>vw____adserver</v>
      </c>
      <c r="AP7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4" s="22" t="str">
        <f t="shared" si="1"/>
        <v/>
      </c>
      <c r="AS794" s="22" t="str">
        <f t="shared" si="2"/>
        <v/>
      </c>
      <c r="AT794" s="22" t="str">
        <f t="shared" si="3"/>
        <v>BR_IMC_DSY_LANCH_ND_NC_2020Q3AUG_NVS_Nivus-Launch-Consideracao</v>
      </c>
      <c r="AU794" s="22" t="str">
        <f t="shared" si="4"/>
        <v>#N/A</v>
      </c>
      <c r="AV794" s="22" t="s">
        <v>106</v>
      </c>
      <c r="AW7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4" s="22" t="str">
        <f t="shared" si="5"/>
        <v>BR_IMC_DSY_LANCH_ND_NC_2020Q3AUG_NVS_Nivus-Launch-Consideracao</v>
      </c>
      <c r="AY794" s="28" t="str">
        <f t="shared" si="6"/>
        <v>#N/A</v>
      </c>
      <c r="AZ794" s="22" t="s">
        <v>107</v>
      </c>
      <c r="BA794" s="22" t="s">
        <v>108</v>
      </c>
      <c r="BB794" s="31" t="s">
        <v>109</v>
      </c>
      <c r="BC794" s="31" t="s">
        <v>109</v>
      </c>
      <c r="BD794" s="32" t="str">
        <f t="shared" si="8"/>
        <v>nvl-nvs-imc-dsy-0820-10788</v>
      </c>
      <c r="BE794" s="33"/>
      <c r="BF794" s="33"/>
      <c r="BG794" s="39" t="str">
        <f>URL&amp;IF(ISNUMBER(FIND("?",URL)),"&amp;","?"&amp;("adlid="&amp;Unique_ID&amp;"&amp;adplt="&amp;Placement))</f>
        <v>#N/A</v>
      </c>
      <c r="BH794" s="1"/>
      <c r="BI794" s="1"/>
      <c r="BJ794" s="35" t="str">
        <f>LOWER("alp"&amp;"_"&amp;"vw"&amp;"_"&amp;Veiculo&amp;"_"&amp;C790&amp;"_"&amp;Objetivo)</f>
        <v>alp_vw___</v>
      </c>
      <c r="BK794" s="35" t="str">
        <f>LOWER(Buying_Metric&amp;"_"&amp;VLOOKUP(Buying_Type,Buy_type,2,FALSE)&amp;"_"&amp;Device&amp;"_"&amp;Size&amp;"_"&amp;Segmentação&amp;"_"&amp;Segmentação_Anúncio)</f>
        <v>#N/A</v>
      </c>
      <c r="BL794" s="35" t="str">
        <f>LOWER(Campanha_ou_InsertionOrder&amp;"_"&amp;LineItem_ou_Grupodeanúncio&amp;"_"&amp;Linha_criativa_2&amp;"_"&amp;Unique_ID)</f>
        <v>#N/A</v>
      </c>
      <c r="BM794" s="27"/>
      <c r="BN794" s="27"/>
    </row>
    <row r="795">
      <c r="A795" s="1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8" t="str">
        <f>LOWER(Campanha_ou_InsertionOrder&amp;"_"&amp;LineItem_ou_Grupodeanúncio&amp;"_"&amp;Linha_Criativa&amp;"_"&amp;Unique_ID)</f>
        <v>#N/A</v>
      </c>
      <c r="AN795" s="28" t="str">
        <f>LOWER(Campanha_ou_InsertionOrder&amp;"_"&amp;LineItem_ou_Grupodeanúncio&amp;"_"&amp;Linha_Criativa&amp;"_"&amp;Unique_ID)</f>
        <v>#N/A</v>
      </c>
      <c r="AO795" s="28" t="str">
        <f>LOWER("VW"&amp;"_"&amp;Model_Variant&amp;"_"&amp;Size&amp;"_"&amp;Linha_Criativa&amp;"_"&amp;IF(Servido_Por="portal",Veiculo,"adserver"))</f>
        <v>vw____adserver</v>
      </c>
      <c r="AP7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5" s="22" t="str">
        <f t="shared" si="1"/>
        <v/>
      </c>
      <c r="AS795" s="22" t="str">
        <f t="shared" si="2"/>
        <v/>
      </c>
      <c r="AT795" s="22" t="str">
        <f t="shared" si="3"/>
        <v>BR_IMC_DSY_LANCH_ND_NC_2020Q3AUG_NVS_Nivus-Launch-Consideracao</v>
      </c>
      <c r="AU795" s="22" t="str">
        <f t="shared" si="4"/>
        <v>#N/A</v>
      </c>
      <c r="AV795" s="22" t="s">
        <v>106</v>
      </c>
      <c r="AW7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5" s="22" t="str">
        <f t="shared" si="5"/>
        <v>BR_IMC_DSY_LANCH_ND_NC_2020Q3AUG_NVS_Nivus-Launch-Consideracao</v>
      </c>
      <c r="AY795" s="28" t="str">
        <f t="shared" si="6"/>
        <v>#N/A</v>
      </c>
      <c r="AZ795" s="22" t="s">
        <v>107</v>
      </c>
      <c r="BA795" s="22" t="s">
        <v>108</v>
      </c>
      <c r="BB795" s="31" t="s">
        <v>109</v>
      </c>
      <c r="BC795" s="31" t="s">
        <v>109</v>
      </c>
      <c r="BD795" s="32" t="str">
        <f t="shared" si="8"/>
        <v>nvl-nvs-imc-dsy-0820-10789</v>
      </c>
      <c r="BE795" s="33"/>
      <c r="BF795" s="33"/>
      <c r="BG795" s="39" t="str">
        <f>URL&amp;IF(ISNUMBER(FIND("?",URL)),"&amp;","?"&amp;("adlid="&amp;Unique_ID&amp;"&amp;adplt="&amp;Placement))</f>
        <v>#N/A</v>
      </c>
      <c r="BH795" s="1"/>
      <c r="BI795" s="1"/>
      <c r="BJ795" s="35" t="str">
        <f>LOWER("alp"&amp;"_"&amp;"vw"&amp;"_"&amp;Veiculo&amp;"_"&amp;C791&amp;"_"&amp;Objetivo)</f>
        <v>alp_vw___</v>
      </c>
      <c r="BK795" s="35" t="str">
        <f>LOWER(Buying_Metric&amp;"_"&amp;VLOOKUP(Buying_Type,Buy_type,2,FALSE)&amp;"_"&amp;Device&amp;"_"&amp;Size&amp;"_"&amp;Segmentação&amp;"_"&amp;Segmentação_Anúncio)</f>
        <v>#N/A</v>
      </c>
      <c r="BL795" s="35" t="str">
        <f>LOWER(Campanha_ou_InsertionOrder&amp;"_"&amp;LineItem_ou_Grupodeanúncio&amp;"_"&amp;Linha_criativa_2&amp;"_"&amp;Unique_ID)</f>
        <v>#N/A</v>
      </c>
      <c r="BM795" s="27"/>
      <c r="BN795" s="27"/>
    </row>
    <row r="796">
      <c r="A796" s="1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8" t="str">
        <f>LOWER(Campanha_ou_InsertionOrder&amp;"_"&amp;LineItem_ou_Grupodeanúncio&amp;"_"&amp;Linha_Criativa&amp;"_"&amp;Unique_ID)</f>
        <v>#N/A</v>
      </c>
      <c r="AN796" s="28" t="str">
        <f>LOWER(Campanha_ou_InsertionOrder&amp;"_"&amp;LineItem_ou_Grupodeanúncio&amp;"_"&amp;Linha_Criativa&amp;"_"&amp;Unique_ID)</f>
        <v>#N/A</v>
      </c>
      <c r="AO796" s="28" t="str">
        <f>LOWER("VW"&amp;"_"&amp;Model_Variant&amp;"_"&amp;Size&amp;"_"&amp;Linha_Criativa&amp;"_"&amp;IF(Servido_Por="portal",Veiculo,"adserver"))</f>
        <v>vw____adserver</v>
      </c>
      <c r="AP7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6" s="22" t="str">
        <f t="shared" si="1"/>
        <v/>
      </c>
      <c r="AS796" s="22" t="str">
        <f t="shared" si="2"/>
        <v/>
      </c>
      <c r="AT796" s="22" t="str">
        <f t="shared" si="3"/>
        <v>BR_IMC_DSY_LANCH_ND_NC_2020Q3AUG_NVS_Nivus-Launch-Consideracao</v>
      </c>
      <c r="AU796" s="22" t="str">
        <f t="shared" si="4"/>
        <v>#N/A</v>
      </c>
      <c r="AV796" s="22" t="s">
        <v>106</v>
      </c>
      <c r="AW7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6" s="22" t="str">
        <f t="shared" si="5"/>
        <v>BR_IMC_DSY_LANCH_ND_NC_2020Q3AUG_NVS_Nivus-Launch-Consideracao</v>
      </c>
      <c r="AY796" s="28" t="str">
        <f t="shared" si="6"/>
        <v>#N/A</v>
      </c>
      <c r="AZ796" s="22" t="s">
        <v>107</v>
      </c>
      <c r="BA796" s="22" t="s">
        <v>108</v>
      </c>
      <c r="BB796" s="31" t="s">
        <v>109</v>
      </c>
      <c r="BC796" s="31" t="s">
        <v>109</v>
      </c>
      <c r="BD796" s="32" t="str">
        <f t="shared" si="8"/>
        <v>nvl-nvs-imc-dsy-0820-10790</v>
      </c>
      <c r="BE796" s="33"/>
      <c r="BF796" s="33"/>
      <c r="BG796" s="39" t="str">
        <f>URL&amp;IF(ISNUMBER(FIND("?",URL)),"&amp;","?"&amp;("adlid="&amp;Unique_ID&amp;"&amp;adplt="&amp;Placement))</f>
        <v>#N/A</v>
      </c>
      <c r="BH796" s="1"/>
      <c r="BI796" s="1"/>
      <c r="BJ796" s="35" t="str">
        <f>LOWER("alp"&amp;"_"&amp;"vw"&amp;"_"&amp;Veiculo&amp;"_"&amp;C792&amp;"_"&amp;Objetivo)</f>
        <v>alp_vw___</v>
      </c>
      <c r="BK796" s="35" t="str">
        <f>LOWER(Buying_Metric&amp;"_"&amp;VLOOKUP(Buying_Type,Buy_type,2,FALSE)&amp;"_"&amp;Device&amp;"_"&amp;Size&amp;"_"&amp;Segmentação&amp;"_"&amp;Segmentação_Anúncio)</f>
        <v>#N/A</v>
      </c>
      <c r="BL796" s="35" t="str">
        <f>LOWER(Campanha_ou_InsertionOrder&amp;"_"&amp;LineItem_ou_Grupodeanúncio&amp;"_"&amp;Linha_criativa_2&amp;"_"&amp;Unique_ID)</f>
        <v>#N/A</v>
      </c>
      <c r="BM796" s="27"/>
      <c r="BN796" s="27"/>
    </row>
    <row r="797">
      <c r="A797" s="1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8" t="str">
        <f>LOWER(Campanha_ou_InsertionOrder&amp;"_"&amp;LineItem_ou_Grupodeanúncio&amp;"_"&amp;Linha_Criativa&amp;"_"&amp;Unique_ID)</f>
        <v>#N/A</v>
      </c>
      <c r="AN797" s="28" t="str">
        <f>LOWER(Campanha_ou_InsertionOrder&amp;"_"&amp;LineItem_ou_Grupodeanúncio&amp;"_"&amp;Linha_Criativa&amp;"_"&amp;Unique_ID)</f>
        <v>#N/A</v>
      </c>
      <c r="AO797" s="28" t="str">
        <f>LOWER("VW"&amp;"_"&amp;Model_Variant&amp;"_"&amp;Size&amp;"_"&amp;Linha_Criativa&amp;"_"&amp;IF(Servido_Por="portal",Veiculo,"adserver"))</f>
        <v>vw____adserver</v>
      </c>
      <c r="AP7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7" s="22" t="str">
        <f t="shared" si="1"/>
        <v/>
      </c>
      <c r="AS797" s="22" t="str">
        <f t="shared" si="2"/>
        <v/>
      </c>
      <c r="AT797" s="22" t="str">
        <f t="shared" si="3"/>
        <v>BR_IMC_DSY_LANCH_ND_NC_2020Q3AUG_NVS_Nivus-Launch-Consideracao</v>
      </c>
      <c r="AU797" s="22" t="str">
        <f t="shared" si="4"/>
        <v>#N/A</v>
      </c>
      <c r="AV797" s="22" t="s">
        <v>106</v>
      </c>
      <c r="AW7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7" s="22" t="str">
        <f t="shared" si="5"/>
        <v>BR_IMC_DSY_LANCH_ND_NC_2020Q3AUG_NVS_Nivus-Launch-Consideracao</v>
      </c>
      <c r="AY797" s="28" t="str">
        <f t="shared" si="6"/>
        <v>#N/A</v>
      </c>
      <c r="AZ797" s="22" t="s">
        <v>107</v>
      </c>
      <c r="BA797" s="22" t="s">
        <v>108</v>
      </c>
      <c r="BB797" s="31" t="s">
        <v>109</v>
      </c>
      <c r="BC797" s="31" t="s">
        <v>109</v>
      </c>
      <c r="BD797" s="32" t="str">
        <f t="shared" si="8"/>
        <v>nvl-nvs-imc-dsy-0820-10791</v>
      </c>
      <c r="BE797" s="33"/>
      <c r="BF797" s="33"/>
      <c r="BG797" s="39" t="str">
        <f>URL&amp;IF(ISNUMBER(FIND("?",URL)),"&amp;","?"&amp;("adlid="&amp;Unique_ID&amp;"&amp;adplt="&amp;Placement))</f>
        <v>#N/A</v>
      </c>
      <c r="BH797" s="1"/>
      <c r="BI797" s="1"/>
      <c r="BJ797" s="35" t="str">
        <f>LOWER("alp"&amp;"_"&amp;"vw"&amp;"_"&amp;Veiculo&amp;"_"&amp;C793&amp;"_"&amp;Objetivo)</f>
        <v>alp_vw___</v>
      </c>
      <c r="BK797" s="35" t="str">
        <f>LOWER(Buying_Metric&amp;"_"&amp;VLOOKUP(Buying_Type,Buy_type,2,FALSE)&amp;"_"&amp;Device&amp;"_"&amp;Size&amp;"_"&amp;Segmentação&amp;"_"&amp;Segmentação_Anúncio)</f>
        <v>#N/A</v>
      </c>
      <c r="BL797" s="35" t="str">
        <f>LOWER(Campanha_ou_InsertionOrder&amp;"_"&amp;LineItem_ou_Grupodeanúncio&amp;"_"&amp;Linha_criativa_2&amp;"_"&amp;Unique_ID)</f>
        <v>#N/A</v>
      </c>
      <c r="BM797" s="27"/>
      <c r="BN797" s="27"/>
    </row>
    <row r="798">
      <c r="A798" s="1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8" t="str">
        <f>LOWER(Campanha_ou_InsertionOrder&amp;"_"&amp;LineItem_ou_Grupodeanúncio&amp;"_"&amp;Linha_Criativa&amp;"_"&amp;Unique_ID)</f>
        <v>#N/A</v>
      </c>
      <c r="AN798" s="28" t="str">
        <f>LOWER(Campanha_ou_InsertionOrder&amp;"_"&amp;LineItem_ou_Grupodeanúncio&amp;"_"&amp;Linha_Criativa&amp;"_"&amp;Unique_ID)</f>
        <v>#N/A</v>
      </c>
      <c r="AO798" s="28" t="str">
        <f>LOWER("VW"&amp;"_"&amp;Model_Variant&amp;"_"&amp;Size&amp;"_"&amp;Linha_Criativa&amp;"_"&amp;IF(Servido_Por="portal",Veiculo,"adserver"))</f>
        <v>vw____adserver</v>
      </c>
      <c r="AP7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8" s="22" t="str">
        <f t="shared" si="1"/>
        <v/>
      </c>
      <c r="AS798" s="22" t="str">
        <f t="shared" si="2"/>
        <v/>
      </c>
      <c r="AT798" s="22" t="str">
        <f t="shared" si="3"/>
        <v>BR_IMC_DSY_LANCH_ND_NC_2020Q3AUG_NVS_Nivus-Launch-Consideracao</v>
      </c>
      <c r="AU798" s="22" t="str">
        <f t="shared" si="4"/>
        <v>#N/A</v>
      </c>
      <c r="AV798" s="22" t="s">
        <v>106</v>
      </c>
      <c r="AW7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8" s="22" t="str">
        <f t="shared" si="5"/>
        <v>BR_IMC_DSY_LANCH_ND_NC_2020Q3AUG_NVS_Nivus-Launch-Consideracao</v>
      </c>
      <c r="AY798" s="28" t="str">
        <f t="shared" si="6"/>
        <v>#N/A</v>
      </c>
      <c r="AZ798" s="22" t="s">
        <v>107</v>
      </c>
      <c r="BA798" s="22" t="s">
        <v>108</v>
      </c>
      <c r="BB798" s="31" t="s">
        <v>109</v>
      </c>
      <c r="BC798" s="31" t="s">
        <v>109</v>
      </c>
      <c r="BD798" s="32" t="str">
        <f t="shared" si="8"/>
        <v>nvl-nvs-imc-dsy-0820-10792</v>
      </c>
      <c r="BE798" s="33"/>
      <c r="BF798" s="33"/>
      <c r="BG798" s="39" t="str">
        <f>URL&amp;IF(ISNUMBER(FIND("?",URL)),"&amp;","?"&amp;("adlid="&amp;Unique_ID&amp;"&amp;adplt="&amp;Placement))</f>
        <v>#N/A</v>
      </c>
      <c r="BH798" s="1"/>
      <c r="BI798" s="1"/>
      <c r="BJ798" s="35" t="str">
        <f>LOWER("alp"&amp;"_"&amp;"vw"&amp;"_"&amp;Veiculo&amp;"_"&amp;C794&amp;"_"&amp;Objetivo)</f>
        <v>alp_vw___</v>
      </c>
      <c r="BK798" s="35" t="str">
        <f>LOWER(Buying_Metric&amp;"_"&amp;VLOOKUP(Buying_Type,Buy_type,2,FALSE)&amp;"_"&amp;Device&amp;"_"&amp;Size&amp;"_"&amp;Segmentação&amp;"_"&amp;Segmentação_Anúncio)</f>
        <v>#N/A</v>
      </c>
      <c r="BL798" s="35" t="str">
        <f>LOWER(Campanha_ou_InsertionOrder&amp;"_"&amp;LineItem_ou_Grupodeanúncio&amp;"_"&amp;Linha_criativa_2&amp;"_"&amp;Unique_ID)</f>
        <v>#N/A</v>
      </c>
      <c r="BM798" s="27"/>
      <c r="BN798" s="27"/>
    </row>
    <row r="799">
      <c r="A799" s="1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8" t="str">
        <f>LOWER(Campanha_ou_InsertionOrder&amp;"_"&amp;LineItem_ou_Grupodeanúncio&amp;"_"&amp;Linha_Criativa&amp;"_"&amp;Unique_ID)</f>
        <v>#N/A</v>
      </c>
      <c r="AN799" s="28" t="str">
        <f>LOWER(Campanha_ou_InsertionOrder&amp;"_"&amp;LineItem_ou_Grupodeanúncio&amp;"_"&amp;Linha_Criativa&amp;"_"&amp;Unique_ID)</f>
        <v>#N/A</v>
      </c>
      <c r="AO799" s="28" t="str">
        <f>LOWER("VW"&amp;"_"&amp;Model_Variant&amp;"_"&amp;Size&amp;"_"&amp;Linha_Criativa&amp;"_"&amp;IF(Servido_Por="portal",Veiculo,"adserver"))</f>
        <v>vw____adserver</v>
      </c>
      <c r="AP7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7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799" s="22" t="str">
        <f t="shared" si="1"/>
        <v/>
      </c>
      <c r="AS799" s="22" t="str">
        <f t="shared" si="2"/>
        <v/>
      </c>
      <c r="AT799" s="22" t="str">
        <f t="shared" si="3"/>
        <v>BR_IMC_DSY_LANCH_ND_NC_2020Q3AUG_NVS_Nivus-Launch-Consideracao</v>
      </c>
      <c r="AU799" s="22" t="str">
        <f t="shared" si="4"/>
        <v>#N/A</v>
      </c>
      <c r="AV799" s="22" t="s">
        <v>106</v>
      </c>
      <c r="AW7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799" s="22" t="str">
        <f t="shared" si="5"/>
        <v>BR_IMC_DSY_LANCH_ND_NC_2020Q3AUG_NVS_Nivus-Launch-Consideracao</v>
      </c>
      <c r="AY799" s="28" t="str">
        <f t="shared" si="6"/>
        <v>#N/A</v>
      </c>
      <c r="AZ799" s="22" t="s">
        <v>107</v>
      </c>
      <c r="BA799" s="22" t="s">
        <v>108</v>
      </c>
      <c r="BB799" s="31" t="s">
        <v>109</v>
      </c>
      <c r="BC799" s="31" t="s">
        <v>109</v>
      </c>
      <c r="BD799" s="32" t="str">
        <f t="shared" si="8"/>
        <v>nvl-nvs-imc-dsy-0820-10793</v>
      </c>
      <c r="BE799" s="33"/>
      <c r="BF799" s="33"/>
      <c r="BG799" s="39" t="str">
        <f>URL&amp;IF(ISNUMBER(FIND("?",URL)),"&amp;","?"&amp;("adlid="&amp;Unique_ID&amp;"&amp;adplt="&amp;Placement))</f>
        <v>#N/A</v>
      </c>
      <c r="BH799" s="1"/>
      <c r="BI799" s="1"/>
      <c r="BJ799" s="35" t="str">
        <f>LOWER("alp"&amp;"_"&amp;"vw"&amp;"_"&amp;Veiculo&amp;"_"&amp;C795&amp;"_"&amp;Objetivo)</f>
        <v>alp_vw___</v>
      </c>
      <c r="BK799" s="35" t="str">
        <f>LOWER(Buying_Metric&amp;"_"&amp;VLOOKUP(Buying_Type,Buy_type,2,FALSE)&amp;"_"&amp;Device&amp;"_"&amp;Size&amp;"_"&amp;Segmentação&amp;"_"&amp;Segmentação_Anúncio)</f>
        <v>#N/A</v>
      </c>
      <c r="BL799" s="35" t="str">
        <f>LOWER(Campanha_ou_InsertionOrder&amp;"_"&amp;LineItem_ou_Grupodeanúncio&amp;"_"&amp;Linha_criativa_2&amp;"_"&amp;Unique_ID)</f>
        <v>#N/A</v>
      </c>
      <c r="BM799" s="27"/>
      <c r="BN799" s="27"/>
    </row>
    <row r="800">
      <c r="A800" s="1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8" t="str">
        <f>LOWER(Campanha_ou_InsertionOrder&amp;"_"&amp;LineItem_ou_Grupodeanúncio&amp;"_"&amp;Linha_Criativa&amp;"_"&amp;Unique_ID)</f>
        <v>#N/A</v>
      </c>
      <c r="AN800" s="28" t="str">
        <f>LOWER(Campanha_ou_InsertionOrder&amp;"_"&amp;LineItem_ou_Grupodeanúncio&amp;"_"&amp;Linha_Criativa&amp;"_"&amp;Unique_ID)</f>
        <v>#N/A</v>
      </c>
      <c r="AO800" s="28" t="str">
        <f>LOWER("VW"&amp;"_"&amp;Model_Variant&amp;"_"&amp;Size&amp;"_"&amp;Linha_Criativa&amp;"_"&amp;IF(Servido_Por="portal",Veiculo,"adserver"))</f>
        <v>vw____adserver</v>
      </c>
      <c r="AP8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0" s="22" t="str">
        <f t="shared" si="1"/>
        <v/>
      </c>
      <c r="AS800" s="22" t="str">
        <f t="shared" si="2"/>
        <v/>
      </c>
      <c r="AT800" s="22" t="str">
        <f t="shared" si="3"/>
        <v>BR_IMC_DSY_LANCH_ND_NC_2020Q3AUG_NVS_Nivus-Launch-Consideracao</v>
      </c>
      <c r="AU800" s="22" t="str">
        <f t="shared" si="4"/>
        <v>#N/A</v>
      </c>
      <c r="AV800" s="22" t="s">
        <v>106</v>
      </c>
      <c r="AW8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0" s="22" t="str">
        <f t="shared" si="5"/>
        <v>BR_IMC_DSY_LANCH_ND_NC_2020Q3AUG_NVS_Nivus-Launch-Consideracao</v>
      </c>
      <c r="AY800" s="28" t="str">
        <f t="shared" si="6"/>
        <v>#N/A</v>
      </c>
      <c r="AZ800" s="22" t="s">
        <v>107</v>
      </c>
      <c r="BA800" s="22" t="s">
        <v>108</v>
      </c>
      <c r="BB800" s="31" t="s">
        <v>109</v>
      </c>
      <c r="BC800" s="31" t="s">
        <v>109</v>
      </c>
      <c r="BD800" s="32" t="str">
        <f t="shared" si="8"/>
        <v>nvl-nvs-imc-dsy-0820-10794</v>
      </c>
      <c r="BE800" s="33"/>
      <c r="BF800" s="33"/>
      <c r="BG800" s="39" t="str">
        <f>URL&amp;IF(ISNUMBER(FIND("?",URL)),"&amp;","?"&amp;("adlid="&amp;Unique_ID&amp;"&amp;adplt="&amp;Placement))</f>
        <v>#N/A</v>
      </c>
      <c r="BH800" s="1"/>
      <c r="BI800" s="1"/>
      <c r="BJ800" s="35" t="str">
        <f>LOWER("alp"&amp;"_"&amp;"vw"&amp;"_"&amp;Veiculo&amp;"_"&amp;C796&amp;"_"&amp;Objetivo)</f>
        <v>alp_vw___</v>
      </c>
      <c r="BK800" s="35" t="str">
        <f>LOWER(Buying_Metric&amp;"_"&amp;VLOOKUP(Buying_Type,Buy_type,2,FALSE)&amp;"_"&amp;Device&amp;"_"&amp;Size&amp;"_"&amp;Segmentação&amp;"_"&amp;Segmentação_Anúncio)</f>
        <v>#N/A</v>
      </c>
      <c r="BL800" s="35" t="str">
        <f>LOWER(Campanha_ou_InsertionOrder&amp;"_"&amp;LineItem_ou_Grupodeanúncio&amp;"_"&amp;Linha_criativa_2&amp;"_"&amp;Unique_ID)</f>
        <v>#N/A</v>
      </c>
      <c r="BM800" s="27"/>
      <c r="BN800" s="27"/>
    </row>
    <row r="801">
      <c r="A801" s="1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8" t="str">
        <f>LOWER(Campanha_ou_InsertionOrder&amp;"_"&amp;LineItem_ou_Grupodeanúncio&amp;"_"&amp;Linha_Criativa&amp;"_"&amp;Unique_ID)</f>
        <v>#N/A</v>
      </c>
      <c r="AN801" s="28" t="str">
        <f>LOWER(Campanha_ou_InsertionOrder&amp;"_"&amp;LineItem_ou_Grupodeanúncio&amp;"_"&amp;Linha_Criativa&amp;"_"&amp;Unique_ID)</f>
        <v>#N/A</v>
      </c>
      <c r="AO801" s="28" t="str">
        <f>LOWER("VW"&amp;"_"&amp;Model_Variant&amp;"_"&amp;Size&amp;"_"&amp;Linha_Criativa&amp;"_"&amp;IF(Servido_Por="portal",Veiculo,"adserver"))</f>
        <v>vw____adserver</v>
      </c>
      <c r="AP8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1" s="22" t="str">
        <f t="shared" si="1"/>
        <v/>
      </c>
      <c r="AS801" s="22" t="str">
        <f t="shared" si="2"/>
        <v/>
      </c>
      <c r="AT801" s="22" t="str">
        <f t="shared" si="3"/>
        <v>BR_IMC_DSY_LANCH_ND_NC_2020Q3AUG_NVS_Nivus-Launch-Consideracao</v>
      </c>
      <c r="AU801" s="22" t="str">
        <f t="shared" si="4"/>
        <v>#N/A</v>
      </c>
      <c r="AV801" s="22" t="s">
        <v>106</v>
      </c>
      <c r="AW8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1" s="22" t="str">
        <f t="shared" si="5"/>
        <v>BR_IMC_DSY_LANCH_ND_NC_2020Q3AUG_NVS_Nivus-Launch-Consideracao</v>
      </c>
      <c r="AY801" s="28" t="str">
        <f t="shared" si="6"/>
        <v>#N/A</v>
      </c>
      <c r="AZ801" s="22" t="s">
        <v>107</v>
      </c>
      <c r="BA801" s="22" t="s">
        <v>108</v>
      </c>
      <c r="BB801" s="31" t="s">
        <v>109</v>
      </c>
      <c r="BC801" s="31" t="s">
        <v>109</v>
      </c>
      <c r="BD801" s="32" t="str">
        <f t="shared" si="8"/>
        <v>nvl-nvs-imc-dsy-0820-10795</v>
      </c>
      <c r="BE801" s="33"/>
      <c r="BF801" s="33"/>
      <c r="BG801" s="39" t="str">
        <f>URL&amp;IF(ISNUMBER(FIND("?",URL)),"&amp;","?"&amp;("adlid="&amp;Unique_ID&amp;"&amp;adplt="&amp;Placement))</f>
        <v>#N/A</v>
      </c>
      <c r="BH801" s="1"/>
      <c r="BI801" s="1"/>
      <c r="BJ801" s="35" t="str">
        <f>LOWER("alp"&amp;"_"&amp;"vw"&amp;"_"&amp;Veiculo&amp;"_"&amp;C797&amp;"_"&amp;Objetivo)</f>
        <v>alp_vw___</v>
      </c>
      <c r="BK801" s="35" t="str">
        <f>LOWER(Buying_Metric&amp;"_"&amp;VLOOKUP(Buying_Type,Buy_type,2,FALSE)&amp;"_"&amp;Device&amp;"_"&amp;Size&amp;"_"&amp;Segmentação&amp;"_"&amp;Segmentação_Anúncio)</f>
        <v>#N/A</v>
      </c>
      <c r="BL801" s="35" t="str">
        <f>LOWER(Campanha_ou_InsertionOrder&amp;"_"&amp;LineItem_ou_Grupodeanúncio&amp;"_"&amp;Linha_criativa_2&amp;"_"&amp;Unique_ID)</f>
        <v>#N/A</v>
      </c>
      <c r="BM801" s="27"/>
      <c r="BN801" s="27"/>
    </row>
    <row r="802">
      <c r="A802" s="1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8" t="str">
        <f>LOWER(Campanha_ou_InsertionOrder&amp;"_"&amp;LineItem_ou_Grupodeanúncio&amp;"_"&amp;Linha_Criativa&amp;"_"&amp;Unique_ID)</f>
        <v>#N/A</v>
      </c>
      <c r="AN802" s="28" t="str">
        <f>LOWER(Campanha_ou_InsertionOrder&amp;"_"&amp;LineItem_ou_Grupodeanúncio&amp;"_"&amp;Linha_Criativa&amp;"_"&amp;Unique_ID)</f>
        <v>#N/A</v>
      </c>
      <c r="AO802" s="28" t="str">
        <f>LOWER("VW"&amp;"_"&amp;Model_Variant&amp;"_"&amp;Size&amp;"_"&amp;Linha_Criativa&amp;"_"&amp;IF(Servido_Por="portal",Veiculo,"adserver"))</f>
        <v>vw____adserver</v>
      </c>
      <c r="AP8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2" s="22" t="str">
        <f t="shared" si="1"/>
        <v/>
      </c>
      <c r="AS802" s="22" t="str">
        <f t="shared" si="2"/>
        <v/>
      </c>
      <c r="AT802" s="22" t="str">
        <f t="shared" si="3"/>
        <v>BR_IMC_DSY_LANCH_ND_NC_2020Q3AUG_NVS_Nivus-Launch-Consideracao</v>
      </c>
      <c r="AU802" s="22" t="str">
        <f t="shared" si="4"/>
        <v>#N/A</v>
      </c>
      <c r="AV802" s="22" t="s">
        <v>106</v>
      </c>
      <c r="AW8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2" s="22" t="str">
        <f t="shared" si="5"/>
        <v>BR_IMC_DSY_LANCH_ND_NC_2020Q3AUG_NVS_Nivus-Launch-Consideracao</v>
      </c>
      <c r="AY802" s="28" t="str">
        <f t="shared" si="6"/>
        <v>#N/A</v>
      </c>
      <c r="AZ802" s="22" t="s">
        <v>107</v>
      </c>
      <c r="BA802" s="22" t="s">
        <v>108</v>
      </c>
      <c r="BB802" s="31" t="s">
        <v>109</v>
      </c>
      <c r="BC802" s="31" t="s">
        <v>109</v>
      </c>
      <c r="BD802" s="32" t="str">
        <f t="shared" si="8"/>
        <v>nvl-nvs-imc-dsy-0820-10796</v>
      </c>
      <c r="BE802" s="33"/>
      <c r="BF802" s="33"/>
      <c r="BG802" s="39" t="str">
        <f>URL&amp;IF(ISNUMBER(FIND("?",URL)),"&amp;","?"&amp;("adlid="&amp;Unique_ID&amp;"&amp;adplt="&amp;Placement))</f>
        <v>#N/A</v>
      </c>
      <c r="BH802" s="1"/>
      <c r="BI802" s="1"/>
      <c r="BJ802" s="35" t="str">
        <f>LOWER("alp"&amp;"_"&amp;"vw"&amp;"_"&amp;Veiculo&amp;"_"&amp;C798&amp;"_"&amp;Objetivo)</f>
        <v>alp_vw___</v>
      </c>
      <c r="BK802" s="35" t="str">
        <f>LOWER(Buying_Metric&amp;"_"&amp;VLOOKUP(Buying_Type,Buy_type,2,FALSE)&amp;"_"&amp;Device&amp;"_"&amp;Size&amp;"_"&amp;Segmentação&amp;"_"&amp;Segmentação_Anúncio)</f>
        <v>#N/A</v>
      </c>
      <c r="BL802" s="35" t="str">
        <f>LOWER(Campanha_ou_InsertionOrder&amp;"_"&amp;LineItem_ou_Grupodeanúncio&amp;"_"&amp;Linha_criativa_2&amp;"_"&amp;Unique_ID)</f>
        <v>#N/A</v>
      </c>
      <c r="BM802" s="27"/>
      <c r="BN802" s="27"/>
    </row>
    <row r="803">
      <c r="A803" s="1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8" t="str">
        <f>LOWER(Campanha_ou_InsertionOrder&amp;"_"&amp;LineItem_ou_Grupodeanúncio&amp;"_"&amp;Linha_Criativa&amp;"_"&amp;Unique_ID)</f>
        <v>#N/A</v>
      </c>
      <c r="AN803" s="28" t="str">
        <f>LOWER(Campanha_ou_InsertionOrder&amp;"_"&amp;LineItem_ou_Grupodeanúncio&amp;"_"&amp;Linha_Criativa&amp;"_"&amp;Unique_ID)</f>
        <v>#N/A</v>
      </c>
      <c r="AO803" s="28" t="str">
        <f>LOWER("VW"&amp;"_"&amp;Model_Variant&amp;"_"&amp;Size&amp;"_"&amp;Linha_Criativa&amp;"_"&amp;IF(Servido_Por="portal",Veiculo,"adserver"))</f>
        <v>vw____adserver</v>
      </c>
      <c r="AP8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3" s="22" t="str">
        <f t="shared" si="1"/>
        <v/>
      </c>
      <c r="AS803" s="22" t="str">
        <f t="shared" si="2"/>
        <v/>
      </c>
      <c r="AT803" s="22" t="str">
        <f t="shared" si="3"/>
        <v>BR_IMC_DSY_LANCH_ND_NC_2020Q3AUG_NVS_Nivus-Launch-Consideracao</v>
      </c>
      <c r="AU803" s="22" t="str">
        <f t="shared" si="4"/>
        <v>#N/A</v>
      </c>
      <c r="AV803" s="22" t="s">
        <v>106</v>
      </c>
      <c r="AW8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3" s="22" t="str">
        <f t="shared" si="5"/>
        <v>BR_IMC_DSY_LANCH_ND_NC_2020Q3AUG_NVS_Nivus-Launch-Consideracao</v>
      </c>
      <c r="AY803" s="28" t="str">
        <f t="shared" si="6"/>
        <v>#N/A</v>
      </c>
      <c r="AZ803" s="22" t="s">
        <v>107</v>
      </c>
      <c r="BA803" s="22" t="s">
        <v>108</v>
      </c>
      <c r="BB803" s="31" t="s">
        <v>109</v>
      </c>
      <c r="BC803" s="31" t="s">
        <v>109</v>
      </c>
      <c r="BD803" s="32" t="str">
        <f t="shared" si="8"/>
        <v>nvl-nvs-imc-dsy-0820-10797</v>
      </c>
      <c r="BE803" s="33"/>
      <c r="BF803" s="33"/>
      <c r="BG803" s="39" t="str">
        <f>URL&amp;IF(ISNUMBER(FIND("?",URL)),"&amp;","?"&amp;("adlid="&amp;Unique_ID&amp;"&amp;adplt="&amp;Placement))</f>
        <v>#N/A</v>
      </c>
      <c r="BH803" s="1"/>
      <c r="BI803" s="1"/>
      <c r="BJ803" s="35" t="str">
        <f>LOWER("alp"&amp;"_"&amp;"vw"&amp;"_"&amp;Veiculo&amp;"_"&amp;C799&amp;"_"&amp;Objetivo)</f>
        <v>alp_vw___</v>
      </c>
      <c r="BK803" s="35" t="str">
        <f>LOWER(Buying_Metric&amp;"_"&amp;VLOOKUP(Buying_Type,Buy_type,2,FALSE)&amp;"_"&amp;Device&amp;"_"&amp;Size&amp;"_"&amp;Segmentação&amp;"_"&amp;Segmentação_Anúncio)</f>
        <v>#N/A</v>
      </c>
      <c r="BL803" s="35" t="str">
        <f>LOWER(Campanha_ou_InsertionOrder&amp;"_"&amp;LineItem_ou_Grupodeanúncio&amp;"_"&amp;Linha_criativa_2&amp;"_"&amp;Unique_ID)</f>
        <v>#N/A</v>
      </c>
      <c r="BM803" s="27"/>
      <c r="BN803" s="27"/>
    </row>
    <row r="804">
      <c r="A804" s="1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8" t="str">
        <f>LOWER(Campanha_ou_InsertionOrder&amp;"_"&amp;LineItem_ou_Grupodeanúncio&amp;"_"&amp;Linha_Criativa&amp;"_"&amp;Unique_ID)</f>
        <v>#N/A</v>
      </c>
      <c r="AN804" s="28" t="str">
        <f>LOWER(Campanha_ou_InsertionOrder&amp;"_"&amp;LineItem_ou_Grupodeanúncio&amp;"_"&amp;Linha_Criativa&amp;"_"&amp;Unique_ID)</f>
        <v>#N/A</v>
      </c>
      <c r="AO804" s="28" t="str">
        <f>LOWER("VW"&amp;"_"&amp;Model_Variant&amp;"_"&amp;Size&amp;"_"&amp;Linha_Criativa&amp;"_"&amp;IF(Servido_Por="portal",Veiculo,"adserver"))</f>
        <v>vw____adserver</v>
      </c>
      <c r="AP8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4" s="22" t="str">
        <f t="shared" si="1"/>
        <v/>
      </c>
      <c r="AS804" s="22" t="str">
        <f t="shared" si="2"/>
        <v/>
      </c>
      <c r="AT804" s="22" t="str">
        <f t="shared" si="3"/>
        <v>BR_IMC_DSY_LANCH_ND_NC_2020Q3AUG_NVS_Nivus-Launch-Consideracao</v>
      </c>
      <c r="AU804" s="22" t="str">
        <f t="shared" si="4"/>
        <v>#N/A</v>
      </c>
      <c r="AV804" s="22" t="s">
        <v>106</v>
      </c>
      <c r="AW8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4" s="22" t="str">
        <f t="shared" si="5"/>
        <v>BR_IMC_DSY_LANCH_ND_NC_2020Q3AUG_NVS_Nivus-Launch-Consideracao</v>
      </c>
      <c r="AY804" s="28" t="str">
        <f t="shared" si="6"/>
        <v>#N/A</v>
      </c>
      <c r="AZ804" s="22" t="s">
        <v>107</v>
      </c>
      <c r="BA804" s="22" t="s">
        <v>108</v>
      </c>
      <c r="BB804" s="31" t="s">
        <v>109</v>
      </c>
      <c r="BC804" s="31" t="s">
        <v>109</v>
      </c>
      <c r="BD804" s="32" t="str">
        <f t="shared" si="8"/>
        <v>nvl-nvs-imc-dsy-0820-10798</v>
      </c>
      <c r="BE804" s="33"/>
      <c r="BF804" s="33"/>
      <c r="BG804" s="39" t="str">
        <f>URL&amp;IF(ISNUMBER(FIND("?",URL)),"&amp;","?"&amp;("adlid="&amp;Unique_ID&amp;"&amp;adplt="&amp;Placement))</f>
        <v>#N/A</v>
      </c>
      <c r="BH804" s="1"/>
      <c r="BI804" s="1"/>
      <c r="BJ804" s="35" t="str">
        <f>LOWER("alp"&amp;"_"&amp;"vw"&amp;"_"&amp;Veiculo&amp;"_"&amp;C800&amp;"_"&amp;Objetivo)</f>
        <v>alp_vw___</v>
      </c>
      <c r="BK804" s="35" t="str">
        <f>LOWER(Buying_Metric&amp;"_"&amp;VLOOKUP(Buying_Type,Buy_type,2,FALSE)&amp;"_"&amp;Device&amp;"_"&amp;Size&amp;"_"&amp;Segmentação&amp;"_"&amp;Segmentação_Anúncio)</f>
        <v>#N/A</v>
      </c>
      <c r="BL804" s="35" t="str">
        <f>LOWER(Campanha_ou_InsertionOrder&amp;"_"&amp;LineItem_ou_Grupodeanúncio&amp;"_"&amp;Linha_criativa_2&amp;"_"&amp;Unique_ID)</f>
        <v>#N/A</v>
      </c>
      <c r="BM804" s="27"/>
      <c r="BN804" s="27"/>
    </row>
    <row r="805">
      <c r="A805" s="1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8" t="str">
        <f>LOWER(Campanha_ou_InsertionOrder&amp;"_"&amp;LineItem_ou_Grupodeanúncio&amp;"_"&amp;Linha_Criativa&amp;"_"&amp;Unique_ID)</f>
        <v>#N/A</v>
      </c>
      <c r="AN805" s="28" t="str">
        <f>LOWER(Campanha_ou_InsertionOrder&amp;"_"&amp;LineItem_ou_Grupodeanúncio&amp;"_"&amp;Linha_Criativa&amp;"_"&amp;Unique_ID)</f>
        <v>#N/A</v>
      </c>
      <c r="AO805" s="28" t="str">
        <f>LOWER("VW"&amp;"_"&amp;Model_Variant&amp;"_"&amp;Size&amp;"_"&amp;Linha_Criativa&amp;"_"&amp;IF(Servido_Por="portal",Veiculo,"adserver"))</f>
        <v>vw____adserver</v>
      </c>
      <c r="AP8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5" s="22" t="str">
        <f t="shared" si="1"/>
        <v/>
      </c>
      <c r="AS805" s="22" t="str">
        <f t="shared" si="2"/>
        <v/>
      </c>
      <c r="AT805" s="22" t="str">
        <f t="shared" si="3"/>
        <v>BR_IMC_DSY_LANCH_ND_NC_2020Q3AUG_NVS_Nivus-Launch-Consideracao</v>
      </c>
      <c r="AU805" s="22" t="str">
        <f t="shared" si="4"/>
        <v>#N/A</v>
      </c>
      <c r="AV805" s="22" t="s">
        <v>106</v>
      </c>
      <c r="AW8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5" s="22" t="str">
        <f t="shared" si="5"/>
        <v>BR_IMC_DSY_LANCH_ND_NC_2020Q3AUG_NVS_Nivus-Launch-Consideracao</v>
      </c>
      <c r="AY805" s="28" t="str">
        <f t="shared" si="6"/>
        <v>#N/A</v>
      </c>
      <c r="AZ805" s="22" t="s">
        <v>107</v>
      </c>
      <c r="BA805" s="22" t="s">
        <v>108</v>
      </c>
      <c r="BB805" s="31" t="s">
        <v>109</v>
      </c>
      <c r="BC805" s="31" t="s">
        <v>109</v>
      </c>
      <c r="BD805" s="32" t="str">
        <f t="shared" si="8"/>
        <v>nvl-nvs-imc-dsy-0820-10799</v>
      </c>
      <c r="BE805" s="33"/>
      <c r="BF805" s="33"/>
      <c r="BG805" s="39" t="str">
        <f>URL&amp;IF(ISNUMBER(FIND("?",URL)),"&amp;","?"&amp;("adlid="&amp;Unique_ID&amp;"&amp;adplt="&amp;Placement))</f>
        <v>#N/A</v>
      </c>
      <c r="BH805" s="1"/>
      <c r="BI805" s="1"/>
      <c r="BJ805" s="35" t="str">
        <f>LOWER("alp"&amp;"_"&amp;"vw"&amp;"_"&amp;Veiculo&amp;"_"&amp;C801&amp;"_"&amp;Objetivo)</f>
        <v>alp_vw___</v>
      </c>
      <c r="BK805" s="35" t="str">
        <f>LOWER(Buying_Metric&amp;"_"&amp;VLOOKUP(Buying_Type,Buy_type,2,FALSE)&amp;"_"&amp;Device&amp;"_"&amp;Size&amp;"_"&amp;Segmentação&amp;"_"&amp;Segmentação_Anúncio)</f>
        <v>#N/A</v>
      </c>
      <c r="BL805" s="35" t="str">
        <f>LOWER(Campanha_ou_InsertionOrder&amp;"_"&amp;LineItem_ou_Grupodeanúncio&amp;"_"&amp;Linha_criativa_2&amp;"_"&amp;Unique_ID)</f>
        <v>#N/A</v>
      </c>
      <c r="BM805" s="27"/>
      <c r="BN805" s="27"/>
    </row>
    <row r="806">
      <c r="A806" s="1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8" t="str">
        <f>LOWER(Campanha_ou_InsertionOrder&amp;"_"&amp;LineItem_ou_Grupodeanúncio&amp;"_"&amp;Linha_Criativa&amp;"_"&amp;Unique_ID)</f>
        <v>#N/A</v>
      </c>
      <c r="AN806" s="28" t="str">
        <f>LOWER(Campanha_ou_InsertionOrder&amp;"_"&amp;LineItem_ou_Grupodeanúncio&amp;"_"&amp;Linha_Criativa&amp;"_"&amp;Unique_ID)</f>
        <v>#N/A</v>
      </c>
      <c r="AO806" s="28" t="str">
        <f>LOWER("VW"&amp;"_"&amp;Model_Variant&amp;"_"&amp;Size&amp;"_"&amp;Linha_Criativa&amp;"_"&amp;IF(Servido_Por="portal",Veiculo,"adserver"))</f>
        <v>vw____adserver</v>
      </c>
      <c r="AP8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6" s="22" t="str">
        <f t="shared" si="1"/>
        <v/>
      </c>
      <c r="AS806" s="22" t="str">
        <f t="shared" si="2"/>
        <v/>
      </c>
      <c r="AT806" s="22" t="str">
        <f t="shared" si="3"/>
        <v>BR_IMC_DSY_LANCH_ND_NC_2020Q3AUG_NVS_Nivus-Launch-Consideracao</v>
      </c>
      <c r="AU806" s="22" t="str">
        <f t="shared" si="4"/>
        <v>#N/A</v>
      </c>
      <c r="AV806" s="22" t="s">
        <v>106</v>
      </c>
      <c r="AW8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6" s="22" t="str">
        <f t="shared" si="5"/>
        <v>BR_IMC_DSY_LANCH_ND_NC_2020Q3AUG_NVS_Nivus-Launch-Consideracao</v>
      </c>
      <c r="AY806" s="28" t="str">
        <f t="shared" si="6"/>
        <v>#N/A</v>
      </c>
      <c r="AZ806" s="22" t="s">
        <v>107</v>
      </c>
      <c r="BA806" s="22" t="s">
        <v>108</v>
      </c>
      <c r="BB806" s="31" t="s">
        <v>109</v>
      </c>
      <c r="BC806" s="31" t="s">
        <v>109</v>
      </c>
      <c r="BD806" s="32" t="str">
        <f t="shared" si="8"/>
        <v>nvl-nvs-imc-dsy-0820-10800</v>
      </c>
      <c r="BE806" s="33"/>
      <c r="BF806" s="33"/>
      <c r="BG806" s="39" t="str">
        <f>URL&amp;IF(ISNUMBER(FIND("?",URL)),"&amp;","?"&amp;("adlid="&amp;Unique_ID&amp;"&amp;adplt="&amp;Placement))</f>
        <v>#N/A</v>
      </c>
      <c r="BH806" s="1"/>
      <c r="BI806" s="1"/>
      <c r="BJ806" s="35" t="str">
        <f>LOWER("alp"&amp;"_"&amp;"vw"&amp;"_"&amp;Veiculo&amp;"_"&amp;C802&amp;"_"&amp;Objetivo)</f>
        <v>alp_vw___</v>
      </c>
      <c r="BK806" s="35" t="str">
        <f>LOWER(Buying_Metric&amp;"_"&amp;VLOOKUP(Buying_Type,Buy_type,2,FALSE)&amp;"_"&amp;Device&amp;"_"&amp;Size&amp;"_"&amp;Segmentação&amp;"_"&amp;Segmentação_Anúncio)</f>
        <v>#N/A</v>
      </c>
      <c r="BL806" s="35" t="str">
        <f>LOWER(Campanha_ou_InsertionOrder&amp;"_"&amp;LineItem_ou_Grupodeanúncio&amp;"_"&amp;Linha_criativa_2&amp;"_"&amp;Unique_ID)</f>
        <v>#N/A</v>
      </c>
      <c r="BM806" s="27"/>
      <c r="BN806" s="27"/>
    </row>
    <row r="807">
      <c r="A807" s="1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8" t="str">
        <f>LOWER(Campanha_ou_InsertionOrder&amp;"_"&amp;LineItem_ou_Grupodeanúncio&amp;"_"&amp;Linha_Criativa&amp;"_"&amp;Unique_ID)</f>
        <v>#N/A</v>
      </c>
      <c r="AN807" s="28" t="str">
        <f>LOWER(Campanha_ou_InsertionOrder&amp;"_"&amp;LineItem_ou_Grupodeanúncio&amp;"_"&amp;Linha_Criativa&amp;"_"&amp;Unique_ID)</f>
        <v>#N/A</v>
      </c>
      <c r="AO807" s="28" t="str">
        <f>LOWER("VW"&amp;"_"&amp;Model_Variant&amp;"_"&amp;Size&amp;"_"&amp;Linha_Criativa&amp;"_"&amp;IF(Servido_Por="portal",Veiculo,"adserver"))</f>
        <v>vw____adserver</v>
      </c>
      <c r="AP8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7" s="22" t="str">
        <f t="shared" si="1"/>
        <v/>
      </c>
      <c r="AS807" s="22" t="str">
        <f t="shared" si="2"/>
        <v/>
      </c>
      <c r="AT807" s="22" t="str">
        <f t="shared" si="3"/>
        <v>BR_IMC_DSY_LANCH_ND_NC_2020Q3AUG_NVS_Nivus-Launch-Consideracao</v>
      </c>
      <c r="AU807" s="22" t="str">
        <f t="shared" si="4"/>
        <v>#N/A</v>
      </c>
      <c r="AV807" s="22" t="s">
        <v>106</v>
      </c>
      <c r="AW8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7" s="22" t="str">
        <f t="shared" si="5"/>
        <v>BR_IMC_DSY_LANCH_ND_NC_2020Q3AUG_NVS_Nivus-Launch-Consideracao</v>
      </c>
      <c r="AY807" s="28" t="str">
        <f t="shared" si="6"/>
        <v>#N/A</v>
      </c>
      <c r="AZ807" s="22" t="s">
        <v>107</v>
      </c>
      <c r="BA807" s="22" t="s">
        <v>108</v>
      </c>
      <c r="BB807" s="31" t="s">
        <v>109</v>
      </c>
      <c r="BC807" s="31" t="s">
        <v>109</v>
      </c>
      <c r="BD807" s="32" t="str">
        <f t="shared" si="8"/>
        <v>nvl-nvs-imc-dsy-0820-10801</v>
      </c>
      <c r="BE807" s="33"/>
      <c r="BF807" s="33"/>
      <c r="BG807" s="39" t="str">
        <f>URL&amp;IF(ISNUMBER(FIND("?",URL)),"&amp;","?"&amp;("adlid="&amp;Unique_ID&amp;"&amp;adplt="&amp;Placement))</f>
        <v>#N/A</v>
      </c>
      <c r="BH807" s="1"/>
      <c r="BI807" s="1"/>
      <c r="BJ807" s="35" t="str">
        <f>LOWER("alp"&amp;"_"&amp;"vw"&amp;"_"&amp;Veiculo&amp;"_"&amp;C803&amp;"_"&amp;Objetivo)</f>
        <v>alp_vw___</v>
      </c>
      <c r="BK807" s="35" t="str">
        <f>LOWER(Buying_Metric&amp;"_"&amp;VLOOKUP(Buying_Type,Buy_type,2,FALSE)&amp;"_"&amp;Device&amp;"_"&amp;Size&amp;"_"&amp;Segmentação&amp;"_"&amp;Segmentação_Anúncio)</f>
        <v>#N/A</v>
      </c>
      <c r="BL807" s="35" t="str">
        <f>LOWER(Campanha_ou_InsertionOrder&amp;"_"&amp;LineItem_ou_Grupodeanúncio&amp;"_"&amp;Linha_criativa_2&amp;"_"&amp;Unique_ID)</f>
        <v>#N/A</v>
      </c>
      <c r="BM807" s="27"/>
      <c r="BN807" s="27"/>
    </row>
    <row r="808">
      <c r="A808" s="1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8" t="str">
        <f>LOWER(Campanha_ou_InsertionOrder&amp;"_"&amp;LineItem_ou_Grupodeanúncio&amp;"_"&amp;Linha_Criativa&amp;"_"&amp;Unique_ID)</f>
        <v>#N/A</v>
      </c>
      <c r="AN808" s="28" t="str">
        <f>LOWER(Campanha_ou_InsertionOrder&amp;"_"&amp;LineItem_ou_Grupodeanúncio&amp;"_"&amp;Linha_Criativa&amp;"_"&amp;Unique_ID)</f>
        <v>#N/A</v>
      </c>
      <c r="AO808" s="28" t="str">
        <f>LOWER("VW"&amp;"_"&amp;Model_Variant&amp;"_"&amp;Size&amp;"_"&amp;Linha_Criativa&amp;"_"&amp;IF(Servido_Por="portal",Veiculo,"adserver"))</f>
        <v>vw____adserver</v>
      </c>
      <c r="AP8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8" s="22" t="str">
        <f t="shared" si="1"/>
        <v/>
      </c>
      <c r="AS808" s="22" t="str">
        <f t="shared" si="2"/>
        <v/>
      </c>
      <c r="AT808" s="22" t="str">
        <f t="shared" si="3"/>
        <v>BR_IMC_DSY_LANCH_ND_NC_2020Q3AUG_NVS_Nivus-Launch-Consideracao</v>
      </c>
      <c r="AU808" s="22" t="str">
        <f t="shared" si="4"/>
        <v>#N/A</v>
      </c>
      <c r="AV808" s="22" t="s">
        <v>106</v>
      </c>
      <c r="AW8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8" s="22" t="str">
        <f t="shared" si="5"/>
        <v>BR_IMC_DSY_LANCH_ND_NC_2020Q3AUG_NVS_Nivus-Launch-Consideracao</v>
      </c>
      <c r="AY808" s="28" t="str">
        <f t="shared" si="6"/>
        <v>#N/A</v>
      </c>
      <c r="AZ808" s="22" t="s">
        <v>107</v>
      </c>
      <c r="BA808" s="22" t="s">
        <v>108</v>
      </c>
      <c r="BB808" s="31" t="s">
        <v>109</v>
      </c>
      <c r="BC808" s="31" t="s">
        <v>109</v>
      </c>
      <c r="BD808" s="32" t="str">
        <f t="shared" si="8"/>
        <v>nvl-nvs-imc-dsy-0820-10802</v>
      </c>
      <c r="BE808" s="33"/>
      <c r="BF808" s="33"/>
      <c r="BG808" s="39" t="str">
        <f>URL&amp;IF(ISNUMBER(FIND("?",URL)),"&amp;","?"&amp;("adlid="&amp;Unique_ID&amp;"&amp;adplt="&amp;Placement))</f>
        <v>#N/A</v>
      </c>
      <c r="BH808" s="1"/>
      <c r="BI808" s="1"/>
      <c r="BJ808" s="35" t="str">
        <f>LOWER("alp"&amp;"_"&amp;"vw"&amp;"_"&amp;Veiculo&amp;"_"&amp;C804&amp;"_"&amp;Objetivo)</f>
        <v>alp_vw___</v>
      </c>
      <c r="BK808" s="35" t="str">
        <f>LOWER(Buying_Metric&amp;"_"&amp;VLOOKUP(Buying_Type,Buy_type,2,FALSE)&amp;"_"&amp;Device&amp;"_"&amp;Size&amp;"_"&amp;Segmentação&amp;"_"&amp;Segmentação_Anúncio)</f>
        <v>#N/A</v>
      </c>
      <c r="BL808" s="35" t="str">
        <f>LOWER(Campanha_ou_InsertionOrder&amp;"_"&amp;LineItem_ou_Grupodeanúncio&amp;"_"&amp;Linha_criativa_2&amp;"_"&amp;Unique_ID)</f>
        <v>#N/A</v>
      </c>
      <c r="BM808" s="27"/>
      <c r="BN808" s="27"/>
    </row>
    <row r="809">
      <c r="A809" s="1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8" t="str">
        <f>LOWER(Campanha_ou_InsertionOrder&amp;"_"&amp;LineItem_ou_Grupodeanúncio&amp;"_"&amp;Linha_Criativa&amp;"_"&amp;Unique_ID)</f>
        <v>#N/A</v>
      </c>
      <c r="AN809" s="28" t="str">
        <f>LOWER(Campanha_ou_InsertionOrder&amp;"_"&amp;LineItem_ou_Grupodeanúncio&amp;"_"&amp;Linha_Criativa&amp;"_"&amp;Unique_ID)</f>
        <v>#N/A</v>
      </c>
      <c r="AO809" s="28" t="str">
        <f>LOWER("VW"&amp;"_"&amp;Model_Variant&amp;"_"&amp;Size&amp;"_"&amp;Linha_Criativa&amp;"_"&amp;IF(Servido_Por="portal",Veiculo,"adserver"))</f>
        <v>vw____adserver</v>
      </c>
      <c r="AP8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09" s="22" t="str">
        <f t="shared" si="1"/>
        <v/>
      </c>
      <c r="AS809" s="22" t="str">
        <f t="shared" si="2"/>
        <v/>
      </c>
      <c r="AT809" s="22" t="str">
        <f t="shared" si="3"/>
        <v>BR_IMC_DSY_LANCH_ND_NC_2020Q3AUG_NVS_Nivus-Launch-Consideracao</v>
      </c>
      <c r="AU809" s="22" t="str">
        <f t="shared" si="4"/>
        <v>#N/A</v>
      </c>
      <c r="AV809" s="22" t="s">
        <v>106</v>
      </c>
      <c r="AW8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09" s="22" t="str">
        <f t="shared" si="5"/>
        <v>BR_IMC_DSY_LANCH_ND_NC_2020Q3AUG_NVS_Nivus-Launch-Consideracao</v>
      </c>
      <c r="AY809" s="28" t="str">
        <f t="shared" si="6"/>
        <v>#N/A</v>
      </c>
      <c r="AZ809" s="22" t="s">
        <v>107</v>
      </c>
      <c r="BA809" s="22" t="s">
        <v>108</v>
      </c>
      <c r="BB809" s="31" t="s">
        <v>109</v>
      </c>
      <c r="BC809" s="31" t="s">
        <v>109</v>
      </c>
      <c r="BD809" s="32" t="str">
        <f t="shared" si="8"/>
        <v>nvl-nvs-imc-dsy-0820-10803</v>
      </c>
      <c r="BE809" s="33"/>
      <c r="BF809" s="33"/>
      <c r="BG809" s="39" t="str">
        <f>URL&amp;IF(ISNUMBER(FIND("?",URL)),"&amp;","?"&amp;("adlid="&amp;Unique_ID&amp;"&amp;adplt="&amp;Placement))</f>
        <v>#N/A</v>
      </c>
      <c r="BH809" s="1"/>
      <c r="BI809" s="1"/>
      <c r="BJ809" s="35" t="str">
        <f>LOWER("alp"&amp;"_"&amp;"vw"&amp;"_"&amp;Veiculo&amp;"_"&amp;C805&amp;"_"&amp;Objetivo)</f>
        <v>alp_vw___</v>
      </c>
      <c r="BK809" s="35" t="str">
        <f>LOWER(Buying_Metric&amp;"_"&amp;VLOOKUP(Buying_Type,Buy_type,2,FALSE)&amp;"_"&amp;Device&amp;"_"&amp;Size&amp;"_"&amp;Segmentação&amp;"_"&amp;Segmentação_Anúncio)</f>
        <v>#N/A</v>
      </c>
      <c r="BL809" s="35" t="str">
        <f>LOWER(Campanha_ou_InsertionOrder&amp;"_"&amp;LineItem_ou_Grupodeanúncio&amp;"_"&amp;Linha_criativa_2&amp;"_"&amp;Unique_ID)</f>
        <v>#N/A</v>
      </c>
      <c r="BM809" s="27"/>
      <c r="BN809" s="27"/>
    </row>
    <row r="810">
      <c r="A810" s="1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8" t="str">
        <f>LOWER(Campanha_ou_InsertionOrder&amp;"_"&amp;LineItem_ou_Grupodeanúncio&amp;"_"&amp;Linha_Criativa&amp;"_"&amp;Unique_ID)</f>
        <v>#N/A</v>
      </c>
      <c r="AN810" s="28" t="str">
        <f>LOWER(Campanha_ou_InsertionOrder&amp;"_"&amp;LineItem_ou_Grupodeanúncio&amp;"_"&amp;Linha_Criativa&amp;"_"&amp;Unique_ID)</f>
        <v>#N/A</v>
      </c>
      <c r="AO810" s="28" t="str">
        <f>LOWER("VW"&amp;"_"&amp;Model_Variant&amp;"_"&amp;Size&amp;"_"&amp;Linha_Criativa&amp;"_"&amp;IF(Servido_Por="portal",Veiculo,"adserver"))</f>
        <v>vw____adserver</v>
      </c>
      <c r="AP8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0" s="22" t="str">
        <f t="shared" si="1"/>
        <v/>
      </c>
      <c r="AS810" s="22" t="str">
        <f t="shared" si="2"/>
        <v/>
      </c>
      <c r="AT810" s="22" t="str">
        <f t="shared" si="3"/>
        <v>BR_IMC_DSY_LANCH_ND_NC_2020Q3AUG_NVS_Nivus-Launch-Consideracao</v>
      </c>
      <c r="AU810" s="22" t="str">
        <f t="shared" si="4"/>
        <v>#N/A</v>
      </c>
      <c r="AV810" s="22" t="s">
        <v>106</v>
      </c>
      <c r="AW8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0" s="22" t="str">
        <f t="shared" si="5"/>
        <v>BR_IMC_DSY_LANCH_ND_NC_2020Q3AUG_NVS_Nivus-Launch-Consideracao</v>
      </c>
      <c r="AY810" s="28" t="str">
        <f t="shared" si="6"/>
        <v>#N/A</v>
      </c>
      <c r="AZ810" s="22" t="s">
        <v>107</v>
      </c>
      <c r="BA810" s="22" t="s">
        <v>108</v>
      </c>
      <c r="BB810" s="31" t="s">
        <v>109</v>
      </c>
      <c r="BC810" s="31" t="s">
        <v>109</v>
      </c>
      <c r="BD810" s="32" t="str">
        <f t="shared" si="8"/>
        <v>nvl-nvs-imc-dsy-0820-10804</v>
      </c>
      <c r="BE810" s="33"/>
      <c r="BF810" s="33"/>
      <c r="BG810" s="39" t="str">
        <f>URL&amp;IF(ISNUMBER(FIND("?",URL)),"&amp;","?"&amp;("adlid="&amp;Unique_ID&amp;"&amp;adplt="&amp;Placement))</f>
        <v>#N/A</v>
      </c>
      <c r="BH810" s="1"/>
      <c r="BI810" s="1"/>
      <c r="BJ810" s="35" t="str">
        <f>LOWER("alp"&amp;"_"&amp;"vw"&amp;"_"&amp;Veiculo&amp;"_"&amp;C806&amp;"_"&amp;Objetivo)</f>
        <v>alp_vw___</v>
      </c>
      <c r="BK810" s="35" t="str">
        <f>LOWER(Buying_Metric&amp;"_"&amp;VLOOKUP(Buying_Type,Buy_type,2,FALSE)&amp;"_"&amp;Device&amp;"_"&amp;Size&amp;"_"&amp;Segmentação&amp;"_"&amp;Segmentação_Anúncio)</f>
        <v>#N/A</v>
      </c>
      <c r="BL810" s="35" t="str">
        <f>LOWER(Campanha_ou_InsertionOrder&amp;"_"&amp;LineItem_ou_Grupodeanúncio&amp;"_"&amp;Linha_criativa_2&amp;"_"&amp;Unique_ID)</f>
        <v>#N/A</v>
      </c>
      <c r="BM810" s="27"/>
      <c r="BN810" s="27"/>
    </row>
    <row r="811">
      <c r="A811" s="1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8" t="str">
        <f>LOWER(Campanha_ou_InsertionOrder&amp;"_"&amp;LineItem_ou_Grupodeanúncio&amp;"_"&amp;Linha_Criativa&amp;"_"&amp;Unique_ID)</f>
        <v>#N/A</v>
      </c>
      <c r="AN811" s="28" t="str">
        <f>LOWER(Campanha_ou_InsertionOrder&amp;"_"&amp;LineItem_ou_Grupodeanúncio&amp;"_"&amp;Linha_Criativa&amp;"_"&amp;Unique_ID)</f>
        <v>#N/A</v>
      </c>
      <c r="AO811" s="28" t="str">
        <f>LOWER("VW"&amp;"_"&amp;Model_Variant&amp;"_"&amp;Size&amp;"_"&amp;Linha_Criativa&amp;"_"&amp;IF(Servido_Por="portal",Veiculo,"adserver"))</f>
        <v>vw____adserver</v>
      </c>
      <c r="AP8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1" s="22" t="str">
        <f t="shared" si="1"/>
        <v/>
      </c>
      <c r="AS811" s="22" t="str">
        <f t="shared" si="2"/>
        <v/>
      </c>
      <c r="AT811" s="22" t="str">
        <f t="shared" si="3"/>
        <v>BR_IMC_DSY_LANCH_ND_NC_2020Q3AUG_NVS_Nivus-Launch-Consideracao</v>
      </c>
      <c r="AU811" s="22" t="str">
        <f t="shared" si="4"/>
        <v>#N/A</v>
      </c>
      <c r="AV811" s="22" t="s">
        <v>106</v>
      </c>
      <c r="AW8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1" s="22" t="str">
        <f t="shared" si="5"/>
        <v>BR_IMC_DSY_LANCH_ND_NC_2020Q3AUG_NVS_Nivus-Launch-Consideracao</v>
      </c>
      <c r="AY811" s="28" t="str">
        <f t="shared" si="6"/>
        <v>#N/A</v>
      </c>
      <c r="AZ811" s="22" t="s">
        <v>107</v>
      </c>
      <c r="BA811" s="22" t="s">
        <v>108</v>
      </c>
      <c r="BB811" s="31" t="s">
        <v>109</v>
      </c>
      <c r="BC811" s="31" t="s">
        <v>109</v>
      </c>
      <c r="BD811" s="32" t="str">
        <f t="shared" si="8"/>
        <v>nvl-nvs-imc-dsy-0820-10805</v>
      </c>
      <c r="BE811" s="33"/>
      <c r="BF811" s="33"/>
      <c r="BG811" s="39" t="str">
        <f>URL&amp;IF(ISNUMBER(FIND("?",URL)),"&amp;","?"&amp;("adlid="&amp;Unique_ID&amp;"&amp;adplt="&amp;Placement))</f>
        <v>#N/A</v>
      </c>
      <c r="BH811" s="1"/>
      <c r="BI811" s="1"/>
      <c r="BJ811" s="35" t="str">
        <f>LOWER("alp"&amp;"_"&amp;"vw"&amp;"_"&amp;Veiculo&amp;"_"&amp;C807&amp;"_"&amp;Objetivo)</f>
        <v>alp_vw___</v>
      </c>
      <c r="BK811" s="35" t="str">
        <f>LOWER(Buying_Metric&amp;"_"&amp;VLOOKUP(Buying_Type,Buy_type,2,FALSE)&amp;"_"&amp;Device&amp;"_"&amp;Size&amp;"_"&amp;Segmentação&amp;"_"&amp;Segmentação_Anúncio)</f>
        <v>#N/A</v>
      </c>
      <c r="BL811" s="35" t="str">
        <f>LOWER(Campanha_ou_InsertionOrder&amp;"_"&amp;LineItem_ou_Grupodeanúncio&amp;"_"&amp;Linha_criativa_2&amp;"_"&amp;Unique_ID)</f>
        <v>#N/A</v>
      </c>
      <c r="BM811" s="27"/>
      <c r="BN811" s="27"/>
    </row>
    <row r="812">
      <c r="A812" s="1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8" t="str">
        <f>LOWER(Campanha_ou_InsertionOrder&amp;"_"&amp;LineItem_ou_Grupodeanúncio&amp;"_"&amp;Linha_Criativa&amp;"_"&amp;Unique_ID)</f>
        <v>#N/A</v>
      </c>
      <c r="AN812" s="28" t="str">
        <f>LOWER(Campanha_ou_InsertionOrder&amp;"_"&amp;LineItem_ou_Grupodeanúncio&amp;"_"&amp;Linha_Criativa&amp;"_"&amp;Unique_ID)</f>
        <v>#N/A</v>
      </c>
      <c r="AO812" s="28" t="str">
        <f>LOWER("VW"&amp;"_"&amp;Model_Variant&amp;"_"&amp;Size&amp;"_"&amp;Linha_Criativa&amp;"_"&amp;IF(Servido_Por="portal",Veiculo,"adserver"))</f>
        <v>vw____adserver</v>
      </c>
      <c r="AP8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2" s="22" t="str">
        <f t="shared" si="1"/>
        <v/>
      </c>
      <c r="AS812" s="22" t="str">
        <f t="shared" si="2"/>
        <v/>
      </c>
      <c r="AT812" s="22" t="str">
        <f t="shared" si="3"/>
        <v>BR_IMC_DSY_LANCH_ND_NC_2020Q3AUG_NVS_Nivus-Launch-Consideracao</v>
      </c>
      <c r="AU812" s="22" t="str">
        <f t="shared" si="4"/>
        <v>#N/A</v>
      </c>
      <c r="AV812" s="22" t="s">
        <v>106</v>
      </c>
      <c r="AW8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2" s="22" t="str">
        <f t="shared" si="5"/>
        <v>BR_IMC_DSY_LANCH_ND_NC_2020Q3AUG_NVS_Nivus-Launch-Consideracao</v>
      </c>
      <c r="AY812" s="28" t="str">
        <f t="shared" si="6"/>
        <v>#N/A</v>
      </c>
      <c r="AZ812" s="22" t="s">
        <v>107</v>
      </c>
      <c r="BA812" s="22" t="s">
        <v>108</v>
      </c>
      <c r="BB812" s="31" t="s">
        <v>109</v>
      </c>
      <c r="BC812" s="31" t="s">
        <v>109</v>
      </c>
      <c r="BD812" s="32" t="str">
        <f t="shared" si="8"/>
        <v>nvl-nvs-imc-dsy-0820-10806</v>
      </c>
      <c r="BE812" s="33"/>
      <c r="BF812" s="33"/>
      <c r="BG812" s="39" t="str">
        <f>URL&amp;IF(ISNUMBER(FIND("?",URL)),"&amp;","?"&amp;("adlid="&amp;Unique_ID&amp;"&amp;adplt="&amp;Placement))</f>
        <v>#N/A</v>
      </c>
      <c r="BH812" s="1"/>
      <c r="BI812" s="1"/>
      <c r="BJ812" s="35" t="str">
        <f>LOWER("alp"&amp;"_"&amp;"vw"&amp;"_"&amp;Veiculo&amp;"_"&amp;C808&amp;"_"&amp;Objetivo)</f>
        <v>alp_vw___</v>
      </c>
      <c r="BK812" s="35" t="str">
        <f>LOWER(Buying_Metric&amp;"_"&amp;VLOOKUP(Buying_Type,Buy_type,2,FALSE)&amp;"_"&amp;Device&amp;"_"&amp;Size&amp;"_"&amp;Segmentação&amp;"_"&amp;Segmentação_Anúncio)</f>
        <v>#N/A</v>
      </c>
      <c r="BL812" s="35" t="str">
        <f>LOWER(Campanha_ou_InsertionOrder&amp;"_"&amp;LineItem_ou_Grupodeanúncio&amp;"_"&amp;Linha_criativa_2&amp;"_"&amp;Unique_ID)</f>
        <v>#N/A</v>
      </c>
      <c r="BM812" s="27"/>
      <c r="BN812" s="27"/>
    </row>
    <row r="813">
      <c r="A813" s="1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8" t="str">
        <f>LOWER(Campanha_ou_InsertionOrder&amp;"_"&amp;LineItem_ou_Grupodeanúncio&amp;"_"&amp;Linha_Criativa&amp;"_"&amp;Unique_ID)</f>
        <v>#N/A</v>
      </c>
      <c r="AN813" s="28" t="str">
        <f>LOWER(Campanha_ou_InsertionOrder&amp;"_"&amp;LineItem_ou_Grupodeanúncio&amp;"_"&amp;Linha_Criativa&amp;"_"&amp;Unique_ID)</f>
        <v>#N/A</v>
      </c>
      <c r="AO813" s="28" t="str">
        <f>LOWER("VW"&amp;"_"&amp;Model_Variant&amp;"_"&amp;Size&amp;"_"&amp;Linha_Criativa&amp;"_"&amp;IF(Servido_Por="portal",Veiculo,"adserver"))</f>
        <v>vw____adserver</v>
      </c>
      <c r="AP8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3" s="22" t="str">
        <f t="shared" si="1"/>
        <v/>
      </c>
      <c r="AS813" s="22" t="str">
        <f t="shared" si="2"/>
        <v/>
      </c>
      <c r="AT813" s="22" t="str">
        <f t="shared" si="3"/>
        <v>BR_IMC_DSY_LANCH_ND_NC_2020Q3AUG_NVS_Nivus-Launch-Consideracao</v>
      </c>
      <c r="AU813" s="22" t="str">
        <f t="shared" si="4"/>
        <v>#N/A</v>
      </c>
      <c r="AV813" s="22" t="s">
        <v>106</v>
      </c>
      <c r="AW8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3" s="22" t="str">
        <f t="shared" si="5"/>
        <v>BR_IMC_DSY_LANCH_ND_NC_2020Q3AUG_NVS_Nivus-Launch-Consideracao</v>
      </c>
      <c r="AY813" s="28" t="str">
        <f t="shared" si="6"/>
        <v>#N/A</v>
      </c>
      <c r="AZ813" s="22" t="s">
        <v>107</v>
      </c>
      <c r="BA813" s="22" t="s">
        <v>108</v>
      </c>
      <c r="BB813" s="31" t="s">
        <v>109</v>
      </c>
      <c r="BC813" s="31" t="s">
        <v>109</v>
      </c>
      <c r="BD813" s="32" t="str">
        <f t="shared" si="8"/>
        <v>nvl-nvs-imc-dsy-0820-10807</v>
      </c>
      <c r="BE813" s="33"/>
      <c r="BF813" s="33"/>
      <c r="BG813" s="39" t="str">
        <f>URL&amp;IF(ISNUMBER(FIND("?",URL)),"&amp;","?"&amp;("adlid="&amp;Unique_ID&amp;"&amp;adplt="&amp;Placement))</f>
        <v>#N/A</v>
      </c>
      <c r="BH813" s="1"/>
      <c r="BI813" s="1"/>
      <c r="BJ813" s="35" t="str">
        <f>LOWER("alp"&amp;"_"&amp;"vw"&amp;"_"&amp;Veiculo&amp;"_"&amp;C809&amp;"_"&amp;Objetivo)</f>
        <v>alp_vw___</v>
      </c>
      <c r="BK813" s="35" t="str">
        <f>LOWER(Buying_Metric&amp;"_"&amp;VLOOKUP(Buying_Type,Buy_type,2,FALSE)&amp;"_"&amp;Device&amp;"_"&amp;Size&amp;"_"&amp;Segmentação&amp;"_"&amp;Segmentação_Anúncio)</f>
        <v>#N/A</v>
      </c>
      <c r="BL813" s="35" t="str">
        <f>LOWER(Campanha_ou_InsertionOrder&amp;"_"&amp;LineItem_ou_Grupodeanúncio&amp;"_"&amp;Linha_criativa_2&amp;"_"&amp;Unique_ID)</f>
        <v>#N/A</v>
      </c>
      <c r="BM813" s="27"/>
      <c r="BN813" s="27"/>
    </row>
    <row r="814">
      <c r="A814" s="1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8" t="str">
        <f>LOWER(Campanha_ou_InsertionOrder&amp;"_"&amp;LineItem_ou_Grupodeanúncio&amp;"_"&amp;Linha_Criativa&amp;"_"&amp;Unique_ID)</f>
        <v>#N/A</v>
      </c>
      <c r="AN814" s="28" t="str">
        <f>LOWER(Campanha_ou_InsertionOrder&amp;"_"&amp;LineItem_ou_Grupodeanúncio&amp;"_"&amp;Linha_Criativa&amp;"_"&amp;Unique_ID)</f>
        <v>#N/A</v>
      </c>
      <c r="AO814" s="28" t="str">
        <f>LOWER("VW"&amp;"_"&amp;Model_Variant&amp;"_"&amp;Size&amp;"_"&amp;Linha_Criativa&amp;"_"&amp;IF(Servido_Por="portal",Veiculo,"adserver"))</f>
        <v>vw____adserver</v>
      </c>
      <c r="AP8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4" s="22" t="str">
        <f t="shared" si="1"/>
        <v/>
      </c>
      <c r="AS814" s="22" t="str">
        <f t="shared" si="2"/>
        <v/>
      </c>
      <c r="AT814" s="22" t="str">
        <f t="shared" si="3"/>
        <v>BR_IMC_DSY_LANCH_ND_NC_2020Q3AUG_NVS_Nivus-Launch-Consideracao</v>
      </c>
      <c r="AU814" s="22" t="str">
        <f t="shared" si="4"/>
        <v>#N/A</v>
      </c>
      <c r="AV814" s="22" t="s">
        <v>106</v>
      </c>
      <c r="AW8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4" s="22" t="str">
        <f t="shared" si="5"/>
        <v>BR_IMC_DSY_LANCH_ND_NC_2020Q3AUG_NVS_Nivus-Launch-Consideracao</v>
      </c>
      <c r="AY814" s="28" t="str">
        <f t="shared" si="6"/>
        <v>#N/A</v>
      </c>
      <c r="AZ814" s="22" t="s">
        <v>107</v>
      </c>
      <c r="BA814" s="22" t="s">
        <v>108</v>
      </c>
      <c r="BB814" s="31" t="s">
        <v>109</v>
      </c>
      <c r="BC814" s="31" t="s">
        <v>109</v>
      </c>
      <c r="BD814" s="32" t="str">
        <f t="shared" si="8"/>
        <v>nvl-nvs-imc-dsy-0820-10808</v>
      </c>
      <c r="BE814" s="33"/>
      <c r="BF814" s="33"/>
      <c r="BG814" s="39" t="str">
        <f>URL&amp;IF(ISNUMBER(FIND("?",URL)),"&amp;","?"&amp;("adlid="&amp;Unique_ID&amp;"&amp;adplt="&amp;Placement))</f>
        <v>#N/A</v>
      </c>
      <c r="BH814" s="1"/>
      <c r="BI814" s="1"/>
      <c r="BJ814" s="35" t="str">
        <f>LOWER("alp"&amp;"_"&amp;"vw"&amp;"_"&amp;Veiculo&amp;"_"&amp;C810&amp;"_"&amp;Objetivo)</f>
        <v>alp_vw___</v>
      </c>
      <c r="BK814" s="35" t="str">
        <f>LOWER(Buying_Metric&amp;"_"&amp;VLOOKUP(Buying_Type,Buy_type,2,FALSE)&amp;"_"&amp;Device&amp;"_"&amp;Size&amp;"_"&amp;Segmentação&amp;"_"&amp;Segmentação_Anúncio)</f>
        <v>#N/A</v>
      </c>
      <c r="BL814" s="35" t="str">
        <f>LOWER(Campanha_ou_InsertionOrder&amp;"_"&amp;LineItem_ou_Grupodeanúncio&amp;"_"&amp;Linha_criativa_2&amp;"_"&amp;Unique_ID)</f>
        <v>#N/A</v>
      </c>
      <c r="BM814" s="27"/>
      <c r="BN814" s="27"/>
    </row>
    <row r="815">
      <c r="A815" s="1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8" t="str">
        <f>LOWER(Campanha_ou_InsertionOrder&amp;"_"&amp;LineItem_ou_Grupodeanúncio&amp;"_"&amp;Linha_Criativa&amp;"_"&amp;Unique_ID)</f>
        <v>#N/A</v>
      </c>
      <c r="AN815" s="28" t="str">
        <f>LOWER(Campanha_ou_InsertionOrder&amp;"_"&amp;LineItem_ou_Grupodeanúncio&amp;"_"&amp;Linha_Criativa&amp;"_"&amp;Unique_ID)</f>
        <v>#N/A</v>
      </c>
      <c r="AO815" s="28" t="str">
        <f>LOWER("VW"&amp;"_"&amp;Model_Variant&amp;"_"&amp;Size&amp;"_"&amp;Linha_Criativa&amp;"_"&amp;IF(Servido_Por="portal",Veiculo,"adserver"))</f>
        <v>vw____adserver</v>
      </c>
      <c r="AP8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5" s="22" t="str">
        <f t="shared" si="1"/>
        <v/>
      </c>
      <c r="AS815" s="22" t="str">
        <f t="shared" si="2"/>
        <v/>
      </c>
      <c r="AT815" s="22" t="str">
        <f t="shared" si="3"/>
        <v>BR_IMC_DSY_LANCH_ND_NC_2020Q3AUG_NVS_Nivus-Launch-Consideracao</v>
      </c>
      <c r="AU815" s="22" t="str">
        <f t="shared" si="4"/>
        <v>#N/A</v>
      </c>
      <c r="AV815" s="22" t="s">
        <v>106</v>
      </c>
      <c r="AW8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5" s="22" t="str">
        <f t="shared" si="5"/>
        <v>BR_IMC_DSY_LANCH_ND_NC_2020Q3AUG_NVS_Nivus-Launch-Consideracao</v>
      </c>
      <c r="AY815" s="28" t="str">
        <f t="shared" si="6"/>
        <v>#N/A</v>
      </c>
      <c r="AZ815" s="22" t="s">
        <v>107</v>
      </c>
      <c r="BA815" s="22" t="s">
        <v>108</v>
      </c>
      <c r="BB815" s="31" t="s">
        <v>109</v>
      </c>
      <c r="BC815" s="31" t="s">
        <v>109</v>
      </c>
      <c r="BD815" s="32" t="str">
        <f t="shared" si="8"/>
        <v>nvl-nvs-imc-dsy-0820-10809</v>
      </c>
      <c r="BE815" s="33"/>
      <c r="BF815" s="33"/>
      <c r="BG815" s="39" t="str">
        <f>URL&amp;IF(ISNUMBER(FIND("?",URL)),"&amp;","?"&amp;("adlid="&amp;Unique_ID&amp;"&amp;adplt="&amp;Placement))</f>
        <v>#N/A</v>
      </c>
      <c r="BH815" s="1"/>
      <c r="BI815" s="1"/>
      <c r="BJ815" s="35" t="str">
        <f>LOWER("alp"&amp;"_"&amp;"vw"&amp;"_"&amp;Veiculo&amp;"_"&amp;C811&amp;"_"&amp;Objetivo)</f>
        <v>alp_vw___</v>
      </c>
      <c r="BK815" s="35" t="str">
        <f>LOWER(Buying_Metric&amp;"_"&amp;VLOOKUP(Buying_Type,Buy_type,2,FALSE)&amp;"_"&amp;Device&amp;"_"&amp;Size&amp;"_"&amp;Segmentação&amp;"_"&amp;Segmentação_Anúncio)</f>
        <v>#N/A</v>
      </c>
      <c r="BL815" s="35" t="str">
        <f>LOWER(Campanha_ou_InsertionOrder&amp;"_"&amp;LineItem_ou_Grupodeanúncio&amp;"_"&amp;Linha_criativa_2&amp;"_"&amp;Unique_ID)</f>
        <v>#N/A</v>
      </c>
      <c r="BM815" s="27"/>
      <c r="BN815" s="27"/>
    </row>
    <row r="816">
      <c r="A816" s="1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8" t="str">
        <f>LOWER(Campanha_ou_InsertionOrder&amp;"_"&amp;LineItem_ou_Grupodeanúncio&amp;"_"&amp;Linha_Criativa&amp;"_"&amp;Unique_ID)</f>
        <v>#N/A</v>
      </c>
      <c r="AN816" s="28" t="str">
        <f>LOWER(Campanha_ou_InsertionOrder&amp;"_"&amp;LineItem_ou_Grupodeanúncio&amp;"_"&amp;Linha_Criativa&amp;"_"&amp;Unique_ID)</f>
        <v>#N/A</v>
      </c>
      <c r="AO816" s="28" t="str">
        <f>LOWER("VW"&amp;"_"&amp;Model_Variant&amp;"_"&amp;Size&amp;"_"&amp;Linha_Criativa&amp;"_"&amp;IF(Servido_Por="portal",Veiculo,"adserver"))</f>
        <v>vw____adserver</v>
      </c>
      <c r="AP8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6" s="22" t="str">
        <f t="shared" si="1"/>
        <v/>
      </c>
      <c r="AS816" s="22" t="str">
        <f t="shared" si="2"/>
        <v/>
      </c>
      <c r="AT816" s="22" t="str">
        <f t="shared" si="3"/>
        <v>BR_IMC_DSY_LANCH_ND_NC_2020Q3AUG_NVS_Nivus-Launch-Consideracao</v>
      </c>
      <c r="AU816" s="22" t="str">
        <f t="shared" si="4"/>
        <v>#N/A</v>
      </c>
      <c r="AV816" s="22" t="s">
        <v>106</v>
      </c>
      <c r="AW8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6" s="22" t="str">
        <f t="shared" si="5"/>
        <v>BR_IMC_DSY_LANCH_ND_NC_2020Q3AUG_NVS_Nivus-Launch-Consideracao</v>
      </c>
      <c r="AY816" s="28" t="str">
        <f t="shared" si="6"/>
        <v>#N/A</v>
      </c>
      <c r="AZ816" s="22" t="s">
        <v>107</v>
      </c>
      <c r="BA816" s="22" t="s">
        <v>108</v>
      </c>
      <c r="BB816" s="31" t="s">
        <v>109</v>
      </c>
      <c r="BC816" s="31" t="s">
        <v>109</v>
      </c>
      <c r="BD816" s="32" t="str">
        <f t="shared" si="8"/>
        <v>nvl-nvs-imc-dsy-0820-10810</v>
      </c>
      <c r="BE816" s="33"/>
      <c r="BF816" s="33"/>
      <c r="BG816" s="39" t="str">
        <f>URL&amp;IF(ISNUMBER(FIND("?",URL)),"&amp;","?"&amp;("adlid="&amp;Unique_ID&amp;"&amp;adplt="&amp;Placement))</f>
        <v>#N/A</v>
      </c>
      <c r="BH816" s="1"/>
      <c r="BI816" s="1"/>
      <c r="BJ816" s="35" t="str">
        <f>LOWER("alp"&amp;"_"&amp;"vw"&amp;"_"&amp;Veiculo&amp;"_"&amp;C812&amp;"_"&amp;Objetivo)</f>
        <v>alp_vw___</v>
      </c>
      <c r="BK816" s="35" t="str">
        <f>LOWER(Buying_Metric&amp;"_"&amp;VLOOKUP(Buying_Type,Buy_type,2,FALSE)&amp;"_"&amp;Device&amp;"_"&amp;Size&amp;"_"&amp;Segmentação&amp;"_"&amp;Segmentação_Anúncio)</f>
        <v>#N/A</v>
      </c>
      <c r="BL816" s="35" t="str">
        <f>LOWER(Campanha_ou_InsertionOrder&amp;"_"&amp;LineItem_ou_Grupodeanúncio&amp;"_"&amp;Linha_criativa_2&amp;"_"&amp;Unique_ID)</f>
        <v>#N/A</v>
      </c>
      <c r="BM816" s="27"/>
      <c r="BN816" s="27"/>
    </row>
    <row r="817">
      <c r="A817" s="1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8" t="str">
        <f>LOWER(Campanha_ou_InsertionOrder&amp;"_"&amp;LineItem_ou_Grupodeanúncio&amp;"_"&amp;Linha_Criativa&amp;"_"&amp;Unique_ID)</f>
        <v>#N/A</v>
      </c>
      <c r="AN817" s="28" t="str">
        <f>LOWER(Campanha_ou_InsertionOrder&amp;"_"&amp;LineItem_ou_Grupodeanúncio&amp;"_"&amp;Linha_Criativa&amp;"_"&amp;Unique_ID)</f>
        <v>#N/A</v>
      </c>
      <c r="AO817" s="28" t="str">
        <f>LOWER("VW"&amp;"_"&amp;Model_Variant&amp;"_"&amp;Size&amp;"_"&amp;Linha_Criativa&amp;"_"&amp;IF(Servido_Por="portal",Veiculo,"adserver"))</f>
        <v>vw____adserver</v>
      </c>
      <c r="AP8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7" s="22" t="str">
        <f t="shared" si="1"/>
        <v/>
      </c>
      <c r="AS817" s="22" t="str">
        <f t="shared" si="2"/>
        <v/>
      </c>
      <c r="AT817" s="22" t="str">
        <f t="shared" si="3"/>
        <v>BR_IMC_DSY_LANCH_ND_NC_2020Q3AUG_NVS_Nivus-Launch-Consideracao</v>
      </c>
      <c r="AU817" s="22" t="str">
        <f t="shared" si="4"/>
        <v>#N/A</v>
      </c>
      <c r="AV817" s="22" t="s">
        <v>106</v>
      </c>
      <c r="AW8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7" s="22" t="str">
        <f t="shared" si="5"/>
        <v>BR_IMC_DSY_LANCH_ND_NC_2020Q3AUG_NVS_Nivus-Launch-Consideracao</v>
      </c>
      <c r="AY817" s="28" t="str">
        <f t="shared" si="6"/>
        <v>#N/A</v>
      </c>
      <c r="AZ817" s="22" t="s">
        <v>107</v>
      </c>
      <c r="BA817" s="22" t="s">
        <v>108</v>
      </c>
      <c r="BB817" s="31" t="s">
        <v>109</v>
      </c>
      <c r="BC817" s="31" t="s">
        <v>109</v>
      </c>
      <c r="BD817" s="32" t="str">
        <f t="shared" si="8"/>
        <v>nvl-nvs-imc-dsy-0820-10811</v>
      </c>
      <c r="BE817" s="33"/>
      <c r="BF817" s="33"/>
      <c r="BG817" s="39" t="str">
        <f>URL&amp;IF(ISNUMBER(FIND("?",URL)),"&amp;","?"&amp;("adlid="&amp;Unique_ID&amp;"&amp;adplt="&amp;Placement))</f>
        <v>#N/A</v>
      </c>
      <c r="BH817" s="1"/>
      <c r="BI817" s="1"/>
      <c r="BJ817" s="35" t="str">
        <f>LOWER("alp"&amp;"_"&amp;"vw"&amp;"_"&amp;Veiculo&amp;"_"&amp;C813&amp;"_"&amp;Objetivo)</f>
        <v>alp_vw___</v>
      </c>
      <c r="BK817" s="35" t="str">
        <f>LOWER(Buying_Metric&amp;"_"&amp;VLOOKUP(Buying_Type,Buy_type,2,FALSE)&amp;"_"&amp;Device&amp;"_"&amp;Size&amp;"_"&amp;Segmentação&amp;"_"&amp;Segmentação_Anúncio)</f>
        <v>#N/A</v>
      </c>
      <c r="BL817" s="35" t="str">
        <f>LOWER(Campanha_ou_InsertionOrder&amp;"_"&amp;LineItem_ou_Grupodeanúncio&amp;"_"&amp;Linha_criativa_2&amp;"_"&amp;Unique_ID)</f>
        <v>#N/A</v>
      </c>
      <c r="BM817" s="27"/>
      <c r="BN817" s="27"/>
    </row>
    <row r="818">
      <c r="A818" s="1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8" t="str">
        <f>LOWER(Campanha_ou_InsertionOrder&amp;"_"&amp;LineItem_ou_Grupodeanúncio&amp;"_"&amp;Linha_Criativa&amp;"_"&amp;Unique_ID)</f>
        <v>#N/A</v>
      </c>
      <c r="AN818" s="28" t="str">
        <f>LOWER(Campanha_ou_InsertionOrder&amp;"_"&amp;LineItem_ou_Grupodeanúncio&amp;"_"&amp;Linha_Criativa&amp;"_"&amp;Unique_ID)</f>
        <v>#N/A</v>
      </c>
      <c r="AO818" s="28" t="str">
        <f>LOWER("VW"&amp;"_"&amp;Model_Variant&amp;"_"&amp;Size&amp;"_"&amp;Linha_Criativa&amp;"_"&amp;IF(Servido_Por="portal",Veiculo,"adserver"))</f>
        <v>vw____adserver</v>
      </c>
      <c r="AP8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8" s="22" t="str">
        <f t="shared" si="1"/>
        <v/>
      </c>
      <c r="AS818" s="22" t="str">
        <f t="shared" si="2"/>
        <v/>
      </c>
      <c r="AT818" s="22" t="str">
        <f t="shared" si="3"/>
        <v>BR_IMC_DSY_LANCH_ND_NC_2020Q3AUG_NVS_Nivus-Launch-Consideracao</v>
      </c>
      <c r="AU818" s="22" t="str">
        <f t="shared" si="4"/>
        <v>#N/A</v>
      </c>
      <c r="AV818" s="22" t="s">
        <v>106</v>
      </c>
      <c r="AW8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8" s="22" t="str">
        <f t="shared" si="5"/>
        <v>BR_IMC_DSY_LANCH_ND_NC_2020Q3AUG_NVS_Nivus-Launch-Consideracao</v>
      </c>
      <c r="AY818" s="28" t="str">
        <f t="shared" si="6"/>
        <v>#N/A</v>
      </c>
      <c r="AZ818" s="22" t="s">
        <v>107</v>
      </c>
      <c r="BA818" s="22" t="s">
        <v>108</v>
      </c>
      <c r="BB818" s="31" t="s">
        <v>109</v>
      </c>
      <c r="BC818" s="31" t="s">
        <v>109</v>
      </c>
      <c r="BD818" s="32" t="str">
        <f t="shared" si="8"/>
        <v>nvl-nvs-imc-dsy-0820-10812</v>
      </c>
      <c r="BE818" s="33"/>
      <c r="BF818" s="33"/>
      <c r="BG818" s="39" t="str">
        <f>URL&amp;IF(ISNUMBER(FIND("?",URL)),"&amp;","?"&amp;("adlid="&amp;Unique_ID&amp;"&amp;adplt="&amp;Placement))</f>
        <v>#N/A</v>
      </c>
      <c r="BH818" s="1"/>
      <c r="BI818" s="1"/>
      <c r="BJ818" s="35" t="str">
        <f>LOWER("alp"&amp;"_"&amp;"vw"&amp;"_"&amp;Veiculo&amp;"_"&amp;C814&amp;"_"&amp;Objetivo)</f>
        <v>alp_vw___</v>
      </c>
      <c r="BK818" s="35" t="str">
        <f>LOWER(Buying_Metric&amp;"_"&amp;VLOOKUP(Buying_Type,Buy_type,2,FALSE)&amp;"_"&amp;Device&amp;"_"&amp;Size&amp;"_"&amp;Segmentação&amp;"_"&amp;Segmentação_Anúncio)</f>
        <v>#N/A</v>
      </c>
      <c r="BL818" s="35" t="str">
        <f>LOWER(Campanha_ou_InsertionOrder&amp;"_"&amp;LineItem_ou_Grupodeanúncio&amp;"_"&amp;Linha_criativa_2&amp;"_"&amp;Unique_ID)</f>
        <v>#N/A</v>
      </c>
      <c r="BM818" s="27"/>
      <c r="BN818" s="27"/>
    </row>
    <row r="819">
      <c r="A819" s="1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8" t="str">
        <f>LOWER(Campanha_ou_InsertionOrder&amp;"_"&amp;LineItem_ou_Grupodeanúncio&amp;"_"&amp;Linha_Criativa&amp;"_"&amp;Unique_ID)</f>
        <v>#N/A</v>
      </c>
      <c r="AN819" s="28" t="str">
        <f>LOWER(Campanha_ou_InsertionOrder&amp;"_"&amp;LineItem_ou_Grupodeanúncio&amp;"_"&amp;Linha_Criativa&amp;"_"&amp;Unique_ID)</f>
        <v>#N/A</v>
      </c>
      <c r="AO819" s="28" t="str">
        <f>LOWER("VW"&amp;"_"&amp;Model_Variant&amp;"_"&amp;Size&amp;"_"&amp;Linha_Criativa&amp;"_"&amp;IF(Servido_Por="portal",Veiculo,"adserver"))</f>
        <v>vw____adserver</v>
      </c>
      <c r="AP8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19" s="22" t="str">
        <f t="shared" si="1"/>
        <v/>
      </c>
      <c r="AS819" s="22" t="str">
        <f t="shared" si="2"/>
        <v/>
      </c>
      <c r="AT819" s="22" t="str">
        <f t="shared" si="3"/>
        <v>BR_IMC_DSY_LANCH_ND_NC_2020Q3AUG_NVS_Nivus-Launch-Consideracao</v>
      </c>
      <c r="AU819" s="22" t="str">
        <f t="shared" si="4"/>
        <v>#N/A</v>
      </c>
      <c r="AV819" s="22" t="s">
        <v>106</v>
      </c>
      <c r="AW8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19" s="22" t="str">
        <f t="shared" si="5"/>
        <v>BR_IMC_DSY_LANCH_ND_NC_2020Q3AUG_NVS_Nivus-Launch-Consideracao</v>
      </c>
      <c r="AY819" s="28" t="str">
        <f t="shared" si="6"/>
        <v>#N/A</v>
      </c>
      <c r="AZ819" s="22" t="s">
        <v>107</v>
      </c>
      <c r="BA819" s="22" t="s">
        <v>108</v>
      </c>
      <c r="BB819" s="31" t="s">
        <v>109</v>
      </c>
      <c r="BC819" s="31" t="s">
        <v>109</v>
      </c>
      <c r="BD819" s="32" t="str">
        <f t="shared" si="8"/>
        <v>nvl-nvs-imc-dsy-0820-10813</v>
      </c>
      <c r="BE819" s="33"/>
      <c r="BF819" s="33"/>
      <c r="BG819" s="39" t="str">
        <f>URL&amp;IF(ISNUMBER(FIND("?",URL)),"&amp;","?"&amp;("adlid="&amp;Unique_ID&amp;"&amp;adplt="&amp;Placement))</f>
        <v>#N/A</v>
      </c>
      <c r="BH819" s="1"/>
      <c r="BI819" s="1"/>
      <c r="BJ819" s="35" t="str">
        <f>LOWER("alp"&amp;"_"&amp;"vw"&amp;"_"&amp;Veiculo&amp;"_"&amp;C815&amp;"_"&amp;Objetivo)</f>
        <v>alp_vw___</v>
      </c>
      <c r="BK819" s="35" t="str">
        <f>LOWER(Buying_Metric&amp;"_"&amp;VLOOKUP(Buying_Type,Buy_type,2,FALSE)&amp;"_"&amp;Device&amp;"_"&amp;Size&amp;"_"&amp;Segmentação&amp;"_"&amp;Segmentação_Anúncio)</f>
        <v>#N/A</v>
      </c>
      <c r="BL819" s="35" t="str">
        <f>LOWER(Campanha_ou_InsertionOrder&amp;"_"&amp;LineItem_ou_Grupodeanúncio&amp;"_"&amp;Linha_criativa_2&amp;"_"&amp;Unique_ID)</f>
        <v>#N/A</v>
      </c>
      <c r="BM819" s="27"/>
      <c r="BN819" s="27"/>
    </row>
    <row r="820">
      <c r="A820" s="1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8" t="str">
        <f>LOWER(Campanha_ou_InsertionOrder&amp;"_"&amp;LineItem_ou_Grupodeanúncio&amp;"_"&amp;Linha_Criativa&amp;"_"&amp;Unique_ID)</f>
        <v>#N/A</v>
      </c>
      <c r="AN820" s="28" t="str">
        <f>LOWER(Campanha_ou_InsertionOrder&amp;"_"&amp;LineItem_ou_Grupodeanúncio&amp;"_"&amp;Linha_Criativa&amp;"_"&amp;Unique_ID)</f>
        <v>#N/A</v>
      </c>
      <c r="AO820" s="28" t="str">
        <f>LOWER("VW"&amp;"_"&amp;Model_Variant&amp;"_"&amp;Size&amp;"_"&amp;Linha_Criativa&amp;"_"&amp;IF(Servido_Por="portal",Veiculo,"adserver"))</f>
        <v>vw____adserver</v>
      </c>
      <c r="AP8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0" s="22" t="str">
        <f t="shared" si="1"/>
        <v/>
      </c>
      <c r="AS820" s="22" t="str">
        <f t="shared" si="2"/>
        <v/>
      </c>
      <c r="AT820" s="22" t="str">
        <f t="shared" si="3"/>
        <v>BR_IMC_DSY_LANCH_ND_NC_2020Q3AUG_NVS_Nivus-Launch-Consideracao</v>
      </c>
      <c r="AU820" s="22" t="str">
        <f t="shared" si="4"/>
        <v>#N/A</v>
      </c>
      <c r="AV820" s="22" t="s">
        <v>106</v>
      </c>
      <c r="AW8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0" s="22" t="str">
        <f t="shared" si="5"/>
        <v>BR_IMC_DSY_LANCH_ND_NC_2020Q3AUG_NVS_Nivus-Launch-Consideracao</v>
      </c>
      <c r="AY820" s="28" t="str">
        <f t="shared" si="6"/>
        <v>#N/A</v>
      </c>
      <c r="AZ820" s="22" t="s">
        <v>107</v>
      </c>
      <c r="BA820" s="22" t="s">
        <v>108</v>
      </c>
      <c r="BB820" s="31" t="s">
        <v>109</v>
      </c>
      <c r="BC820" s="31" t="s">
        <v>109</v>
      </c>
      <c r="BD820" s="32" t="str">
        <f t="shared" si="8"/>
        <v>nvl-nvs-imc-dsy-0820-10814</v>
      </c>
      <c r="BE820" s="33"/>
      <c r="BF820" s="33"/>
      <c r="BG820" s="39" t="str">
        <f>URL&amp;IF(ISNUMBER(FIND("?",URL)),"&amp;","?"&amp;("adlid="&amp;Unique_ID&amp;"&amp;adplt="&amp;Placement))</f>
        <v>#N/A</v>
      </c>
      <c r="BH820" s="1"/>
      <c r="BI820" s="1"/>
      <c r="BJ820" s="35" t="str">
        <f>LOWER("alp"&amp;"_"&amp;"vw"&amp;"_"&amp;Veiculo&amp;"_"&amp;C816&amp;"_"&amp;Objetivo)</f>
        <v>alp_vw___</v>
      </c>
      <c r="BK820" s="35" t="str">
        <f>LOWER(Buying_Metric&amp;"_"&amp;VLOOKUP(Buying_Type,Buy_type,2,FALSE)&amp;"_"&amp;Device&amp;"_"&amp;Size&amp;"_"&amp;Segmentação&amp;"_"&amp;Segmentação_Anúncio)</f>
        <v>#N/A</v>
      </c>
      <c r="BL820" s="35" t="str">
        <f>LOWER(Campanha_ou_InsertionOrder&amp;"_"&amp;LineItem_ou_Grupodeanúncio&amp;"_"&amp;Linha_criativa_2&amp;"_"&amp;Unique_ID)</f>
        <v>#N/A</v>
      </c>
      <c r="BM820" s="27"/>
      <c r="BN820" s="27"/>
    </row>
    <row r="821">
      <c r="A821" s="1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8" t="str">
        <f>LOWER(Campanha_ou_InsertionOrder&amp;"_"&amp;LineItem_ou_Grupodeanúncio&amp;"_"&amp;Linha_Criativa&amp;"_"&amp;Unique_ID)</f>
        <v>#N/A</v>
      </c>
      <c r="AN821" s="28" t="str">
        <f>LOWER(Campanha_ou_InsertionOrder&amp;"_"&amp;LineItem_ou_Grupodeanúncio&amp;"_"&amp;Linha_Criativa&amp;"_"&amp;Unique_ID)</f>
        <v>#N/A</v>
      </c>
      <c r="AO821" s="28" t="str">
        <f>LOWER("VW"&amp;"_"&amp;Model_Variant&amp;"_"&amp;Size&amp;"_"&amp;Linha_Criativa&amp;"_"&amp;IF(Servido_Por="portal",Veiculo,"adserver"))</f>
        <v>vw____adserver</v>
      </c>
      <c r="AP8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1" s="22" t="str">
        <f t="shared" si="1"/>
        <v/>
      </c>
      <c r="AS821" s="22" t="str">
        <f t="shared" si="2"/>
        <v/>
      </c>
      <c r="AT821" s="22" t="str">
        <f t="shared" si="3"/>
        <v>BR_IMC_DSY_LANCH_ND_NC_2020Q3AUG_NVS_Nivus-Launch-Consideracao</v>
      </c>
      <c r="AU821" s="22" t="str">
        <f t="shared" si="4"/>
        <v>#N/A</v>
      </c>
      <c r="AV821" s="22" t="s">
        <v>106</v>
      </c>
      <c r="AW8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1" s="22" t="str">
        <f t="shared" si="5"/>
        <v>BR_IMC_DSY_LANCH_ND_NC_2020Q3AUG_NVS_Nivus-Launch-Consideracao</v>
      </c>
      <c r="AY821" s="28" t="str">
        <f t="shared" si="6"/>
        <v>#N/A</v>
      </c>
      <c r="AZ821" s="22" t="s">
        <v>107</v>
      </c>
      <c r="BA821" s="22" t="s">
        <v>108</v>
      </c>
      <c r="BB821" s="31" t="s">
        <v>109</v>
      </c>
      <c r="BC821" s="31" t="s">
        <v>109</v>
      </c>
      <c r="BD821" s="32" t="str">
        <f t="shared" si="8"/>
        <v>nvl-nvs-imc-dsy-0820-10815</v>
      </c>
      <c r="BE821" s="33"/>
      <c r="BF821" s="33"/>
      <c r="BG821" s="39" t="str">
        <f>URL&amp;IF(ISNUMBER(FIND("?",URL)),"&amp;","?"&amp;("adlid="&amp;Unique_ID&amp;"&amp;adplt="&amp;Placement))</f>
        <v>#N/A</v>
      </c>
      <c r="BH821" s="1"/>
      <c r="BI821" s="1"/>
      <c r="BJ821" s="35" t="str">
        <f>LOWER("alp"&amp;"_"&amp;"vw"&amp;"_"&amp;Veiculo&amp;"_"&amp;C817&amp;"_"&amp;Objetivo)</f>
        <v>alp_vw___</v>
      </c>
      <c r="BK821" s="35" t="str">
        <f>LOWER(Buying_Metric&amp;"_"&amp;VLOOKUP(Buying_Type,Buy_type,2,FALSE)&amp;"_"&amp;Device&amp;"_"&amp;Size&amp;"_"&amp;Segmentação&amp;"_"&amp;Segmentação_Anúncio)</f>
        <v>#N/A</v>
      </c>
      <c r="BL821" s="35" t="str">
        <f>LOWER(Campanha_ou_InsertionOrder&amp;"_"&amp;LineItem_ou_Grupodeanúncio&amp;"_"&amp;Linha_criativa_2&amp;"_"&amp;Unique_ID)</f>
        <v>#N/A</v>
      </c>
      <c r="BM821" s="27"/>
      <c r="BN821" s="27"/>
    </row>
    <row r="822">
      <c r="A822" s="1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8" t="str">
        <f>LOWER(Campanha_ou_InsertionOrder&amp;"_"&amp;LineItem_ou_Grupodeanúncio&amp;"_"&amp;Linha_Criativa&amp;"_"&amp;Unique_ID)</f>
        <v>#N/A</v>
      </c>
      <c r="AN822" s="28" t="str">
        <f>LOWER(Campanha_ou_InsertionOrder&amp;"_"&amp;LineItem_ou_Grupodeanúncio&amp;"_"&amp;Linha_Criativa&amp;"_"&amp;Unique_ID)</f>
        <v>#N/A</v>
      </c>
      <c r="AO822" s="28" t="str">
        <f>LOWER("VW"&amp;"_"&amp;Model_Variant&amp;"_"&amp;Size&amp;"_"&amp;Linha_Criativa&amp;"_"&amp;IF(Servido_Por="portal",Veiculo,"adserver"))</f>
        <v>vw____adserver</v>
      </c>
      <c r="AP8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2" s="22" t="str">
        <f t="shared" si="1"/>
        <v/>
      </c>
      <c r="AS822" s="22" t="str">
        <f t="shared" si="2"/>
        <v/>
      </c>
      <c r="AT822" s="22" t="str">
        <f t="shared" si="3"/>
        <v>BR_IMC_DSY_LANCH_ND_NC_2020Q3AUG_NVS_Nivus-Launch-Consideracao</v>
      </c>
      <c r="AU822" s="22" t="str">
        <f t="shared" si="4"/>
        <v>#N/A</v>
      </c>
      <c r="AV822" s="22" t="s">
        <v>106</v>
      </c>
      <c r="AW8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2" s="22" t="str">
        <f t="shared" si="5"/>
        <v>BR_IMC_DSY_LANCH_ND_NC_2020Q3AUG_NVS_Nivus-Launch-Consideracao</v>
      </c>
      <c r="AY822" s="28" t="str">
        <f t="shared" si="6"/>
        <v>#N/A</v>
      </c>
      <c r="AZ822" s="22" t="s">
        <v>107</v>
      </c>
      <c r="BA822" s="22" t="s">
        <v>108</v>
      </c>
      <c r="BB822" s="31" t="s">
        <v>109</v>
      </c>
      <c r="BC822" s="31" t="s">
        <v>109</v>
      </c>
      <c r="BD822" s="32" t="str">
        <f t="shared" si="8"/>
        <v>nvl-nvs-imc-dsy-0820-10816</v>
      </c>
      <c r="BE822" s="33"/>
      <c r="BF822" s="33"/>
      <c r="BG822" s="39" t="str">
        <f>URL&amp;IF(ISNUMBER(FIND("?",URL)),"&amp;","?"&amp;("adlid="&amp;Unique_ID&amp;"&amp;adplt="&amp;Placement))</f>
        <v>#N/A</v>
      </c>
      <c r="BH822" s="1"/>
      <c r="BI822" s="1"/>
      <c r="BJ822" s="35" t="str">
        <f>LOWER("alp"&amp;"_"&amp;"vw"&amp;"_"&amp;Veiculo&amp;"_"&amp;C818&amp;"_"&amp;Objetivo)</f>
        <v>alp_vw___</v>
      </c>
      <c r="BK822" s="35" t="str">
        <f>LOWER(Buying_Metric&amp;"_"&amp;VLOOKUP(Buying_Type,Buy_type,2,FALSE)&amp;"_"&amp;Device&amp;"_"&amp;Size&amp;"_"&amp;Segmentação&amp;"_"&amp;Segmentação_Anúncio)</f>
        <v>#N/A</v>
      </c>
      <c r="BL822" s="35" t="str">
        <f>LOWER(Campanha_ou_InsertionOrder&amp;"_"&amp;LineItem_ou_Grupodeanúncio&amp;"_"&amp;Linha_criativa_2&amp;"_"&amp;Unique_ID)</f>
        <v>#N/A</v>
      </c>
      <c r="BM822" s="27"/>
      <c r="BN822" s="27"/>
    </row>
    <row r="823">
      <c r="A823" s="1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8" t="str">
        <f>LOWER(Campanha_ou_InsertionOrder&amp;"_"&amp;LineItem_ou_Grupodeanúncio&amp;"_"&amp;Linha_Criativa&amp;"_"&amp;Unique_ID)</f>
        <v>#N/A</v>
      </c>
      <c r="AN823" s="28" t="str">
        <f>LOWER(Campanha_ou_InsertionOrder&amp;"_"&amp;LineItem_ou_Grupodeanúncio&amp;"_"&amp;Linha_Criativa&amp;"_"&amp;Unique_ID)</f>
        <v>#N/A</v>
      </c>
      <c r="AO823" s="28" t="str">
        <f>LOWER("VW"&amp;"_"&amp;Model_Variant&amp;"_"&amp;Size&amp;"_"&amp;Linha_Criativa&amp;"_"&amp;IF(Servido_Por="portal",Veiculo,"adserver"))</f>
        <v>vw____adserver</v>
      </c>
      <c r="AP8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3" s="22" t="str">
        <f t="shared" si="1"/>
        <v/>
      </c>
      <c r="AS823" s="22" t="str">
        <f t="shared" si="2"/>
        <v/>
      </c>
      <c r="AT823" s="22" t="str">
        <f t="shared" si="3"/>
        <v>BR_IMC_DSY_LANCH_ND_NC_2020Q3AUG_NVS_Nivus-Launch-Consideracao</v>
      </c>
      <c r="AU823" s="22" t="str">
        <f t="shared" si="4"/>
        <v>#N/A</v>
      </c>
      <c r="AV823" s="22" t="s">
        <v>106</v>
      </c>
      <c r="AW8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3" s="22" t="str">
        <f t="shared" si="5"/>
        <v>BR_IMC_DSY_LANCH_ND_NC_2020Q3AUG_NVS_Nivus-Launch-Consideracao</v>
      </c>
      <c r="AY823" s="28" t="str">
        <f t="shared" si="6"/>
        <v>#N/A</v>
      </c>
      <c r="AZ823" s="22" t="s">
        <v>107</v>
      </c>
      <c r="BA823" s="22" t="s">
        <v>108</v>
      </c>
      <c r="BB823" s="31" t="s">
        <v>109</v>
      </c>
      <c r="BC823" s="31" t="s">
        <v>109</v>
      </c>
      <c r="BD823" s="32" t="str">
        <f t="shared" si="8"/>
        <v>nvl-nvs-imc-dsy-0820-10817</v>
      </c>
      <c r="BE823" s="33"/>
      <c r="BF823" s="33"/>
      <c r="BG823" s="39" t="str">
        <f>URL&amp;IF(ISNUMBER(FIND("?",URL)),"&amp;","?"&amp;("adlid="&amp;Unique_ID&amp;"&amp;adplt="&amp;Placement))</f>
        <v>#N/A</v>
      </c>
      <c r="BH823" s="1"/>
      <c r="BI823" s="1"/>
      <c r="BJ823" s="35" t="str">
        <f>LOWER("alp"&amp;"_"&amp;"vw"&amp;"_"&amp;Veiculo&amp;"_"&amp;C819&amp;"_"&amp;Objetivo)</f>
        <v>alp_vw___</v>
      </c>
      <c r="BK823" s="35" t="str">
        <f>LOWER(Buying_Metric&amp;"_"&amp;VLOOKUP(Buying_Type,Buy_type,2,FALSE)&amp;"_"&amp;Device&amp;"_"&amp;Size&amp;"_"&amp;Segmentação&amp;"_"&amp;Segmentação_Anúncio)</f>
        <v>#N/A</v>
      </c>
      <c r="BL823" s="35" t="str">
        <f>LOWER(Campanha_ou_InsertionOrder&amp;"_"&amp;LineItem_ou_Grupodeanúncio&amp;"_"&amp;Linha_criativa_2&amp;"_"&amp;Unique_ID)</f>
        <v>#N/A</v>
      </c>
      <c r="BM823" s="27"/>
      <c r="BN823" s="27"/>
    </row>
    <row r="824">
      <c r="A824" s="1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tr">
        <f>LOWER(Campanha_ou_InsertionOrder&amp;"_"&amp;LineItem_ou_Grupodeanúncio&amp;"_"&amp;Linha_Criativa&amp;"_"&amp;Unique_ID)</f>
        <v>#N/A</v>
      </c>
      <c r="AN824" s="28" t="str">
        <f>LOWER(Campanha_ou_InsertionOrder&amp;"_"&amp;LineItem_ou_Grupodeanúncio&amp;"_"&amp;Linha_Criativa&amp;"_"&amp;Unique_ID)</f>
        <v>#N/A</v>
      </c>
      <c r="AO824" s="28" t="str">
        <f>LOWER("VW"&amp;"_"&amp;Model_Variant&amp;"_"&amp;Size&amp;"_"&amp;Linha_Criativa&amp;"_"&amp;IF(Servido_Por="portal",Veiculo,"adserver"))</f>
        <v>vw____adserver</v>
      </c>
      <c r="AP8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4" s="22" t="str">
        <f t="shared" si="1"/>
        <v/>
      </c>
      <c r="AS824" s="22" t="str">
        <f t="shared" si="2"/>
        <v/>
      </c>
      <c r="AT824" s="22" t="str">
        <f t="shared" si="3"/>
        <v>BR_IMC_DSY_LANCH_ND_NC_2020Q3AUG_NVS_Nivus-Launch-Consideracao</v>
      </c>
      <c r="AU824" s="22" t="str">
        <f t="shared" si="4"/>
        <v>#N/A</v>
      </c>
      <c r="AV824" s="22" t="s">
        <v>106</v>
      </c>
      <c r="AW8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4" s="22" t="str">
        <f t="shared" si="5"/>
        <v>BR_IMC_DSY_LANCH_ND_NC_2020Q3AUG_NVS_Nivus-Launch-Consideracao</v>
      </c>
      <c r="AY824" s="28" t="str">
        <f t="shared" si="6"/>
        <v>#N/A</v>
      </c>
      <c r="AZ824" s="22" t="s">
        <v>107</v>
      </c>
      <c r="BA824" s="22" t="s">
        <v>108</v>
      </c>
      <c r="BB824" s="31" t="s">
        <v>109</v>
      </c>
      <c r="BC824" s="31" t="s">
        <v>109</v>
      </c>
      <c r="BD824" s="32" t="str">
        <f t="shared" si="8"/>
        <v>nvl-nvs-imc-dsy-0820-10818</v>
      </c>
      <c r="BE824" s="33"/>
      <c r="BF824" s="33"/>
      <c r="BG824" s="39" t="str">
        <f>URL&amp;IF(ISNUMBER(FIND("?",URL)),"&amp;","?"&amp;("adlid="&amp;Unique_ID&amp;"&amp;adplt="&amp;Placement))</f>
        <v>#N/A</v>
      </c>
      <c r="BH824" s="1"/>
      <c r="BI824" s="1"/>
      <c r="BJ824" s="35" t="str">
        <f>LOWER("alp"&amp;"_"&amp;"vw"&amp;"_"&amp;Veiculo&amp;"_"&amp;C820&amp;"_"&amp;Objetivo)</f>
        <v>alp_vw___</v>
      </c>
      <c r="BK824" s="35" t="str">
        <f>LOWER(Buying_Metric&amp;"_"&amp;VLOOKUP(Buying_Type,Buy_type,2,FALSE)&amp;"_"&amp;Device&amp;"_"&amp;Size&amp;"_"&amp;Segmentação&amp;"_"&amp;Segmentação_Anúncio)</f>
        <v>#N/A</v>
      </c>
      <c r="BL824" s="35" t="str">
        <f>LOWER(Campanha_ou_InsertionOrder&amp;"_"&amp;LineItem_ou_Grupodeanúncio&amp;"_"&amp;Linha_criativa_2&amp;"_"&amp;Unique_ID)</f>
        <v>#N/A</v>
      </c>
      <c r="BM824" s="27"/>
      <c r="BN824" s="27"/>
    </row>
    <row r="825">
      <c r="A825" s="1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8" t="str">
        <f>LOWER(Campanha_ou_InsertionOrder&amp;"_"&amp;LineItem_ou_Grupodeanúncio&amp;"_"&amp;Linha_Criativa&amp;"_"&amp;Unique_ID)</f>
        <v>#N/A</v>
      </c>
      <c r="AN825" s="28" t="str">
        <f>LOWER(Campanha_ou_InsertionOrder&amp;"_"&amp;LineItem_ou_Grupodeanúncio&amp;"_"&amp;Linha_Criativa&amp;"_"&amp;Unique_ID)</f>
        <v>#N/A</v>
      </c>
      <c r="AO825" s="28" t="str">
        <f>LOWER("VW"&amp;"_"&amp;Model_Variant&amp;"_"&amp;Size&amp;"_"&amp;Linha_Criativa&amp;"_"&amp;IF(Servido_Por="portal",Veiculo,"adserver"))</f>
        <v>vw____adserver</v>
      </c>
      <c r="AP8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5" s="22" t="str">
        <f t="shared" si="1"/>
        <v/>
      </c>
      <c r="AS825" s="22" t="str">
        <f t="shared" si="2"/>
        <v/>
      </c>
      <c r="AT825" s="22" t="str">
        <f t="shared" si="3"/>
        <v>BR_IMC_DSY_LANCH_ND_NC_2020Q3AUG_NVS_Nivus-Launch-Consideracao</v>
      </c>
      <c r="AU825" s="22" t="str">
        <f t="shared" si="4"/>
        <v>#N/A</v>
      </c>
      <c r="AV825" s="22" t="s">
        <v>106</v>
      </c>
      <c r="AW8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5" s="22" t="str">
        <f t="shared" si="5"/>
        <v>BR_IMC_DSY_LANCH_ND_NC_2020Q3AUG_NVS_Nivus-Launch-Consideracao</v>
      </c>
      <c r="AY825" s="28" t="str">
        <f t="shared" si="6"/>
        <v>#N/A</v>
      </c>
      <c r="AZ825" s="22" t="s">
        <v>107</v>
      </c>
      <c r="BA825" s="22" t="s">
        <v>108</v>
      </c>
      <c r="BB825" s="31" t="s">
        <v>109</v>
      </c>
      <c r="BC825" s="31" t="s">
        <v>109</v>
      </c>
      <c r="BD825" s="32" t="str">
        <f t="shared" si="8"/>
        <v>nvl-nvs-imc-dsy-0820-10819</v>
      </c>
      <c r="BE825" s="33"/>
      <c r="BF825" s="33"/>
      <c r="BG825" s="39" t="str">
        <f>URL&amp;IF(ISNUMBER(FIND("?",URL)),"&amp;","?"&amp;("adlid="&amp;Unique_ID&amp;"&amp;adplt="&amp;Placement))</f>
        <v>#N/A</v>
      </c>
      <c r="BH825" s="1"/>
      <c r="BI825" s="1"/>
      <c r="BJ825" s="35" t="str">
        <f>LOWER("alp"&amp;"_"&amp;"vw"&amp;"_"&amp;Veiculo&amp;"_"&amp;C821&amp;"_"&amp;Objetivo)</f>
        <v>alp_vw___</v>
      </c>
      <c r="BK825" s="35" t="str">
        <f>LOWER(Buying_Metric&amp;"_"&amp;VLOOKUP(Buying_Type,Buy_type,2,FALSE)&amp;"_"&amp;Device&amp;"_"&amp;Size&amp;"_"&amp;Segmentação&amp;"_"&amp;Segmentação_Anúncio)</f>
        <v>#N/A</v>
      </c>
      <c r="BL825" s="35" t="str">
        <f>LOWER(Campanha_ou_InsertionOrder&amp;"_"&amp;LineItem_ou_Grupodeanúncio&amp;"_"&amp;Linha_criativa_2&amp;"_"&amp;Unique_ID)</f>
        <v>#N/A</v>
      </c>
      <c r="BM825" s="27"/>
      <c r="BN825" s="27"/>
    </row>
    <row r="826">
      <c r="A826" s="1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8" t="str">
        <f>LOWER(Campanha_ou_InsertionOrder&amp;"_"&amp;LineItem_ou_Grupodeanúncio&amp;"_"&amp;Linha_Criativa&amp;"_"&amp;Unique_ID)</f>
        <v>#N/A</v>
      </c>
      <c r="AN826" s="28" t="str">
        <f>LOWER(Campanha_ou_InsertionOrder&amp;"_"&amp;LineItem_ou_Grupodeanúncio&amp;"_"&amp;Linha_Criativa&amp;"_"&amp;Unique_ID)</f>
        <v>#N/A</v>
      </c>
      <c r="AO826" s="28" t="str">
        <f>LOWER("VW"&amp;"_"&amp;Model_Variant&amp;"_"&amp;Size&amp;"_"&amp;Linha_Criativa&amp;"_"&amp;IF(Servido_Por="portal",Veiculo,"adserver"))</f>
        <v>vw____adserver</v>
      </c>
      <c r="AP8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6" s="22" t="str">
        <f t="shared" si="1"/>
        <v/>
      </c>
      <c r="AS826" s="22" t="str">
        <f t="shared" si="2"/>
        <v/>
      </c>
      <c r="AT826" s="22" t="str">
        <f t="shared" si="3"/>
        <v>BR_IMC_DSY_LANCH_ND_NC_2020Q3AUG_NVS_Nivus-Launch-Consideracao</v>
      </c>
      <c r="AU826" s="22" t="str">
        <f t="shared" si="4"/>
        <v>#N/A</v>
      </c>
      <c r="AV826" s="22" t="s">
        <v>106</v>
      </c>
      <c r="AW8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6" s="22" t="str">
        <f t="shared" si="5"/>
        <v>BR_IMC_DSY_LANCH_ND_NC_2020Q3AUG_NVS_Nivus-Launch-Consideracao</v>
      </c>
      <c r="AY826" s="28" t="str">
        <f t="shared" si="6"/>
        <v>#N/A</v>
      </c>
      <c r="AZ826" s="22" t="s">
        <v>107</v>
      </c>
      <c r="BA826" s="22" t="s">
        <v>108</v>
      </c>
      <c r="BB826" s="31" t="s">
        <v>109</v>
      </c>
      <c r="BC826" s="31" t="s">
        <v>109</v>
      </c>
      <c r="BD826" s="32" t="str">
        <f t="shared" si="8"/>
        <v>nvl-nvs-imc-dsy-0820-10820</v>
      </c>
      <c r="BE826" s="33"/>
      <c r="BF826" s="33"/>
      <c r="BG826" s="39" t="str">
        <f>URL&amp;IF(ISNUMBER(FIND("?",URL)),"&amp;","?"&amp;("adlid="&amp;Unique_ID&amp;"&amp;adplt="&amp;Placement))</f>
        <v>#N/A</v>
      </c>
      <c r="BH826" s="1"/>
      <c r="BI826" s="1"/>
      <c r="BJ826" s="35" t="str">
        <f>LOWER("alp"&amp;"_"&amp;"vw"&amp;"_"&amp;Veiculo&amp;"_"&amp;C822&amp;"_"&amp;Objetivo)</f>
        <v>alp_vw___</v>
      </c>
      <c r="BK826" s="35" t="str">
        <f>LOWER(Buying_Metric&amp;"_"&amp;VLOOKUP(Buying_Type,Buy_type,2,FALSE)&amp;"_"&amp;Device&amp;"_"&amp;Size&amp;"_"&amp;Segmentação&amp;"_"&amp;Segmentação_Anúncio)</f>
        <v>#N/A</v>
      </c>
      <c r="BL826" s="35" t="str">
        <f>LOWER(Campanha_ou_InsertionOrder&amp;"_"&amp;LineItem_ou_Grupodeanúncio&amp;"_"&amp;Linha_criativa_2&amp;"_"&amp;Unique_ID)</f>
        <v>#N/A</v>
      </c>
      <c r="BM826" s="27"/>
      <c r="BN826" s="27"/>
    </row>
    <row r="827">
      <c r="A827" s="1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8" t="str">
        <f>LOWER(Campanha_ou_InsertionOrder&amp;"_"&amp;LineItem_ou_Grupodeanúncio&amp;"_"&amp;Linha_Criativa&amp;"_"&amp;Unique_ID)</f>
        <v>#N/A</v>
      </c>
      <c r="AN827" s="28" t="str">
        <f>LOWER(Campanha_ou_InsertionOrder&amp;"_"&amp;LineItem_ou_Grupodeanúncio&amp;"_"&amp;Linha_Criativa&amp;"_"&amp;Unique_ID)</f>
        <v>#N/A</v>
      </c>
      <c r="AO827" s="28" t="str">
        <f>LOWER("VW"&amp;"_"&amp;Model_Variant&amp;"_"&amp;Size&amp;"_"&amp;Linha_Criativa&amp;"_"&amp;IF(Servido_Por="portal",Veiculo,"adserver"))</f>
        <v>vw____adserver</v>
      </c>
      <c r="AP8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7" s="22" t="str">
        <f t="shared" si="1"/>
        <v/>
      </c>
      <c r="AS827" s="22" t="str">
        <f t="shared" si="2"/>
        <v/>
      </c>
      <c r="AT827" s="22" t="str">
        <f t="shared" si="3"/>
        <v>BR_IMC_DSY_LANCH_ND_NC_2020Q3AUG_NVS_Nivus-Launch-Consideracao</v>
      </c>
      <c r="AU827" s="22" t="str">
        <f t="shared" si="4"/>
        <v>#N/A</v>
      </c>
      <c r="AV827" s="22" t="s">
        <v>106</v>
      </c>
      <c r="AW8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7" s="22" t="str">
        <f t="shared" si="5"/>
        <v>BR_IMC_DSY_LANCH_ND_NC_2020Q3AUG_NVS_Nivus-Launch-Consideracao</v>
      </c>
      <c r="AY827" s="28" t="str">
        <f t="shared" si="6"/>
        <v>#N/A</v>
      </c>
      <c r="AZ827" s="22" t="s">
        <v>107</v>
      </c>
      <c r="BA827" s="22" t="s">
        <v>108</v>
      </c>
      <c r="BB827" s="31" t="s">
        <v>109</v>
      </c>
      <c r="BC827" s="31" t="s">
        <v>109</v>
      </c>
      <c r="BD827" s="32" t="str">
        <f t="shared" si="8"/>
        <v>nvl-nvs-imc-dsy-0820-10821</v>
      </c>
      <c r="BE827" s="33"/>
      <c r="BF827" s="33"/>
      <c r="BG827" s="39" t="str">
        <f>URL&amp;IF(ISNUMBER(FIND("?",URL)),"&amp;","?"&amp;("adlid="&amp;Unique_ID&amp;"&amp;adplt="&amp;Placement))</f>
        <v>#N/A</v>
      </c>
      <c r="BH827" s="1"/>
      <c r="BI827" s="1"/>
      <c r="BJ827" s="35" t="str">
        <f>LOWER("alp"&amp;"_"&amp;"vw"&amp;"_"&amp;Veiculo&amp;"_"&amp;C823&amp;"_"&amp;Objetivo)</f>
        <v>alp_vw___</v>
      </c>
      <c r="BK827" s="35" t="str">
        <f>LOWER(Buying_Metric&amp;"_"&amp;VLOOKUP(Buying_Type,Buy_type,2,FALSE)&amp;"_"&amp;Device&amp;"_"&amp;Size&amp;"_"&amp;Segmentação&amp;"_"&amp;Segmentação_Anúncio)</f>
        <v>#N/A</v>
      </c>
      <c r="BL827" s="35" t="str">
        <f>LOWER(Campanha_ou_InsertionOrder&amp;"_"&amp;LineItem_ou_Grupodeanúncio&amp;"_"&amp;Linha_criativa_2&amp;"_"&amp;Unique_ID)</f>
        <v>#N/A</v>
      </c>
      <c r="BM827" s="27"/>
      <c r="BN827" s="27"/>
    </row>
    <row r="828">
      <c r="A828" s="1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8" t="str">
        <f>LOWER(Campanha_ou_InsertionOrder&amp;"_"&amp;LineItem_ou_Grupodeanúncio&amp;"_"&amp;Linha_Criativa&amp;"_"&amp;Unique_ID)</f>
        <v>#N/A</v>
      </c>
      <c r="AN828" s="28" t="str">
        <f>LOWER(Campanha_ou_InsertionOrder&amp;"_"&amp;LineItem_ou_Grupodeanúncio&amp;"_"&amp;Linha_Criativa&amp;"_"&amp;Unique_ID)</f>
        <v>#N/A</v>
      </c>
      <c r="AO828" s="28" t="str">
        <f>LOWER("VW"&amp;"_"&amp;Model_Variant&amp;"_"&amp;Size&amp;"_"&amp;Linha_Criativa&amp;"_"&amp;IF(Servido_Por="portal",Veiculo,"adserver"))</f>
        <v>vw____adserver</v>
      </c>
      <c r="AP8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8" s="22" t="str">
        <f t="shared" si="1"/>
        <v/>
      </c>
      <c r="AS828" s="22" t="str">
        <f t="shared" si="2"/>
        <v/>
      </c>
      <c r="AT828" s="22" t="str">
        <f t="shared" si="3"/>
        <v>BR_IMC_DSY_LANCH_ND_NC_2020Q3AUG_NVS_Nivus-Launch-Consideracao</v>
      </c>
      <c r="AU828" s="22" t="str">
        <f t="shared" si="4"/>
        <v>#N/A</v>
      </c>
      <c r="AV828" s="22" t="s">
        <v>106</v>
      </c>
      <c r="AW8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8" s="22" t="str">
        <f t="shared" si="5"/>
        <v>BR_IMC_DSY_LANCH_ND_NC_2020Q3AUG_NVS_Nivus-Launch-Consideracao</v>
      </c>
      <c r="AY828" s="28" t="str">
        <f t="shared" si="6"/>
        <v>#N/A</v>
      </c>
      <c r="AZ828" s="22" t="s">
        <v>107</v>
      </c>
      <c r="BA828" s="22" t="s">
        <v>108</v>
      </c>
      <c r="BB828" s="31" t="s">
        <v>109</v>
      </c>
      <c r="BC828" s="31" t="s">
        <v>109</v>
      </c>
      <c r="BD828" s="32" t="str">
        <f t="shared" si="8"/>
        <v>nvl-nvs-imc-dsy-0820-10822</v>
      </c>
      <c r="BE828" s="33"/>
      <c r="BF828" s="33"/>
      <c r="BG828" s="39" t="str">
        <f>URL&amp;IF(ISNUMBER(FIND("?",URL)),"&amp;","?"&amp;("adlid="&amp;Unique_ID&amp;"&amp;adplt="&amp;Placement))</f>
        <v>#N/A</v>
      </c>
      <c r="BH828" s="1"/>
      <c r="BI828" s="1"/>
      <c r="BJ828" s="35" t="str">
        <f>LOWER("alp"&amp;"_"&amp;"vw"&amp;"_"&amp;Veiculo&amp;"_"&amp;C824&amp;"_"&amp;Objetivo)</f>
        <v>alp_vw___</v>
      </c>
      <c r="BK828" s="35" t="str">
        <f>LOWER(Buying_Metric&amp;"_"&amp;VLOOKUP(Buying_Type,Buy_type,2,FALSE)&amp;"_"&amp;Device&amp;"_"&amp;Size&amp;"_"&amp;Segmentação&amp;"_"&amp;Segmentação_Anúncio)</f>
        <v>#N/A</v>
      </c>
      <c r="BL828" s="35" t="str">
        <f>LOWER(Campanha_ou_InsertionOrder&amp;"_"&amp;LineItem_ou_Grupodeanúncio&amp;"_"&amp;Linha_criativa_2&amp;"_"&amp;Unique_ID)</f>
        <v>#N/A</v>
      </c>
      <c r="BM828" s="27"/>
      <c r="BN828" s="27"/>
    </row>
    <row r="829">
      <c r="A829" s="1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8" t="str">
        <f>LOWER(Campanha_ou_InsertionOrder&amp;"_"&amp;LineItem_ou_Grupodeanúncio&amp;"_"&amp;Linha_Criativa&amp;"_"&amp;Unique_ID)</f>
        <v>#N/A</v>
      </c>
      <c r="AN829" s="28" t="str">
        <f>LOWER(Campanha_ou_InsertionOrder&amp;"_"&amp;LineItem_ou_Grupodeanúncio&amp;"_"&amp;Linha_Criativa&amp;"_"&amp;Unique_ID)</f>
        <v>#N/A</v>
      </c>
      <c r="AO829" s="28" t="str">
        <f>LOWER("VW"&amp;"_"&amp;Model_Variant&amp;"_"&amp;Size&amp;"_"&amp;Linha_Criativa&amp;"_"&amp;IF(Servido_Por="portal",Veiculo,"adserver"))</f>
        <v>vw____adserver</v>
      </c>
      <c r="AP8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29" s="22" t="str">
        <f t="shared" si="1"/>
        <v/>
      </c>
      <c r="AS829" s="22" t="str">
        <f t="shared" si="2"/>
        <v/>
      </c>
      <c r="AT829" s="22" t="str">
        <f t="shared" si="3"/>
        <v>BR_IMC_DSY_LANCH_ND_NC_2020Q3AUG_NVS_Nivus-Launch-Consideracao</v>
      </c>
      <c r="AU829" s="22" t="str">
        <f t="shared" si="4"/>
        <v>#N/A</v>
      </c>
      <c r="AV829" s="22" t="s">
        <v>106</v>
      </c>
      <c r="AW8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29" s="22" t="str">
        <f t="shared" si="5"/>
        <v>BR_IMC_DSY_LANCH_ND_NC_2020Q3AUG_NVS_Nivus-Launch-Consideracao</v>
      </c>
      <c r="AY829" s="28" t="str">
        <f t="shared" si="6"/>
        <v>#N/A</v>
      </c>
      <c r="AZ829" s="22" t="s">
        <v>107</v>
      </c>
      <c r="BA829" s="22" t="s">
        <v>108</v>
      </c>
      <c r="BB829" s="31" t="s">
        <v>109</v>
      </c>
      <c r="BC829" s="31" t="s">
        <v>109</v>
      </c>
      <c r="BD829" s="32" t="str">
        <f t="shared" si="8"/>
        <v>nvl-nvs-imc-dsy-0820-10823</v>
      </c>
      <c r="BE829" s="33"/>
      <c r="BF829" s="33"/>
      <c r="BG829" s="39" t="str">
        <f>URL&amp;IF(ISNUMBER(FIND("?",URL)),"&amp;","?"&amp;("adlid="&amp;Unique_ID&amp;"&amp;adplt="&amp;Placement))</f>
        <v>#N/A</v>
      </c>
      <c r="BH829" s="1"/>
      <c r="BI829" s="1"/>
      <c r="BJ829" s="35" t="str">
        <f>LOWER("alp"&amp;"_"&amp;"vw"&amp;"_"&amp;Veiculo&amp;"_"&amp;C825&amp;"_"&amp;Objetivo)</f>
        <v>alp_vw___</v>
      </c>
      <c r="BK829" s="35" t="str">
        <f>LOWER(Buying_Metric&amp;"_"&amp;VLOOKUP(Buying_Type,Buy_type,2,FALSE)&amp;"_"&amp;Device&amp;"_"&amp;Size&amp;"_"&amp;Segmentação&amp;"_"&amp;Segmentação_Anúncio)</f>
        <v>#N/A</v>
      </c>
      <c r="BL829" s="35" t="str">
        <f>LOWER(Campanha_ou_InsertionOrder&amp;"_"&amp;LineItem_ou_Grupodeanúncio&amp;"_"&amp;Linha_criativa_2&amp;"_"&amp;Unique_ID)</f>
        <v>#N/A</v>
      </c>
      <c r="BM829" s="27"/>
      <c r="BN829" s="27"/>
    </row>
    <row r="830">
      <c r="A830" s="1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8" t="str">
        <f>LOWER(Campanha_ou_InsertionOrder&amp;"_"&amp;LineItem_ou_Grupodeanúncio&amp;"_"&amp;Linha_Criativa&amp;"_"&amp;Unique_ID)</f>
        <v>#N/A</v>
      </c>
      <c r="AN830" s="28" t="str">
        <f>LOWER(Campanha_ou_InsertionOrder&amp;"_"&amp;LineItem_ou_Grupodeanúncio&amp;"_"&amp;Linha_Criativa&amp;"_"&amp;Unique_ID)</f>
        <v>#N/A</v>
      </c>
      <c r="AO830" s="28" t="str">
        <f>LOWER("VW"&amp;"_"&amp;Model_Variant&amp;"_"&amp;Size&amp;"_"&amp;Linha_Criativa&amp;"_"&amp;IF(Servido_Por="portal",Veiculo,"adserver"))</f>
        <v>vw____adserver</v>
      </c>
      <c r="AP8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0" s="22" t="str">
        <f t="shared" si="1"/>
        <v/>
      </c>
      <c r="AS830" s="22" t="str">
        <f t="shared" si="2"/>
        <v/>
      </c>
      <c r="AT830" s="22" t="str">
        <f t="shared" si="3"/>
        <v>BR_IMC_DSY_LANCH_ND_NC_2020Q3AUG_NVS_Nivus-Launch-Consideracao</v>
      </c>
      <c r="AU830" s="22" t="str">
        <f t="shared" si="4"/>
        <v>#N/A</v>
      </c>
      <c r="AV830" s="22" t="s">
        <v>106</v>
      </c>
      <c r="AW8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0" s="22" t="str">
        <f t="shared" si="5"/>
        <v>BR_IMC_DSY_LANCH_ND_NC_2020Q3AUG_NVS_Nivus-Launch-Consideracao</v>
      </c>
      <c r="AY830" s="28" t="str">
        <f t="shared" si="6"/>
        <v>#N/A</v>
      </c>
      <c r="AZ830" s="22" t="s">
        <v>107</v>
      </c>
      <c r="BA830" s="22" t="s">
        <v>108</v>
      </c>
      <c r="BB830" s="31" t="s">
        <v>109</v>
      </c>
      <c r="BC830" s="31" t="s">
        <v>109</v>
      </c>
      <c r="BD830" s="32" t="str">
        <f t="shared" si="8"/>
        <v>nvl-nvs-imc-dsy-0820-10824</v>
      </c>
      <c r="BE830" s="33"/>
      <c r="BF830" s="33"/>
      <c r="BG830" s="39" t="str">
        <f>URL&amp;IF(ISNUMBER(FIND("?",URL)),"&amp;","?"&amp;("adlid="&amp;Unique_ID&amp;"&amp;adplt="&amp;Placement))</f>
        <v>#N/A</v>
      </c>
      <c r="BH830" s="1"/>
      <c r="BI830" s="1"/>
      <c r="BJ830" s="35" t="str">
        <f>LOWER("alp"&amp;"_"&amp;"vw"&amp;"_"&amp;Veiculo&amp;"_"&amp;C826&amp;"_"&amp;Objetivo)</f>
        <v>alp_vw___</v>
      </c>
      <c r="BK830" s="35" t="str">
        <f>LOWER(Buying_Metric&amp;"_"&amp;VLOOKUP(Buying_Type,Buy_type,2,FALSE)&amp;"_"&amp;Device&amp;"_"&amp;Size&amp;"_"&amp;Segmentação&amp;"_"&amp;Segmentação_Anúncio)</f>
        <v>#N/A</v>
      </c>
      <c r="BL830" s="35" t="str">
        <f>LOWER(Campanha_ou_InsertionOrder&amp;"_"&amp;LineItem_ou_Grupodeanúncio&amp;"_"&amp;Linha_criativa_2&amp;"_"&amp;Unique_ID)</f>
        <v>#N/A</v>
      </c>
      <c r="BM830" s="27"/>
      <c r="BN830" s="27"/>
    </row>
    <row r="831">
      <c r="A831" s="1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8" t="str">
        <f>LOWER(Campanha_ou_InsertionOrder&amp;"_"&amp;LineItem_ou_Grupodeanúncio&amp;"_"&amp;Linha_Criativa&amp;"_"&amp;Unique_ID)</f>
        <v>#N/A</v>
      </c>
      <c r="AN831" s="28" t="str">
        <f>LOWER(Campanha_ou_InsertionOrder&amp;"_"&amp;LineItem_ou_Grupodeanúncio&amp;"_"&amp;Linha_Criativa&amp;"_"&amp;Unique_ID)</f>
        <v>#N/A</v>
      </c>
      <c r="AO831" s="28" t="str">
        <f>LOWER("VW"&amp;"_"&amp;Model_Variant&amp;"_"&amp;Size&amp;"_"&amp;Linha_Criativa&amp;"_"&amp;IF(Servido_Por="portal",Veiculo,"adserver"))</f>
        <v>vw____adserver</v>
      </c>
      <c r="AP8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1" s="22" t="str">
        <f t="shared" si="1"/>
        <v/>
      </c>
      <c r="AS831" s="22" t="str">
        <f t="shared" si="2"/>
        <v/>
      </c>
      <c r="AT831" s="22" t="str">
        <f t="shared" si="3"/>
        <v>BR_IMC_DSY_LANCH_ND_NC_2020Q3AUG_NVS_Nivus-Launch-Consideracao</v>
      </c>
      <c r="AU831" s="22" t="str">
        <f t="shared" si="4"/>
        <v>#N/A</v>
      </c>
      <c r="AV831" s="22" t="s">
        <v>106</v>
      </c>
      <c r="AW8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1" s="22" t="str">
        <f t="shared" si="5"/>
        <v>BR_IMC_DSY_LANCH_ND_NC_2020Q3AUG_NVS_Nivus-Launch-Consideracao</v>
      </c>
      <c r="AY831" s="28" t="str">
        <f t="shared" si="6"/>
        <v>#N/A</v>
      </c>
      <c r="AZ831" s="22" t="s">
        <v>107</v>
      </c>
      <c r="BA831" s="22" t="s">
        <v>108</v>
      </c>
      <c r="BB831" s="31" t="s">
        <v>109</v>
      </c>
      <c r="BC831" s="31" t="s">
        <v>109</v>
      </c>
      <c r="BD831" s="32" t="str">
        <f t="shared" si="8"/>
        <v>nvl-nvs-imc-dsy-0820-10825</v>
      </c>
      <c r="BE831" s="33"/>
      <c r="BF831" s="33"/>
      <c r="BG831" s="39" t="str">
        <f>URL&amp;IF(ISNUMBER(FIND("?",URL)),"&amp;","?"&amp;("adlid="&amp;Unique_ID&amp;"&amp;adplt="&amp;Placement))</f>
        <v>#N/A</v>
      </c>
      <c r="BH831" s="1"/>
      <c r="BI831" s="1"/>
      <c r="BJ831" s="35" t="str">
        <f>LOWER("alp"&amp;"_"&amp;"vw"&amp;"_"&amp;Veiculo&amp;"_"&amp;C827&amp;"_"&amp;Objetivo)</f>
        <v>alp_vw___</v>
      </c>
      <c r="BK831" s="35" t="str">
        <f>LOWER(Buying_Metric&amp;"_"&amp;VLOOKUP(Buying_Type,Buy_type,2,FALSE)&amp;"_"&amp;Device&amp;"_"&amp;Size&amp;"_"&amp;Segmentação&amp;"_"&amp;Segmentação_Anúncio)</f>
        <v>#N/A</v>
      </c>
      <c r="BL831" s="35" t="str">
        <f>LOWER(Campanha_ou_InsertionOrder&amp;"_"&amp;LineItem_ou_Grupodeanúncio&amp;"_"&amp;Linha_criativa_2&amp;"_"&amp;Unique_ID)</f>
        <v>#N/A</v>
      </c>
      <c r="BM831" s="27"/>
      <c r="BN831" s="27"/>
    </row>
    <row r="832">
      <c r="A832" s="1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8" t="str">
        <f>LOWER(Campanha_ou_InsertionOrder&amp;"_"&amp;LineItem_ou_Grupodeanúncio&amp;"_"&amp;Linha_Criativa&amp;"_"&amp;Unique_ID)</f>
        <v>#N/A</v>
      </c>
      <c r="AN832" s="28" t="str">
        <f>LOWER(Campanha_ou_InsertionOrder&amp;"_"&amp;LineItem_ou_Grupodeanúncio&amp;"_"&amp;Linha_Criativa&amp;"_"&amp;Unique_ID)</f>
        <v>#N/A</v>
      </c>
      <c r="AO832" s="28" t="str">
        <f>LOWER("VW"&amp;"_"&amp;Model_Variant&amp;"_"&amp;Size&amp;"_"&amp;Linha_Criativa&amp;"_"&amp;IF(Servido_Por="portal",Veiculo,"adserver"))</f>
        <v>vw____adserver</v>
      </c>
      <c r="AP8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2" s="22" t="str">
        <f t="shared" si="1"/>
        <v/>
      </c>
      <c r="AS832" s="22" t="str">
        <f t="shared" si="2"/>
        <v/>
      </c>
      <c r="AT832" s="22" t="str">
        <f t="shared" si="3"/>
        <v>BR_IMC_DSY_LANCH_ND_NC_2020Q3AUG_NVS_Nivus-Launch-Consideracao</v>
      </c>
      <c r="AU832" s="22" t="str">
        <f t="shared" si="4"/>
        <v>#N/A</v>
      </c>
      <c r="AV832" s="22" t="s">
        <v>106</v>
      </c>
      <c r="AW8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2" s="22" t="str">
        <f t="shared" si="5"/>
        <v>BR_IMC_DSY_LANCH_ND_NC_2020Q3AUG_NVS_Nivus-Launch-Consideracao</v>
      </c>
      <c r="AY832" s="28" t="str">
        <f t="shared" si="6"/>
        <v>#N/A</v>
      </c>
      <c r="AZ832" s="22" t="s">
        <v>107</v>
      </c>
      <c r="BA832" s="22" t="s">
        <v>108</v>
      </c>
      <c r="BB832" s="31" t="s">
        <v>109</v>
      </c>
      <c r="BC832" s="31" t="s">
        <v>109</v>
      </c>
      <c r="BD832" s="32" t="str">
        <f t="shared" si="8"/>
        <v>nvl-nvs-imc-dsy-0820-10826</v>
      </c>
      <c r="BE832" s="33"/>
      <c r="BF832" s="33"/>
      <c r="BG832" s="39" t="str">
        <f>URL&amp;IF(ISNUMBER(FIND("?",URL)),"&amp;","?"&amp;("adlid="&amp;Unique_ID&amp;"&amp;adplt="&amp;Placement))</f>
        <v>#N/A</v>
      </c>
      <c r="BH832" s="1"/>
      <c r="BI832" s="1"/>
      <c r="BJ832" s="35" t="str">
        <f>LOWER("alp"&amp;"_"&amp;"vw"&amp;"_"&amp;Veiculo&amp;"_"&amp;C828&amp;"_"&amp;Objetivo)</f>
        <v>alp_vw___</v>
      </c>
      <c r="BK832" s="35" t="str">
        <f>LOWER(Buying_Metric&amp;"_"&amp;VLOOKUP(Buying_Type,Buy_type,2,FALSE)&amp;"_"&amp;Device&amp;"_"&amp;Size&amp;"_"&amp;Segmentação&amp;"_"&amp;Segmentação_Anúncio)</f>
        <v>#N/A</v>
      </c>
      <c r="BL832" s="35" t="str">
        <f>LOWER(Campanha_ou_InsertionOrder&amp;"_"&amp;LineItem_ou_Grupodeanúncio&amp;"_"&amp;Linha_criativa_2&amp;"_"&amp;Unique_ID)</f>
        <v>#N/A</v>
      </c>
      <c r="BM832" s="27"/>
      <c r="BN832" s="27"/>
    </row>
    <row r="833">
      <c r="A833" s="1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8" t="str">
        <f>LOWER(Campanha_ou_InsertionOrder&amp;"_"&amp;LineItem_ou_Grupodeanúncio&amp;"_"&amp;Linha_Criativa&amp;"_"&amp;Unique_ID)</f>
        <v>#N/A</v>
      </c>
      <c r="AN833" s="28" t="str">
        <f>LOWER(Campanha_ou_InsertionOrder&amp;"_"&amp;LineItem_ou_Grupodeanúncio&amp;"_"&amp;Linha_Criativa&amp;"_"&amp;Unique_ID)</f>
        <v>#N/A</v>
      </c>
      <c r="AO833" s="28" t="str">
        <f>LOWER("VW"&amp;"_"&amp;Model_Variant&amp;"_"&amp;Size&amp;"_"&amp;Linha_Criativa&amp;"_"&amp;IF(Servido_Por="portal",Veiculo,"adserver"))</f>
        <v>vw____adserver</v>
      </c>
      <c r="AP8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3" s="22" t="str">
        <f t="shared" si="1"/>
        <v/>
      </c>
      <c r="AS833" s="22" t="str">
        <f t="shared" si="2"/>
        <v/>
      </c>
      <c r="AT833" s="22" t="str">
        <f t="shared" si="3"/>
        <v>BR_IMC_DSY_LANCH_ND_NC_2020Q3AUG_NVS_Nivus-Launch-Consideracao</v>
      </c>
      <c r="AU833" s="22" t="str">
        <f t="shared" si="4"/>
        <v>#N/A</v>
      </c>
      <c r="AV833" s="22" t="s">
        <v>106</v>
      </c>
      <c r="AW8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3" s="22" t="str">
        <f t="shared" si="5"/>
        <v>BR_IMC_DSY_LANCH_ND_NC_2020Q3AUG_NVS_Nivus-Launch-Consideracao</v>
      </c>
      <c r="AY833" s="28" t="str">
        <f t="shared" si="6"/>
        <v>#N/A</v>
      </c>
      <c r="AZ833" s="22" t="s">
        <v>107</v>
      </c>
      <c r="BA833" s="22" t="s">
        <v>108</v>
      </c>
      <c r="BB833" s="31" t="s">
        <v>109</v>
      </c>
      <c r="BC833" s="31" t="s">
        <v>109</v>
      </c>
      <c r="BD833" s="32" t="str">
        <f t="shared" si="8"/>
        <v>nvl-nvs-imc-dsy-0820-10827</v>
      </c>
      <c r="BE833" s="33"/>
      <c r="BF833" s="33"/>
      <c r="BG833" s="39" t="str">
        <f>URL&amp;IF(ISNUMBER(FIND("?",URL)),"&amp;","?"&amp;("adlid="&amp;Unique_ID&amp;"&amp;adplt="&amp;Placement))</f>
        <v>#N/A</v>
      </c>
      <c r="BH833" s="1"/>
      <c r="BI833" s="1"/>
      <c r="BJ833" s="35" t="str">
        <f>LOWER("alp"&amp;"_"&amp;"vw"&amp;"_"&amp;Veiculo&amp;"_"&amp;C829&amp;"_"&amp;Objetivo)</f>
        <v>alp_vw___</v>
      </c>
      <c r="BK833" s="35" t="str">
        <f>LOWER(Buying_Metric&amp;"_"&amp;VLOOKUP(Buying_Type,Buy_type,2,FALSE)&amp;"_"&amp;Device&amp;"_"&amp;Size&amp;"_"&amp;Segmentação&amp;"_"&amp;Segmentação_Anúncio)</f>
        <v>#N/A</v>
      </c>
      <c r="BL833" s="35" t="str">
        <f>LOWER(Campanha_ou_InsertionOrder&amp;"_"&amp;LineItem_ou_Grupodeanúncio&amp;"_"&amp;Linha_criativa_2&amp;"_"&amp;Unique_ID)</f>
        <v>#N/A</v>
      </c>
      <c r="BM833" s="27"/>
      <c r="BN833" s="27"/>
    </row>
    <row r="834">
      <c r="A834" s="1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8" t="str">
        <f>LOWER(Campanha_ou_InsertionOrder&amp;"_"&amp;LineItem_ou_Grupodeanúncio&amp;"_"&amp;Linha_Criativa&amp;"_"&amp;Unique_ID)</f>
        <v>#N/A</v>
      </c>
      <c r="AN834" s="28" t="str">
        <f>LOWER(Campanha_ou_InsertionOrder&amp;"_"&amp;LineItem_ou_Grupodeanúncio&amp;"_"&amp;Linha_Criativa&amp;"_"&amp;Unique_ID)</f>
        <v>#N/A</v>
      </c>
      <c r="AO834" s="28" t="str">
        <f>LOWER("VW"&amp;"_"&amp;Model_Variant&amp;"_"&amp;Size&amp;"_"&amp;Linha_Criativa&amp;"_"&amp;IF(Servido_Por="portal",Veiculo,"adserver"))</f>
        <v>vw____adserver</v>
      </c>
      <c r="AP8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4" s="22" t="str">
        <f t="shared" si="1"/>
        <v/>
      </c>
      <c r="AS834" s="22" t="str">
        <f t="shared" si="2"/>
        <v/>
      </c>
      <c r="AT834" s="22" t="str">
        <f t="shared" si="3"/>
        <v>BR_IMC_DSY_LANCH_ND_NC_2020Q3AUG_NVS_Nivus-Launch-Consideracao</v>
      </c>
      <c r="AU834" s="22" t="str">
        <f t="shared" si="4"/>
        <v>#N/A</v>
      </c>
      <c r="AV834" s="22" t="s">
        <v>106</v>
      </c>
      <c r="AW8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4" s="22" t="str">
        <f t="shared" si="5"/>
        <v>BR_IMC_DSY_LANCH_ND_NC_2020Q3AUG_NVS_Nivus-Launch-Consideracao</v>
      </c>
      <c r="AY834" s="28" t="str">
        <f t="shared" si="6"/>
        <v>#N/A</v>
      </c>
      <c r="AZ834" s="22" t="s">
        <v>107</v>
      </c>
      <c r="BA834" s="22" t="s">
        <v>108</v>
      </c>
      <c r="BB834" s="31" t="s">
        <v>109</v>
      </c>
      <c r="BC834" s="31" t="s">
        <v>109</v>
      </c>
      <c r="BD834" s="32" t="str">
        <f t="shared" si="8"/>
        <v>nvl-nvs-imc-dsy-0820-10828</v>
      </c>
      <c r="BE834" s="33"/>
      <c r="BF834" s="33"/>
      <c r="BG834" s="39" t="str">
        <f>URL&amp;IF(ISNUMBER(FIND("?",URL)),"&amp;","?"&amp;("adlid="&amp;Unique_ID&amp;"&amp;adplt="&amp;Placement))</f>
        <v>#N/A</v>
      </c>
      <c r="BH834" s="1"/>
      <c r="BI834" s="1"/>
      <c r="BJ834" s="35" t="str">
        <f>LOWER("alp"&amp;"_"&amp;"vw"&amp;"_"&amp;Veiculo&amp;"_"&amp;C830&amp;"_"&amp;Objetivo)</f>
        <v>alp_vw___</v>
      </c>
      <c r="BK834" s="35" t="str">
        <f>LOWER(Buying_Metric&amp;"_"&amp;VLOOKUP(Buying_Type,Buy_type,2,FALSE)&amp;"_"&amp;Device&amp;"_"&amp;Size&amp;"_"&amp;Segmentação&amp;"_"&amp;Segmentação_Anúncio)</f>
        <v>#N/A</v>
      </c>
      <c r="BL834" s="35" t="str">
        <f>LOWER(Campanha_ou_InsertionOrder&amp;"_"&amp;LineItem_ou_Grupodeanúncio&amp;"_"&amp;Linha_criativa_2&amp;"_"&amp;Unique_ID)</f>
        <v>#N/A</v>
      </c>
      <c r="BM834" s="27"/>
      <c r="BN834" s="27"/>
    </row>
    <row r="835">
      <c r="A835" s="1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8" t="str">
        <f>LOWER(Campanha_ou_InsertionOrder&amp;"_"&amp;LineItem_ou_Grupodeanúncio&amp;"_"&amp;Linha_Criativa&amp;"_"&amp;Unique_ID)</f>
        <v>#N/A</v>
      </c>
      <c r="AN835" s="28" t="str">
        <f>LOWER(Campanha_ou_InsertionOrder&amp;"_"&amp;LineItem_ou_Grupodeanúncio&amp;"_"&amp;Linha_Criativa&amp;"_"&amp;Unique_ID)</f>
        <v>#N/A</v>
      </c>
      <c r="AO835" s="28" t="str">
        <f>LOWER("VW"&amp;"_"&amp;Model_Variant&amp;"_"&amp;Size&amp;"_"&amp;Linha_Criativa&amp;"_"&amp;IF(Servido_Por="portal",Veiculo,"adserver"))</f>
        <v>vw____adserver</v>
      </c>
      <c r="AP8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5" s="22" t="str">
        <f t="shared" si="1"/>
        <v/>
      </c>
      <c r="AS835" s="22" t="str">
        <f t="shared" si="2"/>
        <v/>
      </c>
      <c r="AT835" s="22" t="str">
        <f t="shared" si="3"/>
        <v>BR_IMC_DSY_LANCH_ND_NC_2020Q3AUG_NVS_Nivus-Launch-Consideracao</v>
      </c>
      <c r="AU835" s="22" t="str">
        <f t="shared" si="4"/>
        <v>#N/A</v>
      </c>
      <c r="AV835" s="22" t="s">
        <v>106</v>
      </c>
      <c r="AW8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5" s="22" t="str">
        <f t="shared" si="5"/>
        <v>BR_IMC_DSY_LANCH_ND_NC_2020Q3AUG_NVS_Nivus-Launch-Consideracao</v>
      </c>
      <c r="AY835" s="28" t="str">
        <f t="shared" si="6"/>
        <v>#N/A</v>
      </c>
      <c r="AZ835" s="22" t="s">
        <v>107</v>
      </c>
      <c r="BA835" s="22" t="s">
        <v>108</v>
      </c>
      <c r="BB835" s="31" t="s">
        <v>109</v>
      </c>
      <c r="BC835" s="31" t="s">
        <v>109</v>
      </c>
      <c r="BD835" s="32" t="str">
        <f t="shared" si="8"/>
        <v>nvl-nvs-imc-dsy-0820-10829</v>
      </c>
      <c r="BE835" s="33"/>
      <c r="BF835" s="33"/>
      <c r="BG835" s="39" t="str">
        <f>URL&amp;IF(ISNUMBER(FIND("?",URL)),"&amp;","?"&amp;("adlid="&amp;Unique_ID&amp;"&amp;adplt="&amp;Placement))</f>
        <v>#N/A</v>
      </c>
      <c r="BH835" s="1"/>
      <c r="BI835" s="1"/>
      <c r="BJ835" s="35" t="str">
        <f>LOWER("alp"&amp;"_"&amp;"vw"&amp;"_"&amp;Veiculo&amp;"_"&amp;C831&amp;"_"&amp;Objetivo)</f>
        <v>alp_vw___</v>
      </c>
      <c r="BK835" s="35" t="str">
        <f>LOWER(Buying_Metric&amp;"_"&amp;VLOOKUP(Buying_Type,Buy_type,2,FALSE)&amp;"_"&amp;Device&amp;"_"&amp;Size&amp;"_"&amp;Segmentação&amp;"_"&amp;Segmentação_Anúncio)</f>
        <v>#N/A</v>
      </c>
      <c r="BL835" s="35" t="str">
        <f>LOWER(Campanha_ou_InsertionOrder&amp;"_"&amp;LineItem_ou_Grupodeanúncio&amp;"_"&amp;Linha_criativa_2&amp;"_"&amp;Unique_ID)</f>
        <v>#N/A</v>
      </c>
      <c r="BM835" s="27"/>
      <c r="BN835" s="27"/>
    </row>
    <row r="836">
      <c r="A836" s="1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8" t="str">
        <f>LOWER(Campanha_ou_InsertionOrder&amp;"_"&amp;LineItem_ou_Grupodeanúncio&amp;"_"&amp;Linha_Criativa&amp;"_"&amp;Unique_ID)</f>
        <v>#N/A</v>
      </c>
      <c r="AN836" s="28" t="str">
        <f>LOWER(Campanha_ou_InsertionOrder&amp;"_"&amp;LineItem_ou_Grupodeanúncio&amp;"_"&amp;Linha_Criativa&amp;"_"&amp;Unique_ID)</f>
        <v>#N/A</v>
      </c>
      <c r="AO836" s="28" t="str">
        <f>LOWER("VW"&amp;"_"&amp;Model_Variant&amp;"_"&amp;Size&amp;"_"&amp;Linha_Criativa&amp;"_"&amp;IF(Servido_Por="portal",Veiculo,"adserver"))</f>
        <v>vw____adserver</v>
      </c>
      <c r="AP8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6" s="22" t="str">
        <f t="shared" si="1"/>
        <v/>
      </c>
      <c r="AS836" s="22" t="str">
        <f t="shared" si="2"/>
        <v/>
      </c>
      <c r="AT836" s="22" t="str">
        <f t="shared" si="3"/>
        <v>BR_IMC_DSY_LANCH_ND_NC_2020Q3AUG_NVS_Nivus-Launch-Consideracao</v>
      </c>
      <c r="AU836" s="22" t="str">
        <f t="shared" si="4"/>
        <v>#N/A</v>
      </c>
      <c r="AV836" s="22" t="s">
        <v>106</v>
      </c>
      <c r="AW8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6" s="22" t="str">
        <f t="shared" si="5"/>
        <v>BR_IMC_DSY_LANCH_ND_NC_2020Q3AUG_NVS_Nivus-Launch-Consideracao</v>
      </c>
      <c r="AY836" s="28" t="str">
        <f t="shared" si="6"/>
        <v>#N/A</v>
      </c>
      <c r="AZ836" s="22" t="s">
        <v>107</v>
      </c>
      <c r="BA836" s="22" t="s">
        <v>108</v>
      </c>
      <c r="BB836" s="31" t="s">
        <v>109</v>
      </c>
      <c r="BC836" s="31" t="s">
        <v>109</v>
      </c>
      <c r="BD836" s="32" t="str">
        <f t="shared" si="8"/>
        <v>nvl-nvs-imc-dsy-0820-10830</v>
      </c>
      <c r="BE836" s="33"/>
      <c r="BF836" s="33"/>
      <c r="BG836" s="39" t="str">
        <f>URL&amp;IF(ISNUMBER(FIND("?",URL)),"&amp;","?"&amp;("adlid="&amp;Unique_ID&amp;"&amp;adplt="&amp;Placement))</f>
        <v>#N/A</v>
      </c>
      <c r="BH836" s="1"/>
      <c r="BI836" s="1"/>
      <c r="BJ836" s="35" t="str">
        <f>LOWER("alp"&amp;"_"&amp;"vw"&amp;"_"&amp;Veiculo&amp;"_"&amp;C832&amp;"_"&amp;Objetivo)</f>
        <v>alp_vw___</v>
      </c>
      <c r="BK836" s="35" t="str">
        <f>LOWER(Buying_Metric&amp;"_"&amp;VLOOKUP(Buying_Type,Buy_type,2,FALSE)&amp;"_"&amp;Device&amp;"_"&amp;Size&amp;"_"&amp;Segmentação&amp;"_"&amp;Segmentação_Anúncio)</f>
        <v>#N/A</v>
      </c>
      <c r="BL836" s="35" t="str">
        <f>LOWER(Campanha_ou_InsertionOrder&amp;"_"&amp;LineItem_ou_Grupodeanúncio&amp;"_"&amp;Linha_criativa_2&amp;"_"&amp;Unique_ID)</f>
        <v>#N/A</v>
      </c>
      <c r="BM836" s="27"/>
      <c r="BN836" s="27"/>
    </row>
    <row r="837">
      <c r="A837" s="1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8" t="str">
        <f>LOWER(Campanha_ou_InsertionOrder&amp;"_"&amp;LineItem_ou_Grupodeanúncio&amp;"_"&amp;Linha_Criativa&amp;"_"&amp;Unique_ID)</f>
        <v>#N/A</v>
      </c>
      <c r="AN837" s="28" t="str">
        <f>LOWER(Campanha_ou_InsertionOrder&amp;"_"&amp;LineItem_ou_Grupodeanúncio&amp;"_"&amp;Linha_Criativa&amp;"_"&amp;Unique_ID)</f>
        <v>#N/A</v>
      </c>
      <c r="AO837" s="28" t="str">
        <f>LOWER("VW"&amp;"_"&amp;Model_Variant&amp;"_"&amp;Size&amp;"_"&amp;Linha_Criativa&amp;"_"&amp;IF(Servido_Por="portal",Veiculo,"adserver"))</f>
        <v>vw____adserver</v>
      </c>
      <c r="AP8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7" s="22" t="str">
        <f t="shared" si="1"/>
        <v/>
      </c>
      <c r="AS837" s="22" t="str">
        <f t="shared" si="2"/>
        <v/>
      </c>
      <c r="AT837" s="22" t="str">
        <f t="shared" si="3"/>
        <v>BR_IMC_DSY_LANCH_ND_NC_2020Q3AUG_NVS_Nivus-Launch-Consideracao</v>
      </c>
      <c r="AU837" s="22" t="str">
        <f t="shared" si="4"/>
        <v>#N/A</v>
      </c>
      <c r="AV837" s="22" t="s">
        <v>106</v>
      </c>
      <c r="AW8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7" s="22" t="str">
        <f t="shared" si="5"/>
        <v>BR_IMC_DSY_LANCH_ND_NC_2020Q3AUG_NVS_Nivus-Launch-Consideracao</v>
      </c>
      <c r="AY837" s="28" t="str">
        <f t="shared" si="6"/>
        <v>#N/A</v>
      </c>
      <c r="AZ837" s="22" t="s">
        <v>107</v>
      </c>
      <c r="BA837" s="22" t="s">
        <v>108</v>
      </c>
      <c r="BB837" s="31" t="s">
        <v>109</v>
      </c>
      <c r="BC837" s="31" t="s">
        <v>109</v>
      </c>
      <c r="BD837" s="32" t="str">
        <f t="shared" si="8"/>
        <v>nvl-nvs-imc-dsy-0820-10831</v>
      </c>
      <c r="BE837" s="33"/>
      <c r="BF837" s="33"/>
      <c r="BG837" s="39" t="str">
        <f>URL&amp;IF(ISNUMBER(FIND("?",URL)),"&amp;","?"&amp;("adlid="&amp;Unique_ID&amp;"&amp;adplt="&amp;Placement))</f>
        <v>#N/A</v>
      </c>
      <c r="BH837" s="1"/>
      <c r="BI837" s="1"/>
      <c r="BJ837" s="35" t="str">
        <f>LOWER("alp"&amp;"_"&amp;"vw"&amp;"_"&amp;Veiculo&amp;"_"&amp;C833&amp;"_"&amp;Objetivo)</f>
        <v>alp_vw___</v>
      </c>
      <c r="BK837" s="35" t="str">
        <f>LOWER(Buying_Metric&amp;"_"&amp;VLOOKUP(Buying_Type,Buy_type,2,FALSE)&amp;"_"&amp;Device&amp;"_"&amp;Size&amp;"_"&amp;Segmentação&amp;"_"&amp;Segmentação_Anúncio)</f>
        <v>#N/A</v>
      </c>
      <c r="BL837" s="35" t="str">
        <f>LOWER(Campanha_ou_InsertionOrder&amp;"_"&amp;LineItem_ou_Grupodeanúncio&amp;"_"&amp;Linha_criativa_2&amp;"_"&amp;Unique_ID)</f>
        <v>#N/A</v>
      </c>
      <c r="BM837" s="27"/>
      <c r="BN837" s="27"/>
    </row>
    <row r="838">
      <c r="A838" s="1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8" t="str">
        <f>LOWER(Campanha_ou_InsertionOrder&amp;"_"&amp;LineItem_ou_Grupodeanúncio&amp;"_"&amp;Linha_Criativa&amp;"_"&amp;Unique_ID)</f>
        <v>#N/A</v>
      </c>
      <c r="AN838" s="28" t="str">
        <f>LOWER(Campanha_ou_InsertionOrder&amp;"_"&amp;LineItem_ou_Grupodeanúncio&amp;"_"&amp;Linha_Criativa&amp;"_"&amp;Unique_ID)</f>
        <v>#N/A</v>
      </c>
      <c r="AO838" s="28" t="str">
        <f>LOWER("VW"&amp;"_"&amp;Model_Variant&amp;"_"&amp;Size&amp;"_"&amp;Linha_Criativa&amp;"_"&amp;IF(Servido_Por="portal",Veiculo,"adserver"))</f>
        <v>vw____adserver</v>
      </c>
      <c r="AP8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8" s="22" t="str">
        <f t="shared" si="1"/>
        <v/>
      </c>
      <c r="AS838" s="22" t="str">
        <f t="shared" si="2"/>
        <v/>
      </c>
      <c r="AT838" s="22" t="str">
        <f t="shared" si="3"/>
        <v>BR_IMC_DSY_LANCH_ND_NC_2020Q3AUG_NVS_Nivus-Launch-Consideracao</v>
      </c>
      <c r="AU838" s="22" t="str">
        <f t="shared" si="4"/>
        <v>#N/A</v>
      </c>
      <c r="AV838" s="22" t="s">
        <v>106</v>
      </c>
      <c r="AW8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8" s="22" t="str">
        <f t="shared" si="5"/>
        <v>BR_IMC_DSY_LANCH_ND_NC_2020Q3AUG_NVS_Nivus-Launch-Consideracao</v>
      </c>
      <c r="AY838" s="28" t="str">
        <f t="shared" si="6"/>
        <v>#N/A</v>
      </c>
      <c r="AZ838" s="22" t="s">
        <v>107</v>
      </c>
      <c r="BA838" s="22" t="s">
        <v>108</v>
      </c>
      <c r="BB838" s="31" t="s">
        <v>109</v>
      </c>
      <c r="BC838" s="31" t="s">
        <v>109</v>
      </c>
      <c r="BD838" s="32" t="str">
        <f t="shared" si="8"/>
        <v>nvl-nvs-imc-dsy-0820-10832</v>
      </c>
      <c r="BE838" s="33"/>
      <c r="BF838" s="33"/>
      <c r="BG838" s="39" t="str">
        <f>URL&amp;IF(ISNUMBER(FIND("?",URL)),"&amp;","?"&amp;("adlid="&amp;Unique_ID&amp;"&amp;adplt="&amp;Placement))</f>
        <v>#N/A</v>
      </c>
      <c r="BH838" s="1"/>
      <c r="BI838" s="1"/>
      <c r="BJ838" s="35" t="str">
        <f>LOWER("alp"&amp;"_"&amp;"vw"&amp;"_"&amp;Veiculo&amp;"_"&amp;C834&amp;"_"&amp;Objetivo)</f>
        <v>alp_vw___</v>
      </c>
      <c r="BK838" s="35" t="str">
        <f>LOWER(Buying_Metric&amp;"_"&amp;VLOOKUP(Buying_Type,Buy_type,2,FALSE)&amp;"_"&amp;Device&amp;"_"&amp;Size&amp;"_"&amp;Segmentação&amp;"_"&amp;Segmentação_Anúncio)</f>
        <v>#N/A</v>
      </c>
      <c r="BL838" s="35" t="str">
        <f>LOWER(Campanha_ou_InsertionOrder&amp;"_"&amp;LineItem_ou_Grupodeanúncio&amp;"_"&amp;Linha_criativa_2&amp;"_"&amp;Unique_ID)</f>
        <v>#N/A</v>
      </c>
      <c r="BM838" s="27"/>
      <c r="BN838" s="27"/>
    </row>
    <row r="839">
      <c r="A839" s="1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8" t="str">
        <f>LOWER(Campanha_ou_InsertionOrder&amp;"_"&amp;LineItem_ou_Grupodeanúncio&amp;"_"&amp;Linha_Criativa&amp;"_"&amp;Unique_ID)</f>
        <v>#N/A</v>
      </c>
      <c r="AN839" s="28" t="str">
        <f>LOWER(Campanha_ou_InsertionOrder&amp;"_"&amp;LineItem_ou_Grupodeanúncio&amp;"_"&amp;Linha_Criativa&amp;"_"&amp;Unique_ID)</f>
        <v>#N/A</v>
      </c>
      <c r="AO839" s="28" t="str">
        <f>LOWER("VW"&amp;"_"&amp;Model_Variant&amp;"_"&amp;Size&amp;"_"&amp;Linha_Criativa&amp;"_"&amp;IF(Servido_Por="portal",Veiculo,"adserver"))</f>
        <v>vw____adserver</v>
      </c>
      <c r="AP8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39" s="22" t="str">
        <f t="shared" si="1"/>
        <v/>
      </c>
      <c r="AS839" s="22" t="str">
        <f t="shared" si="2"/>
        <v/>
      </c>
      <c r="AT839" s="22" t="str">
        <f t="shared" si="3"/>
        <v>BR_IMC_DSY_LANCH_ND_NC_2020Q3AUG_NVS_Nivus-Launch-Consideracao</v>
      </c>
      <c r="AU839" s="22" t="str">
        <f t="shared" si="4"/>
        <v>#N/A</v>
      </c>
      <c r="AV839" s="22" t="s">
        <v>106</v>
      </c>
      <c r="AW8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39" s="22" t="str">
        <f t="shared" si="5"/>
        <v>BR_IMC_DSY_LANCH_ND_NC_2020Q3AUG_NVS_Nivus-Launch-Consideracao</v>
      </c>
      <c r="AY839" s="28" t="str">
        <f t="shared" si="6"/>
        <v>#N/A</v>
      </c>
      <c r="AZ839" s="22" t="s">
        <v>107</v>
      </c>
      <c r="BA839" s="22" t="s">
        <v>108</v>
      </c>
      <c r="BB839" s="31" t="s">
        <v>109</v>
      </c>
      <c r="BC839" s="31" t="s">
        <v>109</v>
      </c>
      <c r="BD839" s="32" t="str">
        <f t="shared" si="8"/>
        <v>nvl-nvs-imc-dsy-0820-10833</v>
      </c>
      <c r="BE839" s="33"/>
      <c r="BF839" s="33"/>
      <c r="BG839" s="39" t="str">
        <f>URL&amp;IF(ISNUMBER(FIND("?",URL)),"&amp;","?"&amp;("adlid="&amp;Unique_ID&amp;"&amp;adplt="&amp;Placement))</f>
        <v>#N/A</v>
      </c>
      <c r="BH839" s="1"/>
      <c r="BI839" s="1"/>
      <c r="BJ839" s="35" t="str">
        <f>LOWER("alp"&amp;"_"&amp;"vw"&amp;"_"&amp;Veiculo&amp;"_"&amp;C835&amp;"_"&amp;Objetivo)</f>
        <v>alp_vw___</v>
      </c>
      <c r="BK839" s="35" t="str">
        <f>LOWER(Buying_Metric&amp;"_"&amp;VLOOKUP(Buying_Type,Buy_type,2,FALSE)&amp;"_"&amp;Device&amp;"_"&amp;Size&amp;"_"&amp;Segmentação&amp;"_"&amp;Segmentação_Anúncio)</f>
        <v>#N/A</v>
      </c>
      <c r="BL839" s="35" t="str">
        <f>LOWER(Campanha_ou_InsertionOrder&amp;"_"&amp;LineItem_ou_Grupodeanúncio&amp;"_"&amp;Linha_criativa_2&amp;"_"&amp;Unique_ID)</f>
        <v>#N/A</v>
      </c>
      <c r="BM839" s="27"/>
      <c r="BN839" s="27"/>
    </row>
    <row r="840">
      <c r="A840" s="1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8" t="str">
        <f>LOWER(Campanha_ou_InsertionOrder&amp;"_"&amp;LineItem_ou_Grupodeanúncio&amp;"_"&amp;Linha_Criativa&amp;"_"&amp;Unique_ID)</f>
        <v>#N/A</v>
      </c>
      <c r="AN840" s="28" t="str">
        <f>LOWER(Campanha_ou_InsertionOrder&amp;"_"&amp;LineItem_ou_Grupodeanúncio&amp;"_"&amp;Linha_Criativa&amp;"_"&amp;Unique_ID)</f>
        <v>#N/A</v>
      </c>
      <c r="AO840" s="28" t="str">
        <f>LOWER("VW"&amp;"_"&amp;Model_Variant&amp;"_"&amp;Size&amp;"_"&amp;Linha_Criativa&amp;"_"&amp;IF(Servido_Por="portal",Veiculo,"adserver"))</f>
        <v>vw____adserver</v>
      </c>
      <c r="AP8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0" s="22" t="str">
        <f t="shared" si="1"/>
        <v/>
      </c>
      <c r="AS840" s="22" t="str">
        <f t="shared" si="2"/>
        <v/>
      </c>
      <c r="AT840" s="22" t="str">
        <f t="shared" si="3"/>
        <v>BR_IMC_DSY_LANCH_ND_NC_2020Q3AUG_NVS_Nivus-Launch-Consideracao</v>
      </c>
      <c r="AU840" s="22" t="str">
        <f t="shared" si="4"/>
        <v>#N/A</v>
      </c>
      <c r="AV840" s="22" t="s">
        <v>106</v>
      </c>
      <c r="AW8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0" s="22" t="str">
        <f t="shared" si="5"/>
        <v>BR_IMC_DSY_LANCH_ND_NC_2020Q3AUG_NVS_Nivus-Launch-Consideracao</v>
      </c>
      <c r="AY840" s="28" t="str">
        <f t="shared" si="6"/>
        <v>#N/A</v>
      </c>
      <c r="AZ840" s="22" t="s">
        <v>107</v>
      </c>
      <c r="BA840" s="22" t="s">
        <v>108</v>
      </c>
      <c r="BB840" s="31" t="s">
        <v>109</v>
      </c>
      <c r="BC840" s="31" t="s">
        <v>109</v>
      </c>
      <c r="BD840" s="32" t="str">
        <f t="shared" si="8"/>
        <v>nvl-nvs-imc-dsy-0820-10834</v>
      </c>
      <c r="BE840" s="33"/>
      <c r="BF840" s="33"/>
      <c r="BG840" s="39" t="str">
        <f>URL&amp;IF(ISNUMBER(FIND("?",URL)),"&amp;","?"&amp;("adlid="&amp;Unique_ID&amp;"&amp;adplt="&amp;Placement))</f>
        <v>#N/A</v>
      </c>
      <c r="BH840" s="1"/>
      <c r="BI840" s="1"/>
      <c r="BJ840" s="35" t="str">
        <f>LOWER("alp"&amp;"_"&amp;"vw"&amp;"_"&amp;Veiculo&amp;"_"&amp;C836&amp;"_"&amp;Objetivo)</f>
        <v>alp_vw___</v>
      </c>
      <c r="BK840" s="35" t="str">
        <f>LOWER(Buying_Metric&amp;"_"&amp;VLOOKUP(Buying_Type,Buy_type,2,FALSE)&amp;"_"&amp;Device&amp;"_"&amp;Size&amp;"_"&amp;Segmentação&amp;"_"&amp;Segmentação_Anúncio)</f>
        <v>#N/A</v>
      </c>
      <c r="BL840" s="35" t="str">
        <f>LOWER(Campanha_ou_InsertionOrder&amp;"_"&amp;LineItem_ou_Grupodeanúncio&amp;"_"&amp;Linha_criativa_2&amp;"_"&amp;Unique_ID)</f>
        <v>#N/A</v>
      </c>
      <c r="BM840" s="27"/>
      <c r="BN840" s="27"/>
    </row>
    <row r="841">
      <c r="A841" s="1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8" t="str">
        <f>LOWER(Campanha_ou_InsertionOrder&amp;"_"&amp;LineItem_ou_Grupodeanúncio&amp;"_"&amp;Linha_Criativa&amp;"_"&amp;Unique_ID)</f>
        <v>#N/A</v>
      </c>
      <c r="AN841" s="28" t="str">
        <f>LOWER(Campanha_ou_InsertionOrder&amp;"_"&amp;LineItem_ou_Grupodeanúncio&amp;"_"&amp;Linha_Criativa&amp;"_"&amp;Unique_ID)</f>
        <v>#N/A</v>
      </c>
      <c r="AO841" s="28" t="str">
        <f>LOWER("VW"&amp;"_"&amp;Model_Variant&amp;"_"&amp;Size&amp;"_"&amp;Linha_Criativa&amp;"_"&amp;IF(Servido_Por="portal",Veiculo,"adserver"))</f>
        <v>vw____adserver</v>
      </c>
      <c r="AP8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1" s="22" t="str">
        <f t="shared" si="1"/>
        <v/>
      </c>
      <c r="AS841" s="22" t="str">
        <f t="shared" si="2"/>
        <v/>
      </c>
      <c r="AT841" s="22" t="str">
        <f t="shared" si="3"/>
        <v>BR_IMC_DSY_LANCH_ND_NC_2020Q3AUG_NVS_Nivus-Launch-Consideracao</v>
      </c>
      <c r="AU841" s="22" t="str">
        <f t="shared" si="4"/>
        <v>#N/A</v>
      </c>
      <c r="AV841" s="22" t="s">
        <v>106</v>
      </c>
      <c r="AW8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1" s="22" t="str">
        <f t="shared" si="5"/>
        <v>BR_IMC_DSY_LANCH_ND_NC_2020Q3AUG_NVS_Nivus-Launch-Consideracao</v>
      </c>
      <c r="AY841" s="28" t="str">
        <f t="shared" si="6"/>
        <v>#N/A</v>
      </c>
      <c r="AZ841" s="22" t="s">
        <v>107</v>
      </c>
      <c r="BA841" s="22" t="s">
        <v>108</v>
      </c>
      <c r="BB841" s="31" t="s">
        <v>109</v>
      </c>
      <c r="BC841" s="31" t="s">
        <v>109</v>
      </c>
      <c r="BD841" s="32" t="str">
        <f t="shared" si="8"/>
        <v>nvl-nvs-imc-dsy-0820-10835</v>
      </c>
      <c r="BE841" s="33"/>
      <c r="BF841" s="33"/>
      <c r="BG841" s="39" t="str">
        <f>URL&amp;IF(ISNUMBER(FIND("?",URL)),"&amp;","?"&amp;("adlid="&amp;Unique_ID&amp;"&amp;adplt="&amp;Placement))</f>
        <v>#N/A</v>
      </c>
      <c r="BH841" s="1"/>
      <c r="BI841" s="1"/>
      <c r="BJ841" s="35" t="str">
        <f>LOWER("alp"&amp;"_"&amp;"vw"&amp;"_"&amp;Veiculo&amp;"_"&amp;C837&amp;"_"&amp;Objetivo)</f>
        <v>alp_vw___</v>
      </c>
      <c r="BK841" s="35" t="str">
        <f>LOWER(Buying_Metric&amp;"_"&amp;VLOOKUP(Buying_Type,Buy_type,2,FALSE)&amp;"_"&amp;Device&amp;"_"&amp;Size&amp;"_"&amp;Segmentação&amp;"_"&amp;Segmentação_Anúncio)</f>
        <v>#N/A</v>
      </c>
      <c r="BL841" s="35" t="str">
        <f>LOWER(Campanha_ou_InsertionOrder&amp;"_"&amp;LineItem_ou_Grupodeanúncio&amp;"_"&amp;Linha_criativa_2&amp;"_"&amp;Unique_ID)</f>
        <v>#N/A</v>
      </c>
      <c r="BM841" s="27"/>
      <c r="BN841" s="27"/>
    </row>
    <row r="842">
      <c r="A842" s="1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8" t="str">
        <f>LOWER(Campanha_ou_InsertionOrder&amp;"_"&amp;LineItem_ou_Grupodeanúncio&amp;"_"&amp;Linha_Criativa&amp;"_"&amp;Unique_ID)</f>
        <v>#N/A</v>
      </c>
      <c r="AN842" s="28" t="str">
        <f>LOWER(Campanha_ou_InsertionOrder&amp;"_"&amp;LineItem_ou_Grupodeanúncio&amp;"_"&amp;Linha_Criativa&amp;"_"&amp;Unique_ID)</f>
        <v>#N/A</v>
      </c>
      <c r="AO842" s="28" t="str">
        <f>LOWER("VW"&amp;"_"&amp;Model_Variant&amp;"_"&amp;Size&amp;"_"&amp;Linha_Criativa&amp;"_"&amp;IF(Servido_Por="portal",Veiculo,"adserver"))</f>
        <v>vw____adserver</v>
      </c>
      <c r="AP8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2" s="22" t="str">
        <f t="shared" si="1"/>
        <v/>
      </c>
      <c r="AS842" s="22" t="str">
        <f t="shared" si="2"/>
        <v/>
      </c>
      <c r="AT842" s="22" t="str">
        <f t="shared" si="3"/>
        <v>BR_IMC_DSY_LANCH_ND_NC_2020Q3AUG_NVS_Nivus-Launch-Consideracao</v>
      </c>
      <c r="AU842" s="22" t="str">
        <f t="shared" si="4"/>
        <v>#N/A</v>
      </c>
      <c r="AV842" s="22" t="s">
        <v>106</v>
      </c>
      <c r="AW8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2" s="22" t="str">
        <f t="shared" si="5"/>
        <v>BR_IMC_DSY_LANCH_ND_NC_2020Q3AUG_NVS_Nivus-Launch-Consideracao</v>
      </c>
      <c r="AY842" s="28" t="str">
        <f t="shared" si="6"/>
        <v>#N/A</v>
      </c>
      <c r="AZ842" s="22" t="s">
        <v>107</v>
      </c>
      <c r="BA842" s="22" t="s">
        <v>108</v>
      </c>
      <c r="BB842" s="31" t="s">
        <v>109</v>
      </c>
      <c r="BC842" s="31" t="s">
        <v>109</v>
      </c>
      <c r="BD842" s="32" t="str">
        <f t="shared" si="8"/>
        <v>nvl-nvs-imc-dsy-0820-10836</v>
      </c>
      <c r="BE842" s="33"/>
      <c r="BF842" s="33"/>
      <c r="BG842" s="39" t="str">
        <f>URL&amp;IF(ISNUMBER(FIND("?",URL)),"&amp;","?"&amp;("adlid="&amp;Unique_ID&amp;"&amp;adplt="&amp;Placement))</f>
        <v>#N/A</v>
      </c>
      <c r="BH842" s="1"/>
      <c r="BI842" s="1"/>
      <c r="BJ842" s="35" t="str">
        <f>LOWER("alp"&amp;"_"&amp;"vw"&amp;"_"&amp;Veiculo&amp;"_"&amp;C838&amp;"_"&amp;Objetivo)</f>
        <v>alp_vw___</v>
      </c>
      <c r="BK842" s="35" t="str">
        <f>LOWER(Buying_Metric&amp;"_"&amp;VLOOKUP(Buying_Type,Buy_type,2,FALSE)&amp;"_"&amp;Device&amp;"_"&amp;Size&amp;"_"&amp;Segmentação&amp;"_"&amp;Segmentação_Anúncio)</f>
        <v>#N/A</v>
      </c>
      <c r="BL842" s="35" t="str">
        <f>LOWER(Campanha_ou_InsertionOrder&amp;"_"&amp;LineItem_ou_Grupodeanúncio&amp;"_"&amp;Linha_criativa_2&amp;"_"&amp;Unique_ID)</f>
        <v>#N/A</v>
      </c>
      <c r="BM842" s="27"/>
      <c r="BN842" s="27"/>
    </row>
    <row r="843">
      <c r="A843" s="1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8" t="str">
        <f>LOWER(Campanha_ou_InsertionOrder&amp;"_"&amp;LineItem_ou_Grupodeanúncio&amp;"_"&amp;Linha_Criativa&amp;"_"&amp;Unique_ID)</f>
        <v>#N/A</v>
      </c>
      <c r="AN843" s="28" t="str">
        <f>LOWER(Campanha_ou_InsertionOrder&amp;"_"&amp;LineItem_ou_Grupodeanúncio&amp;"_"&amp;Linha_Criativa&amp;"_"&amp;Unique_ID)</f>
        <v>#N/A</v>
      </c>
      <c r="AO843" s="28" t="str">
        <f>LOWER("VW"&amp;"_"&amp;Model_Variant&amp;"_"&amp;Size&amp;"_"&amp;Linha_Criativa&amp;"_"&amp;IF(Servido_Por="portal",Veiculo,"adserver"))</f>
        <v>vw____adserver</v>
      </c>
      <c r="AP8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3" s="22" t="str">
        <f t="shared" si="1"/>
        <v/>
      </c>
      <c r="AS843" s="22" t="str">
        <f t="shared" si="2"/>
        <v/>
      </c>
      <c r="AT843" s="22" t="str">
        <f t="shared" si="3"/>
        <v>BR_IMC_DSY_LANCH_ND_NC_2020Q3AUG_NVS_Nivus-Launch-Consideracao</v>
      </c>
      <c r="AU843" s="22" t="str">
        <f t="shared" si="4"/>
        <v>#N/A</v>
      </c>
      <c r="AV843" s="22" t="s">
        <v>106</v>
      </c>
      <c r="AW8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3" s="22" t="str">
        <f t="shared" si="5"/>
        <v>BR_IMC_DSY_LANCH_ND_NC_2020Q3AUG_NVS_Nivus-Launch-Consideracao</v>
      </c>
      <c r="AY843" s="28" t="str">
        <f t="shared" si="6"/>
        <v>#N/A</v>
      </c>
      <c r="AZ843" s="22" t="s">
        <v>107</v>
      </c>
      <c r="BA843" s="22" t="s">
        <v>108</v>
      </c>
      <c r="BB843" s="31" t="s">
        <v>109</v>
      </c>
      <c r="BC843" s="31" t="s">
        <v>109</v>
      </c>
      <c r="BD843" s="32" t="str">
        <f t="shared" si="8"/>
        <v>nvl-nvs-imc-dsy-0820-10837</v>
      </c>
      <c r="BE843" s="33"/>
      <c r="BF843" s="33"/>
      <c r="BG843" s="39" t="str">
        <f>URL&amp;IF(ISNUMBER(FIND("?",URL)),"&amp;","?"&amp;("adlid="&amp;Unique_ID&amp;"&amp;adplt="&amp;Placement))</f>
        <v>#N/A</v>
      </c>
      <c r="BH843" s="1"/>
      <c r="BI843" s="1"/>
      <c r="BJ843" s="35" t="str">
        <f>LOWER("alp"&amp;"_"&amp;"vw"&amp;"_"&amp;Veiculo&amp;"_"&amp;C839&amp;"_"&amp;Objetivo)</f>
        <v>alp_vw___</v>
      </c>
      <c r="BK843" s="35" t="str">
        <f>LOWER(Buying_Metric&amp;"_"&amp;VLOOKUP(Buying_Type,Buy_type,2,FALSE)&amp;"_"&amp;Device&amp;"_"&amp;Size&amp;"_"&amp;Segmentação&amp;"_"&amp;Segmentação_Anúncio)</f>
        <v>#N/A</v>
      </c>
      <c r="BL843" s="35" t="str">
        <f>LOWER(Campanha_ou_InsertionOrder&amp;"_"&amp;LineItem_ou_Grupodeanúncio&amp;"_"&amp;Linha_criativa_2&amp;"_"&amp;Unique_ID)</f>
        <v>#N/A</v>
      </c>
      <c r="BM843" s="27"/>
      <c r="BN843" s="27"/>
    </row>
    <row r="844">
      <c r="A844" s="1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8" t="str">
        <f>LOWER(Campanha_ou_InsertionOrder&amp;"_"&amp;LineItem_ou_Grupodeanúncio&amp;"_"&amp;Linha_Criativa&amp;"_"&amp;Unique_ID)</f>
        <v>#N/A</v>
      </c>
      <c r="AN844" s="28" t="str">
        <f>LOWER(Campanha_ou_InsertionOrder&amp;"_"&amp;LineItem_ou_Grupodeanúncio&amp;"_"&amp;Linha_Criativa&amp;"_"&amp;Unique_ID)</f>
        <v>#N/A</v>
      </c>
      <c r="AO844" s="28" t="str">
        <f>LOWER("VW"&amp;"_"&amp;Model_Variant&amp;"_"&amp;Size&amp;"_"&amp;Linha_Criativa&amp;"_"&amp;IF(Servido_Por="portal",Veiculo,"adserver"))</f>
        <v>vw____adserver</v>
      </c>
      <c r="AP8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4" s="22" t="str">
        <f t="shared" si="1"/>
        <v/>
      </c>
      <c r="AS844" s="22" t="str">
        <f t="shared" si="2"/>
        <v/>
      </c>
      <c r="AT844" s="22" t="str">
        <f t="shared" si="3"/>
        <v>BR_IMC_DSY_LANCH_ND_NC_2020Q3AUG_NVS_Nivus-Launch-Consideracao</v>
      </c>
      <c r="AU844" s="22" t="str">
        <f t="shared" si="4"/>
        <v>#N/A</v>
      </c>
      <c r="AV844" s="22" t="s">
        <v>106</v>
      </c>
      <c r="AW8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4" s="22" t="str">
        <f t="shared" si="5"/>
        <v>BR_IMC_DSY_LANCH_ND_NC_2020Q3AUG_NVS_Nivus-Launch-Consideracao</v>
      </c>
      <c r="AY844" s="28" t="str">
        <f t="shared" si="6"/>
        <v>#N/A</v>
      </c>
      <c r="AZ844" s="22" t="s">
        <v>107</v>
      </c>
      <c r="BA844" s="22" t="s">
        <v>108</v>
      </c>
      <c r="BB844" s="31" t="s">
        <v>109</v>
      </c>
      <c r="BC844" s="31" t="s">
        <v>109</v>
      </c>
      <c r="BD844" s="32" t="str">
        <f t="shared" si="8"/>
        <v>nvl-nvs-imc-dsy-0820-10838</v>
      </c>
      <c r="BE844" s="33"/>
      <c r="BF844" s="33"/>
      <c r="BG844" s="39" t="str">
        <f>URL&amp;IF(ISNUMBER(FIND("?",URL)),"&amp;","?"&amp;("adlid="&amp;Unique_ID&amp;"&amp;adplt="&amp;Placement))</f>
        <v>#N/A</v>
      </c>
      <c r="BH844" s="1"/>
      <c r="BI844" s="1"/>
      <c r="BJ844" s="35" t="str">
        <f>LOWER("alp"&amp;"_"&amp;"vw"&amp;"_"&amp;Veiculo&amp;"_"&amp;C840&amp;"_"&amp;Objetivo)</f>
        <v>alp_vw___</v>
      </c>
      <c r="BK844" s="35" t="str">
        <f>LOWER(Buying_Metric&amp;"_"&amp;VLOOKUP(Buying_Type,Buy_type,2,FALSE)&amp;"_"&amp;Device&amp;"_"&amp;Size&amp;"_"&amp;Segmentação&amp;"_"&amp;Segmentação_Anúncio)</f>
        <v>#N/A</v>
      </c>
      <c r="BL844" s="35" t="str">
        <f>LOWER(Campanha_ou_InsertionOrder&amp;"_"&amp;LineItem_ou_Grupodeanúncio&amp;"_"&amp;Linha_criativa_2&amp;"_"&amp;Unique_ID)</f>
        <v>#N/A</v>
      </c>
      <c r="BM844" s="27"/>
      <c r="BN844" s="27"/>
    </row>
    <row r="845">
      <c r="A845" s="1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8" t="str">
        <f>LOWER(Campanha_ou_InsertionOrder&amp;"_"&amp;LineItem_ou_Grupodeanúncio&amp;"_"&amp;Linha_Criativa&amp;"_"&amp;Unique_ID)</f>
        <v>#N/A</v>
      </c>
      <c r="AN845" s="28" t="str">
        <f>LOWER(Campanha_ou_InsertionOrder&amp;"_"&amp;LineItem_ou_Grupodeanúncio&amp;"_"&amp;Linha_Criativa&amp;"_"&amp;Unique_ID)</f>
        <v>#N/A</v>
      </c>
      <c r="AO845" s="28" t="str">
        <f>LOWER("VW"&amp;"_"&amp;Model_Variant&amp;"_"&amp;Size&amp;"_"&amp;Linha_Criativa&amp;"_"&amp;IF(Servido_Por="portal",Veiculo,"adserver"))</f>
        <v>vw____adserver</v>
      </c>
      <c r="AP8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5" s="22" t="str">
        <f t="shared" si="1"/>
        <v/>
      </c>
      <c r="AS845" s="22" t="str">
        <f t="shared" si="2"/>
        <v/>
      </c>
      <c r="AT845" s="22" t="str">
        <f t="shared" si="3"/>
        <v>BR_IMC_DSY_LANCH_ND_NC_2020Q3AUG_NVS_Nivus-Launch-Consideracao</v>
      </c>
      <c r="AU845" s="22" t="str">
        <f t="shared" si="4"/>
        <v>#N/A</v>
      </c>
      <c r="AV845" s="22" t="s">
        <v>106</v>
      </c>
      <c r="AW8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5" s="22" t="str">
        <f t="shared" si="5"/>
        <v>BR_IMC_DSY_LANCH_ND_NC_2020Q3AUG_NVS_Nivus-Launch-Consideracao</v>
      </c>
      <c r="AY845" s="28" t="str">
        <f t="shared" si="6"/>
        <v>#N/A</v>
      </c>
      <c r="AZ845" s="22" t="s">
        <v>107</v>
      </c>
      <c r="BA845" s="22" t="s">
        <v>108</v>
      </c>
      <c r="BB845" s="31" t="s">
        <v>109</v>
      </c>
      <c r="BC845" s="31" t="s">
        <v>109</v>
      </c>
      <c r="BD845" s="32" t="str">
        <f t="shared" si="8"/>
        <v>nvl-nvs-imc-dsy-0820-10839</v>
      </c>
      <c r="BE845" s="33"/>
      <c r="BF845" s="33"/>
      <c r="BG845" s="39" t="str">
        <f>URL&amp;IF(ISNUMBER(FIND("?",URL)),"&amp;","?"&amp;("adlid="&amp;Unique_ID&amp;"&amp;adplt="&amp;Placement))</f>
        <v>#N/A</v>
      </c>
      <c r="BH845" s="1"/>
      <c r="BI845" s="1"/>
      <c r="BJ845" s="35" t="str">
        <f>LOWER("alp"&amp;"_"&amp;"vw"&amp;"_"&amp;Veiculo&amp;"_"&amp;C841&amp;"_"&amp;Objetivo)</f>
        <v>alp_vw___</v>
      </c>
      <c r="BK845" s="35" t="str">
        <f>LOWER(Buying_Metric&amp;"_"&amp;VLOOKUP(Buying_Type,Buy_type,2,FALSE)&amp;"_"&amp;Device&amp;"_"&amp;Size&amp;"_"&amp;Segmentação&amp;"_"&amp;Segmentação_Anúncio)</f>
        <v>#N/A</v>
      </c>
      <c r="BL845" s="35" t="str">
        <f>LOWER(Campanha_ou_InsertionOrder&amp;"_"&amp;LineItem_ou_Grupodeanúncio&amp;"_"&amp;Linha_criativa_2&amp;"_"&amp;Unique_ID)</f>
        <v>#N/A</v>
      </c>
      <c r="BM845" s="27"/>
      <c r="BN845" s="27"/>
    </row>
    <row r="846">
      <c r="A846" s="1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8" t="str">
        <f>LOWER(Campanha_ou_InsertionOrder&amp;"_"&amp;LineItem_ou_Grupodeanúncio&amp;"_"&amp;Linha_Criativa&amp;"_"&amp;Unique_ID)</f>
        <v>#N/A</v>
      </c>
      <c r="AN846" s="28" t="str">
        <f>LOWER(Campanha_ou_InsertionOrder&amp;"_"&amp;LineItem_ou_Grupodeanúncio&amp;"_"&amp;Linha_Criativa&amp;"_"&amp;Unique_ID)</f>
        <v>#N/A</v>
      </c>
      <c r="AO846" s="28" t="str">
        <f>LOWER("VW"&amp;"_"&amp;Model_Variant&amp;"_"&amp;Size&amp;"_"&amp;Linha_Criativa&amp;"_"&amp;IF(Servido_Por="portal",Veiculo,"adserver"))</f>
        <v>vw____adserver</v>
      </c>
      <c r="AP8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6" s="22" t="str">
        <f t="shared" si="1"/>
        <v/>
      </c>
      <c r="AS846" s="22" t="str">
        <f t="shared" si="2"/>
        <v/>
      </c>
      <c r="AT846" s="22" t="str">
        <f t="shared" si="3"/>
        <v>BR_IMC_DSY_LANCH_ND_NC_2020Q3AUG_NVS_Nivus-Launch-Consideracao</v>
      </c>
      <c r="AU846" s="22" t="str">
        <f t="shared" si="4"/>
        <v>#N/A</v>
      </c>
      <c r="AV846" s="22" t="s">
        <v>106</v>
      </c>
      <c r="AW8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6" s="22" t="str">
        <f t="shared" si="5"/>
        <v>BR_IMC_DSY_LANCH_ND_NC_2020Q3AUG_NVS_Nivus-Launch-Consideracao</v>
      </c>
      <c r="AY846" s="28" t="str">
        <f t="shared" si="6"/>
        <v>#N/A</v>
      </c>
      <c r="AZ846" s="22" t="s">
        <v>107</v>
      </c>
      <c r="BA846" s="22" t="s">
        <v>108</v>
      </c>
      <c r="BB846" s="31" t="s">
        <v>109</v>
      </c>
      <c r="BC846" s="31" t="s">
        <v>109</v>
      </c>
      <c r="BD846" s="32" t="str">
        <f t="shared" si="8"/>
        <v>nvl-nvs-imc-dsy-0820-10840</v>
      </c>
      <c r="BE846" s="33"/>
      <c r="BF846" s="33"/>
      <c r="BG846" s="39" t="str">
        <f>URL&amp;IF(ISNUMBER(FIND("?",URL)),"&amp;","?"&amp;("adlid="&amp;Unique_ID&amp;"&amp;adplt="&amp;Placement))</f>
        <v>#N/A</v>
      </c>
      <c r="BH846" s="1"/>
      <c r="BI846" s="1"/>
      <c r="BJ846" s="35" t="str">
        <f>LOWER("alp"&amp;"_"&amp;"vw"&amp;"_"&amp;Veiculo&amp;"_"&amp;C842&amp;"_"&amp;Objetivo)</f>
        <v>alp_vw___</v>
      </c>
      <c r="BK846" s="35" t="str">
        <f>LOWER(Buying_Metric&amp;"_"&amp;VLOOKUP(Buying_Type,Buy_type,2,FALSE)&amp;"_"&amp;Device&amp;"_"&amp;Size&amp;"_"&amp;Segmentação&amp;"_"&amp;Segmentação_Anúncio)</f>
        <v>#N/A</v>
      </c>
      <c r="BL846" s="35" t="str">
        <f>LOWER(Campanha_ou_InsertionOrder&amp;"_"&amp;LineItem_ou_Grupodeanúncio&amp;"_"&amp;Linha_criativa_2&amp;"_"&amp;Unique_ID)</f>
        <v>#N/A</v>
      </c>
      <c r="BM846" s="27"/>
      <c r="BN846" s="27"/>
    </row>
    <row r="847">
      <c r="A847" s="1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8" t="str">
        <f>LOWER(Campanha_ou_InsertionOrder&amp;"_"&amp;LineItem_ou_Grupodeanúncio&amp;"_"&amp;Linha_Criativa&amp;"_"&amp;Unique_ID)</f>
        <v>#N/A</v>
      </c>
      <c r="AN847" s="28" t="str">
        <f>LOWER(Campanha_ou_InsertionOrder&amp;"_"&amp;LineItem_ou_Grupodeanúncio&amp;"_"&amp;Linha_Criativa&amp;"_"&amp;Unique_ID)</f>
        <v>#N/A</v>
      </c>
      <c r="AO847" s="28" t="str">
        <f>LOWER("VW"&amp;"_"&amp;Model_Variant&amp;"_"&amp;Size&amp;"_"&amp;Linha_Criativa&amp;"_"&amp;IF(Servido_Por="portal",Veiculo,"adserver"))</f>
        <v>vw____adserver</v>
      </c>
      <c r="AP8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7" s="22" t="str">
        <f t="shared" si="1"/>
        <v/>
      </c>
      <c r="AS847" s="22" t="str">
        <f t="shared" si="2"/>
        <v/>
      </c>
      <c r="AT847" s="22" t="str">
        <f t="shared" si="3"/>
        <v>BR_IMC_DSY_LANCH_ND_NC_2020Q3AUG_NVS_Nivus-Launch-Consideracao</v>
      </c>
      <c r="AU847" s="22" t="str">
        <f t="shared" si="4"/>
        <v>#N/A</v>
      </c>
      <c r="AV847" s="22" t="s">
        <v>106</v>
      </c>
      <c r="AW8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7" s="22" t="str">
        <f t="shared" si="5"/>
        <v>BR_IMC_DSY_LANCH_ND_NC_2020Q3AUG_NVS_Nivus-Launch-Consideracao</v>
      </c>
      <c r="AY847" s="28" t="str">
        <f t="shared" si="6"/>
        <v>#N/A</v>
      </c>
      <c r="AZ847" s="22" t="s">
        <v>107</v>
      </c>
      <c r="BA847" s="22" t="s">
        <v>108</v>
      </c>
      <c r="BB847" s="31" t="s">
        <v>109</v>
      </c>
      <c r="BC847" s="31" t="s">
        <v>109</v>
      </c>
      <c r="BD847" s="32" t="str">
        <f t="shared" si="8"/>
        <v>nvl-nvs-imc-dsy-0820-10841</v>
      </c>
      <c r="BE847" s="33"/>
      <c r="BF847" s="33"/>
      <c r="BG847" s="39" t="str">
        <f>URL&amp;IF(ISNUMBER(FIND("?",URL)),"&amp;","?"&amp;("adlid="&amp;Unique_ID&amp;"&amp;adplt="&amp;Placement))</f>
        <v>#N/A</v>
      </c>
      <c r="BH847" s="1"/>
      <c r="BI847" s="1"/>
      <c r="BJ847" s="35" t="str">
        <f>LOWER("alp"&amp;"_"&amp;"vw"&amp;"_"&amp;Veiculo&amp;"_"&amp;C843&amp;"_"&amp;Objetivo)</f>
        <v>alp_vw___</v>
      </c>
      <c r="BK847" s="35" t="str">
        <f>LOWER(Buying_Metric&amp;"_"&amp;VLOOKUP(Buying_Type,Buy_type,2,FALSE)&amp;"_"&amp;Device&amp;"_"&amp;Size&amp;"_"&amp;Segmentação&amp;"_"&amp;Segmentação_Anúncio)</f>
        <v>#N/A</v>
      </c>
      <c r="BL847" s="35" t="str">
        <f>LOWER(Campanha_ou_InsertionOrder&amp;"_"&amp;LineItem_ou_Grupodeanúncio&amp;"_"&amp;Linha_criativa_2&amp;"_"&amp;Unique_ID)</f>
        <v>#N/A</v>
      </c>
      <c r="BM847" s="27"/>
      <c r="BN847" s="27"/>
    </row>
    <row r="848">
      <c r="A848" s="1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8" t="str">
        <f>LOWER(Campanha_ou_InsertionOrder&amp;"_"&amp;LineItem_ou_Grupodeanúncio&amp;"_"&amp;Linha_Criativa&amp;"_"&amp;Unique_ID)</f>
        <v>#N/A</v>
      </c>
      <c r="AN848" s="28" t="str">
        <f>LOWER(Campanha_ou_InsertionOrder&amp;"_"&amp;LineItem_ou_Grupodeanúncio&amp;"_"&amp;Linha_Criativa&amp;"_"&amp;Unique_ID)</f>
        <v>#N/A</v>
      </c>
      <c r="AO848" s="28" t="str">
        <f>LOWER("VW"&amp;"_"&amp;Model_Variant&amp;"_"&amp;Size&amp;"_"&amp;Linha_Criativa&amp;"_"&amp;IF(Servido_Por="portal",Veiculo,"adserver"))</f>
        <v>vw____adserver</v>
      </c>
      <c r="AP8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8" s="22" t="str">
        <f t="shared" si="1"/>
        <v/>
      </c>
      <c r="AS848" s="22" t="str">
        <f t="shared" si="2"/>
        <v/>
      </c>
      <c r="AT848" s="22" t="str">
        <f t="shared" si="3"/>
        <v>BR_IMC_DSY_LANCH_ND_NC_2020Q3AUG_NVS_Nivus-Launch-Consideracao</v>
      </c>
      <c r="AU848" s="22" t="str">
        <f t="shared" si="4"/>
        <v>#N/A</v>
      </c>
      <c r="AV848" s="22" t="s">
        <v>106</v>
      </c>
      <c r="AW8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8" s="22" t="str">
        <f t="shared" si="5"/>
        <v>BR_IMC_DSY_LANCH_ND_NC_2020Q3AUG_NVS_Nivus-Launch-Consideracao</v>
      </c>
      <c r="AY848" s="28" t="str">
        <f t="shared" si="6"/>
        <v>#N/A</v>
      </c>
      <c r="AZ848" s="22" t="s">
        <v>107</v>
      </c>
      <c r="BA848" s="22" t="s">
        <v>108</v>
      </c>
      <c r="BB848" s="31" t="s">
        <v>109</v>
      </c>
      <c r="BC848" s="31" t="s">
        <v>109</v>
      </c>
      <c r="BD848" s="32" t="str">
        <f t="shared" si="8"/>
        <v>nvl-nvs-imc-dsy-0820-10842</v>
      </c>
      <c r="BE848" s="33"/>
      <c r="BF848" s="33"/>
      <c r="BG848" s="39" t="str">
        <f>URL&amp;IF(ISNUMBER(FIND("?",URL)),"&amp;","?"&amp;("adlid="&amp;Unique_ID&amp;"&amp;adplt="&amp;Placement))</f>
        <v>#N/A</v>
      </c>
      <c r="BH848" s="1"/>
      <c r="BI848" s="1"/>
      <c r="BJ848" s="35" t="str">
        <f>LOWER("alp"&amp;"_"&amp;"vw"&amp;"_"&amp;Veiculo&amp;"_"&amp;C844&amp;"_"&amp;Objetivo)</f>
        <v>alp_vw___</v>
      </c>
      <c r="BK848" s="35" t="str">
        <f>LOWER(Buying_Metric&amp;"_"&amp;VLOOKUP(Buying_Type,Buy_type,2,FALSE)&amp;"_"&amp;Device&amp;"_"&amp;Size&amp;"_"&amp;Segmentação&amp;"_"&amp;Segmentação_Anúncio)</f>
        <v>#N/A</v>
      </c>
      <c r="BL848" s="35" t="str">
        <f>LOWER(Campanha_ou_InsertionOrder&amp;"_"&amp;LineItem_ou_Grupodeanúncio&amp;"_"&amp;Linha_criativa_2&amp;"_"&amp;Unique_ID)</f>
        <v>#N/A</v>
      </c>
      <c r="BM848" s="27"/>
      <c r="BN848" s="27"/>
    </row>
    <row r="849">
      <c r="A849" s="1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8" t="str">
        <f>LOWER(Campanha_ou_InsertionOrder&amp;"_"&amp;LineItem_ou_Grupodeanúncio&amp;"_"&amp;Linha_Criativa&amp;"_"&amp;Unique_ID)</f>
        <v>#N/A</v>
      </c>
      <c r="AN849" s="28" t="str">
        <f>LOWER(Campanha_ou_InsertionOrder&amp;"_"&amp;LineItem_ou_Grupodeanúncio&amp;"_"&amp;Linha_Criativa&amp;"_"&amp;Unique_ID)</f>
        <v>#N/A</v>
      </c>
      <c r="AO849" s="28" t="str">
        <f>LOWER("VW"&amp;"_"&amp;Model_Variant&amp;"_"&amp;Size&amp;"_"&amp;Linha_Criativa&amp;"_"&amp;IF(Servido_Por="portal",Veiculo,"adserver"))</f>
        <v>vw____adserver</v>
      </c>
      <c r="AP8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49" s="22" t="str">
        <f t="shared" si="1"/>
        <v/>
      </c>
      <c r="AS849" s="22" t="str">
        <f t="shared" si="2"/>
        <v/>
      </c>
      <c r="AT849" s="22" t="str">
        <f t="shared" si="3"/>
        <v>BR_IMC_DSY_LANCH_ND_NC_2020Q3AUG_NVS_Nivus-Launch-Consideracao</v>
      </c>
      <c r="AU849" s="22" t="str">
        <f t="shared" si="4"/>
        <v>#N/A</v>
      </c>
      <c r="AV849" s="22" t="s">
        <v>106</v>
      </c>
      <c r="AW8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49" s="22" t="str">
        <f t="shared" si="5"/>
        <v>BR_IMC_DSY_LANCH_ND_NC_2020Q3AUG_NVS_Nivus-Launch-Consideracao</v>
      </c>
      <c r="AY849" s="28" t="str">
        <f t="shared" si="6"/>
        <v>#N/A</v>
      </c>
      <c r="AZ849" s="22" t="s">
        <v>107</v>
      </c>
      <c r="BA849" s="22" t="s">
        <v>108</v>
      </c>
      <c r="BB849" s="31" t="s">
        <v>109</v>
      </c>
      <c r="BC849" s="31" t="s">
        <v>109</v>
      </c>
      <c r="BD849" s="32" t="str">
        <f t="shared" si="8"/>
        <v>nvl-nvs-imc-dsy-0820-10843</v>
      </c>
      <c r="BE849" s="33"/>
      <c r="BF849" s="33"/>
      <c r="BG849" s="39" t="str">
        <f>URL&amp;IF(ISNUMBER(FIND("?",URL)),"&amp;","?"&amp;("adlid="&amp;Unique_ID&amp;"&amp;adplt="&amp;Placement))</f>
        <v>#N/A</v>
      </c>
      <c r="BH849" s="1"/>
      <c r="BI849" s="1"/>
      <c r="BJ849" s="35" t="str">
        <f>LOWER("alp"&amp;"_"&amp;"vw"&amp;"_"&amp;Veiculo&amp;"_"&amp;C845&amp;"_"&amp;Objetivo)</f>
        <v>alp_vw___</v>
      </c>
      <c r="BK849" s="35" t="str">
        <f>LOWER(Buying_Metric&amp;"_"&amp;VLOOKUP(Buying_Type,Buy_type,2,FALSE)&amp;"_"&amp;Device&amp;"_"&amp;Size&amp;"_"&amp;Segmentação&amp;"_"&amp;Segmentação_Anúncio)</f>
        <v>#N/A</v>
      </c>
      <c r="BL849" s="35" t="str">
        <f>LOWER(Campanha_ou_InsertionOrder&amp;"_"&amp;LineItem_ou_Grupodeanúncio&amp;"_"&amp;Linha_criativa_2&amp;"_"&amp;Unique_ID)</f>
        <v>#N/A</v>
      </c>
      <c r="BM849" s="27"/>
      <c r="BN849" s="27"/>
    </row>
    <row r="850">
      <c r="A850" s="1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8" t="str">
        <f>LOWER(Campanha_ou_InsertionOrder&amp;"_"&amp;LineItem_ou_Grupodeanúncio&amp;"_"&amp;Linha_Criativa&amp;"_"&amp;Unique_ID)</f>
        <v>#N/A</v>
      </c>
      <c r="AN850" s="28" t="str">
        <f>LOWER(Campanha_ou_InsertionOrder&amp;"_"&amp;LineItem_ou_Grupodeanúncio&amp;"_"&amp;Linha_Criativa&amp;"_"&amp;Unique_ID)</f>
        <v>#N/A</v>
      </c>
      <c r="AO850" s="28" t="str">
        <f>LOWER("VW"&amp;"_"&amp;Model_Variant&amp;"_"&amp;Size&amp;"_"&amp;Linha_Criativa&amp;"_"&amp;IF(Servido_Por="portal",Veiculo,"adserver"))</f>
        <v>vw____adserver</v>
      </c>
      <c r="AP8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0" s="22" t="str">
        <f t="shared" si="1"/>
        <v/>
      </c>
      <c r="AS850" s="22" t="str">
        <f t="shared" si="2"/>
        <v/>
      </c>
      <c r="AT850" s="22" t="str">
        <f t="shared" si="3"/>
        <v>BR_IMC_DSY_LANCH_ND_NC_2020Q3AUG_NVS_Nivus-Launch-Consideracao</v>
      </c>
      <c r="AU850" s="22" t="str">
        <f t="shared" si="4"/>
        <v>#N/A</v>
      </c>
      <c r="AV850" s="22" t="s">
        <v>106</v>
      </c>
      <c r="AW8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0" s="22" t="str">
        <f t="shared" si="5"/>
        <v>BR_IMC_DSY_LANCH_ND_NC_2020Q3AUG_NVS_Nivus-Launch-Consideracao</v>
      </c>
      <c r="AY850" s="28" t="str">
        <f t="shared" si="6"/>
        <v>#N/A</v>
      </c>
      <c r="AZ850" s="22" t="s">
        <v>107</v>
      </c>
      <c r="BA850" s="22" t="s">
        <v>108</v>
      </c>
      <c r="BB850" s="31" t="s">
        <v>109</v>
      </c>
      <c r="BC850" s="31" t="s">
        <v>109</v>
      </c>
      <c r="BD850" s="32" t="str">
        <f t="shared" si="8"/>
        <v>nvl-nvs-imc-dsy-0820-10844</v>
      </c>
      <c r="BE850" s="33"/>
      <c r="BF850" s="33"/>
      <c r="BG850" s="39" t="str">
        <f>URL&amp;IF(ISNUMBER(FIND("?",URL)),"&amp;","?"&amp;("adlid="&amp;Unique_ID&amp;"&amp;adplt="&amp;Placement))</f>
        <v>#N/A</v>
      </c>
      <c r="BH850" s="1"/>
      <c r="BI850" s="1"/>
      <c r="BJ850" s="35" t="str">
        <f>LOWER("alp"&amp;"_"&amp;"vw"&amp;"_"&amp;Veiculo&amp;"_"&amp;C846&amp;"_"&amp;Objetivo)</f>
        <v>alp_vw___</v>
      </c>
      <c r="BK850" s="35" t="str">
        <f>LOWER(Buying_Metric&amp;"_"&amp;VLOOKUP(Buying_Type,Buy_type,2,FALSE)&amp;"_"&amp;Device&amp;"_"&amp;Size&amp;"_"&amp;Segmentação&amp;"_"&amp;Segmentação_Anúncio)</f>
        <v>#N/A</v>
      </c>
      <c r="BL850" s="35" t="str">
        <f>LOWER(Campanha_ou_InsertionOrder&amp;"_"&amp;LineItem_ou_Grupodeanúncio&amp;"_"&amp;Linha_criativa_2&amp;"_"&amp;Unique_ID)</f>
        <v>#N/A</v>
      </c>
      <c r="BM850" s="27"/>
      <c r="BN850" s="27"/>
    </row>
    <row r="851">
      <c r="A851" s="1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8" t="str">
        <f>LOWER(Campanha_ou_InsertionOrder&amp;"_"&amp;LineItem_ou_Grupodeanúncio&amp;"_"&amp;Linha_Criativa&amp;"_"&amp;Unique_ID)</f>
        <v>#N/A</v>
      </c>
      <c r="AN851" s="28" t="str">
        <f>LOWER(Campanha_ou_InsertionOrder&amp;"_"&amp;LineItem_ou_Grupodeanúncio&amp;"_"&amp;Linha_Criativa&amp;"_"&amp;Unique_ID)</f>
        <v>#N/A</v>
      </c>
      <c r="AO851" s="28" t="str">
        <f>LOWER("VW"&amp;"_"&amp;Model_Variant&amp;"_"&amp;Size&amp;"_"&amp;Linha_Criativa&amp;"_"&amp;IF(Servido_Por="portal",Veiculo,"adserver"))</f>
        <v>vw____adserver</v>
      </c>
      <c r="AP8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1" s="22" t="str">
        <f t="shared" si="1"/>
        <v/>
      </c>
      <c r="AS851" s="22" t="str">
        <f t="shared" si="2"/>
        <v/>
      </c>
      <c r="AT851" s="22" t="str">
        <f t="shared" si="3"/>
        <v>BR_IMC_DSY_LANCH_ND_NC_2020Q3AUG_NVS_Nivus-Launch-Consideracao</v>
      </c>
      <c r="AU851" s="22" t="str">
        <f t="shared" si="4"/>
        <v>#N/A</v>
      </c>
      <c r="AV851" s="22" t="s">
        <v>106</v>
      </c>
      <c r="AW8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1" s="22" t="str">
        <f t="shared" si="5"/>
        <v>BR_IMC_DSY_LANCH_ND_NC_2020Q3AUG_NVS_Nivus-Launch-Consideracao</v>
      </c>
      <c r="AY851" s="28" t="str">
        <f t="shared" si="6"/>
        <v>#N/A</v>
      </c>
      <c r="AZ851" s="22" t="s">
        <v>107</v>
      </c>
      <c r="BA851" s="22" t="s">
        <v>108</v>
      </c>
      <c r="BB851" s="31" t="s">
        <v>109</v>
      </c>
      <c r="BC851" s="31" t="s">
        <v>109</v>
      </c>
      <c r="BD851" s="32" t="str">
        <f t="shared" si="8"/>
        <v>nvl-nvs-imc-dsy-0820-10845</v>
      </c>
      <c r="BE851" s="33"/>
      <c r="BF851" s="33"/>
      <c r="BG851" s="39" t="str">
        <f>URL&amp;IF(ISNUMBER(FIND("?",URL)),"&amp;","?"&amp;("adlid="&amp;Unique_ID&amp;"&amp;adplt="&amp;Placement))</f>
        <v>#N/A</v>
      </c>
      <c r="BH851" s="1"/>
      <c r="BI851" s="1"/>
      <c r="BJ851" s="35" t="str">
        <f>LOWER("alp"&amp;"_"&amp;"vw"&amp;"_"&amp;Veiculo&amp;"_"&amp;C847&amp;"_"&amp;Objetivo)</f>
        <v>alp_vw___</v>
      </c>
      <c r="BK851" s="35" t="str">
        <f>LOWER(Buying_Metric&amp;"_"&amp;VLOOKUP(Buying_Type,Buy_type,2,FALSE)&amp;"_"&amp;Device&amp;"_"&amp;Size&amp;"_"&amp;Segmentação&amp;"_"&amp;Segmentação_Anúncio)</f>
        <v>#N/A</v>
      </c>
      <c r="BL851" s="35" t="str">
        <f>LOWER(Campanha_ou_InsertionOrder&amp;"_"&amp;LineItem_ou_Grupodeanúncio&amp;"_"&amp;Linha_criativa_2&amp;"_"&amp;Unique_ID)</f>
        <v>#N/A</v>
      </c>
      <c r="BM851" s="27"/>
      <c r="BN851" s="27"/>
    </row>
    <row r="852">
      <c r="A852" s="1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8" t="str">
        <f>LOWER(Campanha_ou_InsertionOrder&amp;"_"&amp;LineItem_ou_Grupodeanúncio&amp;"_"&amp;Linha_Criativa&amp;"_"&amp;Unique_ID)</f>
        <v>#N/A</v>
      </c>
      <c r="AN852" s="28" t="str">
        <f>LOWER(Campanha_ou_InsertionOrder&amp;"_"&amp;LineItem_ou_Grupodeanúncio&amp;"_"&amp;Linha_Criativa&amp;"_"&amp;Unique_ID)</f>
        <v>#N/A</v>
      </c>
      <c r="AO852" s="28" t="str">
        <f>LOWER("VW"&amp;"_"&amp;Model_Variant&amp;"_"&amp;Size&amp;"_"&amp;Linha_Criativa&amp;"_"&amp;IF(Servido_Por="portal",Veiculo,"adserver"))</f>
        <v>vw____adserver</v>
      </c>
      <c r="AP8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2" s="22" t="str">
        <f t="shared" si="1"/>
        <v/>
      </c>
      <c r="AS852" s="22" t="str">
        <f t="shared" si="2"/>
        <v/>
      </c>
      <c r="AT852" s="22" t="str">
        <f t="shared" si="3"/>
        <v>BR_IMC_DSY_LANCH_ND_NC_2020Q3AUG_NVS_Nivus-Launch-Consideracao</v>
      </c>
      <c r="AU852" s="22" t="str">
        <f t="shared" si="4"/>
        <v>#N/A</v>
      </c>
      <c r="AV852" s="22" t="s">
        <v>106</v>
      </c>
      <c r="AW8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2" s="22" t="str">
        <f t="shared" si="5"/>
        <v>BR_IMC_DSY_LANCH_ND_NC_2020Q3AUG_NVS_Nivus-Launch-Consideracao</v>
      </c>
      <c r="AY852" s="28" t="str">
        <f t="shared" si="6"/>
        <v>#N/A</v>
      </c>
      <c r="AZ852" s="22" t="s">
        <v>107</v>
      </c>
      <c r="BA852" s="22" t="s">
        <v>108</v>
      </c>
      <c r="BB852" s="31" t="s">
        <v>109</v>
      </c>
      <c r="BC852" s="31" t="s">
        <v>109</v>
      </c>
      <c r="BD852" s="32" t="str">
        <f t="shared" si="8"/>
        <v>nvl-nvs-imc-dsy-0820-10846</v>
      </c>
      <c r="BE852" s="33"/>
      <c r="BF852" s="33"/>
      <c r="BG852" s="39" t="str">
        <f>URL&amp;IF(ISNUMBER(FIND("?",URL)),"&amp;","?"&amp;("adlid="&amp;Unique_ID&amp;"&amp;adplt="&amp;Placement))</f>
        <v>#N/A</v>
      </c>
      <c r="BH852" s="1"/>
      <c r="BI852" s="1"/>
      <c r="BJ852" s="35" t="str">
        <f>LOWER("alp"&amp;"_"&amp;"vw"&amp;"_"&amp;Veiculo&amp;"_"&amp;C848&amp;"_"&amp;Objetivo)</f>
        <v>alp_vw___</v>
      </c>
      <c r="BK852" s="35" t="str">
        <f>LOWER(Buying_Metric&amp;"_"&amp;VLOOKUP(Buying_Type,Buy_type,2,FALSE)&amp;"_"&amp;Device&amp;"_"&amp;Size&amp;"_"&amp;Segmentação&amp;"_"&amp;Segmentação_Anúncio)</f>
        <v>#N/A</v>
      </c>
      <c r="BL852" s="35" t="str">
        <f>LOWER(Campanha_ou_InsertionOrder&amp;"_"&amp;LineItem_ou_Grupodeanúncio&amp;"_"&amp;Linha_criativa_2&amp;"_"&amp;Unique_ID)</f>
        <v>#N/A</v>
      </c>
      <c r="BM852" s="27"/>
      <c r="BN852" s="27"/>
    </row>
    <row r="853">
      <c r="A853" s="1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8" t="str">
        <f>LOWER(Campanha_ou_InsertionOrder&amp;"_"&amp;LineItem_ou_Grupodeanúncio&amp;"_"&amp;Linha_Criativa&amp;"_"&amp;Unique_ID)</f>
        <v>#N/A</v>
      </c>
      <c r="AN853" s="28" t="str">
        <f>LOWER(Campanha_ou_InsertionOrder&amp;"_"&amp;LineItem_ou_Grupodeanúncio&amp;"_"&amp;Linha_Criativa&amp;"_"&amp;Unique_ID)</f>
        <v>#N/A</v>
      </c>
      <c r="AO853" s="28" t="str">
        <f>LOWER("VW"&amp;"_"&amp;Model_Variant&amp;"_"&amp;Size&amp;"_"&amp;Linha_Criativa&amp;"_"&amp;IF(Servido_Por="portal",Veiculo,"adserver"))</f>
        <v>vw____adserver</v>
      </c>
      <c r="AP8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3" s="22" t="str">
        <f t="shared" si="1"/>
        <v/>
      </c>
      <c r="AS853" s="22" t="str">
        <f t="shared" si="2"/>
        <v/>
      </c>
      <c r="AT853" s="22" t="str">
        <f t="shared" si="3"/>
        <v>BR_IMC_DSY_LANCH_ND_NC_2020Q3AUG_NVS_Nivus-Launch-Consideracao</v>
      </c>
      <c r="AU853" s="22" t="str">
        <f t="shared" si="4"/>
        <v>#N/A</v>
      </c>
      <c r="AV853" s="22" t="s">
        <v>106</v>
      </c>
      <c r="AW8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3" s="22" t="str">
        <f t="shared" si="5"/>
        <v>BR_IMC_DSY_LANCH_ND_NC_2020Q3AUG_NVS_Nivus-Launch-Consideracao</v>
      </c>
      <c r="AY853" s="28" t="str">
        <f t="shared" si="6"/>
        <v>#N/A</v>
      </c>
      <c r="AZ853" s="22" t="s">
        <v>107</v>
      </c>
      <c r="BA853" s="22" t="s">
        <v>108</v>
      </c>
      <c r="BB853" s="31" t="s">
        <v>109</v>
      </c>
      <c r="BC853" s="31" t="s">
        <v>109</v>
      </c>
      <c r="BD853" s="32" t="str">
        <f t="shared" si="8"/>
        <v>nvl-nvs-imc-dsy-0820-10847</v>
      </c>
      <c r="BE853" s="33"/>
      <c r="BF853" s="33"/>
      <c r="BG853" s="39" t="str">
        <f>URL&amp;IF(ISNUMBER(FIND("?",URL)),"&amp;","?"&amp;("adlid="&amp;Unique_ID&amp;"&amp;adplt="&amp;Placement))</f>
        <v>#N/A</v>
      </c>
      <c r="BH853" s="1"/>
      <c r="BI853" s="1"/>
      <c r="BJ853" s="35" t="str">
        <f>LOWER("alp"&amp;"_"&amp;"vw"&amp;"_"&amp;Veiculo&amp;"_"&amp;C849&amp;"_"&amp;Objetivo)</f>
        <v>alp_vw___</v>
      </c>
      <c r="BK853" s="35" t="str">
        <f>LOWER(Buying_Metric&amp;"_"&amp;VLOOKUP(Buying_Type,Buy_type,2,FALSE)&amp;"_"&amp;Device&amp;"_"&amp;Size&amp;"_"&amp;Segmentação&amp;"_"&amp;Segmentação_Anúncio)</f>
        <v>#N/A</v>
      </c>
      <c r="BL853" s="35" t="str">
        <f>LOWER(Campanha_ou_InsertionOrder&amp;"_"&amp;LineItem_ou_Grupodeanúncio&amp;"_"&amp;Linha_criativa_2&amp;"_"&amp;Unique_ID)</f>
        <v>#N/A</v>
      </c>
      <c r="BM853" s="27"/>
      <c r="BN853" s="27"/>
    </row>
    <row r="854">
      <c r="A854" s="1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8" t="str">
        <f>LOWER(Campanha_ou_InsertionOrder&amp;"_"&amp;LineItem_ou_Grupodeanúncio&amp;"_"&amp;Linha_Criativa&amp;"_"&amp;Unique_ID)</f>
        <v>#N/A</v>
      </c>
      <c r="AN854" s="28" t="str">
        <f>LOWER(Campanha_ou_InsertionOrder&amp;"_"&amp;LineItem_ou_Grupodeanúncio&amp;"_"&amp;Linha_Criativa&amp;"_"&amp;Unique_ID)</f>
        <v>#N/A</v>
      </c>
      <c r="AO854" s="28" t="str">
        <f>LOWER("VW"&amp;"_"&amp;Model_Variant&amp;"_"&amp;Size&amp;"_"&amp;Linha_Criativa&amp;"_"&amp;IF(Servido_Por="portal",Veiculo,"adserver"))</f>
        <v>vw____adserver</v>
      </c>
      <c r="AP8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4" s="22" t="str">
        <f t="shared" si="1"/>
        <v/>
      </c>
      <c r="AS854" s="22" t="str">
        <f t="shared" si="2"/>
        <v/>
      </c>
      <c r="AT854" s="22" t="str">
        <f t="shared" si="3"/>
        <v>BR_IMC_DSY_LANCH_ND_NC_2020Q3AUG_NVS_Nivus-Launch-Consideracao</v>
      </c>
      <c r="AU854" s="22" t="str">
        <f t="shared" si="4"/>
        <v>#N/A</v>
      </c>
      <c r="AV854" s="22" t="s">
        <v>106</v>
      </c>
      <c r="AW8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4" s="22" t="str">
        <f t="shared" si="5"/>
        <v>BR_IMC_DSY_LANCH_ND_NC_2020Q3AUG_NVS_Nivus-Launch-Consideracao</v>
      </c>
      <c r="AY854" s="28" t="str">
        <f t="shared" si="6"/>
        <v>#N/A</v>
      </c>
      <c r="AZ854" s="22" t="s">
        <v>107</v>
      </c>
      <c r="BA854" s="22" t="s">
        <v>108</v>
      </c>
      <c r="BB854" s="31" t="s">
        <v>109</v>
      </c>
      <c r="BC854" s="31" t="s">
        <v>109</v>
      </c>
      <c r="BD854" s="32" t="str">
        <f t="shared" si="8"/>
        <v>nvl-nvs-imc-dsy-0820-10848</v>
      </c>
      <c r="BE854" s="33"/>
      <c r="BF854" s="33"/>
      <c r="BG854" s="39" t="str">
        <f>URL&amp;IF(ISNUMBER(FIND("?",URL)),"&amp;","?"&amp;("adlid="&amp;Unique_ID&amp;"&amp;adplt="&amp;Placement))</f>
        <v>#N/A</v>
      </c>
      <c r="BH854" s="1"/>
      <c r="BI854" s="1"/>
      <c r="BJ854" s="35" t="str">
        <f>LOWER("alp"&amp;"_"&amp;"vw"&amp;"_"&amp;Veiculo&amp;"_"&amp;C850&amp;"_"&amp;Objetivo)</f>
        <v>alp_vw___</v>
      </c>
      <c r="BK854" s="35" t="str">
        <f>LOWER(Buying_Metric&amp;"_"&amp;VLOOKUP(Buying_Type,Buy_type,2,FALSE)&amp;"_"&amp;Device&amp;"_"&amp;Size&amp;"_"&amp;Segmentação&amp;"_"&amp;Segmentação_Anúncio)</f>
        <v>#N/A</v>
      </c>
      <c r="BL854" s="35" t="str">
        <f>LOWER(Campanha_ou_InsertionOrder&amp;"_"&amp;LineItem_ou_Grupodeanúncio&amp;"_"&amp;Linha_criativa_2&amp;"_"&amp;Unique_ID)</f>
        <v>#N/A</v>
      </c>
      <c r="BM854" s="27"/>
      <c r="BN854" s="27"/>
    </row>
    <row r="855">
      <c r="A855" s="1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8" t="str">
        <f>LOWER(Campanha_ou_InsertionOrder&amp;"_"&amp;LineItem_ou_Grupodeanúncio&amp;"_"&amp;Linha_Criativa&amp;"_"&amp;Unique_ID)</f>
        <v>#N/A</v>
      </c>
      <c r="AN855" s="28" t="str">
        <f>LOWER(Campanha_ou_InsertionOrder&amp;"_"&amp;LineItem_ou_Grupodeanúncio&amp;"_"&amp;Linha_Criativa&amp;"_"&amp;Unique_ID)</f>
        <v>#N/A</v>
      </c>
      <c r="AO855" s="28" t="str">
        <f>LOWER("VW"&amp;"_"&amp;Model_Variant&amp;"_"&amp;Size&amp;"_"&amp;Linha_Criativa&amp;"_"&amp;IF(Servido_Por="portal",Veiculo,"adserver"))</f>
        <v>vw____adserver</v>
      </c>
      <c r="AP8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5" s="22" t="str">
        <f t="shared" si="1"/>
        <v/>
      </c>
      <c r="AS855" s="22" t="str">
        <f t="shared" si="2"/>
        <v/>
      </c>
      <c r="AT855" s="22" t="str">
        <f t="shared" si="3"/>
        <v>BR_IMC_DSY_LANCH_ND_NC_2020Q3AUG_NVS_Nivus-Launch-Consideracao</v>
      </c>
      <c r="AU855" s="22" t="str">
        <f t="shared" si="4"/>
        <v>#N/A</v>
      </c>
      <c r="AV855" s="22" t="s">
        <v>106</v>
      </c>
      <c r="AW8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5" s="22" t="str">
        <f t="shared" si="5"/>
        <v>BR_IMC_DSY_LANCH_ND_NC_2020Q3AUG_NVS_Nivus-Launch-Consideracao</v>
      </c>
      <c r="AY855" s="28" t="str">
        <f t="shared" si="6"/>
        <v>#N/A</v>
      </c>
      <c r="AZ855" s="22" t="s">
        <v>107</v>
      </c>
      <c r="BA855" s="22" t="s">
        <v>108</v>
      </c>
      <c r="BB855" s="31" t="s">
        <v>109</v>
      </c>
      <c r="BC855" s="31" t="s">
        <v>109</v>
      </c>
      <c r="BD855" s="32" t="str">
        <f t="shared" si="8"/>
        <v>nvl-nvs-imc-dsy-0820-10849</v>
      </c>
      <c r="BE855" s="33"/>
      <c r="BF855" s="33"/>
      <c r="BG855" s="39" t="str">
        <f>URL&amp;IF(ISNUMBER(FIND("?",URL)),"&amp;","?"&amp;("adlid="&amp;Unique_ID&amp;"&amp;adplt="&amp;Placement))</f>
        <v>#N/A</v>
      </c>
      <c r="BH855" s="1"/>
      <c r="BI855" s="1"/>
      <c r="BJ855" s="35" t="str">
        <f>LOWER("alp"&amp;"_"&amp;"vw"&amp;"_"&amp;Veiculo&amp;"_"&amp;C851&amp;"_"&amp;Objetivo)</f>
        <v>alp_vw___</v>
      </c>
      <c r="BK855" s="35" t="str">
        <f>LOWER(Buying_Metric&amp;"_"&amp;VLOOKUP(Buying_Type,Buy_type,2,FALSE)&amp;"_"&amp;Device&amp;"_"&amp;Size&amp;"_"&amp;Segmentação&amp;"_"&amp;Segmentação_Anúncio)</f>
        <v>#N/A</v>
      </c>
      <c r="BL855" s="35" t="str">
        <f>LOWER(Campanha_ou_InsertionOrder&amp;"_"&amp;LineItem_ou_Grupodeanúncio&amp;"_"&amp;Linha_criativa_2&amp;"_"&amp;Unique_ID)</f>
        <v>#N/A</v>
      </c>
      <c r="BM855" s="27"/>
      <c r="BN855" s="27"/>
    </row>
    <row r="856">
      <c r="A856" s="1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8" t="str">
        <f>LOWER(Campanha_ou_InsertionOrder&amp;"_"&amp;LineItem_ou_Grupodeanúncio&amp;"_"&amp;Linha_Criativa&amp;"_"&amp;Unique_ID)</f>
        <v>#N/A</v>
      </c>
      <c r="AN856" s="28" t="str">
        <f>LOWER(Campanha_ou_InsertionOrder&amp;"_"&amp;LineItem_ou_Grupodeanúncio&amp;"_"&amp;Linha_Criativa&amp;"_"&amp;Unique_ID)</f>
        <v>#N/A</v>
      </c>
      <c r="AO856" s="28" t="str">
        <f>LOWER("VW"&amp;"_"&amp;Model_Variant&amp;"_"&amp;Size&amp;"_"&amp;Linha_Criativa&amp;"_"&amp;IF(Servido_Por="portal",Veiculo,"adserver"))</f>
        <v>vw____adserver</v>
      </c>
      <c r="AP8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6" s="22" t="str">
        <f t="shared" si="1"/>
        <v/>
      </c>
      <c r="AS856" s="22" t="str">
        <f t="shared" si="2"/>
        <v/>
      </c>
      <c r="AT856" s="22" t="str">
        <f t="shared" si="3"/>
        <v>BR_IMC_DSY_LANCH_ND_NC_2020Q3AUG_NVS_Nivus-Launch-Consideracao</v>
      </c>
      <c r="AU856" s="22" t="str">
        <f t="shared" si="4"/>
        <v>#N/A</v>
      </c>
      <c r="AV856" s="22" t="s">
        <v>106</v>
      </c>
      <c r="AW8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6" s="22" t="str">
        <f t="shared" si="5"/>
        <v>BR_IMC_DSY_LANCH_ND_NC_2020Q3AUG_NVS_Nivus-Launch-Consideracao</v>
      </c>
      <c r="AY856" s="28" t="str">
        <f t="shared" si="6"/>
        <v>#N/A</v>
      </c>
      <c r="AZ856" s="22" t="s">
        <v>107</v>
      </c>
      <c r="BA856" s="22" t="s">
        <v>108</v>
      </c>
      <c r="BB856" s="31" t="s">
        <v>109</v>
      </c>
      <c r="BC856" s="31" t="s">
        <v>109</v>
      </c>
      <c r="BD856" s="32" t="str">
        <f t="shared" si="8"/>
        <v>nvl-nvs-imc-dsy-0820-10850</v>
      </c>
      <c r="BE856" s="33"/>
      <c r="BF856" s="33"/>
      <c r="BG856" s="39" t="str">
        <f>URL&amp;IF(ISNUMBER(FIND("?",URL)),"&amp;","?"&amp;("adlid="&amp;Unique_ID&amp;"&amp;adplt="&amp;Placement))</f>
        <v>#N/A</v>
      </c>
      <c r="BH856" s="1"/>
      <c r="BI856" s="1"/>
      <c r="BJ856" s="35" t="str">
        <f>LOWER("alp"&amp;"_"&amp;"vw"&amp;"_"&amp;Veiculo&amp;"_"&amp;C852&amp;"_"&amp;Objetivo)</f>
        <v>alp_vw___</v>
      </c>
      <c r="BK856" s="35" t="str">
        <f>LOWER(Buying_Metric&amp;"_"&amp;VLOOKUP(Buying_Type,Buy_type,2,FALSE)&amp;"_"&amp;Device&amp;"_"&amp;Size&amp;"_"&amp;Segmentação&amp;"_"&amp;Segmentação_Anúncio)</f>
        <v>#N/A</v>
      </c>
      <c r="BL856" s="35" t="str">
        <f>LOWER(Campanha_ou_InsertionOrder&amp;"_"&amp;LineItem_ou_Grupodeanúncio&amp;"_"&amp;Linha_criativa_2&amp;"_"&amp;Unique_ID)</f>
        <v>#N/A</v>
      </c>
      <c r="BM856" s="27"/>
      <c r="BN856" s="27"/>
    </row>
    <row r="857">
      <c r="A857" s="1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8" t="str">
        <f>LOWER(Campanha_ou_InsertionOrder&amp;"_"&amp;LineItem_ou_Grupodeanúncio&amp;"_"&amp;Linha_Criativa&amp;"_"&amp;Unique_ID)</f>
        <v>#N/A</v>
      </c>
      <c r="AN857" s="28" t="str">
        <f>LOWER(Campanha_ou_InsertionOrder&amp;"_"&amp;LineItem_ou_Grupodeanúncio&amp;"_"&amp;Linha_Criativa&amp;"_"&amp;Unique_ID)</f>
        <v>#N/A</v>
      </c>
      <c r="AO857" s="28" t="str">
        <f>LOWER("VW"&amp;"_"&amp;Model_Variant&amp;"_"&amp;Size&amp;"_"&amp;Linha_Criativa&amp;"_"&amp;IF(Servido_Por="portal",Veiculo,"adserver"))</f>
        <v>vw____adserver</v>
      </c>
      <c r="AP8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7" s="22" t="str">
        <f t="shared" si="1"/>
        <v/>
      </c>
      <c r="AS857" s="22" t="str">
        <f t="shared" si="2"/>
        <v/>
      </c>
      <c r="AT857" s="22" t="str">
        <f t="shared" si="3"/>
        <v>BR_IMC_DSY_LANCH_ND_NC_2020Q3AUG_NVS_Nivus-Launch-Consideracao</v>
      </c>
      <c r="AU857" s="22" t="str">
        <f t="shared" si="4"/>
        <v>#N/A</v>
      </c>
      <c r="AV857" s="22" t="s">
        <v>106</v>
      </c>
      <c r="AW8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7" s="22" t="str">
        <f t="shared" si="5"/>
        <v>BR_IMC_DSY_LANCH_ND_NC_2020Q3AUG_NVS_Nivus-Launch-Consideracao</v>
      </c>
      <c r="AY857" s="28" t="str">
        <f t="shared" si="6"/>
        <v>#N/A</v>
      </c>
      <c r="AZ857" s="22" t="s">
        <v>107</v>
      </c>
      <c r="BA857" s="22" t="s">
        <v>108</v>
      </c>
      <c r="BB857" s="31" t="s">
        <v>109</v>
      </c>
      <c r="BC857" s="31" t="s">
        <v>109</v>
      </c>
      <c r="BD857" s="32" t="str">
        <f t="shared" si="8"/>
        <v>nvl-nvs-imc-dsy-0820-10851</v>
      </c>
      <c r="BE857" s="33"/>
      <c r="BF857" s="33"/>
      <c r="BG857" s="39" t="str">
        <f>URL&amp;IF(ISNUMBER(FIND("?",URL)),"&amp;","?"&amp;("adlid="&amp;Unique_ID&amp;"&amp;adplt="&amp;Placement))</f>
        <v>#N/A</v>
      </c>
      <c r="BH857" s="1"/>
      <c r="BI857" s="1"/>
      <c r="BJ857" s="35" t="str">
        <f>LOWER("alp"&amp;"_"&amp;"vw"&amp;"_"&amp;Veiculo&amp;"_"&amp;C853&amp;"_"&amp;Objetivo)</f>
        <v>alp_vw___</v>
      </c>
      <c r="BK857" s="35" t="str">
        <f>LOWER(Buying_Metric&amp;"_"&amp;VLOOKUP(Buying_Type,Buy_type,2,FALSE)&amp;"_"&amp;Device&amp;"_"&amp;Size&amp;"_"&amp;Segmentação&amp;"_"&amp;Segmentação_Anúncio)</f>
        <v>#N/A</v>
      </c>
      <c r="BL857" s="35" t="str">
        <f>LOWER(Campanha_ou_InsertionOrder&amp;"_"&amp;LineItem_ou_Grupodeanúncio&amp;"_"&amp;Linha_criativa_2&amp;"_"&amp;Unique_ID)</f>
        <v>#N/A</v>
      </c>
      <c r="BM857" s="27"/>
      <c r="BN857" s="27"/>
    </row>
    <row r="858">
      <c r="A858" s="1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8" t="str">
        <f>LOWER(Campanha_ou_InsertionOrder&amp;"_"&amp;LineItem_ou_Grupodeanúncio&amp;"_"&amp;Linha_Criativa&amp;"_"&amp;Unique_ID)</f>
        <v>#N/A</v>
      </c>
      <c r="AN858" s="28" t="str">
        <f>LOWER(Campanha_ou_InsertionOrder&amp;"_"&amp;LineItem_ou_Grupodeanúncio&amp;"_"&amp;Linha_Criativa&amp;"_"&amp;Unique_ID)</f>
        <v>#N/A</v>
      </c>
      <c r="AO858" s="28" t="str">
        <f>LOWER("VW"&amp;"_"&amp;Model_Variant&amp;"_"&amp;Size&amp;"_"&amp;Linha_Criativa&amp;"_"&amp;IF(Servido_Por="portal",Veiculo,"adserver"))</f>
        <v>vw____adserver</v>
      </c>
      <c r="AP8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8" s="22" t="str">
        <f t="shared" si="1"/>
        <v/>
      </c>
      <c r="AS858" s="22" t="str">
        <f t="shared" si="2"/>
        <v/>
      </c>
      <c r="AT858" s="22" t="str">
        <f t="shared" si="3"/>
        <v>BR_IMC_DSY_LANCH_ND_NC_2020Q3AUG_NVS_Nivus-Launch-Consideracao</v>
      </c>
      <c r="AU858" s="22" t="str">
        <f t="shared" si="4"/>
        <v>#N/A</v>
      </c>
      <c r="AV858" s="22" t="s">
        <v>106</v>
      </c>
      <c r="AW8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8" s="22" t="str">
        <f t="shared" si="5"/>
        <v>BR_IMC_DSY_LANCH_ND_NC_2020Q3AUG_NVS_Nivus-Launch-Consideracao</v>
      </c>
      <c r="AY858" s="28" t="str">
        <f t="shared" si="6"/>
        <v>#N/A</v>
      </c>
      <c r="AZ858" s="22" t="s">
        <v>107</v>
      </c>
      <c r="BA858" s="22" t="s">
        <v>108</v>
      </c>
      <c r="BB858" s="31" t="s">
        <v>109</v>
      </c>
      <c r="BC858" s="31" t="s">
        <v>109</v>
      </c>
      <c r="BD858" s="32" t="str">
        <f t="shared" si="8"/>
        <v>nvl-nvs-imc-dsy-0820-10852</v>
      </c>
      <c r="BE858" s="33"/>
      <c r="BF858" s="33"/>
      <c r="BG858" s="39" t="str">
        <f>URL&amp;IF(ISNUMBER(FIND("?",URL)),"&amp;","?"&amp;("adlid="&amp;Unique_ID&amp;"&amp;adplt="&amp;Placement))</f>
        <v>#N/A</v>
      </c>
      <c r="BH858" s="1"/>
      <c r="BI858" s="1"/>
      <c r="BJ858" s="35" t="str">
        <f>LOWER("alp"&amp;"_"&amp;"vw"&amp;"_"&amp;Veiculo&amp;"_"&amp;C854&amp;"_"&amp;Objetivo)</f>
        <v>alp_vw___</v>
      </c>
      <c r="BK858" s="35" t="str">
        <f>LOWER(Buying_Metric&amp;"_"&amp;VLOOKUP(Buying_Type,Buy_type,2,FALSE)&amp;"_"&amp;Device&amp;"_"&amp;Size&amp;"_"&amp;Segmentação&amp;"_"&amp;Segmentação_Anúncio)</f>
        <v>#N/A</v>
      </c>
      <c r="BL858" s="35" t="str">
        <f>LOWER(Campanha_ou_InsertionOrder&amp;"_"&amp;LineItem_ou_Grupodeanúncio&amp;"_"&amp;Linha_criativa_2&amp;"_"&amp;Unique_ID)</f>
        <v>#N/A</v>
      </c>
      <c r="BM858" s="27"/>
      <c r="BN858" s="27"/>
    </row>
    <row r="859">
      <c r="A859" s="1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8" t="str">
        <f>LOWER(Campanha_ou_InsertionOrder&amp;"_"&amp;LineItem_ou_Grupodeanúncio&amp;"_"&amp;Linha_Criativa&amp;"_"&amp;Unique_ID)</f>
        <v>#N/A</v>
      </c>
      <c r="AN859" s="28" t="str">
        <f>LOWER(Campanha_ou_InsertionOrder&amp;"_"&amp;LineItem_ou_Grupodeanúncio&amp;"_"&amp;Linha_Criativa&amp;"_"&amp;Unique_ID)</f>
        <v>#N/A</v>
      </c>
      <c r="AO859" s="28" t="str">
        <f>LOWER("VW"&amp;"_"&amp;Model_Variant&amp;"_"&amp;Size&amp;"_"&amp;Linha_Criativa&amp;"_"&amp;IF(Servido_Por="portal",Veiculo,"adserver"))</f>
        <v>vw____adserver</v>
      </c>
      <c r="AP8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59" s="22" t="str">
        <f t="shared" si="1"/>
        <v/>
      </c>
      <c r="AS859" s="22" t="str">
        <f t="shared" si="2"/>
        <v/>
      </c>
      <c r="AT859" s="22" t="str">
        <f t="shared" si="3"/>
        <v>BR_IMC_DSY_LANCH_ND_NC_2020Q3AUG_NVS_Nivus-Launch-Consideracao</v>
      </c>
      <c r="AU859" s="22" t="str">
        <f t="shared" si="4"/>
        <v>#N/A</v>
      </c>
      <c r="AV859" s="22" t="s">
        <v>106</v>
      </c>
      <c r="AW8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59" s="22" t="str">
        <f t="shared" si="5"/>
        <v>BR_IMC_DSY_LANCH_ND_NC_2020Q3AUG_NVS_Nivus-Launch-Consideracao</v>
      </c>
      <c r="AY859" s="28" t="str">
        <f t="shared" si="6"/>
        <v>#N/A</v>
      </c>
      <c r="AZ859" s="22" t="s">
        <v>107</v>
      </c>
      <c r="BA859" s="22" t="s">
        <v>108</v>
      </c>
      <c r="BB859" s="31" t="s">
        <v>109</v>
      </c>
      <c r="BC859" s="31" t="s">
        <v>109</v>
      </c>
      <c r="BD859" s="32" t="str">
        <f t="shared" si="8"/>
        <v>nvl-nvs-imc-dsy-0820-10853</v>
      </c>
      <c r="BE859" s="33"/>
      <c r="BF859" s="33"/>
      <c r="BG859" s="39" t="str">
        <f>URL&amp;IF(ISNUMBER(FIND("?",URL)),"&amp;","?"&amp;("adlid="&amp;Unique_ID&amp;"&amp;adplt="&amp;Placement))</f>
        <v>#N/A</v>
      </c>
      <c r="BH859" s="1"/>
      <c r="BI859" s="1"/>
      <c r="BJ859" s="35" t="str">
        <f>LOWER("alp"&amp;"_"&amp;"vw"&amp;"_"&amp;Veiculo&amp;"_"&amp;C855&amp;"_"&amp;Objetivo)</f>
        <v>alp_vw___</v>
      </c>
      <c r="BK859" s="35" t="str">
        <f>LOWER(Buying_Metric&amp;"_"&amp;VLOOKUP(Buying_Type,Buy_type,2,FALSE)&amp;"_"&amp;Device&amp;"_"&amp;Size&amp;"_"&amp;Segmentação&amp;"_"&amp;Segmentação_Anúncio)</f>
        <v>#N/A</v>
      </c>
      <c r="BL859" s="35" t="str">
        <f>LOWER(Campanha_ou_InsertionOrder&amp;"_"&amp;LineItem_ou_Grupodeanúncio&amp;"_"&amp;Linha_criativa_2&amp;"_"&amp;Unique_ID)</f>
        <v>#N/A</v>
      </c>
      <c r="BM859" s="27"/>
      <c r="BN859" s="27"/>
    </row>
    <row r="860">
      <c r="A860" s="1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8" t="str">
        <f>LOWER(Campanha_ou_InsertionOrder&amp;"_"&amp;LineItem_ou_Grupodeanúncio&amp;"_"&amp;Linha_Criativa&amp;"_"&amp;Unique_ID)</f>
        <v>#N/A</v>
      </c>
      <c r="AN860" s="28" t="str">
        <f>LOWER(Campanha_ou_InsertionOrder&amp;"_"&amp;LineItem_ou_Grupodeanúncio&amp;"_"&amp;Linha_Criativa&amp;"_"&amp;Unique_ID)</f>
        <v>#N/A</v>
      </c>
      <c r="AO860" s="28" t="str">
        <f>LOWER("VW"&amp;"_"&amp;Model_Variant&amp;"_"&amp;Size&amp;"_"&amp;Linha_Criativa&amp;"_"&amp;IF(Servido_Por="portal",Veiculo,"adserver"))</f>
        <v>vw____adserver</v>
      </c>
      <c r="AP8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0" s="22" t="str">
        <f t="shared" si="1"/>
        <v/>
      </c>
      <c r="AS860" s="22" t="str">
        <f t="shared" si="2"/>
        <v/>
      </c>
      <c r="AT860" s="22" t="str">
        <f t="shared" si="3"/>
        <v>BR_IMC_DSY_LANCH_ND_NC_2020Q3AUG_NVS_Nivus-Launch-Consideracao</v>
      </c>
      <c r="AU860" s="22" t="str">
        <f t="shared" si="4"/>
        <v>#N/A</v>
      </c>
      <c r="AV860" s="22" t="s">
        <v>106</v>
      </c>
      <c r="AW8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0" s="22" t="str">
        <f t="shared" si="5"/>
        <v>BR_IMC_DSY_LANCH_ND_NC_2020Q3AUG_NVS_Nivus-Launch-Consideracao</v>
      </c>
      <c r="AY860" s="28" t="str">
        <f t="shared" si="6"/>
        <v>#N/A</v>
      </c>
      <c r="AZ860" s="22" t="s">
        <v>107</v>
      </c>
      <c r="BA860" s="22" t="s">
        <v>108</v>
      </c>
      <c r="BB860" s="31" t="s">
        <v>109</v>
      </c>
      <c r="BC860" s="31" t="s">
        <v>109</v>
      </c>
      <c r="BD860" s="32" t="str">
        <f t="shared" si="8"/>
        <v>nvl-nvs-imc-dsy-0820-10854</v>
      </c>
      <c r="BE860" s="33"/>
      <c r="BF860" s="33"/>
      <c r="BG860" s="39" t="str">
        <f>URL&amp;IF(ISNUMBER(FIND("?",URL)),"&amp;","?"&amp;("adlid="&amp;Unique_ID&amp;"&amp;adplt="&amp;Placement))</f>
        <v>#N/A</v>
      </c>
      <c r="BH860" s="1"/>
      <c r="BI860" s="1"/>
      <c r="BJ860" s="35" t="str">
        <f>LOWER("alp"&amp;"_"&amp;"vw"&amp;"_"&amp;Veiculo&amp;"_"&amp;C856&amp;"_"&amp;Objetivo)</f>
        <v>alp_vw___</v>
      </c>
      <c r="BK860" s="35" t="str">
        <f>LOWER(Buying_Metric&amp;"_"&amp;VLOOKUP(Buying_Type,Buy_type,2,FALSE)&amp;"_"&amp;Device&amp;"_"&amp;Size&amp;"_"&amp;Segmentação&amp;"_"&amp;Segmentação_Anúncio)</f>
        <v>#N/A</v>
      </c>
      <c r="BL860" s="35" t="str">
        <f>LOWER(Campanha_ou_InsertionOrder&amp;"_"&amp;LineItem_ou_Grupodeanúncio&amp;"_"&amp;Linha_criativa_2&amp;"_"&amp;Unique_ID)</f>
        <v>#N/A</v>
      </c>
      <c r="BM860" s="27"/>
      <c r="BN860" s="27"/>
    </row>
    <row r="861">
      <c r="A861" s="1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8" t="str">
        <f>LOWER(Campanha_ou_InsertionOrder&amp;"_"&amp;LineItem_ou_Grupodeanúncio&amp;"_"&amp;Linha_Criativa&amp;"_"&amp;Unique_ID)</f>
        <v>#N/A</v>
      </c>
      <c r="AN861" s="28" t="str">
        <f>LOWER(Campanha_ou_InsertionOrder&amp;"_"&amp;LineItem_ou_Grupodeanúncio&amp;"_"&amp;Linha_Criativa&amp;"_"&amp;Unique_ID)</f>
        <v>#N/A</v>
      </c>
      <c r="AO861" s="28" t="str">
        <f>LOWER("VW"&amp;"_"&amp;Model_Variant&amp;"_"&amp;Size&amp;"_"&amp;Linha_Criativa&amp;"_"&amp;IF(Servido_Por="portal",Veiculo,"adserver"))</f>
        <v>vw____adserver</v>
      </c>
      <c r="AP8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1" s="22" t="str">
        <f t="shared" si="1"/>
        <v/>
      </c>
      <c r="AS861" s="22" t="str">
        <f t="shared" si="2"/>
        <v/>
      </c>
      <c r="AT861" s="22" t="str">
        <f t="shared" si="3"/>
        <v>BR_IMC_DSY_LANCH_ND_NC_2020Q3AUG_NVS_Nivus-Launch-Consideracao</v>
      </c>
      <c r="AU861" s="22" t="str">
        <f t="shared" si="4"/>
        <v>#N/A</v>
      </c>
      <c r="AV861" s="22" t="s">
        <v>106</v>
      </c>
      <c r="AW8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1" s="22" t="str">
        <f t="shared" si="5"/>
        <v>BR_IMC_DSY_LANCH_ND_NC_2020Q3AUG_NVS_Nivus-Launch-Consideracao</v>
      </c>
      <c r="AY861" s="28" t="str">
        <f t="shared" si="6"/>
        <v>#N/A</v>
      </c>
      <c r="AZ861" s="22" t="s">
        <v>107</v>
      </c>
      <c r="BA861" s="22" t="s">
        <v>108</v>
      </c>
      <c r="BB861" s="31" t="s">
        <v>109</v>
      </c>
      <c r="BC861" s="31" t="s">
        <v>109</v>
      </c>
      <c r="BD861" s="32" t="str">
        <f t="shared" si="8"/>
        <v>nvl-nvs-imc-dsy-0820-10855</v>
      </c>
      <c r="BE861" s="33"/>
      <c r="BF861" s="33"/>
      <c r="BG861" s="39" t="str">
        <f>URL&amp;IF(ISNUMBER(FIND("?",URL)),"&amp;","?"&amp;("adlid="&amp;Unique_ID&amp;"&amp;adplt="&amp;Placement))</f>
        <v>#N/A</v>
      </c>
      <c r="BH861" s="1"/>
      <c r="BI861" s="1"/>
      <c r="BJ861" s="35" t="str">
        <f>LOWER("alp"&amp;"_"&amp;"vw"&amp;"_"&amp;Veiculo&amp;"_"&amp;C857&amp;"_"&amp;Objetivo)</f>
        <v>alp_vw___</v>
      </c>
      <c r="BK861" s="35" t="str">
        <f>LOWER(Buying_Metric&amp;"_"&amp;VLOOKUP(Buying_Type,Buy_type,2,FALSE)&amp;"_"&amp;Device&amp;"_"&amp;Size&amp;"_"&amp;Segmentação&amp;"_"&amp;Segmentação_Anúncio)</f>
        <v>#N/A</v>
      </c>
      <c r="BL861" s="35" t="str">
        <f>LOWER(Campanha_ou_InsertionOrder&amp;"_"&amp;LineItem_ou_Grupodeanúncio&amp;"_"&amp;Linha_criativa_2&amp;"_"&amp;Unique_ID)</f>
        <v>#N/A</v>
      </c>
      <c r="BM861" s="27"/>
      <c r="BN861" s="27"/>
    </row>
    <row r="862">
      <c r="A862" s="1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tr">
        <f>LOWER(Campanha_ou_InsertionOrder&amp;"_"&amp;LineItem_ou_Grupodeanúncio&amp;"_"&amp;Linha_Criativa&amp;"_"&amp;Unique_ID)</f>
        <v>#N/A</v>
      </c>
      <c r="AN862" s="28" t="str">
        <f>LOWER(Campanha_ou_InsertionOrder&amp;"_"&amp;LineItem_ou_Grupodeanúncio&amp;"_"&amp;Linha_Criativa&amp;"_"&amp;Unique_ID)</f>
        <v>#N/A</v>
      </c>
      <c r="AO862" s="28" t="str">
        <f>LOWER("VW"&amp;"_"&amp;Model_Variant&amp;"_"&amp;Size&amp;"_"&amp;Linha_Criativa&amp;"_"&amp;IF(Servido_Por="portal",Veiculo,"adserver"))</f>
        <v>vw____adserver</v>
      </c>
      <c r="AP8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2" s="22" t="str">
        <f t="shared" si="1"/>
        <v/>
      </c>
      <c r="AS862" s="22" t="str">
        <f t="shared" si="2"/>
        <v/>
      </c>
      <c r="AT862" s="22" t="str">
        <f t="shared" si="3"/>
        <v>BR_IMC_DSY_LANCH_ND_NC_2020Q3AUG_NVS_Nivus-Launch-Consideracao</v>
      </c>
      <c r="AU862" s="22" t="str">
        <f t="shared" si="4"/>
        <v>#N/A</v>
      </c>
      <c r="AV862" s="22" t="s">
        <v>106</v>
      </c>
      <c r="AW8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2" s="22" t="str">
        <f t="shared" si="5"/>
        <v>BR_IMC_DSY_LANCH_ND_NC_2020Q3AUG_NVS_Nivus-Launch-Consideracao</v>
      </c>
      <c r="AY862" s="28" t="str">
        <f t="shared" si="6"/>
        <v>#N/A</v>
      </c>
      <c r="AZ862" s="22" t="s">
        <v>107</v>
      </c>
      <c r="BA862" s="22" t="s">
        <v>108</v>
      </c>
      <c r="BB862" s="31" t="s">
        <v>109</v>
      </c>
      <c r="BC862" s="31" t="s">
        <v>109</v>
      </c>
      <c r="BD862" s="32" t="str">
        <f t="shared" si="8"/>
        <v>nvl-nvs-imc-dsy-0820-10856</v>
      </c>
      <c r="BE862" s="33"/>
      <c r="BF862" s="33"/>
      <c r="BG862" s="39" t="str">
        <f>URL&amp;IF(ISNUMBER(FIND("?",URL)),"&amp;","?"&amp;("adlid="&amp;Unique_ID&amp;"&amp;adplt="&amp;Placement))</f>
        <v>#N/A</v>
      </c>
      <c r="BH862" s="1"/>
      <c r="BI862" s="1"/>
      <c r="BJ862" s="35" t="str">
        <f>LOWER("alp"&amp;"_"&amp;"vw"&amp;"_"&amp;Veiculo&amp;"_"&amp;C858&amp;"_"&amp;Objetivo)</f>
        <v>alp_vw___</v>
      </c>
      <c r="BK862" s="35" t="str">
        <f>LOWER(Buying_Metric&amp;"_"&amp;VLOOKUP(Buying_Type,Buy_type,2,FALSE)&amp;"_"&amp;Device&amp;"_"&amp;Size&amp;"_"&amp;Segmentação&amp;"_"&amp;Segmentação_Anúncio)</f>
        <v>#N/A</v>
      </c>
      <c r="BL862" s="35" t="str">
        <f>LOWER(Campanha_ou_InsertionOrder&amp;"_"&amp;LineItem_ou_Grupodeanúncio&amp;"_"&amp;Linha_criativa_2&amp;"_"&amp;Unique_ID)</f>
        <v>#N/A</v>
      </c>
      <c r="BM862" s="27"/>
      <c r="BN862" s="27"/>
    </row>
    <row r="863">
      <c r="A863" s="1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8" t="str">
        <f>LOWER(Campanha_ou_InsertionOrder&amp;"_"&amp;LineItem_ou_Grupodeanúncio&amp;"_"&amp;Linha_Criativa&amp;"_"&amp;Unique_ID)</f>
        <v>#N/A</v>
      </c>
      <c r="AN863" s="28" t="str">
        <f>LOWER(Campanha_ou_InsertionOrder&amp;"_"&amp;LineItem_ou_Grupodeanúncio&amp;"_"&amp;Linha_Criativa&amp;"_"&amp;Unique_ID)</f>
        <v>#N/A</v>
      </c>
      <c r="AO863" s="28" t="str">
        <f>LOWER("VW"&amp;"_"&amp;Model_Variant&amp;"_"&amp;Size&amp;"_"&amp;Linha_Criativa&amp;"_"&amp;IF(Servido_Por="portal",Veiculo,"adserver"))</f>
        <v>vw____adserver</v>
      </c>
      <c r="AP8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3" s="22" t="str">
        <f t="shared" si="1"/>
        <v/>
      </c>
      <c r="AS863" s="22" t="str">
        <f t="shared" si="2"/>
        <v/>
      </c>
      <c r="AT863" s="22" t="str">
        <f t="shared" si="3"/>
        <v>BR_IMC_DSY_LANCH_ND_NC_2020Q3AUG_NVS_Nivus-Launch-Consideracao</v>
      </c>
      <c r="AU863" s="22" t="str">
        <f t="shared" si="4"/>
        <v>#N/A</v>
      </c>
      <c r="AV863" s="22" t="s">
        <v>106</v>
      </c>
      <c r="AW8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3" s="22" t="str">
        <f t="shared" si="5"/>
        <v>BR_IMC_DSY_LANCH_ND_NC_2020Q3AUG_NVS_Nivus-Launch-Consideracao</v>
      </c>
      <c r="AY863" s="28" t="str">
        <f t="shared" si="6"/>
        <v>#N/A</v>
      </c>
      <c r="AZ863" s="22" t="s">
        <v>107</v>
      </c>
      <c r="BA863" s="22" t="s">
        <v>108</v>
      </c>
      <c r="BB863" s="31" t="s">
        <v>109</v>
      </c>
      <c r="BC863" s="31" t="s">
        <v>109</v>
      </c>
      <c r="BD863" s="32" t="str">
        <f t="shared" si="8"/>
        <v>nvl-nvs-imc-dsy-0820-10857</v>
      </c>
      <c r="BE863" s="33"/>
      <c r="BF863" s="33"/>
      <c r="BG863" s="39" t="str">
        <f>URL&amp;IF(ISNUMBER(FIND("?",URL)),"&amp;","?"&amp;("adlid="&amp;Unique_ID&amp;"&amp;adplt="&amp;Placement))</f>
        <v>#N/A</v>
      </c>
      <c r="BH863" s="1"/>
      <c r="BI863" s="1"/>
      <c r="BJ863" s="35" t="str">
        <f>LOWER("alp"&amp;"_"&amp;"vw"&amp;"_"&amp;Veiculo&amp;"_"&amp;C859&amp;"_"&amp;Objetivo)</f>
        <v>alp_vw___</v>
      </c>
      <c r="BK863" s="35" t="str">
        <f>LOWER(Buying_Metric&amp;"_"&amp;VLOOKUP(Buying_Type,Buy_type,2,FALSE)&amp;"_"&amp;Device&amp;"_"&amp;Size&amp;"_"&amp;Segmentação&amp;"_"&amp;Segmentação_Anúncio)</f>
        <v>#N/A</v>
      </c>
      <c r="BL863" s="35" t="str">
        <f>LOWER(Campanha_ou_InsertionOrder&amp;"_"&amp;LineItem_ou_Grupodeanúncio&amp;"_"&amp;Linha_criativa_2&amp;"_"&amp;Unique_ID)</f>
        <v>#N/A</v>
      </c>
      <c r="BM863" s="27"/>
      <c r="BN863" s="27"/>
    </row>
    <row r="864">
      <c r="A864" s="1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8" t="str">
        <f>LOWER(Campanha_ou_InsertionOrder&amp;"_"&amp;LineItem_ou_Grupodeanúncio&amp;"_"&amp;Linha_Criativa&amp;"_"&amp;Unique_ID)</f>
        <v>#N/A</v>
      </c>
      <c r="AN864" s="28" t="str">
        <f>LOWER(Campanha_ou_InsertionOrder&amp;"_"&amp;LineItem_ou_Grupodeanúncio&amp;"_"&amp;Linha_Criativa&amp;"_"&amp;Unique_ID)</f>
        <v>#N/A</v>
      </c>
      <c r="AO864" s="28" t="str">
        <f>LOWER("VW"&amp;"_"&amp;Model_Variant&amp;"_"&amp;Size&amp;"_"&amp;Linha_Criativa&amp;"_"&amp;IF(Servido_Por="portal",Veiculo,"adserver"))</f>
        <v>vw____adserver</v>
      </c>
      <c r="AP8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4" s="22" t="str">
        <f t="shared" si="1"/>
        <v/>
      </c>
      <c r="AS864" s="22" t="str">
        <f t="shared" si="2"/>
        <v/>
      </c>
      <c r="AT864" s="22" t="str">
        <f t="shared" si="3"/>
        <v>BR_IMC_DSY_LANCH_ND_NC_2020Q3AUG_NVS_Nivus-Launch-Consideracao</v>
      </c>
      <c r="AU864" s="22" t="str">
        <f t="shared" si="4"/>
        <v>#N/A</v>
      </c>
      <c r="AV864" s="22" t="s">
        <v>106</v>
      </c>
      <c r="AW8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4" s="22" t="str">
        <f t="shared" si="5"/>
        <v>BR_IMC_DSY_LANCH_ND_NC_2020Q3AUG_NVS_Nivus-Launch-Consideracao</v>
      </c>
      <c r="AY864" s="28" t="str">
        <f t="shared" si="6"/>
        <v>#N/A</v>
      </c>
      <c r="AZ864" s="22" t="s">
        <v>107</v>
      </c>
      <c r="BA864" s="22" t="s">
        <v>108</v>
      </c>
      <c r="BB864" s="31" t="s">
        <v>109</v>
      </c>
      <c r="BC864" s="31" t="s">
        <v>109</v>
      </c>
      <c r="BD864" s="32" t="str">
        <f t="shared" si="8"/>
        <v>nvl-nvs-imc-dsy-0820-10858</v>
      </c>
      <c r="BE864" s="33"/>
      <c r="BF864" s="33"/>
      <c r="BG864" s="39" t="str">
        <f>URL&amp;IF(ISNUMBER(FIND("?",URL)),"&amp;","?"&amp;("adlid="&amp;Unique_ID&amp;"&amp;adplt="&amp;Placement))</f>
        <v>#N/A</v>
      </c>
      <c r="BH864" s="1"/>
      <c r="BI864" s="1"/>
      <c r="BJ864" s="35" t="str">
        <f>LOWER("alp"&amp;"_"&amp;"vw"&amp;"_"&amp;Veiculo&amp;"_"&amp;C860&amp;"_"&amp;Objetivo)</f>
        <v>alp_vw___</v>
      </c>
      <c r="BK864" s="35" t="str">
        <f>LOWER(Buying_Metric&amp;"_"&amp;VLOOKUP(Buying_Type,Buy_type,2,FALSE)&amp;"_"&amp;Device&amp;"_"&amp;Size&amp;"_"&amp;Segmentação&amp;"_"&amp;Segmentação_Anúncio)</f>
        <v>#N/A</v>
      </c>
      <c r="BL864" s="35" t="str">
        <f>LOWER(Campanha_ou_InsertionOrder&amp;"_"&amp;LineItem_ou_Grupodeanúncio&amp;"_"&amp;Linha_criativa_2&amp;"_"&amp;Unique_ID)</f>
        <v>#N/A</v>
      </c>
      <c r="BM864" s="27"/>
      <c r="BN864" s="27"/>
    </row>
    <row r="865">
      <c r="A865" s="1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8" t="str">
        <f>LOWER(Campanha_ou_InsertionOrder&amp;"_"&amp;LineItem_ou_Grupodeanúncio&amp;"_"&amp;Linha_Criativa&amp;"_"&amp;Unique_ID)</f>
        <v>#N/A</v>
      </c>
      <c r="AN865" s="28" t="str">
        <f>LOWER(Campanha_ou_InsertionOrder&amp;"_"&amp;LineItem_ou_Grupodeanúncio&amp;"_"&amp;Linha_Criativa&amp;"_"&amp;Unique_ID)</f>
        <v>#N/A</v>
      </c>
      <c r="AO865" s="28" t="str">
        <f>LOWER("VW"&amp;"_"&amp;Model_Variant&amp;"_"&amp;Size&amp;"_"&amp;Linha_Criativa&amp;"_"&amp;IF(Servido_Por="portal",Veiculo,"adserver"))</f>
        <v>vw____adserver</v>
      </c>
      <c r="AP8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5" s="22" t="str">
        <f t="shared" si="1"/>
        <v/>
      </c>
      <c r="AS865" s="22" t="str">
        <f t="shared" si="2"/>
        <v/>
      </c>
      <c r="AT865" s="22" t="str">
        <f t="shared" si="3"/>
        <v>BR_IMC_DSY_LANCH_ND_NC_2020Q3AUG_NVS_Nivus-Launch-Consideracao</v>
      </c>
      <c r="AU865" s="22" t="str">
        <f t="shared" si="4"/>
        <v>#N/A</v>
      </c>
      <c r="AV865" s="22" t="s">
        <v>106</v>
      </c>
      <c r="AW8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5" s="22" t="str">
        <f t="shared" si="5"/>
        <v>BR_IMC_DSY_LANCH_ND_NC_2020Q3AUG_NVS_Nivus-Launch-Consideracao</v>
      </c>
      <c r="AY865" s="28" t="str">
        <f t="shared" si="6"/>
        <v>#N/A</v>
      </c>
      <c r="AZ865" s="22" t="s">
        <v>107</v>
      </c>
      <c r="BA865" s="22" t="s">
        <v>108</v>
      </c>
      <c r="BB865" s="31" t="s">
        <v>109</v>
      </c>
      <c r="BC865" s="31" t="s">
        <v>109</v>
      </c>
      <c r="BD865" s="32" t="str">
        <f t="shared" si="8"/>
        <v>nvl-nvs-imc-dsy-0820-10859</v>
      </c>
      <c r="BE865" s="33"/>
      <c r="BF865" s="33"/>
      <c r="BG865" s="39" t="str">
        <f>URL&amp;IF(ISNUMBER(FIND("?",URL)),"&amp;","?"&amp;("adlid="&amp;Unique_ID&amp;"&amp;adplt="&amp;Placement))</f>
        <v>#N/A</v>
      </c>
      <c r="BH865" s="1"/>
      <c r="BI865" s="1"/>
      <c r="BJ865" s="35" t="str">
        <f>LOWER("alp"&amp;"_"&amp;"vw"&amp;"_"&amp;Veiculo&amp;"_"&amp;C861&amp;"_"&amp;Objetivo)</f>
        <v>alp_vw___</v>
      </c>
      <c r="BK865" s="35" t="str">
        <f>LOWER(Buying_Metric&amp;"_"&amp;VLOOKUP(Buying_Type,Buy_type,2,FALSE)&amp;"_"&amp;Device&amp;"_"&amp;Size&amp;"_"&amp;Segmentação&amp;"_"&amp;Segmentação_Anúncio)</f>
        <v>#N/A</v>
      </c>
      <c r="BL865" s="35" t="str">
        <f>LOWER(Campanha_ou_InsertionOrder&amp;"_"&amp;LineItem_ou_Grupodeanúncio&amp;"_"&amp;Linha_criativa_2&amp;"_"&amp;Unique_ID)</f>
        <v>#N/A</v>
      </c>
      <c r="BM865" s="27"/>
      <c r="BN865" s="27"/>
    </row>
    <row r="866">
      <c r="A866" s="1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8" t="str">
        <f>LOWER(Campanha_ou_InsertionOrder&amp;"_"&amp;LineItem_ou_Grupodeanúncio&amp;"_"&amp;Linha_Criativa&amp;"_"&amp;Unique_ID)</f>
        <v>#N/A</v>
      </c>
      <c r="AN866" s="28" t="str">
        <f>LOWER(Campanha_ou_InsertionOrder&amp;"_"&amp;LineItem_ou_Grupodeanúncio&amp;"_"&amp;Linha_Criativa&amp;"_"&amp;Unique_ID)</f>
        <v>#N/A</v>
      </c>
      <c r="AO866" s="28" t="str">
        <f>LOWER("VW"&amp;"_"&amp;Model_Variant&amp;"_"&amp;Size&amp;"_"&amp;Linha_Criativa&amp;"_"&amp;IF(Servido_Por="portal",Veiculo,"adserver"))</f>
        <v>vw____adserver</v>
      </c>
      <c r="AP8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6" s="22" t="str">
        <f t="shared" si="1"/>
        <v/>
      </c>
      <c r="AS866" s="22" t="str">
        <f t="shared" si="2"/>
        <v/>
      </c>
      <c r="AT866" s="22" t="str">
        <f t="shared" si="3"/>
        <v>BR_IMC_DSY_LANCH_ND_NC_2020Q3AUG_NVS_Nivus-Launch-Consideracao</v>
      </c>
      <c r="AU866" s="22" t="str">
        <f t="shared" si="4"/>
        <v>#N/A</v>
      </c>
      <c r="AV866" s="22" t="s">
        <v>106</v>
      </c>
      <c r="AW8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6" s="22" t="str">
        <f t="shared" si="5"/>
        <v>BR_IMC_DSY_LANCH_ND_NC_2020Q3AUG_NVS_Nivus-Launch-Consideracao</v>
      </c>
      <c r="AY866" s="28" t="str">
        <f t="shared" si="6"/>
        <v>#N/A</v>
      </c>
      <c r="AZ866" s="22" t="s">
        <v>107</v>
      </c>
      <c r="BA866" s="22" t="s">
        <v>108</v>
      </c>
      <c r="BB866" s="31" t="s">
        <v>109</v>
      </c>
      <c r="BC866" s="31" t="s">
        <v>109</v>
      </c>
      <c r="BD866" s="32" t="str">
        <f t="shared" si="8"/>
        <v>nvl-nvs-imc-dsy-0820-10860</v>
      </c>
      <c r="BE866" s="33"/>
      <c r="BF866" s="33"/>
      <c r="BG866" s="39" t="str">
        <f>URL&amp;IF(ISNUMBER(FIND("?",URL)),"&amp;","?"&amp;("adlid="&amp;Unique_ID&amp;"&amp;adplt="&amp;Placement))</f>
        <v>#N/A</v>
      </c>
      <c r="BH866" s="1"/>
      <c r="BI866" s="1"/>
      <c r="BJ866" s="35" t="str">
        <f>LOWER("alp"&amp;"_"&amp;"vw"&amp;"_"&amp;Veiculo&amp;"_"&amp;C862&amp;"_"&amp;Objetivo)</f>
        <v>alp_vw___</v>
      </c>
      <c r="BK866" s="35" t="str">
        <f>LOWER(Buying_Metric&amp;"_"&amp;VLOOKUP(Buying_Type,Buy_type,2,FALSE)&amp;"_"&amp;Device&amp;"_"&amp;Size&amp;"_"&amp;Segmentação&amp;"_"&amp;Segmentação_Anúncio)</f>
        <v>#N/A</v>
      </c>
      <c r="BL866" s="35" t="str">
        <f>LOWER(Campanha_ou_InsertionOrder&amp;"_"&amp;LineItem_ou_Grupodeanúncio&amp;"_"&amp;Linha_criativa_2&amp;"_"&amp;Unique_ID)</f>
        <v>#N/A</v>
      </c>
      <c r="BM866" s="27"/>
      <c r="BN866" s="27"/>
    </row>
    <row r="867">
      <c r="A867" s="1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8" t="str">
        <f>LOWER(Campanha_ou_InsertionOrder&amp;"_"&amp;LineItem_ou_Grupodeanúncio&amp;"_"&amp;Linha_Criativa&amp;"_"&amp;Unique_ID)</f>
        <v>#N/A</v>
      </c>
      <c r="AN867" s="28" t="str">
        <f>LOWER(Campanha_ou_InsertionOrder&amp;"_"&amp;LineItem_ou_Grupodeanúncio&amp;"_"&amp;Linha_Criativa&amp;"_"&amp;Unique_ID)</f>
        <v>#N/A</v>
      </c>
      <c r="AO867" s="28" t="str">
        <f>LOWER("VW"&amp;"_"&amp;Model_Variant&amp;"_"&amp;Size&amp;"_"&amp;Linha_Criativa&amp;"_"&amp;IF(Servido_Por="portal",Veiculo,"adserver"))</f>
        <v>vw____adserver</v>
      </c>
      <c r="AP8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7" s="22" t="str">
        <f t="shared" si="1"/>
        <v/>
      </c>
      <c r="AS867" s="22" t="str">
        <f t="shared" si="2"/>
        <v/>
      </c>
      <c r="AT867" s="22" t="str">
        <f t="shared" si="3"/>
        <v>BR_IMC_DSY_LANCH_ND_NC_2020Q3AUG_NVS_Nivus-Launch-Consideracao</v>
      </c>
      <c r="AU867" s="22" t="str">
        <f t="shared" si="4"/>
        <v>#N/A</v>
      </c>
      <c r="AV867" s="22" t="s">
        <v>106</v>
      </c>
      <c r="AW8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7" s="22" t="str">
        <f t="shared" si="5"/>
        <v>BR_IMC_DSY_LANCH_ND_NC_2020Q3AUG_NVS_Nivus-Launch-Consideracao</v>
      </c>
      <c r="AY867" s="28" t="str">
        <f t="shared" si="6"/>
        <v>#N/A</v>
      </c>
      <c r="AZ867" s="22" t="s">
        <v>107</v>
      </c>
      <c r="BA867" s="22" t="s">
        <v>108</v>
      </c>
      <c r="BB867" s="31" t="s">
        <v>109</v>
      </c>
      <c r="BC867" s="31" t="s">
        <v>109</v>
      </c>
      <c r="BD867" s="32" t="str">
        <f t="shared" si="8"/>
        <v>nvl-nvs-imc-dsy-0820-10861</v>
      </c>
      <c r="BE867" s="33"/>
      <c r="BF867" s="33"/>
      <c r="BG867" s="39" t="str">
        <f>URL&amp;IF(ISNUMBER(FIND("?",URL)),"&amp;","?"&amp;("adlid="&amp;Unique_ID&amp;"&amp;adplt="&amp;Placement))</f>
        <v>#N/A</v>
      </c>
      <c r="BH867" s="1"/>
      <c r="BI867" s="1"/>
      <c r="BJ867" s="35" t="str">
        <f>LOWER("alp"&amp;"_"&amp;"vw"&amp;"_"&amp;Veiculo&amp;"_"&amp;C863&amp;"_"&amp;Objetivo)</f>
        <v>alp_vw___</v>
      </c>
      <c r="BK867" s="35" t="str">
        <f>LOWER(Buying_Metric&amp;"_"&amp;VLOOKUP(Buying_Type,Buy_type,2,FALSE)&amp;"_"&amp;Device&amp;"_"&amp;Size&amp;"_"&amp;Segmentação&amp;"_"&amp;Segmentação_Anúncio)</f>
        <v>#N/A</v>
      </c>
      <c r="BL867" s="35" t="str">
        <f>LOWER(Campanha_ou_InsertionOrder&amp;"_"&amp;LineItem_ou_Grupodeanúncio&amp;"_"&amp;Linha_criativa_2&amp;"_"&amp;Unique_ID)</f>
        <v>#N/A</v>
      </c>
      <c r="BM867" s="27"/>
      <c r="BN867" s="27"/>
    </row>
    <row r="868">
      <c r="A868" s="1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8" t="str">
        <f>LOWER(Campanha_ou_InsertionOrder&amp;"_"&amp;LineItem_ou_Grupodeanúncio&amp;"_"&amp;Linha_Criativa&amp;"_"&amp;Unique_ID)</f>
        <v>#N/A</v>
      </c>
      <c r="AN868" s="28" t="str">
        <f>LOWER(Campanha_ou_InsertionOrder&amp;"_"&amp;LineItem_ou_Grupodeanúncio&amp;"_"&amp;Linha_Criativa&amp;"_"&amp;Unique_ID)</f>
        <v>#N/A</v>
      </c>
      <c r="AO868" s="28" t="str">
        <f>LOWER("VW"&amp;"_"&amp;Model_Variant&amp;"_"&amp;Size&amp;"_"&amp;Linha_Criativa&amp;"_"&amp;IF(Servido_Por="portal",Veiculo,"adserver"))</f>
        <v>vw____adserver</v>
      </c>
      <c r="AP8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8" s="22" t="str">
        <f t="shared" si="1"/>
        <v/>
      </c>
      <c r="AS868" s="22" t="str">
        <f t="shared" si="2"/>
        <v/>
      </c>
      <c r="AT868" s="22" t="str">
        <f t="shared" si="3"/>
        <v>BR_IMC_DSY_LANCH_ND_NC_2020Q3AUG_NVS_Nivus-Launch-Consideracao</v>
      </c>
      <c r="AU868" s="22" t="str">
        <f t="shared" si="4"/>
        <v>#N/A</v>
      </c>
      <c r="AV868" s="22" t="s">
        <v>106</v>
      </c>
      <c r="AW8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8" s="22" t="str">
        <f t="shared" si="5"/>
        <v>BR_IMC_DSY_LANCH_ND_NC_2020Q3AUG_NVS_Nivus-Launch-Consideracao</v>
      </c>
      <c r="AY868" s="28" t="str">
        <f t="shared" si="6"/>
        <v>#N/A</v>
      </c>
      <c r="AZ868" s="22" t="s">
        <v>107</v>
      </c>
      <c r="BA868" s="22" t="s">
        <v>108</v>
      </c>
      <c r="BB868" s="31" t="s">
        <v>109</v>
      </c>
      <c r="BC868" s="31" t="s">
        <v>109</v>
      </c>
      <c r="BD868" s="32" t="str">
        <f t="shared" si="8"/>
        <v>nvl-nvs-imc-dsy-0820-10862</v>
      </c>
      <c r="BE868" s="33"/>
      <c r="BF868" s="33"/>
      <c r="BG868" s="39" t="str">
        <f>URL&amp;IF(ISNUMBER(FIND("?",URL)),"&amp;","?"&amp;("adlid="&amp;Unique_ID&amp;"&amp;adplt="&amp;Placement))</f>
        <v>#N/A</v>
      </c>
      <c r="BH868" s="1"/>
      <c r="BI868" s="1"/>
      <c r="BJ868" s="35" t="str">
        <f>LOWER("alp"&amp;"_"&amp;"vw"&amp;"_"&amp;Veiculo&amp;"_"&amp;C864&amp;"_"&amp;Objetivo)</f>
        <v>alp_vw___</v>
      </c>
      <c r="BK868" s="35" t="str">
        <f>LOWER(Buying_Metric&amp;"_"&amp;VLOOKUP(Buying_Type,Buy_type,2,FALSE)&amp;"_"&amp;Device&amp;"_"&amp;Size&amp;"_"&amp;Segmentação&amp;"_"&amp;Segmentação_Anúncio)</f>
        <v>#N/A</v>
      </c>
      <c r="BL868" s="35" t="str">
        <f>LOWER(Campanha_ou_InsertionOrder&amp;"_"&amp;LineItem_ou_Grupodeanúncio&amp;"_"&amp;Linha_criativa_2&amp;"_"&amp;Unique_ID)</f>
        <v>#N/A</v>
      </c>
      <c r="BM868" s="27"/>
      <c r="BN868" s="27"/>
    </row>
    <row r="869">
      <c r="A869" s="1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8" t="str">
        <f>LOWER(Campanha_ou_InsertionOrder&amp;"_"&amp;LineItem_ou_Grupodeanúncio&amp;"_"&amp;Linha_Criativa&amp;"_"&amp;Unique_ID)</f>
        <v>#N/A</v>
      </c>
      <c r="AN869" s="28" t="str">
        <f>LOWER(Campanha_ou_InsertionOrder&amp;"_"&amp;LineItem_ou_Grupodeanúncio&amp;"_"&amp;Linha_Criativa&amp;"_"&amp;Unique_ID)</f>
        <v>#N/A</v>
      </c>
      <c r="AO869" s="28" t="str">
        <f>LOWER("VW"&amp;"_"&amp;Model_Variant&amp;"_"&amp;Size&amp;"_"&amp;Linha_Criativa&amp;"_"&amp;IF(Servido_Por="portal",Veiculo,"adserver"))</f>
        <v>vw____adserver</v>
      </c>
      <c r="AP8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69" s="22" t="str">
        <f t="shared" si="1"/>
        <v/>
      </c>
      <c r="AS869" s="22" t="str">
        <f t="shared" si="2"/>
        <v/>
      </c>
      <c r="AT869" s="22" t="str">
        <f t="shared" si="3"/>
        <v>BR_IMC_DSY_LANCH_ND_NC_2020Q3AUG_NVS_Nivus-Launch-Consideracao</v>
      </c>
      <c r="AU869" s="22" t="str">
        <f t="shared" si="4"/>
        <v>#N/A</v>
      </c>
      <c r="AV869" s="22" t="s">
        <v>106</v>
      </c>
      <c r="AW8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69" s="22" t="str">
        <f t="shared" si="5"/>
        <v>BR_IMC_DSY_LANCH_ND_NC_2020Q3AUG_NVS_Nivus-Launch-Consideracao</v>
      </c>
      <c r="AY869" s="28" t="str">
        <f t="shared" si="6"/>
        <v>#N/A</v>
      </c>
      <c r="AZ869" s="22" t="s">
        <v>107</v>
      </c>
      <c r="BA869" s="22" t="s">
        <v>108</v>
      </c>
      <c r="BB869" s="31" t="s">
        <v>109</v>
      </c>
      <c r="BC869" s="31" t="s">
        <v>109</v>
      </c>
      <c r="BD869" s="32" t="str">
        <f t="shared" si="8"/>
        <v>nvl-nvs-imc-dsy-0820-10863</v>
      </c>
      <c r="BE869" s="33"/>
      <c r="BF869" s="33"/>
      <c r="BG869" s="39" t="str">
        <f>URL&amp;IF(ISNUMBER(FIND("?",URL)),"&amp;","?"&amp;("adlid="&amp;Unique_ID&amp;"&amp;adplt="&amp;Placement))</f>
        <v>#N/A</v>
      </c>
      <c r="BH869" s="1"/>
      <c r="BI869" s="1"/>
      <c r="BJ869" s="35" t="str">
        <f>LOWER("alp"&amp;"_"&amp;"vw"&amp;"_"&amp;Veiculo&amp;"_"&amp;C865&amp;"_"&amp;Objetivo)</f>
        <v>alp_vw___</v>
      </c>
      <c r="BK869" s="35" t="str">
        <f>LOWER(Buying_Metric&amp;"_"&amp;VLOOKUP(Buying_Type,Buy_type,2,FALSE)&amp;"_"&amp;Device&amp;"_"&amp;Size&amp;"_"&amp;Segmentação&amp;"_"&amp;Segmentação_Anúncio)</f>
        <v>#N/A</v>
      </c>
      <c r="BL869" s="35" t="str">
        <f>LOWER(Campanha_ou_InsertionOrder&amp;"_"&amp;LineItem_ou_Grupodeanúncio&amp;"_"&amp;Linha_criativa_2&amp;"_"&amp;Unique_ID)</f>
        <v>#N/A</v>
      </c>
      <c r="BM869" s="27"/>
      <c r="BN869" s="27"/>
    </row>
    <row r="870">
      <c r="A870" s="1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8" t="str">
        <f>LOWER(Campanha_ou_InsertionOrder&amp;"_"&amp;LineItem_ou_Grupodeanúncio&amp;"_"&amp;Linha_Criativa&amp;"_"&amp;Unique_ID)</f>
        <v>#N/A</v>
      </c>
      <c r="AN870" s="28" t="str">
        <f>LOWER(Campanha_ou_InsertionOrder&amp;"_"&amp;LineItem_ou_Grupodeanúncio&amp;"_"&amp;Linha_Criativa&amp;"_"&amp;Unique_ID)</f>
        <v>#N/A</v>
      </c>
      <c r="AO870" s="28" t="str">
        <f>LOWER("VW"&amp;"_"&amp;Model_Variant&amp;"_"&amp;Size&amp;"_"&amp;Linha_Criativa&amp;"_"&amp;IF(Servido_Por="portal",Veiculo,"adserver"))</f>
        <v>vw____adserver</v>
      </c>
      <c r="AP8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0" s="22" t="str">
        <f t="shared" si="1"/>
        <v/>
      </c>
      <c r="AS870" s="22" t="str">
        <f t="shared" si="2"/>
        <v/>
      </c>
      <c r="AT870" s="22" t="str">
        <f t="shared" si="3"/>
        <v>BR_IMC_DSY_LANCH_ND_NC_2020Q3AUG_NVS_Nivus-Launch-Consideracao</v>
      </c>
      <c r="AU870" s="22" t="str">
        <f t="shared" si="4"/>
        <v>#N/A</v>
      </c>
      <c r="AV870" s="22" t="s">
        <v>106</v>
      </c>
      <c r="AW8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0" s="22" t="str">
        <f t="shared" si="5"/>
        <v>BR_IMC_DSY_LANCH_ND_NC_2020Q3AUG_NVS_Nivus-Launch-Consideracao</v>
      </c>
      <c r="AY870" s="28" t="str">
        <f t="shared" si="6"/>
        <v>#N/A</v>
      </c>
      <c r="AZ870" s="22" t="s">
        <v>107</v>
      </c>
      <c r="BA870" s="22" t="s">
        <v>108</v>
      </c>
      <c r="BB870" s="31" t="s">
        <v>109</v>
      </c>
      <c r="BC870" s="31" t="s">
        <v>109</v>
      </c>
      <c r="BD870" s="32" t="str">
        <f t="shared" si="8"/>
        <v>nvl-nvs-imc-dsy-0820-10864</v>
      </c>
      <c r="BE870" s="33"/>
      <c r="BF870" s="33"/>
      <c r="BG870" s="39" t="str">
        <f>URL&amp;IF(ISNUMBER(FIND("?",URL)),"&amp;","?"&amp;("adlid="&amp;Unique_ID&amp;"&amp;adplt="&amp;Placement))</f>
        <v>#N/A</v>
      </c>
      <c r="BH870" s="1"/>
      <c r="BI870" s="1"/>
      <c r="BJ870" s="35" t="str">
        <f>LOWER("alp"&amp;"_"&amp;"vw"&amp;"_"&amp;Veiculo&amp;"_"&amp;C866&amp;"_"&amp;Objetivo)</f>
        <v>alp_vw___</v>
      </c>
      <c r="BK870" s="35" t="str">
        <f>LOWER(Buying_Metric&amp;"_"&amp;VLOOKUP(Buying_Type,Buy_type,2,FALSE)&amp;"_"&amp;Device&amp;"_"&amp;Size&amp;"_"&amp;Segmentação&amp;"_"&amp;Segmentação_Anúncio)</f>
        <v>#N/A</v>
      </c>
      <c r="BL870" s="35" t="str">
        <f>LOWER(Campanha_ou_InsertionOrder&amp;"_"&amp;LineItem_ou_Grupodeanúncio&amp;"_"&amp;Linha_criativa_2&amp;"_"&amp;Unique_ID)</f>
        <v>#N/A</v>
      </c>
      <c r="BM870" s="27"/>
      <c r="BN870" s="27"/>
    </row>
    <row r="871">
      <c r="A871" s="1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8" t="str">
        <f>LOWER(Campanha_ou_InsertionOrder&amp;"_"&amp;LineItem_ou_Grupodeanúncio&amp;"_"&amp;Linha_Criativa&amp;"_"&amp;Unique_ID)</f>
        <v>#N/A</v>
      </c>
      <c r="AN871" s="28" t="str">
        <f>LOWER(Campanha_ou_InsertionOrder&amp;"_"&amp;LineItem_ou_Grupodeanúncio&amp;"_"&amp;Linha_Criativa&amp;"_"&amp;Unique_ID)</f>
        <v>#N/A</v>
      </c>
      <c r="AO871" s="28" t="str">
        <f>LOWER("VW"&amp;"_"&amp;Model_Variant&amp;"_"&amp;Size&amp;"_"&amp;Linha_Criativa&amp;"_"&amp;IF(Servido_Por="portal",Veiculo,"adserver"))</f>
        <v>vw____adserver</v>
      </c>
      <c r="AP8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1" s="22" t="str">
        <f t="shared" si="1"/>
        <v/>
      </c>
      <c r="AS871" s="22" t="str">
        <f t="shared" si="2"/>
        <v/>
      </c>
      <c r="AT871" s="22" t="str">
        <f t="shared" si="3"/>
        <v>BR_IMC_DSY_LANCH_ND_NC_2020Q3AUG_NVS_Nivus-Launch-Consideracao</v>
      </c>
      <c r="AU871" s="22" t="str">
        <f t="shared" si="4"/>
        <v>#N/A</v>
      </c>
      <c r="AV871" s="22" t="s">
        <v>106</v>
      </c>
      <c r="AW8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1" s="22" t="str">
        <f t="shared" si="5"/>
        <v>BR_IMC_DSY_LANCH_ND_NC_2020Q3AUG_NVS_Nivus-Launch-Consideracao</v>
      </c>
      <c r="AY871" s="28" t="str">
        <f t="shared" si="6"/>
        <v>#N/A</v>
      </c>
      <c r="AZ871" s="22" t="s">
        <v>107</v>
      </c>
      <c r="BA871" s="22" t="s">
        <v>108</v>
      </c>
      <c r="BB871" s="31" t="s">
        <v>109</v>
      </c>
      <c r="BC871" s="31" t="s">
        <v>109</v>
      </c>
      <c r="BD871" s="32" t="str">
        <f t="shared" si="8"/>
        <v>nvl-nvs-imc-dsy-0820-10865</v>
      </c>
      <c r="BE871" s="33"/>
      <c r="BF871" s="33"/>
      <c r="BG871" s="39" t="str">
        <f>URL&amp;IF(ISNUMBER(FIND("?",URL)),"&amp;","?"&amp;("adlid="&amp;Unique_ID&amp;"&amp;adplt="&amp;Placement))</f>
        <v>#N/A</v>
      </c>
      <c r="BH871" s="1"/>
      <c r="BI871" s="1"/>
      <c r="BJ871" s="35" t="str">
        <f>LOWER("alp"&amp;"_"&amp;"vw"&amp;"_"&amp;Veiculo&amp;"_"&amp;C867&amp;"_"&amp;Objetivo)</f>
        <v>alp_vw___</v>
      </c>
      <c r="BK871" s="35" t="str">
        <f>LOWER(Buying_Metric&amp;"_"&amp;VLOOKUP(Buying_Type,Buy_type,2,FALSE)&amp;"_"&amp;Device&amp;"_"&amp;Size&amp;"_"&amp;Segmentação&amp;"_"&amp;Segmentação_Anúncio)</f>
        <v>#N/A</v>
      </c>
      <c r="BL871" s="35" t="str">
        <f>LOWER(Campanha_ou_InsertionOrder&amp;"_"&amp;LineItem_ou_Grupodeanúncio&amp;"_"&amp;Linha_criativa_2&amp;"_"&amp;Unique_ID)</f>
        <v>#N/A</v>
      </c>
      <c r="BM871" s="27"/>
      <c r="BN871" s="27"/>
    </row>
    <row r="872">
      <c r="A872" s="1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8" t="str">
        <f>LOWER(Campanha_ou_InsertionOrder&amp;"_"&amp;LineItem_ou_Grupodeanúncio&amp;"_"&amp;Linha_Criativa&amp;"_"&amp;Unique_ID)</f>
        <v>#N/A</v>
      </c>
      <c r="AN872" s="28" t="str">
        <f>LOWER(Campanha_ou_InsertionOrder&amp;"_"&amp;LineItem_ou_Grupodeanúncio&amp;"_"&amp;Linha_Criativa&amp;"_"&amp;Unique_ID)</f>
        <v>#N/A</v>
      </c>
      <c r="AO872" s="28" t="str">
        <f>LOWER("VW"&amp;"_"&amp;Model_Variant&amp;"_"&amp;Size&amp;"_"&amp;Linha_Criativa&amp;"_"&amp;IF(Servido_Por="portal",Veiculo,"adserver"))</f>
        <v>vw____adserver</v>
      </c>
      <c r="AP8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2" s="22" t="str">
        <f t="shared" si="1"/>
        <v/>
      </c>
      <c r="AS872" s="22" t="str">
        <f t="shared" si="2"/>
        <v/>
      </c>
      <c r="AT872" s="22" t="str">
        <f t="shared" si="3"/>
        <v>BR_IMC_DSY_LANCH_ND_NC_2020Q3AUG_NVS_Nivus-Launch-Consideracao</v>
      </c>
      <c r="AU872" s="22" t="str">
        <f t="shared" si="4"/>
        <v>#N/A</v>
      </c>
      <c r="AV872" s="22" t="s">
        <v>106</v>
      </c>
      <c r="AW8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2" s="22" t="str">
        <f t="shared" si="5"/>
        <v>BR_IMC_DSY_LANCH_ND_NC_2020Q3AUG_NVS_Nivus-Launch-Consideracao</v>
      </c>
      <c r="AY872" s="28" t="str">
        <f t="shared" si="6"/>
        <v>#N/A</v>
      </c>
      <c r="AZ872" s="22" t="s">
        <v>107</v>
      </c>
      <c r="BA872" s="22" t="s">
        <v>108</v>
      </c>
      <c r="BB872" s="31" t="s">
        <v>109</v>
      </c>
      <c r="BC872" s="31" t="s">
        <v>109</v>
      </c>
      <c r="BD872" s="32" t="str">
        <f t="shared" si="8"/>
        <v>nvl-nvs-imc-dsy-0820-10866</v>
      </c>
      <c r="BE872" s="33"/>
      <c r="BF872" s="33"/>
      <c r="BG872" s="39" t="str">
        <f>URL&amp;IF(ISNUMBER(FIND("?",URL)),"&amp;","?"&amp;("adlid="&amp;Unique_ID&amp;"&amp;adplt="&amp;Placement))</f>
        <v>#N/A</v>
      </c>
      <c r="BH872" s="1"/>
      <c r="BI872" s="1"/>
      <c r="BJ872" s="35" t="str">
        <f>LOWER("alp"&amp;"_"&amp;"vw"&amp;"_"&amp;Veiculo&amp;"_"&amp;C868&amp;"_"&amp;Objetivo)</f>
        <v>alp_vw___</v>
      </c>
      <c r="BK872" s="35" t="str">
        <f>LOWER(Buying_Metric&amp;"_"&amp;VLOOKUP(Buying_Type,Buy_type,2,FALSE)&amp;"_"&amp;Device&amp;"_"&amp;Size&amp;"_"&amp;Segmentação&amp;"_"&amp;Segmentação_Anúncio)</f>
        <v>#N/A</v>
      </c>
      <c r="BL872" s="35" t="str">
        <f>LOWER(Campanha_ou_InsertionOrder&amp;"_"&amp;LineItem_ou_Grupodeanúncio&amp;"_"&amp;Linha_criativa_2&amp;"_"&amp;Unique_ID)</f>
        <v>#N/A</v>
      </c>
      <c r="BM872" s="27"/>
      <c r="BN872" s="27"/>
    </row>
    <row r="873">
      <c r="A873" s="1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8" t="str">
        <f>LOWER(Campanha_ou_InsertionOrder&amp;"_"&amp;LineItem_ou_Grupodeanúncio&amp;"_"&amp;Linha_Criativa&amp;"_"&amp;Unique_ID)</f>
        <v>#N/A</v>
      </c>
      <c r="AN873" s="28" t="str">
        <f>LOWER(Campanha_ou_InsertionOrder&amp;"_"&amp;LineItem_ou_Grupodeanúncio&amp;"_"&amp;Linha_Criativa&amp;"_"&amp;Unique_ID)</f>
        <v>#N/A</v>
      </c>
      <c r="AO873" s="28" t="str">
        <f>LOWER("VW"&amp;"_"&amp;Model_Variant&amp;"_"&amp;Size&amp;"_"&amp;Linha_Criativa&amp;"_"&amp;IF(Servido_Por="portal",Veiculo,"adserver"))</f>
        <v>vw____adserver</v>
      </c>
      <c r="AP8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3" s="22" t="str">
        <f t="shared" si="1"/>
        <v/>
      </c>
      <c r="AS873" s="22" t="str">
        <f t="shared" si="2"/>
        <v/>
      </c>
      <c r="AT873" s="22" t="str">
        <f t="shared" si="3"/>
        <v>BR_IMC_DSY_LANCH_ND_NC_2020Q3AUG_NVS_Nivus-Launch-Consideracao</v>
      </c>
      <c r="AU873" s="22" t="str">
        <f t="shared" si="4"/>
        <v>#N/A</v>
      </c>
      <c r="AV873" s="22" t="s">
        <v>106</v>
      </c>
      <c r="AW8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3" s="22" t="str">
        <f t="shared" si="5"/>
        <v>BR_IMC_DSY_LANCH_ND_NC_2020Q3AUG_NVS_Nivus-Launch-Consideracao</v>
      </c>
      <c r="AY873" s="28" t="str">
        <f t="shared" si="6"/>
        <v>#N/A</v>
      </c>
      <c r="AZ873" s="22" t="s">
        <v>107</v>
      </c>
      <c r="BA873" s="22" t="s">
        <v>108</v>
      </c>
      <c r="BB873" s="31" t="s">
        <v>109</v>
      </c>
      <c r="BC873" s="31" t="s">
        <v>109</v>
      </c>
      <c r="BD873" s="32" t="str">
        <f t="shared" si="8"/>
        <v>nvl-nvs-imc-dsy-0820-10867</v>
      </c>
      <c r="BE873" s="33"/>
      <c r="BF873" s="33"/>
      <c r="BG873" s="39" t="str">
        <f>URL&amp;IF(ISNUMBER(FIND("?",URL)),"&amp;","?"&amp;("adlid="&amp;Unique_ID&amp;"&amp;adplt="&amp;Placement))</f>
        <v>#N/A</v>
      </c>
      <c r="BH873" s="1"/>
      <c r="BI873" s="1"/>
      <c r="BJ873" s="35" t="str">
        <f>LOWER("alp"&amp;"_"&amp;"vw"&amp;"_"&amp;Veiculo&amp;"_"&amp;C869&amp;"_"&amp;Objetivo)</f>
        <v>alp_vw___</v>
      </c>
      <c r="BK873" s="35" t="str">
        <f>LOWER(Buying_Metric&amp;"_"&amp;VLOOKUP(Buying_Type,Buy_type,2,FALSE)&amp;"_"&amp;Device&amp;"_"&amp;Size&amp;"_"&amp;Segmentação&amp;"_"&amp;Segmentação_Anúncio)</f>
        <v>#N/A</v>
      </c>
      <c r="BL873" s="35" t="str">
        <f>LOWER(Campanha_ou_InsertionOrder&amp;"_"&amp;LineItem_ou_Grupodeanúncio&amp;"_"&amp;Linha_criativa_2&amp;"_"&amp;Unique_ID)</f>
        <v>#N/A</v>
      </c>
      <c r="BM873" s="27"/>
      <c r="BN873" s="27"/>
    </row>
    <row r="874">
      <c r="A874" s="1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8" t="str">
        <f>LOWER(Campanha_ou_InsertionOrder&amp;"_"&amp;LineItem_ou_Grupodeanúncio&amp;"_"&amp;Linha_Criativa&amp;"_"&amp;Unique_ID)</f>
        <v>#N/A</v>
      </c>
      <c r="AN874" s="28" t="str">
        <f>LOWER(Campanha_ou_InsertionOrder&amp;"_"&amp;LineItem_ou_Grupodeanúncio&amp;"_"&amp;Linha_Criativa&amp;"_"&amp;Unique_ID)</f>
        <v>#N/A</v>
      </c>
      <c r="AO874" s="28" t="str">
        <f>LOWER("VW"&amp;"_"&amp;Model_Variant&amp;"_"&amp;Size&amp;"_"&amp;Linha_Criativa&amp;"_"&amp;IF(Servido_Por="portal",Veiculo,"adserver"))</f>
        <v>vw____adserver</v>
      </c>
      <c r="AP8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4" s="22" t="str">
        <f t="shared" si="1"/>
        <v/>
      </c>
      <c r="AS874" s="22" t="str">
        <f t="shared" si="2"/>
        <v/>
      </c>
      <c r="AT874" s="22" t="str">
        <f t="shared" si="3"/>
        <v>BR_IMC_DSY_LANCH_ND_NC_2020Q3AUG_NVS_Nivus-Launch-Consideracao</v>
      </c>
      <c r="AU874" s="22" t="str">
        <f t="shared" si="4"/>
        <v>#N/A</v>
      </c>
      <c r="AV874" s="22" t="s">
        <v>106</v>
      </c>
      <c r="AW8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4" s="22" t="str">
        <f t="shared" si="5"/>
        <v>BR_IMC_DSY_LANCH_ND_NC_2020Q3AUG_NVS_Nivus-Launch-Consideracao</v>
      </c>
      <c r="AY874" s="28" t="str">
        <f t="shared" si="6"/>
        <v>#N/A</v>
      </c>
      <c r="AZ874" s="22" t="s">
        <v>107</v>
      </c>
      <c r="BA874" s="22" t="s">
        <v>108</v>
      </c>
      <c r="BB874" s="31" t="s">
        <v>109</v>
      </c>
      <c r="BC874" s="31" t="s">
        <v>109</v>
      </c>
      <c r="BD874" s="32" t="str">
        <f t="shared" si="8"/>
        <v>nvl-nvs-imc-dsy-0820-10868</v>
      </c>
      <c r="BE874" s="33"/>
      <c r="BF874" s="33"/>
      <c r="BG874" s="39" t="str">
        <f>URL&amp;IF(ISNUMBER(FIND("?",URL)),"&amp;","?"&amp;("adlid="&amp;Unique_ID&amp;"&amp;adplt="&amp;Placement))</f>
        <v>#N/A</v>
      </c>
      <c r="BH874" s="1"/>
      <c r="BI874" s="1"/>
      <c r="BJ874" s="35" t="str">
        <f>LOWER("alp"&amp;"_"&amp;"vw"&amp;"_"&amp;Veiculo&amp;"_"&amp;C870&amp;"_"&amp;Objetivo)</f>
        <v>alp_vw___</v>
      </c>
      <c r="BK874" s="35" t="str">
        <f>LOWER(Buying_Metric&amp;"_"&amp;VLOOKUP(Buying_Type,Buy_type,2,FALSE)&amp;"_"&amp;Device&amp;"_"&amp;Size&amp;"_"&amp;Segmentação&amp;"_"&amp;Segmentação_Anúncio)</f>
        <v>#N/A</v>
      </c>
      <c r="BL874" s="35" t="str">
        <f>LOWER(Campanha_ou_InsertionOrder&amp;"_"&amp;LineItem_ou_Grupodeanúncio&amp;"_"&amp;Linha_criativa_2&amp;"_"&amp;Unique_ID)</f>
        <v>#N/A</v>
      </c>
      <c r="BM874" s="27"/>
      <c r="BN874" s="27"/>
    </row>
    <row r="875">
      <c r="A875" s="1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8" t="str">
        <f>LOWER(Campanha_ou_InsertionOrder&amp;"_"&amp;LineItem_ou_Grupodeanúncio&amp;"_"&amp;Linha_Criativa&amp;"_"&amp;Unique_ID)</f>
        <v>#N/A</v>
      </c>
      <c r="AN875" s="28" t="str">
        <f>LOWER(Campanha_ou_InsertionOrder&amp;"_"&amp;LineItem_ou_Grupodeanúncio&amp;"_"&amp;Linha_Criativa&amp;"_"&amp;Unique_ID)</f>
        <v>#N/A</v>
      </c>
      <c r="AO875" s="28" t="str">
        <f>LOWER("VW"&amp;"_"&amp;Model_Variant&amp;"_"&amp;Size&amp;"_"&amp;Linha_Criativa&amp;"_"&amp;IF(Servido_Por="portal",Veiculo,"adserver"))</f>
        <v>vw____adserver</v>
      </c>
      <c r="AP8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5" s="22" t="str">
        <f t="shared" si="1"/>
        <v/>
      </c>
      <c r="AS875" s="22" t="str">
        <f t="shared" si="2"/>
        <v/>
      </c>
      <c r="AT875" s="22" t="str">
        <f t="shared" si="3"/>
        <v>BR_IMC_DSY_LANCH_ND_NC_2020Q3AUG_NVS_Nivus-Launch-Consideracao</v>
      </c>
      <c r="AU875" s="22" t="str">
        <f t="shared" si="4"/>
        <v>#N/A</v>
      </c>
      <c r="AV875" s="22" t="s">
        <v>106</v>
      </c>
      <c r="AW8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5" s="22" t="str">
        <f t="shared" si="5"/>
        <v>BR_IMC_DSY_LANCH_ND_NC_2020Q3AUG_NVS_Nivus-Launch-Consideracao</v>
      </c>
      <c r="AY875" s="28" t="str">
        <f t="shared" si="6"/>
        <v>#N/A</v>
      </c>
      <c r="AZ875" s="22" t="s">
        <v>107</v>
      </c>
      <c r="BA875" s="22" t="s">
        <v>108</v>
      </c>
      <c r="BB875" s="31" t="s">
        <v>109</v>
      </c>
      <c r="BC875" s="31" t="s">
        <v>109</v>
      </c>
      <c r="BD875" s="32" t="str">
        <f t="shared" si="8"/>
        <v>nvl-nvs-imc-dsy-0820-10869</v>
      </c>
      <c r="BE875" s="33"/>
      <c r="BF875" s="33"/>
      <c r="BG875" s="39" t="str">
        <f>URL&amp;IF(ISNUMBER(FIND("?",URL)),"&amp;","?"&amp;("adlid="&amp;Unique_ID&amp;"&amp;adplt="&amp;Placement))</f>
        <v>#N/A</v>
      </c>
      <c r="BH875" s="1"/>
      <c r="BI875" s="1"/>
      <c r="BJ875" s="35" t="str">
        <f>LOWER("alp"&amp;"_"&amp;"vw"&amp;"_"&amp;Veiculo&amp;"_"&amp;C871&amp;"_"&amp;Objetivo)</f>
        <v>alp_vw___</v>
      </c>
      <c r="BK875" s="35" t="str">
        <f>LOWER(Buying_Metric&amp;"_"&amp;VLOOKUP(Buying_Type,Buy_type,2,FALSE)&amp;"_"&amp;Device&amp;"_"&amp;Size&amp;"_"&amp;Segmentação&amp;"_"&amp;Segmentação_Anúncio)</f>
        <v>#N/A</v>
      </c>
      <c r="BL875" s="35" t="str">
        <f>LOWER(Campanha_ou_InsertionOrder&amp;"_"&amp;LineItem_ou_Grupodeanúncio&amp;"_"&amp;Linha_criativa_2&amp;"_"&amp;Unique_ID)</f>
        <v>#N/A</v>
      </c>
      <c r="BM875" s="27"/>
      <c r="BN875" s="27"/>
    </row>
    <row r="876">
      <c r="A876" s="1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8" t="str">
        <f>LOWER(Campanha_ou_InsertionOrder&amp;"_"&amp;LineItem_ou_Grupodeanúncio&amp;"_"&amp;Linha_Criativa&amp;"_"&amp;Unique_ID)</f>
        <v>#N/A</v>
      </c>
      <c r="AN876" s="28" t="str">
        <f>LOWER(Campanha_ou_InsertionOrder&amp;"_"&amp;LineItem_ou_Grupodeanúncio&amp;"_"&amp;Linha_Criativa&amp;"_"&amp;Unique_ID)</f>
        <v>#N/A</v>
      </c>
      <c r="AO876" s="28" t="str">
        <f>LOWER("VW"&amp;"_"&amp;Model_Variant&amp;"_"&amp;Size&amp;"_"&amp;Linha_Criativa&amp;"_"&amp;IF(Servido_Por="portal",Veiculo,"adserver"))</f>
        <v>vw____adserver</v>
      </c>
      <c r="AP8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6" s="22" t="str">
        <f t="shared" si="1"/>
        <v/>
      </c>
      <c r="AS876" s="22" t="str">
        <f t="shared" si="2"/>
        <v/>
      </c>
      <c r="AT876" s="22" t="str">
        <f t="shared" si="3"/>
        <v>BR_IMC_DSY_LANCH_ND_NC_2020Q3AUG_NVS_Nivus-Launch-Consideracao</v>
      </c>
      <c r="AU876" s="22" t="str">
        <f t="shared" si="4"/>
        <v>#N/A</v>
      </c>
      <c r="AV876" s="22" t="s">
        <v>106</v>
      </c>
      <c r="AW8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6" s="22" t="str">
        <f t="shared" si="5"/>
        <v>BR_IMC_DSY_LANCH_ND_NC_2020Q3AUG_NVS_Nivus-Launch-Consideracao</v>
      </c>
      <c r="AY876" s="28" t="str">
        <f t="shared" si="6"/>
        <v>#N/A</v>
      </c>
      <c r="AZ876" s="22" t="s">
        <v>107</v>
      </c>
      <c r="BA876" s="22" t="s">
        <v>108</v>
      </c>
      <c r="BB876" s="31" t="s">
        <v>109</v>
      </c>
      <c r="BC876" s="31" t="s">
        <v>109</v>
      </c>
      <c r="BD876" s="32" t="str">
        <f t="shared" si="8"/>
        <v>nvl-nvs-imc-dsy-0820-10870</v>
      </c>
      <c r="BE876" s="33"/>
      <c r="BF876" s="33"/>
      <c r="BG876" s="39" t="str">
        <f>URL&amp;IF(ISNUMBER(FIND("?",URL)),"&amp;","?"&amp;("adlid="&amp;Unique_ID&amp;"&amp;adplt="&amp;Placement))</f>
        <v>#N/A</v>
      </c>
      <c r="BH876" s="1"/>
      <c r="BI876" s="1"/>
      <c r="BJ876" s="35" t="str">
        <f>LOWER("alp"&amp;"_"&amp;"vw"&amp;"_"&amp;Veiculo&amp;"_"&amp;C872&amp;"_"&amp;Objetivo)</f>
        <v>alp_vw___</v>
      </c>
      <c r="BK876" s="35" t="str">
        <f>LOWER(Buying_Metric&amp;"_"&amp;VLOOKUP(Buying_Type,Buy_type,2,FALSE)&amp;"_"&amp;Device&amp;"_"&amp;Size&amp;"_"&amp;Segmentação&amp;"_"&amp;Segmentação_Anúncio)</f>
        <v>#N/A</v>
      </c>
      <c r="BL876" s="35" t="str">
        <f>LOWER(Campanha_ou_InsertionOrder&amp;"_"&amp;LineItem_ou_Grupodeanúncio&amp;"_"&amp;Linha_criativa_2&amp;"_"&amp;Unique_ID)</f>
        <v>#N/A</v>
      </c>
      <c r="BM876" s="27"/>
      <c r="BN876" s="27"/>
    </row>
    <row r="877">
      <c r="A877" s="1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8" t="str">
        <f>LOWER(Campanha_ou_InsertionOrder&amp;"_"&amp;LineItem_ou_Grupodeanúncio&amp;"_"&amp;Linha_Criativa&amp;"_"&amp;Unique_ID)</f>
        <v>#N/A</v>
      </c>
      <c r="AN877" s="28" t="str">
        <f>LOWER(Campanha_ou_InsertionOrder&amp;"_"&amp;LineItem_ou_Grupodeanúncio&amp;"_"&amp;Linha_Criativa&amp;"_"&amp;Unique_ID)</f>
        <v>#N/A</v>
      </c>
      <c r="AO877" s="28" t="str">
        <f>LOWER("VW"&amp;"_"&amp;Model_Variant&amp;"_"&amp;Size&amp;"_"&amp;Linha_Criativa&amp;"_"&amp;IF(Servido_Por="portal",Veiculo,"adserver"))</f>
        <v>vw____adserver</v>
      </c>
      <c r="AP8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7" s="22" t="str">
        <f t="shared" si="1"/>
        <v/>
      </c>
      <c r="AS877" s="22" t="str">
        <f t="shared" si="2"/>
        <v/>
      </c>
      <c r="AT877" s="22" t="str">
        <f t="shared" si="3"/>
        <v>BR_IMC_DSY_LANCH_ND_NC_2020Q3AUG_NVS_Nivus-Launch-Consideracao</v>
      </c>
      <c r="AU877" s="22" t="str">
        <f t="shared" si="4"/>
        <v>#N/A</v>
      </c>
      <c r="AV877" s="22" t="s">
        <v>106</v>
      </c>
      <c r="AW8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7" s="22" t="str">
        <f t="shared" si="5"/>
        <v>BR_IMC_DSY_LANCH_ND_NC_2020Q3AUG_NVS_Nivus-Launch-Consideracao</v>
      </c>
      <c r="AY877" s="28" t="str">
        <f t="shared" si="6"/>
        <v>#N/A</v>
      </c>
      <c r="AZ877" s="22" t="s">
        <v>107</v>
      </c>
      <c r="BA877" s="22" t="s">
        <v>108</v>
      </c>
      <c r="BB877" s="31" t="s">
        <v>109</v>
      </c>
      <c r="BC877" s="31" t="s">
        <v>109</v>
      </c>
      <c r="BD877" s="32" t="str">
        <f t="shared" si="8"/>
        <v>nvl-nvs-imc-dsy-0820-10871</v>
      </c>
      <c r="BE877" s="33"/>
      <c r="BF877" s="33"/>
      <c r="BG877" s="39" t="str">
        <f>URL&amp;IF(ISNUMBER(FIND("?",URL)),"&amp;","?"&amp;("adlid="&amp;Unique_ID&amp;"&amp;adplt="&amp;Placement))</f>
        <v>#N/A</v>
      </c>
      <c r="BH877" s="1"/>
      <c r="BI877" s="1"/>
      <c r="BJ877" s="35" t="str">
        <f>LOWER("alp"&amp;"_"&amp;"vw"&amp;"_"&amp;Veiculo&amp;"_"&amp;C873&amp;"_"&amp;Objetivo)</f>
        <v>alp_vw___</v>
      </c>
      <c r="BK877" s="35" t="str">
        <f>LOWER(Buying_Metric&amp;"_"&amp;VLOOKUP(Buying_Type,Buy_type,2,FALSE)&amp;"_"&amp;Device&amp;"_"&amp;Size&amp;"_"&amp;Segmentação&amp;"_"&amp;Segmentação_Anúncio)</f>
        <v>#N/A</v>
      </c>
      <c r="BL877" s="35" t="str">
        <f>LOWER(Campanha_ou_InsertionOrder&amp;"_"&amp;LineItem_ou_Grupodeanúncio&amp;"_"&amp;Linha_criativa_2&amp;"_"&amp;Unique_ID)</f>
        <v>#N/A</v>
      </c>
      <c r="BM877" s="27"/>
      <c r="BN877" s="27"/>
    </row>
    <row r="878">
      <c r="A878" s="1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8" t="str">
        <f>LOWER(Campanha_ou_InsertionOrder&amp;"_"&amp;LineItem_ou_Grupodeanúncio&amp;"_"&amp;Linha_Criativa&amp;"_"&amp;Unique_ID)</f>
        <v>#N/A</v>
      </c>
      <c r="AN878" s="28" t="str">
        <f>LOWER(Campanha_ou_InsertionOrder&amp;"_"&amp;LineItem_ou_Grupodeanúncio&amp;"_"&amp;Linha_Criativa&amp;"_"&amp;Unique_ID)</f>
        <v>#N/A</v>
      </c>
      <c r="AO878" s="28" t="str">
        <f>LOWER("VW"&amp;"_"&amp;Model_Variant&amp;"_"&amp;Size&amp;"_"&amp;Linha_Criativa&amp;"_"&amp;IF(Servido_Por="portal",Veiculo,"adserver"))</f>
        <v>vw____adserver</v>
      </c>
      <c r="AP8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8" s="22" t="str">
        <f t="shared" si="1"/>
        <v/>
      </c>
      <c r="AS878" s="22" t="str">
        <f t="shared" si="2"/>
        <v/>
      </c>
      <c r="AT878" s="22" t="str">
        <f t="shared" si="3"/>
        <v>BR_IMC_DSY_LANCH_ND_NC_2020Q3AUG_NVS_Nivus-Launch-Consideracao</v>
      </c>
      <c r="AU878" s="22" t="str">
        <f t="shared" si="4"/>
        <v>#N/A</v>
      </c>
      <c r="AV878" s="22" t="s">
        <v>106</v>
      </c>
      <c r="AW8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8" s="22" t="str">
        <f t="shared" si="5"/>
        <v>BR_IMC_DSY_LANCH_ND_NC_2020Q3AUG_NVS_Nivus-Launch-Consideracao</v>
      </c>
      <c r="AY878" s="28" t="str">
        <f t="shared" si="6"/>
        <v>#N/A</v>
      </c>
      <c r="AZ878" s="22" t="s">
        <v>107</v>
      </c>
      <c r="BA878" s="22" t="s">
        <v>108</v>
      </c>
      <c r="BB878" s="31" t="s">
        <v>109</v>
      </c>
      <c r="BC878" s="31" t="s">
        <v>109</v>
      </c>
      <c r="BD878" s="32" t="str">
        <f t="shared" si="8"/>
        <v>nvl-nvs-imc-dsy-0820-10872</v>
      </c>
      <c r="BE878" s="33"/>
      <c r="BF878" s="33"/>
      <c r="BG878" s="39" t="str">
        <f>URL&amp;IF(ISNUMBER(FIND("?",URL)),"&amp;","?"&amp;("adlid="&amp;Unique_ID&amp;"&amp;adplt="&amp;Placement))</f>
        <v>#N/A</v>
      </c>
      <c r="BH878" s="1"/>
      <c r="BI878" s="1"/>
      <c r="BJ878" s="35" t="str">
        <f>LOWER("alp"&amp;"_"&amp;"vw"&amp;"_"&amp;Veiculo&amp;"_"&amp;C874&amp;"_"&amp;Objetivo)</f>
        <v>alp_vw___</v>
      </c>
      <c r="BK878" s="35" t="str">
        <f>LOWER(Buying_Metric&amp;"_"&amp;VLOOKUP(Buying_Type,Buy_type,2,FALSE)&amp;"_"&amp;Device&amp;"_"&amp;Size&amp;"_"&amp;Segmentação&amp;"_"&amp;Segmentação_Anúncio)</f>
        <v>#N/A</v>
      </c>
      <c r="BL878" s="35" t="str">
        <f>LOWER(Campanha_ou_InsertionOrder&amp;"_"&amp;LineItem_ou_Grupodeanúncio&amp;"_"&amp;Linha_criativa_2&amp;"_"&amp;Unique_ID)</f>
        <v>#N/A</v>
      </c>
      <c r="BM878" s="27"/>
      <c r="BN878" s="27"/>
    </row>
    <row r="879">
      <c r="A879" s="1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8" t="str">
        <f>LOWER(Campanha_ou_InsertionOrder&amp;"_"&amp;LineItem_ou_Grupodeanúncio&amp;"_"&amp;Linha_Criativa&amp;"_"&amp;Unique_ID)</f>
        <v>#N/A</v>
      </c>
      <c r="AN879" s="28" t="str">
        <f>LOWER(Campanha_ou_InsertionOrder&amp;"_"&amp;LineItem_ou_Grupodeanúncio&amp;"_"&amp;Linha_Criativa&amp;"_"&amp;Unique_ID)</f>
        <v>#N/A</v>
      </c>
      <c r="AO879" s="28" t="str">
        <f>LOWER("VW"&amp;"_"&amp;Model_Variant&amp;"_"&amp;Size&amp;"_"&amp;Linha_Criativa&amp;"_"&amp;IF(Servido_Por="portal",Veiculo,"adserver"))</f>
        <v>vw____adserver</v>
      </c>
      <c r="AP8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79" s="22" t="str">
        <f t="shared" si="1"/>
        <v/>
      </c>
      <c r="AS879" s="22" t="str">
        <f t="shared" si="2"/>
        <v/>
      </c>
      <c r="AT879" s="22" t="str">
        <f t="shared" si="3"/>
        <v>BR_IMC_DSY_LANCH_ND_NC_2020Q3AUG_NVS_Nivus-Launch-Consideracao</v>
      </c>
      <c r="AU879" s="22" t="str">
        <f t="shared" si="4"/>
        <v>#N/A</v>
      </c>
      <c r="AV879" s="22" t="s">
        <v>106</v>
      </c>
      <c r="AW8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79" s="22" t="str">
        <f t="shared" si="5"/>
        <v>BR_IMC_DSY_LANCH_ND_NC_2020Q3AUG_NVS_Nivus-Launch-Consideracao</v>
      </c>
      <c r="AY879" s="28" t="str">
        <f t="shared" si="6"/>
        <v>#N/A</v>
      </c>
      <c r="AZ879" s="22" t="s">
        <v>107</v>
      </c>
      <c r="BA879" s="22" t="s">
        <v>108</v>
      </c>
      <c r="BB879" s="31" t="s">
        <v>109</v>
      </c>
      <c r="BC879" s="31" t="s">
        <v>109</v>
      </c>
      <c r="BD879" s="32" t="str">
        <f t="shared" si="8"/>
        <v>nvl-nvs-imc-dsy-0820-10873</v>
      </c>
      <c r="BE879" s="33"/>
      <c r="BF879" s="33"/>
      <c r="BG879" s="39" t="str">
        <f>URL&amp;IF(ISNUMBER(FIND("?",URL)),"&amp;","?"&amp;("adlid="&amp;Unique_ID&amp;"&amp;adplt="&amp;Placement))</f>
        <v>#N/A</v>
      </c>
      <c r="BH879" s="1"/>
      <c r="BI879" s="1"/>
      <c r="BJ879" s="35" t="str">
        <f>LOWER("alp"&amp;"_"&amp;"vw"&amp;"_"&amp;Veiculo&amp;"_"&amp;C875&amp;"_"&amp;Objetivo)</f>
        <v>alp_vw___</v>
      </c>
      <c r="BK879" s="35" t="str">
        <f>LOWER(Buying_Metric&amp;"_"&amp;VLOOKUP(Buying_Type,Buy_type,2,FALSE)&amp;"_"&amp;Device&amp;"_"&amp;Size&amp;"_"&amp;Segmentação&amp;"_"&amp;Segmentação_Anúncio)</f>
        <v>#N/A</v>
      </c>
      <c r="BL879" s="35" t="str">
        <f>LOWER(Campanha_ou_InsertionOrder&amp;"_"&amp;LineItem_ou_Grupodeanúncio&amp;"_"&amp;Linha_criativa_2&amp;"_"&amp;Unique_ID)</f>
        <v>#N/A</v>
      </c>
      <c r="BM879" s="27"/>
      <c r="BN879" s="27"/>
    </row>
    <row r="880">
      <c r="A880" s="1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8" t="str">
        <f>LOWER(Campanha_ou_InsertionOrder&amp;"_"&amp;LineItem_ou_Grupodeanúncio&amp;"_"&amp;Linha_Criativa&amp;"_"&amp;Unique_ID)</f>
        <v>#N/A</v>
      </c>
      <c r="AN880" s="28" t="str">
        <f>LOWER(Campanha_ou_InsertionOrder&amp;"_"&amp;LineItem_ou_Grupodeanúncio&amp;"_"&amp;Linha_Criativa&amp;"_"&amp;Unique_ID)</f>
        <v>#N/A</v>
      </c>
      <c r="AO880" s="28" t="str">
        <f>LOWER("VW"&amp;"_"&amp;Model_Variant&amp;"_"&amp;Size&amp;"_"&amp;Linha_Criativa&amp;"_"&amp;IF(Servido_Por="portal",Veiculo,"adserver"))</f>
        <v>vw____adserver</v>
      </c>
      <c r="AP8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0" s="22" t="str">
        <f t="shared" si="1"/>
        <v/>
      </c>
      <c r="AS880" s="22" t="str">
        <f t="shared" si="2"/>
        <v/>
      </c>
      <c r="AT880" s="22" t="str">
        <f t="shared" si="3"/>
        <v>BR_IMC_DSY_LANCH_ND_NC_2020Q3AUG_NVS_Nivus-Launch-Consideracao</v>
      </c>
      <c r="AU880" s="22" t="str">
        <f t="shared" si="4"/>
        <v>#N/A</v>
      </c>
      <c r="AV880" s="22" t="s">
        <v>106</v>
      </c>
      <c r="AW8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0" s="22" t="str">
        <f t="shared" si="5"/>
        <v>BR_IMC_DSY_LANCH_ND_NC_2020Q3AUG_NVS_Nivus-Launch-Consideracao</v>
      </c>
      <c r="AY880" s="28" t="str">
        <f t="shared" si="6"/>
        <v>#N/A</v>
      </c>
      <c r="AZ880" s="22" t="s">
        <v>107</v>
      </c>
      <c r="BA880" s="22" t="s">
        <v>108</v>
      </c>
      <c r="BB880" s="31" t="s">
        <v>109</v>
      </c>
      <c r="BC880" s="31" t="s">
        <v>109</v>
      </c>
      <c r="BD880" s="32" t="str">
        <f t="shared" si="8"/>
        <v>nvl-nvs-imc-dsy-0820-10874</v>
      </c>
      <c r="BE880" s="33"/>
      <c r="BF880" s="33"/>
      <c r="BG880" s="39" t="str">
        <f>URL&amp;IF(ISNUMBER(FIND("?",URL)),"&amp;","?"&amp;("adlid="&amp;Unique_ID&amp;"&amp;adplt="&amp;Placement))</f>
        <v>#N/A</v>
      </c>
      <c r="BH880" s="1"/>
      <c r="BI880" s="1"/>
      <c r="BJ880" s="35" t="str">
        <f>LOWER("alp"&amp;"_"&amp;"vw"&amp;"_"&amp;Veiculo&amp;"_"&amp;C876&amp;"_"&amp;Objetivo)</f>
        <v>alp_vw___</v>
      </c>
      <c r="BK880" s="35" t="str">
        <f>LOWER(Buying_Metric&amp;"_"&amp;VLOOKUP(Buying_Type,Buy_type,2,FALSE)&amp;"_"&amp;Device&amp;"_"&amp;Size&amp;"_"&amp;Segmentação&amp;"_"&amp;Segmentação_Anúncio)</f>
        <v>#N/A</v>
      </c>
      <c r="BL880" s="35" t="str">
        <f>LOWER(Campanha_ou_InsertionOrder&amp;"_"&amp;LineItem_ou_Grupodeanúncio&amp;"_"&amp;Linha_criativa_2&amp;"_"&amp;Unique_ID)</f>
        <v>#N/A</v>
      </c>
      <c r="BM880" s="27"/>
      <c r="BN880" s="27"/>
    </row>
    <row r="881">
      <c r="A881" s="1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8" t="str">
        <f>LOWER(Campanha_ou_InsertionOrder&amp;"_"&amp;LineItem_ou_Grupodeanúncio&amp;"_"&amp;Linha_Criativa&amp;"_"&amp;Unique_ID)</f>
        <v>#N/A</v>
      </c>
      <c r="AN881" s="28" t="str">
        <f>LOWER(Campanha_ou_InsertionOrder&amp;"_"&amp;LineItem_ou_Grupodeanúncio&amp;"_"&amp;Linha_Criativa&amp;"_"&amp;Unique_ID)</f>
        <v>#N/A</v>
      </c>
      <c r="AO881" s="28" t="str">
        <f>LOWER("VW"&amp;"_"&amp;Model_Variant&amp;"_"&amp;Size&amp;"_"&amp;Linha_Criativa&amp;"_"&amp;IF(Servido_Por="portal",Veiculo,"adserver"))</f>
        <v>vw____adserver</v>
      </c>
      <c r="AP8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1" s="22" t="str">
        <f t="shared" si="1"/>
        <v/>
      </c>
      <c r="AS881" s="22" t="str">
        <f t="shared" si="2"/>
        <v/>
      </c>
      <c r="AT881" s="22" t="str">
        <f t="shared" si="3"/>
        <v>BR_IMC_DSY_LANCH_ND_NC_2020Q3AUG_NVS_Nivus-Launch-Consideracao</v>
      </c>
      <c r="AU881" s="22" t="str">
        <f t="shared" si="4"/>
        <v>#N/A</v>
      </c>
      <c r="AV881" s="22" t="s">
        <v>106</v>
      </c>
      <c r="AW8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1" s="22" t="str">
        <f t="shared" si="5"/>
        <v>BR_IMC_DSY_LANCH_ND_NC_2020Q3AUG_NVS_Nivus-Launch-Consideracao</v>
      </c>
      <c r="AY881" s="28" t="str">
        <f t="shared" si="6"/>
        <v>#N/A</v>
      </c>
      <c r="AZ881" s="22" t="s">
        <v>107</v>
      </c>
      <c r="BA881" s="22" t="s">
        <v>108</v>
      </c>
      <c r="BB881" s="31" t="s">
        <v>109</v>
      </c>
      <c r="BC881" s="31" t="s">
        <v>109</v>
      </c>
      <c r="BD881" s="32" t="str">
        <f t="shared" si="8"/>
        <v>nvl-nvs-imc-dsy-0820-10875</v>
      </c>
      <c r="BE881" s="33"/>
      <c r="BF881" s="33"/>
      <c r="BG881" s="39" t="str">
        <f>URL&amp;IF(ISNUMBER(FIND("?",URL)),"&amp;","?"&amp;("adlid="&amp;Unique_ID&amp;"&amp;adplt="&amp;Placement))</f>
        <v>#N/A</v>
      </c>
      <c r="BH881" s="1"/>
      <c r="BI881" s="1"/>
      <c r="BJ881" s="35" t="str">
        <f>LOWER("alp"&amp;"_"&amp;"vw"&amp;"_"&amp;Veiculo&amp;"_"&amp;C877&amp;"_"&amp;Objetivo)</f>
        <v>alp_vw___</v>
      </c>
      <c r="BK881" s="35" t="str">
        <f>LOWER(Buying_Metric&amp;"_"&amp;VLOOKUP(Buying_Type,Buy_type,2,FALSE)&amp;"_"&amp;Device&amp;"_"&amp;Size&amp;"_"&amp;Segmentação&amp;"_"&amp;Segmentação_Anúncio)</f>
        <v>#N/A</v>
      </c>
      <c r="BL881" s="35" t="str">
        <f>LOWER(Campanha_ou_InsertionOrder&amp;"_"&amp;LineItem_ou_Grupodeanúncio&amp;"_"&amp;Linha_criativa_2&amp;"_"&amp;Unique_ID)</f>
        <v>#N/A</v>
      </c>
      <c r="BM881" s="27"/>
      <c r="BN881" s="27"/>
    </row>
    <row r="882">
      <c r="A882" s="1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8" t="str">
        <f>LOWER(Campanha_ou_InsertionOrder&amp;"_"&amp;LineItem_ou_Grupodeanúncio&amp;"_"&amp;Linha_Criativa&amp;"_"&amp;Unique_ID)</f>
        <v>#N/A</v>
      </c>
      <c r="AN882" s="28" t="str">
        <f>LOWER(Campanha_ou_InsertionOrder&amp;"_"&amp;LineItem_ou_Grupodeanúncio&amp;"_"&amp;Linha_Criativa&amp;"_"&amp;Unique_ID)</f>
        <v>#N/A</v>
      </c>
      <c r="AO882" s="28" t="str">
        <f>LOWER("VW"&amp;"_"&amp;Model_Variant&amp;"_"&amp;Size&amp;"_"&amp;Linha_Criativa&amp;"_"&amp;IF(Servido_Por="portal",Veiculo,"adserver"))</f>
        <v>vw____adserver</v>
      </c>
      <c r="AP8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2" s="22" t="str">
        <f t="shared" si="1"/>
        <v/>
      </c>
      <c r="AS882" s="22" t="str">
        <f t="shared" si="2"/>
        <v/>
      </c>
      <c r="AT882" s="22" t="str">
        <f t="shared" si="3"/>
        <v>BR_IMC_DSY_LANCH_ND_NC_2020Q3AUG_NVS_Nivus-Launch-Consideracao</v>
      </c>
      <c r="AU882" s="22" t="str">
        <f t="shared" si="4"/>
        <v>#N/A</v>
      </c>
      <c r="AV882" s="22" t="s">
        <v>106</v>
      </c>
      <c r="AW8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2" s="22" t="str">
        <f t="shared" si="5"/>
        <v>BR_IMC_DSY_LANCH_ND_NC_2020Q3AUG_NVS_Nivus-Launch-Consideracao</v>
      </c>
      <c r="AY882" s="28" t="str">
        <f t="shared" si="6"/>
        <v>#N/A</v>
      </c>
      <c r="AZ882" s="22" t="s">
        <v>107</v>
      </c>
      <c r="BA882" s="22" t="s">
        <v>108</v>
      </c>
      <c r="BB882" s="31" t="s">
        <v>109</v>
      </c>
      <c r="BC882" s="31" t="s">
        <v>109</v>
      </c>
      <c r="BD882" s="32" t="str">
        <f t="shared" si="8"/>
        <v>nvl-nvs-imc-dsy-0820-10876</v>
      </c>
      <c r="BE882" s="33"/>
      <c r="BF882" s="33"/>
      <c r="BG882" s="39" t="str">
        <f>URL&amp;IF(ISNUMBER(FIND("?",URL)),"&amp;","?"&amp;("adlid="&amp;Unique_ID&amp;"&amp;adplt="&amp;Placement))</f>
        <v>#N/A</v>
      </c>
      <c r="BH882" s="1"/>
      <c r="BI882" s="1"/>
      <c r="BJ882" s="35" t="str">
        <f>LOWER("alp"&amp;"_"&amp;"vw"&amp;"_"&amp;Veiculo&amp;"_"&amp;C878&amp;"_"&amp;Objetivo)</f>
        <v>alp_vw___</v>
      </c>
      <c r="BK882" s="35" t="str">
        <f>LOWER(Buying_Metric&amp;"_"&amp;VLOOKUP(Buying_Type,Buy_type,2,FALSE)&amp;"_"&amp;Device&amp;"_"&amp;Size&amp;"_"&amp;Segmentação&amp;"_"&amp;Segmentação_Anúncio)</f>
        <v>#N/A</v>
      </c>
      <c r="BL882" s="35" t="str">
        <f>LOWER(Campanha_ou_InsertionOrder&amp;"_"&amp;LineItem_ou_Grupodeanúncio&amp;"_"&amp;Linha_criativa_2&amp;"_"&amp;Unique_ID)</f>
        <v>#N/A</v>
      </c>
      <c r="BM882" s="27"/>
      <c r="BN882" s="27"/>
    </row>
    <row r="883">
      <c r="A883" s="1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8" t="str">
        <f>LOWER(Campanha_ou_InsertionOrder&amp;"_"&amp;LineItem_ou_Grupodeanúncio&amp;"_"&amp;Linha_Criativa&amp;"_"&amp;Unique_ID)</f>
        <v>#N/A</v>
      </c>
      <c r="AN883" s="28" t="str">
        <f>LOWER(Campanha_ou_InsertionOrder&amp;"_"&amp;LineItem_ou_Grupodeanúncio&amp;"_"&amp;Linha_Criativa&amp;"_"&amp;Unique_ID)</f>
        <v>#N/A</v>
      </c>
      <c r="AO883" s="28" t="str">
        <f>LOWER("VW"&amp;"_"&amp;Model_Variant&amp;"_"&amp;Size&amp;"_"&amp;Linha_Criativa&amp;"_"&amp;IF(Servido_Por="portal",Veiculo,"adserver"))</f>
        <v>vw____adserver</v>
      </c>
      <c r="AP8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3" s="22" t="str">
        <f t="shared" si="1"/>
        <v/>
      </c>
      <c r="AS883" s="22" t="str">
        <f t="shared" si="2"/>
        <v/>
      </c>
      <c r="AT883" s="22" t="str">
        <f t="shared" si="3"/>
        <v>BR_IMC_DSY_LANCH_ND_NC_2020Q3AUG_NVS_Nivus-Launch-Consideracao</v>
      </c>
      <c r="AU883" s="22" t="str">
        <f t="shared" si="4"/>
        <v>#N/A</v>
      </c>
      <c r="AV883" s="22" t="s">
        <v>106</v>
      </c>
      <c r="AW8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3" s="22" t="str">
        <f t="shared" si="5"/>
        <v>BR_IMC_DSY_LANCH_ND_NC_2020Q3AUG_NVS_Nivus-Launch-Consideracao</v>
      </c>
      <c r="AY883" s="28" t="str">
        <f t="shared" si="6"/>
        <v>#N/A</v>
      </c>
      <c r="AZ883" s="22" t="s">
        <v>107</v>
      </c>
      <c r="BA883" s="22" t="s">
        <v>108</v>
      </c>
      <c r="BB883" s="31" t="s">
        <v>109</v>
      </c>
      <c r="BC883" s="31" t="s">
        <v>109</v>
      </c>
      <c r="BD883" s="32" t="str">
        <f t="shared" si="8"/>
        <v>nvl-nvs-imc-dsy-0820-10877</v>
      </c>
      <c r="BE883" s="33"/>
      <c r="BF883" s="33"/>
      <c r="BG883" s="39" t="str">
        <f>URL&amp;IF(ISNUMBER(FIND("?",URL)),"&amp;","?"&amp;("adlid="&amp;Unique_ID&amp;"&amp;adplt="&amp;Placement))</f>
        <v>#N/A</v>
      </c>
      <c r="BH883" s="1"/>
      <c r="BI883" s="1"/>
      <c r="BJ883" s="35" t="str">
        <f>LOWER("alp"&amp;"_"&amp;"vw"&amp;"_"&amp;Veiculo&amp;"_"&amp;C879&amp;"_"&amp;Objetivo)</f>
        <v>alp_vw___</v>
      </c>
      <c r="BK883" s="35" t="str">
        <f>LOWER(Buying_Metric&amp;"_"&amp;VLOOKUP(Buying_Type,Buy_type,2,FALSE)&amp;"_"&amp;Device&amp;"_"&amp;Size&amp;"_"&amp;Segmentação&amp;"_"&amp;Segmentação_Anúncio)</f>
        <v>#N/A</v>
      </c>
      <c r="BL883" s="35" t="str">
        <f>LOWER(Campanha_ou_InsertionOrder&amp;"_"&amp;LineItem_ou_Grupodeanúncio&amp;"_"&amp;Linha_criativa_2&amp;"_"&amp;Unique_ID)</f>
        <v>#N/A</v>
      </c>
      <c r="BM883" s="27"/>
      <c r="BN883" s="27"/>
    </row>
    <row r="884">
      <c r="A884" s="1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8" t="str">
        <f>LOWER(Campanha_ou_InsertionOrder&amp;"_"&amp;LineItem_ou_Grupodeanúncio&amp;"_"&amp;Linha_Criativa&amp;"_"&amp;Unique_ID)</f>
        <v>#N/A</v>
      </c>
      <c r="AN884" s="28" t="str">
        <f>LOWER(Campanha_ou_InsertionOrder&amp;"_"&amp;LineItem_ou_Grupodeanúncio&amp;"_"&amp;Linha_Criativa&amp;"_"&amp;Unique_ID)</f>
        <v>#N/A</v>
      </c>
      <c r="AO884" s="28" t="str">
        <f>LOWER("VW"&amp;"_"&amp;Model_Variant&amp;"_"&amp;Size&amp;"_"&amp;Linha_Criativa&amp;"_"&amp;IF(Servido_Por="portal",Veiculo,"adserver"))</f>
        <v>vw____adserver</v>
      </c>
      <c r="AP8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4" s="22" t="str">
        <f t="shared" si="1"/>
        <v/>
      </c>
      <c r="AS884" s="22" t="str">
        <f t="shared" si="2"/>
        <v/>
      </c>
      <c r="AT884" s="22" t="str">
        <f t="shared" si="3"/>
        <v>BR_IMC_DSY_LANCH_ND_NC_2020Q3AUG_NVS_Nivus-Launch-Consideracao</v>
      </c>
      <c r="AU884" s="22" t="str">
        <f t="shared" si="4"/>
        <v>#N/A</v>
      </c>
      <c r="AV884" s="22" t="s">
        <v>106</v>
      </c>
      <c r="AW8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4" s="22" t="str">
        <f t="shared" si="5"/>
        <v>BR_IMC_DSY_LANCH_ND_NC_2020Q3AUG_NVS_Nivus-Launch-Consideracao</v>
      </c>
      <c r="AY884" s="28" t="str">
        <f t="shared" si="6"/>
        <v>#N/A</v>
      </c>
      <c r="AZ884" s="22" t="s">
        <v>107</v>
      </c>
      <c r="BA884" s="22" t="s">
        <v>108</v>
      </c>
      <c r="BB884" s="31" t="s">
        <v>109</v>
      </c>
      <c r="BC884" s="31" t="s">
        <v>109</v>
      </c>
      <c r="BD884" s="32" t="str">
        <f t="shared" si="8"/>
        <v>nvl-nvs-imc-dsy-0820-10878</v>
      </c>
      <c r="BE884" s="33"/>
      <c r="BF884" s="33"/>
      <c r="BG884" s="39" t="str">
        <f>URL&amp;IF(ISNUMBER(FIND("?",URL)),"&amp;","?"&amp;("adlid="&amp;Unique_ID&amp;"&amp;adplt="&amp;Placement))</f>
        <v>#N/A</v>
      </c>
      <c r="BH884" s="1"/>
      <c r="BI884" s="1"/>
      <c r="BJ884" s="35" t="str">
        <f>LOWER("alp"&amp;"_"&amp;"vw"&amp;"_"&amp;Veiculo&amp;"_"&amp;C880&amp;"_"&amp;Objetivo)</f>
        <v>alp_vw___</v>
      </c>
      <c r="BK884" s="35" t="str">
        <f>LOWER(Buying_Metric&amp;"_"&amp;VLOOKUP(Buying_Type,Buy_type,2,FALSE)&amp;"_"&amp;Device&amp;"_"&amp;Size&amp;"_"&amp;Segmentação&amp;"_"&amp;Segmentação_Anúncio)</f>
        <v>#N/A</v>
      </c>
      <c r="BL884" s="35" t="str">
        <f>LOWER(Campanha_ou_InsertionOrder&amp;"_"&amp;LineItem_ou_Grupodeanúncio&amp;"_"&amp;Linha_criativa_2&amp;"_"&amp;Unique_ID)</f>
        <v>#N/A</v>
      </c>
      <c r="BM884" s="27"/>
      <c r="BN884" s="27"/>
    </row>
    <row r="885">
      <c r="A885" s="1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8" t="str">
        <f>LOWER(Campanha_ou_InsertionOrder&amp;"_"&amp;LineItem_ou_Grupodeanúncio&amp;"_"&amp;Linha_Criativa&amp;"_"&amp;Unique_ID)</f>
        <v>#N/A</v>
      </c>
      <c r="AN885" s="28" t="str">
        <f>LOWER(Campanha_ou_InsertionOrder&amp;"_"&amp;LineItem_ou_Grupodeanúncio&amp;"_"&amp;Linha_Criativa&amp;"_"&amp;Unique_ID)</f>
        <v>#N/A</v>
      </c>
      <c r="AO885" s="28" t="str">
        <f>LOWER("VW"&amp;"_"&amp;Model_Variant&amp;"_"&amp;Size&amp;"_"&amp;Linha_Criativa&amp;"_"&amp;IF(Servido_Por="portal",Veiculo,"adserver"))</f>
        <v>vw____adserver</v>
      </c>
      <c r="AP8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5" s="22" t="str">
        <f t="shared" si="1"/>
        <v/>
      </c>
      <c r="AS885" s="22" t="str">
        <f t="shared" si="2"/>
        <v/>
      </c>
      <c r="AT885" s="22" t="str">
        <f t="shared" si="3"/>
        <v>BR_IMC_DSY_LANCH_ND_NC_2020Q3AUG_NVS_Nivus-Launch-Consideracao</v>
      </c>
      <c r="AU885" s="22" t="str">
        <f t="shared" si="4"/>
        <v>#N/A</v>
      </c>
      <c r="AV885" s="22" t="s">
        <v>106</v>
      </c>
      <c r="AW8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5" s="22" t="str">
        <f t="shared" si="5"/>
        <v>BR_IMC_DSY_LANCH_ND_NC_2020Q3AUG_NVS_Nivus-Launch-Consideracao</v>
      </c>
      <c r="AY885" s="28" t="str">
        <f t="shared" si="6"/>
        <v>#N/A</v>
      </c>
      <c r="AZ885" s="22" t="s">
        <v>107</v>
      </c>
      <c r="BA885" s="22" t="s">
        <v>108</v>
      </c>
      <c r="BB885" s="31" t="s">
        <v>109</v>
      </c>
      <c r="BC885" s="31" t="s">
        <v>109</v>
      </c>
      <c r="BD885" s="32" t="str">
        <f t="shared" si="8"/>
        <v>nvl-nvs-imc-dsy-0820-10879</v>
      </c>
      <c r="BE885" s="33"/>
      <c r="BF885" s="33"/>
      <c r="BG885" s="39" t="str">
        <f>URL&amp;IF(ISNUMBER(FIND("?",URL)),"&amp;","?"&amp;("adlid="&amp;Unique_ID&amp;"&amp;adplt="&amp;Placement))</f>
        <v>#N/A</v>
      </c>
      <c r="BH885" s="1"/>
      <c r="BI885" s="1"/>
      <c r="BJ885" s="35" t="str">
        <f>LOWER("alp"&amp;"_"&amp;"vw"&amp;"_"&amp;Veiculo&amp;"_"&amp;C881&amp;"_"&amp;Objetivo)</f>
        <v>alp_vw___</v>
      </c>
      <c r="BK885" s="35" t="str">
        <f>LOWER(Buying_Metric&amp;"_"&amp;VLOOKUP(Buying_Type,Buy_type,2,FALSE)&amp;"_"&amp;Device&amp;"_"&amp;Size&amp;"_"&amp;Segmentação&amp;"_"&amp;Segmentação_Anúncio)</f>
        <v>#N/A</v>
      </c>
      <c r="BL885" s="35" t="str">
        <f>LOWER(Campanha_ou_InsertionOrder&amp;"_"&amp;LineItem_ou_Grupodeanúncio&amp;"_"&amp;Linha_criativa_2&amp;"_"&amp;Unique_ID)</f>
        <v>#N/A</v>
      </c>
      <c r="BM885" s="27"/>
      <c r="BN885" s="27"/>
    </row>
    <row r="886">
      <c r="A886" s="1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8" t="str">
        <f>LOWER(Campanha_ou_InsertionOrder&amp;"_"&amp;LineItem_ou_Grupodeanúncio&amp;"_"&amp;Linha_Criativa&amp;"_"&amp;Unique_ID)</f>
        <v>#N/A</v>
      </c>
      <c r="AN886" s="28" t="str">
        <f>LOWER(Campanha_ou_InsertionOrder&amp;"_"&amp;LineItem_ou_Grupodeanúncio&amp;"_"&amp;Linha_Criativa&amp;"_"&amp;Unique_ID)</f>
        <v>#N/A</v>
      </c>
      <c r="AO886" s="28" t="str">
        <f>LOWER("VW"&amp;"_"&amp;Model_Variant&amp;"_"&amp;Size&amp;"_"&amp;Linha_Criativa&amp;"_"&amp;IF(Servido_Por="portal",Veiculo,"adserver"))</f>
        <v>vw____adserver</v>
      </c>
      <c r="AP8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6" s="22" t="str">
        <f t="shared" si="1"/>
        <v/>
      </c>
      <c r="AS886" s="22" t="str">
        <f t="shared" si="2"/>
        <v/>
      </c>
      <c r="AT886" s="22" t="str">
        <f t="shared" si="3"/>
        <v>BR_IMC_DSY_LANCH_ND_NC_2020Q3AUG_NVS_Nivus-Launch-Consideracao</v>
      </c>
      <c r="AU886" s="22" t="str">
        <f t="shared" si="4"/>
        <v>#N/A</v>
      </c>
      <c r="AV886" s="22" t="s">
        <v>106</v>
      </c>
      <c r="AW8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6" s="22" t="str">
        <f t="shared" si="5"/>
        <v>BR_IMC_DSY_LANCH_ND_NC_2020Q3AUG_NVS_Nivus-Launch-Consideracao</v>
      </c>
      <c r="AY886" s="28" t="str">
        <f t="shared" si="6"/>
        <v>#N/A</v>
      </c>
      <c r="AZ886" s="22" t="s">
        <v>107</v>
      </c>
      <c r="BA886" s="22" t="s">
        <v>108</v>
      </c>
      <c r="BB886" s="31" t="s">
        <v>109</v>
      </c>
      <c r="BC886" s="31" t="s">
        <v>109</v>
      </c>
      <c r="BD886" s="32" t="str">
        <f t="shared" si="8"/>
        <v>nvl-nvs-imc-dsy-0820-10880</v>
      </c>
      <c r="BE886" s="33"/>
      <c r="BF886" s="33"/>
      <c r="BG886" s="39" t="str">
        <f>URL&amp;IF(ISNUMBER(FIND("?",URL)),"&amp;","?"&amp;("adlid="&amp;Unique_ID&amp;"&amp;adplt="&amp;Placement))</f>
        <v>#N/A</v>
      </c>
      <c r="BH886" s="1"/>
      <c r="BI886" s="1"/>
      <c r="BJ886" s="35" t="str">
        <f>LOWER("alp"&amp;"_"&amp;"vw"&amp;"_"&amp;Veiculo&amp;"_"&amp;C882&amp;"_"&amp;Objetivo)</f>
        <v>alp_vw___</v>
      </c>
      <c r="BK886" s="35" t="str">
        <f>LOWER(Buying_Metric&amp;"_"&amp;VLOOKUP(Buying_Type,Buy_type,2,FALSE)&amp;"_"&amp;Device&amp;"_"&amp;Size&amp;"_"&amp;Segmentação&amp;"_"&amp;Segmentação_Anúncio)</f>
        <v>#N/A</v>
      </c>
      <c r="BL886" s="35" t="str">
        <f>LOWER(Campanha_ou_InsertionOrder&amp;"_"&amp;LineItem_ou_Grupodeanúncio&amp;"_"&amp;Linha_criativa_2&amp;"_"&amp;Unique_ID)</f>
        <v>#N/A</v>
      </c>
      <c r="BM886" s="27"/>
      <c r="BN886" s="27"/>
    </row>
    <row r="887">
      <c r="A887" s="1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8" t="str">
        <f>LOWER(Campanha_ou_InsertionOrder&amp;"_"&amp;LineItem_ou_Grupodeanúncio&amp;"_"&amp;Linha_Criativa&amp;"_"&amp;Unique_ID)</f>
        <v>#N/A</v>
      </c>
      <c r="AN887" s="28" t="str">
        <f>LOWER(Campanha_ou_InsertionOrder&amp;"_"&amp;LineItem_ou_Grupodeanúncio&amp;"_"&amp;Linha_Criativa&amp;"_"&amp;Unique_ID)</f>
        <v>#N/A</v>
      </c>
      <c r="AO887" s="28" t="str">
        <f>LOWER("VW"&amp;"_"&amp;Model_Variant&amp;"_"&amp;Size&amp;"_"&amp;Linha_Criativa&amp;"_"&amp;IF(Servido_Por="portal",Veiculo,"adserver"))</f>
        <v>vw____adserver</v>
      </c>
      <c r="AP8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7" s="22" t="str">
        <f t="shared" si="1"/>
        <v/>
      </c>
      <c r="AS887" s="22" t="str">
        <f t="shared" si="2"/>
        <v/>
      </c>
      <c r="AT887" s="22" t="str">
        <f t="shared" si="3"/>
        <v>BR_IMC_DSY_LANCH_ND_NC_2020Q3AUG_NVS_Nivus-Launch-Consideracao</v>
      </c>
      <c r="AU887" s="22" t="str">
        <f t="shared" si="4"/>
        <v>#N/A</v>
      </c>
      <c r="AV887" s="22" t="s">
        <v>106</v>
      </c>
      <c r="AW8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7" s="22" t="str">
        <f t="shared" si="5"/>
        <v>BR_IMC_DSY_LANCH_ND_NC_2020Q3AUG_NVS_Nivus-Launch-Consideracao</v>
      </c>
      <c r="AY887" s="28" t="str">
        <f t="shared" si="6"/>
        <v>#N/A</v>
      </c>
      <c r="AZ887" s="22" t="s">
        <v>107</v>
      </c>
      <c r="BA887" s="22" t="s">
        <v>108</v>
      </c>
      <c r="BB887" s="31" t="s">
        <v>109</v>
      </c>
      <c r="BC887" s="31" t="s">
        <v>109</v>
      </c>
      <c r="BD887" s="32" t="str">
        <f t="shared" si="8"/>
        <v>nvl-nvs-imc-dsy-0820-10881</v>
      </c>
      <c r="BE887" s="33"/>
      <c r="BF887" s="33"/>
      <c r="BG887" s="39" t="str">
        <f>URL&amp;IF(ISNUMBER(FIND("?",URL)),"&amp;","?"&amp;("adlid="&amp;Unique_ID&amp;"&amp;adplt="&amp;Placement))</f>
        <v>#N/A</v>
      </c>
      <c r="BH887" s="1"/>
      <c r="BI887" s="1"/>
      <c r="BJ887" s="35" t="str">
        <f>LOWER("alp"&amp;"_"&amp;"vw"&amp;"_"&amp;Veiculo&amp;"_"&amp;C883&amp;"_"&amp;Objetivo)</f>
        <v>alp_vw___</v>
      </c>
      <c r="BK887" s="35" t="str">
        <f>LOWER(Buying_Metric&amp;"_"&amp;VLOOKUP(Buying_Type,Buy_type,2,FALSE)&amp;"_"&amp;Device&amp;"_"&amp;Size&amp;"_"&amp;Segmentação&amp;"_"&amp;Segmentação_Anúncio)</f>
        <v>#N/A</v>
      </c>
      <c r="BL887" s="35" t="str">
        <f>LOWER(Campanha_ou_InsertionOrder&amp;"_"&amp;LineItem_ou_Grupodeanúncio&amp;"_"&amp;Linha_criativa_2&amp;"_"&amp;Unique_ID)</f>
        <v>#N/A</v>
      </c>
      <c r="BM887" s="27"/>
      <c r="BN887" s="27"/>
    </row>
    <row r="888">
      <c r="A888" s="1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8" t="str">
        <f>LOWER(Campanha_ou_InsertionOrder&amp;"_"&amp;LineItem_ou_Grupodeanúncio&amp;"_"&amp;Linha_Criativa&amp;"_"&amp;Unique_ID)</f>
        <v>#N/A</v>
      </c>
      <c r="AN888" s="28" t="str">
        <f>LOWER(Campanha_ou_InsertionOrder&amp;"_"&amp;LineItem_ou_Grupodeanúncio&amp;"_"&amp;Linha_Criativa&amp;"_"&amp;Unique_ID)</f>
        <v>#N/A</v>
      </c>
      <c r="AO888" s="28" t="str">
        <f>LOWER("VW"&amp;"_"&amp;Model_Variant&amp;"_"&amp;Size&amp;"_"&amp;Linha_Criativa&amp;"_"&amp;IF(Servido_Por="portal",Veiculo,"adserver"))</f>
        <v>vw____adserver</v>
      </c>
      <c r="AP8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8" s="22" t="str">
        <f t="shared" si="1"/>
        <v/>
      </c>
      <c r="AS888" s="22" t="str">
        <f t="shared" si="2"/>
        <v/>
      </c>
      <c r="AT888" s="22" t="str">
        <f t="shared" si="3"/>
        <v>BR_IMC_DSY_LANCH_ND_NC_2020Q3AUG_NVS_Nivus-Launch-Consideracao</v>
      </c>
      <c r="AU888" s="22" t="str">
        <f t="shared" si="4"/>
        <v>#N/A</v>
      </c>
      <c r="AV888" s="22" t="s">
        <v>106</v>
      </c>
      <c r="AW8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8" s="22" t="str">
        <f t="shared" si="5"/>
        <v>BR_IMC_DSY_LANCH_ND_NC_2020Q3AUG_NVS_Nivus-Launch-Consideracao</v>
      </c>
      <c r="AY888" s="28" t="str">
        <f t="shared" si="6"/>
        <v>#N/A</v>
      </c>
      <c r="AZ888" s="22" t="s">
        <v>107</v>
      </c>
      <c r="BA888" s="22" t="s">
        <v>108</v>
      </c>
      <c r="BB888" s="31" t="s">
        <v>109</v>
      </c>
      <c r="BC888" s="31" t="s">
        <v>109</v>
      </c>
      <c r="BD888" s="32" t="str">
        <f t="shared" si="8"/>
        <v>nvl-nvs-imc-dsy-0820-10882</v>
      </c>
      <c r="BE888" s="33"/>
      <c r="BF888" s="33"/>
      <c r="BG888" s="39" t="str">
        <f>URL&amp;IF(ISNUMBER(FIND("?",URL)),"&amp;","?"&amp;("adlid="&amp;Unique_ID&amp;"&amp;adplt="&amp;Placement))</f>
        <v>#N/A</v>
      </c>
      <c r="BH888" s="1"/>
      <c r="BI888" s="1"/>
      <c r="BJ888" s="35" t="str">
        <f>LOWER("alp"&amp;"_"&amp;"vw"&amp;"_"&amp;Veiculo&amp;"_"&amp;C884&amp;"_"&amp;Objetivo)</f>
        <v>alp_vw___</v>
      </c>
      <c r="BK888" s="35" t="str">
        <f>LOWER(Buying_Metric&amp;"_"&amp;VLOOKUP(Buying_Type,Buy_type,2,FALSE)&amp;"_"&amp;Device&amp;"_"&amp;Size&amp;"_"&amp;Segmentação&amp;"_"&amp;Segmentação_Anúncio)</f>
        <v>#N/A</v>
      </c>
      <c r="BL888" s="35" t="str">
        <f>LOWER(Campanha_ou_InsertionOrder&amp;"_"&amp;LineItem_ou_Grupodeanúncio&amp;"_"&amp;Linha_criativa_2&amp;"_"&amp;Unique_ID)</f>
        <v>#N/A</v>
      </c>
      <c r="BM888" s="27"/>
      <c r="BN888" s="27"/>
    </row>
    <row r="889">
      <c r="A889" s="1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8" t="str">
        <f>LOWER(Campanha_ou_InsertionOrder&amp;"_"&amp;LineItem_ou_Grupodeanúncio&amp;"_"&amp;Linha_Criativa&amp;"_"&amp;Unique_ID)</f>
        <v>#N/A</v>
      </c>
      <c r="AN889" s="28" t="str">
        <f>LOWER(Campanha_ou_InsertionOrder&amp;"_"&amp;LineItem_ou_Grupodeanúncio&amp;"_"&amp;Linha_Criativa&amp;"_"&amp;Unique_ID)</f>
        <v>#N/A</v>
      </c>
      <c r="AO889" s="28" t="str">
        <f>LOWER("VW"&amp;"_"&amp;Model_Variant&amp;"_"&amp;Size&amp;"_"&amp;Linha_Criativa&amp;"_"&amp;IF(Servido_Por="portal",Veiculo,"adserver"))</f>
        <v>vw____adserver</v>
      </c>
      <c r="AP8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89" s="22" t="str">
        <f t="shared" si="1"/>
        <v/>
      </c>
      <c r="AS889" s="22" t="str">
        <f t="shared" si="2"/>
        <v/>
      </c>
      <c r="AT889" s="22" t="str">
        <f t="shared" si="3"/>
        <v>BR_IMC_DSY_LANCH_ND_NC_2020Q3AUG_NVS_Nivus-Launch-Consideracao</v>
      </c>
      <c r="AU889" s="22" t="str">
        <f t="shared" si="4"/>
        <v>#N/A</v>
      </c>
      <c r="AV889" s="22" t="s">
        <v>106</v>
      </c>
      <c r="AW8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89" s="22" t="str">
        <f t="shared" si="5"/>
        <v>BR_IMC_DSY_LANCH_ND_NC_2020Q3AUG_NVS_Nivus-Launch-Consideracao</v>
      </c>
      <c r="AY889" s="28" t="str">
        <f t="shared" si="6"/>
        <v>#N/A</v>
      </c>
      <c r="AZ889" s="22" t="s">
        <v>107</v>
      </c>
      <c r="BA889" s="22" t="s">
        <v>108</v>
      </c>
      <c r="BB889" s="31" t="s">
        <v>109</v>
      </c>
      <c r="BC889" s="31" t="s">
        <v>109</v>
      </c>
      <c r="BD889" s="32" t="str">
        <f t="shared" si="8"/>
        <v>nvl-nvs-imc-dsy-0820-10883</v>
      </c>
      <c r="BE889" s="33"/>
      <c r="BF889" s="33"/>
      <c r="BG889" s="39" t="str">
        <f>URL&amp;IF(ISNUMBER(FIND("?",URL)),"&amp;","?"&amp;("adlid="&amp;Unique_ID&amp;"&amp;adplt="&amp;Placement))</f>
        <v>#N/A</v>
      </c>
      <c r="BH889" s="1"/>
      <c r="BI889" s="1"/>
      <c r="BJ889" s="35" t="str">
        <f>LOWER("alp"&amp;"_"&amp;"vw"&amp;"_"&amp;Veiculo&amp;"_"&amp;C885&amp;"_"&amp;Objetivo)</f>
        <v>alp_vw___</v>
      </c>
      <c r="BK889" s="35" t="str">
        <f>LOWER(Buying_Metric&amp;"_"&amp;VLOOKUP(Buying_Type,Buy_type,2,FALSE)&amp;"_"&amp;Device&amp;"_"&amp;Size&amp;"_"&amp;Segmentação&amp;"_"&amp;Segmentação_Anúncio)</f>
        <v>#N/A</v>
      </c>
      <c r="BL889" s="35" t="str">
        <f>LOWER(Campanha_ou_InsertionOrder&amp;"_"&amp;LineItem_ou_Grupodeanúncio&amp;"_"&amp;Linha_criativa_2&amp;"_"&amp;Unique_ID)</f>
        <v>#N/A</v>
      </c>
      <c r="BM889" s="27"/>
      <c r="BN889" s="27"/>
    </row>
    <row r="890">
      <c r="A890" s="1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8" t="str">
        <f>LOWER(Campanha_ou_InsertionOrder&amp;"_"&amp;LineItem_ou_Grupodeanúncio&amp;"_"&amp;Linha_Criativa&amp;"_"&amp;Unique_ID)</f>
        <v>#N/A</v>
      </c>
      <c r="AN890" s="28" t="str">
        <f>LOWER(Campanha_ou_InsertionOrder&amp;"_"&amp;LineItem_ou_Grupodeanúncio&amp;"_"&amp;Linha_Criativa&amp;"_"&amp;Unique_ID)</f>
        <v>#N/A</v>
      </c>
      <c r="AO890" s="28" t="str">
        <f>LOWER("VW"&amp;"_"&amp;Model_Variant&amp;"_"&amp;Size&amp;"_"&amp;Linha_Criativa&amp;"_"&amp;IF(Servido_Por="portal",Veiculo,"adserver"))</f>
        <v>vw____adserver</v>
      </c>
      <c r="AP8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0" s="22" t="str">
        <f t="shared" si="1"/>
        <v/>
      </c>
      <c r="AS890" s="22" t="str">
        <f t="shared" si="2"/>
        <v/>
      </c>
      <c r="AT890" s="22" t="str">
        <f t="shared" si="3"/>
        <v>BR_IMC_DSY_LANCH_ND_NC_2020Q3AUG_NVS_Nivus-Launch-Consideracao</v>
      </c>
      <c r="AU890" s="22" t="str">
        <f t="shared" si="4"/>
        <v>#N/A</v>
      </c>
      <c r="AV890" s="22" t="s">
        <v>106</v>
      </c>
      <c r="AW8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0" s="22" t="str">
        <f t="shared" si="5"/>
        <v>BR_IMC_DSY_LANCH_ND_NC_2020Q3AUG_NVS_Nivus-Launch-Consideracao</v>
      </c>
      <c r="AY890" s="28" t="str">
        <f t="shared" si="6"/>
        <v>#N/A</v>
      </c>
      <c r="AZ890" s="22" t="s">
        <v>107</v>
      </c>
      <c r="BA890" s="22" t="s">
        <v>108</v>
      </c>
      <c r="BB890" s="31" t="s">
        <v>109</v>
      </c>
      <c r="BC890" s="31" t="s">
        <v>109</v>
      </c>
      <c r="BD890" s="32" t="str">
        <f t="shared" si="8"/>
        <v>nvl-nvs-imc-dsy-0820-10884</v>
      </c>
      <c r="BE890" s="33"/>
      <c r="BF890" s="33"/>
      <c r="BG890" s="39" t="str">
        <f>URL&amp;IF(ISNUMBER(FIND("?",URL)),"&amp;","?"&amp;("adlid="&amp;Unique_ID&amp;"&amp;adplt="&amp;Placement))</f>
        <v>#N/A</v>
      </c>
      <c r="BH890" s="1"/>
      <c r="BI890" s="1"/>
      <c r="BJ890" s="35" t="str">
        <f>LOWER("alp"&amp;"_"&amp;"vw"&amp;"_"&amp;Veiculo&amp;"_"&amp;C886&amp;"_"&amp;Objetivo)</f>
        <v>alp_vw___</v>
      </c>
      <c r="BK890" s="35" t="str">
        <f>LOWER(Buying_Metric&amp;"_"&amp;VLOOKUP(Buying_Type,Buy_type,2,FALSE)&amp;"_"&amp;Device&amp;"_"&amp;Size&amp;"_"&amp;Segmentação&amp;"_"&amp;Segmentação_Anúncio)</f>
        <v>#N/A</v>
      </c>
      <c r="BL890" s="35" t="str">
        <f>LOWER(Campanha_ou_InsertionOrder&amp;"_"&amp;LineItem_ou_Grupodeanúncio&amp;"_"&amp;Linha_criativa_2&amp;"_"&amp;Unique_ID)</f>
        <v>#N/A</v>
      </c>
      <c r="BM890" s="27"/>
      <c r="BN890" s="27"/>
    </row>
    <row r="891">
      <c r="A891" s="1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8" t="str">
        <f>LOWER(Campanha_ou_InsertionOrder&amp;"_"&amp;LineItem_ou_Grupodeanúncio&amp;"_"&amp;Linha_Criativa&amp;"_"&amp;Unique_ID)</f>
        <v>#N/A</v>
      </c>
      <c r="AN891" s="28" t="str">
        <f>LOWER(Campanha_ou_InsertionOrder&amp;"_"&amp;LineItem_ou_Grupodeanúncio&amp;"_"&amp;Linha_Criativa&amp;"_"&amp;Unique_ID)</f>
        <v>#N/A</v>
      </c>
      <c r="AO891" s="28" t="str">
        <f>LOWER("VW"&amp;"_"&amp;Model_Variant&amp;"_"&amp;Size&amp;"_"&amp;Linha_Criativa&amp;"_"&amp;IF(Servido_Por="portal",Veiculo,"adserver"))</f>
        <v>vw____adserver</v>
      </c>
      <c r="AP8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1" s="22" t="str">
        <f t="shared" si="1"/>
        <v/>
      </c>
      <c r="AS891" s="22" t="str">
        <f t="shared" si="2"/>
        <v/>
      </c>
      <c r="AT891" s="22" t="str">
        <f t="shared" si="3"/>
        <v>BR_IMC_DSY_LANCH_ND_NC_2020Q3AUG_NVS_Nivus-Launch-Consideracao</v>
      </c>
      <c r="AU891" s="22" t="str">
        <f t="shared" si="4"/>
        <v>#N/A</v>
      </c>
      <c r="AV891" s="22" t="s">
        <v>106</v>
      </c>
      <c r="AW8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1" s="22" t="str">
        <f t="shared" si="5"/>
        <v>BR_IMC_DSY_LANCH_ND_NC_2020Q3AUG_NVS_Nivus-Launch-Consideracao</v>
      </c>
      <c r="AY891" s="28" t="str">
        <f t="shared" si="6"/>
        <v>#N/A</v>
      </c>
      <c r="AZ891" s="22" t="s">
        <v>107</v>
      </c>
      <c r="BA891" s="22" t="s">
        <v>108</v>
      </c>
      <c r="BB891" s="31" t="s">
        <v>109</v>
      </c>
      <c r="BC891" s="31" t="s">
        <v>109</v>
      </c>
      <c r="BD891" s="32" t="str">
        <f t="shared" si="8"/>
        <v>nvl-nvs-imc-dsy-0820-10885</v>
      </c>
      <c r="BE891" s="33"/>
      <c r="BF891" s="33"/>
      <c r="BG891" s="39" t="str">
        <f>URL&amp;IF(ISNUMBER(FIND("?",URL)),"&amp;","?"&amp;("adlid="&amp;Unique_ID&amp;"&amp;adplt="&amp;Placement))</f>
        <v>#N/A</v>
      </c>
      <c r="BH891" s="1"/>
      <c r="BI891" s="1"/>
      <c r="BJ891" s="35" t="str">
        <f>LOWER("alp"&amp;"_"&amp;"vw"&amp;"_"&amp;Veiculo&amp;"_"&amp;C887&amp;"_"&amp;Objetivo)</f>
        <v>alp_vw___</v>
      </c>
      <c r="BK891" s="35" t="str">
        <f>LOWER(Buying_Metric&amp;"_"&amp;VLOOKUP(Buying_Type,Buy_type,2,FALSE)&amp;"_"&amp;Device&amp;"_"&amp;Size&amp;"_"&amp;Segmentação&amp;"_"&amp;Segmentação_Anúncio)</f>
        <v>#N/A</v>
      </c>
      <c r="BL891" s="35" t="str">
        <f>LOWER(Campanha_ou_InsertionOrder&amp;"_"&amp;LineItem_ou_Grupodeanúncio&amp;"_"&amp;Linha_criativa_2&amp;"_"&amp;Unique_ID)</f>
        <v>#N/A</v>
      </c>
      <c r="BM891" s="27"/>
      <c r="BN891" s="27"/>
    </row>
    <row r="892">
      <c r="A892" s="1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8" t="str">
        <f>LOWER(Campanha_ou_InsertionOrder&amp;"_"&amp;LineItem_ou_Grupodeanúncio&amp;"_"&amp;Linha_Criativa&amp;"_"&amp;Unique_ID)</f>
        <v>#N/A</v>
      </c>
      <c r="AN892" s="28" t="str">
        <f>LOWER(Campanha_ou_InsertionOrder&amp;"_"&amp;LineItem_ou_Grupodeanúncio&amp;"_"&amp;Linha_Criativa&amp;"_"&amp;Unique_ID)</f>
        <v>#N/A</v>
      </c>
      <c r="AO892" s="28" t="str">
        <f>LOWER("VW"&amp;"_"&amp;Model_Variant&amp;"_"&amp;Size&amp;"_"&amp;Linha_Criativa&amp;"_"&amp;IF(Servido_Por="portal",Veiculo,"adserver"))</f>
        <v>vw____adserver</v>
      </c>
      <c r="AP8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2" s="22" t="str">
        <f t="shared" si="1"/>
        <v/>
      </c>
      <c r="AS892" s="22" t="str">
        <f t="shared" si="2"/>
        <v/>
      </c>
      <c r="AT892" s="22" t="str">
        <f t="shared" si="3"/>
        <v>BR_IMC_DSY_LANCH_ND_NC_2020Q3AUG_NVS_Nivus-Launch-Consideracao</v>
      </c>
      <c r="AU892" s="22" t="str">
        <f t="shared" si="4"/>
        <v>#N/A</v>
      </c>
      <c r="AV892" s="22" t="s">
        <v>106</v>
      </c>
      <c r="AW8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2" s="22" t="str">
        <f t="shared" si="5"/>
        <v>BR_IMC_DSY_LANCH_ND_NC_2020Q3AUG_NVS_Nivus-Launch-Consideracao</v>
      </c>
      <c r="AY892" s="28" t="str">
        <f t="shared" si="6"/>
        <v>#N/A</v>
      </c>
      <c r="AZ892" s="22" t="s">
        <v>107</v>
      </c>
      <c r="BA892" s="22" t="s">
        <v>108</v>
      </c>
      <c r="BB892" s="31" t="s">
        <v>109</v>
      </c>
      <c r="BC892" s="31" t="s">
        <v>109</v>
      </c>
      <c r="BD892" s="32" t="str">
        <f t="shared" si="8"/>
        <v>nvl-nvs-imc-dsy-0820-10886</v>
      </c>
      <c r="BE892" s="33"/>
      <c r="BF892" s="33"/>
      <c r="BG892" s="39" t="str">
        <f>URL&amp;IF(ISNUMBER(FIND("?",URL)),"&amp;","?"&amp;("adlid="&amp;Unique_ID&amp;"&amp;adplt="&amp;Placement))</f>
        <v>#N/A</v>
      </c>
      <c r="BH892" s="1"/>
      <c r="BI892" s="1"/>
      <c r="BJ892" s="35" t="str">
        <f>LOWER("alp"&amp;"_"&amp;"vw"&amp;"_"&amp;Veiculo&amp;"_"&amp;C888&amp;"_"&amp;Objetivo)</f>
        <v>alp_vw___</v>
      </c>
      <c r="BK892" s="35" t="str">
        <f>LOWER(Buying_Metric&amp;"_"&amp;VLOOKUP(Buying_Type,Buy_type,2,FALSE)&amp;"_"&amp;Device&amp;"_"&amp;Size&amp;"_"&amp;Segmentação&amp;"_"&amp;Segmentação_Anúncio)</f>
        <v>#N/A</v>
      </c>
      <c r="BL892" s="35" t="str">
        <f>LOWER(Campanha_ou_InsertionOrder&amp;"_"&amp;LineItem_ou_Grupodeanúncio&amp;"_"&amp;Linha_criativa_2&amp;"_"&amp;Unique_ID)</f>
        <v>#N/A</v>
      </c>
      <c r="BM892" s="27"/>
      <c r="BN892" s="27"/>
    </row>
    <row r="893">
      <c r="A893" s="1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8" t="str">
        <f>LOWER(Campanha_ou_InsertionOrder&amp;"_"&amp;LineItem_ou_Grupodeanúncio&amp;"_"&amp;Linha_Criativa&amp;"_"&amp;Unique_ID)</f>
        <v>#N/A</v>
      </c>
      <c r="AN893" s="28" t="str">
        <f>LOWER(Campanha_ou_InsertionOrder&amp;"_"&amp;LineItem_ou_Grupodeanúncio&amp;"_"&amp;Linha_Criativa&amp;"_"&amp;Unique_ID)</f>
        <v>#N/A</v>
      </c>
      <c r="AO893" s="28" t="str">
        <f>LOWER("VW"&amp;"_"&amp;Model_Variant&amp;"_"&amp;Size&amp;"_"&amp;Linha_Criativa&amp;"_"&amp;IF(Servido_Por="portal",Veiculo,"adserver"))</f>
        <v>vw____adserver</v>
      </c>
      <c r="AP8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3" s="22" t="str">
        <f t="shared" si="1"/>
        <v/>
      </c>
      <c r="AS893" s="22" t="str">
        <f t="shared" si="2"/>
        <v/>
      </c>
      <c r="AT893" s="22" t="str">
        <f t="shared" si="3"/>
        <v>BR_IMC_DSY_LANCH_ND_NC_2020Q3AUG_NVS_Nivus-Launch-Consideracao</v>
      </c>
      <c r="AU893" s="22" t="str">
        <f t="shared" si="4"/>
        <v>#N/A</v>
      </c>
      <c r="AV893" s="22" t="s">
        <v>106</v>
      </c>
      <c r="AW8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3" s="22" t="str">
        <f t="shared" si="5"/>
        <v>BR_IMC_DSY_LANCH_ND_NC_2020Q3AUG_NVS_Nivus-Launch-Consideracao</v>
      </c>
      <c r="AY893" s="28" t="str">
        <f t="shared" si="6"/>
        <v>#N/A</v>
      </c>
      <c r="AZ893" s="22" t="s">
        <v>107</v>
      </c>
      <c r="BA893" s="22" t="s">
        <v>108</v>
      </c>
      <c r="BB893" s="31" t="s">
        <v>109</v>
      </c>
      <c r="BC893" s="31" t="s">
        <v>109</v>
      </c>
      <c r="BD893" s="32" t="str">
        <f t="shared" si="8"/>
        <v>nvl-nvs-imc-dsy-0820-10887</v>
      </c>
      <c r="BE893" s="33"/>
      <c r="BF893" s="33"/>
      <c r="BG893" s="39" t="str">
        <f>URL&amp;IF(ISNUMBER(FIND("?",URL)),"&amp;","?"&amp;("adlid="&amp;Unique_ID&amp;"&amp;adplt="&amp;Placement))</f>
        <v>#N/A</v>
      </c>
      <c r="BH893" s="1"/>
      <c r="BI893" s="1"/>
      <c r="BJ893" s="35" t="str">
        <f>LOWER("alp"&amp;"_"&amp;"vw"&amp;"_"&amp;Veiculo&amp;"_"&amp;C889&amp;"_"&amp;Objetivo)</f>
        <v>alp_vw___</v>
      </c>
      <c r="BK893" s="35" t="str">
        <f>LOWER(Buying_Metric&amp;"_"&amp;VLOOKUP(Buying_Type,Buy_type,2,FALSE)&amp;"_"&amp;Device&amp;"_"&amp;Size&amp;"_"&amp;Segmentação&amp;"_"&amp;Segmentação_Anúncio)</f>
        <v>#N/A</v>
      </c>
      <c r="BL893" s="35" t="str">
        <f>LOWER(Campanha_ou_InsertionOrder&amp;"_"&amp;LineItem_ou_Grupodeanúncio&amp;"_"&amp;Linha_criativa_2&amp;"_"&amp;Unique_ID)</f>
        <v>#N/A</v>
      </c>
      <c r="BM893" s="27"/>
      <c r="BN893" s="27"/>
    </row>
    <row r="894">
      <c r="A894" s="1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8" t="str">
        <f>LOWER(Campanha_ou_InsertionOrder&amp;"_"&amp;LineItem_ou_Grupodeanúncio&amp;"_"&amp;Linha_Criativa&amp;"_"&amp;Unique_ID)</f>
        <v>#N/A</v>
      </c>
      <c r="AN894" s="28" t="str">
        <f>LOWER(Campanha_ou_InsertionOrder&amp;"_"&amp;LineItem_ou_Grupodeanúncio&amp;"_"&amp;Linha_Criativa&amp;"_"&amp;Unique_ID)</f>
        <v>#N/A</v>
      </c>
      <c r="AO894" s="28" t="str">
        <f>LOWER("VW"&amp;"_"&amp;Model_Variant&amp;"_"&amp;Size&amp;"_"&amp;Linha_Criativa&amp;"_"&amp;IF(Servido_Por="portal",Veiculo,"adserver"))</f>
        <v>vw____adserver</v>
      </c>
      <c r="AP8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4" s="22" t="str">
        <f t="shared" si="1"/>
        <v/>
      </c>
      <c r="AS894" s="22" t="str">
        <f t="shared" si="2"/>
        <v/>
      </c>
      <c r="AT894" s="22" t="str">
        <f t="shared" si="3"/>
        <v>BR_IMC_DSY_LANCH_ND_NC_2020Q3AUG_NVS_Nivus-Launch-Consideracao</v>
      </c>
      <c r="AU894" s="22" t="str">
        <f t="shared" si="4"/>
        <v>#N/A</v>
      </c>
      <c r="AV894" s="22" t="s">
        <v>106</v>
      </c>
      <c r="AW8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4" s="22" t="str">
        <f t="shared" si="5"/>
        <v>BR_IMC_DSY_LANCH_ND_NC_2020Q3AUG_NVS_Nivus-Launch-Consideracao</v>
      </c>
      <c r="AY894" s="28" t="str">
        <f t="shared" si="6"/>
        <v>#N/A</v>
      </c>
      <c r="AZ894" s="22" t="s">
        <v>107</v>
      </c>
      <c r="BA894" s="22" t="s">
        <v>108</v>
      </c>
      <c r="BB894" s="31" t="s">
        <v>109</v>
      </c>
      <c r="BC894" s="31" t="s">
        <v>109</v>
      </c>
      <c r="BD894" s="32" t="str">
        <f t="shared" si="8"/>
        <v>nvl-nvs-imc-dsy-0820-10888</v>
      </c>
      <c r="BE894" s="33"/>
      <c r="BF894" s="33"/>
      <c r="BG894" s="39" t="str">
        <f>URL&amp;IF(ISNUMBER(FIND("?",URL)),"&amp;","?"&amp;("adlid="&amp;Unique_ID&amp;"&amp;adplt="&amp;Placement))</f>
        <v>#N/A</v>
      </c>
      <c r="BH894" s="1"/>
      <c r="BI894" s="1"/>
      <c r="BJ894" s="35" t="str">
        <f>LOWER("alp"&amp;"_"&amp;"vw"&amp;"_"&amp;Veiculo&amp;"_"&amp;C890&amp;"_"&amp;Objetivo)</f>
        <v>alp_vw___</v>
      </c>
      <c r="BK894" s="35" t="str">
        <f>LOWER(Buying_Metric&amp;"_"&amp;VLOOKUP(Buying_Type,Buy_type,2,FALSE)&amp;"_"&amp;Device&amp;"_"&amp;Size&amp;"_"&amp;Segmentação&amp;"_"&amp;Segmentação_Anúncio)</f>
        <v>#N/A</v>
      </c>
      <c r="BL894" s="35" t="str">
        <f>LOWER(Campanha_ou_InsertionOrder&amp;"_"&amp;LineItem_ou_Grupodeanúncio&amp;"_"&amp;Linha_criativa_2&amp;"_"&amp;Unique_ID)</f>
        <v>#N/A</v>
      </c>
      <c r="BM894" s="27"/>
      <c r="BN894" s="27"/>
    </row>
    <row r="895">
      <c r="A895" s="1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8" t="str">
        <f>LOWER(Campanha_ou_InsertionOrder&amp;"_"&amp;LineItem_ou_Grupodeanúncio&amp;"_"&amp;Linha_Criativa&amp;"_"&amp;Unique_ID)</f>
        <v>#N/A</v>
      </c>
      <c r="AN895" s="28" t="str">
        <f>LOWER(Campanha_ou_InsertionOrder&amp;"_"&amp;LineItem_ou_Grupodeanúncio&amp;"_"&amp;Linha_Criativa&amp;"_"&amp;Unique_ID)</f>
        <v>#N/A</v>
      </c>
      <c r="AO895" s="28" t="str">
        <f>LOWER("VW"&amp;"_"&amp;Model_Variant&amp;"_"&amp;Size&amp;"_"&amp;Linha_Criativa&amp;"_"&amp;IF(Servido_Por="portal",Veiculo,"adserver"))</f>
        <v>vw____adserver</v>
      </c>
      <c r="AP8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5" s="22" t="str">
        <f t="shared" si="1"/>
        <v/>
      </c>
      <c r="AS895" s="22" t="str">
        <f t="shared" si="2"/>
        <v/>
      </c>
      <c r="AT895" s="22" t="str">
        <f t="shared" si="3"/>
        <v>BR_IMC_DSY_LANCH_ND_NC_2020Q3AUG_NVS_Nivus-Launch-Consideracao</v>
      </c>
      <c r="AU895" s="22" t="str">
        <f t="shared" si="4"/>
        <v>#N/A</v>
      </c>
      <c r="AV895" s="22" t="s">
        <v>106</v>
      </c>
      <c r="AW8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5" s="22" t="str">
        <f t="shared" si="5"/>
        <v>BR_IMC_DSY_LANCH_ND_NC_2020Q3AUG_NVS_Nivus-Launch-Consideracao</v>
      </c>
      <c r="AY895" s="28" t="str">
        <f t="shared" si="6"/>
        <v>#N/A</v>
      </c>
      <c r="AZ895" s="22" t="s">
        <v>107</v>
      </c>
      <c r="BA895" s="22" t="s">
        <v>108</v>
      </c>
      <c r="BB895" s="31" t="s">
        <v>109</v>
      </c>
      <c r="BC895" s="31" t="s">
        <v>109</v>
      </c>
      <c r="BD895" s="32" t="str">
        <f t="shared" si="8"/>
        <v>nvl-nvs-imc-dsy-0820-10889</v>
      </c>
      <c r="BE895" s="33"/>
      <c r="BF895" s="33"/>
      <c r="BG895" s="39" t="str">
        <f>URL&amp;IF(ISNUMBER(FIND("?",URL)),"&amp;","?"&amp;("adlid="&amp;Unique_ID&amp;"&amp;adplt="&amp;Placement))</f>
        <v>#N/A</v>
      </c>
      <c r="BH895" s="1"/>
      <c r="BI895" s="1"/>
      <c r="BJ895" s="35" t="str">
        <f>LOWER("alp"&amp;"_"&amp;"vw"&amp;"_"&amp;Veiculo&amp;"_"&amp;C891&amp;"_"&amp;Objetivo)</f>
        <v>alp_vw___</v>
      </c>
      <c r="BK895" s="35" t="str">
        <f>LOWER(Buying_Metric&amp;"_"&amp;VLOOKUP(Buying_Type,Buy_type,2,FALSE)&amp;"_"&amp;Device&amp;"_"&amp;Size&amp;"_"&amp;Segmentação&amp;"_"&amp;Segmentação_Anúncio)</f>
        <v>#N/A</v>
      </c>
      <c r="BL895" s="35" t="str">
        <f>LOWER(Campanha_ou_InsertionOrder&amp;"_"&amp;LineItem_ou_Grupodeanúncio&amp;"_"&amp;Linha_criativa_2&amp;"_"&amp;Unique_ID)</f>
        <v>#N/A</v>
      </c>
      <c r="BM895" s="27"/>
      <c r="BN895" s="27"/>
    </row>
    <row r="896">
      <c r="A896" s="1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8" t="str">
        <f>LOWER(Campanha_ou_InsertionOrder&amp;"_"&amp;LineItem_ou_Grupodeanúncio&amp;"_"&amp;Linha_Criativa&amp;"_"&amp;Unique_ID)</f>
        <v>#N/A</v>
      </c>
      <c r="AN896" s="28" t="str">
        <f>LOWER(Campanha_ou_InsertionOrder&amp;"_"&amp;LineItem_ou_Grupodeanúncio&amp;"_"&amp;Linha_Criativa&amp;"_"&amp;Unique_ID)</f>
        <v>#N/A</v>
      </c>
      <c r="AO896" s="28" t="str">
        <f>LOWER("VW"&amp;"_"&amp;Model_Variant&amp;"_"&amp;Size&amp;"_"&amp;Linha_Criativa&amp;"_"&amp;IF(Servido_Por="portal",Veiculo,"adserver"))</f>
        <v>vw____adserver</v>
      </c>
      <c r="AP8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6" s="22" t="str">
        <f t="shared" si="1"/>
        <v/>
      </c>
      <c r="AS896" s="22" t="str">
        <f t="shared" si="2"/>
        <v/>
      </c>
      <c r="AT896" s="22" t="str">
        <f t="shared" si="3"/>
        <v>BR_IMC_DSY_LANCH_ND_NC_2020Q3AUG_NVS_Nivus-Launch-Consideracao</v>
      </c>
      <c r="AU896" s="22" t="str">
        <f t="shared" si="4"/>
        <v>#N/A</v>
      </c>
      <c r="AV896" s="22" t="s">
        <v>106</v>
      </c>
      <c r="AW8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6" s="22" t="str">
        <f t="shared" si="5"/>
        <v>BR_IMC_DSY_LANCH_ND_NC_2020Q3AUG_NVS_Nivus-Launch-Consideracao</v>
      </c>
      <c r="AY896" s="28" t="str">
        <f t="shared" si="6"/>
        <v>#N/A</v>
      </c>
      <c r="AZ896" s="22" t="s">
        <v>107</v>
      </c>
      <c r="BA896" s="22" t="s">
        <v>108</v>
      </c>
      <c r="BB896" s="31" t="s">
        <v>109</v>
      </c>
      <c r="BC896" s="31" t="s">
        <v>109</v>
      </c>
      <c r="BD896" s="32" t="str">
        <f t="shared" si="8"/>
        <v>nvl-nvs-imc-dsy-0820-10890</v>
      </c>
      <c r="BE896" s="33"/>
      <c r="BF896" s="33"/>
      <c r="BG896" s="39" t="str">
        <f>URL&amp;IF(ISNUMBER(FIND("?",URL)),"&amp;","?"&amp;("adlid="&amp;Unique_ID&amp;"&amp;adplt="&amp;Placement))</f>
        <v>#N/A</v>
      </c>
      <c r="BH896" s="1"/>
      <c r="BI896" s="1"/>
      <c r="BJ896" s="35" t="str">
        <f>LOWER("alp"&amp;"_"&amp;"vw"&amp;"_"&amp;Veiculo&amp;"_"&amp;C892&amp;"_"&amp;Objetivo)</f>
        <v>alp_vw___</v>
      </c>
      <c r="BK896" s="35" t="str">
        <f>LOWER(Buying_Metric&amp;"_"&amp;VLOOKUP(Buying_Type,Buy_type,2,FALSE)&amp;"_"&amp;Device&amp;"_"&amp;Size&amp;"_"&amp;Segmentação&amp;"_"&amp;Segmentação_Anúncio)</f>
        <v>#N/A</v>
      </c>
      <c r="BL896" s="35" t="str">
        <f>LOWER(Campanha_ou_InsertionOrder&amp;"_"&amp;LineItem_ou_Grupodeanúncio&amp;"_"&amp;Linha_criativa_2&amp;"_"&amp;Unique_ID)</f>
        <v>#N/A</v>
      </c>
      <c r="BM896" s="27"/>
      <c r="BN896" s="27"/>
    </row>
    <row r="897">
      <c r="A897" s="1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8" t="str">
        <f>LOWER(Campanha_ou_InsertionOrder&amp;"_"&amp;LineItem_ou_Grupodeanúncio&amp;"_"&amp;Linha_Criativa&amp;"_"&amp;Unique_ID)</f>
        <v>#N/A</v>
      </c>
      <c r="AN897" s="28" t="str">
        <f>LOWER(Campanha_ou_InsertionOrder&amp;"_"&amp;LineItem_ou_Grupodeanúncio&amp;"_"&amp;Linha_Criativa&amp;"_"&amp;Unique_ID)</f>
        <v>#N/A</v>
      </c>
      <c r="AO897" s="28" t="str">
        <f>LOWER("VW"&amp;"_"&amp;Model_Variant&amp;"_"&amp;Size&amp;"_"&amp;Linha_Criativa&amp;"_"&amp;IF(Servido_Por="portal",Veiculo,"adserver"))</f>
        <v>vw____adserver</v>
      </c>
      <c r="AP8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7" s="22" t="str">
        <f t="shared" si="1"/>
        <v/>
      </c>
      <c r="AS897" s="22" t="str">
        <f t="shared" si="2"/>
        <v/>
      </c>
      <c r="AT897" s="22" t="str">
        <f t="shared" si="3"/>
        <v>BR_IMC_DSY_LANCH_ND_NC_2020Q3AUG_NVS_Nivus-Launch-Consideracao</v>
      </c>
      <c r="AU897" s="22" t="str">
        <f t="shared" si="4"/>
        <v>#N/A</v>
      </c>
      <c r="AV897" s="22" t="s">
        <v>106</v>
      </c>
      <c r="AW8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7" s="22" t="str">
        <f t="shared" si="5"/>
        <v>BR_IMC_DSY_LANCH_ND_NC_2020Q3AUG_NVS_Nivus-Launch-Consideracao</v>
      </c>
      <c r="AY897" s="28" t="str">
        <f t="shared" si="6"/>
        <v>#N/A</v>
      </c>
      <c r="AZ897" s="22" t="s">
        <v>107</v>
      </c>
      <c r="BA897" s="22" t="s">
        <v>108</v>
      </c>
      <c r="BB897" s="31" t="s">
        <v>109</v>
      </c>
      <c r="BC897" s="31" t="s">
        <v>109</v>
      </c>
      <c r="BD897" s="32" t="str">
        <f t="shared" si="8"/>
        <v>nvl-nvs-imc-dsy-0820-10891</v>
      </c>
      <c r="BE897" s="33"/>
      <c r="BF897" s="33"/>
      <c r="BG897" s="39" t="str">
        <f>URL&amp;IF(ISNUMBER(FIND("?",URL)),"&amp;","?"&amp;("adlid="&amp;Unique_ID&amp;"&amp;adplt="&amp;Placement))</f>
        <v>#N/A</v>
      </c>
      <c r="BH897" s="1"/>
      <c r="BI897" s="1"/>
      <c r="BJ897" s="35" t="str">
        <f>LOWER("alp"&amp;"_"&amp;"vw"&amp;"_"&amp;Veiculo&amp;"_"&amp;C893&amp;"_"&amp;Objetivo)</f>
        <v>alp_vw___</v>
      </c>
      <c r="BK897" s="35" t="str">
        <f>LOWER(Buying_Metric&amp;"_"&amp;VLOOKUP(Buying_Type,Buy_type,2,FALSE)&amp;"_"&amp;Device&amp;"_"&amp;Size&amp;"_"&amp;Segmentação&amp;"_"&amp;Segmentação_Anúncio)</f>
        <v>#N/A</v>
      </c>
      <c r="BL897" s="35" t="str">
        <f>LOWER(Campanha_ou_InsertionOrder&amp;"_"&amp;LineItem_ou_Grupodeanúncio&amp;"_"&amp;Linha_criativa_2&amp;"_"&amp;Unique_ID)</f>
        <v>#N/A</v>
      </c>
      <c r="BM897" s="27"/>
      <c r="BN897" s="27"/>
    </row>
    <row r="898">
      <c r="A898" s="1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8" t="str">
        <f>LOWER(Campanha_ou_InsertionOrder&amp;"_"&amp;LineItem_ou_Grupodeanúncio&amp;"_"&amp;Linha_Criativa&amp;"_"&amp;Unique_ID)</f>
        <v>#N/A</v>
      </c>
      <c r="AN898" s="28" t="str">
        <f>LOWER(Campanha_ou_InsertionOrder&amp;"_"&amp;LineItem_ou_Grupodeanúncio&amp;"_"&amp;Linha_Criativa&amp;"_"&amp;Unique_ID)</f>
        <v>#N/A</v>
      </c>
      <c r="AO898" s="28" t="str">
        <f>LOWER("VW"&amp;"_"&amp;Model_Variant&amp;"_"&amp;Size&amp;"_"&amp;Linha_Criativa&amp;"_"&amp;IF(Servido_Por="portal",Veiculo,"adserver"))</f>
        <v>vw____adserver</v>
      </c>
      <c r="AP89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8" s="22" t="str">
        <f t="shared" si="1"/>
        <v/>
      </c>
      <c r="AS898" s="22" t="str">
        <f t="shared" si="2"/>
        <v/>
      </c>
      <c r="AT898" s="22" t="str">
        <f t="shared" si="3"/>
        <v>BR_IMC_DSY_LANCH_ND_NC_2020Q3AUG_NVS_Nivus-Launch-Consideracao</v>
      </c>
      <c r="AU898" s="22" t="str">
        <f t="shared" si="4"/>
        <v>#N/A</v>
      </c>
      <c r="AV898" s="22" t="s">
        <v>106</v>
      </c>
      <c r="AW89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8" s="22" t="str">
        <f t="shared" si="5"/>
        <v>BR_IMC_DSY_LANCH_ND_NC_2020Q3AUG_NVS_Nivus-Launch-Consideracao</v>
      </c>
      <c r="AY898" s="28" t="str">
        <f t="shared" si="6"/>
        <v>#N/A</v>
      </c>
      <c r="AZ898" s="22" t="s">
        <v>107</v>
      </c>
      <c r="BA898" s="22" t="s">
        <v>108</v>
      </c>
      <c r="BB898" s="31" t="s">
        <v>109</v>
      </c>
      <c r="BC898" s="31" t="s">
        <v>109</v>
      </c>
      <c r="BD898" s="32" t="str">
        <f t="shared" si="8"/>
        <v>nvl-nvs-imc-dsy-0820-10892</v>
      </c>
      <c r="BE898" s="33"/>
      <c r="BF898" s="33"/>
      <c r="BG898" s="39" t="str">
        <f>URL&amp;IF(ISNUMBER(FIND("?",URL)),"&amp;","?"&amp;("adlid="&amp;Unique_ID&amp;"&amp;adplt="&amp;Placement))</f>
        <v>#N/A</v>
      </c>
      <c r="BH898" s="1"/>
      <c r="BI898" s="1"/>
      <c r="BJ898" s="35" t="str">
        <f>LOWER("alp"&amp;"_"&amp;"vw"&amp;"_"&amp;Veiculo&amp;"_"&amp;C894&amp;"_"&amp;Objetivo)</f>
        <v>alp_vw___</v>
      </c>
      <c r="BK898" s="35" t="str">
        <f>LOWER(Buying_Metric&amp;"_"&amp;VLOOKUP(Buying_Type,Buy_type,2,FALSE)&amp;"_"&amp;Device&amp;"_"&amp;Size&amp;"_"&amp;Segmentação&amp;"_"&amp;Segmentação_Anúncio)</f>
        <v>#N/A</v>
      </c>
      <c r="BL898" s="35" t="str">
        <f>LOWER(Campanha_ou_InsertionOrder&amp;"_"&amp;LineItem_ou_Grupodeanúncio&amp;"_"&amp;Linha_criativa_2&amp;"_"&amp;Unique_ID)</f>
        <v>#N/A</v>
      </c>
      <c r="BM898" s="27"/>
      <c r="BN898" s="27"/>
    </row>
    <row r="899">
      <c r="A899" s="1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8" t="str">
        <f>LOWER(Campanha_ou_InsertionOrder&amp;"_"&amp;LineItem_ou_Grupodeanúncio&amp;"_"&amp;Linha_Criativa&amp;"_"&amp;Unique_ID)</f>
        <v>#N/A</v>
      </c>
      <c r="AN899" s="28" t="str">
        <f>LOWER(Campanha_ou_InsertionOrder&amp;"_"&amp;LineItem_ou_Grupodeanúncio&amp;"_"&amp;Linha_Criativa&amp;"_"&amp;Unique_ID)</f>
        <v>#N/A</v>
      </c>
      <c r="AO899" s="28" t="str">
        <f>LOWER("VW"&amp;"_"&amp;Model_Variant&amp;"_"&amp;Size&amp;"_"&amp;Linha_Criativa&amp;"_"&amp;IF(Servido_Por="portal",Veiculo,"adserver"))</f>
        <v>vw____adserver</v>
      </c>
      <c r="AP89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89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899" s="22" t="str">
        <f t="shared" si="1"/>
        <v/>
      </c>
      <c r="AS899" s="22" t="str">
        <f t="shared" si="2"/>
        <v/>
      </c>
      <c r="AT899" s="22" t="str">
        <f t="shared" si="3"/>
        <v>BR_IMC_DSY_LANCH_ND_NC_2020Q3AUG_NVS_Nivus-Launch-Consideracao</v>
      </c>
      <c r="AU899" s="22" t="str">
        <f t="shared" si="4"/>
        <v>#N/A</v>
      </c>
      <c r="AV899" s="22" t="s">
        <v>106</v>
      </c>
      <c r="AW89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899" s="22" t="str">
        <f t="shared" si="5"/>
        <v>BR_IMC_DSY_LANCH_ND_NC_2020Q3AUG_NVS_Nivus-Launch-Consideracao</v>
      </c>
      <c r="AY899" s="28" t="str">
        <f t="shared" si="6"/>
        <v>#N/A</v>
      </c>
      <c r="AZ899" s="22" t="s">
        <v>107</v>
      </c>
      <c r="BA899" s="22" t="s">
        <v>108</v>
      </c>
      <c r="BB899" s="31" t="s">
        <v>109</v>
      </c>
      <c r="BC899" s="31" t="s">
        <v>109</v>
      </c>
      <c r="BD899" s="32" t="str">
        <f t="shared" si="8"/>
        <v>nvl-nvs-imc-dsy-0820-10893</v>
      </c>
      <c r="BE899" s="33"/>
      <c r="BF899" s="33"/>
      <c r="BG899" s="39" t="str">
        <f>URL&amp;IF(ISNUMBER(FIND("?",URL)),"&amp;","?"&amp;("adlid="&amp;Unique_ID&amp;"&amp;adplt="&amp;Placement))</f>
        <v>#N/A</v>
      </c>
      <c r="BH899" s="1"/>
      <c r="BI899" s="1"/>
      <c r="BJ899" s="35" t="str">
        <f>LOWER("alp"&amp;"_"&amp;"vw"&amp;"_"&amp;Veiculo&amp;"_"&amp;C895&amp;"_"&amp;Objetivo)</f>
        <v>alp_vw___</v>
      </c>
      <c r="BK899" s="35" t="str">
        <f>LOWER(Buying_Metric&amp;"_"&amp;VLOOKUP(Buying_Type,Buy_type,2,FALSE)&amp;"_"&amp;Device&amp;"_"&amp;Size&amp;"_"&amp;Segmentação&amp;"_"&amp;Segmentação_Anúncio)</f>
        <v>#N/A</v>
      </c>
      <c r="BL899" s="35" t="str">
        <f>LOWER(Campanha_ou_InsertionOrder&amp;"_"&amp;LineItem_ou_Grupodeanúncio&amp;"_"&amp;Linha_criativa_2&amp;"_"&amp;Unique_ID)</f>
        <v>#N/A</v>
      </c>
      <c r="BM899" s="27"/>
      <c r="BN899" s="27"/>
    </row>
    <row r="900">
      <c r="A900" s="1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tr">
        <f>LOWER(Campanha_ou_InsertionOrder&amp;"_"&amp;LineItem_ou_Grupodeanúncio&amp;"_"&amp;Linha_Criativa&amp;"_"&amp;Unique_ID)</f>
        <v>#N/A</v>
      </c>
      <c r="AN900" s="28" t="str">
        <f>LOWER(Campanha_ou_InsertionOrder&amp;"_"&amp;LineItem_ou_Grupodeanúncio&amp;"_"&amp;Linha_Criativa&amp;"_"&amp;Unique_ID)</f>
        <v>#N/A</v>
      </c>
      <c r="AO900" s="28" t="str">
        <f>LOWER("VW"&amp;"_"&amp;Model_Variant&amp;"_"&amp;Size&amp;"_"&amp;Linha_Criativa&amp;"_"&amp;IF(Servido_Por="portal",Veiculo,"adserver"))</f>
        <v>vw____adserver</v>
      </c>
      <c r="AP90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0" s="22" t="str">
        <f t="shared" si="1"/>
        <v/>
      </c>
      <c r="AS900" s="22" t="str">
        <f t="shared" si="2"/>
        <v/>
      </c>
      <c r="AT900" s="22" t="str">
        <f t="shared" si="3"/>
        <v>BR_IMC_DSY_LANCH_ND_NC_2020Q3AUG_NVS_Nivus-Launch-Consideracao</v>
      </c>
      <c r="AU900" s="22" t="str">
        <f t="shared" si="4"/>
        <v>#N/A</v>
      </c>
      <c r="AV900" s="22" t="s">
        <v>106</v>
      </c>
      <c r="AW90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0" s="22" t="str">
        <f t="shared" si="5"/>
        <v>BR_IMC_DSY_LANCH_ND_NC_2020Q3AUG_NVS_Nivus-Launch-Consideracao</v>
      </c>
      <c r="AY900" s="28" t="str">
        <f t="shared" si="6"/>
        <v>#N/A</v>
      </c>
      <c r="AZ900" s="22" t="s">
        <v>107</v>
      </c>
      <c r="BA900" s="22" t="s">
        <v>108</v>
      </c>
      <c r="BB900" s="31" t="s">
        <v>109</v>
      </c>
      <c r="BC900" s="31" t="s">
        <v>109</v>
      </c>
      <c r="BD900" s="32" t="str">
        <f t="shared" si="8"/>
        <v>nvl-nvs-imc-dsy-0820-10894</v>
      </c>
      <c r="BE900" s="33"/>
      <c r="BF900" s="33"/>
      <c r="BG900" s="39" t="str">
        <f>URL&amp;IF(ISNUMBER(FIND("?",URL)),"&amp;","?"&amp;("adlid="&amp;Unique_ID&amp;"&amp;adplt="&amp;Placement))</f>
        <v>#N/A</v>
      </c>
      <c r="BH900" s="1"/>
      <c r="BI900" s="1"/>
      <c r="BJ900" s="35" t="str">
        <f>LOWER("alp"&amp;"_"&amp;"vw"&amp;"_"&amp;Veiculo&amp;"_"&amp;C896&amp;"_"&amp;Objetivo)</f>
        <v>alp_vw___</v>
      </c>
      <c r="BK900" s="35" t="str">
        <f>LOWER(Buying_Metric&amp;"_"&amp;VLOOKUP(Buying_Type,Buy_type,2,FALSE)&amp;"_"&amp;Device&amp;"_"&amp;Size&amp;"_"&amp;Segmentação&amp;"_"&amp;Segmentação_Anúncio)</f>
        <v>#N/A</v>
      </c>
      <c r="BL900" s="35" t="str">
        <f>LOWER(Campanha_ou_InsertionOrder&amp;"_"&amp;LineItem_ou_Grupodeanúncio&amp;"_"&amp;Linha_criativa_2&amp;"_"&amp;Unique_ID)</f>
        <v>#N/A</v>
      </c>
      <c r="BM900" s="27"/>
      <c r="BN900" s="27"/>
    </row>
    <row r="901">
      <c r="A901" s="1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8" t="str">
        <f>LOWER(Campanha_ou_InsertionOrder&amp;"_"&amp;LineItem_ou_Grupodeanúncio&amp;"_"&amp;Linha_Criativa&amp;"_"&amp;Unique_ID)</f>
        <v>#N/A</v>
      </c>
      <c r="AN901" s="28" t="str">
        <f>LOWER(Campanha_ou_InsertionOrder&amp;"_"&amp;LineItem_ou_Grupodeanúncio&amp;"_"&amp;Linha_Criativa&amp;"_"&amp;Unique_ID)</f>
        <v>#N/A</v>
      </c>
      <c r="AO901" s="28" t="str">
        <f>LOWER("VW"&amp;"_"&amp;Model_Variant&amp;"_"&amp;Size&amp;"_"&amp;Linha_Criativa&amp;"_"&amp;IF(Servido_Por="portal",Veiculo,"adserver"))</f>
        <v>vw____adserver</v>
      </c>
      <c r="AP90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1" s="22" t="str">
        <f t="shared" si="1"/>
        <v/>
      </c>
      <c r="AS901" s="22" t="str">
        <f t="shared" si="2"/>
        <v/>
      </c>
      <c r="AT901" s="22" t="str">
        <f t="shared" si="3"/>
        <v>BR_IMC_DSY_LANCH_ND_NC_2020Q3AUG_NVS_Nivus-Launch-Consideracao</v>
      </c>
      <c r="AU901" s="22" t="str">
        <f t="shared" si="4"/>
        <v>#N/A</v>
      </c>
      <c r="AV901" s="22" t="s">
        <v>106</v>
      </c>
      <c r="AW90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1" s="22" t="str">
        <f t="shared" si="5"/>
        <v>BR_IMC_DSY_LANCH_ND_NC_2020Q3AUG_NVS_Nivus-Launch-Consideracao</v>
      </c>
      <c r="AY901" s="28" t="str">
        <f t="shared" si="6"/>
        <v>#N/A</v>
      </c>
      <c r="AZ901" s="22" t="s">
        <v>107</v>
      </c>
      <c r="BA901" s="22" t="s">
        <v>108</v>
      </c>
      <c r="BB901" s="31" t="s">
        <v>109</v>
      </c>
      <c r="BC901" s="31" t="s">
        <v>109</v>
      </c>
      <c r="BD901" s="32" t="str">
        <f t="shared" si="8"/>
        <v>nvl-nvs-imc-dsy-0820-10895</v>
      </c>
      <c r="BE901" s="33"/>
      <c r="BF901" s="33"/>
      <c r="BG901" s="39" t="str">
        <f>URL&amp;IF(ISNUMBER(FIND("?",URL)),"&amp;","?"&amp;("adlid="&amp;Unique_ID&amp;"&amp;adplt="&amp;Placement))</f>
        <v>#N/A</v>
      </c>
      <c r="BH901" s="1"/>
      <c r="BI901" s="1"/>
      <c r="BJ901" s="35" t="str">
        <f>LOWER("alp"&amp;"_"&amp;"vw"&amp;"_"&amp;Veiculo&amp;"_"&amp;C897&amp;"_"&amp;Objetivo)</f>
        <v>alp_vw___</v>
      </c>
      <c r="BK901" s="35" t="str">
        <f>LOWER(Buying_Metric&amp;"_"&amp;VLOOKUP(Buying_Type,Buy_type,2,FALSE)&amp;"_"&amp;Device&amp;"_"&amp;Size&amp;"_"&amp;Segmentação&amp;"_"&amp;Segmentação_Anúncio)</f>
        <v>#N/A</v>
      </c>
      <c r="BL901" s="35" t="str">
        <f>LOWER(Campanha_ou_InsertionOrder&amp;"_"&amp;LineItem_ou_Grupodeanúncio&amp;"_"&amp;Linha_criativa_2&amp;"_"&amp;Unique_ID)</f>
        <v>#N/A</v>
      </c>
      <c r="BM901" s="27"/>
      <c r="BN901" s="27"/>
    </row>
    <row r="902">
      <c r="A902" s="1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8" t="str">
        <f>LOWER(Campanha_ou_InsertionOrder&amp;"_"&amp;LineItem_ou_Grupodeanúncio&amp;"_"&amp;Linha_Criativa&amp;"_"&amp;Unique_ID)</f>
        <v>#N/A</v>
      </c>
      <c r="AN902" s="28" t="str">
        <f>LOWER(Campanha_ou_InsertionOrder&amp;"_"&amp;LineItem_ou_Grupodeanúncio&amp;"_"&amp;Linha_Criativa&amp;"_"&amp;Unique_ID)</f>
        <v>#N/A</v>
      </c>
      <c r="AO902" s="28" t="str">
        <f>LOWER("VW"&amp;"_"&amp;Model_Variant&amp;"_"&amp;Size&amp;"_"&amp;Linha_Criativa&amp;"_"&amp;IF(Servido_Por="portal",Veiculo,"adserver"))</f>
        <v>vw____adserver</v>
      </c>
      <c r="AP90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2" s="22" t="str">
        <f t="shared" si="1"/>
        <v/>
      </c>
      <c r="AS902" s="22" t="str">
        <f t="shared" si="2"/>
        <v/>
      </c>
      <c r="AT902" s="22" t="str">
        <f t="shared" si="3"/>
        <v>BR_IMC_DSY_LANCH_ND_NC_2020Q3AUG_NVS_Nivus-Launch-Consideracao</v>
      </c>
      <c r="AU902" s="22" t="str">
        <f t="shared" si="4"/>
        <v>#N/A</v>
      </c>
      <c r="AV902" s="22" t="s">
        <v>106</v>
      </c>
      <c r="AW90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2" s="22" t="str">
        <f t="shared" si="5"/>
        <v>BR_IMC_DSY_LANCH_ND_NC_2020Q3AUG_NVS_Nivus-Launch-Consideracao</v>
      </c>
      <c r="AY902" s="28" t="str">
        <f t="shared" si="6"/>
        <v>#N/A</v>
      </c>
      <c r="AZ902" s="22" t="s">
        <v>107</v>
      </c>
      <c r="BA902" s="22" t="s">
        <v>108</v>
      </c>
      <c r="BB902" s="31" t="s">
        <v>109</v>
      </c>
      <c r="BC902" s="31" t="s">
        <v>109</v>
      </c>
      <c r="BD902" s="32" t="str">
        <f t="shared" si="8"/>
        <v>nvl-nvs-imc-dsy-0820-10896</v>
      </c>
      <c r="BE902" s="33"/>
      <c r="BF902" s="33"/>
      <c r="BG902" s="39" t="str">
        <f>URL&amp;IF(ISNUMBER(FIND("?",URL)),"&amp;","?"&amp;("adlid="&amp;Unique_ID&amp;"&amp;adplt="&amp;Placement))</f>
        <v>#N/A</v>
      </c>
      <c r="BH902" s="1"/>
      <c r="BI902" s="1"/>
      <c r="BJ902" s="35" t="str">
        <f>LOWER("alp"&amp;"_"&amp;"vw"&amp;"_"&amp;Veiculo&amp;"_"&amp;C898&amp;"_"&amp;Objetivo)</f>
        <v>alp_vw___</v>
      </c>
      <c r="BK902" s="35" t="str">
        <f>LOWER(Buying_Metric&amp;"_"&amp;VLOOKUP(Buying_Type,Buy_type,2,FALSE)&amp;"_"&amp;Device&amp;"_"&amp;Size&amp;"_"&amp;Segmentação&amp;"_"&amp;Segmentação_Anúncio)</f>
        <v>#N/A</v>
      </c>
      <c r="BL902" s="35" t="str">
        <f>LOWER(Campanha_ou_InsertionOrder&amp;"_"&amp;LineItem_ou_Grupodeanúncio&amp;"_"&amp;Linha_criativa_2&amp;"_"&amp;Unique_ID)</f>
        <v>#N/A</v>
      </c>
      <c r="BM902" s="27"/>
      <c r="BN902" s="27"/>
    </row>
    <row r="903">
      <c r="A903" s="1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8" t="str">
        <f>LOWER(Campanha_ou_InsertionOrder&amp;"_"&amp;LineItem_ou_Grupodeanúncio&amp;"_"&amp;Linha_Criativa&amp;"_"&amp;Unique_ID)</f>
        <v>#N/A</v>
      </c>
      <c r="AN903" s="28" t="str">
        <f>LOWER(Campanha_ou_InsertionOrder&amp;"_"&amp;LineItem_ou_Grupodeanúncio&amp;"_"&amp;Linha_Criativa&amp;"_"&amp;Unique_ID)</f>
        <v>#N/A</v>
      </c>
      <c r="AO903" s="28" t="str">
        <f>LOWER("VW"&amp;"_"&amp;Model_Variant&amp;"_"&amp;Size&amp;"_"&amp;Linha_Criativa&amp;"_"&amp;IF(Servido_Por="portal",Veiculo,"adserver"))</f>
        <v>vw____adserver</v>
      </c>
      <c r="AP90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3" s="22" t="str">
        <f t="shared" si="1"/>
        <v/>
      </c>
      <c r="AS903" s="22" t="str">
        <f t="shared" si="2"/>
        <v/>
      </c>
      <c r="AT903" s="22" t="str">
        <f t="shared" si="3"/>
        <v>BR_IMC_DSY_LANCH_ND_NC_2020Q3AUG_NVS_Nivus-Launch-Consideracao</v>
      </c>
      <c r="AU903" s="22" t="str">
        <f t="shared" si="4"/>
        <v>#N/A</v>
      </c>
      <c r="AV903" s="22" t="s">
        <v>106</v>
      </c>
      <c r="AW90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3" s="22" t="str">
        <f t="shared" si="5"/>
        <v>BR_IMC_DSY_LANCH_ND_NC_2020Q3AUG_NVS_Nivus-Launch-Consideracao</v>
      </c>
      <c r="AY903" s="28" t="str">
        <f t="shared" si="6"/>
        <v>#N/A</v>
      </c>
      <c r="AZ903" s="22" t="s">
        <v>107</v>
      </c>
      <c r="BA903" s="22" t="s">
        <v>108</v>
      </c>
      <c r="BB903" s="31" t="s">
        <v>109</v>
      </c>
      <c r="BC903" s="31" t="s">
        <v>109</v>
      </c>
      <c r="BD903" s="32" t="str">
        <f t="shared" si="8"/>
        <v>nvl-nvs-imc-dsy-0820-10897</v>
      </c>
      <c r="BE903" s="33"/>
      <c r="BF903" s="33"/>
      <c r="BG903" s="39" t="str">
        <f>URL&amp;IF(ISNUMBER(FIND("?",URL)),"&amp;","?"&amp;("adlid="&amp;Unique_ID&amp;"&amp;adplt="&amp;Placement))</f>
        <v>#N/A</v>
      </c>
      <c r="BH903" s="1"/>
      <c r="BI903" s="1"/>
      <c r="BJ903" s="35" t="str">
        <f>LOWER("alp"&amp;"_"&amp;"vw"&amp;"_"&amp;Veiculo&amp;"_"&amp;C899&amp;"_"&amp;Objetivo)</f>
        <v>alp_vw___</v>
      </c>
      <c r="BK903" s="35" t="str">
        <f>LOWER(Buying_Metric&amp;"_"&amp;VLOOKUP(Buying_Type,Buy_type,2,FALSE)&amp;"_"&amp;Device&amp;"_"&amp;Size&amp;"_"&amp;Segmentação&amp;"_"&amp;Segmentação_Anúncio)</f>
        <v>#N/A</v>
      </c>
      <c r="BL903" s="35" t="str">
        <f>LOWER(Campanha_ou_InsertionOrder&amp;"_"&amp;LineItem_ou_Grupodeanúncio&amp;"_"&amp;Linha_criativa_2&amp;"_"&amp;Unique_ID)</f>
        <v>#N/A</v>
      </c>
      <c r="BM903" s="27"/>
      <c r="BN903" s="27"/>
    </row>
    <row r="904">
      <c r="A904" s="1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8" t="str">
        <f>LOWER(Campanha_ou_InsertionOrder&amp;"_"&amp;LineItem_ou_Grupodeanúncio&amp;"_"&amp;Linha_Criativa&amp;"_"&amp;Unique_ID)</f>
        <v>#N/A</v>
      </c>
      <c r="AN904" s="28" t="str">
        <f>LOWER(Campanha_ou_InsertionOrder&amp;"_"&amp;LineItem_ou_Grupodeanúncio&amp;"_"&amp;Linha_Criativa&amp;"_"&amp;Unique_ID)</f>
        <v>#N/A</v>
      </c>
      <c r="AO904" s="28" t="str">
        <f>LOWER("VW"&amp;"_"&amp;Model_Variant&amp;"_"&amp;Size&amp;"_"&amp;Linha_Criativa&amp;"_"&amp;IF(Servido_Por="portal",Veiculo,"adserver"))</f>
        <v>vw____adserver</v>
      </c>
      <c r="AP90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4" s="22" t="str">
        <f t="shared" si="1"/>
        <v/>
      </c>
      <c r="AS904" s="22" t="str">
        <f t="shared" si="2"/>
        <v/>
      </c>
      <c r="AT904" s="22" t="str">
        <f t="shared" si="3"/>
        <v>BR_IMC_DSY_LANCH_ND_NC_2020Q3AUG_NVS_Nivus-Launch-Consideracao</v>
      </c>
      <c r="AU904" s="22" t="str">
        <f t="shared" si="4"/>
        <v>#N/A</v>
      </c>
      <c r="AV904" s="22" t="s">
        <v>106</v>
      </c>
      <c r="AW90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4" s="22" t="str">
        <f t="shared" si="5"/>
        <v>BR_IMC_DSY_LANCH_ND_NC_2020Q3AUG_NVS_Nivus-Launch-Consideracao</v>
      </c>
      <c r="AY904" s="28" t="str">
        <f t="shared" si="6"/>
        <v>#N/A</v>
      </c>
      <c r="AZ904" s="22" t="s">
        <v>107</v>
      </c>
      <c r="BA904" s="22" t="s">
        <v>108</v>
      </c>
      <c r="BB904" s="31" t="s">
        <v>109</v>
      </c>
      <c r="BC904" s="31" t="s">
        <v>109</v>
      </c>
      <c r="BD904" s="32" t="str">
        <f t="shared" si="8"/>
        <v>nvl-nvs-imc-dsy-0820-10898</v>
      </c>
      <c r="BE904" s="33"/>
      <c r="BF904" s="33"/>
      <c r="BG904" s="39" t="str">
        <f>URL&amp;IF(ISNUMBER(FIND("?",URL)),"&amp;","?"&amp;("adlid="&amp;Unique_ID&amp;"&amp;adplt="&amp;Placement))</f>
        <v>#N/A</v>
      </c>
      <c r="BH904" s="1"/>
      <c r="BI904" s="1"/>
      <c r="BJ904" s="35" t="str">
        <f>LOWER("alp"&amp;"_"&amp;"vw"&amp;"_"&amp;Veiculo&amp;"_"&amp;C900&amp;"_"&amp;Objetivo)</f>
        <v>alp_vw___</v>
      </c>
      <c r="BK904" s="35" t="str">
        <f>LOWER(Buying_Metric&amp;"_"&amp;VLOOKUP(Buying_Type,Buy_type,2,FALSE)&amp;"_"&amp;Device&amp;"_"&amp;Size&amp;"_"&amp;Segmentação&amp;"_"&amp;Segmentação_Anúncio)</f>
        <v>#N/A</v>
      </c>
      <c r="BL904" s="35" t="str">
        <f>LOWER(Campanha_ou_InsertionOrder&amp;"_"&amp;LineItem_ou_Grupodeanúncio&amp;"_"&amp;Linha_criativa_2&amp;"_"&amp;Unique_ID)</f>
        <v>#N/A</v>
      </c>
      <c r="BM904" s="27"/>
      <c r="BN904" s="27"/>
    </row>
    <row r="905">
      <c r="A905" s="1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8" t="str">
        <f>LOWER(Campanha_ou_InsertionOrder&amp;"_"&amp;LineItem_ou_Grupodeanúncio&amp;"_"&amp;Linha_Criativa&amp;"_"&amp;Unique_ID)</f>
        <v>#N/A</v>
      </c>
      <c r="AN905" s="28" t="str">
        <f>LOWER(Campanha_ou_InsertionOrder&amp;"_"&amp;LineItem_ou_Grupodeanúncio&amp;"_"&amp;Linha_Criativa&amp;"_"&amp;Unique_ID)</f>
        <v>#N/A</v>
      </c>
      <c r="AO905" s="28" t="str">
        <f>LOWER("VW"&amp;"_"&amp;Model_Variant&amp;"_"&amp;Size&amp;"_"&amp;Linha_Criativa&amp;"_"&amp;IF(Servido_Por="portal",Veiculo,"adserver"))</f>
        <v>vw____adserver</v>
      </c>
      <c r="AP90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5" s="22" t="str">
        <f t="shared" si="1"/>
        <v/>
      </c>
      <c r="AS905" s="22" t="str">
        <f t="shared" si="2"/>
        <v/>
      </c>
      <c r="AT905" s="22" t="str">
        <f t="shared" si="3"/>
        <v>BR_IMC_DSY_LANCH_ND_NC_2020Q3AUG_NVS_Nivus-Launch-Consideracao</v>
      </c>
      <c r="AU905" s="22" t="str">
        <f t="shared" si="4"/>
        <v>#N/A</v>
      </c>
      <c r="AV905" s="22" t="s">
        <v>106</v>
      </c>
      <c r="AW90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5" s="22" t="str">
        <f t="shared" si="5"/>
        <v>BR_IMC_DSY_LANCH_ND_NC_2020Q3AUG_NVS_Nivus-Launch-Consideracao</v>
      </c>
      <c r="AY905" s="28" t="str">
        <f t="shared" si="6"/>
        <v>#N/A</v>
      </c>
      <c r="AZ905" s="22" t="s">
        <v>107</v>
      </c>
      <c r="BA905" s="22" t="s">
        <v>108</v>
      </c>
      <c r="BB905" s="31" t="s">
        <v>109</v>
      </c>
      <c r="BC905" s="31" t="s">
        <v>109</v>
      </c>
      <c r="BD905" s="32" t="str">
        <f t="shared" si="8"/>
        <v>nvl-nvs-imc-dsy-0820-10899</v>
      </c>
      <c r="BE905" s="33"/>
      <c r="BF905" s="33"/>
      <c r="BG905" s="39" t="str">
        <f>URL&amp;IF(ISNUMBER(FIND("?",URL)),"&amp;","?"&amp;("adlid="&amp;Unique_ID&amp;"&amp;adplt="&amp;Placement))</f>
        <v>#N/A</v>
      </c>
      <c r="BH905" s="1"/>
      <c r="BI905" s="1"/>
      <c r="BJ905" s="35" t="str">
        <f>LOWER("alp"&amp;"_"&amp;"vw"&amp;"_"&amp;Veiculo&amp;"_"&amp;C901&amp;"_"&amp;Objetivo)</f>
        <v>alp_vw___</v>
      </c>
      <c r="BK905" s="35" t="str">
        <f>LOWER(Buying_Metric&amp;"_"&amp;VLOOKUP(Buying_Type,Buy_type,2,FALSE)&amp;"_"&amp;Device&amp;"_"&amp;Size&amp;"_"&amp;Segmentação&amp;"_"&amp;Segmentação_Anúncio)</f>
        <v>#N/A</v>
      </c>
      <c r="BL905" s="35" t="str">
        <f>LOWER(Campanha_ou_InsertionOrder&amp;"_"&amp;LineItem_ou_Grupodeanúncio&amp;"_"&amp;Linha_criativa_2&amp;"_"&amp;Unique_ID)</f>
        <v>#N/A</v>
      </c>
      <c r="BM905" s="27"/>
      <c r="BN905" s="27"/>
    </row>
    <row r="906">
      <c r="A906" s="1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8" t="str">
        <f>LOWER(Campanha_ou_InsertionOrder&amp;"_"&amp;LineItem_ou_Grupodeanúncio&amp;"_"&amp;Linha_Criativa&amp;"_"&amp;Unique_ID)</f>
        <v>#N/A</v>
      </c>
      <c r="AN906" s="28" t="str">
        <f>LOWER(Campanha_ou_InsertionOrder&amp;"_"&amp;LineItem_ou_Grupodeanúncio&amp;"_"&amp;Linha_Criativa&amp;"_"&amp;Unique_ID)</f>
        <v>#N/A</v>
      </c>
      <c r="AO906" s="28" t="str">
        <f>LOWER("VW"&amp;"_"&amp;Model_Variant&amp;"_"&amp;Size&amp;"_"&amp;Linha_Criativa&amp;"_"&amp;IF(Servido_Por="portal",Veiculo,"adserver"))</f>
        <v>vw____adserver</v>
      </c>
      <c r="AP90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6" s="22" t="str">
        <f t="shared" si="1"/>
        <v/>
      </c>
      <c r="AS906" s="22" t="str">
        <f t="shared" si="2"/>
        <v/>
      </c>
      <c r="AT906" s="22" t="str">
        <f t="shared" si="3"/>
        <v>BR_IMC_DSY_LANCH_ND_NC_2020Q3AUG_NVS_Nivus-Launch-Consideracao</v>
      </c>
      <c r="AU906" s="22" t="str">
        <f t="shared" si="4"/>
        <v>#N/A</v>
      </c>
      <c r="AV906" s="22" t="s">
        <v>106</v>
      </c>
      <c r="AW90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6" s="22" t="str">
        <f t="shared" si="5"/>
        <v>BR_IMC_DSY_LANCH_ND_NC_2020Q3AUG_NVS_Nivus-Launch-Consideracao</v>
      </c>
      <c r="AY906" s="28" t="str">
        <f t="shared" si="6"/>
        <v>#N/A</v>
      </c>
      <c r="AZ906" s="22" t="s">
        <v>107</v>
      </c>
      <c r="BA906" s="22" t="s">
        <v>108</v>
      </c>
      <c r="BB906" s="31" t="s">
        <v>109</v>
      </c>
      <c r="BC906" s="31" t="s">
        <v>109</v>
      </c>
      <c r="BD906" s="32" t="str">
        <f t="shared" si="8"/>
        <v>nvl-nvs-imc-dsy-0820-10900</v>
      </c>
      <c r="BE906" s="33"/>
      <c r="BF906" s="33"/>
      <c r="BG906" s="39" t="str">
        <f>URL&amp;IF(ISNUMBER(FIND("?",URL)),"&amp;","?"&amp;("adlid="&amp;Unique_ID&amp;"&amp;adplt="&amp;Placement))</f>
        <v>#N/A</v>
      </c>
      <c r="BH906" s="1"/>
      <c r="BI906" s="1"/>
      <c r="BJ906" s="35" t="str">
        <f>LOWER("alp"&amp;"_"&amp;"vw"&amp;"_"&amp;Veiculo&amp;"_"&amp;C902&amp;"_"&amp;Objetivo)</f>
        <v>alp_vw___</v>
      </c>
      <c r="BK906" s="35" t="str">
        <f>LOWER(Buying_Metric&amp;"_"&amp;VLOOKUP(Buying_Type,Buy_type,2,FALSE)&amp;"_"&amp;Device&amp;"_"&amp;Size&amp;"_"&amp;Segmentação&amp;"_"&amp;Segmentação_Anúncio)</f>
        <v>#N/A</v>
      </c>
      <c r="BL906" s="35" t="str">
        <f>LOWER(Campanha_ou_InsertionOrder&amp;"_"&amp;LineItem_ou_Grupodeanúncio&amp;"_"&amp;Linha_criativa_2&amp;"_"&amp;Unique_ID)</f>
        <v>#N/A</v>
      </c>
      <c r="BM906" s="27"/>
      <c r="BN906" s="27"/>
    </row>
    <row r="907">
      <c r="A907" s="1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8" t="str">
        <f>LOWER(Campanha_ou_InsertionOrder&amp;"_"&amp;LineItem_ou_Grupodeanúncio&amp;"_"&amp;Linha_Criativa&amp;"_"&amp;Unique_ID)</f>
        <v>#N/A</v>
      </c>
      <c r="AN907" s="28" t="str">
        <f>LOWER(Campanha_ou_InsertionOrder&amp;"_"&amp;LineItem_ou_Grupodeanúncio&amp;"_"&amp;Linha_Criativa&amp;"_"&amp;Unique_ID)</f>
        <v>#N/A</v>
      </c>
      <c r="AO907" s="28" t="str">
        <f>LOWER("VW"&amp;"_"&amp;Model_Variant&amp;"_"&amp;Size&amp;"_"&amp;Linha_Criativa&amp;"_"&amp;IF(Servido_Por="portal",Veiculo,"adserver"))</f>
        <v>vw____adserver</v>
      </c>
      <c r="AP90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7" s="22" t="str">
        <f t="shared" si="1"/>
        <v/>
      </c>
      <c r="AS907" s="22" t="str">
        <f t="shared" si="2"/>
        <v/>
      </c>
      <c r="AT907" s="22" t="str">
        <f t="shared" si="3"/>
        <v>BR_IMC_DSY_LANCH_ND_NC_2020Q3AUG_NVS_Nivus-Launch-Consideracao</v>
      </c>
      <c r="AU907" s="22" t="str">
        <f t="shared" si="4"/>
        <v>#N/A</v>
      </c>
      <c r="AV907" s="22" t="s">
        <v>106</v>
      </c>
      <c r="AW90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7" s="22" t="str">
        <f t="shared" si="5"/>
        <v>BR_IMC_DSY_LANCH_ND_NC_2020Q3AUG_NVS_Nivus-Launch-Consideracao</v>
      </c>
      <c r="AY907" s="28" t="str">
        <f t="shared" si="6"/>
        <v>#N/A</v>
      </c>
      <c r="AZ907" s="22" t="s">
        <v>107</v>
      </c>
      <c r="BA907" s="22" t="s">
        <v>108</v>
      </c>
      <c r="BB907" s="31" t="s">
        <v>109</v>
      </c>
      <c r="BC907" s="31" t="s">
        <v>109</v>
      </c>
      <c r="BD907" s="32" t="str">
        <f t="shared" si="8"/>
        <v>nvl-nvs-imc-dsy-0820-10901</v>
      </c>
      <c r="BE907" s="33"/>
      <c r="BF907" s="33"/>
      <c r="BG907" s="39" t="str">
        <f>URL&amp;IF(ISNUMBER(FIND("?",URL)),"&amp;","?"&amp;("adlid="&amp;Unique_ID&amp;"&amp;adplt="&amp;Placement))</f>
        <v>#N/A</v>
      </c>
      <c r="BH907" s="1"/>
      <c r="BI907" s="1"/>
      <c r="BJ907" s="35" t="str">
        <f>LOWER("alp"&amp;"_"&amp;"vw"&amp;"_"&amp;Veiculo&amp;"_"&amp;C903&amp;"_"&amp;Objetivo)</f>
        <v>alp_vw___</v>
      </c>
      <c r="BK907" s="35" t="str">
        <f>LOWER(Buying_Metric&amp;"_"&amp;VLOOKUP(Buying_Type,Buy_type,2,FALSE)&amp;"_"&amp;Device&amp;"_"&amp;Size&amp;"_"&amp;Segmentação&amp;"_"&amp;Segmentação_Anúncio)</f>
        <v>#N/A</v>
      </c>
      <c r="BL907" s="35" t="str">
        <f>LOWER(Campanha_ou_InsertionOrder&amp;"_"&amp;LineItem_ou_Grupodeanúncio&amp;"_"&amp;Linha_criativa_2&amp;"_"&amp;Unique_ID)</f>
        <v>#N/A</v>
      </c>
      <c r="BM907" s="27"/>
      <c r="BN907" s="27"/>
    </row>
    <row r="908">
      <c r="A908" s="1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8" t="str">
        <f>LOWER(Campanha_ou_InsertionOrder&amp;"_"&amp;LineItem_ou_Grupodeanúncio&amp;"_"&amp;Linha_Criativa&amp;"_"&amp;Unique_ID)</f>
        <v>#N/A</v>
      </c>
      <c r="AN908" s="28" t="str">
        <f>LOWER(Campanha_ou_InsertionOrder&amp;"_"&amp;LineItem_ou_Grupodeanúncio&amp;"_"&amp;Linha_Criativa&amp;"_"&amp;Unique_ID)</f>
        <v>#N/A</v>
      </c>
      <c r="AO908" s="28" t="str">
        <f>LOWER("VW"&amp;"_"&amp;Model_Variant&amp;"_"&amp;Size&amp;"_"&amp;Linha_Criativa&amp;"_"&amp;IF(Servido_Por="portal",Veiculo,"adserver"))</f>
        <v>vw____adserver</v>
      </c>
      <c r="AP90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8" s="22" t="str">
        <f t="shared" si="1"/>
        <v/>
      </c>
      <c r="AS908" s="22" t="str">
        <f t="shared" si="2"/>
        <v/>
      </c>
      <c r="AT908" s="22" t="str">
        <f t="shared" si="3"/>
        <v>BR_IMC_DSY_LANCH_ND_NC_2020Q3AUG_NVS_Nivus-Launch-Consideracao</v>
      </c>
      <c r="AU908" s="22" t="str">
        <f t="shared" si="4"/>
        <v>#N/A</v>
      </c>
      <c r="AV908" s="22" t="s">
        <v>106</v>
      </c>
      <c r="AW90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8" s="22" t="str">
        <f t="shared" si="5"/>
        <v>BR_IMC_DSY_LANCH_ND_NC_2020Q3AUG_NVS_Nivus-Launch-Consideracao</v>
      </c>
      <c r="AY908" s="28" t="str">
        <f t="shared" si="6"/>
        <v>#N/A</v>
      </c>
      <c r="AZ908" s="22" t="s">
        <v>107</v>
      </c>
      <c r="BA908" s="22" t="s">
        <v>108</v>
      </c>
      <c r="BB908" s="31" t="s">
        <v>109</v>
      </c>
      <c r="BC908" s="31" t="s">
        <v>109</v>
      </c>
      <c r="BD908" s="32" t="str">
        <f t="shared" si="8"/>
        <v>nvl-nvs-imc-dsy-0820-10902</v>
      </c>
      <c r="BE908" s="33"/>
      <c r="BF908" s="33"/>
      <c r="BG908" s="39" t="str">
        <f>URL&amp;IF(ISNUMBER(FIND("?",URL)),"&amp;","?"&amp;("adlid="&amp;Unique_ID&amp;"&amp;adplt="&amp;Placement))</f>
        <v>#N/A</v>
      </c>
      <c r="BH908" s="1"/>
      <c r="BI908" s="1"/>
      <c r="BJ908" s="35" t="str">
        <f>LOWER("alp"&amp;"_"&amp;"vw"&amp;"_"&amp;Veiculo&amp;"_"&amp;C904&amp;"_"&amp;Objetivo)</f>
        <v>alp_vw___</v>
      </c>
      <c r="BK908" s="35" t="str">
        <f>LOWER(Buying_Metric&amp;"_"&amp;VLOOKUP(Buying_Type,Buy_type,2,FALSE)&amp;"_"&amp;Device&amp;"_"&amp;Size&amp;"_"&amp;Segmentação&amp;"_"&amp;Segmentação_Anúncio)</f>
        <v>#N/A</v>
      </c>
      <c r="BL908" s="35" t="str">
        <f>LOWER(Campanha_ou_InsertionOrder&amp;"_"&amp;LineItem_ou_Grupodeanúncio&amp;"_"&amp;Linha_criativa_2&amp;"_"&amp;Unique_ID)</f>
        <v>#N/A</v>
      </c>
      <c r="BM908" s="27"/>
      <c r="BN908" s="27"/>
    </row>
    <row r="909">
      <c r="A909" s="1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8" t="str">
        <f>LOWER(Campanha_ou_InsertionOrder&amp;"_"&amp;LineItem_ou_Grupodeanúncio&amp;"_"&amp;Linha_Criativa&amp;"_"&amp;Unique_ID)</f>
        <v>#N/A</v>
      </c>
      <c r="AN909" s="28" t="str">
        <f>LOWER(Campanha_ou_InsertionOrder&amp;"_"&amp;LineItem_ou_Grupodeanúncio&amp;"_"&amp;Linha_Criativa&amp;"_"&amp;Unique_ID)</f>
        <v>#N/A</v>
      </c>
      <c r="AO909" s="28" t="str">
        <f>LOWER("VW"&amp;"_"&amp;Model_Variant&amp;"_"&amp;Size&amp;"_"&amp;Linha_Criativa&amp;"_"&amp;IF(Servido_Por="portal",Veiculo,"adserver"))</f>
        <v>vw____adserver</v>
      </c>
      <c r="AP90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0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09" s="22" t="str">
        <f t="shared" si="1"/>
        <v/>
      </c>
      <c r="AS909" s="22" t="str">
        <f t="shared" si="2"/>
        <v/>
      </c>
      <c r="AT909" s="22" t="str">
        <f t="shared" si="3"/>
        <v>BR_IMC_DSY_LANCH_ND_NC_2020Q3AUG_NVS_Nivus-Launch-Consideracao</v>
      </c>
      <c r="AU909" s="22" t="str">
        <f t="shared" si="4"/>
        <v>#N/A</v>
      </c>
      <c r="AV909" s="22" t="s">
        <v>106</v>
      </c>
      <c r="AW90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09" s="22" t="str">
        <f t="shared" si="5"/>
        <v>BR_IMC_DSY_LANCH_ND_NC_2020Q3AUG_NVS_Nivus-Launch-Consideracao</v>
      </c>
      <c r="AY909" s="28" t="str">
        <f t="shared" si="6"/>
        <v>#N/A</v>
      </c>
      <c r="AZ909" s="22" t="s">
        <v>107</v>
      </c>
      <c r="BA909" s="22" t="s">
        <v>108</v>
      </c>
      <c r="BB909" s="31" t="s">
        <v>109</v>
      </c>
      <c r="BC909" s="31" t="s">
        <v>109</v>
      </c>
      <c r="BD909" s="32" t="str">
        <f t="shared" si="8"/>
        <v>nvl-nvs-imc-dsy-0820-10903</v>
      </c>
      <c r="BE909" s="33"/>
      <c r="BF909" s="33"/>
      <c r="BG909" s="39" t="str">
        <f>URL&amp;IF(ISNUMBER(FIND("?",URL)),"&amp;","?"&amp;("adlid="&amp;Unique_ID&amp;"&amp;adplt="&amp;Placement))</f>
        <v>#N/A</v>
      </c>
      <c r="BH909" s="1"/>
      <c r="BI909" s="1"/>
      <c r="BJ909" s="35" t="str">
        <f>LOWER("alp"&amp;"_"&amp;"vw"&amp;"_"&amp;Veiculo&amp;"_"&amp;C905&amp;"_"&amp;Objetivo)</f>
        <v>alp_vw___</v>
      </c>
      <c r="BK909" s="35" t="str">
        <f>LOWER(Buying_Metric&amp;"_"&amp;VLOOKUP(Buying_Type,Buy_type,2,FALSE)&amp;"_"&amp;Device&amp;"_"&amp;Size&amp;"_"&amp;Segmentação&amp;"_"&amp;Segmentação_Anúncio)</f>
        <v>#N/A</v>
      </c>
      <c r="BL909" s="35" t="str">
        <f>LOWER(Campanha_ou_InsertionOrder&amp;"_"&amp;LineItem_ou_Grupodeanúncio&amp;"_"&amp;Linha_criativa_2&amp;"_"&amp;Unique_ID)</f>
        <v>#N/A</v>
      </c>
      <c r="BM909" s="27"/>
      <c r="BN909" s="27"/>
    </row>
    <row r="910">
      <c r="A910" s="1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8" t="str">
        <f>LOWER(Campanha_ou_InsertionOrder&amp;"_"&amp;LineItem_ou_Grupodeanúncio&amp;"_"&amp;Linha_Criativa&amp;"_"&amp;Unique_ID)</f>
        <v>#N/A</v>
      </c>
      <c r="AN910" s="28" t="str">
        <f>LOWER(Campanha_ou_InsertionOrder&amp;"_"&amp;LineItem_ou_Grupodeanúncio&amp;"_"&amp;Linha_Criativa&amp;"_"&amp;Unique_ID)</f>
        <v>#N/A</v>
      </c>
      <c r="AO910" s="28" t="str">
        <f>LOWER("VW"&amp;"_"&amp;Model_Variant&amp;"_"&amp;Size&amp;"_"&amp;Linha_Criativa&amp;"_"&amp;IF(Servido_Por="portal",Veiculo,"adserver"))</f>
        <v>vw____adserver</v>
      </c>
      <c r="AP91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0" s="22" t="str">
        <f t="shared" si="1"/>
        <v/>
      </c>
      <c r="AS910" s="22" t="str">
        <f t="shared" si="2"/>
        <v/>
      </c>
      <c r="AT910" s="22" t="str">
        <f t="shared" si="3"/>
        <v>BR_IMC_DSY_LANCH_ND_NC_2020Q3AUG_NVS_Nivus-Launch-Consideracao</v>
      </c>
      <c r="AU910" s="22" t="str">
        <f t="shared" si="4"/>
        <v>#N/A</v>
      </c>
      <c r="AV910" s="22" t="s">
        <v>106</v>
      </c>
      <c r="AW91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0" s="22" t="str">
        <f t="shared" si="5"/>
        <v>BR_IMC_DSY_LANCH_ND_NC_2020Q3AUG_NVS_Nivus-Launch-Consideracao</v>
      </c>
      <c r="AY910" s="28" t="str">
        <f t="shared" si="6"/>
        <v>#N/A</v>
      </c>
      <c r="AZ910" s="22" t="s">
        <v>107</v>
      </c>
      <c r="BA910" s="22" t="s">
        <v>108</v>
      </c>
      <c r="BB910" s="31" t="s">
        <v>109</v>
      </c>
      <c r="BC910" s="31" t="s">
        <v>109</v>
      </c>
      <c r="BD910" s="32" t="str">
        <f t="shared" si="8"/>
        <v>nvl-nvs-imc-dsy-0820-10904</v>
      </c>
      <c r="BE910" s="33"/>
      <c r="BF910" s="33"/>
      <c r="BG910" s="39" t="str">
        <f>URL&amp;IF(ISNUMBER(FIND("?",URL)),"&amp;","?"&amp;("adlid="&amp;Unique_ID&amp;"&amp;adplt="&amp;Placement))</f>
        <v>#N/A</v>
      </c>
      <c r="BH910" s="1"/>
      <c r="BI910" s="1"/>
      <c r="BJ910" s="35" t="str">
        <f>LOWER("alp"&amp;"_"&amp;"vw"&amp;"_"&amp;Veiculo&amp;"_"&amp;C906&amp;"_"&amp;Objetivo)</f>
        <v>alp_vw___</v>
      </c>
      <c r="BK910" s="35" t="str">
        <f>LOWER(Buying_Metric&amp;"_"&amp;VLOOKUP(Buying_Type,Buy_type,2,FALSE)&amp;"_"&amp;Device&amp;"_"&amp;Size&amp;"_"&amp;Segmentação&amp;"_"&amp;Segmentação_Anúncio)</f>
        <v>#N/A</v>
      </c>
      <c r="BL910" s="35" t="str">
        <f>LOWER(Campanha_ou_InsertionOrder&amp;"_"&amp;LineItem_ou_Grupodeanúncio&amp;"_"&amp;Linha_criativa_2&amp;"_"&amp;Unique_ID)</f>
        <v>#N/A</v>
      </c>
      <c r="BM910" s="27"/>
      <c r="BN910" s="27"/>
    </row>
    <row r="911">
      <c r="A911" s="1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8" t="str">
        <f>LOWER(Campanha_ou_InsertionOrder&amp;"_"&amp;LineItem_ou_Grupodeanúncio&amp;"_"&amp;Linha_Criativa&amp;"_"&amp;Unique_ID)</f>
        <v>#N/A</v>
      </c>
      <c r="AN911" s="28" t="str">
        <f>LOWER(Campanha_ou_InsertionOrder&amp;"_"&amp;LineItem_ou_Grupodeanúncio&amp;"_"&amp;Linha_Criativa&amp;"_"&amp;Unique_ID)</f>
        <v>#N/A</v>
      </c>
      <c r="AO911" s="28" t="str">
        <f>LOWER("VW"&amp;"_"&amp;Model_Variant&amp;"_"&amp;Size&amp;"_"&amp;Linha_Criativa&amp;"_"&amp;IF(Servido_Por="portal",Veiculo,"adserver"))</f>
        <v>vw____adserver</v>
      </c>
      <c r="AP91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1" s="22" t="str">
        <f t="shared" si="1"/>
        <v/>
      </c>
      <c r="AS911" s="22" t="str">
        <f t="shared" si="2"/>
        <v/>
      </c>
      <c r="AT911" s="22" t="str">
        <f t="shared" si="3"/>
        <v>BR_IMC_DSY_LANCH_ND_NC_2020Q3AUG_NVS_Nivus-Launch-Consideracao</v>
      </c>
      <c r="AU911" s="22" t="str">
        <f t="shared" si="4"/>
        <v>#N/A</v>
      </c>
      <c r="AV911" s="22" t="s">
        <v>106</v>
      </c>
      <c r="AW91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1" s="22" t="str">
        <f t="shared" si="5"/>
        <v>BR_IMC_DSY_LANCH_ND_NC_2020Q3AUG_NVS_Nivus-Launch-Consideracao</v>
      </c>
      <c r="AY911" s="28" t="str">
        <f t="shared" si="6"/>
        <v>#N/A</v>
      </c>
      <c r="AZ911" s="22" t="s">
        <v>107</v>
      </c>
      <c r="BA911" s="22" t="s">
        <v>108</v>
      </c>
      <c r="BB911" s="31" t="s">
        <v>109</v>
      </c>
      <c r="BC911" s="31" t="s">
        <v>109</v>
      </c>
      <c r="BD911" s="32" t="str">
        <f t="shared" si="8"/>
        <v>nvl-nvs-imc-dsy-0820-10905</v>
      </c>
      <c r="BE911" s="33"/>
      <c r="BF911" s="33"/>
      <c r="BG911" s="39" t="str">
        <f>URL&amp;IF(ISNUMBER(FIND("?",URL)),"&amp;","?"&amp;("adlid="&amp;Unique_ID&amp;"&amp;adplt="&amp;Placement))</f>
        <v>#N/A</v>
      </c>
      <c r="BH911" s="1"/>
      <c r="BI911" s="1"/>
      <c r="BJ911" s="35" t="str">
        <f>LOWER("alp"&amp;"_"&amp;"vw"&amp;"_"&amp;Veiculo&amp;"_"&amp;C907&amp;"_"&amp;Objetivo)</f>
        <v>alp_vw___</v>
      </c>
      <c r="BK911" s="35" t="str">
        <f>LOWER(Buying_Metric&amp;"_"&amp;VLOOKUP(Buying_Type,Buy_type,2,FALSE)&amp;"_"&amp;Device&amp;"_"&amp;Size&amp;"_"&amp;Segmentação&amp;"_"&amp;Segmentação_Anúncio)</f>
        <v>#N/A</v>
      </c>
      <c r="BL911" s="35" t="str">
        <f>LOWER(Campanha_ou_InsertionOrder&amp;"_"&amp;LineItem_ou_Grupodeanúncio&amp;"_"&amp;Linha_criativa_2&amp;"_"&amp;Unique_ID)</f>
        <v>#N/A</v>
      </c>
      <c r="BM911" s="27"/>
      <c r="BN911" s="27"/>
    </row>
    <row r="912">
      <c r="A912" s="1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8" t="str">
        <f>LOWER(Campanha_ou_InsertionOrder&amp;"_"&amp;LineItem_ou_Grupodeanúncio&amp;"_"&amp;Linha_Criativa&amp;"_"&amp;Unique_ID)</f>
        <v>#N/A</v>
      </c>
      <c r="AN912" s="28" t="str">
        <f>LOWER(Campanha_ou_InsertionOrder&amp;"_"&amp;LineItem_ou_Grupodeanúncio&amp;"_"&amp;Linha_Criativa&amp;"_"&amp;Unique_ID)</f>
        <v>#N/A</v>
      </c>
      <c r="AO912" s="28" t="str">
        <f>LOWER("VW"&amp;"_"&amp;Model_Variant&amp;"_"&amp;Size&amp;"_"&amp;Linha_Criativa&amp;"_"&amp;IF(Servido_Por="portal",Veiculo,"adserver"))</f>
        <v>vw____adserver</v>
      </c>
      <c r="AP91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2" s="22" t="str">
        <f t="shared" si="1"/>
        <v/>
      </c>
      <c r="AS912" s="22" t="str">
        <f t="shared" si="2"/>
        <v/>
      </c>
      <c r="AT912" s="22" t="str">
        <f t="shared" si="3"/>
        <v>BR_IMC_DSY_LANCH_ND_NC_2020Q3AUG_NVS_Nivus-Launch-Consideracao</v>
      </c>
      <c r="AU912" s="22" t="str">
        <f t="shared" si="4"/>
        <v>#N/A</v>
      </c>
      <c r="AV912" s="22" t="s">
        <v>106</v>
      </c>
      <c r="AW91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2" s="22" t="str">
        <f t="shared" si="5"/>
        <v>BR_IMC_DSY_LANCH_ND_NC_2020Q3AUG_NVS_Nivus-Launch-Consideracao</v>
      </c>
      <c r="AY912" s="28" t="str">
        <f t="shared" si="6"/>
        <v>#N/A</v>
      </c>
      <c r="AZ912" s="22" t="s">
        <v>107</v>
      </c>
      <c r="BA912" s="22" t="s">
        <v>108</v>
      </c>
      <c r="BB912" s="31" t="s">
        <v>109</v>
      </c>
      <c r="BC912" s="31" t="s">
        <v>109</v>
      </c>
      <c r="BD912" s="32" t="str">
        <f t="shared" si="8"/>
        <v>nvl-nvs-imc-dsy-0820-10906</v>
      </c>
      <c r="BE912" s="33"/>
      <c r="BF912" s="33"/>
      <c r="BG912" s="39" t="str">
        <f>URL&amp;IF(ISNUMBER(FIND("?",URL)),"&amp;","?"&amp;("adlid="&amp;Unique_ID&amp;"&amp;adplt="&amp;Placement))</f>
        <v>#N/A</v>
      </c>
      <c r="BH912" s="1"/>
      <c r="BI912" s="1"/>
      <c r="BJ912" s="35" t="str">
        <f>LOWER("alp"&amp;"_"&amp;"vw"&amp;"_"&amp;Veiculo&amp;"_"&amp;C908&amp;"_"&amp;Objetivo)</f>
        <v>alp_vw___</v>
      </c>
      <c r="BK912" s="35" t="str">
        <f>LOWER(Buying_Metric&amp;"_"&amp;VLOOKUP(Buying_Type,Buy_type,2,FALSE)&amp;"_"&amp;Device&amp;"_"&amp;Size&amp;"_"&amp;Segmentação&amp;"_"&amp;Segmentação_Anúncio)</f>
        <v>#N/A</v>
      </c>
      <c r="BL912" s="35" t="str">
        <f>LOWER(Campanha_ou_InsertionOrder&amp;"_"&amp;LineItem_ou_Grupodeanúncio&amp;"_"&amp;Linha_criativa_2&amp;"_"&amp;Unique_ID)</f>
        <v>#N/A</v>
      </c>
      <c r="BM912" s="27"/>
      <c r="BN912" s="27"/>
    </row>
    <row r="913">
      <c r="A913" s="1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8" t="str">
        <f>LOWER(Campanha_ou_InsertionOrder&amp;"_"&amp;LineItem_ou_Grupodeanúncio&amp;"_"&amp;Linha_Criativa&amp;"_"&amp;Unique_ID)</f>
        <v>#N/A</v>
      </c>
      <c r="AN913" s="28" t="str">
        <f>LOWER(Campanha_ou_InsertionOrder&amp;"_"&amp;LineItem_ou_Grupodeanúncio&amp;"_"&amp;Linha_Criativa&amp;"_"&amp;Unique_ID)</f>
        <v>#N/A</v>
      </c>
      <c r="AO913" s="28" t="str">
        <f>LOWER("VW"&amp;"_"&amp;Model_Variant&amp;"_"&amp;Size&amp;"_"&amp;Linha_Criativa&amp;"_"&amp;IF(Servido_Por="portal",Veiculo,"adserver"))</f>
        <v>vw____adserver</v>
      </c>
      <c r="AP91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3" s="22" t="str">
        <f t="shared" si="1"/>
        <v/>
      </c>
      <c r="AS913" s="22" t="str">
        <f t="shared" si="2"/>
        <v/>
      </c>
      <c r="AT913" s="22" t="str">
        <f t="shared" si="3"/>
        <v>BR_IMC_DSY_LANCH_ND_NC_2020Q3AUG_NVS_Nivus-Launch-Consideracao</v>
      </c>
      <c r="AU913" s="22" t="str">
        <f t="shared" si="4"/>
        <v>#N/A</v>
      </c>
      <c r="AV913" s="22" t="s">
        <v>106</v>
      </c>
      <c r="AW91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3" s="22" t="str">
        <f t="shared" si="5"/>
        <v>BR_IMC_DSY_LANCH_ND_NC_2020Q3AUG_NVS_Nivus-Launch-Consideracao</v>
      </c>
      <c r="AY913" s="28" t="str">
        <f t="shared" si="6"/>
        <v>#N/A</v>
      </c>
      <c r="AZ913" s="22" t="s">
        <v>107</v>
      </c>
      <c r="BA913" s="22" t="s">
        <v>108</v>
      </c>
      <c r="BB913" s="31" t="s">
        <v>109</v>
      </c>
      <c r="BC913" s="31" t="s">
        <v>109</v>
      </c>
      <c r="BD913" s="32" t="str">
        <f t="shared" si="8"/>
        <v>nvl-nvs-imc-dsy-0820-10907</v>
      </c>
      <c r="BE913" s="33"/>
      <c r="BF913" s="33"/>
      <c r="BG913" s="39" t="str">
        <f>URL&amp;IF(ISNUMBER(FIND("?",URL)),"&amp;","?"&amp;("adlid="&amp;Unique_ID&amp;"&amp;adplt="&amp;Placement))</f>
        <v>#N/A</v>
      </c>
      <c r="BH913" s="1"/>
      <c r="BI913" s="1"/>
      <c r="BJ913" s="35" t="str">
        <f>LOWER("alp"&amp;"_"&amp;"vw"&amp;"_"&amp;Veiculo&amp;"_"&amp;C909&amp;"_"&amp;Objetivo)</f>
        <v>alp_vw___</v>
      </c>
      <c r="BK913" s="35" t="str">
        <f>LOWER(Buying_Metric&amp;"_"&amp;VLOOKUP(Buying_Type,Buy_type,2,FALSE)&amp;"_"&amp;Device&amp;"_"&amp;Size&amp;"_"&amp;Segmentação&amp;"_"&amp;Segmentação_Anúncio)</f>
        <v>#N/A</v>
      </c>
      <c r="BL913" s="35" t="str">
        <f>LOWER(Campanha_ou_InsertionOrder&amp;"_"&amp;LineItem_ou_Grupodeanúncio&amp;"_"&amp;Linha_criativa_2&amp;"_"&amp;Unique_ID)</f>
        <v>#N/A</v>
      </c>
      <c r="BM913" s="27"/>
      <c r="BN913" s="27"/>
    </row>
    <row r="914">
      <c r="A914" s="1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8" t="str">
        <f>LOWER(Campanha_ou_InsertionOrder&amp;"_"&amp;LineItem_ou_Grupodeanúncio&amp;"_"&amp;Linha_Criativa&amp;"_"&amp;Unique_ID)</f>
        <v>#N/A</v>
      </c>
      <c r="AN914" s="28" t="str">
        <f>LOWER(Campanha_ou_InsertionOrder&amp;"_"&amp;LineItem_ou_Grupodeanúncio&amp;"_"&amp;Linha_Criativa&amp;"_"&amp;Unique_ID)</f>
        <v>#N/A</v>
      </c>
      <c r="AO914" s="28" t="str">
        <f>LOWER("VW"&amp;"_"&amp;Model_Variant&amp;"_"&amp;Size&amp;"_"&amp;Linha_Criativa&amp;"_"&amp;IF(Servido_Por="portal",Veiculo,"adserver"))</f>
        <v>vw____adserver</v>
      </c>
      <c r="AP91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4" s="22" t="str">
        <f t="shared" si="1"/>
        <v/>
      </c>
      <c r="AS914" s="22" t="str">
        <f t="shared" si="2"/>
        <v/>
      </c>
      <c r="AT914" s="22" t="str">
        <f t="shared" si="3"/>
        <v>BR_IMC_DSY_LANCH_ND_NC_2020Q3AUG_NVS_Nivus-Launch-Consideracao</v>
      </c>
      <c r="AU914" s="22" t="str">
        <f t="shared" si="4"/>
        <v>#N/A</v>
      </c>
      <c r="AV914" s="22" t="s">
        <v>106</v>
      </c>
      <c r="AW91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4" s="22" t="str">
        <f t="shared" si="5"/>
        <v>BR_IMC_DSY_LANCH_ND_NC_2020Q3AUG_NVS_Nivus-Launch-Consideracao</v>
      </c>
      <c r="AY914" s="28" t="str">
        <f t="shared" si="6"/>
        <v>#N/A</v>
      </c>
      <c r="AZ914" s="22" t="s">
        <v>107</v>
      </c>
      <c r="BA914" s="22" t="s">
        <v>108</v>
      </c>
      <c r="BB914" s="31" t="s">
        <v>109</v>
      </c>
      <c r="BC914" s="31" t="s">
        <v>109</v>
      </c>
      <c r="BD914" s="32" t="str">
        <f t="shared" si="8"/>
        <v>nvl-nvs-imc-dsy-0820-10908</v>
      </c>
      <c r="BE914" s="33"/>
      <c r="BF914" s="33"/>
      <c r="BG914" s="39" t="str">
        <f>URL&amp;IF(ISNUMBER(FIND("?",URL)),"&amp;","?"&amp;("adlid="&amp;Unique_ID&amp;"&amp;adplt="&amp;Placement))</f>
        <v>#N/A</v>
      </c>
      <c r="BH914" s="1"/>
      <c r="BI914" s="1"/>
      <c r="BJ914" s="35" t="str">
        <f>LOWER("alp"&amp;"_"&amp;"vw"&amp;"_"&amp;Veiculo&amp;"_"&amp;C910&amp;"_"&amp;Objetivo)</f>
        <v>alp_vw___</v>
      </c>
      <c r="BK914" s="35" t="str">
        <f>LOWER(Buying_Metric&amp;"_"&amp;VLOOKUP(Buying_Type,Buy_type,2,FALSE)&amp;"_"&amp;Device&amp;"_"&amp;Size&amp;"_"&amp;Segmentação&amp;"_"&amp;Segmentação_Anúncio)</f>
        <v>#N/A</v>
      </c>
      <c r="BL914" s="35" t="str">
        <f>LOWER(Campanha_ou_InsertionOrder&amp;"_"&amp;LineItem_ou_Grupodeanúncio&amp;"_"&amp;Linha_criativa_2&amp;"_"&amp;Unique_ID)</f>
        <v>#N/A</v>
      </c>
      <c r="BM914" s="27"/>
      <c r="BN914" s="27"/>
    </row>
    <row r="915">
      <c r="A915" s="1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8" t="str">
        <f>LOWER(Campanha_ou_InsertionOrder&amp;"_"&amp;LineItem_ou_Grupodeanúncio&amp;"_"&amp;Linha_Criativa&amp;"_"&amp;Unique_ID)</f>
        <v>#N/A</v>
      </c>
      <c r="AN915" s="28" t="str">
        <f>LOWER(Campanha_ou_InsertionOrder&amp;"_"&amp;LineItem_ou_Grupodeanúncio&amp;"_"&amp;Linha_Criativa&amp;"_"&amp;Unique_ID)</f>
        <v>#N/A</v>
      </c>
      <c r="AO915" s="28" t="str">
        <f>LOWER("VW"&amp;"_"&amp;Model_Variant&amp;"_"&amp;Size&amp;"_"&amp;Linha_Criativa&amp;"_"&amp;IF(Servido_Por="portal",Veiculo,"adserver"))</f>
        <v>vw____adserver</v>
      </c>
      <c r="AP91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5" s="22" t="str">
        <f t="shared" si="1"/>
        <v/>
      </c>
      <c r="AS915" s="22" t="str">
        <f t="shared" si="2"/>
        <v/>
      </c>
      <c r="AT915" s="22" t="str">
        <f t="shared" si="3"/>
        <v>BR_IMC_DSY_LANCH_ND_NC_2020Q3AUG_NVS_Nivus-Launch-Consideracao</v>
      </c>
      <c r="AU915" s="22" t="str">
        <f t="shared" si="4"/>
        <v>#N/A</v>
      </c>
      <c r="AV915" s="22" t="s">
        <v>106</v>
      </c>
      <c r="AW91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5" s="22" t="str">
        <f t="shared" si="5"/>
        <v>BR_IMC_DSY_LANCH_ND_NC_2020Q3AUG_NVS_Nivus-Launch-Consideracao</v>
      </c>
      <c r="AY915" s="28" t="str">
        <f t="shared" si="6"/>
        <v>#N/A</v>
      </c>
      <c r="AZ915" s="22" t="s">
        <v>107</v>
      </c>
      <c r="BA915" s="22" t="s">
        <v>108</v>
      </c>
      <c r="BB915" s="31" t="s">
        <v>109</v>
      </c>
      <c r="BC915" s="31" t="s">
        <v>109</v>
      </c>
      <c r="BD915" s="32" t="str">
        <f t="shared" si="8"/>
        <v>nvl-nvs-imc-dsy-0820-10909</v>
      </c>
      <c r="BE915" s="33"/>
      <c r="BF915" s="33"/>
      <c r="BG915" s="39" t="str">
        <f>URL&amp;IF(ISNUMBER(FIND("?",URL)),"&amp;","?"&amp;("adlid="&amp;Unique_ID&amp;"&amp;adplt="&amp;Placement))</f>
        <v>#N/A</v>
      </c>
      <c r="BH915" s="1"/>
      <c r="BI915" s="1"/>
      <c r="BJ915" s="35" t="str">
        <f>LOWER("alp"&amp;"_"&amp;"vw"&amp;"_"&amp;Veiculo&amp;"_"&amp;C911&amp;"_"&amp;Objetivo)</f>
        <v>alp_vw___</v>
      </c>
      <c r="BK915" s="35" t="str">
        <f>LOWER(Buying_Metric&amp;"_"&amp;VLOOKUP(Buying_Type,Buy_type,2,FALSE)&amp;"_"&amp;Device&amp;"_"&amp;Size&amp;"_"&amp;Segmentação&amp;"_"&amp;Segmentação_Anúncio)</f>
        <v>#N/A</v>
      </c>
      <c r="BL915" s="35" t="str">
        <f>LOWER(Campanha_ou_InsertionOrder&amp;"_"&amp;LineItem_ou_Grupodeanúncio&amp;"_"&amp;Linha_criativa_2&amp;"_"&amp;Unique_ID)</f>
        <v>#N/A</v>
      </c>
      <c r="BM915" s="27"/>
      <c r="BN915" s="27"/>
    </row>
    <row r="916">
      <c r="A916" s="1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8" t="str">
        <f>LOWER(Campanha_ou_InsertionOrder&amp;"_"&amp;LineItem_ou_Grupodeanúncio&amp;"_"&amp;Linha_Criativa&amp;"_"&amp;Unique_ID)</f>
        <v>#N/A</v>
      </c>
      <c r="AN916" s="28" t="str">
        <f>LOWER(Campanha_ou_InsertionOrder&amp;"_"&amp;LineItem_ou_Grupodeanúncio&amp;"_"&amp;Linha_Criativa&amp;"_"&amp;Unique_ID)</f>
        <v>#N/A</v>
      </c>
      <c r="AO916" s="28" t="str">
        <f>LOWER("VW"&amp;"_"&amp;Model_Variant&amp;"_"&amp;Size&amp;"_"&amp;Linha_Criativa&amp;"_"&amp;IF(Servido_Por="portal",Veiculo,"adserver"))</f>
        <v>vw____adserver</v>
      </c>
      <c r="AP91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6" s="22" t="str">
        <f t="shared" si="1"/>
        <v/>
      </c>
      <c r="AS916" s="22" t="str">
        <f t="shared" si="2"/>
        <v/>
      </c>
      <c r="AT916" s="22" t="str">
        <f t="shared" si="3"/>
        <v>BR_IMC_DSY_LANCH_ND_NC_2020Q3AUG_NVS_Nivus-Launch-Consideracao</v>
      </c>
      <c r="AU916" s="22" t="str">
        <f t="shared" si="4"/>
        <v>#N/A</v>
      </c>
      <c r="AV916" s="22" t="s">
        <v>106</v>
      </c>
      <c r="AW91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6" s="22" t="str">
        <f t="shared" si="5"/>
        <v>BR_IMC_DSY_LANCH_ND_NC_2020Q3AUG_NVS_Nivus-Launch-Consideracao</v>
      </c>
      <c r="AY916" s="28" t="str">
        <f t="shared" si="6"/>
        <v>#N/A</v>
      </c>
      <c r="AZ916" s="22" t="s">
        <v>107</v>
      </c>
      <c r="BA916" s="22" t="s">
        <v>108</v>
      </c>
      <c r="BB916" s="31" t="s">
        <v>109</v>
      </c>
      <c r="BC916" s="31" t="s">
        <v>109</v>
      </c>
      <c r="BD916" s="32" t="str">
        <f t="shared" si="8"/>
        <v>nvl-nvs-imc-dsy-0820-10910</v>
      </c>
      <c r="BE916" s="33"/>
      <c r="BF916" s="33"/>
      <c r="BG916" s="39" t="str">
        <f>URL&amp;IF(ISNUMBER(FIND("?",URL)),"&amp;","?"&amp;("adlid="&amp;Unique_ID&amp;"&amp;adplt="&amp;Placement))</f>
        <v>#N/A</v>
      </c>
      <c r="BH916" s="1"/>
      <c r="BI916" s="1"/>
      <c r="BJ916" s="35" t="str">
        <f>LOWER("alp"&amp;"_"&amp;"vw"&amp;"_"&amp;Veiculo&amp;"_"&amp;C912&amp;"_"&amp;Objetivo)</f>
        <v>alp_vw___</v>
      </c>
      <c r="BK916" s="35" t="str">
        <f>LOWER(Buying_Metric&amp;"_"&amp;VLOOKUP(Buying_Type,Buy_type,2,FALSE)&amp;"_"&amp;Device&amp;"_"&amp;Size&amp;"_"&amp;Segmentação&amp;"_"&amp;Segmentação_Anúncio)</f>
        <v>#N/A</v>
      </c>
      <c r="BL916" s="35" t="str">
        <f>LOWER(Campanha_ou_InsertionOrder&amp;"_"&amp;LineItem_ou_Grupodeanúncio&amp;"_"&amp;Linha_criativa_2&amp;"_"&amp;Unique_ID)</f>
        <v>#N/A</v>
      </c>
      <c r="BM916" s="27"/>
      <c r="BN916" s="27"/>
    </row>
    <row r="917">
      <c r="A917" s="1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8" t="str">
        <f>LOWER(Campanha_ou_InsertionOrder&amp;"_"&amp;LineItem_ou_Grupodeanúncio&amp;"_"&amp;Linha_Criativa&amp;"_"&amp;Unique_ID)</f>
        <v>#N/A</v>
      </c>
      <c r="AN917" s="28" t="str">
        <f>LOWER(Campanha_ou_InsertionOrder&amp;"_"&amp;LineItem_ou_Grupodeanúncio&amp;"_"&amp;Linha_Criativa&amp;"_"&amp;Unique_ID)</f>
        <v>#N/A</v>
      </c>
      <c r="AO917" s="28" t="str">
        <f>LOWER("VW"&amp;"_"&amp;Model_Variant&amp;"_"&amp;Size&amp;"_"&amp;Linha_Criativa&amp;"_"&amp;IF(Servido_Por="portal",Veiculo,"adserver"))</f>
        <v>vw____adserver</v>
      </c>
      <c r="AP91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7" s="22" t="str">
        <f t="shared" si="1"/>
        <v/>
      </c>
      <c r="AS917" s="22" t="str">
        <f t="shared" si="2"/>
        <v/>
      </c>
      <c r="AT917" s="22" t="str">
        <f t="shared" si="3"/>
        <v>BR_IMC_DSY_LANCH_ND_NC_2020Q3AUG_NVS_Nivus-Launch-Consideracao</v>
      </c>
      <c r="AU917" s="22" t="str">
        <f t="shared" si="4"/>
        <v>#N/A</v>
      </c>
      <c r="AV917" s="22" t="s">
        <v>106</v>
      </c>
      <c r="AW91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7" s="22" t="str">
        <f t="shared" si="5"/>
        <v>BR_IMC_DSY_LANCH_ND_NC_2020Q3AUG_NVS_Nivus-Launch-Consideracao</v>
      </c>
      <c r="AY917" s="28" t="str">
        <f t="shared" si="6"/>
        <v>#N/A</v>
      </c>
      <c r="AZ917" s="22" t="s">
        <v>107</v>
      </c>
      <c r="BA917" s="22" t="s">
        <v>108</v>
      </c>
      <c r="BB917" s="31" t="s">
        <v>109</v>
      </c>
      <c r="BC917" s="31" t="s">
        <v>109</v>
      </c>
      <c r="BD917" s="32" t="str">
        <f t="shared" si="8"/>
        <v>nvl-nvs-imc-dsy-0820-10911</v>
      </c>
      <c r="BE917" s="33"/>
      <c r="BF917" s="33"/>
      <c r="BG917" s="39" t="str">
        <f>URL&amp;IF(ISNUMBER(FIND("?",URL)),"&amp;","?"&amp;("adlid="&amp;Unique_ID&amp;"&amp;adplt="&amp;Placement))</f>
        <v>#N/A</v>
      </c>
      <c r="BH917" s="1"/>
      <c r="BI917" s="1"/>
      <c r="BJ917" s="35" t="str">
        <f>LOWER("alp"&amp;"_"&amp;"vw"&amp;"_"&amp;Veiculo&amp;"_"&amp;C913&amp;"_"&amp;Objetivo)</f>
        <v>alp_vw___</v>
      </c>
      <c r="BK917" s="35" t="str">
        <f>LOWER(Buying_Metric&amp;"_"&amp;VLOOKUP(Buying_Type,Buy_type,2,FALSE)&amp;"_"&amp;Device&amp;"_"&amp;Size&amp;"_"&amp;Segmentação&amp;"_"&amp;Segmentação_Anúncio)</f>
        <v>#N/A</v>
      </c>
      <c r="BL917" s="35" t="str">
        <f>LOWER(Campanha_ou_InsertionOrder&amp;"_"&amp;LineItem_ou_Grupodeanúncio&amp;"_"&amp;Linha_criativa_2&amp;"_"&amp;Unique_ID)</f>
        <v>#N/A</v>
      </c>
      <c r="BM917" s="27"/>
      <c r="BN917" s="27"/>
    </row>
    <row r="918">
      <c r="A918" s="1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8" t="str">
        <f>LOWER(Campanha_ou_InsertionOrder&amp;"_"&amp;LineItem_ou_Grupodeanúncio&amp;"_"&amp;Linha_Criativa&amp;"_"&amp;Unique_ID)</f>
        <v>#N/A</v>
      </c>
      <c r="AN918" s="28" t="str">
        <f>LOWER(Campanha_ou_InsertionOrder&amp;"_"&amp;LineItem_ou_Grupodeanúncio&amp;"_"&amp;Linha_Criativa&amp;"_"&amp;Unique_ID)</f>
        <v>#N/A</v>
      </c>
      <c r="AO918" s="28" t="str">
        <f>LOWER("VW"&amp;"_"&amp;Model_Variant&amp;"_"&amp;Size&amp;"_"&amp;Linha_Criativa&amp;"_"&amp;IF(Servido_Por="portal",Veiculo,"adserver"))</f>
        <v>vw____adserver</v>
      </c>
      <c r="AP91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8" s="22" t="str">
        <f t="shared" si="1"/>
        <v/>
      </c>
      <c r="AS918" s="22" t="str">
        <f t="shared" si="2"/>
        <v/>
      </c>
      <c r="AT918" s="22" t="str">
        <f t="shared" si="3"/>
        <v>BR_IMC_DSY_LANCH_ND_NC_2020Q3AUG_NVS_Nivus-Launch-Consideracao</v>
      </c>
      <c r="AU918" s="22" t="str">
        <f t="shared" si="4"/>
        <v>#N/A</v>
      </c>
      <c r="AV918" s="22" t="s">
        <v>106</v>
      </c>
      <c r="AW91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8" s="22" t="str">
        <f t="shared" si="5"/>
        <v>BR_IMC_DSY_LANCH_ND_NC_2020Q3AUG_NVS_Nivus-Launch-Consideracao</v>
      </c>
      <c r="AY918" s="28" t="str">
        <f t="shared" si="6"/>
        <v>#N/A</v>
      </c>
      <c r="AZ918" s="22" t="s">
        <v>107</v>
      </c>
      <c r="BA918" s="22" t="s">
        <v>108</v>
      </c>
      <c r="BB918" s="31" t="s">
        <v>109</v>
      </c>
      <c r="BC918" s="31" t="s">
        <v>109</v>
      </c>
      <c r="BD918" s="32" t="str">
        <f t="shared" si="8"/>
        <v>nvl-nvs-imc-dsy-0820-10912</v>
      </c>
      <c r="BE918" s="33"/>
      <c r="BF918" s="33"/>
      <c r="BG918" s="39" t="str">
        <f>URL&amp;IF(ISNUMBER(FIND("?",URL)),"&amp;","?"&amp;("adlid="&amp;Unique_ID&amp;"&amp;adplt="&amp;Placement))</f>
        <v>#N/A</v>
      </c>
      <c r="BH918" s="1"/>
      <c r="BI918" s="1"/>
      <c r="BJ918" s="35" t="str">
        <f>LOWER("alp"&amp;"_"&amp;"vw"&amp;"_"&amp;Veiculo&amp;"_"&amp;C914&amp;"_"&amp;Objetivo)</f>
        <v>alp_vw___</v>
      </c>
      <c r="BK918" s="35" t="str">
        <f>LOWER(Buying_Metric&amp;"_"&amp;VLOOKUP(Buying_Type,Buy_type,2,FALSE)&amp;"_"&amp;Device&amp;"_"&amp;Size&amp;"_"&amp;Segmentação&amp;"_"&amp;Segmentação_Anúncio)</f>
        <v>#N/A</v>
      </c>
      <c r="BL918" s="35" t="str">
        <f>LOWER(Campanha_ou_InsertionOrder&amp;"_"&amp;LineItem_ou_Grupodeanúncio&amp;"_"&amp;Linha_criativa_2&amp;"_"&amp;Unique_ID)</f>
        <v>#N/A</v>
      </c>
      <c r="BM918" s="27"/>
      <c r="BN918" s="27"/>
    </row>
    <row r="919">
      <c r="A919" s="1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8" t="str">
        <f>LOWER(Campanha_ou_InsertionOrder&amp;"_"&amp;LineItem_ou_Grupodeanúncio&amp;"_"&amp;Linha_Criativa&amp;"_"&amp;Unique_ID)</f>
        <v>#N/A</v>
      </c>
      <c r="AN919" s="28" t="str">
        <f>LOWER(Campanha_ou_InsertionOrder&amp;"_"&amp;LineItem_ou_Grupodeanúncio&amp;"_"&amp;Linha_Criativa&amp;"_"&amp;Unique_ID)</f>
        <v>#N/A</v>
      </c>
      <c r="AO919" s="28" t="str">
        <f>LOWER("VW"&amp;"_"&amp;Model_Variant&amp;"_"&amp;Size&amp;"_"&amp;Linha_Criativa&amp;"_"&amp;IF(Servido_Por="portal",Veiculo,"adserver"))</f>
        <v>vw____adserver</v>
      </c>
      <c r="AP91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1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19" s="22" t="str">
        <f t="shared" si="1"/>
        <v/>
      </c>
      <c r="AS919" s="22" t="str">
        <f t="shared" si="2"/>
        <v/>
      </c>
      <c r="AT919" s="22" t="str">
        <f t="shared" si="3"/>
        <v>BR_IMC_DSY_LANCH_ND_NC_2020Q3AUG_NVS_Nivus-Launch-Consideracao</v>
      </c>
      <c r="AU919" s="22" t="str">
        <f t="shared" si="4"/>
        <v>#N/A</v>
      </c>
      <c r="AV919" s="22" t="s">
        <v>106</v>
      </c>
      <c r="AW91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19" s="22" t="str">
        <f t="shared" si="5"/>
        <v>BR_IMC_DSY_LANCH_ND_NC_2020Q3AUG_NVS_Nivus-Launch-Consideracao</v>
      </c>
      <c r="AY919" s="28" t="str">
        <f t="shared" si="6"/>
        <v>#N/A</v>
      </c>
      <c r="AZ919" s="22" t="s">
        <v>107</v>
      </c>
      <c r="BA919" s="22" t="s">
        <v>108</v>
      </c>
      <c r="BB919" s="31" t="s">
        <v>109</v>
      </c>
      <c r="BC919" s="31" t="s">
        <v>109</v>
      </c>
      <c r="BD919" s="32" t="str">
        <f t="shared" si="8"/>
        <v>nvl-nvs-imc-dsy-0820-10913</v>
      </c>
      <c r="BE919" s="33"/>
      <c r="BF919" s="33"/>
      <c r="BG919" s="39" t="str">
        <f>URL&amp;IF(ISNUMBER(FIND("?",URL)),"&amp;","?"&amp;("adlid="&amp;Unique_ID&amp;"&amp;adplt="&amp;Placement))</f>
        <v>#N/A</v>
      </c>
      <c r="BH919" s="1"/>
      <c r="BI919" s="1"/>
      <c r="BJ919" s="35" t="str">
        <f>LOWER("alp"&amp;"_"&amp;"vw"&amp;"_"&amp;Veiculo&amp;"_"&amp;C915&amp;"_"&amp;Objetivo)</f>
        <v>alp_vw___</v>
      </c>
      <c r="BK919" s="35" t="str">
        <f>LOWER(Buying_Metric&amp;"_"&amp;VLOOKUP(Buying_Type,Buy_type,2,FALSE)&amp;"_"&amp;Device&amp;"_"&amp;Size&amp;"_"&amp;Segmentação&amp;"_"&amp;Segmentação_Anúncio)</f>
        <v>#N/A</v>
      </c>
      <c r="BL919" s="35" t="str">
        <f>LOWER(Campanha_ou_InsertionOrder&amp;"_"&amp;LineItem_ou_Grupodeanúncio&amp;"_"&amp;Linha_criativa_2&amp;"_"&amp;Unique_ID)</f>
        <v>#N/A</v>
      </c>
      <c r="BM919" s="27"/>
      <c r="BN919" s="27"/>
    </row>
    <row r="920">
      <c r="A920" s="1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8" t="str">
        <f>LOWER(Campanha_ou_InsertionOrder&amp;"_"&amp;LineItem_ou_Grupodeanúncio&amp;"_"&amp;Linha_Criativa&amp;"_"&amp;Unique_ID)</f>
        <v>#N/A</v>
      </c>
      <c r="AN920" s="28" t="str">
        <f>LOWER(Campanha_ou_InsertionOrder&amp;"_"&amp;LineItem_ou_Grupodeanúncio&amp;"_"&amp;Linha_Criativa&amp;"_"&amp;Unique_ID)</f>
        <v>#N/A</v>
      </c>
      <c r="AO920" s="28" t="str">
        <f>LOWER("VW"&amp;"_"&amp;Model_Variant&amp;"_"&amp;Size&amp;"_"&amp;Linha_Criativa&amp;"_"&amp;IF(Servido_Por="portal",Veiculo,"adserver"))</f>
        <v>vw____adserver</v>
      </c>
      <c r="AP92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0" s="22" t="str">
        <f t="shared" si="1"/>
        <v/>
      </c>
      <c r="AS920" s="22" t="str">
        <f t="shared" si="2"/>
        <v/>
      </c>
      <c r="AT920" s="22" t="str">
        <f t="shared" si="3"/>
        <v>BR_IMC_DSY_LANCH_ND_NC_2020Q3AUG_NVS_Nivus-Launch-Consideracao</v>
      </c>
      <c r="AU920" s="22" t="str">
        <f t="shared" si="4"/>
        <v>#N/A</v>
      </c>
      <c r="AV920" s="22" t="s">
        <v>106</v>
      </c>
      <c r="AW92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0" s="22" t="str">
        <f t="shared" si="5"/>
        <v>BR_IMC_DSY_LANCH_ND_NC_2020Q3AUG_NVS_Nivus-Launch-Consideracao</v>
      </c>
      <c r="AY920" s="28" t="str">
        <f t="shared" si="6"/>
        <v>#N/A</v>
      </c>
      <c r="AZ920" s="22" t="s">
        <v>107</v>
      </c>
      <c r="BA920" s="22" t="s">
        <v>108</v>
      </c>
      <c r="BB920" s="31" t="s">
        <v>109</v>
      </c>
      <c r="BC920" s="31" t="s">
        <v>109</v>
      </c>
      <c r="BD920" s="32" t="str">
        <f t="shared" si="8"/>
        <v>nvl-nvs-imc-dsy-0820-10914</v>
      </c>
      <c r="BE920" s="33"/>
      <c r="BF920" s="33"/>
      <c r="BG920" s="39" t="str">
        <f>URL&amp;IF(ISNUMBER(FIND("?",URL)),"&amp;","?"&amp;("adlid="&amp;Unique_ID&amp;"&amp;adplt="&amp;Placement))</f>
        <v>#N/A</v>
      </c>
      <c r="BH920" s="1"/>
      <c r="BI920" s="1"/>
      <c r="BJ920" s="35" t="str">
        <f>LOWER("alp"&amp;"_"&amp;"vw"&amp;"_"&amp;Veiculo&amp;"_"&amp;C916&amp;"_"&amp;Objetivo)</f>
        <v>alp_vw___</v>
      </c>
      <c r="BK920" s="35" t="str">
        <f>LOWER(Buying_Metric&amp;"_"&amp;VLOOKUP(Buying_Type,Buy_type,2,FALSE)&amp;"_"&amp;Device&amp;"_"&amp;Size&amp;"_"&amp;Segmentação&amp;"_"&amp;Segmentação_Anúncio)</f>
        <v>#N/A</v>
      </c>
      <c r="BL920" s="35" t="str">
        <f>LOWER(Campanha_ou_InsertionOrder&amp;"_"&amp;LineItem_ou_Grupodeanúncio&amp;"_"&amp;Linha_criativa_2&amp;"_"&amp;Unique_ID)</f>
        <v>#N/A</v>
      </c>
      <c r="BM920" s="27"/>
      <c r="BN920" s="27"/>
    </row>
    <row r="921">
      <c r="A921" s="1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8" t="str">
        <f>LOWER(Campanha_ou_InsertionOrder&amp;"_"&amp;LineItem_ou_Grupodeanúncio&amp;"_"&amp;Linha_Criativa&amp;"_"&amp;Unique_ID)</f>
        <v>#N/A</v>
      </c>
      <c r="AN921" s="28" t="str">
        <f>LOWER(Campanha_ou_InsertionOrder&amp;"_"&amp;LineItem_ou_Grupodeanúncio&amp;"_"&amp;Linha_Criativa&amp;"_"&amp;Unique_ID)</f>
        <v>#N/A</v>
      </c>
      <c r="AO921" s="28" t="str">
        <f>LOWER("VW"&amp;"_"&amp;Model_Variant&amp;"_"&amp;Size&amp;"_"&amp;Linha_Criativa&amp;"_"&amp;IF(Servido_Por="portal",Veiculo,"adserver"))</f>
        <v>vw____adserver</v>
      </c>
      <c r="AP92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1" s="22" t="str">
        <f t="shared" si="1"/>
        <v/>
      </c>
      <c r="AS921" s="22" t="str">
        <f t="shared" si="2"/>
        <v/>
      </c>
      <c r="AT921" s="22" t="str">
        <f t="shared" si="3"/>
        <v>BR_IMC_DSY_LANCH_ND_NC_2020Q3AUG_NVS_Nivus-Launch-Consideracao</v>
      </c>
      <c r="AU921" s="22" t="str">
        <f t="shared" si="4"/>
        <v>#N/A</v>
      </c>
      <c r="AV921" s="22" t="s">
        <v>106</v>
      </c>
      <c r="AW92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1" s="22" t="str">
        <f t="shared" si="5"/>
        <v>BR_IMC_DSY_LANCH_ND_NC_2020Q3AUG_NVS_Nivus-Launch-Consideracao</v>
      </c>
      <c r="AY921" s="28" t="str">
        <f t="shared" si="6"/>
        <v>#N/A</v>
      </c>
      <c r="AZ921" s="22" t="s">
        <v>107</v>
      </c>
      <c r="BA921" s="22" t="s">
        <v>108</v>
      </c>
      <c r="BB921" s="31" t="s">
        <v>109</v>
      </c>
      <c r="BC921" s="31" t="s">
        <v>109</v>
      </c>
      <c r="BD921" s="32" t="str">
        <f t="shared" si="8"/>
        <v>nvl-nvs-imc-dsy-0820-10915</v>
      </c>
      <c r="BE921" s="33"/>
      <c r="BF921" s="33"/>
      <c r="BG921" s="39" t="str">
        <f>URL&amp;IF(ISNUMBER(FIND("?",URL)),"&amp;","?"&amp;("adlid="&amp;Unique_ID&amp;"&amp;adplt="&amp;Placement))</f>
        <v>#N/A</v>
      </c>
      <c r="BH921" s="1"/>
      <c r="BI921" s="1"/>
      <c r="BJ921" s="35" t="str">
        <f>LOWER("alp"&amp;"_"&amp;"vw"&amp;"_"&amp;Veiculo&amp;"_"&amp;C917&amp;"_"&amp;Objetivo)</f>
        <v>alp_vw___</v>
      </c>
      <c r="BK921" s="35" t="str">
        <f>LOWER(Buying_Metric&amp;"_"&amp;VLOOKUP(Buying_Type,Buy_type,2,FALSE)&amp;"_"&amp;Device&amp;"_"&amp;Size&amp;"_"&amp;Segmentação&amp;"_"&amp;Segmentação_Anúncio)</f>
        <v>#N/A</v>
      </c>
      <c r="BL921" s="35" t="str">
        <f>LOWER(Campanha_ou_InsertionOrder&amp;"_"&amp;LineItem_ou_Grupodeanúncio&amp;"_"&amp;Linha_criativa_2&amp;"_"&amp;Unique_ID)</f>
        <v>#N/A</v>
      </c>
      <c r="BM921" s="27"/>
      <c r="BN921" s="27"/>
    </row>
    <row r="922">
      <c r="A922" s="1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8" t="str">
        <f>LOWER(Campanha_ou_InsertionOrder&amp;"_"&amp;LineItem_ou_Grupodeanúncio&amp;"_"&amp;Linha_Criativa&amp;"_"&amp;Unique_ID)</f>
        <v>#N/A</v>
      </c>
      <c r="AN922" s="28" t="str">
        <f>LOWER(Campanha_ou_InsertionOrder&amp;"_"&amp;LineItem_ou_Grupodeanúncio&amp;"_"&amp;Linha_Criativa&amp;"_"&amp;Unique_ID)</f>
        <v>#N/A</v>
      </c>
      <c r="AO922" s="28" t="str">
        <f>LOWER("VW"&amp;"_"&amp;Model_Variant&amp;"_"&amp;Size&amp;"_"&amp;Linha_Criativa&amp;"_"&amp;IF(Servido_Por="portal",Veiculo,"adserver"))</f>
        <v>vw____adserver</v>
      </c>
      <c r="AP92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2" s="22" t="str">
        <f t="shared" si="1"/>
        <v/>
      </c>
      <c r="AS922" s="22" t="str">
        <f t="shared" si="2"/>
        <v/>
      </c>
      <c r="AT922" s="22" t="str">
        <f t="shared" si="3"/>
        <v>BR_IMC_DSY_LANCH_ND_NC_2020Q3AUG_NVS_Nivus-Launch-Consideracao</v>
      </c>
      <c r="AU922" s="22" t="str">
        <f t="shared" si="4"/>
        <v>#N/A</v>
      </c>
      <c r="AV922" s="22" t="s">
        <v>106</v>
      </c>
      <c r="AW92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2" s="22" t="str">
        <f t="shared" si="5"/>
        <v>BR_IMC_DSY_LANCH_ND_NC_2020Q3AUG_NVS_Nivus-Launch-Consideracao</v>
      </c>
      <c r="AY922" s="28" t="str">
        <f t="shared" si="6"/>
        <v>#N/A</v>
      </c>
      <c r="AZ922" s="22" t="s">
        <v>107</v>
      </c>
      <c r="BA922" s="22" t="s">
        <v>108</v>
      </c>
      <c r="BB922" s="31" t="s">
        <v>109</v>
      </c>
      <c r="BC922" s="31" t="s">
        <v>109</v>
      </c>
      <c r="BD922" s="32" t="str">
        <f t="shared" si="8"/>
        <v>nvl-nvs-imc-dsy-0820-10916</v>
      </c>
      <c r="BE922" s="33"/>
      <c r="BF922" s="33"/>
      <c r="BG922" s="39" t="str">
        <f>URL&amp;IF(ISNUMBER(FIND("?",URL)),"&amp;","?"&amp;("adlid="&amp;Unique_ID&amp;"&amp;adplt="&amp;Placement))</f>
        <v>#N/A</v>
      </c>
      <c r="BH922" s="1"/>
      <c r="BI922" s="1"/>
      <c r="BJ922" s="35" t="str">
        <f>LOWER("alp"&amp;"_"&amp;"vw"&amp;"_"&amp;Veiculo&amp;"_"&amp;C918&amp;"_"&amp;Objetivo)</f>
        <v>alp_vw___</v>
      </c>
      <c r="BK922" s="35" t="str">
        <f>LOWER(Buying_Metric&amp;"_"&amp;VLOOKUP(Buying_Type,Buy_type,2,FALSE)&amp;"_"&amp;Device&amp;"_"&amp;Size&amp;"_"&amp;Segmentação&amp;"_"&amp;Segmentação_Anúncio)</f>
        <v>#N/A</v>
      </c>
      <c r="BL922" s="35" t="str">
        <f>LOWER(Campanha_ou_InsertionOrder&amp;"_"&amp;LineItem_ou_Grupodeanúncio&amp;"_"&amp;Linha_criativa_2&amp;"_"&amp;Unique_ID)</f>
        <v>#N/A</v>
      </c>
      <c r="BM922" s="27"/>
      <c r="BN922" s="27"/>
    </row>
    <row r="923">
      <c r="A923" s="1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8" t="str">
        <f>LOWER(Campanha_ou_InsertionOrder&amp;"_"&amp;LineItem_ou_Grupodeanúncio&amp;"_"&amp;Linha_Criativa&amp;"_"&amp;Unique_ID)</f>
        <v>#N/A</v>
      </c>
      <c r="AN923" s="28" t="str">
        <f>LOWER(Campanha_ou_InsertionOrder&amp;"_"&amp;LineItem_ou_Grupodeanúncio&amp;"_"&amp;Linha_Criativa&amp;"_"&amp;Unique_ID)</f>
        <v>#N/A</v>
      </c>
      <c r="AO923" s="28" t="str">
        <f>LOWER("VW"&amp;"_"&amp;Model_Variant&amp;"_"&amp;Size&amp;"_"&amp;Linha_Criativa&amp;"_"&amp;IF(Servido_Por="portal",Veiculo,"adserver"))</f>
        <v>vw____adserver</v>
      </c>
      <c r="AP92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3" s="22" t="str">
        <f t="shared" si="1"/>
        <v/>
      </c>
      <c r="AS923" s="22" t="str">
        <f t="shared" si="2"/>
        <v/>
      </c>
      <c r="AT923" s="22" t="str">
        <f t="shared" si="3"/>
        <v>BR_IMC_DSY_LANCH_ND_NC_2020Q3AUG_NVS_Nivus-Launch-Consideracao</v>
      </c>
      <c r="AU923" s="22" t="str">
        <f t="shared" si="4"/>
        <v>#N/A</v>
      </c>
      <c r="AV923" s="22" t="s">
        <v>106</v>
      </c>
      <c r="AW92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3" s="22" t="str">
        <f t="shared" si="5"/>
        <v>BR_IMC_DSY_LANCH_ND_NC_2020Q3AUG_NVS_Nivus-Launch-Consideracao</v>
      </c>
      <c r="AY923" s="28" t="str">
        <f t="shared" si="6"/>
        <v>#N/A</v>
      </c>
      <c r="AZ923" s="22" t="s">
        <v>107</v>
      </c>
      <c r="BA923" s="22" t="s">
        <v>108</v>
      </c>
      <c r="BB923" s="31" t="s">
        <v>109</v>
      </c>
      <c r="BC923" s="31" t="s">
        <v>109</v>
      </c>
      <c r="BD923" s="32" t="str">
        <f t="shared" si="8"/>
        <v>nvl-nvs-imc-dsy-0820-10917</v>
      </c>
      <c r="BE923" s="33"/>
      <c r="BF923" s="33"/>
      <c r="BG923" s="39" t="str">
        <f>URL&amp;IF(ISNUMBER(FIND("?",URL)),"&amp;","?"&amp;("adlid="&amp;Unique_ID&amp;"&amp;adplt="&amp;Placement))</f>
        <v>#N/A</v>
      </c>
      <c r="BH923" s="1"/>
      <c r="BI923" s="1"/>
      <c r="BJ923" s="35" t="str">
        <f>LOWER("alp"&amp;"_"&amp;"vw"&amp;"_"&amp;Veiculo&amp;"_"&amp;C919&amp;"_"&amp;Objetivo)</f>
        <v>alp_vw___</v>
      </c>
      <c r="BK923" s="35" t="str">
        <f>LOWER(Buying_Metric&amp;"_"&amp;VLOOKUP(Buying_Type,Buy_type,2,FALSE)&amp;"_"&amp;Device&amp;"_"&amp;Size&amp;"_"&amp;Segmentação&amp;"_"&amp;Segmentação_Anúncio)</f>
        <v>#N/A</v>
      </c>
      <c r="BL923" s="35" t="str">
        <f>LOWER(Campanha_ou_InsertionOrder&amp;"_"&amp;LineItem_ou_Grupodeanúncio&amp;"_"&amp;Linha_criativa_2&amp;"_"&amp;Unique_ID)</f>
        <v>#N/A</v>
      </c>
      <c r="BM923" s="27"/>
      <c r="BN923" s="27"/>
    </row>
    <row r="924">
      <c r="A924" s="1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8" t="str">
        <f>LOWER(Campanha_ou_InsertionOrder&amp;"_"&amp;LineItem_ou_Grupodeanúncio&amp;"_"&amp;Linha_Criativa&amp;"_"&amp;Unique_ID)</f>
        <v>#N/A</v>
      </c>
      <c r="AN924" s="28" t="str">
        <f>LOWER(Campanha_ou_InsertionOrder&amp;"_"&amp;LineItem_ou_Grupodeanúncio&amp;"_"&amp;Linha_Criativa&amp;"_"&amp;Unique_ID)</f>
        <v>#N/A</v>
      </c>
      <c r="AO924" s="28" t="str">
        <f>LOWER("VW"&amp;"_"&amp;Model_Variant&amp;"_"&amp;Size&amp;"_"&amp;Linha_Criativa&amp;"_"&amp;IF(Servido_Por="portal",Veiculo,"adserver"))</f>
        <v>vw____adserver</v>
      </c>
      <c r="AP92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4" s="22" t="str">
        <f t="shared" si="1"/>
        <v/>
      </c>
      <c r="AS924" s="22" t="str">
        <f t="shared" si="2"/>
        <v/>
      </c>
      <c r="AT924" s="22" t="str">
        <f t="shared" si="3"/>
        <v>BR_IMC_DSY_LANCH_ND_NC_2020Q3AUG_NVS_Nivus-Launch-Consideracao</v>
      </c>
      <c r="AU924" s="22" t="str">
        <f t="shared" si="4"/>
        <v>#N/A</v>
      </c>
      <c r="AV924" s="22" t="s">
        <v>106</v>
      </c>
      <c r="AW92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4" s="22" t="str">
        <f t="shared" si="5"/>
        <v>BR_IMC_DSY_LANCH_ND_NC_2020Q3AUG_NVS_Nivus-Launch-Consideracao</v>
      </c>
      <c r="AY924" s="28" t="str">
        <f t="shared" si="6"/>
        <v>#N/A</v>
      </c>
      <c r="AZ924" s="22" t="s">
        <v>107</v>
      </c>
      <c r="BA924" s="22" t="s">
        <v>108</v>
      </c>
      <c r="BB924" s="31" t="s">
        <v>109</v>
      </c>
      <c r="BC924" s="31" t="s">
        <v>109</v>
      </c>
      <c r="BD924" s="32" t="str">
        <f t="shared" si="8"/>
        <v>nvl-nvs-imc-dsy-0820-10918</v>
      </c>
      <c r="BE924" s="33"/>
      <c r="BF924" s="33"/>
      <c r="BG924" s="39" t="str">
        <f>URL&amp;IF(ISNUMBER(FIND("?",URL)),"&amp;","?"&amp;("adlid="&amp;Unique_ID&amp;"&amp;adplt="&amp;Placement))</f>
        <v>#N/A</v>
      </c>
      <c r="BH924" s="1"/>
      <c r="BI924" s="1"/>
      <c r="BJ924" s="35" t="str">
        <f>LOWER("alp"&amp;"_"&amp;"vw"&amp;"_"&amp;Veiculo&amp;"_"&amp;C920&amp;"_"&amp;Objetivo)</f>
        <v>alp_vw___</v>
      </c>
      <c r="BK924" s="35" t="str">
        <f>LOWER(Buying_Metric&amp;"_"&amp;VLOOKUP(Buying_Type,Buy_type,2,FALSE)&amp;"_"&amp;Device&amp;"_"&amp;Size&amp;"_"&amp;Segmentação&amp;"_"&amp;Segmentação_Anúncio)</f>
        <v>#N/A</v>
      </c>
      <c r="BL924" s="35" t="str">
        <f>LOWER(Campanha_ou_InsertionOrder&amp;"_"&amp;LineItem_ou_Grupodeanúncio&amp;"_"&amp;Linha_criativa_2&amp;"_"&amp;Unique_ID)</f>
        <v>#N/A</v>
      </c>
      <c r="BM924" s="27"/>
      <c r="BN924" s="27"/>
    </row>
    <row r="925">
      <c r="A925" s="1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8" t="str">
        <f>LOWER(Campanha_ou_InsertionOrder&amp;"_"&amp;LineItem_ou_Grupodeanúncio&amp;"_"&amp;Linha_Criativa&amp;"_"&amp;Unique_ID)</f>
        <v>#N/A</v>
      </c>
      <c r="AN925" s="28" t="str">
        <f>LOWER(Campanha_ou_InsertionOrder&amp;"_"&amp;LineItem_ou_Grupodeanúncio&amp;"_"&amp;Linha_Criativa&amp;"_"&amp;Unique_ID)</f>
        <v>#N/A</v>
      </c>
      <c r="AO925" s="28" t="str">
        <f>LOWER("VW"&amp;"_"&amp;Model_Variant&amp;"_"&amp;Size&amp;"_"&amp;Linha_Criativa&amp;"_"&amp;IF(Servido_Por="portal",Veiculo,"adserver"))</f>
        <v>vw____adserver</v>
      </c>
      <c r="AP92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5" s="22" t="str">
        <f t="shared" si="1"/>
        <v/>
      </c>
      <c r="AS925" s="22" t="str">
        <f t="shared" si="2"/>
        <v/>
      </c>
      <c r="AT925" s="22" t="str">
        <f t="shared" si="3"/>
        <v>BR_IMC_DSY_LANCH_ND_NC_2020Q3AUG_NVS_Nivus-Launch-Consideracao</v>
      </c>
      <c r="AU925" s="22" t="str">
        <f t="shared" si="4"/>
        <v>#N/A</v>
      </c>
      <c r="AV925" s="22" t="s">
        <v>106</v>
      </c>
      <c r="AW92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5" s="22" t="str">
        <f t="shared" si="5"/>
        <v>BR_IMC_DSY_LANCH_ND_NC_2020Q3AUG_NVS_Nivus-Launch-Consideracao</v>
      </c>
      <c r="AY925" s="28" t="str">
        <f t="shared" si="6"/>
        <v>#N/A</v>
      </c>
      <c r="AZ925" s="22" t="s">
        <v>107</v>
      </c>
      <c r="BA925" s="22" t="s">
        <v>108</v>
      </c>
      <c r="BB925" s="31" t="s">
        <v>109</v>
      </c>
      <c r="BC925" s="31" t="s">
        <v>109</v>
      </c>
      <c r="BD925" s="32" t="str">
        <f t="shared" si="8"/>
        <v>nvl-nvs-imc-dsy-0820-10919</v>
      </c>
      <c r="BE925" s="33"/>
      <c r="BF925" s="33"/>
      <c r="BG925" s="39" t="str">
        <f>URL&amp;IF(ISNUMBER(FIND("?",URL)),"&amp;","?"&amp;("adlid="&amp;Unique_ID&amp;"&amp;adplt="&amp;Placement))</f>
        <v>#N/A</v>
      </c>
      <c r="BH925" s="1"/>
      <c r="BI925" s="1"/>
      <c r="BJ925" s="35" t="str">
        <f>LOWER("alp"&amp;"_"&amp;"vw"&amp;"_"&amp;Veiculo&amp;"_"&amp;C921&amp;"_"&amp;Objetivo)</f>
        <v>alp_vw___</v>
      </c>
      <c r="BK925" s="35" t="str">
        <f>LOWER(Buying_Metric&amp;"_"&amp;VLOOKUP(Buying_Type,Buy_type,2,FALSE)&amp;"_"&amp;Device&amp;"_"&amp;Size&amp;"_"&amp;Segmentação&amp;"_"&amp;Segmentação_Anúncio)</f>
        <v>#N/A</v>
      </c>
      <c r="BL925" s="35" t="str">
        <f>LOWER(Campanha_ou_InsertionOrder&amp;"_"&amp;LineItem_ou_Grupodeanúncio&amp;"_"&amp;Linha_criativa_2&amp;"_"&amp;Unique_ID)</f>
        <v>#N/A</v>
      </c>
      <c r="BM925" s="27"/>
      <c r="BN925" s="27"/>
    </row>
    <row r="926">
      <c r="A926" s="1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8" t="str">
        <f>LOWER(Campanha_ou_InsertionOrder&amp;"_"&amp;LineItem_ou_Grupodeanúncio&amp;"_"&amp;Linha_Criativa&amp;"_"&amp;Unique_ID)</f>
        <v>#N/A</v>
      </c>
      <c r="AN926" s="28" t="str">
        <f>LOWER(Campanha_ou_InsertionOrder&amp;"_"&amp;LineItem_ou_Grupodeanúncio&amp;"_"&amp;Linha_Criativa&amp;"_"&amp;Unique_ID)</f>
        <v>#N/A</v>
      </c>
      <c r="AO926" s="28" t="str">
        <f>LOWER("VW"&amp;"_"&amp;Model_Variant&amp;"_"&amp;Size&amp;"_"&amp;Linha_Criativa&amp;"_"&amp;IF(Servido_Por="portal",Veiculo,"adserver"))</f>
        <v>vw____adserver</v>
      </c>
      <c r="AP92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6" s="22" t="str">
        <f t="shared" si="1"/>
        <v/>
      </c>
      <c r="AS926" s="22" t="str">
        <f t="shared" si="2"/>
        <v/>
      </c>
      <c r="AT926" s="22" t="str">
        <f t="shared" si="3"/>
        <v>BR_IMC_DSY_LANCH_ND_NC_2020Q3AUG_NVS_Nivus-Launch-Consideracao</v>
      </c>
      <c r="AU926" s="22" t="str">
        <f t="shared" si="4"/>
        <v>#N/A</v>
      </c>
      <c r="AV926" s="22" t="s">
        <v>106</v>
      </c>
      <c r="AW92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6" s="22" t="str">
        <f t="shared" si="5"/>
        <v>BR_IMC_DSY_LANCH_ND_NC_2020Q3AUG_NVS_Nivus-Launch-Consideracao</v>
      </c>
      <c r="AY926" s="28" t="str">
        <f t="shared" si="6"/>
        <v>#N/A</v>
      </c>
      <c r="AZ926" s="22" t="s">
        <v>107</v>
      </c>
      <c r="BA926" s="22" t="s">
        <v>108</v>
      </c>
      <c r="BB926" s="31" t="s">
        <v>109</v>
      </c>
      <c r="BC926" s="31" t="s">
        <v>109</v>
      </c>
      <c r="BD926" s="32" t="str">
        <f t="shared" si="8"/>
        <v>nvl-nvs-imc-dsy-0820-10920</v>
      </c>
      <c r="BE926" s="33"/>
      <c r="BF926" s="33"/>
      <c r="BG926" s="39" t="str">
        <f>URL&amp;IF(ISNUMBER(FIND("?",URL)),"&amp;","?"&amp;("adlid="&amp;Unique_ID&amp;"&amp;adplt="&amp;Placement))</f>
        <v>#N/A</v>
      </c>
      <c r="BH926" s="1"/>
      <c r="BI926" s="1"/>
      <c r="BJ926" s="35" t="str">
        <f>LOWER("alp"&amp;"_"&amp;"vw"&amp;"_"&amp;Veiculo&amp;"_"&amp;C922&amp;"_"&amp;Objetivo)</f>
        <v>alp_vw___</v>
      </c>
      <c r="BK926" s="35" t="str">
        <f>LOWER(Buying_Metric&amp;"_"&amp;VLOOKUP(Buying_Type,Buy_type,2,FALSE)&amp;"_"&amp;Device&amp;"_"&amp;Size&amp;"_"&amp;Segmentação&amp;"_"&amp;Segmentação_Anúncio)</f>
        <v>#N/A</v>
      </c>
      <c r="BL926" s="35" t="str">
        <f>LOWER(Campanha_ou_InsertionOrder&amp;"_"&amp;LineItem_ou_Grupodeanúncio&amp;"_"&amp;Linha_criativa_2&amp;"_"&amp;Unique_ID)</f>
        <v>#N/A</v>
      </c>
      <c r="BM926" s="27"/>
      <c r="BN926" s="27"/>
    </row>
    <row r="927">
      <c r="A927" s="1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8" t="str">
        <f>LOWER(Campanha_ou_InsertionOrder&amp;"_"&amp;LineItem_ou_Grupodeanúncio&amp;"_"&amp;Linha_Criativa&amp;"_"&amp;Unique_ID)</f>
        <v>#N/A</v>
      </c>
      <c r="AN927" s="28" t="str">
        <f>LOWER(Campanha_ou_InsertionOrder&amp;"_"&amp;LineItem_ou_Grupodeanúncio&amp;"_"&amp;Linha_Criativa&amp;"_"&amp;Unique_ID)</f>
        <v>#N/A</v>
      </c>
      <c r="AO927" s="28" t="str">
        <f>LOWER("VW"&amp;"_"&amp;Model_Variant&amp;"_"&amp;Size&amp;"_"&amp;Linha_Criativa&amp;"_"&amp;IF(Servido_Por="portal",Veiculo,"adserver"))</f>
        <v>vw____adserver</v>
      </c>
      <c r="AP92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7" s="22" t="str">
        <f t="shared" si="1"/>
        <v/>
      </c>
      <c r="AS927" s="22" t="str">
        <f t="shared" si="2"/>
        <v/>
      </c>
      <c r="AT927" s="22" t="str">
        <f t="shared" si="3"/>
        <v>BR_IMC_DSY_LANCH_ND_NC_2020Q3AUG_NVS_Nivus-Launch-Consideracao</v>
      </c>
      <c r="AU927" s="22" t="str">
        <f t="shared" si="4"/>
        <v>#N/A</v>
      </c>
      <c r="AV927" s="22" t="s">
        <v>106</v>
      </c>
      <c r="AW92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7" s="22" t="str">
        <f t="shared" si="5"/>
        <v>BR_IMC_DSY_LANCH_ND_NC_2020Q3AUG_NVS_Nivus-Launch-Consideracao</v>
      </c>
      <c r="AY927" s="28" t="str">
        <f t="shared" si="6"/>
        <v>#N/A</v>
      </c>
      <c r="AZ927" s="22" t="s">
        <v>107</v>
      </c>
      <c r="BA927" s="22" t="s">
        <v>108</v>
      </c>
      <c r="BB927" s="31" t="s">
        <v>109</v>
      </c>
      <c r="BC927" s="31" t="s">
        <v>109</v>
      </c>
      <c r="BD927" s="32" t="str">
        <f t="shared" si="8"/>
        <v>nvl-nvs-imc-dsy-0820-10921</v>
      </c>
      <c r="BE927" s="33"/>
      <c r="BF927" s="33"/>
      <c r="BG927" s="39" t="str">
        <f>URL&amp;IF(ISNUMBER(FIND("?",URL)),"&amp;","?"&amp;("adlid="&amp;Unique_ID&amp;"&amp;adplt="&amp;Placement))</f>
        <v>#N/A</v>
      </c>
      <c r="BH927" s="1"/>
      <c r="BI927" s="1"/>
      <c r="BJ927" s="35" t="str">
        <f>LOWER("alp"&amp;"_"&amp;"vw"&amp;"_"&amp;Veiculo&amp;"_"&amp;C923&amp;"_"&amp;Objetivo)</f>
        <v>alp_vw___</v>
      </c>
      <c r="BK927" s="35" t="str">
        <f>LOWER(Buying_Metric&amp;"_"&amp;VLOOKUP(Buying_Type,Buy_type,2,FALSE)&amp;"_"&amp;Device&amp;"_"&amp;Size&amp;"_"&amp;Segmentação&amp;"_"&amp;Segmentação_Anúncio)</f>
        <v>#N/A</v>
      </c>
      <c r="BL927" s="35" t="str">
        <f>LOWER(Campanha_ou_InsertionOrder&amp;"_"&amp;LineItem_ou_Grupodeanúncio&amp;"_"&amp;Linha_criativa_2&amp;"_"&amp;Unique_ID)</f>
        <v>#N/A</v>
      </c>
      <c r="BM927" s="27"/>
      <c r="BN927" s="27"/>
    </row>
    <row r="928">
      <c r="A928" s="1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8" t="str">
        <f>LOWER(Campanha_ou_InsertionOrder&amp;"_"&amp;LineItem_ou_Grupodeanúncio&amp;"_"&amp;Linha_Criativa&amp;"_"&amp;Unique_ID)</f>
        <v>#N/A</v>
      </c>
      <c r="AN928" s="28" t="str">
        <f>LOWER(Campanha_ou_InsertionOrder&amp;"_"&amp;LineItem_ou_Grupodeanúncio&amp;"_"&amp;Linha_Criativa&amp;"_"&amp;Unique_ID)</f>
        <v>#N/A</v>
      </c>
      <c r="AO928" s="28" t="str">
        <f>LOWER("VW"&amp;"_"&amp;Model_Variant&amp;"_"&amp;Size&amp;"_"&amp;Linha_Criativa&amp;"_"&amp;IF(Servido_Por="portal",Veiculo,"adserver"))</f>
        <v>vw____adserver</v>
      </c>
      <c r="AP92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8" s="22" t="str">
        <f t="shared" si="1"/>
        <v/>
      </c>
      <c r="AS928" s="22" t="str">
        <f t="shared" si="2"/>
        <v/>
      </c>
      <c r="AT928" s="22" t="str">
        <f t="shared" si="3"/>
        <v>BR_IMC_DSY_LANCH_ND_NC_2020Q3AUG_NVS_Nivus-Launch-Consideracao</v>
      </c>
      <c r="AU928" s="22" t="str">
        <f t="shared" si="4"/>
        <v>#N/A</v>
      </c>
      <c r="AV928" s="22" t="s">
        <v>106</v>
      </c>
      <c r="AW92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8" s="22" t="str">
        <f t="shared" si="5"/>
        <v>BR_IMC_DSY_LANCH_ND_NC_2020Q3AUG_NVS_Nivus-Launch-Consideracao</v>
      </c>
      <c r="AY928" s="28" t="str">
        <f t="shared" si="6"/>
        <v>#N/A</v>
      </c>
      <c r="AZ928" s="22" t="s">
        <v>107</v>
      </c>
      <c r="BA928" s="22" t="s">
        <v>108</v>
      </c>
      <c r="BB928" s="31" t="s">
        <v>109</v>
      </c>
      <c r="BC928" s="31" t="s">
        <v>109</v>
      </c>
      <c r="BD928" s="32" t="str">
        <f t="shared" si="8"/>
        <v>nvl-nvs-imc-dsy-0820-10922</v>
      </c>
      <c r="BE928" s="33"/>
      <c r="BF928" s="33"/>
      <c r="BG928" s="39" t="str">
        <f>URL&amp;IF(ISNUMBER(FIND("?",URL)),"&amp;","?"&amp;("adlid="&amp;Unique_ID&amp;"&amp;adplt="&amp;Placement))</f>
        <v>#N/A</v>
      </c>
      <c r="BH928" s="1"/>
      <c r="BI928" s="1"/>
      <c r="BJ928" s="35" t="str">
        <f>LOWER("alp"&amp;"_"&amp;"vw"&amp;"_"&amp;Veiculo&amp;"_"&amp;C924&amp;"_"&amp;Objetivo)</f>
        <v>alp_vw___</v>
      </c>
      <c r="BK928" s="35" t="str">
        <f>LOWER(Buying_Metric&amp;"_"&amp;VLOOKUP(Buying_Type,Buy_type,2,FALSE)&amp;"_"&amp;Device&amp;"_"&amp;Size&amp;"_"&amp;Segmentação&amp;"_"&amp;Segmentação_Anúncio)</f>
        <v>#N/A</v>
      </c>
      <c r="BL928" s="35" t="str">
        <f>LOWER(Campanha_ou_InsertionOrder&amp;"_"&amp;LineItem_ou_Grupodeanúncio&amp;"_"&amp;Linha_criativa_2&amp;"_"&amp;Unique_ID)</f>
        <v>#N/A</v>
      </c>
      <c r="BM928" s="27"/>
      <c r="BN928" s="27"/>
    </row>
    <row r="929">
      <c r="A929" s="1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8" t="str">
        <f>LOWER(Campanha_ou_InsertionOrder&amp;"_"&amp;LineItem_ou_Grupodeanúncio&amp;"_"&amp;Linha_Criativa&amp;"_"&amp;Unique_ID)</f>
        <v>#N/A</v>
      </c>
      <c r="AN929" s="28" t="str">
        <f>LOWER(Campanha_ou_InsertionOrder&amp;"_"&amp;LineItem_ou_Grupodeanúncio&amp;"_"&amp;Linha_Criativa&amp;"_"&amp;Unique_ID)</f>
        <v>#N/A</v>
      </c>
      <c r="AO929" s="28" t="str">
        <f>LOWER("VW"&amp;"_"&amp;Model_Variant&amp;"_"&amp;Size&amp;"_"&amp;Linha_Criativa&amp;"_"&amp;IF(Servido_Por="portal",Veiculo,"adserver"))</f>
        <v>vw____adserver</v>
      </c>
      <c r="AP92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2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29" s="22" t="str">
        <f t="shared" si="1"/>
        <v/>
      </c>
      <c r="AS929" s="22" t="str">
        <f t="shared" si="2"/>
        <v/>
      </c>
      <c r="AT929" s="22" t="str">
        <f t="shared" si="3"/>
        <v>BR_IMC_DSY_LANCH_ND_NC_2020Q3AUG_NVS_Nivus-Launch-Consideracao</v>
      </c>
      <c r="AU929" s="22" t="str">
        <f t="shared" si="4"/>
        <v>#N/A</v>
      </c>
      <c r="AV929" s="22" t="s">
        <v>106</v>
      </c>
      <c r="AW92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29" s="22" t="str">
        <f t="shared" si="5"/>
        <v>BR_IMC_DSY_LANCH_ND_NC_2020Q3AUG_NVS_Nivus-Launch-Consideracao</v>
      </c>
      <c r="AY929" s="28" t="str">
        <f t="shared" si="6"/>
        <v>#N/A</v>
      </c>
      <c r="AZ929" s="22" t="s">
        <v>107</v>
      </c>
      <c r="BA929" s="22" t="s">
        <v>108</v>
      </c>
      <c r="BB929" s="31" t="s">
        <v>109</v>
      </c>
      <c r="BC929" s="31" t="s">
        <v>109</v>
      </c>
      <c r="BD929" s="32" t="str">
        <f t="shared" si="8"/>
        <v>nvl-nvs-imc-dsy-0820-10923</v>
      </c>
      <c r="BE929" s="33"/>
      <c r="BF929" s="33"/>
      <c r="BG929" s="39" t="str">
        <f>URL&amp;IF(ISNUMBER(FIND("?",URL)),"&amp;","?"&amp;("adlid="&amp;Unique_ID&amp;"&amp;adplt="&amp;Placement))</f>
        <v>#N/A</v>
      </c>
      <c r="BH929" s="1"/>
      <c r="BI929" s="1"/>
      <c r="BJ929" s="35" t="str">
        <f>LOWER("alp"&amp;"_"&amp;"vw"&amp;"_"&amp;Veiculo&amp;"_"&amp;C925&amp;"_"&amp;Objetivo)</f>
        <v>alp_vw___</v>
      </c>
      <c r="BK929" s="35" t="str">
        <f>LOWER(Buying_Metric&amp;"_"&amp;VLOOKUP(Buying_Type,Buy_type,2,FALSE)&amp;"_"&amp;Device&amp;"_"&amp;Size&amp;"_"&amp;Segmentação&amp;"_"&amp;Segmentação_Anúncio)</f>
        <v>#N/A</v>
      </c>
      <c r="BL929" s="35" t="str">
        <f>LOWER(Campanha_ou_InsertionOrder&amp;"_"&amp;LineItem_ou_Grupodeanúncio&amp;"_"&amp;Linha_criativa_2&amp;"_"&amp;Unique_ID)</f>
        <v>#N/A</v>
      </c>
      <c r="BM929" s="27"/>
      <c r="BN929" s="27"/>
    </row>
    <row r="930">
      <c r="A930" s="1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8" t="str">
        <f>LOWER(Campanha_ou_InsertionOrder&amp;"_"&amp;LineItem_ou_Grupodeanúncio&amp;"_"&amp;Linha_Criativa&amp;"_"&amp;Unique_ID)</f>
        <v>#N/A</v>
      </c>
      <c r="AN930" s="28" t="str">
        <f>LOWER(Campanha_ou_InsertionOrder&amp;"_"&amp;LineItem_ou_Grupodeanúncio&amp;"_"&amp;Linha_Criativa&amp;"_"&amp;Unique_ID)</f>
        <v>#N/A</v>
      </c>
      <c r="AO930" s="28" t="str">
        <f>LOWER("VW"&amp;"_"&amp;Model_Variant&amp;"_"&amp;Size&amp;"_"&amp;Linha_Criativa&amp;"_"&amp;IF(Servido_Por="portal",Veiculo,"adserver"))</f>
        <v>vw____adserver</v>
      </c>
      <c r="AP93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0" s="22" t="str">
        <f t="shared" si="1"/>
        <v/>
      </c>
      <c r="AS930" s="22" t="str">
        <f t="shared" si="2"/>
        <v/>
      </c>
      <c r="AT930" s="22" t="str">
        <f t="shared" si="3"/>
        <v>BR_IMC_DSY_LANCH_ND_NC_2020Q3AUG_NVS_Nivus-Launch-Consideracao</v>
      </c>
      <c r="AU930" s="22" t="str">
        <f t="shared" si="4"/>
        <v>#N/A</v>
      </c>
      <c r="AV930" s="22" t="s">
        <v>106</v>
      </c>
      <c r="AW93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0" s="22" t="str">
        <f t="shared" si="5"/>
        <v>BR_IMC_DSY_LANCH_ND_NC_2020Q3AUG_NVS_Nivus-Launch-Consideracao</v>
      </c>
      <c r="AY930" s="28" t="str">
        <f t="shared" si="6"/>
        <v>#N/A</v>
      </c>
      <c r="AZ930" s="22" t="s">
        <v>107</v>
      </c>
      <c r="BA930" s="22" t="s">
        <v>108</v>
      </c>
      <c r="BB930" s="31" t="s">
        <v>109</v>
      </c>
      <c r="BC930" s="31" t="s">
        <v>109</v>
      </c>
      <c r="BD930" s="32" t="str">
        <f t="shared" si="8"/>
        <v>nvl-nvs-imc-dsy-0820-10924</v>
      </c>
      <c r="BE930" s="33"/>
      <c r="BF930" s="33"/>
      <c r="BG930" s="39" t="str">
        <f>URL&amp;IF(ISNUMBER(FIND("?",URL)),"&amp;","?"&amp;("adlid="&amp;Unique_ID&amp;"&amp;adplt="&amp;Placement))</f>
        <v>#N/A</v>
      </c>
      <c r="BH930" s="1"/>
      <c r="BI930" s="1"/>
      <c r="BJ930" s="35" t="str">
        <f>LOWER("alp"&amp;"_"&amp;"vw"&amp;"_"&amp;Veiculo&amp;"_"&amp;C926&amp;"_"&amp;Objetivo)</f>
        <v>alp_vw___</v>
      </c>
      <c r="BK930" s="35" t="str">
        <f>LOWER(Buying_Metric&amp;"_"&amp;VLOOKUP(Buying_Type,Buy_type,2,FALSE)&amp;"_"&amp;Device&amp;"_"&amp;Size&amp;"_"&amp;Segmentação&amp;"_"&amp;Segmentação_Anúncio)</f>
        <v>#N/A</v>
      </c>
      <c r="BL930" s="35" t="str">
        <f>LOWER(Campanha_ou_InsertionOrder&amp;"_"&amp;LineItem_ou_Grupodeanúncio&amp;"_"&amp;Linha_criativa_2&amp;"_"&amp;Unique_ID)</f>
        <v>#N/A</v>
      </c>
      <c r="BM930" s="27"/>
      <c r="BN930" s="27"/>
    </row>
    <row r="931">
      <c r="A931" s="1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8" t="str">
        <f>LOWER(Campanha_ou_InsertionOrder&amp;"_"&amp;LineItem_ou_Grupodeanúncio&amp;"_"&amp;Linha_Criativa&amp;"_"&amp;Unique_ID)</f>
        <v>#N/A</v>
      </c>
      <c r="AN931" s="28" t="str">
        <f>LOWER(Campanha_ou_InsertionOrder&amp;"_"&amp;LineItem_ou_Grupodeanúncio&amp;"_"&amp;Linha_Criativa&amp;"_"&amp;Unique_ID)</f>
        <v>#N/A</v>
      </c>
      <c r="AO931" s="28" t="str">
        <f>LOWER("VW"&amp;"_"&amp;Model_Variant&amp;"_"&amp;Size&amp;"_"&amp;Linha_Criativa&amp;"_"&amp;IF(Servido_Por="portal",Veiculo,"adserver"))</f>
        <v>vw____adserver</v>
      </c>
      <c r="AP93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1" s="22" t="str">
        <f t="shared" si="1"/>
        <v/>
      </c>
      <c r="AS931" s="22" t="str">
        <f t="shared" si="2"/>
        <v/>
      </c>
      <c r="AT931" s="22" t="str">
        <f t="shared" si="3"/>
        <v>BR_IMC_DSY_LANCH_ND_NC_2020Q3AUG_NVS_Nivus-Launch-Consideracao</v>
      </c>
      <c r="AU931" s="22" t="str">
        <f t="shared" si="4"/>
        <v>#N/A</v>
      </c>
      <c r="AV931" s="22" t="s">
        <v>106</v>
      </c>
      <c r="AW93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1" s="22" t="str">
        <f t="shared" si="5"/>
        <v>BR_IMC_DSY_LANCH_ND_NC_2020Q3AUG_NVS_Nivus-Launch-Consideracao</v>
      </c>
      <c r="AY931" s="28" t="str">
        <f t="shared" si="6"/>
        <v>#N/A</v>
      </c>
      <c r="AZ931" s="22" t="s">
        <v>107</v>
      </c>
      <c r="BA931" s="22" t="s">
        <v>108</v>
      </c>
      <c r="BB931" s="31" t="s">
        <v>109</v>
      </c>
      <c r="BC931" s="31" t="s">
        <v>109</v>
      </c>
      <c r="BD931" s="32" t="str">
        <f t="shared" si="8"/>
        <v>nvl-nvs-imc-dsy-0820-10925</v>
      </c>
      <c r="BE931" s="33"/>
      <c r="BF931" s="33"/>
      <c r="BG931" s="39" t="str">
        <f>URL&amp;IF(ISNUMBER(FIND("?",URL)),"&amp;","?"&amp;("adlid="&amp;Unique_ID&amp;"&amp;adplt="&amp;Placement))</f>
        <v>#N/A</v>
      </c>
      <c r="BH931" s="1"/>
      <c r="BI931" s="1"/>
      <c r="BJ931" s="35" t="str">
        <f>LOWER("alp"&amp;"_"&amp;"vw"&amp;"_"&amp;Veiculo&amp;"_"&amp;C927&amp;"_"&amp;Objetivo)</f>
        <v>alp_vw___</v>
      </c>
      <c r="BK931" s="35" t="str">
        <f>LOWER(Buying_Metric&amp;"_"&amp;VLOOKUP(Buying_Type,Buy_type,2,FALSE)&amp;"_"&amp;Device&amp;"_"&amp;Size&amp;"_"&amp;Segmentação&amp;"_"&amp;Segmentação_Anúncio)</f>
        <v>#N/A</v>
      </c>
      <c r="BL931" s="35" t="str">
        <f>LOWER(Campanha_ou_InsertionOrder&amp;"_"&amp;LineItem_ou_Grupodeanúncio&amp;"_"&amp;Linha_criativa_2&amp;"_"&amp;Unique_ID)</f>
        <v>#N/A</v>
      </c>
      <c r="BM931" s="27"/>
      <c r="BN931" s="27"/>
    </row>
    <row r="932">
      <c r="A932" s="1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8" t="str">
        <f>LOWER(Campanha_ou_InsertionOrder&amp;"_"&amp;LineItem_ou_Grupodeanúncio&amp;"_"&amp;Linha_Criativa&amp;"_"&amp;Unique_ID)</f>
        <v>#N/A</v>
      </c>
      <c r="AN932" s="28" t="str">
        <f>LOWER(Campanha_ou_InsertionOrder&amp;"_"&amp;LineItem_ou_Grupodeanúncio&amp;"_"&amp;Linha_Criativa&amp;"_"&amp;Unique_ID)</f>
        <v>#N/A</v>
      </c>
      <c r="AO932" s="28" t="str">
        <f>LOWER("VW"&amp;"_"&amp;Model_Variant&amp;"_"&amp;Size&amp;"_"&amp;Linha_Criativa&amp;"_"&amp;IF(Servido_Por="portal",Veiculo,"adserver"))</f>
        <v>vw____adserver</v>
      </c>
      <c r="AP93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2" s="22" t="str">
        <f t="shared" si="1"/>
        <v/>
      </c>
      <c r="AS932" s="22" t="str">
        <f t="shared" si="2"/>
        <v/>
      </c>
      <c r="AT932" s="22" t="str">
        <f t="shared" si="3"/>
        <v>BR_IMC_DSY_LANCH_ND_NC_2020Q3AUG_NVS_Nivus-Launch-Consideracao</v>
      </c>
      <c r="AU932" s="22" t="str">
        <f t="shared" si="4"/>
        <v>#N/A</v>
      </c>
      <c r="AV932" s="22" t="s">
        <v>106</v>
      </c>
      <c r="AW93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2" s="22" t="str">
        <f t="shared" si="5"/>
        <v>BR_IMC_DSY_LANCH_ND_NC_2020Q3AUG_NVS_Nivus-Launch-Consideracao</v>
      </c>
      <c r="AY932" s="28" t="str">
        <f t="shared" si="6"/>
        <v>#N/A</v>
      </c>
      <c r="AZ932" s="22" t="s">
        <v>107</v>
      </c>
      <c r="BA932" s="22" t="s">
        <v>108</v>
      </c>
      <c r="BB932" s="31" t="s">
        <v>109</v>
      </c>
      <c r="BC932" s="31" t="s">
        <v>109</v>
      </c>
      <c r="BD932" s="32" t="str">
        <f t="shared" si="8"/>
        <v>nvl-nvs-imc-dsy-0820-10926</v>
      </c>
      <c r="BE932" s="33"/>
      <c r="BF932" s="33"/>
      <c r="BG932" s="39" t="str">
        <f>URL&amp;IF(ISNUMBER(FIND("?",URL)),"&amp;","?"&amp;("adlid="&amp;Unique_ID&amp;"&amp;adplt="&amp;Placement))</f>
        <v>#N/A</v>
      </c>
      <c r="BH932" s="1"/>
      <c r="BI932" s="1"/>
      <c r="BJ932" s="35" t="str">
        <f>LOWER("alp"&amp;"_"&amp;"vw"&amp;"_"&amp;Veiculo&amp;"_"&amp;C928&amp;"_"&amp;Objetivo)</f>
        <v>alp_vw___</v>
      </c>
      <c r="BK932" s="35" t="str">
        <f>LOWER(Buying_Metric&amp;"_"&amp;VLOOKUP(Buying_Type,Buy_type,2,FALSE)&amp;"_"&amp;Device&amp;"_"&amp;Size&amp;"_"&amp;Segmentação&amp;"_"&amp;Segmentação_Anúncio)</f>
        <v>#N/A</v>
      </c>
      <c r="BL932" s="35" t="str">
        <f>LOWER(Campanha_ou_InsertionOrder&amp;"_"&amp;LineItem_ou_Grupodeanúncio&amp;"_"&amp;Linha_criativa_2&amp;"_"&amp;Unique_ID)</f>
        <v>#N/A</v>
      </c>
      <c r="BM932" s="27"/>
      <c r="BN932" s="27"/>
    </row>
    <row r="933">
      <c r="A933" s="1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8" t="str">
        <f>LOWER(Campanha_ou_InsertionOrder&amp;"_"&amp;LineItem_ou_Grupodeanúncio&amp;"_"&amp;Linha_Criativa&amp;"_"&amp;Unique_ID)</f>
        <v>#N/A</v>
      </c>
      <c r="AN933" s="28" t="str">
        <f>LOWER(Campanha_ou_InsertionOrder&amp;"_"&amp;LineItem_ou_Grupodeanúncio&amp;"_"&amp;Linha_Criativa&amp;"_"&amp;Unique_ID)</f>
        <v>#N/A</v>
      </c>
      <c r="AO933" s="28" t="str">
        <f>LOWER("VW"&amp;"_"&amp;Model_Variant&amp;"_"&amp;Size&amp;"_"&amp;Linha_Criativa&amp;"_"&amp;IF(Servido_Por="portal",Veiculo,"adserver"))</f>
        <v>vw____adserver</v>
      </c>
      <c r="AP93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3" s="22" t="str">
        <f t="shared" si="1"/>
        <v/>
      </c>
      <c r="AS933" s="22" t="str">
        <f t="shared" si="2"/>
        <v/>
      </c>
      <c r="AT933" s="22" t="str">
        <f t="shared" si="3"/>
        <v>BR_IMC_DSY_LANCH_ND_NC_2020Q3AUG_NVS_Nivus-Launch-Consideracao</v>
      </c>
      <c r="AU933" s="22" t="str">
        <f t="shared" si="4"/>
        <v>#N/A</v>
      </c>
      <c r="AV933" s="22" t="s">
        <v>106</v>
      </c>
      <c r="AW93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3" s="22" t="str">
        <f t="shared" si="5"/>
        <v>BR_IMC_DSY_LANCH_ND_NC_2020Q3AUG_NVS_Nivus-Launch-Consideracao</v>
      </c>
      <c r="AY933" s="28" t="str">
        <f t="shared" si="6"/>
        <v>#N/A</v>
      </c>
      <c r="AZ933" s="22" t="s">
        <v>107</v>
      </c>
      <c r="BA933" s="22" t="s">
        <v>108</v>
      </c>
      <c r="BB933" s="31" t="s">
        <v>109</v>
      </c>
      <c r="BC933" s="31" t="s">
        <v>109</v>
      </c>
      <c r="BD933" s="32" t="str">
        <f t="shared" si="8"/>
        <v>nvl-nvs-imc-dsy-0820-10927</v>
      </c>
      <c r="BE933" s="33"/>
      <c r="BF933" s="33"/>
      <c r="BG933" s="39" t="str">
        <f>URL&amp;IF(ISNUMBER(FIND("?",URL)),"&amp;","?"&amp;("adlid="&amp;Unique_ID&amp;"&amp;adplt="&amp;Placement))</f>
        <v>#N/A</v>
      </c>
      <c r="BH933" s="1"/>
      <c r="BI933" s="1"/>
      <c r="BJ933" s="35" t="str">
        <f>LOWER("alp"&amp;"_"&amp;"vw"&amp;"_"&amp;Veiculo&amp;"_"&amp;C929&amp;"_"&amp;Objetivo)</f>
        <v>alp_vw___</v>
      </c>
      <c r="BK933" s="35" t="str">
        <f>LOWER(Buying_Metric&amp;"_"&amp;VLOOKUP(Buying_Type,Buy_type,2,FALSE)&amp;"_"&amp;Device&amp;"_"&amp;Size&amp;"_"&amp;Segmentação&amp;"_"&amp;Segmentação_Anúncio)</f>
        <v>#N/A</v>
      </c>
      <c r="BL933" s="35" t="str">
        <f>LOWER(Campanha_ou_InsertionOrder&amp;"_"&amp;LineItem_ou_Grupodeanúncio&amp;"_"&amp;Linha_criativa_2&amp;"_"&amp;Unique_ID)</f>
        <v>#N/A</v>
      </c>
      <c r="BM933" s="27"/>
      <c r="BN933" s="27"/>
    </row>
    <row r="934">
      <c r="A934" s="1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8" t="str">
        <f>LOWER(Campanha_ou_InsertionOrder&amp;"_"&amp;LineItem_ou_Grupodeanúncio&amp;"_"&amp;Linha_Criativa&amp;"_"&amp;Unique_ID)</f>
        <v>#N/A</v>
      </c>
      <c r="AN934" s="28" t="str">
        <f>LOWER(Campanha_ou_InsertionOrder&amp;"_"&amp;LineItem_ou_Grupodeanúncio&amp;"_"&amp;Linha_Criativa&amp;"_"&amp;Unique_ID)</f>
        <v>#N/A</v>
      </c>
      <c r="AO934" s="28" t="str">
        <f>LOWER("VW"&amp;"_"&amp;Model_Variant&amp;"_"&amp;Size&amp;"_"&amp;Linha_Criativa&amp;"_"&amp;IF(Servido_Por="portal",Veiculo,"adserver"))</f>
        <v>vw____adserver</v>
      </c>
      <c r="AP93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4" s="22" t="str">
        <f t="shared" si="1"/>
        <v/>
      </c>
      <c r="AS934" s="22" t="str">
        <f t="shared" si="2"/>
        <v/>
      </c>
      <c r="AT934" s="22" t="str">
        <f t="shared" si="3"/>
        <v>BR_IMC_DSY_LANCH_ND_NC_2020Q3AUG_NVS_Nivus-Launch-Consideracao</v>
      </c>
      <c r="AU934" s="22" t="str">
        <f t="shared" si="4"/>
        <v>#N/A</v>
      </c>
      <c r="AV934" s="22" t="s">
        <v>106</v>
      </c>
      <c r="AW93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4" s="22" t="str">
        <f t="shared" si="5"/>
        <v>BR_IMC_DSY_LANCH_ND_NC_2020Q3AUG_NVS_Nivus-Launch-Consideracao</v>
      </c>
      <c r="AY934" s="28" t="str">
        <f t="shared" si="6"/>
        <v>#N/A</v>
      </c>
      <c r="AZ934" s="22" t="s">
        <v>107</v>
      </c>
      <c r="BA934" s="22" t="s">
        <v>108</v>
      </c>
      <c r="BB934" s="31" t="s">
        <v>109</v>
      </c>
      <c r="BC934" s="31" t="s">
        <v>109</v>
      </c>
      <c r="BD934" s="32" t="str">
        <f t="shared" si="8"/>
        <v>nvl-nvs-imc-dsy-0820-10928</v>
      </c>
      <c r="BE934" s="33"/>
      <c r="BF934" s="33"/>
      <c r="BG934" s="39" t="str">
        <f>URL&amp;IF(ISNUMBER(FIND("?",URL)),"&amp;","?"&amp;("adlid="&amp;Unique_ID&amp;"&amp;adplt="&amp;Placement))</f>
        <v>#N/A</v>
      </c>
      <c r="BH934" s="1"/>
      <c r="BI934" s="1"/>
      <c r="BJ934" s="35" t="str">
        <f>LOWER("alp"&amp;"_"&amp;"vw"&amp;"_"&amp;Veiculo&amp;"_"&amp;C930&amp;"_"&amp;Objetivo)</f>
        <v>alp_vw___</v>
      </c>
      <c r="BK934" s="35" t="str">
        <f>LOWER(Buying_Metric&amp;"_"&amp;VLOOKUP(Buying_Type,Buy_type,2,FALSE)&amp;"_"&amp;Device&amp;"_"&amp;Size&amp;"_"&amp;Segmentação&amp;"_"&amp;Segmentação_Anúncio)</f>
        <v>#N/A</v>
      </c>
      <c r="BL934" s="35" t="str">
        <f>LOWER(Campanha_ou_InsertionOrder&amp;"_"&amp;LineItem_ou_Grupodeanúncio&amp;"_"&amp;Linha_criativa_2&amp;"_"&amp;Unique_ID)</f>
        <v>#N/A</v>
      </c>
      <c r="BM934" s="27"/>
      <c r="BN934" s="27"/>
    </row>
    <row r="935">
      <c r="A935" s="1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8" t="str">
        <f>LOWER(Campanha_ou_InsertionOrder&amp;"_"&amp;LineItem_ou_Grupodeanúncio&amp;"_"&amp;Linha_Criativa&amp;"_"&amp;Unique_ID)</f>
        <v>#N/A</v>
      </c>
      <c r="AN935" s="28" t="str">
        <f>LOWER(Campanha_ou_InsertionOrder&amp;"_"&amp;LineItem_ou_Grupodeanúncio&amp;"_"&amp;Linha_Criativa&amp;"_"&amp;Unique_ID)</f>
        <v>#N/A</v>
      </c>
      <c r="AO935" s="28" t="str">
        <f>LOWER("VW"&amp;"_"&amp;Model_Variant&amp;"_"&amp;Size&amp;"_"&amp;Linha_Criativa&amp;"_"&amp;IF(Servido_Por="portal",Veiculo,"adserver"))</f>
        <v>vw____adserver</v>
      </c>
      <c r="AP93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5" s="22" t="str">
        <f t="shared" si="1"/>
        <v/>
      </c>
      <c r="AS935" s="22" t="str">
        <f t="shared" si="2"/>
        <v/>
      </c>
      <c r="AT935" s="22" t="str">
        <f t="shared" si="3"/>
        <v>BR_IMC_DSY_LANCH_ND_NC_2020Q3AUG_NVS_Nivus-Launch-Consideracao</v>
      </c>
      <c r="AU935" s="22" t="str">
        <f t="shared" si="4"/>
        <v>#N/A</v>
      </c>
      <c r="AV935" s="22" t="s">
        <v>106</v>
      </c>
      <c r="AW93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5" s="22" t="str">
        <f t="shared" si="5"/>
        <v>BR_IMC_DSY_LANCH_ND_NC_2020Q3AUG_NVS_Nivus-Launch-Consideracao</v>
      </c>
      <c r="AY935" s="28" t="str">
        <f t="shared" si="6"/>
        <v>#N/A</v>
      </c>
      <c r="AZ935" s="22" t="s">
        <v>107</v>
      </c>
      <c r="BA935" s="22" t="s">
        <v>108</v>
      </c>
      <c r="BB935" s="31" t="s">
        <v>109</v>
      </c>
      <c r="BC935" s="31" t="s">
        <v>109</v>
      </c>
      <c r="BD935" s="32" t="str">
        <f t="shared" si="8"/>
        <v>nvl-nvs-imc-dsy-0820-10929</v>
      </c>
      <c r="BE935" s="33"/>
      <c r="BF935" s="33"/>
      <c r="BG935" s="39" t="str">
        <f>URL&amp;IF(ISNUMBER(FIND("?",URL)),"&amp;","?"&amp;("adlid="&amp;Unique_ID&amp;"&amp;adplt="&amp;Placement))</f>
        <v>#N/A</v>
      </c>
      <c r="BH935" s="1"/>
      <c r="BI935" s="1"/>
      <c r="BJ935" s="35" t="str">
        <f>LOWER("alp"&amp;"_"&amp;"vw"&amp;"_"&amp;Veiculo&amp;"_"&amp;C931&amp;"_"&amp;Objetivo)</f>
        <v>alp_vw___</v>
      </c>
      <c r="BK935" s="35" t="str">
        <f>LOWER(Buying_Metric&amp;"_"&amp;VLOOKUP(Buying_Type,Buy_type,2,FALSE)&amp;"_"&amp;Device&amp;"_"&amp;Size&amp;"_"&amp;Segmentação&amp;"_"&amp;Segmentação_Anúncio)</f>
        <v>#N/A</v>
      </c>
      <c r="BL935" s="35" t="str">
        <f>LOWER(Campanha_ou_InsertionOrder&amp;"_"&amp;LineItem_ou_Grupodeanúncio&amp;"_"&amp;Linha_criativa_2&amp;"_"&amp;Unique_ID)</f>
        <v>#N/A</v>
      </c>
      <c r="BM935" s="27"/>
      <c r="BN935" s="27"/>
    </row>
    <row r="936">
      <c r="A936" s="1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8" t="str">
        <f>LOWER(Campanha_ou_InsertionOrder&amp;"_"&amp;LineItem_ou_Grupodeanúncio&amp;"_"&amp;Linha_Criativa&amp;"_"&amp;Unique_ID)</f>
        <v>#N/A</v>
      </c>
      <c r="AN936" s="28" t="str">
        <f>LOWER(Campanha_ou_InsertionOrder&amp;"_"&amp;LineItem_ou_Grupodeanúncio&amp;"_"&amp;Linha_Criativa&amp;"_"&amp;Unique_ID)</f>
        <v>#N/A</v>
      </c>
      <c r="AO936" s="28" t="str">
        <f>LOWER("VW"&amp;"_"&amp;Model_Variant&amp;"_"&amp;Size&amp;"_"&amp;Linha_Criativa&amp;"_"&amp;IF(Servido_Por="portal",Veiculo,"adserver"))</f>
        <v>vw____adserver</v>
      </c>
      <c r="AP93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6" s="22" t="str">
        <f t="shared" si="1"/>
        <v/>
      </c>
      <c r="AS936" s="22" t="str">
        <f t="shared" si="2"/>
        <v/>
      </c>
      <c r="AT936" s="22" t="str">
        <f t="shared" si="3"/>
        <v>BR_IMC_DSY_LANCH_ND_NC_2020Q3AUG_NVS_Nivus-Launch-Consideracao</v>
      </c>
      <c r="AU936" s="22" t="str">
        <f t="shared" si="4"/>
        <v>#N/A</v>
      </c>
      <c r="AV936" s="22" t="s">
        <v>106</v>
      </c>
      <c r="AW93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6" s="22" t="str">
        <f t="shared" si="5"/>
        <v>BR_IMC_DSY_LANCH_ND_NC_2020Q3AUG_NVS_Nivus-Launch-Consideracao</v>
      </c>
      <c r="AY936" s="28" t="str">
        <f t="shared" si="6"/>
        <v>#N/A</v>
      </c>
      <c r="AZ936" s="22" t="s">
        <v>107</v>
      </c>
      <c r="BA936" s="22" t="s">
        <v>108</v>
      </c>
      <c r="BB936" s="31" t="s">
        <v>109</v>
      </c>
      <c r="BC936" s="31" t="s">
        <v>109</v>
      </c>
      <c r="BD936" s="32" t="str">
        <f t="shared" si="8"/>
        <v>nvl-nvs-imc-dsy-0820-10930</v>
      </c>
      <c r="BE936" s="33"/>
      <c r="BF936" s="33"/>
      <c r="BG936" s="39" t="str">
        <f>URL&amp;IF(ISNUMBER(FIND("?",URL)),"&amp;","?"&amp;("adlid="&amp;Unique_ID&amp;"&amp;adplt="&amp;Placement))</f>
        <v>#N/A</v>
      </c>
      <c r="BH936" s="1"/>
      <c r="BI936" s="1"/>
      <c r="BJ936" s="35" t="str">
        <f>LOWER("alp"&amp;"_"&amp;"vw"&amp;"_"&amp;Veiculo&amp;"_"&amp;C932&amp;"_"&amp;Objetivo)</f>
        <v>alp_vw___</v>
      </c>
      <c r="BK936" s="35" t="str">
        <f>LOWER(Buying_Metric&amp;"_"&amp;VLOOKUP(Buying_Type,Buy_type,2,FALSE)&amp;"_"&amp;Device&amp;"_"&amp;Size&amp;"_"&amp;Segmentação&amp;"_"&amp;Segmentação_Anúncio)</f>
        <v>#N/A</v>
      </c>
      <c r="BL936" s="35" t="str">
        <f>LOWER(Campanha_ou_InsertionOrder&amp;"_"&amp;LineItem_ou_Grupodeanúncio&amp;"_"&amp;Linha_criativa_2&amp;"_"&amp;Unique_ID)</f>
        <v>#N/A</v>
      </c>
      <c r="BM936" s="27"/>
      <c r="BN936" s="27"/>
    </row>
    <row r="937">
      <c r="A937" s="1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8" t="str">
        <f>LOWER(Campanha_ou_InsertionOrder&amp;"_"&amp;LineItem_ou_Grupodeanúncio&amp;"_"&amp;Linha_Criativa&amp;"_"&amp;Unique_ID)</f>
        <v>#N/A</v>
      </c>
      <c r="AN937" s="28" t="str">
        <f>LOWER(Campanha_ou_InsertionOrder&amp;"_"&amp;LineItem_ou_Grupodeanúncio&amp;"_"&amp;Linha_Criativa&amp;"_"&amp;Unique_ID)</f>
        <v>#N/A</v>
      </c>
      <c r="AO937" s="28" t="str">
        <f>LOWER("VW"&amp;"_"&amp;Model_Variant&amp;"_"&amp;Size&amp;"_"&amp;Linha_Criativa&amp;"_"&amp;IF(Servido_Por="portal",Veiculo,"adserver"))</f>
        <v>vw____adserver</v>
      </c>
      <c r="AP93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7" s="22" t="str">
        <f t="shared" si="1"/>
        <v/>
      </c>
      <c r="AS937" s="22" t="str">
        <f t="shared" si="2"/>
        <v/>
      </c>
      <c r="AT937" s="22" t="str">
        <f t="shared" si="3"/>
        <v>BR_IMC_DSY_LANCH_ND_NC_2020Q3AUG_NVS_Nivus-Launch-Consideracao</v>
      </c>
      <c r="AU937" s="22" t="str">
        <f t="shared" si="4"/>
        <v>#N/A</v>
      </c>
      <c r="AV937" s="22" t="s">
        <v>106</v>
      </c>
      <c r="AW93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7" s="22" t="str">
        <f t="shared" si="5"/>
        <v>BR_IMC_DSY_LANCH_ND_NC_2020Q3AUG_NVS_Nivus-Launch-Consideracao</v>
      </c>
      <c r="AY937" s="28" t="str">
        <f t="shared" si="6"/>
        <v>#N/A</v>
      </c>
      <c r="AZ937" s="22" t="s">
        <v>107</v>
      </c>
      <c r="BA937" s="22" t="s">
        <v>108</v>
      </c>
      <c r="BB937" s="31" t="s">
        <v>109</v>
      </c>
      <c r="BC937" s="31" t="s">
        <v>109</v>
      </c>
      <c r="BD937" s="32" t="str">
        <f t="shared" si="8"/>
        <v>nvl-nvs-imc-dsy-0820-10931</v>
      </c>
      <c r="BE937" s="33"/>
      <c r="BF937" s="33"/>
      <c r="BG937" s="39" t="str">
        <f>URL&amp;IF(ISNUMBER(FIND("?",URL)),"&amp;","?"&amp;("adlid="&amp;Unique_ID&amp;"&amp;adplt="&amp;Placement))</f>
        <v>#N/A</v>
      </c>
      <c r="BH937" s="1"/>
      <c r="BI937" s="1"/>
      <c r="BJ937" s="35" t="str">
        <f>LOWER("alp"&amp;"_"&amp;"vw"&amp;"_"&amp;Veiculo&amp;"_"&amp;C933&amp;"_"&amp;Objetivo)</f>
        <v>alp_vw___</v>
      </c>
      <c r="BK937" s="35" t="str">
        <f>LOWER(Buying_Metric&amp;"_"&amp;VLOOKUP(Buying_Type,Buy_type,2,FALSE)&amp;"_"&amp;Device&amp;"_"&amp;Size&amp;"_"&amp;Segmentação&amp;"_"&amp;Segmentação_Anúncio)</f>
        <v>#N/A</v>
      </c>
      <c r="BL937" s="35" t="str">
        <f>LOWER(Campanha_ou_InsertionOrder&amp;"_"&amp;LineItem_ou_Grupodeanúncio&amp;"_"&amp;Linha_criativa_2&amp;"_"&amp;Unique_ID)</f>
        <v>#N/A</v>
      </c>
      <c r="BM937" s="27"/>
      <c r="BN937" s="27"/>
    </row>
    <row r="938">
      <c r="A938" s="1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tr">
        <f>LOWER(Campanha_ou_InsertionOrder&amp;"_"&amp;LineItem_ou_Grupodeanúncio&amp;"_"&amp;Linha_Criativa&amp;"_"&amp;Unique_ID)</f>
        <v>#N/A</v>
      </c>
      <c r="AN938" s="28" t="str">
        <f>LOWER(Campanha_ou_InsertionOrder&amp;"_"&amp;LineItem_ou_Grupodeanúncio&amp;"_"&amp;Linha_Criativa&amp;"_"&amp;Unique_ID)</f>
        <v>#N/A</v>
      </c>
      <c r="AO938" s="28" t="str">
        <f>LOWER("VW"&amp;"_"&amp;Model_Variant&amp;"_"&amp;Size&amp;"_"&amp;Linha_Criativa&amp;"_"&amp;IF(Servido_Por="portal",Veiculo,"adserver"))</f>
        <v>vw____adserver</v>
      </c>
      <c r="AP93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8" s="22" t="str">
        <f t="shared" si="1"/>
        <v/>
      </c>
      <c r="AS938" s="22" t="str">
        <f t="shared" si="2"/>
        <v/>
      </c>
      <c r="AT938" s="22" t="str">
        <f t="shared" si="3"/>
        <v>BR_IMC_DSY_LANCH_ND_NC_2020Q3AUG_NVS_Nivus-Launch-Consideracao</v>
      </c>
      <c r="AU938" s="22" t="str">
        <f t="shared" si="4"/>
        <v>#N/A</v>
      </c>
      <c r="AV938" s="22" t="s">
        <v>106</v>
      </c>
      <c r="AW93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8" s="22" t="str">
        <f t="shared" si="5"/>
        <v>BR_IMC_DSY_LANCH_ND_NC_2020Q3AUG_NVS_Nivus-Launch-Consideracao</v>
      </c>
      <c r="AY938" s="28" t="str">
        <f t="shared" si="6"/>
        <v>#N/A</v>
      </c>
      <c r="AZ938" s="22" t="s">
        <v>107</v>
      </c>
      <c r="BA938" s="22" t="s">
        <v>108</v>
      </c>
      <c r="BB938" s="31" t="s">
        <v>109</v>
      </c>
      <c r="BC938" s="31" t="s">
        <v>109</v>
      </c>
      <c r="BD938" s="32" t="str">
        <f t="shared" si="8"/>
        <v>nvl-nvs-imc-dsy-0820-10932</v>
      </c>
      <c r="BE938" s="33"/>
      <c r="BF938" s="33"/>
      <c r="BG938" s="39" t="str">
        <f>URL&amp;IF(ISNUMBER(FIND("?",URL)),"&amp;","?"&amp;("adlid="&amp;Unique_ID&amp;"&amp;adplt="&amp;Placement))</f>
        <v>#N/A</v>
      </c>
      <c r="BH938" s="1"/>
      <c r="BI938" s="1"/>
      <c r="BJ938" s="35" t="str">
        <f>LOWER("alp"&amp;"_"&amp;"vw"&amp;"_"&amp;Veiculo&amp;"_"&amp;C934&amp;"_"&amp;Objetivo)</f>
        <v>alp_vw___</v>
      </c>
      <c r="BK938" s="35" t="str">
        <f>LOWER(Buying_Metric&amp;"_"&amp;VLOOKUP(Buying_Type,Buy_type,2,FALSE)&amp;"_"&amp;Device&amp;"_"&amp;Size&amp;"_"&amp;Segmentação&amp;"_"&amp;Segmentação_Anúncio)</f>
        <v>#N/A</v>
      </c>
      <c r="BL938" s="35" t="str">
        <f>LOWER(Campanha_ou_InsertionOrder&amp;"_"&amp;LineItem_ou_Grupodeanúncio&amp;"_"&amp;Linha_criativa_2&amp;"_"&amp;Unique_ID)</f>
        <v>#N/A</v>
      </c>
      <c r="BM938" s="27"/>
      <c r="BN938" s="27"/>
    </row>
    <row r="939">
      <c r="A939" s="1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8" t="str">
        <f>LOWER(Campanha_ou_InsertionOrder&amp;"_"&amp;LineItem_ou_Grupodeanúncio&amp;"_"&amp;Linha_Criativa&amp;"_"&amp;Unique_ID)</f>
        <v>#N/A</v>
      </c>
      <c r="AN939" s="28" t="str">
        <f>LOWER(Campanha_ou_InsertionOrder&amp;"_"&amp;LineItem_ou_Grupodeanúncio&amp;"_"&amp;Linha_Criativa&amp;"_"&amp;Unique_ID)</f>
        <v>#N/A</v>
      </c>
      <c r="AO939" s="28" t="str">
        <f>LOWER("VW"&amp;"_"&amp;Model_Variant&amp;"_"&amp;Size&amp;"_"&amp;Linha_Criativa&amp;"_"&amp;IF(Servido_Por="portal",Veiculo,"adserver"))</f>
        <v>vw____adserver</v>
      </c>
      <c r="AP93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3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39" s="22" t="str">
        <f t="shared" si="1"/>
        <v/>
      </c>
      <c r="AS939" s="22" t="str">
        <f t="shared" si="2"/>
        <v/>
      </c>
      <c r="AT939" s="22" t="str">
        <f t="shared" si="3"/>
        <v>BR_IMC_DSY_LANCH_ND_NC_2020Q3AUG_NVS_Nivus-Launch-Consideracao</v>
      </c>
      <c r="AU939" s="22" t="str">
        <f t="shared" si="4"/>
        <v>#N/A</v>
      </c>
      <c r="AV939" s="22" t="s">
        <v>106</v>
      </c>
      <c r="AW93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39" s="22" t="str">
        <f t="shared" si="5"/>
        <v>BR_IMC_DSY_LANCH_ND_NC_2020Q3AUG_NVS_Nivus-Launch-Consideracao</v>
      </c>
      <c r="AY939" s="28" t="str">
        <f t="shared" si="6"/>
        <v>#N/A</v>
      </c>
      <c r="AZ939" s="22" t="s">
        <v>107</v>
      </c>
      <c r="BA939" s="22" t="s">
        <v>108</v>
      </c>
      <c r="BB939" s="31" t="s">
        <v>109</v>
      </c>
      <c r="BC939" s="31" t="s">
        <v>109</v>
      </c>
      <c r="BD939" s="32" t="str">
        <f t="shared" si="8"/>
        <v>nvl-nvs-imc-dsy-0820-10933</v>
      </c>
      <c r="BE939" s="33"/>
      <c r="BF939" s="33"/>
      <c r="BG939" s="39" t="str">
        <f>URL&amp;IF(ISNUMBER(FIND("?",URL)),"&amp;","?"&amp;("adlid="&amp;Unique_ID&amp;"&amp;adplt="&amp;Placement))</f>
        <v>#N/A</v>
      </c>
      <c r="BH939" s="1"/>
      <c r="BI939" s="1"/>
      <c r="BJ939" s="35" t="str">
        <f>LOWER("alp"&amp;"_"&amp;"vw"&amp;"_"&amp;Veiculo&amp;"_"&amp;C935&amp;"_"&amp;Objetivo)</f>
        <v>alp_vw___</v>
      </c>
      <c r="BK939" s="35" t="str">
        <f>LOWER(Buying_Metric&amp;"_"&amp;VLOOKUP(Buying_Type,Buy_type,2,FALSE)&amp;"_"&amp;Device&amp;"_"&amp;Size&amp;"_"&amp;Segmentação&amp;"_"&amp;Segmentação_Anúncio)</f>
        <v>#N/A</v>
      </c>
      <c r="BL939" s="35" t="str">
        <f>LOWER(Campanha_ou_InsertionOrder&amp;"_"&amp;LineItem_ou_Grupodeanúncio&amp;"_"&amp;Linha_criativa_2&amp;"_"&amp;Unique_ID)</f>
        <v>#N/A</v>
      </c>
      <c r="BM939" s="27"/>
      <c r="BN939" s="27"/>
    </row>
    <row r="940">
      <c r="A940" s="1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8" t="str">
        <f>LOWER(Campanha_ou_InsertionOrder&amp;"_"&amp;LineItem_ou_Grupodeanúncio&amp;"_"&amp;Linha_Criativa&amp;"_"&amp;Unique_ID)</f>
        <v>#N/A</v>
      </c>
      <c r="AN940" s="28" t="str">
        <f>LOWER(Campanha_ou_InsertionOrder&amp;"_"&amp;LineItem_ou_Grupodeanúncio&amp;"_"&amp;Linha_Criativa&amp;"_"&amp;Unique_ID)</f>
        <v>#N/A</v>
      </c>
      <c r="AO940" s="28" t="str">
        <f>LOWER("VW"&amp;"_"&amp;Model_Variant&amp;"_"&amp;Size&amp;"_"&amp;Linha_Criativa&amp;"_"&amp;IF(Servido_Por="portal",Veiculo,"adserver"))</f>
        <v>vw____adserver</v>
      </c>
      <c r="AP94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0" s="22" t="str">
        <f t="shared" si="1"/>
        <v/>
      </c>
      <c r="AS940" s="22" t="str">
        <f t="shared" si="2"/>
        <v/>
      </c>
      <c r="AT940" s="22" t="str">
        <f t="shared" si="3"/>
        <v>BR_IMC_DSY_LANCH_ND_NC_2020Q3AUG_NVS_Nivus-Launch-Consideracao</v>
      </c>
      <c r="AU940" s="22" t="str">
        <f t="shared" si="4"/>
        <v>#N/A</v>
      </c>
      <c r="AV940" s="22" t="s">
        <v>106</v>
      </c>
      <c r="AW94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0" s="22" t="str">
        <f t="shared" si="5"/>
        <v>BR_IMC_DSY_LANCH_ND_NC_2020Q3AUG_NVS_Nivus-Launch-Consideracao</v>
      </c>
      <c r="AY940" s="28" t="str">
        <f t="shared" si="6"/>
        <v>#N/A</v>
      </c>
      <c r="AZ940" s="22" t="s">
        <v>107</v>
      </c>
      <c r="BA940" s="22" t="s">
        <v>108</v>
      </c>
      <c r="BB940" s="31" t="s">
        <v>109</v>
      </c>
      <c r="BC940" s="31" t="s">
        <v>109</v>
      </c>
      <c r="BD940" s="32" t="str">
        <f t="shared" si="8"/>
        <v>nvl-nvs-imc-dsy-0820-10934</v>
      </c>
      <c r="BE940" s="33"/>
      <c r="BF940" s="33"/>
      <c r="BG940" s="39" t="str">
        <f>URL&amp;IF(ISNUMBER(FIND("?",URL)),"&amp;","?"&amp;("adlid="&amp;Unique_ID&amp;"&amp;adplt="&amp;Placement))</f>
        <v>#N/A</v>
      </c>
      <c r="BH940" s="1"/>
      <c r="BI940" s="1"/>
      <c r="BJ940" s="35" t="str">
        <f>LOWER("alp"&amp;"_"&amp;"vw"&amp;"_"&amp;Veiculo&amp;"_"&amp;C936&amp;"_"&amp;Objetivo)</f>
        <v>alp_vw___</v>
      </c>
      <c r="BK940" s="35" t="str">
        <f>LOWER(Buying_Metric&amp;"_"&amp;VLOOKUP(Buying_Type,Buy_type,2,FALSE)&amp;"_"&amp;Device&amp;"_"&amp;Size&amp;"_"&amp;Segmentação&amp;"_"&amp;Segmentação_Anúncio)</f>
        <v>#N/A</v>
      </c>
      <c r="BL940" s="35" t="str">
        <f>LOWER(Campanha_ou_InsertionOrder&amp;"_"&amp;LineItem_ou_Grupodeanúncio&amp;"_"&amp;Linha_criativa_2&amp;"_"&amp;Unique_ID)</f>
        <v>#N/A</v>
      </c>
      <c r="BM940" s="27"/>
      <c r="BN940" s="27"/>
    </row>
    <row r="941">
      <c r="A941" s="1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8" t="str">
        <f>LOWER(Campanha_ou_InsertionOrder&amp;"_"&amp;LineItem_ou_Grupodeanúncio&amp;"_"&amp;Linha_Criativa&amp;"_"&amp;Unique_ID)</f>
        <v>#N/A</v>
      </c>
      <c r="AN941" s="28" t="str">
        <f>LOWER(Campanha_ou_InsertionOrder&amp;"_"&amp;LineItem_ou_Grupodeanúncio&amp;"_"&amp;Linha_Criativa&amp;"_"&amp;Unique_ID)</f>
        <v>#N/A</v>
      </c>
      <c r="AO941" s="28" t="str">
        <f>LOWER("VW"&amp;"_"&amp;Model_Variant&amp;"_"&amp;Size&amp;"_"&amp;Linha_Criativa&amp;"_"&amp;IF(Servido_Por="portal",Veiculo,"adserver"))</f>
        <v>vw____adserver</v>
      </c>
      <c r="AP94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1" s="22" t="str">
        <f t="shared" si="1"/>
        <v/>
      </c>
      <c r="AS941" s="22" t="str">
        <f t="shared" si="2"/>
        <v/>
      </c>
      <c r="AT941" s="22" t="str">
        <f t="shared" si="3"/>
        <v>BR_IMC_DSY_LANCH_ND_NC_2020Q3AUG_NVS_Nivus-Launch-Consideracao</v>
      </c>
      <c r="AU941" s="22" t="str">
        <f t="shared" si="4"/>
        <v>#N/A</v>
      </c>
      <c r="AV941" s="22" t="s">
        <v>106</v>
      </c>
      <c r="AW94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1" s="22" t="str">
        <f t="shared" si="5"/>
        <v>BR_IMC_DSY_LANCH_ND_NC_2020Q3AUG_NVS_Nivus-Launch-Consideracao</v>
      </c>
      <c r="AY941" s="28" t="str">
        <f t="shared" si="6"/>
        <v>#N/A</v>
      </c>
      <c r="AZ941" s="22" t="s">
        <v>107</v>
      </c>
      <c r="BA941" s="22" t="s">
        <v>108</v>
      </c>
      <c r="BB941" s="31" t="s">
        <v>109</v>
      </c>
      <c r="BC941" s="31" t="s">
        <v>109</v>
      </c>
      <c r="BD941" s="32" t="str">
        <f t="shared" si="8"/>
        <v>nvl-nvs-imc-dsy-0820-10935</v>
      </c>
      <c r="BE941" s="33"/>
      <c r="BF941" s="33"/>
      <c r="BG941" s="39" t="str">
        <f>URL&amp;IF(ISNUMBER(FIND("?",URL)),"&amp;","?"&amp;("adlid="&amp;Unique_ID&amp;"&amp;adplt="&amp;Placement))</f>
        <v>#N/A</v>
      </c>
      <c r="BH941" s="1"/>
      <c r="BI941" s="1"/>
      <c r="BJ941" s="35" t="str">
        <f>LOWER("alp"&amp;"_"&amp;"vw"&amp;"_"&amp;Veiculo&amp;"_"&amp;C937&amp;"_"&amp;Objetivo)</f>
        <v>alp_vw___</v>
      </c>
      <c r="BK941" s="35" t="str">
        <f>LOWER(Buying_Metric&amp;"_"&amp;VLOOKUP(Buying_Type,Buy_type,2,FALSE)&amp;"_"&amp;Device&amp;"_"&amp;Size&amp;"_"&amp;Segmentação&amp;"_"&amp;Segmentação_Anúncio)</f>
        <v>#N/A</v>
      </c>
      <c r="BL941" s="35" t="str">
        <f>LOWER(Campanha_ou_InsertionOrder&amp;"_"&amp;LineItem_ou_Grupodeanúncio&amp;"_"&amp;Linha_criativa_2&amp;"_"&amp;Unique_ID)</f>
        <v>#N/A</v>
      </c>
      <c r="BM941" s="27"/>
      <c r="BN941" s="27"/>
    </row>
    <row r="942">
      <c r="A942" s="1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8" t="str">
        <f>LOWER(Campanha_ou_InsertionOrder&amp;"_"&amp;LineItem_ou_Grupodeanúncio&amp;"_"&amp;Linha_Criativa&amp;"_"&amp;Unique_ID)</f>
        <v>#N/A</v>
      </c>
      <c r="AN942" s="28" t="str">
        <f>LOWER(Campanha_ou_InsertionOrder&amp;"_"&amp;LineItem_ou_Grupodeanúncio&amp;"_"&amp;Linha_Criativa&amp;"_"&amp;Unique_ID)</f>
        <v>#N/A</v>
      </c>
      <c r="AO942" s="28" t="str">
        <f>LOWER("VW"&amp;"_"&amp;Model_Variant&amp;"_"&amp;Size&amp;"_"&amp;Linha_Criativa&amp;"_"&amp;IF(Servido_Por="portal",Veiculo,"adserver"))</f>
        <v>vw____adserver</v>
      </c>
      <c r="AP94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2" s="22" t="str">
        <f t="shared" si="1"/>
        <v/>
      </c>
      <c r="AS942" s="22" t="str">
        <f t="shared" si="2"/>
        <v/>
      </c>
      <c r="AT942" s="22" t="str">
        <f t="shared" si="3"/>
        <v>BR_IMC_DSY_LANCH_ND_NC_2020Q3AUG_NVS_Nivus-Launch-Consideracao</v>
      </c>
      <c r="AU942" s="22" t="str">
        <f t="shared" si="4"/>
        <v>#N/A</v>
      </c>
      <c r="AV942" s="22" t="s">
        <v>106</v>
      </c>
      <c r="AW94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2" s="22" t="str">
        <f t="shared" si="5"/>
        <v>BR_IMC_DSY_LANCH_ND_NC_2020Q3AUG_NVS_Nivus-Launch-Consideracao</v>
      </c>
      <c r="AY942" s="28" t="str">
        <f t="shared" si="6"/>
        <v>#N/A</v>
      </c>
      <c r="AZ942" s="22" t="s">
        <v>107</v>
      </c>
      <c r="BA942" s="22" t="s">
        <v>108</v>
      </c>
      <c r="BB942" s="31" t="s">
        <v>109</v>
      </c>
      <c r="BC942" s="31" t="s">
        <v>109</v>
      </c>
      <c r="BD942" s="32" t="str">
        <f t="shared" si="8"/>
        <v>nvl-nvs-imc-dsy-0820-10936</v>
      </c>
      <c r="BE942" s="33"/>
      <c r="BF942" s="33"/>
      <c r="BG942" s="39" t="str">
        <f>URL&amp;IF(ISNUMBER(FIND("?",URL)),"&amp;","?"&amp;("adlid="&amp;Unique_ID&amp;"&amp;adplt="&amp;Placement))</f>
        <v>#N/A</v>
      </c>
      <c r="BH942" s="1"/>
      <c r="BI942" s="1"/>
      <c r="BJ942" s="35" t="str">
        <f>LOWER("alp"&amp;"_"&amp;"vw"&amp;"_"&amp;Veiculo&amp;"_"&amp;C938&amp;"_"&amp;Objetivo)</f>
        <v>alp_vw___</v>
      </c>
      <c r="BK942" s="35" t="str">
        <f>LOWER(Buying_Metric&amp;"_"&amp;VLOOKUP(Buying_Type,Buy_type,2,FALSE)&amp;"_"&amp;Device&amp;"_"&amp;Size&amp;"_"&amp;Segmentação&amp;"_"&amp;Segmentação_Anúncio)</f>
        <v>#N/A</v>
      </c>
      <c r="BL942" s="35" t="str">
        <f>LOWER(Campanha_ou_InsertionOrder&amp;"_"&amp;LineItem_ou_Grupodeanúncio&amp;"_"&amp;Linha_criativa_2&amp;"_"&amp;Unique_ID)</f>
        <v>#N/A</v>
      </c>
      <c r="BM942" s="27"/>
      <c r="BN942" s="27"/>
    </row>
    <row r="943">
      <c r="A943" s="1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8" t="str">
        <f>LOWER(Campanha_ou_InsertionOrder&amp;"_"&amp;LineItem_ou_Grupodeanúncio&amp;"_"&amp;Linha_Criativa&amp;"_"&amp;Unique_ID)</f>
        <v>#N/A</v>
      </c>
      <c r="AN943" s="28" t="str">
        <f>LOWER(Campanha_ou_InsertionOrder&amp;"_"&amp;LineItem_ou_Grupodeanúncio&amp;"_"&amp;Linha_Criativa&amp;"_"&amp;Unique_ID)</f>
        <v>#N/A</v>
      </c>
      <c r="AO943" s="28" t="str">
        <f>LOWER("VW"&amp;"_"&amp;Model_Variant&amp;"_"&amp;Size&amp;"_"&amp;Linha_Criativa&amp;"_"&amp;IF(Servido_Por="portal",Veiculo,"adserver"))</f>
        <v>vw____adserver</v>
      </c>
      <c r="AP94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3" s="22" t="str">
        <f t="shared" si="1"/>
        <v/>
      </c>
      <c r="AS943" s="22" t="str">
        <f t="shared" si="2"/>
        <v/>
      </c>
      <c r="AT943" s="22" t="str">
        <f t="shared" si="3"/>
        <v>BR_IMC_DSY_LANCH_ND_NC_2020Q3AUG_NVS_Nivus-Launch-Consideracao</v>
      </c>
      <c r="AU943" s="22" t="str">
        <f t="shared" si="4"/>
        <v>#N/A</v>
      </c>
      <c r="AV943" s="22" t="s">
        <v>106</v>
      </c>
      <c r="AW94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3" s="22" t="str">
        <f t="shared" si="5"/>
        <v>BR_IMC_DSY_LANCH_ND_NC_2020Q3AUG_NVS_Nivus-Launch-Consideracao</v>
      </c>
      <c r="AY943" s="28" t="str">
        <f t="shared" si="6"/>
        <v>#N/A</v>
      </c>
      <c r="AZ943" s="22" t="s">
        <v>107</v>
      </c>
      <c r="BA943" s="22" t="s">
        <v>108</v>
      </c>
      <c r="BB943" s="31" t="s">
        <v>109</v>
      </c>
      <c r="BC943" s="31" t="s">
        <v>109</v>
      </c>
      <c r="BD943" s="32" t="str">
        <f t="shared" si="8"/>
        <v>nvl-nvs-imc-dsy-0820-10937</v>
      </c>
      <c r="BE943" s="33"/>
      <c r="BF943" s="33"/>
      <c r="BG943" s="39" t="str">
        <f>URL&amp;IF(ISNUMBER(FIND("?",URL)),"&amp;","?"&amp;("adlid="&amp;Unique_ID&amp;"&amp;adplt="&amp;Placement))</f>
        <v>#N/A</v>
      </c>
      <c r="BH943" s="1"/>
      <c r="BI943" s="1"/>
      <c r="BJ943" s="35" t="str">
        <f>LOWER("alp"&amp;"_"&amp;"vw"&amp;"_"&amp;Veiculo&amp;"_"&amp;C939&amp;"_"&amp;Objetivo)</f>
        <v>alp_vw___</v>
      </c>
      <c r="BK943" s="35" t="str">
        <f>LOWER(Buying_Metric&amp;"_"&amp;VLOOKUP(Buying_Type,Buy_type,2,FALSE)&amp;"_"&amp;Device&amp;"_"&amp;Size&amp;"_"&amp;Segmentação&amp;"_"&amp;Segmentação_Anúncio)</f>
        <v>#N/A</v>
      </c>
      <c r="BL943" s="35" t="str">
        <f>LOWER(Campanha_ou_InsertionOrder&amp;"_"&amp;LineItem_ou_Grupodeanúncio&amp;"_"&amp;Linha_criativa_2&amp;"_"&amp;Unique_ID)</f>
        <v>#N/A</v>
      </c>
      <c r="BM943" s="27"/>
      <c r="BN943" s="27"/>
    </row>
    <row r="944">
      <c r="A944" s="1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8" t="str">
        <f>LOWER(Campanha_ou_InsertionOrder&amp;"_"&amp;LineItem_ou_Grupodeanúncio&amp;"_"&amp;Linha_Criativa&amp;"_"&amp;Unique_ID)</f>
        <v>#N/A</v>
      </c>
      <c r="AN944" s="28" t="str">
        <f>LOWER(Campanha_ou_InsertionOrder&amp;"_"&amp;LineItem_ou_Grupodeanúncio&amp;"_"&amp;Linha_Criativa&amp;"_"&amp;Unique_ID)</f>
        <v>#N/A</v>
      </c>
      <c r="AO944" s="28" t="str">
        <f>LOWER("VW"&amp;"_"&amp;Model_Variant&amp;"_"&amp;Size&amp;"_"&amp;Linha_Criativa&amp;"_"&amp;IF(Servido_Por="portal",Veiculo,"adserver"))</f>
        <v>vw____adserver</v>
      </c>
      <c r="AP94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4" s="22" t="str">
        <f t="shared" si="1"/>
        <v/>
      </c>
      <c r="AS944" s="22" t="str">
        <f t="shared" si="2"/>
        <v/>
      </c>
      <c r="AT944" s="22" t="str">
        <f t="shared" si="3"/>
        <v>BR_IMC_DSY_LANCH_ND_NC_2020Q3AUG_NVS_Nivus-Launch-Consideracao</v>
      </c>
      <c r="AU944" s="22" t="str">
        <f t="shared" si="4"/>
        <v>#N/A</v>
      </c>
      <c r="AV944" s="22" t="s">
        <v>106</v>
      </c>
      <c r="AW94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4" s="22" t="str">
        <f t="shared" si="5"/>
        <v>BR_IMC_DSY_LANCH_ND_NC_2020Q3AUG_NVS_Nivus-Launch-Consideracao</v>
      </c>
      <c r="AY944" s="28" t="str">
        <f t="shared" si="6"/>
        <v>#N/A</v>
      </c>
      <c r="AZ944" s="22" t="s">
        <v>107</v>
      </c>
      <c r="BA944" s="22" t="s">
        <v>108</v>
      </c>
      <c r="BB944" s="31" t="s">
        <v>109</v>
      </c>
      <c r="BC944" s="31" t="s">
        <v>109</v>
      </c>
      <c r="BD944" s="32" t="str">
        <f t="shared" si="8"/>
        <v>nvl-nvs-imc-dsy-0820-10938</v>
      </c>
      <c r="BE944" s="33"/>
      <c r="BF944" s="33"/>
      <c r="BG944" s="39" t="str">
        <f>URL&amp;IF(ISNUMBER(FIND("?",URL)),"&amp;","?"&amp;("adlid="&amp;Unique_ID&amp;"&amp;adplt="&amp;Placement))</f>
        <v>#N/A</v>
      </c>
      <c r="BH944" s="1"/>
      <c r="BI944" s="1"/>
      <c r="BJ944" s="35" t="str">
        <f>LOWER("alp"&amp;"_"&amp;"vw"&amp;"_"&amp;Veiculo&amp;"_"&amp;C940&amp;"_"&amp;Objetivo)</f>
        <v>alp_vw___</v>
      </c>
      <c r="BK944" s="35" t="str">
        <f>LOWER(Buying_Metric&amp;"_"&amp;VLOOKUP(Buying_Type,Buy_type,2,FALSE)&amp;"_"&amp;Device&amp;"_"&amp;Size&amp;"_"&amp;Segmentação&amp;"_"&amp;Segmentação_Anúncio)</f>
        <v>#N/A</v>
      </c>
      <c r="BL944" s="35" t="str">
        <f>LOWER(Campanha_ou_InsertionOrder&amp;"_"&amp;LineItem_ou_Grupodeanúncio&amp;"_"&amp;Linha_criativa_2&amp;"_"&amp;Unique_ID)</f>
        <v>#N/A</v>
      </c>
      <c r="BM944" s="27"/>
      <c r="BN944" s="27"/>
    </row>
    <row r="945">
      <c r="A945" s="1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8" t="str">
        <f>LOWER(Campanha_ou_InsertionOrder&amp;"_"&amp;LineItem_ou_Grupodeanúncio&amp;"_"&amp;Linha_Criativa&amp;"_"&amp;Unique_ID)</f>
        <v>#N/A</v>
      </c>
      <c r="AN945" s="28" t="str">
        <f>LOWER(Campanha_ou_InsertionOrder&amp;"_"&amp;LineItem_ou_Grupodeanúncio&amp;"_"&amp;Linha_Criativa&amp;"_"&amp;Unique_ID)</f>
        <v>#N/A</v>
      </c>
      <c r="AO945" s="28" t="str">
        <f>LOWER("VW"&amp;"_"&amp;Model_Variant&amp;"_"&amp;Size&amp;"_"&amp;Linha_Criativa&amp;"_"&amp;IF(Servido_Por="portal",Veiculo,"adserver"))</f>
        <v>vw____adserver</v>
      </c>
      <c r="AP94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5" s="22" t="str">
        <f t="shared" si="1"/>
        <v/>
      </c>
      <c r="AS945" s="22" t="str">
        <f t="shared" si="2"/>
        <v/>
      </c>
      <c r="AT945" s="22" t="str">
        <f t="shared" si="3"/>
        <v>BR_IMC_DSY_LANCH_ND_NC_2020Q3AUG_NVS_Nivus-Launch-Consideracao</v>
      </c>
      <c r="AU945" s="22" t="str">
        <f t="shared" si="4"/>
        <v>#N/A</v>
      </c>
      <c r="AV945" s="22" t="s">
        <v>106</v>
      </c>
      <c r="AW94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5" s="22" t="str">
        <f t="shared" si="5"/>
        <v>BR_IMC_DSY_LANCH_ND_NC_2020Q3AUG_NVS_Nivus-Launch-Consideracao</v>
      </c>
      <c r="AY945" s="28" t="str">
        <f t="shared" si="6"/>
        <v>#N/A</v>
      </c>
      <c r="AZ945" s="22" t="s">
        <v>107</v>
      </c>
      <c r="BA945" s="22" t="s">
        <v>108</v>
      </c>
      <c r="BB945" s="31" t="s">
        <v>109</v>
      </c>
      <c r="BC945" s="31" t="s">
        <v>109</v>
      </c>
      <c r="BD945" s="32" t="str">
        <f t="shared" si="8"/>
        <v>nvl-nvs-imc-dsy-0820-10939</v>
      </c>
      <c r="BE945" s="33"/>
      <c r="BF945" s="33"/>
      <c r="BG945" s="39" t="str">
        <f>URL&amp;IF(ISNUMBER(FIND("?",URL)),"&amp;","?"&amp;("adlid="&amp;Unique_ID&amp;"&amp;adplt="&amp;Placement))</f>
        <v>#N/A</v>
      </c>
      <c r="BH945" s="1"/>
      <c r="BI945" s="1"/>
      <c r="BJ945" s="35" t="str">
        <f>LOWER("alp"&amp;"_"&amp;"vw"&amp;"_"&amp;Veiculo&amp;"_"&amp;C941&amp;"_"&amp;Objetivo)</f>
        <v>alp_vw___</v>
      </c>
      <c r="BK945" s="35" t="str">
        <f>LOWER(Buying_Metric&amp;"_"&amp;VLOOKUP(Buying_Type,Buy_type,2,FALSE)&amp;"_"&amp;Device&amp;"_"&amp;Size&amp;"_"&amp;Segmentação&amp;"_"&amp;Segmentação_Anúncio)</f>
        <v>#N/A</v>
      </c>
      <c r="BL945" s="35" t="str">
        <f>LOWER(Campanha_ou_InsertionOrder&amp;"_"&amp;LineItem_ou_Grupodeanúncio&amp;"_"&amp;Linha_criativa_2&amp;"_"&amp;Unique_ID)</f>
        <v>#N/A</v>
      </c>
      <c r="BM945" s="27"/>
      <c r="BN945" s="27"/>
    </row>
    <row r="946">
      <c r="A946" s="1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8" t="str">
        <f>LOWER(Campanha_ou_InsertionOrder&amp;"_"&amp;LineItem_ou_Grupodeanúncio&amp;"_"&amp;Linha_Criativa&amp;"_"&amp;Unique_ID)</f>
        <v>#N/A</v>
      </c>
      <c r="AN946" s="28" t="str">
        <f>LOWER(Campanha_ou_InsertionOrder&amp;"_"&amp;LineItem_ou_Grupodeanúncio&amp;"_"&amp;Linha_Criativa&amp;"_"&amp;Unique_ID)</f>
        <v>#N/A</v>
      </c>
      <c r="AO946" s="28" t="str">
        <f>LOWER("VW"&amp;"_"&amp;Model_Variant&amp;"_"&amp;Size&amp;"_"&amp;Linha_Criativa&amp;"_"&amp;IF(Servido_Por="portal",Veiculo,"adserver"))</f>
        <v>vw____adserver</v>
      </c>
      <c r="AP94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6" s="22" t="str">
        <f t="shared" si="1"/>
        <v/>
      </c>
      <c r="AS946" s="22" t="str">
        <f t="shared" si="2"/>
        <v/>
      </c>
      <c r="AT946" s="22" t="str">
        <f t="shared" si="3"/>
        <v>BR_IMC_DSY_LANCH_ND_NC_2020Q3AUG_NVS_Nivus-Launch-Consideracao</v>
      </c>
      <c r="AU946" s="22" t="str">
        <f t="shared" si="4"/>
        <v>#N/A</v>
      </c>
      <c r="AV946" s="22" t="s">
        <v>106</v>
      </c>
      <c r="AW94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6" s="22" t="str">
        <f t="shared" si="5"/>
        <v>BR_IMC_DSY_LANCH_ND_NC_2020Q3AUG_NVS_Nivus-Launch-Consideracao</v>
      </c>
      <c r="AY946" s="28" t="str">
        <f t="shared" si="6"/>
        <v>#N/A</v>
      </c>
      <c r="AZ946" s="22" t="s">
        <v>107</v>
      </c>
      <c r="BA946" s="22" t="s">
        <v>108</v>
      </c>
      <c r="BB946" s="31" t="s">
        <v>109</v>
      </c>
      <c r="BC946" s="31" t="s">
        <v>109</v>
      </c>
      <c r="BD946" s="32" t="str">
        <f t="shared" si="8"/>
        <v>nvl-nvs-imc-dsy-0820-10940</v>
      </c>
      <c r="BE946" s="33"/>
      <c r="BF946" s="33"/>
      <c r="BG946" s="39" t="str">
        <f>URL&amp;IF(ISNUMBER(FIND("?",URL)),"&amp;","?"&amp;("adlid="&amp;Unique_ID&amp;"&amp;adplt="&amp;Placement))</f>
        <v>#N/A</v>
      </c>
      <c r="BH946" s="1"/>
      <c r="BI946" s="1"/>
      <c r="BJ946" s="35" t="str">
        <f>LOWER("alp"&amp;"_"&amp;"vw"&amp;"_"&amp;Veiculo&amp;"_"&amp;C942&amp;"_"&amp;Objetivo)</f>
        <v>alp_vw___</v>
      </c>
      <c r="BK946" s="35" t="str">
        <f>LOWER(Buying_Metric&amp;"_"&amp;VLOOKUP(Buying_Type,Buy_type,2,FALSE)&amp;"_"&amp;Device&amp;"_"&amp;Size&amp;"_"&amp;Segmentação&amp;"_"&amp;Segmentação_Anúncio)</f>
        <v>#N/A</v>
      </c>
      <c r="BL946" s="35" t="str">
        <f>LOWER(Campanha_ou_InsertionOrder&amp;"_"&amp;LineItem_ou_Grupodeanúncio&amp;"_"&amp;Linha_criativa_2&amp;"_"&amp;Unique_ID)</f>
        <v>#N/A</v>
      </c>
      <c r="BM946" s="27"/>
      <c r="BN946" s="27"/>
    </row>
    <row r="947">
      <c r="A947" s="1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8" t="str">
        <f>LOWER(Campanha_ou_InsertionOrder&amp;"_"&amp;LineItem_ou_Grupodeanúncio&amp;"_"&amp;Linha_Criativa&amp;"_"&amp;Unique_ID)</f>
        <v>#N/A</v>
      </c>
      <c r="AN947" s="28" t="str">
        <f>LOWER(Campanha_ou_InsertionOrder&amp;"_"&amp;LineItem_ou_Grupodeanúncio&amp;"_"&amp;Linha_Criativa&amp;"_"&amp;Unique_ID)</f>
        <v>#N/A</v>
      </c>
      <c r="AO947" s="28" t="str">
        <f>LOWER("VW"&amp;"_"&amp;Model_Variant&amp;"_"&amp;Size&amp;"_"&amp;Linha_Criativa&amp;"_"&amp;IF(Servido_Por="portal",Veiculo,"adserver"))</f>
        <v>vw____adserver</v>
      </c>
      <c r="AP94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7" s="22" t="str">
        <f t="shared" si="1"/>
        <v/>
      </c>
      <c r="AS947" s="22" t="str">
        <f t="shared" si="2"/>
        <v/>
      </c>
      <c r="AT947" s="22" t="str">
        <f t="shared" si="3"/>
        <v>BR_IMC_DSY_LANCH_ND_NC_2020Q3AUG_NVS_Nivus-Launch-Consideracao</v>
      </c>
      <c r="AU947" s="22" t="str">
        <f t="shared" si="4"/>
        <v>#N/A</v>
      </c>
      <c r="AV947" s="22" t="s">
        <v>106</v>
      </c>
      <c r="AW94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7" s="22" t="str">
        <f t="shared" si="5"/>
        <v>BR_IMC_DSY_LANCH_ND_NC_2020Q3AUG_NVS_Nivus-Launch-Consideracao</v>
      </c>
      <c r="AY947" s="28" t="str">
        <f t="shared" si="6"/>
        <v>#N/A</v>
      </c>
      <c r="AZ947" s="22" t="s">
        <v>107</v>
      </c>
      <c r="BA947" s="22" t="s">
        <v>108</v>
      </c>
      <c r="BB947" s="31" t="s">
        <v>109</v>
      </c>
      <c r="BC947" s="31" t="s">
        <v>109</v>
      </c>
      <c r="BD947" s="32" t="str">
        <f t="shared" si="8"/>
        <v>nvl-nvs-imc-dsy-0820-10941</v>
      </c>
      <c r="BE947" s="33"/>
      <c r="BF947" s="33"/>
      <c r="BG947" s="39" t="str">
        <f>URL&amp;IF(ISNUMBER(FIND("?",URL)),"&amp;","?"&amp;("adlid="&amp;Unique_ID&amp;"&amp;adplt="&amp;Placement))</f>
        <v>#N/A</v>
      </c>
      <c r="BH947" s="1"/>
      <c r="BI947" s="1"/>
      <c r="BJ947" s="35" t="str">
        <f>LOWER("alp"&amp;"_"&amp;"vw"&amp;"_"&amp;Veiculo&amp;"_"&amp;C943&amp;"_"&amp;Objetivo)</f>
        <v>alp_vw___</v>
      </c>
      <c r="BK947" s="35" t="str">
        <f>LOWER(Buying_Metric&amp;"_"&amp;VLOOKUP(Buying_Type,Buy_type,2,FALSE)&amp;"_"&amp;Device&amp;"_"&amp;Size&amp;"_"&amp;Segmentação&amp;"_"&amp;Segmentação_Anúncio)</f>
        <v>#N/A</v>
      </c>
      <c r="BL947" s="35" t="str">
        <f>LOWER(Campanha_ou_InsertionOrder&amp;"_"&amp;LineItem_ou_Grupodeanúncio&amp;"_"&amp;Linha_criativa_2&amp;"_"&amp;Unique_ID)</f>
        <v>#N/A</v>
      </c>
      <c r="BM947" s="27"/>
      <c r="BN947" s="27"/>
    </row>
    <row r="948">
      <c r="A948" s="1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8" t="str">
        <f>LOWER(Campanha_ou_InsertionOrder&amp;"_"&amp;LineItem_ou_Grupodeanúncio&amp;"_"&amp;Linha_Criativa&amp;"_"&amp;Unique_ID)</f>
        <v>#N/A</v>
      </c>
      <c r="AN948" s="28" t="str">
        <f>LOWER(Campanha_ou_InsertionOrder&amp;"_"&amp;LineItem_ou_Grupodeanúncio&amp;"_"&amp;Linha_Criativa&amp;"_"&amp;Unique_ID)</f>
        <v>#N/A</v>
      </c>
      <c r="AO948" s="28" t="str">
        <f>LOWER("VW"&amp;"_"&amp;Model_Variant&amp;"_"&amp;Size&amp;"_"&amp;Linha_Criativa&amp;"_"&amp;IF(Servido_Por="portal",Veiculo,"adserver"))</f>
        <v>vw____adserver</v>
      </c>
      <c r="AP94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8" s="22" t="str">
        <f t="shared" si="1"/>
        <v/>
      </c>
      <c r="AS948" s="22" t="str">
        <f t="shared" si="2"/>
        <v/>
      </c>
      <c r="AT948" s="22" t="str">
        <f t="shared" si="3"/>
        <v>BR_IMC_DSY_LANCH_ND_NC_2020Q3AUG_NVS_Nivus-Launch-Consideracao</v>
      </c>
      <c r="AU948" s="22" t="str">
        <f t="shared" si="4"/>
        <v>#N/A</v>
      </c>
      <c r="AV948" s="22" t="s">
        <v>106</v>
      </c>
      <c r="AW94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8" s="22" t="str">
        <f t="shared" si="5"/>
        <v>BR_IMC_DSY_LANCH_ND_NC_2020Q3AUG_NVS_Nivus-Launch-Consideracao</v>
      </c>
      <c r="AY948" s="28" t="str">
        <f t="shared" si="6"/>
        <v>#N/A</v>
      </c>
      <c r="AZ948" s="22" t="s">
        <v>107</v>
      </c>
      <c r="BA948" s="22" t="s">
        <v>108</v>
      </c>
      <c r="BB948" s="31" t="s">
        <v>109</v>
      </c>
      <c r="BC948" s="31" t="s">
        <v>109</v>
      </c>
      <c r="BD948" s="32" t="str">
        <f t="shared" si="8"/>
        <v>nvl-nvs-imc-dsy-0820-10942</v>
      </c>
      <c r="BE948" s="33"/>
      <c r="BF948" s="33"/>
      <c r="BG948" s="39" t="str">
        <f>URL&amp;IF(ISNUMBER(FIND("?",URL)),"&amp;","?"&amp;("adlid="&amp;Unique_ID&amp;"&amp;adplt="&amp;Placement))</f>
        <v>#N/A</v>
      </c>
      <c r="BH948" s="1"/>
      <c r="BI948" s="1"/>
      <c r="BJ948" s="35" t="str">
        <f>LOWER("alp"&amp;"_"&amp;"vw"&amp;"_"&amp;Veiculo&amp;"_"&amp;C944&amp;"_"&amp;Objetivo)</f>
        <v>alp_vw___</v>
      </c>
      <c r="BK948" s="35" t="str">
        <f>LOWER(Buying_Metric&amp;"_"&amp;VLOOKUP(Buying_Type,Buy_type,2,FALSE)&amp;"_"&amp;Device&amp;"_"&amp;Size&amp;"_"&amp;Segmentação&amp;"_"&amp;Segmentação_Anúncio)</f>
        <v>#N/A</v>
      </c>
      <c r="BL948" s="35" t="str">
        <f>LOWER(Campanha_ou_InsertionOrder&amp;"_"&amp;LineItem_ou_Grupodeanúncio&amp;"_"&amp;Linha_criativa_2&amp;"_"&amp;Unique_ID)</f>
        <v>#N/A</v>
      </c>
      <c r="BM948" s="27"/>
      <c r="BN948" s="27"/>
    </row>
    <row r="949">
      <c r="A949" s="1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8" t="str">
        <f>LOWER(Campanha_ou_InsertionOrder&amp;"_"&amp;LineItem_ou_Grupodeanúncio&amp;"_"&amp;Linha_Criativa&amp;"_"&amp;Unique_ID)</f>
        <v>#N/A</v>
      </c>
      <c r="AN949" s="28" t="str">
        <f>LOWER(Campanha_ou_InsertionOrder&amp;"_"&amp;LineItem_ou_Grupodeanúncio&amp;"_"&amp;Linha_Criativa&amp;"_"&amp;Unique_ID)</f>
        <v>#N/A</v>
      </c>
      <c r="AO949" s="28" t="str">
        <f>LOWER("VW"&amp;"_"&amp;Model_Variant&amp;"_"&amp;Size&amp;"_"&amp;Linha_Criativa&amp;"_"&amp;IF(Servido_Por="portal",Veiculo,"adserver"))</f>
        <v>vw____adserver</v>
      </c>
      <c r="AP94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4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49" s="22" t="str">
        <f t="shared" si="1"/>
        <v/>
      </c>
      <c r="AS949" s="22" t="str">
        <f t="shared" si="2"/>
        <v/>
      </c>
      <c r="AT949" s="22" t="str">
        <f t="shared" si="3"/>
        <v>BR_IMC_DSY_LANCH_ND_NC_2020Q3AUG_NVS_Nivus-Launch-Consideracao</v>
      </c>
      <c r="AU949" s="22" t="str">
        <f t="shared" si="4"/>
        <v>#N/A</v>
      </c>
      <c r="AV949" s="22" t="s">
        <v>106</v>
      </c>
      <c r="AW94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49" s="22" t="str">
        <f t="shared" si="5"/>
        <v>BR_IMC_DSY_LANCH_ND_NC_2020Q3AUG_NVS_Nivus-Launch-Consideracao</v>
      </c>
      <c r="AY949" s="28" t="str">
        <f t="shared" si="6"/>
        <v>#N/A</v>
      </c>
      <c r="AZ949" s="22" t="s">
        <v>107</v>
      </c>
      <c r="BA949" s="22" t="s">
        <v>108</v>
      </c>
      <c r="BB949" s="31" t="s">
        <v>109</v>
      </c>
      <c r="BC949" s="31" t="s">
        <v>109</v>
      </c>
      <c r="BD949" s="32" t="str">
        <f t="shared" si="8"/>
        <v>nvl-nvs-imc-dsy-0820-10943</v>
      </c>
      <c r="BE949" s="33"/>
      <c r="BF949" s="33"/>
      <c r="BG949" s="39" t="str">
        <f>URL&amp;IF(ISNUMBER(FIND("?",URL)),"&amp;","?"&amp;("adlid="&amp;Unique_ID&amp;"&amp;adplt="&amp;Placement))</f>
        <v>#N/A</v>
      </c>
      <c r="BH949" s="1"/>
      <c r="BI949" s="1"/>
      <c r="BJ949" s="35" t="str">
        <f>LOWER("alp"&amp;"_"&amp;"vw"&amp;"_"&amp;Veiculo&amp;"_"&amp;C945&amp;"_"&amp;Objetivo)</f>
        <v>alp_vw___</v>
      </c>
      <c r="BK949" s="35" t="str">
        <f>LOWER(Buying_Metric&amp;"_"&amp;VLOOKUP(Buying_Type,Buy_type,2,FALSE)&amp;"_"&amp;Device&amp;"_"&amp;Size&amp;"_"&amp;Segmentação&amp;"_"&amp;Segmentação_Anúncio)</f>
        <v>#N/A</v>
      </c>
      <c r="BL949" s="35" t="str">
        <f>LOWER(Campanha_ou_InsertionOrder&amp;"_"&amp;LineItem_ou_Grupodeanúncio&amp;"_"&amp;Linha_criativa_2&amp;"_"&amp;Unique_ID)</f>
        <v>#N/A</v>
      </c>
      <c r="BM949" s="27"/>
      <c r="BN949" s="27"/>
    </row>
    <row r="950">
      <c r="A950" s="1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8" t="str">
        <f>LOWER(Campanha_ou_InsertionOrder&amp;"_"&amp;LineItem_ou_Grupodeanúncio&amp;"_"&amp;Linha_Criativa&amp;"_"&amp;Unique_ID)</f>
        <v>#N/A</v>
      </c>
      <c r="AN950" s="28" t="str">
        <f>LOWER(Campanha_ou_InsertionOrder&amp;"_"&amp;LineItem_ou_Grupodeanúncio&amp;"_"&amp;Linha_Criativa&amp;"_"&amp;Unique_ID)</f>
        <v>#N/A</v>
      </c>
      <c r="AO950" s="28" t="str">
        <f>LOWER("VW"&amp;"_"&amp;Model_Variant&amp;"_"&amp;Size&amp;"_"&amp;Linha_Criativa&amp;"_"&amp;IF(Servido_Por="portal",Veiculo,"adserver"))</f>
        <v>vw____adserver</v>
      </c>
      <c r="AP95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0" s="22" t="str">
        <f t="shared" si="1"/>
        <v/>
      </c>
      <c r="AS950" s="22" t="str">
        <f t="shared" si="2"/>
        <v/>
      </c>
      <c r="AT950" s="22" t="str">
        <f t="shared" si="3"/>
        <v>BR_IMC_DSY_LANCH_ND_NC_2020Q3AUG_NVS_Nivus-Launch-Consideracao</v>
      </c>
      <c r="AU950" s="22" t="str">
        <f t="shared" si="4"/>
        <v>#N/A</v>
      </c>
      <c r="AV950" s="22" t="s">
        <v>106</v>
      </c>
      <c r="AW95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0" s="22" t="str">
        <f t="shared" si="5"/>
        <v>BR_IMC_DSY_LANCH_ND_NC_2020Q3AUG_NVS_Nivus-Launch-Consideracao</v>
      </c>
      <c r="AY950" s="28" t="str">
        <f t="shared" si="6"/>
        <v>#N/A</v>
      </c>
      <c r="AZ950" s="22" t="s">
        <v>107</v>
      </c>
      <c r="BA950" s="22" t="s">
        <v>108</v>
      </c>
      <c r="BB950" s="31" t="s">
        <v>109</v>
      </c>
      <c r="BC950" s="31" t="s">
        <v>109</v>
      </c>
      <c r="BD950" s="32" t="str">
        <f t="shared" si="8"/>
        <v>nvl-nvs-imc-dsy-0820-10944</v>
      </c>
      <c r="BE950" s="33"/>
      <c r="BF950" s="33"/>
      <c r="BG950" s="39" t="str">
        <f>URL&amp;IF(ISNUMBER(FIND("?",URL)),"&amp;","?"&amp;("adlid="&amp;Unique_ID&amp;"&amp;adplt="&amp;Placement))</f>
        <v>#N/A</v>
      </c>
      <c r="BH950" s="1"/>
      <c r="BI950" s="1"/>
      <c r="BJ950" s="35" t="str">
        <f>LOWER("alp"&amp;"_"&amp;"vw"&amp;"_"&amp;Veiculo&amp;"_"&amp;C946&amp;"_"&amp;Objetivo)</f>
        <v>alp_vw___</v>
      </c>
      <c r="BK950" s="35" t="str">
        <f>LOWER(Buying_Metric&amp;"_"&amp;VLOOKUP(Buying_Type,Buy_type,2,FALSE)&amp;"_"&amp;Device&amp;"_"&amp;Size&amp;"_"&amp;Segmentação&amp;"_"&amp;Segmentação_Anúncio)</f>
        <v>#N/A</v>
      </c>
      <c r="BL950" s="35" t="str">
        <f>LOWER(Campanha_ou_InsertionOrder&amp;"_"&amp;LineItem_ou_Grupodeanúncio&amp;"_"&amp;Linha_criativa_2&amp;"_"&amp;Unique_ID)</f>
        <v>#N/A</v>
      </c>
      <c r="BM950" s="27"/>
      <c r="BN950" s="27"/>
    </row>
    <row r="951">
      <c r="A951" s="1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8" t="str">
        <f>LOWER(Campanha_ou_InsertionOrder&amp;"_"&amp;LineItem_ou_Grupodeanúncio&amp;"_"&amp;Linha_Criativa&amp;"_"&amp;Unique_ID)</f>
        <v>#N/A</v>
      </c>
      <c r="AN951" s="28" t="str">
        <f>LOWER(Campanha_ou_InsertionOrder&amp;"_"&amp;LineItem_ou_Grupodeanúncio&amp;"_"&amp;Linha_Criativa&amp;"_"&amp;Unique_ID)</f>
        <v>#N/A</v>
      </c>
      <c r="AO951" s="28" t="str">
        <f>LOWER("VW"&amp;"_"&amp;Model_Variant&amp;"_"&amp;Size&amp;"_"&amp;Linha_Criativa&amp;"_"&amp;IF(Servido_Por="portal",Veiculo,"adserver"))</f>
        <v>vw____adserver</v>
      </c>
      <c r="AP95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1" s="22" t="str">
        <f t="shared" si="1"/>
        <v/>
      </c>
      <c r="AS951" s="22" t="str">
        <f t="shared" si="2"/>
        <v/>
      </c>
      <c r="AT951" s="22" t="str">
        <f t="shared" si="3"/>
        <v>BR_IMC_DSY_LANCH_ND_NC_2020Q3AUG_NVS_Nivus-Launch-Consideracao</v>
      </c>
      <c r="AU951" s="22" t="str">
        <f t="shared" si="4"/>
        <v>#N/A</v>
      </c>
      <c r="AV951" s="22" t="s">
        <v>106</v>
      </c>
      <c r="AW95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1" s="22" t="str">
        <f t="shared" si="5"/>
        <v>BR_IMC_DSY_LANCH_ND_NC_2020Q3AUG_NVS_Nivus-Launch-Consideracao</v>
      </c>
      <c r="AY951" s="28" t="str">
        <f t="shared" si="6"/>
        <v>#N/A</v>
      </c>
      <c r="AZ951" s="22" t="s">
        <v>107</v>
      </c>
      <c r="BA951" s="22" t="s">
        <v>108</v>
      </c>
      <c r="BB951" s="31" t="s">
        <v>109</v>
      </c>
      <c r="BC951" s="31" t="s">
        <v>109</v>
      </c>
      <c r="BD951" s="32" t="str">
        <f t="shared" si="8"/>
        <v>nvl-nvs-imc-dsy-0820-10945</v>
      </c>
      <c r="BE951" s="33"/>
      <c r="BF951" s="33"/>
      <c r="BG951" s="39" t="str">
        <f>URL&amp;IF(ISNUMBER(FIND("?",URL)),"&amp;","?"&amp;("adlid="&amp;Unique_ID&amp;"&amp;adplt="&amp;Placement))</f>
        <v>#N/A</v>
      </c>
      <c r="BH951" s="1"/>
      <c r="BI951" s="1"/>
      <c r="BJ951" s="35" t="str">
        <f>LOWER("alp"&amp;"_"&amp;"vw"&amp;"_"&amp;Veiculo&amp;"_"&amp;C947&amp;"_"&amp;Objetivo)</f>
        <v>alp_vw___</v>
      </c>
      <c r="BK951" s="35" t="str">
        <f>LOWER(Buying_Metric&amp;"_"&amp;VLOOKUP(Buying_Type,Buy_type,2,FALSE)&amp;"_"&amp;Device&amp;"_"&amp;Size&amp;"_"&amp;Segmentação&amp;"_"&amp;Segmentação_Anúncio)</f>
        <v>#N/A</v>
      </c>
      <c r="BL951" s="35" t="str">
        <f>LOWER(Campanha_ou_InsertionOrder&amp;"_"&amp;LineItem_ou_Grupodeanúncio&amp;"_"&amp;Linha_criativa_2&amp;"_"&amp;Unique_ID)</f>
        <v>#N/A</v>
      </c>
      <c r="BM951" s="27"/>
      <c r="BN951" s="27"/>
    </row>
    <row r="952">
      <c r="A952" s="1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8" t="str">
        <f>LOWER(Campanha_ou_InsertionOrder&amp;"_"&amp;LineItem_ou_Grupodeanúncio&amp;"_"&amp;Linha_Criativa&amp;"_"&amp;Unique_ID)</f>
        <v>#N/A</v>
      </c>
      <c r="AN952" s="28" t="str">
        <f>LOWER(Campanha_ou_InsertionOrder&amp;"_"&amp;LineItem_ou_Grupodeanúncio&amp;"_"&amp;Linha_Criativa&amp;"_"&amp;Unique_ID)</f>
        <v>#N/A</v>
      </c>
      <c r="AO952" s="28" t="str">
        <f>LOWER("VW"&amp;"_"&amp;Model_Variant&amp;"_"&amp;Size&amp;"_"&amp;Linha_Criativa&amp;"_"&amp;IF(Servido_Por="portal",Veiculo,"adserver"))</f>
        <v>vw____adserver</v>
      </c>
      <c r="AP95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2" s="22" t="str">
        <f t="shared" si="1"/>
        <v/>
      </c>
      <c r="AS952" s="22" t="str">
        <f t="shared" si="2"/>
        <v/>
      </c>
      <c r="AT952" s="22" t="str">
        <f t="shared" si="3"/>
        <v>BR_IMC_DSY_LANCH_ND_NC_2020Q3AUG_NVS_Nivus-Launch-Consideracao</v>
      </c>
      <c r="AU952" s="22" t="str">
        <f t="shared" si="4"/>
        <v>#N/A</v>
      </c>
      <c r="AV952" s="22" t="s">
        <v>106</v>
      </c>
      <c r="AW95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2" s="22" t="str">
        <f t="shared" si="5"/>
        <v>BR_IMC_DSY_LANCH_ND_NC_2020Q3AUG_NVS_Nivus-Launch-Consideracao</v>
      </c>
      <c r="AY952" s="28" t="str">
        <f t="shared" si="6"/>
        <v>#N/A</v>
      </c>
      <c r="AZ952" s="22" t="s">
        <v>107</v>
      </c>
      <c r="BA952" s="22" t="s">
        <v>108</v>
      </c>
      <c r="BB952" s="31" t="s">
        <v>109</v>
      </c>
      <c r="BC952" s="31" t="s">
        <v>109</v>
      </c>
      <c r="BD952" s="32" t="str">
        <f t="shared" si="8"/>
        <v>nvl-nvs-imc-dsy-0820-10946</v>
      </c>
      <c r="BE952" s="33"/>
      <c r="BF952" s="33"/>
      <c r="BG952" s="39" t="str">
        <f>URL&amp;IF(ISNUMBER(FIND("?",URL)),"&amp;","?"&amp;("adlid="&amp;Unique_ID&amp;"&amp;adplt="&amp;Placement))</f>
        <v>#N/A</v>
      </c>
      <c r="BH952" s="1"/>
      <c r="BI952" s="1"/>
      <c r="BJ952" s="35" t="str">
        <f>LOWER("alp"&amp;"_"&amp;"vw"&amp;"_"&amp;Veiculo&amp;"_"&amp;C948&amp;"_"&amp;Objetivo)</f>
        <v>alp_vw___</v>
      </c>
      <c r="BK952" s="35" t="str">
        <f>LOWER(Buying_Metric&amp;"_"&amp;VLOOKUP(Buying_Type,Buy_type,2,FALSE)&amp;"_"&amp;Device&amp;"_"&amp;Size&amp;"_"&amp;Segmentação&amp;"_"&amp;Segmentação_Anúncio)</f>
        <v>#N/A</v>
      </c>
      <c r="BL952" s="35" t="str">
        <f>LOWER(Campanha_ou_InsertionOrder&amp;"_"&amp;LineItem_ou_Grupodeanúncio&amp;"_"&amp;Linha_criativa_2&amp;"_"&amp;Unique_ID)</f>
        <v>#N/A</v>
      </c>
      <c r="BM952" s="27"/>
      <c r="BN952" s="27"/>
    </row>
    <row r="953">
      <c r="A953" s="1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8" t="str">
        <f>LOWER(Campanha_ou_InsertionOrder&amp;"_"&amp;LineItem_ou_Grupodeanúncio&amp;"_"&amp;Linha_Criativa&amp;"_"&amp;Unique_ID)</f>
        <v>#N/A</v>
      </c>
      <c r="AN953" s="28" t="str">
        <f>LOWER(Campanha_ou_InsertionOrder&amp;"_"&amp;LineItem_ou_Grupodeanúncio&amp;"_"&amp;Linha_Criativa&amp;"_"&amp;Unique_ID)</f>
        <v>#N/A</v>
      </c>
      <c r="AO953" s="28" t="str">
        <f>LOWER("VW"&amp;"_"&amp;Model_Variant&amp;"_"&amp;Size&amp;"_"&amp;Linha_Criativa&amp;"_"&amp;IF(Servido_Por="portal",Veiculo,"adserver"))</f>
        <v>vw____adserver</v>
      </c>
      <c r="AP95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3" s="22" t="str">
        <f t="shared" si="1"/>
        <v/>
      </c>
      <c r="AS953" s="22" t="str">
        <f t="shared" si="2"/>
        <v/>
      </c>
      <c r="AT953" s="22" t="str">
        <f t="shared" si="3"/>
        <v>BR_IMC_DSY_LANCH_ND_NC_2020Q3AUG_NVS_Nivus-Launch-Consideracao</v>
      </c>
      <c r="AU953" s="22" t="str">
        <f t="shared" si="4"/>
        <v>#N/A</v>
      </c>
      <c r="AV953" s="22" t="s">
        <v>106</v>
      </c>
      <c r="AW95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3" s="22" t="str">
        <f t="shared" si="5"/>
        <v>BR_IMC_DSY_LANCH_ND_NC_2020Q3AUG_NVS_Nivus-Launch-Consideracao</v>
      </c>
      <c r="AY953" s="28" t="str">
        <f t="shared" si="6"/>
        <v>#N/A</v>
      </c>
      <c r="AZ953" s="22" t="s">
        <v>107</v>
      </c>
      <c r="BA953" s="22" t="s">
        <v>108</v>
      </c>
      <c r="BB953" s="31" t="s">
        <v>109</v>
      </c>
      <c r="BC953" s="31" t="s">
        <v>109</v>
      </c>
      <c r="BD953" s="32" t="str">
        <f t="shared" si="8"/>
        <v>nvl-nvs-imc-dsy-0820-10947</v>
      </c>
      <c r="BE953" s="33"/>
      <c r="BF953" s="33"/>
      <c r="BG953" s="39" t="str">
        <f>URL&amp;IF(ISNUMBER(FIND("?",URL)),"&amp;","?"&amp;("adlid="&amp;Unique_ID&amp;"&amp;adplt="&amp;Placement))</f>
        <v>#N/A</v>
      </c>
      <c r="BH953" s="1"/>
      <c r="BI953" s="1"/>
      <c r="BJ953" s="35" t="str">
        <f>LOWER("alp"&amp;"_"&amp;"vw"&amp;"_"&amp;Veiculo&amp;"_"&amp;C949&amp;"_"&amp;Objetivo)</f>
        <v>alp_vw___</v>
      </c>
      <c r="BK953" s="35" t="str">
        <f>LOWER(Buying_Metric&amp;"_"&amp;VLOOKUP(Buying_Type,Buy_type,2,FALSE)&amp;"_"&amp;Device&amp;"_"&amp;Size&amp;"_"&amp;Segmentação&amp;"_"&amp;Segmentação_Anúncio)</f>
        <v>#N/A</v>
      </c>
      <c r="BL953" s="35" t="str">
        <f>LOWER(Campanha_ou_InsertionOrder&amp;"_"&amp;LineItem_ou_Grupodeanúncio&amp;"_"&amp;Linha_criativa_2&amp;"_"&amp;Unique_ID)</f>
        <v>#N/A</v>
      </c>
      <c r="BM953" s="27"/>
      <c r="BN953" s="27"/>
    </row>
    <row r="954">
      <c r="A954" s="1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8" t="str">
        <f>LOWER(Campanha_ou_InsertionOrder&amp;"_"&amp;LineItem_ou_Grupodeanúncio&amp;"_"&amp;Linha_Criativa&amp;"_"&amp;Unique_ID)</f>
        <v>#N/A</v>
      </c>
      <c r="AN954" s="28" t="str">
        <f>LOWER(Campanha_ou_InsertionOrder&amp;"_"&amp;LineItem_ou_Grupodeanúncio&amp;"_"&amp;Linha_Criativa&amp;"_"&amp;Unique_ID)</f>
        <v>#N/A</v>
      </c>
      <c r="AO954" s="28" t="str">
        <f>LOWER("VW"&amp;"_"&amp;Model_Variant&amp;"_"&amp;Size&amp;"_"&amp;Linha_Criativa&amp;"_"&amp;IF(Servido_Por="portal",Veiculo,"adserver"))</f>
        <v>vw____adserver</v>
      </c>
      <c r="AP95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4" s="22" t="str">
        <f t="shared" si="1"/>
        <v/>
      </c>
      <c r="AS954" s="22" t="str">
        <f t="shared" si="2"/>
        <v/>
      </c>
      <c r="AT954" s="22" t="str">
        <f t="shared" si="3"/>
        <v>BR_IMC_DSY_LANCH_ND_NC_2020Q3AUG_NVS_Nivus-Launch-Consideracao</v>
      </c>
      <c r="AU954" s="22" t="str">
        <f t="shared" si="4"/>
        <v>#N/A</v>
      </c>
      <c r="AV954" s="22" t="s">
        <v>106</v>
      </c>
      <c r="AW95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4" s="22" t="str">
        <f t="shared" si="5"/>
        <v>BR_IMC_DSY_LANCH_ND_NC_2020Q3AUG_NVS_Nivus-Launch-Consideracao</v>
      </c>
      <c r="AY954" s="28" t="str">
        <f t="shared" si="6"/>
        <v>#N/A</v>
      </c>
      <c r="AZ954" s="22" t="s">
        <v>107</v>
      </c>
      <c r="BA954" s="22" t="s">
        <v>108</v>
      </c>
      <c r="BB954" s="31" t="s">
        <v>109</v>
      </c>
      <c r="BC954" s="31" t="s">
        <v>109</v>
      </c>
      <c r="BD954" s="32" t="str">
        <f t="shared" si="8"/>
        <v>nvl-nvs-imc-dsy-0820-10948</v>
      </c>
      <c r="BE954" s="33"/>
      <c r="BF954" s="33"/>
      <c r="BG954" s="39" t="str">
        <f>URL&amp;IF(ISNUMBER(FIND("?",URL)),"&amp;","?"&amp;("adlid="&amp;Unique_ID&amp;"&amp;adplt="&amp;Placement))</f>
        <v>#N/A</v>
      </c>
      <c r="BH954" s="1"/>
      <c r="BI954" s="1"/>
      <c r="BJ954" s="35" t="str">
        <f>LOWER("alp"&amp;"_"&amp;"vw"&amp;"_"&amp;Veiculo&amp;"_"&amp;C950&amp;"_"&amp;Objetivo)</f>
        <v>alp_vw___</v>
      </c>
      <c r="BK954" s="35" t="str">
        <f>LOWER(Buying_Metric&amp;"_"&amp;VLOOKUP(Buying_Type,Buy_type,2,FALSE)&amp;"_"&amp;Device&amp;"_"&amp;Size&amp;"_"&amp;Segmentação&amp;"_"&amp;Segmentação_Anúncio)</f>
        <v>#N/A</v>
      </c>
      <c r="BL954" s="35" t="str">
        <f>LOWER(Campanha_ou_InsertionOrder&amp;"_"&amp;LineItem_ou_Grupodeanúncio&amp;"_"&amp;Linha_criativa_2&amp;"_"&amp;Unique_ID)</f>
        <v>#N/A</v>
      </c>
      <c r="BM954" s="27"/>
      <c r="BN954" s="27"/>
    </row>
    <row r="955">
      <c r="A955" s="1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8" t="str">
        <f>LOWER(Campanha_ou_InsertionOrder&amp;"_"&amp;LineItem_ou_Grupodeanúncio&amp;"_"&amp;Linha_Criativa&amp;"_"&amp;Unique_ID)</f>
        <v>#N/A</v>
      </c>
      <c r="AN955" s="28" t="str">
        <f>LOWER(Campanha_ou_InsertionOrder&amp;"_"&amp;LineItem_ou_Grupodeanúncio&amp;"_"&amp;Linha_Criativa&amp;"_"&amp;Unique_ID)</f>
        <v>#N/A</v>
      </c>
      <c r="AO955" s="28" t="str">
        <f>LOWER("VW"&amp;"_"&amp;Model_Variant&amp;"_"&amp;Size&amp;"_"&amp;Linha_Criativa&amp;"_"&amp;IF(Servido_Por="portal",Veiculo,"adserver"))</f>
        <v>vw____adserver</v>
      </c>
      <c r="AP95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5" s="22" t="str">
        <f t="shared" si="1"/>
        <v/>
      </c>
      <c r="AS955" s="22" t="str">
        <f t="shared" si="2"/>
        <v/>
      </c>
      <c r="AT955" s="22" t="str">
        <f t="shared" si="3"/>
        <v>BR_IMC_DSY_LANCH_ND_NC_2020Q3AUG_NVS_Nivus-Launch-Consideracao</v>
      </c>
      <c r="AU955" s="22" t="str">
        <f t="shared" si="4"/>
        <v>#N/A</v>
      </c>
      <c r="AV955" s="22" t="s">
        <v>106</v>
      </c>
      <c r="AW95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5" s="22" t="str">
        <f t="shared" si="5"/>
        <v>BR_IMC_DSY_LANCH_ND_NC_2020Q3AUG_NVS_Nivus-Launch-Consideracao</v>
      </c>
      <c r="AY955" s="28" t="str">
        <f t="shared" si="6"/>
        <v>#N/A</v>
      </c>
      <c r="AZ955" s="22" t="s">
        <v>107</v>
      </c>
      <c r="BA955" s="22" t="s">
        <v>108</v>
      </c>
      <c r="BB955" s="31" t="s">
        <v>109</v>
      </c>
      <c r="BC955" s="31" t="s">
        <v>109</v>
      </c>
      <c r="BD955" s="32" t="str">
        <f t="shared" si="8"/>
        <v>nvl-nvs-imc-dsy-0820-10949</v>
      </c>
      <c r="BE955" s="33"/>
      <c r="BF955" s="33"/>
      <c r="BG955" s="39" t="str">
        <f>URL&amp;IF(ISNUMBER(FIND("?",URL)),"&amp;","?"&amp;("adlid="&amp;Unique_ID&amp;"&amp;adplt="&amp;Placement))</f>
        <v>#N/A</v>
      </c>
      <c r="BH955" s="1"/>
      <c r="BI955" s="1"/>
      <c r="BJ955" s="35" t="str">
        <f>LOWER("alp"&amp;"_"&amp;"vw"&amp;"_"&amp;Veiculo&amp;"_"&amp;C951&amp;"_"&amp;Objetivo)</f>
        <v>alp_vw___</v>
      </c>
      <c r="BK955" s="35" t="str">
        <f>LOWER(Buying_Metric&amp;"_"&amp;VLOOKUP(Buying_Type,Buy_type,2,FALSE)&amp;"_"&amp;Device&amp;"_"&amp;Size&amp;"_"&amp;Segmentação&amp;"_"&amp;Segmentação_Anúncio)</f>
        <v>#N/A</v>
      </c>
      <c r="BL955" s="35" t="str">
        <f>LOWER(Campanha_ou_InsertionOrder&amp;"_"&amp;LineItem_ou_Grupodeanúncio&amp;"_"&amp;Linha_criativa_2&amp;"_"&amp;Unique_ID)</f>
        <v>#N/A</v>
      </c>
      <c r="BM955" s="27"/>
      <c r="BN955" s="27"/>
    </row>
    <row r="956">
      <c r="A956" s="1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8" t="str">
        <f>LOWER(Campanha_ou_InsertionOrder&amp;"_"&amp;LineItem_ou_Grupodeanúncio&amp;"_"&amp;Linha_Criativa&amp;"_"&amp;Unique_ID)</f>
        <v>#N/A</v>
      </c>
      <c r="AN956" s="28" t="str">
        <f>LOWER(Campanha_ou_InsertionOrder&amp;"_"&amp;LineItem_ou_Grupodeanúncio&amp;"_"&amp;Linha_Criativa&amp;"_"&amp;Unique_ID)</f>
        <v>#N/A</v>
      </c>
      <c r="AO956" s="28" t="str">
        <f>LOWER("VW"&amp;"_"&amp;Model_Variant&amp;"_"&amp;Size&amp;"_"&amp;Linha_Criativa&amp;"_"&amp;IF(Servido_Por="portal",Veiculo,"adserver"))</f>
        <v>vw____adserver</v>
      </c>
      <c r="AP95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6" s="22" t="str">
        <f t="shared" si="1"/>
        <v/>
      </c>
      <c r="AS956" s="22" t="str">
        <f t="shared" si="2"/>
        <v/>
      </c>
      <c r="AT956" s="22" t="str">
        <f t="shared" si="3"/>
        <v>BR_IMC_DSY_LANCH_ND_NC_2020Q3AUG_NVS_Nivus-Launch-Consideracao</v>
      </c>
      <c r="AU956" s="22" t="str">
        <f t="shared" si="4"/>
        <v>#N/A</v>
      </c>
      <c r="AV956" s="22" t="s">
        <v>106</v>
      </c>
      <c r="AW95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6" s="22" t="str">
        <f t="shared" si="5"/>
        <v>BR_IMC_DSY_LANCH_ND_NC_2020Q3AUG_NVS_Nivus-Launch-Consideracao</v>
      </c>
      <c r="AY956" s="28" t="str">
        <f t="shared" si="6"/>
        <v>#N/A</v>
      </c>
      <c r="AZ956" s="22" t="s">
        <v>107</v>
      </c>
      <c r="BA956" s="22" t="s">
        <v>108</v>
      </c>
      <c r="BB956" s="31" t="s">
        <v>109</v>
      </c>
      <c r="BC956" s="31" t="s">
        <v>109</v>
      </c>
      <c r="BD956" s="32" t="str">
        <f t="shared" si="8"/>
        <v>nvl-nvs-imc-dsy-0820-10950</v>
      </c>
      <c r="BE956" s="33"/>
      <c r="BF956" s="33"/>
      <c r="BG956" s="39" t="str">
        <f>URL&amp;IF(ISNUMBER(FIND("?",URL)),"&amp;","?"&amp;("adlid="&amp;Unique_ID&amp;"&amp;adplt="&amp;Placement))</f>
        <v>#N/A</v>
      </c>
      <c r="BH956" s="1"/>
      <c r="BI956" s="1"/>
      <c r="BJ956" s="35" t="str">
        <f>LOWER("alp"&amp;"_"&amp;"vw"&amp;"_"&amp;Veiculo&amp;"_"&amp;C952&amp;"_"&amp;Objetivo)</f>
        <v>alp_vw___</v>
      </c>
      <c r="BK956" s="35" t="str">
        <f>LOWER(Buying_Metric&amp;"_"&amp;VLOOKUP(Buying_Type,Buy_type,2,FALSE)&amp;"_"&amp;Device&amp;"_"&amp;Size&amp;"_"&amp;Segmentação&amp;"_"&amp;Segmentação_Anúncio)</f>
        <v>#N/A</v>
      </c>
      <c r="BL956" s="35" t="str">
        <f>LOWER(Campanha_ou_InsertionOrder&amp;"_"&amp;LineItem_ou_Grupodeanúncio&amp;"_"&amp;Linha_criativa_2&amp;"_"&amp;Unique_ID)</f>
        <v>#N/A</v>
      </c>
      <c r="BM956" s="27"/>
      <c r="BN956" s="27"/>
    </row>
    <row r="957">
      <c r="A957" s="1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8" t="str">
        <f>LOWER(Campanha_ou_InsertionOrder&amp;"_"&amp;LineItem_ou_Grupodeanúncio&amp;"_"&amp;Linha_Criativa&amp;"_"&amp;Unique_ID)</f>
        <v>#N/A</v>
      </c>
      <c r="AN957" s="28" t="str">
        <f>LOWER(Campanha_ou_InsertionOrder&amp;"_"&amp;LineItem_ou_Grupodeanúncio&amp;"_"&amp;Linha_Criativa&amp;"_"&amp;Unique_ID)</f>
        <v>#N/A</v>
      </c>
      <c r="AO957" s="28" t="str">
        <f>LOWER("VW"&amp;"_"&amp;Model_Variant&amp;"_"&amp;Size&amp;"_"&amp;Linha_Criativa&amp;"_"&amp;IF(Servido_Por="portal",Veiculo,"adserver"))</f>
        <v>vw____adserver</v>
      </c>
      <c r="AP95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7" s="22" t="str">
        <f t="shared" si="1"/>
        <v/>
      </c>
      <c r="AS957" s="22" t="str">
        <f t="shared" si="2"/>
        <v/>
      </c>
      <c r="AT957" s="22" t="str">
        <f t="shared" si="3"/>
        <v>BR_IMC_DSY_LANCH_ND_NC_2020Q3AUG_NVS_Nivus-Launch-Consideracao</v>
      </c>
      <c r="AU957" s="22" t="str">
        <f t="shared" si="4"/>
        <v>#N/A</v>
      </c>
      <c r="AV957" s="22" t="s">
        <v>106</v>
      </c>
      <c r="AW95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7" s="22" t="str">
        <f t="shared" si="5"/>
        <v>BR_IMC_DSY_LANCH_ND_NC_2020Q3AUG_NVS_Nivus-Launch-Consideracao</v>
      </c>
      <c r="AY957" s="28" t="str">
        <f t="shared" si="6"/>
        <v>#N/A</v>
      </c>
      <c r="AZ957" s="22" t="s">
        <v>107</v>
      </c>
      <c r="BA957" s="22" t="s">
        <v>108</v>
      </c>
      <c r="BB957" s="31" t="s">
        <v>109</v>
      </c>
      <c r="BC957" s="31" t="s">
        <v>109</v>
      </c>
      <c r="BD957" s="32" t="str">
        <f t="shared" si="8"/>
        <v>nvl-nvs-imc-dsy-0820-10951</v>
      </c>
      <c r="BE957" s="33"/>
      <c r="BF957" s="33"/>
      <c r="BG957" s="39" t="str">
        <f>URL&amp;IF(ISNUMBER(FIND("?",URL)),"&amp;","?"&amp;("adlid="&amp;Unique_ID&amp;"&amp;adplt="&amp;Placement))</f>
        <v>#N/A</v>
      </c>
      <c r="BH957" s="1"/>
      <c r="BI957" s="1"/>
      <c r="BJ957" s="35" t="str">
        <f>LOWER("alp"&amp;"_"&amp;"vw"&amp;"_"&amp;Veiculo&amp;"_"&amp;C953&amp;"_"&amp;Objetivo)</f>
        <v>alp_vw___</v>
      </c>
      <c r="BK957" s="35" t="str">
        <f>LOWER(Buying_Metric&amp;"_"&amp;VLOOKUP(Buying_Type,Buy_type,2,FALSE)&amp;"_"&amp;Device&amp;"_"&amp;Size&amp;"_"&amp;Segmentação&amp;"_"&amp;Segmentação_Anúncio)</f>
        <v>#N/A</v>
      </c>
      <c r="BL957" s="35" t="str">
        <f>LOWER(Campanha_ou_InsertionOrder&amp;"_"&amp;LineItem_ou_Grupodeanúncio&amp;"_"&amp;Linha_criativa_2&amp;"_"&amp;Unique_ID)</f>
        <v>#N/A</v>
      </c>
      <c r="BM957" s="27"/>
      <c r="BN957" s="27"/>
    </row>
    <row r="958">
      <c r="A958" s="1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8" t="str">
        <f>LOWER(Campanha_ou_InsertionOrder&amp;"_"&amp;LineItem_ou_Grupodeanúncio&amp;"_"&amp;Linha_Criativa&amp;"_"&amp;Unique_ID)</f>
        <v>#N/A</v>
      </c>
      <c r="AN958" s="28" t="str">
        <f>LOWER(Campanha_ou_InsertionOrder&amp;"_"&amp;LineItem_ou_Grupodeanúncio&amp;"_"&amp;Linha_Criativa&amp;"_"&amp;Unique_ID)</f>
        <v>#N/A</v>
      </c>
      <c r="AO958" s="28" t="str">
        <f>LOWER("VW"&amp;"_"&amp;Model_Variant&amp;"_"&amp;Size&amp;"_"&amp;Linha_Criativa&amp;"_"&amp;IF(Servido_Por="portal",Veiculo,"adserver"))</f>
        <v>vw____adserver</v>
      </c>
      <c r="AP95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8" s="22" t="str">
        <f t="shared" si="1"/>
        <v/>
      </c>
      <c r="AS958" s="22" t="str">
        <f t="shared" si="2"/>
        <v/>
      </c>
      <c r="AT958" s="22" t="str">
        <f t="shared" si="3"/>
        <v>BR_IMC_DSY_LANCH_ND_NC_2020Q3AUG_NVS_Nivus-Launch-Consideracao</v>
      </c>
      <c r="AU958" s="22" t="str">
        <f t="shared" si="4"/>
        <v>#N/A</v>
      </c>
      <c r="AV958" s="22" t="s">
        <v>106</v>
      </c>
      <c r="AW95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8" s="22" t="str">
        <f t="shared" si="5"/>
        <v>BR_IMC_DSY_LANCH_ND_NC_2020Q3AUG_NVS_Nivus-Launch-Consideracao</v>
      </c>
      <c r="AY958" s="28" t="str">
        <f t="shared" si="6"/>
        <v>#N/A</v>
      </c>
      <c r="AZ958" s="22" t="s">
        <v>107</v>
      </c>
      <c r="BA958" s="22" t="s">
        <v>108</v>
      </c>
      <c r="BB958" s="31" t="s">
        <v>109</v>
      </c>
      <c r="BC958" s="31" t="s">
        <v>109</v>
      </c>
      <c r="BD958" s="32" t="str">
        <f t="shared" si="8"/>
        <v>nvl-nvs-imc-dsy-0820-10952</v>
      </c>
      <c r="BE958" s="33"/>
      <c r="BF958" s="33"/>
      <c r="BG958" s="39" t="str">
        <f>URL&amp;IF(ISNUMBER(FIND("?",URL)),"&amp;","?"&amp;("adlid="&amp;Unique_ID&amp;"&amp;adplt="&amp;Placement))</f>
        <v>#N/A</v>
      </c>
      <c r="BH958" s="1"/>
      <c r="BI958" s="1"/>
      <c r="BJ958" s="35" t="str">
        <f>LOWER("alp"&amp;"_"&amp;"vw"&amp;"_"&amp;Veiculo&amp;"_"&amp;C954&amp;"_"&amp;Objetivo)</f>
        <v>alp_vw___</v>
      </c>
      <c r="BK958" s="35" t="str">
        <f>LOWER(Buying_Metric&amp;"_"&amp;VLOOKUP(Buying_Type,Buy_type,2,FALSE)&amp;"_"&amp;Device&amp;"_"&amp;Size&amp;"_"&amp;Segmentação&amp;"_"&amp;Segmentação_Anúncio)</f>
        <v>#N/A</v>
      </c>
      <c r="BL958" s="35" t="str">
        <f>LOWER(Campanha_ou_InsertionOrder&amp;"_"&amp;LineItem_ou_Grupodeanúncio&amp;"_"&amp;Linha_criativa_2&amp;"_"&amp;Unique_ID)</f>
        <v>#N/A</v>
      </c>
      <c r="BM958" s="27"/>
      <c r="BN958" s="27"/>
    </row>
    <row r="959">
      <c r="A959" s="1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8" t="str">
        <f>LOWER(Campanha_ou_InsertionOrder&amp;"_"&amp;LineItem_ou_Grupodeanúncio&amp;"_"&amp;Linha_Criativa&amp;"_"&amp;Unique_ID)</f>
        <v>#N/A</v>
      </c>
      <c r="AN959" s="28" t="str">
        <f>LOWER(Campanha_ou_InsertionOrder&amp;"_"&amp;LineItem_ou_Grupodeanúncio&amp;"_"&amp;Linha_Criativa&amp;"_"&amp;Unique_ID)</f>
        <v>#N/A</v>
      </c>
      <c r="AO959" s="28" t="str">
        <f>LOWER("VW"&amp;"_"&amp;Model_Variant&amp;"_"&amp;Size&amp;"_"&amp;Linha_Criativa&amp;"_"&amp;IF(Servido_Por="portal",Veiculo,"adserver"))</f>
        <v>vw____adserver</v>
      </c>
      <c r="AP95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5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59" s="22" t="str">
        <f t="shared" si="1"/>
        <v/>
      </c>
      <c r="AS959" s="22" t="str">
        <f t="shared" si="2"/>
        <v/>
      </c>
      <c r="AT959" s="22" t="str">
        <f t="shared" si="3"/>
        <v>BR_IMC_DSY_LANCH_ND_NC_2020Q3AUG_NVS_Nivus-Launch-Consideracao</v>
      </c>
      <c r="AU959" s="22" t="str">
        <f t="shared" si="4"/>
        <v>#N/A</v>
      </c>
      <c r="AV959" s="22" t="s">
        <v>106</v>
      </c>
      <c r="AW95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59" s="22" t="str">
        <f t="shared" si="5"/>
        <v>BR_IMC_DSY_LANCH_ND_NC_2020Q3AUG_NVS_Nivus-Launch-Consideracao</v>
      </c>
      <c r="AY959" s="28" t="str">
        <f t="shared" si="6"/>
        <v>#N/A</v>
      </c>
      <c r="AZ959" s="22" t="s">
        <v>107</v>
      </c>
      <c r="BA959" s="22" t="s">
        <v>108</v>
      </c>
      <c r="BB959" s="31" t="s">
        <v>109</v>
      </c>
      <c r="BC959" s="31" t="s">
        <v>109</v>
      </c>
      <c r="BD959" s="32" t="str">
        <f t="shared" si="8"/>
        <v>nvl-nvs-imc-dsy-0820-10953</v>
      </c>
      <c r="BE959" s="33"/>
      <c r="BF959" s="33"/>
      <c r="BG959" s="39" t="str">
        <f>URL&amp;IF(ISNUMBER(FIND("?",URL)),"&amp;","?"&amp;("adlid="&amp;Unique_ID&amp;"&amp;adplt="&amp;Placement))</f>
        <v>#N/A</v>
      </c>
      <c r="BH959" s="1"/>
      <c r="BI959" s="1"/>
      <c r="BJ959" s="35" t="str">
        <f>LOWER("alp"&amp;"_"&amp;"vw"&amp;"_"&amp;Veiculo&amp;"_"&amp;C955&amp;"_"&amp;Objetivo)</f>
        <v>alp_vw___</v>
      </c>
      <c r="BK959" s="35" t="str">
        <f>LOWER(Buying_Metric&amp;"_"&amp;VLOOKUP(Buying_Type,Buy_type,2,FALSE)&amp;"_"&amp;Device&amp;"_"&amp;Size&amp;"_"&amp;Segmentação&amp;"_"&amp;Segmentação_Anúncio)</f>
        <v>#N/A</v>
      </c>
      <c r="BL959" s="35" t="str">
        <f>LOWER(Campanha_ou_InsertionOrder&amp;"_"&amp;LineItem_ou_Grupodeanúncio&amp;"_"&amp;Linha_criativa_2&amp;"_"&amp;Unique_ID)</f>
        <v>#N/A</v>
      </c>
      <c r="BM959" s="27"/>
      <c r="BN959" s="27"/>
    </row>
    <row r="960">
      <c r="A960" s="1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8" t="str">
        <f>LOWER(Campanha_ou_InsertionOrder&amp;"_"&amp;LineItem_ou_Grupodeanúncio&amp;"_"&amp;Linha_Criativa&amp;"_"&amp;Unique_ID)</f>
        <v>#N/A</v>
      </c>
      <c r="AN960" s="28" t="str">
        <f>LOWER(Campanha_ou_InsertionOrder&amp;"_"&amp;LineItem_ou_Grupodeanúncio&amp;"_"&amp;Linha_Criativa&amp;"_"&amp;Unique_ID)</f>
        <v>#N/A</v>
      </c>
      <c r="AO960" s="28" t="str">
        <f>LOWER("VW"&amp;"_"&amp;Model_Variant&amp;"_"&amp;Size&amp;"_"&amp;Linha_Criativa&amp;"_"&amp;IF(Servido_Por="portal",Veiculo,"adserver"))</f>
        <v>vw____adserver</v>
      </c>
      <c r="AP96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0" s="22" t="str">
        <f t="shared" si="1"/>
        <v/>
      </c>
      <c r="AS960" s="22" t="str">
        <f t="shared" si="2"/>
        <v/>
      </c>
      <c r="AT960" s="22" t="str">
        <f t="shared" si="3"/>
        <v>BR_IMC_DSY_LANCH_ND_NC_2020Q3AUG_NVS_Nivus-Launch-Consideracao</v>
      </c>
      <c r="AU960" s="22" t="str">
        <f t="shared" si="4"/>
        <v>#N/A</v>
      </c>
      <c r="AV960" s="22" t="s">
        <v>106</v>
      </c>
      <c r="AW96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0" s="22" t="str">
        <f t="shared" si="5"/>
        <v>BR_IMC_DSY_LANCH_ND_NC_2020Q3AUG_NVS_Nivus-Launch-Consideracao</v>
      </c>
      <c r="AY960" s="28" t="str">
        <f t="shared" si="6"/>
        <v>#N/A</v>
      </c>
      <c r="AZ960" s="22" t="s">
        <v>107</v>
      </c>
      <c r="BA960" s="22" t="s">
        <v>108</v>
      </c>
      <c r="BB960" s="31" t="s">
        <v>109</v>
      </c>
      <c r="BC960" s="31" t="s">
        <v>109</v>
      </c>
      <c r="BD960" s="32" t="str">
        <f t="shared" si="8"/>
        <v>nvl-nvs-imc-dsy-0820-10954</v>
      </c>
      <c r="BE960" s="33"/>
      <c r="BF960" s="33"/>
      <c r="BG960" s="39" t="str">
        <f>URL&amp;IF(ISNUMBER(FIND("?",URL)),"&amp;","?"&amp;("adlid="&amp;Unique_ID&amp;"&amp;adplt="&amp;Placement))</f>
        <v>#N/A</v>
      </c>
      <c r="BH960" s="1"/>
      <c r="BI960" s="1"/>
      <c r="BJ960" s="35" t="str">
        <f>LOWER("alp"&amp;"_"&amp;"vw"&amp;"_"&amp;Veiculo&amp;"_"&amp;C956&amp;"_"&amp;Objetivo)</f>
        <v>alp_vw___</v>
      </c>
      <c r="BK960" s="35" t="str">
        <f>LOWER(Buying_Metric&amp;"_"&amp;VLOOKUP(Buying_Type,Buy_type,2,FALSE)&amp;"_"&amp;Device&amp;"_"&amp;Size&amp;"_"&amp;Segmentação&amp;"_"&amp;Segmentação_Anúncio)</f>
        <v>#N/A</v>
      </c>
      <c r="BL960" s="35" t="str">
        <f>LOWER(Campanha_ou_InsertionOrder&amp;"_"&amp;LineItem_ou_Grupodeanúncio&amp;"_"&amp;Linha_criativa_2&amp;"_"&amp;Unique_ID)</f>
        <v>#N/A</v>
      </c>
      <c r="BM960" s="27"/>
      <c r="BN960" s="27"/>
    </row>
    <row r="961">
      <c r="A961" s="1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8" t="str">
        <f>LOWER(Campanha_ou_InsertionOrder&amp;"_"&amp;LineItem_ou_Grupodeanúncio&amp;"_"&amp;Linha_Criativa&amp;"_"&amp;Unique_ID)</f>
        <v>#N/A</v>
      </c>
      <c r="AN961" s="28" t="str">
        <f>LOWER(Campanha_ou_InsertionOrder&amp;"_"&amp;LineItem_ou_Grupodeanúncio&amp;"_"&amp;Linha_Criativa&amp;"_"&amp;Unique_ID)</f>
        <v>#N/A</v>
      </c>
      <c r="AO961" s="28" t="str">
        <f>LOWER("VW"&amp;"_"&amp;Model_Variant&amp;"_"&amp;Size&amp;"_"&amp;Linha_Criativa&amp;"_"&amp;IF(Servido_Por="portal",Veiculo,"adserver"))</f>
        <v>vw____adserver</v>
      </c>
      <c r="AP96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1" s="22" t="str">
        <f t="shared" si="1"/>
        <v/>
      </c>
      <c r="AS961" s="22" t="str">
        <f t="shared" si="2"/>
        <v/>
      </c>
      <c r="AT961" s="22" t="str">
        <f t="shared" si="3"/>
        <v>BR_IMC_DSY_LANCH_ND_NC_2020Q3AUG_NVS_Nivus-Launch-Consideracao</v>
      </c>
      <c r="AU961" s="22" t="str">
        <f t="shared" si="4"/>
        <v>#N/A</v>
      </c>
      <c r="AV961" s="22" t="s">
        <v>106</v>
      </c>
      <c r="AW96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1" s="22" t="str">
        <f t="shared" si="5"/>
        <v>BR_IMC_DSY_LANCH_ND_NC_2020Q3AUG_NVS_Nivus-Launch-Consideracao</v>
      </c>
      <c r="AY961" s="28" t="str">
        <f t="shared" si="6"/>
        <v>#N/A</v>
      </c>
      <c r="AZ961" s="22" t="s">
        <v>107</v>
      </c>
      <c r="BA961" s="22" t="s">
        <v>108</v>
      </c>
      <c r="BB961" s="31" t="s">
        <v>109</v>
      </c>
      <c r="BC961" s="31" t="s">
        <v>109</v>
      </c>
      <c r="BD961" s="32" t="str">
        <f t="shared" si="8"/>
        <v>nvl-nvs-imc-dsy-0820-10955</v>
      </c>
      <c r="BE961" s="33"/>
      <c r="BF961" s="33"/>
      <c r="BG961" s="39" t="str">
        <f>URL&amp;IF(ISNUMBER(FIND("?",URL)),"&amp;","?"&amp;("adlid="&amp;Unique_ID&amp;"&amp;adplt="&amp;Placement))</f>
        <v>#N/A</v>
      </c>
      <c r="BH961" s="1"/>
      <c r="BI961" s="1"/>
      <c r="BJ961" s="35" t="str">
        <f>LOWER("alp"&amp;"_"&amp;"vw"&amp;"_"&amp;Veiculo&amp;"_"&amp;C957&amp;"_"&amp;Objetivo)</f>
        <v>alp_vw___</v>
      </c>
      <c r="BK961" s="35" t="str">
        <f>LOWER(Buying_Metric&amp;"_"&amp;VLOOKUP(Buying_Type,Buy_type,2,FALSE)&amp;"_"&amp;Device&amp;"_"&amp;Size&amp;"_"&amp;Segmentação&amp;"_"&amp;Segmentação_Anúncio)</f>
        <v>#N/A</v>
      </c>
      <c r="BL961" s="35" t="str">
        <f>LOWER(Campanha_ou_InsertionOrder&amp;"_"&amp;LineItem_ou_Grupodeanúncio&amp;"_"&amp;Linha_criativa_2&amp;"_"&amp;Unique_ID)</f>
        <v>#N/A</v>
      </c>
      <c r="BM961" s="27"/>
      <c r="BN961" s="27"/>
    </row>
    <row r="962">
      <c r="A962" s="1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8" t="str">
        <f>LOWER(Campanha_ou_InsertionOrder&amp;"_"&amp;LineItem_ou_Grupodeanúncio&amp;"_"&amp;Linha_Criativa&amp;"_"&amp;Unique_ID)</f>
        <v>#N/A</v>
      </c>
      <c r="AN962" s="28" t="str">
        <f>LOWER(Campanha_ou_InsertionOrder&amp;"_"&amp;LineItem_ou_Grupodeanúncio&amp;"_"&amp;Linha_Criativa&amp;"_"&amp;Unique_ID)</f>
        <v>#N/A</v>
      </c>
      <c r="AO962" s="28" t="str">
        <f>LOWER("VW"&amp;"_"&amp;Model_Variant&amp;"_"&amp;Size&amp;"_"&amp;Linha_Criativa&amp;"_"&amp;IF(Servido_Por="portal",Veiculo,"adserver"))</f>
        <v>vw____adserver</v>
      </c>
      <c r="AP96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2" s="22" t="str">
        <f t="shared" si="1"/>
        <v/>
      </c>
      <c r="AS962" s="22" t="str">
        <f t="shared" si="2"/>
        <v/>
      </c>
      <c r="AT962" s="22" t="str">
        <f t="shared" si="3"/>
        <v>BR_IMC_DSY_LANCH_ND_NC_2020Q3AUG_NVS_Nivus-Launch-Consideracao</v>
      </c>
      <c r="AU962" s="22" t="str">
        <f t="shared" si="4"/>
        <v>#N/A</v>
      </c>
      <c r="AV962" s="22" t="s">
        <v>106</v>
      </c>
      <c r="AW96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2" s="22" t="str">
        <f t="shared" si="5"/>
        <v>BR_IMC_DSY_LANCH_ND_NC_2020Q3AUG_NVS_Nivus-Launch-Consideracao</v>
      </c>
      <c r="AY962" s="28" t="str">
        <f t="shared" si="6"/>
        <v>#N/A</v>
      </c>
      <c r="AZ962" s="22" t="s">
        <v>107</v>
      </c>
      <c r="BA962" s="22" t="s">
        <v>108</v>
      </c>
      <c r="BB962" s="31" t="s">
        <v>109</v>
      </c>
      <c r="BC962" s="31" t="s">
        <v>109</v>
      </c>
      <c r="BD962" s="32" t="str">
        <f t="shared" si="8"/>
        <v>nvl-nvs-imc-dsy-0820-10956</v>
      </c>
      <c r="BE962" s="33"/>
      <c r="BF962" s="33"/>
      <c r="BG962" s="39" t="str">
        <f>URL&amp;IF(ISNUMBER(FIND("?",URL)),"&amp;","?"&amp;("adlid="&amp;Unique_ID&amp;"&amp;adplt="&amp;Placement))</f>
        <v>#N/A</v>
      </c>
      <c r="BH962" s="1"/>
      <c r="BI962" s="1"/>
      <c r="BJ962" s="35" t="str">
        <f>LOWER("alp"&amp;"_"&amp;"vw"&amp;"_"&amp;Veiculo&amp;"_"&amp;C958&amp;"_"&amp;Objetivo)</f>
        <v>alp_vw___</v>
      </c>
      <c r="BK962" s="35" t="str">
        <f>LOWER(Buying_Metric&amp;"_"&amp;VLOOKUP(Buying_Type,Buy_type,2,FALSE)&amp;"_"&amp;Device&amp;"_"&amp;Size&amp;"_"&amp;Segmentação&amp;"_"&amp;Segmentação_Anúncio)</f>
        <v>#N/A</v>
      </c>
      <c r="BL962" s="35" t="str">
        <f>LOWER(Campanha_ou_InsertionOrder&amp;"_"&amp;LineItem_ou_Grupodeanúncio&amp;"_"&amp;Linha_criativa_2&amp;"_"&amp;Unique_ID)</f>
        <v>#N/A</v>
      </c>
      <c r="BM962" s="27"/>
      <c r="BN962" s="27"/>
    </row>
    <row r="963">
      <c r="A963" s="1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8" t="str">
        <f>LOWER(Campanha_ou_InsertionOrder&amp;"_"&amp;LineItem_ou_Grupodeanúncio&amp;"_"&amp;Linha_Criativa&amp;"_"&amp;Unique_ID)</f>
        <v>#N/A</v>
      </c>
      <c r="AN963" s="28" t="str">
        <f>LOWER(Campanha_ou_InsertionOrder&amp;"_"&amp;LineItem_ou_Grupodeanúncio&amp;"_"&amp;Linha_Criativa&amp;"_"&amp;Unique_ID)</f>
        <v>#N/A</v>
      </c>
      <c r="AO963" s="28" t="str">
        <f>LOWER("VW"&amp;"_"&amp;Model_Variant&amp;"_"&amp;Size&amp;"_"&amp;Linha_Criativa&amp;"_"&amp;IF(Servido_Por="portal",Veiculo,"adserver"))</f>
        <v>vw____adserver</v>
      </c>
      <c r="AP96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3" s="22" t="str">
        <f t="shared" si="1"/>
        <v/>
      </c>
      <c r="AS963" s="22" t="str">
        <f t="shared" si="2"/>
        <v/>
      </c>
      <c r="AT963" s="22" t="str">
        <f t="shared" si="3"/>
        <v>BR_IMC_DSY_LANCH_ND_NC_2020Q3AUG_NVS_Nivus-Launch-Consideracao</v>
      </c>
      <c r="AU963" s="22" t="str">
        <f t="shared" si="4"/>
        <v>#N/A</v>
      </c>
      <c r="AV963" s="22" t="s">
        <v>106</v>
      </c>
      <c r="AW96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3" s="22" t="str">
        <f t="shared" si="5"/>
        <v>BR_IMC_DSY_LANCH_ND_NC_2020Q3AUG_NVS_Nivus-Launch-Consideracao</v>
      </c>
      <c r="AY963" s="28" t="str">
        <f t="shared" si="6"/>
        <v>#N/A</v>
      </c>
      <c r="AZ963" s="22" t="s">
        <v>107</v>
      </c>
      <c r="BA963" s="22" t="s">
        <v>108</v>
      </c>
      <c r="BB963" s="31" t="s">
        <v>109</v>
      </c>
      <c r="BC963" s="31" t="s">
        <v>109</v>
      </c>
      <c r="BD963" s="32" t="str">
        <f t="shared" si="8"/>
        <v>nvl-nvs-imc-dsy-0820-10957</v>
      </c>
      <c r="BE963" s="33"/>
      <c r="BF963" s="33"/>
      <c r="BG963" s="39" t="str">
        <f>URL&amp;IF(ISNUMBER(FIND("?",URL)),"&amp;","?"&amp;("adlid="&amp;Unique_ID&amp;"&amp;adplt="&amp;Placement))</f>
        <v>#N/A</v>
      </c>
      <c r="BH963" s="1"/>
      <c r="BI963" s="1"/>
      <c r="BJ963" s="35" t="str">
        <f>LOWER("alp"&amp;"_"&amp;"vw"&amp;"_"&amp;Veiculo&amp;"_"&amp;C959&amp;"_"&amp;Objetivo)</f>
        <v>alp_vw___</v>
      </c>
      <c r="BK963" s="35" t="str">
        <f>LOWER(Buying_Metric&amp;"_"&amp;VLOOKUP(Buying_Type,Buy_type,2,FALSE)&amp;"_"&amp;Device&amp;"_"&amp;Size&amp;"_"&amp;Segmentação&amp;"_"&amp;Segmentação_Anúncio)</f>
        <v>#N/A</v>
      </c>
      <c r="BL963" s="35" t="str">
        <f>LOWER(Campanha_ou_InsertionOrder&amp;"_"&amp;LineItem_ou_Grupodeanúncio&amp;"_"&amp;Linha_criativa_2&amp;"_"&amp;Unique_ID)</f>
        <v>#N/A</v>
      </c>
      <c r="BM963" s="27"/>
      <c r="BN963" s="27"/>
    </row>
    <row r="964">
      <c r="A964" s="1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8" t="str">
        <f>LOWER(Campanha_ou_InsertionOrder&amp;"_"&amp;LineItem_ou_Grupodeanúncio&amp;"_"&amp;Linha_Criativa&amp;"_"&amp;Unique_ID)</f>
        <v>#N/A</v>
      </c>
      <c r="AN964" s="28" t="str">
        <f>LOWER(Campanha_ou_InsertionOrder&amp;"_"&amp;LineItem_ou_Grupodeanúncio&amp;"_"&amp;Linha_Criativa&amp;"_"&amp;Unique_ID)</f>
        <v>#N/A</v>
      </c>
      <c r="AO964" s="28" t="str">
        <f>LOWER("VW"&amp;"_"&amp;Model_Variant&amp;"_"&amp;Size&amp;"_"&amp;Linha_Criativa&amp;"_"&amp;IF(Servido_Por="portal",Veiculo,"adserver"))</f>
        <v>vw____adserver</v>
      </c>
      <c r="AP96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4" s="22" t="str">
        <f t="shared" si="1"/>
        <v/>
      </c>
      <c r="AS964" s="22" t="str">
        <f t="shared" si="2"/>
        <v/>
      </c>
      <c r="AT964" s="22" t="str">
        <f t="shared" si="3"/>
        <v>BR_IMC_DSY_LANCH_ND_NC_2020Q3AUG_NVS_Nivus-Launch-Consideracao</v>
      </c>
      <c r="AU964" s="22" t="str">
        <f t="shared" si="4"/>
        <v>#N/A</v>
      </c>
      <c r="AV964" s="22" t="s">
        <v>106</v>
      </c>
      <c r="AW96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4" s="22" t="str">
        <f t="shared" si="5"/>
        <v>BR_IMC_DSY_LANCH_ND_NC_2020Q3AUG_NVS_Nivus-Launch-Consideracao</v>
      </c>
      <c r="AY964" s="28" t="str">
        <f t="shared" si="6"/>
        <v>#N/A</v>
      </c>
      <c r="AZ964" s="22" t="s">
        <v>107</v>
      </c>
      <c r="BA964" s="22" t="s">
        <v>108</v>
      </c>
      <c r="BB964" s="31" t="s">
        <v>109</v>
      </c>
      <c r="BC964" s="31" t="s">
        <v>109</v>
      </c>
      <c r="BD964" s="32" t="str">
        <f t="shared" si="8"/>
        <v>nvl-nvs-imc-dsy-0820-10958</v>
      </c>
      <c r="BE964" s="33"/>
      <c r="BF964" s="33"/>
      <c r="BG964" s="39" t="str">
        <f>URL&amp;IF(ISNUMBER(FIND("?",URL)),"&amp;","?"&amp;("adlid="&amp;Unique_ID&amp;"&amp;adplt="&amp;Placement))</f>
        <v>#N/A</v>
      </c>
      <c r="BH964" s="1"/>
      <c r="BI964" s="1"/>
      <c r="BJ964" s="35" t="str">
        <f>LOWER("alp"&amp;"_"&amp;"vw"&amp;"_"&amp;Veiculo&amp;"_"&amp;C960&amp;"_"&amp;Objetivo)</f>
        <v>alp_vw___</v>
      </c>
      <c r="BK964" s="35" t="str">
        <f>LOWER(Buying_Metric&amp;"_"&amp;VLOOKUP(Buying_Type,Buy_type,2,FALSE)&amp;"_"&amp;Device&amp;"_"&amp;Size&amp;"_"&amp;Segmentação&amp;"_"&amp;Segmentação_Anúncio)</f>
        <v>#N/A</v>
      </c>
      <c r="BL964" s="35" t="str">
        <f>LOWER(Campanha_ou_InsertionOrder&amp;"_"&amp;LineItem_ou_Grupodeanúncio&amp;"_"&amp;Linha_criativa_2&amp;"_"&amp;Unique_ID)</f>
        <v>#N/A</v>
      </c>
      <c r="BM964" s="27"/>
      <c r="BN964" s="27"/>
    </row>
    <row r="965">
      <c r="A965" s="1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8" t="str">
        <f>LOWER(Campanha_ou_InsertionOrder&amp;"_"&amp;LineItem_ou_Grupodeanúncio&amp;"_"&amp;Linha_Criativa&amp;"_"&amp;Unique_ID)</f>
        <v>#N/A</v>
      </c>
      <c r="AN965" s="28" t="str">
        <f>LOWER(Campanha_ou_InsertionOrder&amp;"_"&amp;LineItem_ou_Grupodeanúncio&amp;"_"&amp;Linha_Criativa&amp;"_"&amp;Unique_ID)</f>
        <v>#N/A</v>
      </c>
      <c r="AO965" s="28" t="str">
        <f>LOWER("VW"&amp;"_"&amp;Model_Variant&amp;"_"&amp;Size&amp;"_"&amp;Linha_Criativa&amp;"_"&amp;IF(Servido_Por="portal",Veiculo,"adserver"))</f>
        <v>vw____adserver</v>
      </c>
      <c r="AP96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5" s="22" t="str">
        <f t="shared" si="1"/>
        <v/>
      </c>
      <c r="AS965" s="22" t="str">
        <f t="shared" si="2"/>
        <v/>
      </c>
      <c r="AT965" s="22" t="str">
        <f t="shared" si="3"/>
        <v>BR_IMC_DSY_LANCH_ND_NC_2020Q3AUG_NVS_Nivus-Launch-Consideracao</v>
      </c>
      <c r="AU965" s="22" t="str">
        <f t="shared" si="4"/>
        <v>#N/A</v>
      </c>
      <c r="AV965" s="22" t="s">
        <v>106</v>
      </c>
      <c r="AW96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5" s="22" t="str">
        <f t="shared" si="5"/>
        <v>BR_IMC_DSY_LANCH_ND_NC_2020Q3AUG_NVS_Nivus-Launch-Consideracao</v>
      </c>
      <c r="AY965" s="28" t="str">
        <f t="shared" si="6"/>
        <v>#N/A</v>
      </c>
      <c r="AZ965" s="22" t="s">
        <v>107</v>
      </c>
      <c r="BA965" s="22" t="s">
        <v>108</v>
      </c>
      <c r="BB965" s="31" t="s">
        <v>109</v>
      </c>
      <c r="BC965" s="31" t="s">
        <v>109</v>
      </c>
      <c r="BD965" s="32" t="str">
        <f t="shared" si="8"/>
        <v>nvl-nvs-imc-dsy-0820-10959</v>
      </c>
      <c r="BE965" s="33"/>
      <c r="BF965" s="33"/>
      <c r="BG965" s="39" t="str">
        <f>URL&amp;IF(ISNUMBER(FIND("?",URL)),"&amp;","?"&amp;("adlid="&amp;Unique_ID&amp;"&amp;adplt="&amp;Placement))</f>
        <v>#N/A</v>
      </c>
      <c r="BH965" s="1"/>
      <c r="BI965" s="1"/>
      <c r="BJ965" s="35" t="str">
        <f>LOWER("alp"&amp;"_"&amp;"vw"&amp;"_"&amp;Veiculo&amp;"_"&amp;C961&amp;"_"&amp;Objetivo)</f>
        <v>alp_vw___</v>
      </c>
      <c r="BK965" s="35" t="str">
        <f>LOWER(Buying_Metric&amp;"_"&amp;VLOOKUP(Buying_Type,Buy_type,2,FALSE)&amp;"_"&amp;Device&amp;"_"&amp;Size&amp;"_"&amp;Segmentação&amp;"_"&amp;Segmentação_Anúncio)</f>
        <v>#N/A</v>
      </c>
      <c r="BL965" s="35" t="str">
        <f>LOWER(Campanha_ou_InsertionOrder&amp;"_"&amp;LineItem_ou_Grupodeanúncio&amp;"_"&amp;Linha_criativa_2&amp;"_"&amp;Unique_ID)</f>
        <v>#N/A</v>
      </c>
      <c r="BM965" s="27"/>
      <c r="BN965" s="27"/>
    </row>
    <row r="966">
      <c r="A966" s="1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8" t="str">
        <f>LOWER(Campanha_ou_InsertionOrder&amp;"_"&amp;LineItem_ou_Grupodeanúncio&amp;"_"&amp;Linha_Criativa&amp;"_"&amp;Unique_ID)</f>
        <v>#N/A</v>
      </c>
      <c r="AN966" s="28" t="str">
        <f>LOWER(Campanha_ou_InsertionOrder&amp;"_"&amp;LineItem_ou_Grupodeanúncio&amp;"_"&amp;Linha_Criativa&amp;"_"&amp;Unique_ID)</f>
        <v>#N/A</v>
      </c>
      <c r="AO966" s="28" t="str">
        <f>LOWER("VW"&amp;"_"&amp;Model_Variant&amp;"_"&amp;Size&amp;"_"&amp;Linha_Criativa&amp;"_"&amp;IF(Servido_Por="portal",Veiculo,"adserver"))</f>
        <v>vw____adserver</v>
      </c>
      <c r="AP96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6" s="22" t="str">
        <f t="shared" si="1"/>
        <v/>
      </c>
      <c r="AS966" s="22" t="str">
        <f t="shared" si="2"/>
        <v/>
      </c>
      <c r="AT966" s="22" t="str">
        <f t="shared" si="3"/>
        <v>BR_IMC_DSY_LANCH_ND_NC_2020Q3AUG_NVS_Nivus-Launch-Consideracao</v>
      </c>
      <c r="AU966" s="22" t="str">
        <f t="shared" si="4"/>
        <v>#N/A</v>
      </c>
      <c r="AV966" s="22" t="s">
        <v>106</v>
      </c>
      <c r="AW96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6" s="22" t="str">
        <f t="shared" si="5"/>
        <v>BR_IMC_DSY_LANCH_ND_NC_2020Q3AUG_NVS_Nivus-Launch-Consideracao</v>
      </c>
      <c r="AY966" s="28" t="str">
        <f t="shared" si="6"/>
        <v>#N/A</v>
      </c>
      <c r="AZ966" s="22" t="s">
        <v>107</v>
      </c>
      <c r="BA966" s="22" t="s">
        <v>108</v>
      </c>
      <c r="BB966" s="31" t="s">
        <v>109</v>
      </c>
      <c r="BC966" s="31" t="s">
        <v>109</v>
      </c>
      <c r="BD966" s="32" t="str">
        <f t="shared" si="8"/>
        <v>nvl-nvs-imc-dsy-0820-10960</v>
      </c>
      <c r="BE966" s="33"/>
      <c r="BF966" s="33"/>
      <c r="BG966" s="39" t="str">
        <f>URL&amp;IF(ISNUMBER(FIND("?",URL)),"&amp;","?"&amp;("adlid="&amp;Unique_ID&amp;"&amp;adplt="&amp;Placement))</f>
        <v>#N/A</v>
      </c>
      <c r="BH966" s="1"/>
      <c r="BI966" s="1"/>
      <c r="BJ966" s="35" t="str">
        <f>LOWER("alp"&amp;"_"&amp;"vw"&amp;"_"&amp;Veiculo&amp;"_"&amp;C962&amp;"_"&amp;Objetivo)</f>
        <v>alp_vw___</v>
      </c>
      <c r="BK966" s="35" t="str">
        <f>LOWER(Buying_Metric&amp;"_"&amp;VLOOKUP(Buying_Type,Buy_type,2,FALSE)&amp;"_"&amp;Device&amp;"_"&amp;Size&amp;"_"&amp;Segmentação&amp;"_"&amp;Segmentação_Anúncio)</f>
        <v>#N/A</v>
      </c>
      <c r="BL966" s="35" t="str">
        <f>LOWER(Campanha_ou_InsertionOrder&amp;"_"&amp;LineItem_ou_Grupodeanúncio&amp;"_"&amp;Linha_criativa_2&amp;"_"&amp;Unique_ID)</f>
        <v>#N/A</v>
      </c>
      <c r="BM966" s="27"/>
      <c r="BN966" s="27"/>
    </row>
    <row r="967">
      <c r="A967" s="1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8" t="str">
        <f>LOWER(Campanha_ou_InsertionOrder&amp;"_"&amp;LineItem_ou_Grupodeanúncio&amp;"_"&amp;Linha_Criativa&amp;"_"&amp;Unique_ID)</f>
        <v>#N/A</v>
      </c>
      <c r="AN967" s="28" t="str">
        <f>LOWER(Campanha_ou_InsertionOrder&amp;"_"&amp;LineItem_ou_Grupodeanúncio&amp;"_"&amp;Linha_Criativa&amp;"_"&amp;Unique_ID)</f>
        <v>#N/A</v>
      </c>
      <c r="AO967" s="28" t="str">
        <f>LOWER("VW"&amp;"_"&amp;Model_Variant&amp;"_"&amp;Size&amp;"_"&amp;Linha_Criativa&amp;"_"&amp;IF(Servido_Por="portal",Veiculo,"adserver"))</f>
        <v>vw____adserver</v>
      </c>
      <c r="AP96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7" s="22" t="str">
        <f t="shared" si="1"/>
        <v/>
      </c>
      <c r="AS967" s="22" t="str">
        <f t="shared" si="2"/>
        <v/>
      </c>
      <c r="AT967" s="22" t="str">
        <f t="shared" si="3"/>
        <v>BR_IMC_DSY_LANCH_ND_NC_2020Q3AUG_NVS_Nivus-Launch-Consideracao</v>
      </c>
      <c r="AU967" s="22" t="str">
        <f t="shared" si="4"/>
        <v>#N/A</v>
      </c>
      <c r="AV967" s="22" t="s">
        <v>106</v>
      </c>
      <c r="AW96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7" s="22" t="str">
        <f t="shared" si="5"/>
        <v>BR_IMC_DSY_LANCH_ND_NC_2020Q3AUG_NVS_Nivus-Launch-Consideracao</v>
      </c>
      <c r="AY967" s="28" t="str">
        <f t="shared" si="6"/>
        <v>#N/A</v>
      </c>
      <c r="AZ967" s="22" t="s">
        <v>107</v>
      </c>
      <c r="BA967" s="22" t="s">
        <v>108</v>
      </c>
      <c r="BB967" s="31" t="s">
        <v>109</v>
      </c>
      <c r="BC967" s="31" t="s">
        <v>109</v>
      </c>
      <c r="BD967" s="32" t="str">
        <f t="shared" si="8"/>
        <v>nvl-nvs-imc-dsy-0820-10961</v>
      </c>
      <c r="BE967" s="33"/>
      <c r="BF967" s="33"/>
      <c r="BG967" s="39" t="str">
        <f>URL&amp;IF(ISNUMBER(FIND("?",URL)),"&amp;","?"&amp;("adlid="&amp;Unique_ID&amp;"&amp;adplt="&amp;Placement))</f>
        <v>#N/A</v>
      </c>
      <c r="BH967" s="1"/>
      <c r="BI967" s="1"/>
      <c r="BJ967" s="35" t="str">
        <f>LOWER("alp"&amp;"_"&amp;"vw"&amp;"_"&amp;Veiculo&amp;"_"&amp;C963&amp;"_"&amp;Objetivo)</f>
        <v>alp_vw___</v>
      </c>
      <c r="BK967" s="35" t="str">
        <f>LOWER(Buying_Metric&amp;"_"&amp;VLOOKUP(Buying_Type,Buy_type,2,FALSE)&amp;"_"&amp;Device&amp;"_"&amp;Size&amp;"_"&amp;Segmentação&amp;"_"&amp;Segmentação_Anúncio)</f>
        <v>#N/A</v>
      </c>
      <c r="BL967" s="35" t="str">
        <f>LOWER(Campanha_ou_InsertionOrder&amp;"_"&amp;LineItem_ou_Grupodeanúncio&amp;"_"&amp;Linha_criativa_2&amp;"_"&amp;Unique_ID)</f>
        <v>#N/A</v>
      </c>
      <c r="BM967" s="27"/>
      <c r="BN967" s="27"/>
    </row>
    <row r="968">
      <c r="A968" s="1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8" t="str">
        <f>LOWER(Campanha_ou_InsertionOrder&amp;"_"&amp;LineItem_ou_Grupodeanúncio&amp;"_"&amp;Linha_Criativa&amp;"_"&amp;Unique_ID)</f>
        <v>#N/A</v>
      </c>
      <c r="AN968" s="28" t="str">
        <f>LOWER(Campanha_ou_InsertionOrder&amp;"_"&amp;LineItem_ou_Grupodeanúncio&amp;"_"&amp;Linha_Criativa&amp;"_"&amp;Unique_ID)</f>
        <v>#N/A</v>
      </c>
      <c r="AO968" s="28" t="str">
        <f>LOWER("VW"&amp;"_"&amp;Model_Variant&amp;"_"&amp;Size&amp;"_"&amp;Linha_Criativa&amp;"_"&amp;IF(Servido_Por="portal",Veiculo,"adserver"))</f>
        <v>vw____adserver</v>
      </c>
      <c r="AP96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8" s="22" t="str">
        <f t="shared" si="1"/>
        <v/>
      </c>
      <c r="AS968" s="22" t="str">
        <f t="shared" si="2"/>
        <v/>
      </c>
      <c r="AT968" s="22" t="str">
        <f t="shared" si="3"/>
        <v>BR_IMC_DSY_LANCH_ND_NC_2020Q3AUG_NVS_Nivus-Launch-Consideracao</v>
      </c>
      <c r="AU968" s="22" t="str">
        <f t="shared" si="4"/>
        <v>#N/A</v>
      </c>
      <c r="AV968" s="22" t="s">
        <v>106</v>
      </c>
      <c r="AW96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8" s="22" t="str">
        <f t="shared" si="5"/>
        <v>BR_IMC_DSY_LANCH_ND_NC_2020Q3AUG_NVS_Nivus-Launch-Consideracao</v>
      </c>
      <c r="AY968" s="28" t="str">
        <f t="shared" si="6"/>
        <v>#N/A</v>
      </c>
      <c r="AZ968" s="22" t="s">
        <v>107</v>
      </c>
      <c r="BA968" s="22" t="s">
        <v>108</v>
      </c>
      <c r="BB968" s="31" t="s">
        <v>109</v>
      </c>
      <c r="BC968" s="31" t="s">
        <v>109</v>
      </c>
      <c r="BD968" s="32" t="str">
        <f t="shared" si="8"/>
        <v>nvl-nvs-imc-dsy-0820-10962</v>
      </c>
      <c r="BE968" s="33"/>
      <c r="BF968" s="33"/>
      <c r="BG968" s="39" t="str">
        <f>URL&amp;IF(ISNUMBER(FIND("?",URL)),"&amp;","?"&amp;("adlid="&amp;Unique_ID&amp;"&amp;adplt="&amp;Placement))</f>
        <v>#N/A</v>
      </c>
      <c r="BH968" s="1"/>
      <c r="BI968" s="1"/>
      <c r="BJ968" s="35" t="str">
        <f>LOWER("alp"&amp;"_"&amp;"vw"&amp;"_"&amp;Veiculo&amp;"_"&amp;C964&amp;"_"&amp;Objetivo)</f>
        <v>alp_vw___</v>
      </c>
      <c r="BK968" s="35" t="str">
        <f>LOWER(Buying_Metric&amp;"_"&amp;VLOOKUP(Buying_Type,Buy_type,2,FALSE)&amp;"_"&amp;Device&amp;"_"&amp;Size&amp;"_"&amp;Segmentação&amp;"_"&amp;Segmentação_Anúncio)</f>
        <v>#N/A</v>
      </c>
      <c r="BL968" s="35" t="str">
        <f>LOWER(Campanha_ou_InsertionOrder&amp;"_"&amp;LineItem_ou_Grupodeanúncio&amp;"_"&amp;Linha_criativa_2&amp;"_"&amp;Unique_ID)</f>
        <v>#N/A</v>
      </c>
      <c r="BM968" s="27"/>
      <c r="BN968" s="27"/>
    </row>
    <row r="969">
      <c r="A969" s="1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8" t="str">
        <f>LOWER(Campanha_ou_InsertionOrder&amp;"_"&amp;LineItem_ou_Grupodeanúncio&amp;"_"&amp;Linha_Criativa&amp;"_"&amp;Unique_ID)</f>
        <v>#N/A</v>
      </c>
      <c r="AN969" s="28" t="str">
        <f>LOWER(Campanha_ou_InsertionOrder&amp;"_"&amp;LineItem_ou_Grupodeanúncio&amp;"_"&amp;Linha_Criativa&amp;"_"&amp;Unique_ID)</f>
        <v>#N/A</v>
      </c>
      <c r="AO969" s="28" t="str">
        <f>LOWER("VW"&amp;"_"&amp;Model_Variant&amp;"_"&amp;Size&amp;"_"&amp;Linha_Criativa&amp;"_"&amp;IF(Servido_Por="portal",Veiculo,"adserver"))</f>
        <v>vw____adserver</v>
      </c>
      <c r="AP96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6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69" s="22" t="str">
        <f t="shared" si="1"/>
        <v/>
      </c>
      <c r="AS969" s="22" t="str">
        <f t="shared" si="2"/>
        <v/>
      </c>
      <c r="AT969" s="22" t="str">
        <f t="shared" si="3"/>
        <v>BR_IMC_DSY_LANCH_ND_NC_2020Q3AUG_NVS_Nivus-Launch-Consideracao</v>
      </c>
      <c r="AU969" s="22" t="str">
        <f t="shared" si="4"/>
        <v>#N/A</v>
      </c>
      <c r="AV969" s="22" t="s">
        <v>106</v>
      </c>
      <c r="AW96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69" s="22" t="str">
        <f t="shared" si="5"/>
        <v>BR_IMC_DSY_LANCH_ND_NC_2020Q3AUG_NVS_Nivus-Launch-Consideracao</v>
      </c>
      <c r="AY969" s="28" t="str">
        <f t="shared" si="6"/>
        <v>#N/A</v>
      </c>
      <c r="AZ969" s="22" t="s">
        <v>107</v>
      </c>
      <c r="BA969" s="22" t="s">
        <v>108</v>
      </c>
      <c r="BB969" s="31" t="s">
        <v>109</v>
      </c>
      <c r="BC969" s="31" t="s">
        <v>109</v>
      </c>
      <c r="BD969" s="32" t="str">
        <f t="shared" si="8"/>
        <v>nvl-nvs-imc-dsy-0820-10963</v>
      </c>
      <c r="BE969" s="33"/>
      <c r="BF969" s="33"/>
      <c r="BG969" s="39" t="str">
        <f>URL&amp;IF(ISNUMBER(FIND("?",URL)),"&amp;","?"&amp;("adlid="&amp;Unique_ID&amp;"&amp;adplt="&amp;Placement))</f>
        <v>#N/A</v>
      </c>
      <c r="BH969" s="1"/>
      <c r="BI969" s="1"/>
      <c r="BJ969" s="35" t="str">
        <f>LOWER("alp"&amp;"_"&amp;"vw"&amp;"_"&amp;Veiculo&amp;"_"&amp;C965&amp;"_"&amp;Objetivo)</f>
        <v>alp_vw___</v>
      </c>
      <c r="BK969" s="35" t="str">
        <f>LOWER(Buying_Metric&amp;"_"&amp;VLOOKUP(Buying_Type,Buy_type,2,FALSE)&amp;"_"&amp;Device&amp;"_"&amp;Size&amp;"_"&amp;Segmentação&amp;"_"&amp;Segmentação_Anúncio)</f>
        <v>#N/A</v>
      </c>
      <c r="BL969" s="35" t="str">
        <f>LOWER(Campanha_ou_InsertionOrder&amp;"_"&amp;LineItem_ou_Grupodeanúncio&amp;"_"&amp;Linha_criativa_2&amp;"_"&amp;Unique_ID)</f>
        <v>#N/A</v>
      </c>
      <c r="BM969" s="27"/>
      <c r="BN969" s="27"/>
    </row>
    <row r="970">
      <c r="A970" s="1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8" t="str">
        <f>LOWER(Campanha_ou_InsertionOrder&amp;"_"&amp;LineItem_ou_Grupodeanúncio&amp;"_"&amp;Linha_Criativa&amp;"_"&amp;Unique_ID)</f>
        <v>#N/A</v>
      </c>
      <c r="AN970" s="28" t="str">
        <f>LOWER(Campanha_ou_InsertionOrder&amp;"_"&amp;LineItem_ou_Grupodeanúncio&amp;"_"&amp;Linha_Criativa&amp;"_"&amp;Unique_ID)</f>
        <v>#N/A</v>
      </c>
      <c r="AO970" s="28" t="str">
        <f>LOWER("VW"&amp;"_"&amp;Model_Variant&amp;"_"&amp;Size&amp;"_"&amp;Linha_Criativa&amp;"_"&amp;IF(Servido_Por="portal",Veiculo,"adserver"))</f>
        <v>vw____adserver</v>
      </c>
      <c r="AP97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0" s="22" t="str">
        <f t="shared" si="1"/>
        <v/>
      </c>
      <c r="AS970" s="22" t="str">
        <f t="shared" si="2"/>
        <v/>
      </c>
      <c r="AT970" s="22" t="str">
        <f t="shared" si="3"/>
        <v>BR_IMC_DSY_LANCH_ND_NC_2020Q3AUG_NVS_Nivus-Launch-Consideracao</v>
      </c>
      <c r="AU970" s="22" t="str">
        <f t="shared" si="4"/>
        <v>#N/A</v>
      </c>
      <c r="AV970" s="22" t="s">
        <v>106</v>
      </c>
      <c r="AW97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0" s="22" t="str">
        <f t="shared" si="5"/>
        <v>BR_IMC_DSY_LANCH_ND_NC_2020Q3AUG_NVS_Nivus-Launch-Consideracao</v>
      </c>
      <c r="AY970" s="28" t="str">
        <f t="shared" si="6"/>
        <v>#N/A</v>
      </c>
      <c r="AZ970" s="22" t="s">
        <v>107</v>
      </c>
      <c r="BA970" s="22" t="s">
        <v>108</v>
      </c>
      <c r="BB970" s="31" t="s">
        <v>109</v>
      </c>
      <c r="BC970" s="31" t="s">
        <v>109</v>
      </c>
      <c r="BD970" s="32" t="str">
        <f t="shared" si="8"/>
        <v>nvl-nvs-imc-dsy-0820-10964</v>
      </c>
      <c r="BE970" s="33"/>
      <c r="BF970" s="33"/>
      <c r="BG970" s="39" t="str">
        <f>URL&amp;IF(ISNUMBER(FIND("?",URL)),"&amp;","?"&amp;("adlid="&amp;Unique_ID&amp;"&amp;adplt="&amp;Placement))</f>
        <v>#N/A</v>
      </c>
      <c r="BH970" s="1"/>
      <c r="BI970" s="1"/>
      <c r="BJ970" s="35" t="str">
        <f>LOWER("alp"&amp;"_"&amp;"vw"&amp;"_"&amp;Veiculo&amp;"_"&amp;C966&amp;"_"&amp;Objetivo)</f>
        <v>alp_vw___</v>
      </c>
      <c r="BK970" s="35" t="str">
        <f>LOWER(Buying_Metric&amp;"_"&amp;VLOOKUP(Buying_Type,Buy_type,2,FALSE)&amp;"_"&amp;Device&amp;"_"&amp;Size&amp;"_"&amp;Segmentação&amp;"_"&amp;Segmentação_Anúncio)</f>
        <v>#N/A</v>
      </c>
      <c r="BL970" s="35" t="str">
        <f>LOWER(Campanha_ou_InsertionOrder&amp;"_"&amp;LineItem_ou_Grupodeanúncio&amp;"_"&amp;Linha_criativa_2&amp;"_"&amp;Unique_ID)</f>
        <v>#N/A</v>
      </c>
      <c r="BM970" s="27"/>
      <c r="BN970" s="27"/>
    </row>
    <row r="971">
      <c r="A971" s="1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8" t="str">
        <f>LOWER(Campanha_ou_InsertionOrder&amp;"_"&amp;LineItem_ou_Grupodeanúncio&amp;"_"&amp;Linha_Criativa&amp;"_"&amp;Unique_ID)</f>
        <v>#N/A</v>
      </c>
      <c r="AN971" s="28" t="str">
        <f>LOWER(Campanha_ou_InsertionOrder&amp;"_"&amp;LineItem_ou_Grupodeanúncio&amp;"_"&amp;Linha_Criativa&amp;"_"&amp;Unique_ID)</f>
        <v>#N/A</v>
      </c>
      <c r="AO971" s="28" t="str">
        <f>LOWER("VW"&amp;"_"&amp;Model_Variant&amp;"_"&amp;Size&amp;"_"&amp;Linha_Criativa&amp;"_"&amp;IF(Servido_Por="portal",Veiculo,"adserver"))</f>
        <v>vw____adserver</v>
      </c>
      <c r="AP97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1" s="22" t="str">
        <f t="shared" si="1"/>
        <v/>
      </c>
      <c r="AS971" s="22" t="str">
        <f t="shared" si="2"/>
        <v/>
      </c>
      <c r="AT971" s="22" t="str">
        <f t="shared" si="3"/>
        <v>BR_IMC_DSY_LANCH_ND_NC_2020Q3AUG_NVS_Nivus-Launch-Consideracao</v>
      </c>
      <c r="AU971" s="22" t="str">
        <f t="shared" si="4"/>
        <v>#N/A</v>
      </c>
      <c r="AV971" s="22" t="s">
        <v>106</v>
      </c>
      <c r="AW97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1" s="22" t="str">
        <f t="shared" si="5"/>
        <v>BR_IMC_DSY_LANCH_ND_NC_2020Q3AUG_NVS_Nivus-Launch-Consideracao</v>
      </c>
      <c r="AY971" s="28" t="str">
        <f t="shared" si="6"/>
        <v>#N/A</v>
      </c>
      <c r="AZ971" s="22" t="s">
        <v>107</v>
      </c>
      <c r="BA971" s="22" t="s">
        <v>108</v>
      </c>
      <c r="BB971" s="31" t="s">
        <v>109</v>
      </c>
      <c r="BC971" s="31" t="s">
        <v>109</v>
      </c>
      <c r="BD971" s="32" t="str">
        <f t="shared" si="8"/>
        <v>nvl-nvs-imc-dsy-0820-10965</v>
      </c>
      <c r="BE971" s="33"/>
      <c r="BF971" s="33"/>
      <c r="BG971" s="39" t="str">
        <f>URL&amp;IF(ISNUMBER(FIND("?",URL)),"&amp;","?"&amp;("adlid="&amp;Unique_ID&amp;"&amp;adplt="&amp;Placement))</f>
        <v>#N/A</v>
      </c>
      <c r="BH971" s="1"/>
      <c r="BI971" s="1"/>
      <c r="BJ971" s="35" t="str">
        <f>LOWER("alp"&amp;"_"&amp;"vw"&amp;"_"&amp;Veiculo&amp;"_"&amp;C967&amp;"_"&amp;Objetivo)</f>
        <v>alp_vw___</v>
      </c>
      <c r="BK971" s="35" t="str">
        <f>LOWER(Buying_Metric&amp;"_"&amp;VLOOKUP(Buying_Type,Buy_type,2,FALSE)&amp;"_"&amp;Device&amp;"_"&amp;Size&amp;"_"&amp;Segmentação&amp;"_"&amp;Segmentação_Anúncio)</f>
        <v>#N/A</v>
      </c>
      <c r="BL971" s="35" t="str">
        <f>LOWER(Campanha_ou_InsertionOrder&amp;"_"&amp;LineItem_ou_Grupodeanúncio&amp;"_"&amp;Linha_criativa_2&amp;"_"&amp;Unique_ID)</f>
        <v>#N/A</v>
      </c>
      <c r="BM971" s="27"/>
      <c r="BN971" s="27"/>
    </row>
    <row r="972">
      <c r="A972" s="1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8" t="str">
        <f>LOWER(Campanha_ou_InsertionOrder&amp;"_"&amp;LineItem_ou_Grupodeanúncio&amp;"_"&amp;Linha_Criativa&amp;"_"&amp;Unique_ID)</f>
        <v>#N/A</v>
      </c>
      <c r="AN972" s="28" t="str">
        <f>LOWER(Campanha_ou_InsertionOrder&amp;"_"&amp;LineItem_ou_Grupodeanúncio&amp;"_"&amp;Linha_Criativa&amp;"_"&amp;Unique_ID)</f>
        <v>#N/A</v>
      </c>
      <c r="AO972" s="28" t="str">
        <f>LOWER("VW"&amp;"_"&amp;Model_Variant&amp;"_"&amp;Size&amp;"_"&amp;Linha_Criativa&amp;"_"&amp;IF(Servido_Por="portal",Veiculo,"adserver"))</f>
        <v>vw____adserver</v>
      </c>
      <c r="AP97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2" s="22" t="str">
        <f t="shared" si="1"/>
        <v/>
      </c>
      <c r="AS972" s="22" t="str">
        <f t="shared" si="2"/>
        <v/>
      </c>
      <c r="AT972" s="22" t="str">
        <f t="shared" si="3"/>
        <v>BR_IMC_DSY_LANCH_ND_NC_2020Q3AUG_NVS_Nivus-Launch-Consideracao</v>
      </c>
      <c r="AU972" s="22" t="str">
        <f t="shared" si="4"/>
        <v>#N/A</v>
      </c>
      <c r="AV972" s="22" t="s">
        <v>106</v>
      </c>
      <c r="AW97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2" s="22" t="str">
        <f t="shared" si="5"/>
        <v>BR_IMC_DSY_LANCH_ND_NC_2020Q3AUG_NVS_Nivus-Launch-Consideracao</v>
      </c>
      <c r="AY972" s="28" t="str">
        <f t="shared" si="6"/>
        <v>#N/A</v>
      </c>
      <c r="AZ972" s="22" t="s">
        <v>107</v>
      </c>
      <c r="BA972" s="22" t="s">
        <v>108</v>
      </c>
      <c r="BB972" s="31" t="s">
        <v>109</v>
      </c>
      <c r="BC972" s="31" t="s">
        <v>109</v>
      </c>
      <c r="BD972" s="32" t="str">
        <f t="shared" si="8"/>
        <v>nvl-nvs-imc-dsy-0820-10966</v>
      </c>
      <c r="BE972" s="33"/>
      <c r="BF972" s="33"/>
      <c r="BG972" s="39" t="str">
        <f>URL&amp;IF(ISNUMBER(FIND("?",URL)),"&amp;","?"&amp;("adlid="&amp;Unique_ID&amp;"&amp;adplt="&amp;Placement))</f>
        <v>#N/A</v>
      </c>
      <c r="BH972" s="1"/>
      <c r="BI972" s="1"/>
      <c r="BJ972" s="35" t="str">
        <f>LOWER("alp"&amp;"_"&amp;"vw"&amp;"_"&amp;Veiculo&amp;"_"&amp;C968&amp;"_"&amp;Objetivo)</f>
        <v>alp_vw___</v>
      </c>
      <c r="BK972" s="35" t="str">
        <f>LOWER(Buying_Metric&amp;"_"&amp;VLOOKUP(Buying_Type,Buy_type,2,FALSE)&amp;"_"&amp;Device&amp;"_"&amp;Size&amp;"_"&amp;Segmentação&amp;"_"&amp;Segmentação_Anúncio)</f>
        <v>#N/A</v>
      </c>
      <c r="BL972" s="35" t="str">
        <f>LOWER(Campanha_ou_InsertionOrder&amp;"_"&amp;LineItem_ou_Grupodeanúncio&amp;"_"&amp;Linha_criativa_2&amp;"_"&amp;Unique_ID)</f>
        <v>#N/A</v>
      </c>
      <c r="BM972" s="27"/>
      <c r="BN972" s="27"/>
    </row>
    <row r="973">
      <c r="A973" s="1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8" t="str">
        <f>LOWER(Campanha_ou_InsertionOrder&amp;"_"&amp;LineItem_ou_Grupodeanúncio&amp;"_"&amp;Linha_Criativa&amp;"_"&amp;Unique_ID)</f>
        <v>#N/A</v>
      </c>
      <c r="AN973" s="28" t="str">
        <f>LOWER(Campanha_ou_InsertionOrder&amp;"_"&amp;LineItem_ou_Grupodeanúncio&amp;"_"&amp;Linha_Criativa&amp;"_"&amp;Unique_ID)</f>
        <v>#N/A</v>
      </c>
      <c r="AO973" s="28" t="str">
        <f>LOWER("VW"&amp;"_"&amp;Model_Variant&amp;"_"&amp;Size&amp;"_"&amp;Linha_Criativa&amp;"_"&amp;IF(Servido_Por="portal",Veiculo,"adserver"))</f>
        <v>vw____adserver</v>
      </c>
      <c r="AP97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3" s="22" t="str">
        <f t="shared" si="1"/>
        <v/>
      </c>
      <c r="AS973" s="22" t="str">
        <f t="shared" si="2"/>
        <v/>
      </c>
      <c r="AT973" s="22" t="str">
        <f t="shared" si="3"/>
        <v>BR_IMC_DSY_LANCH_ND_NC_2020Q3AUG_NVS_Nivus-Launch-Consideracao</v>
      </c>
      <c r="AU973" s="22" t="str">
        <f t="shared" si="4"/>
        <v>#N/A</v>
      </c>
      <c r="AV973" s="22" t="s">
        <v>106</v>
      </c>
      <c r="AW97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3" s="22" t="str">
        <f t="shared" si="5"/>
        <v>BR_IMC_DSY_LANCH_ND_NC_2020Q3AUG_NVS_Nivus-Launch-Consideracao</v>
      </c>
      <c r="AY973" s="28" t="str">
        <f t="shared" si="6"/>
        <v>#N/A</v>
      </c>
      <c r="AZ973" s="22" t="s">
        <v>107</v>
      </c>
      <c r="BA973" s="22" t="s">
        <v>108</v>
      </c>
      <c r="BB973" s="31" t="s">
        <v>109</v>
      </c>
      <c r="BC973" s="31" t="s">
        <v>109</v>
      </c>
      <c r="BD973" s="32" t="str">
        <f t="shared" si="8"/>
        <v>nvl-nvs-imc-dsy-0820-10967</v>
      </c>
      <c r="BE973" s="33"/>
      <c r="BF973" s="33"/>
      <c r="BG973" s="39" t="str">
        <f>URL&amp;IF(ISNUMBER(FIND("?",URL)),"&amp;","?"&amp;("adlid="&amp;Unique_ID&amp;"&amp;adplt="&amp;Placement))</f>
        <v>#N/A</v>
      </c>
      <c r="BH973" s="1"/>
      <c r="BI973" s="1"/>
      <c r="BJ973" s="35" t="str">
        <f>LOWER("alp"&amp;"_"&amp;"vw"&amp;"_"&amp;Veiculo&amp;"_"&amp;C969&amp;"_"&amp;Objetivo)</f>
        <v>alp_vw___</v>
      </c>
      <c r="BK973" s="35" t="str">
        <f>LOWER(Buying_Metric&amp;"_"&amp;VLOOKUP(Buying_Type,Buy_type,2,FALSE)&amp;"_"&amp;Device&amp;"_"&amp;Size&amp;"_"&amp;Segmentação&amp;"_"&amp;Segmentação_Anúncio)</f>
        <v>#N/A</v>
      </c>
      <c r="BL973" s="35" t="str">
        <f>LOWER(Campanha_ou_InsertionOrder&amp;"_"&amp;LineItem_ou_Grupodeanúncio&amp;"_"&amp;Linha_criativa_2&amp;"_"&amp;Unique_ID)</f>
        <v>#N/A</v>
      </c>
      <c r="BM973" s="27"/>
      <c r="BN973" s="27"/>
    </row>
    <row r="974">
      <c r="A974" s="1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8" t="str">
        <f>LOWER(Campanha_ou_InsertionOrder&amp;"_"&amp;LineItem_ou_Grupodeanúncio&amp;"_"&amp;Linha_Criativa&amp;"_"&amp;Unique_ID)</f>
        <v>#N/A</v>
      </c>
      <c r="AN974" s="28" t="str">
        <f>LOWER(Campanha_ou_InsertionOrder&amp;"_"&amp;LineItem_ou_Grupodeanúncio&amp;"_"&amp;Linha_Criativa&amp;"_"&amp;Unique_ID)</f>
        <v>#N/A</v>
      </c>
      <c r="AO974" s="28" t="str">
        <f>LOWER("VW"&amp;"_"&amp;Model_Variant&amp;"_"&amp;Size&amp;"_"&amp;Linha_Criativa&amp;"_"&amp;IF(Servido_Por="portal",Veiculo,"adserver"))</f>
        <v>vw____adserver</v>
      </c>
      <c r="AP97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4" s="22" t="str">
        <f t="shared" si="1"/>
        <v/>
      </c>
      <c r="AS974" s="22" t="str">
        <f t="shared" si="2"/>
        <v/>
      </c>
      <c r="AT974" s="22" t="str">
        <f t="shared" si="3"/>
        <v>BR_IMC_DSY_LANCH_ND_NC_2020Q3AUG_NVS_Nivus-Launch-Consideracao</v>
      </c>
      <c r="AU974" s="22" t="str">
        <f t="shared" si="4"/>
        <v>#N/A</v>
      </c>
      <c r="AV974" s="22" t="s">
        <v>106</v>
      </c>
      <c r="AW97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4" s="22" t="str">
        <f t="shared" si="5"/>
        <v>BR_IMC_DSY_LANCH_ND_NC_2020Q3AUG_NVS_Nivus-Launch-Consideracao</v>
      </c>
      <c r="AY974" s="28" t="str">
        <f t="shared" si="6"/>
        <v>#N/A</v>
      </c>
      <c r="AZ974" s="22" t="s">
        <v>107</v>
      </c>
      <c r="BA974" s="22" t="s">
        <v>108</v>
      </c>
      <c r="BB974" s="31" t="s">
        <v>109</v>
      </c>
      <c r="BC974" s="31" t="s">
        <v>109</v>
      </c>
      <c r="BD974" s="32" t="str">
        <f t="shared" si="8"/>
        <v>nvl-nvs-imc-dsy-0820-10968</v>
      </c>
      <c r="BE974" s="33"/>
      <c r="BF974" s="33"/>
      <c r="BG974" s="39" t="str">
        <f>URL&amp;IF(ISNUMBER(FIND("?",URL)),"&amp;","?"&amp;("adlid="&amp;Unique_ID&amp;"&amp;adplt="&amp;Placement))</f>
        <v>#N/A</v>
      </c>
      <c r="BH974" s="1"/>
      <c r="BI974" s="1"/>
      <c r="BJ974" s="35" t="str">
        <f>LOWER("alp"&amp;"_"&amp;"vw"&amp;"_"&amp;Veiculo&amp;"_"&amp;C970&amp;"_"&amp;Objetivo)</f>
        <v>alp_vw___</v>
      </c>
      <c r="BK974" s="35" t="str">
        <f>LOWER(Buying_Metric&amp;"_"&amp;VLOOKUP(Buying_Type,Buy_type,2,FALSE)&amp;"_"&amp;Device&amp;"_"&amp;Size&amp;"_"&amp;Segmentação&amp;"_"&amp;Segmentação_Anúncio)</f>
        <v>#N/A</v>
      </c>
      <c r="BL974" s="35" t="str">
        <f>LOWER(Campanha_ou_InsertionOrder&amp;"_"&amp;LineItem_ou_Grupodeanúncio&amp;"_"&amp;Linha_criativa_2&amp;"_"&amp;Unique_ID)</f>
        <v>#N/A</v>
      </c>
      <c r="BM974" s="27"/>
      <c r="BN974" s="27"/>
    </row>
    <row r="975">
      <c r="A975" s="1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8" t="str">
        <f>LOWER(Campanha_ou_InsertionOrder&amp;"_"&amp;LineItem_ou_Grupodeanúncio&amp;"_"&amp;Linha_Criativa&amp;"_"&amp;Unique_ID)</f>
        <v>#N/A</v>
      </c>
      <c r="AN975" s="28" t="str">
        <f>LOWER(Campanha_ou_InsertionOrder&amp;"_"&amp;LineItem_ou_Grupodeanúncio&amp;"_"&amp;Linha_Criativa&amp;"_"&amp;Unique_ID)</f>
        <v>#N/A</v>
      </c>
      <c r="AO975" s="28" t="str">
        <f>LOWER("VW"&amp;"_"&amp;Model_Variant&amp;"_"&amp;Size&amp;"_"&amp;Linha_Criativa&amp;"_"&amp;IF(Servido_Por="portal",Veiculo,"adserver"))</f>
        <v>vw____adserver</v>
      </c>
      <c r="AP97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5" s="22" t="str">
        <f t="shared" si="1"/>
        <v/>
      </c>
      <c r="AS975" s="22" t="str">
        <f t="shared" si="2"/>
        <v/>
      </c>
      <c r="AT975" s="22" t="str">
        <f t="shared" si="3"/>
        <v>BR_IMC_DSY_LANCH_ND_NC_2020Q3AUG_NVS_Nivus-Launch-Consideracao</v>
      </c>
      <c r="AU975" s="22" t="str">
        <f t="shared" si="4"/>
        <v>#N/A</v>
      </c>
      <c r="AV975" s="22" t="s">
        <v>106</v>
      </c>
      <c r="AW97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5" s="22" t="str">
        <f t="shared" si="5"/>
        <v>BR_IMC_DSY_LANCH_ND_NC_2020Q3AUG_NVS_Nivus-Launch-Consideracao</v>
      </c>
      <c r="AY975" s="28" t="str">
        <f t="shared" si="6"/>
        <v>#N/A</v>
      </c>
      <c r="AZ975" s="22" t="s">
        <v>107</v>
      </c>
      <c r="BA975" s="22" t="s">
        <v>108</v>
      </c>
      <c r="BB975" s="31" t="s">
        <v>109</v>
      </c>
      <c r="BC975" s="31" t="s">
        <v>109</v>
      </c>
      <c r="BD975" s="32" t="str">
        <f t="shared" si="8"/>
        <v>nvl-nvs-imc-dsy-0820-10969</v>
      </c>
      <c r="BE975" s="33"/>
      <c r="BF975" s="33"/>
      <c r="BG975" s="39" t="str">
        <f>URL&amp;IF(ISNUMBER(FIND("?",URL)),"&amp;","?"&amp;("adlid="&amp;Unique_ID&amp;"&amp;adplt="&amp;Placement))</f>
        <v>#N/A</v>
      </c>
      <c r="BH975" s="1"/>
      <c r="BI975" s="1"/>
      <c r="BJ975" s="35" t="str">
        <f>LOWER("alp"&amp;"_"&amp;"vw"&amp;"_"&amp;Veiculo&amp;"_"&amp;C971&amp;"_"&amp;Objetivo)</f>
        <v>alp_vw___</v>
      </c>
      <c r="BK975" s="35" t="str">
        <f>LOWER(Buying_Metric&amp;"_"&amp;VLOOKUP(Buying_Type,Buy_type,2,FALSE)&amp;"_"&amp;Device&amp;"_"&amp;Size&amp;"_"&amp;Segmentação&amp;"_"&amp;Segmentação_Anúncio)</f>
        <v>#N/A</v>
      </c>
      <c r="BL975" s="35" t="str">
        <f>LOWER(Campanha_ou_InsertionOrder&amp;"_"&amp;LineItem_ou_Grupodeanúncio&amp;"_"&amp;Linha_criativa_2&amp;"_"&amp;Unique_ID)</f>
        <v>#N/A</v>
      </c>
      <c r="BM975" s="27"/>
      <c r="BN975" s="27"/>
    </row>
    <row r="976">
      <c r="A976" s="1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tr">
        <f>LOWER(Campanha_ou_InsertionOrder&amp;"_"&amp;LineItem_ou_Grupodeanúncio&amp;"_"&amp;Linha_Criativa&amp;"_"&amp;Unique_ID)</f>
        <v>#N/A</v>
      </c>
      <c r="AN976" s="28" t="str">
        <f>LOWER(Campanha_ou_InsertionOrder&amp;"_"&amp;LineItem_ou_Grupodeanúncio&amp;"_"&amp;Linha_Criativa&amp;"_"&amp;Unique_ID)</f>
        <v>#N/A</v>
      </c>
      <c r="AO976" s="28" t="str">
        <f>LOWER("VW"&amp;"_"&amp;Model_Variant&amp;"_"&amp;Size&amp;"_"&amp;Linha_Criativa&amp;"_"&amp;IF(Servido_Por="portal",Veiculo,"adserver"))</f>
        <v>vw____adserver</v>
      </c>
      <c r="AP97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6" s="22" t="str">
        <f t="shared" si="1"/>
        <v/>
      </c>
      <c r="AS976" s="22" t="str">
        <f t="shared" si="2"/>
        <v/>
      </c>
      <c r="AT976" s="22" t="str">
        <f t="shared" si="3"/>
        <v>BR_IMC_DSY_LANCH_ND_NC_2020Q3AUG_NVS_Nivus-Launch-Consideracao</v>
      </c>
      <c r="AU976" s="22" t="str">
        <f t="shared" si="4"/>
        <v>#N/A</v>
      </c>
      <c r="AV976" s="22" t="s">
        <v>106</v>
      </c>
      <c r="AW97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6" s="22" t="str">
        <f t="shared" si="5"/>
        <v>BR_IMC_DSY_LANCH_ND_NC_2020Q3AUG_NVS_Nivus-Launch-Consideracao</v>
      </c>
      <c r="AY976" s="28" t="str">
        <f t="shared" si="6"/>
        <v>#N/A</v>
      </c>
      <c r="AZ976" s="22" t="s">
        <v>107</v>
      </c>
      <c r="BA976" s="22" t="s">
        <v>108</v>
      </c>
      <c r="BB976" s="31" t="s">
        <v>109</v>
      </c>
      <c r="BC976" s="31" t="s">
        <v>109</v>
      </c>
      <c r="BD976" s="32" t="str">
        <f t="shared" si="8"/>
        <v>nvl-nvs-imc-dsy-0820-10970</v>
      </c>
      <c r="BE976" s="33"/>
      <c r="BF976" s="33"/>
      <c r="BG976" s="39" t="str">
        <f>URL&amp;IF(ISNUMBER(FIND("?",URL)),"&amp;","?"&amp;("adlid="&amp;Unique_ID&amp;"&amp;adplt="&amp;Placement))</f>
        <v>#N/A</v>
      </c>
      <c r="BH976" s="1"/>
      <c r="BI976" s="1"/>
      <c r="BJ976" s="35" t="str">
        <f>LOWER("alp"&amp;"_"&amp;"vw"&amp;"_"&amp;Veiculo&amp;"_"&amp;C972&amp;"_"&amp;Objetivo)</f>
        <v>alp_vw___</v>
      </c>
      <c r="BK976" s="35" t="str">
        <f>LOWER(Buying_Metric&amp;"_"&amp;VLOOKUP(Buying_Type,Buy_type,2,FALSE)&amp;"_"&amp;Device&amp;"_"&amp;Size&amp;"_"&amp;Segmentação&amp;"_"&amp;Segmentação_Anúncio)</f>
        <v>#N/A</v>
      </c>
      <c r="BL976" s="35" t="str">
        <f>LOWER(Campanha_ou_InsertionOrder&amp;"_"&amp;LineItem_ou_Grupodeanúncio&amp;"_"&amp;Linha_criativa_2&amp;"_"&amp;Unique_ID)</f>
        <v>#N/A</v>
      </c>
      <c r="BM976" s="27"/>
      <c r="BN976" s="27"/>
    </row>
    <row r="977">
      <c r="A977" s="1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8" t="str">
        <f>LOWER(Campanha_ou_InsertionOrder&amp;"_"&amp;LineItem_ou_Grupodeanúncio&amp;"_"&amp;Linha_Criativa&amp;"_"&amp;Unique_ID)</f>
        <v>#N/A</v>
      </c>
      <c r="AN977" s="28" t="str">
        <f>LOWER(Campanha_ou_InsertionOrder&amp;"_"&amp;LineItem_ou_Grupodeanúncio&amp;"_"&amp;Linha_Criativa&amp;"_"&amp;Unique_ID)</f>
        <v>#N/A</v>
      </c>
      <c r="AO977" s="28" t="str">
        <f>LOWER("VW"&amp;"_"&amp;Model_Variant&amp;"_"&amp;Size&amp;"_"&amp;Linha_Criativa&amp;"_"&amp;IF(Servido_Por="portal",Veiculo,"adserver"))</f>
        <v>vw____adserver</v>
      </c>
      <c r="AP97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7" s="22" t="str">
        <f t="shared" si="1"/>
        <v/>
      </c>
      <c r="AS977" s="22" t="str">
        <f t="shared" si="2"/>
        <v/>
      </c>
      <c r="AT977" s="22" t="str">
        <f t="shared" si="3"/>
        <v>BR_IMC_DSY_LANCH_ND_NC_2020Q3AUG_NVS_Nivus-Launch-Consideracao</v>
      </c>
      <c r="AU977" s="22" t="str">
        <f t="shared" si="4"/>
        <v>#N/A</v>
      </c>
      <c r="AV977" s="22" t="s">
        <v>106</v>
      </c>
      <c r="AW97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7" s="22" t="str">
        <f t="shared" si="5"/>
        <v>BR_IMC_DSY_LANCH_ND_NC_2020Q3AUG_NVS_Nivus-Launch-Consideracao</v>
      </c>
      <c r="AY977" s="28" t="str">
        <f t="shared" si="6"/>
        <v>#N/A</v>
      </c>
      <c r="AZ977" s="22" t="s">
        <v>107</v>
      </c>
      <c r="BA977" s="22" t="s">
        <v>108</v>
      </c>
      <c r="BB977" s="31" t="s">
        <v>109</v>
      </c>
      <c r="BC977" s="31" t="s">
        <v>109</v>
      </c>
      <c r="BD977" s="32" t="str">
        <f t="shared" si="8"/>
        <v>nvl-nvs-imc-dsy-0820-10971</v>
      </c>
      <c r="BE977" s="33"/>
      <c r="BF977" s="33"/>
      <c r="BG977" s="39" t="str">
        <f>URL&amp;IF(ISNUMBER(FIND("?",URL)),"&amp;","?"&amp;("adlid="&amp;Unique_ID&amp;"&amp;adplt="&amp;Placement))</f>
        <v>#N/A</v>
      </c>
      <c r="BH977" s="1"/>
      <c r="BI977" s="1"/>
      <c r="BJ977" s="35" t="str">
        <f>LOWER("alp"&amp;"_"&amp;"vw"&amp;"_"&amp;Veiculo&amp;"_"&amp;C973&amp;"_"&amp;Objetivo)</f>
        <v>alp_vw___</v>
      </c>
      <c r="BK977" s="35" t="str">
        <f>LOWER(Buying_Metric&amp;"_"&amp;VLOOKUP(Buying_Type,Buy_type,2,FALSE)&amp;"_"&amp;Device&amp;"_"&amp;Size&amp;"_"&amp;Segmentação&amp;"_"&amp;Segmentação_Anúncio)</f>
        <v>#N/A</v>
      </c>
      <c r="BL977" s="35" t="str">
        <f>LOWER(Campanha_ou_InsertionOrder&amp;"_"&amp;LineItem_ou_Grupodeanúncio&amp;"_"&amp;Linha_criativa_2&amp;"_"&amp;Unique_ID)</f>
        <v>#N/A</v>
      </c>
      <c r="BM977" s="27"/>
      <c r="BN977" s="27"/>
    </row>
    <row r="978">
      <c r="A978" s="1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8" t="str">
        <f>LOWER(Campanha_ou_InsertionOrder&amp;"_"&amp;LineItem_ou_Grupodeanúncio&amp;"_"&amp;Linha_Criativa&amp;"_"&amp;Unique_ID)</f>
        <v>#N/A</v>
      </c>
      <c r="AN978" s="28" t="str">
        <f>LOWER(Campanha_ou_InsertionOrder&amp;"_"&amp;LineItem_ou_Grupodeanúncio&amp;"_"&amp;Linha_Criativa&amp;"_"&amp;Unique_ID)</f>
        <v>#N/A</v>
      </c>
      <c r="AO978" s="28" t="str">
        <f>LOWER("VW"&amp;"_"&amp;Model_Variant&amp;"_"&amp;Size&amp;"_"&amp;Linha_Criativa&amp;"_"&amp;IF(Servido_Por="portal",Veiculo,"adserver"))</f>
        <v>vw____adserver</v>
      </c>
      <c r="AP97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8" s="22" t="str">
        <f t="shared" si="1"/>
        <v/>
      </c>
      <c r="AS978" s="22" t="str">
        <f t="shared" si="2"/>
        <v/>
      </c>
      <c r="AT978" s="22" t="str">
        <f t="shared" si="3"/>
        <v>BR_IMC_DSY_LANCH_ND_NC_2020Q3AUG_NVS_Nivus-Launch-Consideracao</v>
      </c>
      <c r="AU978" s="22" t="str">
        <f t="shared" si="4"/>
        <v>#N/A</v>
      </c>
      <c r="AV978" s="22" t="s">
        <v>106</v>
      </c>
      <c r="AW97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8" s="22" t="str">
        <f t="shared" si="5"/>
        <v>BR_IMC_DSY_LANCH_ND_NC_2020Q3AUG_NVS_Nivus-Launch-Consideracao</v>
      </c>
      <c r="AY978" s="28" t="str">
        <f t="shared" si="6"/>
        <v>#N/A</v>
      </c>
      <c r="AZ978" s="22" t="s">
        <v>107</v>
      </c>
      <c r="BA978" s="22" t="s">
        <v>108</v>
      </c>
      <c r="BB978" s="31" t="s">
        <v>109</v>
      </c>
      <c r="BC978" s="31" t="s">
        <v>109</v>
      </c>
      <c r="BD978" s="32" t="str">
        <f t="shared" si="8"/>
        <v>nvl-nvs-imc-dsy-0820-10972</v>
      </c>
      <c r="BE978" s="33"/>
      <c r="BF978" s="33"/>
      <c r="BG978" s="39" t="str">
        <f>URL&amp;IF(ISNUMBER(FIND("?",URL)),"&amp;","?"&amp;("adlid="&amp;Unique_ID&amp;"&amp;adplt="&amp;Placement))</f>
        <v>#N/A</v>
      </c>
      <c r="BH978" s="1"/>
      <c r="BI978" s="1"/>
      <c r="BJ978" s="35" t="str">
        <f>LOWER("alp"&amp;"_"&amp;"vw"&amp;"_"&amp;Veiculo&amp;"_"&amp;C974&amp;"_"&amp;Objetivo)</f>
        <v>alp_vw___</v>
      </c>
      <c r="BK978" s="35" t="str">
        <f>LOWER(Buying_Metric&amp;"_"&amp;VLOOKUP(Buying_Type,Buy_type,2,FALSE)&amp;"_"&amp;Device&amp;"_"&amp;Size&amp;"_"&amp;Segmentação&amp;"_"&amp;Segmentação_Anúncio)</f>
        <v>#N/A</v>
      </c>
      <c r="BL978" s="35" t="str">
        <f>LOWER(Campanha_ou_InsertionOrder&amp;"_"&amp;LineItem_ou_Grupodeanúncio&amp;"_"&amp;Linha_criativa_2&amp;"_"&amp;Unique_ID)</f>
        <v>#N/A</v>
      </c>
      <c r="BM978" s="27"/>
      <c r="BN978" s="27"/>
    </row>
    <row r="979">
      <c r="A979" s="1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8" t="str">
        <f>LOWER(Campanha_ou_InsertionOrder&amp;"_"&amp;LineItem_ou_Grupodeanúncio&amp;"_"&amp;Linha_Criativa&amp;"_"&amp;Unique_ID)</f>
        <v>#N/A</v>
      </c>
      <c r="AN979" s="28" t="str">
        <f>LOWER(Campanha_ou_InsertionOrder&amp;"_"&amp;LineItem_ou_Grupodeanúncio&amp;"_"&amp;Linha_Criativa&amp;"_"&amp;Unique_ID)</f>
        <v>#N/A</v>
      </c>
      <c r="AO979" s="28" t="str">
        <f>LOWER("VW"&amp;"_"&amp;Model_Variant&amp;"_"&amp;Size&amp;"_"&amp;Linha_Criativa&amp;"_"&amp;IF(Servido_Por="portal",Veiculo,"adserver"))</f>
        <v>vw____adserver</v>
      </c>
      <c r="AP97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7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79" s="22" t="str">
        <f t="shared" si="1"/>
        <v/>
      </c>
      <c r="AS979" s="22" t="str">
        <f t="shared" si="2"/>
        <v/>
      </c>
      <c r="AT979" s="22" t="str">
        <f t="shared" si="3"/>
        <v>BR_IMC_DSY_LANCH_ND_NC_2020Q3AUG_NVS_Nivus-Launch-Consideracao</v>
      </c>
      <c r="AU979" s="22" t="str">
        <f t="shared" si="4"/>
        <v>#N/A</v>
      </c>
      <c r="AV979" s="22" t="s">
        <v>106</v>
      </c>
      <c r="AW97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79" s="22" t="str">
        <f t="shared" si="5"/>
        <v>BR_IMC_DSY_LANCH_ND_NC_2020Q3AUG_NVS_Nivus-Launch-Consideracao</v>
      </c>
      <c r="AY979" s="28" t="str">
        <f t="shared" si="6"/>
        <v>#N/A</v>
      </c>
      <c r="AZ979" s="22" t="s">
        <v>107</v>
      </c>
      <c r="BA979" s="22" t="s">
        <v>108</v>
      </c>
      <c r="BB979" s="31" t="s">
        <v>109</v>
      </c>
      <c r="BC979" s="31" t="s">
        <v>109</v>
      </c>
      <c r="BD979" s="32" t="str">
        <f t="shared" si="8"/>
        <v>nvl-nvs-imc-dsy-0820-10973</v>
      </c>
      <c r="BE979" s="33"/>
      <c r="BF979" s="33"/>
      <c r="BG979" s="39" t="str">
        <f>URL&amp;IF(ISNUMBER(FIND("?",URL)),"&amp;","?"&amp;("adlid="&amp;Unique_ID&amp;"&amp;adplt="&amp;Placement))</f>
        <v>#N/A</v>
      </c>
      <c r="BH979" s="1"/>
      <c r="BI979" s="1"/>
      <c r="BJ979" s="35" t="str">
        <f>LOWER("alp"&amp;"_"&amp;"vw"&amp;"_"&amp;Veiculo&amp;"_"&amp;C975&amp;"_"&amp;Objetivo)</f>
        <v>alp_vw___</v>
      </c>
      <c r="BK979" s="35" t="str">
        <f>LOWER(Buying_Metric&amp;"_"&amp;VLOOKUP(Buying_Type,Buy_type,2,FALSE)&amp;"_"&amp;Device&amp;"_"&amp;Size&amp;"_"&amp;Segmentação&amp;"_"&amp;Segmentação_Anúncio)</f>
        <v>#N/A</v>
      </c>
      <c r="BL979" s="35" t="str">
        <f>LOWER(Campanha_ou_InsertionOrder&amp;"_"&amp;LineItem_ou_Grupodeanúncio&amp;"_"&amp;Linha_criativa_2&amp;"_"&amp;Unique_ID)</f>
        <v>#N/A</v>
      </c>
      <c r="BM979" s="27"/>
      <c r="BN979" s="27"/>
    </row>
    <row r="980">
      <c r="A980" s="1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8" t="str">
        <f>LOWER(Campanha_ou_InsertionOrder&amp;"_"&amp;LineItem_ou_Grupodeanúncio&amp;"_"&amp;Linha_Criativa&amp;"_"&amp;Unique_ID)</f>
        <v>#N/A</v>
      </c>
      <c r="AN980" s="28" t="str">
        <f>LOWER(Campanha_ou_InsertionOrder&amp;"_"&amp;LineItem_ou_Grupodeanúncio&amp;"_"&amp;Linha_Criativa&amp;"_"&amp;Unique_ID)</f>
        <v>#N/A</v>
      </c>
      <c r="AO980" s="28" t="str">
        <f>LOWER("VW"&amp;"_"&amp;Model_Variant&amp;"_"&amp;Size&amp;"_"&amp;Linha_Criativa&amp;"_"&amp;IF(Servido_Por="portal",Veiculo,"adserver"))</f>
        <v>vw____adserver</v>
      </c>
      <c r="AP98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0" s="22" t="str">
        <f t="shared" si="1"/>
        <v/>
      </c>
      <c r="AS980" s="22" t="str">
        <f t="shared" si="2"/>
        <v/>
      </c>
      <c r="AT980" s="22" t="str">
        <f t="shared" si="3"/>
        <v>BR_IMC_DSY_LANCH_ND_NC_2020Q3AUG_NVS_Nivus-Launch-Consideracao</v>
      </c>
      <c r="AU980" s="22" t="str">
        <f t="shared" si="4"/>
        <v>#N/A</v>
      </c>
      <c r="AV980" s="22" t="s">
        <v>106</v>
      </c>
      <c r="AW98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0" s="22" t="str">
        <f t="shared" si="5"/>
        <v>BR_IMC_DSY_LANCH_ND_NC_2020Q3AUG_NVS_Nivus-Launch-Consideracao</v>
      </c>
      <c r="AY980" s="28" t="str">
        <f t="shared" si="6"/>
        <v>#N/A</v>
      </c>
      <c r="AZ980" s="22" t="s">
        <v>107</v>
      </c>
      <c r="BA980" s="22" t="s">
        <v>108</v>
      </c>
      <c r="BB980" s="31" t="s">
        <v>109</v>
      </c>
      <c r="BC980" s="31" t="s">
        <v>109</v>
      </c>
      <c r="BD980" s="32" t="str">
        <f t="shared" si="8"/>
        <v>nvl-nvs-imc-dsy-0820-10974</v>
      </c>
      <c r="BE980" s="33"/>
      <c r="BF980" s="33"/>
      <c r="BG980" s="39" t="str">
        <f>URL&amp;IF(ISNUMBER(FIND("?",URL)),"&amp;","?"&amp;("adlid="&amp;Unique_ID&amp;"&amp;adplt="&amp;Placement))</f>
        <v>#N/A</v>
      </c>
      <c r="BH980" s="1"/>
      <c r="BI980" s="1"/>
      <c r="BJ980" s="35" t="str">
        <f>LOWER("alp"&amp;"_"&amp;"vw"&amp;"_"&amp;Veiculo&amp;"_"&amp;C976&amp;"_"&amp;Objetivo)</f>
        <v>alp_vw___</v>
      </c>
      <c r="BK980" s="35" t="str">
        <f>LOWER(Buying_Metric&amp;"_"&amp;VLOOKUP(Buying_Type,Buy_type,2,FALSE)&amp;"_"&amp;Device&amp;"_"&amp;Size&amp;"_"&amp;Segmentação&amp;"_"&amp;Segmentação_Anúncio)</f>
        <v>#N/A</v>
      </c>
      <c r="BL980" s="35" t="str">
        <f>LOWER(Campanha_ou_InsertionOrder&amp;"_"&amp;LineItem_ou_Grupodeanúncio&amp;"_"&amp;Linha_criativa_2&amp;"_"&amp;Unique_ID)</f>
        <v>#N/A</v>
      </c>
      <c r="BM980" s="27"/>
      <c r="BN980" s="27"/>
    </row>
    <row r="981">
      <c r="A981" s="1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8" t="str">
        <f>LOWER(Campanha_ou_InsertionOrder&amp;"_"&amp;LineItem_ou_Grupodeanúncio&amp;"_"&amp;Linha_Criativa&amp;"_"&amp;Unique_ID)</f>
        <v>#N/A</v>
      </c>
      <c r="AN981" s="28" t="str">
        <f>LOWER(Campanha_ou_InsertionOrder&amp;"_"&amp;LineItem_ou_Grupodeanúncio&amp;"_"&amp;Linha_Criativa&amp;"_"&amp;Unique_ID)</f>
        <v>#N/A</v>
      </c>
      <c r="AO981" s="28" t="str">
        <f>LOWER("VW"&amp;"_"&amp;Model_Variant&amp;"_"&amp;Size&amp;"_"&amp;Linha_Criativa&amp;"_"&amp;IF(Servido_Por="portal",Veiculo,"adserver"))</f>
        <v>vw____adserver</v>
      </c>
      <c r="AP98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1" s="22" t="str">
        <f t="shared" si="1"/>
        <v/>
      </c>
      <c r="AS981" s="22" t="str">
        <f t="shared" si="2"/>
        <v/>
      </c>
      <c r="AT981" s="22" t="str">
        <f t="shared" si="3"/>
        <v>BR_IMC_DSY_LANCH_ND_NC_2020Q3AUG_NVS_Nivus-Launch-Consideracao</v>
      </c>
      <c r="AU981" s="22" t="str">
        <f t="shared" si="4"/>
        <v>#N/A</v>
      </c>
      <c r="AV981" s="22" t="s">
        <v>106</v>
      </c>
      <c r="AW98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1" s="22" t="str">
        <f t="shared" si="5"/>
        <v>BR_IMC_DSY_LANCH_ND_NC_2020Q3AUG_NVS_Nivus-Launch-Consideracao</v>
      </c>
      <c r="AY981" s="28" t="str">
        <f t="shared" si="6"/>
        <v>#N/A</v>
      </c>
      <c r="AZ981" s="22" t="s">
        <v>107</v>
      </c>
      <c r="BA981" s="22" t="s">
        <v>108</v>
      </c>
      <c r="BB981" s="31" t="s">
        <v>109</v>
      </c>
      <c r="BC981" s="31" t="s">
        <v>109</v>
      </c>
      <c r="BD981" s="32" t="str">
        <f t="shared" si="8"/>
        <v>nvl-nvs-imc-dsy-0820-10975</v>
      </c>
      <c r="BE981" s="33"/>
      <c r="BF981" s="33"/>
      <c r="BG981" s="39" t="str">
        <f>URL&amp;IF(ISNUMBER(FIND("?",URL)),"&amp;","?"&amp;("adlid="&amp;Unique_ID&amp;"&amp;adplt="&amp;Placement))</f>
        <v>#N/A</v>
      </c>
      <c r="BH981" s="1"/>
      <c r="BI981" s="1"/>
      <c r="BJ981" s="35" t="str">
        <f>LOWER("alp"&amp;"_"&amp;"vw"&amp;"_"&amp;Veiculo&amp;"_"&amp;C977&amp;"_"&amp;Objetivo)</f>
        <v>alp_vw___</v>
      </c>
      <c r="BK981" s="35" t="str">
        <f>LOWER(Buying_Metric&amp;"_"&amp;VLOOKUP(Buying_Type,Buy_type,2,FALSE)&amp;"_"&amp;Device&amp;"_"&amp;Size&amp;"_"&amp;Segmentação&amp;"_"&amp;Segmentação_Anúncio)</f>
        <v>#N/A</v>
      </c>
      <c r="BL981" s="35" t="str">
        <f>LOWER(Campanha_ou_InsertionOrder&amp;"_"&amp;LineItem_ou_Grupodeanúncio&amp;"_"&amp;Linha_criativa_2&amp;"_"&amp;Unique_ID)</f>
        <v>#N/A</v>
      </c>
      <c r="BM981" s="27"/>
      <c r="BN981" s="27"/>
    </row>
    <row r="982">
      <c r="A982" s="1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8" t="str">
        <f>LOWER(Campanha_ou_InsertionOrder&amp;"_"&amp;LineItem_ou_Grupodeanúncio&amp;"_"&amp;Linha_Criativa&amp;"_"&amp;Unique_ID)</f>
        <v>#N/A</v>
      </c>
      <c r="AN982" s="28" t="str">
        <f>LOWER(Campanha_ou_InsertionOrder&amp;"_"&amp;LineItem_ou_Grupodeanúncio&amp;"_"&amp;Linha_Criativa&amp;"_"&amp;Unique_ID)</f>
        <v>#N/A</v>
      </c>
      <c r="AO982" s="28" t="str">
        <f>LOWER("VW"&amp;"_"&amp;Model_Variant&amp;"_"&amp;Size&amp;"_"&amp;Linha_Criativa&amp;"_"&amp;IF(Servido_Por="portal",Veiculo,"adserver"))</f>
        <v>vw____adserver</v>
      </c>
      <c r="AP98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2" s="22" t="str">
        <f t="shared" si="1"/>
        <v/>
      </c>
      <c r="AS982" s="22" t="str">
        <f t="shared" si="2"/>
        <v/>
      </c>
      <c r="AT982" s="22" t="str">
        <f t="shared" si="3"/>
        <v>BR_IMC_DSY_LANCH_ND_NC_2020Q3AUG_NVS_Nivus-Launch-Consideracao</v>
      </c>
      <c r="AU982" s="22" t="str">
        <f t="shared" si="4"/>
        <v>#N/A</v>
      </c>
      <c r="AV982" s="22" t="s">
        <v>106</v>
      </c>
      <c r="AW98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2" s="22" t="str">
        <f t="shared" si="5"/>
        <v>BR_IMC_DSY_LANCH_ND_NC_2020Q3AUG_NVS_Nivus-Launch-Consideracao</v>
      </c>
      <c r="AY982" s="28" t="str">
        <f t="shared" si="6"/>
        <v>#N/A</v>
      </c>
      <c r="AZ982" s="22" t="s">
        <v>107</v>
      </c>
      <c r="BA982" s="22" t="s">
        <v>108</v>
      </c>
      <c r="BB982" s="31" t="s">
        <v>109</v>
      </c>
      <c r="BC982" s="31" t="s">
        <v>109</v>
      </c>
      <c r="BD982" s="32" t="str">
        <f t="shared" si="8"/>
        <v>nvl-nvs-imc-dsy-0820-10976</v>
      </c>
      <c r="BE982" s="33"/>
      <c r="BF982" s="33"/>
      <c r="BG982" s="39" t="str">
        <f>URL&amp;IF(ISNUMBER(FIND("?",URL)),"&amp;","?"&amp;("adlid="&amp;Unique_ID&amp;"&amp;adplt="&amp;Placement))</f>
        <v>#N/A</v>
      </c>
      <c r="BH982" s="1"/>
      <c r="BI982" s="1"/>
      <c r="BJ982" s="35" t="str">
        <f>LOWER("alp"&amp;"_"&amp;"vw"&amp;"_"&amp;Veiculo&amp;"_"&amp;C978&amp;"_"&amp;Objetivo)</f>
        <v>alp_vw___</v>
      </c>
      <c r="BK982" s="35" t="str">
        <f>LOWER(Buying_Metric&amp;"_"&amp;VLOOKUP(Buying_Type,Buy_type,2,FALSE)&amp;"_"&amp;Device&amp;"_"&amp;Size&amp;"_"&amp;Segmentação&amp;"_"&amp;Segmentação_Anúncio)</f>
        <v>#N/A</v>
      </c>
      <c r="BL982" s="35" t="str">
        <f>LOWER(Campanha_ou_InsertionOrder&amp;"_"&amp;LineItem_ou_Grupodeanúncio&amp;"_"&amp;Linha_criativa_2&amp;"_"&amp;Unique_ID)</f>
        <v>#N/A</v>
      </c>
      <c r="BM982" s="27"/>
      <c r="BN982" s="27"/>
    </row>
    <row r="983">
      <c r="A983" s="1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8" t="str">
        <f>LOWER(Campanha_ou_InsertionOrder&amp;"_"&amp;LineItem_ou_Grupodeanúncio&amp;"_"&amp;Linha_Criativa&amp;"_"&amp;Unique_ID)</f>
        <v>#N/A</v>
      </c>
      <c r="AN983" s="28" t="str">
        <f>LOWER(Campanha_ou_InsertionOrder&amp;"_"&amp;LineItem_ou_Grupodeanúncio&amp;"_"&amp;Linha_Criativa&amp;"_"&amp;Unique_ID)</f>
        <v>#N/A</v>
      </c>
      <c r="AO983" s="28" t="str">
        <f>LOWER("VW"&amp;"_"&amp;Model_Variant&amp;"_"&amp;Size&amp;"_"&amp;Linha_Criativa&amp;"_"&amp;IF(Servido_Por="portal",Veiculo,"adserver"))</f>
        <v>vw____adserver</v>
      </c>
      <c r="AP98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3" s="22" t="str">
        <f t="shared" si="1"/>
        <v/>
      </c>
      <c r="AS983" s="22" t="str">
        <f t="shared" si="2"/>
        <v/>
      </c>
      <c r="AT983" s="22" t="str">
        <f t="shared" si="3"/>
        <v>BR_IMC_DSY_LANCH_ND_NC_2020Q3AUG_NVS_Nivus-Launch-Consideracao</v>
      </c>
      <c r="AU983" s="22" t="str">
        <f t="shared" si="4"/>
        <v>#N/A</v>
      </c>
      <c r="AV983" s="22" t="s">
        <v>106</v>
      </c>
      <c r="AW98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3" s="22" t="str">
        <f t="shared" si="5"/>
        <v>BR_IMC_DSY_LANCH_ND_NC_2020Q3AUG_NVS_Nivus-Launch-Consideracao</v>
      </c>
      <c r="AY983" s="28" t="str">
        <f t="shared" si="6"/>
        <v>#N/A</v>
      </c>
      <c r="AZ983" s="22" t="s">
        <v>107</v>
      </c>
      <c r="BA983" s="22" t="s">
        <v>108</v>
      </c>
      <c r="BB983" s="31" t="s">
        <v>109</v>
      </c>
      <c r="BC983" s="31" t="s">
        <v>109</v>
      </c>
      <c r="BD983" s="32" t="str">
        <f t="shared" si="8"/>
        <v>nvl-nvs-imc-dsy-0820-10977</v>
      </c>
      <c r="BE983" s="33"/>
      <c r="BF983" s="33"/>
      <c r="BG983" s="39" t="str">
        <f>URL&amp;IF(ISNUMBER(FIND("?",URL)),"&amp;","?"&amp;("adlid="&amp;Unique_ID&amp;"&amp;adplt="&amp;Placement))</f>
        <v>#N/A</v>
      </c>
      <c r="BH983" s="1"/>
      <c r="BI983" s="1"/>
      <c r="BJ983" s="35" t="str">
        <f>LOWER("alp"&amp;"_"&amp;"vw"&amp;"_"&amp;Veiculo&amp;"_"&amp;C979&amp;"_"&amp;Objetivo)</f>
        <v>alp_vw___</v>
      </c>
      <c r="BK983" s="35" t="str">
        <f>LOWER(Buying_Metric&amp;"_"&amp;VLOOKUP(Buying_Type,Buy_type,2,FALSE)&amp;"_"&amp;Device&amp;"_"&amp;Size&amp;"_"&amp;Segmentação&amp;"_"&amp;Segmentação_Anúncio)</f>
        <v>#N/A</v>
      </c>
      <c r="BL983" s="35" t="str">
        <f>LOWER(Campanha_ou_InsertionOrder&amp;"_"&amp;LineItem_ou_Grupodeanúncio&amp;"_"&amp;Linha_criativa_2&amp;"_"&amp;Unique_ID)</f>
        <v>#N/A</v>
      </c>
      <c r="BM983" s="27"/>
      <c r="BN983" s="27"/>
    </row>
    <row r="984">
      <c r="A984" s="1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8" t="str">
        <f>LOWER(Campanha_ou_InsertionOrder&amp;"_"&amp;LineItem_ou_Grupodeanúncio&amp;"_"&amp;Linha_Criativa&amp;"_"&amp;Unique_ID)</f>
        <v>#N/A</v>
      </c>
      <c r="AN984" s="28" t="str">
        <f>LOWER(Campanha_ou_InsertionOrder&amp;"_"&amp;LineItem_ou_Grupodeanúncio&amp;"_"&amp;Linha_Criativa&amp;"_"&amp;Unique_ID)</f>
        <v>#N/A</v>
      </c>
      <c r="AO984" s="28" t="str">
        <f>LOWER("VW"&amp;"_"&amp;Model_Variant&amp;"_"&amp;Size&amp;"_"&amp;Linha_Criativa&amp;"_"&amp;IF(Servido_Por="portal",Veiculo,"adserver"))</f>
        <v>vw____adserver</v>
      </c>
      <c r="AP98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4" s="22" t="str">
        <f t="shared" si="1"/>
        <v/>
      </c>
      <c r="AS984" s="22" t="str">
        <f t="shared" si="2"/>
        <v/>
      </c>
      <c r="AT984" s="22" t="str">
        <f t="shared" si="3"/>
        <v>BR_IMC_DSY_LANCH_ND_NC_2020Q3AUG_NVS_Nivus-Launch-Consideracao</v>
      </c>
      <c r="AU984" s="22" t="str">
        <f t="shared" si="4"/>
        <v>#N/A</v>
      </c>
      <c r="AV984" s="22" t="s">
        <v>106</v>
      </c>
      <c r="AW98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4" s="22" t="str">
        <f t="shared" si="5"/>
        <v>BR_IMC_DSY_LANCH_ND_NC_2020Q3AUG_NVS_Nivus-Launch-Consideracao</v>
      </c>
      <c r="AY984" s="28" t="str">
        <f t="shared" si="6"/>
        <v>#N/A</v>
      </c>
      <c r="AZ984" s="22" t="s">
        <v>107</v>
      </c>
      <c r="BA984" s="22" t="s">
        <v>108</v>
      </c>
      <c r="BB984" s="31" t="s">
        <v>109</v>
      </c>
      <c r="BC984" s="31" t="s">
        <v>109</v>
      </c>
      <c r="BD984" s="32" t="str">
        <f t="shared" si="8"/>
        <v>nvl-nvs-imc-dsy-0820-10978</v>
      </c>
      <c r="BE984" s="33"/>
      <c r="BF984" s="33"/>
      <c r="BG984" s="39" t="str">
        <f>URL&amp;IF(ISNUMBER(FIND("?",URL)),"&amp;","?"&amp;("adlid="&amp;Unique_ID&amp;"&amp;adplt="&amp;Placement))</f>
        <v>#N/A</v>
      </c>
      <c r="BH984" s="1"/>
      <c r="BI984" s="1"/>
      <c r="BJ984" s="35" t="str">
        <f>LOWER("alp"&amp;"_"&amp;"vw"&amp;"_"&amp;Veiculo&amp;"_"&amp;C980&amp;"_"&amp;Objetivo)</f>
        <v>alp_vw___</v>
      </c>
      <c r="BK984" s="35" t="str">
        <f>LOWER(Buying_Metric&amp;"_"&amp;VLOOKUP(Buying_Type,Buy_type,2,FALSE)&amp;"_"&amp;Device&amp;"_"&amp;Size&amp;"_"&amp;Segmentação&amp;"_"&amp;Segmentação_Anúncio)</f>
        <v>#N/A</v>
      </c>
      <c r="BL984" s="35" t="str">
        <f>LOWER(Campanha_ou_InsertionOrder&amp;"_"&amp;LineItem_ou_Grupodeanúncio&amp;"_"&amp;Linha_criativa_2&amp;"_"&amp;Unique_ID)</f>
        <v>#N/A</v>
      </c>
      <c r="BM984" s="27"/>
      <c r="BN984" s="27"/>
    </row>
    <row r="985">
      <c r="A985" s="1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8" t="str">
        <f>LOWER(Campanha_ou_InsertionOrder&amp;"_"&amp;LineItem_ou_Grupodeanúncio&amp;"_"&amp;Linha_Criativa&amp;"_"&amp;Unique_ID)</f>
        <v>#N/A</v>
      </c>
      <c r="AN985" s="28" t="str">
        <f>LOWER(Campanha_ou_InsertionOrder&amp;"_"&amp;LineItem_ou_Grupodeanúncio&amp;"_"&amp;Linha_Criativa&amp;"_"&amp;Unique_ID)</f>
        <v>#N/A</v>
      </c>
      <c r="AO985" s="28" t="str">
        <f>LOWER("VW"&amp;"_"&amp;Model_Variant&amp;"_"&amp;Size&amp;"_"&amp;Linha_Criativa&amp;"_"&amp;IF(Servido_Por="portal",Veiculo,"adserver"))</f>
        <v>vw____adserver</v>
      </c>
      <c r="AP98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5" s="22" t="str">
        <f t="shared" si="1"/>
        <v/>
      </c>
      <c r="AS985" s="22" t="str">
        <f t="shared" si="2"/>
        <v/>
      </c>
      <c r="AT985" s="22" t="str">
        <f t="shared" si="3"/>
        <v>BR_IMC_DSY_LANCH_ND_NC_2020Q3AUG_NVS_Nivus-Launch-Consideracao</v>
      </c>
      <c r="AU985" s="22" t="str">
        <f t="shared" si="4"/>
        <v>#N/A</v>
      </c>
      <c r="AV985" s="22" t="s">
        <v>106</v>
      </c>
      <c r="AW98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5" s="22" t="str">
        <f t="shared" si="5"/>
        <v>BR_IMC_DSY_LANCH_ND_NC_2020Q3AUG_NVS_Nivus-Launch-Consideracao</v>
      </c>
      <c r="AY985" s="28" t="str">
        <f t="shared" si="6"/>
        <v>#N/A</v>
      </c>
      <c r="AZ985" s="22" t="s">
        <v>107</v>
      </c>
      <c r="BA985" s="22" t="s">
        <v>108</v>
      </c>
      <c r="BB985" s="31" t="s">
        <v>109</v>
      </c>
      <c r="BC985" s="31" t="s">
        <v>109</v>
      </c>
      <c r="BD985" s="32" t="str">
        <f t="shared" si="8"/>
        <v>nvl-nvs-imc-dsy-0820-10979</v>
      </c>
      <c r="BE985" s="33"/>
      <c r="BF985" s="33"/>
      <c r="BG985" s="39" t="str">
        <f>URL&amp;IF(ISNUMBER(FIND("?",URL)),"&amp;","?"&amp;("adlid="&amp;Unique_ID&amp;"&amp;adplt="&amp;Placement))</f>
        <v>#N/A</v>
      </c>
      <c r="BH985" s="1"/>
      <c r="BI985" s="1"/>
      <c r="BJ985" s="35" t="str">
        <f>LOWER("alp"&amp;"_"&amp;"vw"&amp;"_"&amp;Veiculo&amp;"_"&amp;C981&amp;"_"&amp;Objetivo)</f>
        <v>alp_vw___</v>
      </c>
      <c r="BK985" s="35" t="str">
        <f>LOWER(Buying_Metric&amp;"_"&amp;VLOOKUP(Buying_Type,Buy_type,2,FALSE)&amp;"_"&amp;Device&amp;"_"&amp;Size&amp;"_"&amp;Segmentação&amp;"_"&amp;Segmentação_Anúncio)</f>
        <v>#N/A</v>
      </c>
      <c r="BL985" s="35" t="str">
        <f>LOWER(Campanha_ou_InsertionOrder&amp;"_"&amp;LineItem_ou_Grupodeanúncio&amp;"_"&amp;Linha_criativa_2&amp;"_"&amp;Unique_ID)</f>
        <v>#N/A</v>
      </c>
      <c r="BM985" s="27"/>
      <c r="BN985" s="27"/>
    </row>
    <row r="986">
      <c r="A986" s="1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8" t="str">
        <f>LOWER(Campanha_ou_InsertionOrder&amp;"_"&amp;LineItem_ou_Grupodeanúncio&amp;"_"&amp;Linha_Criativa&amp;"_"&amp;Unique_ID)</f>
        <v>#N/A</v>
      </c>
      <c r="AN986" s="28" t="str">
        <f>LOWER(Campanha_ou_InsertionOrder&amp;"_"&amp;LineItem_ou_Grupodeanúncio&amp;"_"&amp;Linha_Criativa&amp;"_"&amp;Unique_ID)</f>
        <v>#N/A</v>
      </c>
      <c r="AO986" s="28" t="str">
        <f>LOWER("VW"&amp;"_"&amp;Model_Variant&amp;"_"&amp;Size&amp;"_"&amp;Linha_Criativa&amp;"_"&amp;IF(Servido_Por="portal",Veiculo,"adserver"))</f>
        <v>vw____adserver</v>
      </c>
      <c r="AP98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6" s="22" t="str">
        <f t="shared" si="1"/>
        <v/>
      </c>
      <c r="AS986" s="22" t="str">
        <f t="shared" si="2"/>
        <v/>
      </c>
      <c r="AT986" s="22" t="str">
        <f t="shared" si="3"/>
        <v>BR_IMC_DSY_LANCH_ND_NC_2020Q3AUG_NVS_Nivus-Launch-Consideracao</v>
      </c>
      <c r="AU986" s="22" t="str">
        <f t="shared" si="4"/>
        <v>#N/A</v>
      </c>
      <c r="AV986" s="22" t="s">
        <v>106</v>
      </c>
      <c r="AW98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6" s="22" t="str">
        <f t="shared" si="5"/>
        <v>BR_IMC_DSY_LANCH_ND_NC_2020Q3AUG_NVS_Nivus-Launch-Consideracao</v>
      </c>
      <c r="AY986" s="28" t="str">
        <f t="shared" si="6"/>
        <v>#N/A</v>
      </c>
      <c r="AZ986" s="22" t="s">
        <v>107</v>
      </c>
      <c r="BA986" s="22" t="s">
        <v>108</v>
      </c>
      <c r="BB986" s="31" t="s">
        <v>109</v>
      </c>
      <c r="BC986" s="31" t="s">
        <v>109</v>
      </c>
      <c r="BD986" s="32" t="str">
        <f t="shared" si="8"/>
        <v>nvl-nvs-imc-dsy-0820-10980</v>
      </c>
      <c r="BE986" s="33"/>
      <c r="BF986" s="33"/>
      <c r="BG986" s="39" t="str">
        <f>URL&amp;IF(ISNUMBER(FIND("?",URL)),"&amp;","?"&amp;("adlid="&amp;Unique_ID&amp;"&amp;adplt="&amp;Placement))</f>
        <v>#N/A</v>
      </c>
      <c r="BH986" s="1"/>
      <c r="BI986" s="1"/>
      <c r="BJ986" s="35" t="str">
        <f>LOWER("alp"&amp;"_"&amp;"vw"&amp;"_"&amp;Veiculo&amp;"_"&amp;C982&amp;"_"&amp;Objetivo)</f>
        <v>alp_vw___</v>
      </c>
      <c r="BK986" s="35" t="str">
        <f>LOWER(Buying_Metric&amp;"_"&amp;VLOOKUP(Buying_Type,Buy_type,2,FALSE)&amp;"_"&amp;Device&amp;"_"&amp;Size&amp;"_"&amp;Segmentação&amp;"_"&amp;Segmentação_Anúncio)</f>
        <v>#N/A</v>
      </c>
      <c r="BL986" s="35" t="str">
        <f>LOWER(Campanha_ou_InsertionOrder&amp;"_"&amp;LineItem_ou_Grupodeanúncio&amp;"_"&amp;Linha_criativa_2&amp;"_"&amp;Unique_ID)</f>
        <v>#N/A</v>
      </c>
      <c r="BM986" s="27"/>
      <c r="BN986" s="27"/>
    </row>
    <row r="987">
      <c r="A987" s="1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8" t="str">
        <f>LOWER(Campanha_ou_InsertionOrder&amp;"_"&amp;LineItem_ou_Grupodeanúncio&amp;"_"&amp;Linha_Criativa&amp;"_"&amp;Unique_ID)</f>
        <v>#N/A</v>
      </c>
      <c r="AN987" s="28" t="str">
        <f>LOWER(Campanha_ou_InsertionOrder&amp;"_"&amp;LineItem_ou_Grupodeanúncio&amp;"_"&amp;Linha_Criativa&amp;"_"&amp;Unique_ID)</f>
        <v>#N/A</v>
      </c>
      <c r="AO987" s="28" t="str">
        <f>LOWER("VW"&amp;"_"&amp;Model_Variant&amp;"_"&amp;Size&amp;"_"&amp;Linha_Criativa&amp;"_"&amp;IF(Servido_Por="portal",Veiculo,"adserver"))</f>
        <v>vw____adserver</v>
      </c>
      <c r="AP98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7" s="22" t="str">
        <f t="shared" si="1"/>
        <v/>
      </c>
      <c r="AS987" s="22" t="str">
        <f t="shared" si="2"/>
        <v/>
      </c>
      <c r="AT987" s="22" t="str">
        <f t="shared" si="3"/>
        <v>BR_IMC_DSY_LANCH_ND_NC_2020Q3AUG_NVS_Nivus-Launch-Consideracao</v>
      </c>
      <c r="AU987" s="22" t="str">
        <f t="shared" si="4"/>
        <v>#N/A</v>
      </c>
      <c r="AV987" s="22" t="s">
        <v>106</v>
      </c>
      <c r="AW98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7" s="22" t="str">
        <f t="shared" si="5"/>
        <v>BR_IMC_DSY_LANCH_ND_NC_2020Q3AUG_NVS_Nivus-Launch-Consideracao</v>
      </c>
      <c r="AY987" s="28" t="str">
        <f t="shared" si="6"/>
        <v>#N/A</v>
      </c>
      <c r="AZ987" s="22" t="s">
        <v>107</v>
      </c>
      <c r="BA987" s="22" t="s">
        <v>108</v>
      </c>
      <c r="BB987" s="31" t="s">
        <v>109</v>
      </c>
      <c r="BC987" s="31" t="s">
        <v>109</v>
      </c>
      <c r="BD987" s="32" t="str">
        <f t="shared" si="8"/>
        <v>nvl-nvs-imc-dsy-0820-10981</v>
      </c>
      <c r="BE987" s="33"/>
      <c r="BF987" s="33"/>
      <c r="BG987" s="39" t="str">
        <f>URL&amp;IF(ISNUMBER(FIND("?",URL)),"&amp;","?"&amp;("adlid="&amp;Unique_ID&amp;"&amp;adplt="&amp;Placement))</f>
        <v>#N/A</v>
      </c>
      <c r="BH987" s="1"/>
      <c r="BI987" s="1"/>
      <c r="BJ987" s="35" t="str">
        <f>LOWER("alp"&amp;"_"&amp;"vw"&amp;"_"&amp;Veiculo&amp;"_"&amp;C983&amp;"_"&amp;Objetivo)</f>
        <v>alp_vw___</v>
      </c>
      <c r="BK987" s="35" t="str">
        <f>LOWER(Buying_Metric&amp;"_"&amp;VLOOKUP(Buying_Type,Buy_type,2,FALSE)&amp;"_"&amp;Device&amp;"_"&amp;Size&amp;"_"&amp;Segmentação&amp;"_"&amp;Segmentação_Anúncio)</f>
        <v>#N/A</v>
      </c>
      <c r="BL987" s="35" t="str">
        <f>LOWER(Campanha_ou_InsertionOrder&amp;"_"&amp;LineItem_ou_Grupodeanúncio&amp;"_"&amp;Linha_criativa_2&amp;"_"&amp;Unique_ID)</f>
        <v>#N/A</v>
      </c>
      <c r="BM987" s="27"/>
      <c r="BN987" s="27"/>
    </row>
    <row r="988">
      <c r="A988" s="1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8" t="str">
        <f>LOWER(Campanha_ou_InsertionOrder&amp;"_"&amp;LineItem_ou_Grupodeanúncio&amp;"_"&amp;Linha_Criativa&amp;"_"&amp;Unique_ID)</f>
        <v>#N/A</v>
      </c>
      <c r="AN988" s="28" t="str">
        <f>LOWER(Campanha_ou_InsertionOrder&amp;"_"&amp;LineItem_ou_Grupodeanúncio&amp;"_"&amp;Linha_Criativa&amp;"_"&amp;Unique_ID)</f>
        <v>#N/A</v>
      </c>
      <c r="AO988" s="28" t="str">
        <f>LOWER("VW"&amp;"_"&amp;Model_Variant&amp;"_"&amp;Size&amp;"_"&amp;Linha_Criativa&amp;"_"&amp;IF(Servido_Por="portal",Veiculo,"adserver"))</f>
        <v>vw____adserver</v>
      </c>
      <c r="AP988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8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8" s="22" t="str">
        <f t="shared" si="1"/>
        <v/>
      </c>
      <c r="AS988" s="22" t="str">
        <f t="shared" si="2"/>
        <v/>
      </c>
      <c r="AT988" s="22" t="str">
        <f t="shared" si="3"/>
        <v>BR_IMC_DSY_LANCH_ND_NC_2020Q3AUG_NVS_Nivus-Launch-Consideracao</v>
      </c>
      <c r="AU988" s="22" t="str">
        <f t="shared" si="4"/>
        <v>#N/A</v>
      </c>
      <c r="AV988" s="22" t="s">
        <v>106</v>
      </c>
      <c r="AW988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8" s="22" t="str">
        <f t="shared" si="5"/>
        <v>BR_IMC_DSY_LANCH_ND_NC_2020Q3AUG_NVS_Nivus-Launch-Consideracao</v>
      </c>
      <c r="AY988" s="28" t="str">
        <f t="shared" si="6"/>
        <v>#N/A</v>
      </c>
      <c r="AZ988" s="22" t="s">
        <v>107</v>
      </c>
      <c r="BA988" s="22" t="s">
        <v>108</v>
      </c>
      <c r="BB988" s="31" t="s">
        <v>109</v>
      </c>
      <c r="BC988" s="31" t="s">
        <v>109</v>
      </c>
      <c r="BD988" s="32" t="str">
        <f t="shared" si="8"/>
        <v>nvl-nvs-imc-dsy-0820-10982</v>
      </c>
      <c r="BE988" s="33"/>
      <c r="BF988" s="33"/>
      <c r="BG988" s="39" t="str">
        <f>URL&amp;IF(ISNUMBER(FIND("?",URL)),"&amp;","?"&amp;("adlid="&amp;Unique_ID&amp;"&amp;adplt="&amp;Placement))</f>
        <v>#N/A</v>
      </c>
      <c r="BH988" s="1"/>
      <c r="BI988" s="1"/>
      <c r="BJ988" s="35" t="str">
        <f>LOWER("alp"&amp;"_"&amp;"vw"&amp;"_"&amp;Veiculo&amp;"_"&amp;C984&amp;"_"&amp;Objetivo)</f>
        <v>alp_vw___</v>
      </c>
      <c r="BK988" s="35" t="str">
        <f>LOWER(Buying_Metric&amp;"_"&amp;VLOOKUP(Buying_Type,Buy_type,2,FALSE)&amp;"_"&amp;Device&amp;"_"&amp;Size&amp;"_"&amp;Segmentação&amp;"_"&amp;Segmentação_Anúncio)</f>
        <v>#N/A</v>
      </c>
      <c r="BL988" s="35" t="str">
        <f>LOWER(Campanha_ou_InsertionOrder&amp;"_"&amp;LineItem_ou_Grupodeanúncio&amp;"_"&amp;Linha_criativa_2&amp;"_"&amp;Unique_ID)</f>
        <v>#N/A</v>
      </c>
      <c r="BM988" s="27"/>
      <c r="BN988" s="27"/>
    </row>
    <row r="989">
      <c r="A989" s="1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8" t="str">
        <f>LOWER(Campanha_ou_InsertionOrder&amp;"_"&amp;LineItem_ou_Grupodeanúncio&amp;"_"&amp;Linha_Criativa&amp;"_"&amp;Unique_ID)</f>
        <v>#N/A</v>
      </c>
      <c r="AN989" s="28" t="str">
        <f>LOWER(Campanha_ou_InsertionOrder&amp;"_"&amp;LineItem_ou_Grupodeanúncio&amp;"_"&amp;Linha_Criativa&amp;"_"&amp;Unique_ID)</f>
        <v>#N/A</v>
      </c>
      <c r="AO989" s="28" t="str">
        <f>LOWER("VW"&amp;"_"&amp;Model_Variant&amp;"_"&amp;Size&amp;"_"&amp;Linha_Criativa&amp;"_"&amp;IF(Servido_Por="portal",Veiculo,"adserver"))</f>
        <v>vw____adserver</v>
      </c>
      <c r="AP989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89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89" s="22" t="str">
        <f t="shared" si="1"/>
        <v/>
      </c>
      <c r="AS989" s="22" t="str">
        <f t="shared" si="2"/>
        <v/>
      </c>
      <c r="AT989" s="22" t="str">
        <f t="shared" si="3"/>
        <v>BR_IMC_DSY_LANCH_ND_NC_2020Q3AUG_NVS_Nivus-Launch-Consideracao</v>
      </c>
      <c r="AU989" s="22" t="str">
        <f t="shared" si="4"/>
        <v>#N/A</v>
      </c>
      <c r="AV989" s="22" t="s">
        <v>106</v>
      </c>
      <c r="AW989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89" s="22" t="str">
        <f t="shared" si="5"/>
        <v>BR_IMC_DSY_LANCH_ND_NC_2020Q3AUG_NVS_Nivus-Launch-Consideracao</v>
      </c>
      <c r="AY989" s="28" t="str">
        <f t="shared" si="6"/>
        <v>#N/A</v>
      </c>
      <c r="AZ989" s="22" t="s">
        <v>107</v>
      </c>
      <c r="BA989" s="22" t="s">
        <v>108</v>
      </c>
      <c r="BB989" s="31" t="s">
        <v>109</v>
      </c>
      <c r="BC989" s="31" t="s">
        <v>109</v>
      </c>
      <c r="BD989" s="32" t="str">
        <f t="shared" si="8"/>
        <v>nvl-nvs-imc-dsy-0820-10983</v>
      </c>
      <c r="BE989" s="33"/>
      <c r="BF989" s="33"/>
      <c r="BG989" s="39" t="str">
        <f>URL&amp;IF(ISNUMBER(FIND("?",URL)),"&amp;","?"&amp;("adlid="&amp;Unique_ID&amp;"&amp;adplt="&amp;Placement))</f>
        <v>#N/A</v>
      </c>
      <c r="BH989" s="1"/>
      <c r="BI989" s="1"/>
      <c r="BJ989" s="35" t="str">
        <f>LOWER("alp"&amp;"_"&amp;"vw"&amp;"_"&amp;Veiculo&amp;"_"&amp;C985&amp;"_"&amp;Objetivo)</f>
        <v>alp_vw___</v>
      </c>
      <c r="BK989" s="35" t="str">
        <f>LOWER(Buying_Metric&amp;"_"&amp;VLOOKUP(Buying_Type,Buy_type,2,FALSE)&amp;"_"&amp;Device&amp;"_"&amp;Size&amp;"_"&amp;Segmentação&amp;"_"&amp;Segmentação_Anúncio)</f>
        <v>#N/A</v>
      </c>
      <c r="BL989" s="35" t="str">
        <f>LOWER(Campanha_ou_InsertionOrder&amp;"_"&amp;LineItem_ou_Grupodeanúncio&amp;"_"&amp;Linha_criativa_2&amp;"_"&amp;Unique_ID)</f>
        <v>#N/A</v>
      </c>
      <c r="BM989" s="27"/>
      <c r="BN989" s="27"/>
    </row>
    <row r="990">
      <c r="A990" s="1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8" t="str">
        <f>LOWER(Campanha_ou_InsertionOrder&amp;"_"&amp;LineItem_ou_Grupodeanúncio&amp;"_"&amp;Linha_Criativa&amp;"_"&amp;Unique_ID)</f>
        <v>#N/A</v>
      </c>
      <c r="AN990" s="28" t="str">
        <f>LOWER(Campanha_ou_InsertionOrder&amp;"_"&amp;LineItem_ou_Grupodeanúncio&amp;"_"&amp;Linha_Criativa&amp;"_"&amp;Unique_ID)</f>
        <v>#N/A</v>
      </c>
      <c r="AO990" s="28" t="str">
        <f>LOWER("VW"&amp;"_"&amp;Model_Variant&amp;"_"&amp;Size&amp;"_"&amp;Linha_Criativa&amp;"_"&amp;IF(Servido_Por="portal",Veiculo,"adserver"))</f>
        <v>vw____adserver</v>
      </c>
      <c r="AP990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0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0" s="22" t="str">
        <f t="shared" si="1"/>
        <v/>
      </c>
      <c r="AS990" s="22" t="str">
        <f t="shared" si="2"/>
        <v/>
      </c>
      <c r="AT990" s="22" t="str">
        <f t="shared" si="3"/>
        <v>BR_IMC_DSY_LANCH_ND_NC_2020Q3AUG_NVS_Nivus-Launch-Consideracao</v>
      </c>
      <c r="AU990" s="22" t="str">
        <f t="shared" si="4"/>
        <v>#N/A</v>
      </c>
      <c r="AV990" s="22" t="s">
        <v>106</v>
      </c>
      <c r="AW990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0" s="22" t="str">
        <f t="shared" si="5"/>
        <v>BR_IMC_DSY_LANCH_ND_NC_2020Q3AUG_NVS_Nivus-Launch-Consideracao</v>
      </c>
      <c r="AY990" s="28" t="str">
        <f t="shared" si="6"/>
        <v>#N/A</v>
      </c>
      <c r="AZ990" s="22" t="s">
        <v>107</v>
      </c>
      <c r="BA990" s="22" t="s">
        <v>108</v>
      </c>
      <c r="BB990" s="31" t="s">
        <v>109</v>
      </c>
      <c r="BC990" s="31" t="s">
        <v>109</v>
      </c>
      <c r="BD990" s="32" t="str">
        <f t="shared" si="8"/>
        <v>nvl-nvs-imc-dsy-0820-10984</v>
      </c>
      <c r="BE990" s="33"/>
      <c r="BF990" s="33"/>
      <c r="BG990" s="39" t="str">
        <f>URL&amp;IF(ISNUMBER(FIND("?",URL)),"&amp;","?"&amp;("adlid="&amp;Unique_ID&amp;"&amp;adplt="&amp;Placement))</f>
        <v>#N/A</v>
      </c>
      <c r="BH990" s="1"/>
      <c r="BI990" s="1"/>
      <c r="BJ990" s="35" t="str">
        <f>LOWER("alp"&amp;"_"&amp;"vw"&amp;"_"&amp;Veiculo&amp;"_"&amp;C986&amp;"_"&amp;Objetivo)</f>
        <v>alp_vw___</v>
      </c>
      <c r="BK990" s="35" t="str">
        <f>LOWER(Buying_Metric&amp;"_"&amp;VLOOKUP(Buying_Type,Buy_type,2,FALSE)&amp;"_"&amp;Device&amp;"_"&amp;Size&amp;"_"&amp;Segmentação&amp;"_"&amp;Segmentação_Anúncio)</f>
        <v>#N/A</v>
      </c>
      <c r="BL990" s="35" t="str">
        <f>LOWER(Campanha_ou_InsertionOrder&amp;"_"&amp;LineItem_ou_Grupodeanúncio&amp;"_"&amp;Linha_criativa_2&amp;"_"&amp;Unique_ID)</f>
        <v>#N/A</v>
      </c>
      <c r="BM990" s="27"/>
      <c r="BN990" s="27"/>
    </row>
    <row r="991">
      <c r="A991" s="1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8" t="str">
        <f>LOWER(Campanha_ou_InsertionOrder&amp;"_"&amp;LineItem_ou_Grupodeanúncio&amp;"_"&amp;Linha_Criativa&amp;"_"&amp;Unique_ID)</f>
        <v>#N/A</v>
      </c>
      <c r="AN991" s="28" t="str">
        <f>LOWER(Campanha_ou_InsertionOrder&amp;"_"&amp;LineItem_ou_Grupodeanúncio&amp;"_"&amp;Linha_Criativa&amp;"_"&amp;Unique_ID)</f>
        <v>#N/A</v>
      </c>
      <c r="AO991" s="28" t="str">
        <f>LOWER("VW"&amp;"_"&amp;Model_Variant&amp;"_"&amp;Size&amp;"_"&amp;Linha_Criativa&amp;"_"&amp;IF(Servido_Por="portal",Veiculo,"adserver"))</f>
        <v>vw____adserver</v>
      </c>
      <c r="AP991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1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1" s="22" t="str">
        <f t="shared" si="1"/>
        <v/>
      </c>
      <c r="AS991" s="22" t="str">
        <f t="shared" si="2"/>
        <v/>
      </c>
      <c r="AT991" s="22" t="str">
        <f t="shared" si="3"/>
        <v>BR_IMC_DSY_LANCH_ND_NC_2020Q3AUG_NVS_Nivus-Launch-Consideracao</v>
      </c>
      <c r="AU991" s="22" t="str">
        <f t="shared" si="4"/>
        <v>#N/A</v>
      </c>
      <c r="AV991" s="22" t="s">
        <v>106</v>
      </c>
      <c r="AW991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1" s="22" t="str">
        <f t="shared" si="5"/>
        <v>BR_IMC_DSY_LANCH_ND_NC_2020Q3AUG_NVS_Nivus-Launch-Consideracao</v>
      </c>
      <c r="AY991" s="28" t="str">
        <f t="shared" si="6"/>
        <v>#N/A</v>
      </c>
      <c r="AZ991" s="22" t="s">
        <v>107</v>
      </c>
      <c r="BA991" s="22" t="s">
        <v>108</v>
      </c>
      <c r="BB991" s="31" t="s">
        <v>109</v>
      </c>
      <c r="BC991" s="31" t="s">
        <v>109</v>
      </c>
      <c r="BD991" s="32" t="str">
        <f t="shared" si="8"/>
        <v>nvl-nvs-imc-dsy-0820-10985</v>
      </c>
      <c r="BE991" s="33"/>
      <c r="BF991" s="33"/>
      <c r="BG991" s="39" t="str">
        <f>URL&amp;IF(ISNUMBER(FIND("?",URL)),"&amp;","?"&amp;("adlid="&amp;Unique_ID&amp;"&amp;adplt="&amp;Placement))</f>
        <v>#N/A</v>
      </c>
      <c r="BH991" s="1"/>
      <c r="BI991" s="1"/>
      <c r="BJ991" s="35" t="str">
        <f>LOWER("alp"&amp;"_"&amp;"vw"&amp;"_"&amp;Veiculo&amp;"_"&amp;C987&amp;"_"&amp;Objetivo)</f>
        <v>alp_vw___</v>
      </c>
      <c r="BK991" s="35" t="str">
        <f>LOWER(Buying_Metric&amp;"_"&amp;VLOOKUP(Buying_Type,Buy_type,2,FALSE)&amp;"_"&amp;Device&amp;"_"&amp;Size&amp;"_"&amp;Segmentação&amp;"_"&amp;Segmentação_Anúncio)</f>
        <v>#N/A</v>
      </c>
      <c r="BL991" s="35" t="str">
        <f>LOWER(Campanha_ou_InsertionOrder&amp;"_"&amp;LineItem_ou_Grupodeanúncio&amp;"_"&amp;Linha_criativa_2&amp;"_"&amp;Unique_ID)</f>
        <v>#N/A</v>
      </c>
      <c r="BM991" s="27"/>
      <c r="BN991" s="27"/>
    </row>
    <row r="992">
      <c r="A992" s="1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8" t="str">
        <f>LOWER(Campanha_ou_InsertionOrder&amp;"_"&amp;LineItem_ou_Grupodeanúncio&amp;"_"&amp;Linha_Criativa&amp;"_"&amp;Unique_ID)</f>
        <v>#N/A</v>
      </c>
      <c r="AN992" s="28" t="str">
        <f>LOWER(Campanha_ou_InsertionOrder&amp;"_"&amp;LineItem_ou_Grupodeanúncio&amp;"_"&amp;Linha_Criativa&amp;"_"&amp;Unique_ID)</f>
        <v>#N/A</v>
      </c>
      <c r="AO992" s="28" t="str">
        <f>LOWER("VW"&amp;"_"&amp;Model_Variant&amp;"_"&amp;Size&amp;"_"&amp;Linha_Criativa&amp;"_"&amp;IF(Servido_Por="portal",Veiculo,"adserver"))</f>
        <v>vw____adserver</v>
      </c>
      <c r="AP992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2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2" s="22" t="str">
        <f t="shared" si="1"/>
        <v/>
      </c>
      <c r="AS992" s="22" t="str">
        <f t="shared" si="2"/>
        <v/>
      </c>
      <c r="AT992" s="22" t="str">
        <f t="shared" si="3"/>
        <v>BR_IMC_DSY_LANCH_ND_NC_2020Q3AUG_NVS_Nivus-Launch-Consideracao</v>
      </c>
      <c r="AU992" s="22" t="str">
        <f t="shared" si="4"/>
        <v>#N/A</v>
      </c>
      <c r="AV992" s="22" t="s">
        <v>106</v>
      </c>
      <c r="AW992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2" s="22" t="str">
        <f t="shared" si="5"/>
        <v>BR_IMC_DSY_LANCH_ND_NC_2020Q3AUG_NVS_Nivus-Launch-Consideracao</v>
      </c>
      <c r="AY992" s="28" t="str">
        <f t="shared" si="6"/>
        <v>#N/A</v>
      </c>
      <c r="AZ992" s="22" t="s">
        <v>107</v>
      </c>
      <c r="BA992" s="22" t="s">
        <v>108</v>
      </c>
      <c r="BB992" s="31" t="s">
        <v>109</v>
      </c>
      <c r="BC992" s="31" t="s">
        <v>109</v>
      </c>
      <c r="BD992" s="32" t="str">
        <f t="shared" si="8"/>
        <v>nvl-nvs-imc-dsy-0820-10986</v>
      </c>
      <c r="BE992" s="33"/>
      <c r="BF992" s="33"/>
      <c r="BG992" s="39" t="str">
        <f>URL&amp;IF(ISNUMBER(FIND("?",URL)),"&amp;","?"&amp;("adlid="&amp;Unique_ID&amp;"&amp;adplt="&amp;Placement))</f>
        <v>#N/A</v>
      </c>
      <c r="BH992" s="1"/>
      <c r="BI992" s="1"/>
      <c r="BJ992" s="35" t="str">
        <f>LOWER("alp"&amp;"_"&amp;"vw"&amp;"_"&amp;Veiculo&amp;"_"&amp;C988&amp;"_"&amp;Objetivo)</f>
        <v>alp_vw___</v>
      </c>
      <c r="BK992" s="35" t="str">
        <f>LOWER(Buying_Metric&amp;"_"&amp;VLOOKUP(Buying_Type,Buy_type,2,FALSE)&amp;"_"&amp;Device&amp;"_"&amp;Size&amp;"_"&amp;Segmentação&amp;"_"&amp;Segmentação_Anúncio)</f>
        <v>#N/A</v>
      </c>
      <c r="BL992" s="35" t="str">
        <f>LOWER(Campanha_ou_InsertionOrder&amp;"_"&amp;LineItem_ou_Grupodeanúncio&amp;"_"&amp;Linha_criativa_2&amp;"_"&amp;Unique_ID)</f>
        <v>#N/A</v>
      </c>
      <c r="BM992" s="27"/>
      <c r="BN992" s="27"/>
    </row>
    <row r="993">
      <c r="A993" s="1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8" t="str">
        <f>LOWER(Campanha_ou_InsertionOrder&amp;"_"&amp;LineItem_ou_Grupodeanúncio&amp;"_"&amp;Linha_Criativa&amp;"_"&amp;Unique_ID)</f>
        <v>#N/A</v>
      </c>
      <c r="AN993" s="28" t="str">
        <f>LOWER(Campanha_ou_InsertionOrder&amp;"_"&amp;LineItem_ou_Grupodeanúncio&amp;"_"&amp;Linha_Criativa&amp;"_"&amp;Unique_ID)</f>
        <v>#N/A</v>
      </c>
      <c r="AO993" s="28" t="str">
        <f>LOWER("VW"&amp;"_"&amp;Model_Variant&amp;"_"&amp;Size&amp;"_"&amp;Linha_Criativa&amp;"_"&amp;IF(Servido_Por="portal",Veiculo,"adserver"))</f>
        <v>vw____adserver</v>
      </c>
      <c r="AP993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3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3" s="22" t="str">
        <f t="shared" si="1"/>
        <v/>
      </c>
      <c r="AS993" s="22" t="str">
        <f t="shared" si="2"/>
        <v/>
      </c>
      <c r="AT993" s="22" t="str">
        <f t="shared" si="3"/>
        <v>BR_IMC_DSY_LANCH_ND_NC_2020Q3AUG_NVS_Nivus-Launch-Consideracao</v>
      </c>
      <c r="AU993" s="22" t="str">
        <f t="shared" si="4"/>
        <v>#N/A</v>
      </c>
      <c r="AV993" s="22" t="s">
        <v>106</v>
      </c>
      <c r="AW993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3" s="22" t="str">
        <f t="shared" si="5"/>
        <v>BR_IMC_DSY_LANCH_ND_NC_2020Q3AUG_NVS_Nivus-Launch-Consideracao</v>
      </c>
      <c r="AY993" s="28" t="str">
        <f t="shared" si="6"/>
        <v>#N/A</v>
      </c>
      <c r="AZ993" s="22" t="s">
        <v>107</v>
      </c>
      <c r="BA993" s="22" t="s">
        <v>108</v>
      </c>
      <c r="BB993" s="31" t="s">
        <v>109</v>
      </c>
      <c r="BC993" s="31" t="s">
        <v>109</v>
      </c>
      <c r="BD993" s="32" t="str">
        <f t="shared" si="8"/>
        <v>nvl-nvs-imc-dsy-0820-10987</v>
      </c>
      <c r="BE993" s="33"/>
      <c r="BF993" s="33"/>
      <c r="BG993" s="39" t="str">
        <f>URL&amp;IF(ISNUMBER(FIND("?",URL)),"&amp;","?"&amp;("adlid="&amp;Unique_ID&amp;"&amp;adplt="&amp;Placement))</f>
        <v>#N/A</v>
      </c>
      <c r="BH993" s="1"/>
      <c r="BI993" s="1"/>
      <c r="BJ993" s="35" t="str">
        <f>LOWER("alp"&amp;"_"&amp;"vw"&amp;"_"&amp;Veiculo&amp;"_"&amp;C989&amp;"_"&amp;Objetivo)</f>
        <v>alp_vw___</v>
      </c>
      <c r="BK993" s="35" t="str">
        <f>LOWER(Buying_Metric&amp;"_"&amp;VLOOKUP(Buying_Type,Buy_type,2,FALSE)&amp;"_"&amp;Device&amp;"_"&amp;Size&amp;"_"&amp;Segmentação&amp;"_"&amp;Segmentação_Anúncio)</f>
        <v>#N/A</v>
      </c>
      <c r="BL993" s="35" t="str">
        <f>LOWER(Campanha_ou_InsertionOrder&amp;"_"&amp;LineItem_ou_Grupodeanúncio&amp;"_"&amp;Linha_criativa_2&amp;"_"&amp;Unique_ID)</f>
        <v>#N/A</v>
      </c>
      <c r="BM993" s="27"/>
      <c r="BN993" s="27"/>
    </row>
    <row r="994">
      <c r="A994" s="1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8" t="str">
        <f>LOWER(Campanha_ou_InsertionOrder&amp;"_"&amp;LineItem_ou_Grupodeanúncio&amp;"_"&amp;Linha_Criativa&amp;"_"&amp;Unique_ID)</f>
        <v>#N/A</v>
      </c>
      <c r="AN994" s="28" t="str">
        <f>LOWER(Campanha_ou_InsertionOrder&amp;"_"&amp;LineItem_ou_Grupodeanúncio&amp;"_"&amp;Linha_Criativa&amp;"_"&amp;Unique_ID)</f>
        <v>#N/A</v>
      </c>
      <c r="AO994" s="28" t="str">
        <f>LOWER("VW"&amp;"_"&amp;Model_Variant&amp;"_"&amp;Size&amp;"_"&amp;Linha_Criativa&amp;"_"&amp;IF(Servido_Por="portal",Veiculo,"adserver"))</f>
        <v>vw____adserver</v>
      </c>
      <c r="AP994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4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4" s="22" t="str">
        <f t="shared" si="1"/>
        <v/>
      </c>
      <c r="AS994" s="22" t="str">
        <f t="shared" si="2"/>
        <v/>
      </c>
      <c r="AT994" s="22" t="str">
        <f t="shared" si="3"/>
        <v>BR_IMC_DSY_LANCH_ND_NC_2020Q3AUG_NVS_Nivus-Launch-Consideracao</v>
      </c>
      <c r="AU994" s="22" t="str">
        <f t="shared" si="4"/>
        <v>#N/A</v>
      </c>
      <c r="AV994" s="22" t="s">
        <v>106</v>
      </c>
      <c r="AW994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4" s="22" t="str">
        <f t="shared" si="5"/>
        <v>BR_IMC_DSY_LANCH_ND_NC_2020Q3AUG_NVS_Nivus-Launch-Consideracao</v>
      </c>
      <c r="AY994" s="28" t="str">
        <f t="shared" si="6"/>
        <v>#N/A</v>
      </c>
      <c r="AZ994" s="22" t="s">
        <v>107</v>
      </c>
      <c r="BA994" s="22" t="s">
        <v>108</v>
      </c>
      <c r="BB994" s="31" t="s">
        <v>109</v>
      </c>
      <c r="BC994" s="31" t="s">
        <v>109</v>
      </c>
      <c r="BD994" s="32" t="str">
        <f t="shared" si="8"/>
        <v>nvl-nvs-imc-dsy-0820-10988</v>
      </c>
      <c r="BE994" s="33"/>
      <c r="BF994" s="33"/>
      <c r="BG994" s="39" t="str">
        <f>URL&amp;IF(ISNUMBER(FIND("?",URL)),"&amp;","?"&amp;("adlid="&amp;Unique_ID&amp;"&amp;adplt="&amp;Placement))</f>
        <v>#N/A</v>
      </c>
      <c r="BH994" s="1"/>
      <c r="BI994" s="1"/>
      <c r="BJ994" s="35" t="str">
        <f>LOWER("alp"&amp;"_"&amp;"vw"&amp;"_"&amp;Veiculo&amp;"_"&amp;C990&amp;"_"&amp;Objetivo)</f>
        <v>alp_vw___</v>
      </c>
      <c r="BK994" s="35" t="str">
        <f>LOWER(Buying_Metric&amp;"_"&amp;VLOOKUP(Buying_Type,Buy_type,2,FALSE)&amp;"_"&amp;Device&amp;"_"&amp;Size&amp;"_"&amp;Segmentação&amp;"_"&amp;Segmentação_Anúncio)</f>
        <v>#N/A</v>
      </c>
      <c r="BL994" s="35" t="str">
        <f>LOWER(Campanha_ou_InsertionOrder&amp;"_"&amp;LineItem_ou_Grupodeanúncio&amp;"_"&amp;Linha_criativa_2&amp;"_"&amp;Unique_ID)</f>
        <v>#N/A</v>
      </c>
      <c r="BM994" s="27"/>
      <c r="BN994" s="27"/>
    </row>
    <row r="995">
      <c r="A995" s="1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8" t="str">
        <f>LOWER(Campanha_ou_InsertionOrder&amp;"_"&amp;LineItem_ou_Grupodeanúncio&amp;"_"&amp;Linha_Criativa&amp;"_"&amp;Unique_ID)</f>
        <v>#N/A</v>
      </c>
      <c r="AN995" s="28" t="str">
        <f>LOWER(Campanha_ou_InsertionOrder&amp;"_"&amp;LineItem_ou_Grupodeanúncio&amp;"_"&amp;Linha_Criativa&amp;"_"&amp;Unique_ID)</f>
        <v>#N/A</v>
      </c>
      <c r="AO995" s="28" t="str">
        <f>LOWER("VW"&amp;"_"&amp;Model_Variant&amp;"_"&amp;Size&amp;"_"&amp;Linha_Criativa&amp;"_"&amp;IF(Servido_Por="portal",Veiculo,"adserver"))</f>
        <v>vw____adserver</v>
      </c>
      <c r="AP995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5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5" s="22" t="str">
        <f t="shared" si="1"/>
        <v/>
      </c>
      <c r="AS995" s="22" t="str">
        <f t="shared" si="2"/>
        <v/>
      </c>
      <c r="AT995" s="22" t="str">
        <f t="shared" si="3"/>
        <v>BR_IMC_DSY_LANCH_ND_NC_2020Q3AUG_NVS_Nivus-Launch-Consideracao</v>
      </c>
      <c r="AU995" s="22" t="str">
        <f t="shared" si="4"/>
        <v>#N/A</v>
      </c>
      <c r="AV995" s="22" t="s">
        <v>106</v>
      </c>
      <c r="AW995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5" s="22" t="str">
        <f t="shared" si="5"/>
        <v>BR_IMC_DSY_LANCH_ND_NC_2020Q3AUG_NVS_Nivus-Launch-Consideracao</v>
      </c>
      <c r="AY995" s="28" t="str">
        <f t="shared" si="6"/>
        <v>#N/A</v>
      </c>
      <c r="AZ995" s="22" t="s">
        <v>107</v>
      </c>
      <c r="BA995" s="22" t="s">
        <v>108</v>
      </c>
      <c r="BB995" s="31" t="s">
        <v>109</v>
      </c>
      <c r="BC995" s="31" t="s">
        <v>109</v>
      </c>
      <c r="BD995" s="32" t="str">
        <f t="shared" si="8"/>
        <v>nvl-nvs-imc-dsy-0820-10989</v>
      </c>
      <c r="BE995" s="33"/>
      <c r="BF995" s="33"/>
      <c r="BG995" s="39" t="str">
        <f>URL&amp;IF(ISNUMBER(FIND("?",URL)),"&amp;","?"&amp;("adlid="&amp;Unique_ID&amp;"&amp;adplt="&amp;Placement))</f>
        <v>#N/A</v>
      </c>
      <c r="BH995" s="1"/>
      <c r="BI995" s="1"/>
      <c r="BJ995" s="35" t="str">
        <f>LOWER("alp"&amp;"_"&amp;"vw"&amp;"_"&amp;Veiculo&amp;"_"&amp;C991&amp;"_"&amp;Objetivo)</f>
        <v>alp_vw___</v>
      </c>
      <c r="BK995" s="35" t="str">
        <f>LOWER(Buying_Metric&amp;"_"&amp;VLOOKUP(Buying_Type,Buy_type,2,FALSE)&amp;"_"&amp;Device&amp;"_"&amp;Size&amp;"_"&amp;Segmentação&amp;"_"&amp;Segmentação_Anúncio)</f>
        <v>#N/A</v>
      </c>
      <c r="BL995" s="35" t="str">
        <f>LOWER(Campanha_ou_InsertionOrder&amp;"_"&amp;LineItem_ou_Grupodeanúncio&amp;"_"&amp;Linha_criativa_2&amp;"_"&amp;Unique_ID)</f>
        <v>#N/A</v>
      </c>
      <c r="BM995" s="27"/>
      <c r="BN995" s="27"/>
    </row>
    <row r="996">
      <c r="A996" s="1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8" t="str">
        <f>LOWER(Campanha_ou_InsertionOrder&amp;"_"&amp;LineItem_ou_Grupodeanúncio&amp;"_"&amp;Linha_Criativa&amp;"_"&amp;Unique_ID)</f>
        <v>#N/A</v>
      </c>
      <c r="AN996" s="28" t="str">
        <f>LOWER(Campanha_ou_InsertionOrder&amp;"_"&amp;LineItem_ou_Grupodeanúncio&amp;"_"&amp;Linha_Criativa&amp;"_"&amp;Unique_ID)</f>
        <v>#N/A</v>
      </c>
      <c r="AO996" s="28" t="str">
        <f>LOWER("VW"&amp;"_"&amp;Model_Variant&amp;"_"&amp;Size&amp;"_"&amp;Linha_Criativa&amp;"_"&amp;IF(Servido_Por="portal",Veiculo,"adserver"))</f>
        <v>vw____adserver</v>
      </c>
      <c r="AP996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6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6" s="22" t="str">
        <f t="shared" si="1"/>
        <v/>
      </c>
      <c r="AS996" s="22" t="str">
        <f t="shared" si="2"/>
        <v/>
      </c>
      <c r="AT996" s="22" t="str">
        <f t="shared" si="3"/>
        <v>BR_IMC_DSY_LANCH_ND_NC_2020Q3AUG_NVS_Nivus-Launch-Consideracao</v>
      </c>
      <c r="AU996" s="22" t="str">
        <f t="shared" si="4"/>
        <v>#N/A</v>
      </c>
      <c r="AV996" s="22" t="s">
        <v>106</v>
      </c>
      <c r="AW996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6" s="22" t="str">
        <f t="shared" si="5"/>
        <v>BR_IMC_DSY_LANCH_ND_NC_2020Q3AUG_NVS_Nivus-Launch-Consideracao</v>
      </c>
      <c r="AY996" s="28" t="str">
        <f t="shared" si="6"/>
        <v>#N/A</v>
      </c>
      <c r="AZ996" s="22" t="s">
        <v>107</v>
      </c>
      <c r="BA996" s="22" t="s">
        <v>108</v>
      </c>
      <c r="BB996" s="31" t="s">
        <v>109</v>
      </c>
      <c r="BC996" s="31" t="s">
        <v>109</v>
      </c>
      <c r="BD996" s="32" t="str">
        <f t="shared" si="8"/>
        <v>nvl-nvs-imc-dsy-0820-10990</v>
      </c>
      <c r="BE996" s="33"/>
      <c r="BF996" s="33"/>
      <c r="BG996" s="39" t="str">
        <f>URL&amp;IF(ISNUMBER(FIND("?",URL)),"&amp;","?"&amp;("adlid="&amp;Unique_ID&amp;"&amp;adplt="&amp;Placement))</f>
        <v>#N/A</v>
      </c>
      <c r="BH996" s="1"/>
      <c r="BI996" s="1"/>
      <c r="BJ996" s="35" t="str">
        <f>LOWER("alp"&amp;"_"&amp;"vw"&amp;"_"&amp;Veiculo&amp;"_"&amp;C992&amp;"_"&amp;Objetivo)</f>
        <v>alp_vw___</v>
      </c>
      <c r="BK996" s="35" t="str">
        <f>LOWER(Buying_Metric&amp;"_"&amp;VLOOKUP(Buying_Type,Buy_type,2,FALSE)&amp;"_"&amp;Device&amp;"_"&amp;Size&amp;"_"&amp;Segmentação&amp;"_"&amp;Segmentação_Anúncio)</f>
        <v>#N/A</v>
      </c>
      <c r="BL996" s="35" t="str">
        <f>LOWER(Campanha_ou_InsertionOrder&amp;"_"&amp;LineItem_ou_Grupodeanúncio&amp;"_"&amp;Linha_criativa_2&amp;"_"&amp;Unique_ID)</f>
        <v>#N/A</v>
      </c>
      <c r="BM996" s="27"/>
      <c r="BN996" s="27"/>
    </row>
    <row r="997">
      <c r="A997" s="1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8" t="str">
        <f>LOWER(Campanha_ou_InsertionOrder&amp;"_"&amp;LineItem_ou_Grupodeanúncio&amp;"_"&amp;Linha_Criativa&amp;"_"&amp;Unique_ID)</f>
        <v>#N/A</v>
      </c>
      <c r="AN997" s="28" t="str">
        <f>LOWER(Campanha_ou_InsertionOrder&amp;"_"&amp;LineItem_ou_Grupodeanúncio&amp;"_"&amp;Linha_Criativa&amp;"_"&amp;Unique_ID)</f>
        <v>#N/A</v>
      </c>
      <c r="AO997" s="28" t="str">
        <f>LOWER("VW"&amp;"_"&amp;Model_Variant&amp;"_"&amp;Size&amp;"_"&amp;Linha_Criativa&amp;"_"&amp;IF(Servido_Por="portal",Veiculo,"adserver"))</f>
        <v>vw____adserver</v>
      </c>
      <c r="AP997" s="38" t="str">
        <f>IF(Parametrização="GA",URL_GA,IF(Parametrização&amp;Veiculo="ADOBESA360",URL&amp;"?ds_p=[*Part_Site*]&amp;ds_e=[*Part_Comp*]&amp;ds_c={_dscampaign}&amp;ds_ag={_dsadgroup}&amp;ds_k={_dssearchterm}&amp;ds_e={_dsaccounttype}&amp;ds_kid={_dstrackerid}&amp;country=BR&amp;language=BR",IF(Parametrização&amp;Veiculo="ADOBEGoogleAds",URL&amp;"?"&amp;"adlid="&amp;Unique_ID&amp;"&amp;adplt="&amp;Placement&amp;"adchan=[*channel*]&amp;campaign=[*Campaign*]"&amp;"&amp;adgroup=[*Adgroup*]&amp;publisher=[*EngineAccountType*]&amp;adpl=[*EngineAccountType*]&amp;country=BR&amp;format="&amp;Size&amp;"&amp;language=BR"&amp;"&amp;adcr=[*searchterm*]",URL_Adobe)))</f>
        <v>#N/A</v>
      </c>
      <c r="AQ997" s="37" t="str">
        <f>IFERROR(IF(Servido_Por="portal",VLOOKUP(Placement,IDs_contadores,3,FALSE),IF(Servido_Por="adserver-rotacionar",VLOOKUP(Placement,IDs_contadores,2,FALSE),IF(Servido_Por="adserver-única",VLOOKUP(Placement,IDs_contadores,2,FALSE),"Em criação"))),"Em criação")</f>
        <v>Em criação</v>
      </c>
      <c r="AR997" s="22" t="str">
        <f t="shared" si="1"/>
        <v/>
      </c>
      <c r="AS997" s="22" t="str">
        <f t="shared" si="2"/>
        <v/>
      </c>
      <c r="AT997" s="22" t="str">
        <f t="shared" si="3"/>
        <v>BR_IMC_DSY_LANCH_ND_NC_2020Q3AUG_NVS_Nivus-Launch-Consideracao</v>
      </c>
      <c r="AU997" s="22" t="str">
        <f t="shared" si="4"/>
        <v>#N/A</v>
      </c>
      <c r="AV997" s="22" t="s">
        <v>106</v>
      </c>
      <c r="AW997" s="37" t="str">
        <f>URL&amp;IF(ISNUMBER(FIND("?",URL)),"&amp;","?")&amp;"utm_source="&amp;col_utmsource&amp;"&amp;utm_medium="&amp;col_utmmedium&amp;"&amp;utm_content="&amp;col_utmcontent&amp;"&amp;utm_campaign="&amp;col_utmcampaing&amp;"&amp;utm_term="&amp;col_keyword</f>
        <v>#N/A</v>
      </c>
      <c r="AX997" s="22" t="str">
        <f t="shared" si="5"/>
        <v>BR_IMC_DSY_LANCH_ND_NC_2020Q3AUG_NVS_Nivus-Launch-Consideracao</v>
      </c>
      <c r="AY997" s="28" t="str">
        <f t="shared" si="6"/>
        <v>#N/A</v>
      </c>
      <c r="AZ997" s="22" t="s">
        <v>107</v>
      </c>
      <c r="BA997" s="22" t="s">
        <v>108</v>
      </c>
      <c r="BB997" s="31" t="s">
        <v>109</v>
      </c>
      <c r="BC997" s="31" t="s">
        <v>109</v>
      </c>
      <c r="BD997" s="32" t="str">
        <f t="shared" si="8"/>
        <v>nvl-nvs-imc-dsy-0820-10991</v>
      </c>
      <c r="BE997" s="33"/>
      <c r="BF997" s="33"/>
      <c r="BG997" s="39" t="str">
        <f>URL&amp;IF(ISNUMBER(FIND("?",URL)),"&amp;","?"&amp;("adlid="&amp;Unique_ID&amp;"&amp;adplt="&amp;Placement))</f>
        <v>#N/A</v>
      </c>
      <c r="BH997" s="1"/>
      <c r="BI997" s="1"/>
      <c r="BJ997" s="35" t="str">
        <f>LOWER("alp"&amp;"_"&amp;"vw"&amp;"_"&amp;Veiculo&amp;"_"&amp;C993&amp;"_"&amp;Objetivo)</f>
        <v>alp_vw___</v>
      </c>
      <c r="BK997" s="35" t="str">
        <f>LOWER(Buying_Metric&amp;"_"&amp;VLOOKUP(Buying_Type,Buy_type,2,FALSE)&amp;"_"&amp;Device&amp;"_"&amp;Size&amp;"_"&amp;Segmentação&amp;"_"&amp;Segmentação_Anúncio)</f>
        <v>#N/A</v>
      </c>
      <c r="BL997" s="35" t="str">
        <f>LOWER(Campanha_ou_InsertionOrder&amp;"_"&amp;LineItem_ou_Grupodeanúncio&amp;"_"&amp;Linha_criativa_2&amp;"_"&amp;Unique_ID)</f>
        <v>#N/A</v>
      </c>
      <c r="BM997" s="27"/>
      <c r="BN997" s="27"/>
    </row>
  </sheetData>
  <autoFilter ref="$B$7:$BG$997"/>
  <mergeCells count="3">
    <mergeCell ref="C2:F2"/>
    <mergeCell ref="C3:F3"/>
    <mergeCell ref="C4:F4"/>
  </mergeCells>
  <dataValidations>
    <dataValidation type="list" allowBlank="1" sqref="T8:T997">
      <formula1>"1X1,3rd-Party-Engagement,Click,Click-&amp;-Impression,Impression,Other,Standard,"</formula1>
    </dataValidation>
    <dataValidation type="list" allowBlank="1" sqref="J8:J997">
      <formula1>"Awareness-Familiarity,In-Market-Consideration,Trigger-Tactical,"</formula1>
    </dataValidation>
    <dataValidation type="list" allowBlank="1" sqref="K8:K997">
      <formula1>"Competitor-Response,Launch,Model-New-News,Motor-Show,Non-Model-Specific,Pre-Sales,Run-Out,Sustain,"</formula1>
    </dataValidation>
    <dataValidation type="list" allowBlank="1" sqref="S8:S997">
      <formula1>"CPA,CPC,CPM,CPV,Other,Sponsorship,"</formula1>
    </dataValidation>
    <dataValidation type="list" allowBlank="1" sqref="Q8:Q997">
      <formula1>"Digital-Audio,Paid-Display,Paid-Mobile,Other-(Online),Paid-Search,Paid-Social,Video,"</formula1>
    </dataValidation>
    <dataValidation type="list" allowBlank="1" sqref="W8:W997">
      <formula1>"All,Desktop,Mobile,Tablet,"</formula1>
    </dataValidation>
    <dataValidation type="list" allowBlank="1" sqref="M8:M997">
      <formula1>"After-Sales,Dealer,New-Car,Used-Car,"</formula1>
    </dataValidation>
    <dataValidation type="list" allowBlank="1" sqref="N8:N997">
      <formula1>"After-Sales,Alltrack,Amarok,Amarok-V6,Ameo,Arteon,Atlas,B7,Beats,Beetle,Branch-Opening,Cabriolet,Caddy,Caddy-Van,California,Caravelle,CC,C-Class,Certified-Pre-Owned,Crafter,Cross-Up!,Das-Auto,Das-WeltAuto,Dealer-Marketing-Association,Dealers-Advertisement"&amp;",Edition,E-Golf,E-Up!,Events-Sponsorship,Fleet,Fox,Gol,Golf,Golf-Alltrack,Golf-GTI,Golf-R,Golf-Wagon,GTE,GTI,Hatchback-CKD,Hybrid,ID,ID-Crozz,Image,Innovation-Campaign,Institutional,Jetta,Lavida,Multivan,Nivus,NMC,Other,Parts-and-Service,Passat,Passat-All"&amp;"track,Passat-Wagon,Performance,Phaeton,Polo,Polo-GTI,PR,R,Range,ReBuild-Trust,Sales-Event,Santana,Saveiro,SBUC,SBUE,SBUN,SBUS,SBUW,Scirocco,Sedan,Service,Sharan,Sportwagen,Suran,T-Cross,Teramont,Think-Blue,Tiguan,Touareg,Touran,Transporter,Transporter-Cab"&amp;"-Chassis,T-Roc,Up!,Variant,Vento,Vivo,Voyage,VW-Brand,WRC,"</formula1>
    </dataValidation>
    <dataValidation type="list" allowBlank="1" sqref="G8:G997">
      <formula1>"adserver-rotacionar,adserver-única,portal,sem-adserver,"</formula1>
    </dataValidation>
    <dataValidation type="list" allowBlank="1" sqref="AC8:AC997">
      <formula1>"Added-Value,Delete-&amp;-Charge,Make-Good,Paid,"</formula1>
    </dataValidation>
    <dataValidation type="list" allowBlank="1" sqref="V8:V997">
      <formula1>"Homepage-Takeover,Other,Run-of-Network,Run-of-Site,"</formula1>
    </dataValidation>
    <dataValidation type="list" allowBlank="1" sqref="O8:P997">
      <formula1>"agrishow,aol,aol-dbm,auto-esporte,auto-informe,autopapo,autopista,buzzfeed,campinas.com.br,canaltech-auto,cazamba,cinemad,cm,comprecar,dbm,dbm-aol,dbm-estadao,dbm-exame,dbm-folha,dbm-g1,dbm-ge,dbm-globo,dbm-icarros,dbm-msn,dbm-olx,dbm-r7,dbm-terra,dbm-uol"&amp;",dbm-valor,dbm-valoreconomico,dbm-veja,dbm-webmotors,dbm-youtube,decolar,dinheiro-rural,editora-globo,epoca,estadao,facebook,faceinsta,folha-de-sao-paulo,fullpower,gdn,gdn-youtube,globo,globo-dbm,google,GoogleAds,hands,huffpost,icarros,inloco,instagram,is"&amp;"toe-dbm,linkedin,logan,msn,oath,olx,opera,outlook,planeta-offroad,psafe,r7,SA360,sindloc,spotify,teads,terra,tvxtender,twitter,uol,veja-exame,waze,webmotors,wetransfer,yahoo,youtube,"</formula1>
    </dataValidation>
    <dataValidation type="list" allowBlank="1" sqref="I8:I997">
      <formula1>"Adobe,GA"</formula1>
    </dataValidation>
    <dataValidation type="list" allowBlank="1" sqref="R8:R997">
      <formula1>"Direct,Programmatic,"</formula1>
    </dataValidation>
    <dataValidation type="list" allowBlank="1" sqref="L8:L997">
      <formula1>"Dealer,Non-Dealer,"</formula1>
    </dataValidation>
    <dataValidation type="list" allowBlank="1" sqref="AD8:AD997">
      <formula1>"1000x100,1000x250,1000x300,1000x600,100x100,100x13,1024x768,1050x250,1080x1080,1080x1920,1100x140,1100x600,1122x215,1160x300,1190x330,1200x627,1200x628,1200x675,1200x800,120x120,120x225,120x240,120x245,120x60,120x600,120x90,1280x752,130x186,135x102,1440x9"&amp;"60,150x150,152x112,160x150,160x185,160x300,160x600,180x150,1x1,200x120,200x200,230x350,234x60,240x240,240x400,240x600,250x250,250x360,250x600,260x260,278x95,280x80,300x100,300x1000,300x1050,300x130,300x150,300x250,300x300,300x395,300x400,300x443,300x450,3"&amp;"00x460,300x50,300x520,300x60,300x600,300x75,300x800,300x815,300x90,300x926,320x100,320x160,320x165,320x176,320x250,320x260,320x265,320x320,320x480,320x50,320x568,320x600,320x70,336x280,336x400,336x450,336x50,336x600,348x208,360x640,400x300,430x343,432x432"&amp;",450x75,460x175,468x60,475x300,480x320,480x70,500x100,500x500,510x500,525x80,530x300,540x544,550x100,550x220,550x480,550x90,553x220,555x240,560x400,578x60,580x220,590x147,590x250,600x100,600x125,600x150,600x195,600x200,600x220,600x250,600x300,600x335,600x"&amp;"500,600x600,600x80,600x90,608x220,608x240,610x220,610x240,610x270,620x200,620x250,620x90,627x627,630x180,630x220,630x242,630x500,635x210,640x107,640x200,640x220,640x250,640x300,640x332,640x360,640x480,640x90,640x960,643x200,643x220,645x120,645x75,646x193,"&amp;"648x140,650x1100,650x140,650x200,650x220,650x240,650x650,652x200,660x200,660x230,660x300,660x370,660x500,670x200,680x100,680x220,680x230,680x360,690x200,690x380,690x80,695x200,700x100,700x150,700x300,700x40,700x60,710x95,720x190,720x300,720x480,720x540,72"&amp;"8x175,728x195,728x250,728x280,728x300,728x600,728x90,730x100-1000x600,730x50,730x510,735x180,735x250,744x666,750x200,750x280,768x1024,788x240,800x120,800x250,800x300,800x400,800x418,800x573,800x600,80x80,820x385,830x500,840x150,840x180,850x175,850x290,870"&amp;"x250,88x31,900x600,900x750,920x135,930x120,930x180,930x95,950x90,960x1440,960x150,970x125,970x150,970x180,970x250,970x300,970x500,970x600,970x90,980x120,980x240,980x250,988x60,booking-bubble,BumperAD,carrossel-landscape-,compare-to,core,Display-Interativo"&amp;",featured-results,front-door-check,front-door-uncheck,fullscreen,In-Article,in-line,LeadAD,meta-search,Mobile-Moments,nativeads,NativeAds-Carousel,pagepost,scroller-landscape-,scroller-square-,Sequency-Stories,Stories,TrueView,video,"</formula1>
    </dataValidation>
    <dataValidation type="list" allowBlank="1" sqref="B8:B997">
      <formula1>"Aguardando material,Atualizar,Inativar,Inserir,Manter / No ar,Substituir criativo"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5.29"/>
    <col customWidth="1" min="2" max="2" width="24.29"/>
    <col customWidth="1" min="3" max="3" width="26.86"/>
    <col customWidth="1" min="4" max="4" width="80.14"/>
  </cols>
  <sheetData>
    <row r="1">
      <c r="A1" s="40" t="s">
        <v>124</v>
      </c>
      <c r="B1" s="41" t="s">
        <v>125</v>
      </c>
      <c r="C1" s="42" t="s">
        <v>126</v>
      </c>
      <c r="D1" s="43" t="s">
        <v>127</v>
      </c>
    </row>
    <row r="2">
      <c r="A2" s="44" t="s">
        <v>128</v>
      </c>
      <c r="B2" s="45"/>
      <c r="C2" s="46" t="str">
        <f t="shared" ref="C2:C3" si="1">IF(A2=VLOOKUP(A2,Validação,1,FALSE),B2,"Placement Não Encontrado")=VLOOKUP(A2,Validação,6,FALSE)</f>
        <v>#NAME?</v>
      </c>
      <c r="D2" s="46" t="str">
        <f t="shared" ref="D2:D3" si="2">IF(LEN(A2)-LEN(SUBSTITUTE(A2,"_",""))=10,"Quebras OK - Pode criar a tag!","Ops! Mais de 10 underlines. Não crie a tag!")</f>
        <v>Quebras OK - Pode criar a tag!</v>
      </c>
    </row>
    <row r="3">
      <c r="A3" s="44" t="s">
        <v>128</v>
      </c>
      <c r="B3" s="47"/>
      <c r="C3" s="46" t="str">
        <f t="shared" si="1"/>
        <v>#NAME?</v>
      </c>
      <c r="D3" s="46" t="str">
        <f t="shared" si="2"/>
        <v>Quebras OK - Pode criar a tag!</v>
      </c>
    </row>
  </sheetData>
  <autoFilter ref="$A$1:$D$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85.86"/>
    <col customWidth="1" min="2" max="2" width="10.71"/>
    <col customWidth="1" min="3" max="3" width="85.86"/>
  </cols>
  <sheetData>
    <row r="1">
      <c r="A1" s="48" t="s">
        <v>129</v>
      </c>
      <c r="B1" s="49" t="s">
        <v>130</v>
      </c>
      <c r="C1" s="48" t="s">
        <v>131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0" t="s">
        <v>132</v>
      </c>
      <c r="B2" s="50">
        <v>2.81299756E8</v>
      </c>
      <c r="C2" s="50" t="s">
        <v>133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 t="str">
        <f>Phonet</f>
        <v>#NAME?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autoFilter ref="$A$1:$C$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4.29"/>
    <col customWidth="1" min="2" max="2" width="11.14"/>
    <col customWidth="1" min="3" max="3" width="4.14"/>
    <col customWidth="1" min="5" max="5" width="13.43"/>
    <col customWidth="1" min="6" max="6" width="5.14"/>
    <col customWidth="1" min="8" max="8" width="13.14"/>
    <col customWidth="1" min="9" max="9" width="6.0"/>
    <col customWidth="1" min="11" max="11" width="18.14"/>
    <col customWidth="1" min="12" max="12" width="3.57"/>
    <col customWidth="1" min="13" max="13" width="2.14"/>
    <col customWidth="1" min="15" max="15" width="14.57"/>
    <col customWidth="1" min="16" max="16" width="4.71"/>
    <col customWidth="1" min="18" max="18" width="15.0"/>
    <col customWidth="1" min="19" max="19" width="4.0"/>
    <col customWidth="1" min="21" max="21" width="12.43"/>
    <col customWidth="1" min="22" max="22" width="12.0"/>
    <col customWidth="1" min="23" max="23" width="5.43"/>
    <col customWidth="1" min="25" max="25" width="7.0"/>
    <col customWidth="1" min="26" max="26" width="5.43"/>
    <col customWidth="1" min="28" max="28" width="14.57"/>
    <col customWidth="1" min="30" max="30" width="14.43"/>
    <col customWidth="1" min="31" max="31" width="4.57"/>
    <col customWidth="1" min="32" max="32" width="2.14"/>
    <col customWidth="1" min="34" max="34" width="20.71"/>
    <col customWidth="1" min="35" max="35" width="5.57"/>
    <col customWidth="1" min="36" max="36" width="3.29"/>
    <col customWidth="1" min="38" max="38" width="26.29"/>
    <col customWidth="1" min="39" max="39" width="5.57"/>
    <col customWidth="1" min="40" max="40" width="3.29"/>
    <col customWidth="1" min="42" max="42" width="15.29"/>
    <col customWidth="1" min="43" max="43" width="4.29"/>
    <col customWidth="1" min="45" max="45" width="22.0"/>
    <col customWidth="1" min="46" max="46" width="4.57"/>
    <col customWidth="1" min="47" max="47" width="2.14"/>
    <col customWidth="1" min="49" max="49" width="17.86"/>
    <col customWidth="1" min="52" max="52" width="19.14"/>
    <col customWidth="1" min="55" max="55" width="18.57"/>
    <col customWidth="1" min="56" max="56" width="5.0"/>
    <col customWidth="1" min="58" max="58" width="18.57"/>
    <col customWidth="1" min="59" max="59" width="18.29"/>
    <col customWidth="1" min="60" max="60" width="6.29"/>
    <col customWidth="1" min="61" max="61" width="19.57"/>
    <col customWidth="1" min="62" max="62" width="8.29"/>
    <col customWidth="1" min="63" max="63" width="2.14"/>
    <col customWidth="1" min="65" max="65" width="18.29"/>
    <col customWidth="1" min="66" max="66" width="5.43"/>
    <col customWidth="1" min="67" max="67" width="2.14"/>
    <col customWidth="1" min="69" max="69" width="20.29"/>
    <col customWidth="1" min="70" max="70" width="4.57"/>
    <col customWidth="1" min="72" max="72" width="10.86"/>
    <col customWidth="1" min="73" max="73" width="3.71"/>
    <col customWidth="1" min="74" max="74" width="2.14"/>
    <col customWidth="1" min="76" max="76" width="18.29"/>
    <col customWidth="1" min="77" max="77" width="5.86"/>
    <col customWidth="1" min="79" max="79" width="12.29"/>
  </cols>
  <sheetData>
    <row r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3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</row>
    <row r="2">
      <c r="A2" s="54"/>
      <c r="B2" s="55" t="s">
        <v>134</v>
      </c>
      <c r="C2" s="6"/>
      <c r="D2" s="54"/>
      <c r="E2" s="55" t="s">
        <v>135</v>
      </c>
      <c r="F2" s="6"/>
      <c r="G2" s="54"/>
      <c r="H2" s="55" t="s">
        <v>136</v>
      </c>
      <c r="I2" s="6"/>
      <c r="J2" s="54"/>
      <c r="K2" s="56" t="s">
        <v>137</v>
      </c>
      <c r="N2" s="54"/>
      <c r="O2" s="55" t="s">
        <v>138</v>
      </c>
      <c r="P2" s="6"/>
      <c r="Q2" s="54"/>
      <c r="R2" s="55" t="s">
        <v>139</v>
      </c>
      <c r="S2" s="6"/>
      <c r="T2" s="54"/>
      <c r="U2" s="56" t="s">
        <v>140</v>
      </c>
      <c r="X2" s="54"/>
      <c r="Y2" s="55" t="s">
        <v>41</v>
      </c>
      <c r="Z2" s="6"/>
      <c r="AA2" s="57"/>
      <c r="AB2" s="58" t="s">
        <v>27</v>
      </c>
      <c r="AC2" s="54"/>
      <c r="AD2" s="56" t="s">
        <v>141</v>
      </c>
      <c r="AG2" s="54"/>
      <c r="AH2" s="56" t="s">
        <v>142</v>
      </c>
      <c r="AK2" s="54"/>
      <c r="AL2" s="56" t="s">
        <v>143</v>
      </c>
      <c r="AO2" s="54"/>
      <c r="AP2" s="55" t="s">
        <v>144</v>
      </c>
      <c r="AQ2" s="6"/>
      <c r="AR2" s="54"/>
      <c r="AS2" s="56" t="s">
        <v>145</v>
      </c>
      <c r="AV2" s="54"/>
      <c r="AW2" s="58" t="s">
        <v>146</v>
      </c>
      <c r="AY2" s="54"/>
      <c r="AZ2" s="58" t="s">
        <v>147</v>
      </c>
      <c r="BB2" s="54"/>
      <c r="BC2" s="55" t="s">
        <v>148</v>
      </c>
      <c r="BD2" s="6"/>
      <c r="BE2" s="54"/>
      <c r="BF2" s="59" t="s">
        <v>149</v>
      </c>
      <c r="BG2" s="59" t="s">
        <v>150</v>
      </c>
      <c r="BH2" s="60" t="s">
        <v>150</v>
      </c>
      <c r="BI2" s="55" t="s">
        <v>151</v>
      </c>
      <c r="BJ2" s="6"/>
      <c r="BK2" s="61"/>
      <c r="BL2" s="54"/>
      <c r="BM2" s="55" t="s">
        <v>152</v>
      </c>
      <c r="BN2" s="6"/>
      <c r="BO2" s="61"/>
      <c r="BP2" s="54"/>
      <c r="BQ2" s="55" t="s">
        <v>153</v>
      </c>
      <c r="BR2" s="6"/>
      <c r="BS2" s="54"/>
      <c r="BT2" s="55" t="s">
        <v>30</v>
      </c>
      <c r="BU2" s="6"/>
      <c r="BV2" s="61"/>
      <c r="BW2" s="54"/>
      <c r="BX2" s="55" t="s">
        <v>154</v>
      </c>
      <c r="BY2" s="6"/>
      <c r="BZ2" s="54"/>
      <c r="CA2" s="55" t="s">
        <v>42</v>
      </c>
      <c r="CB2" s="6"/>
    </row>
    <row r="3">
      <c r="A3" s="52"/>
      <c r="B3" s="62" t="s">
        <v>155</v>
      </c>
      <c r="C3" s="62" t="s">
        <v>156</v>
      </c>
      <c r="D3" s="52"/>
      <c r="E3" s="62" t="s">
        <v>94</v>
      </c>
      <c r="F3" s="62" t="s">
        <v>94</v>
      </c>
      <c r="G3" s="52"/>
      <c r="H3" s="62" t="s">
        <v>93</v>
      </c>
      <c r="I3" s="62" t="s">
        <v>157</v>
      </c>
      <c r="J3" s="52"/>
      <c r="K3" s="62" t="s">
        <v>89</v>
      </c>
      <c r="L3" s="62" t="s">
        <v>158</v>
      </c>
      <c r="M3" s="63">
        <v>1.0</v>
      </c>
      <c r="N3" s="52"/>
      <c r="O3" s="62" t="s">
        <v>98</v>
      </c>
      <c r="P3" s="62" t="s">
        <v>159</v>
      </c>
      <c r="Q3" s="52"/>
      <c r="R3" s="62" t="s">
        <v>160</v>
      </c>
      <c r="S3" s="62" t="s">
        <v>161</v>
      </c>
      <c r="T3" s="52"/>
      <c r="U3" s="62" t="s">
        <v>162</v>
      </c>
      <c r="V3" s="62" t="s">
        <v>163</v>
      </c>
      <c r="W3" s="64" t="s">
        <v>164</v>
      </c>
      <c r="X3" s="52"/>
      <c r="Y3" s="62" t="s">
        <v>159</v>
      </c>
      <c r="Z3" s="62" t="s">
        <v>159</v>
      </c>
      <c r="AA3" s="53"/>
      <c r="AB3" s="62" t="s">
        <v>85</v>
      </c>
      <c r="AC3" s="52"/>
      <c r="AD3" s="62" t="s">
        <v>165</v>
      </c>
      <c r="AE3" s="62" t="s">
        <v>166</v>
      </c>
      <c r="AF3" s="63">
        <v>1.0</v>
      </c>
      <c r="AG3" s="52"/>
      <c r="AH3" s="62" t="s">
        <v>89</v>
      </c>
      <c r="AI3" s="62" t="s">
        <v>167</v>
      </c>
      <c r="AJ3" s="63">
        <v>1.0</v>
      </c>
      <c r="AK3" s="52"/>
      <c r="AL3" s="62" t="s">
        <v>89</v>
      </c>
      <c r="AM3" s="62" t="s">
        <v>167</v>
      </c>
      <c r="AN3" s="63">
        <v>1.0</v>
      </c>
      <c r="AO3" s="52"/>
      <c r="AP3" s="62" t="s">
        <v>104</v>
      </c>
      <c r="AQ3" s="62" t="s">
        <v>168</v>
      </c>
      <c r="AR3" s="52"/>
      <c r="AS3" s="62" t="s">
        <v>86</v>
      </c>
      <c r="AT3" s="62" t="s">
        <v>169</v>
      </c>
      <c r="AU3" s="63">
        <v>1.0</v>
      </c>
      <c r="AV3" s="52"/>
      <c r="AW3" s="62" t="s">
        <v>83</v>
      </c>
      <c r="AX3" s="52"/>
      <c r="AY3" s="52"/>
      <c r="AZ3" s="62" t="s">
        <v>170</v>
      </c>
      <c r="BB3" s="52"/>
      <c r="BC3" s="62" t="s">
        <v>97</v>
      </c>
      <c r="BD3" s="62" t="s">
        <v>171</v>
      </c>
      <c r="BE3" s="52"/>
      <c r="BF3" s="62" t="s">
        <v>105</v>
      </c>
      <c r="BG3" s="62" t="s">
        <v>172</v>
      </c>
      <c r="BI3" s="62" t="s">
        <v>87</v>
      </c>
      <c r="BJ3" s="62" t="s">
        <v>173</v>
      </c>
      <c r="BK3" s="63">
        <v>1.0</v>
      </c>
      <c r="BL3" s="52"/>
      <c r="BM3" s="62" t="s">
        <v>92</v>
      </c>
      <c r="BN3" s="62" t="s">
        <v>174</v>
      </c>
      <c r="BO3" s="63">
        <v>1.0</v>
      </c>
      <c r="BP3" s="52"/>
      <c r="BQ3" s="62" t="s">
        <v>95</v>
      </c>
      <c r="BR3" s="62" t="s">
        <v>95</v>
      </c>
      <c r="BS3" s="52"/>
      <c r="BT3" s="62" t="s">
        <v>88</v>
      </c>
      <c r="BU3" s="62" t="s">
        <v>175</v>
      </c>
      <c r="BV3" s="63">
        <v>1.0</v>
      </c>
      <c r="BW3" s="52"/>
      <c r="BX3" s="62" t="s">
        <v>172</v>
      </c>
      <c r="BY3" s="62" t="s">
        <v>176</v>
      </c>
      <c r="BZ3" s="52"/>
      <c r="CA3" s="62" t="s">
        <v>177</v>
      </c>
      <c r="CB3" s="52"/>
    </row>
    <row r="4">
      <c r="A4" s="52"/>
      <c r="B4" s="52"/>
      <c r="C4" s="52"/>
      <c r="D4" s="52"/>
      <c r="E4" s="62" t="s">
        <v>178</v>
      </c>
      <c r="F4" s="62" t="s">
        <v>178</v>
      </c>
      <c r="G4" s="52"/>
      <c r="H4" s="62" t="s">
        <v>179</v>
      </c>
      <c r="I4" s="62" t="s">
        <v>180</v>
      </c>
      <c r="J4" s="52"/>
      <c r="K4" s="62" t="s">
        <v>88</v>
      </c>
      <c r="L4" s="62" t="s">
        <v>175</v>
      </c>
      <c r="M4" s="63">
        <v>2.0</v>
      </c>
      <c r="N4" s="52"/>
      <c r="O4" s="62" t="s">
        <v>134</v>
      </c>
      <c r="P4" s="62" t="s">
        <v>181</v>
      </c>
      <c r="Q4" s="52"/>
      <c r="R4" s="62" t="s">
        <v>182</v>
      </c>
      <c r="S4" s="62" t="s">
        <v>183</v>
      </c>
      <c r="T4" s="52"/>
      <c r="U4" s="62" t="s">
        <v>184</v>
      </c>
      <c r="V4" s="62" t="s">
        <v>185</v>
      </c>
      <c r="W4" s="64" t="s">
        <v>186</v>
      </c>
      <c r="X4" s="52"/>
      <c r="Y4" s="62" t="s">
        <v>187</v>
      </c>
      <c r="Z4" s="62" t="s">
        <v>187</v>
      </c>
      <c r="AA4" s="53"/>
      <c r="AB4" s="62" t="s">
        <v>188</v>
      </c>
      <c r="AC4" s="52"/>
      <c r="AD4" s="62" t="s">
        <v>189</v>
      </c>
      <c r="AE4" s="62" t="s">
        <v>190</v>
      </c>
      <c r="AF4" s="63">
        <v>2.0</v>
      </c>
      <c r="AG4" s="52"/>
      <c r="AH4" s="62" t="s">
        <v>191</v>
      </c>
      <c r="AI4" s="62" t="s">
        <v>192</v>
      </c>
      <c r="AJ4" s="63">
        <v>2.0</v>
      </c>
      <c r="AK4" s="52"/>
      <c r="AL4" s="62" t="s">
        <v>191</v>
      </c>
      <c r="AM4" s="62" t="s">
        <v>192</v>
      </c>
      <c r="AN4" s="63">
        <v>2.0</v>
      </c>
      <c r="AO4" s="52"/>
      <c r="AP4" s="62" t="s">
        <v>193</v>
      </c>
      <c r="AQ4" s="62" t="s">
        <v>194</v>
      </c>
      <c r="AR4" s="52"/>
      <c r="AS4" s="62" t="s">
        <v>195</v>
      </c>
      <c r="AT4" s="62" t="s">
        <v>196</v>
      </c>
      <c r="AU4" s="63">
        <v>2.0</v>
      </c>
      <c r="AV4" s="52"/>
      <c r="AW4" s="62" t="s">
        <v>117</v>
      </c>
      <c r="AZ4" s="62" t="s">
        <v>197</v>
      </c>
      <c r="BA4" s="52"/>
      <c r="BB4" s="52"/>
      <c r="BC4" s="62" t="s">
        <v>198</v>
      </c>
      <c r="BD4" s="62" t="s">
        <v>199</v>
      </c>
      <c r="BE4" s="52"/>
      <c r="BF4" s="62" t="s">
        <v>120</v>
      </c>
      <c r="BG4" s="62" t="s">
        <v>172</v>
      </c>
      <c r="BI4" s="62" t="s">
        <v>200</v>
      </c>
      <c r="BJ4" s="62" t="s">
        <v>201</v>
      </c>
      <c r="BK4" s="63">
        <v>2.0</v>
      </c>
      <c r="BL4" s="52"/>
      <c r="BM4" s="62" t="s">
        <v>202</v>
      </c>
      <c r="BN4" s="62" t="s">
        <v>203</v>
      </c>
      <c r="BO4" s="63">
        <v>2.0</v>
      </c>
      <c r="BP4" s="52"/>
      <c r="BQ4" s="62" t="s">
        <v>119</v>
      </c>
      <c r="BR4" s="62" t="s">
        <v>204</v>
      </c>
      <c r="BS4" s="52"/>
      <c r="BT4" s="62" t="s">
        <v>205</v>
      </c>
      <c r="BU4" s="62" t="s">
        <v>206</v>
      </c>
      <c r="BV4" s="63">
        <v>2.0</v>
      </c>
      <c r="BW4" s="52"/>
      <c r="BX4" s="62" t="s">
        <v>207</v>
      </c>
      <c r="BY4" s="62" t="s">
        <v>208</v>
      </c>
      <c r="BZ4" s="52"/>
      <c r="CA4" s="62" t="s">
        <v>209</v>
      </c>
      <c r="CB4" s="52"/>
    </row>
    <row r="5">
      <c r="A5" s="52"/>
      <c r="B5" s="52"/>
      <c r="C5" s="52"/>
      <c r="D5" s="52"/>
      <c r="E5" s="62" t="s">
        <v>210</v>
      </c>
      <c r="F5" s="62" t="s">
        <v>210</v>
      </c>
      <c r="G5" s="52"/>
      <c r="H5" s="52"/>
      <c r="I5" s="52"/>
      <c r="J5" s="52"/>
      <c r="K5" s="62" t="s">
        <v>211</v>
      </c>
      <c r="L5" s="62" t="s">
        <v>212</v>
      </c>
      <c r="M5" s="63">
        <v>3.0</v>
      </c>
      <c r="N5" s="52"/>
      <c r="O5" s="62" t="s">
        <v>213</v>
      </c>
      <c r="P5" s="62" t="s">
        <v>214</v>
      </c>
      <c r="Q5" s="52"/>
      <c r="R5" s="62" t="s">
        <v>215</v>
      </c>
      <c r="S5" s="62" t="s">
        <v>216</v>
      </c>
      <c r="T5" s="52"/>
      <c r="U5" s="62" t="s">
        <v>217</v>
      </c>
      <c r="V5" s="62" t="s">
        <v>218</v>
      </c>
      <c r="W5" s="64" t="s">
        <v>219</v>
      </c>
      <c r="X5" s="52"/>
      <c r="Y5" s="62" t="s">
        <v>220</v>
      </c>
      <c r="Z5" s="62" t="s">
        <v>220</v>
      </c>
      <c r="AA5" s="53"/>
      <c r="AB5" s="52"/>
      <c r="AC5" s="52"/>
      <c r="AD5" s="62" t="s">
        <v>221</v>
      </c>
      <c r="AE5" s="62" t="s">
        <v>222</v>
      </c>
      <c r="AF5" s="63">
        <v>3.0</v>
      </c>
      <c r="AG5" s="52"/>
      <c r="AH5" s="62" t="s">
        <v>223</v>
      </c>
      <c r="AI5" s="62" t="s">
        <v>224</v>
      </c>
      <c r="AJ5" s="63">
        <v>3.0</v>
      </c>
      <c r="AK5" s="52"/>
      <c r="AL5" s="62" t="s">
        <v>225</v>
      </c>
      <c r="AM5" s="62" t="s">
        <v>226</v>
      </c>
      <c r="AN5" s="63">
        <v>3.0</v>
      </c>
      <c r="AO5" s="52"/>
      <c r="AP5" s="62" t="s">
        <v>227</v>
      </c>
      <c r="AQ5" s="62" t="s">
        <v>228</v>
      </c>
      <c r="AR5" s="52"/>
      <c r="AS5" s="62" t="s">
        <v>229</v>
      </c>
      <c r="AT5" s="62" t="s">
        <v>230</v>
      </c>
      <c r="AU5" s="63">
        <v>3.0</v>
      </c>
      <c r="AV5" s="52"/>
      <c r="AW5" s="62" t="s">
        <v>111</v>
      </c>
      <c r="AZ5" s="62" t="s">
        <v>231</v>
      </c>
      <c r="BA5" s="52"/>
      <c r="BB5" s="52"/>
      <c r="BC5" s="62" t="s">
        <v>232</v>
      </c>
      <c r="BD5" s="62" t="s">
        <v>233</v>
      </c>
      <c r="BE5" s="52"/>
      <c r="BF5" s="62" t="s">
        <v>234</v>
      </c>
      <c r="BG5" s="62" t="s">
        <v>172</v>
      </c>
      <c r="BI5" s="62" t="s">
        <v>235</v>
      </c>
      <c r="BJ5" s="62" t="s">
        <v>236</v>
      </c>
      <c r="BK5" s="63">
        <v>3.0</v>
      </c>
      <c r="BL5" s="52"/>
      <c r="BM5" s="62" t="s">
        <v>237</v>
      </c>
      <c r="BN5" s="62" t="s">
        <v>220</v>
      </c>
      <c r="BO5" s="63">
        <v>3.0</v>
      </c>
      <c r="BP5" s="52"/>
      <c r="BQ5" s="62" t="s">
        <v>114</v>
      </c>
      <c r="BR5" s="62" t="s">
        <v>238</v>
      </c>
      <c r="BS5" s="52"/>
      <c r="BT5" s="52"/>
      <c r="BU5" s="52"/>
      <c r="BV5" s="52"/>
      <c r="BW5" s="52"/>
      <c r="BX5" s="62" t="s">
        <v>239</v>
      </c>
      <c r="BY5" s="62" t="s">
        <v>240</v>
      </c>
      <c r="BZ5" s="52"/>
      <c r="CA5" s="62" t="s">
        <v>241</v>
      </c>
      <c r="CB5" s="52"/>
    </row>
    <row r="6">
      <c r="A6" s="52"/>
      <c r="B6" s="52"/>
      <c r="C6" s="52"/>
      <c r="D6" s="52"/>
      <c r="E6" s="62" t="s">
        <v>242</v>
      </c>
      <c r="F6" s="62" t="s">
        <v>242</v>
      </c>
      <c r="G6" s="52"/>
      <c r="H6" s="52"/>
      <c r="I6" s="52"/>
      <c r="J6" s="52"/>
      <c r="K6" s="62" t="s">
        <v>243</v>
      </c>
      <c r="L6" s="62" t="s">
        <v>244</v>
      </c>
      <c r="M6" s="63">
        <v>4.0</v>
      </c>
      <c r="N6" s="52"/>
      <c r="O6" s="52"/>
      <c r="P6" s="52"/>
      <c r="Q6" s="52"/>
      <c r="R6" s="62" t="s">
        <v>245</v>
      </c>
      <c r="S6" s="62" t="s">
        <v>246</v>
      </c>
      <c r="T6" s="52"/>
      <c r="U6" s="62" t="s">
        <v>247</v>
      </c>
      <c r="V6" s="62" t="s">
        <v>248</v>
      </c>
      <c r="W6" s="64" t="s">
        <v>249</v>
      </c>
      <c r="X6" s="52"/>
      <c r="Y6" s="62" t="s">
        <v>250</v>
      </c>
      <c r="Z6" s="62" t="s">
        <v>250</v>
      </c>
      <c r="AA6" s="53"/>
      <c r="AB6" s="52"/>
      <c r="AC6" s="52"/>
      <c r="AD6" s="62" t="s">
        <v>251</v>
      </c>
      <c r="AE6" s="62" t="s">
        <v>252</v>
      </c>
      <c r="AF6" s="63">
        <v>4.0</v>
      </c>
      <c r="AG6" s="52"/>
      <c r="AH6" s="62" t="s">
        <v>253</v>
      </c>
      <c r="AI6" s="62" t="s">
        <v>254</v>
      </c>
      <c r="AJ6" s="63">
        <v>4.0</v>
      </c>
      <c r="AK6" s="52"/>
      <c r="AL6" s="62" t="s">
        <v>223</v>
      </c>
      <c r="AM6" s="62" t="s">
        <v>224</v>
      </c>
      <c r="AN6" s="63">
        <v>4.0</v>
      </c>
      <c r="AO6" s="52"/>
      <c r="AP6" s="62" t="s">
        <v>255</v>
      </c>
      <c r="AQ6" s="62" t="s">
        <v>256</v>
      </c>
      <c r="AR6" s="52"/>
      <c r="AS6" s="52"/>
      <c r="AT6" s="52"/>
      <c r="AU6" s="52"/>
      <c r="AV6" s="52"/>
      <c r="AW6" s="62" t="s">
        <v>122</v>
      </c>
      <c r="AZ6" s="62" t="s">
        <v>257</v>
      </c>
      <c r="BA6" s="52"/>
      <c r="BB6" s="52"/>
      <c r="BC6" s="62" t="s">
        <v>258</v>
      </c>
      <c r="BD6" s="62" t="s">
        <v>259</v>
      </c>
      <c r="BE6" s="52"/>
      <c r="BF6" s="62" t="s">
        <v>260</v>
      </c>
      <c r="BG6" s="62" t="s">
        <v>96</v>
      </c>
      <c r="BH6" s="52"/>
      <c r="BI6" s="62" t="s">
        <v>261</v>
      </c>
      <c r="BJ6" s="62" t="s">
        <v>262</v>
      </c>
      <c r="BK6" s="63">
        <v>4.0</v>
      </c>
      <c r="BL6" s="52"/>
      <c r="BM6" s="62" t="s">
        <v>263</v>
      </c>
      <c r="BN6" s="62" t="s">
        <v>199</v>
      </c>
      <c r="BO6" s="63">
        <v>4.0</v>
      </c>
      <c r="BP6" s="52"/>
      <c r="BQ6" s="62" t="s">
        <v>264</v>
      </c>
      <c r="BR6" s="62" t="s">
        <v>265</v>
      </c>
      <c r="BS6" s="52"/>
      <c r="BT6" s="52"/>
      <c r="BU6" s="52"/>
      <c r="BV6" s="52"/>
      <c r="BW6" s="52"/>
      <c r="BX6" s="62" t="s">
        <v>96</v>
      </c>
      <c r="BY6" s="62" t="s">
        <v>96</v>
      </c>
      <c r="BZ6" s="52"/>
      <c r="CA6" s="62" t="s">
        <v>266</v>
      </c>
      <c r="CB6" s="52"/>
    </row>
    <row r="7">
      <c r="A7" s="52"/>
      <c r="B7" s="52"/>
      <c r="C7" s="52"/>
      <c r="D7" s="52"/>
      <c r="E7" s="62" t="s">
        <v>198</v>
      </c>
      <c r="F7" s="62" t="s">
        <v>199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62" t="s">
        <v>267</v>
      </c>
      <c r="S7" s="62" t="s">
        <v>107</v>
      </c>
      <c r="T7" s="52"/>
      <c r="U7" s="62" t="s">
        <v>268</v>
      </c>
      <c r="V7" s="62" t="s">
        <v>269</v>
      </c>
      <c r="W7" s="64" t="s">
        <v>270</v>
      </c>
      <c r="X7" s="52"/>
      <c r="Y7" s="52"/>
      <c r="Z7" s="52"/>
      <c r="AA7" s="53"/>
      <c r="AB7" s="52"/>
      <c r="AC7" s="52"/>
      <c r="AD7" s="62" t="s">
        <v>271</v>
      </c>
      <c r="AE7" s="62" t="s">
        <v>272</v>
      </c>
      <c r="AF7" s="63">
        <v>5.0</v>
      </c>
      <c r="AG7" s="52"/>
      <c r="AH7" s="62" t="s">
        <v>273</v>
      </c>
      <c r="AI7" s="62" t="s">
        <v>274</v>
      </c>
      <c r="AJ7" s="63">
        <v>5.0</v>
      </c>
      <c r="AK7" s="52"/>
      <c r="AL7" s="62" t="s">
        <v>253</v>
      </c>
      <c r="AM7" s="62" t="s">
        <v>254</v>
      </c>
      <c r="AN7" s="63">
        <v>5.0</v>
      </c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62" t="s">
        <v>275</v>
      </c>
      <c r="BB7" s="52"/>
      <c r="BC7" s="52"/>
      <c r="BD7" s="52"/>
      <c r="BE7" s="52"/>
      <c r="BF7" s="62" t="s">
        <v>115</v>
      </c>
      <c r="BG7" s="62" t="s">
        <v>96</v>
      </c>
      <c r="BH7" s="52"/>
      <c r="BI7" s="62" t="s">
        <v>276</v>
      </c>
      <c r="BJ7" s="62" t="s">
        <v>277</v>
      </c>
      <c r="BK7" s="63">
        <v>5.0</v>
      </c>
      <c r="BL7" s="52"/>
      <c r="BM7" s="62" t="s">
        <v>278</v>
      </c>
      <c r="BN7" s="62" t="s">
        <v>222</v>
      </c>
      <c r="BO7" s="63">
        <v>5.0</v>
      </c>
      <c r="BP7" s="52"/>
      <c r="BQ7" s="62" t="s">
        <v>198</v>
      </c>
      <c r="BR7" s="62" t="s">
        <v>199</v>
      </c>
      <c r="BS7" s="52"/>
      <c r="BT7" s="52"/>
      <c r="BU7" s="52"/>
      <c r="BV7" s="52"/>
      <c r="BW7" s="52"/>
      <c r="BX7" s="62" t="s">
        <v>279</v>
      </c>
      <c r="BY7" s="62" t="s">
        <v>280</v>
      </c>
      <c r="BZ7" s="52"/>
      <c r="CA7" s="62" t="s">
        <v>281</v>
      </c>
    </row>
    <row r="8">
      <c r="A8" s="52"/>
      <c r="B8" s="52"/>
      <c r="C8" s="52"/>
      <c r="D8" s="52"/>
      <c r="E8" s="62" t="s">
        <v>282</v>
      </c>
      <c r="F8" s="62" t="s">
        <v>283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62" t="s">
        <v>284</v>
      </c>
      <c r="S8" s="62" t="s">
        <v>285</v>
      </c>
      <c r="T8" s="52"/>
      <c r="U8" s="62" t="s">
        <v>286</v>
      </c>
      <c r="V8" s="62" t="s">
        <v>287</v>
      </c>
      <c r="W8" s="64" t="s">
        <v>288</v>
      </c>
      <c r="X8" s="52"/>
      <c r="Y8" s="52"/>
      <c r="Z8" s="52"/>
      <c r="AA8" s="53"/>
      <c r="AB8" s="52"/>
      <c r="AC8" s="52"/>
      <c r="AD8" s="52"/>
      <c r="AE8" s="52"/>
      <c r="AF8" s="52"/>
      <c r="AG8" s="52"/>
      <c r="AH8" s="62" t="s">
        <v>289</v>
      </c>
      <c r="AI8" s="62" t="s">
        <v>290</v>
      </c>
      <c r="AJ8" s="63">
        <v>6.0</v>
      </c>
      <c r="AK8" s="52"/>
      <c r="AL8" s="62" t="s">
        <v>291</v>
      </c>
      <c r="AM8" s="62" t="s">
        <v>292</v>
      </c>
      <c r="AN8" s="63">
        <v>6.0</v>
      </c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62" t="s">
        <v>293</v>
      </c>
      <c r="BB8" s="52"/>
      <c r="BC8" s="52"/>
      <c r="BD8" s="52"/>
      <c r="BE8" s="52"/>
      <c r="BF8" s="62" t="s">
        <v>294</v>
      </c>
      <c r="BG8" s="62" t="s">
        <v>96</v>
      </c>
      <c r="BH8" s="52"/>
      <c r="BI8" s="62" t="s">
        <v>295</v>
      </c>
      <c r="BJ8" s="62" t="s">
        <v>296</v>
      </c>
      <c r="BK8" s="63">
        <v>6.0</v>
      </c>
      <c r="BL8" s="52"/>
      <c r="BM8" s="62" t="s">
        <v>297</v>
      </c>
      <c r="BN8" s="62" t="s">
        <v>252</v>
      </c>
      <c r="BO8" s="63">
        <v>6.0</v>
      </c>
      <c r="BP8" s="52"/>
      <c r="BQ8" s="62" t="s">
        <v>298</v>
      </c>
      <c r="BR8" s="62" t="s">
        <v>299</v>
      </c>
      <c r="BS8" s="52"/>
      <c r="BT8" s="52"/>
      <c r="BU8" s="52"/>
      <c r="BV8" s="52"/>
      <c r="BW8" s="52"/>
      <c r="BX8" s="62" t="s">
        <v>300</v>
      </c>
      <c r="BY8" s="62" t="s">
        <v>301</v>
      </c>
      <c r="BZ8" s="52"/>
      <c r="CA8" s="62" t="s">
        <v>302</v>
      </c>
      <c r="CB8" s="52"/>
    </row>
    <row r="9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62" t="s">
        <v>303</v>
      </c>
      <c r="S9" s="62" t="s">
        <v>304</v>
      </c>
      <c r="T9" s="52"/>
      <c r="U9" s="62" t="s">
        <v>305</v>
      </c>
      <c r="V9" s="62" t="s">
        <v>306</v>
      </c>
      <c r="W9" s="64" t="s">
        <v>307</v>
      </c>
      <c r="X9" s="52"/>
      <c r="Y9" s="52"/>
      <c r="Z9" s="52"/>
      <c r="AA9" s="53"/>
      <c r="AB9" s="52"/>
      <c r="AC9" s="52"/>
      <c r="AD9" s="52"/>
      <c r="AE9" s="52"/>
      <c r="AF9" s="52"/>
      <c r="AG9" s="52"/>
      <c r="AH9" s="62" t="s">
        <v>308</v>
      </c>
      <c r="AI9" s="62" t="s">
        <v>309</v>
      </c>
      <c r="AJ9" s="63">
        <v>7.0</v>
      </c>
      <c r="AK9" s="52"/>
      <c r="AL9" s="62" t="s">
        <v>273</v>
      </c>
      <c r="AM9" s="62" t="s">
        <v>274</v>
      </c>
      <c r="AN9" s="63">
        <v>7.0</v>
      </c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62" t="s">
        <v>310</v>
      </c>
      <c r="BB9" s="52"/>
      <c r="BC9" s="52"/>
      <c r="BD9" s="52"/>
      <c r="BE9" s="52"/>
      <c r="BF9" s="62" t="s">
        <v>311</v>
      </c>
      <c r="BG9" s="62" t="s">
        <v>172</v>
      </c>
      <c r="BI9" s="62" t="s">
        <v>312</v>
      </c>
      <c r="BJ9" s="62" t="s">
        <v>313</v>
      </c>
      <c r="BK9" s="63">
        <v>7.0</v>
      </c>
      <c r="BL9" s="52"/>
      <c r="BM9" s="62" t="s">
        <v>271</v>
      </c>
      <c r="BN9" s="62" t="s">
        <v>272</v>
      </c>
      <c r="BO9" s="63">
        <v>7.0</v>
      </c>
      <c r="BP9" s="52"/>
      <c r="BQ9" s="62" t="s">
        <v>123</v>
      </c>
      <c r="BR9" s="62" t="s">
        <v>314</v>
      </c>
      <c r="BS9" s="52"/>
      <c r="BT9" s="52"/>
      <c r="BU9" s="52"/>
      <c r="BV9" s="52"/>
      <c r="BW9" s="52"/>
      <c r="BX9" s="62" t="s">
        <v>315</v>
      </c>
      <c r="BY9" s="62" t="s">
        <v>316</v>
      </c>
      <c r="BZ9" s="52"/>
      <c r="CA9" s="62" t="s">
        <v>317</v>
      </c>
      <c r="CB9" s="52"/>
    </row>
    <row r="10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62" t="s">
        <v>318</v>
      </c>
      <c r="S10" s="62" t="s">
        <v>319</v>
      </c>
      <c r="T10" s="52"/>
      <c r="U10" s="62" t="s">
        <v>320</v>
      </c>
      <c r="V10" s="62" t="s">
        <v>321</v>
      </c>
      <c r="W10" s="64" t="s">
        <v>322</v>
      </c>
      <c r="X10" s="52"/>
      <c r="Y10" s="52"/>
      <c r="Z10" s="52"/>
      <c r="AA10" s="53"/>
      <c r="AB10" s="52"/>
      <c r="AC10" s="52"/>
      <c r="AD10" s="52"/>
      <c r="AE10" s="52"/>
      <c r="AF10" s="52"/>
      <c r="AG10" s="52"/>
      <c r="AH10" s="62" t="s">
        <v>323</v>
      </c>
      <c r="AI10" s="62" t="s">
        <v>324</v>
      </c>
      <c r="AJ10" s="63">
        <v>8.0</v>
      </c>
      <c r="AK10" s="52"/>
      <c r="AL10" s="62" t="s">
        <v>289</v>
      </c>
      <c r="AM10" s="62" t="s">
        <v>290</v>
      </c>
      <c r="AN10" s="63">
        <v>8.0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62" t="s">
        <v>325</v>
      </c>
      <c r="BB10" s="52"/>
      <c r="BC10" s="52"/>
      <c r="BD10" s="52"/>
      <c r="BE10" s="52"/>
      <c r="BF10" s="62" t="s">
        <v>326</v>
      </c>
      <c r="BG10" s="62" t="s">
        <v>172</v>
      </c>
      <c r="BI10" s="62" t="s">
        <v>327</v>
      </c>
      <c r="BJ10" s="62" t="s">
        <v>328</v>
      </c>
      <c r="BK10" s="63">
        <v>8.0</v>
      </c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62" t="s">
        <v>329</v>
      </c>
      <c r="CB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62" t="s">
        <v>330</v>
      </c>
      <c r="S11" s="62" t="s">
        <v>331</v>
      </c>
      <c r="T11" s="52"/>
      <c r="U11" s="62" t="s">
        <v>332</v>
      </c>
      <c r="V11" s="62" t="s">
        <v>333</v>
      </c>
      <c r="W11" s="64" t="s">
        <v>334</v>
      </c>
      <c r="X11" s="52"/>
      <c r="Y11" s="52"/>
      <c r="Z11" s="52"/>
      <c r="AA11" s="53"/>
      <c r="AB11" s="52"/>
      <c r="AC11" s="52"/>
      <c r="AD11" s="52"/>
      <c r="AE11" s="52"/>
      <c r="AF11" s="52"/>
      <c r="AG11" s="52"/>
      <c r="AH11" s="62" t="s">
        <v>335</v>
      </c>
      <c r="AI11" s="62" t="s">
        <v>336</v>
      </c>
      <c r="AJ11" s="63">
        <v>9.0</v>
      </c>
      <c r="AK11" s="52"/>
      <c r="AL11" s="62" t="s">
        <v>337</v>
      </c>
      <c r="AM11" s="62" t="s">
        <v>338</v>
      </c>
      <c r="AN11" s="63">
        <v>9.0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62" t="s">
        <v>339</v>
      </c>
      <c r="BA11" s="52"/>
      <c r="BB11" s="52"/>
      <c r="BC11" s="52"/>
      <c r="BD11" s="52"/>
      <c r="BE11" s="52"/>
      <c r="BF11" s="62" t="s">
        <v>340</v>
      </c>
      <c r="BG11" s="62" t="s">
        <v>315</v>
      </c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62" t="s">
        <v>341</v>
      </c>
      <c r="CB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62" t="s">
        <v>342</v>
      </c>
      <c r="S12" s="62" t="s">
        <v>343</v>
      </c>
      <c r="T12" s="52"/>
      <c r="U12" s="62" t="s">
        <v>344</v>
      </c>
      <c r="V12" s="62" t="s">
        <v>345</v>
      </c>
      <c r="W12" s="64" t="s">
        <v>346</v>
      </c>
      <c r="X12" s="52"/>
      <c r="Y12" s="52"/>
      <c r="Z12" s="52"/>
      <c r="AA12" s="53"/>
      <c r="AB12" s="52"/>
      <c r="AC12" s="52"/>
      <c r="AD12" s="52"/>
      <c r="AE12" s="52"/>
      <c r="AF12" s="52"/>
      <c r="AG12" s="52"/>
      <c r="AH12" s="62" t="s">
        <v>347</v>
      </c>
      <c r="AI12" s="62" t="s">
        <v>348</v>
      </c>
      <c r="AJ12" s="63">
        <v>10.0</v>
      </c>
      <c r="AK12" s="52"/>
      <c r="AL12" s="62" t="s">
        <v>349</v>
      </c>
      <c r="AM12" s="62" t="s">
        <v>350</v>
      </c>
      <c r="AN12" s="63">
        <v>10.0</v>
      </c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65" t="s">
        <v>351</v>
      </c>
      <c r="BC12" s="52"/>
      <c r="BD12" s="52"/>
      <c r="BE12" s="52"/>
      <c r="BF12" s="62" t="s">
        <v>352</v>
      </c>
      <c r="BG12" s="62" t="s">
        <v>315</v>
      </c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62" t="s">
        <v>353</v>
      </c>
      <c r="CB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62" t="s">
        <v>354</v>
      </c>
      <c r="S13" s="62" t="s">
        <v>355</v>
      </c>
      <c r="T13" s="52"/>
      <c r="U13" s="62" t="s">
        <v>356</v>
      </c>
      <c r="V13" s="62" t="s">
        <v>357</v>
      </c>
      <c r="W13" s="64" t="s">
        <v>358</v>
      </c>
      <c r="X13" s="52"/>
      <c r="Y13" s="52"/>
      <c r="Z13" s="52"/>
      <c r="AA13" s="53"/>
      <c r="AB13" s="52"/>
      <c r="AC13" s="52"/>
      <c r="AD13" s="52"/>
      <c r="AE13" s="52"/>
      <c r="AF13" s="52"/>
      <c r="AG13" s="52"/>
      <c r="AH13" s="62" t="s">
        <v>359</v>
      </c>
      <c r="AI13" s="62" t="s">
        <v>360</v>
      </c>
      <c r="AJ13" s="63">
        <v>11.0</v>
      </c>
      <c r="AK13" s="52"/>
      <c r="AL13" s="62" t="s">
        <v>361</v>
      </c>
      <c r="AM13" s="62" t="s">
        <v>362</v>
      </c>
      <c r="AN13" s="63">
        <v>11.0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62" t="s">
        <v>363</v>
      </c>
      <c r="BB13" s="52"/>
      <c r="BC13" s="52"/>
      <c r="BD13" s="52"/>
      <c r="BE13" s="52"/>
      <c r="BF13" s="62" t="s">
        <v>364</v>
      </c>
      <c r="BG13" s="62" t="s">
        <v>172</v>
      </c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62" t="s">
        <v>365</v>
      </c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62" t="s">
        <v>366</v>
      </c>
      <c r="S14" s="62" t="s">
        <v>367</v>
      </c>
      <c r="T14" s="52"/>
      <c r="U14" s="62" t="s">
        <v>368</v>
      </c>
      <c r="V14" s="62" t="s">
        <v>369</v>
      </c>
      <c r="W14" s="64" t="s">
        <v>370</v>
      </c>
      <c r="X14" s="52"/>
      <c r="Y14" s="52"/>
      <c r="Z14" s="52"/>
      <c r="AA14" s="53"/>
      <c r="AB14" s="52"/>
      <c r="AC14" s="52"/>
      <c r="AD14" s="52"/>
      <c r="AE14" s="52"/>
      <c r="AF14" s="52"/>
      <c r="AG14" s="52"/>
      <c r="AH14" s="62" t="s">
        <v>371</v>
      </c>
      <c r="AI14" s="62" t="s">
        <v>372</v>
      </c>
      <c r="AJ14" s="63">
        <v>12.0</v>
      </c>
      <c r="AK14" s="52"/>
      <c r="AL14" s="62" t="s">
        <v>373</v>
      </c>
      <c r="AM14" s="62" t="s">
        <v>374</v>
      </c>
      <c r="AN14" s="63">
        <v>12.0</v>
      </c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62" t="s">
        <v>375</v>
      </c>
      <c r="BA14" s="52"/>
      <c r="BB14" s="52"/>
      <c r="BC14" s="52"/>
      <c r="BD14" s="52"/>
      <c r="BE14" s="52"/>
      <c r="BF14" s="62" t="s">
        <v>376</v>
      </c>
      <c r="BG14" s="62" t="s">
        <v>96</v>
      </c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62" t="s">
        <v>377</v>
      </c>
      <c r="CB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62" t="s">
        <v>378</v>
      </c>
      <c r="S15" s="62" t="s">
        <v>379</v>
      </c>
      <c r="T15" s="52"/>
      <c r="U15" s="62" t="s">
        <v>380</v>
      </c>
      <c r="V15" s="62" t="s">
        <v>381</v>
      </c>
      <c r="W15" s="64" t="s">
        <v>382</v>
      </c>
      <c r="X15" s="52"/>
      <c r="Y15" s="52"/>
      <c r="Z15" s="52"/>
      <c r="AA15" s="53"/>
      <c r="AB15" s="52"/>
      <c r="AC15" s="52"/>
      <c r="AD15" s="52"/>
      <c r="AE15" s="52"/>
      <c r="AF15" s="52"/>
      <c r="AG15" s="52"/>
      <c r="AH15" s="62" t="s">
        <v>383</v>
      </c>
      <c r="AI15" s="62" t="s">
        <v>384</v>
      </c>
      <c r="AJ15" s="63">
        <v>13.0</v>
      </c>
      <c r="AK15" s="52"/>
      <c r="AL15" s="62" t="s">
        <v>308</v>
      </c>
      <c r="AM15" s="62" t="s">
        <v>309</v>
      </c>
      <c r="AN15" s="63">
        <v>13.0</v>
      </c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62" t="s">
        <v>385</v>
      </c>
      <c r="BA15" s="52"/>
      <c r="BB15" s="52"/>
      <c r="BC15" s="52"/>
      <c r="BD15" s="52"/>
      <c r="BE15" s="52"/>
      <c r="BF15" s="62" t="s">
        <v>386</v>
      </c>
      <c r="BG15" s="62" t="s">
        <v>172</v>
      </c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62" t="s">
        <v>387</v>
      </c>
      <c r="S16" s="62" t="s">
        <v>388</v>
      </c>
      <c r="T16" s="52"/>
      <c r="U16" s="62" t="s">
        <v>389</v>
      </c>
      <c r="V16" s="62" t="s">
        <v>390</v>
      </c>
      <c r="W16" s="64" t="s">
        <v>391</v>
      </c>
      <c r="X16" s="52"/>
      <c r="Y16" s="52"/>
      <c r="Z16" s="52"/>
      <c r="AA16" s="53"/>
      <c r="AB16" s="52"/>
      <c r="AC16" s="52"/>
      <c r="AD16" s="52"/>
      <c r="AE16" s="52"/>
      <c r="AF16" s="52"/>
      <c r="AG16" s="52"/>
      <c r="AH16" s="62" t="s">
        <v>392</v>
      </c>
      <c r="AI16" s="62" t="s">
        <v>393</v>
      </c>
      <c r="AJ16" s="63">
        <v>14.0</v>
      </c>
      <c r="AK16" s="52"/>
      <c r="AL16" s="62" t="s">
        <v>323</v>
      </c>
      <c r="AM16" s="62" t="s">
        <v>324</v>
      </c>
      <c r="AN16" s="63">
        <v>14.0</v>
      </c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62" t="s">
        <v>394</v>
      </c>
      <c r="BA16" s="52"/>
      <c r="BB16" s="52"/>
      <c r="BC16" s="52"/>
      <c r="BD16" s="52"/>
      <c r="BE16" s="52"/>
      <c r="BF16" s="62" t="s">
        <v>395</v>
      </c>
      <c r="BG16" s="62" t="s">
        <v>172</v>
      </c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62" t="s">
        <v>396</v>
      </c>
      <c r="S17" s="62" t="s">
        <v>397</v>
      </c>
      <c r="T17" s="52"/>
      <c r="U17" s="62" t="s">
        <v>398</v>
      </c>
      <c r="V17" s="62" t="s">
        <v>399</v>
      </c>
      <c r="W17" s="64" t="s">
        <v>400</v>
      </c>
      <c r="X17" s="52"/>
      <c r="Y17" s="52"/>
      <c r="Z17" s="52"/>
      <c r="AA17" s="53"/>
      <c r="AB17" s="52"/>
      <c r="AC17" s="52"/>
      <c r="AD17" s="52"/>
      <c r="AE17" s="52"/>
      <c r="AF17" s="52"/>
      <c r="AG17" s="52"/>
      <c r="AH17" s="62" t="s">
        <v>401</v>
      </c>
      <c r="AI17" s="62" t="s">
        <v>402</v>
      </c>
      <c r="AJ17" s="63">
        <v>15.0</v>
      </c>
      <c r="AK17" s="52"/>
      <c r="AL17" s="62" t="s">
        <v>335</v>
      </c>
      <c r="AM17" s="62" t="s">
        <v>336</v>
      </c>
      <c r="AN17" s="63">
        <v>15.0</v>
      </c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62" t="s">
        <v>403</v>
      </c>
      <c r="BB17" s="52"/>
      <c r="BC17" s="52"/>
      <c r="BD17" s="52"/>
      <c r="BE17" s="52"/>
      <c r="BF17" s="62" t="s">
        <v>404</v>
      </c>
      <c r="BG17" s="62" t="s">
        <v>172</v>
      </c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62" t="s">
        <v>405</v>
      </c>
      <c r="S18" s="62" t="s">
        <v>406</v>
      </c>
      <c r="T18" s="52"/>
      <c r="U18" s="62" t="s">
        <v>407</v>
      </c>
      <c r="V18" s="62" t="s">
        <v>408</v>
      </c>
      <c r="W18" s="64" t="s">
        <v>409</v>
      </c>
      <c r="X18" s="52"/>
      <c r="Y18" s="52"/>
      <c r="Z18" s="52"/>
      <c r="AA18" s="53"/>
      <c r="AB18" s="52"/>
      <c r="AC18" s="52"/>
      <c r="AD18" s="52"/>
      <c r="AE18" s="52"/>
      <c r="AF18" s="52"/>
      <c r="AG18" s="52"/>
      <c r="AH18" s="62" t="s">
        <v>410</v>
      </c>
      <c r="AI18" s="62" t="s">
        <v>411</v>
      </c>
      <c r="AJ18" s="63">
        <v>16.0</v>
      </c>
      <c r="AK18" s="52"/>
      <c r="AL18" s="62" t="s">
        <v>347</v>
      </c>
      <c r="AM18" s="62" t="s">
        <v>348</v>
      </c>
      <c r="AN18" s="63">
        <v>16.0</v>
      </c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62" t="s">
        <v>412</v>
      </c>
      <c r="BA18" s="52"/>
      <c r="BB18" s="52"/>
      <c r="BC18" s="52"/>
      <c r="BD18" s="52"/>
      <c r="BE18" s="52"/>
      <c r="BF18" s="62" t="s">
        <v>413</v>
      </c>
      <c r="BG18" s="62" t="s">
        <v>315</v>
      </c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62" t="s">
        <v>414</v>
      </c>
      <c r="S19" s="62" t="s">
        <v>415</v>
      </c>
      <c r="T19" s="52"/>
      <c r="U19" s="62" t="s">
        <v>416</v>
      </c>
      <c r="V19" s="62" t="s">
        <v>417</v>
      </c>
      <c r="W19" s="64" t="s">
        <v>418</v>
      </c>
      <c r="X19" s="52"/>
      <c r="Y19" s="52"/>
      <c r="Z19" s="52"/>
      <c r="AA19" s="53"/>
      <c r="AB19" s="52"/>
      <c r="AC19" s="52"/>
      <c r="AD19" s="52"/>
      <c r="AE19" s="52"/>
      <c r="AF19" s="52"/>
      <c r="AG19" s="52"/>
      <c r="AH19" s="62" t="s">
        <v>419</v>
      </c>
      <c r="AI19" s="62" t="s">
        <v>420</v>
      </c>
      <c r="AJ19" s="63">
        <v>17.0</v>
      </c>
      <c r="AK19" s="52"/>
      <c r="AL19" s="62" t="s">
        <v>421</v>
      </c>
      <c r="AM19" s="62" t="s">
        <v>422</v>
      </c>
      <c r="AN19" s="63">
        <v>17.0</v>
      </c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62" t="s">
        <v>423</v>
      </c>
      <c r="BA19" s="52"/>
      <c r="BB19" s="52"/>
      <c r="BC19" s="52"/>
      <c r="BD19" s="52"/>
      <c r="BE19" s="52"/>
      <c r="BF19" s="62" t="s">
        <v>424</v>
      </c>
      <c r="BG19" s="62" t="s">
        <v>315</v>
      </c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62" t="s">
        <v>425</v>
      </c>
      <c r="S20" s="62" t="s">
        <v>426</v>
      </c>
      <c r="T20" s="52"/>
      <c r="U20" s="62" t="s">
        <v>427</v>
      </c>
      <c r="V20" s="62" t="s">
        <v>428</v>
      </c>
      <c r="W20" s="64" t="s">
        <v>429</v>
      </c>
      <c r="X20" s="52"/>
      <c r="Y20" s="52"/>
      <c r="Z20" s="52"/>
      <c r="AA20" s="53"/>
      <c r="AB20" s="52"/>
      <c r="AC20" s="52"/>
      <c r="AD20" s="52"/>
      <c r="AE20" s="52"/>
      <c r="AF20" s="52"/>
      <c r="AG20" s="52"/>
      <c r="AH20" s="62" t="s">
        <v>430</v>
      </c>
      <c r="AI20" s="62" t="s">
        <v>431</v>
      </c>
      <c r="AJ20" s="63">
        <v>18.0</v>
      </c>
      <c r="AK20" s="52"/>
      <c r="AL20" s="62" t="s">
        <v>359</v>
      </c>
      <c r="AM20" s="62" t="s">
        <v>360</v>
      </c>
      <c r="AN20" s="63">
        <v>18.0</v>
      </c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62" t="s">
        <v>432</v>
      </c>
      <c r="BB20" s="52"/>
      <c r="BC20" s="52"/>
      <c r="BD20" s="52"/>
      <c r="BE20" s="52"/>
      <c r="BF20" s="62" t="s">
        <v>433</v>
      </c>
      <c r="BG20" s="62" t="s">
        <v>315</v>
      </c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62" t="s">
        <v>434</v>
      </c>
      <c r="S21" s="62" t="s">
        <v>435</v>
      </c>
      <c r="T21" s="52"/>
      <c r="U21" s="62" t="s">
        <v>436</v>
      </c>
      <c r="V21" s="62" t="s">
        <v>437</v>
      </c>
      <c r="W21" s="64" t="s">
        <v>438</v>
      </c>
      <c r="X21" s="52"/>
      <c r="Y21" s="52"/>
      <c r="Z21" s="52"/>
      <c r="AA21" s="53"/>
      <c r="AB21" s="52"/>
      <c r="AC21" s="52"/>
      <c r="AD21" s="52"/>
      <c r="AE21" s="52"/>
      <c r="AF21" s="52"/>
      <c r="AG21" s="52"/>
      <c r="AH21" s="62" t="s">
        <v>439</v>
      </c>
      <c r="AI21" s="62" t="s">
        <v>440</v>
      </c>
      <c r="AJ21" s="63">
        <v>19.0</v>
      </c>
      <c r="AK21" s="52"/>
      <c r="AL21" s="62" t="s">
        <v>441</v>
      </c>
      <c r="AM21" s="62" t="s">
        <v>442</v>
      </c>
      <c r="AN21" s="63">
        <v>19.0</v>
      </c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62" t="s">
        <v>443</v>
      </c>
      <c r="BB21" s="52"/>
      <c r="BC21" s="52"/>
      <c r="BD21" s="52"/>
      <c r="BE21" s="52"/>
      <c r="BF21" s="62" t="s">
        <v>444</v>
      </c>
      <c r="BG21" s="62" t="s">
        <v>315</v>
      </c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62" t="s">
        <v>445</v>
      </c>
      <c r="S22" s="62" t="s">
        <v>446</v>
      </c>
      <c r="T22" s="52"/>
      <c r="U22" s="62" t="s">
        <v>447</v>
      </c>
      <c r="V22" s="62" t="s">
        <v>448</v>
      </c>
      <c r="W22" s="64" t="s">
        <v>449</v>
      </c>
      <c r="X22" s="52"/>
      <c r="Y22" s="52"/>
      <c r="Z22" s="52"/>
      <c r="AA22" s="53"/>
      <c r="AB22" s="52"/>
      <c r="AC22" s="52"/>
      <c r="AD22" s="52"/>
      <c r="AE22" s="52"/>
      <c r="AF22" s="52"/>
      <c r="AG22" s="52"/>
      <c r="AH22" s="62" t="s">
        <v>450</v>
      </c>
      <c r="AI22" s="62" t="s">
        <v>451</v>
      </c>
      <c r="AJ22" s="63">
        <v>20.0</v>
      </c>
      <c r="AK22" s="52"/>
      <c r="AL22" s="62" t="s">
        <v>371</v>
      </c>
      <c r="AM22" s="62" t="s">
        <v>372</v>
      </c>
      <c r="AN22" s="63">
        <v>20.0</v>
      </c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62" t="s">
        <v>452</v>
      </c>
      <c r="BB22" s="52"/>
      <c r="BC22" s="52"/>
      <c r="BD22" s="52"/>
      <c r="BE22" s="52"/>
      <c r="BF22" s="62" t="s">
        <v>453</v>
      </c>
      <c r="BG22" s="62" t="s">
        <v>315</v>
      </c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62" t="s">
        <v>454</v>
      </c>
      <c r="S23" s="62" t="s">
        <v>455</v>
      </c>
      <c r="T23" s="52"/>
      <c r="U23" s="62" t="s">
        <v>456</v>
      </c>
      <c r="V23" s="62" t="s">
        <v>457</v>
      </c>
      <c r="W23" s="64" t="s">
        <v>458</v>
      </c>
      <c r="X23" s="52"/>
      <c r="Y23" s="52"/>
      <c r="Z23" s="52"/>
      <c r="AA23" s="53"/>
      <c r="AB23" s="52"/>
      <c r="AC23" s="52"/>
      <c r="AD23" s="52"/>
      <c r="AE23" s="52"/>
      <c r="AF23" s="52"/>
      <c r="AG23" s="52"/>
      <c r="AH23" s="62" t="s">
        <v>459</v>
      </c>
      <c r="AI23" s="62" t="s">
        <v>460</v>
      </c>
      <c r="AJ23" s="63">
        <v>21.0</v>
      </c>
      <c r="AK23" s="52"/>
      <c r="AL23" s="62" t="s">
        <v>461</v>
      </c>
      <c r="AM23" s="62" t="s">
        <v>462</v>
      </c>
      <c r="AN23" s="63">
        <v>21.0</v>
      </c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62" t="s">
        <v>463</v>
      </c>
      <c r="BA23" s="52"/>
      <c r="BB23" s="52"/>
      <c r="BC23" s="52"/>
      <c r="BD23" s="52"/>
      <c r="BE23" s="52"/>
      <c r="BF23" s="62" t="s">
        <v>464</v>
      </c>
      <c r="BG23" s="62" t="s">
        <v>96</v>
      </c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62" t="s">
        <v>465</v>
      </c>
      <c r="S24" s="62" t="s">
        <v>466</v>
      </c>
      <c r="T24" s="52"/>
      <c r="U24" s="62" t="s">
        <v>467</v>
      </c>
      <c r="V24" s="62" t="s">
        <v>468</v>
      </c>
      <c r="W24" s="64" t="s">
        <v>469</v>
      </c>
      <c r="X24" s="52"/>
      <c r="Y24" s="52"/>
      <c r="Z24" s="52"/>
      <c r="AA24" s="53"/>
      <c r="AB24" s="52"/>
      <c r="AC24" s="52"/>
      <c r="AD24" s="52"/>
      <c r="AE24" s="52"/>
      <c r="AF24" s="52"/>
      <c r="AG24" s="52"/>
      <c r="AH24" s="62" t="s">
        <v>470</v>
      </c>
      <c r="AI24" s="62" t="s">
        <v>471</v>
      </c>
      <c r="AJ24" s="63">
        <v>22.0</v>
      </c>
      <c r="AK24" s="52"/>
      <c r="AL24" s="62" t="s">
        <v>383</v>
      </c>
      <c r="AM24" s="62" t="s">
        <v>384</v>
      </c>
      <c r="AN24" s="63">
        <v>22.0</v>
      </c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62" t="s">
        <v>472</v>
      </c>
      <c r="BA24" s="52"/>
      <c r="BB24" s="52"/>
      <c r="BC24" s="52"/>
      <c r="BD24" s="52"/>
      <c r="BE24" s="52"/>
      <c r="BF24" s="62" t="s">
        <v>473</v>
      </c>
      <c r="BG24" s="62" t="s">
        <v>96</v>
      </c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62" t="s">
        <v>474</v>
      </c>
      <c r="S25" s="62" t="s">
        <v>475</v>
      </c>
      <c r="T25" s="52"/>
      <c r="U25" s="62" t="s">
        <v>476</v>
      </c>
      <c r="V25" s="62" t="s">
        <v>477</v>
      </c>
      <c r="W25" s="64" t="s">
        <v>478</v>
      </c>
      <c r="X25" s="52"/>
      <c r="Y25" s="52"/>
      <c r="Z25" s="52"/>
      <c r="AA25" s="53"/>
      <c r="AB25" s="52"/>
      <c r="AC25" s="52"/>
      <c r="AD25" s="52"/>
      <c r="AE25" s="52"/>
      <c r="AF25" s="52"/>
      <c r="AG25" s="52"/>
      <c r="AH25" s="62" t="s">
        <v>479</v>
      </c>
      <c r="AI25" s="62" t="s">
        <v>480</v>
      </c>
      <c r="AJ25" s="63">
        <v>23.0</v>
      </c>
      <c r="AK25" s="52"/>
      <c r="AL25" s="62" t="s">
        <v>481</v>
      </c>
      <c r="AM25" s="62" t="s">
        <v>482</v>
      </c>
      <c r="AN25" s="63">
        <v>23.0</v>
      </c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62" t="s">
        <v>483</v>
      </c>
      <c r="BB25" s="52"/>
      <c r="BC25" s="52"/>
      <c r="BD25" s="52"/>
      <c r="BE25" s="52"/>
      <c r="BF25" s="62" t="s">
        <v>484</v>
      </c>
      <c r="BG25" s="62" t="s">
        <v>96</v>
      </c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62" t="s">
        <v>485</v>
      </c>
      <c r="S26" s="62" t="s">
        <v>486</v>
      </c>
      <c r="T26" s="52"/>
      <c r="U26" s="62" t="s">
        <v>487</v>
      </c>
      <c r="V26" s="62" t="s">
        <v>488</v>
      </c>
      <c r="W26" s="64" t="s">
        <v>489</v>
      </c>
      <c r="X26" s="52"/>
      <c r="Y26" s="52"/>
      <c r="Z26" s="52"/>
      <c r="AA26" s="53"/>
      <c r="AB26" s="52"/>
      <c r="AC26" s="52"/>
      <c r="AD26" s="52"/>
      <c r="AE26" s="52"/>
      <c r="AF26" s="52"/>
      <c r="AG26" s="52"/>
      <c r="AH26" s="62" t="s">
        <v>490</v>
      </c>
      <c r="AI26" s="62" t="s">
        <v>490</v>
      </c>
      <c r="AJ26" s="63">
        <v>24.0</v>
      </c>
      <c r="AK26" s="52"/>
      <c r="AL26" s="62" t="s">
        <v>491</v>
      </c>
      <c r="AM26" s="62" t="s">
        <v>492</v>
      </c>
      <c r="AN26" s="63">
        <v>24.0</v>
      </c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62" t="s">
        <v>493</v>
      </c>
      <c r="BB26" s="52"/>
      <c r="BC26" s="52"/>
      <c r="BD26" s="52"/>
      <c r="BE26" s="52"/>
      <c r="BF26" s="62" t="s">
        <v>494</v>
      </c>
      <c r="BG26" s="62" t="s">
        <v>96</v>
      </c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62" t="s">
        <v>495</v>
      </c>
      <c r="S27" s="62" t="s">
        <v>496</v>
      </c>
      <c r="T27" s="52"/>
      <c r="U27" s="52"/>
      <c r="V27" s="52"/>
      <c r="W27" s="52"/>
      <c r="X27" s="52"/>
      <c r="Y27" s="52"/>
      <c r="Z27" s="52"/>
      <c r="AA27" s="53"/>
      <c r="AB27" s="52"/>
      <c r="AC27" s="52"/>
      <c r="AD27" s="52"/>
      <c r="AE27" s="52"/>
      <c r="AF27" s="52"/>
      <c r="AG27" s="52"/>
      <c r="AH27" s="62" t="s">
        <v>198</v>
      </c>
      <c r="AI27" s="62" t="s">
        <v>497</v>
      </c>
      <c r="AJ27" s="63">
        <v>25.0</v>
      </c>
      <c r="AK27" s="52"/>
      <c r="AL27" s="62" t="s">
        <v>498</v>
      </c>
      <c r="AM27" s="62" t="s">
        <v>499</v>
      </c>
      <c r="AN27" s="63">
        <v>25.0</v>
      </c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62" t="s">
        <v>500</v>
      </c>
      <c r="BB27" s="52"/>
      <c r="BC27" s="52"/>
      <c r="BD27" s="52"/>
      <c r="BE27" s="52"/>
      <c r="BF27" s="62" t="s">
        <v>501</v>
      </c>
      <c r="BG27" s="62" t="s">
        <v>96</v>
      </c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62" t="s">
        <v>502</v>
      </c>
      <c r="S28" s="62" t="s">
        <v>503</v>
      </c>
      <c r="T28" s="52"/>
      <c r="U28" s="52"/>
      <c r="V28" s="52"/>
      <c r="W28" s="52"/>
      <c r="X28" s="52"/>
      <c r="Y28" s="52"/>
      <c r="Z28" s="52"/>
      <c r="AA28" s="53"/>
      <c r="AB28" s="52"/>
      <c r="AC28" s="52"/>
      <c r="AD28" s="52"/>
      <c r="AE28" s="52"/>
      <c r="AF28" s="52"/>
      <c r="AG28" s="52"/>
      <c r="AH28" s="62" t="s">
        <v>504</v>
      </c>
      <c r="AI28" s="62" t="s">
        <v>505</v>
      </c>
      <c r="AJ28" s="63">
        <v>26.0</v>
      </c>
      <c r="AK28" s="52"/>
      <c r="AL28" s="62" t="s">
        <v>506</v>
      </c>
      <c r="AM28" s="62" t="s">
        <v>507</v>
      </c>
      <c r="AN28" s="63">
        <v>26.0</v>
      </c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62" t="s">
        <v>508</v>
      </c>
      <c r="BA28" s="52"/>
      <c r="BB28" s="52"/>
      <c r="BC28" s="52"/>
      <c r="BD28" s="52"/>
      <c r="BE28" s="52"/>
      <c r="BF28" s="62" t="s">
        <v>509</v>
      </c>
      <c r="BG28" s="62" t="s">
        <v>300</v>
      </c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62" t="s">
        <v>510</v>
      </c>
      <c r="S29" s="62" t="s">
        <v>511</v>
      </c>
      <c r="T29" s="52"/>
      <c r="U29" s="52"/>
      <c r="V29" s="52"/>
      <c r="W29" s="52"/>
      <c r="X29" s="52"/>
      <c r="Y29" s="52"/>
      <c r="Z29" s="52"/>
      <c r="AA29" s="53"/>
      <c r="AB29" s="52"/>
      <c r="AC29" s="52"/>
      <c r="AD29" s="52"/>
      <c r="AE29" s="52"/>
      <c r="AF29" s="52"/>
      <c r="AG29" s="52"/>
      <c r="AH29" s="62" t="s">
        <v>512</v>
      </c>
      <c r="AI29" s="62" t="s">
        <v>513</v>
      </c>
      <c r="AJ29" s="63">
        <v>27.0</v>
      </c>
      <c r="AK29" s="52"/>
      <c r="AL29" s="62" t="s">
        <v>392</v>
      </c>
      <c r="AM29" s="62" t="s">
        <v>514</v>
      </c>
      <c r="AN29" s="63">
        <v>27.0</v>
      </c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62" t="s">
        <v>515</v>
      </c>
      <c r="BA29" s="52"/>
      <c r="BB29" s="52"/>
      <c r="BC29" s="52"/>
      <c r="BD29" s="52"/>
      <c r="BE29" s="52"/>
      <c r="BF29" s="62" t="s">
        <v>516</v>
      </c>
      <c r="BG29" s="62" t="s">
        <v>96</v>
      </c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62" t="s">
        <v>517</v>
      </c>
      <c r="S30" s="62" t="s">
        <v>518</v>
      </c>
      <c r="T30" s="52"/>
      <c r="U30" s="52"/>
      <c r="V30" s="52"/>
      <c r="W30" s="52"/>
      <c r="X30" s="52"/>
      <c r="Y30" s="52"/>
      <c r="Z30" s="52"/>
      <c r="AA30" s="53"/>
      <c r="AB30" s="52"/>
      <c r="AC30" s="52"/>
      <c r="AD30" s="52"/>
      <c r="AE30" s="52"/>
      <c r="AF30" s="52"/>
      <c r="AG30" s="52"/>
      <c r="AH30" s="62" t="s">
        <v>519</v>
      </c>
      <c r="AI30" s="62" t="s">
        <v>520</v>
      </c>
      <c r="AJ30" s="63">
        <v>28.0</v>
      </c>
      <c r="AK30" s="52"/>
      <c r="AL30" s="62" t="s">
        <v>521</v>
      </c>
      <c r="AM30" s="62" t="s">
        <v>522</v>
      </c>
      <c r="AN30" s="63">
        <v>28.0</v>
      </c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62" t="s">
        <v>523</v>
      </c>
      <c r="BB30" s="52"/>
      <c r="BC30" s="52"/>
      <c r="BD30" s="52"/>
      <c r="BE30" s="52"/>
      <c r="BF30" s="62" t="s">
        <v>524</v>
      </c>
      <c r="BG30" s="62" t="s">
        <v>315</v>
      </c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62" t="s">
        <v>525</v>
      </c>
      <c r="S31" s="62" t="s">
        <v>526</v>
      </c>
      <c r="T31" s="52"/>
      <c r="U31" s="52"/>
      <c r="V31" s="52"/>
      <c r="W31" s="52"/>
      <c r="X31" s="52"/>
      <c r="Y31" s="52"/>
      <c r="Z31" s="52"/>
      <c r="AA31" s="53"/>
      <c r="AB31" s="52"/>
      <c r="AC31" s="52"/>
      <c r="AD31" s="52"/>
      <c r="AE31" s="52"/>
      <c r="AF31" s="52"/>
      <c r="AG31" s="52"/>
      <c r="AH31" s="62" t="s">
        <v>527</v>
      </c>
      <c r="AI31" s="62" t="s">
        <v>528</v>
      </c>
      <c r="AJ31" s="63">
        <v>29.0</v>
      </c>
      <c r="AK31" s="52"/>
      <c r="AL31" s="62" t="s">
        <v>529</v>
      </c>
      <c r="AM31" s="62" t="s">
        <v>530</v>
      </c>
      <c r="AN31" s="63">
        <v>29.0</v>
      </c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62" t="s">
        <v>531</v>
      </c>
      <c r="BA31" s="52"/>
      <c r="BB31" s="52"/>
      <c r="BC31" s="52"/>
      <c r="BD31" s="52"/>
      <c r="BE31" s="52"/>
      <c r="BF31" s="62" t="s">
        <v>532</v>
      </c>
      <c r="BG31" s="62" t="s">
        <v>96</v>
      </c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62" t="s">
        <v>533</v>
      </c>
      <c r="S32" s="62" t="s">
        <v>534</v>
      </c>
      <c r="T32" s="52"/>
      <c r="U32" s="52"/>
      <c r="V32" s="52"/>
      <c r="W32" s="52"/>
      <c r="X32" s="52"/>
      <c r="Y32" s="52"/>
      <c r="Z32" s="52"/>
      <c r="AA32" s="53"/>
      <c r="AB32" s="52"/>
      <c r="AC32" s="52"/>
      <c r="AD32" s="52"/>
      <c r="AE32" s="52"/>
      <c r="AF32" s="52"/>
      <c r="AG32" s="52"/>
      <c r="AH32" s="62" t="s">
        <v>535</v>
      </c>
      <c r="AI32" s="62" t="s">
        <v>536</v>
      </c>
      <c r="AJ32" s="63">
        <v>30.0</v>
      </c>
      <c r="AK32" s="52"/>
      <c r="AL32" s="62" t="s">
        <v>537</v>
      </c>
      <c r="AM32" s="62" t="s">
        <v>538</v>
      </c>
      <c r="AN32" s="63">
        <v>30.0</v>
      </c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62" t="s">
        <v>539</v>
      </c>
      <c r="BB32" s="52"/>
      <c r="BC32" s="52"/>
      <c r="BD32" s="52"/>
      <c r="BE32" s="52"/>
      <c r="BF32" s="62" t="s">
        <v>540</v>
      </c>
      <c r="BG32" s="62" t="s">
        <v>96</v>
      </c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62" t="s">
        <v>541</v>
      </c>
      <c r="S33" s="62" t="s">
        <v>542</v>
      </c>
      <c r="T33" s="52"/>
      <c r="U33" s="52"/>
      <c r="V33" s="52"/>
      <c r="W33" s="52"/>
      <c r="X33" s="52"/>
      <c r="Y33" s="52"/>
      <c r="Z33" s="52"/>
      <c r="AA33" s="53"/>
      <c r="AB33" s="52"/>
      <c r="AC33" s="52"/>
      <c r="AD33" s="52"/>
      <c r="AE33" s="52"/>
      <c r="AF33" s="52"/>
      <c r="AG33" s="52"/>
      <c r="AH33" s="62" t="s">
        <v>543</v>
      </c>
      <c r="AI33" s="62" t="s">
        <v>544</v>
      </c>
      <c r="AJ33" s="63">
        <v>31.0</v>
      </c>
      <c r="AK33" s="52"/>
      <c r="AL33" s="62" t="s">
        <v>401</v>
      </c>
      <c r="AM33" s="62" t="s">
        <v>402</v>
      </c>
      <c r="AN33" s="63">
        <v>31.0</v>
      </c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62" t="s">
        <v>545</v>
      </c>
      <c r="BC33" s="52"/>
      <c r="BD33" s="52"/>
      <c r="BE33" s="52"/>
      <c r="BF33" s="62" t="s">
        <v>546</v>
      </c>
      <c r="BG33" s="62" t="s">
        <v>96</v>
      </c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62" t="s">
        <v>547</v>
      </c>
      <c r="S34" s="62" t="s">
        <v>548</v>
      </c>
      <c r="T34" s="52"/>
      <c r="U34" s="52"/>
      <c r="V34" s="52"/>
      <c r="W34" s="52"/>
      <c r="X34" s="52"/>
      <c r="Y34" s="52"/>
      <c r="Z34" s="52"/>
      <c r="AA34" s="53"/>
      <c r="AB34" s="52"/>
      <c r="AC34" s="52"/>
      <c r="AD34" s="52"/>
      <c r="AE34" s="52"/>
      <c r="AF34" s="52"/>
      <c r="AG34" s="52"/>
      <c r="AH34" s="62" t="s">
        <v>549</v>
      </c>
      <c r="AI34" s="62" t="s">
        <v>550</v>
      </c>
      <c r="AJ34" s="63">
        <v>32.0</v>
      </c>
      <c r="AK34" s="52"/>
      <c r="AL34" s="62" t="s">
        <v>410</v>
      </c>
      <c r="AM34" s="62" t="s">
        <v>411</v>
      </c>
      <c r="AN34" s="63">
        <v>32.0</v>
      </c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62" t="s">
        <v>551</v>
      </c>
      <c r="BB34" s="52"/>
      <c r="BC34" s="52"/>
      <c r="BD34" s="52"/>
      <c r="BE34" s="52"/>
      <c r="BF34" s="62" t="s">
        <v>552</v>
      </c>
      <c r="BG34" s="62" t="s">
        <v>96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3"/>
      <c r="AB35" s="52"/>
      <c r="AC35" s="52"/>
      <c r="AD35" s="52"/>
      <c r="AE35" s="52"/>
      <c r="AF35" s="52"/>
      <c r="AG35" s="52"/>
      <c r="AH35" s="62" t="s">
        <v>553</v>
      </c>
      <c r="AI35" s="62" t="s">
        <v>554</v>
      </c>
      <c r="AJ35" s="63">
        <v>33.0</v>
      </c>
      <c r="AK35" s="52"/>
      <c r="AL35" s="62" t="s">
        <v>419</v>
      </c>
      <c r="AM35" s="62" t="s">
        <v>420</v>
      </c>
      <c r="AN35" s="63">
        <v>33.0</v>
      </c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62" t="s">
        <v>555</v>
      </c>
      <c r="BC35" s="52"/>
      <c r="BD35" s="52"/>
      <c r="BE35" s="52"/>
      <c r="BF35" s="62" t="s">
        <v>556</v>
      </c>
      <c r="BG35" s="62" t="s">
        <v>96</v>
      </c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3"/>
      <c r="AB36" s="52"/>
      <c r="AC36" s="52"/>
      <c r="AD36" s="52"/>
      <c r="AE36" s="52"/>
      <c r="AF36" s="52"/>
      <c r="AG36" s="52"/>
      <c r="AH36" s="62" t="s">
        <v>557</v>
      </c>
      <c r="AI36" s="62" t="s">
        <v>558</v>
      </c>
      <c r="AJ36" s="63">
        <v>34.0</v>
      </c>
      <c r="AK36" s="52"/>
      <c r="AL36" s="62" t="s">
        <v>559</v>
      </c>
      <c r="AM36" s="62" t="s">
        <v>560</v>
      </c>
      <c r="AN36" s="63">
        <v>34.0</v>
      </c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62" t="s">
        <v>561</v>
      </c>
      <c r="BB36" s="52"/>
      <c r="BC36" s="52"/>
      <c r="BD36" s="52"/>
      <c r="BE36" s="52"/>
      <c r="BF36" s="62" t="s">
        <v>562</v>
      </c>
      <c r="BG36" s="62" t="s">
        <v>96</v>
      </c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  <c r="AB37" s="52"/>
      <c r="AC37" s="52"/>
      <c r="AD37" s="52"/>
      <c r="AE37" s="52"/>
      <c r="AF37" s="52"/>
      <c r="AG37" s="52"/>
      <c r="AH37" s="62" t="s">
        <v>563</v>
      </c>
      <c r="AI37" s="62" t="s">
        <v>564</v>
      </c>
      <c r="AJ37" s="63">
        <v>35.0</v>
      </c>
      <c r="AK37" s="52"/>
      <c r="AL37" s="62" t="s">
        <v>565</v>
      </c>
      <c r="AM37" s="62" t="s">
        <v>566</v>
      </c>
      <c r="AN37" s="63">
        <v>35.0</v>
      </c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62" t="s">
        <v>567</v>
      </c>
      <c r="BA37" s="52"/>
      <c r="BB37" s="52"/>
      <c r="BC37" s="52"/>
      <c r="BD37" s="52"/>
      <c r="BE37" s="52"/>
      <c r="BF37" s="62" t="s">
        <v>568</v>
      </c>
      <c r="BG37" s="62" t="s">
        <v>300</v>
      </c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3"/>
      <c r="AB38" s="52"/>
      <c r="AC38" s="52"/>
      <c r="AD38" s="52"/>
      <c r="AE38" s="52"/>
      <c r="AF38" s="52"/>
      <c r="AG38" s="52"/>
      <c r="AH38" s="62" t="s">
        <v>569</v>
      </c>
      <c r="AI38" s="62" t="s">
        <v>570</v>
      </c>
      <c r="AJ38" s="63">
        <v>36.0</v>
      </c>
      <c r="AK38" s="52"/>
      <c r="AL38" s="62" t="s">
        <v>571</v>
      </c>
      <c r="AM38" s="62" t="s">
        <v>572</v>
      </c>
      <c r="AN38" s="63">
        <v>36.0</v>
      </c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62" t="s">
        <v>573</v>
      </c>
      <c r="BB38" s="52"/>
      <c r="BC38" s="52"/>
      <c r="BD38" s="52"/>
      <c r="BE38" s="52"/>
      <c r="BF38" s="62" t="s">
        <v>574</v>
      </c>
      <c r="BG38" s="62" t="s">
        <v>300</v>
      </c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3"/>
      <c r="AB39" s="52"/>
      <c r="AC39" s="52"/>
      <c r="AD39" s="52"/>
      <c r="AE39" s="52"/>
      <c r="AF39" s="52"/>
      <c r="AG39" s="52"/>
      <c r="AH39" s="62" t="s">
        <v>575</v>
      </c>
      <c r="AI39" s="62" t="s">
        <v>576</v>
      </c>
      <c r="AJ39" s="63">
        <v>37.0</v>
      </c>
      <c r="AK39" s="52"/>
      <c r="AL39" s="62" t="s">
        <v>430</v>
      </c>
      <c r="AM39" s="62" t="s">
        <v>431</v>
      </c>
      <c r="AN39" s="63">
        <v>37.0</v>
      </c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62" t="s">
        <v>577</v>
      </c>
      <c r="BB39" s="52"/>
      <c r="BC39" s="52"/>
      <c r="BD39" s="52"/>
      <c r="BE39" s="52"/>
      <c r="BF39" s="62" t="s">
        <v>578</v>
      </c>
      <c r="BG39" s="62" t="s">
        <v>96</v>
      </c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3"/>
      <c r="AB40" s="52"/>
      <c r="AC40" s="52"/>
      <c r="AD40" s="52"/>
      <c r="AE40" s="52"/>
      <c r="AF40" s="52"/>
      <c r="AG40" s="52"/>
      <c r="AH40" s="62" t="s">
        <v>579</v>
      </c>
      <c r="AI40" s="62" t="s">
        <v>580</v>
      </c>
      <c r="AJ40" s="63">
        <v>38.0</v>
      </c>
      <c r="AK40" s="52"/>
      <c r="AL40" s="62" t="s">
        <v>581</v>
      </c>
      <c r="AM40" s="62" t="s">
        <v>581</v>
      </c>
      <c r="AN40" s="63">
        <v>38.0</v>
      </c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62" t="s">
        <v>582</v>
      </c>
      <c r="BA40" s="52"/>
      <c r="BB40" s="52"/>
      <c r="BC40" s="52"/>
      <c r="BD40" s="52"/>
      <c r="BE40" s="52"/>
      <c r="BF40" s="62" t="s">
        <v>583</v>
      </c>
      <c r="BG40" s="62" t="s">
        <v>96</v>
      </c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3"/>
      <c r="AB41" s="52"/>
      <c r="AC41" s="52"/>
      <c r="AD41" s="52"/>
      <c r="AE41" s="52"/>
      <c r="AF41" s="52"/>
      <c r="AG41" s="52"/>
      <c r="AH41" s="62" t="s">
        <v>584</v>
      </c>
      <c r="AI41" s="62" t="s">
        <v>585</v>
      </c>
      <c r="AJ41" s="63">
        <v>39.0</v>
      </c>
      <c r="AK41" s="52"/>
      <c r="AL41" s="62" t="s">
        <v>586</v>
      </c>
      <c r="AM41" s="62" t="s">
        <v>586</v>
      </c>
      <c r="AN41" s="63">
        <v>39.0</v>
      </c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62" t="s">
        <v>587</v>
      </c>
      <c r="BA41" s="52"/>
      <c r="BB41" s="52"/>
      <c r="BC41" s="52"/>
      <c r="BD41" s="52"/>
      <c r="BE41" s="52"/>
      <c r="BF41" s="62" t="s">
        <v>588</v>
      </c>
      <c r="BG41" s="62" t="s">
        <v>96</v>
      </c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3"/>
      <c r="AB42" s="52"/>
      <c r="AC42" s="52"/>
      <c r="AD42" s="52"/>
      <c r="AE42" s="52"/>
      <c r="AF42" s="52"/>
      <c r="AG42" s="52"/>
      <c r="AH42" s="62" t="s">
        <v>589</v>
      </c>
      <c r="AI42" s="62" t="s">
        <v>590</v>
      </c>
      <c r="AJ42" s="63">
        <v>40.0</v>
      </c>
      <c r="AK42" s="52"/>
      <c r="AL42" s="62" t="s">
        <v>591</v>
      </c>
      <c r="AM42" s="62" t="s">
        <v>592</v>
      </c>
      <c r="AN42" s="63">
        <v>40.0</v>
      </c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62" t="s">
        <v>593</v>
      </c>
      <c r="BA42" s="52"/>
      <c r="BB42" s="52"/>
      <c r="BC42" s="52"/>
      <c r="BD42" s="52"/>
      <c r="BE42" s="52"/>
      <c r="BF42" s="62" t="s">
        <v>594</v>
      </c>
      <c r="BG42" s="62" t="s">
        <v>96</v>
      </c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3"/>
      <c r="AB43" s="52"/>
      <c r="AC43" s="52"/>
      <c r="AD43" s="52"/>
      <c r="AE43" s="52"/>
      <c r="AF43" s="52"/>
      <c r="AG43" s="52"/>
      <c r="AH43" s="62" t="s">
        <v>595</v>
      </c>
      <c r="AI43" s="62" t="s">
        <v>596</v>
      </c>
      <c r="AJ43" s="63">
        <v>41.0</v>
      </c>
      <c r="AK43" s="52"/>
      <c r="AL43" s="62" t="s">
        <v>597</v>
      </c>
      <c r="AM43" s="62" t="s">
        <v>598</v>
      </c>
      <c r="AN43" s="63">
        <v>41.0</v>
      </c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62" t="s">
        <v>599</v>
      </c>
      <c r="BA43" s="52"/>
      <c r="BB43" s="52"/>
      <c r="BC43" s="52"/>
      <c r="BD43" s="52"/>
      <c r="BE43" s="52"/>
      <c r="BF43" s="62" t="s">
        <v>600</v>
      </c>
      <c r="BG43" s="62" t="s">
        <v>300</v>
      </c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3"/>
      <c r="AB44" s="52"/>
      <c r="AC44" s="52"/>
      <c r="AD44" s="52"/>
      <c r="AE44" s="52"/>
      <c r="AF44" s="52"/>
      <c r="AG44" s="52"/>
      <c r="AH44" s="62" t="s">
        <v>601</v>
      </c>
      <c r="AI44" s="62" t="s">
        <v>602</v>
      </c>
      <c r="AJ44" s="63">
        <v>42.0</v>
      </c>
      <c r="AK44" s="52"/>
      <c r="AL44" s="62" t="s">
        <v>439</v>
      </c>
      <c r="AM44" s="62" t="s">
        <v>440</v>
      </c>
      <c r="AN44" s="63">
        <v>42.0</v>
      </c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62" t="s">
        <v>603</v>
      </c>
      <c r="BC44" s="52"/>
      <c r="BD44" s="52"/>
      <c r="BE44" s="52"/>
      <c r="BF44" s="62" t="s">
        <v>604</v>
      </c>
      <c r="BG44" s="62" t="s">
        <v>172</v>
      </c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2"/>
      <c r="AC45" s="52"/>
      <c r="AD45" s="52"/>
      <c r="AE45" s="52"/>
      <c r="AF45" s="52"/>
      <c r="AG45" s="52"/>
      <c r="AH45" s="62" t="s">
        <v>605</v>
      </c>
      <c r="AI45" s="62" t="s">
        <v>606</v>
      </c>
      <c r="AJ45" s="63">
        <v>43.0</v>
      </c>
      <c r="AK45" s="52"/>
      <c r="AL45" s="62" t="s">
        <v>450</v>
      </c>
      <c r="AM45" s="62" t="s">
        <v>451</v>
      </c>
      <c r="AN45" s="63">
        <v>43.0</v>
      </c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62" t="s">
        <v>607</v>
      </c>
      <c r="BB45" s="52"/>
      <c r="BC45" s="52"/>
      <c r="BD45" s="52"/>
      <c r="BE45" s="52"/>
      <c r="BF45" s="62" t="s">
        <v>608</v>
      </c>
      <c r="BG45" s="62" t="s">
        <v>96</v>
      </c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2"/>
      <c r="AC46" s="52"/>
      <c r="AD46" s="52"/>
      <c r="AE46" s="52"/>
      <c r="AF46" s="52"/>
      <c r="AG46" s="52"/>
      <c r="AH46" s="62" t="s">
        <v>609</v>
      </c>
      <c r="AI46" s="62" t="s">
        <v>610</v>
      </c>
      <c r="AJ46" s="63">
        <v>44.0</v>
      </c>
      <c r="AK46" s="52"/>
      <c r="AL46" s="62" t="s">
        <v>611</v>
      </c>
      <c r="AM46" s="62" t="s">
        <v>612</v>
      </c>
      <c r="AN46" s="63">
        <v>44.0</v>
      </c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62" t="s">
        <v>613</v>
      </c>
      <c r="BA46" s="52"/>
      <c r="BB46" s="52"/>
      <c r="BC46" s="52"/>
      <c r="BD46" s="52"/>
      <c r="BE46" s="52"/>
      <c r="BF46" s="62" t="s">
        <v>614</v>
      </c>
      <c r="BG46" s="62" t="s">
        <v>300</v>
      </c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3"/>
      <c r="AB47" s="52"/>
      <c r="AC47" s="52"/>
      <c r="AD47" s="52"/>
      <c r="AE47" s="52"/>
      <c r="AF47" s="52"/>
      <c r="AG47" s="52"/>
      <c r="AH47" s="62" t="s">
        <v>615</v>
      </c>
      <c r="AI47" s="62" t="s">
        <v>616</v>
      </c>
      <c r="AJ47" s="63">
        <v>45.0</v>
      </c>
      <c r="AK47" s="52"/>
      <c r="AL47" s="62" t="s">
        <v>617</v>
      </c>
      <c r="AM47" s="62" t="s">
        <v>618</v>
      </c>
      <c r="AN47" s="63">
        <v>45.0</v>
      </c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62" t="s">
        <v>619</v>
      </c>
      <c r="BB47" s="52"/>
      <c r="BC47" s="52"/>
      <c r="BD47" s="52"/>
      <c r="BE47" s="52"/>
      <c r="BF47" s="62" t="s">
        <v>620</v>
      </c>
      <c r="BG47" s="62" t="s">
        <v>300</v>
      </c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3"/>
      <c r="AB48" s="52"/>
      <c r="AC48" s="52"/>
      <c r="AD48" s="52"/>
      <c r="AE48" s="52"/>
      <c r="AF48" s="52"/>
      <c r="AG48" s="52"/>
      <c r="AH48" s="62" t="s">
        <v>621</v>
      </c>
      <c r="AI48" s="62" t="s">
        <v>622</v>
      </c>
      <c r="AJ48" s="63">
        <v>46.0</v>
      </c>
      <c r="AK48" s="52"/>
      <c r="AL48" s="62" t="s">
        <v>623</v>
      </c>
      <c r="AM48" s="62" t="s">
        <v>624</v>
      </c>
      <c r="AN48" s="63">
        <v>46.0</v>
      </c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62" t="s">
        <v>625</v>
      </c>
      <c r="BA48" s="52"/>
      <c r="BB48" s="52"/>
      <c r="BC48" s="52"/>
      <c r="BD48" s="52"/>
      <c r="BE48" s="52"/>
      <c r="BF48" s="62" t="s">
        <v>626</v>
      </c>
      <c r="BG48" s="62" t="s">
        <v>96</v>
      </c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3"/>
      <c r="AB49" s="52"/>
      <c r="AC49" s="52"/>
      <c r="AD49" s="52"/>
      <c r="AE49" s="52"/>
      <c r="AF49" s="52"/>
      <c r="AG49" s="52"/>
      <c r="AH49" s="62" t="s">
        <v>627</v>
      </c>
      <c r="AI49" s="62" t="s">
        <v>628</v>
      </c>
      <c r="AJ49" s="63">
        <v>47.0</v>
      </c>
      <c r="AK49" s="52"/>
      <c r="AL49" s="62" t="s">
        <v>459</v>
      </c>
      <c r="AM49" s="62" t="s">
        <v>460</v>
      </c>
      <c r="AN49" s="63">
        <v>47.0</v>
      </c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62" t="s">
        <v>629</v>
      </c>
      <c r="BB49" s="52"/>
      <c r="BC49" s="52"/>
      <c r="BD49" s="52"/>
      <c r="BE49" s="52"/>
      <c r="BF49" s="62" t="s">
        <v>630</v>
      </c>
      <c r="BG49" s="62" t="s">
        <v>96</v>
      </c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3"/>
      <c r="AB50" s="52"/>
      <c r="AC50" s="52"/>
      <c r="AD50" s="52"/>
      <c r="AE50" s="52"/>
      <c r="AF50" s="52"/>
      <c r="AG50" s="52"/>
      <c r="AH50" s="62" t="s">
        <v>631</v>
      </c>
      <c r="AI50" s="62" t="s">
        <v>631</v>
      </c>
      <c r="AJ50" s="63">
        <v>48.0</v>
      </c>
      <c r="AK50" s="52"/>
      <c r="AL50" s="62" t="s">
        <v>470</v>
      </c>
      <c r="AM50" s="62" t="s">
        <v>471</v>
      </c>
      <c r="AN50" s="63">
        <v>48.0</v>
      </c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62" t="s">
        <v>632</v>
      </c>
      <c r="BA50" s="52"/>
      <c r="BB50" s="52"/>
      <c r="BC50" s="52"/>
      <c r="BD50" s="52"/>
      <c r="BE50" s="52"/>
      <c r="BF50" s="62" t="s">
        <v>633</v>
      </c>
      <c r="BG50" s="62" t="s">
        <v>300</v>
      </c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3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62" t="s">
        <v>479</v>
      </c>
      <c r="AM51" s="62" t="s">
        <v>480</v>
      </c>
      <c r="AN51" s="63">
        <v>49.0</v>
      </c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62" t="s">
        <v>634</v>
      </c>
      <c r="BA51" s="52"/>
      <c r="BB51" s="52"/>
      <c r="BC51" s="52"/>
      <c r="BD51" s="52"/>
      <c r="BE51" s="52"/>
      <c r="BF51" s="62" t="s">
        <v>635</v>
      </c>
      <c r="BG51" s="62" t="s">
        <v>96</v>
      </c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3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62" t="s">
        <v>490</v>
      </c>
      <c r="AM52" s="62" t="s">
        <v>490</v>
      </c>
      <c r="AN52" s="63">
        <v>50.0</v>
      </c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62" t="s">
        <v>636</v>
      </c>
      <c r="BA52" s="52"/>
      <c r="BB52" s="52"/>
      <c r="BC52" s="52"/>
      <c r="BD52" s="52"/>
      <c r="BE52" s="52"/>
      <c r="BF52" s="62" t="s">
        <v>637</v>
      </c>
      <c r="BG52" s="62" t="s">
        <v>96</v>
      </c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3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62" t="s">
        <v>198</v>
      </c>
      <c r="AM53" s="62" t="s">
        <v>497</v>
      </c>
      <c r="AN53" s="63">
        <v>51.0</v>
      </c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62" t="s">
        <v>91</v>
      </c>
      <c r="BA53" s="52"/>
      <c r="BB53" s="52"/>
      <c r="BC53" s="52"/>
      <c r="BD53" s="52"/>
      <c r="BE53" s="52"/>
      <c r="BF53" s="62" t="s">
        <v>638</v>
      </c>
      <c r="BG53" s="62" t="s">
        <v>96</v>
      </c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3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62" t="s">
        <v>639</v>
      </c>
      <c r="AM54" s="62" t="s">
        <v>640</v>
      </c>
      <c r="AN54" s="63">
        <v>52.0</v>
      </c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62" t="s">
        <v>641</v>
      </c>
      <c r="BA54" s="52"/>
      <c r="BB54" s="52"/>
      <c r="BC54" s="52"/>
      <c r="BD54" s="52"/>
      <c r="BE54" s="52"/>
      <c r="BF54" s="62" t="s">
        <v>642</v>
      </c>
      <c r="BG54" s="62" t="s">
        <v>96</v>
      </c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3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62" t="s">
        <v>643</v>
      </c>
      <c r="AM55" s="62" t="s">
        <v>644</v>
      </c>
      <c r="AN55" s="63">
        <v>53.0</v>
      </c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62" t="s">
        <v>645</v>
      </c>
      <c r="BB55" s="52"/>
      <c r="BC55" s="52"/>
      <c r="BD55" s="52"/>
      <c r="BE55" s="52"/>
      <c r="BF55" s="62" t="s">
        <v>646</v>
      </c>
      <c r="BG55" s="62" t="s">
        <v>300</v>
      </c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3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62" t="s">
        <v>504</v>
      </c>
      <c r="AM56" s="62" t="s">
        <v>505</v>
      </c>
      <c r="AN56" s="63">
        <v>54.0</v>
      </c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62" t="s">
        <v>647</v>
      </c>
      <c r="BB56" s="52"/>
      <c r="BC56" s="52"/>
      <c r="BD56" s="52"/>
      <c r="BE56" s="52"/>
      <c r="BF56" s="62" t="s">
        <v>648</v>
      </c>
      <c r="BG56" s="62" t="s">
        <v>300</v>
      </c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3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62" t="s">
        <v>649</v>
      </c>
      <c r="AM57" s="62" t="s">
        <v>650</v>
      </c>
      <c r="AN57" s="63">
        <v>55.0</v>
      </c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62" t="s">
        <v>651</v>
      </c>
      <c r="BA57" s="52"/>
      <c r="BB57" s="52"/>
      <c r="BC57" s="52"/>
      <c r="BD57" s="52"/>
      <c r="BE57" s="52"/>
      <c r="BF57" s="62" t="s">
        <v>652</v>
      </c>
      <c r="BG57" s="62" t="s">
        <v>96</v>
      </c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3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62" t="s">
        <v>512</v>
      </c>
      <c r="AM58" s="62" t="s">
        <v>513</v>
      </c>
      <c r="AN58" s="63">
        <v>56.0</v>
      </c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62" t="s">
        <v>653</v>
      </c>
      <c r="BA58" s="52"/>
      <c r="BB58" s="52"/>
      <c r="BC58" s="52"/>
      <c r="BD58" s="52"/>
      <c r="BE58" s="52"/>
      <c r="BF58" s="62" t="s">
        <v>654</v>
      </c>
      <c r="BG58" s="62" t="s">
        <v>96</v>
      </c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3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62" t="s">
        <v>655</v>
      </c>
      <c r="AM59" s="62" t="s">
        <v>656</v>
      </c>
      <c r="AN59" s="63">
        <v>57.0</v>
      </c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62" t="s">
        <v>657</v>
      </c>
      <c r="BA59" s="52"/>
      <c r="BB59" s="52"/>
      <c r="BC59" s="52"/>
      <c r="BD59" s="52"/>
      <c r="BE59" s="52"/>
      <c r="BF59" s="62" t="s">
        <v>658</v>
      </c>
      <c r="BG59" s="62" t="s">
        <v>96</v>
      </c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3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62" t="s">
        <v>519</v>
      </c>
      <c r="AM60" s="62" t="s">
        <v>520</v>
      </c>
      <c r="AN60" s="63">
        <v>58.0</v>
      </c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62" t="s">
        <v>659</v>
      </c>
      <c r="BA60" s="52"/>
      <c r="BB60" s="52"/>
      <c r="BC60" s="52"/>
      <c r="BD60" s="52"/>
      <c r="BE60" s="52"/>
      <c r="BF60" s="62" t="s">
        <v>660</v>
      </c>
      <c r="BG60" s="62" t="s">
        <v>96</v>
      </c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3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62" t="s">
        <v>527</v>
      </c>
      <c r="AM61" s="62" t="s">
        <v>528</v>
      </c>
      <c r="AN61" s="63">
        <v>59.0</v>
      </c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62" t="s">
        <v>661</v>
      </c>
      <c r="BA61" s="52"/>
      <c r="BB61" s="52"/>
      <c r="BC61" s="52"/>
      <c r="BD61" s="52"/>
      <c r="BE61" s="52"/>
      <c r="BF61" s="62" t="s">
        <v>662</v>
      </c>
      <c r="BG61" s="62" t="s">
        <v>96</v>
      </c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3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62" t="s">
        <v>663</v>
      </c>
      <c r="AM62" s="62" t="s">
        <v>664</v>
      </c>
      <c r="AN62" s="63">
        <v>60.0</v>
      </c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62" t="s">
        <v>665</v>
      </c>
      <c r="BA62" s="52"/>
      <c r="BB62" s="52"/>
      <c r="BC62" s="52"/>
      <c r="BD62" s="52"/>
      <c r="BE62" s="52"/>
      <c r="BF62" s="62" t="s">
        <v>666</v>
      </c>
      <c r="BG62" s="62" t="s">
        <v>96</v>
      </c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3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62" t="s">
        <v>667</v>
      </c>
      <c r="AM63" s="62" t="s">
        <v>668</v>
      </c>
      <c r="AN63" s="63">
        <v>61.0</v>
      </c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62" t="s">
        <v>669</v>
      </c>
      <c r="BA63" s="52"/>
      <c r="BB63" s="52"/>
      <c r="BC63" s="52"/>
      <c r="BD63" s="52"/>
      <c r="BE63" s="52"/>
      <c r="BF63" s="62" t="s">
        <v>670</v>
      </c>
      <c r="BG63" s="62" t="s">
        <v>96</v>
      </c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3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62" t="s">
        <v>535</v>
      </c>
      <c r="AM64" s="62" t="s">
        <v>536</v>
      </c>
      <c r="AN64" s="63">
        <v>62.0</v>
      </c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62" t="s">
        <v>671</v>
      </c>
      <c r="BB64" s="52"/>
      <c r="BC64" s="52"/>
      <c r="BD64" s="52"/>
      <c r="BE64" s="52"/>
      <c r="BF64" s="62" t="s">
        <v>672</v>
      </c>
      <c r="BG64" s="62" t="s">
        <v>96</v>
      </c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3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62" t="s">
        <v>673</v>
      </c>
      <c r="AM65" s="62" t="s">
        <v>674</v>
      </c>
      <c r="AN65" s="63">
        <v>63.0</v>
      </c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62" t="s">
        <v>675</v>
      </c>
      <c r="BA65" s="52"/>
      <c r="BB65" s="52"/>
      <c r="BC65" s="52"/>
      <c r="BD65" s="52"/>
      <c r="BE65" s="52"/>
      <c r="BF65" s="62" t="s">
        <v>676</v>
      </c>
      <c r="BG65" s="62" t="s">
        <v>96</v>
      </c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3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62" t="s">
        <v>543</v>
      </c>
      <c r="AM66" s="62" t="s">
        <v>544</v>
      </c>
      <c r="AN66" s="63">
        <v>64.0</v>
      </c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62" t="s">
        <v>677</v>
      </c>
      <c r="BA66" s="52"/>
      <c r="BB66" s="52"/>
      <c r="BC66" s="52"/>
      <c r="BD66" s="52"/>
      <c r="BE66" s="52"/>
      <c r="BF66" s="62" t="s">
        <v>678</v>
      </c>
      <c r="BG66" s="62" t="s">
        <v>300</v>
      </c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3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62" t="s">
        <v>679</v>
      </c>
      <c r="AM67" s="62" t="s">
        <v>680</v>
      </c>
      <c r="AN67" s="63">
        <v>65.0</v>
      </c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62" t="s">
        <v>681</v>
      </c>
      <c r="BA67" s="52"/>
      <c r="BB67" s="52"/>
      <c r="BC67" s="52"/>
      <c r="BD67" s="52"/>
      <c r="BE67" s="52"/>
      <c r="BF67" s="62" t="s">
        <v>682</v>
      </c>
      <c r="BG67" s="62" t="s">
        <v>96</v>
      </c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3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62" t="s">
        <v>683</v>
      </c>
      <c r="AM68" s="62" t="s">
        <v>684</v>
      </c>
      <c r="AN68" s="63">
        <v>66.0</v>
      </c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62" t="s">
        <v>685</v>
      </c>
      <c r="BA68" s="52"/>
      <c r="BB68" s="52"/>
      <c r="BC68" s="52"/>
      <c r="BD68" s="52"/>
      <c r="BE68" s="52"/>
      <c r="BF68" s="62" t="s">
        <v>686</v>
      </c>
      <c r="BG68" s="62" t="s">
        <v>300</v>
      </c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3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62" t="s">
        <v>687</v>
      </c>
      <c r="AM69" s="62" t="s">
        <v>688</v>
      </c>
      <c r="AN69" s="63">
        <v>67.0</v>
      </c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62" t="s">
        <v>689</v>
      </c>
      <c r="BA69" s="52"/>
      <c r="BB69" s="52"/>
      <c r="BC69" s="52"/>
      <c r="BD69" s="52"/>
      <c r="BE69" s="52"/>
      <c r="BF69" s="62" t="s">
        <v>690</v>
      </c>
      <c r="BG69" s="62" t="s">
        <v>96</v>
      </c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3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62" t="s">
        <v>691</v>
      </c>
      <c r="AM70" s="62" t="s">
        <v>692</v>
      </c>
      <c r="AN70" s="63">
        <v>68.0</v>
      </c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62" t="s">
        <v>693</v>
      </c>
      <c r="BA70" s="52"/>
      <c r="BB70" s="52"/>
      <c r="BC70" s="52"/>
      <c r="BD70" s="52"/>
      <c r="BE70" s="52"/>
      <c r="BF70" s="62" t="s">
        <v>694</v>
      </c>
      <c r="BG70" s="62" t="s">
        <v>300</v>
      </c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3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62" t="s">
        <v>695</v>
      </c>
      <c r="AM71" s="62" t="s">
        <v>696</v>
      </c>
      <c r="AN71" s="63">
        <v>69.0</v>
      </c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62" t="s">
        <v>697</v>
      </c>
      <c r="BB71" s="52"/>
      <c r="BC71" s="52"/>
      <c r="BD71" s="52"/>
      <c r="BE71" s="52"/>
      <c r="BF71" s="62" t="s">
        <v>698</v>
      </c>
      <c r="BG71" s="62" t="s">
        <v>300</v>
      </c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3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62" t="s">
        <v>549</v>
      </c>
      <c r="AM72" s="62" t="s">
        <v>550</v>
      </c>
      <c r="AN72" s="63">
        <v>70.0</v>
      </c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62" t="s">
        <v>699</v>
      </c>
      <c r="BA72" s="52"/>
      <c r="BB72" s="52"/>
      <c r="BC72" s="52"/>
      <c r="BD72" s="52"/>
      <c r="BE72" s="52"/>
      <c r="BF72" s="62" t="s">
        <v>700</v>
      </c>
      <c r="BG72" s="62" t="s">
        <v>96</v>
      </c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3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62" t="s">
        <v>701</v>
      </c>
      <c r="AM73" s="62" t="s">
        <v>702</v>
      </c>
      <c r="AN73" s="63">
        <v>71.0</v>
      </c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62" t="s">
        <v>703</v>
      </c>
      <c r="BA73" s="52"/>
      <c r="BB73" s="52"/>
      <c r="BC73" s="52"/>
      <c r="BD73" s="52"/>
      <c r="BE73" s="52"/>
      <c r="BF73" s="62" t="s">
        <v>704</v>
      </c>
      <c r="BG73" s="62" t="s">
        <v>300</v>
      </c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3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62" t="s">
        <v>705</v>
      </c>
      <c r="AM74" s="62" t="s">
        <v>706</v>
      </c>
      <c r="AN74" s="63">
        <v>72.0</v>
      </c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62" t="s">
        <v>707</v>
      </c>
      <c r="BB74" s="52"/>
      <c r="BC74" s="52"/>
      <c r="BD74" s="52"/>
      <c r="BE74" s="52"/>
      <c r="BF74" s="62" t="s">
        <v>708</v>
      </c>
      <c r="BG74" s="62" t="s">
        <v>96</v>
      </c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3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62" t="s">
        <v>553</v>
      </c>
      <c r="AM75" s="62" t="s">
        <v>554</v>
      </c>
      <c r="AN75" s="63">
        <v>73.0</v>
      </c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62" t="s">
        <v>709</v>
      </c>
      <c r="BA75" s="52"/>
      <c r="BB75" s="52"/>
      <c r="BC75" s="52"/>
      <c r="BD75" s="52"/>
      <c r="BE75" s="52"/>
      <c r="BF75" s="62" t="s">
        <v>710</v>
      </c>
      <c r="BG75" s="62" t="s">
        <v>96</v>
      </c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3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62" t="s">
        <v>557</v>
      </c>
      <c r="AM76" s="62" t="s">
        <v>558</v>
      </c>
      <c r="AN76" s="63">
        <v>74.0</v>
      </c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62" t="s">
        <v>711</v>
      </c>
      <c r="BB76" s="52"/>
      <c r="BC76" s="52"/>
      <c r="BD76" s="52"/>
      <c r="BE76" s="52"/>
      <c r="BF76" s="62" t="s">
        <v>712</v>
      </c>
      <c r="BG76" s="62" t="s">
        <v>96</v>
      </c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3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62" t="s">
        <v>563</v>
      </c>
      <c r="AM77" s="62" t="s">
        <v>564</v>
      </c>
      <c r="AN77" s="63">
        <v>75.0</v>
      </c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62" t="s">
        <v>713</v>
      </c>
      <c r="BB77" s="52"/>
      <c r="BC77" s="52"/>
      <c r="BD77" s="52"/>
      <c r="BE77" s="52"/>
      <c r="BF77" s="62" t="s">
        <v>714</v>
      </c>
      <c r="BG77" s="62" t="s">
        <v>96</v>
      </c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3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62" t="s">
        <v>715</v>
      </c>
      <c r="AM78" s="62" t="s">
        <v>716</v>
      </c>
      <c r="AN78" s="63">
        <v>76.0</v>
      </c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62" t="s">
        <v>717</v>
      </c>
      <c r="BA78" s="52"/>
      <c r="BB78" s="52"/>
      <c r="BC78" s="52"/>
      <c r="BD78" s="52"/>
      <c r="BE78" s="52"/>
      <c r="BF78" s="62" t="s">
        <v>718</v>
      </c>
      <c r="BG78" s="62" t="s">
        <v>96</v>
      </c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3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62" t="s">
        <v>719</v>
      </c>
      <c r="AM79" s="62" t="s">
        <v>720</v>
      </c>
      <c r="AN79" s="63">
        <v>77.0</v>
      </c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62" t="s">
        <v>721</v>
      </c>
      <c r="BA79" s="52"/>
      <c r="BB79" s="52"/>
      <c r="BC79" s="52"/>
      <c r="BD79" s="52"/>
      <c r="BE79" s="52"/>
      <c r="BF79" s="62" t="s">
        <v>722</v>
      </c>
      <c r="BG79" s="62" t="s">
        <v>96</v>
      </c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3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62" t="s">
        <v>723</v>
      </c>
      <c r="AM80" s="62" t="s">
        <v>724</v>
      </c>
      <c r="AN80" s="63">
        <v>78.0</v>
      </c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62" t="s">
        <v>113</v>
      </c>
      <c r="BA80" s="52"/>
      <c r="BB80" s="52"/>
      <c r="BC80" s="52"/>
      <c r="BD80" s="52"/>
      <c r="BE80" s="52"/>
      <c r="BF80" s="62" t="s">
        <v>725</v>
      </c>
      <c r="BG80" s="62" t="s">
        <v>96</v>
      </c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3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62" t="s">
        <v>569</v>
      </c>
      <c r="AM81" s="62" t="s">
        <v>570</v>
      </c>
      <c r="AN81" s="63">
        <v>79.0</v>
      </c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62" t="s">
        <v>118</v>
      </c>
      <c r="BB81" s="52"/>
      <c r="BC81" s="52"/>
      <c r="BD81" s="52"/>
      <c r="BE81" s="52"/>
      <c r="BF81" s="62" t="s">
        <v>726</v>
      </c>
      <c r="BG81" s="62" t="s">
        <v>96</v>
      </c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3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62" t="s">
        <v>575</v>
      </c>
      <c r="AM82" s="62" t="s">
        <v>576</v>
      </c>
      <c r="AN82" s="63">
        <v>80.0</v>
      </c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62" t="s">
        <v>727</v>
      </c>
      <c r="BG82" s="62" t="s">
        <v>96</v>
      </c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3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62" t="s">
        <v>728</v>
      </c>
      <c r="AM83" s="62" t="s">
        <v>729</v>
      </c>
      <c r="AN83" s="63">
        <v>81.0</v>
      </c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62" t="s">
        <v>730</v>
      </c>
      <c r="BG83" s="62" t="s">
        <v>96</v>
      </c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3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62" t="s">
        <v>579</v>
      </c>
      <c r="AM84" s="62" t="s">
        <v>580</v>
      </c>
      <c r="AN84" s="63">
        <v>82.0</v>
      </c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62" t="s">
        <v>731</v>
      </c>
      <c r="BG84" s="62" t="s">
        <v>300</v>
      </c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3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62" t="s">
        <v>584</v>
      </c>
      <c r="AM85" s="62" t="s">
        <v>585</v>
      </c>
      <c r="AN85" s="63">
        <v>83.0</v>
      </c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62" t="s">
        <v>732</v>
      </c>
      <c r="BG85" s="62" t="s">
        <v>300</v>
      </c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3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62" t="s">
        <v>589</v>
      </c>
      <c r="AM86" s="62" t="s">
        <v>590</v>
      </c>
      <c r="AN86" s="63">
        <v>84.0</v>
      </c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62" t="s">
        <v>733</v>
      </c>
      <c r="BG86" s="62" t="s">
        <v>96</v>
      </c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3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62" t="s">
        <v>595</v>
      </c>
      <c r="AM87" s="62" t="s">
        <v>596</v>
      </c>
      <c r="AN87" s="63">
        <v>85.0</v>
      </c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62" t="s">
        <v>734</v>
      </c>
      <c r="BG87" s="62" t="s">
        <v>96</v>
      </c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3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62" t="s">
        <v>601</v>
      </c>
      <c r="AM88" s="62" t="s">
        <v>602</v>
      </c>
      <c r="AN88" s="63">
        <v>86.0</v>
      </c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62" t="s">
        <v>735</v>
      </c>
      <c r="BG88" s="62" t="s">
        <v>96</v>
      </c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3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62" t="s">
        <v>605</v>
      </c>
      <c r="AM89" s="62" t="s">
        <v>606</v>
      </c>
      <c r="AN89" s="63">
        <v>87.0</v>
      </c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62" t="s">
        <v>736</v>
      </c>
      <c r="BG89" s="62" t="s">
        <v>96</v>
      </c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3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62" t="s">
        <v>609</v>
      </c>
      <c r="AM90" s="62" t="s">
        <v>610</v>
      </c>
      <c r="AN90" s="63">
        <v>88.0</v>
      </c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62" t="s">
        <v>737</v>
      </c>
      <c r="BG90" s="62" t="s">
        <v>300</v>
      </c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3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62" t="s">
        <v>738</v>
      </c>
      <c r="AM91" s="62" t="s">
        <v>739</v>
      </c>
      <c r="AN91" s="63">
        <v>89.0</v>
      </c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62" t="s">
        <v>740</v>
      </c>
      <c r="BG91" s="62" t="s">
        <v>96</v>
      </c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3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62" t="s">
        <v>615</v>
      </c>
      <c r="AM92" s="62" t="s">
        <v>616</v>
      </c>
      <c r="AN92" s="63">
        <v>90.0</v>
      </c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62" t="s">
        <v>741</v>
      </c>
      <c r="BG92" s="62" t="s">
        <v>300</v>
      </c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3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62" t="s">
        <v>621</v>
      </c>
      <c r="AM93" s="62" t="s">
        <v>622</v>
      </c>
      <c r="AN93" s="63">
        <v>91.0</v>
      </c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62" t="s">
        <v>742</v>
      </c>
      <c r="BG93" s="62" t="s">
        <v>96</v>
      </c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3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62" t="s">
        <v>627</v>
      </c>
      <c r="AM94" s="62" t="s">
        <v>628</v>
      </c>
      <c r="AN94" s="63">
        <v>92.0</v>
      </c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62" t="s">
        <v>743</v>
      </c>
      <c r="BG94" s="62" t="s">
        <v>96</v>
      </c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3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62" t="s">
        <v>631</v>
      </c>
      <c r="AM95" s="62" t="s">
        <v>631</v>
      </c>
      <c r="AN95" s="63">
        <v>93.0</v>
      </c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62" t="s">
        <v>744</v>
      </c>
      <c r="BG95" s="62" t="s">
        <v>96</v>
      </c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3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62" t="s">
        <v>90</v>
      </c>
      <c r="AM96" s="62" t="s">
        <v>745</v>
      </c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62" t="s">
        <v>746</v>
      </c>
      <c r="BG96" s="62" t="s">
        <v>172</v>
      </c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3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62" t="s">
        <v>747</v>
      </c>
      <c r="BG97" s="62" t="s">
        <v>172</v>
      </c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3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62" t="s">
        <v>748</v>
      </c>
      <c r="BG98" s="62" t="s">
        <v>172</v>
      </c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3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62" t="s">
        <v>749</v>
      </c>
      <c r="BG99" s="62" t="s">
        <v>172</v>
      </c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3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62" t="s">
        <v>750</v>
      </c>
      <c r="BG100" s="62" t="s">
        <v>96</v>
      </c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3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62" t="s">
        <v>751</v>
      </c>
      <c r="BG101" s="62" t="s">
        <v>172</v>
      </c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3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62" t="s">
        <v>752</v>
      </c>
      <c r="BG102" s="62" t="s">
        <v>172</v>
      </c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3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62" t="s">
        <v>753</v>
      </c>
      <c r="BG103" s="62" t="s">
        <v>96</v>
      </c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3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62" t="s">
        <v>754</v>
      </c>
      <c r="BG104" s="62" t="s">
        <v>172</v>
      </c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3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62" t="s">
        <v>755</v>
      </c>
      <c r="BG105" s="62" t="s">
        <v>315</v>
      </c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3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62" t="s">
        <v>756</v>
      </c>
      <c r="BG106" s="62" t="s">
        <v>96</v>
      </c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3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62" t="s">
        <v>757</v>
      </c>
      <c r="BG107" s="62" t="s">
        <v>315</v>
      </c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3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62" t="s">
        <v>758</v>
      </c>
      <c r="BG108" s="62" t="s">
        <v>315</v>
      </c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3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62" t="s">
        <v>759</v>
      </c>
      <c r="BG109" s="62" t="s">
        <v>315</v>
      </c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3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62" t="s">
        <v>760</v>
      </c>
      <c r="BG110" s="62" t="s">
        <v>172</v>
      </c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3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62" t="s">
        <v>761</v>
      </c>
      <c r="BG111" s="62" t="s">
        <v>315</v>
      </c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3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62" t="s">
        <v>762</v>
      </c>
      <c r="BG112" s="62" t="s">
        <v>172</v>
      </c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3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62" t="s">
        <v>763</v>
      </c>
      <c r="BG113" s="62" t="s">
        <v>315</v>
      </c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3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62" t="s">
        <v>764</v>
      </c>
      <c r="BG114" s="62" t="s">
        <v>172</v>
      </c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3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62" t="s">
        <v>765</v>
      </c>
      <c r="BG115" s="62" t="s">
        <v>172</v>
      </c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3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62" t="s">
        <v>766</v>
      </c>
      <c r="BG116" s="62" t="s">
        <v>172</v>
      </c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3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62" t="s">
        <v>767</v>
      </c>
      <c r="BG117" s="62" t="s">
        <v>172</v>
      </c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3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62" t="s">
        <v>768</v>
      </c>
      <c r="BG118" s="62" t="s">
        <v>172</v>
      </c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3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62" t="s">
        <v>769</v>
      </c>
      <c r="BG119" s="62" t="s">
        <v>172</v>
      </c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3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62" t="s">
        <v>770</v>
      </c>
      <c r="BG120" s="62" t="s">
        <v>172</v>
      </c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3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62" t="s">
        <v>771</v>
      </c>
      <c r="BG121" s="62" t="s">
        <v>172</v>
      </c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3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62" t="s">
        <v>772</v>
      </c>
      <c r="BG122" s="62" t="s">
        <v>172</v>
      </c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3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62" t="s">
        <v>773</v>
      </c>
      <c r="BG123" s="62" t="s">
        <v>172</v>
      </c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3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62" t="s">
        <v>774</v>
      </c>
      <c r="BG124" s="62" t="s">
        <v>172</v>
      </c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3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62" t="s">
        <v>775</v>
      </c>
      <c r="BG125" s="62" t="s">
        <v>315</v>
      </c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3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62" t="s">
        <v>776</v>
      </c>
      <c r="BG126" s="62" t="s">
        <v>315</v>
      </c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3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62" t="s">
        <v>777</v>
      </c>
      <c r="BG127" s="62" t="s">
        <v>315</v>
      </c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3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62" t="s">
        <v>778</v>
      </c>
      <c r="BG128" s="62" t="s">
        <v>315</v>
      </c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3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62" t="s">
        <v>779</v>
      </c>
      <c r="BG129" s="62" t="s">
        <v>172</v>
      </c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3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62" t="s">
        <v>780</v>
      </c>
      <c r="BG130" s="62" t="s">
        <v>172</v>
      </c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3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62" t="s">
        <v>781</v>
      </c>
      <c r="BG131" s="62" t="s">
        <v>172</v>
      </c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3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62" t="s">
        <v>782</v>
      </c>
      <c r="BG132" s="62" t="s">
        <v>172</v>
      </c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3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62" t="s">
        <v>783</v>
      </c>
      <c r="BG133" s="62" t="s">
        <v>172</v>
      </c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3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62" t="s">
        <v>784</v>
      </c>
      <c r="BG134" s="62" t="s">
        <v>172</v>
      </c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3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62" t="s">
        <v>785</v>
      </c>
      <c r="BG135" s="62" t="s">
        <v>172</v>
      </c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3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62" t="s">
        <v>786</v>
      </c>
      <c r="BG136" s="62" t="s">
        <v>172</v>
      </c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3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62" t="s">
        <v>787</v>
      </c>
      <c r="BG137" s="62" t="s">
        <v>172</v>
      </c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3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62" t="s">
        <v>788</v>
      </c>
      <c r="BG138" s="62" t="s">
        <v>172</v>
      </c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3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62" t="s">
        <v>789</v>
      </c>
      <c r="BG139" s="62" t="s">
        <v>172</v>
      </c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3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62" t="s">
        <v>790</v>
      </c>
      <c r="BG140" s="62" t="s">
        <v>172</v>
      </c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3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62" t="s">
        <v>791</v>
      </c>
      <c r="BG141" s="62" t="s">
        <v>172</v>
      </c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3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62" t="s">
        <v>792</v>
      </c>
      <c r="BG142" s="62" t="s">
        <v>315</v>
      </c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3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62" t="s">
        <v>793</v>
      </c>
      <c r="BG143" s="62" t="s">
        <v>172</v>
      </c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3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62" t="s">
        <v>794</v>
      </c>
      <c r="BG144" s="62" t="s">
        <v>172</v>
      </c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3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62" t="s">
        <v>795</v>
      </c>
      <c r="BG145" s="62" t="s">
        <v>172</v>
      </c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3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62" t="s">
        <v>796</v>
      </c>
      <c r="BG146" s="62" t="s">
        <v>172</v>
      </c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3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62" t="s">
        <v>797</v>
      </c>
      <c r="BG147" s="62" t="s">
        <v>172</v>
      </c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3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62" t="s">
        <v>798</v>
      </c>
      <c r="BG148" s="62" t="s">
        <v>172</v>
      </c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3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62" t="s">
        <v>799</v>
      </c>
      <c r="BG149" s="62" t="s">
        <v>172</v>
      </c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3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62" t="s">
        <v>800</v>
      </c>
      <c r="BG150" s="62" t="s">
        <v>172</v>
      </c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3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62" t="s">
        <v>801</v>
      </c>
      <c r="BG151" s="62" t="s">
        <v>172</v>
      </c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3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62" t="s">
        <v>802</v>
      </c>
      <c r="BG152" s="62" t="s">
        <v>172</v>
      </c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3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62" t="s">
        <v>803</v>
      </c>
      <c r="BG153" s="62" t="s">
        <v>300</v>
      </c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3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62" t="s">
        <v>804</v>
      </c>
      <c r="BG154" s="62" t="s">
        <v>172</v>
      </c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3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62" t="s">
        <v>805</v>
      </c>
      <c r="BG155" s="62" t="s">
        <v>172</v>
      </c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3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62" t="s">
        <v>806</v>
      </c>
      <c r="BG156" s="62" t="s">
        <v>172</v>
      </c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3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62" t="s">
        <v>807</v>
      </c>
      <c r="BG157" s="62" t="s">
        <v>172</v>
      </c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3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62" t="s">
        <v>808</v>
      </c>
      <c r="BG158" s="62" t="s">
        <v>172</v>
      </c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3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62" t="s">
        <v>809</v>
      </c>
      <c r="BG159" s="62" t="s">
        <v>172</v>
      </c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3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62" t="s">
        <v>810</v>
      </c>
      <c r="BG160" s="62" t="s">
        <v>300</v>
      </c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3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62" t="s">
        <v>811</v>
      </c>
      <c r="BG161" s="62" t="s">
        <v>172</v>
      </c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3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62" t="s">
        <v>812</v>
      </c>
      <c r="BG162" s="62" t="s">
        <v>172</v>
      </c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3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62" t="s">
        <v>813</v>
      </c>
      <c r="BG163" s="62" t="s">
        <v>172</v>
      </c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3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62" t="s">
        <v>814</v>
      </c>
      <c r="BG164" s="62" t="s">
        <v>172</v>
      </c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3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62" t="s">
        <v>815</v>
      </c>
      <c r="BG165" s="62" t="s">
        <v>315</v>
      </c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3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62" t="s">
        <v>816</v>
      </c>
      <c r="BG166" s="62" t="s">
        <v>172</v>
      </c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3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62" t="s">
        <v>817</v>
      </c>
      <c r="BG167" s="62" t="s">
        <v>172</v>
      </c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3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62" t="s">
        <v>818</v>
      </c>
      <c r="BG168" s="62" t="s">
        <v>172</v>
      </c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3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62" t="s">
        <v>819</v>
      </c>
      <c r="BG169" s="62" t="s">
        <v>172</v>
      </c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3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62" t="s">
        <v>820</v>
      </c>
      <c r="BG170" s="62" t="s">
        <v>172</v>
      </c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3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62" t="s">
        <v>821</v>
      </c>
      <c r="BG171" s="62" t="s">
        <v>315</v>
      </c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3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62" t="s">
        <v>822</v>
      </c>
      <c r="BG172" s="62" t="s">
        <v>172</v>
      </c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3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62" t="s">
        <v>823</v>
      </c>
      <c r="BG173" s="62" t="s">
        <v>172</v>
      </c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3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62" t="s">
        <v>824</v>
      </c>
      <c r="BG174" s="62" t="s">
        <v>172</v>
      </c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3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62" t="s">
        <v>825</v>
      </c>
      <c r="BG175" s="62" t="s">
        <v>172</v>
      </c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3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62" t="s">
        <v>826</v>
      </c>
      <c r="BG176" s="62" t="s">
        <v>172</v>
      </c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3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62" t="s">
        <v>827</v>
      </c>
      <c r="BG177" s="62" t="s">
        <v>172</v>
      </c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3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62" t="s">
        <v>828</v>
      </c>
      <c r="BG178" s="62" t="s">
        <v>172</v>
      </c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3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62" t="s">
        <v>829</v>
      </c>
      <c r="BG179" s="62" t="s">
        <v>172</v>
      </c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3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62" t="s">
        <v>830</v>
      </c>
      <c r="BG180" s="62" t="s">
        <v>172</v>
      </c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3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62" t="s">
        <v>831</v>
      </c>
      <c r="BG181" s="62" t="s">
        <v>172</v>
      </c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3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62" t="s">
        <v>832</v>
      </c>
      <c r="BG182" s="62" t="s">
        <v>172</v>
      </c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3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62" t="s">
        <v>833</v>
      </c>
      <c r="BG183" s="62" t="s">
        <v>172</v>
      </c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3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62" t="s">
        <v>834</v>
      </c>
      <c r="BG184" s="62" t="s">
        <v>172</v>
      </c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3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62" t="s">
        <v>835</v>
      </c>
      <c r="BG185" s="62" t="s">
        <v>172</v>
      </c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3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62" t="s">
        <v>836</v>
      </c>
      <c r="BG186" s="62" t="s">
        <v>172</v>
      </c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3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62" t="s">
        <v>837</v>
      </c>
      <c r="BG187" s="62" t="s">
        <v>172</v>
      </c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3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62" t="s">
        <v>838</v>
      </c>
      <c r="BG188" s="62" t="s">
        <v>172</v>
      </c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3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62" t="s">
        <v>839</v>
      </c>
      <c r="BG189" s="62" t="s">
        <v>172</v>
      </c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3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62" t="s">
        <v>840</v>
      </c>
      <c r="BG190" s="62" t="s">
        <v>172</v>
      </c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3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62" t="s">
        <v>841</v>
      </c>
      <c r="BG191" s="62" t="s">
        <v>172</v>
      </c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3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62" t="s">
        <v>842</v>
      </c>
      <c r="BG192" s="62" t="s">
        <v>172</v>
      </c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3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62" t="s">
        <v>843</v>
      </c>
      <c r="BG193" s="62" t="s">
        <v>172</v>
      </c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3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62" t="s">
        <v>844</v>
      </c>
      <c r="BG194" s="62" t="s">
        <v>172</v>
      </c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3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62" t="s">
        <v>845</v>
      </c>
      <c r="BG195" s="62" t="s">
        <v>172</v>
      </c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3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62" t="s">
        <v>846</v>
      </c>
      <c r="BG196" s="62" t="s">
        <v>315</v>
      </c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3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62" t="s">
        <v>847</v>
      </c>
      <c r="BG197" s="62" t="s">
        <v>172</v>
      </c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3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62" t="s">
        <v>848</v>
      </c>
      <c r="BG198" s="62" t="s">
        <v>172</v>
      </c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3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62" t="s">
        <v>849</v>
      </c>
      <c r="BG199" s="62" t="s">
        <v>172</v>
      </c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3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62" t="s">
        <v>850</v>
      </c>
      <c r="BG200" s="62" t="s">
        <v>315</v>
      </c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3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62" t="s">
        <v>851</v>
      </c>
      <c r="BG201" s="62" t="s">
        <v>172</v>
      </c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3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62" t="s">
        <v>852</v>
      </c>
      <c r="BG202" s="62" t="s">
        <v>172</v>
      </c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3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62" t="s">
        <v>853</v>
      </c>
      <c r="BG203" s="62" t="s">
        <v>315</v>
      </c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3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62" t="s">
        <v>854</v>
      </c>
      <c r="BG204" s="62" t="s">
        <v>172</v>
      </c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3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62" t="s">
        <v>855</v>
      </c>
      <c r="BG205" s="62" t="s">
        <v>172</v>
      </c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3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62" t="s">
        <v>856</v>
      </c>
      <c r="BG206" s="62" t="s">
        <v>300</v>
      </c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3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62" t="s">
        <v>857</v>
      </c>
      <c r="BG207" s="62" t="s">
        <v>172</v>
      </c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3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62" t="s">
        <v>858</v>
      </c>
      <c r="BG208" s="62" t="s">
        <v>172</v>
      </c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3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62" t="s">
        <v>859</v>
      </c>
      <c r="BG209" s="62" t="s">
        <v>172</v>
      </c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3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62" t="s">
        <v>860</v>
      </c>
      <c r="BG210" s="62" t="s">
        <v>172</v>
      </c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3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62" t="s">
        <v>861</v>
      </c>
      <c r="BG211" s="62" t="s">
        <v>172</v>
      </c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3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62" t="s">
        <v>862</v>
      </c>
      <c r="BG212" s="62" t="s">
        <v>172</v>
      </c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3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62" t="s">
        <v>863</v>
      </c>
      <c r="BG213" s="62" t="s">
        <v>172</v>
      </c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3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62" t="s">
        <v>864</v>
      </c>
      <c r="BG214" s="62" t="s">
        <v>315</v>
      </c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3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62" t="s">
        <v>865</v>
      </c>
      <c r="BG215" s="62" t="s">
        <v>96</v>
      </c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3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62" t="s">
        <v>866</v>
      </c>
      <c r="BG216" s="62" t="s">
        <v>172</v>
      </c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3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62" t="s">
        <v>867</v>
      </c>
      <c r="BG217" s="62" t="s">
        <v>315</v>
      </c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3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62" t="s">
        <v>868</v>
      </c>
      <c r="BG218" s="62" t="s">
        <v>172</v>
      </c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3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62" t="s">
        <v>869</v>
      </c>
      <c r="BG219" s="62" t="s">
        <v>172</v>
      </c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3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62" t="s">
        <v>870</v>
      </c>
      <c r="BG220" s="62" t="s">
        <v>172</v>
      </c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3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62" t="s">
        <v>871</v>
      </c>
      <c r="BG221" s="62" t="s">
        <v>172</v>
      </c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3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62" t="s">
        <v>872</v>
      </c>
      <c r="BG222" s="62" t="s">
        <v>172</v>
      </c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3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62" t="s">
        <v>873</v>
      </c>
      <c r="BG223" s="62" t="s">
        <v>874</v>
      </c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3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62" t="s">
        <v>875</v>
      </c>
      <c r="BG224" s="62" t="s">
        <v>315</v>
      </c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3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62" t="s">
        <v>876</v>
      </c>
      <c r="BG225" s="62" t="s">
        <v>172</v>
      </c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3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62" t="s">
        <v>877</v>
      </c>
      <c r="BG226" s="62" t="s">
        <v>172</v>
      </c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3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62" t="s">
        <v>878</v>
      </c>
      <c r="BG227" s="62" t="s">
        <v>172</v>
      </c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3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62" t="s">
        <v>879</v>
      </c>
      <c r="BG228" s="62" t="s">
        <v>172</v>
      </c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3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62" t="s">
        <v>880</v>
      </c>
      <c r="BG229" s="62" t="s">
        <v>172</v>
      </c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3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62" t="s">
        <v>881</v>
      </c>
      <c r="BG230" s="62" t="s">
        <v>172</v>
      </c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3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62" t="s">
        <v>882</v>
      </c>
      <c r="BG231" s="62" t="s">
        <v>300</v>
      </c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3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62" t="s">
        <v>883</v>
      </c>
      <c r="BG232" s="62" t="s">
        <v>172</v>
      </c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3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62" t="s">
        <v>884</v>
      </c>
      <c r="BG233" s="62" t="s">
        <v>172</v>
      </c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3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62" t="s">
        <v>885</v>
      </c>
      <c r="BG234" s="62" t="s">
        <v>172</v>
      </c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3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62" t="s">
        <v>886</v>
      </c>
      <c r="BG235" s="62" t="s">
        <v>172</v>
      </c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3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62" t="s">
        <v>887</v>
      </c>
      <c r="BG236" s="62" t="s">
        <v>172</v>
      </c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3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62" t="s">
        <v>888</v>
      </c>
      <c r="BG237" s="62" t="s">
        <v>172</v>
      </c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3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62" t="s">
        <v>889</v>
      </c>
      <c r="BG238" s="62" t="s">
        <v>172</v>
      </c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3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62" t="s">
        <v>890</v>
      </c>
      <c r="BG239" s="62" t="s">
        <v>172</v>
      </c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3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62" t="s">
        <v>891</v>
      </c>
      <c r="BG240" s="62" t="s">
        <v>172</v>
      </c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3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62" t="s">
        <v>892</v>
      </c>
      <c r="BG241" s="62" t="s">
        <v>172</v>
      </c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3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62" t="s">
        <v>893</v>
      </c>
      <c r="BG242" s="62" t="s">
        <v>172</v>
      </c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3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62" t="s">
        <v>894</v>
      </c>
      <c r="BG243" s="62" t="s">
        <v>172</v>
      </c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3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62" t="s">
        <v>895</v>
      </c>
      <c r="BG244" s="62" t="s">
        <v>172</v>
      </c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3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62" t="s">
        <v>896</v>
      </c>
      <c r="BG245" s="62" t="s">
        <v>172</v>
      </c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3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62" t="s">
        <v>897</v>
      </c>
      <c r="BG246" s="62" t="s">
        <v>172</v>
      </c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3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62" t="s">
        <v>898</v>
      </c>
      <c r="BG247" s="62" t="s">
        <v>279</v>
      </c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3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62" t="s">
        <v>899</v>
      </c>
      <c r="BG248" s="62" t="s">
        <v>279</v>
      </c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3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62" t="s">
        <v>900</v>
      </c>
      <c r="BG249" s="62" t="s">
        <v>315</v>
      </c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3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62" t="s">
        <v>901</v>
      </c>
      <c r="BG250" s="62" t="s">
        <v>315</v>
      </c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3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62" t="s">
        <v>902</v>
      </c>
      <c r="BG251" s="62" t="s">
        <v>315</v>
      </c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3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62" t="s">
        <v>903</v>
      </c>
      <c r="BG252" s="62" t="s">
        <v>315</v>
      </c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3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62" t="s">
        <v>904</v>
      </c>
      <c r="BG253" s="62" t="s">
        <v>279</v>
      </c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3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62" t="s">
        <v>905</v>
      </c>
      <c r="BG254" s="62" t="s">
        <v>279</v>
      </c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3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62" t="s">
        <v>906</v>
      </c>
      <c r="BG255" s="62" t="s">
        <v>279</v>
      </c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3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62" t="s">
        <v>907</v>
      </c>
      <c r="BG256" s="62" t="s">
        <v>279</v>
      </c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3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62" t="s">
        <v>908</v>
      </c>
      <c r="BG257" s="62" t="s">
        <v>315</v>
      </c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3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62" t="s">
        <v>909</v>
      </c>
      <c r="BG258" s="62" t="s">
        <v>96</v>
      </c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3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62" t="s">
        <v>910</v>
      </c>
      <c r="BG259" s="62" t="s">
        <v>96</v>
      </c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3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62" t="s">
        <v>911</v>
      </c>
      <c r="BG260" s="62" t="s">
        <v>96</v>
      </c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3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62" t="s">
        <v>912</v>
      </c>
      <c r="BG261" s="62" t="s">
        <v>315</v>
      </c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3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62" t="s">
        <v>913</v>
      </c>
      <c r="BG262" s="62" t="s">
        <v>315</v>
      </c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3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62" t="s">
        <v>914</v>
      </c>
      <c r="BG263" s="62" t="s">
        <v>315</v>
      </c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3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62" t="s">
        <v>915</v>
      </c>
      <c r="BG264" s="62" t="s">
        <v>96</v>
      </c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3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62" t="s">
        <v>916</v>
      </c>
      <c r="BG265" s="62" t="s">
        <v>96</v>
      </c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3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62" t="s">
        <v>917</v>
      </c>
      <c r="BG266" s="62" t="s">
        <v>96</v>
      </c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3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62" t="s">
        <v>918</v>
      </c>
      <c r="BG267" s="62" t="s">
        <v>96</v>
      </c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3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62" t="s">
        <v>919</v>
      </c>
      <c r="BG268" s="62" t="s">
        <v>315</v>
      </c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3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62" t="s">
        <v>920</v>
      </c>
      <c r="BG269" s="62" t="s">
        <v>315</v>
      </c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3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62" t="s">
        <v>921</v>
      </c>
      <c r="BG270" s="62" t="s">
        <v>279</v>
      </c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3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62" t="s">
        <v>922</v>
      </c>
      <c r="BG271" s="62" t="s">
        <v>279</v>
      </c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3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62" t="s">
        <v>923</v>
      </c>
      <c r="BG272" s="62" t="s">
        <v>315</v>
      </c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3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</row>
  </sheetData>
  <mergeCells count="232">
    <mergeCell ref="B2:C2"/>
    <mergeCell ref="E2:F2"/>
    <mergeCell ref="H2:I2"/>
    <mergeCell ref="K2:M2"/>
    <mergeCell ref="O2:P2"/>
    <mergeCell ref="R2:S2"/>
    <mergeCell ref="U2:W2"/>
    <mergeCell ref="Y2:Z2"/>
    <mergeCell ref="AD2:AF2"/>
    <mergeCell ref="AH2:AJ2"/>
    <mergeCell ref="AL2:AN2"/>
    <mergeCell ref="AP2:AQ2"/>
    <mergeCell ref="AS2:AU2"/>
    <mergeCell ref="AW2:AX2"/>
    <mergeCell ref="BC2:BD2"/>
    <mergeCell ref="BI2:BJ2"/>
    <mergeCell ref="BM2:BN2"/>
    <mergeCell ref="BQ2:BR2"/>
    <mergeCell ref="BT2:BU2"/>
    <mergeCell ref="BX2:BY2"/>
    <mergeCell ref="CA2:CB2"/>
    <mergeCell ref="AZ2:BA2"/>
    <mergeCell ref="AZ3:BA3"/>
    <mergeCell ref="BG3:BH3"/>
    <mergeCell ref="AW4:AY4"/>
    <mergeCell ref="BG4:BH4"/>
    <mergeCell ref="AW5:AY5"/>
    <mergeCell ref="BG5:BH5"/>
    <mergeCell ref="AW6:AY6"/>
    <mergeCell ref="AZ7:BA7"/>
    <mergeCell ref="CA7:CB7"/>
    <mergeCell ref="AZ8:BA8"/>
    <mergeCell ref="AZ9:BA9"/>
    <mergeCell ref="BG9:BH9"/>
    <mergeCell ref="AZ10:BA10"/>
    <mergeCell ref="BG10:BH10"/>
    <mergeCell ref="BG11:BI11"/>
    <mergeCell ref="AZ12:BB12"/>
    <mergeCell ref="BG12:BI12"/>
    <mergeCell ref="AZ13:BA13"/>
    <mergeCell ref="BG13:BH13"/>
    <mergeCell ref="CA13:CB13"/>
    <mergeCell ref="AZ20:BA20"/>
    <mergeCell ref="AZ21:BA21"/>
    <mergeCell ref="AZ22:BA22"/>
    <mergeCell ref="BG15:BH15"/>
    <mergeCell ref="BG16:BH16"/>
    <mergeCell ref="AZ17:BA17"/>
    <mergeCell ref="BG17:BH17"/>
    <mergeCell ref="BG18:BI18"/>
    <mergeCell ref="BG19:BI19"/>
    <mergeCell ref="BG20:BI20"/>
    <mergeCell ref="BG21:BI21"/>
    <mergeCell ref="BG22:BI22"/>
    <mergeCell ref="AZ25:BA25"/>
    <mergeCell ref="AZ26:BA26"/>
    <mergeCell ref="AZ27:BA27"/>
    <mergeCell ref="AZ30:BA30"/>
    <mergeCell ref="BG30:BI30"/>
    <mergeCell ref="AZ44:BB44"/>
    <mergeCell ref="BG44:BH44"/>
    <mergeCell ref="AZ45:BA45"/>
    <mergeCell ref="AZ47:BA47"/>
    <mergeCell ref="AZ49:BA49"/>
    <mergeCell ref="AZ32:BA32"/>
    <mergeCell ref="AZ33:BB33"/>
    <mergeCell ref="AZ34:BA34"/>
    <mergeCell ref="AZ35:BB35"/>
    <mergeCell ref="AZ36:BA36"/>
    <mergeCell ref="AZ38:BA38"/>
    <mergeCell ref="AZ39:BA39"/>
    <mergeCell ref="AZ55:BA55"/>
    <mergeCell ref="AZ56:BA56"/>
    <mergeCell ref="AZ64:BA64"/>
    <mergeCell ref="AZ71:BA71"/>
    <mergeCell ref="AZ74:BA74"/>
    <mergeCell ref="AZ76:BA76"/>
    <mergeCell ref="AZ77:BA77"/>
    <mergeCell ref="AZ81:BA81"/>
    <mergeCell ref="BG96:BH96"/>
    <mergeCell ref="BG97:BH97"/>
    <mergeCell ref="BG98:BH98"/>
    <mergeCell ref="BG99:BH99"/>
    <mergeCell ref="BG101:BH101"/>
    <mergeCell ref="BG102:BH102"/>
    <mergeCell ref="BG119:BH119"/>
    <mergeCell ref="BG120:BH120"/>
    <mergeCell ref="BG149:BH149"/>
    <mergeCell ref="BG150:BH150"/>
    <mergeCell ref="BG151:BH151"/>
    <mergeCell ref="BG152:BH152"/>
    <mergeCell ref="BG154:BH154"/>
    <mergeCell ref="BG155:BH155"/>
    <mergeCell ref="BG156:BH156"/>
    <mergeCell ref="BG157:BH157"/>
    <mergeCell ref="BG158:BH158"/>
    <mergeCell ref="BG159:BH159"/>
    <mergeCell ref="BG161:BH161"/>
    <mergeCell ref="BG162:BH162"/>
    <mergeCell ref="BG163:BH163"/>
    <mergeCell ref="BG164:BH164"/>
    <mergeCell ref="BG104:BH104"/>
    <mergeCell ref="BG105:BI105"/>
    <mergeCell ref="BG107:BI107"/>
    <mergeCell ref="BG108:BI108"/>
    <mergeCell ref="BG109:BI109"/>
    <mergeCell ref="BG110:BH110"/>
    <mergeCell ref="BG111:BI111"/>
    <mergeCell ref="BG112:BH112"/>
    <mergeCell ref="BG113:BI113"/>
    <mergeCell ref="BG114:BH114"/>
    <mergeCell ref="BG115:BH115"/>
    <mergeCell ref="BG116:BH116"/>
    <mergeCell ref="BG117:BH117"/>
    <mergeCell ref="BG118:BH118"/>
    <mergeCell ref="BG121:BH121"/>
    <mergeCell ref="BG122:BH122"/>
    <mergeCell ref="BG123:BH123"/>
    <mergeCell ref="BG124:BH124"/>
    <mergeCell ref="BG125:BI125"/>
    <mergeCell ref="BG126:BI126"/>
    <mergeCell ref="BG127:BI127"/>
    <mergeCell ref="BG128:BI128"/>
    <mergeCell ref="BG129:BH129"/>
    <mergeCell ref="BG130:BH130"/>
    <mergeCell ref="BG131:BH131"/>
    <mergeCell ref="BG132:BH132"/>
    <mergeCell ref="BG133:BH133"/>
    <mergeCell ref="BG134:BH134"/>
    <mergeCell ref="BG135:BH135"/>
    <mergeCell ref="BG136:BH136"/>
    <mergeCell ref="BG137:BH137"/>
    <mergeCell ref="BG138:BH138"/>
    <mergeCell ref="BG139:BH139"/>
    <mergeCell ref="BG140:BH140"/>
    <mergeCell ref="BG141:BH141"/>
    <mergeCell ref="BG142:BI142"/>
    <mergeCell ref="BG143:BH143"/>
    <mergeCell ref="BG144:BH144"/>
    <mergeCell ref="BG145:BH145"/>
    <mergeCell ref="BG146:BH146"/>
    <mergeCell ref="BG147:BH147"/>
    <mergeCell ref="BG148:BH148"/>
    <mergeCell ref="BG165:BI165"/>
    <mergeCell ref="BG166:BH166"/>
    <mergeCell ref="BG167:BH167"/>
    <mergeCell ref="BG168:BH168"/>
    <mergeCell ref="BG169:BH169"/>
    <mergeCell ref="BG170:BH170"/>
    <mergeCell ref="BG171:BI171"/>
    <mergeCell ref="BG216:BH216"/>
    <mergeCell ref="BG217:BI217"/>
    <mergeCell ref="BG218:BH218"/>
    <mergeCell ref="BG219:BH219"/>
    <mergeCell ref="BG220:BH220"/>
    <mergeCell ref="BG221:BH221"/>
    <mergeCell ref="BG222:BH222"/>
    <mergeCell ref="BG224:BI224"/>
    <mergeCell ref="BG225:BH225"/>
    <mergeCell ref="BG226:BH226"/>
    <mergeCell ref="BG227:BH227"/>
    <mergeCell ref="BG228:BH228"/>
    <mergeCell ref="BG229:BH229"/>
    <mergeCell ref="BG230:BH230"/>
    <mergeCell ref="BG232:BH232"/>
    <mergeCell ref="BG233:BH233"/>
    <mergeCell ref="BG234:BH234"/>
    <mergeCell ref="BG235:BH235"/>
    <mergeCell ref="BG236:BH236"/>
    <mergeCell ref="BG237:BH237"/>
    <mergeCell ref="BG238:BH238"/>
    <mergeCell ref="BG239:BH239"/>
    <mergeCell ref="BG240:BH240"/>
    <mergeCell ref="BG241:BH241"/>
    <mergeCell ref="BG242:BH242"/>
    <mergeCell ref="BG243:BH243"/>
    <mergeCell ref="BG244:BH244"/>
    <mergeCell ref="BG245:BH245"/>
    <mergeCell ref="BG172:BH172"/>
    <mergeCell ref="BG173:BH173"/>
    <mergeCell ref="BG174:BH174"/>
    <mergeCell ref="BG175:BH175"/>
    <mergeCell ref="BG176:BH176"/>
    <mergeCell ref="BG177:BH177"/>
    <mergeCell ref="BG178:BH178"/>
    <mergeCell ref="BG179:BH179"/>
    <mergeCell ref="BG180:BH180"/>
    <mergeCell ref="BG181:BH181"/>
    <mergeCell ref="BG182:BH182"/>
    <mergeCell ref="BG183:BH183"/>
    <mergeCell ref="BG184:BH184"/>
    <mergeCell ref="BG185:BH185"/>
    <mergeCell ref="BG186:BH186"/>
    <mergeCell ref="BG187:BH187"/>
    <mergeCell ref="BG188:BH188"/>
    <mergeCell ref="BG189:BH189"/>
    <mergeCell ref="BG190:BH190"/>
    <mergeCell ref="BG191:BH191"/>
    <mergeCell ref="BG192:BH192"/>
    <mergeCell ref="BG193:BH193"/>
    <mergeCell ref="BG194:BH194"/>
    <mergeCell ref="BG195:BH195"/>
    <mergeCell ref="BG196:BI196"/>
    <mergeCell ref="BG197:BH197"/>
    <mergeCell ref="BG198:BH198"/>
    <mergeCell ref="BG199:BH199"/>
    <mergeCell ref="BG200:BI200"/>
    <mergeCell ref="BG201:BH201"/>
    <mergeCell ref="BG202:BH202"/>
    <mergeCell ref="BG203:BI203"/>
    <mergeCell ref="BG204:BH204"/>
    <mergeCell ref="BG205:BH205"/>
    <mergeCell ref="BG207:BH207"/>
    <mergeCell ref="BG208:BH208"/>
    <mergeCell ref="BG209:BH209"/>
    <mergeCell ref="BG210:BH210"/>
    <mergeCell ref="BG211:BH211"/>
    <mergeCell ref="BG212:BH212"/>
    <mergeCell ref="BG213:BH213"/>
    <mergeCell ref="BG214:BI214"/>
    <mergeCell ref="BG262:BI262"/>
    <mergeCell ref="BG263:BI263"/>
    <mergeCell ref="BG268:BI268"/>
    <mergeCell ref="BG269:BI269"/>
    <mergeCell ref="BG272:BI272"/>
    <mergeCell ref="BG246:BH246"/>
    <mergeCell ref="BG249:BI249"/>
    <mergeCell ref="BG250:BI250"/>
    <mergeCell ref="BG251:BI251"/>
    <mergeCell ref="BG252:BI252"/>
    <mergeCell ref="BG257:BI257"/>
    <mergeCell ref="BG261:BI261"/>
  </mergeCells>
  <hyperlinks>
    <hyperlink r:id="rId1" ref="AZ12"/>
  </hyperlinks>
  <drawing r:id="rId2"/>
</worksheet>
</file>