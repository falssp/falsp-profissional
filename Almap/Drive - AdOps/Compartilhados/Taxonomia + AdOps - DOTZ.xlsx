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 Name" sheetId="1" r:id="rId4"/>
    <sheet state="visible" name="ADSET Name" sheetId="2" r:id="rId5"/>
    <sheet state="visible" name="Placement (DCM)" sheetId="3" r:id="rId6"/>
    <sheet state="visible" name="Creative Name" sheetId="4" r:id="rId7"/>
    <sheet state="hidden" name="Bruna Editing - Creative Name" sheetId="5" r:id="rId8"/>
    <sheet state="visible" name="AdOps" sheetId="6" r:id="rId9"/>
    <sheet state="visible" name="Dictionary" sheetId="7" r:id="rId10"/>
  </sheets>
  <definedNames>
    <definedName hidden="1" localSheetId="5" name="_xlnm._FilterDatabase">AdOps!$A$8:$N$138</definedName>
    <definedName hidden="1" localSheetId="3" name="Z_C64F0674_7985_47AF_A24A_BAAE135F2194_.wvu.FilterData">'Creative Name'!$A$2:$H$2</definedName>
    <definedName hidden="1" localSheetId="5" name="Z_C64F0674_7985_47AF_A24A_BAAE135F2194_.wvu.FilterData">AdOps!$A$8:$N$8</definedName>
  </definedNames>
  <calcPr/>
  <customWorkbookViews>
    <customWorkbookView activeSheetId="0" maximized="1" tabRatio="600" windowHeight="0" windowWidth="0" guid="{C64F0674-7985-47AF-A24A-BAAE135F2194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">
      <text>
        <t xml:space="preserve">Não entra na Taxonomia. Apenas controle para campanha</t>
      </text>
    </comment>
    <comment authorId="0" ref="D2">
      <text>
        <t xml:space="preserve">Campanhas com MERCHANT </t>
      </text>
    </comment>
    <comment authorId="0" ref="G2">
      <text>
        <t xml:space="preserve">Apenas se VISA patrocinar alguma coisa, se não N/A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">
      <text>
        <t xml:space="preserve">Não entra na Taxonomia. Apenas controle para ad set</t>
      </text>
    </comment>
    <comment authorId="0" ref="F2">
      <text>
        <t xml:space="preserve">Facebook: SOCIAL POSTS
</t>
      </text>
    </comment>
    <comment authorId="0" ref="L2">
      <text>
        <t xml:space="preserve">Preencher com NONE</t>
      </text>
    </comment>
    <comment authorId="0" ref="M2">
      <text>
        <t xml:space="preserve">Facebook, Youtube: Site-Served w/DCM Tracking
Verizon, DV360: DCM
Google Ads: Adwords</t>
      </text>
    </comment>
    <comment authorId="0" ref="N2">
      <text>
        <t xml:space="preserve">Youtube: Network
Verizon: Owned &amp; Operated
Facebook: Social
DV360 Leilão: Programmatic Open Exchange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">
      <text>
        <t xml:space="preserve">Não vai para a Taxonomia apenas para controle interno</t>
      </text>
    </comment>
    <comment authorId="0" ref="I2">
      <text>
        <t xml:space="preserve">Preencher como NONE.</t>
      </text>
    </comment>
    <comment authorId="0" ref="J2">
      <text>
        <t xml:space="preserve">Preencher como NONE.</t>
      </text>
    </comment>
    <comment authorId="0" ref="K2">
      <text>
        <t xml:space="preserve">Não Preencher</t>
      </text>
    </comment>
    <comment authorId="0" ref="M2">
      <text>
        <t xml:space="preserve">Facebook, Youtube: Site-Served w/DCM Tracking
Verizon, DV360: DCM
Google Ads: Adwords</t>
      </text>
    </comment>
    <comment authorId="0" ref="N2">
      <text>
        <t xml:space="preserve">Youtube: Network
Verizon: Owned &amp; Operated
Facebook: Social
DV360 Leilão: Programmatic Open Exchange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">
      <text>
        <t xml:space="preserve">Não vai para a Taxonomia e não necessário preencher apenas para controle interno
</t>
      </text>
    </comment>
    <comment authorId="0" ref="C2">
      <text>
        <t xml:space="preserve">Se FB, Size do Criativo ex. FB Linkad: 1080x1080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8">
      <text>
        <t xml:space="preserve">Data final da campanha dentro do FY</t>
      </text>
    </comment>
  </commentList>
</comments>
</file>

<file path=xl/sharedStrings.xml><?xml version="1.0" encoding="utf-8"?>
<sst xmlns="http://schemas.openxmlformats.org/spreadsheetml/2006/main" count="10392" uniqueCount="5390">
  <si>
    <t>Mandatory Fields</t>
  </si>
  <si>
    <t>Optional</t>
  </si>
  <si>
    <t>CAMPAIGN NAME</t>
  </si>
  <si>
    <t>ID</t>
  </si>
  <si>
    <t>Country (List)</t>
  </si>
  <si>
    <t>Campaign Name Description (FF)</t>
  </si>
  <si>
    <t>Merchant Code (List)</t>
  </si>
  <si>
    <t>Date (List)</t>
  </si>
  <si>
    <t>PO# (FF)</t>
  </si>
  <si>
    <t>Sponsorship</t>
  </si>
  <si>
    <t>Activity</t>
  </si>
  <si>
    <t>Campaign Objective (List)</t>
  </si>
  <si>
    <t>U1</t>
  </si>
  <si>
    <t>U2</t>
  </si>
  <si>
    <t>U3</t>
  </si>
  <si>
    <t>Brazil</t>
  </si>
  <si>
    <t>DOTZ</t>
  </si>
  <si>
    <t>None</t>
  </si>
  <si>
    <t>20Q1</t>
  </si>
  <si>
    <t>N/A</t>
  </si>
  <si>
    <t>Client Marketing</t>
  </si>
  <si>
    <t>Consideration</t>
  </si>
  <si>
    <t>20Q1Q4</t>
  </si>
  <si>
    <t>20Q2Q4</t>
  </si>
  <si>
    <t>Acquisition</t>
  </si>
  <si>
    <t>FWWC</t>
  </si>
  <si>
    <t>19Q1Q4</t>
  </si>
  <si>
    <t>NONE</t>
  </si>
  <si>
    <t>Cash Conversion</t>
  </si>
  <si>
    <t>Optional Fields</t>
  </si>
  <si>
    <t>Media Channel</t>
  </si>
  <si>
    <t>Device(List)</t>
  </si>
  <si>
    <t>Publisher(List)</t>
  </si>
  <si>
    <t>Placement Type(List)</t>
  </si>
  <si>
    <t>Placement Rate Type(List)</t>
  </si>
  <si>
    <t>Placement Description(FF)</t>
  </si>
  <si>
    <t>Primary Target (List)</t>
  </si>
  <si>
    <t>Secondary Target (List)</t>
  </si>
  <si>
    <t>Target Description (FF)</t>
  </si>
  <si>
    <t>Placement Execution Size(List)</t>
  </si>
  <si>
    <t>Serving Method (List)</t>
  </si>
  <si>
    <t>Inventory Type (List)</t>
  </si>
  <si>
    <t>SEM</t>
  </si>
  <si>
    <t>Cross Device/ Screen</t>
  </si>
  <si>
    <t>Google Adwords Search</t>
  </si>
  <si>
    <t>TEXT UNIT</t>
  </si>
  <si>
    <t>Cost per Click</t>
  </si>
  <si>
    <t>DOTZ-BENEFICIOS</t>
  </si>
  <si>
    <t>Text</t>
  </si>
  <si>
    <t>Adwords</t>
  </si>
  <si>
    <t>Search</t>
  </si>
  <si>
    <t>Paid Social Display</t>
  </si>
  <si>
    <t>Facebook</t>
  </si>
  <si>
    <t>SOCIAL POSTS</t>
  </si>
  <si>
    <t>Cost per Acquisition</t>
  </si>
  <si>
    <t>Contextual</t>
  </si>
  <si>
    <t>Behavioral</t>
  </si>
  <si>
    <t>VIAGENS</t>
  </si>
  <si>
    <t>1X1</t>
  </si>
  <si>
    <t>Site-Served w/ DCM Tracking</t>
  </si>
  <si>
    <t>Social</t>
  </si>
  <si>
    <t>Programmatic Display</t>
  </si>
  <si>
    <t>Google DV360</t>
  </si>
  <si>
    <t>Banner</t>
  </si>
  <si>
    <t>DCM Ad Served</t>
  </si>
  <si>
    <t>Programmatic Open Exchange</t>
  </si>
  <si>
    <t>FINANCE</t>
  </si>
  <si>
    <t>SHOPPERS</t>
  </si>
  <si>
    <t>Mobile Web + In-App</t>
  </si>
  <si>
    <t>Verizon</t>
  </si>
  <si>
    <t>Native Display</t>
  </si>
  <si>
    <t>Cost per Thousand</t>
  </si>
  <si>
    <t>DOTZ-10MIL</t>
  </si>
  <si>
    <t>627x627</t>
  </si>
  <si>
    <t>Owned &amp; Operated</t>
  </si>
  <si>
    <t>DOTZ-TAXA-ZERO</t>
  </si>
  <si>
    <t>Link Ad</t>
  </si>
  <si>
    <t>DOTZ-10MIL-AZUL</t>
  </si>
  <si>
    <t>DOTZ-10MIL-AZUL-QUAD</t>
  </si>
  <si>
    <t>GIF</t>
  </si>
  <si>
    <t>Carousel</t>
  </si>
  <si>
    <t>Stories</t>
  </si>
  <si>
    <t>DOTZ-10MIL-AZUL-CAR</t>
  </si>
  <si>
    <t>DOTZ-ZERO-ANUIDADE-AZUL</t>
  </si>
  <si>
    <t>DOTZ-ZERO-ANUIDADE-AZUL-QUAD</t>
  </si>
  <si>
    <t>DOTZ-ZERO-ANUIDADE-AZUL-CAR</t>
  </si>
  <si>
    <t>DOTZ-TODOS-BENEFICIOS-AZUL</t>
  </si>
  <si>
    <t>DOTZ-TODOS-BENEFICIOS-AZUL-QUAD</t>
  </si>
  <si>
    <t>DOTZ-TODOS-BENEFICIOS-AZUL-CAR</t>
  </si>
  <si>
    <t>DOTZ-10MIL-AMARELO</t>
  </si>
  <si>
    <t>DOTZ-10MIL-AMARELO-QUAD</t>
  </si>
  <si>
    <t>DOTZ-10MIL-AMARELO-CAR</t>
  </si>
  <si>
    <t>DOTZ-ZERO-ANUIDADE-AMARELO</t>
  </si>
  <si>
    <t>DOTZ-ZERO-ANUIDADE-AMARELO-QUAD</t>
  </si>
  <si>
    <t>DOTZ-ZERO-ANUIDADE-AMARELO-CAR</t>
  </si>
  <si>
    <t>DOTZ-TODOS-BENEFICIOS-AMARELO</t>
  </si>
  <si>
    <t>DOTZ-TODOS-BENEFICIOS-AMARELO-QUAD</t>
  </si>
  <si>
    <t>DOTZ-TODOS-BENEFICIOS-AMARELO-CAR</t>
  </si>
  <si>
    <t>DOTZ-CONVERSAO-AMARELO</t>
  </si>
  <si>
    <t>DOTZ-CONVERSAO-AMARELO-QUAD</t>
  </si>
  <si>
    <t>DOTZ-CONVERSAO-AMARELO-CAR</t>
  </si>
  <si>
    <t>ESTATICO</t>
  </si>
  <si>
    <t>120x600</t>
  </si>
  <si>
    <t>160x600</t>
  </si>
  <si>
    <t>300x250</t>
  </si>
  <si>
    <t>300x600</t>
  </si>
  <si>
    <t>Programmatic Mobile Display</t>
  </si>
  <si>
    <t>320x50</t>
  </si>
  <si>
    <t>320x100</t>
  </si>
  <si>
    <t>728x90</t>
  </si>
  <si>
    <t>DOTZ-10MIL-HUMANIZADO</t>
  </si>
  <si>
    <t>DOTZ-ZERO-ANUIDADE-HUMANIZADO</t>
  </si>
  <si>
    <t>DOTZ-ZERO-CONVERSAO-AZUL</t>
  </si>
  <si>
    <t>1200x627</t>
  </si>
  <si>
    <t>DOTZ-DOLAR</t>
  </si>
  <si>
    <t>CRIATIVE NAME</t>
  </si>
  <si>
    <t>Creative Name (FF)</t>
  </si>
  <si>
    <t>Creative Exec(List)</t>
  </si>
  <si>
    <t>Creative Asset Type(List)</t>
  </si>
  <si>
    <t>Native</t>
  </si>
  <si>
    <t>FB Link Ad</t>
  </si>
  <si>
    <t>FB Gif</t>
  </si>
  <si>
    <t>FB Carousel</t>
  </si>
  <si>
    <t>IG Story</t>
  </si>
  <si>
    <t>Creative asset built in HTML5</t>
  </si>
  <si>
    <t>VDV-MERCHANT-DECOLAR-15OFF</t>
  </si>
  <si>
    <t>FAMILIA-TRAPICHE</t>
  </si>
  <si>
    <t>VDV-MERCHANT-GOL-REDES-SOCIAIS</t>
  </si>
  <si>
    <t>VDV-MERCHANT-GOL</t>
  </si>
  <si>
    <t>Banner Static (JPG/GIF)</t>
  </si>
  <si>
    <t>VERIZON</t>
  </si>
  <si>
    <t>VDV-MERCHANT-NATURA</t>
  </si>
  <si>
    <t>ADSMOVIL</t>
  </si>
  <si>
    <t>PREDIOS</t>
  </si>
  <si>
    <t>CAMPO</t>
  </si>
  <si>
    <t>MAR</t>
  </si>
  <si>
    <t>VDV-PROMONACIONAL</t>
  </si>
  <si>
    <t>AMARELO</t>
  </si>
  <si>
    <t>VDV-MOVIDA</t>
  </si>
  <si>
    <t>OFERTAEDUCACIONAL</t>
  </si>
  <si>
    <t>PAGUECOMVISA</t>
  </si>
  <si>
    <t>PARTICIPE</t>
  </si>
  <si>
    <t>CADASTRE-SE</t>
  </si>
  <si>
    <t>VDV-MERCHANT-NETSHOES</t>
  </si>
  <si>
    <t>Video :6</t>
  </si>
  <si>
    <t>Youtube non-skippable</t>
  </si>
  <si>
    <t>BUMPER-AD</t>
  </si>
  <si>
    <t>PRAIA-PARTICIPE</t>
  </si>
  <si>
    <t>CAMPING-CADASTRE-SE</t>
  </si>
  <si>
    <t>PRAIA</t>
  </si>
  <si>
    <t>VDV-MERCHANT-MOVIDA-20OFF</t>
  </si>
  <si>
    <t>QUADRADO</t>
  </si>
  <si>
    <t>RETANGULAR</t>
  </si>
  <si>
    <t>Video</t>
  </si>
  <si>
    <t>Video General</t>
  </si>
  <si>
    <t>PRAIA-KV-FERIAS</t>
  </si>
  <si>
    <t>VDV-EDUCACIONAL</t>
  </si>
  <si>
    <t>DESCONTO</t>
  </si>
  <si>
    <t>VIAGEM-OFERTA</t>
  </si>
  <si>
    <t>CREDITO</t>
  </si>
  <si>
    <t>DV360</t>
  </si>
  <si>
    <t>VDV-MERCHANT-RAPPI</t>
  </si>
  <si>
    <t>VERDE</t>
  </si>
  <si>
    <t>970x250</t>
  </si>
  <si>
    <t>DEBITO-COMPRAS-MOBILE</t>
  </si>
  <si>
    <t>DEBITO</t>
  </si>
  <si>
    <t>LARANJA</t>
  </si>
  <si>
    <t>VDV-MERCHANT-CAMICADO-10OFF</t>
  </si>
  <si>
    <t>VDV-MERCHANT-NETSHOES-20OFF</t>
  </si>
  <si>
    <t>VCO-MERCHANT-GPA</t>
  </si>
  <si>
    <t>FRETEGRATIS</t>
  </si>
  <si>
    <t>DIADOSPAIS</t>
  </si>
  <si>
    <t>VDV-MERCHANT-NETSHOES-15OFF</t>
  </si>
  <si>
    <t>PARTICIPE-PAGUECOMVISA</t>
  </si>
  <si>
    <t>VCO-MERCHANT-GOL</t>
  </si>
  <si>
    <t>WIFI</t>
  </si>
  <si>
    <t>VDV-MERCHANT-DECOLAR</t>
  </si>
  <si>
    <t>PREDIO</t>
  </si>
  <si>
    <t>GANHADORES</t>
  </si>
  <si>
    <t>MONTANHA</t>
  </si>
  <si>
    <t>KV-AMARELO</t>
  </si>
  <si>
    <t>FEMININO</t>
  </si>
  <si>
    <t>VDV-MERCHANT-RENNER</t>
  </si>
  <si>
    <t>5FRAMES-HOMEMEMULHER-MENSAGEM-ANTECIPADA</t>
  </si>
  <si>
    <t>PAIEFILHA</t>
  </si>
  <si>
    <t>VDV-MERCHANT-ZATTINI-15OFF</t>
  </si>
  <si>
    <t>KVAMARELO</t>
  </si>
  <si>
    <t>TESTE-DSP</t>
  </si>
  <si>
    <t>OPORTUNIDADE-PISCINA</t>
  </si>
  <si>
    <t>CHANCECHANCE-FUTEBOL</t>
  </si>
  <si>
    <t>CHANCECHANCE-BASQUETE</t>
  </si>
  <si>
    <t>CHANCECHANCE-BOCEJO</t>
  </si>
  <si>
    <t>CHANCECHANCE-VOZDEBEBE</t>
  </si>
  <si>
    <t>CHANCECHANCE</t>
  </si>
  <si>
    <t>VERTICAL</t>
  </si>
  <si>
    <t>HORIZONTAL</t>
  </si>
  <si>
    <t>Video:32</t>
  </si>
  <si>
    <t>YOUTUBE</t>
  </si>
  <si>
    <t>SEMANA-DO-BRASIL</t>
  </si>
  <si>
    <t>CHANCECHANCE-BASEVDV-FUTEBOL</t>
  </si>
  <si>
    <t>CHANCECHANCE-BASEVDV</t>
  </si>
  <si>
    <t>CHANCECHANCE-BASEVDV-VOZDEBEBE</t>
  </si>
  <si>
    <t>CHANCECHANCE-BASEVDV-BOCEJO</t>
  </si>
  <si>
    <t>CHANCECHANCE-BASEVDV-BASQUETE</t>
  </si>
  <si>
    <t>720x1280</t>
  </si>
  <si>
    <t>DEBITO-INVADINDO-TIMELINE-CAFE</t>
  </si>
  <si>
    <t>DEBITO-INVADINDO-TIMELINE-DOCE</t>
  </si>
  <si>
    <t>DEBITO-EXPECTATIVA-REALIDADE</t>
  </si>
  <si>
    <t>IQ360</t>
  </si>
  <si>
    <t>ADESAO</t>
  </si>
  <si>
    <t>VDV-MERCHANT-DECOLAR-25OFF</t>
  </si>
  <si>
    <t>GANHADORES-ATUALIZADO-SETEMBRO</t>
  </si>
  <si>
    <t>Legenda das cores</t>
  </si>
  <si>
    <t>Automático</t>
  </si>
  <si>
    <t>Preenchido pela Mídia</t>
  </si>
  <si>
    <t>Cliente:</t>
  </si>
  <si>
    <t>Visa</t>
  </si>
  <si>
    <t>Preenchido pela opec</t>
  </si>
  <si>
    <t>Advertiser</t>
  </si>
  <si>
    <t>VISA_BR_Brand/Other_BBDO</t>
  </si>
  <si>
    <t>Campanha:</t>
  </si>
  <si>
    <t>MK|BR_CN|DOTZ_MN|NONE_YQ|20Q1Q4_CP|5020004460_SP|NA_AC|CMKT</t>
  </si>
  <si>
    <t>Ação</t>
  </si>
  <si>
    <t>Status AdOps</t>
  </si>
  <si>
    <t>Data</t>
  </si>
  <si>
    <t>Data Final</t>
  </si>
  <si>
    <t>Servido por</t>
  </si>
  <si>
    <t>Status Mídia Visa</t>
  </si>
  <si>
    <t>Advertiser/Veículo</t>
  </si>
  <si>
    <t>Tipo de compra</t>
  </si>
  <si>
    <t>Creative Size</t>
  </si>
  <si>
    <t>Placement</t>
  </si>
  <si>
    <t>Creative</t>
  </si>
  <si>
    <t>Creative p/ renomear</t>
  </si>
  <si>
    <t>URL</t>
  </si>
  <si>
    <t>URL Final Parametrizada</t>
  </si>
  <si>
    <t>Manter/No Ar</t>
  </si>
  <si>
    <t>Criado 13/12</t>
  </si>
  <si>
    <t>portal</t>
  </si>
  <si>
    <t>CPM</t>
  </si>
  <si>
    <t>https://cartaodotz.dotz.com.br/</t>
  </si>
  <si>
    <t>Enviado 09/03 | Atualizado 29/05 | Atualizado 28/10</t>
  </si>
  <si>
    <t>FACEBOOK</t>
  </si>
  <si>
    <t>https://cartaodotz.dotz.com.br/dotz-bb</t>
  </si>
  <si>
    <t>Criado 10/03 | Atualizado 29/05 | Atualizado 28/10</t>
  </si>
  <si>
    <t>Enviado 13/03 | Atualizado 29/05 | Atualizado 28/10</t>
  </si>
  <si>
    <t>13/03/2020</t>
  </si>
  <si>
    <t>Criado 19/03 | Atualizado 29/05 | Atualizado 28/10</t>
  </si>
  <si>
    <t>19/03/2020</t>
  </si>
  <si>
    <t>adserver</t>
  </si>
  <si>
    <t>CPC</t>
  </si>
  <si>
    <t>Enviado 02/06 | Atualizado 28/10</t>
  </si>
  <si>
    <t>Country</t>
  </si>
  <si>
    <t>Merchant Code</t>
  </si>
  <si>
    <t>Publisher</t>
  </si>
  <si>
    <t>Primary Target</t>
  </si>
  <si>
    <t>Secondary Target</t>
  </si>
  <si>
    <t>Device</t>
  </si>
  <si>
    <t>Placement Type</t>
  </si>
  <si>
    <t>Placement Rate Type</t>
  </si>
  <si>
    <t>Placement Execution Size</t>
  </si>
  <si>
    <t>Ad Serving Method</t>
  </si>
  <si>
    <t>Creative Asset</t>
  </si>
  <si>
    <t>TAG TYPE</t>
  </si>
  <si>
    <t>VENDOR TAG</t>
  </si>
  <si>
    <t>FIRING RULE</t>
  </si>
  <si>
    <t>Offer type</t>
  </si>
  <si>
    <t>Date</t>
  </si>
  <si>
    <t>Campaign Objective*</t>
  </si>
  <si>
    <t>Media Channel*</t>
  </si>
  <si>
    <t>Inventory (Distribution) Type*</t>
  </si>
  <si>
    <t>MK~</t>
  </si>
  <si>
    <t>MN~</t>
  </si>
  <si>
    <t>PB~</t>
  </si>
  <si>
    <t>TG~</t>
  </si>
  <si>
    <t>ST~</t>
  </si>
  <si>
    <t>DT~</t>
  </si>
  <si>
    <t>FM~</t>
  </si>
  <si>
    <t>RT~</t>
  </si>
  <si>
    <t>Creative Size- CS~
 Placement Size- SZ~</t>
  </si>
  <si>
    <t>AD~</t>
  </si>
  <si>
    <t>CT~</t>
  </si>
  <si>
    <t>TT~</t>
  </si>
  <si>
    <t>VT~</t>
  </si>
  <si>
    <t>FR~</t>
  </si>
  <si>
    <t>OT~</t>
  </si>
  <si>
    <t>YQ~</t>
  </si>
  <si>
    <t>OB~</t>
  </si>
  <si>
    <t>CH~</t>
  </si>
  <si>
    <t>SP~</t>
  </si>
  <si>
    <t>AC~</t>
  </si>
  <si>
    <t>IT~</t>
  </si>
  <si>
    <t>Description</t>
  </si>
  <si>
    <t>Code</t>
  </si>
  <si>
    <t>Comments</t>
  </si>
  <si>
    <t>Code (3 digits)</t>
  </si>
  <si>
    <t>Code (4 digits)</t>
  </si>
  <si>
    <t>Code option</t>
  </si>
  <si>
    <t>BR</t>
  </si>
  <si>
    <t>1-800 Flowers</t>
  </si>
  <si>
    <t>FLO</t>
  </si>
  <si>
    <t>20Minuten</t>
  </si>
  <si>
    <t>20MI</t>
  </si>
  <si>
    <t>BHV</t>
  </si>
  <si>
    <t>Connected TV</t>
  </si>
  <si>
    <t>CTV</t>
  </si>
  <si>
    <t>1x1 Tracking</t>
  </si>
  <si>
    <t>1x1</t>
  </si>
  <si>
    <t>Added Value</t>
  </si>
  <si>
    <t>ADV</t>
  </si>
  <si>
    <t>3rd party served w/ DCM tracking</t>
  </si>
  <si>
    <t>3PCM1</t>
  </si>
  <si>
    <t>BAN</t>
  </si>
  <si>
    <t>Ad Server</t>
  </si>
  <si>
    <t>AS</t>
  </si>
  <si>
    <t>AdAdvisor</t>
  </si>
  <si>
    <t>ADA</t>
  </si>
  <si>
    <t>Action</t>
  </si>
  <si>
    <t>ACT</t>
  </si>
  <si>
    <t>BOGO</t>
  </si>
  <si>
    <t>ACQ</t>
  </si>
  <si>
    <t>Digital Audio</t>
  </si>
  <si>
    <t>DAUD</t>
  </si>
  <si>
    <t>AFC FIFA Regional</t>
  </si>
  <si>
    <t>AFIFA</t>
  </si>
  <si>
    <t>Acceptance</t>
  </si>
  <si>
    <t>ACCP</t>
  </si>
  <si>
    <t>Network</t>
  </si>
  <si>
    <t>NE</t>
  </si>
  <si>
    <t>APAC</t>
  </si>
  <si>
    <t>AP</t>
  </si>
  <si>
    <t>7 ELEVEN</t>
  </si>
  <si>
    <t>NA_USA</t>
  </si>
  <si>
    <t>24chasa.bg</t>
  </si>
  <si>
    <t>24CH</t>
  </si>
  <si>
    <t>Conquesting</t>
  </si>
  <si>
    <t>CQT</t>
  </si>
  <si>
    <t>CROSS</t>
  </si>
  <si>
    <t>Audience Network</t>
  </si>
  <si>
    <t>AUNE</t>
  </si>
  <si>
    <t>CPA</t>
  </si>
  <si>
    <t>ADW</t>
  </si>
  <si>
    <t>Companion Banner</t>
  </si>
  <si>
    <t>CB</t>
  </si>
  <si>
    <t>Audience Data</t>
  </si>
  <si>
    <t>AD</t>
  </si>
  <si>
    <t>Admixer</t>
  </si>
  <si>
    <t>ADM</t>
  </si>
  <si>
    <t>Click</t>
  </si>
  <si>
    <t>CLK</t>
  </si>
  <si>
    <t>BONUS</t>
  </si>
  <si>
    <t>20Q1Q2</t>
  </si>
  <si>
    <t>Awareness</t>
  </si>
  <si>
    <t>AWA</t>
  </si>
  <si>
    <t>Digital Display</t>
  </si>
  <si>
    <t>DDSP</t>
  </si>
  <si>
    <t>CAF FIFA Regional</t>
  </si>
  <si>
    <t>CFIFA</t>
  </si>
  <si>
    <t>Affluent</t>
  </si>
  <si>
    <t>AFF</t>
  </si>
  <si>
    <t>OO</t>
  </si>
  <si>
    <t>Argentina</t>
  </si>
  <si>
    <t>AR</t>
  </si>
  <si>
    <t>APAC_Singapore</t>
  </si>
  <si>
    <t>24H</t>
  </si>
  <si>
    <t>CON</t>
  </si>
  <si>
    <t>Desktop</t>
  </si>
  <si>
    <t>DT</t>
  </si>
  <si>
    <t>Audio</t>
  </si>
  <si>
    <t>ABAN</t>
  </si>
  <si>
    <t>200x200</t>
  </si>
  <si>
    <t>CM</t>
  </si>
  <si>
    <t>HTML5</t>
  </si>
  <si>
    <t>Creative asset built in HTML5 and will be uploaded directly to DCM and was not built in DoubleClick Studio</t>
  </si>
  <si>
    <t>Chat</t>
  </si>
  <si>
    <t>CHAT</t>
  </si>
  <si>
    <t>Adobe Analytics</t>
  </si>
  <si>
    <t>AA</t>
  </si>
  <si>
    <t>Page Load</t>
  </si>
  <si>
    <t>PL</t>
  </si>
  <si>
    <t>CASHBACK</t>
  </si>
  <si>
    <t>20Q1Q3</t>
  </si>
  <si>
    <t>Digital Non-Media</t>
  </si>
  <si>
    <t>DNM</t>
  </si>
  <si>
    <t>CONCACAF FIFA Regional</t>
  </si>
  <si>
    <t>CCFIFA</t>
  </si>
  <si>
    <t>Brand Development</t>
  </si>
  <si>
    <t>BRDE</t>
  </si>
  <si>
    <t>Programmatic Guaranteed</t>
  </si>
  <si>
    <t>PG</t>
  </si>
  <si>
    <t>Australia</t>
  </si>
  <si>
    <t>AU</t>
  </si>
  <si>
    <t>99 Taxi</t>
  </si>
  <si>
    <t>99T</t>
  </si>
  <si>
    <t>LATAM_Brazil</t>
  </si>
  <si>
    <t>24ur</t>
  </si>
  <si>
    <t>24UR</t>
  </si>
  <si>
    <t>Day Parting</t>
  </si>
  <si>
    <t>DAY</t>
  </si>
  <si>
    <t>Digital Out of Home</t>
  </si>
  <si>
    <t>DOH</t>
  </si>
  <si>
    <t>Cost per Completed View</t>
  </si>
  <si>
    <t>CPCV</t>
  </si>
  <si>
    <t>250x250</t>
  </si>
  <si>
    <t>DCM-Flashtalking</t>
  </si>
  <si>
    <t>CMFL</t>
  </si>
  <si>
    <t>Creative-Global</t>
  </si>
  <si>
    <t>CRTGLOB</t>
  </si>
  <si>
    <t>DMP</t>
  </si>
  <si>
    <t>AdRiver Conversion</t>
  </si>
  <si>
    <t>ARC</t>
  </si>
  <si>
    <t>DOLLAROFF</t>
  </si>
  <si>
    <t>Brand Perception</t>
  </si>
  <si>
    <t>BP</t>
  </si>
  <si>
    <t>Digital OOH</t>
  </si>
  <si>
    <t>DOOH</t>
  </si>
  <si>
    <t>CONMEBOL FIFA Regional</t>
  </si>
  <si>
    <t>CMFIFA</t>
  </si>
  <si>
    <t>CC</t>
  </si>
  <si>
    <t>POE</t>
  </si>
  <si>
    <t>Austria</t>
  </si>
  <si>
    <t>AT</t>
  </si>
  <si>
    <t>AAA</t>
  </si>
  <si>
    <t>3W Regie</t>
  </si>
  <si>
    <t>3WRE</t>
  </si>
  <si>
    <t>Demographic</t>
  </si>
  <si>
    <t>DEM</t>
  </si>
  <si>
    <t>Mobile In-App</t>
  </si>
  <si>
    <t>MIA</t>
  </si>
  <si>
    <t>Bumper Ads</t>
  </si>
  <si>
    <t>BMPR</t>
  </si>
  <si>
    <t>Cost per Engagement</t>
  </si>
  <si>
    <t>CPE</t>
  </si>
  <si>
    <t>CM1</t>
  </si>
  <si>
    <t>Creative-Local</t>
  </si>
  <si>
    <t>CRTLOCAL</t>
  </si>
  <si>
    <t>DSP</t>
  </si>
  <si>
    <t>Adwords Conversion</t>
  </si>
  <si>
    <t>ADC</t>
  </si>
  <si>
    <t>DONATION</t>
  </si>
  <si>
    <t>20Q2</t>
  </si>
  <si>
    <t>Engagement</t>
  </si>
  <si>
    <t>ENGAGE</t>
  </si>
  <si>
    <t>Mobile Display</t>
  </si>
  <si>
    <t>MDSP</t>
  </si>
  <si>
    <t>FIFA</t>
  </si>
  <si>
    <t>Category Leadership</t>
  </si>
  <si>
    <t>CALE</t>
  </si>
  <si>
    <t>Programmatic Preferred Deals</t>
  </si>
  <si>
    <t>PPD</t>
  </si>
  <si>
    <t>Bangladesh</t>
  </si>
  <si>
    <t>BD</t>
  </si>
  <si>
    <t>AAFES</t>
  </si>
  <si>
    <t>AAF</t>
  </si>
  <si>
    <t>4OD</t>
  </si>
  <si>
    <t>Geographic</t>
  </si>
  <si>
    <t>GEO</t>
  </si>
  <si>
    <t>Mobile Web</t>
  </si>
  <si>
    <t>MW</t>
  </si>
  <si>
    <t>CAR</t>
  </si>
  <si>
    <t>Cost per Lead</t>
  </si>
  <si>
    <t>CPL</t>
  </si>
  <si>
    <t>Site-Served w/ NO Ad Server Tracking</t>
  </si>
  <si>
    <t>SS</t>
  </si>
  <si>
    <t>Custom</t>
  </si>
  <si>
    <t>MVT</t>
  </si>
  <si>
    <t>Adwords Remarketing</t>
  </si>
  <si>
    <t>ADR</t>
  </si>
  <si>
    <t>FREEITEM</t>
  </si>
  <si>
    <t>20Q2Q3</t>
  </si>
  <si>
    <t>Filtering</t>
  </si>
  <si>
    <t>FLT</t>
  </si>
  <si>
    <t>Mobile Video</t>
  </si>
  <si>
    <t>MV</t>
  </si>
  <si>
    <t>Hudson Yard</t>
  </si>
  <si>
    <t>HY</t>
  </si>
  <si>
    <t>Client Co-Marketing</t>
  </si>
  <si>
    <t>CLCM</t>
  </si>
  <si>
    <t>Programmatic Private Auction</t>
  </si>
  <si>
    <t>PPA</t>
  </si>
  <si>
    <t>Belarus</t>
  </si>
  <si>
    <t>BY</t>
  </si>
  <si>
    <t>AARP</t>
  </si>
  <si>
    <t>AAR</t>
  </si>
  <si>
    <t>ABI Media</t>
  </si>
  <si>
    <t>ABIM</t>
  </si>
  <si>
    <t>Poland</t>
  </si>
  <si>
    <t>Look-A-Like</t>
  </si>
  <si>
    <t>LAL</t>
  </si>
  <si>
    <t>MWIA</t>
  </si>
  <si>
    <t>Email</t>
  </si>
  <si>
    <t>EML</t>
  </si>
  <si>
    <t>----------</t>
  </si>
  <si>
    <t>Dynamic Creative</t>
  </si>
  <si>
    <t>DC</t>
  </si>
  <si>
    <t>Remarketing</t>
  </si>
  <si>
    <t>RMKTNG</t>
  </si>
  <si>
    <t>Audience on Demand</t>
  </si>
  <si>
    <t>AOD</t>
  </si>
  <si>
    <t>FREESHIPPING</t>
  </si>
  <si>
    <t>FWC18-Awareness</t>
  </si>
  <si>
    <t>F18AWA</t>
  </si>
  <si>
    <t>Online Video</t>
  </si>
  <si>
    <t>OV</t>
  </si>
  <si>
    <t>MTA</t>
  </si>
  <si>
    <t>CMKT</t>
  </si>
  <si>
    <t>Belgium</t>
  </si>
  <si>
    <t>BE</t>
  </si>
  <si>
    <t>ABERCROMBIE &amp; FITCH</t>
  </si>
  <si>
    <t>ANF</t>
  </si>
  <si>
    <t>ABV.bg</t>
  </si>
  <si>
    <t>ABBG</t>
  </si>
  <si>
    <t>NON</t>
  </si>
  <si>
    <t>Multiple</t>
  </si>
  <si>
    <t>MUL</t>
  </si>
  <si>
    <t>-----------</t>
  </si>
  <si>
    <t>High Impact Banner / Rich Media</t>
  </si>
  <si>
    <t>RICH</t>
  </si>
  <si>
    <t>Cost per Unique Visitor</t>
  </si>
  <si>
    <t>CPUV</t>
  </si>
  <si>
    <t>336x280</t>
  </si>
  <si>
    <t>Ad Words - GDN</t>
  </si>
  <si>
    <t>AWGDN</t>
  </si>
  <si>
    <t>FB &amp; IG Mixed</t>
  </si>
  <si>
    <t>FBINSTA</t>
  </si>
  <si>
    <t>Bizo Insight</t>
  </si>
  <si>
    <t>BIZ</t>
  </si>
  <si>
    <t>20Q3</t>
  </si>
  <si>
    <t>Intent</t>
  </si>
  <si>
    <t>INTNT</t>
  </si>
  <si>
    <t>PSD</t>
  </si>
  <si>
    <t>NA</t>
  </si>
  <si>
    <t>Client Portfolio</t>
  </si>
  <si>
    <t>CPTF</t>
  </si>
  <si>
    <t>SOC</t>
  </si>
  <si>
    <t>Bosnia-Herzegovina</t>
  </si>
  <si>
    <t>BA</t>
  </si>
  <si>
    <t>ACADEMY SPORTS &amp; OUTDOORS</t>
  </si>
  <si>
    <t>ASO</t>
  </si>
  <si>
    <t>Accuen Media</t>
  </si>
  <si>
    <t>ACCU</t>
  </si>
  <si>
    <t>Retargeting</t>
  </si>
  <si>
    <t>RTG</t>
  </si>
  <si>
    <t>Gaming Console</t>
  </si>
  <si>
    <t>GAME</t>
  </si>
  <si>
    <t>InBannerVideo</t>
  </si>
  <si>
    <t>IBV</t>
  </si>
  <si>
    <t>Cost per View</t>
  </si>
  <si>
    <t>CPV</t>
  </si>
  <si>
    <t>468x60</t>
  </si>
  <si>
    <t>Ad Words - Search</t>
  </si>
  <si>
    <t>AWSEA</t>
  </si>
  <si>
    <t>FB &amp; IG Mixed Canvas</t>
  </si>
  <si>
    <t>FICA</t>
  </si>
  <si>
    <t>Site Analytics</t>
  </si>
  <si>
    <t>SA</t>
  </si>
  <si>
    <t>comScore</t>
  </si>
  <si>
    <t>CMSCR</t>
  </si>
  <si>
    <t>NXTPURCHDOLL</t>
  </si>
  <si>
    <t>20Q3Q4</t>
  </si>
  <si>
    <t>Leads</t>
  </si>
  <si>
    <t>LDS</t>
  </si>
  <si>
    <t>Paid Social Video</t>
  </si>
  <si>
    <t>PSV</t>
  </si>
  <si>
    <t>New York Fashion Week</t>
  </si>
  <si>
    <t>NYFW</t>
  </si>
  <si>
    <t>Commercial</t>
  </si>
  <si>
    <t>COMM</t>
  </si>
  <si>
    <t>--------------</t>
  </si>
  <si>
    <t>-----</t>
  </si>
  <si>
    <t>Bulgaria</t>
  </si>
  <si>
    <t>BG</t>
  </si>
  <si>
    <t>AXE</t>
  </si>
  <si>
    <t>Accuweather</t>
  </si>
  <si>
    <t>ACWE</t>
  </si>
  <si>
    <t>none</t>
  </si>
  <si>
    <t>Mobile</t>
  </si>
  <si>
    <t>MO</t>
  </si>
  <si>
    <t>Instream Video</t>
  </si>
  <si>
    <t>INV</t>
  </si>
  <si>
    <t>Dynamic Cost per Click</t>
  </si>
  <si>
    <t>DCPC</t>
  </si>
  <si>
    <t>Ad Words - YouTube</t>
  </si>
  <si>
    <t>AWYT</t>
  </si>
  <si>
    <t>FB &amp; IG Mixed Flipagram</t>
  </si>
  <si>
    <t>FIFL</t>
  </si>
  <si>
    <t>SOCIAL</t>
  </si>
  <si>
    <t>DoubleClick Conversion Counter</t>
  </si>
  <si>
    <t>DCCC</t>
  </si>
  <si>
    <t>NXTPURCHPCT</t>
  </si>
  <si>
    <t>20Q4</t>
  </si>
  <si>
    <t>Loyalty</t>
  </si>
  <si>
    <t>LOY</t>
  </si>
  <si>
    <t>Programmatic Audio</t>
  </si>
  <si>
    <t>PA</t>
  </si>
  <si>
    <t>NFL</t>
  </si>
  <si>
    <t>Contactless</t>
  </si>
  <si>
    <t>Programmatic Self Adara</t>
  </si>
  <si>
    <t>PSA</t>
  </si>
  <si>
    <t>Canada</t>
  </si>
  <si>
    <t>CA</t>
  </si>
  <si>
    <t>ACCOR HOTELS</t>
  </si>
  <si>
    <t>ACC</t>
  </si>
  <si>
    <t>Regional</t>
  </si>
  <si>
    <t>Active</t>
  </si>
  <si>
    <t>ACTV</t>
  </si>
  <si>
    <t>3 or More Targeting</t>
  </si>
  <si>
    <t>3MORE</t>
  </si>
  <si>
    <t>Tablet</t>
  </si>
  <si>
    <t>TBT</t>
  </si>
  <si>
    <t>Interstitial</t>
  </si>
  <si>
    <t>INT</t>
  </si>
  <si>
    <t>Dynamic Cost per Engagement</t>
  </si>
  <si>
    <t>DCPE</t>
  </si>
  <si>
    <t>970x90</t>
  </si>
  <si>
    <t>Atlas Ad Server Tracking</t>
  </si>
  <si>
    <t>ATLAS1x1</t>
  </si>
  <si>
    <t>FB Canvas</t>
  </si>
  <si>
    <t>FACA</t>
  </si>
  <si>
    <t>Survey</t>
  </si>
  <si>
    <t>SURVEY</t>
  </si>
  <si>
    <t>DoubleClick Conversion Sales</t>
  </si>
  <si>
    <t>DCCS</t>
  </si>
  <si>
    <t>PERCENTOFF</t>
  </si>
  <si>
    <t>19Q1</t>
  </si>
  <si>
    <t>Participation</t>
  </si>
  <si>
    <t>PT</t>
  </si>
  <si>
    <t>PD</t>
  </si>
  <si>
    <t>NHL</t>
  </si>
  <si>
    <t>Cross Border</t>
  </si>
  <si>
    <t>Programmatic Self Adelphic</t>
  </si>
  <si>
    <t>PRSADL</t>
  </si>
  <si>
    <t>Chile</t>
  </si>
  <si>
    <t>CL</t>
  </si>
  <si>
    <t>ACE HARDWARE</t>
  </si>
  <si>
    <t>ACE</t>
  </si>
  <si>
    <t>APAC_Indonesia</t>
  </si>
  <si>
    <t>actualno.com</t>
  </si>
  <si>
    <t>ACTU</t>
  </si>
  <si>
    <t>3 or More Targeting - comScore</t>
  </si>
  <si>
    <t>3MOREC</t>
  </si>
  <si>
    <t>LNK</t>
  </si>
  <si>
    <t>Dynamic Cost per Thousand</t>
  </si>
  <si>
    <t>DCPM</t>
  </si>
  <si>
    <t>DBM Ad Served</t>
  </si>
  <si>
    <t>DBMAS</t>
  </si>
  <si>
    <t>FB Event Responses</t>
  </si>
  <si>
    <t>EVRSP</t>
  </si>
  <si>
    <t>Verification</t>
  </si>
  <si>
    <t>VRFCTN</t>
  </si>
  <si>
    <t>Google Analytics</t>
  </si>
  <si>
    <t>GA</t>
  </si>
  <si>
    <t>PREPAID</t>
  </si>
  <si>
    <t>19Q1Q2</t>
  </si>
  <si>
    <t>Prospecting</t>
  </si>
  <si>
    <t>PRS</t>
  </si>
  <si>
    <t>PMD</t>
  </si>
  <si>
    <t>Olympics - Summer</t>
  </si>
  <si>
    <t>OLYS</t>
  </si>
  <si>
    <t>Debit</t>
  </si>
  <si>
    <t>DEB</t>
  </si>
  <si>
    <t>Programmatic Self Amazon</t>
  </si>
  <si>
    <t>PRSAM</t>
  </si>
  <si>
    <t>China</t>
  </si>
  <si>
    <t>CN</t>
  </si>
  <si>
    <t>ACTIVE.COM</t>
  </si>
  <si>
    <t>Ad Asia</t>
  </si>
  <si>
    <t>ADAS</t>
  </si>
  <si>
    <t>3 or More Targeting - nielsen</t>
  </si>
  <si>
    <t>3MOREN</t>
  </si>
  <si>
    <t>Mobile Moment</t>
  </si>
  <si>
    <t>MOMT</t>
  </si>
  <si>
    <t>Fixed Cost</t>
  </si>
  <si>
    <t>FLAT</t>
  </si>
  <si>
    <t>1000x100</t>
  </si>
  <si>
    <t>DCMAS</t>
  </si>
  <si>
    <t>FB Flipagram</t>
  </si>
  <si>
    <t>FAFL</t>
  </si>
  <si>
    <t>Internet portal nur</t>
  </si>
  <si>
    <t>IPN</t>
  </si>
  <si>
    <t>STATEMENTCREDIT</t>
  </si>
  <si>
    <t>19Q1Q3</t>
  </si>
  <si>
    <t>RMK</t>
  </si>
  <si>
    <t>Programmatic Mobile Video</t>
  </si>
  <si>
    <t>PMV</t>
  </si>
  <si>
    <t>Olympics - Winter</t>
  </si>
  <si>
    <t>OLYW</t>
  </si>
  <si>
    <t>Digital eCommerce</t>
  </si>
  <si>
    <t>DE</t>
  </si>
  <si>
    <t>Programmatic Self AOL</t>
  </si>
  <si>
    <t>PRSAOL</t>
  </si>
  <si>
    <t>Colombia</t>
  </si>
  <si>
    <t>CO</t>
  </si>
  <si>
    <t>Adayroi</t>
  </si>
  <si>
    <t>AOI</t>
  </si>
  <si>
    <t>APAC_Vietnam</t>
  </si>
  <si>
    <t>AD2 TW</t>
  </si>
  <si>
    <t>ADTW</t>
  </si>
  <si>
    <t>Behavioral - comScore</t>
  </si>
  <si>
    <t>BHVC</t>
  </si>
  <si>
    <t>NAT</t>
  </si>
  <si>
    <t>In-Demo CPM</t>
  </si>
  <si>
    <t>IDCPM</t>
  </si>
  <si>
    <t>1000x1000</t>
  </si>
  <si>
    <t>DCM Ad Served + Atlas Tracking</t>
  </si>
  <si>
    <t>DCMATLASAS1x1</t>
  </si>
  <si>
    <t>FB General Ad</t>
  </si>
  <si>
    <t>FB</t>
  </si>
  <si>
    <t>Look Agency</t>
  </si>
  <si>
    <t>LAG</t>
  </si>
  <si>
    <t>SWEEPSTAKES</t>
  </si>
  <si>
    <t>Revenue/ Sales</t>
  </si>
  <si>
    <t>SALES</t>
  </si>
  <si>
    <t>Programmatic Non-Media</t>
  </si>
  <si>
    <t>PNM</t>
  </si>
  <si>
    <t>Other</t>
  </si>
  <si>
    <t>OTH</t>
  </si>
  <si>
    <t>Digital Platforms</t>
  </si>
  <si>
    <t>DP</t>
  </si>
  <si>
    <t>Programmatic Self AppNexus</t>
  </si>
  <si>
    <t>PRSA</t>
  </si>
  <si>
    <t>Costa Rica</t>
  </si>
  <si>
    <t>CR</t>
  </si>
  <si>
    <t>Ad2one</t>
  </si>
  <si>
    <t>AD21</t>
  </si>
  <si>
    <t>Behavioral - nielsen</t>
  </si>
  <si>
    <t>BHVN</t>
  </si>
  <si>
    <t>Newsfeed</t>
  </si>
  <si>
    <t>NFD</t>
  </si>
  <si>
    <t>Real Time Bidded</t>
  </si>
  <si>
    <t>RTB</t>
  </si>
  <si>
    <t>1000x120</t>
  </si>
  <si>
    <t>DCMFLASHAS1x1</t>
  </si>
  <si>
    <t>FB Stories</t>
  </si>
  <si>
    <t>FBSTORY</t>
  </si>
  <si>
    <t>Media6Degrees</t>
  </si>
  <si>
    <t>M6D</t>
  </si>
  <si>
    <t>TIERED</t>
  </si>
  <si>
    <t>19Q2</t>
  </si>
  <si>
    <t>Site Traffic</t>
  </si>
  <si>
    <t>TRAFFIC</t>
  </si>
  <si>
    <t>Programmatic Video</t>
  </si>
  <si>
    <t>PV</t>
  </si>
  <si>
    <t>UEFA FIFA Regional</t>
  </si>
  <si>
    <t>UFIFA</t>
  </si>
  <si>
    <t>Dubai Airport Terminal</t>
  </si>
  <si>
    <t>DAT</t>
  </si>
  <si>
    <t>Programmatic Self Brightroll</t>
  </si>
  <si>
    <t>PRSBR</t>
  </si>
  <si>
    <t>Cyprus</t>
  </si>
  <si>
    <t>CY</t>
  </si>
  <si>
    <t>ADVANCE AUTO PARTS</t>
  </si>
  <si>
    <t>AAP</t>
  </si>
  <si>
    <t>Adaptive</t>
  </si>
  <si>
    <t>ADAP</t>
  </si>
  <si>
    <t>Behavioral + Day Parting</t>
  </si>
  <si>
    <t>BHVDAY</t>
  </si>
  <si>
    <t>Non-Skippable Mid-Roll</t>
  </si>
  <si>
    <t>NSMR</t>
  </si>
  <si>
    <t>Viewable CPM</t>
  </si>
  <si>
    <t>VCPM</t>
  </si>
  <si>
    <t>1000x200</t>
  </si>
  <si>
    <t>Mobile Vendor Served</t>
  </si>
  <si>
    <t>MS</t>
  </si>
  <si>
    <t>IG Ad</t>
  </si>
  <si>
    <t>INSTA</t>
  </si>
  <si>
    <t>Nielsen</t>
  </si>
  <si>
    <t>NLSN</t>
  </si>
  <si>
    <t>19Q2Q3</t>
  </si>
  <si>
    <t>Usage</t>
  </si>
  <si>
    <t>USAGE</t>
  </si>
  <si>
    <t>Dubai Shopping Festival</t>
  </si>
  <si>
    <t>DSF</t>
  </si>
  <si>
    <t>Programmatic Self DataXU</t>
  </si>
  <si>
    <t>PRSU</t>
  </si>
  <si>
    <t>Czech Republic</t>
  </si>
  <si>
    <t>CZ</t>
  </si>
  <si>
    <t>AEONRegional (Japan)</t>
  </si>
  <si>
    <t>AER</t>
  </si>
  <si>
    <t>APAC_JAPAN</t>
  </si>
  <si>
    <t>Adara</t>
  </si>
  <si>
    <t>ADAR</t>
  </si>
  <si>
    <t>Behavioral + Demographic</t>
  </si>
  <si>
    <t>BHVDEM</t>
  </si>
  <si>
    <t>Non-Skippable Pre-Roll</t>
  </si>
  <si>
    <t>NSPR</t>
  </si>
  <si>
    <t>Viewable Human CPM</t>
  </si>
  <si>
    <t>VHCPM</t>
  </si>
  <si>
    <t>1000x250</t>
  </si>
  <si>
    <t>DCMSS1x1</t>
  </si>
  <si>
    <t>IG Canvas</t>
  </si>
  <si>
    <t>INCA</t>
  </si>
  <si>
    <t>Orange Point Agency</t>
  </si>
  <si>
    <t>OPA</t>
  </si>
  <si>
    <t>19Q2Q4</t>
  </si>
  <si>
    <t>Video Views</t>
  </si>
  <si>
    <t>VIDVWS</t>
  </si>
  <si>
    <t>SEO</t>
  </si>
  <si>
    <t>Employee comms/Employer branding</t>
  </si>
  <si>
    <t>EBR</t>
  </si>
  <si>
    <t>Programmatic Self DBM</t>
  </si>
  <si>
    <t>PRSD</t>
  </si>
  <si>
    <t>Denmark</t>
  </si>
  <si>
    <t>DK</t>
  </si>
  <si>
    <t>AEON Japan</t>
  </si>
  <si>
    <t>AEO</t>
  </si>
  <si>
    <t>APAC_Japan</t>
  </si>
  <si>
    <t>AdColony</t>
  </si>
  <si>
    <t>ADCO</t>
  </si>
  <si>
    <t>Behavioral + Demographic - comScore</t>
  </si>
  <si>
    <t>BHVDEMC</t>
  </si>
  <si>
    <t>OOH</t>
  </si>
  <si>
    <t>1000x500</t>
  </si>
  <si>
    <t>Site-Served w/ Sizmek Tracking</t>
  </si>
  <si>
    <t>SZMKSS1X1</t>
  </si>
  <si>
    <t>IG Flipagram</t>
  </si>
  <si>
    <t>INFL</t>
  </si>
  <si>
    <t>OTHER</t>
  </si>
  <si>
    <t>19Q3</t>
  </si>
  <si>
    <t>Conversions</t>
  </si>
  <si>
    <t>CONV</t>
  </si>
  <si>
    <t>Everyday Spend</t>
  </si>
  <si>
    <t>ES</t>
  </si>
  <si>
    <t>Programmatic Self Invite</t>
  </si>
  <si>
    <t>PRSI</t>
  </si>
  <si>
    <t>Dominican Republic</t>
  </si>
  <si>
    <t>DO</t>
  </si>
  <si>
    <t>Region code for ads in CISSEE</t>
  </si>
  <si>
    <t>AEROFLOT</t>
  </si>
  <si>
    <t>AET</t>
  </si>
  <si>
    <t>CEMEA_Russia</t>
  </si>
  <si>
    <t>Adello</t>
  </si>
  <si>
    <t>ADLL</t>
  </si>
  <si>
    <t>Behavioral + Demographic - nielsen</t>
  </si>
  <si>
    <t>BHVDEMN</t>
  </si>
  <si>
    <t>Photo</t>
  </si>
  <si>
    <t>FOTO</t>
  </si>
  <si>
    <t>1000x540</t>
  </si>
  <si>
    <t>Sizmek Ad Served</t>
  </si>
  <si>
    <t>SZMKAS</t>
  </si>
  <si>
    <t>INSSTORY</t>
  </si>
  <si>
    <t>Plan B</t>
  </si>
  <si>
    <t>PB</t>
  </si>
  <si>
    <t>19Q3Q4</t>
  </si>
  <si>
    <t>Reach</t>
  </si>
  <si>
    <t>RCH</t>
  </si>
  <si>
    <t>AUDIO</t>
  </si>
  <si>
    <t>Financial Inclusion</t>
  </si>
  <si>
    <t>FI</t>
  </si>
  <si>
    <t>Programmatic Self RocketFuel</t>
  </si>
  <si>
    <t>PRSRFL</t>
  </si>
  <si>
    <t>Ecuador</t>
  </si>
  <si>
    <t>EC</t>
  </si>
  <si>
    <t>Aeroméxico</t>
  </si>
  <si>
    <t>AEM</t>
  </si>
  <si>
    <t>LATAM_Mexico</t>
  </si>
  <si>
    <t>Adform</t>
  </si>
  <si>
    <t>ADFO</t>
  </si>
  <si>
    <t>Behavioral + Geographic</t>
  </si>
  <si>
    <t>BHVGEO</t>
  </si>
  <si>
    <t>Pin</t>
  </si>
  <si>
    <t>PIN</t>
  </si>
  <si>
    <t>1000x580</t>
  </si>
  <si>
    <t>Video Vendor Served</t>
  </si>
  <si>
    <t>VS</t>
  </si>
  <si>
    <t>Messenger</t>
  </si>
  <si>
    <t>MESR</t>
  </si>
  <si>
    <t>Publisher house Kapital</t>
  </si>
  <si>
    <t>PHK</t>
  </si>
  <si>
    <t>19Q4</t>
  </si>
  <si>
    <t>DISPLAY</t>
  </si>
  <si>
    <t>Future of Digital Payments</t>
  </si>
  <si>
    <t>FDPY</t>
  </si>
  <si>
    <t>Programmatic Self Rubicon</t>
  </si>
  <si>
    <t>PRSRU</t>
  </si>
  <si>
    <t>Egypt</t>
  </si>
  <si>
    <t>EG</t>
  </si>
  <si>
    <t>AFC ENTERPRISES</t>
  </si>
  <si>
    <t>AFC</t>
  </si>
  <si>
    <t>Adgage</t>
  </si>
  <si>
    <t>ADGA</t>
  </si>
  <si>
    <t>Behavioral + Geographic - comScore</t>
  </si>
  <si>
    <t>BHVGEOC</t>
  </si>
  <si>
    <t>Post-Roll</t>
  </si>
  <si>
    <t>PR</t>
  </si>
  <si>
    <t>1000x600</t>
  </si>
  <si>
    <t>MULT</t>
  </si>
  <si>
    <t>Publisher house Vlast</t>
  </si>
  <si>
    <t>PHV</t>
  </si>
  <si>
    <t>---------</t>
  </si>
  <si>
    <t>Digital In Banner Video Display</t>
  </si>
  <si>
    <t>Innovation</t>
  </si>
  <si>
    <t>INN</t>
  </si>
  <si>
    <t>Programmatic Self RUN</t>
  </si>
  <si>
    <t>PRSR</t>
  </si>
  <si>
    <t>Finland</t>
  </si>
  <si>
    <t>Agoda</t>
  </si>
  <si>
    <t>AGO</t>
  </si>
  <si>
    <t>APAC_China</t>
  </si>
  <si>
    <t>Adgeek</t>
  </si>
  <si>
    <t>ADGE</t>
  </si>
  <si>
    <t>Behavioral + Geographic - nielsen</t>
  </si>
  <si>
    <t>BHVGEON</t>
  </si>
  <si>
    <t>Push Notififcation</t>
  </si>
  <si>
    <t>PUSH</t>
  </si>
  <si>
    <t>1000x628</t>
  </si>
  <si>
    <t>Sizmek Conversion</t>
  </si>
  <si>
    <t>SC</t>
  </si>
  <si>
    <t>18Q1</t>
  </si>
  <si>
    <t>Digital Mobile</t>
  </si>
  <si>
    <t>MOBILE</t>
  </si>
  <si>
    <t>Marquee External Events</t>
  </si>
  <si>
    <t>MEE</t>
  </si>
  <si>
    <t>Programmatic Self Trade Desk</t>
  </si>
  <si>
    <t>PRSTD</t>
  </si>
  <si>
    <t>France</t>
  </si>
  <si>
    <t>FR</t>
  </si>
  <si>
    <t>AHOLD (STOP N SHOP, GIANT)</t>
  </si>
  <si>
    <t>AHO</t>
  </si>
  <si>
    <t>Adikteev</t>
  </si>
  <si>
    <t>ADKT</t>
  </si>
  <si>
    <t>Conquesting - comScore</t>
  </si>
  <si>
    <t>CQTC</t>
  </si>
  <si>
    <t>SEA</t>
  </si>
  <si>
    <t>1000x75</t>
  </si>
  <si>
    <t>Rich Media</t>
  </si>
  <si>
    <t>Rich Media asset built in DoubleClick Studio that will receive QA by DoubleClick Rich Media Team</t>
  </si>
  <si>
    <t>Turn Conversion Tracking</t>
  </si>
  <si>
    <t>TCT</t>
  </si>
  <si>
    <t>18Q1Q2</t>
  </si>
  <si>
    <t>Digital Search</t>
  </si>
  <si>
    <t>SEARCH</t>
  </si>
  <si>
    <t>Mobile Payments</t>
  </si>
  <si>
    <t>MP</t>
  </si>
  <si>
    <t>Programmatic Self Tube</t>
  </si>
  <si>
    <t>PRSTU</t>
  </si>
  <si>
    <t>GCC</t>
  </si>
  <si>
    <t>AIR CANADA</t>
  </si>
  <si>
    <t>ACA</t>
  </si>
  <si>
    <t>NA_CANADA</t>
  </si>
  <si>
    <t>Adkaroa</t>
  </si>
  <si>
    <t>ADKA</t>
  </si>
  <si>
    <t>Conquesting - nielsen</t>
  </si>
  <si>
    <t>CQTN</t>
  </si>
  <si>
    <t>Skippable Bumper</t>
  </si>
  <si>
    <t>SBP</t>
  </si>
  <si>
    <t>1000x800</t>
  </si>
  <si>
    <t>Snap</t>
  </si>
  <si>
    <t>SNAP</t>
  </si>
  <si>
    <t>Turn Data Collection</t>
  </si>
  <si>
    <t>TDC</t>
  </si>
  <si>
    <t>18Q1Q3</t>
  </si>
  <si>
    <t>Digital Social</t>
  </si>
  <si>
    <t>mVisa</t>
  </si>
  <si>
    <t>Programmatic Self Turn</t>
  </si>
  <si>
    <t>PRST</t>
  </si>
  <si>
    <t>Germany</t>
  </si>
  <si>
    <t>Air New Zealand Limited</t>
  </si>
  <si>
    <t>ANZ</t>
  </si>
  <si>
    <t>APAC_New Zealand</t>
  </si>
  <si>
    <t>adman</t>
  </si>
  <si>
    <t>AMAN</t>
  </si>
  <si>
    <t>Conquesting + Behavioral</t>
  </si>
  <si>
    <t>CQTBHV</t>
  </si>
  <si>
    <t>Skippable Mid-Roll</t>
  </si>
  <si>
    <t>SMR</t>
  </si>
  <si>
    <t>1000x90</t>
  </si>
  <si>
    <t>Text Ad</t>
  </si>
  <si>
    <t>TXT</t>
  </si>
  <si>
    <t>TV Media Digital</t>
  </si>
  <si>
    <t>TVMD</t>
  </si>
  <si>
    <t>18Q1Q4</t>
  </si>
  <si>
    <t>Digital Video</t>
  </si>
  <si>
    <t>VIDEO</t>
  </si>
  <si>
    <t>Payments Forum</t>
  </si>
  <si>
    <t>PF</t>
  </si>
  <si>
    <t>Programmatic Self Videology</t>
  </si>
  <si>
    <t>PRSVY</t>
  </si>
  <si>
    <t>Ghana</t>
  </si>
  <si>
    <t>GH</t>
  </si>
  <si>
    <t>AirAsia Indonesia</t>
  </si>
  <si>
    <t>AAI</t>
  </si>
  <si>
    <t>ADMASTER</t>
  </si>
  <si>
    <t>ADMA</t>
  </si>
  <si>
    <t>Conquesting + Behavioral - comScore</t>
  </si>
  <si>
    <t>CQTBHVC</t>
  </si>
  <si>
    <t>Skippable Pre-Roll</t>
  </si>
  <si>
    <t>SPR</t>
  </si>
  <si>
    <t>1008x150</t>
  </si>
  <si>
    <t>Twitter Post</t>
  </si>
  <si>
    <t>TWPO</t>
  </si>
  <si>
    <t>requested by patricia aguilera</t>
  </si>
  <si>
    <t>United Media Group</t>
  </si>
  <si>
    <t>UMG</t>
  </si>
  <si>
    <t>18Q2</t>
  </si>
  <si>
    <t>EMAIL</t>
  </si>
  <si>
    <t>payWave</t>
  </si>
  <si>
    <t>PW</t>
  </si>
  <si>
    <t>Programmatic Self X+1</t>
  </si>
  <si>
    <t>PRSRF</t>
  </si>
  <si>
    <t>Greece</t>
  </si>
  <si>
    <t>GR</t>
  </si>
  <si>
    <t>AirAsia Malaysia</t>
  </si>
  <si>
    <t>AAM</t>
  </si>
  <si>
    <t>APAC_Malaysia</t>
  </si>
  <si>
    <t>Admatrix</t>
  </si>
  <si>
    <t>ADMT</t>
  </si>
  <si>
    <t>Conquesting + Behavioral - nielsen</t>
  </si>
  <si>
    <t>CQTBHVN</t>
  </si>
  <si>
    <t>STRY</t>
  </si>
  <si>
    <t>100x100</t>
  </si>
  <si>
    <t>VGEN</t>
  </si>
  <si>
    <t>Videocom</t>
  </si>
  <si>
    <t>VDC</t>
  </si>
  <si>
    <t>18Q3</t>
  </si>
  <si>
    <t>Print</t>
  </si>
  <si>
    <t>PRINT</t>
  </si>
  <si>
    <t>POS</t>
  </si>
  <si>
    <t>Programmatic Self Yahoo (YAM)</t>
  </si>
  <si>
    <t>PRSYA</t>
  </si>
  <si>
    <t>Guatemala</t>
  </si>
  <si>
    <t>GT</t>
  </si>
  <si>
    <t>AirAsia Sdn Bhd Regional(Malaysia)</t>
  </si>
  <si>
    <t>AAS</t>
  </si>
  <si>
    <t>admicro.vn</t>
  </si>
  <si>
    <t>ADMI</t>
  </si>
  <si>
    <t>Conquesting + Contextual</t>
  </si>
  <si>
    <t>CQTCON</t>
  </si>
  <si>
    <t>TrueView</t>
  </si>
  <si>
    <t>TRVW</t>
  </si>
  <si>
    <t>100x200</t>
  </si>
  <si>
    <t>Video pre roll</t>
  </si>
  <si>
    <t>VPRE</t>
  </si>
  <si>
    <t>WebExpert</t>
  </si>
  <si>
    <t>WE</t>
  </si>
  <si>
    <t>18Q3Q4</t>
  </si>
  <si>
    <t>Television</t>
  </si>
  <si>
    <t>TV</t>
  </si>
  <si>
    <t>Prepaid</t>
  </si>
  <si>
    <t>PP</t>
  </si>
  <si>
    <t>Programmatic Vendor Managed (NON- MVP)</t>
  </si>
  <si>
    <t>PRM</t>
  </si>
  <si>
    <t>Hong Kong</t>
  </si>
  <si>
    <t>HK</t>
  </si>
  <si>
    <t>AIRBNB GLOBAL NETWORK</t>
  </si>
  <si>
    <t>AGN</t>
  </si>
  <si>
    <t>Admin</t>
  </si>
  <si>
    <t>ADMN</t>
  </si>
  <si>
    <t>Conquesting + Contextual - comScore</t>
  </si>
  <si>
    <t>CQTCONC</t>
  </si>
  <si>
    <t>VID</t>
  </si>
  <si>
    <t>100x240</t>
  </si>
  <si>
    <t>YTNSK</t>
  </si>
  <si>
    <t>WMK Servise</t>
  </si>
  <si>
    <t>WMKS</t>
  </si>
  <si>
    <t>18Q4</t>
  </si>
  <si>
    <t>Reputation</t>
  </si>
  <si>
    <t>REP</t>
  </si>
  <si>
    <t>Programmatic Video Exchange</t>
  </si>
  <si>
    <t>PVE</t>
  </si>
  <si>
    <t>Hungary</t>
  </si>
  <si>
    <t>HU</t>
  </si>
  <si>
    <t>Airbnb Regional(Singapore)</t>
  </si>
  <si>
    <t>ARS</t>
  </si>
  <si>
    <t>Admysport</t>
  </si>
  <si>
    <t>ADMS</t>
  </si>
  <si>
    <t>Conquesting + Contextual - nielsen</t>
  </si>
  <si>
    <t>CQTCONN</t>
  </si>
  <si>
    <t>100x250</t>
  </si>
  <si>
    <t>Youtube skippable</t>
  </si>
  <si>
    <t>YTSK</t>
  </si>
  <si>
    <t>18Q2Q3</t>
  </si>
  <si>
    <t>Security Initiatives</t>
  </si>
  <si>
    <t>SI</t>
  </si>
  <si>
    <t>India</t>
  </si>
  <si>
    <t>IN</t>
  </si>
  <si>
    <t>AirChina</t>
  </si>
  <si>
    <t>ACH</t>
  </si>
  <si>
    <t>Adot</t>
  </si>
  <si>
    <t>ADMO</t>
  </si>
  <si>
    <t>Conquesting + Day Parting</t>
  </si>
  <si>
    <t>CQTDAY</t>
  </si>
  <si>
    <t>ADVERTORIAL</t>
  </si>
  <si>
    <t>ADVTL</t>
  </si>
  <si>
    <t>100x350</t>
  </si>
  <si>
    <t>-------</t>
  </si>
  <si>
    <t>18Q2Q4</t>
  </si>
  <si>
    <t>The Everywhere Initiative</t>
  </si>
  <si>
    <t>TEI</t>
  </si>
  <si>
    <t>Indonesia</t>
  </si>
  <si>
    <t>ALASKA AIR</t>
  </si>
  <si>
    <t>ALA</t>
  </si>
  <si>
    <t>AdoTube</t>
  </si>
  <si>
    <t>ADOT</t>
  </si>
  <si>
    <t>Conquesting + Demographic</t>
  </si>
  <si>
    <t>CQTDEM</t>
  </si>
  <si>
    <t>AUDIO OVERLAY</t>
  </si>
  <si>
    <t>AOVRLY</t>
  </si>
  <si>
    <t>100x40</t>
  </si>
  <si>
    <t>Adobe Flash creative</t>
  </si>
  <si>
    <t>FLASH</t>
  </si>
  <si>
    <t>17Q1</t>
  </si>
  <si>
    <t>Tokenization</t>
  </si>
  <si>
    <t>TOK</t>
  </si>
  <si>
    <t>Ireland</t>
  </si>
  <si>
    <t>IE</t>
  </si>
  <si>
    <t>ALDO</t>
  </si>
  <si>
    <t>ALD</t>
  </si>
  <si>
    <t>Adpepper</t>
  </si>
  <si>
    <t>ADPE</t>
  </si>
  <si>
    <t>Conquesting + Demographic - comScore</t>
  </si>
  <si>
    <t>CQTDEMC</t>
  </si>
  <si>
    <t>AUDIO TAKEOVER</t>
  </si>
  <si>
    <t>ATKO</t>
  </si>
  <si>
    <t>1020x90</t>
  </si>
  <si>
    <t>Interactive Video</t>
  </si>
  <si>
    <t>VPAID</t>
  </si>
  <si>
    <t>Interactive Video asset that is intended to be served using IAB's VPAID standard</t>
  </si>
  <si>
    <t>17Q1Q4</t>
  </si>
  <si>
    <t>Visa Checkout</t>
  </si>
  <si>
    <t>VCK</t>
  </si>
  <si>
    <t>Israel</t>
  </si>
  <si>
    <t>IL</t>
  </si>
  <si>
    <t>ALIBABA GROUP (China)</t>
  </si>
  <si>
    <t>ALB</t>
  </si>
  <si>
    <t>AdPrime</t>
  </si>
  <si>
    <t>ADPR</t>
  </si>
  <si>
    <t>Conquesting + Demographic - nielsen</t>
  </si>
  <si>
    <t>CQTDEMN</t>
  </si>
  <si>
    <t>CRSL</t>
  </si>
  <si>
    <t>1024x320</t>
  </si>
  <si>
    <t>Search Ad</t>
  </si>
  <si>
    <t>SERCH</t>
  </si>
  <si>
    <t>17Q2</t>
  </si>
  <si>
    <t>Visa Direct</t>
  </si>
  <si>
    <t>VD</t>
  </si>
  <si>
    <t>Italy</t>
  </si>
  <si>
    <t>IT</t>
  </si>
  <si>
    <t>Aliexpress/Taobao</t>
  </si>
  <si>
    <t>ALT</t>
  </si>
  <si>
    <t>adretail</t>
  </si>
  <si>
    <t>ADRE</t>
  </si>
  <si>
    <t>Contextual - comScore</t>
  </si>
  <si>
    <t>CONC</t>
  </si>
  <si>
    <t>COBRANDEDBANNER</t>
  </si>
  <si>
    <t>CBBN</t>
  </si>
  <si>
    <t>1024x50</t>
  </si>
  <si>
    <t>Standard</t>
  </si>
  <si>
    <t>STAN</t>
  </si>
  <si>
    <t>17Q3</t>
  </si>
  <si>
    <t>Visa Entertainment</t>
  </si>
  <si>
    <t>VER</t>
  </si>
  <si>
    <t>Jamaica</t>
  </si>
  <si>
    <t>JM</t>
  </si>
  <si>
    <t>Alkosto</t>
  </si>
  <si>
    <t>ALK</t>
  </si>
  <si>
    <t>Adriamedia</t>
  </si>
  <si>
    <t>ADRM</t>
  </si>
  <si>
    <t>Contextual - nielsen</t>
  </si>
  <si>
    <t>CONN</t>
  </si>
  <si>
    <t>COMPANIONBANNER</t>
  </si>
  <si>
    <t>CBN</t>
  </si>
  <si>
    <t>1024x512</t>
  </si>
  <si>
    <t>Static Image Banner</t>
  </si>
  <si>
    <t>STATIC</t>
  </si>
  <si>
    <t>Static Image Banner file types of jpg, gif, png as these are the only acceptable image file types; also used as descriptor for Text Links</t>
  </si>
  <si>
    <t>17Q3Q4</t>
  </si>
  <si>
    <t>Visa Healthcare</t>
  </si>
  <si>
    <t>VH</t>
  </si>
  <si>
    <t>Japan</t>
  </si>
  <si>
    <t>JP</t>
  </si>
  <si>
    <t>All Nippon Airways</t>
  </si>
  <si>
    <t>ANA</t>
  </si>
  <si>
    <t>adrino</t>
  </si>
  <si>
    <t>ADRI</t>
  </si>
  <si>
    <t>Contextual + Behavioral</t>
  </si>
  <si>
    <t>CONBHV</t>
  </si>
  <si>
    <t>1024x66</t>
  </si>
  <si>
    <t>Streaming Video</t>
  </si>
  <si>
    <t>VAST</t>
  </si>
  <si>
    <t>17Q4</t>
  </si>
  <si>
    <t>Visa Signature</t>
  </si>
  <si>
    <t>Kazakhstan</t>
  </si>
  <si>
    <t>KZ</t>
  </si>
  <si>
    <t>ALLEGRO</t>
  </si>
  <si>
    <t>ALE</t>
  </si>
  <si>
    <t>CEMEA_Poland</t>
  </si>
  <si>
    <t>AdsAmazing</t>
  </si>
  <si>
    <t>ADAM</t>
  </si>
  <si>
    <t>Contextual + Behavioral - comScore</t>
  </si>
  <si>
    <t>CONBHVC</t>
  </si>
  <si>
    <t>Event Responses</t>
  </si>
  <si>
    <t>EVRP</t>
  </si>
  <si>
    <t>1024x768</t>
  </si>
  <si>
    <t>FCR</t>
  </si>
  <si>
    <t>Visa.com</t>
  </si>
  <si>
    <t>VCOM</t>
  </si>
  <si>
    <t>Korea</t>
  </si>
  <si>
    <t>KR</t>
  </si>
  <si>
    <t>ALLSTATE INSURANCE</t>
  </si>
  <si>
    <t>ALI</t>
  </si>
  <si>
    <t>ADSLIVE</t>
  </si>
  <si>
    <t>ADSE</t>
  </si>
  <si>
    <t>Contextual + Behavioral - nielsen</t>
  </si>
  <si>
    <t>CONBHVN</t>
  </si>
  <si>
    <t>EXTERNALLINK</t>
  </si>
  <si>
    <t>EXT</t>
  </si>
  <si>
    <t>102x88</t>
  </si>
  <si>
    <t>IG Carousel</t>
  </si>
  <si>
    <t>ICR</t>
  </si>
  <si>
    <t>Website management</t>
  </si>
  <si>
    <t>WM</t>
  </si>
  <si>
    <t>LATAM</t>
  </si>
  <si>
    <t>LM</t>
  </si>
  <si>
    <t>Alpine Benefit</t>
  </si>
  <si>
    <t>ALP</t>
  </si>
  <si>
    <t>Adslzone</t>
  </si>
  <si>
    <t>ADSL</t>
  </si>
  <si>
    <t>Contextual + Day Parting</t>
  </si>
  <si>
    <t>CONDAY</t>
  </si>
  <si>
    <t>FAN ADS</t>
  </si>
  <si>
    <t>FADS</t>
  </si>
  <si>
    <t>1040x520</t>
  </si>
  <si>
    <t>FLA</t>
  </si>
  <si>
    <t>XB eCommerce</t>
  </si>
  <si>
    <t>XBE</t>
  </si>
  <si>
    <t>Malaysia</t>
  </si>
  <si>
    <t>MY</t>
  </si>
  <si>
    <t>Alsea</t>
  </si>
  <si>
    <t>ALS</t>
  </si>
  <si>
    <t>AdSmart</t>
  </si>
  <si>
    <t>ADST</t>
  </si>
  <si>
    <t>Contextual + Demographic</t>
  </si>
  <si>
    <t>CONDEM</t>
  </si>
  <si>
    <t>FEE</t>
  </si>
  <si>
    <t>1050x250</t>
  </si>
  <si>
    <t>IG Link Ad</t>
  </si>
  <si>
    <t>ILA</t>
  </si>
  <si>
    <t>Mexico</t>
  </si>
  <si>
    <t>MX</t>
  </si>
  <si>
    <t>Amazon</t>
  </si>
  <si>
    <t>AMA</t>
  </si>
  <si>
    <t>adsmobil</t>
  </si>
  <si>
    <t>ADSM</t>
  </si>
  <si>
    <t>Contextual + Demographic - comScore</t>
  </si>
  <si>
    <t>CONDEMC</t>
  </si>
  <si>
    <t>LOGO</t>
  </si>
  <si>
    <t>LOG</t>
  </si>
  <si>
    <t>1050x350</t>
  </si>
  <si>
    <t>FGIF</t>
  </si>
  <si>
    <t>Myanmar</t>
  </si>
  <si>
    <t>MM</t>
  </si>
  <si>
    <t>Amazon Mexico</t>
  </si>
  <si>
    <t>AMM</t>
  </si>
  <si>
    <t>adtima.vn</t>
  </si>
  <si>
    <t>ADTI</t>
  </si>
  <si>
    <t>Contextual + Demographic - nielsen</t>
  </si>
  <si>
    <t>CONDEMN</t>
  </si>
  <si>
    <t>MID-ROLL</t>
  </si>
  <si>
    <t>VMID</t>
  </si>
  <si>
    <t>1056x90</t>
  </si>
  <si>
    <t>IG Gif</t>
  </si>
  <si>
    <t>IGIF</t>
  </si>
  <si>
    <t>Netherlands</t>
  </si>
  <si>
    <t>NL</t>
  </si>
  <si>
    <t>AMAZON.COM</t>
  </si>
  <si>
    <t>AMZ</t>
  </si>
  <si>
    <t>Advantage Media</t>
  </si>
  <si>
    <t>ADME</t>
  </si>
  <si>
    <t>Contextual + Geographic</t>
  </si>
  <si>
    <t>CONGEO</t>
  </si>
  <si>
    <t>Multi-Product Ad</t>
  </si>
  <si>
    <t>MPA</t>
  </si>
  <si>
    <t>1080x1080</t>
  </si>
  <si>
    <t>FB Video</t>
  </si>
  <si>
    <t>FVID</t>
  </si>
  <si>
    <t>New Zealand</t>
  </si>
  <si>
    <t>NZ</t>
  </si>
  <si>
    <t>Amazon.com Japan</t>
  </si>
  <si>
    <t>AMJ</t>
  </si>
  <si>
    <t>AdvertiseMe</t>
  </si>
  <si>
    <t>ADVE</t>
  </si>
  <si>
    <t>Contextual + Geographic - - nielsen</t>
  </si>
  <si>
    <t>CONGEON</t>
  </si>
  <si>
    <t>NDP</t>
  </si>
  <si>
    <t>1080x1350</t>
  </si>
  <si>
    <t>IG Video</t>
  </si>
  <si>
    <t>IVID</t>
  </si>
  <si>
    <t>Nigeria</t>
  </si>
  <si>
    <t>NG</t>
  </si>
  <si>
    <t>AMAZON.COM Regional (China)</t>
  </si>
  <si>
    <t>ACI</t>
  </si>
  <si>
    <t>Advertising-Go</t>
  </si>
  <si>
    <t>ADGO</t>
  </si>
  <si>
    <t>Contextual + Geographic - comScore</t>
  </si>
  <si>
    <t>CONGEOC</t>
  </si>
  <si>
    <t>NATIVE UNIT</t>
  </si>
  <si>
    <t>1080x1440</t>
  </si>
  <si>
    <t>Norway</t>
  </si>
  <si>
    <t>NO</t>
  </si>
  <si>
    <t>AMC</t>
  </si>
  <si>
    <t>Adyoulike</t>
  </si>
  <si>
    <t>ADYL</t>
  </si>
  <si>
    <t>Day Parting + Look-A-Like</t>
  </si>
  <si>
    <t>DAYLAL</t>
  </si>
  <si>
    <t>NEWSLETTER</t>
  </si>
  <si>
    <t>NEW</t>
  </si>
  <si>
    <t>1080x170</t>
  </si>
  <si>
    <t>TAKEOVER</t>
  </si>
  <si>
    <t>TKO</t>
  </si>
  <si>
    <t>Panama</t>
  </si>
  <si>
    <t>AMERICAN AIRLINES</t>
  </si>
  <si>
    <t>AMI</t>
  </si>
  <si>
    <t>Affle</t>
  </si>
  <si>
    <t>AFFL</t>
  </si>
  <si>
    <t>Demographic - comScore</t>
  </si>
  <si>
    <t>DEMC</t>
  </si>
  <si>
    <t>PACKAGE</t>
  </si>
  <si>
    <t>PCKG</t>
  </si>
  <si>
    <t>1080x1920</t>
  </si>
  <si>
    <t>Paraguay</t>
  </si>
  <si>
    <t>PY</t>
  </si>
  <si>
    <t>Code for Middle East pages.</t>
  </si>
  <si>
    <t>AMERICAN EAGLE OUTFITTERS</t>
  </si>
  <si>
    <t>AME</t>
  </si>
  <si>
    <t>Afisha</t>
  </si>
  <si>
    <t>AFSA</t>
  </si>
  <si>
    <t>Demographic - nielsen</t>
  </si>
  <si>
    <t>DEMN</t>
  </si>
  <si>
    <t>Identify at placement level</t>
  </si>
  <si>
    <t>POST-ROLL</t>
  </si>
  <si>
    <t>VPOS</t>
  </si>
  <si>
    <t>1080x270</t>
  </si>
  <si>
    <t>TWEET VIDEO</t>
  </si>
  <si>
    <t>TWVID</t>
  </si>
  <si>
    <t>Peru</t>
  </si>
  <si>
    <t>PE</t>
  </si>
  <si>
    <t>AMSCAN INC</t>
  </si>
  <si>
    <t>AMS</t>
  </si>
  <si>
    <t>Agency TB</t>
  </si>
  <si>
    <t>AGTB</t>
  </si>
  <si>
    <t>Demographic + Day Parting</t>
  </si>
  <si>
    <t>DEMDAY</t>
  </si>
  <si>
    <t>PRE-ROLL</t>
  </si>
  <si>
    <t>1080x480</t>
  </si>
  <si>
    <t>WEBSITE CARD</t>
  </si>
  <si>
    <t>WEBVID</t>
  </si>
  <si>
    <t>Philippines</t>
  </si>
  <si>
    <t>PH</t>
  </si>
  <si>
    <t>Android pay</t>
  </si>
  <si>
    <t>AND</t>
  </si>
  <si>
    <t>Air New Zealand EDM (mailing list)</t>
  </si>
  <si>
    <t>SHOUT</t>
  </si>
  <si>
    <t>Demographic + Geographic</t>
  </si>
  <si>
    <t>DEMGEO</t>
  </si>
  <si>
    <t>PROMOTED POST</t>
  </si>
  <si>
    <t>PPOST</t>
  </si>
  <si>
    <t>1100x200</t>
  </si>
  <si>
    <t>Apple</t>
  </si>
  <si>
    <t>APL</t>
  </si>
  <si>
    <t>Airport WIFI</t>
  </si>
  <si>
    <t>Demographic + Geographic - comScore</t>
  </si>
  <si>
    <t>DEMGEOC</t>
  </si>
  <si>
    <t>RESEARCH</t>
  </si>
  <si>
    <t>RES</t>
  </si>
  <si>
    <t>1130x226</t>
  </si>
  <si>
    <t>Puerto Rico</t>
  </si>
  <si>
    <t>APPLE COMPUTER</t>
  </si>
  <si>
    <t>APC</t>
  </si>
  <si>
    <t>Airpush</t>
  </si>
  <si>
    <t>Demographic + Geographic - nielsen</t>
  </si>
  <si>
    <t>DEMGEON</t>
  </si>
  <si>
    <t>RICH MEDIA BANNER</t>
  </si>
  <si>
    <t>RMBAN</t>
  </si>
  <si>
    <t>1140x140</t>
  </si>
  <si>
    <t>Romania</t>
  </si>
  <si>
    <t>RO</t>
  </si>
  <si>
    <t>Apple pay</t>
  </si>
  <si>
    <t>APP</t>
  </si>
  <si>
    <t>akcniceny.cz</t>
  </si>
  <si>
    <t>AKCN</t>
  </si>
  <si>
    <t>Demographic + Look-A-Like</t>
  </si>
  <si>
    <t>DEMLAL</t>
  </si>
  <si>
    <t>RICH MEDIA TAKEOVER</t>
  </si>
  <si>
    <t>RMTKO</t>
  </si>
  <si>
    <t>1140x390</t>
  </si>
  <si>
    <t>Russia</t>
  </si>
  <si>
    <t>RU</t>
  </si>
  <si>
    <t>APPLE Regional (Singapore)</t>
  </si>
  <si>
    <t>APS</t>
  </si>
  <si>
    <t>aktualne.cz</t>
  </si>
  <si>
    <t>AKTU</t>
  </si>
  <si>
    <t>FinTech</t>
  </si>
  <si>
    <t>FTECH</t>
  </si>
  <si>
    <t>Right Hand Rail</t>
  </si>
  <si>
    <t>RHR</t>
  </si>
  <si>
    <t>1150x90</t>
  </si>
  <si>
    <t>Saudi Arabia</t>
  </si>
  <si>
    <t>APPLE, INC.</t>
  </si>
  <si>
    <t>API</t>
  </si>
  <si>
    <t>Al Masry Al Youm</t>
  </si>
  <si>
    <t>AMAY</t>
  </si>
  <si>
    <t>Geographic - comScore</t>
  </si>
  <si>
    <t>GEOC</t>
  </si>
  <si>
    <t>Roadblock</t>
  </si>
  <si>
    <t>RDBK</t>
  </si>
  <si>
    <t>1170x300</t>
  </si>
  <si>
    <t>Serbia</t>
  </si>
  <si>
    <t>RS</t>
  </si>
  <si>
    <t>APTEKA</t>
  </si>
  <si>
    <t>APT</t>
  </si>
  <si>
    <t>All4mama.gr</t>
  </si>
  <si>
    <t>ALL4</t>
  </si>
  <si>
    <t>Geographic - nielsen</t>
  </si>
  <si>
    <t>GEON</t>
  </si>
  <si>
    <t>SKIN</t>
  </si>
  <si>
    <t>SKN</t>
  </si>
  <si>
    <t>1170x600</t>
  </si>
  <si>
    <t>Singapore</t>
  </si>
  <si>
    <t>SG</t>
  </si>
  <si>
    <t>ARAMARK</t>
  </si>
  <si>
    <t>ARM</t>
  </si>
  <si>
    <t>Allegro</t>
  </si>
  <si>
    <t>ALLE</t>
  </si>
  <si>
    <t>Geographic + Conquesting</t>
  </si>
  <si>
    <t>GEOCQT</t>
  </si>
  <si>
    <t>1180x124</t>
  </si>
  <si>
    <t>Slovakia</t>
  </si>
  <si>
    <t>SK</t>
  </si>
  <si>
    <t>Aramex</t>
  </si>
  <si>
    <t>ARX</t>
  </si>
  <si>
    <t>Alley Watch</t>
  </si>
  <si>
    <t>ALWT</t>
  </si>
  <si>
    <t>Geographic + Conquesting - comScore</t>
  </si>
  <si>
    <t>GEOCQTC</t>
  </si>
  <si>
    <t>SOCIAL BANNER</t>
  </si>
  <si>
    <t>SBAN</t>
  </si>
  <si>
    <t>1200x110</t>
  </si>
  <si>
    <t>South Africa</t>
  </si>
  <si>
    <t>ZA</t>
  </si>
  <si>
    <t>ARBY'S</t>
  </si>
  <si>
    <t>ARB</t>
  </si>
  <si>
    <t>Almacenes Éxito</t>
  </si>
  <si>
    <t>ALEX</t>
  </si>
  <si>
    <t>Geographic + Conquesting - nielsen</t>
  </si>
  <si>
    <t>GEOCQTN</t>
  </si>
  <si>
    <t>SPOST</t>
  </si>
  <si>
    <t>1200x160</t>
  </si>
  <si>
    <t>Spain</t>
  </si>
  <si>
    <t>ALPHA.gr</t>
  </si>
  <si>
    <t>ALPA</t>
  </si>
  <si>
    <t>Geographic + Day Parting</t>
  </si>
  <si>
    <t>GEODAY</t>
  </si>
  <si>
    <t>SOCIAL TAKEOVER</t>
  </si>
  <si>
    <t>STKO</t>
  </si>
  <si>
    <t>1200x1920</t>
  </si>
  <si>
    <t>Sri Lanka</t>
  </si>
  <si>
    <t>LK</t>
  </si>
  <si>
    <t>Art Weekend</t>
  </si>
  <si>
    <t>ARW</t>
  </si>
  <si>
    <t>AMAZ</t>
  </si>
  <si>
    <t>Geographic + Look-A-Like</t>
  </si>
  <si>
    <t>GEOLAL</t>
  </si>
  <si>
    <t>SOCIAL VIDEO</t>
  </si>
  <si>
    <t>SPRE</t>
  </si>
  <si>
    <t>1200x270</t>
  </si>
  <si>
    <t>Sweden</t>
  </si>
  <si>
    <t>SE</t>
  </si>
  <si>
    <t>ASCENA RETAIL GROUP (CHARMING SHOPPES)</t>
  </si>
  <si>
    <t>ARG</t>
  </si>
  <si>
    <t>Amobee</t>
  </si>
  <si>
    <t>AMOBEE</t>
  </si>
  <si>
    <t>Look-A-Like + Behavioral</t>
  </si>
  <si>
    <t>LALBHV</t>
  </si>
  <si>
    <t>Splash Ad</t>
  </si>
  <si>
    <t>SPLASHAD</t>
  </si>
  <si>
    <t>1200x400</t>
  </si>
  <si>
    <t>Switzerland</t>
  </si>
  <si>
    <t>CH</t>
  </si>
  <si>
    <t>Asiana Airlines</t>
  </si>
  <si>
    <t>ASA</t>
  </si>
  <si>
    <t>Angel Hack</t>
  </si>
  <si>
    <t>AGHK</t>
  </si>
  <si>
    <t>Look-A-Like + Conquesting</t>
  </si>
  <si>
    <t>LALCQT</t>
  </si>
  <si>
    <t>1200x444</t>
  </si>
  <si>
    <t>Taiwan</t>
  </si>
  <si>
    <t>TW</t>
  </si>
  <si>
    <t>Assaí</t>
  </si>
  <si>
    <t>ASI</t>
  </si>
  <si>
    <t>Anghami</t>
  </si>
  <si>
    <t>ANGH</t>
  </si>
  <si>
    <t>Look-A-Like + Contextual</t>
  </si>
  <si>
    <t>LALCON</t>
  </si>
  <si>
    <t>1200x600</t>
  </si>
  <si>
    <t>Thailand</t>
  </si>
  <si>
    <t>TH</t>
  </si>
  <si>
    <t>AT&amp;T (and DIRECTV)</t>
  </si>
  <si>
    <t>ATT</t>
  </si>
  <si>
    <t>ANT1</t>
  </si>
  <si>
    <t>Mail Retargeting</t>
  </si>
  <si>
    <t>MRT</t>
  </si>
  <si>
    <t>VIDEO OVERLAY</t>
  </si>
  <si>
    <t>OVRLY</t>
  </si>
  <si>
    <t>1200x620</t>
  </si>
  <si>
    <t>Trinidad and Tobago</t>
  </si>
  <si>
    <t>TT</t>
  </si>
  <si>
    <t>Atacadão</t>
  </si>
  <si>
    <t>ATD</t>
  </si>
  <si>
    <t>Ant1iwo</t>
  </si>
  <si>
    <t>AN1O</t>
  </si>
  <si>
    <t>NOTARG</t>
  </si>
  <si>
    <t>Turkey</t>
  </si>
  <si>
    <t>TR</t>
  </si>
  <si>
    <t>ATLANTIS THE PALM</t>
  </si>
  <si>
    <t>ATP</t>
  </si>
  <si>
    <t>CEMEA_UAE</t>
  </si>
  <si>
    <t>AOL</t>
  </si>
  <si>
    <t>Purchase-Based Targeting</t>
  </si>
  <si>
    <t>PBT</t>
  </si>
  <si>
    <t>ADBOOSTER</t>
  </si>
  <si>
    <t>ADBST</t>
  </si>
  <si>
    <t>Ukraine</t>
  </si>
  <si>
    <t>UA</t>
  </si>
  <si>
    <t>AUCHAN</t>
  </si>
  <si>
    <t>AUC</t>
  </si>
  <si>
    <t>APEX</t>
  </si>
  <si>
    <t>Purchase-Based Targeting + Behavioral</t>
  </si>
  <si>
    <t>PBTBHV</t>
  </si>
  <si>
    <t>1200x628</t>
  </si>
  <si>
    <t>United Arab Emirates</t>
  </si>
  <si>
    <t>AE</t>
  </si>
  <si>
    <t>Appier</t>
  </si>
  <si>
    <t>APPR</t>
  </si>
  <si>
    <t>Purchase-Based Targeting + Contextual</t>
  </si>
  <si>
    <t>PBTCON</t>
  </si>
  <si>
    <t>1200x800</t>
  </si>
  <si>
    <t>United Kingdom</t>
  </si>
  <si>
    <t>GB</t>
  </si>
  <si>
    <t>AUSTRALIAN TAXATION OFFICE</t>
  </si>
  <si>
    <t>ATO</t>
  </si>
  <si>
    <t>APAC_Australia</t>
  </si>
  <si>
    <t>Apple Daily</t>
  </si>
  <si>
    <t>APDL</t>
  </si>
  <si>
    <t>Purchase-Based Targeting + Day Parting</t>
  </si>
  <si>
    <t>PBTDAY</t>
  </si>
  <si>
    <t>1200x90</t>
  </si>
  <si>
    <t>United States</t>
  </si>
  <si>
    <t>US</t>
  </si>
  <si>
    <t>AUTO ZONE</t>
  </si>
  <si>
    <t>AUZ</t>
  </si>
  <si>
    <t>Arara</t>
  </si>
  <si>
    <t>ARAR</t>
  </si>
  <si>
    <t>Purchase-Based Targeting + Demographic</t>
  </si>
  <si>
    <t>PBTDEMO</t>
  </si>
  <si>
    <t>1200x900</t>
  </si>
  <si>
    <t>Uruguay</t>
  </si>
  <si>
    <t>UY</t>
  </si>
  <si>
    <t>Avianca</t>
  </si>
  <si>
    <t>AVK</t>
  </si>
  <si>
    <t>LATAM_Columbia</t>
  </si>
  <si>
    <t>AS.CL</t>
  </si>
  <si>
    <t>ASCL</t>
  </si>
  <si>
    <t>Purchase-Based Targeting + Geographic</t>
  </si>
  <si>
    <t>PBTGEO</t>
  </si>
  <si>
    <t>120x120</t>
  </si>
  <si>
    <t>Vietnam</t>
  </si>
  <si>
    <t>VN</t>
  </si>
  <si>
    <t>AVI</t>
  </si>
  <si>
    <t>ASEAL Native</t>
  </si>
  <si>
    <t>ASNA</t>
  </si>
  <si>
    <t>Search Retargeting</t>
  </si>
  <si>
    <t>SRT</t>
  </si>
  <si>
    <t>120x140</t>
  </si>
  <si>
    <t>----</t>
  </si>
  <si>
    <t>AVIS BUDGET GROUP</t>
  </si>
  <si>
    <t>ABG</t>
  </si>
  <si>
    <t>Askmen.gr</t>
  </si>
  <si>
    <t>ASKM</t>
  </si>
  <si>
    <t>SocialCause</t>
  </si>
  <si>
    <t>SOCAU</t>
  </si>
  <si>
    <t>120x20</t>
  </si>
  <si>
    <t>Afghanistan</t>
  </si>
  <si>
    <t>AF</t>
  </si>
  <si>
    <t>Avon</t>
  </si>
  <si>
    <t>AVO</t>
  </si>
  <si>
    <t>Astra One</t>
  </si>
  <si>
    <t>ASON</t>
  </si>
  <si>
    <t>Visa First Party</t>
  </si>
  <si>
    <t>VISFP</t>
  </si>
  <si>
    <t>120x240</t>
  </si>
  <si>
    <t>Aland Islands</t>
  </si>
  <si>
    <t>AX</t>
  </si>
  <si>
    <t>Azbuka Vkusa</t>
  </si>
  <si>
    <t>AZV</t>
  </si>
  <si>
    <t>AthensVoice</t>
  </si>
  <si>
    <t>ATVO</t>
  </si>
  <si>
    <t>120x30</t>
  </si>
  <si>
    <t>Albania</t>
  </si>
  <si>
    <t>AL</t>
  </si>
  <si>
    <t>Azul</t>
  </si>
  <si>
    <t>AZL</t>
  </si>
  <si>
    <t>Athinorama.gr</t>
  </si>
  <si>
    <t>ATHI</t>
  </si>
  <si>
    <t>120x60</t>
  </si>
  <si>
    <t>Algeria</t>
  </si>
  <si>
    <t>DZ</t>
  </si>
  <si>
    <t>B &amp; H PHOTO-VIDEO</t>
  </si>
  <si>
    <t>BNH</t>
  </si>
  <si>
    <t>Atlas</t>
  </si>
  <si>
    <t>ATLA</t>
  </si>
  <si>
    <t>120x80</t>
  </si>
  <si>
    <t>American Samoa</t>
  </si>
  <si>
    <t>Banco AV Villas</t>
  </si>
  <si>
    <t>BAV</t>
  </si>
  <si>
    <t>Audiemotion</t>
  </si>
  <si>
    <t>AUMO</t>
  </si>
  <si>
    <t>120x90</t>
  </si>
  <si>
    <t>Andorra</t>
  </si>
  <si>
    <t>Banco de Bogotá</t>
  </si>
  <si>
    <t>BDB</t>
  </si>
  <si>
    <t>1220x300</t>
  </si>
  <si>
    <t>Angola</t>
  </si>
  <si>
    <t>AO</t>
  </si>
  <si>
    <t>Banco de Chile Olimpiadas</t>
  </si>
  <si>
    <t>BCH</t>
  </si>
  <si>
    <t>Aukro.cz</t>
  </si>
  <si>
    <t>AUKR</t>
  </si>
  <si>
    <t>1242x1783</t>
  </si>
  <si>
    <t>Anguilla</t>
  </si>
  <si>
    <t>AI</t>
  </si>
  <si>
    <t>Banco Nacional de Costa Rica</t>
  </si>
  <si>
    <t>BNC</t>
  </si>
  <si>
    <t>Austriacomplus</t>
  </si>
  <si>
    <t>AUCO</t>
  </si>
  <si>
    <t>1242x375</t>
  </si>
  <si>
    <t>Antarctica</t>
  </si>
  <si>
    <t>AQ</t>
  </si>
  <si>
    <t>Bancolombia</t>
  </si>
  <si>
    <t>BCL</t>
  </si>
  <si>
    <t>Autohome</t>
  </si>
  <si>
    <t>AUHO</t>
  </si>
  <si>
    <t>1242x780</t>
  </si>
  <si>
    <t>Antigua and Barbuda</t>
  </si>
  <si>
    <t>AG</t>
  </si>
  <si>
    <t>Bank of America</t>
  </si>
  <si>
    <t>BOA</t>
  </si>
  <si>
    <t>Autopass (Che Ma Ji)</t>
  </si>
  <si>
    <t>AUCH</t>
  </si>
  <si>
    <t>1250x80</t>
  </si>
  <si>
    <t>Armenia</t>
  </si>
  <si>
    <t>AM</t>
  </si>
  <si>
    <t>Bank of China</t>
  </si>
  <si>
    <t>BOC</t>
  </si>
  <si>
    <t>aviakassa.kz</t>
  </si>
  <si>
    <t>AVIK</t>
  </si>
  <si>
    <t>125x125</t>
  </si>
  <si>
    <t>Aruba</t>
  </si>
  <si>
    <t>AW</t>
  </si>
  <si>
    <t>Banorte</t>
  </si>
  <si>
    <t>Aviasales</t>
  </si>
  <si>
    <t>AVIA</t>
  </si>
  <si>
    <t>1260x600</t>
  </si>
  <si>
    <t>Azerbaijan</t>
  </si>
  <si>
    <t>AZ</t>
  </si>
  <si>
    <t>BARNES&amp;NOBLE</t>
  </si>
  <si>
    <t>BNN</t>
  </si>
  <si>
    <t>aviasales.kz</t>
  </si>
  <si>
    <t>AVIS</t>
  </si>
  <si>
    <t>1280x100</t>
  </si>
  <si>
    <t>Bahamas</t>
  </si>
  <si>
    <t>BS</t>
  </si>
  <si>
    <t>BCE INC</t>
  </si>
  <si>
    <t>BCI</t>
  </si>
  <si>
    <t>aviata.kz</t>
  </si>
  <si>
    <t>AVIT</t>
  </si>
  <si>
    <t>1280x176</t>
  </si>
  <si>
    <t>Bahrain</t>
  </si>
  <si>
    <t>BH</t>
  </si>
  <si>
    <t>BED, BATH &amp; BEYOND</t>
  </si>
  <si>
    <t>BBB</t>
  </si>
  <si>
    <t>Avito</t>
  </si>
  <si>
    <t>AVTO</t>
  </si>
  <si>
    <t>1280x200</t>
  </si>
  <si>
    <t>Barbados</t>
  </si>
  <si>
    <t>BB</t>
  </si>
  <si>
    <t>Best Buy</t>
  </si>
  <si>
    <t>BBY</t>
  </si>
  <si>
    <t>Avopolis.gr</t>
  </si>
  <si>
    <t>AVPO</t>
  </si>
  <si>
    <t>1280x600</t>
  </si>
  <si>
    <t>Belize</t>
  </si>
  <si>
    <t>BZ</t>
  </si>
  <si>
    <t>BEST WESTERN HOTELS</t>
  </si>
  <si>
    <t>BWH</t>
  </si>
  <si>
    <t>Axios</t>
  </si>
  <si>
    <t>AXI</t>
  </si>
  <si>
    <t>1280x720</t>
  </si>
  <si>
    <t>Benin</t>
  </si>
  <si>
    <t>BJ</t>
  </si>
  <si>
    <t>Beyond the Rack</t>
  </si>
  <si>
    <t>BTW</t>
  </si>
  <si>
    <t>Axis</t>
  </si>
  <si>
    <t>AXIS</t>
  </si>
  <si>
    <t>1280x800</t>
  </si>
  <si>
    <t>Bermuda</t>
  </si>
  <si>
    <t>BM</t>
  </si>
  <si>
    <t>BHARTI ENTERPRISES</t>
  </si>
  <si>
    <t>BHE</t>
  </si>
  <si>
    <t>APAC_India</t>
  </si>
  <si>
    <t>az-jenata.bg</t>
  </si>
  <si>
    <t>AZJE</t>
  </si>
  <si>
    <t>1289x800</t>
  </si>
  <si>
    <t>Bhutan</t>
  </si>
  <si>
    <t>BT</t>
  </si>
  <si>
    <t>BHPetrol</t>
  </si>
  <si>
    <t>BHP</t>
  </si>
  <si>
    <t>Baidu</t>
  </si>
  <si>
    <t>BIDU</t>
  </si>
  <si>
    <t>1300x200</t>
  </si>
  <si>
    <t>Bolivia</t>
  </si>
  <si>
    <t>BO</t>
  </si>
  <si>
    <t>Big C</t>
  </si>
  <si>
    <t>BIC</t>
  </si>
  <si>
    <t>APAC_Thailand</t>
  </si>
  <si>
    <t>Banki</t>
  </si>
  <si>
    <t>BANK</t>
  </si>
  <si>
    <t>1300x90</t>
  </si>
  <si>
    <t>Bonaire</t>
  </si>
  <si>
    <t>BQ</t>
  </si>
  <si>
    <t>BIG LOTS INC</t>
  </si>
  <si>
    <t>BLI</t>
  </si>
  <si>
    <t>BBC</t>
  </si>
  <si>
    <t>1320x480</t>
  </si>
  <si>
    <t>Botswana</t>
  </si>
  <si>
    <t>BW</t>
  </si>
  <si>
    <t>BILL MATRIX CORPORATION (FISERV)</t>
  </si>
  <si>
    <t>BMC</t>
  </si>
  <si>
    <t>Beeline</t>
  </si>
  <si>
    <t>BEEL</t>
  </si>
  <si>
    <t>1320x50</t>
  </si>
  <si>
    <t>Bouvet Island</t>
  </si>
  <si>
    <t>BV</t>
  </si>
  <si>
    <t>BI-LO LLC</t>
  </si>
  <si>
    <t>BLL</t>
  </si>
  <si>
    <t>Bell</t>
  </si>
  <si>
    <t>BELL</t>
  </si>
  <si>
    <t>1366x768</t>
  </si>
  <si>
    <t>Biomax</t>
  </si>
  <si>
    <t>BIO</t>
  </si>
  <si>
    <t>Berlingske</t>
  </si>
  <si>
    <t>BERL</t>
  </si>
  <si>
    <t>136x970</t>
  </si>
  <si>
    <t>British Indian Ocean Territory</t>
  </si>
  <si>
    <t>IO</t>
  </si>
  <si>
    <t>BJS</t>
  </si>
  <si>
    <t>Besame</t>
  </si>
  <si>
    <t>BSMA</t>
  </si>
  <si>
    <t>1380x220</t>
  </si>
  <si>
    <t>British Virgin Islands</t>
  </si>
  <si>
    <t>VG</t>
  </si>
  <si>
    <t>Bloomingdales.com</t>
  </si>
  <si>
    <t>BLD</t>
  </si>
  <si>
    <t>BestPrice</t>
  </si>
  <si>
    <t>BEPR</t>
  </si>
  <si>
    <t>1400x320</t>
  </si>
  <si>
    <t>Brunei Darussalam</t>
  </si>
  <si>
    <t>BN</t>
  </si>
  <si>
    <t>BOJANGLES RESTAURANTS INC</t>
  </si>
  <si>
    <t>BOJ</t>
  </si>
  <si>
    <t>BestSeller</t>
  </si>
  <si>
    <t>BSEL</t>
  </si>
  <si>
    <t>1440x1024</t>
  </si>
  <si>
    <t>Burkina Faso</t>
  </si>
  <si>
    <t>BF</t>
  </si>
  <si>
    <t>Booking.com</t>
  </si>
  <si>
    <t>BOO</t>
  </si>
  <si>
    <t>BetweenX</t>
  </si>
  <si>
    <t>BETX</t>
  </si>
  <si>
    <t>1440x1080</t>
  </si>
  <si>
    <t>Burundi</t>
  </si>
  <si>
    <t>BI</t>
  </si>
  <si>
    <t>Borderlinx</t>
  </si>
  <si>
    <t>BDL</t>
  </si>
  <si>
    <t>Bgonair.bg</t>
  </si>
  <si>
    <t>BGON</t>
  </si>
  <si>
    <t>144x1020</t>
  </si>
  <si>
    <t>Cambodia</t>
  </si>
  <si>
    <t>KH</t>
  </si>
  <si>
    <t>BPU</t>
  </si>
  <si>
    <t>Biko</t>
  </si>
  <si>
    <t>BIKO</t>
  </si>
  <si>
    <t>144X144</t>
  </si>
  <si>
    <t>144x144</t>
  </si>
  <si>
    <t>Cameroon</t>
  </si>
  <si>
    <t>BP (Australia)</t>
  </si>
  <si>
    <t>BPA</t>
  </si>
  <si>
    <t>BILD</t>
  </si>
  <si>
    <t>1456x180</t>
  </si>
  <si>
    <t>Cape Verde</t>
  </si>
  <si>
    <t>CV</t>
  </si>
  <si>
    <t>Brand</t>
  </si>
  <si>
    <t>INF</t>
  </si>
  <si>
    <t>Bio Bio</t>
  </si>
  <si>
    <t>BBIO</t>
  </si>
  <si>
    <t>1460x760</t>
  </si>
  <si>
    <t>Caribbean</t>
  </si>
  <si>
    <t>Braspag</t>
  </si>
  <si>
    <t>BPG</t>
  </si>
  <si>
    <t>Bite</t>
  </si>
  <si>
    <t>BITE</t>
  </si>
  <si>
    <t>150x150</t>
  </si>
  <si>
    <t>Cayman Islands</t>
  </si>
  <si>
    <t>KY</t>
  </si>
  <si>
    <t>BRINKER</t>
  </si>
  <si>
    <t>BRI</t>
  </si>
  <si>
    <t>Blick</t>
  </si>
  <si>
    <t>BLIK</t>
  </si>
  <si>
    <t>152x112</t>
  </si>
  <si>
    <t>Central African Republic</t>
  </si>
  <si>
    <t>CF</t>
  </si>
  <si>
    <t>BRITISH AIRWAYS</t>
  </si>
  <si>
    <t>BRA</t>
  </si>
  <si>
    <t>Bliink</t>
  </si>
  <si>
    <t>BLIN</t>
  </si>
  <si>
    <t>1536x480</t>
  </si>
  <si>
    <t>Chad</t>
  </si>
  <si>
    <t>TD</t>
  </si>
  <si>
    <t>Broadway Cinema</t>
  </si>
  <si>
    <t>BWC</t>
  </si>
  <si>
    <t>Blis Medi</t>
  </si>
  <si>
    <t>BLIS</t>
  </si>
  <si>
    <t>1600x1000</t>
  </si>
  <si>
    <t>Christmas Island</t>
  </si>
  <si>
    <t>CX</t>
  </si>
  <si>
    <t>BUFFALO WILD WINGS</t>
  </si>
  <si>
    <t>BWW</t>
  </si>
  <si>
    <t>Bloombergtv.bg</t>
  </si>
  <si>
    <t>BLOM</t>
  </si>
  <si>
    <t>1600x240</t>
  </si>
  <si>
    <t>Cocos (Keeling) Islands</t>
  </si>
  <si>
    <t>Bunnings</t>
  </si>
  <si>
    <t>BUN</t>
  </si>
  <si>
    <t>Bookmyshow</t>
  </si>
  <si>
    <t>BMSW</t>
  </si>
  <si>
    <t>1600x336</t>
  </si>
  <si>
    <t>Comoros</t>
  </si>
  <si>
    <t>KM</t>
  </si>
  <si>
    <t>BURGER KING</t>
  </si>
  <si>
    <t>BKU</t>
  </si>
  <si>
    <t>Brandon Sun</t>
  </si>
  <si>
    <t>BRAS</t>
  </si>
  <si>
    <t>1600x40</t>
  </si>
  <si>
    <t>Congo</t>
  </si>
  <si>
    <t>CG</t>
  </si>
  <si>
    <t>BURLINGTON COAT FACTORY WAREHOUSE</t>
  </si>
  <si>
    <t>BCF</t>
  </si>
  <si>
    <t>BRANT</t>
  </si>
  <si>
    <t>YBRAN</t>
  </si>
  <si>
    <t>1600x900</t>
  </si>
  <si>
    <t>Cook Islands</t>
  </si>
  <si>
    <t>CK</t>
  </si>
  <si>
    <t>C&amp;A</t>
  </si>
  <si>
    <t>Bravo Media</t>
  </si>
  <si>
    <t>BRME</t>
  </si>
  <si>
    <t>1608 x 850</t>
  </si>
  <si>
    <t>Cote d'Ivoire</t>
  </si>
  <si>
    <t>CI</t>
  </si>
  <si>
    <t>CABELAS INC</t>
  </si>
  <si>
    <t>CAB</t>
  </si>
  <si>
    <t>Bridgewell TW</t>
  </si>
  <si>
    <t>BRID</t>
  </si>
  <si>
    <t>160x160</t>
  </si>
  <si>
    <t>Croatia</t>
  </si>
  <si>
    <t>HR</t>
  </si>
  <si>
    <t>CALTEX</t>
  </si>
  <si>
    <t>CAX</t>
  </si>
  <si>
    <t>Brightcom</t>
  </si>
  <si>
    <t>BRCO</t>
  </si>
  <si>
    <t>160x240</t>
  </si>
  <si>
    <t>Cuba</t>
  </si>
  <si>
    <t>CU</t>
  </si>
  <si>
    <t>Cambia Health</t>
  </si>
  <si>
    <t>CAH</t>
  </si>
  <si>
    <t>BRIGHTROLL</t>
  </si>
  <si>
    <t>BTRL</t>
  </si>
  <si>
    <t>Curacao</t>
  </si>
  <si>
    <t>CW</t>
  </si>
  <si>
    <t>CANADIAN TIRE CORPORATION LTD</t>
  </si>
  <si>
    <t>CTL</t>
  </si>
  <si>
    <t>BTSport</t>
  </si>
  <si>
    <t>BTSP</t>
  </si>
  <si>
    <t>160x800</t>
  </si>
  <si>
    <t>Djibouti</t>
  </si>
  <si>
    <t>DJ</t>
  </si>
  <si>
    <t>CareCredit</t>
  </si>
  <si>
    <t>CCD</t>
  </si>
  <si>
    <t>btv.bg</t>
  </si>
  <si>
    <t>BTVB</t>
  </si>
  <si>
    <t>1640x640</t>
  </si>
  <si>
    <t>Dominica</t>
  </si>
  <si>
    <t>DM</t>
  </si>
  <si>
    <t>Caribbean Airlines</t>
  </si>
  <si>
    <t>CRR</t>
  </si>
  <si>
    <t>LATAM_Trinidad</t>
  </si>
  <si>
    <t>Btvnovinite.bg</t>
  </si>
  <si>
    <t>BTNO</t>
  </si>
  <si>
    <t>1680x900</t>
  </si>
  <si>
    <t>DR Congo</t>
  </si>
  <si>
    <t>CD</t>
  </si>
  <si>
    <t>CARLSON GROUP</t>
  </si>
  <si>
    <t>CAG</t>
  </si>
  <si>
    <t>Btvplus.bg</t>
  </si>
  <si>
    <t>BTPL</t>
  </si>
  <si>
    <t>168x28</t>
  </si>
  <si>
    <t>El Salvador</t>
  </si>
  <si>
    <t>SV</t>
  </si>
  <si>
    <t>CARNIVAL CORP</t>
  </si>
  <si>
    <t>CAC</t>
  </si>
  <si>
    <t>Bufeo DOM</t>
  </si>
  <si>
    <t>BUFE</t>
  </si>
  <si>
    <t>168x42</t>
  </si>
  <si>
    <t>Equatorial Guinea</t>
  </si>
  <si>
    <t>GQ</t>
  </si>
  <si>
    <t>CARREFOUR</t>
  </si>
  <si>
    <t>CAF</t>
  </si>
  <si>
    <t>bunte.de</t>
  </si>
  <si>
    <t>BUNT</t>
  </si>
  <si>
    <t>16x9</t>
  </si>
  <si>
    <t>Eritrea</t>
  </si>
  <si>
    <t>ER</t>
  </si>
  <si>
    <t>Carrefour / Atacadão</t>
  </si>
  <si>
    <t>CAA</t>
  </si>
  <si>
    <t>Buro247</t>
  </si>
  <si>
    <t>BURO</t>
  </si>
  <si>
    <t>175x300</t>
  </si>
  <si>
    <t>Estonia</t>
  </si>
  <si>
    <t>EE</t>
  </si>
  <si>
    <t>Carrefour Indonesia</t>
  </si>
  <si>
    <t>CAI</t>
  </si>
  <si>
    <t>Buytopia</t>
  </si>
  <si>
    <t>BUYT</t>
  </si>
  <si>
    <t>176x1080</t>
  </si>
  <si>
    <t>Ethiopia</t>
  </si>
  <si>
    <t>ET</t>
  </si>
  <si>
    <t>CARTER'S</t>
  </si>
  <si>
    <t>CRT</t>
  </si>
  <si>
    <t>BuzzFeed</t>
  </si>
  <si>
    <t>BZFD</t>
  </si>
  <si>
    <t>1800x1000</t>
  </si>
  <si>
    <t>Falkland Islands</t>
  </si>
  <si>
    <t>FK</t>
  </si>
  <si>
    <t>Carulla</t>
  </si>
  <si>
    <t>CLL</t>
  </si>
  <si>
    <t>Buzzoola</t>
  </si>
  <si>
    <t>BUZO</t>
  </si>
  <si>
    <t>1800x1800</t>
  </si>
  <si>
    <t>Faroe Islands</t>
  </si>
  <si>
    <t>FO</t>
  </si>
  <si>
    <t>Casas Bahia / Ponto Frio</t>
  </si>
  <si>
    <t>CBP</t>
  </si>
  <si>
    <t>Canal 13</t>
  </si>
  <si>
    <t>CNTR</t>
  </si>
  <si>
    <t>180x150</t>
  </si>
  <si>
    <t>Fiji</t>
  </si>
  <si>
    <t>FJ</t>
  </si>
  <si>
    <t>CASEYS GENERAL STORES</t>
  </si>
  <si>
    <t>CGS</t>
  </si>
  <si>
    <t>capital.bg</t>
  </si>
  <si>
    <t>CAPI</t>
  </si>
  <si>
    <t>180x180</t>
  </si>
  <si>
    <t>French Guiana</t>
  </si>
  <si>
    <t>GF</t>
  </si>
  <si>
    <t>Cash Security Week</t>
  </si>
  <si>
    <t>CSW</t>
  </si>
  <si>
    <t>Caracol Radio</t>
  </si>
  <si>
    <t>CARR</t>
  </si>
  <si>
    <t>180x280</t>
  </si>
  <si>
    <t>French Polynesia</t>
  </si>
  <si>
    <t>Cashless SP</t>
  </si>
  <si>
    <t>CASP</t>
  </si>
  <si>
    <t>CardU</t>
  </si>
  <si>
    <t>CARD</t>
  </si>
  <si>
    <t>1900x1000</t>
  </si>
  <si>
    <t>French Southern Territories</t>
  </si>
  <si>
    <t>TF</t>
  </si>
  <si>
    <t>Cathay Pacific</t>
  </si>
  <si>
    <t>CAP</t>
  </si>
  <si>
    <t>APAC_Hong Kong</t>
  </si>
  <si>
    <t>Carver media</t>
  </si>
  <si>
    <t>CAME</t>
  </si>
  <si>
    <t>1900x1200</t>
  </si>
  <si>
    <t>Gabon</t>
  </si>
  <si>
    <t>CBRL GROUP (CRACKER BARREL)</t>
  </si>
  <si>
    <t>CBR</t>
  </si>
  <si>
    <t>CBC (Digital)</t>
  </si>
  <si>
    <t>CBCD</t>
  </si>
  <si>
    <t>1920×380</t>
  </si>
  <si>
    <t>Gambia</t>
  </si>
  <si>
    <t>GM</t>
  </si>
  <si>
    <t>Cebu Pacific</t>
  </si>
  <si>
    <t>CEB</t>
  </si>
  <si>
    <t>APAC_Phillippines</t>
  </si>
  <si>
    <t>cedok.cz</t>
  </si>
  <si>
    <t>CDOK</t>
  </si>
  <si>
    <t>1920x1080</t>
  </si>
  <si>
    <t>Georgia</t>
  </si>
  <si>
    <t>GE</t>
  </si>
  <si>
    <t>Cencosud</t>
  </si>
  <si>
    <t>CEN</t>
  </si>
  <si>
    <t>ceneo.pl</t>
  </si>
  <si>
    <t>CENE</t>
  </si>
  <si>
    <t>1920x170</t>
  </si>
  <si>
    <t>Gibraltar</t>
  </si>
  <si>
    <t>GI</t>
  </si>
  <si>
    <t>Central chidlom</t>
  </si>
  <si>
    <t>CTH</t>
  </si>
  <si>
    <t>Ceskatelevize</t>
  </si>
  <si>
    <t>cesk</t>
  </si>
  <si>
    <t>1920x180</t>
  </si>
  <si>
    <t>Global</t>
  </si>
  <si>
    <t>GBL</t>
  </si>
  <si>
    <t>Centralworld</t>
  </si>
  <si>
    <t>CTW</t>
  </si>
  <si>
    <t>cestujlevne.com</t>
  </si>
  <si>
    <t>CEST</t>
  </si>
  <si>
    <t>1920x340</t>
  </si>
  <si>
    <t>Greenland</t>
  </si>
  <si>
    <t>GL</t>
  </si>
  <si>
    <t>Centsible Choice</t>
  </si>
  <si>
    <t>CTC</t>
  </si>
  <si>
    <t>CET 21</t>
  </si>
  <si>
    <t>CE21</t>
  </si>
  <si>
    <t>1920x360</t>
  </si>
  <si>
    <t>Grenada</t>
  </si>
  <si>
    <t>GD</t>
  </si>
  <si>
    <t>CENTURYLINK (CENTURYLINK AND QWEST)</t>
  </si>
  <si>
    <t>CEL</t>
  </si>
  <si>
    <t>Championat</t>
  </si>
  <si>
    <t>CHPT</t>
  </si>
  <si>
    <t>1920x380</t>
  </si>
  <si>
    <t>Guadeloupe</t>
  </si>
  <si>
    <t>GP</t>
  </si>
  <si>
    <t>CERBERUS (SAFEWAY &amp; ALBERTSONS)</t>
  </si>
  <si>
    <t>CER</t>
  </si>
  <si>
    <t>Cheffsfeed</t>
  </si>
  <si>
    <t>CHEF</t>
  </si>
  <si>
    <t>1940x500</t>
  </si>
  <si>
    <t>Guam</t>
  </si>
  <si>
    <t>GU</t>
  </si>
  <si>
    <t>CHANEL</t>
  </si>
  <si>
    <t>CHL</t>
  </si>
  <si>
    <t>chilevision</t>
  </si>
  <si>
    <t>CHLV</t>
  </si>
  <si>
    <t>1980x600</t>
  </si>
  <si>
    <t>Guernsey</t>
  </si>
  <si>
    <t>GG</t>
  </si>
  <si>
    <t>CHARTER COMMUNICATIONS</t>
  </si>
  <si>
    <t>CHM</t>
  </si>
  <si>
    <t>chocotravel.kz</t>
  </si>
  <si>
    <t>CHOCO</t>
  </si>
  <si>
    <t>Guinea</t>
  </si>
  <si>
    <t>GN</t>
  </si>
  <si>
    <t>Chase</t>
  </si>
  <si>
    <t>CHA</t>
  </si>
  <si>
    <t>Cinema.com.hk</t>
  </si>
  <si>
    <t>CNHK</t>
  </si>
  <si>
    <t>2000x1000</t>
  </si>
  <si>
    <t>Guinea-Bissau</t>
  </si>
  <si>
    <t>GW</t>
  </si>
  <si>
    <t>Chedraui</t>
  </si>
  <si>
    <t>CHD</t>
  </si>
  <si>
    <t>Cineplex</t>
  </si>
  <si>
    <t>CINE</t>
  </si>
  <si>
    <t>2000x1200</t>
  </si>
  <si>
    <t>Guyana</t>
  </si>
  <si>
    <t>GY</t>
  </si>
  <si>
    <t>Cheers</t>
  </si>
  <si>
    <t>CHE</t>
  </si>
  <si>
    <t>Citymagazine</t>
  </si>
  <si>
    <t>CIMZ</t>
  </si>
  <si>
    <t>2000x600</t>
  </si>
  <si>
    <t>Haiti</t>
  </si>
  <si>
    <t>HT</t>
  </si>
  <si>
    <t>CHEVRON</t>
  </si>
  <si>
    <t>CHV</t>
  </si>
  <si>
    <t>Clarín</t>
  </si>
  <si>
    <t>CLAR</t>
  </si>
  <si>
    <t>200x144</t>
  </si>
  <si>
    <t>Heard Island and McDonald Islands</t>
  </si>
  <si>
    <t>HM</t>
  </si>
  <si>
    <t>China Construction Bank</t>
  </si>
  <si>
    <t>CCB</t>
  </si>
  <si>
    <t>Claro Video</t>
  </si>
  <si>
    <t>CLAV</t>
  </si>
  <si>
    <t>200x150</t>
  </si>
  <si>
    <t>Holy See</t>
  </si>
  <si>
    <t>VA</t>
  </si>
  <si>
    <t>Chope</t>
  </si>
  <si>
    <t>CHO</t>
  </si>
  <si>
    <t>Click the City</t>
  </si>
  <si>
    <t>CLTC</t>
  </si>
  <si>
    <t>200x153</t>
  </si>
  <si>
    <t>Honduras</t>
  </si>
  <si>
    <t>HN</t>
  </si>
  <si>
    <t>Cine Hoyts</t>
  </si>
  <si>
    <t>CHY</t>
  </si>
  <si>
    <t>Clinch</t>
  </si>
  <si>
    <t>CLCH</t>
  </si>
  <si>
    <t>200x350</t>
  </si>
  <si>
    <t>Iceland</t>
  </si>
  <si>
    <t>IS</t>
  </si>
  <si>
    <t>CIN</t>
  </si>
  <si>
    <t>Cluep</t>
  </si>
  <si>
    <t>CLUE</t>
  </si>
  <si>
    <t>200x400</t>
  </si>
  <si>
    <t>Iran</t>
  </si>
  <si>
    <t>IR</t>
  </si>
  <si>
    <t>Cirque du Soleil</t>
  </si>
  <si>
    <t>CDS</t>
  </si>
  <si>
    <t>CMI digital services</t>
  </si>
  <si>
    <t>CMID</t>
  </si>
  <si>
    <t>200x446</t>
  </si>
  <si>
    <t>Iraq</t>
  </si>
  <si>
    <t>IQ</t>
  </si>
  <si>
    <t>CIT</t>
  </si>
  <si>
    <t>cn.dealmoon.com</t>
  </si>
  <si>
    <t>DEAL</t>
  </si>
  <si>
    <t>200x600</t>
  </si>
  <si>
    <t>Isle of Man</t>
  </si>
  <si>
    <t>IM</t>
  </si>
  <si>
    <t>Clearly Contacts</t>
  </si>
  <si>
    <t>CLE</t>
  </si>
  <si>
    <t>CNC</t>
  </si>
  <si>
    <t>200x800</t>
  </si>
  <si>
    <t>Jersey</t>
  </si>
  <si>
    <t>JE</t>
  </si>
  <si>
    <t>ClickBus</t>
  </si>
  <si>
    <t>CKB</t>
  </si>
  <si>
    <t>CNN.com</t>
  </si>
  <si>
    <t>CNN</t>
  </si>
  <si>
    <t>200x90</t>
  </si>
  <si>
    <t>Jordan</t>
  </si>
  <si>
    <t>JO</t>
  </si>
  <si>
    <t>Cnova</t>
  </si>
  <si>
    <t>CVA</t>
  </si>
  <si>
    <t>CocCoc</t>
  </si>
  <si>
    <t>COCC</t>
  </si>
  <si>
    <t>2100x1500</t>
  </si>
  <si>
    <t>Kenya</t>
  </si>
  <si>
    <t>KE</t>
  </si>
  <si>
    <t>Cold Storage</t>
  </si>
  <si>
    <t>COS</t>
  </si>
  <si>
    <t>COCOAS</t>
  </si>
  <si>
    <t>COCO</t>
  </si>
  <si>
    <t>216x36</t>
  </si>
  <si>
    <t>Kiribati</t>
  </si>
  <si>
    <t>KI</t>
  </si>
  <si>
    <t>Cole Haan</t>
  </si>
  <si>
    <t>CLH</t>
  </si>
  <si>
    <t>Comode.kz</t>
  </si>
  <si>
    <t>COMD</t>
  </si>
  <si>
    <t>216x54</t>
  </si>
  <si>
    <t>Korea DPR</t>
  </si>
  <si>
    <t>KP</t>
  </si>
  <si>
    <t>Comgateway</t>
  </si>
  <si>
    <t>CGW</t>
  </si>
  <si>
    <t>Concrete Playground</t>
  </si>
  <si>
    <t>COPL</t>
  </si>
  <si>
    <t>220x50</t>
  </si>
  <si>
    <t>Kuwait</t>
  </si>
  <si>
    <t>KW</t>
  </si>
  <si>
    <t>Comgateway and OneNow</t>
  </si>
  <si>
    <t>CAO</t>
  </si>
  <si>
    <t>Conde Nast</t>
  </si>
  <si>
    <t>CONA</t>
  </si>
  <si>
    <t>220x90</t>
  </si>
  <si>
    <t>Kyrgyzstan</t>
  </si>
  <si>
    <t>KG</t>
  </si>
  <si>
    <t>Compare Hero</t>
  </si>
  <si>
    <t>COM</t>
  </si>
  <si>
    <t>ConnectAd</t>
  </si>
  <si>
    <t>CNAD</t>
  </si>
  <si>
    <t>230x218</t>
  </si>
  <si>
    <t>Laos</t>
  </si>
  <si>
    <t>LA</t>
  </si>
  <si>
    <t>Conrad</t>
  </si>
  <si>
    <t>Contadd</t>
  </si>
  <si>
    <t>COAD</t>
  </si>
  <si>
    <t>230x230</t>
  </si>
  <si>
    <t>Latvia</t>
  </si>
  <si>
    <t>LV</t>
  </si>
  <si>
    <t>Costco</t>
  </si>
  <si>
    <t>CCO</t>
  </si>
  <si>
    <t>Contra.gr</t>
  </si>
  <si>
    <t>CONT</t>
  </si>
  <si>
    <t>234x60</t>
  </si>
  <si>
    <t>Lebanon</t>
  </si>
  <si>
    <t>LB</t>
  </si>
  <si>
    <t>Costco Hypermarket Taiwan</t>
  </si>
  <si>
    <t>CHT</t>
  </si>
  <si>
    <t>APAC_Taiwan</t>
  </si>
  <si>
    <t>Cooperativa</t>
  </si>
  <si>
    <t>COOP</t>
  </si>
  <si>
    <t>234x90</t>
  </si>
  <si>
    <t>Lesotho</t>
  </si>
  <si>
    <t>LS</t>
  </si>
  <si>
    <t>COUCHE-TARD (CIRCLE K)</t>
  </si>
  <si>
    <t>COU</t>
  </si>
  <si>
    <t>Core Programmatic</t>
  </si>
  <si>
    <t>COPR</t>
  </si>
  <si>
    <t>240x140</t>
  </si>
  <si>
    <t>Liberia</t>
  </si>
  <si>
    <t>LR</t>
  </si>
  <si>
    <t>COX ENTERPRISES</t>
  </si>
  <si>
    <t>COE</t>
  </si>
  <si>
    <t>Corus</t>
  </si>
  <si>
    <t>CORU</t>
  </si>
  <si>
    <t>240x150</t>
  </si>
  <si>
    <t>Libya</t>
  </si>
  <si>
    <t>LY</t>
  </si>
  <si>
    <t>CRA</t>
  </si>
  <si>
    <t>Cosmopolitan</t>
  </si>
  <si>
    <t>COPO</t>
  </si>
  <si>
    <t>240x200</t>
  </si>
  <si>
    <t>Liechtenstein</t>
  </si>
  <si>
    <t>LI</t>
  </si>
  <si>
    <t>Crazy8</t>
  </si>
  <si>
    <t>CRZ</t>
  </si>
  <si>
    <t>CQN</t>
  </si>
  <si>
    <t>240x240</t>
  </si>
  <si>
    <t>Lithuania</t>
  </si>
  <si>
    <t>LT</t>
  </si>
  <si>
    <t>Critical Mix</t>
  </si>
  <si>
    <t>CTM</t>
  </si>
  <si>
    <t>Crhoy</t>
  </si>
  <si>
    <t>CRHY</t>
  </si>
  <si>
    <t>240x320</t>
  </si>
  <si>
    <t>Luxembourg</t>
  </si>
  <si>
    <t>LU</t>
  </si>
  <si>
    <t>Ctrip</t>
  </si>
  <si>
    <t>CTP</t>
  </si>
  <si>
    <t>Crimtan</t>
  </si>
  <si>
    <t>CRIM</t>
  </si>
  <si>
    <t>240x400</t>
  </si>
  <si>
    <t>Macao</t>
  </si>
  <si>
    <t>CUSP by Neiman Marcus</t>
  </si>
  <si>
    <t>CUS</t>
  </si>
  <si>
    <t>CRM</t>
  </si>
  <si>
    <t>240x600</t>
  </si>
  <si>
    <t>Macedonia</t>
  </si>
  <si>
    <t>MK</t>
  </si>
  <si>
    <t>CVS HEALTH</t>
  </si>
  <si>
    <t>CVS</t>
  </si>
  <si>
    <t>Crossfinity Digital Asia</t>
  </si>
  <si>
    <t>CRDA</t>
  </si>
  <si>
    <t>247x211</t>
  </si>
  <si>
    <t>Madagascar</t>
  </si>
  <si>
    <t>MG</t>
  </si>
  <si>
    <t>Daimaru</t>
  </si>
  <si>
    <t>DAI</t>
  </si>
  <si>
    <t>Crucial Interactive</t>
  </si>
  <si>
    <t>CRUC</t>
  </si>
  <si>
    <t>2490x261</t>
  </si>
  <si>
    <t>Malawi</t>
  </si>
  <si>
    <t>Dairy Farm - 7-Eleven HK</t>
  </si>
  <si>
    <t>DFE</t>
  </si>
  <si>
    <t>CU Journal</t>
  </si>
  <si>
    <t>CUJO</t>
  </si>
  <si>
    <t>2490x440</t>
  </si>
  <si>
    <t>Maldives</t>
  </si>
  <si>
    <t>DAIRY QUEEN</t>
  </si>
  <si>
    <t>DAQ</t>
  </si>
  <si>
    <t>CU Times</t>
  </si>
  <si>
    <t>CUTI</t>
  </si>
  <si>
    <t>250x200</t>
  </si>
  <si>
    <t>Mali</t>
  </si>
  <si>
    <t>ML</t>
  </si>
  <si>
    <t>DARDEN</t>
  </si>
  <si>
    <t>DAR</t>
  </si>
  <si>
    <t>Daddy-cool.gr</t>
  </si>
  <si>
    <t>DADD</t>
  </si>
  <si>
    <t>250x360</t>
  </si>
  <si>
    <t>Malta</t>
  </si>
  <si>
    <t>MT</t>
  </si>
  <si>
    <t>Dave Mathews Band</t>
  </si>
  <si>
    <t>DMB</t>
  </si>
  <si>
    <t>Daily Hive</t>
  </si>
  <si>
    <t>DAHI</t>
  </si>
  <si>
    <t>250x370</t>
  </si>
  <si>
    <t>Marshall Islands</t>
  </si>
  <si>
    <t>MH</t>
  </si>
  <si>
    <t>Decolar</t>
  </si>
  <si>
    <t>DCR</t>
  </si>
  <si>
    <t>Daily Mail</t>
  </si>
  <si>
    <t>DAML</t>
  </si>
  <si>
    <t>250x400</t>
  </si>
  <si>
    <t>Martinique</t>
  </si>
  <si>
    <t>MQ</t>
  </si>
  <si>
    <t>DEFENSE COMMISSARY AGENCY</t>
  </si>
  <si>
    <t>DCA</t>
  </si>
  <si>
    <t>Dailymotion</t>
  </si>
  <si>
    <t>DAMO</t>
  </si>
  <si>
    <t>250x50</t>
  </si>
  <si>
    <t>Mauritania</t>
  </si>
  <si>
    <t>MR</t>
  </si>
  <si>
    <t>DELHAIZE (FOOD LION)</t>
  </si>
  <si>
    <t>DLH</t>
  </si>
  <si>
    <t>Dalivali.bg</t>
  </si>
  <si>
    <t>DALI</t>
  </si>
  <si>
    <t>250x600</t>
  </si>
  <si>
    <t>Mauritius</t>
  </si>
  <si>
    <t>MU</t>
  </si>
  <si>
    <t>Deliveroo</t>
  </si>
  <si>
    <t>DEV</t>
  </si>
  <si>
    <t>dariknews.bg</t>
  </si>
  <si>
    <t>DABG</t>
  </si>
  <si>
    <t>2560x1600</t>
  </si>
  <si>
    <t>Mayotte</t>
  </si>
  <si>
    <t>YT</t>
  </si>
  <si>
    <t>Delivery.com</t>
  </si>
  <si>
    <t>DEL</t>
  </si>
  <si>
    <t>Datalogix</t>
  </si>
  <si>
    <t>DTLX</t>
  </si>
  <si>
    <t>2560x2560</t>
  </si>
  <si>
    <t>Micronesia</t>
  </si>
  <si>
    <t>FM</t>
  </si>
  <si>
    <t>DELTA</t>
  </si>
  <si>
    <t>DLT</t>
  </si>
  <si>
    <t>Daum</t>
  </si>
  <si>
    <t>DAUM</t>
  </si>
  <si>
    <t>260x260</t>
  </si>
  <si>
    <t>Middle East and North Africa</t>
  </si>
  <si>
    <t>MENA</t>
  </si>
  <si>
    <t>Delta Airlines</t>
  </si>
  <si>
    <t>DLA</t>
  </si>
  <si>
    <t>Delo</t>
  </si>
  <si>
    <t>DELO</t>
  </si>
  <si>
    <t>270x202</t>
  </si>
  <si>
    <t>Moldova</t>
  </si>
  <si>
    <t>MD</t>
  </si>
  <si>
    <t>Demo</t>
  </si>
  <si>
    <t>denik.cz</t>
  </si>
  <si>
    <t>DENK</t>
  </si>
  <si>
    <t>280x100</t>
  </si>
  <si>
    <t>Monaco</t>
  </si>
  <si>
    <t>MC</t>
  </si>
  <si>
    <t>DENNYS CORPORATION</t>
  </si>
  <si>
    <t>DEC</t>
  </si>
  <si>
    <t>Depor Perú</t>
  </si>
  <si>
    <t>DPPE</t>
  </si>
  <si>
    <t>280x280</t>
  </si>
  <si>
    <t>Mongolia</t>
  </si>
  <si>
    <t>MN</t>
  </si>
  <si>
    <t>DFS GALLERIA</t>
  </si>
  <si>
    <t>DFS</t>
  </si>
  <si>
    <t>derStandard.at</t>
  </si>
  <si>
    <t>DERS</t>
  </si>
  <si>
    <t>288x190</t>
  </si>
  <si>
    <t>Montenegro</t>
  </si>
  <si>
    <t>ME</t>
  </si>
  <si>
    <t>DFS Regional (Hong Kong)</t>
  </si>
  <si>
    <t>DFH</t>
  </si>
  <si>
    <t>Despegar</t>
  </si>
  <si>
    <t>DSPG</t>
  </si>
  <si>
    <t>3000x1200</t>
  </si>
  <si>
    <t>Montserrat</t>
  </si>
  <si>
    <t>DICKS SPORTING GOODS</t>
  </si>
  <si>
    <t>DSG</t>
  </si>
  <si>
    <t>Dialogix</t>
  </si>
  <si>
    <t>DIAL</t>
  </si>
  <si>
    <t>300x100</t>
  </si>
  <si>
    <t>Morocco</t>
  </si>
  <si>
    <t>MA</t>
  </si>
  <si>
    <t>DILLARDS</t>
  </si>
  <si>
    <t>DIL</t>
  </si>
  <si>
    <t>Diario Libre</t>
  </si>
  <si>
    <t>DLIB</t>
  </si>
  <si>
    <t>300x1050</t>
  </si>
  <si>
    <t>Mozambique</t>
  </si>
  <si>
    <t>MZ</t>
  </si>
  <si>
    <t>Dimbuy</t>
  </si>
  <si>
    <t>DBY</t>
  </si>
  <si>
    <t>diarios del interior</t>
  </si>
  <si>
    <t>DIIN</t>
  </si>
  <si>
    <t>300x125</t>
  </si>
  <si>
    <t>Namibia</t>
  </si>
  <si>
    <t>DINEEQUITY (IHOP, APPLEBEES)</t>
  </si>
  <si>
    <t>DIQ</t>
  </si>
  <si>
    <t>Digital Contact</t>
  </si>
  <si>
    <t>DICO</t>
  </si>
  <si>
    <t>300x150</t>
  </si>
  <si>
    <t>Nauru</t>
  </si>
  <si>
    <t>NR</t>
  </si>
  <si>
    <t>Dining Series</t>
  </si>
  <si>
    <t>DIN</t>
  </si>
  <si>
    <t>Digital Max</t>
  </si>
  <si>
    <t>DMAX</t>
  </si>
  <si>
    <t>300x200</t>
  </si>
  <si>
    <t>Nepal</t>
  </si>
  <si>
    <t>NP</t>
  </si>
  <si>
    <t>DISH NETWORK</t>
  </si>
  <si>
    <t>DSH</t>
  </si>
  <si>
    <t>Digital Venture</t>
  </si>
  <si>
    <t>DIVE</t>
  </si>
  <si>
    <t>New Caledonia</t>
  </si>
  <si>
    <t>NC</t>
  </si>
  <si>
    <t>DISNEY</t>
  </si>
  <si>
    <t>DSN</t>
  </si>
  <si>
    <t>Digiteka</t>
  </si>
  <si>
    <t>DIKA</t>
  </si>
  <si>
    <t>300x300</t>
  </si>
  <si>
    <t>Nicaragua</t>
  </si>
  <si>
    <t>NI</t>
  </si>
  <si>
    <t>District M</t>
  </si>
  <si>
    <t>DIS</t>
  </si>
  <si>
    <t>Digo Net</t>
  </si>
  <si>
    <t>DIGO</t>
  </si>
  <si>
    <t>300x360</t>
  </si>
  <si>
    <t>Niger</t>
  </si>
  <si>
    <t>DOCTORS ASSOCIATES (SUBWAY)</t>
  </si>
  <si>
    <t>DAS</t>
  </si>
  <si>
    <t>dir.bg</t>
  </si>
  <si>
    <t>DRBG</t>
  </si>
  <si>
    <t>300x370</t>
  </si>
  <si>
    <t>Niue</t>
  </si>
  <si>
    <t>NU</t>
  </si>
  <si>
    <t>DOLLAR GENERAL</t>
  </si>
  <si>
    <t>DOG</t>
  </si>
  <si>
    <t>DISM</t>
  </si>
  <si>
    <t>300x416</t>
  </si>
  <si>
    <t>Norfolk Island</t>
  </si>
  <si>
    <t>NF</t>
  </si>
  <si>
    <t>DOLLAR TREE</t>
  </si>
  <si>
    <t>DOT</t>
  </si>
  <si>
    <t>dksolutions.cl</t>
  </si>
  <si>
    <t>DKSO</t>
  </si>
  <si>
    <t>300x440</t>
  </si>
  <si>
    <t>Northern Mariana Islands</t>
  </si>
  <si>
    <t>Dollaram</t>
  </si>
  <si>
    <t>DOL</t>
  </si>
  <si>
    <t>dnes.bg</t>
  </si>
  <si>
    <t>DNES</t>
  </si>
  <si>
    <t>300x45</t>
  </si>
  <si>
    <t>Oman</t>
  </si>
  <si>
    <t>OM</t>
  </si>
  <si>
    <t>DOMINOS</t>
  </si>
  <si>
    <t>DOM</t>
  </si>
  <si>
    <t>dnes.dir.bg</t>
  </si>
  <si>
    <t>DNDI</t>
  </si>
  <si>
    <t>300x450</t>
  </si>
  <si>
    <t>Pakistan</t>
  </si>
  <si>
    <t>PK</t>
  </si>
  <si>
    <t>Drogaria São Paulo</t>
  </si>
  <si>
    <t>dnevnik.bg</t>
  </si>
  <si>
    <t>DNEV</t>
  </si>
  <si>
    <t>300x480</t>
  </si>
  <si>
    <t>Palau</t>
  </si>
  <si>
    <t>DUBAI DUTY FREE STORES</t>
  </si>
  <si>
    <t>DDF</t>
  </si>
  <si>
    <t>Dogry.pl</t>
  </si>
  <si>
    <t>DOPL</t>
  </si>
  <si>
    <t>300x50</t>
  </si>
  <si>
    <t>Palestine</t>
  </si>
  <si>
    <t>PS</t>
  </si>
  <si>
    <t>DUNKIN' BRANDS</t>
  </si>
  <si>
    <t>DUB</t>
  </si>
  <si>
    <t>Dynadmic</t>
  </si>
  <si>
    <t>DYNA</t>
  </si>
  <si>
    <t>Papua New Guinea</t>
  </si>
  <si>
    <t>Dunkin Donuts</t>
  </si>
  <si>
    <t>DUN</t>
  </si>
  <si>
    <t>e15.cz</t>
  </si>
  <si>
    <t>E15</t>
  </si>
  <si>
    <t>300x500</t>
  </si>
  <si>
    <t>Pitcairn</t>
  </si>
  <si>
    <t>PN</t>
  </si>
  <si>
    <t>Easy Taxi</t>
  </si>
  <si>
    <t>ETX</t>
  </si>
  <si>
    <t>eBay</t>
  </si>
  <si>
    <t>EBAY</t>
  </si>
  <si>
    <t>300x53</t>
  </si>
  <si>
    <t>Portugal</t>
  </si>
  <si>
    <t>Ebates</t>
  </si>
  <si>
    <t>EBA</t>
  </si>
  <si>
    <t>Ebizu</t>
  </si>
  <si>
    <t>EBIZ</t>
  </si>
  <si>
    <t>300x560</t>
  </si>
  <si>
    <t>Qatar</t>
  </si>
  <si>
    <t>QA</t>
  </si>
  <si>
    <t>EBY</t>
  </si>
  <si>
    <t>econ.bg</t>
  </si>
  <si>
    <t>ECON</t>
  </si>
  <si>
    <t>300x60</t>
  </si>
  <si>
    <t>Reunion</t>
  </si>
  <si>
    <t>RE</t>
  </si>
  <si>
    <t>EGYPTAIR</t>
  </si>
  <si>
    <t>EGA</t>
  </si>
  <si>
    <t>CEMEA_Egypt</t>
  </si>
  <si>
    <t>Economia.cz</t>
  </si>
  <si>
    <t>ECCZ</t>
  </si>
  <si>
    <t>Rwanda</t>
  </si>
  <si>
    <t>RW</t>
  </si>
  <si>
    <t>eLong</t>
  </si>
  <si>
    <t>ELO</t>
  </si>
  <si>
    <t>Edadeal</t>
  </si>
  <si>
    <t>EDAD</t>
  </si>
  <si>
    <t>300x64</t>
  </si>
  <si>
    <t>Saint Barthelemy</t>
  </si>
  <si>
    <t>BL</t>
  </si>
  <si>
    <t>Emart</t>
  </si>
  <si>
    <t>EMT</t>
  </si>
  <si>
    <t>APAC_Korea</t>
  </si>
  <si>
    <t>EDBMS</t>
  </si>
  <si>
    <t>EDBM</t>
  </si>
  <si>
    <t>300x75</t>
  </si>
  <si>
    <t>Saint Helena</t>
  </si>
  <si>
    <t>SH</t>
  </si>
  <si>
    <t>Emirates Airline</t>
  </si>
  <si>
    <t>EMA</t>
  </si>
  <si>
    <t>Edipresse</t>
  </si>
  <si>
    <t>EDIP</t>
  </si>
  <si>
    <t>300x90</t>
  </si>
  <si>
    <t>Saint Kitts and Nevis</t>
  </si>
  <si>
    <t>KN</t>
  </si>
  <si>
    <t>Emirates Airlines</t>
  </si>
  <si>
    <t>edna.bg</t>
  </si>
  <si>
    <t>EDNA</t>
  </si>
  <si>
    <t>306x105</t>
  </si>
  <si>
    <t>Saint Lucia</t>
  </si>
  <si>
    <t>LC</t>
  </si>
  <si>
    <t>Empik</t>
  </si>
  <si>
    <t>EMP</t>
  </si>
  <si>
    <t>Edreams</t>
  </si>
  <si>
    <t>EDRE</t>
  </si>
  <si>
    <t>307x350</t>
  </si>
  <si>
    <t>Saint Martin (French part)</t>
  </si>
  <si>
    <t>MF</t>
  </si>
  <si>
    <t>EMV</t>
  </si>
  <si>
    <t>Edreams Odigeo</t>
  </si>
  <si>
    <t>ODGO</t>
  </si>
  <si>
    <t>Saint Pierre and Miquelon</t>
  </si>
  <si>
    <t>PM</t>
  </si>
  <si>
    <t>Eneos</t>
  </si>
  <si>
    <t>ENO</t>
  </si>
  <si>
    <t>EggMobi</t>
  </si>
  <si>
    <t>EggM</t>
  </si>
  <si>
    <t>320x140</t>
  </si>
  <si>
    <t>Saint Vincent and the Grenadines</t>
  </si>
  <si>
    <t>VC</t>
  </si>
  <si>
    <t>ENTERPRISE (ENTERPRISE, ALAMO, NATIONAL)</t>
  </si>
  <si>
    <t>ENT</t>
  </si>
  <si>
    <t>Eikon</t>
  </si>
  <si>
    <t>EIKN</t>
  </si>
  <si>
    <t>320x150</t>
  </si>
  <si>
    <t>Samoa</t>
  </si>
  <si>
    <t>WS</t>
  </si>
  <si>
    <t>ETC</t>
  </si>
  <si>
    <t>Ekstra Bladet</t>
  </si>
  <si>
    <t>EKBL</t>
  </si>
  <si>
    <t>San Marino</t>
  </si>
  <si>
    <t>SM</t>
  </si>
  <si>
    <t>ETIHAD AIRWAYS</t>
  </si>
  <si>
    <t>ETA</t>
  </si>
  <si>
    <t>El Comercio</t>
  </si>
  <si>
    <t>ECO</t>
  </si>
  <si>
    <t>320x160</t>
  </si>
  <si>
    <t>Sao Tome and Principe</t>
  </si>
  <si>
    <t>ST</t>
  </si>
  <si>
    <t>ETSY</t>
  </si>
  <si>
    <t>ESY</t>
  </si>
  <si>
    <t>El Financiero</t>
  </si>
  <si>
    <t>ELFN</t>
  </si>
  <si>
    <t>320x190</t>
  </si>
  <si>
    <t>Senegal</t>
  </si>
  <si>
    <t>SN</t>
  </si>
  <si>
    <t>EURO RTV AGD</t>
  </si>
  <si>
    <t>ERA</t>
  </si>
  <si>
    <t>El Gráfico Chile</t>
  </si>
  <si>
    <t>GRCL</t>
  </si>
  <si>
    <t>320x240</t>
  </si>
  <si>
    <t>Seychelles</t>
  </si>
  <si>
    <t>Evergreen</t>
  </si>
  <si>
    <t>EVE</t>
  </si>
  <si>
    <t>El Nueva Dia</t>
  </si>
  <si>
    <t>ENDI</t>
  </si>
  <si>
    <t>320x250</t>
  </si>
  <si>
    <t>Sierra Leone</t>
  </si>
  <si>
    <t>SL</t>
  </si>
  <si>
    <t>Evergreen Resort Hotel (Jiaosi)</t>
  </si>
  <si>
    <t>ERH</t>
  </si>
  <si>
    <t>El País</t>
  </si>
  <si>
    <t>ELPA</t>
  </si>
  <si>
    <t>320x320</t>
  </si>
  <si>
    <t>Sint Maarten (Dutch part)</t>
  </si>
  <si>
    <t>SX</t>
  </si>
  <si>
    <t>Evernote</t>
  </si>
  <si>
    <t>EVN</t>
  </si>
  <si>
    <t>El Tiempo</t>
  </si>
  <si>
    <t>CEET</t>
  </si>
  <si>
    <t>320x372</t>
  </si>
  <si>
    <t>Slovenia</t>
  </si>
  <si>
    <t>EVROOPT</t>
  </si>
  <si>
    <t>EVR</t>
  </si>
  <si>
    <t>El Vocero</t>
  </si>
  <si>
    <t>EVOC</t>
  </si>
  <si>
    <t>320x40</t>
  </si>
  <si>
    <t>Solomon Islands</t>
  </si>
  <si>
    <t>SB</t>
  </si>
  <si>
    <t>Exito</t>
  </si>
  <si>
    <t>Electronic Arts</t>
  </si>
  <si>
    <t>ELEA</t>
  </si>
  <si>
    <t>320x45</t>
  </si>
  <si>
    <t>Somalia</t>
  </si>
  <si>
    <t>SO</t>
  </si>
  <si>
    <t>Éxito</t>
  </si>
  <si>
    <t>Elenitsolaki.gr</t>
  </si>
  <si>
    <t>ELEN</t>
  </si>
  <si>
    <t>320x460</t>
  </si>
  <si>
    <t>South Georgia and the South Sandwich Islands</t>
  </si>
  <si>
    <t>GS</t>
  </si>
  <si>
    <t>EXPEDIA INC</t>
  </si>
  <si>
    <t>EXP</t>
  </si>
  <si>
    <t>Elespañol</t>
  </si>
  <si>
    <t>ELES</t>
  </si>
  <si>
    <t>320x48</t>
  </si>
  <si>
    <t>South Sudan</t>
  </si>
  <si>
    <t>Extra / Pao de Açucar</t>
  </si>
  <si>
    <t>EPD</t>
  </si>
  <si>
    <t>Elle</t>
  </si>
  <si>
    <t>ELEM</t>
  </si>
  <si>
    <t>320x480</t>
  </si>
  <si>
    <t>Sudan</t>
  </si>
  <si>
    <t>SD</t>
  </si>
  <si>
    <t>EXXON/MOBIL</t>
  </si>
  <si>
    <t>EXM</t>
  </si>
  <si>
    <t>ElleMariePsychologies</t>
  </si>
  <si>
    <t>EMPS</t>
  </si>
  <si>
    <t>320x483</t>
  </si>
  <si>
    <t>Suriname</t>
  </si>
  <si>
    <t>SR</t>
  </si>
  <si>
    <t>FBK</t>
  </si>
  <si>
    <t>Ellen Degeneres</t>
  </si>
  <si>
    <t>ELLE</t>
  </si>
  <si>
    <t>Svalbard and Jan Mayen</t>
  </si>
  <si>
    <t>SJ</t>
  </si>
  <si>
    <t>Facebook &amp; Instagram</t>
  </si>
  <si>
    <t>FBI</t>
  </si>
  <si>
    <t>EmailNetwork</t>
  </si>
  <si>
    <t>EMNW</t>
  </si>
  <si>
    <t>320x548</t>
  </si>
  <si>
    <t>Swaziland</t>
  </si>
  <si>
    <t>SZ</t>
  </si>
  <si>
    <t>Fairmont Hotel</t>
  </si>
  <si>
    <t>FMT</t>
  </si>
  <si>
    <t>EMOL</t>
  </si>
  <si>
    <t>320x568</t>
  </si>
  <si>
    <t>Syria</t>
  </si>
  <si>
    <t>SY</t>
  </si>
  <si>
    <t>Fairprice</t>
  </si>
  <si>
    <t>FAP</t>
  </si>
  <si>
    <t>Emotika</t>
  </si>
  <si>
    <t>EMOT</t>
  </si>
  <si>
    <t>320x600</t>
  </si>
  <si>
    <t>Tajikistan</t>
  </si>
  <si>
    <t>TJ</t>
  </si>
  <si>
    <t>Fairprice &amp; Starbucks</t>
  </si>
  <si>
    <t>FAS</t>
  </si>
  <si>
    <t>Eniro</t>
  </si>
  <si>
    <t>ENIO</t>
  </si>
  <si>
    <t>320x65</t>
  </si>
  <si>
    <t>Tanzania</t>
  </si>
  <si>
    <t>TZ</t>
  </si>
  <si>
    <t>Falabella</t>
  </si>
  <si>
    <t>FLB</t>
  </si>
  <si>
    <t>LATAM_Chile</t>
  </si>
  <si>
    <t>Enjoy</t>
  </si>
  <si>
    <t>EJOY</t>
  </si>
  <si>
    <t>320x75</t>
  </si>
  <si>
    <t>Timor-Leste</t>
  </si>
  <si>
    <t>TL</t>
  </si>
  <si>
    <t>Fandango</t>
  </si>
  <si>
    <t>FAN</t>
  </si>
  <si>
    <t>Enter.co</t>
  </si>
  <si>
    <t>ENTE</t>
  </si>
  <si>
    <t>3300X250</t>
  </si>
  <si>
    <t>3300x250</t>
  </si>
  <si>
    <t>Togo</t>
  </si>
  <si>
    <t>TG</t>
  </si>
  <si>
    <t>FARMACIA PAGUE MENOS</t>
  </si>
  <si>
    <t>FPM</t>
  </si>
  <si>
    <t>E-Radio</t>
  </si>
  <si>
    <t>ERAD</t>
  </si>
  <si>
    <t>330x250</t>
  </si>
  <si>
    <t>Tokelau</t>
  </si>
  <si>
    <t>TK</t>
  </si>
  <si>
    <t>Farmer Market</t>
  </si>
  <si>
    <t>FAM</t>
  </si>
  <si>
    <t>e-spaces.eu</t>
  </si>
  <si>
    <t>ESPA</t>
  </si>
  <si>
    <t>330x320</t>
  </si>
  <si>
    <t>Tonga</t>
  </si>
  <si>
    <t>TO</t>
  </si>
  <si>
    <t>FARMERS INSURANCE GROUP</t>
  </si>
  <si>
    <t>FIG</t>
  </si>
  <si>
    <t>ESPN</t>
  </si>
  <si>
    <t>Tunisia</t>
  </si>
  <si>
    <t>TN</t>
  </si>
  <si>
    <t>FEDERAL EXPRESS</t>
  </si>
  <si>
    <t>FEX</t>
  </si>
  <si>
    <t>Estrategia.cl</t>
  </si>
  <si>
    <t>ESCL</t>
  </si>
  <si>
    <t>336x289</t>
  </si>
  <si>
    <t>Turkmenistan</t>
  </si>
  <si>
    <t>TM</t>
  </si>
  <si>
    <t>Ettoday</t>
  </si>
  <si>
    <t>ETTO</t>
  </si>
  <si>
    <t>350x200</t>
  </si>
  <si>
    <t>Turks and Caicos Islands</t>
  </si>
  <si>
    <t>TC</t>
  </si>
  <si>
    <t>Flight Centre</t>
  </si>
  <si>
    <t>FLC</t>
  </si>
  <si>
    <t>Eurosport</t>
  </si>
  <si>
    <t>EUSP</t>
  </si>
  <si>
    <t>350x240</t>
  </si>
  <si>
    <t>Tuvalu</t>
  </si>
  <si>
    <t>FLYDUBAI</t>
  </si>
  <si>
    <t>FLY</t>
  </si>
  <si>
    <t>Expedia.com</t>
  </si>
  <si>
    <t>EXPE</t>
  </si>
  <si>
    <t>350x410</t>
  </si>
  <si>
    <t>Uganda</t>
  </si>
  <si>
    <t>UG</t>
  </si>
  <si>
    <t>FOCUS BRANDS</t>
  </si>
  <si>
    <t>FOC</t>
  </si>
  <si>
    <t>Expert.bg</t>
  </si>
  <si>
    <t>EXPT</t>
  </si>
  <si>
    <t>350x90</t>
  </si>
  <si>
    <t>United States Minor Outlying Islands</t>
  </si>
  <si>
    <t>UM</t>
  </si>
  <si>
    <t>Food Republic</t>
  </si>
  <si>
    <t>FOR</t>
  </si>
  <si>
    <t>Exponential</t>
  </si>
  <si>
    <t>356x200</t>
  </si>
  <si>
    <t>US Virgin Islands</t>
  </si>
  <si>
    <t>VI</t>
  </si>
  <si>
    <t>Foodstuffs</t>
  </si>
  <si>
    <t>FST</t>
  </si>
  <si>
    <t>Eyeota</t>
  </si>
  <si>
    <t>EYTA</t>
  </si>
  <si>
    <t>360x50</t>
  </si>
  <si>
    <t>Uzbekistan</t>
  </si>
  <si>
    <t>UZ</t>
  </si>
  <si>
    <t>FOOT LOCKER</t>
  </si>
  <si>
    <t>FOL</t>
  </si>
  <si>
    <t>Ezprize</t>
  </si>
  <si>
    <t>EZPR</t>
  </si>
  <si>
    <t>360x640</t>
  </si>
  <si>
    <t>Vanuatu</t>
  </si>
  <si>
    <t>VU</t>
  </si>
  <si>
    <t>FOREVER 21</t>
  </si>
  <si>
    <t>FVR</t>
  </si>
  <si>
    <t>FCBK</t>
  </si>
  <si>
    <t>376x140</t>
  </si>
  <si>
    <t>Venezuela</t>
  </si>
  <si>
    <t>VE</t>
  </si>
  <si>
    <t>Four Seasons</t>
  </si>
  <si>
    <t>FOS</t>
  </si>
  <si>
    <t>Fanatics</t>
  </si>
  <si>
    <t>FNTC</t>
  </si>
  <si>
    <t>384x600</t>
  </si>
  <si>
    <t>Wallis and Futuna</t>
  </si>
  <si>
    <t>WF</t>
  </si>
  <si>
    <t>FreeCharge</t>
  </si>
  <si>
    <t>FRCH</t>
  </si>
  <si>
    <t>Fandango Holiday</t>
  </si>
  <si>
    <t>400x100</t>
  </si>
  <si>
    <t>Western Sahara</t>
  </si>
  <si>
    <t>EH</t>
  </si>
  <si>
    <t>Freedom Pizza</t>
  </si>
  <si>
    <t>FRE</t>
  </si>
  <si>
    <t>FashionGuide</t>
  </si>
  <si>
    <t>FSGD</t>
  </si>
  <si>
    <t>400x250</t>
  </si>
  <si>
    <t>Yemen</t>
  </si>
  <si>
    <t>YE</t>
  </si>
  <si>
    <t>Fuera de Serie</t>
  </si>
  <si>
    <t>FUS</t>
  </si>
  <si>
    <t>400x300</t>
  </si>
  <si>
    <t>Zambia</t>
  </si>
  <si>
    <t>ZM</t>
  </si>
  <si>
    <t>Future Group (Future Retail) (IN)</t>
  </si>
  <si>
    <t>FUG</t>
  </si>
  <si>
    <t>Figaro</t>
  </si>
  <si>
    <t>FGRO</t>
  </si>
  <si>
    <t>400x350</t>
  </si>
  <si>
    <t>Zimbabwe</t>
  </si>
  <si>
    <t>ZW</t>
  </si>
  <si>
    <t>Games Olympics OLV</t>
  </si>
  <si>
    <t>GOV</t>
  </si>
  <si>
    <t>Film</t>
  </si>
  <si>
    <t>FILM</t>
  </si>
  <si>
    <t>400x400</t>
  </si>
  <si>
    <t>GAMESTOP</t>
  </si>
  <si>
    <t>GMT</t>
  </si>
  <si>
    <t>filmweb</t>
  </si>
  <si>
    <t>FWEB</t>
  </si>
  <si>
    <t>414x50</t>
  </si>
  <si>
    <t>GAP</t>
  </si>
  <si>
    <t>finanace.cz</t>
  </si>
  <si>
    <t>FICZ</t>
  </si>
  <si>
    <t>414x736</t>
  </si>
  <si>
    <t>GAP CORP</t>
  </si>
  <si>
    <t>GAC</t>
  </si>
  <si>
    <t>Finance</t>
  </si>
  <si>
    <t>FINN</t>
  </si>
  <si>
    <t>420x240</t>
  </si>
  <si>
    <t>Garuda</t>
  </si>
  <si>
    <t>GRD</t>
  </si>
  <si>
    <t>Finans</t>
  </si>
  <si>
    <t>FINA</t>
  </si>
  <si>
    <t>420x420</t>
  </si>
  <si>
    <t>GCA (GLOBAL CASH ACCESS)</t>
  </si>
  <si>
    <t>GCA</t>
  </si>
  <si>
    <t>Firstly</t>
  </si>
  <si>
    <t>FRLY</t>
  </si>
  <si>
    <t>420x80</t>
  </si>
  <si>
    <t>GEICO</t>
  </si>
  <si>
    <t>GEI</t>
  </si>
  <si>
    <t>Flimper</t>
  </si>
  <si>
    <t>FlIM</t>
  </si>
  <si>
    <t>425x600</t>
  </si>
  <si>
    <t>Giant</t>
  </si>
  <si>
    <t>GIA</t>
  </si>
  <si>
    <t>Flyagain.la</t>
  </si>
  <si>
    <t>FLGN</t>
  </si>
  <si>
    <t>438x275</t>
  </si>
  <si>
    <t>GIANT EAGLE</t>
  </si>
  <si>
    <t>GIE</t>
  </si>
  <si>
    <t>Flyday.HK</t>
  </si>
  <si>
    <t>FLDY</t>
  </si>
  <si>
    <t>450x100</t>
  </si>
  <si>
    <t>Gmarket</t>
  </si>
  <si>
    <t>GMK</t>
  </si>
  <si>
    <t>Fnac Darty</t>
  </si>
  <si>
    <t>FNAC</t>
  </si>
  <si>
    <t>450x275</t>
  </si>
  <si>
    <t>GODADDY.COM</t>
  </si>
  <si>
    <t>GOD</t>
  </si>
  <si>
    <t>Footmercato</t>
  </si>
  <si>
    <t>FOOT</t>
  </si>
  <si>
    <t>451x56</t>
  </si>
  <si>
    <t>Gol Airlines</t>
  </si>
  <si>
    <t>GOA</t>
  </si>
  <si>
    <t>Forbes</t>
  </si>
  <si>
    <t>FORB</t>
  </si>
  <si>
    <t>464x320</t>
  </si>
  <si>
    <t>GOLDEN GATE CAPITAL (Red Lobster)</t>
  </si>
  <si>
    <t>GGC</t>
  </si>
  <si>
    <t>Fork Media</t>
  </si>
  <si>
    <t>FORK</t>
  </si>
  <si>
    <t>468x468</t>
  </si>
  <si>
    <t>Golden Pins</t>
  </si>
  <si>
    <t>GOL</t>
  </si>
  <si>
    <t>Foursquare</t>
  </si>
  <si>
    <t>FSQR</t>
  </si>
  <si>
    <t>468x58</t>
  </si>
  <si>
    <t>GOLDEN SCREEN CINEMA</t>
  </si>
  <si>
    <t>GSC</t>
  </si>
  <si>
    <t>Fox</t>
  </si>
  <si>
    <t>FOX</t>
  </si>
  <si>
    <t>468x90</t>
  </si>
  <si>
    <t>Golden Village</t>
  </si>
  <si>
    <t>FPT Play</t>
  </si>
  <si>
    <t>FPTP</t>
  </si>
  <si>
    <t>469x60</t>
  </si>
  <si>
    <t>GOODWILL INDUSTRIES</t>
  </si>
  <si>
    <t>GWI</t>
  </si>
  <si>
    <t>Freeda</t>
  </si>
  <si>
    <t>FRDA</t>
  </si>
  <si>
    <t>470x920</t>
  </si>
  <si>
    <t>GOOGLE</t>
  </si>
  <si>
    <t>GOO</t>
  </si>
  <si>
    <t>Freewheel</t>
  </si>
  <si>
    <t>FRWH</t>
  </si>
  <si>
    <t>480x260</t>
  </si>
  <si>
    <t>GOVERNMENT OF CANADA</t>
  </si>
  <si>
    <t>GOC</t>
  </si>
  <si>
    <t>FUSE</t>
  </si>
  <si>
    <t>480x280</t>
  </si>
  <si>
    <t>GOVERNMENT OF QUEBEC</t>
  </si>
  <si>
    <t>GOQ</t>
  </si>
  <si>
    <t>Futbol Sites</t>
  </si>
  <si>
    <t>FTBS</t>
  </si>
  <si>
    <t>480x30</t>
  </si>
  <si>
    <t>Grab</t>
  </si>
  <si>
    <t>GRB</t>
  </si>
  <si>
    <t>Gameloft</t>
  </si>
  <si>
    <t>GMLO</t>
  </si>
  <si>
    <t>480x300</t>
  </si>
  <si>
    <t>Grab Taxi</t>
  </si>
  <si>
    <t>GRA</t>
  </si>
  <si>
    <t>Gary’s Guide</t>
  </si>
  <si>
    <t>GARY</t>
  </si>
  <si>
    <t>480x32</t>
  </si>
  <si>
    <t>Grayline</t>
  </si>
  <si>
    <t>GLI</t>
  </si>
  <si>
    <t>gazeta.pl</t>
  </si>
  <si>
    <t>GAZE</t>
  </si>
  <si>
    <t>480x320</t>
  </si>
  <si>
    <t>Green Golf</t>
  </si>
  <si>
    <t>GRE</t>
  </si>
  <si>
    <t>Gazzetta</t>
  </si>
  <si>
    <t>GZTA</t>
  </si>
  <si>
    <t>480x360</t>
  </si>
  <si>
    <t>Gronk</t>
  </si>
  <si>
    <t>GRK</t>
  </si>
  <si>
    <t>GFR</t>
  </si>
  <si>
    <t>480x480</t>
  </si>
  <si>
    <t>GROUPON</t>
  </si>
  <si>
    <t>GRP</t>
  </si>
  <si>
    <t>Gismeteo.kz</t>
  </si>
  <si>
    <t>GSMT</t>
  </si>
  <si>
    <t>480x670</t>
  </si>
  <si>
    <t>Grupo Éxito</t>
  </si>
  <si>
    <t>GEX</t>
  </si>
  <si>
    <t>Glamour</t>
  </si>
  <si>
    <t>GLAM</t>
  </si>
  <si>
    <t>480x800</t>
  </si>
  <si>
    <t>Guardian</t>
  </si>
  <si>
    <t>GUA</t>
  </si>
  <si>
    <t>Globe and Mail</t>
  </si>
  <si>
    <t>GAM</t>
  </si>
  <si>
    <t>483x275</t>
  </si>
  <si>
    <t>Gulf Oil</t>
  </si>
  <si>
    <t>GUO</t>
  </si>
  <si>
    <t>Glomax Greece</t>
  </si>
  <si>
    <t>GLGR</t>
  </si>
  <si>
    <t>487x300</t>
  </si>
  <si>
    <t>Gymboree</t>
  </si>
  <si>
    <t>GYM</t>
  </si>
  <si>
    <t>Gol Caracol Tv</t>
  </si>
  <si>
    <t>GCTV</t>
  </si>
  <si>
    <t>48x48</t>
  </si>
  <si>
    <t>H M HENNES &amp; MAURITZ</t>
  </si>
  <si>
    <t>HNM</t>
  </si>
  <si>
    <t>gong.bg</t>
  </si>
  <si>
    <t>GONG</t>
  </si>
  <si>
    <t>495x270</t>
  </si>
  <si>
    <t>H.E. BUTT</t>
  </si>
  <si>
    <t>HEB</t>
  </si>
  <si>
    <t>Google AdMob</t>
  </si>
  <si>
    <t>GAMB</t>
  </si>
  <si>
    <t>497x81</t>
  </si>
  <si>
    <t>Habib's</t>
  </si>
  <si>
    <t>HBS</t>
  </si>
  <si>
    <t>DV36</t>
  </si>
  <si>
    <t>500x200</t>
  </si>
  <si>
    <t>Hankyu</t>
  </si>
  <si>
    <t>HNK</t>
  </si>
  <si>
    <t>Google Mail</t>
  </si>
  <si>
    <t>GMAL</t>
  </si>
  <si>
    <t>500x300</t>
  </si>
  <si>
    <t>HARLEY-DAVIDSON INC</t>
  </si>
  <si>
    <t>HDV</t>
  </si>
  <si>
    <t>GPMD</t>
  </si>
  <si>
    <t>500x400</t>
  </si>
  <si>
    <t>Harvey Norman Holdings Limited</t>
  </si>
  <si>
    <t>HNH</t>
  </si>
  <si>
    <t>USGQ</t>
  </si>
  <si>
    <t>500x500</t>
  </si>
  <si>
    <t>HERMES BOUTIQUE</t>
  </si>
  <si>
    <t>HMB</t>
  </si>
  <si>
    <t>gq-magazin.de</t>
  </si>
  <si>
    <t>GQMA</t>
  </si>
  <si>
    <t>500x600</t>
  </si>
  <si>
    <t>Hero</t>
  </si>
  <si>
    <t>HER</t>
  </si>
  <si>
    <t>GroundTruth</t>
  </si>
  <si>
    <t>GRTR</t>
  </si>
  <si>
    <t>500x750</t>
  </si>
  <si>
    <t>HERTZ</t>
  </si>
  <si>
    <t>HEZ</t>
  </si>
  <si>
    <t>Groupon</t>
  </si>
  <si>
    <t>GRPN</t>
  </si>
  <si>
    <t>502x128</t>
  </si>
  <si>
    <t>Hilton Hotel</t>
  </si>
  <si>
    <t>HIL</t>
  </si>
  <si>
    <t>Grupa WP</t>
  </si>
  <si>
    <t>GRWP</t>
  </si>
  <si>
    <t>510x85</t>
  </si>
  <si>
    <t>HILTON WORLDWIDE</t>
  </si>
  <si>
    <t>HWW</t>
  </si>
  <si>
    <t>grupo america</t>
  </si>
  <si>
    <t>GRAM</t>
  </si>
  <si>
    <t>520x252</t>
  </si>
  <si>
    <t>Grupo Prisa</t>
  </si>
  <si>
    <t>GRPR</t>
  </si>
  <si>
    <t>520x455</t>
  </si>
  <si>
    <t>Hiraoka</t>
  </si>
  <si>
    <t>HIR</t>
  </si>
  <si>
    <t>LATAM_Peru</t>
  </si>
  <si>
    <t>Guatemala.com</t>
  </si>
  <si>
    <t>GCOM</t>
  </si>
  <si>
    <t>534x267</t>
  </si>
  <si>
    <t>HK Airlines</t>
  </si>
  <si>
    <t>HKA</t>
  </si>
  <si>
    <t>Gum gum</t>
  </si>
  <si>
    <t>GUMG</t>
  </si>
  <si>
    <t>540x305</t>
  </si>
  <si>
    <t>HOBBY LOBBY</t>
  </si>
  <si>
    <t>HLB</t>
  </si>
  <si>
    <t>Handy</t>
  </si>
  <si>
    <t>HNDY</t>
  </si>
  <si>
    <t>540x375</t>
  </si>
  <si>
    <t>HOLIDAY COMPANIES (C-STORE &amp; FUEL)</t>
  </si>
  <si>
    <t>HOC</t>
  </si>
  <si>
    <t>HANZA Media</t>
  </si>
  <si>
    <t>HANZ</t>
  </si>
  <si>
    <t>560x270</t>
  </si>
  <si>
    <t>HOLT RENFREW</t>
  </si>
  <si>
    <t>HOL</t>
  </si>
  <si>
    <t>Heureka.cz</t>
  </si>
  <si>
    <t>HEUR</t>
  </si>
  <si>
    <t>563x50</t>
  </si>
  <si>
    <t>HOME DEPOT</t>
  </si>
  <si>
    <t>HOM</t>
  </si>
  <si>
    <t>HiFive</t>
  </si>
  <si>
    <t>HIFI</t>
  </si>
  <si>
    <t>568x320</t>
  </si>
  <si>
    <t>Home Shopping Network (HSN)</t>
  </si>
  <si>
    <t>HSN</t>
  </si>
  <si>
    <t>Hipertextual</t>
  </si>
  <si>
    <t>HIPE</t>
  </si>
  <si>
    <t>570x100</t>
  </si>
  <si>
    <t>HOME SHOPPING NETWORK INC</t>
  </si>
  <si>
    <t>HKEJ</t>
  </si>
  <si>
    <t>575x215</t>
  </si>
  <si>
    <t>Hotels.com</t>
  </si>
  <si>
    <t>HTL</t>
  </si>
  <si>
    <t>hket.com</t>
  </si>
  <si>
    <t>HKET</t>
  </si>
  <si>
    <t>577x173</t>
  </si>
  <si>
    <t>Hoyts</t>
  </si>
  <si>
    <t>HOY</t>
  </si>
  <si>
    <t>HKMovie</t>
  </si>
  <si>
    <t>HKMV</t>
  </si>
  <si>
    <t>580x240</t>
  </si>
  <si>
    <t>HUDSON'S BAY COMPANY</t>
  </si>
  <si>
    <t>HUD</t>
  </si>
  <si>
    <t>hledejceny.cz</t>
  </si>
  <si>
    <t>HLED</t>
  </si>
  <si>
    <t>580x320</t>
  </si>
  <si>
    <t>HYATT HOTELS</t>
  </si>
  <si>
    <t>HYA</t>
  </si>
  <si>
    <t>Hong Kong Tatler</t>
  </si>
  <si>
    <t>HKTA</t>
  </si>
  <si>
    <t>580x400</t>
  </si>
  <si>
    <t>HOTE</t>
  </si>
  <si>
    <t>580x860</t>
  </si>
  <si>
    <t>HY-VEE</t>
  </si>
  <si>
    <t>HYV</t>
  </si>
  <si>
    <t>HOTSTAR</t>
  </si>
  <si>
    <t>HOST</t>
  </si>
  <si>
    <t>582x166</t>
  </si>
  <si>
    <t>ibon</t>
  </si>
  <si>
    <t>IBN</t>
  </si>
  <si>
    <t>HSM</t>
  </si>
  <si>
    <t>586x285</t>
  </si>
  <si>
    <t>ICICI Prudential</t>
  </si>
  <si>
    <t>ICI</t>
  </si>
  <si>
    <t>HttPool</t>
  </si>
  <si>
    <t>HTTP</t>
  </si>
  <si>
    <t>590x295</t>
  </si>
  <si>
    <t>i-City</t>
  </si>
  <si>
    <t>ICT</t>
  </si>
  <si>
    <t>Hulu</t>
  </si>
  <si>
    <t>HULU</t>
  </si>
  <si>
    <t>600x1200</t>
  </si>
  <si>
    <t>Idemitsu</t>
  </si>
  <si>
    <t>IDE</t>
  </si>
  <si>
    <t>Hutrum.pl</t>
  </si>
  <si>
    <t>HUTR</t>
  </si>
  <si>
    <t>600x160</t>
  </si>
  <si>
    <t>IGA INC</t>
  </si>
  <si>
    <t>IGA</t>
  </si>
  <si>
    <t>Hwa Chuan</t>
  </si>
  <si>
    <t>HWAC</t>
  </si>
  <si>
    <t>600x200</t>
  </si>
  <si>
    <t>iHeart</t>
  </si>
  <si>
    <t>IHRT</t>
  </si>
  <si>
    <t>hyperinzerce.cz</t>
  </si>
  <si>
    <t>HYCZ</t>
  </si>
  <si>
    <t>600x30</t>
  </si>
  <si>
    <t>IHERB.COM</t>
  </si>
  <si>
    <t>IHE</t>
  </si>
  <si>
    <t>hyperzbozi.cz</t>
  </si>
  <si>
    <t>HYBO</t>
  </si>
  <si>
    <t>600x300</t>
  </si>
  <si>
    <t>IHG (HOLIDAY INN)</t>
  </si>
  <si>
    <t>IHG</t>
  </si>
  <si>
    <t>iBlue</t>
  </si>
  <si>
    <t>IBLU</t>
  </si>
  <si>
    <t>600x315</t>
  </si>
  <si>
    <t>IKEA</t>
  </si>
  <si>
    <t>IKE</t>
  </si>
  <si>
    <t>Iconiq.cz</t>
  </si>
  <si>
    <t>ICON</t>
  </si>
  <si>
    <t>600x45</t>
  </si>
  <si>
    <t>idnes.cz</t>
  </si>
  <si>
    <t>IDNE</t>
  </si>
  <si>
    <t>600x500</t>
  </si>
  <si>
    <t>Imperial Palace Seoul</t>
  </si>
  <si>
    <t>IMP</t>
  </si>
  <si>
    <t>Iefimerida</t>
  </si>
  <si>
    <t>LEFI</t>
  </si>
  <si>
    <t>600x600</t>
  </si>
  <si>
    <t>In Games Olympics OLV</t>
  </si>
  <si>
    <t>600x90</t>
  </si>
  <si>
    <t>India Air</t>
  </si>
  <si>
    <t>INA</t>
  </si>
  <si>
    <t>iHned.cz</t>
  </si>
  <si>
    <t>IHEN</t>
  </si>
  <si>
    <t>608x240</t>
  </si>
  <si>
    <t>Indian Railways (IRCTC)</t>
  </si>
  <si>
    <t>INR</t>
  </si>
  <si>
    <t>ILoveStyle</t>
  </si>
  <si>
    <t>ILST</t>
  </si>
  <si>
    <t>609x80</t>
  </si>
  <si>
    <t>Ingresso.com</t>
  </si>
  <si>
    <t>IGS</t>
  </si>
  <si>
    <t>Imho_VI</t>
  </si>
  <si>
    <t>IMHO</t>
  </si>
  <si>
    <t>620x349</t>
  </si>
  <si>
    <t>IN-N-OUT BURGERS</t>
  </si>
  <si>
    <t>IOB</t>
  </si>
  <si>
    <t>iMoney</t>
  </si>
  <si>
    <t>IMNY</t>
  </si>
  <si>
    <t>620x350</t>
  </si>
  <si>
    <t>Instagram</t>
  </si>
  <si>
    <t>INS</t>
  </si>
  <si>
    <t>Impaktu</t>
  </si>
  <si>
    <t>IMPA</t>
  </si>
  <si>
    <t>INSURANCE CORP OF BC</t>
  </si>
  <si>
    <t>ICB</t>
  </si>
  <si>
    <t>IMS Connect</t>
  </si>
  <si>
    <t>IMSC</t>
  </si>
  <si>
    <t>630x920</t>
  </si>
  <si>
    <t>INTERCONTINENTAL HOTELS GROUP PLC</t>
  </si>
  <si>
    <t>IMX.CO.ID</t>
  </si>
  <si>
    <t>IMX</t>
  </si>
  <si>
    <t>640x100</t>
  </si>
  <si>
    <t>InterJet</t>
  </si>
  <si>
    <t>ITJ</t>
  </si>
  <si>
    <t>In Loco</t>
  </si>
  <si>
    <t>INLC</t>
  </si>
  <si>
    <t>640x120</t>
  </si>
  <si>
    <t>International Shopping Center</t>
  </si>
  <si>
    <t>ISC</t>
  </si>
  <si>
    <t>Inc Russia</t>
  </si>
  <si>
    <t>INCR</t>
  </si>
  <si>
    <t>640x150</t>
  </si>
  <si>
    <t>INTUIT</t>
  </si>
  <si>
    <t>Indeks</t>
  </si>
  <si>
    <t>INDE</t>
  </si>
  <si>
    <t>640x200</t>
  </si>
  <si>
    <t>Ipiranga Group</t>
  </si>
  <si>
    <t>IPG</t>
  </si>
  <si>
    <t>Indice</t>
  </si>
  <si>
    <t>INDC</t>
  </si>
  <si>
    <t>640x270</t>
  </si>
  <si>
    <t>Isetan</t>
  </si>
  <si>
    <t>IST</t>
  </si>
  <si>
    <t>Infobae</t>
  </si>
  <si>
    <t>INBA</t>
  </si>
  <si>
    <t>640x330</t>
  </si>
  <si>
    <t>Itunes Music Store</t>
  </si>
  <si>
    <t>ITM</t>
  </si>
  <si>
    <t>Inis</t>
  </si>
  <si>
    <t>INIS</t>
  </si>
  <si>
    <t>640x360</t>
  </si>
  <si>
    <t>iTunes Music Store Japan</t>
  </si>
  <si>
    <t>ITMJ</t>
  </si>
  <si>
    <t>INMA</t>
  </si>
  <si>
    <t>640x450</t>
  </si>
  <si>
    <t>J. CREW</t>
  </si>
  <si>
    <t>JCR</t>
  </si>
  <si>
    <t>Inmobi</t>
  </si>
  <si>
    <t>NMBI</t>
  </si>
  <si>
    <t>640x50</t>
  </si>
  <si>
    <t>J:Com</t>
  </si>
  <si>
    <t>JCM</t>
  </si>
  <si>
    <t>Innity</t>
  </si>
  <si>
    <t>NNTY</t>
  </si>
  <si>
    <t>640x640</t>
  </si>
  <si>
    <t>JACK IN THE BOX</t>
  </si>
  <si>
    <t>JIB</t>
  </si>
  <si>
    <t>InPowered</t>
  </si>
  <si>
    <t>INPW</t>
  </si>
  <si>
    <t>640x720</t>
  </si>
  <si>
    <t>JadoPado</t>
  </si>
  <si>
    <t>JDP</t>
  </si>
  <si>
    <t>Insider.gr</t>
  </si>
  <si>
    <t>INSI</t>
  </si>
  <si>
    <t>640x744</t>
  </si>
  <si>
    <t>Japan Airlines</t>
  </si>
  <si>
    <t>JPA</t>
  </si>
  <si>
    <t>Inskin</t>
  </si>
  <si>
    <t>INSK</t>
  </si>
  <si>
    <t>640x80</t>
  </si>
  <si>
    <t>Japan Railway Group</t>
  </si>
  <si>
    <t>JAR</t>
  </si>
  <si>
    <t>INST</t>
  </si>
  <si>
    <t>640x90</t>
  </si>
  <si>
    <t>Jatomi</t>
  </si>
  <si>
    <t>JAT</t>
  </si>
  <si>
    <t>Interfax Package</t>
  </si>
  <si>
    <t>IFPK</t>
  </si>
  <si>
    <t>640x910</t>
  </si>
  <si>
    <t>JB Hi-Fi</t>
  </si>
  <si>
    <t>JBH</t>
  </si>
  <si>
    <t>Interia</t>
  </si>
  <si>
    <t>INTE</t>
  </si>
  <si>
    <t>640x920</t>
  </si>
  <si>
    <t>JC PENNEY</t>
  </si>
  <si>
    <t>JCP</t>
  </si>
  <si>
    <t>Interjet</t>
  </si>
  <si>
    <t>640x96</t>
  </si>
  <si>
    <t>Jet Airways</t>
  </si>
  <si>
    <t>JEA</t>
  </si>
  <si>
    <t>investor.bg</t>
  </si>
  <si>
    <t>INVE</t>
  </si>
  <si>
    <t>640x960</t>
  </si>
  <si>
    <t>JETBLUE</t>
  </si>
  <si>
    <t>JEB</t>
  </si>
  <si>
    <t>invia.cz</t>
  </si>
  <si>
    <t>INVI</t>
  </si>
  <si>
    <t>645x125</t>
  </si>
  <si>
    <t>JETSTAR AIRWAYS Regional (Australia)</t>
  </si>
  <si>
    <t>JAA</t>
  </si>
  <si>
    <t>invibes</t>
  </si>
  <si>
    <t>INVB</t>
  </si>
  <si>
    <t>645x90</t>
  </si>
  <si>
    <t>JIMMY JOHNS</t>
  </si>
  <si>
    <t>JIM</t>
  </si>
  <si>
    <t>IOL</t>
  </si>
  <si>
    <t>650x100</t>
  </si>
  <si>
    <t>JTB Corp</t>
  </si>
  <si>
    <t>JTB</t>
  </si>
  <si>
    <t>iprima.cz</t>
  </si>
  <si>
    <t>IPRM</t>
  </si>
  <si>
    <t>650x170</t>
  </si>
  <si>
    <t>Jueves Online</t>
  </si>
  <si>
    <t>JON</t>
  </si>
  <si>
    <t>Ipsos</t>
  </si>
  <si>
    <t>IPSO</t>
  </si>
  <si>
    <t>650x400</t>
  </si>
  <si>
    <t>Jumeirah</t>
  </si>
  <si>
    <t>JMRH</t>
  </si>
  <si>
    <t>CEMEA_MENA</t>
  </si>
  <si>
    <t>IQ Digital</t>
  </si>
  <si>
    <t>IQDI</t>
  </si>
  <si>
    <t>650x45</t>
  </si>
  <si>
    <t>KAISER</t>
  </si>
  <si>
    <t>KAI</t>
  </si>
  <si>
    <t>IQIYI</t>
  </si>
  <si>
    <t>IQY</t>
  </si>
  <si>
    <t>650x60</t>
  </si>
  <si>
    <t>KDDI</t>
  </si>
  <si>
    <t>KDD</t>
  </si>
  <si>
    <t>IRCTC</t>
  </si>
  <si>
    <t>IRCT</t>
  </si>
  <si>
    <t>650x90</t>
  </si>
  <si>
    <t>KKBOX</t>
  </si>
  <si>
    <t>KBX</t>
  </si>
  <si>
    <t>ITP</t>
  </si>
  <si>
    <t>654x250</t>
  </si>
  <si>
    <t>KLIA Ekspres</t>
  </si>
  <si>
    <t>KLI</t>
  </si>
  <si>
    <t>ITV</t>
  </si>
  <si>
    <t>655x400</t>
  </si>
  <si>
    <t>Klook</t>
  </si>
  <si>
    <t>KLO</t>
  </si>
  <si>
    <t>JAG HK</t>
  </si>
  <si>
    <t>JGHK</t>
  </si>
  <si>
    <t>660x110</t>
  </si>
  <si>
    <t>Kmart Australia</t>
  </si>
  <si>
    <t>KMA</t>
  </si>
  <si>
    <t>JAG TW</t>
  </si>
  <si>
    <t>JGTW</t>
  </si>
  <si>
    <t>660x300</t>
  </si>
  <si>
    <t>KOHLS</t>
  </si>
  <si>
    <t>KOH</t>
  </si>
  <si>
    <t>JaguarMedia</t>
  </si>
  <si>
    <t>JAGU</t>
  </si>
  <si>
    <t>660x660</t>
  </si>
  <si>
    <t>Kopenhagen</t>
  </si>
  <si>
    <t>KPH</t>
  </si>
  <si>
    <t>jakdojade.pl</t>
  </si>
  <si>
    <t>JAKD</t>
  </si>
  <si>
    <t>664x850</t>
  </si>
  <si>
    <t>KROGER</t>
  </si>
  <si>
    <t>KRO</t>
  </si>
  <si>
    <t>Japan's Line</t>
  </si>
  <si>
    <t>LINE</t>
  </si>
  <si>
    <t>680x360</t>
  </si>
  <si>
    <t>KWIK TRIP</t>
  </si>
  <si>
    <t>KWI</t>
  </si>
  <si>
    <t>JCDecaux</t>
  </si>
  <si>
    <t>JCDX</t>
  </si>
  <si>
    <t>680x400</t>
  </si>
  <si>
    <t>L BRANDS (VICTORIA'S SECRET)</t>
  </si>
  <si>
    <t>LBR</t>
  </si>
  <si>
    <t>Jobs.bg</t>
  </si>
  <si>
    <t>JOBS</t>
  </si>
  <si>
    <t>690x300</t>
  </si>
  <si>
    <t>LAN</t>
  </si>
  <si>
    <t>LAA</t>
  </si>
  <si>
    <t>690x550</t>
  </si>
  <si>
    <t>LAN Airlines</t>
  </si>
  <si>
    <t>JS-Adways</t>
  </si>
  <si>
    <t>JSAD</t>
  </si>
  <si>
    <t>700x1000</t>
  </si>
  <si>
    <t>Land's End</t>
  </si>
  <si>
    <t>Juan Futbol</t>
  </si>
  <si>
    <t>JFUT</t>
  </si>
  <si>
    <t>700x120</t>
  </si>
  <si>
    <t>LCBO</t>
  </si>
  <si>
    <t>LCB</t>
  </si>
  <si>
    <t>Junkee</t>
  </si>
  <si>
    <t>JUNK</t>
  </si>
  <si>
    <t>700x200</t>
  </si>
  <si>
    <t>Leroy Merlin</t>
  </si>
  <si>
    <t>LER</t>
  </si>
  <si>
    <t>Just Tag</t>
  </si>
  <si>
    <t>JUTA</t>
  </si>
  <si>
    <t>710x100</t>
  </si>
  <si>
    <t>L'Hotel de chine</t>
  </si>
  <si>
    <t>LDC</t>
  </si>
  <si>
    <t>Kapital.kz mob</t>
  </si>
  <si>
    <t>MKPT</t>
  </si>
  <si>
    <t>710x160</t>
  </si>
  <si>
    <t>LINE Pay</t>
  </si>
  <si>
    <t>LIP</t>
  </si>
  <si>
    <t>Kayak</t>
  </si>
  <si>
    <t>KAYK</t>
  </si>
  <si>
    <t>710x400</t>
  </si>
  <si>
    <t>Linio</t>
  </si>
  <si>
    <t>LIN</t>
  </si>
  <si>
    <t>LATAM_Panama</t>
  </si>
  <si>
    <t>Kerkida</t>
  </si>
  <si>
    <t>KEKI</t>
  </si>
  <si>
    <t>710x60</t>
  </si>
  <si>
    <t>LinkedIn</t>
  </si>
  <si>
    <t>LINK</t>
  </si>
  <si>
    <t>KKBX</t>
  </si>
  <si>
    <t>712x342</t>
  </si>
  <si>
    <t>LITTLE CAESARS PIZZA</t>
  </si>
  <si>
    <t>LIT</t>
  </si>
  <si>
    <t>Knorex</t>
  </si>
  <si>
    <t>KNOR</t>
  </si>
  <si>
    <t>720x1230</t>
  </si>
  <si>
    <t>Liverpool</t>
  </si>
  <si>
    <t>LIV</t>
  </si>
  <si>
    <t>Kolesa.kz</t>
  </si>
  <si>
    <t>KLSA</t>
  </si>
  <si>
    <t>LL BEAN</t>
  </si>
  <si>
    <t>LLB</t>
  </si>
  <si>
    <t>Kommersant</t>
  </si>
  <si>
    <t>KOMM</t>
  </si>
  <si>
    <t>720x282</t>
  </si>
  <si>
    <t>LOBLAW COMPANIES LTD</t>
  </si>
  <si>
    <t>LOB</t>
  </si>
  <si>
    <t>kompasslev.cz</t>
  </si>
  <si>
    <t>KOMP</t>
  </si>
  <si>
    <t>720x420</t>
  </si>
  <si>
    <t>Lojas Americanas &amp; Americanas F2F</t>
  </si>
  <si>
    <t>LOJ</t>
  </si>
  <si>
    <t>Kontent Room</t>
  </si>
  <si>
    <t>KORO</t>
  </si>
  <si>
    <t>720x450</t>
  </si>
  <si>
    <t>Lojas Renner</t>
  </si>
  <si>
    <t>LJR</t>
  </si>
  <si>
    <t>Kora 11</t>
  </si>
  <si>
    <t>KORA</t>
  </si>
  <si>
    <t>720x480</t>
  </si>
  <si>
    <t>LOTTE Mart</t>
  </si>
  <si>
    <t>LOT</t>
  </si>
  <si>
    <t>Kudago</t>
  </si>
  <si>
    <t>KUDA</t>
  </si>
  <si>
    <t>720x90</t>
  </si>
  <si>
    <t>LOVES COUNTRY</t>
  </si>
  <si>
    <t>LOV</t>
  </si>
  <si>
    <t>Kupi.cz</t>
  </si>
  <si>
    <t>KUPI</t>
  </si>
  <si>
    <t>723x309</t>
  </si>
  <si>
    <t>LOWES</t>
  </si>
  <si>
    <t>LOW</t>
  </si>
  <si>
    <t>Kurier</t>
  </si>
  <si>
    <t>KURI</t>
  </si>
  <si>
    <t>728x140</t>
  </si>
  <si>
    <t>Lufthansa</t>
  </si>
  <si>
    <t>LUF</t>
  </si>
  <si>
    <t>La Chaine Meteo</t>
  </si>
  <si>
    <t>METE</t>
  </si>
  <si>
    <t>728x200</t>
  </si>
  <si>
    <t>LUKOIL</t>
  </si>
  <si>
    <t>LUK</t>
  </si>
  <si>
    <t>La Nación</t>
  </si>
  <si>
    <t>LNCR</t>
  </si>
  <si>
    <t>728x250</t>
  </si>
  <si>
    <t>Luxola</t>
  </si>
  <si>
    <t>LUX</t>
  </si>
  <si>
    <t>la prensa</t>
  </si>
  <si>
    <t>LAPR</t>
  </si>
  <si>
    <t>728x290</t>
  </si>
  <si>
    <t>M4U / TIM</t>
  </si>
  <si>
    <t>MIM</t>
  </si>
  <si>
    <t>La Prensa Libre</t>
  </si>
  <si>
    <t>PLRB</t>
  </si>
  <si>
    <t>728x80</t>
  </si>
  <si>
    <t>MACYS INC</t>
  </si>
  <si>
    <t>MAC</t>
  </si>
  <si>
    <t>La Republica CO</t>
  </si>
  <si>
    <t>LRCO</t>
  </si>
  <si>
    <t>728x89</t>
  </si>
  <si>
    <t>MADA Pay</t>
  </si>
  <si>
    <t>MDA</t>
  </si>
  <si>
    <t>La Republica CR</t>
  </si>
  <si>
    <t>LRCR</t>
  </si>
  <si>
    <t>Magazine Luiza</t>
  </si>
  <si>
    <t>MAG</t>
  </si>
  <si>
    <t>La Tercera</t>
  </si>
  <si>
    <t>LTCR</t>
  </si>
  <si>
    <t>730x200</t>
  </si>
  <si>
    <t>Makemytrip</t>
  </si>
  <si>
    <t>MAK</t>
  </si>
  <si>
    <t>ladyzone.bg</t>
  </si>
  <si>
    <t>LAZO</t>
  </si>
  <si>
    <t>745x100</t>
  </si>
  <si>
    <t>Malaysia Airlines</t>
  </si>
  <si>
    <t>MAS</t>
  </si>
  <si>
    <t>LaPresse</t>
  </si>
  <si>
    <t>LAPE</t>
  </si>
  <si>
    <t>749x400</t>
  </si>
  <si>
    <t>Malindo</t>
  </si>
  <si>
    <t>MAL</t>
  </si>
  <si>
    <t>Last Minute</t>
  </si>
  <si>
    <t>LSMI</t>
  </si>
  <si>
    <t>750x100</t>
  </si>
  <si>
    <t>MARATHON ASHLAND</t>
  </si>
  <si>
    <t>Le bon coin</t>
  </si>
  <si>
    <t>LEBC</t>
  </si>
  <si>
    <t>750x120</t>
  </si>
  <si>
    <t>MARINA BAY SANDS</t>
  </si>
  <si>
    <t>MBS</t>
  </si>
  <si>
    <t>Le Parisien</t>
  </si>
  <si>
    <t>LEPA</t>
  </si>
  <si>
    <t>750x1334</t>
  </si>
  <si>
    <t>MarkaVIP</t>
  </si>
  <si>
    <t>MRK</t>
  </si>
  <si>
    <t>Lenta</t>
  </si>
  <si>
    <t>LENT</t>
  </si>
  <si>
    <t>750x192</t>
  </si>
  <si>
    <t>Marriott</t>
  </si>
  <si>
    <t>MTT</t>
  </si>
  <si>
    <t>l'équipe</t>
  </si>
  <si>
    <t>LEQU</t>
  </si>
  <si>
    <t>750x200</t>
  </si>
  <si>
    <t>MARRIOTT CORP</t>
  </si>
  <si>
    <t>Les echos</t>
  </si>
  <si>
    <t>LESE</t>
  </si>
  <si>
    <t>750x235</t>
  </si>
  <si>
    <t>letuska.cz</t>
  </si>
  <si>
    <t>LETU</t>
  </si>
  <si>
    <t>750x270</t>
  </si>
  <si>
    <t>Martí MX</t>
  </si>
  <si>
    <t>LG Smart TV</t>
  </si>
  <si>
    <t>LGTV</t>
  </si>
  <si>
    <t>750x300</t>
  </si>
  <si>
    <t>Marui</t>
  </si>
  <si>
    <t>MRI</t>
  </si>
  <si>
    <t>lideazeme.cz</t>
  </si>
  <si>
    <t>LIDE</t>
  </si>
  <si>
    <t>750x360</t>
  </si>
  <si>
    <t>Mashable</t>
  </si>
  <si>
    <t>MAF</t>
  </si>
  <si>
    <t>life.dir</t>
  </si>
  <si>
    <t>LIFE</t>
  </si>
  <si>
    <t>750x420</t>
  </si>
  <si>
    <t>Matahari</t>
  </si>
  <si>
    <t>MTH</t>
  </si>
  <si>
    <t>Lifehacker</t>
  </si>
  <si>
    <t>LHAK</t>
  </si>
  <si>
    <t>750x564</t>
  </si>
  <si>
    <t>Match.com</t>
  </si>
  <si>
    <t>MAT</t>
  </si>
  <si>
    <t>Lifestyle.bg</t>
  </si>
  <si>
    <t>LSBG</t>
  </si>
  <si>
    <t>750x600</t>
  </si>
  <si>
    <t>McDonald´s</t>
  </si>
  <si>
    <t>MCD</t>
  </si>
  <si>
    <t>Lifo</t>
  </si>
  <si>
    <t>LIFO</t>
  </si>
  <si>
    <t>759x230</t>
  </si>
  <si>
    <t>McDonalds</t>
  </si>
  <si>
    <t>Ligatus</t>
  </si>
  <si>
    <t>LIGA</t>
  </si>
  <si>
    <t>75x1010</t>
  </si>
  <si>
    <t>McDonald's Australia</t>
  </si>
  <si>
    <t>Line</t>
  </si>
  <si>
    <t>LITW</t>
  </si>
  <si>
    <t>764x400</t>
  </si>
  <si>
    <t>McDonald's HK</t>
  </si>
  <si>
    <t>Linkedin</t>
  </si>
  <si>
    <t>LNKD</t>
  </si>
  <si>
    <t>768x1024</t>
  </si>
  <si>
    <t>McDonald's Indonesia</t>
  </si>
  <si>
    <t>liquid thread</t>
  </si>
  <si>
    <t>LIQU</t>
  </si>
  <si>
    <t>768x90</t>
  </si>
  <si>
    <t>McDonald's Japan</t>
  </si>
  <si>
    <t>Liquid Thread (Business Insider)</t>
  </si>
  <si>
    <t>LTBI</t>
  </si>
  <si>
    <t>768x900</t>
  </si>
  <si>
    <t>McDonald's Malaysia</t>
  </si>
  <si>
    <t>Liquid Thread (Content od Demand)</t>
  </si>
  <si>
    <t>LTCD</t>
  </si>
  <si>
    <t>770x120</t>
  </si>
  <si>
    <t>McDonald's New Zealand</t>
  </si>
  <si>
    <t>LiquidGeneration.com</t>
  </si>
  <si>
    <t>LIQG</t>
  </si>
  <si>
    <t>775x365</t>
  </si>
  <si>
    <t>McDonald's Philippines</t>
  </si>
  <si>
    <t>Listin Diario DOM</t>
  </si>
  <si>
    <t>LSTN</t>
  </si>
  <si>
    <t>780x235</t>
  </si>
  <si>
    <t>McDonald's Regional (Singapore)</t>
  </si>
  <si>
    <t>Listonic</t>
  </si>
  <si>
    <t>LIST</t>
  </si>
  <si>
    <t>780x350</t>
  </si>
  <si>
    <t>McDonald's Singapore Pte Ltd</t>
  </si>
  <si>
    <t>live24.gr</t>
  </si>
  <si>
    <t>LI24</t>
  </si>
  <si>
    <t>780x400</t>
  </si>
  <si>
    <t>McDonald's Thailand</t>
  </si>
  <si>
    <t>LiveJournal</t>
  </si>
  <si>
    <t>LVJL</t>
  </si>
  <si>
    <t>788x240</t>
  </si>
  <si>
    <t>McDonald's Vietnam</t>
  </si>
  <si>
    <t>LNH</t>
  </si>
  <si>
    <t>790x80</t>
  </si>
  <si>
    <t>MEGAFON</t>
  </si>
  <si>
    <t>MEG</t>
  </si>
  <si>
    <t>Lo Encontraste</t>
  </si>
  <si>
    <t>LOEN</t>
  </si>
  <si>
    <t>794x289</t>
  </si>
  <si>
    <t>MEIJER</t>
  </si>
  <si>
    <t>MEI</t>
  </si>
  <si>
    <t>Loga</t>
  </si>
  <si>
    <t>LOGA</t>
  </si>
  <si>
    <t>800x1200</t>
  </si>
  <si>
    <t>MENARDS</t>
  </si>
  <si>
    <t>MEN</t>
  </si>
  <si>
    <t>Logan</t>
  </si>
  <si>
    <t>LOAN</t>
  </si>
  <si>
    <t>800x200</t>
  </si>
  <si>
    <t>Mercado Livre</t>
  </si>
  <si>
    <t>MER</t>
  </si>
  <si>
    <t>Lowyat</t>
  </si>
  <si>
    <t>LOYT</t>
  </si>
  <si>
    <t>800x240</t>
  </si>
  <si>
    <t>Mercadoni</t>
  </si>
  <si>
    <t>MDN</t>
  </si>
  <si>
    <t>Lucid</t>
  </si>
  <si>
    <t>LCID</t>
  </si>
  <si>
    <t>800x250</t>
  </si>
  <si>
    <t>Merchant not available</t>
  </si>
  <si>
    <t>m.az-jenata.bg &amp; tialoto.bg</t>
  </si>
  <si>
    <t>AZTL</t>
  </si>
  <si>
    <t>800x320</t>
  </si>
  <si>
    <t>METAVANTE</t>
  </si>
  <si>
    <t>MET</t>
  </si>
  <si>
    <t>m.Daum</t>
  </si>
  <si>
    <t>MDAU</t>
  </si>
  <si>
    <t>800x340</t>
  </si>
  <si>
    <t>MGM MIRAGE</t>
  </si>
  <si>
    <t>MGM</t>
  </si>
  <si>
    <t>M.mail.ru</t>
  </si>
  <si>
    <t>TVMM</t>
  </si>
  <si>
    <t>800x400</t>
  </si>
  <si>
    <t>MICHAEL KORS</t>
  </si>
  <si>
    <t>MIC</t>
  </si>
  <si>
    <t>m.novini.bg</t>
  </si>
  <si>
    <t>MNOB</t>
  </si>
  <si>
    <t>800x435</t>
  </si>
  <si>
    <t>MICHAELS STORES INC</t>
  </si>
  <si>
    <t>MSI</t>
  </si>
  <si>
    <t>m.sinoptik.bg</t>
  </si>
  <si>
    <t>SINO</t>
  </si>
  <si>
    <t>800x480</t>
  </si>
  <si>
    <t>MICROSOFT</t>
  </si>
  <si>
    <t>MCS</t>
  </si>
  <si>
    <t>m.vesti.bg</t>
  </si>
  <si>
    <t>MVES</t>
  </si>
  <si>
    <t>800x600</t>
  </si>
  <si>
    <t>Mitsukoshi-Isetan</t>
  </si>
  <si>
    <t>MTI</t>
  </si>
  <si>
    <t>Maddict</t>
  </si>
  <si>
    <t>MADD</t>
  </si>
  <si>
    <t>800x800</t>
  </si>
  <si>
    <t>MOET HENNESSY LOUIS VUITTON</t>
  </si>
  <si>
    <t>MHL</t>
  </si>
  <si>
    <t>Madhouase</t>
  </si>
  <si>
    <t>MASE</t>
  </si>
  <si>
    <t>810x90</t>
  </si>
  <si>
    <t>MOTAC</t>
  </si>
  <si>
    <t>MTC</t>
  </si>
  <si>
    <t>Madhouse</t>
  </si>
  <si>
    <t>MADH</t>
  </si>
  <si>
    <t>82x82</t>
  </si>
  <si>
    <t>Movember</t>
  </si>
  <si>
    <t>MOV</t>
  </si>
  <si>
    <t>Madvertise</t>
  </si>
  <si>
    <t>MADV</t>
  </si>
  <si>
    <t>840x150</t>
  </si>
  <si>
    <t>MSN</t>
  </si>
  <si>
    <t>Mafra</t>
  </si>
  <si>
    <t>MAFR</t>
  </si>
  <si>
    <t>840x400</t>
  </si>
  <si>
    <t>MTA NEW YORK CITY TRANSIT</t>
  </si>
  <si>
    <t>MYC</t>
  </si>
  <si>
    <t>mail.bg</t>
  </si>
  <si>
    <t>MABG</t>
  </si>
  <si>
    <t>840x840</t>
  </si>
  <si>
    <t>MTC GROUP</t>
  </si>
  <si>
    <t>MTG</t>
  </si>
  <si>
    <t>Mail.ru</t>
  </si>
  <si>
    <t>848x180</t>
  </si>
  <si>
    <t>MTC Mobile</t>
  </si>
  <si>
    <t>MTM</t>
  </si>
  <si>
    <t>CEMEA_Namibia</t>
  </si>
  <si>
    <t>MailSlot</t>
  </si>
  <si>
    <t>MAIL</t>
  </si>
  <si>
    <t>853x65</t>
  </si>
  <si>
    <t>Multikino</t>
  </si>
  <si>
    <t>MUK</t>
  </si>
  <si>
    <t>Mairdumont</t>
  </si>
  <si>
    <t>MAIR</t>
  </si>
  <si>
    <t>855x350</t>
  </si>
  <si>
    <t>MURPHY OIL COMPANY</t>
  </si>
  <si>
    <t>MUR</t>
  </si>
  <si>
    <t>Mamamia.bg</t>
  </si>
  <si>
    <t>MAMI</t>
  </si>
  <si>
    <t>870x90</t>
  </si>
  <si>
    <t>Museum Night</t>
  </si>
  <si>
    <t>MUS</t>
  </si>
  <si>
    <t>Mammyland.gr</t>
  </si>
  <si>
    <t>MAMM</t>
  </si>
  <si>
    <t>880x90</t>
  </si>
  <si>
    <t>Myer Pty Ltd</t>
  </si>
  <si>
    <t>MPT</t>
  </si>
  <si>
    <t>Marca</t>
  </si>
  <si>
    <t>MARC</t>
  </si>
  <si>
    <t>88x31</t>
  </si>
  <si>
    <t>mytaxi</t>
  </si>
  <si>
    <t>MYT</t>
  </si>
  <si>
    <t>Mariailiaki.gr</t>
  </si>
  <si>
    <t>MARI</t>
  </si>
  <si>
    <t>890x200</t>
  </si>
  <si>
    <t>Nakumatt</t>
  </si>
  <si>
    <t>NAK</t>
  </si>
  <si>
    <t>MarieClaire</t>
  </si>
  <si>
    <t>MACL</t>
  </si>
  <si>
    <t>900x125</t>
  </si>
  <si>
    <t>Narita Airport</t>
  </si>
  <si>
    <t>NAR</t>
  </si>
  <si>
    <t>Markiza</t>
  </si>
  <si>
    <t>MARK</t>
  </si>
  <si>
    <t>900x365</t>
  </si>
  <si>
    <t>National Petroleum Corporation</t>
  </si>
  <si>
    <t>NPS</t>
  </si>
  <si>
    <t>Mas por Mas</t>
  </si>
  <si>
    <t>MXMA</t>
  </si>
  <si>
    <t>90x120</t>
  </si>
  <si>
    <t>NATIONAL RAILROAD PASSENGER CORPORATION</t>
  </si>
  <si>
    <t>NRP</t>
  </si>
  <si>
    <t>MASH</t>
  </si>
  <si>
    <t>910x250</t>
  </si>
  <si>
    <t>National Roads &amp; Motoists' Association</t>
  </si>
  <si>
    <t>NRM</t>
  </si>
  <si>
    <t>Match TV</t>
  </si>
  <si>
    <t>MCTV</t>
  </si>
  <si>
    <t>910x90</t>
  </si>
  <si>
    <t>Nature Baby</t>
  </si>
  <si>
    <t>NAB</t>
  </si>
  <si>
    <t>MTCH</t>
  </si>
  <si>
    <t>912x90</t>
  </si>
  <si>
    <t>NAVY EXCHANGE</t>
  </si>
  <si>
    <t>NEX</t>
  </si>
  <si>
    <t>Maxima Telecom</t>
  </si>
  <si>
    <t>MAXT</t>
  </si>
  <si>
    <t>920x250</t>
  </si>
  <si>
    <t>Neiman Marcus</t>
  </si>
  <si>
    <t>NEI</t>
  </si>
  <si>
    <t>MCC Medios</t>
  </si>
  <si>
    <t>MCCM</t>
  </si>
  <si>
    <t>930x180</t>
  </si>
  <si>
    <t>NETFLIX</t>
  </si>
  <si>
    <t>NET</t>
  </si>
  <si>
    <t>MCN</t>
  </si>
  <si>
    <t>MCNO</t>
  </si>
  <si>
    <t>930x400</t>
  </si>
  <si>
    <t>Newegg</t>
  </si>
  <si>
    <t>media impact</t>
  </si>
  <si>
    <t>MEIM</t>
  </si>
  <si>
    <t>930x600</t>
  </si>
  <si>
    <t>Media Planet</t>
  </si>
  <si>
    <t>MEPL</t>
  </si>
  <si>
    <t>930x630</t>
  </si>
  <si>
    <t>NFL Game Day Deals</t>
  </si>
  <si>
    <t>GDD</t>
  </si>
  <si>
    <t>Media Quest</t>
  </si>
  <si>
    <t>MEQU</t>
  </si>
  <si>
    <t>933x70</t>
  </si>
  <si>
    <t>Media Response</t>
  </si>
  <si>
    <t>MERE</t>
  </si>
  <si>
    <t>940x300</t>
  </si>
  <si>
    <t>NIKE</t>
  </si>
  <si>
    <t>NIK</t>
  </si>
  <si>
    <t>Media Today</t>
  </si>
  <si>
    <t>MEDT</t>
  </si>
  <si>
    <t>944x90</t>
  </si>
  <si>
    <t>Mediamath</t>
  </si>
  <si>
    <t>MEMA</t>
  </si>
  <si>
    <t>950x100</t>
  </si>
  <si>
    <t>Noon</t>
  </si>
  <si>
    <t>NOO</t>
  </si>
  <si>
    <t>Mediamond</t>
  </si>
  <si>
    <t>MEMO</t>
  </si>
  <si>
    <t>950x120</t>
  </si>
  <si>
    <t>NORDSTROM</t>
  </si>
  <si>
    <t>NOR</t>
  </si>
  <si>
    <t>Mediaset</t>
  </si>
  <si>
    <t>MEST</t>
  </si>
  <si>
    <t>950x125</t>
  </si>
  <si>
    <t>Not A Tourist</t>
  </si>
  <si>
    <t>MediaSniper RTB</t>
  </si>
  <si>
    <t>RTBS</t>
  </si>
  <si>
    <t>950x150</t>
  </si>
  <si>
    <t>NPC Gas</t>
  </si>
  <si>
    <t>NPC</t>
  </si>
  <si>
    <t>Mediative</t>
  </si>
  <si>
    <t>MEDI</t>
  </si>
  <si>
    <t>950x200</t>
  </si>
  <si>
    <t>NTT Group</t>
  </si>
  <si>
    <t>NTT</t>
  </si>
  <si>
    <t>Medula</t>
  </si>
  <si>
    <t>MEDU</t>
  </si>
  <si>
    <t>950x300</t>
  </si>
  <si>
    <t>NUR</t>
  </si>
  <si>
    <t>Meduza</t>
  </si>
  <si>
    <t>MDZA</t>
  </si>
  <si>
    <t>950x315</t>
  </si>
  <si>
    <t>NYC YELLOW CAB</t>
  </si>
  <si>
    <t>NYC</t>
  </si>
  <si>
    <t>MeetHK.com</t>
  </si>
  <si>
    <t>MTHK</t>
  </si>
  <si>
    <t>950x450</t>
  </si>
  <si>
    <t>NZUE</t>
  </si>
  <si>
    <t>NZU</t>
  </si>
  <si>
    <t>mega.cl</t>
  </si>
  <si>
    <t>MECL</t>
  </si>
  <si>
    <t>950x50</t>
  </si>
  <si>
    <t>O Boticário</t>
  </si>
  <si>
    <t>OBO</t>
  </si>
  <si>
    <t>Megogo.ru</t>
  </si>
  <si>
    <t>MGOR</t>
  </si>
  <si>
    <t>950x90</t>
  </si>
  <si>
    <t>OFFICE DEPOT</t>
  </si>
  <si>
    <t>OFD</t>
  </si>
  <si>
    <t>Men.bg</t>
  </si>
  <si>
    <t>960x50</t>
  </si>
  <si>
    <t>OleOle</t>
  </si>
  <si>
    <t>OLE</t>
  </si>
  <si>
    <t>Mercado Libre</t>
  </si>
  <si>
    <t>MCLE</t>
  </si>
  <si>
    <t>96x96</t>
  </si>
  <si>
    <t>Olymics</t>
  </si>
  <si>
    <t>OLY</t>
  </si>
  <si>
    <t>MDNI</t>
  </si>
  <si>
    <t>9700x250</t>
  </si>
  <si>
    <t>Omni</t>
  </si>
  <si>
    <t>OMI</t>
  </si>
  <si>
    <t>Merqueo</t>
  </si>
  <si>
    <t>MRQO</t>
  </si>
  <si>
    <t>970x110</t>
  </si>
  <si>
    <t>Optus</t>
  </si>
  <si>
    <t>OPT</t>
  </si>
  <si>
    <t>Metro</t>
  </si>
  <si>
    <t>METR</t>
  </si>
  <si>
    <t>970x150</t>
  </si>
  <si>
    <t>Orange Point</t>
  </si>
  <si>
    <t>ORP</t>
  </si>
  <si>
    <t>Metroland</t>
  </si>
  <si>
    <t>METO</t>
  </si>
  <si>
    <t>970x160</t>
  </si>
  <si>
    <t>ORBIT PAYMENT</t>
  </si>
  <si>
    <t>ORB</t>
  </si>
  <si>
    <t>Mi Voz Chile</t>
  </si>
  <si>
    <t>MVCL</t>
  </si>
  <si>
    <t>970x200</t>
  </si>
  <si>
    <t>O'REILLY AUTOMOTIVE</t>
  </si>
  <si>
    <t>ORE</t>
  </si>
  <si>
    <t>Ming Pao</t>
  </si>
  <si>
    <t>MIPA</t>
  </si>
  <si>
    <t>970x210</t>
  </si>
  <si>
    <t>OSI (OUTBACK STEAKHOUSE)</t>
  </si>
  <si>
    <t>OSI</t>
  </si>
  <si>
    <t>MiQ</t>
  </si>
  <si>
    <t>Overwaitea</t>
  </si>
  <si>
    <t>OVE</t>
  </si>
  <si>
    <t>MMS</t>
  </si>
  <si>
    <t>MMSM</t>
  </si>
  <si>
    <t>Oxxo(Femsa Comercio)</t>
  </si>
  <si>
    <t>OXX</t>
  </si>
  <si>
    <t>Mobehave</t>
  </si>
  <si>
    <t>MOBE</t>
  </si>
  <si>
    <t>970x300</t>
  </si>
  <si>
    <t>PANDA MANAGEMENT GROUP</t>
  </si>
  <si>
    <t>PMG</t>
  </si>
  <si>
    <t>mobiem</t>
  </si>
  <si>
    <t>MOBI</t>
  </si>
  <si>
    <t>970x310</t>
  </si>
  <si>
    <t>PANERA BREAD COMPANY</t>
  </si>
  <si>
    <t>PBC</t>
  </si>
  <si>
    <t>Mobile B2B</t>
  </si>
  <si>
    <t>MB2B</t>
  </si>
  <si>
    <t>970x40</t>
  </si>
  <si>
    <t>Pão de Açúcar Delivery</t>
  </si>
  <si>
    <t>PDY</t>
  </si>
  <si>
    <t>Mobile Monday</t>
  </si>
  <si>
    <t>MOBM</t>
  </si>
  <si>
    <t>970x500</t>
  </si>
  <si>
    <t>PAPA JOHNS</t>
  </si>
  <si>
    <t>PAJ</t>
  </si>
  <si>
    <t>Mobile01</t>
  </si>
  <si>
    <t>MOBL</t>
  </si>
  <si>
    <t>970x600</t>
  </si>
  <si>
    <t>Paragon</t>
  </si>
  <si>
    <t>PRG</t>
  </si>
  <si>
    <t>Mobilewalla</t>
  </si>
  <si>
    <t>MOWA</t>
  </si>
  <si>
    <t>970x66</t>
  </si>
  <si>
    <t>Placeholder for new Placement Execution Size Code</t>
  </si>
  <si>
    <t>ParknShop</t>
  </si>
  <si>
    <t>PNS</t>
  </si>
  <si>
    <t>Modrykonik</t>
  </si>
  <si>
    <t>MODR</t>
  </si>
  <si>
    <t>970x85</t>
  </si>
  <si>
    <t>Payment Leadership</t>
  </si>
  <si>
    <t>PLVA</t>
  </si>
  <si>
    <t>Moitepari.bg</t>
  </si>
  <si>
    <t>MOIT</t>
  </si>
  <si>
    <t>980x110</t>
  </si>
  <si>
    <t>PAYPAL</t>
  </si>
  <si>
    <t>PPL</t>
  </si>
  <si>
    <t>Momondo</t>
  </si>
  <si>
    <t>MOMO</t>
  </si>
  <si>
    <t>980x120</t>
  </si>
  <si>
    <t>Paypal (Singapore)</t>
  </si>
  <si>
    <t>PPS</t>
  </si>
  <si>
    <t>Money.bg</t>
  </si>
  <si>
    <t>MONE</t>
  </si>
  <si>
    <t>980x150</t>
  </si>
  <si>
    <t>PAYTECH(YAPSTONE)</t>
  </si>
  <si>
    <t>YAP</t>
  </si>
  <si>
    <t>moviADS</t>
  </si>
  <si>
    <t>MOAD</t>
  </si>
  <si>
    <t>980x180</t>
  </si>
  <si>
    <t>Paywave</t>
  </si>
  <si>
    <t>PAY</t>
  </si>
  <si>
    <t>Movie Express</t>
  </si>
  <si>
    <t>MVXP</t>
  </si>
  <si>
    <t>980x200</t>
  </si>
  <si>
    <t>Pernambucanas</t>
  </si>
  <si>
    <t>PER</t>
  </si>
  <si>
    <t>Movilzona.es</t>
  </si>
  <si>
    <t>MOZO</t>
  </si>
  <si>
    <t>980x240</t>
  </si>
  <si>
    <t>PETCO</t>
  </si>
  <si>
    <t>PTC</t>
  </si>
  <si>
    <t>Mozoo</t>
  </si>
  <si>
    <t>MZOO</t>
  </si>
  <si>
    <t>980x250</t>
  </si>
  <si>
    <t>PETRO CANADA</t>
  </si>
  <si>
    <t>PTR</t>
  </si>
  <si>
    <t>Mr Target</t>
  </si>
  <si>
    <t>MRTA</t>
  </si>
  <si>
    <t>980x300</t>
  </si>
  <si>
    <t>Petrobrás/BrMania</t>
  </si>
  <si>
    <t>PTB</t>
  </si>
  <si>
    <t>980x40</t>
  </si>
  <si>
    <t>PETRONAS MALAYSIA</t>
  </si>
  <si>
    <t>PET</t>
  </si>
  <si>
    <t>MTV</t>
  </si>
  <si>
    <t>980x400</t>
  </si>
  <si>
    <t>PETSMART INC</t>
  </si>
  <si>
    <t>PTI</t>
  </si>
  <si>
    <t>Mudah</t>
  </si>
  <si>
    <t>MUDH</t>
  </si>
  <si>
    <t>980x600</t>
  </si>
  <si>
    <t>PHILLIPS 66</t>
  </si>
  <si>
    <t>P66</t>
  </si>
  <si>
    <t>MUNO</t>
  </si>
  <si>
    <t>980x80</t>
  </si>
  <si>
    <t>PHILLIPS-VAN HEUSEN</t>
  </si>
  <si>
    <t>PVH</t>
  </si>
  <si>
    <t>multimediosglp.cl</t>
  </si>
  <si>
    <t>MUME</t>
  </si>
  <si>
    <t>980x90</t>
  </si>
  <si>
    <t>PICK N PAY</t>
  </si>
  <si>
    <t>PNP</t>
  </si>
  <si>
    <t>CEMEA_South Africa</t>
  </si>
  <si>
    <t>985x250</t>
  </si>
  <si>
    <t>Pídelo Rápido</t>
  </si>
  <si>
    <t>PIRA</t>
  </si>
  <si>
    <t>Mundo Ejecutivo</t>
  </si>
  <si>
    <t>MEJE</t>
  </si>
  <si>
    <t>990x200</t>
  </si>
  <si>
    <t>PILOT TRAVEL CENTERS</t>
  </si>
  <si>
    <t>PIL</t>
  </si>
  <si>
    <t>MX Player</t>
  </si>
  <si>
    <t>MXPL</t>
  </si>
  <si>
    <t>990x250</t>
  </si>
  <si>
    <t>Pizza Hut</t>
  </si>
  <si>
    <t>PZH</t>
  </si>
  <si>
    <t>mycompany</t>
  </si>
  <si>
    <t>MYCO</t>
  </si>
  <si>
    <t>990x90</t>
  </si>
  <si>
    <t>Pizza Pizza</t>
  </si>
  <si>
    <t>PZA</t>
  </si>
  <si>
    <t>MyTarget</t>
  </si>
  <si>
    <t>MYTG</t>
  </si>
  <si>
    <t>993x250</t>
  </si>
  <si>
    <t>pizza portal</t>
  </si>
  <si>
    <t>PIP</t>
  </si>
  <si>
    <t>MyTV</t>
  </si>
  <si>
    <t>MYTV</t>
  </si>
  <si>
    <t>994x250</t>
  </si>
  <si>
    <t>PLUS</t>
  </si>
  <si>
    <t>PLU</t>
  </si>
  <si>
    <t>Mywaymag</t>
  </si>
  <si>
    <t>MYWM</t>
  </si>
  <si>
    <t>998x200</t>
  </si>
  <si>
    <t>Polishop</t>
  </si>
  <si>
    <t>PSH</t>
  </si>
  <si>
    <t>N&amp;MH</t>
  </si>
  <si>
    <t>IMAGE</t>
  </si>
  <si>
    <t>POLO/RALPH LAUREN</t>
  </si>
  <si>
    <t>PRL</t>
  </si>
  <si>
    <t>naekranie</t>
  </si>
  <si>
    <t>NAEK</t>
  </si>
  <si>
    <t>Mix DCO Display</t>
  </si>
  <si>
    <t>MIxD</t>
  </si>
  <si>
    <t>Porto Seguro</t>
  </si>
  <si>
    <t>Natexo</t>
  </si>
  <si>
    <t>NATE</t>
  </si>
  <si>
    <t>Mix DCO Video</t>
  </si>
  <si>
    <t>MIxV</t>
  </si>
  <si>
    <t>PrePaid</t>
  </si>
  <si>
    <t>PRE</t>
  </si>
  <si>
    <t>Nativeroll</t>
  </si>
  <si>
    <t>NVRL</t>
  </si>
  <si>
    <t>PRICELINE.COM INC</t>
  </si>
  <si>
    <t>PCI</t>
  </si>
  <si>
    <t>Naver</t>
  </si>
  <si>
    <t>NAVE</t>
  </si>
  <si>
    <t>Package</t>
  </si>
  <si>
    <t>PKG</t>
  </si>
  <si>
    <t>Pricesmart</t>
  </si>
  <si>
    <t>Naver café</t>
  </si>
  <si>
    <t>NACA</t>
  </si>
  <si>
    <t>PROGRESSIVE</t>
  </si>
  <si>
    <t>PRO</t>
  </si>
  <si>
    <t>Naver Mobile</t>
  </si>
  <si>
    <t>NAVM</t>
  </si>
  <si>
    <t>TExT</t>
  </si>
  <si>
    <t>Progressive Enterprises Limited</t>
  </si>
  <si>
    <t>PEL</t>
  </si>
  <si>
    <t>NBC</t>
  </si>
  <si>
    <t>Tracking_Pixel_1X1</t>
  </si>
  <si>
    <t>PROPAY</t>
  </si>
  <si>
    <t>NDTV</t>
  </si>
  <si>
    <t>PTT</t>
  </si>
  <si>
    <t>Near</t>
  </si>
  <si>
    <t>NEAR</t>
  </si>
  <si>
    <t>Video:05</t>
  </si>
  <si>
    <t>Vid:05</t>
  </si>
  <si>
    <t>PUBLIX</t>
  </si>
  <si>
    <t>PUB</t>
  </si>
  <si>
    <t>NeoBazy</t>
  </si>
  <si>
    <t>NEBZ</t>
  </si>
  <si>
    <t>Video:09</t>
  </si>
  <si>
    <t>Vid:09</t>
  </si>
  <si>
    <t>Qantas Airways Limited</t>
  </si>
  <si>
    <t>QAL</t>
  </si>
  <si>
    <t>Neolaia</t>
  </si>
  <si>
    <t>NEOL</t>
  </si>
  <si>
    <t>Video:12</t>
  </si>
  <si>
    <t>Vid:12</t>
  </si>
  <si>
    <t>Qoo10</t>
  </si>
  <si>
    <t>QOO</t>
  </si>
  <si>
    <t>Net Sales Media</t>
  </si>
  <si>
    <t>NESM</t>
  </si>
  <si>
    <t>Video:13</t>
  </si>
  <si>
    <t>Vid:13</t>
  </si>
  <si>
    <t>QUIKTRIP</t>
  </si>
  <si>
    <t>QUI</t>
  </si>
  <si>
    <t>Netinfo Native</t>
  </si>
  <si>
    <t>NENA</t>
  </si>
  <si>
    <t>Video:4</t>
  </si>
  <si>
    <t>Vid:4</t>
  </si>
  <si>
    <t>Qunar.com</t>
  </si>
  <si>
    <t>QUN</t>
  </si>
  <si>
    <t>Netinfo Video network</t>
  </si>
  <si>
    <t>NVNE</t>
  </si>
  <si>
    <t>Video:7</t>
  </si>
  <si>
    <t>Vid:7</t>
  </si>
  <si>
    <t>QVC</t>
  </si>
  <si>
    <t>Network18</t>
  </si>
  <si>
    <t>NT18</t>
  </si>
  <si>
    <t>Video:06</t>
  </si>
  <si>
    <t>VID:06</t>
  </si>
  <si>
    <t>RACETRAC</t>
  </si>
  <si>
    <t>RAC</t>
  </si>
  <si>
    <t>New York Times</t>
  </si>
  <si>
    <t>NYT</t>
  </si>
  <si>
    <t>Video:10</t>
  </si>
  <si>
    <t>VID:10</t>
  </si>
  <si>
    <t>Raia Drogasil</t>
  </si>
  <si>
    <t>RAI</t>
  </si>
  <si>
    <t>Newcast</t>
  </si>
  <si>
    <t>NEWC</t>
  </si>
  <si>
    <t>Video:10 1:1</t>
  </si>
  <si>
    <t>VID:10x1:1</t>
  </si>
  <si>
    <t>Rakuten</t>
  </si>
  <si>
    <t>RAK</t>
  </si>
  <si>
    <t>News Corporation</t>
  </si>
  <si>
    <t>NEWS</t>
  </si>
  <si>
    <t>Video:10 9:16</t>
  </si>
  <si>
    <t>VID:10x9:16</t>
  </si>
  <si>
    <t>RALEYS</t>
  </si>
  <si>
    <t>RAL</t>
  </si>
  <si>
    <t>News.bg</t>
  </si>
  <si>
    <t>NEBG</t>
  </si>
  <si>
    <t>Video:11</t>
  </si>
  <si>
    <t>VID:11</t>
  </si>
  <si>
    <t>Ranch Market</t>
  </si>
  <si>
    <t>RAM</t>
  </si>
  <si>
    <t>Newsbeast</t>
  </si>
  <si>
    <t>NEBE</t>
  </si>
  <si>
    <t>VID:12</t>
  </si>
  <si>
    <t>REDBOX DVD</t>
  </si>
  <si>
    <t>RED</t>
  </si>
  <si>
    <t>Newsbomb</t>
  </si>
  <si>
    <t>NEBO</t>
  </si>
  <si>
    <t>VID:13</t>
  </si>
  <si>
    <t>Reel Cinemas</t>
  </si>
  <si>
    <t>REE</t>
  </si>
  <si>
    <t>Next regie</t>
  </si>
  <si>
    <t>NXTR</t>
  </si>
  <si>
    <t>Video:14</t>
  </si>
  <si>
    <t>VID:14</t>
  </si>
  <si>
    <t>REGAL ENTERTAINMENT GROUP</t>
  </si>
  <si>
    <t>REG</t>
  </si>
  <si>
    <t>Video :15</t>
  </si>
  <si>
    <t>VID:15</t>
  </si>
  <si>
    <t>REGIS CORPORATION</t>
  </si>
  <si>
    <t>RCO</t>
  </si>
  <si>
    <t>Video :15 1:1</t>
  </si>
  <si>
    <t>VID:15x1:1</t>
  </si>
  <si>
    <t>RESTAURANT DEPOT</t>
  </si>
  <si>
    <t>RTD</t>
  </si>
  <si>
    <t>nlp captcha</t>
  </si>
  <si>
    <t>NLPC</t>
  </si>
  <si>
    <t>VIDEO:15x16:9</t>
  </si>
  <si>
    <t>VID:15x16:9</t>
  </si>
  <si>
    <t>Restorando</t>
  </si>
  <si>
    <t>RND</t>
  </si>
  <si>
    <t>Noted</t>
  </si>
  <si>
    <t>NOTE</t>
  </si>
  <si>
    <t>Video :15 9:16</t>
  </si>
  <si>
    <t>VID:15x9:16</t>
  </si>
  <si>
    <t>Riachuelo</t>
  </si>
  <si>
    <t>RIA</t>
  </si>
  <si>
    <t>Nova</t>
  </si>
  <si>
    <t>NOVA</t>
  </si>
  <si>
    <t>Video:16x9</t>
  </si>
  <si>
    <t>Vid:16x9</t>
  </si>
  <si>
    <t>Ricardo Eletro /Insinuante</t>
  </si>
  <si>
    <t>RIE</t>
  </si>
  <si>
    <t>novini.bg</t>
  </si>
  <si>
    <t>NVIN</t>
  </si>
  <si>
    <t>Video :17</t>
  </si>
  <si>
    <t>VID:17</t>
  </si>
  <si>
    <t>Rimac</t>
  </si>
  <si>
    <t>RIM</t>
  </si>
  <si>
    <t>novinky.cz</t>
  </si>
  <si>
    <t>NOVI</t>
  </si>
  <si>
    <t>Video :17 1:1</t>
  </si>
  <si>
    <t>VID:17x1:1</t>
  </si>
  <si>
    <t>Ripley</t>
  </si>
  <si>
    <t>RIP</t>
  </si>
  <si>
    <t>Npress</t>
  </si>
  <si>
    <t>NPRE</t>
  </si>
  <si>
    <t>Video :17 9:16</t>
  </si>
  <si>
    <t>VID:17x9:16</t>
  </si>
  <si>
    <t>RITE AID</t>
  </si>
  <si>
    <t>RIT</t>
  </si>
  <si>
    <t>Nur.kz</t>
  </si>
  <si>
    <t>NURK</t>
  </si>
  <si>
    <t>Video:2</t>
  </si>
  <si>
    <t>VID:2</t>
  </si>
  <si>
    <t>Ritz Carlton</t>
  </si>
  <si>
    <t>RIZ</t>
  </si>
  <si>
    <t>Nur.kz mob</t>
  </si>
  <si>
    <t>NRKM</t>
  </si>
  <si>
    <t>Video:20</t>
  </si>
  <si>
    <t>VID:20</t>
  </si>
  <si>
    <t>ROGERS</t>
  </si>
  <si>
    <t>ROG</t>
  </si>
  <si>
    <t>NZ Herald</t>
  </si>
  <si>
    <t>HERA</t>
  </si>
  <si>
    <t>Video:20 1:1</t>
  </si>
  <si>
    <t>VID:20x1:1</t>
  </si>
  <si>
    <t>RONA, INC</t>
  </si>
  <si>
    <t>RON</t>
  </si>
  <si>
    <t>NZZ</t>
  </si>
  <si>
    <t>Video:20 9:16</t>
  </si>
  <si>
    <t>VID:20x9:16</t>
  </si>
  <si>
    <t>Roots</t>
  </si>
  <si>
    <t>ROO</t>
  </si>
  <si>
    <t>OAN</t>
  </si>
  <si>
    <t>Video:25</t>
  </si>
  <si>
    <t>VID:25</t>
  </si>
  <si>
    <t>Rosbank</t>
  </si>
  <si>
    <t>RBN</t>
  </si>
  <si>
    <t>Oath</t>
  </si>
  <si>
    <t>OATH</t>
  </si>
  <si>
    <t>Video:25 1:1</t>
  </si>
  <si>
    <t>VID:25x1:1</t>
  </si>
  <si>
    <t>ROSS STORES</t>
  </si>
  <si>
    <t>ROS</t>
  </si>
  <si>
    <t>Octopus Learning</t>
  </si>
  <si>
    <t>OCLG</t>
  </si>
  <si>
    <t>Video:25 9:16</t>
  </si>
  <si>
    <t>VID:25x9:16</t>
  </si>
  <si>
    <t>ROUNDYS</t>
  </si>
  <si>
    <t>ROU</t>
  </si>
  <si>
    <t>ODKru</t>
  </si>
  <si>
    <t>ODKS</t>
  </si>
  <si>
    <t>Video:26</t>
  </si>
  <si>
    <t>VID:26</t>
  </si>
  <si>
    <t>Royal Caribbean</t>
  </si>
  <si>
    <t>RYC</t>
  </si>
  <si>
    <t>Ogury</t>
  </si>
  <si>
    <t>OGUR</t>
  </si>
  <si>
    <t>Video:3</t>
  </si>
  <si>
    <t>VID:3</t>
  </si>
  <si>
    <t>ROYAL DUTCH SHELL</t>
  </si>
  <si>
    <t>ROY</t>
  </si>
  <si>
    <t>okazje.info</t>
  </si>
  <si>
    <t>OKAZ</t>
  </si>
  <si>
    <t>Video:30</t>
  </si>
  <si>
    <t>VID:30</t>
  </si>
  <si>
    <t>Running Room</t>
  </si>
  <si>
    <t>RUN</t>
  </si>
  <si>
    <t>olx</t>
  </si>
  <si>
    <t>OLX</t>
  </si>
  <si>
    <t>Video:30 1:1</t>
  </si>
  <si>
    <t>VID:30x1:1</t>
  </si>
  <si>
    <t>Ryookan</t>
  </si>
  <si>
    <t>RYO</t>
  </si>
  <si>
    <t>On.cc</t>
  </si>
  <si>
    <t>ONCC</t>
  </si>
  <si>
    <t>Video:30 9:16</t>
  </si>
  <si>
    <t>VID:30x9:16</t>
  </si>
  <si>
    <t>S7 Airlines</t>
  </si>
  <si>
    <t>S7A</t>
  </si>
  <si>
    <t>onead.com.tw</t>
  </si>
  <si>
    <t>ONED</t>
  </si>
  <si>
    <t>VID:32</t>
  </si>
  <si>
    <t>SAFEWAY</t>
  </si>
  <si>
    <t>SAF</t>
  </si>
  <si>
    <t>Oneman.gr</t>
  </si>
  <si>
    <t>ONMA</t>
  </si>
  <si>
    <t>Video:40</t>
  </si>
  <si>
    <t>VID:40</t>
  </si>
  <si>
    <t>SAKS</t>
  </si>
  <si>
    <t>SAK</t>
  </si>
  <si>
    <t>Onet</t>
  </si>
  <si>
    <t>ONET</t>
  </si>
  <si>
    <t>Video:40 1:1</t>
  </si>
  <si>
    <t>VID:40x1:1</t>
  </si>
  <si>
    <t>SALLY BEAUTY</t>
  </si>
  <si>
    <t>SAB</t>
  </si>
  <si>
    <t>Onetwotrip</t>
  </si>
  <si>
    <t>OTTR</t>
  </si>
  <si>
    <t>Video:40 9:16</t>
  </si>
  <si>
    <t>VID:40x9:16</t>
  </si>
  <si>
    <t>Sam's Club</t>
  </si>
  <si>
    <t>SAC</t>
  </si>
  <si>
    <t>Opera</t>
  </si>
  <si>
    <t>OPRA</t>
  </si>
  <si>
    <t>Video:45</t>
  </si>
  <si>
    <t>VID:45</t>
  </si>
  <si>
    <t>Samsung MP incremental</t>
  </si>
  <si>
    <t>SMI</t>
  </si>
  <si>
    <t>CEMEA_Dubai</t>
  </si>
  <si>
    <t>Orange</t>
  </si>
  <si>
    <t>ORNG</t>
  </si>
  <si>
    <t>Video:45 1:1</t>
  </si>
  <si>
    <t>VID:45x1:1</t>
  </si>
  <si>
    <t>Samsung Multi Product</t>
  </si>
  <si>
    <t>SMP</t>
  </si>
  <si>
    <t>Orange Buddies</t>
  </si>
  <si>
    <t>ORGB</t>
  </si>
  <si>
    <t>Video:45 9:16</t>
  </si>
  <si>
    <t>VID:45x9:16</t>
  </si>
  <si>
    <t>Samsung Pay</t>
  </si>
  <si>
    <t>SAP</t>
  </si>
  <si>
    <t>ORF</t>
  </si>
  <si>
    <t>Video:5</t>
  </si>
  <si>
    <t>VID:5</t>
  </si>
  <si>
    <t>Saraiva</t>
  </si>
  <si>
    <t>SVA</t>
  </si>
  <si>
    <t>OTM</t>
  </si>
  <si>
    <t>OTMR</t>
  </si>
  <si>
    <t>VIDEO:50</t>
  </si>
  <si>
    <t>VID:50</t>
  </si>
  <si>
    <t>SAVE MART</t>
  </si>
  <si>
    <t>SAM</t>
  </si>
  <si>
    <t>Otto Group Media</t>
  </si>
  <si>
    <t>OTGM</t>
  </si>
  <si>
    <t>Video:6</t>
  </si>
  <si>
    <t>VID:6</t>
  </si>
  <si>
    <t>SC Bank x S-Oil</t>
  </si>
  <si>
    <t>SCS</t>
  </si>
  <si>
    <t>Outbrain</t>
  </si>
  <si>
    <t>OUTB</t>
  </si>
  <si>
    <t>Video:60</t>
  </si>
  <si>
    <t>VID:60</t>
  </si>
  <si>
    <t>SCHOTTENSTEIN STORES CORPORATION</t>
  </si>
  <si>
    <t>SSC</t>
  </si>
  <si>
    <t>Ozy</t>
  </si>
  <si>
    <t>OZY</t>
  </si>
  <si>
    <t>Video:60 1:1</t>
  </si>
  <si>
    <t>VID:60x1:1</t>
  </si>
  <si>
    <t>Sears</t>
  </si>
  <si>
    <t>Paidorama.com</t>
  </si>
  <si>
    <t>PAID</t>
  </si>
  <si>
    <t>Video:60 9:16</t>
  </si>
  <si>
    <t>VID:60x9:16</t>
  </si>
  <si>
    <t>SEARS/KMART</t>
  </si>
  <si>
    <t>Pandora</t>
  </si>
  <si>
    <t>PAND</t>
  </si>
  <si>
    <t>Video:6 1:1</t>
  </si>
  <si>
    <t>VID:6x1:1</t>
  </si>
  <si>
    <t>Seibu Dept Stores</t>
  </si>
  <si>
    <t>SDS</t>
  </si>
  <si>
    <t>Parentbook.gr</t>
  </si>
  <si>
    <t>PBOK</t>
  </si>
  <si>
    <t>Video:6 16:9</t>
  </si>
  <si>
    <t>VID:6x16:9</t>
  </si>
  <si>
    <t>Shangri-La International Hotels Management Limited Regional (Hong Kong)</t>
  </si>
  <si>
    <t>SHA</t>
  </si>
  <si>
    <t>pariteni.bg</t>
  </si>
  <si>
    <t>PARI</t>
  </si>
  <si>
    <t>Video:6 9:16</t>
  </si>
  <si>
    <t>VID:6x9:16</t>
  </si>
  <si>
    <t>SHEETZ</t>
  </si>
  <si>
    <t>SHZ</t>
  </si>
  <si>
    <t>Pay U</t>
  </si>
  <si>
    <t>PAYU</t>
  </si>
  <si>
    <t>Video:90</t>
  </si>
  <si>
    <t>VID:90</t>
  </si>
  <si>
    <t>SHELL</t>
  </si>
  <si>
    <t>SHE</t>
  </si>
  <si>
    <t>Pchome</t>
  </si>
  <si>
    <t>PCHM</t>
  </si>
  <si>
    <t>Video:90 1:1</t>
  </si>
  <si>
    <t>VID:90x1:1</t>
  </si>
  <si>
    <t>Shell Malaysia</t>
  </si>
  <si>
    <t>SHM</t>
  </si>
  <si>
    <t>Pedestrain</t>
  </si>
  <si>
    <t>PEDE</t>
  </si>
  <si>
    <t>Video:90 9:16</t>
  </si>
  <si>
    <t>VID:90x9:16</t>
  </si>
  <si>
    <t>Shell Philippines</t>
  </si>
  <si>
    <t>SHP</t>
  </si>
  <si>
    <t>pelikan</t>
  </si>
  <si>
    <t>PELI</t>
  </si>
  <si>
    <t>Video :05</t>
  </si>
  <si>
    <t>VID:05</t>
  </si>
  <si>
    <t>Shell Regional (Singapore)</t>
  </si>
  <si>
    <t>SHS</t>
  </si>
  <si>
    <t>penize.cz</t>
  </si>
  <si>
    <t>PENI</t>
  </si>
  <si>
    <t>Video :09</t>
  </si>
  <si>
    <t>VID:09</t>
  </si>
  <si>
    <t>SHERWIN WILLIAMS</t>
  </si>
  <si>
    <t>SHW</t>
  </si>
  <si>
    <t>People Media</t>
  </si>
  <si>
    <t>PEME</t>
  </si>
  <si>
    <t>Video :10</t>
  </si>
  <si>
    <t>Shin Kong Mitsukoshi Dept Store</t>
  </si>
  <si>
    <t>SKM</t>
  </si>
  <si>
    <t>Performics</t>
  </si>
  <si>
    <t>PERF</t>
  </si>
  <si>
    <t>Video :10 1:1</t>
  </si>
  <si>
    <t>Shopback</t>
  </si>
  <si>
    <t>SHO</t>
  </si>
  <si>
    <t>Permodo</t>
  </si>
  <si>
    <t>PERM</t>
  </si>
  <si>
    <t>Video :10 16:9</t>
  </si>
  <si>
    <t>VID:10x16:9</t>
  </si>
  <si>
    <t>Shopee</t>
  </si>
  <si>
    <t>SPP</t>
  </si>
  <si>
    <t>PetitPress</t>
  </si>
  <si>
    <t>PEPR</t>
  </si>
  <si>
    <t>Video :10 9:16</t>
  </si>
  <si>
    <t>SHOPPERS DRUG MART CORP</t>
  </si>
  <si>
    <t>SDG</t>
  </si>
  <si>
    <t>PHAR Partnerships</t>
  </si>
  <si>
    <t>PHAR</t>
  </si>
  <si>
    <t>Video :12</t>
  </si>
  <si>
    <t>Shutterfly</t>
  </si>
  <si>
    <t>SHU</t>
  </si>
  <si>
    <t>Philenews</t>
  </si>
  <si>
    <t>PHNE</t>
  </si>
  <si>
    <t>Video :13</t>
  </si>
  <si>
    <t>Siam Paragon</t>
  </si>
  <si>
    <t>Video :14</t>
  </si>
  <si>
    <t>SickKids Foundation</t>
  </si>
  <si>
    <t>SIC</t>
  </si>
  <si>
    <t>Pinterest</t>
  </si>
  <si>
    <t>PINT</t>
  </si>
  <si>
    <t>Simons</t>
  </si>
  <si>
    <t>SIM</t>
  </si>
  <si>
    <t>Pixels</t>
  </si>
  <si>
    <t>PIXL</t>
  </si>
  <si>
    <t>Singapore Airlines</t>
  </si>
  <si>
    <t>SGA</t>
  </si>
  <si>
    <t>Pixnet</t>
  </si>
  <si>
    <t>PIXT</t>
  </si>
  <si>
    <t>SIRIUS XM RADIO</t>
  </si>
  <si>
    <t>SXR</t>
  </si>
  <si>
    <t>Sivvy</t>
  </si>
  <si>
    <t>SIV</t>
  </si>
  <si>
    <t>Pladform</t>
  </si>
  <si>
    <t>PLAD</t>
  </si>
  <si>
    <t>SKY Group</t>
  </si>
  <si>
    <t>SKY</t>
  </si>
  <si>
    <t>play.novatv.bg</t>
  </si>
  <si>
    <t>PLNO</t>
  </si>
  <si>
    <t>SM Cinemas</t>
  </si>
  <si>
    <t>SMC</t>
  </si>
  <si>
    <t>playfm.cl</t>
  </si>
  <si>
    <t>PLCL</t>
  </si>
  <si>
    <t>Video :20</t>
  </si>
  <si>
    <t>SM Supermalls</t>
  </si>
  <si>
    <t>SMS</t>
  </si>
  <si>
    <t>PlayLink</t>
  </si>
  <si>
    <t>PLNK</t>
  </si>
  <si>
    <t>Video :20 1:1</t>
  </si>
  <si>
    <t>SM Tickets</t>
  </si>
  <si>
    <t>SMT</t>
  </si>
  <si>
    <t>Plista</t>
  </si>
  <si>
    <t>PLIS</t>
  </si>
  <si>
    <t>Video :20 9:16</t>
  </si>
  <si>
    <t>Snapchat</t>
  </si>
  <si>
    <t>SNCH</t>
  </si>
  <si>
    <t>Politico</t>
  </si>
  <si>
    <t>PLCO</t>
  </si>
  <si>
    <t>Video :25</t>
  </si>
  <si>
    <t>SOBEYS INC</t>
  </si>
  <si>
    <t>SOB</t>
  </si>
  <si>
    <t>Politiken</t>
  </si>
  <si>
    <t>POLI</t>
  </si>
  <si>
    <t>Video :25 1:1</t>
  </si>
  <si>
    <t>Social Code</t>
  </si>
  <si>
    <t>SOCO</t>
  </si>
  <si>
    <t>Politis</t>
  </si>
  <si>
    <t>PLTS</t>
  </si>
  <si>
    <t>Video :25 16:9</t>
  </si>
  <si>
    <t>VID:25x16:9</t>
  </si>
  <si>
    <t>Sofitel</t>
  </si>
  <si>
    <t>SOF</t>
  </si>
  <si>
    <t>Polsat</t>
  </si>
  <si>
    <t>POLS</t>
  </si>
  <si>
    <t>Video :25 9:16</t>
  </si>
  <si>
    <t>Softbank Mobile</t>
  </si>
  <si>
    <t>SBM</t>
  </si>
  <si>
    <t>Popaganda</t>
  </si>
  <si>
    <t>POGA</t>
  </si>
  <si>
    <t>Video :30</t>
  </si>
  <si>
    <t>SONIC</t>
  </si>
  <si>
    <t>SON</t>
  </si>
  <si>
    <t>Priceline</t>
  </si>
  <si>
    <t>Video :30 1:1</t>
  </si>
  <si>
    <t>SONY CORP</t>
  </si>
  <si>
    <t>Primera Hora</t>
  </si>
  <si>
    <t>PRIH</t>
  </si>
  <si>
    <t>Video :30 9:16</t>
  </si>
  <si>
    <t>Soriana</t>
  </si>
  <si>
    <t>SOR</t>
  </si>
  <si>
    <t>Pro7-Sat1-Puls4</t>
  </si>
  <si>
    <t>PRO7</t>
  </si>
  <si>
    <t>Video :4</t>
  </si>
  <si>
    <t>VID:4</t>
  </si>
  <si>
    <t>South African Airways</t>
  </si>
  <si>
    <t>SAA</t>
  </si>
  <si>
    <t>Profit.bg</t>
  </si>
  <si>
    <t>PRBG</t>
  </si>
  <si>
    <t>Video :40</t>
  </si>
  <si>
    <t>SOUTHWEST</t>
  </si>
  <si>
    <t>SOU</t>
  </si>
  <si>
    <t>Protathlima</t>
  </si>
  <si>
    <t>PRMA</t>
  </si>
  <si>
    <t>Video :40 1:1</t>
  </si>
  <si>
    <t>SPIRIT AIRLINES</t>
  </si>
  <si>
    <t>SPA</t>
  </si>
  <si>
    <t>Publicitas</t>
  </si>
  <si>
    <t>PUBL</t>
  </si>
  <si>
    <t>Video :40 16:9</t>
  </si>
  <si>
    <t>VID:40x16:9</t>
  </si>
  <si>
    <t>SPRINT/NEXTEL</t>
  </si>
  <si>
    <t>SPN</t>
  </si>
  <si>
    <t>Publimetro</t>
  </si>
  <si>
    <t>PBLI</t>
  </si>
  <si>
    <t>Video :40 9:16</t>
  </si>
  <si>
    <t>SPROUTS FARMERS MARKET</t>
  </si>
  <si>
    <t>SFM</t>
  </si>
  <si>
    <t>Publinews GT</t>
  </si>
  <si>
    <t>PBNW</t>
  </si>
  <si>
    <t>Video :45</t>
  </si>
  <si>
    <t>SQUARE INC</t>
  </si>
  <si>
    <t>SQU</t>
  </si>
  <si>
    <t>Purple Connection</t>
  </si>
  <si>
    <t>PCON</t>
  </si>
  <si>
    <t>Video :45 1:1</t>
  </si>
  <si>
    <t>Staples</t>
  </si>
  <si>
    <t>STA</t>
  </si>
  <si>
    <t>PurpurMedia</t>
  </si>
  <si>
    <t>PUPU</t>
  </si>
  <si>
    <t>Video :45 9:16</t>
  </si>
  <si>
    <t>STAR CRUISES</t>
  </si>
  <si>
    <t>STC</t>
  </si>
  <si>
    <t>Qpony</t>
  </si>
  <si>
    <t>QPON</t>
  </si>
  <si>
    <t>Starbucks</t>
  </si>
  <si>
    <t>SBX</t>
  </si>
  <si>
    <t>Quantcast</t>
  </si>
  <si>
    <t>QTCT</t>
  </si>
  <si>
    <t>Video :6 1:1</t>
  </si>
  <si>
    <t>STARWOOD</t>
  </si>
  <si>
    <t>STW</t>
  </si>
  <si>
    <t>Quantum</t>
  </si>
  <si>
    <t>QNTM</t>
  </si>
  <si>
    <t>Video :6 16:9</t>
  </si>
  <si>
    <t>Quebecor</t>
  </si>
  <si>
    <t>QUEB</t>
  </si>
  <si>
    <t>Video :6 9:16</t>
  </si>
  <si>
    <t>STATE FARM INSURANCE</t>
  </si>
  <si>
    <t>SFI</t>
  </si>
  <si>
    <t>Radium One</t>
  </si>
  <si>
    <t>RDMO</t>
  </si>
  <si>
    <t>Video :60</t>
  </si>
  <si>
    <t>STUBHUB</t>
  </si>
  <si>
    <t>STU</t>
  </si>
  <si>
    <t>Rambler</t>
  </si>
  <si>
    <t>RMLR</t>
  </si>
  <si>
    <t>Video :60 1:1</t>
  </si>
  <si>
    <t>Subway Regional (Singapore)</t>
  </si>
  <si>
    <t>SUR</t>
  </si>
  <si>
    <t>Rambler_Weekend</t>
  </si>
  <si>
    <t>WRMR</t>
  </si>
  <si>
    <t>Video :60 9:16</t>
  </si>
  <si>
    <t>Subway Singapore</t>
  </si>
  <si>
    <t>SUS</t>
  </si>
  <si>
    <t>Rappler</t>
  </si>
  <si>
    <t>RAPP</t>
  </si>
  <si>
    <t>Video :7</t>
  </si>
  <si>
    <t>VID:7</t>
  </si>
  <si>
    <t>Suncorp Insurance</t>
  </si>
  <si>
    <t>SUI</t>
  </si>
  <si>
    <t>Ratpack.gr</t>
  </si>
  <si>
    <t>RATP</t>
  </si>
  <si>
    <t>Video :90</t>
  </si>
  <si>
    <t>SUNOCO</t>
  </si>
  <si>
    <t>SUN</t>
  </si>
  <si>
    <t>RBC</t>
  </si>
  <si>
    <t>RBCR</t>
  </si>
  <si>
    <t>Video :90 1:1</t>
  </si>
  <si>
    <t>SUPERMARCHE METRO</t>
  </si>
  <si>
    <t>SUM</t>
  </si>
  <si>
    <t>RBCLifestyle</t>
  </si>
  <si>
    <t>RBCL</t>
  </si>
  <si>
    <t>Video :90 9:16</t>
  </si>
  <si>
    <t>SUPERVALU</t>
  </si>
  <si>
    <t>SUV</t>
  </si>
  <si>
    <t>RCS</t>
  </si>
  <si>
    <t>Video 1:1</t>
  </si>
  <si>
    <t>VIDx1:1</t>
  </si>
  <si>
    <t>T MOBILE</t>
  </si>
  <si>
    <t>TMO</t>
  </si>
  <si>
    <t>Red Copesa</t>
  </si>
  <si>
    <t>CPSA</t>
  </si>
  <si>
    <t>Video 9:16</t>
  </si>
  <si>
    <t>VIDx9:16</t>
  </si>
  <si>
    <t>Taco Bell</t>
  </si>
  <si>
    <t>TAC</t>
  </si>
  <si>
    <t>Red Flag Deals</t>
  </si>
  <si>
    <t>REFD</t>
  </si>
  <si>
    <t>Takashimaya Inc</t>
  </si>
  <si>
    <t>TAK</t>
  </si>
  <si>
    <t>Red Más</t>
  </si>
  <si>
    <t>RDM</t>
  </si>
  <si>
    <t>TAM Airlines</t>
  </si>
  <si>
    <t>TAM</t>
  </si>
  <si>
    <t>Red Planet</t>
  </si>
  <si>
    <t>REDP</t>
  </si>
  <si>
    <t>Target</t>
  </si>
  <si>
    <t>TRG</t>
  </si>
  <si>
    <t>Redllama</t>
  </si>
  <si>
    <t>REDL</t>
  </si>
  <si>
    <t>Target Australia</t>
  </si>
  <si>
    <t>TAA</t>
  </si>
  <si>
    <t>Refinery29</t>
  </si>
  <si>
    <t>RF29</t>
  </si>
  <si>
    <t>TARGET CORP</t>
  </si>
  <si>
    <t>TAR</t>
  </si>
  <si>
    <t>Refresher</t>
  </si>
  <si>
    <t>REFR</t>
  </si>
  <si>
    <t>VID:16x9</t>
  </si>
  <si>
    <t>Tata Sky</t>
  </si>
  <si>
    <t>TSK</t>
  </si>
  <si>
    <t>Relap</t>
  </si>
  <si>
    <t>RENK</t>
  </si>
  <si>
    <t>Taxis Libres</t>
  </si>
  <si>
    <t>TXL</t>
  </si>
  <si>
    <t>Reporter</t>
  </si>
  <si>
    <t>RPTR</t>
  </si>
  <si>
    <t>Teads</t>
  </si>
  <si>
    <t>TED</t>
  </si>
  <si>
    <t>Republic</t>
  </si>
  <si>
    <t>RPBC</t>
  </si>
  <si>
    <t>Tele Pizza</t>
  </si>
  <si>
    <t>TEP</t>
  </si>
  <si>
    <t>Retail Media Group</t>
  </si>
  <si>
    <t>REMG</t>
  </si>
  <si>
    <t>Telhanorte</t>
  </si>
  <si>
    <t>TNE</t>
  </si>
  <si>
    <t>Rev Asia</t>
  </si>
  <si>
    <t>REVA</t>
  </si>
  <si>
    <t>Telstra</t>
  </si>
  <si>
    <t>TEA</t>
  </si>
  <si>
    <t>Revista Perfil</t>
  </si>
  <si>
    <t>RVPE</t>
  </si>
  <si>
    <t>Telus</t>
  </si>
  <si>
    <t>TEL</t>
  </si>
  <si>
    <t>Rewardle</t>
  </si>
  <si>
    <t>REWA</t>
  </si>
  <si>
    <t>Video1:1</t>
  </si>
  <si>
    <t>TELUS CORP</t>
  </si>
  <si>
    <t>TEC</t>
  </si>
  <si>
    <t>Rezonence</t>
  </si>
  <si>
    <t>REZO</t>
  </si>
  <si>
    <t>Video9:16</t>
  </si>
  <si>
    <t>Terminal</t>
  </si>
  <si>
    <t>TMN</t>
  </si>
  <si>
    <t>Ribon</t>
  </si>
  <si>
    <t>RIB</t>
  </si>
  <si>
    <t>300X750</t>
  </si>
  <si>
    <t>300x750</t>
  </si>
  <si>
    <t>Tesco Regional (Thailand)</t>
  </si>
  <si>
    <t>TER</t>
  </si>
  <si>
    <t>Ringier Axel Springer</t>
  </si>
  <si>
    <t>RIAS</t>
  </si>
  <si>
    <t>Tesco Thailand</t>
  </si>
  <si>
    <t>TET</t>
  </si>
  <si>
    <t>Ringittplus</t>
  </si>
  <si>
    <t>RNGT</t>
  </si>
  <si>
    <t>336x450</t>
  </si>
  <si>
    <t>TESORO</t>
  </si>
  <si>
    <t>TES</t>
  </si>
  <si>
    <t>RMC</t>
  </si>
  <si>
    <t>1190x250</t>
  </si>
  <si>
    <t>THE CHEESECAKE FACTORY</t>
  </si>
  <si>
    <t>TCF</t>
  </si>
  <si>
    <t>Rogers</t>
  </si>
  <si>
    <t>1695X920</t>
  </si>
  <si>
    <t>1695x920</t>
  </si>
  <si>
    <t>THE CUMBERLAND GULF GROUP</t>
  </si>
  <si>
    <t>TCG</t>
  </si>
  <si>
    <t>ROKT</t>
  </si>
  <si>
    <t>800x418</t>
  </si>
  <si>
    <t>THE PANTRY</t>
  </si>
  <si>
    <t>TPA</t>
  </si>
  <si>
    <t>Romandie Network</t>
  </si>
  <si>
    <t>RONE</t>
  </si>
  <si>
    <t>600x335</t>
  </si>
  <si>
    <t>THE SPORTS AUTHORITY</t>
  </si>
  <si>
    <t>TSA</t>
  </si>
  <si>
    <t>RS Concepts, INC</t>
  </si>
  <si>
    <t>RSCO</t>
  </si>
  <si>
    <t>Ticket World</t>
  </si>
  <si>
    <t>TWO</t>
  </si>
  <si>
    <t>RTE Player</t>
  </si>
  <si>
    <t>RTEP</t>
  </si>
  <si>
    <t>TICKETMASTER</t>
  </si>
  <si>
    <t>TIC</t>
  </si>
  <si>
    <t>RTV</t>
  </si>
  <si>
    <t>TIER TECHNOLOGIES (OFFICIAL PAYMENTS)</t>
  </si>
  <si>
    <t>TIT</t>
  </si>
  <si>
    <t>Rue de Commerce</t>
  </si>
  <si>
    <t>RUED</t>
  </si>
  <si>
    <t>TIFF</t>
  </si>
  <si>
    <t>TIF</t>
  </si>
  <si>
    <t>RUNN</t>
  </si>
  <si>
    <t>TIFFANY &amp; CO</t>
  </si>
  <si>
    <t>Ruten</t>
  </si>
  <si>
    <t>RUTN</t>
  </si>
  <si>
    <t>TIGER AIRWAYS</t>
  </si>
  <si>
    <t>TIG</t>
  </si>
  <si>
    <t>Rutube.ru</t>
  </si>
  <si>
    <t>RTBR</t>
  </si>
  <si>
    <t>TIME WARNER CABLE</t>
  </si>
  <si>
    <t>TIM</t>
  </si>
  <si>
    <t>Rvemprende</t>
  </si>
  <si>
    <t>RVEM</t>
  </si>
  <si>
    <t>TJX COMPANIES</t>
  </si>
  <si>
    <t>TJX</t>
  </si>
  <si>
    <t>RythmOne</t>
  </si>
  <si>
    <t>RYON</t>
  </si>
  <si>
    <t>Toastbox</t>
  </si>
  <si>
    <t>TOB</t>
  </si>
  <si>
    <t>S4M</t>
  </si>
  <si>
    <t>Toyota</t>
  </si>
  <si>
    <t>TOY</t>
  </si>
  <si>
    <t>Saboresenlinea.com</t>
  </si>
  <si>
    <t>SBOL</t>
  </si>
  <si>
    <t>TOYS R US</t>
  </si>
  <si>
    <t>TRU</t>
  </si>
  <si>
    <t>Sale Lifter</t>
  </si>
  <si>
    <t>SALF</t>
  </si>
  <si>
    <t>TRACTOR SUPPLY COMPANY</t>
  </si>
  <si>
    <t>TSC</t>
  </si>
  <si>
    <t>SalesMedia</t>
  </si>
  <si>
    <t>SAME</t>
  </si>
  <si>
    <t>Trademe data via AOD</t>
  </si>
  <si>
    <t>AODTM</t>
  </si>
  <si>
    <t>Sanoma</t>
  </si>
  <si>
    <t>SANO</t>
  </si>
  <si>
    <t>TRADER JOES CO INC</t>
  </si>
  <si>
    <t>TJC</t>
  </si>
  <si>
    <t>SAPO – Teads</t>
  </si>
  <si>
    <t>SATD</t>
  </si>
  <si>
    <t>TRAVELPORT</t>
  </si>
  <si>
    <t>TPT</t>
  </si>
  <si>
    <t>Sarigato</t>
  </si>
  <si>
    <t>SARI</t>
  </si>
  <si>
    <t>TripAdvisor</t>
  </si>
  <si>
    <t>TAD</t>
  </si>
  <si>
    <t>Says.com</t>
  </si>
  <si>
    <t>SAYS</t>
  </si>
  <si>
    <t>Trolley.ae</t>
  </si>
  <si>
    <t>TRO</t>
  </si>
  <si>
    <t>sbazar.cz</t>
  </si>
  <si>
    <t>SBAZ</t>
  </si>
  <si>
    <t>TrueView Android Pay</t>
  </si>
  <si>
    <t>TAP</t>
  </si>
  <si>
    <t>SBB</t>
  </si>
  <si>
    <t>TV Media</t>
  </si>
  <si>
    <t>TVM</t>
  </si>
  <si>
    <t>Schibsted</t>
  </si>
  <si>
    <t>SCHI</t>
  </si>
  <si>
    <t>Twitter</t>
  </si>
  <si>
    <t>TWT</t>
  </si>
  <si>
    <t>SCOOP</t>
  </si>
  <si>
    <t>SCOP</t>
  </si>
  <si>
    <t>U.S. DEPT OF HOMELAND SECURITY</t>
  </si>
  <si>
    <t>USS</t>
  </si>
  <si>
    <t>Sdna.gr</t>
  </si>
  <si>
    <t>SDNA</t>
  </si>
  <si>
    <t>UBER</t>
  </si>
  <si>
    <t>UBR</t>
  </si>
  <si>
    <t>SDO</t>
  </si>
  <si>
    <t>UBER Regional(Singapore)</t>
  </si>
  <si>
    <t>UBS</t>
  </si>
  <si>
    <t>Secret Sounds</t>
  </si>
  <si>
    <t>SESO</t>
  </si>
  <si>
    <t>UBER TECHNOLOGIES</t>
  </si>
  <si>
    <t>UBT</t>
  </si>
  <si>
    <t>Seedtag</t>
  </si>
  <si>
    <t>SDTG</t>
  </si>
  <si>
    <t>ULTA</t>
  </si>
  <si>
    <t>ULT</t>
  </si>
  <si>
    <t>Segmento</t>
  </si>
  <si>
    <t>SGNT</t>
  </si>
  <si>
    <t>Under Armour</t>
  </si>
  <si>
    <t>UND</t>
  </si>
  <si>
    <t>SevenOne</t>
  </si>
  <si>
    <t>7ONE</t>
  </si>
  <si>
    <t>UniQlo</t>
  </si>
  <si>
    <t>UNQ</t>
  </si>
  <si>
    <t>SEZNAM</t>
  </si>
  <si>
    <t>SEZN</t>
  </si>
  <si>
    <t>United</t>
  </si>
  <si>
    <t>UNI</t>
  </si>
  <si>
    <t>Sharethrough</t>
  </si>
  <si>
    <t>SHTH</t>
  </si>
  <si>
    <t>UPS</t>
  </si>
  <si>
    <t>Shaw Media</t>
  </si>
  <si>
    <t>SHAW</t>
  </si>
  <si>
    <t>URBAN OUTFITTERS (ANTHROPOLOGIE)</t>
  </si>
  <si>
    <t>URA</t>
  </si>
  <si>
    <t>Shazam</t>
  </si>
  <si>
    <t>SHAZ</t>
  </si>
  <si>
    <t>US Bank</t>
  </si>
  <si>
    <t>USB</t>
  </si>
  <si>
    <t>Showroomprive</t>
  </si>
  <si>
    <t>SHOW</t>
  </si>
  <si>
    <t>USA TECHNOLOGIES</t>
  </si>
  <si>
    <t>UST</t>
  </si>
  <si>
    <t>Shpock</t>
  </si>
  <si>
    <t>SHPO</t>
  </si>
  <si>
    <t>USPS</t>
  </si>
  <si>
    <t>USP</t>
  </si>
  <si>
    <t>SHUF</t>
  </si>
  <si>
    <t>VALERO ENERGY CORPORATION</t>
  </si>
  <si>
    <t>VAE</t>
  </si>
  <si>
    <t>SigmaLive</t>
  </si>
  <si>
    <t>SGLI</t>
  </si>
  <si>
    <t>-</t>
  </si>
  <si>
    <t>VALVE CORPORATION</t>
  </si>
  <si>
    <t>VAC</t>
  </si>
  <si>
    <t>sinoptik.bg</t>
  </si>
  <si>
    <t>VBNB</t>
  </si>
  <si>
    <t>VBN</t>
  </si>
  <si>
    <t>Siol</t>
  </si>
  <si>
    <t>SIOL</t>
  </si>
  <si>
    <t>VCO B2B Search</t>
  </si>
  <si>
    <t>VBS</t>
  </si>
  <si>
    <t>SKAI.gr</t>
  </si>
  <si>
    <t>SKAI</t>
  </si>
  <si>
    <t>VCO Mashable</t>
  </si>
  <si>
    <t>Sky.com</t>
  </si>
  <si>
    <t>SKYC</t>
  </si>
  <si>
    <t>VCO Pizza Hut</t>
  </si>
  <si>
    <t>PIZ</t>
  </si>
  <si>
    <t>Skype</t>
  </si>
  <si>
    <t>SKYP</t>
  </si>
  <si>
    <t>VCO Willaim Sonoma Holiday</t>
  </si>
  <si>
    <t>WSO</t>
  </si>
  <si>
    <t>SkypMobile</t>
  </si>
  <si>
    <t>Verisign Australia (Paypal Australia)</t>
  </si>
  <si>
    <t>VEA</t>
  </si>
  <si>
    <t>Skyscanner</t>
  </si>
  <si>
    <t>SKSC</t>
  </si>
  <si>
    <t>VERIZON / VERIZON WIRELESS</t>
  </si>
  <si>
    <t>Slimcut</t>
  </si>
  <si>
    <t>SLCT</t>
  </si>
  <si>
    <t>Verteran's Day</t>
  </si>
  <si>
    <t>VET</t>
  </si>
  <si>
    <t>Slon</t>
  </si>
  <si>
    <t>SLON</t>
  </si>
  <si>
    <t>VESTA</t>
  </si>
  <si>
    <t>VES</t>
  </si>
  <si>
    <t>Slovenska produkcna</t>
  </si>
  <si>
    <t>SKPR</t>
  </si>
  <si>
    <t>Vice</t>
  </si>
  <si>
    <t>VIC</t>
  </si>
  <si>
    <t>SmartAd</t>
  </si>
  <si>
    <t>SMAD</t>
  </si>
  <si>
    <t>VIDS</t>
  </si>
  <si>
    <t>IDS</t>
  </si>
  <si>
    <t>Sme.sk</t>
  </si>
  <si>
    <t>Village</t>
  </si>
  <si>
    <t>VIL</t>
  </si>
  <si>
    <t>SMEMedia</t>
  </si>
  <si>
    <t>SMME</t>
  </si>
  <si>
    <t>VIMPELCOM</t>
  </si>
  <si>
    <t>VIM</t>
  </si>
  <si>
    <t>VIMS</t>
  </si>
  <si>
    <t>IMS</t>
  </si>
  <si>
    <t>Snap deal</t>
  </si>
  <si>
    <t>Virgin</t>
  </si>
  <si>
    <t>VIR</t>
  </si>
  <si>
    <t>VIRGIN AMERICA</t>
  </si>
  <si>
    <t>VIA</t>
  </si>
  <si>
    <t>SNC Media</t>
  </si>
  <si>
    <t>SNCM</t>
  </si>
  <si>
    <t>Visa Affleunt</t>
  </si>
  <si>
    <t>So Local</t>
  </si>
  <si>
    <t>SLCL</t>
  </si>
  <si>
    <t>Visa B2B</t>
  </si>
  <si>
    <t>B2B</t>
  </si>
  <si>
    <t>Social Trend News</t>
  </si>
  <si>
    <t>STN</t>
  </si>
  <si>
    <t>Visa Back To Business</t>
  </si>
  <si>
    <t>VBB</t>
  </si>
  <si>
    <t>Sojern</t>
  </si>
  <si>
    <t>SJRN</t>
  </si>
  <si>
    <t>Visa Branding</t>
  </si>
  <si>
    <t>VBR</t>
  </si>
  <si>
    <t>Solution4Digital</t>
  </si>
  <si>
    <t>SO4D</t>
  </si>
  <si>
    <t>VCO</t>
  </si>
  <si>
    <t>SonyLiv</t>
  </si>
  <si>
    <t>SOLI</t>
  </si>
  <si>
    <t>Visa Co Marketing</t>
  </si>
  <si>
    <t>VCM</t>
  </si>
  <si>
    <t>Sopitas.com</t>
  </si>
  <si>
    <t>STAS</t>
  </si>
  <si>
    <t>Visa com Search</t>
  </si>
  <si>
    <t>VCS</t>
  </si>
  <si>
    <t>South China Morning Post</t>
  </si>
  <si>
    <t>SCMP</t>
  </si>
  <si>
    <t>Visa Community Issuers</t>
  </si>
  <si>
    <t>VCI</t>
  </si>
  <si>
    <t>Soy Chile</t>
  </si>
  <si>
    <t>SCHL</t>
  </si>
  <si>
    <t>Visa Cross Border</t>
  </si>
  <si>
    <t>VXB</t>
  </si>
  <si>
    <t>Soy502</t>
  </si>
  <si>
    <t>SOY5</t>
  </si>
  <si>
    <t>Visa EMV Consumer Search</t>
  </si>
  <si>
    <t>VEC</t>
  </si>
  <si>
    <t>Spa Fax</t>
  </si>
  <si>
    <t>SPAF</t>
  </si>
  <si>
    <t>Visa EMV Merchant Search</t>
  </si>
  <si>
    <t>VEM</t>
  </si>
  <si>
    <t>spicymobile</t>
  </si>
  <si>
    <t>SPIC</t>
  </si>
  <si>
    <t>VISA FIFA</t>
  </si>
  <si>
    <t>FIF</t>
  </si>
  <si>
    <t>Spletnik</t>
  </si>
  <si>
    <t>SPTK</t>
  </si>
  <si>
    <t>Visa FY 15 AndroidPay Search</t>
  </si>
  <si>
    <t>VAP</t>
  </si>
  <si>
    <t>Społecznosci</t>
  </si>
  <si>
    <t>SPCI</t>
  </si>
  <si>
    <t>VISA HOLIDAY GREETING</t>
  </si>
  <si>
    <t>VHG</t>
  </si>
  <si>
    <t>Sport</t>
  </si>
  <si>
    <t>SPRT</t>
  </si>
  <si>
    <t>Visa Innovation &amp; Developer</t>
  </si>
  <si>
    <t>VDI</t>
  </si>
  <si>
    <t>sport.pl</t>
  </si>
  <si>
    <t>SPPL</t>
  </si>
  <si>
    <t>Visa Merchant Signage</t>
  </si>
  <si>
    <t>VMS</t>
  </si>
  <si>
    <t>Sport24.gr</t>
  </si>
  <si>
    <t>SP24</t>
  </si>
  <si>
    <t>VISA Negocios</t>
  </si>
  <si>
    <t>VIN</t>
  </si>
  <si>
    <t>sportal.bg</t>
  </si>
  <si>
    <t>APOR</t>
  </si>
  <si>
    <t>Visa Raiffeisen Bank</t>
  </si>
  <si>
    <t>VRB</t>
  </si>
  <si>
    <t>Sportbox</t>
  </si>
  <si>
    <t>SPBX</t>
  </si>
  <si>
    <t>Visa Signature Search</t>
  </si>
  <si>
    <t>VSS</t>
  </si>
  <si>
    <t>Sportime.gr</t>
  </si>
  <si>
    <t>SPTM</t>
  </si>
  <si>
    <t>VISA VTB24</t>
  </si>
  <si>
    <t>VTB</t>
  </si>
  <si>
    <t>Sportnetwork</t>
  </si>
  <si>
    <t>SPNE</t>
  </si>
  <si>
    <t>Visa.com Search</t>
  </si>
  <si>
    <t>Sports</t>
  </si>
  <si>
    <t>SPTS</t>
  </si>
  <si>
    <t>VSLHC</t>
  </si>
  <si>
    <t>VSC</t>
  </si>
  <si>
    <t>Spot.ph</t>
  </si>
  <si>
    <t>SPPH</t>
  </si>
  <si>
    <t>WAKEFERN (PRICE RITE AND SHOP RITE)</t>
  </si>
  <si>
    <t>WAK</t>
  </si>
  <si>
    <t>Spotify</t>
  </si>
  <si>
    <t>SPOT</t>
  </si>
  <si>
    <t>Walgreens</t>
  </si>
  <si>
    <t>WAL</t>
  </si>
  <si>
    <t>SpotX</t>
  </si>
  <si>
    <t>SPTX</t>
  </si>
  <si>
    <t>WAL-MART</t>
  </si>
  <si>
    <t>WAM</t>
  </si>
  <si>
    <t>sprzedajemy.pl</t>
  </si>
  <si>
    <t>SPRZ</t>
  </si>
  <si>
    <t>Wal-mart Group</t>
  </si>
  <si>
    <t>WMG</t>
  </si>
  <si>
    <t>Star.gr</t>
  </si>
  <si>
    <t>STAR</t>
  </si>
  <si>
    <t>Walmart Mexico</t>
  </si>
  <si>
    <t>WMM</t>
  </si>
  <si>
    <t>Startitup</t>
  </si>
  <si>
    <t>STUP</t>
  </si>
  <si>
    <t>Walmart.com</t>
  </si>
  <si>
    <t>WMC</t>
  </si>
  <si>
    <t>Straitstimes.com</t>
  </si>
  <si>
    <t>STRA</t>
  </si>
  <si>
    <t>Watsons HK</t>
  </si>
  <si>
    <t>WAT</t>
  </si>
  <si>
    <t>Ströer</t>
  </si>
  <si>
    <t>STER</t>
  </si>
  <si>
    <t>WAWA</t>
  </si>
  <si>
    <t>WAW</t>
  </si>
  <si>
    <t>Strossle</t>
  </si>
  <si>
    <t>STRO</t>
  </si>
  <si>
    <t>WEGMANS</t>
  </si>
  <si>
    <t>WEG</t>
  </si>
  <si>
    <t>STS</t>
  </si>
  <si>
    <t>STSM</t>
  </si>
  <si>
    <t>Well.CA</t>
  </si>
  <si>
    <t>WEL</t>
  </si>
  <si>
    <t>Stuff.co.nz</t>
  </si>
  <si>
    <t>STUF</t>
  </si>
  <si>
    <t>Wellington Food Festival</t>
  </si>
  <si>
    <t>WFF</t>
  </si>
  <si>
    <t>STV</t>
  </si>
  <si>
    <t>WENDY'S</t>
  </si>
  <si>
    <t>WEN</t>
  </si>
  <si>
    <t>STYLE Alliance</t>
  </si>
  <si>
    <t>STAL</t>
  </si>
  <si>
    <t>WESTERN UNION (Speedpay)</t>
  </si>
  <si>
    <t>WEU</t>
  </si>
  <si>
    <t>Styria</t>
  </si>
  <si>
    <t>STYR</t>
  </si>
  <si>
    <t>Westfield</t>
  </si>
  <si>
    <t>WES</t>
  </si>
  <si>
    <t>Sublim Skinz</t>
  </si>
  <si>
    <t>WESTJETAIR</t>
  </si>
  <si>
    <t>WJA</t>
  </si>
  <si>
    <t>Sun Mobile</t>
  </si>
  <si>
    <t>SNMB</t>
  </si>
  <si>
    <t>WHATABURGER</t>
  </si>
  <si>
    <t>WAB</t>
  </si>
  <si>
    <t>Superdad.gr</t>
  </si>
  <si>
    <t>SUPE</t>
  </si>
  <si>
    <t>WHOLE FOODS MARKET</t>
  </si>
  <si>
    <t>WFM</t>
  </si>
  <si>
    <t>SWARM</t>
  </si>
  <si>
    <t>SWRM</t>
  </si>
  <si>
    <t>Wi-Ho</t>
  </si>
  <si>
    <t>WIH</t>
  </si>
  <si>
    <t>Sync2Ad</t>
  </si>
  <si>
    <t>SYNC</t>
  </si>
  <si>
    <t>WILLIAMS SONOMA</t>
  </si>
  <si>
    <t>WIS</t>
  </si>
  <si>
    <t>T13</t>
  </si>
  <si>
    <t>Williams-Sonoma</t>
  </si>
  <si>
    <t>WSI</t>
  </si>
  <si>
    <t>TA Mobile</t>
  </si>
  <si>
    <t>TAMB</t>
  </si>
  <si>
    <t>Woolworths</t>
  </si>
  <si>
    <t>WOO</t>
  </si>
  <si>
    <t>Taboola</t>
  </si>
  <si>
    <t>TBLA</t>
  </si>
  <si>
    <t>WOOLWORTHS AFRICA</t>
  </si>
  <si>
    <t>WWA</t>
  </si>
  <si>
    <t>Tamedia</t>
  </si>
  <si>
    <t>TAMD</t>
  </si>
  <si>
    <t>WOTIF.COM</t>
  </si>
  <si>
    <t>WOT</t>
  </si>
  <si>
    <t>Tap Tap</t>
  </si>
  <si>
    <t>TAPT</t>
  </si>
  <si>
    <t>WYNDHAM WORLDWIDE</t>
  </si>
  <si>
    <t>WYW</t>
  </si>
  <si>
    <t>TapJoy</t>
  </si>
  <si>
    <t>TJOY</t>
  </si>
  <si>
    <t>X5 RETAIL GROUP</t>
  </si>
  <si>
    <t>X5R</t>
  </si>
  <si>
    <t>targeo</t>
  </si>
  <si>
    <t>TARG</t>
  </si>
  <si>
    <t>Yahoo</t>
  </si>
  <si>
    <t>YAH</t>
  </si>
  <si>
    <t>TargetMedia</t>
  </si>
  <si>
    <t>TAME</t>
  </si>
  <si>
    <t>Year of Tourism</t>
  </si>
  <si>
    <t>YOT</t>
  </si>
  <si>
    <t>Tarsago</t>
  </si>
  <si>
    <t>TARA</t>
  </si>
  <si>
    <t>Yodobashi Camera</t>
  </si>
  <si>
    <t>YOC</t>
  </si>
  <si>
    <t>Taz-Media</t>
  </si>
  <si>
    <t>TAZM</t>
  </si>
  <si>
    <t>Yoox</t>
  </si>
  <si>
    <t>YOO</t>
  </si>
  <si>
    <t>TEAD</t>
  </si>
  <si>
    <t>YUM! BRANDS</t>
  </si>
  <si>
    <t>YUM</t>
  </si>
  <si>
    <t>Telaria</t>
  </si>
  <si>
    <t>TELA</t>
  </si>
  <si>
    <t>ZABKA</t>
  </si>
  <si>
    <t>ZAB</t>
  </si>
  <si>
    <t>Telegram</t>
  </si>
  <si>
    <t>TLGR</t>
  </si>
  <si>
    <t>Zuji</t>
  </si>
  <si>
    <t>ZJI</t>
  </si>
  <si>
    <t>Telegraph</t>
  </si>
  <si>
    <t>TELE</t>
  </si>
  <si>
    <t>Blue Fit</t>
  </si>
  <si>
    <t>BLF</t>
  </si>
  <si>
    <t>Telemetro</t>
  </si>
  <si>
    <t>TEMT</t>
  </si>
  <si>
    <t>Yellow Bike</t>
  </si>
  <si>
    <t>YLB</t>
  </si>
  <si>
    <t>TELEMNDO</t>
  </si>
  <si>
    <t>TEMN</t>
  </si>
  <si>
    <t>Natura</t>
  </si>
  <si>
    <t>Teletica</t>
  </si>
  <si>
    <t>TLTC</t>
  </si>
  <si>
    <t>Televisa</t>
  </si>
  <si>
    <t>TLVS</t>
  </si>
  <si>
    <t>Camicado</t>
  </si>
  <si>
    <t>CAM</t>
  </si>
  <si>
    <t>Tengrinews.kz</t>
  </si>
  <si>
    <t>TNGR</t>
  </si>
  <si>
    <t>Pão de Açúcar</t>
  </si>
  <si>
    <t>PDA</t>
  </si>
  <si>
    <t>Tengrinews.kz mob</t>
  </si>
  <si>
    <t>TNGM</t>
  </si>
  <si>
    <t>Movida</t>
  </si>
  <si>
    <t>TF1</t>
  </si>
  <si>
    <t>Netshoes</t>
  </si>
  <si>
    <t>The Economist</t>
  </si>
  <si>
    <t>CSH</t>
  </si>
  <si>
    <t>Zattini</t>
  </si>
  <si>
    <t>ZAT</t>
  </si>
  <si>
    <t>The Guardian</t>
  </si>
  <si>
    <t>THGU</t>
  </si>
  <si>
    <t>Rentcars</t>
  </si>
  <si>
    <t>RTC</t>
  </si>
  <si>
    <t>The Hill</t>
  </si>
  <si>
    <t>HILL</t>
  </si>
  <si>
    <t>Cabify</t>
  </si>
  <si>
    <t>The Score</t>
  </si>
  <si>
    <t>TSCR</t>
  </si>
  <si>
    <t>Puket</t>
  </si>
  <si>
    <t>PUK</t>
  </si>
  <si>
    <t>The Sun</t>
  </si>
  <si>
    <t>TSUN</t>
  </si>
  <si>
    <t>Rappi</t>
  </si>
  <si>
    <t>RAP</t>
  </si>
  <si>
    <t>The Weather Network</t>
  </si>
  <si>
    <t>TWNK</t>
  </si>
  <si>
    <t>theTradeDesk</t>
  </si>
  <si>
    <t>TTD</t>
  </si>
  <si>
    <t>TheValueFactory</t>
  </si>
  <si>
    <t>VAFA</t>
  </si>
  <si>
    <t>Thunder Bay Chronicle</t>
  </si>
  <si>
    <t>TBCL</t>
  </si>
  <si>
    <t>Ticket</t>
  </si>
  <si>
    <t>TCKT</t>
  </si>
  <si>
    <t>Ticketek</t>
  </si>
  <si>
    <t>TICK</t>
  </si>
  <si>
    <t>TicoTimes</t>
  </si>
  <si>
    <t>TTIM</t>
  </si>
  <si>
    <t>Timeout</t>
  </si>
  <si>
    <t>TMOT</t>
  </si>
  <si>
    <t>Times Internet</t>
  </si>
  <si>
    <t>TIIN</t>
  </si>
  <si>
    <t>Times of India</t>
  </si>
  <si>
    <t>TOI</t>
  </si>
  <si>
    <t>Tiptravel</t>
  </si>
  <si>
    <t>TTRV</t>
  </si>
  <si>
    <t>TODAY.com</t>
  </si>
  <si>
    <t>TODA</t>
  </si>
  <si>
    <t>Torstar</t>
  </si>
  <si>
    <t>TOST</t>
  </si>
  <si>
    <t>toutiao.com</t>
  </si>
  <si>
    <t>TOUT</t>
  </si>
  <si>
    <t>Tradedoubler</t>
  </si>
  <si>
    <t>TRDO</t>
  </si>
  <si>
    <t>Trademe</t>
  </si>
  <si>
    <t>TMNZ</t>
  </si>
  <si>
    <t>Travel Audience</t>
  </si>
  <si>
    <t>TVLA</t>
  </si>
  <si>
    <t>Travelask</t>
  </si>
  <si>
    <t>TRAS</t>
  </si>
  <si>
    <t>Travelator.ro</t>
  </si>
  <si>
    <t>TRVL</t>
  </si>
  <si>
    <t>Travelport</t>
  </si>
  <si>
    <t>TRVP</t>
  </si>
  <si>
    <t>Triangulum</t>
  </si>
  <si>
    <t>TGLM</t>
  </si>
  <si>
    <t>TRPA</t>
  </si>
  <si>
    <t>Tuexperto</t>
  </si>
  <si>
    <t>TUEX</t>
  </si>
  <si>
    <t>Turtle mobile</t>
  </si>
  <si>
    <t>TUMO</t>
  </si>
  <si>
    <t>TV Azteca</t>
  </si>
  <si>
    <t>TVAZ</t>
  </si>
  <si>
    <t>Tv2</t>
  </si>
  <si>
    <t>TV2</t>
  </si>
  <si>
    <t>TVA</t>
  </si>
  <si>
    <t>TVN</t>
  </si>
  <si>
    <t>TVNP</t>
  </si>
  <si>
    <t>TVP</t>
  </si>
  <si>
    <t>TVRain</t>
  </si>
  <si>
    <t>TVRN</t>
  </si>
  <si>
    <t>TVTY</t>
  </si>
  <si>
    <t>Twitch</t>
  </si>
  <si>
    <t>TWCH</t>
  </si>
  <si>
    <t>TWTT</t>
  </si>
  <si>
    <t>Twyn</t>
  </si>
  <si>
    <t>TWYN</t>
  </si>
  <si>
    <t>Typhoon</t>
  </si>
  <si>
    <t>TYPH</t>
  </si>
  <si>
    <t>UCAS</t>
  </si>
  <si>
    <t>UDN TW</t>
  </si>
  <si>
    <t>UDNT</t>
  </si>
  <si>
    <t>Undereye</t>
  </si>
  <si>
    <t>UNEY</t>
  </si>
  <si>
    <t>Undertone</t>
  </si>
  <si>
    <t>UDTO</t>
  </si>
  <si>
    <t>Unisound</t>
  </si>
  <si>
    <t>UNIS</t>
  </si>
  <si>
    <t>UNTD</t>
  </si>
  <si>
    <t>UnitedInternetMedia</t>
  </si>
  <si>
    <t>UNIM</t>
  </si>
  <si>
    <t>UnoCero</t>
  </si>
  <si>
    <t>UNCE</t>
  </si>
  <si>
    <t>Unwire.hk</t>
  </si>
  <si>
    <t>WRHK</t>
  </si>
  <si>
    <t>Upsocl</t>
  </si>
  <si>
    <t>UPSL</t>
  </si>
  <si>
    <t>Urban List</t>
  </si>
  <si>
    <t>URBA</t>
  </si>
  <si>
    <t>uschovna.cz</t>
  </si>
  <si>
    <t>USCH</t>
  </si>
  <si>
    <t>VAMP (Video Amp)</t>
  </si>
  <si>
    <t>VAMP</t>
  </si>
  <si>
    <t>Vashdosug</t>
  </si>
  <si>
    <t>VSUG</t>
  </si>
  <si>
    <t>Vdopia</t>
  </si>
  <si>
    <t>VDPA</t>
  </si>
  <si>
    <t>Vedomosti</t>
  </si>
  <si>
    <t>VEDO</t>
  </si>
  <si>
    <t>vesti.bg</t>
  </si>
  <si>
    <t>VEST</t>
  </si>
  <si>
    <t>VEVO</t>
  </si>
  <si>
    <t>VGN</t>
  </si>
  <si>
    <t>Viber</t>
  </si>
  <si>
    <t>VIBE</t>
  </si>
  <si>
    <t>Vibrant</t>
  </si>
  <si>
    <t>VIBR</t>
  </si>
  <si>
    <t>VICE</t>
  </si>
  <si>
    <t>VIDEOLOGY</t>
  </si>
  <si>
    <t>VIDG</t>
  </si>
  <si>
    <t>Videomore</t>
  </si>
  <si>
    <t>VDMR</t>
  </si>
  <si>
    <t>Videonetwork</t>
  </si>
  <si>
    <t>VNWK</t>
  </si>
  <si>
    <t>VillageWonderFurfur</t>
  </si>
  <si>
    <t>TVWF</t>
  </si>
  <si>
    <t>Virgin Media (Three Player)</t>
  </si>
  <si>
    <t>VIME</t>
  </si>
  <si>
    <t>Virool</t>
  </si>
  <si>
    <t>VROL</t>
  </si>
  <si>
    <t>VISA</t>
  </si>
  <si>
    <t>Vistar</t>
  </si>
  <si>
    <t>VSR</t>
  </si>
  <si>
    <t>Viu OTT</t>
  </si>
  <si>
    <t>VIOT</t>
  </si>
  <si>
    <t>ViuTV</t>
  </si>
  <si>
    <t>VITV</t>
  </si>
  <si>
    <t>Viva</t>
  </si>
  <si>
    <t>VIVA</t>
  </si>
  <si>
    <t>Vivo Ads</t>
  </si>
  <si>
    <t>VVO</t>
  </si>
  <si>
    <t>Vk</t>
  </si>
  <si>
    <t>VKCM</t>
  </si>
  <si>
    <t>Vlast.kz</t>
  </si>
  <si>
    <t>VLST</t>
  </si>
  <si>
    <t>VNExpress</t>
  </si>
  <si>
    <t>VNEX</t>
  </si>
  <si>
    <t>VOD</t>
  </si>
  <si>
    <t>Vodabereg</t>
  </si>
  <si>
    <t>VDBG</t>
  </si>
  <si>
    <t>Voot</t>
  </si>
  <si>
    <t>VOX</t>
  </si>
  <si>
    <t>VPON</t>
  </si>
  <si>
    <t>Vserv</t>
  </si>
  <si>
    <t>VSER</t>
  </si>
  <si>
    <t>waze</t>
  </si>
  <si>
    <t>WAZE</t>
  </si>
  <si>
    <t>Web2media</t>
  </si>
  <si>
    <t>WEB2</t>
  </si>
  <si>
    <t>Webcafe.bg</t>
  </si>
  <si>
    <t>WEBC</t>
  </si>
  <si>
    <t>WebSales</t>
  </si>
  <si>
    <t>WBSL</t>
  </si>
  <si>
    <t>WebSystem</t>
  </si>
  <si>
    <t>WESY</t>
  </si>
  <si>
    <t>Wechat</t>
  </si>
  <si>
    <t>WECH</t>
  </si>
  <si>
    <t>Weibo</t>
  </si>
  <si>
    <t>WEIB</t>
  </si>
  <si>
    <t>weixin.qq.com</t>
  </si>
  <si>
    <t>WECT</t>
  </si>
  <si>
    <t>Whitelist</t>
  </si>
  <si>
    <t>WHIT</t>
  </si>
  <si>
    <t>WhiteWalk</t>
  </si>
  <si>
    <t>WHWA</t>
  </si>
  <si>
    <t>Widespace</t>
  </si>
  <si>
    <t>WISP</t>
  </si>
  <si>
    <t>Wi-Fi_Aeroexpress</t>
  </si>
  <si>
    <t>WFAE</t>
  </si>
  <si>
    <t>WiFi_bus</t>
  </si>
  <si>
    <t>WIBU</t>
  </si>
  <si>
    <t>Wi-Fi_Domodedovo</t>
  </si>
  <si>
    <t>WFDM</t>
  </si>
  <si>
    <t>Wi-Fi_MosMetro</t>
  </si>
  <si>
    <t>WFMM</t>
  </si>
  <si>
    <t>Wi-Fi_Sheremetevo</t>
  </si>
  <si>
    <t>WFSV</t>
  </si>
  <si>
    <t>WiFi_train</t>
  </si>
  <si>
    <t>WITR</t>
  </si>
  <si>
    <t>Wi-Fi_Vnukovo</t>
  </si>
  <si>
    <t>WFVN</t>
  </si>
  <si>
    <t>Wi-Fi-MosMetro</t>
  </si>
  <si>
    <t>Wifins</t>
  </si>
  <si>
    <t>WFIN</t>
  </si>
  <si>
    <t>Williams Sonoma</t>
  </si>
  <si>
    <t>WindowsPhone</t>
  </si>
  <si>
    <t>WNPM</t>
  </si>
  <si>
    <t>Winnipeg Free Press</t>
  </si>
  <si>
    <t>WIFP</t>
  </si>
  <si>
    <t>Wiwide</t>
  </si>
  <si>
    <t>WIWD</t>
  </si>
  <si>
    <t>wizzair</t>
  </si>
  <si>
    <t>WIZZ</t>
  </si>
  <si>
    <t>Wogibtswas</t>
  </si>
  <si>
    <t>WOGI</t>
  </si>
  <si>
    <t>Woman</t>
  </si>
  <si>
    <t>WMNR</t>
  </si>
  <si>
    <t>woman.bg</t>
  </si>
  <si>
    <t>WMAN</t>
  </si>
  <si>
    <t>Woman.ru mob</t>
  </si>
  <si>
    <t>WMNM</t>
  </si>
  <si>
    <t>www.163.com</t>
  </si>
  <si>
    <t>NETE</t>
  </si>
  <si>
    <t>www.adreach.com.cn</t>
  </si>
  <si>
    <t>ADRH</t>
  </si>
  <si>
    <t>www.caijing.com.cn</t>
  </si>
  <si>
    <t>CAIJ</t>
  </si>
  <si>
    <t>www.ctrip.com</t>
  </si>
  <si>
    <t>CTRP</t>
  </si>
  <si>
    <t>www.flyertea.com</t>
  </si>
  <si>
    <t>FTEA</t>
  </si>
  <si>
    <t>www.iclick.cn</t>
  </si>
  <si>
    <t>ICLK</t>
  </si>
  <si>
    <t>www.in66.com</t>
  </si>
  <si>
    <t>INAP</t>
  </si>
  <si>
    <t>www.le.com</t>
  </si>
  <si>
    <t>LETV</t>
  </si>
  <si>
    <t>www.ly.com</t>
  </si>
  <si>
    <t>TONC</t>
  </si>
  <si>
    <t>www.madhouse.cn</t>
  </si>
  <si>
    <t>www.mafengwo.cn</t>
  </si>
  <si>
    <t>MFWO</t>
  </si>
  <si>
    <t>www.meituan.com</t>
  </si>
  <si>
    <t>METU</t>
  </si>
  <si>
    <t>www.mmbang.com</t>
  </si>
  <si>
    <t>MAMA</t>
  </si>
  <si>
    <t>www.moji.com</t>
  </si>
  <si>
    <t>MOJI</t>
  </si>
  <si>
    <t>www.qq.com</t>
  </si>
  <si>
    <t>TENC</t>
  </si>
  <si>
    <t>www.qunar.com</t>
  </si>
  <si>
    <t>Quna</t>
  </si>
  <si>
    <t>www.Qyer.com</t>
  </si>
  <si>
    <t>QYER</t>
  </si>
  <si>
    <t>www.sina.com.cn</t>
  </si>
  <si>
    <t>SINA</t>
  </si>
  <si>
    <t>www.smzdm.com</t>
  </si>
  <si>
    <t>SMZD</t>
  </si>
  <si>
    <t>www.travelzoo.com</t>
  </si>
  <si>
    <t>TRVZ</t>
  </si>
  <si>
    <t>www.variflight.com</t>
  </si>
  <si>
    <t>VFLI</t>
  </si>
  <si>
    <t>www.yidianzixun.com</t>
  </si>
  <si>
    <t>YIDI</t>
  </si>
  <si>
    <t>X-Ad</t>
  </si>
  <si>
    <t>XAD</t>
  </si>
  <si>
    <t>Xandr</t>
  </si>
  <si>
    <t>XDR</t>
  </si>
  <si>
    <t>xe.gr</t>
  </si>
  <si>
    <t>XEGR</t>
  </si>
  <si>
    <t>YAOO</t>
  </si>
  <si>
    <t>Yahoo – Gemini</t>
  </si>
  <si>
    <t>YAHG</t>
  </si>
  <si>
    <t>Yandex</t>
  </si>
  <si>
    <t>YNDR</t>
  </si>
  <si>
    <t>Yintaro</t>
  </si>
  <si>
    <t>YINT</t>
  </si>
  <si>
    <t>Youla</t>
  </si>
  <si>
    <t>YOUL</t>
  </si>
  <si>
    <t>Youm 7</t>
  </si>
  <si>
    <t>YOUM</t>
  </si>
  <si>
    <t>YouTube</t>
  </si>
  <si>
    <t>YOUT</t>
  </si>
  <si>
    <t>Youweekly.gr</t>
  </si>
  <si>
    <t>YOUW</t>
  </si>
  <si>
    <t>yume</t>
  </si>
  <si>
    <t>YUME</t>
  </si>
  <si>
    <t>Zbozi.cz</t>
  </si>
  <si>
    <t>ZBOZ</t>
  </si>
  <si>
    <t>Zee5</t>
  </si>
  <si>
    <t>ZEE5</t>
  </si>
  <si>
    <t>Zeitdeck media</t>
  </si>
  <si>
    <t>ZEME</t>
  </si>
  <si>
    <t>Zoomin</t>
  </si>
  <si>
    <t>Zoznam</t>
  </si>
  <si>
    <t>ZOZN</t>
  </si>
  <si>
    <t>Zuwi</t>
  </si>
  <si>
    <t>ZUWI</t>
  </si>
  <si>
    <t>------------</t>
  </si>
  <si>
    <t>AODN</t>
  </si>
  <si>
    <t>Apple daily TW</t>
  </si>
  <si>
    <t>APDT</t>
  </si>
  <si>
    <t>Audience 360</t>
  </si>
  <si>
    <t>A360</t>
  </si>
  <si>
    <t>DBM</t>
  </si>
  <si>
    <t>Double Click</t>
  </si>
  <si>
    <t>DBCK</t>
  </si>
  <si>
    <t>DoubleClick Bid Manager</t>
  </si>
  <si>
    <t>DCBM</t>
  </si>
  <si>
    <t>Google</t>
  </si>
  <si>
    <t>GOOG</t>
  </si>
  <si>
    <t>Google Adwords GDN</t>
  </si>
  <si>
    <t>GGDN</t>
  </si>
  <si>
    <t>GADS</t>
  </si>
  <si>
    <t>Google Display Network</t>
  </si>
  <si>
    <t>GODN</t>
  </si>
  <si>
    <t>Linkedin InMail</t>
  </si>
  <si>
    <t>LNKDINMAIL</t>
  </si>
  <si>
    <t>PM Content</t>
  </si>
  <si>
    <t>PMCO</t>
  </si>
  <si>
    <t>PM Precision</t>
  </si>
  <si>
    <t>PMPR</t>
  </si>
  <si>
    <t>Precision Display</t>
  </si>
  <si>
    <t>PREN</t>
  </si>
  <si>
    <t>SMG EA Fee</t>
  </si>
  <si>
    <t>SGEA</t>
  </si>
  <si>
    <t>SMG Programmatic</t>
  </si>
  <si>
    <t>SMPO</t>
  </si>
  <si>
    <t>socialcode.com</t>
  </si>
  <si>
    <t>Socialmedia S.L.</t>
  </si>
  <si>
    <t>SOSL</t>
  </si>
  <si>
    <t>Starcom Premiumatic</t>
  </si>
  <si>
    <t>SMGP</t>
  </si>
  <si>
    <t>Starcom Tech Fee</t>
  </si>
  <si>
    <t>TECH</t>
  </si>
  <si>
    <t>TAAG Cost</t>
  </si>
  <si>
    <t>TAAG</t>
  </si>
  <si>
    <t>Watson</t>
  </si>
  <si>
    <t>WATS</t>
  </si>
  <si>
    <t>www.tripadvisor.cn</t>
  </si>
  <si>
    <t>Tripadvisor</t>
  </si>
  <si>
    <t>Yahoo Japan</t>
  </si>
  <si>
    <t>YAHJ</t>
  </si>
  <si>
    <t>Yahoo Network</t>
  </si>
  <si>
    <t>YAHO</t>
  </si>
  <si>
    <t>Yahoo TW</t>
  </si>
  <si>
    <t>YATW</t>
  </si>
  <si>
    <t>Yandex RTB</t>
  </si>
  <si>
    <t>YRTB</t>
  </si>
  <si>
    <t>YandexAuction</t>
  </si>
  <si>
    <t>YDEX</t>
  </si>
  <si>
    <t>AdsMovil</t>
  </si>
  <si>
    <t>YandexDirect</t>
  </si>
  <si>
    <t>YAND</t>
  </si>
  <si>
    <t>Hands</t>
  </si>
  <si>
    <t>Omelete</t>
  </si>
  <si>
    <t>OMLT</t>
  </si>
  <si>
    <t>Afilio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</si>
</sst>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\-m"/>
  </numFmts>
  <fonts count="40">
    <font>
      <sz val="10.0"/>
      <color rgb="FF000000"/>
      <name val="Arial"/>
    </font>
    <font>
      <b/>
      <sz val="11.0"/>
      <color rgb="FFFFFFFF"/>
      <name val="Calibri"/>
    </font>
    <font/>
    <font>
      <b/>
      <sz val="11.0"/>
      <color rgb="FF000000"/>
      <name val="Calibri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1.0"/>
      <color rgb="FF000000"/>
      <name val="Arial"/>
    </font>
    <font>
      <sz val="10.0"/>
      <color theme="1"/>
      <name val="Calibri"/>
    </font>
    <font>
      <sz val="10.0"/>
      <color rgb="FF000000"/>
      <name val="Calibri"/>
    </font>
    <font>
      <color rgb="FF000000"/>
      <name val="Roboto"/>
    </font>
    <font>
      <color theme="1"/>
      <name val="Arial"/>
    </font>
    <font>
      <sz val="10.0"/>
      <color theme="1"/>
      <name val="Arial"/>
    </font>
    <font>
      <color theme="1"/>
      <name val="Calibri"/>
    </font>
    <font>
      <sz val="11.0"/>
      <color rgb="FF000000"/>
      <name val="Calibri"/>
    </font>
    <font>
      <color rgb="FF000000"/>
      <name val="Calibri"/>
    </font>
    <font>
      <b/>
      <sz val="10.0"/>
      <color theme="1"/>
      <name val="Arial"/>
    </font>
    <font>
      <color rgb="FF000000"/>
      <name val="Docs-Calibri"/>
    </font>
    <font>
      <u/>
      <sz val="10.0"/>
      <color rgb="FF000000"/>
      <name val="Calibri"/>
    </font>
    <font>
      <color rgb="FF38761D"/>
      <name val="Calibri"/>
    </font>
    <font>
      <color rgb="FFFF0000"/>
      <name val="Calibri"/>
    </font>
    <font>
      <color rgb="FFFFFFFF"/>
      <name val="Calibri"/>
    </font>
    <font>
      <color rgb="FF4285F4"/>
      <name val="&quot;Calibri&quot;"/>
    </font>
    <font>
      <u/>
      <color rgb="FF0000FF"/>
    </font>
    <font>
      <u/>
      <color rgb="FF0000FF"/>
      <name val="Calibri"/>
    </font>
    <font>
      <u/>
      <color rgb="FF0000FF"/>
    </font>
    <font>
      <u/>
      <color rgb="FF0000FF"/>
    </font>
    <font>
      <u/>
      <color rgb="FF0000FF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b/>
      <sz val="16.0"/>
      <color rgb="FF000000"/>
      <name val="Calibri"/>
    </font>
    <font>
      <b/>
      <sz val="16.0"/>
      <color theme="1"/>
      <name val="Calibri"/>
    </font>
    <font>
      <sz val="11.0"/>
      <color rgb="FF000000"/>
      <name val="Arial"/>
    </font>
    <font>
      <u/>
      <sz val="11.0"/>
      <color rgb="FF000000"/>
      <name val="Calibri"/>
    </font>
    <font>
      <strike/>
      <sz val="10.0"/>
      <color rgb="FF000000"/>
      <name val="Arial"/>
    </font>
    <font>
      <u/>
      <sz val="11.0"/>
      <color rgb="FF000000"/>
      <name val="Calibri"/>
    </font>
    <font>
      <u/>
      <sz val="12.0"/>
      <color rgb="FF000000"/>
      <name val="Calibri"/>
    </font>
    <font>
      <sz val="12.0"/>
      <color rgb="FF000000"/>
      <name val="Calibri"/>
    </font>
    <font>
      <u/>
      <sz val="11.0"/>
      <color rgb="FF000000"/>
      <name val="Calibri"/>
    </font>
    <font>
      <sz val="11.0"/>
      <color theme="1"/>
      <name val="Calibri"/>
    </font>
    <font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6BDC6"/>
        <bgColor rgb="FF46BDC6"/>
      </patternFill>
    </fill>
    <fill>
      <patternFill patternType="solid">
        <fgColor rgb="FF274E13"/>
        <bgColor rgb="FF274E13"/>
      </patternFill>
    </fill>
    <fill>
      <patternFill patternType="solid">
        <fgColor rgb="FF203764"/>
        <bgColor rgb="FF203764"/>
      </patternFill>
    </fill>
    <fill>
      <patternFill patternType="solid">
        <fgColor rgb="FF808080"/>
        <bgColor rgb="FF808080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C9C9C9"/>
        <bgColor rgb="FFC9C9C9"/>
      </patternFill>
    </fill>
    <fill>
      <patternFill patternType="solid">
        <fgColor rgb="FFD0CECE"/>
        <bgColor rgb="FFD0CECE"/>
      </patternFill>
    </fill>
    <fill>
      <patternFill patternType="solid">
        <fgColor rgb="FFD9D9D9"/>
        <bgColor rgb="FFD9D9D9"/>
      </patternFill>
    </fill>
    <fill>
      <patternFill patternType="solid">
        <fgColor rgb="FFC6E0B4"/>
        <bgColor rgb="FFC6E0B4"/>
      </patternFill>
    </fill>
    <fill>
      <patternFill patternType="solid">
        <fgColor rgb="FFEDEDED"/>
        <bgColor rgb="FFEDEDED"/>
      </patternFill>
    </fill>
  </fills>
  <borders count="32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 readingOrder="0"/>
    </xf>
    <xf borderId="6" fillId="2" fontId="5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/>
    </xf>
    <xf borderId="8" fillId="2" fontId="5" numFmtId="0" xfId="0" applyAlignment="1" applyBorder="1" applyFont="1">
      <alignment horizontal="center"/>
    </xf>
    <xf borderId="9" fillId="2" fontId="5" numFmtId="0" xfId="0" applyAlignment="1" applyBorder="1" applyFont="1">
      <alignment horizontal="center"/>
    </xf>
    <xf borderId="10" fillId="2" fontId="5" numFmtId="0" xfId="0" applyAlignment="1" applyBorder="1" applyFont="1">
      <alignment horizontal="center"/>
    </xf>
    <xf borderId="10" fillId="3" fontId="6" numFmtId="0" xfId="0" applyAlignment="1" applyBorder="1" applyFont="1">
      <alignment horizontal="center"/>
    </xf>
    <xf borderId="0" fillId="0" fontId="7" numFmtId="0" xfId="0" applyFont="1"/>
    <xf borderId="0" fillId="0" fontId="8" numFmtId="0" xfId="0" applyAlignment="1" applyFont="1">
      <alignment readingOrder="0"/>
    </xf>
    <xf borderId="0" fillId="5" fontId="9" numFmtId="0" xfId="0" applyAlignment="1" applyFill="1" applyFont="1">
      <alignment horizontal="center" readingOrder="0"/>
    </xf>
    <xf borderId="0" fillId="0" fontId="7" numFmtId="0" xfId="0" applyFont="1"/>
    <xf borderId="0" fillId="0" fontId="8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Font="1"/>
    <xf borderId="0" fillId="2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/>
    </xf>
    <xf borderId="7" fillId="6" fontId="5" numFmtId="0" xfId="0" applyAlignment="1" applyBorder="1" applyFill="1" applyFont="1">
      <alignment horizontal="center"/>
    </xf>
    <xf borderId="12" fillId="3" fontId="6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8" numFmtId="0" xfId="0" applyFont="1"/>
    <xf borderId="0" fillId="7" fontId="8" numFmtId="0" xfId="0" applyAlignment="1" applyFill="1" applyFont="1">
      <alignment readingOrder="0"/>
    </xf>
    <xf borderId="0" fillId="7" fontId="8" numFmtId="0" xfId="0" applyAlignment="1" applyFont="1">
      <alignment readingOrder="0"/>
    </xf>
    <xf borderId="0" fillId="7" fontId="12" numFmtId="0" xfId="0" applyAlignment="1" applyFont="1">
      <alignment readingOrder="0"/>
    </xf>
    <xf borderId="0" fillId="7" fontId="12" numFmtId="0" xfId="0" applyFont="1"/>
    <xf borderId="0" fillId="7" fontId="8" numFmtId="0" xfId="0" applyFont="1"/>
    <xf borderId="0" fillId="7" fontId="10" numFmtId="0" xfId="0" applyFont="1"/>
    <xf borderId="0" fillId="7" fontId="8" numFmtId="0" xfId="0" applyAlignment="1" applyFont="1">
      <alignment readingOrder="0" shrinkToFit="0" vertical="bottom" wrapText="0"/>
    </xf>
    <xf borderId="0" fillId="7" fontId="12" numFmtId="0" xfId="0" applyAlignment="1" applyFont="1">
      <alignment readingOrder="0"/>
    </xf>
    <xf borderId="0" fillId="7" fontId="13" numFmtId="0" xfId="0" applyAlignment="1" applyFont="1">
      <alignment readingOrder="0" shrinkToFit="0" vertical="bottom" wrapText="0"/>
    </xf>
    <xf borderId="0" fillId="8" fontId="8" numFmtId="0" xfId="0" applyFill="1" applyFont="1"/>
    <xf borderId="0" fillId="8" fontId="12" numFmtId="0" xfId="0" applyFont="1"/>
    <xf borderId="0" fillId="8" fontId="10" numFmtId="0" xfId="0" applyFont="1"/>
    <xf borderId="0" fillId="0" fontId="8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2" fontId="5" numFmtId="0" xfId="0" applyAlignment="1" applyFont="1">
      <alignment horizontal="center" readingOrder="0"/>
    </xf>
    <xf borderId="0" fillId="5" fontId="8" numFmtId="0" xfId="0" applyFont="1"/>
    <xf borderId="0" fillId="5" fontId="8" numFmtId="0" xfId="0" applyAlignment="1" applyFont="1">
      <alignment readingOrder="0"/>
    </xf>
    <xf borderId="0" fillId="5" fontId="12" numFmtId="0" xfId="0" applyAlignment="1" applyFont="1">
      <alignment readingOrder="0"/>
    </xf>
    <xf borderId="0" fillId="5" fontId="12" numFmtId="0" xfId="0" applyFont="1"/>
    <xf borderId="0" fillId="5" fontId="9" numFmtId="0" xfId="0" applyAlignment="1" applyFont="1">
      <alignment readingOrder="0"/>
    </xf>
    <xf borderId="0" fillId="9" fontId="8" numFmtId="0" xfId="0" applyAlignment="1" applyFill="1" applyFont="1">
      <alignment readingOrder="0"/>
    </xf>
    <xf borderId="0" fillId="9" fontId="8" numFmtId="0" xfId="0" applyFont="1"/>
    <xf borderId="0" fillId="9" fontId="12" numFmtId="0" xfId="0" applyAlignment="1" applyFont="1">
      <alignment readingOrder="0"/>
    </xf>
    <xf borderId="0" fillId="9" fontId="9" numFmtId="0" xfId="0" applyAlignment="1" applyFont="1">
      <alignment readingOrder="0"/>
    </xf>
    <xf borderId="0" fillId="9" fontId="12" numFmtId="0" xfId="0" applyFont="1"/>
    <xf borderId="0" fillId="9" fontId="10" numFmtId="0" xfId="0" applyFont="1"/>
    <xf borderId="0" fillId="5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5" fontId="10" numFmtId="0" xfId="0" applyAlignment="1" applyFont="1">
      <alignment readingOrder="0" vertical="bottom"/>
    </xf>
    <xf borderId="0" fillId="5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9" fontId="10" numFmtId="0" xfId="0" applyAlignment="1" applyFont="1">
      <alignment vertical="bottom"/>
    </xf>
    <xf borderId="0" fillId="9" fontId="14" numFmtId="0" xfId="0" applyAlignment="1" applyFont="1">
      <alignment vertical="bottom"/>
    </xf>
    <xf borderId="0" fillId="5" fontId="8" numFmtId="0" xfId="0" applyFont="1"/>
    <xf borderId="4" fillId="3" fontId="15" numFmtId="0" xfId="0" applyAlignment="1" applyBorder="1" applyFont="1">
      <alignment horizontal="center"/>
    </xf>
    <xf borderId="5" fillId="10" fontId="4" numFmtId="0" xfId="0" applyAlignment="1" applyBorder="1" applyFill="1" applyFont="1">
      <alignment horizontal="center" readingOrder="0"/>
    </xf>
    <xf borderId="13" fillId="2" fontId="5" numFmtId="0" xfId="0" applyAlignment="1" applyBorder="1" applyFont="1">
      <alignment horizontal="center" vertical="bottom"/>
    </xf>
    <xf borderId="14" fillId="2" fontId="5" numFmtId="0" xfId="0" applyAlignment="1" applyBorder="1" applyFont="1">
      <alignment horizontal="center" vertical="bottom"/>
    </xf>
    <xf borderId="15" fillId="2" fontId="5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5" fontId="16" numFmtId="0" xfId="0" applyAlignment="1" applyFont="1">
      <alignment horizontal="left" readingOrder="0"/>
    </xf>
    <xf borderId="0" fillId="5" fontId="14" numFmtId="0" xfId="0" applyAlignment="1" applyFont="1">
      <alignment horizontal="left" readingOrder="0"/>
    </xf>
    <xf borderId="0" fillId="5" fontId="12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8" numFmtId="0" xfId="0" applyFont="1"/>
    <xf borderId="5" fillId="10" fontId="4" numFmtId="0" xfId="0" applyAlignment="1" applyBorder="1" applyFont="1">
      <alignment horizontal="center"/>
    </xf>
    <xf borderId="16" fillId="2" fontId="5" numFmtId="0" xfId="0" applyAlignment="1" applyBorder="1" applyFont="1">
      <alignment horizontal="center"/>
    </xf>
    <xf borderId="17" fillId="2" fontId="5" numFmtId="0" xfId="0" applyAlignment="1" applyBorder="1" applyFont="1">
      <alignment horizontal="center"/>
    </xf>
    <xf borderId="0" fillId="0" fontId="17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18" fillId="0" fontId="14" numFmtId="0" xfId="0" applyAlignment="1" applyBorder="1" applyFont="1">
      <alignment shrinkToFit="0" vertical="bottom" wrapText="0"/>
    </xf>
    <xf borderId="18" fillId="0" fontId="14" numFmtId="0" xfId="0" applyAlignment="1" applyBorder="1" applyFont="1">
      <alignment readingOrder="0" shrinkToFit="0" vertical="bottom" wrapText="0"/>
    </xf>
    <xf borderId="0" fillId="0" fontId="0" numFmtId="0" xfId="0" applyFont="1"/>
    <xf borderId="0" fillId="0" fontId="13" numFmtId="0" xfId="0" applyAlignment="1" applyFont="1">
      <alignment horizontal="center" shrinkToFit="0" vertical="top" wrapText="0"/>
    </xf>
    <xf borderId="19" fillId="0" fontId="14" numFmtId="0" xfId="0" applyAlignment="1" applyBorder="1" applyFont="1">
      <alignment horizontal="center" readingOrder="0" shrinkToFit="0" vertical="bottom" wrapText="0"/>
    </xf>
    <xf borderId="19" fillId="0" fontId="2" numFmtId="0" xfId="0" applyBorder="1" applyFont="1"/>
    <xf borderId="0" fillId="0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11" fontId="18" numFmtId="0" xfId="0" applyAlignment="1" applyFill="1" applyFont="1">
      <alignment horizontal="center" shrinkToFit="0" vertical="bottom" wrapText="0"/>
    </xf>
    <xf borderId="6" fillId="0" fontId="14" numFmtId="0" xfId="0" applyAlignment="1" applyBorder="1" applyFont="1">
      <alignment horizontal="center" readingOrder="0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12" fontId="20" numFmtId="0" xfId="0" applyAlignment="1" applyFill="1" applyFont="1">
      <alignment horizontal="center"/>
    </xf>
    <xf borderId="0" fillId="13" fontId="20" numFmtId="0" xfId="0" applyAlignment="1" applyFill="1" applyFont="1">
      <alignment horizontal="center" readingOrder="0" shrinkToFit="0" wrapText="0"/>
    </xf>
    <xf borderId="0" fillId="0" fontId="14" numFmtId="0" xfId="0" applyAlignment="1" applyFont="1">
      <alignment horizontal="left" readingOrder="0" shrinkToFit="0" wrapText="0"/>
    </xf>
    <xf borderId="0" fillId="14" fontId="20" numFmtId="0" xfId="0" applyAlignment="1" applyFill="1" applyFont="1">
      <alignment horizontal="center"/>
    </xf>
    <xf borderId="20" fillId="0" fontId="14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5" fontId="21" numFmtId="0" xfId="0" applyAlignment="1" applyFont="1">
      <alignment horizontal="left" readingOrder="0"/>
    </xf>
    <xf borderId="0" fillId="0" fontId="13" numFmtId="0" xfId="0" applyAlignment="1" applyFont="1">
      <alignment horizontal="center" readingOrder="0" shrinkToFit="0" vertical="bottom" wrapText="0"/>
    </xf>
    <xf borderId="0" fillId="12" fontId="20" numFmtId="0" xfId="0" applyAlignment="1" applyFont="1">
      <alignment horizontal="center" readingOrder="0"/>
    </xf>
    <xf borderId="0" fillId="14" fontId="14" numFmtId="0" xfId="0" applyAlignment="1" applyFont="1">
      <alignment horizontal="center" readingOrder="0"/>
    </xf>
    <xf borderId="0" fillId="15" fontId="20" numFmtId="0" xfId="0" applyAlignment="1" applyFill="1" applyFont="1">
      <alignment horizontal="center" readingOrder="0"/>
    </xf>
    <xf borderId="21" fillId="15" fontId="20" numFmtId="0" xfId="0" applyAlignment="1" applyBorder="1" applyFont="1">
      <alignment horizontal="center" readingOrder="0"/>
    </xf>
    <xf borderId="0" fillId="0" fontId="12" numFmtId="0" xfId="0" applyAlignment="1" applyFont="1">
      <alignment horizontal="center"/>
    </xf>
    <xf borderId="22" fillId="0" fontId="12" numFmtId="0" xfId="0" applyAlignment="1" applyBorder="1" applyFont="1">
      <alignment horizontal="center" readingOrder="0"/>
    </xf>
    <xf borderId="22" fillId="0" fontId="12" numFmtId="164" xfId="0" applyAlignment="1" applyBorder="1" applyFont="1" applyNumberFormat="1">
      <alignment horizontal="center" readingOrder="0"/>
    </xf>
    <xf borderId="22" fillId="0" fontId="12" numFmtId="0" xfId="0" applyAlignment="1" applyBorder="1" applyFont="1">
      <alignment horizontal="center"/>
    </xf>
    <xf borderId="0" fillId="0" fontId="22" numFmtId="0" xfId="0" applyAlignment="1" applyFont="1">
      <alignment horizontal="center" readingOrder="0"/>
    </xf>
    <xf borderId="22" fillId="0" fontId="23" numFmtId="0" xfId="0" applyAlignment="1" applyBorder="1" applyFont="1">
      <alignment horizontal="center"/>
    </xf>
    <xf borderId="0" fillId="9" fontId="24" numFmtId="0" xfId="0" applyAlignment="1" applyFont="1">
      <alignment horizontal="center" readingOrder="0"/>
    </xf>
    <xf borderId="22" fillId="7" fontId="12" numFmtId="0" xfId="0" applyAlignment="1" applyBorder="1" applyFont="1">
      <alignment horizontal="center" readingOrder="0"/>
    </xf>
    <xf borderId="22" fillId="16" fontId="12" numFmtId="0" xfId="0" applyAlignment="1" applyBorder="1" applyFill="1" applyFont="1">
      <alignment horizontal="center" readingOrder="0"/>
    </xf>
    <xf borderId="22" fillId="16" fontId="12" numFmtId="164" xfId="0" applyAlignment="1" applyBorder="1" applyFont="1" applyNumberFormat="1">
      <alignment horizontal="center" readingOrder="0"/>
    </xf>
    <xf borderId="22" fillId="16" fontId="12" numFmtId="0" xfId="0" applyAlignment="1" applyBorder="1" applyFont="1">
      <alignment horizontal="center"/>
    </xf>
    <xf borderId="0" fillId="16" fontId="25" numFmtId="0" xfId="0" applyAlignment="1" applyFont="1">
      <alignment horizontal="center" readingOrder="0"/>
    </xf>
    <xf borderId="22" fillId="16" fontId="26" numFmtId="0" xfId="0" applyAlignment="1" applyBorder="1" applyFont="1">
      <alignment horizontal="center"/>
    </xf>
    <xf borderId="0" fillId="16" fontId="12" numFmtId="0" xfId="0" applyAlignment="1" applyFont="1">
      <alignment horizontal="center"/>
    </xf>
    <xf borderId="0" fillId="16" fontId="10" numFmtId="0" xfId="0" applyAlignment="1" applyFont="1">
      <alignment horizontal="center"/>
    </xf>
    <xf borderId="23" fillId="2" fontId="27" numFmtId="0" xfId="0" applyAlignment="1" applyBorder="1" applyFont="1">
      <alignment horizontal="center"/>
    </xf>
    <xf borderId="24" fillId="0" fontId="2" numFmtId="0" xfId="0" applyBorder="1" applyFont="1"/>
    <xf borderId="25" fillId="0" fontId="2" numFmtId="0" xfId="0" applyBorder="1" applyFont="1"/>
    <xf borderId="26" fillId="2" fontId="27" numFmtId="0" xfId="0" applyAlignment="1" applyBorder="1" applyFont="1">
      <alignment horizontal="center"/>
    </xf>
    <xf borderId="27" fillId="0" fontId="2" numFmtId="0" xfId="0" applyBorder="1" applyFont="1"/>
    <xf borderId="28" fillId="0" fontId="2" numFmtId="0" xfId="0" applyBorder="1" applyFont="1"/>
    <xf borderId="23" fillId="17" fontId="28" numFmtId="0" xfId="0" applyAlignment="1" applyBorder="1" applyFill="1" applyFont="1">
      <alignment horizontal="center"/>
    </xf>
    <xf borderId="23" fillId="8" fontId="28" numFmtId="0" xfId="0" applyAlignment="1" applyBorder="1" applyFont="1">
      <alignment horizontal="center"/>
    </xf>
    <xf borderId="5" fillId="2" fontId="27" numFmtId="0" xfId="0" applyBorder="1" applyFont="1"/>
    <xf borderId="4" fillId="12" fontId="27" numFmtId="0" xfId="0" applyAlignment="1" applyBorder="1" applyFont="1">
      <alignment horizontal="center"/>
    </xf>
    <xf borderId="4" fillId="2" fontId="27" numFmtId="0" xfId="0" applyAlignment="1" applyBorder="1" applyFont="1">
      <alignment horizontal="center"/>
    </xf>
    <xf borderId="4" fillId="18" fontId="27" numFmtId="0" xfId="0" applyAlignment="1" applyBorder="1" applyFill="1" applyFont="1">
      <alignment horizontal="center"/>
    </xf>
    <xf borderId="4" fillId="17" fontId="28" numFmtId="0" xfId="0" applyAlignment="1" applyBorder="1" applyFont="1">
      <alignment horizontal="center"/>
    </xf>
    <xf borderId="29" fillId="19" fontId="29" numFmtId="0" xfId="0" applyAlignment="1" applyBorder="1" applyFill="1" applyFont="1">
      <alignment horizontal="center"/>
    </xf>
    <xf borderId="14" fillId="0" fontId="2" numFmtId="0" xfId="0" applyBorder="1" applyFont="1"/>
    <xf borderId="30" fillId="19" fontId="29" numFmtId="0" xfId="0" applyAlignment="1" applyBorder="1" applyFont="1">
      <alignment horizontal="center"/>
    </xf>
    <xf borderId="29" fillId="20" fontId="30" numFmtId="0" xfId="0" applyAlignment="1" applyBorder="1" applyFill="1" applyFont="1">
      <alignment horizontal="center"/>
    </xf>
    <xf borderId="30" fillId="20" fontId="30" numFmtId="0" xfId="0" applyAlignment="1" applyBorder="1" applyFont="1">
      <alignment horizontal="center"/>
    </xf>
    <xf borderId="8" fillId="19" fontId="29" numFmtId="0" xfId="0" applyAlignment="1" applyBorder="1" applyFont="1">
      <alignment horizontal="center"/>
    </xf>
    <xf borderId="8" fillId="21" fontId="15" numFmtId="0" xfId="0" applyBorder="1" applyFill="1" applyFont="1"/>
    <xf borderId="8" fillId="21" fontId="28" numFmtId="0" xfId="0" applyBorder="1" applyFont="1"/>
    <xf borderId="8" fillId="17" fontId="28" numFmtId="0" xfId="0" applyBorder="1" applyFont="1"/>
    <xf borderId="8" fillId="17" fontId="31" numFmtId="0" xfId="0" applyBorder="1" applyFont="1"/>
    <xf borderId="8" fillId="0" fontId="0" numFmtId="0" xfId="0" applyBorder="1" applyFont="1"/>
    <xf borderId="8" fillId="0" fontId="13" numFmtId="0" xfId="0" applyBorder="1" applyFont="1"/>
    <xf borderId="8" fillId="17" fontId="0" numFmtId="0" xfId="0" applyBorder="1" applyFont="1"/>
    <xf borderId="8" fillId="17" fontId="8" numFmtId="0" xfId="0" applyBorder="1" applyFont="1"/>
    <xf borderId="8" fillId="5" fontId="8" numFmtId="0" xfId="0" applyBorder="1" applyFont="1"/>
    <xf borderId="8" fillId="5" fontId="0" numFmtId="0" xfId="0" applyBorder="1" applyFont="1"/>
    <xf borderId="8" fillId="0" fontId="13" numFmtId="0" xfId="0" applyAlignment="1" applyBorder="1" applyFont="1">
      <alignment readingOrder="0"/>
    </xf>
    <xf borderId="8" fillId="22" fontId="13" numFmtId="0" xfId="0" applyBorder="1" applyFill="1" applyFont="1"/>
    <xf borderId="8" fillId="0" fontId="11" numFmtId="0" xfId="0" applyBorder="1" applyFont="1"/>
    <xf borderId="8" fillId="16" fontId="13" numFmtId="0" xfId="0" applyBorder="1" applyFont="1"/>
    <xf borderId="8" fillId="5" fontId="13" numFmtId="0" xfId="0" applyBorder="1" applyFont="1"/>
    <xf borderId="8" fillId="17" fontId="13" numFmtId="0" xfId="0" applyBorder="1" applyFont="1"/>
    <xf borderId="8" fillId="0" fontId="32" numFmtId="0" xfId="0" applyBorder="1" applyFont="1"/>
    <xf borderId="8" fillId="0" fontId="13" numFmtId="165" xfId="0" applyBorder="1" applyFont="1" applyNumberFormat="1"/>
    <xf borderId="8" fillId="22" fontId="0" numFmtId="0" xfId="0" applyBorder="1" applyFont="1"/>
    <xf borderId="8" fillId="0" fontId="8" numFmtId="0" xfId="0" applyBorder="1" applyFont="1"/>
    <xf borderId="8" fillId="0" fontId="0" numFmtId="0" xfId="0" applyAlignment="1" applyBorder="1" applyFont="1">
      <alignment readingOrder="0"/>
    </xf>
    <xf borderId="8" fillId="16" fontId="13" numFmtId="0" xfId="0" applyAlignment="1" applyBorder="1" applyFont="1">
      <alignment readingOrder="0"/>
    </xf>
    <xf borderId="8" fillId="0" fontId="13" numFmtId="0" xfId="0" applyAlignment="1" applyBorder="1" applyFont="1">
      <alignment horizontal="left"/>
    </xf>
    <xf borderId="8" fillId="5" fontId="13" numFmtId="0" xfId="0" applyAlignment="1" applyBorder="1" applyFont="1">
      <alignment readingOrder="0"/>
    </xf>
    <xf borderId="8" fillId="23" fontId="0" numFmtId="0" xfId="0" applyBorder="1" applyFill="1" applyFont="1"/>
    <xf borderId="8" fillId="17" fontId="0" numFmtId="0" xfId="0" applyAlignment="1" applyBorder="1" applyFont="1">
      <alignment readingOrder="0"/>
    </xf>
    <xf borderId="8" fillId="0" fontId="33" numFmtId="0" xfId="0" applyBorder="1" applyFont="1"/>
    <xf borderId="8" fillId="0" fontId="10" numFmtId="0" xfId="0" applyAlignment="1" applyBorder="1" applyFont="1">
      <alignment readingOrder="0" vertical="bottom"/>
    </xf>
    <xf borderId="8" fillId="16" fontId="34" numFmtId="0" xfId="0" applyBorder="1" applyFont="1"/>
    <xf borderId="20" fillId="0" fontId="10" numFmtId="0" xfId="0" applyAlignment="1" applyBorder="1" applyFont="1">
      <alignment readingOrder="0" vertical="bottom"/>
    </xf>
    <xf borderId="8" fillId="0" fontId="13" numFmtId="0" xfId="0" applyAlignment="1" applyBorder="1" applyFont="1">
      <alignment vertical="bottom"/>
    </xf>
    <xf borderId="14" fillId="0" fontId="13" numFmtId="0" xfId="0" applyAlignment="1" applyBorder="1" applyFont="1">
      <alignment vertical="bottom"/>
    </xf>
    <xf borderId="31" fillId="0" fontId="13" numFmtId="0" xfId="0" applyAlignment="1" applyBorder="1" applyFont="1">
      <alignment vertical="bottom"/>
    </xf>
    <xf borderId="20" fillId="0" fontId="13" numFmtId="0" xfId="0" applyAlignment="1" applyBorder="1" applyFont="1">
      <alignment vertical="bottom"/>
    </xf>
    <xf borderId="8" fillId="5" fontId="9" numFmtId="0" xfId="0" applyAlignment="1" applyBorder="1" applyFont="1">
      <alignment readingOrder="0"/>
    </xf>
    <xf borderId="8" fillId="0" fontId="35" numFmtId="0" xfId="0" applyBorder="1" applyFont="1"/>
    <xf borderId="8" fillId="0" fontId="36" numFmtId="0" xfId="0" applyBorder="1" applyFont="1"/>
    <xf borderId="8" fillId="0" fontId="37" numFmtId="0" xfId="0" applyBorder="1" applyFont="1"/>
    <xf borderId="0" fillId="0" fontId="13" numFmtId="0" xfId="0" applyFont="1"/>
    <xf borderId="8" fillId="0" fontId="13" numFmtId="0" xfId="0" applyBorder="1" applyFont="1"/>
    <xf borderId="8" fillId="0" fontId="38" numFmtId="0" xfId="0" applyAlignment="1" applyBorder="1" applyFont="1">
      <alignment horizontal="left"/>
    </xf>
    <xf borderId="8" fillId="0" fontId="38" numFmtId="0" xfId="0" applyAlignment="1" applyBorder="1" applyFont="1">
      <alignment horizontal="left" readingOrder="0"/>
    </xf>
    <xf borderId="8" fillId="0" fontId="10" numFmtId="0" xfId="0" applyBorder="1" applyFont="1"/>
    <xf borderId="0" fillId="5" fontId="3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47625</xdr:rowOff>
    </xdr:from>
    <xdr:ext cx="781050" cy="43815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76200</xdr:rowOff>
    </xdr:from>
    <xdr:ext cx="1952625" cy="3810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cartaodotz.dotz.com.br/dotz-bb" TargetMode="External"/><Relationship Id="rId42" Type="http://schemas.openxmlformats.org/officeDocument/2006/relationships/hyperlink" Target="https://cartaodotz.dotz.com.br/dotz-bb" TargetMode="External"/><Relationship Id="rId41" Type="http://schemas.openxmlformats.org/officeDocument/2006/relationships/hyperlink" Target="https://cartaodotz.dotz.com.br/dotz-bb" TargetMode="External"/><Relationship Id="rId44" Type="http://schemas.openxmlformats.org/officeDocument/2006/relationships/hyperlink" Target="https://cartaodotz.dotz.com.br/dotz-bb" TargetMode="External"/><Relationship Id="rId43" Type="http://schemas.openxmlformats.org/officeDocument/2006/relationships/hyperlink" Target="https://cartaodotz.dotz.com.br/dotz-bb" TargetMode="External"/><Relationship Id="rId46" Type="http://schemas.openxmlformats.org/officeDocument/2006/relationships/hyperlink" Target="https://cartaodotz.dotz.com.br/dotz-bb" TargetMode="External"/><Relationship Id="rId45" Type="http://schemas.openxmlformats.org/officeDocument/2006/relationships/hyperlink" Target="https://cartaodotz.dotz.com.br/dotz-bb" TargetMode="External"/><Relationship Id="rId107" Type="http://schemas.openxmlformats.org/officeDocument/2006/relationships/hyperlink" Target="https://cartaodotz.dotz.com.br/dotz-bb" TargetMode="External"/><Relationship Id="rId106" Type="http://schemas.openxmlformats.org/officeDocument/2006/relationships/hyperlink" Target="https://cartaodotz.dotz.com.br/dotz-bb" TargetMode="External"/><Relationship Id="rId105" Type="http://schemas.openxmlformats.org/officeDocument/2006/relationships/hyperlink" Target="https://cartaodotz.dotz.com.br/dotz-bb" TargetMode="External"/><Relationship Id="rId104" Type="http://schemas.openxmlformats.org/officeDocument/2006/relationships/hyperlink" Target="https://cartaodotz.dotz.com.br/dotz-bb" TargetMode="External"/><Relationship Id="rId109" Type="http://schemas.openxmlformats.org/officeDocument/2006/relationships/hyperlink" Target="https://cartaodotz.dotz.com.br/dotz-bb" TargetMode="External"/><Relationship Id="rId108" Type="http://schemas.openxmlformats.org/officeDocument/2006/relationships/hyperlink" Target="https://cartaodotz.dotz.com.br/dotz-bb" TargetMode="External"/><Relationship Id="rId48" Type="http://schemas.openxmlformats.org/officeDocument/2006/relationships/hyperlink" Target="https://cartaodotz.dotz.com.br/dotz-bb" TargetMode="External"/><Relationship Id="rId47" Type="http://schemas.openxmlformats.org/officeDocument/2006/relationships/hyperlink" Target="https://cartaodotz.dotz.com.br/dotz-bb" TargetMode="External"/><Relationship Id="rId49" Type="http://schemas.openxmlformats.org/officeDocument/2006/relationships/hyperlink" Target="https://cartaodotz.dotz.com.br/dotz-bb" TargetMode="External"/><Relationship Id="rId103" Type="http://schemas.openxmlformats.org/officeDocument/2006/relationships/hyperlink" Target="https://cartaodotz.dotz.com.br/dotz-bb" TargetMode="External"/><Relationship Id="rId102" Type="http://schemas.openxmlformats.org/officeDocument/2006/relationships/hyperlink" Target="https://cartaodotz.dotz.com.br/dotz-bb" TargetMode="External"/><Relationship Id="rId101" Type="http://schemas.openxmlformats.org/officeDocument/2006/relationships/hyperlink" Target="https://cartaodotz.dotz.com.br/dotz-bb" TargetMode="External"/><Relationship Id="rId100" Type="http://schemas.openxmlformats.org/officeDocument/2006/relationships/hyperlink" Target="https://cartaodotz.dotz.com.br/dotz-bb" TargetMode="External"/><Relationship Id="rId31" Type="http://schemas.openxmlformats.org/officeDocument/2006/relationships/hyperlink" Target="https://cartaodotz.dotz.com.br/dotz-bb" TargetMode="External"/><Relationship Id="rId30" Type="http://schemas.openxmlformats.org/officeDocument/2006/relationships/hyperlink" Target="https://cartaodotz.dotz.com.br/dotz-bb" TargetMode="External"/><Relationship Id="rId33" Type="http://schemas.openxmlformats.org/officeDocument/2006/relationships/hyperlink" Target="https://cartaodotz.dotz.com.br/dotz-bb" TargetMode="External"/><Relationship Id="rId32" Type="http://schemas.openxmlformats.org/officeDocument/2006/relationships/hyperlink" Target="https://cartaodotz.dotz.com.br/dotz-bb" TargetMode="External"/><Relationship Id="rId35" Type="http://schemas.openxmlformats.org/officeDocument/2006/relationships/hyperlink" Target="https://cartaodotz.dotz.com.br/dotz-bb" TargetMode="External"/><Relationship Id="rId34" Type="http://schemas.openxmlformats.org/officeDocument/2006/relationships/hyperlink" Target="https://cartaodotz.dotz.com.br/dotz-bb" TargetMode="External"/><Relationship Id="rId37" Type="http://schemas.openxmlformats.org/officeDocument/2006/relationships/hyperlink" Target="https://cartaodotz.dotz.com.br/dotz-bb" TargetMode="External"/><Relationship Id="rId36" Type="http://schemas.openxmlformats.org/officeDocument/2006/relationships/hyperlink" Target="https://cartaodotz.dotz.com.br/dotz-bb" TargetMode="External"/><Relationship Id="rId39" Type="http://schemas.openxmlformats.org/officeDocument/2006/relationships/hyperlink" Target="https://cartaodotz.dotz.com.br/dotz-bb" TargetMode="External"/><Relationship Id="rId38" Type="http://schemas.openxmlformats.org/officeDocument/2006/relationships/hyperlink" Target="https://cartaodotz.dotz.com.br/dotz-bb" TargetMode="External"/><Relationship Id="rId20" Type="http://schemas.openxmlformats.org/officeDocument/2006/relationships/hyperlink" Target="https://cartaodotz.dotz.com.br/dotz-bb" TargetMode="External"/><Relationship Id="rId22" Type="http://schemas.openxmlformats.org/officeDocument/2006/relationships/hyperlink" Target="https://cartaodotz.dotz.com.br/dotz-bb" TargetMode="External"/><Relationship Id="rId21" Type="http://schemas.openxmlformats.org/officeDocument/2006/relationships/hyperlink" Target="https://cartaodotz.dotz.com.br/dotz-bb" TargetMode="External"/><Relationship Id="rId24" Type="http://schemas.openxmlformats.org/officeDocument/2006/relationships/hyperlink" Target="https://cartaodotz.dotz.com.br/dotz-bb" TargetMode="External"/><Relationship Id="rId23" Type="http://schemas.openxmlformats.org/officeDocument/2006/relationships/hyperlink" Target="https://cartaodotz.dotz.com.br/dotz-bb" TargetMode="External"/><Relationship Id="rId129" Type="http://schemas.openxmlformats.org/officeDocument/2006/relationships/hyperlink" Target="https://cartaodotz.dotz.com.br/dotz-bb" TargetMode="External"/><Relationship Id="rId128" Type="http://schemas.openxmlformats.org/officeDocument/2006/relationships/hyperlink" Target="https://cartaodotz.dotz.com.br/dotz-bb" TargetMode="External"/><Relationship Id="rId127" Type="http://schemas.openxmlformats.org/officeDocument/2006/relationships/hyperlink" Target="https://cartaodotz.dotz.com.br/dotz-bb" TargetMode="External"/><Relationship Id="rId126" Type="http://schemas.openxmlformats.org/officeDocument/2006/relationships/hyperlink" Target="https://cartaodotz.dotz.com.br/dotz-bb" TargetMode="External"/><Relationship Id="rId26" Type="http://schemas.openxmlformats.org/officeDocument/2006/relationships/hyperlink" Target="https://cartaodotz.dotz.com.br/dotz-bb" TargetMode="External"/><Relationship Id="rId121" Type="http://schemas.openxmlformats.org/officeDocument/2006/relationships/hyperlink" Target="https://cartaodotz.dotz.com.br/dotz-bb" TargetMode="External"/><Relationship Id="rId25" Type="http://schemas.openxmlformats.org/officeDocument/2006/relationships/hyperlink" Target="https://cartaodotz.dotz.com.br/dotz-bb" TargetMode="External"/><Relationship Id="rId120" Type="http://schemas.openxmlformats.org/officeDocument/2006/relationships/hyperlink" Target="https://cartaodotz.dotz.com.br/dotz-bb" TargetMode="External"/><Relationship Id="rId28" Type="http://schemas.openxmlformats.org/officeDocument/2006/relationships/hyperlink" Target="https://cartaodotz.dotz.com.br/dotz-bb" TargetMode="External"/><Relationship Id="rId27" Type="http://schemas.openxmlformats.org/officeDocument/2006/relationships/hyperlink" Target="https://cartaodotz.dotz.com.br/dotz-bb" TargetMode="External"/><Relationship Id="rId125" Type="http://schemas.openxmlformats.org/officeDocument/2006/relationships/hyperlink" Target="https://cartaodotz.dotz.com.br/dotz-bb" TargetMode="External"/><Relationship Id="rId29" Type="http://schemas.openxmlformats.org/officeDocument/2006/relationships/hyperlink" Target="https://cartaodotz.dotz.com.br/dotz-bb" TargetMode="External"/><Relationship Id="rId124" Type="http://schemas.openxmlformats.org/officeDocument/2006/relationships/hyperlink" Target="https://cartaodotz.dotz.com.br/dotz-bb" TargetMode="External"/><Relationship Id="rId123" Type="http://schemas.openxmlformats.org/officeDocument/2006/relationships/hyperlink" Target="https://cartaodotz.dotz.com.br/dotz-bb" TargetMode="External"/><Relationship Id="rId122" Type="http://schemas.openxmlformats.org/officeDocument/2006/relationships/hyperlink" Target="https://cartaodotz.dotz.com.br/dotz-bb" TargetMode="External"/><Relationship Id="rId95" Type="http://schemas.openxmlformats.org/officeDocument/2006/relationships/hyperlink" Target="https://cartaodotz.dotz.com.br/dotz-bb" TargetMode="External"/><Relationship Id="rId94" Type="http://schemas.openxmlformats.org/officeDocument/2006/relationships/hyperlink" Target="https://cartaodotz.dotz.com.br/dotz-bb" TargetMode="External"/><Relationship Id="rId97" Type="http://schemas.openxmlformats.org/officeDocument/2006/relationships/hyperlink" Target="https://cartaodotz.dotz.com.br/dotz-bb" TargetMode="External"/><Relationship Id="rId96" Type="http://schemas.openxmlformats.org/officeDocument/2006/relationships/hyperlink" Target="https://cartaodotz.dotz.com.br/dotz-bb" TargetMode="External"/><Relationship Id="rId11" Type="http://schemas.openxmlformats.org/officeDocument/2006/relationships/hyperlink" Target="https://cartaodotz.dotz.com.br/dotz-bb" TargetMode="External"/><Relationship Id="rId99" Type="http://schemas.openxmlformats.org/officeDocument/2006/relationships/hyperlink" Target="https://cartaodotz.dotz.com.br/dotz-bb" TargetMode="External"/><Relationship Id="rId10" Type="http://schemas.openxmlformats.org/officeDocument/2006/relationships/hyperlink" Target="https://cartaodotz.dotz.com.br/dotz-bb" TargetMode="External"/><Relationship Id="rId98" Type="http://schemas.openxmlformats.org/officeDocument/2006/relationships/hyperlink" Target="https://cartaodotz.dotz.com.br/dotz-bb" TargetMode="External"/><Relationship Id="rId13" Type="http://schemas.openxmlformats.org/officeDocument/2006/relationships/hyperlink" Target="https://cartaodotz.dotz.com.br/dotz-bb" TargetMode="External"/><Relationship Id="rId12" Type="http://schemas.openxmlformats.org/officeDocument/2006/relationships/hyperlink" Target="https://cartaodotz.dotz.com.br/dotz-bb" TargetMode="External"/><Relationship Id="rId91" Type="http://schemas.openxmlformats.org/officeDocument/2006/relationships/hyperlink" Target="https://cartaodotz.dotz.com.br/dotz-bb" TargetMode="External"/><Relationship Id="rId90" Type="http://schemas.openxmlformats.org/officeDocument/2006/relationships/hyperlink" Target="https://cartaodotz.dotz.com.br/dotz-bb" TargetMode="External"/><Relationship Id="rId93" Type="http://schemas.openxmlformats.org/officeDocument/2006/relationships/hyperlink" Target="https://cartaodotz.dotz.com.br/dotz-bb" TargetMode="External"/><Relationship Id="rId92" Type="http://schemas.openxmlformats.org/officeDocument/2006/relationships/hyperlink" Target="https://cartaodotz.dotz.com.br/dotz-bb" TargetMode="External"/><Relationship Id="rId118" Type="http://schemas.openxmlformats.org/officeDocument/2006/relationships/hyperlink" Target="https://cartaodotz.dotz.com.br/dotz-bb" TargetMode="External"/><Relationship Id="rId117" Type="http://schemas.openxmlformats.org/officeDocument/2006/relationships/hyperlink" Target="https://cartaodotz.dotz.com.br/dotz-bb" TargetMode="External"/><Relationship Id="rId116" Type="http://schemas.openxmlformats.org/officeDocument/2006/relationships/hyperlink" Target="https://cartaodotz.dotz.com.br/dotz-bb" TargetMode="External"/><Relationship Id="rId115" Type="http://schemas.openxmlformats.org/officeDocument/2006/relationships/hyperlink" Target="https://cartaodotz.dotz.com.br/dotz-bb" TargetMode="External"/><Relationship Id="rId119" Type="http://schemas.openxmlformats.org/officeDocument/2006/relationships/hyperlink" Target="https://cartaodotz.dotz.com.br/dotz-bb" TargetMode="External"/><Relationship Id="rId15" Type="http://schemas.openxmlformats.org/officeDocument/2006/relationships/hyperlink" Target="https://cartaodotz.dotz.com.br/dotz-bb" TargetMode="External"/><Relationship Id="rId110" Type="http://schemas.openxmlformats.org/officeDocument/2006/relationships/hyperlink" Target="https://cartaodotz.dotz.com.br/dotz-bb" TargetMode="External"/><Relationship Id="rId14" Type="http://schemas.openxmlformats.org/officeDocument/2006/relationships/hyperlink" Target="https://cartaodotz.dotz.com.br/dotz-bb" TargetMode="External"/><Relationship Id="rId17" Type="http://schemas.openxmlformats.org/officeDocument/2006/relationships/hyperlink" Target="https://cartaodotz.dotz.com.br/dotz-bb" TargetMode="External"/><Relationship Id="rId16" Type="http://schemas.openxmlformats.org/officeDocument/2006/relationships/hyperlink" Target="https://cartaodotz.dotz.com.br/dotz-bb" TargetMode="External"/><Relationship Id="rId19" Type="http://schemas.openxmlformats.org/officeDocument/2006/relationships/hyperlink" Target="https://cartaodotz.dotz.com.br/dotz-bb" TargetMode="External"/><Relationship Id="rId114" Type="http://schemas.openxmlformats.org/officeDocument/2006/relationships/hyperlink" Target="https://cartaodotz.dotz.com.br/dotz-bb" TargetMode="External"/><Relationship Id="rId18" Type="http://schemas.openxmlformats.org/officeDocument/2006/relationships/hyperlink" Target="https://cartaodotz.dotz.com.br/dotz-bb" TargetMode="External"/><Relationship Id="rId113" Type="http://schemas.openxmlformats.org/officeDocument/2006/relationships/hyperlink" Target="https://cartaodotz.dotz.com.br/dotz-bb" TargetMode="External"/><Relationship Id="rId112" Type="http://schemas.openxmlformats.org/officeDocument/2006/relationships/hyperlink" Target="https://cartaodotz.dotz.com.br/dotz-bb" TargetMode="External"/><Relationship Id="rId111" Type="http://schemas.openxmlformats.org/officeDocument/2006/relationships/hyperlink" Target="https://cartaodotz.dotz.com.br/dotz-bb" TargetMode="External"/><Relationship Id="rId84" Type="http://schemas.openxmlformats.org/officeDocument/2006/relationships/hyperlink" Target="https://cartaodotz.dotz.com.br/dotz-bb" TargetMode="External"/><Relationship Id="rId83" Type="http://schemas.openxmlformats.org/officeDocument/2006/relationships/hyperlink" Target="https://cartaodotz.dotz.com.br/dotz-bb" TargetMode="External"/><Relationship Id="rId86" Type="http://schemas.openxmlformats.org/officeDocument/2006/relationships/hyperlink" Target="https://cartaodotz.dotz.com.br/dotz-bb" TargetMode="External"/><Relationship Id="rId85" Type="http://schemas.openxmlformats.org/officeDocument/2006/relationships/hyperlink" Target="https://cartaodotz.dotz.com.br/dotz-bb" TargetMode="External"/><Relationship Id="rId88" Type="http://schemas.openxmlformats.org/officeDocument/2006/relationships/hyperlink" Target="https://cartaodotz.dotz.com.br/dotz-bb" TargetMode="External"/><Relationship Id="rId87" Type="http://schemas.openxmlformats.org/officeDocument/2006/relationships/hyperlink" Target="https://cartaodotz.dotz.com.br/dotz-bb" TargetMode="External"/><Relationship Id="rId89" Type="http://schemas.openxmlformats.org/officeDocument/2006/relationships/hyperlink" Target="https://cartaodotz.dotz.com.br/dotz-bb" TargetMode="External"/><Relationship Id="rId80" Type="http://schemas.openxmlformats.org/officeDocument/2006/relationships/hyperlink" Target="https://cartaodotz.dotz.com.br/dotz-bb" TargetMode="External"/><Relationship Id="rId82" Type="http://schemas.openxmlformats.org/officeDocument/2006/relationships/hyperlink" Target="https://cartaodotz.dotz.com.br/dotz-bb" TargetMode="External"/><Relationship Id="rId81" Type="http://schemas.openxmlformats.org/officeDocument/2006/relationships/hyperlink" Target="https://cartaodotz.dotz.com.br/dotz-bb" TargetMode="External"/><Relationship Id="rId1" Type="http://schemas.openxmlformats.org/officeDocument/2006/relationships/comments" Target="../comments5.xml"/><Relationship Id="rId2" Type="http://schemas.openxmlformats.org/officeDocument/2006/relationships/hyperlink" Target="https://cartaodotz.dotz.com.br/" TargetMode="External"/><Relationship Id="rId3" Type="http://schemas.openxmlformats.org/officeDocument/2006/relationships/hyperlink" Target="https://cartaodotz.dotz.com.br/" TargetMode="External"/><Relationship Id="rId4" Type="http://schemas.openxmlformats.org/officeDocument/2006/relationships/hyperlink" Target="https://cartaodotz.dotz.com.br/dotz-bb" TargetMode="External"/><Relationship Id="rId9" Type="http://schemas.openxmlformats.org/officeDocument/2006/relationships/hyperlink" Target="https://cartaodotz.dotz.com.br/dotz-bb" TargetMode="External"/><Relationship Id="rId5" Type="http://schemas.openxmlformats.org/officeDocument/2006/relationships/hyperlink" Target="https://cartaodotz.dotz.com.br/dotz-bb" TargetMode="External"/><Relationship Id="rId6" Type="http://schemas.openxmlformats.org/officeDocument/2006/relationships/hyperlink" Target="https://cartaodotz.dotz.com.br/dotz-bb" TargetMode="External"/><Relationship Id="rId7" Type="http://schemas.openxmlformats.org/officeDocument/2006/relationships/hyperlink" Target="https://cartaodotz.dotz.com.br/dotz-bb" TargetMode="External"/><Relationship Id="rId8" Type="http://schemas.openxmlformats.org/officeDocument/2006/relationships/hyperlink" Target="https://cartaodotz.dotz.com.br/dotz-bb" TargetMode="External"/><Relationship Id="rId73" Type="http://schemas.openxmlformats.org/officeDocument/2006/relationships/hyperlink" Target="https://cartaodotz.dotz.com.br/dotz-bb" TargetMode="External"/><Relationship Id="rId72" Type="http://schemas.openxmlformats.org/officeDocument/2006/relationships/hyperlink" Target="https://cartaodotz.dotz.com.br/dotz-bb" TargetMode="External"/><Relationship Id="rId75" Type="http://schemas.openxmlformats.org/officeDocument/2006/relationships/hyperlink" Target="https://cartaodotz.dotz.com.br/dotz-bb" TargetMode="External"/><Relationship Id="rId74" Type="http://schemas.openxmlformats.org/officeDocument/2006/relationships/hyperlink" Target="https://cartaodotz.dotz.com.br/dotz-bb" TargetMode="External"/><Relationship Id="rId77" Type="http://schemas.openxmlformats.org/officeDocument/2006/relationships/hyperlink" Target="https://cartaodotz.dotz.com.br/dotz-bb" TargetMode="External"/><Relationship Id="rId76" Type="http://schemas.openxmlformats.org/officeDocument/2006/relationships/hyperlink" Target="https://cartaodotz.dotz.com.br/dotz-bb" TargetMode="External"/><Relationship Id="rId79" Type="http://schemas.openxmlformats.org/officeDocument/2006/relationships/hyperlink" Target="https://cartaodotz.dotz.com.br/dotz-bb" TargetMode="External"/><Relationship Id="rId78" Type="http://schemas.openxmlformats.org/officeDocument/2006/relationships/hyperlink" Target="https://cartaodotz.dotz.com.br/dotz-bb" TargetMode="External"/><Relationship Id="rId71" Type="http://schemas.openxmlformats.org/officeDocument/2006/relationships/hyperlink" Target="https://cartaodotz.dotz.com.br/dotz-bb" TargetMode="External"/><Relationship Id="rId70" Type="http://schemas.openxmlformats.org/officeDocument/2006/relationships/hyperlink" Target="https://cartaodotz.dotz.com.br/dotz-bb" TargetMode="External"/><Relationship Id="rId132" Type="http://schemas.openxmlformats.org/officeDocument/2006/relationships/drawing" Target="../drawings/drawing6.xml"/><Relationship Id="rId131" Type="http://schemas.openxmlformats.org/officeDocument/2006/relationships/hyperlink" Target="https://cartaodotz.dotz.com.br/dotz-bb" TargetMode="External"/><Relationship Id="rId130" Type="http://schemas.openxmlformats.org/officeDocument/2006/relationships/hyperlink" Target="https://cartaodotz.dotz.com.br/dotz-bb" TargetMode="External"/><Relationship Id="rId133" Type="http://schemas.openxmlformats.org/officeDocument/2006/relationships/vmlDrawing" Target="../drawings/vmlDrawing5.vml"/><Relationship Id="rId62" Type="http://schemas.openxmlformats.org/officeDocument/2006/relationships/hyperlink" Target="https://cartaodotz.dotz.com.br/dotz-bb" TargetMode="External"/><Relationship Id="rId61" Type="http://schemas.openxmlformats.org/officeDocument/2006/relationships/hyperlink" Target="https://cartaodotz.dotz.com.br/dotz-bb" TargetMode="External"/><Relationship Id="rId64" Type="http://schemas.openxmlformats.org/officeDocument/2006/relationships/hyperlink" Target="https://cartaodotz.dotz.com.br/dotz-bb" TargetMode="External"/><Relationship Id="rId63" Type="http://schemas.openxmlformats.org/officeDocument/2006/relationships/hyperlink" Target="https://cartaodotz.dotz.com.br/dotz-bb" TargetMode="External"/><Relationship Id="rId66" Type="http://schemas.openxmlformats.org/officeDocument/2006/relationships/hyperlink" Target="https://cartaodotz.dotz.com.br/dotz-bb" TargetMode="External"/><Relationship Id="rId65" Type="http://schemas.openxmlformats.org/officeDocument/2006/relationships/hyperlink" Target="https://cartaodotz.dotz.com.br/dotz-bb" TargetMode="External"/><Relationship Id="rId68" Type="http://schemas.openxmlformats.org/officeDocument/2006/relationships/hyperlink" Target="https://cartaodotz.dotz.com.br/dotz-bb" TargetMode="External"/><Relationship Id="rId67" Type="http://schemas.openxmlformats.org/officeDocument/2006/relationships/hyperlink" Target="https://cartaodotz.dotz.com.br/dotz-bb" TargetMode="External"/><Relationship Id="rId60" Type="http://schemas.openxmlformats.org/officeDocument/2006/relationships/hyperlink" Target="https://cartaodotz.dotz.com.br/dotz-bb" TargetMode="External"/><Relationship Id="rId69" Type="http://schemas.openxmlformats.org/officeDocument/2006/relationships/hyperlink" Target="https://cartaodotz.dotz.com.br/dotz-bb" TargetMode="External"/><Relationship Id="rId51" Type="http://schemas.openxmlformats.org/officeDocument/2006/relationships/hyperlink" Target="https://cartaodotz.dotz.com.br/dotz-bb" TargetMode="External"/><Relationship Id="rId50" Type="http://schemas.openxmlformats.org/officeDocument/2006/relationships/hyperlink" Target="https://cartaodotz.dotz.com.br/dotz-bb" TargetMode="External"/><Relationship Id="rId53" Type="http://schemas.openxmlformats.org/officeDocument/2006/relationships/hyperlink" Target="https://cartaodotz.dotz.com.br/" TargetMode="External"/><Relationship Id="rId52" Type="http://schemas.openxmlformats.org/officeDocument/2006/relationships/hyperlink" Target="https://cartaodotz.dotz.com.br/dotz-bb" TargetMode="External"/><Relationship Id="rId55" Type="http://schemas.openxmlformats.org/officeDocument/2006/relationships/hyperlink" Target="https://cartaodotz.dotz.com.br/dotz-bb" TargetMode="External"/><Relationship Id="rId54" Type="http://schemas.openxmlformats.org/officeDocument/2006/relationships/hyperlink" Target="https://cartaodotz.dotz.com.br/dotz-bb" TargetMode="External"/><Relationship Id="rId57" Type="http://schemas.openxmlformats.org/officeDocument/2006/relationships/hyperlink" Target="https://cartaodotz.dotz.com.br/dotz-bb" TargetMode="External"/><Relationship Id="rId56" Type="http://schemas.openxmlformats.org/officeDocument/2006/relationships/hyperlink" Target="https://cartaodotz.dotz.com.br/dotz-bb" TargetMode="External"/><Relationship Id="rId59" Type="http://schemas.openxmlformats.org/officeDocument/2006/relationships/hyperlink" Target="https://cartaodotz.dotz.com.br/dotz-bb" TargetMode="External"/><Relationship Id="rId58" Type="http://schemas.openxmlformats.org/officeDocument/2006/relationships/hyperlink" Target="https://cartaodotz.dotz.com.br/dotz-bb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daddy-cool.gr/" TargetMode="External"/><Relationship Id="rId190" Type="http://schemas.openxmlformats.org/officeDocument/2006/relationships/hyperlink" Target="http://www.travelzoo.com/" TargetMode="External"/><Relationship Id="rId42" Type="http://schemas.openxmlformats.org/officeDocument/2006/relationships/hyperlink" Target="http://dariknews.bg/" TargetMode="External"/><Relationship Id="rId41" Type="http://schemas.openxmlformats.org/officeDocument/2006/relationships/hyperlink" Target="http://dalivali.bg/" TargetMode="External"/><Relationship Id="rId44" Type="http://schemas.openxmlformats.org/officeDocument/2006/relationships/hyperlink" Target="http://denik.cz/" TargetMode="External"/><Relationship Id="rId194" Type="http://schemas.openxmlformats.org/officeDocument/2006/relationships/hyperlink" Target="http://youweekly.gr/" TargetMode="External"/><Relationship Id="rId43" Type="http://schemas.openxmlformats.org/officeDocument/2006/relationships/hyperlink" Target="http://delivery.com/" TargetMode="External"/><Relationship Id="rId193" Type="http://schemas.openxmlformats.org/officeDocument/2006/relationships/hyperlink" Target="http://xe.gr/" TargetMode="External"/><Relationship Id="rId46" Type="http://schemas.openxmlformats.org/officeDocument/2006/relationships/hyperlink" Target="http://dir.bg/" TargetMode="External"/><Relationship Id="rId192" Type="http://schemas.openxmlformats.org/officeDocument/2006/relationships/hyperlink" Target="http://www.yidianzixun.com/" TargetMode="External"/><Relationship Id="rId45" Type="http://schemas.openxmlformats.org/officeDocument/2006/relationships/hyperlink" Target="http://derstandard.at/" TargetMode="External"/><Relationship Id="rId191" Type="http://schemas.openxmlformats.org/officeDocument/2006/relationships/hyperlink" Target="http://www.variflight.com/" TargetMode="External"/><Relationship Id="rId48" Type="http://schemas.openxmlformats.org/officeDocument/2006/relationships/hyperlink" Target="http://dnes.bg/" TargetMode="External"/><Relationship Id="rId187" Type="http://schemas.openxmlformats.org/officeDocument/2006/relationships/hyperlink" Target="http://www.qyer.com/" TargetMode="External"/><Relationship Id="rId47" Type="http://schemas.openxmlformats.org/officeDocument/2006/relationships/hyperlink" Target="http://dksolutions.cl/" TargetMode="External"/><Relationship Id="rId186" Type="http://schemas.openxmlformats.org/officeDocument/2006/relationships/hyperlink" Target="http://www.qunar.com/" TargetMode="External"/><Relationship Id="rId185" Type="http://schemas.openxmlformats.org/officeDocument/2006/relationships/hyperlink" Target="http://www.qq.com/" TargetMode="External"/><Relationship Id="rId49" Type="http://schemas.openxmlformats.org/officeDocument/2006/relationships/hyperlink" Target="http://dnes.dir.bg/" TargetMode="External"/><Relationship Id="rId184" Type="http://schemas.openxmlformats.org/officeDocument/2006/relationships/hyperlink" Target="http://www.moji.com/" TargetMode="External"/><Relationship Id="rId189" Type="http://schemas.openxmlformats.org/officeDocument/2006/relationships/hyperlink" Target="http://www.smzdm.com/" TargetMode="External"/><Relationship Id="rId188" Type="http://schemas.openxmlformats.org/officeDocument/2006/relationships/hyperlink" Target="http://www.sina.com.cn/" TargetMode="External"/><Relationship Id="rId31" Type="http://schemas.openxmlformats.org/officeDocument/2006/relationships/hyperlink" Target="http://cedok.cz/" TargetMode="External"/><Relationship Id="rId30" Type="http://schemas.openxmlformats.org/officeDocument/2006/relationships/hyperlink" Target="http://capital.bg/" TargetMode="External"/><Relationship Id="rId33" Type="http://schemas.openxmlformats.org/officeDocument/2006/relationships/hyperlink" Target="http://cestujlevne.com/" TargetMode="External"/><Relationship Id="rId183" Type="http://schemas.openxmlformats.org/officeDocument/2006/relationships/hyperlink" Target="http://www.mmbang.com/" TargetMode="External"/><Relationship Id="rId32" Type="http://schemas.openxmlformats.org/officeDocument/2006/relationships/hyperlink" Target="http://ceneo.pl/" TargetMode="External"/><Relationship Id="rId182" Type="http://schemas.openxmlformats.org/officeDocument/2006/relationships/hyperlink" Target="http://www.meituan.com/" TargetMode="External"/><Relationship Id="rId35" Type="http://schemas.openxmlformats.org/officeDocument/2006/relationships/hyperlink" Target="http://cinema.com.hk/" TargetMode="External"/><Relationship Id="rId181" Type="http://schemas.openxmlformats.org/officeDocument/2006/relationships/hyperlink" Target="http://www.mafengwo.cn/" TargetMode="External"/><Relationship Id="rId34" Type="http://schemas.openxmlformats.org/officeDocument/2006/relationships/hyperlink" Target="http://chocotravel.kz/" TargetMode="External"/><Relationship Id="rId180" Type="http://schemas.openxmlformats.org/officeDocument/2006/relationships/hyperlink" Target="http://www.madhouse.cn/" TargetMode="External"/><Relationship Id="rId37" Type="http://schemas.openxmlformats.org/officeDocument/2006/relationships/hyperlink" Target="http://cnn.com/" TargetMode="External"/><Relationship Id="rId176" Type="http://schemas.openxmlformats.org/officeDocument/2006/relationships/hyperlink" Target="http://www.iclick.cn/" TargetMode="External"/><Relationship Id="rId36" Type="http://schemas.openxmlformats.org/officeDocument/2006/relationships/hyperlink" Target="http://cn.dealmoon.com/" TargetMode="External"/><Relationship Id="rId175" Type="http://schemas.openxmlformats.org/officeDocument/2006/relationships/hyperlink" Target="http://www.flyertea.com/" TargetMode="External"/><Relationship Id="rId39" Type="http://schemas.openxmlformats.org/officeDocument/2006/relationships/hyperlink" Target="http://contra.gr/" TargetMode="External"/><Relationship Id="rId174" Type="http://schemas.openxmlformats.org/officeDocument/2006/relationships/hyperlink" Target="http://www.ctrip.com/" TargetMode="External"/><Relationship Id="rId38" Type="http://schemas.openxmlformats.org/officeDocument/2006/relationships/hyperlink" Target="http://comode.kz/" TargetMode="External"/><Relationship Id="rId173" Type="http://schemas.openxmlformats.org/officeDocument/2006/relationships/hyperlink" Target="http://www.caijing.com.cn/" TargetMode="External"/><Relationship Id="rId179" Type="http://schemas.openxmlformats.org/officeDocument/2006/relationships/hyperlink" Target="http://www.ly.com/" TargetMode="External"/><Relationship Id="rId178" Type="http://schemas.openxmlformats.org/officeDocument/2006/relationships/hyperlink" Target="http://www.le.com/" TargetMode="External"/><Relationship Id="rId177" Type="http://schemas.openxmlformats.org/officeDocument/2006/relationships/hyperlink" Target="http://www.in66.com/" TargetMode="External"/><Relationship Id="rId20" Type="http://schemas.openxmlformats.org/officeDocument/2006/relationships/hyperlink" Target="http://avopolis.gr/" TargetMode="External"/><Relationship Id="rId22" Type="http://schemas.openxmlformats.org/officeDocument/2006/relationships/hyperlink" Target="http://bloomingdales.com/" TargetMode="External"/><Relationship Id="rId21" Type="http://schemas.openxmlformats.org/officeDocument/2006/relationships/hyperlink" Target="http://az-jenata.bg/" TargetMode="External"/><Relationship Id="rId24" Type="http://schemas.openxmlformats.org/officeDocument/2006/relationships/hyperlink" Target="http://bgonair.bg/" TargetMode="External"/><Relationship Id="rId23" Type="http://schemas.openxmlformats.org/officeDocument/2006/relationships/hyperlink" Target="http://booking.com/" TargetMode="External"/><Relationship Id="rId26" Type="http://schemas.openxmlformats.org/officeDocument/2006/relationships/hyperlink" Target="http://btv.bg/" TargetMode="External"/><Relationship Id="rId25" Type="http://schemas.openxmlformats.org/officeDocument/2006/relationships/hyperlink" Target="http://bloombergtv.bg/" TargetMode="External"/><Relationship Id="rId28" Type="http://schemas.openxmlformats.org/officeDocument/2006/relationships/hyperlink" Target="http://btvplus.bg/" TargetMode="External"/><Relationship Id="rId27" Type="http://schemas.openxmlformats.org/officeDocument/2006/relationships/hyperlink" Target="http://btvnovinite.bg/" TargetMode="External"/><Relationship Id="rId29" Type="http://schemas.openxmlformats.org/officeDocument/2006/relationships/hyperlink" Target="http://bunte.de/" TargetMode="External"/><Relationship Id="rId11" Type="http://schemas.openxmlformats.org/officeDocument/2006/relationships/hyperlink" Target="http://all4mama.gr/" TargetMode="External"/><Relationship Id="rId10" Type="http://schemas.openxmlformats.org/officeDocument/2006/relationships/hyperlink" Target="http://aktualne.cz/" TargetMode="External"/><Relationship Id="rId13" Type="http://schemas.openxmlformats.org/officeDocument/2006/relationships/hyperlink" Target="http://as.cl/" TargetMode="External"/><Relationship Id="rId12" Type="http://schemas.openxmlformats.org/officeDocument/2006/relationships/hyperlink" Target="http://alpha.gr/" TargetMode="External"/><Relationship Id="rId15" Type="http://schemas.openxmlformats.org/officeDocument/2006/relationships/hyperlink" Target="http://athinorama.gr/" TargetMode="External"/><Relationship Id="rId198" Type="http://schemas.openxmlformats.org/officeDocument/2006/relationships/drawing" Target="../drawings/drawing7.xml"/><Relationship Id="rId14" Type="http://schemas.openxmlformats.org/officeDocument/2006/relationships/hyperlink" Target="http://askmen.gr/" TargetMode="External"/><Relationship Id="rId197" Type="http://schemas.openxmlformats.org/officeDocument/2006/relationships/hyperlink" Target="http://www.tripadvisor.cn/" TargetMode="External"/><Relationship Id="rId17" Type="http://schemas.openxmlformats.org/officeDocument/2006/relationships/hyperlink" Target="http://aviakassa.kz/" TargetMode="External"/><Relationship Id="rId196" Type="http://schemas.openxmlformats.org/officeDocument/2006/relationships/hyperlink" Target="http://socialcode.com/" TargetMode="External"/><Relationship Id="rId16" Type="http://schemas.openxmlformats.org/officeDocument/2006/relationships/hyperlink" Target="http://aukro.cz/" TargetMode="External"/><Relationship Id="rId195" Type="http://schemas.openxmlformats.org/officeDocument/2006/relationships/hyperlink" Target="http://zbozi.cz/" TargetMode="External"/><Relationship Id="rId19" Type="http://schemas.openxmlformats.org/officeDocument/2006/relationships/hyperlink" Target="http://aviata.kz/" TargetMode="External"/><Relationship Id="rId18" Type="http://schemas.openxmlformats.org/officeDocument/2006/relationships/hyperlink" Target="http://aviasales.kz/" TargetMode="External"/><Relationship Id="rId84" Type="http://schemas.openxmlformats.org/officeDocument/2006/relationships/hyperlink" Target="http://insider.gr/" TargetMode="External"/><Relationship Id="rId83" Type="http://schemas.openxmlformats.org/officeDocument/2006/relationships/hyperlink" Target="http://imx.co.id/" TargetMode="External"/><Relationship Id="rId86" Type="http://schemas.openxmlformats.org/officeDocument/2006/relationships/hyperlink" Target="http://invia.cz/" TargetMode="External"/><Relationship Id="rId85" Type="http://schemas.openxmlformats.org/officeDocument/2006/relationships/hyperlink" Target="http://investor.bg/" TargetMode="External"/><Relationship Id="rId88" Type="http://schemas.openxmlformats.org/officeDocument/2006/relationships/hyperlink" Target="http://jakdojade.pl/" TargetMode="External"/><Relationship Id="rId150" Type="http://schemas.openxmlformats.org/officeDocument/2006/relationships/hyperlink" Target="http://spot.ph/" TargetMode="External"/><Relationship Id="rId87" Type="http://schemas.openxmlformats.org/officeDocument/2006/relationships/hyperlink" Target="http://iprima.cz/" TargetMode="External"/><Relationship Id="rId89" Type="http://schemas.openxmlformats.org/officeDocument/2006/relationships/hyperlink" Target="http://jobs.bg/" TargetMode="External"/><Relationship Id="rId80" Type="http://schemas.openxmlformats.org/officeDocument/2006/relationships/hyperlink" Target="http://idnes.cz/" TargetMode="External"/><Relationship Id="rId82" Type="http://schemas.openxmlformats.org/officeDocument/2006/relationships/hyperlink" Target="http://ingresso.com/" TargetMode="External"/><Relationship Id="rId81" Type="http://schemas.openxmlformats.org/officeDocument/2006/relationships/hyperlink" Target="http://ihned.cz/" TargetMode="External"/><Relationship Id="rId1" Type="http://schemas.openxmlformats.org/officeDocument/2006/relationships/hyperlink" Target="http://24chasa.bg/" TargetMode="External"/><Relationship Id="rId2" Type="http://schemas.openxmlformats.org/officeDocument/2006/relationships/hyperlink" Target="http://abv.bg/" TargetMode="External"/><Relationship Id="rId3" Type="http://schemas.openxmlformats.org/officeDocument/2006/relationships/hyperlink" Target="http://actualno.com/" TargetMode="External"/><Relationship Id="rId149" Type="http://schemas.openxmlformats.org/officeDocument/2006/relationships/hyperlink" Target="http://sportime.gr/" TargetMode="External"/><Relationship Id="rId4" Type="http://schemas.openxmlformats.org/officeDocument/2006/relationships/hyperlink" Target="http://active.com/" TargetMode="External"/><Relationship Id="rId148" Type="http://schemas.openxmlformats.org/officeDocument/2006/relationships/hyperlink" Target="http://sportal.bg/" TargetMode="External"/><Relationship Id="rId9" Type="http://schemas.openxmlformats.org/officeDocument/2006/relationships/hyperlink" Target="http://akcniceny.cz/" TargetMode="External"/><Relationship Id="rId143" Type="http://schemas.openxmlformats.org/officeDocument/2006/relationships/hyperlink" Target="http://sky.com/" TargetMode="External"/><Relationship Id="rId142" Type="http://schemas.openxmlformats.org/officeDocument/2006/relationships/hyperlink" Target="http://skai.gr/" TargetMode="External"/><Relationship Id="rId141" Type="http://schemas.openxmlformats.org/officeDocument/2006/relationships/hyperlink" Target="http://sinoptik.bg/" TargetMode="External"/><Relationship Id="rId140" Type="http://schemas.openxmlformats.org/officeDocument/2006/relationships/hyperlink" Target="http://sdna.gr/" TargetMode="External"/><Relationship Id="rId5" Type="http://schemas.openxmlformats.org/officeDocument/2006/relationships/hyperlink" Target="http://admicro.vn/" TargetMode="External"/><Relationship Id="rId147" Type="http://schemas.openxmlformats.org/officeDocument/2006/relationships/hyperlink" Target="http://sport24.gr/" TargetMode="External"/><Relationship Id="rId6" Type="http://schemas.openxmlformats.org/officeDocument/2006/relationships/hyperlink" Target="http://visa.com/" TargetMode="External"/><Relationship Id="rId146" Type="http://schemas.openxmlformats.org/officeDocument/2006/relationships/hyperlink" Target="http://sport.pl/" TargetMode="External"/><Relationship Id="rId7" Type="http://schemas.openxmlformats.org/officeDocument/2006/relationships/hyperlink" Target="http://adtima.vn/" TargetMode="External"/><Relationship Id="rId145" Type="http://schemas.openxmlformats.org/officeDocument/2006/relationships/hyperlink" Target="http://sopitas.com/" TargetMode="External"/><Relationship Id="rId8" Type="http://schemas.openxmlformats.org/officeDocument/2006/relationships/hyperlink" Target="http://amazon.com/" TargetMode="External"/><Relationship Id="rId144" Type="http://schemas.openxmlformats.org/officeDocument/2006/relationships/hyperlink" Target="http://sme.sk/" TargetMode="External"/><Relationship Id="rId73" Type="http://schemas.openxmlformats.org/officeDocument/2006/relationships/hyperlink" Target="http://hledejceny.cz/" TargetMode="External"/><Relationship Id="rId72" Type="http://schemas.openxmlformats.org/officeDocument/2006/relationships/hyperlink" Target="http://hket.com/" TargetMode="External"/><Relationship Id="rId75" Type="http://schemas.openxmlformats.org/officeDocument/2006/relationships/hyperlink" Target="http://hutrum.pl/" TargetMode="External"/><Relationship Id="rId74" Type="http://schemas.openxmlformats.org/officeDocument/2006/relationships/hyperlink" Target="http://hotels.com/" TargetMode="External"/><Relationship Id="rId77" Type="http://schemas.openxmlformats.org/officeDocument/2006/relationships/hyperlink" Target="http://iherb.com/" TargetMode="External"/><Relationship Id="rId76" Type="http://schemas.openxmlformats.org/officeDocument/2006/relationships/hyperlink" Target="http://hyperinzerce.cz/" TargetMode="External"/><Relationship Id="rId79" Type="http://schemas.openxmlformats.org/officeDocument/2006/relationships/hyperlink" Target="http://iconiq.cz/" TargetMode="External"/><Relationship Id="rId78" Type="http://schemas.openxmlformats.org/officeDocument/2006/relationships/hyperlink" Target="http://hyperzbozi.cz/" TargetMode="External"/><Relationship Id="rId71" Type="http://schemas.openxmlformats.org/officeDocument/2006/relationships/hyperlink" Target="http://hotels.com/" TargetMode="External"/><Relationship Id="rId70" Type="http://schemas.openxmlformats.org/officeDocument/2006/relationships/hyperlink" Target="http://heureka.cz/" TargetMode="External"/><Relationship Id="rId139" Type="http://schemas.openxmlformats.org/officeDocument/2006/relationships/hyperlink" Target="http://sbazar.cz/" TargetMode="External"/><Relationship Id="rId138" Type="http://schemas.openxmlformats.org/officeDocument/2006/relationships/hyperlink" Target="http://trolley.ae/" TargetMode="External"/><Relationship Id="rId137" Type="http://schemas.openxmlformats.org/officeDocument/2006/relationships/hyperlink" Target="http://says.com/" TargetMode="External"/><Relationship Id="rId132" Type="http://schemas.openxmlformats.org/officeDocument/2006/relationships/hyperlink" Target="http://playfm.cl/" TargetMode="External"/><Relationship Id="rId131" Type="http://schemas.openxmlformats.org/officeDocument/2006/relationships/hyperlink" Target="http://play.novatv.bg/" TargetMode="External"/><Relationship Id="rId130" Type="http://schemas.openxmlformats.org/officeDocument/2006/relationships/hyperlink" Target="http://penize.cz/" TargetMode="External"/><Relationship Id="rId136" Type="http://schemas.openxmlformats.org/officeDocument/2006/relationships/hyperlink" Target="http://saboresenlinea.com/" TargetMode="External"/><Relationship Id="rId135" Type="http://schemas.openxmlformats.org/officeDocument/2006/relationships/hyperlink" Target="http://rutube.ru/" TargetMode="External"/><Relationship Id="rId134" Type="http://schemas.openxmlformats.org/officeDocument/2006/relationships/hyperlink" Target="http://ratpack.gr/" TargetMode="External"/><Relationship Id="rId133" Type="http://schemas.openxmlformats.org/officeDocument/2006/relationships/hyperlink" Target="http://profit.bg/" TargetMode="External"/><Relationship Id="rId62" Type="http://schemas.openxmlformats.org/officeDocument/2006/relationships/hyperlink" Target="http://flyagain.la/" TargetMode="External"/><Relationship Id="rId61" Type="http://schemas.openxmlformats.org/officeDocument/2006/relationships/hyperlink" Target="http://finanace.cz/" TargetMode="External"/><Relationship Id="rId64" Type="http://schemas.openxmlformats.org/officeDocument/2006/relationships/hyperlink" Target="http://godaddy.com/" TargetMode="External"/><Relationship Id="rId63" Type="http://schemas.openxmlformats.org/officeDocument/2006/relationships/hyperlink" Target="http://flyday.hk/" TargetMode="External"/><Relationship Id="rId66" Type="http://schemas.openxmlformats.org/officeDocument/2006/relationships/hyperlink" Target="http://gismeteo.kz/" TargetMode="External"/><Relationship Id="rId172" Type="http://schemas.openxmlformats.org/officeDocument/2006/relationships/hyperlink" Target="http://www.adreach.com.cn/" TargetMode="External"/><Relationship Id="rId65" Type="http://schemas.openxmlformats.org/officeDocument/2006/relationships/hyperlink" Target="http://gazeta.pl/" TargetMode="External"/><Relationship Id="rId171" Type="http://schemas.openxmlformats.org/officeDocument/2006/relationships/hyperlink" Target="http://www.163.com/" TargetMode="External"/><Relationship Id="rId68" Type="http://schemas.openxmlformats.org/officeDocument/2006/relationships/hyperlink" Target="http://gq-magazin.de/" TargetMode="External"/><Relationship Id="rId170" Type="http://schemas.openxmlformats.org/officeDocument/2006/relationships/hyperlink" Target="http://woman.bg/" TargetMode="External"/><Relationship Id="rId67" Type="http://schemas.openxmlformats.org/officeDocument/2006/relationships/hyperlink" Target="http://gong.bg/" TargetMode="External"/><Relationship Id="rId60" Type="http://schemas.openxmlformats.org/officeDocument/2006/relationships/hyperlink" Target="http://expert.bg/" TargetMode="External"/><Relationship Id="rId165" Type="http://schemas.openxmlformats.org/officeDocument/2006/relationships/hyperlink" Target="http://vesti.bg/" TargetMode="External"/><Relationship Id="rId69" Type="http://schemas.openxmlformats.org/officeDocument/2006/relationships/hyperlink" Target="http://guatemala.com/" TargetMode="External"/><Relationship Id="rId164" Type="http://schemas.openxmlformats.org/officeDocument/2006/relationships/hyperlink" Target="http://uschovna.cz/" TargetMode="External"/><Relationship Id="rId163" Type="http://schemas.openxmlformats.org/officeDocument/2006/relationships/hyperlink" Target="http://unwire.hk/" TargetMode="External"/><Relationship Id="rId162" Type="http://schemas.openxmlformats.org/officeDocument/2006/relationships/hyperlink" Target="http://travelator.ro/" TargetMode="External"/><Relationship Id="rId169" Type="http://schemas.openxmlformats.org/officeDocument/2006/relationships/hyperlink" Target="http://weixin.qq.com/" TargetMode="External"/><Relationship Id="rId168" Type="http://schemas.openxmlformats.org/officeDocument/2006/relationships/hyperlink" Target="http://webcafe.bg/" TargetMode="External"/><Relationship Id="rId167" Type="http://schemas.openxmlformats.org/officeDocument/2006/relationships/hyperlink" Target="http://vlast.kz/" TargetMode="External"/><Relationship Id="rId166" Type="http://schemas.openxmlformats.org/officeDocument/2006/relationships/hyperlink" Target="http://visa.com/" TargetMode="External"/><Relationship Id="rId51" Type="http://schemas.openxmlformats.org/officeDocument/2006/relationships/hyperlink" Target="http://dogry.pl/" TargetMode="External"/><Relationship Id="rId50" Type="http://schemas.openxmlformats.org/officeDocument/2006/relationships/hyperlink" Target="http://dnevnik.bg/" TargetMode="External"/><Relationship Id="rId53" Type="http://schemas.openxmlformats.org/officeDocument/2006/relationships/hyperlink" Target="http://econ.bg/" TargetMode="External"/><Relationship Id="rId52" Type="http://schemas.openxmlformats.org/officeDocument/2006/relationships/hyperlink" Target="http://e15.cz/" TargetMode="External"/><Relationship Id="rId55" Type="http://schemas.openxmlformats.org/officeDocument/2006/relationships/hyperlink" Target="http://edna.bg/" TargetMode="External"/><Relationship Id="rId161" Type="http://schemas.openxmlformats.org/officeDocument/2006/relationships/hyperlink" Target="http://toutiao.com/" TargetMode="External"/><Relationship Id="rId54" Type="http://schemas.openxmlformats.org/officeDocument/2006/relationships/hyperlink" Target="http://economia.cz/" TargetMode="External"/><Relationship Id="rId160" Type="http://schemas.openxmlformats.org/officeDocument/2006/relationships/hyperlink" Target="http://today.com/" TargetMode="External"/><Relationship Id="rId57" Type="http://schemas.openxmlformats.org/officeDocument/2006/relationships/hyperlink" Target="http://enter.co/" TargetMode="External"/><Relationship Id="rId56" Type="http://schemas.openxmlformats.org/officeDocument/2006/relationships/hyperlink" Target="http://elenitsolaki.gr/" TargetMode="External"/><Relationship Id="rId159" Type="http://schemas.openxmlformats.org/officeDocument/2006/relationships/hyperlink" Target="http://tengrinews.kz/" TargetMode="External"/><Relationship Id="rId59" Type="http://schemas.openxmlformats.org/officeDocument/2006/relationships/hyperlink" Target="http://expedia.com/" TargetMode="External"/><Relationship Id="rId154" Type="http://schemas.openxmlformats.org/officeDocument/2006/relationships/hyperlink" Target="http://straitstimes.com/" TargetMode="External"/><Relationship Id="rId58" Type="http://schemas.openxmlformats.org/officeDocument/2006/relationships/hyperlink" Target="http://estrategia.cl/" TargetMode="External"/><Relationship Id="rId153" Type="http://schemas.openxmlformats.org/officeDocument/2006/relationships/hyperlink" Target="http://walmart.com/" TargetMode="External"/><Relationship Id="rId152" Type="http://schemas.openxmlformats.org/officeDocument/2006/relationships/hyperlink" Target="http://star.gr/" TargetMode="External"/><Relationship Id="rId151" Type="http://schemas.openxmlformats.org/officeDocument/2006/relationships/hyperlink" Target="http://sprzedajemy.pl/" TargetMode="External"/><Relationship Id="rId158" Type="http://schemas.openxmlformats.org/officeDocument/2006/relationships/hyperlink" Target="http://wotif.com/" TargetMode="External"/><Relationship Id="rId157" Type="http://schemas.openxmlformats.org/officeDocument/2006/relationships/hyperlink" Target="http://superdad.gr/" TargetMode="External"/><Relationship Id="rId156" Type="http://schemas.openxmlformats.org/officeDocument/2006/relationships/hyperlink" Target="http://stuff.co.nz/" TargetMode="External"/><Relationship Id="rId155" Type="http://schemas.openxmlformats.org/officeDocument/2006/relationships/hyperlink" Target="http://well.ca/" TargetMode="External"/><Relationship Id="rId107" Type="http://schemas.openxmlformats.org/officeDocument/2006/relationships/hyperlink" Target="http://mammyland.gr/" TargetMode="External"/><Relationship Id="rId106" Type="http://schemas.openxmlformats.org/officeDocument/2006/relationships/hyperlink" Target="http://mamamia.bg/" TargetMode="External"/><Relationship Id="rId105" Type="http://schemas.openxmlformats.org/officeDocument/2006/relationships/hyperlink" Target="http://mail.ru/" TargetMode="External"/><Relationship Id="rId104" Type="http://schemas.openxmlformats.org/officeDocument/2006/relationships/hyperlink" Target="http://mail.bg/" TargetMode="External"/><Relationship Id="rId109" Type="http://schemas.openxmlformats.org/officeDocument/2006/relationships/hyperlink" Target="http://match.com/" TargetMode="External"/><Relationship Id="rId108" Type="http://schemas.openxmlformats.org/officeDocument/2006/relationships/hyperlink" Target="http://mariailiaki.gr/" TargetMode="External"/><Relationship Id="rId103" Type="http://schemas.openxmlformats.org/officeDocument/2006/relationships/hyperlink" Target="http://m.vesti.bg/" TargetMode="External"/><Relationship Id="rId102" Type="http://schemas.openxmlformats.org/officeDocument/2006/relationships/hyperlink" Target="http://m.sinoptik.bg/" TargetMode="External"/><Relationship Id="rId101" Type="http://schemas.openxmlformats.org/officeDocument/2006/relationships/hyperlink" Target="http://m.novini.bg/" TargetMode="External"/><Relationship Id="rId100" Type="http://schemas.openxmlformats.org/officeDocument/2006/relationships/hyperlink" Target="http://m.mail.ru/" TargetMode="External"/><Relationship Id="rId129" Type="http://schemas.openxmlformats.org/officeDocument/2006/relationships/hyperlink" Target="http://pariteni.bg/" TargetMode="External"/><Relationship Id="rId128" Type="http://schemas.openxmlformats.org/officeDocument/2006/relationships/hyperlink" Target="http://parentbook.gr/" TargetMode="External"/><Relationship Id="rId127" Type="http://schemas.openxmlformats.org/officeDocument/2006/relationships/hyperlink" Target="http://paidorama.com/" TargetMode="External"/><Relationship Id="rId126" Type="http://schemas.openxmlformats.org/officeDocument/2006/relationships/hyperlink" Target="http://oneman.gr/" TargetMode="External"/><Relationship Id="rId121" Type="http://schemas.openxmlformats.org/officeDocument/2006/relationships/hyperlink" Target="http://novinky.cz/" TargetMode="External"/><Relationship Id="rId120" Type="http://schemas.openxmlformats.org/officeDocument/2006/relationships/hyperlink" Target="http://novini.bg/" TargetMode="External"/><Relationship Id="rId125" Type="http://schemas.openxmlformats.org/officeDocument/2006/relationships/hyperlink" Target="http://onead.com.tw/" TargetMode="External"/><Relationship Id="rId124" Type="http://schemas.openxmlformats.org/officeDocument/2006/relationships/hyperlink" Target="http://on.cc/" TargetMode="External"/><Relationship Id="rId123" Type="http://schemas.openxmlformats.org/officeDocument/2006/relationships/hyperlink" Target="http://okazje.info/" TargetMode="External"/><Relationship Id="rId122" Type="http://schemas.openxmlformats.org/officeDocument/2006/relationships/hyperlink" Target="http://nur.kz/" TargetMode="External"/><Relationship Id="rId95" Type="http://schemas.openxmlformats.org/officeDocument/2006/relationships/hyperlink" Target="http://lideazeme.cz/" TargetMode="External"/><Relationship Id="rId94" Type="http://schemas.openxmlformats.org/officeDocument/2006/relationships/hyperlink" Target="http://letuska.cz/" TargetMode="External"/><Relationship Id="rId97" Type="http://schemas.openxmlformats.org/officeDocument/2006/relationships/hyperlink" Target="http://lifestyle.bg/" TargetMode="External"/><Relationship Id="rId96" Type="http://schemas.openxmlformats.org/officeDocument/2006/relationships/hyperlink" Target="http://match.com/" TargetMode="External"/><Relationship Id="rId99" Type="http://schemas.openxmlformats.org/officeDocument/2006/relationships/hyperlink" Target="http://live24.gr/" TargetMode="External"/><Relationship Id="rId98" Type="http://schemas.openxmlformats.org/officeDocument/2006/relationships/hyperlink" Target="http://liquidgeneration.com/" TargetMode="External"/><Relationship Id="rId91" Type="http://schemas.openxmlformats.org/officeDocument/2006/relationships/hyperlink" Target="http://kompasslev.cz/" TargetMode="External"/><Relationship Id="rId90" Type="http://schemas.openxmlformats.org/officeDocument/2006/relationships/hyperlink" Target="http://kolesa.kz/" TargetMode="External"/><Relationship Id="rId93" Type="http://schemas.openxmlformats.org/officeDocument/2006/relationships/hyperlink" Target="http://ladyzone.bg/" TargetMode="External"/><Relationship Id="rId92" Type="http://schemas.openxmlformats.org/officeDocument/2006/relationships/hyperlink" Target="http://kupi.cz/" TargetMode="External"/><Relationship Id="rId118" Type="http://schemas.openxmlformats.org/officeDocument/2006/relationships/hyperlink" Target="http://qunar.com/" TargetMode="External"/><Relationship Id="rId117" Type="http://schemas.openxmlformats.org/officeDocument/2006/relationships/hyperlink" Target="http://multimediosglp.cl/" TargetMode="External"/><Relationship Id="rId116" Type="http://schemas.openxmlformats.org/officeDocument/2006/relationships/hyperlink" Target="http://movilzona.es/" TargetMode="External"/><Relationship Id="rId115" Type="http://schemas.openxmlformats.org/officeDocument/2006/relationships/hyperlink" Target="http://money.bg/" TargetMode="External"/><Relationship Id="rId119" Type="http://schemas.openxmlformats.org/officeDocument/2006/relationships/hyperlink" Target="http://news.bg/" TargetMode="External"/><Relationship Id="rId110" Type="http://schemas.openxmlformats.org/officeDocument/2006/relationships/hyperlink" Target="http://meethk.com/" TargetMode="External"/><Relationship Id="rId114" Type="http://schemas.openxmlformats.org/officeDocument/2006/relationships/hyperlink" Target="http://moitepari.bg/" TargetMode="External"/><Relationship Id="rId113" Type="http://schemas.openxmlformats.org/officeDocument/2006/relationships/hyperlink" Target="http://men.bg/" TargetMode="External"/><Relationship Id="rId112" Type="http://schemas.openxmlformats.org/officeDocument/2006/relationships/hyperlink" Target="http://megogo.ru/" TargetMode="External"/><Relationship Id="rId111" Type="http://schemas.openxmlformats.org/officeDocument/2006/relationships/hyperlink" Target="http://mega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8.0"/>
    <col customWidth="1" min="3" max="3" width="37.57"/>
    <col customWidth="1" min="4" max="4" width="21.43"/>
    <col customWidth="1" min="5" max="7" width="14.43"/>
    <col customWidth="1" min="9" max="9" width="26.29"/>
    <col customWidth="1" min="11" max="11" width="20.14"/>
    <col customWidth="1" min="13" max="13" width="209.57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5" t="s">
        <v>1</v>
      </c>
      <c r="J1" s="3"/>
      <c r="K1" s="3"/>
      <c r="L1" s="4"/>
      <c r="M1" s="6" t="s">
        <v>2</v>
      </c>
    </row>
    <row r="2" ht="15.75" customHeight="1">
      <c r="A2" s="7" t="s">
        <v>3</v>
      </c>
      <c r="B2" s="8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10" t="s">
        <v>9</v>
      </c>
      <c r="H2" s="11" t="s">
        <v>10</v>
      </c>
      <c r="I2" s="12" t="s">
        <v>11</v>
      </c>
      <c r="J2" s="12" t="s">
        <v>12</v>
      </c>
      <c r="K2" s="12" t="s">
        <v>13</v>
      </c>
      <c r="L2" s="12" t="s">
        <v>14</v>
      </c>
    </row>
    <row r="3" ht="15.75" customHeight="1">
      <c r="A3" s="13"/>
      <c r="B3" s="14" t="s">
        <v>15</v>
      </c>
      <c r="C3" s="14" t="s">
        <v>16</v>
      </c>
      <c r="D3" s="14" t="s">
        <v>17</v>
      </c>
      <c r="E3" s="14" t="s">
        <v>18</v>
      </c>
      <c r="F3" s="15">
        <v>5.02000446E9</v>
      </c>
      <c r="G3" s="14" t="s">
        <v>19</v>
      </c>
      <c r="H3" s="14" t="s">
        <v>20</v>
      </c>
      <c r="I3" s="14" t="s">
        <v>21</v>
      </c>
      <c r="J3" s="14"/>
      <c r="K3" s="13"/>
      <c r="L3" s="13"/>
      <c r="M3" s="13" t="str">
        <f>CONCATENATE("MK|",(VLOOKUP(B3,Dictionary!$A:$B,2,FALSE)),"_CN|",SUBSTITUTE(SUBSTITUTE(IF(C3="","NONE",C3),"_","-"),"|","-"),"_MN|",(VLOOKUP(D3,Dictionary!$D:$E,2,0)),"_YQ|",(VLOOKUP(E3,Dictionary!$AR:$AR,1,0)),"_CP|",SUBSTITUTE(SUBSTITUTE(IF(F3="","NONE",F3),"_","-"),"|","-"),"_SP|",(VLOOKUP(G3,Dictionary!$AY:$AZ,2,0)),"_AC|",(VLOOKUP(H3,Dictionary!$BA:$BB,2,0)),IF(I3="","",CONCATENATE("_OB|",(VLOOKUP(I3,Dictionary!$AS:$AT,2,0)))),IF(J3="","",CONCATENATE("_U1|",SUBSTITUTE(SUBSTITUTE(J3,"_","-"),"|","-"))),IF(K3="","",CONCATENATE("_U2|",SUBSTITUTE(SUBSTITUTE(K3,"_","-"),"|","-"))),IF(L3="","",CONCATENATE("_U3|",SUBSTITUTE(SUBSTITUTE(L3,"_","-"),"|","-"))))</f>
        <v>MK|BR_CN|DOTZ_MN|NONE_YQ|20Q1_CP|5020004460_SP|NA_AC|CMKT_OB|CON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5.75" customHeight="1">
      <c r="A4" s="13"/>
      <c r="B4" s="14" t="s">
        <v>15</v>
      </c>
      <c r="C4" s="14" t="s">
        <v>16</v>
      </c>
      <c r="D4" s="14" t="s">
        <v>17</v>
      </c>
      <c r="E4" s="14" t="s">
        <v>22</v>
      </c>
      <c r="F4" s="15">
        <v>5.02000446E9</v>
      </c>
      <c r="G4" s="14" t="s">
        <v>19</v>
      </c>
      <c r="H4" s="14" t="s">
        <v>20</v>
      </c>
      <c r="I4" s="14"/>
      <c r="J4" s="14"/>
      <c r="K4" s="13"/>
      <c r="L4" s="13"/>
      <c r="M4" s="13" t="str">
        <f>CONCATENATE("MK|",(VLOOKUP(B4,Dictionary!$A:$B,2,FALSE)),"_CN|",SUBSTITUTE(SUBSTITUTE(IF(C4="","NONE",C4),"_","-"),"|","-"),"_MN|",(VLOOKUP(D4,Dictionary!$D:$E,2,0)),"_YQ|",(VLOOKUP(E4,Dictionary!$AR:$AR,1,0)),"_CP|",SUBSTITUTE(SUBSTITUTE(IF(F4="","NONE",F4),"_","-"),"|","-"),"_SP|",(VLOOKUP(G4,Dictionary!$AY:$AZ,2,0)),"_AC|",(VLOOKUP(H4,Dictionary!$BA:$BB,2,0)),IF(I4="","",CONCATENATE("_OB|",(VLOOKUP(I4,Dictionary!$AS:$AT,2,0)))),IF(J4="","",CONCATENATE("_U1|",SUBSTITUTE(SUBSTITUTE(J4,"_","-"),"|","-"))),IF(K4="","",CONCATENATE("_U2|",SUBSTITUTE(SUBSTITUTE(K4,"_","-"),"|","-"))),IF(L4="","",CONCATENATE("_U3|",SUBSTITUTE(SUBSTITUTE(L4,"_","-"),"|","-"))))</f>
        <v>MK|BR_CN|DOTZ_MN|NONE_YQ|20Q1Q4_CP|5020004460_SP|NA_AC|CMKT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15.75" customHeight="1">
      <c r="A5" s="13"/>
      <c r="B5" s="14" t="s">
        <v>15</v>
      </c>
      <c r="C5" s="14" t="s">
        <v>16</v>
      </c>
      <c r="D5" s="14" t="s">
        <v>17</v>
      </c>
      <c r="E5" s="14" t="s">
        <v>23</v>
      </c>
      <c r="F5" s="15">
        <v>5.02000446E9</v>
      </c>
      <c r="G5" s="14" t="s">
        <v>19</v>
      </c>
      <c r="H5" s="14" t="s">
        <v>20</v>
      </c>
      <c r="I5" s="14" t="s">
        <v>24</v>
      </c>
      <c r="J5" s="14"/>
      <c r="K5" s="13"/>
      <c r="L5" s="13"/>
      <c r="M5" s="13" t="str">
        <f>CONCATENATE("MK|",(VLOOKUP(B5,Dictionary!$A:$B,2,FALSE)),"_CN|",SUBSTITUTE(SUBSTITUTE(IF(C5="","NONE",C5),"_","-"),"|","-"),"_MN|",(VLOOKUP(D5,Dictionary!$D:$E,2,0)),"_YQ|",(VLOOKUP(E5,Dictionary!$AR:$AR,1,0)),"_CP|",SUBSTITUTE(SUBSTITUTE(IF(F5="","NONE",F5),"_","-"),"|","-"),"_SP|",(VLOOKUP(G5,Dictionary!$AY:$AZ,2,0)),"_AC|",(VLOOKUP(H5,Dictionary!$BA:$BB,2,0)),IF(I5="","",CONCATENATE("_OB|",(VLOOKUP(I5,Dictionary!$AS:$AT,2,0)))),IF(J5="","",CONCATENATE("_U1|",SUBSTITUTE(SUBSTITUTE(J5,"_","-"),"|","-"))),IF(K5="","",CONCATENATE("_U2|",SUBSTITUTE(SUBSTITUTE(K5,"_","-"),"|","-"))),IF(L5="","",CONCATENATE("_U3|",SUBSTITUTE(SUBSTITUTE(L5,"_","-"),"|","-"))))</f>
        <v>MK|BR_CN|DOTZ_MN|NONE_YQ|20Q2Q4_CP|5020004460_SP|NA_AC|CMKT_OB|ACQ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15.75" customHeight="1">
      <c r="A6" s="13"/>
      <c r="B6" s="14" t="s">
        <v>15</v>
      </c>
      <c r="C6" s="14" t="s">
        <v>25</v>
      </c>
      <c r="D6" s="14" t="s">
        <v>17</v>
      </c>
      <c r="E6" s="14" t="s">
        <v>26</v>
      </c>
      <c r="F6" s="17" t="s">
        <v>27</v>
      </c>
      <c r="G6" s="14" t="s">
        <v>19</v>
      </c>
      <c r="H6" s="14" t="s">
        <v>28</v>
      </c>
      <c r="I6" s="14" t="s">
        <v>24</v>
      </c>
      <c r="J6" s="13"/>
      <c r="K6" s="13"/>
      <c r="L6" s="13"/>
      <c r="M6" s="13" t="str">
        <f>CONCATENATE("MK|",(VLOOKUP(B6,Dictionary!$A:$B,2,FALSE)),"_CN|",SUBSTITUTE(SUBSTITUTE(IF(C6="","NONE",C6),"_","-"),"|","-"),"_MN|",(VLOOKUP(D6,Dictionary!$D:$E,2,0)),"_YQ|",(VLOOKUP(E6,Dictionary!$AR:$AR,1,0)),"_CP|",SUBSTITUTE(SUBSTITUTE(IF(F6="","NONE",F6),"_","-"),"|","-"),"_SP|",(VLOOKUP(G6,Dictionary!$AY:$AZ,2,0)),"_AC|",(VLOOKUP(H6,Dictionary!$BA:$BB,2,0)),IF(I6="","",CONCATENATE("_OB|",(VLOOKUP(I6,Dictionary!$AS:$AT,2,0)))),IF(J6="","",CONCATENATE("_U1|",SUBSTITUTE(SUBSTITUTE(J6,"_","-"),"|","-"))),IF(K6="","",CONCATENATE("_U2|",SUBSTITUTE(SUBSTITUTE(K6,"_","-"),"|","-"))),IF(L6="","",CONCATENATE("_U3|",SUBSTITUTE(SUBSTITUTE(L6,"_","-"),"|","-"))))</f>
        <v>MK|BR_CN|FWWC_MN|NONE_YQ|19Q1Q4_CP|NONE_SP|NA_AC|CC_OB|ACQ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15.75" customHeight="1">
      <c r="A7" s="13"/>
      <c r="B7" s="14"/>
      <c r="C7" s="14"/>
      <c r="D7" s="14"/>
      <c r="E7" s="14"/>
      <c r="F7" s="18"/>
      <c r="G7" s="14"/>
      <c r="H7" s="14"/>
      <c r="I7" s="14"/>
      <c r="J7" s="14"/>
      <c r="K7" s="13"/>
      <c r="L7" s="13"/>
      <c r="M7" s="13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15.75" customHeight="1">
      <c r="A8" s="13"/>
      <c r="B8" s="14"/>
      <c r="C8" s="14"/>
      <c r="D8" s="14"/>
      <c r="E8" s="14"/>
      <c r="F8" s="18"/>
      <c r="G8" s="14"/>
      <c r="H8" s="14"/>
      <c r="I8" s="14"/>
      <c r="J8" s="14"/>
      <c r="K8" s="13"/>
      <c r="L8" s="13"/>
      <c r="M8" s="13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15.75" customHeight="1">
      <c r="A9" s="13"/>
      <c r="B9" s="14"/>
      <c r="C9" s="14"/>
      <c r="D9" s="14"/>
      <c r="E9" s="14"/>
      <c r="F9" s="17"/>
      <c r="G9" s="14"/>
      <c r="H9" s="14"/>
      <c r="I9" s="14"/>
      <c r="J9" s="14"/>
      <c r="K9" s="13"/>
      <c r="L9" s="13"/>
      <c r="M9" s="13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15.75" customHeight="1">
      <c r="A10" s="13"/>
      <c r="B10" s="14"/>
      <c r="C10" s="14"/>
      <c r="D10" s="14"/>
      <c r="E10" s="14"/>
      <c r="F10" s="18"/>
      <c r="G10" s="14"/>
      <c r="H10" s="14"/>
      <c r="I10" s="14"/>
      <c r="J10" s="14"/>
      <c r="L10" s="14"/>
      <c r="M10" s="13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15.75" customHeight="1">
      <c r="A11" s="13"/>
      <c r="B11" s="14"/>
      <c r="C11" s="14"/>
      <c r="D11" s="14"/>
      <c r="E11" s="14"/>
      <c r="F11" s="18"/>
      <c r="G11" s="14"/>
      <c r="H11" s="14"/>
      <c r="I11" s="14"/>
      <c r="J11" s="14"/>
      <c r="K11" s="14"/>
      <c r="L11" s="14"/>
      <c r="M11" s="13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5.75" customHeight="1">
      <c r="A12" s="13"/>
      <c r="B12" s="14"/>
      <c r="C12" s="14"/>
      <c r="D12" s="14"/>
      <c r="E12" s="14"/>
      <c r="F12" s="18"/>
      <c r="G12" s="14"/>
      <c r="H12" s="14"/>
      <c r="I12" s="14"/>
      <c r="J12" s="14"/>
      <c r="K12" s="13"/>
      <c r="L12" s="13"/>
      <c r="M12" s="13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15.75" customHeight="1">
      <c r="A13" s="13"/>
      <c r="B13" s="13"/>
      <c r="C13" s="13"/>
      <c r="D13" s="13"/>
      <c r="E13" s="13"/>
      <c r="F13" s="19"/>
      <c r="G13" s="13"/>
      <c r="H13" s="13"/>
      <c r="I13" s="13"/>
      <c r="J13" s="13"/>
      <c r="K13" s="13"/>
      <c r="L13" s="13"/>
      <c r="M13" s="13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15.75" customHeight="1">
      <c r="A14" s="13"/>
      <c r="B14" s="14"/>
      <c r="C14" s="14"/>
      <c r="D14" s="14"/>
      <c r="E14" s="14"/>
      <c r="F14" s="18"/>
      <c r="G14" s="14"/>
      <c r="H14" s="14"/>
      <c r="I14" s="14"/>
      <c r="J14" s="13"/>
      <c r="K14" s="13"/>
      <c r="L14" s="13"/>
      <c r="M14" s="13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ht="15.75" customHeight="1">
      <c r="A15" s="13"/>
      <c r="B15" s="14"/>
      <c r="C15" s="14"/>
      <c r="D15" s="14"/>
      <c r="E15" s="14"/>
      <c r="F15" s="18"/>
      <c r="G15" s="14"/>
      <c r="H15" s="14"/>
      <c r="I15" s="14"/>
      <c r="J15" s="13"/>
      <c r="K15" s="13"/>
      <c r="L15" s="13"/>
      <c r="M15" s="13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ht="15.75" customHeight="1">
      <c r="A16" s="13"/>
      <c r="B16" s="14"/>
      <c r="C16" s="14"/>
      <c r="D16" s="14"/>
      <c r="E16" s="14"/>
      <c r="F16" s="18"/>
      <c r="G16" s="14"/>
      <c r="H16" s="14"/>
      <c r="I16" s="14"/>
      <c r="J16" s="13"/>
      <c r="K16" s="13"/>
      <c r="L16" s="13"/>
      <c r="M16" s="13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ht="15.75" customHeight="1">
      <c r="A17" s="13"/>
      <c r="B17" s="14"/>
      <c r="C17" s="14"/>
      <c r="D17" s="14"/>
      <c r="E17" s="14"/>
      <c r="F17" s="17"/>
      <c r="G17" s="14"/>
      <c r="H17" s="14"/>
      <c r="I17" s="14"/>
      <c r="J17" s="14"/>
      <c r="K17" s="13"/>
      <c r="L17" s="13"/>
      <c r="M17" s="13" t="str">
        <f>CONCATENATE("MK|",(VLOOKUP(B17,Dictionary!$A:$B,2,FALSE)),"_CN|",SUBSTITUTE(SUBSTITUTE(IF(C17="","NONE",C17),"_","-"),"|","-"),"_MN|",(VLOOKUP(D17,Dictionary!$D:$E,2,0)),"_YQ|",(VLOOKUP(E17,Dictionary!$AR:$AR,1,0)),"_CP|",SUBSTITUTE(SUBSTITUTE(IF(F17="","NONE",F17),"_","-"),"|","-"),"_SP|",(VLOOKUP(G17,Dictionary!$AY:$AZ,2,0)),"_AC|",(VLOOKUP(H17,Dictionary!$BA:$BB,2,0)),IF(I17="","",CONCATENATE("_OB|",(VLOOKUP(I17,Dictionary!$AS:$AT,2,0)))),IF(J17="","",CONCATENATE("_U1|",SUBSTITUTE(SUBSTITUTE(J17,"_","-"),"|","-"))),IF(K17="","",CONCATENATE("_U2|",SUBSTITUTE(SUBSTITUTE(K17,"_","-"),"|","-"))),IF(L17="","",CONCATENATE("_U3|",SUBSTITUTE(SUBSTITUTE(L17,"_","-"),"|","-"))))</f>
        <v>#N/A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ht="15.75" customHeight="1">
      <c r="A18" s="13"/>
      <c r="B18" s="13"/>
      <c r="C18" s="13"/>
      <c r="D18" s="13"/>
      <c r="E18" s="13"/>
      <c r="F18" s="19"/>
      <c r="G18" s="13"/>
      <c r="H18" s="13"/>
      <c r="I18" s="13"/>
      <c r="J18" s="13"/>
      <c r="K18" s="13"/>
      <c r="L18" s="13"/>
      <c r="M18" s="13" t="str">
        <f>CONCATENATE("MK|",(VLOOKUP(B18,Dictionary!$A:$B,2,FALSE)),"_CN|",SUBSTITUTE(SUBSTITUTE(IF(C18="","NONE",C18),"_","-"),"|","-"),"_MN|",(VLOOKUP(D18,Dictionary!$D:$E,2,0)),"_YQ|",(VLOOKUP(E18,Dictionary!$AR:$AR,1,0)),"_CP|",SUBSTITUTE(SUBSTITUTE(IF(F18="","NONE",F18),"_","-"),"|","-"),"_SP|",(VLOOKUP(G18,Dictionary!$AY:$AZ,2,0)),"_AC|",(VLOOKUP(H18,Dictionary!$BA:$BB,2,0)),IF(I18="","",CONCATENATE("_OB|",(VLOOKUP(I18,Dictionary!$AS:$AT,2,0)))),IF(J18="","",CONCATENATE("_U1|",SUBSTITUTE(SUBSTITUTE(J18,"_","-"),"|","-"))),IF(K18="","",CONCATENATE("_U2|",SUBSTITUTE(SUBSTITUTE(K18,"_","-"),"|","-"))),IF(L18="","",CONCATENATE("_U3|",SUBSTITUTE(SUBSTITUTE(L18,"_","-"),"|","-"))))</f>
        <v>#N/A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15.75" customHeight="1">
      <c r="A19" s="13"/>
      <c r="B19" s="14"/>
      <c r="C19" s="13"/>
      <c r="D19" s="13"/>
      <c r="E19" s="13"/>
      <c r="F19" s="19"/>
      <c r="G19" s="13"/>
      <c r="H19" s="13"/>
      <c r="I19" s="13"/>
      <c r="J19" s="13"/>
      <c r="K19" s="13"/>
      <c r="L19" s="13"/>
      <c r="M19" s="13" t="str">
        <f>CONCATENATE("MK|",(VLOOKUP(B19,Dictionary!$A:$B,2,FALSE)),"_CN|",SUBSTITUTE(SUBSTITUTE(IF(C19="","NONE",C19),"_","-"),"|","-"),"_MN|",(VLOOKUP(D19,Dictionary!$D:$E,2,0)),"_YQ|",(VLOOKUP(E19,Dictionary!$AR:$AR,1,0)),"_CP|",SUBSTITUTE(SUBSTITUTE(IF(F19="","NONE",F19),"_","-"),"|","-"),"_SP|",(VLOOKUP(G19,Dictionary!$AY:$AZ,2,0)),"_AC|",(VLOOKUP(H19,Dictionary!$BA:$BB,2,0)),IF(I19="","",CONCATENATE("_OB|",(VLOOKUP(I19,Dictionary!$AS:$AT,2,0)))),IF(J19="","",CONCATENATE("_U1|",SUBSTITUTE(SUBSTITUTE(J19,"_","-"),"|","-"))),IF(K19="","",CONCATENATE("_U2|",SUBSTITUTE(SUBSTITUTE(K19,"_","-"),"|","-"))),IF(L19="","",CONCATENATE("_U3|",SUBSTITUTE(SUBSTITUTE(L19,"_","-"),"|","-"))))</f>
        <v>#N/A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13"/>
      <c r="B20" s="13"/>
      <c r="C20" s="13"/>
      <c r="D20" s="13"/>
      <c r="E20" s="13"/>
      <c r="F20" s="19"/>
      <c r="G20" s="13"/>
      <c r="H20" s="13"/>
      <c r="I20" s="13"/>
      <c r="J20" s="13"/>
      <c r="K20" s="13"/>
      <c r="L20" s="13"/>
      <c r="M20" s="13" t="str">
        <f>CONCATENATE("MK|",(VLOOKUP(B20,Dictionary!$A:$B,2,FALSE)),"_CN|",SUBSTITUTE(SUBSTITUTE(IF(C20="","NONE",C20),"_","-"),"|","-"),"_MN|",(VLOOKUP(D20,Dictionary!$D:$E,2,0)),"_YQ|",(VLOOKUP(E20,Dictionary!$AR:$AR,1,0)),"_CP|",SUBSTITUTE(SUBSTITUTE(IF(F20="","NONE",F20),"_","-"),"|","-"),"_SP|",(VLOOKUP(G20,Dictionary!$AY:$AZ,2,0)),"_AC|",(VLOOKUP(H20,Dictionary!$BA:$BB,2,0)),IF(I20="","",CONCATENATE("_OB|",(VLOOKUP(I20,Dictionary!$AS:$AT,2,0)))),IF(J20="","",CONCATENATE("_U1|",SUBSTITUTE(SUBSTITUTE(J20,"_","-"),"|","-"))),IF(K20="","",CONCATENATE("_U2|",SUBSTITUTE(SUBSTITUTE(K20,"_","-"),"|","-"))),IF(L20="","",CONCATENATE("_U3|",SUBSTITUTE(SUBSTITUTE(L20,"_","-"),"|","-"))))</f>
        <v>#N/A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5.75" customHeight="1">
      <c r="A21" s="13"/>
      <c r="B21" s="13"/>
      <c r="C21" s="13"/>
      <c r="D21" s="13"/>
      <c r="E21" s="13"/>
      <c r="F21" s="19"/>
      <c r="G21" s="13"/>
      <c r="H21" s="13"/>
      <c r="I21" s="13"/>
      <c r="J21" s="13"/>
      <c r="K21" s="13"/>
      <c r="L21" s="13"/>
      <c r="M21" s="13" t="str">
        <f>CONCATENATE("MK|",(VLOOKUP(B21,Dictionary!$A:$B,2,FALSE)),"_CN|",SUBSTITUTE(SUBSTITUTE(IF(C21="","NONE",C21),"_","-"),"|","-"),"_MN|",(VLOOKUP(D21,Dictionary!$D:$E,2,0)),"_YQ|",(VLOOKUP(E21,Dictionary!$AR:$AR,1,0)),"_CP|",SUBSTITUTE(SUBSTITUTE(IF(F21="","NONE",F21),"_","-"),"|","-"),"_SP|",(VLOOKUP(G21,Dictionary!$AY:$AZ,2,0)),"_AC|",(VLOOKUP(H21,Dictionary!$BA:$BB,2,0)),IF(I21="","",CONCATENATE("_OB|",(VLOOKUP(I21,Dictionary!$AS:$AT,2,0)))),IF(J21="","",CONCATENATE("_U1|",SUBSTITUTE(SUBSTITUTE(J21,"_","-"),"|","-"))),IF(K21="","",CONCATENATE("_U2|",SUBSTITUTE(SUBSTITUTE(K21,"_","-"),"|","-"))),IF(L21="","",CONCATENATE("_U3|",SUBSTITUTE(SUBSTITUTE(L21,"_","-"),"|","-"))))</f>
        <v>#N/A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5.75" customHeight="1">
      <c r="A22" s="13"/>
      <c r="B22" s="13"/>
      <c r="C22" s="13"/>
      <c r="D22" s="13"/>
      <c r="E22" s="13"/>
      <c r="F22" s="19"/>
      <c r="G22" s="13"/>
      <c r="H22" s="13"/>
      <c r="I22" s="13"/>
      <c r="J22" s="13"/>
      <c r="K22" s="13"/>
      <c r="L22" s="13"/>
      <c r="M22" s="13" t="str">
        <f>CONCATENATE("MK|",(VLOOKUP(B22,Dictionary!$A:$B,2,FALSE)),"_CN|",SUBSTITUTE(SUBSTITUTE(IF(C22="","NONE",C22),"_","-"),"|","-"),"_MN|",(VLOOKUP(D22,Dictionary!$D:$E,2,0)),"_YQ|",(VLOOKUP(E22,Dictionary!$AR:$AR,1,0)),"_CP|",SUBSTITUTE(SUBSTITUTE(IF(F22="","NONE",F22),"_","-"),"|","-"),"_SP|",(VLOOKUP(G22,Dictionary!$AY:$AZ,2,0)),"_AC|",(VLOOKUP(H22,Dictionary!$BA:$BB,2,0)),IF(I22="","",CONCATENATE("_OB|",(VLOOKUP(I22,Dictionary!$AS:$AT,2,0)))),IF(J22="","",CONCATENATE("_U1|",SUBSTITUTE(SUBSTITUTE(J22,"_","-"),"|","-"))),IF(K22="","",CONCATENATE("_U2|",SUBSTITUTE(SUBSTITUTE(K22,"_","-"),"|","-"))),IF(L22="","",CONCATENATE("_U3|",SUBSTITUTE(SUBSTITUTE(L22,"_","-"),"|","-"))))</f>
        <v>#N/A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75" customHeight="1">
      <c r="A23" s="13"/>
      <c r="B23" s="13"/>
      <c r="C23" s="13"/>
      <c r="D23" s="13"/>
      <c r="E23" s="13"/>
      <c r="F23" s="19"/>
      <c r="G23" s="13"/>
      <c r="H23" s="13"/>
      <c r="I23" s="13"/>
      <c r="J23" s="13"/>
      <c r="K23" s="13"/>
      <c r="L23" s="13"/>
      <c r="M23" s="13" t="str">
        <f>CONCATENATE("MK|",(VLOOKUP(B23,Dictionary!$A:$B,2,FALSE)),"_CN|",SUBSTITUTE(SUBSTITUTE(IF(C23="","NONE",C23),"_","-"),"|","-"),"_MN|",(VLOOKUP(D23,Dictionary!$D:$E,2,0)),"_YQ|",(VLOOKUP(E23,Dictionary!$AR:$AR,1,0)),"_CP|",SUBSTITUTE(SUBSTITUTE(IF(F23="","NONE",F23),"_","-"),"|","-"),"_SP|",(VLOOKUP(G23,Dictionary!$AY:$AZ,2,0)),"_AC|",(VLOOKUP(H23,Dictionary!$BA:$BB,2,0)),IF(I23="","",CONCATENATE("_OB|",(VLOOKUP(I23,Dictionary!$AS:$AT,2,0)))),IF(J23="","",CONCATENATE("_U1|",SUBSTITUTE(SUBSTITUTE(J23,"_","-"),"|","-"))),IF(K23="","",CONCATENATE("_U2|",SUBSTITUTE(SUBSTITUTE(K23,"_","-"),"|","-"))),IF(L23="","",CONCATENATE("_U3|",SUBSTITUTE(SUBSTITUTE(L23,"_","-"),"|","-"))))</f>
        <v>#N/A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5.75" customHeight="1">
      <c r="A24" s="13"/>
      <c r="B24" s="13"/>
      <c r="C24" s="13"/>
      <c r="D24" s="13"/>
      <c r="E24" s="13"/>
      <c r="F24" s="19"/>
      <c r="G24" s="13"/>
      <c r="H24" s="13"/>
      <c r="I24" s="13"/>
      <c r="J24" s="13"/>
      <c r="K24" s="13"/>
      <c r="L24" s="13"/>
      <c r="M24" s="13" t="str">
        <f>CONCATENATE("MK|",(VLOOKUP(B24,Dictionary!$A:$B,2,FALSE)),"_CN|",SUBSTITUTE(SUBSTITUTE(IF(C24="","NONE",C24),"_","-"),"|","-"),"_MN|",(VLOOKUP(D24,Dictionary!$D:$E,2,0)),"_YQ|",(VLOOKUP(E24,Dictionary!$AR:$AR,1,0)),"_CP|",SUBSTITUTE(SUBSTITUTE(IF(F24="","NONE",F24),"_","-"),"|","-"),"_SP|",(VLOOKUP(G24,Dictionary!$AY:$AZ,2,0)),"_AC|",(VLOOKUP(H24,Dictionary!$BA:$BB,2,0)),IF(I24="","",CONCATENATE("_OB|",(VLOOKUP(I24,Dictionary!$AS:$AT,2,0)))),IF(J24="","",CONCATENATE("_U1|",SUBSTITUTE(SUBSTITUTE(J24,"_","-"),"|","-"))),IF(K24="","",CONCATENATE("_U2|",SUBSTITUTE(SUBSTITUTE(K24,"_","-"),"|","-"))),IF(L24="","",CONCATENATE("_U3|",SUBSTITUTE(SUBSTITUTE(L24,"_","-"),"|","-"))))</f>
        <v>#N/A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5.75" customHeight="1">
      <c r="A25" s="13"/>
      <c r="B25" s="13"/>
      <c r="C25" s="13"/>
      <c r="D25" s="13"/>
      <c r="E25" s="13"/>
      <c r="F25" s="19"/>
      <c r="G25" s="13"/>
      <c r="H25" s="13"/>
      <c r="I25" s="13"/>
      <c r="J25" s="13"/>
      <c r="K25" s="13"/>
      <c r="L25" s="13"/>
      <c r="M25" s="13" t="str">
        <f>CONCATENATE("MK|",(VLOOKUP(B25,Dictionary!$A:$B,2,FALSE)),"_CN|",SUBSTITUTE(SUBSTITUTE(IF(C25="","NONE",C25),"_","-"),"|","-"),"_MN|",(VLOOKUP(D25,Dictionary!$D:$E,2,0)),"_YQ|",(VLOOKUP(E25,Dictionary!$AR:$AR,1,0)),"_CP|",SUBSTITUTE(SUBSTITUTE(IF(F25="","NONE",F25),"_","-"),"|","-"),"_SP|",(VLOOKUP(G25,Dictionary!$AY:$AZ,2,0)),"_AC|",(VLOOKUP(H25,Dictionary!$BA:$BB,2,0)),IF(I25="","",CONCATENATE("_OB|",(VLOOKUP(I25,Dictionary!$AS:$AT,2,0)))),IF(J25="","",CONCATENATE("_U1|",SUBSTITUTE(SUBSTITUTE(J25,"_","-"),"|","-"))),IF(K25="","",CONCATENATE("_U2|",SUBSTITUTE(SUBSTITUTE(K25,"_","-"),"|","-"))),IF(L25="","",CONCATENATE("_U3|",SUBSTITUTE(SUBSTITUTE(L25,"_","-"),"|","-"))))</f>
        <v>#N/A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75" customHeight="1">
      <c r="A26" s="13"/>
      <c r="B26" s="13"/>
      <c r="C26" s="13"/>
      <c r="D26" s="13"/>
      <c r="E26" s="13"/>
      <c r="F26" s="19"/>
      <c r="G26" s="13"/>
      <c r="H26" s="13"/>
      <c r="I26" s="13"/>
      <c r="J26" s="13"/>
      <c r="K26" s="13"/>
      <c r="L26" s="13"/>
      <c r="M26" s="13" t="str">
        <f>CONCATENATE("MK|",(VLOOKUP(B26,Dictionary!$A:$B,2,FALSE)),"_CN|",SUBSTITUTE(SUBSTITUTE(IF(C26="","NONE",C26),"_","-"),"|","-"),"_MN|",(VLOOKUP(D26,Dictionary!$D:$E,2,0)),"_YQ|",(VLOOKUP(E26,Dictionary!$AR:$AR,1,0)),"_CP|",SUBSTITUTE(SUBSTITUTE(IF(F26="","NONE",F26),"_","-"),"|","-"),"_SP|",(VLOOKUP(G26,Dictionary!$AY:$AZ,2,0)),"_AC|",(VLOOKUP(H26,Dictionary!$BA:$BB,2,0)),IF(I26="","",CONCATENATE("_OB|",(VLOOKUP(I26,Dictionary!$AS:$AT,2,0)))),IF(J26="","",CONCATENATE("_U1|",SUBSTITUTE(SUBSTITUTE(J26,"_","-"),"|","-"))),IF(K26="","",CONCATENATE("_U2|",SUBSTITUTE(SUBSTITUTE(K26,"_","-"),"|","-"))),IF(L26="","",CONCATENATE("_U3|",SUBSTITUTE(SUBSTITUTE(L26,"_","-"),"|","-"))))</f>
        <v>#N/A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5.75" customHeight="1">
      <c r="A27" s="13"/>
      <c r="B27" s="13"/>
      <c r="C27" s="13"/>
      <c r="D27" s="13"/>
      <c r="E27" s="13"/>
      <c r="F27" s="19"/>
      <c r="G27" s="13"/>
      <c r="H27" s="13"/>
      <c r="I27" s="13"/>
      <c r="J27" s="13"/>
      <c r="K27" s="13"/>
      <c r="L27" s="13"/>
      <c r="M27" s="13" t="str">
        <f>CONCATENATE("MK|",(VLOOKUP(B27,Dictionary!$A:$B,2,FALSE)),"_CN|",SUBSTITUTE(SUBSTITUTE(IF(C27="","NONE",C27),"_","-"),"|","-"),"_MN|",(VLOOKUP(D27,Dictionary!$D:$E,2,0)),"_YQ|",(VLOOKUP(E27,Dictionary!$AR:$AR,1,0)),"_CP|",SUBSTITUTE(SUBSTITUTE(IF(F27="","NONE",F27),"_","-"),"|","-"),"_SP|",(VLOOKUP(G27,Dictionary!$AY:$AZ,2,0)),"_AC|",(VLOOKUP(H27,Dictionary!$BA:$BB,2,0)),IF(I27="","",CONCATENATE("_OB|",(VLOOKUP(I27,Dictionary!$AS:$AT,2,0)))),IF(J27="","",CONCATENATE("_U1|",SUBSTITUTE(SUBSTITUTE(J27,"_","-"),"|","-"))),IF(K27="","",CONCATENATE("_U2|",SUBSTITUTE(SUBSTITUTE(K27,"_","-"),"|","-"))),IF(L27="","",CONCATENATE("_U3|",SUBSTITUTE(SUBSTITUTE(L27,"_","-"),"|","-"))))</f>
        <v>#N/A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5.75" customHeight="1">
      <c r="A28" s="13"/>
      <c r="B28" s="13"/>
      <c r="C28" s="13"/>
      <c r="D28" s="13"/>
      <c r="E28" s="13"/>
      <c r="F28" s="19"/>
      <c r="G28" s="13"/>
      <c r="H28" s="13"/>
      <c r="I28" s="13"/>
      <c r="J28" s="13"/>
      <c r="K28" s="13"/>
      <c r="L28" s="13"/>
      <c r="M28" s="13" t="str">
        <f>CONCATENATE("MK|",(VLOOKUP(B28,Dictionary!$A:$B,2,FALSE)),"_CN|",SUBSTITUTE(SUBSTITUTE(IF(C28="","NONE",C28),"_","-"),"|","-"),"_MN|",(VLOOKUP(D28,Dictionary!$D:$E,2,0)),"_YQ|",(VLOOKUP(E28,Dictionary!$AR:$AR,1,0)),"_CP|",SUBSTITUTE(SUBSTITUTE(IF(F28="","NONE",F28),"_","-"),"|","-"),"_SP|",(VLOOKUP(G28,Dictionary!$AY:$AZ,2,0)),"_AC|",(VLOOKUP(H28,Dictionary!$BA:$BB,2,0)),IF(I28="","",CONCATENATE("_OB|",(VLOOKUP(I28,Dictionary!$AS:$AT,2,0)))),IF(J28="","",CONCATENATE("_U1|",SUBSTITUTE(SUBSTITUTE(J28,"_","-"),"|","-"))),IF(K28="","",CONCATENATE("_U2|",SUBSTITUTE(SUBSTITUTE(K28,"_","-"),"|","-"))),IF(L28="","",CONCATENATE("_U3|",SUBSTITUTE(SUBSTITUTE(L28,"_","-"),"|","-"))))</f>
        <v>#N/A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5.75" customHeight="1">
      <c r="A29" s="13"/>
      <c r="B29" s="13"/>
      <c r="C29" s="13"/>
      <c r="D29" s="13"/>
      <c r="E29" s="13"/>
      <c r="F29" s="19"/>
      <c r="G29" s="13"/>
      <c r="H29" s="13"/>
      <c r="I29" s="13"/>
      <c r="J29" s="13"/>
      <c r="K29" s="13"/>
      <c r="L29" s="13"/>
      <c r="M29" s="13" t="str">
        <f>CONCATENATE("MK|",(VLOOKUP(B29,Dictionary!$A:$B,2,FALSE)),"_CN|",SUBSTITUTE(SUBSTITUTE(IF(C29="","NONE",C29),"_","-"),"|","-"),"_MN|",(VLOOKUP(D29,Dictionary!$D:$E,2,0)),"_YQ|",(VLOOKUP(E29,Dictionary!$AR:$AR,1,0)),"_CP|",SUBSTITUTE(SUBSTITUTE(IF(F29="","NONE",F29),"_","-"),"|","-"),"_SP|",(VLOOKUP(G29,Dictionary!$AY:$AZ,2,0)),"_AC|",(VLOOKUP(H29,Dictionary!$BA:$BB,2,0)),IF(I29="","",CONCATENATE("_OB|",(VLOOKUP(I29,Dictionary!$AS:$AT,2,0)))),IF(J29="","",CONCATENATE("_U1|",SUBSTITUTE(SUBSTITUTE(J29,"_","-"),"|","-"))),IF(K29="","",CONCATENATE("_U2|",SUBSTITUTE(SUBSTITUTE(K29,"_","-"),"|","-"))),IF(L29="","",CONCATENATE("_U3|",SUBSTITUTE(SUBSTITUTE(L29,"_","-"),"|","-"))))</f>
        <v>#N/A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5.75" customHeight="1">
      <c r="A30" s="13"/>
      <c r="B30" s="13"/>
      <c r="C30" s="13"/>
      <c r="D30" s="13"/>
      <c r="E30" s="13"/>
      <c r="F30" s="19"/>
      <c r="G30" s="13"/>
      <c r="H30" s="13"/>
      <c r="I30" s="13"/>
      <c r="J30" s="13"/>
      <c r="K30" s="13"/>
      <c r="L30" s="13"/>
      <c r="M30" s="13" t="str">
        <f>CONCATENATE("MK|",(VLOOKUP(B30,Dictionary!$A:$B,2,FALSE)),"_CN|",SUBSTITUTE(SUBSTITUTE(IF(C30="","NONE",C30),"_","-"),"|","-"),"_MN|",(VLOOKUP(D30,Dictionary!$D:$E,2,0)),"_YQ|",(VLOOKUP(E30,Dictionary!$AR:$AR,1,0)),"_CP|",SUBSTITUTE(SUBSTITUTE(IF(F30="","NONE",F30),"_","-"),"|","-"),"_SP|",(VLOOKUP(G30,Dictionary!$AY:$AZ,2,0)),"_AC|",(VLOOKUP(H30,Dictionary!$BA:$BB,2,0)),IF(I30="","",CONCATENATE("_OB|",(VLOOKUP(I30,Dictionary!$AS:$AT,2,0)))),IF(J30="","",CONCATENATE("_U1|",SUBSTITUTE(SUBSTITUTE(J30,"_","-"),"|","-"))),IF(K30="","",CONCATENATE("_U2|",SUBSTITUTE(SUBSTITUTE(K30,"_","-"),"|","-"))),IF(L30="","",CONCATENATE("_U3|",SUBSTITUTE(SUBSTITUTE(L30,"_","-"),"|","-"))))</f>
        <v>#N/A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5.75" customHeight="1">
      <c r="A31" s="13"/>
      <c r="B31" s="13"/>
      <c r="C31" s="13"/>
      <c r="D31" s="13"/>
      <c r="E31" s="13"/>
      <c r="F31" s="19"/>
      <c r="G31" s="13"/>
      <c r="H31" s="13"/>
      <c r="I31" s="13"/>
      <c r="J31" s="13"/>
      <c r="K31" s="13"/>
      <c r="L31" s="13"/>
      <c r="M31" s="13" t="str">
        <f>CONCATENATE("MK|",(VLOOKUP(B31,Dictionary!$A:$B,2,FALSE)),"_CN|",SUBSTITUTE(SUBSTITUTE(IF(C31="","NONE",C31),"_","-"),"|","-"),"_MN|",(VLOOKUP(D31,Dictionary!$D:$E,2,0)),"_YQ|",(VLOOKUP(E31,Dictionary!$AR:$AR,1,0)),"_CP|",SUBSTITUTE(SUBSTITUTE(IF(F31="","NONE",F31),"_","-"),"|","-"),"_SP|",(VLOOKUP(G31,Dictionary!$AY:$AZ,2,0)),"_AC|",(VLOOKUP(H31,Dictionary!$BA:$BB,2,0)),IF(I31="","",CONCATENATE("_OB|",(VLOOKUP(I31,Dictionary!$AS:$AT,2,0)))),IF(J31="","",CONCATENATE("_U1|",SUBSTITUTE(SUBSTITUTE(J31,"_","-"),"|","-"))),IF(K31="","",CONCATENATE("_U2|",SUBSTITUTE(SUBSTITUTE(K31,"_","-"),"|","-"))),IF(L31="","",CONCATENATE("_U3|",SUBSTITUTE(SUBSTITUTE(L31,"_","-"),"|","-"))))</f>
        <v>#N/A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5.75" customHeight="1">
      <c r="A32" s="13"/>
      <c r="B32" s="13"/>
      <c r="C32" s="13"/>
      <c r="D32" s="13"/>
      <c r="E32" s="13"/>
      <c r="F32" s="19"/>
      <c r="G32" s="13"/>
      <c r="H32" s="13"/>
      <c r="I32" s="13"/>
      <c r="J32" s="13"/>
      <c r="K32" s="13"/>
      <c r="L32" s="13"/>
      <c r="M32" s="13" t="str">
        <f>CONCATENATE("MK|",(VLOOKUP(B32,Dictionary!$A:$B,2,FALSE)),"_CN|",SUBSTITUTE(SUBSTITUTE(IF(C32="","NONE",C32),"_","-"),"|","-"),"_MN|",(VLOOKUP(D32,Dictionary!$D:$E,2,0)),"_YQ|",(VLOOKUP(E32,Dictionary!$AR:$AR,1,0)),"_CP|",SUBSTITUTE(SUBSTITUTE(IF(F32="","NONE",F32),"_","-"),"|","-"),"_SP|",(VLOOKUP(G32,Dictionary!$AY:$AZ,2,0)),"_AC|",(VLOOKUP(H32,Dictionary!$BA:$BB,2,0)),IF(I32="","",CONCATENATE("_OB|",(VLOOKUP(I32,Dictionary!$AS:$AT,2,0)))),IF(J32="","",CONCATENATE("_U1|",SUBSTITUTE(SUBSTITUTE(J32,"_","-"),"|","-"))),IF(K32="","",CONCATENATE("_U2|",SUBSTITUTE(SUBSTITUTE(K32,"_","-"),"|","-"))),IF(L32="","",CONCATENATE("_U3|",SUBSTITUTE(SUBSTITUTE(L32,"_","-"),"|","-"))))</f>
        <v>#N/A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5.75" customHeight="1">
      <c r="A33" s="13"/>
      <c r="B33" s="13"/>
      <c r="C33" s="13"/>
      <c r="D33" s="13"/>
      <c r="E33" s="13"/>
      <c r="F33" s="19"/>
      <c r="G33" s="13"/>
      <c r="H33" s="13"/>
      <c r="I33" s="13"/>
      <c r="J33" s="13"/>
      <c r="K33" s="13"/>
      <c r="L33" s="13"/>
      <c r="M33" s="13" t="str">
        <f>CONCATENATE("MK|",(VLOOKUP(B33,Dictionary!$A:$B,2,FALSE)),"_CN|",SUBSTITUTE(SUBSTITUTE(IF(C33="","NONE",C33),"_","-"),"|","-"),"_MN|",(VLOOKUP(D33,Dictionary!$D:$E,2,0)),"_YQ|",(VLOOKUP(E33,Dictionary!$AR:$AR,1,0)),"_CP|",SUBSTITUTE(SUBSTITUTE(IF(F33="","NONE",F33),"_","-"),"|","-"),"_SP|",(VLOOKUP(G33,Dictionary!$AY:$AZ,2,0)),"_AC|",(VLOOKUP(H33,Dictionary!$BA:$BB,2,0)),IF(I33="","",CONCATENATE("_OB|",(VLOOKUP(I33,Dictionary!$AS:$AT,2,0)))),IF(J33="","",CONCATENATE("_U1|",SUBSTITUTE(SUBSTITUTE(J33,"_","-"),"|","-"))),IF(K33="","",CONCATENATE("_U2|",SUBSTITUTE(SUBSTITUTE(K33,"_","-"),"|","-"))),IF(L33="","",CONCATENATE("_U3|",SUBSTITUTE(SUBSTITUTE(L33,"_","-"),"|","-"))))</f>
        <v>#N/A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5.75" customHeight="1">
      <c r="A34" s="13"/>
      <c r="B34" s="13"/>
      <c r="C34" s="13"/>
      <c r="D34" s="13"/>
      <c r="E34" s="13"/>
      <c r="F34" s="19"/>
      <c r="G34" s="13"/>
      <c r="H34" s="13"/>
      <c r="I34" s="13"/>
      <c r="J34" s="13"/>
      <c r="K34" s="13"/>
      <c r="L34" s="13"/>
      <c r="M34" s="13" t="str">
        <f>CONCATENATE("MK|",(VLOOKUP(B34,Dictionary!$A:$B,2,FALSE)),"_CN|",SUBSTITUTE(SUBSTITUTE(IF(C34="","NONE",C34),"_","-"),"|","-"),"_MN|",(VLOOKUP(D34,Dictionary!$D:$E,2,0)),"_YQ|",(VLOOKUP(E34,Dictionary!$AR:$AR,1,0)),"_CP|",SUBSTITUTE(SUBSTITUTE(IF(F34="","NONE",F34),"_","-"),"|","-"),"_SP|",(VLOOKUP(G34,Dictionary!$AY:$AZ,2,0)),"_AC|",(VLOOKUP(H34,Dictionary!$BA:$BB,2,0)),IF(I34="","",CONCATENATE("_OB|",(VLOOKUP(I34,Dictionary!$AS:$AT,2,0)))),IF(J34="","",CONCATENATE("_U1|",SUBSTITUTE(SUBSTITUTE(J34,"_","-"),"|","-"))),IF(K34="","",CONCATENATE("_U2|",SUBSTITUTE(SUBSTITUTE(K34,"_","-"),"|","-"))),IF(L34="","",CONCATENATE("_U3|",SUBSTITUTE(SUBSTITUTE(L34,"_","-"),"|","-"))))</f>
        <v>#N/A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5.75" customHeight="1">
      <c r="A35" s="13"/>
      <c r="B35" s="13"/>
      <c r="C35" s="13"/>
      <c r="D35" s="13"/>
      <c r="E35" s="13"/>
      <c r="F35" s="19"/>
      <c r="G35" s="13"/>
      <c r="H35" s="13"/>
      <c r="I35" s="13"/>
      <c r="J35" s="13"/>
      <c r="K35" s="13"/>
      <c r="L35" s="13"/>
      <c r="M35" s="13" t="str">
        <f>CONCATENATE("MK|",(VLOOKUP(B35,Dictionary!$A:$B,2,FALSE)),"_CN|",SUBSTITUTE(SUBSTITUTE(IF(C35="","NONE",C35),"_","-"),"|","-"),"_MN|",(VLOOKUP(D35,Dictionary!$D:$E,2,0)),"_YQ|",(VLOOKUP(E35,Dictionary!$AR:$AR,1,0)),"_CP|",SUBSTITUTE(SUBSTITUTE(IF(F35="","NONE",F35),"_","-"),"|","-"),"_SP|",(VLOOKUP(G35,Dictionary!$AY:$AZ,2,0)),"_AC|",(VLOOKUP(H35,Dictionary!$BA:$BB,2,0)),IF(I35="","",CONCATENATE("_OB|",(VLOOKUP(I35,Dictionary!$AS:$AT,2,0)))),IF(J35="","",CONCATENATE("_U1|",SUBSTITUTE(SUBSTITUTE(J35,"_","-"),"|","-"))),IF(K35="","",CONCATENATE("_U2|",SUBSTITUTE(SUBSTITUTE(K35,"_","-"),"|","-"))),IF(L35="","",CONCATENATE("_U3|",SUBSTITUTE(SUBSTITUTE(L35,"_","-"),"|","-"))))</f>
        <v>#N/A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5.75" customHeight="1">
      <c r="A36" s="13"/>
      <c r="B36" s="13"/>
      <c r="C36" s="13"/>
      <c r="D36" s="13"/>
      <c r="E36" s="13"/>
      <c r="F36" s="19"/>
      <c r="G36" s="13"/>
      <c r="H36" s="13"/>
      <c r="I36" s="13"/>
      <c r="J36" s="13"/>
      <c r="K36" s="13"/>
      <c r="L36" s="13"/>
      <c r="M36" s="13" t="str">
        <f>CONCATENATE("MK|",(VLOOKUP(B36,Dictionary!$A:$B,2,FALSE)),"_CN|",SUBSTITUTE(SUBSTITUTE(IF(C36="","NONE",C36),"_","-"),"|","-"),"_MN|",(VLOOKUP(D36,Dictionary!$D:$E,2,0)),"_YQ|",(VLOOKUP(E36,Dictionary!$AR:$AR,1,0)),"_CP|",SUBSTITUTE(SUBSTITUTE(IF(F36="","NONE",F36),"_","-"),"|","-"),"_SP|",(VLOOKUP(G36,Dictionary!$AY:$AZ,2,0)),"_AC|",(VLOOKUP(H36,Dictionary!$BA:$BB,2,0)),IF(I36="","",CONCATENATE("_OB|",(VLOOKUP(I36,Dictionary!$AS:$AT,2,0)))),IF(J36="","",CONCATENATE("_U1|",SUBSTITUTE(SUBSTITUTE(J36,"_","-"),"|","-"))),IF(K36="","",CONCATENATE("_U2|",SUBSTITUTE(SUBSTITUTE(K36,"_","-"),"|","-"))),IF(L36="","",CONCATENATE("_U3|",SUBSTITUTE(SUBSTITUTE(L36,"_","-"),"|","-"))))</f>
        <v>#N/A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5.75" customHeight="1">
      <c r="A37" s="13"/>
      <c r="B37" s="13"/>
      <c r="C37" s="13"/>
      <c r="D37" s="13"/>
      <c r="E37" s="13"/>
      <c r="F37" s="19"/>
      <c r="G37" s="13"/>
      <c r="H37" s="13"/>
      <c r="I37" s="13"/>
      <c r="J37" s="13"/>
      <c r="K37" s="13"/>
      <c r="L37" s="13"/>
      <c r="M37" s="13" t="str">
        <f>CONCATENATE("MK|",(VLOOKUP(B37,Dictionary!$A:$B,2,FALSE)),"_CN|",SUBSTITUTE(SUBSTITUTE(IF(C37="","NONE",C37),"_","-"),"|","-"),"_MN|",(VLOOKUP(D37,Dictionary!$D:$E,2,0)),"_YQ|",(VLOOKUP(E37,Dictionary!$AR:$AR,1,0)),"_CP|",SUBSTITUTE(SUBSTITUTE(IF(F37="","NONE",F37),"_","-"),"|","-"),"_SP|",(VLOOKUP(G37,Dictionary!$AY:$AZ,2,0)),"_AC|",(VLOOKUP(H37,Dictionary!$BA:$BB,2,0)),IF(I37="","",CONCATENATE("_OB|",(VLOOKUP(I37,Dictionary!$AS:$AT,2,0)))),IF(J37="","",CONCATENATE("_U1|",SUBSTITUTE(SUBSTITUTE(J37,"_","-"),"|","-"))),IF(K37="","",CONCATENATE("_U2|",SUBSTITUTE(SUBSTITUTE(K37,"_","-"),"|","-"))),IF(L37="","",CONCATENATE("_U3|",SUBSTITUTE(SUBSTITUTE(L37,"_","-"),"|","-"))))</f>
        <v>#N/A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5.75" customHeight="1">
      <c r="A38" s="13"/>
      <c r="B38" s="13"/>
      <c r="C38" s="13"/>
      <c r="D38" s="13"/>
      <c r="E38" s="13"/>
      <c r="F38" s="19"/>
      <c r="G38" s="13"/>
      <c r="H38" s="13"/>
      <c r="I38" s="13"/>
      <c r="J38" s="13"/>
      <c r="K38" s="13"/>
      <c r="L38" s="13"/>
      <c r="M38" s="13" t="str">
        <f>CONCATENATE("MK|",(VLOOKUP(B38,Dictionary!$A:$B,2,FALSE)),"_CN|",SUBSTITUTE(SUBSTITUTE(IF(C38="","NONE",C38),"_","-"),"|","-"),"_MN|",(VLOOKUP(D38,Dictionary!$D:$E,2,0)),"_YQ|",(VLOOKUP(E38,Dictionary!$AR:$AR,1,0)),"_CP|",SUBSTITUTE(SUBSTITUTE(IF(F38="","NONE",F38),"_","-"),"|","-"),"_SP|",(VLOOKUP(G38,Dictionary!$AY:$AZ,2,0)),"_AC|",(VLOOKUP(H38,Dictionary!$BA:$BB,2,0)),IF(I38="","",CONCATENATE("_OB|",(VLOOKUP(I38,Dictionary!$AS:$AT,2,0)))),IF(J38="","",CONCATENATE("_U1|",SUBSTITUTE(SUBSTITUTE(J38,"_","-"),"|","-"))),IF(K38="","",CONCATENATE("_U2|",SUBSTITUTE(SUBSTITUTE(K38,"_","-"),"|","-"))),IF(L38="","",CONCATENATE("_U3|",SUBSTITUTE(SUBSTITUTE(L38,"_","-"),"|","-"))))</f>
        <v>#N/A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75" customHeight="1">
      <c r="A39" s="13"/>
      <c r="B39" s="13"/>
      <c r="C39" s="13"/>
      <c r="D39" s="13"/>
      <c r="E39" s="13"/>
      <c r="F39" s="19"/>
      <c r="G39" s="13"/>
      <c r="H39" s="13"/>
      <c r="I39" s="13"/>
      <c r="J39" s="13"/>
      <c r="K39" s="13"/>
      <c r="L39" s="13"/>
      <c r="M39" s="13" t="str">
        <f>CONCATENATE("MK|",(VLOOKUP(B39,Dictionary!$A:$B,2,FALSE)),"_CN|",SUBSTITUTE(SUBSTITUTE(IF(C39="","NONE",C39),"_","-"),"|","-"),"_MN|",(VLOOKUP(D39,Dictionary!$D:$E,2,0)),"_YQ|",(VLOOKUP(E39,Dictionary!$AR:$AR,1,0)),"_CP|",SUBSTITUTE(SUBSTITUTE(IF(F39="","NONE",F39),"_","-"),"|","-"),"_SP|",(VLOOKUP(G39,Dictionary!$AY:$AZ,2,0)),"_AC|",(VLOOKUP(H39,Dictionary!$BA:$BB,2,0)),IF(I39="","",CONCATENATE("_OB|",(VLOOKUP(I39,Dictionary!$AS:$AT,2,0)))),IF(J39="","",CONCATENATE("_U1|",SUBSTITUTE(SUBSTITUTE(J39,"_","-"),"|","-"))),IF(K39="","",CONCATENATE("_U2|",SUBSTITUTE(SUBSTITUTE(K39,"_","-"),"|","-"))),IF(L39="","",CONCATENATE("_U3|",SUBSTITUTE(SUBSTITUTE(L39,"_","-"),"|","-"))))</f>
        <v>#N/A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5.75" customHeight="1">
      <c r="A40" s="13"/>
      <c r="B40" s="13"/>
      <c r="C40" s="13"/>
      <c r="D40" s="13"/>
      <c r="E40" s="13"/>
      <c r="F40" s="19"/>
      <c r="G40" s="13"/>
      <c r="H40" s="13"/>
      <c r="I40" s="13"/>
      <c r="J40" s="13"/>
      <c r="K40" s="13"/>
      <c r="L40" s="13"/>
      <c r="M40" s="13" t="str">
        <f>CONCATENATE("MK|",(VLOOKUP(B40,Dictionary!$A:$B,2,FALSE)),"_CN|",SUBSTITUTE(SUBSTITUTE(IF(C40="","NONE",C40),"_","-"),"|","-"),"_MN|",(VLOOKUP(D40,Dictionary!$D:$E,2,0)),"_YQ|",(VLOOKUP(E40,Dictionary!$AR:$AR,1,0)),"_CP|",SUBSTITUTE(SUBSTITUTE(IF(F40="","NONE",F40),"_","-"),"|","-"),"_SP|",(VLOOKUP(G40,Dictionary!$AY:$AZ,2,0)),"_AC|",(VLOOKUP(H40,Dictionary!$BA:$BB,2,0)),IF(I40="","",CONCATENATE("_OB|",(VLOOKUP(I40,Dictionary!$AS:$AT,2,0)))),IF(J40="","",CONCATENATE("_U1|",SUBSTITUTE(SUBSTITUTE(J40,"_","-"),"|","-"))),IF(K40="","",CONCATENATE("_U2|",SUBSTITUTE(SUBSTITUTE(K40,"_","-"),"|","-"))),IF(L40="","",CONCATENATE("_U3|",SUBSTITUTE(SUBSTITUTE(L40,"_","-"),"|","-"))))</f>
        <v>#N/A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5.75" customHeight="1">
      <c r="A41" s="13"/>
      <c r="B41" s="13"/>
      <c r="C41" s="13"/>
      <c r="D41" s="13"/>
      <c r="E41" s="13"/>
      <c r="F41" s="19"/>
      <c r="G41" s="13"/>
      <c r="H41" s="13"/>
      <c r="I41" s="13"/>
      <c r="J41" s="13"/>
      <c r="K41" s="13"/>
      <c r="L41" s="13"/>
      <c r="M41" s="13" t="str">
        <f>CONCATENATE("MK|",(VLOOKUP(B41,Dictionary!$A:$B,2,FALSE)),"_CN|",SUBSTITUTE(SUBSTITUTE(IF(C41="","NONE",C41),"_","-"),"|","-"),"_MN|",(VLOOKUP(D41,Dictionary!$D:$E,2,0)),"_YQ|",(VLOOKUP(E41,Dictionary!$AR:$AR,1,0)),"_CP|",SUBSTITUTE(SUBSTITUTE(IF(F41="","NONE",F41),"_","-"),"|","-"),"_SP|",(VLOOKUP(G41,Dictionary!$AY:$AZ,2,0)),"_AC|",(VLOOKUP(H41,Dictionary!$BA:$BB,2,0)),IF(I41="","",CONCATENATE("_OB|",(VLOOKUP(I41,Dictionary!$AS:$AT,2,0)))),IF(J41="","",CONCATENATE("_U1|",SUBSTITUTE(SUBSTITUTE(J41,"_","-"),"|","-"))),IF(K41="","",CONCATENATE("_U2|",SUBSTITUTE(SUBSTITUTE(K41,"_","-"),"|","-"))),IF(L41="","",CONCATENATE("_U3|",SUBSTITUTE(SUBSTITUTE(L41,"_","-"),"|","-"))))</f>
        <v>#N/A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5.75" customHeight="1">
      <c r="A42" s="13"/>
      <c r="B42" s="13"/>
      <c r="C42" s="13"/>
      <c r="D42" s="13"/>
      <c r="E42" s="13"/>
      <c r="F42" s="19"/>
      <c r="G42" s="13"/>
      <c r="H42" s="13"/>
      <c r="I42" s="13"/>
      <c r="J42" s="13"/>
      <c r="K42" s="13"/>
      <c r="L42" s="13"/>
      <c r="M42" s="13" t="str">
        <f>CONCATENATE("MK|",(VLOOKUP(B42,Dictionary!$A:$B,2,FALSE)),"_CN|",SUBSTITUTE(SUBSTITUTE(IF(C42="","NONE",C42),"_","-"),"|","-"),"_MN|",(VLOOKUP(D42,Dictionary!$D:$E,2,0)),"_YQ|",(VLOOKUP(E42,Dictionary!$AR:$AR,1,0)),"_CP|",SUBSTITUTE(SUBSTITUTE(IF(F42="","NONE",F42),"_","-"),"|","-"),"_SP|",(VLOOKUP(G42,Dictionary!$AY:$AZ,2,0)),"_AC|",(VLOOKUP(H42,Dictionary!$BA:$BB,2,0)),IF(I42="","",CONCATENATE("_OB|",(VLOOKUP(I42,Dictionary!$AS:$AT,2,0)))),IF(J42="","",CONCATENATE("_U1|",SUBSTITUTE(SUBSTITUTE(J42,"_","-"),"|","-"))),IF(K42="","",CONCATENATE("_U2|",SUBSTITUTE(SUBSTITUTE(K42,"_","-"),"|","-"))),IF(L42="","",CONCATENATE("_U3|",SUBSTITUTE(SUBSTITUTE(L42,"_","-"),"|","-"))))</f>
        <v>#N/A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5.75" customHeight="1">
      <c r="A43" s="13"/>
      <c r="B43" s="13"/>
      <c r="C43" s="13"/>
      <c r="D43" s="13"/>
      <c r="E43" s="13"/>
      <c r="F43" s="19"/>
      <c r="G43" s="13"/>
      <c r="H43" s="13"/>
      <c r="I43" s="13"/>
      <c r="J43" s="13"/>
      <c r="K43" s="13"/>
      <c r="L43" s="13"/>
      <c r="M43" s="13" t="str">
        <f>CONCATENATE("MK|",(VLOOKUP(B43,Dictionary!$A:$B,2,FALSE)),"_CN|",SUBSTITUTE(SUBSTITUTE(IF(C43="","NONE",C43),"_","-"),"|","-"),"_MN|",(VLOOKUP(D43,Dictionary!$D:$E,2,0)),"_YQ|",(VLOOKUP(E43,Dictionary!$AR:$AR,1,0)),"_CP|",SUBSTITUTE(SUBSTITUTE(IF(F43="","NONE",F43),"_","-"),"|","-"),"_SP|",(VLOOKUP(G43,Dictionary!$AY:$AZ,2,0)),"_AC|",(VLOOKUP(H43,Dictionary!$BA:$BB,2,0)),IF(I43="","",CONCATENATE("_OB|",(VLOOKUP(I43,Dictionary!$AS:$AT,2,0)))),IF(J43="","",CONCATENATE("_U1|",SUBSTITUTE(SUBSTITUTE(J43,"_","-"),"|","-"))),IF(K43="","",CONCATENATE("_U2|",SUBSTITUTE(SUBSTITUTE(K43,"_","-"),"|","-"))),IF(L43="","",CONCATENATE("_U3|",SUBSTITUTE(SUBSTITUTE(L43,"_","-"),"|","-"))))</f>
        <v>#N/A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5.75" customHeight="1">
      <c r="A44" s="13"/>
      <c r="B44" s="13"/>
      <c r="C44" s="13"/>
      <c r="D44" s="13"/>
      <c r="E44" s="13"/>
      <c r="F44" s="19"/>
      <c r="G44" s="13"/>
      <c r="H44" s="13"/>
      <c r="I44" s="13"/>
      <c r="J44" s="13"/>
      <c r="K44" s="13"/>
      <c r="L44" s="13"/>
      <c r="M44" s="13" t="str">
        <f>CONCATENATE("MK|",(VLOOKUP(B44,Dictionary!$A:$B,2,FALSE)),"_CN|",SUBSTITUTE(SUBSTITUTE(IF(C44="","NONE",C44),"_","-"),"|","-"),"_MN|",(VLOOKUP(D44,Dictionary!$D:$E,2,0)),"_YQ|",(VLOOKUP(E44,Dictionary!$AR:$AR,1,0)),"_CP|",SUBSTITUTE(SUBSTITUTE(IF(F44="","NONE",F44),"_","-"),"|","-"),"_SP|",(VLOOKUP(G44,Dictionary!$AY:$AZ,2,0)),"_AC|",(VLOOKUP(H44,Dictionary!$BA:$BB,2,0)),IF(I44="","",CONCATENATE("_OB|",(VLOOKUP(I44,Dictionary!$AS:$AT,2,0)))),IF(J44="","",CONCATENATE("_U1|",SUBSTITUTE(SUBSTITUTE(J44,"_","-"),"|","-"))),IF(K44="","",CONCATENATE("_U2|",SUBSTITUTE(SUBSTITUTE(K44,"_","-"),"|","-"))),IF(L44="","",CONCATENATE("_U3|",SUBSTITUTE(SUBSTITUTE(L44,"_","-"),"|","-"))))</f>
        <v>#N/A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5.75" customHeight="1">
      <c r="A45" s="13"/>
      <c r="B45" s="13"/>
      <c r="C45" s="13"/>
      <c r="D45" s="13"/>
      <c r="E45" s="13"/>
      <c r="F45" s="19"/>
      <c r="G45" s="13"/>
      <c r="H45" s="13"/>
      <c r="I45" s="13"/>
      <c r="J45" s="13"/>
      <c r="K45" s="13"/>
      <c r="L45" s="13"/>
      <c r="M45" s="13" t="str">
        <f>CONCATENATE("MK|",(VLOOKUP(B45,Dictionary!$A:$B,2,FALSE)),"_CN|",SUBSTITUTE(SUBSTITUTE(IF(C45="","NONE",C45),"_","-"),"|","-"),"_MN|",(VLOOKUP(D45,Dictionary!$D:$E,2,0)),"_YQ|",(VLOOKUP(E45,Dictionary!$AR:$AR,1,0)),"_CP|",SUBSTITUTE(SUBSTITUTE(IF(F45="","NONE",F45),"_","-"),"|","-"),"_SP|",(VLOOKUP(G45,Dictionary!$AY:$AZ,2,0)),"_AC|",(VLOOKUP(H45,Dictionary!$BA:$BB,2,0)),IF(I45="","",CONCATENATE("_OB|",(VLOOKUP(I45,Dictionary!$AS:$AT,2,0)))),IF(J45="","",CONCATENATE("_U1|",SUBSTITUTE(SUBSTITUTE(J45,"_","-"),"|","-"))),IF(K45="","",CONCATENATE("_U2|",SUBSTITUTE(SUBSTITUTE(K45,"_","-"),"|","-"))),IF(L45="","",CONCATENATE("_U3|",SUBSTITUTE(SUBSTITUTE(L45,"_","-"),"|","-"))))</f>
        <v>#N/A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5.75" customHeight="1">
      <c r="A46" s="13"/>
      <c r="B46" s="13"/>
      <c r="C46" s="13"/>
      <c r="D46" s="13"/>
      <c r="E46" s="13"/>
      <c r="F46" s="19"/>
      <c r="G46" s="13"/>
      <c r="H46" s="13"/>
      <c r="I46" s="13"/>
      <c r="J46" s="13"/>
      <c r="K46" s="13"/>
      <c r="L46" s="13"/>
      <c r="M46" s="13" t="str">
        <f>CONCATENATE("MK|",(VLOOKUP(B46,Dictionary!$A:$B,2,FALSE)),"_CN|",SUBSTITUTE(SUBSTITUTE(IF(C46="","NONE",C46),"_","-"),"|","-"),"_MN|",(VLOOKUP(D46,Dictionary!$D:$E,2,0)),"_YQ|",(VLOOKUP(E46,Dictionary!$AR:$AR,1,0)),"_CP|",SUBSTITUTE(SUBSTITUTE(IF(F46="","NONE",F46),"_","-"),"|","-"),"_SP|",(VLOOKUP(G46,Dictionary!$AY:$AZ,2,0)),"_AC|",(VLOOKUP(H46,Dictionary!$BA:$BB,2,0)),IF(I46="","",CONCATENATE("_OB|",(VLOOKUP(I46,Dictionary!$AS:$AT,2,0)))),IF(J46="","",CONCATENATE("_U1|",SUBSTITUTE(SUBSTITUTE(J46,"_","-"),"|","-"))),IF(K46="","",CONCATENATE("_U2|",SUBSTITUTE(SUBSTITUTE(K46,"_","-"),"|","-"))),IF(L46="","",CONCATENATE("_U3|",SUBSTITUTE(SUBSTITUTE(L46,"_","-"),"|","-"))))</f>
        <v>#N/A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5.75" customHeight="1">
      <c r="A47" s="13"/>
      <c r="B47" s="13"/>
      <c r="C47" s="13"/>
      <c r="D47" s="13"/>
      <c r="E47" s="13"/>
      <c r="F47" s="19"/>
      <c r="G47" s="13"/>
      <c r="H47" s="13"/>
      <c r="I47" s="13"/>
      <c r="J47" s="13"/>
      <c r="K47" s="13"/>
      <c r="L47" s="13"/>
      <c r="M47" s="13" t="str">
        <f>CONCATENATE("MK|",(VLOOKUP(B47,Dictionary!$A:$B,2,FALSE)),"_CN|",SUBSTITUTE(SUBSTITUTE(IF(C47="","NONE",C47),"_","-"),"|","-"),"_MN|",(VLOOKUP(D47,Dictionary!$D:$E,2,0)),"_YQ|",(VLOOKUP(E47,Dictionary!$AR:$AR,1,0)),"_CP|",SUBSTITUTE(SUBSTITUTE(IF(F47="","NONE",F47),"_","-"),"|","-"),"_SP|",(VLOOKUP(G47,Dictionary!$AY:$AZ,2,0)),"_AC|",(VLOOKUP(H47,Dictionary!$BA:$BB,2,0)),IF(I47="","",CONCATENATE("_OB|",(VLOOKUP(I47,Dictionary!$AS:$AT,2,0)))),IF(J47="","",CONCATENATE("_U1|",SUBSTITUTE(SUBSTITUTE(J47,"_","-"),"|","-"))),IF(K47="","",CONCATENATE("_U2|",SUBSTITUTE(SUBSTITUTE(K47,"_","-"),"|","-"))),IF(L47="","",CONCATENATE("_U3|",SUBSTITUTE(SUBSTITUTE(L47,"_","-"),"|","-"))))</f>
        <v>#N/A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5.75" customHeight="1">
      <c r="A48" s="13"/>
      <c r="B48" s="13"/>
      <c r="C48" s="13"/>
      <c r="D48" s="13"/>
      <c r="E48" s="13"/>
      <c r="F48" s="19"/>
      <c r="G48" s="13"/>
      <c r="H48" s="13"/>
      <c r="I48" s="13"/>
      <c r="J48" s="13"/>
      <c r="K48" s="13"/>
      <c r="L48" s="13"/>
      <c r="M48" s="13" t="str">
        <f>CONCATENATE("MK|",(VLOOKUP(B48,Dictionary!$A:$B,2,FALSE)),"_CN|",SUBSTITUTE(SUBSTITUTE(IF(C48="","NONE",C48),"_","-"),"|","-"),"_MN|",(VLOOKUP(D48,Dictionary!$D:$E,2,0)),"_YQ|",(VLOOKUP(E48,Dictionary!$AR:$AR,1,0)),"_CP|",SUBSTITUTE(SUBSTITUTE(IF(F48="","NONE",F48),"_","-"),"|","-"),"_SP|",(VLOOKUP(G48,Dictionary!$AY:$AZ,2,0)),"_AC|",(VLOOKUP(H48,Dictionary!$BA:$BB,2,0)),IF(I48="","",CONCATENATE("_OB|",(VLOOKUP(I48,Dictionary!$AS:$AT,2,0)))),IF(J48="","",CONCATENATE("_U1|",SUBSTITUTE(SUBSTITUTE(J48,"_","-"),"|","-"))),IF(K48="","",CONCATENATE("_U2|",SUBSTITUTE(SUBSTITUTE(K48,"_","-"),"|","-"))),IF(L48="","",CONCATENATE("_U3|",SUBSTITUTE(SUBSTITUTE(L48,"_","-"),"|","-"))))</f>
        <v>#N/A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5.75" customHeight="1">
      <c r="A49" s="13"/>
      <c r="B49" s="13"/>
      <c r="C49" s="13"/>
      <c r="D49" s="13"/>
      <c r="E49" s="13"/>
      <c r="F49" s="19"/>
      <c r="G49" s="13"/>
      <c r="H49" s="13"/>
      <c r="I49" s="13"/>
      <c r="J49" s="13"/>
      <c r="K49" s="13"/>
      <c r="L49" s="13"/>
      <c r="M49" s="13" t="str">
        <f>CONCATENATE("MK|",(VLOOKUP(B49,Dictionary!$A:$B,2,FALSE)),"_CN|",SUBSTITUTE(SUBSTITUTE(IF(C49="","NONE",C49),"_","-"),"|","-"),"_MN|",(VLOOKUP(D49,Dictionary!$D:$E,2,0)),"_YQ|",(VLOOKUP(E49,Dictionary!$AR:$AR,1,0)),"_CP|",SUBSTITUTE(SUBSTITUTE(IF(F49="","NONE",F49),"_","-"),"|","-"),"_SP|",(VLOOKUP(G49,Dictionary!$AY:$AZ,2,0)),"_AC|",(VLOOKUP(H49,Dictionary!$BA:$BB,2,0)),IF(I49="","",CONCATENATE("_OB|",(VLOOKUP(I49,Dictionary!$AS:$AT,2,0)))),IF(J49="","",CONCATENATE("_U1|",SUBSTITUTE(SUBSTITUTE(J49,"_","-"),"|","-"))),IF(K49="","",CONCATENATE("_U2|",SUBSTITUTE(SUBSTITUTE(K49,"_","-"),"|","-"))),IF(L49="","",CONCATENATE("_U3|",SUBSTITUTE(SUBSTITUTE(L49,"_","-"),"|","-"))))</f>
        <v>#N/A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75" customHeight="1">
      <c r="A50" s="13"/>
      <c r="B50" s="13"/>
      <c r="C50" s="13"/>
      <c r="D50" s="13"/>
      <c r="E50" s="13"/>
      <c r="F50" s="19"/>
      <c r="G50" s="13"/>
      <c r="H50" s="13"/>
      <c r="I50" s="13"/>
      <c r="J50" s="13"/>
      <c r="K50" s="13"/>
      <c r="L50" s="13"/>
      <c r="M50" s="13" t="str">
        <f>CONCATENATE("MK|",(VLOOKUP(B50,Dictionary!$A:$B,2,FALSE)),"_CN|",SUBSTITUTE(SUBSTITUTE(IF(C50="","NONE",C50),"_","-"),"|","-"),"_MN|",(VLOOKUP(D50,Dictionary!$D:$E,2,0)),"_YQ|",(VLOOKUP(E50,Dictionary!$AR:$AR,1,0)),"_CP|",SUBSTITUTE(SUBSTITUTE(IF(F50="","NONE",F50),"_","-"),"|","-"),"_SP|",(VLOOKUP(G50,Dictionary!$AY:$AZ,2,0)),"_AC|",(VLOOKUP(H50,Dictionary!$BA:$BB,2,0)),IF(I50="","",CONCATENATE("_OB|",(VLOOKUP(I50,Dictionary!$AS:$AT,2,0)))),IF(J50="","",CONCATENATE("_U1|",SUBSTITUTE(SUBSTITUTE(J50,"_","-"),"|","-"))),IF(K50="","",CONCATENATE("_U2|",SUBSTITUTE(SUBSTITUTE(K50,"_","-"),"|","-"))),IF(L50="","",CONCATENATE("_U3|",SUBSTITUTE(SUBSTITUTE(L50,"_","-"),"|","-"))))</f>
        <v>#N/A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5.75" customHeight="1">
      <c r="A51" s="13"/>
      <c r="B51" s="13"/>
      <c r="C51" s="13"/>
      <c r="D51" s="13"/>
      <c r="E51" s="13"/>
      <c r="F51" s="19"/>
      <c r="G51" s="13"/>
      <c r="H51" s="13"/>
      <c r="I51" s="13"/>
      <c r="J51" s="13"/>
      <c r="K51" s="13"/>
      <c r="L51" s="13"/>
      <c r="M51" s="13" t="str">
        <f>CONCATENATE("MK|",(VLOOKUP(B51,Dictionary!$A:$B,2,FALSE)),"_CN|",SUBSTITUTE(SUBSTITUTE(IF(C51="","NONE",C51),"_","-"),"|","-"),"_MN|",(VLOOKUP(D51,Dictionary!$D:$E,2,0)),"_YQ|",(VLOOKUP(E51,Dictionary!$AR:$AR,1,0)),"_CP|",SUBSTITUTE(SUBSTITUTE(IF(F51="","NONE",F51),"_","-"),"|","-"),"_SP|",(VLOOKUP(G51,Dictionary!$AY:$AZ,2,0)),"_AC|",(VLOOKUP(H51,Dictionary!$BA:$BB,2,0)),IF(I51="","",CONCATENATE("_OB|",(VLOOKUP(I51,Dictionary!$AS:$AT,2,0)))),IF(J51="","",CONCATENATE("_U1|",SUBSTITUTE(SUBSTITUTE(J51,"_","-"),"|","-"))),IF(K51="","",CONCATENATE("_U2|",SUBSTITUTE(SUBSTITUTE(K51,"_","-"),"|","-"))),IF(L51="","",CONCATENATE("_U3|",SUBSTITUTE(SUBSTITUTE(L51,"_","-"),"|","-"))))</f>
        <v>#N/A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5.75" customHeight="1">
      <c r="A52" s="13"/>
      <c r="B52" s="13"/>
      <c r="C52" s="13"/>
      <c r="D52" s="13"/>
      <c r="E52" s="13"/>
      <c r="F52" s="19"/>
      <c r="G52" s="13"/>
      <c r="H52" s="13"/>
      <c r="I52" s="13"/>
      <c r="J52" s="13"/>
      <c r="K52" s="13"/>
      <c r="L52" s="13"/>
      <c r="M52" s="13" t="str">
        <f>CONCATENATE("MK|",(VLOOKUP(B52,Dictionary!$A:$B,2,FALSE)),"_CN|",SUBSTITUTE(SUBSTITUTE(IF(C52="","NONE",C52),"_","-"),"|","-"),"_MN|",(VLOOKUP(D52,Dictionary!$D:$E,2,0)),"_YQ|",(VLOOKUP(E52,Dictionary!$AR:$AR,1,0)),"_CP|",SUBSTITUTE(SUBSTITUTE(IF(F52="","NONE",F52),"_","-"),"|","-"),"_SP|",(VLOOKUP(G52,Dictionary!$AY:$AZ,2,0)),"_AC|",(VLOOKUP(H52,Dictionary!$BA:$BB,2,0)),IF(I52="","",CONCATENATE("_OB|",(VLOOKUP(I52,Dictionary!$AS:$AT,2,0)))),IF(J52="","",CONCATENATE("_U1|",SUBSTITUTE(SUBSTITUTE(J52,"_","-"),"|","-"))),IF(K52="","",CONCATENATE("_U2|",SUBSTITUTE(SUBSTITUTE(K52,"_","-"),"|","-"))),IF(L52="","",CONCATENATE("_U3|",SUBSTITUTE(SUBSTITUTE(L52,"_","-"),"|","-"))))</f>
        <v>#N/A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5.75" customHeight="1">
      <c r="A53" s="13"/>
      <c r="B53" s="13"/>
      <c r="C53" s="13"/>
      <c r="D53" s="13"/>
      <c r="E53" s="13"/>
      <c r="F53" s="19"/>
      <c r="G53" s="13"/>
      <c r="H53" s="13"/>
      <c r="I53" s="13"/>
      <c r="J53" s="13"/>
      <c r="K53" s="13"/>
      <c r="L53" s="13"/>
      <c r="M53" s="13" t="str">
        <f>CONCATENATE("MK|",(VLOOKUP(B53,Dictionary!$A:$B,2,FALSE)),"_CN|",SUBSTITUTE(SUBSTITUTE(IF(C53="","NONE",C53),"_","-"),"|","-"),"_MN|",(VLOOKUP(D53,Dictionary!$D:$E,2,0)),"_YQ|",(VLOOKUP(E53,Dictionary!$AR:$AR,1,0)),"_CP|",SUBSTITUTE(SUBSTITUTE(IF(F53="","NONE",F53),"_","-"),"|","-"),"_SP|",(VLOOKUP(G53,Dictionary!$AY:$AZ,2,0)),"_AC|",(VLOOKUP(H53,Dictionary!$BA:$BB,2,0)),IF(I53="","",CONCATENATE("_OB|",(VLOOKUP(I53,Dictionary!$AS:$AT,2,0)))),IF(J53="","",CONCATENATE("_U1|",SUBSTITUTE(SUBSTITUTE(J53,"_","-"),"|","-"))),IF(K53="","",CONCATENATE("_U2|",SUBSTITUTE(SUBSTITUTE(K53,"_","-"),"|","-"))),IF(L53="","",CONCATENATE("_U3|",SUBSTITUTE(SUBSTITUTE(L53,"_","-"),"|","-"))))</f>
        <v>#N/A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75" customHeight="1">
      <c r="A54" s="13"/>
      <c r="B54" s="13"/>
      <c r="C54" s="13"/>
      <c r="D54" s="13"/>
      <c r="E54" s="13"/>
      <c r="F54" s="19"/>
      <c r="G54" s="13"/>
      <c r="H54" s="13"/>
      <c r="I54" s="13"/>
      <c r="J54" s="13"/>
      <c r="K54" s="13"/>
      <c r="L54" s="13"/>
      <c r="M54" s="13" t="str">
        <f>CONCATENATE("MK|",(VLOOKUP(B54,Dictionary!$A:$B,2,FALSE)),"_CN|",SUBSTITUTE(SUBSTITUTE(IF(C54="","NONE",C54),"_","-"),"|","-"),"_MN|",(VLOOKUP(D54,Dictionary!$D:$E,2,0)),"_YQ|",(VLOOKUP(E54,Dictionary!$AR:$AR,1,0)),"_CP|",SUBSTITUTE(SUBSTITUTE(IF(F54="","NONE",F54),"_","-"),"|","-"),"_SP|",(VLOOKUP(G54,Dictionary!$AY:$AZ,2,0)),"_AC|",(VLOOKUP(H54,Dictionary!$BA:$BB,2,0)),IF(I54="","",CONCATENATE("_OB|",(VLOOKUP(I54,Dictionary!$AS:$AT,2,0)))),IF(J54="","",CONCATENATE("_U1|",SUBSTITUTE(SUBSTITUTE(J54,"_","-"),"|","-"))),IF(K54="","",CONCATENATE("_U2|",SUBSTITUTE(SUBSTITUTE(K54,"_","-"),"|","-"))),IF(L54="","",CONCATENATE("_U3|",SUBSTITUTE(SUBSTITUTE(L54,"_","-"),"|","-"))))</f>
        <v>#N/A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5.75" customHeight="1">
      <c r="A55" s="13"/>
      <c r="B55" s="13"/>
      <c r="C55" s="13"/>
      <c r="D55" s="13"/>
      <c r="E55" s="13"/>
      <c r="F55" s="19"/>
      <c r="G55" s="13"/>
      <c r="H55" s="13"/>
      <c r="I55" s="13"/>
      <c r="J55" s="13"/>
      <c r="K55" s="13"/>
      <c r="L55" s="13"/>
      <c r="M55" s="13" t="str">
        <f>CONCATENATE("MK|",(VLOOKUP(B55,Dictionary!$A:$B,2,FALSE)),"_CN|",SUBSTITUTE(SUBSTITUTE(IF(C55="","NONE",C55),"_","-"),"|","-"),"_MN|",(VLOOKUP(D55,Dictionary!$D:$E,2,0)),"_YQ|",(VLOOKUP(E55,Dictionary!$AR:$AR,1,0)),"_CP|",SUBSTITUTE(SUBSTITUTE(IF(F55="","NONE",F55),"_","-"),"|","-"),"_SP|",(VLOOKUP(G55,Dictionary!$AY:$AZ,2,0)),"_AC|",(VLOOKUP(H55,Dictionary!$BA:$BB,2,0)),IF(I55="","",CONCATENATE("_OB|",(VLOOKUP(I55,Dictionary!$AS:$AT,2,0)))),IF(J55="","",CONCATENATE("_U1|",SUBSTITUTE(SUBSTITUTE(J55,"_","-"),"|","-"))),IF(K55="","",CONCATENATE("_U2|",SUBSTITUTE(SUBSTITUTE(K55,"_","-"),"|","-"))),IF(L55="","",CONCATENATE("_U3|",SUBSTITUTE(SUBSTITUTE(L55,"_","-"),"|","-"))))</f>
        <v>#N/A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75" customHeight="1">
      <c r="A56" s="13"/>
      <c r="B56" s="13"/>
      <c r="C56" s="13"/>
      <c r="D56" s="13"/>
      <c r="E56" s="13"/>
      <c r="F56" s="19"/>
      <c r="G56" s="13"/>
      <c r="H56" s="13"/>
      <c r="I56" s="13"/>
      <c r="J56" s="13"/>
      <c r="K56" s="13"/>
      <c r="L56" s="13"/>
      <c r="M56" s="13" t="str">
        <f>CONCATENATE("MK|",(VLOOKUP(B56,Dictionary!$A:$B,2,FALSE)),"_CN|",SUBSTITUTE(SUBSTITUTE(IF(C56="","NONE",C56),"_","-"),"|","-"),"_MN|",(VLOOKUP(D56,Dictionary!$D:$E,2,0)),"_YQ|",(VLOOKUP(E56,Dictionary!$AR:$AR,1,0)),"_CP|",SUBSTITUTE(SUBSTITUTE(IF(F56="","NONE",F56),"_","-"),"|","-"),"_SP|",(VLOOKUP(G56,Dictionary!$AY:$AZ,2,0)),"_AC|",(VLOOKUP(H56,Dictionary!$BA:$BB,2,0)),IF(I56="","",CONCATENATE("_OB|",(VLOOKUP(I56,Dictionary!$AS:$AT,2,0)))),IF(J56="","",CONCATENATE("_U1|",SUBSTITUTE(SUBSTITUTE(J56,"_","-"),"|","-"))),IF(K56="","",CONCATENATE("_U2|",SUBSTITUTE(SUBSTITUTE(K56,"_","-"),"|","-"))),IF(L56="","",CONCATENATE("_U3|",SUBSTITUTE(SUBSTITUTE(L56,"_","-"),"|","-"))))</f>
        <v>#N/A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5.75" customHeight="1">
      <c r="A57" s="13"/>
      <c r="B57" s="13"/>
      <c r="C57" s="13"/>
      <c r="D57" s="13"/>
      <c r="E57" s="13"/>
      <c r="F57" s="19"/>
      <c r="G57" s="13"/>
      <c r="H57" s="13"/>
      <c r="I57" s="13"/>
      <c r="J57" s="13"/>
      <c r="K57" s="13"/>
      <c r="L57" s="13"/>
      <c r="M57" s="13" t="str">
        <f>CONCATENATE("MK|",(VLOOKUP(B57,Dictionary!$A:$B,2,FALSE)),"_CN|",SUBSTITUTE(SUBSTITUTE(IF(C57="","NONE",C57),"_","-"),"|","-"),"_MN|",(VLOOKUP(D57,Dictionary!$D:$E,2,0)),"_YQ|",(VLOOKUP(E57,Dictionary!$AR:$AR,1,0)),"_CP|",SUBSTITUTE(SUBSTITUTE(IF(F57="","NONE",F57),"_","-"),"|","-"),"_SP|",(VLOOKUP(G57,Dictionary!$AY:$AZ,2,0)),"_AC|",(VLOOKUP(H57,Dictionary!$BA:$BB,2,0)),IF(I57="","",CONCATENATE("_OB|",(VLOOKUP(I57,Dictionary!$AS:$AT,2,0)))),IF(J57="","",CONCATENATE("_U1|",SUBSTITUTE(SUBSTITUTE(J57,"_","-"),"|","-"))),IF(K57="","",CONCATENATE("_U2|",SUBSTITUTE(SUBSTITUTE(K57,"_","-"),"|","-"))),IF(L57="","",CONCATENATE("_U3|",SUBSTITUTE(SUBSTITUTE(L57,"_","-"),"|","-"))))</f>
        <v>#N/A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5.75" customHeight="1">
      <c r="A58" s="13"/>
      <c r="B58" s="13"/>
      <c r="C58" s="13"/>
      <c r="D58" s="13"/>
      <c r="E58" s="13"/>
      <c r="F58" s="19"/>
      <c r="G58" s="13"/>
      <c r="H58" s="13"/>
      <c r="I58" s="13"/>
      <c r="J58" s="13"/>
      <c r="K58" s="13"/>
      <c r="L58" s="13"/>
      <c r="M58" s="13" t="str">
        <f>CONCATENATE("MK|",(VLOOKUP(B58,Dictionary!$A:$B,2,FALSE)),"_CN|",SUBSTITUTE(SUBSTITUTE(IF(C58="","NONE",C58),"_","-"),"|","-"),"_MN|",(VLOOKUP(D58,Dictionary!$D:$E,2,0)),"_YQ|",(VLOOKUP(E58,Dictionary!$AR:$AR,1,0)),"_CP|",SUBSTITUTE(SUBSTITUTE(IF(F58="","NONE",F58),"_","-"),"|","-"),"_SP|",(VLOOKUP(G58,Dictionary!$AY:$AZ,2,0)),"_AC|",(VLOOKUP(H58,Dictionary!$BA:$BB,2,0)),IF(I58="","",CONCATENATE("_OB|",(VLOOKUP(I58,Dictionary!$AS:$AT,2,0)))),IF(J58="","",CONCATENATE("_U1|",SUBSTITUTE(SUBSTITUTE(J58,"_","-"),"|","-"))),IF(K58="","",CONCATENATE("_U2|",SUBSTITUTE(SUBSTITUTE(K58,"_","-"),"|","-"))),IF(L58="","",CONCATENATE("_U3|",SUBSTITUTE(SUBSTITUTE(L58,"_","-"),"|","-"))))</f>
        <v>#N/A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5.75" customHeight="1">
      <c r="A59" s="13"/>
      <c r="B59" s="13"/>
      <c r="C59" s="13"/>
      <c r="D59" s="13"/>
      <c r="E59" s="13"/>
      <c r="F59" s="19"/>
      <c r="G59" s="13"/>
      <c r="H59" s="13"/>
      <c r="I59" s="13"/>
      <c r="J59" s="13"/>
      <c r="K59" s="13"/>
      <c r="L59" s="13"/>
      <c r="M59" s="13" t="str">
        <f>CONCATENATE("MK|",(VLOOKUP(B59,Dictionary!$A:$B,2,FALSE)),"_CN|",SUBSTITUTE(SUBSTITUTE(IF(C59="","NONE",C59),"_","-"),"|","-"),"_MN|",(VLOOKUP(D59,Dictionary!$D:$E,2,0)),"_YQ|",(VLOOKUP(E59,Dictionary!$AR:$AR,1,0)),"_CP|",SUBSTITUTE(SUBSTITUTE(IF(F59="","NONE",F59),"_","-"),"|","-"),"_SP|",(VLOOKUP(G59,Dictionary!$AY:$AZ,2,0)),"_AC|",(VLOOKUP(H59,Dictionary!$BA:$BB,2,0)),IF(I59="","",CONCATENATE("_OB|",(VLOOKUP(I59,Dictionary!$AS:$AT,2,0)))),IF(J59="","",CONCATENATE("_U1|",SUBSTITUTE(SUBSTITUTE(J59,"_","-"),"|","-"))),IF(K59="","",CONCATENATE("_U2|",SUBSTITUTE(SUBSTITUTE(K59,"_","-"),"|","-"))),IF(L59="","",CONCATENATE("_U3|",SUBSTITUTE(SUBSTITUTE(L59,"_","-"),"|","-"))))</f>
        <v>#N/A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5.75" customHeight="1">
      <c r="A60" s="13"/>
      <c r="B60" s="13"/>
      <c r="C60" s="13"/>
      <c r="D60" s="13"/>
      <c r="E60" s="13"/>
      <c r="F60" s="19"/>
      <c r="G60" s="13"/>
      <c r="H60" s="13"/>
      <c r="I60" s="13"/>
      <c r="J60" s="13"/>
      <c r="K60" s="13"/>
      <c r="L60" s="13"/>
      <c r="M60" s="13" t="str">
        <f>CONCATENATE("MK|",(VLOOKUP(B60,Dictionary!$A:$B,2,FALSE)),"_CN|",SUBSTITUTE(SUBSTITUTE(IF(C60="","NONE",C60),"_","-"),"|","-"),"_MN|",(VLOOKUP(D60,Dictionary!$D:$E,2,0)),"_YQ|",(VLOOKUP(E60,Dictionary!$AR:$AR,1,0)),"_CP|",SUBSTITUTE(SUBSTITUTE(IF(F60="","NONE",F60),"_","-"),"|","-"),"_SP|",(VLOOKUP(G60,Dictionary!$AY:$AZ,2,0)),"_AC|",(VLOOKUP(H60,Dictionary!$BA:$BB,2,0)),IF(I60="","",CONCATENATE("_OB|",(VLOOKUP(I60,Dictionary!$AS:$AT,2,0)))),IF(J60="","",CONCATENATE("_U1|",SUBSTITUTE(SUBSTITUTE(J60,"_","-"),"|","-"))),IF(K60="","",CONCATENATE("_U2|",SUBSTITUTE(SUBSTITUTE(K60,"_","-"),"|","-"))),IF(L60="","",CONCATENATE("_U3|",SUBSTITUTE(SUBSTITUTE(L60,"_","-"),"|","-"))))</f>
        <v>#N/A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5.75" customHeight="1">
      <c r="A61" s="13"/>
      <c r="B61" s="13"/>
      <c r="C61" s="13"/>
      <c r="D61" s="13"/>
      <c r="E61" s="13"/>
      <c r="F61" s="19"/>
      <c r="G61" s="13"/>
      <c r="H61" s="13"/>
      <c r="I61" s="13"/>
      <c r="J61" s="13"/>
      <c r="K61" s="13"/>
      <c r="L61" s="13"/>
      <c r="M61" s="13" t="str">
        <f>CONCATENATE("MK|",(VLOOKUP(B61,Dictionary!$A:$B,2,FALSE)),"_CN|",SUBSTITUTE(SUBSTITUTE(IF(C61="","NONE",C61),"_","-"),"|","-"),"_MN|",(VLOOKUP(D61,Dictionary!$D:$E,2,0)),"_YQ|",(VLOOKUP(E61,Dictionary!$AR:$AR,1,0)),"_CP|",SUBSTITUTE(SUBSTITUTE(IF(F61="","NONE",F61),"_","-"),"|","-"),"_SP|",(VLOOKUP(G61,Dictionary!$AY:$AZ,2,0)),"_AC|",(VLOOKUP(H61,Dictionary!$BA:$BB,2,0)),IF(I61="","",CONCATENATE("_OB|",(VLOOKUP(I61,Dictionary!$AS:$AT,2,0)))),IF(J61="","",CONCATENATE("_U1|",SUBSTITUTE(SUBSTITUTE(J61,"_","-"),"|","-"))),IF(K61="","",CONCATENATE("_U2|",SUBSTITUTE(SUBSTITUTE(K61,"_","-"),"|","-"))),IF(L61="","",CONCATENATE("_U3|",SUBSTITUTE(SUBSTITUTE(L61,"_","-"),"|","-"))))</f>
        <v>#N/A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5.75" customHeight="1">
      <c r="A62" s="13"/>
      <c r="B62" s="13"/>
      <c r="C62" s="13"/>
      <c r="D62" s="13"/>
      <c r="E62" s="13"/>
      <c r="F62" s="19"/>
      <c r="G62" s="13"/>
      <c r="H62" s="13"/>
      <c r="I62" s="13"/>
      <c r="J62" s="13"/>
      <c r="K62" s="13"/>
      <c r="L62" s="13"/>
      <c r="M62" s="13" t="str">
        <f>CONCATENATE("MK|",(VLOOKUP(B62,Dictionary!$A:$B,2,FALSE)),"_CN|",SUBSTITUTE(SUBSTITUTE(IF(C62="","NONE",C62),"_","-"),"|","-"),"_MN|",(VLOOKUP(D62,Dictionary!$D:$E,2,0)),"_YQ|",(VLOOKUP(E62,Dictionary!$AR:$AR,1,0)),"_CP|",SUBSTITUTE(SUBSTITUTE(IF(F62="","NONE",F62),"_","-"),"|","-"),"_SP|",(VLOOKUP(G62,Dictionary!$AY:$AZ,2,0)),"_AC|",(VLOOKUP(H62,Dictionary!$BA:$BB,2,0)),IF(I62="","",CONCATENATE("_OB|",(VLOOKUP(I62,Dictionary!$AS:$AT,2,0)))),IF(J62="","",CONCATENATE("_U1|",SUBSTITUTE(SUBSTITUTE(J62,"_","-"),"|","-"))),IF(K62="","",CONCATENATE("_U2|",SUBSTITUTE(SUBSTITUTE(K62,"_","-"),"|","-"))),IF(L62="","",CONCATENATE("_U3|",SUBSTITUTE(SUBSTITUTE(L62,"_","-"),"|","-"))))</f>
        <v>#N/A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5.75" customHeight="1">
      <c r="A63" s="13"/>
      <c r="B63" s="13"/>
      <c r="C63" s="13"/>
      <c r="D63" s="13"/>
      <c r="E63" s="13"/>
      <c r="F63" s="19"/>
      <c r="G63" s="13"/>
      <c r="H63" s="13"/>
      <c r="I63" s="13"/>
      <c r="J63" s="13"/>
      <c r="K63" s="13"/>
      <c r="L63" s="13"/>
      <c r="M63" s="13" t="str">
        <f>CONCATENATE("MK|",(VLOOKUP(B63,Dictionary!$A:$B,2,FALSE)),"_CN|",SUBSTITUTE(SUBSTITUTE(IF(C63="","NONE",C63),"_","-"),"|","-"),"_MN|",(VLOOKUP(D63,Dictionary!$D:$E,2,0)),"_YQ|",(VLOOKUP(E63,Dictionary!$AR:$AR,1,0)),"_CP|",SUBSTITUTE(SUBSTITUTE(IF(F63="","NONE",F63),"_","-"),"|","-"),"_SP|",(VLOOKUP(G63,Dictionary!$AY:$AZ,2,0)),"_AC|",(VLOOKUP(H63,Dictionary!$BA:$BB,2,0)),IF(I63="","",CONCATENATE("_OB|",(VLOOKUP(I63,Dictionary!$AS:$AT,2,0)))),IF(J63="","",CONCATENATE("_U1|",SUBSTITUTE(SUBSTITUTE(J63,"_","-"),"|","-"))),IF(K63="","",CONCATENATE("_U2|",SUBSTITUTE(SUBSTITUTE(K63,"_","-"),"|","-"))),IF(L63="","",CONCATENATE("_U3|",SUBSTITUTE(SUBSTITUTE(L63,"_","-"),"|","-"))))</f>
        <v>#N/A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5.75" customHeight="1">
      <c r="A64" s="13"/>
      <c r="B64" s="13"/>
      <c r="C64" s="13"/>
      <c r="D64" s="13"/>
      <c r="E64" s="13"/>
      <c r="F64" s="19"/>
      <c r="G64" s="13"/>
      <c r="H64" s="13"/>
      <c r="I64" s="13"/>
      <c r="J64" s="13"/>
      <c r="K64" s="13"/>
      <c r="L64" s="13"/>
      <c r="M64" s="13" t="str">
        <f>CONCATENATE("MK|",(VLOOKUP(B64,Dictionary!$A:$B,2,FALSE)),"_CN|",SUBSTITUTE(SUBSTITUTE(IF(C64="","NONE",C64),"_","-"),"|","-"),"_MN|",(VLOOKUP(D64,Dictionary!$D:$E,2,0)),"_YQ|",(VLOOKUP(E64,Dictionary!$AR:$AR,1,0)),"_CP|",SUBSTITUTE(SUBSTITUTE(IF(F64="","NONE",F64),"_","-"),"|","-"),"_SP|",(VLOOKUP(G64,Dictionary!$AY:$AZ,2,0)),"_AC|",(VLOOKUP(H64,Dictionary!$BA:$BB,2,0)),IF(I64="","",CONCATENATE("_OB|",(VLOOKUP(I64,Dictionary!$AS:$AT,2,0)))),IF(J64="","",CONCATENATE("_U1|",SUBSTITUTE(SUBSTITUTE(J64,"_","-"),"|","-"))),IF(K64="","",CONCATENATE("_U2|",SUBSTITUTE(SUBSTITUTE(K64,"_","-"),"|","-"))),IF(L64="","",CONCATENATE("_U3|",SUBSTITUTE(SUBSTITUTE(L64,"_","-"),"|","-"))))</f>
        <v>#N/A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5.75" customHeight="1">
      <c r="A65" s="13"/>
      <c r="B65" s="13"/>
      <c r="C65" s="13"/>
      <c r="D65" s="13"/>
      <c r="E65" s="13"/>
      <c r="F65" s="19"/>
      <c r="G65" s="13"/>
      <c r="H65" s="13"/>
      <c r="I65" s="13"/>
      <c r="J65" s="13"/>
      <c r="K65" s="13"/>
      <c r="L65" s="13"/>
      <c r="M65" s="13" t="str">
        <f>CONCATENATE("MK|",(VLOOKUP(B65,Dictionary!$A:$B,2,FALSE)),"_CN|",SUBSTITUTE(SUBSTITUTE(IF(C65="","NONE",C65),"_","-"),"|","-"),"_MN|",(VLOOKUP(D65,Dictionary!$D:$E,2,0)),"_YQ|",(VLOOKUP(E65,Dictionary!$AR:$AR,1,0)),"_CP|",SUBSTITUTE(SUBSTITUTE(IF(F65="","NONE",F65),"_","-"),"|","-"),"_SP|",(VLOOKUP(G65,Dictionary!$AY:$AZ,2,0)),"_AC|",(VLOOKUP(H65,Dictionary!$BA:$BB,2,0)),IF(I65="","",CONCATENATE("_OB|",(VLOOKUP(I65,Dictionary!$AS:$AT,2,0)))),IF(J65="","",CONCATENATE("_U1|",SUBSTITUTE(SUBSTITUTE(J65,"_","-"),"|","-"))),IF(K65="","",CONCATENATE("_U2|",SUBSTITUTE(SUBSTITUTE(K65,"_","-"),"|","-"))),IF(L65="","",CONCATENATE("_U3|",SUBSTITUTE(SUBSTITUTE(L65,"_","-"),"|","-"))))</f>
        <v>#N/A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5.75" customHeight="1">
      <c r="A66" s="13"/>
      <c r="B66" s="13"/>
      <c r="C66" s="13"/>
      <c r="D66" s="13"/>
      <c r="E66" s="13"/>
      <c r="F66" s="19"/>
      <c r="G66" s="13"/>
      <c r="H66" s="13"/>
      <c r="I66" s="13"/>
      <c r="J66" s="13"/>
      <c r="K66" s="13"/>
      <c r="L66" s="13"/>
      <c r="M66" s="13" t="str">
        <f>CONCATENATE("MK|",(VLOOKUP(B66,Dictionary!$A:$B,2,FALSE)),"_CN|",SUBSTITUTE(SUBSTITUTE(IF(C66="","NONE",C66),"_","-"),"|","-"),"_MN|",(VLOOKUP(D66,Dictionary!$D:$E,2,0)),"_YQ|",(VLOOKUP(E66,Dictionary!$AR:$AR,1,0)),"_CP|",SUBSTITUTE(SUBSTITUTE(IF(F66="","NONE",F66),"_","-"),"|","-"),"_SP|",(VLOOKUP(G66,Dictionary!$AY:$AZ,2,0)),"_AC|",(VLOOKUP(H66,Dictionary!$BA:$BB,2,0)),IF(I66="","",CONCATENATE("_OB|",(VLOOKUP(I66,Dictionary!$AS:$AT,2,0)))),IF(J66="","",CONCATENATE("_U1|",SUBSTITUTE(SUBSTITUTE(J66,"_","-"),"|","-"))),IF(K66="","",CONCATENATE("_U2|",SUBSTITUTE(SUBSTITUTE(K66,"_","-"),"|","-"))),IF(L66="","",CONCATENATE("_U3|",SUBSTITUTE(SUBSTITUTE(L66,"_","-"),"|","-"))))</f>
        <v>#N/A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5.75" customHeight="1">
      <c r="A67" s="13"/>
      <c r="B67" s="13"/>
      <c r="C67" s="13"/>
      <c r="D67" s="13"/>
      <c r="E67" s="13"/>
      <c r="F67" s="19"/>
      <c r="G67" s="13"/>
      <c r="H67" s="13"/>
      <c r="I67" s="13"/>
      <c r="J67" s="13"/>
      <c r="K67" s="13"/>
      <c r="L67" s="13"/>
      <c r="M67" s="13" t="str">
        <f>CONCATENATE("MK|",(VLOOKUP(B67,Dictionary!$A:$B,2,FALSE)),"_CN|",SUBSTITUTE(SUBSTITUTE(IF(C67="","NONE",C67),"_","-"),"|","-"),"_MN|",(VLOOKUP(D67,Dictionary!$D:$E,2,0)),"_YQ|",(VLOOKUP(E67,Dictionary!$AR:$AR,1,0)),"_CP|",SUBSTITUTE(SUBSTITUTE(IF(F67="","NONE",F67),"_","-"),"|","-"),"_SP|",(VLOOKUP(G67,Dictionary!$AY:$AZ,2,0)),"_AC|",(VLOOKUP(H67,Dictionary!$BA:$BB,2,0)),IF(I67="","",CONCATENATE("_OB|",(VLOOKUP(I67,Dictionary!$AS:$AT,2,0)))),IF(J67="","",CONCATENATE("_U1|",SUBSTITUTE(SUBSTITUTE(J67,"_","-"),"|","-"))),IF(K67="","",CONCATENATE("_U2|",SUBSTITUTE(SUBSTITUTE(K67,"_","-"),"|","-"))),IF(L67="","",CONCATENATE("_U3|",SUBSTITUTE(SUBSTITUTE(L67,"_","-"),"|","-"))))</f>
        <v>#N/A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5.75" customHeight="1">
      <c r="A68" s="13"/>
      <c r="B68" s="13"/>
      <c r="C68" s="13"/>
      <c r="D68" s="13"/>
      <c r="E68" s="13"/>
      <c r="F68" s="19"/>
      <c r="G68" s="13"/>
      <c r="H68" s="13"/>
      <c r="I68" s="13"/>
      <c r="J68" s="13"/>
      <c r="K68" s="13"/>
      <c r="L68" s="13"/>
      <c r="M68" s="13" t="str">
        <f>CONCATENATE("MK|",(VLOOKUP(B68,Dictionary!$A:$B,2,FALSE)),"_CN|",SUBSTITUTE(SUBSTITUTE(IF(C68="","NONE",C68),"_","-"),"|","-"),"_MN|",(VLOOKUP(D68,Dictionary!$D:$E,2,0)),"_YQ|",(VLOOKUP(E68,Dictionary!$AR:$AR,1,0)),"_CP|",SUBSTITUTE(SUBSTITUTE(IF(F68="","NONE",F68),"_","-"),"|","-"),"_SP|",(VLOOKUP(G68,Dictionary!$AY:$AZ,2,0)),"_AC|",(VLOOKUP(H68,Dictionary!$BA:$BB,2,0)),IF(I68="","",CONCATENATE("_OB|",(VLOOKUP(I68,Dictionary!$AS:$AT,2,0)))),IF(J68="","",CONCATENATE("_U1|",SUBSTITUTE(SUBSTITUTE(J68,"_","-"),"|","-"))),IF(K68="","",CONCATENATE("_U2|",SUBSTITUTE(SUBSTITUTE(K68,"_","-"),"|","-"))),IF(L68="","",CONCATENATE("_U3|",SUBSTITUTE(SUBSTITUTE(L68,"_","-"),"|","-"))))</f>
        <v>#N/A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5.75" customHeight="1">
      <c r="A69" s="13"/>
      <c r="B69" s="13"/>
      <c r="C69" s="13"/>
      <c r="D69" s="13"/>
      <c r="E69" s="13"/>
      <c r="F69" s="19"/>
      <c r="G69" s="13"/>
      <c r="H69" s="13"/>
      <c r="I69" s="13"/>
      <c r="J69" s="13"/>
      <c r="K69" s="13"/>
      <c r="L69" s="13"/>
      <c r="M69" s="13" t="str">
        <f>CONCATENATE("MK|",(VLOOKUP(B69,Dictionary!$A:$B,2,FALSE)),"_CN|",SUBSTITUTE(SUBSTITUTE(IF(C69="","NONE",C69),"_","-"),"|","-"),"_MN|",(VLOOKUP(D69,Dictionary!$D:$E,2,0)),"_YQ|",(VLOOKUP(E69,Dictionary!$AR:$AR,1,0)),"_CP|",SUBSTITUTE(SUBSTITUTE(IF(F69="","NONE",F69),"_","-"),"|","-"),"_SP|",(VLOOKUP(G69,Dictionary!$AY:$AZ,2,0)),"_AC|",(VLOOKUP(H69,Dictionary!$BA:$BB,2,0)),IF(I69="","",CONCATENATE("_OB|",(VLOOKUP(I69,Dictionary!$AS:$AT,2,0)))),IF(J69="","",CONCATENATE("_U1|",SUBSTITUTE(SUBSTITUTE(J69,"_","-"),"|","-"))),IF(K69="","",CONCATENATE("_U2|",SUBSTITUTE(SUBSTITUTE(K69,"_","-"),"|","-"))),IF(L69="","",CONCATENATE("_U3|",SUBSTITUTE(SUBSTITUTE(L69,"_","-"),"|","-"))))</f>
        <v>#N/A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5.75" customHeight="1">
      <c r="A70" s="13"/>
      <c r="B70" s="13"/>
      <c r="C70" s="13"/>
      <c r="D70" s="13"/>
      <c r="E70" s="13"/>
      <c r="F70" s="19"/>
      <c r="G70" s="13"/>
      <c r="H70" s="13"/>
      <c r="I70" s="13"/>
      <c r="J70" s="13"/>
      <c r="K70" s="13"/>
      <c r="L70" s="13"/>
      <c r="M70" s="13" t="str">
        <f>CONCATENATE("MK|",(VLOOKUP(B70,Dictionary!$A:$B,2,FALSE)),"_CN|",SUBSTITUTE(SUBSTITUTE(IF(C70="","NONE",C70),"_","-"),"|","-"),"_MN|",(VLOOKUP(D70,Dictionary!$D:$E,2,0)),"_YQ|",(VLOOKUP(E70,Dictionary!$AR:$AR,1,0)),"_CP|",SUBSTITUTE(SUBSTITUTE(IF(F70="","NONE",F70),"_","-"),"|","-"),"_SP|",(VLOOKUP(G70,Dictionary!$AY:$AZ,2,0)),"_AC|",(VLOOKUP(H70,Dictionary!$BA:$BB,2,0)),IF(I70="","",CONCATENATE("_OB|",(VLOOKUP(I70,Dictionary!$AS:$AT,2,0)))),IF(J70="","",CONCATENATE("_U1|",SUBSTITUTE(SUBSTITUTE(J70,"_","-"),"|","-"))),IF(K70="","",CONCATENATE("_U2|",SUBSTITUTE(SUBSTITUTE(K70,"_","-"),"|","-"))),IF(L70="","",CONCATENATE("_U3|",SUBSTITUTE(SUBSTITUTE(L70,"_","-"),"|","-"))))</f>
        <v>#N/A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5.75" customHeight="1">
      <c r="A71" s="13"/>
      <c r="B71" s="13"/>
      <c r="C71" s="13"/>
      <c r="D71" s="13"/>
      <c r="E71" s="13"/>
      <c r="F71" s="19"/>
      <c r="G71" s="13"/>
      <c r="H71" s="13"/>
      <c r="I71" s="13"/>
      <c r="J71" s="13"/>
      <c r="K71" s="13"/>
      <c r="L71" s="13"/>
      <c r="M71" s="13" t="str">
        <f>CONCATENATE("MK|",(VLOOKUP(B71,Dictionary!$A:$B,2,FALSE)),"_CN|",SUBSTITUTE(SUBSTITUTE(IF(C71="","NONE",C71),"_","-"),"|","-"),"_MN|",(VLOOKUP(D71,Dictionary!$D:$E,2,0)),"_YQ|",(VLOOKUP(E71,Dictionary!$AR:$AR,1,0)),"_CP|",SUBSTITUTE(SUBSTITUTE(IF(F71="","NONE",F71),"_","-"),"|","-"),"_SP|",(VLOOKUP(G71,Dictionary!$AY:$AZ,2,0)),"_AC|",(VLOOKUP(H71,Dictionary!$BA:$BB,2,0)),IF(I71="","",CONCATENATE("_OB|",(VLOOKUP(I71,Dictionary!$AS:$AT,2,0)))),IF(J71="","",CONCATENATE("_U1|",SUBSTITUTE(SUBSTITUTE(J71,"_","-"),"|","-"))),IF(K71="","",CONCATENATE("_U2|",SUBSTITUTE(SUBSTITUTE(K71,"_","-"),"|","-"))),IF(L71="","",CONCATENATE("_U3|",SUBSTITUTE(SUBSTITUTE(L71,"_","-"),"|","-"))))</f>
        <v>#N/A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5.75" customHeight="1">
      <c r="A72" s="13"/>
      <c r="B72" s="13"/>
      <c r="C72" s="13"/>
      <c r="D72" s="13"/>
      <c r="E72" s="13"/>
      <c r="F72" s="19"/>
      <c r="G72" s="13"/>
      <c r="H72" s="13"/>
      <c r="I72" s="13"/>
      <c r="J72" s="13"/>
      <c r="K72" s="13"/>
      <c r="L72" s="13"/>
      <c r="M72" s="13" t="str">
        <f>CONCATENATE("MK|",(VLOOKUP(B72,Dictionary!$A:$B,2,FALSE)),"_CN|",SUBSTITUTE(SUBSTITUTE(IF(C72="","NONE",C72),"_","-"),"|","-"),"_MN|",(VLOOKUP(D72,Dictionary!$D:$E,2,0)),"_YQ|",(VLOOKUP(E72,Dictionary!$AR:$AR,1,0)),"_CP|",SUBSTITUTE(SUBSTITUTE(IF(F72="","NONE",F72),"_","-"),"|","-"),"_SP|",(VLOOKUP(G72,Dictionary!$AY:$AZ,2,0)),"_AC|",(VLOOKUP(H72,Dictionary!$BA:$BB,2,0)),IF(I72="","",CONCATENATE("_OB|",(VLOOKUP(I72,Dictionary!$AS:$AT,2,0)))),IF(J72="","",CONCATENATE("_U1|",SUBSTITUTE(SUBSTITUTE(J72,"_","-"),"|","-"))),IF(K72="","",CONCATENATE("_U2|",SUBSTITUTE(SUBSTITUTE(K72,"_","-"),"|","-"))),IF(L72="","",CONCATENATE("_U3|",SUBSTITUTE(SUBSTITUTE(L72,"_","-"),"|","-"))))</f>
        <v>#N/A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5.75" customHeight="1">
      <c r="A73" s="13"/>
      <c r="B73" s="13"/>
      <c r="C73" s="13"/>
      <c r="D73" s="13"/>
      <c r="E73" s="13"/>
      <c r="F73" s="19"/>
      <c r="G73" s="13"/>
      <c r="H73" s="13"/>
      <c r="I73" s="13"/>
      <c r="J73" s="13"/>
      <c r="K73" s="13"/>
      <c r="L73" s="13"/>
      <c r="M73" s="13" t="str">
        <f>CONCATENATE("MK|",(VLOOKUP(B73,Dictionary!$A:$B,2,FALSE)),"_CN|",SUBSTITUTE(SUBSTITUTE(IF(C73="","NONE",C73),"_","-"),"|","-"),"_MN|",(VLOOKUP(D73,Dictionary!$D:$E,2,0)),"_YQ|",(VLOOKUP(E73,Dictionary!$AR:$AR,1,0)),"_CP|",SUBSTITUTE(SUBSTITUTE(IF(F73="","NONE",F73),"_","-"),"|","-"),"_SP|",(VLOOKUP(G73,Dictionary!$AY:$AZ,2,0)),"_AC|",(VLOOKUP(H73,Dictionary!$BA:$BB,2,0)),IF(I73="","",CONCATENATE("_OB|",(VLOOKUP(I73,Dictionary!$AS:$AT,2,0)))),IF(J73="","",CONCATENATE("_U1|",SUBSTITUTE(SUBSTITUTE(J73,"_","-"),"|","-"))),IF(K73="","",CONCATENATE("_U2|",SUBSTITUTE(SUBSTITUTE(K73,"_","-"),"|","-"))),IF(L73="","",CONCATENATE("_U3|",SUBSTITUTE(SUBSTITUTE(L73,"_","-"),"|","-"))))</f>
        <v>#N/A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5.75" customHeight="1">
      <c r="A74" s="13"/>
      <c r="B74" s="13"/>
      <c r="C74" s="13"/>
      <c r="D74" s="13"/>
      <c r="E74" s="13"/>
      <c r="F74" s="19"/>
      <c r="G74" s="13"/>
      <c r="H74" s="13"/>
      <c r="I74" s="13"/>
      <c r="J74" s="13"/>
      <c r="K74" s="13"/>
      <c r="L74" s="13"/>
      <c r="M74" s="13" t="str">
        <f>CONCATENATE("MK|",(VLOOKUP(B74,Dictionary!$A:$B,2,FALSE)),"_CN|",SUBSTITUTE(SUBSTITUTE(IF(C74="","NONE",C74),"_","-"),"|","-"),"_MN|",(VLOOKUP(D74,Dictionary!$D:$E,2,0)),"_YQ|",(VLOOKUP(E74,Dictionary!$AR:$AR,1,0)),"_CP|",SUBSTITUTE(SUBSTITUTE(IF(F74="","NONE",F74),"_","-"),"|","-"),"_SP|",(VLOOKUP(G74,Dictionary!$AY:$AZ,2,0)),"_AC|",(VLOOKUP(H74,Dictionary!$BA:$BB,2,0)),IF(I74="","",CONCATENATE("_OB|",(VLOOKUP(I74,Dictionary!$AS:$AT,2,0)))),IF(J74="","",CONCATENATE("_U1|",SUBSTITUTE(SUBSTITUTE(J74,"_","-"),"|","-"))),IF(K74="","",CONCATENATE("_U2|",SUBSTITUTE(SUBSTITUTE(K74,"_","-"),"|","-"))),IF(L74="","",CONCATENATE("_U3|",SUBSTITUTE(SUBSTITUTE(L74,"_","-"),"|","-"))))</f>
        <v>#N/A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5.75" customHeight="1">
      <c r="A75" s="13"/>
      <c r="B75" s="13"/>
      <c r="C75" s="13"/>
      <c r="D75" s="13"/>
      <c r="E75" s="13"/>
      <c r="F75" s="19"/>
      <c r="G75" s="13"/>
      <c r="H75" s="13"/>
      <c r="I75" s="13"/>
      <c r="J75" s="13"/>
      <c r="K75" s="13"/>
      <c r="L75" s="13"/>
      <c r="M75" s="13" t="str">
        <f>CONCATENATE("MK|",(VLOOKUP(B75,Dictionary!$A:$B,2,FALSE)),"_CN|",SUBSTITUTE(SUBSTITUTE(IF(C75="","NONE",C75),"_","-"),"|","-"),"_MN|",(VLOOKUP(D75,Dictionary!$D:$E,2,0)),"_YQ|",(VLOOKUP(E75,Dictionary!$AR:$AR,1,0)),"_CP|",SUBSTITUTE(SUBSTITUTE(IF(F75="","NONE",F75),"_","-"),"|","-"),"_SP|",(VLOOKUP(G75,Dictionary!$AY:$AZ,2,0)),"_AC|",(VLOOKUP(H75,Dictionary!$BA:$BB,2,0)),IF(I75="","",CONCATENATE("_OB|",(VLOOKUP(I75,Dictionary!$AS:$AT,2,0)))),IF(J75="","",CONCATENATE("_U1|",SUBSTITUTE(SUBSTITUTE(J75,"_","-"),"|","-"))),IF(K75="","",CONCATENATE("_U2|",SUBSTITUTE(SUBSTITUTE(K75,"_","-"),"|","-"))),IF(L75="","",CONCATENATE("_U3|",SUBSTITUTE(SUBSTITUTE(L75,"_","-"),"|","-"))))</f>
        <v>#N/A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5.75" customHeight="1">
      <c r="A76" s="13"/>
      <c r="B76" s="13"/>
      <c r="C76" s="13"/>
      <c r="D76" s="13"/>
      <c r="E76" s="13"/>
      <c r="F76" s="19"/>
      <c r="G76" s="13"/>
      <c r="H76" s="13"/>
      <c r="I76" s="13"/>
      <c r="J76" s="13"/>
      <c r="K76" s="13"/>
      <c r="L76" s="13"/>
      <c r="M76" s="13" t="str">
        <f>CONCATENATE("MK|",(VLOOKUP(B76,Dictionary!$A:$B,2,FALSE)),"_CN|",SUBSTITUTE(SUBSTITUTE(IF(C76="","NONE",C76),"_","-"),"|","-"),"_MN|",(VLOOKUP(D76,Dictionary!$D:$E,2,0)),"_YQ|",(VLOOKUP(E76,Dictionary!$AR:$AR,1,0)),"_CP|",SUBSTITUTE(SUBSTITUTE(IF(F76="","NONE",F76),"_","-"),"|","-"),"_SP|",(VLOOKUP(G76,Dictionary!$AY:$AZ,2,0)),"_AC|",(VLOOKUP(H76,Dictionary!$BA:$BB,2,0)),IF(I76="","",CONCATENATE("_OB|",(VLOOKUP(I76,Dictionary!$AS:$AT,2,0)))),IF(J76="","",CONCATENATE("_U1|",SUBSTITUTE(SUBSTITUTE(J76,"_","-"),"|","-"))),IF(K76="","",CONCATENATE("_U2|",SUBSTITUTE(SUBSTITUTE(K76,"_","-"),"|","-"))),IF(L76="","",CONCATENATE("_U3|",SUBSTITUTE(SUBSTITUTE(L76,"_","-"),"|","-"))))</f>
        <v>#N/A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5.75" customHeight="1">
      <c r="A77" s="13"/>
      <c r="B77" s="13"/>
      <c r="C77" s="13"/>
      <c r="D77" s="13"/>
      <c r="E77" s="13"/>
      <c r="F77" s="19"/>
      <c r="G77" s="13"/>
      <c r="H77" s="13"/>
      <c r="I77" s="13"/>
      <c r="J77" s="13"/>
      <c r="K77" s="13"/>
      <c r="L77" s="13"/>
      <c r="M77" s="13" t="str">
        <f>CONCATENATE("MK|",(VLOOKUP(B77,Dictionary!$A:$B,2,FALSE)),"_CN|",SUBSTITUTE(SUBSTITUTE(IF(C77="","NONE",C77),"_","-"),"|","-"),"_MN|",(VLOOKUP(D77,Dictionary!$D:$E,2,0)),"_YQ|",(VLOOKUP(E77,Dictionary!$AR:$AR,1,0)),"_CP|",SUBSTITUTE(SUBSTITUTE(IF(F77="","NONE",F77),"_","-"),"|","-"),"_SP|",(VLOOKUP(G77,Dictionary!$AY:$AZ,2,0)),"_AC|",(VLOOKUP(H77,Dictionary!$BA:$BB,2,0)),IF(I77="","",CONCATENATE("_OB|",(VLOOKUP(I77,Dictionary!$AS:$AT,2,0)))),IF(J77="","",CONCATENATE("_U1|",SUBSTITUTE(SUBSTITUTE(J77,"_","-"),"|","-"))),IF(K77="","",CONCATENATE("_U2|",SUBSTITUTE(SUBSTITUTE(K77,"_","-"),"|","-"))),IF(L77="","",CONCATENATE("_U3|",SUBSTITUTE(SUBSTITUTE(L77,"_","-"),"|","-"))))</f>
        <v>#N/A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5.75" customHeight="1">
      <c r="A78" s="13"/>
      <c r="B78" s="13"/>
      <c r="C78" s="13"/>
      <c r="D78" s="13"/>
      <c r="E78" s="13"/>
      <c r="F78" s="19"/>
      <c r="G78" s="13"/>
      <c r="H78" s="13"/>
      <c r="I78" s="13"/>
      <c r="J78" s="13"/>
      <c r="K78" s="13"/>
      <c r="L78" s="13"/>
      <c r="M78" s="13" t="str">
        <f>CONCATENATE("MK|",(VLOOKUP(B78,Dictionary!$A:$B,2,FALSE)),"_CN|",SUBSTITUTE(SUBSTITUTE(IF(C78="","NONE",C78),"_","-"),"|","-"),"_MN|",(VLOOKUP(D78,Dictionary!$D:$E,2,0)),"_YQ|",(VLOOKUP(E78,Dictionary!$AR:$AR,1,0)),"_CP|",SUBSTITUTE(SUBSTITUTE(IF(F78="","NONE",F78),"_","-"),"|","-"),"_SP|",(VLOOKUP(G78,Dictionary!$AY:$AZ,2,0)),"_AC|",(VLOOKUP(H78,Dictionary!$BA:$BB,2,0)),IF(I78="","",CONCATENATE("_OB|",(VLOOKUP(I78,Dictionary!$AS:$AT,2,0)))),IF(J78="","",CONCATENATE("_U1|",SUBSTITUTE(SUBSTITUTE(J78,"_","-"),"|","-"))),IF(K78="","",CONCATENATE("_U2|",SUBSTITUTE(SUBSTITUTE(K78,"_","-"),"|","-"))),IF(L78="","",CONCATENATE("_U3|",SUBSTITUTE(SUBSTITUTE(L78,"_","-"),"|","-"))))</f>
        <v>#N/A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5.75" customHeight="1">
      <c r="A79" s="13"/>
      <c r="B79" s="13"/>
      <c r="C79" s="13"/>
      <c r="D79" s="13"/>
      <c r="E79" s="13"/>
      <c r="F79" s="19"/>
      <c r="G79" s="13"/>
      <c r="H79" s="13"/>
      <c r="I79" s="13"/>
      <c r="J79" s="13"/>
      <c r="K79" s="13"/>
      <c r="L79" s="13"/>
      <c r="M79" s="13" t="str">
        <f>CONCATENATE("MK|",(VLOOKUP(B79,Dictionary!$A:$B,2,FALSE)),"_CN|",SUBSTITUTE(SUBSTITUTE(IF(C79="","NONE",C79),"_","-"),"|","-"),"_MN|",(VLOOKUP(D79,Dictionary!$D:$E,2,0)),"_YQ|",(VLOOKUP(E79,Dictionary!$AR:$AR,1,0)),"_CP|",SUBSTITUTE(SUBSTITUTE(IF(F79="","NONE",F79),"_","-"),"|","-"),"_SP|",(VLOOKUP(G79,Dictionary!$AY:$AZ,2,0)),"_AC|",(VLOOKUP(H79,Dictionary!$BA:$BB,2,0)),IF(I79="","",CONCATENATE("_OB|",(VLOOKUP(I79,Dictionary!$AS:$AT,2,0)))),IF(J79="","",CONCATENATE("_U1|",SUBSTITUTE(SUBSTITUTE(J79,"_","-"),"|","-"))),IF(K79="","",CONCATENATE("_U2|",SUBSTITUTE(SUBSTITUTE(K79,"_","-"),"|","-"))),IF(L79="","",CONCATENATE("_U3|",SUBSTITUTE(SUBSTITUTE(L79,"_","-"),"|","-"))))</f>
        <v>#N/A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5.75" customHeight="1">
      <c r="A80" s="13"/>
      <c r="B80" s="13"/>
      <c r="C80" s="13"/>
      <c r="D80" s="13"/>
      <c r="E80" s="13"/>
      <c r="F80" s="19"/>
      <c r="G80" s="13"/>
      <c r="H80" s="13"/>
      <c r="I80" s="13"/>
      <c r="J80" s="13"/>
      <c r="K80" s="13"/>
      <c r="L80" s="13"/>
      <c r="M80" s="13" t="str">
        <f>CONCATENATE("MK|",(VLOOKUP(B80,Dictionary!$A:$B,2,FALSE)),"_CN|",SUBSTITUTE(SUBSTITUTE(IF(C80="","NONE",C80),"_","-"),"|","-"),"_MN|",(VLOOKUP(D80,Dictionary!$D:$E,2,0)),"_YQ|",(VLOOKUP(E80,Dictionary!$AR:$AR,1,0)),"_CP|",SUBSTITUTE(SUBSTITUTE(IF(F80="","NONE",F80),"_","-"),"|","-"),"_SP|",(VLOOKUP(G80,Dictionary!$AY:$AZ,2,0)),"_AC|",(VLOOKUP(H80,Dictionary!$BA:$BB,2,0)),IF(I80="","",CONCATENATE("_OB|",(VLOOKUP(I80,Dictionary!$AS:$AT,2,0)))),IF(J80="","",CONCATENATE("_U1|",SUBSTITUTE(SUBSTITUTE(J80,"_","-"),"|","-"))),IF(K80="","",CONCATENATE("_U2|",SUBSTITUTE(SUBSTITUTE(K80,"_","-"),"|","-"))),IF(L80="","",CONCATENATE("_U3|",SUBSTITUTE(SUBSTITUTE(L80,"_","-"),"|","-"))))</f>
        <v>#N/A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5.75" customHeight="1">
      <c r="A81" s="13"/>
      <c r="B81" s="13"/>
      <c r="C81" s="13"/>
      <c r="D81" s="13"/>
      <c r="E81" s="13"/>
      <c r="F81" s="19"/>
      <c r="G81" s="13"/>
      <c r="H81" s="13"/>
      <c r="I81" s="13"/>
      <c r="J81" s="13"/>
      <c r="K81" s="13"/>
      <c r="L81" s="13"/>
      <c r="M81" s="13" t="str">
        <f>CONCATENATE("MK|",(VLOOKUP(B81,Dictionary!$A:$B,2,FALSE)),"_CN|",SUBSTITUTE(SUBSTITUTE(IF(C81="","NONE",C81),"_","-"),"|","-"),"_MN|",(VLOOKUP(D81,Dictionary!$D:$E,2,0)),"_YQ|",(VLOOKUP(E81,Dictionary!$AR:$AR,1,0)),"_CP|",SUBSTITUTE(SUBSTITUTE(IF(F81="","NONE",F81),"_","-"),"|","-"),"_SP|",(VLOOKUP(G81,Dictionary!$AY:$AZ,2,0)),"_AC|",(VLOOKUP(H81,Dictionary!$BA:$BB,2,0)),IF(I81="","",CONCATENATE("_OB|",(VLOOKUP(I81,Dictionary!$AS:$AT,2,0)))),IF(J81="","",CONCATENATE("_U1|",SUBSTITUTE(SUBSTITUTE(J81,"_","-"),"|","-"))),IF(K81="","",CONCATENATE("_U2|",SUBSTITUTE(SUBSTITUTE(K81,"_","-"),"|","-"))),IF(L81="","",CONCATENATE("_U3|",SUBSTITUTE(SUBSTITUTE(L81,"_","-"),"|","-"))))</f>
        <v>#N/A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5.75" customHeight="1">
      <c r="A82" s="13"/>
      <c r="B82" s="13"/>
      <c r="C82" s="13"/>
      <c r="D82" s="13"/>
      <c r="E82" s="13"/>
      <c r="F82" s="19"/>
      <c r="G82" s="13"/>
      <c r="H82" s="13"/>
      <c r="I82" s="13"/>
      <c r="J82" s="13"/>
      <c r="K82" s="13"/>
      <c r="L82" s="13"/>
      <c r="M82" s="13" t="str">
        <f>CONCATENATE("MK|",(VLOOKUP(B82,Dictionary!$A:$B,2,FALSE)),"_CN|",SUBSTITUTE(SUBSTITUTE(IF(C82="","NONE",C82),"_","-"),"|","-"),"_MN|",(VLOOKUP(D82,Dictionary!$D:$E,2,0)),"_YQ|",(VLOOKUP(E82,Dictionary!$AR:$AR,1,0)),"_CP|",SUBSTITUTE(SUBSTITUTE(IF(F82="","NONE",F82),"_","-"),"|","-"),"_SP|",(VLOOKUP(G82,Dictionary!$AY:$AZ,2,0)),"_AC|",(VLOOKUP(H82,Dictionary!$BA:$BB,2,0)),IF(I82="","",CONCATENATE("_OB|",(VLOOKUP(I82,Dictionary!$AS:$AT,2,0)))),IF(J82="","",CONCATENATE("_U1|",SUBSTITUTE(SUBSTITUTE(J82,"_","-"),"|","-"))),IF(K82="","",CONCATENATE("_U2|",SUBSTITUTE(SUBSTITUTE(K82,"_","-"),"|","-"))),IF(L82="","",CONCATENATE("_U3|",SUBSTITUTE(SUBSTITUTE(L82,"_","-"),"|","-"))))</f>
        <v>#N/A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5.75" customHeight="1">
      <c r="A83" s="13"/>
      <c r="B83" s="13"/>
      <c r="C83" s="13"/>
      <c r="D83" s="13"/>
      <c r="E83" s="13"/>
      <c r="F83" s="19"/>
      <c r="G83" s="13"/>
      <c r="H83" s="13"/>
      <c r="I83" s="13"/>
      <c r="J83" s="13"/>
      <c r="K83" s="13"/>
      <c r="L83" s="13"/>
      <c r="M83" s="13" t="str">
        <f>CONCATENATE("MK|",(VLOOKUP(B83,Dictionary!$A:$B,2,FALSE)),"_CN|",SUBSTITUTE(SUBSTITUTE(IF(C83="","NONE",C83),"_","-"),"|","-"),"_MN|",(VLOOKUP(D83,Dictionary!$D:$E,2,0)),"_YQ|",(VLOOKUP(E83,Dictionary!$AR:$AR,1,0)),"_CP|",SUBSTITUTE(SUBSTITUTE(IF(F83="","NONE",F83),"_","-"),"|","-"),"_SP|",(VLOOKUP(G83,Dictionary!$AY:$AZ,2,0)),"_AC|",(VLOOKUP(H83,Dictionary!$BA:$BB,2,0)),IF(I83="","",CONCATENATE("_OB|",(VLOOKUP(I83,Dictionary!$AS:$AT,2,0)))),IF(J83="","",CONCATENATE("_U1|",SUBSTITUTE(SUBSTITUTE(J83,"_","-"),"|","-"))),IF(K83="","",CONCATENATE("_U2|",SUBSTITUTE(SUBSTITUTE(K83,"_","-"),"|","-"))),IF(L83="","",CONCATENATE("_U3|",SUBSTITUTE(SUBSTITUTE(L83,"_","-"),"|","-"))))</f>
        <v>#N/A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5.75" customHeight="1">
      <c r="A84" s="13"/>
      <c r="B84" s="13"/>
      <c r="C84" s="13"/>
      <c r="D84" s="13"/>
      <c r="E84" s="13"/>
      <c r="F84" s="19"/>
      <c r="G84" s="13"/>
      <c r="H84" s="13"/>
      <c r="I84" s="13"/>
      <c r="J84" s="13"/>
      <c r="K84" s="13"/>
      <c r="L84" s="13"/>
      <c r="M84" s="13" t="str">
        <f>CONCATENATE("MK|",(VLOOKUP(B84,Dictionary!$A:$B,2,FALSE)),"_CN|",SUBSTITUTE(SUBSTITUTE(IF(C84="","NONE",C84),"_","-"),"|","-"),"_MN|",(VLOOKUP(D84,Dictionary!$D:$E,2,0)),"_YQ|",(VLOOKUP(E84,Dictionary!$AR:$AR,1,0)),"_CP|",SUBSTITUTE(SUBSTITUTE(IF(F84="","NONE",F84),"_","-"),"|","-"),"_SP|",(VLOOKUP(G84,Dictionary!$AY:$AZ,2,0)),"_AC|",(VLOOKUP(H84,Dictionary!$BA:$BB,2,0)),IF(I84="","",CONCATENATE("_OB|",(VLOOKUP(I84,Dictionary!$AS:$AT,2,0)))),IF(J84="","",CONCATENATE("_U1|",SUBSTITUTE(SUBSTITUTE(J84,"_","-"),"|","-"))),IF(K84="","",CONCATENATE("_U2|",SUBSTITUTE(SUBSTITUTE(K84,"_","-"),"|","-"))),IF(L84="","",CONCATENATE("_U3|",SUBSTITUTE(SUBSTITUTE(L84,"_","-"),"|","-"))))</f>
        <v>#N/A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5.75" customHeight="1">
      <c r="A85" s="13"/>
      <c r="B85" s="13"/>
      <c r="C85" s="13"/>
      <c r="D85" s="13"/>
      <c r="E85" s="13"/>
      <c r="F85" s="19"/>
      <c r="G85" s="13"/>
      <c r="H85" s="13"/>
      <c r="I85" s="13"/>
      <c r="J85" s="13"/>
      <c r="K85" s="13"/>
      <c r="L85" s="13"/>
      <c r="M85" s="13" t="str">
        <f>CONCATENATE("MK|",(VLOOKUP(B85,Dictionary!$A:$B,2,FALSE)),"_CN|",SUBSTITUTE(SUBSTITUTE(IF(C85="","NONE",C85),"_","-"),"|","-"),"_MN|",(VLOOKUP(D85,Dictionary!$D:$E,2,0)),"_YQ|",(VLOOKUP(E85,Dictionary!$AR:$AR,1,0)),"_CP|",SUBSTITUTE(SUBSTITUTE(IF(F85="","NONE",F85),"_","-"),"|","-"),"_SP|",(VLOOKUP(G85,Dictionary!$AY:$AZ,2,0)),"_AC|",(VLOOKUP(H85,Dictionary!$BA:$BB,2,0)),IF(I85="","",CONCATENATE("_OB|",(VLOOKUP(I85,Dictionary!$AS:$AT,2,0)))),IF(J85="","",CONCATENATE("_U1|",SUBSTITUTE(SUBSTITUTE(J85,"_","-"),"|","-"))),IF(K85="","",CONCATENATE("_U2|",SUBSTITUTE(SUBSTITUTE(K85,"_","-"),"|","-"))),IF(L85="","",CONCATENATE("_U3|",SUBSTITUTE(SUBSTITUTE(L85,"_","-"),"|","-"))))</f>
        <v>#N/A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5.75" customHeight="1">
      <c r="A86" s="13"/>
      <c r="B86" s="13"/>
      <c r="C86" s="13"/>
      <c r="D86" s="13"/>
      <c r="E86" s="13"/>
      <c r="F86" s="19"/>
      <c r="G86" s="13"/>
      <c r="H86" s="13"/>
      <c r="I86" s="13"/>
      <c r="J86" s="13"/>
      <c r="K86" s="13"/>
      <c r="L86" s="13"/>
      <c r="M86" s="13" t="str">
        <f>CONCATENATE("MK|",(VLOOKUP(B86,Dictionary!$A:$B,2,FALSE)),"_CN|",SUBSTITUTE(SUBSTITUTE(IF(C86="","NONE",C86),"_","-"),"|","-"),"_MN|",(VLOOKUP(D86,Dictionary!$D:$E,2,0)),"_YQ|",(VLOOKUP(E86,Dictionary!$AR:$AR,1,0)),"_CP|",SUBSTITUTE(SUBSTITUTE(IF(F86="","NONE",F86),"_","-"),"|","-"),"_SP|",(VLOOKUP(G86,Dictionary!$AY:$AZ,2,0)),"_AC|",(VLOOKUP(H86,Dictionary!$BA:$BB,2,0)),IF(I86="","",CONCATENATE("_OB|",(VLOOKUP(I86,Dictionary!$AS:$AT,2,0)))),IF(J86="","",CONCATENATE("_U1|",SUBSTITUTE(SUBSTITUTE(J86,"_","-"),"|","-"))),IF(K86="","",CONCATENATE("_U2|",SUBSTITUTE(SUBSTITUTE(K86,"_","-"),"|","-"))),IF(L86="","",CONCATENATE("_U3|",SUBSTITUTE(SUBSTITUTE(L86,"_","-"),"|","-"))))</f>
        <v>#N/A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5.75" customHeight="1">
      <c r="A87" s="13"/>
      <c r="B87" s="13"/>
      <c r="C87" s="13"/>
      <c r="D87" s="13"/>
      <c r="E87" s="13"/>
      <c r="F87" s="19"/>
      <c r="G87" s="13"/>
      <c r="H87" s="13"/>
      <c r="I87" s="13"/>
      <c r="J87" s="13"/>
      <c r="K87" s="13"/>
      <c r="L87" s="13"/>
      <c r="M87" s="13" t="str">
        <f>CONCATENATE("MK|",(VLOOKUP(B87,Dictionary!$A:$B,2,FALSE)),"_CN|",SUBSTITUTE(SUBSTITUTE(IF(C87="","NONE",C87),"_","-"),"|","-"),"_MN|",(VLOOKUP(D87,Dictionary!$D:$E,2,0)),"_YQ|",(VLOOKUP(E87,Dictionary!$AR:$AR,1,0)),"_CP|",SUBSTITUTE(SUBSTITUTE(IF(F87="","NONE",F87),"_","-"),"|","-"),"_SP|",(VLOOKUP(G87,Dictionary!$AY:$AZ,2,0)),"_AC|",(VLOOKUP(H87,Dictionary!$BA:$BB,2,0)),IF(I87="","",CONCATENATE("_OB|",(VLOOKUP(I87,Dictionary!$AS:$AT,2,0)))),IF(J87="","",CONCATENATE("_U1|",SUBSTITUTE(SUBSTITUTE(J87,"_","-"),"|","-"))),IF(K87="","",CONCATENATE("_U2|",SUBSTITUTE(SUBSTITUTE(K87,"_","-"),"|","-"))),IF(L87="","",CONCATENATE("_U3|",SUBSTITUTE(SUBSTITUTE(L87,"_","-"),"|","-"))))</f>
        <v>#N/A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5.75" customHeight="1">
      <c r="A88" s="13"/>
      <c r="B88" s="13"/>
      <c r="C88" s="13"/>
      <c r="D88" s="13"/>
      <c r="E88" s="13"/>
      <c r="F88" s="19"/>
      <c r="G88" s="13"/>
      <c r="H88" s="13"/>
      <c r="I88" s="13"/>
      <c r="J88" s="13"/>
      <c r="K88" s="13"/>
      <c r="L88" s="13"/>
      <c r="M88" s="13" t="str">
        <f>CONCATENATE("MK|",(VLOOKUP(B88,Dictionary!$A:$B,2,FALSE)),"_CN|",SUBSTITUTE(SUBSTITUTE(IF(C88="","NONE",C88),"_","-"),"|","-"),"_MN|",(VLOOKUP(D88,Dictionary!$D:$E,2,0)),"_YQ|",(VLOOKUP(E88,Dictionary!$AR:$AR,1,0)),"_CP|",SUBSTITUTE(SUBSTITUTE(IF(F88="","NONE",F88),"_","-"),"|","-"),"_SP|",(VLOOKUP(G88,Dictionary!$AY:$AZ,2,0)),"_AC|",(VLOOKUP(H88,Dictionary!$BA:$BB,2,0)),IF(I88="","",CONCATENATE("_OB|",(VLOOKUP(I88,Dictionary!$AS:$AT,2,0)))),IF(J88="","",CONCATENATE("_U1|",SUBSTITUTE(SUBSTITUTE(J88,"_","-"),"|","-"))),IF(K88="","",CONCATENATE("_U2|",SUBSTITUTE(SUBSTITUTE(K88,"_","-"),"|","-"))),IF(L88="","",CONCATENATE("_U3|",SUBSTITUTE(SUBSTITUTE(L88,"_","-"),"|","-"))))</f>
        <v>#N/A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5.75" customHeight="1">
      <c r="A89" s="13"/>
      <c r="B89" s="13"/>
      <c r="C89" s="13"/>
      <c r="D89" s="13"/>
      <c r="E89" s="13"/>
      <c r="F89" s="19"/>
      <c r="G89" s="13"/>
      <c r="H89" s="13"/>
      <c r="I89" s="13"/>
      <c r="J89" s="13"/>
      <c r="K89" s="13"/>
      <c r="L89" s="13"/>
      <c r="M89" s="13" t="str">
        <f>CONCATENATE("MK|",(VLOOKUP(B89,Dictionary!$A:$B,2,FALSE)),"_CN|",SUBSTITUTE(SUBSTITUTE(IF(C89="","NONE",C89),"_","-"),"|","-"),"_MN|",(VLOOKUP(D89,Dictionary!$D:$E,2,0)),"_YQ|",(VLOOKUP(E89,Dictionary!$AR:$AR,1,0)),"_CP|",SUBSTITUTE(SUBSTITUTE(IF(F89="","NONE",F89),"_","-"),"|","-"),"_SP|",(VLOOKUP(G89,Dictionary!$AY:$AZ,2,0)),"_AC|",(VLOOKUP(H89,Dictionary!$BA:$BB,2,0)),IF(I89="","",CONCATENATE("_OB|",(VLOOKUP(I89,Dictionary!$AS:$AT,2,0)))),IF(J89="","",CONCATENATE("_U1|",SUBSTITUTE(SUBSTITUTE(J89,"_","-"),"|","-"))),IF(K89="","",CONCATENATE("_U2|",SUBSTITUTE(SUBSTITUTE(K89,"_","-"),"|","-"))),IF(L89="","",CONCATENATE("_U3|",SUBSTITUTE(SUBSTITUTE(L89,"_","-"),"|","-"))))</f>
        <v>#N/A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5.75" customHeight="1">
      <c r="A90" s="13"/>
      <c r="B90" s="13"/>
      <c r="C90" s="13"/>
      <c r="D90" s="13"/>
      <c r="E90" s="13"/>
      <c r="F90" s="19"/>
      <c r="G90" s="13"/>
      <c r="H90" s="13"/>
      <c r="I90" s="13"/>
      <c r="J90" s="13"/>
      <c r="K90" s="13"/>
      <c r="L90" s="13"/>
      <c r="M90" s="13" t="str">
        <f>CONCATENATE("MK|",(VLOOKUP(B90,Dictionary!$A:$B,2,FALSE)),"_CN|",SUBSTITUTE(SUBSTITUTE(IF(C90="","NONE",C90),"_","-"),"|","-"),"_MN|",(VLOOKUP(D90,Dictionary!$D:$E,2,0)),"_YQ|",(VLOOKUP(E90,Dictionary!$AR:$AR,1,0)),"_CP|",SUBSTITUTE(SUBSTITUTE(IF(F90="","NONE",F90),"_","-"),"|","-"),"_SP|",(VLOOKUP(G90,Dictionary!$AY:$AZ,2,0)),"_AC|",(VLOOKUP(H90,Dictionary!$BA:$BB,2,0)),IF(I90="","",CONCATENATE("_OB|",(VLOOKUP(I90,Dictionary!$AS:$AT,2,0)))),IF(J90="","",CONCATENATE("_U1|",SUBSTITUTE(SUBSTITUTE(J90,"_","-"),"|","-"))),IF(K90="","",CONCATENATE("_U2|",SUBSTITUTE(SUBSTITUTE(K90,"_","-"),"|","-"))),IF(L90="","",CONCATENATE("_U3|",SUBSTITUTE(SUBSTITUTE(L90,"_","-"),"|","-"))))</f>
        <v>#N/A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5.75" customHeight="1">
      <c r="A91" s="13"/>
      <c r="B91" s="13"/>
      <c r="C91" s="13"/>
      <c r="D91" s="13"/>
      <c r="E91" s="13"/>
      <c r="F91" s="19"/>
      <c r="G91" s="13"/>
      <c r="H91" s="13"/>
      <c r="I91" s="13"/>
      <c r="J91" s="13"/>
      <c r="K91" s="13"/>
      <c r="L91" s="13"/>
      <c r="M91" s="13" t="str">
        <f>CONCATENATE("MK|",(VLOOKUP(B91,Dictionary!$A:$B,2,FALSE)),"_CN|",SUBSTITUTE(SUBSTITUTE(IF(C91="","NONE",C91),"_","-"),"|","-"),"_MN|",(VLOOKUP(D91,Dictionary!$D:$E,2,0)),"_YQ|",(VLOOKUP(E91,Dictionary!$AR:$AR,1,0)),"_CP|",SUBSTITUTE(SUBSTITUTE(IF(F91="","NONE",F91),"_","-"),"|","-"),"_SP|",(VLOOKUP(G91,Dictionary!$AY:$AZ,2,0)),"_AC|",(VLOOKUP(H91,Dictionary!$BA:$BB,2,0)),IF(I91="","",CONCATENATE("_OB|",(VLOOKUP(I91,Dictionary!$AS:$AT,2,0)))),IF(J91="","",CONCATENATE("_U1|",SUBSTITUTE(SUBSTITUTE(J91,"_","-"),"|","-"))),IF(K91="","",CONCATENATE("_U2|",SUBSTITUTE(SUBSTITUTE(K91,"_","-"),"|","-"))),IF(L91="","",CONCATENATE("_U3|",SUBSTITUTE(SUBSTITUTE(L91,"_","-"),"|","-"))))</f>
        <v>#N/A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5.75" customHeight="1">
      <c r="A92" s="13"/>
      <c r="B92" s="13"/>
      <c r="C92" s="13"/>
      <c r="D92" s="13"/>
      <c r="E92" s="13"/>
      <c r="F92" s="19"/>
      <c r="G92" s="13"/>
      <c r="H92" s="13"/>
      <c r="I92" s="13"/>
      <c r="J92" s="13"/>
      <c r="K92" s="13"/>
      <c r="L92" s="13"/>
      <c r="M92" s="13" t="str">
        <f>CONCATENATE("MK|",(VLOOKUP(B92,Dictionary!$A:$B,2,FALSE)),"_CN|",SUBSTITUTE(SUBSTITUTE(IF(C92="","NONE",C92),"_","-"),"|","-"),"_MN|",(VLOOKUP(D92,Dictionary!$D:$E,2,0)),"_YQ|",(VLOOKUP(E92,Dictionary!$AR:$AR,1,0)),"_CP|",SUBSTITUTE(SUBSTITUTE(IF(F92="","NONE",F92),"_","-"),"|","-"),"_SP|",(VLOOKUP(G92,Dictionary!$AY:$AZ,2,0)),"_AC|",(VLOOKUP(H92,Dictionary!$BA:$BB,2,0)),IF(I92="","",CONCATENATE("_OB|",(VLOOKUP(I92,Dictionary!$AS:$AT,2,0)))),IF(J92="","",CONCATENATE("_U1|",SUBSTITUTE(SUBSTITUTE(J92,"_","-"),"|","-"))),IF(K92="","",CONCATENATE("_U2|",SUBSTITUTE(SUBSTITUTE(K92,"_","-"),"|","-"))),IF(L92="","",CONCATENATE("_U3|",SUBSTITUTE(SUBSTITUTE(L92,"_","-"),"|","-"))))</f>
        <v>#N/A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5.75" customHeight="1">
      <c r="A93" s="13"/>
      <c r="B93" s="13"/>
      <c r="C93" s="13"/>
      <c r="D93" s="13"/>
      <c r="E93" s="13"/>
      <c r="F93" s="19"/>
      <c r="G93" s="13"/>
      <c r="H93" s="13"/>
      <c r="I93" s="13"/>
      <c r="J93" s="13"/>
      <c r="K93" s="13"/>
      <c r="L93" s="13"/>
      <c r="M93" s="13" t="str">
        <f>CONCATENATE("MK|",(VLOOKUP(B93,Dictionary!$A:$B,2,FALSE)),"_CN|",SUBSTITUTE(SUBSTITUTE(IF(C93="","NONE",C93),"_","-"),"|","-"),"_MN|",(VLOOKUP(D93,Dictionary!$D:$E,2,0)),"_YQ|",(VLOOKUP(E93,Dictionary!$AR:$AR,1,0)),"_CP|",SUBSTITUTE(SUBSTITUTE(IF(F93="","NONE",F93),"_","-"),"|","-"),"_SP|",(VLOOKUP(G93,Dictionary!$AY:$AZ,2,0)),"_AC|",(VLOOKUP(H93,Dictionary!$BA:$BB,2,0)),IF(I93="","",CONCATENATE("_OB|",(VLOOKUP(I93,Dictionary!$AS:$AT,2,0)))),IF(J93="","",CONCATENATE("_U1|",SUBSTITUTE(SUBSTITUTE(J93,"_","-"),"|","-"))),IF(K93="","",CONCATENATE("_U2|",SUBSTITUTE(SUBSTITUTE(K93,"_","-"),"|","-"))),IF(L93="","",CONCATENATE("_U3|",SUBSTITUTE(SUBSTITUTE(L93,"_","-"),"|","-"))))</f>
        <v>#N/A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5.75" customHeight="1">
      <c r="A94" s="13"/>
      <c r="B94" s="13"/>
      <c r="C94" s="13"/>
      <c r="D94" s="13"/>
      <c r="E94" s="13"/>
      <c r="F94" s="19"/>
      <c r="G94" s="13"/>
      <c r="H94" s="13"/>
      <c r="I94" s="13"/>
      <c r="J94" s="13"/>
      <c r="K94" s="13"/>
      <c r="L94" s="13"/>
      <c r="M94" s="13" t="str">
        <f>CONCATENATE("MK|",(VLOOKUP(B94,Dictionary!$A:$B,2,FALSE)),"_CN|",SUBSTITUTE(SUBSTITUTE(IF(C94="","NONE",C94),"_","-"),"|","-"),"_MN|",(VLOOKUP(D94,Dictionary!$D:$E,2,0)),"_YQ|",(VLOOKUP(E94,Dictionary!$AR:$AR,1,0)),"_CP|",SUBSTITUTE(SUBSTITUTE(IF(F94="","NONE",F94),"_","-"),"|","-"),"_SP|",(VLOOKUP(G94,Dictionary!$AY:$AZ,2,0)),"_AC|",(VLOOKUP(H94,Dictionary!$BA:$BB,2,0)),IF(I94="","",CONCATENATE("_OB|",(VLOOKUP(I94,Dictionary!$AS:$AT,2,0)))),IF(J94="","",CONCATENATE("_U1|",SUBSTITUTE(SUBSTITUTE(J94,"_","-"),"|","-"))),IF(K94="","",CONCATENATE("_U2|",SUBSTITUTE(SUBSTITUTE(K94,"_","-"),"|","-"))),IF(L94="","",CONCATENATE("_U3|",SUBSTITUTE(SUBSTITUTE(L94,"_","-"),"|","-"))))</f>
        <v>#N/A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5.75" customHeight="1">
      <c r="A95" s="13"/>
      <c r="B95" s="13"/>
      <c r="C95" s="13"/>
      <c r="D95" s="13"/>
      <c r="E95" s="13"/>
      <c r="F95" s="19"/>
      <c r="G95" s="13"/>
      <c r="H95" s="13"/>
      <c r="I95" s="13"/>
      <c r="J95" s="13"/>
      <c r="K95" s="13"/>
      <c r="L95" s="13"/>
      <c r="M95" s="13" t="str">
        <f>CONCATENATE("MK|",(VLOOKUP(B95,Dictionary!$A:$B,2,FALSE)),"_CN|",SUBSTITUTE(SUBSTITUTE(IF(C95="","NONE",C95),"_","-"),"|","-"),"_MN|",(VLOOKUP(D95,Dictionary!$D:$E,2,0)),"_YQ|",(VLOOKUP(E95,Dictionary!$AR:$AR,1,0)),"_CP|",SUBSTITUTE(SUBSTITUTE(IF(F95="","NONE",F95),"_","-"),"|","-"),"_SP|",(VLOOKUP(G95,Dictionary!$AY:$AZ,2,0)),"_AC|",(VLOOKUP(H95,Dictionary!$BA:$BB,2,0)),IF(I95="","",CONCATENATE("_OB|",(VLOOKUP(I95,Dictionary!$AS:$AT,2,0)))),IF(J95="","",CONCATENATE("_U1|",SUBSTITUTE(SUBSTITUTE(J95,"_","-"),"|","-"))),IF(K95="","",CONCATENATE("_U2|",SUBSTITUTE(SUBSTITUTE(K95,"_","-"),"|","-"))),IF(L95="","",CONCATENATE("_U3|",SUBSTITUTE(SUBSTITUTE(L95,"_","-"),"|","-"))))</f>
        <v>#N/A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5.75" customHeight="1">
      <c r="A96" s="13"/>
      <c r="B96" s="13"/>
      <c r="C96" s="13"/>
      <c r="D96" s="13"/>
      <c r="E96" s="13"/>
      <c r="F96" s="19"/>
      <c r="G96" s="13"/>
      <c r="H96" s="13"/>
      <c r="I96" s="13"/>
      <c r="J96" s="13"/>
      <c r="K96" s="13"/>
      <c r="L96" s="13"/>
      <c r="M96" s="13" t="str">
        <f>CONCATENATE("MK|",(VLOOKUP(B96,Dictionary!$A:$B,2,FALSE)),"_CN|",SUBSTITUTE(SUBSTITUTE(IF(C96="","NONE",C96),"_","-"),"|","-"),"_MN|",(VLOOKUP(D96,Dictionary!$D:$E,2,0)),"_YQ|",(VLOOKUP(E96,Dictionary!$AR:$AR,1,0)),"_CP|",SUBSTITUTE(SUBSTITUTE(IF(F96="","NONE",F96),"_","-"),"|","-"),"_SP|",(VLOOKUP(G96,Dictionary!$AY:$AZ,2,0)),"_AC|",(VLOOKUP(H96,Dictionary!$BA:$BB,2,0)),IF(I96="","",CONCATENATE("_OB|",(VLOOKUP(I96,Dictionary!$AS:$AT,2,0)))),IF(J96="","",CONCATENATE("_U1|",SUBSTITUTE(SUBSTITUTE(J96,"_","-"),"|","-"))),IF(K96="","",CONCATENATE("_U2|",SUBSTITUTE(SUBSTITUTE(K96,"_","-"),"|","-"))),IF(L96="","",CONCATENATE("_U3|",SUBSTITUTE(SUBSTITUTE(L96,"_","-"),"|","-"))))</f>
        <v>#N/A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5.75" customHeight="1">
      <c r="A97" s="13"/>
      <c r="B97" s="13"/>
      <c r="C97" s="13"/>
      <c r="D97" s="13"/>
      <c r="E97" s="13"/>
      <c r="F97" s="19"/>
      <c r="G97" s="13"/>
      <c r="H97" s="13"/>
      <c r="I97" s="13"/>
      <c r="J97" s="13"/>
      <c r="K97" s="13"/>
      <c r="L97" s="13"/>
      <c r="M97" s="13" t="str">
        <f>CONCATENATE("MK|",(VLOOKUP(B97,Dictionary!$A:$B,2,FALSE)),"_CN|",SUBSTITUTE(SUBSTITUTE(IF(C97="","NONE",C97),"_","-"),"|","-"),"_MN|",(VLOOKUP(D97,Dictionary!$D:$E,2,0)),"_YQ|",(VLOOKUP(E97,Dictionary!$AR:$AR,1,0)),"_CP|",SUBSTITUTE(SUBSTITUTE(IF(F97="","NONE",F97),"_","-"),"|","-"),"_SP|",(VLOOKUP(G97,Dictionary!$AY:$AZ,2,0)),"_AC|",(VLOOKUP(H97,Dictionary!$BA:$BB,2,0)),IF(I97="","",CONCATENATE("_OB|",(VLOOKUP(I97,Dictionary!$AS:$AT,2,0)))),IF(J97="","",CONCATENATE("_U1|",SUBSTITUTE(SUBSTITUTE(J97,"_","-"),"|","-"))),IF(K97="","",CONCATENATE("_U2|",SUBSTITUTE(SUBSTITUTE(K97,"_","-"),"|","-"))),IF(L97="","",CONCATENATE("_U3|",SUBSTITUTE(SUBSTITUTE(L97,"_","-"),"|","-"))))</f>
        <v>#N/A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5.75" customHeight="1">
      <c r="A98" s="13"/>
      <c r="B98" s="13"/>
      <c r="C98" s="13"/>
      <c r="D98" s="13"/>
      <c r="E98" s="13"/>
      <c r="F98" s="19"/>
      <c r="G98" s="13"/>
      <c r="H98" s="13"/>
      <c r="I98" s="13"/>
      <c r="J98" s="13"/>
      <c r="K98" s="13"/>
      <c r="L98" s="13"/>
      <c r="M98" s="13" t="str">
        <f>CONCATENATE("MK|",(VLOOKUP(B98,Dictionary!$A:$B,2,FALSE)),"_CN|",SUBSTITUTE(SUBSTITUTE(IF(C98="","NONE",C98),"_","-"),"|","-"),"_MN|",(VLOOKUP(D98,Dictionary!$D:$E,2,0)),"_YQ|",(VLOOKUP(E98,Dictionary!$AR:$AR,1,0)),"_CP|",SUBSTITUTE(SUBSTITUTE(IF(F98="","NONE",F98),"_","-"),"|","-"),"_SP|",(VLOOKUP(G98,Dictionary!$AY:$AZ,2,0)),"_AC|",(VLOOKUP(H98,Dictionary!$BA:$BB,2,0)),IF(I98="","",CONCATENATE("_OB|",(VLOOKUP(I98,Dictionary!$AS:$AT,2,0)))),IF(J98="","",CONCATENATE("_U1|",SUBSTITUTE(SUBSTITUTE(J98,"_","-"),"|","-"))),IF(K98="","",CONCATENATE("_U2|",SUBSTITUTE(SUBSTITUTE(K98,"_","-"),"|","-"))),IF(L98="","",CONCATENATE("_U3|",SUBSTITUTE(SUBSTITUTE(L98,"_","-"),"|","-"))))</f>
        <v>#N/A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5.75" customHeight="1">
      <c r="A99" s="13"/>
      <c r="B99" s="13"/>
      <c r="C99" s="13"/>
      <c r="D99" s="13"/>
      <c r="E99" s="13"/>
      <c r="F99" s="19"/>
      <c r="G99" s="13"/>
      <c r="H99" s="13"/>
      <c r="I99" s="13"/>
      <c r="J99" s="13"/>
      <c r="K99" s="13"/>
      <c r="L99" s="13"/>
      <c r="M99" s="13" t="str">
        <f>CONCATENATE("MK|",(VLOOKUP(B99,Dictionary!$A:$B,2,FALSE)),"_CN|",SUBSTITUTE(SUBSTITUTE(IF(C99="","NONE",C99),"_","-"),"|","-"),"_MN|",(VLOOKUP(D99,Dictionary!$D:$E,2,0)),"_YQ|",(VLOOKUP(E99,Dictionary!$AR:$AR,1,0)),"_CP|",SUBSTITUTE(SUBSTITUTE(IF(F99="","NONE",F99),"_","-"),"|","-"),"_SP|",(VLOOKUP(G99,Dictionary!$AY:$AZ,2,0)),"_AC|",(VLOOKUP(H99,Dictionary!$BA:$BB,2,0)),IF(I99="","",CONCATENATE("_OB|",(VLOOKUP(I99,Dictionary!$AS:$AT,2,0)))),IF(J99="","",CONCATENATE("_U1|",SUBSTITUTE(SUBSTITUTE(J99,"_","-"),"|","-"))),IF(K99="","",CONCATENATE("_U2|",SUBSTITUTE(SUBSTITUTE(K99,"_","-"),"|","-"))),IF(L99="","",CONCATENATE("_U3|",SUBSTITUTE(SUBSTITUTE(L99,"_","-"),"|","-"))))</f>
        <v>#N/A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5.75" customHeight="1">
      <c r="A100" s="13"/>
      <c r="B100" s="13"/>
      <c r="C100" s="13"/>
      <c r="D100" s="13"/>
      <c r="E100" s="13"/>
      <c r="F100" s="19"/>
      <c r="G100" s="13"/>
      <c r="H100" s="13"/>
      <c r="I100" s="13"/>
      <c r="J100" s="13"/>
      <c r="K100" s="13"/>
      <c r="L100" s="13"/>
      <c r="M100" s="13" t="str">
        <f>CONCATENATE("MK|",(VLOOKUP(B100,Dictionary!$A:$B,2,FALSE)),"_CN|",SUBSTITUTE(SUBSTITUTE(IF(C100="","NONE",C100),"_","-"),"|","-"),"_MN|",(VLOOKUP(D100,Dictionary!$D:$E,2,0)),"_YQ|",(VLOOKUP(E100,Dictionary!$AR:$AR,1,0)),"_CP|",SUBSTITUTE(SUBSTITUTE(IF(F100="","NONE",F100),"_","-"),"|","-"),"_SP|",(VLOOKUP(G100,Dictionary!$AY:$AZ,2,0)),"_AC|",(VLOOKUP(H100,Dictionary!$BA:$BB,2,0)),IF(I100="","",CONCATENATE("_OB|",(VLOOKUP(I100,Dictionary!$AS:$AT,2,0)))),IF(J100="","",CONCATENATE("_U1|",SUBSTITUTE(SUBSTITUTE(J100,"_","-"),"|","-"))),IF(K100="","",CONCATENATE("_U2|",SUBSTITUTE(SUBSTITUTE(K100,"_","-"),"|","-"))),IF(L100="","",CONCATENATE("_U3|",SUBSTITUTE(SUBSTITUTE(L100,"_","-"),"|","-"))))</f>
        <v>#N/A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5.75" customHeight="1">
      <c r="A101" s="13"/>
      <c r="B101" s="13"/>
      <c r="C101" s="13"/>
      <c r="D101" s="13"/>
      <c r="E101" s="13"/>
      <c r="F101" s="19"/>
      <c r="G101" s="13"/>
      <c r="H101" s="13"/>
      <c r="I101" s="13"/>
      <c r="J101" s="13"/>
      <c r="K101" s="13"/>
      <c r="L101" s="13"/>
      <c r="M101" s="13" t="str">
        <f>CONCATENATE("MK|",(VLOOKUP(B101,Dictionary!$A:$B,2,FALSE)),"_CN|",SUBSTITUTE(SUBSTITUTE(IF(C101="","NONE",C101),"_","-"),"|","-"),"_MN|",(VLOOKUP(D101,Dictionary!$D:$E,2,0)),"_YQ|",(VLOOKUP(E101,Dictionary!$AR:$AR,1,0)),"_CP|",SUBSTITUTE(SUBSTITUTE(IF(F101="","NONE",F101),"_","-"),"|","-"),"_SP|",(VLOOKUP(G101,Dictionary!$AY:$AZ,2,0)),"_AC|",(VLOOKUP(H101,Dictionary!$BA:$BB,2,0)),IF(I101="","",CONCATENATE("_OB|",(VLOOKUP(I101,Dictionary!$AS:$AT,2,0)))),IF(J101="","",CONCATENATE("_U1|",SUBSTITUTE(SUBSTITUTE(J101,"_","-"),"|","-"))),IF(K101="","",CONCATENATE("_U2|",SUBSTITUTE(SUBSTITUTE(K101,"_","-"),"|","-"))),IF(L101="","",CONCATENATE("_U3|",SUBSTITUTE(SUBSTITUTE(L101,"_","-"),"|","-"))))</f>
        <v>#N/A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5.75" customHeight="1">
      <c r="A102" s="13"/>
      <c r="B102" s="13"/>
      <c r="C102" s="13"/>
      <c r="D102" s="13"/>
      <c r="E102" s="13"/>
      <c r="F102" s="19"/>
      <c r="G102" s="13"/>
      <c r="H102" s="13"/>
      <c r="I102" s="13"/>
      <c r="J102" s="13"/>
      <c r="K102" s="13"/>
      <c r="L102" s="13"/>
      <c r="M102" s="13" t="str">
        <f>CONCATENATE("MK|",(VLOOKUP(B102,Dictionary!$A:$B,2,FALSE)),"_CN|",SUBSTITUTE(SUBSTITUTE(IF(C102="","NONE",C102),"_","-"),"|","-"),"_MN|",(VLOOKUP(D102,Dictionary!$D:$E,2,0)),"_YQ|",(VLOOKUP(E102,Dictionary!$AR:$AR,1,0)),"_CP|",SUBSTITUTE(SUBSTITUTE(IF(F102="","NONE",F102),"_","-"),"|","-"),"_SP|",(VLOOKUP(G102,Dictionary!$AY:$AZ,2,0)),"_AC|",(VLOOKUP(H102,Dictionary!$BA:$BB,2,0)),IF(I102="","",CONCATENATE("_OB|",(VLOOKUP(I102,Dictionary!$AS:$AT,2,0)))),IF(J102="","",CONCATENATE("_U1|",SUBSTITUTE(SUBSTITUTE(J102,"_","-"),"|","-"))),IF(K102="","",CONCATENATE("_U2|",SUBSTITUTE(SUBSTITUTE(K102,"_","-"),"|","-"))),IF(L102="","",CONCATENATE("_U3|",SUBSTITUTE(SUBSTITUTE(L102,"_","-"),"|","-"))))</f>
        <v>#N/A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5.75" customHeight="1">
      <c r="A103" s="13"/>
      <c r="B103" s="13"/>
      <c r="C103" s="13"/>
      <c r="D103" s="13"/>
      <c r="E103" s="13"/>
      <c r="F103" s="19"/>
      <c r="G103" s="13"/>
      <c r="H103" s="13"/>
      <c r="I103" s="13"/>
      <c r="J103" s="13"/>
      <c r="K103" s="13"/>
      <c r="L103" s="13"/>
      <c r="M103" s="13" t="str">
        <f>CONCATENATE("MK|",(VLOOKUP(B103,Dictionary!$A:$B,2,FALSE)),"_CN|",SUBSTITUTE(SUBSTITUTE(IF(C103="","NONE",C103),"_","-"),"|","-"),"_MN|",(VLOOKUP(D103,Dictionary!$D:$E,2,0)),"_YQ|",(VLOOKUP(E103,Dictionary!$AR:$AR,1,0)),"_CP|",SUBSTITUTE(SUBSTITUTE(IF(F103="","NONE",F103),"_","-"),"|","-"),"_SP|",(VLOOKUP(G103,Dictionary!$AY:$AZ,2,0)),"_AC|",(VLOOKUP(H103,Dictionary!$BA:$BB,2,0)),IF(I103="","",CONCATENATE("_OB|",(VLOOKUP(I103,Dictionary!$AS:$AT,2,0)))),IF(J103="","",CONCATENATE("_U1|",SUBSTITUTE(SUBSTITUTE(J103,"_","-"),"|","-"))),IF(K103="","",CONCATENATE("_U2|",SUBSTITUTE(SUBSTITUTE(K103,"_","-"),"|","-"))),IF(L103="","",CONCATENATE("_U3|",SUBSTITUTE(SUBSTITUTE(L103,"_","-"),"|","-"))))</f>
        <v>#N/A</v>
      </c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5.75" customHeight="1">
      <c r="A104" s="13"/>
      <c r="B104" s="13"/>
      <c r="C104" s="13"/>
      <c r="D104" s="13"/>
      <c r="E104" s="13"/>
      <c r="F104" s="19"/>
      <c r="G104" s="13"/>
      <c r="H104" s="13"/>
      <c r="I104" s="13"/>
      <c r="J104" s="13"/>
      <c r="K104" s="13"/>
      <c r="L104" s="13"/>
      <c r="M104" s="13" t="str">
        <f>CONCATENATE("MK|",(VLOOKUP(B104,Dictionary!$A:$B,2,FALSE)),"_CN|",SUBSTITUTE(SUBSTITUTE(IF(C104="","NONE",C104),"_","-"),"|","-"),"_MN|",(VLOOKUP(D104,Dictionary!$D:$E,2,0)),"_YQ|",(VLOOKUP(E104,Dictionary!$AR:$AR,1,0)),"_CP|",SUBSTITUTE(SUBSTITUTE(IF(F104="","NONE",F104),"_","-"),"|","-"),"_SP|",(VLOOKUP(G104,Dictionary!$AY:$AZ,2,0)),"_AC|",(VLOOKUP(H104,Dictionary!$BA:$BB,2,0)),IF(I104="","",CONCATENATE("_OB|",(VLOOKUP(I104,Dictionary!$AS:$AT,2,0)))),IF(J104="","",CONCATENATE("_U1|",SUBSTITUTE(SUBSTITUTE(J104,"_","-"),"|","-"))),IF(K104="","",CONCATENATE("_U2|",SUBSTITUTE(SUBSTITUTE(K104,"_","-"),"|","-"))),IF(L104="","",CONCATENATE("_U3|",SUBSTITUTE(SUBSTITUTE(L104,"_","-"),"|","-"))))</f>
        <v>#N/A</v>
      </c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5.75" customHeight="1">
      <c r="A105" s="13"/>
      <c r="B105" s="13"/>
      <c r="C105" s="13"/>
      <c r="D105" s="13"/>
      <c r="E105" s="13"/>
      <c r="F105" s="19"/>
      <c r="G105" s="13"/>
      <c r="H105" s="13"/>
      <c r="I105" s="13"/>
      <c r="J105" s="13"/>
      <c r="K105" s="13"/>
      <c r="L105" s="13"/>
      <c r="M105" s="13" t="str">
        <f>CONCATENATE("MK|",(VLOOKUP(B105,Dictionary!$A:$B,2,FALSE)),"_CN|",SUBSTITUTE(SUBSTITUTE(IF(C105="","NONE",C105),"_","-"),"|","-"),"_MN|",(VLOOKUP(D105,Dictionary!$D:$E,2,0)),"_YQ|",(VLOOKUP(E105,Dictionary!$AR:$AR,1,0)),"_CP|",SUBSTITUTE(SUBSTITUTE(IF(F105="","NONE",F105),"_","-"),"|","-"),"_SP|",(VLOOKUP(G105,Dictionary!$AY:$AZ,2,0)),"_AC|",(VLOOKUP(H105,Dictionary!$BA:$BB,2,0)),IF(I105="","",CONCATENATE("_OB|",(VLOOKUP(I105,Dictionary!$AS:$AT,2,0)))),IF(J105="","",CONCATENATE("_U1|",SUBSTITUTE(SUBSTITUTE(J105,"_","-"),"|","-"))),IF(K105="","",CONCATENATE("_U2|",SUBSTITUTE(SUBSTITUTE(K105,"_","-"),"|","-"))),IF(L105="","",CONCATENATE("_U3|",SUBSTITUTE(SUBSTITUTE(L105,"_","-"),"|","-"))))</f>
        <v>#N/A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5.75" customHeight="1">
      <c r="A106" s="13"/>
      <c r="B106" s="13"/>
      <c r="C106" s="13"/>
      <c r="D106" s="13"/>
      <c r="E106" s="13"/>
      <c r="F106" s="19"/>
      <c r="G106" s="13"/>
      <c r="H106" s="13"/>
      <c r="I106" s="13"/>
      <c r="J106" s="13"/>
      <c r="K106" s="13"/>
      <c r="L106" s="13"/>
      <c r="M106" s="13" t="str">
        <f>CONCATENATE("MK|",(VLOOKUP(B106,Dictionary!$A:$B,2,FALSE)),"_CN|",SUBSTITUTE(SUBSTITUTE(IF(C106="","NONE",C106),"_","-"),"|","-"),"_MN|",(VLOOKUP(D106,Dictionary!$D:$E,2,0)),"_YQ|",(VLOOKUP(E106,Dictionary!$AR:$AR,1,0)),"_CP|",SUBSTITUTE(SUBSTITUTE(IF(F106="","NONE",F106),"_","-"),"|","-"),"_SP|",(VLOOKUP(G106,Dictionary!$AY:$AZ,2,0)),"_AC|",(VLOOKUP(H106,Dictionary!$BA:$BB,2,0)),IF(I106="","",CONCATENATE("_OB|",(VLOOKUP(I106,Dictionary!$AS:$AT,2,0)))),IF(J106="","",CONCATENATE("_U1|",SUBSTITUTE(SUBSTITUTE(J106,"_","-"),"|","-"))),IF(K106="","",CONCATENATE("_U2|",SUBSTITUTE(SUBSTITUTE(K106,"_","-"),"|","-"))),IF(L106="","",CONCATENATE("_U3|",SUBSTITUTE(SUBSTITUTE(L106,"_","-"),"|","-"))))</f>
        <v>#N/A</v>
      </c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5.75" customHeight="1">
      <c r="A107" s="13"/>
      <c r="B107" s="13"/>
      <c r="C107" s="13"/>
      <c r="D107" s="13"/>
      <c r="E107" s="13"/>
      <c r="F107" s="19"/>
      <c r="G107" s="13"/>
      <c r="H107" s="13"/>
      <c r="I107" s="13"/>
      <c r="J107" s="13"/>
      <c r="K107" s="13"/>
      <c r="L107" s="13"/>
      <c r="M107" s="13" t="str">
        <f>CONCATENATE("MK|",(VLOOKUP(B107,Dictionary!$A:$B,2,FALSE)),"_CN|",SUBSTITUTE(SUBSTITUTE(IF(C107="","NONE",C107),"_","-"),"|","-"),"_MN|",(VLOOKUP(D107,Dictionary!$D:$E,2,0)),"_YQ|",(VLOOKUP(E107,Dictionary!$AR:$AR,1,0)),"_CP|",SUBSTITUTE(SUBSTITUTE(IF(F107="","NONE",F107),"_","-"),"|","-"),"_SP|",(VLOOKUP(G107,Dictionary!$AY:$AZ,2,0)),"_AC|",(VLOOKUP(H107,Dictionary!$BA:$BB,2,0)),IF(I107="","",CONCATENATE("_OB|",(VLOOKUP(I107,Dictionary!$AS:$AT,2,0)))),IF(J107="","",CONCATENATE("_U1|",SUBSTITUTE(SUBSTITUTE(J107,"_","-"),"|","-"))),IF(K107="","",CONCATENATE("_U2|",SUBSTITUTE(SUBSTITUTE(K107,"_","-"),"|","-"))),IF(L107="","",CONCATENATE("_U3|",SUBSTITUTE(SUBSTITUTE(L107,"_","-"),"|","-"))))</f>
        <v>#N/A</v>
      </c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5.75" customHeight="1">
      <c r="A108" s="20"/>
      <c r="B108" s="20"/>
      <c r="C108" s="13"/>
      <c r="D108" s="20"/>
      <c r="E108" s="20"/>
      <c r="F108" s="21"/>
      <c r="G108" s="20"/>
      <c r="H108" s="20"/>
      <c r="I108" s="20"/>
      <c r="J108" s="20"/>
      <c r="K108" s="20"/>
      <c r="L108" s="20"/>
      <c r="M108" s="20" t="str">
        <f>CONCATENATE("MK|",(VLOOKUP(B108,Dictionary!$A:$B,2,FALSE)),"_CN|",SUBSTITUTE(SUBSTITUTE(IF(C108="","NONE",C108),"_","-"),"|","-"),"_MN|",(VLOOKUP(D108,Dictionary!$D:$E,2,0)),"_YQ|",(VLOOKUP(E108,Dictionary!$AR:$AR,1,0)),"_CP|",SUBSTITUTE(SUBSTITUTE(IF(F108="","NONE",F108),"_","-"),"|","-"),"_SP|",(VLOOKUP(G108,Dictionary!$AY:$AZ,2,0)),"_AC|",(VLOOKUP(H108,Dictionary!$BA:$BB,2,0)),IF(I108="","",CONCATENATE("_OB|",(VLOOKUP(I108,Dictionary!$AS:$AT,2,0)))),IF(J108="","",CONCATENATE("_U1|",SUBSTITUTE(SUBSTITUTE(J108,"_","-"),"|","-"))),IF(K108="","",CONCATENATE("_U2|",SUBSTITUTE(SUBSTITUTE(K108,"_","-"),"|","-"))),IF(L108="","",CONCATENATE("_U3|",SUBSTITUTE(SUBSTITUTE(L108,"_","-"),"|","-"))))</f>
        <v>#N/A</v>
      </c>
    </row>
    <row r="109" ht="15.75" customHeight="1">
      <c r="A109" s="20"/>
      <c r="B109" s="20"/>
      <c r="C109" s="13"/>
      <c r="D109" s="20"/>
      <c r="E109" s="20"/>
      <c r="F109" s="21"/>
      <c r="G109" s="20"/>
      <c r="H109" s="20"/>
      <c r="I109" s="20"/>
      <c r="J109" s="20"/>
      <c r="K109" s="20"/>
      <c r="L109" s="20"/>
      <c r="M109" s="20" t="str">
        <f>CONCATENATE("MK|",(VLOOKUP(B109,Dictionary!$A:$B,2,FALSE)),"_CN|",SUBSTITUTE(SUBSTITUTE(IF(C109="","NONE",C109),"_","-"),"|","-"),"_MN|",(VLOOKUP(D109,Dictionary!$D:$E,2,0)),"_YQ|",(VLOOKUP(E109,Dictionary!$AR:$AR,1,0)),"_CP|",SUBSTITUTE(SUBSTITUTE(IF(F109="","NONE",F109),"_","-"),"|","-"),"_SP|",(VLOOKUP(G109,Dictionary!$AY:$AZ,2,0)),"_AC|",(VLOOKUP(H109,Dictionary!$BA:$BB,2,0)),IF(I109="","",CONCATENATE("_OB|",(VLOOKUP(I109,Dictionary!$AS:$AT,2,0)))),IF(J109="","",CONCATENATE("_U1|",SUBSTITUTE(SUBSTITUTE(J109,"_","-"),"|","-"))),IF(K109="","",CONCATENATE("_U2|",SUBSTITUTE(SUBSTITUTE(K109,"_","-"),"|","-"))),IF(L109="","",CONCATENATE("_U3|",SUBSTITUTE(SUBSTITUTE(L109,"_","-"),"|","-"))))</f>
        <v>#N/A</v>
      </c>
    </row>
    <row r="110" ht="15.75" customHeight="1">
      <c r="A110" s="20"/>
      <c r="B110" s="20"/>
      <c r="C110" s="13"/>
      <c r="D110" s="20"/>
      <c r="E110" s="20"/>
      <c r="F110" s="21"/>
      <c r="G110" s="20"/>
      <c r="H110" s="20"/>
      <c r="I110" s="20"/>
      <c r="J110" s="20"/>
      <c r="K110" s="20"/>
      <c r="L110" s="20"/>
      <c r="M110" s="20" t="str">
        <f>CONCATENATE("MK|",(VLOOKUP(B110,Dictionary!$A:$B,2,FALSE)),"_CN|",SUBSTITUTE(SUBSTITUTE(IF(C110="","NONE",C110),"_","-"),"|","-"),"_MN|",(VLOOKUP(D110,Dictionary!$D:$E,2,0)),"_YQ|",(VLOOKUP(E110,Dictionary!$AR:$AR,1,0)),"_CP|",SUBSTITUTE(SUBSTITUTE(IF(F110="","NONE",F110),"_","-"),"|","-"),"_SP|",(VLOOKUP(G110,Dictionary!$AY:$AZ,2,0)),"_AC|",(VLOOKUP(H110,Dictionary!$BA:$BB,2,0)),IF(I110="","",CONCATENATE("_OB|",(VLOOKUP(I110,Dictionary!$AS:$AT,2,0)))),IF(J110="","",CONCATENATE("_U1|",SUBSTITUTE(SUBSTITUTE(J110,"_","-"),"|","-"))),IF(K110="","",CONCATENATE("_U2|",SUBSTITUTE(SUBSTITUTE(K110,"_","-"),"|","-"))),IF(L110="","",CONCATENATE("_U3|",SUBSTITUTE(SUBSTITUTE(L110,"_","-"),"|","-"))))</f>
        <v>#N/A</v>
      </c>
    </row>
    <row r="111" ht="15.75" customHeight="1">
      <c r="A111" s="20"/>
      <c r="B111" s="20"/>
      <c r="C111" s="13"/>
      <c r="D111" s="20"/>
      <c r="E111" s="20"/>
      <c r="F111" s="21"/>
      <c r="G111" s="20"/>
      <c r="H111" s="20"/>
      <c r="I111" s="20"/>
      <c r="J111" s="20"/>
      <c r="K111" s="20"/>
      <c r="L111" s="20"/>
      <c r="M111" s="20" t="str">
        <f>CONCATENATE("MK|",(VLOOKUP(B111,Dictionary!$A:$B,2,FALSE)),"_CN|",SUBSTITUTE(SUBSTITUTE(IF(C111="","NONE",C111),"_","-"),"|","-"),"_MN|",(VLOOKUP(D111,Dictionary!$D:$E,2,0)),"_YQ|",(VLOOKUP(E111,Dictionary!$AR:$AR,1,0)),"_CP|",SUBSTITUTE(SUBSTITUTE(IF(F111="","NONE",F111),"_","-"),"|","-"),"_SP|",(VLOOKUP(G111,Dictionary!$AY:$AZ,2,0)),"_AC|",(VLOOKUP(H111,Dictionary!$BA:$BB,2,0)),IF(I111="","",CONCATENATE("_OB|",(VLOOKUP(I111,Dictionary!$AS:$AT,2,0)))),IF(J111="","",CONCATENATE("_U1|",SUBSTITUTE(SUBSTITUTE(J111,"_","-"),"|","-"))),IF(K111="","",CONCATENATE("_U2|",SUBSTITUTE(SUBSTITUTE(K111,"_","-"),"|","-"))),IF(L111="","",CONCATENATE("_U3|",SUBSTITUTE(SUBSTITUTE(L111,"_","-"),"|","-"))))</f>
        <v>#N/A</v>
      </c>
    </row>
    <row r="112" ht="15.75" customHeight="1">
      <c r="A112" s="20"/>
      <c r="B112" s="20"/>
      <c r="C112" s="13"/>
      <c r="D112" s="20"/>
      <c r="E112" s="20"/>
      <c r="F112" s="21"/>
      <c r="G112" s="20"/>
      <c r="H112" s="20"/>
      <c r="I112" s="20"/>
      <c r="J112" s="20"/>
      <c r="K112" s="20"/>
      <c r="L112" s="20"/>
      <c r="M112" s="20" t="str">
        <f>CONCATENATE("MK|",(VLOOKUP(B112,Dictionary!$A:$B,2,FALSE)),"_CN|",SUBSTITUTE(SUBSTITUTE(IF(C112="","NONE",C112),"_","-"),"|","-"),"_MN|",(VLOOKUP(D112,Dictionary!$D:$E,2,0)),"_YQ|",(VLOOKUP(E112,Dictionary!$AR:$AR,1,0)),"_CP|",SUBSTITUTE(SUBSTITUTE(IF(F112="","NONE",F112),"_","-"),"|","-"),"_SP|",(VLOOKUP(G112,Dictionary!$AY:$AZ,2,0)),"_AC|",(VLOOKUP(H112,Dictionary!$BA:$BB,2,0)),IF(I112="","",CONCATENATE("_OB|",(VLOOKUP(I112,Dictionary!$AS:$AT,2,0)))),IF(J112="","",CONCATENATE("_U1|",SUBSTITUTE(SUBSTITUTE(J112,"_","-"),"|","-"))),IF(K112="","",CONCATENATE("_U2|",SUBSTITUTE(SUBSTITUTE(K112,"_","-"),"|","-"))),IF(L112="","",CONCATENATE("_U3|",SUBSTITUTE(SUBSTITUTE(L112,"_","-"),"|","-"))))</f>
        <v>#N/A</v>
      </c>
    </row>
    <row r="113" ht="15.75" customHeight="1">
      <c r="A113" s="20"/>
      <c r="B113" s="20"/>
      <c r="C113" s="13"/>
      <c r="D113" s="20"/>
      <c r="E113" s="20"/>
      <c r="F113" s="21"/>
      <c r="G113" s="20"/>
      <c r="H113" s="20"/>
      <c r="I113" s="20"/>
      <c r="J113" s="20"/>
      <c r="K113" s="20"/>
      <c r="L113" s="20"/>
      <c r="M113" s="20" t="str">
        <f>CONCATENATE("MK|",(VLOOKUP(B113,Dictionary!$A:$B,2,FALSE)),"_CN|",SUBSTITUTE(SUBSTITUTE(IF(C113="","NONE",C113),"_","-"),"|","-"),"_MN|",(VLOOKUP(D113,Dictionary!$D:$E,2,0)),"_YQ|",(VLOOKUP(E113,Dictionary!$AR:$AR,1,0)),"_CP|",SUBSTITUTE(SUBSTITUTE(IF(F113="","NONE",F113),"_","-"),"|","-"),"_SP|",(VLOOKUP(G113,Dictionary!$AY:$AZ,2,0)),"_AC|",(VLOOKUP(H113,Dictionary!$BA:$BB,2,0)),IF(I113="","",CONCATENATE("_OB|",(VLOOKUP(I113,Dictionary!$AS:$AT,2,0)))),IF(J113="","",CONCATENATE("_U1|",SUBSTITUTE(SUBSTITUTE(J113,"_","-"),"|","-"))),IF(K113="","",CONCATENATE("_U2|",SUBSTITUTE(SUBSTITUTE(K113,"_","-"),"|","-"))),IF(L113="","",CONCATENATE("_U3|",SUBSTITUTE(SUBSTITUTE(L113,"_","-"),"|","-"))))</f>
        <v>#N/A</v>
      </c>
    </row>
    <row r="114" ht="15.75" customHeight="1">
      <c r="A114" s="20"/>
      <c r="B114" s="20"/>
      <c r="C114" s="13"/>
      <c r="D114" s="20"/>
      <c r="E114" s="20"/>
      <c r="F114" s="21"/>
      <c r="G114" s="20"/>
      <c r="H114" s="20"/>
      <c r="I114" s="20"/>
      <c r="J114" s="20"/>
      <c r="K114" s="20"/>
      <c r="L114" s="20"/>
      <c r="M114" s="20" t="str">
        <f>CONCATENATE("MK|",(VLOOKUP(B114,Dictionary!$A:$B,2,FALSE)),"_CN|",SUBSTITUTE(SUBSTITUTE(IF(C114="","NONE",C114),"_","-"),"|","-"),"_MN|",(VLOOKUP(D114,Dictionary!$D:$E,2,0)),"_YQ|",(VLOOKUP(E114,Dictionary!$AR:$AR,1,0)),"_CP|",SUBSTITUTE(SUBSTITUTE(IF(F114="","NONE",F114),"_","-"),"|","-"),"_SP|",(VLOOKUP(G114,Dictionary!$AY:$AZ,2,0)),"_AC|",(VLOOKUP(H114,Dictionary!$BA:$BB,2,0)),IF(I114="","",CONCATENATE("_OB|",(VLOOKUP(I114,Dictionary!$AS:$AT,2,0)))),IF(J114="","",CONCATENATE("_U1|",SUBSTITUTE(SUBSTITUTE(J114,"_","-"),"|","-"))),IF(K114="","",CONCATENATE("_U2|",SUBSTITUTE(SUBSTITUTE(K114,"_","-"),"|","-"))),IF(L114="","",CONCATENATE("_U3|",SUBSTITUTE(SUBSTITUTE(L114,"_","-"),"|","-"))))</f>
        <v>#N/A</v>
      </c>
    </row>
    <row r="115" ht="15.75" customHeight="1">
      <c r="A115" s="20"/>
      <c r="B115" s="20"/>
      <c r="C115" s="13"/>
      <c r="D115" s="20"/>
      <c r="E115" s="20"/>
      <c r="F115" s="21"/>
      <c r="G115" s="20"/>
      <c r="H115" s="20"/>
      <c r="I115" s="20"/>
      <c r="J115" s="20"/>
      <c r="K115" s="20"/>
      <c r="L115" s="20"/>
      <c r="M115" s="20" t="str">
        <f>CONCATENATE("MK|",(VLOOKUP(B115,Dictionary!$A:$B,2,FALSE)),"_CN|",SUBSTITUTE(SUBSTITUTE(IF(C115="","NONE",C115),"_","-"),"|","-"),"_MN|",(VLOOKUP(D115,Dictionary!$D:$E,2,0)),"_YQ|",(VLOOKUP(E115,Dictionary!$AR:$AR,1,0)),"_CP|",SUBSTITUTE(SUBSTITUTE(IF(F115="","NONE",F115),"_","-"),"|","-"),"_SP|",(VLOOKUP(G115,Dictionary!$AY:$AZ,2,0)),"_AC|",(VLOOKUP(H115,Dictionary!$BA:$BB,2,0)),IF(I115="","",CONCATENATE("_OB|",(VLOOKUP(I115,Dictionary!$AS:$AT,2,0)))),IF(J115="","",CONCATENATE("_U1|",SUBSTITUTE(SUBSTITUTE(J115,"_","-"),"|","-"))),IF(K115="","",CONCATENATE("_U2|",SUBSTITUTE(SUBSTITUTE(K115,"_","-"),"|","-"))),IF(L115="","",CONCATENATE("_U3|",SUBSTITUTE(SUBSTITUTE(L115,"_","-"),"|","-"))))</f>
        <v>#N/A</v>
      </c>
    </row>
    <row r="116" ht="15.75" customHeight="1">
      <c r="A116" s="20"/>
      <c r="B116" s="20"/>
      <c r="C116" s="13"/>
      <c r="D116" s="20"/>
      <c r="E116" s="20"/>
      <c r="F116" s="21"/>
      <c r="G116" s="20"/>
      <c r="H116" s="20"/>
      <c r="I116" s="20"/>
      <c r="J116" s="20"/>
      <c r="K116" s="20"/>
      <c r="L116" s="20"/>
      <c r="M116" s="20" t="str">
        <f>CONCATENATE("MK|",(VLOOKUP(B116,Dictionary!$A:$B,2,FALSE)),"_CN|",SUBSTITUTE(SUBSTITUTE(IF(C116="","NONE",C116),"_","-"),"|","-"),"_MN|",(VLOOKUP(D116,Dictionary!$D:$E,2,0)),"_YQ|",(VLOOKUP(E116,Dictionary!$AR:$AR,1,0)),"_CP|",SUBSTITUTE(SUBSTITUTE(IF(F116="","NONE",F116),"_","-"),"|","-"),"_SP|",(VLOOKUP(G116,Dictionary!$AY:$AZ,2,0)),"_AC|",(VLOOKUP(H116,Dictionary!$BA:$BB,2,0)),IF(I116="","",CONCATENATE("_OB|",(VLOOKUP(I116,Dictionary!$AS:$AT,2,0)))),IF(J116="","",CONCATENATE("_U1|",SUBSTITUTE(SUBSTITUTE(J116,"_","-"),"|","-"))),IF(K116="","",CONCATENATE("_U2|",SUBSTITUTE(SUBSTITUTE(K116,"_","-"),"|","-"))),IF(L116="","",CONCATENATE("_U3|",SUBSTITUTE(SUBSTITUTE(L116,"_","-"),"|","-"))))</f>
        <v>#N/A</v>
      </c>
    </row>
    <row r="117" ht="15.75" customHeight="1">
      <c r="A117" s="20"/>
      <c r="B117" s="20"/>
      <c r="C117" s="13"/>
      <c r="D117" s="20"/>
      <c r="E117" s="20"/>
      <c r="F117" s="21"/>
      <c r="G117" s="20"/>
      <c r="H117" s="20"/>
      <c r="I117" s="20"/>
      <c r="J117" s="20"/>
      <c r="K117" s="20"/>
      <c r="L117" s="20"/>
      <c r="M117" s="20" t="str">
        <f>CONCATENATE("MK|",(VLOOKUP(B117,Dictionary!$A:$B,2,FALSE)),"_CN|",SUBSTITUTE(SUBSTITUTE(IF(C117="","NONE",C117),"_","-"),"|","-"),"_MN|",(VLOOKUP(D117,Dictionary!$D:$E,2,0)),"_YQ|",(VLOOKUP(E117,Dictionary!$AR:$AR,1,0)),"_CP|",SUBSTITUTE(SUBSTITUTE(IF(F117="","NONE",F117),"_","-"),"|","-"),"_SP|",(VLOOKUP(G117,Dictionary!$AY:$AZ,2,0)),"_AC|",(VLOOKUP(H117,Dictionary!$BA:$BB,2,0)),IF(I117="","",CONCATENATE("_OB|",(VLOOKUP(I117,Dictionary!$AS:$AT,2,0)))),IF(J117="","",CONCATENATE("_U1|",SUBSTITUTE(SUBSTITUTE(J117,"_","-"),"|","-"))),IF(K117="","",CONCATENATE("_U2|",SUBSTITUTE(SUBSTITUTE(K117,"_","-"),"|","-"))),IF(L117="","",CONCATENATE("_U3|",SUBSTITUTE(SUBSTITUTE(L117,"_","-"),"|","-"))))</f>
        <v>#N/A</v>
      </c>
    </row>
    <row r="118" ht="15.75" customHeight="1">
      <c r="A118" s="20"/>
      <c r="B118" s="20"/>
      <c r="C118" s="13"/>
      <c r="D118" s="20"/>
      <c r="E118" s="20"/>
      <c r="F118" s="21"/>
      <c r="G118" s="20"/>
      <c r="H118" s="20"/>
      <c r="I118" s="20"/>
      <c r="J118" s="20"/>
      <c r="K118" s="20"/>
      <c r="L118" s="20"/>
      <c r="M118" s="20" t="str">
        <f>CONCATENATE("MK|",(VLOOKUP(B118,Dictionary!$A:$B,2,FALSE)),"_CN|",SUBSTITUTE(SUBSTITUTE(IF(C118="","NONE",C118),"_","-"),"|","-"),"_MN|",(VLOOKUP(D118,Dictionary!$D:$E,2,0)),"_YQ|",(VLOOKUP(E118,Dictionary!$AR:$AR,1,0)),"_CP|",SUBSTITUTE(SUBSTITUTE(IF(F118="","NONE",F118),"_","-"),"|","-"),"_SP|",(VLOOKUP(G118,Dictionary!$AY:$AZ,2,0)),"_AC|",(VLOOKUP(H118,Dictionary!$BA:$BB,2,0)),IF(I118="","",CONCATENATE("_OB|",(VLOOKUP(I118,Dictionary!$AS:$AT,2,0)))),IF(J118="","",CONCATENATE("_U1|",SUBSTITUTE(SUBSTITUTE(J118,"_","-"),"|","-"))),IF(K118="","",CONCATENATE("_U2|",SUBSTITUTE(SUBSTITUTE(K118,"_","-"),"|","-"))),IF(L118="","",CONCATENATE("_U3|",SUBSTITUTE(SUBSTITUTE(L118,"_","-"),"|","-"))))</f>
        <v>#N/A</v>
      </c>
    </row>
    <row r="119" ht="15.75" customHeight="1">
      <c r="A119" s="20"/>
      <c r="B119" s="20"/>
      <c r="C119" s="13"/>
      <c r="D119" s="20"/>
      <c r="E119" s="20"/>
      <c r="F119" s="21"/>
      <c r="G119" s="20"/>
      <c r="H119" s="20"/>
      <c r="I119" s="20"/>
      <c r="J119" s="20"/>
      <c r="K119" s="20"/>
      <c r="L119" s="20"/>
      <c r="M119" s="20" t="str">
        <f>CONCATENATE("MK|",(VLOOKUP(B119,Dictionary!$A:$B,2,FALSE)),"_CN|",SUBSTITUTE(SUBSTITUTE(IF(C119="","NONE",C119),"_","-"),"|","-"),"_MN|",(VLOOKUP(D119,Dictionary!$D:$E,2,0)),"_YQ|",(VLOOKUP(E119,Dictionary!$AR:$AR,1,0)),"_CP|",SUBSTITUTE(SUBSTITUTE(IF(F119="","NONE",F119),"_","-"),"|","-"),"_SP|",(VLOOKUP(G119,Dictionary!$AY:$AZ,2,0)),"_AC|",(VLOOKUP(H119,Dictionary!$BA:$BB,2,0)),IF(I119="","",CONCATENATE("_OB|",(VLOOKUP(I119,Dictionary!$AS:$AT,2,0)))),IF(J119="","",CONCATENATE("_U1|",SUBSTITUTE(SUBSTITUTE(J119,"_","-"),"|","-"))),IF(K119="","",CONCATENATE("_U2|",SUBSTITUTE(SUBSTITUTE(K119,"_","-"),"|","-"))),IF(L119="","",CONCATENATE("_U3|",SUBSTITUTE(SUBSTITUTE(L119,"_","-"),"|","-"))))</f>
        <v>#N/A</v>
      </c>
    </row>
    <row r="120" ht="15.75" customHeight="1">
      <c r="A120" s="20"/>
      <c r="B120" s="20"/>
      <c r="C120" s="13"/>
      <c r="D120" s="20"/>
      <c r="E120" s="20"/>
      <c r="F120" s="21"/>
      <c r="G120" s="20"/>
      <c r="H120" s="20"/>
      <c r="I120" s="20"/>
      <c r="J120" s="20"/>
      <c r="K120" s="20"/>
      <c r="L120" s="20"/>
      <c r="M120" s="20" t="str">
        <f>CONCATENATE("MK|",(VLOOKUP(B120,Dictionary!$A:$B,2,FALSE)),"_CN|",SUBSTITUTE(SUBSTITUTE(IF(C120="","NONE",C120),"_","-"),"|","-"),"_MN|",(VLOOKUP(D120,Dictionary!$D:$E,2,0)),"_YQ|",(VLOOKUP(E120,Dictionary!$AR:$AR,1,0)),"_CP|",SUBSTITUTE(SUBSTITUTE(IF(F120="","NONE",F120),"_","-"),"|","-"),"_SP|",(VLOOKUP(G120,Dictionary!$AY:$AZ,2,0)),"_AC|",(VLOOKUP(H120,Dictionary!$BA:$BB,2,0)),IF(I120="","",CONCATENATE("_OB|",(VLOOKUP(I120,Dictionary!$AS:$AT,2,0)))),IF(J120="","",CONCATENATE("_U1|",SUBSTITUTE(SUBSTITUTE(J120,"_","-"),"|","-"))),IF(K120="","",CONCATENATE("_U2|",SUBSTITUTE(SUBSTITUTE(K120,"_","-"),"|","-"))),IF(L120="","",CONCATENATE("_U3|",SUBSTITUTE(SUBSTITUTE(L120,"_","-"),"|","-"))))</f>
        <v>#N/A</v>
      </c>
    </row>
    <row r="121" ht="15.75" customHeight="1">
      <c r="A121" s="20"/>
      <c r="B121" s="20"/>
      <c r="C121" s="13"/>
      <c r="D121" s="20"/>
      <c r="E121" s="20"/>
      <c r="F121" s="21"/>
      <c r="G121" s="20"/>
      <c r="H121" s="20"/>
      <c r="I121" s="20"/>
      <c r="J121" s="20"/>
      <c r="K121" s="20"/>
      <c r="L121" s="20"/>
      <c r="M121" s="20" t="str">
        <f>CONCATENATE("MK|",(VLOOKUP(B121,Dictionary!$A:$B,2,FALSE)),"_CN|",SUBSTITUTE(SUBSTITUTE(IF(C121="","NONE",C121),"_","-"),"|","-"),"_MN|",(VLOOKUP(D121,Dictionary!$D:$E,2,0)),"_YQ|",(VLOOKUP(E121,Dictionary!$AR:$AR,1,0)),"_CP|",SUBSTITUTE(SUBSTITUTE(IF(F121="","NONE",F121),"_","-"),"|","-"),"_SP|",(VLOOKUP(G121,Dictionary!$AY:$AZ,2,0)),"_AC|",(VLOOKUP(H121,Dictionary!$BA:$BB,2,0)),IF(I121="","",CONCATENATE("_OB|",(VLOOKUP(I121,Dictionary!$AS:$AT,2,0)))),IF(J121="","",CONCATENATE("_U1|",SUBSTITUTE(SUBSTITUTE(J121,"_","-"),"|","-"))),IF(K121="","",CONCATENATE("_U2|",SUBSTITUTE(SUBSTITUTE(K121,"_","-"),"|","-"))),IF(L121="","",CONCATENATE("_U3|",SUBSTITUTE(SUBSTITUTE(L121,"_","-"),"|","-"))))</f>
        <v>#N/A</v>
      </c>
    </row>
    <row r="122" ht="15.75" customHeight="1">
      <c r="A122" s="20"/>
      <c r="B122" s="20"/>
      <c r="C122" s="13"/>
      <c r="D122" s="20"/>
      <c r="E122" s="20"/>
      <c r="F122" s="21"/>
      <c r="G122" s="20"/>
      <c r="H122" s="20"/>
      <c r="I122" s="20"/>
      <c r="J122" s="20"/>
      <c r="K122" s="20"/>
      <c r="L122" s="20"/>
      <c r="M122" s="20" t="str">
        <f>CONCATENATE("MK|",(VLOOKUP(B122,Dictionary!$A:$B,2,FALSE)),"_CN|",SUBSTITUTE(SUBSTITUTE(IF(C122="","NONE",C122),"_","-"),"|","-"),"_MN|",(VLOOKUP(D122,Dictionary!$D:$E,2,0)),"_YQ|",(VLOOKUP(E122,Dictionary!$AR:$AR,1,0)),"_CP|",SUBSTITUTE(SUBSTITUTE(IF(F122="","NONE",F122),"_","-"),"|","-"),"_SP|",(VLOOKUP(G122,Dictionary!$AY:$AZ,2,0)),"_AC|",(VLOOKUP(H122,Dictionary!$BA:$BB,2,0)),IF(I122="","",CONCATENATE("_OB|",(VLOOKUP(I122,Dictionary!$AS:$AT,2,0)))),IF(J122="","",CONCATENATE("_U1|",SUBSTITUTE(SUBSTITUTE(J122,"_","-"),"|","-"))),IF(K122="","",CONCATENATE("_U2|",SUBSTITUTE(SUBSTITUTE(K122,"_","-"),"|","-"))),IF(L122="","",CONCATENATE("_U3|",SUBSTITUTE(SUBSTITUTE(L122,"_","-"),"|","-"))))</f>
        <v>#N/A</v>
      </c>
    </row>
    <row r="123" ht="15.75" customHeight="1">
      <c r="A123" s="20"/>
      <c r="B123" s="20"/>
      <c r="C123" s="13"/>
      <c r="D123" s="20"/>
      <c r="E123" s="20"/>
      <c r="F123" s="21"/>
      <c r="G123" s="20"/>
      <c r="H123" s="20"/>
      <c r="I123" s="20"/>
      <c r="J123" s="20"/>
      <c r="K123" s="20"/>
      <c r="L123" s="20"/>
      <c r="M123" s="20" t="str">
        <f>CONCATENATE("MK|",(VLOOKUP(B123,Dictionary!$A:$B,2,FALSE)),"_CN|",SUBSTITUTE(SUBSTITUTE(IF(C123="","NONE",C123),"_","-"),"|","-"),"_MN|",(VLOOKUP(D123,Dictionary!$D:$E,2,0)),"_YQ|",(VLOOKUP(E123,Dictionary!$AR:$AR,1,0)),"_CP|",SUBSTITUTE(SUBSTITUTE(IF(F123="","NONE",F123),"_","-"),"|","-"),"_SP|",(VLOOKUP(G123,Dictionary!$AY:$AZ,2,0)),"_AC|",(VLOOKUP(H123,Dictionary!$BA:$BB,2,0)),IF(I123="","",CONCATENATE("_OB|",(VLOOKUP(I123,Dictionary!$AS:$AT,2,0)))),IF(J123="","",CONCATENATE("_U1|",SUBSTITUTE(SUBSTITUTE(J123,"_","-"),"|","-"))),IF(K123="","",CONCATENATE("_U2|",SUBSTITUTE(SUBSTITUTE(K123,"_","-"),"|","-"))),IF(L123="","",CONCATENATE("_U3|",SUBSTITUTE(SUBSTITUTE(L123,"_","-"),"|","-"))))</f>
        <v>#N/A</v>
      </c>
    </row>
    <row r="124" ht="15.75" customHeight="1">
      <c r="A124" s="20"/>
      <c r="B124" s="20"/>
      <c r="C124" s="13"/>
      <c r="D124" s="20"/>
      <c r="E124" s="20"/>
      <c r="F124" s="21"/>
      <c r="G124" s="20"/>
      <c r="H124" s="20"/>
      <c r="I124" s="20"/>
      <c r="J124" s="20"/>
      <c r="K124" s="20"/>
      <c r="L124" s="20"/>
      <c r="M124" s="20" t="str">
        <f>CONCATENATE("MK|",(VLOOKUP(B124,Dictionary!$A:$B,2,FALSE)),"_CN|",SUBSTITUTE(SUBSTITUTE(IF(C124="","NONE",C124),"_","-"),"|","-"),"_MN|",(VLOOKUP(D124,Dictionary!$D:$E,2,0)),"_YQ|",(VLOOKUP(E124,Dictionary!$AR:$AR,1,0)),"_CP|",SUBSTITUTE(SUBSTITUTE(IF(F124="","NONE",F124),"_","-"),"|","-"),"_SP|",(VLOOKUP(G124,Dictionary!$AY:$AZ,2,0)),"_AC|",(VLOOKUP(H124,Dictionary!$BA:$BB,2,0)),IF(I124="","",CONCATENATE("_OB|",(VLOOKUP(I124,Dictionary!$AS:$AT,2,0)))),IF(J124="","",CONCATENATE("_U1|",SUBSTITUTE(SUBSTITUTE(J124,"_","-"),"|","-"))),IF(K124="","",CONCATENATE("_U2|",SUBSTITUTE(SUBSTITUTE(K124,"_","-"),"|","-"))),IF(L124="","",CONCATENATE("_U3|",SUBSTITUTE(SUBSTITUTE(L124,"_","-"),"|","-"))))</f>
        <v>#N/A</v>
      </c>
    </row>
    <row r="125" ht="15.75" customHeight="1">
      <c r="A125" s="20"/>
      <c r="B125" s="20"/>
      <c r="C125" s="13"/>
      <c r="D125" s="20"/>
      <c r="E125" s="20"/>
      <c r="F125" s="21"/>
      <c r="G125" s="20"/>
      <c r="H125" s="20"/>
      <c r="I125" s="20"/>
      <c r="J125" s="20"/>
      <c r="K125" s="20"/>
      <c r="L125" s="20"/>
      <c r="M125" s="20" t="str">
        <f>CONCATENATE("MK|",(VLOOKUP(B125,Dictionary!$A:$B,2,FALSE)),"_CN|",SUBSTITUTE(SUBSTITUTE(IF(C125="","NONE",C125),"_","-"),"|","-"),"_MN|",(VLOOKUP(D125,Dictionary!$D:$E,2,0)),"_YQ|",(VLOOKUP(E125,Dictionary!$AR:$AR,1,0)),"_CP|",SUBSTITUTE(SUBSTITUTE(IF(F125="","NONE",F125),"_","-"),"|","-"),"_SP|",(VLOOKUP(G125,Dictionary!$AY:$AZ,2,0)),"_AC|",(VLOOKUP(H125,Dictionary!$BA:$BB,2,0)),IF(I125="","",CONCATENATE("_OB|",(VLOOKUP(I125,Dictionary!$AS:$AT,2,0)))),IF(J125="","",CONCATENATE("_U1|",SUBSTITUTE(SUBSTITUTE(J125,"_","-"),"|","-"))),IF(K125="","",CONCATENATE("_U2|",SUBSTITUTE(SUBSTITUTE(K125,"_","-"),"|","-"))),IF(L125="","",CONCATENATE("_U3|",SUBSTITUTE(SUBSTITUTE(L125,"_","-"),"|","-"))))</f>
        <v>#N/A</v>
      </c>
    </row>
    <row r="126" ht="15.75" customHeight="1">
      <c r="A126" s="20"/>
      <c r="B126" s="20"/>
      <c r="C126" s="13"/>
      <c r="D126" s="20"/>
      <c r="E126" s="20"/>
      <c r="F126" s="21"/>
      <c r="G126" s="20"/>
      <c r="H126" s="20"/>
      <c r="I126" s="20"/>
      <c r="J126" s="20"/>
      <c r="K126" s="20"/>
      <c r="L126" s="20"/>
      <c r="M126" s="20" t="str">
        <f>CONCATENATE("MK|",(VLOOKUP(B126,Dictionary!$A:$B,2,FALSE)),"_CN|",SUBSTITUTE(SUBSTITUTE(IF(C126="","NONE",C126),"_","-"),"|","-"),"_MN|",(VLOOKUP(D126,Dictionary!$D:$E,2,0)),"_YQ|",(VLOOKUP(E126,Dictionary!$AR:$AR,1,0)),"_CP|",SUBSTITUTE(SUBSTITUTE(IF(F126="","NONE",F126),"_","-"),"|","-"),"_SP|",(VLOOKUP(G126,Dictionary!$AY:$AZ,2,0)),"_AC|",(VLOOKUP(H126,Dictionary!$BA:$BB,2,0)),IF(I126="","",CONCATENATE("_OB|",(VLOOKUP(I126,Dictionary!$AS:$AT,2,0)))),IF(J126="","",CONCATENATE("_U1|",SUBSTITUTE(SUBSTITUTE(J126,"_","-"),"|","-"))),IF(K126="","",CONCATENATE("_U2|",SUBSTITUTE(SUBSTITUTE(K126,"_","-"),"|","-"))),IF(L126="","",CONCATENATE("_U3|",SUBSTITUTE(SUBSTITUTE(L126,"_","-"),"|","-"))))</f>
        <v>#N/A</v>
      </c>
    </row>
    <row r="127" ht="15.75" customHeight="1">
      <c r="A127" s="20"/>
      <c r="B127" s="20"/>
      <c r="C127" s="13"/>
      <c r="D127" s="20"/>
      <c r="E127" s="20"/>
      <c r="F127" s="21"/>
      <c r="G127" s="20"/>
      <c r="H127" s="20"/>
      <c r="I127" s="20"/>
      <c r="J127" s="20"/>
      <c r="K127" s="20"/>
      <c r="L127" s="20"/>
      <c r="M127" s="20" t="str">
        <f>CONCATENATE("MK|",(VLOOKUP(B127,Dictionary!$A:$B,2,FALSE)),"_CN|",SUBSTITUTE(SUBSTITUTE(IF(C127="","NONE",C127),"_","-"),"|","-"),"_MN|",(VLOOKUP(D127,Dictionary!$D:$E,2,0)),"_YQ|",(VLOOKUP(E127,Dictionary!$AR:$AR,1,0)),"_CP|",SUBSTITUTE(SUBSTITUTE(IF(F127="","NONE",F127),"_","-"),"|","-"),"_SP|",(VLOOKUP(G127,Dictionary!$AY:$AZ,2,0)),"_AC|",(VLOOKUP(H127,Dictionary!$BA:$BB,2,0)),IF(I127="","",CONCATENATE("_OB|",(VLOOKUP(I127,Dictionary!$AS:$AT,2,0)))),IF(J127="","",CONCATENATE("_U1|",SUBSTITUTE(SUBSTITUTE(J127,"_","-"),"|","-"))),IF(K127="","",CONCATENATE("_U2|",SUBSTITUTE(SUBSTITUTE(K127,"_","-"),"|","-"))),IF(L127="","",CONCATENATE("_U3|",SUBSTITUTE(SUBSTITUTE(L127,"_","-"),"|","-"))))</f>
        <v>#N/A</v>
      </c>
    </row>
    <row r="128" ht="15.75" customHeight="1">
      <c r="A128" s="20"/>
      <c r="B128" s="20"/>
      <c r="C128" s="13"/>
      <c r="D128" s="20"/>
      <c r="E128" s="20"/>
      <c r="F128" s="21"/>
      <c r="G128" s="20"/>
      <c r="H128" s="20"/>
      <c r="I128" s="20"/>
      <c r="J128" s="20"/>
      <c r="K128" s="20"/>
      <c r="L128" s="20"/>
      <c r="M128" s="20" t="str">
        <f>CONCATENATE("MK|",(VLOOKUP(B128,Dictionary!$A:$B,2,FALSE)),"_CN|",SUBSTITUTE(SUBSTITUTE(IF(C128="","NONE",C128),"_","-"),"|","-"),"_MN|",(VLOOKUP(D128,Dictionary!$D:$E,2,0)),"_YQ|",(VLOOKUP(E128,Dictionary!$AR:$AR,1,0)),"_CP|",SUBSTITUTE(SUBSTITUTE(IF(F128="","NONE",F128),"_","-"),"|","-"),"_SP|",(VLOOKUP(G128,Dictionary!$AY:$AZ,2,0)),"_AC|",(VLOOKUP(H128,Dictionary!$BA:$BB,2,0)),IF(I128="","",CONCATENATE("_OB|",(VLOOKUP(I128,Dictionary!$AS:$AT,2,0)))),IF(J128="","",CONCATENATE("_U1|",SUBSTITUTE(SUBSTITUTE(J128,"_","-"),"|","-"))),IF(K128="","",CONCATENATE("_U2|",SUBSTITUTE(SUBSTITUTE(K128,"_","-"),"|","-"))),IF(L128="","",CONCATENATE("_U3|",SUBSTITUTE(SUBSTITUTE(L128,"_","-"),"|","-"))))</f>
        <v>#N/A</v>
      </c>
    </row>
    <row r="129" ht="15.75" customHeight="1">
      <c r="A129" s="20"/>
      <c r="B129" s="20"/>
      <c r="C129" s="13"/>
      <c r="D129" s="20"/>
      <c r="E129" s="20"/>
      <c r="F129" s="21"/>
      <c r="G129" s="20"/>
      <c r="H129" s="20"/>
      <c r="I129" s="20"/>
      <c r="J129" s="20"/>
      <c r="K129" s="20"/>
      <c r="L129" s="20"/>
      <c r="M129" s="20" t="str">
        <f>CONCATENATE("MK|",(VLOOKUP(B129,Dictionary!$A:$B,2,FALSE)),"_CN|",SUBSTITUTE(SUBSTITUTE(IF(C129="","NONE",C129),"_","-"),"|","-"),"_MN|",(VLOOKUP(D129,Dictionary!$D:$E,2,0)),"_YQ|",(VLOOKUP(E129,Dictionary!$AR:$AR,1,0)),"_CP|",SUBSTITUTE(SUBSTITUTE(IF(F129="","NONE",F129),"_","-"),"|","-"),"_SP|",(VLOOKUP(G129,Dictionary!$AY:$AZ,2,0)),"_AC|",(VLOOKUP(H129,Dictionary!$BA:$BB,2,0)),IF(I129="","",CONCATENATE("_OB|",(VLOOKUP(I129,Dictionary!$AS:$AT,2,0)))),IF(J129="","",CONCATENATE("_U1|",SUBSTITUTE(SUBSTITUTE(J129,"_","-"),"|","-"))),IF(K129="","",CONCATENATE("_U2|",SUBSTITUTE(SUBSTITUTE(K129,"_","-"),"|","-"))),IF(L129="","",CONCATENATE("_U3|",SUBSTITUTE(SUBSTITUTE(L129,"_","-"),"|","-"))))</f>
        <v>#N/A</v>
      </c>
    </row>
    <row r="130" ht="15.75" customHeight="1">
      <c r="A130" s="20"/>
      <c r="B130" s="20"/>
      <c r="C130" s="13"/>
      <c r="D130" s="20"/>
      <c r="E130" s="20"/>
      <c r="F130" s="21"/>
      <c r="G130" s="20"/>
      <c r="H130" s="20"/>
      <c r="I130" s="20"/>
      <c r="J130" s="20"/>
      <c r="K130" s="20"/>
      <c r="L130" s="20"/>
      <c r="M130" s="20" t="str">
        <f>CONCATENATE("MK|",(VLOOKUP(B130,Dictionary!$A:$B,2,FALSE)),"_CN|",SUBSTITUTE(SUBSTITUTE(IF(C130="","NONE",C130),"_","-"),"|","-"),"_MN|",(VLOOKUP(D130,Dictionary!$D:$E,2,0)),"_YQ|",(VLOOKUP(E130,Dictionary!$AR:$AR,1,0)),"_CP|",SUBSTITUTE(SUBSTITUTE(IF(F130="","NONE",F130),"_","-"),"|","-"),"_SP|",(VLOOKUP(G130,Dictionary!$AY:$AZ,2,0)),"_AC|",(VLOOKUP(H130,Dictionary!$BA:$BB,2,0)),IF(I130="","",CONCATENATE("_OB|",(VLOOKUP(I130,Dictionary!$AS:$AT,2,0)))),IF(J130="","",CONCATENATE("_U1|",SUBSTITUTE(SUBSTITUTE(J130,"_","-"),"|","-"))),IF(K130="","",CONCATENATE("_U2|",SUBSTITUTE(SUBSTITUTE(K130,"_","-"),"|","-"))),IF(L130="","",CONCATENATE("_U3|",SUBSTITUTE(SUBSTITUTE(L130,"_","-"),"|","-"))))</f>
        <v>#N/A</v>
      </c>
    </row>
    <row r="131" ht="15.75" customHeight="1">
      <c r="A131" s="20"/>
      <c r="B131" s="20"/>
      <c r="C131" s="13"/>
      <c r="D131" s="20"/>
      <c r="E131" s="20"/>
      <c r="F131" s="21"/>
      <c r="G131" s="20"/>
      <c r="H131" s="20"/>
      <c r="I131" s="20"/>
      <c r="J131" s="20"/>
      <c r="K131" s="20"/>
      <c r="L131" s="20"/>
      <c r="M131" s="20" t="str">
        <f>CONCATENATE("MK|",(VLOOKUP(B131,Dictionary!$A:$B,2,FALSE)),"_CN|",SUBSTITUTE(SUBSTITUTE(IF(C131="","NONE",C131),"_","-"),"|","-"),"_MN|",(VLOOKUP(D131,Dictionary!$D:$E,2,0)),"_YQ|",(VLOOKUP(E131,Dictionary!$AR:$AR,1,0)),"_CP|",SUBSTITUTE(SUBSTITUTE(IF(F131="","NONE",F131),"_","-"),"|","-"),"_SP|",(VLOOKUP(G131,Dictionary!$AY:$AZ,2,0)),"_AC|",(VLOOKUP(H131,Dictionary!$BA:$BB,2,0)),IF(I131="","",CONCATENATE("_OB|",(VLOOKUP(I131,Dictionary!$AS:$AT,2,0)))),IF(J131="","",CONCATENATE("_U1|",SUBSTITUTE(SUBSTITUTE(J131,"_","-"),"|","-"))),IF(K131="","",CONCATENATE("_U2|",SUBSTITUTE(SUBSTITUTE(K131,"_","-"),"|","-"))),IF(L131="","",CONCATENATE("_U3|",SUBSTITUTE(SUBSTITUTE(L131,"_","-"),"|","-"))))</f>
        <v>#N/A</v>
      </c>
    </row>
    <row r="132" ht="15.75" customHeight="1">
      <c r="A132" s="20"/>
      <c r="B132" s="20"/>
      <c r="C132" s="13"/>
      <c r="D132" s="20"/>
      <c r="E132" s="20"/>
      <c r="F132" s="21"/>
      <c r="G132" s="20"/>
      <c r="H132" s="20"/>
      <c r="I132" s="20"/>
      <c r="J132" s="20"/>
      <c r="K132" s="20"/>
      <c r="L132" s="20"/>
      <c r="M132" s="20" t="str">
        <f>CONCATENATE("MK|",(VLOOKUP(B132,Dictionary!$A:$B,2,FALSE)),"_CN|",SUBSTITUTE(SUBSTITUTE(IF(C132="","NONE",C132),"_","-"),"|","-"),"_MN|",(VLOOKUP(D132,Dictionary!$D:$E,2,0)),"_YQ|",(VLOOKUP(E132,Dictionary!$AR:$AR,1,0)),"_CP|",SUBSTITUTE(SUBSTITUTE(IF(F132="","NONE",F132),"_","-"),"|","-"),"_SP|",(VLOOKUP(G132,Dictionary!$AY:$AZ,2,0)),"_AC|",(VLOOKUP(H132,Dictionary!$BA:$BB,2,0)),IF(I132="","",CONCATENATE("_OB|",(VLOOKUP(I132,Dictionary!$AS:$AT,2,0)))),IF(J132="","",CONCATENATE("_U1|",SUBSTITUTE(SUBSTITUTE(J132,"_","-"),"|","-"))),IF(K132="","",CONCATENATE("_U2|",SUBSTITUTE(SUBSTITUTE(K132,"_","-"),"|","-"))),IF(L132="","",CONCATENATE("_U3|",SUBSTITUTE(SUBSTITUTE(L132,"_","-"),"|","-"))))</f>
        <v>#N/A</v>
      </c>
    </row>
    <row r="133" ht="15.75" customHeight="1">
      <c r="A133" s="20"/>
      <c r="B133" s="20"/>
      <c r="C133" s="13"/>
      <c r="D133" s="20"/>
      <c r="E133" s="20"/>
      <c r="F133" s="21"/>
      <c r="G133" s="20"/>
      <c r="H133" s="20"/>
      <c r="I133" s="20"/>
      <c r="J133" s="20"/>
      <c r="K133" s="20"/>
      <c r="L133" s="20"/>
      <c r="M133" s="20" t="str">
        <f>CONCATENATE("MK|",(VLOOKUP(B133,Dictionary!$A:$B,2,FALSE)),"_CN|",SUBSTITUTE(SUBSTITUTE(IF(C133="","NONE",C133),"_","-"),"|","-"),"_MN|",(VLOOKUP(D133,Dictionary!$D:$E,2,0)),"_YQ|",(VLOOKUP(E133,Dictionary!$AR:$AR,1,0)),"_CP|",SUBSTITUTE(SUBSTITUTE(IF(F133="","NONE",F133),"_","-"),"|","-"),"_SP|",(VLOOKUP(G133,Dictionary!$AY:$AZ,2,0)),"_AC|",(VLOOKUP(H133,Dictionary!$BA:$BB,2,0)),IF(I133="","",CONCATENATE("_OB|",(VLOOKUP(I133,Dictionary!$AS:$AT,2,0)))),IF(J133="","",CONCATENATE("_U1|",SUBSTITUTE(SUBSTITUTE(J133,"_","-"),"|","-"))),IF(K133="","",CONCATENATE("_U2|",SUBSTITUTE(SUBSTITUTE(K133,"_","-"),"|","-"))),IF(L133="","",CONCATENATE("_U3|",SUBSTITUTE(SUBSTITUTE(L133,"_","-"),"|","-"))))</f>
        <v>#N/A</v>
      </c>
    </row>
    <row r="134" ht="15.75" customHeight="1">
      <c r="A134" s="20"/>
      <c r="B134" s="20"/>
      <c r="C134" s="13"/>
      <c r="D134" s="20"/>
      <c r="E134" s="20"/>
      <c r="F134" s="21"/>
      <c r="G134" s="20"/>
      <c r="H134" s="20"/>
      <c r="I134" s="20"/>
      <c r="J134" s="20"/>
      <c r="K134" s="20"/>
      <c r="L134" s="20"/>
      <c r="M134" s="20" t="str">
        <f>CONCATENATE("MK|",(VLOOKUP(B134,Dictionary!$A:$B,2,FALSE)),"_CN|",SUBSTITUTE(SUBSTITUTE(IF(C134="","NONE",C134),"_","-"),"|","-"),"_MN|",(VLOOKUP(D134,Dictionary!$D:$E,2,0)),"_YQ|",(VLOOKUP(E134,Dictionary!$AR:$AR,1,0)),"_CP|",SUBSTITUTE(SUBSTITUTE(IF(F134="","NONE",F134),"_","-"),"|","-"),"_SP|",(VLOOKUP(G134,Dictionary!$AY:$AZ,2,0)),"_AC|",(VLOOKUP(H134,Dictionary!$BA:$BB,2,0)),IF(I134="","",CONCATENATE("_OB|",(VLOOKUP(I134,Dictionary!$AS:$AT,2,0)))),IF(J134="","",CONCATENATE("_U1|",SUBSTITUTE(SUBSTITUTE(J134,"_","-"),"|","-"))),IF(K134="","",CONCATENATE("_U2|",SUBSTITUTE(SUBSTITUTE(K134,"_","-"),"|","-"))),IF(L134="","",CONCATENATE("_U3|",SUBSTITUTE(SUBSTITUTE(L134,"_","-"),"|","-"))))</f>
        <v>#N/A</v>
      </c>
    </row>
    <row r="135" ht="15.75" customHeight="1">
      <c r="A135" s="20"/>
      <c r="B135" s="20"/>
      <c r="C135" s="13"/>
      <c r="D135" s="20"/>
      <c r="E135" s="20"/>
      <c r="F135" s="21"/>
      <c r="G135" s="20"/>
      <c r="H135" s="20"/>
      <c r="I135" s="20"/>
      <c r="J135" s="20"/>
      <c r="K135" s="20"/>
      <c r="L135" s="20"/>
      <c r="M135" s="20" t="str">
        <f>CONCATENATE("MK|",(VLOOKUP(B135,Dictionary!$A:$B,2,FALSE)),"_CN|",SUBSTITUTE(SUBSTITUTE(IF(C135="","NONE",C135),"_","-"),"|","-"),"_MN|",(VLOOKUP(D135,Dictionary!$D:$E,2,0)),"_YQ|",(VLOOKUP(E135,Dictionary!$AR:$AR,1,0)),"_CP|",SUBSTITUTE(SUBSTITUTE(IF(F135="","NONE",F135),"_","-"),"|","-"),"_SP|",(VLOOKUP(G135,Dictionary!$AY:$AZ,2,0)),"_AC|",(VLOOKUP(H135,Dictionary!$BA:$BB,2,0)),IF(I135="","",CONCATENATE("_OB|",(VLOOKUP(I135,Dictionary!$AS:$AT,2,0)))),IF(J135="","",CONCATENATE("_U1|",SUBSTITUTE(SUBSTITUTE(J135,"_","-"),"|","-"))),IF(K135="","",CONCATENATE("_U2|",SUBSTITUTE(SUBSTITUTE(K135,"_","-"),"|","-"))),IF(L135="","",CONCATENATE("_U3|",SUBSTITUTE(SUBSTITUTE(L135,"_","-"),"|","-"))))</f>
        <v>#N/A</v>
      </c>
    </row>
    <row r="136" ht="15.75" customHeight="1">
      <c r="A136" s="20"/>
      <c r="B136" s="20"/>
      <c r="C136" s="13"/>
      <c r="D136" s="20"/>
      <c r="E136" s="20"/>
      <c r="F136" s="21"/>
      <c r="G136" s="20"/>
      <c r="H136" s="20"/>
      <c r="I136" s="20"/>
      <c r="J136" s="20"/>
      <c r="K136" s="20"/>
      <c r="L136" s="20"/>
      <c r="M136" s="20" t="str">
        <f>CONCATENATE("MK|",(VLOOKUP(B136,Dictionary!$A:$B,2,FALSE)),"_CN|",SUBSTITUTE(SUBSTITUTE(IF(C136="","NONE",C136),"_","-"),"|","-"),"_MN|",(VLOOKUP(D136,Dictionary!$D:$E,2,0)),"_YQ|",(VLOOKUP(E136,Dictionary!$AR:$AR,1,0)),"_CP|",SUBSTITUTE(SUBSTITUTE(IF(F136="","NONE",F136),"_","-"),"|","-"),"_SP|",(VLOOKUP(G136,Dictionary!$AY:$AZ,2,0)),"_AC|",(VLOOKUP(H136,Dictionary!$BA:$BB,2,0)),IF(I136="","",CONCATENATE("_OB|",(VLOOKUP(I136,Dictionary!$AS:$AT,2,0)))),IF(J136="","",CONCATENATE("_U1|",SUBSTITUTE(SUBSTITUTE(J136,"_","-"),"|","-"))),IF(K136="","",CONCATENATE("_U2|",SUBSTITUTE(SUBSTITUTE(K136,"_","-"),"|","-"))),IF(L136="","",CONCATENATE("_U3|",SUBSTITUTE(SUBSTITUTE(L136,"_","-"),"|","-"))))</f>
        <v>#N/A</v>
      </c>
    </row>
    <row r="137" ht="15.75" customHeight="1">
      <c r="A137" s="20"/>
      <c r="B137" s="20"/>
      <c r="C137" s="13"/>
      <c r="D137" s="20"/>
      <c r="E137" s="20"/>
      <c r="F137" s="21"/>
      <c r="G137" s="20"/>
      <c r="H137" s="20"/>
      <c r="I137" s="20"/>
      <c r="J137" s="20"/>
      <c r="K137" s="20"/>
      <c r="L137" s="20"/>
      <c r="M137" s="20" t="str">
        <f>CONCATENATE("MK|",(VLOOKUP(B137,Dictionary!$A:$B,2,FALSE)),"_CN|",SUBSTITUTE(SUBSTITUTE(IF(C137="","NONE",C137),"_","-"),"|","-"),"_MN|",(VLOOKUP(D137,Dictionary!$D:$E,2,0)),"_YQ|",(VLOOKUP(E137,Dictionary!$AR:$AR,1,0)),"_CP|",SUBSTITUTE(SUBSTITUTE(IF(F137="","NONE",F137),"_","-"),"|","-"),"_SP|",(VLOOKUP(G137,Dictionary!$AY:$AZ,2,0)),"_AC|",(VLOOKUP(H137,Dictionary!$BA:$BB,2,0)),IF(I137="","",CONCATENATE("_OB|",(VLOOKUP(I137,Dictionary!$AS:$AT,2,0)))),IF(J137="","",CONCATENATE("_U1|",SUBSTITUTE(SUBSTITUTE(J137,"_","-"),"|","-"))),IF(K137="","",CONCATENATE("_U2|",SUBSTITUTE(SUBSTITUTE(K137,"_","-"),"|","-"))),IF(L137="","",CONCATENATE("_U3|",SUBSTITUTE(SUBSTITUTE(L137,"_","-"),"|","-"))))</f>
        <v>#N/A</v>
      </c>
    </row>
    <row r="138" ht="15.75" customHeight="1">
      <c r="A138" s="20"/>
      <c r="B138" s="20"/>
      <c r="C138" s="13"/>
      <c r="D138" s="20"/>
      <c r="E138" s="20"/>
      <c r="F138" s="21"/>
      <c r="G138" s="20"/>
      <c r="H138" s="20"/>
      <c r="I138" s="20"/>
      <c r="J138" s="20"/>
      <c r="K138" s="20"/>
      <c r="L138" s="20"/>
      <c r="M138" s="20" t="str">
        <f>CONCATENATE("MK|",(VLOOKUP(B138,Dictionary!$A:$B,2,FALSE)),"_CN|",SUBSTITUTE(SUBSTITUTE(IF(C138="","NONE",C138),"_","-"),"|","-"),"_MN|",(VLOOKUP(D138,Dictionary!$D:$E,2,0)),"_YQ|",(VLOOKUP(E138,Dictionary!$AR:$AR,1,0)),"_CP|",SUBSTITUTE(SUBSTITUTE(IF(F138="","NONE",F138),"_","-"),"|","-"),"_SP|",(VLOOKUP(G138,Dictionary!$AY:$AZ,2,0)),"_AC|",(VLOOKUP(H138,Dictionary!$BA:$BB,2,0)),IF(I138="","",CONCATENATE("_OB|",(VLOOKUP(I138,Dictionary!$AS:$AT,2,0)))),IF(J138="","",CONCATENATE("_U1|",SUBSTITUTE(SUBSTITUTE(J138,"_","-"),"|","-"))),IF(K138="","",CONCATENATE("_U2|",SUBSTITUTE(SUBSTITUTE(K138,"_","-"),"|","-"))),IF(L138="","",CONCATENATE("_U3|",SUBSTITUTE(SUBSTITUTE(L138,"_","-"),"|","-"))))</f>
        <v>#N/A</v>
      </c>
    </row>
    <row r="139" ht="15.75" customHeight="1">
      <c r="A139" s="20"/>
      <c r="B139" s="20"/>
      <c r="C139" s="13"/>
      <c r="D139" s="20"/>
      <c r="E139" s="20"/>
      <c r="F139" s="21"/>
      <c r="G139" s="20"/>
      <c r="H139" s="20"/>
      <c r="I139" s="20"/>
      <c r="J139" s="20"/>
      <c r="K139" s="20"/>
      <c r="L139" s="20"/>
      <c r="M139" s="20" t="str">
        <f>CONCATENATE("MK|",(VLOOKUP(B139,Dictionary!$A:$B,2,FALSE)),"_CN|",SUBSTITUTE(SUBSTITUTE(IF(C139="","NONE",C139),"_","-"),"|","-"),"_MN|",(VLOOKUP(D139,Dictionary!$D:$E,2,0)),"_YQ|",(VLOOKUP(E139,Dictionary!$AR:$AR,1,0)),"_CP|",SUBSTITUTE(SUBSTITUTE(IF(F139="","NONE",F139),"_","-"),"|","-"),"_SP|",(VLOOKUP(G139,Dictionary!$AY:$AZ,2,0)),"_AC|",(VLOOKUP(H139,Dictionary!$BA:$BB,2,0)),IF(I139="","",CONCATENATE("_OB|",(VLOOKUP(I139,Dictionary!$AS:$AT,2,0)))),IF(J139="","",CONCATENATE("_U1|",SUBSTITUTE(SUBSTITUTE(J139,"_","-"),"|","-"))),IF(K139="","",CONCATENATE("_U2|",SUBSTITUTE(SUBSTITUTE(K139,"_","-"),"|","-"))),IF(L139="","",CONCATENATE("_U3|",SUBSTITUTE(SUBSTITUTE(L139,"_","-"),"|","-"))))</f>
        <v>#N/A</v>
      </c>
    </row>
    <row r="140" ht="15.75" customHeight="1">
      <c r="A140" s="20"/>
      <c r="B140" s="20"/>
      <c r="C140" s="13"/>
      <c r="D140" s="20"/>
      <c r="E140" s="20"/>
      <c r="F140" s="21"/>
      <c r="G140" s="20"/>
      <c r="H140" s="20"/>
      <c r="I140" s="20"/>
      <c r="J140" s="20"/>
      <c r="K140" s="20"/>
      <c r="L140" s="20"/>
      <c r="M140" s="20" t="str">
        <f>CONCATENATE("MK|",(VLOOKUP(B140,Dictionary!$A:$B,2,FALSE)),"_CN|",SUBSTITUTE(SUBSTITUTE(IF(C140="","NONE",C140),"_","-"),"|","-"),"_MN|",(VLOOKUP(D140,Dictionary!$D:$E,2,0)),"_YQ|",(VLOOKUP(E140,Dictionary!$AR:$AR,1,0)),"_CP|",SUBSTITUTE(SUBSTITUTE(IF(F140="","NONE",F140),"_","-"),"|","-"),"_SP|",(VLOOKUP(G140,Dictionary!$AY:$AZ,2,0)),"_AC|",(VLOOKUP(H140,Dictionary!$BA:$BB,2,0)),IF(I140="","",CONCATENATE("_OB|",(VLOOKUP(I140,Dictionary!$AS:$AT,2,0)))),IF(J140="","",CONCATENATE("_U1|",SUBSTITUTE(SUBSTITUTE(J140,"_","-"),"|","-"))),IF(K140="","",CONCATENATE("_U2|",SUBSTITUTE(SUBSTITUTE(K140,"_","-"),"|","-"))),IF(L140="","",CONCATENATE("_U3|",SUBSTITUTE(SUBSTITUTE(L140,"_","-"),"|","-"))))</f>
        <v>#N/A</v>
      </c>
    </row>
    <row r="141" ht="15.75" customHeight="1">
      <c r="A141" s="20"/>
      <c r="B141" s="20"/>
      <c r="C141" s="13"/>
      <c r="D141" s="20"/>
      <c r="E141" s="20"/>
      <c r="F141" s="21"/>
      <c r="G141" s="20"/>
      <c r="H141" s="20"/>
      <c r="I141" s="20"/>
      <c r="J141" s="20"/>
      <c r="K141" s="20"/>
      <c r="L141" s="20"/>
      <c r="M141" s="20" t="str">
        <f>CONCATENATE("MK|",(VLOOKUP(B141,Dictionary!$A:$B,2,FALSE)),"_CN|",SUBSTITUTE(SUBSTITUTE(IF(C141="","NONE",C141),"_","-"),"|","-"),"_MN|",(VLOOKUP(D141,Dictionary!$D:$E,2,0)),"_YQ|",(VLOOKUP(E141,Dictionary!$AR:$AR,1,0)),"_CP|",SUBSTITUTE(SUBSTITUTE(IF(F141="","NONE",F141),"_","-"),"|","-"),"_SP|",(VLOOKUP(G141,Dictionary!$AY:$AZ,2,0)),"_AC|",(VLOOKUP(H141,Dictionary!$BA:$BB,2,0)),IF(I141="","",CONCATENATE("_OB|",(VLOOKUP(I141,Dictionary!$AS:$AT,2,0)))),IF(J141="","",CONCATENATE("_U1|",SUBSTITUTE(SUBSTITUTE(J141,"_","-"),"|","-"))),IF(K141="","",CONCATENATE("_U2|",SUBSTITUTE(SUBSTITUTE(K141,"_","-"),"|","-"))),IF(L141="","",CONCATENATE("_U3|",SUBSTITUTE(SUBSTITUTE(L141,"_","-"),"|","-"))))</f>
        <v>#N/A</v>
      </c>
    </row>
    <row r="142" ht="15.75" customHeight="1">
      <c r="A142" s="20"/>
      <c r="B142" s="20"/>
      <c r="C142" s="13"/>
      <c r="D142" s="20"/>
      <c r="E142" s="20"/>
      <c r="F142" s="21"/>
      <c r="G142" s="20"/>
      <c r="H142" s="20"/>
      <c r="I142" s="20"/>
      <c r="J142" s="20"/>
      <c r="K142" s="20"/>
      <c r="L142" s="20"/>
      <c r="M142" s="20" t="str">
        <f>CONCATENATE("MK|",(VLOOKUP(B142,Dictionary!$A:$B,2,FALSE)),"_CN|",SUBSTITUTE(SUBSTITUTE(IF(C142="","NONE",C142),"_","-"),"|","-"),"_MN|",(VLOOKUP(D142,Dictionary!$D:$E,2,0)),"_YQ|",(VLOOKUP(E142,Dictionary!$AR:$AR,1,0)),"_CP|",SUBSTITUTE(SUBSTITUTE(IF(F142="","NONE",F142),"_","-"),"|","-"),"_SP|",(VLOOKUP(G142,Dictionary!$AY:$AZ,2,0)),"_AC|",(VLOOKUP(H142,Dictionary!$BA:$BB,2,0)),IF(I142="","",CONCATENATE("_OB|",(VLOOKUP(I142,Dictionary!$AS:$AT,2,0)))),IF(J142="","",CONCATENATE("_U1|",SUBSTITUTE(SUBSTITUTE(J142,"_","-"),"|","-"))),IF(K142="","",CONCATENATE("_U2|",SUBSTITUTE(SUBSTITUTE(K142,"_","-"),"|","-"))),IF(L142="","",CONCATENATE("_U3|",SUBSTITUTE(SUBSTITUTE(L142,"_","-"),"|","-"))))</f>
        <v>#N/A</v>
      </c>
    </row>
    <row r="143" ht="15.75" customHeight="1">
      <c r="A143" s="20"/>
      <c r="B143" s="20"/>
      <c r="C143" s="13"/>
      <c r="D143" s="20"/>
      <c r="E143" s="20"/>
      <c r="F143" s="21"/>
      <c r="G143" s="20"/>
      <c r="H143" s="20"/>
      <c r="I143" s="20"/>
      <c r="J143" s="20"/>
      <c r="K143" s="20"/>
      <c r="L143" s="20"/>
      <c r="M143" s="20" t="str">
        <f>CONCATENATE("MK|",(VLOOKUP(B143,Dictionary!$A:$B,2,FALSE)),"_CN|",SUBSTITUTE(SUBSTITUTE(IF(C143="","NONE",C143),"_","-"),"|","-"),"_MN|",(VLOOKUP(D143,Dictionary!$D:$E,2,0)),"_YQ|",(VLOOKUP(E143,Dictionary!$AR:$AR,1,0)),"_CP|",SUBSTITUTE(SUBSTITUTE(IF(F143="","NONE",F143),"_","-"),"|","-"),"_SP|",(VLOOKUP(G143,Dictionary!$AY:$AZ,2,0)),"_AC|",(VLOOKUP(H143,Dictionary!$BA:$BB,2,0)),IF(I143="","",CONCATENATE("_OB|",(VLOOKUP(I143,Dictionary!$AS:$AT,2,0)))),IF(J143="","",CONCATENATE("_U1|",SUBSTITUTE(SUBSTITUTE(J143,"_","-"),"|","-"))),IF(K143="","",CONCATENATE("_U2|",SUBSTITUTE(SUBSTITUTE(K143,"_","-"),"|","-"))),IF(L143="","",CONCATENATE("_U3|",SUBSTITUTE(SUBSTITUTE(L143,"_","-"),"|","-"))))</f>
        <v>#N/A</v>
      </c>
    </row>
    <row r="144" ht="15.75" customHeight="1">
      <c r="A144" s="20"/>
      <c r="B144" s="20"/>
      <c r="C144" s="13"/>
      <c r="D144" s="20"/>
      <c r="E144" s="20"/>
      <c r="F144" s="21"/>
      <c r="G144" s="20"/>
      <c r="H144" s="20"/>
      <c r="I144" s="20"/>
      <c r="J144" s="20"/>
      <c r="K144" s="20"/>
      <c r="L144" s="20"/>
      <c r="M144" s="20" t="str">
        <f>CONCATENATE("MK|",(VLOOKUP(B144,Dictionary!$A:$B,2,FALSE)),"_CN|",SUBSTITUTE(SUBSTITUTE(IF(C144="","NONE",C144),"_","-"),"|","-"),"_MN|",(VLOOKUP(D144,Dictionary!$D:$E,2,0)),"_YQ|",(VLOOKUP(E144,Dictionary!$AR:$AR,1,0)),"_CP|",SUBSTITUTE(SUBSTITUTE(IF(F144="","NONE",F144),"_","-"),"|","-"),"_SP|",(VLOOKUP(G144,Dictionary!$AY:$AZ,2,0)),"_AC|",(VLOOKUP(H144,Dictionary!$BA:$BB,2,0)),IF(I144="","",CONCATENATE("_OB|",(VLOOKUP(I144,Dictionary!$AS:$AT,2,0)))),IF(J144="","",CONCATENATE("_U1|",SUBSTITUTE(SUBSTITUTE(J144,"_","-"),"|","-"))),IF(K144="","",CONCATENATE("_U2|",SUBSTITUTE(SUBSTITUTE(K144,"_","-"),"|","-"))),IF(L144="","",CONCATENATE("_U3|",SUBSTITUTE(SUBSTITUTE(L144,"_","-"),"|","-"))))</f>
        <v>#N/A</v>
      </c>
    </row>
    <row r="145" ht="15.75" customHeight="1">
      <c r="A145" s="20"/>
      <c r="B145" s="20"/>
      <c r="C145" s="13"/>
      <c r="D145" s="20"/>
      <c r="E145" s="20"/>
      <c r="F145" s="21"/>
      <c r="G145" s="20"/>
      <c r="H145" s="20"/>
      <c r="I145" s="20"/>
      <c r="J145" s="20"/>
      <c r="K145" s="20"/>
      <c r="L145" s="20"/>
      <c r="M145" s="20" t="str">
        <f>CONCATENATE("MK|",(VLOOKUP(B145,Dictionary!$A:$B,2,FALSE)),"_CN|",SUBSTITUTE(SUBSTITUTE(IF(C145="","NONE",C145),"_","-"),"|","-"),"_MN|",(VLOOKUP(D145,Dictionary!$D:$E,2,0)),"_YQ|",(VLOOKUP(E145,Dictionary!$AR:$AR,1,0)),"_CP|",SUBSTITUTE(SUBSTITUTE(IF(F145="","NONE",F145),"_","-"),"|","-"),"_SP|",(VLOOKUP(G145,Dictionary!$AY:$AZ,2,0)),"_AC|",(VLOOKUP(H145,Dictionary!$BA:$BB,2,0)),IF(I145="","",CONCATENATE("_OB|",(VLOOKUP(I145,Dictionary!$AS:$AT,2,0)))),IF(J145="","",CONCATENATE("_U1|",SUBSTITUTE(SUBSTITUTE(J145,"_","-"),"|","-"))),IF(K145="","",CONCATENATE("_U2|",SUBSTITUTE(SUBSTITUTE(K145,"_","-"),"|","-"))),IF(L145="","",CONCATENATE("_U3|",SUBSTITUTE(SUBSTITUTE(L145,"_","-"),"|","-"))))</f>
        <v>#N/A</v>
      </c>
    </row>
    <row r="146" ht="15.75" customHeight="1">
      <c r="A146" s="20"/>
      <c r="B146" s="20"/>
      <c r="C146" s="13"/>
      <c r="D146" s="20"/>
      <c r="E146" s="20"/>
      <c r="F146" s="21"/>
      <c r="G146" s="20"/>
      <c r="H146" s="20"/>
      <c r="I146" s="20"/>
      <c r="J146" s="20"/>
      <c r="K146" s="20"/>
      <c r="L146" s="20"/>
      <c r="M146" s="20" t="str">
        <f>CONCATENATE("MK|",(VLOOKUP(B146,Dictionary!$A:$B,2,FALSE)),"_CN|",SUBSTITUTE(SUBSTITUTE(IF(C146="","NONE",C146),"_","-"),"|","-"),"_MN|",(VLOOKUP(D146,Dictionary!$D:$E,2,0)),"_YQ|",(VLOOKUP(E146,Dictionary!$AR:$AR,1,0)),"_CP|",SUBSTITUTE(SUBSTITUTE(IF(F146="","NONE",F146),"_","-"),"|","-"),"_SP|",(VLOOKUP(G146,Dictionary!$AY:$AZ,2,0)),"_AC|",(VLOOKUP(H146,Dictionary!$BA:$BB,2,0)),IF(I146="","",CONCATENATE("_OB|",(VLOOKUP(I146,Dictionary!$AS:$AT,2,0)))),IF(J146="","",CONCATENATE("_U1|",SUBSTITUTE(SUBSTITUTE(J146,"_","-"),"|","-"))),IF(K146="","",CONCATENATE("_U2|",SUBSTITUTE(SUBSTITUTE(K146,"_","-"),"|","-"))),IF(L146="","",CONCATENATE("_U3|",SUBSTITUTE(SUBSTITUTE(L146,"_","-"),"|","-"))))</f>
        <v>#N/A</v>
      </c>
    </row>
    <row r="147" ht="15.75" customHeight="1">
      <c r="A147" s="20"/>
      <c r="B147" s="20"/>
      <c r="C147" s="13"/>
      <c r="D147" s="20"/>
      <c r="E147" s="20"/>
      <c r="F147" s="21"/>
      <c r="G147" s="20"/>
      <c r="H147" s="20"/>
      <c r="I147" s="20"/>
      <c r="J147" s="20"/>
      <c r="K147" s="20"/>
      <c r="L147" s="20"/>
      <c r="M147" s="20" t="str">
        <f>CONCATENATE("MK|",(VLOOKUP(B147,Dictionary!$A:$B,2,FALSE)),"_CN|",SUBSTITUTE(SUBSTITUTE(IF(C147="","NONE",C147),"_","-"),"|","-"),"_MN|",(VLOOKUP(D147,Dictionary!$D:$E,2,0)),"_YQ|",(VLOOKUP(E147,Dictionary!$AR:$AR,1,0)),"_CP|",SUBSTITUTE(SUBSTITUTE(IF(F147="","NONE",F147),"_","-"),"|","-"),"_SP|",(VLOOKUP(G147,Dictionary!$AY:$AZ,2,0)),"_AC|",(VLOOKUP(H147,Dictionary!$BA:$BB,2,0)),IF(I147="","",CONCATENATE("_OB|",(VLOOKUP(I147,Dictionary!$AS:$AT,2,0)))),IF(J147="","",CONCATENATE("_U1|",SUBSTITUTE(SUBSTITUTE(J147,"_","-"),"|","-"))),IF(K147="","",CONCATENATE("_U2|",SUBSTITUTE(SUBSTITUTE(K147,"_","-"),"|","-"))),IF(L147="","",CONCATENATE("_U3|",SUBSTITUTE(SUBSTITUTE(L147,"_","-"),"|","-"))))</f>
        <v>#N/A</v>
      </c>
    </row>
    <row r="148" ht="15.75" customHeight="1">
      <c r="A148" s="20"/>
      <c r="B148" s="20"/>
      <c r="C148" s="13"/>
      <c r="D148" s="20"/>
      <c r="E148" s="20"/>
      <c r="F148" s="21"/>
      <c r="G148" s="20"/>
      <c r="H148" s="20"/>
      <c r="I148" s="20"/>
      <c r="J148" s="20"/>
      <c r="K148" s="20"/>
      <c r="L148" s="20"/>
      <c r="M148" s="20" t="str">
        <f>CONCATENATE("MK|",(VLOOKUP(B148,Dictionary!$A:$B,2,FALSE)),"_CN|",SUBSTITUTE(SUBSTITUTE(IF(C148="","NONE",C148),"_","-"),"|","-"),"_MN|",(VLOOKUP(D148,Dictionary!$D:$E,2,0)),"_YQ|",(VLOOKUP(E148,Dictionary!$AR:$AR,1,0)),"_CP|",SUBSTITUTE(SUBSTITUTE(IF(F148="","NONE",F148),"_","-"),"|","-"),"_SP|",(VLOOKUP(G148,Dictionary!$AY:$AZ,2,0)),"_AC|",(VLOOKUP(H148,Dictionary!$BA:$BB,2,0)),IF(I148="","",CONCATENATE("_OB|",(VLOOKUP(I148,Dictionary!$AS:$AT,2,0)))),IF(J148="","",CONCATENATE("_U1|",SUBSTITUTE(SUBSTITUTE(J148,"_","-"),"|","-"))),IF(K148="","",CONCATENATE("_U2|",SUBSTITUTE(SUBSTITUTE(K148,"_","-"),"|","-"))),IF(L148="","",CONCATENATE("_U3|",SUBSTITUTE(SUBSTITUTE(L148,"_","-"),"|","-"))))</f>
        <v>#N/A</v>
      </c>
    </row>
    <row r="149" ht="15.75" customHeight="1">
      <c r="A149" s="20"/>
      <c r="B149" s="20"/>
      <c r="C149" s="13"/>
      <c r="D149" s="20"/>
      <c r="E149" s="20"/>
      <c r="F149" s="21"/>
      <c r="G149" s="20"/>
      <c r="H149" s="20"/>
      <c r="I149" s="20"/>
      <c r="J149" s="20"/>
      <c r="K149" s="20"/>
      <c r="L149" s="20"/>
      <c r="M149" s="20" t="str">
        <f>CONCATENATE("MK|",(VLOOKUP(B149,Dictionary!$A:$B,2,FALSE)),"_CN|",SUBSTITUTE(SUBSTITUTE(IF(C149="","NONE",C149),"_","-"),"|","-"),"_MN|",(VLOOKUP(D149,Dictionary!$D:$E,2,0)),"_YQ|",(VLOOKUP(E149,Dictionary!$AR:$AR,1,0)),"_CP|",SUBSTITUTE(SUBSTITUTE(IF(F149="","NONE",F149),"_","-"),"|","-"),"_SP|",(VLOOKUP(G149,Dictionary!$AY:$AZ,2,0)),"_AC|",(VLOOKUP(H149,Dictionary!$BA:$BB,2,0)),IF(I149="","",CONCATENATE("_OB|",(VLOOKUP(I149,Dictionary!$AS:$AT,2,0)))),IF(J149="","",CONCATENATE("_U1|",SUBSTITUTE(SUBSTITUTE(J149,"_","-"),"|","-"))),IF(K149="","",CONCATENATE("_U2|",SUBSTITUTE(SUBSTITUTE(K149,"_","-"),"|","-"))),IF(L149="","",CONCATENATE("_U3|",SUBSTITUTE(SUBSTITUTE(L149,"_","-"),"|","-"))))</f>
        <v>#N/A</v>
      </c>
    </row>
    <row r="150" ht="15.75" customHeight="1">
      <c r="A150" s="20"/>
      <c r="B150" s="20"/>
      <c r="C150" s="13"/>
      <c r="D150" s="20"/>
      <c r="E150" s="20"/>
      <c r="F150" s="21"/>
      <c r="G150" s="20"/>
      <c r="H150" s="20"/>
      <c r="I150" s="20"/>
      <c r="J150" s="20"/>
      <c r="K150" s="20"/>
      <c r="L150" s="20"/>
      <c r="M150" s="20" t="str">
        <f>CONCATENATE("MK|",(VLOOKUP(B150,Dictionary!$A:$B,2,FALSE)),"_CN|",SUBSTITUTE(SUBSTITUTE(IF(C150="","NONE",C150),"_","-"),"|","-"),"_MN|",(VLOOKUP(D150,Dictionary!$D:$E,2,0)),"_YQ|",(VLOOKUP(E150,Dictionary!$AR:$AR,1,0)),"_CP|",SUBSTITUTE(SUBSTITUTE(IF(F150="","NONE",F150),"_","-"),"|","-"),"_SP|",(VLOOKUP(G150,Dictionary!$AY:$AZ,2,0)),"_AC|",(VLOOKUP(H150,Dictionary!$BA:$BB,2,0)),IF(I150="","",CONCATENATE("_OB|",(VLOOKUP(I150,Dictionary!$AS:$AT,2,0)))),IF(J150="","",CONCATENATE("_U1|",SUBSTITUTE(SUBSTITUTE(J150,"_","-"),"|","-"))),IF(K150="","",CONCATENATE("_U2|",SUBSTITUTE(SUBSTITUTE(K150,"_","-"),"|","-"))),IF(L150="","",CONCATENATE("_U3|",SUBSTITUTE(SUBSTITUTE(L150,"_","-"),"|","-"))))</f>
        <v>#N/A</v>
      </c>
    </row>
    <row r="151" ht="15.75" customHeight="1">
      <c r="A151" s="20"/>
      <c r="B151" s="20"/>
      <c r="C151" s="13"/>
      <c r="D151" s="20"/>
      <c r="E151" s="20"/>
      <c r="F151" s="21"/>
      <c r="G151" s="20"/>
      <c r="H151" s="20"/>
      <c r="I151" s="20"/>
      <c r="J151" s="20"/>
      <c r="K151" s="20"/>
      <c r="L151" s="20"/>
      <c r="M151" s="20" t="str">
        <f>CONCATENATE("MK|",(VLOOKUP(B151,Dictionary!$A:$B,2,FALSE)),"_CN|",SUBSTITUTE(SUBSTITUTE(IF(C151="","NONE",C151),"_","-"),"|","-"),"_MN|",(VLOOKUP(D151,Dictionary!$D:$E,2,0)),"_YQ|",(VLOOKUP(E151,Dictionary!$AR:$AR,1,0)),"_CP|",SUBSTITUTE(SUBSTITUTE(IF(F151="","NONE",F151),"_","-"),"|","-"),"_SP|",(VLOOKUP(G151,Dictionary!$AY:$AZ,2,0)),"_AC|",(VLOOKUP(H151,Dictionary!$BA:$BB,2,0)),IF(I151="","",CONCATENATE("_OB|",(VLOOKUP(I151,Dictionary!$AS:$AT,2,0)))),IF(J151="","",CONCATENATE("_U1|",SUBSTITUTE(SUBSTITUTE(J151,"_","-"),"|","-"))),IF(K151="","",CONCATENATE("_U2|",SUBSTITUTE(SUBSTITUTE(K151,"_","-"),"|","-"))),IF(L151="","",CONCATENATE("_U3|",SUBSTITUTE(SUBSTITUTE(L151,"_","-"),"|","-"))))</f>
        <v>#N/A</v>
      </c>
    </row>
    <row r="152" ht="15.75" customHeight="1">
      <c r="A152" s="20"/>
      <c r="B152" s="20"/>
      <c r="C152" s="13"/>
      <c r="D152" s="20"/>
      <c r="E152" s="20"/>
      <c r="F152" s="21"/>
      <c r="G152" s="20"/>
      <c r="H152" s="20"/>
      <c r="I152" s="20"/>
      <c r="J152" s="20"/>
      <c r="K152" s="20"/>
      <c r="L152" s="20"/>
      <c r="M152" s="20" t="str">
        <f>CONCATENATE("MK|",(VLOOKUP(B152,Dictionary!$A:$B,2,FALSE)),"_CN|",SUBSTITUTE(SUBSTITUTE(IF(C152="","NONE",C152),"_","-"),"|","-"),"_MN|",(VLOOKUP(D152,Dictionary!$D:$E,2,0)),"_YQ|",(VLOOKUP(E152,Dictionary!$AR:$AR,1,0)),"_CP|",SUBSTITUTE(SUBSTITUTE(IF(F152="","NONE",F152),"_","-"),"|","-"),"_SP|",(VLOOKUP(G152,Dictionary!$AY:$AZ,2,0)),"_AC|",(VLOOKUP(H152,Dictionary!$BA:$BB,2,0)),IF(I152="","",CONCATENATE("_OB|",(VLOOKUP(I152,Dictionary!$AS:$AT,2,0)))),IF(J152="","",CONCATENATE("_U1|",SUBSTITUTE(SUBSTITUTE(J152,"_","-"),"|","-"))),IF(K152="","",CONCATENATE("_U2|",SUBSTITUTE(SUBSTITUTE(K152,"_","-"),"|","-"))),IF(L152="","",CONCATENATE("_U3|",SUBSTITUTE(SUBSTITUTE(L152,"_","-"),"|","-"))))</f>
        <v>#N/A</v>
      </c>
    </row>
    <row r="153" ht="15.75" customHeight="1">
      <c r="A153" s="20"/>
      <c r="B153" s="20"/>
      <c r="C153" s="13"/>
      <c r="D153" s="20"/>
      <c r="E153" s="20"/>
      <c r="F153" s="21"/>
      <c r="G153" s="20"/>
      <c r="H153" s="20"/>
      <c r="I153" s="20"/>
      <c r="J153" s="20"/>
      <c r="K153" s="20"/>
      <c r="L153" s="20"/>
      <c r="M153" s="20" t="str">
        <f>CONCATENATE("MK|",(VLOOKUP(B153,Dictionary!$A:$B,2,FALSE)),"_CN|",SUBSTITUTE(SUBSTITUTE(IF(C153="","NONE",C153),"_","-"),"|","-"),"_MN|",(VLOOKUP(D153,Dictionary!$D:$E,2,0)),"_YQ|",(VLOOKUP(E153,Dictionary!$AR:$AR,1,0)),"_CP|",SUBSTITUTE(SUBSTITUTE(IF(F153="","NONE",F153),"_","-"),"|","-"),"_SP|",(VLOOKUP(G153,Dictionary!$AY:$AZ,2,0)),"_AC|",(VLOOKUP(H153,Dictionary!$BA:$BB,2,0)),IF(I153="","",CONCATENATE("_OB|",(VLOOKUP(I153,Dictionary!$AS:$AT,2,0)))),IF(J153="","",CONCATENATE("_U1|",SUBSTITUTE(SUBSTITUTE(J153,"_","-"),"|","-"))),IF(K153="","",CONCATENATE("_U2|",SUBSTITUTE(SUBSTITUTE(K153,"_","-"),"|","-"))),IF(L153="","",CONCATENATE("_U3|",SUBSTITUTE(SUBSTITUTE(L153,"_","-"),"|","-"))))</f>
        <v>#N/A</v>
      </c>
    </row>
    <row r="154" ht="15.75" customHeight="1">
      <c r="A154" s="20"/>
      <c r="B154" s="20"/>
      <c r="C154" s="13"/>
      <c r="D154" s="20"/>
      <c r="E154" s="20"/>
      <c r="F154" s="21"/>
      <c r="G154" s="20"/>
      <c r="H154" s="20"/>
      <c r="I154" s="20"/>
      <c r="J154" s="20"/>
      <c r="K154" s="20"/>
      <c r="L154" s="20"/>
      <c r="M154" s="20" t="str">
        <f>CONCATENATE("MK|",(VLOOKUP(B154,Dictionary!$A:$B,2,FALSE)),"_CN|",SUBSTITUTE(SUBSTITUTE(IF(C154="","NONE",C154),"_","-"),"|","-"),"_MN|",(VLOOKUP(D154,Dictionary!$D:$E,2,0)),"_YQ|",(VLOOKUP(E154,Dictionary!$AR:$AR,1,0)),"_CP|",SUBSTITUTE(SUBSTITUTE(IF(F154="","NONE",F154),"_","-"),"|","-"),"_SP|",(VLOOKUP(G154,Dictionary!$AY:$AZ,2,0)),"_AC|",(VLOOKUP(H154,Dictionary!$BA:$BB,2,0)),IF(I154="","",CONCATENATE("_OB|",(VLOOKUP(I154,Dictionary!$AS:$AT,2,0)))),IF(J154="","",CONCATENATE("_U1|",SUBSTITUTE(SUBSTITUTE(J154,"_","-"),"|","-"))),IF(K154="","",CONCATENATE("_U2|",SUBSTITUTE(SUBSTITUTE(K154,"_","-"),"|","-"))),IF(L154="","",CONCATENATE("_U3|",SUBSTITUTE(SUBSTITUTE(L154,"_","-"),"|","-"))))</f>
        <v>#N/A</v>
      </c>
    </row>
    <row r="155" ht="15.75" customHeight="1">
      <c r="A155" s="20"/>
      <c r="B155" s="20"/>
      <c r="C155" s="13"/>
      <c r="D155" s="20"/>
      <c r="E155" s="20"/>
      <c r="F155" s="21"/>
      <c r="G155" s="20"/>
      <c r="H155" s="20"/>
      <c r="I155" s="20"/>
      <c r="J155" s="20"/>
      <c r="K155" s="20"/>
      <c r="L155" s="20"/>
      <c r="M155" s="20" t="str">
        <f>CONCATENATE("MK|",(VLOOKUP(B155,Dictionary!$A:$B,2,FALSE)),"_CN|",SUBSTITUTE(SUBSTITUTE(IF(C155="","NONE",C155),"_","-"),"|","-"),"_MN|",(VLOOKUP(D155,Dictionary!$D:$E,2,0)),"_YQ|",(VLOOKUP(E155,Dictionary!$AR:$AR,1,0)),"_CP|",SUBSTITUTE(SUBSTITUTE(IF(F155="","NONE",F155),"_","-"),"|","-"),"_SP|",(VLOOKUP(G155,Dictionary!$AY:$AZ,2,0)),"_AC|",(VLOOKUP(H155,Dictionary!$BA:$BB,2,0)),IF(I155="","",CONCATENATE("_OB|",(VLOOKUP(I155,Dictionary!$AS:$AT,2,0)))),IF(J155="","",CONCATENATE("_U1|",SUBSTITUTE(SUBSTITUTE(J155,"_","-"),"|","-"))),IF(K155="","",CONCATENATE("_U2|",SUBSTITUTE(SUBSTITUTE(K155,"_","-"),"|","-"))),IF(L155="","",CONCATENATE("_U3|",SUBSTITUTE(SUBSTITUTE(L155,"_","-"),"|","-"))))</f>
        <v>#N/A</v>
      </c>
    </row>
    <row r="156" ht="15.75" customHeight="1">
      <c r="A156" s="20"/>
      <c r="B156" s="20"/>
      <c r="C156" s="13"/>
      <c r="D156" s="20"/>
      <c r="E156" s="20"/>
      <c r="F156" s="21"/>
      <c r="G156" s="20"/>
      <c r="H156" s="20"/>
      <c r="I156" s="20"/>
      <c r="J156" s="20"/>
      <c r="K156" s="20"/>
      <c r="L156" s="20"/>
      <c r="M156" s="20" t="str">
        <f>CONCATENATE("MK|",(VLOOKUP(B156,Dictionary!$A:$B,2,FALSE)),"_CN|",SUBSTITUTE(SUBSTITUTE(IF(C156="","NONE",C156),"_","-"),"|","-"),"_MN|",(VLOOKUP(D156,Dictionary!$D:$E,2,0)),"_YQ|",(VLOOKUP(E156,Dictionary!$AR:$AR,1,0)),"_CP|",SUBSTITUTE(SUBSTITUTE(IF(F156="","NONE",F156),"_","-"),"|","-"),"_SP|",(VLOOKUP(G156,Dictionary!$AY:$AZ,2,0)),"_AC|",(VLOOKUP(H156,Dictionary!$BA:$BB,2,0)),IF(I156="","",CONCATENATE("_OB|",(VLOOKUP(I156,Dictionary!$AS:$AT,2,0)))),IF(J156="","",CONCATENATE("_U1|",SUBSTITUTE(SUBSTITUTE(J156,"_","-"),"|","-"))),IF(K156="","",CONCATENATE("_U2|",SUBSTITUTE(SUBSTITUTE(K156,"_","-"),"|","-"))),IF(L156="","",CONCATENATE("_U3|",SUBSTITUTE(SUBSTITUTE(L156,"_","-"),"|","-"))))</f>
        <v>#N/A</v>
      </c>
    </row>
    <row r="157" ht="15.75" customHeight="1">
      <c r="A157" s="20"/>
      <c r="B157" s="20"/>
      <c r="C157" s="13"/>
      <c r="D157" s="20"/>
      <c r="E157" s="20"/>
      <c r="F157" s="21"/>
      <c r="G157" s="20"/>
      <c r="H157" s="20"/>
      <c r="I157" s="20"/>
      <c r="J157" s="20"/>
      <c r="K157" s="20"/>
      <c r="L157" s="20"/>
      <c r="M157" s="20" t="str">
        <f>CONCATENATE("MK|",(VLOOKUP(B157,Dictionary!$A:$B,2,FALSE)),"_CN|",SUBSTITUTE(SUBSTITUTE(IF(C157="","NONE",C157),"_","-"),"|","-"),"_MN|",(VLOOKUP(D157,Dictionary!$D:$E,2,0)),"_YQ|",(VLOOKUP(E157,Dictionary!$AR:$AR,1,0)),"_CP|",SUBSTITUTE(SUBSTITUTE(IF(F157="","NONE",F157),"_","-"),"|","-"),"_SP|",(VLOOKUP(G157,Dictionary!$AY:$AZ,2,0)),"_AC|",(VLOOKUP(H157,Dictionary!$BA:$BB,2,0)),IF(I157="","",CONCATENATE("_OB|",(VLOOKUP(I157,Dictionary!$AS:$AT,2,0)))),IF(J157="","",CONCATENATE("_U1|",SUBSTITUTE(SUBSTITUTE(J157,"_","-"),"|","-"))),IF(K157="","",CONCATENATE("_U2|",SUBSTITUTE(SUBSTITUTE(K157,"_","-"),"|","-"))),IF(L157="","",CONCATENATE("_U3|",SUBSTITUTE(SUBSTITUTE(L157,"_","-"),"|","-"))))</f>
        <v>#N/A</v>
      </c>
    </row>
    <row r="158" ht="15.75" customHeight="1">
      <c r="A158" s="20"/>
      <c r="B158" s="20"/>
      <c r="C158" s="13"/>
      <c r="D158" s="20"/>
      <c r="E158" s="20"/>
      <c r="F158" s="21"/>
      <c r="G158" s="20"/>
      <c r="H158" s="20"/>
      <c r="I158" s="20"/>
      <c r="J158" s="20"/>
      <c r="K158" s="20"/>
      <c r="L158" s="20"/>
      <c r="M158" s="20" t="str">
        <f>CONCATENATE("MK|",(VLOOKUP(B158,Dictionary!$A:$B,2,FALSE)),"_CN|",SUBSTITUTE(SUBSTITUTE(IF(C158="","NONE",C158),"_","-"),"|","-"),"_MN|",(VLOOKUP(D158,Dictionary!$D:$E,2,0)),"_YQ|",(VLOOKUP(E158,Dictionary!$AR:$AR,1,0)),"_CP|",SUBSTITUTE(SUBSTITUTE(IF(F158="","NONE",F158),"_","-"),"|","-"),"_SP|",(VLOOKUP(G158,Dictionary!$AY:$AZ,2,0)),"_AC|",(VLOOKUP(H158,Dictionary!$BA:$BB,2,0)),IF(I158="","",CONCATENATE("_OB|",(VLOOKUP(I158,Dictionary!$AS:$AT,2,0)))),IF(J158="","",CONCATENATE("_U1|",SUBSTITUTE(SUBSTITUTE(J158,"_","-"),"|","-"))),IF(K158="","",CONCATENATE("_U2|",SUBSTITUTE(SUBSTITUTE(K158,"_","-"),"|","-"))),IF(L158="","",CONCATENATE("_U3|",SUBSTITUTE(SUBSTITUTE(L158,"_","-"),"|","-"))))</f>
        <v>#N/A</v>
      </c>
    </row>
    <row r="159" ht="15.75" customHeight="1">
      <c r="A159" s="20"/>
      <c r="B159" s="20"/>
      <c r="C159" s="13"/>
      <c r="D159" s="20"/>
      <c r="E159" s="20"/>
      <c r="F159" s="21"/>
      <c r="G159" s="20"/>
      <c r="H159" s="20"/>
      <c r="I159" s="20"/>
      <c r="J159" s="20"/>
      <c r="K159" s="20"/>
      <c r="L159" s="20"/>
      <c r="M159" s="20" t="str">
        <f>CONCATENATE("MK|",(VLOOKUP(B159,Dictionary!$A:$B,2,FALSE)),"_CN|",SUBSTITUTE(SUBSTITUTE(IF(C159="","NONE",C159),"_","-"),"|","-"),"_MN|",(VLOOKUP(D159,Dictionary!$D:$E,2,0)),"_YQ|",(VLOOKUP(E159,Dictionary!$AR:$AR,1,0)),"_CP|",SUBSTITUTE(SUBSTITUTE(IF(F159="","NONE",F159),"_","-"),"|","-"),"_SP|",(VLOOKUP(G159,Dictionary!$AY:$AZ,2,0)),"_AC|",(VLOOKUP(H159,Dictionary!$BA:$BB,2,0)),IF(I159="","",CONCATENATE("_OB|",(VLOOKUP(I159,Dictionary!$AS:$AT,2,0)))),IF(J159="","",CONCATENATE("_U1|",SUBSTITUTE(SUBSTITUTE(J159,"_","-"),"|","-"))),IF(K159="","",CONCATENATE("_U2|",SUBSTITUTE(SUBSTITUTE(K159,"_","-"),"|","-"))),IF(L159="","",CONCATENATE("_U3|",SUBSTITUTE(SUBSTITUTE(L159,"_","-"),"|","-"))))</f>
        <v>#N/A</v>
      </c>
    </row>
    <row r="160" ht="15.75" customHeight="1">
      <c r="A160" s="20"/>
      <c r="B160" s="20"/>
      <c r="C160" s="13"/>
      <c r="D160" s="20"/>
      <c r="E160" s="20"/>
      <c r="F160" s="21"/>
      <c r="G160" s="20"/>
      <c r="H160" s="20"/>
      <c r="I160" s="20"/>
      <c r="J160" s="20"/>
      <c r="K160" s="20"/>
      <c r="L160" s="20"/>
      <c r="M160" s="20" t="str">
        <f>CONCATENATE("MK|",(VLOOKUP(B160,Dictionary!$A:$B,2,FALSE)),"_CN|",SUBSTITUTE(SUBSTITUTE(IF(C160="","NONE",C160),"_","-"),"|","-"),"_MN|",(VLOOKUP(D160,Dictionary!$D:$E,2,0)),"_YQ|",(VLOOKUP(E160,Dictionary!$AR:$AR,1,0)),"_CP|",SUBSTITUTE(SUBSTITUTE(IF(F160="","NONE",F160),"_","-"),"|","-"),"_SP|",(VLOOKUP(G160,Dictionary!$AY:$AZ,2,0)),"_AC|",(VLOOKUP(H160,Dictionary!$BA:$BB,2,0)),IF(I160="","",CONCATENATE("_OB|",(VLOOKUP(I160,Dictionary!$AS:$AT,2,0)))),IF(J160="","",CONCATENATE("_U1|",SUBSTITUTE(SUBSTITUTE(J160,"_","-"),"|","-"))),IF(K160="","",CONCATENATE("_U2|",SUBSTITUTE(SUBSTITUTE(K160,"_","-"),"|","-"))),IF(L160="","",CONCATENATE("_U3|",SUBSTITUTE(SUBSTITUTE(L160,"_","-"),"|","-"))))</f>
        <v>#N/A</v>
      </c>
    </row>
    <row r="161" ht="15.75" customHeight="1">
      <c r="A161" s="20"/>
      <c r="B161" s="20"/>
      <c r="C161" s="13"/>
      <c r="D161" s="20"/>
      <c r="E161" s="20"/>
      <c r="F161" s="21"/>
      <c r="G161" s="20"/>
      <c r="H161" s="20"/>
      <c r="I161" s="20"/>
      <c r="J161" s="20"/>
      <c r="K161" s="20"/>
      <c r="L161" s="20"/>
      <c r="M161" s="20" t="str">
        <f>CONCATENATE("MK|",(VLOOKUP(B161,Dictionary!$A:$B,2,FALSE)),"_CN|",SUBSTITUTE(SUBSTITUTE(IF(C161="","NONE",C161),"_","-"),"|","-"),"_MN|",(VLOOKUP(D161,Dictionary!$D:$E,2,0)),"_YQ|",(VLOOKUP(E161,Dictionary!$AR:$AR,1,0)),"_CP|",SUBSTITUTE(SUBSTITUTE(IF(F161="","NONE",F161),"_","-"),"|","-"),"_SP|",(VLOOKUP(G161,Dictionary!$AY:$AZ,2,0)),"_AC|",(VLOOKUP(H161,Dictionary!$BA:$BB,2,0)),IF(I161="","",CONCATENATE("_OB|",(VLOOKUP(I161,Dictionary!$AS:$AT,2,0)))),IF(J161="","",CONCATENATE("_U1|",SUBSTITUTE(SUBSTITUTE(J161,"_","-"),"|","-"))),IF(K161="","",CONCATENATE("_U2|",SUBSTITUTE(SUBSTITUTE(K161,"_","-"),"|","-"))),IF(L161="","",CONCATENATE("_U3|",SUBSTITUTE(SUBSTITUTE(L161,"_","-"),"|","-"))))</f>
        <v>#N/A</v>
      </c>
    </row>
    <row r="162" ht="15.75" customHeight="1">
      <c r="A162" s="20"/>
      <c r="B162" s="20"/>
      <c r="C162" s="13"/>
      <c r="D162" s="20"/>
      <c r="E162" s="20"/>
      <c r="F162" s="21"/>
      <c r="G162" s="20"/>
      <c r="H162" s="20"/>
      <c r="I162" s="20"/>
      <c r="J162" s="20"/>
      <c r="K162" s="20"/>
      <c r="L162" s="20"/>
      <c r="M162" s="20" t="str">
        <f>CONCATENATE("MK|",(VLOOKUP(B162,Dictionary!$A:$B,2,FALSE)),"_CN|",SUBSTITUTE(SUBSTITUTE(IF(C162="","NONE",C162),"_","-"),"|","-"),"_MN|",(VLOOKUP(D162,Dictionary!$D:$E,2,0)),"_YQ|",(VLOOKUP(E162,Dictionary!$AR:$AR,1,0)),"_CP|",SUBSTITUTE(SUBSTITUTE(IF(F162="","NONE",F162),"_","-"),"|","-"),"_SP|",(VLOOKUP(G162,Dictionary!$AY:$AZ,2,0)),"_AC|",(VLOOKUP(H162,Dictionary!$BA:$BB,2,0)),IF(I162="","",CONCATENATE("_OB|",(VLOOKUP(I162,Dictionary!$AS:$AT,2,0)))),IF(J162="","",CONCATENATE("_U1|",SUBSTITUTE(SUBSTITUTE(J162,"_","-"),"|","-"))),IF(K162="","",CONCATENATE("_U2|",SUBSTITUTE(SUBSTITUTE(K162,"_","-"),"|","-"))),IF(L162="","",CONCATENATE("_U3|",SUBSTITUTE(SUBSTITUTE(L162,"_","-"),"|","-"))))</f>
        <v>#N/A</v>
      </c>
    </row>
    <row r="163" ht="15.75" customHeight="1">
      <c r="A163" s="20"/>
      <c r="B163" s="20"/>
      <c r="C163" s="13"/>
      <c r="D163" s="20"/>
      <c r="E163" s="20"/>
      <c r="F163" s="21"/>
      <c r="G163" s="20"/>
      <c r="H163" s="20"/>
      <c r="I163" s="20"/>
      <c r="J163" s="20"/>
      <c r="K163" s="20"/>
      <c r="L163" s="20"/>
      <c r="M163" s="20" t="str">
        <f>CONCATENATE("MK|",(VLOOKUP(B163,Dictionary!$A:$B,2,FALSE)),"_CN|",SUBSTITUTE(SUBSTITUTE(IF(C163="","NONE",C163),"_","-"),"|","-"),"_MN|",(VLOOKUP(D163,Dictionary!$D:$E,2,0)),"_YQ|",(VLOOKUP(E163,Dictionary!$AR:$AR,1,0)),"_CP|",SUBSTITUTE(SUBSTITUTE(IF(F163="","NONE",F163),"_","-"),"|","-"),"_SP|",(VLOOKUP(G163,Dictionary!$AY:$AZ,2,0)),"_AC|",(VLOOKUP(H163,Dictionary!$BA:$BB,2,0)),IF(I163="","",CONCATENATE("_OB|",(VLOOKUP(I163,Dictionary!$AS:$AT,2,0)))),IF(J163="","",CONCATENATE("_U1|",SUBSTITUTE(SUBSTITUTE(J163,"_","-"),"|","-"))),IF(K163="","",CONCATENATE("_U2|",SUBSTITUTE(SUBSTITUTE(K163,"_","-"),"|","-"))),IF(L163="","",CONCATENATE("_U3|",SUBSTITUTE(SUBSTITUTE(L163,"_","-"),"|","-"))))</f>
        <v>#N/A</v>
      </c>
    </row>
    <row r="164" ht="15.75" customHeight="1">
      <c r="A164" s="20"/>
      <c r="B164" s="20"/>
      <c r="C164" s="13"/>
      <c r="D164" s="20"/>
      <c r="E164" s="20"/>
      <c r="F164" s="21"/>
      <c r="G164" s="20"/>
      <c r="H164" s="20"/>
      <c r="I164" s="20"/>
      <c r="J164" s="20"/>
      <c r="K164" s="20"/>
      <c r="L164" s="20"/>
      <c r="M164" s="20" t="str">
        <f>CONCATENATE("MK|",(VLOOKUP(B164,Dictionary!$A:$B,2,FALSE)),"_CN|",SUBSTITUTE(SUBSTITUTE(IF(C164="","NONE",C164),"_","-"),"|","-"),"_MN|",(VLOOKUP(D164,Dictionary!$D:$E,2,0)),"_YQ|",(VLOOKUP(E164,Dictionary!$AR:$AR,1,0)),"_CP|",SUBSTITUTE(SUBSTITUTE(IF(F164="","NONE",F164),"_","-"),"|","-"),"_SP|",(VLOOKUP(G164,Dictionary!$AY:$AZ,2,0)),"_AC|",(VLOOKUP(H164,Dictionary!$BA:$BB,2,0)),IF(I164="","",CONCATENATE("_OB|",(VLOOKUP(I164,Dictionary!$AS:$AT,2,0)))),IF(J164="","",CONCATENATE("_U1|",SUBSTITUTE(SUBSTITUTE(J164,"_","-"),"|","-"))),IF(K164="","",CONCATENATE("_U2|",SUBSTITUTE(SUBSTITUTE(K164,"_","-"),"|","-"))),IF(L164="","",CONCATENATE("_U3|",SUBSTITUTE(SUBSTITUTE(L164,"_","-"),"|","-"))))</f>
        <v>#N/A</v>
      </c>
    </row>
    <row r="165" ht="15.75" customHeight="1">
      <c r="A165" s="20"/>
      <c r="B165" s="20"/>
      <c r="C165" s="13"/>
      <c r="D165" s="20"/>
      <c r="E165" s="20"/>
      <c r="F165" s="21"/>
      <c r="G165" s="20"/>
      <c r="H165" s="20"/>
      <c r="I165" s="20"/>
      <c r="J165" s="20"/>
      <c r="K165" s="20"/>
      <c r="L165" s="20"/>
      <c r="M165" s="20" t="str">
        <f>CONCATENATE("MK|",(VLOOKUP(B165,Dictionary!$A:$B,2,FALSE)),"_CN|",SUBSTITUTE(SUBSTITUTE(IF(C165="","NONE",C165),"_","-"),"|","-"),"_MN|",(VLOOKUP(D165,Dictionary!$D:$E,2,0)),"_YQ|",(VLOOKUP(E165,Dictionary!$AR:$AR,1,0)),"_CP|",SUBSTITUTE(SUBSTITUTE(IF(F165="","NONE",F165),"_","-"),"|","-"),"_SP|",(VLOOKUP(G165,Dictionary!$AY:$AZ,2,0)),"_AC|",(VLOOKUP(H165,Dictionary!$BA:$BB,2,0)),IF(I165="","",CONCATENATE("_OB|",(VLOOKUP(I165,Dictionary!$AS:$AT,2,0)))),IF(J165="","",CONCATENATE("_U1|",SUBSTITUTE(SUBSTITUTE(J165,"_","-"),"|","-"))),IF(K165="","",CONCATENATE("_U2|",SUBSTITUTE(SUBSTITUTE(K165,"_","-"),"|","-"))),IF(L165="","",CONCATENATE("_U3|",SUBSTITUTE(SUBSTITUTE(L165,"_","-"),"|","-"))))</f>
        <v>#N/A</v>
      </c>
    </row>
    <row r="166" ht="15.75" customHeight="1">
      <c r="A166" s="20"/>
      <c r="B166" s="20"/>
      <c r="C166" s="13"/>
      <c r="D166" s="20"/>
      <c r="E166" s="20"/>
      <c r="F166" s="21"/>
      <c r="G166" s="20"/>
      <c r="H166" s="20"/>
      <c r="I166" s="20"/>
      <c r="J166" s="20"/>
      <c r="K166" s="20"/>
      <c r="L166" s="20"/>
      <c r="M166" s="20" t="str">
        <f>CONCATENATE("MK|",(VLOOKUP(B166,Dictionary!$A:$B,2,FALSE)),"_CN|",SUBSTITUTE(SUBSTITUTE(IF(C166="","NONE",C166),"_","-"),"|","-"),"_MN|",(VLOOKUP(D166,Dictionary!$D:$E,2,0)),"_YQ|",(VLOOKUP(E166,Dictionary!$AR:$AR,1,0)),"_CP|",SUBSTITUTE(SUBSTITUTE(IF(F166="","NONE",F166),"_","-"),"|","-"),"_SP|",(VLOOKUP(G166,Dictionary!$AY:$AZ,2,0)),"_AC|",(VLOOKUP(H166,Dictionary!$BA:$BB,2,0)),IF(I166="","",CONCATENATE("_OB|",(VLOOKUP(I166,Dictionary!$AS:$AT,2,0)))),IF(J166="","",CONCATENATE("_U1|",SUBSTITUTE(SUBSTITUTE(J166,"_","-"),"|","-"))),IF(K166="","",CONCATENATE("_U2|",SUBSTITUTE(SUBSTITUTE(K166,"_","-"),"|","-"))),IF(L166="","",CONCATENATE("_U3|",SUBSTITUTE(SUBSTITUTE(L166,"_","-"),"|","-"))))</f>
        <v>#N/A</v>
      </c>
    </row>
    <row r="167" ht="15.75" customHeight="1">
      <c r="A167" s="20"/>
      <c r="B167" s="20"/>
      <c r="C167" s="13"/>
      <c r="D167" s="20"/>
      <c r="E167" s="20"/>
      <c r="F167" s="21"/>
      <c r="G167" s="20"/>
      <c r="H167" s="20"/>
      <c r="I167" s="20"/>
      <c r="J167" s="20"/>
      <c r="K167" s="20"/>
      <c r="L167" s="20"/>
      <c r="M167" s="20" t="str">
        <f>CONCATENATE("MK|",(VLOOKUP(B167,Dictionary!$A:$B,2,FALSE)),"_CN|",SUBSTITUTE(SUBSTITUTE(IF(C167="","NONE",C167),"_","-"),"|","-"),"_MN|",(VLOOKUP(D167,Dictionary!$D:$E,2,0)),"_YQ|",(VLOOKUP(E167,Dictionary!$AR:$AR,1,0)),"_CP|",SUBSTITUTE(SUBSTITUTE(IF(F167="","NONE",F167),"_","-"),"|","-"),"_SP|",(VLOOKUP(G167,Dictionary!$AY:$AZ,2,0)),"_AC|",(VLOOKUP(H167,Dictionary!$BA:$BB,2,0)),IF(I167="","",CONCATENATE("_OB|",(VLOOKUP(I167,Dictionary!$AS:$AT,2,0)))),IF(J167="","",CONCATENATE("_U1|",SUBSTITUTE(SUBSTITUTE(J167,"_","-"),"|","-"))),IF(K167="","",CONCATENATE("_U2|",SUBSTITUTE(SUBSTITUTE(K167,"_","-"),"|","-"))),IF(L167="","",CONCATENATE("_U3|",SUBSTITUTE(SUBSTITUTE(L167,"_","-"),"|","-"))))</f>
        <v>#N/A</v>
      </c>
    </row>
    <row r="168" ht="15.75" customHeight="1">
      <c r="A168" s="20"/>
      <c r="B168" s="20"/>
      <c r="C168" s="13"/>
      <c r="D168" s="20"/>
      <c r="E168" s="20"/>
      <c r="F168" s="21"/>
      <c r="G168" s="20"/>
      <c r="H168" s="20"/>
      <c r="I168" s="20"/>
      <c r="J168" s="20"/>
      <c r="K168" s="20"/>
      <c r="L168" s="20"/>
      <c r="M168" s="20" t="str">
        <f>CONCATENATE("MK|",(VLOOKUP(B168,Dictionary!$A:$B,2,FALSE)),"_CN|",SUBSTITUTE(SUBSTITUTE(IF(C168="","NONE",C168),"_","-"),"|","-"),"_MN|",(VLOOKUP(D168,Dictionary!$D:$E,2,0)),"_YQ|",(VLOOKUP(E168,Dictionary!$AR:$AR,1,0)),"_CP|",SUBSTITUTE(SUBSTITUTE(IF(F168="","NONE",F168),"_","-"),"|","-"),"_SP|",(VLOOKUP(G168,Dictionary!$AY:$AZ,2,0)),"_AC|",(VLOOKUP(H168,Dictionary!$BA:$BB,2,0)),IF(I168="","",CONCATENATE("_OB|",(VLOOKUP(I168,Dictionary!$AS:$AT,2,0)))),IF(J168="","",CONCATENATE("_U1|",SUBSTITUTE(SUBSTITUTE(J168,"_","-"),"|","-"))),IF(K168="","",CONCATENATE("_U2|",SUBSTITUTE(SUBSTITUTE(K168,"_","-"),"|","-"))),IF(L168="","",CONCATENATE("_U3|",SUBSTITUTE(SUBSTITUTE(L168,"_","-"),"|","-"))))</f>
        <v>#N/A</v>
      </c>
    </row>
    <row r="169" ht="15.75" customHeight="1">
      <c r="A169" s="20"/>
      <c r="B169" s="20"/>
      <c r="C169" s="13"/>
      <c r="D169" s="20"/>
      <c r="E169" s="20"/>
      <c r="F169" s="21"/>
      <c r="G169" s="20"/>
      <c r="H169" s="20"/>
      <c r="I169" s="20"/>
      <c r="J169" s="20"/>
      <c r="K169" s="20"/>
      <c r="L169" s="20"/>
      <c r="M169" s="20" t="str">
        <f>CONCATENATE("MK|",(VLOOKUP(B169,Dictionary!$A:$B,2,FALSE)),"_CN|",SUBSTITUTE(SUBSTITUTE(IF(C169="","NONE",C169),"_","-"),"|","-"),"_MN|",(VLOOKUP(D169,Dictionary!$D:$E,2,0)),"_YQ|",(VLOOKUP(E169,Dictionary!$AR:$AR,1,0)),"_CP|",SUBSTITUTE(SUBSTITUTE(IF(F169="","NONE",F169),"_","-"),"|","-"),"_SP|",(VLOOKUP(G169,Dictionary!$AY:$AZ,2,0)),"_AC|",(VLOOKUP(H169,Dictionary!$BA:$BB,2,0)),IF(I169="","",CONCATENATE("_OB|",(VLOOKUP(I169,Dictionary!$AS:$AT,2,0)))),IF(J169="","",CONCATENATE("_U1|",SUBSTITUTE(SUBSTITUTE(J169,"_","-"),"|","-"))),IF(K169="","",CONCATENATE("_U2|",SUBSTITUTE(SUBSTITUTE(K169,"_","-"),"|","-"))),IF(L169="","",CONCATENATE("_U3|",SUBSTITUTE(SUBSTITUTE(L169,"_","-"),"|","-"))))</f>
        <v>#N/A</v>
      </c>
    </row>
    <row r="170" ht="15.75" customHeight="1">
      <c r="A170" s="20"/>
      <c r="B170" s="20"/>
      <c r="C170" s="13"/>
      <c r="D170" s="20"/>
      <c r="E170" s="20"/>
      <c r="F170" s="21"/>
      <c r="G170" s="20"/>
      <c r="H170" s="20"/>
      <c r="I170" s="20"/>
      <c r="J170" s="20"/>
      <c r="K170" s="20"/>
      <c r="L170" s="20"/>
      <c r="M170" s="20" t="str">
        <f>CONCATENATE("MK|",(VLOOKUP(B170,Dictionary!$A:$B,2,FALSE)),"_CN|",SUBSTITUTE(SUBSTITUTE(IF(C170="","NONE",C170),"_","-"),"|","-"),"_MN|",(VLOOKUP(D170,Dictionary!$D:$E,2,0)),"_YQ|",(VLOOKUP(E170,Dictionary!$AR:$AR,1,0)),"_CP|",SUBSTITUTE(SUBSTITUTE(IF(F170="","NONE",F170),"_","-"),"|","-"),"_SP|",(VLOOKUP(G170,Dictionary!$AY:$AZ,2,0)),"_AC|",(VLOOKUP(H170,Dictionary!$BA:$BB,2,0)),IF(I170="","",CONCATENATE("_OB|",(VLOOKUP(I170,Dictionary!$AS:$AT,2,0)))),IF(J170="","",CONCATENATE("_U1|",SUBSTITUTE(SUBSTITUTE(J170,"_","-"),"|","-"))),IF(K170="","",CONCATENATE("_U2|",SUBSTITUTE(SUBSTITUTE(K170,"_","-"),"|","-"))),IF(L170="","",CONCATENATE("_U3|",SUBSTITUTE(SUBSTITUTE(L170,"_","-"),"|","-"))))</f>
        <v>#N/A</v>
      </c>
    </row>
    <row r="171" ht="15.75" customHeight="1">
      <c r="A171" s="20"/>
      <c r="B171" s="20"/>
      <c r="C171" s="13"/>
      <c r="D171" s="20"/>
      <c r="E171" s="20"/>
      <c r="F171" s="21"/>
      <c r="G171" s="20"/>
      <c r="H171" s="20"/>
      <c r="I171" s="20"/>
      <c r="J171" s="20"/>
      <c r="K171" s="20"/>
      <c r="L171" s="20"/>
      <c r="M171" s="20" t="str">
        <f>CONCATENATE("MK|",(VLOOKUP(B171,Dictionary!$A:$B,2,FALSE)),"_CN|",SUBSTITUTE(SUBSTITUTE(IF(C171="","NONE",C171),"_","-"),"|","-"),"_MN|",(VLOOKUP(D171,Dictionary!$D:$E,2,0)),"_YQ|",(VLOOKUP(E171,Dictionary!$AR:$AR,1,0)),"_CP|",SUBSTITUTE(SUBSTITUTE(IF(F171="","NONE",F171),"_","-"),"|","-"),"_SP|",(VLOOKUP(G171,Dictionary!$AY:$AZ,2,0)),"_AC|",(VLOOKUP(H171,Dictionary!$BA:$BB,2,0)),IF(I171="","",CONCATENATE("_OB|",(VLOOKUP(I171,Dictionary!$AS:$AT,2,0)))),IF(J171="","",CONCATENATE("_U1|",SUBSTITUTE(SUBSTITUTE(J171,"_","-"),"|","-"))),IF(K171="","",CONCATENATE("_U2|",SUBSTITUTE(SUBSTITUTE(K171,"_","-"),"|","-"))),IF(L171="","",CONCATENATE("_U3|",SUBSTITUTE(SUBSTITUTE(L171,"_","-"),"|","-"))))</f>
        <v>#N/A</v>
      </c>
    </row>
    <row r="172" ht="15.75" customHeight="1">
      <c r="A172" s="20"/>
      <c r="B172" s="20"/>
      <c r="C172" s="13"/>
      <c r="D172" s="20"/>
      <c r="E172" s="20"/>
      <c r="F172" s="21"/>
      <c r="G172" s="20"/>
      <c r="H172" s="20"/>
      <c r="I172" s="20"/>
      <c r="J172" s="20"/>
      <c r="K172" s="20"/>
      <c r="L172" s="20"/>
      <c r="M172" s="20" t="str">
        <f>CONCATENATE("MK|",(VLOOKUP(B172,Dictionary!$A:$B,2,FALSE)),"_CN|",SUBSTITUTE(SUBSTITUTE(IF(C172="","NONE",C172),"_","-"),"|","-"),"_MN|",(VLOOKUP(D172,Dictionary!$D:$E,2,0)),"_YQ|",(VLOOKUP(E172,Dictionary!$AR:$AR,1,0)),"_CP|",SUBSTITUTE(SUBSTITUTE(IF(F172="","NONE",F172),"_","-"),"|","-"),"_SP|",(VLOOKUP(G172,Dictionary!$AY:$AZ,2,0)),"_AC|",(VLOOKUP(H172,Dictionary!$BA:$BB,2,0)),IF(I172="","",CONCATENATE("_OB|",(VLOOKUP(I172,Dictionary!$AS:$AT,2,0)))),IF(J172="","",CONCATENATE("_U1|",SUBSTITUTE(SUBSTITUTE(J172,"_","-"),"|","-"))),IF(K172="","",CONCATENATE("_U2|",SUBSTITUTE(SUBSTITUTE(K172,"_","-"),"|","-"))),IF(L172="","",CONCATENATE("_U3|",SUBSTITUTE(SUBSTITUTE(L172,"_","-"),"|","-"))))</f>
        <v>#N/A</v>
      </c>
    </row>
    <row r="173" ht="15.75" customHeight="1">
      <c r="A173" s="20"/>
      <c r="B173" s="20"/>
      <c r="C173" s="13"/>
      <c r="D173" s="20"/>
      <c r="E173" s="20"/>
      <c r="F173" s="21"/>
      <c r="G173" s="20"/>
      <c r="H173" s="20"/>
      <c r="I173" s="20"/>
      <c r="J173" s="20"/>
      <c r="K173" s="20"/>
      <c r="L173" s="20"/>
      <c r="M173" s="20" t="str">
        <f>CONCATENATE("MK|",(VLOOKUP(B173,Dictionary!$A:$B,2,FALSE)),"_CN|",SUBSTITUTE(SUBSTITUTE(IF(C173="","NONE",C173),"_","-"),"|","-"),"_MN|",(VLOOKUP(D173,Dictionary!$D:$E,2,0)),"_YQ|",(VLOOKUP(E173,Dictionary!$AR:$AR,1,0)),"_CP|",SUBSTITUTE(SUBSTITUTE(IF(F173="","NONE",F173),"_","-"),"|","-"),"_SP|",(VLOOKUP(G173,Dictionary!$AY:$AZ,2,0)),"_AC|",(VLOOKUP(H173,Dictionary!$BA:$BB,2,0)),IF(I173="","",CONCATENATE("_OB|",(VLOOKUP(I173,Dictionary!$AS:$AT,2,0)))),IF(J173="","",CONCATENATE("_U1|",SUBSTITUTE(SUBSTITUTE(J173,"_","-"),"|","-"))),IF(K173="","",CONCATENATE("_U2|",SUBSTITUTE(SUBSTITUTE(K173,"_","-"),"|","-"))),IF(L173="","",CONCATENATE("_U3|",SUBSTITUTE(SUBSTITUTE(L173,"_","-"),"|","-"))))</f>
        <v>#N/A</v>
      </c>
    </row>
    <row r="174" ht="15.75" customHeight="1">
      <c r="A174" s="20"/>
      <c r="B174" s="20"/>
      <c r="C174" s="13"/>
      <c r="D174" s="20"/>
      <c r="E174" s="20"/>
      <c r="F174" s="21"/>
      <c r="G174" s="20"/>
      <c r="H174" s="20"/>
      <c r="I174" s="20"/>
      <c r="J174" s="20"/>
      <c r="K174" s="20"/>
      <c r="L174" s="20"/>
      <c r="M174" s="20" t="str">
        <f>CONCATENATE("MK|",(VLOOKUP(B174,Dictionary!$A:$B,2,FALSE)),"_CN|",SUBSTITUTE(SUBSTITUTE(IF(C174="","NONE",C174),"_","-"),"|","-"),"_MN|",(VLOOKUP(D174,Dictionary!$D:$E,2,0)),"_YQ|",(VLOOKUP(E174,Dictionary!$AR:$AR,1,0)),"_CP|",SUBSTITUTE(SUBSTITUTE(IF(F174="","NONE",F174),"_","-"),"|","-"),"_SP|",(VLOOKUP(G174,Dictionary!$AY:$AZ,2,0)),"_AC|",(VLOOKUP(H174,Dictionary!$BA:$BB,2,0)),IF(I174="","",CONCATENATE("_OB|",(VLOOKUP(I174,Dictionary!$AS:$AT,2,0)))),IF(J174="","",CONCATENATE("_U1|",SUBSTITUTE(SUBSTITUTE(J174,"_","-"),"|","-"))),IF(K174="","",CONCATENATE("_U2|",SUBSTITUTE(SUBSTITUTE(K174,"_","-"),"|","-"))),IF(L174="","",CONCATENATE("_U3|",SUBSTITUTE(SUBSTITUTE(L174,"_","-"),"|","-"))))</f>
        <v>#N/A</v>
      </c>
    </row>
    <row r="175" ht="15.75" customHeight="1">
      <c r="A175" s="20"/>
      <c r="B175" s="20"/>
      <c r="C175" s="13"/>
      <c r="D175" s="20"/>
      <c r="E175" s="20"/>
      <c r="F175" s="21"/>
      <c r="G175" s="20"/>
      <c r="H175" s="20"/>
      <c r="I175" s="20"/>
      <c r="J175" s="20"/>
      <c r="K175" s="20"/>
      <c r="L175" s="20"/>
      <c r="M175" s="20" t="str">
        <f>CONCATENATE("MK|",(VLOOKUP(B175,Dictionary!$A:$B,2,FALSE)),"_CN|",SUBSTITUTE(SUBSTITUTE(IF(C175="","NONE",C175),"_","-"),"|","-"),"_MN|",(VLOOKUP(D175,Dictionary!$D:$E,2,0)),"_YQ|",(VLOOKUP(E175,Dictionary!$AR:$AR,1,0)),"_CP|",SUBSTITUTE(SUBSTITUTE(IF(F175="","NONE",F175),"_","-"),"|","-"),"_SP|",(VLOOKUP(G175,Dictionary!$AY:$AZ,2,0)),"_AC|",(VLOOKUP(H175,Dictionary!$BA:$BB,2,0)),IF(I175="","",CONCATENATE("_OB|",(VLOOKUP(I175,Dictionary!$AS:$AT,2,0)))),IF(J175="","",CONCATENATE("_U1|",SUBSTITUTE(SUBSTITUTE(J175,"_","-"),"|","-"))),IF(K175="","",CONCATENATE("_U2|",SUBSTITUTE(SUBSTITUTE(K175,"_","-"),"|","-"))),IF(L175="","",CONCATENATE("_U3|",SUBSTITUTE(SUBSTITUTE(L175,"_","-"),"|","-"))))</f>
        <v>#N/A</v>
      </c>
    </row>
    <row r="176" ht="15.75" customHeight="1">
      <c r="A176" s="20"/>
      <c r="B176" s="20"/>
      <c r="C176" s="13"/>
      <c r="D176" s="20"/>
      <c r="E176" s="20"/>
      <c r="F176" s="21"/>
      <c r="G176" s="20"/>
      <c r="H176" s="20"/>
      <c r="I176" s="20"/>
      <c r="J176" s="20"/>
      <c r="K176" s="20"/>
      <c r="L176" s="20"/>
      <c r="M176" s="20" t="str">
        <f>CONCATENATE("MK|",(VLOOKUP(B176,Dictionary!$A:$B,2,FALSE)),"_CN|",SUBSTITUTE(SUBSTITUTE(IF(C176="","NONE",C176),"_","-"),"|","-"),"_MN|",(VLOOKUP(D176,Dictionary!$D:$E,2,0)),"_YQ|",(VLOOKUP(E176,Dictionary!$AR:$AR,1,0)),"_CP|",SUBSTITUTE(SUBSTITUTE(IF(F176="","NONE",F176),"_","-"),"|","-"),"_SP|",(VLOOKUP(G176,Dictionary!$AY:$AZ,2,0)),"_AC|",(VLOOKUP(H176,Dictionary!$BA:$BB,2,0)),IF(I176="","",CONCATENATE("_OB|",(VLOOKUP(I176,Dictionary!$AS:$AT,2,0)))),IF(J176="","",CONCATENATE("_U1|",SUBSTITUTE(SUBSTITUTE(J176,"_","-"),"|","-"))),IF(K176="","",CONCATENATE("_U2|",SUBSTITUTE(SUBSTITUTE(K176,"_","-"),"|","-"))),IF(L176="","",CONCATENATE("_U3|",SUBSTITUTE(SUBSTITUTE(L176,"_","-"),"|","-"))))</f>
        <v>#N/A</v>
      </c>
    </row>
    <row r="177" ht="15.75" customHeight="1">
      <c r="A177" s="20"/>
      <c r="B177" s="20"/>
      <c r="C177" s="13"/>
      <c r="D177" s="20"/>
      <c r="E177" s="20"/>
      <c r="F177" s="21"/>
      <c r="G177" s="20"/>
      <c r="H177" s="20"/>
      <c r="I177" s="20"/>
      <c r="J177" s="20"/>
      <c r="K177" s="20"/>
      <c r="L177" s="20"/>
      <c r="M177" s="20" t="str">
        <f>CONCATENATE("MK|",(VLOOKUP(B177,Dictionary!$A:$B,2,FALSE)),"_CN|",SUBSTITUTE(SUBSTITUTE(IF(C177="","NONE",C177),"_","-"),"|","-"),"_MN|",(VLOOKUP(D177,Dictionary!$D:$E,2,0)),"_YQ|",(VLOOKUP(E177,Dictionary!$AR:$AR,1,0)),"_CP|",SUBSTITUTE(SUBSTITUTE(IF(F177="","NONE",F177),"_","-"),"|","-"),"_SP|",(VLOOKUP(G177,Dictionary!$AY:$AZ,2,0)),"_AC|",(VLOOKUP(H177,Dictionary!$BA:$BB,2,0)),IF(I177="","",CONCATENATE("_OB|",(VLOOKUP(I177,Dictionary!$AS:$AT,2,0)))),IF(J177="","",CONCATENATE("_U1|",SUBSTITUTE(SUBSTITUTE(J177,"_","-"),"|","-"))),IF(K177="","",CONCATENATE("_U2|",SUBSTITUTE(SUBSTITUTE(K177,"_","-"),"|","-"))),IF(L177="","",CONCATENATE("_U3|",SUBSTITUTE(SUBSTITUTE(L177,"_","-"),"|","-"))))</f>
        <v>#N/A</v>
      </c>
    </row>
    <row r="178" ht="15.75" customHeight="1">
      <c r="A178" s="20"/>
      <c r="B178" s="20"/>
      <c r="C178" s="13"/>
      <c r="D178" s="20"/>
      <c r="E178" s="20"/>
      <c r="F178" s="21"/>
      <c r="G178" s="20"/>
      <c r="H178" s="20"/>
      <c r="I178" s="20"/>
      <c r="J178" s="20"/>
      <c r="K178" s="20"/>
      <c r="L178" s="20"/>
      <c r="M178" s="20" t="str">
        <f>CONCATENATE("MK|",(VLOOKUP(B178,Dictionary!$A:$B,2,FALSE)),"_CN|",SUBSTITUTE(SUBSTITUTE(IF(C178="","NONE",C178),"_","-"),"|","-"),"_MN|",(VLOOKUP(D178,Dictionary!$D:$E,2,0)),"_YQ|",(VLOOKUP(E178,Dictionary!$AR:$AR,1,0)),"_CP|",SUBSTITUTE(SUBSTITUTE(IF(F178="","NONE",F178),"_","-"),"|","-"),"_SP|",(VLOOKUP(G178,Dictionary!$AY:$AZ,2,0)),"_AC|",(VLOOKUP(H178,Dictionary!$BA:$BB,2,0)),IF(I178="","",CONCATENATE("_OB|",(VLOOKUP(I178,Dictionary!$AS:$AT,2,0)))),IF(J178="","",CONCATENATE("_U1|",SUBSTITUTE(SUBSTITUTE(J178,"_","-"),"|","-"))),IF(K178="","",CONCATENATE("_U2|",SUBSTITUTE(SUBSTITUTE(K178,"_","-"),"|","-"))),IF(L178="","",CONCATENATE("_U3|",SUBSTITUTE(SUBSTITUTE(L178,"_","-"),"|","-"))))</f>
        <v>#N/A</v>
      </c>
    </row>
    <row r="179" ht="15.75" customHeight="1">
      <c r="A179" s="20"/>
      <c r="B179" s="20"/>
      <c r="C179" s="13"/>
      <c r="D179" s="20"/>
      <c r="E179" s="20"/>
      <c r="F179" s="21"/>
      <c r="G179" s="20"/>
      <c r="H179" s="20"/>
      <c r="I179" s="20"/>
      <c r="J179" s="20"/>
      <c r="K179" s="20"/>
      <c r="L179" s="20"/>
      <c r="M179" s="20" t="str">
        <f>CONCATENATE("MK|",(VLOOKUP(B179,Dictionary!$A:$B,2,FALSE)),"_CN|",SUBSTITUTE(SUBSTITUTE(IF(C179="","NONE",C179),"_","-"),"|","-"),"_MN|",(VLOOKUP(D179,Dictionary!$D:$E,2,0)),"_YQ|",(VLOOKUP(E179,Dictionary!$AR:$AR,1,0)),"_CP|",SUBSTITUTE(SUBSTITUTE(IF(F179="","NONE",F179),"_","-"),"|","-"),"_SP|",(VLOOKUP(G179,Dictionary!$AY:$AZ,2,0)),"_AC|",(VLOOKUP(H179,Dictionary!$BA:$BB,2,0)),IF(I179="","",CONCATENATE("_OB|",(VLOOKUP(I179,Dictionary!$AS:$AT,2,0)))),IF(J179="","",CONCATENATE("_U1|",SUBSTITUTE(SUBSTITUTE(J179,"_","-"),"|","-"))),IF(K179="","",CONCATENATE("_U2|",SUBSTITUTE(SUBSTITUTE(K179,"_","-"),"|","-"))),IF(L179="","",CONCATENATE("_U3|",SUBSTITUTE(SUBSTITUTE(L179,"_","-"),"|","-"))))</f>
        <v>#N/A</v>
      </c>
    </row>
    <row r="180" ht="15.75" customHeight="1">
      <c r="A180" s="20"/>
      <c r="B180" s="20"/>
      <c r="C180" s="13"/>
      <c r="D180" s="20"/>
      <c r="E180" s="20"/>
      <c r="F180" s="21"/>
      <c r="G180" s="20"/>
      <c r="H180" s="20"/>
      <c r="I180" s="20"/>
      <c r="J180" s="20"/>
      <c r="K180" s="20"/>
      <c r="L180" s="20"/>
      <c r="M180" s="20" t="str">
        <f>CONCATENATE("MK|",(VLOOKUP(B180,Dictionary!$A:$B,2,FALSE)),"_CN|",SUBSTITUTE(SUBSTITUTE(IF(C180="","NONE",C180),"_","-"),"|","-"),"_MN|",(VLOOKUP(D180,Dictionary!$D:$E,2,0)),"_YQ|",(VLOOKUP(E180,Dictionary!$AR:$AR,1,0)),"_CP|",SUBSTITUTE(SUBSTITUTE(IF(F180="","NONE",F180),"_","-"),"|","-"),"_SP|",(VLOOKUP(G180,Dictionary!$AY:$AZ,2,0)),"_AC|",(VLOOKUP(H180,Dictionary!$BA:$BB,2,0)),IF(I180="","",CONCATENATE("_OB|",(VLOOKUP(I180,Dictionary!$AS:$AT,2,0)))),IF(J180="","",CONCATENATE("_U1|",SUBSTITUTE(SUBSTITUTE(J180,"_","-"),"|","-"))),IF(K180="","",CONCATENATE("_U2|",SUBSTITUTE(SUBSTITUTE(K180,"_","-"),"|","-"))),IF(L180="","",CONCATENATE("_U3|",SUBSTITUTE(SUBSTITUTE(L180,"_","-"),"|","-"))))</f>
        <v>#N/A</v>
      </c>
    </row>
    <row r="181" ht="15.75" customHeight="1">
      <c r="A181" s="20"/>
      <c r="B181" s="20"/>
      <c r="C181" s="13"/>
      <c r="D181" s="20"/>
      <c r="E181" s="20"/>
      <c r="F181" s="21"/>
      <c r="G181" s="20"/>
      <c r="H181" s="20"/>
      <c r="I181" s="20"/>
      <c r="J181" s="20"/>
      <c r="K181" s="20"/>
      <c r="L181" s="20"/>
      <c r="M181" s="20" t="str">
        <f>CONCATENATE("MK|",(VLOOKUP(B181,Dictionary!$A:$B,2,FALSE)),"_CN|",SUBSTITUTE(SUBSTITUTE(IF(C181="","NONE",C181),"_","-"),"|","-"),"_MN|",(VLOOKUP(D181,Dictionary!$D:$E,2,0)),"_YQ|",(VLOOKUP(E181,Dictionary!$AR:$AR,1,0)),"_CP|",SUBSTITUTE(SUBSTITUTE(IF(F181="","NONE",F181),"_","-"),"|","-"),"_SP|",(VLOOKUP(G181,Dictionary!$AY:$AZ,2,0)),"_AC|",(VLOOKUP(H181,Dictionary!$BA:$BB,2,0)),IF(I181="","",CONCATENATE("_OB|",(VLOOKUP(I181,Dictionary!$AS:$AT,2,0)))),IF(J181="","",CONCATENATE("_U1|",SUBSTITUTE(SUBSTITUTE(J181,"_","-"),"|","-"))),IF(K181="","",CONCATENATE("_U2|",SUBSTITUTE(SUBSTITUTE(K181,"_","-"),"|","-"))),IF(L181="","",CONCATENATE("_U3|",SUBSTITUTE(SUBSTITUTE(L181,"_","-"),"|","-"))))</f>
        <v>#N/A</v>
      </c>
    </row>
    <row r="182" ht="15.75" customHeight="1">
      <c r="A182" s="20"/>
      <c r="B182" s="20"/>
      <c r="C182" s="13"/>
      <c r="D182" s="20"/>
      <c r="E182" s="20"/>
      <c r="F182" s="21"/>
      <c r="G182" s="20"/>
      <c r="H182" s="20"/>
      <c r="I182" s="20"/>
      <c r="J182" s="20"/>
      <c r="K182" s="20"/>
      <c r="L182" s="20"/>
      <c r="M182" s="20" t="str">
        <f>CONCATENATE("MK|",(VLOOKUP(B182,Dictionary!$A:$B,2,FALSE)),"_CN|",SUBSTITUTE(SUBSTITUTE(IF(C182="","NONE",C182),"_","-"),"|","-"),"_MN|",(VLOOKUP(D182,Dictionary!$D:$E,2,0)),"_YQ|",(VLOOKUP(E182,Dictionary!$AR:$AR,1,0)),"_CP|",SUBSTITUTE(SUBSTITUTE(IF(F182="","NONE",F182),"_","-"),"|","-"),"_SP|",(VLOOKUP(G182,Dictionary!$AY:$AZ,2,0)),"_AC|",(VLOOKUP(H182,Dictionary!$BA:$BB,2,0)),IF(I182="","",CONCATENATE("_OB|",(VLOOKUP(I182,Dictionary!$AS:$AT,2,0)))),IF(J182="","",CONCATENATE("_U1|",SUBSTITUTE(SUBSTITUTE(J182,"_","-"),"|","-"))),IF(K182="","",CONCATENATE("_U2|",SUBSTITUTE(SUBSTITUTE(K182,"_","-"),"|","-"))),IF(L182="","",CONCATENATE("_U3|",SUBSTITUTE(SUBSTITUTE(L182,"_","-"),"|","-"))))</f>
        <v>#N/A</v>
      </c>
    </row>
    <row r="183" ht="15.75" customHeight="1">
      <c r="A183" s="20"/>
      <c r="B183" s="20"/>
      <c r="C183" s="13"/>
      <c r="D183" s="20"/>
      <c r="E183" s="20"/>
      <c r="F183" s="21"/>
      <c r="G183" s="20"/>
      <c r="H183" s="20"/>
      <c r="I183" s="20"/>
      <c r="J183" s="20"/>
      <c r="K183" s="20"/>
      <c r="L183" s="20"/>
      <c r="M183" s="20" t="str">
        <f>CONCATENATE("MK|",(VLOOKUP(B183,Dictionary!$A:$B,2,FALSE)),"_CN|",SUBSTITUTE(SUBSTITUTE(IF(C183="","NONE",C183),"_","-"),"|","-"),"_MN|",(VLOOKUP(D183,Dictionary!$D:$E,2,0)),"_YQ|",(VLOOKUP(E183,Dictionary!$AR:$AR,1,0)),"_CP|",SUBSTITUTE(SUBSTITUTE(IF(F183="","NONE",F183),"_","-"),"|","-"),"_SP|",(VLOOKUP(G183,Dictionary!$AY:$AZ,2,0)),"_AC|",(VLOOKUP(H183,Dictionary!$BA:$BB,2,0)),IF(I183="","",CONCATENATE("_OB|",(VLOOKUP(I183,Dictionary!$AS:$AT,2,0)))),IF(J183="","",CONCATENATE("_U1|",SUBSTITUTE(SUBSTITUTE(J183,"_","-"),"|","-"))),IF(K183="","",CONCATENATE("_U2|",SUBSTITUTE(SUBSTITUTE(K183,"_","-"),"|","-"))),IF(L183="","",CONCATENATE("_U3|",SUBSTITUTE(SUBSTITUTE(L183,"_","-"),"|","-"))))</f>
        <v>#N/A</v>
      </c>
    </row>
    <row r="184" ht="15.75" customHeight="1">
      <c r="A184" s="20"/>
      <c r="B184" s="20"/>
      <c r="C184" s="13"/>
      <c r="D184" s="20"/>
      <c r="E184" s="20"/>
      <c r="F184" s="21"/>
      <c r="G184" s="20"/>
      <c r="H184" s="20"/>
      <c r="I184" s="20"/>
      <c r="J184" s="20"/>
      <c r="K184" s="20"/>
      <c r="L184" s="20"/>
      <c r="M184" s="20" t="str">
        <f>CONCATENATE("MK|",(VLOOKUP(B184,Dictionary!$A:$B,2,FALSE)),"_CN|",SUBSTITUTE(SUBSTITUTE(IF(C184="","NONE",C184),"_","-"),"|","-"),"_MN|",(VLOOKUP(D184,Dictionary!$D:$E,2,0)),"_YQ|",(VLOOKUP(E184,Dictionary!$AR:$AR,1,0)),"_CP|",SUBSTITUTE(SUBSTITUTE(IF(F184="","NONE",F184),"_","-"),"|","-"),"_SP|",(VLOOKUP(G184,Dictionary!$AY:$AZ,2,0)),"_AC|",(VLOOKUP(H184,Dictionary!$BA:$BB,2,0)),IF(I184="","",CONCATENATE("_OB|",(VLOOKUP(I184,Dictionary!$AS:$AT,2,0)))),IF(J184="","",CONCATENATE("_U1|",SUBSTITUTE(SUBSTITUTE(J184,"_","-"),"|","-"))),IF(K184="","",CONCATENATE("_U2|",SUBSTITUTE(SUBSTITUTE(K184,"_","-"),"|","-"))),IF(L184="","",CONCATENATE("_U3|",SUBSTITUTE(SUBSTITUTE(L184,"_","-"),"|","-"))))</f>
        <v>#N/A</v>
      </c>
    </row>
    <row r="185" ht="15.75" customHeight="1">
      <c r="A185" s="20"/>
      <c r="B185" s="20"/>
      <c r="C185" s="13"/>
      <c r="D185" s="20"/>
      <c r="E185" s="20"/>
      <c r="F185" s="21"/>
      <c r="G185" s="20"/>
      <c r="H185" s="20"/>
      <c r="I185" s="20"/>
      <c r="J185" s="20"/>
      <c r="K185" s="20"/>
      <c r="L185" s="20"/>
      <c r="M185" s="20" t="str">
        <f>CONCATENATE("MK|",(VLOOKUP(B185,Dictionary!$A:$B,2,FALSE)),"_CN|",SUBSTITUTE(SUBSTITUTE(IF(C185="","NONE",C185),"_","-"),"|","-"),"_MN|",(VLOOKUP(D185,Dictionary!$D:$E,2,0)),"_YQ|",(VLOOKUP(E185,Dictionary!$AR:$AR,1,0)),"_CP|",SUBSTITUTE(SUBSTITUTE(IF(F185="","NONE",F185),"_","-"),"|","-"),"_SP|",(VLOOKUP(G185,Dictionary!$AY:$AZ,2,0)),"_AC|",(VLOOKUP(H185,Dictionary!$BA:$BB,2,0)),IF(I185="","",CONCATENATE("_OB|",(VLOOKUP(I185,Dictionary!$AS:$AT,2,0)))),IF(J185="","",CONCATENATE("_U1|",SUBSTITUTE(SUBSTITUTE(J185,"_","-"),"|","-"))),IF(K185="","",CONCATENATE("_U2|",SUBSTITUTE(SUBSTITUTE(K185,"_","-"),"|","-"))),IF(L185="","",CONCATENATE("_U3|",SUBSTITUTE(SUBSTITUTE(L185,"_","-"),"|","-"))))</f>
        <v>#N/A</v>
      </c>
    </row>
    <row r="186" ht="15.75" customHeight="1">
      <c r="A186" s="20"/>
      <c r="B186" s="20"/>
      <c r="C186" s="13"/>
      <c r="D186" s="20"/>
      <c r="E186" s="20"/>
      <c r="F186" s="21"/>
      <c r="G186" s="20"/>
      <c r="H186" s="20"/>
      <c r="I186" s="20"/>
      <c r="J186" s="20"/>
      <c r="K186" s="20"/>
      <c r="L186" s="20"/>
      <c r="M186" s="20" t="str">
        <f>CONCATENATE("MK|",(VLOOKUP(B186,Dictionary!$A:$B,2,FALSE)),"_CN|",SUBSTITUTE(SUBSTITUTE(IF(C186="","NONE",C186),"_","-"),"|","-"),"_MN|",(VLOOKUP(D186,Dictionary!$D:$E,2,0)),"_YQ|",(VLOOKUP(E186,Dictionary!$AR:$AR,1,0)),"_CP|",SUBSTITUTE(SUBSTITUTE(IF(F186="","NONE",F186),"_","-"),"|","-"),"_SP|",(VLOOKUP(G186,Dictionary!$AY:$AZ,2,0)),"_AC|",(VLOOKUP(H186,Dictionary!$BA:$BB,2,0)),IF(I186="","",CONCATENATE("_OB|",(VLOOKUP(I186,Dictionary!$AS:$AT,2,0)))),IF(J186="","",CONCATENATE("_U1|",SUBSTITUTE(SUBSTITUTE(J186,"_","-"),"|","-"))),IF(K186="","",CONCATENATE("_U2|",SUBSTITUTE(SUBSTITUTE(K186,"_","-"),"|","-"))),IF(L186="","",CONCATENATE("_U3|",SUBSTITUTE(SUBSTITUTE(L186,"_","-"),"|","-"))))</f>
        <v>#N/A</v>
      </c>
    </row>
    <row r="187" ht="15.75" customHeight="1">
      <c r="A187" s="20"/>
      <c r="B187" s="20"/>
      <c r="C187" s="13"/>
      <c r="D187" s="20"/>
      <c r="E187" s="20"/>
      <c r="F187" s="21"/>
      <c r="G187" s="20"/>
      <c r="H187" s="20"/>
      <c r="I187" s="20"/>
      <c r="J187" s="20"/>
      <c r="K187" s="20"/>
      <c r="L187" s="20"/>
      <c r="M187" s="20" t="str">
        <f>CONCATENATE("MK|",(VLOOKUP(B187,Dictionary!$A:$B,2,FALSE)),"_CN|",SUBSTITUTE(SUBSTITUTE(IF(C187="","NONE",C187),"_","-"),"|","-"),"_MN|",(VLOOKUP(D187,Dictionary!$D:$E,2,0)),"_YQ|",(VLOOKUP(E187,Dictionary!$AR:$AR,1,0)),"_CP|",SUBSTITUTE(SUBSTITUTE(IF(F187="","NONE",F187),"_","-"),"|","-"),"_SP|",(VLOOKUP(G187,Dictionary!$AY:$AZ,2,0)),"_AC|",(VLOOKUP(H187,Dictionary!$BA:$BB,2,0)),IF(I187="","",CONCATENATE("_OB|",(VLOOKUP(I187,Dictionary!$AS:$AT,2,0)))),IF(J187="","",CONCATENATE("_U1|",SUBSTITUTE(SUBSTITUTE(J187,"_","-"),"|","-"))),IF(K187="","",CONCATENATE("_U2|",SUBSTITUTE(SUBSTITUTE(K187,"_","-"),"|","-"))),IF(L187="","",CONCATENATE("_U3|",SUBSTITUTE(SUBSTITUTE(L187,"_","-"),"|","-"))))</f>
        <v>#N/A</v>
      </c>
    </row>
    <row r="188" ht="15.75" customHeight="1">
      <c r="A188" s="20"/>
      <c r="B188" s="20"/>
      <c r="C188" s="13"/>
      <c r="D188" s="20"/>
      <c r="E188" s="20"/>
      <c r="F188" s="21"/>
      <c r="G188" s="20"/>
      <c r="H188" s="20"/>
      <c r="I188" s="20"/>
      <c r="J188" s="20"/>
      <c r="K188" s="20"/>
      <c r="L188" s="20"/>
      <c r="M188" s="20" t="str">
        <f>CONCATENATE("MK|",(VLOOKUP(B188,Dictionary!$A:$B,2,FALSE)),"_CN|",SUBSTITUTE(SUBSTITUTE(IF(C188="","NONE",C188),"_","-"),"|","-"),"_MN|",(VLOOKUP(D188,Dictionary!$D:$E,2,0)),"_YQ|",(VLOOKUP(E188,Dictionary!$AR:$AR,1,0)),"_CP|",SUBSTITUTE(SUBSTITUTE(IF(F188="","NONE",F188),"_","-"),"|","-"),"_SP|",(VLOOKUP(G188,Dictionary!$AY:$AZ,2,0)),"_AC|",(VLOOKUP(H188,Dictionary!$BA:$BB,2,0)),IF(I188="","",CONCATENATE("_OB|",(VLOOKUP(I188,Dictionary!$AS:$AT,2,0)))),IF(J188="","",CONCATENATE("_U1|",SUBSTITUTE(SUBSTITUTE(J188,"_","-"),"|","-"))),IF(K188="","",CONCATENATE("_U2|",SUBSTITUTE(SUBSTITUTE(K188,"_","-"),"|","-"))),IF(L188="","",CONCATENATE("_U3|",SUBSTITUTE(SUBSTITUTE(L188,"_","-"),"|","-"))))</f>
        <v>#N/A</v>
      </c>
    </row>
    <row r="189" ht="15.75" customHeight="1">
      <c r="A189" s="20"/>
      <c r="B189" s="20"/>
      <c r="C189" s="13"/>
      <c r="D189" s="20"/>
      <c r="E189" s="20"/>
      <c r="F189" s="21"/>
      <c r="G189" s="20"/>
      <c r="H189" s="20"/>
      <c r="I189" s="20"/>
      <c r="J189" s="20"/>
      <c r="K189" s="20"/>
      <c r="L189" s="20"/>
      <c r="M189" s="20" t="str">
        <f>CONCATENATE("MK|",(VLOOKUP(B189,Dictionary!$A:$B,2,FALSE)),"_CN|",SUBSTITUTE(SUBSTITUTE(IF(C189="","NONE",C189),"_","-"),"|","-"),"_MN|",(VLOOKUP(D189,Dictionary!$D:$E,2,0)),"_YQ|",(VLOOKUP(E189,Dictionary!$AR:$AR,1,0)),"_CP|",SUBSTITUTE(SUBSTITUTE(IF(F189="","NONE",F189),"_","-"),"|","-"),"_SP|",(VLOOKUP(G189,Dictionary!$AY:$AZ,2,0)),"_AC|",(VLOOKUP(H189,Dictionary!$BA:$BB,2,0)),IF(I189="","",CONCATENATE("_OB|",(VLOOKUP(I189,Dictionary!$AS:$AT,2,0)))),IF(J189="","",CONCATENATE("_U1|",SUBSTITUTE(SUBSTITUTE(J189,"_","-"),"|","-"))),IF(K189="","",CONCATENATE("_U2|",SUBSTITUTE(SUBSTITUTE(K189,"_","-"),"|","-"))),IF(L189="","",CONCATENATE("_U3|",SUBSTITUTE(SUBSTITUTE(L189,"_","-"),"|","-"))))</f>
        <v>#N/A</v>
      </c>
    </row>
    <row r="190" ht="15.75" customHeight="1">
      <c r="A190" s="20"/>
      <c r="B190" s="20"/>
      <c r="C190" s="13"/>
      <c r="D190" s="20"/>
      <c r="E190" s="20"/>
      <c r="F190" s="21"/>
      <c r="G190" s="20"/>
      <c r="H190" s="20"/>
      <c r="I190" s="20"/>
      <c r="J190" s="20"/>
      <c r="K190" s="20"/>
      <c r="L190" s="20"/>
      <c r="M190" s="20" t="str">
        <f>CONCATENATE("MK|",(VLOOKUP(B190,Dictionary!$A:$B,2,FALSE)),"_CN|",SUBSTITUTE(SUBSTITUTE(IF(C190="","NONE",C190),"_","-"),"|","-"),"_MN|",(VLOOKUP(D190,Dictionary!$D:$E,2,0)),"_YQ|",(VLOOKUP(E190,Dictionary!$AR:$AR,1,0)),"_CP|",SUBSTITUTE(SUBSTITUTE(IF(F190="","NONE",F190),"_","-"),"|","-"),"_SP|",(VLOOKUP(G190,Dictionary!$AY:$AZ,2,0)),"_AC|",(VLOOKUP(H190,Dictionary!$BA:$BB,2,0)),IF(I190="","",CONCATENATE("_OB|",(VLOOKUP(I190,Dictionary!$AS:$AT,2,0)))),IF(J190="","",CONCATENATE("_U1|",SUBSTITUTE(SUBSTITUTE(J190,"_","-"),"|","-"))),IF(K190="","",CONCATENATE("_U2|",SUBSTITUTE(SUBSTITUTE(K190,"_","-"),"|","-"))),IF(L190="","",CONCATENATE("_U3|",SUBSTITUTE(SUBSTITUTE(L190,"_","-"),"|","-"))))</f>
        <v>#N/A</v>
      </c>
    </row>
    <row r="191" ht="15.75" customHeight="1">
      <c r="A191" s="20"/>
      <c r="B191" s="20"/>
      <c r="C191" s="13"/>
      <c r="D191" s="20"/>
      <c r="E191" s="20"/>
      <c r="F191" s="21"/>
      <c r="G191" s="20"/>
      <c r="H191" s="20"/>
      <c r="I191" s="20"/>
      <c r="J191" s="20"/>
      <c r="K191" s="20"/>
      <c r="L191" s="20"/>
      <c r="M191" s="20" t="str">
        <f>CONCATENATE("MK|",(VLOOKUP(B191,Dictionary!$A:$B,2,FALSE)),"_CN|",SUBSTITUTE(SUBSTITUTE(IF(C191="","NONE",C191),"_","-"),"|","-"),"_MN|",(VLOOKUP(D191,Dictionary!$D:$E,2,0)),"_YQ|",(VLOOKUP(E191,Dictionary!$AR:$AR,1,0)),"_CP|",SUBSTITUTE(SUBSTITUTE(IF(F191="","NONE",F191),"_","-"),"|","-"),"_SP|",(VLOOKUP(G191,Dictionary!$AY:$AZ,2,0)),"_AC|",(VLOOKUP(H191,Dictionary!$BA:$BB,2,0)),IF(I191="","",CONCATENATE("_OB|",(VLOOKUP(I191,Dictionary!$AS:$AT,2,0)))),IF(J191="","",CONCATENATE("_U1|",SUBSTITUTE(SUBSTITUTE(J191,"_","-"),"|","-"))),IF(K191="","",CONCATENATE("_U2|",SUBSTITUTE(SUBSTITUTE(K191,"_","-"),"|","-"))),IF(L191="","",CONCATENATE("_U3|",SUBSTITUTE(SUBSTITUTE(L191,"_","-"),"|","-"))))</f>
        <v>#N/A</v>
      </c>
    </row>
    <row r="192" ht="15.75" customHeight="1">
      <c r="A192" s="20"/>
      <c r="B192" s="20"/>
      <c r="C192" s="13"/>
      <c r="D192" s="20"/>
      <c r="E192" s="20"/>
      <c r="F192" s="21"/>
      <c r="G192" s="20"/>
      <c r="H192" s="20"/>
      <c r="I192" s="20"/>
      <c r="J192" s="20"/>
      <c r="K192" s="20"/>
      <c r="L192" s="20"/>
      <c r="M192" s="20" t="str">
        <f>CONCATENATE("MK|",(VLOOKUP(B192,Dictionary!$A:$B,2,FALSE)),"_CN|",SUBSTITUTE(SUBSTITUTE(IF(C192="","NONE",C192),"_","-"),"|","-"),"_MN|",(VLOOKUP(D192,Dictionary!$D:$E,2,0)),"_YQ|",(VLOOKUP(E192,Dictionary!$AR:$AR,1,0)),"_CP|",SUBSTITUTE(SUBSTITUTE(IF(F192="","NONE",F192),"_","-"),"|","-"),"_SP|",(VLOOKUP(G192,Dictionary!$AY:$AZ,2,0)),"_AC|",(VLOOKUP(H192,Dictionary!$BA:$BB,2,0)),IF(I192="","",CONCATENATE("_OB|",(VLOOKUP(I192,Dictionary!$AS:$AT,2,0)))),IF(J192="","",CONCATENATE("_U1|",SUBSTITUTE(SUBSTITUTE(J192,"_","-"),"|","-"))),IF(K192="","",CONCATENATE("_U2|",SUBSTITUTE(SUBSTITUTE(K192,"_","-"),"|","-"))),IF(L192="","",CONCATENATE("_U3|",SUBSTITUTE(SUBSTITUTE(L192,"_","-"),"|","-"))))</f>
        <v>#N/A</v>
      </c>
    </row>
    <row r="193" ht="15.75" customHeight="1">
      <c r="A193" s="20"/>
      <c r="B193" s="20"/>
      <c r="C193" s="13"/>
      <c r="D193" s="20"/>
      <c r="E193" s="20"/>
      <c r="F193" s="21"/>
      <c r="G193" s="20"/>
      <c r="H193" s="20"/>
      <c r="I193" s="20"/>
      <c r="J193" s="20"/>
      <c r="K193" s="20"/>
      <c r="L193" s="20"/>
      <c r="M193" s="20" t="str">
        <f>CONCATENATE("MK|",(VLOOKUP(B193,Dictionary!$A:$B,2,FALSE)),"_CN|",SUBSTITUTE(SUBSTITUTE(IF(C193="","NONE",C193),"_","-"),"|","-"),"_MN|",(VLOOKUP(D193,Dictionary!$D:$E,2,0)),"_YQ|",(VLOOKUP(E193,Dictionary!$AR:$AR,1,0)),"_CP|",SUBSTITUTE(SUBSTITUTE(IF(F193="","NONE",F193),"_","-"),"|","-"),"_SP|",(VLOOKUP(G193,Dictionary!$AY:$AZ,2,0)),"_AC|",(VLOOKUP(H193,Dictionary!$BA:$BB,2,0)),IF(I193="","",CONCATENATE("_OB|",(VLOOKUP(I193,Dictionary!$AS:$AT,2,0)))),IF(J193="","",CONCATENATE("_U1|",SUBSTITUTE(SUBSTITUTE(J193,"_","-"),"|","-"))),IF(K193="","",CONCATENATE("_U2|",SUBSTITUTE(SUBSTITUTE(K193,"_","-"),"|","-"))),IF(L193="","",CONCATENATE("_U3|",SUBSTITUTE(SUBSTITUTE(L193,"_","-"),"|","-"))))</f>
        <v>#N/A</v>
      </c>
    </row>
    <row r="194" ht="15.75" customHeight="1">
      <c r="A194" s="20"/>
      <c r="B194" s="20"/>
      <c r="C194" s="13"/>
      <c r="D194" s="20"/>
      <c r="E194" s="20"/>
      <c r="F194" s="21"/>
      <c r="G194" s="20"/>
      <c r="H194" s="20"/>
      <c r="I194" s="20"/>
      <c r="J194" s="20"/>
      <c r="K194" s="20"/>
      <c r="L194" s="20"/>
      <c r="M194" s="20" t="str">
        <f>CONCATENATE("MK|",(VLOOKUP(B194,Dictionary!$A:$B,2,FALSE)),"_CN|",SUBSTITUTE(SUBSTITUTE(IF(C194="","NONE",C194),"_","-"),"|","-"),"_MN|",(VLOOKUP(D194,Dictionary!$D:$E,2,0)),"_YQ|",(VLOOKUP(E194,Dictionary!$AR:$AR,1,0)),"_CP|",SUBSTITUTE(SUBSTITUTE(IF(F194="","NONE",F194),"_","-"),"|","-"),"_SP|",(VLOOKUP(G194,Dictionary!$AY:$AZ,2,0)),"_AC|",(VLOOKUP(H194,Dictionary!$BA:$BB,2,0)),IF(I194="","",CONCATENATE("_OB|",(VLOOKUP(I194,Dictionary!$AS:$AT,2,0)))),IF(J194="","",CONCATENATE("_U1|",SUBSTITUTE(SUBSTITUTE(J194,"_","-"),"|","-"))),IF(K194="","",CONCATENATE("_U2|",SUBSTITUTE(SUBSTITUTE(K194,"_","-"),"|","-"))),IF(L194="","",CONCATENATE("_U3|",SUBSTITUTE(SUBSTITUTE(L194,"_","-"),"|","-"))))</f>
        <v>#N/A</v>
      </c>
    </row>
    <row r="195" ht="15.75" customHeight="1">
      <c r="A195" s="20"/>
      <c r="B195" s="20"/>
      <c r="C195" s="13"/>
      <c r="D195" s="20"/>
      <c r="E195" s="20"/>
      <c r="F195" s="21"/>
      <c r="G195" s="20"/>
      <c r="H195" s="20"/>
      <c r="I195" s="20"/>
      <c r="J195" s="20"/>
      <c r="K195" s="20"/>
      <c r="L195" s="20"/>
      <c r="M195" s="20" t="str">
        <f>CONCATENATE("MK|",(VLOOKUP(B195,Dictionary!$A:$B,2,FALSE)),"_CN|",SUBSTITUTE(SUBSTITUTE(IF(C195="","NONE",C195),"_","-"),"|","-"),"_MN|",(VLOOKUP(D195,Dictionary!$D:$E,2,0)),"_YQ|",(VLOOKUP(E195,Dictionary!$AR:$AR,1,0)),"_CP|",SUBSTITUTE(SUBSTITUTE(IF(F195="","NONE",F195),"_","-"),"|","-"),"_SP|",(VLOOKUP(G195,Dictionary!$AY:$AZ,2,0)),"_AC|",(VLOOKUP(H195,Dictionary!$BA:$BB,2,0)),IF(I195="","",CONCATENATE("_OB|",(VLOOKUP(I195,Dictionary!$AS:$AT,2,0)))),IF(J195="","",CONCATENATE("_U1|",SUBSTITUTE(SUBSTITUTE(J195,"_","-"),"|","-"))),IF(K195="","",CONCATENATE("_U2|",SUBSTITUTE(SUBSTITUTE(K195,"_","-"),"|","-"))),IF(L195="","",CONCATENATE("_U3|",SUBSTITUTE(SUBSTITUTE(L195,"_","-"),"|","-"))))</f>
        <v>#N/A</v>
      </c>
    </row>
    <row r="196" ht="15.75" customHeight="1">
      <c r="A196" s="20"/>
      <c r="B196" s="20"/>
      <c r="C196" s="13"/>
      <c r="D196" s="20"/>
      <c r="E196" s="20"/>
      <c r="F196" s="21"/>
      <c r="G196" s="20"/>
      <c r="H196" s="20"/>
      <c r="I196" s="20"/>
      <c r="J196" s="20"/>
      <c r="K196" s="20"/>
      <c r="L196" s="20"/>
      <c r="M196" s="20" t="str">
        <f>CONCATENATE("MK|",(VLOOKUP(B196,Dictionary!$A:$B,2,FALSE)),"_CN|",SUBSTITUTE(SUBSTITUTE(IF(C196="","NONE",C196),"_","-"),"|","-"),"_MN|",(VLOOKUP(D196,Dictionary!$D:$E,2,0)),"_YQ|",(VLOOKUP(E196,Dictionary!$AR:$AR,1,0)),"_CP|",SUBSTITUTE(SUBSTITUTE(IF(F196="","NONE",F196),"_","-"),"|","-"),"_SP|",(VLOOKUP(G196,Dictionary!$AY:$AZ,2,0)),"_AC|",(VLOOKUP(H196,Dictionary!$BA:$BB,2,0)),IF(I196="","",CONCATENATE("_OB|",(VLOOKUP(I196,Dictionary!$AS:$AT,2,0)))),IF(J196="","",CONCATENATE("_U1|",SUBSTITUTE(SUBSTITUTE(J196,"_","-"),"|","-"))),IF(K196="","",CONCATENATE("_U2|",SUBSTITUTE(SUBSTITUTE(K196,"_","-"),"|","-"))),IF(L196="","",CONCATENATE("_U3|",SUBSTITUTE(SUBSTITUTE(L196,"_","-"),"|","-"))))</f>
        <v>#N/A</v>
      </c>
    </row>
    <row r="197" ht="15.75" customHeight="1">
      <c r="A197" s="20"/>
      <c r="B197" s="20"/>
      <c r="C197" s="13"/>
      <c r="D197" s="20"/>
      <c r="E197" s="20"/>
      <c r="F197" s="21"/>
      <c r="G197" s="20"/>
      <c r="H197" s="20"/>
      <c r="I197" s="20"/>
      <c r="J197" s="20"/>
      <c r="K197" s="20"/>
      <c r="L197" s="20"/>
      <c r="M197" s="20" t="str">
        <f>CONCATENATE("MK|",(VLOOKUP(B197,Dictionary!$A:$B,2,FALSE)),"_CN|",SUBSTITUTE(SUBSTITUTE(IF(C197="","NONE",C197),"_","-"),"|","-"),"_MN|",(VLOOKUP(D197,Dictionary!$D:$E,2,0)),"_YQ|",(VLOOKUP(E197,Dictionary!$AR:$AR,1,0)),"_CP|",SUBSTITUTE(SUBSTITUTE(IF(F197="","NONE",F197),"_","-"),"|","-"),"_SP|",(VLOOKUP(G197,Dictionary!$AY:$AZ,2,0)),"_AC|",(VLOOKUP(H197,Dictionary!$BA:$BB,2,0)),IF(I197="","",CONCATENATE("_OB|",(VLOOKUP(I197,Dictionary!$AS:$AT,2,0)))),IF(J197="","",CONCATENATE("_U1|",SUBSTITUTE(SUBSTITUTE(J197,"_","-"),"|","-"))),IF(K197="","",CONCATENATE("_U2|",SUBSTITUTE(SUBSTITUTE(K197,"_","-"),"|","-"))),IF(L197="","",CONCATENATE("_U3|",SUBSTITUTE(SUBSTITUTE(L197,"_","-"),"|","-"))))</f>
        <v>#N/A</v>
      </c>
    </row>
    <row r="198" ht="15.75" customHeight="1">
      <c r="A198" s="20"/>
      <c r="B198" s="20"/>
      <c r="C198" s="13"/>
      <c r="D198" s="20"/>
      <c r="E198" s="20"/>
      <c r="F198" s="21"/>
      <c r="G198" s="20"/>
      <c r="H198" s="20"/>
      <c r="I198" s="20"/>
      <c r="J198" s="20"/>
      <c r="K198" s="20"/>
      <c r="L198" s="20"/>
      <c r="M198" s="20" t="str">
        <f>CONCATENATE("MK|",(VLOOKUP(B198,Dictionary!$A:$B,2,FALSE)),"_CN|",SUBSTITUTE(SUBSTITUTE(IF(C198="","NONE",C198),"_","-"),"|","-"),"_MN|",(VLOOKUP(D198,Dictionary!$D:$E,2,0)),"_YQ|",(VLOOKUP(E198,Dictionary!$AR:$AR,1,0)),"_CP|",SUBSTITUTE(SUBSTITUTE(IF(F198="","NONE",F198),"_","-"),"|","-"),"_SP|",(VLOOKUP(G198,Dictionary!$AY:$AZ,2,0)),"_AC|",(VLOOKUP(H198,Dictionary!$BA:$BB,2,0)),IF(I198="","",CONCATENATE("_OB|",(VLOOKUP(I198,Dictionary!$AS:$AT,2,0)))),IF(J198="","",CONCATENATE("_U1|",SUBSTITUTE(SUBSTITUTE(J198,"_","-"),"|","-"))),IF(K198="","",CONCATENATE("_U2|",SUBSTITUTE(SUBSTITUTE(K198,"_","-"),"|","-"))),IF(L198="","",CONCATENATE("_U3|",SUBSTITUTE(SUBSTITUTE(L198,"_","-"),"|","-"))))</f>
        <v>#N/A</v>
      </c>
    </row>
    <row r="199" ht="15.75" customHeight="1">
      <c r="A199" s="20"/>
      <c r="B199" s="20"/>
      <c r="C199" s="13"/>
      <c r="D199" s="20"/>
      <c r="E199" s="20"/>
      <c r="F199" s="21"/>
      <c r="G199" s="20"/>
      <c r="H199" s="20"/>
      <c r="I199" s="20"/>
      <c r="J199" s="20"/>
      <c r="K199" s="20"/>
      <c r="L199" s="20"/>
      <c r="M199" s="20" t="str">
        <f>CONCATENATE("MK|",(VLOOKUP(B199,Dictionary!$A:$B,2,FALSE)),"_CN|",SUBSTITUTE(SUBSTITUTE(IF(C199="","NONE",C199),"_","-"),"|","-"),"_MN|",(VLOOKUP(D199,Dictionary!$D:$E,2,0)),"_YQ|",(VLOOKUP(E199,Dictionary!$AR:$AR,1,0)),"_CP|",SUBSTITUTE(SUBSTITUTE(IF(F199="","NONE",F199),"_","-"),"|","-"),"_SP|",(VLOOKUP(G199,Dictionary!$AY:$AZ,2,0)),"_AC|",(VLOOKUP(H199,Dictionary!$BA:$BB,2,0)),IF(I199="","",CONCATENATE("_OB|",(VLOOKUP(I199,Dictionary!$AS:$AT,2,0)))),IF(J199="","",CONCATENATE("_U1|",SUBSTITUTE(SUBSTITUTE(J199,"_","-"),"|","-"))),IF(K199="","",CONCATENATE("_U2|",SUBSTITUTE(SUBSTITUTE(K199,"_","-"),"|","-"))),IF(L199="","",CONCATENATE("_U3|",SUBSTITUTE(SUBSTITUTE(L199,"_","-"),"|","-"))))</f>
        <v>#N/A</v>
      </c>
    </row>
    <row r="200" ht="15.75" customHeight="1">
      <c r="A200" s="20"/>
      <c r="B200" s="20"/>
      <c r="C200" s="13"/>
      <c r="D200" s="20"/>
      <c r="E200" s="20"/>
      <c r="F200" s="21"/>
      <c r="G200" s="20"/>
      <c r="H200" s="20"/>
      <c r="I200" s="20"/>
      <c r="J200" s="20"/>
      <c r="K200" s="20"/>
      <c r="L200" s="20"/>
      <c r="M200" s="20" t="str">
        <f>CONCATENATE("MK|",(VLOOKUP(B200,Dictionary!$A:$B,2,FALSE)),"_CN|",SUBSTITUTE(SUBSTITUTE(IF(C200="","NONE",C200),"_","-"),"|","-"),"_MN|",(VLOOKUP(D200,Dictionary!$D:$E,2,0)),"_YQ|",(VLOOKUP(E200,Dictionary!$AR:$AR,1,0)),"_CP|",SUBSTITUTE(SUBSTITUTE(IF(F200="","NONE",F200),"_","-"),"|","-"),"_SP|",(VLOOKUP(G200,Dictionary!$AY:$AZ,2,0)),"_AC|",(VLOOKUP(H200,Dictionary!$BA:$BB,2,0)),IF(I200="","",CONCATENATE("_OB|",(VLOOKUP(I200,Dictionary!$AS:$AT,2,0)))),IF(J200="","",CONCATENATE("_U1|",SUBSTITUTE(SUBSTITUTE(J200,"_","-"),"|","-"))),IF(K200="","",CONCATENATE("_U2|",SUBSTITUTE(SUBSTITUTE(K200,"_","-"),"|","-"))),IF(L200="","",CONCATENATE("_U3|",SUBSTITUTE(SUBSTITUTE(L200,"_","-"),"|","-"))))</f>
        <v>#N/A</v>
      </c>
    </row>
    <row r="201" ht="15.75" customHeight="1">
      <c r="A201" s="20"/>
      <c r="B201" s="20"/>
      <c r="C201" s="13"/>
      <c r="D201" s="20"/>
      <c r="E201" s="20"/>
      <c r="F201" s="21"/>
      <c r="G201" s="20"/>
      <c r="H201" s="20"/>
      <c r="I201" s="20"/>
      <c r="J201" s="20"/>
      <c r="K201" s="20"/>
      <c r="L201" s="20"/>
      <c r="M201" s="20" t="str">
        <f>CONCATENATE("MK|",(VLOOKUP(B201,Dictionary!$A:$B,2,FALSE)),"_CN|",SUBSTITUTE(SUBSTITUTE(IF(C201="","NONE",C201),"_","-"),"|","-"),"_MN|",(VLOOKUP(D201,Dictionary!$D:$E,2,0)),"_YQ|",(VLOOKUP(E201,Dictionary!$AR:$AR,1,0)),"_CP|",SUBSTITUTE(SUBSTITUTE(IF(F201="","NONE",F201),"_","-"),"|","-"),"_SP|",(VLOOKUP(G201,Dictionary!$AY:$AZ,2,0)),"_AC|",(VLOOKUP(H201,Dictionary!$BA:$BB,2,0)),IF(I201="","",CONCATENATE("_OB|",(VLOOKUP(I201,Dictionary!$AS:$AT,2,0)))),IF(J201="","",CONCATENATE("_U1|",SUBSTITUTE(SUBSTITUTE(J201,"_","-"),"|","-"))),IF(K201="","",CONCATENATE("_U2|",SUBSTITUTE(SUBSTITUTE(K201,"_","-"),"|","-"))),IF(L201="","",CONCATENATE("_U3|",SUBSTITUTE(SUBSTITUTE(L201,"_","-"),"|","-"))))</f>
        <v>#N/A</v>
      </c>
    </row>
    <row r="202" ht="15.75" customHeight="1">
      <c r="A202" s="20"/>
      <c r="B202" s="20"/>
      <c r="C202" s="13"/>
      <c r="D202" s="20"/>
      <c r="E202" s="20"/>
      <c r="F202" s="21"/>
      <c r="G202" s="20"/>
      <c r="H202" s="20"/>
      <c r="I202" s="20"/>
      <c r="J202" s="20"/>
      <c r="K202" s="20"/>
      <c r="L202" s="20"/>
      <c r="M202" s="20" t="str">
        <f>CONCATENATE("MK|",(VLOOKUP(B202,Dictionary!$A:$B,2,FALSE)),"_CN|",SUBSTITUTE(SUBSTITUTE(IF(C202="","NONE",C202),"_","-"),"|","-"),"_MN|",(VLOOKUP(D202,Dictionary!$D:$E,2,0)),"_YQ|",(VLOOKUP(E202,Dictionary!$AR:$AR,1,0)),"_CP|",SUBSTITUTE(SUBSTITUTE(IF(F202="","NONE",F202),"_","-"),"|","-"),"_SP|",(VLOOKUP(G202,Dictionary!$AY:$AZ,2,0)),"_AC|",(VLOOKUP(H202,Dictionary!$BA:$BB,2,0)),IF(I202="","",CONCATENATE("_OB|",(VLOOKUP(I202,Dictionary!$AS:$AT,2,0)))),IF(J202="","",CONCATENATE("_U1|",SUBSTITUTE(SUBSTITUTE(J202,"_","-"),"|","-"))),IF(K202="","",CONCATENATE("_U2|",SUBSTITUTE(SUBSTITUTE(K202,"_","-"),"|","-"))),IF(L202="","",CONCATENATE("_U3|",SUBSTITUTE(SUBSTITUTE(L202,"_","-"),"|","-"))))</f>
        <v>#N/A</v>
      </c>
    </row>
    <row r="203" ht="15.75" customHeight="1">
      <c r="A203" s="20"/>
      <c r="B203" s="20"/>
      <c r="C203" s="13"/>
      <c r="D203" s="20"/>
      <c r="E203" s="20"/>
      <c r="F203" s="21"/>
      <c r="G203" s="20"/>
      <c r="H203" s="20"/>
      <c r="I203" s="20"/>
      <c r="J203" s="20"/>
      <c r="K203" s="20"/>
      <c r="L203" s="20"/>
      <c r="M203" s="20" t="str">
        <f>CONCATENATE("MK|",(VLOOKUP(B203,Dictionary!$A:$B,2,FALSE)),"_CN|",SUBSTITUTE(SUBSTITUTE(IF(C203="","NONE",C203),"_","-"),"|","-"),"_MN|",(VLOOKUP(D203,Dictionary!$D:$E,2,0)),"_YQ|",(VLOOKUP(E203,Dictionary!$AR:$AR,1,0)),"_CP|",SUBSTITUTE(SUBSTITUTE(IF(F203="","NONE",F203),"_","-"),"|","-"),"_SP|",(VLOOKUP(G203,Dictionary!$AY:$AZ,2,0)),"_AC|",(VLOOKUP(H203,Dictionary!$BA:$BB,2,0)),IF(I203="","",CONCATENATE("_OB|",(VLOOKUP(I203,Dictionary!$AS:$AT,2,0)))),IF(J203="","",CONCATENATE("_U1|",SUBSTITUTE(SUBSTITUTE(J203,"_","-"),"|","-"))),IF(K203="","",CONCATENATE("_U2|",SUBSTITUTE(SUBSTITUTE(K203,"_","-"),"|","-"))),IF(L203="","",CONCATENATE("_U3|",SUBSTITUTE(SUBSTITUTE(L203,"_","-"),"|","-"))))</f>
        <v>#N/A</v>
      </c>
    </row>
    <row r="204" ht="15.75" customHeight="1">
      <c r="A204" s="20"/>
      <c r="B204" s="20"/>
      <c r="C204" s="13"/>
      <c r="D204" s="20"/>
      <c r="E204" s="20"/>
      <c r="F204" s="21"/>
      <c r="G204" s="20"/>
      <c r="H204" s="20"/>
      <c r="I204" s="20"/>
      <c r="J204" s="20"/>
      <c r="K204" s="20"/>
      <c r="L204" s="20"/>
      <c r="M204" s="20" t="str">
        <f>CONCATENATE("MK|",(VLOOKUP(B204,Dictionary!$A:$B,2,FALSE)),"_CN|",SUBSTITUTE(SUBSTITUTE(IF(C204="","NONE",C204),"_","-"),"|","-"),"_MN|",(VLOOKUP(D204,Dictionary!$D:$E,2,0)),"_YQ|",(VLOOKUP(E204,Dictionary!$AR:$AR,1,0)),"_CP|",SUBSTITUTE(SUBSTITUTE(IF(F204="","NONE",F204),"_","-"),"|","-"),"_SP|",(VLOOKUP(G204,Dictionary!$AY:$AZ,2,0)),"_AC|",(VLOOKUP(H204,Dictionary!$BA:$BB,2,0)),IF(I204="","",CONCATENATE("_OB|",(VLOOKUP(I204,Dictionary!$AS:$AT,2,0)))),IF(J204="","",CONCATENATE("_U1|",SUBSTITUTE(SUBSTITUTE(J204,"_","-"),"|","-"))),IF(K204="","",CONCATENATE("_U2|",SUBSTITUTE(SUBSTITUTE(K204,"_","-"),"|","-"))),IF(L204="","",CONCATENATE("_U3|",SUBSTITUTE(SUBSTITUTE(L204,"_","-"),"|","-"))))</f>
        <v>#N/A</v>
      </c>
    </row>
    <row r="205" ht="15.75" customHeight="1">
      <c r="A205" s="20"/>
      <c r="B205" s="20"/>
      <c r="C205" s="13"/>
      <c r="D205" s="20"/>
      <c r="E205" s="20"/>
      <c r="F205" s="21"/>
      <c r="G205" s="20"/>
      <c r="H205" s="20"/>
      <c r="I205" s="20"/>
      <c r="J205" s="20"/>
      <c r="K205" s="20"/>
      <c r="L205" s="20"/>
      <c r="M205" s="20" t="str">
        <f>CONCATENATE("MK|",(VLOOKUP(B205,Dictionary!$A:$B,2,FALSE)),"_CN|",SUBSTITUTE(SUBSTITUTE(IF(C205="","NONE",C205),"_","-"),"|","-"),"_MN|",(VLOOKUP(D205,Dictionary!$D:$E,2,0)),"_YQ|",(VLOOKUP(E205,Dictionary!$AR:$AR,1,0)),"_CP|",SUBSTITUTE(SUBSTITUTE(IF(F205="","NONE",F205),"_","-"),"|","-"),"_SP|",(VLOOKUP(G205,Dictionary!$AY:$AZ,2,0)),"_AC|",(VLOOKUP(H205,Dictionary!$BA:$BB,2,0)),IF(I205="","",CONCATENATE("_OB|",(VLOOKUP(I205,Dictionary!$AS:$AT,2,0)))),IF(J205="","",CONCATENATE("_U1|",SUBSTITUTE(SUBSTITUTE(J205,"_","-"),"|","-"))),IF(K205="","",CONCATENATE("_U2|",SUBSTITUTE(SUBSTITUTE(K205,"_","-"),"|","-"))),IF(L205="","",CONCATENATE("_U3|",SUBSTITUTE(SUBSTITUTE(L205,"_","-"),"|","-"))))</f>
        <v>#N/A</v>
      </c>
    </row>
    <row r="206" ht="15.75" customHeight="1">
      <c r="A206" s="20"/>
      <c r="B206" s="20"/>
      <c r="C206" s="13"/>
      <c r="D206" s="20"/>
      <c r="E206" s="20"/>
      <c r="F206" s="21"/>
      <c r="G206" s="20"/>
      <c r="H206" s="20"/>
      <c r="I206" s="20"/>
      <c r="J206" s="20"/>
      <c r="K206" s="20"/>
      <c r="L206" s="20"/>
      <c r="M206" s="20" t="str">
        <f>CONCATENATE("MK|",(VLOOKUP(B206,Dictionary!$A:$B,2,FALSE)),"_CN|",SUBSTITUTE(SUBSTITUTE(IF(C206="","NONE",C206),"_","-"),"|","-"),"_MN|",(VLOOKUP(D206,Dictionary!$D:$E,2,0)),"_YQ|",(VLOOKUP(E206,Dictionary!$AR:$AR,1,0)),"_CP|",SUBSTITUTE(SUBSTITUTE(IF(F206="","NONE",F206),"_","-"),"|","-"),"_SP|",(VLOOKUP(G206,Dictionary!$AY:$AZ,2,0)),"_AC|",(VLOOKUP(H206,Dictionary!$BA:$BB,2,0)),IF(I206="","",CONCATENATE("_OB|",(VLOOKUP(I206,Dictionary!$AS:$AT,2,0)))),IF(J206="","",CONCATENATE("_U1|",SUBSTITUTE(SUBSTITUTE(J206,"_","-"),"|","-"))),IF(K206="","",CONCATENATE("_U2|",SUBSTITUTE(SUBSTITUTE(K206,"_","-"),"|","-"))),IF(L206="","",CONCATENATE("_U3|",SUBSTITUTE(SUBSTITUTE(L206,"_","-"),"|","-"))))</f>
        <v>#N/A</v>
      </c>
    </row>
    <row r="207" ht="15.75" customHeight="1">
      <c r="A207" s="20"/>
      <c r="B207" s="20"/>
      <c r="C207" s="13"/>
      <c r="D207" s="20"/>
      <c r="E207" s="20"/>
      <c r="F207" s="21"/>
      <c r="G207" s="20"/>
      <c r="H207" s="20"/>
      <c r="I207" s="20"/>
      <c r="J207" s="20"/>
      <c r="K207" s="20"/>
      <c r="L207" s="20"/>
      <c r="M207" s="20" t="str">
        <f>CONCATENATE("MK|",(VLOOKUP(B207,Dictionary!$A:$B,2,FALSE)),"_CN|",SUBSTITUTE(SUBSTITUTE(IF(C207="","NONE",C207),"_","-"),"|","-"),"_MN|",(VLOOKUP(D207,Dictionary!$D:$E,2,0)),"_YQ|",(VLOOKUP(E207,Dictionary!$AR:$AR,1,0)),"_CP|",SUBSTITUTE(SUBSTITUTE(IF(F207="","NONE",F207),"_","-"),"|","-"),"_SP|",(VLOOKUP(G207,Dictionary!$AY:$AZ,2,0)),"_AC|",(VLOOKUP(H207,Dictionary!$BA:$BB,2,0)),IF(I207="","",CONCATENATE("_OB|",(VLOOKUP(I207,Dictionary!$AS:$AT,2,0)))),IF(J207="","",CONCATENATE("_U1|",SUBSTITUTE(SUBSTITUTE(J207,"_","-"),"|","-"))),IF(K207="","",CONCATENATE("_U2|",SUBSTITUTE(SUBSTITUTE(K207,"_","-"),"|","-"))),IF(L207="","",CONCATENATE("_U3|",SUBSTITUTE(SUBSTITUTE(L207,"_","-"),"|","-"))))</f>
        <v>#N/A</v>
      </c>
    </row>
    <row r="208" ht="15.75" customHeight="1">
      <c r="A208" s="20"/>
      <c r="B208" s="20"/>
      <c r="C208" s="13"/>
      <c r="D208" s="20"/>
      <c r="E208" s="20"/>
      <c r="F208" s="21"/>
      <c r="G208" s="20"/>
      <c r="H208" s="20"/>
      <c r="I208" s="20"/>
      <c r="J208" s="20"/>
      <c r="K208" s="20"/>
      <c r="L208" s="20"/>
      <c r="M208" s="20" t="str">
        <f>CONCATENATE("MK|",(VLOOKUP(B208,Dictionary!$A:$B,2,FALSE)),"_CN|",SUBSTITUTE(SUBSTITUTE(IF(C208="","NONE",C208),"_","-"),"|","-"),"_MN|",(VLOOKUP(D208,Dictionary!$D:$E,2,0)),"_YQ|",(VLOOKUP(E208,Dictionary!$AR:$AR,1,0)),"_CP|",SUBSTITUTE(SUBSTITUTE(IF(F208="","NONE",F208),"_","-"),"|","-"),"_SP|",(VLOOKUP(G208,Dictionary!$AY:$AZ,2,0)),"_AC|",(VLOOKUP(H208,Dictionary!$BA:$BB,2,0)),IF(I208="","",CONCATENATE("_OB|",(VLOOKUP(I208,Dictionary!$AS:$AT,2,0)))),IF(J208="","",CONCATENATE("_U1|",SUBSTITUTE(SUBSTITUTE(J208,"_","-"),"|","-"))),IF(K208="","",CONCATENATE("_U2|",SUBSTITUTE(SUBSTITUTE(K208,"_","-"),"|","-"))),IF(L208="","",CONCATENATE("_U3|",SUBSTITUTE(SUBSTITUTE(L208,"_","-"),"|","-"))))</f>
        <v>#N/A</v>
      </c>
    </row>
    <row r="209" ht="15.75" customHeight="1">
      <c r="A209" s="20"/>
      <c r="B209" s="20"/>
      <c r="C209" s="13"/>
      <c r="D209" s="20"/>
      <c r="E209" s="20"/>
      <c r="F209" s="21"/>
      <c r="G209" s="20"/>
      <c r="H209" s="20"/>
      <c r="I209" s="20"/>
      <c r="J209" s="20"/>
      <c r="K209" s="20"/>
      <c r="L209" s="20"/>
      <c r="M209" s="20" t="str">
        <f>CONCATENATE("MK|",(VLOOKUP(B209,Dictionary!$A:$B,2,FALSE)),"_CN|",SUBSTITUTE(SUBSTITUTE(IF(C209="","NONE",C209),"_","-"),"|","-"),"_MN|",(VLOOKUP(D209,Dictionary!$D:$E,2,0)),"_YQ|",(VLOOKUP(E209,Dictionary!$AR:$AR,1,0)),"_CP|",SUBSTITUTE(SUBSTITUTE(IF(F209="","NONE",F209),"_","-"),"|","-"),"_SP|",(VLOOKUP(G209,Dictionary!$AY:$AZ,2,0)),"_AC|",(VLOOKUP(H209,Dictionary!$BA:$BB,2,0)),IF(I209="","",CONCATENATE("_OB|",(VLOOKUP(I209,Dictionary!$AS:$AT,2,0)))),IF(J209="","",CONCATENATE("_U1|",SUBSTITUTE(SUBSTITUTE(J209,"_","-"),"|","-"))),IF(K209="","",CONCATENATE("_U2|",SUBSTITUTE(SUBSTITUTE(K209,"_","-"),"|","-"))),IF(L209="","",CONCATENATE("_U3|",SUBSTITUTE(SUBSTITUTE(L209,"_","-"),"|","-"))))</f>
        <v>#N/A</v>
      </c>
    </row>
    <row r="210" ht="15.75" customHeight="1">
      <c r="A210" s="20"/>
      <c r="B210" s="20"/>
      <c r="C210" s="13"/>
      <c r="D210" s="20"/>
      <c r="E210" s="20"/>
      <c r="F210" s="21"/>
      <c r="G210" s="20"/>
      <c r="H210" s="20"/>
      <c r="I210" s="20"/>
      <c r="J210" s="20"/>
      <c r="K210" s="20"/>
      <c r="L210" s="20"/>
      <c r="M210" s="20" t="str">
        <f>CONCATENATE("MK|",(VLOOKUP(B210,Dictionary!$A:$B,2,FALSE)),"_CN|",SUBSTITUTE(SUBSTITUTE(IF(C210="","NONE",C210),"_","-"),"|","-"),"_MN|",(VLOOKUP(D210,Dictionary!$D:$E,2,0)),"_YQ|",(VLOOKUP(E210,Dictionary!$AR:$AR,1,0)),"_CP|",SUBSTITUTE(SUBSTITUTE(IF(F210="","NONE",F210),"_","-"),"|","-"),"_SP|",(VLOOKUP(G210,Dictionary!$AY:$AZ,2,0)),"_AC|",(VLOOKUP(H210,Dictionary!$BA:$BB,2,0)),IF(I210="","",CONCATENATE("_OB|",(VLOOKUP(I210,Dictionary!$AS:$AT,2,0)))),IF(J210="","",CONCATENATE("_U1|",SUBSTITUTE(SUBSTITUTE(J210,"_","-"),"|","-"))),IF(K210="","",CONCATENATE("_U2|",SUBSTITUTE(SUBSTITUTE(K210,"_","-"),"|","-"))),IF(L210="","",CONCATENATE("_U3|",SUBSTITUTE(SUBSTITUTE(L210,"_","-"),"|","-"))))</f>
        <v>#N/A</v>
      </c>
    </row>
    <row r="211" ht="15.75" customHeight="1">
      <c r="A211" s="20"/>
      <c r="B211" s="20"/>
      <c r="C211" s="13"/>
      <c r="D211" s="20"/>
      <c r="E211" s="20"/>
      <c r="F211" s="21"/>
      <c r="G211" s="20"/>
      <c r="H211" s="20"/>
      <c r="I211" s="20"/>
      <c r="J211" s="20"/>
      <c r="K211" s="20"/>
      <c r="L211" s="20"/>
      <c r="M211" s="20" t="str">
        <f>CONCATENATE("MK|",(VLOOKUP(B211,Dictionary!$A:$B,2,FALSE)),"_CN|",SUBSTITUTE(SUBSTITUTE(IF(C211="","NONE",C211),"_","-"),"|","-"),"_MN|",(VLOOKUP(D211,Dictionary!$D:$E,2,0)),"_YQ|",(VLOOKUP(E211,Dictionary!$AR:$AR,1,0)),"_CP|",SUBSTITUTE(SUBSTITUTE(IF(F211="","NONE",F211),"_","-"),"|","-"),"_SP|",(VLOOKUP(G211,Dictionary!$AY:$AZ,2,0)),"_AC|",(VLOOKUP(H211,Dictionary!$BA:$BB,2,0)),IF(I211="","",CONCATENATE("_OB|",(VLOOKUP(I211,Dictionary!$AS:$AT,2,0)))),IF(J211="","",CONCATENATE("_U1|",SUBSTITUTE(SUBSTITUTE(J211,"_","-"),"|","-"))),IF(K211="","",CONCATENATE("_U2|",SUBSTITUTE(SUBSTITUTE(K211,"_","-"),"|","-"))),IF(L211="","",CONCATENATE("_U3|",SUBSTITUTE(SUBSTITUTE(L211,"_","-"),"|","-"))))</f>
        <v>#N/A</v>
      </c>
    </row>
    <row r="212" ht="15.75" customHeight="1">
      <c r="A212" s="20"/>
      <c r="B212" s="20"/>
      <c r="C212" s="13"/>
      <c r="D212" s="20"/>
      <c r="E212" s="20"/>
      <c r="F212" s="21"/>
      <c r="G212" s="20"/>
      <c r="H212" s="20"/>
      <c r="I212" s="20"/>
      <c r="J212" s="20"/>
      <c r="K212" s="20"/>
      <c r="L212" s="20"/>
      <c r="M212" s="20" t="str">
        <f>CONCATENATE("MK|",(VLOOKUP(B212,Dictionary!$A:$B,2,FALSE)),"_CN|",SUBSTITUTE(SUBSTITUTE(IF(C212="","NONE",C212),"_","-"),"|","-"),"_MN|",(VLOOKUP(D212,Dictionary!$D:$E,2,0)),"_YQ|",(VLOOKUP(E212,Dictionary!$AR:$AR,1,0)),"_CP|",SUBSTITUTE(SUBSTITUTE(IF(F212="","NONE",F212),"_","-"),"|","-"),"_SP|",(VLOOKUP(G212,Dictionary!$AY:$AZ,2,0)),"_AC|",(VLOOKUP(H212,Dictionary!$BA:$BB,2,0)),IF(I212="","",CONCATENATE("_OB|",(VLOOKUP(I212,Dictionary!$AS:$AT,2,0)))),IF(J212="","",CONCATENATE("_U1|",SUBSTITUTE(SUBSTITUTE(J212,"_","-"),"|","-"))),IF(K212="","",CONCATENATE("_U2|",SUBSTITUTE(SUBSTITUTE(K212,"_","-"),"|","-"))),IF(L212="","",CONCATENATE("_U3|",SUBSTITUTE(SUBSTITUTE(L212,"_","-"),"|","-"))))</f>
        <v>#N/A</v>
      </c>
    </row>
    <row r="213" ht="15.75" customHeight="1">
      <c r="A213" s="20"/>
      <c r="B213" s="20"/>
      <c r="C213" s="13"/>
      <c r="D213" s="20"/>
      <c r="E213" s="20"/>
      <c r="F213" s="21"/>
      <c r="G213" s="20"/>
      <c r="H213" s="20"/>
      <c r="I213" s="20"/>
      <c r="J213" s="20"/>
      <c r="K213" s="20"/>
      <c r="L213" s="20"/>
      <c r="M213" s="20" t="str">
        <f>CONCATENATE("MK|",(VLOOKUP(B213,Dictionary!$A:$B,2,FALSE)),"_CN|",SUBSTITUTE(SUBSTITUTE(IF(C213="","NONE",C213),"_","-"),"|","-"),"_MN|",(VLOOKUP(D213,Dictionary!$D:$E,2,0)),"_YQ|",(VLOOKUP(E213,Dictionary!$AR:$AR,1,0)),"_CP|",SUBSTITUTE(SUBSTITUTE(IF(F213="","NONE",F213),"_","-"),"|","-"),"_SP|",(VLOOKUP(G213,Dictionary!$AY:$AZ,2,0)),"_AC|",(VLOOKUP(H213,Dictionary!$BA:$BB,2,0)),IF(I213="","",CONCATENATE("_OB|",(VLOOKUP(I213,Dictionary!$AS:$AT,2,0)))),IF(J213="","",CONCATENATE("_U1|",SUBSTITUTE(SUBSTITUTE(J213,"_","-"),"|","-"))),IF(K213="","",CONCATENATE("_U2|",SUBSTITUTE(SUBSTITUTE(K213,"_","-"),"|","-"))),IF(L213="","",CONCATENATE("_U3|",SUBSTITUTE(SUBSTITUTE(L213,"_","-"),"|","-"))))</f>
        <v>#N/A</v>
      </c>
    </row>
    <row r="214" ht="15.75" customHeight="1">
      <c r="A214" s="20"/>
      <c r="B214" s="20"/>
      <c r="C214" s="13"/>
      <c r="D214" s="20"/>
      <c r="E214" s="20"/>
      <c r="F214" s="21"/>
      <c r="G214" s="20"/>
      <c r="H214" s="20"/>
      <c r="I214" s="20"/>
      <c r="J214" s="20"/>
      <c r="K214" s="20"/>
      <c r="L214" s="20"/>
      <c r="M214" s="20" t="str">
        <f>CONCATENATE("MK|",(VLOOKUP(B214,Dictionary!$A:$B,2,FALSE)),"_CN|",SUBSTITUTE(SUBSTITUTE(IF(C214="","NONE",C214),"_","-"),"|","-"),"_MN|",(VLOOKUP(D214,Dictionary!$D:$E,2,0)),"_YQ|",(VLOOKUP(E214,Dictionary!$AR:$AR,1,0)),"_CP|",SUBSTITUTE(SUBSTITUTE(IF(F214="","NONE",F214),"_","-"),"|","-"),"_SP|",(VLOOKUP(G214,Dictionary!$AY:$AZ,2,0)),"_AC|",(VLOOKUP(H214,Dictionary!$BA:$BB,2,0)),IF(I214="","",CONCATENATE("_OB|",(VLOOKUP(I214,Dictionary!$AS:$AT,2,0)))),IF(J214="","",CONCATENATE("_U1|",SUBSTITUTE(SUBSTITUTE(J214,"_","-"),"|","-"))),IF(K214="","",CONCATENATE("_U2|",SUBSTITUTE(SUBSTITUTE(K214,"_","-"),"|","-"))),IF(L214="","",CONCATENATE("_U3|",SUBSTITUTE(SUBSTITUTE(L214,"_","-"),"|","-"))))</f>
        <v>#N/A</v>
      </c>
    </row>
    <row r="215" ht="15.75" customHeight="1">
      <c r="A215" s="20"/>
      <c r="B215" s="20"/>
      <c r="C215" s="13"/>
      <c r="D215" s="20"/>
      <c r="E215" s="20"/>
      <c r="F215" s="21"/>
      <c r="G215" s="20"/>
      <c r="H215" s="20"/>
      <c r="I215" s="20"/>
      <c r="J215" s="20"/>
      <c r="K215" s="20"/>
      <c r="L215" s="20"/>
      <c r="M215" s="20" t="str">
        <f>CONCATENATE("MK|",(VLOOKUP(B215,Dictionary!$A:$B,2,FALSE)),"_CN|",SUBSTITUTE(SUBSTITUTE(IF(C215="","NONE",C215),"_","-"),"|","-"),"_MN|",(VLOOKUP(D215,Dictionary!$D:$E,2,0)),"_YQ|",(VLOOKUP(E215,Dictionary!$AR:$AR,1,0)),"_CP|",SUBSTITUTE(SUBSTITUTE(IF(F215="","NONE",F215),"_","-"),"|","-"),"_SP|",(VLOOKUP(G215,Dictionary!$AY:$AZ,2,0)),"_AC|",(VLOOKUP(H215,Dictionary!$BA:$BB,2,0)),IF(I215="","",CONCATENATE("_OB|",(VLOOKUP(I215,Dictionary!$AS:$AT,2,0)))),IF(J215="","",CONCATENATE("_U1|",SUBSTITUTE(SUBSTITUTE(J215,"_","-"),"|","-"))),IF(K215="","",CONCATENATE("_U2|",SUBSTITUTE(SUBSTITUTE(K215,"_","-"),"|","-"))),IF(L215="","",CONCATENATE("_U3|",SUBSTITUTE(SUBSTITUTE(L215,"_","-"),"|","-"))))</f>
        <v>#N/A</v>
      </c>
    </row>
    <row r="216" ht="15.75" customHeight="1">
      <c r="A216" s="20"/>
      <c r="B216" s="20"/>
      <c r="C216" s="13"/>
      <c r="D216" s="20"/>
      <c r="E216" s="20"/>
      <c r="F216" s="21"/>
      <c r="G216" s="20"/>
      <c r="H216" s="20"/>
      <c r="I216" s="20"/>
      <c r="J216" s="20"/>
      <c r="K216" s="20"/>
      <c r="L216" s="20"/>
      <c r="M216" s="20" t="str">
        <f>CONCATENATE("MK|",(VLOOKUP(B216,Dictionary!$A:$B,2,FALSE)),"_CN|",SUBSTITUTE(SUBSTITUTE(IF(C216="","NONE",C216),"_","-"),"|","-"),"_MN|",(VLOOKUP(D216,Dictionary!$D:$E,2,0)),"_YQ|",(VLOOKUP(E216,Dictionary!$AR:$AR,1,0)),"_CP|",SUBSTITUTE(SUBSTITUTE(IF(F216="","NONE",F216),"_","-"),"|","-"),"_SP|",(VLOOKUP(G216,Dictionary!$AY:$AZ,2,0)),"_AC|",(VLOOKUP(H216,Dictionary!$BA:$BB,2,0)),IF(I216="","",CONCATENATE("_OB|",(VLOOKUP(I216,Dictionary!$AS:$AT,2,0)))),IF(J216="","",CONCATENATE("_U1|",SUBSTITUTE(SUBSTITUTE(J216,"_","-"),"|","-"))),IF(K216="","",CONCATENATE("_U2|",SUBSTITUTE(SUBSTITUTE(K216,"_","-"),"|","-"))),IF(L216="","",CONCATENATE("_U3|",SUBSTITUTE(SUBSTITUTE(L216,"_","-"),"|","-"))))</f>
        <v>#N/A</v>
      </c>
    </row>
    <row r="217" ht="15.75" customHeight="1">
      <c r="A217" s="20"/>
      <c r="B217" s="20"/>
      <c r="C217" s="13"/>
      <c r="D217" s="20"/>
      <c r="E217" s="20"/>
      <c r="F217" s="21"/>
      <c r="G217" s="20"/>
      <c r="H217" s="20"/>
      <c r="I217" s="20"/>
      <c r="J217" s="20"/>
      <c r="K217" s="20"/>
      <c r="L217" s="20"/>
      <c r="M217" s="20" t="str">
        <f>CONCATENATE("MK|",(VLOOKUP(B217,Dictionary!$A:$B,2,FALSE)),"_CN|",SUBSTITUTE(SUBSTITUTE(IF(C217="","NONE",C217),"_","-"),"|","-"),"_MN|",(VLOOKUP(D217,Dictionary!$D:$E,2,0)),"_YQ|",(VLOOKUP(E217,Dictionary!$AR:$AR,1,0)),"_CP|",SUBSTITUTE(SUBSTITUTE(IF(F217="","NONE",F217),"_","-"),"|","-"),"_SP|",(VLOOKUP(G217,Dictionary!$AY:$AZ,2,0)),"_AC|",(VLOOKUP(H217,Dictionary!$BA:$BB,2,0)),IF(I217="","",CONCATENATE("_OB|",(VLOOKUP(I217,Dictionary!$AS:$AT,2,0)))),IF(J217="","",CONCATENATE("_U1|",SUBSTITUTE(SUBSTITUTE(J217,"_","-"),"|","-"))),IF(K217="","",CONCATENATE("_U2|",SUBSTITUTE(SUBSTITUTE(K217,"_","-"),"|","-"))),IF(L217="","",CONCATENATE("_U3|",SUBSTITUTE(SUBSTITUTE(L217,"_","-"),"|","-"))))</f>
        <v>#N/A</v>
      </c>
    </row>
    <row r="218" ht="15.75" customHeight="1">
      <c r="A218" s="20"/>
      <c r="B218" s="20"/>
      <c r="C218" s="13"/>
      <c r="D218" s="20"/>
      <c r="E218" s="20"/>
      <c r="F218" s="21"/>
      <c r="G218" s="20"/>
      <c r="H218" s="20"/>
      <c r="I218" s="20"/>
      <c r="J218" s="20"/>
      <c r="K218" s="20"/>
      <c r="L218" s="20"/>
      <c r="M218" s="20" t="str">
        <f>CONCATENATE("MK|",(VLOOKUP(B218,Dictionary!$A:$B,2,FALSE)),"_CN|",SUBSTITUTE(SUBSTITUTE(IF(C218="","NONE",C218),"_","-"),"|","-"),"_MN|",(VLOOKUP(D218,Dictionary!$D:$E,2,0)),"_YQ|",(VLOOKUP(E218,Dictionary!$AR:$AR,1,0)),"_CP|",SUBSTITUTE(SUBSTITUTE(IF(F218="","NONE",F218),"_","-"),"|","-"),"_SP|",(VLOOKUP(G218,Dictionary!$AY:$AZ,2,0)),"_AC|",(VLOOKUP(H218,Dictionary!$BA:$BB,2,0)),IF(I218="","",CONCATENATE("_OB|",(VLOOKUP(I218,Dictionary!$AS:$AT,2,0)))),IF(J218="","",CONCATENATE("_U1|",SUBSTITUTE(SUBSTITUTE(J218,"_","-"),"|","-"))),IF(K218="","",CONCATENATE("_U2|",SUBSTITUTE(SUBSTITUTE(K218,"_","-"),"|","-"))),IF(L218="","",CONCATENATE("_U3|",SUBSTITUTE(SUBSTITUTE(L218,"_","-"),"|","-"))))</f>
        <v>#N/A</v>
      </c>
    </row>
    <row r="219" ht="15.75" customHeight="1">
      <c r="A219" s="20"/>
      <c r="B219" s="20"/>
      <c r="C219" s="13"/>
      <c r="D219" s="20"/>
      <c r="E219" s="20"/>
      <c r="F219" s="21"/>
      <c r="G219" s="20"/>
      <c r="H219" s="20"/>
      <c r="I219" s="20"/>
      <c r="J219" s="20"/>
      <c r="K219" s="20"/>
      <c r="L219" s="20"/>
      <c r="M219" s="20" t="str">
        <f>CONCATENATE("MK|",(VLOOKUP(B219,Dictionary!$A:$B,2,FALSE)),"_CN|",SUBSTITUTE(SUBSTITUTE(IF(C219="","NONE",C219),"_","-"),"|","-"),"_MN|",(VLOOKUP(D219,Dictionary!$D:$E,2,0)),"_YQ|",(VLOOKUP(E219,Dictionary!$AR:$AR,1,0)),"_CP|",SUBSTITUTE(SUBSTITUTE(IF(F219="","NONE",F219),"_","-"),"|","-"),"_SP|",(VLOOKUP(G219,Dictionary!$AY:$AZ,2,0)),"_AC|",(VLOOKUP(H219,Dictionary!$BA:$BB,2,0)),IF(I219="","",CONCATENATE("_OB|",(VLOOKUP(I219,Dictionary!$AS:$AT,2,0)))),IF(J219="","",CONCATENATE("_U1|",SUBSTITUTE(SUBSTITUTE(J219,"_","-"),"|","-"))),IF(K219="","",CONCATENATE("_U2|",SUBSTITUTE(SUBSTITUTE(K219,"_","-"),"|","-"))),IF(L219="","",CONCATENATE("_U3|",SUBSTITUTE(SUBSTITUTE(L219,"_","-"),"|","-"))))</f>
        <v>#N/A</v>
      </c>
    </row>
    <row r="220" ht="15.75" customHeight="1">
      <c r="A220" s="20"/>
      <c r="B220" s="20"/>
      <c r="C220" s="13"/>
      <c r="D220" s="20"/>
      <c r="E220" s="20"/>
      <c r="F220" s="21"/>
      <c r="G220" s="20"/>
      <c r="H220" s="20"/>
      <c r="I220" s="20"/>
      <c r="J220" s="20"/>
      <c r="K220" s="20"/>
      <c r="L220" s="20"/>
      <c r="M220" s="20" t="str">
        <f>CONCATENATE("MK|",(VLOOKUP(B220,Dictionary!$A:$B,2,FALSE)),"_CN|",SUBSTITUTE(SUBSTITUTE(IF(C220="","NONE",C220),"_","-"),"|","-"),"_MN|",(VLOOKUP(D220,Dictionary!$D:$E,2,0)),"_YQ|",(VLOOKUP(E220,Dictionary!$AR:$AR,1,0)),"_CP|",SUBSTITUTE(SUBSTITUTE(IF(F220="","NONE",F220),"_","-"),"|","-"),"_SP|",(VLOOKUP(G220,Dictionary!$AY:$AZ,2,0)),"_AC|",(VLOOKUP(H220,Dictionary!$BA:$BB,2,0)),IF(I220="","",CONCATENATE("_OB|",(VLOOKUP(I220,Dictionary!$AS:$AT,2,0)))),IF(J220="","",CONCATENATE("_U1|",SUBSTITUTE(SUBSTITUTE(J220,"_","-"),"|","-"))),IF(K220="","",CONCATENATE("_U2|",SUBSTITUTE(SUBSTITUTE(K220,"_","-"),"|","-"))),IF(L220="","",CONCATENATE("_U3|",SUBSTITUTE(SUBSTITUTE(L220,"_","-"),"|","-"))))</f>
        <v>#N/A</v>
      </c>
    </row>
    <row r="221" ht="15.75" customHeight="1">
      <c r="A221" s="20"/>
      <c r="B221" s="20"/>
      <c r="C221" s="13"/>
      <c r="D221" s="20"/>
      <c r="E221" s="20"/>
      <c r="F221" s="21"/>
      <c r="G221" s="20"/>
      <c r="H221" s="20"/>
      <c r="I221" s="20"/>
      <c r="J221" s="20"/>
      <c r="K221" s="20"/>
      <c r="L221" s="20"/>
      <c r="M221" s="20" t="str">
        <f>CONCATENATE("MK|",(VLOOKUP(B221,Dictionary!$A:$B,2,FALSE)),"_CN|",SUBSTITUTE(SUBSTITUTE(IF(C221="","NONE",C221),"_","-"),"|","-"),"_MN|",(VLOOKUP(D221,Dictionary!$D:$E,2,0)),"_YQ|",(VLOOKUP(E221,Dictionary!$AR:$AR,1,0)),"_CP|",SUBSTITUTE(SUBSTITUTE(IF(F221="","NONE",F221),"_","-"),"|","-"),"_SP|",(VLOOKUP(G221,Dictionary!$AY:$AZ,2,0)),"_AC|",(VLOOKUP(H221,Dictionary!$BA:$BB,2,0)),IF(I221="","",CONCATENATE("_OB|",(VLOOKUP(I221,Dictionary!$AS:$AT,2,0)))),IF(J221="","",CONCATENATE("_U1|",SUBSTITUTE(SUBSTITUTE(J221,"_","-"),"|","-"))),IF(K221="","",CONCATENATE("_U2|",SUBSTITUTE(SUBSTITUTE(K221,"_","-"),"|","-"))),IF(L221="","",CONCATENATE("_U3|",SUBSTITUTE(SUBSTITUTE(L221,"_","-"),"|","-"))))</f>
        <v>#N/A</v>
      </c>
    </row>
    <row r="222" ht="15.75" customHeight="1">
      <c r="A222" s="20"/>
      <c r="B222" s="20"/>
      <c r="C222" s="13"/>
      <c r="D222" s="20"/>
      <c r="E222" s="20"/>
      <c r="F222" s="21"/>
      <c r="G222" s="20"/>
      <c r="H222" s="20"/>
      <c r="I222" s="20"/>
      <c r="J222" s="20"/>
      <c r="K222" s="20"/>
      <c r="L222" s="20"/>
      <c r="M222" s="20" t="str">
        <f>CONCATENATE("MK|",(VLOOKUP(B222,Dictionary!$A:$B,2,FALSE)),"_CN|",SUBSTITUTE(SUBSTITUTE(IF(C222="","NONE",C222),"_","-"),"|","-"),"_MN|",(VLOOKUP(D222,Dictionary!$D:$E,2,0)),"_YQ|",(VLOOKUP(E222,Dictionary!$AR:$AR,1,0)),"_CP|",SUBSTITUTE(SUBSTITUTE(IF(F222="","NONE",F222),"_","-"),"|","-"),"_SP|",(VLOOKUP(G222,Dictionary!$AY:$AZ,2,0)),"_AC|",(VLOOKUP(H222,Dictionary!$BA:$BB,2,0)),IF(I222="","",CONCATENATE("_OB|",(VLOOKUP(I222,Dictionary!$AS:$AT,2,0)))),IF(J222="","",CONCATENATE("_U1|",SUBSTITUTE(SUBSTITUTE(J222,"_","-"),"|","-"))),IF(K222="","",CONCATENATE("_U2|",SUBSTITUTE(SUBSTITUTE(K222,"_","-"),"|","-"))),IF(L222="","",CONCATENATE("_U3|",SUBSTITUTE(SUBSTITUTE(L222,"_","-"),"|","-"))))</f>
        <v>#N/A</v>
      </c>
    </row>
    <row r="223" ht="15.75" customHeight="1">
      <c r="A223" s="20"/>
      <c r="B223" s="20"/>
      <c r="C223" s="13"/>
      <c r="D223" s="20"/>
      <c r="E223" s="20"/>
      <c r="F223" s="21"/>
      <c r="G223" s="20"/>
      <c r="H223" s="20"/>
      <c r="I223" s="20"/>
      <c r="J223" s="20"/>
      <c r="K223" s="20"/>
      <c r="L223" s="20"/>
      <c r="M223" s="20" t="str">
        <f>CONCATENATE("MK|",(VLOOKUP(B223,Dictionary!$A:$B,2,FALSE)),"_CN|",SUBSTITUTE(SUBSTITUTE(IF(C223="","NONE",C223),"_","-"),"|","-"),"_MN|",(VLOOKUP(D223,Dictionary!$D:$E,2,0)),"_YQ|",(VLOOKUP(E223,Dictionary!$AR:$AR,1,0)),"_CP|",SUBSTITUTE(SUBSTITUTE(IF(F223="","NONE",F223),"_","-"),"|","-"),"_SP|",(VLOOKUP(G223,Dictionary!$AY:$AZ,2,0)),"_AC|",(VLOOKUP(H223,Dictionary!$BA:$BB,2,0)),IF(I223="","",CONCATENATE("_OB|",(VLOOKUP(I223,Dictionary!$AS:$AT,2,0)))),IF(J223="","",CONCATENATE("_U1|",SUBSTITUTE(SUBSTITUTE(J223,"_","-"),"|","-"))),IF(K223="","",CONCATENATE("_U2|",SUBSTITUTE(SUBSTITUTE(K223,"_","-"),"|","-"))),IF(L223="","",CONCATENATE("_U3|",SUBSTITUTE(SUBSTITUTE(L223,"_","-"),"|","-"))))</f>
        <v>#N/A</v>
      </c>
    </row>
    <row r="224" ht="15.75" customHeight="1">
      <c r="A224" s="20"/>
      <c r="B224" s="20"/>
      <c r="C224" s="13"/>
      <c r="D224" s="20"/>
      <c r="E224" s="20"/>
      <c r="F224" s="21"/>
      <c r="G224" s="20"/>
      <c r="H224" s="20"/>
      <c r="I224" s="20"/>
      <c r="J224" s="20"/>
      <c r="K224" s="20"/>
      <c r="L224" s="20"/>
      <c r="M224" s="20" t="str">
        <f>CONCATENATE("MK|",(VLOOKUP(B224,Dictionary!$A:$B,2,FALSE)),"_CN|",SUBSTITUTE(SUBSTITUTE(IF(C224="","NONE",C224),"_","-"),"|","-"),"_MN|",(VLOOKUP(D224,Dictionary!$D:$E,2,0)),"_YQ|",(VLOOKUP(E224,Dictionary!$AR:$AR,1,0)),"_CP|",SUBSTITUTE(SUBSTITUTE(IF(F224="","NONE",F224),"_","-"),"|","-"),"_SP|",(VLOOKUP(G224,Dictionary!$AY:$AZ,2,0)),"_AC|",(VLOOKUP(H224,Dictionary!$BA:$BB,2,0)),IF(I224="","",CONCATENATE("_OB|",(VLOOKUP(I224,Dictionary!$AS:$AT,2,0)))),IF(J224="","",CONCATENATE("_U1|",SUBSTITUTE(SUBSTITUTE(J224,"_","-"),"|","-"))),IF(K224="","",CONCATENATE("_U2|",SUBSTITUTE(SUBSTITUTE(K224,"_","-"),"|","-"))),IF(L224="","",CONCATENATE("_U3|",SUBSTITUTE(SUBSTITUTE(L224,"_","-"),"|","-"))))</f>
        <v>#N/A</v>
      </c>
    </row>
    <row r="225" ht="15.75" customHeight="1">
      <c r="A225" s="20"/>
      <c r="B225" s="20"/>
      <c r="C225" s="13"/>
      <c r="D225" s="20"/>
      <c r="E225" s="20"/>
      <c r="F225" s="21"/>
      <c r="G225" s="20"/>
      <c r="H225" s="20"/>
      <c r="I225" s="20"/>
      <c r="J225" s="20"/>
      <c r="K225" s="20"/>
      <c r="L225" s="20"/>
      <c r="M225" s="20" t="str">
        <f>CONCATENATE("MK|",(VLOOKUP(B225,Dictionary!$A:$B,2,FALSE)),"_CN|",SUBSTITUTE(SUBSTITUTE(IF(C225="","NONE",C225),"_","-"),"|","-"),"_MN|",(VLOOKUP(D225,Dictionary!$D:$E,2,0)),"_YQ|",(VLOOKUP(E225,Dictionary!$AR:$AR,1,0)),"_CP|",SUBSTITUTE(SUBSTITUTE(IF(F225="","NONE",F225),"_","-"),"|","-"),"_SP|",(VLOOKUP(G225,Dictionary!$AY:$AZ,2,0)),"_AC|",(VLOOKUP(H225,Dictionary!$BA:$BB,2,0)),IF(I225="","",CONCATENATE("_OB|",(VLOOKUP(I225,Dictionary!$AS:$AT,2,0)))),IF(J225="","",CONCATENATE("_U1|",SUBSTITUTE(SUBSTITUTE(J225,"_","-"),"|","-"))),IF(K225="","",CONCATENATE("_U2|",SUBSTITUTE(SUBSTITUTE(K225,"_","-"),"|","-"))),IF(L225="","",CONCATENATE("_U3|",SUBSTITUTE(SUBSTITUTE(L225,"_","-"),"|","-"))))</f>
        <v>#N/A</v>
      </c>
    </row>
    <row r="226" ht="15.75" customHeight="1">
      <c r="A226" s="20"/>
      <c r="B226" s="20"/>
      <c r="C226" s="13"/>
      <c r="D226" s="20"/>
      <c r="E226" s="20"/>
      <c r="F226" s="21"/>
      <c r="G226" s="20"/>
      <c r="H226" s="20"/>
      <c r="I226" s="20"/>
      <c r="J226" s="20"/>
      <c r="K226" s="20"/>
      <c r="L226" s="20"/>
      <c r="M226" s="20" t="str">
        <f>CONCATENATE("MK|",(VLOOKUP(B226,Dictionary!$A:$B,2,FALSE)),"_CN|",SUBSTITUTE(SUBSTITUTE(IF(C226="","NONE",C226),"_","-"),"|","-"),"_MN|",(VLOOKUP(D226,Dictionary!$D:$E,2,0)),"_YQ|",(VLOOKUP(E226,Dictionary!$AR:$AR,1,0)),"_CP|",SUBSTITUTE(SUBSTITUTE(IF(F226="","NONE",F226),"_","-"),"|","-"),"_SP|",(VLOOKUP(G226,Dictionary!$AY:$AZ,2,0)),"_AC|",(VLOOKUP(H226,Dictionary!$BA:$BB,2,0)),IF(I226="","",CONCATENATE("_OB|",(VLOOKUP(I226,Dictionary!$AS:$AT,2,0)))),IF(J226="","",CONCATENATE("_U1|",SUBSTITUTE(SUBSTITUTE(J226,"_","-"),"|","-"))),IF(K226="","",CONCATENATE("_U2|",SUBSTITUTE(SUBSTITUTE(K226,"_","-"),"|","-"))),IF(L226="","",CONCATENATE("_U3|",SUBSTITUTE(SUBSTITUTE(L226,"_","-"),"|","-"))))</f>
        <v>#N/A</v>
      </c>
    </row>
    <row r="227" ht="15.75" customHeight="1">
      <c r="A227" s="20"/>
      <c r="B227" s="20"/>
      <c r="C227" s="13"/>
      <c r="D227" s="20"/>
      <c r="E227" s="20"/>
      <c r="F227" s="21"/>
      <c r="G227" s="20"/>
      <c r="H227" s="20"/>
      <c r="I227" s="20"/>
      <c r="J227" s="20"/>
      <c r="K227" s="20"/>
      <c r="L227" s="20"/>
      <c r="M227" s="20" t="str">
        <f>CONCATENATE("MK|",(VLOOKUP(B227,Dictionary!$A:$B,2,FALSE)),"_CN|",SUBSTITUTE(SUBSTITUTE(IF(C227="","NONE",C227),"_","-"),"|","-"),"_MN|",(VLOOKUP(D227,Dictionary!$D:$E,2,0)),"_YQ|",(VLOOKUP(E227,Dictionary!$AR:$AR,1,0)),"_CP|",SUBSTITUTE(SUBSTITUTE(IF(F227="","NONE",F227),"_","-"),"|","-"),"_SP|",(VLOOKUP(G227,Dictionary!$AY:$AZ,2,0)),"_AC|",(VLOOKUP(H227,Dictionary!$BA:$BB,2,0)),IF(I227="","",CONCATENATE("_OB|",(VLOOKUP(I227,Dictionary!$AS:$AT,2,0)))),IF(J227="","",CONCATENATE("_U1|",SUBSTITUTE(SUBSTITUTE(J227,"_","-"),"|","-"))),IF(K227="","",CONCATENATE("_U2|",SUBSTITUTE(SUBSTITUTE(K227,"_","-"),"|","-"))),IF(L227="","",CONCATENATE("_U3|",SUBSTITUTE(SUBSTITUTE(L227,"_","-"),"|","-"))))</f>
        <v>#N/A</v>
      </c>
    </row>
    <row r="228" ht="15.75" customHeight="1">
      <c r="A228" s="20"/>
      <c r="B228" s="20"/>
      <c r="C228" s="13"/>
      <c r="D228" s="20"/>
      <c r="E228" s="20"/>
      <c r="F228" s="21"/>
      <c r="G228" s="20"/>
      <c r="H228" s="20"/>
      <c r="I228" s="20"/>
      <c r="J228" s="20"/>
      <c r="K228" s="20"/>
      <c r="L228" s="20"/>
      <c r="M228" s="20" t="str">
        <f>CONCATENATE("MK|",(VLOOKUP(B228,Dictionary!$A:$B,2,FALSE)),"_CN|",SUBSTITUTE(SUBSTITUTE(IF(C228="","NONE",C228),"_","-"),"|","-"),"_MN|",(VLOOKUP(D228,Dictionary!$D:$E,2,0)),"_YQ|",(VLOOKUP(E228,Dictionary!$AR:$AR,1,0)),"_CP|",SUBSTITUTE(SUBSTITUTE(IF(F228="","NONE",F228),"_","-"),"|","-"),"_SP|",(VLOOKUP(G228,Dictionary!$AY:$AZ,2,0)),"_AC|",(VLOOKUP(H228,Dictionary!$BA:$BB,2,0)),IF(I228="","",CONCATENATE("_OB|",(VLOOKUP(I228,Dictionary!$AS:$AT,2,0)))),IF(J228="","",CONCATENATE("_U1|",SUBSTITUTE(SUBSTITUTE(J228,"_","-"),"|","-"))),IF(K228="","",CONCATENATE("_U2|",SUBSTITUTE(SUBSTITUTE(K228,"_","-"),"|","-"))),IF(L228="","",CONCATENATE("_U3|",SUBSTITUTE(SUBSTITUTE(L228,"_","-"),"|","-"))))</f>
        <v>#N/A</v>
      </c>
    </row>
    <row r="229" ht="15.75" customHeight="1">
      <c r="A229" s="20"/>
      <c r="B229" s="20"/>
      <c r="C229" s="13"/>
      <c r="D229" s="20"/>
      <c r="E229" s="20"/>
      <c r="F229" s="21"/>
      <c r="G229" s="20"/>
      <c r="H229" s="20"/>
      <c r="I229" s="20"/>
      <c r="J229" s="20"/>
      <c r="K229" s="20"/>
      <c r="L229" s="20"/>
      <c r="M229" s="20" t="str">
        <f>CONCATENATE("MK|",(VLOOKUP(B229,Dictionary!$A:$B,2,FALSE)),"_CN|",SUBSTITUTE(SUBSTITUTE(IF(C229="","NONE",C229),"_","-"),"|","-"),"_MN|",(VLOOKUP(D229,Dictionary!$D:$E,2,0)),"_YQ|",(VLOOKUP(E229,Dictionary!$AR:$AR,1,0)),"_CP|",SUBSTITUTE(SUBSTITUTE(IF(F229="","NONE",F229),"_","-"),"|","-"),"_SP|",(VLOOKUP(G229,Dictionary!$AY:$AZ,2,0)),"_AC|",(VLOOKUP(H229,Dictionary!$BA:$BB,2,0)),IF(I229="","",CONCATENATE("_OB|",(VLOOKUP(I229,Dictionary!$AS:$AT,2,0)))),IF(J229="","",CONCATENATE("_U1|",SUBSTITUTE(SUBSTITUTE(J229,"_","-"),"|","-"))),IF(K229="","",CONCATENATE("_U2|",SUBSTITUTE(SUBSTITUTE(K229,"_","-"),"|","-"))),IF(L229="","",CONCATENATE("_U3|",SUBSTITUTE(SUBSTITUTE(L229,"_","-"),"|","-"))))</f>
        <v>#N/A</v>
      </c>
    </row>
    <row r="230" ht="15.75" customHeight="1">
      <c r="A230" s="20"/>
      <c r="B230" s="20"/>
      <c r="C230" s="13"/>
      <c r="D230" s="20"/>
      <c r="E230" s="20"/>
      <c r="F230" s="21"/>
      <c r="G230" s="20"/>
      <c r="H230" s="20"/>
      <c r="I230" s="20"/>
      <c r="J230" s="20"/>
      <c r="K230" s="20"/>
      <c r="L230" s="20"/>
      <c r="M230" s="20" t="str">
        <f>CONCATENATE("MK|",(VLOOKUP(B230,Dictionary!$A:$B,2,FALSE)),"_CN|",SUBSTITUTE(SUBSTITUTE(IF(C230="","NONE",C230),"_","-"),"|","-"),"_MN|",(VLOOKUP(D230,Dictionary!$D:$E,2,0)),"_YQ|",(VLOOKUP(E230,Dictionary!$AR:$AR,1,0)),"_CP|",SUBSTITUTE(SUBSTITUTE(IF(F230="","NONE",F230),"_","-"),"|","-"),"_SP|",(VLOOKUP(G230,Dictionary!$AY:$AZ,2,0)),"_AC|",(VLOOKUP(H230,Dictionary!$BA:$BB,2,0)),IF(I230="","",CONCATENATE("_OB|",(VLOOKUP(I230,Dictionary!$AS:$AT,2,0)))),IF(J230="","",CONCATENATE("_U1|",SUBSTITUTE(SUBSTITUTE(J230,"_","-"),"|","-"))),IF(K230="","",CONCATENATE("_U2|",SUBSTITUTE(SUBSTITUTE(K230,"_","-"),"|","-"))),IF(L230="","",CONCATENATE("_U3|",SUBSTITUTE(SUBSTITUTE(L230,"_","-"),"|","-"))))</f>
        <v>#N/A</v>
      </c>
    </row>
    <row r="231" ht="15.75" customHeight="1">
      <c r="A231" s="20"/>
      <c r="B231" s="20"/>
      <c r="C231" s="13"/>
      <c r="D231" s="20"/>
      <c r="E231" s="20"/>
      <c r="F231" s="21"/>
      <c r="G231" s="20"/>
      <c r="H231" s="20"/>
      <c r="I231" s="20"/>
      <c r="J231" s="20"/>
      <c r="K231" s="20"/>
      <c r="L231" s="20"/>
      <c r="M231" s="20" t="str">
        <f>CONCATENATE("MK|",(VLOOKUP(B231,Dictionary!$A:$B,2,FALSE)),"_CN|",SUBSTITUTE(SUBSTITUTE(IF(C231="","NONE",C231),"_","-"),"|","-"),"_MN|",(VLOOKUP(D231,Dictionary!$D:$E,2,0)),"_YQ|",(VLOOKUP(E231,Dictionary!$AR:$AR,1,0)),"_CP|",SUBSTITUTE(SUBSTITUTE(IF(F231="","NONE",F231),"_","-"),"|","-"),"_SP|",(VLOOKUP(G231,Dictionary!$AY:$AZ,2,0)),"_AC|",(VLOOKUP(H231,Dictionary!$BA:$BB,2,0)),IF(I231="","",CONCATENATE("_OB|",(VLOOKUP(I231,Dictionary!$AS:$AT,2,0)))),IF(J231="","",CONCATENATE("_U1|",SUBSTITUTE(SUBSTITUTE(J231,"_","-"),"|","-"))),IF(K231="","",CONCATENATE("_U2|",SUBSTITUTE(SUBSTITUTE(K231,"_","-"),"|","-"))),IF(L231="","",CONCATENATE("_U3|",SUBSTITUTE(SUBSTITUTE(L231,"_","-"),"|","-"))))</f>
        <v>#N/A</v>
      </c>
    </row>
    <row r="232" ht="15.75" customHeight="1">
      <c r="A232" s="20"/>
      <c r="B232" s="20"/>
      <c r="C232" s="13"/>
      <c r="D232" s="20"/>
      <c r="E232" s="20"/>
      <c r="F232" s="21"/>
      <c r="G232" s="20"/>
      <c r="H232" s="20"/>
      <c r="I232" s="20"/>
      <c r="J232" s="20"/>
      <c r="K232" s="20"/>
      <c r="L232" s="20"/>
      <c r="M232" s="20" t="str">
        <f>CONCATENATE("MK|",(VLOOKUP(B232,Dictionary!$A:$B,2,FALSE)),"_CN|",SUBSTITUTE(SUBSTITUTE(IF(C232="","NONE",C232),"_","-"),"|","-"),"_MN|",(VLOOKUP(D232,Dictionary!$D:$E,2,0)),"_YQ|",(VLOOKUP(E232,Dictionary!$AR:$AR,1,0)),"_CP|",SUBSTITUTE(SUBSTITUTE(IF(F232="","NONE",F232),"_","-"),"|","-"),"_SP|",(VLOOKUP(G232,Dictionary!$AY:$AZ,2,0)),"_AC|",(VLOOKUP(H232,Dictionary!$BA:$BB,2,0)),IF(I232="","",CONCATENATE("_OB|",(VLOOKUP(I232,Dictionary!$AS:$AT,2,0)))),IF(J232="","",CONCATENATE("_U1|",SUBSTITUTE(SUBSTITUTE(J232,"_","-"),"|","-"))),IF(K232="","",CONCATENATE("_U2|",SUBSTITUTE(SUBSTITUTE(K232,"_","-"),"|","-"))),IF(L232="","",CONCATENATE("_U3|",SUBSTITUTE(SUBSTITUTE(L232,"_","-"),"|","-"))))</f>
        <v>#N/A</v>
      </c>
    </row>
    <row r="233" ht="15.75" customHeight="1">
      <c r="A233" s="20"/>
      <c r="B233" s="20"/>
      <c r="C233" s="13"/>
      <c r="D233" s="20"/>
      <c r="E233" s="20"/>
      <c r="F233" s="21"/>
      <c r="G233" s="20"/>
      <c r="H233" s="20"/>
      <c r="I233" s="20"/>
      <c r="J233" s="20"/>
      <c r="K233" s="20"/>
      <c r="L233" s="20"/>
      <c r="M233" s="20" t="str">
        <f>CONCATENATE("MK|",(VLOOKUP(B233,Dictionary!$A:$B,2,FALSE)),"_CN|",SUBSTITUTE(SUBSTITUTE(IF(C233="","NONE",C233),"_","-"),"|","-"),"_MN|",(VLOOKUP(D233,Dictionary!$D:$E,2,0)),"_YQ|",(VLOOKUP(E233,Dictionary!$AR:$AR,1,0)),"_CP|",SUBSTITUTE(SUBSTITUTE(IF(F233="","NONE",F233),"_","-"),"|","-"),"_SP|",(VLOOKUP(G233,Dictionary!$AY:$AZ,2,0)),"_AC|",(VLOOKUP(H233,Dictionary!$BA:$BB,2,0)),IF(I233="","",CONCATENATE("_OB|",(VLOOKUP(I233,Dictionary!$AS:$AT,2,0)))),IF(J233="","",CONCATENATE("_U1|",SUBSTITUTE(SUBSTITUTE(J233,"_","-"),"|","-"))),IF(K233="","",CONCATENATE("_U2|",SUBSTITUTE(SUBSTITUTE(K233,"_","-"),"|","-"))),IF(L233="","",CONCATENATE("_U3|",SUBSTITUTE(SUBSTITUTE(L233,"_","-"),"|","-"))))</f>
        <v>#N/A</v>
      </c>
    </row>
    <row r="234" ht="15.75" customHeight="1">
      <c r="A234" s="20"/>
      <c r="B234" s="20"/>
      <c r="C234" s="13"/>
      <c r="D234" s="20"/>
      <c r="E234" s="20"/>
      <c r="F234" s="21"/>
      <c r="G234" s="20"/>
      <c r="H234" s="20"/>
      <c r="I234" s="20"/>
      <c r="J234" s="20"/>
      <c r="K234" s="20"/>
      <c r="L234" s="20"/>
      <c r="M234" s="20" t="str">
        <f>CONCATENATE("MK|",(VLOOKUP(B234,Dictionary!$A:$B,2,FALSE)),"_CN|",SUBSTITUTE(SUBSTITUTE(IF(C234="","NONE",C234),"_","-"),"|","-"),"_MN|",(VLOOKUP(D234,Dictionary!$D:$E,2,0)),"_YQ|",(VLOOKUP(E234,Dictionary!$AR:$AR,1,0)),"_CP|",SUBSTITUTE(SUBSTITUTE(IF(F234="","NONE",F234),"_","-"),"|","-"),"_SP|",(VLOOKUP(G234,Dictionary!$AY:$AZ,2,0)),"_AC|",(VLOOKUP(H234,Dictionary!$BA:$BB,2,0)),IF(I234="","",CONCATENATE("_OB|",(VLOOKUP(I234,Dictionary!$AS:$AT,2,0)))),IF(J234="","",CONCATENATE("_U1|",SUBSTITUTE(SUBSTITUTE(J234,"_","-"),"|","-"))),IF(K234="","",CONCATENATE("_U2|",SUBSTITUTE(SUBSTITUTE(K234,"_","-"),"|","-"))),IF(L234="","",CONCATENATE("_U3|",SUBSTITUTE(SUBSTITUTE(L234,"_","-"),"|","-"))))</f>
        <v>#N/A</v>
      </c>
    </row>
    <row r="235" ht="15.75" customHeight="1">
      <c r="A235" s="20"/>
      <c r="B235" s="20"/>
      <c r="C235" s="13"/>
      <c r="D235" s="20"/>
      <c r="E235" s="20"/>
      <c r="F235" s="21"/>
      <c r="G235" s="20"/>
      <c r="H235" s="20"/>
      <c r="I235" s="20"/>
      <c r="J235" s="20"/>
      <c r="K235" s="20"/>
      <c r="L235" s="20"/>
      <c r="M235" s="20" t="str">
        <f>CONCATENATE("MK|",(VLOOKUP(B235,Dictionary!$A:$B,2,FALSE)),"_CN|",SUBSTITUTE(SUBSTITUTE(IF(C235="","NONE",C235),"_","-"),"|","-"),"_MN|",(VLOOKUP(D235,Dictionary!$D:$E,2,0)),"_YQ|",(VLOOKUP(E235,Dictionary!$AR:$AR,1,0)),"_CP|",SUBSTITUTE(SUBSTITUTE(IF(F235="","NONE",F235),"_","-"),"|","-"),"_SP|",(VLOOKUP(G235,Dictionary!$AY:$AZ,2,0)),"_AC|",(VLOOKUP(H235,Dictionary!$BA:$BB,2,0)),IF(I235="","",CONCATENATE("_OB|",(VLOOKUP(I235,Dictionary!$AS:$AT,2,0)))),IF(J235="","",CONCATENATE("_U1|",SUBSTITUTE(SUBSTITUTE(J235,"_","-"),"|","-"))),IF(K235="","",CONCATENATE("_U2|",SUBSTITUTE(SUBSTITUTE(K235,"_","-"),"|","-"))),IF(L235="","",CONCATENATE("_U3|",SUBSTITUTE(SUBSTITUTE(L235,"_","-"),"|","-"))))</f>
        <v>#N/A</v>
      </c>
    </row>
    <row r="236" ht="15.75" customHeight="1">
      <c r="A236" s="20"/>
      <c r="B236" s="20"/>
      <c r="C236" s="13"/>
      <c r="D236" s="20"/>
      <c r="E236" s="20"/>
      <c r="F236" s="21"/>
      <c r="G236" s="20"/>
      <c r="H236" s="20"/>
      <c r="I236" s="20"/>
      <c r="J236" s="20"/>
      <c r="K236" s="20"/>
      <c r="L236" s="20"/>
      <c r="M236" s="20" t="str">
        <f>CONCATENATE("MK|",(VLOOKUP(B236,Dictionary!$A:$B,2,FALSE)),"_CN|",SUBSTITUTE(SUBSTITUTE(IF(C236="","NONE",C236),"_","-"),"|","-"),"_MN|",(VLOOKUP(D236,Dictionary!$D:$E,2,0)),"_YQ|",(VLOOKUP(E236,Dictionary!$AR:$AR,1,0)),"_CP|",SUBSTITUTE(SUBSTITUTE(IF(F236="","NONE",F236),"_","-"),"|","-"),"_SP|",(VLOOKUP(G236,Dictionary!$AY:$AZ,2,0)),"_AC|",(VLOOKUP(H236,Dictionary!$BA:$BB,2,0)),IF(I236="","",CONCATENATE("_OB|",(VLOOKUP(I236,Dictionary!$AS:$AT,2,0)))),IF(J236="","",CONCATENATE("_U1|",SUBSTITUTE(SUBSTITUTE(J236,"_","-"),"|","-"))),IF(K236="","",CONCATENATE("_U2|",SUBSTITUTE(SUBSTITUTE(K236,"_","-"),"|","-"))),IF(L236="","",CONCATENATE("_U3|",SUBSTITUTE(SUBSTITUTE(L236,"_","-"),"|","-"))))</f>
        <v>#N/A</v>
      </c>
    </row>
    <row r="237" ht="15.75" customHeight="1">
      <c r="A237" s="20"/>
      <c r="B237" s="20"/>
      <c r="C237" s="13"/>
      <c r="D237" s="20"/>
      <c r="E237" s="20"/>
      <c r="F237" s="21"/>
      <c r="G237" s="20"/>
      <c r="H237" s="20"/>
      <c r="I237" s="20"/>
      <c r="J237" s="20"/>
      <c r="K237" s="20"/>
      <c r="L237" s="20"/>
      <c r="M237" s="20" t="str">
        <f>CONCATENATE("MK|",(VLOOKUP(B237,Dictionary!$A:$B,2,FALSE)),"_CN|",SUBSTITUTE(SUBSTITUTE(IF(C237="","NONE",C237),"_","-"),"|","-"),"_MN|",(VLOOKUP(D237,Dictionary!$D:$E,2,0)),"_YQ|",(VLOOKUP(E237,Dictionary!$AR:$AR,1,0)),"_CP|",SUBSTITUTE(SUBSTITUTE(IF(F237="","NONE",F237),"_","-"),"|","-"),"_SP|",(VLOOKUP(G237,Dictionary!$AY:$AZ,2,0)),"_AC|",(VLOOKUP(H237,Dictionary!$BA:$BB,2,0)),IF(I237="","",CONCATENATE("_OB|",(VLOOKUP(I237,Dictionary!$AS:$AT,2,0)))),IF(J237="","",CONCATENATE("_U1|",SUBSTITUTE(SUBSTITUTE(J237,"_","-"),"|","-"))),IF(K237="","",CONCATENATE("_U2|",SUBSTITUTE(SUBSTITUTE(K237,"_","-"),"|","-"))),IF(L237="","",CONCATENATE("_U3|",SUBSTITUTE(SUBSTITUTE(L237,"_","-"),"|","-"))))</f>
        <v>#N/A</v>
      </c>
    </row>
    <row r="238" ht="15.75" customHeight="1">
      <c r="A238" s="20"/>
      <c r="B238" s="20"/>
      <c r="C238" s="13"/>
      <c r="D238" s="20"/>
      <c r="E238" s="20"/>
      <c r="F238" s="21"/>
      <c r="G238" s="20"/>
      <c r="H238" s="20"/>
      <c r="I238" s="20"/>
      <c r="J238" s="20"/>
      <c r="K238" s="20"/>
      <c r="L238" s="20"/>
      <c r="M238" s="20" t="str">
        <f>CONCATENATE("MK|",(VLOOKUP(B238,Dictionary!$A:$B,2,FALSE)),"_CN|",SUBSTITUTE(SUBSTITUTE(IF(C238="","NONE",C238),"_","-"),"|","-"),"_MN|",(VLOOKUP(D238,Dictionary!$D:$E,2,0)),"_YQ|",(VLOOKUP(E238,Dictionary!$AR:$AR,1,0)),"_CP|",SUBSTITUTE(SUBSTITUTE(IF(F238="","NONE",F238),"_","-"),"|","-"),"_SP|",(VLOOKUP(G238,Dictionary!$AY:$AZ,2,0)),"_AC|",(VLOOKUP(H238,Dictionary!$BA:$BB,2,0)),IF(I238="","",CONCATENATE("_OB|",(VLOOKUP(I238,Dictionary!$AS:$AT,2,0)))),IF(J238="","",CONCATENATE("_U1|",SUBSTITUTE(SUBSTITUTE(J238,"_","-"),"|","-"))),IF(K238="","",CONCATENATE("_U2|",SUBSTITUTE(SUBSTITUTE(K238,"_","-"),"|","-"))),IF(L238="","",CONCATENATE("_U3|",SUBSTITUTE(SUBSTITUTE(L238,"_","-"),"|","-"))))</f>
        <v>#N/A</v>
      </c>
    </row>
    <row r="239" ht="15.75" customHeight="1">
      <c r="A239" s="20"/>
      <c r="B239" s="20"/>
      <c r="C239" s="13"/>
      <c r="D239" s="20"/>
      <c r="E239" s="20"/>
      <c r="F239" s="21"/>
      <c r="G239" s="20"/>
      <c r="H239" s="20"/>
      <c r="I239" s="20"/>
      <c r="J239" s="20"/>
      <c r="K239" s="20"/>
      <c r="L239" s="20"/>
      <c r="M239" s="20" t="str">
        <f>CONCATENATE("MK|",(VLOOKUP(B239,Dictionary!$A:$B,2,FALSE)),"_CN|",SUBSTITUTE(SUBSTITUTE(IF(C239="","NONE",C239),"_","-"),"|","-"),"_MN|",(VLOOKUP(D239,Dictionary!$D:$E,2,0)),"_YQ|",(VLOOKUP(E239,Dictionary!$AR:$AR,1,0)),"_CP|",SUBSTITUTE(SUBSTITUTE(IF(F239="","NONE",F239),"_","-"),"|","-"),"_SP|",(VLOOKUP(G239,Dictionary!$AY:$AZ,2,0)),"_AC|",(VLOOKUP(H239,Dictionary!$BA:$BB,2,0)),IF(I239="","",CONCATENATE("_OB|",(VLOOKUP(I239,Dictionary!$AS:$AT,2,0)))),IF(J239="","",CONCATENATE("_U1|",SUBSTITUTE(SUBSTITUTE(J239,"_","-"),"|","-"))),IF(K239="","",CONCATENATE("_U2|",SUBSTITUTE(SUBSTITUTE(K239,"_","-"),"|","-"))),IF(L239="","",CONCATENATE("_U3|",SUBSTITUTE(SUBSTITUTE(L239,"_","-"),"|","-"))))</f>
        <v>#N/A</v>
      </c>
    </row>
    <row r="240" ht="15.75" customHeight="1">
      <c r="A240" s="20"/>
      <c r="B240" s="20"/>
      <c r="C240" s="13"/>
      <c r="D240" s="20"/>
      <c r="E240" s="20"/>
      <c r="F240" s="21"/>
      <c r="G240" s="20"/>
      <c r="H240" s="20"/>
      <c r="I240" s="20"/>
      <c r="J240" s="20"/>
      <c r="K240" s="20"/>
      <c r="L240" s="20"/>
      <c r="M240" s="20" t="str">
        <f>CONCATENATE("MK|",(VLOOKUP(B240,Dictionary!$A:$B,2,FALSE)),"_CN|",SUBSTITUTE(SUBSTITUTE(IF(C240="","NONE",C240),"_","-"),"|","-"),"_MN|",(VLOOKUP(D240,Dictionary!$D:$E,2,0)),"_YQ|",(VLOOKUP(E240,Dictionary!$AR:$AR,1,0)),"_CP|",SUBSTITUTE(SUBSTITUTE(IF(F240="","NONE",F240),"_","-"),"|","-"),"_SP|",(VLOOKUP(G240,Dictionary!$AY:$AZ,2,0)),"_AC|",(VLOOKUP(H240,Dictionary!$BA:$BB,2,0)),IF(I240="","",CONCATENATE("_OB|",(VLOOKUP(I240,Dictionary!$AS:$AT,2,0)))),IF(J240="","",CONCATENATE("_U1|",SUBSTITUTE(SUBSTITUTE(J240,"_","-"),"|","-"))),IF(K240="","",CONCATENATE("_U2|",SUBSTITUTE(SUBSTITUTE(K240,"_","-"),"|","-"))),IF(L240="","",CONCATENATE("_U3|",SUBSTITUTE(SUBSTITUTE(L240,"_","-"),"|","-"))))</f>
        <v>#N/A</v>
      </c>
    </row>
    <row r="241" ht="15.75" customHeight="1">
      <c r="A241" s="20"/>
      <c r="B241" s="20"/>
      <c r="C241" s="13"/>
      <c r="D241" s="20"/>
      <c r="E241" s="20"/>
      <c r="F241" s="21"/>
      <c r="G241" s="20"/>
      <c r="H241" s="20"/>
      <c r="I241" s="20"/>
      <c r="J241" s="20"/>
      <c r="K241" s="20"/>
      <c r="L241" s="20"/>
      <c r="M241" s="20" t="str">
        <f>CONCATENATE("MK|",(VLOOKUP(B241,Dictionary!$A:$B,2,FALSE)),"_CN|",SUBSTITUTE(SUBSTITUTE(IF(C241="","NONE",C241),"_","-"),"|","-"),"_MN|",(VLOOKUP(D241,Dictionary!$D:$E,2,0)),"_YQ|",(VLOOKUP(E241,Dictionary!$AR:$AR,1,0)),"_CP|",SUBSTITUTE(SUBSTITUTE(IF(F241="","NONE",F241),"_","-"),"|","-"),"_SP|",(VLOOKUP(G241,Dictionary!$AY:$AZ,2,0)),"_AC|",(VLOOKUP(H241,Dictionary!$BA:$BB,2,0)),IF(I241="","",CONCATENATE("_OB|",(VLOOKUP(I241,Dictionary!$AS:$AT,2,0)))),IF(J241="","",CONCATENATE("_U1|",SUBSTITUTE(SUBSTITUTE(J241,"_","-"),"|","-"))),IF(K241="","",CONCATENATE("_U2|",SUBSTITUTE(SUBSTITUTE(K241,"_","-"),"|","-"))),IF(L241="","",CONCATENATE("_U3|",SUBSTITUTE(SUBSTITUTE(L241,"_","-"),"|","-"))))</f>
        <v>#N/A</v>
      </c>
    </row>
    <row r="242" ht="15.75" customHeight="1">
      <c r="A242" s="20"/>
      <c r="B242" s="20"/>
      <c r="C242" s="13"/>
      <c r="D242" s="20"/>
      <c r="E242" s="20"/>
      <c r="F242" s="21"/>
      <c r="G242" s="20"/>
      <c r="H242" s="20"/>
      <c r="I242" s="20"/>
      <c r="J242" s="20"/>
      <c r="K242" s="20"/>
      <c r="L242" s="20"/>
      <c r="M242" s="20" t="str">
        <f>CONCATENATE("MK|",(VLOOKUP(B242,Dictionary!$A:$B,2,FALSE)),"_CN|",SUBSTITUTE(SUBSTITUTE(IF(C242="","NONE",C242),"_","-"),"|","-"),"_MN|",(VLOOKUP(D242,Dictionary!$D:$E,2,0)),"_YQ|",(VLOOKUP(E242,Dictionary!$AR:$AR,1,0)),"_CP|",SUBSTITUTE(SUBSTITUTE(IF(F242="","NONE",F242),"_","-"),"|","-"),"_SP|",(VLOOKUP(G242,Dictionary!$AY:$AZ,2,0)),"_AC|",(VLOOKUP(H242,Dictionary!$BA:$BB,2,0)),IF(I242="","",CONCATENATE("_OB|",(VLOOKUP(I242,Dictionary!$AS:$AT,2,0)))),IF(J242="","",CONCATENATE("_U1|",SUBSTITUTE(SUBSTITUTE(J242,"_","-"),"|","-"))),IF(K242="","",CONCATENATE("_U2|",SUBSTITUTE(SUBSTITUTE(K242,"_","-"),"|","-"))),IF(L242="","",CONCATENATE("_U3|",SUBSTITUTE(SUBSTITUTE(L242,"_","-"),"|","-"))))</f>
        <v>#N/A</v>
      </c>
    </row>
    <row r="243" ht="15.75" customHeight="1">
      <c r="A243" s="20"/>
      <c r="B243" s="20"/>
      <c r="C243" s="13"/>
      <c r="D243" s="20"/>
      <c r="E243" s="20"/>
      <c r="F243" s="21"/>
      <c r="G243" s="20"/>
      <c r="H243" s="20"/>
      <c r="I243" s="20"/>
      <c r="J243" s="20"/>
      <c r="K243" s="20"/>
      <c r="L243" s="20"/>
      <c r="M243" s="20" t="str">
        <f>CONCATENATE("MK|",(VLOOKUP(B243,Dictionary!$A:$B,2,FALSE)),"_CN|",SUBSTITUTE(SUBSTITUTE(IF(C243="","NONE",C243),"_","-"),"|","-"),"_MN|",(VLOOKUP(D243,Dictionary!$D:$E,2,0)),"_YQ|",(VLOOKUP(E243,Dictionary!$AR:$AR,1,0)),"_CP|",SUBSTITUTE(SUBSTITUTE(IF(F243="","NONE",F243),"_","-"),"|","-"),"_SP|",(VLOOKUP(G243,Dictionary!$AY:$AZ,2,0)),"_AC|",(VLOOKUP(H243,Dictionary!$BA:$BB,2,0)),IF(I243="","",CONCATENATE("_OB|",(VLOOKUP(I243,Dictionary!$AS:$AT,2,0)))),IF(J243="","",CONCATENATE("_U1|",SUBSTITUTE(SUBSTITUTE(J243,"_","-"),"|","-"))),IF(K243="","",CONCATENATE("_U2|",SUBSTITUTE(SUBSTITUTE(K243,"_","-"),"|","-"))),IF(L243="","",CONCATENATE("_U3|",SUBSTITUTE(SUBSTITUTE(L243,"_","-"),"|","-"))))</f>
        <v>#N/A</v>
      </c>
    </row>
    <row r="244" ht="15.75" customHeight="1">
      <c r="A244" s="20"/>
      <c r="B244" s="20"/>
      <c r="C244" s="13"/>
      <c r="D244" s="20"/>
      <c r="E244" s="20"/>
      <c r="F244" s="21"/>
      <c r="G244" s="20"/>
      <c r="H244" s="20"/>
      <c r="I244" s="20"/>
      <c r="J244" s="20"/>
      <c r="K244" s="20"/>
      <c r="L244" s="20"/>
      <c r="M244" s="20" t="str">
        <f>CONCATENATE("MK|",(VLOOKUP(B244,Dictionary!$A:$B,2,FALSE)),"_CN|",SUBSTITUTE(SUBSTITUTE(IF(C244="","NONE",C244),"_","-"),"|","-"),"_MN|",(VLOOKUP(D244,Dictionary!$D:$E,2,0)),"_YQ|",(VLOOKUP(E244,Dictionary!$AR:$AR,1,0)),"_CP|",SUBSTITUTE(SUBSTITUTE(IF(F244="","NONE",F244),"_","-"),"|","-"),"_SP|",(VLOOKUP(G244,Dictionary!$AY:$AZ,2,0)),"_AC|",(VLOOKUP(H244,Dictionary!$BA:$BB,2,0)),IF(I244="","",CONCATENATE("_OB|",(VLOOKUP(I244,Dictionary!$AS:$AT,2,0)))),IF(J244="","",CONCATENATE("_U1|",SUBSTITUTE(SUBSTITUTE(J244,"_","-"),"|","-"))),IF(K244="","",CONCATENATE("_U2|",SUBSTITUTE(SUBSTITUTE(K244,"_","-"),"|","-"))),IF(L244="","",CONCATENATE("_U3|",SUBSTITUTE(SUBSTITUTE(L244,"_","-"),"|","-"))))</f>
        <v>#N/A</v>
      </c>
    </row>
    <row r="245" ht="15.75" customHeight="1">
      <c r="A245" s="20"/>
      <c r="B245" s="20"/>
      <c r="C245" s="13"/>
      <c r="D245" s="20"/>
      <c r="E245" s="20"/>
      <c r="F245" s="21"/>
      <c r="G245" s="20"/>
      <c r="H245" s="20"/>
      <c r="I245" s="20"/>
      <c r="J245" s="20"/>
      <c r="K245" s="20"/>
      <c r="L245" s="20"/>
      <c r="M245" s="20" t="str">
        <f>CONCATENATE("MK|",(VLOOKUP(B245,Dictionary!$A:$B,2,FALSE)),"_CN|",SUBSTITUTE(SUBSTITUTE(IF(C245="","NONE",C245),"_","-"),"|","-"),"_MN|",(VLOOKUP(D245,Dictionary!$D:$E,2,0)),"_YQ|",(VLOOKUP(E245,Dictionary!$AR:$AR,1,0)),"_CP|",SUBSTITUTE(SUBSTITUTE(IF(F245="","NONE",F245),"_","-"),"|","-"),"_SP|",(VLOOKUP(G245,Dictionary!$AY:$AZ,2,0)),"_AC|",(VLOOKUP(H245,Dictionary!$BA:$BB,2,0)),IF(I245="","",CONCATENATE("_OB|",(VLOOKUP(I245,Dictionary!$AS:$AT,2,0)))),IF(J245="","",CONCATENATE("_U1|",SUBSTITUTE(SUBSTITUTE(J245,"_","-"),"|","-"))),IF(K245="","",CONCATENATE("_U2|",SUBSTITUTE(SUBSTITUTE(K245,"_","-"),"|","-"))),IF(L245="","",CONCATENATE("_U3|",SUBSTITUTE(SUBSTITUTE(L245,"_","-"),"|","-"))))</f>
        <v>#N/A</v>
      </c>
    </row>
    <row r="246" ht="15.75" customHeight="1">
      <c r="A246" s="20"/>
      <c r="B246" s="20"/>
      <c r="C246" s="13"/>
      <c r="D246" s="20"/>
      <c r="E246" s="20"/>
      <c r="F246" s="21"/>
      <c r="G246" s="20"/>
      <c r="H246" s="20"/>
      <c r="I246" s="20"/>
      <c r="J246" s="20"/>
      <c r="K246" s="20"/>
      <c r="L246" s="20"/>
      <c r="M246" s="20" t="str">
        <f>CONCATENATE("MK|",(VLOOKUP(B246,Dictionary!$A:$B,2,FALSE)),"_CN|",SUBSTITUTE(SUBSTITUTE(IF(C246="","NONE",C246),"_","-"),"|","-"),"_MN|",(VLOOKUP(D246,Dictionary!$D:$E,2,0)),"_YQ|",(VLOOKUP(E246,Dictionary!$AR:$AR,1,0)),"_CP|",SUBSTITUTE(SUBSTITUTE(IF(F246="","NONE",F246),"_","-"),"|","-"),"_SP|",(VLOOKUP(G246,Dictionary!$AY:$AZ,2,0)),"_AC|",(VLOOKUP(H246,Dictionary!$BA:$BB,2,0)),IF(I246="","",CONCATENATE("_OB|",(VLOOKUP(I246,Dictionary!$AS:$AT,2,0)))),IF(J246="","",CONCATENATE("_U1|",SUBSTITUTE(SUBSTITUTE(J246,"_","-"),"|","-"))),IF(K246="","",CONCATENATE("_U2|",SUBSTITUTE(SUBSTITUTE(K246,"_","-"),"|","-"))),IF(L246="","",CONCATENATE("_U3|",SUBSTITUTE(SUBSTITUTE(L246,"_","-"),"|","-"))))</f>
        <v>#N/A</v>
      </c>
    </row>
    <row r="247" ht="15.75" customHeight="1">
      <c r="A247" s="20"/>
      <c r="B247" s="20"/>
      <c r="C247" s="13"/>
      <c r="D247" s="20"/>
      <c r="E247" s="20"/>
      <c r="F247" s="21"/>
      <c r="G247" s="20"/>
      <c r="H247" s="20"/>
      <c r="I247" s="20"/>
      <c r="J247" s="20"/>
      <c r="K247" s="20"/>
      <c r="L247" s="20"/>
      <c r="M247" s="20" t="str">
        <f>CONCATENATE("MK|",(VLOOKUP(B247,Dictionary!$A:$B,2,FALSE)),"_CN|",SUBSTITUTE(SUBSTITUTE(IF(C247="","NONE",C247),"_","-"),"|","-"),"_MN|",(VLOOKUP(D247,Dictionary!$D:$E,2,0)),"_YQ|",(VLOOKUP(E247,Dictionary!$AR:$AR,1,0)),"_CP|",SUBSTITUTE(SUBSTITUTE(IF(F247="","NONE",F247),"_","-"),"|","-"),"_SP|",(VLOOKUP(G247,Dictionary!$AY:$AZ,2,0)),"_AC|",(VLOOKUP(H247,Dictionary!$BA:$BB,2,0)),IF(I247="","",CONCATENATE("_OB|",(VLOOKUP(I247,Dictionary!$AS:$AT,2,0)))),IF(J247="","",CONCATENATE("_U1|",SUBSTITUTE(SUBSTITUTE(J247,"_","-"),"|","-"))),IF(K247="","",CONCATENATE("_U2|",SUBSTITUTE(SUBSTITUTE(K247,"_","-"),"|","-"))),IF(L247="","",CONCATENATE("_U3|",SUBSTITUTE(SUBSTITUTE(L247,"_","-"),"|","-"))))</f>
        <v>#N/A</v>
      </c>
    </row>
    <row r="248" ht="15.75" customHeight="1">
      <c r="A248" s="20"/>
      <c r="B248" s="20"/>
      <c r="C248" s="13"/>
      <c r="D248" s="20"/>
      <c r="E248" s="20"/>
      <c r="F248" s="21"/>
      <c r="G248" s="20"/>
      <c r="H248" s="20"/>
      <c r="I248" s="20"/>
      <c r="J248" s="20"/>
      <c r="K248" s="20"/>
      <c r="L248" s="20"/>
      <c r="M248" s="20" t="str">
        <f>CONCATENATE("MK|",(VLOOKUP(B248,Dictionary!$A:$B,2,FALSE)),"_CN|",SUBSTITUTE(SUBSTITUTE(IF(C248="","NONE",C248),"_","-"),"|","-"),"_MN|",(VLOOKUP(D248,Dictionary!$D:$E,2,0)),"_YQ|",(VLOOKUP(E248,Dictionary!$AR:$AR,1,0)),"_CP|",SUBSTITUTE(SUBSTITUTE(IF(F248="","NONE",F248),"_","-"),"|","-"),"_SP|",(VLOOKUP(G248,Dictionary!$AY:$AZ,2,0)),"_AC|",(VLOOKUP(H248,Dictionary!$BA:$BB,2,0)),IF(I248="","",CONCATENATE("_OB|",(VLOOKUP(I248,Dictionary!$AS:$AT,2,0)))),IF(J248="","",CONCATENATE("_U1|",SUBSTITUTE(SUBSTITUTE(J248,"_","-"),"|","-"))),IF(K248="","",CONCATENATE("_U2|",SUBSTITUTE(SUBSTITUTE(K248,"_","-"),"|","-"))),IF(L248="","",CONCATENATE("_U3|",SUBSTITUTE(SUBSTITUTE(L248,"_","-"),"|","-"))))</f>
        <v>#N/A</v>
      </c>
    </row>
    <row r="249" ht="15.75" customHeight="1">
      <c r="A249" s="20"/>
      <c r="B249" s="20"/>
      <c r="C249" s="13"/>
      <c r="D249" s="20"/>
      <c r="E249" s="20"/>
      <c r="F249" s="21"/>
      <c r="G249" s="20"/>
      <c r="H249" s="20"/>
      <c r="I249" s="20"/>
      <c r="J249" s="20"/>
      <c r="K249" s="20"/>
      <c r="L249" s="20"/>
      <c r="M249" s="20" t="str">
        <f>CONCATENATE("MK|",(VLOOKUP(B249,Dictionary!$A:$B,2,FALSE)),"_CN|",SUBSTITUTE(SUBSTITUTE(IF(C249="","NONE",C249),"_","-"),"|","-"),"_MN|",(VLOOKUP(D249,Dictionary!$D:$E,2,0)),"_YQ|",(VLOOKUP(E249,Dictionary!$AR:$AR,1,0)),"_CP|",SUBSTITUTE(SUBSTITUTE(IF(F249="","NONE",F249),"_","-"),"|","-"),"_SP|",(VLOOKUP(G249,Dictionary!$AY:$AZ,2,0)),"_AC|",(VLOOKUP(H249,Dictionary!$BA:$BB,2,0)),IF(I249="","",CONCATENATE("_OB|",(VLOOKUP(I249,Dictionary!$AS:$AT,2,0)))),IF(J249="","",CONCATENATE("_U1|",SUBSTITUTE(SUBSTITUTE(J249,"_","-"),"|","-"))),IF(K249="","",CONCATENATE("_U2|",SUBSTITUTE(SUBSTITUTE(K249,"_","-"),"|","-"))),IF(L249="","",CONCATENATE("_U3|",SUBSTITUTE(SUBSTITUTE(L249,"_","-"),"|","-"))))</f>
        <v>#N/A</v>
      </c>
    </row>
    <row r="250" ht="15.75" customHeight="1">
      <c r="A250" s="20"/>
      <c r="B250" s="20"/>
      <c r="C250" s="13"/>
      <c r="D250" s="20"/>
      <c r="E250" s="20"/>
      <c r="F250" s="21"/>
      <c r="G250" s="20"/>
      <c r="H250" s="20"/>
      <c r="I250" s="20"/>
      <c r="J250" s="20"/>
      <c r="K250" s="20"/>
      <c r="L250" s="20"/>
      <c r="M250" s="20" t="str">
        <f>CONCATENATE("MK|",(VLOOKUP(B250,Dictionary!$A:$B,2,FALSE)),"_CN|",SUBSTITUTE(SUBSTITUTE(IF(C250="","NONE",C250),"_","-"),"|","-"),"_MN|",(VLOOKUP(D250,Dictionary!$D:$E,2,0)),"_YQ|",(VLOOKUP(E250,Dictionary!$AR:$AR,1,0)),"_CP|",SUBSTITUTE(SUBSTITUTE(IF(F250="","NONE",F250),"_","-"),"|","-"),"_SP|",(VLOOKUP(G250,Dictionary!$AY:$AZ,2,0)),"_AC|",(VLOOKUP(H250,Dictionary!$BA:$BB,2,0)),IF(I250="","",CONCATENATE("_OB|",(VLOOKUP(I250,Dictionary!$AS:$AT,2,0)))),IF(J250="","",CONCATENATE("_U1|",SUBSTITUTE(SUBSTITUTE(J250,"_","-"),"|","-"))),IF(K250="","",CONCATENATE("_U2|",SUBSTITUTE(SUBSTITUTE(K250,"_","-"),"|","-"))),IF(L250="","",CONCATENATE("_U3|",SUBSTITUTE(SUBSTITUTE(L250,"_","-"),"|","-"))))</f>
        <v>#N/A</v>
      </c>
    </row>
    <row r="251" ht="15.75" customHeight="1">
      <c r="A251" s="20"/>
      <c r="B251" s="20"/>
      <c r="C251" s="13"/>
      <c r="D251" s="20"/>
      <c r="E251" s="20"/>
      <c r="F251" s="21"/>
      <c r="G251" s="20"/>
      <c r="H251" s="20"/>
      <c r="I251" s="20"/>
      <c r="J251" s="20"/>
      <c r="K251" s="20"/>
      <c r="L251" s="20"/>
      <c r="M251" s="20" t="str">
        <f>CONCATENATE("MK|",(VLOOKUP(B251,Dictionary!$A:$B,2,FALSE)),"_CN|",SUBSTITUTE(SUBSTITUTE(IF(C251="","NONE",C251),"_","-"),"|","-"),"_MN|",(VLOOKUP(D251,Dictionary!$D:$E,2,0)),"_YQ|",(VLOOKUP(E251,Dictionary!$AR:$AR,1,0)),"_CP|",SUBSTITUTE(SUBSTITUTE(IF(F251="","NONE",F251),"_","-"),"|","-"),"_SP|",(VLOOKUP(G251,Dictionary!$AY:$AZ,2,0)),"_AC|",(VLOOKUP(H251,Dictionary!$BA:$BB,2,0)),IF(I251="","",CONCATENATE("_OB|",(VLOOKUP(I251,Dictionary!$AS:$AT,2,0)))),IF(J251="","",CONCATENATE("_U1|",SUBSTITUTE(SUBSTITUTE(J251,"_","-"),"|","-"))),IF(K251="","",CONCATENATE("_U2|",SUBSTITUTE(SUBSTITUTE(K251,"_","-"),"|","-"))),IF(L251="","",CONCATENATE("_U3|",SUBSTITUTE(SUBSTITUTE(L251,"_","-"),"|","-"))))</f>
        <v>#N/A</v>
      </c>
    </row>
    <row r="252" ht="15.75" customHeight="1">
      <c r="A252" s="20"/>
      <c r="B252" s="20"/>
      <c r="C252" s="13"/>
      <c r="D252" s="20"/>
      <c r="E252" s="20"/>
      <c r="F252" s="21"/>
      <c r="G252" s="20"/>
      <c r="H252" s="20"/>
      <c r="I252" s="20"/>
      <c r="J252" s="20"/>
      <c r="K252" s="20"/>
      <c r="L252" s="20"/>
      <c r="M252" s="20" t="str">
        <f>CONCATENATE("MK|",(VLOOKUP(B252,Dictionary!$A:$B,2,FALSE)),"_CN|",SUBSTITUTE(SUBSTITUTE(IF(C252="","NONE",C252),"_","-"),"|","-"),"_MN|",(VLOOKUP(D252,Dictionary!$D:$E,2,0)),"_YQ|",(VLOOKUP(E252,Dictionary!$AR:$AR,1,0)),"_CP|",SUBSTITUTE(SUBSTITUTE(IF(F252="","NONE",F252),"_","-"),"|","-"),"_SP|",(VLOOKUP(G252,Dictionary!$AY:$AZ,2,0)),"_AC|",(VLOOKUP(H252,Dictionary!$BA:$BB,2,0)),IF(I252="","",CONCATENATE("_OB|",(VLOOKUP(I252,Dictionary!$AS:$AT,2,0)))),IF(J252="","",CONCATENATE("_U1|",SUBSTITUTE(SUBSTITUTE(J252,"_","-"),"|","-"))),IF(K252="","",CONCATENATE("_U2|",SUBSTITUTE(SUBSTITUTE(K252,"_","-"),"|","-"))),IF(L252="","",CONCATENATE("_U3|",SUBSTITUTE(SUBSTITUTE(L252,"_","-"),"|","-"))))</f>
        <v>#N/A</v>
      </c>
    </row>
    <row r="253" ht="15.75" customHeight="1">
      <c r="A253" s="20"/>
      <c r="B253" s="20"/>
      <c r="C253" s="13"/>
      <c r="D253" s="20"/>
      <c r="E253" s="20"/>
      <c r="F253" s="21"/>
      <c r="G253" s="20"/>
      <c r="H253" s="20"/>
      <c r="I253" s="20"/>
      <c r="J253" s="20"/>
      <c r="K253" s="20"/>
      <c r="L253" s="20"/>
      <c r="M253" s="20" t="str">
        <f>CONCATENATE("MK|",(VLOOKUP(B253,Dictionary!$A:$B,2,FALSE)),"_CN|",SUBSTITUTE(SUBSTITUTE(IF(C253="","NONE",C253),"_","-"),"|","-"),"_MN|",(VLOOKUP(D253,Dictionary!$D:$E,2,0)),"_YQ|",(VLOOKUP(E253,Dictionary!$AR:$AR,1,0)),"_CP|",SUBSTITUTE(SUBSTITUTE(IF(F253="","NONE",F253),"_","-"),"|","-"),"_SP|",(VLOOKUP(G253,Dictionary!$AY:$AZ,2,0)),"_AC|",(VLOOKUP(H253,Dictionary!$BA:$BB,2,0)),IF(I253="","",CONCATENATE("_OB|",(VLOOKUP(I253,Dictionary!$AS:$AT,2,0)))),IF(J253="","",CONCATENATE("_U1|",SUBSTITUTE(SUBSTITUTE(J253,"_","-"),"|","-"))),IF(K253="","",CONCATENATE("_U2|",SUBSTITUTE(SUBSTITUTE(K253,"_","-"),"|","-"))),IF(L253="","",CONCATENATE("_U3|",SUBSTITUTE(SUBSTITUTE(L253,"_","-"),"|","-"))))</f>
        <v>#N/A</v>
      </c>
    </row>
    <row r="254" ht="15.75" customHeight="1">
      <c r="A254" s="20"/>
      <c r="B254" s="20"/>
      <c r="C254" s="13"/>
      <c r="D254" s="20"/>
      <c r="E254" s="20"/>
      <c r="F254" s="21"/>
      <c r="G254" s="20"/>
      <c r="H254" s="20"/>
      <c r="I254" s="20"/>
      <c r="J254" s="20"/>
      <c r="K254" s="20"/>
      <c r="L254" s="20"/>
      <c r="M254" s="20" t="str">
        <f>CONCATENATE("MK|",(VLOOKUP(B254,Dictionary!$A:$B,2,FALSE)),"_CN|",SUBSTITUTE(SUBSTITUTE(IF(C254="","NONE",C254),"_","-"),"|","-"),"_MN|",(VLOOKUP(D254,Dictionary!$D:$E,2,0)),"_YQ|",(VLOOKUP(E254,Dictionary!$AR:$AR,1,0)),"_CP|",SUBSTITUTE(SUBSTITUTE(IF(F254="","NONE",F254),"_","-"),"|","-"),"_SP|",(VLOOKUP(G254,Dictionary!$AY:$AZ,2,0)),"_AC|",(VLOOKUP(H254,Dictionary!$BA:$BB,2,0)),IF(I254="","",CONCATENATE("_OB|",(VLOOKUP(I254,Dictionary!$AS:$AT,2,0)))),IF(J254="","",CONCATENATE("_U1|",SUBSTITUTE(SUBSTITUTE(J254,"_","-"),"|","-"))),IF(K254="","",CONCATENATE("_U2|",SUBSTITUTE(SUBSTITUTE(K254,"_","-"),"|","-"))),IF(L254="","",CONCATENATE("_U3|",SUBSTITUTE(SUBSTITUTE(L254,"_","-"),"|","-"))))</f>
        <v>#N/A</v>
      </c>
    </row>
    <row r="255" ht="15.75" customHeight="1">
      <c r="A255" s="20"/>
      <c r="B255" s="20"/>
      <c r="C255" s="13"/>
      <c r="D255" s="20"/>
      <c r="E255" s="20"/>
      <c r="F255" s="21"/>
      <c r="G255" s="20"/>
      <c r="H255" s="20"/>
      <c r="I255" s="20"/>
      <c r="J255" s="20"/>
      <c r="K255" s="20"/>
      <c r="L255" s="20"/>
      <c r="M255" s="20" t="str">
        <f>CONCATENATE("MK|",(VLOOKUP(B255,Dictionary!$A:$B,2,FALSE)),"_CN|",SUBSTITUTE(SUBSTITUTE(IF(C255="","NONE",C255),"_","-"),"|","-"),"_MN|",(VLOOKUP(D255,Dictionary!$D:$E,2,0)),"_YQ|",(VLOOKUP(E255,Dictionary!$AR:$AR,1,0)),"_CP|",SUBSTITUTE(SUBSTITUTE(IF(F255="","NONE",F255),"_","-"),"|","-"),"_SP|",(VLOOKUP(G255,Dictionary!$AY:$AZ,2,0)),"_AC|",(VLOOKUP(H255,Dictionary!$BA:$BB,2,0)),IF(I255="","",CONCATENATE("_OB|",(VLOOKUP(I255,Dictionary!$AS:$AT,2,0)))),IF(J255="","",CONCATENATE("_U1|",SUBSTITUTE(SUBSTITUTE(J255,"_","-"),"|","-"))),IF(K255="","",CONCATENATE("_U2|",SUBSTITUTE(SUBSTITUTE(K255,"_","-"),"|","-"))),IF(L255="","",CONCATENATE("_U3|",SUBSTITUTE(SUBSTITUTE(L255,"_","-"),"|","-"))))</f>
        <v>#N/A</v>
      </c>
    </row>
    <row r="256" ht="15.75" customHeight="1">
      <c r="A256" s="20"/>
      <c r="B256" s="20"/>
      <c r="C256" s="13"/>
      <c r="D256" s="20"/>
      <c r="E256" s="20"/>
      <c r="F256" s="21"/>
      <c r="G256" s="20"/>
      <c r="H256" s="20"/>
      <c r="I256" s="20"/>
      <c r="J256" s="20"/>
      <c r="K256" s="20"/>
      <c r="L256" s="20"/>
      <c r="M256" s="20" t="str">
        <f>CONCATENATE("MK|",(VLOOKUP(B256,Dictionary!$A:$B,2,FALSE)),"_CN|",SUBSTITUTE(SUBSTITUTE(IF(C256="","NONE",C256),"_","-"),"|","-"),"_MN|",(VLOOKUP(D256,Dictionary!$D:$E,2,0)),"_YQ|",(VLOOKUP(E256,Dictionary!$AR:$AR,1,0)),"_CP|",SUBSTITUTE(SUBSTITUTE(IF(F256="","NONE",F256),"_","-"),"|","-"),"_SP|",(VLOOKUP(G256,Dictionary!$AY:$AZ,2,0)),"_AC|",(VLOOKUP(H256,Dictionary!$BA:$BB,2,0)),IF(I256="","",CONCATENATE("_OB|",(VLOOKUP(I256,Dictionary!$AS:$AT,2,0)))),IF(J256="","",CONCATENATE("_U1|",SUBSTITUTE(SUBSTITUTE(J256,"_","-"),"|","-"))),IF(K256="","",CONCATENATE("_U2|",SUBSTITUTE(SUBSTITUTE(K256,"_","-"),"|","-"))),IF(L256="","",CONCATENATE("_U3|",SUBSTITUTE(SUBSTITUTE(L256,"_","-"),"|","-"))))</f>
        <v>#N/A</v>
      </c>
    </row>
    <row r="257" ht="15.75" customHeight="1">
      <c r="A257" s="20"/>
      <c r="B257" s="20"/>
      <c r="C257" s="13"/>
      <c r="D257" s="20"/>
      <c r="E257" s="20"/>
      <c r="F257" s="21"/>
      <c r="G257" s="20"/>
      <c r="H257" s="20"/>
      <c r="I257" s="20"/>
      <c r="J257" s="20"/>
      <c r="K257" s="20"/>
      <c r="L257" s="20"/>
      <c r="M257" s="20" t="str">
        <f>CONCATENATE("MK|",(VLOOKUP(B257,Dictionary!$A:$B,2,FALSE)),"_CN|",SUBSTITUTE(SUBSTITUTE(IF(C257="","NONE",C257),"_","-"),"|","-"),"_MN|",(VLOOKUP(D257,Dictionary!$D:$E,2,0)),"_YQ|",(VLOOKUP(E257,Dictionary!$AR:$AR,1,0)),"_CP|",SUBSTITUTE(SUBSTITUTE(IF(F257="","NONE",F257),"_","-"),"|","-"),"_SP|",(VLOOKUP(G257,Dictionary!$AY:$AZ,2,0)),"_AC|",(VLOOKUP(H257,Dictionary!$BA:$BB,2,0)),IF(I257="","",CONCATENATE("_OB|",(VLOOKUP(I257,Dictionary!$AS:$AT,2,0)))),IF(J257="","",CONCATENATE("_U1|",SUBSTITUTE(SUBSTITUTE(J257,"_","-"),"|","-"))),IF(K257="","",CONCATENATE("_U2|",SUBSTITUTE(SUBSTITUTE(K257,"_","-"),"|","-"))),IF(L257="","",CONCATENATE("_U3|",SUBSTITUTE(SUBSTITUTE(L257,"_","-"),"|","-"))))</f>
        <v>#N/A</v>
      </c>
    </row>
    <row r="258" ht="15.75" customHeight="1">
      <c r="A258" s="20"/>
      <c r="B258" s="20"/>
      <c r="C258" s="13"/>
      <c r="D258" s="20"/>
      <c r="E258" s="20"/>
      <c r="F258" s="21"/>
      <c r="G258" s="20"/>
      <c r="H258" s="20"/>
      <c r="I258" s="20"/>
      <c r="J258" s="20"/>
      <c r="K258" s="20"/>
      <c r="L258" s="20"/>
      <c r="M258" s="20" t="str">
        <f>CONCATENATE("MK|",(VLOOKUP(B258,Dictionary!$A:$B,2,FALSE)),"_CN|",SUBSTITUTE(SUBSTITUTE(IF(C258="","NONE",C258),"_","-"),"|","-"),"_MN|",(VLOOKUP(D258,Dictionary!$D:$E,2,0)),"_YQ|",(VLOOKUP(E258,Dictionary!$AR:$AR,1,0)),"_CP|",SUBSTITUTE(SUBSTITUTE(IF(F258="","NONE",F258),"_","-"),"|","-"),"_SP|",(VLOOKUP(G258,Dictionary!$AY:$AZ,2,0)),"_AC|",(VLOOKUP(H258,Dictionary!$BA:$BB,2,0)),IF(I258="","",CONCATENATE("_OB|",(VLOOKUP(I258,Dictionary!$AS:$AT,2,0)))),IF(J258="","",CONCATENATE("_U1|",SUBSTITUTE(SUBSTITUTE(J258,"_","-"),"|","-"))),IF(K258="","",CONCATENATE("_U2|",SUBSTITUTE(SUBSTITUTE(K258,"_","-"),"|","-"))),IF(L258="","",CONCATENATE("_U3|",SUBSTITUTE(SUBSTITUTE(L258,"_","-"),"|","-"))))</f>
        <v>#N/A</v>
      </c>
    </row>
    <row r="259" ht="15.75" customHeight="1">
      <c r="A259" s="20"/>
      <c r="B259" s="20"/>
      <c r="C259" s="13"/>
      <c r="D259" s="20"/>
      <c r="E259" s="20"/>
      <c r="F259" s="21"/>
      <c r="G259" s="20"/>
      <c r="H259" s="20"/>
      <c r="I259" s="20"/>
      <c r="J259" s="20"/>
      <c r="K259" s="20"/>
      <c r="L259" s="20"/>
      <c r="M259" s="20" t="str">
        <f>CONCATENATE("MK|",(VLOOKUP(B259,Dictionary!$A:$B,2,FALSE)),"_CN|",SUBSTITUTE(SUBSTITUTE(IF(C259="","NONE",C259),"_","-"),"|","-"),"_MN|",(VLOOKUP(D259,Dictionary!$D:$E,2,0)),"_YQ|",(VLOOKUP(E259,Dictionary!$AR:$AR,1,0)),"_CP|",SUBSTITUTE(SUBSTITUTE(IF(F259="","NONE",F259),"_","-"),"|","-"),"_SP|",(VLOOKUP(G259,Dictionary!$AY:$AZ,2,0)),"_AC|",(VLOOKUP(H259,Dictionary!$BA:$BB,2,0)),IF(I259="","",CONCATENATE("_OB|",(VLOOKUP(I259,Dictionary!$AS:$AT,2,0)))),IF(J259="","",CONCATENATE("_U1|",SUBSTITUTE(SUBSTITUTE(J259,"_","-"),"|","-"))),IF(K259="","",CONCATENATE("_U2|",SUBSTITUTE(SUBSTITUTE(K259,"_","-"),"|","-"))),IF(L259="","",CONCATENATE("_U3|",SUBSTITUTE(SUBSTITUTE(L259,"_","-"),"|","-"))))</f>
        <v>#N/A</v>
      </c>
    </row>
    <row r="260" ht="15.75" customHeight="1">
      <c r="A260" s="20"/>
      <c r="B260" s="20"/>
      <c r="C260" s="13"/>
      <c r="D260" s="20"/>
      <c r="E260" s="20"/>
      <c r="F260" s="21"/>
      <c r="G260" s="20"/>
      <c r="H260" s="20"/>
      <c r="I260" s="20"/>
      <c r="J260" s="20"/>
      <c r="K260" s="20"/>
      <c r="L260" s="20"/>
      <c r="M260" s="20" t="str">
        <f>CONCATENATE("MK|",(VLOOKUP(B260,Dictionary!$A:$B,2,FALSE)),"_CN|",SUBSTITUTE(SUBSTITUTE(IF(C260="","NONE",C260),"_","-"),"|","-"),"_MN|",(VLOOKUP(D260,Dictionary!$D:$E,2,0)),"_YQ|",(VLOOKUP(E260,Dictionary!$AR:$AR,1,0)),"_CP|",SUBSTITUTE(SUBSTITUTE(IF(F260="","NONE",F260),"_","-"),"|","-"),"_SP|",(VLOOKUP(G260,Dictionary!$AY:$AZ,2,0)),"_AC|",(VLOOKUP(H260,Dictionary!$BA:$BB,2,0)),IF(I260="","",CONCATENATE("_OB|",(VLOOKUP(I260,Dictionary!$AS:$AT,2,0)))),IF(J260="","",CONCATENATE("_U1|",SUBSTITUTE(SUBSTITUTE(J260,"_","-"),"|","-"))),IF(K260="","",CONCATENATE("_U2|",SUBSTITUTE(SUBSTITUTE(K260,"_","-"),"|","-"))),IF(L260="","",CONCATENATE("_U3|",SUBSTITUTE(SUBSTITUTE(L260,"_","-"),"|","-"))))</f>
        <v>#N/A</v>
      </c>
    </row>
    <row r="261" ht="15.75" customHeight="1">
      <c r="A261" s="20"/>
      <c r="B261" s="20"/>
      <c r="C261" s="13"/>
      <c r="D261" s="20"/>
      <c r="E261" s="20"/>
      <c r="F261" s="21"/>
      <c r="G261" s="20"/>
      <c r="H261" s="20"/>
      <c r="I261" s="20"/>
      <c r="J261" s="20"/>
      <c r="K261" s="20"/>
      <c r="L261" s="20"/>
      <c r="M261" s="20" t="str">
        <f>CONCATENATE("MK|",(VLOOKUP(B261,Dictionary!$A:$B,2,FALSE)),"_CN|",SUBSTITUTE(SUBSTITUTE(IF(C261="","NONE",C261),"_","-"),"|","-"),"_MN|",(VLOOKUP(D261,Dictionary!$D:$E,2,0)),"_YQ|",(VLOOKUP(E261,Dictionary!$AR:$AR,1,0)),"_CP|",SUBSTITUTE(SUBSTITUTE(IF(F261="","NONE",F261),"_","-"),"|","-"),"_SP|",(VLOOKUP(G261,Dictionary!$AY:$AZ,2,0)),"_AC|",(VLOOKUP(H261,Dictionary!$BA:$BB,2,0)),IF(I261="","",CONCATENATE("_OB|",(VLOOKUP(I261,Dictionary!$AS:$AT,2,0)))),IF(J261="","",CONCATENATE("_U1|",SUBSTITUTE(SUBSTITUTE(J261,"_","-"),"|","-"))),IF(K261="","",CONCATENATE("_U2|",SUBSTITUTE(SUBSTITUTE(K261,"_","-"),"|","-"))),IF(L261="","",CONCATENATE("_U3|",SUBSTITUTE(SUBSTITUTE(L261,"_","-"),"|","-"))))</f>
        <v>#N/A</v>
      </c>
    </row>
    <row r="262" ht="15.75" customHeight="1">
      <c r="A262" s="20"/>
      <c r="B262" s="20"/>
      <c r="C262" s="13"/>
      <c r="D262" s="20"/>
      <c r="E262" s="20"/>
      <c r="F262" s="21"/>
      <c r="G262" s="20"/>
      <c r="H262" s="20"/>
      <c r="I262" s="20"/>
      <c r="J262" s="20"/>
      <c r="K262" s="20"/>
      <c r="L262" s="20"/>
      <c r="M262" s="20" t="str">
        <f>CONCATENATE("MK|",(VLOOKUP(B262,Dictionary!$A:$B,2,FALSE)),"_CN|",SUBSTITUTE(SUBSTITUTE(IF(C262="","NONE",C262),"_","-"),"|","-"),"_MN|",(VLOOKUP(D262,Dictionary!$D:$E,2,0)),"_YQ|",(VLOOKUP(E262,Dictionary!$AR:$AR,1,0)),"_CP|",SUBSTITUTE(SUBSTITUTE(IF(F262="","NONE",F262),"_","-"),"|","-"),"_SP|",(VLOOKUP(G262,Dictionary!$AY:$AZ,2,0)),"_AC|",(VLOOKUP(H262,Dictionary!$BA:$BB,2,0)),IF(I262="","",CONCATENATE("_OB|",(VLOOKUP(I262,Dictionary!$AS:$AT,2,0)))),IF(J262="","",CONCATENATE("_U1|",SUBSTITUTE(SUBSTITUTE(J262,"_","-"),"|","-"))),IF(K262="","",CONCATENATE("_U2|",SUBSTITUTE(SUBSTITUTE(K262,"_","-"),"|","-"))),IF(L262="","",CONCATENATE("_U3|",SUBSTITUTE(SUBSTITUTE(L262,"_","-"),"|","-"))))</f>
        <v>#N/A</v>
      </c>
    </row>
    <row r="263" ht="15.75" customHeight="1">
      <c r="A263" s="20"/>
      <c r="B263" s="20"/>
      <c r="C263" s="13"/>
      <c r="D263" s="20"/>
      <c r="E263" s="20"/>
      <c r="F263" s="21"/>
      <c r="G263" s="20"/>
      <c r="H263" s="20"/>
      <c r="I263" s="20"/>
      <c r="J263" s="20"/>
      <c r="K263" s="20"/>
      <c r="L263" s="20"/>
      <c r="M263" s="20" t="str">
        <f>CONCATENATE("MK|",(VLOOKUP(B263,Dictionary!$A:$B,2,FALSE)),"_CN|",SUBSTITUTE(SUBSTITUTE(IF(C263="","NONE",C263),"_","-"),"|","-"),"_MN|",(VLOOKUP(D263,Dictionary!$D:$E,2,0)),"_YQ|",(VLOOKUP(E263,Dictionary!$AR:$AR,1,0)),"_CP|",SUBSTITUTE(SUBSTITUTE(IF(F263="","NONE",F263),"_","-"),"|","-"),"_SP|",(VLOOKUP(G263,Dictionary!$AY:$AZ,2,0)),"_AC|",(VLOOKUP(H263,Dictionary!$BA:$BB,2,0)),IF(I263="","",CONCATENATE("_OB|",(VLOOKUP(I263,Dictionary!$AS:$AT,2,0)))),IF(J263="","",CONCATENATE("_U1|",SUBSTITUTE(SUBSTITUTE(J263,"_","-"),"|","-"))),IF(K263="","",CONCATENATE("_U2|",SUBSTITUTE(SUBSTITUTE(K263,"_","-"),"|","-"))),IF(L263="","",CONCATENATE("_U3|",SUBSTITUTE(SUBSTITUTE(L263,"_","-"),"|","-"))))</f>
        <v>#N/A</v>
      </c>
    </row>
    <row r="264" ht="15.75" customHeight="1">
      <c r="A264" s="20"/>
      <c r="B264" s="20"/>
      <c r="C264" s="13"/>
      <c r="D264" s="20"/>
      <c r="E264" s="20"/>
      <c r="F264" s="21"/>
      <c r="G264" s="20"/>
      <c r="H264" s="20"/>
      <c r="I264" s="20"/>
      <c r="J264" s="20"/>
      <c r="K264" s="20"/>
      <c r="L264" s="20"/>
      <c r="M264" s="20" t="str">
        <f>CONCATENATE("MK|",(VLOOKUP(B264,Dictionary!$A:$B,2,FALSE)),"_CN|",SUBSTITUTE(SUBSTITUTE(IF(C264="","NONE",C264),"_","-"),"|","-"),"_MN|",(VLOOKUP(D264,Dictionary!$D:$E,2,0)),"_YQ|",(VLOOKUP(E264,Dictionary!$AR:$AR,1,0)),"_CP|",SUBSTITUTE(SUBSTITUTE(IF(F264="","NONE",F264),"_","-"),"|","-"),"_SP|",(VLOOKUP(G264,Dictionary!$AY:$AZ,2,0)),"_AC|",(VLOOKUP(H264,Dictionary!$BA:$BB,2,0)),IF(I264="","",CONCATENATE("_OB|",(VLOOKUP(I264,Dictionary!$AS:$AT,2,0)))),IF(J264="","",CONCATENATE("_U1|",SUBSTITUTE(SUBSTITUTE(J264,"_","-"),"|","-"))),IF(K264="","",CONCATENATE("_U2|",SUBSTITUTE(SUBSTITUTE(K264,"_","-"),"|","-"))),IF(L264="","",CONCATENATE("_U3|",SUBSTITUTE(SUBSTITUTE(L264,"_","-"),"|","-"))))</f>
        <v>#N/A</v>
      </c>
    </row>
    <row r="265" ht="15.75" customHeight="1">
      <c r="A265" s="20"/>
      <c r="B265" s="20"/>
      <c r="C265" s="13"/>
      <c r="D265" s="20"/>
      <c r="E265" s="20"/>
      <c r="F265" s="21"/>
      <c r="G265" s="20"/>
      <c r="H265" s="20"/>
      <c r="I265" s="20"/>
      <c r="J265" s="20"/>
      <c r="K265" s="20"/>
      <c r="L265" s="20"/>
      <c r="M265" s="20" t="str">
        <f>CONCATENATE("MK|",(VLOOKUP(B265,Dictionary!$A:$B,2,FALSE)),"_CN|",SUBSTITUTE(SUBSTITUTE(IF(C265="","NONE",C265),"_","-"),"|","-"),"_MN|",(VLOOKUP(D265,Dictionary!$D:$E,2,0)),"_YQ|",(VLOOKUP(E265,Dictionary!$AR:$AR,1,0)),"_CP|",SUBSTITUTE(SUBSTITUTE(IF(F265="","NONE",F265),"_","-"),"|","-"),"_SP|",(VLOOKUP(G265,Dictionary!$AY:$AZ,2,0)),"_AC|",(VLOOKUP(H265,Dictionary!$BA:$BB,2,0)),IF(I265="","",CONCATENATE("_OB|",(VLOOKUP(I265,Dictionary!$AS:$AT,2,0)))),IF(J265="","",CONCATENATE("_U1|",SUBSTITUTE(SUBSTITUTE(J265,"_","-"),"|","-"))),IF(K265="","",CONCATENATE("_U2|",SUBSTITUTE(SUBSTITUTE(K265,"_","-"),"|","-"))),IF(L265="","",CONCATENATE("_U3|",SUBSTITUTE(SUBSTITUTE(L265,"_","-"),"|","-"))))</f>
        <v>#N/A</v>
      </c>
    </row>
    <row r="266" ht="15.75" customHeight="1">
      <c r="A266" s="20"/>
      <c r="B266" s="20"/>
      <c r="C266" s="13"/>
      <c r="D266" s="20"/>
      <c r="E266" s="20"/>
      <c r="F266" s="21"/>
      <c r="G266" s="20"/>
      <c r="H266" s="20"/>
      <c r="I266" s="20"/>
      <c r="J266" s="20"/>
      <c r="K266" s="20"/>
      <c r="L266" s="20"/>
      <c r="M266" s="20" t="str">
        <f>CONCATENATE("MK|",(VLOOKUP(B266,Dictionary!$A:$B,2,FALSE)),"_CN|",SUBSTITUTE(SUBSTITUTE(IF(C266="","NONE",C266),"_","-"),"|","-"),"_MN|",(VLOOKUP(D266,Dictionary!$D:$E,2,0)),"_YQ|",(VLOOKUP(E266,Dictionary!$AR:$AR,1,0)),"_CP|",SUBSTITUTE(SUBSTITUTE(IF(F266="","NONE",F266),"_","-"),"|","-"),"_SP|",(VLOOKUP(G266,Dictionary!$AY:$AZ,2,0)),"_AC|",(VLOOKUP(H266,Dictionary!$BA:$BB,2,0)),IF(I266="","",CONCATENATE("_OB|",(VLOOKUP(I266,Dictionary!$AS:$AT,2,0)))),IF(J266="","",CONCATENATE("_U1|",SUBSTITUTE(SUBSTITUTE(J266,"_","-"),"|","-"))),IF(K266="","",CONCATENATE("_U2|",SUBSTITUTE(SUBSTITUTE(K266,"_","-"),"|","-"))),IF(L266="","",CONCATENATE("_U3|",SUBSTITUTE(SUBSTITUTE(L266,"_","-"),"|","-"))))</f>
        <v>#N/A</v>
      </c>
    </row>
    <row r="267" ht="15.75" customHeight="1">
      <c r="A267" s="20"/>
      <c r="B267" s="20"/>
      <c r="C267" s="13"/>
      <c r="D267" s="20"/>
      <c r="E267" s="20"/>
      <c r="F267" s="21"/>
      <c r="G267" s="20"/>
      <c r="H267" s="20"/>
      <c r="I267" s="20"/>
      <c r="J267" s="20"/>
      <c r="K267" s="20"/>
      <c r="L267" s="20"/>
      <c r="M267" s="20" t="str">
        <f>CONCATENATE("MK|",(VLOOKUP(B267,Dictionary!$A:$B,2,FALSE)),"_CN|",SUBSTITUTE(SUBSTITUTE(IF(C267="","NONE",C267),"_","-"),"|","-"),"_MN|",(VLOOKUP(D267,Dictionary!$D:$E,2,0)),"_YQ|",(VLOOKUP(E267,Dictionary!$AR:$AR,1,0)),"_CP|",SUBSTITUTE(SUBSTITUTE(IF(F267="","NONE",F267),"_","-"),"|","-"),"_SP|",(VLOOKUP(G267,Dictionary!$AY:$AZ,2,0)),"_AC|",(VLOOKUP(H267,Dictionary!$BA:$BB,2,0)),IF(I267="","",CONCATENATE("_OB|",(VLOOKUP(I267,Dictionary!$AS:$AT,2,0)))),IF(J267="","",CONCATENATE("_U1|",SUBSTITUTE(SUBSTITUTE(J267,"_","-"),"|","-"))),IF(K267="","",CONCATENATE("_U2|",SUBSTITUTE(SUBSTITUTE(K267,"_","-"),"|","-"))),IF(L267="","",CONCATENATE("_U3|",SUBSTITUTE(SUBSTITUTE(L267,"_","-"),"|","-"))))</f>
        <v>#N/A</v>
      </c>
    </row>
    <row r="268" ht="15.75" customHeight="1">
      <c r="A268" s="20"/>
      <c r="B268" s="20"/>
      <c r="C268" s="13"/>
      <c r="D268" s="20"/>
      <c r="E268" s="20"/>
      <c r="F268" s="21"/>
      <c r="G268" s="20"/>
      <c r="H268" s="20"/>
      <c r="I268" s="20"/>
      <c r="J268" s="20"/>
      <c r="K268" s="20"/>
      <c r="L268" s="20"/>
      <c r="M268" s="20" t="str">
        <f>CONCATENATE("MK|",(VLOOKUP(B268,Dictionary!$A:$B,2,FALSE)),"_CN|",SUBSTITUTE(SUBSTITUTE(IF(C268="","NONE",C268),"_","-"),"|","-"),"_MN|",(VLOOKUP(D268,Dictionary!$D:$E,2,0)),"_YQ|",(VLOOKUP(E268,Dictionary!$AR:$AR,1,0)),"_CP|",SUBSTITUTE(SUBSTITUTE(IF(F268="","NONE",F268),"_","-"),"|","-"),"_SP|",(VLOOKUP(G268,Dictionary!$AY:$AZ,2,0)),"_AC|",(VLOOKUP(H268,Dictionary!$BA:$BB,2,0)),IF(I268="","",CONCATENATE("_OB|",(VLOOKUP(I268,Dictionary!$AS:$AT,2,0)))),IF(J268="","",CONCATENATE("_U1|",SUBSTITUTE(SUBSTITUTE(J268,"_","-"),"|","-"))),IF(K268="","",CONCATENATE("_U2|",SUBSTITUTE(SUBSTITUTE(K268,"_","-"),"|","-"))),IF(L268="","",CONCATENATE("_U3|",SUBSTITUTE(SUBSTITUTE(L268,"_","-"),"|","-"))))</f>
        <v>#N/A</v>
      </c>
    </row>
    <row r="269" ht="15.75" customHeight="1">
      <c r="A269" s="20"/>
      <c r="B269" s="20"/>
      <c r="C269" s="13"/>
      <c r="D269" s="20"/>
      <c r="E269" s="20"/>
      <c r="F269" s="21"/>
      <c r="G269" s="20"/>
      <c r="H269" s="20"/>
      <c r="I269" s="20"/>
      <c r="J269" s="20"/>
      <c r="K269" s="20"/>
      <c r="L269" s="20"/>
      <c r="M269" s="20" t="str">
        <f>CONCATENATE("MK|",(VLOOKUP(B269,Dictionary!$A:$B,2,FALSE)),"_CN|",SUBSTITUTE(SUBSTITUTE(IF(C269="","NONE",C269),"_","-"),"|","-"),"_MN|",(VLOOKUP(D269,Dictionary!$D:$E,2,0)),"_YQ|",(VLOOKUP(E269,Dictionary!$AR:$AR,1,0)),"_CP|",SUBSTITUTE(SUBSTITUTE(IF(F269="","NONE",F269),"_","-"),"|","-"),"_SP|",(VLOOKUP(G269,Dictionary!$AY:$AZ,2,0)),"_AC|",(VLOOKUP(H269,Dictionary!$BA:$BB,2,0)),IF(I269="","",CONCATENATE("_OB|",(VLOOKUP(I269,Dictionary!$AS:$AT,2,0)))),IF(J269="","",CONCATENATE("_U1|",SUBSTITUTE(SUBSTITUTE(J269,"_","-"),"|","-"))),IF(K269="","",CONCATENATE("_U2|",SUBSTITUTE(SUBSTITUTE(K269,"_","-"),"|","-"))),IF(L269="","",CONCATENATE("_U3|",SUBSTITUTE(SUBSTITUTE(L269,"_","-"),"|","-"))))</f>
        <v>#N/A</v>
      </c>
    </row>
    <row r="270" ht="15.75" customHeight="1">
      <c r="A270" s="20"/>
      <c r="B270" s="20"/>
      <c r="C270" s="13"/>
      <c r="D270" s="20"/>
      <c r="E270" s="20"/>
      <c r="F270" s="21"/>
      <c r="G270" s="20"/>
      <c r="H270" s="20"/>
      <c r="I270" s="20"/>
      <c r="J270" s="20"/>
      <c r="K270" s="20"/>
      <c r="L270" s="20"/>
      <c r="M270" s="20" t="str">
        <f>CONCATENATE("MK|",(VLOOKUP(B270,Dictionary!$A:$B,2,FALSE)),"_CN|",SUBSTITUTE(SUBSTITUTE(IF(C270="","NONE",C270),"_","-"),"|","-"),"_MN|",(VLOOKUP(D270,Dictionary!$D:$E,2,0)),"_YQ|",(VLOOKUP(E270,Dictionary!$AR:$AR,1,0)),"_CP|",SUBSTITUTE(SUBSTITUTE(IF(F270="","NONE",F270),"_","-"),"|","-"),"_SP|",(VLOOKUP(G270,Dictionary!$AY:$AZ,2,0)),"_AC|",(VLOOKUP(H270,Dictionary!$BA:$BB,2,0)),IF(I270="","",CONCATENATE("_OB|",(VLOOKUP(I270,Dictionary!$AS:$AT,2,0)))),IF(J270="","",CONCATENATE("_U1|",SUBSTITUTE(SUBSTITUTE(J270,"_","-"),"|","-"))),IF(K270="","",CONCATENATE("_U2|",SUBSTITUTE(SUBSTITUTE(K270,"_","-"),"|","-"))),IF(L270="","",CONCATENATE("_U3|",SUBSTITUTE(SUBSTITUTE(L270,"_","-"),"|","-"))))</f>
        <v>#N/A</v>
      </c>
    </row>
    <row r="271" ht="15.75" customHeight="1">
      <c r="A271" s="20"/>
      <c r="B271" s="20"/>
      <c r="C271" s="13"/>
      <c r="D271" s="20"/>
      <c r="E271" s="20"/>
      <c r="F271" s="21"/>
      <c r="G271" s="20"/>
      <c r="H271" s="20"/>
      <c r="I271" s="20"/>
      <c r="J271" s="20"/>
      <c r="K271" s="20"/>
      <c r="L271" s="20"/>
      <c r="M271" s="20" t="str">
        <f>CONCATENATE("MK|",(VLOOKUP(B271,Dictionary!$A:$B,2,FALSE)),"_CN|",SUBSTITUTE(SUBSTITUTE(IF(C271="","NONE",C271),"_","-"),"|","-"),"_MN|",(VLOOKUP(D271,Dictionary!$D:$E,2,0)),"_YQ|",(VLOOKUP(E271,Dictionary!$AR:$AR,1,0)),"_CP|",SUBSTITUTE(SUBSTITUTE(IF(F271="","NONE",F271),"_","-"),"|","-"),"_SP|",(VLOOKUP(G271,Dictionary!$AY:$AZ,2,0)),"_AC|",(VLOOKUP(H271,Dictionary!$BA:$BB,2,0)),IF(I271="","",CONCATENATE("_OB|",(VLOOKUP(I271,Dictionary!$AS:$AT,2,0)))),IF(J271="","",CONCATENATE("_U1|",SUBSTITUTE(SUBSTITUTE(J271,"_","-"),"|","-"))),IF(K271="","",CONCATENATE("_U2|",SUBSTITUTE(SUBSTITUTE(K271,"_","-"),"|","-"))),IF(L271="","",CONCATENATE("_U3|",SUBSTITUTE(SUBSTITUTE(L271,"_","-"),"|","-"))))</f>
        <v>#N/A</v>
      </c>
    </row>
    <row r="272" ht="15.75" customHeight="1">
      <c r="A272" s="20"/>
      <c r="B272" s="20"/>
      <c r="C272" s="13"/>
      <c r="D272" s="20"/>
      <c r="E272" s="20"/>
      <c r="F272" s="21"/>
      <c r="G272" s="20"/>
      <c r="H272" s="20"/>
      <c r="I272" s="20"/>
      <c r="J272" s="20"/>
      <c r="K272" s="20"/>
      <c r="L272" s="20"/>
      <c r="M272" s="20" t="str">
        <f>CONCATENATE("MK|",(VLOOKUP(B272,Dictionary!$A:$B,2,FALSE)),"_CN|",SUBSTITUTE(SUBSTITUTE(IF(C272="","NONE",C272),"_","-"),"|","-"),"_MN|",(VLOOKUP(D272,Dictionary!$D:$E,2,0)),"_YQ|",(VLOOKUP(E272,Dictionary!$AR:$AR,1,0)),"_CP|",SUBSTITUTE(SUBSTITUTE(IF(F272="","NONE",F272),"_","-"),"|","-"),"_SP|",(VLOOKUP(G272,Dictionary!$AY:$AZ,2,0)),"_AC|",(VLOOKUP(H272,Dictionary!$BA:$BB,2,0)),IF(I272="","",CONCATENATE("_OB|",(VLOOKUP(I272,Dictionary!$AS:$AT,2,0)))),IF(J272="","",CONCATENATE("_U1|",SUBSTITUTE(SUBSTITUTE(J272,"_","-"),"|","-"))),IF(K272="","",CONCATENATE("_U2|",SUBSTITUTE(SUBSTITUTE(K272,"_","-"),"|","-"))),IF(L272="","",CONCATENATE("_U3|",SUBSTITUTE(SUBSTITUTE(L272,"_","-"),"|","-"))))</f>
        <v>#N/A</v>
      </c>
    </row>
    <row r="273" ht="15.75" customHeight="1">
      <c r="A273" s="20"/>
      <c r="B273" s="20"/>
      <c r="C273" s="13"/>
      <c r="D273" s="20"/>
      <c r="E273" s="20"/>
      <c r="F273" s="21"/>
      <c r="G273" s="20"/>
      <c r="H273" s="20"/>
      <c r="I273" s="20"/>
      <c r="J273" s="20"/>
      <c r="K273" s="20"/>
      <c r="L273" s="20"/>
      <c r="M273" s="20" t="str">
        <f>CONCATENATE("MK|",(VLOOKUP(B273,Dictionary!$A:$B,2,FALSE)),"_CN|",SUBSTITUTE(SUBSTITUTE(IF(C273="","NONE",C273),"_","-"),"|","-"),"_MN|",(VLOOKUP(D273,Dictionary!$D:$E,2,0)),"_YQ|",(VLOOKUP(E273,Dictionary!$AR:$AR,1,0)),"_CP|",SUBSTITUTE(SUBSTITUTE(IF(F273="","NONE",F273),"_","-"),"|","-"),"_SP|",(VLOOKUP(G273,Dictionary!$AY:$AZ,2,0)),"_AC|",(VLOOKUP(H273,Dictionary!$BA:$BB,2,0)),IF(I273="","",CONCATENATE("_OB|",(VLOOKUP(I273,Dictionary!$AS:$AT,2,0)))),IF(J273="","",CONCATENATE("_U1|",SUBSTITUTE(SUBSTITUTE(J273,"_","-"),"|","-"))),IF(K273="","",CONCATENATE("_U2|",SUBSTITUTE(SUBSTITUTE(K273,"_","-"),"|","-"))),IF(L273="","",CONCATENATE("_U3|",SUBSTITUTE(SUBSTITUTE(L273,"_","-"),"|","-"))))</f>
        <v>#N/A</v>
      </c>
    </row>
    <row r="274" ht="15.75" customHeight="1">
      <c r="A274" s="20"/>
      <c r="B274" s="20"/>
      <c r="C274" s="13"/>
      <c r="D274" s="20"/>
      <c r="E274" s="20"/>
      <c r="F274" s="21"/>
      <c r="G274" s="20"/>
      <c r="H274" s="20"/>
      <c r="I274" s="20"/>
      <c r="J274" s="20"/>
      <c r="K274" s="20"/>
      <c r="L274" s="20"/>
      <c r="M274" s="20" t="str">
        <f>CONCATENATE("MK|",(VLOOKUP(B274,Dictionary!$A:$B,2,FALSE)),"_CN|",SUBSTITUTE(SUBSTITUTE(IF(C274="","NONE",C274),"_","-"),"|","-"),"_MN|",(VLOOKUP(D274,Dictionary!$D:$E,2,0)),"_YQ|",(VLOOKUP(E274,Dictionary!$AR:$AR,1,0)),"_CP|",SUBSTITUTE(SUBSTITUTE(IF(F274="","NONE",F274),"_","-"),"|","-"),"_SP|",(VLOOKUP(G274,Dictionary!$AY:$AZ,2,0)),"_AC|",(VLOOKUP(H274,Dictionary!$BA:$BB,2,0)),IF(I274="","",CONCATENATE("_OB|",(VLOOKUP(I274,Dictionary!$AS:$AT,2,0)))),IF(J274="","",CONCATENATE("_U1|",SUBSTITUTE(SUBSTITUTE(J274,"_","-"),"|","-"))),IF(K274="","",CONCATENATE("_U2|",SUBSTITUTE(SUBSTITUTE(K274,"_","-"),"|","-"))),IF(L274="","",CONCATENATE("_U3|",SUBSTITUTE(SUBSTITUTE(L274,"_","-"),"|","-"))))</f>
        <v>#N/A</v>
      </c>
    </row>
    <row r="275" ht="15.75" customHeight="1">
      <c r="A275" s="20"/>
      <c r="B275" s="20"/>
      <c r="C275" s="13"/>
      <c r="D275" s="20"/>
      <c r="E275" s="20"/>
      <c r="F275" s="21"/>
      <c r="G275" s="20"/>
      <c r="H275" s="20"/>
      <c r="I275" s="20"/>
      <c r="J275" s="20"/>
      <c r="K275" s="20"/>
      <c r="L275" s="20"/>
      <c r="M275" s="20" t="str">
        <f>CONCATENATE("MK|",(VLOOKUP(B275,Dictionary!$A:$B,2,FALSE)),"_CN|",SUBSTITUTE(SUBSTITUTE(IF(C275="","NONE",C275),"_","-"),"|","-"),"_MN|",(VLOOKUP(D275,Dictionary!$D:$E,2,0)),"_YQ|",(VLOOKUP(E275,Dictionary!$AR:$AR,1,0)),"_CP|",SUBSTITUTE(SUBSTITUTE(IF(F275="","NONE",F275),"_","-"),"|","-"),"_SP|",(VLOOKUP(G275,Dictionary!$AY:$AZ,2,0)),"_AC|",(VLOOKUP(H275,Dictionary!$BA:$BB,2,0)),IF(I275="","",CONCATENATE("_OB|",(VLOOKUP(I275,Dictionary!$AS:$AT,2,0)))),IF(J275="","",CONCATENATE("_U1|",SUBSTITUTE(SUBSTITUTE(J275,"_","-"),"|","-"))),IF(K275="","",CONCATENATE("_U2|",SUBSTITUTE(SUBSTITUTE(K275,"_","-"),"|","-"))),IF(L275="","",CONCATENATE("_U3|",SUBSTITUTE(SUBSTITUTE(L275,"_","-"),"|","-"))))</f>
        <v>#N/A</v>
      </c>
    </row>
    <row r="276" ht="15.75" customHeight="1">
      <c r="A276" s="20"/>
      <c r="B276" s="20"/>
      <c r="C276" s="20"/>
      <c r="D276" s="20"/>
      <c r="E276" s="20"/>
      <c r="F276" s="21"/>
      <c r="G276" s="20"/>
      <c r="H276" s="20"/>
      <c r="I276" s="20"/>
      <c r="J276" s="20"/>
      <c r="K276" s="20"/>
      <c r="L276" s="20"/>
      <c r="M276" s="20" t="str">
        <f>CONCATENATE("MK|",(VLOOKUP(B276,Dictionary!$A:$B,2,FALSE)),"_CN|",SUBSTITUTE(SUBSTITUTE(IF(C276="","NONE",C276),"_","-"),"|","-"),"_MN|",(VLOOKUP(D276,Dictionary!$D:$E,2,0)),"_YQ|",(VLOOKUP(E276,Dictionary!$AR:$AR,1,0)),"_CP|",SUBSTITUTE(SUBSTITUTE(IF(F276="","NONE",F276),"_","-"),"|","-"),"_SP|",(VLOOKUP(G276,Dictionary!$AY:$AZ,2,0)),"_AC|",(VLOOKUP(H276,Dictionary!$BA:$BB,2,0)),IF(I276="","",CONCATENATE("_OB|",(VLOOKUP(I276,Dictionary!$AS:$AT,2,0)))),IF(J276="","",CONCATENATE("_U1|",SUBSTITUTE(SUBSTITUTE(J276,"_","-"),"|","-"))),IF(K276="","",CONCATENATE("_U2|",SUBSTITUTE(SUBSTITUTE(K276,"_","-"),"|","-"))),IF(L276="","",CONCATENATE("_U3|",SUBSTITUTE(SUBSTITUTE(L276,"_","-"),"|","-"))))</f>
        <v>#N/A</v>
      </c>
    </row>
    <row r="277" ht="15.75" customHeight="1">
      <c r="A277" s="20"/>
      <c r="B277" s="20"/>
      <c r="C277" s="20"/>
      <c r="D277" s="20"/>
      <c r="E277" s="20"/>
      <c r="F277" s="21"/>
      <c r="G277" s="20"/>
      <c r="H277" s="20"/>
      <c r="I277" s="20"/>
      <c r="J277" s="20"/>
      <c r="K277" s="20"/>
      <c r="L277" s="20"/>
      <c r="M277" s="20" t="str">
        <f>CONCATENATE("MK|",(VLOOKUP(B277,Dictionary!$A:$B,2,FALSE)),"_CN|",SUBSTITUTE(SUBSTITUTE(IF(C277="","NONE",C277),"_","-"),"|","-"),"_MN|",(VLOOKUP(D277,Dictionary!$D:$E,2,0)),"_YQ|",(VLOOKUP(E277,Dictionary!$AR:$AR,1,0)),"_CP|",SUBSTITUTE(SUBSTITUTE(IF(F277="","NONE",F277),"_","-"),"|","-"),"_SP|",(VLOOKUP(G277,Dictionary!$AY:$AZ,2,0)),"_AC|",(VLOOKUP(H277,Dictionary!$BA:$BB,2,0)),IF(I277="","",CONCATENATE("_OB|",(VLOOKUP(I277,Dictionary!$AS:$AT,2,0)))),IF(J277="","",CONCATENATE("_U1|",SUBSTITUTE(SUBSTITUTE(J277,"_","-"),"|","-"))),IF(K277="","",CONCATENATE("_U2|",SUBSTITUTE(SUBSTITUTE(K277,"_","-"),"|","-"))),IF(L277="","",CONCATENATE("_U3|",SUBSTITUTE(SUBSTITUTE(L277,"_","-"),"|","-"))))</f>
        <v>#N/A</v>
      </c>
    </row>
    <row r="278" ht="15.75" customHeight="1">
      <c r="A278" s="20"/>
      <c r="B278" s="20"/>
      <c r="C278" s="20"/>
      <c r="D278" s="20"/>
      <c r="E278" s="20"/>
      <c r="F278" s="21"/>
      <c r="G278" s="20"/>
      <c r="H278" s="20"/>
      <c r="I278" s="20"/>
      <c r="J278" s="20"/>
      <c r="K278" s="20"/>
      <c r="L278" s="20"/>
      <c r="M278" s="20" t="str">
        <f>CONCATENATE("MK|",(VLOOKUP(B278,Dictionary!$A:$B,2,FALSE)),"_CN|",SUBSTITUTE(SUBSTITUTE(IF(C278="","NONE",C278),"_","-"),"|","-"),"_MN|",(VLOOKUP(D278,Dictionary!$D:$E,2,0)),"_YQ|",(VLOOKUP(E278,Dictionary!$AR:$AR,1,0)),"_CP|",SUBSTITUTE(SUBSTITUTE(IF(F278="","NONE",F278),"_","-"),"|","-"),"_SP|",(VLOOKUP(G278,Dictionary!$AY:$AZ,2,0)),"_AC|",(VLOOKUP(H278,Dictionary!$BA:$BB,2,0)),IF(I278="","",CONCATENATE("_OB|",(VLOOKUP(I278,Dictionary!$AS:$AT,2,0)))),IF(J278="","",CONCATENATE("_U1|",SUBSTITUTE(SUBSTITUTE(J278,"_","-"),"|","-"))),IF(K278="","",CONCATENATE("_U2|",SUBSTITUTE(SUBSTITUTE(K278,"_","-"),"|","-"))),IF(L278="","",CONCATENATE("_U3|",SUBSTITUTE(SUBSTITUTE(L278,"_","-"),"|","-"))))</f>
        <v>#N/A</v>
      </c>
    </row>
    <row r="279" ht="15.75" customHeight="1">
      <c r="A279" s="20"/>
      <c r="B279" s="20"/>
      <c r="C279" s="20"/>
      <c r="D279" s="20"/>
      <c r="E279" s="20"/>
      <c r="F279" s="21"/>
      <c r="G279" s="20"/>
      <c r="H279" s="20"/>
      <c r="I279" s="20"/>
      <c r="J279" s="20"/>
      <c r="K279" s="20"/>
      <c r="L279" s="20"/>
      <c r="M279" s="20" t="str">
        <f>CONCATENATE("MK|",(VLOOKUP(B279,Dictionary!$A:$B,2,FALSE)),"_CN|",SUBSTITUTE(SUBSTITUTE(IF(C279="","NONE",C279),"_","-"),"|","-"),"_MN|",(VLOOKUP(D279,Dictionary!$D:$E,2,0)),"_YQ|",(VLOOKUP(E279,Dictionary!$AR:$AR,1,0)),"_CP|",SUBSTITUTE(SUBSTITUTE(IF(F279="","NONE",F279),"_","-"),"|","-"),"_SP|",(VLOOKUP(G279,Dictionary!$AY:$AZ,2,0)),"_AC|",(VLOOKUP(H279,Dictionary!$BA:$BB,2,0)),IF(I279="","",CONCATENATE("_OB|",(VLOOKUP(I279,Dictionary!$AS:$AT,2,0)))),IF(J279="","",CONCATENATE("_U1|",SUBSTITUTE(SUBSTITUTE(J279,"_","-"),"|","-"))),IF(K279="","",CONCATENATE("_U2|",SUBSTITUTE(SUBSTITUTE(K279,"_","-"),"|","-"))),IF(L279="","",CONCATENATE("_U3|",SUBSTITUTE(SUBSTITUTE(L279,"_","-"),"|","-"))))</f>
        <v>#N/A</v>
      </c>
    </row>
    <row r="280" ht="15.75" customHeight="1">
      <c r="A280" s="20"/>
      <c r="B280" s="20"/>
      <c r="C280" s="20"/>
      <c r="D280" s="20"/>
      <c r="E280" s="20"/>
      <c r="F280" s="21"/>
      <c r="G280" s="20"/>
      <c r="H280" s="20"/>
      <c r="I280" s="20"/>
      <c r="J280" s="20"/>
      <c r="K280" s="20"/>
      <c r="L280" s="20"/>
      <c r="M280" s="20" t="str">
        <f>CONCATENATE("MK|",(VLOOKUP(B280,Dictionary!$A:$B,2,FALSE)),"_CN|",SUBSTITUTE(SUBSTITUTE(IF(C280="","NONE",C280),"_","-"),"|","-"),"_MN|",(VLOOKUP(D280,Dictionary!$D:$E,2,0)),"_YQ|",(VLOOKUP(E280,Dictionary!$AR:$AR,1,0)),"_CP|",SUBSTITUTE(SUBSTITUTE(IF(F280="","NONE",F280),"_","-"),"|","-"),"_SP|",(VLOOKUP(G280,Dictionary!$AY:$AZ,2,0)),"_AC|",(VLOOKUP(H280,Dictionary!$BA:$BB,2,0)),IF(I280="","",CONCATENATE("_OB|",(VLOOKUP(I280,Dictionary!$AS:$AT,2,0)))),IF(J280="","",CONCATENATE("_U1|",SUBSTITUTE(SUBSTITUTE(J280,"_","-"),"|","-"))),IF(K280="","",CONCATENATE("_U2|",SUBSTITUTE(SUBSTITUTE(K280,"_","-"),"|","-"))),IF(L280="","",CONCATENATE("_U3|",SUBSTITUTE(SUBSTITUTE(L280,"_","-"),"|","-"))))</f>
        <v>#N/A</v>
      </c>
    </row>
    <row r="281" ht="15.75" customHeight="1">
      <c r="A281" s="20"/>
      <c r="B281" s="20"/>
      <c r="C281" s="20"/>
      <c r="D281" s="20"/>
      <c r="E281" s="20"/>
      <c r="F281" s="21"/>
      <c r="G281" s="20"/>
      <c r="H281" s="20"/>
      <c r="I281" s="20"/>
      <c r="J281" s="20"/>
      <c r="K281" s="20"/>
      <c r="L281" s="20"/>
      <c r="M281" s="20" t="str">
        <f>CONCATENATE("MK|",(VLOOKUP(B281,Dictionary!$A:$B,2,FALSE)),"_CN|",SUBSTITUTE(SUBSTITUTE(IF(C281="","NONE",C281),"_","-"),"|","-"),"_MN|",(VLOOKUP(D281,Dictionary!$D:$E,2,0)),"_YQ|",(VLOOKUP(E281,Dictionary!$AR:$AR,1,0)),"_CP|",SUBSTITUTE(SUBSTITUTE(IF(F281="","NONE",F281),"_","-"),"|","-"),"_SP|",(VLOOKUP(G281,Dictionary!$AY:$AZ,2,0)),"_AC|",(VLOOKUP(H281,Dictionary!$BA:$BB,2,0)),IF(I281="","",CONCATENATE("_OB|",(VLOOKUP(I281,Dictionary!$AS:$AT,2,0)))),IF(J281="","",CONCATENATE("_U1|",SUBSTITUTE(SUBSTITUTE(J281,"_","-"),"|","-"))),IF(K281="","",CONCATENATE("_U2|",SUBSTITUTE(SUBSTITUTE(K281,"_","-"),"|","-"))),IF(L281="","",CONCATENATE("_U3|",SUBSTITUTE(SUBSTITUTE(L281,"_","-"),"|","-"))))</f>
        <v>#N/A</v>
      </c>
    </row>
    <row r="282" ht="15.75" customHeight="1">
      <c r="A282" s="20"/>
      <c r="B282" s="20"/>
      <c r="C282" s="20"/>
      <c r="D282" s="20"/>
      <c r="E282" s="20"/>
      <c r="F282" s="21"/>
      <c r="G282" s="20"/>
      <c r="H282" s="20"/>
      <c r="I282" s="20"/>
      <c r="J282" s="20"/>
      <c r="K282" s="20"/>
      <c r="L282" s="20"/>
      <c r="M282" s="20" t="str">
        <f>CONCATENATE("MK|",(VLOOKUP(B282,Dictionary!$A:$B,2,FALSE)),"_CN|",SUBSTITUTE(SUBSTITUTE(IF(C282="","NONE",C282),"_","-"),"|","-"),"_MN|",(VLOOKUP(D282,Dictionary!$D:$E,2,0)),"_YQ|",(VLOOKUP(E282,Dictionary!$AR:$AR,1,0)),"_CP|",SUBSTITUTE(SUBSTITUTE(IF(F282="","NONE",F282),"_","-"),"|","-"),"_SP|",(VLOOKUP(G282,Dictionary!$AY:$AZ,2,0)),"_AC|",(VLOOKUP(H282,Dictionary!$BA:$BB,2,0)),IF(I282="","",CONCATENATE("_OB|",(VLOOKUP(I282,Dictionary!$AS:$AT,2,0)))),IF(J282="","",CONCATENATE("_U1|",SUBSTITUTE(SUBSTITUTE(J282,"_","-"),"|","-"))),IF(K282="","",CONCATENATE("_U2|",SUBSTITUTE(SUBSTITUTE(K282,"_","-"),"|","-"))),IF(L282="","",CONCATENATE("_U3|",SUBSTITUTE(SUBSTITUTE(L282,"_","-"),"|","-"))))</f>
        <v>#N/A</v>
      </c>
    </row>
    <row r="283" ht="15.75" customHeight="1">
      <c r="A283" s="20"/>
      <c r="B283" s="20"/>
      <c r="C283" s="20"/>
      <c r="D283" s="20"/>
      <c r="E283" s="20"/>
      <c r="F283" s="21"/>
      <c r="G283" s="20"/>
      <c r="H283" s="20"/>
      <c r="I283" s="20"/>
      <c r="J283" s="20"/>
      <c r="K283" s="20"/>
      <c r="L283" s="20"/>
      <c r="M283" s="20" t="str">
        <f>CONCATENATE("MK|",(VLOOKUP(B283,Dictionary!$A:$B,2,FALSE)),"_CN|",SUBSTITUTE(SUBSTITUTE(IF(C283="","NONE",C283),"_","-"),"|","-"),"_MN|",(VLOOKUP(D283,Dictionary!$D:$E,2,0)),"_YQ|",(VLOOKUP(E283,Dictionary!$AR:$AR,1,0)),"_CP|",SUBSTITUTE(SUBSTITUTE(IF(F283="","NONE",F283),"_","-"),"|","-"),"_SP|",(VLOOKUP(G283,Dictionary!$AY:$AZ,2,0)),"_AC|",(VLOOKUP(H283,Dictionary!$BA:$BB,2,0)),IF(I283="","",CONCATENATE("_OB|",(VLOOKUP(I283,Dictionary!$AS:$AT,2,0)))),IF(J283="","",CONCATENATE("_U1|",SUBSTITUTE(SUBSTITUTE(J283,"_","-"),"|","-"))),IF(K283="","",CONCATENATE("_U2|",SUBSTITUTE(SUBSTITUTE(K283,"_","-"),"|","-"))),IF(L283="","",CONCATENATE("_U3|",SUBSTITUTE(SUBSTITUTE(L283,"_","-"),"|","-"))))</f>
        <v>#N/A</v>
      </c>
    </row>
    <row r="284" ht="15.75" customHeight="1">
      <c r="A284" s="20"/>
      <c r="B284" s="20"/>
      <c r="C284" s="20"/>
      <c r="D284" s="20"/>
      <c r="E284" s="20"/>
      <c r="F284" s="21"/>
      <c r="G284" s="20"/>
      <c r="H284" s="20"/>
      <c r="I284" s="20"/>
      <c r="J284" s="20"/>
      <c r="K284" s="20"/>
      <c r="L284" s="20"/>
      <c r="M284" s="20" t="str">
        <f>CONCATENATE("MK|",(VLOOKUP(B284,Dictionary!$A:$B,2,FALSE)),"_CN|",SUBSTITUTE(SUBSTITUTE(IF(C284="","NONE",C284),"_","-"),"|","-"),"_MN|",(VLOOKUP(D284,Dictionary!$D:$E,2,0)),"_YQ|",(VLOOKUP(E284,Dictionary!$AR:$AR,1,0)),"_CP|",SUBSTITUTE(SUBSTITUTE(IF(F284="","NONE",F284),"_","-"),"|","-"),"_SP|",(VLOOKUP(G284,Dictionary!$AY:$AZ,2,0)),"_AC|",(VLOOKUP(H284,Dictionary!$BA:$BB,2,0)),IF(I284="","",CONCATENATE("_OB|",(VLOOKUP(I284,Dictionary!$AS:$AT,2,0)))),IF(J284="","",CONCATENATE("_U1|",SUBSTITUTE(SUBSTITUTE(J284,"_","-"),"|","-"))),IF(K284="","",CONCATENATE("_U2|",SUBSTITUTE(SUBSTITUTE(K284,"_","-"),"|","-"))),IF(L284="","",CONCATENATE("_U3|",SUBSTITUTE(SUBSTITUTE(L284,"_","-"),"|","-"))))</f>
        <v>#N/A</v>
      </c>
    </row>
    <row r="285" ht="15.75" customHeight="1">
      <c r="A285" s="20"/>
      <c r="B285" s="20"/>
      <c r="C285" s="20"/>
      <c r="D285" s="20"/>
      <c r="E285" s="20"/>
      <c r="F285" s="21"/>
      <c r="G285" s="20"/>
      <c r="H285" s="20"/>
      <c r="I285" s="20"/>
      <c r="J285" s="20"/>
      <c r="K285" s="20"/>
      <c r="L285" s="20"/>
      <c r="M285" s="20" t="str">
        <f>CONCATENATE("MK|",(VLOOKUP(B285,Dictionary!$A:$B,2,FALSE)),"_CN|",SUBSTITUTE(SUBSTITUTE(IF(C285="","NONE",C285),"_","-"),"|","-"),"_MN|",(VLOOKUP(D285,Dictionary!$D:$E,2,0)),"_YQ|",(VLOOKUP(E285,Dictionary!$AR:$AR,1,0)),"_CP|",SUBSTITUTE(SUBSTITUTE(IF(F285="","NONE",F285),"_","-"),"|","-"),"_SP|",(VLOOKUP(G285,Dictionary!$AY:$AZ,2,0)),"_AC|",(VLOOKUP(H285,Dictionary!$BA:$BB,2,0)),IF(I285="","",CONCATENATE("_OB|",(VLOOKUP(I285,Dictionary!$AS:$AT,2,0)))),IF(J285="","",CONCATENATE("_U1|",SUBSTITUTE(SUBSTITUTE(J285,"_","-"),"|","-"))),IF(K285="","",CONCATENATE("_U2|",SUBSTITUTE(SUBSTITUTE(K285,"_","-"),"|","-"))),IF(L285="","",CONCATENATE("_U3|",SUBSTITUTE(SUBSTITUTE(L285,"_","-"),"|","-"))))</f>
        <v>#N/A</v>
      </c>
    </row>
    <row r="286" ht="15.75" customHeight="1">
      <c r="A286" s="20"/>
      <c r="B286" s="20"/>
      <c r="C286" s="20"/>
      <c r="D286" s="20"/>
      <c r="E286" s="20"/>
      <c r="F286" s="21"/>
      <c r="G286" s="20"/>
      <c r="H286" s="20"/>
      <c r="I286" s="20"/>
      <c r="J286" s="20"/>
      <c r="K286" s="20"/>
      <c r="L286" s="20"/>
      <c r="M286" s="20" t="str">
        <f>CONCATENATE("MK|",(VLOOKUP(B286,Dictionary!$A:$B,2,FALSE)),"_CN|",SUBSTITUTE(SUBSTITUTE(IF(C286="","NONE",C286),"_","-"),"|","-"),"_MN|",(VLOOKUP(D286,Dictionary!$D:$E,2,0)),"_YQ|",(VLOOKUP(E286,Dictionary!$AR:$AR,1,0)),"_CP|",SUBSTITUTE(SUBSTITUTE(IF(F286="","NONE",F286),"_","-"),"|","-"),"_SP|",(VLOOKUP(G286,Dictionary!$AY:$AZ,2,0)),"_AC|",(VLOOKUP(H286,Dictionary!$BA:$BB,2,0)),IF(I286="","",CONCATENATE("_OB|",(VLOOKUP(I286,Dictionary!$AS:$AT,2,0)))),IF(J286="","",CONCATENATE("_U1|",SUBSTITUTE(SUBSTITUTE(J286,"_","-"),"|","-"))),IF(K286="","",CONCATENATE("_U2|",SUBSTITUTE(SUBSTITUTE(K286,"_","-"),"|","-"))),IF(L286="","",CONCATENATE("_U3|",SUBSTITUTE(SUBSTITUTE(L286,"_","-"),"|","-"))))</f>
        <v>#N/A</v>
      </c>
    </row>
    <row r="287" ht="15.75" customHeight="1">
      <c r="A287" s="20"/>
      <c r="B287" s="20"/>
      <c r="C287" s="20"/>
      <c r="D287" s="20"/>
      <c r="E287" s="20"/>
      <c r="F287" s="21"/>
      <c r="G287" s="20"/>
      <c r="H287" s="20"/>
      <c r="I287" s="20"/>
      <c r="J287" s="20"/>
      <c r="K287" s="20"/>
      <c r="L287" s="20"/>
      <c r="M287" s="20" t="str">
        <f>CONCATENATE("MK|",(VLOOKUP(B287,Dictionary!$A:$B,2,FALSE)),"_CN|",SUBSTITUTE(SUBSTITUTE(IF(C287="","NONE",C287),"_","-"),"|","-"),"_MN|",(VLOOKUP(D287,Dictionary!$D:$E,2,0)),"_YQ|",(VLOOKUP(E287,Dictionary!$AR:$AR,1,0)),"_CP|",SUBSTITUTE(SUBSTITUTE(IF(F287="","NONE",F287),"_","-"),"|","-"),"_SP|",(VLOOKUP(G287,Dictionary!$AY:$AZ,2,0)),"_AC|",(VLOOKUP(H287,Dictionary!$BA:$BB,2,0)),IF(I287="","",CONCATENATE("_OB|",(VLOOKUP(I287,Dictionary!$AS:$AT,2,0)))),IF(J287="","",CONCATENATE("_U1|",SUBSTITUTE(SUBSTITUTE(J287,"_","-"),"|","-"))),IF(K287="","",CONCATENATE("_U2|",SUBSTITUTE(SUBSTITUTE(K287,"_","-"),"|","-"))),IF(L287="","",CONCATENATE("_U3|",SUBSTITUTE(SUBSTITUTE(L287,"_","-"),"|","-"))))</f>
        <v>#N/A</v>
      </c>
    </row>
    <row r="288" ht="15.75" customHeight="1">
      <c r="A288" s="20"/>
      <c r="B288" s="20"/>
      <c r="C288" s="20"/>
      <c r="D288" s="20"/>
      <c r="E288" s="20"/>
      <c r="F288" s="21"/>
      <c r="G288" s="20"/>
      <c r="H288" s="20"/>
      <c r="I288" s="20"/>
      <c r="J288" s="20"/>
      <c r="K288" s="20"/>
      <c r="L288" s="20"/>
      <c r="M288" s="20" t="str">
        <f>CONCATENATE("MK|",(VLOOKUP(B288,Dictionary!$A:$B,2,FALSE)),"_CN|",SUBSTITUTE(SUBSTITUTE(IF(C288="","NONE",C288),"_","-"),"|","-"),"_MN|",(VLOOKUP(D288,Dictionary!$D:$E,2,0)),"_YQ|",(VLOOKUP(E288,Dictionary!$AR:$AR,1,0)),"_CP|",SUBSTITUTE(SUBSTITUTE(IF(F288="","NONE",F288),"_","-"),"|","-"),"_SP|",(VLOOKUP(G288,Dictionary!$AY:$AZ,2,0)),"_AC|",(VLOOKUP(H288,Dictionary!$BA:$BB,2,0)),IF(I288="","",CONCATENATE("_OB|",(VLOOKUP(I288,Dictionary!$AS:$AT,2,0)))),IF(J288="","",CONCATENATE("_U1|",SUBSTITUTE(SUBSTITUTE(J288,"_","-"),"|","-"))),IF(K288="","",CONCATENATE("_U2|",SUBSTITUTE(SUBSTITUTE(K288,"_","-"),"|","-"))),IF(L288="","",CONCATENATE("_U3|",SUBSTITUTE(SUBSTITUTE(L288,"_","-"),"|","-"))))</f>
        <v>#N/A</v>
      </c>
    </row>
    <row r="289" ht="15.75" customHeight="1">
      <c r="A289" s="20"/>
      <c r="B289" s="20"/>
      <c r="C289" s="20"/>
      <c r="D289" s="20"/>
      <c r="E289" s="20"/>
      <c r="F289" s="21"/>
      <c r="G289" s="20"/>
      <c r="H289" s="20"/>
      <c r="I289" s="20"/>
      <c r="J289" s="20"/>
      <c r="K289" s="20"/>
      <c r="L289" s="20"/>
      <c r="M289" s="20" t="str">
        <f>CONCATENATE("MK|",(VLOOKUP(B289,Dictionary!$A:$B,2,FALSE)),"_CN|",SUBSTITUTE(SUBSTITUTE(IF(C289="","NONE",C289),"_","-"),"|","-"),"_MN|",(VLOOKUP(D289,Dictionary!$D:$E,2,0)),"_YQ|",(VLOOKUP(E289,Dictionary!$AR:$AR,1,0)),"_CP|",SUBSTITUTE(SUBSTITUTE(IF(F289="","NONE",F289),"_","-"),"|","-"),"_SP|",(VLOOKUP(G289,Dictionary!$AY:$AZ,2,0)),"_AC|",(VLOOKUP(H289,Dictionary!$BA:$BB,2,0)),IF(I289="","",CONCATENATE("_OB|",(VLOOKUP(I289,Dictionary!$AS:$AT,2,0)))),IF(J289="","",CONCATENATE("_U1|",SUBSTITUTE(SUBSTITUTE(J289,"_","-"),"|","-"))),IF(K289="","",CONCATENATE("_U2|",SUBSTITUTE(SUBSTITUTE(K289,"_","-"),"|","-"))),IF(L289="","",CONCATENATE("_U3|",SUBSTITUTE(SUBSTITUTE(L289,"_","-"),"|","-"))))</f>
        <v>#N/A</v>
      </c>
    </row>
    <row r="290" ht="15.75" customHeight="1">
      <c r="A290" s="20"/>
      <c r="B290" s="20"/>
      <c r="C290" s="20"/>
      <c r="D290" s="20"/>
      <c r="E290" s="20"/>
      <c r="F290" s="21"/>
      <c r="G290" s="20"/>
      <c r="H290" s="20"/>
      <c r="I290" s="20"/>
      <c r="J290" s="20"/>
      <c r="K290" s="20"/>
      <c r="L290" s="20"/>
      <c r="M290" s="20" t="str">
        <f>CONCATENATE("MK|",(VLOOKUP(B290,Dictionary!$A:$B,2,FALSE)),"_CN|",SUBSTITUTE(SUBSTITUTE(IF(C290="","NONE",C290),"_","-"),"|","-"),"_MN|",(VLOOKUP(D290,Dictionary!$D:$E,2,0)),"_YQ|",(VLOOKUP(E290,Dictionary!$AR:$AR,1,0)),"_CP|",SUBSTITUTE(SUBSTITUTE(IF(F290="","NONE",F290),"_","-"),"|","-"),"_SP|",(VLOOKUP(G290,Dictionary!$AY:$AZ,2,0)),"_AC|",(VLOOKUP(H290,Dictionary!$BA:$BB,2,0)),IF(I290="","",CONCATENATE("_OB|",(VLOOKUP(I290,Dictionary!$AS:$AT,2,0)))),IF(J290="","",CONCATENATE("_U1|",SUBSTITUTE(SUBSTITUTE(J290,"_","-"),"|","-"))),IF(K290="","",CONCATENATE("_U2|",SUBSTITUTE(SUBSTITUTE(K290,"_","-"),"|","-"))),IF(L290="","",CONCATENATE("_U3|",SUBSTITUTE(SUBSTITUTE(L290,"_","-"),"|","-"))))</f>
        <v>#N/A</v>
      </c>
    </row>
    <row r="291" ht="15.75" customHeight="1">
      <c r="A291" s="20"/>
      <c r="B291" s="20"/>
      <c r="C291" s="20"/>
      <c r="D291" s="20"/>
      <c r="E291" s="20"/>
      <c r="F291" s="21"/>
      <c r="G291" s="20"/>
      <c r="H291" s="20"/>
      <c r="I291" s="20"/>
      <c r="J291" s="20"/>
      <c r="K291" s="20"/>
      <c r="L291" s="20"/>
      <c r="M291" s="20" t="str">
        <f>CONCATENATE("MK|",(VLOOKUP(B291,Dictionary!$A:$B,2,FALSE)),"_CN|",SUBSTITUTE(SUBSTITUTE(IF(C291="","NONE",C291),"_","-"),"|","-"),"_MN|",(VLOOKUP(D291,Dictionary!$D:$E,2,0)),"_YQ|",(VLOOKUP(E291,Dictionary!$AR:$AR,1,0)),"_CP|",SUBSTITUTE(SUBSTITUTE(IF(F291="","NONE",F291),"_","-"),"|","-"),"_SP|",(VLOOKUP(G291,Dictionary!$AY:$AZ,2,0)),"_AC|",(VLOOKUP(H291,Dictionary!$BA:$BB,2,0)),IF(I291="","",CONCATENATE("_OB|",(VLOOKUP(I291,Dictionary!$AS:$AT,2,0)))),IF(J291="","",CONCATENATE("_U1|",SUBSTITUTE(SUBSTITUTE(J291,"_","-"),"|","-"))),IF(K291="","",CONCATENATE("_U2|",SUBSTITUTE(SUBSTITUTE(K291,"_","-"),"|","-"))),IF(L291="","",CONCATENATE("_U3|",SUBSTITUTE(SUBSTITUTE(L291,"_","-"),"|","-"))))</f>
        <v>#N/A</v>
      </c>
    </row>
    <row r="292" ht="15.75" customHeight="1">
      <c r="A292" s="20"/>
      <c r="B292" s="20"/>
      <c r="C292" s="20"/>
      <c r="D292" s="20"/>
      <c r="E292" s="20"/>
      <c r="F292" s="21"/>
      <c r="G292" s="20"/>
      <c r="H292" s="20"/>
      <c r="I292" s="20"/>
      <c r="J292" s="20"/>
      <c r="K292" s="20"/>
      <c r="L292" s="20"/>
      <c r="M292" s="20" t="str">
        <f>CONCATENATE("MK|",(VLOOKUP(B292,Dictionary!$A:$B,2,FALSE)),"_CN|",SUBSTITUTE(SUBSTITUTE(IF(C292="","NONE",C292),"_","-"),"|","-"),"_MN|",(VLOOKUP(D292,Dictionary!$D:$E,2,0)),"_YQ|",(VLOOKUP(E292,Dictionary!$AR:$AR,1,0)),"_CP|",SUBSTITUTE(SUBSTITUTE(IF(F292="","NONE",F292),"_","-"),"|","-"),"_SP|",(VLOOKUP(G292,Dictionary!$AY:$AZ,2,0)),"_AC|",(VLOOKUP(H292,Dictionary!$BA:$BB,2,0)),IF(I292="","",CONCATENATE("_OB|",(VLOOKUP(I292,Dictionary!$AS:$AT,2,0)))),IF(J292="","",CONCATENATE("_U1|",SUBSTITUTE(SUBSTITUTE(J292,"_","-"),"|","-"))),IF(K292="","",CONCATENATE("_U2|",SUBSTITUTE(SUBSTITUTE(K292,"_","-"),"|","-"))),IF(L292="","",CONCATENATE("_U3|",SUBSTITUTE(SUBSTITUTE(L292,"_","-"),"|","-"))))</f>
        <v>#N/A</v>
      </c>
    </row>
    <row r="293" ht="15.75" customHeight="1">
      <c r="A293" s="20"/>
      <c r="B293" s="20"/>
      <c r="C293" s="20"/>
      <c r="D293" s="20"/>
      <c r="E293" s="20"/>
      <c r="F293" s="21"/>
      <c r="G293" s="20"/>
      <c r="H293" s="20"/>
      <c r="I293" s="20"/>
      <c r="J293" s="20"/>
      <c r="K293" s="20"/>
      <c r="L293" s="20"/>
      <c r="M293" s="20" t="str">
        <f>CONCATENATE("MK|",(VLOOKUP(B293,Dictionary!$A:$B,2,FALSE)),"_CN|",SUBSTITUTE(SUBSTITUTE(IF(C293="","NONE",C293),"_","-"),"|","-"),"_MN|",(VLOOKUP(D293,Dictionary!$D:$E,2,0)),"_YQ|",(VLOOKUP(E293,Dictionary!$AR:$AR,1,0)),"_CP|",SUBSTITUTE(SUBSTITUTE(IF(F293="","NONE",F293),"_","-"),"|","-"),"_SP|",(VLOOKUP(G293,Dictionary!$AY:$AZ,2,0)),"_AC|",(VLOOKUP(H293,Dictionary!$BA:$BB,2,0)),IF(I293="","",CONCATENATE("_OB|",(VLOOKUP(I293,Dictionary!$AS:$AT,2,0)))),IF(J293="","",CONCATENATE("_U1|",SUBSTITUTE(SUBSTITUTE(J293,"_","-"),"|","-"))),IF(K293="","",CONCATENATE("_U2|",SUBSTITUTE(SUBSTITUTE(K293,"_","-"),"|","-"))),IF(L293="","",CONCATENATE("_U3|",SUBSTITUTE(SUBSTITUTE(L293,"_","-"),"|","-"))))</f>
        <v>#N/A</v>
      </c>
    </row>
    <row r="294" ht="15.75" customHeight="1">
      <c r="A294" s="20"/>
      <c r="B294" s="20"/>
      <c r="C294" s="20"/>
      <c r="D294" s="20"/>
      <c r="E294" s="20"/>
      <c r="F294" s="21"/>
      <c r="G294" s="20"/>
      <c r="H294" s="20"/>
      <c r="I294" s="20"/>
      <c r="J294" s="20"/>
      <c r="K294" s="20"/>
      <c r="L294" s="20"/>
      <c r="M294" s="20" t="str">
        <f>CONCATENATE("MK|",(VLOOKUP(B294,Dictionary!$A:$B,2,FALSE)),"_CN|",SUBSTITUTE(SUBSTITUTE(IF(C294="","NONE",C294),"_","-"),"|","-"),"_MN|",(VLOOKUP(D294,Dictionary!$D:$E,2,0)),"_YQ|",(VLOOKUP(E294,Dictionary!$AR:$AR,1,0)),"_CP|",SUBSTITUTE(SUBSTITUTE(IF(F294="","NONE",F294),"_","-"),"|","-"),"_SP|",(VLOOKUP(G294,Dictionary!$AY:$AZ,2,0)),"_AC|",(VLOOKUP(H294,Dictionary!$BA:$BB,2,0)),IF(I294="","",CONCATENATE("_OB|",(VLOOKUP(I294,Dictionary!$AS:$AT,2,0)))),IF(J294="","",CONCATENATE("_U1|",SUBSTITUTE(SUBSTITUTE(J294,"_","-"),"|","-"))),IF(K294="","",CONCATENATE("_U2|",SUBSTITUTE(SUBSTITUTE(K294,"_","-"),"|","-"))),IF(L294="","",CONCATENATE("_U3|",SUBSTITUTE(SUBSTITUTE(L294,"_","-"),"|","-"))))</f>
        <v>#N/A</v>
      </c>
    </row>
    <row r="295" ht="15.75" customHeight="1">
      <c r="A295" s="20"/>
      <c r="B295" s="20"/>
      <c r="C295" s="20"/>
      <c r="D295" s="20"/>
      <c r="E295" s="20"/>
      <c r="F295" s="21"/>
      <c r="G295" s="20"/>
      <c r="H295" s="20"/>
      <c r="I295" s="20"/>
      <c r="J295" s="20"/>
      <c r="K295" s="20"/>
      <c r="L295" s="20"/>
      <c r="M295" s="20" t="str">
        <f>CONCATENATE("MK|",(VLOOKUP(B295,Dictionary!$A:$B,2,FALSE)),"_CN|",SUBSTITUTE(SUBSTITUTE(IF(C295="","NONE",C295),"_","-"),"|","-"),"_MN|",(VLOOKUP(D295,Dictionary!$D:$E,2,0)),"_YQ|",(VLOOKUP(E295,Dictionary!$AR:$AR,1,0)),"_CP|",SUBSTITUTE(SUBSTITUTE(IF(F295="","NONE",F295),"_","-"),"|","-"),"_SP|",(VLOOKUP(G295,Dictionary!$AY:$AZ,2,0)),"_AC|",(VLOOKUP(H295,Dictionary!$BA:$BB,2,0)),IF(I295="","",CONCATENATE("_OB|",(VLOOKUP(I295,Dictionary!$AS:$AT,2,0)))),IF(J295="","",CONCATENATE("_U1|",SUBSTITUTE(SUBSTITUTE(J295,"_","-"),"|","-"))),IF(K295="","",CONCATENATE("_U2|",SUBSTITUTE(SUBSTITUTE(K295,"_","-"),"|","-"))),IF(L295="","",CONCATENATE("_U3|",SUBSTITUTE(SUBSTITUTE(L295,"_","-"),"|","-"))))</f>
        <v>#N/A</v>
      </c>
    </row>
    <row r="296" ht="15.75" customHeight="1">
      <c r="A296" s="20"/>
      <c r="B296" s="20"/>
      <c r="C296" s="20"/>
      <c r="D296" s="20"/>
      <c r="E296" s="20"/>
      <c r="F296" s="21"/>
      <c r="G296" s="20"/>
      <c r="H296" s="20"/>
      <c r="I296" s="20"/>
      <c r="J296" s="20"/>
      <c r="K296" s="20"/>
      <c r="L296" s="20"/>
      <c r="M296" s="20" t="str">
        <f>CONCATENATE("MK|",(VLOOKUP(B296,Dictionary!$A:$B,2,FALSE)),"_CN|",SUBSTITUTE(SUBSTITUTE(IF(C296="","NONE",C296),"_","-"),"|","-"),"_MN|",(VLOOKUP(D296,Dictionary!$D:$E,2,0)),"_YQ|",(VLOOKUP(E296,Dictionary!$AR:$AR,1,0)),"_CP|",SUBSTITUTE(SUBSTITUTE(IF(F296="","NONE",F296),"_","-"),"|","-"),"_SP|",(VLOOKUP(G296,Dictionary!$AY:$AZ,2,0)),"_AC|",(VLOOKUP(H296,Dictionary!$BA:$BB,2,0)),IF(I296="","",CONCATENATE("_OB|",(VLOOKUP(I296,Dictionary!$AS:$AT,2,0)))),IF(J296="","",CONCATENATE("_U1|",SUBSTITUTE(SUBSTITUTE(J296,"_","-"),"|","-"))),IF(K296="","",CONCATENATE("_U2|",SUBSTITUTE(SUBSTITUTE(K296,"_","-"),"|","-"))),IF(L296="","",CONCATENATE("_U3|",SUBSTITUTE(SUBSTITUTE(L296,"_","-"),"|","-"))))</f>
        <v>#N/A</v>
      </c>
    </row>
    <row r="297" ht="15.75" customHeight="1">
      <c r="A297" s="20"/>
      <c r="B297" s="20"/>
      <c r="C297" s="20"/>
      <c r="D297" s="20"/>
      <c r="E297" s="20"/>
      <c r="F297" s="21"/>
      <c r="G297" s="20"/>
      <c r="H297" s="20"/>
      <c r="I297" s="20"/>
      <c r="J297" s="20"/>
      <c r="K297" s="20"/>
      <c r="L297" s="20"/>
      <c r="M297" s="20" t="str">
        <f>CONCATENATE("MK|",(VLOOKUP(B297,Dictionary!$A:$B,2,FALSE)),"_CN|",SUBSTITUTE(SUBSTITUTE(IF(C297="","NONE",C297),"_","-"),"|","-"),"_MN|",(VLOOKUP(D297,Dictionary!$D:$E,2,0)),"_YQ|",(VLOOKUP(E297,Dictionary!$AR:$AR,1,0)),"_CP|",SUBSTITUTE(SUBSTITUTE(IF(F297="","NONE",F297),"_","-"),"|","-"),"_SP|",(VLOOKUP(G297,Dictionary!$AY:$AZ,2,0)),"_AC|",(VLOOKUP(H297,Dictionary!$BA:$BB,2,0)),IF(I297="","",CONCATENATE("_OB|",(VLOOKUP(I297,Dictionary!$AS:$AT,2,0)))),IF(J297="","",CONCATENATE("_U1|",SUBSTITUTE(SUBSTITUTE(J297,"_","-"),"|","-"))),IF(K297="","",CONCATENATE("_U2|",SUBSTITUTE(SUBSTITUTE(K297,"_","-"),"|","-"))),IF(L297="","",CONCATENATE("_U3|",SUBSTITUTE(SUBSTITUTE(L297,"_","-"),"|","-"))))</f>
        <v>#N/A</v>
      </c>
    </row>
    <row r="298" ht="15.75" customHeight="1">
      <c r="A298" s="20"/>
      <c r="B298" s="20"/>
      <c r="C298" s="20"/>
      <c r="D298" s="20"/>
      <c r="E298" s="20"/>
      <c r="F298" s="21"/>
      <c r="G298" s="20"/>
      <c r="H298" s="20"/>
      <c r="I298" s="20"/>
      <c r="J298" s="20"/>
      <c r="K298" s="20"/>
      <c r="L298" s="20"/>
      <c r="M298" s="20" t="str">
        <f>CONCATENATE("MK|",(VLOOKUP(B298,Dictionary!$A:$B,2,FALSE)),"_CN|",SUBSTITUTE(SUBSTITUTE(IF(C298="","NONE",C298),"_","-"),"|","-"),"_MN|",(VLOOKUP(D298,Dictionary!$D:$E,2,0)),"_YQ|",(VLOOKUP(E298,Dictionary!$AR:$AR,1,0)),"_CP|",SUBSTITUTE(SUBSTITUTE(IF(F298="","NONE",F298),"_","-"),"|","-"),"_SP|",(VLOOKUP(G298,Dictionary!$AY:$AZ,2,0)),"_AC|",(VLOOKUP(H298,Dictionary!$BA:$BB,2,0)),IF(I298="","",CONCATENATE("_OB|",(VLOOKUP(I298,Dictionary!$AS:$AT,2,0)))),IF(J298="","",CONCATENATE("_U1|",SUBSTITUTE(SUBSTITUTE(J298,"_","-"),"|","-"))),IF(K298="","",CONCATENATE("_U2|",SUBSTITUTE(SUBSTITUTE(K298,"_","-"),"|","-"))),IF(L298="","",CONCATENATE("_U3|",SUBSTITUTE(SUBSTITUTE(L298,"_","-"),"|","-"))))</f>
        <v>#N/A</v>
      </c>
    </row>
    <row r="299" ht="15.75" customHeight="1">
      <c r="A299" s="20"/>
      <c r="B299" s="20"/>
      <c r="C299" s="20"/>
      <c r="D299" s="20"/>
      <c r="E299" s="20"/>
      <c r="F299" s="21"/>
      <c r="G299" s="20"/>
      <c r="H299" s="20"/>
      <c r="I299" s="20"/>
      <c r="J299" s="20"/>
      <c r="K299" s="20"/>
      <c r="L299" s="20"/>
      <c r="M299" s="20" t="str">
        <f>CONCATENATE("MK|",(VLOOKUP(B299,Dictionary!$A:$B,2,FALSE)),"_CN|",SUBSTITUTE(SUBSTITUTE(IF(C299="","NONE",C299),"_","-"),"|","-"),"_MN|",(VLOOKUP(D299,Dictionary!$D:$E,2,0)),"_YQ|",(VLOOKUP(E299,Dictionary!$AR:$AR,1,0)),"_CP|",SUBSTITUTE(SUBSTITUTE(IF(F299="","NONE",F299),"_","-"),"|","-"),"_SP|",(VLOOKUP(G299,Dictionary!$AY:$AZ,2,0)),"_AC|",(VLOOKUP(H299,Dictionary!$BA:$BB,2,0)),IF(I299="","",CONCATENATE("_OB|",(VLOOKUP(I299,Dictionary!$AS:$AT,2,0)))),IF(J299="","",CONCATENATE("_U1|",SUBSTITUTE(SUBSTITUTE(J299,"_","-"),"|","-"))),IF(K299="","",CONCATENATE("_U2|",SUBSTITUTE(SUBSTITUTE(K299,"_","-"),"|","-"))),IF(L299="","",CONCATENATE("_U3|",SUBSTITUTE(SUBSTITUTE(L299,"_","-"),"|","-"))))</f>
        <v>#N/A</v>
      </c>
    </row>
    <row r="300" ht="15.75" customHeight="1">
      <c r="A300" s="20"/>
      <c r="B300" s="20"/>
      <c r="C300" s="20"/>
      <c r="D300" s="20"/>
      <c r="E300" s="20"/>
      <c r="F300" s="21"/>
      <c r="G300" s="20"/>
      <c r="H300" s="20"/>
      <c r="I300" s="20"/>
      <c r="J300" s="20"/>
      <c r="K300" s="20"/>
      <c r="L300" s="20"/>
      <c r="M300" s="20" t="str">
        <f>CONCATENATE("MK|",(VLOOKUP(B300,Dictionary!$A:$B,2,FALSE)),"_CN|",SUBSTITUTE(SUBSTITUTE(IF(C300="","NONE",C300),"_","-"),"|","-"),"_MN|",(VLOOKUP(D300,Dictionary!$D:$E,2,0)),"_YQ|",(VLOOKUP(E300,Dictionary!$AR:$AR,1,0)),"_CP|",SUBSTITUTE(SUBSTITUTE(IF(F300="","NONE",F300),"_","-"),"|","-"),"_SP|",(VLOOKUP(G300,Dictionary!$AY:$AZ,2,0)),"_AC|",(VLOOKUP(H300,Dictionary!$BA:$BB,2,0)),IF(I300="","",CONCATENATE("_OB|",(VLOOKUP(I300,Dictionary!$AS:$AT,2,0)))),IF(J300="","",CONCATENATE("_U1|",SUBSTITUTE(SUBSTITUTE(J300,"_","-"),"|","-"))),IF(K300="","",CONCATENATE("_U2|",SUBSTITUTE(SUBSTITUTE(K300,"_","-"),"|","-"))),IF(L300="","",CONCATENATE("_U3|",SUBSTITUTE(SUBSTITUTE(L300,"_","-"),"|","-"))))</f>
        <v>#N/A</v>
      </c>
    </row>
    <row r="301" ht="15.75" customHeight="1">
      <c r="A301" s="20"/>
      <c r="B301" s="20"/>
      <c r="C301" s="20"/>
      <c r="D301" s="20"/>
      <c r="E301" s="20"/>
      <c r="F301" s="21"/>
      <c r="G301" s="20"/>
      <c r="H301" s="20"/>
      <c r="I301" s="20"/>
      <c r="J301" s="20"/>
      <c r="K301" s="20"/>
      <c r="L301" s="20"/>
      <c r="M301" s="20" t="str">
        <f>CONCATENATE("MK|",(VLOOKUP(B301,Dictionary!$A:$B,2,FALSE)),"_CN|",SUBSTITUTE(SUBSTITUTE(IF(C301="","NONE",C301),"_","-"),"|","-"),"_MN|",(VLOOKUP(D301,Dictionary!$D:$E,2,0)),"_YQ|",(VLOOKUP(E301,Dictionary!$AR:$AR,1,0)),"_CP|",SUBSTITUTE(SUBSTITUTE(IF(F301="","NONE",F301),"_","-"),"|","-"),"_SP|",(VLOOKUP(G301,Dictionary!$AY:$AZ,2,0)),"_AC|",(VLOOKUP(H301,Dictionary!$BA:$BB,2,0)),IF(I301="","",CONCATENATE("_OB|",(VLOOKUP(I301,Dictionary!$AS:$AT,2,0)))),IF(J301="","",CONCATENATE("_U1|",SUBSTITUTE(SUBSTITUTE(J301,"_","-"),"|","-"))),IF(K301="","",CONCATENATE("_U2|",SUBSTITUTE(SUBSTITUTE(K301,"_","-"),"|","-"))),IF(L301="","",CONCATENATE("_U3|",SUBSTITUTE(SUBSTITUTE(L301,"_","-"),"|","-"))))</f>
        <v>#N/A</v>
      </c>
    </row>
    <row r="302" ht="15.75" customHeight="1">
      <c r="A302" s="20"/>
      <c r="B302" s="20"/>
      <c r="C302" s="20"/>
      <c r="D302" s="20"/>
      <c r="E302" s="20"/>
      <c r="F302" s="21"/>
      <c r="G302" s="20"/>
      <c r="H302" s="20"/>
      <c r="I302" s="20"/>
      <c r="J302" s="20"/>
      <c r="K302" s="20"/>
      <c r="L302" s="20"/>
      <c r="M302" s="20" t="str">
        <f>CONCATENATE("MK|",(VLOOKUP(B302,Dictionary!$A:$B,2,FALSE)),"_CN|",SUBSTITUTE(SUBSTITUTE(IF(C302="","NONE",C302),"_","-"),"|","-"),"_MN|",(VLOOKUP(D302,Dictionary!$D:$E,2,0)),"_YQ|",(VLOOKUP(E302,Dictionary!$AR:$AR,1,0)),"_CP|",SUBSTITUTE(SUBSTITUTE(IF(F302="","NONE",F302),"_","-"),"|","-"),"_SP|",(VLOOKUP(G302,Dictionary!$AY:$AZ,2,0)),"_AC|",(VLOOKUP(H302,Dictionary!$BA:$BB,2,0)),IF(I302="","",CONCATENATE("_OB|",(VLOOKUP(I302,Dictionary!$AS:$AT,2,0)))),IF(J302="","",CONCATENATE("_U1|",SUBSTITUTE(SUBSTITUTE(J302,"_","-"),"|","-"))),IF(K302="","",CONCATENATE("_U2|",SUBSTITUTE(SUBSTITUTE(K302,"_","-"),"|","-"))),IF(L302="","",CONCATENATE("_U3|",SUBSTITUTE(SUBSTITUTE(L302,"_","-"),"|","-"))))</f>
        <v>#N/A</v>
      </c>
    </row>
    <row r="303" ht="15.75" customHeight="1">
      <c r="A303" s="20"/>
      <c r="B303" s="20"/>
      <c r="C303" s="20"/>
      <c r="D303" s="20"/>
      <c r="E303" s="20"/>
      <c r="F303" s="21"/>
      <c r="G303" s="20"/>
      <c r="H303" s="20"/>
      <c r="I303" s="20"/>
      <c r="J303" s="20"/>
      <c r="K303" s="20"/>
      <c r="L303" s="20"/>
      <c r="M303" s="20" t="str">
        <f>CONCATENATE("MK|",(VLOOKUP(B303,Dictionary!$A:$B,2,FALSE)),"_CN|",SUBSTITUTE(SUBSTITUTE(IF(C303="","NONE",C303),"_","-"),"|","-"),"_MN|",(VLOOKUP(D303,Dictionary!$D:$E,2,0)),"_YQ|",(VLOOKUP(E303,Dictionary!$AR:$AR,1,0)),"_CP|",SUBSTITUTE(SUBSTITUTE(IF(F303="","NONE",F303),"_","-"),"|","-"),"_SP|",(VLOOKUP(G303,Dictionary!$AY:$AZ,2,0)),"_AC|",(VLOOKUP(H303,Dictionary!$BA:$BB,2,0)),IF(I303="","",CONCATENATE("_OB|",(VLOOKUP(I303,Dictionary!$AS:$AT,2,0)))),IF(J303="","",CONCATENATE("_U1|",SUBSTITUTE(SUBSTITUTE(J303,"_","-"),"|","-"))),IF(K303="","",CONCATENATE("_U2|",SUBSTITUTE(SUBSTITUTE(K303,"_","-"),"|","-"))),IF(L303="","",CONCATENATE("_U3|",SUBSTITUTE(SUBSTITUTE(L303,"_","-"),"|","-"))))</f>
        <v>#N/A</v>
      </c>
    </row>
    <row r="304" ht="15.75" customHeight="1">
      <c r="A304" s="20"/>
      <c r="B304" s="20"/>
      <c r="C304" s="20"/>
      <c r="D304" s="20"/>
      <c r="E304" s="20"/>
      <c r="F304" s="21"/>
      <c r="G304" s="20"/>
      <c r="H304" s="20"/>
      <c r="I304" s="20"/>
      <c r="J304" s="20"/>
      <c r="K304" s="20"/>
      <c r="L304" s="20"/>
      <c r="M304" s="20" t="str">
        <f>CONCATENATE("MK|",(VLOOKUP(B304,Dictionary!$A:$B,2,FALSE)),"_CN|",SUBSTITUTE(SUBSTITUTE(IF(C304="","NONE",C304),"_","-"),"|","-"),"_MN|",(VLOOKUP(D304,Dictionary!$D:$E,2,0)),"_YQ|",(VLOOKUP(E304,Dictionary!$AR:$AR,1,0)),"_CP|",SUBSTITUTE(SUBSTITUTE(IF(F304="","NONE",F304),"_","-"),"|","-"),"_SP|",(VLOOKUP(G304,Dictionary!$AY:$AZ,2,0)),"_AC|",(VLOOKUP(H304,Dictionary!$BA:$BB,2,0)),IF(I304="","",CONCATENATE("_OB|",(VLOOKUP(I304,Dictionary!$AS:$AT,2,0)))),IF(J304="","",CONCATENATE("_U1|",SUBSTITUTE(SUBSTITUTE(J304,"_","-"),"|","-"))),IF(K304="","",CONCATENATE("_U2|",SUBSTITUTE(SUBSTITUTE(K304,"_","-"),"|","-"))),IF(L304="","",CONCATENATE("_U3|",SUBSTITUTE(SUBSTITUTE(L304,"_","-"),"|","-"))))</f>
        <v>#N/A</v>
      </c>
    </row>
    <row r="305" ht="15.75" customHeight="1">
      <c r="A305" s="20"/>
      <c r="B305" s="20"/>
      <c r="C305" s="20"/>
      <c r="D305" s="20"/>
      <c r="E305" s="20"/>
      <c r="F305" s="21"/>
      <c r="G305" s="20"/>
      <c r="H305" s="20"/>
      <c r="I305" s="20"/>
      <c r="J305" s="20"/>
      <c r="K305" s="20"/>
      <c r="L305" s="20"/>
      <c r="M305" s="20" t="str">
        <f>CONCATENATE("MK|",(VLOOKUP(B305,Dictionary!$A:$B,2,FALSE)),"_CN|",SUBSTITUTE(SUBSTITUTE(IF(C305="","NONE",C305),"_","-"),"|","-"),"_MN|",(VLOOKUP(D305,Dictionary!$D:$E,2,0)),"_YQ|",(VLOOKUP(E305,Dictionary!$AR:$AR,1,0)),"_CP|",SUBSTITUTE(SUBSTITUTE(IF(F305="","NONE",F305),"_","-"),"|","-"),"_SP|",(VLOOKUP(G305,Dictionary!$AY:$AZ,2,0)),"_AC|",(VLOOKUP(H305,Dictionary!$BA:$BB,2,0)),IF(I305="","",CONCATENATE("_OB|",(VLOOKUP(I305,Dictionary!$AS:$AT,2,0)))),IF(J305="","",CONCATENATE("_U1|",SUBSTITUTE(SUBSTITUTE(J305,"_","-"),"|","-"))),IF(K305="","",CONCATENATE("_U2|",SUBSTITUTE(SUBSTITUTE(K305,"_","-"),"|","-"))),IF(L305="","",CONCATENATE("_U3|",SUBSTITUTE(SUBSTITUTE(L305,"_","-"),"|","-"))))</f>
        <v>#N/A</v>
      </c>
    </row>
    <row r="306" ht="15.75" customHeight="1">
      <c r="A306" s="20"/>
      <c r="B306" s="20"/>
      <c r="C306" s="20"/>
      <c r="D306" s="20"/>
      <c r="E306" s="20"/>
      <c r="F306" s="21"/>
      <c r="G306" s="20"/>
      <c r="H306" s="20"/>
      <c r="I306" s="20"/>
      <c r="J306" s="20"/>
      <c r="K306" s="20"/>
      <c r="L306" s="20"/>
      <c r="M306" s="20" t="str">
        <f>CONCATENATE("MK|",(VLOOKUP(B306,Dictionary!$A:$B,2,FALSE)),"_CN|",SUBSTITUTE(SUBSTITUTE(IF(C306="","NONE",C306),"_","-"),"|","-"),"_MN|",(VLOOKUP(D306,Dictionary!$D:$E,2,0)),"_YQ|",(VLOOKUP(E306,Dictionary!$AR:$AR,1,0)),"_CP|",SUBSTITUTE(SUBSTITUTE(IF(F306="","NONE",F306),"_","-"),"|","-"),"_SP|",(VLOOKUP(G306,Dictionary!$AY:$AZ,2,0)),"_AC|",(VLOOKUP(H306,Dictionary!$BA:$BB,2,0)),IF(I306="","",CONCATENATE("_OB|",(VLOOKUP(I306,Dictionary!$AS:$AT,2,0)))),IF(J306="","",CONCATENATE("_U1|",SUBSTITUTE(SUBSTITUTE(J306,"_","-"),"|","-"))),IF(K306="","",CONCATENATE("_U2|",SUBSTITUTE(SUBSTITUTE(K306,"_","-"),"|","-"))),IF(L306="","",CONCATENATE("_U3|",SUBSTITUTE(SUBSTITUTE(L306,"_","-"),"|","-"))))</f>
        <v>#N/A</v>
      </c>
    </row>
    <row r="307" ht="15.75" customHeight="1">
      <c r="A307" s="20"/>
      <c r="B307" s="20"/>
      <c r="C307" s="20"/>
      <c r="D307" s="20"/>
      <c r="E307" s="20"/>
      <c r="F307" s="21"/>
      <c r="G307" s="20"/>
      <c r="H307" s="20"/>
      <c r="I307" s="20"/>
      <c r="J307" s="20"/>
      <c r="K307" s="20"/>
      <c r="L307" s="20"/>
      <c r="M307" s="20" t="str">
        <f>CONCATENATE("MK|",(VLOOKUP(B307,Dictionary!$A:$B,2,FALSE)),"_CN|",SUBSTITUTE(SUBSTITUTE(IF(C307="","NONE",C307),"_","-"),"|","-"),"_MN|",(VLOOKUP(D307,Dictionary!$D:$E,2,0)),"_YQ|",(VLOOKUP(E307,Dictionary!$AR:$AR,1,0)),"_CP|",SUBSTITUTE(SUBSTITUTE(IF(F307="","NONE",F307),"_","-"),"|","-"),"_SP|",(VLOOKUP(G307,Dictionary!$AY:$AZ,2,0)),"_AC|",(VLOOKUP(H307,Dictionary!$BA:$BB,2,0)),IF(I307="","",CONCATENATE("_OB|",(VLOOKUP(I307,Dictionary!$AS:$AT,2,0)))),IF(J307="","",CONCATENATE("_U1|",SUBSTITUTE(SUBSTITUTE(J307,"_","-"),"|","-"))),IF(K307="","",CONCATENATE("_U2|",SUBSTITUTE(SUBSTITUTE(K307,"_","-"),"|","-"))),IF(L307="","",CONCATENATE("_U3|",SUBSTITUTE(SUBSTITUTE(L307,"_","-"),"|","-"))))</f>
        <v>#N/A</v>
      </c>
    </row>
    <row r="308" ht="15.75" customHeight="1">
      <c r="A308" s="20"/>
      <c r="B308" s="20"/>
      <c r="C308" s="20"/>
      <c r="D308" s="20"/>
      <c r="E308" s="20"/>
      <c r="F308" s="21"/>
      <c r="G308" s="20"/>
      <c r="H308" s="20"/>
      <c r="I308" s="20"/>
      <c r="J308" s="20"/>
      <c r="K308" s="20"/>
      <c r="L308" s="20"/>
      <c r="M308" s="20" t="str">
        <f>CONCATENATE("MK|",(VLOOKUP(B308,Dictionary!$A:$B,2,FALSE)),"_CN|",SUBSTITUTE(SUBSTITUTE(IF(C308="","NONE",C308),"_","-"),"|","-"),"_MN|",(VLOOKUP(D308,Dictionary!$D:$E,2,0)),"_YQ|",(VLOOKUP(E308,Dictionary!$AR:$AR,1,0)),"_CP|",SUBSTITUTE(SUBSTITUTE(IF(F308="","NONE",F308),"_","-"),"|","-"),"_SP|",(VLOOKUP(G308,Dictionary!$AY:$AZ,2,0)),"_AC|",(VLOOKUP(H308,Dictionary!$BA:$BB,2,0)),IF(I308="","",CONCATENATE("_OB|",(VLOOKUP(I308,Dictionary!$AS:$AT,2,0)))),IF(J308="","",CONCATENATE("_U1|",SUBSTITUTE(SUBSTITUTE(J308,"_","-"),"|","-"))),IF(K308="","",CONCATENATE("_U2|",SUBSTITUTE(SUBSTITUTE(K308,"_","-"),"|","-"))),IF(L308="","",CONCATENATE("_U3|",SUBSTITUTE(SUBSTITUTE(L308,"_","-"),"|","-"))))</f>
        <v>#N/A</v>
      </c>
    </row>
    <row r="309" ht="15.75" customHeight="1">
      <c r="A309" s="20"/>
      <c r="B309" s="20"/>
      <c r="C309" s="20"/>
      <c r="D309" s="20"/>
      <c r="E309" s="20"/>
      <c r="F309" s="21"/>
      <c r="G309" s="20"/>
      <c r="H309" s="20"/>
      <c r="I309" s="20"/>
      <c r="J309" s="20"/>
      <c r="K309" s="20"/>
      <c r="L309" s="20"/>
      <c r="M309" s="20" t="str">
        <f>CONCATENATE("MK|",(VLOOKUP(B309,Dictionary!$A:$B,2,FALSE)),"_CN|",SUBSTITUTE(SUBSTITUTE(IF(C309="","NONE",C309),"_","-"),"|","-"),"_MN|",(VLOOKUP(D309,Dictionary!$D:$E,2,0)),"_YQ|",(VLOOKUP(E309,Dictionary!$AR:$AR,1,0)),"_CP|",SUBSTITUTE(SUBSTITUTE(IF(F309="","NONE",F309),"_","-"),"|","-"),"_SP|",(VLOOKUP(G309,Dictionary!$AY:$AZ,2,0)),"_AC|",(VLOOKUP(H309,Dictionary!$BA:$BB,2,0)),IF(I309="","",CONCATENATE("_OB|",(VLOOKUP(I309,Dictionary!$AS:$AT,2,0)))),IF(J309="","",CONCATENATE("_U1|",SUBSTITUTE(SUBSTITUTE(J309,"_","-"),"|","-"))),IF(K309="","",CONCATENATE("_U2|",SUBSTITUTE(SUBSTITUTE(K309,"_","-"),"|","-"))),IF(L309="","",CONCATENATE("_U3|",SUBSTITUTE(SUBSTITUTE(L309,"_","-"),"|","-"))))</f>
        <v>#N/A</v>
      </c>
    </row>
    <row r="310" ht="15.75" customHeight="1">
      <c r="A310" s="20"/>
      <c r="B310" s="20"/>
      <c r="C310" s="20"/>
      <c r="D310" s="20"/>
      <c r="E310" s="20"/>
      <c r="F310" s="21"/>
      <c r="G310" s="20"/>
      <c r="H310" s="20"/>
      <c r="I310" s="20"/>
      <c r="J310" s="20"/>
      <c r="K310" s="20"/>
      <c r="L310" s="20"/>
      <c r="M310" s="20" t="str">
        <f>CONCATENATE("MK|",(VLOOKUP(B310,Dictionary!$A:$B,2,FALSE)),"_CN|",SUBSTITUTE(SUBSTITUTE(IF(C310="","NONE",C310),"_","-"),"|","-"),"_MN|",(VLOOKUP(D310,Dictionary!$D:$E,2,0)),"_YQ|",(VLOOKUP(E310,Dictionary!$AR:$AR,1,0)),"_CP|",SUBSTITUTE(SUBSTITUTE(IF(F310="","NONE",F310),"_","-"),"|","-"),"_SP|",(VLOOKUP(G310,Dictionary!$AY:$AZ,2,0)),"_AC|",(VLOOKUP(H310,Dictionary!$BA:$BB,2,0)),IF(I310="","",CONCATENATE("_OB|",(VLOOKUP(I310,Dictionary!$AS:$AT,2,0)))),IF(J310="","",CONCATENATE("_U1|",SUBSTITUTE(SUBSTITUTE(J310,"_","-"),"|","-"))),IF(K310="","",CONCATENATE("_U2|",SUBSTITUTE(SUBSTITUTE(K310,"_","-"),"|","-"))),IF(L310="","",CONCATENATE("_U3|",SUBSTITUTE(SUBSTITUTE(L310,"_","-"),"|","-"))))</f>
        <v>#N/A</v>
      </c>
    </row>
    <row r="311" ht="15.75" customHeight="1">
      <c r="A311" s="20"/>
      <c r="B311" s="20"/>
      <c r="C311" s="20"/>
      <c r="D311" s="20"/>
      <c r="E311" s="20"/>
      <c r="F311" s="21"/>
      <c r="G311" s="20"/>
      <c r="H311" s="20"/>
      <c r="I311" s="20"/>
      <c r="J311" s="20"/>
      <c r="K311" s="20"/>
      <c r="L311" s="20"/>
      <c r="M311" s="20" t="str">
        <f>CONCATENATE("MK|",(VLOOKUP(B311,Dictionary!$A:$B,2,FALSE)),"_CN|",SUBSTITUTE(SUBSTITUTE(IF(C311="","NONE",C311),"_","-"),"|","-"),"_MN|",(VLOOKUP(D311,Dictionary!$D:$E,2,0)),"_YQ|",(VLOOKUP(E311,Dictionary!$AR:$AR,1,0)),"_CP|",SUBSTITUTE(SUBSTITUTE(IF(F311="","NONE",F311),"_","-"),"|","-"),"_SP|",(VLOOKUP(G311,Dictionary!$AY:$AZ,2,0)),"_AC|",(VLOOKUP(H311,Dictionary!$BA:$BB,2,0)),IF(I311="","",CONCATENATE("_OB|",(VLOOKUP(I311,Dictionary!$AS:$AT,2,0)))),IF(J311="","",CONCATENATE("_U1|",SUBSTITUTE(SUBSTITUTE(J311,"_","-"),"|","-"))),IF(K311="","",CONCATENATE("_U2|",SUBSTITUTE(SUBSTITUTE(K311,"_","-"),"|","-"))),IF(L311="","",CONCATENATE("_U3|",SUBSTITUTE(SUBSTITUTE(L311,"_","-"),"|","-"))))</f>
        <v>#N/A</v>
      </c>
    </row>
    <row r="312" ht="15.75" customHeight="1">
      <c r="A312" s="20"/>
      <c r="B312" s="20"/>
      <c r="C312" s="20"/>
      <c r="D312" s="20"/>
      <c r="E312" s="20"/>
      <c r="F312" s="21"/>
      <c r="G312" s="20"/>
      <c r="H312" s="20"/>
      <c r="I312" s="20"/>
      <c r="J312" s="20"/>
      <c r="K312" s="20"/>
      <c r="L312" s="20"/>
      <c r="M312" s="20" t="str">
        <f>CONCATENATE("MK|",(VLOOKUP(B312,Dictionary!$A:$B,2,FALSE)),"_CN|",SUBSTITUTE(SUBSTITUTE(IF(C312="","NONE",C312),"_","-"),"|","-"),"_MN|",(VLOOKUP(D312,Dictionary!$D:$E,2,0)),"_YQ|",(VLOOKUP(E312,Dictionary!$AR:$AR,1,0)),"_CP|",SUBSTITUTE(SUBSTITUTE(IF(F312="","NONE",F312),"_","-"),"|","-"),"_SP|",(VLOOKUP(G312,Dictionary!$AY:$AZ,2,0)),"_AC|",(VLOOKUP(H312,Dictionary!$BA:$BB,2,0)),IF(I312="","",CONCATENATE("_OB|",(VLOOKUP(I312,Dictionary!$AS:$AT,2,0)))),IF(J312="","",CONCATENATE("_U1|",SUBSTITUTE(SUBSTITUTE(J312,"_","-"),"|","-"))),IF(K312="","",CONCATENATE("_U2|",SUBSTITUTE(SUBSTITUTE(K312,"_","-"),"|","-"))),IF(L312="","",CONCATENATE("_U3|",SUBSTITUTE(SUBSTITUTE(L312,"_","-"),"|","-"))))</f>
        <v>#N/A</v>
      </c>
    </row>
    <row r="313" ht="15.75" customHeight="1">
      <c r="A313" s="20"/>
      <c r="B313" s="20"/>
      <c r="C313" s="20"/>
      <c r="D313" s="20"/>
      <c r="E313" s="20"/>
      <c r="F313" s="21"/>
      <c r="G313" s="20"/>
      <c r="H313" s="20"/>
      <c r="I313" s="20"/>
      <c r="J313" s="20"/>
      <c r="K313" s="20"/>
      <c r="L313" s="20"/>
      <c r="M313" s="20" t="str">
        <f>CONCATENATE("MK|",(VLOOKUP(B313,Dictionary!$A:$B,2,FALSE)),"_CN|",SUBSTITUTE(SUBSTITUTE(IF(C313="","NONE",C313),"_","-"),"|","-"),"_MN|",(VLOOKUP(D313,Dictionary!$D:$E,2,0)),"_YQ|",(VLOOKUP(E313,Dictionary!$AR:$AR,1,0)),"_CP|",SUBSTITUTE(SUBSTITUTE(IF(F313="","NONE",F313),"_","-"),"|","-"),"_SP|",(VLOOKUP(G313,Dictionary!$AY:$AZ,2,0)),"_AC|",(VLOOKUP(H313,Dictionary!$BA:$BB,2,0)),IF(I313="","",CONCATENATE("_OB|",(VLOOKUP(I313,Dictionary!$AS:$AT,2,0)))),IF(J313="","",CONCATENATE("_U1|",SUBSTITUTE(SUBSTITUTE(J313,"_","-"),"|","-"))),IF(K313="","",CONCATENATE("_U2|",SUBSTITUTE(SUBSTITUTE(K313,"_","-"),"|","-"))),IF(L313="","",CONCATENATE("_U3|",SUBSTITUTE(SUBSTITUTE(L313,"_","-"),"|","-"))))</f>
        <v>#N/A</v>
      </c>
    </row>
    <row r="314" ht="15.75" customHeight="1">
      <c r="A314" s="20"/>
      <c r="B314" s="20"/>
      <c r="C314" s="20"/>
      <c r="D314" s="20"/>
      <c r="E314" s="20"/>
      <c r="F314" s="21"/>
      <c r="G314" s="20"/>
      <c r="H314" s="20"/>
      <c r="I314" s="20"/>
      <c r="J314" s="20"/>
      <c r="K314" s="20"/>
      <c r="L314" s="20"/>
      <c r="M314" s="20" t="str">
        <f>CONCATENATE("MK|",(VLOOKUP(B314,Dictionary!$A:$B,2,FALSE)),"_CN|",SUBSTITUTE(SUBSTITUTE(IF(C314="","NONE",C314),"_","-"),"|","-"),"_MN|",(VLOOKUP(D314,Dictionary!$D:$E,2,0)),"_YQ|",(VLOOKUP(E314,Dictionary!$AR:$AR,1,0)),"_CP|",SUBSTITUTE(SUBSTITUTE(IF(F314="","NONE",F314),"_","-"),"|","-"),"_SP|",(VLOOKUP(G314,Dictionary!$AY:$AZ,2,0)),"_AC|",(VLOOKUP(H314,Dictionary!$BA:$BB,2,0)),IF(I314="","",CONCATENATE("_OB|",(VLOOKUP(I314,Dictionary!$AS:$AT,2,0)))),IF(J314="","",CONCATENATE("_U1|",SUBSTITUTE(SUBSTITUTE(J314,"_","-"),"|","-"))),IF(K314="","",CONCATENATE("_U2|",SUBSTITUTE(SUBSTITUTE(K314,"_","-"),"|","-"))),IF(L314="","",CONCATENATE("_U3|",SUBSTITUTE(SUBSTITUTE(L314,"_","-"),"|","-"))))</f>
        <v>#N/A</v>
      </c>
    </row>
    <row r="315" ht="15.75" customHeight="1">
      <c r="A315" s="20"/>
      <c r="B315" s="20"/>
      <c r="C315" s="20"/>
      <c r="D315" s="20"/>
      <c r="E315" s="20"/>
      <c r="F315" s="21"/>
      <c r="G315" s="20"/>
      <c r="H315" s="20"/>
      <c r="I315" s="20"/>
      <c r="J315" s="20"/>
      <c r="K315" s="20"/>
      <c r="L315" s="20"/>
      <c r="M315" s="20" t="str">
        <f>CONCATENATE("MK|",(VLOOKUP(B315,Dictionary!$A:$B,2,FALSE)),"_CN|",SUBSTITUTE(SUBSTITUTE(IF(C315="","NONE",C315),"_","-"),"|","-"),"_MN|",(VLOOKUP(D315,Dictionary!$D:$E,2,0)),"_YQ|",(VLOOKUP(E315,Dictionary!$AR:$AR,1,0)),"_CP|",SUBSTITUTE(SUBSTITUTE(IF(F315="","NONE",F315),"_","-"),"|","-"),"_SP|",(VLOOKUP(G315,Dictionary!$AY:$AZ,2,0)),"_AC|",(VLOOKUP(H315,Dictionary!$BA:$BB,2,0)),IF(I315="","",CONCATENATE("_OB|",(VLOOKUP(I315,Dictionary!$AS:$AT,2,0)))),IF(J315="","",CONCATENATE("_U1|",SUBSTITUTE(SUBSTITUTE(J315,"_","-"),"|","-"))),IF(K315="","",CONCATENATE("_U2|",SUBSTITUTE(SUBSTITUTE(K315,"_","-"),"|","-"))),IF(L315="","",CONCATENATE("_U3|",SUBSTITUTE(SUBSTITUTE(L315,"_","-"),"|","-"))))</f>
        <v>#N/A</v>
      </c>
    </row>
    <row r="316" ht="15.75" customHeight="1">
      <c r="A316" s="20"/>
      <c r="B316" s="20"/>
      <c r="C316" s="20"/>
      <c r="D316" s="20"/>
      <c r="E316" s="20"/>
      <c r="F316" s="21"/>
      <c r="G316" s="20"/>
      <c r="H316" s="20"/>
      <c r="I316" s="20"/>
      <c r="J316" s="20"/>
      <c r="K316" s="20"/>
      <c r="L316" s="20"/>
      <c r="M316" s="20" t="str">
        <f>CONCATENATE("MK|",(VLOOKUP(B316,Dictionary!$A:$B,2,FALSE)),"_CN|",SUBSTITUTE(SUBSTITUTE(IF(C316="","NONE",C316),"_","-"),"|","-"),"_MN|",(VLOOKUP(D316,Dictionary!$D:$E,2,0)),"_YQ|",(VLOOKUP(E316,Dictionary!$AR:$AR,1,0)),"_CP|",SUBSTITUTE(SUBSTITUTE(IF(F316="","NONE",F316),"_","-"),"|","-"),"_SP|",(VLOOKUP(G316,Dictionary!$AY:$AZ,2,0)),"_AC|",(VLOOKUP(H316,Dictionary!$BA:$BB,2,0)),IF(I316="","",CONCATENATE("_OB|",(VLOOKUP(I316,Dictionary!$AS:$AT,2,0)))),IF(J316="","",CONCATENATE("_U1|",SUBSTITUTE(SUBSTITUTE(J316,"_","-"),"|","-"))),IF(K316="","",CONCATENATE("_U2|",SUBSTITUTE(SUBSTITUTE(K316,"_","-"),"|","-"))),IF(L316="","",CONCATENATE("_U3|",SUBSTITUTE(SUBSTITUTE(L316,"_","-"),"|","-"))))</f>
        <v>#N/A</v>
      </c>
    </row>
    <row r="317" ht="15.75" customHeight="1">
      <c r="A317" s="20"/>
      <c r="B317" s="20"/>
      <c r="C317" s="20"/>
      <c r="D317" s="20"/>
      <c r="E317" s="20"/>
      <c r="F317" s="21"/>
      <c r="G317" s="20"/>
      <c r="H317" s="20"/>
      <c r="I317" s="20"/>
      <c r="J317" s="20"/>
      <c r="K317" s="20"/>
      <c r="L317" s="20"/>
      <c r="M317" s="20" t="str">
        <f>CONCATENATE("MK|",(VLOOKUP(B317,Dictionary!$A:$B,2,FALSE)),"_CN|",SUBSTITUTE(SUBSTITUTE(IF(C317="","NONE",C317),"_","-"),"|","-"),"_MN|",(VLOOKUP(D317,Dictionary!$D:$E,2,0)),"_YQ|",(VLOOKUP(E317,Dictionary!$AR:$AR,1,0)),"_CP|",SUBSTITUTE(SUBSTITUTE(IF(F317="","NONE",F317),"_","-"),"|","-"),"_SP|",(VLOOKUP(G317,Dictionary!$AY:$AZ,2,0)),"_AC|",(VLOOKUP(H317,Dictionary!$BA:$BB,2,0)),IF(I317="","",CONCATENATE("_OB|",(VLOOKUP(I317,Dictionary!$AS:$AT,2,0)))),IF(J317="","",CONCATENATE("_U1|",SUBSTITUTE(SUBSTITUTE(J317,"_","-"),"|","-"))),IF(K317="","",CONCATENATE("_U2|",SUBSTITUTE(SUBSTITUTE(K317,"_","-"),"|","-"))),IF(L317="","",CONCATENATE("_U3|",SUBSTITUTE(SUBSTITUTE(L317,"_","-"),"|","-"))))</f>
        <v>#N/A</v>
      </c>
    </row>
    <row r="318" ht="15.75" customHeight="1">
      <c r="A318" s="20"/>
      <c r="B318" s="20"/>
      <c r="C318" s="20"/>
      <c r="D318" s="20"/>
      <c r="E318" s="20"/>
      <c r="F318" s="21"/>
      <c r="G318" s="20"/>
      <c r="H318" s="20"/>
      <c r="I318" s="20"/>
      <c r="J318" s="20"/>
      <c r="K318" s="20"/>
      <c r="L318" s="20"/>
      <c r="M318" s="20" t="str">
        <f>CONCATENATE("MK|",(VLOOKUP(B318,Dictionary!$A:$B,2,FALSE)),"_CN|",SUBSTITUTE(SUBSTITUTE(IF(C318="","NONE",C318),"_","-"),"|","-"),"_MN|",(VLOOKUP(D318,Dictionary!$D:$E,2,0)),"_YQ|",(VLOOKUP(E318,Dictionary!$AR:$AR,1,0)),"_CP|",SUBSTITUTE(SUBSTITUTE(IF(F318="","NONE",F318),"_","-"),"|","-"),"_SP|",(VLOOKUP(G318,Dictionary!$AY:$AZ,2,0)),"_AC|",(VLOOKUP(H318,Dictionary!$BA:$BB,2,0)),IF(I318="","",CONCATENATE("_OB|",(VLOOKUP(I318,Dictionary!$AS:$AT,2,0)))),IF(J318="","",CONCATENATE("_U1|",SUBSTITUTE(SUBSTITUTE(J318,"_","-"),"|","-"))),IF(K318="","",CONCATENATE("_U2|",SUBSTITUTE(SUBSTITUTE(K318,"_","-"),"|","-"))),IF(L318="","",CONCATENATE("_U3|",SUBSTITUTE(SUBSTITUTE(L318,"_","-"),"|","-"))))</f>
        <v>#N/A</v>
      </c>
    </row>
    <row r="319" ht="15.75" customHeight="1">
      <c r="A319" s="20"/>
      <c r="B319" s="20"/>
      <c r="C319" s="20"/>
      <c r="D319" s="20"/>
      <c r="E319" s="20"/>
      <c r="F319" s="21"/>
      <c r="G319" s="20"/>
      <c r="H319" s="20"/>
      <c r="I319" s="20"/>
      <c r="J319" s="20"/>
      <c r="K319" s="20"/>
      <c r="L319" s="20"/>
      <c r="M319" s="20" t="str">
        <f>CONCATENATE("MK|",(VLOOKUP(B319,Dictionary!$A:$B,2,FALSE)),"_CN|",SUBSTITUTE(SUBSTITUTE(IF(C319="","NONE",C319),"_","-"),"|","-"),"_MN|",(VLOOKUP(D319,Dictionary!$D:$E,2,0)),"_YQ|",(VLOOKUP(E319,Dictionary!$AR:$AR,1,0)),"_CP|",SUBSTITUTE(SUBSTITUTE(IF(F319="","NONE",F319),"_","-"),"|","-"),"_SP|",(VLOOKUP(G319,Dictionary!$AY:$AZ,2,0)),"_AC|",(VLOOKUP(H319,Dictionary!$BA:$BB,2,0)),IF(I319="","",CONCATENATE("_OB|",(VLOOKUP(I319,Dictionary!$AS:$AT,2,0)))),IF(J319="","",CONCATENATE("_U1|",SUBSTITUTE(SUBSTITUTE(J319,"_","-"),"|","-"))),IF(K319="","",CONCATENATE("_U2|",SUBSTITUTE(SUBSTITUTE(K319,"_","-"),"|","-"))),IF(L319="","",CONCATENATE("_U3|",SUBSTITUTE(SUBSTITUTE(L319,"_","-"),"|","-"))))</f>
        <v>#N/A</v>
      </c>
    </row>
    <row r="320" ht="15.75" customHeight="1">
      <c r="A320" s="20"/>
      <c r="B320" s="20"/>
      <c r="C320" s="20"/>
      <c r="D320" s="20"/>
      <c r="E320" s="20"/>
      <c r="F320" s="21"/>
      <c r="G320" s="20"/>
      <c r="H320" s="20"/>
      <c r="I320" s="20"/>
      <c r="J320" s="20"/>
      <c r="K320" s="20"/>
      <c r="L320" s="20"/>
      <c r="M320" s="20" t="str">
        <f>CONCATENATE("MK|",(VLOOKUP(B320,Dictionary!$A:$B,2,FALSE)),"_CN|",SUBSTITUTE(SUBSTITUTE(IF(C320="","NONE",C320),"_","-"),"|","-"),"_MN|",(VLOOKUP(D320,Dictionary!$D:$E,2,0)),"_YQ|",(VLOOKUP(E320,Dictionary!$AR:$AR,1,0)),"_CP|",SUBSTITUTE(SUBSTITUTE(IF(F320="","NONE",F320),"_","-"),"|","-"),"_SP|",(VLOOKUP(G320,Dictionary!$AY:$AZ,2,0)),"_AC|",(VLOOKUP(H320,Dictionary!$BA:$BB,2,0)),IF(I320="","",CONCATENATE("_OB|",(VLOOKUP(I320,Dictionary!$AS:$AT,2,0)))),IF(J320="","",CONCATENATE("_U1|",SUBSTITUTE(SUBSTITUTE(J320,"_","-"),"|","-"))),IF(K320="","",CONCATENATE("_U2|",SUBSTITUTE(SUBSTITUTE(K320,"_","-"),"|","-"))),IF(L320="","",CONCATENATE("_U3|",SUBSTITUTE(SUBSTITUTE(L320,"_","-"),"|","-"))))</f>
        <v>#N/A</v>
      </c>
    </row>
    <row r="321" ht="15.75" customHeight="1">
      <c r="A321" s="20"/>
      <c r="B321" s="20"/>
      <c r="C321" s="20"/>
      <c r="D321" s="20"/>
      <c r="E321" s="20"/>
      <c r="F321" s="21"/>
      <c r="G321" s="20"/>
      <c r="H321" s="20"/>
      <c r="I321" s="20"/>
      <c r="J321" s="20"/>
      <c r="K321" s="20"/>
      <c r="L321" s="20"/>
      <c r="M321" s="20" t="str">
        <f>CONCATENATE("MK|",(VLOOKUP(B321,Dictionary!$A:$B,2,FALSE)),"_CN|",SUBSTITUTE(SUBSTITUTE(IF(C321="","NONE",C321),"_","-"),"|","-"),"_MN|",(VLOOKUP(D321,Dictionary!$D:$E,2,0)),"_YQ|",(VLOOKUP(E321,Dictionary!$AR:$AR,1,0)),"_CP|",SUBSTITUTE(SUBSTITUTE(IF(F321="","NONE",F321),"_","-"),"|","-"),"_SP|",(VLOOKUP(G321,Dictionary!$AY:$AZ,2,0)),"_AC|",(VLOOKUP(H321,Dictionary!$BA:$BB,2,0)),IF(I321="","",CONCATENATE("_OB|",(VLOOKUP(I321,Dictionary!$AS:$AT,2,0)))),IF(J321="","",CONCATENATE("_U1|",SUBSTITUTE(SUBSTITUTE(J321,"_","-"),"|","-"))),IF(K321="","",CONCATENATE("_U2|",SUBSTITUTE(SUBSTITUTE(K321,"_","-"),"|","-"))),IF(L321="","",CONCATENATE("_U3|",SUBSTITUTE(SUBSTITUTE(L321,"_","-"),"|","-"))))</f>
        <v>#N/A</v>
      </c>
    </row>
    <row r="322" ht="15.75" customHeight="1">
      <c r="A322" s="20"/>
      <c r="B322" s="20"/>
      <c r="C322" s="20"/>
      <c r="D322" s="20"/>
      <c r="E322" s="20"/>
      <c r="F322" s="21"/>
      <c r="G322" s="20"/>
      <c r="H322" s="20"/>
      <c r="I322" s="20"/>
      <c r="J322" s="20"/>
      <c r="K322" s="20"/>
      <c r="L322" s="20"/>
      <c r="M322" s="20" t="str">
        <f>CONCATENATE("MK|",(VLOOKUP(B322,Dictionary!$A:$B,2,FALSE)),"_CN|",SUBSTITUTE(SUBSTITUTE(IF(C322="","NONE",C322),"_","-"),"|","-"),"_MN|",(VLOOKUP(D322,Dictionary!$D:$E,2,0)),"_YQ|",(VLOOKUP(E322,Dictionary!$AR:$AR,1,0)),"_CP|",SUBSTITUTE(SUBSTITUTE(IF(F322="","NONE",F322),"_","-"),"|","-"),"_SP|",(VLOOKUP(G322,Dictionary!$AY:$AZ,2,0)),"_AC|",(VLOOKUP(H322,Dictionary!$BA:$BB,2,0)),IF(I322="","",CONCATENATE("_OB|",(VLOOKUP(I322,Dictionary!$AS:$AT,2,0)))),IF(J322="","",CONCATENATE("_U1|",SUBSTITUTE(SUBSTITUTE(J322,"_","-"),"|","-"))),IF(K322="","",CONCATENATE("_U2|",SUBSTITUTE(SUBSTITUTE(K322,"_","-"),"|","-"))),IF(L322="","",CONCATENATE("_U3|",SUBSTITUTE(SUBSTITUTE(L322,"_","-"),"|","-"))))</f>
        <v>#N/A</v>
      </c>
    </row>
    <row r="323" ht="15.75" customHeight="1">
      <c r="A323" s="20"/>
      <c r="B323" s="20"/>
      <c r="C323" s="20"/>
      <c r="D323" s="20"/>
      <c r="E323" s="20"/>
      <c r="F323" s="21"/>
      <c r="G323" s="20"/>
      <c r="H323" s="20"/>
      <c r="I323" s="20"/>
      <c r="J323" s="20"/>
      <c r="K323" s="20"/>
      <c r="L323" s="20"/>
      <c r="M323" s="20" t="str">
        <f>CONCATENATE("MK|",(VLOOKUP(B323,Dictionary!$A:$B,2,FALSE)),"_CN|",SUBSTITUTE(SUBSTITUTE(IF(C323="","NONE",C323),"_","-"),"|","-"),"_MN|",(VLOOKUP(D323,Dictionary!$D:$E,2,0)),"_YQ|",(VLOOKUP(E323,Dictionary!$AR:$AR,1,0)),"_CP|",SUBSTITUTE(SUBSTITUTE(IF(F323="","NONE",F323),"_","-"),"|","-"),"_SP|",(VLOOKUP(G323,Dictionary!$AY:$AZ,2,0)),"_AC|",(VLOOKUP(H323,Dictionary!$BA:$BB,2,0)),IF(I323="","",CONCATENATE("_OB|",(VLOOKUP(I323,Dictionary!$AS:$AT,2,0)))),IF(J323="","",CONCATENATE("_U1|",SUBSTITUTE(SUBSTITUTE(J323,"_","-"),"|","-"))),IF(K323="","",CONCATENATE("_U2|",SUBSTITUTE(SUBSTITUTE(K323,"_","-"),"|","-"))),IF(L323="","",CONCATENATE("_U3|",SUBSTITUTE(SUBSTITUTE(L323,"_","-"),"|","-"))))</f>
        <v>#N/A</v>
      </c>
    </row>
    <row r="324" ht="15.75" customHeight="1">
      <c r="A324" s="20"/>
      <c r="B324" s="20"/>
      <c r="C324" s="20"/>
      <c r="D324" s="20"/>
      <c r="E324" s="20"/>
      <c r="F324" s="21"/>
      <c r="G324" s="20"/>
      <c r="H324" s="20"/>
      <c r="I324" s="20"/>
      <c r="J324" s="20"/>
      <c r="K324" s="20"/>
      <c r="L324" s="20"/>
      <c r="M324" s="20" t="str">
        <f>CONCATENATE("MK|",(VLOOKUP(B324,Dictionary!$A:$B,2,FALSE)),"_CN|",SUBSTITUTE(SUBSTITUTE(IF(C324="","NONE",C324),"_","-"),"|","-"),"_MN|",(VLOOKUP(D324,Dictionary!$D:$E,2,0)),"_YQ|",(VLOOKUP(E324,Dictionary!$AR:$AR,1,0)),"_CP|",SUBSTITUTE(SUBSTITUTE(IF(F324="","NONE",F324),"_","-"),"|","-"),"_SP|",(VLOOKUP(G324,Dictionary!$AY:$AZ,2,0)),"_AC|",(VLOOKUP(H324,Dictionary!$BA:$BB,2,0)),IF(I324="","",CONCATENATE("_OB|",(VLOOKUP(I324,Dictionary!$AS:$AT,2,0)))),IF(J324="","",CONCATENATE("_U1|",SUBSTITUTE(SUBSTITUTE(J324,"_","-"),"|","-"))),IF(K324="","",CONCATENATE("_U2|",SUBSTITUTE(SUBSTITUTE(K324,"_","-"),"|","-"))),IF(L324="","",CONCATENATE("_U3|",SUBSTITUTE(SUBSTITUTE(L324,"_","-"),"|","-"))))</f>
        <v>#N/A</v>
      </c>
    </row>
    <row r="325" ht="15.75" customHeight="1">
      <c r="A325" s="20"/>
      <c r="B325" s="20"/>
      <c r="C325" s="20"/>
      <c r="D325" s="20"/>
      <c r="E325" s="20"/>
      <c r="F325" s="21"/>
      <c r="G325" s="20"/>
      <c r="H325" s="20"/>
      <c r="I325" s="20"/>
      <c r="J325" s="20"/>
      <c r="K325" s="20"/>
      <c r="L325" s="20"/>
      <c r="M325" s="20" t="str">
        <f>CONCATENATE("MK|",(VLOOKUP(B325,Dictionary!$A:$B,2,FALSE)),"_CN|",SUBSTITUTE(SUBSTITUTE(IF(C325="","NONE",C325),"_","-"),"|","-"),"_MN|",(VLOOKUP(D325,Dictionary!$D:$E,2,0)),"_YQ|",(VLOOKUP(E325,Dictionary!$AR:$AR,1,0)),"_CP|",SUBSTITUTE(SUBSTITUTE(IF(F325="","NONE",F325),"_","-"),"|","-"),"_SP|",(VLOOKUP(G325,Dictionary!$AY:$AZ,2,0)),"_AC|",(VLOOKUP(H325,Dictionary!$BA:$BB,2,0)),IF(I325="","",CONCATENATE("_OB|",(VLOOKUP(I325,Dictionary!$AS:$AT,2,0)))),IF(J325="","",CONCATENATE("_U1|",SUBSTITUTE(SUBSTITUTE(J325,"_","-"),"|","-"))),IF(K325="","",CONCATENATE("_U2|",SUBSTITUTE(SUBSTITUTE(K325,"_","-"),"|","-"))),IF(L325="","",CONCATENATE("_U3|",SUBSTITUTE(SUBSTITUTE(L325,"_","-"),"|","-"))))</f>
        <v>#N/A</v>
      </c>
    </row>
    <row r="326" ht="15.75" customHeight="1">
      <c r="A326" s="20"/>
      <c r="B326" s="20"/>
      <c r="C326" s="20"/>
      <c r="D326" s="20"/>
      <c r="E326" s="20"/>
      <c r="F326" s="21"/>
      <c r="G326" s="20"/>
      <c r="H326" s="20"/>
      <c r="I326" s="20"/>
      <c r="J326" s="20"/>
      <c r="K326" s="20"/>
      <c r="L326" s="20"/>
      <c r="M326" s="20" t="str">
        <f>CONCATENATE("MK|",(VLOOKUP(B326,Dictionary!$A:$B,2,FALSE)),"_CN|",SUBSTITUTE(SUBSTITUTE(IF(C326="","NONE",C326),"_","-"),"|","-"),"_MN|",(VLOOKUP(D326,Dictionary!$D:$E,2,0)),"_YQ|",(VLOOKUP(E326,Dictionary!$AR:$AR,1,0)),"_CP|",SUBSTITUTE(SUBSTITUTE(IF(F326="","NONE",F326),"_","-"),"|","-"),"_SP|",(VLOOKUP(G326,Dictionary!$AY:$AZ,2,0)),"_AC|",(VLOOKUP(H326,Dictionary!$BA:$BB,2,0)),IF(I326="","",CONCATENATE("_OB|",(VLOOKUP(I326,Dictionary!$AS:$AT,2,0)))),IF(J326="","",CONCATENATE("_U1|",SUBSTITUTE(SUBSTITUTE(J326,"_","-"),"|","-"))),IF(K326="","",CONCATENATE("_U2|",SUBSTITUTE(SUBSTITUTE(K326,"_","-"),"|","-"))),IF(L326="","",CONCATENATE("_U3|",SUBSTITUTE(SUBSTITUTE(L326,"_","-"),"|","-"))))</f>
        <v>#N/A</v>
      </c>
    </row>
    <row r="327" ht="15.75" customHeight="1">
      <c r="A327" s="20"/>
      <c r="B327" s="20"/>
      <c r="C327" s="20"/>
      <c r="D327" s="20"/>
      <c r="E327" s="20"/>
      <c r="F327" s="21"/>
      <c r="G327" s="20"/>
      <c r="H327" s="20"/>
      <c r="I327" s="20"/>
      <c r="J327" s="20"/>
      <c r="K327" s="20"/>
      <c r="L327" s="20"/>
      <c r="M327" s="20" t="str">
        <f>CONCATENATE("MK|",(VLOOKUP(B327,Dictionary!$A:$B,2,FALSE)),"_CN|",SUBSTITUTE(SUBSTITUTE(IF(C327="","NONE",C327),"_","-"),"|","-"),"_MN|",(VLOOKUP(D327,Dictionary!$D:$E,2,0)),"_YQ|",(VLOOKUP(E327,Dictionary!$AR:$AR,1,0)),"_CP|",SUBSTITUTE(SUBSTITUTE(IF(F327="","NONE",F327),"_","-"),"|","-"),"_SP|",(VLOOKUP(G327,Dictionary!$AY:$AZ,2,0)),"_AC|",(VLOOKUP(H327,Dictionary!$BA:$BB,2,0)),IF(I327="","",CONCATENATE("_OB|",(VLOOKUP(I327,Dictionary!$AS:$AT,2,0)))),IF(J327="","",CONCATENATE("_U1|",SUBSTITUTE(SUBSTITUTE(J327,"_","-"),"|","-"))),IF(K327="","",CONCATENATE("_U2|",SUBSTITUTE(SUBSTITUTE(K327,"_","-"),"|","-"))),IF(L327="","",CONCATENATE("_U3|",SUBSTITUTE(SUBSTITUTE(L327,"_","-"),"|","-"))))</f>
        <v>#N/A</v>
      </c>
    </row>
    <row r="328" ht="15.75" customHeight="1">
      <c r="A328" s="20"/>
      <c r="B328" s="20"/>
      <c r="C328" s="20"/>
      <c r="D328" s="20"/>
      <c r="E328" s="20"/>
      <c r="F328" s="21"/>
      <c r="G328" s="20"/>
      <c r="H328" s="20"/>
      <c r="I328" s="20"/>
      <c r="J328" s="20"/>
      <c r="K328" s="20"/>
      <c r="L328" s="20"/>
      <c r="M328" s="20" t="str">
        <f>CONCATENATE("MK|",(VLOOKUP(B328,Dictionary!$A:$B,2,FALSE)),"_CN|",SUBSTITUTE(SUBSTITUTE(IF(C328="","NONE",C328),"_","-"),"|","-"),"_MN|",(VLOOKUP(D328,Dictionary!$D:$E,2,0)),"_YQ|",(VLOOKUP(E328,Dictionary!$AR:$AR,1,0)),"_CP|",SUBSTITUTE(SUBSTITUTE(IF(F328="","NONE",F328),"_","-"),"|","-"),"_SP|",(VLOOKUP(G328,Dictionary!$AY:$AZ,2,0)),"_AC|",(VLOOKUP(H328,Dictionary!$BA:$BB,2,0)),IF(I328="","",CONCATENATE("_OB|",(VLOOKUP(I328,Dictionary!$AS:$AT,2,0)))),IF(J328="","",CONCATENATE("_U1|",SUBSTITUTE(SUBSTITUTE(J328,"_","-"),"|","-"))),IF(K328="","",CONCATENATE("_U2|",SUBSTITUTE(SUBSTITUTE(K328,"_","-"),"|","-"))),IF(L328="","",CONCATENATE("_U3|",SUBSTITUTE(SUBSTITUTE(L328,"_","-"),"|","-"))))</f>
        <v>#N/A</v>
      </c>
    </row>
    <row r="329" ht="15.75" customHeight="1">
      <c r="A329" s="20"/>
      <c r="B329" s="20"/>
      <c r="C329" s="20"/>
      <c r="D329" s="20"/>
      <c r="E329" s="20"/>
      <c r="F329" s="21"/>
      <c r="G329" s="20"/>
      <c r="H329" s="20"/>
      <c r="I329" s="20"/>
      <c r="J329" s="20"/>
      <c r="K329" s="20"/>
      <c r="L329" s="20"/>
      <c r="M329" s="20" t="str">
        <f>CONCATENATE("MK|",(VLOOKUP(B329,Dictionary!$A:$B,2,FALSE)),"_CN|",SUBSTITUTE(SUBSTITUTE(IF(C329="","NONE",C329),"_","-"),"|","-"),"_MN|",(VLOOKUP(D329,Dictionary!$D:$E,2,0)),"_YQ|",(VLOOKUP(E329,Dictionary!$AR:$AR,1,0)),"_CP|",SUBSTITUTE(SUBSTITUTE(IF(F329="","NONE",F329),"_","-"),"|","-"),"_SP|",(VLOOKUP(G329,Dictionary!$AY:$AZ,2,0)),"_AC|",(VLOOKUP(H329,Dictionary!$BA:$BB,2,0)),IF(I329="","",CONCATENATE("_OB|",(VLOOKUP(I329,Dictionary!$AS:$AT,2,0)))),IF(J329="","",CONCATENATE("_U1|",SUBSTITUTE(SUBSTITUTE(J329,"_","-"),"|","-"))),IF(K329="","",CONCATENATE("_U2|",SUBSTITUTE(SUBSTITUTE(K329,"_","-"),"|","-"))),IF(L329="","",CONCATENATE("_U3|",SUBSTITUTE(SUBSTITUTE(L329,"_","-"),"|","-"))))</f>
        <v>#N/A</v>
      </c>
    </row>
    <row r="330" ht="15.75" customHeight="1">
      <c r="A330" s="20"/>
      <c r="B330" s="20"/>
      <c r="C330" s="20"/>
      <c r="D330" s="20"/>
      <c r="E330" s="20"/>
      <c r="F330" s="21"/>
      <c r="G330" s="20"/>
      <c r="H330" s="20"/>
      <c r="I330" s="20"/>
      <c r="J330" s="20"/>
      <c r="K330" s="20"/>
      <c r="L330" s="20"/>
      <c r="M330" s="20" t="str">
        <f>CONCATENATE("MK|",(VLOOKUP(B330,Dictionary!$A:$B,2,FALSE)),"_CN|",SUBSTITUTE(SUBSTITUTE(IF(C330="","NONE",C330),"_","-"),"|","-"),"_MN|",(VLOOKUP(D330,Dictionary!$D:$E,2,0)),"_YQ|",(VLOOKUP(E330,Dictionary!$AR:$AR,1,0)),"_CP|",SUBSTITUTE(SUBSTITUTE(IF(F330="","NONE",F330),"_","-"),"|","-"),"_SP|",(VLOOKUP(G330,Dictionary!$AY:$AZ,2,0)),"_AC|",(VLOOKUP(H330,Dictionary!$BA:$BB,2,0)),IF(I330="","",CONCATENATE("_OB|",(VLOOKUP(I330,Dictionary!$AS:$AT,2,0)))),IF(J330="","",CONCATENATE("_U1|",SUBSTITUTE(SUBSTITUTE(J330,"_","-"),"|","-"))),IF(K330="","",CONCATENATE("_U2|",SUBSTITUTE(SUBSTITUTE(K330,"_","-"),"|","-"))),IF(L330="","",CONCATENATE("_U3|",SUBSTITUTE(SUBSTITUTE(L330,"_","-"),"|","-"))))</f>
        <v>#N/A</v>
      </c>
    </row>
    <row r="331" ht="15.75" customHeight="1">
      <c r="A331" s="20"/>
      <c r="B331" s="20"/>
      <c r="C331" s="20"/>
      <c r="D331" s="20"/>
      <c r="E331" s="20"/>
      <c r="F331" s="21"/>
      <c r="G331" s="20"/>
      <c r="H331" s="20"/>
      <c r="I331" s="20"/>
      <c r="J331" s="20"/>
      <c r="K331" s="20"/>
      <c r="L331" s="20"/>
      <c r="M331" s="20" t="str">
        <f>CONCATENATE("MK|",(VLOOKUP(B331,Dictionary!$A:$B,2,FALSE)),"_CN|",SUBSTITUTE(SUBSTITUTE(IF(C331="","NONE",C331),"_","-"),"|","-"),"_MN|",(VLOOKUP(D331,Dictionary!$D:$E,2,0)),"_YQ|",(VLOOKUP(E331,Dictionary!$AR:$AR,1,0)),"_CP|",SUBSTITUTE(SUBSTITUTE(IF(F331="","NONE",F331),"_","-"),"|","-"),"_SP|",(VLOOKUP(G331,Dictionary!$AY:$AZ,2,0)),"_AC|",(VLOOKUP(H331,Dictionary!$BA:$BB,2,0)),IF(I331="","",CONCATENATE("_OB|",(VLOOKUP(I331,Dictionary!$AS:$AT,2,0)))),IF(J331="","",CONCATENATE("_U1|",SUBSTITUTE(SUBSTITUTE(J331,"_","-"),"|","-"))),IF(K331="","",CONCATENATE("_U2|",SUBSTITUTE(SUBSTITUTE(K331,"_","-"),"|","-"))),IF(L331="","",CONCATENATE("_U3|",SUBSTITUTE(SUBSTITUTE(L331,"_","-"),"|","-"))))</f>
        <v>#N/A</v>
      </c>
    </row>
    <row r="332" ht="15.75" customHeight="1">
      <c r="A332" s="20"/>
      <c r="B332" s="20"/>
      <c r="C332" s="20"/>
      <c r="D332" s="20"/>
      <c r="E332" s="20"/>
      <c r="F332" s="21"/>
      <c r="G332" s="20"/>
      <c r="H332" s="20"/>
      <c r="I332" s="20"/>
      <c r="J332" s="20"/>
      <c r="K332" s="20"/>
      <c r="L332" s="20"/>
      <c r="M332" s="20" t="str">
        <f>CONCATENATE("MK|",(VLOOKUP(B332,Dictionary!$A:$B,2,FALSE)),"_CN|",SUBSTITUTE(SUBSTITUTE(IF(C332="","NONE",C332),"_","-"),"|","-"),"_MN|",(VLOOKUP(D332,Dictionary!$D:$E,2,0)),"_YQ|",(VLOOKUP(E332,Dictionary!$AR:$AR,1,0)),"_CP|",SUBSTITUTE(SUBSTITUTE(IF(F332="","NONE",F332),"_","-"),"|","-"),"_SP|",(VLOOKUP(G332,Dictionary!$AY:$AZ,2,0)),"_AC|",(VLOOKUP(H332,Dictionary!$BA:$BB,2,0)),IF(I332="","",CONCATENATE("_OB|",(VLOOKUP(I332,Dictionary!$AS:$AT,2,0)))),IF(J332="","",CONCATENATE("_U1|",SUBSTITUTE(SUBSTITUTE(J332,"_","-"),"|","-"))),IF(K332="","",CONCATENATE("_U2|",SUBSTITUTE(SUBSTITUTE(K332,"_","-"),"|","-"))),IF(L332="","",CONCATENATE("_U3|",SUBSTITUTE(SUBSTITUTE(L332,"_","-"),"|","-"))))</f>
        <v>#N/A</v>
      </c>
    </row>
    <row r="333" ht="15.75" customHeight="1">
      <c r="A333" s="20"/>
      <c r="B333" s="20"/>
      <c r="C333" s="20"/>
      <c r="D333" s="20"/>
      <c r="E333" s="20"/>
      <c r="F333" s="21"/>
      <c r="G333" s="20"/>
      <c r="H333" s="20"/>
      <c r="I333" s="20"/>
      <c r="J333" s="20"/>
      <c r="K333" s="20"/>
      <c r="L333" s="20"/>
      <c r="M333" s="20" t="str">
        <f>CONCATENATE("MK|",(VLOOKUP(B333,Dictionary!$A:$B,2,FALSE)),"_CN|",SUBSTITUTE(SUBSTITUTE(IF(C333="","NONE",C333),"_","-"),"|","-"),"_MN|",(VLOOKUP(D333,Dictionary!$D:$E,2,0)),"_YQ|",(VLOOKUP(E333,Dictionary!$AR:$AR,1,0)),"_CP|",SUBSTITUTE(SUBSTITUTE(IF(F333="","NONE",F333),"_","-"),"|","-"),"_SP|",(VLOOKUP(G333,Dictionary!$AY:$AZ,2,0)),"_AC|",(VLOOKUP(H333,Dictionary!$BA:$BB,2,0)),IF(I333="","",CONCATENATE("_OB|",(VLOOKUP(I333,Dictionary!$AS:$AT,2,0)))),IF(J333="","",CONCATENATE("_U1|",SUBSTITUTE(SUBSTITUTE(J333,"_","-"),"|","-"))),IF(K333="","",CONCATENATE("_U2|",SUBSTITUTE(SUBSTITUTE(K333,"_","-"),"|","-"))),IF(L333="","",CONCATENATE("_U3|",SUBSTITUTE(SUBSTITUTE(L333,"_","-"),"|","-"))))</f>
        <v>#N/A</v>
      </c>
    </row>
    <row r="334" ht="15.75" customHeight="1">
      <c r="A334" s="20"/>
      <c r="B334" s="20"/>
      <c r="C334" s="20"/>
      <c r="D334" s="20"/>
      <c r="E334" s="20"/>
      <c r="F334" s="21"/>
      <c r="G334" s="20"/>
      <c r="H334" s="20"/>
      <c r="I334" s="20"/>
      <c r="J334" s="20"/>
      <c r="K334" s="20"/>
      <c r="L334" s="20"/>
      <c r="M334" s="20" t="str">
        <f>CONCATENATE("MK|",(VLOOKUP(B334,Dictionary!$A:$B,2,FALSE)),"_CN|",SUBSTITUTE(SUBSTITUTE(IF(C334="","NONE",C334),"_","-"),"|","-"),"_MN|",(VLOOKUP(D334,Dictionary!$D:$E,2,0)),"_YQ|",(VLOOKUP(E334,Dictionary!$AR:$AR,1,0)),"_CP|",SUBSTITUTE(SUBSTITUTE(IF(F334="","NONE",F334),"_","-"),"|","-"),"_SP|",(VLOOKUP(G334,Dictionary!$AY:$AZ,2,0)),"_AC|",(VLOOKUP(H334,Dictionary!$BA:$BB,2,0)),IF(I334="","",CONCATENATE("_OB|",(VLOOKUP(I334,Dictionary!$AS:$AT,2,0)))),IF(J334="","",CONCATENATE("_U1|",SUBSTITUTE(SUBSTITUTE(J334,"_","-"),"|","-"))),IF(K334="","",CONCATENATE("_U2|",SUBSTITUTE(SUBSTITUTE(K334,"_","-"),"|","-"))),IF(L334="","",CONCATENATE("_U3|",SUBSTITUTE(SUBSTITUTE(L334,"_","-"),"|","-"))))</f>
        <v>#N/A</v>
      </c>
    </row>
    <row r="335" ht="15.75" customHeight="1">
      <c r="A335" s="20"/>
      <c r="B335" s="20"/>
      <c r="C335" s="20"/>
      <c r="D335" s="20"/>
      <c r="E335" s="20"/>
      <c r="F335" s="21"/>
      <c r="G335" s="20"/>
      <c r="H335" s="20"/>
      <c r="I335" s="20"/>
      <c r="J335" s="20"/>
      <c r="K335" s="20"/>
      <c r="L335" s="20"/>
      <c r="M335" s="20" t="str">
        <f>CONCATENATE("MK|",(VLOOKUP(B335,Dictionary!$A:$B,2,FALSE)),"_CN|",SUBSTITUTE(SUBSTITUTE(IF(C335="","NONE",C335),"_","-"),"|","-"),"_MN|",(VLOOKUP(D335,Dictionary!$D:$E,2,0)),"_YQ|",(VLOOKUP(E335,Dictionary!$AR:$AR,1,0)),"_CP|",SUBSTITUTE(SUBSTITUTE(IF(F335="","NONE",F335),"_","-"),"|","-"),"_SP|",(VLOOKUP(G335,Dictionary!$AY:$AZ,2,0)),"_AC|",(VLOOKUP(H335,Dictionary!$BA:$BB,2,0)),IF(I335="","",CONCATENATE("_OB|",(VLOOKUP(I335,Dictionary!$AS:$AT,2,0)))),IF(J335="","",CONCATENATE("_U1|",SUBSTITUTE(SUBSTITUTE(J335,"_","-"),"|","-"))),IF(K335="","",CONCATENATE("_U2|",SUBSTITUTE(SUBSTITUTE(K335,"_","-"),"|","-"))),IF(L335="","",CONCATENATE("_U3|",SUBSTITUTE(SUBSTITUTE(L335,"_","-"),"|","-"))))</f>
        <v>#N/A</v>
      </c>
    </row>
    <row r="336" ht="15.75" customHeight="1">
      <c r="A336" s="20"/>
      <c r="B336" s="20"/>
      <c r="C336" s="20"/>
      <c r="D336" s="20"/>
      <c r="E336" s="20"/>
      <c r="F336" s="21"/>
      <c r="G336" s="20"/>
      <c r="H336" s="20"/>
      <c r="I336" s="20"/>
      <c r="J336" s="20"/>
      <c r="K336" s="20"/>
      <c r="L336" s="20"/>
      <c r="M336" s="20" t="str">
        <f>CONCATENATE("MK|",(VLOOKUP(B336,Dictionary!$A:$B,2,FALSE)),"_CN|",SUBSTITUTE(SUBSTITUTE(IF(C336="","NONE",C336),"_","-"),"|","-"),"_MN|",(VLOOKUP(D336,Dictionary!$D:$E,2,0)),"_YQ|",(VLOOKUP(E336,Dictionary!$AR:$AR,1,0)),"_CP|",SUBSTITUTE(SUBSTITUTE(IF(F336="","NONE",F336),"_","-"),"|","-"),"_SP|",(VLOOKUP(G336,Dictionary!$AY:$AZ,2,0)),"_AC|",(VLOOKUP(H336,Dictionary!$BA:$BB,2,0)),IF(I336="","",CONCATENATE("_OB|",(VLOOKUP(I336,Dictionary!$AS:$AT,2,0)))),IF(J336="","",CONCATENATE("_U1|",SUBSTITUTE(SUBSTITUTE(J336,"_","-"),"|","-"))),IF(K336="","",CONCATENATE("_U2|",SUBSTITUTE(SUBSTITUTE(K336,"_","-"),"|","-"))),IF(L336="","",CONCATENATE("_U3|",SUBSTITUTE(SUBSTITUTE(L336,"_","-"),"|","-"))))</f>
        <v>#N/A</v>
      </c>
    </row>
    <row r="337" ht="15.75" customHeight="1">
      <c r="A337" s="20"/>
      <c r="B337" s="20"/>
      <c r="C337" s="20"/>
      <c r="D337" s="20"/>
      <c r="E337" s="20"/>
      <c r="F337" s="21"/>
      <c r="G337" s="20"/>
      <c r="H337" s="20"/>
      <c r="I337" s="20"/>
      <c r="J337" s="20"/>
      <c r="K337" s="20"/>
      <c r="L337" s="20"/>
      <c r="M337" s="20" t="str">
        <f>CONCATENATE("MK|",(VLOOKUP(B337,Dictionary!$A:$B,2,FALSE)),"_CN|",SUBSTITUTE(SUBSTITUTE(IF(C337="","NONE",C337),"_","-"),"|","-"),"_MN|",(VLOOKUP(D337,Dictionary!$D:$E,2,0)),"_YQ|",(VLOOKUP(E337,Dictionary!$AR:$AR,1,0)),"_CP|",SUBSTITUTE(SUBSTITUTE(IF(F337="","NONE",F337),"_","-"),"|","-"),"_SP|",(VLOOKUP(G337,Dictionary!$AY:$AZ,2,0)),"_AC|",(VLOOKUP(H337,Dictionary!$BA:$BB,2,0)),IF(I337="","",CONCATENATE("_OB|",(VLOOKUP(I337,Dictionary!$AS:$AT,2,0)))),IF(J337="","",CONCATENATE("_U1|",SUBSTITUTE(SUBSTITUTE(J337,"_","-"),"|","-"))),IF(K337="","",CONCATENATE("_U2|",SUBSTITUTE(SUBSTITUTE(K337,"_","-"),"|","-"))),IF(L337="","",CONCATENATE("_U3|",SUBSTITUTE(SUBSTITUTE(L337,"_","-"),"|","-"))))</f>
        <v>#N/A</v>
      </c>
    </row>
    <row r="338" ht="15.75" customHeight="1">
      <c r="A338" s="20"/>
      <c r="B338" s="20"/>
      <c r="C338" s="20"/>
      <c r="D338" s="20"/>
      <c r="E338" s="20"/>
      <c r="F338" s="21"/>
      <c r="G338" s="20"/>
      <c r="H338" s="20"/>
      <c r="I338" s="20"/>
      <c r="J338" s="20"/>
      <c r="K338" s="20"/>
      <c r="L338" s="20"/>
      <c r="M338" s="20"/>
    </row>
    <row r="339" ht="15.75" customHeight="1">
      <c r="A339" s="20"/>
      <c r="B339" s="20"/>
      <c r="C339" s="20"/>
      <c r="D339" s="20"/>
      <c r="E339" s="20"/>
      <c r="F339" s="21"/>
      <c r="G339" s="20"/>
      <c r="H339" s="20"/>
      <c r="I339" s="20"/>
      <c r="J339" s="20"/>
      <c r="K339" s="20"/>
      <c r="L339" s="20"/>
      <c r="M339" s="20"/>
    </row>
    <row r="340" ht="15.75" customHeight="1">
      <c r="A340" s="20"/>
      <c r="B340" s="20"/>
      <c r="C340" s="20"/>
      <c r="D340" s="20"/>
      <c r="E340" s="20"/>
      <c r="F340" s="21"/>
      <c r="G340" s="20"/>
      <c r="H340" s="20"/>
      <c r="I340" s="20"/>
      <c r="J340" s="20"/>
      <c r="K340" s="20"/>
      <c r="L340" s="20"/>
      <c r="M340" s="20"/>
    </row>
    <row r="341" ht="15.75" customHeight="1">
      <c r="A341" s="20"/>
      <c r="B341" s="20"/>
      <c r="C341" s="20"/>
      <c r="D341" s="20"/>
      <c r="E341" s="20"/>
      <c r="F341" s="21"/>
      <c r="G341" s="20"/>
      <c r="H341" s="20"/>
      <c r="I341" s="20"/>
      <c r="J341" s="20"/>
      <c r="K341" s="20"/>
      <c r="L341" s="20"/>
      <c r="M341" s="20"/>
    </row>
    <row r="342" ht="15.75" customHeight="1">
      <c r="A342" s="20"/>
      <c r="B342" s="20"/>
      <c r="C342" s="20"/>
      <c r="D342" s="20"/>
      <c r="E342" s="20"/>
      <c r="F342" s="21"/>
      <c r="G342" s="20"/>
      <c r="H342" s="20"/>
      <c r="I342" s="20"/>
      <c r="J342" s="20"/>
      <c r="K342" s="20"/>
      <c r="L342" s="20"/>
      <c r="M342" s="20"/>
    </row>
    <row r="343" ht="15.75" customHeight="1">
      <c r="A343" s="20"/>
      <c r="B343" s="20"/>
      <c r="C343" s="20"/>
      <c r="D343" s="20"/>
      <c r="E343" s="20"/>
      <c r="F343" s="21"/>
      <c r="G343" s="20"/>
      <c r="H343" s="20"/>
      <c r="I343" s="20"/>
      <c r="J343" s="20"/>
      <c r="K343" s="20"/>
      <c r="L343" s="20"/>
      <c r="M343" s="20"/>
    </row>
    <row r="344" ht="15.75" customHeight="1">
      <c r="A344" s="20"/>
      <c r="B344" s="20"/>
      <c r="C344" s="20"/>
      <c r="D344" s="20"/>
      <c r="E344" s="20"/>
      <c r="F344" s="21"/>
      <c r="G344" s="20"/>
      <c r="H344" s="20"/>
      <c r="I344" s="20"/>
      <c r="J344" s="20"/>
      <c r="K344" s="20"/>
      <c r="L344" s="20"/>
      <c r="M344" s="20"/>
    </row>
    <row r="345" ht="15.75" customHeight="1">
      <c r="A345" s="20"/>
      <c r="B345" s="20"/>
      <c r="C345" s="20"/>
      <c r="D345" s="20"/>
      <c r="E345" s="20"/>
      <c r="F345" s="21"/>
      <c r="G345" s="20"/>
      <c r="H345" s="20"/>
      <c r="I345" s="20"/>
      <c r="J345" s="20"/>
      <c r="K345" s="20"/>
      <c r="L345" s="20"/>
      <c r="M345" s="20"/>
    </row>
    <row r="346" ht="15.75" customHeight="1">
      <c r="A346" s="20"/>
      <c r="B346" s="20"/>
      <c r="C346" s="20"/>
      <c r="D346" s="20"/>
      <c r="E346" s="20"/>
      <c r="F346" s="21"/>
      <c r="G346" s="20"/>
      <c r="H346" s="20"/>
      <c r="I346" s="20"/>
      <c r="J346" s="20"/>
      <c r="K346" s="20"/>
      <c r="L346" s="20"/>
      <c r="M346" s="20"/>
    </row>
    <row r="347" ht="15.75" customHeight="1">
      <c r="A347" s="20"/>
      <c r="B347" s="20"/>
      <c r="C347" s="20"/>
      <c r="D347" s="20"/>
      <c r="E347" s="20"/>
      <c r="F347" s="21"/>
      <c r="G347" s="20"/>
      <c r="H347" s="20"/>
      <c r="I347" s="20"/>
      <c r="J347" s="20"/>
      <c r="K347" s="20"/>
      <c r="L347" s="20"/>
      <c r="M347" s="20"/>
    </row>
    <row r="348" ht="15.75" customHeight="1">
      <c r="A348" s="20"/>
      <c r="B348" s="20"/>
      <c r="C348" s="20"/>
      <c r="D348" s="20"/>
      <c r="E348" s="20"/>
      <c r="F348" s="21"/>
      <c r="G348" s="20"/>
      <c r="H348" s="20"/>
      <c r="I348" s="20"/>
      <c r="J348" s="20"/>
      <c r="K348" s="20"/>
      <c r="L348" s="20"/>
      <c r="M348" s="20"/>
    </row>
    <row r="349" ht="15.75" customHeight="1">
      <c r="A349" s="20"/>
      <c r="B349" s="20"/>
      <c r="C349" s="20"/>
      <c r="D349" s="20"/>
      <c r="E349" s="20"/>
      <c r="F349" s="21"/>
      <c r="G349" s="20"/>
      <c r="H349" s="20"/>
      <c r="I349" s="20"/>
      <c r="J349" s="20"/>
      <c r="K349" s="20"/>
      <c r="L349" s="20"/>
      <c r="M349" s="20"/>
    </row>
    <row r="350" ht="15.75" customHeight="1">
      <c r="A350" s="20"/>
      <c r="B350" s="20"/>
      <c r="C350" s="20"/>
      <c r="D350" s="20"/>
      <c r="E350" s="20"/>
      <c r="F350" s="21"/>
      <c r="G350" s="20"/>
      <c r="H350" s="20"/>
      <c r="I350" s="20"/>
      <c r="J350" s="20"/>
      <c r="K350" s="20"/>
      <c r="L350" s="20"/>
      <c r="M350" s="20"/>
    </row>
    <row r="351" ht="15.75" customHeight="1">
      <c r="A351" s="20"/>
      <c r="B351" s="20"/>
      <c r="C351" s="20"/>
      <c r="D351" s="20"/>
      <c r="E351" s="20"/>
      <c r="F351" s="21"/>
      <c r="G351" s="20"/>
      <c r="H351" s="20"/>
      <c r="I351" s="20"/>
      <c r="J351" s="20"/>
      <c r="K351" s="20"/>
      <c r="L351" s="20"/>
      <c r="M351" s="20"/>
    </row>
    <row r="352" ht="15.75" customHeight="1">
      <c r="A352" s="20"/>
      <c r="B352" s="20"/>
      <c r="C352" s="20"/>
      <c r="D352" s="20"/>
      <c r="E352" s="20"/>
      <c r="F352" s="21"/>
      <c r="G352" s="20"/>
      <c r="H352" s="20"/>
      <c r="I352" s="20"/>
      <c r="J352" s="20"/>
      <c r="K352" s="20"/>
      <c r="L352" s="20"/>
      <c r="M352" s="20"/>
    </row>
    <row r="353" ht="15.75" customHeight="1">
      <c r="A353" s="20"/>
      <c r="B353" s="20"/>
      <c r="C353" s="20"/>
      <c r="D353" s="20"/>
      <c r="E353" s="20"/>
      <c r="F353" s="21"/>
      <c r="G353" s="20"/>
      <c r="H353" s="20"/>
      <c r="I353" s="20"/>
      <c r="J353" s="20"/>
      <c r="K353" s="20"/>
      <c r="L353" s="20"/>
      <c r="M353" s="20"/>
    </row>
    <row r="354" ht="15.75" customHeight="1">
      <c r="A354" s="20"/>
      <c r="B354" s="20"/>
      <c r="C354" s="20"/>
      <c r="D354" s="20"/>
      <c r="E354" s="20"/>
      <c r="F354" s="21"/>
      <c r="G354" s="20"/>
      <c r="H354" s="20"/>
      <c r="I354" s="20"/>
      <c r="J354" s="20"/>
      <c r="K354" s="20"/>
      <c r="L354" s="20"/>
      <c r="M354" s="20"/>
    </row>
    <row r="355" ht="15.75" customHeight="1">
      <c r="A355" s="20"/>
      <c r="B355" s="20"/>
      <c r="C355" s="20"/>
      <c r="D355" s="20"/>
      <c r="E355" s="20"/>
      <c r="F355" s="21"/>
      <c r="G355" s="20"/>
      <c r="H355" s="20"/>
      <c r="I355" s="20"/>
      <c r="J355" s="20"/>
      <c r="K355" s="20"/>
      <c r="L355" s="20"/>
      <c r="M355" s="20"/>
    </row>
    <row r="356" ht="15.75" customHeight="1">
      <c r="A356" s="20"/>
      <c r="B356" s="20"/>
      <c r="C356" s="20"/>
      <c r="D356" s="20"/>
      <c r="E356" s="20"/>
      <c r="F356" s="21"/>
      <c r="G356" s="20"/>
      <c r="H356" s="20"/>
      <c r="I356" s="20"/>
      <c r="J356" s="20"/>
      <c r="K356" s="20"/>
      <c r="L356" s="20"/>
      <c r="M356" s="20"/>
    </row>
    <row r="357" ht="15.75" customHeight="1">
      <c r="A357" s="20"/>
      <c r="B357" s="20"/>
      <c r="C357" s="20"/>
      <c r="D357" s="20"/>
      <c r="E357" s="20"/>
      <c r="F357" s="21"/>
      <c r="G357" s="20"/>
      <c r="H357" s="20"/>
      <c r="I357" s="20"/>
      <c r="J357" s="20"/>
      <c r="K357" s="20"/>
      <c r="L357" s="20"/>
      <c r="M357" s="20"/>
    </row>
    <row r="358" ht="15.75" customHeight="1">
      <c r="A358" s="20"/>
      <c r="B358" s="20"/>
      <c r="C358" s="20"/>
      <c r="D358" s="20"/>
      <c r="E358" s="20"/>
      <c r="F358" s="21"/>
      <c r="G358" s="20"/>
      <c r="H358" s="20"/>
      <c r="I358" s="20"/>
      <c r="J358" s="20"/>
      <c r="K358" s="20"/>
      <c r="L358" s="20"/>
      <c r="M358" s="20"/>
    </row>
    <row r="359" ht="15.75" customHeight="1">
      <c r="A359" s="20"/>
      <c r="B359" s="20"/>
      <c r="C359" s="20"/>
      <c r="D359" s="20"/>
      <c r="E359" s="20"/>
      <c r="F359" s="21"/>
      <c r="G359" s="20"/>
      <c r="H359" s="20"/>
      <c r="I359" s="20"/>
      <c r="J359" s="20"/>
      <c r="K359" s="20"/>
      <c r="L359" s="20"/>
      <c r="M359" s="20"/>
    </row>
    <row r="360" ht="15.75" customHeight="1">
      <c r="A360" s="20"/>
      <c r="B360" s="20"/>
      <c r="C360" s="20"/>
      <c r="D360" s="20"/>
      <c r="E360" s="20"/>
      <c r="F360" s="21"/>
      <c r="G360" s="20"/>
      <c r="H360" s="20"/>
      <c r="I360" s="20"/>
      <c r="J360" s="20"/>
      <c r="K360" s="20"/>
      <c r="L360" s="20"/>
      <c r="M360" s="20"/>
    </row>
    <row r="361" ht="15.75" customHeight="1">
      <c r="A361" s="20"/>
      <c r="B361" s="20"/>
      <c r="C361" s="20"/>
      <c r="D361" s="20"/>
      <c r="E361" s="20"/>
      <c r="F361" s="21"/>
      <c r="G361" s="20"/>
      <c r="H361" s="20"/>
      <c r="I361" s="20"/>
      <c r="J361" s="20"/>
      <c r="K361" s="20"/>
      <c r="L361" s="20"/>
      <c r="M361" s="20"/>
    </row>
    <row r="362" ht="15.75" customHeight="1">
      <c r="A362" s="20"/>
      <c r="B362" s="20"/>
      <c r="C362" s="20"/>
      <c r="D362" s="20"/>
      <c r="E362" s="20"/>
      <c r="F362" s="21"/>
      <c r="G362" s="20"/>
      <c r="H362" s="20"/>
      <c r="I362" s="20"/>
      <c r="J362" s="20"/>
      <c r="K362" s="20"/>
      <c r="L362" s="20"/>
      <c r="M362" s="20"/>
    </row>
    <row r="363" ht="15.75" customHeight="1">
      <c r="A363" s="20"/>
      <c r="B363" s="20"/>
      <c r="C363" s="20"/>
      <c r="D363" s="20"/>
      <c r="E363" s="20"/>
      <c r="F363" s="21"/>
      <c r="G363" s="20"/>
      <c r="H363" s="20"/>
      <c r="I363" s="20"/>
      <c r="J363" s="20"/>
      <c r="K363" s="20"/>
      <c r="L363" s="20"/>
      <c r="M363" s="20"/>
    </row>
    <row r="364" ht="15.75" customHeight="1">
      <c r="A364" s="20"/>
      <c r="B364" s="20"/>
      <c r="C364" s="20"/>
      <c r="D364" s="20"/>
      <c r="E364" s="20"/>
      <c r="F364" s="21"/>
      <c r="G364" s="20"/>
      <c r="H364" s="20"/>
      <c r="I364" s="20"/>
      <c r="J364" s="20"/>
      <c r="K364" s="20"/>
      <c r="L364" s="20"/>
      <c r="M364" s="20"/>
    </row>
    <row r="365" ht="15.75" customHeight="1">
      <c r="A365" s="20"/>
      <c r="B365" s="20"/>
      <c r="C365" s="20"/>
      <c r="D365" s="20"/>
      <c r="E365" s="20"/>
      <c r="F365" s="21"/>
      <c r="G365" s="20"/>
      <c r="H365" s="20"/>
      <c r="I365" s="20"/>
      <c r="J365" s="20"/>
      <c r="K365" s="20"/>
      <c r="L365" s="20"/>
      <c r="M365" s="20"/>
    </row>
    <row r="366" ht="15.75" customHeight="1">
      <c r="A366" s="20"/>
      <c r="B366" s="20"/>
      <c r="C366" s="20"/>
      <c r="D366" s="20"/>
      <c r="E366" s="20"/>
      <c r="F366" s="21"/>
      <c r="G366" s="20"/>
      <c r="H366" s="20"/>
      <c r="I366" s="20"/>
      <c r="J366" s="20"/>
      <c r="K366" s="20"/>
      <c r="L366" s="20"/>
      <c r="M366" s="20"/>
    </row>
    <row r="367" ht="15.75" customHeight="1">
      <c r="A367" s="20"/>
      <c r="B367" s="20"/>
      <c r="C367" s="20"/>
      <c r="D367" s="20"/>
      <c r="E367" s="20"/>
      <c r="F367" s="21"/>
      <c r="G367" s="20"/>
      <c r="H367" s="20"/>
      <c r="I367" s="20"/>
      <c r="J367" s="20"/>
      <c r="K367" s="20"/>
      <c r="L367" s="20"/>
      <c r="M367" s="20"/>
    </row>
    <row r="368" ht="15.75" customHeight="1">
      <c r="A368" s="20"/>
      <c r="B368" s="20"/>
      <c r="C368" s="20"/>
      <c r="D368" s="20"/>
      <c r="E368" s="20"/>
      <c r="F368" s="21"/>
      <c r="G368" s="20"/>
      <c r="H368" s="20"/>
      <c r="I368" s="20"/>
      <c r="J368" s="20"/>
      <c r="K368" s="20"/>
      <c r="L368" s="20"/>
      <c r="M368" s="20"/>
    </row>
    <row r="369" ht="15.75" customHeight="1">
      <c r="A369" s="20"/>
      <c r="B369" s="20"/>
      <c r="C369" s="20"/>
      <c r="D369" s="20"/>
      <c r="E369" s="20"/>
      <c r="F369" s="21"/>
      <c r="G369" s="20"/>
      <c r="H369" s="20"/>
      <c r="I369" s="20"/>
      <c r="J369" s="20"/>
      <c r="K369" s="20"/>
      <c r="L369" s="20"/>
      <c r="M369" s="20"/>
    </row>
    <row r="370" ht="15.75" customHeight="1">
      <c r="A370" s="20"/>
      <c r="B370" s="20"/>
      <c r="C370" s="20"/>
      <c r="D370" s="20"/>
      <c r="E370" s="20"/>
      <c r="F370" s="21"/>
      <c r="G370" s="20"/>
      <c r="H370" s="20"/>
      <c r="I370" s="20"/>
      <c r="J370" s="20"/>
      <c r="K370" s="20"/>
      <c r="L370" s="20"/>
      <c r="M370" s="20"/>
    </row>
    <row r="371" ht="15.75" customHeight="1">
      <c r="A371" s="20"/>
      <c r="B371" s="20"/>
      <c r="C371" s="20"/>
      <c r="D371" s="20"/>
      <c r="E371" s="20"/>
      <c r="F371" s="21"/>
      <c r="G371" s="20"/>
      <c r="H371" s="20"/>
      <c r="I371" s="20"/>
      <c r="J371" s="20"/>
      <c r="K371" s="20"/>
      <c r="L371" s="20"/>
      <c r="M371" s="20"/>
    </row>
    <row r="372" ht="15.75" customHeight="1">
      <c r="A372" s="20"/>
      <c r="B372" s="20"/>
      <c r="C372" s="20"/>
      <c r="D372" s="20"/>
      <c r="E372" s="20"/>
      <c r="F372" s="21"/>
      <c r="G372" s="20"/>
      <c r="H372" s="20"/>
      <c r="I372" s="20"/>
      <c r="J372" s="20"/>
      <c r="K372" s="20"/>
      <c r="L372" s="20"/>
      <c r="M372" s="20"/>
    </row>
    <row r="373" ht="15.75" customHeight="1">
      <c r="A373" s="20"/>
      <c r="B373" s="20"/>
      <c r="C373" s="20"/>
      <c r="D373" s="20"/>
      <c r="E373" s="20"/>
      <c r="F373" s="21"/>
      <c r="G373" s="20"/>
      <c r="H373" s="20"/>
      <c r="I373" s="20"/>
      <c r="J373" s="20"/>
      <c r="K373" s="20"/>
      <c r="L373" s="20"/>
      <c r="M373" s="20"/>
    </row>
    <row r="374" ht="15.75" customHeight="1">
      <c r="A374" s="20"/>
      <c r="B374" s="20"/>
      <c r="C374" s="20"/>
      <c r="D374" s="20"/>
      <c r="E374" s="20"/>
      <c r="F374" s="21"/>
      <c r="G374" s="20"/>
      <c r="H374" s="20"/>
      <c r="I374" s="20"/>
      <c r="J374" s="20"/>
      <c r="K374" s="20"/>
      <c r="L374" s="20"/>
      <c r="M374" s="20"/>
    </row>
    <row r="375" ht="15.75" customHeight="1">
      <c r="A375" s="20"/>
      <c r="B375" s="20"/>
      <c r="C375" s="20"/>
      <c r="D375" s="20"/>
      <c r="E375" s="20"/>
      <c r="F375" s="21"/>
      <c r="G375" s="20"/>
      <c r="H375" s="20"/>
      <c r="I375" s="20"/>
      <c r="J375" s="20"/>
      <c r="K375" s="20"/>
      <c r="L375" s="20"/>
      <c r="M375" s="20"/>
    </row>
    <row r="376" ht="15.75" customHeight="1">
      <c r="A376" s="20"/>
      <c r="B376" s="20"/>
      <c r="C376" s="20"/>
      <c r="D376" s="20"/>
      <c r="E376" s="20"/>
      <c r="F376" s="21"/>
      <c r="G376" s="20"/>
      <c r="H376" s="20"/>
      <c r="I376" s="20"/>
      <c r="J376" s="20"/>
      <c r="K376" s="20"/>
      <c r="L376" s="20"/>
      <c r="M376" s="20"/>
    </row>
    <row r="377" ht="15.75" customHeight="1">
      <c r="A377" s="20"/>
      <c r="B377" s="20"/>
      <c r="C377" s="20"/>
      <c r="D377" s="20"/>
      <c r="E377" s="20"/>
      <c r="F377" s="21"/>
      <c r="G377" s="20"/>
      <c r="H377" s="20"/>
      <c r="I377" s="20"/>
      <c r="J377" s="20"/>
      <c r="K377" s="20"/>
      <c r="L377" s="20"/>
      <c r="M377" s="20"/>
    </row>
    <row r="378" ht="15.75" customHeight="1">
      <c r="A378" s="20"/>
      <c r="B378" s="20"/>
      <c r="C378" s="20"/>
      <c r="D378" s="20"/>
      <c r="E378" s="20"/>
      <c r="F378" s="21"/>
      <c r="G378" s="20"/>
      <c r="H378" s="20"/>
      <c r="I378" s="20"/>
      <c r="J378" s="20"/>
      <c r="K378" s="20"/>
      <c r="L378" s="20"/>
      <c r="M378" s="20"/>
    </row>
    <row r="379" ht="15.75" customHeight="1">
      <c r="A379" s="20"/>
      <c r="B379" s="20"/>
      <c r="C379" s="20"/>
      <c r="D379" s="20"/>
      <c r="E379" s="20"/>
      <c r="F379" s="21"/>
      <c r="G379" s="20"/>
      <c r="H379" s="20"/>
      <c r="I379" s="20"/>
      <c r="J379" s="20"/>
      <c r="K379" s="20"/>
      <c r="L379" s="20"/>
      <c r="M379" s="20"/>
    </row>
    <row r="380" ht="15.75" customHeight="1">
      <c r="A380" s="20"/>
      <c r="B380" s="20"/>
      <c r="C380" s="20"/>
      <c r="D380" s="20"/>
      <c r="E380" s="20"/>
      <c r="F380" s="21"/>
      <c r="G380" s="20"/>
      <c r="H380" s="20"/>
      <c r="I380" s="20"/>
      <c r="J380" s="20"/>
      <c r="K380" s="20"/>
      <c r="L380" s="20"/>
      <c r="M380" s="20"/>
    </row>
    <row r="381" ht="15.75" customHeight="1">
      <c r="A381" s="20"/>
      <c r="B381" s="20"/>
      <c r="C381" s="20"/>
      <c r="D381" s="20"/>
      <c r="E381" s="20"/>
      <c r="F381" s="21"/>
      <c r="G381" s="20"/>
      <c r="H381" s="20"/>
      <c r="I381" s="20"/>
      <c r="J381" s="20"/>
      <c r="K381" s="20"/>
      <c r="L381" s="20"/>
      <c r="M381" s="20"/>
    </row>
    <row r="382" ht="15.75" customHeight="1">
      <c r="A382" s="20"/>
      <c r="B382" s="20"/>
      <c r="C382" s="20"/>
      <c r="D382" s="20"/>
      <c r="E382" s="20"/>
      <c r="F382" s="21"/>
      <c r="G382" s="20"/>
      <c r="H382" s="20"/>
      <c r="I382" s="20"/>
      <c r="J382" s="20"/>
      <c r="K382" s="20"/>
      <c r="L382" s="20"/>
      <c r="M382" s="20"/>
    </row>
    <row r="383" ht="15.75" customHeight="1">
      <c r="A383" s="20"/>
      <c r="B383" s="20"/>
      <c r="C383" s="20"/>
      <c r="D383" s="20"/>
      <c r="E383" s="20"/>
      <c r="F383" s="21"/>
      <c r="G383" s="20"/>
      <c r="H383" s="20"/>
      <c r="I383" s="20"/>
      <c r="J383" s="20"/>
      <c r="K383" s="20"/>
      <c r="L383" s="20"/>
      <c r="M383" s="20"/>
    </row>
    <row r="384" ht="15.75" customHeight="1">
      <c r="A384" s="20"/>
      <c r="B384" s="20"/>
      <c r="C384" s="20"/>
      <c r="D384" s="20"/>
      <c r="E384" s="20"/>
      <c r="F384" s="21"/>
      <c r="G384" s="20"/>
      <c r="H384" s="20"/>
      <c r="I384" s="20"/>
      <c r="J384" s="20"/>
      <c r="K384" s="20"/>
      <c r="L384" s="20"/>
      <c r="M384" s="20"/>
    </row>
    <row r="385" ht="15.75" customHeight="1">
      <c r="A385" s="20"/>
      <c r="B385" s="20"/>
      <c r="C385" s="20"/>
      <c r="D385" s="20"/>
      <c r="E385" s="20"/>
      <c r="F385" s="21"/>
      <c r="G385" s="20"/>
      <c r="H385" s="20"/>
      <c r="I385" s="20"/>
      <c r="J385" s="20"/>
      <c r="K385" s="20"/>
      <c r="L385" s="20"/>
      <c r="M385" s="20"/>
    </row>
    <row r="386" ht="15.75" customHeight="1">
      <c r="A386" s="20"/>
      <c r="B386" s="20"/>
      <c r="C386" s="20"/>
      <c r="D386" s="20"/>
      <c r="E386" s="20"/>
      <c r="F386" s="21"/>
      <c r="G386" s="20"/>
      <c r="H386" s="20"/>
      <c r="I386" s="20"/>
      <c r="J386" s="20"/>
      <c r="K386" s="20"/>
      <c r="L386" s="20"/>
      <c r="M386" s="20"/>
    </row>
    <row r="387" ht="15.75" customHeight="1">
      <c r="A387" s="20"/>
      <c r="B387" s="20"/>
      <c r="C387" s="20"/>
      <c r="D387" s="20"/>
      <c r="E387" s="20"/>
      <c r="F387" s="21"/>
      <c r="G387" s="20"/>
      <c r="H387" s="20"/>
      <c r="I387" s="20"/>
      <c r="J387" s="20"/>
      <c r="K387" s="20"/>
      <c r="L387" s="20"/>
      <c r="M387" s="20"/>
    </row>
    <row r="388" ht="15.75" customHeight="1">
      <c r="A388" s="20"/>
      <c r="B388" s="20"/>
      <c r="C388" s="20"/>
      <c r="D388" s="20"/>
      <c r="E388" s="20"/>
      <c r="F388" s="21"/>
      <c r="G388" s="20"/>
      <c r="H388" s="20"/>
      <c r="I388" s="20"/>
      <c r="J388" s="20"/>
      <c r="K388" s="20"/>
      <c r="L388" s="20"/>
      <c r="M388" s="20"/>
    </row>
    <row r="389" ht="15.75" customHeight="1">
      <c r="A389" s="20"/>
      <c r="B389" s="20"/>
      <c r="C389" s="20"/>
      <c r="D389" s="20"/>
      <c r="E389" s="20"/>
      <c r="F389" s="21"/>
      <c r="G389" s="20"/>
      <c r="H389" s="20"/>
      <c r="I389" s="20"/>
      <c r="J389" s="20"/>
      <c r="K389" s="20"/>
      <c r="L389" s="20"/>
      <c r="M389" s="20"/>
    </row>
    <row r="390" ht="15.75" customHeight="1">
      <c r="A390" s="20"/>
      <c r="B390" s="20"/>
      <c r="C390" s="20"/>
      <c r="D390" s="20"/>
      <c r="E390" s="20"/>
      <c r="F390" s="21"/>
      <c r="G390" s="20"/>
      <c r="H390" s="20"/>
      <c r="I390" s="20"/>
      <c r="J390" s="20"/>
      <c r="K390" s="20"/>
      <c r="L390" s="20"/>
      <c r="M390" s="20"/>
    </row>
    <row r="391" ht="15.75" customHeight="1">
      <c r="A391" s="20"/>
      <c r="B391" s="20"/>
      <c r="C391" s="20"/>
      <c r="D391" s="20"/>
      <c r="E391" s="20"/>
      <c r="F391" s="21"/>
      <c r="G391" s="20"/>
      <c r="H391" s="20"/>
      <c r="I391" s="20"/>
      <c r="J391" s="20"/>
      <c r="K391" s="20"/>
      <c r="L391" s="20"/>
      <c r="M391" s="20"/>
    </row>
    <row r="392" ht="15.75" customHeight="1">
      <c r="A392" s="20"/>
      <c r="B392" s="20"/>
      <c r="C392" s="20"/>
      <c r="D392" s="20"/>
      <c r="E392" s="20"/>
      <c r="F392" s="21"/>
      <c r="G392" s="20"/>
      <c r="H392" s="20"/>
      <c r="I392" s="20"/>
      <c r="J392" s="20"/>
      <c r="K392" s="20"/>
      <c r="L392" s="20"/>
      <c r="M392" s="20"/>
    </row>
    <row r="393" ht="15.75" customHeight="1">
      <c r="A393" s="20"/>
      <c r="B393" s="20"/>
      <c r="C393" s="20"/>
      <c r="D393" s="20"/>
      <c r="E393" s="20"/>
      <c r="F393" s="21"/>
      <c r="G393" s="20"/>
      <c r="H393" s="20"/>
      <c r="I393" s="20"/>
      <c r="J393" s="20"/>
      <c r="K393" s="20"/>
      <c r="L393" s="20"/>
      <c r="M393" s="20"/>
    </row>
    <row r="394" ht="15.75" customHeight="1">
      <c r="A394" s="20"/>
      <c r="B394" s="20"/>
      <c r="C394" s="20"/>
      <c r="D394" s="20"/>
      <c r="E394" s="20"/>
      <c r="F394" s="21"/>
      <c r="G394" s="20"/>
      <c r="H394" s="20"/>
      <c r="I394" s="20"/>
      <c r="J394" s="20"/>
      <c r="K394" s="20"/>
      <c r="L394" s="20"/>
      <c r="M394" s="20"/>
    </row>
    <row r="395" ht="15.75" customHeight="1">
      <c r="A395" s="20"/>
      <c r="B395" s="20"/>
      <c r="C395" s="20"/>
      <c r="D395" s="20"/>
      <c r="E395" s="20"/>
      <c r="F395" s="21"/>
      <c r="G395" s="20"/>
      <c r="H395" s="20"/>
      <c r="I395" s="20"/>
      <c r="J395" s="20"/>
      <c r="K395" s="20"/>
      <c r="L395" s="20"/>
      <c r="M395" s="20"/>
    </row>
    <row r="396" ht="15.75" customHeight="1">
      <c r="A396" s="20"/>
      <c r="B396" s="20"/>
      <c r="C396" s="20"/>
      <c r="D396" s="20"/>
      <c r="E396" s="20"/>
      <c r="F396" s="21"/>
      <c r="G396" s="20"/>
      <c r="H396" s="20"/>
      <c r="I396" s="20"/>
      <c r="J396" s="20"/>
      <c r="K396" s="20"/>
      <c r="L396" s="20"/>
      <c r="M396" s="20"/>
    </row>
    <row r="397" ht="15.75" customHeight="1">
      <c r="A397" s="20"/>
      <c r="B397" s="20"/>
      <c r="C397" s="20"/>
      <c r="D397" s="20"/>
      <c r="E397" s="20"/>
      <c r="F397" s="21"/>
      <c r="G397" s="20"/>
      <c r="H397" s="20"/>
      <c r="I397" s="20"/>
      <c r="J397" s="20"/>
      <c r="K397" s="20"/>
      <c r="L397" s="20"/>
      <c r="M397" s="20"/>
    </row>
    <row r="398" ht="15.75" customHeight="1">
      <c r="A398" s="20"/>
      <c r="B398" s="20"/>
      <c r="C398" s="20"/>
      <c r="D398" s="20"/>
      <c r="E398" s="20"/>
      <c r="F398" s="21"/>
      <c r="G398" s="20"/>
      <c r="H398" s="20"/>
      <c r="I398" s="20"/>
      <c r="J398" s="20"/>
      <c r="K398" s="20"/>
      <c r="L398" s="20"/>
      <c r="M398" s="20"/>
    </row>
    <row r="399" ht="15.75" customHeight="1">
      <c r="F399" s="22"/>
      <c r="I399" s="23"/>
    </row>
    <row r="400" ht="15.75" customHeight="1">
      <c r="F400" s="22"/>
      <c r="I400" s="23"/>
    </row>
    <row r="401" ht="15.75" customHeight="1">
      <c r="F401" s="22"/>
      <c r="I401" s="23"/>
    </row>
    <row r="402" ht="15.75" customHeight="1">
      <c r="F402" s="22"/>
      <c r="I402" s="23"/>
    </row>
    <row r="403" ht="15.75" customHeight="1">
      <c r="F403" s="22"/>
      <c r="I403" s="23"/>
    </row>
    <row r="404" ht="15.75" customHeight="1">
      <c r="F404" s="22"/>
      <c r="I404" s="23"/>
    </row>
    <row r="405" ht="15.75" customHeight="1">
      <c r="F405" s="22"/>
      <c r="I405" s="23"/>
    </row>
    <row r="406" ht="15.75" customHeight="1">
      <c r="F406" s="22"/>
      <c r="I406" s="23"/>
    </row>
    <row r="407" ht="15.75" customHeight="1">
      <c r="F407" s="22"/>
      <c r="I407" s="23"/>
    </row>
    <row r="408" ht="15.75" customHeight="1">
      <c r="F408" s="22"/>
      <c r="I408" s="23"/>
    </row>
    <row r="409" ht="15.75" customHeight="1">
      <c r="F409" s="22"/>
      <c r="I409" s="23"/>
    </row>
    <row r="410" ht="15.75" customHeight="1">
      <c r="F410" s="22"/>
      <c r="I410" s="23"/>
    </row>
    <row r="411" ht="15.75" customHeight="1">
      <c r="F411" s="22"/>
      <c r="I411" s="23"/>
    </row>
    <row r="412" ht="15.75" customHeight="1">
      <c r="F412" s="22"/>
      <c r="I412" s="23"/>
    </row>
    <row r="413" ht="15.75" customHeight="1">
      <c r="F413" s="22"/>
      <c r="I413" s="23"/>
    </row>
    <row r="414" ht="15.75" customHeight="1">
      <c r="F414" s="22"/>
      <c r="I414" s="23"/>
    </row>
    <row r="415" ht="15.75" customHeight="1">
      <c r="F415" s="22"/>
      <c r="I415" s="23"/>
    </row>
    <row r="416" ht="15.75" customHeight="1">
      <c r="F416" s="22"/>
      <c r="I416" s="23"/>
    </row>
    <row r="417" ht="15.75" customHeight="1">
      <c r="F417" s="22"/>
      <c r="I417" s="23"/>
    </row>
    <row r="418" ht="15.75" customHeight="1">
      <c r="F418" s="22"/>
      <c r="I418" s="23"/>
    </row>
    <row r="419" ht="15.75" customHeight="1">
      <c r="F419" s="22"/>
      <c r="I419" s="23"/>
    </row>
    <row r="420" ht="15.75" customHeight="1">
      <c r="F420" s="22"/>
      <c r="I420" s="23"/>
    </row>
    <row r="421" ht="15.75" customHeight="1">
      <c r="F421" s="22"/>
      <c r="I421" s="23"/>
    </row>
    <row r="422" ht="15.75" customHeight="1">
      <c r="F422" s="22"/>
      <c r="I422" s="23"/>
    </row>
    <row r="423" ht="15.75" customHeight="1">
      <c r="F423" s="22"/>
      <c r="I423" s="23"/>
    </row>
    <row r="424" ht="15.75" customHeight="1">
      <c r="F424" s="22"/>
      <c r="I424" s="23"/>
    </row>
    <row r="425" ht="15.75" customHeight="1">
      <c r="F425" s="22"/>
      <c r="I425" s="23"/>
    </row>
    <row r="426" ht="15.75" customHeight="1">
      <c r="F426" s="22"/>
      <c r="I426" s="23"/>
    </row>
    <row r="427" ht="15.75" customHeight="1">
      <c r="F427" s="22"/>
      <c r="I427" s="23"/>
    </row>
    <row r="428" ht="15.75" customHeight="1">
      <c r="F428" s="22"/>
      <c r="I428" s="23"/>
    </row>
    <row r="429" ht="15.75" customHeight="1">
      <c r="F429" s="22"/>
      <c r="I429" s="23"/>
    </row>
    <row r="430" ht="15.75" customHeight="1">
      <c r="F430" s="22"/>
      <c r="I430" s="23"/>
    </row>
    <row r="431" ht="15.75" customHeight="1">
      <c r="F431" s="22"/>
      <c r="I431" s="23"/>
    </row>
    <row r="432" ht="15.75" customHeight="1">
      <c r="F432" s="22"/>
      <c r="I432" s="23"/>
    </row>
    <row r="433" ht="15.75" customHeight="1">
      <c r="F433" s="22"/>
      <c r="I433" s="23"/>
    </row>
    <row r="434" ht="15.75" customHeight="1">
      <c r="F434" s="22"/>
      <c r="I434" s="23"/>
    </row>
    <row r="435" ht="15.75" customHeight="1">
      <c r="F435" s="22"/>
      <c r="I435" s="23"/>
    </row>
    <row r="436" ht="15.75" customHeight="1">
      <c r="F436" s="22"/>
      <c r="I436" s="23"/>
    </row>
    <row r="437" ht="15.75" customHeight="1">
      <c r="F437" s="22"/>
      <c r="I437" s="23"/>
    </row>
    <row r="438" ht="15.75" customHeight="1">
      <c r="F438" s="22"/>
      <c r="I438" s="23"/>
    </row>
    <row r="439" ht="15.75" customHeight="1">
      <c r="F439" s="22"/>
      <c r="I439" s="23"/>
    </row>
    <row r="440" ht="15.75" customHeight="1">
      <c r="F440" s="22"/>
      <c r="I440" s="23"/>
    </row>
    <row r="441" ht="15.75" customHeight="1">
      <c r="F441" s="22"/>
      <c r="I441" s="23"/>
    </row>
    <row r="442" ht="15.75" customHeight="1">
      <c r="F442" s="22"/>
      <c r="I442" s="23"/>
    </row>
    <row r="443" ht="15.75" customHeight="1">
      <c r="F443" s="22"/>
      <c r="I443" s="23"/>
    </row>
    <row r="444" ht="15.75" customHeight="1">
      <c r="F444" s="22"/>
      <c r="I444" s="23"/>
    </row>
    <row r="445" ht="15.75" customHeight="1">
      <c r="F445" s="22"/>
      <c r="I445" s="23"/>
    </row>
    <row r="446" ht="15.75" customHeight="1">
      <c r="F446" s="22"/>
      <c r="I446" s="23"/>
    </row>
    <row r="447" ht="15.75" customHeight="1">
      <c r="F447" s="22"/>
      <c r="I447" s="23"/>
    </row>
    <row r="448" ht="15.75" customHeight="1">
      <c r="F448" s="22"/>
      <c r="I448" s="23"/>
    </row>
    <row r="449" ht="15.75" customHeight="1">
      <c r="F449" s="22"/>
      <c r="I449" s="23"/>
    </row>
    <row r="450" ht="15.75" customHeight="1">
      <c r="F450" s="22"/>
      <c r="I450" s="23"/>
    </row>
    <row r="451" ht="15.75" customHeight="1">
      <c r="F451" s="22"/>
      <c r="I451" s="23"/>
    </row>
    <row r="452" ht="15.75" customHeight="1">
      <c r="F452" s="22"/>
      <c r="I452" s="23"/>
    </row>
    <row r="453" ht="15.75" customHeight="1">
      <c r="F453" s="22"/>
      <c r="I453" s="23"/>
    </row>
    <row r="454" ht="15.75" customHeight="1">
      <c r="F454" s="22"/>
      <c r="I454" s="23"/>
    </row>
    <row r="455" ht="15.75" customHeight="1">
      <c r="F455" s="22"/>
      <c r="I455" s="23"/>
    </row>
    <row r="456" ht="15.75" customHeight="1">
      <c r="F456" s="22"/>
      <c r="I456" s="23"/>
    </row>
    <row r="457" ht="15.75" customHeight="1">
      <c r="F457" s="22"/>
      <c r="I457" s="23"/>
    </row>
    <row r="458" ht="15.75" customHeight="1">
      <c r="F458" s="22"/>
      <c r="I458" s="23"/>
    </row>
    <row r="459" ht="15.75" customHeight="1">
      <c r="F459" s="22"/>
      <c r="I459" s="23"/>
    </row>
    <row r="460" ht="15.75" customHeight="1">
      <c r="F460" s="22"/>
      <c r="I460" s="23"/>
    </row>
    <row r="461" ht="15.75" customHeight="1">
      <c r="F461" s="22"/>
      <c r="I461" s="23"/>
    </row>
    <row r="462" ht="15.75" customHeight="1">
      <c r="F462" s="22"/>
      <c r="I462" s="23"/>
    </row>
    <row r="463" ht="15.75" customHeight="1">
      <c r="F463" s="22"/>
      <c r="I463" s="23"/>
    </row>
    <row r="464" ht="15.75" customHeight="1">
      <c r="F464" s="22"/>
      <c r="I464" s="23"/>
    </row>
    <row r="465" ht="15.75" customHeight="1">
      <c r="F465" s="22"/>
      <c r="I465" s="23"/>
    </row>
    <row r="466" ht="15.75" customHeight="1">
      <c r="F466" s="22"/>
      <c r="I466" s="23"/>
    </row>
    <row r="467" ht="15.75" customHeight="1">
      <c r="F467" s="22"/>
      <c r="I467" s="23"/>
    </row>
    <row r="468" ht="15.75" customHeight="1">
      <c r="F468" s="22"/>
      <c r="I468" s="23"/>
    </row>
    <row r="469" ht="15.75" customHeight="1">
      <c r="F469" s="22"/>
      <c r="I469" s="23"/>
    </row>
    <row r="470" ht="15.75" customHeight="1">
      <c r="F470" s="22"/>
      <c r="I470" s="23"/>
    </row>
    <row r="471" ht="15.75" customHeight="1">
      <c r="F471" s="22"/>
      <c r="I471" s="23"/>
    </row>
    <row r="472" ht="15.75" customHeight="1">
      <c r="F472" s="22"/>
      <c r="I472" s="23"/>
    </row>
    <row r="473" ht="15.75" customHeight="1">
      <c r="F473" s="22"/>
      <c r="I473" s="23"/>
    </row>
    <row r="474" ht="15.75" customHeight="1">
      <c r="F474" s="22"/>
      <c r="I474" s="23"/>
    </row>
    <row r="475" ht="15.75" customHeight="1">
      <c r="F475" s="22"/>
      <c r="I475" s="23"/>
    </row>
    <row r="476" ht="15.75" customHeight="1">
      <c r="F476" s="22"/>
      <c r="I476" s="23"/>
    </row>
    <row r="477" ht="15.75" customHeight="1">
      <c r="F477" s="22"/>
      <c r="I477" s="23"/>
    </row>
    <row r="478" ht="15.75" customHeight="1">
      <c r="F478" s="22"/>
      <c r="I478" s="23"/>
    </row>
    <row r="479" ht="15.75" customHeight="1">
      <c r="F479" s="22"/>
      <c r="I479" s="23"/>
    </row>
    <row r="480" ht="15.75" customHeight="1">
      <c r="F480" s="22"/>
      <c r="I480" s="23"/>
    </row>
    <row r="481" ht="15.75" customHeight="1">
      <c r="F481" s="22"/>
      <c r="I481" s="23"/>
    </row>
    <row r="482" ht="15.75" customHeight="1">
      <c r="F482" s="22"/>
      <c r="I482" s="23"/>
    </row>
    <row r="483" ht="15.75" customHeight="1">
      <c r="F483" s="22"/>
      <c r="I483" s="23"/>
    </row>
    <row r="484" ht="15.75" customHeight="1">
      <c r="F484" s="22"/>
      <c r="I484" s="23"/>
    </row>
    <row r="485" ht="15.75" customHeight="1">
      <c r="F485" s="22"/>
      <c r="I485" s="23"/>
    </row>
    <row r="486" ht="15.75" customHeight="1">
      <c r="F486" s="22"/>
      <c r="I486" s="23"/>
    </row>
    <row r="487" ht="15.75" customHeight="1">
      <c r="F487" s="22"/>
      <c r="I487" s="23"/>
    </row>
    <row r="488" ht="15.75" customHeight="1">
      <c r="F488" s="22"/>
      <c r="I488" s="23"/>
    </row>
    <row r="489" ht="15.75" customHeight="1">
      <c r="F489" s="22"/>
      <c r="I489" s="23"/>
    </row>
    <row r="490" ht="15.75" customHeight="1">
      <c r="F490" s="22"/>
      <c r="I490" s="23"/>
    </row>
    <row r="491" ht="15.75" customHeight="1">
      <c r="F491" s="22"/>
      <c r="I491" s="23"/>
    </row>
    <row r="492" ht="15.75" customHeight="1">
      <c r="F492" s="22"/>
      <c r="I492" s="23"/>
    </row>
    <row r="493" ht="15.75" customHeight="1">
      <c r="F493" s="22"/>
      <c r="I493" s="23"/>
    </row>
    <row r="494" ht="15.75" customHeight="1">
      <c r="F494" s="22"/>
      <c r="I494" s="23"/>
    </row>
    <row r="495" ht="15.75" customHeight="1">
      <c r="F495" s="22"/>
      <c r="I495" s="23"/>
    </row>
    <row r="496" ht="15.75" customHeight="1">
      <c r="F496" s="22"/>
      <c r="I496" s="23"/>
    </row>
    <row r="497" ht="15.75" customHeight="1">
      <c r="F497" s="22"/>
      <c r="I497" s="23"/>
    </row>
    <row r="498" ht="15.75" customHeight="1">
      <c r="F498" s="22"/>
      <c r="I498" s="23"/>
    </row>
    <row r="499" ht="15.75" customHeight="1">
      <c r="F499" s="22"/>
      <c r="I499" s="23"/>
    </row>
    <row r="500" ht="15.75" customHeight="1">
      <c r="F500" s="22"/>
      <c r="I500" s="23"/>
    </row>
    <row r="501" ht="15.75" customHeight="1">
      <c r="F501" s="22"/>
      <c r="I501" s="23"/>
    </row>
    <row r="502" ht="15.75" customHeight="1">
      <c r="F502" s="22"/>
      <c r="I502" s="23"/>
    </row>
    <row r="503" ht="15.75" customHeight="1">
      <c r="F503" s="22"/>
      <c r="I503" s="23"/>
    </row>
    <row r="504" ht="15.75" customHeight="1">
      <c r="F504" s="22"/>
      <c r="I504" s="23"/>
    </row>
    <row r="505" ht="15.75" customHeight="1">
      <c r="F505" s="22"/>
      <c r="I505" s="23"/>
    </row>
    <row r="506" ht="15.75" customHeight="1">
      <c r="F506" s="22"/>
      <c r="I506" s="23"/>
    </row>
    <row r="507" ht="15.75" customHeight="1">
      <c r="F507" s="22"/>
      <c r="I507" s="23"/>
    </row>
    <row r="508" ht="15.75" customHeight="1">
      <c r="F508" s="22"/>
      <c r="I508" s="23"/>
    </row>
    <row r="509" ht="15.75" customHeight="1">
      <c r="F509" s="22"/>
      <c r="I509" s="23"/>
    </row>
    <row r="510" ht="15.75" customHeight="1">
      <c r="F510" s="22"/>
      <c r="I510" s="23"/>
    </row>
    <row r="511" ht="15.75" customHeight="1">
      <c r="F511" s="22"/>
      <c r="I511" s="23"/>
    </row>
    <row r="512" ht="15.75" customHeight="1">
      <c r="F512" s="22"/>
      <c r="I512" s="23"/>
    </row>
    <row r="513" ht="15.75" customHeight="1">
      <c r="F513" s="22"/>
      <c r="I513" s="23"/>
    </row>
    <row r="514" ht="15.75" customHeight="1">
      <c r="F514" s="22"/>
      <c r="I514" s="23"/>
    </row>
    <row r="515" ht="15.75" customHeight="1">
      <c r="F515" s="22"/>
      <c r="I515" s="23"/>
    </row>
    <row r="516" ht="15.75" customHeight="1">
      <c r="F516" s="22"/>
      <c r="I516" s="23"/>
    </row>
    <row r="517" ht="15.75" customHeight="1">
      <c r="F517" s="22"/>
      <c r="I517" s="23"/>
    </row>
    <row r="518" ht="15.75" customHeight="1">
      <c r="F518" s="22"/>
      <c r="I518" s="23"/>
    </row>
    <row r="519" ht="15.75" customHeight="1">
      <c r="F519" s="22"/>
      <c r="I519" s="23"/>
    </row>
    <row r="520" ht="15.75" customHeight="1">
      <c r="F520" s="22"/>
      <c r="I520" s="23"/>
    </row>
    <row r="521" ht="15.75" customHeight="1">
      <c r="F521" s="22"/>
      <c r="I521" s="23"/>
    </row>
    <row r="522" ht="15.75" customHeight="1">
      <c r="F522" s="22"/>
      <c r="I522" s="23"/>
    </row>
    <row r="523" ht="15.75" customHeight="1">
      <c r="F523" s="22"/>
      <c r="I523" s="23"/>
    </row>
    <row r="524" ht="15.75" customHeight="1">
      <c r="F524" s="22"/>
      <c r="I524" s="23"/>
    </row>
    <row r="525" ht="15.75" customHeight="1">
      <c r="F525" s="22"/>
      <c r="I525" s="23"/>
    </row>
    <row r="526" ht="15.75" customHeight="1">
      <c r="F526" s="22"/>
      <c r="I526" s="23"/>
    </row>
    <row r="527" ht="15.75" customHeight="1">
      <c r="F527" s="22"/>
      <c r="I527" s="23"/>
    </row>
    <row r="528" ht="15.75" customHeight="1">
      <c r="F528" s="22"/>
      <c r="I528" s="23"/>
    </row>
    <row r="529" ht="15.75" customHeight="1">
      <c r="F529" s="22"/>
      <c r="I529" s="23"/>
    </row>
    <row r="530" ht="15.75" customHeight="1">
      <c r="F530" s="22"/>
      <c r="I530" s="23"/>
    </row>
    <row r="531" ht="15.75" customHeight="1">
      <c r="F531" s="22"/>
      <c r="I531" s="23"/>
    </row>
    <row r="532" ht="15.75" customHeight="1">
      <c r="F532" s="22"/>
      <c r="I532" s="23"/>
    </row>
    <row r="533" ht="15.75" customHeight="1">
      <c r="F533" s="22"/>
      <c r="I533" s="23"/>
    </row>
    <row r="534" ht="15.75" customHeight="1">
      <c r="F534" s="22"/>
      <c r="I534" s="23"/>
    </row>
    <row r="535" ht="15.75" customHeight="1">
      <c r="F535" s="22"/>
      <c r="I535" s="23"/>
    </row>
    <row r="536" ht="15.75" customHeight="1">
      <c r="F536" s="22"/>
      <c r="I536" s="23"/>
    </row>
    <row r="537" ht="15.75" customHeight="1">
      <c r="F537" s="22"/>
      <c r="I537" s="23"/>
    </row>
    <row r="538" ht="15.75" customHeight="1">
      <c r="F538" s="22"/>
      <c r="I538" s="23"/>
    </row>
    <row r="539" ht="15.75" customHeight="1">
      <c r="F539" s="22"/>
      <c r="I539" s="23"/>
    </row>
    <row r="540" ht="15.75" customHeight="1">
      <c r="F540" s="22"/>
      <c r="I540" s="23"/>
    </row>
    <row r="541" ht="15.75" customHeight="1">
      <c r="F541" s="22"/>
      <c r="I541" s="23"/>
    </row>
    <row r="542" ht="15.75" customHeight="1">
      <c r="F542" s="22"/>
      <c r="I542" s="23"/>
    </row>
    <row r="543" ht="15.75" customHeight="1">
      <c r="F543" s="22"/>
      <c r="I543" s="23"/>
    </row>
    <row r="544" ht="15.75" customHeight="1">
      <c r="F544" s="22"/>
      <c r="I544" s="23"/>
    </row>
    <row r="545" ht="15.75" customHeight="1">
      <c r="F545" s="22"/>
      <c r="I545" s="23"/>
    </row>
    <row r="546" ht="15.75" customHeight="1">
      <c r="F546" s="22"/>
      <c r="I546" s="23"/>
    </row>
    <row r="547" ht="15.75" customHeight="1">
      <c r="F547" s="22"/>
      <c r="I547" s="23"/>
    </row>
    <row r="548" ht="15.75" customHeight="1">
      <c r="F548" s="22"/>
      <c r="I548" s="23"/>
    </row>
    <row r="549" ht="15.75" customHeight="1">
      <c r="F549" s="22"/>
      <c r="I549" s="23"/>
    </row>
    <row r="550" ht="15.75" customHeight="1">
      <c r="F550" s="22"/>
      <c r="I550" s="23"/>
    </row>
    <row r="551" ht="15.75" customHeight="1">
      <c r="F551" s="22"/>
      <c r="I551" s="23"/>
    </row>
    <row r="552" ht="15.75" customHeight="1">
      <c r="F552" s="22"/>
      <c r="I552" s="23"/>
    </row>
    <row r="553" ht="15.75" customHeight="1">
      <c r="F553" s="22"/>
      <c r="I553" s="23"/>
    </row>
    <row r="554" ht="15.75" customHeight="1">
      <c r="F554" s="22"/>
      <c r="I554" s="23"/>
    </row>
    <row r="555" ht="15.75" customHeight="1">
      <c r="F555" s="22"/>
      <c r="I555" s="23"/>
    </row>
    <row r="556" ht="15.75" customHeight="1">
      <c r="F556" s="22"/>
      <c r="I556" s="23"/>
    </row>
    <row r="557" ht="15.75" customHeight="1">
      <c r="F557" s="22"/>
      <c r="I557" s="23"/>
    </row>
    <row r="558" ht="15.75" customHeight="1">
      <c r="F558" s="22"/>
      <c r="I558" s="23"/>
    </row>
    <row r="559" ht="15.75" customHeight="1">
      <c r="F559" s="22"/>
      <c r="I559" s="23"/>
    </row>
    <row r="560" ht="15.75" customHeight="1">
      <c r="F560" s="22"/>
      <c r="I560" s="23"/>
    </row>
    <row r="561" ht="15.75" customHeight="1">
      <c r="F561" s="22"/>
      <c r="I561" s="23"/>
    </row>
    <row r="562" ht="15.75" customHeight="1">
      <c r="F562" s="22"/>
      <c r="I562" s="23"/>
    </row>
    <row r="563" ht="15.75" customHeight="1">
      <c r="F563" s="22"/>
      <c r="I563" s="23"/>
    </row>
    <row r="564" ht="15.75" customHeight="1">
      <c r="F564" s="22"/>
      <c r="I564" s="23"/>
    </row>
    <row r="565" ht="15.75" customHeight="1">
      <c r="F565" s="22"/>
      <c r="I565" s="23"/>
    </row>
    <row r="566" ht="15.75" customHeight="1">
      <c r="F566" s="22"/>
      <c r="I566" s="23"/>
    </row>
    <row r="567" ht="15.75" customHeight="1">
      <c r="F567" s="22"/>
      <c r="I567" s="23"/>
    </row>
    <row r="568" ht="15.75" customHeight="1">
      <c r="F568" s="22"/>
      <c r="I568" s="23"/>
    </row>
    <row r="569" ht="15.75" customHeight="1">
      <c r="F569" s="22"/>
      <c r="I569" s="23"/>
    </row>
    <row r="570" ht="15.75" customHeight="1">
      <c r="F570" s="22"/>
      <c r="I570" s="23"/>
    </row>
    <row r="571" ht="15.75" customHeight="1">
      <c r="F571" s="22"/>
      <c r="I571" s="23"/>
    </row>
    <row r="572" ht="15.75" customHeight="1">
      <c r="F572" s="22"/>
      <c r="I572" s="23"/>
    </row>
    <row r="573" ht="15.75" customHeight="1">
      <c r="F573" s="22"/>
      <c r="I573" s="23"/>
    </row>
    <row r="574" ht="15.75" customHeight="1">
      <c r="F574" s="22"/>
      <c r="I574" s="23"/>
    </row>
    <row r="575" ht="15.75" customHeight="1">
      <c r="F575" s="22"/>
      <c r="I575" s="23"/>
    </row>
    <row r="576" ht="15.75" customHeight="1">
      <c r="F576" s="22"/>
      <c r="I576" s="23"/>
    </row>
    <row r="577" ht="15.75" customHeight="1">
      <c r="F577" s="22"/>
      <c r="I577" s="23"/>
    </row>
    <row r="578" ht="15.75" customHeight="1">
      <c r="F578" s="22"/>
      <c r="I578" s="23"/>
    </row>
    <row r="579" ht="15.75" customHeight="1">
      <c r="F579" s="22"/>
      <c r="I579" s="23"/>
    </row>
    <row r="580" ht="15.75" customHeight="1">
      <c r="F580" s="22"/>
      <c r="I580" s="23"/>
    </row>
    <row r="581" ht="15.75" customHeight="1">
      <c r="F581" s="22"/>
      <c r="I581" s="23"/>
    </row>
    <row r="582" ht="15.75" customHeight="1">
      <c r="F582" s="22"/>
      <c r="I582" s="23"/>
    </row>
    <row r="583" ht="15.75" customHeight="1">
      <c r="F583" s="22"/>
      <c r="I583" s="23"/>
    </row>
    <row r="584" ht="15.75" customHeight="1">
      <c r="F584" s="22"/>
      <c r="I584" s="23"/>
    </row>
    <row r="585" ht="15.75" customHeight="1">
      <c r="F585" s="22"/>
      <c r="I585" s="23"/>
    </row>
    <row r="586" ht="15.75" customHeight="1">
      <c r="F586" s="22"/>
      <c r="I586" s="23"/>
    </row>
    <row r="587" ht="15.75" customHeight="1">
      <c r="F587" s="22"/>
      <c r="I587" s="23"/>
    </row>
    <row r="588" ht="15.75" customHeight="1">
      <c r="F588" s="22"/>
      <c r="I588" s="23"/>
    </row>
    <row r="589" ht="15.75" customHeight="1">
      <c r="F589" s="22"/>
      <c r="I589" s="23"/>
    </row>
    <row r="590" ht="15.75" customHeight="1">
      <c r="F590" s="22"/>
      <c r="I590" s="23"/>
    </row>
    <row r="591" ht="15.75" customHeight="1">
      <c r="F591" s="22"/>
      <c r="I591" s="23"/>
    </row>
    <row r="592" ht="15.75" customHeight="1">
      <c r="F592" s="22"/>
      <c r="I592" s="23"/>
    </row>
    <row r="593" ht="15.75" customHeight="1">
      <c r="F593" s="22"/>
      <c r="I593" s="23"/>
    </row>
    <row r="594" ht="15.75" customHeight="1">
      <c r="F594" s="22"/>
      <c r="I594" s="23"/>
    </row>
    <row r="595" ht="15.75" customHeight="1">
      <c r="F595" s="22"/>
      <c r="I595" s="23"/>
    </row>
    <row r="596" ht="15.75" customHeight="1">
      <c r="F596" s="22"/>
      <c r="I596" s="23"/>
    </row>
    <row r="597" ht="15.75" customHeight="1">
      <c r="F597" s="22"/>
      <c r="I597" s="23"/>
    </row>
    <row r="598" ht="15.75" customHeight="1">
      <c r="F598" s="22"/>
      <c r="I598" s="23"/>
    </row>
    <row r="599" ht="15.75" customHeight="1">
      <c r="F599" s="22"/>
      <c r="I599" s="23"/>
    </row>
    <row r="600" ht="15.75" customHeight="1">
      <c r="F600" s="22"/>
      <c r="I600" s="23"/>
    </row>
    <row r="601" ht="15.75" customHeight="1">
      <c r="F601" s="22"/>
      <c r="I601" s="23"/>
    </row>
    <row r="602" ht="15.75" customHeight="1">
      <c r="F602" s="22"/>
      <c r="I602" s="23"/>
    </row>
    <row r="603" ht="15.75" customHeight="1">
      <c r="F603" s="22"/>
      <c r="I603" s="23"/>
    </row>
    <row r="604" ht="15.75" customHeight="1">
      <c r="F604" s="22"/>
      <c r="I604" s="23"/>
    </row>
    <row r="605" ht="15.75" customHeight="1">
      <c r="F605" s="22"/>
      <c r="I605" s="23"/>
    </row>
    <row r="606" ht="15.75" customHeight="1">
      <c r="F606" s="22"/>
      <c r="I606" s="23"/>
    </row>
    <row r="607" ht="15.75" customHeight="1">
      <c r="F607" s="22"/>
      <c r="I607" s="23"/>
    </row>
    <row r="608" ht="15.75" customHeight="1">
      <c r="F608" s="22"/>
      <c r="I608" s="23"/>
    </row>
    <row r="609" ht="15.75" customHeight="1">
      <c r="F609" s="22"/>
      <c r="I609" s="23"/>
    </row>
    <row r="610" ht="15.75" customHeight="1">
      <c r="F610" s="22"/>
      <c r="I610" s="23"/>
    </row>
    <row r="611" ht="15.75" customHeight="1">
      <c r="F611" s="22"/>
      <c r="I611" s="23"/>
    </row>
    <row r="612" ht="15.75" customHeight="1">
      <c r="F612" s="22"/>
      <c r="I612" s="23"/>
    </row>
    <row r="613" ht="15.75" customHeight="1">
      <c r="F613" s="22"/>
      <c r="I613" s="23"/>
    </row>
    <row r="614" ht="15.75" customHeight="1">
      <c r="F614" s="22"/>
      <c r="I614" s="23"/>
    </row>
    <row r="615" ht="15.75" customHeight="1">
      <c r="F615" s="22"/>
      <c r="I615" s="23"/>
    </row>
    <row r="616" ht="15.75" customHeight="1">
      <c r="F616" s="22"/>
      <c r="I616" s="23"/>
    </row>
    <row r="617" ht="15.75" customHeight="1">
      <c r="F617" s="22"/>
      <c r="I617" s="23"/>
    </row>
    <row r="618" ht="15.75" customHeight="1">
      <c r="F618" s="22"/>
      <c r="I618" s="23"/>
    </row>
    <row r="619" ht="15.75" customHeight="1">
      <c r="F619" s="22"/>
      <c r="I619" s="23"/>
    </row>
    <row r="620" ht="15.75" customHeight="1">
      <c r="F620" s="22"/>
      <c r="I620" s="23"/>
    </row>
    <row r="621" ht="15.75" customHeight="1">
      <c r="F621" s="22"/>
      <c r="I621" s="23"/>
    </row>
    <row r="622" ht="15.75" customHeight="1">
      <c r="F622" s="22"/>
      <c r="I622" s="23"/>
    </row>
    <row r="623" ht="15.75" customHeight="1">
      <c r="F623" s="22"/>
      <c r="I623" s="23"/>
    </row>
    <row r="624" ht="15.75" customHeight="1">
      <c r="F624" s="22"/>
      <c r="I624" s="23"/>
    </row>
    <row r="625" ht="15.75" customHeight="1">
      <c r="F625" s="22"/>
      <c r="I625" s="23"/>
    </row>
    <row r="626" ht="15.75" customHeight="1">
      <c r="F626" s="22"/>
      <c r="I626" s="23"/>
    </row>
    <row r="627" ht="15.75" customHeight="1">
      <c r="F627" s="22"/>
      <c r="I627" s="23"/>
    </row>
    <row r="628" ht="15.75" customHeight="1">
      <c r="F628" s="22"/>
      <c r="I628" s="23"/>
    </row>
    <row r="629" ht="15.75" customHeight="1">
      <c r="F629" s="22"/>
      <c r="I629" s="23"/>
    </row>
    <row r="630" ht="15.75" customHeight="1">
      <c r="F630" s="22"/>
      <c r="I630" s="23"/>
    </row>
    <row r="631" ht="15.75" customHeight="1">
      <c r="F631" s="22"/>
      <c r="I631" s="23"/>
    </row>
    <row r="632" ht="15.75" customHeight="1">
      <c r="F632" s="22"/>
      <c r="I632" s="23"/>
    </row>
    <row r="633" ht="15.75" customHeight="1">
      <c r="F633" s="22"/>
      <c r="I633" s="23"/>
    </row>
    <row r="634" ht="15.75" customHeight="1">
      <c r="F634" s="22"/>
      <c r="I634" s="23"/>
    </row>
    <row r="635" ht="15.75" customHeight="1">
      <c r="F635" s="22"/>
      <c r="I635" s="23"/>
    </row>
    <row r="636" ht="15.75" customHeight="1">
      <c r="F636" s="22"/>
      <c r="I636" s="23"/>
    </row>
    <row r="637" ht="15.75" customHeight="1">
      <c r="F637" s="22"/>
      <c r="I637" s="23"/>
    </row>
    <row r="638" ht="15.75" customHeight="1">
      <c r="F638" s="22"/>
      <c r="I638" s="23"/>
    </row>
    <row r="639" ht="15.75" customHeight="1">
      <c r="F639" s="22"/>
      <c r="I639" s="23"/>
    </row>
    <row r="640" ht="15.75" customHeight="1">
      <c r="F640" s="22"/>
      <c r="I640" s="23"/>
    </row>
    <row r="641" ht="15.75" customHeight="1">
      <c r="F641" s="22"/>
      <c r="I641" s="23"/>
    </row>
    <row r="642" ht="15.75" customHeight="1">
      <c r="F642" s="22"/>
      <c r="I642" s="23"/>
    </row>
    <row r="643" ht="15.75" customHeight="1">
      <c r="F643" s="22"/>
      <c r="I643" s="23"/>
    </row>
    <row r="644" ht="15.75" customHeight="1">
      <c r="F644" s="22"/>
      <c r="I644" s="23"/>
    </row>
    <row r="645" ht="15.75" customHeight="1">
      <c r="F645" s="22"/>
      <c r="I645" s="23"/>
    </row>
    <row r="646" ht="15.75" customHeight="1">
      <c r="F646" s="22"/>
      <c r="I646" s="23"/>
    </row>
    <row r="647" ht="15.75" customHeight="1">
      <c r="F647" s="22"/>
      <c r="I647" s="23"/>
    </row>
    <row r="648" ht="15.75" customHeight="1">
      <c r="F648" s="22"/>
      <c r="I648" s="23"/>
    </row>
    <row r="649" ht="15.75" customHeight="1">
      <c r="F649" s="22"/>
      <c r="I649" s="23"/>
    </row>
    <row r="650" ht="15.75" customHeight="1">
      <c r="F650" s="22"/>
      <c r="I650" s="23"/>
    </row>
    <row r="651" ht="15.75" customHeight="1">
      <c r="F651" s="22"/>
      <c r="I651" s="23"/>
    </row>
    <row r="652" ht="15.75" customHeight="1">
      <c r="F652" s="22"/>
      <c r="I652" s="23"/>
    </row>
    <row r="653" ht="15.75" customHeight="1">
      <c r="F653" s="22"/>
      <c r="I653" s="23"/>
    </row>
    <row r="654" ht="15.75" customHeight="1">
      <c r="F654" s="22"/>
      <c r="I654" s="23"/>
    </row>
    <row r="655" ht="15.75" customHeight="1">
      <c r="F655" s="22"/>
      <c r="I655" s="23"/>
    </row>
    <row r="656" ht="15.75" customHeight="1">
      <c r="F656" s="22"/>
      <c r="I656" s="23"/>
    </row>
    <row r="657" ht="15.75" customHeight="1">
      <c r="F657" s="22"/>
      <c r="I657" s="23"/>
    </row>
    <row r="658" ht="15.75" customHeight="1">
      <c r="F658" s="22"/>
      <c r="I658" s="23"/>
    </row>
    <row r="659" ht="15.75" customHeight="1">
      <c r="F659" s="22"/>
      <c r="I659" s="23"/>
    </row>
    <row r="660" ht="15.75" customHeight="1">
      <c r="F660" s="22"/>
      <c r="I660" s="23"/>
    </row>
    <row r="661" ht="15.75" customHeight="1">
      <c r="F661" s="22"/>
      <c r="I661" s="23"/>
    </row>
    <row r="662" ht="15.75" customHeight="1">
      <c r="F662" s="22"/>
      <c r="I662" s="23"/>
    </row>
    <row r="663" ht="15.75" customHeight="1">
      <c r="F663" s="22"/>
      <c r="I663" s="23"/>
    </row>
    <row r="664" ht="15.75" customHeight="1">
      <c r="F664" s="22"/>
      <c r="I664" s="23"/>
    </row>
    <row r="665" ht="15.75" customHeight="1">
      <c r="F665" s="22"/>
      <c r="I665" s="23"/>
    </row>
    <row r="666" ht="15.75" customHeight="1">
      <c r="F666" s="22"/>
      <c r="I666" s="23"/>
    </row>
    <row r="667" ht="15.75" customHeight="1">
      <c r="F667" s="22"/>
      <c r="I667" s="23"/>
    </row>
    <row r="668" ht="15.75" customHeight="1">
      <c r="F668" s="22"/>
      <c r="I668" s="23"/>
    </row>
    <row r="669" ht="15.75" customHeight="1">
      <c r="F669" s="22"/>
      <c r="I669" s="23"/>
    </row>
    <row r="670" ht="15.75" customHeight="1">
      <c r="F670" s="22"/>
      <c r="I670" s="23"/>
    </row>
    <row r="671" ht="15.75" customHeight="1">
      <c r="F671" s="22"/>
      <c r="I671" s="23"/>
    </row>
    <row r="672" ht="15.75" customHeight="1">
      <c r="F672" s="22"/>
      <c r="I672" s="23"/>
    </row>
    <row r="673" ht="15.75" customHeight="1">
      <c r="F673" s="22"/>
      <c r="I673" s="23"/>
    </row>
    <row r="674" ht="15.75" customHeight="1">
      <c r="F674" s="22"/>
      <c r="I674" s="23"/>
    </row>
    <row r="675" ht="15.75" customHeight="1">
      <c r="F675" s="22"/>
      <c r="I675" s="23"/>
    </row>
    <row r="676" ht="15.75" customHeight="1">
      <c r="F676" s="22"/>
      <c r="I676" s="23"/>
    </row>
    <row r="677" ht="15.75" customHeight="1">
      <c r="F677" s="22"/>
      <c r="I677" s="23"/>
    </row>
    <row r="678" ht="15.75" customHeight="1">
      <c r="F678" s="22"/>
      <c r="I678" s="23"/>
    </row>
    <row r="679" ht="15.75" customHeight="1">
      <c r="F679" s="22"/>
      <c r="I679" s="23"/>
    </row>
    <row r="680" ht="15.75" customHeight="1">
      <c r="F680" s="22"/>
      <c r="I680" s="23"/>
    </row>
    <row r="681" ht="15.75" customHeight="1">
      <c r="F681" s="22"/>
      <c r="I681" s="23"/>
    </row>
    <row r="682" ht="15.75" customHeight="1">
      <c r="F682" s="22"/>
      <c r="I682" s="23"/>
    </row>
    <row r="683" ht="15.75" customHeight="1">
      <c r="F683" s="22"/>
      <c r="I683" s="23"/>
    </row>
    <row r="684" ht="15.75" customHeight="1">
      <c r="F684" s="22"/>
      <c r="I684" s="23"/>
    </row>
    <row r="685" ht="15.75" customHeight="1">
      <c r="F685" s="22"/>
      <c r="I685" s="23"/>
    </row>
    <row r="686" ht="15.75" customHeight="1">
      <c r="F686" s="22"/>
      <c r="I686" s="23"/>
    </row>
    <row r="687" ht="15.75" customHeight="1">
      <c r="F687" s="22"/>
      <c r="I687" s="23"/>
    </row>
    <row r="688" ht="15.75" customHeight="1">
      <c r="F688" s="22"/>
      <c r="I688" s="23"/>
    </row>
    <row r="689" ht="15.75" customHeight="1">
      <c r="F689" s="22"/>
      <c r="I689" s="23"/>
    </row>
    <row r="690" ht="15.75" customHeight="1">
      <c r="F690" s="22"/>
      <c r="I690" s="23"/>
    </row>
    <row r="691" ht="15.75" customHeight="1">
      <c r="F691" s="22"/>
      <c r="I691" s="23"/>
    </row>
    <row r="692" ht="15.75" customHeight="1">
      <c r="F692" s="22"/>
      <c r="I692" s="23"/>
    </row>
    <row r="693" ht="15.75" customHeight="1">
      <c r="F693" s="22"/>
      <c r="I693" s="23"/>
    </row>
    <row r="694" ht="15.75" customHeight="1">
      <c r="F694" s="22"/>
      <c r="I694" s="23"/>
    </row>
    <row r="695" ht="15.75" customHeight="1">
      <c r="F695" s="22"/>
      <c r="I695" s="23"/>
    </row>
    <row r="696" ht="15.75" customHeight="1">
      <c r="F696" s="22"/>
      <c r="I696" s="23"/>
    </row>
    <row r="697" ht="15.75" customHeight="1">
      <c r="F697" s="22"/>
      <c r="I697" s="23"/>
    </row>
    <row r="698" ht="15.75" customHeight="1">
      <c r="F698" s="22"/>
      <c r="I698" s="23"/>
    </row>
    <row r="699" ht="15.75" customHeight="1">
      <c r="F699" s="22"/>
      <c r="I699" s="23"/>
    </row>
    <row r="700" ht="15.75" customHeight="1">
      <c r="F700" s="22"/>
      <c r="I700" s="23"/>
    </row>
    <row r="701" ht="15.75" customHeight="1">
      <c r="F701" s="22"/>
      <c r="I701" s="23"/>
    </row>
    <row r="702" ht="15.75" customHeight="1">
      <c r="F702" s="22"/>
      <c r="I702" s="23"/>
    </row>
    <row r="703" ht="15.75" customHeight="1">
      <c r="F703" s="22"/>
      <c r="I703" s="23"/>
    </row>
    <row r="704" ht="15.75" customHeight="1">
      <c r="F704" s="22"/>
      <c r="I704" s="23"/>
    </row>
    <row r="705" ht="15.75" customHeight="1">
      <c r="F705" s="22"/>
      <c r="I705" s="23"/>
    </row>
    <row r="706" ht="15.75" customHeight="1">
      <c r="F706" s="22"/>
      <c r="I706" s="23"/>
    </row>
    <row r="707" ht="15.75" customHeight="1">
      <c r="F707" s="22"/>
      <c r="I707" s="23"/>
    </row>
    <row r="708" ht="15.75" customHeight="1">
      <c r="F708" s="22"/>
      <c r="I708" s="23"/>
    </row>
    <row r="709" ht="15.75" customHeight="1">
      <c r="F709" s="22"/>
      <c r="I709" s="23"/>
    </row>
    <row r="710" ht="15.75" customHeight="1">
      <c r="F710" s="22"/>
      <c r="I710" s="23"/>
    </row>
    <row r="711" ht="15.75" customHeight="1">
      <c r="F711" s="22"/>
      <c r="I711" s="23"/>
    </row>
    <row r="712" ht="15.75" customHeight="1">
      <c r="F712" s="22"/>
      <c r="I712" s="23"/>
    </row>
    <row r="713" ht="15.75" customHeight="1">
      <c r="F713" s="22"/>
      <c r="I713" s="23"/>
    </row>
    <row r="714" ht="15.75" customHeight="1">
      <c r="F714" s="22"/>
      <c r="I714" s="23"/>
    </row>
    <row r="715" ht="15.75" customHeight="1">
      <c r="F715" s="22"/>
      <c r="I715" s="23"/>
    </row>
    <row r="716" ht="15.75" customHeight="1">
      <c r="F716" s="22"/>
      <c r="I716" s="23"/>
    </row>
    <row r="717" ht="15.75" customHeight="1">
      <c r="F717" s="22"/>
      <c r="I717" s="23"/>
    </row>
    <row r="718" ht="15.75" customHeight="1">
      <c r="F718" s="22"/>
      <c r="I718" s="23"/>
    </row>
    <row r="719" ht="15.75" customHeight="1">
      <c r="F719" s="22"/>
      <c r="I719" s="23"/>
    </row>
    <row r="720" ht="15.75" customHeight="1">
      <c r="F720" s="22"/>
      <c r="I720" s="23"/>
    </row>
    <row r="721" ht="15.75" customHeight="1">
      <c r="F721" s="22"/>
      <c r="I721" s="23"/>
    </row>
    <row r="722" ht="15.75" customHeight="1">
      <c r="F722" s="22"/>
      <c r="I722" s="23"/>
    </row>
    <row r="723" ht="15.75" customHeight="1">
      <c r="F723" s="22"/>
      <c r="I723" s="23"/>
    </row>
    <row r="724" ht="15.75" customHeight="1">
      <c r="F724" s="22"/>
      <c r="I724" s="23"/>
    </row>
    <row r="725" ht="15.75" customHeight="1">
      <c r="F725" s="22"/>
      <c r="I725" s="23"/>
    </row>
    <row r="726" ht="15.75" customHeight="1">
      <c r="F726" s="22"/>
      <c r="I726" s="23"/>
    </row>
    <row r="727" ht="15.75" customHeight="1">
      <c r="F727" s="22"/>
      <c r="I727" s="23"/>
    </row>
    <row r="728" ht="15.75" customHeight="1">
      <c r="F728" s="22"/>
      <c r="I728" s="23"/>
    </row>
    <row r="729" ht="15.75" customHeight="1">
      <c r="F729" s="22"/>
      <c r="I729" s="23"/>
    </row>
    <row r="730" ht="15.75" customHeight="1">
      <c r="F730" s="22"/>
      <c r="I730" s="23"/>
    </row>
    <row r="731" ht="15.75" customHeight="1">
      <c r="F731" s="22"/>
      <c r="I731" s="23"/>
    </row>
    <row r="732" ht="15.75" customHeight="1">
      <c r="F732" s="22"/>
      <c r="I732" s="23"/>
    </row>
    <row r="733" ht="15.75" customHeight="1">
      <c r="F733" s="22"/>
      <c r="I733" s="23"/>
    </row>
    <row r="734" ht="15.75" customHeight="1">
      <c r="F734" s="22"/>
      <c r="I734" s="23"/>
    </row>
    <row r="735" ht="15.75" customHeight="1">
      <c r="F735" s="22"/>
      <c r="I735" s="23"/>
    </row>
    <row r="736" ht="15.75" customHeight="1">
      <c r="F736" s="22"/>
      <c r="I736" s="23"/>
    </row>
    <row r="737" ht="15.75" customHeight="1">
      <c r="F737" s="22"/>
      <c r="I737" s="23"/>
    </row>
    <row r="738" ht="15.75" customHeight="1">
      <c r="F738" s="22"/>
      <c r="I738" s="23"/>
    </row>
    <row r="739" ht="15.75" customHeight="1">
      <c r="F739" s="22"/>
      <c r="I739" s="23"/>
    </row>
    <row r="740" ht="15.75" customHeight="1">
      <c r="F740" s="22"/>
      <c r="I740" s="23"/>
    </row>
    <row r="741" ht="15.75" customHeight="1">
      <c r="F741" s="22"/>
      <c r="I741" s="23"/>
    </row>
    <row r="742" ht="15.75" customHeight="1">
      <c r="F742" s="22"/>
      <c r="I742" s="23"/>
    </row>
    <row r="743" ht="15.75" customHeight="1">
      <c r="F743" s="22"/>
      <c r="I743" s="23"/>
    </row>
    <row r="744" ht="15.75" customHeight="1">
      <c r="F744" s="22"/>
      <c r="I744" s="23"/>
    </row>
    <row r="745" ht="15.75" customHeight="1">
      <c r="F745" s="22"/>
      <c r="I745" s="23"/>
    </row>
    <row r="746" ht="15.75" customHeight="1">
      <c r="F746" s="22"/>
      <c r="I746" s="23"/>
    </row>
    <row r="747" ht="15.75" customHeight="1">
      <c r="F747" s="22"/>
      <c r="I747" s="23"/>
    </row>
    <row r="748" ht="15.75" customHeight="1">
      <c r="F748" s="22"/>
      <c r="I748" s="23"/>
    </row>
    <row r="749" ht="15.75" customHeight="1">
      <c r="F749" s="22"/>
      <c r="I749" s="23"/>
    </row>
    <row r="750" ht="15.75" customHeight="1">
      <c r="F750" s="22"/>
      <c r="I750" s="23"/>
    </row>
    <row r="751" ht="15.75" customHeight="1">
      <c r="F751" s="22"/>
      <c r="I751" s="23"/>
    </row>
    <row r="752" ht="15.75" customHeight="1">
      <c r="F752" s="22"/>
      <c r="I752" s="23"/>
    </row>
    <row r="753" ht="15.75" customHeight="1">
      <c r="F753" s="22"/>
      <c r="I753" s="23"/>
    </row>
    <row r="754" ht="15.75" customHeight="1">
      <c r="F754" s="22"/>
      <c r="I754" s="23"/>
    </row>
    <row r="755" ht="15.75" customHeight="1">
      <c r="F755" s="22"/>
      <c r="I755" s="23"/>
    </row>
    <row r="756" ht="15.75" customHeight="1">
      <c r="F756" s="22"/>
      <c r="I756" s="23"/>
    </row>
    <row r="757" ht="15.75" customHeight="1">
      <c r="F757" s="22"/>
      <c r="I757" s="23"/>
    </row>
    <row r="758" ht="15.75" customHeight="1">
      <c r="F758" s="22"/>
      <c r="I758" s="23"/>
    </row>
    <row r="759" ht="15.75" customHeight="1">
      <c r="F759" s="22"/>
      <c r="I759" s="23"/>
    </row>
    <row r="760" ht="15.75" customHeight="1">
      <c r="F760" s="22"/>
      <c r="I760" s="23"/>
    </row>
    <row r="761" ht="15.75" customHeight="1">
      <c r="F761" s="22"/>
      <c r="I761" s="23"/>
    </row>
    <row r="762" ht="15.75" customHeight="1">
      <c r="F762" s="22"/>
      <c r="I762" s="23"/>
    </row>
    <row r="763" ht="15.75" customHeight="1">
      <c r="F763" s="22"/>
      <c r="I763" s="23"/>
    </row>
    <row r="764" ht="15.75" customHeight="1">
      <c r="F764" s="22"/>
      <c r="I764" s="23"/>
    </row>
    <row r="765" ht="15.75" customHeight="1">
      <c r="F765" s="22"/>
      <c r="I765" s="23"/>
    </row>
    <row r="766" ht="15.75" customHeight="1">
      <c r="F766" s="22"/>
      <c r="I766" s="23"/>
    </row>
    <row r="767" ht="15.75" customHeight="1">
      <c r="F767" s="22"/>
      <c r="I767" s="23"/>
    </row>
    <row r="768" ht="15.75" customHeight="1">
      <c r="F768" s="22"/>
      <c r="I768" s="23"/>
    </row>
    <row r="769" ht="15.75" customHeight="1">
      <c r="F769" s="22"/>
      <c r="I769" s="23"/>
    </row>
    <row r="770" ht="15.75" customHeight="1">
      <c r="F770" s="22"/>
      <c r="I770" s="23"/>
    </row>
    <row r="771" ht="15.75" customHeight="1">
      <c r="F771" s="22"/>
      <c r="I771" s="23"/>
    </row>
    <row r="772" ht="15.75" customHeight="1">
      <c r="F772" s="22"/>
      <c r="I772" s="23"/>
    </row>
    <row r="773" ht="15.75" customHeight="1">
      <c r="F773" s="22"/>
      <c r="I773" s="23"/>
    </row>
    <row r="774" ht="15.75" customHeight="1">
      <c r="F774" s="22"/>
      <c r="I774" s="23"/>
    </row>
    <row r="775" ht="15.75" customHeight="1">
      <c r="F775" s="22"/>
      <c r="I775" s="23"/>
    </row>
    <row r="776" ht="15.75" customHeight="1">
      <c r="F776" s="22"/>
      <c r="I776" s="23"/>
    </row>
    <row r="777" ht="15.75" customHeight="1">
      <c r="F777" s="22"/>
      <c r="I777" s="23"/>
    </row>
    <row r="778" ht="15.75" customHeight="1">
      <c r="F778" s="22"/>
      <c r="I778" s="23"/>
    </row>
    <row r="779" ht="15.75" customHeight="1">
      <c r="F779" s="22"/>
      <c r="I779" s="23"/>
    </row>
    <row r="780" ht="15.75" customHeight="1">
      <c r="F780" s="22"/>
      <c r="I780" s="23"/>
    </row>
    <row r="781" ht="15.75" customHeight="1">
      <c r="F781" s="22"/>
      <c r="I781" s="23"/>
    </row>
    <row r="782" ht="15.75" customHeight="1">
      <c r="F782" s="22"/>
      <c r="I782" s="23"/>
    </row>
    <row r="783" ht="15.75" customHeight="1">
      <c r="F783" s="22"/>
      <c r="I783" s="23"/>
    </row>
    <row r="784" ht="15.75" customHeight="1">
      <c r="F784" s="22"/>
      <c r="I784" s="23"/>
    </row>
    <row r="785" ht="15.75" customHeight="1">
      <c r="F785" s="22"/>
      <c r="I785" s="23"/>
    </row>
    <row r="786" ht="15.75" customHeight="1">
      <c r="F786" s="22"/>
      <c r="I786" s="23"/>
    </row>
    <row r="787" ht="15.75" customHeight="1">
      <c r="F787" s="22"/>
      <c r="I787" s="23"/>
    </row>
    <row r="788" ht="15.75" customHeight="1">
      <c r="F788" s="22"/>
      <c r="I788" s="23"/>
    </row>
    <row r="789" ht="15.75" customHeight="1">
      <c r="F789" s="22"/>
      <c r="I789" s="23"/>
    </row>
    <row r="790" ht="15.75" customHeight="1">
      <c r="F790" s="22"/>
      <c r="I790" s="23"/>
    </row>
    <row r="791" ht="15.75" customHeight="1">
      <c r="F791" s="22"/>
      <c r="I791" s="23"/>
    </row>
    <row r="792" ht="15.75" customHeight="1">
      <c r="F792" s="22"/>
      <c r="I792" s="23"/>
    </row>
    <row r="793" ht="15.75" customHeight="1">
      <c r="F793" s="22"/>
      <c r="I793" s="23"/>
    </row>
    <row r="794" ht="15.75" customHeight="1">
      <c r="F794" s="22"/>
      <c r="I794" s="23"/>
    </row>
    <row r="795" ht="15.75" customHeight="1">
      <c r="F795" s="22"/>
      <c r="I795" s="23"/>
    </row>
    <row r="796" ht="15.75" customHeight="1">
      <c r="F796" s="22"/>
      <c r="I796" s="23"/>
    </row>
    <row r="797" ht="15.75" customHeight="1">
      <c r="F797" s="22"/>
      <c r="I797" s="23"/>
    </row>
    <row r="798" ht="15.75" customHeight="1">
      <c r="F798" s="22"/>
      <c r="I798" s="23"/>
    </row>
    <row r="799" ht="15.75" customHeight="1">
      <c r="F799" s="22"/>
      <c r="I799" s="23"/>
    </row>
    <row r="800" ht="15.75" customHeight="1">
      <c r="F800" s="22"/>
      <c r="I800" s="23"/>
    </row>
    <row r="801" ht="15.75" customHeight="1">
      <c r="F801" s="22"/>
      <c r="I801" s="23"/>
    </row>
    <row r="802" ht="15.75" customHeight="1">
      <c r="F802" s="22"/>
      <c r="I802" s="23"/>
    </row>
    <row r="803" ht="15.75" customHeight="1">
      <c r="F803" s="22"/>
      <c r="I803" s="23"/>
    </row>
    <row r="804" ht="15.75" customHeight="1">
      <c r="F804" s="22"/>
      <c r="I804" s="23"/>
    </row>
    <row r="805" ht="15.75" customHeight="1">
      <c r="F805" s="22"/>
      <c r="I805" s="23"/>
    </row>
    <row r="806" ht="15.75" customHeight="1">
      <c r="F806" s="22"/>
      <c r="I806" s="23"/>
    </row>
    <row r="807" ht="15.75" customHeight="1">
      <c r="F807" s="22"/>
      <c r="I807" s="23"/>
    </row>
    <row r="808" ht="15.75" customHeight="1">
      <c r="F808" s="22"/>
      <c r="I808" s="23"/>
    </row>
    <row r="809" ht="15.75" customHeight="1">
      <c r="F809" s="22"/>
      <c r="I809" s="23"/>
    </row>
    <row r="810" ht="15.75" customHeight="1">
      <c r="F810" s="22"/>
      <c r="I810" s="23"/>
    </row>
    <row r="811" ht="15.75" customHeight="1">
      <c r="F811" s="22"/>
      <c r="I811" s="23"/>
    </row>
    <row r="812" ht="15.75" customHeight="1">
      <c r="F812" s="22"/>
      <c r="I812" s="23"/>
    </row>
    <row r="813" ht="15.75" customHeight="1">
      <c r="F813" s="22"/>
      <c r="I813" s="23"/>
    </row>
    <row r="814" ht="15.75" customHeight="1">
      <c r="F814" s="22"/>
      <c r="I814" s="23"/>
    </row>
    <row r="815" ht="15.75" customHeight="1">
      <c r="F815" s="22"/>
      <c r="I815" s="23"/>
    </row>
    <row r="816" ht="15.75" customHeight="1">
      <c r="F816" s="22"/>
      <c r="I816" s="23"/>
    </row>
    <row r="817" ht="15.75" customHeight="1">
      <c r="F817" s="22"/>
      <c r="I817" s="23"/>
    </row>
    <row r="818" ht="15.75" customHeight="1">
      <c r="F818" s="22"/>
      <c r="I818" s="23"/>
    </row>
    <row r="819" ht="15.75" customHeight="1">
      <c r="F819" s="22"/>
      <c r="I819" s="23"/>
    </row>
    <row r="820" ht="15.75" customHeight="1">
      <c r="F820" s="22"/>
      <c r="I820" s="23"/>
    </row>
    <row r="821" ht="15.75" customHeight="1">
      <c r="F821" s="22"/>
      <c r="I821" s="23"/>
    </row>
    <row r="822" ht="15.75" customHeight="1">
      <c r="F822" s="22"/>
      <c r="I822" s="23"/>
    </row>
    <row r="823" ht="15.75" customHeight="1">
      <c r="F823" s="22"/>
      <c r="I823" s="23"/>
    </row>
    <row r="824" ht="15.75" customHeight="1">
      <c r="F824" s="22"/>
      <c r="I824" s="23"/>
    </row>
    <row r="825" ht="15.75" customHeight="1">
      <c r="F825" s="22"/>
      <c r="I825" s="23"/>
    </row>
    <row r="826" ht="15.75" customHeight="1">
      <c r="F826" s="22"/>
      <c r="I826" s="23"/>
    </row>
    <row r="827" ht="15.75" customHeight="1">
      <c r="F827" s="22"/>
      <c r="I827" s="23"/>
    </row>
    <row r="828" ht="15.75" customHeight="1">
      <c r="F828" s="22"/>
      <c r="I828" s="23"/>
    </row>
    <row r="829" ht="15.75" customHeight="1">
      <c r="F829" s="22"/>
      <c r="I829" s="23"/>
    </row>
    <row r="830" ht="15.75" customHeight="1">
      <c r="F830" s="22"/>
      <c r="I830" s="23"/>
    </row>
    <row r="831" ht="15.75" customHeight="1">
      <c r="F831" s="22"/>
      <c r="I831" s="23"/>
    </row>
    <row r="832" ht="15.75" customHeight="1">
      <c r="F832" s="22"/>
      <c r="I832" s="23"/>
    </row>
    <row r="833" ht="15.75" customHeight="1">
      <c r="F833" s="22"/>
      <c r="I833" s="23"/>
    </row>
    <row r="834" ht="15.75" customHeight="1">
      <c r="F834" s="22"/>
      <c r="I834" s="23"/>
    </row>
    <row r="835" ht="15.75" customHeight="1">
      <c r="F835" s="22"/>
      <c r="I835" s="23"/>
    </row>
    <row r="836" ht="15.75" customHeight="1">
      <c r="F836" s="22"/>
      <c r="I836" s="23"/>
    </row>
    <row r="837" ht="15.75" customHeight="1">
      <c r="F837" s="22"/>
      <c r="I837" s="23"/>
    </row>
    <row r="838" ht="15.75" customHeight="1">
      <c r="F838" s="22"/>
      <c r="I838" s="23"/>
    </row>
    <row r="839" ht="15.75" customHeight="1">
      <c r="F839" s="22"/>
      <c r="I839" s="23"/>
    </row>
    <row r="840" ht="15.75" customHeight="1">
      <c r="F840" s="22"/>
      <c r="I840" s="23"/>
    </row>
    <row r="841" ht="15.75" customHeight="1">
      <c r="F841" s="22"/>
      <c r="I841" s="23"/>
    </row>
    <row r="842" ht="15.75" customHeight="1">
      <c r="F842" s="22"/>
      <c r="I842" s="23"/>
    </row>
    <row r="843" ht="15.75" customHeight="1">
      <c r="F843" s="22"/>
      <c r="I843" s="23"/>
    </row>
    <row r="844" ht="15.75" customHeight="1">
      <c r="F844" s="22"/>
      <c r="I844" s="23"/>
    </row>
    <row r="845" ht="15.75" customHeight="1">
      <c r="F845" s="22"/>
      <c r="I845" s="23"/>
    </row>
    <row r="846" ht="15.75" customHeight="1">
      <c r="F846" s="22"/>
      <c r="I846" s="23"/>
    </row>
    <row r="847" ht="15.75" customHeight="1">
      <c r="F847" s="22"/>
      <c r="I847" s="23"/>
    </row>
    <row r="848" ht="15.75" customHeight="1">
      <c r="F848" s="22"/>
      <c r="I848" s="23"/>
    </row>
    <row r="849" ht="15.75" customHeight="1">
      <c r="F849" s="22"/>
      <c r="I849" s="23"/>
    </row>
    <row r="850" ht="15.75" customHeight="1">
      <c r="F850" s="22"/>
      <c r="I850" s="23"/>
    </row>
    <row r="851" ht="15.75" customHeight="1">
      <c r="F851" s="22"/>
      <c r="I851" s="23"/>
    </row>
    <row r="852" ht="15.75" customHeight="1">
      <c r="F852" s="22"/>
      <c r="I852" s="23"/>
    </row>
    <row r="853" ht="15.75" customHeight="1">
      <c r="F853" s="22"/>
      <c r="I853" s="23"/>
    </row>
    <row r="854" ht="15.75" customHeight="1">
      <c r="F854" s="22"/>
      <c r="I854" s="23"/>
    </row>
    <row r="855" ht="15.75" customHeight="1">
      <c r="F855" s="22"/>
      <c r="I855" s="23"/>
    </row>
    <row r="856" ht="15.75" customHeight="1">
      <c r="F856" s="22"/>
      <c r="I856" s="23"/>
    </row>
    <row r="857" ht="15.75" customHeight="1">
      <c r="F857" s="22"/>
      <c r="I857" s="23"/>
    </row>
    <row r="858" ht="15.75" customHeight="1">
      <c r="F858" s="22"/>
      <c r="I858" s="23"/>
    </row>
    <row r="859" ht="15.75" customHeight="1">
      <c r="F859" s="22"/>
      <c r="I859" s="23"/>
    </row>
    <row r="860" ht="15.75" customHeight="1">
      <c r="F860" s="22"/>
      <c r="I860" s="23"/>
    </row>
    <row r="861" ht="15.75" customHeight="1">
      <c r="F861" s="22"/>
      <c r="I861" s="23"/>
    </row>
    <row r="862" ht="15.75" customHeight="1">
      <c r="F862" s="22"/>
      <c r="I862" s="23"/>
    </row>
    <row r="863" ht="15.75" customHeight="1">
      <c r="F863" s="22"/>
      <c r="I863" s="23"/>
    </row>
    <row r="864" ht="15.75" customHeight="1">
      <c r="F864" s="22"/>
      <c r="I864" s="23"/>
    </row>
    <row r="865" ht="15.75" customHeight="1">
      <c r="F865" s="22"/>
      <c r="I865" s="23"/>
    </row>
    <row r="866" ht="15.75" customHeight="1">
      <c r="F866" s="22"/>
      <c r="I866" s="23"/>
    </row>
    <row r="867" ht="15.75" customHeight="1">
      <c r="F867" s="22"/>
      <c r="I867" s="23"/>
    </row>
    <row r="868" ht="15.75" customHeight="1">
      <c r="F868" s="22"/>
      <c r="I868" s="23"/>
    </row>
    <row r="869" ht="15.75" customHeight="1">
      <c r="F869" s="22"/>
      <c r="I869" s="23"/>
    </row>
    <row r="870" ht="15.75" customHeight="1">
      <c r="F870" s="22"/>
      <c r="I870" s="23"/>
    </row>
    <row r="871" ht="15.75" customHeight="1">
      <c r="F871" s="22"/>
      <c r="I871" s="23"/>
    </row>
    <row r="872" ht="15.75" customHeight="1">
      <c r="F872" s="22"/>
      <c r="I872" s="23"/>
    </row>
    <row r="873" ht="15.75" customHeight="1">
      <c r="F873" s="22"/>
      <c r="I873" s="23"/>
    </row>
    <row r="874" ht="15.75" customHeight="1">
      <c r="F874" s="22"/>
      <c r="I874" s="23"/>
    </row>
    <row r="875" ht="15.75" customHeight="1">
      <c r="F875" s="22"/>
      <c r="I875" s="23"/>
    </row>
    <row r="876" ht="15.75" customHeight="1">
      <c r="F876" s="22"/>
      <c r="I876" s="23"/>
    </row>
    <row r="877" ht="15.75" customHeight="1">
      <c r="F877" s="22"/>
      <c r="I877" s="23"/>
    </row>
    <row r="878" ht="15.75" customHeight="1">
      <c r="F878" s="22"/>
      <c r="I878" s="23"/>
    </row>
    <row r="879" ht="15.75" customHeight="1">
      <c r="F879" s="22"/>
      <c r="I879" s="23"/>
    </row>
    <row r="880" ht="15.75" customHeight="1">
      <c r="F880" s="22"/>
      <c r="I880" s="23"/>
    </row>
    <row r="881" ht="15.75" customHeight="1">
      <c r="F881" s="22"/>
      <c r="I881" s="23"/>
    </row>
    <row r="882" ht="15.75" customHeight="1">
      <c r="F882" s="22"/>
      <c r="I882" s="23"/>
    </row>
    <row r="883" ht="15.75" customHeight="1">
      <c r="F883" s="22"/>
      <c r="I883" s="23"/>
    </row>
    <row r="884" ht="15.75" customHeight="1">
      <c r="F884" s="22"/>
      <c r="I884" s="23"/>
    </row>
    <row r="885" ht="15.75" customHeight="1">
      <c r="F885" s="22"/>
      <c r="I885" s="23"/>
    </row>
    <row r="886" ht="15.75" customHeight="1">
      <c r="F886" s="22"/>
      <c r="I886" s="23"/>
    </row>
    <row r="887" ht="15.75" customHeight="1">
      <c r="F887" s="22"/>
      <c r="I887" s="23"/>
    </row>
    <row r="888" ht="15.75" customHeight="1">
      <c r="F888" s="22"/>
      <c r="I888" s="23"/>
    </row>
    <row r="889" ht="15.75" customHeight="1">
      <c r="F889" s="22"/>
      <c r="I889" s="23"/>
    </row>
    <row r="890" ht="15.75" customHeight="1">
      <c r="F890" s="22"/>
      <c r="I890" s="23"/>
    </row>
    <row r="891" ht="15.75" customHeight="1">
      <c r="F891" s="22"/>
      <c r="I891" s="23"/>
    </row>
    <row r="892" ht="15.75" customHeight="1">
      <c r="F892" s="22"/>
      <c r="I892" s="23"/>
    </row>
    <row r="893" ht="15.75" customHeight="1">
      <c r="F893" s="22"/>
      <c r="I893" s="23"/>
    </row>
    <row r="894" ht="15.75" customHeight="1">
      <c r="F894" s="22"/>
      <c r="I894" s="23"/>
    </row>
    <row r="895" ht="15.75" customHeight="1">
      <c r="F895" s="22"/>
      <c r="I895" s="23"/>
    </row>
    <row r="896" ht="15.75" customHeight="1">
      <c r="F896" s="22"/>
      <c r="I896" s="23"/>
    </row>
    <row r="897" ht="15.75" customHeight="1">
      <c r="F897" s="22"/>
      <c r="I897" s="23"/>
    </row>
    <row r="898" ht="15.75" customHeight="1">
      <c r="F898" s="22"/>
      <c r="I898" s="23"/>
    </row>
    <row r="899" ht="15.75" customHeight="1">
      <c r="F899" s="22"/>
      <c r="I899" s="23"/>
    </row>
    <row r="900" ht="15.75" customHeight="1">
      <c r="F900" s="22"/>
      <c r="I900" s="23"/>
    </row>
    <row r="901" ht="15.75" customHeight="1">
      <c r="F901" s="22"/>
      <c r="I901" s="23"/>
    </row>
    <row r="902" ht="15.75" customHeight="1">
      <c r="F902" s="22"/>
      <c r="I902" s="23"/>
    </row>
    <row r="903" ht="15.75" customHeight="1">
      <c r="F903" s="22"/>
      <c r="I903" s="23"/>
    </row>
    <row r="904" ht="15.75" customHeight="1">
      <c r="F904" s="22"/>
      <c r="I904" s="23"/>
    </row>
    <row r="905" ht="15.75" customHeight="1">
      <c r="F905" s="22"/>
      <c r="I905" s="23"/>
    </row>
    <row r="906" ht="15.75" customHeight="1">
      <c r="F906" s="22"/>
      <c r="I906" s="23"/>
    </row>
    <row r="907" ht="15.75" customHeight="1">
      <c r="F907" s="22"/>
      <c r="I907" s="23"/>
    </row>
    <row r="908" ht="15.75" customHeight="1">
      <c r="F908" s="22"/>
      <c r="I908" s="23"/>
    </row>
    <row r="909" ht="15.75" customHeight="1">
      <c r="F909" s="22"/>
      <c r="I909" s="23"/>
    </row>
    <row r="910" ht="15.75" customHeight="1">
      <c r="F910" s="22"/>
      <c r="I910" s="23"/>
    </row>
    <row r="911" ht="15.75" customHeight="1">
      <c r="F911" s="22"/>
      <c r="I911" s="23"/>
    </row>
    <row r="912" ht="15.75" customHeight="1">
      <c r="F912" s="22"/>
      <c r="I912" s="23"/>
    </row>
    <row r="913" ht="15.75" customHeight="1">
      <c r="F913" s="22"/>
      <c r="I913" s="23"/>
    </row>
    <row r="914" ht="15.75" customHeight="1">
      <c r="F914" s="22"/>
      <c r="I914" s="23"/>
    </row>
    <row r="915" ht="15.75" customHeight="1">
      <c r="F915" s="22"/>
      <c r="I915" s="23"/>
    </row>
    <row r="916" ht="15.75" customHeight="1">
      <c r="F916" s="22"/>
      <c r="I916" s="23"/>
    </row>
    <row r="917" ht="15.75" customHeight="1">
      <c r="F917" s="22"/>
      <c r="I917" s="23"/>
    </row>
    <row r="918" ht="15.75" customHeight="1">
      <c r="F918" s="22"/>
      <c r="I918" s="23"/>
    </row>
    <row r="919" ht="15.75" customHeight="1">
      <c r="F919" s="22"/>
      <c r="I919" s="23"/>
    </row>
    <row r="920" ht="15.75" customHeight="1">
      <c r="F920" s="22"/>
      <c r="I920" s="23"/>
    </row>
    <row r="921" ht="15.75" customHeight="1">
      <c r="F921" s="22"/>
      <c r="I921" s="23"/>
    </row>
    <row r="922" ht="15.75" customHeight="1">
      <c r="F922" s="22"/>
      <c r="I922" s="23"/>
    </row>
    <row r="923" ht="15.75" customHeight="1">
      <c r="F923" s="22"/>
      <c r="I923" s="23"/>
    </row>
    <row r="924" ht="15.75" customHeight="1">
      <c r="F924" s="22"/>
      <c r="I924" s="23"/>
    </row>
    <row r="925" ht="15.75" customHeight="1">
      <c r="F925" s="22"/>
      <c r="I925" s="23"/>
    </row>
    <row r="926" ht="15.75" customHeight="1">
      <c r="F926" s="22"/>
      <c r="I926" s="23"/>
    </row>
    <row r="927" ht="15.75" customHeight="1">
      <c r="F927" s="22"/>
      <c r="I927" s="23"/>
    </row>
    <row r="928" ht="15.75" customHeight="1">
      <c r="F928" s="22"/>
      <c r="I928" s="23"/>
    </row>
    <row r="929" ht="15.75" customHeight="1">
      <c r="F929" s="22"/>
      <c r="I929" s="23"/>
    </row>
    <row r="930" ht="15.75" customHeight="1">
      <c r="F930" s="22"/>
      <c r="I930" s="23"/>
    </row>
    <row r="931" ht="15.75" customHeight="1">
      <c r="F931" s="22"/>
      <c r="I931" s="23"/>
    </row>
    <row r="932" ht="15.75" customHeight="1">
      <c r="F932" s="22"/>
      <c r="I932" s="23"/>
    </row>
    <row r="933" ht="15.75" customHeight="1">
      <c r="F933" s="22"/>
      <c r="I933" s="23"/>
    </row>
    <row r="934" ht="15.75" customHeight="1">
      <c r="F934" s="22"/>
      <c r="I934" s="23"/>
    </row>
    <row r="935" ht="15.75" customHeight="1">
      <c r="F935" s="22"/>
      <c r="I935" s="23"/>
    </row>
    <row r="936" ht="15.75" customHeight="1">
      <c r="F936" s="22"/>
      <c r="I936" s="23"/>
    </row>
    <row r="937" ht="15.75" customHeight="1">
      <c r="F937" s="22"/>
      <c r="I937" s="23"/>
    </row>
    <row r="938" ht="15.75" customHeight="1">
      <c r="F938" s="22"/>
      <c r="I938" s="23"/>
    </row>
    <row r="939" ht="15.75" customHeight="1">
      <c r="F939" s="22"/>
      <c r="I939" s="23"/>
    </row>
    <row r="940" ht="15.75" customHeight="1">
      <c r="F940" s="22"/>
      <c r="I940" s="23"/>
    </row>
    <row r="941" ht="15.75" customHeight="1">
      <c r="F941" s="22"/>
      <c r="I941" s="23"/>
    </row>
    <row r="942" ht="15.75" customHeight="1">
      <c r="F942" s="22"/>
      <c r="I942" s="23"/>
    </row>
    <row r="943" ht="15.75" customHeight="1">
      <c r="F943" s="22"/>
      <c r="I943" s="23"/>
    </row>
    <row r="944" ht="15.75" customHeight="1">
      <c r="F944" s="22"/>
      <c r="I944" s="23"/>
    </row>
    <row r="945" ht="15.75" customHeight="1">
      <c r="F945" s="22"/>
      <c r="I945" s="23"/>
    </row>
    <row r="946" ht="15.75" customHeight="1">
      <c r="F946" s="22"/>
      <c r="I946" s="23"/>
    </row>
    <row r="947" ht="15.75" customHeight="1">
      <c r="F947" s="22"/>
      <c r="I947" s="23"/>
    </row>
    <row r="948" ht="15.75" customHeight="1">
      <c r="F948" s="22"/>
      <c r="I948" s="23"/>
    </row>
    <row r="949" ht="15.75" customHeight="1">
      <c r="F949" s="22"/>
      <c r="I949" s="23"/>
    </row>
    <row r="950" ht="15.75" customHeight="1">
      <c r="F950" s="22"/>
      <c r="I950" s="23"/>
    </row>
    <row r="951" ht="15.75" customHeight="1">
      <c r="F951" s="22"/>
      <c r="I951" s="23"/>
    </row>
    <row r="952" ht="15.75" customHeight="1">
      <c r="F952" s="22"/>
      <c r="I952" s="23"/>
    </row>
    <row r="953" ht="15.75" customHeight="1">
      <c r="F953" s="22"/>
      <c r="I953" s="23"/>
    </row>
    <row r="954" ht="15.75" customHeight="1">
      <c r="F954" s="22"/>
      <c r="I954" s="23"/>
    </row>
    <row r="955" ht="15.75" customHeight="1">
      <c r="F955" s="22"/>
      <c r="I955" s="23"/>
    </row>
    <row r="956" ht="15.75" customHeight="1">
      <c r="F956" s="22"/>
      <c r="I956" s="23"/>
    </row>
    <row r="957" ht="15.75" customHeight="1">
      <c r="F957" s="22"/>
      <c r="I957" s="23"/>
    </row>
    <row r="958" ht="15.75" customHeight="1">
      <c r="F958" s="22"/>
      <c r="I958" s="23"/>
    </row>
    <row r="959" ht="15.75" customHeight="1">
      <c r="F959" s="22"/>
      <c r="I959" s="23"/>
    </row>
    <row r="960" ht="15.75" customHeight="1">
      <c r="F960" s="22"/>
      <c r="I960" s="23"/>
    </row>
    <row r="961" ht="15.75" customHeight="1">
      <c r="F961" s="22"/>
      <c r="I961" s="23"/>
    </row>
    <row r="962" ht="15.75" customHeight="1">
      <c r="F962" s="22"/>
      <c r="I962" s="23"/>
    </row>
    <row r="963" ht="15.75" customHeight="1">
      <c r="F963" s="22"/>
      <c r="I963" s="23"/>
    </row>
    <row r="964" ht="15.75" customHeight="1">
      <c r="F964" s="22"/>
      <c r="I964" s="23"/>
    </row>
    <row r="965" ht="15.75" customHeight="1">
      <c r="F965" s="22"/>
      <c r="I965" s="23"/>
    </row>
    <row r="966" ht="15.75" customHeight="1">
      <c r="F966" s="22"/>
      <c r="I966" s="23"/>
    </row>
    <row r="967" ht="15.75" customHeight="1">
      <c r="F967" s="22"/>
      <c r="I967" s="23"/>
    </row>
    <row r="968" ht="15.75" customHeight="1">
      <c r="F968" s="22"/>
      <c r="I968" s="23"/>
    </row>
    <row r="969" ht="15.75" customHeight="1">
      <c r="F969" s="22"/>
      <c r="I969" s="23"/>
    </row>
  </sheetData>
  <mergeCells count="2">
    <mergeCell ref="B1:H1"/>
    <mergeCell ref="I1:L1"/>
  </mergeCells>
  <dataValidations>
    <dataValidation type="list" allowBlank="1" sqref="E3:E337">
      <formula1>Dictionary!$AR$4:$AR$23</formula1>
    </dataValidation>
    <dataValidation type="list" allowBlank="1" sqref="H3:H337">
      <formula1>Dictionary!$BA$4:$BA$43</formula1>
    </dataValidation>
    <dataValidation type="list" allowBlank="1" sqref="B3:B337">
      <formula1>Dictionary!$A$4:$A$77</formula1>
    </dataValidation>
    <dataValidation type="list" allowBlank="1" sqref="G3:G337">
      <formula1>Dictionary!$AY$4:$AY$18</formula1>
    </dataValidation>
    <dataValidation type="list" allowBlank="1" sqref="M1">
      <formula1>Dictionary!$AS$4:$AS$23</formula1>
    </dataValidation>
    <dataValidation type="list" allowBlank="1" sqref="D3:D337">
      <formula1>Dictionary!$D$4:$D$754</formula1>
    </dataValidation>
    <dataValidation type="list" allowBlank="1" sqref="I3:I969">
      <formula1>Dictionary!$AS$4:$AS$6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86"/>
    <col customWidth="1" min="2" max="2" width="18.0"/>
    <col customWidth="1" min="3" max="3" width="33.43"/>
    <col customWidth="1" min="4" max="4" width="21.43"/>
    <col customWidth="1" min="5" max="5" width="16.0"/>
    <col customWidth="1" min="6" max="6" width="22.71"/>
    <col customWidth="1" min="7" max="7" width="28.14"/>
    <col customWidth="1" min="8" max="8" width="78.43"/>
    <col customWidth="1" min="9" max="9" width="26.29"/>
    <col customWidth="1" min="10" max="10" width="25.14"/>
    <col customWidth="1" min="11" max="11" width="34.86"/>
    <col customWidth="1" min="12" max="12" width="33.14"/>
    <col customWidth="1" min="13" max="13" width="22.0"/>
    <col customWidth="1" min="14" max="14" width="22.29"/>
    <col customWidth="1" min="27" max="27" width="22.71"/>
  </cols>
  <sheetData>
    <row r="1" ht="15.75" customHeight="1">
      <c r="A1" s="24"/>
      <c r="B1" s="25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26" t="s">
        <v>29</v>
      </c>
      <c r="P1" s="3"/>
      <c r="Q1" s="4"/>
    </row>
    <row r="2" ht="15.75" customHeight="1">
      <c r="A2" s="7" t="s">
        <v>3</v>
      </c>
      <c r="B2" s="27" t="s">
        <v>4</v>
      </c>
      <c r="C2" s="27" t="s">
        <v>30</v>
      </c>
      <c r="D2" s="27" t="s">
        <v>31</v>
      </c>
      <c r="E2" s="8" t="s">
        <v>32</v>
      </c>
      <c r="F2" s="8" t="s">
        <v>33</v>
      </c>
      <c r="G2" s="8" t="s">
        <v>34</v>
      </c>
      <c r="H2" s="8" t="s">
        <v>35</v>
      </c>
      <c r="I2" s="8" t="s">
        <v>36</v>
      </c>
      <c r="J2" s="8" t="s">
        <v>37</v>
      </c>
      <c r="K2" s="8" t="s">
        <v>38</v>
      </c>
      <c r="L2" s="28" t="s">
        <v>39</v>
      </c>
      <c r="M2" s="8" t="s">
        <v>40</v>
      </c>
      <c r="N2" s="8" t="s">
        <v>41</v>
      </c>
      <c r="O2" s="29" t="s">
        <v>12</v>
      </c>
      <c r="P2" s="29" t="s">
        <v>13</v>
      </c>
      <c r="Q2" s="29" t="s">
        <v>14</v>
      </c>
    </row>
    <row r="3" ht="15.75" customHeight="1">
      <c r="A3" s="30"/>
      <c r="B3" s="14" t="s">
        <v>15</v>
      </c>
      <c r="C3" s="14" t="s">
        <v>42</v>
      </c>
      <c r="D3" s="14" t="s">
        <v>43</v>
      </c>
      <c r="E3" s="14" t="s">
        <v>44</v>
      </c>
      <c r="F3" s="14" t="s">
        <v>45</v>
      </c>
      <c r="G3" s="14" t="s">
        <v>46</v>
      </c>
      <c r="H3" s="14" t="s">
        <v>47</v>
      </c>
      <c r="I3" s="14" t="s">
        <v>17</v>
      </c>
      <c r="J3" s="14" t="s">
        <v>17</v>
      </c>
      <c r="K3" s="14"/>
      <c r="L3" s="14" t="s">
        <v>48</v>
      </c>
      <c r="M3" s="31" t="s">
        <v>49</v>
      </c>
      <c r="N3" s="31" t="s">
        <v>50</v>
      </c>
      <c r="O3" s="31"/>
      <c r="P3" s="32"/>
      <c r="Q3" s="32"/>
      <c r="R3" s="33" t="str">
        <f>IF(K3="----","#N/A",CONCATENATE("MK|",(VLOOKUP(B3,Dictionary!$A:$B,2,0)),"_CH|",(VLOOKUP(C3,Dictionary!$AV:$AW,2,0)),"_DT|",(VLOOKUP(D3,Dictionary!$P:$Q,2,0)),"_PB|",(VLOOKUP(E3,Dictionary!$G:$H,2,0)),"_FM|",(VLOOKUP(F3,Dictionary!$S:$T,2,0)),"_RT|",(VLOOKUP(G3,Dictionary!$V:$W,2,0)),"_PD|",SUBSTITUTE(SUBSTITUTE(IF(H3="","NONE",H3),"_","-"),"|","-"),"_TG|",(VLOOKUP(I3,Dictionary!$J:$K,2,0)),"_ST|",(VLOOKUP(J3,Dictionary!$M:$N,2,0)),"_TS|",SUBSTITUTE(SUBSTITUTE(IF(K3="","NONE",K3),"_","-"),"|","-"),"_SZ|",(VLOOKUP(L3,Dictionary!$Y:$Z,1,0)),"_AD|",(VLOOKUP(M3,Dictionary!$AB:$AC,2,0)),"_IT|",(VLOOKUP(N3,Dictionary!$BC:$BD,2,0)),IF(O3="","",CONCATENATE("_U1|",SUBSTITUTE(SUBSTITUTE(O3,"_","-"),"|","-"))),IF(P3="","",CONCATENATE("_U2|",SUBSTITUTE(SUBSTITUTE(P3,"_","-"),"|","-"))),IF(Q3="","",CONCATENATE("_U3|",SUBSTITUTE(SUBSTITUTE(Q3,"_","-"),"|","-")))))</f>
        <v>MK|BR_CH|SEM_DT|CROSS_PB|GADS_FM|TXT_RT|CPC_PD|DOTZ-BENEFICIOS_TG|NON_ST|NON_TS|NONE_SZ|Text_AD|ADW_IT|SEM</v>
      </c>
    </row>
    <row r="4" ht="15.75" customHeight="1">
      <c r="A4" s="30"/>
      <c r="B4" s="14" t="s">
        <v>15</v>
      </c>
      <c r="C4" s="14" t="s">
        <v>51</v>
      </c>
      <c r="D4" s="14" t="s">
        <v>43</v>
      </c>
      <c r="E4" s="14" t="s">
        <v>52</v>
      </c>
      <c r="F4" s="14" t="s">
        <v>53</v>
      </c>
      <c r="G4" s="14" t="s">
        <v>54</v>
      </c>
      <c r="H4" s="14" t="s">
        <v>47</v>
      </c>
      <c r="I4" s="14" t="s">
        <v>55</v>
      </c>
      <c r="J4" s="14" t="s">
        <v>56</v>
      </c>
      <c r="K4" s="14" t="s">
        <v>57</v>
      </c>
      <c r="L4" s="14" t="s">
        <v>58</v>
      </c>
      <c r="M4" s="31" t="s">
        <v>59</v>
      </c>
      <c r="N4" s="31" t="s">
        <v>60</v>
      </c>
      <c r="O4" s="31"/>
      <c r="P4" s="32"/>
      <c r="Q4" s="32"/>
      <c r="R4" s="33" t="str">
        <f>IF(K4="----","#N/A",CONCATENATE("MK|",(VLOOKUP(B4,Dictionary!$A:$B,2,0)),"_CH|",(VLOOKUP(C4,Dictionary!$AV:$AW,2,0)),"_DT|",(VLOOKUP(D4,Dictionary!$P:$Q,2,0)),"_PB|",(VLOOKUP(E4,Dictionary!$G:$H,2,0)),"_FM|",(VLOOKUP(F4,Dictionary!$S:$T,2,0)),"_RT|",(VLOOKUP(G4,Dictionary!$V:$W,2,0)),"_PD|",SUBSTITUTE(SUBSTITUTE(IF(H4="","NONE",H4),"_","-"),"|","-"),"_TG|",(VLOOKUP(I4,Dictionary!$J:$K,2,0)),"_ST|",(VLOOKUP(J4,Dictionary!$M:$N,2,0)),"_TS|",SUBSTITUTE(SUBSTITUTE(IF(K4="","NONE",K4),"_","-"),"|","-"),"_SZ|",(VLOOKUP(L4,Dictionary!$Y:$Z,1,0)),"_AD|",(VLOOKUP(M4,Dictionary!$AB:$AC,2,0)),"_IT|",(VLOOKUP(N4,Dictionary!$BC:$BD,2,0)),IF(O4="","",CONCATENATE("_U1|",SUBSTITUTE(SUBSTITUTE(O4,"_","-"),"|","-"))),IF(P4="","",CONCATENATE("_U2|",SUBSTITUTE(SUBSTITUTE(P4,"_","-"),"|","-"))),IF(Q4="","",CONCATENATE("_U3|",SUBSTITUTE(SUBSTITUTE(Q4,"_","-"),"|","-")))))</f>
        <v>MK|BR_CH|PSD_DT|CROSS_PB|FCBK_FM|SPOST_RT|CPA_PD|DOTZ-BENEFICIOS_TG|CON_ST|BHV_TS|VIAGENS_SZ|1X1_AD|CM1_IT|SOC</v>
      </c>
    </row>
    <row r="5" ht="15.75" customHeight="1">
      <c r="A5" s="30"/>
      <c r="B5" s="14" t="s">
        <v>15</v>
      </c>
      <c r="C5" s="14" t="s">
        <v>61</v>
      </c>
      <c r="D5" s="14" t="s">
        <v>43</v>
      </c>
      <c r="E5" s="14" t="s">
        <v>62</v>
      </c>
      <c r="F5" s="14" t="s">
        <v>63</v>
      </c>
      <c r="G5" s="14" t="s">
        <v>54</v>
      </c>
      <c r="H5" s="14" t="s">
        <v>47</v>
      </c>
      <c r="I5" s="14" t="s">
        <v>55</v>
      </c>
      <c r="J5" s="14" t="s">
        <v>17</v>
      </c>
      <c r="K5" s="14" t="s">
        <v>57</v>
      </c>
      <c r="L5" s="14" t="s">
        <v>17</v>
      </c>
      <c r="M5" s="31" t="s">
        <v>64</v>
      </c>
      <c r="N5" s="31" t="s">
        <v>65</v>
      </c>
      <c r="O5" s="31"/>
      <c r="P5" s="32"/>
      <c r="Q5" s="32"/>
      <c r="R5" s="33" t="str">
        <f>IF(K5="----","#N/A",CONCATENATE("MK|",(VLOOKUP(B5,Dictionary!$A:$B,2,0)),"_CH|",(VLOOKUP(C5,Dictionary!$AV:$AW,2,0)),"_DT|",(VLOOKUP(D5,Dictionary!$P:$Q,2,0)),"_PB|",(VLOOKUP(E5,Dictionary!$G:$H,2,0)),"_FM|",(VLOOKUP(F5,Dictionary!$S:$T,2,0)),"_RT|",(VLOOKUP(G5,Dictionary!$V:$W,2,0)),"_PD|",SUBSTITUTE(SUBSTITUTE(IF(H5="","NONE",H5),"_","-"),"|","-"),"_TG|",(VLOOKUP(I5,Dictionary!$J:$K,2,0)),"_ST|",(VLOOKUP(J5,Dictionary!$M:$N,2,0)),"_TS|",SUBSTITUTE(SUBSTITUTE(IF(K5="","NONE",K5),"_","-"),"|","-"),"_SZ|",(VLOOKUP(L5,Dictionary!$Y:$Z,1,0)),"_AD|",(VLOOKUP(M5,Dictionary!$AB:$AC,2,0)),"_IT|",(VLOOKUP(N5,Dictionary!$BC:$BD,2,0)),IF(O5="","",CONCATENATE("_U1|",SUBSTITUTE(SUBSTITUTE(O5,"_","-"),"|","-"))),IF(P5="","",CONCATENATE("_U2|",SUBSTITUTE(SUBSTITUTE(P5,"_","-"),"|","-"))),IF(Q5="","",CONCATENATE("_U3|",SUBSTITUTE(SUBSTITUTE(Q5,"_","-"),"|","-")))))</f>
        <v>MK|BR_CH|PD_DT|CROSS_PB|DV36_FM|BAN_RT|CPA_PD|DOTZ-BENEFICIOS_TG|CON_ST|NON_TS|VIAGENS_SZ|None_AD|CM_IT|POE</v>
      </c>
    </row>
    <row r="6" ht="15.75" customHeight="1">
      <c r="A6" s="30"/>
      <c r="B6" s="14" t="s">
        <v>15</v>
      </c>
      <c r="C6" s="14" t="s">
        <v>61</v>
      </c>
      <c r="D6" s="14" t="s">
        <v>43</v>
      </c>
      <c r="E6" s="14" t="s">
        <v>62</v>
      </c>
      <c r="F6" s="14" t="s">
        <v>63</v>
      </c>
      <c r="G6" s="14" t="s">
        <v>54</v>
      </c>
      <c r="H6" s="14" t="s">
        <v>47</v>
      </c>
      <c r="I6" s="14" t="s">
        <v>55</v>
      </c>
      <c r="J6" s="14" t="s">
        <v>17</v>
      </c>
      <c r="K6" s="14" t="s">
        <v>66</v>
      </c>
      <c r="L6" s="14" t="s">
        <v>17</v>
      </c>
      <c r="M6" s="31" t="s">
        <v>64</v>
      </c>
      <c r="N6" s="31" t="s">
        <v>65</v>
      </c>
      <c r="O6" s="31"/>
      <c r="P6" s="32"/>
      <c r="Q6" s="32"/>
      <c r="R6" s="33" t="str">
        <f>IF(K6="----","#N/A",CONCATENATE("MK|",(VLOOKUP(B6,Dictionary!$A:$B,2,0)),"_CH|",(VLOOKUP(C6,Dictionary!$AV:$AW,2,0)),"_DT|",(VLOOKUP(D6,Dictionary!$P:$Q,2,0)),"_PB|",(VLOOKUP(E6,Dictionary!$G:$H,2,0)),"_FM|",(VLOOKUP(F6,Dictionary!$S:$T,2,0)),"_RT|",(VLOOKUP(G6,Dictionary!$V:$W,2,0)),"_PD|",SUBSTITUTE(SUBSTITUTE(IF(H6="","NONE",H6),"_","-"),"|","-"),"_TG|",(VLOOKUP(I6,Dictionary!$J:$K,2,0)),"_ST|",(VLOOKUP(J6,Dictionary!$M:$N,2,0)),"_TS|",SUBSTITUTE(SUBSTITUTE(IF(K6="","NONE",K6),"_","-"),"|","-"),"_SZ|",(VLOOKUP(L6,Dictionary!$Y:$Z,1,0)),"_AD|",(VLOOKUP(M6,Dictionary!$AB:$AC,2,0)),"_IT|",(VLOOKUP(N6,Dictionary!$BC:$BD,2,0)),IF(O6="","",CONCATENATE("_U1|",SUBSTITUTE(SUBSTITUTE(O6,"_","-"),"|","-"))),IF(P6="","",CONCATENATE("_U2|",SUBSTITUTE(SUBSTITUTE(P6,"_","-"),"|","-"))),IF(Q6="","",CONCATENATE("_U3|",SUBSTITUTE(SUBSTITUTE(Q6,"_","-"),"|","-")))))</f>
        <v>MK|BR_CH|PD_DT|CROSS_PB|DV36_FM|BAN_RT|CPA_PD|DOTZ-BENEFICIOS_TG|CON_ST|NON_TS|FINANCE_SZ|None_AD|CM_IT|POE</v>
      </c>
    </row>
    <row r="7" ht="15.75" customHeight="1">
      <c r="A7" s="30"/>
      <c r="B7" s="14" t="s">
        <v>15</v>
      </c>
      <c r="C7" s="14" t="s">
        <v>61</v>
      </c>
      <c r="D7" s="14" t="s">
        <v>43</v>
      </c>
      <c r="E7" s="14" t="s">
        <v>62</v>
      </c>
      <c r="F7" s="14" t="s">
        <v>63</v>
      </c>
      <c r="G7" s="14" t="s">
        <v>54</v>
      </c>
      <c r="H7" s="14" t="s">
        <v>47</v>
      </c>
      <c r="I7" s="14" t="s">
        <v>55</v>
      </c>
      <c r="J7" s="14" t="s">
        <v>17</v>
      </c>
      <c r="K7" s="14" t="s">
        <v>67</v>
      </c>
      <c r="L7" s="14" t="s">
        <v>17</v>
      </c>
      <c r="M7" s="31" t="s">
        <v>64</v>
      </c>
      <c r="N7" s="31" t="s">
        <v>65</v>
      </c>
      <c r="O7" s="31"/>
      <c r="P7" s="32"/>
      <c r="Q7" s="32"/>
      <c r="R7" s="33" t="str">
        <f>IF(K7="----","#N/A",CONCATENATE("MK|",(VLOOKUP(B7,Dictionary!$A:$B,2,0)),"_CH|",(VLOOKUP(C7,Dictionary!$AV:$AW,2,0)),"_DT|",(VLOOKUP(D7,Dictionary!$P:$Q,2,0)),"_PB|",(VLOOKUP(E7,Dictionary!$G:$H,2,0)),"_FM|",(VLOOKUP(F7,Dictionary!$S:$T,2,0)),"_RT|",(VLOOKUP(G7,Dictionary!$V:$W,2,0)),"_PD|",SUBSTITUTE(SUBSTITUTE(IF(H7="","NONE",H7),"_","-"),"|","-"),"_TG|",(VLOOKUP(I7,Dictionary!$J:$K,2,0)),"_ST|",(VLOOKUP(J7,Dictionary!$M:$N,2,0)),"_TS|",SUBSTITUTE(SUBSTITUTE(IF(K7="","NONE",K7),"_","-"),"|","-"),"_SZ|",(VLOOKUP(L7,Dictionary!$Y:$Z,1,0)),"_AD|",(VLOOKUP(M7,Dictionary!$AB:$AC,2,0)),"_IT|",(VLOOKUP(N7,Dictionary!$BC:$BD,2,0)),IF(O7="","",CONCATENATE("_U1|",SUBSTITUTE(SUBSTITUTE(O7,"_","-"),"|","-"))),IF(P7="","",CONCATENATE("_U2|",SUBSTITUTE(SUBSTITUTE(P7,"_","-"),"|","-"))),IF(Q7="","",CONCATENATE("_U3|",SUBSTITUTE(SUBSTITUTE(Q7,"_","-"),"|","-")))))</f>
        <v>MK|BR_CH|PD_DT|CROSS_PB|DV36_FM|BAN_RT|CPA_PD|DOTZ-BENEFICIOS_TG|CON_ST|NON_TS|SHOPPERS_SZ|None_AD|CM_IT|POE</v>
      </c>
    </row>
    <row r="8" ht="15.75" customHeight="1">
      <c r="A8" s="30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1"/>
      <c r="N8" s="31"/>
      <c r="O8" s="31"/>
      <c r="P8" s="31"/>
      <c r="Q8" s="32"/>
      <c r="R8" s="33"/>
    </row>
    <row r="9" ht="15.75" customHeight="1">
      <c r="A9" s="30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31"/>
      <c r="N9" s="31"/>
      <c r="O9" s="31"/>
      <c r="P9" s="31"/>
      <c r="Q9" s="32"/>
      <c r="R9" s="33"/>
    </row>
    <row r="10" ht="15.75" customHeight="1">
      <c r="A10" s="30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31"/>
      <c r="N10" s="31"/>
      <c r="O10" s="31"/>
      <c r="P10" s="31"/>
      <c r="Q10" s="32"/>
      <c r="R10" s="33"/>
    </row>
    <row r="11" ht="15.75" customHeight="1">
      <c r="A11" s="30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31"/>
      <c r="N11" s="31"/>
      <c r="O11" s="31"/>
      <c r="P11" s="31"/>
      <c r="Q11" s="32"/>
      <c r="R11" s="33"/>
    </row>
    <row r="12" ht="15.75" customHeight="1">
      <c r="A12" s="30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31"/>
      <c r="N12" s="31"/>
      <c r="O12" s="31"/>
      <c r="P12" s="31"/>
      <c r="Q12" s="32"/>
      <c r="R12" s="33"/>
    </row>
    <row r="13" ht="15.75" customHeight="1">
      <c r="A13" s="30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31"/>
      <c r="N13" s="31"/>
      <c r="O13" s="31"/>
      <c r="P13" s="31"/>
      <c r="Q13" s="32"/>
      <c r="R13" s="33"/>
    </row>
    <row r="14" ht="15.75" customHeight="1">
      <c r="A14" s="30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31"/>
      <c r="N14" s="31"/>
      <c r="O14" s="31"/>
      <c r="P14" s="31"/>
      <c r="Q14" s="32"/>
      <c r="R14" s="33"/>
    </row>
    <row r="15" ht="15.75" customHeight="1">
      <c r="A15" s="30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31"/>
      <c r="N15" s="31"/>
      <c r="O15" s="32"/>
      <c r="P15" s="32"/>
      <c r="Q15" s="32"/>
      <c r="R15" s="33"/>
    </row>
    <row r="16" ht="15.75" customHeight="1">
      <c r="A16" s="30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31"/>
      <c r="N16" s="31"/>
      <c r="O16" s="32"/>
      <c r="P16" s="32"/>
      <c r="Q16" s="32"/>
      <c r="R16" s="33"/>
    </row>
    <row r="17" ht="15.75" customHeight="1">
      <c r="A17" s="30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31"/>
      <c r="N17" s="31"/>
      <c r="O17" s="32"/>
      <c r="P17" s="32"/>
      <c r="Q17" s="32"/>
      <c r="R17" s="33"/>
    </row>
    <row r="18" ht="15.75" customHeight="1">
      <c r="A18" s="3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31"/>
      <c r="N18" s="31"/>
      <c r="O18" s="32"/>
      <c r="P18" s="32"/>
      <c r="Q18" s="32"/>
      <c r="R18" s="33"/>
    </row>
    <row r="19" ht="15.75" customHeight="1">
      <c r="A19" s="30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31"/>
      <c r="N19" s="31"/>
      <c r="O19" s="31"/>
      <c r="P19" s="31"/>
      <c r="Q19" s="32"/>
      <c r="R19" s="33"/>
    </row>
    <row r="20" ht="15.75" customHeight="1">
      <c r="A20" s="30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31"/>
      <c r="N20" s="31"/>
      <c r="O20" s="31"/>
      <c r="P20" s="31"/>
      <c r="Q20" s="32"/>
      <c r="R20" s="33"/>
    </row>
    <row r="21" ht="15.75" customHeight="1">
      <c r="A21" s="30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31"/>
      <c r="N21" s="31"/>
      <c r="O21" s="32"/>
      <c r="P21" s="32"/>
      <c r="Q21" s="32"/>
      <c r="R21" s="33"/>
    </row>
    <row r="22" ht="15.75" customHeight="1">
      <c r="A22" s="30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31"/>
      <c r="N22" s="31"/>
      <c r="O22" s="32"/>
      <c r="P22" s="32"/>
      <c r="Q22" s="32"/>
      <c r="R22" s="33"/>
    </row>
    <row r="23" ht="15.75" customHeight="1">
      <c r="A23" s="30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31"/>
      <c r="N23" s="31"/>
      <c r="O23" s="31"/>
      <c r="P23" s="31"/>
      <c r="Q23" s="32"/>
      <c r="R23" s="33"/>
    </row>
    <row r="24" ht="15.75" customHeight="1">
      <c r="A24" s="3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31"/>
      <c r="N24" s="31"/>
      <c r="O24" s="31"/>
      <c r="P24" s="31"/>
      <c r="Q24" s="32"/>
      <c r="R24" s="33"/>
    </row>
    <row r="25" ht="15.75" customHeight="1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1"/>
      <c r="N25" s="36"/>
      <c r="O25" s="36"/>
      <c r="P25" s="37"/>
      <c r="Q25" s="37"/>
      <c r="R25" s="38"/>
      <c r="S25" s="39"/>
      <c r="T25" s="39"/>
      <c r="U25" s="39"/>
      <c r="V25" s="39"/>
      <c r="W25" s="39"/>
      <c r="X25" s="39"/>
      <c r="Y25" s="39"/>
      <c r="Z25" s="39"/>
      <c r="AA25" s="39"/>
    </row>
    <row r="26" ht="15.75" customHeight="1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1"/>
      <c r="N26" s="36"/>
      <c r="O26" s="37"/>
      <c r="P26" s="37"/>
      <c r="Q26" s="37"/>
      <c r="R26" s="38"/>
      <c r="S26" s="39"/>
      <c r="T26" s="39"/>
      <c r="U26" s="39"/>
      <c r="V26" s="39"/>
      <c r="W26" s="39"/>
      <c r="X26" s="39"/>
      <c r="Y26" s="39"/>
      <c r="Z26" s="39"/>
      <c r="AA26" s="39"/>
    </row>
    <row r="27" ht="15.75" customHeight="1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1"/>
      <c r="N27" s="36"/>
      <c r="O27" s="37"/>
      <c r="P27" s="37"/>
      <c r="Q27" s="37"/>
      <c r="R27" s="38"/>
      <c r="S27" s="39"/>
      <c r="T27" s="39"/>
      <c r="U27" s="39"/>
      <c r="V27" s="39"/>
      <c r="W27" s="39"/>
      <c r="X27" s="39"/>
      <c r="Y27" s="39"/>
      <c r="Z27" s="39"/>
      <c r="AA27" s="39"/>
    </row>
    <row r="28" ht="15.75" customHeight="1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1"/>
      <c r="N28" s="36"/>
      <c r="O28" s="36"/>
      <c r="P28" s="37"/>
      <c r="Q28" s="37"/>
      <c r="R28" s="38"/>
      <c r="S28" s="39"/>
      <c r="T28" s="39"/>
      <c r="U28" s="39"/>
      <c r="V28" s="39"/>
      <c r="W28" s="39"/>
      <c r="X28" s="39"/>
      <c r="Y28" s="39"/>
      <c r="Z28" s="39"/>
      <c r="AA28" s="39"/>
    </row>
    <row r="29" ht="15.75" customHeight="1">
      <c r="A29" s="34"/>
      <c r="B29" s="35"/>
      <c r="C29" s="35"/>
      <c r="D29" s="35"/>
      <c r="E29" s="14"/>
      <c r="F29" s="35"/>
      <c r="G29" s="35"/>
      <c r="H29" s="35"/>
      <c r="I29" s="35"/>
      <c r="J29" s="35"/>
      <c r="K29" s="35"/>
      <c r="L29" s="35"/>
      <c r="M29" s="31"/>
      <c r="N29" s="36"/>
      <c r="O29" s="36"/>
      <c r="P29" s="36"/>
      <c r="Q29" s="37"/>
      <c r="R29" s="38"/>
      <c r="S29" s="39"/>
      <c r="T29" s="39"/>
      <c r="U29" s="39"/>
      <c r="V29" s="39"/>
      <c r="W29" s="39"/>
      <c r="X29" s="39"/>
      <c r="Y29" s="39"/>
      <c r="Z29" s="39"/>
      <c r="AA29" s="39"/>
    </row>
    <row r="30" ht="15.75" customHeight="1">
      <c r="A30" s="34"/>
      <c r="B30" s="35"/>
      <c r="C30" s="35"/>
      <c r="D30" s="35"/>
      <c r="E30" s="14"/>
      <c r="F30" s="35"/>
      <c r="G30" s="35"/>
      <c r="H30" s="35"/>
      <c r="I30" s="35"/>
      <c r="J30" s="35"/>
      <c r="K30" s="35"/>
      <c r="L30" s="35"/>
      <c r="M30" s="31"/>
      <c r="N30" s="36"/>
      <c r="O30" s="36"/>
      <c r="P30" s="36"/>
      <c r="Q30" s="37"/>
      <c r="R30" s="38"/>
      <c r="S30" s="39"/>
      <c r="T30" s="39"/>
      <c r="U30" s="39"/>
      <c r="V30" s="39"/>
      <c r="W30" s="39"/>
      <c r="X30" s="39"/>
      <c r="Y30" s="39"/>
      <c r="Z30" s="39"/>
      <c r="AA30" s="39"/>
    </row>
    <row r="31" ht="15.75" customHeight="1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1"/>
      <c r="N31" s="36"/>
      <c r="O31" s="37"/>
      <c r="P31" s="37"/>
      <c r="Q31" s="37"/>
      <c r="R31" s="38"/>
      <c r="S31" s="39"/>
      <c r="T31" s="39"/>
      <c r="U31" s="39"/>
      <c r="V31" s="39"/>
      <c r="W31" s="39"/>
      <c r="X31" s="39"/>
      <c r="Y31" s="39"/>
      <c r="Z31" s="39"/>
      <c r="AA31" s="39"/>
    </row>
    <row r="32" ht="15.75" customHeight="1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1"/>
      <c r="N32" s="36"/>
      <c r="O32" s="37"/>
      <c r="P32" s="37"/>
      <c r="Q32" s="37"/>
      <c r="R32" s="38"/>
      <c r="S32" s="39"/>
      <c r="T32" s="39"/>
      <c r="U32" s="39"/>
      <c r="V32" s="39"/>
      <c r="W32" s="39"/>
      <c r="X32" s="39"/>
      <c r="Y32" s="39"/>
      <c r="Z32" s="39"/>
      <c r="AA32" s="39"/>
    </row>
    <row r="33" ht="15.75" customHeight="1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1"/>
      <c r="N33" s="36"/>
      <c r="O33" s="37"/>
      <c r="P33" s="37"/>
      <c r="Q33" s="37"/>
      <c r="R33" s="38"/>
      <c r="S33" s="39"/>
      <c r="T33" s="39"/>
      <c r="U33" s="39"/>
      <c r="V33" s="39"/>
      <c r="W33" s="39"/>
      <c r="X33" s="39"/>
      <c r="Y33" s="39"/>
      <c r="Z33" s="39"/>
      <c r="AA33" s="39"/>
    </row>
    <row r="34" ht="15.75" customHeight="1">
      <c r="A34" s="34"/>
      <c r="B34" s="35"/>
      <c r="C34" s="35"/>
      <c r="D34" s="35"/>
      <c r="E34" s="14"/>
      <c r="F34" s="35"/>
      <c r="G34" s="35"/>
      <c r="H34" s="35"/>
      <c r="I34" s="35"/>
      <c r="J34" s="35"/>
      <c r="K34" s="35"/>
      <c r="L34" s="35"/>
      <c r="M34" s="31"/>
      <c r="N34" s="36"/>
      <c r="O34" s="36"/>
      <c r="P34" s="36"/>
      <c r="Q34" s="37"/>
      <c r="R34" s="38"/>
      <c r="S34" s="39"/>
      <c r="T34" s="39"/>
      <c r="U34" s="39"/>
      <c r="V34" s="39"/>
      <c r="W34" s="39"/>
      <c r="X34" s="39"/>
      <c r="Y34" s="39"/>
      <c r="Z34" s="39"/>
      <c r="AA34" s="39"/>
    </row>
    <row r="35" ht="15.75" customHeight="1">
      <c r="A35" s="3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1"/>
      <c r="N35" s="36"/>
      <c r="O35" s="37"/>
      <c r="P35" s="37"/>
      <c r="Q35" s="37"/>
      <c r="R35" s="38"/>
      <c r="S35" s="39"/>
      <c r="T35" s="39"/>
      <c r="U35" s="39"/>
      <c r="V35" s="39"/>
      <c r="W35" s="39"/>
      <c r="X35" s="39"/>
      <c r="Y35" s="39"/>
      <c r="Z35" s="39"/>
      <c r="AA35" s="39"/>
    </row>
    <row r="36" ht="15.75" customHeight="1">
      <c r="A36" s="34"/>
      <c r="B36" s="35"/>
      <c r="C36" s="35"/>
      <c r="D36" s="35"/>
      <c r="E36" s="14"/>
      <c r="F36" s="35"/>
      <c r="G36" s="35"/>
      <c r="H36" s="35"/>
      <c r="I36" s="35"/>
      <c r="J36" s="35"/>
      <c r="K36" s="35"/>
      <c r="L36" s="35"/>
      <c r="M36" s="31"/>
      <c r="N36" s="36"/>
      <c r="O36" s="36"/>
      <c r="P36" s="36"/>
      <c r="Q36" s="37"/>
      <c r="R36" s="38"/>
      <c r="S36" s="39"/>
      <c r="T36" s="39"/>
      <c r="U36" s="39"/>
      <c r="V36" s="39"/>
      <c r="W36" s="39"/>
      <c r="X36" s="39"/>
      <c r="Y36" s="39"/>
      <c r="Z36" s="39"/>
      <c r="AA36" s="39"/>
    </row>
    <row r="37" ht="15.75" customHeight="1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1"/>
      <c r="N37" s="36"/>
      <c r="O37" s="37"/>
      <c r="P37" s="37"/>
      <c r="Q37" s="37"/>
      <c r="R37" s="38"/>
      <c r="S37" s="39"/>
      <c r="T37" s="39"/>
      <c r="U37" s="39"/>
      <c r="V37" s="39"/>
      <c r="W37" s="39"/>
      <c r="X37" s="39"/>
      <c r="Y37" s="39"/>
      <c r="Z37" s="39"/>
      <c r="AA37" s="39"/>
    </row>
    <row r="38" ht="15.75" customHeight="1">
      <c r="A38" s="34"/>
      <c r="B38" s="35"/>
      <c r="C38" s="35"/>
      <c r="D38" s="35"/>
      <c r="E38" s="14"/>
      <c r="F38" s="35"/>
      <c r="G38" s="35"/>
      <c r="H38" s="35"/>
      <c r="I38" s="35"/>
      <c r="J38" s="35"/>
      <c r="K38" s="35"/>
      <c r="L38" s="35"/>
      <c r="M38" s="31"/>
      <c r="N38" s="36"/>
      <c r="O38" s="36"/>
      <c r="P38" s="36"/>
      <c r="Q38" s="37"/>
      <c r="R38" s="38"/>
      <c r="S38" s="39"/>
      <c r="T38" s="39"/>
      <c r="U38" s="39"/>
      <c r="V38" s="39"/>
      <c r="W38" s="39"/>
      <c r="X38" s="39"/>
      <c r="Y38" s="39"/>
      <c r="Z38" s="39"/>
      <c r="AA38" s="39"/>
    </row>
    <row r="39" ht="15.75" customHeight="1">
      <c r="A39" s="3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1"/>
      <c r="N39" s="36"/>
      <c r="O39" s="37"/>
      <c r="P39" s="37"/>
      <c r="Q39" s="37"/>
      <c r="R39" s="38"/>
      <c r="S39" s="39"/>
      <c r="T39" s="39"/>
      <c r="U39" s="39"/>
      <c r="V39" s="39"/>
      <c r="W39" s="39"/>
      <c r="X39" s="39"/>
      <c r="Y39" s="39"/>
      <c r="Z39" s="39"/>
      <c r="AA39" s="39"/>
    </row>
    <row r="40" ht="15.75" customHeight="1">
      <c r="A40" s="34"/>
      <c r="B40" s="35"/>
      <c r="C40" s="35"/>
      <c r="D40" s="35"/>
      <c r="E40" s="14"/>
      <c r="F40" s="35"/>
      <c r="G40" s="35"/>
      <c r="H40" s="35"/>
      <c r="I40" s="35"/>
      <c r="J40" s="35"/>
      <c r="K40" s="35"/>
      <c r="L40" s="35"/>
      <c r="M40" s="31"/>
      <c r="N40" s="36"/>
      <c r="O40" s="36"/>
      <c r="P40" s="36"/>
      <c r="Q40" s="37"/>
      <c r="R40" s="38"/>
      <c r="S40" s="39"/>
      <c r="T40" s="39"/>
      <c r="U40" s="39"/>
      <c r="V40" s="39"/>
      <c r="W40" s="39"/>
      <c r="X40" s="39"/>
      <c r="Y40" s="39"/>
      <c r="Z40" s="39"/>
      <c r="AA40" s="39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1"/>
      <c r="N41" s="36"/>
      <c r="O41" s="37"/>
      <c r="P41" s="37"/>
      <c r="Q41" s="37"/>
      <c r="R41" s="38"/>
      <c r="S41" s="39"/>
      <c r="T41" s="39"/>
      <c r="U41" s="39"/>
      <c r="V41" s="39"/>
      <c r="W41" s="39"/>
      <c r="X41" s="39"/>
      <c r="Y41" s="39"/>
      <c r="Z41" s="39"/>
      <c r="AA41" s="39"/>
    </row>
    <row r="42" ht="15.75" customHeight="1">
      <c r="A42" s="40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1"/>
      <c r="N42" s="36"/>
      <c r="O42" s="37"/>
      <c r="P42" s="37"/>
      <c r="Q42" s="37"/>
      <c r="R42" s="38"/>
      <c r="S42" s="39"/>
      <c r="T42" s="39"/>
      <c r="U42" s="39"/>
      <c r="V42" s="39"/>
      <c r="W42" s="39"/>
      <c r="X42" s="39"/>
      <c r="Y42" s="39"/>
      <c r="Z42" s="39"/>
      <c r="AA42" s="39"/>
    </row>
    <row r="43" ht="15.75" customHeight="1">
      <c r="A43" s="40"/>
      <c r="B43" s="35"/>
      <c r="C43" s="35"/>
      <c r="D43" s="35"/>
      <c r="E43" s="14"/>
      <c r="F43" s="35"/>
      <c r="G43" s="35"/>
      <c r="H43" s="35"/>
      <c r="I43" s="35"/>
      <c r="J43" s="35"/>
      <c r="K43" s="35"/>
      <c r="L43" s="35"/>
      <c r="M43" s="31"/>
      <c r="N43" s="36"/>
      <c r="O43" s="41"/>
      <c r="P43" s="41"/>
      <c r="Q43" s="37"/>
      <c r="R43" s="38"/>
      <c r="S43" s="39"/>
      <c r="T43" s="39"/>
      <c r="U43" s="39"/>
      <c r="V43" s="39"/>
      <c r="W43" s="39"/>
      <c r="X43" s="39"/>
      <c r="Y43" s="39"/>
      <c r="Z43" s="39"/>
      <c r="AA43" s="39"/>
    </row>
    <row r="44" ht="15.75" customHeight="1">
      <c r="A44" s="40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1"/>
      <c r="N44" s="36"/>
      <c r="O44" s="37"/>
      <c r="P44" s="37"/>
      <c r="Q44" s="37"/>
      <c r="R44" s="38"/>
      <c r="S44" s="39"/>
      <c r="T44" s="39"/>
      <c r="U44" s="39"/>
      <c r="V44" s="39"/>
      <c r="W44" s="39"/>
      <c r="X44" s="39"/>
      <c r="Y44" s="39"/>
      <c r="Z44" s="39"/>
      <c r="AA44" s="39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1"/>
      <c r="N45" s="36"/>
      <c r="O45" s="41"/>
      <c r="P45" s="41"/>
      <c r="Q45" s="37"/>
      <c r="R45" s="38"/>
      <c r="S45" s="39"/>
      <c r="T45" s="39"/>
      <c r="U45" s="39"/>
      <c r="V45" s="39"/>
      <c r="W45" s="39"/>
      <c r="X45" s="39"/>
      <c r="Y45" s="39"/>
      <c r="Z45" s="39"/>
      <c r="AA45" s="39"/>
    </row>
    <row r="46" ht="15.75" customHeight="1">
      <c r="A46" s="35"/>
      <c r="B46" s="35"/>
      <c r="C46" s="35"/>
      <c r="D46" s="35"/>
      <c r="E46" s="14"/>
      <c r="F46" s="35"/>
      <c r="G46" s="35"/>
      <c r="H46" s="35"/>
      <c r="I46" s="35"/>
      <c r="J46" s="35"/>
      <c r="K46" s="35"/>
      <c r="L46" s="35"/>
      <c r="M46" s="31"/>
      <c r="N46" s="36"/>
      <c r="O46" s="41"/>
      <c r="P46" s="41"/>
      <c r="Q46" s="37"/>
      <c r="R46" s="38"/>
      <c r="S46" s="39"/>
      <c r="T46" s="39"/>
      <c r="U46" s="39"/>
      <c r="V46" s="39"/>
      <c r="W46" s="39"/>
      <c r="X46" s="39"/>
      <c r="Y46" s="39"/>
      <c r="Z46" s="39"/>
      <c r="AA46" s="39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1"/>
      <c r="N47" s="36"/>
      <c r="O47" s="36"/>
      <c r="P47" s="37"/>
      <c r="Q47" s="37"/>
      <c r="R47" s="38"/>
      <c r="S47" s="39"/>
      <c r="T47" s="39"/>
      <c r="U47" s="39"/>
      <c r="V47" s="39"/>
      <c r="W47" s="39"/>
      <c r="X47" s="39"/>
      <c r="Y47" s="39"/>
      <c r="Z47" s="39"/>
      <c r="AA47" s="39"/>
    </row>
    <row r="48" ht="15.75" customHeight="1">
      <c r="A48" s="42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1"/>
      <c r="N48" s="36"/>
      <c r="O48" s="37"/>
      <c r="P48" s="37"/>
      <c r="Q48" s="37"/>
      <c r="R48" s="38"/>
      <c r="S48" s="39"/>
      <c r="T48" s="39"/>
      <c r="U48" s="39"/>
      <c r="V48" s="39"/>
      <c r="W48" s="39"/>
      <c r="X48" s="39"/>
      <c r="Y48" s="39"/>
      <c r="Z48" s="39"/>
      <c r="AA48" s="39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1"/>
      <c r="N49" s="36"/>
      <c r="O49" s="37"/>
      <c r="P49" s="37"/>
      <c r="Q49" s="37"/>
      <c r="R49" s="38"/>
      <c r="S49" s="39"/>
      <c r="T49" s="39"/>
      <c r="U49" s="39"/>
      <c r="V49" s="39"/>
      <c r="W49" s="39"/>
      <c r="X49" s="39"/>
      <c r="Y49" s="39"/>
      <c r="Z49" s="39"/>
      <c r="AA49" s="39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1"/>
      <c r="N50" s="36"/>
      <c r="O50" s="36"/>
      <c r="P50" s="37"/>
      <c r="Q50" s="37"/>
      <c r="R50" s="38"/>
      <c r="S50" s="39"/>
      <c r="T50" s="39"/>
      <c r="U50" s="39"/>
      <c r="V50" s="39"/>
      <c r="W50" s="39"/>
      <c r="X50" s="39"/>
      <c r="Y50" s="39"/>
      <c r="Z50" s="39"/>
      <c r="AA50" s="39"/>
    </row>
    <row r="51" ht="15.75" customHeight="1">
      <c r="A51" s="34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1"/>
      <c r="N51" s="36"/>
      <c r="O51" s="37"/>
      <c r="P51" s="37"/>
      <c r="Q51" s="37"/>
      <c r="R51" s="38"/>
      <c r="S51" s="39"/>
      <c r="T51" s="39"/>
      <c r="U51" s="39"/>
      <c r="V51" s="39"/>
      <c r="W51" s="39"/>
      <c r="X51" s="39"/>
      <c r="Y51" s="39"/>
      <c r="Z51" s="39"/>
      <c r="AA51" s="39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1"/>
      <c r="N52" s="36"/>
      <c r="O52" s="36"/>
      <c r="P52" s="37"/>
      <c r="Q52" s="37"/>
      <c r="R52" s="38"/>
      <c r="S52" s="39"/>
      <c r="T52" s="39"/>
      <c r="U52" s="39"/>
      <c r="V52" s="39"/>
      <c r="W52" s="39"/>
      <c r="X52" s="39"/>
      <c r="Y52" s="39"/>
      <c r="Z52" s="39"/>
      <c r="AA52" s="39"/>
    </row>
    <row r="53" ht="15.75" customHeight="1">
      <c r="A53" s="34"/>
      <c r="B53" s="35"/>
      <c r="C53" s="35"/>
      <c r="D53" s="35"/>
      <c r="E53" s="14"/>
      <c r="F53" s="35"/>
      <c r="G53" s="35"/>
      <c r="H53" s="35"/>
      <c r="I53" s="35"/>
      <c r="J53" s="35"/>
      <c r="K53" s="35"/>
      <c r="L53" s="35"/>
      <c r="M53" s="31"/>
      <c r="N53" s="36"/>
      <c r="O53" s="36"/>
      <c r="P53" s="36"/>
      <c r="Q53" s="37"/>
      <c r="R53" s="38"/>
      <c r="S53" s="39"/>
      <c r="T53" s="39"/>
      <c r="U53" s="39"/>
      <c r="V53" s="39"/>
      <c r="W53" s="39"/>
      <c r="X53" s="39"/>
      <c r="Y53" s="39"/>
      <c r="Z53" s="39"/>
      <c r="AA53" s="39"/>
    </row>
    <row r="54" ht="15.75" customHeight="1">
      <c r="A54" s="35"/>
      <c r="B54" s="35"/>
      <c r="C54" s="35"/>
      <c r="D54" s="35"/>
      <c r="E54" s="14"/>
      <c r="F54" s="35"/>
      <c r="G54" s="35"/>
      <c r="H54" s="35"/>
      <c r="I54" s="35"/>
      <c r="J54" s="35"/>
      <c r="K54" s="35"/>
      <c r="L54" s="35"/>
      <c r="M54" s="31"/>
      <c r="N54" s="36"/>
      <c r="O54" s="36"/>
      <c r="P54" s="36"/>
      <c r="Q54" s="37"/>
      <c r="R54" s="38"/>
      <c r="S54" s="39"/>
      <c r="T54" s="39"/>
      <c r="U54" s="39"/>
      <c r="V54" s="39"/>
      <c r="W54" s="39"/>
      <c r="X54" s="39"/>
      <c r="Y54" s="39"/>
      <c r="Z54" s="39"/>
      <c r="AA54" s="39"/>
    </row>
    <row r="55" ht="15.75" customHeight="1">
      <c r="A55" s="34"/>
      <c r="B55" s="35"/>
      <c r="C55" s="35"/>
      <c r="D55" s="35"/>
      <c r="E55" s="14"/>
      <c r="F55" s="35"/>
      <c r="G55" s="35"/>
      <c r="H55" s="35"/>
      <c r="I55" s="35"/>
      <c r="J55" s="35"/>
      <c r="K55" s="35"/>
      <c r="L55" s="35"/>
      <c r="M55" s="31"/>
      <c r="N55" s="36"/>
      <c r="O55" s="36"/>
      <c r="P55" s="36"/>
      <c r="Q55" s="37"/>
      <c r="R55" s="38"/>
      <c r="S55" s="39"/>
      <c r="T55" s="39"/>
      <c r="U55" s="39"/>
      <c r="V55" s="39"/>
      <c r="W55" s="39"/>
      <c r="X55" s="39"/>
      <c r="Y55" s="39"/>
      <c r="Z55" s="39"/>
      <c r="AA55" s="39"/>
    </row>
    <row r="56" ht="15.75" customHeight="1">
      <c r="A56" s="33"/>
      <c r="B56" s="14"/>
      <c r="C56" s="14"/>
      <c r="D56" s="14"/>
      <c r="E56" s="14"/>
      <c r="F56" s="14"/>
      <c r="G56" s="14"/>
      <c r="H56" s="14"/>
      <c r="I56" s="33"/>
      <c r="J56" s="33"/>
      <c r="K56" s="33"/>
      <c r="L56" s="33"/>
      <c r="M56" s="32"/>
      <c r="N56" s="32"/>
      <c r="O56" s="32"/>
      <c r="P56" s="32"/>
      <c r="Q56" s="32"/>
      <c r="R56" s="33"/>
    </row>
    <row r="57" ht="15.75" customHeight="1">
      <c r="A57" s="3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31"/>
      <c r="N57" s="31"/>
      <c r="O57" s="32"/>
      <c r="P57" s="32"/>
      <c r="Q57" s="32"/>
      <c r="R57" s="33"/>
    </row>
    <row r="58" ht="15.75" customHeight="1">
      <c r="A58" s="3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31"/>
      <c r="N58" s="31"/>
      <c r="O58" s="32"/>
      <c r="P58" s="32"/>
      <c r="Q58" s="32"/>
      <c r="R58" s="33"/>
    </row>
    <row r="59" ht="15.75" customHeight="1">
      <c r="A59" s="33"/>
      <c r="B59" s="14"/>
      <c r="C59" s="14"/>
      <c r="D59" s="14"/>
      <c r="E59" s="14"/>
      <c r="F59" s="14"/>
      <c r="G59" s="14"/>
      <c r="H59" s="14"/>
      <c r="I59" s="14"/>
      <c r="J59" s="14"/>
      <c r="K59" s="33"/>
      <c r="L59" s="14"/>
      <c r="M59" s="31"/>
      <c r="N59" s="31"/>
      <c r="O59" s="32"/>
      <c r="P59" s="32"/>
      <c r="Q59" s="32"/>
      <c r="R59" s="33"/>
    </row>
    <row r="60" ht="15.75" customHeight="1">
      <c r="A60" s="33"/>
      <c r="B60" s="14"/>
      <c r="C60" s="14"/>
      <c r="D60" s="14"/>
      <c r="E60" s="14"/>
      <c r="F60" s="14"/>
      <c r="G60" s="14"/>
      <c r="H60" s="14"/>
      <c r="I60" s="14"/>
      <c r="J60" s="14"/>
      <c r="K60" s="33"/>
      <c r="L60" s="14"/>
      <c r="M60" s="31"/>
      <c r="N60" s="31"/>
      <c r="O60" s="32"/>
      <c r="P60" s="32"/>
      <c r="Q60" s="32"/>
      <c r="R60" s="33"/>
    </row>
    <row r="61" ht="15.75" customHeight="1">
      <c r="A61" s="33"/>
      <c r="B61" s="14"/>
      <c r="C61" s="14"/>
      <c r="D61" s="14"/>
      <c r="E61" s="14"/>
      <c r="F61" s="14"/>
      <c r="G61" s="14"/>
      <c r="H61" s="14"/>
      <c r="I61" s="14"/>
      <c r="J61" s="14"/>
      <c r="K61" s="33"/>
      <c r="L61" s="14"/>
      <c r="M61" s="31"/>
      <c r="N61" s="31"/>
      <c r="O61" s="32"/>
      <c r="P61" s="32"/>
      <c r="Q61" s="32"/>
      <c r="R61" s="33"/>
    </row>
    <row r="62" ht="15.75" customHeight="1">
      <c r="A62" s="33"/>
      <c r="B62" s="14"/>
      <c r="C62" s="14"/>
      <c r="D62" s="14"/>
      <c r="E62" s="14"/>
      <c r="F62" s="14"/>
      <c r="G62" s="14"/>
      <c r="H62" s="14"/>
      <c r="I62" s="14"/>
      <c r="J62" s="14"/>
      <c r="K62" s="33"/>
      <c r="L62" s="14"/>
      <c r="M62" s="31"/>
      <c r="N62" s="31"/>
      <c r="O62" s="32"/>
      <c r="P62" s="32"/>
      <c r="Q62" s="32"/>
      <c r="R62" s="33"/>
    </row>
    <row r="63" ht="15.75" customHeight="1">
      <c r="A63" s="33"/>
      <c r="B63" s="14"/>
      <c r="C63" s="14"/>
      <c r="D63" s="14"/>
      <c r="E63" s="14"/>
      <c r="F63" s="14"/>
      <c r="G63" s="35"/>
      <c r="H63" s="14"/>
      <c r="I63" s="14"/>
      <c r="J63" s="14"/>
      <c r="K63" s="14"/>
      <c r="L63" s="14"/>
      <c r="M63" s="31"/>
      <c r="N63" s="31"/>
      <c r="O63" s="32"/>
      <c r="P63" s="32"/>
      <c r="Q63" s="32"/>
      <c r="R63" s="33"/>
    </row>
    <row r="64" ht="15.75" customHeight="1">
      <c r="A64" s="33"/>
      <c r="B64" s="14"/>
      <c r="C64" s="14"/>
      <c r="D64" s="14"/>
      <c r="E64" s="14"/>
      <c r="F64" s="14"/>
      <c r="G64" s="35"/>
      <c r="H64" s="14"/>
      <c r="I64" s="14"/>
      <c r="J64" s="14"/>
      <c r="K64" s="14"/>
      <c r="L64" s="14"/>
      <c r="M64" s="31"/>
      <c r="N64" s="31"/>
      <c r="O64" s="32"/>
      <c r="P64" s="32"/>
      <c r="Q64" s="32"/>
      <c r="R64" s="33"/>
    </row>
    <row r="65" ht="15.75" customHeight="1">
      <c r="A65" s="33"/>
      <c r="B65" s="14"/>
      <c r="C65" s="14"/>
      <c r="D65" s="14"/>
      <c r="E65" s="14"/>
      <c r="F65" s="14"/>
      <c r="G65" s="35"/>
      <c r="H65" s="14"/>
      <c r="I65" s="14"/>
      <c r="J65" s="14"/>
      <c r="K65" s="14"/>
      <c r="L65" s="14"/>
      <c r="M65" s="31"/>
      <c r="N65" s="31"/>
      <c r="O65" s="32"/>
      <c r="P65" s="32"/>
      <c r="Q65" s="32"/>
      <c r="R65" s="33"/>
    </row>
    <row r="66" ht="15.75" customHeight="1">
      <c r="A66" s="33"/>
      <c r="B66" s="14"/>
      <c r="C66" s="14"/>
      <c r="D66" s="14"/>
      <c r="E66" s="14"/>
      <c r="F66" s="14"/>
      <c r="G66" s="35"/>
      <c r="H66" s="14"/>
      <c r="I66" s="14"/>
      <c r="J66" s="14"/>
      <c r="K66" s="14"/>
      <c r="L66" s="14"/>
      <c r="M66" s="31"/>
      <c r="N66" s="31"/>
      <c r="O66" s="32"/>
      <c r="P66" s="32"/>
      <c r="Q66" s="32"/>
      <c r="R66" s="33"/>
    </row>
    <row r="67" ht="15.75" customHeight="1">
      <c r="A67" s="33"/>
      <c r="B67" s="14"/>
      <c r="C67" s="14"/>
      <c r="D67" s="14"/>
      <c r="E67" s="14"/>
      <c r="F67" s="14"/>
      <c r="G67" s="35"/>
      <c r="H67" s="14"/>
      <c r="I67" s="14"/>
      <c r="J67" s="14"/>
      <c r="K67" s="14"/>
      <c r="L67" s="14"/>
      <c r="M67" s="31"/>
      <c r="N67" s="31"/>
      <c r="O67" s="32"/>
      <c r="P67" s="32"/>
      <c r="Q67" s="32"/>
      <c r="R67" s="33"/>
    </row>
    <row r="68" ht="15.75" customHeight="1">
      <c r="A68" s="33"/>
      <c r="B68" s="14"/>
      <c r="C68" s="14"/>
      <c r="D68" s="14"/>
      <c r="E68" s="14"/>
      <c r="F68" s="14"/>
      <c r="G68" s="14"/>
      <c r="H68" s="14"/>
      <c r="I68" s="14"/>
      <c r="J68" s="14"/>
      <c r="K68" s="33"/>
      <c r="L68" s="14"/>
      <c r="M68" s="31"/>
      <c r="N68" s="31"/>
      <c r="O68" s="32"/>
      <c r="P68" s="32"/>
      <c r="Q68" s="32"/>
      <c r="R68" s="33"/>
    </row>
    <row r="69" ht="15.75" customHeight="1">
      <c r="A69" s="33"/>
      <c r="B69" s="14"/>
      <c r="C69" s="14"/>
      <c r="D69" s="14"/>
      <c r="E69" s="14"/>
      <c r="F69" s="14"/>
      <c r="G69" s="14"/>
      <c r="H69" s="14"/>
      <c r="I69" s="14"/>
      <c r="J69" s="14"/>
      <c r="K69" s="33"/>
      <c r="L69" s="14"/>
      <c r="M69" s="31"/>
      <c r="N69" s="31"/>
      <c r="O69" s="32"/>
      <c r="P69" s="32"/>
      <c r="Q69" s="32"/>
      <c r="R69" s="33"/>
    </row>
    <row r="70" ht="15.75" customHeight="1">
      <c r="A70" s="33"/>
      <c r="B70" s="14"/>
      <c r="C70" s="14"/>
      <c r="D70" s="14"/>
      <c r="E70" s="14"/>
      <c r="F70" s="14"/>
      <c r="G70" s="14"/>
      <c r="H70" s="14"/>
      <c r="I70" s="14"/>
      <c r="J70" s="14"/>
      <c r="K70" s="33"/>
      <c r="L70" s="14"/>
      <c r="M70" s="31"/>
      <c r="N70" s="31"/>
      <c r="O70" s="32"/>
      <c r="P70" s="32"/>
      <c r="Q70" s="32"/>
      <c r="R70" s="33"/>
    </row>
    <row r="71" ht="15.75" customHeight="1">
      <c r="A71" s="33"/>
      <c r="B71" s="14"/>
      <c r="C71" s="14"/>
      <c r="D71" s="14"/>
      <c r="E71" s="14"/>
      <c r="F71" s="14"/>
      <c r="G71" s="14"/>
      <c r="H71" s="14"/>
      <c r="I71" s="14"/>
      <c r="J71" s="14"/>
      <c r="K71" s="33"/>
      <c r="L71" s="14"/>
      <c r="M71" s="31"/>
      <c r="N71" s="31"/>
      <c r="O71" s="32"/>
      <c r="P71" s="32"/>
      <c r="Q71" s="32"/>
      <c r="R71" s="33"/>
    </row>
    <row r="72" ht="15.75" customHeight="1">
      <c r="A72" s="33"/>
      <c r="B72" s="14"/>
      <c r="C72" s="14"/>
      <c r="D72" s="14"/>
      <c r="E72" s="14"/>
      <c r="F72" s="14"/>
      <c r="G72" s="14"/>
      <c r="H72" s="14"/>
      <c r="I72" s="14"/>
      <c r="J72" s="14"/>
      <c r="K72" s="33"/>
      <c r="L72" s="14"/>
      <c r="M72" s="31"/>
      <c r="N72" s="31"/>
      <c r="O72" s="32"/>
      <c r="P72" s="32"/>
      <c r="Q72" s="32"/>
      <c r="R72" s="33"/>
    </row>
    <row r="73" ht="15.75" customHeight="1">
      <c r="A73" s="33"/>
      <c r="B73" s="14"/>
      <c r="C73" s="35"/>
      <c r="D73" s="14"/>
      <c r="E73" s="14"/>
      <c r="F73" s="35"/>
      <c r="G73" s="14"/>
      <c r="H73" s="14"/>
      <c r="I73" s="14"/>
      <c r="J73" s="14"/>
      <c r="K73" s="14"/>
      <c r="L73" s="14"/>
      <c r="M73" s="31"/>
      <c r="N73" s="36"/>
      <c r="O73" s="32"/>
      <c r="P73" s="32"/>
      <c r="Q73" s="32"/>
      <c r="R73" s="33"/>
    </row>
    <row r="74" ht="15.75" customHeight="1">
      <c r="A74" s="33"/>
      <c r="B74" s="14"/>
      <c r="C74" s="35"/>
      <c r="D74" s="14"/>
      <c r="E74" s="14"/>
      <c r="F74" s="35"/>
      <c r="G74" s="14"/>
      <c r="H74" s="14"/>
      <c r="I74" s="14"/>
      <c r="J74" s="14"/>
      <c r="K74" s="14"/>
      <c r="L74" s="14"/>
      <c r="M74" s="31"/>
      <c r="N74" s="36"/>
      <c r="O74" s="32"/>
      <c r="P74" s="32"/>
      <c r="Q74" s="32"/>
      <c r="R74" s="33"/>
    </row>
    <row r="75" ht="15.75" customHeight="1">
      <c r="A75" s="33"/>
      <c r="B75" s="14"/>
      <c r="C75" s="35"/>
      <c r="D75" s="14"/>
      <c r="E75" s="35"/>
      <c r="F75" s="35"/>
      <c r="G75" s="14"/>
      <c r="H75" s="14"/>
      <c r="I75" s="14"/>
      <c r="J75" s="14"/>
      <c r="K75" s="14"/>
      <c r="L75" s="14"/>
      <c r="M75" s="31"/>
      <c r="N75" s="36"/>
      <c r="O75" s="32"/>
      <c r="P75" s="32"/>
      <c r="Q75" s="32"/>
      <c r="R75" s="33"/>
    </row>
    <row r="76" ht="15.75" customHeight="1">
      <c r="A76" s="33"/>
      <c r="B76" s="14"/>
      <c r="C76" s="35"/>
      <c r="D76" s="14"/>
      <c r="E76" s="35"/>
      <c r="F76" s="35"/>
      <c r="G76" s="14"/>
      <c r="H76" s="14"/>
      <c r="I76" s="14"/>
      <c r="J76" s="14"/>
      <c r="K76" s="14"/>
      <c r="L76" s="14"/>
      <c r="M76" s="31"/>
      <c r="N76" s="36"/>
      <c r="O76" s="32"/>
      <c r="P76" s="32"/>
      <c r="Q76" s="32"/>
      <c r="R76" s="33"/>
    </row>
    <row r="77" ht="15.75" customHeight="1">
      <c r="A77" s="33"/>
      <c r="B77" s="14"/>
      <c r="C77" s="35"/>
      <c r="D77" s="14"/>
      <c r="E77" s="35"/>
      <c r="F77" s="35"/>
      <c r="G77" s="14"/>
      <c r="H77" s="14"/>
      <c r="I77" s="14"/>
      <c r="J77" s="14"/>
      <c r="K77" s="14"/>
      <c r="L77" s="14"/>
      <c r="M77" s="31"/>
      <c r="N77" s="36"/>
      <c r="O77" s="31"/>
      <c r="P77" s="32"/>
      <c r="Q77" s="32"/>
      <c r="R77" s="33"/>
    </row>
    <row r="78" ht="15.75" customHeight="1">
      <c r="A78" s="33"/>
      <c r="B78" s="14"/>
      <c r="C78" s="35"/>
      <c r="D78" s="14"/>
      <c r="E78" s="35"/>
      <c r="F78" s="35"/>
      <c r="G78" s="14"/>
      <c r="H78" s="14"/>
      <c r="I78" s="14"/>
      <c r="J78" s="14"/>
      <c r="K78" s="14"/>
      <c r="L78" s="14"/>
      <c r="M78" s="31"/>
      <c r="N78" s="36"/>
      <c r="P78" s="32"/>
      <c r="Q78" s="32"/>
      <c r="R78" s="33"/>
    </row>
    <row r="79" ht="15.75" customHeight="1">
      <c r="A79" s="3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31"/>
      <c r="N79" s="36"/>
      <c r="O79" s="31"/>
      <c r="P79" s="32"/>
      <c r="Q79" s="32"/>
      <c r="R79" s="33"/>
    </row>
    <row r="80" ht="15.75" customHeight="1">
      <c r="A80" s="3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31"/>
      <c r="N80" s="31"/>
      <c r="O80" s="31"/>
      <c r="P80" s="32"/>
      <c r="Q80" s="32"/>
      <c r="R80" s="33"/>
    </row>
    <row r="81" ht="15.75" customHeight="1">
      <c r="A81" s="3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31"/>
      <c r="N81" s="36"/>
      <c r="O81" s="31"/>
      <c r="P81" s="32"/>
      <c r="Q81" s="32"/>
      <c r="R81" s="33"/>
    </row>
    <row r="82" ht="15.75" customHeight="1">
      <c r="A82" s="3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31"/>
      <c r="N82" s="36"/>
      <c r="O82" s="32"/>
      <c r="P82" s="32"/>
      <c r="Q82" s="32"/>
      <c r="R82" s="33"/>
    </row>
    <row r="83" ht="15.75" customHeight="1">
      <c r="A83" s="3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31"/>
      <c r="N83" s="31"/>
      <c r="O83" s="31"/>
      <c r="P83" s="32"/>
      <c r="Q83" s="32"/>
      <c r="R83" s="33"/>
    </row>
    <row r="84" ht="15.75" customHeight="1">
      <c r="A84" s="3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31"/>
      <c r="N84" s="31"/>
      <c r="O84" s="31"/>
      <c r="P84" s="32"/>
      <c r="Q84" s="32"/>
      <c r="R84" s="33"/>
    </row>
    <row r="85" ht="15.75" customHeight="1">
      <c r="A85" s="3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31"/>
      <c r="N85" s="31"/>
      <c r="O85" s="31"/>
      <c r="P85" s="32"/>
      <c r="Q85" s="32"/>
      <c r="R85" s="33"/>
    </row>
    <row r="86" ht="15.75" customHeight="1">
      <c r="A86" s="3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31"/>
      <c r="N86" s="31"/>
      <c r="O86" s="31"/>
      <c r="P86" s="32"/>
      <c r="Q86" s="32"/>
      <c r="R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2"/>
      <c r="N87" s="32"/>
      <c r="O87" s="32"/>
      <c r="P87" s="32"/>
      <c r="Q87" s="32"/>
      <c r="R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2"/>
      <c r="N88" s="32"/>
      <c r="O88" s="32"/>
      <c r="P88" s="32"/>
      <c r="Q88" s="32"/>
      <c r="R88" s="33" t="str">
        <f>IF(K88="----","#N/A",CONCATENATE("MK|",(VLOOKUP(B88,Dictionary!$A:$B,2,0)),"_CH|",(VLOOKUP(C88,Dictionary!$AV:$AW,2,0)),"_DT|",(VLOOKUP(D88,Dictionary!$P:$Q,2,0)),"_PB|",(VLOOKUP(E88,Dictionary!$G:$H,2,0)),"_FM|",(VLOOKUP(F88,Dictionary!$S:$T,2,0)),"_RT|",(VLOOKUP(G88,Dictionary!$V:$W,2,0)),"_PD|",SUBSTITUTE(SUBSTITUTE(IF(H88="","NONE",H88),"_","-"),"|","-"),"_TG|",(VLOOKUP(I88,Dictionary!$J:$K,2,0)),"_ST|",(VLOOKUP(J88,Dictionary!$M:$N,2,0)),"_TS|",SUBSTITUTE(SUBSTITUTE(IF(K88="","NONE",K88),"_","-"),"|","-"),"_SZ|",(VLOOKUP(L88,Dictionary!$Y:$Z,1,0)),"_AD|",(VLOOKUP(M88,Dictionary!$AB:$AC,2,0)),"_IT|",(VLOOKUP(N88,Dictionary!$BC:$BD,2,0)),IF(O88="","",CONCATENATE("_U1|",SUBSTITUTE(SUBSTITUTE(O88,"_","-"),"|","-"))),IF(P88="","",CONCATENATE("_U2|",SUBSTITUTE(SUBSTITUTE(P88,"_","-"),"|","-"))),IF(Q88="","",CONCATENATE("_U3|",SUBSTITUTE(SUBSTITUTE(Q88,"_","-"),"|","-")))))</f>
        <v>#N/A</v>
      </c>
    </row>
    <row r="89" ht="15.75" customHeight="1">
      <c r="A89" s="3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31"/>
      <c r="N89" s="31"/>
      <c r="O89" s="31"/>
      <c r="P89" s="32"/>
      <c r="Q89" s="32"/>
      <c r="R89" s="33" t="str">
        <f>IF(K89="----","#N/A",CONCATENATE("MK|",(VLOOKUP(B89,Dictionary!$A:$B,2,0)),"_CH|",(VLOOKUP(C89,Dictionary!$AV:$AW,2,0)),"_DT|",(VLOOKUP(D89,Dictionary!$P:$Q,2,0)),"_PB|",(VLOOKUP(E89,Dictionary!$G:$H,2,0)),"_FM|",(VLOOKUP(F89,Dictionary!$S:$T,2,0)),"_RT|",(VLOOKUP(G89,Dictionary!$V:$W,2,0)),"_PD|",SUBSTITUTE(SUBSTITUTE(IF(H89="","NONE",H89),"_","-"),"|","-"),"_TG|",(VLOOKUP(I89,Dictionary!$J:$K,2,0)),"_ST|",(VLOOKUP(J89,Dictionary!$M:$N,2,0)),"_TS|",SUBSTITUTE(SUBSTITUTE(IF(K89="","NONE",K89),"_","-"),"|","-"),"_SZ|",(VLOOKUP(L89,Dictionary!$Y:$Z,1,0)),"_AD|",(VLOOKUP(M89,Dictionary!$AB:$AC,2,0)),"_IT|",(VLOOKUP(N89,Dictionary!$BC:$BD,2,0)),IF(O89="","",CONCATENATE("_U1|",SUBSTITUTE(SUBSTITUTE(O89,"_","-"),"|","-"))),IF(P89="","",CONCATENATE("_U2|",SUBSTITUTE(SUBSTITUTE(P89,"_","-"),"|","-"))),IF(Q89="","",CONCATENATE("_U3|",SUBSTITUTE(SUBSTITUTE(Q89,"_","-"),"|","-")))))</f>
        <v>#N/A</v>
      </c>
    </row>
    <row r="90" ht="15.75" customHeight="1">
      <c r="A90" s="3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31"/>
      <c r="N90" s="31"/>
      <c r="O90" s="31"/>
      <c r="P90" s="32"/>
      <c r="Q90" s="32"/>
      <c r="R90" s="33" t="str">
        <f>IF(K90="----","#N/A",CONCATENATE("MK|",(VLOOKUP(B90,Dictionary!$A:$B,2,0)),"_CH|",(VLOOKUP(C90,Dictionary!$AV:$AW,2,0)),"_DT|",(VLOOKUP(D90,Dictionary!$P:$Q,2,0)),"_PB|",(VLOOKUP(E90,Dictionary!$G:$H,2,0)),"_FM|",(VLOOKUP(F90,Dictionary!$S:$T,2,0)),"_RT|",(VLOOKUP(G90,Dictionary!$V:$W,2,0)),"_PD|",SUBSTITUTE(SUBSTITUTE(IF(H90="","NONE",H90),"_","-"),"|","-"),"_TG|",(VLOOKUP(I90,Dictionary!$J:$K,2,0)),"_ST|",(VLOOKUP(J90,Dictionary!$M:$N,2,0)),"_TS|",SUBSTITUTE(SUBSTITUTE(IF(K90="","NONE",K90),"_","-"),"|","-"),"_SZ|",(VLOOKUP(L90,Dictionary!$Y:$Z,1,0)),"_AD|",(VLOOKUP(M90,Dictionary!$AB:$AC,2,0)),"_IT|",(VLOOKUP(N90,Dictionary!$BC:$BD,2,0)),IF(O90="","",CONCATENATE("_U1|",SUBSTITUTE(SUBSTITUTE(O90,"_","-"),"|","-"))),IF(P90="","",CONCATENATE("_U2|",SUBSTITUTE(SUBSTITUTE(P90,"_","-"),"|","-"))),IF(Q90="","",CONCATENATE("_U3|",SUBSTITUTE(SUBSTITUTE(Q90,"_","-"),"|","-")))))</f>
        <v>#N/A</v>
      </c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2"/>
      <c r="N91" s="32"/>
      <c r="O91" s="32"/>
      <c r="P91" s="32"/>
      <c r="Q91" s="32"/>
      <c r="R91" s="33" t="str">
        <f>IF(K91="----","#N/A",CONCATENATE("MK|",(VLOOKUP(B91,Dictionary!$A:$B,2,0)),"_CH|",(VLOOKUP(C91,Dictionary!$AV:$AW,2,0)),"_DT|",(VLOOKUP(D91,Dictionary!$P:$Q,2,0)),"_PB|",(VLOOKUP(E91,Dictionary!$G:$H,2,0)),"_FM|",(VLOOKUP(F91,Dictionary!$S:$T,2,0)),"_RT|",(VLOOKUP(G91,Dictionary!$V:$W,2,0)),"_PD|",SUBSTITUTE(SUBSTITUTE(IF(H91="","NONE",H91),"_","-"),"|","-"),"_TG|",(VLOOKUP(I91,Dictionary!$J:$K,2,0)),"_ST|",(VLOOKUP(J91,Dictionary!$M:$N,2,0)),"_TS|",SUBSTITUTE(SUBSTITUTE(IF(K91="","NONE",K91),"_","-"),"|","-"),"_SZ|",(VLOOKUP(L91,Dictionary!$Y:$Z,1,0)),"_AD|",(VLOOKUP(M91,Dictionary!$AB:$AC,2,0)),"_IT|",(VLOOKUP(N91,Dictionary!$BC:$BD,2,0)),IF(O91="","",CONCATENATE("_U1|",SUBSTITUTE(SUBSTITUTE(O91,"_","-"),"|","-"))),IF(P91="","",CONCATENATE("_U2|",SUBSTITUTE(SUBSTITUTE(P91,"_","-"),"|","-"))),IF(Q91="","",CONCATENATE("_U3|",SUBSTITUTE(SUBSTITUTE(Q91,"_","-"),"|","-")))))</f>
        <v>#N/A</v>
      </c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2"/>
      <c r="N92" s="32"/>
      <c r="O92" s="32"/>
      <c r="P92" s="32"/>
      <c r="Q92" s="32"/>
      <c r="R92" s="33" t="str">
        <f>IF(K92="----","#N/A",CONCATENATE("MK|",(VLOOKUP(B92,Dictionary!$A:$B,2,0)),"_CH|",(VLOOKUP(C92,Dictionary!$AV:$AW,2,0)),"_DT|",(VLOOKUP(D92,Dictionary!$P:$Q,2,0)),"_PB|",(VLOOKUP(E92,Dictionary!$G:$H,2,0)),"_FM|",(VLOOKUP(F92,Dictionary!$S:$T,2,0)),"_RT|",(VLOOKUP(G92,Dictionary!$V:$W,2,0)),"_PD|",SUBSTITUTE(SUBSTITUTE(IF(H92="","NONE",H92),"_","-"),"|","-"),"_TG|",(VLOOKUP(I92,Dictionary!$J:$K,2,0)),"_ST|",(VLOOKUP(J92,Dictionary!$M:$N,2,0)),"_TS|",SUBSTITUTE(SUBSTITUTE(IF(K92="","NONE",K92),"_","-"),"|","-"),"_SZ|",(VLOOKUP(L92,Dictionary!$Y:$Z,1,0)),"_AD|",(VLOOKUP(M92,Dictionary!$AB:$AC,2,0)),"_IT|",(VLOOKUP(N92,Dictionary!$BC:$BD,2,0)),IF(O92="","",CONCATENATE("_U1|",SUBSTITUTE(SUBSTITUTE(O92,"_","-"),"|","-"))),IF(P92="","",CONCATENATE("_U2|",SUBSTITUTE(SUBSTITUTE(P92,"_","-"),"|","-"))),IF(Q92="","",CONCATENATE("_U3|",SUBSTITUTE(SUBSTITUTE(Q92,"_","-"),"|","-")))))</f>
        <v>#N/A</v>
      </c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2"/>
      <c r="N93" s="32"/>
      <c r="O93" s="32"/>
      <c r="P93" s="32"/>
      <c r="Q93" s="32"/>
      <c r="R93" s="33" t="str">
        <f>IF(K93="----","#N/A",CONCATENATE("MK|",(VLOOKUP(B93,Dictionary!$A:$B,2,0)),"_CH|",(VLOOKUP(C93,Dictionary!$AV:$AW,2,0)),"_DT|",(VLOOKUP(D93,Dictionary!$P:$Q,2,0)),"_PB|",(VLOOKUP(E93,Dictionary!$G:$H,2,0)),"_FM|",(VLOOKUP(F93,Dictionary!$S:$T,2,0)),"_RT|",(VLOOKUP(G93,Dictionary!$V:$W,2,0)),"_PD|",SUBSTITUTE(SUBSTITUTE(IF(H93="","NONE",H93),"_","-"),"|","-"),"_TG|",(VLOOKUP(I93,Dictionary!$J:$K,2,0)),"_ST|",(VLOOKUP(J93,Dictionary!$M:$N,2,0)),"_TS|",SUBSTITUTE(SUBSTITUTE(IF(K93="","NONE",K93),"_","-"),"|","-"),"_SZ|",(VLOOKUP(L93,Dictionary!$Y:$Z,1,0)),"_AD|",(VLOOKUP(M93,Dictionary!$AB:$AC,2,0)),"_IT|",(VLOOKUP(N93,Dictionary!$BC:$BD,2,0)),IF(O93="","",CONCATENATE("_U1|",SUBSTITUTE(SUBSTITUTE(O93,"_","-"),"|","-"))),IF(P93="","",CONCATENATE("_U2|",SUBSTITUTE(SUBSTITUTE(P93,"_","-"),"|","-"))),IF(Q93="","",CONCATENATE("_U3|",SUBSTITUTE(SUBSTITUTE(Q93,"_","-"),"|","-")))))</f>
        <v>#N/A</v>
      </c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2"/>
      <c r="N94" s="32"/>
      <c r="O94" s="32"/>
      <c r="P94" s="32"/>
      <c r="Q94" s="32"/>
      <c r="R94" s="33" t="str">
        <f>IF(K94="----","#N/A",CONCATENATE("MK|",(VLOOKUP(B94,Dictionary!$A:$B,2,0)),"_CH|",(VLOOKUP(C94,Dictionary!$AV:$AW,2,0)),"_DT|",(VLOOKUP(D94,Dictionary!$P:$Q,2,0)),"_PB|",(VLOOKUP(E94,Dictionary!$G:$H,2,0)),"_FM|",(VLOOKUP(F94,Dictionary!$S:$T,2,0)),"_RT|",(VLOOKUP(G94,Dictionary!$V:$W,2,0)),"_PD|",SUBSTITUTE(SUBSTITUTE(IF(H94="","NONE",H94),"_","-"),"|","-"),"_TG|",(VLOOKUP(I94,Dictionary!$J:$K,2,0)),"_ST|",(VLOOKUP(J94,Dictionary!$M:$N,2,0)),"_TS|",SUBSTITUTE(SUBSTITUTE(IF(K94="","NONE",K94),"_","-"),"|","-"),"_SZ|",(VLOOKUP(L94,Dictionary!$Y:$Z,1,0)),"_AD|",(VLOOKUP(M94,Dictionary!$AB:$AC,2,0)),"_IT|",(VLOOKUP(N94,Dictionary!$BC:$BD,2,0)),IF(O94="","",CONCATENATE("_U1|",SUBSTITUTE(SUBSTITUTE(O94,"_","-"),"|","-"))),IF(P94="","",CONCATENATE("_U2|",SUBSTITUTE(SUBSTITUTE(P94,"_","-"),"|","-"))),IF(Q94="","",CONCATENATE("_U3|",SUBSTITUTE(SUBSTITUTE(Q94,"_","-"),"|","-")))))</f>
        <v>#N/A</v>
      </c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2"/>
      <c r="N95" s="32"/>
      <c r="O95" s="32"/>
      <c r="P95" s="32"/>
      <c r="Q95" s="32"/>
      <c r="R95" s="33" t="str">
        <f>IF(K95="----","#N/A",CONCATENATE("MK|",(VLOOKUP(B95,Dictionary!$A:$B,2,0)),"_CH|",(VLOOKUP(C95,Dictionary!$AV:$AW,2,0)),"_DT|",(VLOOKUP(D95,Dictionary!$P:$Q,2,0)),"_PB|",(VLOOKUP(E95,Dictionary!$G:$H,2,0)),"_FM|",(VLOOKUP(F95,Dictionary!$S:$T,2,0)),"_RT|",(VLOOKUP(G95,Dictionary!$V:$W,2,0)),"_PD|",SUBSTITUTE(SUBSTITUTE(IF(H95="","NONE",H95),"_","-"),"|","-"),"_TG|",(VLOOKUP(I95,Dictionary!$J:$K,2,0)),"_ST|",(VLOOKUP(J95,Dictionary!$M:$N,2,0)),"_TS|",SUBSTITUTE(SUBSTITUTE(IF(K95="","NONE",K95),"_","-"),"|","-"),"_SZ|",(VLOOKUP(L95,Dictionary!$Y:$Z,1,0)),"_AD|",(VLOOKUP(M95,Dictionary!$AB:$AC,2,0)),"_IT|",(VLOOKUP(N95,Dictionary!$BC:$BD,2,0)),IF(O95="","",CONCATENATE("_U1|",SUBSTITUTE(SUBSTITUTE(O95,"_","-"),"|","-"))),IF(P95="","",CONCATENATE("_U2|",SUBSTITUTE(SUBSTITUTE(P95,"_","-"),"|","-"))),IF(Q95="","",CONCATENATE("_U3|",SUBSTITUTE(SUBSTITUTE(Q95,"_","-"),"|","-")))))</f>
        <v>#N/A</v>
      </c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2"/>
      <c r="N96" s="32"/>
      <c r="O96" s="32"/>
      <c r="P96" s="32"/>
      <c r="Q96" s="32"/>
      <c r="R96" s="33" t="str">
        <f>IF(K96="----","#N/A",CONCATENATE("MK|",(VLOOKUP(B96,Dictionary!$A:$B,2,0)),"_CH|",(VLOOKUP(C96,Dictionary!$AV:$AW,2,0)),"_DT|",(VLOOKUP(D96,Dictionary!$P:$Q,2,0)),"_PB|",(VLOOKUP(E96,Dictionary!$G:$H,2,0)),"_FM|",(VLOOKUP(F96,Dictionary!$S:$T,2,0)),"_RT|",(VLOOKUP(G96,Dictionary!$V:$W,2,0)),"_PD|",SUBSTITUTE(SUBSTITUTE(IF(H96="","NONE",H96),"_","-"),"|","-"),"_TG|",(VLOOKUP(I96,Dictionary!$J:$K,2,0)),"_ST|",(VLOOKUP(J96,Dictionary!$M:$N,2,0)),"_TS|",SUBSTITUTE(SUBSTITUTE(IF(K96="","NONE",K96),"_","-"),"|","-"),"_SZ|",(VLOOKUP(L96,Dictionary!$Y:$Z,1,0)),"_AD|",(VLOOKUP(M96,Dictionary!$AB:$AC,2,0)),"_IT|",(VLOOKUP(N96,Dictionary!$BC:$BD,2,0)),IF(O96="","",CONCATENATE("_U1|",SUBSTITUTE(SUBSTITUTE(O96,"_","-"),"|","-"))),IF(P96="","",CONCATENATE("_U2|",SUBSTITUTE(SUBSTITUTE(P96,"_","-"),"|","-"))),IF(Q96="","",CONCATENATE("_U3|",SUBSTITUTE(SUBSTITUTE(Q96,"_","-"),"|","-")))))</f>
        <v>#N/A</v>
      </c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2"/>
      <c r="N97" s="32"/>
      <c r="O97" s="32"/>
      <c r="P97" s="32"/>
      <c r="Q97" s="32"/>
      <c r="R97" s="33" t="str">
        <f>IF(K97="----","#N/A",CONCATENATE("MK|",(VLOOKUP(B97,Dictionary!$A:$B,2,0)),"_CH|",(VLOOKUP(C97,Dictionary!$AV:$AW,2,0)),"_DT|",(VLOOKUP(D97,Dictionary!$P:$Q,2,0)),"_PB|",(VLOOKUP(E97,Dictionary!$G:$H,2,0)),"_FM|",(VLOOKUP(F97,Dictionary!$S:$T,2,0)),"_RT|",(VLOOKUP(G97,Dictionary!$V:$W,2,0)),"_PD|",SUBSTITUTE(SUBSTITUTE(IF(H97="","NONE",H97),"_","-"),"|","-"),"_TG|",(VLOOKUP(I97,Dictionary!$J:$K,2,0)),"_ST|",(VLOOKUP(J97,Dictionary!$M:$N,2,0)),"_TS|",SUBSTITUTE(SUBSTITUTE(IF(K97="","NONE",K97),"_","-"),"|","-"),"_SZ|",(VLOOKUP(L97,Dictionary!$Y:$Z,1,0)),"_AD|",(VLOOKUP(M97,Dictionary!$AB:$AC,2,0)),"_IT|",(VLOOKUP(N97,Dictionary!$BC:$BD,2,0)),IF(O97="","",CONCATENATE("_U1|",SUBSTITUTE(SUBSTITUTE(O97,"_","-"),"|","-"))),IF(P97="","",CONCATENATE("_U2|",SUBSTITUTE(SUBSTITUTE(P97,"_","-"),"|","-"))),IF(Q97="","",CONCATENATE("_U3|",SUBSTITUTE(SUBSTITUTE(Q97,"_","-"),"|","-")))))</f>
        <v>#N/A</v>
      </c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2"/>
      <c r="N98" s="32"/>
      <c r="O98" s="32"/>
      <c r="P98" s="32"/>
      <c r="Q98" s="32"/>
      <c r="R98" s="33" t="str">
        <f>IF(K98="----","#N/A",CONCATENATE("MK|",(VLOOKUP(B98,Dictionary!$A:$B,2,0)),"_CH|",(VLOOKUP(C98,Dictionary!$AV:$AW,2,0)),"_DT|",(VLOOKUP(D98,Dictionary!$P:$Q,2,0)),"_PB|",(VLOOKUP(E98,Dictionary!$G:$H,2,0)),"_FM|",(VLOOKUP(F98,Dictionary!$S:$T,2,0)),"_RT|",(VLOOKUP(G98,Dictionary!$V:$W,2,0)),"_PD|",SUBSTITUTE(SUBSTITUTE(IF(H98="","NONE",H98),"_","-"),"|","-"),"_TG|",(VLOOKUP(I98,Dictionary!$J:$K,2,0)),"_ST|",(VLOOKUP(J98,Dictionary!$M:$N,2,0)),"_TS|",SUBSTITUTE(SUBSTITUTE(IF(K98="","NONE",K98),"_","-"),"|","-"),"_SZ|",(VLOOKUP(L98,Dictionary!$Y:$Z,1,0)),"_AD|",(VLOOKUP(M98,Dictionary!$AB:$AC,2,0)),"_IT|",(VLOOKUP(N98,Dictionary!$BC:$BD,2,0)),IF(O98="","",CONCATENATE("_U1|",SUBSTITUTE(SUBSTITUTE(O98,"_","-"),"|","-"))),IF(P98="","",CONCATENATE("_U2|",SUBSTITUTE(SUBSTITUTE(P98,"_","-"),"|","-"))),IF(Q98="","",CONCATENATE("_U3|",SUBSTITUTE(SUBSTITUTE(Q98,"_","-"),"|","-")))))</f>
        <v>#N/A</v>
      </c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2"/>
      <c r="N99" s="32"/>
      <c r="O99" s="32"/>
      <c r="P99" s="32"/>
      <c r="Q99" s="32"/>
      <c r="R99" s="33" t="str">
        <f>IF(K99="----","#N/A",CONCATENATE("MK|",(VLOOKUP(B99,Dictionary!$A:$B,2,0)),"_CH|",(VLOOKUP(C99,Dictionary!$AV:$AW,2,0)),"_DT|",(VLOOKUP(D99,Dictionary!$P:$Q,2,0)),"_PB|",(VLOOKUP(E99,Dictionary!$G:$H,2,0)),"_FM|",(VLOOKUP(F99,Dictionary!$S:$T,2,0)),"_RT|",(VLOOKUP(G99,Dictionary!$V:$W,2,0)),"_PD|",SUBSTITUTE(SUBSTITUTE(IF(H99="","NONE",H99),"_","-"),"|","-"),"_TG|",(VLOOKUP(I99,Dictionary!$J:$K,2,0)),"_ST|",(VLOOKUP(J99,Dictionary!$M:$N,2,0)),"_TS|",SUBSTITUTE(SUBSTITUTE(IF(K99="","NONE",K99),"_","-"),"|","-"),"_SZ|",(VLOOKUP(L99,Dictionary!$Y:$Z,1,0)),"_AD|",(VLOOKUP(M99,Dictionary!$AB:$AC,2,0)),"_IT|",(VLOOKUP(N99,Dictionary!$BC:$BD,2,0)),IF(O99="","",CONCATENATE("_U1|",SUBSTITUTE(SUBSTITUTE(O99,"_","-"),"|","-"))),IF(P99="","",CONCATENATE("_U2|",SUBSTITUTE(SUBSTITUTE(P99,"_","-"),"|","-"))),IF(Q99="","",CONCATENATE("_U3|",SUBSTITUTE(SUBSTITUTE(Q99,"_","-"),"|","-")))))</f>
        <v>#N/A</v>
      </c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2"/>
      <c r="N100" s="32"/>
      <c r="O100" s="32"/>
      <c r="P100" s="32"/>
      <c r="Q100" s="32"/>
      <c r="R100" s="33" t="str">
        <f>IF(K100="----","#N/A",CONCATENATE("MK|",(VLOOKUP(B100,Dictionary!$A:$B,2,0)),"_CH|",(VLOOKUP(C100,Dictionary!$AV:$AW,2,0)),"_DT|",(VLOOKUP(D100,Dictionary!$P:$Q,2,0)),"_PB|",(VLOOKUP(E100,Dictionary!$G:$H,2,0)),"_FM|",(VLOOKUP(F100,Dictionary!$S:$T,2,0)),"_RT|",(VLOOKUP(G100,Dictionary!$V:$W,2,0)),"_PD|",SUBSTITUTE(SUBSTITUTE(IF(H100="","NONE",H100),"_","-"),"|","-"),"_TG|",(VLOOKUP(I100,Dictionary!$J:$K,2,0)),"_ST|",(VLOOKUP(J100,Dictionary!$M:$N,2,0)),"_TS|",SUBSTITUTE(SUBSTITUTE(IF(K100="","NONE",K100),"_","-"),"|","-"),"_SZ|",(VLOOKUP(L100,Dictionary!$Y:$Z,1,0)),"_AD|",(VLOOKUP(M100,Dictionary!$AB:$AC,2,0)),"_IT|",(VLOOKUP(N100,Dictionary!$BC:$BD,2,0)),IF(O100="","",CONCATENATE("_U1|",SUBSTITUTE(SUBSTITUTE(O100,"_","-"),"|","-"))),IF(P100="","",CONCATENATE("_U2|",SUBSTITUTE(SUBSTITUTE(P100,"_","-"),"|","-"))),IF(Q100="","",CONCATENATE("_U3|",SUBSTITUTE(SUBSTITUTE(Q100,"_","-"),"|","-")))))</f>
        <v>#N/A</v>
      </c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2"/>
      <c r="N101" s="32"/>
      <c r="O101" s="32"/>
      <c r="P101" s="32"/>
      <c r="Q101" s="32"/>
      <c r="R101" s="33" t="str">
        <f>IF(K101="----","#N/A",CONCATENATE("MK|",(VLOOKUP(B101,Dictionary!$A:$B,2,0)),"_CH|",(VLOOKUP(C101,Dictionary!$AV:$AW,2,0)),"_DT|",(VLOOKUP(D101,Dictionary!$P:$Q,2,0)),"_PB|",(VLOOKUP(E101,Dictionary!$G:$H,2,0)),"_FM|",(VLOOKUP(F101,Dictionary!$S:$T,2,0)),"_RT|",(VLOOKUP(G101,Dictionary!$V:$W,2,0)),"_PD|",SUBSTITUTE(SUBSTITUTE(IF(H101="","NONE",H101),"_","-"),"|","-"),"_TG|",(VLOOKUP(I101,Dictionary!$J:$K,2,0)),"_ST|",(VLOOKUP(J101,Dictionary!$M:$N,2,0)),"_TS|",SUBSTITUTE(SUBSTITUTE(IF(K101="","NONE",K101),"_","-"),"|","-"),"_SZ|",(VLOOKUP(L101,Dictionary!$Y:$Z,1,0)),"_AD|",(VLOOKUP(M101,Dictionary!$AB:$AC,2,0)),"_IT|",(VLOOKUP(N101,Dictionary!$BC:$BD,2,0)),IF(O101="","",CONCATENATE("_U1|",SUBSTITUTE(SUBSTITUTE(O101,"_","-"),"|","-"))),IF(P101="","",CONCATENATE("_U2|",SUBSTITUTE(SUBSTITUTE(P101,"_","-"),"|","-"))),IF(Q101="","",CONCATENATE("_U3|",SUBSTITUTE(SUBSTITUTE(Q101,"_","-"),"|","-")))))</f>
        <v>#N/A</v>
      </c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2"/>
      <c r="N102" s="32"/>
      <c r="O102" s="32"/>
      <c r="P102" s="32"/>
      <c r="Q102" s="32"/>
      <c r="R102" s="33" t="str">
        <f>IF(K102="----","#N/A",CONCATENATE("MK|",(VLOOKUP(B102,Dictionary!$A:$B,2,0)),"_CH|",(VLOOKUP(C102,Dictionary!$AV:$AW,2,0)),"_DT|",(VLOOKUP(D102,Dictionary!$P:$Q,2,0)),"_PB|",(VLOOKUP(E102,Dictionary!$G:$H,2,0)),"_FM|",(VLOOKUP(F102,Dictionary!$S:$T,2,0)),"_RT|",(VLOOKUP(G102,Dictionary!$V:$W,2,0)),"_PD|",SUBSTITUTE(SUBSTITUTE(IF(H102="","NONE",H102),"_","-"),"|","-"),"_TG|",(VLOOKUP(I102,Dictionary!$J:$K,2,0)),"_ST|",(VLOOKUP(J102,Dictionary!$M:$N,2,0)),"_TS|",SUBSTITUTE(SUBSTITUTE(IF(K102="","NONE",K102),"_","-"),"|","-"),"_SZ|",(VLOOKUP(L102,Dictionary!$Y:$Z,1,0)),"_AD|",(VLOOKUP(M102,Dictionary!$AB:$AC,2,0)),"_IT|",(VLOOKUP(N102,Dictionary!$BC:$BD,2,0)),IF(O102="","",CONCATENATE("_U1|",SUBSTITUTE(SUBSTITUTE(O102,"_","-"),"|","-"))),IF(P102="","",CONCATENATE("_U2|",SUBSTITUTE(SUBSTITUTE(P102,"_","-"),"|","-"))),IF(Q102="","",CONCATENATE("_U3|",SUBSTITUTE(SUBSTITUTE(Q102,"_","-"),"|","-")))))</f>
        <v>#N/A</v>
      </c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2"/>
      <c r="N103" s="32"/>
      <c r="O103" s="32"/>
      <c r="P103" s="32"/>
      <c r="Q103" s="32"/>
      <c r="R103" s="33" t="str">
        <f>IF(K103="----","#N/A",CONCATENATE("MK|",(VLOOKUP(B103,Dictionary!$A:$B,2,0)),"_CH|",(VLOOKUP(C103,Dictionary!$AV:$AW,2,0)),"_DT|",(VLOOKUP(D103,Dictionary!$P:$Q,2,0)),"_PB|",(VLOOKUP(E103,Dictionary!$G:$H,2,0)),"_FM|",(VLOOKUP(F103,Dictionary!$S:$T,2,0)),"_RT|",(VLOOKUP(G103,Dictionary!$V:$W,2,0)),"_PD|",SUBSTITUTE(SUBSTITUTE(IF(H103="","NONE",H103),"_","-"),"|","-"),"_TG|",(VLOOKUP(I103,Dictionary!$J:$K,2,0)),"_ST|",(VLOOKUP(J103,Dictionary!$M:$N,2,0)),"_TS|",SUBSTITUTE(SUBSTITUTE(IF(K103="","NONE",K103),"_","-"),"|","-"),"_SZ|",(VLOOKUP(L103,Dictionary!$Y:$Z,1,0)),"_AD|",(VLOOKUP(M103,Dictionary!$AB:$AC,2,0)),"_IT|",(VLOOKUP(N103,Dictionary!$BC:$BD,2,0)),IF(O103="","",CONCATENATE("_U1|",SUBSTITUTE(SUBSTITUTE(O103,"_","-"),"|","-"))),IF(P103="","",CONCATENATE("_U2|",SUBSTITUTE(SUBSTITUTE(P103,"_","-"),"|","-"))),IF(Q103="","",CONCATENATE("_U3|",SUBSTITUTE(SUBSTITUTE(Q103,"_","-"),"|","-")))))</f>
        <v>#N/A</v>
      </c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2"/>
      <c r="N104" s="32"/>
      <c r="O104" s="32"/>
      <c r="P104" s="32"/>
      <c r="Q104" s="32"/>
      <c r="R104" s="33" t="str">
        <f>IF(K104="----","#N/A",CONCATENATE("MK|",(VLOOKUP(B104,Dictionary!$A:$B,2,0)),"_CH|",(VLOOKUP(C104,Dictionary!$AV:$AW,2,0)),"_DT|",(VLOOKUP(D104,Dictionary!$P:$Q,2,0)),"_PB|",(VLOOKUP(E104,Dictionary!$G:$H,2,0)),"_FM|",(VLOOKUP(F104,Dictionary!$S:$T,2,0)),"_RT|",(VLOOKUP(G104,Dictionary!$V:$W,2,0)),"_PD|",SUBSTITUTE(SUBSTITUTE(IF(H104="","NONE",H104),"_","-"),"|","-"),"_TG|",(VLOOKUP(I104,Dictionary!$J:$K,2,0)),"_ST|",(VLOOKUP(J104,Dictionary!$M:$N,2,0)),"_TS|",SUBSTITUTE(SUBSTITUTE(IF(K104="","NONE",K104),"_","-"),"|","-"),"_SZ|",(VLOOKUP(L104,Dictionary!$Y:$Z,1,0)),"_AD|",(VLOOKUP(M104,Dictionary!$AB:$AC,2,0)),"_IT|",(VLOOKUP(N104,Dictionary!$BC:$BD,2,0)),IF(O104="","",CONCATENATE("_U1|",SUBSTITUTE(SUBSTITUTE(O104,"_","-"),"|","-"))),IF(P104="","",CONCATENATE("_U2|",SUBSTITUTE(SUBSTITUTE(P104,"_","-"),"|","-"))),IF(Q104="","",CONCATENATE("_U3|",SUBSTITUTE(SUBSTITUTE(Q104,"_","-"),"|","-")))))</f>
        <v>#N/A</v>
      </c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2"/>
      <c r="N105" s="32"/>
      <c r="O105" s="32"/>
      <c r="P105" s="32"/>
      <c r="Q105" s="32"/>
      <c r="R105" s="33" t="str">
        <f>IF(K105="----","#N/A",CONCATENATE("MK|",(VLOOKUP(B105,Dictionary!$A:$B,2,0)),"_CH|",(VLOOKUP(C105,Dictionary!$AV:$AW,2,0)),"_DT|",(VLOOKUP(D105,Dictionary!$P:$Q,2,0)),"_PB|",(VLOOKUP(E105,Dictionary!$G:$H,2,0)),"_FM|",(VLOOKUP(F105,Dictionary!$S:$T,2,0)),"_RT|",(VLOOKUP(G105,Dictionary!$V:$W,2,0)),"_PD|",SUBSTITUTE(SUBSTITUTE(IF(H105="","NONE",H105),"_","-"),"|","-"),"_TG|",(VLOOKUP(I105,Dictionary!$J:$K,2,0)),"_ST|",(VLOOKUP(J105,Dictionary!$M:$N,2,0)),"_TS|",SUBSTITUTE(SUBSTITUTE(IF(K105="","NONE",K105),"_","-"),"|","-"),"_SZ|",(VLOOKUP(L105,Dictionary!$Y:$Z,1,0)),"_AD|",(VLOOKUP(M105,Dictionary!$AB:$AC,2,0)),"_IT|",(VLOOKUP(N105,Dictionary!$BC:$BD,2,0)),IF(O105="","",CONCATENATE("_U1|",SUBSTITUTE(SUBSTITUTE(O105,"_","-"),"|","-"))),IF(P105="","",CONCATENATE("_U2|",SUBSTITUTE(SUBSTITUTE(P105,"_","-"),"|","-"))),IF(Q105="","",CONCATENATE("_U3|",SUBSTITUTE(SUBSTITUTE(Q105,"_","-"),"|","-")))))</f>
        <v>#N/A</v>
      </c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2"/>
      <c r="N106" s="32"/>
      <c r="O106" s="32"/>
      <c r="P106" s="32"/>
      <c r="Q106" s="32"/>
      <c r="R106" s="33" t="str">
        <f>IF(K106="----","#N/A",CONCATENATE("MK|",(VLOOKUP(B106,Dictionary!$A:$B,2,0)),"_CH|",(VLOOKUP(C106,Dictionary!$AV:$AW,2,0)),"_DT|",(VLOOKUP(D106,Dictionary!$P:$Q,2,0)),"_PB|",(VLOOKUP(E106,Dictionary!$G:$H,2,0)),"_FM|",(VLOOKUP(F106,Dictionary!$S:$T,2,0)),"_RT|",(VLOOKUP(G106,Dictionary!$V:$W,2,0)),"_PD|",SUBSTITUTE(SUBSTITUTE(IF(H106="","NONE",H106),"_","-"),"|","-"),"_TG|",(VLOOKUP(I106,Dictionary!$J:$K,2,0)),"_ST|",(VLOOKUP(J106,Dictionary!$M:$N,2,0)),"_TS|",SUBSTITUTE(SUBSTITUTE(IF(K106="","NONE",K106),"_","-"),"|","-"),"_SZ|",(VLOOKUP(L106,Dictionary!$Y:$Z,1,0)),"_AD|",(VLOOKUP(M106,Dictionary!$AB:$AC,2,0)),"_IT|",(VLOOKUP(N106,Dictionary!$BC:$BD,2,0)),IF(O106="","",CONCATENATE("_U1|",SUBSTITUTE(SUBSTITUTE(O106,"_","-"),"|","-"))),IF(P106="","",CONCATENATE("_U2|",SUBSTITUTE(SUBSTITUTE(P106,"_","-"),"|","-"))),IF(Q106="","",CONCATENATE("_U3|",SUBSTITUTE(SUBSTITUTE(Q106,"_","-"),"|","-")))))</f>
        <v>#N/A</v>
      </c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2"/>
      <c r="N107" s="32"/>
      <c r="O107" s="32"/>
      <c r="P107" s="32"/>
      <c r="Q107" s="32"/>
      <c r="R107" s="33" t="str">
        <f>IF(K107="----","#N/A",CONCATENATE("MK|",(VLOOKUP(B107,Dictionary!$A:$B,2,0)),"_CH|",(VLOOKUP(C107,Dictionary!$AV:$AW,2,0)),"_DT|",(VLOOKUP(D107,Dictionary!$P:$Q,2,0)),"_PB|",(VLOOKUP(E107,Dictionary!$G:$H,2,0)),"_FM|",(VLOOKUP(F107,Dictionary!$S:$T,2,0)),"_RT|",(VLOOKUP(G107,Dictionary!$V:$W,2,0)),"_PD|",SUBSTITUTE(SUBSTITUTE(IF(H107="","NONE",H107),"_","-"),"|","-"),"_TG|",(VLOOKUP(I107,Dictionary!$J:$K,2,0)),"_ST|",(VLOOKUP(J107,Dictionary!$M:$N,2,0)),"_TS|",SUBSTITUTE(SUBSTITUTE(IF(K107="","NONE",K107),"_","-"),"|","-"),"_SZ|",(VLOOKUP(L107,Dictionary!$Y:$Z,1,0)),"_AD|",(VLOOKUP(M107,Dictionary!$AB:$AC,2,0)),"_IT|",(VLOOKUP(N107,Dictionary!$BC:$BD,2,0)),IF(O107="","",CONCATENATE("_U1|",SUBSTITUTE(SUBSTITUTE(O107,"_","-"),"|","-"))),IF(P107="","",CONCATENATE("_U2|",SUBSTITUTE(SUBSTITUTE(P107,"_","-"),"|","-"))),IF(Q107="","",CONCATENATE("_U3|",SUBSTITUTE(SUBSTITUTE(Q107,"_","-"),"|","-")))))</f>
        <v>#N/A</v>
      </c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2"/>
      <c r="N108" s="32"/>
      <c r="O108" s="32"/>
      <c r="P108" s="32"/>
      <c r="Q108" s="32"/>
      <c r="R108" s="33" t="str">
        <f>IF(K108="----","#N/A",CONCATENATE("MK|",(VLOOKUP(B108,Dictionary!$A:$B,2,0)),"_CH|",(VLOOKUP(C108,Dictionary!$AV:$AW,2,0)),"_DT|",(VLOOKUP(D108,Dictionary!$P:$Q,2,0)),"_PB|",(VLOOKUP(E108,Dictionary!$G:$H,2,0)),"_FM|",(VLOOKUP(F108,Dictionary!$S:$T,2,0)),"_RT|",(VLOOKUP(G108,Dictionary!$V:$W,2,0)),"_PD|",SUBSTITUTE(SUBSTITUTE(IF(H108="","NONE",H108),"_","-"),"|","-"),"_TG|",(VLOOKUP(I108,Dictionary!$J:$K,2,0)),"_ST|",(VLOOKUP(J108,Dictionary!$M:$N,2,0)),"_TS|",SUBSTITUTE(SUBSTITUTE(IF(K108="","NONE",K108),"_","-"),"|","-"),"_SZ|",(VLOOKUP(L108,Dictionary!$Y:$Z,1,0)),"_AD|",(VLOOKUP(M108,Dictionary!$AB:$AC,2,0)),"_IT|",(VLOOKUP(N108,Dictionary!$BC:$BD,2,0)),IF(O108="","",CONCATENATE("_U1|",SUBSTITUTE(SUBSTITUTE(O108,"_","-"),"|","-"))),IF(P108="","",CONCATENATE("_U2|",SUBSTITUTE(SUBSTITUTE(P108,"_","-"),"|","-"))),IF(Q108="","",CONCATENATE("_U3|",SUBSTITUTE(SUBSTITUTE(Q108,"_","-"),"|","-")))))</f>
        <v>#N/A</v>
      </c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2"/>
      <c r="N109" s="32"/>
      <c r="O109" s="32"/>
      <c r="P109" s="32"/>
      <c r="Q109" s="32"/>
      <c r="R109" s="33" t="str">
        <f>IF(K109="----","#N/A",CONCATENATE("MK|",(VLOOKUP(B109,Dictionary!$A:$B,2,0)),"_CH|",(VLOOKUP(C109,Dictionary!$AV:$AW,2,0)),"_DT|",(VLOOKUP(D109,Dictionary!$P:$Q,2,0)),"_PB|",(VLOOKUP(E109,Dictionary!$G:$H,2,0)),"_FM|",(VLOOKUP(F109,Dictionary!$S:$T,2,0)),"_RT|",(VLOOKUP(G109,Dictionary!$V:$W,2,0)),"_PD|",SUBSTITUTE(SUBSTITUTE(IF(H109="","NONE",H109),"_","-"),"|","-"),"_TG|",(VLOOKUP(I109,Dictionary!$J:$K,2,0)),"_ST|",(VLOOKUP(J109,Dictionary!$M:$N,2,0)),"_TS|",SUBSTITUTE(SUBSTITUTE(IF(K109="","NONE",K109),"_","-"),"|","-"),"_SZ|",(VLOOKUP(L109,Dictionary!$Y:$Z,1,0)),"_AD|",(VLOOKUP(M109,Dictionary!$AB:$AC,2,0)),"_IT|",(VLOOKUP(N109,Dictionary!$BC:$BD,2,0)),IF(O109="","",CONCATENATE("_U1|",SUBSTITUTE(SUBSTITUTE(O109,"_","-"),"|","-"))),IF(P109="","",CONCATENATE("_U2|",SUBSTITUTE(SUBSTITUTE(P109,"_","-"),"|","-"))),IF(Q109="","",CONCATENATE("_U3|",SUBSTITUTE(SUBSTITUTE(Q109,"_","-"),"|","-")))))</f>
        <v>#N/A</v>
      </c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2"/>
      <c r="N110" s="32"/>
      <c r="O110" s="32"/>
      <c r="P110" s="32"/>
      <c r="Q110" s="32"/>
      <c r="R110" s="33" t="str">
        <f>IF(K110="----","#N/A",CONCATENATE("MK|",(VLOOKUP(B110,Dictionary!$A:$B,2,0)),"_CH|",(VLOOKUP(C110,Dictionary!$AV:$AW,2,0)),"_DT|",(VLOOKUP(D110,Dictionary!$P:$Q,2,0)),"_PB|",(VLOOKUP(E110,Dictionary!$G:$H,2,0)),"_FM|",(VLOOKUP(F110,Dictionary!$S:$T,2,0)),"_RT|",(VLOOKUP(G110,Dictionary!$V:$W,2,0)),"_PD|",SUBSTITUTE(SUBSTITUTE(IF(H110="","NONE",H110),"_","-"),"|","-"),"_TG|",(VLOOKUP(I110,Dictionary!$J:$K,2,0)),"_ST|",(VLOOKUP(J110,Dictionary!$M:$N,2,0)),"_TS|",SUBSTITUTE(SUBSTITUTE(IF(K110="","NONE",K110),"_","-"),"|","-"),"_SZ|",(VLOOKUP(L110,Dictionary!$Y:$Z,1,0)),"_AD|",(VLOOKUP(M110,Dictionary!$AB:$AC,2,0)),"_IT|",(VLOOKUP(N110,Dictionary!$BC:$BD,2,0)),IF(O110="","",CONCATENATE("_U1|",SUBSTITUTE(SUBSTITUTE(O110,"_","-"),"|","-"))),IF(P110="","",CONCATENATE("_U2|",SUBSTITUTE(SUBSTITUTE(P110,"_","-"),"|","-"))),IF(Q110="","",CONCATENATE("_U3|",SUBSTITUTE(SUBSTITUTE(Q110,"_","-"),"|","-")))))</f>
        <v>#N/A</v>
      </c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2"/>
      <c r="N111" s="32"/>
      <c r="O111" s="32"/>
      <c r="P111" s="32"/>
      <c r="Q111" s="32"/>
      <c r="R111" s="33" t="str">
        <f>IF(K111="----","#N/A",CONCATENATE("MK|",(VLOOKUP(B111,Dictionary!$A:$B,2,0)),"_CH|",(VLOOKUP(C111,Dictionary!$AV:$AW,2,0)),"_DT|",(VLOOKUP(D111,Dictionary!$P:$Q,2,0)),"_PB|",(VLOOKUP(E111,Dictionary!$G:$H,2,0)),"_FM|",(VLOOKUP(F111,Dictionary!$S:$T,2,0)),"_RT|",(VLOOKUP(G111,Dictionary!$V:$W,2,0)),"_PD|",SUBSTITUTE(SUBSTITUTE(IF(H111="","NONE",H111),"_","-"),"|","-"),"_TG|",(VLOOKUP(I111,Dictionary!$J:$K,2,0)),"_ST|",(VLOOKUP(J111,Dictionary!$M:$N,2,0)),"_TS|",SUBSTITUTE(SUBSTITUTE(IF(K111="","NONE",K111),"_","-"),"|","-"),"_SZ|",(VLOOKUP(L111,Dictionary!$Y:$Z,1,0)),"_AD|",(VLOOKUP(M111,Dictionary!$AB:$AC,2,0)),"_IT|",(VLOOKUP(N111,Dictionary!$BC:$BD,2,0)),IF(O111="","",CONCATENATE("_U1|",SUBSTITUTE(SUBSTITUTE(O111,"_","-"),"|","-"))),IF(P111="","",CONCATENATE("_U2|",SUBSTITUTE(SUBSTITUTE(P111,"_","-"),"|","-"))),IF(Q111="","",CONCATENATE("_U3|",SUBSTITUTE(SUBSTITUTE(Q111,"_","-"),"|","-")))))</f>
        <v>#N/A</v>
      </c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2"/>
      <c r="N112" s="32"/>
      <c r="O112" s="32"/>
      <c r="P112" s="32"/>
      <c r="Q112" s="32"/>
      <c r="R112" s="33" t="str">
        <f>IF(K112="----","#N/A",CONCATENATE("MK|",(VLOOKUP(B112,Dictionary!$A:$B,2,0)),"_CH|",(VLOOKUP(C112,Dictionary!$AV:$AW,2,0)),"_DT|",(VLOOKUP(D112,Dictionary!$P:$Q,2,0)),"_PB|",(VLOOKUP(E112,Dictionary!$G:$H,2,0)),"_FM|",(VLOOKUP(F112,Dictionary!$S:$T,2,0)),"_RT|",(VLOOKUP(G112,Dictionary!$V:$W,2,0)),"_PD|",SUBSTITUTE(SUBSTITUTE(IF(H112="","NONE",H112),"_","-"),"|","-"),"_TG|",(VLOOKUP(I112,Dictionary!$J:$K,2,0)),"_ST|",(VLOOKUP(J112,Dictionary!$M:$N,2,0)),"_TS|",SUBSTITUTE(SUBSTITUTE(IF(K112="","NONE",K112),"_","-"),"|","-"),"_SZ|",(VLOOKUP(L112,Dictionary!$Y:$Z,1,0)),"_AD|",(VLOOKUP(M112,Dictionary!$AB:$AC,2,0)),"_IT|",(VLOOKUP(N112,Dictionary!$BC:$BD,2,0)),IF(O112="","",CONCATENATE("_U1|",SUBSTITUTE(SUBSTITUTE(O112,"_","-"),"|","-"))),IF(P112="","",CONCATENATE("_U2|",SUBSTITUTE(SUBSTITUTE(P112,"_","-"),"|","-"))),IF(Q112="","",CONCATENATE("_U3|",SUBSTITUTE(SUBSTITUTE(Q112,"_","-"),"|","-")))))</f>
        <v>#N/A</v>
      </c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2"/>
      <c r="N113" s="32"/>
      <c r="O113" s="32"/>
      <c r="P113" s="32"/>
      <c r="Q113" s="32"/>
      <c r="R113" s="33" t="str">
        <f>IF(K113="----","#N/A",CONCATENATE("MK|",(VLOOKUP(B113,Dictionary!$A:$B,2,0)),"_CH|",(VLOOKUP(C113,Dictionary!$AV:$AW,2,0)),"_DT|",(VLOOKUP(D113,Dictionary!$P:$Q,2,0)),"_PB|",(VLOOKUP(E113,Dictionary!$G:$H,2,0)),"_FM|",(VLOOKUP(F113,Dictionary!$S:$T,2,0)),"_RT|",(VLOOKUP(G113,Dictionary!$V:$W,2,0)),"_PD|",SUBSTITUTE(SUBSTITUTE(IF(H113="","NONE",H113),"_","-"),"|","-"),"_TG|",(VLOOKUP(I113,Dictionary!$J:$K,2,0)),"_ST|",(VLOOKUP(J113,Dictionary!$M:$N,2,0)),"_TS|",SUBSTITUTE(SUBSTITUTE(IF(K113="","NONE",K113),"_","-"),"|","-"),"_SZ|",(VLOOKUP(L113,Dictionary!$Y:$Z,1,0)),"_AD|",(VLOOKUP(M113,Dictionary!$AB:$AC,2,0)),"_IT|",(VLOOKUP(N113,Dictionary!$BC:$BD,2,0)),IF(O113="","",CONCATENATE("_U1|",SUBSTITUTE(SUBSTITUTE(O113,"_","-"),"|","-"))),IF(P113="","",CONCATENATE("_U2|",SUBSTITUTE(SUBSTITUTE(P113,"_","-"),"|","-"))),IF(Q113="","",CONCATENATE("_U3|",SUBSTITUTE(SUBSTITUTE(Q113,"_","-"),"|","-")))))</f>
        <v>#N/A</v>
      </c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2"/>
      <c r="N114" s="32"/>
      <c r="O114" s="32"/>
      <c r="P114" s="32"/>
      <c r="Q114" s="32"/>
      <c r="R114" s="33" t="str">
        <f>IF(K114="----","#N/A",CONCATENATE("MK|",(VLOOKUP(B114,Dictionary!$A:$B,2,0)),"_CH|",(VLOOKUP(C114,Dictionary!$AV:$AW,2,0)),"_DT|",(VLOOKUP(D114,Dictionary!$P:$Q,2,0)),"_PB|",(VLOOKUP(E114,Dictionary!$G:$H,2,0)),"_FM|",(VLOOKUP(F114,Dictionary!$S:$T,2,0)),"_RT|",(VLOOKUP(G114,Dictionary!$V:$W,2,0)),"_PD|",SUBSTITUTE(SUBSTITUTE(IF(H114="","NONE",H114),"_","-"),"|","-"),"_TG|",(VLOOKUP(I114,Dictionary!$J:$K,2,0)),"_ST|",(VLOOKUP(J114,Dictionary!$M:$N,2,0)),"_TS|",SUBSTITUTE(SUBSTITUTE(IF(K114="","NONE",K114),"_","-"),"|","-"),"_SZ|",(VLOOKUP(L114,Dictionary!$Y:$Z,1,0)),"_AD|",(VLOOKUP(M114,Dictionary!$AB:$AC,2,0)),"_IT|",(VLOOKUP(N114,Dictionary!$BC:$BD,2,0)),IF(O114="","",CONCATENATE("_U1|",SUBSTITUTE(SUBSTITUTE(O114,"_","-"),"|","-"))),IF(P114="","",CONCATENATE("_U2|",SUBSTITUTE(SUBSTITUTE(P114,"_","-"),"|","-"))),IF(Q114="","",CONCATENATE("_U3|",SUBSTITUTE(SUBSTITUTE(Q114,"_","-"),"|","-")))))</f>
        <v>#N/A</v>
      </c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2"/>
      <c r="N115" s="32"/>
      <c r="O115" s="32"/>
      <c r="P115" s="32"/>
      <c r="Q115" s="32"/>
      <c r="R115" s="33" t="str">
        <f>IF(K115="----","#N/A",CONCATENATE("MK|",(VLOOKUP(B115,Dictionary!$A:$B,2,0)),"_CH|",(VLOOKUP(C115,Dictionary!$AV:$AW,2,0)),"_DT|",(VLOOKUP(D115,Dictionary!$P:$Q,2,0)),"_PB|",(VLOOKUP(E115,Dictionary!$G:$H,2,0)),"_FM|",(VLOOKUP(F115,Dictionary!$S:$T,2,0)),"_RT|",(VLOOKUP(G115,Dictionary!$V:$W,2,0)),"_PD|",SUBSTITUTE(SUBSTITUTE(IF(H115="","NONE",H115),"_","-"),"|","-"),"_TG|",(VLOOKUP(I115,Dictionary!$J:$K,2,0)),"_ST|",(VLOOKUP(J115,Dictionary!$M:$N,2,0)),"_TS|",SUBSTITUTE(SUBSTITUTE(IF(K115="","NONE",K115),"_","-"),"|","-"),"_SZ|",(VLOOKUP(L115,Dictionary!$Y:$Z,1,0)),"_AD|",(VLOOKUP(M115,Dictionary!$AB:$AC,2,0)),"_IT|",(VLOOKUP(N115,Dictionary!$BC:$BD,2,0)),IF(O115="","",CONCATENATE("_U1|",SUBSTITUTE(SUBSTITUTE(O115,"_","-"),"|","-"))),IF(P115="","",CONCATENATE("_U2|",SUBSTITUTE(SUBSTITUTE(P115,"_","-"),"|","-"))),IF(Q115="","",CONCATENATE("_U3|",SUBSTITUTE(SUBSTITUTE(Q115,"_","-"),"|","-")))))</f>
        <v>#N/A</v>
      </c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2"/>
      <c r="N116" s="32"/>
      <c r="O116" s="32"/>
      <c r="P116" s="32"/>
      <c r="Q116" s="32"/>
      <c r="R116" s="33" t="str">
        <f>IF(K116="----","#N/A",CONCATENATE("MK|",(VLOOKUP(B116,Dictionary!$A:$B,2,0)),"_CH|",(VLOOKUP(C116,Dictionary!$AV:$AW,2,0)),"_DT|",(VLOOKUP(D116,Dictionary!$P:$Q,2,0)),"_PB|",(VLOOKUP(E116,Dictionary!$G:$H,2,0)),"_FM|",(VLOOKUP(F116,Dictionary!$S:$T,2,0)),"_RT|",(VLOOKUP(G116,Dictionary!$V:$W,2,0)),"_PD|",SUBSTITUTE(SUBSTITUTE(IF(H116="","NONE",H116),"_","-"),"|","-"),"_TG|",(VLOOKUP(I116,Dictionary!$J:$K,2,0)),"_ST|",(VLOOKUP(J116,Dictionary!$M:$N,2,0)),"_TS|",SUBSTITUTE(SUBSTITUTE(IF(K116="","NONE",K116),"_","-"),"|","-"),"_SZ|",(VLOOKUP(L116,Dictionary!$Y:$Z,1,0)),"_AD|",(VLOOKUP(M116,Dictionary!$AB:$AC,2,0)),"_IT|",(VLOOKUP(N116,Dictionary!$BC:$BD,2,0)),IF(O116="","",CONCATENATE("_U1|",SUBSTITUTE(SUBSTITUTE(O116,"_","-"),"|","-"))),IF(P116="","",CONCATENATE("_U2|",SUBSTITUTE(SUBSTITUTE(P116,"_","-"),"|","-"))),IF(Q116="","",CONCATENATE("_U3|",SUBSTITUTE(SUBSTITUTE(Q116,"_","-"),"|","-")))))</f>
        <v>#N/A</v>
      </c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2"/>
      <c r="N117" s="32"/>
      <c r="O117" s="32"/>
      <c r="P117" s="32"/>
      <c r="Q117" s="32"/>
      <c r="R117" s="33" t="str">
        <f>IF(K117="----","#N/A",CONCATENATE("MK|",(VLOOKUP(B117,Dictionary!$A:$B,2,0)),"_CH|",(VLOOKUP(C117,Dictionary!$AV:$AW,2,0)),"_DT|",(VLOOKUP(D117,Dictionary!$P:$Q,2,0)),"_PB|",(VLOOKUP(E117,Dictionary!$G:$H,2,0)),"_FM|",(VLOOKUP(F117,Dictionary!$S:$T,2,0)),"_RT|",(VLOOKUP(G117,Dictionary!$V:$W,2,0)),"_PD|",SUBSTITUTE(SUBSTITUTE(IF(H117="","NONE",H117),"_","-"),"|","-"),"_TG|",(VLOOKUP(I117,Dictionary!$J:$K,2,0)),"_ST|",(VLOOKUP(J117,Dictionary!$M:$N,2,0)),"_TS|",SUBSTITUTE(SUBSTITUTE(IF(K117="","NONE",K117),"_","-"),"|","-"),"_SZ|",(VLOOKUP(L117,Dictionary!$Y:$Z,1,0)),"_AD|",(VLOOKUP(M117,Dictionary!$AB:$AC,2,0)),"_IT|",(VLOOKUP(N117,Dictionary!$BC:$BD,2,0)),IF(O117="","",CONCATENATE("_U1|",SUBSTITUTE(SUBSTITUTE(O117,"_","-"),"|","-"))),IF(P117="","",CONCATENATE("_U2|",SUBSTITUTE(SUBSTITUTE(P117,"_","-"),"|","-"))),IF(Q117="","",CONCATENATE("_U3|",SUBSTITUTE(SUBSTITUTE(Q117,"_","-"),"|","-")))))</f>
        <v>#N/A</v>
      </c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2"/>
      <c r="N118" s="32"/>
      <c r="O118" s="32"/>
      <c r="P118" s="32"/>
      <c r="Q118" s="32"/>
      <c r="R118" s="33" t="str">
        <f>IF(K118="----","#N/A",CONCATENATE("MK|",(VLOOKUP(B118,Dictionary!$A:$B,2,0)),"_CH|",(VLOOKUP(C118,Dictionary!$AV:$AW,2,0)),"_DT|",(VLOOKUP(D118,Dictionary!$P:$Q,2,0)),"_PB|",(VLOOKUP(E118,Dictionary!$G:$H,2,0)),"_FM|",(VLOOKUP(F118,Dictionary!$S:$T,2,0)),"_RT|",(VLOOKUP(G118,Dictionary!$V:$W,2,0)),"_PD|",SUBSTITUTE(SUBSTITUTE(IF(H118="","NONE",H118),"_","-"),"|","-"),"_TG|",(VLOOKUP(I118,Dictionary!$J:$K,2,0)),"_ST|",(VLOOKUP(J118,Dictionary!$M:$N,2,0)),"_TS|",SUBSTITUTE(SUBSTITUTE(IF(K118="","NONE",K118),"_","-"),"|","-"),"_SZ|",(VLOOKUP(L118,Dictionary!$Y:$Z,1,0)),"_AD|",(VLOOKUP(M118,Dictionary!$AB:$AC,2,0)),"_IT|",(VLOOKUP(N118,Dictionary!$BC:$BD,2,0)),IF(O118="","",CONCATENATE("_U1|",SUBSTITUTE(SUBSTITUTE(O118,"_","-"),"|","-"))),IF(P118="","",CONCATENATE("_U2|",SUBSTITUTE(SUBSTITUTE(P118,"_","-"),"|","-"))),IF(Q118="","",CONCATENATE("_U3|",SUBSTITUTE(SUBSTITUTE(Q118,"_","-"),"|","-")))))</f>
        <v>#N/A</v>
      </c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2"/>
      <c r="N119" s="32"/>
      <c r="O119" s="32"/>
      <c r="P119" s="32"/>
      <c r="Q119" s="32"/>
      <c r="R119" s="33" t="str">
        <f>IF(K119="----","#N/A",CONCATENATE("MK|",(VLOOKUP(B119,Dictionary!$A:$B,2,0)),"_CH|",(VLOOKUP(C119,Dictionary!$AV:$AW,2,0)),"_DT|",(VLOOKUP(D119,Dictionary!$P:$Q,2,0)),"_PB|",(VLOOKUP(E119,Dictionary!$G:$H,2,0)),"_FM|",(VLOOKUP(F119,Dictionary!$S:$T,2,0)),"_RT|",(VLOOKUP(G119,Dictionary!$V:$W,2,0)),"_PD|",SUBSTITUTE(SUBSTITUTE(IF(H119="","NONE",H119),"_","-"),"|","-"),"_TG|",(VLOOKUP(I119,Dictionary!$J:$K,2,0)),"_ST|",(VLOOKUP(J119,Dictionary!$M:$N,2,0)),"_TS|",SUBSTITUTE(SUBSTITUTE(IF(K119="","NONE",K119),"_","-"),"|","-"),"_SZ|",(VLOOKUP(L119,Dictionary!$Y:$Z,1,0)),"_AD|",(VLOOKUP(M119,Dictionary!$AB:$AC,2,0)),"_IT|",(VLOOKUP(N119,Dictionary!$BC:$BD,2,0)),IF(O119="","",CONCATENATE("_U1|",SUBSTITUTE(SUBSTITUTE(O119,"_","-"),"|","-"))),IF(P119="","",CONCATENATE("_U2|",SUBSTITUTE(SUBSTITUTE(P119,"_","-"),"|","-"))),IF(Q119="","",CONCATENATE("_U3|",SUBSTITUTE(SUBSTITUTE(Q119,"_","-"),"|","-")))))</f>
        <v>#N/A</v>
      </c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2"/>
      <c r="N120" s="32"/>
      <c r="O120" s="32"/>
      <c r="P120" s="32"/>
      <c r="Q120" s="32"/>
      <c r="R120" s="33" t="str">
        <f>IF(K120="----","#N/A",CONCATENATE("MK|",(VLOOKUP(B120,Dictionary!$A:$B,2,0)),"_CH|",(VLOOKUP(C120,Dictionary!$AV:$AW,2,0)),"_DT|",(VLOOKUP(D120,Dictionary!$P:$Q,2,0)),"_PB|",(VLOOKUP(E120,Dictionary!$G:$H,2,0)),"_FM|",(VLOOKUP(F120,Dictionary!$S:$T,2,0)),"_RT|",(VLOOKUP(G120,Dictionary!$V:$W,2,0)),"_PD|",SUBSTITUTE(SUBSTITUTE(IF(H120="","NONE",H120),"_","-"),"|","-"),"_TG|",(VLOOKUP(I120,Dictionary!$J:$K,2,0)),"_ST|",(VLOOKUP(J120,Dictionary!$M:$N,2,0)),"_TS|",SUBSTITUTE(SUBSTITUTE(IF(K120="","NONE",K120),"_","-"),"|","-"),"_SZ|",(VLOOKUP(L120,Dictionary!$Y:$Z,1,0)),"_AD|",(VLOOKUP(M120,Dictionary!$AB:$AC,2,0)),"_IT|",(VLOOKUP(N120,Dictionary!$BC:$BD,2,0)),IF(O120="","",CONCATENATE("_U1|",SUBSTITUTE(SUBSTITUTE(O120,"_","-"),"|","-"))),IF(P120="","",CONCATENATE("_U2|",SUBSTITUTE(SUBSTITUTE(P120,"_","-"),"|","-"))),IF(Q120="","",CONCATENATE("_U3|",SUBSTITUTE(SUBSTITUTE(Q120,"_","-"),"|","-")))))</f>
        <v>#N/A</v>
      </c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2"/>
      <c r="N121" s="32"/>
      <c r="O121" s="32"/>
      <c r="P121" s="32"/>
      <c r="Q121" s="32"/>
      <c r="R121" s="33" t="str">
        <f>IF(K121="----","#N/A",CONCATENATE("MK|",(VLOOKUP(B121,Dictionary!$A:$B,2,0)),"_CH|",(VLOOKUP(C121,Dictionary!$AV:$AW,2,0)),"_DT|",(VLOOKUP(D121,Dictionary!$P:$Q,2,0)),"_PB|",(VLOOKUP(E121,Dictionary!$G:$H,2,0)),"_FM|",(VLOOKUP(F121,Dictionary!$S:$T,2,0)),"_RT|",(VLOOKUP(G121,Dictionary!$V:$W,2,0)),"_PD|",SUBSTITUTE(SUBSTITUTE(IF(H121="","NONE",H121),"_","-"),"|","-"),"_TG|",(VLOOKUP(I121,Dictionary!$J:$K,2,0)),"_ST|",(VLOOKUP(J121,Dictionary!$M:$N,2,0)),"_TS|",SUBSTITUTE(SUBSTITUTE(IF(K121="","NONE",K121),"_","-"),"|","-"),"_SZ|",(VLOOKUP(L121,Dictionary!$Y:$Z,1,0)),"_AD|",(VLOOKUP(M121,Dictionary!$AB:$AC,2,0)),"_IT|",(VLOOKUP(N121,Dictionary!$BC:$BD,2,0)),IF(O121="","",CONCATENATE("_U1|",SUBSTITUTE(SUBSTITUTE(O121,"_","-"),"|","-"))),IF(P121="","",CONCATENATE("_U2|",SUBSTITUTE(SUBSTITUTE(P121,"_","-"),"|","-"))),IF(Q121="","",CONCATENATE("_U3|",SUBSTITUTE(SUBSTITUTE(Q121,"_","-"),"|","-")))))</f>
        <v>#N/A</v>
      </c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2"/>
      <c r="N122" s="32"/>
      <c r="O122" s="32"/>
      <c r="P122" s="32"/>
      <c r="Q122" s="32"/>
      <c r="R122" s="33" t="str">
        <f>IF(K122="----","#N/A",CONCATENATE("MK|",(VLOOKUP(B122,Dictionary!$A:$B,2,0)),"_CH|",(VLOOKUP(C122,Dictionary!$AV:$AW,2,0)),"_DT|",(VLOOKUP(D122,Dictionary!$P:$Q,2,0)),"_PB|",(VLOOKUP(E122,Dictionary!$G:$H,2,0)),"_FM|",(VLOOKUP(F122,Dictionary!$S:$T,2,0)),"_RT|",(VLOOKUP(G122,Dictionary!$V:$W,2,0)),"_PD|",SUBSTITUTE(SUBSTITUTE(IF(H122="","NONE",H122),"_","-"),"|","-"),"_TG|",(VLOOKUP(I122,Dictionary!$J:$K,2,0)),"_ST|",(VLOOKUP(J122,Dictionary!$M:$N,2,0)),"_TS|",SUBSTITUTE(SUBSTITUTE(IF(K122="","NONE",K122),"_","-"),"|","-"),"_SZ|",(VLOOKUP(L122,Dictionary!$Y:$Z,1,0)),"_AD|",(VLOOKUP(M122,Dictionary!$AB:$AC,2,0)),"_IT|",(VLOOKUP(N122,Dictionary!$BC:$BD,2,0)),IF(O122="","",CONCATENATE("_U1|",SUBSTITUTE(SUBSTITUTE(O122,"_","-"),"|","-"))),IF(P122="","",CONCATENATE("_U2|",SUBSTITUTE(SUBSTITUTE(P122,"_","-"),"|","-"))),IF(Q122="","",CONCATENATE("_U3|",SUBSTITUTE(SUBSTITUTE(Q122,"_","-"),"|","-")))))</f>
        <v>#N/A</v>
      </c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2"/>
      <c r="N123" s="32"/>
      <c r="O123" s="32"/>
      <c r="P123" s="32"/>
      <c r="Q123" s="32"/>
      <c r="R123" s="33" t="str">
        <f>IF(K123="----","#N/A",CONCATENATE("MK|",(VLOOKUP(B123,Dictionary!$A:$B,2,0)),"_CH|",(VLOOKUP(C123,Dictionary!$AV:$AW,2,0)),"_DT|",(VLOOKUP(D123,Dictionary!$P:$Q,2,0)),"_PB|",(VLOOKUP(E123,Dictionary!$G:$H,2,0)),"_FM|",(VLOOKUP(F123,Dictionary!$S:$T,2,0)),"_RT|",(VLOOKUP(G123,Dictionary!$V:$W,2,0)),"_PD|",SUBSTITUTE(SUBSTITUTE(IF(H123="","NONE",H123),"_","-"),"|","-"),"_TG|",(VLOOKUP(I123,Dictionary!$J:$K,2,0)),"_ST|",(VLOOKUP(J123,Dictionary!$M:$N,2,0)),"_TS|",SUBSTITUTE(SUBSTITUTE(IF(K123="","NONE",K123),"_","-"),"|","-"),"_SZ|",(VLOOKUP(L123,Dictionary!$Y:$Z,1,0)),"_AD|",(VLOOKUP(M123,Dictionary!$AB:$AC,2,0)),"_IT|",(VLOOKUP(N123,Dictionary!$BC:$BD,2,0)),IF(O123="","",CONCATENATE("_U1|",SUBSTITUTE(SUBSTITUTE(O123,"_","-"),"|","-"))),IF(P123="","",CONCATENATE("_U2|",SUBSTITUTE(SUBSTITUTE(P123,"_","-"),"|","-"))),IF(Q123="","",CONCATENATE("_U3|",SUBSTITUTE(SUBSTITUTE(Q123,"_","-"),"|","-")))))</f>
        <v>#N/A</v>
      </c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2"/>
      <c r="N124" s="32"/>
      <c r="O124" s="32"/>
      <c r="P124" s="32"/>
      <c r="Q124" s="32"/>
      <c r="R124" s="33" t="str">
        <f>IF(K124="----","#N/A",CONCATENATE("MK|",(VLOOKUP(B124,Dictionary!$A:$B,2,0)),"_CH|",(VLOOKUP(C124,Dictionary!$AV:$AW,2,0)),"_DT|",(VLOOKUP(D124,Dictionary!$P:$Q,2,0)),"_PB|",(VLOOKUP(E124,Dictionary!$G:$H,2,0)),"_FM|",(VLOOKUP(F124,Dictionary!$S:$T,2,0)),"_RT|",(VLOOKUP(G124,Dictionary!$V:$W,2,0)),"_PD|",SUBSTITUTE(SUBSTITUTE(IF(H124="","NONE",H124),"_","-"),"|","-"),"_TG|",(VLOOKUP(I124,Dictionary!$J:$K,2,0)),"_ST|",(VLOOKUP(J124,Dictionary!$M:$N,2,0)),"_TS|",SUBSTITUTE(SUBSTITUTE(IF(K124="","NONE",K124),"_","-"),"|","-"),"_SZ|",(VLOOKUP(L124,Dictionary!$Y:$Z,1,0)),"_AD|",(VLOOKUP(M124,Dictionary!$AB:$AC,2,0)),"_IT|",(VLOOKUP(N124,Dictionary!$BC:$BD,2,0)),IF(O124="","",CONCATENATE("_U1|",SUBSTITUTE(SUBSTITUTE(O124,"_","-"),"|","-"))),IF(P124="","",CONCATENATE("_U2|",SUBSTITUTE(SUBSTITUTE(P124,"_","-"),"|","-"))),IF(Q124="","",CONCATENATE("_U3|",SUBSTITUTE(SUBSTITUTE(Q124,"_","-"),"|","-")))))</f>
        <v>#N/A</v>
      </c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2"/>
      <c r="N125" s="32"/>
      <c r="O125" s="32"/>
      <c r="P125" s="32"/>
      <c r="Q125" s="32"/>
      <c r="R125" s="33" t="str">
        <f>IF(K125="----","#N/A",CONCATENATE("MK|",(VLOOKUP(B125,Dictionary!$A:$B,2,0)),"_CH|",(VLOOKUP(C125,Dictionary!$AV:$AW,2,0)),"_DT|",(VLOOKUP(D125,Dictionary!$P:$Q,2,0)),"_PB|",(VLOOKUP(E125,Dictionary!$G:$H,2,0)),"_FM|",(VLOOKUP(F125,Dictionary!$S:$T,2,0)),"_RT|",(VLOOKUP(G125,Dictionary!$V:$W,2,0)),"_PD|",SUBSTITUTE(SUBSTITUTE(IF(H125="","NONE",H125),"_","-"),"|","-"),"_TG|",(VLOOKUP(I125,Dictionary!$J:$K,2,0)),"_ST|",(VLOOKUP(J125,Dictionary!$M:$N,2,0)),"_TS|",SUBSTITUTE(SUBSTITUTE(IF(K125="","NONE",K125),"_","-"),"|","-"),"_SZ|",(VLOOKUP(L125,Dictionary!$Y:$Z,1,0)),"_AD|",(VLOOKUP(M125,Dictionary!$AB:$AC,2,0)),"_IT|",(VLOOKUP(N125,Dictionary!$BC:$BD,2,0)),IF(O125="","",CONCATENATE("_U1|",SUBSTITUTE(SUBSTITUTE(O125,"_","-"),"|","-"))),IF(P125="","",CONCATENATE("_U2|",SUBSTITUTE(SUBSTITUTE(P125,"_","-"),"|","-"))),IF(Q125="","",CONCATENATE("_U3|",SUBSTITUTE(SUBSTITUTE(Q125,"_","-"),"|","-")))))</f>
        <v>#N/A</v>
      </c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2"/>
      <c r="N126" s="32"/>
      <c r="O126" s="32"/>
      <c r="P126" s="32"/>
      <c r="Q126" s="32"/>
      <c r="R126" s="33" t="str">
        <f>IF(K126="----","#N/A",CONCATENATE("MK|",(VLOOKUP(B126,Dictionary!$A:$B,2,0)),"_CH|",(VLOOKUP(C126,Dictionary!$AV:$AW,2,0)),"_DT|",(VLOOKUP(D126,Dictionary!$P:$Q,2,0)),"_PB|",(VLOOKUP(E126,Dictionary!$G:$H,2,0)),"_FM|",(VLOOKUP(F126,Dictionary!$S:$T,2,0)),"_RT|",(VLOOKUP(G126,Dictionary!$V:$W,2,0)),"_PD|",SUBSTITUTE(SUBSTITUTE(IF(H126="","NONE",H126),"_","-"),"|","-"),"_TG|",(VLOOKUP(I126,Dictionary!$J:$K,2,0)),"_ST|",(VLOOKUP(J126,Dictionary!$M:$N,2,0)),"_TS|",SUBSTITUTE(SUBSTITUTE(IF(K126="","NONE",K126),"_","-"),"|","-"),"_SZ|",(VLOOKUP(L126,Dictionary!$Y:$Z,1,0)),"_AD|",(VLOOKUP(M126,Dictionary!$AB:$AC,2,0)),"_IT|",(VLOOKUP(N126,Dictionary!$BC:$BD,2,0)),IF(O126="","",CONCATENATE("_U1|",SUBSTITUTE(SUBSTITUTE(O126,"_","-"),"|","-"))),IF(P126="","",CONCATENATE("_U2|",SUBSTITUTE(SUBSTITUTE(P126,"_","-"),"|","-"))),IF(Q126="","",CONCATENATE("_U3|",SUBSTITUTE(SUBSTITUTE(Q126,"_","-"),"|","-")))))</f>
        <v>#N/A</v>
      </c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2"/>
      <c r="N127" s="32"/>
      <c r="O127" s="32"/>
      <c r="P127" s="32"/>
      <c r="Q127" s="32"/>
      <c r="R127" s="33" t="str">
        <f>IF(K127="----","#N/A",CONCATENATE("MK|",(VLOOKUP(B127,Dictionary!$A:$B,2,0)),"_CH|",(VLOOKUP(C127,Dictionary!$AV:$AW,2,0)),"_DT|",(VLOOKUP(D127,Dictionary!$P:$Q,2,0)),"_PB|",(VLOOKUP(E127,Dictionary!$G:$H,2,0)),"_FM|",(VLOOKUP(F127,Dictionary!$S:$T,2,0)),"_RT|",(VLOOKUP(G127,Dictionary!$V:$W,2,0)),"_PD|",SUBSTITUTE(SUBSTITUTE(IF(H127="","NONE",H127),"_","-"),"|","-"),"_TG|",(VLOOKUP(I127,Dictionary!$J:$K,2,0)),"_ST|",(VLOOKUP(J127,Dictionary!$M:$N,2,0)),"_TS|",SUBSTITUTE(SUBSTITUTE(IF(K127="","NONE",K127),"_","-"),"|","-"),"_SZ|",(VLOOKUP(L127,Dictionary!$Y:$Z,1,0)),"_AD|",(VLOOKUP(M127,Dictionary!$AB:$AC,2,0)),"_IT|",(VLOOKUP(N127,Dictionary!$BC:$BD,2,0)),IF(O127="","",CONCATENATE("_U1|",SUBSTITUTE(SUBSTITUTE(O127,"_","-"),"|","-"))),IF(P127="","",CONCATENATE("_U2|",SUBSTITUTE(SUBSTITUTE(P127,"_","-"),"|","-"))),IF(Q127="","",CONCATENATE("_U3|",SUBSTITUTE(SUBSTITUTE(Q127,"_","-"),"|","-")))))</f>
        <v>#N/A</v>
      </c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2"/>
      <c r="N128" s="32"/>
      <c r="O128" s="32"/>
      <c r="P128" s="32"/>
      <c r="Q128" s="32"/>
      <c r="R128" s="33" t="str">
        <f>IF(K128="----","#N/A",CONCATENATE("MK|",(VLOOKUP(B128,Dictionary!$A:$B,2,0)),"_CH|",(VLOOKUP(C128,Dictionary!$AV:$AW,2,0)),"_DT|",(VLOOKUP(D128,Dictionary!$P:$Q,2,0)),"_PB|",(VLOOKUP(E128,Dictionary!$G:$H,2,0)),"_FM|",(VLOOKUP(F128,Dictionary!$S:$T,2,0)),"_RT|",(VLOOKUP(G128,Dictionary!$V:$W,2,0)),"_PD|",SUBSTITUTE(SUBSTITUTE(IF(H128="","NONE",H128),"_","-"),"|","-"),"_TG|",(VLOOKUP(I128,Dictionary!$J:$K,2,0)),"_ST|",(VLOOKUP(J128,Dictionary!$M:$N,2,0)),"_TS|",SUBSTITUTE(SUBSTITUTE(IF(K128="","NONE",K128),"_","-"),"|","-"),"_SZ|",(VLOOKUP(L128,Dictionary!$Y:$Z,1,0)),"_AD|",(VLOOKUP(M128,Dictionary!$AB:$AC,2,0)),"_IT|",(VLOOKUP(N128,Dictionary!$BC:$BD,2,0)),IF(O128="","",CONCATENATE("_U1|",SUBSTITUTE(SUBSTITUTE(O128,"_","-"),"|","-"))),IF(P128="","",CONCATENATE("_U2|",SUBSTITUTE(SUBSTITUTE(P128,"_","-"),"|","-"))),IF(Q128="","",CONCATENATE("_U3|",SUBSTITUTE(SUBSTITUTE(Q128,"_","-"),"|","-")))))</f>
        <v>#N/A</v>
      </c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2"/>
      <c r="N129" s="32"/>
      <c r="O129" s="32"/>
      <c r="P129" s="32"/>
      <c r="Q129" s="32"/>
      <c r="R129" s="33" t="str">
        <f>IF(K129="----","#N/A",CONCATENATE("MK|",(VLOOKUP(B129,Dictionary!$A:$B,2,0)),"_CH|",(VLOOKUP(C129,Dictionary!$AV:$AW,2,0)),"_DT|",(VLOOKUP(D129,Dictionary!$P:$Q,2,0)),"_PB|",(VLOOKUP(E129,Dictionary!$G:$H,2,0)),"_FM|",(VLOOKUP(F129,Dictionary!$S:$T,2,0)),"_RT|",(VLOOKUP(G129,Dictionary!$V:$W,2,0)),"_PD|",SUBSTITUTE(SUBSTITUTE(IF(H129="","NONE",H129),"_","-"),"|","-"),"_TG|",(VLOOKUP(I129,Dictionary!$J:$K,2,0)),"_ST|",(VLOOKUP(J129,Dictionary!$M:$N,2,0)),"_TS|",SUBSTITUTE(SUBSTITUTE(IF(K129="","NONE",K129),"_","-"),"|","-"),"_SZ|",(VLOOKUP(L129,Dictionary!$Y:$Z,1,0)),"_AD|",(VLOOKUP(M129,Dictionary!$AB:$AC,2,0)),"_IT|",(VLOOKUP(N129,Dictionary!$BC:$BD,2,0)),IF(O129="","",CONCATENATE("_U1|",SUBSTITUTE(SUBSTITUTE(O129,"_","-"),"|","-"))),IF(P129="","",CONCATENATE("_U2|",SUBSTITUTE(SUBSTITUTE(P129,"_","-"),"|","-"))),IF(Q129="","",CONCATENATE("_U3|",SUBSTITUTE(SUBSTITUTE(Q129,"_","-"),"|","-")))))</f>
        <v>#N/A</v>
      </c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2"/>
      <c r="N130" s="32"/>
      <c r="O130" s="32"/>
      <c r="P130" s="32"/>
      <c r="Q130" s="32"/>
      <c r="R130" s="33" t="str">
        <f>IF(K130="----","#N/A",CONCATENATE("MK|",(VLOOKUP(B130,Dictionary!$A:$B,2,0)),"_CH|",(VLOOKUP(C130,Dictionary!$AV:$AW,2,0)),"_DT|",(VLOOKUP(D130,Dictionary!$P:$Q,2,0)),"_PB|",(VLOOKUP(E130,Dictionary!$G:$H,2,0)),"_FM|",(VLOOKUP(F130,Dictionary!$S:$T,2,0)),"_RT|",(VLOOKUP(G130,Dictionary!$V:$W,2,0)),"_PD|",SUBSTITUTE(SUBSTITUTE(IF(H130="","NONE",H130),"_","-"),"|","-"),"_TG|",(VLOOKUP(I130,Dictionary!$J:$K,2,0)),"_ST|",(VLOOKUP(J130,Dictionary!$M:$N,2,0)),"_TS|",SUBSTITUTE(SUBSTITUTE(IF(K130="","NONE",K130),"_","-"),"|","-"),"_SZ|",(VLOOKUP(L130,Dictionary!$Y:$Z,1,0)),"_AD|",(VLOOKUP(M130,Dictionary!$AB:$AC,2,0)),"_IT|",(VLOOKUP(N130,Dictionary!$BC:$BD,2,0)),IF(O130="","",CONCATENATE("_U1|",SUBSTITUTE(SUBSTITUTE(O130,"_","-"),"|","-"))),IF(P130="","",CONCATENATE("_U2|",SUBSTITUTE(SUBSTITUTE(P130,"_","-"),"|","-"))),IF(Q130="","",CONCATENATE("_U3|",SUBSTITUTE(SUBSTITUTE(Q130,"_","-"),"|","-")))))</f>
        <v>#N/A</v>
      </c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2"/>
      <c r="N131" s="32"/>
      <c r="O131" s="32"/>
      <c r="P131" s="32"/>
      <c r="Q131" s="32"/>
      <c r="R131" s="33" t="str">
        <f>IF(K131="----","#N/A",CONCATENATE("MK|",(VLOOKUP(B131,Dictionary!$A:$B,2,0)),"_CH|",(VLOOKUP(C131,Dictionary!$AV:$AW,2,0)),"_DT|",(VLOOKUP(D131,Dictionary!$P:$Q,2,0)),"_PB|",(VLOOKUP(E131,Dictionary!$G:$H,2,0)),"_FM|",(VLOOKUP(F131,Dictionary!$S:$T,2,0)),"_RT|",(VLOOKUP(G131,Dictionary!$V:$W,2,0)),"_PD|",SUBSTITUTE(SUBSTITUTE(IF(H131="","NONE",H131),"_","-"),"|","-"),"_TG|",(VLOOKUP(I131,Dictionary!$J:$K,2,0)),"_ST|",(VLOOKUP(J131,Dictionary!$M:$N,2,0)),"_TS|",SUBSTITUTE(SUBSTITUTE(IF(K131="","NONE",K131),"_","-"),"|","-"),"_SZ|",(VLOOKUP(L131,Dictionary!$Y:$Z,1,0)),"_AD|",(VLOOKUP(M131,Dictionary!$AB:$AC,2,0)),"_IT|",(VLOOKUP(N131,Dictionary!$BC:$BD,2,0)),IF(O131="","",CONCATENATE("_U1|",SUBSTITUTE(SUBSTITUTE(O131,"_","-"),"|","-"))),IF(P131="","",CONCATENATE("_U2|",SUBSTITUTE(SUBSTITUTE(P131,"_","-"),"|","-"))),IF(Q131="","",CONCATENATE("_U3|",SUBSTITUTE(SUBSTITUTE(Q131,"_","-"),"|","-")))))</f>
        <v>#N/A</v>
      </c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2"/>
      <c r="N132" s="32"/>
      <c r="O132" s="32"/>
      <c r="P132" s="32"/>
      <c r="Q132" s="32"/>
      <c r="R132" s="33" t="str">
        <f>IF(K132="----","#N/A",CONCATENATE("MK|",(VLOOKUP(B132,Dictionary!$A:$B,2,0)),"_CH|",(VLOOKUP(C132,Dictionary!$AV:$AW,2,0)),"_DT|",(VLOOKUP(D132,Dictionary!$P:$Q,2,0)),"_PB|",(VLOOKUP(E132,Dictionary!$G:$H,2,0)),"_FM|",(VLOOKUP(F132,Dictionary!$S:$T,2,0)),"_RT|",(VLOOKUP(G132,Dictionary!$V:$W,2,0)),"_PD|",SUBSTITUTE(SUBSTITUTE(IF(H132="","NONE",H132),"_","-"),"|","-"),"_TG|",(VLOOKUP(I132,Dictionary!$J:$K,2,0)),"_ST|",(VLOOKUP(J132,Dictionary!$M:$N,2,0)),"_TS|",SUBSTITUTE(SUBSTITUTE(IF(K132="","NONE",K132),"_","-"),"|","-"),"_SZ|",(VLOOKUP(L132,Dictionary!$Y:$Z,1,0)),"_AD|",(VLOOKUP(M132,Dictionary!$AB:$AC,2,0)),"_IT|",(VLOOKUP(N132,Dictionary!$BC:$BD,2,0)),IF(O132="","",CONCATENATE("_U1|",SUBSTITUTE(SUBSTITUTE(O132,"_","-"),"|","-"))),IF(P132="","",CONCATENATE("_U2|",SUBSTITUTE(SUBSTITUTE(P132,"_","-"),"|","-"))),IF(Q132="","",CONCATENATE("_U3|",SUBSTITUTE(SUBSTITUTE(Q132,"_","-"),"|","-")))))</f>
        <v>#N/A</v>
      </c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2"/>
      <c r="N133" s="32"/>
      <c r="O133" s="32"/>
      <c r="P133" s="32"/>
      <c r="Q133" s="32"/>
      <c r="R133" s="33" t="str">
        <f>IF(K133="----","#N/A",CONCATENATE("MK|",(VLOOKUP(B133,Dictionary!$A:$B,2,0)),"_CH|",(VLOOKUP(C133,Dictionary!$AV:$AW,2,0)),"_DT|",(VLOOKUP(D133,Dictionary!$P:$Q,2,0)),"_PB|",(VLOOKUP(E133,Dictionary!$G:$H,2,0)),"_FM|",(VLOOKUP(F133,Dictionary!$S:$T,2,0)),"_RT|",(VLOOKUP(G133,Dictionary!$V:$W,2,0)),"_PD|",SUBSTITUTE(SUBSTITUTE(IF(H133="","NONE",H133),"_","-"),"|","-"),"_TG|",(VLOOKUP(I133,Dictionary!$J:$K,2,0)),"_ST|",(VLOOKUP(J133,Dictionary!$M:$N,2,0)),"_TS|",SUBSTITUTE(SUBSTITUTE(IF(K133="","NONE",K133),"_","-"),"|","-"),"_SZ|",(VLOOKUP(L133,Dictionary!$Y:$Z,1,0)),"_AD|",(VLOOKUP(M133,Dictionary!$AB:$AC,2,0)),"_IT|",(VLOOKUP(N133,Dictionary!$BC:$BD,2,0)),IF(O133="","",CONCATENATE("_U1|",SUBSTITUTE(SUBSTITUTE(O133,"_","-"),"|","-"))),IF(P133="","",CONCATENATE("_U2|",SUBSTITUTE(SUBSTITUTE(P133,"_","-"),"|","-"))),IF(Q133="","",CONCATENATE("_U3|",SUBSTITUTE(SUBSTITUTE(Q133,"_","-"),"|","-")))))</f>
        <v>#N/A</v>
      </c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2"/>
      <c r="N134" s="32"/>
      <c r="O134" s="32"/>
      <c r="P134" s="32"/>
      <c r="Q134" s="32"/>
      <c r="R134" s="33" t="str">
        <f>IF(K134="----","#N/A",CONCATENATE("MK|",(VLOOKUP(B134,Dictionary!$A:$B,2,0)),"_CH|",(VLOOKUP(C134,Dictionary!$AV:$AW,2,0)),"_DT|",(VLOOKUP(D134,Dictionary!$P:$Q,2,0)),"_PB|",(VLOOKUP(E134,Dictionary!$G:$H,2,0)),"_FM|",(VLOOKUP(F134,Dictionary!$S:$T,2,0)),"_RT|",(VLOOKUP(G134,Dictionary!$V:$W,2,0)),"_PD|",SUBSTITUTE(SUBSTITUTE(IF(H134="","NONE",H134),"_","-"),"|","-"),"_TG|",(VLOOKUP(I134,Dictionary!$J:$K,2,0)),"_ST|",(VLOOKUP(J134,Dictionary!$M:$N,2,0)),"_TS|",SUBSTITUTE(SUBSTITUTE(IF(K134="","NONE",K134),"_","-"),"|","-"),"_SZ|",(VLOOKUP(L134,Dictionary!$Y:$Z,1,0)),"_AD|",(VLOOKUP(M134,Dictionary!$AB:$AC,2,0)),"_IT|",(VLOOKUP(N134,Dictionary!$BC:$BD,2,0)),IF(O134="","",CONCATENATE("_U1|",SUBSTITUTE(SUBSTITUTE(O134,"_","-"),"|","-"))),IF(P134="","",CONCATENATE("_U2|",SUBSTITUTE(SUBSTITUTE(P134,"_","-"),"|","-"))),IF(Q134="","",CONCATENATE("_U3|",SUBSTITUTE(SUBSTITUTE(Q134,"_","-"),"|","-")))))</f>
        <v>#N/A</v>
      </c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2"/>
      <c r="N135" s="32"/>
      <c r="O135" s="32"/>
      <c r="P135" s="32"/>
      <c r="Q135" s="32"/>
      <c r="R135" s="33" t="str">
        <f>IF(K135="----","#N/A",CONCATENATE("MK|",(VLOOKUP(B135,Dictionary!$A:$B,2,0)),"_CH|",(VLOOKUP(C135,Dictionary!$AV:$AW,2,0)),"_DT|",(VLOOKUP(D135,Dictionary!$P:$Q,2,0)),"_PB|",(VLOOKUP(E135,Dictionary!$G:$H,2,0)),"_FM|",(VLOOKUP(F135,Dictionary!$S:$T,2,0)),"_RT|",(VLOOKUP(G135,Dictionary!$V:$W,2,0)),"_PD|",SUBSTITUTE(SUBSTITUTE(IF(H135="","NONE",H135),"_","-"),"|","-"),"_TG|",(VLOOKUP(I135,Dictionary!$J:$K,2,0)),"_ST|",(VLOOKUP(J135,Dictionary!$M:$N,2,0)),"_TS|",SUBSTITUTE(SUBSTITUTE(IF(K135="","NONE",K135),"_","-"),"|","-"),"_SZ|",(VLOOKUP(L135,Dictionary!$Y:$Z,1,0)),"_AD|",(VLOOKUP(M135,Dictionary!$AB:$AC,2,0)),"_IT|",(VLOOKUP(N135,Dictionary!$BC:$BD,2,0)),IF(O135="","",CONCATENATE("_U1|",SUBSTITUTE(SUBSTITUTE(O135,"_","-"),"|","-"))),IF(P135="","",CONCATENATE("_U2|",SUBSTITUTE(SUBSTITUTE(P135,"_","-"),"|","-"))),IF(Q135="","",CONCATENATE("_U3|",SUBSTITUTE(SUBSTITUTE(Q135,"_","-"),"|","-")))))</f>
        <v>#N/A</v>
      </c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2"/>
      <c r="N136" s="32"/>
      <c r="O136" s="32"/>
      <c r="P136" s="32"/>
      <c r="Q136" s="32"/>
      <c r="R136" s="33" t="str">
        <f>IF(K136="----","#N/A",CONCATENATE("MK|",(VLOOKUP(B136,Dictionary!$A:$B,2,0)),"_CH|",(VLOOKUP(C136,Dictionary!$AV:$AW,2,0)),"_DT|",(VLOOKUP(D136,Dictionary!$P:$Q,2,0)),"_PB|",(VLOOKUP(E136,Dictionary!$G:$H,2,0)),"_FM|",(VLOOKUP(F136,Dictionary!$S:$T,2,0)),"_RT|",(VLOOKUP(G136,Dictionary!$V:$W,2,0)),"_PD|",SUBSTITUTE(SUBSTITUTE(IF(H136="","NONE",H136),"_","-"),"|","-"),"_TG|",(VLOOKUP(I136,Dictionary!$J:$K,2,0)),"_ST|",(VLOOKUP(J136,Dictionary!$M:$N,2,0)),"_TS|",SUBSTITUTE(SUBSTITUTE(IF(K136="","NONE",K136),"_","-"),"|","-"),"_SZ|",(VLOOKUP(L136,Dictionary!$Y:$Z,1,0)),"_AD|",(VLOOKUP(M136,Dictionary!$AB:$AC,2,0)),"_IT|",(VLOOKUP(N136,Dictionary!$BC:$BD,2,0)),IF(O136="","",CONCATENATE("_U1|",SUBSTITUTE(SUBSTITUTE(O136,"_","-"),"|","-"))),IF(P136="","",CONCATENATE("_U2|",SUBSTITUTE(SUBSTITUTE(P136,"_","-"),"|","-"))),IF(Q136="","",CONCATENATE("_U3|",SUBSTITUTE(SUBSTITUTE(Q136,"_","-"),"|","-")))))</f>
        <v>#N/A</v>
      </c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2"/>
      <c r="N137" s="32"/>
      <c r="O137" s="32"/>
      <c r="P137" s="32"/>
      <c r="Q137" s="32"/>
      <c r="R137" s="33" t="str">
        <f>IF(K137="----","#N/A",CONCATENATE("MK|",(VLOOKUP(B137,Dictionary!$A:$B,2,0)),"_CH|",(VLOOKUP(C137,Dictionary!$AV:$AW,2,0)),"_DT|",(VLOOKUP(D137,Dictionary!$P:$Q,2,0)),"_PB|",(VLOOKUP(E137,Dictionary!$G:$H,2,0)),"_FM|",(VLOOKUP(F137,Dictionary!$S:$T,2,0)),"_RT|",(VLOOKUP(G137,Dictionary!$V:$W,2,0)),"_PD|",SUBSTITUTE(SUBSTITUTE(IF(H137="","NONE",H137),"_","-"),"|","-"),"_TG|",(VLOOKUP(I137,Dictionary!$J:$K,2,0)),"_ST|",(VLOOKUP(J137,Dictionary!$M:$N,2,0)),"_TS|",SUBSTITUTE(SUBSTITUTE(IF(K137="","NONE",K137),"_","-"),"|","-"),"_SZ|",(VLOOKUP(L137,Dictionary!$Y:$Z,1,0)),"_AD|",(VLOOKUP(M137,Dictionary!$AB:$AC,2,0)),"_IT|",(VLOOKUP(N137,Dictionary!$BC:$BD,2,0)),IF(O137="","",CONCATENATE("_U1|",SUBSTITUTE(SUBSTITUTE(O137,"_","-"),"|","-"))),IF(P137="","",CONCATENATE("_U2|",SUBSTITUTE(SUBSTITUTE(P137,"_","-"),"|","-"))),IF(Q137="","",CONCATENATE("_U3|",SUBSTITUTE(SUBSTITUTE(Q137,"_","-"),"|","-")))))</f>
        <v>#N/A</v>
      </c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2"/>
      <c r="N138" s="32"/>
      <c r="O138" s="32"/>
      <c r="P138" s="32"/>
      <c r="Q138" s="32"/>
      <c r="R138" s="33" t="str">
        <f>IF(K138="----","#N/A",CONCATENATE("MK|",(VLOOKUP(B138,Dictionary!$A:$B,2,0)),"_CH|",(VLOOKUP(C138,Dictionary!$AV:$AW,2,0)),"_DT|",(VLOOKUP(D138,Dictionary!$P:$Q,2,0)),"_PB|",(VLOOKUP(E138,Dictionary!$G:$H,2,0)),"_FM|",(VLOOKUP(F138,Dictionary!$S:$T,2,0)),"_RT|",(VLOOKUP(G138,Dictionary!$V:$W,2,0)),"_PD|",SUBSTITUTE(SUBSTITUTE(IF(H138="","NONE",H138),"_","-"),"|","-"),"_TG|",(VLOOKUP(I138,Dictionary!$J:$K,2,0)),"_ST|",(VLOOKUP(J138,Dictionary!$M:$N,2,0)),"_TS|",SUBSTITUTE(SUBSTITUTE(IF(K138="","NONE",K138),"_","-"),"|","-"),"_SZ|",(VLOOKUP(L138,Dictionary!$Y:$Z,1,0)),"_AD|",(VLOOKUP(M138,Dictionary!$AB:$AC,2,0)),"_IT|",(VLOOKUP(N138,Dictionary!$BC:$BD,2,0)),IF(O138="","",CONCATENATE("_U1|",SUBSTITUTE(SUBSTITUTE(O138,"_","-"),"|","-"))),IF(P138="","",CONCATENATE("_U2|",SUBSTITUTE(SUBSTITUTE(P138,"_","-"),"|","-"))),IF(Q138="","",CONCATENATE("_U3|",SUBSTITUTE(SUBSTITUTE(Q138,"_","-"),"|","-")))))</f>
        <v>#N/A</v>
      </c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2"/>
      <c r="N139" s="32"/>
      <c r="O139" s="32"/>
      <c r="P139" s="32"/>
      <c r="Q139" s="32"/>
      <c r="R139" s="33" t="str">
        <f>IF(K139="----","#N/A",CONCATENATE("MK|",(VLOOKUP(B139,Dictionary!$A:$B,2,0)),"_CH|",(VLOOKUP(C139,Dictionary!$AV:$AW,2,0)),"_DT|",(VLOOKUP(D139,Dictionary!$P:$Q,2,0)),"_PB|",(VLOOKUP(E139,Dictionary!$G:$H,2,0)),"_FM|",(VLOOKUP(F139,Dictionary!$S:$T,2,0)),"_RT|",(VLOOKUP(G139,Dictionary!$V:$W,2,0)),"_PD|",SUBSTITUTE(SUBSTITUTE(IF(H139="","NONE",H139),"_","-"),"|","-"),"_TG|",(VLOOKUP(I139,Dictionary!$J:$K,2,0)),"_ST|",(VLOOKUP(J139,Dictionary!$M:$N,2,0)),"_TS|",SUBSTITUTE(SUBSTITUTE(IF(K139="","NONE",K139),"_","-"),"|","-"),"_SZ|",(VLOOKUP(L139,Dictionary!$Y:$Z,1,0)),"_AD|",(VLOOKUP(M139,Dictionary!$AB:$AC,2,0)),"_IT|",(VLOOKUP(N139,Dictionary!$BC:$BD,2,0)),IF(O139="","",CONCATENATE("_U1|",SUBSTITUTE(SUBSTITUTE(O139,"_","-"),"|","-"))),IF(P139="","",CONCATENATE("_U2|",SUBSTITUTE(SUBSTITUTE(P139,"_","-"),"|","-"))),IF(Q139="","",CONCATENATE("_U3|",SUBSTITUTE(SUBSTITUTE(Q139,"_","-"),"|","-")))))</f>
        <v>#N/A</v>
      </c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2"/>
      <c r="N140" s="32"/>
      <c r="O140" s="32"/>
      <c r="P140" s="32"/>
      <c r="Q140" s="32"/>
      <c r="R140" s="33" t="str">
        <f>IF(K140="----","#N/A",CONCATENATE("MK|",(VLOOKUP(B140,Dictionary!$A:$B,2,0)),"_CH|",(VLOOKUP(C140,Dictionary!$AV:$AW,2,0)),"_DT|",(VLOOKUP(D140,Dictionary!$P:$Q,2,0)),"_PB|",(VLOOKUP(E140,Dictionary!$G:$H,2,0)),"_FM|",(VLOOKUP(F140,Dictionary!$S:$T,2,0)),"_RT|",(VLOOKUP(G140,Dictionary!$V:$W,2,0)),"_PD|",SUBSTITUTE(SUBSTITUTE(IF(H140="","NONE",H140),"_","-"),"|","-"),"_TG|",(VLOOKUP(I140,Dictionary!$J:$K,2,0)),"_ST|",(VLOOKUP(J140,Dictionary!$M:$N,2,0)),"_TS|",SUBSTITUTE(SUBSTITUTE(IF(K140="","NONE",K140),"_","-"),"|","-"),"_SZ|",(VLOOKUP(L140,Dictionary!$Y:$Z,1,0)),"_AD|",(VLOOKUP(M140,Dictionary!$AB:$AC,2,0)),"_IT|",(VLOOKUP(N140,Dictionary!$BC:$BD,2,0)),IF(O140="","",CONCATENATE("_U1|",SUBSTITUTE(SUBSTITUTE(O140,"_","-"),"|","-"))),IF(P140="","",CONCATENATE("_U2|",SUBSTITUTE(SUBSTITUTE(P140,"_","-"),"|","-"))),IF(Q140="","",CONCATENATE("_U3|",SUBSTITUTE(SUBSTITUTE(Q140,"_","-"),"|","-")))))</f>
        <v>#N/A</v>
      </c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2"/>
      <c r="N141" s="32"/>
      <c r="O141" s="32"/>
      <c r="P141" s="32"/>
      <c r="Q141" s="32"/>
      <c r="R141" s="33" t="str">
        <f>IF(K141="----","#N/A",CONCATENATE("MK|",(VLOOKUP(B141,Dictionary!$A:$B,2,0)),"_CH|",(VLOOKUP(C141,Dictionary!$AV:$AW,2,0)),"_DT|",(VLOOKUP(D141,Dictionary!$P:$Q,2,0)),"_PB|",(VLOOKUP(E141,Dictionary!$G:$H,2,0)),"_FM|",(VLOOKUP(F141,Dictionary!$S:$T,2,0)),"_RT|",(VLOOKUP(G141,Dictionary!$V:$W,2,0)),"_PD|",SUBSTITUTE(SUBSTITUTE(IF(H141="","NONE",H141),"_","-"),"|","-"),"_TG|",(VLOOKUP(I141,Dictionary!$J:$K,2,0)),"_ST|",(VLOOKUP(J141,Dictionary!$M:$N,2,0)),"_TS|",SUBSTITUTE(SUBSTITUTE(IF(K141="","NONE",K141),"_","-"),"|","-"),"_SZ|",(VLOOKUP(L141,Dictionary!$Y:$Z,1,0)),"_AD|",(VLOOKUP(M141,Dictionary!$AB:$AC,2,0)),"_IT|",(VLOOKUP(N141,Dictionary!$BC:$BD,2,0)),IF(O141="","",CONCATENATE("_U1|",SUBSTITUTE(SUBSTITUTE(O141,"_","-"),"|","-"))),IF(P141="","",CONCATENATE("_U2|",SUBSTITUTE(SUBSTITUTE(P141,"_","-"),"|","-"))),IF(Q141="","",CONCATENATE("_U3|",SUBSTITUTE(SUBSTITUTE(Q141,"_","-"),"|","-")))))</f>
        <v>#N/A</v>
      </c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2"/>
      <c r="N142" s="32"/>
      <c r="O142" s="32"/>
      <c r="P142" s="32"/>
      <c r="Q142" s="32"/>
      <c r="R142" s="33" t="str">
        <f>IF(K142="----","#N/A",CONCATENATE("MK|",(VLOOKUP(B142,Dictionary!$A:$B,2,0)),"_CH|",(VLOOKUP(C142,Dictionary!$AV:$AW,2,0)),"_DT|",(VLOOKUP(D142,Dictionary!$P:$Q,2,0)),"_PB|",(VLOOKUP(E142,Dictionary!$G:$H,2,0)),"_FM|",(VLOOKUP(F142,Dictionary!$S:$T,2,0)),"_RT|",(VLOOKUP(G142,Dictionary!$V:$W,2,0)),"_PD|",SUBSTITUTE(SUBSTITUTE(IF(H142="","NONE",H142),"_","-"),"|","-"),"_TG|",(VLOOKUP(I142,Dictionary!$J:$K,2,0)),"_ST|",(VLOOKUP(J142,Dictionary!$M:$N,2,0)),"_TS|",SUBSTITUTE(SUBSTITUTE(IF(K142="","NONE",K142),"_","-"),"|","-"),"_SZ|",(VLOOKUP(L142,Dictionary!$Y:$Z,1,0)),"_AD|",(VLOOKUP(M142,Dictionary!$AB:$AC,2,0)),"_IT|",(VLOOKUP(N142,Dictionary!$BC:$BD,2,0)),IF(O142="","",CONCATENATE("_U1|",SUBSTITUTE(SUBSTITUTE(O142,"_","-"),"|","-"))),IF(P142="","",CONCATENATE("_U2|",SUBSTITUTE(SUBSTITUTE(P142,"_","-"),"|","-"))),IF(Q142="","",CONCATENATE("_U3|",SUBSTITUTE(SUBSTITUTE(Q142,"_","-"),"|","-")))))</f>
        <v>#N/A</v>
      </c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2"/>
      <c r="N143" s="32"/>
      <c r="O143" s="32"/>
      <c r="P143" s="32"/>
      <c r="Q143" s="32"/>
      <c r="R143" s="33" t="str">
        <f>IF(K143="----","#N/A",CONCATENATE("MK|",(VLOOKUP(B143,Dictionary!$A:$B,2,0)),"_CH|",(VLOOKUP(C143,Dictionary!$AV:$AW,2,0)),"_DT|",(VLOOKUP(D143,Dictionary!$P:$Q,2,0)),"_PB|",(VLOOKUP(E143,Dictionary!$G:$H,2,0)),"_FM|",(VLOOKUP(F143,Dictionary!$S:$T,2,0)),"_RT|",(VLOOKUP(G143,Dictionary!$V:$W,2,0)),"_PD|",SUBSTITUTE(SUBSTITUTE(IF(H143="","NONE",H143),"_","-"),"|","-"),"_TG|",(VLOOKUP(I143,Dictionary!$J:$K,2,0)),"_ST|",(VLOOKUP(J143,Dictionary!$M:$N,2,0)),"_TS|",SUBSTITUTE(SUBSTITUTE(IF(K143="","NONE",K143),"_","-"),"|","-"),"_SZ|",(VLOOKUP(L143,Dictionary!$Y:$Z,1,0)),"_AD|",(VLOOKUP(M143,Dictionary!$AB:$AC,2,0)),"_IT|",(VLOOKUP(N143,Dictionary!$BC:$BD,2,0)),IF(O143="","",CONCATENATE("_U1|",SUBSTITUTE(SUBSTITUTE(O143,"_","-"),"|","-"))),IF(P143="","",CONCATENATE("_U2|",SUBSTITUTE(SUBSTITUTE(P143,"_","-"),"|","-"))),IF(Q143="","",CONCATENATE("_U3|",SUBSTITUTE(SUBSTITUTE(Q143,"_","-"),"|","-")))))</f>
        <v>#N/A</v>
      </c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2"/>
      <c r="N144" s="32"/>
      <c r="O144" s="32"/>
      <c r="P144" s="32"/>
      <c r="Q144" s="32"/>
      <c r="R144" s="33" t="str">
        <f>IF(K144="----","#N/A",CONCATENATE("MK|",(VLOOKUP(B144,Dictionary!$A:$B,2,0)),"_CH|",(VLOOKUP(C144,Dictionary!$AV:$AW,2,0)),"_DT|",(VLOOKUP(D144,Dictionary!$P:$Q,2,0)),"_PB|",(VLOOKUP(E144,Dictionary!$G:$H,2,0)),"_FM|",(VLOOKUP(F144,Dictionary!$S:$T,2,0)),"_RT|",(VLOOKUP(G144,Dictionary!$V:$W,2,0)),"_PD|",SUBSTITUTE(SUBSTITUTE(IF(H144="","NONE",H144),"_","-"),"|","-"),"_TG|",(VLOOKUP(I144,Dictionary!$J:$K,2,0)),"_ST|",(VLOOKUP(J144,Dictionary!$M:$N,2,0)),"_TS|",SUBSTITUTE(SUBSTITUTE(IF(K144="","NONE",K144),"_","-"),"|","-"),"_SZ|",(VLOOKUP(L144,Dictionary!$Y:$Z,1,0)),"_AD|",(VLOOKUP(M144,Dictionary!$AB:$AC,2,0)),"_IT|",(VLOOKUP(N144,Dictionary!$BC:$BD,2,0)),IF(O144="","",CONCATENATE("_U1|",SUBSTITUTE(SUBSTITUTE(O144,"_","-"),"|","-"))),IF(P144="","",CONCATENATE("_U2|",SUBSTITUTE(SUBSTITUTE(P144,"_","-"),"|","-"))),IF(Q144="","",CONCATENATE("_U3|",SUBSTITUTE(SUBSTITUTE(Q144,"_","-"),"|","-")))))</f>
        <v>#N/A</v>
      </c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2"/>
      <c r="N145" s="32"/>
      <c r="O145" s="32"/>
      <c r="P145" s="32"/>
      <c r="Q145" s="32"/>
      <c r="R145" s="33" t="str">
        <f>IF(K145="----","#N/A",CONCATENATE("MK|",(VLOOKUP(B145,Dictionary!$A:$B,2,0)),"_CH|",(VLOOKUP(C145,Dictionary!$AV:$AW,2,0)),"_DT|",(VLOOKUP(D145,Dictionary!$P:$Q,2,0)),"_PB|",(VLOOKUP(E145,Dictionary!$G:$H,2,0)),"_FM|",(VLOOKUP(F145,Dictionary!$S:$T,2,0)),"_RT|",(VLOOKUP(G145,Dictionary!$V:$W,2,0)),"_PD|",SUBSTITUTE(SUBSTITUTE(IF(H145="","NONE",H145),"_","-"),"|","-"),"_TG|",(VLOOKUP(I145,Dictionary!$J:$K,2,0)),"_ST|",(VLOOKUP(J145,Dictionary!$M:$N,2,0)),"_TS|",SUBSTITUTE(SUBSTITUTE(IF(K145="","NONE",K145),"_","-"),"|","-"),"_SZ|",(VLOOKUP(L145,Dictionary!$Y:$Z,1,0)),"_AD|",(VLOOKUP(M145,Dictionary!$AB:$AC,2,0)),"_IT|",(VLOOKUP(N145,Dictionary!$BC:$BD,2,0)),IF(O145="","",CONCATENATE("_U1|",SUBSTITUTE(SUBSTITUTE(O145,"_","-"),"|","-"))),IF(P145="","",CONCATENATE("_U2|",SUBSTITUTE(SUBSTITUTE(P145,"_","-"),"|","-"))),IF(Q145="","",CONCATENATE("_U3|",SUBSTITUTE(SUBSTITUTE(Q145,"_","-"),"|","-")))))</f>
        <v>#N/A</v>
      </c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2"/>
      <c r="N146" s="32"/>
      <c r="O146" s="32"/>
      <c r="P146" s="32"/>
      <c r="Q146" s="32"/>
      <c r="R146" s="33" t="str">
        <f>IF(K146="----","#N/A",CONCATENATE("MK|",(VLOOKUP(B146,Dictionary!$A:$B,2,0)),"_CH|",(VLOOKUP(C146,Dictionary!$AV:$AW,2,0)),"_DT|",(VLOOKUP(D146,Dictionary!$P:$Q,2,0)),"_PB|",(VLOOKUP(E146,Dictionary!$G:$H,2,0)),"_FM|",(VLOOKUP(F146,Dictionary!$S:$T,2,0)),"_RT|",(VLOOKUP(G146,Dictionary!$V:$W,2,0)),"_PD|",SUBSTITUTE(SUBSTITUTE(IF(H146="","NONE",H146),"_","-"),"|","-"),"_TG|",(VLOOKUP(I146,Dictionary!$J:$K,2,0)),"_ST|",(VLOOKUP(J146,Dictionary!$M:$N,2,0)),"_TS|",SUBSTITUTE(SUBSTITUTE(IF(K146="","NONE",K146),"_","-"),"|","-"),"_SZ|",(VLOOKUP(L146,Dictionary!$Y:$Z,1,0)),"_AD|",(VLOOKUP(M146,Dictionary!$AB:$AC,2,0)),"_IT|",(VLOOKUP(N146,Dictionary!$BC:$BD,2,0)),IF(O146="","",CONCATENATE("_U1|",SUBSTITUTE(SUBSTITUTE(O146,"_","-"),"|","-"))),IF(P146="","",CONCATENATE("_U2|",SUBSTITUTE(SUBSTITUTE(P146,"_","-"),"|","-"))),IF(Q146="","",CONCATENATE("_U3|",SUBSTITUTE(SUBSTITUTE(Q146,"_","-"),"|","-")))))</f>
        <v>#N/A</v>
      </c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2"/>
      <c r="N147" s="32"/>
      <c r="O147" s="32"/>
      <c r="P147" s="32"/>
      <c r="Q147" s="32"/>
      <c r="R147" s="33" t="str">
        <f>IF(K147="----","#N/A",CONCATENATE("MK|",(VLOOKUP(B147,Dictionary!$A:$B,2,0)),"_CH|",(VLOOKUP(C147,Dictionary!$AV:$AW,2,0)),"_DT|",(VLOOKUP(D147,Dictionary!$P:$Q,2,0)),"_PB|",(VLOOKUP(E147,Dictionary!$G:$H,2,0)),"_FM|",(VLOOKUP(F147,Dictionary!$S:$T,2,0)),"_RT|",(VLOOKUP(G147,Dictionary!$V:$W,2,0)),"_PD|",SUBSTITUTE(SUBSTITUTE(IF(H147="","NONE",H147),"_","-"),"|","-"),"_TG|",(VLOOKUP(I147,Dictionary!$J:$K,2,0)),"_ST|",(VLOOKUP(J147,Dictionary!$M:$N,2,0)),"_TS|",SUBSTITUTE(SUBSTITUTE(IF(K147="","NONE",K147),"_","-"),"|","-"),"_SZ|",(VLOOKUP(L147,Dictionary!$Y:$Z,1,0)),"_AD|",(VLOOKUP(M147,Dictionary!$AB:$AC,2,0)),"_IT|",(VLOOKUP(N147,Dictionary!$BC:$BD,2,0)),IF(O147="","",CONCATENATE("_U1|",SUBSTITUTE(SUBSTITUTE(O147,"_","-"),"|","-"))),IF(P147="","",CONCATENATE("_U2|",SUBSTITUTE(SUBSTITUTE(P147,"_","-"),"|","-"))),IF(Q147="","",CONCATENATE("_U3|",SUBSTITUTE(SUBSTITUTE(Q147,"_","-"),"|","-")))))</f>
        <v>#N/A</v>
      </c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2"/>
      <c r="N148" s="32"/>
      <c r="O148" s="32"/>
      <c r="P148" s="32"/>
      <c r="Q148" s="32"/>
      <c r="R148" s="33" t="str">
        <f>IF(K148="----","#N/A",CONCATENATE("MK|",(VLOOKUP(B148,Dictionary!$A:$B,2,0)),"_CH|",(VLOOKUP(C148,Dictionary!$AV:$AW,2,0)),"_DT|",(VLOOKUP(D148,Dictionary!$P:$Q,2,0)),"_PB|",(VLOOKUP(E148,Dictionary!$G:$H,2,0)),"_FM|",(VLOOKUP(F148,Dictionary!$S:$T,2,0)),"_RT|",(VLOOKUP(G148,Dictionary!$V:$W,2,0)),"_PD|",SUBSTITUTE(SUBSTITUTE(IF(H148="","NONE",H148),"_","-"),"|","-"),"_TG|",(VLOOKUP(I148,Dictionary!$J:$K,2,0)),"_ST|",(VLOOKUP(J148,Dictionary!$M:$N,2,0)),"_TS|",SUBSTITUTE(SUBSTITUTE(IF(K148="","NONE",K148),"_","-"),"|","-"),"_SZ|",(VLOOKUP(L148,Dictionary!$Y:$Z,1,0)),"_AD|",(VLOOKUP(M148,Dictionary!$AB:$AC,2,0)),"_IT|",(VLOOKUP(N148,Dictionary!$BC:$BD,2,0)),IF(O148="","",CONCATENATE("_U1|",SUBSTITUTE(SUBSTITUTE(O148,"_","-"),"|","-"))),IF(P148="","",CONCATENATE("_U2|",SUBSTITUTE(SUBSTITUTE(P148,"_","-"),"|","-"))),IF(Q148="","",CONCATENATE("_U3|",SUBSTITUTE(SUBSTITUTE(Q148,"_","-"),"|","-")))))</f>
        <v>#N/A</v>
      </c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2"/>
      <c r="N149" s="32"/>
      <c r="O149" s="32"/>
      <c r="P149" s="32"/>
      <c r="Q149" s="32"/>
      <c r="R149" s="33" t="str">
        <f>IF(K149="----","#N/A",CONCATENATE("MK|",(VLOOKUP(B149,Dictionary!$A:$B,2,0)),"_CH|",(VLOOKUP(C149,Dictionary!$AV:$AW,2,0)),"_DT|",(VLOOKUP(D149,Dictionary!$P:$Q,2,0)),"_PB|",(VLOOKUP(E149,Dictionary!$G:$H,2,0)),"_FM|",(VLOOKUP(F149,Dictionary!$S:$T,2,0)),"_RT|",(VLOOKUP(G149,Dictionary!$V:$W,2,0)),"_PD|",SUBSTITUTE(SUBSTITUTE(IF(H149="","NONE",H149),"_","-"),"|","-"),"_TG|",(VLOOKUP(I149,Dictionary!$J:$K,2,0)),"_ST|",(VLOOKUP(J149,Dictionary!$M:$N,2,0)),"_TS|",SUBSTITUTE(SUBSTITUTE(IF(K149="","NONE",K149),"_","-"),"|","-"),"_SZ|",(VLOOKUP(L149,Dictionary!$Y:$Z,1,0)),"_AD|",(VLOOKUP(M149,Dictionary!$AB:$AC,2,0)),"_IT|",(VLOOKUP(N149,Dictionary!$BC:$BD,2,0)),IF(O149="","",CONCATENATE("_U1|",SUBSTITUTE(SUBSTITUTE(O149,"_","-"),"|","-"))),IF(P149="","",CONCATENATE("_U2|",SUBSTITUTE(SUBSTITUTE(P149,"_","-"),"|","-"))),IF(Q149="","",CONCATENATE("_U3|",SUBSTITUTE(SUBSTITUTE(Q149,"_","-"),"|","-")))))</f>
        <v>#N/A</v>
      </c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2"/>
      <c r="N150" s="32"/>
      <c r="O150" s="32"/>
      <c r="P150" s="32"/>
      <c r="Q150" s="32"/>
      <c r="R150" s="33" t="str">
        <f>IF(K150="----","#N/A",CONCATENATE("MK|",(VLOOKUP(B150,Dictionary!$A:$B,2,0)),"_CH|",(VLOOKUP(C150,Dictionary!$AV:$AW,2,0)),"_DT|",(VLOOKUP(D150,Dictionary!$P:$Q,2,0)),"_PB|",(VLOOKUP(E150,Dictionary!$G:$H,2,0)),"_FM|",(VLOOKUP(F150,Dictionary!$S:$T,2,0)),"_RT|",(VLOOKUP(G150,Dictionary!$V:$W,2,0)),"_PD|",SUBSTITUTE(SUBSTITUTE(IF(H150="","NONE",H150),"_","-"),"|","-"),"_TG|",(VLOOKUP(I150,Dictionary!$J:$K,2,0)),"_ST|",(VLOOKUP(J150,Dictionary!$M:$N,2,0)),"_TS|",SUBSTITUTE(SUBSTITUTE(IF(K150="","NONE",K150),"_","-"),"|","-"),"_SZ|",(VLOOKUP(L150,Dictionary!$Y:$Z,1,0)),"_AD|",(VLOOKUP(M150,Dictionary!$AB:$AC,2,0)),"_IT|",(VLOOKUP(N150,Dictionary!$BC:$BD,2,0)),IF(O150="","",CONCATENATE("_U1|",SUBSTITUTE(SUBSTITUTE(O150,"_","-"),"|","-"))),IF(P150="","",CONCATENATE("_U2|",SUBSTITUTE(SUBSTITUTE(P150,"_","-"),"|","-"))),IF(Q150="","",CONCATENATE("_U3|",SUBSTITUTE(SUBSTITUTE(Q150,"_","-"),"|","-")))))</f>
        <v>#N/A</v>
      </c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2"/>
      <c r="N151" s="32"/>
      <c r="O151" s="32"/>
      <c r="P151" s="32"/>
      <c r="Q151" s="32"/>
      <c r="R151" s="33" t="str">
        <f>IF(K151="----","#N/A",CONCATENATE("MK|",(VLOOKUP(B151,Dictionary!$A:$B,2,0)),"_CH|",(VLOOKUP(C151,Dictionary!$AV:$AW,2,0)),"_DT|",(VLOOKUP(D151,Dictionary!$P:$Q,2,0)),"_PB|",(VLOOKUP(E151,Dictionary!$G:$H,2,0)),"_FM|",(VLOOKUP(F151,Dictionary!$S:$T,2,0)),"_RT|",(VLOOKUP(G151,Dictionary!$V:$W,2,0)),"_PD|",SUBSTITUTE(SUBSTITUTE(IF(H151="","NONE",H151),"_","-"),"|","-"),"_TG|",(VLOOKUP(I151,Dictionary!$J:$K,2,0)),"_ST|",(VLOOKUP(J151,Dictionary!$M:$N,2,0)),"_TS|",SUBSTITUTE(SUBSTITUTE(IF(K151="","NONE",K151),"_","-"),"|","-"),"_SZ|",(VLOOKUP(L151,Dictionary!$Y:$Z,1,0)),"_AD|",(VLOOKUP(M151,Dictionary!$AB:$AC,2,0)),"_IT|",(VLOOKUP(N151,Dictionary!$BC:$BD,2,0)),IF(O151="","",CONCATENATE("_U1|",SUBSTITUTE(SUBSTITUTE(O151,"_","-"),"|","-"))),IF(P151="","",CONCATENATE("_U2|",SUBSTITUTE(SUBSTITUTE(P151,"_","-"),"|","-"))),IF(Q151="","",CONCATENATE("_U3|",SUBSTITUTE(SUBSTITUTE(Q151,"_","-"),"|","-")))))</f>
        <v>#N/A</v>
      </c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2"/>
      <c r="N152" s="32"/>
      <c r="O152" s="32"/>
      <c r="P152" s="32"/>
      <c r="Q152" s="32"/>
      <c r="R152" s="33" t="str">
        <f>IF(K152="----","#N/A",CONCATENATE("MK|",(VLOOKUP(B152,Dictionary!$A:$B,2,0)),"_CH|",(VLOOKUP(C152,Dictionary!$AV:$AW,2,0)),"_DT|",(VLOOKUP(D152,Dictionary!$P:$Q,2,0)),"_PB|",(VLOOKUP(E152,Dictionary!$G:$H,2,0)),"_FM|",(VLOOKUP(F152,Dictionary!$S:$T,2,0)),"_RT|",(VLOOKUP(G152,Dictionary!$V:$W,2,0)),"_PD|",SUBSTITUTE(SUBSTITUTE(IF(H152="","NONE",H152),"_","-"),"|","-"),"_TG|",(VLOOKUP(I152,Dictionary!$J:$K,2,0)),"_ST|",(VLOOKUP(J152,Dictionary!$M:$N,2,0)),"_TS|",SUBSTITUTE(SUBSTITUTE(IF(K152="","NONE",K152),"_","-"),"|","-"),"_SZ|",(VLOOKUP(L152,Dictionary!$Y:$Z,1,0)),"_AD|",(VLOOKUP(M152,Dictionary!$AB:$AC,2,0)),"_IT|",(VLOOKUP(N152,Dictionary!$BC:$BD,2,0)),IF(O152="","",CONCATENATE("_U1|",SUBSTITUTE(SUBSTITUTE(O152,"_","-"),"|","-"))),IF(P152="","",CONCATENATE("_U2|",SUBSTITUTE(SUBSTITUTE(P152,"_","-"),"|","-"))),IF(Q152="","",CONCATENATE("_U3|",SUBSTITUTE(SUBSTITUTE(Q152,"_","-"),"|","-")))))</f>
        <v>#N/A</v>
      </c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2"/>
      <c r="N153" s="32"/>
      <c r="O153" s="32"/>
      <c r="P153" s="32"/>
      <c r="Q153" s="32"/>
      <c r="R153" s="33" t="str">
        <f>IF(K153="----","#N/A",CONCATENATE("MK|",(VLOOKUP(B153,Dictionary!$A:$B,2,0)),"_CH|",(VLOOKUP(C153,Dictionary!$AV:$AW,2,0)),"_DT|",(VLOOKUP(D153,Dictionary!$P:$Q,2,0)),"_PB|",(VLOOKUP(E153,Dictionary!$G:$H,2,0)),"_FM|",(VLOOKUP(F153,Dictionary!$S:$T,2,0)),"_RT|",(VLOOKUP(G153,Dictionary!$V:$W,2,0)),"_PD|",SUBSTITUTE(SUBSTITUTE(IF(H153="","NONE",H153),"_","-"),"|","-"),"_TG|",(VLOOKUP(I153,Dictionary!$J:$K,2,0)),"_ST|",(VLOOKUP(J153,Dictionary!$M:$N,2,0)),"_TS|",SUBSTITUTE(SUBSTITUTE(IF(K153="","NONE",K153),"_","-"),"|","-"),"_SZ|",(VLOOKUP(L153,Dictionary!$Y:$Z,1,0)),"_AD|",(VLOOKUP(M153,Dictionary!$AB:$AC,2,0)),"_IT|",(VLOOKUP(N153,Dictionary!$BC:$BD,2,0)),IF(O153="","",CONCATENATE("_U1|",SUBSTITUTE(SUBSTITUTE(O153,"_","-"),"|","-"))),IF(P153="","",CONCATENATE("_U2|",SUBSTITUTE(SUBSTITUTE(P153,"_","-"),"|","-"))),IF(Q153="","",CONCATENATE("_U3|",SUBSTITUTE(SUBSTITUTE(Q153,"_","-"),"|","-")))))</f>
        <v>#N/A</v>
      </c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2"/>
      <c r="N154" s="32"/>
      <c r="O154" s="32"/>
      <c r="P154" s="32"/>
      <c r="Q154" s="32"/>
      <c r="R154" s="33" t="str">
        <f>IF(K154="----","#N/A",CONCATENATE("MK|",(VLOOKUP(B154,Dictionary!$A:$B,2,0)),"_CH|",(VLOOKUP(C154,Dictionary!$AV:$AW,2,0)),"_DT|",(VLOOKUP(D154,Dictionary!$P:$Q,2,0)),"_PB|",(VLOOKUP(E154,Dictionary!$G:$H,2,0)),"_FM|",(VLOOKUP(F154,Dictionary!$S:$T,2,0)),"_RT|",(VLOOKUP(G154,Dictionary!$V:$W,2,0)),"_PD|",SUBSTITUTE(SUBSTITUTE(IF(H154="","NONE",H154),"_","-"),"|","-"),"_TG|",(VLOOKUP(I154,Dictionary!$J:$K,2,0)),"_ST|",(VLOOKUP(J154,Dictionary!$M:$N,2,0)),"_TS|",SUBSTITUTE(SUBSTITUTE(IF(K154="","NONE",K154),"_","-"),"|","-"),"_SZ|",(VLOOKUP(L154,Dictionary!$Y:$Z,1,0)),"_AD|",(VLOOKUP(M154,Dictionary!$AB:$AC,2,0)),"_IT|",(VLOOKUP(N154,Dictionary!$BC:$BD,2,0)),IF(O154="","",CONCATENATE("_U1|",SUBSTITUTE(SUBSTITUTE(O154,"_","-"),"|","-"))),IF(P154="","",CONCATENATE("_U2|",SUBSTITUTE(SUBSTITUTE(P154,"_","-"),"|","-"))),IF(Q154="","",CONCATENATE("_U3|",SUBSTITUTE(SUBSTITUTE(Q154,"_","-"),"|","-")))))</f>
        <v>#N/A</v>
      </c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2"/>
      <c r="N155" s="32"/>
      <c r="O155" s="32"/>
      <c r="P155" s="32"/>
      <c r="Q155" s="32"/>
      <c r="R155" s="33" t="str">
        <f>IF(K155="----","#N/A",CONCATENATE("MK|",(VLOOKUP(B155,Dictionary!$A:$B,2,0)),"_CH|",(VLOOKUP(C155,Dictionary!$AV:$AW,2,0)),"_DT|",(VLOOKUP(D155,Dictionary!$P:$Q,2,0)),"_PB|",(VLOOKUP(E155,Dictionary!$G:$H,2,0)),"_FM|",(VLOOKUP(F155,Dictionary!$S:$T,2,0)),"_RT|",(VLOOKUP(G155,Dictionary!$V:$W,2,0)),"_PD|",SUBSTITUTE(SUBSTITUTE(IF(H155="","NONE",H155),"_","-"),"|","-"),"_TG|",(VLOOKUP(I155,Dictionary!$J:$K,2,0)),"_ST|",(VLOOKUP(J155,Dictionary!$M:$N,2,0)),"_TS|",SUBSTITUTE(SUBSTITUTE(IF(K155="","NONE",K155),"_","-"),"|","-"),"_SZ|",(VLOOKUP(L155,Dictionary!$Y:$Z,1,0)),"_AD|",(VLOOKUP(M155,Dictionary!$AB:$AC,2,0)),"_IT|",(VLOOKUP(N155,Dictionary!$BC:$BD,2,0)),IF(O155="","",CONCATENATE("_U1|",SUBSTITUTE(SUBSTITUTE(O155,"_","-"),"|","-"))),IF(P155="","",CONCATENATE("_U2|",SUBSTITUTE(SUBSTITUTE(P155,"_","-"),"|","-"))),IF(Q155="","",CONCATENATE("_U3|",SUBSTITUTE(SUBSTITUTE(Q155,"_","-"),"|","-")))))</f>
        <v>#N/A</v>
      </c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2"/>
      <c r="N156" s="32"/>
      <c r="O156" s="32"/>
      <c r="P156" s="32"/>
      <c r="Q156" s="32"/>
      <c r="R156" s="33" t="str">
        <f>IF(K156="----","#N/A",CONCATENATE("MK|",(VLOOKUP(B156,Dictionary!$A:$B,2,0)),"_CH|",(VLOOKUP(C156,Dictionary!$AV:$AW,2,0)),"_DT|",(VLOOKUP(D156,Dictionary!$P:$Q,2,0)),"_PB|",(VLOOKUP(E156,Dictionary!$G:$H,2,0)),"_FM|",(VLOOKUP(F156,Dictionary!$S:$T,2,0)),"_RT|",(VLOOKUP(G156,Dictionary!$V:$W,2,0)),"_PD|",SUBSTITUTE(SUBSTITUTE(IF(H156="","NONE",H156),"_","-"),"|","-"),"_TG|",(VLOOKUP(I156,Dictionary!$J:$K,2,0)),"_ST|",(VLOOKUP(J156,Dictionary!$M:$N,2,0)),"_TS|",SUBSTITUTE(SUBSTITUTE(IF(K156="","NONE",K156),"_","-"),"|","-"),"_SZ|",(VLOOKUP(L156,Dictionary!$Y:$Z,1,0)),"_AD|",(VLOOKUP(M156,Dictionary!$AB:$AC,2,0)),"_IT|",(VLOOKUP(N156,Dictionary!$BC:$BD,2,0)),IF(O156="","",CONCATENATE("_U1|",SUBSTITUTE(SUBSTITUTE(O156,"_","-"),"|","-"))),IF(P156="","",CONCATENATE("_U2|",SUBSTITUTE(SUBSTITUTE(P156,"_","-"),"|","-"))),IF(Q156="","",CONCATENATE("_U3|",SUBSTITUTE(SUBSTITUTE(Q156,"_","-"),"|","-")))))</f>
        <v>#N/A</v>
      </c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2"/>
      <c r="N157" s="32"/>
      <c r="O157" s="32"/>
      <c r="P157" s="32"/>
      <c r="Q157" s="32"/>
      <c r="R157" s="33" t="str">
        <f>IF(K157="----","#N/A",CONCATENATE("MK|",(VLOOKUP(B157,Dictionary!$A:$B,2,0)),"_CH|",(VLOOKUP(C157,Dictionary!$AV:$AW,2,0)),"_DT|",(VLOOKUP(D157,Dictionary!$P:$Q,2,0)),"_PB|",(VLOOKUP(E157,Dictionary!$G:$H,2,0)),"_FM|",(VLOOKUP(F157,Dictionary!$S:$T,2,0)),"_RT|",(VLOOKUP(G157,Dictionary!$V:$W,2,0)),"_PD|",SUBSTITUTE(SUBSTITUTE(IF(H157="","NONE",H157),"_","-"),"|","-"),"_TG|",(VLOOKUP(I157,Dictionary!$J:$K,2,0)),"_ST|",(VLOOKUP(J157,Dictionary!$M:$N,2,0)),"_TS|",SUBSTITUTE(SUBSTITUTE(IF(K157="","NONE",K157),"_","-"),"|","-"),"_SZ|",(VLOOKUP(L157,Dictionary!$Y:$Z,1,0)),"_AD|",(VLOOKUP(M157,Dictionary!$AB:$AC,2,0)),"_IT|",(VLOOKUP(N157,Dictionary!$BC:$BD,2,0)),IF(O157="","",CONCATENATE("_U1|",SUBSTITUTE(SUBSTITUTE(O157,"_","-"),"|","-"))),IF(P157="","",CONCATENATE("_U2|",SUBSTITUTE(SUBSTITUTE(P157,"_","-"),"|","-"))),IF(Q157="","",CONCATENATE("_U3|",SUBSTITUTE(SUBSTITUTE(Q157,"_","-"),"|","-")))))</f>
        <v>#N/A</v>
      </c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2"/>
      <c r="N158" s="32"/>
      <c r="O158" s="32"/>
      <c r="P158" s="32"/>
      <c r="Q158" s="32"/>
      <c r="R158" s="33" t="str">
        <f>IF(K158="----","#N/A",CONCATENATE("MK|",(VLOOKUP(B158,Dictionary!$A:$B,2,0)),"_CH|",(VLOOKUP(C158,Dictionary!$AV:$AW,2,0)),"_DT|",(VLOOKUP(D158,Dictionary!$P:$Q,2,0)),"_PB|",(VLOOKUP(E158,Dictionary!$G:$H,2,0)),"_FM|",(VLOOKUP(F158,Dictionary!$S:$T,2,0)),"_RT|",(VLOOKUP(G158,Dictionary!$V:$W,2,0)),"_PD|",SUBSTITUTE(SUBSTITUTE(IF(H158="","NONE",H158),"_","-"),"|","-"),"_TG|",(VLOOKUP(I158,Dictionary!$J:$K,2,0)),"_ST|",(VLOOKUP(J158,Dictionary!$M:$N,2,0)),"_TS|",SUBSTITUTE(SUBSTITUTE(IF(K158="","NONE",K158),"_","-"),"|","-"),"_SZ|",(VLOOKUP(L158,Dictionary!$Y:$Z,1,0)),"_AD|",(VLOOKUP(M158,Dictionary!$AB:$AC,2,0)),"_IT|",(VLOOKUP(N158,Dictionary!$BC:$BD,2,0)),IF(O158="","",CONCATENATE("_U1|",SUBSTITUTE(SUBSTITUTE(O158,"_","-"),"|","-"))),IF(P158="","",CONCATENATE("_U2|",SUBSTITUTE(SUBSTITUTE(P158,"_","-"),"|","-"))),IF(Q158="","",CONCATENATE("_U3|",SUBSTITUTE(SUBSTITUTE(Q158,"_","-"),"|","-")))))</f>
        <v>#N/A</v>
      </c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2"/>
      <c r="N159" s="32"/>
      <c r="O159" s="32"/>
      <c r="P159" s="32"/>
      <c r="Q159" s="32"/>
      <c r="R159" s="33" t="str">
        <f>IF(K159="----","#N/A",CONCATENATE("MK|",(VLOOKUP(B159,Dictionary!$A:$B,2,0)),"_CH|",(VLOOKUP(C159,Dictionary!$AV:$AW,2,0)),"_DT|",(VLOOKUP(D159,Dictionary!$P:$Q,2,0)),"_PB|",(VLOOKUP(E159,Dictionary!$G:$H,2,0)),"_FM|",(VLOOKUP(F159,Dictionary!$S:$T,2,0)),"_RT|",(VLOOKUP(G159,Dictionary!$V:$W,2,0)),"_PD|",SUBSTITUTE(SUBSTITUTE(IF(H159="","NONE",H159),"_","-"),"|","-"),"_TG|",(VLOOKUP(I159,Dictionary!$J:$K,2,0)),"_ST|",(VLOOKUP(J159,Dictionary!$M:$N,2,0)),"_TS|",SUBSTITUTE(SUBSTITUTE(IF(K159="","NONE",K159),"_","-"),"|","-"),"_SZ|",(VLOOKUP(L159,Dictionary!$Y:$Z,1,0)),"_AD|",(VLOOKUP(M159,Dictionary!$AB:$AC,2,0)),"_IT|",(VLOOKUP(N159,Dictionary!$BC:$BD,2,0)),IF(O159="","",CONCATENATE("_U1|",SUBSTITUTE(SUBSTITUTE(O159,"_","-"),"|","-"))),IF(P159="","",CONCATENATE("_U2|",SUBSTITUTE(SUBSTITUTE(P159,"_","-"),"|","-"))),IF(Q159="","",CONCATENATE("_U3|",SUBSTITUTE(SUBSTITUTE(Q159,"_","-"),"|","-")))))</f>
        <v>#N/A</v>
      </c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2"/>
      <c r="N160" s="32"/>
      <c r="O160" s="32"/>
      <c r="P160" s="32"/>
      <c r="Q160" s="32"/>
      <c r="R160" s="33" t="str">
        <f>IF(K160="----","#N/A",CONCATENATE("MK|",(VLOOKUP(B160,Dictionary!$A:$B,2,0)),"_CH|",(VLOOKUP(C160,Dictionary!$AV:$AW,2,0)),"_DT|",(VLOOKUP(D160,Dictionary!$P:$Q,2,0)),"_PB|",(VLOOKUP(E160,Dictionary!$G:$H,2,0)),"_FM|",(VLOOKUP(F160,Dictionary!$S:$T,2,0)),"_RT|",(VLOOKUP(G160,Dictionary!$V:$W,2,0)),"_PD|",SUBSTITUTE(SUBSTITUTE(IF(H160="","NONE",H160),"_","-"),"|","-"),"_TG|",(VLOOKUP(I160,Dictionary!$J:$K,2,0)),"_ST|",(VLOOKUP(J160,Dictionary!$M:$N,2,0)),"_TS|",SUBSTITUTE(SUBSTITUTE(IF(K160="","NONE",K160),"_","-"),"|","-"),"_SZ|",(VLOOKUP(L160,Dictionary!$Y:$Z,1,0)),"_AD|",(VLOOKUP(M160,Dictionary!$AB:$AC,2,0)),"_IT|",(VLOOKUP(N160,Dictionary!$BC:$BD,2,0)),IF(O160="","",CONCATENATE("_U1|",SUBSTITUTE(SUBSTITUTE(O160,"_","-"),"|","-"))),IF(P160="","",CONCATENATE("_U2|",SUBSTITUTE(SUBSTITUTE(P160,"_","-"),"|","-"))),IF(Q160="","",CONCATENATE("_U3|",SUBSTITUTE(SUBSTITUTE(Q160,"_","-"),"|","-")))))</f>
        <v>#N/A</v>
      </c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2"/>
      <c r="N161" s="32"/>
      <c r="O161" s="32"/>
      <c r="P161" s="32"/>
      <c r="Q161" s="32"/>
      <c r="R161" s="33" t="str">
        <f>IF(K161="----","#N/A",CONCATENATE("MK|",(VLOOKUP(B161,Dictionary!$A:$B,2,0)),"_CH|",(VLOOKUP(C161,Dictionary!$AV:$AW,2,0)),"_DT|",(VLOOKUP(D161,Dictionary!$P:$Q,2,0)),"_PB|",(VLOOKUP(E161,Dictionary!$G:$H,2,0)),"_FM|",(VLOOKUP(F161,Dictionary!$S:$T,2,0)),"_RT|",(VLOOKUP(G161,Dictionary!$V:$W,2,0)),"_PD|",SUBSTITUTE(SUBSTITUTE(IF(H161="","NONE",H161),"_","-"),"|","-"),"_TG|",(VLOOKUP(I161,Dictionary!$J:$K,2,0)),"_ST|",(VLOOKUP(J161,Dictionary!$M:$N,2,0)),"_TS|",SUBSTITUTE(SUBSTITUTE(IF(K161="","NONE",K161),"_","-"),"|","-"),"_SZ|",(VLOOKUP(L161,Dictionary!$Y:$Z,1,0)),"_AD|",(VLOOKUP(M161,Dictionary!$AB:$AC,2,0)),"_IT|",(VLOOKUP(N161,Dictionary!$BC:$BD,2,0)),IF(O161="","",CONCATENATE("_U1|",SUBSTITUTE(SUBSTITUTE(O161,"_","-"),"|","-"))),IF(P161="","",CONCATENATE("_U2|",SUBSTITUTE(SUBSTITUTE(P161,"_","-"),"|","-"))),IF(Q161="","",CONCATENATE("_U3|",SUBSTITUTE(SUBSTITUTE(Q161,"_","-"),"|","-")))))</f>
        <v>#N/A</v>
      </c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2"/>
      <c r="N162" s="32"/>
      <c r="O162" s="32"/>
      <c r="P162" s="32"/>
      <c r="Q162" s="32"/>
      <c r="R162" s="33" t="str">
        <f>IF(K162="----","#N/A",CONCATENATE("MK|",(VLOOKUP(B162,Dictionary!$A:$B,2,0)),"_CH|",(VLOOKUP(C162,Dictionary!$AV:$AW,2,0)),"_DT|",(VLOOKUP(D162,Dictionary!$P:$Q,2,0)),"_PB|",(VLOOKUP(E162,Dictionary!$G:$H,2,0)),"_FM|",(VLOOKUP(F162,Dictionary!$S:$T,2,0)),"_RT|",(VLOOKUP(G162,Dictionary!$V:$W,2,0)),"_PD|",SUBSTITUTE(SUBSTITUTE(IF(H162="","NONE",H162),"_","-"),"|","-"),"_TG|",(VLOOKUP(I162,Dictionary!$J:$K,2,0)),"_ST|",(VLOOKUP(J162,Dictionary!$M:$N,2,0)),"_TS|",SUBSTITUTE(SUBSTITUTE(IF(K162="","NONE",K162),"_","-"),"|","-"),"_SZ|",(VLOOKUP(L162,Dictionary!$Y:$Z,1,0)),"_AD|",(VLOOKUP(M162,Dictionary!$AB:$AC,2,0)),"_IT|",(VLOOKUP(N162,Dictionary!$BC:$BD,2,0)),IF(O162="","",CONCATENATE("_U1|",SUBSTITUTE(SUBSTITUTE(O162,"_","-"),"|","-"))),IF(P162="","",CONCATENATE("_U2|",SUBSTITUTE(SUBSTITUTE(P162,"_","-"),"|","-"))),IF(Q162="","",CONCATENATE("_U3|",SUBSTITUTE(SUBSTITUTE(Q162,"_","-"),"|","-")))))</f>
        <v>#N/A</v>
      </c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2"/>
      <c r="N163" s="32"/>
      <c r="O163" s="32"/>
      <c r="P163" s="32"/>
      <c r="Q163" s="32"/>
      <c r="R163" s="33" t="str">
        <f>IF(K163="----","#N/A",CONCATENATE("MK|",(VLOOKUP(B163,Dictionary!$A:$B,2,0)),"_CH|",(VLOOKUP(C163,Dictionary!$AV:$AW,2,0)),"_DT|",(VLOOKUP(D163,Dictionary!$P:$Q,2,0)),"_PB|",(VLOOKUP(E163,Dictionary!$G:$H,2,0)),"_FM|",(VLOOKUP(F163,Dictionary!$S:$T,2,0)),"_RT|",(VLOOKUP(G163,Dictionary!$V:$W,2,0)),"_PD|",SUBSTITUTE(SUBSTITUTE(IF(H163="","NONE",H163),"_","-"),"|","-"),"_TG|",(VLOOKUP(I163,Dictionary!$J:$K,2,0)),"_ST|",(VLOOKUP(J163,Dictionary!$M:$N,2,0)),"_TS|",SUBSTITUTE(SUBSTITUTE(IF(K163="","NONE",K163),"_","-"),"|","-"),"_SZ|",(VLOOKUP(L163,Dictionary!$Y:$Z,1,0)),"_AD|",(VLOOKUP(M163,Dictionary!$AB:$AC,2,0)),"_IT|",(VLOOKUP(N163,Dictionary!$BC:$BD,2,0)),IF(O163="","",CONCATENATE("_U1|",SUBSTITUTE(SUBSTITUTE(O163,"_","-"),"|","-"))),IF(P163="","",CONCATENATE("_U2|",SUBSTITUTE(SUBSTITUTE(P163,"_","-"),"|","-"))),IF(Q163="","",CONCATENATE("_U3|",SUBSTITUTE(SUBSTITUTE(Q163,"_","-"),"|","-")))))</f>
        <v>#N/A</v>
      </c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2"/>
      <c r="N164" s="32"/>
      <c r="O164" s="32"/>
      <c r="P164" s="32"/>
      <c r="Q164" s="32"/>
      <c r="R164" s="33" t="str">
        <f>IF(K164="----","#N/A",CONCATENATE("MK|",(VLOOKUP(B164,Dictionary!$A:$B,2,0)),"_CH|",(VLOOKUP(C164,Dictionary!$AV:$AW,2,0)),"_DT|",(VLOOKUP(D164,Dictionary!$P:$Q,2,0)),"_PB|",(VLOOKUP(E164,Dictionary!$G:$H,2,0)),"_FM|",(VLOOKUP(F164,Dictionary!$S:$T,2,0)),"_RT|",(VLOOKUP(G164,Dictionary!$V:$W,2,0)),"_PD|",SUBSTITUTE(SUBSTITUTE(IF(H164="","NONE",H164),"_","-"),"|","-"),"_TG|",(VLOOKUP(I164,Dictionary!$J:$K,2,0)),"_ST|",(VLOOKUP(J164,Dictionary!$M:$N,2,0)),"_TS|",SUBSTITUTE(SUBSTITUTE(IF(K164="","NONE",K164),"_","-"),"|","-"),"_SZ|",(VLOOKUP(L164,Dictionary!$Y:$Z,1,0)),"_AD|",(VLOOKUP(M164,Dictionary!$AB:$AC,2,0)),"_IT|",(VLOOKUP(N164,Dictionary!$BC:$BD,2,0)),IF(O164="","",CONCATENATE("_U1|",SUBSTITUTE(SUBSTITUTE(O164,"_","-"),"|","-"))),IF(P164="","",CONCATENATE("_U2|",SUBSTITUTE(SUBSTITUTE(P164,"_","-"),"|","-"))),IF(Q164="","",CONCATENATE("_U3|",SUBSTITUTE(SUBSTITUTE(Q164,"_","-"),"|","-")))))</f>
        <v>#N/A</v>
      </c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2"/>
      <c r="N165" s="32"/>
      <c r="O165" s="32"/>
      <c r="P165" s="32"/>
      <c r="Q165" s="32"/>
      <c r="R165" s="33" t="str">
        <f>IF(K165="----","#N/A",CONCATENATE("MK|",(VLOOKUP(B165,Dictionary!$A:$B,2,0)),"_CH|",(VLOOKUP(C165,Dictionary!$AV:$AW,2,0)),"_DT|",(VLOOKUP(D165,Dictionary!$P:$Q,2,0)),"_PB|",(VLOOKUP(E165,Dictionary!$G:$H,2,0)),"_FM|",(VLOOKUP(F165,Dictionary!$S:$T,2,0)),"_RT|",(VLOOKUP(G165,Dictionary!$V:$W,2,0)),"_PD|",SUBSTITUTE(SUBSTITUTE(IF(H165="","NONE",H165),"_","-"),"|","-"),"_TG|",(VLOOKUP(I165,Dictionary!$J:$K,2,0)),"_ST|",(VLOOKUP(J165,Dictionary!$M:$N,2,0)),"_TS|",SUBSTITUTE(SUBSTITUTE(IF(K165="","NONE",K165),"_","-"),"|","-"),"_SZ|",(VLOOKUP(L165,Dictionary!$Y:$Z,1,0)),"_AD|",(VLOOKUP(M165,Dictionary!$AB:$AC,2,0)),"_IT|",(VLOOKUP(N165,Dictionary!$BC:$BD,2,0)),IF(O165="","",CONCATENATE("_U1|",SUBSTITUTE(SUBSTITUTE(O165,"_","-"),"|","-"))),IF(P165="","",CONCATENATE("_U2|",SUBSTITUTE(SUBSTITUTE(P165,"_","-"),"|","-"))),IF(Q165="","",CONCATENATE("_U3|",SUBSTITUTE(SUBSTITUTE(Q165,"_","-"),"|","-")))))</f>
        <v>#N/A</v>
      </c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2"/>
      <c r="N166" s="32"/>
      <c r="O166" s="32"/>
      <c r="P166" s="32"/>
      <c r="Q166" s="32"/>
      <c r="R166" s="33" t="str">
        <f>IF(K166="----","#N/A",CONCATENATE("MK|",(VLOOKUP(B166,Dictionary!$A:$B,2,0)),"_CH|",(VLOOKUP(C166,Dictionary!$AV:$AW,2,0)),"_DT|",(VLOOKUP(D166,Dictionary!$P:$Q,2,0)),"_PB|",(VLOOKUP(E166,Dictionary!$G:$H,2,0)),"_FM|",(VLOOKUP(F166,Dictionary!$S:$T,2,0)),"_RT|",(VLOOKUP(G166,Dictionary!$V:$W,2,0)),"_PD|",SUBSTITUTE(SUBSTITUTE(IF(H166="","NONE",H166),"_","-"),"|","-"),"_TG|",(VLOOKUP(I166,Dictionary!$J:$K,2,0)),"_ST|",(VLOOKUP(J166,Dictionary!$M:$N,2,0)),"_TS|",SUBSTITUTE(SUBSTITUTE(IF(K166="","NONE",K166),"_","-"),"|","-"),"_SZ|",(VLOOKUP(L166,Dictionary!$Y:$Z,1,0)),"_AD|",(VLOOKUP(M166,Dictionary!$AB:$AC,2,0)),"_IT|",(VLOOKUP(N166,Dictionary!$BC:$BD,2,0)),IF(O166="","",CONCATENATE("_U1|",SUBSTITUTE(SUBSTITUTE(O166,"_","-"),"|","-"))),IF(P166="","",CONCATENATE("_U2|",SUBSTITUTE(SUBSTITUTE(P166,"_","-"),"|","-"))),IF(Q166="","",CONCATENATE("_U3|",SUBSTITUTE(SUBSTITUTE(Q166,"_","-"),"|","-")))))</f>
        <v>#N/A</v>
      </c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2"/>
      <c r="N167" s="32"/>
      <c r="O167" s="32"/>
      <c r="P167" s="32"/>
      <c r="Q167" s="32"/>
      <c r="R167" s="33" t="str">
        <f>IF(K167="----","#N/A",CONCATENATE("MK|",(VLOOKUP(B167,Dictionary!$A:$B,2,0)),"_CH|",(VLOOKUP(C167,Dictionary!$AV:$AW,2,0)),"_DT|",(VLOOKUP(D167,Dictionary!$P:$Q,2,0)),"_PB|",(VLOOKUP(E167,Dictionary!$G:$H,2,0)),"_FM|",(VLOOKUP(F167,Dictionary!$S:$T,2,0)),"_RT|",(VLOOKUP(G167,Dictionary!$V:$W,2,0)),"_PD|",SUBSTITUTE(SUBSTITUTE(IF(H167="","NONE",H167),"_","-"),"|","-"),"_TG|",(VLOOKUP(I167,Dictionary!$J:$K,2,0)),"_ST|",(VLOOKUP(J167,Dictionary!$M:$N,2,0)),"_TS|",SUBSTITUTE(SUBSTITUTE(IF(K167="","NONE",K167),"_","-"),"|","-"),"_SZ|",(VLOOKUP(L167,Dictionary!$Y:$Z,1,0)),"_AD|",(VLOOKUP(M167,Dictionary!$AB:$AC,2,0)),"_IT|",(VLOOKUP(N167,Dictionary!$BC:$BD,2,0)),IF(O167="","",CONCATENATE("_U1|",SUBSTITUTE(SUBSTITUTE(O167,"_","-"),"|","-"))),IF(P167="","",CONCATENATE("_U2|",SUBSTITUTE(SUBSTITUTE(P167,"_","-"),"|","-"))),IF(Q167="","",CONCATENATE("_U3|",SUBSTITUTE(SUBSTITUTE(Q167,"_","-"),"|","-")))))</f>
        <v>#N/A</v>
      </c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2"/>
      <c r="N168" s="32"/>
      <c r="O168" s="32"/>
      <c r="P168" s="32"/>
      <c r="Q168" s="32"/>
      <c r="R168" s="33" t="str">
        <f>IF(K168="----","#N/A",CONCATENATE("MK|",(VLOOKUP(B168,Dictionary!$A:$B,2,0)),"_CH|",(VLOOKUP(C168,Dictionary!$AV:$AW,2,0)),"_DT|",(VLOOKUP(D168,Dictionary!$P:$Q,2,0)),"_PB|",(VLOOKUP(E168,Dictionary!$G:$H,2,0)),"_FM|",(VLOOKUP(F168,Dictionary!$S:$T,2,0)),"_RT|",(VLOOKUP(G168,Dictionary!$V:$W,2,0)),"_PD|",SUBSTITUTE(SUBSTITUTE(IF(H168="","NONE",H168),"_","-"),"|","-"),"_TG|",(VLOOKUP(I168,Dictionary!$J:$K,2,0)),"_ST|",(VLOOKUP(J168,Dictionary!$M:$N,2,0)),"_TS|",SUBSTITUTE(SUBSTITUTE(IF(K168="","NONE",K168),"_","-"),"|","-"),"_SZ|",(VLOOKUP(L168,Dictionary!$Y:$Z,1,0)),"_AD|",(VLOOKUP(M168,Dictionary!$AB:$AC,2,0)),"_IT|",(VLOOKUP(N168,Dictionary!$BC:$BD,2,0)),IF(O168="","",CONCATENATE("_U1|",SUBSTITUTE(SUBSTITUTE(O168,"_","-"),"|","-"))),IF(P168="","",CONCATENATE("_U2|",SUBSTITUTE(SUBSTITUTE(P168,"_","-"),"|","-"))),IF(Q168="","",CONCATENATE("_U3|",SUBSTITUTE(SUBSTITUTE(Q168,"_","-"),"|","-")))))</f>
        <v>#N/A</v>
      </c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2"/>
      <c r="N169" s="32"/>
      <c r="O169" s="32"/>
      <c r="P169" s="32"/>
      <c r="Q169" s="32"/>
      <c r="R169" s="33" t="str">
        <f>IF(K169="----","#N/A",CONCATENATE("MK|",(VLOOKUP(B169,Dictionary!$A:$B,2,0)),"_CH|",(VLOOKUP(C169,Dictionary!$AV:$AW,2,0)),"_DT|",(VLOOKUP(D169,Dictionary!$P:$Q,2,0)),"_PB|",(VLOOKUP(E169,Dictionary!$G:$H,2,0)),"_FM|",(VLOOKUP(F169,Dictionary!$S:$T,2,0)),"_RT|",(VLOOKUP(G169,Dictionary!$V:$W,2,0)),"_PD|",SUBSTITUTE(SUBSTITUTE(IF(H169="","NONE",H169),"_","-"),"|","-"),"_TG|",(VLOOKUP(I169,Dictionary!$J:$K,2,0)),"_ST|",(VLOOKUP(J169,Dictionary!$M:$N,2,0)),"_TS|",SUBSTITUTE(SUBSTITUTE(IF(K169="","NONE",K169),"_","-"),"|","-"),"_SZ|",(VLOOKUP(L169,Dictionary!$Y:$Z,1,0)),"_AD|",(VLOOKUP(M169,Dictionary!$AB:$AC,2,0)),"_IT|",(VLOOKUP(N169,Dictionary!$BC:$BD,2,0)),IF(O169="","",CONCATENATE("_U1|",SUBSTITUTE(SUBSTITUTE(O169,"_","-"),"|","-"))),IF(P169="","",CONCATENATE("_U2|",SUBSTITUTE(SUBSTITUTE(P169,"_","-"),"|","-"))),IF(Q169="","",CONCATENATE("_U3|",SUBSTITUTE(SUBSTITUTE(Q169,"_","-"),"|","-")))))</f>
        <v>#N/A</v>
      </c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2"/>
      <c r="N170" s="32"/>
      <c r="O170" s="32"/>
      <c r="P170" s="32"/>
      <c r="Q170" s="32"/>
      <c r="R170" s="33" t="str">
        <f>IF(K170="----","#N/A",CONCATENATE("MK|",(VLOOKUP(B170,Dictionary!$A:$B,2,0)),"_CH|",(VLOOKUP(C170,Dictionary!$AV:$AW,2,0)),"_DT|",(VLOOKUP(D170,Dictionary!$P:$Q,2,0)),"_PB|",(VLOOKUP(E170,Dictionary!$G:$H,2,0)),"_FM|",(VLOOKUP(F170,Dictionary!$S:$T,2,0)),"_RT|",(VLOOKUP(G170,Dictionary!$V:$W,2,0)),"_PD|",SUBSTITUTE(SUBSTITUTE(IF(H170="","NONE",H170),"_","-"),"|","-"),"_TG|",(VLOOKUP(I170,Dictionary!$J:$K,2,0)),"_ST|",(VLOOKUP(J170,Dictionary!$M:$N,2,0)),"_TS|",SUBSTITUTE(SUBSTITUTE(IF(K170="","NONE",K170),"_","-"),"|","-"),"_SZ|",(VLOOKUP(L170,Dictionary!$Y:$Z,1,0)),"_AD|",(VLOOKUP(M170,Dictionary!$AB:$AC,2,0)),"_IT|",(VLOOKUP(N170,Dictionary!$BC:$BD,2,0)),IF(O170="","",CONCATENATE("_U1|",SUBSTITUTE(SUBSTITUTE(O170,"_","-"),"|","-"))),IF(P170="","",CONCATENATE("_U2|",SUBSTITUTE(SUBSTITUTE(P170,"_","-"),"|","-"))),IF(Q170="","",CONCATENATE("_U3|",SUBSTITUTE(SUBSTITUTE(Q170,"_","-"),"|","-")))))</f>
        <v>#N/A</v>
      </c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2"/>
      <c r="N171" s="32"/>
      <c r="O171" s="32"/>
      <c r="P171" s="32"/>
      <c r="Q171" s="32"/>
      <c r="R171" s="33" t="str">
        <f>IF(K171="----","#N/A",CONCATENATE("MK|",(VLOOKUP(B171,Dictionary!$A:$B,2,0)),"_CH|",(VLOOKUP(C171,Dictionary!$AV:$AW,2,0)),"_DT|",(VLOOKUP(D171,Dictionary!$P:$Q,2,0)),"_PB|",(VLOOKUP(E171,Dictionary!$G:$H,2,0)),"_FM|",(VLOOKUP(F171,Dictionary!$S:$T,2,0)),"_RT|",(VLOOKUP(G171,Dictionary!$V:$W,2,0)),"_PD|",SUBSTITUTE(SUBSTITUTE(IF(H171="","NONE",H171),"_","-"),"|","-"),"_TG|",(VLOOKUP(I171,Dictionary!$J:$K,2,0)),"_ST|",(VLOOKUP(J171,Dictionary!$M:$N,2,0)),"_TS|",SUBSTITUTE(SUBSTITUTE(IF(K171="","NONE",K171),"_","-"),"|","-"),"_SZ|",(VLOOKUP(L171,Dictionary!$Y:$Z,1,0)),"_AD|",(VLOOKUP(M171,Dictionary!$AB:$AC,2,0)),"_IT|",(VLOOKUP(N171,Dictionary!$BC:$BD,2,0)),IF(O171="","",CONCATENATE("_U1|",SUBSTITUTE(SUBSTITUTE(O171,"_","-"),"|","-"))),IF(P171="","",CONCATENATE("_U2|",SUBSTITUTE(SUBSTITUTE(P171,"_","-"),"|","-"))),IF(Q171="","",CONCATENATE("_U3|",SUBSTITUTE(SUBSTITUTE(Q171,"_","-"),"|","-")))))</f>
        <v>#N/A</v>
      </c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2"/>
      <c r="N172" s="32"/>
      <c r="O172" s="32"/>
      <c r="P172" s="32"/>
      <c r="Q172" s="32"/>
      <c r="R172" s="33" t="str">
        <f>IF(K172="----","#N/A",CONCATENATE("MK|",(VLOOKUP(B172,Dictionary!$A:$B,2,0)),"_CH|",(VLOOKUP(C172,Dictionary!$AV:$AW,2,0)),"_DT|",(VLOOKUP(D172,Dictionary!$P:$Q,2,0)),"_PB|",(VLOOKUP(E172,Dictionary!$G:$H,2,0)),"_FM|",(VLOOKUP(F172,Dictionary!$S:$T,2,0)),"_RT|",(VLOOKUP(G172,Dictionary!$V:$W,2,0)),"_PD|",SUBSTITUTE(SUBSTITUTE(IF(H172="","NONE",H172),"_","-"),"|","-"),"_TG|",(VLOOKUP(I172,Dictionary!$J:$K,2,0)),"_ST|",(VLOOKUP(J172,Dictionary!$M:$N,2,0)),"_TS|",SUBSTITUTE(SUBSTITUTE(IF(K172="","NONE",K172),"_","-"),"|","-"),"_SZ|",(VLOOKUP(L172,Dictionary!$Y:$Z,1,0)),"_AD|",(VLOOKUP(M172,Dictionary!$AB:$AC,2,0)),"_IT|",(VLOOKUP(N172,Dictionary!$BC:$BD,2,0)),IF(O172="","",CONCATENATE("_U1|",SUBSTITUTE(SUBSTITUTE(O172,"_","-"),"|","-"))),IF(P172="","",CONCATENATE("_U2|",SUBSTITUTE(SUBSTITUTE(P172,"_","-"),"|","-"))),IF(Q172="","",CONCATENATE("_U3|",SUBSTITUTE(SUBSTITUTE(Q172,"_","-"),"|","-")))))</f>
        <v>#N/A</v>
      </c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2"/>
      <c r="N173" s="32"/>
      <c r="O173" s="32"/>
      <c r="P173" s="32"/>
      <c r="Q173" s="32"/>
      <c r="R173" s="33" t="str">
        <f>IF(K173="----","#N/A",CONCATENATE("MK|",(VLOOKUP(B173,Dictionary!$A:$B,2,0)),"_CH|",(VLOOKUP(C173,Dictionary!$AV:$AW,2,0)),"_DT|",(VLOOKUP(D173,Dictionary!$P:$Q,2,0)),"_PB|",(VLOOKUP(E173,Dictionary!$G:$H,2,0)),"_FM|",(VLOOKUP(F173,Dictionary!$S:$T,2,0)),"_RT|",(VLOOKUP(G173,Dictionary!$V:$W,2,0)),"_PD|",SUBSTITUTE(SUBSTITUTE(IF(H173="","NONE",H173),"_","-"),"|","-"),"_TG|",(VLOOKUP(I173,Dictionary!$J:$K,2,0)),"_ST|",(VLOOKUP(J173,Dictionary!$M:$N,2,0)),"_TS|",SUBSTITUTE(SUBSTITUTE(IF(K173="","NONE",K173),"_","-"),"|","-"),"_SZ|",(VLOOKUP(L173,Dictionary!$Y:$Z,1,0)),"_AD|",(VLOOKUP(M173,Dictionary!$AB:$AC,2,0)),"_IT|",(VLOOKUP(N173,Dictionary!$BC:$BD,2,0)),IF(O173="","",CONCATENATE("_U1|",SUBSTITUTE(SUBSTITUTE(O173,"_","-"),"|","-"))),IF(P173="","",CONCATENATE("_U2|",SUBSTITUTE(SUBSTITUTE(P173,"_","-"),"|","-"))),IF(Q173="","",CONCATENATE("_U3|",SUBSTITUTE(SUBSTITUTE(Q173,"_","-"),"|","-")))))</f>
        <v>#N/A</v>
      </c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2"/>
      <c r="N174" s="32"/>
      <c r="O174" s="32"/>
      <c r="P174" s="32"/>
      <c r="Q174" s="32"/>
      <c r="R174" s="33" t="str">
        <f>IF(K174="----","#N/A",CONCATENATE("MK|",(VLOOKUP(B174,Dictionary!$A:$B,2,0)),"_CH|",(VLOOKUP(C174,Dictionary!$AV:$AW,2,0)),"_DT|",(VLOOKUP(D174,Dictionary!$P:$Q,2,0)),"_PB|",(VLOOKUP(E174,Dictionary!$G:$H,2,0)),"_FM|",(VLOOKUP(F174,Dictionary!$S:$T,2,0)),"_RT|",(VLOOKUP(G174,Dictionary!$V:$W,2,0)),"_PD|",SUBSTITUTE(SUBSTITUTE(IF(H174="","NONE",H174),"_","-"),"|","-"),"_TG|",(VLOOKUP(I174,Dictionary!$J:$K,2,0)),"_ST|",(VLOOKUP(J174,Dictionary!$M:$N,2,0)),"_TS|",SUBSTITUTE(SUBSTITUTE(IF(K174="","NONE",K174),"_","-"),"|","-"),"_SZ|",(VLOOKUP(L174,Dictionary!$Y:$Z,1,0)),"_AD|",(VLOOKUP(M174,Dictionary!$AB:$AC,2,0)),"_IT|",(VLOOKUP(N174,Dictionary!$BC:$BD,2,0)),IF(O174="","",CONCATENATE("_U1|",SUBSTITUTE(SUBSTITUTE(O174,"_","-"),"|","-"))),IF(P174="","",CONCATENATE("_U2|",SUBSTITUTE(SUBSTITUTE(P174,"_","-"),"|","-"))),IF(Q174="","",CONCATENATE("_U3|",SUBSTITUTE(SUBSTITUTE(Q174,"_","-"),"|","-")))))</f>
        <v>#N/A</v>
      </c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2"/>
      <c r="N175" s="32"/>
      <c r="O175" s="32"/>
      <c r="P175" s="32"/>
      <c r="Q175" s="32"/>
      <c r="R175" s="33" t="str">
        <f>IF(K175="----","#N/A",CONCATENATE("MK|",(VLOOKUP(B175,Dictionary!$A:$B,2,0)),"_CH|",(VLOOKUP(C175,Dictionary!$AV:$AW,2,0)),"_DT|",(VLOOKUP(D175,Dictionary!$P:$Q,2,0)),"_PB|",(VLOOKUP(E175,Dictionary!$G:$H,2,0)),"_FM|",(VLOOKUP(F175,Dictionary!$S:$T,2,0)),"_RT|",(VLOOKUP(G175,Dictionary!$V:$W,2,0)),"_PD|",SUBSTITUTE(SUBSTITUTE(IF(H175="","NONE",H175),"_","-"),"|","-"),"_TG|",(VLOOKUP(I175,Dictionary!$J:$K,2,0)),"_ST|",(VLOOKUP(J175,Dictionary!$M:$N,2,0)),"_TS|",SUBSTITUTE(SUBSTITUTE(IF(K175="","NONE",K175),"_","-"),"|","-"),"_SZ|",(VLOOKUP(L175,Dictionary!$Y:$Z,1,0)),"_AD|",(VLOOKUP(M175,Dictionary!$AB:$AC,2,0)),"_IT|",(VLOOKUP(N175,Dictionary!$BC:$BD,2,0)),IF(O175="","",CONCATENATE("_U1|",SUBSTITUTE(SUBSTITUTE(O175,"_","-"),"|","-"))),IF(P175="","",CONCATENATE("_U2|",SUBSTITUTE(SUBSTITUTE(P175,"_","-"),"|","-"))),IF(Q175="","",CONCATENATE("_U3|",SUBSTITUTE(SUBSTITUTE(Q175,"_","-"),"|","-")))))</f>
        <v>#N/A</v>
      </c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2"/>
      <c r="N176" s="32"/>
      <c r="O176" s="32"/>
      <c r="P176" s="32"/>
      <c r="Q176" s="32"/>
      <c r="R176" s="33" t="str">
        <f>IF(K176="----","#N/A",CONCATENATE("MK|",(VLOOKUP(B176,Dictionary!$A:$B,2,0)),"_CH|",(VLOOKUP(C176,Dictionary!$AV:$AW,2,0)),"_DT|",(VLOOKUP(D176,Dictionary!$P:$Q,2,0)),"_PB|",(VLOOKUP(E176,Dictionary!$G:$H,2,0)),"_FM|",(VLOOKUP(F176,Dictionary!$S:$T,2,0)),"_RT|",(VLOOKUP(G176,Dictionary!$V:$W,2,0)),"_PD|",SUBSTITUTE(SUBSTITUTE(IF(H176="","NONE",H176),"_","-"),"|","-"),"_TG|",(VLOOKUP(I176,Dictionary!$J:$K,2,0)),"_ST|",(VLOOKUP(J176,Dictionary!$M:$N,2,0)),"_TS|",SUBSTITUTE(SUBSTITUTE(IF(K176="","NONE",K176),"_","-"),"|","-"),"_SZ|",(VLOOKUP(L176,Dictionary!$Y:$Z,1,0)),"_AD|",(VLOOKUP(M176,Dictionary!$AB:$AC,2,0)),"_IT|",(VLOOKUP(N176,Dictionary!$BC:$BD,2,0)),IF(O176="","",CONCATENATE("_U1|",SUBSTITUTE(SUBSTITUTE(O176,"_","-"),"|","-"))),IF(P176="","",CONCATENATE("_U2|",SUBSTITUTE(SUBSTITUTE(P176,"_","-"),"|","-"))),IF(Q176="","",CONCATENATE("_U3|",SUBSTITUTE(SUBSTITUTE(Q176,"_","-"),"|","-")))))</f>
        <v>#N/A</v>
      </c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2"/>
      <c r="N177" s="32"/>
      <c r="O177" s="32"/>
      <c r="P177" s="32"/>
      <c r="Q177" s="32"/>
      <c r="R177" s="33" t="str">
        <f>IF(K177="----","#N/A",CONCATENATE("MK|",(VLOOKUP(B177,Dictionary!$A:$B,2,0)),"_CH|",(VLOOKUP(C177,Dictionary!$AV:$AW,2,0)),"_DT|",(VLOOKUP(D177,Dictionary!$P:$Q,2,0)),"_PB|",(VLOOKUP(E177,Dictionary!$G:$H,2,0)),"_FM|",(VLOOKUP(F177,Dictionary!$S:$T,2,0)),"_RT|",(VLOOKUP(G177,Dictionary!$V:$W,2,0)),"_PD|",SUBSTITUTE(SUBSTITUTE(IF(H177="","NONE",H177),"_","-"),"|","-"),"_TG|",(VLOOKUP(I177,Dictionary!$J:$K,2,0)),"_ST|",(VLOOKUP(J177,Dictionary!$M:$N,2,0)),"_TS|",SUBSTITUTE(SUBSTITUTE(IF(K177="","NONE",K177),"_","-"),"|","-"),"_SZ|",(VLOOKUP(L177,Dictionary!$Y:$Z,1,0)),"_AD|",(VLOOKUP(M177,Dictionary!$AB:$AC,2,0)),"_IT|",(VLOOKUP(N177,Dictionary!$BC:$BD,2,0)),IF(O177="","",CONCATENATE("_U1|",SUBSTITUTE(SUBSTITUTE(O177,"_","-"),"|","-"))),IF(P177="","",CONCATENATE("_U2|",SUBSTITUTE(SUBSTITUTE(P177,"_","-"),"|","-"))),IF(Q177="","",CONCATENATE("_U3|",SUBSTITUTE(SUBSTITUTE(Q177,"_","-"),"|","-")))))</f>
        <v>#N/A</v>
      </c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2"/>
      <c r="N178" s="32"/>
      <c r="O178" s="32"/>
      <c r="P178" s="32"/>
      <c r="Q178" s="32"/>
      <c r="R178" s="33" t="str">
        <f>IF(K178="----","#N/A",CONCATENATE("MK|",(VLOOKUP(B178,Dictionary!$A:$B,2,0)),"_CH|",(VLOOKUP(C178,Dictionary!$AV:$AW,2,0)),"_DT|",(VLOOKUP(D178,Dictionary!$P:$Q,2,0)),"_PB|",(VLOOKUP(E178,Dictionary!$G:$H,2,0)),"_FM|",(VLOOKUP(F178,Dictionary!$S:$T,2,0)),"_RT|",(VLOOKUP(G178,Dictionary!$V:$W,2,0)),"_PD|",SUBSTITUTE(SUBSTITUTE(IF(H178="","NONE",H178),"_","-"),"|","-"),"_TG|",(VLOOKUP(I178,Dictionary!$J:$K,2,0)),"_ST|",(VLOOKUP(J178,Dictionary!$M:$N,2,0)),"_TS|",SUBSTITUTE(SUBSTITUTE(IF(K178="","NONE",K178),"_","-"),"|","-"),"_SZ|",(VLOOKUP(L178,Dictionary!$Y:$Z,1,0)),"_AD|",(VLOOKUP(M178,Dictionary!$AB:$AC,2,0)),"_IT|",(VLOOKUP(N178,Dictionary!$BC:$BD,2,0)),IF(O178="","",CONCATENATE("_U1|",SUBSTITUTE(SUBSTITUTE(O178,"_","-"),"|","-"))),IF(P178="","",CONCATENATE("_U2|",SUBSTITUTE(SUBSTITUTE(P178,"_","-"),"|","-"))),IF(Q178="","",CONCATENATE("_U3|",SUBSTITUTE(SUBSTITUTE(Q178,"_","-"),"|","-")))))</f>
        <v>#N/A</v>
      </c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2"/>
      <c r="N179" s="32"/>
      <c r="O179" s="32"/>
      <c r="P179" s="32"/>
      <c r="Q179" s="32"/>
      <c r="R179" s="33" t="str">
        <f>IF(K179="----","#N/A",CONCATENATE("MK|",(VLOOKUP(B179,Dictionary!$A:$B,2,0)),"_CH|",(VLOOKUP(C179,Dictionary!$AV:$AW,2,0)),"_DT|",(VLOOKUP(D179,Dictionary!$P:$Q,2,0)),"_PB|",(VLOOKUP(E179,Dictionary!$G:$H,2,0)),"_FM|",(VLOOKUP(F179,Dictionary!$S:$T,2,0)),"_RT|",(VLOOKUP(G179,Dictionary!$V:$W,2,0)),"_PD|",SUBSTITUTE(SUBSTITUTE(IF(H179="","NONE",H179),"_","-"),"|","-"),"_TG|",(VLOOKUP(I179,Dictionary!$J:$K,2,0)),"_ST|",(VLOOKUP(J179,Dictionary!$M:$N,2,0)),"_TS|",SUBSTITUTE(SUBSTITUTE(IF(K179="","NONE",K179),"_","-"),"|","-"),"_SZ|",(VLOOKUP(L179,Dictionary!$Y:$Z,1,0)),"_AD|",(VLOOKUP(M179,Dictionary!$AB:$AC,2,0)),"_IT|",(VLOOKUP(N179,Dictionary!$BC:$BD,2,0)),IF(O179="","",CONCATENATE("_U1|",SUBSTITUTE(SUBSTITUTE(O179,"_","-"),"|","-"))),IF(P179="","",CONCATENATE("_U2|",SUBSTITUTE(SUBSTITUTE(P179,"_","-"),"|","-"))),IF(Q179="","",CONCATENATE("_U3|",SUBSTITUTE(SUBSTITUTE(Q179,"_","-"),"|","-")))))</f>
        <v>#N/A</v>
      </c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2"/>
      <c r="N180" s="32"/>
      <c r="O180" s="32"/>
      <c r="P180" s="32"/>
      <c r="Q180" s="32"/>
      <c r="R180" s="33" t="str">
        <f>IF(K180="----","#N/A",CONCATENATE("MK|",(VLOOKUP(B180,Dictionary!$A:$B,2,0)),"_CH|",(VLOOKUP(C180,Dictionary!$AV:$AW,2,0)),"_DT|",(VLOOKUP(D180,Dictionary!$P:$Q,2,0)),"_PB|",(VLOOKUP(E180,Dictionary!$G:$H,2,0)),"_FM|",(VLOOKUP(F180,Dictionary!$S:$T,2,0)),"_RT|",(VLOOKUP(G180,Dictionary!$V:$W,2,0)),"_PD|",SUBSTITUTE(SUBSTITUTE(IF(H180="","NONE",H180),"_","-"),"|","-"),"_TG|",(VLOOKUP(I180,Dictionary!$J:$K,2,0)),"_ST|",(VLOOKUP(J180,Dictionary!$M:$N,2,0)),"_TS|",SUBSTITUTE(SUBSTITUTE(IF(K180="","NONE",K180),"_","-"),"|","-"),"_SZ|",(VLOOKUP(L180,Dictionary!$Y:$Z,1,0)),"_AD|",(VLOOKUP(M180,Dictionary!$AB:$AC,2,0)),"_IT|",(VLOOKUP(N180,Dictionary!$BC:$BD,2,0)),IF(O180="","",CONCATENATE("_U1|",SUBSTITUTE(SUBSTITUTE(O180,"_","-"),"|","-"))),IF(P180="","",CONCATENATE("_U2|",SUBSTITUTE(SUBSTITUTE(P180,"_","-"),"|","-"))),IF(Q180="","",CONCATENATE("_U3|",SUBSTITUTE(SUBSTITUTE(Q180,"_","-"),"|","-")))))</f>
        <v>#N/A</v>
      </c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2"/>
      <c r="N181" s="32"/>
      <c r="O181" s="32"/>
      <c r="P181" s="32"/>
      <c r="Q181" s="32"/>
      <c r="R181" s="33" t="str">
        <f>IF(K181="----","#N/A",CONCATENATE("MK|",(VLOOKUP(B181,Dictionary!$A:$B,2,0)),"_CH|",(VLOOKUP(C181,Dictionary!$AV:$AW,2,0)),"_DT|",(VLOOKUP(D181,Dictionary!$P:$Q,2,0)),"_PB|",(VLOOKUP(E181,Dictionary!$G:$H,2,0)),"_FM|",(VLOOKUP(F181,Dictionary!$S:$T,2,0)),"_RT|",(VLOOKUP(G181,Dictionary!$V:$W,2,0)),"_PD|",SUBSTITUTE(SUBSTITUTE(IF(H181="","NONE",H181),"_","-"),"|","-"),"_TG|",(VLOOKUP(I181,Dictionary!$J:$K,2,0)),"_ST|",(VLOOKUP(J181,Dictionary!$M:$N,2,0)),"_TS|",SUBSTITUTE(SUBSTITUTE(IF(K181="","NONE",K181),"_","-"),"|","-"),"_SZ|",(VLOOKUP(L181,Dictionary!$Y:$Z,1,0)),"_AD|",(VLOOKUP(M181,Dictionary!$AB:$AC,2,0)),"_IT|",(VLOOKUP(N181,Dictionary!$BC:$BD,2,0)),IF(O181="","",CONCATENATE("_U1|",SUBSTITUTE(SUBSTITUTE(O181,"_","-"),"|","-"))),IF(P181="","",CONCATENATE("_U2|",SUBSTITUTE(SUBSTITUTE(P181,"_","-"),"|","-"))),IF(Q181="","",CONCATENATE("_U3|",SUBSTITUTE(SUBSTITUTE(Q181,"_","-"),"|","-")))))</f>
        <v>#N/A</v>
      </c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2"/>
      <c r="N182" s="32"/>
      <c r="O182" s="32"/>
      <c r="P182" s="32"/>
      <c r="Q182" s="32"/>
      <c r="R182" s="33" t="str">
        <f>IF(K182="----","#N/A",CONCATENATE("MK|",(VLOOKUP(B182,Dictionary!$A:$B,2,0)),"_CH|",(VLOOKUP(C182,Dictionary!$AV:$AW,2,0)),"_DT|",(VLOOKUP(D182,Dictionary!$P:$Q,2,0)),"_PB|",(VLOOKUP(E182,Dictionary!$G:$H,2,0)),"_FM|",(VLOOKUP(F182,Dictionary!$S:$T,2,0)),"_RT|",(VLOOKUP(G182,Dictionary!$V:$W,2,0)),"_PD|",SUBSTITUTE(SUBSTITUTE(IF(H182="","NONE",H182),"_","-"),"|","-"),"_TG|",(VLOOKUP(I182,Dictionary!$J:$K,2,0)),"_ST|",(VLOOKUP(J182,Dictionary!$M:$N,2,0)),"_TS|",SUBSTITUTE(SUBSTITUTE(IF(K182="","NONE",K182),"_","-"),"|","-"),"_SZ|",(VLOOKUP(L182,Dictionary!$Y:$Z,1,0)),"_AD|",(VLOOKUP(M182,Dictionary!$AB:$AC,2,0)),"_IT|",(VLOOKUP(N182,Dictionary!$BC:$BD,2,0)),IF(O182="","",CONCATENATE("_U1|",SUBSTITUTE(SUBSTITUTE(O182,"_","-"),"|","-"))),IF(P182="","",CONCATENATE("_U2|",SUBSTITUTE(SUBSTITUTE(P182,"_","-"),"|","-"))),IF(Q182="","",CONCATENATE("_U3|",SUBSTITUTE(SUBSTITUTE(Q182,"_","-"),"|","-")))))</f>
        <v>#N/A</v>
      </c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2"/>
      <c r="N183" s="32"/>
      <c r="O183" s="32"/>
      <c r="P183" s="32"/>
      <c r="Q183" s="32"/>
      <c r="R183" s="33" t="str">
        <f>IF(K183="----","#N/A",CONCATENATE("MK|",(VLOOKUP(B183,Dictionary!$A:$B,2,0)),"_CH|",(VLOOKUP(C183,Dictionary!$AV:$AW,2,0)),"_DT|",(VLOOKUP(D183,Dictionary!$P:$Q,2,0)),"_PB|",(VLOOKUP(E183,Dictionary!$G:$H,2,0)),"_FM|",(VLOOKUP(F183,Dictionary!$S:$T,2,0)),"_RT|",(VLOOKUP(G183,Dictionary!$V:$W,2,0)),"_PD|",SUBSTITUTE(SUBSTITUTE(IF(H183="","NONE",H183),"_","-"),"|","-"),"_TG|",(VLOOKUP(I183,Dictionary!$J:$K,2,0)),"_ST|",(VLOOKUP(J183,Dictionary!$M:$N,2,0)),"_TS|",SUBSTITUTE(SUBSTITUTE(IF(K183="","NONE",K183),"_","-"),"|","-"),"_SZ|",(VLOOKUP(L183,Dictionary!$Y:$Z,1,0)),"_AD|",(VLOOKUP(M183,Dictionary!$AB:$AC,2,0)),"_IT|",(VLOOKUP(N183,Dictionary!$BC:$BD,2,0)),IF(O183="","",CONCATENATE("_U1|",SUBSTITUTE(SUBSTITUTE(O183,"_","-"),"|","-"))),IF(P183="","",CONCATENATE("_U2|",SUBSTITUTE(SUBSTITUTE(P183,"_","-"),"|","-"))),IF(Q183="","",CONCATENATE("_U3|",SUBSTITUTE(SUBSTITUTE(Q183,"_","-"),"|","-")))))</f>
        <v>#N/A</v>
      </c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2"/>
      <c r="N184" s="32"/>
      <c r="O184" s="32"/>
      <c r="P184" s="32"/>
      <c r="Q184" s="32"/>
      <c r="R184" s="33" t="str">
        <f>IF(K184="----","#N/A",CONCATENATE("MK|",(VLOOKUP(B184,Dictionary!$A:$B,2,0)),"_CH|",(VLOOKUP(C184,Dictionary!$AV:$AW,2,0)),"_DT|",(VLOOKUP(D184,Dictionary!$P:$Q,2,0)),"_PB|",(VLOOKUP(E184,Dictionary!$G:$H,2,0)),"_FM|",(VLOOKUP(F184,Dictionary!$S:$T,2,0)),"_RT|",(VLOOKUP(G184,Dictionary!$V:$W,2,0)),"_PD|",SUBSTITUTE(SUBSTITUTE(IF(H184="","NONE",H184),"_","-"),"|","-"),"_TG|",(VLOOKUP(I184,Dictionary!$J:$K,2,0)),"_ST|",(VLOOKUP(J184,Dictionary!$M:$N,2,0)),"_TS|",SUBSTITUTE(SUBSTITUTE(IF(K184="","NONE",K184),"_","-"),"|","-"),"_SZ|",(VLOOKUP(L184,Dictionary!$Y:$Z,1,0)),"_AD|",(VLOOKUP(M184,Dictionary!$AB:$AC,2,0)),"_IT|",(VLOOKUP(N184,Dictionary!$BC:$BD,2,0)),IF(O184="","",CONCATENATE("_U1|",SUBSTITUTE(SUBSTITUTE(O184,"_","-"),"|","-"))),IF(P184="","",CONCATENATE("_U2|",SUBSTITUTE(SUBSTITUTE(P184,"_","-"),"|","-"))),IF(Q184="","",CONCATENATE("_U3|",SUBSTITUTE(SUBSTITUTE(Q184,"_","-"),"|","-")))))</f>
        <v>#N/A</v>
      </c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2"/>
      <c r="N185" s="32"/>
      <c r="O185" s="32"/>
      <c r="P185" s="32"/>
      <c r="Q185" s="32"/>
      <c r="R185" s="33" t="str">
        <f>IF(K185="----","#N/A",CONCATENATE("MK|",(VLOOKUP(B185,Dictionary!$A:$B,2,0)),"_CH|",(VLOOKUP(C185,Dictionary!$AV:$AW,2,0)),"_DT|",(VLOOKUP(D185,Dictionary!$P:$Q,2,0)),"_PB|",(VLOOKUP(E185,Dictionary!$G:$H,2,0)),"_FM|",(VLOOKUP(F185,Dictionary!$S:$T,2,0)),"_RT|",(VLOOKUP(G185,Dictionary!$V:$W,2,0)),"_PD|",SUBSTITUTE(SUBSTITUTE(IF(H185="","NONE",H185),"_","-"),"|","-"),"_TG|",(VLOOKUP(I185,Dictionary!$J:$K,2,0)),"_ST|",(VLOOKUP(J185,Dictionary!$M:$N,2,0)),"_TS|",SUBSTITUTE(SUBSTITUTE(IF(K185="","NONE",K185),"_","-"),"|","-"),"_SZ|",(VLOOKUP(L185,Dictionary!$Y:$Z,1,0)),"_AD|",(VLOOKUP(M185,Dictionary!$AB:$AC,2,0)),"_IT|",(VLOOKUP(N185,Dictionary!$BC:$BD,2,0)),IF(O185="","",CONCATENATE("_U1|",SUBSTITUTE(SUBSTITUTE(O185,"_","-"),"|","-"))),IF(P185="","",CONCATENATE("_U2|",SUBSTITUTE(SUBSTITUTE(P185,"_","-"),"|","-"))),IF(Q185="","",CONCATENATE("_U3|",SUBSTITUTE(SUBSTITUTE(Q185,"_","-"),"|","-")))))</f>
        <v>#N/A</v>
      </c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2"/>
      <c r="N186" s="32"/>
      <c r="O186" s="32"/>
      <c r="P186" s="32"/>
      <c r="Q186" s="32"/>
      <c r="R186" s="33" t="str">
        <f>IF(K186="----","#N/A",CONCATENATE("MK|",(VLOOKUP(B186,Dictionary!$A:$B,2,0)),"_CH|",(VLOOKUP(C186,Dictionary!$AV:$AW,2,0)),"_DT|",(VLOOKUP(D186,Dictionary!$P:$Q,2,0)),"_PB|",(VLOOKUP(E186,Dictionary!$G:$H,2,0)),"_FM|",(VLOOKUP(F186,Dictionary!$S:$T,2,0)),"_RT|",(VLOOKUP(G186,Dictionary!$V:$W,2,0)),"_PD|",SUBSTITUTE(SUBSTITUTE(IF(H186="","NONE",H186),"_","-"),"|","-"),"_TG|",(VLOOKUP(I186,Dictionary!$J:$K,2,0)),"_ST|",(VLOOKUP(J186,Dictionary!$M:$N,2,0)),"_TS|",SUBSTITUTE(SUBSTITUTE(IF(K186="","NONE",K186),"_","-"),"|","-"),"_SZ|",(VLOOKUP(L186,Dictionary!$Y:$Z,1,0)),"_AD|",(VLOOKUP(M186,Dictionary!$AB:$AC,2,0)),"_IT|",(VLOOKUP(N186,Dictionary!$BC:$BD,2,0)),IF(O186="","",CONCATENATE("_U1|",SUBSTITUTE(SUBSTITUTE(O186,"_","-"),"|","-"))),IF(P186="","",CONCATENATE("_U2|",SUBSTITUTE(SUBSTITUTE(P186,"_","-"),"|","-"))),IF(Q186="","",CONCATENATE("_U3|",SUBSTITUTE(SUBSTITUTE(Q186,"_","-"),"|","-")))))</f>
        <v>#N/A</v>
      </c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2"/>
      <c r="N187" s="32"/>
      <c r="O187" s="32"/>
      <c r="P187" s="32"/>
      <c r="Q187" s="32"/>
      <c r="R187" s="33" t="str">
        <f>IF(K187="----","#N/A",CONCATENATE("MK|",(VLOOKUP(B187,Dictionary!$A:$B,2,0)),"_CH|",(VLOOKUP(C187,Dictionary!$AV:$AW,2,0)),"_DT|",(VLOOKUP(D187,Dictionary!$P:$Q,2,0)),"_PB|",(VLOOKUP(E187,Dictionary!$G:$H,2,0)),"_FM|",(VLOOKUP(F187,Dictionary!$S:$T,2,0)),"_RT|",(VLOOKUP(G187,Dictionary!$V:$W,2,0)),"_PD|",SUBSTITUTE(SUBSTITUTE(IF(H187="","NONE",H187),"_","-"),"|","-"),"_TG|",(VLOOKUP(I187,Dictionary!$J:$K,2,0)),"_ST|",(VLOOKUP(J187,Dictionary!$M:$N,2,0)),"_TS|",SUBSTITUTE(SUBSTITUTE(IF(K187="","NONE",K187),"_","-"),"|","-"),"_SZ|",(VLOOKUP(L187,Dictionary!$Y:$Z,1,0)),"_AD|",(VLOOKUP(M187,Dictionary!$AB:$AC,2,0)),"_IT|",(VLOOKUP(N187,Dictionary!$BC:$BD,2,0)),IF(O187="","",CONCATENATE("_U1|",SUBSTITUTE(SUBSTITUTE(O187,"_","-"),"|","-"))),IF(P187="","",CONCATENATE("_U2|",SUBSTITUTE(SUBSTITUTE(P187,"_","-"),"|","-"))),IF(Q187="","",CONCATENATE("_U3|",SUBSTITUTE(SUBSTITUTE(Q187,"_","-"),"|","-")))))</f>
        <v>#N/A</v>
      </c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2"/>
      <c r="N188" s="32"/>
      <c r="O188" s="32"/>
      <c r="P188" s="32"/>
      <c r="Q188" s="32"/>
      <c r="R188" s="33" t="str">
        <f>IF(K188="----","#N/A",CONCATENATE("MK|",(VLOOKUP(B188,Dictionary!$A:$B,2,0)),"_CH|",(VLOOKUP(C188,Dictionary!$AV:$AW,2,0)),"_DT|",(VLOOKUP(D188,Dictionary!$P:$Q,2,0)),"_PB|",(VLOOKUP(E188,Dictionary!$G:$H,2,0)),"_FM|",(VLOOKUP(F188,Dictionary!$S:$T,2,0)),"_RT|",(VLOOKUP(G188,Dictionary!$V:$W,2,0)),"_PD|",SUBSTITUTE(SUBSTITUTE(IF(H188="","NONE",H188),"_","-"),"|","-"),"_TG|",(VLOOKUP(I188,Dictionary!$J:$K,2,0)),"_ST|",(VLOOKUP(J188,Dictionary!$M:$N,2,0)),"_TS|",SUBSTITUTE(SUBSTITUTE(IF(K188="","NONE",K188),"_","-"),"|","-"),"_SZ|",(VLOOKUP(L188,Dictionary!$Y:$Z,1,0)),"_AD|",(VLOOKUP(M188,Dictionary!$AB:$AC,2,0)),"_IT|",(VLOOKUP(N188,Dictionary!$BC:$BD,2,0)),IF(O188="","",CONCATENATE("_U1|",SUBSTITUTE(SUBSTITUTE(O188,"_","-"),"|","-"))),IF(P188="","",CONCATENATE("_U2|",SUBSTITUTE(SUBSTITUTE(P188,"_","-"),"|","-"))),IF(Q188="","",CONCATENATE("_U3|",SUBSTITUTE(SUBSTITUTE(Q188,"_","-"),"|","-")))))</f>
        <v>#N/A</v>
      </c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2"/>
      <c r="N189" s="32"/>
      <c r="O189" s="32"/>
      <c r="P189" s="32"/>
      <c r="Q189" s="32"/>
      <c r="R189" s="33" t="str">
        <f>IF(K189="----","#N/A",CONCATENATE("MK|",(VLOOKUP(B189,Dictionary!$A:$B,2,0)),"_CH|",(VLOOKUP(C189,Dictionary!$AV:$AW,2,0)),"_DT|",(VLOOKUP(D189,Dictionary!$P:$Q,2,0)),"_PB|",(VLOOKUP(E189,Dictionary!$G:$H,2,0)),"_FM|",(VLOOKUP(F189,Dictionary!$S:$T,2,0)),"_RT|",(VLOOKUP(G189,Dictionary!$V:$W,2,0)),"_PD|",SUBSTITUTE(SUBSTITUTE(IF(H189="","NONE",H189),"_","-"),"|","-"),"_TG|",(VLOOKUP(I189,Dictionary!$J:$K,2,0)),"_ST|",(VLOOKUP(J189,Dictionary!$M:$N,2,0)),"_TS|",SUBSTITUTE(SUBSTITUTE(IF(K189="","NONE",K189),"_","-"),"|","-"),"_SZ|",(VLOOKUP(L189,Dictionary!$Y:$Z,1,0)),"_AD|",(VLOOKUP(M189,Dictionary!$AB:$AC,2,0)),"_IT|",(VLOOKUP(N189,Dictionary!$BC:$BD,2,0)),IF(O189="","",CONCATENATE("_U1|",SUBSTITUTE(SUBSTITUTE(O189,"_","-"),"|","-"))),IF(P189="","",CONCATENATE("_U2|",SUBSTITUTE(SUBSTITUTE(P189,"_","-"),"|","-"))),IF(Q189="","",CONCATENATE("_U3|",SUBSTITUTE(SUBSTITUTE(Q189,"_","-"),"|","-")))))</f>
        <v>#N/A</v>
      </c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2"/>
      <c r="N190" s="32"/>
      <c r="O190" s="32"/>
      <c r="P190" s="32"/>
      <c r="Q190" s="32"/>
      <c r="R190" s="33" t="str">
        <f>IF(K190="----","#N/A",CONCATENATE("MK|",(VLOOKUP(B190,Dictionary!$A:$B,2,0)),"_CH|",(VLOOKUP(C190,Dictionary!$AV:$AW,2,0)),"_DT|",(VLOOKUP(D190,Dictionary!$P:$Q,2,0)),"_PB|",(VLOOKUP(E190,Dictionary!$G:$H,2,0)),"_FM|",(VLOOKUP(F190,Dictionary!$S:$T,2,0)),"_RT|",(VLOOKUP(G190,Dictionary!$V:$W,2,0)),"_PD|",SUBSTITUTE(SUBSTITUTE(IF(H190="","NONE",H190),"_","-"),"|","-"),"_TG|",(VLOOKUP(I190,Dictionary!$J:$K,2,0)),"_ST|",(VLOOKUP(J190,Dictionary!$M:$N,2,0)),"_TS|",SUBSTITUTE(SUBSTITUTE(IF(K190="","NONE",K190),"_","-"),"|","-"),"_SZ|",(VLOOKUP(L190,Dictionary!$Y:$Z,1,0)),"_AD|",(VLOOKUP(M190,Dictionary!$AB:$AC,2,0)),"_IT|",(VLOOKUP(N190,Dictionary!$BC:$BD,2,0)),IF(O190="","",CONCATENATE("_U1|",SUBSTITUTE(SUBSTITUTE(O190,"_","-"),"|","-"))),IF(P190="","",CONCATENATE("_U2|",SUBSTITUTE(SUBSTITUTE(P190,"_","-"),"|","-"))),IF(Q190="","",CONCATENATE("_U3|",SUBSTITUTE(SUBSTITUTE(Q190,"_","-"),"|","-")))))</f>
        <v>#N/A</v>
      </c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2"/>
      <c r="N191" s="32"/>
      <c r="O191" s="32"/>
      <c r="P191" s="32"/>
      <c r="Q191" s="32"/>
      <c r="R191" s="33" t="str">
        <f>IF(K191="----","#N/A",CONCATENATE("MK|",(VLOOKUP(B191,Dictionary!$A:$B,2,0)),"_CH|",(VLOOKUP(C191,Dictionary!$AV:$AW,2,0)),"_DT|",(VLOOKUP(D191,Dictionary!$P:$Q,2,0)),"_PB|",(VLOOKUP(E191,Dictionary!$G:$H,2,0)),"_FM|",(VLOOKUP(F191,Dictionary!$S:$T,2,0)),"_RT|",(VLOOKUP(G191,Dictionary!$V:$W,2,0)),"_PD|",SUBSTITUTE(SUBSTITUTE(IF(H191="","NONE",H191),"_","-"),"|","-"),"_TG|",(VLOOKUP(I191,Dictionary!$J:$K,2,0)),"_ST|",(VLOOKUP(J191,Dictionary!$M:$N,2,0)),"_TS|",SUBSTITUTE(SUBSTITUTE(IF(K191="","NONE",K191),"_","-"),"|","-"),"_SZ|",(VLOOKUP(L191,Dictionary!$Y:$Z,1,0)),"_AD|",(VLOOKUP(M191,Dictionary!$AB:$AC,2,0)),"_IT|",(VLOOKUP(N191,Dictionary!$BC:$BD,2,0)),IF(O191="","",CONCATENATE("_U1|",SUBSTITUTE(SUBSTITUTE(O191,"_","-"),"|","-"))),IF(P191="","",CONCATENATE("_U2|",SUBSTITUTE(SUBSTITUTE(P191,"_","-"),"|","-"))),IF(Q191="","",CONCATENATE("_U3|",SUBSTITUTE(SUBSTITUTE(Q191,"_","-"),"|","-")))))</f>
        <v>#N/A</v>
      </c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2"/>
      <c r="N192" s="32"/>
      <c r="O192" s="32"/>
      <c r="P192" s="32"/>
      <c r="Q192" s="32"/>
      <c r="R192" s="33" t="str">
        <f>IF(K192="----","#N/A",CONCATENATE("MK|",(VLOOKUP(B192,Dictionary!$A:$B,2,0)),"_CH|",(VLOOKUP(C192,Dictionary!$AV:$AW,2,0)),"_DT|",(VLOOKUP(D192,Dictionary!$P:$Q,2,0)),"_PB|",(VLOOKUP(E192,Dictionary!$G:$H,2,0)),"_FM|",(VLOOKUP(F192,Dictionary!$S:$T,2,0)),"_RT|",(VLOOKUP(G192,Dictionary!$V:$W,2,0)),"_PD|",SUBSTITUTE(SUBSTITUTE(IF(H192="","NONE",H192),"_","-"),"|","-"),"_TG|",(VLOOKUP(I192,Dictionary!$J:$K,2,0)),"_ST|",(VLOOKUP(J192,Dictionary!$M:$N,2,0)),"_TS|",SUBSTITUTE(SUBSTITUTE(IF(K192="","NONE",K192),"_","-"),"|","-"),"_SZ|",(VLOOKUP(L192,Dictionary!$Y:$Z,1,0)),"_AD|",(VLOOKUP(M192,Dictionary!$AB:$AC,2,0)),"_IT|",(VLOOKUP(N192,Dictionary!$BC:$BD,2,0)),IF(O192="","",CONCATENATE("_U1|",SUBSTITUTE(SUBSTITUTE(O192,"_","-"),"|","-"))),IF(P192="","",CONCATENATE("_U2|",SUBSTITUTE(SUBSTITUTE(P192,"_","-"),"|","-"))),IF(Q192="","",CONCATENATE("_U3|",SUBSTITUTE(SUBSTITUTE(Q192,"_","-"),"|","-")))))</f>
        <v>#N/A</v>
      </c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2"/>
      <c r="N193" s="32"/>
      <c r="O193" s="32"/>
      <c r="P193" s="32"/>
      <c r="Q193" s="32"/>
      <c r="R193" s="33" t="str">
        <f>IF(K193="----","#N/A",CONCATENATE("MK|",(VLOOKUP(B193,Dictionary!$A:$B,2,0)),"_CH|",(VLOOKUP(C193,Dictionary!$AV:$AW,2,0)),"_DT|",(VLOOKUP(D193,Dictionary!$P:$Q,2,0)),"_PB|",(VLOOKUP(E193,Dictionary!$G:$H,2,0)),"_FM|",(VLOOKUP(F193,Dictionary!$S:$T,2,0)),"_RT|",(VLOOKUP(G193,Dictionary!$V:$W,2,0)),"_PD|",SUBSTITUTE(SUBSTITUTE(IF(H193="","NONE",H193),"_","-"),"|","-"),"_TG|",(VLOOKUP(I193,Dictionary!$J:$K,2,0)),"_ST|",(VLOOKUP(J193,Dictionary!$M:$N,2,0)),"_TS|",SUBSTITUTE(SUBSTITUTE(IF(K193="","NONE",K193),"_","-"),"|","-"),"_SZ|",(VLOOKUP(L193,Dictionary!$Y:$Z,1,0)),"_AD|",(VLOOKUP(M193,Dictionary!$AB:$AC,2,0)),"_IT|",(VLOOKUP(N193,Dictionary!$BC:$BD,2,0)),IF(O193="","",CONCATENATE("_U1|",SUBSTITUTE(SUBSTITUTE(O193,"_","-"),"|","-"))),IF(P193="","",CONCATENATE("_U2|",SUBSTITUTE(SUBSTITUTE(P193,"_","-"),"|","-"))),IF(Q193="","",CONCATENATE("_U3|",SUBSTITUTE(SUBSTITUTE(Q193,"_","-"),"|","-")))))</f>
        <v>#N/A</v>
      </c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2"/>
      <c r="N194" s="32"/>
      <c r="O194" s="32"/>
      <c r="P194" s="32"/>
      <c r="Q194" s="32"/>
      <c r="R194" s="33" t="str">
        <f>IF(K194="----","#N/A",CONCATENATE("MK|",(VLOOKUP(B194,Dictionary!$A:$B,2,0)),"_CH|",(VLOOKUP(C194,Dictionary!$AV:$AW,2,0)),"_DT|",(VLOOKUP(D194,Dictionary!$P:$Q,2,0)),"_PB|",(VLOOKUP(E194,Dictionary!$G:$H,2,0)),"_FM|",(VLOOKUP(F194,Dictionary!$S:$T,2,0)),"_RT|",(VLOOKUP(G194,Dictionary!$V:$W,2,0)),"_PD|",SUBSTITUTE(SUBSTITUTE(IF(H194="","NONE",H194),"_","-"),"|","-"),"_TG|",(VLOOKUP(I194,Dictionary!$J:$K,2,0)),"_ST|",(VLOOKUP(J194,Dictionary!$M:$N,2,0)),"_TS|",SUBSTITUTE(SUBSTITUTE(IF(K194="","NONE",K194),"_","-"),"|","-"),"_SZ|",(VLOOKUP(L194,Dictionary!$Y:$Z,1,0)),"_AD|",(VLOOKUP(M194,Dictionary!$AB:$AC,2,0)),"_IT|",(VLOOKUP(N194,Dictionary!$BC:$BD,2,0)),IF(O194="","",CONCATENATE("_U1|",SUBSTITUTE(SUBSTITUTE(O194,"_","-"),"|","-"))),IF(P194="","",CONCATENATE("_U2|",SUBSTITUTE(SUBSTITUTE(P194,"_","-"),"|","-"))),IF(Q194="","",CONCATENATE("_U3|",SUBSTITUTE(SUBSTITUTE(Q194,"_","-"),"|","-")))))</f>
        <v>#N/A</v>
      </c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2"/>
      <c r="N195" s="32"/>
      <c r="O195" s="32"/>
      <c r="P195" s="32"/>
      <c r="Q195" s="32"/>
      <c r="R195" s="33" t="str">
        <f>IF(K195="----","#N/A",CONCATENATE("MK|",(VLOOKUP(B195,Dictionary!$A:$B,2,0)),"_CH|",(VLOOKUP(C195,Dictionary!$AV:$AW,2,0)),"_DT|",(VLOOKUP(D195,Dictionary!$P:$Q,2,0)),"_PB|",(VLOOKUP(E195,Dictionary!$G:$H,2,0)),"_FM|",(VLOOKUP(F195,Dictionary!$S:$T,2,0)),"_RT|",(VLOOKUP(G195,Dictionary!$V:$W,2,0)),"_PD|",SUBSTITUTE(SUBSTITUTE(IF(H195="","NONE",H195),"_","-"),"|","-"),"_TG|",(VLOOKUP(I195,Dictionary!$J:$K,2,0)),"_ST|",(VLOOKUP(J195,Dictionary!$M:$N,2,0)),"_TS|",SUBSTITUTE(SUBSTITUTE(IF(K195="","NONE",K195),"_","-"),"|","-"),"_SZ|",(VLOOKUP(L195,Dictionary!$Y:$Z,1,0)),"_AD|",(VLOOKUP(M195,Dictionary!$AB:$AC,2,0)),"_IT|",(VLOOKUP(N195,Dictionary!$BC:$BD,2,0)),IF(O195="","",CONCATENATE("_U1|",SUBSTITUTE(SUBSTITUTE(O195,"_","-"),"|","-"))),IF(P195="","",CONCATENATE("_U2|",SUBSTITUTE(SUBSTITUTE(P195,"_","-"),"|","-"))),IF(Q195="","",CONCATENATE("_U3|",SUBSTITUTE(SUBSTITUTE(Q195,"_","-"),"|","-")))))</f>
        <v>#N/A</v>
      </c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2"/>
      <c r="N196" s="32"/>
      <c r="O196" s="32"/>
      <c r="P196" s="32"/>
      <c r="Q196" s="32"/>
      <c r="R196" s="33" t="str">
        <f>IF(K196="----","#N/A",CONCATENATE("MK|",(VLOOKUP(B196,Dictionary!$A:$B,2,0)),"_CH|",(VLOOKUP(C196,Dictionary!$AV:$AW,2,0)),"_DT|",(VLOOKUP(D196,Dictionary!$P:$Q,2,0)),"_PB|",(VLOOKUP(E196,Dictionary!$G:$H,2,0)),"_FM|",(VLOOKUP(F196,Dictionary!$S:$T,2,0)),"_RT|",(VLOOKUP(G196,Dictionary!$V:$W,2,0)),"_PD|",SUBSTITUTE(SUBSTITUTE(IF(H196="","NONE",H196),"_","-"),"|","-"),"_TG|",(VLOOKUP(I196,Dictionary!$J:$K,2,0)),"_ST|",(VLOOKUP(J196,Dictionary!$M:$N,2,0)),"_TS|",SUBSTITUTE(SUBSTITUTE(IF(K196="","NONE",K196),"_","-"),"|","-"),"_SZ|",(VLOOKUP(L196,Dictionary!$Y:$Z,1,0)),"_AD|",(VLOOKUP(M196,Dictionary!$AB:$AC,2,0)),"_IT|",(VLOOKUP(N196,Dictionary!$BC:$BD,2,0)),IF(O196="","",CONCATENATE("_U1|",SUBSTITUTE(SUBSTITUTE(O196,"_","-"),"|","-"))),IF(P196="","",CONCATENATE("_U2|",SUBSTITUTE(SUBSTITUTE(P196,"_","-"),"|","-"))),IF(Q196="","",CONCATENATE("_U3|",SUBSTITUTE(SUBSTITUTE(Q196,"_","-"),"|","-")))))</f>
        <v>#N/A</v>
      </c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2"/>
      <c r="N197" s="32"/>
      <c r="O197" s="32"/>
      <c r="P197" s="32"/>
      <c r="Q197" s="32"/>
      <c r="R197" s="33" t="str">
        <f>IF(K197="----","#N/A",CONCATENATE("MK|",(VLOOKUP(B197,Dictionary!$A:$B,2,0)),"_CH|",(VLOOKUP(C197,Dictionary!$AV:$AW,2,0)),"_DT|",(VLOOKUP(D197,Dictionary!$P:$Q,2,0)),"_PB|",(VLOOKUP(E197,Dictionary!$G:$H,2,0)),"_FM|",(VLOOKUP(F197,Dictionary!$S:$T,2,0)),"_RT|",(VLOOKUP(G197,Dictionary!$V:$W,2,0)),"_PD|",SUBSTITUTE(SUBSTITUTE(IF(H197="","NONE",H197),"_","-"),"|","-"),"_TG|",(VLOOKUP(I197,Dictionary!$J:$K,2,0)),"_ST|",(VLOOKUP(J197,Dictionary!$M:$N,2,0)),"_TS|",SUBSTITUTE(SUBSTITUTE(IF(K197="","NONE",K197),"_","-"),"|","-"),"_SZ|",(VLOOKUP(L197,Dictionary!$Y:$Z,1,0)),"_AD|",(VLOOKUP(M197,Dictionary!$AB:$AC,2,0)),"_IT|",(VLOOKUP(N197,Dictionary!$BC:$BD,2,0)),IF(O197="","",CONCATENATE("_U1|",SUBSTITUTE(SUBSTITUTE(O197,"_","-"),"|","-"))),IF(P197="","",CONCATENATE("_U2|",SUBSTITUTE(SUBSTITUTE(P197,"_","-"),"|","-"))),IF(Q197="","",CONCATENATE("_U3|",SUBSTITUTE(SUBSTITUTE(Q197,"_","-"),"|","-")))))</f>
        <v>#N/A</v>
      </c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2"/>
      <c r="N198" s="32"/>
      <c r="O198" s="32"/>
      <c r="P198" s="32"/>
      <c r="Q198" s="32"/>
      <c r="R198" s="33" t="str">
        <f>IF(K198="----","#N/A",CONCATENATE("MK|",(VLOOKUP(B198,Dictionary!$A:$B,2,0)),"_CH|",(VLOOKUP(C198,Dictionary!$AV:$AW,2,0)),"_DT|",(VLOOKUP(D198,Dictionary!$P:$Q,2,0)),"_PB|",(VLOOKUP(E198,Dictionary!$G:$H,2,0)),"_FM|",(VLOOKUP(F198,Dictionary!$S:$T,2,0)),"_RT|",(VLOOKUP(G198,Dictionary!$V:$W,2,0)),"_PD|",SUBSTITUTE(SUBSTITUTE(IF(H198="","NONE",H198),"_","-"),"|","-"),"_TG|",(VLOOKUP(I198,Dictionary!$J:$K,2,0)),"_ST|",(VLOOKUP(J198,Dictionary!$M:$N,2,0)),"_TS|",SUBSTITUTE(SUBSTITUTE(IF(K198="","NONE",K198),"_","-"),"|","-"),"_SZ|",(VLOOKUP(L198,Dictionary!$Y:$Z,1,0)),"_AD|",(VLOOKUP(M198,Dictionary!$AB:$AC,2,0)),"_IT|",(VLOOKUP(N198,Dictionary!$BC:$BD,2,0)),IF(O198="","",CONCATENATE("_U1|",SUBSTITUTE(SUBSTITUTE(O198,"_","-"),"|","-"))),IF(P198="","",CONCATENATE("_U2|",SUBSTITUTE(SUBSTITUTE(P198,"_","-"),"|","-"))),IF(Q198="","",CONCATENATE("_U3|",SUBSTITUTE(SUBSTITUTE(Q198,"_","-"),"|","-")))))</f>
        <v>#N/A</v>
      </c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2"/>
      <c r="N199" s="32"/>
      <c r="O199" s="32"/>
      <c r="P199" s="32"/>
      <c r="Q199" s="32"/>
      <c r="R199" s="33" t="str">
        <f>IF(K199="----","#N/A",CONCATENATE("MK|",(VLOOKUP(B199,Dictionary!$A:$B,2,0)),"_CH|",(VLOOKUP(C199,Dictionary!$AV:$AW,2,0)),"_DT|",(VLOOKUP(D199,Dictionary!$P:$Q,2,0)),"_PB|",(VLOOKUP(E199,Dictionary!$G:$H,2,0)),"_FM|",(VLOOKUP(F199,Dictionary!$S:$T,2,0)),"_RT|",(VLOOKUP(G199,Dictionary!$V:$W,2,0)),"_PD|",SUBSTITUTE(SUBSTITUTE(IF(H199="","NONE",H199),"_","-"),"|","-"),"_TG|",(VLOOKUP(I199,Dictionary!$J:$K,2,0)),"_ST|",(VLOOKUP(J199,Dictionary!$M:$N,2,0)),"_TS|",SUBSTITUTE(SUBSTITUTE(IF(K199="","NONE",K199),"_","-"),"|","-"),"_SZ|",(VLOOKUP(L199,Dictionary!$Y:$Z,1,0)),"_AD|",(VLOOKUP(M199,Dictionary!$AB:$AC,2,0)),"_IT|",(VLOOKUP(N199,Dictionary!$BC:$BD,2,0)),IF(O199="","",CONCATENATE("_U1|",SUBSTITUTE(SUBSTITUTE(O199,"_","-"),"|","-"))),IF(P199="","",CONCATENATE("_U2|",SUBSTITUTE(SUBSTITUTE(P199,"_","-"),"|","-"))),IF(Q199="","",CONCATENATE("_U3|",SUBSTITUTE(SUBSTITUTE(Q199,"_","-"),"|","-")))))</f>
        <v>#N/A</v>
      </c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2"/>
      <c r="N200" s="32"/>
      <c r="O200" s="32"/>
      <c r="P200" s="32"/>
      <c r="Q200" s="32"/>
      <c r="R200" s="33" t="str">
        <f>IF(K200="----","#N/A",CONCATENATE("MK|",(VLOOKUP(B200,Dictionary!$A:$B,2,0)),"_CH|",(VLOOKUP(C200,Dictionary!$AV:$AW,2,0)),"_DT|",(VLOOKUP(D200,Dictionary!$P:$Q,2,0)),"_PB|",(VLOOKUP(E200,Dictionary!$G:$H,2,0)),"_FM|",(VLOOKUP(F200,Dictionary!$S:$T,2,0)),"_RT|",(VLOOKUP(G200,Dictionary!$V:$W,2,0)),"_PD|",SUBSTITUTE(SUBSTITUTE(IF(H200="","NONE",H200),"_","-"),"|","-"),"_TG|",(VLOOKUP(I200,Dictionary!$J:$K,2,0)),"_ST|",(VLOOKUP(J200,Dictionary!$M:$N,2,0)),"_TS|",SUBSTITUTE(SUBSTITUTE(IF(K200="","NONE",K200),"_","-"),"|","-"),"_SZ|",(VLOOKUP(L200,Dictionary!$Y:$Z,1,0)),"_AD|",(VLOOKUP(M200,Dictionary!$AB:$AC,2,0)),"_IT|",(VLOOKUP(N200,Dictionary!$BC:$BD,2,0)),IF(O200="","",CONCATENATE("_U1|",SUBSTITUTE(SUBSTITUTE(O200,"_","-"),"|","-"))),IF(P200="","",CONCATENATE("_U2|",SUBSTITUTE(SUBSTITUTE(P200,"_","-"),"|","-"))),IF(Q200="","",CONCATENATE("_U3|",SUBSTITUTE(SUBSTITUTE(Q200,"_","-"),"|","-")))))</f>
        <v>#N/A</v>
      </c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2"/>
      <c r="N201" s="32"/>
      <c r="O201" s="32"/>
      <c r="P201" s="32"/>
      <c r="Q201" s="32"/>
      <c r="R201" s="33" t="str">
        <f>IF(K201="----","#N/A",CONCATENATE("MK|",(VLOOKUP(B201,Dictionary!$A:$B,2,0)),"_CH|",(VLOOKUP(C201,Dictionary!$AV:$AW,2,0)),"_DT|",(VLOOKUP(D201,Dictionary!$P:$Q,2,0)),"_PB|",(VLOOKUP(E201,Dictionary!$G:$H,2,0)),"_FM|",(VLOOKUP(F201,Dictionary!$S:$T,2,0)),"_RT|",(VLOOKUP(G201,Dictionary!$V:$W,2,0)),"_PD|",SUBSTITUTE(SUBSTITUTE(IF(H201="","NONE",H201),"_","-"),"|","-"),"_TG|",(VLOOKUP(I201,Dictionary!$J:$K,2,0)),"_ST|",(VLOOKUP(J201,Dictionary!$M:$N,2,0)),"_TS|",SUBSTITUTE(SUBSTITUTE(IF(K201="","NONE",K201),"_","-"),"|","-"),"_SZ|",(VLOOKUP(L201,Dictionary!$Y:$Z,1,0)),"_AD|",(VLOOKUP(M201,Dictionary!$AB:$AC,2,0)),"_IT|",(VLOOKUP(N201,Dictionary!$BC:$BD,2,0)),IF(O201="","",CONCATENATE("_U1|",SUBSTITUTE(SUBSTITUTE(O201,"_","-"),"|","-"))),IF(P201="","",CONCATENATE("_U2|",SUBSTITUTE(SUBSTITUTE(P201,"_","-"),"|","-"))),IF(Q201="","",CONCATENATE("_U3|",SUBSTITUTE(SUBSTITUTE(Q201,"_","-"),"|","-")))))</f>
        <v>#N/A</v>
      </c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2"/>
      <c r="N202" s="32"/>
      <c r="O202" s="32"/>
      <c r="P202" s="32"/>
      <c r="Q202" s="32"/>
      <c r="R202" s="33" t="str">
        <f>IF(K202="----","#N/A",CONCATENATE("MK|",(VLOOKUP(B202,Dictionary!$A:$B,2,0)),"_CH|",(VLOOKUP(C202,Dictionary!$AV:$AW,2,0)),"_DT|",(VLOOKUP(D202,Dictionary!$P:$Q,2,0)),"_PB|",(VLOOKUP(E202,Dictionary!$G:$H,2,0)),"_FM|",(VLOOKUP(F202,Dictionary!$S:$T,2,0)),"_RT|",(VLOOKUP(G202,Dictionary!$V:$W,2,0)),"_PD|",SUBSTITUTE(SUBSTITUTE(IF(H202="","NONE",H202),"_","-"),"|","-"),"_TG|",(VLOOKUP(I202,Dictionary!$J:$K,2,0)),"_ST|",(VLOOKUP(J202,Dictionary!$M:$N,2,0)),"_TS|",SUBSTITUTE(SUBSTITUTE(IF(K202="","NONE",K202),"_","-"),"|","-"),"_SZ|",(VLOOKUP(L202,Dictionary!$Y:$Z,1,0)),"_AD|",(VLOOKUP(M202,Dictionary!$AB:$AC,2,0)),"_IT|",(VLOOKUP(N202,Dictionary!$BC:$BD,2,0)),IF(O202="","",CONCATENATE("_U1|",SUBSTITUTE(SUBSTITUTE(O202,"_","-"),"|","-"))),IF(P202="","",CONCATENATE("_U2|",SUBSTITUTE(SUBSTITUTE(P202,"_","-"),"|","-"))),IF(Q202="","",CONCATENATE("_U3|",SUBSTITUTE(SUBSTITUTE(Q202,"_","-"),"|","-")))))</f>
        <v>#N/A</v>
      </c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2"/>
      <c r="N203" s="32"/>
      <c r="O203" s="32"/>
      <c r="P203" s="32"/>
      <c r="Q203" s="32"/>
      <c r="R203" s="33" t="str">
        <f>IF(K203="----","#N/A",CONCATENATE("MK|",(VLOOKUP(B203,Dictionary!$A:$B,2,0)),"_CH|",(VLOOKUP(C203,Dictionary!$AV:$AW,2,0)),"_DT|",(VLOOKUP(D203,Dictionary!$P:$Q,2,0)),"_PB|",(VLOOKUP(E203,Dictionary!$G:$H,2,0)),"_FM|",(VLOOKUP(F203,Dictionary!$S:$T,2,0)),"_RT|",(VLOOKUP(G203,Dictionary!$V:$W,2,0)),"_PD|",SUBSTITUTE(SUBSTITUTE(IF(H203="","NONE",H203),"_","-"),"|","-"),"_TG|",(VLOOKUP(I203,Dictionary!$J:$K,2,0)),"_ST|",(VLOOKUP(J203,Dictionary!$M:$N,2,0)),"_TS|",SUBSTITUTE(SUBSTITUTE(IF(K203="","NONE",K203),"_","-"),"|","-"),"_SZ|",(VLOOKUP(L203,Dictionary!$Y:$Z,1,0)),"_AD|",(VLOOKUP(M203,Dictionary!$AB:$AC,2,0)),"_IT|",(VLOOKUP(N203,Dictionary!$BC:$BD,2,0)),IF(O203="","",CONCATENATE("_U1|",SUBSTITUTE(SUBSTITUTE(O203,"_","-"),"|","-"))),IF(P203="","",CONCATENATE("_U2|",SUBSTITUTE(SUBSTITUTE(P203,"_","-"),"|","-"))),IF(Q203="","",CONCATENATE("_U3|",SUBSTITUTE(SUBSTITUTE(Q203,"_","-"),"|","-")))))</f>
        <v>#N/A</v>
      </c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2"/>
      <c r="N204" s="32"/>
      <c r="O204" s="32"/>
      <c r="P204" s="32"/>
      <c r="Q204" s="32"/>
      <c r="R204" s="33" t="str">
        <f>IF(K204="----","#N/A",CONCATENATE("MK|",(VLOOKUP(B204,Dictionary!$A:$B,2,0)),"_CH|",(VLOOKUP(C204,Dictionary!$AV:$AW,2,0)),"_DT|",(VLOOKUP(D204,Dictionary!$P:$Q,2,0)),"_PB|",(VLOOKUP(E204,Dictionary!$G:$H,2,0)),"_FM|",(VLOOKUP(F204,Dictionary!$S:$T,2,0)),"_RT|",(VLOOKUP(G204,Dictionary!$V:$W,2,0)),"_PD|",SUBSTITUTE(SUBSTITUTE(IF(H204="","NONE",H204),"_","-"),"|","-"),"_TG|",(VLOOKUP(I204,Dictionary!$J:$K,2,0)),"_ST|",(VLOOKUP(J204,Dictionary!$M:$N,2,0)),"_TS|",SUBSTITUTE(SUBSTITUTE(IF(K204="","NONE",K204),"_","-"),"|","-"),"_SZ|",(VLOOKUP(L204,Dictionary!$Y:$Z,1,0)),"_AD|",(VLOOKUP(M204,Dictionary!$AB:$AC,2,0)),"_IT|",(VLOOKUP(N204,Dictionary!$BC:$BD,2,0)),IF(O204="","",CONCATENATE("_U1|",SUBSTITUTE(SUBSTITUTE(O204,"_","-"),"|","-"))),IF(P204="","",CONCATENATE("_U2|",SUBSTITUTE(SUBSTITUTE(P204,"_","-"),"|","-"))),IF(Q204="","",CONCATENATE("_U3|",SUBSTITUTE(SUBSTITUTE(Q204,"_","-"),"|","-")))))</f>
        <v>#N/A</v>
      </c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2"/>
      <c r="N205" s="32"/>
      <c r="O205" s="32"/>
      <c r="P205" s="32"/>
      <c r="Q205" s="32"/>
      <c r="R205" s="33" t="str">
        <f>IF(K205="----","#N/A",CONCATENATE("MK|",(VLOOKUP(B205,Dictionary!$A:$B,2,0)),"_CH|",(VLOOKUP(C205,Dictionary!$AV:$AW,2,0)),"_DT|",(VLOOKUP(D205,Dictionary!$P:$Q,2,0)),"_PB|",(VLOOKUP(E205,Dictionary!$G:$H,2,0)),"_FM|",(VLOOKUP(F205,Dictionary!$S:$T,2,0)),"_RT|",(VLOOKUP(G205,Dictionary!$V:$W,2,0)),"_PD|",SUBSTITUTE(SUBSTITUTE(IF(H205="","NONE",H205),"_","-"),"|","-"),"_TG|",(VLOOKUP(I205,Dictionary!$J:$K,2,0)),"_ST|",(VLOOKUP(J205,Dictionary!$M:$N,2,0)),"_TS|",SUBSTITUTE(SUBSTITUTE(IF(K205="","NONE",K205),"_","-"),"|","-"),"_SZ|",(VLOOKUP(L205,Dictionary!$Y:$Z,1,0)),"_AD|",(VLOOKUP(M205,Dictionary!$AB:$AC,2,0)),"_IT|",(VLOOKUP(N205,Dictionary!$BC:$BD,2,0)),IF(O205="","",CONCATENATE("_U1|",SUBSTITUTE(SUBSTITUTE(O205,"_","-"),"|","-"))),IF(P205="","",CONCATENATE("_U2|",SUBSTITUTE(SUBSTITUTE(P205,"_","-"),"|","-"))),IF(Q205="","",CONCATENATE("_U3|",SUBSTITUTE(SUBSTITUTE(Q205,"_","-"),"|","-")))))</f>
        <v>#N/A</v>
      </c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2"/>
      <c r="N206" s="32"/>
      <c r="O206" s="32"/>
      <c r="P206" s="32"/>
      <c r="Q206" s="32"/>
      <c r="R206" s="33" t="str">
        <f>IF(K206="----","#N/A",CONCATENATE("MK|",(VLOOKUP(B206,Dictionary!$A:$B,2,0)),"_CH|",(VLOOKUP(C206,Dictionary!$AV:$AW,2,0)),"_DT|",(VLOOKUP(D206,Dictionary!$P:$Q,2,0)),"_PB|",(VLOOKUP(E206,Dictionary!$G:$H,2,0)),"_FM|",(VLOOKUP(F206,Dictionary!$S:$T,2,0)),"_RT|",(VLOOKUP(G206,Dictionary!$V:$W,2,0)),"_PD|",SUBSTITUTE(SUBSTITUTE(IF(H206="","NONE",H206),"_","-"),"|","-"),"_TG|",(VLOOKUP(I206,Dictionary!$J:$K,2,0)),"_ST|",(VLOOKUP(J206,Dictionary!$M:$N,2,0)),"_TS|",SUBSTITUTE(SUBSTITUTE(IF(K206="","NONE",K206),"_","-"),"|","-"),"_SZ|",(VLOOKUP(L206,Dictionary!$Y:$Z,1,0)),"_AD|",(VLOOKUP(M206,Dictionary!$AB:$AC,2,0)),"_IT|",(VLOOKUP(N206,Dictionary!$BC:$BD,2,0)),IF(O206="","",CONCATENATE("_U1|",SUBSTITUTE(SUBSTITUTE(O206,"_","-"),"|","-"))),IF(P206="","",CONCATENATE("_U2|",SUBSTITUTE(SUBSTITUTE(P206,"_","-"),"|","-"))),IF(Q206="","",CONCATENATE("_U3|",SUBSTITUTE(SUBSTITUTE(Q206,"_","-"),"|","-")))))</f>
        <v>#N/A</v>
      </c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2"/>
      <c r="N207" s="32"/>
      <c r="O207" s="32"/>
      <c r="P207" s="32"/>
      <c r="Q207" s="32"/>
      <c r="R207" s="33" t="str">
        <f>IF(K207="----","#N/A",CONCATENATE("MK|",(VLOOKUP(B207,Dictionary!$A:$B,2,0)),"_CH|",(VLOOKUP(C207,Dictionary!$AV:$AW,2,0)),"_DT|",(VLOOKUP(D207,Dictionary!$P:$Q,2,0)),"_PB|",(VLOOKUP(E207,Dictionary!$G:$H,2,0)),"_FM|",(VLOOKUP(F207,Dictionary!$S:$T,2,0)),"_RT|",(VLOOKUP(G207,Dictionary!$V:$W,2,0)),"_PD|",SUBSTITUTE(SUBSTITUTE(IF(H207="","NONE",H207),"_","-"),"|","-"),"_TG|",(VLOOKUP(I207,Dictionary!$J:$K,2,0)),"_ST|",(VLOOKUP(J207,Dictionary!$M:$N,2,0)),"_TS|",SUBSTITUTE(SUBSTITUTE(IF(K207="","NONE",K207),"_","-"),"|","-"),"_SZ|",(VLOOKUP(L207,Dictionary!$Y:$Z,1,0)),"_AD|",(VLOOKUP(M207,Dictionary!$AB:$AC,2,0)),"_IT|",(VLOOKUP(N207,Dictionary!$BC:$BD,2,0)),IF(O207="","",CONCATENATE("_U1|",SUBSTITUTE(SUBSTITUTE(O207,"_","-"),"|","-"))),IF(P207="","",CONCATENATE("_U2|",SUBSTITUTE(SUBSTITUTE(P207,"_","-"),"|","-"))),IF(Q207="","",CONCATENATE("_U3|",SUBSTITUTE(SUBSTITUTE(Q207,"_","-"),"|","-")))))</f>
        <v>#N/A</v>
      </c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2"/>
      <c r="N208" s="32"/>
      <c r="O208" s="32"/>
      <c r="P208" s="32"/>
      <c r="Q208" s="32"/>
      <c r="R208" s="33" t="str">
        <f>IF(K208="----","#N/A",CONCATENATE("MK|",(VLOOKUP(B208,Dictionary!$A:$B,2,0)),"_CH|",(VLOOKUP(C208,Dictionary!$AV:$AW,2,0)),"_DT|",(VLOOKUP(D208,Dictionary!$P:$Q,2,0)),"_PB|",(VLOOKUP(E208,Dictionary!$G:$H,2,0)),"_FM|",(VLOOKUP(F208,Dictionary!$S:$T,2,0)),"_RT|",(VLOOKUP(G208,Dictionary!$V:$W,2,0)),"_PD|",SUBSTITUTE(SUBSTITUTE(IF(H208="","NONE",H208),"_","-"),"|","-"),"_TG|",(VLOOKUP(I208,Dictionary!$J:$K,2,0)),"_ST|",(VLOOKUP(J208,Dictionary!$M:$N,2,0)),"_TS|",SUBSTITUTE(SUBSTITUTE(IF(K208="","NONE",K208),"_","-"),"|","-"),"_SZ|",(VLOOKUP(L208,Dictionary!$Y:$Z,1,0)),"_AD|",(VLOOKUP(M208,Dictionary!$AB:$AC,2,0)),"_IT|",(VLOOKUP(N208,Dictionary!$BC:$BD,2,0)),IF(O208="","",CONCATENATE("_U1|",SUBSTITUTE(SUBSTITUTE(O208,"_","-"),"|","-"))),IF(P208="","",CONCATENATE("_U2|",SUBSTITUTE(SUBSTITUTE(P208,"_","-"),"|","-"))),IF(Q208="","",CONCATENATE("_U3|",SUBSTITUTE(SUBSTITUTE(Q208,"_","-"),"|","-")))))</f>
        <v>#N/A</v>
      </c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2"/>
      <c r="N209" s="32"/>
      <c r="O209" s="32"/>
      <c r="P209" s="32"/>
      <c r="Q209" s="32"/>
      <c r="R209" s="33" t="str">
        <f>IF(K209="----","#N/A",CONCATENATE("MK|",(VLOOKUP(B209,Dictionary!$A:$B,2,0)),"_CH|",(VLOOKUP(C209,Dictionary!$AV:$AW,2,0)),"_DT|",(VLOOKUP(D209,Dictionary!$P:$Q,2,0)),"_PB|",(VLOOKUP(E209,Dictionary!$G:$H,2,0)),"_FM|",(VLOOKUP(F209,Dictionary!$S:$T,2,0)),"_RT|",(VLOOKUP(G209,Dictionary!$V:$W,2,0)),"_PD|",SUBSTITUTE(SUBSTITUTE(IF(H209="","NONE",H209),"_","-"),"|","-"),"_TG|",(VLOOKUP(I209,Dictionary!$J:$K,2,0)),"_ST|",(VLOOKUP(J209,Dictionary!$M:$N,2,0)),"_TS|",SUBSTITUTE(SUBSTITUTE(IF(K209="","NONE",K209),"_","-"),"|","-"),"_SZ|",(VLOOKUP(L209,Dictionary!$Y:$Z,1,0)),"_AD|",(VLOOKUP(M209,Dictionary!$AB:$AC,2,0)),"_IT|",(VLOOKUP(N209,Dictionary!$BC:$BD,2,0)),IF(O209="","",CONCATENATE("_U1|",SUBSTITUTE(SUBSTITUTE(O209,"_","-"),"|","-"))),IF(P209="","",CONCATENATE("_U2|",SUBSTITUTE(SUBSTITUTE(P209,"_","-"),"|","-"))),IF(Q209="","",CONCATENATE("_U3|",SUBSTITUTE(SUBSTITUTE(Q209,"_","-"),"|","-")))))</f>
        <v>#N/A</v>
      </c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2"/>
      <c r="N210" s="32"/>
      <c r="O210" s="32"/>
      <c r="P210" s="32"/>
      <c r="Q210" s="32"/>
      <c r="R210" s="33" t="str">
        <f>IF(K210="----","#N/A",CONCATENATE("MK|",(VLOOKUP(B210,Dictionary!$A:$B,2,0)),"_CH|",(VLOOKUP(C210,Dictionary!$AV:$AW,2,0)),"_DT|",(VLOOKUP(D210,Dictionary!$P:$Q,2,0)),"_PB|",(VLOOKUP(E210,Dictionary!$G:$H,2,0)),"_FM|",(VLOOKUP(F210,Dictionary!$S:$T,2,0)),"_RT|",(VLOOKUP(G210,Dictionary!$V:$W,2,0)),"_PD|",SUBSTITUTE(SUBSTITUTE(IF(H210="","NONE",H210),"_","-"),"|","-"),"_TG|",(VLOOKUP(I210,Dictionary!$J:$K,2,0)),"_ST|",(VLOOKUP(J210,Dictionary!$M:$N,2,0)),"_TS|",SUBSTITUTE(SUBSTITUTE(IF(K210="","NONE",K210),"_","-"),"|","-"),"_SZ|",(VLOOKUP(L210,Dictionary!$Y:$Z,1,0)),"_AD|",(VLOOKUP(M210,Dictionary!$AB:$AC,2,0)),"_IT|",(VLOOKUP(N210,Dictionary!$BC:$BD,2,0)),IF(O210="","",CONCATENATE("_U1|",SUBSTITUTE(SUBSTITUTE(O210,"_","-"),"|","-"))),IF(P210="","",CONCATENATE("_U2|",SUBSTITUTE(SUBSTITUTE(P210,"_","-"),"|","-"))),IF(Q210="","",CONCATENATE("_U3|",SUBSTITUTE(SUBSTITUTE(Q210,"_","-"),"|","-")))))</f>
        <v>#N/A</v>
      </c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2"/>
      <c r="N211" s="32"/>
      <c r="O211" s="32"/>
      <c r="P211" s="32"/>
      <c r="Q211" s="32"/>
      <c r="R211" s="33" t="str">
        <f>IF(K211="----","#N/A",CONCATENATE("MK|",(VLOOKUP(B211,Dictionary!$A:$B,2,0)),"_CH|",(VLOOKUP(C211,Dictionary!$AV:$AW,2,0)),"_DT|",(VLOOKUP(D211,Dictionary!$P:$Q,2,0)),"_PB|",(VLOOKUP(E211,Dictionary!$G:$H,2,0)),"_FM|",(VLOOKUP(F211,Dictionary!$S:$T,2,0)),"_RT|",(VLOOKUP(G211,Dictionary!$V:$W,2,0)),"_PD|",SUBSTITUTE(SUBSTITUTE(IF(H211="","NONE",H211),"_","-"),"|","-"),"_TG|",(VLOOKUP(I211,Dictionary!$J:$K,2,0)),"_ST|",(VLOOKUP(J211,Dictionary!$M:$N,2,0)),"_TS|",SUBSTITUTE(SUBSTITUTE(IF(K211="","NONE",K211),"_","-"),"|","-"),"_SZ|",(VLOOKUP(L211,Dictionary!$Y:$Z,1,0)),"_AD|",(VLOOKUP(M211,Dictionary!$AB:$AC,2,0)),"_IT|",(VLOOKUP(N211,Dictionary!$BC:$BD,2,0)),IF(O211="","",CONCATENATE("_U1|",SUBSTITUTE(SUBSTITUTE(O211,"_","-"),"|","-"))),IF(P211="","",CONCATENATE("_U2|",SUBSTITUTE(SUBSTITUTE(P211,"_","-"),"|","-"))),IF(Q211="","",CONCATENATE("_U3|",SUBSTITUTE(SUBSTITUTE(Q211,"_","-"),"|","-")))))</f>
        <v>#N/A</v>
      </c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2"/>
      <c r="N212" s="32"/>
      <c r="O212" s="32"/>
      <c r="P212" s="32"/>
      <c r="Q212" s="32"/>
      <c r="R212" s="33" t="str">
        <f>IF(K212="----","#N/A",CONCATENATE("MK|",(VLOOKUP(B212,Dictionary!$A:$B,2,0)),"_CH|",(VLOOKUP(C212,Dictionary!$AV:$AW,2,0)),"_DT|",(VLOOKUP(D212,Dictionary!$P:$Q,2,0)),"_PB|",(VLOOKUP(E212,Dictionary!$G:$H,2,0)),"_FM|",(VLOOKUP(F212,Dictionary!$S:$T,2,0)),"_RT|",(VLOOKUP(G212,Dictionary!$V:$W,2,0)),"_PD|",SUBSTITUTE(SUBSTITUTE(IF(H212="","NONE",H212),"_","-"),"|","-"),"_TG|",(VLOOKUP(I212,Dictionary!$J:$K,2,0)),"_ST|",(VLOOKUP(J212,Dictionary!$M:$N,2,0)),"_TS|",SUBSTITUTE(SUBSTITUTE(IF(K212="","NONE",K212),"_","-"),"|","-"),"_SZ|",(VLOOKUP(L212,Dictionary!$Y:$Z,1,0)),"_AD|",(VLOOKUP(M212,Dictionary!$AB:$AC,2,0)),"_IT|",(VLOOKUP(N212,Dictionary!$BC:$BD,2,0)),IF(O212="","",CONCATENATE("_U1|",SUBSTITUTE(SUBSTITUTE(O212,"_","-"),"|","-"))),IF(P212="","",CONCATENATE("_U2|",SUBSTITUTE(SUBSTITUTE(P212,"_","-"),"|","-"))),IF(Q212="","",CONCATENATE("_U3|",SUBSTITUTE(SUBSTITUTE(Q212,"_","-"),"|","-")))))</f>
        <v>#N/A</v>
      </c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2"/>
      <c r="N213" s="32"/>
      <c r="O213" s="32"/>
      <c r="P213" s="32"/>
      <c r="Q213" s="32"/>
      <c r="R213" s="33" t="str">
        <f>IF(K213="----","#N/A",CONCATENATE("MK|",(VLOOKUP(B213,Dictionary!$A:$B,2,0)),"_CH|",(VLOOKUP(C213,Dictionary!$AV:$AW,2,0)),"_DT|",(VLOOKUP(D213,Dictionary!$P:$Q,2,0)),"_PB|",(VLOOKUP(E213,Dictionary!$G:$H,2,0)),"_FM|",(VLOOKUP(F213,Dictionary!$S:$T,2,0)),"_RT|",(VLOOKUP(G213,Dictionary!$V:$W,2,0)),"_PD|",SUBSTITUTE(SUBSTITUTE(IF(H213="","NONE",H213),"_","-"),"|","-"),"_TG|",(VLOOKUP(I213,Dictionary!$J:$K,2,0)),"_ST|",(VLOOKUP(J213,Dictionary!$M:$N,2,0)),"_TS|",SUBSTITUTE(SUBSTITUTE(IF(K213="","NONE",K213),"_","-"),"|","-"),"_SZ|",(VLOOKUP(L213,Dictionary!$Y:$Z,1,0)),"_AD|",(VLOOKUP(M213,Dictionary!$AB:$AC,2,0)),"_IT|",(VLOOKUP(N213,Dictionary!$BC:$BD,2,0)),IF(O213="","",CONCATENATE("_U1|",SUBSTITUTE(SUBSTITUTE(O213,"_","-"),"|","-"))),IF(P213="","",CONCATENATE("_U2|",SUBSTITUTE(SUBSTITUTE(P213,"_","-"),"|","-"))),IF(Q213="","",CONCATENATE("_U3|",SUBSTITUTE(SUBSTITUTE(Q213,"_","-"),"|","-")))))</f>
        <v>#N/A</v>
      </c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2"/>
      <c r="N214" s="32"/>
      <c r="O214" s="32"/>
      <c r="P214" s="32"/>
      <c r="Q214" s="32"/>
      <c r="R214" s="33" t="str">
        <f>IF(K214="----","#N/A",CONCATENATE("MK|",(VLOOKUP(B214,Dictionary!$A:$B,2,0)),"_CH|",(VLOOKUP(C214,Dictionary!$AV:$AW,2,0)),"_DT|",(VLOOKUP(D214,Dictionary!$P:$Q,2,0)),"_PB|",(VLOOKUP(E214,Dictionary!$G:$H,2,0)),"_FM|",(VLOOKUP(F214,Dictionary!$S:$T,2,0)),"_RT|",(VLOOKUP(G214,Dictionary!$V:$W,2,0)),"_PD|",SUBSTITUTE(SUBSTITUTE(IF(H214="","NONE",H214),"_","-"),"|","-"),"_TG|",(VLOOKUP(I214,Dictionary!$J:$K,2,0)),"_ST|",(VLOOKUP(J214,Dictionary!$M:$N,2,0)),"_TS|",SUBSTITUTE(SUBSTITUTE(IF(K214="","NONE",K214),"_","-"),"|","-"),"_SZ|",(VLOOKUP(L214,Dictionary!$Y:$Z,1,0)),"_AD|",(VLOOKUP(M214,Dictionary!$AB:$AC,2,0)),"_IT|",(VLOOKUP(N214,Dictionary!$BC:$BD,2,0)),IF(O214="","",CONCATENATE("_U1|",SUBSTITUTE(SUBSTITUTE(O214,"_","-"),"|","-"))),IF(P214="","",CONCATENATE("_U2|",SUBSTITUTE(SUBSTITUTE(P214,"_","-"),"|","-"))),IF(Q214="","",CONCATENATE("_U3|",SUBSTITUTE(SUBSTITUTE(Q214,"_","-"),"|","-")))))</f>
        <v>#N/A</v>
      </c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2"/>
      <c r="N215" s="32"/>
      <c r="O215" s="32"/>
      <c r="P215" s="32"/>
      <c r="Q215" s="32"/>
      <c r="R215" s="33" t="str">
        <f>IF(K215="----","#N/A",CONCATENATE("MK|",(VLOOKUP(B215,Dictionary!$A:$B,2,0)),"_CH|",(VLOOKUP(C215,Dictionary!$AV:$AW,2,0)),"_DT|",(VLOOKUP(D215,Dictionary!$P:$Q,2,0)),"_PB|",(VLOOKUP(E215,Dictionary!$G:$H,2,0)),"_FM|",(VLOOKUP(F215,Dictionary!$S:$T,2,0)),"_RT|",(VLOOKUP(G215,Dictionary!$V:$W,2,0)),"_PD|",SUBSTITUTE(SUBSTITUTE(IF(H215="","NONE",H215),"_","-"),"|","-"),"_TG|",(VLOOKUP(I215,Dictionary!$J:$K,2,0)),"_ST|",(VLOOKUP(J215,Dictionary!$M:$N,2,0)),"_TS|",SUBSTITUTE(SUBSTITUTE(IF(K215="","NONE",K215),"_","-"),"|","-"),"_SZ|",(VLOOKUP(L215,Dictionary!$Y:$Z,1,0)),"_AD|",(VLOOKUP(M215,Dictionary!$AB:$AC,2,0)),"_IT|",(VLOOKUP(N215,Dictionary!$BC:$BD,2,0)),IF(O215="","",CONCATENATE("_U1|",SUBSTITUTE(SUBSTITUTE(O215,"_","-"),"|","-"))),IF(P215="","",CONCATENATE("_U2|",SUBSTITUTE(SUBSTITUTE(P215,"_","-"),"|","-"))),IF(Q215="","",CONCATENATE("_U3|",SUBSTITUTE(SUBSTITUTE(Q215,"_","-"),"|","-")))))</f>
        <v>#N/A</v>
      </c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2"/>
      <c r="N216" s="32"/>
      <c r="O216" s="32"/>
      <c r="P216" s="32"/>
      <c r="Q216" s="32"/>
      <c r="R216" s="33" t="str">
        <f>IF(K216="----","#N/A",CONCATENATE("MK|",(VLOOKUP(B216,Dictionary!$A:$B,2,0)),"_CH|",(VLOOKUP(C216,Dictionary!$AV:$AW,2,0)),"_DT|",(VLOOKUP(D216,Dictionary!$P:$Q,2,0)),"_PB|",(VLOOKUP(E216,Dictionary!$G:$H,2,0)),"_FM|",(VLOOKUP(F216,Dictionary!$S:$T,2,0)),"_RT|",(VLOOKUP(G216,Dictionary!$V:$W,2,0)),"_PD|",SUBSTITUTE(SUBSTITUTE(IF(H216="","NONE",H216),"_","-"),"|","-"),"_TG|",(VLOOKUP(I216,Dictionary!$J:$K,2,0)),"_ST|",(VLOOKUP(J216,Dictionary!$M:$N,2,0)),"_TS|",SUBSTITUTE(SUBSTITUTE(IF(K216="","NONE",K216),"_","-"),"|","-"),"_SZ|",(VLOOKUP(L216,Dictionary!$Y:$Z,1,0)),"_AD|",(VLOOKUP(M216,Dictionary!$AB:$AC,2,0)),"_IT|",(VLOOKUP(N216,Dictionary!$BC:$BD,2,0)),IF(O216="","",CONCATENATE("_U1|",SUBSTITUTE(SUBSTITUTE(O216,"_","-"),"|","-"))),IF(P216="","",CONCATENATE("_U2|",SUBSTITUTE(SUBSTITUTE(P216,"_","-"),"|","-"))),IF(Q216="","",CONCATENATE("_U3|",SUBSTITUTE(SUBSTITUTE(Q216,"_","-"),"|","-")))))</f>
        <v>#N/A</v>
      </c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2"/>
      <c r="N217" s="32"/>
      <c r="O217" s="32"/>
      <c r="P217" s="32"/>
      <c r="Q217" s="32"/>
      <c r="R217" s="33" t="str">
        <f>IF(K217="----","#N/A",CONCATENATE("MK|",(VLOOKUP(B217,Dictionary!$A:$B,2,0)),"_CH|",(VLOOKUP(C217,Dictionary!$AV:$AW,2,0)),"_DT|",(VLOOKUP(D217,Dictionary!$P:$Q,2,0)),"_PB|",(VLOOKUP(E217,Dictionary!$G:$H,2,0)),"_FM|",(VLOOKUP(F217,Dictionary!$S:$T,2,0)),"_RT|",(VLOOKUP(G217,Dictionary!$V:$W,2,0)),"_PD|",SUBSTITUTE(SUBSTITUTE(IF(H217="","NONE",H217),"_","-"),"|","-"),"_TG|",(VLOOKUP(I217,Dictionary!$J:$K,2,0)),"_ST|",(VLOOKUP(J217,Dictionary!$M:$N,2,0)),"_TS|",SUBSTITUTE(SUBSTITUTE(IF(K217="","NONE",K217),"_","-"),"|","-"),"_SZ|",(VLOOKUP(L217,Dictionary!$Y:$Z,1,0)),"_AD|",(VLOOKUP(M217,Dictionary!$AB:$AC,2,0)),"_IT|",(VLOOKUP(N217,Dictionary!$BC:$BD,2,0)),IF(O217="","",CONCATENATE("_U1|",SUBSTITUTE(SUBSTITUTE(O217,"_","-"),"|","-"))),IF(P217="","",CONCATENATE("_U2|",SUBSTITUTE(SUBSTITUTE(P217,"_","-"),"|","-"))),IF(Q217="","",CONCATENATE("_U3|",SUBSTITUTE(SUBSTITUTE(Q217,"_","-"),"|","-")))))</f>
        <v>#N/A</v>
      </c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2"/>
      <c r="N218" s="32"/>
      <c r="O218" s="32"/>
      <c r="P218" s="32"/>
      <c r="Q218" s="32"/>
      <c r="R218" s="33" t="str">
        <f>IF(K218="----","#N/A",CONCATENATE("MK|",(VLOOKUP(B218,Dictionary!$A:$B,2,0)),"_CH|",(VLOOKUP(C218,Dictionary!$AV:$AW,2,0)),"_DT|",(VLOOKUP(D218,Dictionary!$P:$Q,2,0)),"_PB|",(VLOOKUP(E218,Dictionary!$G:$H,2,0)),"_FM|",(VLOOKUP(F218,Dictionary!$S:$T,2,0)),"_RT|",(VLOOKUP(G218,Dictionary!$V:$W,2,0)),"_PD|",SUBSTITUTE(SUBSTITUTE(IF(H218="","NONE",H218),"_","-"),"|","-"),"_TG|",(VLOOKUP(I218,Dictionary!$J:$K,2,0)),"_ST|",(VLOOKUP(J218,Dictionary!$M:$N,2,0)),"_TS|",SUBSTITUTE(SUBSTITUTE(IF(K218="","NONE",K218),"_","-"),"|","-"),"_SZ|",(VLOOKUP(L218,Dictionary!$Y:$Z,1,0)),"_AD|",(VLOOKUP(M218,Dictionary!$AB:$AC,2,0)),"_IT|",(VLOOKUP(N218,Dictionary!$BC:$BD,2,0)),IF(O218="","",CONCATENATE("_U1|",SUBSTITUTE(SUBSTITUTE(O218,"_","-"),"|","-"))),IF(P218="","",CONCATENATE("_U2|",SUBSTITUTE(SUBSTITUTE(P218,"_","-"),"|","-"))),IF(Q218="","",CONCATENATE("_U3|",SUBSTITUTE(SUBSTITUTE(Q218,"_","-"),"|","-")))))</f>
        <v>#N/A</v>
      </c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2"/>
      <c r="N219" s="32"/>
      <c r="O219" s="32"/>
      <c r="P219" s="32"/>
      <c r="Q219" s="32"/>
      <c r="R219" s="33" t="str">
        <f>IF(K219="----","#N/A",CONCATENATE("MK|",(VLOOKUP(B219,Dictionary!$A:$B,2,0)),"_CH|",(VLOOKUP(C219,Dictionary!$AV:$AW,2,0)),"_DT|",(VLOOKUP(D219,Dictionary!$P:$Q,2,0)),"_PB|",(VLOOKUP(E219,Dictionary!$G:$H,2,0)),"_FM|",(VLOOKUP(F219,Dictionary!$S:$T,2,0)),"_RT|",(VLOOKUP(G219,Dictionary!$V:$W,2,0)),"_PD|",SUBSTITUTE(SUBSTITUTE(IF(H219="","NONE",H219),"_","-"),"|","-"),"_TG|",(VLOOKUP(I219,Dictionary!$J:$K,2,0)),"_ST|",(VLOOKUP(J219,Dictionary!$M:$N,2,0)),"_TS|",SUBSTITUTE(SUBSTITUTE(IF(K219="","NONE",K219),"_","-"),"|","-"),"_SZ|",(VLOOKUP(L219,Dictionary!$Y:$Z,1,0)),"_AD|",(VLOOKUP(M219,Dictionary!$AB:$AC,2,0)),"_IT|",(VLOOKUP(N219,Dictionary!$BC:$BD,2,0)),IF(O219="","",CONCATENATE("_U1|",SUBSTITUTE(SUBSTITUTE(O219,"_","-"),"|","-"))),IF(P219="","",CONCATENATE("_U2|",SUBSTITUTE(SUBSTITUTE(P219,"_","-"),"|","-"))),IF(Q219="","",CONCATENATE("_U3|",SUBSTITUTE(SUBSTITUTE(Q219,"_","-"),"|","-")))))</f>
        <v>#N/A</v>
      </c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2"/>
      <c r="N220" s="32"/>
      <c r="O220" s="32"/>
      <c r="P220" s="32"/>
      <c r="Q220" s="32"/>
      <c r="R220" s="33" t="str">
        <f>IF(K220="----","#N/A",CONCATENATE("MK|",(VLOOKUP(B220,Dictionary!$A:$B,2,0)),"_CH|",(VLOOKUP(C220,Dictionary!$AV:$AW,2,0)),"_DT|",(VLOOKUP(D220,Dictionary!$P:$Q,2,0)),"_PB|",(VLOOKUP(E220,Dictionary!$G:$H,2,0)),"_FM|",(VLOOKUP(F220,Dictionary!$S:$T,2,0)),"_RT|",(VLOOKUP(G220,Dictionary!$V:$W,2,0)),"_PD|",SUBSTITUTE(SUBSTITUTE(IF(H220="","NONE",H220),"_","-"),"|","-"),"_TG|",(VLOOKUP(I220,Dictionary!$J:$K,2,0)),"_ST|",(VLOOKUP(J220,Dictionary!$M:$N,2,0)),"_TS|",SUBSTITUTE(SUBSTITUTE(IF(K220="","NONE",K220),"_","-"),"|","-"),"_SZ|",(VLOOKUP(L220,Dictionary!$Y:$Z,1,0)),"_AD|",(VLOOKUP(M220,Dictionary!$AB:$AC,2,0)),"_IT|",(VLOOKUP(N220,Dictionary!$BC:$BD,2,0)),IF(O220="","",CONCATENATE("_U1|",SUBSTITUTE(SUBSTITUTE(O220,"_","-"),"|","-"))),IF(P220="","",CONCATENATE("_U2|",SUBSTITUTE(SUBSTITUTE(P220,"_","-"),"|","-"))),IF(Q220="","",CONCATENATE("_U3|",SUBSTITUTE(SUBSTITUTE(Q220,"_","-"),"|","-")))))</f>
        <v>#N/A</v>
      </c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2"/>
      <c r="N221" s="32"/>
      <c r="O221" s="32"/>
      <c r="P221" s="32"/>
      <c r="Q221" s="32"/>
      <c r="R221" s="33" t="str">
        <f>IF(K221="----","#N/A",CONCATENATE("MK|",(VLOOKUP(B221,Dictionary!$A:$B,2,0)),"_CH|",(VLOOKUP(C221,Dictionary!$AV:$AW,2,0)),"_DT|",(VLOOKUP(D221,Dictionary!$P:$Q,2,0)),"_PB|",(VLOOKUP(E221,Dictionary!$G:$H,2,0)),"_FM|",(VLOOKUP(F221,Dictionary!$S:$T,2,0)),"_RT|",(VLOOKUP(G221,Dictionary!$V:$W,2,0)),"_PD|",SUBSTITUTE(SUBSTITUTE(IF(H221="","NONE",H221),"_","-"),"|","-"),"_TG|",(VLOOKUP(I221,Dictionary!$J:$K,2,0)),"_ST|",(VLOOKUP(J221,Dictionary!$M:$N,2,0)),"_TS|",SUBSTITUTE(SUBSTITUTE(IF(K221="","NONE",K221),"_","-"),"|","-"),"_SZ|",(VLOOKUP(L221,Dictionary!$Y:$Z,1,0)),"_AD|",(VLOOKUP(M221,Dictionary!$AB:$AC,2,0)),"_IT|",(VLOOKUP(N221,Dictionary!$BC:$BD,2,0)),IF(O221="","",CONCATENATE("_U1|",SUBSTITUTE(SUBSTITUTE(O221,"_","-"),"|","-"))),IF(P221="","",CONCATENATE("_U2|",SUBSTITUTE(SUBSTITUTE(P221,"_","-"),"|","-"))),IF(Q221="","",CONCATENATE("_U3|",SUBSTITUTE(SUBSTITUTE(Q221,"_","-"),"|","-")))))</f>
        <v>#N/A</v>
      </c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2"/>
      <c r="N222" s="32"/>
      <c r="O222" s="32"/>
      <c r="P222" s="32"/>
      <c r="Q222" s="32"/>
      <c r="R222" s="33" t="str">
        <f>IF(K222="----","#N/A",CONCATENATE("MK|",(VLOOKUP(B222,Dictionary!$A:$B,2,0)),"_CH|",(VLOOKUP(C222,Dictionary!$AV:$AW,2,0)),"_DT|",(VLOOKUP(D222,Dictionary!$P:$Q,2,0)),"_PB|",(VLOOKUP(E222,Dictionary!$G:$H,2,0)),"_FM|",(VLOOKUP(F222,Dictionary!$S:$T,2,0)),"_RT|",(VLOOKUP(G222,Dictionary!$V:$W,2,0)),"_PD|",SUBSTITUTE(SUBSTITUTE(IF(H222="","NONE",H222),"_","-"),"|","-"),"_TG|",(VLOOKUP(I222,Dictionary!$J:$K,2,0)),"_ST|",(VLOOKUP(J222,Dictionary!$M:$N,2,0)),"_TS|",SUBSTITUTE(SUBSTITUTE(IF(K222="","NONE",K222),"_","-"),"|","-"),"_SZ|",(VLOOKUP(L222,Dictionary!$Y:$Z,1,0)),"_AD|",(VLOOKUP(M222,Dictionary!$AB:$AC,2,0)),"_IT|",(VLOOKUP(N222,Dictionary!$BC:$BD,2,0)),IF(O222="","",CONCATENATE("_U1|",SUBSTITUTE(SUBSTITUTE(O222,"_","-"),"|","-"))),IF(P222="","",CONCATENATE("_U2|",SUBSTITUTE(SUBSTITUTE(P222,"_","-"),"|","-"))),IF(Q222="","",CONCATENATE("_U3|",SUBSTITUTE(SUBSTITUTE(Q222,"_","-"),"|","-")))))</f>
        <v>#N/A</v>
      </c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2"/>
      <c r="N223" s="32"/>
      <c r="O223" s="32"/>
      <c r="P223" s="32"/>
      <c r="Q223" s="32"/>
      <c r="R223" s="33" t="str">
        <f>IF(K223="----","#N/A",CONCATENATE("MK|",(VLOOKUP(B223,Dictionary!$A:$B,2,0)),"_CH|",(VLOOKUP(C223,Dictionary!$AV:$AW,2,0)),"_DT|",(VLOOKUP(D223,Dictionary!$P:$Q,2,0)),"_PB|",(VLOOKUP(E223,Dictionary!$G:$H,2,0)),"_FM|",(VLOOKUP(F223,Dictionary!$S:$T,2,0)),"_RT|",(VLOOKUP(G223,Dictionary!$V:$W,2,0)),"_PD|",SUBSTITUTE(SUBSTITUTE(IF(H223="","NONE",H223),"_","-"),"|","-"),"_TG|",(VLOOKUP(I223,Dictionary!$J:$K,2,0)),"_ST|",(VLOOKUP(J223,Dictionary!$M:$N,2,0)),"_TS|",SUBSTITUTE(SUBSTITUTE(IF(K223="","NONE",K223),"_","-"),"|","-"),"_SZ|",(VLOOKUP(L223,Dictionary!$Y:$Z,1,0)),"_AD|",(VLOOKUP(M223,Dictionary!$AB:$AC,2,0)),"_IT|",(VLOOKUP(N223,Dictionary!$BC:$BD,2,0)),IF(O223="","",CONCATENATE("_U1|",SUBSTITUTE(SUBSTITUTE(O223,"_","-"),"|","-"))),IF(P223="","",CONCATENATE("_U2|",SUBSTITUTE(SUBSTITUTE(P223,"_","-"),"|","-"))),IF(Q223="","",CONCATENATE("_U3|",SUBSTITUTE(SUBSTITUTE(Q223,"_","-"),"|","-")))))</f>
        <v>#N/A</v>
      </c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2"/>
      <c r="N224" s="32"/>
      <c r="O224" s="32"/>
      <c r="P224" s="32"/>
      <c r="Q224" s="32"/>
      <c r="R224" s="33" t="str">
        <f>IF(K224="----","#N/A",CONCATENATE("MK|",(VLOOKUP(B224,Dictionary!$A:$B,2,0)),"_CH|",(VLOOKUP(C224,Dictionary!$AV:$AW,2,0)),"_DT|",(VLOOKUP(D224,Dictionary!$P:$Q,2,0)),"_PB|",(VLOOKUP(E224,Dictionary!$G:$H,2,0)),"_FM|",(VLOOKUP(F224,Dictionary!$S:$T,2,0)),"_RT|",(VLOOKUP(G224,Dictionary!$V:$W,2,0)),"_PD|",SUBSTITUTE(SUBSTITUTE(IF(H224="","NONE",H224),"_","-"),"|","-"),"_TG|",(VLOOKUP(I224,Dictionary!$J:$K,2,0)),"_ST|",(VLOOKUP(J224,Dictionary!$M:$N,2,0)),"_TS|",SUBSTITUTE(SUBSTITUTE(IF(K224="","NONE",K224),"_","-"),"|","-"),"_SZ|",(VLOOKUP(L224,Dictionary!$Y:$Z,1,0)),"_AD|",(VLOOKUP(M224,Dictionary!$AB:$AC,2,0)),"_IT|",(VLOOKUP(N224,Dictionary!$BC:$BD,2,0)),IF(O224="","",CONCATENATE("_U1|",SUBSTITUTE(SUBSTITUTE(O224,"_","-"),"|","-"))),IF(P224="","",CONCATENATE("_U2|",SUBSTITUTE(SUBSTITUTE(P224,"_","-"),"|","-"))),IF(Q224="","",CONCATENATE("_U3|",SUBSTITUTE(SUBSTITUTE(Q224,"_","-"),"|","-")))))</f>
        <v>#N/A</v>
      </c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2"/>
      <c r="N225" s="32"/>
      <c r="O225" s="32"/>
      <c r="P225" s="32"/>
      <c r="Q225" s="32"/>
      <c r="R225" s="33" t="str">
        <f>IF(K225="----","#N/A",CONCATENATE("MK|",(VLOOKUP(B225,Dictionary!$A:$B,2,0)),"_CH|",(VLOOKUP(C225,Dictionary!$AV:$AW,2,0)),"_DT|",(VLOOKUP(D225,Dictionary!$P:$Q,2,0)),"_PB|",(VLOOKUP(E225,Dictionary!$G:$H,2,0)),"_FM|",(VLOOKUP(F225,Dictionary!$S:$T,2,0)),"_RT|",(VLOOKUP(G225,Dictionary!$V:$W,2,0)),"_PD|",SUBSTITUTE(SUBSTITUTE(IF(H225="","NONE",H225),"_","-"),"|","-"),"_TG|",(VLOOKUP(I225,Dictionary!$J:$K,2,0)),"_ST|",(VLOOKUP(J225,Dictionary!$M:$N,2,0)),"_TS|",SUBSTITUTE(SUBSTITUTE(IF(K225="","NONE",K225),"_","-"),"|","-"),"_SZ|",(VLOOKUP(L225,Dictionary!$Y:$Z,1,0)),"_AD|",(VLOOKUP(M225,Dictionary!$AB:$AC,2,0)),"_IT|",(VLOOKUP(N225,Dictionary!$BC:$BD,2,0)),IF(O225="","",CONCATENATE("_U1|",SUBSTITUTE(SUBSTITUTE(O225,"_","-"),"|","-"))),IF(P225="","",CONCATENATE("_U2|",SUBSTITUTE(SUBSTITUTE(P225,"_","-"),"|","-"))),IF(Q225="","",CONCATENATE("_U3|",SUBSTITUTE(SUBSTITUTE(Q225,"_","-"),"|","-")))))</f>
        <v>#N/A</v>
      </c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2"/>
      <c r="N226" s="32"/>
      <c r="O226" s="32"/>
      <c r="P226" s="32"/>
      <c r="Q226" s="32"/>
      <c r="R226" s="33" t="str">
        <f>IF(K226="----","#N/A",CONCATENATE("MK|",(VLOOKUP(B226,Dictionary!$A:$B,2,0)),"_CH|",(VLOOKUP(C226,Dictionary!$AV:$AW,2,0)),"_DT|",(VLOOKUP(D226,Dictionary!$P:$Q,2,0)),"_PB|",(VLOOKUP(E226,Dictionary!$G:$H,2,0)),"_FM|",(VLOOKUP(F226,Dictionary!$S:$T,2,0)),"_RT|",(VLOOKUP(G226,Dictionary!$V:$W,2,0)),"_PD|",SUBSTITUTE(SUBSTITUTE(IF(H226="","NONE",H226),"_","-"),"|","-"),"_TG|",(VLOOKUP(I226,Dictionary!$J:$K,2,0)),"_ST|",(VLOOKUP(J226,Dictionary!$M:$N,2,0)),"_TS|",SUBSTITUTE(SUBSTITUTE(IF(K226="","NONE",K226),"_","-"),"|","-"),"_SZ|",(VLOOKUP(L226,Dictionary!$Y:$Z,1,0)),"_AD|",(VLOOKUP(M226,Dictionary!$AB:$AC,2,0)),"_IT|",(VLOOKUP(N226,Dictionary!$BC:$BD,2,0)),IF(O226="","",CONCATENATE("_U1|",SUBSTITUTE(SUBSTITUTE(O226,"_","-"),"|","-"))),IF(P226="","",CONCATENATE("_U2|",SUBSTITUTE(SUBSTITUTE(P226,"_","-"),"|","-"))),IF(Q226="","",CONCATENATE("_U3|",SUBSTITUTE(SUBSTITUTE(Q226,"_","-"),"|","-")))))</f>
        <v>#N/A</v>
      </c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2"/>
      <c r="N227" s="32"/>
      <c r="O227" s="32"/>
      <c r="P227" s="32"/>
      <c r="Q227" s="32"/>
      <c r="R227" s="33" t="str">
        <f>IF(K227="----","#N/A",CONCATENATE("MK|",(VLOOKUP(B227,Dictionary!$A:$B,2,0)),"_CH|",(VLOOKUP(C227,Dictionary!$AV:$AW,2,0)),"_DT|",(VLOOKUP(D227,Dictionary!$P:$Q,2,0)),"_PB|",(VLOOKUP(E227,Dictionary!$G:$H,2,0)),"_FM|",(VLOOKUP(F227,Dictionary!$S:$T,2,0)),"_RT|",(VLOOKUP(G227,Dictionary!$V:$W,2,0)),"_PD|",SUBSTITUTE(SUBSTITUTE(IF(H227="","NONE",H227),"_","-"),"|","-"),"_TG|",(VLOOKUP(I227,Dictionary!$J:$K,2,0)),"_ST|",(VLOOKUP(J227,Dictionary!$M:$N,2,0)),"_TS|",SUBSTITUTE(SUBSTITUTE(IF(K227="","NONE",K227),"_","-"),"|","-"),"_SZ|",(VLOOKUP(L227,Dictionary!$Y:$Z,1,0)),"_AD|",(VLOOKUP(M227,Dictionary!$AB:$AC,2,0)),"_IT|",(VLOOKUP(N227,Dictionary!$BC:$BD,2,0)),IF(O227="","",CONCATENATE("_U1|",SUBSTITUTE(SUBSTITUTE(O227,"_","-"),"|","-"))),IF(P227="","",CONCATENATE("_U2|",SUBSTITUTE(SUBSTITUTE(P227,"_","-"),"|","-"))),IF(Q227="","",CONCATENATE("_U3|",SUBSTITUTE(SUBSTITUTE(Q227,"_","-"),"|","-")))))</f>
        <v>#N/A</v>
      </c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2"/>
      <c r="N228" s="32"/>
      <c r="O228" s="32"/>
      <c r="P228" s="32"/>
      <c r="Q228" s="32"/>
      <c r="R228" s="33" t="str">
        <f>IF(K228="----","#N/A",CONCATENATE("MK|",(VLOOKUP(B228,Dictionary!$A:$B,2,0)),"_CH|",(VLOOKUP(C228,Dictionary!$AV:$AW,2,0)),"_DT|",(VLOOKUP(D228,Dictionary!$P:$Q,2,0)),"_PB|",(VLOOKUP(E228,Dictionary!$G:$H,2,0)),"_FM|",(VLOOKUP(F228,Dictionary!$S:$T,2,0)),"_RT|",(VLOOKUP(G228,Dictionary!$V:$W,2,0)),"_PD|",SUBSTITUTE(SUBSTITUTE(IF(H228="","NONE",H228),"_","-"),"|","-"),"_TG|",(VLOOKUP(I228,Dictionary!$J:$K,2,0)),"_ST|",(VLOOKUP(J228,Dictionary!$M:$N,2,0)),"_TS|",SUBSTITUTE(SUBSTITUTE(IF(K228="","NONE",K228),"_","-"),"|","-"),"_SZ|",(VLOOKUP(L228,Dictionary!$Y:$Z,1,0)),"_AD|",(VLOOKUP(M228,Dictionary!$AB:$AC,2,0)),"_IT|",(VLOOKUP(N228,Dictionary!$BC:$BD,2,0)),IF(O228="","",CONCATENATE("_U1|",SUBSTITUTE(SUBSTITUTE(O228,"_","-"),"|","-"))),IF(P228="","",CONCATENATE("_U2|",SUBSTITUTE(SUBSTITUTE(P228,"_","-"),"|","-"))),IF(Q228="","",CONCATENATE("_U3|",SUBSTITUTE(SUBSTITUTE(Q228,"_","-"),"|","-")))))</f>
        <v>#N/A</v>
      </c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2"/>
      <c r="N229" s="32"/>
      <c r="O229" s="32"/>
      <c r="P229" s="32"/>
      <c r="Q229" s="32"/>
      <c r="R229" s="33" t="str">
        <f>IF(K229="----","#N/A",CONCATENATE("MK|",(VLOOKUP(B229,Dictionary!$A:$B,2,0)),"_CH|",(VLOOKUP(C229,Dictionary!$AV:$AW,2,0)),"_DT|",(VLOOKUP(D229,Dictionary!$P:$Q,2,0)),"_PB|",(VLOOKUP(E229,Dictionary!$G:$H,2,0)),"_FM|",(VLOOKUP(F229,Dictionary!$S:$T,2,0)),"_RT|",(VLOOKUP(G229,Dictionary!$V:$W,2,0)),"_PD|",SUBSTITUTE(SUBSTITUTE(IF(H229="","NONE",H229),"_","-"),"|","-"),"_TG|",(VLOOKUP(I229,Dictionary!$J:$K,2,0)),"_ST|",(VLOOKUP(J229,Dictionary!$M:$N,2,0)),"_TS|",SUBSTITUTE(SUBSTITUTE(IF(K229="","NONE",K229),"_","-"),"|","-"),"_SZ|",(VLOOKUP(L229,Dictionary!$Y:$Z,1,0)),"_AD|",(VLOOKUP(M229,Dictionary!$AB:$AC,2,0)),"_IT|",(VLOOKUP(N229,Dictionary!$BC:$BD,2,0)),IF(O229="","",CONCATENATE("_U1|",SUBSTITUTE(SUBSTITUTE(O229,"_","-"),"|","-"))),IF(P229="","",CONCATENATE("_U2|",SUBSTITUTE(SUBSTITUTE(P229,"_","-"),"|","-"))),IF(Q229="","",CONCATENATE("_U3|",SUBSTITUTE(SUBSTITUTE(Q229,"_","-"),"|","-")))))</f>
        <v>#N/A</v>
      </c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2"/>
      <c r="N230" s="32"/>
      <c r="O230" s="32"/>
      <c r="P230" s="32"/>
      <c r="Q230" s="32"/>
      <c r="R230" s="33" t="str">
        <f>IF(K230="----","#N/A",CONCATENATE("MK|",(VLOOKUP(B230,Dictionary!$A:$B,2,0)),"_CH|",(VLOOKUP(C230,Dictionary!$AV:$AW,2,0)),"_DT|",(VLOOKUP(D230,Dictionary!$P:$Q,2,0)),"_PB|",(VLOOKUP(E230,Dictionary!$G:$H,2,0)),"_FM|",(VLOOKUP(F230,Dictionary!$S:$T,2,0)),"_RT|",(VLOOKUP(G230,Dictionary!$V:$W,2,0)),"_PD|",SUBSTITUTE(SUBSTITUTE(IF(H230="","NONE",H230),"_","-"),"|","-"),"_TG|",(VLOOKUP(I230,Dictionary!$J:$K,2,0)),"_ST|",(VLOOKUP(J230,Dictionary!$M:$N,2,0)),"_TS|",SUBSTITUTE(SUBSTITUTE(IF(K230="","NONE",K230),"_","-"),"|","-"),"_SZ|",(VLOOKUP(L230,Dictionary!$Y:$Z,1,0)),"_AD|",(VLOOKUP(M230,Dictionary!$AB:$AC,2,0)),"_IT|",(VLOOKUP(N230,Dictionary!$BC:$BD,2,0)),IF(O230="","",CONCATENATE("_U1|",SUBSTITUTE(SUBSTITUTE(O230,"_","-"),"|","-"))),IF(P230="","",CONCATENATE("_U2|",SUBSTITUTE(SUBSTITUTE(P230,"_","-"),"|","-"))),IF(Q230="","",CONCATENATE("_U3|",SUBSTITUTE(SUBSTITUTE(Q230,"_","-"),"|","-")))))</f>
        <v>#N/A</v>
      </c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2"/>
      <c r="N231" s="32"/>
      <c r="O231" s="32"/>
      <c r="P231" s="32"/>
      <c r="Q231" s="32"/>
      <c r="R231" s="33" t="str">
        <f>IF(K231="----","#N/A",CONCATENATE("MK|",(VLOOKUP(B231,Dictionary!$A:$B,2,0)),"_CH|",(VLOOKUP(C231,Dictionary!$AV:$AW,2,0)),"_DT|",(VLOOKUP(D231,Dictionary!$P:$Q,2,0)),"_PB|",(VLOOKUP(E231,Dictionary!$G:$H,2,0)),"_FM|",(VLOOKUP(F231,Dictionary!$S:$T,2,0)),"_RT|",(VLOOKUP(G231,Dictionary!$V:$W,2,0)),"_PD|",SUBSTITUTE(SUBSTITUTE(IF(H231="","NONE",H231),"_","-"),"|","-"),"_TG|",(VLOOKUP(I231,Dictionary!$J:$K,2,0)),"_ST|",(VLOOKUP(J231,Dictionary!$M:$N,2,0)),"_TS|",SUBSTITUTE(SUBSTITUTE(IF(K231="","NONE",K231),"_","-"),"|","-"),"_SZ|",(VLOOKUP(L231,Dictionary!$Y:$Z,1,0)),"_AD|",(VLOOKUP(M231,Dictionary!$AB:$AC,2,0)),"_IT|",(VLOOKUP(N231,Dictionary!$BC:$BD,2,0)),IF(O231="","",CONCATENATE("_U1|",SUBSTITUTE(SUBSTITUTE(O231,"_","-"),"|","-"))),IF(P231="","",CONCATENATE("_U2|",SUBSTITUTE(SUBSTITUTE(P231,"_","-"),"|","-"))),IF(Q231="","",CONCATENATE("_U3|",SUBSTITUTE(SUBSTITUTE(Q231,"_","-"),"|","-")))))</f>
        <v>#N/A</v>
      </c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2"/>
      <c r="N232" s="32"/>
      <c r="O232" s="32"/>
      <c r="P232" s="32"/>
      <c r="Q232" s="32"/>
      <c r="R232" s="33" t="str">
        <f>IF(K232="----","#N/A",CONCATENATE("MK|",(VLOOKUP(B232,Dictionary!$A:$B,2,0)),"_CH|",(VLOOKUP(C232,Dictionary!$AV:$AW,2,0)),"_DT|",(VLOOKUP(D232,Dictionary!$P:$Q,2,0)),"_PB|",(VLOOKUP(E232,Dictionary!$G:$H,2,0)),"_FM|",(VLOOKUP(F232,Dictionary!$S:$T,2,0)),"_RT|",(VLOOKUP(G232,Dictionary!$V:$W,2,0)),"_PD|",SUBSTITUTE(SUBSTITUTE(IF(H232="","NONE",H232),"_","-"),"|","-"),"_TG|",(VLOOKUP(I232,Dictionary!$J:$K,2,0)),"_ST|",(VLOOKUP(J232,Dictionary!$M:$N,2,0)),"_TS|",SUBSTITUTE(SUBSTITUTE(IF(K232="","NONE",K232),"_","-"),"|","-"),"_SZ|",(VLOOKUP(L232,Dictionary!$Y:$Z,1,0)),"_AD|",(VLOOKUP(M232,Dictionary!$AB:$AC,2,0)),"_IT|",(VLOOKUP(N232,Dictionary!$BC:$BD,2,0)),IF(O232="","",CONCATENATE("_U1|",SUBSTITUTE(SUBSTITUTE(O232,"_","-"),"|","-"))),IF(P232="","",CONCATENATE("_U2|",SUBSTITUTE(SUBSTITUTE(P232,"_","-"),"|","-"))),IF(Q232="","",CONCATENATE("_U3|",SUBSTITUTE(SUBSTITUTE(Q232,"_","-"),"|","-")))))</f>
        <v>#N/A</v>
      </c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2"/>
      <c r="N233" s="32"/>
      <c r="O233" s="32"/>
      <c r="P233" s="32"/>
      <c r="Q233" s="32"/>
      <c r="R233" s="33" t="str">
        <f>IF(K233="----","#N/A",CONCATENATE("MK|",(VLOOKUP(B233,Dictionary!$A:$B,2,0)),"_CH|",(VLOOKUP(C233,Dictionary!$AV:$AW,2,0)),"_DT|",(VLOOKUP(D233,Dictionary!$P:$Q,2,0)),"_PB|",(VLOOKUP(E233,Dictionary!$G:$H,2,0)),"_FM|",(VLOOKUP(F233,Dictionary!$S:$T,2,0)),"_RT|",(VLOOKUP(G233,Dictionary!$V:$W,2,0)),"_PD|",SUBSTITUTE(SUBSTITUTE(IF(H233="","NONE",H233),"_","-"),"|","-"),"_TG|",(VLOOKUP(I233,Dictionary!$J:$K,2,0)),"_ST|",(VLOOKUP(J233,Dictionary!$M:$N,2,0)),"_TS|",SUBSTITUTE(SUBSTITUTE(IF(K233="","NONE",K233),"_","-"),"|","-"),"_SZ|",(VLOOKUP(L233,Dictionary!$Y:$Z,1,0)),"_AD|",(VLOOKUP(M233,Dictionary!$AB:$AC,2,0)),"_IT|",(VLOOKUP(N233,Dictionary!$BC:$BD,2,0)),IF(O233="","",CONCATENATE("_U1|",SUBSTITUTE(SUBSTITUTE(O233,"_","-"),"|","-"))),IF(P233="","",CONCATENATE("_U2|",SUBSTITUTE(SUBSTITUTE(P233,"_","-"),"|","-"))),IF(Q233="","",CONCATENATE("_U3|",SUBSTITUTE(SUBSTITUTE(Q233,"_","-"),"|","-")))))</f>
        <v>#N/A</v>
      </c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2"/>
      <c r="N234" s="32"/>
      <c r="O234" s="32"/>
      <c r="P234" s="32"/>
      <c r="Q234" s="32"/>
      <c r="R234" s="33" t="str">
        <f>IF(K234="----","#N/A",CONCATENATE("MK|",(VLOOKUP(B234,Dictionary!$A:$B,2,0)),"_CH|",(VLOOKUP(C234,Dictionary!$AV:$AW,2,0)),"_DT|",(VLOOKUP(D234,Dictionary!$P:$Q,2,0)),"_PB|",(VLOOKUP(E234,Dictionary!$G:$H,2,0)),"_FM|",(VLOOKUP(F234,Dictionary!$S:$T,2,0)),"_RT|",(VLOOKUP(G234,Dictionary!$V:$W,2,0)),"_PD|",SUBSTITUTE(SUBSTITUTE(IF(H234="","NONE",H234),"_","-"),"|","-"),"_TG|",(VLOOKUP(I234,Dictionary!$J:$K,2,0)),"_ST|",(VLOOKUP(J234,Dictionary!$M:$N,2,0)),"_TS|",SUBSTITUTE(SUBSTITUTE(IF(K234="","NONE",K234),"_","-"),"|","-"),"_SZ|",(VLOOKUP(L234,Dictionary!$Y:$Z,1,0)),"_AD|",(VLOOKUP(M234,Dictionary!$AB:$AC,2,0)),"_IT|",(VLOOKUP(N234,Dictionary!$BC:$BD,2,0)),IF(O234="","",CONCATENATE("_U1|",SUBSTITUTE(SUBSTITUTE(O234,"_","-"),"|","-"))),IF(P234="","",CONCATENATE("_U2|",SUBSTITUTE(SUBSTITUTE(P234,"_","-"),"|","-"))),IF(Q234="","",CONCATENATE("_U3|",SUBSTITUTE(SUBSTITUTE(Q234,"_","-"),"|","-")))))</f>
        <v>#N/A</v>
      </c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2"/>
      <c r="N235" s="32"/>
      <c r="O235" s="32"/>
      <c r="P235" s="32"/>
      <c r="Q235" s="32"/>
      <c r="R235" s="33" t="str">
        <f>IF(K235="----","#N/A",CONCATENATE("MK|",(VLOOKUP(B235,Dictionary!$A:$B,2,0)),"_CH|",(VLOOKUP(C235,Dictionary!$AV:$AW,2,0)),"_DT|",(VLOOKUP(D235,Dictionary!$P:$Q,2,0)),"_PB|",(VLOOKUP(E235,Dictionary!$G:$H,2,0)),"_FM|",(VLOOKUP(F235,Dictionary!$S:$T,2,0)),"_RT|",(VLOOKUP(G235,Dictionary!$V:$W,2,0)),"_PD|",SUBSTITUTE(SUBSTITUTE(IF(H235="","NONE",H235),"_","-"),"|","-"),"_TG|",(VLOOKUP(I235,Dictionary!$J:$K,2,0)),"_ST|",(VLOOKUP(J235,Dictionary!$M:$N,2,0)),"_TS|",SUBSTITUTE(SUBSTITUTE(IF(K235="","NONE",K235),"_","-"),"|","-"),"_SZ|",(VLOOKUP(L235,Dictionary!$Y:$Z,1,0)),"_AD|",(VLOOKUP(M235,Dictionary!$AB:$AC,2,0)),"_IT|",(VLOOKUP(N235,Dictionary!$BC:$BD,2,0)),IF(O235="","",CONCATENATE("_U1|",SUBSTITUTE(SUBSTITUTE(O235,"_","-"),"|","-"))),IF(P235="","",CONCATENATE("_U2|",SUBSTITUTE(SUBSTITUTE(P235,"_","-"),"|","-"))),IF(Q235="","",CONCATENATE("_U3|",SUBSTITUTE(SUBSTITUTE(Q235,"_","-"),"|","-")))))</f>
        <v>#N/A</v>
      </c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2"/>
      <c r="N236" s="32"/>
      <c r="O236" s="32"/>
      <c r="P236" s="32"/>
      <c r="Q236" s="32"/>
      <c r="R236" s="33" t="str">
        <f>IF(K236="----","#N/A",CONCATENATE("MK|",(VLOOKUP(B236,Dictionary!$A:$B,2,0)),"_CH|",(VLOOKUP(C236,Dictionary!$AV:$AW,2,0)),"_DT|",(VLOOKUP(D236,Dictionary!$P:$Q,2,0)),"_PB|",(VLOOKUP(E236,Dictionary!$G:$H,2,0)),"_FM|",(VLOOKUP(F236,Dictionary!$S:$T,2,0)),"_RT|",(VLOOKUP(G236,Dictionary!$V:$W,2,0)),"_PD|",SUBSTITUTE(SUBSTITUTE(IF(H236="","NONE",H236),"_","-"),"|","-"),"_TG|",(VLOOKUP(I236,Dictionary!$J:$K,2,0)),"_ST|",(VLOOKUP(J236,Dictionary!$M:$N,2,0)),"_TS|",SUBSTITUTE(SUBSTITUTE(IF(K236="","NONE",K236),"_","-"),"|","-"),"_SZ|",(VLOOKUP(L236,Dictionary!$Y:$Z,1,0)),"_AD|",(VLOOKUP(M236,Dictionary!$AB:$AC,2,0)),"_IT|",(VLOOKUP(N236,Dictionary!$BC:$BD,2,0)),IF(O236="","",CONCATENATE("_U1|",SUBSTITUTE(SUBSTITUTE(O236,"_","-"),"|","-"))),IF(P236="","",CONCATENATE("_U2|",SUBSTITUTE(SUBSTITUTE(P236,"_","-"),"|","-"))),IF(Q236="","",CONCATENATE("_U3|",SUBSTITUTE(SUBSTITUTE(Q236,"_","-"),"|","-")))))</f>
        <v>#N/A</v>
      </c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2"/>
      <c r="N237" s="32"/>
      <c r="O237" s="32"/>
      <c r="P237" s="32"/>
      <c r="Q237" s="32"/>
      <c r="R237" s="33" t="str">
        <f>IF(K237="----","#N/A",CONCATENATE("MK|",(VLOOKUP(B237,Dictionary!$A:$B,2,0)),"_CH|",(VLOOKUP(C237,Dictionary!$AV:$AW,2,0)),"_DT|",(VLOOKUP(D237,Dictionary!$P:$Q,2,0)),"_PB|",(VLOOKUP(E237,Dictionary!$G:$H,2,0)),"_FM|",(VLOOKUP(F237,Dictionary!$S:$T,2,0)),"_RT|",(VLOOKUP(G237,Dictionary!$V:$W,2,0)),"_PD|",SUBSTITUTE(SUBSTITUTE(IF(H237="","NONE",H237),"_","-"),"|","-"),"_TG|",(VLOOKUP(I237,Dictionary!$J:$K,2,0)),"_ST|",(VLOOKUP(J237,Dictionary!$M:$N,2,0)),"_TS|",SUBSTITUTE(SUBSTITUTE(IF(K237="","NONE",K237),"_","-"),"|","-"),"_SZ|",(VLOOKUP(L237,Dictionary!$Y:$Z,1,0)),"_AD|",(VLOOKUP(M237,Dictionary!$AB:$AC,2,0)),"_IT|",(VLOOKUP(N237,Dictionary!$BC:$BD,2,0)),IF(O237="","",CONCATENATE("_U1|",SUBSTITUTE(SUBSTITUTE(O237,"_","-"),"|","-"))),IF(P237="","",CONCATENATE("_U2|",SUBSTITUTE(SUBSTITUTE(P237,"_","-"),"|","-"))),IF(Q237="","",CONCATENATE("_U3|",SUBSTITUTE(SUBSTITUTE(Q237,"_","-"),"|","-")))))</f>
        <v>#N/A</v>
      </c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2"/>
      <c r="N238" s="32"/>
      <c r="O238" s="32"/>
      <c r="P238" s="32"/>
      <c r="Q238" s="32"/>
      <c r="R238" s="33" t="str">
        <f>IF(K238="----","#N/A",CONCATENATE("MK|",(VLOOKUP(B238,Dictionary!$A:$B,2,0)),"_CH|",(VLOOKUP(C238,Dictionary!$AV:$AW,2,0)),"_DT|",(VLOOKUP(D238,Dictionary!$P:$Q,2,0)),"_PB|",(VLOOKUP(E238,Dictionary!$G:$H,2,0)),"_FM|",(VLOOKUP(F238,Dictionary!$S:$T,2,0)),"_RT|",(VLOOKUP(G238,Dictionary!$V:$W,2,0)),"_PD|",SUBSTITUTE(SUBSTITUTE(IF(H238="","NONE",H238),"_","-"),"|","-"),"_TG|",(VLOOKUP(I238,Dictionary!$J:$K,2,0)),"_ST|",(VLOOKUP(J238,Dictionary!$M:$N,2,0)),"_TS|",SUBSTITUTE(SUBSTITUTE(IF(K238="","NONE",K238),"_","-"),"|","-"),"_SZ|",(VLOOKUP(L238,Dictionary!$Y:$Z,1,0)),"_AD|",(VLOOKUP(M238,Dictionary!$AB:$AC,2,0)),"_IT|",(VLOOKUP(N238,Dictionary!$BC:$BD,2,0)),IF(O238="","",CONCATENATE("_U1|",SUBSTITUTE(SUBSTITUTE(O238,"_","-"),"|","-"))),IF(P238="","",CONCATENATE("_U2|",SUBSTITUTE(SUBSTITUTE(P238,"_","-"),"|","-"))),IF(Q238="","",CONCATENATE("_U3|",SUBSTITUTE(SUBSTITUTE(Q238,"_","-"),"|","-")))))</f>
        <v>#N/A</v>
      </c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2"/>
      <c r="N239" s="32"/>
      <c r="O239" s="32"/>
      <c r="P239" s="32"/>
      <c r="Q239" s="32"/>
      <c r="R239" s="33" t="str">
        <f>IF(K239="----","#N/A",CONCATENATE("MK|",(VLOOKUP(B239,Dictionary!$A:$B,2,0)),"_CH|",(VLOOKUP(C239,Dictionary!$AV:$AW,2,0)),"_DT|",(VLOOKUP(D239,Dictionary!$P:$Q,2,0)),"_PB|",(VLOOKUP(E239,Dictionary!$G:$H,2,0)),"_FM|",(VLOOKUP(F239,Dictionary!$S:$T,2,0)),"_RT|",(VLOOKUP(G239,Dictionary!$V:$W,2,0)),"_PD|",SUBSTITUTE(SUBSTITUTE(IF(H239="","NONE",H239),"_","-"),"|","-"),"_TG|",(VLOOKUP(I239,Dictionary!$J:$K,2,0)),"_ST|",(VLOOKUP(J239,Dictionary!$M:$N,2,0)),"_TS|",SUBSTITUTE(SUBSTITUTE(IF(K239="","NONE",K239),"_","-"),"|","-"),"_SZ|",(VLOOKUP(L239,Dictionary!$Y:$Z,1,0)),"_AD|",(VLOOKUP(M239,Dictionary!$AB:$AC,2,0)),"_IT|",(VLOOKUP(N239,Dictionary!$BC:$BD,2,0)),IF(O239="","",CONCATENATE("_U1|",SUBSTITUTE(SUBSTITUTE(O239,"_","-"),"|","-"))),IF(P239="","",CONCATENATE("_U2|",SUBSTITUTE(SUBSTITUTE(P239,"_","-"),"|","-"))),IF(Q239="","",CONCATENATE("_U3|",SUBSTITUTE(SUBSTITUTE(Q239,"_","-"),"|","-")))))</f>
        <v>#N/A</v>
      </c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2"/>
      <c r="N240" s="32"/>
      <c r="O240" s="32"/>
      <c r="P240" s="32"/>
      <c r="Q240" s="32"/>
      <c r="R240" s="33" t="str">
        <f>IF(K240="----","#N/A",CONCATENATE("MK|",(VLOOKUP(B240,Dictionary!$A:$B,2,0)),"_CH|",(VLOOKUP(C240,Dictionary!$AV:$AW,2,0)),"_DT|",(VLOOKUP(D240,Dictionary!$P:$Q,2,0)),"_PB|",(VLOOKUP(E240,Dictionary!$G:$H,2,0)),"_FM|",(VLOOKUP(F240,Dictionary!$S:$T,2,0)),"_RT|",(VLOOKUP(G240,Dictionary!$V:$W,2,0)),"_PD|",SUBSTITUTE(SUBSTITUTE(IF(H240="","NONE",H240),"_","-"),"|","-"),"_TG|",(VLOOKUP(I240,Dictionary!$J:$K,2,0)),"_ST|",(VLOOKUP(J240,Dictionary!$M:$N,2,0)),"_TS|",SUBSTITUTE(SUBSTITUTE(IF(K240="","NONE",K240),"_","-"),"|","-"),"_SZ|",(VLOOKUP(L240,Dictionary!$Y:$Z,1,0)),"_AD|",(VLOOKUP(M240,Dictionary!$AB:$AC,2,0)),"_IT|",(VLOOKUP(N240,Dictionary!$BC:$BD,2,0)),IF(O240="","",CONCATENATE("_U1|",SUBSTITUTE(SUBSTITUTE(O240,"_","-"),"|","-"))),IF(P240="","",CONCATENATE("_U2|",SUBSTITUTE(SUBSTITUTE(P240,"_","-"),"|","-"))),IF(Q240="","",CONCATENATE("_U3|",SUBSTITUTE(SUBSTITUTE(Q240,"_","-"),"|","-")))))</f>
        <v>#N/A</v>
      </c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2"/>
      <c r="N241" s="32"/>
      <c r="O241" s="32"/>
      <c r="P241" s="32"/>
      <c r="Q241" s="32"/>
      <c r="R241" s="33" t="str">
        <f>IF(K241="----","#N/A",CONCATENATE("MK|",(VLOOKUP(B241,Dictionary!$A:$B,2,0)),"_CH|",(VLOOKUP(C241,Dictionary!$AV:$AW,2,0)),"_DT|",(VLOOKUP(D241,Dictionary!$P:$Q,2,0)),"_PB|",(VLOOKUP(E241,Dictionary!$G:$H,2,0)),"_FM|",(VLOOKUP(F241,Dictionary!$S:$T,2,0)),"_RT|",(VLOOKUP(G241,Dictionary!$V:$W,2,0)),"_PD|",SUBSTITUTE(SUBSTITUTE(IF(H241="","NONE",H241),"_","-"),"|","-"),"_TG|",(VLOOKUP(I241,Dictionary!$J:$K,2,0)),"_ST|",(VLOOKUP(J241,Dictionary!$M:$N,2,0)),"_TS|",SUBSTITUTE(SUBSTITUTE(IF(K241="","NONE",K241),"_","-"),"|","-"),"_SZ|",(VLOOKUP(L241,Dictionary!$Y:$Z,1,0)),"_AD|",(VLOOKUP(M241,Dictionary!$AB:$AC,2,0)),"_IT|",(VLOOKUP(N241,Dictionary!$BC:$BD,2,0)),IF(O241="","",CONCATENATE("_U1|",SUBSTITUTE(SUBSTITUTE(O241,"_","-"),"|","-"))),IF(P241="","",CONCATENATE("_U2|",SUBSTITUTE(SUBSTITUTE(P241,"_","-"),"|","-"))),IF(Q241="","",CONCATENATE("_U3|",SUBSTITUTE(SUBSTITUTE(Q241,"_","-"),"|","-")))))</f>
        <v>#N/A</v>
      </c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2"/>
      <c r="N242" s="32"/>
      <c r="O242" s="32"/>
      <c r="P242" s="32"/>
      <c r="Q242" s="32"/>
      <c r="R242" s="33" t="str">
        <f>IF(K242="----","#N/A",CONCATENATE("MK|",(VLOOKUP(B242,Dictionary!$A:$B,2,0)),"_CH|",(VLOOKUP(C242,Dictionary!$AV:$AW,2,0)),"_DT|",(VLOOKUP(D242,Dictionary!$P:$Q,2,0)),"_PB|",(VLOOKUP(E242,Dictionary!$G:$H,2,0)),"_FM|",(VLOOKUP(F242,Dictionary!$S:$T,2,0)),"_RT|",(VLOOKUP(G242,Dictionary!$V:$W,2,0)),"_PD|",SUBSTITUTE(SUBSTITUTE(IF(H242="","NONE",H242),"_","-"),"|","-"),"_TG|",(VLOOKUP(I242,Dictionary!$J:$K,2,0)),"_ST|",(VLOOKUP(J242,Dictionary!$M:$N,2,0)),"_TS|",SUBSTITUTE(SUBSTITUTE(IF(K242="","NONE",K242),"_","-"),"|","-"),"_SZ|",(VLOOKUP(L242,Dictionary!$Y:$Z,1,0)),"_AD|",(VLOOKUP(M242,Dictionary!$AB:$AC,2,0)),"_IT|",(VLOOKUP(N242,Dictionary!$BC:$BD,2,0)),IF(O242="","",CONCATENATE("_U1|",SUBSTITUTE(SUBSTITUTE(O242,"_","-"),"|","-"))),IF(P242="","",CONCATENATE("_U2|",SUBSTITUTE(SUBSTITUTE(P242,"_","-"),"|","-"))),IF(Q242="","",CONCATENATE("_U3|",SUBSTITUTE(SUBSTITUTE(Q242,"_","-"),"|","-")))))</f>
        <v>#N/A</v>
      </c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2"/>
      <c r="N243" s="32"/>
      <c r="O243" s="32"/>
      <c r="P243" s="32"/>
      <c r="Q243" s="32"/>
      <c r="R243" s="33" t="str">
        <f>IF(K243="----","#N/A",CONCATENATE("MK|",(VLOOKUP(B243,Dictionary!$A:$B,2,0)),"_CH|",(VLOOKUP(C243,Dictionary!$AV:$AW,2,0)),"_DT|",(VLOOKUP(D243,Dictionary!$P:$Q,2,0)),"_PB|",(VLOOKUP(E243,Dictionary!$G:$H,2,0)),"_FM|",(VLOOKUP(F243,Dictionary!$S:$T,2,0)),"_RT|",(VLOOKUP(G243,Dictionary!$V:$W,2,0)),"_PD|",SUBSTITUTE(SUBSTITUTE(IF(H243="","NONE",H243),"_","-"),"|","-"),"_TG|",(VLOOKUP(I243,Dictionary!$J:$K,2,0)),"_ST|",(VLOOKUP(J243,Dictionary!$M:$N,2,0)),"_TS|",SUBSTITUTE(SUBSTITUTE(IF(K243="","NONE",K243),"_","-"),"|","-"),"_SZ|",(VLOOKUP(L243,Dictionary!$Y:$Z,1,0)),"_AD|",(VLOOKUP(M243,Dictionary!$AB:$AC,2,0)),"_IT|",(VLOOKUP(N243,Dictionary!$BC:$BD,2,0)),IF(O243="","",CONCATENATE("_U1|",SUBSTITUTE(SUBSTITUTE(O243,"_","-"),"|","-"))),IF(P243="","",CONCATENATE("_U2|",SUBSTITUTE(SUBSTITUTE(P243,"_","-"),"|","-"))),IF(Q243="","",CONCATENATE("_U3|",SUBSTITUTE(SUBSTITUTE(Q243,"_","-"),"|","-")))))</f>
        <v>#N/A</v>
      </c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2"/>
      <c r="N244" s="32"/>
      <c r="O244" s="32"/>
      <c r="P244" s="32"/>
      <c r="Q244" s="32"/>
      <c r="R244" s="33" t="str">
        <f>IF(K244="----","#N/A",CONCATENATE("MK|",(VLOOKUP(B244,Dictionary!$A:$B,2,0)),"_CH|",(VLOOKUP(C244,Dictionary!$AV:$AW,2,0)),"_DT|",(VLOOKUP(D244,Dictionary!$P:$Q,2,0)),"_PB|",(VLOOKUP(E244,Dictionary!$G:$H,2,0)),"_FM|",(VLOOKUP(F244,Dictionary!$S:$T,2,0)),"_RT|",(VLOOKUP(G244,Dictionary!$V:$W,2,0)),"_PD|",SUBSTITUTE(SUBSTITUTE(IF(H244="","NONE",H244),"_","-"),"|","-"),"_TG|",(VLOOKUP(I244,Dictionary!$J:$K,2,0)),"_ST|",(VLOOKUP(J244,Dictionary!$M:$N,2,0)),"_TS|",SUBSTITUTE(SUBSTITUTE(IF(K244="","NONE",K244),"_","-"),"|","-"),"_SZ|",(VLOOKUP(L244,Dictionary!$Y:$Z,1,0)),"_AD|",(VLOOKUP(M244,Dictionary!$AB:$AC,2,0)),"_IT|",(VLOOKUP(N244,Dictionary!$BC:$BD,2,0)),IF(O244="","",CONCATENATE("_U1|",SUBSTITUTE(SUBSTITUTE(O244,"_","-"),"|","-"))),IF(P244="","",CONCATENATE("_U2|",SUBSTITUTE(SUBSTITUTE(P244,"_","-"),"|","-"))),IF(Q244="","",CONCATENATE("_U3|",SUBSTITUTE(SUBSTITUTE(Q244,"_","-"),"|","-")))))</f>
        <v>#N/A</v>
      </c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2"/>
      <c r="N245" s="32"/>
      <c r="O245" s="32"/>
      <c r="P245" s="32"/>
      <c r="Q245" s="32"/>
      <c r="R245" s="33" t="str">
        <f>IF(K245="----","#N/A",CONCATENATE("MK|",(VLOOKUP(B245,Dictionary!$A:$B,2,0)),"_CH|",(VLOOKUP(C245,Dictionary!$AV:$AW,2,0)),"_DT|",(VLOOKUP(D245,Dictionary!$P:$Q,2,0)),"_PB|",(VLOOKUP(E245,Dictionary!$G:$H,2,0)),"_FM|",(VLOOKUP(F245,Dictionary!$S:$T,2,0)),"_RT|",(VLOOKUP(G245,Dictionary!$V:$W,2,0)),"_PD|",SUBSTITUTE(SUBSTITUTE(IF(H245="","NONE",H245),"_","-"),"|","-"),"_TG|",(VLOOKUP(I245,Dictionary!$J:$K,2,0)),"_ST|",(VLOOKUP(J245,Dictionary!$M:$N,2,0)),"_TS|",SUBSTITUTE(SUBSTITUTE(IF(K245="","NONE",K245),"_","-"),"|","-"),"_SZ|",(VLOOKUP(L245,Dictionary!$Y:$Z,1,0)),"_AD|",(VLOOKUP(M245,Dictionary!$AB:$AC,2,0)),"_IT|",(VLOOKUP(N245,Dictionary!$BC:$BD,2,0)),IF(O245="","",CONCATENATE("_U1|",SUBSTITUTE(SUBSTITUTE(O245,"_","-"),"|","-"))),IF(P245="","",CONCATENATE("_U2|",SUBSTITUTE(SUBSTITUTE(P245,"_","-"),"|","-"))),IF(Q245="","",CONCATENATE("_U3|",SUBSTITUTE(SUBSTITUTE(Q245,"_","-"),"|","-")))))</f>
        <v>#N/A</v>
      </c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4"/>
      <c r="N246" s="44"/>
      <c r="O246" s="44"/>
      <c r="P246" s="44"/>
      <c r="Q246" s="44"/>
      <c r="R246" s="33"/>
      <c r="S246" s="45"/>
      <c r="T246" s="45"/>
      <c r="U246" s="45"/>
      <c r="V246" s="45"/>
      <c r="W246" s="45"/>
      <c r="X246" s="45"/>
      <c r="Y246" s="45"/>
      <c r="Z246" s="45"/>
      <c r="AA246" s="45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31"/>
      <c r="N247" s="31"/>
      <c r="O247" s="32"/>
      <c r="P247" s="32"/>
      <c r="Q247" s="32"/>
      <c r="R247" s="33"/>
    </row>
    <row r="248" ht="15.75" customHeight="1">
      <c r="A248" s="46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31"/>
      <c r="N248" s="31"/>
      <c r="O248" s="32"/>
      <c r="P248" s="32"/>
      <c r="Q248" s="32"/>
      <c r="R248" s="33"/>
    </row>
    <row r="249" ht="15.75" customHeight="1">
      <c r="A249" s="46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31"/>
      <c r="N249" s="31"/>
      <c r="O249" s="47"/>
      <c r="P249" s="47"/>
      <c r="Q249" s="32"/>
      <c r="R249" s="33"/>
    </row>
    <row r="250" ht="15.75" customHeight="1">
      <c r="A250" s="46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31"/>
      <c r="N250" s="31"/>
      <c r="O250" s="32"/>
      <c r="P250" s="32"/>
      <c r="Q250" s="32"/>
      <c r="R250" s="33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31"/>
      <c r="N251" s="31"/>
      <c r="O251" s="47"/>
      <c r="P251" s="47"/>
      <c r="Q251" s="32"/>
      <c r="R251" s="33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31"/>
      <c r="N252" s="31"/>
      <c r="O252" s="47"/>
      <c r="P252" s="47"/>
      <c r="Q252" s="32"/>
      <c r="R252" s="33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31"/>
      <c r="N253" s="31"/>
      <c r="O253" s="31"/>
      <c r="P253" s="32"/>
      <c r="Q253" s="32"/>
      <c r="R253" s="33"/>
    </row>
    <row r="254" ht="15.75" customHeight="1">
      <c r="A254" s="48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31"/>
      <c r="N254" s="31"/>
      <c r="O254" s="32"/>
      <c r="P254" s="32"/>
      <c r="Q254" s="32"/>
      <c r="R254" s="33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31"/>
      <c r="N255" s="31"/>
      <c r="O255" s="32"/>
      <c r="P255" s="32"/>
      <c r="Q255" s="32"/>
      <c r="R255" s="33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31"/>
      <c r="N256" s="31"/>
      <c r="O256" s="31"/>
      <c r="P256" s="32"/>
      <c r="Q256" s="32"/>
      <c r="R256" s="33"/>
    </row>
    <row r="257" ht="15.75" customHeight="1">
      <c r="A257" s="30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31"/>
      <c r="N257" s="31"/>
      <c r="O257" s="32"/>
      <c r="P257" s="32"/>
      <c r="Q257" s="32"/>
      <c r="R257" s="33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31"/>
      <c r="N258" s="31"/>
      <c r="O258" s="31"/>
      <c r="P258" s="32"/>
      <c r="Q258" s="32"/>
      <c r="R258" s="33"/>
    </row>
    <row r="259" ht="15.75" customHeight="1">
      <c r="A259" s="30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31"/>
      <c r="N259" s="31"/>
      <c r="O259" s="31"/>
      <c r="P259" s="31"/>
      <c r="Q259" s="32"/>
      <c r="R259" s="33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31"/>
      <c r="N260" s="31"/>
      <c r="O260" s="31"/>
      <c r="P260" s="31"/>
      <c r="Q260" s="32"/>
      <c r="R260" s="33"/>
    </row>
    <row r="261" ht="15.75" customHeight="1">
      <c r="A261" s="30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31"/>
      <c r="N261" s="31"/>
      <c r="O261" s="31"/>
      <c r="P261" s="31"/>
      <c r="Q261" s="32"/>
      <c r="R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2"/>
      <c r="N262" s="32"/>
      <c r="O262" s="32"/>
      <c r="P262" s="32"/>
      <c r="Q262" s="32"/>
      <c r="R262" s="33" t="str">
        <f>IF(K262="----","#N/A",CONCATENATE("MK|",(VLOOKUP(B262,Dictionary!$A:$B,2,0)),"_CH|",(VLOOKUP(C262,Dictionary!$AV:$AW,2,0)),"_DT|",(VLOOKUP(D262,Dictionary!$P:$Q,2,0)),"_PB|",(VLOOKUP(E262,Dictionary!$G:$H,2,0)),"_FM|",(VLOOKUP(F262,Dictionary!$S:$T,2,0)),"_RT|",(VLOOKUP(G262,Dictionary!$V:$W,2,0)),"_PD|",SUBSTITUTE(SUBSTITUTE(IF(H262="","NONE",H262),"_","-"),"|","-"),"_TG|",(VLOOKUP(I262,Dictionary!$J:$K,2,0)),"_ST|",(VLOOKUP(J262,Dictionary!$M:$N,2,0)),"_TS|",SUBSTITUTE(SUBSTITUTE(IF(K262="","NONE",K262),"_","-"),"|","-"),"_SZ|",(VLOOKUP(L262,Dictionary!$Y:$Z,1,0)),"_AD|",(VLOOKUP(M262,Dictionary!$AB:$AC,2,0)),"_IT|",(VLOOKUP(N262,Dictionary!$BC:$BD,2,0)),IF(O262="","",CONCATENATE("_U1|",SUBSTITUTE(SUBSTITUTE(O262,"_","-"),"|","-"))),IF(P262="","",CONCATENATE("_U2|",SUBSTITUTE(SUBSTITUTE(P262,"_","-"),"|","-"))),IF(Q262="","",CONCATENATE("_U3|",SUBSTITUTE(SUBSTITUTE(Q262,"_","-"),"|","-")))))</f>
        <v>#N/A</v>
      </c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2"/>
      <c r="N263" s="32"/>
      <c r="O263" s="32"/>
      <c r="P263" s="32"/>
      <c r="Q263" s="32"/>
      <c r="R263" s="33" t="str">
        <f>IF(K263="----","#N/A",CONCATENATE("MK|",(VLOOKUP(B263,Dictionary!$A:$B,2,0)),"_CH|",(VLOOKUP(C263,Dictionary!$AV:$AW,2,0)),"_DT|",(VLOOKUP(D263,Dictionary!$P:$Q,2,0)),"_PB|",(VLOOKUP(E263,Dictionary!$G:$H,2,0)),"_FM|",(VLOOKUP(F263,Dictionary!$S:$T,2,0)),"_RT|",(VLOOKUP(G263,Dictionary!$V:$W,2,0)),"_PD|",SUBSTITUTE(SUBSTITUTE(IF(H263="","NONE",H263),"_","-"),"|","-"),"_TG|",(VLOOKUP(I263,Dictionary!$J:$K,2,0)),"_ST|",(VLOOKUP(J263,Dictionary!$M:$N,2,0)),"_TS|",SUBSTITUTE(SUBSTITUTE(IF(K263="","NONE",K263),"_","-"),"|","-"),"_SZ|",(VLOOKUP(L263,Dictionary!$Y:$Z,1,0)),"_AD|",(VLOOKUP(M263,Dictionary!$AB:$AC,2,0)),"_IT|",(VLOOKUP(N263,Dictionary!$BC:$BD,2,0)),IF(O263="","",CONCATENATE("_U1|",SUBSTITUTE(SUBSTITUTE(O263,"_","-"),"|","-"))),IF(P263="","",CONCATENATE("_U2|",SUBSTITUTE(SUBSTITUTE(P263,"_","-"),"|","-"))),IF(Q263="","",CONCATENATE("_U3|",SUBSTITUTE(SUBSTITUTE(Q263,"_","-"),"|","-")))))</f>
        <v>#N/A</v>
      </c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2"/>
      <c r="N264" s="32"/>
      <c r="O264" s="32"/>
      <c r="P264" s="32"/>
      <c r="Q264" s="32"/>
      <c r="R264" s="33" t="str">
        <f>IF(K264="----","#N/A",CONCATENATE("MK|",(VLOOKUP(B264,Dictionary!$A:$B,2,0)),"_CH|",(VLOOKUP(C264,Dictionary!$AV:$AW,2,0)),"_DT|",(VLOOKUP(D264,Dictionary!$P:$Q,2,0)),"_PB|",(VLOOKUP(E264,Dictionary!$G:$H,2,0)),"_FM|",(VLOOKUP(F264,Dictionary!$S:$T,2,0)),"_RT|",(VLOOKUP(G264,Dictionary!$V:$W,2,0)),"_PD|",SUBSTITUTE(SUBSTITUTE(IF(H264="","NONE",H264),"_","-"),"|","-"),"_TG|",(VLOOKUP(I264,Dictionary!$J:$K,2,0)),"_ST|",(VLOOKUP(J264,Dictionary!$M:$N,2,0)),"_TS|",SUBSTITUTE(SUBSTITUTE(IF(K264="","NONE",K264),"_","-"),"|","-"),"_SZ|",(VLOOKUP(L264,Dictionary!$Y:$Z,1,0)),"_AD|",(VLOOKUP(M264,Dictionary!$AB:$AC,2,0)),"_IT|",(VLOOKUP(N264,Dictionary!$BC:$BD,2,0)),IF(O264="","",CONCATENATE("_U1|",SUBSTITUTE(SUBSTITUTE(O264,"_","-"),"|","-"))),IF(P264="","",CONCATENATE("_U2|",SUBSTITUTE(SUBSTITUTE(P264,"_","-"),"|","-"))),IF(Q264="","",CONCATENATE("_U3|",SUBSTITUTE(SUBSTITUTE(Q264,"_","-"),"|","-")))))</f>
        <v>#N/A</v>
      </c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2"/>
      <c r="N265" s="32"/>
      <c r="O265" s="32"/>
      <c r="P265" s="32"/>
      <c r="Q265" s="32"/>
      <c r="R265" s="33" t="str">
        <f>IF(K265="----","#N/A",CONCATENATE("MK|",(VLOOKUP(B265,Dictionary!$A:$B,2,0)),"_CH|",(VLOOKUP(C265,Dictionary!$AV:$AW,2,0)),"_DT|",(VLOOKUP(D265,Dictionary!$P:$Q,2,0)),"_PB|",(VLOOKUP(E265,Dictionary!$G:$H,2,0)),"_FM|",(VLOOKUP(F265,Dictionary!$S:$T,2,0)),"_RT|",(VLOOKUP(G265,Dictionary!$V:$W,2,0)),"_PD|",SUBSTITUTE(SUBSTITUTE(IF(H265="","NONE",H265),"_","-"),"|","-"),"_TG|",(VLOOKUP(I265,Dictionary!$J:$K,2,0)),"_ST|",(VLOOKUP(J265,Dictionary!$M:$N,2,0)),"_TS|",SUBSTITUTE(SUBSTITUTE(IF(K265="","NONE",K265),"_","-"),"|","-"),"_SZ|",(VLOOKUP(L265,Dictionary!$Y:$Z,1,0)),"_AD|",(VLOOKUP(M265,Dictionary!$AB:$AC,2,0)),"_IT|",(VLOOKUP(N265,Dictionary!$BC:$BD,2,0)),IF(O265="","",CONCATENATE("_U1|",SUBSTITUTE(SUBSTITUTE(O265,"_","-"),"|","-"))),IF(P265="","",CONCATENATE("_U2|",SUBSTITUTE(SUBSTITUTE(P265,"_","-"),"|","-"))),IF(Q265="","",CONCATENATE("_U3|",SUBSTITUTE(SUBSTITUTE(Q265,"_","-"),"|","-")))))</f>
        <v>#N/A</v>
      </c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2"/>
      <c r="N266" s="32"/>
      <c r="O266" s="32"/>
      <c r="P266" s="32"/>
      <c r="Q266" s="32"/>
      <c r="R266" s="33" t="str">
        <f>IF(K266="----","#N/A",CONCATENATE("MK|",(VLOOKUP(B266,Dictionary!$A:$B,2,0)),"_CH|",(VLOOKUP(C266,Dictionary!$AV:$AW,2,0)),"_DT|",(VLOOKUP(D266,Dictionary!$P:$Q,2,0)),"_PB|",(VLOOKUP(E266,Dictionary!$G:$H,2,0)),"_FM|",(VLOOKUP(F266,Dictionary!$S:$T,2,0)),"_RT|",(VLOOKUP(G266,Dictionary!$V:$W,2,0)),"_PD|",SUBSTITUTE(SUBSTITUTE(IF(H266="","NONE",H266),"_","-"),"|","-"),"_TG|",(VLOOKUP(I266,Dictionary!$J:$K,2,0)),"_ST|",(VLOOKUP(J266,Dictionary!$M:$N,2,0)),"_TS|",SUBSTITUTE(SUBSTITUTE(IF(K266="","NONE",K266),"_","-"),"|","-"),"_SZ|",(VLOOKUP(L266,Dictionary!$Y:$Z,1,0)),"_AD|",(VLOOKUP(M266,Dictionary!$AB:$AC,2,0)),"_IT|",(VLOOKUP(N266,Dictionary!$BC:$BD,2,0)),IF(O266="","",CONCATENATE("_U1|",SUBSTITUTE(SUBSTITUTE(O266,"_","-"),"|","-"))),IF(P266="","",CONCATENATE("_U2|",SUBSTITUTE(SUBSTITUTE(P266,"_","-"),"|","-"))),IF(Q266="","",CONCATENATE("_U3|",SUBSTITUTE(SUBSTITUTE(Q266,"_","-"),"|","-")))))</f>
        <v>#N/A</v>
      </c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2"/>
      <c r="N267" s="32"/>
      <c r="O267" s="32"/>
      <c r="P267" s="32"/>
      <c r="Q267" s="32"/>
      <c r="R267" s="33" t="str">
        <f>IF(K267="----","#N/A",CONCATENATE("MK|",(VLOOKUP(B267,Dictionary!$A:$B,2,0)),"_CH|",(VLOOKUP(C267,Dictionary!$AV:$AW,2,0)),"_DT|",(VLOOKUP(D267,Dictionary!$P:$Q,2,0)),"_PB|",(VLOOKUP(E267,Dictionary!$G:$H,2,0)),"_FM|",(VLOOKUP(F267,Dictionary!$S:$T,2,0)),"_RT|",(VLOOKUP(G267,Dictionary!$V:$W,2,0)),"_PD|",SUBSTITUTE(SUBSTITUTE(IF(H267="","NONE",H267),"_","-"),"|","-"),"_TG|",(VLOOKUP(I267,Dictionary!$J:$K,2,0)),"_ST|",(VLOOKUP(J267,Dictionary!$M:$N,2,0)),"_TS|",SUBSTITUTE(SUBSTITUTE(IF(K267="","NONE",K267),"_","-"),"|","-"),"_SZ|",(VLOOKUP(L267,Dictionary!$Y:$Z,1,0)),"_AD|",(VLOOKUP(M267,Dictionary!$AB:$AC,2,0)),"_IT|",(VLOOKUP(N267,Dictionary!$BC:$BD,2,0)),IF(O267="","",CONCATENATE("_U1|",SUBSTITUTE(SUBSTITUTE(O267,"_","-"),"|","-"))),IF(P267="","",CONCATENATE("_U2|",SUBSTITUTE(SUBSTITUTE(P267,"_","-"),"|","-"))),IF(Q267="","",CONCATENATE("_U3|",SUBSTITUTE(SUBSTITUTE(Q267,"_","-"),"|","-")))))</f>
        <v>#N/A</v>
      </c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2"/>
      <c r="N268" s="32"/>
      <c r="O268" s="32"/>
      <c r="P268" s="32"/>
      <c r="Q268" s="32"/>
      <c r="R268" s="33" t="str">
        <f>IF(K268="----","#N/A",CONCATENATE("MK|",(VLOOKUP(B268,Dictionary!$A:$B,2,0)),"_CH|",(VLOOKUP(C268,Dictionary!$AV:$AW,2,0)),"_DT|",(VLOOKUP(D268,Dictionary!$P:$Q,2,0)),"_PB|",(VLOOKUP(E268,Dictionary!$G:$H,2,0)),"_FM|",(VLOOKUP(F268,Dictionary!$S:$T,2,0)),"_RT|",(VLOOKUP(G268,Dictionary!$V:$W,2,0)),"_PD|",SUBSTITUTE(SUBSTITUTE(IF(H268="","NONE",H268),"_","-"),"|","-"),"_TG|",(VLOOKUP(I268,Dictionary!$J:$K,2,0)),"_ST|",(VLOOKUP(J268,Dictionary!$M:$N,2,0)),"_TS|",SUBSTITUTE(SUBSTITUTE(IF(K268="","NONE",K268),"_","-"),"|","-"),"_SZ|",(VLOOKUP(L268,Dictionary!$Y:$Z,1,0)),"_AD|",(VLOOKUP(M268,Dictionary!$AB:$AC,2,0)),"_IT|",(VLOOKUP(N268,Dictionary!$BC:$BD,2,0)),IF(O268="","",CONCATENATE("_U1|",SUBSTITUTE(SUBSTITUTE(O268,"_","-"),"|","-"))),IF(P268="","",CONCATENATE("_U2|",SUBSTITUTE(SUBSTITUTE(P268,"_","-"),"|","-"))),IF(Q268="","",CONCATENATE("_U3|",SUBSTITUTE(SUBSTITUTE(Q268,"_","-"),"|","-")))))</f>
        <v>#N/A</v>
      </c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2"/>
      <c r="N269" s="32"/>
      <c r="O269" s="32"/>
      <c r="P269" s="32"/>
      <c r="Q269" s="32"/>
      <c r="R269" s="33" t="str">
        <f>IF(K269="----","#N/A",CONCATENATE("MK|",(VLOOKUP(B269,Dictionary!$A:$B,2,0)),"_CH|",(VLOOKUP(C269,Dictionary!$AV:$AW,2,0)),"_DT|",(VLOOKUP(D269,Dictionary!$P:$Q,2,0)),"_PB|",(VLOOKUP(E269,Dictionary!$G:$H,2,0)),"_FM|",(VLOOKUP(F269,Dictionary!$S:$T,2,0)),"_RT|",(VLOOKUP(G269,Dictionary!$V:$W,2,0)),"_PD|",SUBSTITUTE(SUBSTITUTE(IF(H269="","NONE",H269),"_","-"),"|","-"),"_TG|",(VLOOKUP(I269,Dictionary!$J:$K,2,0)),"_ST|",(VLOOKUP(J269,Dictionary!$M:$N,2,0)),"_TS|",SUBSTITUTE(SUBSTITUTE(IF(K269="","NONE",K269),"_","-"),"|","-"),"_SZ|",(VLOOKUP(L269,Dictionary!$Y:$Z,1,0)),"_AD|",(VLOOKUP(M269,Dictionary!$AB:$AC,2,0)),"_IT|",(VLOOKUP(N269,Dictionary!$BC:$BD,2,0)),IF(O269="","",CONCATENATE("_U1|",SUBSTITUTE(SUBSTITUTE(O269,"_","-"),"|","-"))),IF(P269="","",CONCATENATE("_U2|",SUBSTITUTE(SUBSTITUTE(P269,"_","-"),"|","-"))),IF(Q269="","",CONCATENATE("_U3|",SUBSTITUTE(SUBSTITUTE(Q269,"_","-"),"|","-")))))</f>
        <v>#N/A</v>
      </c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2"/>
      <c r="N270" s="32"/>
      <c r="O270" s="32"/>
      <c r="P270" s="32"/>
      <c r="Q270" s="32"/>
      <c r="R270" s="33" t="str">
        <f>IF(K270="----","#N/A",CONCATENATE("MK|",(VLOOKUP(B270,Dictionary!$A:$B,2,0)),"_CH|",(VLOOKUP(C270,Dictionary!$AV:$AW,2,0)),"_DT|",(VLOOKUP(D270,Dictionary!$P:$Q,2,0)),"_PB|",(VLOOKUP(E270,Dictionary!$G:$H,2,0)),"_FM|",(VLOOKUP(F270,Dictionary!$S:$T,2,0)),"_RT|",(VLOOKUP(G270,Dictionary!$V:$W,2,0)),"_PD|",SUBSTITUTE(SUBSTITUTE(IF(H270="","NONE",H270),"_","-"),"|","-"),"_TG|",(VLOOKUP(I270,Dictionary!$J:$K,2,0)),"_ST|",(VLOOKUP(J270,Dictionary!$M:$N,2,0)),"_TS|",SUBSTITUTE(SUBSTITUTE(IF(K270="","NONE",K270),"_","-"),"|","-"),"_SZ|",(VLOOKUP(L270,Dictionary!$Y:$Z,1,0)),"_AD|",(VLOOKUP(M270,Dictionary!$AB:$AC,2,0)),"_IT|",(VLOOKUP(N270,Dictionary!$BC:$BD,2,0)),IF(O270="","",CONCATENATE("_U1|",SUBSTITUTE(SUBSTITUTE(O270,"_","-"),"|","-"))),IF(P270="","",CONCATENATE("_U2|",SUBSTITUTE(SUBSTITUTE(P270,"_","-"),"|","-"))),IF(Q270="","",CONCATENATE("_U3|",SUBSTITUTE(SUBSTITUTE(Q270,"_","-"),"|","-")))))</f>
        <v>#N/A</v>
      </c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2"/>
      <c r="N271" s="32"/>
      <c r="O271" s="32"/>
      <c r="P271" s="32"/>
      <c r="Q271" s="32"/>
      <c r="R271" s="33" t="str">
        <f>IF(K271="----","#N/A",CONCATENATE("MK|",(VLOOKUP(B271,Dictionary!$A:$B,2,0)),"_CH|",(VLOOKUP(C271,Dictionary!$AV:$AW,2,0)),"_DT|",(VLOOKUP(D271,Dictionary!$P:$Q,2,0)),"_PB|",(VLOOKUP(E271,Dictionary!$G:$H,2,0)),"_FM|",(VLOOKUP(F271,Dictionary!$S:$T,2,0)),"_RT|",(VLOOKUP(G271,Dictionary!$V:$W,2,0)),"_PD|",SUBSTITUTE(SUBSTITUTE(IF(H271="","NONE",H271),"_","-"),"|","-"),"_TG|",(VLOOKUP(I271,Dictionary!$J:$K,2,0)),"_ST|",(VLOOKUP(J271,Dictionary!$M:$N,2,0)),"_TS|",SUBSTITUTE(SUBSTITUTE(IF(K271="","NONE",K271),"_","-"),"|","-"),"_SZ|",(VLOOKUP(L271,Dictionary!$Y:$Z,1,0)),"_AD|",(VLOOKUP(M271,Dictionary!$AB:$AC,2,0)),"_IT|",(VLOOKUP(N271,Dictionary!$BC:$BD,2,0)),IF(O271="","",CONCATENATE("_U1|",SUBSTITUTE(SUBSTITUTE(O271,"_","-"),"|","-"))),IF(P271="","",CONCATENATE("_U2|",SUBSTITUTE(SUBSTITUTE(P271,"_","-"),"|","-"))),IF(Q271="","",CONCATENATE("_U3|",SUBSTITUTE(SUBSTITUTE(Q271,"_","-"),"|","-")))))</f>
        <v>#N/A</v>
      </c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2"/>
      <c r="N272" s="32"/>
      <c r="O272" s="32"/>
      <c r="P272" s="32"/>
      <c r="Q272" s="32"/>
      <c r="R272" s="33" t="str">
        <f>IF(K272="----","#N/A",CONCATENATE("MK|",(VLOOKUP(B272,Dictionary!$A:$B,2,0)),"_CH|",(VLOOKUP(C272,Dictionary!$AV:$AW,2,0)),"_DT|",(VLOOKUP(D272,Dictionary!$P:$Q,2,0)),"_PB|",(VLOOKUP(E272,Dictionary!$G:$H,2,0)),"_FM|",(VLOOKUP(F272,Dictionary!$S:$T,2,0)),"_RT|",(VLOOKUP(G272,Dictionary!$V:$W,2,0)),"_PD|",SUBSTITUTE(SUBSTITUTE(IF(H272="","NONE",H272),"_","-"),"|","-"),"_TG|",(VLOOKUP(I272,Dictionary!$J:$K,2,0)),"_ST|",(VLOOKUP(J272,Dictionary!$M:$N,2,0)),"_TS|",SUBSTITUTE(SUBSTITUTE(IF(K272="","NONE",K272),"_","-"),"|","-"),"_SZ|",(VLOOKUP(L272,Dictionary!$Y:$Z,1,0)),"_AD|",(VLOOKUP(M272,Dictionary!$AB:$AC,2,0)),"_IT|",(VLOOKUP(N272,Dictionary!$BC:$BD,2,0)),IF(O272="","",CONCATENATE("_U1|",SUBSTITUTE(SUBSTITUTE(O272,"_","-"),"|","-"))),IF(P272="","",CONCATENATE("_U2|",SUBSTITUTE(SUBSTITUTE(P272,"_","-"),"|","-"))),IF(Q272="","",CONCATENATE("_U3|",SUBSTITUTE(SUBSTITUTE(Q272,"_","-"),"|","-")))))</f>
        <v>#N/A</v>
      </c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2"/>
      <c r="N273" s="32"/>
      <c r="O273" s="32"/>
      <c r="P273" s="32"/>
      <c r="Q273" s="32"/>
      <c r="R273" s="33" t="str">
        <f>IF(K273="----","#N/A",CONCATENATE("MK|",(VLOOKUP(B273,Dictionary!$A:$B,2,0)),"_CH|",(VLOOKUP(C273,Dictionary!$AV:$AW,2,0)),"_DT|",(VLOOKUP(D273,Dictionary!$P:$Q,2,0)),"_PB|",(VLOOKUP(E273,Dictionary!$G:$H,2,0)),"_FM|",(VLOOKUP(F273,Dictionary!$S:$T,2,0)),"_RT|",(VLOOKUP(G273,Dictionary!$V:$W,2,0)),"_PD|",SUBSTITUTE(SUBSTITUTE(IF(H273="","NONE",H273),"_","-"),"|","-"),"_TG|",(VLOOKUP(I273,Dictionary!$J:$K,2,0)),"_ST|",(VLOOKUP(J273,Dictionary!$M:$N,2,0)),"_TS|",SUBSTITUTE(SUBSTITUTE(IF(K273="","NONE",K273),"_","-"),"|","-"),"_SZ|",(VLOOKUP(L273,Dictionary!$Y:$Z,1,0)),"_AD|",(VLOOKUP(M273,Dictionary!$AB:$AC,2,0)),"_IT|",(VLOOKUP(N273,Dictionary!$BC:$BD,2,0)),IF(O273="","",CONCATENATE("_U1|",SUBSTITUTE(SUBSTITUTE(O273,"_","-"),"|","-"))),IF(P273="","",CONCATENATE("_U2|",SUBSTITUTE(SUBSTITUTE(P273,"_","-"),"|","-"))),IF(Q273="","",CONCATENATE("_U3|",SUBSTITUTE(SUBSTITUTE(Q273,"_","-"),"|","-")))))</f>
        <v>#N/A</v>
      </c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2"/>
      <c r="N274" s="32"/>
      <c r="O274" s="32"/>
      <c r="P274" s="32"/>
      <c r="Q274" s="32"/>
      <c r="R274" s="33" t="str">
        <f>IF(K274="----","#N/A",CONCATENATE("MK|",(VLOOKUP(B274,Dictionary!$A:$B,2,0)),"_CH|",(VLOOKUP(C274,Dictionary!$AV:$AW,2,0)),"_DT|",(VLOOKUP(D274,Dictionary!$P:$Q,2,0)),"_PB|",(VLOOKUP(E274,Dictionary!$G:$H,2,0)),"_FM|",(VLOOKUP(F274,Dictionary!$S:$T,2,0)),"_RT|",(VLOOKUP(G274,Dictionary!$V:$W,2,0)),"_PD|",SUBSTITUTE(SUBSTITUTE(IF(H274="","NONE",H274),"_","-"),"|","-"),"_TG|",(VLOOKUP(I274,Dictionary!$J:$K,2,0)),"_ST|",(VLOOKUP(J274,Dictionary!$M:$N,2,0)),"_TS|",SUBSTITUTE(SUBSTITUTE(IF(K274="","NONE",K274),"_","-"),"|","-"),"_SZ|",(VLOOKUP(L274,Dictionary!$Y:$Z,1,0)),"_AD|",(VLOOKUP(M274,Dictionary!$AB:$AC,2,0)),"_IT|",(VLOOKUP(N274,Dictionary!$BC:$BD,2,0)),IF(O274="","",CONCATENATE("_U1|",SUBSTITUTE(SUBSTITUTE(O274,"_","-"),"|","-"))),IF(P274="","",CONCATENATE("_U2|",SUBSTITUTE(SUBSTITUTE(P274,"_","-"),"|","-"))),IF(Q274="","",CONCATENATE("_U3|",SUBSTITUTE(SUBSTITUTE(Q274,"_","-"),"|","-")))))</f>
        <v>#N/A</v>
      </c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2"/>
      <c r="N275" s="32"/>
      <c r="O275" s="32"/>
      <c r="P275" s="32"/>
      <c r="Q275" s="32"/>
      <c r="R275" s="33" t="str">
        <f>IF(K275="----","#N/A",CONCATENATE("MK|",(VLOOKUP(B275,Dictionary!$A:$B,2,0)),"_CH|",(VLOOKUP(C275,Dictionary!$AV:$AW,2,0)),"_DT|",(VLOOKUP(D275,Dictionary!$P:$Q,2,0)),"_PB|",(VLOOKUP(E275,Dictionary!$G:$H,2,0)),"_FM|",(VLOOKUP(F275,Dictionary!$S:$T,2,0)),"_RT|",(VLOOKUP(G275,Dictionary!$V:$W,2,0)),"_PD|",SUBSTITUTE(SUBSTITUTE(IF(H275="","NONE",H275),"_","-"),"|","-"),"_TG|",(VLOOKUP(I275,Dictionary!$J:$K,2,0)),"_ST|",(VLOOKUP(J275,Dictionary!$M:$N,2,0)),"_TS|",SUBSTITUTE(SUBSTITUTE(IF(K275="","NONE",K275),"_","-"),"|","-"),"_SZ|",(VLOOKUP(L275,Dictionary!$Y:$Z,1,0)),"_AD|",(VLOOKUP(M275,Dictionary!$AB:$AC,2,0)),"_IT|",(VLOOKUP(N275,Dictionary!$BC:$BD,2,0)),IF(O275="","",CONCATENATE("_U1|",SUBSTITUTE(SUBSTITUTE(O275,"_","-"),"|","-"))),IF(P275="","",CONCATENATE("_U2|",SUBSTITUTE(SUBSTITUTE(P275,"_","-"),"|","-"))),IF(Q275="","",CONCATENATE("_U3|",SUBSTITUTE(SUBSTITUTE(Q275,"_","-"),"|","-")))))</f>
        <v>#N/A</v>
      </c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2"/>
      <c r="N276" s="32"/>
      <c r="O276" s="32"/>
      <c r="P276" s="32"/>
      <c r="Q276" s="32"/>
      <c r="R276" s="33" t="str">
        <f>IF(K276="----","#N/A",CONCATENATE("MK|",(VLOOKUP(B276,Dictionary!$A:$B,2,0)),"_CH|",(VLOOKUP(C276,Dictionary!$AV:$AW,2,0)),"_DT|",(VLOOKUP(D276,Dictionary!$P:$Q,2,0)),"_PB|",(VLOOKUP(E276,Dictionary!$G:$H,2,0)),"_FM|",(VLOOKUP(F276,Dictionary!$S:$T,2,0)),"_RT|",(VLOOKUP(G276,Dictionary!$V:$W,2,0)),"_PD|",SUBSTITUTE(SUBSTITUTE(IF(H276="","NONE",H276),"_","-"),"|","-"),"_TG|",(VLOOKUP(I276,Dictionary!$J:$K,2,0)),"_ST|",(VLOOKUP(J276,Dictionary!$M:$N,2,0)),"_TS|",SUBSTITUTE(SUBSTITUTE(IF(K276="","NONE",K276),"_","-"),"|","-"),"_SZ|",(VLOOKUP(L276,Dictionary!$Y:$Z,1,0)),"_AD|",(VLOOKUP(M276,Dictionary!$AB:$AC,2,0)),"_IT|",(VLOOKUP(N276,Dictionary!$BC:$BD,2,0)),IF(O276="","",CONCATENATE("_U1|",SUBSTITUTE(SUBSTITUTE(O276,"_","-"),"|","-"))),IF(P276="","",CONCATENATE("_U2|",SUBSTITUTE(SUBSTITUTE(P276,"_","-"),"|","-"))),IF(Q276="","",CONCATENATE("_U3|",SUBSTITUTE(SUBSTITUTE(Q276,"_","-"),"|","-")))))</f>
        <v>#N/A</v>
      </c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2"/>
      <c r="N277" s="32"/>
      <c r="O277" s="32"/>
      <c r="P277" s="32"/>
      <c r="Q277" s="32"/>
      <c r="R277" s="33" t="str">
        <f>IF(K277="----","#N/A",CONCATENATE("MK|",(VLOOKUP(B277,Dictionary!$A:$B,2,0)),"_CH|",(VLOOKUP(C277,Dictionary!$AV:$AW,2,0)),"_DT|",(VLOOKUP(D277,Dictionary!$P:$Q,2,0)),"_PB|",(VLOOKUP(E277,Dictionary!$G:$H,2,0)),"_FM|",(VLOOKUP(F277,Dictionary!$S:$T,2,0)),"_RT|",(VLOOKUP(G277,Dictionary!$V:$W,2,0)),"_PD|",SUBSTITUTE(SUBSTITUTE(IF(H277="","NONE",H277),"_","-"),"|","-"),"_TG|",(VLOOKUP(I277,Dictionary!$J:$K,2,0)),"_ST|",(VLOOKUP(J277,Dictionary!$M:$N,2,0)),"_TS|",SUBSTITUTE(SUBSTITUTE(IF(K277="","NONE",K277),"_","-"),"|","-"),"_SZ|",(VLOOKUP(L277,Dictionary!$Y:$Z,1,0)),"_AD|",(VLOOKUP(M277,Dictionary!$AB:$AC,2,0)),"_IT|",(VLOOKUP(N277,Dictionary!$BC:$BD,2,0)),IF(O277="","",CONCATENATE("_U1|",SUBSTITUTE(SUBSTITUTE(O277,"_","-"),"|","-"))),IF(P277="","",CONCATENATE("_U2|",SUBSTITUTE(SUBSTITUTE(P277,"_","-"),"|","-"))),IF(Q277="","",CONCATENATE("_U3|",SUBSTITUTE(SUBSTITUTE(Q277,"_","-"),"|","-")))))</f>
        <v>#N/A</v>
      </c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2"/>
      <c r="N278" s="32"/>
      <c r="O278" s="32"/>
      <c r="P278" s="32"/>
      <c r="Q278" s="32"/>
      <c r="R278" s="33" t="str">
        <f>IF(K278="----","#N/A",CONCATENATE("MK|",(VLOOKUP(B278,Dictionary!$A:$B,2,0)),"_CH|",(VLOOKUP(C278,Dictionary!$AV:$AW,2,0)),"_DT|",(VLOOKUP(D278,Dictionary!$P:$Q,2,0)),"_PB|",(VLOOKUP(E278,Dictionary!$G:$H,2,0)),"_FM|",(VLOOKUP(F278,Dictionary!$S:$T,2,0)),"_RT|",(VLOOKUP(G278,Dictionary!$V:$W,2,0)),"_PD|",SUBSTITUTE(SUBSTITUTE(IF(H278="","NONE",H278),"_","-"),"|","-"),"_TG|",(VLOOKUP(I278,Dictionary!$J:$K,2,0)),"_ST|",(VLOOKUP(J278,Dictionary!$M:$N,2,0)),"_TS|",SUBSTITUTE(SUBSTITUTE(IF(K278="","NONE",K278),"_","-"),"|","-"),"_SZ|",(VLOOKUP(L278,Dictionary!$Y:$Z,1,0)),"_AD|",(VLOOKUP(M278,Dictionary!$AB:$AC,2,0)),"_IT|",(VLOOKUP(N278,Dictionary!$BC:$BD,2,0)),IF(O278="","",CONCATENATE("_U1|",SUBSTITUTE(SUBSTITUTE(O278,"_","-"),"|","-"))),IF(P278="","",CONCATENATE("_U2|",SUBSTITUTE(SUBSTITUTE(P278,"_","-"),"|","-"))),IF(Q278="","",CONCATENATE("_U3|",SUBSTITUTE(SUBSTITUTE(Q278,"_","-"),"|","-")))))</f>
        <v>#N/A</v>
      </c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2"/>
      <c r="N279" s="32"/>
      <c r="O279" s="32"/>
      <c r="P279" s="32"/>
      <c r="Q279" s="32"/>
      <c r="R279" s="33" t="str">
        <f>IF(K279="----","#N/A",CONCATENATE("MK|",(VLOOKUP(B279,Dictionary!$A:$B,2,0)),"_CH|",(VLOOKUP(C279,Dictionary!$AV:$AW,2,0)),"_DT|",(VLOOKUP(D279,Dictionary!$P:$Q,2,0)),"_PB|",(VLOOKUP(E279,Dictionary!$G:$H,2,0)),"_FM|",(VLOOKUP(F279,Dictionary!$S:$T,2,0)),"_RT|",(VLOOKUP(G279,Dictionary!$V:$W,2,0)),"_PD|",SUBSTITUTE(SUBSTITUTE(IF(H279="","NONE",H279),"_","-"),"|","-"),"_TG|",(VLOOKUP(I279,Dictionary!$J:$K,2,0)),"_ST|",(VLOOKUP(J279,Dictionary!$M:$N,2,0)),"_TS|",SUBSTITUTE(SUBSTITUTE(IF(K279="","NONE",K279),"_","-"),"|","-"),"_SZ|",(VLOOKUP(L279,Dictionary!$Y:$Z,1,0)),"_AD|",(VLOOKUP(M279,Dictionary!$AB:$AC,2,0)),"_IT|",(VLOOKUP(N279,Dictionary!$BC:$BD,2,0)),IF(O279="","",CONCATENATE("_U1|",SUBSTITUTE(SUBSTITUTE(O279,"_","-"),"|","-"))),IF(P279="","",CONCATENATE("_U2|",SUBSTITUTE(SUBSTITUTE(P279,"_","-"),"|","-"))),IF(Q279="","",CONCATENATE("_U3|",SUBSTITUTE(SUBSTITUTE(Q279,"_","-"),"|","-")))))</f>
        <v>#N/A</v>
      </c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2"/>
      <c r="N280" s="32"/>
      <c r="O280" s="32"/>
      <c r="P280" s="32"/>
      <c r="Q280" s="32"/>
      <c r="R280" s="33" t="str">
        <f>IF(K280="----","#N/A",CONCATENATE("MK|",(VLOOKUP(B280,Dictionary!$A:$B,2,0)),"_CH|",(VLOOKUP(C280,Dictionary!$AV:$AW,2,0)),"_DT|",(VLOOKUP(D280,Dictionary!$P:$Q,2,0)),"_PB|",(VLOOKUP(E280,Dictionary!$G:$H,2,0)),"_FM|",(VLOOKUP(F280,Dictionary!$S:$T,2,0)),"_RT|",(VLOOKUP(G280,Dictionary!$V:$W,2,0)),"_PD|",SUBSTITUTE(SUBSTITUTE(IF(H280="","NONE",H280),"_","-"),"|","-"),"_TG|",(VLOOKUP(I280,Dictionary!$J:$K,2,0)),"_ST|",(VLOOKUP(J280,Dictionary!$M:$N,2,0)),"_TS|",SUBSTITUTE(SUBSTITUTE(IF(K280="","NONE",K280),"_","-"),"|","-"),"_SZ|",(VLOOKUP(L280,Dictionary!$Y:$Z,1,0)),"_AD|",(VLOOKUP(M280,Dictionary!$AB:$AC,2,0)),"_IT|",(VLOOKUP(N280,Dictionary!$BC:$BD,2,0)),IF(O280="","",CONCATENATE("_U1|",SUBSTITUTE(SUBSTITUTE(O280,"_","-"),"|","-"))),IF(P280="","",CONCATENATE("_U2|",SUBSTITUTE(SUBSTITUTE(P280,"_","-"),"|","-"))),IF(Q280="","",CONCATENATE("_U3|",SUBSTITUTE(SUBSTITUTE(Q280,"_","-"),"|","-")))))</f>
        <v>#N/A</v>
      </c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2"/>
      <c r="N281" s="32"/>
      <c r="O281" s="32"/>
      <c r="P281" s="32"/>
      <c r="Q281" s="32"/>
      <c r="R281" s="33" t="str">
        <f>IF(K281="----","#N/A",CONCATENATE("MK|",(VLOOKUP(B281,Dictionary!$A:$B,2,0)),"_CH|",(VLOOKUP(C281,Dictionary!$AV:$AW,2,0)),"_DT|",(VLOOKUP(D281,Dictionary!$P:$Q,2,0)),"_PB|",(VLOOKUP(E281,Dictionary!$G:$H,2,0)),"_FM|",(VLOOKUP(F281,Dictionary!$S:$T,2,0)),"_RT|",(VLOOKUP(G281,Dictionary!$V:$W,2,0)),"_PD|",SUBSTITUTE(SUBSTITUTE(IF(H281="","NONE",H281),"_","-"),"|","-"),"_TG|",(VLOOKUP(I281,Dictionary!$J:$K,2,0)),"_ST|",(VLOOKUP(J281,Dictionary!$M:$N,2,0)),"_TS|",SUBSTITUTE(SUBSTITUTE(IF(K281="","NONE",K281),"_","-"),"|","-"),"_SZ|",(VLOOKUP(L281,Dictionary!$Y:$Z,1,0)),"_AD|",(VLOOKUP(M281,Dictionary!$AB:$AC,2,0)),"_IT|",(VLOOKUP(N281,Dictionary!$BC:$BD,2,0)),IF(O281="","",CONCATENATE("_U1|",SUBSTITUTE(SUBSTITUTE(O281,"_","-"),"|","-"))),IF(P281="","",CONCATENATE("_U2|",SUBSTITUTE(SUBSTITUTE(P281,"_","-"),"|","-"))),IF(Q281="","",CONCATENATE("_U3|",SUBSTITUTE(SUBSTITUTE(Q281,"_","-"),"|","-")))))</f>
        <v>#N/A</v>
      </c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2"/>
      <c r="N282" s="32"/>
      <c r="O282" s="32"/>
      <c r="P282" s="32"/>
      <c r="Q282" s="32"/>
      <c r="R282" s="33" t="str">
        <f>IF(K282="----","#N/A",CONCATENATE("MK|",(VLOOKUP(B282,Dictionary!$A:$B,2,0)),"_CH|",(VLOOKUP(C282,Dictionary!$AV:$AW,2,0)),"_DT|",(VLOOKUP(D282,Dictionary!$P:$Q,2,0)),"_PB|",(VLOOKUP(E282,Dictionary!$G:$H,2,0)),"_FM|",(VLOOKUP(F282,Dictionary!$S:$T,2,0)),"_RT|",(VLOOKUP(G282,Dictionary!$V:$W,2,0)),"_PD|",SUBSTITUTE(SUBSTITUTE(IF(H282="","NONE",H282),"_","-"),"|","-"),"_TG|",(VLOOKUP(I282,Dictionary!$J:$K,2,0)),"_ST|",(VLOOKUP(J282,Dictionary!$M:$N,2,0)),"_TS|",SUBSTITUTE(SUBSTITUTE(IF(K282="","NONE",K282),"_","-"),"|","-"),"_SZ|",(VLOOKUP(L282,Dictionary!$Y:$Z,1,0)),"_AD|",(VLOOKUP(M282,Dictionary!$AB:$AC,2,0)),"_IT|",(VLOOKUP(N282,Dictionary!$BC:$BD,2,0)),IF(O282="","",CONCATENATE("_U1|",SUBSTITUTE(SUBSTITUTE(O282,"_","-"),"|","-"))),IF(P282="","",CONCATENATE("_U2|",SUBSTITUTE(SUBSTITUTE(P282,"_","-"),"|","-"))),IF(Q282="","",CONCATENATE("_U3|",SUBSTITUTE(SUBSTITUTE(Q282,"_","-"),"|","-")))))</f>
        <v>#N/A</v>
      </c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2"/>
      <c r="N283" s="32"/>
      <c r="O283" s="32"/>
      <c r="P283" s="32"/>
      <c r="Q283" s="32"/>
      <c r="R283" s="33" t="str">
        <f>IF(K283="----","#N/A",CONCATENATE("MK|",(VLOOKUP(B283,Dictionary!$A:$B,2,0)),"_CH|",(VLOOKUP(C283,Dictionary!$AV:$AW,2,0)),"_DT|",(VLOOKUP(D283,Dictionary!$P:$Q,2,0)),"_PB|",(VLOOKUP(E283,Dictionary!$G:$H,2,0)),"_FM|",(VLOOKUP(F283,Dictionary!$S:$T,2,0)),"_RT|",(VLOOKUP(G283,Dictionary!$V:$W,2,0)),"_PD|",SUBSTITUTE(SUBSTITUTE(IF(H283="","NONE",H283),"_","-"),"|","-"),"_TG|",(VLOOKUP(I283,Dictionary!$J:$K,2,0)),"_ST|",(VLOOKUP(J283,Dictionary!$M:$N,2,0)),"_TS|",SUBSTITUTE(SUBSTITUTE(IF(K283="","NONE",K283),"_","-"),"|","-"),"_SZ|",(VLOOKUP(L283,Dictionary!$Y:$Z,1,0)),"_AD|",(VLOOKUP(M283,Dictionary!$AB:$AC,2,0)),"_IT|",(VLOOKUP(N283,Dictionary!$BC:$BD,2,0)),IF(O283="","",CONCATENATE("_U1|",SUBSTITUTE(SUBSTITUTE(O283,"_","-"),"|","-"))),IF(P283="","",CONCATENATE("_U2|",SUBSTITUTE(SUBSTITUTE(P283,"_","-"),"|","-"))),IF(Q283="","",CONCATENATE("_U3|",SUBSTITUTE(SUBSTITUTE(Q283,"_","-"),"|","-")))))</f>
        <v>#N/A</v>
      </c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2"/>
      <c r="N284" s="32"/>
      <c r="O284" s="32"/>
      <c r="P284" s="32"/>
      <c r="Q284" s="32"/>
      <c r="R284" s="33" t="str">
        <f>IF(K284="----","#N/A",CONCATENATE("MK|",(VLOOKUP(B284,Dictionary!$A:$B,2,0)),"_CH|",(VLOOKUP(C284,Dictionary!$AV:$AW,2,0)),"_DT|",(VLOOKUP(D284,Dictionary!$P:$Q,2,0)),"_PB|",(VLOOKUP(E284,Dictionary!$G:$H,2,0)),"_FM|",(VLOOKUP(F284,Dictionary!$S:$T,2,0)),"_RT|",(VLOOKUP(G284,Dictionary!$V:$W,2,0)),"_PD|",SUBSTITUTE(SUBSTITUTE(IF(H284="","NONE",H284),"_","-"),"|","-"),"_TG|",(VLOOKUP(I284,Dictionary!$J:$K,2,0)),"_ST|",(VLOOKUP(J284,Dictionary!$M:$N,2,0)),"_TS|",SUBSTITUTE(SUBSTITUTE(IF(K284="","NONE",K284),"_","-"),"|","-"),"_SZ|",(VLOOKUP(L284,Dictionary!$Y:$Z,1,0)),"_AD|",(VLOOKUP(M284,Dictionary!$AB:$AC,2,0)),"_IT|",(VLOOKUP(N284,Dictionary!$BC:$BD,2,0)),IF(O284="","",CONCATENATE("_U1|",SUBSTITUTE(SUBSTITUTE(O284,"_","-"),"|","-"))),IF(P284="","",CONCATENATE("_U2|",SUBSTITUTE(SUBSTITUTE(P284,"_","-"),"|","-"))),IF(Q284="","",CONCATENATE("_U3|",SUBSTITUTE(SUBSTITUTE(Q284,"_","-"),"|","-")))))</f>
        <v>#N/A</v>
      </c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2"/>
      <c r="N285" s="32"/>
      <c r="O285" s="32"/>
      <c r="P285" s="32"/>
      <c r="Q285" s="32"/>
      <c r="R285" s="33" t="str">
        <f>IF(K285="----","#N/A",CONCATENATE("MK|",(VLOOKUP(B285,Dictionary!$A:$B,2,0)),"_CH|",(VLOOKUP(C285,Dictionary!$AV:$AW,2,0)),"_DT|",(VLOOKUP(D285,Dictionary!$P:$Q,2,0)),"_PB|",(VLOOKUP(E285,Dictionary!$G:$H,2,0)),"_FM|",(VLOOKUP(F285,Dictionary!$S:$T,2,0)),"_RT|",(VLOOKUP(G285,Dictionary!$V:$W,2,0)),"_PD|",SUBSTITUTE(SUBSTITUTE(IF(H285="","NONE",H285),"_","-"),"|","-"),"_TG|",(VLOOKUP(I285,Dictionary!$J:$K,2,0)),"_ST|",(VLOOKUP(J285,Dictionary!$M:$N,2,0)),"_TS|",SUBSTITUTE(SUBSTITUTE(IF(K285="","NONE",K285),"_","-"),"|","-"),"_SZ|",(VLOOKUP(L285,Dictionary!$Y:$Z,1,0)),"_AD|",(VLOOKUP(M285,Dictionary!$AB:$AC,2,0)),"_IT|",(VLOOKUP(N285,Dictionary!$BC:$BD,2,0)),IF(O285="","",CONCATENATE("_U1|",SUBSTITUTE(SUBSTITUTE(O285,"_","-"),"|","-"))),IF(P285="","",CONCATENATE("_U2|",SUBSTITUTE(SUBSTITUTE(P285,"_","-"),"|","-"))),IF(Q285="","",CONCATENATE("_U3|",SUBSTITUTE(SUBSTITUTE(Q285,"_","-"),"|","-")))))</f>
        <v>#N/A</v>
      </c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2"/>
      <c r="N286" s="32"/>
      <c r="O286" s="32"/>
      <c r="P286" s="32"/>
      <c r="Q286" s="32"/>
      <c r="R286" s="33" t="str">
        <f>IF(K286="----","#N/A",CONCATENATE("MK|",(VLOOKUP(B286,Dictionary!$A:$B,2,0)),"_CH|",(VLOOKUP(C286,Dictionary!$AV:$AW,2,0)),"_DT|",(VLOOKUP(D286,Dictionary!$P:$Q,2,0)),"_PB|",(VLOOKUP(E286,Dictionary!$G:$H,2,0)),"_FM|",(VLOOKUP(F286,Dictionary!$S:$T,2,0)),"_RT|",(VLOOKUP(G286,Dictionary!$V:$W,2,0)),"_PD|",SUBSTITUTE(SUBSTITUTE(IF(H286="","NONE",H286),"_","-"),"|","-"),"_TG|",(VLOOKUP(I286,Dictionary!$J:$K,2,0)),"_ST|",(VLOOKUP(J286,Dictionary!$M:$N,2,0)),"_TS|",SUBSTITUTE(SUBSTITUTE(IF(K286="","NONE",K286),"_","-"),"|","-"),"_SZ|",(VLOOKUP(L286,Dictionary!$Y:$Z,1,0)),"_AD|",(VLOOKUP(M286,Dictionary!$AB:$AC,2,0)),"_IT|",(VLOOKUP(N286,Dictionary!$BC:$BD,2,0)),IF(O286="","",CONCATENATE("_U1|",SUBSTITUTE(SUBSTITUTE(O286,"_","-"),"|","-"))),IF(P286="","",CONCATENATE("_U2|",SUBSTITUTE(SUBSTITUTE(P286,"_","-"),"|","-"))),IF(Q286="","",CONCATENATE("_U3|",SUBSTITUTE(SUBSTITUTE(Q286,"_","-"),"|","-")))))</f>
        <v>#N/A</v>
      </c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2"/>
      <c r="N287" s="32"/>
      <c r="O287" s="32"/>
      <c r="P287" s="32"/>
      <c r="Q287" s="32"/>
      <c r="R287" s="33" t="str">
        <f>IF(K287="----","#N/A",CONCATENATE("MK|",(VLOOKUP(B287,Dictionary!$A:$B,2,0)),"_CH|",(VLOOKUP(C287,Dictionary!$AV:$AW,2,0)),"_DT|",(VLOOKUP(D287,Dictionary!$P:$Q,2,0)),"_PB|",(VLOOKUP(E287,Dictionary!$G:$H,2,0)),"_FM|",(VLOOKUP(F287,Dictionary!$S:$T,2,0)),"_RT|",(VLOOKUP(G287,Dictionary!$V:$W,2,0)),"_PD|",SUBSTITUTE(SUBSTITUTE(IF(H287="","NONE",H287),"_","-"),"|","-"),"_TG|",(VLOOKUP(I287,Dictionary!$J:$K,2,0)),"_ST|",(VLOOKUP(J287,Dictionary!$M:$N,2,0)),"_TS|",SUBSTITUTE(SUBSTITUTE(IF(K287="","NONE",K287),"_","-"),"|","-"),"_SZ|",(VLOOKUP(L287,Dictionary!$Y:$Z,1,0)),"_AD|",(VLOOKUP(M287,Dictionary!$AB:$AC,2,0)),"_IT|",(VLOOKUP(N287,Dictionary!$BC:$BD,2,0)),IF(O287="","",CONCATENATE("_U1|",SUBSTITUTE(SUBSTITUTE(O287,"_","-"),"|","-"))),IF(P287="","",CONCATENATE("_U2|",SUBSTITUTE(SUBSTITUTE(P287,"_","-"),"|","-"))),IF(Q287="","",CONCATENATE("_U3|",SUBSTITUTE(SUBSTITUTE(Q287,"_","-"),"|","-")))))</f>
        <v>#N/A</v>
      </c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2"/>
      <c r="N288" s="32"/>
      <c r="O288" s="32"/>
      <c r="P288" s="32"/>
      <c r="Q288" s="32"/>
      <c r="R288" s="33" t="str">
        <f>IF(K288="----","#N/A",CONCATENATE("MK|",(VLOOKUP(B288,Dictionary!$A:$B,2,0)),"_CH|",(VLOOKUP(C288,Dictionary!$AV:$AW,2,0)),"_DT|",(VLOOKUP(D288,Dictionary!$P:$Q,2,0)),"_PB|",(VLOOKUP(E288,Dictionary!$G:$H,2,0)),"_FM|",(VLOOKUP(F288,Dictionary!$S:$T,2,0)),"_RT|",(VLOOKUP(G288,Dictionary!$V:$W,2,0)),"_PD|",SUBSTITUTE(SUBSTITUTE(IF(H288="","NONE",H288),"_","-"),"|","-"),"_TG|",(VLOOKUP(I288,Dictionary!$J:$K,2,0)),"_ST|",(VLOOKUP(J288,Dictionary!$M:$N,2,0)),"_TS|",SUBSTITUTE(SUBSTITUTE(IF(K288="","NONE",K288),"_","-"),"|","-"),"_SZ|",(VLOOKUP(L288,Dictionary!$Y:$Z,1,0)),"_AD|",(VLOOKUP(M288,Dictionary!$AB:$AC,2,0)),"_IT|",(VLOOKUP(N288,Dictionary!$BC:$BD,2,0)),IF(O288="","",CONCATENATE("_U1|",SUBSTITUTE(SUBSTITUTE(O288,"_","-"),"|","-"))),IF(P288="","",CONCATENATE("_U2|",SUBSTITUTE(SUBSTITUTE(P288,"_","-"),"|","-"))),IF(Q288="","",CONCATENATE("_U3|",SUBSTITUTE(SUBSTITUTE(Q288,"_","-"),"|","-")))))</f>
        <v>#N/A</v>
      </c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2"/>
      <c r="N289" s="32"/>
      <c r="O289" s="32"/>
      <c r="P289" s="32"/>
      <c r="Q289" s="32"/>
      <c r="R289" s="33" t="str">
        <f>IF(K289="----","#N/A",CONCATENATE("MK|",(VLOOKUP(B289,Dictionary!$A:$B,2,0)),"_CH|",(VLOOKUP(C289,Dictionary!$AV:$AW,2,0)),"_DT|",(VLOOKUP(D289,Dictionary!$P:$Q,2,0)),"_PB|",(VLOOKUP(E289,Dictionary!$G:$H,2,0)),"_FM|",(VLOOKUP(F289,Dictionary!$S:$T,2,0)),"_RT|",(VLOOKUP(G289,Dictionary!$V:$W,2,0)),"_PD|",SUBSTITUTE(SUBSTITUTE(IF(H289="","NONE",H289),"_","-"),"|","-"),"_TG|",(VLOOKUP(I289,Dictionary!$J:$K,2,0)),"_ST|",(VLOOKUP(J289,Dictionary!$M:$N,2,0)),"_TS|",SUBSTITUTE(SUBSTITUTE(IF(K289="","NONE",K289),"_","-"),"|","-"),"_SZ|",(VLOOKUP(L289,Dictionary!$Y:$Z,1,0)),"_AD|",(VLOOKUP(M289,Dictionary!$AB:$AC,2,0)),"_IT|",(VLOOKUP(N289,Dictionary!$BC:$BD,2,0)),IF(O289="","",CONCATENATE("_U1|",SUBSTITUTE(SUBSTITUTE(O289,"_","-"),"|","-"))),IF(P289="","",CONCATENATE("_U2|",SUBSTITUTE(SUBSTITUTE(P289,"_","-"),"|","-"))),IF(Q289="","",CONCATENATE("_U3|",SUBSTITUTE(SUBSTITUTE(Q289,"_","-"),"|","-")))))</f>
        <v>#N/A</v>
      </c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2"/>
      <c r="N290" s="32"/>
      <c r="O290" s="32"/>
      <c r="P290" s="32"/>
      <c r="Q290" s="32"/>
      <c r="R290" s="33" t="str">
        <f>IF(K290="----","#N/A",CONCATENATE("MK|",(VLOOKUP(B290,Dictionary!$A:$B,2,0)),"_CH|",(VLOOKUP(C290,Dictionary!$AV:$AW,2,0)),"_DT|",(VLOOKUP(D290,Dictionary!$P:$Q,2,0)),"_PB|",(VLOOKUP(E290,Dictionary!$G:$H,2,0)),"_FM|",(VLOOKUP(F290,Dictionary!$S:$T,2,0)),"_RT|",(VLOOKUP(G290,Dictionary!$V:$W,2,0)),"_PD|",SUBSTITUTE(SUBSTITUTE(IF(H290="","NONE",H290),"_","-"),"|","-"),"_TG|",(VLOOKUP(I290,Dictionary!$J:$K,2,0)),"_ST|",(VLOOKUP(J290,Dictionary!$M:$N,2,0)),"_TS|",SUBSTITUTE(SUBSTITUTE(IF(K290="","NONE",K290),"_","-"),"|","-"),"_SZ|",(VLOOKUP(L290,Dictionary!$Y:$Z,1,0)),"_AD|",(VLOOKUP(M290,Dictionary!$AB:$AC,2,0)),"_IT|",(VLOOKUP(N290,Dictionary!$BC:$BD,2,0)),IF(O290="","",CONCATENATE("_U1|",SUBSTITUTE(SUBSTITUTE(O290,"_","-"),"|","-"))),IF(P290="","",CONCATENATE("_U2|",SUBSTITUTE(SUBSTITUTE(P290,"_","-"),"|","-"))),IF(Q290="","",CONCATENATE("_U3|",SUBSTITUTE(SUBSTITUTE(Q290,"_","-"),"|","-")))))</f>
        <v>#N/A</v>
      </c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2"/>
      <c r="N291" s="32"/>
      <c r="O291" s="32"/>
      <c r="P291" s="32"/>
      <c r="Q291" s="32"/>
      <c r="R291" s="33" t="str">
        <f>IF(K291="----","#N/A",CONCATENATE("MK|",(VLOOKUP(B291,Dictionary!$A:$B,2,0)),"_CH|",(VLOOKUP(C291,Dictionary!$AV:$AW,2,0)),"_DT|",(VLOOKUP(D291,Dictionary!$P:$Q,2,0)),"_PB|",(VLOOKUP(E291,Dictionary!$G:$H,2,0)),"_FM|",(VLOOKUP(F291,Dictionary!$S:$T,2,0)),"_RT|",(VLOOKUP(G291,Dictionary!$V:$W,2,0)),"_PD|",SUBSTITUTE(SUBSTITUTE(IF(H291="","NONE",H291),"_","-"),"|","-"),"_TG|",(VLOOKUP(I291,Dictionary!$J:$K,2,0)),"_ST|",(VLOOKUP(J291,Dictionary!$M:$N,2,0)),"_TS|",SUBSTITUTE(SUBSTITUTE(IF(K291="","NONE",K291),"_","-"),"|","-"),"_SZ|",(VLOOKUP(L291,Dictionary!$Y:$Z,1,0)),"_AD|",(VLOOKUP(M291,Dictionary!$AB:$AC,2,0)),"_IT|",(VLOOKUP(N291,Dictionary!$BC:$BD,2,0)),IF(O291="","",CONCATENATE("_U1|",SUBSTITUTE(SUBSTITUTE(O291,"_","-"),"|","-"))),IF(P291="","",CONCATENATE("_U2|",SUBSTITUTE(SUBSTITUTE(P291,"_","-"),"|","-"))),IF(Q291="","",CONCATENATE("_U3|",SUBSTITUTE(SUBSTITUTE(Q291,"_","-"),"|","-")))))</f>
        <v>#N/A</v>
      </c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2"/>
      <c r="N292" s="32"/>
      <c r="O292" s="32"/>
      <c r="P292" s="32"/>
      <c r="Q292" s="32"/>
      <c r="R292" s="33" t="str">
        <f>IF(K292="----","#N/A",CONCATENATE("MK|",(VLOOKUP(B292,Dictionary!$A:$B,2,0)),"_CH|",(VLOOKUP(C292,Dictionary!$AV:$AW,2,0)),"_DT|",(VLOOKUP(D292,Dictionary!$P:$Q,2,0)),"_PB|",(VLOOKUP(E292,Dictionary!$G:$H,2,0)),"_FM|",(VLOOKUP(F292,Dictionary!$S:$T,2,0)),"_RT|",(VLOOKUP(G292,Dictionary!$V:$W,2,0)),"_PD|",SUBSTITUTE(SUBSTITUTE(IF(H292="","NONE",H292),"_","-"),"|","-"),"_TG|",(VLOOKUP(I292,Dictionary!$J:$K,2,0)),"_ST|",(VLOOKUP(J292,Dictionary!$M:$N,2,0)),"_TS|",SUBSTITUTE(SUBSTITUTE(IF(K292="","NONE",K292),"_","-"),"|","-"),"_SZ|",(VLOOKUP(L292,Dictionary!$Y:$Z,1,0)),"_AD|",(VLOOKUP(M292,Dictionary!$AB:$AC,2,0)),"_IT|",(VLOOKUP(N292,Dictionary!$BC:$BD,2,0)),IF(O292="","",CONCATENATE("_U1|",SUBSTITUTE(SUBSTITUTE(O292,"_","-"),"|","-"))),IF(P292="","",CONCATENATE("_U2|",SUBSTITUTE(SUBSTITUTE(P292,"_","-"),"|","-"))),IF(Q292="","",CONCATENATE("_U3|",SUBSTITUTE(SUBSTITUTE(Q292,"_","-"),"|","-")))))</f>
        <v>#N/A</v>
      </c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2"/>
      <c r="N293" s="32"/>
      <c r="O293" s="32"/>
      <c r="P293" s="32"/>
      <c r="Q293" s="32"/>
      <c r="R293" s="33" t="str">
        <f>IF(K293="----","#N/A",CONCATENATE("MK|",(VLOOKUP(B293,Dictionary!$A:$B,2,0)),"_CH|",(VLOOKUP(C293,Dictionary!$AV:$AW,2,0)),"_DT|",(VLOOKUP(D293,Dictionary!$P:$Q,2,0)),"_PB|",(VLOOKUP(E293,Dictionary!$G:$H,2,0)),"_FM|",(VLOOKUP(F293,Dictionary!$S:$T,2,0)),"_RT|",(VLOOKUP(G293,Dictionary!$V:$W,2,0)),"_PD|",SUBSTITUTE(SUBSTITUTE(IF(H293="","NONE",H293),"_","-"),"|","-"),"_TG|",(VLOOKUP(I293,Dictionary!$J:$K,2,0)),"_ST|",(VLOOKUP(J293,Dictionary!$M:$N,2,0)),"_TS|",SUBSTITUTE(SUBSTITUTE(IF(K293="","NONE",K293),"_","-"),"|","-"),"_SZ|",(VLOOKUP(L293,Dictionary!$Y:$Z,1,0)),"_AD|",(VLOOKUP(M293,Dictionary!$AB:$AC,2,0)),"_IT|",(VLOOKUP(N293,Dictionary!$BC:$BD,2,0)),IF(O293="","",CONCATENATE("_U1|",SUBSTITUTE(SUBSTITUTE(O293,"_","-"),"|","-"))),IF(P293="","",CONCATENATE("_U2|",SUBSTITUTE(SUBSTITUTE(P293,"_","-"),"|","-"))),IF(Q293="","",CONCATENATE("_U3|",SUBSTITUTE(SUBSTITUTE(Q293,"_","-"),"|","-")))))</f>
        <v>#N/A</v>
      </c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2"/>
      <c r="N294" s="32"/>
      <c r="O294" s="32"/>
      <c r="P294" s="32"/>
      <c r="Q294" s="32"/>
      <c r="R294" s="33" t="str">
        <f>IF(K294="----","#N/A",CONCATENATE("MK|",(VLOOKUP(B294,Dictionary!$A:$B,2,0)),"_CH|",(VLOOKUP(C294,Dictionary!$AV:$AW,2,0)),"_DT|",(VLOOKUP(D294,Dictionary!$P:$Q,2,0)),"_PB|",(VLOOKUP(E294,Dictionary!$G:$H,2,0)),"_FM|",(VLOOKUP(F294,Dictionary!$S:$T,2,0)),"_RT|",(VLOOKUP(G294,Dictionary!$V:$W,2,0)),"_PD|",SUBSTITUTE(SUBSTITUTE(IF(H294="","NONE",H294),"_","-"),"|","-"),"_TG|",(VLOOKUP(I294,Dictionary!$J:$K,2,0)),"_ST|",(VLOOKUP(J294,Dictionary!$M:$N,2,0)),"_TS|",SUBSTITUTE(SUBSTITUTE(IF(K294="","NONE",K294),"_","-"),"|","-"),"_SZ|",(VLOOKUP(L294,Dictionary!$Y:$Z,1,0)),"_AD|",(VLOOKUP(M294,Dictionary!$AB:$AC,2,0)),"_IT|",(VLOOKUP(N294,Dictionary!$BC:$BD,2,0)),IF(O294="","",CONCATENATE("_U1|",SUBSTITUTE(SUBSTITUTE(O294,"_","-"),"|","-"))),IF(P294="","",CONCATENATE("_U2|",SUBSTITUTE(SUBSTITUTE(P294,"_","-"),"|","-"))),IF(Q294="","",CONCATENATE("_U3|",SUBSTITUTE(SUBSTITUTE(Q294,"_","-"),"|","-")))))</f>
        <v>#N/A</v>
      </c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2"/>
      <c r="N295" s="32"/>
      <c r="O295" s="32"/>
      <c r="P295" s="32"/>
      <c r="Q295" s="32"/>
      <c r="R295" s="33" t="str">
        <f>IF(K295="----","#N/A",CONCATENATE("MK|",(VLOOKUP(B295,Dictionary!$A:$B,2,0)),"_CH|",(VLOOKUP(C295,Dictionary!$AV:$AW,2,0)),"_DT|",(VLOOKUP(D295,Dictionary!$P:$Q,2,0)),"_PB|",(VLOOKUP(E295,Dictionary!$G:$H,2,0)),"_FM|",(VLOOKUP(F295,Dictionary!$S:$T,2,0)),"_RT|",(VLOOKUP(G295,Dictionary!$V:$W,2,0)),"_PD|",SUBSTITUTE(SUBSTITUTE(IF(H295="","NONE",H295),"_","-"),"|","-"),"_TG|",(VLOOKUP(I295,Dictionary!$J:$K,2,0)),"_ST|",(VLOOKUP(J295,Dictionary!$M:$N,2,0)),"_TS|",SUBSTITUTE(SUBSTITUTE(IF(K295="","NONE",K295),"_","-"),"|","-"),"_SZ|",(VLOOKUP(L295,Dictionary!$Y:$Z,1,0)),"_AD|",(VLOOKUP(M295,Dictionary!$AB:$AC,2,0)),"_IT|",(VLOOKUP(N295,Dictionary!$BC:$BD,2,0)),IF(O295="","",CONCATENATE("_U1|",SUBSTITUTE(SUBSTITUTE(O295,"_","-"),"|","-"))),IF(P295="","",CONCATENATE("_U2|",SUBSTITUTE(SUBSTITUTE(P295,"_","-"),"|","-"))),IF(Q295="","",CONCATENATE("_U3|",SUBSTITUTE(SUBSTITUTE(Q295,"_","-"),"|","-")))))</f>
        <v>#N/A</v>
      </c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2"/>
      <c r="N296" s="32"/>
      <c r="O296" s="32"/>
      <c r="P296" s="32"/>
      <c r="Q296" s="32"/>
      <c r="R296" s="33" t="str">
        <f>IF(K296="----","#N/A",CONCATENATE("MK|",(VLOOKUP(B296,Dictionary!$A:$B,2,0)),"_CH|",(VLOOKUP(C296,Dictionary!$AV:$AW,2,0)),"_DT|",(VLOOKUP(D296,Dictionary!$P:$Q,2,0)),"_PB|",(VLOOKUP(E296,Dictionary!$G:$H,2,0)),"_FM|",(VLOOKUP(F296,Dictionary!$S:$T,2,0)),"_RT|",(VLOOKUP(G296,Dictionary!$V:$W,2,0)),"_PD|",SUBSTITUTE(SUBSTITUTE(IF(H296="","NONE",H296),"_","-"),"|","-"),"_TG|",(VLOOKUP(I296,Dictionary!$J:$K,2,0)),"_ST|",(VLOOKUP(J296,Dictionary!$M:$N,2,0)),"_TS|",SUBSTITUTE(SUBSTITUTE(IF(K296="","NONE",K296),"_","-"),"|","-"),"_SZ|",(VLOOKUP(L296,Dictionary!$Y:$Z,1,0)),"_AD|",(VLOOKUP(M296,Dictionary!$AB:$AC,2,0)),"_IT|",(VLOOKUP(N296,Dictionary!$BC:$BD,2,0)),IF(O296="","",CONCATENATE("_U1|",SUBSTITUTE(SUBSTITUTE(O296,"_","-"),"|","-"))),IF(P296="","",CONCATENATE("_U2|",SUBSTITUTE(SUBSTITUTE(P296,"_","-"),"|","-"))),IF(Q296="","",CONCATENATE("_U3|",SUBSTITUTE(SUBSTITUTE(Q296,"_","-"),"|","-")))))</f>
        <v>#N/A</v>
      </c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2"/>
      <c r="N297" s="32"/>
      <c r="O297" s="32"/>
      <c r="P297" s="32"/>
      <c r="Q297" s="32"/>
      <c r="R297" s="33" t="str">
        <f>IF(K297="----","#N/A",CONCATENATE("MK|",(VLOOKUP(B297,Dictionary!$A:$B,2,0)),"_CH|",(VLOOKUP(C297,Dictionary!$AV:$AW,2,0)),"_DT|",(VLOOKUP(D297,Dictionary!$P:$Q,2,0)),"_PB|",(VLOOKUP(E297,Dictionary!$G:$H,2,0)),"_FM|",(VLOOKUP(F297,Dictionary!$S:$T,2,0)),"_RT|",(VLOOKUP(G297,Dictionary!$V:$W,2,0)),"_PD|",SUBSTITUTE(SUBSTITUTE(IF(H297="","NONE",H297),"_","-"),"|","-"),"_TG|",(VLOOKUP(I297,Dictionary!$J:$K,2,0)),"_ST|",(VLOOKUP(J297,Dictionary!$M:$N,2,0)),"_TS|",SUBSTITUTE(SUBSTITUTE(IF(K297="","NONE",K297),"_","-"),"|","-"),"_SZ|",(VLOOKUP(L297,Dictionary!$Y:$Z,1,0)),"_AD|",(VLOOKUP(M297,Dictionary!$AB:$AC,2,0)),"_IT|",(VLOOKUP(N297,Dictionary!$BC:$BD,2,0)),IF(O297="","",CONCATENATE("_U1|",SUBSTITUTE(SUBSTITUTE(O297,"_","-"),"|","-"))),IF(P297="","",CONCATENATE("_U2|",SUBSTITUTE(SUBSTITUTE(P297,"_","-"),"|","-"))),IF(Q297="","",CONCATENATE("_U3|",SUBSTITUTE(SUBSTITUTE(Q297,"_","-"),"|","-")))))</f>
        <v>#N/A</v>
      </c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2"/>
      <c r="N298" s="32"/>
      <c r="O298" s="32"/>
      <c r="P298" s="32"/>
      <c r="Q298" s="32"/>
      <c r="R298" s="33" t="str">
        <f>IF(K298="----","#N/A",CONCATENATE("MK|",(VLOOKUP(B298,Dictionary!$A:$B,2,0)),"_CH|",(VLOOKUP(C298,Dictionary!$AV:$AW,2,0)),"_DT|",(VLOOKUP(D298,Dictionary!$P:$Q,2,0)),"_PB|",(VLOOKUP(E298,Dictionary!$G:$H,2,0)),"_FM|",(VLOOKUP(F298,Dictionary!$S:$T,2,0)),"_RT|",(VLOOKUP(G298,Dictionary!$V:$W,2,0)),"_PD|",SUBSTITUTE(SUBSTITUTE(IF(H298="","NONE",H298),"_","-"),"|","-"),"_TG|",(VLOOKUP(I298,Dictionary!$J:$K,2,0)),"_ST|",(VLOOKUP(J298,Dictionary!$M:$N,2,0)),"_TS|",SUBSTITUTE(SUBSTITUTE(IF(K298="","NONE",K298),"_","-"),"|","-"),"_SZ|",(VLOOKUP(L298,Dictionary!$Y:$Z,1,0)),"_AD|",(VLOOKUP(M298,Dictionary!$AB:$AC,2,0)),"_IT|",(VLOOKUP(N298,Dictionary!$BC:$BD,2,0)),IF(O298="","",CONCATENATE("_U1|",SUBSTITUTE(SUBSTITUTE(O298,"_","-"),"|","-"))),IF(P298="","",CONCATENATE("_U2|",SUBSTITUTE(SUBSTITUTE(P298,"_","-"),"|","-"))),IF(Q298="","",CONCATENATE("_U3|",SUBSTITUTE(SUBSTITUTE(Q298,"_","-"),"|","-")))))</f>
        <v>#N/A</v>
      </c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2"/>
      <c r="N299" s="32"/>
      <c r="O299" s="32"/>
      <c r="P299" s="32"/>
      <c r="Q299" s="32"/>
      <c r="R299" s="33" t="str">
        <f>IF(K299="----","#N/A",CONCATENATE("MK|",(VLOOKUP(B299,Dictionary!$A:$B,2,0)),"_CH|",(VLOOKUP(C299,Dictionary!$AV:$AW,2,0)),"_DT|",(VLOOKUP(D299,Dictionary!$P:$Q,2,0)),"_PB|",(VLOOKUP(E299,Dictionary!$G:$H,2,0)),"_FM|",(VLOOKUP(F299,Dictionary!$S:$T,2,0)),"_RT|",(VLOOKUP(G299,Dictionary!$V:$W,2,0)),"_PD|",SUBSTITUTE(SUBSTITUTE(IF(H299="","NONE",H299),"_","-"),"|","-"),"_TG|",(VLOOKUP(I299,Dictionary!$J:$K,2,0)),"_ST|",(VLOOKUP(J299,Dictionary!$M:$N,2,0)),"_TS|",SUBSTITUTE(SUBSTITUTE(IF(K299="","NONE",K299),"_","-"),"|","-"),"_SZ|",(VLOOKUP(L299,Dictionary!$Y:$Z,1,0)),"_AD|",(VLOOKUP(M299,Dictionary!$AB:$AC,2,0)),"_IT|",(VLOOKUP(N299,Dictionary!$BC:$BD,2,0)),IF(O299="","",CONCATENATE("_U1|",SUBSTITUTE(SUBSTITUTE(O299,"_","-"),"|","-"))),IF(P299="","",CONCATENATE("_U2|",SUBSTITUTE(SUBSTITUTE(P299,"_","-"),"|","-"))),IF(Q299="","",CONCATENATE("_U3|",SUBSTITUTE(SUBSTITUTE(Q299,"_","-"),"|","-")))))</f>
        <v>#N/A</v>
      </c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2"/>
      <c r="N300" s="32"/>
      <c r="O300" s="32"/>
      <c r="P300" s="32"/>
      <c r="Q300" s="32"/>
      <c r="R300" s="33" t="str">
        <f>IF(K300="----","#N/A",CONCATENATE("MK|",(VLOOKUP(B300,Dictionary!$A:$B,2,0)),"_CH|",(VLOOKUP(C300,Dictionary!$AV:$AW,2,0)),"_DT|",(VLOOKUP(D300,Dictionary!$P:$Q,2,0)),"_PB|",(VLOOKUP(E300,Dictionary!$G:$H,2,0)),"_FM|",(VLOOKUP(F300,Dictionary!$S:$T,2,0)),"_RT|",(VLOOKUP(G300,Dictionary!$V:$W,2,0)),"_PD|",SUBSTITUTE(SUBSTITUTE(IF(H300="","NONE",H300),"_","-"),"|","-"),"_TG|",(VLOOKUP(I300,Dictionary!$J:$K,2,0)),"_ST|",(VLOOKUP(J300,Dictionary!$M:$N,2,0)),"_TS|",SUBSTITUTE(SUBSTITUTE(IF(K300="","NONE",K300),"_","-"),"|","-"),"_SZ|",(VLOOKUP(L300,Dictionary!$Y:$Z,1,0)),"_AD|",(VLOOKUP(M300,Dictionary!$AB:$AC,2,0)),"_IT|",(VLOOKUP(N300,Dictionary!$BC:$BD,2,0)),IF(O300="","",CONCATENATE("_U1|",SUBSTITUTE(SUBSTITUTE(O300,"_","-"),"|","-"))),IF(P300="","",CONCATENATE("_U2|",SUBSTITUTE(SUBSTITUTE(P300,"_","-"),"|","-"))),IF(Q300="","",CONCATENATE("_U3|",SUBSTITUTE(SUBSTITUTE(Q300,"_","-"),"|","-")))))</f>
        <v>#N/A</v>
      </c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2"/>
      <c r="N301" s="32"/>
      <c r="O301" s="32"/>
      <c r="P301" s="32"/>
      <c r="Q301" s="32"/>
      <c r="R301" s="33" t="str">
        <f>IF(K301="----","#N/A",CONCATENATE("MK|",(VLOOKUP(B301,Dictionary!$A:$B,2,0)),"_CH|",(VLOOKUP(C301,Dictionary!$AV:$AW,2,0)),"_DT|",(VLOOKUP(D301,Dictionary!$P:$Q,2,0)),"_PB|",(VLOOKUP(E301,Dictionary!$G:$H,2,0)),"_FM|",(VLOOKUP(F301,Dictionary!$S:$T,2,0)),"_RT|",(VLOOKUP(G301,Dictionary!$V:$W,2,0)),"_PD|",SUBSTITUTE(SUBSTITUTE(IF(H301="","NONE",H301),"_","-"),"|","-"),"_TG|",(VLOOKUP(I301,Dictionary!$J:$K,2,0)),"_ST|",(VLOOKUP(J301,Dictionary!$M:$N,2,0)),"_TS|",SUBSTITUTE(SUBSTITUTE(IF(K301="","NONE",K301),"_","-"),"|","-"),"_SZ|",(VLOOKUP(L301,Dictionary!$Y:$Z,1,0)),"_AD|",(VLOOKUP(M301,Dictionary!$AB:$AC,2,0)),"_IT|",(VLOOKUP(N301,Dictionary!$BC:$BD,2,0)),IF(O301="","",CONCATENATE("_U1|",SUBSTITUTE(SUBSTITUTE(O301,"_","-"),"|","-"))),IF(P301="","",CONCATENATE("_U2|",SUBSTITUTE(SUBSTITUTE(P301,"_","-"),"|","-"))),IF(Q301="","",CONCATENATE("_U3|",SUBSTITUTE(SUBSTITUTE(Q301,"_","-"),"|","-")))))</f>
        <v>#N/A</v>
      </c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2"/>
      <c r="N302" s="32"/>
      <c r="O302" s="32"/>
      <c r="P302" s="32"/>
      <c r="Q302" s="32"/>
      <c r="R302" s="33" t="str">
        <f>IF(K302="----","#N/A",CONCATENATE("MK|",(VLOOKUP(B302,Dictionary!$A:$B,2,0)),"_CH|",(VLOOKUP(C302,Dictionary!$AV:$AW,2,0)),"_DT|",(VLOOKUP(D302,Dictionary!$P:$Q,2,0)),"_PB|",(VLOOKUP(E302,Dictionary!$G:$H,2,0)),"_FM|",(VLOOKUP(F302,Dictionary!$S:$T,2,0)),"_RT|",(VLOOKUP(G302,Dictionary!$V:$W,2,0)),"_PD|",SUBSTITUTE(SUBSTITUTE(IF(H302="","NONE",H302),"_","-"),"|","-"),"_TG|",(VLOOKUP(I302,Dictionary!$J:$K,2,0)),"_ST|",(VLOOKUP(J302,Dictionary!$M:$N,2,0)),"_TS|",SUBSTITUTE(SUBSTITUTE(IF(K302="","NONE",K302),"_","-"),"|","-"),"_SZ|",(VLOOKUP(L302,Dictionary!$Y:$Z,1,0)),"_AD|",(VLOOKUP(M302,Dictionary!$AB:$AC,2,0)),"_IT|",(VLOOKUP(N302,Dictionary!$BC:$BD,2,0)),IF(O302="","",CONCATENATE("_U1|",SUBSTITUTE(SUBSTITUTE(O302,"_","-"),"|","-"))),IF(P302="","",CONCATENATE("_U2|",SUBSTITUTE(SUBSTITUTE(P302,"_","-"),"|","-"))),IF(Q302="","",CONCATENATE("_U3|",SUBSTITUTE(SUBSTITUTE(Q302,"_","-"),"|","-")))))</f>
        <v>#N/A</v>
      </c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2"/>
      <c r="N303" s="32"/>
      <c r="O303" s="32"/>
      <c r="P303" s="32"/>
      <c r="Q303" s="32"/>
      <c r="R303" s="33" t="str">
        <f>IF(K303="----","#N/A",CONCATENATE("MK|",(VLOOKUP(B303,Dictionary!$A:$B,2,0)),"_CH|",(VLOOKUP(C303,Dictionary!$AV:$AW,2,0)),"_DT|",(VLOOKUP(D303,Dictionary!$P:$Q,2,0)),"_PB|",(VLOOKUP(E303,Dictionary!$G:$H,2,0)),"_FM|",(VLOOKUP(F303,Dictionary!$S:$T,2,0)),"_RT|",(VLOOKUP(G303,Dictionary!$V:$W,2,0)),"_PD|",SUBSTITUTE(SUBSTITUTE(IF(H303="","NONE",H303),"_","-"),"|","-"),"_TG|",(VLOOKUP(I303,Dictionary!$J:$K,2,0)),"_ST|",(VLOOKUP(J303,Dictionary!$M:$N,2,0)),"_TS|",SUBSTITUTE(SUBSTITUTE(IF(K303="","NONE",K303),"_","-"),"|","-"),"_SZ|",(VLOOKUP(L303,Dictionary!$Y:$Z,1,0)),"_AD|",(VLOOKUP(M303,Dictionary!$AB:$AC,2,0)),"_IT|",(VLOOKUP(N303,Dictionary!$BC:$BD,2,0)),IF(O303="","",CONCATENATE("_U1|",SUBSTITUTE(SUBSTITUTE(O303,"_","-"),"|","-"))),IF(P303="","",CONCATENATE("_U2|",SUBSTITUTE(SUBSTITUTE(P303,"_","-"),"|","-"))),IF(Q303="","",CONCATENATE("_U3|",SUBSTITUTE(SUBSTITUTE(Q303,"_","-"),"|","-")))))</f>
        <v>#N/A</v>
      </c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2"/>
      <c r="N304" s="32"/>
      <c r="O304" s="32"/>
      <c r="P304" s="32"/>
      <c r="Q304" s="32"/>
      <c r="R304" s="33" t="str">
        <f>IF(K304="----","#N/A",CONCATENATE("MK|",(VLOOKUP(B304,Dictionary!$A:$B,2,0)),"_CH|",(VLOOKUP(C304,Dictionary!$AV:$AW,2,0)),"_DT|",(VLOOKUP(D304,Dictionary!$P:$Q,2,0)),"_PB|",(VLOOKUP(E304,Dictionary!$G:$H,2,0)),"_FM|",(VLOOKUP(F304,Dictionary!$S:$T,2,0)),"_RT|",(VLOOKUP(G304,Dictionary!$V:$W,2,0)),"_PD|",SUBSTITUTE(SUBSTITUTE(IF(H304="","NONE",H304),"_","-"),"|","-"),"_TG|",(VLOOKUP(I304,Dictionary!$J:$K,2,0)),"_ST|",(VLOOKUP(J304,Dictionary!$M:$N,2,0)),"_TS|",SUBSTITUTE(SUBSTITUTE(IF(K304="","NONE",K304),"_","-"),"|","-"),"_SZ|",(VLOOKUP(L304,Dictionary!$Y:$Z,1,0)),"_AD|",(VLOOKUP(M304,Dictionary!$AB:$AC,2,0)),"_IT|",(VLOOKUP(N304,Dictionary!$BC:$BD,2,0)),IF(O304="","",CONCATENATE("_U1|",SUBSTITUTE(SUBSTITUTE(O304,"_","-"),"|","-"))),IF(P304="","",CONCATENATE("_U2|",SUBSTITUTE(SUBSTITUTE(P304,"_","-"),"|","-"))),IF(Q304="","",CONCATENATE("_U3|",SUBSTITUTE(SUBSTITUTE(Q304,"_","-"),"|","-")))))</f>
        <v>#N/A</v>
      </c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2"/>
      <c r="N305" s="32"/>
      <c r="O305" s="32"/>
      <c r="P305" s="32"/>
      <c r="Q305" s="32"/>
      <c r="R305" s="33" t="str">
        <f>IF(K305="----","#N/A",CONCATENATE("MK|",(VLOOKUP(B305,Dictionary!$A:$B,2,0)),"_CH|",(VLOOKUP(C305,Dictionary!$AV:$AW,2,0)),"_DT|",(VLOOKUP(D305,Dictionary!$P:$Q,2,0)),"_PB|",(VLOOKUP(E305,Dictionary!$G:$H,2,0)),"_FM|",(VLOOKUP(F305,Dictionary!$S:$T,2,0)),"_RT|",(VLOOKUP(G305,Dictionary!$V:$W,2,0)),"_PD|",SUBSTITUTE(SUBSTITUTE(IF(H305="","NONE",H305),"_","-"),"|","-"),"_TG|",(VLOOKUP(I305,Dictionary!$J:$K,2,0)),"_ST|",(VLOOKUP(J305,Dictionary!$M:$N,2,0)),"_TS|",SUBSTITUTE(SUBSTITUTE(IF(K305="","NONE",K305),"_","-"),"|","-"),"_SZ|",(VLOOKUP(L305,Dictionary!$Y:$Z,1,0)),"_AD|",(VLOOKUP(M305,Dictionary!$AB:$AC,2,0)),"_IT|",(VLOOKUP(N305,Dictionary!$BC:$BD,2,0)),IF(O305="","",CONCATENATE("_U1|",SUBSTITUTE(SUBSTITUTE(O305,"_","-"),"|","-"))),IF(P305="","",CONCATENATE("_U2|",SUBSTITUTE(SUBSTITUTE(P305,"_","-"),"|","-"))),IF(Q305="","",CONCATENATE("_U3|",SUBSTITUTE(SUBSTITUTE(Q305,"_","-"),"|","-")))))</f>
        <v>#N/A</v>
      </c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2"/>
      <c r="N306" s="32"/>
      <c r="O306" s="32"/>
      <c r="P306" s="32"/>
      <c r="Q306" s="32"/>
      <c r="R306" s="33" t="str">
        <f>IF(K306="----","#N/A",CONCATENATE("MK|",(VLOOKUP(B306,Dictionary!$A:$B,2,0)),"_CH|",(VLOOKUP(C306,Dictionary!$AV:$AW,2,0)),"_DT|",(VLOOKUP(D306,Dictionary!$P:$Q,2,0)),"_PB|",(VLOOKUP(E306,Dictionary!$G:$H,2,0)),"_FM|",(VLOOKUP(F306,Dictionary!$S:$T,2,0)),"_RT|",(VLOOKUP(G306,Dictionary!$V:$W,2,0)),"_PD|",SUBSTITUTE(SUBSTITUTE(IF(H306="","NONE",H306),"_","-"),"|","-"),"_TG|",(VLOOKUP(I306,Dictionary!$J:$K,2,0)),"_ST|",(VLOOKUP(J306,Dictionary!$M:$N,2,0)),"_TS|",SUBSTITUTE(SUBSTITUTE(IF(K306="","NONE",K306),"_","-"),"|","-"),"_SZ|",(VLOOKUP(L306,Dictionary!$Y:$Z,1,0)),"_AD|",(VLOOKUP(M306,Dictionary!$AB:$AC,2,0)),"_IT|",(VLOOKUP(N306,Dictionary!$BC:$BD,2,0)),IF(O306="","",CONCATENATE("_U1|",SUBSTITUTE(SUBSTITUTE(O306,"_","-"),"|","-"))),IF(P306="","",CONCATENATE("_U2|",SUBSTITUTE(SUBSTITUTE(P306,"_","-"),"|","-"))),IF(Q306="","",CONCATENATE("_U3|",SUBSTITUTE(SUBSTITUTE(Q306,"_","-"),"|","-")))))</f>
        <v>#N/A</v>
      </c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2"/>
      <c r="N307" s="32"/>
      <c r="O307" s="32"/>
      <c r="P307" s="32"/>
      <c r="Q307" s="32"/>
      <c r="R307" s="33" t="str">
        <f>IF(K307="----","#N/A",CONCATENATE("MK|",(VLOOKUP(B307,Dictionary!$A:$B,2,0)),"_CH|",(VLOOKUP(C307,Dictionary!$AV:$AW,2,0)),"_DT|",(VLOOKUP(D307,Dictionary!$P:$Q,2,0)),"_PB|",(VLOOKUP(E307,Dictionary!$G:$H,2,0)),"_FM|",(VLOOKUP(F307,Dictionary!$S:$T,2,0)),"_RT|",(VLOOKUP(G307,Dictionary!$V:$W,2,0)),"_PD|",SUBSTITUTE(SUBSTITUTE(IF(H307="","NONE",H307),"_","-"),"|","-"),"_TG|",(VLOOKUP(I307,Dictionary!$J:$K,2,0)),"_ST|",(VLOOKUP(J307,Dictionary!$M:$N,2,0)),"_TS|",SUBSTITUTE(SUBSTITUTE(IF(K307="","NONE",K307),"_","-"),"|","-"),"_SZ|",(VLOOKUP(L307,Dictionary!$Y:$Z,1,0)),"_AD|",(VLOOKUP(M307,Dictionary!$AB:$AC,2,0)),"_IT|",(VLOOKUP(N307,Dictionary!$BC:$BD,2,0)),IF(O307="","",CONCATENATE("_U1|",SUBSTITUTE(SUBSTITUTE(O307,"_","-"),"|","-"))),IF(P307="","",CONCATENATE("_U2|",SUBSTITUTE(SUBSTITUTE(P307,"_","-"),"|","-"))),IF(Q307="","",CONCATENATE("_U3|",SUBSTITUTE(SUBSTITUTE(Q307,"_","-"),"|","-")))))</f>
        <v>#N/A</v>
      </c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2"/>
      <c r="N308" s="32"/>
      <c r="O308" s="32"/>
      <c r="P308" s="32"/>
      <c r="Q308" s="32"/>
      <c r="R308" s="33" t="str">
        <f>IF(K308="----","#N/A",CONCATENATE("MK|",(VLOOKUP(B308,Dictionary!$A:$B,2,0)),"_CH|",(VLOOKUP(C308,Dictionary!$AV:$AW,2,0)),"_DT|",(VLOOKUP(D308,Dictionary!$P:$Q,2,0)),"_PB|",(VLOOKUP(E308,Dictionary!$G:$H,2,0)),"_FM|",(VLOOKUP(F308,Dictionary!$S:$T,2,0)),"_RT|",(VLOOKUP(G308,Dictionary!$V:$W,2,0)),"_PD|",SUBSTITUTE(SUBSTITUTE(IF(H308="","NONE",H308),"_","-"),"|","-"),"_TG|",(VLOOKUP(I308,Dictionary!$J:$K,2,0)),"_ST|",(VLOOKUP(J308,Dictionary!$M:$N,2,0)),"_TS|",SUBSTITUTE(SUBSTITUTE(IF(K308="","NONE",K308),"_","-"),"|","-"),"_SZ|",(VLOOKUP(L308,Dictionary!$Y:$Z,1,0)),"_AD|",(VLOOKUP(M308,Dictionary!$AB:$AC,2,0)),"_IT|",(VLOOKUP(N308,Dictionary!$BC:$BD,2,0)),IF(O308="","",CONCATENATE("_U1|",SUBSTITUTE(SUBSTITUTE(O308,"_","-"),"|","-"))),IF(P308="","",CONCATENATE("_U2|",SUBSTITUTE(SUBSTITUTE(P308,"_","-"),"|","-"))),IF(Q308="","",CONCATENATE("_U3|",SUBSTITUTE(SUBSTITUTE(Q308,"_","-"),"|","-")))))</f>
        <v>#N/A</v>
      </c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2"/>
      <c r="N309" s="32"/>
      <c r="O309" s="32"/>
      <c r="P309" s="32"/>
      <c r="Q309" s="32"/>
      <c r="R309" s="33" t="str">
        <f>IF(K309="----","#N/A",CONCATENATE("MK|",(VLOOKUP(B309,Dictionary!$A:$B,2,0)),"_CH|",(VLOOKUP(C309,Dictionary!$AV:$AW,2,0)),"_DT|",(VLOOKUP(D309,Dictionary!$P:$Q,2,0)),"_PB|",(VLOOKUP(E309,Dictionary!$G:$H,2,0)),"_FM|",(VLOOKUP(F309,Dictionary!$S:$T,2,0)),"_RT|",(VLOOKUP(G309,Dictionary!$V:$W,2,0)),"_PD|",SUBSTITUTE(SUBSTITUTE(IF(H309="","NONE",H309),"_","-"),"|","-"),"_TG|",(VLOOKUP(I309,Dictionary!$J:$K,2,0)),"_ST|",(VLOOKUP(J309,Dictionary!$M:$N,2,0)),"_TS|",SUBSTITUTE(SUBSTITUTE(IF(K309="","NONE",K309),"_","-"),"|","-"),"_SZ|",(VLOOKUP(L309,Dictionary!$Y:$Z,1,0)),"_AD|",(VLOOKUP(M309,Dictionary!$AB:$AC,2,0)),"_IT|",(VLOOKUP(N309,Dictionary!$BC:$BD,2,0)),IF(O309="","",CONCATENATE("_U1|",SUBSTITUTE(SUBSTITUTE(O309,"_","-"),"|","-"))),IF(P309="","",CONCATENATE("_U2|",SUBSTITUTE(SUBSTITUTE(P309,"_","-"),"|","-"))),IF(Q309="","",CONCATENATE("_U3|",SUBSTITUTE(SUBSTITUTE(Q309,"_","-"),"|","-")))))</f>
        <v>#N/A</v>
      </c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2"/>
      <c r="N310" s="32"/>
      <c r="O310" s="32"/>
      <c r="P310" s="32"/>
      <c r="Q310" s="32"/>
      <c r="R310" s="33" t="str">
        <f>IF(K310="----","#N/A",CONCATENATE("MK|",(VLOOKUP(B310,Dictionary!$A:$B,2,0)),"_CH|",(VLOOKUP(C310,Dictionary!$AV:$AW,2,0)),"_DT|",(VLOOKUP(D310,Dictionary!$P:$Q,2,0)),"_PB|",(VLOOKUP(E310,Dictionary!$G:$H,2,0)),"_FM|",(VLOOKUP(F310,Dictionary!$S:$T,2,0)),"_RT|",(VLOOKUP(G310,Dictionary!$V:$W,2,0)),"_PD|",SUBSTITUTE(SUBSTITUTE(IF(H310="","NONE",H310),"_","-"),"|","-"),"_TG|",(VLOOKUP(I310,Dictionary!$J:$K,2,0)),"_ST|",(VLOOKUP(J310,Dictionary!$M:$N,2,0)),"_TS|",SUBSTITUTE(SUBSTITUTE(IF(K310="","NONE",K310),"_","-"),"|","-"),"_SZ|",(VLOOKUP(L310,Dictionary!$Y:$Z,1,0)),"_AD|",(VLOOKUP(M310,Dictionary!$AB:$AC,2,0)),"_IT|",(VLOOKUP(N310,Dictionary!$BC:$BD,2,0)),IF(O310="","",CONCATENATE("_U1|",SUBSTITUTE(SUBSTITUTE(O310,"_","-"),"|","-"))),IF(P310="","",CONCATENATE("_U2|",SUBSTITUTE(SUBSTITUTE(P310,"_","-"),"|","-"))),IF(Q310="","",CONCATENATE("_U3|",SUBSTITUTE(SUBSTITUTE(Q310,"_","-"),"|","-")))))</f>
        <v>#N/A</v>
      </c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2"/>
      <c r="N311" s="32"/>
      <c r="O311" s="32"/>
      <c r="P311" s="32"/>
      <c r="Q311" s="32"/>
      <c r="R311" s="33" t="str">
        <f>IF(K311="----","#N/A",CONCATENATE("MK|",(VLOOKUP(B311,Dictionary!$A:$B,2,0)),"_CH|",(VLOOKUP(C311,Dictionary!$AV:$AW,2,0)),"_DT|",(VLOOKUP(D311,Dictionary!$P:$Q,2,0)),"_PB|",(VLOOKUP(E311,Dictionary!$G:$H,2,0)),"_FM|",(VLOOKUP(F311,Dictionary!$S:$T,2,0)),"_RT|",(VLOOKUP(G311,Dictionary!$V:$W,2,0)),"_PD|",SUBSTITUTE(SUBSTITUTE(IF(H311="","NONE",H311),"_","-"),"|","-"),"_TG|",(VLOOKUP(I311,Dictionary!$J:$K,2,0)),"_ST|",(VLOOKUP(J311,Dictionary!$M:$N,2,0)),"_TS|",SUBSTITUTE(SUBSTITUTE(IF(K311="","NONE",K311),"_","-"),"|","-"),"_SZ|",(VLOOKUP(L311,Dictionary!$Y:$Z,1,0)),"_AD|",(VLOOKUP(M311,Dictionary!$AB:$AC,2,0)),"_IT|",(VLOOKUP(N311,Dictionary!$BC:$BD,2,0)),IF(O311="","",CONCATENATE("_U1|",SUBSTITUTE(SUBSTITUTE(O311,"_","-"),"|","-"))),IF(P311="","",CONCATENATE("_U2|",SUBSTITUTE(SUBSTITUTE(P311,"_","-"),"|","-"))),IF(Q311="","",CONCATENATE("_U3|",SUBSTITUTE(SUBSTITUTE(Q311,"_","-"),"|","-")))))</f>
        <v>#N/A</v>
      </c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2"/>
      <c r="N312" s="32"/>
      <c r="O312" s="32"/>
      <c r="P312" s="32"/>
      <c r="Q312" s="32"/>
      <c r="R312" s="33" t="str">
        <f>IF(K312="----","#N/A",CONCATENATE("MK|",(VLOOKUP(B312,Dictionary!$A:$B,2,0)),"_CH|",(VLOOKUP(C312,Dictionary!$AV:$AW,2,0)),"_DT|",(VLOOKUP(D312,Dictionary!$P:$Q,2,0)),"_PB|",(VLOOKUP(E312,Dictionary!$G:$H,2,0)),"_FM|",(VLOOKUP(F312,Dictionary!$S:$T,2,0)),"_RT|",(VLOOKUP(G312,Dictionary!$V:$W,2,0)),"_PD|",SUBSTITUTE(SUBSTITUTE(IF(H312="","NONE",H312),"_","-"),"|","-"),"_TG|",(VLOOKUP(I312,Dictionary!$J:$K,2,0)),"_ST|",(VLOOKUP(J312,Dictionary!$M:$N,2,0)),"_TS|",SUBSTITUTE(SUBSTITUTE(IF(K312="","NONE",K312),"_","-"),"|","-"),"_SZ|",(VLOOKUP(L312,Dictionary!$Y:$Z,1,0)),"_AD|",(VLOOKUP(M312,Dictionary!$AB:$AC,2,0)),"_IT|",(VLOOKUP(N312,Dictionary!$BC:$BD,2,0)),IF(O312="","",CONCATENATE("_U1|",SUBSTITUTE(SUBSTITUTE(O312,"_","-"),"|","-"))),IF(P312="","",CONCATENATE("_U2|",SUBSTITUTE(SUBSTITUTE(P312,"_","-"),"|","-"))),IF(Q312="","",CONCATENATE("_U3|",SUBSTITUTE(SUBSTITUTE(Q312,"_","-"),"|","-")))))</f>
        <v>#N/A</v>
      </c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2"/>
      <c r="N313" s="32"/>
      <c r="O313" s="32"/>
      <c r="P313" s="32"/>
      <c r="Q313" s="32"/>
      <c r="R313" s="33" t="str">
        <f>IF(K313="----","#N/A",CONCATENATE("MK|",(VLOOKUP(B313,Dictionary!$A:$B,2,0)),"_CH|",(VLOOKUP(C313,Dictionary!$AV:$AW,2,0)),"_DT|",(VLOOKUP(D313,Dictionary!$P:$Q,2,0)),"_PB|",(VLOOKUP(E313,Dictionary!$G:$H,2,0)),"_FM|",(VLOOKUP(F313,Dictionary!$S:$T,2,0)),"_RT|",(VLOOKUP(G313,Dictionary!$V:$W,2,0)),"_PD|",SUBSTITUTE(SUBSTITUTE(IF(H313="","NONE",H313),"_","-"),"|","-"),"_TG|",(VLOOKUP(I313,Dictionary!$J:$K,2,0)),"_ST|",(VLOOKUP(J313,Dictionary!$M:$N,2,0)),"_TS|",SUBSTITUTE(SUBSTITUTE(IF(K313="","NONE",K313),"_","-"),"|","-"),"_SZ|",(VLOOKUP(L313,Dictionary!$Y:$Z,1,0)),"_AD|",(VLOOKUP(M313,Dictionary!$AB:$AC,2,0)),"_IT|",(VLOOKUP(N313,Dictionary!$BC:$BD,2,0)),IF(O313="","",CONCATENATE("_U1|",SUBSTITUTE(SUBSTITUTE(O313,"_","-"),"|","-"))),IF(P313="","",CONCATENATE("_U2|",SUBSTITUTE(SUBSTITUTE(P313,"_","-"),"|","-"))),IF(Q313="","",CONCATENATE("_U3|",SUBSTITUTE(SUBSTITUTE(Q313,"_","-"),"|","-")))))</f>
        <v>#N/A</v>
      </c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2"/>
      <c r="N314" s="32"/>
      <c r="O314" s="32"/>
      <c r="P314" s="32"/>
      <c r="Q314" s="32"/>
      <c r="R314" s="33" t="str">
        <f>IF(K314="----","#N/A",CONCATENATE("MK|",(VLOOKUP(B314,Dictionary!$A:$B,2,0)),"_CH|",(VLOOKUP(C314,Dictionary!$AV:$AW,2,0)),"_DT|",(VLOOKUP(D314,Dictionary!$P:$Q,2,0)),"_PB|",(VLOOKUP(E314,Dictionary!$G:$H,2,0)),"_FM|",(VLOOKUP(F314,Dictionary!$S:$T,2,0)),"_RT|",(VLOOKUP(G314,Dictionary!$V:$W,2,0)),"_PD|",SUBSTITUTE(SUBSTITUTE(IF(H314="","NONE",H314),"_","-"),"|","-"),"_TG|",(VLOOKUP(I314,Dictionary!$J:$K,2,0)),"_ST|",(VLOOKUP(J314,Dictionary!$M:$N,2,0)),"_TS|",SUBSTITUTE(SUBSTITUTE(IF(K314="","NONE",K314),"_","-"),"|","-"),"_SZ|",(VLOOKUP(L314,Dictionary!$Y:$Z,1,0)),"_AD|",(VLOOKUP(M314,Dictionary!$AB:$AC,2,0)),"_IT|",(VLOOKUP(N314,Dictionary!$BC:$BD,2,0)),IF(O314="","",CONCATENATE("_U1|",SUBSTITUTE(SUBSTITUTE(O314,"_","-"),"|","-"))),IF(P314="","",CONCATENATE("_U2|",SUBSTITUTE(SUBSTITUTE(P314,"_","-"),"|","-"))),IF(Q314="","",CONCATENATE("_U3|",SUBSTITUTE(SUBSTITUTE(Q314,"_","-"),"|","-")))))</f>
        <v>#N/A</v>
      </c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2"/>
      <c r="N315" s="32"/>
      <c r="O315" s="32"/>
      <c r="P315" s="32"/>
      <c r="Q315" s="32"/>
      <c r="R315" s="33" t="str">
        <f>IF(K315="----","#N/A",CONCATENATE("MK|",(VLOOKUP(B315,Dictionary!$A:$B,2,0)),"_CH|",(VLOOKUP(C315,Dictionary!$AV:$AW,2,0)),"_DT|",(VLOOKUP(D315,Dictionary!$P:$Q,2,0)),"_PB|",(VLOOKUP(E315,Dictionary!$G:$H,2,0)),"_FM|",(VLOOKUP(F315,Dictionary!$S:$T,2,0)),"_RT|",(VLOOKUP(G315,Dictionary!$V:$W,2,0)),"_PD|",SUBSTITUTE(SUBSTITUTE(IF(H315="","NONE",H315),"_","-"),"|","-"),"_TG|",(VLOOKUP(I315,Dictionary!$J:$K,2,0)),"_ST|",(VLOOKUP(J315,Dictionary!$M:$N,2,0)),"_TS|",SUBSTITUTE(SUBSTITUTE(IF(K315="","NONE",K315),"_","-"),"|","-"),"_SZ|",(VLOOKUP(L315,Dictionary!$Y:$Z,1,0)),"_AD|",(VLOOKUP(M315,Dictionary!$AB:$AC,2,0)),"_IT|",(VLOOKUP(N315,Dictionary!$BC:$BD,2,0)),IF(O315="","",CONCATENATE("_U1|",SUBSTITUTE(SUBSTITUTE(O315,"_","-"),"|","-"))),IF(P315="","",CONCATENATE("_U2|",SUBSTITUTE(SUBSTITUTE(P315,"_","-"),"|","-"))),IF(Q315="","",CONCATENATE("_U3|",SUBSTITUTE(SUBSTITUTE(Q315,"_","-"),"|","-")))))</f>
        <v>#N/A</v>
      </c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2"/>
      <c r="N316" s="32"/>
      <c r="O316" s="32"/>
      <c r="P316" s="32"/>
      <c r="Q316" s="32"/>
      <c r="R316" s="33" t="str">
        <f>IF(K316="----","#N/A",CONCATENATE("MK|",(VLOOKUP(B316,Dictionary!$A:$B,2,0)),"_CH|",(VLOOKUP(C316,Dictionary!$AV:$AW,2,0)),"_DT|",(VLOOKUP(D316,Dictionary!$P:$Q,2,0)),"_PB|",(VLOOKUP(E316,Dictionary!$G:$H,2,0)),"_FM|",(VLOOKUP(F316,Dictionary!$S:$T,2,0)),"_RT|",(VLOOKUP(G316,Dictionary!$V:$W,2,0)),"_PD|",SUBSTITUTE(SUBSTITUTE(IF(H316="","NONE",H316),"_","-"),"|","-"),"_TG|",(VLOOKUP(I316,Dictionary!$J:$K,2,0)),"_ST|",(VLOOKUP(J316,Dictionary!$M:$N,2,0)),"_TS|",SUBSTITUTE(SUBSTITUTE(IF(K316="","NONE",K316),"_","-"),"|","-"),"_SZ|",(VLOOKUP(L316,Dictionary!$Y:$Z,1,0)),"_AD|",(VLOOKUP(M316,Dictionary!$AB:$AC,2,0)),"_IT|",(VLOOKUP(N316,Dictionary!$BC:$BD,2,0)),IF(O316="","",CONCATENATE("_U1|",SUBSTITUTE(SUBSTITUTE(O316,"_","-"),"|","-"))),IF(P316="","",CONCATENATE("_U2|",SUBSTITUTE(SUBSTITUTE(P316,"_","-"),"|","-"))),IF(Q316="","",CONCATENATE("_U3|",SUBSTITUTE(SUBSTITUTE(Q316,"_","-"),"|","-")))))</f>
        <v>#N/A</v>
      </c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2"/>
      <c r="N317" s="32"/>
      <c r="O317" s="32"/>
      <c r="P317" s="32"/>
      <c r="Q317" s="32"/>
      <c r="R317" s="33" t="str">
        <f>IF(K317="----","#N/A",CONCATENATE("MK|",(VLOOKUP(B317,Dictionary!$A:$B,2,0)),"_CH|",(VLOOKUP(C317,Dictionary!$AV:$AW,2,0)),"_DT|",(VLOOKUP(D317,Dictionary!$P:$Q,2,0)),"_PB|",(VLOOKUP(E317,Dictionary!$G:$H,2,0)),"_FM|",(VLOOKUP(F317,Dictionary!$S:$T,2,0)),"_RT|",(VLOOKUP(G317,Dictionary!$V:$W,2,0)),"_PD|",SUBSTITUTE(SUBSTITUTE(IF(H317="","NONE",H317),"_","-"),"|","-"),"_TG|",(VLOOKUP(I317,Dictionary!$J:$K,2,0)),"_ST|",(VLOOKUP(J317,Dictionary!$M:$N,2,0)),"_TS|",SUBSTITUTE(SUBSTITUTE(IF(K317="","NONE",K317),"_","-"),"|","-"),"_SZ|",(VLOOKUP(L317,Dictionary!$Y:$Z,1,0)),"_AD|",(VLOOKUP(M317,Dictionary!$AB:$AC,2,0)),"_IT|",(VLOOKUP(N317,Dictionary!$BC:$BD,2,0)),IF(O317="","",CONCATENATE("_U1|",SUBSTITUTE(SUBSTITUTE(O317,"_","-"),"|","-"))),IF(P317="","",CONCATENATE("_U2|",SUBSTITUTE(SUBSTITUTE(P317,"_","-"),"|","-"))),IF(Q317="","",CONCATENATE("_U3|",SUBSTITUTE(SUBSTITUTE(Q317,"_","-"),"|","-")))))</f>
        <v>#N/A</v>
      </c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2"/>
      <c r="N318" s="32"/>
      <c r="O318" s="32"/>
      <c r="P318" s="32"/>
      <c r="Q318" s="32"/>
      <c r="R318" s="33" t="str">
        <f>IF(K318="----","#N/A",CONCATENATE("MK|",(VLOOKUP(B318,Dictionary!$A:$B,2,0)),"_CH|",(VLOOKUP(C318,Dictionary!$AV:$AW,2,0)),"_DT|",(VLOOKUP(D318,Dictionary!$P:$Q,2,0)),"_PB|",(VLOOKUP(E318,Dictionary!$G:$H,2,0)),"_FM|",(VLOOKUP(F318,Dictionary!$S:$T,2,0)),"_RT|",(VLOOKUP(G318,Dictionary!$V:$W,2,0)),"_PD|",SUBSTITUTE(SUBSTITUTE(IF(H318="","NONE",H318),"_","-"),"|","-"),"_TG|",(VLOOKUP(I318,Dictionary!$J:$K,2,0)),"_ST|",(VLOOKUP(J318,Dictionary!$M:$N,2,0)),"_TS|",SUBSTITUTE(SUBSTITUTE(IF(K318="","NONE",K318),"_","-"),"|","-"),"_SZ|",(VLOOKUP(L318,Dictionary!$Y:$Z,1,0)),"_AD|",(VLOOKUP(M318,Dictionary!$AB:$AC,2,0)),"_IT|",(VLOOKUP(N318,Dictionary!$BC:$BD,2,0)),IF(O318="","",CONCATENATE("_U1|",SUBSTITUTE(SUBSTITUTE(O318,"_","-"),"|","-"))),IF(P318="","",CONCATENATE("_U2|",SUBSTITUTE(SUBSTITUTE(P318,"_","-"),"|","-"))),IF(Q318="","",CONCATENATE("_U3|",SUBSTITUTE(SUBSTITUTE(Q318,"_","-"),"|","-")))))</f>
        <v>#N/A</v>
      </c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2"/>
      <c r="N319" s="32"/>
      <c r="O319" s="32"/>
      <c r="P319" s="32"/>
      <c r="Q319" s="32"/>
      <c r="R319" s="33" t="str">
        <f>IF(K319="----","#N/A",CONCATENATE("MK|",(VLOOKUP(B319,Dictionary!$A:$B,2,0)),"_CH|",(VLOOKUP(C319,Dictionary!$AV:$AW,2,0)),"_DT|",(VLOOKUP(D319,Dictionary!$P:$Q,2,0)),"_PB|",(VLOOKUP(E319,Dictionary!$G:$H,2,0)),"_FM|",(VLOOKUP(F319,Dictionary!$S:$T,2,0)),"_RT|",(VLOOKUP(G319,Dictionary!$V:$W,2,0)),"_PD|",SUBSTITUTE(SUBSTITUTE(IF(H319="","NONE",H319),"_","-"),"|","-"),"_TG|",(VLOOKUP(I319,Dictionary!$J:$K,2,0)),"_ST|",(VLOOKUP(J319,Dictionary!$M:$N,2,0)),"_TS|",SUBSTITUTE(SUBSTITUTE(IF(K319="","NONE",K319),"_","-"),"|","-"),"_SZ|",(VLOOKUP(L319,Dictionary!$Y:$Z,1,0)),"_AD|",(VLOOKUP(M319,Dictionary!$AB:$AC,2,0)),"_IT|",(VLOOKUP(N319,Dictionary!$BC:$BD,2,0)),IF(O319="","",CONCATENATE("_U1|",SUBSTITUTE(SUBSTITUTE(O319,"_","-"),"|","-"))),IF(P319="","",CONCATENATE("_U2|",SUBSTITUTE(SUBSTITUTE(P319,"_","-"),"|","-"))),IF(Q319="","",CONCATENATE("_U3|",SUBSTITUTE(SUBSTITUTE(Q319,"_","-"),"|","-")))))</f>
        <v>#N/A</v>
      </c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2"/>
      <c r="N320" s="32"/>
      <c r="O320" s="32"/>
      <c r="P320" s="32"/>
      <c r="Q320" s="32"/>
      <c r="R320" s="33" t="str">
        <f>IF(K320="----","#N/A",CONCATENATE("MK|",(VLOOKUP(B320,Dictionary!$A:$B,2,0)),"_CH|",(VLOOKUP(C320,Dictionary!$AV:$AW,2,0)),"_DT|",(VLOOKUP(D320,Dictionary!$P:$Q,2,0)),"_PB|",(VLOOKUP(E320,Dictionary!$G:$H,2,0)),"_FM|",(VLOOKUP(F320,Dictionary!$S:$T,2,0)),"_RT|",(VLOOKUP(G320,Dictionary!$V:$W,2,0)),"_PD|",SUBSTITUTE(SUBSTITUTE(IF(H320="","NONE",H320),"_","-"),"|","-"),"_TG|",(VLOOKUP(I320,Dictionary!$J:$K,2,0)),"_ST|",(VLOOKUP(J320,Dictionary!$M:$N,2,0)),"_TS|",SUBSTITUTE(SUBSTITUTE(IF(K320="","NONE",K320),"_","-"),"|","-"),"_SZ|",(VLOOKUP(L320,Dictionary!$Y:$Z,1,0)),"_AD|",(VLOOKUP(M320,Dictionary!$AB:$AC,2,0)),"_IT|",(VLOOKUP(N320,Dictionary!$BC:$BD,2,0)),IF(O320="","",CONCATENATE("_U1|",SUBSTITUTE(SUBSTITUTE(O320,"_","-"),"|","-"))),IF(P320="","",CONCATENATE("_U2|",SUBSTITUTE(SUBSTITUTE(P320,"_","-"),"|","-"))),IF(Q320="","",CONCATENATE("_U3|",SUBSTITUTE(SUBSTITUTE(Q320,"_","-"),"|","-")))))</f>
        <v>#N/A</v>
      </c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2"/>
      <c r="N321" s="32"/>
      <c r="O321" s="32"/>
      <c r="P321" s="32"/>
      <c r="Q321" s="32"/>
      <c r="R321" s="33" t="str">
        <f>IF(K321="----","#N/A",CONCATENATE("MK|",(VLOOKUP(B321,Dictionary!$A:$B,2,0)),"_CH|",(VLOOKUP(C321,Dictionary!$AV:$AW,2,0)),"_DT|",(VLOOKUP(D321,Dictionary!$P:$Q,2,0)),"_PB|",(VLOOKUP(E321,Dictionary!$G:$H,2,0)),"_FM|",(VLOOKUP(F321,Dictionary!$S:$T,2,0)),"_RT|",(VLOOKUP(G321,Dictionary!$V:$W,2,0)),"_PD|",SUBSTITUTE(SUBSTITUTE(IF(H321="","NONE",H321),"_","-"),"|","-"),"_TG|",(VLOOKUP(I321,Dictionary!$J:$K,2,0)),"_ST|",(VLOOKUP(J321,Dictionary!$M:$N,2,0)),"_TS|",SUBSTITUTE(SUBSTITUTE(IF(K321="","NONE",K321),"_","-"),"|","-"),"_SZ|",(VLOOKUP(L321,Dictionary!$Y:$Z,1,0)),"_AD|",(VLOOKUP(M321,Dictionary!$AB:$AC,2,0)),"_IT|",(VLOOKUP(N321,Dictionary!$BC:$BD,2,0)),IF(O321="","",CONCATENATE("_U1|",SUBSTITUTE(SUBSTITUTE(O321,"_","-"),"|","-"))),IF(P321="","",CONCATENATE("_U2|",SUBSTITUTE(SUBSTITUTE(P321,"_","-"),"|","-"))),IF(Q321="","",CONCATENATE("_U3|",SUBSTITUTE(SUBSTITUTE(Q321,"_","-"),"|","-")))))</f>
        <v>#N/A</v>
      </c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2"/>
      <c r="N322" s="32"/>
      <c r="O322" s="32"/>
      <c r="P322" s="32"/>
      <c r="Q322" s="32"/>
      <c r="R322" s="33" t="str">
        <f>IF(K322="----","#N/A",CONCATENATE("MK|",(VLOOKUP(B322,Dictionary!$A:$B,2,0)),"_CH|",(VLOOKUP(C322,Dictionary!$AV:$AW,2,0)),"_DT|",(VLOOKUP(D322,Dictionary!$P:$Q,2,0)),"_PB|",(VLOOKUP(E322,Dictionary!$G:$H,2,0)),"_FM|",(VLOOKUP(F322,Dictionary!$S:$T,2,0)),"_RT|",(VLOOKUP(G322,Dictionary!$V:$W,2,0)),"_PD|",SUBSTITUTE(SUBSTITUTE(IF(H322="","NONE",H322),"_","-"),"|","-"),"_TG|",(VLOOKUP(I322,Dictionary!$J:$K,2,0)),"_ST|",(VLOOKUP(J322,Dictionary!$M:$N,2,0)),"_TS|",SUBSTITUTE(SUBSTITUTE(IF(K322="","NONE",K322),"_","-"),"|","-"),"_SZ|",(VLOOKUP(L322,Dictionary!$Y:$Z,1,0)),"_AD|",(VLOOKUP(M322,Dictionary!$AB:$AC,2,0)),"_IT|",(VLOOKUP(N322,Dictionary!$BC:$BD,2,0)),IF(O322="","",CONCATENATE("_U1|",SUBSTITUTE(SUBSTITUTE(O322,"_","-"),"|","-"))),IF(P322="","",CONCATENATE("_U2|",SUBSTITUTE(SUBSTITUTE(P322,"_","-"),"|","-"))),IF(Q322="","",CONCATENATE("_U3|",SUBSTITUTE(SUBSTITUTE(Q322,"_","-"),"|","-")))))</f>
        <v>#N/A</v>
      </c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2"/>
      <c r="N323" s="32"/>
      <c r="O323" s="32"/>
      <c r="P323" s="32"/>
      <c r="Q323" s="32"/>
      <c r="R323" s="33" t="str">
        <f>IF(K323="----","#N/A",CONCATENATE("MK|",(VLOOKUP(B323,Dictionary!$A:$B,2,0)),"_CH|",(VLOOKUP(C323,Dictionary!$AV:$AW,2,0)),"_DT|",(VLOOKUP(D323,Dictionary!$P:$Q,2,0)),"_PB|",(VLOOKUP(E323,Dictionary!$G:$H,2,0)),"_FM|",(VLOOKUP(F323,Dictionary!$S:$T,2,0)),"_RT|",(VLOOKUP(G323,Dictionary!$V:$W,2,0)),"_PD|",SUBSTITUTE(SUBSTITUTE(IF(H323="","NONE",H323),"_","-"),"|","-"),"_TG|",(VLOOKUP(I323,Dictionary!$J:$K,2,0)),"_ST|",(VLOOKUP(J323,Dictionary!$M:$N,2,0)),"_TS|",SUBSTITUTE(SUBSTITUTE(IF(K323="","NONE",K323),"_","-"),"|","-"),"_SZ|",(VLOOKUP(L323,Dictionary!$Y:$Z,1,0)),"_AD|",(VLOOKUP(M323,Dictionary!$AB:$AC,2,0)),"_IT|",(VLOOKUP(N323,Dictionary!$BC:$BD,2,0)),IF(O323="","",CONCATENATE("_U1|",SUBSTITUTE(SUBSTITUTE(O323,"_","-"),"|","-"))),IF(P323="","",CONCATENATE("_U2|",SUBSTITUTE(SUBSTITUTE(P323,"_","-"),"|","-"))),IF(Q323="","",CONCATENATE("_U3|",SUBSTITUTE(SUBSTITUTE(Q323,"_","-"),"|","-")))))</f>
        <v>#N/A</v>
      </c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2"/>
      <c r="N324" s="32"/>
      <c r="O324" s="32"/>
      <c r="P324" s="32"/>
      <c r="Q324" s="32"/>
      <c r="R324" s="33" t="str">
        <f>IF(K324="----","#N/A",CONCATENATE("MK|",(VLOOKUP(B324,Dictionary!$A:$B,2,0)),"_CH|",(VLOOKUP(C324,Dictionary!$AV:$AW,2,0)),"_DT|",(VLOOKUP(D324,Dictionary!$P:$Q,2,0)),"_PB|",(VLOOKUP(E324,Dictionary!$G:$H,2,0)),"_FM|",(VLOOKUP(F324,Dictionary!$S:$T,2,0)),"_RT|",(VLOOKUP(G324,Dictionary!$V:$W,2,0)),"_PD|",SUBSTITUTE(SUBSTITUTE(IF(H324="","NONE",H324),"_","-"),"|","-"),"_TG|",(VLOOKUP(I324,Dictionary!$J:$K,2,0)),"_ST|",(VLOOKUP(J324,Dictionary!$M:$N,2,0)),"_TS|",SUBSTITUTE(SUBSTITUTE(IF(K324="","NONE",K324),"_","-"),"|","-"),"_SZ|",(VLOOKUP(L324,Dictionary!$Y:$Z,1,0)),"_AD|",(VLOOKUP(M324,Dictionary!$AB:$AC,2,0)),"_IT|",(VLOOKUP(N324,Dictionary!$BC:$BD,2,0)),IF(O324="","",CONCATENATE("_U1|",SUBSTITUTE(SUBSTITUTE(O324,"_","-"),"|","-"))),IF(P324="","",CONCATENATE("_U2|",SUBSTITUTE(SUBSTITUTE(P324,"_","-"),"|","-"))),IF(Q324="","",CONCATENATE("_U3|",SUBSTITUTE(SUBSTITUTE(Q324,"_","-"),"|","-")))))</f>
        <v>#N/A</v>
      </c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2"/>
      <c r="N325" s="32"/>
      <c r="O325" s="32"/>
      <c r="P325" s="32"/>
      <c r="Q325" s="32"/>
      <c r="R325" s="33" t="str">
        <f>IF(K325="----","#N/A",CONCATENATE("MK|",(VLOOKUP(B325,Dictionary!$A:$B,2,0)),"_CH|",(VLOOKUP(C325,Dictionary!$AV:$AW,2,0)),"_DT|",(VLOOKUP(D325,Dictionary!$P:$Q,2,0)),"_PB|",(VLOOKUP(E325,Dictionary!$G:$H,2,0)),"_FM|",(VLOOKUP(F325,Dictionary!$S:$T,2,0)),"_RT|",(VLOOKUP(G325,Dictionary!$V:$W,2,0)),"_PD|",SUBSTITUTE(SUBSTITUTE(IF(H325="","NONE",H325),"_","-"),"|","-"),"_TG|",(VLOOKUP(I325,Dictionary!$J:$K,2,0)),"_ST|",(VLOOKUP(J325,Dictionary!$M:$N,2,0)),"_TS|",SUBSTITUTE(SUBSTITUTE(IF(K325="","NONE",K325),"_","-"),"|","-"),"_SZ|",(VLOOKUP(L325,Dictionary!$Y:$Z,1,0)),"_AD|",(VLOOKUP(M325,Dictionary!$AB:$AC,2,0)),"_IT|",(VLOOKUP(N325,Dictionary!$BC:$BD,2,0)),IF(O325="","",CONCATENATE("_U1|",SUBSTITUTE(SUBSTITUTE(O325,"_","-"),"|","-"))),IF(P325="","",CONCATENATE("_U2|",SUBSTITUTE(SUBSTITUTE(P325,"_","-"),"|","-"))),IF(Q325="","",CONCATENATE("_U3|",SUBSTITUTE(SUBSTITUTE(Q325,"_","-"),"|","-")))))</f>
        <v>#N/A</v>
      </c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2"/>
      <c r="N326" s="32"/>
      <c r="O326" s="32"/>
      <c r="P326" s="32"/>
      <c r="Q326" s="32"/>
      <c r="R326" s="33" t="str">
        <f>IF(K326="----","#N/A",CONCATENATE("MK|",(VLOOKUP(B326,Dictionary!$A:$B,2,0)),"_CH|",(VLOOKUP(C326,Dictionary!$AV:$AW,2,0)),"_DT|",(VLOOKUP(D326,Dictionary!$P:$Q,2,0)),"_PB|",(VLOOKUP(E326,Dictionary!$G:$H,2,0)),"_FM|",(VLOOKUP(F326,Dictionary!$S:$T,2,0)),"_RT|",(VLOOKUP(G326,Dictionary!$V:$W,2,0)),"_PD|",SUBSTITUTE(SUBSTITUTE(IF(H326="","NONE",H326),"_","-"),"|","-"),"_TG|",(VLOOKUP(I326,Dictionary!$J:$K,2,0)),"_ST|",(VLOOKUP(J326,Dictionary!$M:$N,2,0)),"_TS|",SUBSTITUTE(SUBSTITUTE(IF(K326="","NONE",K326),"_","-"),"|","-"),"_SZ|",(VLOOKUP(L326,Dictionary!$Y:$Z,1,0)),"_AD|",(VLOOKUP(M326,Dictionary!$AB:$AC,2,0)),"_IT|",(VLOOKUP(N326,Dictionary!$BC:$BD,2,0)),IF(O326="","",CONCATENATE("_U1|",SUBSTITUTE(SUBSTITUTE(O326,"_","-"),"|","-"))),IF(P326="","",CONCATENATE("_U2|",SUBSTITUTE(SUBSTITUTE(P326,"_","-"),"|","-"))),IF(Q326="","",CONCATENATE("_U3|",SUBSTITUTE(SUBSTITUTE(Q326,"_","-"),"|","-")))))</f>
        <v>#N/A</v>
      </c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2"/>
      <c r="N327" s="32"/>
      <c r="O327" s="32"/>
      <c r="P327" s="32"/>
      <c r="Q327" s="32"/>
      <c r="R327" s="33" t="str">
        <f>IF(K327="----","#N/A",CONCATENATE("MK|",(VLOOKUP(B327,Dictionary!$A:$B,2,0)),"_CH|",(VLOOKUP(C327,Dictionary!$AV:$AW,2,0)),"_DT|",(VLOOKUP(D327,Dictionary!$P:$Q,2,0)),"_PB|",(VLOOKUP(E327,Dictionary!$G:$H,2,0)),"_FM|",(VLOOKUP(F327,Dictionary!$S:$T,2,0)),"_RT|",(VLOOKUP(G327,Dictionary!$V:$W,2,0)),"_PD|",SUBSTITUTE(SUBSTITUTE(IF(H327="","NONE",H327),"_","-"),"|","-"),"_TG|",(VLOOKUP(I327,Dictionary!$J:$K,2,0)),"_ST|",(VLOOKUP(J327,Dictionary!$M:$N,2,0)),"_TS|",SUBSTITUTE(SUBSTITUTE(IF(K327="","NONE",K327),"_","-"),"|","-"),"_SZ|",(VLOOKUP(L327,Dictionary!$Y:$Z,1,0)),"_AD|",(VLOOKUP(M327,Dictionary!$AB:$AC,2,0)),"_IT|",(VLOOKUP(N327,Dictionary!$BC:$BD,2,0)),IF(O327="","",CONCATENATE("_U1|",SUBSTITUTE(SUBSTITUTE(O327,"_","-"),"|","-"))),IF(P327="","",CONCATENATE("_U2|",SUBSTITUTE(SUBSTITUTE(P327,"_","-"),"|","-"))),IF(Q327="","",CONCATENATE("_U3|",SUBSTITUTE(SUBSTITUTE(Q327,"_","-"),"|","-")))))</f>
        <v>#N/A</v>
      </c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2"/>
      <c r="N328" s="32"/>
      <c r="O328" s="32"/>
      <c r="P328" s="32"/>
      <c r="Q328" s="32"/>
      <c r="R328" s="33" t="str">
        <f>IF(K328="----","#N/A",CONCATENATE("MK|",(VLOOKUP(B328,Dictionary!$A:$B,2,0)),"_CH|",(VLOOKUP(C328,Dictionary!$AV:$AW,2,0)),"_DT|",(VLOOKUP(D328,Dictionary!$P:$Q,2,0)),"_PB|",(VLOOKUP(E328,Dictionary!$G:$H,2,0)),"_FM|",(VLOOKUP(F328,Dictionary!$S:$T,2,0)),"_RT|",(VLOOKUP(G328,Dictionary!$V:$W,2,0)),"_PD|",SUBSTITUTE(SUBSTITUTE(IF(H328="","NONE",H328),"_","-"),"|","-"),"_TG|",(VLOOKUP(I328,Dictionary!$J:$K,2,0)),"_ST|",(VLOOKUP(J328,Dictionary!$M:$N,2,0)),"_TS|",SUBSTITUTE(SUBSTITUTE(IF(K328="","NONE",K328),"_","-"),"|","-"),"_SZ|",(VLOOKUP(L328,Dictionary!$Y:$Z,1,0)),"_AD|",(VLOOKUP(M328,Dictionary!$AB:$AC,2,0)),"_IT|",(VLOOKUP(N328,Dictionary!$BC:$BD,2,0)),IF(O328="","",CONCATENATE("_U1|",SUBSTITUTE(SUBSTITUTE(O328,"_","-"),"|","-"))),IF(P328="","",CONCATENATE("_U2|",SUBSTITUTE(SUBSTITUTE(P328,"_","-"),"|","-"))),IF(Q328="","",CONCATENATE("_U3|",SUBSTITUTE(SUBSTITUTE(Q328,"_","-"),"|","-")))))</f>
        <v>#N/A</v>
      </c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2"/>
      <c r="N329" s="32"/>
      <c r="O329" s="32"/>
      <c r="P329" s="32"/>
      <c r="Q329" s="32"/>
      <c r="R329" s="33" t="str">
        <f>IF(K329="----","#N/A",CONCATENATE("MK|",(VLOOKUP(B329,Dictionary!$A:$B,2,0)),"_CH|",(VLOOKUP(C329,Dictionary!$AV:$AW,2,0)),"_DT|",(VLOOKUP(D329,Dictionary!$P:$Q,2,0)),"_PB|",(VLOOKUP(E329,Dictionary!$G:$H,2,0)),"_FM|",(VLOOKUP(F329,Dictionary!$S:$T,2,0)),"_RT|",(VLOOKUP(G329,Dictionary!$V:$W,2,0)),"_PD|",SUBSTITUTE(SUBSTITUTE(IF(H329="","NONE",H329),"_","-"),"|","-"),"_TG|",(VLOOKUP(I329,Dictionary!$J:$K,2,0)),"_ST|",(VLOOKUP(J329,Dictionary!$M:$N,2,0)),"_TS|",SUBSTITUTE(SUBSTITUTE(IF(K329="","NONE",K329),"_","-"),"|","-"),"_SZ|",(VLOOKUP(L329,Dictionary!$Y:$Z,1,0)),"_AD|",(VLOOKUP(M329,Dictionary!$AB:$AC,2,0)),"_IT|",(VLOOKUP(N329,Dictionary!$BC:$BD,2,0)),IF(O329="","",CONCATENATE("_U1|",SUBSTITUTE(SUBSTITUTE(O329,"_","-"),"|","-"))),IF(P329="","",CONCATENATE("_U2|",SUBSTITUTE(SUBSTITUTE(P329,"_","-"),"|","-"))),IF(Q329="","",CONCATENATE("_U3|",SUBSTITUTE(SUBSTITUTE(Q329,"_","-"),"|","-")))))</f>
        <v>#N/A</v>
      </c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2"/>
      <c r="N330" s="32"/>
      <c r="O330" s="32"/>
      <c r="P330" s="32"/>
      <c r="Q330" s="32"/>
      <c r="R330" s="33" t="str">
        <f>IF(K330="----","#N/A",CONCATENATE("MK|",(VLOOKUP(B330,Dictionary!$A:$B,2,0)),"_CH|",(VLOOKUP(C330,Dictionary!$AV:$AW,2,0)),"_DT|",(VLOOKUP(D330,Dictionary!$P:$Q,2,0)),"_PB|",(VLOOKUP(E330,Dictionary!$G:$H,2,0)),"_FM|",(VLOOKUP(F330,Dictionary!$S:$T,2,0)),"_RT|",(VLOOKUP(G330,Dictionary!$V:$W,2,0)),"_PD|",SUBSTITUTE(SUBSTITUTE(IF(H330="","NONE",H330),"_","-"),"|","-"),"_TG|",(VLOOKUP(I330,Dictionary!$J:$K,2,0)),"_ST|",(VLOOKUP(J330,Dictionary!$M:$N,2,0)),"_TS|",SUBSTITUTE(SUBSTITUTE(IF(K330="","NONE",K330),"_","-"),"|","-"),"_SZ|",(VLOOKUP(L330,Dictionary!$Y:$Z,1,0)),"_AD|",(VLOOKUP(M330,Dictionary!$AB:$AC,2,0)),"_IT|",(VLOOKUP(N330,Dictionary!$BC:$BD,2,0)),IF(O330="","",CONCATENATE("_U1|",SUBSTITUTE(SUBSTITUTE(O330,"_","-"),"|","-"))),IF(P330="","",CONCATENATE("_U2|",SUBSTITUTE(SUBSTITUTE(P330,"_","-"),"|","-"))),IF(Q330="","",CONCATENATE("_U3|",SUBSTITUTE(SUBSTITUTE(Q330,"_","-"),"|","-")))))</f>
        <v>#N/A</v>
      </c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2"/>
      <c r="N331" s="32"/>
      <c r="O331" s="32"/>
      <c r="P331" s="32"/>
      <c r="Q331" s="32"/>
      <c r="R331" s="33" t="str">
        <f>IF(K331="----","#N/A",CONCATENATE("MK|",(VLOOKUP(B331,Dictionary!$A:$B,2,0)),"_CH|",(VLOOKUP(C331,Dictionary!$AV:$AW,2,0)),"_DT|",(VLOOKUP(D331,Dictionary!$P:$Q,2,0)),"_PB|",(VLOOKUP(E331,Dictionary!$G:$H,2,0)),"_FM|",(VLOOKUP(F331,Dictionary!$S:$T,2,0)),"_RT|",(VLOOKUP(G331,Dictionary!$V:$W,2,0)),"_PD|",SUBSTITUTE(SUBSTITUTE(IF(H331="","NONE",H331),"_","-"),"|","-"),"_TG|",(VLOOKUP(I331,Dictionary!$J:$K,2,0)),"_ST|",(VLOOKUP(J331,Dictionary!$M:$N,2,0)),"_TS|",SUBSTITUTE(SUBSTITUTE(IF(K331="","NONE",K331),"_","-"),"|","-"),"_SZ|",(VLOOKUP(L331,Dictionary!$Y:$Z,1,0)),"_AD|",(VLOOKUP(M331,Dictionary!$AB:$AC,2,0)),"_IT|",(VLOOKUP(N331,Dictionary!$BC:$BD,2,0)),IF(O331="","",CONCATENATE("_U1|",SUBSTITUTE(SUBSTITUTE(O331,"_","-"),"|","-"))),IF(P331="","",CONCATENATE("_U2|",SUBSTITUTE(SUBSTITUTE(P331,"_","-"),"|","-"))),IF(Q331="","",CONCATENATE("_U3|",SUBSTITUTE(SUBSTITUTE(Q331,"_","-"),"|","-")))))</f>
        <v>#N/A</v>
      </c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2"/>
      <c r="N332" s="32"/>
      <c r="O332" s="32"/>
      <c r="P332" s="32"/>
      <c r="Q332" s="32"/>
      <c r="R332" s="33" t="str">
        <f>IF(K332="----","#N/A",CONCATENATE("MK|",(VLOOKUP(B332,Dictionary!$A:$B,2,0)),"_CH|",(VLOOKUP(C332,Dictionary!$AV:$AW,2,0)),"_DT|",(VLOOKUP(D332,Dictionary!$P:$Q,2,0)),"_PB|",(VLOOKUP(E332,Dictionary!$G:$H,2,0)),"_FM|",(VLOOKUP(F332,Dictionary!$S:$T,2,0)),"_RT|",(VLOOKUP(G332,Dictionary!$V:$W,2,0)),"_PD|",SUBSTITUTE(SUBSTITUTE(IF(H332="","NONE",H332),"_","-"),"|","-"),"_TG|",(VLOOKUP(I332,Dictionary!$J:$K,2,0)),"_ST|",(VLOOKUP(J332,Dictionary!$M:$N,2,0)),"_TS|",SUBSTITUTE(SUBSTITUTE(IF(K332="","NONE",K332),"_","-"),"|","-"),"_SZ|",(VLOOKUP(L332,Dictionary!$Y:$Z,1,0)),"_AD|",(VLOOKUP(M332,Dictionary!$AB:$AC,2,0)),"_IT|",(VLOOKUP(N332,Dictionary!$BC:$BD,2,0)),IF(O332="","",CONCATENATE("_U1|",SUBSTITUTE(SUBSTITUTE(O332,"_","-"),"|","-"))),IF(P332="","",CONCATENATE("_U2|",SUBSTITUTE(SUBSTITUTE(P332,"_","-"),"|","-"))),IF(Q332="","",CONCATENATE("_U3|",SUBSTITUTE(SUBSTITUTE(Q332,"_","-"),"|","-")))))</f>
        <v>#N/A</v>
      </c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2"/>
      <c r="N333" s="32"/>
      <c r="O333" s="32"/>
      <c r="P333" s="32"/>
      <c r="Q333" s="32"/>
      <c r="R333" s="33" t="str">
        <f>IF(K333="----","#N/A",CONCATENATE("MK|",(VLOOKUP(B333,Dictionary!$A:$B,2,0)),"_CH|",(VLOOKUP(C333,Dictionary!$AV:$AW,2,0)),"_DT|",(VLOOKUP(D333,Dictionary!$P:$Q,2,0)),"_PB|",(VLOOKUP(E333,Dictionary!$G:$H,2,0)),"_FM|",(VLOOKUP(F333,Dictionary!$S:$T,2,0)),"_RT|",(VLOOKUP(G333,Dictionary!$V:$W,2,0)),"_PD|",SUBSTITUTE(SUBSTITUTE(IF(H333="","NONE",H333),"_","-"),"|","-"),"_TG|",(VLOOKUP(I333,Dictionary!$J:$K,2,0)),"_ST|",(VLOOKUP(J333,Dictionary!$M:$N,2,0)),"_TS|",SUBSTITUTE(SUBSTITUTE(IF(K333="","NONE",K333),"_","-"),"|","-"),"_SZ|",(VLOOKUP(L333,Dictionary!$Y:$Z,1,0)),"_AD|",(VLOOKUP(M333,Dictionary!$AB:$AC,2,0)),"_IT|",(VLOOKUP(N333,Dictionary!$BC:$BD,2,0)),IF(O333="","",CONCATENATE("_U1|",SUBSTITUTE(SUBSTITUTE(O333,"_","-"),"|","-"))),IF(P333="","",CONCATENATE("_U2|",SUBSTITUTE(SUBSTITUTE(P333,"_","-"),"|","-"))),IF(Q333="","",CONCATENATE("_U3|",SUBSTITUTE(SUBSTITUTE(Q333,"_","-"),"|","-")))))</f>
        <v>#N/A</v>
      </c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2"/>
      <c r="N334" s="32"/>
      <c r="O334" s="32"/>
      <c r="P334" s="32"/>
      <c r="Q334" s="32"/>
      <c r="R334" s="33" t="str">
        <f>IF(K334="----","#N/A",CONCATENATE("MK|",(VLOOKUP(B334,Dictionary!$A:$B,2,0)),"_CH|",(VLOOKUP(C334,Dictionary!$AV:$AW,2,0)),"_DT|",(VLOOKUP(D334,Dictionary!$P:$Q,2,0)),"_PB|",(VLOOKUP(E334,Dictionary!$G:$H,2,0)),"_FM|",(VLOOKUP(F334,Dictionary!$S:$T,2,0)),"_RT|",(VLOOKUP(G334,Dictionary!$V:$W,2,0)),"_PD|",SUBSTITUTE(SUBSTITUTE(IF(H334="","NONE",H334),"_","-"),"|","-"),"_TG|",(VLOOKUP(I334,Dictionary!$J:$K,2,0)),"_ST|",(VLOOKUP(J334,Dictionary!$M:$N,2,0)),"_TS|",SUBSTITUTE(SUBSTITUTE(IF(K334="","NONE",K334),"_","-"),"|","-"),"_SZ|",(VLOOKUP(L334,Dictionary!$Y:$Z,1,0)),"_AD|",(VLOOKUP(M334,Dictionary!$AB:$AC,2,0)),"_IT|",(VLOOKUP(N334,Dictionary!$BC:$BD,2,0)),IF(O334="","",CONCATENATE("_U1|",SUBSTITUTE(SUBSTITUTE(O334,"_","-"),"|","-"))),IF(P334="","",CONCATENATE("_U2|",SUBSTITUTE(SUBSTITUTE(P334,"_","-"),"|","-"))),IF(Q334="","",CONCATENATE("_U3|",SUBSTITUTE(SUBSTITUTE(Q334,"_","-"),"|","-")))))</f>
        <v>#N/A</v>
      </c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2"/>
      <c r="O335" s="32"/>
      <c r="P335" s="32"/>
      <c r="Q335" s="32"/>
      <c r="R335" s="33" t="str">
        <f>IF(K335="----","#N/A",CONCATENATE("MK|",(VLOOKUP(B335,Dictionary!$A:$B,2,0)),"_CH|",(VLOOKUP(C335,Dictionary!$AV:$AW,2,0)),"_DT|",(VLOOKUP(D335,Dictionary!$P:$Q,2,0)),"_PB|",(VLOOKUP(E335,Dictionary!$G:$H,2,0)),"_FM|",(VLOOKUP(F335,Dictionary!$S:$T,2,0)),"_RT|",(VLOOKUP(G335,Dictionary!$V:$W,2,0)),"_PD|",SUBSTITUTE(SUBSTITUTE(IF(H335="","NONE",H335),"_","-"),"|","-"),"_TG|",(VLOOKUP(I335,Dictionary!$J:$K,2,0)),"_ST|",(VLOOKUP(J335,Dictionary!$M:$N,2,0)),"_TS|",SUBSTITUTE(SUBSTITUTE(IF(K335="","NONE",K335),"_","-"),"|","-"),"_SZ|",(VLOOKUP(L335,Dictionary!$Y:$Z,1,0)),"_AD|",(VLOOKUP(M335,Dictionary!$AB:$AC,2,0)),"_IT|",(VLOOKUP(N335,Dictionary!$BC:$BD,2,0)),IF(O335="","",CONCATENATE("_U1|",SUBSTITUTE(SUBSTITUTE(O335,"_","-"),"|","-"))),IF(P335="","",CONCATENATE("_U2|",SUBSTITUTE(SUBSTITUTE(P335,"_","-"),"|","-"))),IF(Q335="","",CONCATENATE("_U3|",SUBSTITUTE(SUBSTITUTE(Q335,"_","-"),"|","-")))))</f>
        <v>#N/A</v>
      </c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2"/>
      <c r="O336" s="32"/>
      <c r="P336" s="32"/>
      <c r="Q336" s="32"/>
      <c r="R336" s="33" t="str">
        <f>IF(K336="----","#N/A",CONCATENATE("MK|",(VLOOKUP(B336,Dictionary!$A:$B,2,0)),"_CH|",(VLOOKUP(C336,Dictionary!$AV:$AW,2,0)),"_DT|",(VLOOKUP(D336,Dictionary!$P:$Q,2,0)),"_PB|",(VLOOKUP(E336,Dictionary!$G:$H,2,0)),"_FM|",(VLOOKUP(F336,Dictionary!$S:$T,2,0)),"_RT|",(VLOOKUP(G336,Dictionary!$V:$W,2,0)),"_PD|",SUBSTITUTE(SUBSTITUTE(IF(H336="","NONE",H336),"_","-"),"|","-"),"_TG|",(VLOOKUP(I336,Dictionary!$J:$K,2,0)),"_ST|",(VLOOKUP(J336,Dictionary!$M:$N,2,0)),"_TS|",SUBSTITUTE(SUBSTITUTE(IF(K336="","NONE",K336),"_","-"),"|","-"),"_SZ|",(VLOOKUP(L336,Dictionary!$Y:$Z,1,0)),"_AD|",(VLOOKUP(M336,Dictionary!$AB:$AC,2,0)),"_IT|",(VLOOKUP(N336,Dictionary!$BC:$BD,2,0)),IF(O336="","",CONCATENATE("_U1|",SUBSTITUTE(SUBSTITUTE(O336,"_","-"),"|","-"))),IF(P336="","",CONCATENATE("_U2|",SUBSTITUTE(SUBSTITUTE(P336,"_","-"),"|","-"))),IF(Q336="","",CONCATENATE("_U3|",SUBSTITUTE(SUBSTITUTE(Q336,"_","-"),"|","-")))))</f>
        <v>#N/A</v>
      </c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2"/>
      <c r="O337" s="32"/>
      <c r="P337" s="32"/>
      <c r="Q337" s="32"/>
      <c r="R337" s="33" t="str">
        <f>IF(K337="----","#N/A",CONCATENATE("MK|",(VLOOKUP(B337,Dictionary!$A:$B,2,0)),"_CH|",(VLOOKUP(C337,Dictionary!$AV:$AW,2,0)),"_DT|",(VLOOKUP(D337,Dictionary!$P:$Q,2,0)),"_PB|",(VLOOKUP(E337,Dictionary!$G:$H,2,0)),"_FM|",(VLOOKUP(F337,Dictionary!$S:$T,2,0)),"_RT|",(VLOOKUP(G337,Dictionary!$V:$W,2,0)),"_PD|",SUBSTITUTE(SUBSTITUTE(IF(H337="","NONE",H337),"_","-"),"|","-"),"_TG|",(VLOOKUP(I337,Dictionary!$J:$K,2,0)),"_ST|",(VLOOKUP(J337,Dictionary!$M:$N,2,0)),"_TS|",SUBSTITUTE(SUBSTITUTE(IF(K337="","NONE",K337),"_","-"),"|","-"),"_SZ|",(VLOOKUP(L337,Dictionary!$Y:$Z,1,0)),"_AD|",(VLOOKUP(M337,Dictionary!$AB:$AC,2,0)),"_IT|",(VLOOKUP(N337,Dictionary!$BC:$BD,2,0)),IF(O337="","",CONCATENATE("_U1|",SUBSTITUTE(SUBSTITUTE(O337,"_","-"),"|","-"))),IF(P337="","",CONCATENATE("_U2|",SUBSTITUTE(SUBSTITUTE(P337,"_","-"),"|","-"))),IF(Q337="","",CONCATENATE("_U3|",SUBSTITUTE(SUBSTITUTE(Q337,"_","-"),"|","-")))))</f>
        <v>#N/A</v>
      </c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2"/>
      <c r="O338" s="32"/>
      <c r="P338" s="32"/>
      <c r="Q338" s="32"/>
      <c r="R338" s="33" t="str">
        <f>IF(K338="----","#N/A",CONCATENATE("MK|",(VLOOKUP(B338,Dictionary!$A:$B,2,0)),"_CH|",(VLOOKUP(C338,Dictionary!$AV:$AW,2,0)),"_DT|",(VLOOKUP(D338,Dictionary!$P:$Q,2,0)),"_PB|",(VLOOKUP(E338,Dictionary!$G:$H,2,0)),"_FM|",(VLOOKUP(F338,Dictionary!$S:$T,2,0)),"_RT|",(VLOOKUP(G338,Dictionary!$V:$W,2,0)),"_PD|",SUBSTITUTE(SUBSTITUTE(IF(H338="","NONE",H338),"_","-"),"|","-"),"_TG|",(VLOOKUP(I338,Dictionary!$J:$K,2,0)),"_ST|",(VLOOKUP(J338,Dictionary!$M:$N,2,0)),"_TS|",SUBSTITUTE(SUBSTITUTE(IF(K338="","NONE",K338),"_","-"),"|","-"),"_SZ|",(VLOOKUP(L338,Dictionary!$Y:$Z,1,0)),"_AD|",(VLOOKUP(M338,Dictionary!$AB:$AC,2,0)),"_IT|",(VLOOKUP(N338,Dictionary!$BC:$BD,2,0)),IF(O338="","",CONCATENATE("_U1|",SUBSTITUTE(SUBSTITUTE(O338,"_","-"),"|","-"))),IF(P338="","",CONCATENATE("_U2|",SUBSTITUTE(SUBSTITUTE(P338,"_","-"),"|","-"))),IF(Q338="","",CONCATENATE("_U3|",SUBSTITUTE(SUBSTITUTE(Q338,"_","-"),"|","-")))))</f>
        <v>#N/A</v>
      </c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2"/>
      <c r="O339" s="32"/>
      <c r="P339" s="32"/>
      <c r="Q339" s="32"/>
      <c r="R339" s="33" t="str">
        <f>IF(K339="----","#N/A",CONCATENATE("MK|",(VLOOKUP(B339,Dictionary!$A:$B,2,0)),"_CH|",(VLOOKUP(C339,Dictionary!$AV:$AW,2,0)),"_DT|",(VLOOKUP(D339,Dictionary!$P:$Q,2,0)),"_PB|",(VLOOKUP(E339,Dictionary!$G:$H,2,0)),"_FM|",(VLOOKUP(F339,Dictionary!$S:$T,2,0)),"_RT|",(VLOOKUP(G339,Dictionary!$V:$W,2,0)),"_PD|",SUBSTITUTE(SUBSTITUTE(IF(H339="","NONE",H339),"_","-"),"|","-"),"_TG|",(VLOOKUP(I339,Dictionary!$J:$K,2,0)),"_ST|",(VLOOKUP(J339,Dictionary!$M:$N,2,0)),"_TS|",SUBSTITUTE(SUBSTITUTE(IF(K339="","NONE",K339),"_","-"),"|","-"),"_SZ|",(VLOOKUP(L339,Dictionary!$Y:$Z,1,0)),"_AD|",(VLOOKUP(M339,Dictionary!$AB:$AC,2,0)),"_IT|",(VLOOKUP(N339,Dictionary!$BC:$BD,2,0)),IF(O339="","",CONCATENATE("_U1|",SUBSTITUTE(SUBSTITUTE(O339,"_","-"),"|","-"))),IF(P339="","",CONCATENATE("_U2|",SUBSTITUTE(SUBSTITUTE(P339,"_","-"),"|","-"))),IF(Q339="","",CONCATENATE("_U3|",SUBSTITUTE(SUBSTITUTE(Q339,"_","-"),"|","-")))))</f>
        <v>#N/A</v>
      </c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2"/>
      <c r="O340" s="32"/>
      <c r="P340" s="32"/>
      <c r="Q340" s="32"/>
      <c r="R340" s="33" t="str">
        <f>IF(K340="----","#N/A",CONCATENATE("MK|",(VLOOKUP(B340,Dictionary!$A:$B,2,0)),"_CH|",(VLOOKUP(C340,Dictionary!$AV:$AW,2,0)),"_DT|",(VLOOKUP(D340,Dictionary!$P:$Q,2,0)),"_PB|",(VLOOKUP(E340,Dictionary!$G:$H,2,0)),"_FM|",(VLOOKUP(F340,Dictionary!$S:$T,2,0)),"_RT|",(VLOOKUP(G340,Dictionary!$V:$W,2,0)),"_PD|",SUBSTITUTE(SUBSTITUTE(IF(H340="","NONE",H340),"_","-"),"|","-"),"_TG|",(VLOOKUP(I340,Dictionary!$J:$K,2,0)),"_ST|",(VLOOKUP(J340,Dictionary!$M:$N,2,0)),"_TS|",SUBSTITUTE(SUBSTITUTE(IF(K340="","NONE",K340),"_","-"),"|","-"),"_SZ|",(VLOOKUP(L340,Dictionary!$Y:$Z,1,0)),"_AD|",(VLOOKUP(M340,Dictionary!$AB:$AC,2,0)),"_IT|",(VLOOKUP(N340,Dictionary!$BC:$BD,2,0)),IF(O340="","",CONCATENATE("_U1|",SUBSTITUTE(SUBSTITUTE(O340,"_","-"),"|","-"))),IF(P340="","",CONCATENATE("_U2|",SUBSTITUTE(SUBSTITUTE(P340,"_","-"),"|","-"))),IF(Q340="","",CONCATENATE("_U3|",SUBSTITUTE(SUBSTITUTE(Q340,"_","-"),"|","-")))))</f>
        <v>#N/A</v>
      </c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2"/>
      <c r="O341" s="32"/>
      <c r="P341" s="32"/>
      <c r="Q341" s="32"/>
      <c r="R341" s="33" t="str">
        <f>IF(K341="----","#N/A",CONCATENATE("MK|",(VLOOKUP(B341,Dictionary!$A:$B,2,0)),"_CH|",(VLOOKUP(C341,Dictionary!$AV:$AW,2,0)),"_DT|",(VLOOKUP(D341,Dictionary!$P:$Q,2,0)),"_PB|",(VLOOKUP(E341,Dictionary!$G:$H,2,0)),"_FM|",(VLOOKUP(F341,Dictionary!$S:$T,2,0)),"_RT|",(VLOOKUP(G341,Dictionary!$V:$W,2,0)),"_PD|",SUBSTITUTE(SUBSTITUTE(IF(H341="","NONE",H341),"_","-"),"|","-"),"_TG|",(VLOOKUP(I341,Dictionary!$J:$K,2,0)),"_ST|",(VLOOKUP(J341,Dictionary!$M:$N,2,0)),"_TS|",SUBSTITUTE(SUBSTITUTE(IF(K341="","NONE",K341),"_","-"),"|","-"),"_SZ|",(VLOOKUP(L341,Dictionary!$Y:$Z,1,0)),"_AD|",(VLOOKUP(M341,Dictionary!$AB:$AC,2,0)),"_IT|",(VLOOKUP(N341,Dictionary!$BC:$BD,2,0)),IF(O341="","",CONCATENATE("_U1|",SUBSTITUTE(SUBSTITUTE(O341,"_","-"),"|","-"))),IF(P341="","",CONCATENATE("_U2|",SUBSTITUTE(SUBSTITUTE(P341,"_","-"),"|","-"))),IF(Q341="","",CONCATENATE("_U3|",SUBSTITUTE(SUBSTITUTE(Q341,"_","-"),"|","-")))))</f>
        <v>#N/A</v>
      </c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2"/>
      <c r="O342" s="32"/>
      <c r="P342" s="32"/>
      <c r="Q342" s="32"/>
      <c r="R342" s="33" t="str">
        <f>IF(K342="----","#N/A",CONCATENATE("MK|",(VLOOKUP(B342,Dictionary!$A:$B,2,0)),"_CH|",(VLOOKUP(C342,Dictionary!$AV:$AW,2,0)),"_DT|",(VLOOKUP(D342,Dictionary!$P:$Q,2,0)),"_PB|",(VLOOKUP(E342,Dictionary!$G:$H,2,0)),"_FM|",(VLOOKUP(F342,Dictionary!$S:$T,2,0)),"_RT|",(VLOOKUP(G342,Dictionary!$V:$W,2,0)),"_PD|",SUBSTITUTE(SUBSTITUTE(IF(H342="","NONE",H342),"_","-"),"|","-"),"_TG|",(VLOOKUP(I342,Dictionary!$J:$K,2,0)),"_ST|",(VLOOKUP(J342,Dictionary!$M:$N,2,0)),"_TS|",SUBSTITUTE(SUBSTITUTE(IF(K342="","NONE",K342),"_","-"),"|","-"),"_SZ|",(VLOOKUP(L342,Dictionary!$Y:$Z,1,0)),"_AD|",(VLOOKUP(M342,Dictionary!$AB:$AC,2,0)),"_IT|",(VLOOKUP(N342,Dictionary!$BC:$BD,2,0)),IF(O342="","",CONCATENATE("_U1|",SUBSTITUTE(SUBSTITUTE(O342,"_","-"),"|","-"))),IF(P342="","",CONCATENATE("_U2|",SUBSTITUTE(SUBSTITUTE(P342,"_","-"),"|","-"))),IF(Q342="","",CONCATENATE("_U3|",SUBSTITUTE(SUBSTITUTE(Q342,"_","-"),"|","-")))))</f>
        <v>#N/A</v>
      </c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2"/>
      <c r="O343" s="32"/>
      <c r="P343" s="32"/>
      <c r="Q343" s="32"/>
      <c r="R343" s="33" t="str">
        <f>IF(K343="----","#N/A",CONCATENATE("MK|",(VLOOKUP(B343,Dictionary!$A:$B,2,0)),"_CH|",(VLOOKUP(C343,Dictionary!$AV:$AW,2,0)),"_DT|",(VLOOKUP(D343,Dictionary!$P:$Q,2,0)),"_PB|",(VLOOKUP(E343,Dictionary!$G:$H,2,0)),"_FM|",(VLOOKUP(F343,Dictionary!$S:$T,2,0)),"_RT|",(VLOOKUP(G343,Dictionary!$V:$W,2,0)),"_PD|",SUBSTITUTE(SUBSTITUTE(IF(H343="","NONE",H343),"_","-"),"|","-"),"_TG|",(VLOOKUP(I343,Dictionary!$J:$K,2,0)),"_ST|",(VLOOKUP(J343,Dictionary!$M:$N,2,0)),"_TS|",SUBSTITUTE(SUBSTITUTE(IF(K343="","NONE",K343),"_","-"),"|","-"),"_SZ|",(VLOOKUP(L343,Dictionary!$Y:$Z,1,0)),"_AD|",(VLOOKUP(M343,Dictionary!$AB:$AC,2,0)),"_IT|",(VLOOKUP(N343,Dictionary!$BC:$BD,2,0)),IF(O343="","",CONCATENATE("_U1|",SUBSTITUTE(SUBSTITUTE(O343,"_","-"),"|","-"))),IF(P343="","",CONCATENATE("_U2|",SUBSTITUTE(SUBSTITUTE(P343,"_","-"),"|","-"))),IF(Q343="","",CONCATENATE("_U3|",SUBSTITUTE(SUBSTITUTE(Q343,"_","-"),"|","-")))))</f>
        <v>#N/A</v>
      </c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2"/>
      <c r="O344" s="32"/>
      <c r="P344" s="32"/>
      <c r="Q344" s="32"/>
      <c r="R344" s="33" t="str">
        <f>IF(K344="----","#N/A",CONCATENATE("MK|",(VLOOKUP(B344,Dictionary!$A:$B,2,0)),"_CH|",(VLOOKUP(C344,Dictionary!$AV:$AW,2,0)),"_DT|",(VLOOKUP(D344,Dictionary!$P:$Q,2,0)),"_PB|",(VLOOKUP(E344,Dictionary!$G:$H,2,0)),"_FM|",(VLOOKUP(F344,Dictionary!$S:$T,2,0)),"_RT|",(VLOOKUP(G344,Dictionary!$V:$W,2,0)),"_PD|",SUBSTITUTE(SUBSTITUTE(IF(H344="","NONE",H344),"_","-"),"|","-"),"_TG|",(VLOOKUP(I344,Dictionary!$J:$K,2,0)),"_ST|",(VLOOKUP(J344,Dictionary!$M:$N,2,0)),"_TS|",SUBSTITUTE(SUBSTITUTE(IF(K344="","NONE",K344),"_","-"),"|","-"),"_SZ|",(VLOOKUP(L344,Dictionary!$Y:$Z,1,0)),"_AD|",(VLOOKUP(M344,Dictionary!$AB:$AC,2,0)),"_IT|",(VLOOKUP(N344,Dictionary!$BC:$BD,2,0)),IF(O344="","",CONCATENATE("_U1|",SUBSTITUTE(SUBSTITUTE(O344,"_","-"),"|","-"))),IF(P344="","",CONCATENATE("_U2|",SUBSTITUTE(SUBSTITUTE(P344,"_","-"),"|","-"))),IF(Q344="","",CONCATENATE("_U3|",SUBSTITUTE(SUBSTITUTE(Q344,"_","-"),"|","-")))))</f>
        <v>#N/A</v>
      </c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2"/>
      <c r="O345" s="32"/>
      <c r="P345" s="32"/>
      <c r="Q345" s="32"/>
      <c r="R345" s="33" t="str">
        <f>IF(K345="----","#N/A",CONCATENATE("MK|",(VLOOKUP(B345,Dictionary!$A:$B,2,0)),"_CH|",(VLOOKUP(C345,Dictionary!$AV:$AW,2,0)),"_DT|",(VLOOKUP(D345,Dictionary!$P:$Q,2,0)),"_PB|",(VLOOKUP(E345,Dictionary!$G:$H,2,0)),"_FM|",(VLOOKUP(F345,Dictionary!$S:$T,2,0)),"_RT|",(VLOOKUP(G345,Dictionary!$V:$W,2,0)),"_PD|",SUBSTITUTE(SUBSTITUTE(IF(H345="","NONE",H345),"_","-"),"|","-"),"_TG|",(VLOOKUP(I345,Dictionary!$J:$K,2,0)),"_ST|",(VLOOKUP(J345,Dictionary!$M:$N,2,0)),"_TS|",SUBSTITUTE(SUBSTITUTE(IF(K345="","NONE",K345),"_","-"),"|","-"),"_SZ|",(VLOOKUP(L345,Dictionary!$Y:$Z,1,0)),"_AD|",(VLOOKUP(M345,Dictionary!$AB:$AC,2,0)),"_IT|",(VLOOKUP(N345,Dictionary!$BC:$BD,2,0)),IF(O345="","",CONCATENATE("_U1|",SUBSTITUTE(SUBSTITUTE(O345,"_","-"),"|","-"))),IF(P345="","",CONCATENATE("_U2|",SUBSTITUTE(SUBSTITUTE(P345,"_","-"),"|","-"))),IF(Q345="","",CONCATENATE("_U3|",SUBSTITUTE(SUBSTITUTE(Q345,"_","-"),"|","-")))))</f>
        <v>#N/A</v>
      </c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2"/>
      <c r="O346" s="32"/>
      <c r="P346" s="32"/>
      <c r="Q346" s="32"/>
      <c r="R346" s="33" t="str">
        <f>IF(K346="----","#N/A",CONCATENATE("MK|",(VLOOKUP(B346,Dictionary!$A:$B,2,0)),"_CH|",(VLOOKUP(C346,Dictionary!$AV:$AW,2,0)),"_DT|",(VLOOKUP(D346,Dictionary!$P:$Q,2,0)),"_PB|",(VLOOKUP(E346,Dictionary!$G:$H,2,0)),"_FM|",(VLOOKUP(F346,Dictionary!$S:$T,2,0)),"_RT|",(VLOOKUP(G346,Dictionary!$V:$W,2,0)),"_PD|",SUBSTITUTE(SUBSTITUTE(IF(H346="","NONE",H346),"_","-"),"|","-"),"_TG|",(VLOOKUP(I346,Dictionary!$J:$K,2,0)),"_ST|",(VLOOKUP(J346,Dictionary!$M:$N,2,0)),"_TS|",SUBSTITUTE(SUBSTITUTE(IF(K346="","NONE",K346),"_","-"),"|","-"),"_SZ|",(VLOOKUP(L346,Dictionary!$Y:$Z,1,0)),"_AD|",(VLOOKUP(M346,Dictionary!$AB:$AC,2,0)),"_IT|",(VLOOKUP(N346,Dictionary!$BC:$BD,2,0)),IF(O346="","",CONCATENATE("_U1|",SUBSTITUTE(SUBSTITUTE(O346,"_","-"),"|","-"))),IF(P346="","",CONCATENATE("_U2|",SUBSTITUTE(SUBSTITUTE(P346,"_","-"),"|","-"))),IF(Q346="","",CONCATENATE("_U3|",SUBSTITUTE(SUBSTITUTE(Q346,"_","-"),"|","-")))))</f>
        <v>#N/A</v>
      </c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2"/>
      <c r="O347" s="32"/>
      <c r="P347" s="32"/>
      <c r="Q347" s="32"/>
      <c r="R347" s="33" t="str">
        <f>IF(K347="----","#N/A",CONCATENATE("MK|",(VLOOKUP(B347,Dictionary!$A:$B,2,0)),"_CH|",(VLOOKUP(C347,Dictionary!$AV:$AW,2,0)),"_DT|",(VLOOKUP(D347,Dictionary!$P:$Q,2,0)),"_PB|",(VLOOKUP(E347,Dictionary!$G:$H,2,0)),"_FM|",(VLOOKUP(F347,Dictionary!$S:$T,2,0)),"_RT|",(VLOOKUP(G347,Dictionary!$V:$W,2,0)),"_PD|",SUBSTITUTE(SUBSTITUTE(IF(H347="","NONE",H347),"_","-"),"|","-"),"_TG|",(VLOOKUP(I347,Dictionary!$J:$K,2,0)),"_ST|",(VLOOKUP(J347,Dictionary!$M:$N,2,0)),"_TS|",SUBSTITUTE(SUBSTITUTE(IF(K347="","NONE",K347),"_","-"),"|","-"),"_SZ|",(VLOOKUP(L347,Dictionary!$Y:$Z,1,0)),"_AD|",(VLOOKUP(M347,Dictionary!$AB:$AC,2,0)),"_IT|",(VLOOKUP(N347,Dictionary!$BC:$BD,2,0)),IF(O347="","",CONCATENATE("_U1|",SUBSTITUTE(SUBSTITUTE(O347,"_","-"),"|","-"))),IF(P347="","",CONCATENATE("_U2|",SUBSTITUTE(SUBSTITUTE(P347,"_","-"),"|","-"))),IF(Q347="","",CONCATENATE("_U3|",SUBSTITUTE(SUBSTITUTE(Q347,"_","-"),"|","-")))))</f>
        <v>#N/A</v>
      </c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2"/>
      <c r="O348" s="32"/>
      <c r="P348" s="32"/>
      <c r="Q348" s="32"/>
      <c r="R348" s="32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2"/>
      <c r="O349" s="32"/>
      <c r="P349" s="32"/>
      <c r="Q349" s="32"/>
      <c r="R349" s="32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2"/>
      <c r="O350" s="32"/>
      <c r="P350" s="32"/>
      <c r="Q350" s="32"/>
      <c r="R350" s="32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2"/>
      <c r="O351" s="32"/>
      <c r="P351" s="32"/>
      <c r="Q351" s="32"/>
      <c r="R351" s="32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2"/>
      <c r="O352" s="32"/>
      <c r="P352" s="32"/>
      <c r="Q352" s="32"/>
      <c r="R352" s="32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2"/>
      <c r="O353" s="32"/>
      <c r="P353" s="32"/>
      <c r="Q353" s="32"/>
      <c r="R353" s="32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2"/>
      <c r="O354" s="32"/>
      <c r="P354" s="32"/>
      <c r="Q354" s="32"/>
      <c r="R354" s="32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2"/>
      <c r="O355" s="32"/>
      <c r="P355" s="32"/>
      <c r="Q355" s="32"/>
      <c r="R355" s="32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2"/>
      <c r="O356" s="32"/>
      <c r="P356" s="32"/>
      <c r="Q356" s="32"/>
      <c r="R356" s="32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2"/>
      <c r="O357" s="32"/>
      <c r="P357" s="32"/>
      <c r="Q357" s="32"/>
      <c r="R357" s="32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2"/>
      <c r="O358" s="32"/>
      <c r="P358" s="32"/>
      <c r="Q358" s="32"/>
      <c r="R358" s="32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2"/>
      <c r="O359" s="32"/>
      <c r="P359" s="32"/>
      <c r="Q359" s="32"/>
      <c r="R359" s="32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2"/>
      <c r="O360" s="32"/>
      <c r="P360" s="32"/>
      <c r="Q360" s="32"/>
      <c r="R360" s="32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2"/>
      <c r="O361" s="32"/>
      <c r="P361" s="32"/>
      <c r="Q361" s="32"/>
      <c r="R361" s="32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2"/>
      <c r="O362" s="32"/>
      <c r="P362" s="32"/>
      <c r="Q362" s="32"/>
      <c r="R362" s="32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2"/>
      <c r="O363" s="32"/>
      <c r="P363" s="32"/>
      <c r="Q363" s="32"/>
      <c r="R363" s="32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2"/>
      <c r="O364" s="32"/>
      <c r="P364" s="32"/>
      <c r="Q364" s="32"/>
      <c r="R364" s="32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2"/>
      <c r="O365" s="32"/>
      <c r="P365" s="32"/>
      <c r="Q365" s="32"/>
      <c r="R365" s="32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2"/>
      <c r="O366" s="32"/>
      <c r="P366" s="32"/>
      <c r="Q366" s="32"/>
      <c r="R366" s="32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2"/>
      <c r="O367" s="32"/>
      <c r="P367" s="32"/>
      <c r="Q367" s="32"/>
      <c r="R367" s="32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2"/>
      <c r="O368" s="32"/>
      <c r="P368" s="32"/>
      <c r="Q368" s="32"/>
      <c r="R368" s="32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2"/>
      <c r="O369" s="32"/>
      <c r="P369" s="32"/>
      <c r="Q369" s="32"/>
      <c r="R369" s="32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2"/>
      <c r="O370" s="32"/>
      <c r="P370" s="32"/>
      <c r="Q370" s="32"/>
      <c r="R370" s="32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2"/>
      <c r="O371" s="32"/>
      <c r="P371" s="32"/>
      <c r="Q371" s="32"/>
      <c r="R371" s="32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2"/>
      <c r="O372" s="32"/>
      <c r="P372" s="32"/>
      <c r="Q372" s="32"/>
      <c r="R372" s="32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2"/>
      <c r="O373" s="32"/>
      <c r="P373" s="32"/>
      <c r="Q373" s="32"/>
      <c r="R373" s="32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2"/>
      <c r="O374" s="32"/>
      <c r="P374" s="32"/>
      <c r="Q374" s="32"/>
      <c r="R374" s="32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2"/>
      <c r="O375" s="32"/>
      <c r="P375" s="32"/>
      <c r="Q375" s="32"/>
      <c r="R375" s="32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2"/>
      <c r="O376" s="32"/>
      <c r="P376" s="32"/>
      <c r="Q376" s="32"/>
      <c r="R376" s="32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2"/>
      <c r="O377" s="32"/>
      <c r="P377" s="32"/>
      <c r="Q377" s="32"/>
      <c r="R377" s="32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2"/>
      <c r="O378" s="32"/>
      <c r="P378" s="32"/>
      <c r="Q378" s="32"/>
      <c r="R378" s="32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2"/>
      <c r="O379" s="32"/>
      <c r="P379" s="32"/>
      <c r="Q379" s="32"/>
      <c r="R379" s="32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2"/>
      <c r="O380" s="32"/>
      <c r="P380" s="32"/>
      <c r="Q380" s="32"/>
      <c r="R380" s="32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2"/>
      <c r="O381" s="32"/>
      <c r="P381" s="32"/>
      <c r="Q381" s="32"/>
      <c r="R381" s="32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2"/>
      <c r="O382" s="32"/>
      <c r="P382" s="32"/>
      <c r="Q382" s="32"/>
      <c r="R382" s="32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2"/>
      <c r="O383" s="32"/>
      <c r="P383" s="32"/>
      <c r="Q383" s="32"/>
      <c r="R383" s="32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2"/>
      <c r="O384" s="32"/>
      <c r="P384" s="32"/>
      <c r="Q384" s="32"/>
      <c r="R384" s="32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2"/>
      <c r="O385" s="32"/>
      <c r="P385" s="32"/>
      <c r="Q385" s="32"/>
      <c r="R385" s="32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2"/>
      <c r="O386" s="32"/>
      <c r="P386" s="32"/>
      <c r="Q386" s="32"/>
      <c r="R386" s="32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2"/>
      <c r="O387" s="32"/>
      <c r="P387" s="32"/>
      <c r="Q387" s="32"/>
      <c r="R387" s="32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2"/>
      <c r="O388" s="32"/>
      <c r="P388" s="32"/>
      <c r="Q388" s="32"/>
      <c r="R388" s="32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2"/>
      <c r="O389" s="32"/>
      <c r="P389" s="32"/>
      <c r="Q389" s="32"/>
      <c r="R389" s="32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2"/>
      <c r="O390" s="32"/>
      <c r="P390" s="32"/>
      <c r="Q390" s="32"/>
      <c r="R390" s="32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2"/>
      <c r="O391" s="32"/>
      <c r="P391" s="32"/>
      <c r="Q391" s="32"/>
      <c r="R391" s="32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2"/>
      <c r="O392" s="32"/>
      <c r="P392" s="32"/>
      <c r="Q392" s="32"/>
      <c r="R392" s="32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2"/>
      <c r="O393" s="32"/>
      <c r="P393" s="32"/>
      <c r="Q393" s="32"/>
      <c r="R393" s="32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2"/>
      <c r="O394" s="32"/>
      <c r="P394" s="32"/>
      <c r="Q394" s="32"/>
      <c r="R394" s="32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2"/>
      <c r="O395" s="32"/>
      <c r="P395" s="32"/>
      <c r="Q395" s="32"/>
      <c r="R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1"/>
      <c r="M953" s="32"/>
      <c r="N953" s="32"/>
      <c r="O953" s="32"/>
      <c r="P953" s="32"/>
      <c r="Q953" s="32"/>
      <c r="R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</row>
  </sheetData>
  <mergeCells count="2">
    <mergeCell ref="B1:N1"/>
    <mergeCell ref="O1:Q1"/>
  </mergeCells>
  <dataValidations>
    <dataValidation type="list" allowBlank="1" showErrorMessage="1" sqref="M3:M966">
      <formula1>Dictionary!$AB$4:$AB$9</formula1>
    </dataValidation>
    <dataValidation type="list" allowBlank="1" sqref="B3:B966">
      <formula1>Dictionary!$A$4:$A$77</formula1>
    </dataValidation>
    <dataValidation type="list" allowBlank="1" showErrorMessage="1" sqref="F3:F966">
      <formula1>Dictionary!$S$4:$S$71</formula1>
    </dataValidation>
    <dataValidation type="list" allowBlank="1" showErrorMessage="1" sqref="N3:N966">
      <formula1>Dictionary!$BC$4:$BC$11</formula1>
    </dataValidation>
    <dataValidation type="list" allowBlank="1" sqref="D3:D966">
      <formula1>Dictionary!$P$4:$P$10</formula1>
    </dataValidation>
    <dataValidation type="list" allowBlank="1" showErrorMessage="1" sqref="L3:L966">
      <formula1>Dictionary!$Y$4:$Y$627</formula1>
    </dataValidation>
    <dataValidation type="list" allowBlank="1" showErrorMessage="1" sqref="C3:C966">
      <formula1>Dictionary!$AV$4:$AV$20</formula1>
    </dataValidation>
    <dataValidation type="list" allowBlank="1" sqref="E3:E966">
      <formula1>Dictionary!$G$4:$G$934</formula1>
    </dataValidation>
    <dataValidation type="list" allowBlank="1" sqref="G3:G966">
      <formula1>Dictionary!$V$4:$V$20</formula1>
    </dataValidation>
    <dataValidation type="list" allowBlank="1" sqref="I3:I78 I79:J79 I80 I81:J82 I83:I966">
      <formula1>Dictionary!$J$4:$J$12</formula1>
    </dataValidation>
    <dataValidation type="list" allowBlank="1" showErrorMessage="1" sqref="J3:J78 J80 J83:J966">
      <formula1>Dictionary!$M$4:$M$14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19.86"/>
    <col customWidth="1" min="2" max="2" width="18.0"/>
    <col customWidth="1" min="3" max="3" width="33.43"/>
    <col customWidth="1" min="4" max="4" width="21.43"/>
    <col customWidth="1" min="5" max="5" width="16.0"/>
    <col customWidth="1" min="6" max="6" width="22.71"/>
    <col customWidth="1" min="7" max="7" width="28.14"/>
    <col customWidth="1" min="8" max="8" width="33.0"/>
    <col customWidth="1" min="9" max="9" width="21.0"/>
    <col customWidth="1" min="10" max="10" width="23.86"/>
    <col customWidth="1" min="11" max="11" width="23.43"/>
    <col customWidth="1" min="12" max="12" width="31.29"/>
    <col customWidth="1" min="13" max="13" width="22.0"/>
    <col customWidth="1" min="14" max="14" width="22.29"/>
    <col customWidth="1" min="15" max="15" width="22.43"/>
    <col customWidth="1" min="18" max="18" width="164.14"/>
    <col customWidth="1" min="27" max="27" width="22.71"/>
  </cols>
  <sheetData>
    <row r="1" ht="15.75" customHeight="1">
      <c r="A1" s="24"/>
      <c r="B1" s="25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26" t="s">
        <v>29</v>
      </c>
      <c r="P1" s="3"/>
      <c r="Q1" s="4"/>
    </row>
    <row r="2" ht="15.75" customHeight="1">
      <c r="A2" s="49" t="s">
        <v>3</v>
      </c>
      <c r="B2" s="27" t="s">
        <v>4</v>
      </c>
      <c r="C2" s="27" t="s">
        <v>30</v>
      </c>
      <c r="D2" s="27" t="s">
        <v>31</v>
      </c>
      <c r="E2" s="8" t="s">
        <v>32</v>
      </c>
      <c r="F2" s="8" t="s">
        <v>33</v>
      </c>
      <c r="G2" s="8" t="s">
        <v>34</v>
      </c>
      <c r="H2" s="8" t="s">
        <v>35</v>
      </c>
      <c r="I2" s="28" t="s">
        <v>36</v>
      </c>
      <c r="J2" s="28" t="s">
        <v>37</v>
      </c>
      <c r="K2" s="28" t="s">
        <v>38</v>
      </c>
      <c r="L2" s="8" t="s">
        <v>39</v>
      </c>
      <c r="M2" s="8" t="s">
        <v>40</v>
      </c>
      <c r="N2" s="8" t="s">
        <v>41</v>
      </c>
      <c r="O2" s="29" t="s">
        <v>12</v>
      </c>
      <c r="P2" s="29" t="s">
        <v>13</v>
      </c>
      <c r="Q2" s="29" t="s">
        <v>14</v>
      </c>
    </row>
    <row r="3" ht="15.75" customHeight="1">
      <c r="A3" s="50"/>
      <c r="B3" s="51" t="s">
        <v>15</v>
      </c>
      <c r="C3" s="51" t="s">
        <v>61</v>
      </c>
      <c r="D3" s="51" t="s">
        <v>68</v>
      </c>
      <c r="E3" s="51" t="s">
        <v>69</v>
      </c>
      <c r="F3" s="51" t="s">
        <v>70</v>
      </c>
      <c r="G3" s="51" t="s">
        <v>71</v>
      </c>
      <c r="H3" s="51" t="s">
        <v>72</v>
      </c>
      <c r="I3" s="51" t="s">
        <v>17</v>
      </c>
      <c r="J3" s="51" t="s">
        <v>17</v>
      </c>
      <c r="K3" s="50"/>
      <c r="L3" s="51" t="s">
        <v>73</v>
      </c>
      <c r="M3" s="52" t="s">
        <v>59</v>
      </c>
      <c r="N3" s="52" t="s">
        <v>74</v>
      </c>
      <c r="O3" s="53"/>
      <c r="P3" s="53"/>
      <c r="Q3" s="32"/>
      <c r="R3" s="33" t="str">
        <f>IF(K3="----","#N/A",CONCATENATE("MK|",(VLOOKUP(B3,Dictionary!$A:$B,2,0)),"_CH|",(VLOOKUP(C3,Dictionary!$AV:$AW,2,0)),"_DT|",(VLOOKUP(D3,Dictionary!$P:$Q,2,0)),"_PB|",(VLOOKUP(E3,Dictionary!$G:$H,2,0)),"_FM|",(VLOOKUP(F3,Dictionary!$S:$T,2,0)),"_RT|",(VLOOKUP(G3,Dictionary!$V:$W,2,0)),"_PD|",SUBSTITUTE(SUBSTITUTE(IF(H3="","NONE",H3),"_","-"),"|","-"),"_TG|",(VLOOKUP(I3,Dictionary!$J:$K,2,0)),"_ST|",(VLOOKUP(J3,Dictionary!$M:$N,2,0)),"_TS|",SUBSTITUTE(SUBSTITUTE(IF(K3="","NONE",K3),"_","-"),"|","-"),"_SZ|",(VLOOKUP(L3,Dictionary!$Y:$Z,1,0)),"_AD|",(VLOOKUP(M3,Dictionary!$AB:$AC,2,0)),"_IT|",(VLOOKUP(N3,Dictionary!$BC:$BD,2,0)),IF(O3="","",CONCATENATE("_U1|",SUBSTITUTE(SUBSTITUTE(O3,"_","-"),"|","-"))),IF(P3="","",CONCATENATE("_U2|",SUBSTITUTE(SUBSTITUTE(P3,"_","-"),"|","-"))),IF(Q3="","",CONCATENATE("_U3|",SUBSTITUTE(SUBSTITUTE(Q3,"_","-"),"|","-")))))</f>
        <v>MK|BR_CH|PD_DT|MWIA_PB|VER_FM|NAT_RT|CPM_PD|DOTZ-10MIL_TG|NON_ST|NON_TS|NONE_SZ|627x627_AD|CM1_IT|OO</v>
      </c>
    </row>
    <row r="4" ht="15.75" customHeight="1">
      <c r="A4" s="50"/>
      <c r="B4" s="51" t="s">
        <v>15</v>
      </c>
      <c r="C4" s="51" t="s">
        <v>61</v>
      </c>
      <c r="D4" s="51" t="s">
        <v>43</v>
      </c>
      <c r="E4" s="51" t="s">
        <v>69</v>
      </c>
      <c r="F4" s="51" t="s">
        <v>70</v>
      </c>
      <c r="G4" s="51" t="s">
        <v>71</v>
      </c>
      <c r="H4" s="51" t="s">
        <v>75</v>
      </c>
      <c r="I4" s="51" t="s">
        <v>17</v>
      </c>
      <c r="J4" s="51" t="s">
        <v>17</v>
      </c>
      <c r="K4" s="50"/>
      <c r="L4" s="51" t="s">
        <v>73</v>
      </c>
      <c r="M4" s="52" t="s">
        <v>59</v>
      </c>
      <c r="N4" s="52" t="s">
        <v>74</v>
      </c>
      <c r="O4" s="53"/>
      <c r="P4" s="53"/>
      <c r="Q4" s="32"/>
      <c r="R4" s="33" t="str">
        <f>IF(K4="----","#N/A",CONCATENATE("MK|",(VLOOKUP(B4,Dictionary!$A:$B,2,0)),"_CH|",(VLOOKUP(C4,Dictionary!$AV:$AW,2,0)),"_DT|",(VLOOKUP(D4,Dictionary!$P:$Q,2,0)),"_PB|",(VLOOKUP(E4,Dictionary!$G:$H,2,0)),"_FM|",(VLOOKUP(F4,Dictionary!$S:$T,2,0)),"_RT|",(VLOOKUP(G4,Dictionary!$V:$W,2,0)),"_PD|",SUBSTITUTE(SUBSTITUTE(IF(H4="","NONE",H4),"_","-"),"|","-"),"_TG|",(VLOOKUP(I4,Dictionary!$J:$K,2,0)),"_ST|",(VLOOKUP(J4,Dictionary!$M:$N,2,0)),"_TS|",SUBSTITUTE(SUBSTITUTE(IF(K4="","NONE",K4),"_","-"),"|","-"),"_SZ|",(VLOOKUP(L4,Dictionary!$Y:$Z,1,0)),"_AD|",(VLOOKUP(M4,Dictionary!$AB:$AC,2,0)),"_IT|",(VLOOKUP(N4,Dictionary!$BC:$BD,2,0)),IF(O4="","",CONCATENATE("_U1|",SUBSTITUTE(SUBSTITUTE(O4,"_","-"),"|","-"))),IF(P4="","",CONCATENATE("_U2|",SUBSTITUTE(SUBSTITUTE(P4,"_","-"),"|","-"))),IF(Q4="","",CONCATENATE("_U3|",SUBSTITUTE(SUBSTITUTE(Q4,"_","-"),"|","-")))))</f>
        <v>MK|BR_CH|PD_DT|CROSS_PB|VER_FM|NAT_RT|CPM_PD|DOTZ-TAXA-ZERO_TG|NON_ST|NON_TS|NONE_SZ|627x627_AD|CM1_IT|OO</v>
      </c>
    </row>
    <row r="5" ht="15.75" customHeight="1">
      <c r="A5" s="51"/>
      <c r="B5" s="51" t="s">
        <v>15</v>
      </c>
      <c r="C5" s="51" t="s">
        <v>51</v>
      </c>
      <c r="D5" s="51" t="s">
        <v>43</v>
      </c>
      <c r="E5" s="51" t="s">
        <v>52</v>
      </c>
      <c r="F5" s="51" t="s">
        <v>76</v>
      </c>
      <c r="G5" s="51" t="s">
        <v>71</v>
      </c>
      <c r="H5" s="51" t="s">
        <v>77</v>
      </c>
      <c r="I5" s="51" t="s">
        <v>17</v>
      </c>
      <c r="J5" s="51" t="s">
        <v>17</v>
      </c>
      <c r="K5" s="50"/>
      <c r="L5" s="51" t="s">
        <v>58</v>
      </c>
      <c r="M5" s="52" t="s">
        <v>59</v>
      </c>
      <c r="N5" s="52" t="s">
        <v>60</v>
      </c>
      <c r="O5" s="54"/>
      <c r="P5" s="53"/>
      <c r="Q5" s="32"/>
      <c r="R5" s="33" t="str">
        <f>IF(K5="----","#N/A",CONCATENATE("MK|",(VLOOKUP(B5,Dictionary!$A:$B,2,0)),"_CH|",(VLOOKUP(C5,Dictionary!$AV:$AW,2,0)),"_DT|",(VLOOKUP(D5,Dictionary!$P:$Q,2,0)),"_PB|",(VLOOKUP(E5,Dictionary!$G:$H,2,0)),"_FM|",(VLOOKUP(F5,Dictionary!$S:$T,2,0)),"_RT|",(VLOOKUP(G5,Dictionary!$V:$W,2,0)),"_PD|",SUBSTITUTE(SUBSTITUTE(IF(H5="","NONE",H5),"_","-"),"|","-"),"_TG|",(VLOOKUP(I5,Dictionary!$J:$K,2,0)),"_ST|",(VLOOKUP(J5,Dictionary!$M:$N,2,0)),"_TS|",SUBSTITUTE(SUBSTITUTE(IF(K5="","NONE",K5),"_","-"),"|","-"),"_SZ|",(VLOOKUP(L5,Dictionary!$Y:$Z,1,0)),"_AD|",(VLOOKUP(M5,Dictionary!$AB:$AC,2,0)),"_IT|",(VLOOKUP(N5,Dictionary!$BC:$BD,2,0)),IF(O5="","",CONCATENATE("_U1|",SUBSTITUTE(SUBSTITUTE(O5,"_","-"),"|","-"))),IF(P5="","",CONCATENATE("_U2|",SUBSTITUTE(SUBSTITUTE(P5,"_","-"),"|","-"))),IF(Q5="","",CONCATENATE("_U3|",SUBSTITUTE(SUBSTITUTE(Q5,"_","-"),"|","-")))))</f>
        <v>MK|BR_CH|PSD_DT|CROSS_PB|FCBK_FM|LNK_RT|CPM_PD|DOTZ-10MIL-AZUL_TG|NON_ST|NON_TS|NONE_SZ|1X1_AD|CM1_IT|SOC</v>
      </c>
    </row>
    <row r="6" ht="15.75" customHeight="1">
      <c r="A6" s="51"/>
      <c r="B6" s="51" t="s">
        <v>15</v>
      </c>
      <c r="C6" s="51" t="s">
        <v>51</v>
      </c>
      <c r="D6" s="51" t="s">
        <v>43</v>
      </c>
      <c r="E6" s="51" t="s">
        <v>52</v>
      </c>
      <c r="F6" s="51" t="s">
        <v>76</v>
      </c>
      <c r="G6" s="51" t="s">
        <v>71</v>
      </c>
      <c r="H6" s="51" t="s">
        <v>78</v>
      </c>
      <c r="I6" s="51" t="s">
        <v>17</v>
      </c>
      <c r="J6" s="51" t="s">
        <v>17</v>
      </c>
      <c r="K6" s="50"/>
      <c r="L6" s="51" t="s">
        <v>58</v>
      </c>
      <c r="M6" s="52" t="s">
        <v>59</v>
      </c>
      <c r="N6" s="52" t="s">
        <v>60</v>
      </c>
      <c r="O6" s="54"/>
      <c r="P6" s="53"/>
      <c r="Q6" s="32"/>
      <c r="R6" s="33" t="str">
        <f>IF(K6="----","#N/A",CONCATENATE("MK|",(VLOOKUP(B6,Dictionary!$A:$B,2,0)),"_CH|",(VLOOKUP(C6,Dictionary!$AV:$AW,2,0)),"_DT|",(VLOOKUP(D6,Dictionary!$P:$Q,2,0)),"_PB|",(VLOOKUP(E6,Dictionary!$G:$H,2,0)),"_FM|",(VLOOKUP(F6,Dictionary!$S:$T,2,0)),"_RT|",(VLOOKUP(G6,Dictionary!$V:$W,2,0)),"_PD|",SUBSTITUTE(SUBSTITUTE(IF(H6="","NONE",H6),"_","-"),"|","-"),"_TG|",(VLOOKUP(I6,Dictionary!$J:$K,2,0)),"_ST|",(VLOOKUP(J6,Dictionary!$M:$N,2,0)),"_TS|",SUBSTITUTE(SUBSTITUTE(IF(K6="","NONE",K6),"_","-"),"|","-"),"_SZ|",(VLOOKUP(L6,Dictionary!$Y:$Z,1,0)),"_AD|",(VLOOKUP(M6,Dictionary!$AB:$AC,2,0)),"_IT|",(VLOOKUP(N6,Dictionary!$BC:$BD,2,0)),IF(O6="","",CONCATENATE("_U1|",SUBSTITUTE(SUBSTITUTE(O6,"_","-"),"|","-"))),IF(P6="","",CONCATENATE("_U2|",SUBSTITUTE(SUBSTITUTE(P6,"_","-"),"|","-"))),IF(Q6="","",CONCATENATE("_U3|",SUBSTITUTE(SUBSTITUTE(Q6,"_","-"),"|","-")))))</f>
        <v>MK|BR_CH|PSD_DT|CROSS_PB|FCBK_FM|LNK_RT|CPM_PD|DOTZ-10MIL-AZUL-QUAD_TG|NON_ST|NON_TS|NONE_SZ|1X1_AD|CM1_IT|SOC</v>
      </c>
    </row>
    <row r="7" ht="15.75" customHeight="1">
      <c r="A7" s="51"/>
      <c r="B7" s="51" t="s">
        <v>15</v>
      </c>
      <c r="C7" s="51" t="s">
        <v>51</v>
      </c>
      <c r="D7" s="51" t="s">
        <v>43</v>
      </c>
      <c r="E7" s="51" t="s">
        <v>52</v>
      </c>
      <c r="F7" s="51" t="s">
        <v>79</v>
      </c>
      <c r="G7" s="51" t="s">
        <v>71</v>
      </c>
      <c r="H7" s="51" t="s">
        <v>77</v>
      </c>
      <c r="I7" s="51" t="s">
        <v>17</v>
      </c>
      <c r="J7" s="51" t="s">
        <v>17</v>
      </c>
      <c r="K7" s="50"/>
      <c r="L7" s="51" t="s">
        <v>58</v>
      </c>
      <c r="M7" s="52" t="s">
        <v>59</v>
      </c>
      <c r="N7" s="52" t="s">
        <v>60</v>
      </c>
      <c r="O7" s="54"/>
      <c r="P7" s="53"/>
      <c r="Q7" s="32"/>
      <c r="R7" s="33" t="str">
        <f>IF(K7="----","#N/A",CONCATENATE("MK|",(VLOOKUP(B7,Dictionary!$A:$B,2,0)),"_CH|",(VLOOKUP(C7,Dictionary!$AV:$AW,2,0)),"_DT|",(VLOOKUP(D7,Dictionary!$P:$Q,2,0)),"_PB|",(VLOOKUP(E7,Dictionary!$G:$H,2,0)),"_FM|",(VLOOKUP(F7,Dictionary!$S:$T,2,0)),"_RT|",(VLOOKUP(G7,Dictionary!$V:$W,2,0)),"_PD|",SUBSTITUTE(SUBSTITUTE(IF(H7="","NONE",H7),"_","-"),"|","-"),"_TG|",(VLOOKUP(I7,Dictionary!$J:$K,2,0)),"_ST|",(VLOOKUP(J7,Dictionary!$M:$N,2,0)),"_TS|",SUBSTITUTE(SUBSTITUTE(IF(K7="","NONE",K7),"_","-"),"|","-"),"_SZ|",(VLOOKUP(L7,Dictionary!$Y:$Z,1,0)),"_AD|",(VLOOKUP(M7,Dictionary!$AB:$AC,2,0)),"_IT|",(VLOOKUP(N7,Dictionary!$BC:$BD,2,0)),IF(O7="","",CONCATENATE("_U1|",SUBSTITUTE(SUBSTITUTE(O7,"_","-"),"|","-"))),IF(P7="","",CONCATENATE("_U2|",SUBSTITUTE(SUBSTITUTE(P7,"_","-"),"|","-"))),IF(Q7="","",CONCATENATE("_U3|",SUBSTITUTE(SUBSTITUTE(Q7,"_","-"),"|","-")))))</f>
        <v>MK|BR_CH|PSD_DT|CROSS_PB|FCBK_FM|GIF_RT|CPM_PD|DOTZ-10MIL-AZUL_TG|NON_ST|NON_TS|NONE_SZ|1X1_AD|CM1_IT|SOC</v>
      </c>
    </row>
    <row r="8" ht="15.75" customHeight="1">
      <c r="A8" s="51"/>
      <c r="B8" s="51" t="s">
        <v>15</v>
      </c>
      <c r="C8" s="51" t="s">
        <v>51</v>
      </c>
      <c r="D8" s="51" t="s">
        <v>43</v>
      </c>
      <c r="E8" s="51" t="s">
        <v>52</v>
      </c>
      <c r="F8" s="51" t="s">
        <v>80</v>
      </c>
      <c r="G8" s="51" t="s">
        <v>71</v>
      </c>
      <c r="H8" s="51" t="s">
        <v>77</v>
      </c>
      <c r="I8" s="51" t="s">
        <v>17</v>
      </c>
      <c r="J8" s="51" t="s">
        <v>17</v>
      </c>
      <c r="K8" s="50"/>
      <c r="L8" s="51" t="s">
        <v>58</v>
      </c>
      <c r="M8" s="52" t="s">
        <v>59</v>
      </c>
      <c r="N8" s="52" t="s">
        <v>60</v>
      </c>
      <c r="O8" s="54"/>
      <c r="P8" s="53"/>
      <c r="Q8" s="32"/>
      <c r="R8" s="33" t="str">
        <f>IF(K8="----","#N/A",CONCATENATE("MK|",(VLOOKUP(B8,Dictionary!$A:$B,2,0)),"_CH|",(VLOOKUP(C8,Dictionary!$AV:$AW,2,0)),"_DT|",(VLOOKUP(D8,Dictionary!$P:$Q,2,0)),"_PB|",(VLOOKUP(E8,Dictionary!$G:$H,2,0)),"_FM|",(VLOOKUP(F8,Dictionary!$S:$T,2,0)),"_RT|",(VLOOKUP(G8,Dictionary!$V:$W,2,0)),"_PD|",SUBSTITUTE(SUBSTITUTE(IF(H8="","NONE",H8),"_","-"),"|","-"),"_TG|",(VLOOKUP(I8,Dictionary!$J:$K,2,0)),"_ST|",(VLOOKUP(J8,Dictionary!$M:$N,2,0)),"_TS|",SUBSTITUTE(SUBSTITUTE(IF(K8="","NONE",K8),"_","-"),"|","-"),"_SZ|",(VLOOKUP(L8,Dictionary!$Y:$Z,1,0)),"_AD|",(VLOOKUP(M8,Dictionary!$AB:$AC,2,0)),"_IT|",(VLOOKUP(N8,Dictionary!$BC:$BD,2,0)),IF(O8="","",CONCATENATE("_U1|",SUBSTITUTE(SUBSTITUTE(O8,"_","-"),"|","-"))),IF(P8="","",CONCATENATE("_U2|",SUBSTITUTE(SUBSTITUTE(P8,"_","-"),"|","-"))),IF(Q8="","",CONCATENATE("_U3|",SUBSTITUTE(SUBSTITUTE(Q8,"_","-"),"|","-")))))</f>
        <v>MK|BR_CH|PSD_DT|CROSS_PB|FCBK_FM|CAR_RT|CPM_PD|DOTZ-10MIL-AZUL_TG|NON_ST|NON_TS|NONE_SZ|1X1_AD|CM1_IT|SOC</v>
      </c>
    </row>
    <row r="9" ht="15.75" customHeight="1">
      <c r="A9" s="51"/>
      <c r="B9" s="51" t="s">
        <v>15</v>
      </c>
      <c r="C9" s="51" t="s">
        <v>51</v>
      </c>
      <c r="D9" s="51" t="s">
        <v>43</v>
      </c>
      <c r="E9" s="51" t="s">
        <v>52</v>
      </c>
      <c r="F9" s="51" t="s">
        <v>81</v>
      </c>
      <c r="G9" s="51" t="s">
        <v>71</v>
      </c>
      <c r="H9" s="51" t="s">
        <v>82</v>
      </c>
      <c r="I9" s="51" t="s">
        <v>17</v>
      </c>
      <c r="J9" s="51" t="s">
        <v>17</v>
      </c>
      <c r="K9" s="50"/>
      <c r="L9" s="51" t="s">
        <v>58</v>
      </c>
      <c r="M9" s="52" t="s">
        <v>59</v>
      </c>
      <c r="N9" s="52" t="s">
        <v>60</v>
      </c>
      <c r="O9" s="54"/>
      <c r="P9" s="53"/>
      <c r="Q9" s="32"/>
      <c r="R9" s="33" t="str">
        <f>IF(K9="----","#N/A",CONCATENATE("MK|",(VLOOKUP(B9,Dictionary!$A:$B,2,0)),"_CH|",(VLOOKUP(C9,Dictionary!$AV:$AW,2,0)),"_DT|",(VLOOKUP(D9,Dictionary!$P:$Q,2,0)),"_PB|",(VLOOKUP(E9,Dictionary!$G:$H,2,0)),"_FM|",(VLOOKUP(F9,Dictionary!$S:$T,2,0)),"_RT|",(VLOOKUP(G9,Dictionary!$V:$W,2,0)),"_PD|",SUBSTITUTE(SUBSTITUTE(IF(H9="","NONE",H9),"_","-"),"|","-"),"_TG|",(VLOOKUP(I9,Dictionary!$J:$K,2,0)),"_ST|",(VLOOKUP(J9,Dictionary!$M:$N,2,0)),"_TS|",SUBSTITUTE(SUBSTITUTE(IF(K9="","NONE",K9),"_","-"),"|","-"),"_SZ|",(VLOOKUP(L9,Dictionary!$Y:$Z,1,0)),"_AD|",(VLOOKUP(M9,Dictionary!$AB:$AC,2,0)),"_IT|",(VLOOKUP(N9,Dictionary!$BC:$BD,2,0)),IF(O9="","",CONCATENATE("_U1|",SUBSTITUTE(SUBSTITUTE(O9,"_","-"),"|","-"))),IF(P9="","",CONCATENATE("_U2|",SUBSTITUTE(SUBSTITUTE(P9,"_","-"),"|","-"))),IF(Q9="","",CONCATENATE("_U3|",SUBSTITUTE(SUBSTITUTE(Q9,"_","-"),"|","-")))))</f>
        <v>MK|BR_CH|PSD_DT|CROSS_PB|FCBK_FM|STRY_RT|CPM_PD|DOTZ-10MIL-AZUL-CAR_TG|NON_ST|NON_TS|NONE_SZ|1X1_AD|CM1_IT|SOC</v>
      </c>
    </row>
    <row r="10" ht="15.75" customHeight="1">
      <c r="A10" s="51"/>
      <c r="B10" s="51" t="s">
        <v>15</v>
      </c>
      <c r="C10" s="51" t="s">
        <v>51</v>
      </c>
      <c r="D10" s="51" t="s">
        <v>43</v>
      </c>
      <c r="E10" s="51" t="s">
        <v>52</v>
      </c>
      <c r="F10" s="51" t="s">
        <v>76</v>
      </c>
      <c r="G10" s="51" t="s">
        <v>71</v>
      </c>
      <c r="H10" s="51" t="s">
        <v>83</v>
      </c>
      <c r="I10" s="51" t="s">
        <v>17</v>
      </c>
      <c r="J10" s="51" t="s">
        <v>17</v>
      </c>
      <c r="K10" s="50"/>
      <c r="L10" s="51" t="s">
        <v>58</v>
      </c>
      <c r="M10" s="52" t="s">
        <v>59</v>
      </c>
      <c r="N10" s="52" t="s">
        <v>60</v>
      </c>
      <c r="O10" s="54"/>
      <c r="P10" s="53"/>
      <c r="Q10" s="32"/>
      <c r="R10" s="33" t="str">
        <f>IF(K10="----","#N/A",CONCATENATE("MK|",(VLOOKUP(B10,Dictionary!$A:$B,2,0)),"_CH|",(VLOOKUP(C10,Dictionary!$AV:$AW,2,0)),"_DT|",(VLOOKUP(D10,Dictionary!$P:$Q,2,0)),"_PB|",(VLOOKUP(E10,Dictionary!$G:$H,2,0)),"_FM|",(VLOOKUP(F10,Dictionary!$S:$T,2,0)),"_RT|",(VLOOKUP(G10,Dictionary!$V:$W,2,0)),"_PD|",SUBSTITUTE(SUBSTITUTE(IF(H10="","NONE",H10),"_","-"),"|","-"),"_TG|",(VLOOKUP(I10,Dictionary!$J:$K,2,0)),"_ST|",(VLOOKUP(J10,Dictionary!$M:$N,2,0)),"_TS|",SUBSTITUTE(SUBSTITUTE(IF(K10="","NONE",K10),"_","-"),"|","-"),"_SZ|",(VLOOKUP(L10,Dictionary!$Y:$Z,1,0)),"_AD|",(VLOOKUP(M10,Dictionary!$AB:$AC,2,0)),"_IT|",(VLOOKUP(N10,Dictionary!$BC:$BD,2,0)),IF(O10="","",CONCATENATE("_U1|",SUBSTITUTE(SUBSTITUTE(O10,"_","-"),"|","-"))),IF(P10="","",CONCATENATE("_U2|",SUBSTITUTE(SUBSTITUTE(P10,"_","-"),"|","-"))),IF(Q10="","",CONCATENATE("_U3|",SUBSTITUTE(SUBSTITUTE(Q10,"_","-"),"|","-")))))</f>
        <v>MK|BR_CH|PSD_DT|CROSS_PB|FCBK_FM|LNK_RT|CPM_PD|DOTZ-ZERO-ANUIDADE-AZUL_TG|NON_ST|NON_TS|NONE_SZ|1X1_AD|CM1_IT|SOC</v>
      </c>
    </row>
    <row r="11" ht="15.75" customHeight="1">
      <c r="A11" s="51"/>
      <c r="B11" s="51" t="s">
        <v>15</v>
      </c>
      <c r="C11" s="51" t="s">
        <v>51</v>
      </c>
      <c r="D11" s="51" t="s">
        <v>43</v>
      </c>
      <c r="E11" s="51" t="s">
        <v>52</v>
      </c>
      <c r="F11" s="51" t="s">
        <v>76</v>
      </c>
      <c r="G11" s="51" t="s">
        <v>71</v>
      </c>
      <c r="H11" s="51" t="s">
        <v>84</v>
      </c>
      <c r="I11" s="51" t="s">
        <v>17</v>
      </c>
      <c r="J11" s="51" t="s">
        <v>17</v>
      </c>
      <c r="K11" s="50"/>
      <c r="L11" s="51" t="s">
        <v>58</v>
      </c>
      <c r="M11" s="52" t="s">
        <v>59</v>
      </c>
      <c r="N11" s="52" t="s">
        <v>60</v>
      </c>
      <c r="O11" s="54"/>
      <c r="P11" s="53"/>
      <c r="Q11" s="32"/>
      <c r="R11" s="33" t="str">
        <f>IF(K11="----","#N/A",CONCATENATE("MK|",(VLOOKUP(B11,Dictionary!$A:$B,2,0)),"_CH|",(VLOOKUP(C11,Dictionary!$AV:$AW,2,0)),"_DT|",(VLOOKUP(D11,Dictionary!$P:$Q,2,0)),"_PB|",(VLOOKUP(E11,Dictionary!$G:$H,2,0)),"_FM|",(VLOOKUP(F11,Dictionary!$S:$T,2,0)),"_RT|",(VLOOKUP(G11,Dictionary!$V:$W,2,0)),"_PD|",SUBSTITUTE(SUBSTITUTE(IF(H11="","NONE",H11),"_","-"),"|","-"),"_TG|",(VLOOKUP(I11,Dictionary!$J:$K,2,0)),"_ST|",(VLOOKUP(J11,Dictionary!$M:$N,2,0)),"_TS|",SUBSTITUTE(SUBSTITUTE(IF(K11="","NONE",K11),"_","-"),"|","-"),"_SZ|",(VLOOKUP(L11,Dictionary!$Y:$Z,1,0)),"_AD|",(VLOOKUP(M11,Dictionary!$AB:$AC,2,0)),"_IT|",(VLOOKUP(N11,Dictionary!$BC:$BD,2,0)),IF(O11="","",CONCATENATE("_U1|",SUBSTITUTE(SUBSTITUTE(O11,"_","-"),"|","-"))),IF(P11="","",CONCATENATE("_U2|",SUBSTITUTE(SUBSTITUTE(P11,"_","-"),"|","-"))),IF(Q11="","",CONCATENATE("_U3|",SUBSTITUTE(SUBSTITUTE(Q11,"_","-"),"|","-")))))</f>
        <v>MK|BR_CH|PSD_DT|CROSS_PB|FCBK_FM|LNK_RT|CPM_PD|DOTZ-ZERO-ANUIDADE-AZUL-QUAD_TG|NON_ST|NON_TS|NONE_SZ|1X1_AD|CM1_IT|SOC</v>
      </c>
    </row>
    <row r="12" ht="15.75" customHeight="1">
      <c r="A12" s="51"/>
      <c r="B12" s="51" t="s">
        <v>15</v>
      </c>
      <c r="C12" s="51" t="s">
        <v>51</v>
      </c>
      <c r="D12" s="51" t="s">
        <v>43</v>
      </c>
      <c r="E12" s="51" t="s">
        <v>52</v>
      </c>
      <c r="F12" s="51" t="s">
        <v>79</v>
      </c>
      <c r="G12" s="51" t="s">
        <v>71</v>
      </c>
      <c r="H12" s="51" t="s">
        <v>83</v>
      </c>
      <c r="I12" s="51" t="s">
        <v>17</v>
      </c>
      <c r="J12" s="51" t="s">
        <v>17</v>
      </c>
      <c r="K12" s="50"/>
      <c r="L12" s="51" t="s">
        <v>58</v>
      </c>
      <c r="M12" s="52" t="s">
        <v>59</v>
      </c>
      <c r="N12" s="52" t="s">
        <v>60</v>
      </c>
      <c r="O12" s="54"/>
      <c r="P12" s="53"/>
      <c r="Q12" s="32"/>
      <c r="R12" s="33" t="str">
        <f>IF(K12="----","#N/A",CONCATENATE("MK|",(VLOOKUP(B12,Dictionary!$A:$B,2,0)),"_CH|",(VLOOKUP(C12,Dictionary!$AV:$AW,2,0)),"_DT|",(VLOOKUP(D12,Dictionary!$P:$Q,2,0)),"_PB|",(VLOOKUP(E12,Dictionary!$G:$H,2,0)),"_FM|",(VLOOKUP(F12,Dictionary!$S:$T,2,0)),"_RT|",(VLOOKUP(G12,Dictionary!$V:$W,2,0)),"_PD|",SUBSTITUTE(SUBSTITUTE(IF(H12="","NONE",H12),"_","-"),"|","-"),"_TG|",(VLOOKUP(I12,Dictionary!$J:$K,2,0)),"_ST|",(VLOOKUP(J12,Dictionary!$M:$N,2,0)),"_TS|",SUBSTITUTE(SUBSTITUTE(IF(K12="","NONE",K12),"_","-"),"|","-"),"_SZ|",(VLOOKUP(L12,Dictionary!$Y:$Z,1,0)),"_AD|",(VLOOKUP(M12,Dictionary!$AB:$AC,2,0)),"_IT|",(VLOOKUP(N12,Dictionary!$BC:$BD,2,0)),IF(O12="","",CONCATENATE("_U1|",SUBSTITUTE(SUBSTITUTE(O12,"_","-"),"|","-"))),IF(P12="","",CONCATENATE("_U2|",SUBSTITUTE(SUBSTITUTE(P12,"_","-"),"|","-"))),IF(Q12="","",CONCATENATE("_U3|",SUBSTITUTE(SUBSTITUTE(Q12,"_","-"),"|","-")))))</f>
        <v>MK|BR_CH|PSD_DT|CROSS_PB|FCBK_FM|GIF_RT|CPM_PD|DOTZ-ZERO-ANUIDADE-AZUL_TG|NON_ST|NON_TS|NONE_SZ|1X1_AD|CM1_IT|SOC</v>
      </c>
    </row>
    <row r="13" ht="15.75" customHeight="1">
      <c r="A13" s="51"/>
      <c r="B13" s="51" t="s">
        <v>15</v>
      </c>
      <c r="C13" s="51" t="s">
        <v>51</v>
      </c>
      <c r="D13" s="51" t="s">
        <v>43</v>
      </c>
      <c r="E13" s="51" t="s">
        <v>52</v>
      </c>
      <c r="F13" s="51" t="s">
        <v>80</v>
      </c>
      <c r="G13" s="51" t="s">
        <v>71</v>
      </c>
      <c r="H13" s="51" t="s">
        <v>83</v>
      </c>
      <c r="I13" s="51" t="s">
        <v>17</v>
      </c>
      <c r="J13" s="51" t="s">
        <v>17</v>
      </c>
      <c r="K13" s="50"/>
      <c r="L13" s="51" t="s">
        <v>58</v>
      </c>
      <c r="M13" s="52" t="s">
        <v>59</v>
      </c>
      <c r="N13" s="52" t="s">
        <v>60</v>
      </c>
      <c r="O13" s="54"/>
      <c r="P13" s="53"/>
      <c r="Q13" s="32"/>
      <c r="R13" s="33" t="str">
        <f>IF(K13="----","#N/A",CONCATENATE("MK|",(VLOOKUP(B13,Dictionary!$A:$B,2,0)),"_CH|",(VLOOKUP(C13,Dictionary!$AV:$AW,2,0)),"_DT|",(VLOOKUP(D13,Dictionary!$P:$Q,2,0)),"_PB|",(VLOOKUP(E13,Dictionary!$G:$H,2,0)),"_FM|",(VLOOKUP(F13,Dictionary!$S:$T,2,0)),"_RT|",(VLOOKUP(G13,Dictionary!$V:$W,2,0)),"_PD|",SUBSTITUTE(SUBSTITUTE(IF(H13="","NONE",H13),"_","-"),"|","-"),"_TG|",(VLOOKUP(I13,Dictionary!$J:$K,2,0)),"_ST|",(VLOOKUP(J13,Dictionary!$M:$N,2,0)),"_TS|",SUBSTITUTE(SUBSTITUTE(IF(K13="","NONE",K13),"_","-"),"|","-"),"_SZ|",(VLOOKUP(L13,Dictionary!$Y:$Z,1,0)),"_AD|",(VLOOKUP(M13,Dictionary!$AB:$AC,2,0)),"_IT|",(VLOOKUP(N13,Dictionary!$BC:$BD,2,0)),IF(O13="","",CONCATENATE("_U1|",SUBSTITUTE(SUBSTITUTE(O13,"_","-"),"|","-"))),IF(P13="","",CONCATENATE("_U2|",SUBSTITUTE(SUBSTITUTE(P13,"_","-"),"|","-"))),IF(Q13="","",CONCATENATE("_U3|",SUBSTITUTE(SUBSTITUTE(Q13,"_","-"),"|","-")))))</f>
        <v>MK|BR_CH|PSD_DT|CROSS_PB|FCBK_FM|CAR_RT|CPM_PD|DOTZ-ZERO-ANUIDADE-AZUL_TG|NON_ST|NON_TS|NONE_SZ|1X1_AD|CM1_IT|SOC</v>
      </c>
    </row>
    <row r="14" ht="15.75" customHeight="1">
      <c r="A14" s="51"/>
      <c r="B14" s="51" t="s">
        <v>15</v>
      </c>
      <c r="C14" s="51" t="s">
        <v>51</v>
      </c>
      <c r="D14" s="51" t="s">
        <v>43</v>
      </c>
      <c r="E14" s="51" t="s">
        <v>52</v>
      </c>
      <c r="F14" s="51" t="s">
        <v>81</v>
      </c>
      <c r="G14" s="51" t="s">
        <v>71</v>
      </c>
      <c r="H14" s="51" t="s">
        <v>85</v>
      </c>
      <c r="I14" s="51" t="s">
        <v>17</v>
      </c>
      <c r="J14" s="51" t="s">
        <v>17</v>
      </c>
      <c r="K14" s="50"/>
      <c r="L14" s="51" t="s">
        <v>58</v>
      </c>
      <c r="M14" s="52" t="s">
        <v>59</v>
      </c>
      <c r="N14" s="52" t="s">
        <v>60</v>
      </c>
      <c r="O14" s="54"/>
      <c r="P14" s="53"/>
      <c r="Q14" s="32"/>
      <c r="R14" s="33" t="str">
        <f>IF(K14="----","#N/A",CONCATENATE("MK|",(VLOOKUP(B14,Dictionary!$A:$B,2,0)),"_CH|",(VLOOKUP(C14,Dictionary!$AV:$AW,2,0)),"_DT|",(VLOOKUP(D14,Dictionary!$P:$Q,2,0)),"_PB|",(VLOOKUP(E14,Dictionary!$G:$H,2,0)),"_FM|",(VLOOKUP(F14,Dictionary!$S:$T,2,0)),"_RT|",(VLOOKUP(G14,Dictionary!$V:$W,2,0)),"_PD|",SUBSTITUTE(SUBSTITUTE(IF(H14="","NONE",H14),"_","-"),"|","-"),"_TG|",(VLOOKUP(I14,Dictionary!$J:$K,2,0)),"_ST|",(VLOOKUP(J14,Dictionary!$M:$N,2,0)),"_TS|",SUBSTITUTE(SUBSTITUTE(IF(K14="","NONE",K14),"_","-"),"|","-"),"_SZ|",(VLOOKUP(L14,Dictionary!$Y:$Z,1,0)),"_AD|",(VLOOKUP(M14,Dictionary!$AB:$AC,2,0)),"_IT|",(VLOOKUP(N14,Dictionary!$BC:$BD,2,0)),IF(O14="","",CONCATENATE("_U1|",SUBSTITUTE(SUBSTITUTE(O14,"_","-"),"|","-"))),IF(P14="","",CONCATENATE("_U2|",SUBSTITUTE(SUBSTITUTE(P14,"_","-"),"|","-"))),IF(Q14="","",CONCATENATE("_U3|",SUBSTITUTE(SUBSTITUTE(Q14,"_","-"),"|","-")))))</f>
        <v>MK|BR_CH|PSD_DT|CROSS_PB|FCBK_FM|STRY_RT|CPM_PD|DOTZ-ZERO-ANUIDADE-AZUL-CAR_TG|NON_ST|NON_TS|NONE_SZ|1X1_AD|CM1_IT|SOC</v>
      </c>
    </row>
    <row r="15" ht="15.75" customHeight="1">
      <c r="A15" s="51"/>
      <c r="B15" s="51" t="s">
        <v>15</v>
      </c>
      <c r="C15" s="51" t="s">
        <v>51</v>
      </c>
      <c r="D15" s="51" t="s">
        <v>43</v>
      </c>
      <c r="E15" s="51" t="s">
        <v>52</v>
      </c>
      <c r="F15" s="51" t="s">
        <v>76</v>
      </c>
      <c r="G15" s="51" t="s">
        <v>71</v>
      </c>
      <c r="H15" s="51" t="s">
        <v>86</v>
      </c>
      <c r="I15" s="51" t="s">
        <v>17</v>
      </c>
      <c r="J15" s="51" t="s">
        <v>17</v>
      </c>
      <c r="K15" s="50"/>
      <c r="L15" s="51" t="s">
        <v>58</v>
      </c>
      <c r="M15" s="52" t="s">
        <v>59</v>
      </c>
      <c r="N15" s="52" t="s">
        <v>60</v>
      </c>
      <c r="O15" s="54"/>
      <c r="P15" s="53"/>
      <c r="Q15" s="32"/>
      <c r="R15" s="33" t="str">
        <f>IF(K15="----","#N/A",CONCATENATE("MK|",(VLOOKUP(B15,Dictionary!$A:$B,2,0)),"_CH|",(VLOOKUP(C15,Dictionary!$AV:$AW,2,0)),"_DT|",(VLOOKUP(D15,Dictionary!$P:$Q,2,0)),"_PB|",(VLOOKUP(E15,Dictionary!$G:$H,2,0)),"_FM|",(VLOOKUP(F15,Dictionary!$S:$T,2,0)),"_RT|",(VLOOKUP(G15,Dictionary!$V:$W,2,0)),"_PD|",SUBSTITUTE(SUBSTITUTE(IF(H15="","NONE",H15),"_","-"),"|","-"),"_TG|",(VLOOKUP(I15,Dictionary!$J:$K,2,0)),"_ST|",(VLOOKUP(J15,Dictionary!$M:$N,2,0)),"_TS|",SUBSTITUTE(SUBSTITUTE(IF(K15="","NONE",K15),"_","-"),"|","-"),"_SZ|",(VLOOKUP(L15,Dictionary!$Y:$Z,1,0)),"_AD|",(VLOOKUP(M15,Dictionary!$AB:$AC,2,0)),"_IT|",(VLOOKUP(N15,Dictionary!$BC:$BD,2,0)),IF(O15="","",CONCATENATE("_U1|",SUBSTITUTE(SUBSTITUTE(O15,"_","-"),"|","-"))),IF(P15="","",CONCATENATE("_U2|",SUBSTITUTE(SUBSTITUTE(P15,"_","-"),"|","-"))),IF(Q15="","",CONCATENATE("_U3|",SUBSTITUTE(SUBSTITUTE(Q15,"_","-"),"|","-")))))</f>
        <v>MK|BR_CH|PSD_DT|CROSS_PB|FCBK_FM|LNK_RT|CPM_PD|DOTZ-TODOS-BENEFICIOS-AZUL_TG|NON_ST|NON_TS|NONE_SZ|1X1_AD|CM1_IT|SOC</v>
      </c>
    </row>
    <row r="16" ht="15.75" customHeight="1">
      <c r="A16" s="51"/>
      <c r="B16" s="51" t="s">
        <v>15</v>
      </c>
      <c r="C16" s="51" t="s">
        <v>51</v>
      </c>
      <c r="D16" s="51" t="s">
        <v>43</v>
      </c>
      <c r="E16" s="51" t="s">
        <v>52</v>
      </c>
      <c r="F16" s="51" t="s">
        <v>76</v>
      </c>
      <c r="G16" s="51" t="s">
        <v>71</v>
      </c>
      <c r="H16" s="51" t="s">
        <v>87</v>
      </c>
      <c r="I16" s="51" t="s">
        <v>17</v>
      </c>
      <c r="J16" s="51" t="s">
        <v>17</v>
      </c>
      <c r="K16" s="50"/>
      <c r="L16" s="51" t="s">
        <v>58</v>
      </c>
      <c r="M16" s="52" t="s">
        <v>59</v>
      </c>
      <c r="N16" s="52" t="s">
        <v>60</v>
      </c>
      <c r="O16" s="54"/>
      <c r="P16" s="53"/>
      <c r="Q16" s="32"/>
      <c r="R16" s="33" t="str">
        <f>IF(K16="----","#N/A",CONCATENATE("MK|",(VLOOKUP(B16,Dictionary!$A:$B,2,0)),"_CH|",(VLOOKUP(C16,Dictionary!$AV:$AW,2,0)),"_DT|",(VLOOKUP(D16,Dictionary!$P:$Q,2,0)),"_PB|",(VLOOKUP(E16,Dictionary!$G:$H,2,0)),"_FM|",(VLOOKUP(F16,Dictionary!$S:$T,2,0)),"_RT|",(VLOOKUP(G16,Dictionary!$V:$W,2,0)),"_PD|",SUBSTITUTE(SUBSTITUTE(IF(H16="","NONE",H16),"_","-"),"|","-"),"_TG|",(VLOOKUP(I16,Dictionary!$J:$K,2,0)),"_ST|",(VLOOKUP(J16,Dictionary!$M:$N,2,0)),"_TS|",SUBSTITUTE(SUBSTITUTE(IF(K16="","NONE",K16),"_","-"),"|","-"),"_SZ|",(VLOOKUP(L16,Dictionary!$Y:$Z,1,0)),"_AD|",(VLOOKUP(M16,Dictionary!$AB:$AC,2,0)),"_IT|",(VLOOKUP(N16,Dictionary!$BC:$BD,2,0)),IF(O16="","",CONCATENATE("_U1|",SUBSTITUTE(SUBSTITUTE(O16,"_","-"),"|","-"))),IF(P16="","",CONCATENATE("_U2|",SUBSTITUTE(SUBSTITUTE(P16,"_","-"),"|","-"))),IF(Q16="","",CONCATENATE("_U3|",SUBSTITUTE(SUBSTITUTE(Q16,"_","-"),"|","-")))))</f>
        <v>MK|BR_CH|PSD_DT|CROSS_PB|FCBK_FM|LNK_RT|CPM_PD|DOTZ-TODOS-BENEFICIOS-AZUL-QUAD_TG|NON_ST|NON_TS|NONE_SZ|1X1_AD|CM1_IT|SOC</v>
      </c>
    </row>
    <row r="17" ht="15.75" customHeight="1">
      <c r="A17" s="51"/>
      <c r="B17" s="51" t="s">
        <v>15</v>
      </c>
      <c r="C17" s="51" t="s">
        <v>51</v>
      </c>
      <c r="D17" s="51" t="s">
        <v>43</v>
      </c>
      <c r="E17" s="51" t="s">
        <v>52</v>
      </c>
      <c r="F17" s="51" t="s">
        <v>79</v>
      </c>
      <c r="G17" s="51" t="s">
        <v>71</v>
      </c>
      <c r="H17" s="51" t="s">
        <v>86</v>
      </c>
      <c r="I17" s="51" t="s">
        <v>17</v>
      </c>
      <c r="J17" s="51" t="s">
        <v>17</v>
      </c>
      <c r="K17" s="50"/>
      <c r="L17" s="51" t="s">
        <v>58</v>
      </c>
      <c r="M17" s="52" t="s">
        <v>59</v>
      </c>
      <c r="N17" s="52" t="s">
        <v>60</v>
      </c>
      <c r="O17" s="54"/>
      <c r="P17" s="53"/>
      <c r="Q17" s="32"/>
      <c r="R17" s="33" t="str">
        <f>IF(K17="----","#N/A",CONCATENATE("MK|",(VLOOKUP(B17,Dictionary!$A:$B,2,0)),"_CH|",(VLOOKUP(C17,Dictionary!$AV:$AW,2,0)),"_DT|",(VLOOKUP(D17,Dictionary!$P:$Q,2,0)),"_PB|",(VLOOKUP(E17,Dictionary!$G:$H,2,0)),"_FM|",(VLOOKUP(F17,Dictionary!$S:$T,2,0)),"_RT|",(VLOOKUP(G17,Dictionary!$V:$W,2,0)),"_PD|",SUBSTITUTE(SUBSTITUTE(IF(H17="","NONE",H17),"_","-"),"|","-"),"_TG|",(VLOOKUP(I17,Dictionary!$J:$K,2,0)),"_ST|",(VLOOKUP(J17,Dictionary!$M:$N,2,0)),"_TS|",SUBSTITUTE(SUBSTITUTE(IF(K17="","NONE",K17),"_","-"),"|","-"),"_SZ|",(VLOOKUP(L17,Dictionary!$Y:$Z,1,0)),"_AD|",(VLOOKUP(M17,Dictionary!$AB:$AC,2,0)),"_IT|",(VLOOKUP(N17,Dictionary!$BC:$BD,2,0)),IF(O17="","",CONCATENATE("_U1|",SUBSTITUTE(SUBSTITUTE(O17,"_","-"),"|","-"))),IF(P17="","",CONCATENATE("_U2|",SUBSTITUTE(SUBSTITUTE(P17,"_","-"),"|","-"))),IF(Q17="","",CONCATENATE("_U3|",SUBSTITUTE(SUBSTITUTE(Q17,"_","-"),"|","-")))))</f>
        <v>MK|BR_CH|PSD_DT|CROSS_PB|FCBK_FM|GIF_RT|CPM_PD|DOTZ-TODOS-BENEFICIOS-AZUL_TG|NON_ST|NON_TS|NONE_SZ|1X1_AD|CM1_IT|SOC</v>
      </c>
    </row>
    <row r="18" ht="15.75" customHeight="1">
      <c r="A18" s="51"/>
      <c r="B18" s="51" t="s">
        <v>15</v>
      </c>
      <c r="C18" s="51" t="s">
        <v>51</v>
      </c>
      <c r="D18" s="51" t="s">
        <v>43</v>
      </c>
      <c r="E18" s="51" t="s">
        <v>52</v>
      </c>
      <c r="F18" s="51" t="s">
        <v>80</v>
      </c>
      <c r="G18" s="51" t="s">
        <v>71</v>
      </c>
      <c r="H18" s="51" t="s">
        <v>86</v>
      </c>
      <c r="I18" s="51" t="s">
        <v>17</v>
      </c>
      <c r="J18" s="51" t="s">
        <v>17</v>
      </c>
      <c r="K18" s="50"/>
      <c r="L18" s="51" t="s">
        <v>58</v>
      </c>
      <c r="M18" s="52" t="s">
        <v>59</v>
      </c>
      <c r="N18" s="52" t="s">
        <v>60</v>
      </c>
      <c r="O18" s="54"/>
      <c r="P18" s="53"/>
      <c r="Q18" s="32"/>
      <c r="R18" s="33" t="str">
        <f>IF(K18="----","#N/A",CONCATENATE("MK|",(VLOOKUP(B18,Dictionary!$A:$B,2,0)),"_CH|",(VLOOKUP(C18,Dictionary!$AV:$AW,2,0)),"_DT|",(VLOOKUP(D18,Dictionary!$P:$Q,2,0)),"_PB|",(VLOOKUP(E18,Dictionary!$G:$H,2,0)),"_FM|",(VLOOKUP(F18,Dictionary!$S:$T,2,0)),"_RT|",(VLOOKUP(G18,Dictionary!$V:$W,2,0)),"_PD|",SUBSTITUTE(SUBSTITUTE(IF(H18="","NONE",H18),"_","-"),"|","-"),"_TG|",(VLOOKUP(I18,Dictionary!$J:$K,2,0)),"_ST|",(VLOOKUP(J18,Dictionary!$M:$N,2,0)),"_TS|",SUBSTITUTE(SUBSTITUTE(IF(K18="","NONE",K18),"_","-"),"|","-"),"_SZ|",(VLOOKUP(L18,Dictionary!$Y:$Z,1,0)),"_AD|",(VLOOKUP(M18,Dictionary!$AB:$AC,2,0)),"_IT|",(VLOOKUP(N18,Dictionary!$BC:$BD,2,0)),IF(O18="","",CONCATENATE("_U1|",SUBSTITUTE(SUBSTITUTE(O18,"_","-"),"|","-"))),IF(P18="","",CONCATENATE("_U2|",SUBSTITUTE(SUBSTITUTE(P18,"_","-"),"|","-"))),IF(Q18="","",CONCATENATE("_U3|",SUBSTITUTE(SUBSTITUTE(Q18,"_","-"),"|","-")))))</f>
        <v>MK|BR_CH|PSD_DT|CROSS_PB|FCBK_FM|CAR_RT|CPM_PD|DOTZ-TODOS-BENEFICIOS-AZUL_TG|NON_ST|NON_TS|NONE_SZ|1X1_AD|CM1_IT|SOC</v>
      </c>
    </row>
    <row r="19" ht="15.75" customHeight="1">
      <c r="A19" s="51"/>
      <c r="B19" s="51" t="s">
        <v>15</v>
      </c>
      <c r="C19" s="51" t="s">
        <v>51</v>
      </c>
      <c r="D19" s="51" t="s">
        <v>43</v>
      </c>
      <c r="E19" s="51" t="s">
        <v>52</v>
      </c>
      <c r="F19" s="51" t="s">
        <v>81</v>
      </c>
      <c r="G19" s="51" t="s">
        <v>71</v>
      </c>
      <c r="H19" s="51" t="s">
        <v>88</v>
      </c>
      <c r="I19" s="51" t="s">
        <v>17</v>
      </c>
      <c r="J19" s="51" t="s">
        <v>17</v>
      </c>
      <c r="K19" s="50"/>
      <c r="L19" s="51" t="s">
        <v>58</v>
      </c>
      <c r="M19" s="52" t="s">
        <v>59</v>
      </c>
      <c r="N19" s="52" t="s">
        <v>60</v>
      </c>
      <c r="O19" s="54"/>
      <c r="P19" s="53"/>
      <c r="Q19" s="32"/>
      <c r="R19" s="33" t="str">
        <f>IF(K19="----","#N/A",CONCATENATE("MK|",(VLOOKUP(B19,Dictionary!$A:$B,2,0)),"_CH|",(VLOOKUP(C19,Dictionary!$AV:$AW,2,0)),"_DT|",(VLOOKUP(D19,Dictionary!$P:$Q,2,0)),"_PB|",(VLOOKUP(E19,Dictionary!$G:$H,2,0)),"_FM|",(VLOOKUP(F19,Dictionary!$S:$T,2,0)),"_RT|",(VLOOKUP(G19,Dictionary!$V:$W,2,0)),"_PD|",SUBSTITUTE(SUBSTITUTE(IF(H19="","NONE",H19),"_","-"),"|","-"),"_TG|",(VLOOKUP(I19,Dictionary!$J:$K,2,0)),"_ST|",(VLOOKUP(J19,Dictionary!$M:$N,2,0)),"_TS|",SUBSTITUTE(SUBSTITUTE(IF(K19="","NONE",K19),"_","-"),"|","-"),"_SZ|",(VLOOKUP(L19,Dictionary!$Y:$Z,1,0)),"_AD|",(VLOOKUP(M19,Dictionary!$AB:$AC,2,0)),"_IT|",(VLOOKUP(N19,Dictionary!$BC:$BD,2,0)),IF(O19="","",CONCATENATE("_U1|",SUBSTITUTE(SUBSTITUTE(O19,"_","-"),"|","-"))),IF(P19="","",CONCATENATE("_U2|",SUBSTITUTE(SUBSTITUTE(P19,"_","-"),"|","-"))),IF(Q19="","",CONCATENATE("_U3|",SUBSTITUTE(SUBSTITUTE(Q19,"_","-"),"|","-")))))</f>
        <v>MK|BR_CH|PSD_DT|CROSS_PB|FCBK_FM|STRY_RT|CPM_PD|DOTZ-TODOS-BENEFICIOS-AZUL-CAR_TG|NON_ST|NON_TS|NONE_SZ|1X1_AD|CM1_IT|SOC</v>
      </c>
    </row>
    <row r="20" ht="15.75" customHeight="1">
      <c r="A20" s="51"/>
      <c r="B20" s="51" t="s">
        <v>15</v>
      </c>
      <c r="C20" s="51" t="s">
        <v>51</v>
      </c>
      <c r="D20" s="51" t="s">
        <v>43</v>
      </c>
      <c r="E20" s="51" t="s">
        <v>52</v>
      </c>
      <c r="F20" s="51" t="s">
        <v>76</v>
      </c>
      <c r="G20" s="51" t="s">
        <v>71</v>
      </c>
      <c r="H20" s="51" t="s">
        <v>89</v>
      </c>
      <c r="I20" s="51" t="s">
        <v>17</v>
      </c>
      <c r="J20" s="51" t="s">
        <v>17</v>
      </c>
      <c r="K20" s="50"/>
      <c r="L20" s="51" t="s">
        <v>58</v>
      </c>
      <c r="M20" s="52" t="s">
        <v>59</v>
      </c>
      <c r="N20" s="52" t="s">
        <v>60</v>
      </c>
      <c r="O20" s="54"/>
      <c r="P20" s="53"/>
      <c r="Q20" s="32"/>
      <c r="R20" s="33" t="str">
        <f>IF(K20="----","#N/A",CONCATENATE("MK|",(VLOOKUP(B20,Dictionary!$A:$B,2,0)),"_CH|",(VLOOKUP(C20,Dictionary!$AV:$AW,2,0)),"_DT|",(VLOOKUP(D20,Dictionary!$P:$Q,2,0)),"_PB|",(VLOOKUP(E20,Dictionary!$G:$H,2,0)),"_FM|",(VLOOKUP(F20,Dictionary!$S:$T,2,0)),"_RT|",(VLOOKUP(G20,Dictionary!$V:$W,2,0)),"_PD|",SUBSTITUTE(SUBSTITUTE(IF(H20="","NONE",H20),"_","-"),"|","-"),"_TG|",(VLOOKUP(I20,Dictionary!$J:$K,2,0)),"_ST|",(VLOOKUP(J20,Dictionary!$M:$N,2,0)),"_TS|",SUBSTITUTE(SUBSTITUTE(IF(K20="","NONE",K20),"_","-"),"|","-"),"_SZ|",(VLOOKUP(L20,Dictionary!$Y:$Z,1,0)),"_AD|",(VLOOKUP(M20,Dictionary!$AB:$AC,2,0)),"_IT|",(VLOOKUP(N20,Dictionary!$BC:$BD,2,0)),IF(O20="","",CONCATENATE("_U1|",SUBSTITUTE(SUBSTITUTE(O20,"_","-"),"|","-"))),IF(P20="","",CONCATENATE("_U2|",SUBSTITUTE(SUBSTITUTE(P20,"_","-"),"|","-"))),IF(Q20="","",CONCATENATE("_U3|",SUBSTITUTE(SUBSTITUTE(Q20,"_","-"),"|","-")))))</f>
        <v>MK|BR_CH|PSD_DT|CROSS_PB|FCBK_FM|LNK_RT|CPM_PD|DOTZ-10MIL-AMARELO_TG|NON_ST|NON_TS|NONE_SZ|1X1_AD|CM1_IT|SOC</v>
      </c>
    </row>
    <row r="21" ht="15.75" customHeight="1">
      <c r="A21" s="51"/>
      <c r="B21" s="51" t="s">
        <v>15</v>
      </c>
      <c r="C21" s="51" t="s">
        <v>51</v>
      </c>
      <c r="D21" s="51" t="s">
        <v>43</v>
      </c>
      <c r="E21" s="51" t="s">
        <v>52</v>
      </c>
      <c r="F21" s="51" t="s">
        <v>76</v>
      </c>
      <c r="G21" s="51" t="s">
        <v>71</v>
      </c>
      <c r="H21" s="51" t="s">
        <v>90</v>
      </c>
      <c r="I21" s="51" t="s">
        <v>17</v>
      </c>
      <c r="J21" s="51" t="s">
        <v>17</v>
      </c>
      <c r="K21" s="50"/>
      <c r="L21" s="51" t="s">
        <v>58</v>
      </c>
      <c r="M21" s="52" t="s">
        <v>59</v>
      </c>
      <c r="N21" s="52" t="s">
        <v>60</v>
      </c>
      <c r="O21" s="54"/>
      <c r="P21" s="53"/>
      <c r="Q21" s="32"/>
      <c r="R21" s="33" t="str">
        <f>IF(K21="----","#N/A",CONCATENATE("MK|",(VLOOKUP(B21,Dictionary!$A:$B,2,0)),"_CH|",(VLOOKUP(C21,Dictionary!$AV:$AW,2,0)),"_DT|",(VLOOKUP(D21,Dictionary!$P:$Q,2,0)),"_PB|",(VLOOKUP(E21,Dictionary!$G:$H,2,0)),"_FM|",(VLOOKUP(F21,Dictionary!$S:$T,2,0)),"_RT|",(VLOOKUP(G21,Dictionary!$V:$W,2,0)),"_PD|",SUBSTITUTE(SUBSTITUTE(IF(H21="","NONE",H21),"_","-"),"|","-"),"_TG|",(VLOOKUP(I21,Dictionary!$J:$K,2,0)),"_ST|",(VLOOKUP(J21,Dictionary!$M:$N,2,0)),"_TS|",SUBSTITUTE(SUBSTITUTE(IF(K21="","NONE",K21),"_","-"),"|","-"),"_SZ|",(VLOOKUP(L21,Dictionary!$Y:$Z,1,0)),"_AD|",(VLOOKUP(M21,Dictionary!$AB:$AC,2,0)),"_IT|",(VLOOKUP(N21,Dictionary!$BC:$BD,2,0)),IF(O21="","",CONCATENATE("_U1|",SUBSTITUTE(SUBSTITUTE(O21,"_","-"),"|","-"))),IF(P21="","",CONCATENATE("_U2|",SUBSTITUTE(SUBSTITUTE(P21,"_","-"),"|","-"))),IF(Q21="","",CONCATENATE("_U3|",SUBSTITUTE(SUBSTITUTE(Q21,"_","-"),"|","-")))))</f>
        <v>MK|BR_CH|PSD_DT|CROSS_PB|FCBK_FM|LNK_RT|CPM_PD|DOTZ-10MIL-AMARELO-QUAD_TG|NON_ST|NON_TS|NONE_SZ|1X1_AD|CM1_IT|SOC</v>
      </c>
    </row>
    <row r="22" ht="15.75" customHeight="1">
      <c r="A22" s="51"/>
      <c r="B22" s="51" t="s">
        <v>15</v>
      </c>
      <c r="C22" s="51" t="s">
        <v>51</v>
      </c>
      <c r="D22" s="51" t="s">
        <v>43</v>
      </c>
      <c r="E22" s="51" t="s">
        <v>52</v>
      </c>
      <c r="F22" s="51" t="s">
        <v>79</v>
      </c>
      <c r="G22" s="51" t="s">
        <v>71</v>
      </c>
      <c r="H22" s="51" t="s">
        <v>89</v>
      </c>
      <c r="I22" s="51" t="s">
        <v>17</v>
      </c>
      <c r="J22" s="51" t="s">
        <v>17</v>
      </c>
      <c r="K22" s="50"/>
      <c r="L22" s="51" t="s">
        <v>58</v>
      </c>
      <c r="M22" s="52" t="s">
        <v>59</v>
      </c>
      <c r="N22" s="52" t="s">
        <v>60</v>
      </c>
      <c r="O22" s="54"/>
      <c r="P22" s="53"/>
      <c r="Q22" s="32"/>
      <c r="R22" s="33" t="str">
        <f>IF(K22="----","#N/A",CONCATENATE("MK|",(VLOOKUP(B22,Dictionary!$A:$B,2,0)),"_CH|",(VLOOKUP(C22,Dictionary!$AV:$AW,2,0)),"_DT|",(VLOOKUP(D22,Dictionary!$P:$Q,2,0)),"_PB|",(VLOOKUP(E22,Dictionary!$G:$H,2,0)),"_FM|",(VLOOKUP(F22,Dictionary!$S:$T,2,0)),"_RT|",(VLOOKUP(G22,Dictionary!$V:$W,2,0)),"_PD|",SUBSTITUTE(SUBSTITUTE(IF(H22="","NONE",H22),"_","-"),"|","-"),"_TG|",(VLOOKUP(I22,Dictionary!$J:$K,2,0)),"_ST|",(VLOOKUP(J22,Dictionary!$M:$N,2,0)),"_TS|",SUBSTITUTE(SUBSTITUTE(IF(K22="","NONE",K22),"_","-"),"|","-"),"_SZ|",(VLOOKUP(L22,Dictionary!$Y:$Z,1,0)),"_AD|",(VLOOKUP(M22,Dictionary!$AB:$AC,2,0)),"_IT|",(VLOOKUP(N22,Dictionary!$BC:$BD,2,0)),IF(O22="","",CONCATENATE("_U1|",SUBSTITUTE(SUBSTITUTE(O22,"_","-"),"|","-"))),IF(P22="","",CONCATENATE("_U2|",SUBSTITUTE(SUBSTITUTE(P22,"_","-"),"|","-"))),IF(Q22="","",CONCATENATE("_U3|",SUBSTITUTE(SUBSTITUTE(Q22,"_","-"),"|","-")))))</f>
        <v>MK|BR_CH|PSD_DT|CROSS_PB|FCBK_FM|GIF_RT|CPM_PD|DOTZ-10MIL-AMARELO_TG|NON_ST|NON_TS|NONE_SZ|1X1_AD|CM1_IT|SOC</v>
      </c>
    </row>
    <row r="23" ht="15.75" customHeight="1">
      <c r="A23" s="51"/>
      <c r="B23" s="51" t="s">
        <v>15</v>
      </c>
      <c r="C23" s="51" t="s">
        <v>51</v>
      </c>
      <c r="D23" s="51" t="s">
        <v>43</v>
      </c>
      <c r="E23" s="51" t="s">
        <v>52</v>
      </c>
      <c r="F23" s="51" t="s">
        <v>80</v>
      </c>
      <c r="G23" s="51" t="s">
        <v>71</v>
      </c>
      <c r="H23" s="51" t="s">
        <v>89</v>
      </c>
      <c r="I23" s="51" t="s">
        <v>17</v>
      </c>
      <c r="J23" s="51" t="s">
        <v>17</v>
      </c>
      <c r="K23" s="50"/>
      <c r="L23" s="51" t="s">
        <v>58</v>
      </c>
      <c r="M23" s="52" t="s">
        <v>59</v>
      </c>
      <c r="N23" s="52" t="s">
        <v>60</v>
      </c>
      <c r="O23" s="54"/>
      <c r="P23" s="53"/>
      <c r="Q23" s="32"/>
      <c r="R23" s="33" t="str">
        <f>IF(K23="----","#N/A",CONCATENATE("MK|",(VLOOKUP(B23,Dictionary!$A:$B,2,0)),"_CH|",(VLOOKUP(C23,Dictionary!$AV:$AW,2,0)),"_DT|",(VLOOKUP(D23,Dictionary!$P:$Q,2,0)),"_PB|",(VLOOKUP(E23,Dictionary!$G:$H,2,0)),"_FM|",(VLOOKUP(F23,Dictionary!$S:$T,2,0)),"_RT|",(VLOOKUP(G23,Dictionary!$V:$W,2,0)),"_PD|",SUBSTITUTE(SUBSTITUTE(IF(H23="","NONE",H23),"_","-"),"|","-"),"_TG|",(VLOOKUP(I23,Dictionary!$J:$K,2,0)),"_ST|",(VLOOKUP(J23,Dictionary!$M:$N,2,0)),"_TS|",SUBSTITUTE(SUBSTITUTE(IF(K23="","NONE",K23),"_","-"),"|","-"),"_SZ|",(VLOOKUP(L23,Dictionary!$Y:$Z,1,0)),"_AD|",(VLOOKUP(M23,Dictionary!$AB:$AC,2,0)),"_IT|",(VLOOKUP(N23,Dictionary!$BC:$BD,2,0)),IF(O23="","",CONCATENATE("_U1|",SUBSTITUTE(SUBSTITUTE(O23,"_","-"),"|","-"))),IF(P23="","",CONCATENATE("_U2|",SUBSTITUTE(SUBSTITUTE(P23,"_","-"),"|","-"))),IF(Q23="","",CONCATENATE("_U3|",SUBSTITUTE(SUBSTITUTE(Q23,"_","-"),"|","-")))))</f>
        <v>MK|BR_CH|PSD_DT|CROSS_PB|FCBK_FM|CAR_RT|CPM_PD|DOTZ-10MIL-AMARELO_TG|NON_ST|NON_TS|NONE_SZ|1X1_AD|CM1_IT|SOC</v>
      </c>
    </row>
    <row r="24" ht="15.75" customHeight="1">
      <c r="A24" s="51"/>
      <c r="B24" s="51" t="s">
        <v>15</v>
      </c>
      <c r="C24" s="51" t="s">
        <v>51</v>
      </c>
      <c r="D24" s="51" t="s">
        <v>43</v>
      </c>
      <c r="E24" s="51" t="s">
        <v>52</v>
      </c>
      <c r="F24" s="51" t="s">
        <v>81</v>
      </c>
      <c r="G24" s="51" t="s">
        <v>71</v>
      </c>
      <c r="H24" s="51" t="s">
        <v>91</v>
      </c>
      <c r="I24" s="51" t="s">
        <v>17</v>
      </c>
      <c r="J24" s="51" t="s">
        <v>17</v>
      </c>
      <c r="K24" s="50"/>
      <c r="L24" s="51" t="s">
        <v>58</v>
      </c>
      <c r="M24" s="52" t="s">
        <v>59</v>
      </c>
      <c r="N24" s="52" t="s">
        <v>60</v>
      </c>
      <c r="O24" s="54"/>
      <c r="P24" s="53"/>
      <c r="Q24" s="32"/>
      <c r="R24" s="33" t="str">
        <f>IF(K24="----","#N/A",CONCATENATE("MK|",(VLOOKUP(B24,Dictionary!$A:$B,2,0)),"_CH|",(VLOOKUP(C24,Dictionary!$AV:$AW,2,0)),"_DT|",(VLOOKUP(D24,Dictionary!$P:$Q,2,0)),"_PB|",(VLOOKUP(E24,Dictionary!$G:$H,2,0)),"_FM|",(VLOOKUP(F24,Dictionary!$S:$T,2,0)),"_RT|",(VLOOKUP(G24,Dictionary!$V:$W,2,0)),"_PD|",SUBSTITUTE(SUBSTITUTE(IF(H24="","NONE",H24),"_","-"),"|","-"),"_TG|",(VLOOKUP(I24,Dictionary!$J:$K,2,0)),"_ST|",(VLOOKUP(J24,Dictionary!$M:$N,2,0)),"_TS|",SUBSTITUTE(SUBSTITUTE(IF(K24="","NONE",K24),"_","-"),"|","-"),"_SZ|",(VLOOKUP(L24,Dictionary!$Y:$Z,1,0)),"_AD|",(VLOOKUP(M24,Dictionary!$AB:$AC,2,0)),"_IT|",(VLOOKUP(N24,Dictionary!$BC:$BD,2,0)),IF(O24="","",CONCATENATE("_U1|",SUBSTITUTE(SUBSTITUTE(O24,"_","-"),"|","-"))),IF(P24="","",CONCATENATE("_U2|",SUBSTITUTE(SUBSTITUTE(P24,"_","-"),"|","-"))),IF(Q24="","",CONCATENATE("_U3|",SUBSTITUTE(SUBSTITUTE(Q24,"_","-"),"|","-")))))</f>
        <v>MK|BR_CH|PSD_DT|CROSS_PB|FCBK_FM|STRY_RT|CPM_PD|DOTZ-10MIL-AMARELO-CAR_TG|NON_ST|NON_TS|NONE_SZ|1X1_AD|CM1_IT|SOC</v>
      </c>
    </row>
    <row r="25" ht="15.75" customHeight="1">
      <c r="A25" s="51"/>
      <c r="B25" s="51" t="s">
        <v>15</v>
      </c>
      <c r="C25" s="51" t="s">
        <v>51</v>
      </c>
      <c r="D25" s="51" t="s">
        <v>43</v>
      </c>
      <c r="E25" s="51" t="s">
        <v>52</v>
      </c>
      <c r="F25" s="51" t="s">
        <v>76</v>
      </c>
      <c r="G25" s="51" t="s">
        <v>71</v>
      </c>
      <c r="H25" s="51" t="s">
        <v>92</v>
      </c>
      <c r="I25" s="51" t="s">
        <v>17</v>
      </c>
      <c r="J25" s="51" t="s">
        <v>17</v>
      </c>
      <c r="K25" s="50"/>
      <c r="L25" s="51" t="s">
        <v>58</v>
      </c>
      <c r="M25" s="52" t="s">
        <v>59</v>
      </c>
      <c r="N25" s="52" t="s">
        <v>60</v>
      </c>
      <c r="O25" s="54"/>
      <c r="P25" s="53"/>
      <c r="Q25" s="32"/>
      <c r="R25" s="33" t="str">
        <f>IF(K25="----","#N/A",CONCATENATE("MK|",(VLOOKUP(B25,Dictionary!$A:$B,2,0)),"_CH|",(VLOOKUP(C25,Dictionary!$AV:$AW,2,0)),"_DT|",(VLOOKUP(D25,Dictionary!$P:$Q,2,0)),"_PB|",(VLOOKUP(E25,Dictionary!$G:$H,2,0)),"_FM|",(VLOOKUP(F25,Dictionary!$S:$T,2,0)),"_RT|",(VLOOKUP(G25,Dictionary!$V:$W,2,0)),"_PD|",SUBSTITUTE(SUBSTITUTE(IF(H25="","NONE",H25),"_","-"),"|","-"),"_TG|",(VLOOKUP(I25,Dictionary!$J:$K,2,0)),"_ST|",(VLOOKUP(J25,Dictionary!$M:$N,2,0)),"_TS|",SUBSTITUTE(SUBSTITUTE(IF(K25="","NONE",K25),"_","-"),"|","-"),"_SZ|",(VLOOKUP(L25,Dictionary!$Y:$Z,1,0)),"_AD|",(VLOOKUP(M25,Dictionary!$AB:$AC,2,0)),"_IT|",(VLOOKUP(N25,Dictionary!$BC:$BD,2,0)),IF(O25="","",CONCATENATE("_U1|",SUBSTITUTE(SUBSTITUTE(O25,"_","-"),"|","-"))),IF(P25="","",CONCATENATE("_U2|",SUBSTITUTE(SUBSTITUTE(P25,"_","-"),"|","-"))),IF(Q25="","",CONCATENATE("_U3|",SUBSTITUTE(SUBSTITUTE(Q25,"_","-"),"|","-")))))</f>
        <v>MK|BR_CH|PSD_DT|CROSS_PB|FCBK_FM|LNK_RT|CPM_PD|DOTZ-ZERO-ANUIDADE-AMARELO_TG|NON_ST|NON_TS|NONE_SZ|1X1_AD|CM1_IT|SOC</v>
      </c>
    </row>
    <row r="26" ht="15.75" customHeight="1">
      <c r="A26" s="51"/>
      <c r="B26" s="51" t="s">
        <v>15</v>
      </c>
      <c r="C26" s="51" t="s">
        <v>51</v>
      </c>
      <c r="D26" s="51" t="s">
        <v>43</v>
      </c>
      <c r="E26" s="51" t="s">
        <v>52</v>
      </c>
      <c r="F26" s="51" t="s">
        <v>76</v>
      </c>
      <c r="G26" s="51" t="s">
        <v>71</v>
      </c>
      <c r="H26" s="51" t="s">
        <v>93</v>
      </c>
      <c r="I26" s="51" t="s">
        <v>17</v>
      </c>
      <c r="J26" s="51" t="s">
        <v>17</v>
      </c>
      <c r="K26" s="50"/>
      <c r="L26" s="51" t="s">
        <v>58</v>
      </c>
      <c r="M26" s="52" t="s">
        <v>59</v>
      </c>
      <c r="N26" s="52" t="s">
        <v>60</v>
      </c>
      <c r="O26" s="54"/>
      <c r="P26" s="53"/>
      <c r="Q26" s="32"/>
      <c r="R26" s="33" t="str">
        <f>IF(K26="----","#N/A",CONCATENATE("MK|",(VLOOKUP(B26,Dictionary!$A:$B,2,0)),"_CH|",(VLOOKUP(C26,Dictionary!$AV:$AW,2,0)),"_DT|",(VLOOKUP(D26,Dictionary!$P:$Q,2,0)),"_PB|",(VLOOKUP(E26,Dictionary!$G:$H,2,0)),"_FM|",(VLOOKUP(F26,Dictionary!$S:$T,2,0)),"_RT|",(VLOOKUP(G26,Dictionary!$V:$W,2,0)),"_PD|",SUBSTITUTE(SUBSTITUTE(IF(H26="","NONE",H26),"_","-"),"|","-"),"_TG|",(VLOOKUP(I26,Dictionary!$J:$K,2,0)),"_ST|",(VLOOKUP(J26,Dictionary!$M:$N,2,0)),"_TS|",SUBSTITUTE(SUBSTITUTE(IF(K26="","NONE",K26),"_","-"),"|","-"),"_SZ|",(VLOOKUP(L26,Dictionary!$Y:$Z,1,0)),"_AD|",(VLOOKUP(M26,Dictionary!$AB:$AC,2,0)),"_IT|",(VLOOKUP(N26,Dictionary!$BC:$BD,2,0)),IF(O26="","",CONCATENATE("_U1|",SUBSTITUTE(SUBSTITUTE(O26,"_","-"),"|","-"))),IF(P26="","",CONCATENATE("_U2|",SUBSTITUTE(SUBSTITUTE(P26,"_","-"),"|","-"))),IF(Q26="","",CONCATENATE("_U3|",SUBSTITUTE(SUBSTITUTE(Q26,"_","-"),"|","-")))))</f>
        <v>MK|BR_CH|PSD_DT|CROSS_PB|FCBK_FM|LNK_RT|CPM_PD|DOTZ-ZERO-ANUIDADE-AMARELO-QUAD_TG|NON_ST|NON_TS|NONE_SZ|1X1_AD|CM1_IT|SOC</v>
      </c>
    </row>
    <row r="27" ht="15.75" customHeight="1">
      <c r="A27" s="51"/>
      <c r="B27" s="51" t="s">
        <v>15</v>
      </c>
      <c r="C27" s="51" t="s">
        <v>51</v>
      </c>
      <c r="D27" s="51" t="s">
        <v>43</v>
      </c>
      <c r="E27" s="51" t="s">
        <v>52</v>
      </c>
      <c r="F27" s="51" t="s">
        <v>79</v>
      </c>
      <c r="G27" s="51" t="s">
        <v>71</v>
      </c>
      <c r="H27" s="51" t="s">
        <v>92</v>
      </c>
      <c r="I27" s="51" t="s">
        <v>17</v>
      </c>
      <c r="J27" s="51" t="s">
        <v>17</v>
      </c>
      <c r="K27" s="50"/>
      <c r="L27" s="51" t="s">
        <v>58</v>
      </c>
      <c r="M27" s="52" t="s">
        <v>59</v>
      </c>
      <c r="N27" s="52" t="s">
        <v>60</v>
      </c>
      <c r="O27" s="54"/>
      <c r="P27" s="53"/>
      <c r="Q27" s="32"/>
      <c r="R27" s="33" t="str">
        <f>IF(K27="----","#N/A",CONCATENATE("MK|",(VLOOKUP(B27,Dictionary!$A:$B,2,0)),"_CH|",(VLOOKUP(C27,Dictionary!$AV:$AW,2,0)),"_DT|",(VLOOKUP(D27,Dictionary!$P:$Q,2,0)),"_PB|",(VLOOKUP(E27,Dictionary!$G:$H,2,0)),"_FM|",(VLOOKUP(F27,Dictionary!$S:$T,2,0)),"_RT|",(VLOOKUP(G27,Dictionary!$V:$W,2,0)),"_PD|",SUBSTITUTE(SUBSTITUTE(IF(H27="","NONE",H27),"_","-"),"|","-"),"_TG|",(VLOOKUP(I27,Dictionary!$J:$K,2,0)),"_ST|",(VLOOKUP(J27,Dictionary!$M:$N,2,0)),"_TS|",SUBSTITUTE(SUBSTITUTE(IF(K27="","NONE",K27),"_","-"),"|","-"),"_SZ|",(VLOOKUP(L27,Dictionary!$Y:$Z,1,0)),"_AD|",(VLOOKUP(M27,Dictionary!$AB:$AC,2,0)),"_IT|",(VLOOKUP(N27,Dictionary!$BC:$BD,2,0)),IF(O27="","",CONCATENATE("_U1|",SUBSTITUTE(SUBSTITUTE(O27,"_","-"),"|","-"))),IF(P27="","",CONCATENATE("_U2|",SUBSTITUTE(SUBSTITUTE(P27,"_","-"),"|","-"))),IF(Q27="","",CONCATENATE("_U3|",SUBSTITUTE(SUBSTITUTE(Q27,"_","-"),"|","-")))))</f>
        <v>MK|BR_CH|PSD_DT|CROSS_PB|FCBK_FM|GIF_RT|CPM_PD|DOTZ-ZERO-ANUIDADE-AMARELO_TG|NON_ST|NON_TS|NONE_SZ|1X1_AD|CM1_IT|SOC</v>
      </c>
    </row>
    <row r="28" ht="15.75" customHeight="1">
      <c r="A28" s="51"/>
      <c r="B28" s="51" t="s">
        <v>15</v>
      </c>
      <c r="C28" s="51" t="s">
        <v>51</v>
      </c>
      <c r="D28" s="51" t="s">
        <v>43</v>
      </c>
      <c r="E28" s="51" t="s">
        <v>52</v>
      </c>
      <c r="F28" s="51" t="s">
        <v>80</v>
      </c>
      <c r="G28" s="51" t="s">
        <v>71</v>
      </c>
      <c r="H28" s="51" t="s">
        <v>92</v>
      </c>
      <c r="I28" s="51" t="s">
        <v>17</v>
      </c>
      <c r="J28" s="51" t="s">
        <v>17</v>
      </c>
      <c r="K28" s="50"/>
      <c r="L28" s="51" t="s">
        <v>58</v>
      </c>
      <c r="M28" s="52" t="s">
        <v>59</v>
      </c>
      <c r="N28" s="52" t="s">
        <v>60</v>
      </c>
      <c r="O28" s="54"/>
      <c r="P28" s="53"/>
      <c r="Q28" s="32"/>
      <c r="R28" s="33" t="str">
        <f>IF(K28="----","#N/A",CONCATENATE("MK|",(VLOOKUP(B28,Dictionary!$A:$B,2,0)),"_CH|",(VLOOKUP(C28,Dictionary!$AV:$AW,2,0)),"_DT|",(VLOOKUP(D28,Dictionary!$P:$Q,2,0)),"_PB|",(VLOOKUP(E28,Dictionary!$G:$H,2,0)),"_FM|",(VLOOKUP(F28,Dictionary!$S:$T,2,0)),"_RT|",(VLOOKUP(G28,Dictionary!$V:$W,2,0)),"_PD|",SUBSTITUTE(SUBSTITUTE(IF(H28="","NONE",H28),"_","-"),"|","-"),"_TG|",(VLOOKUP(I28,Dictionary!$J:$K,2,0)),"_ST|",(VLOOKUP(J28,Dictionary!$M:$N,2,0)),"_TS|",SUBSTITUTE(SUBSTITUTE(IF(K28="","NONE",K28),"_","-"),"|","-"),"_SZ|",(VLOOKUP(L28,Dictionary!$Y:$Z,1,0)),"_AD|",(VLOOKUP(M28,Dictionary!$AB:$AC,2,0)),"_IT|",(VLOOKUP(N28,Dictionary!$BC:$BD,2,0)),IF(O28="","",CONCATENATE("_U1|",SUBSTITUTE(SUBSTITUTE(O28,"_","-"),"|","-"))),IF(P28="","",CONCATENATE("_U2|",SUBSTITUTE(SUBSTITUTE(P28,"_","-"),"|","-"))),IF(Q28="","",CONCATENATE("_U3|",SUBSTITUTE(SUBSTITUTE(Q28,"_","-"),"|","-")))))</f>
        <v>MK|BR_CH|PSD_DT|CROSS_PB|FCBK_FM|CAR_RT|CPM_PD|DOTZ-ZERO-ANUIDADE-AMARELO_TG|NON_ST|NON_TS|NONE_SZ|1X1_AD|CM1_IT|SOC</v>
      </c>
    </row>
    <row r="29" ht="15.75" customHeight="1">
      <c r="A29" s="51"/>
      <c r="B29" s="51" t="s">
        <v>15</v>
      </c>
      <c r="C29" s="51" t="s">
        <v>51</v>
      </c>
      <c r="D29" s="51" t="s">
        <v>43</v>
      </c>
      <c r="E29" s="51" t="s">
        <v>52</v>
      </c>
      <c r="F29" s="51" t="s">
        <v>81</v>
      </c>
      <c r="G29" s="51" t="s">
        <v>71</v>
      </c>
      <c r="H29" s="51" t="s">
        <v>94</v>
      </c>
      <c r="I29" s="51" t="s">
        <v>17</v>
      </c>
      <c r="J29" s="51" t="s">
        <v>17</v>
      </c>
      <c r="K29" s="50"/>
      <c r="L29" s="51" t="s">
        <v>58</v>
      </c>
      <c r="M29" s="52" t="s">
        <v>59</v>
      </c>
      <c r="N29" s="52" t="s">
        <v>60</v>
      </c>
      <c r="O29" s="54"/>
      <c r="P29" s="53"/>
      <c r="Q29" s="32"/>
      <c r="R29" s="33" t="str">
        <f>IF(K29="----","#N/A",CONCATENATE("MK|",(VLOOKUP(B29,Dictionary!$A:$B,2,0)),"_CH|",(VLOOKUP(C29,Dictionary!$AV:$AW,2,0)),"_DT|",(VLOOKUP(D29,Dictionary!$P:$Q,2,0)),"_PB|",(VLOOKUP(E29,Dictionary!$G:$H,2,0)),"_FM|",(VLOOKUP(F29,Dictionary!$S:$T,2,0)),"_RT|",(VLOOKUP(G29,Dictionary!$V:$W,2,0)),"_PD|",SUBSTITUTE(SUBSTITUTE(IF(H29="","NONE",H29),"_","-"),"|","-"),"_TG|",(VLOOKUP(I29,Dictionary!$J:$K,2,0)),"_ST|",(VLOOKUP(J29,Dictionary!$M:$N,2,0)),"_TS|",SUBSTITUTE(SUBSTITUTE(IF(K29="","NONE",K29),"_","-"),"|","-"),"_SZ|",(VLOOKUP(L29,Dictionary!$Y:$Z,1,0)),"_AD|",(VLOOKUP(M29,Dictionary!$AB:$AC,2,0)),"_IT|",(VLOOKUP(N29,Dictionary!$BC:$BD,2,0)),IF(O29="","",CONCATENATE("_U1|",SUBSTITUTE(SUBSTITUTE(O29,"_","-"),"|","-"))),IF(P29="","",CONCATENATE("_U2|",SUBSTITUTE(SUBSTITUTE(P29,"_","-"),"|","-"))),IF(Q29="","",CONCATENATE("_U3|",SUBSTITUTE(SUBSTITUTE(Q29,"_","-"),"|","-")))))</f>
        <v>MK|BR_CH|PSD_DT|CROSS_PB|FCBK_FM|STRY_RT|CPM_PD|DOTZ-ZERO-ANUIDADE-AMARELO-CAR_TG|NON_ST|NON_TS|NONE_SZ|1X1_AD|CM1_IT|SOC</v>
      </c>
    </row>
    <row r="30" ht="15.75" customHeight="1">
      <c r="A30" s="51"/>
      <c r="B30" s="51" t="s">
        <v>15</v>
      </c>
      <c r="C30" s="51" t="s">
        <v>51</v>
      </c>
      <c r="D30" s="51" t="s">
        <v>43</v>
      </c>
      <c r="E30" s="51" t="s">
        <v>52</v>
      </c>
      <c r="F30" s="51" t="s">
        <v>76</v>
      </c>
      <c r="G30" s="51" t="s">
        <v>71</v>
      </c>
      <c r="H30" s="51" t="s">
        <v>95</v>
      </c>
      <c r="I30" s="51" t="s">
        <v>17</v>
      </c>
      <c r="J30" s="51" t="s">
        <v>17</v>
      </c>
      <c r="K30" s="50"/>
      <c r="L30" s="51" t="s">
        <v>58</v>
      </c>
      <c r="M30" s="52" t="s">
        <v>59</v>
      </c>
      <c r="N30" s="52" t="s">
        <v>60</v>
      </c>
      <c r="O30" s="54"/>
      <c r="P30" s="53"/>
      <c r="Q30" s="32"/>
      <c r="R30" s="33" t="str">
        <f>IF(K30="----","#N/A",CONCATENATE("MK|",(VLOOKUP(B30,Dictionary!$A:$B,2,0)),"_CH|",(VLOOKUP(C30,Dictionary!$AV:$AW,2,0)),"_DT|",(VLOOKUP(D30,Dictionary!$P:$Q,2,0)),"_PB|",(VLOOKUP(E30,Dictionary!$G:$H,2,0)),"_FM|",(VLOOKUP(F30,Dictionary!$S:$T,2,0)),"_RT|",(VLOOKUP(G30,Dictionary!$V:$W,2,0)),"_PD|",SUBSTITUTE(SUBSTITUTE(IF(H30="","NONE",H30),"_","-"),"|","-"),"_TG|",(VLOOKUP(I30,Dictionary!$J:$K,2,0)),"_ST|",(VLOOKUP(J30,Dictionary!$M:$N,2,0)),"_TS|",SUBSTITUTE(SUBSTITUTE(IF(K30="","NONE",K30),"_","-"),"|","-"),"_SZ|",(VLOOKUP(L30,Dictionary!$Y:$Z,1,0)),"_AD|",(VLOOKUP(M30,Dictionary!$AB:$AC,2,0)),"_IT|",(VLOOKUP(N30,Dictionary!$BC:$BD,2,0)),IF(O30="","",CONCATENATE("_U1|",SUBSTITUTE(SUBSTITUTE(O30,"_","-"),"|","-"))),IF(P30="","",CONCATENATE("_U2|",SUBSTITUTE(SUBSTITUTE(P30,"_","-"),"|","-"))),IF(Q30="","",CONCATENATE("_U3|",SUBSTITUTE(SUBSTITUTE(Q30,"_","-"),"|","-")))))</f>
        <v>MK|BR_CH|PSD_DT|CROSS_PB|FCBK_FM|LNK_RT|CPM_PD|DOTZ-TODOS-BENEFICIOS-AMARELO_TG|NON_ST|NON_TS|NONE_SZ|1X1_AD|CM1_IT|SOC</v>
      </c>
    </row>
    <row r="31" ht="15.75" customHeight="1">
      <c r="A31" s="51"/>
      <c r="B31" s="51" t="s">
        <v>15</v>
      </c>
      <c r="C31" s="51" t="s">
        <v>51</v>
      </c>
      <c r="D31" s="51" t="s">
        <v>43</v>
      </c>
      <c r="E31" s="51" t="s">
        <v>52</v>
      </c>
      <c r="F31" s="51" t="s">
        <v>76</v>
      </c>
      <c r="G31" s="51" t="s">
        <v>71</v>
      </c>
      <c r="H31" s="51" t="s">
        <v>96</v>
      </c>
      <c r="I31" s="51" t="s">
        <v>17</v>
      </c>
      <c r="J31" s="51" t="s">
        <v>17</v>
      </c>
      <c r="K31" s="50"/>
      <c r="L31" s="51" t="s">
        <v>58</v>
      </c>
      <c r="M31" s="52" t="s">
        <v>59</v>
      </c>
      <c r="N31" s="52" t="s">
        <v>60</v>
      </c>
      <c r="O31" s="54"/>
      <c r="P31" s="53"/>
      <c r="Q31" s="32"/>
      <c r="R31" s="33" t="str">
        <f>IF(K31="----","#N/A",CONCATENATE("MK|",(VLOOKUP(B31,Dictionary!$A:$B,2,0)),"_CH|",(VLOOKUP(C31,Dictionary!$AV:$AW,2,0)),"_DT|",(VLOOKUP(D31,Dictionary!$P:$Q,2,0)),"_PB|",(VLOOKUP(E31,Dictionary!$G:$H,2,0)),"_FM|",(VLOOKUP(F31,Dictionary!$S:$T,2,0)),"_RT|",(VLOOKUP(G31,Dictionary!$V:$W,2,0)),"_PD|",SUBSTITUTE(SUBSTITUTE(IF(H31="","NONE",H31),"_","-"),"|","-"),"_TG|",(VLOOKUP(I31,Dictionary!$J:$K,2,0)),"_ST|",(VLOOKUP(J31,Dictionary!$M:$N,2,0)),"_TS|",SUBSTITUTE(SUBSTITUTE(IF(K31="","NONE",K31),"_","-"),"|","-"),"_SZ|",(VLOOKUP(L31,Dictionary!$Y:$Z,1,0)),"_AD|",(VLOOKUP(M31,Dictionary!$AB:$AC,2,0)),"_IT|",(VLOOKUP(N31,Dictionary!$BC:$BD,2,0)),IF(O31="","",CONCATENATE("_U1|",SUBSTITUTE(SUBSTITUTE(O31,"_","-"),"|","-"))),IF(P31="","",CONCATENATE("_U2|",SUBSTITUTE(SUBSTITUTE(P31,"_","-"),"|","-"))),IF(Q31="","",CONCATENATE("_U3|",SUBSTITUTE(SUBSTITUTE(Q31,"_","-"),"|","-")))))</f>
        <v>MK|BR_CH|PSD_DT|CROSS_PB|FCBK_FM|LNK_RT|CPM_PD|DOTZ-TODOS-BENEFICIOS-AMARELO-QUAD_TG|NON_ST|NON_TS|NONE_SZ|1X1_AD|CM1_IT|SOC</v>
      </c>
    </row>
    <row r="32" ht="15.75" customHeight="1">
      <c r="A32" s="51"/>
      <c r="B32" s="51" t="s">
        <v>15</v>
      </c>
      <c r="C32" s="51" t="s">
        <v>51</v>
      </c>
      <c r="D32" s="51" t="s">
        <v>43</v>
      </c>
      <c r="E32" s="51" t="s">
        <v>52</v>
      </c>
      <c r="F32" s="51" t="s">
        <v>79</v>
      </c>
      <c r="G32" s="51" t="s">
        <v>71</v>
      </c>
      <c r="H32" s="51" t="s">
        <v>95</v>
      </c>
      <c r="I32" s="51" t="s">
        <v>17</v>
      </c>
      <c r="J32" s="51" t="s">
        <v>17</v>
      </c>
      <c r="K32" s="50"/>
      <c r="L32" s="51" t="s">
        <v>58</v>
      </c>
      <c r="M32" s="52" t="s">
        <v>59</v>
      </c>
      <c r="N32" s="52" t="s">
        <v>60</v>
      </c>
      <c r="O32" s="54"/>
      <c r="P32" s="53"/>
      <c r="Q32" s="32"/>
      <c r="R32" s="33" t="str">
        <f>IF(K32="----","#N/A",CONCATENATE("MK|",(VLOOKUP(B32,Dictionary!$A:$B,2,0)),"_CH|",(VLOOKUP(C32,Dictionary!$AV:$AW,2,0)),"_DT|",(VLOOKUP(D32,Dictionary!$P:$Q,2,0)),"_PB|",(VLOOKUP(E32,Dictionary!$G:$H,2,0)),"_FM|",(VLOOKUP(F32,Dictionary!$S:$T,2,0)),"_RT|",(VLOOKUP(G32,Dictionary!$V:$W,2,0)),"_PD|",SUBSTITUTE(SUBSTITUTE(IF(H32="","NONE",H32),"_","-"),"|","-"),"_TG|",(VLOOKUP(I32,Dictionary!$J:$K,2,0)),"_ST|",(VLOOKUP(J32,Dictionary!$M:$N,2,0)),"_TS|",SUBSTITUTE(SUBSTITUTE(IF(K32="","NONE",K32),"_","-"),"|","-"),"_SZ|",(VLOOKUP(L32,Dictionary!$Y:$Z,1,0)),"_AD|",(VLOOKUP(M32,Dictionary!$AB:$AC,2,0)),"_IT|",(VLOOKUP(N32,Dictionary!$BC:$BD,2,0)),IF(O32="","",CONCATENATE("_U1|",SUBSTITUTE(SUBSTITUTE(O32,"_","-"),"|","-"))),IF(P32="","",CONCATENATE("_U2|",SUBSTITUTE(SUBSTITUTE(P32,"_","-"),"|","-"))),IF(Q32="","",CONCATENATE("_U3|",SUBSTITUTE(SUBSTITUTE(Q32,"_","-"),"|","-")))))</f>
        <v>MK|BR_CH|PSD_DT|CROSS_PB|FCBK_FM|GIF_RT|CPM_PD|DOTZ-TODOS-BENEFICIOS-AMARELO_TG|NON_ST|NON_TS|NONE_SZ|1X1_AD|CM1_IT|SOC</v>
      </c>
    </row>
    <row r="33" ht="15.75" customHeight="1">
      <c r="A33" s="51"/>
      <c r="B33" s="51" t="s">
        <v>15</v>
      </c>
      <c r="C33" s="51" t="s">
        <v>51</v>
      </c>
      <c r="D33" s="51" t="s">
        <v>43</v>
      </c>
      <c r="E33" s="51" t="s">
        <v>52</v>
      </c>
      <c r="F33" s="51" t="s">
        <v>80</v>
      </c>
      <c r="G33" s="51" t="s">
        <v>71</v>
      </c>
      <c r="H33" s="51" t="s">
        <v>95</v>
      </c>
      <c r="I33" s="51" t="s">
        <v>17</v>
      </c>
      <c r="J33" s="51" t="s">
        <v>17</v>
      </c>
      <c r="K33" s="50"/>
      <c r="L33" s="51" t="s">
        <v>58</v>
      </c>
      <c r="M33" s="52" t="s">
        <v>59</v>
      </c>
      <c r="N33" s="52" t="s">
        <v>60</v>
      </c>
      <c r="O33" s="54"/>
      <c r="P33" s="53"/>
      <c r="Q33" s="32"/>
      <c r="R33" s="33" t="str">
        <f>IF(K33="----","#N/A",CONCATENATE("MK|",(VLOOKUP(B33,Dictionary!$A:$B,2,0)),"_CH|",(VLOOKUP(C33,Dictionary!$AV:$AW,2,0)),"_DT|",(VLOOKUP(D33,Dictionary!$P:$Q,2,0)),"_PB|",(VLOOKUP(E33,Dictionary!$G:$H,2,0)),"_FM|",(VLOOKUP(F33,Dictionary!$S:$T,2,0)),"_RT|",(VLOOKUP(G33,Dictionary!$V:$W,2,0)),"_PD|",SUBSTITUTE(SUBSTITUTE(IF(H33="","NONE",H33),"_","-"),"|","-"),"_TG|",(VLOOKUP(I33,Dictionary!$J:$K,2,0)),"_ST|",(VLOOKUP(J33,Dictionary!$M:$N,2,0)),"_TS|",SUBSTITUTE(SUBSTITUTE(IF(K33="","NONE",K33),"_","-"),"|","-"),"_SZ|",(VLOOKUP(L33,Dictionary!$Y:$Z,1,0)),"_AD|",(VLOOKUP(M33,Dictionary!$AB:$AC,2,0)),"_IT|",(VLOOKUP(N33,Dictionary!$BC:$BD,2,0)),IF(O33="","",CONCATENATE("_U1|",SUBSTITUTE(SUBSTITUTE(O33,"_","-"),"|","-"))),IF(P33="","",CONCATENATE("_U2|",SUBSTITUTE(SUBSTITUTE(P33,"_","-"),"|","-"))),IF(Q33="","",CONCATENATE("_U3|",SUBSTITUTE(SUBSTITUTE(Q33,"_","-"),"|","-")))))</f>
        <v>MK|BR_CH|PSD_DT|CROSS_PB|FCBK_FM|CAR_RT|CPM_PD|DOTZ-TODOS-BENEFICIOS-AMARELO_TG|NON_ST|NON_TS|NONE_SZ|1X1_AD|CM1_IT|SOC</v>
      </c>
    </row>
    <row r="34" ht="15.75" customHeight="1">
      <c r="A34" s="51"/>
      <c r="B34" s="51" t="s">
        <v>15</v>
      </c>
      <c r="C34" s="51" t="s">
        <v>51</v>
      </c>
      <c r="D34" s="51" t="s">
        <v>43</v>
      </c>
      <c r="E34" s="51" t="s">
        <v>52</v>
      </c>
      <c r="F34" s="51" t="s">
        <v>81</v>
      </c>
      <c r="G34" s="51" t="s">
        <v>71</v>
      </c>
      <c r="H34" s="51" t="s">
        <v>97</v>
      </c>
      <c r="I34" s="51" t="s">
        <v>17</v>
      </c>
      <c r="J34" s="51" t="s">
        <v>17</v>
      </c>
      <c r="K34" s="50"/>
      <c r="L34" s="51" t="s">
        <v>58</v>
      </c>
      <c r="M34" s="52" t="s">
        <v>59</v>
      </c>
      <c r="N34" s="52" t="s">
        <v>60</v>
      </c>
      <c r="O34" s="54"/>
      <c r="P34" s="53"/>
      <c r="Q34" s="32"/>
      <c r="R34" s="33" t="str">
        <f>IF(K34="----","#N/A",CONCATENATE("MK|",(VLOOKUP(B34,Dictionary!$A:$B,2,0)),"_CH|",(VLOOKUP(C34,Dictionary!$AV:$AW,2,0)),"_DT|",(VLOOKUP(D34,Dictionary!$P:$Q,2,0)),"_PB|",(VLOOKUP(E34,Dictionary!$G:$H,2,0)),"_FM|",(VLOOKUP(F34,Dictionary!$S:$T,2,0)),"_RT|",(VLOOKUP(G34,Dictionary!$V:$W,2,0)),"_PD|",SUBSTITUTE(SUBSTITUTE(IF(H34="","NONE",H34),"_","-"),"|","-"),"_TG|",(VLOOKUP(I34,Dictionary!$J:$K,2,0)),"_ST|",(VLOOKUP(J34,Dictionary!$M:$N,2,0)),"_TS|",SUBSTITUTE(SUBSTITUTE(IF(K34="","NONE",K34),"_","-"),"|","-"),"_SZ|",(VLOOKUP(L34,Dictionary!$Y:$Z,1,0)),"_AD|",(VLOOKUP(M34,Dictionary!$AB:$AC,2,0)),"_IT|",(VLOOKUP(N34,Dictionary!$BC:$BD,2,0)),IF(O34="","",CONCATENATE("_U1|",SUBSTITUTE(SUBSTITUTE(O34,"_","-"),"|","-"))),IF(P34="","",CONCATENATE("_U2|",SUBSTITUTE(SUBSTITUTE(P34,"_","-"),"|","-"))),IF(Q34="","",CONCATENATE("_U3|",SUBSTITUTE(SUBSTITUTE(Q34,"_","-"),"|","-")))))</f>
        <v>MK|BR_CH|PSD_DT|CROSS_PB|FCBK_FM|STRY_RT|CPM_PD|DOTZ-TODOS-BENEFICIOS-AMARELO-CAR_TG|NON_ST|NON_TS|NONE_SZ|1X1_AD|CM1_IT|SOC</v>
      </c>
    </row>
    <row r="35" ht="15.75" customHeight="1">
      <c r="A35" s="55"/>
      <c r="B35" s="55" t="s">
        <v>15</v>
      </c>
      <c r="C35" s="55" t="s">
        <v>51</v>
      </c>
      <c r="D35" s="55" t="s">
        <v>43</v>
      </c>
      <c r="E35" s="55" t="s">
        <v>52</v>
      </c>
      <c r="F35" s="55" t="s">
        <v>76</v>
      </c>
      <c r="G35" s="55" t="s">
        <v>71</v>
      </c>
      <c r="H35" s="55" t="s">
        <v>98</v>
      </c>
      <c r="I35" s="55" t="s">
        <v>17</v>
      </c>
      <c r="J35" s="55" t="s">
        <v>17</v>
      </c>
      <c r="K35" s="56"/>
      <c r="L35" s="55" t="s">
        <v>58</v>
      </c>
      <c r="M35" s="57" t="s">
        <v>59</v>
      </c>
      <c r="N35" s="57" t="s">
        <v>60</v>
      </c>
      <c r="O35" s="58"/>
      <c r="P35" s="59"/>
      <c r="Q35" s="59"/>
      <c r="R35" s="56" t="str">
        <f>IF(K35="----","#N/A",CONCATENATE("MK|",(VLOOKUP(B35,Dictionary!$A:$B,2,0)),"_CH|",(VLOOKUP(C35,Dictionary!$AV:$AW,2,0)),"_DT|",(VLOOKUP(D35,Dictionary!$P:$Q,2,0)),"_PB|",(VLOOKUP(E35,Dictionary!$G:$H,2,0)),"_FM|",(VLOOKUP(F35,Dictionary!$S:$T,2,0)),"_RT|",(VLOOKUP(G35,Dictionary!$V:$W,2,0)),"_PD|",SUBSTITUTE(SUBSTITUTE(IF(H35="","NONE",H35),"_","-"),"|","-"),"_TG|",(VLOOKUP(I35,Dictionary!$J:$K,2,0)),"_ST|",(VLOOKUP(J35,Dictionary!$M:$N,2,0)),"_TS|",SUBSTITUTE(SUBSTITUTE(IF(K35="","NONE",K35),"_","-"),"|","-"),"_SZ|",(VLOOKUP(L35,Dictionary!$Y:$Z,1,0)),"_AD|",(VLOOKUP(M35,Dictionary!$AB:$AC,2,0)),"_IT|",(VLOOKUP(N35,Dictionary!$BC:$BD,2,0)),IF(O35="","",CONCATENATE("_U1|",SUBSTITUTE(SUBSTITUTE(O35,"_","-"),"|","-"))),IF(P35="","",CONCATENATE("_U2|",SUBSTITUTE(SUBSTITUTE(P35,"_","-"),"|","-"))),IF(Q35="","",CONCATENATE("_U3|",SUBSTITUTE(SUBSTITUTE(Q35,"_","-"),"|","-")))))</f>
        <v>MK|BR_CH|PSD_DT|CROSS_PB|FCBK_FM|LNK_RT|CPM_PD|DOTZ-CONVERSAO-AMARELO_TG|NON_ST|NON_TS|NONE_SZ|1X1_AD|CM1_IT|SOC</v>
      </c>
      <c r="S35" s="60"/>
      <c r="T35" s="60"/>
      <c r="U35" s="60"/>
      <c r="V35" s="60"/>
      <c r="W35" s="60"/>
      <c r="X35" s="60"/>
      <c r="Y35" s="60"/>
      <c r="Z35" s="60"/>
      <c r="AA35" s="60"/>
    </row>
    <row r="36" ht="15.75" customHeight="1">
      <c r="A36" s="51"/>
      <c r="B36" s="51" t="s">
        <v>15</v>
      </c>
      <c r="C36" s="51" t="s">
        <v>51</v>
      </c>
      <c r="D36" s="51" t="s">
        <v>43</v>
      </c>
      <c r="E36" s="51" t="s">
        <v>52</v>
      </c>
      <c r="F36" s="51" t="s">
        <v>76</v>
      </c>
      <c r="G36" s="51" t="s">
        <v>71</v>
      </c>
      <c r="H36" s="51" t="s">
        <v>99</v>
      </c>
      <c r="I36" s="51" t="s">
        <v>17</v>
      </c>
      <c r="J36" s="51" t="s">
        <v>17</v>
      </c>
      <c r="K36" s="50"/>
      <c r="L36" s="51" t="s">
        <v>58</v>
      </c>
      <c r="M36" s="52" t="s">
        <v>59</v>
      </c>
      <c r="N36" s="52" t="s">
        <v>60</v>
      </c>
      <c r="O36" s="54"/>
      <c r="P36" s="53"/>
      <c r="Q36" s="32"/>
      <c r="R36" s="33" t="str">
        <f>IF(K36="----","#N/A",CONCATENATE("MK|",(VLOOKUP(B36,Dictionary!$A:$B,2,0)),"_CH|",(VLOOKUP(C36,Dictionary!$AV:$AW,2,0)),"_DT|",(VLOOKUP(D36,Dictionary!$P:$Q,2,0)),"_PB|",(VLOOKUP(E36,Dictionary!$G:$H,2,0)),"_FM|",(VLOOKUP(F36,Dictionary!$S:$T,2,0)),"_RT|",(VLOOKUP(G36,Dictionary!$V:$W,2,0)),"_PD|",SUBSTITUTE(SUBSTITUTE(IF(H36="","NONE",H36),"_","-"),"|","-"),"_TG|",(VLOOKUP(I36,Dictionary!$J:$K,2,0)),"_ST|",(VLOOKUP(J36,Dictionary!$M:$N,2,0)),"_TS|",SUBSTITUTE(SUBSTITUTE(IF(K36="","NONE",K36),"_","-"),"|","-"),"_SZ|",(VLOOKUP(L36,Dictionary!$Y:$Z,1,0)),"_AD|",(VLOOKUP(M36,Dictionary!$AB:$AC,2,0)),"_IT|",(VLOOKUP(N36,Dictionary!$BC:$BD,2,0)),IF(O36="","",CONCATENATE("_U1|",SUBSTITUTE(SUBSTITUTE(O36,"_","-"),"|","-"))),IF(P36="","",CONCATENATE("_U2|",SUBSTITUTE(SUBSTITUTE(P36,"_","-"),"|","-"))),IF(Q36="","",CONCATENATE("_U3|",SUBSTITUTE(SUBSTITUTE(Q36,"_","-"),"|","-")))))</f>
        <v>MK|BR_CH|PSD_DT|CROSS_PB|FCBK_FM|LNK_RT|CPM_PD|DOTZ-CONVERSAO-AMARELO-QUAD_TG|NON_ST|NON_TS|NONE_SZ|1X1_AD|CM1_IT|SOC</v>
      </c>
    </row>
    <row r="37" ht="15.75" customHeight="1">
      <c r="A37" s="51"/>
      <c r="B37" s="51" t="s">
        <v>15</v>
      </c>
      <c r="C37" s="51" t="s">
        <v>51</v>
      </c>
      <c r="D37" s="51" t="s">
        <v>43</v>
      </c>
      <c r="E37" s="51" t="s">
        <v>52</v>
      </c>
      <c r="F37" s="51" t="s">
        <v>79</v>
      </c>
      <c r="G37" s="51" t="s">
        <v>71</v>
      </c>
      <c r="H37" s="51" t="s">
        <v>98</v>
      </c>
      <c r="I37" s="51" t="s">
        <v>17</v>
      </c>
      <c r="J37" s="51" t="s">
        <v>17</v>
      </c>
      <c r="K37" s="50"/>
      <c r="L37" s="51" t="s">
        <v>58</v>
      </c>
      <c r="M37" s="52" t="s">
        <v>59</v>
      </c>
      <c r="N37" s="52" t="s">
        <v>60</v>
      </c>
      <c r="O37" s="54"/>
      <c r="P37" s="53"/>
      <c r="Q37" s="32"/>
      <c r="R37" s="33" t="str">
        <f>IF(K37="----","#N/A",CONCATENATE("MK|",(VLOOKUP(B37,Dictionary!$A:$B,2,0)),"_CH|",(VLOOKUP(C37,Dictionary!$AV:$AW,2,0)),"_DT|",(VLOOKUP(D37,Dictionary!$P:$Q,2,0)),"_PB|",(VLOOKUP(E37,Dictionary!$G:$H,2,0)),"_FM|",(VLOOKUP(F37,Dictionary!$S:$T,2,0)),"_RT|",(VLOOKUP(G37,Dictionary!$V:$W,2,0)),"_PD|",SUBSTITUTE(SUBSTITUTE(IF(H37="","NONE",H37),"_","-"),"|","-"),"_TG|",(VLOOKUP(I37,Dictionary!$J:$K,2,0)),"_ST|",(VLOOKUP(J37,Dictionary!$M:$N,2,0)),"_TS|",SUBSTITUTE(SUBSTITUTE(IF(K37="","NONE",K37),"_","-"),"|","-"),"_SZ|",(VLOOKUP(L37,Dictionary!$Y:$Z,1,0)),"_AD|",(VLOOKUP(M37,Dictionary!$AB:$AC,2,0)),"_IT|",(VLOOKUP(N37,Dictionary!$BC:$BD,2,0)),IF(O37="","",CONCATENATE("_U1|",SUBSTITUTE(SUBSTITUTE(O37,"_","-"),"|","-"))),IF(P37="","",CONCATENATE("_U2|",SUBSTITUTE(SUBSTITUTE(P37,"_","-"),"|","-"))),IF(Q37="","",CONCATENATE("_U3|",SUBSTITUTE(SUBSTITUTE(Q37,"_","-"),"|","-")))))</f>
        <v>MK|BR_CH|PSD_DT|CROSS_PB|FCBK_FM|GIF_RT|CPM_PD|DOTZ-CONVERSAO-AMARELO_TG|NON_ST|NON_TS|NONE_SZ|1X1_AD|CM1_IT|SOC</v>
      </c>
    </row>
    <row r="38" ht="15.75" customHeight="1">
      <c r="A38" s="51"/>
      <c r="B38" s="51" t="s">
        <v>15</v>
      </c>
      <c r="C38" s="51" t="s">
        <v>51</v>
      </c>
      <c r="D38" s="51" t="s">
        <v>43</v>
      </c>
      <c r="E38" s="51" t="s">
        <v>52</v>
      </c>
      <c r="F38" s="51" t="s">
        <v>80</v>
      </c>
      <c r="G38" s="51" t="s">
        <v>71</v>
      </c>
      <c r="H38" s="51" t="s">
        <v>98</v>
      </c>
      <c r="I38" s="51" t="s">
        <v>17</v>
      </c>
      <c r="J38" s="51" t="s">
        <v>17</v>
      </c>
      <c r="K38" s="50"/>
      <c r="L38" s="51" t="s">
        <v>58</v>
      </c>
      <c r="M38" s="52" t="s">
        <v>59</v>
      </c>
      <c r="N38" s="52" t="s">
        <v>60</v>
      </c>
      <c r="O38" s="54"/>
      <c r="P38" s="53"/>
      <c r="Q38" s="32"/>
      <c r="R38" s="33" t="str">
        <f>IF(K38="----","#N/A",CONCATENATE("MK|",(VLOOKUP(B38,Dictionary!$A:$B,2,0)),"_CH|",(VLOOKUP(C38,Dictionary!$AV:$AW,2,0)),"_DT|",(VLOOKUP(D38,Dictionary!$P:$Q,2,0)),"_PB|",(VLOOKUP(E38,Dictionary!$G:$H,2,0)),"_FM|",(VLOOKUP(F38,Dictionary!$S:$T,2,0)),"_RT|",(VLOOKUP(G38,Dictionary!$V:$W,2,0)),"_PD|",SUBSTITUTE(SUBSTITUTE(IF(H38="","NONE",H38),"_","-"),"|","-"),"_TG|",(VLOOKUP(I38,Dictionary!$J:$K,2,0)),"_ST|",(VLOOKUP(J38,Dictionary!$M:$N,2,0)),"_TS|",SUBSTITUTE(SUBSTITUTE(IF(K38="","NONE",K38),"_","-"),"|","-"),"_SZ|",(VLOOKUP(L38,Dictionary!$Y:$Z,1,0)),"_AD|",(VLOOKUP(M38,Dictionary!$AB:$AC,2,0)),"_IT|",(VLOOKUP(N38,Dictionary!$BC:$BD,2,0)),IF(O38="","",CONCATENATE("_U1|",SUBSTITUTE(SUBSTITUTE(O38,"_","-"),"|","-"))),IF(P38="","",CONCATENATE("_U2|",SUBSTITUTE(SUBSTITUTE(P38,"_","-"),"|","-"))),IF(Q38="","",CONCATENATE("_U3|",SUBSTITUTE(SUBSTITUTE(Q38,"_","-"),"|","-")))))</f>
        <v>MK|BR_CH|PSD_DT|CROSS_PB|FCBK_FM|CAR_RT|CPM_PD|DOTZ-CONVERSAO-AMARELO_TG|NON_ST|NON_TS|NONE_SZ|1X1_AD|CM1_IT|SOC</v>
      </c>
    </row>
    <row r="39" ht="15.75" customHeight="1">
      <c r="A39" s="51"/>
      <c r="B39" s="51" t="s">
        <v>15</v>
      </c>
      <c r="C39" s="51" t="s">
        <v>51</v>
      </c>
      <c r="D39" s="51" t="s">
        <v>43</v>
      </c>
      <c r="E39" s="51" t="s">
        <v>52</v>
      </c>
      <c r="F39" s="51" t="s">
        <v>81</v>
      </c>
      <c r="G39" s="51" t="s">
        <v>71</v>
      </c>
      <c r="H39" s="51" t="s">
        <v>100</v>
      </c>
      <c r="I39" s="51" t="s">
        <v>17</v>
      </c>
      <c r="J39" s="51" t="s">
        <v>17</v>
      </c>
      <c r="K39" s="50"/>
      <c r="L39" s="51" t="s">
        <v>58</v>
      </c>
      <c r="M39" s="52" t="s">
        <v>59</v>
      </c>
      <c r="N39" s="52" t="s">
        <v>60</v>
      </c>
      <c r="O39" s="54"/>
      <c r="P39" s="53"/>
      <c r="Q39" s="32"/>
      <c r="R39" s="33" t="str">
        <f>IF(K39="----","#N/A",CONCATENATE("MK|",(VLOOKUP(B39,Dictionary!$A:$B,2,0)),"_CH|",(VLOOKUP(C39,Dictionary!$AV:$AW,2,0)),"_DT|",(VLOOKUP(D39,Dictionary!$P:$Q,2,0)),"_PB|",(VLOOKUP(E39,Dictionary!$G:$H,2,0)),"_FM|",(VLOOKUP(F39,Dictionary!$S:$T,2,0)),"_RT|",(VLOOKUP(G39,Dictionary!$V:$W,2,0)),"_PD|",SUBSTITUTE(SUBSTITUTE(IF(H39="","NONE",H39),"_","-"),"|","-"),"_TG|",(VLOOKUP(I39,Dictionary!$J:$K,2,0)),"_ST|",(VLOOKUP(J39,Dictionary!$M:$N,2,0)),"_TS|",SUBSTITUTE(SUBSTITUTE(IF(K39="","NONE",K39),"_","-"),"|","-"),"_SZ|",(VLOOKUP(L39,Dictionary!$Y:$Z,1,0)),"_AD|",(VLOOKUP(M39,Dictionary!$AB:$AC,2,0)),"_IT|",(VLOOKUP(N39,Dictionary!$BC:$BD,2,0)),IF(O39="","",CONCATENATE("_U1|",SUBSTITUTE(SUBSTITUTE(O39,"_","-"),"|","-"))),IF(P39="","",CONCATENATE("_U2|",SUBSTITUTE(SUBSTITUTE(P39,"_","-"),"|","-"))),IF(Q39="","",CONCATENATE("_U3|",SUBSTITUTE(SUBSTITUTE(Q39,"_","-"),"|","-")))))</f>
        <v>MK|BR_CH|PSD_DT|CROSS_PB|FCBK_FM|STRY_RT|CPM_PD|DOTZ-CONVERSAO-AMARELO-CAR_TG|NON_ST|NON_TS|NONE_SZ|1X1_AD|CM1_IT|SOC</v>
      </c>
    </row>
    <row r="40" ht="15.75" customHeight="1">
      <c r="A40" s="51"/>
      <c r="B40" s="51" t="s">
        <v>15</v>
      </c>
      <c r="C40" s="51" t="s">
        <v>51</v>
      </c>
      <c r="D40" s="51" t="s">
        <v>43</v>
      </c>
      <c r="E40" s="51" t="s">
        <v>52</v>
      </c>
      <c r="F40" s="51" t="s">
        <v>81</v>
      </c>
      <c r="G40" s="51" t="s">
        <v>71</v>
      </c>
      <c r="H40" s="51" t="s">
        <v>98</v>
      </c>
      <c r="I40" s="51" t="s">
        <v>17</v>
      </c>
      <c r="J40" s="51" t="s">
        <v>17</v>
      </c>
      <c r="K40" s="50"/>
      <c r="L40" s="51" t="s">
        <v>58</v>
      </c>
      <c r="M40" s="52" t="s">
        <v>59</v>
      </c>
      <c r="N40" s="52" t="s">
        <v>60</v>
      </c>
      <c r="O40" s="54"/>
      <c r="P40" s="53"/>
      <c r="Q40" s="32"/>
      <c r="R40" s="33" t="str">
        <f>IF(K40="----","#N/A",CONCATENATE("MK|",(VLOOKUP(B40,Dictionary!$A:$B,2,0)),"_CH|",(VLOOKUP(C40,Dictionary!$AV:$AW,2,0)),"_DT|",(VLOOKUP(D40,Dictionary!$P:$Q,2,0)),"_PB|",(VLOOKUP(E40,Dictionary!$G:$H,2,0)),"_FM|",(VLOOKUP(F40,Dictionary!$S:$T,2,0)),"_RT|",(VLOOKUP(G40,Dictionary!$V:$W,2,0)),"_PD|",SUBSTITUTE(SUBSTITUTE(IF(H40="","NONE",H40),"_","-"),"|","-"),"_TG|",(VLOOKUP(I40,Dictionary!$J:$K,2,0)),"_ST|",(VLOOKUP(J40,Dictionary!$M:$N,2,0)),"_TS|",SUBSTITUTE(SUBSTITUTE(IF(K40="","NONE",K40),"_","-"),"|","-"),"_SZ|",(VLOOKUP(L40,Dictionary!$Y:$Z,1,0)),"_AD|",(VLOOKUP(M40,Dictionary!$AB:$AC,2,0)),"_IT|",(VLOOKUP(N40,Dictionary!$BC:$BD,2,0)),IF(O40="","",CONCATENATE("_U1|",SUBSTITUTE(SUBSTITUTE(O40,"_","-"),"|","-"))),IF(P40="","",CONCATENATE("_U2|",SUBSTITUTE(SUBSTITUTE(P40,"_","-"),"|","-"))),IF(Q40="","",CONCATENATE("_U3|",SUBSTITUTE(SUBSTITUTE(Q40,"_","-"),"|","-")))))</f>
        <v>MK|BR_CH|PSD_DT|CROSS_PB|FCBK_FM|STRY_RT|CPM_PD|DOTZ-CONVERSAO-AMARELO_TG|NON_ST|NON_TS|NONE_SZ|1X1_AD|CM1_IT|SOC</v>
      </c>
    </row>
    <row r="41" ht="15.75" customHeight="1">
      <c r="A41" s="51"/>
      <c r="B41" s="51" t="s">
        <v>15</v>
      </c>
      <c r="C41" s="51" t="s">
        <v>51</v>
      </c>
      <c r="D41" s="51" t="s">
        <v>43</v>
      </c>
      <c r="E41" s="51" t="s">
        <v>52</v>
      </c>
      <c r="F41" s="51" t="s">
        <v>81</v>
      </c>
      <c r="G41" s="51" t="s">
        <v>71</v>
      </c>
      <c r="H41" s="51" t="s">
        <v>95</v>
      </c>
      <c r="I41" s="51" t="s">
        <v>17</v>
      </c>
      <c r="J41" s="51" t="s">
        <v>17</v>
      </c>
      <c r="K41" s="50"/>
      <c r="L41" s="51" t="s">
        <v>58</v>
      </c>
      <c r="M41" s="52" t="s">
        <v>59</v>
      </c>
      <c r="N41" s="52" t="s">
        <v>60</v>
      </c>
      <c r="O41" s="54"/>
      <c r="P41" s="53"/>
      <c r="Q41" s="32"/>
      <c r="R41" s="33" t="str">
        <f>IF(K41="----","#N/A",CONCATENATE("MK|",(VLOOKUP(B41,Dictionary!$A:$B,2,0)),"_CH|",(VLOOKUP(C41,Dictionary!$AV:$AW,2,0)),"_DT|",(VLOOKUP(D41,Dictionary!$P:$Q,2,0)),"_PB|",(VLOOKUP(E41,Dictionary!$G:$H,2,0)),"_FM|",(VLOOKUP(F41,Dictionary!$S:$T,2,0)),"_RT|",(VLOOKUP(G41,Dictionary!$V:$W,2,0)),"_PD|",SUBSTITUTE(SUBSTITUTE(IF(H41="","NONE",H41),"_","-"),"|","-"),"_TG|",(VLOOKUP(I41,Dictionary!$J:$K,2,0)),"_ST|",(VLOOKUP(J41,Dictionary!$M:$N,2,0)),"_TS|",SUBSTITUTE(SUBSTITUTE(IF(K41="","NONE",K41),"_","-"),"|","-"),"_SZ|",(VLOOKUP(L41,Dictionary!$Y:$Z,1,0)),"_AD|",(VLOOKUP(M41,Dictionary!$AB:$AC,2,0)),"_IT|",(VLOOKUP(N41,Dictionary!$BC:$BD,2,0)),IF(O41="","",CONCATENATE("_U1|",SUBSTITUTE(SUBSTITUTE(O41,"_","-"),"|","-"))),IF(P41="","",CONCATENATE("_U2|",SUBSTITUTE(SUBSTITUTE(P41,"_","-"),"|","-"))),IF(Q41="","",CONCATENATE("_U3|",SUBSTITUTE(SUBSTITUTE(Q41,"_","-"),"|","-")))))</f>
        <v>MK|BR_CH|PSD_DT|CROSS_PB|FCBK_FM|STRY_RT|CPM_PD|DOTZ-TODOS-BENEFICIOS-AMARELO_TG|NON_ST|NON_TS|NONE_SZ|1X1_AD|CM1_IT|SOC</v>
      </c>
    </row>
    <row r="42" ht="15.75" customHeight="1">
      <c r="A42" s="51"/>
      <c r="B42" s="51" t="s">
        <v>15</v>
      </c>
      <c r="C42" s="51" t="s">
        <v>51</v>
      </c>
      <c r="D42" s="51" t="s">
        <v>43</v>
      </c>
      <c r="E42" s="51" t="s">
        <v>52</v>
      </c>
      <c r="F42" s="51" t="s">
        <v>81</v>
      </c>
      <c r="G42" s="51" t="s">
        <v>71</v>
      </c>
      <c r="H42" s="51" t="s">
        <v>92</v>
      </c>
      <c r="I42" s="51" t="s">
        <v>17</v>
      </c>
      <c r="J42" s="51" t="s">
        <v>17</v>
      </c>
      <c r="K42" s="50"/>
      <c r="L42" s="51" t="s">
        <v>58</v>
      </c>
      <c r="M42" s="52" t="s">
        <v>59</v>
      </c>
      <c r="N42" s="52" t="s">
        <v>60</v>
      </c>
      <c r="O42" s="54"/>
      <c r="P42" s="53"/>
      <c r="Q42" s="32"/>
      <c r="R42" s="33" t="str">
        <f>IF(K42="----","#N/A",CONCATENATE("MK|",(VLOOKUP(B42,Dictionary!$A:$B,2,0)),"_CH|",(VLOOKUP(C42,Dictionary!$AV:$AW,2,0)),"_DT|",(VLOOKUP(D42,Dictionary!$P:$Q,2,0)),"_PB|",(VLOOKUP(E42,Dictionary!$G:$H,2,0)),"_FM|",(VLOOKUP(F42,Dictionary!$S:$T,2,0)),"_RT|",(VLOOKUP(G42,Dictionary!$V:$W,2,0)),"_PD|",SUBSTITUTE(SUBSTITUTE(IF(H42="","NONE",H42),"_","-"),"|","-"),"_TG|",(VLOOKUP(I42,Dictionary!$J:$K,2,0)),"_ST|",(VLOOKUP(J42,Dictionary!$M:$N,2,0)),"_TS|",SUBSTITUTE(SUBSTITUTE(IF(K42="","NONE",K42),"_","-"),"|","-"),"_SZ|",(VLOOKUP(L42,Dictionary!$Y:$Z,1,0)),"_AD|",(VLOOKUP(M42,Dictionary!$AB:$AC,2,0)),"_IT|",(VLOOKUP(N42,Dictionary!$BC:$BD,2,0)),IF(O42="","",CONCATENATE("_U1|",SUBSTITUTE(SUBSTITUTE(O42,"_","-"),"|","-"))),IF(P42="","",CONCATENATE("_U2|",SUBSTITUTE(SUBSTITUTE(P42,"_","-"),"|","-"))),IF(Q42="","",CONCATENATE("_U3|",SUBSTITUTE(SUBSTITUTE(Q42,"_","-"),"|","-")))))</f>
        <v>MK|BR_CH|PSD_DT|CROSS_PB|FCBK_FM|STRY_RT|CPM_PD|DOTZ-ZERO-ANUIDADE-AMARELO_TG|NON_ST|NON_TS|NONE_SZ|1X1_AD|CM1_IT|SOC</v>
      </c>
    </row>
    <row r="43" ht="15.75" customHeight="1">
      <c r="A43" s="51"/>
      <c r="B43" s="51" t="s">
        <v>15</v>
      </c>
      <c r="C43" s="51" t="s">
        <v>51</v>
      </c>
      <c r="D43" s="51" t="s">
        <v>43</v>
      </c>
      <c r="E43" s="51" t="s">
        <v>52</v>
      </c>
      <c r="F43" s="51" t="s">
        <v>81</v>
      </c>
      <c r="G43" s="51" t="s">
        <v>71</v>
      </c>
      <c r="H43" s="51" t="s">
        <v>89</v>
      </c>
      <c r="I43" s="51" t="s">
        <v>17</v>
      </c>
      <c r="J43" s="51" t="s">
        <v>17</v>
      </c>
      <c r="K43" s="50"/>
      <c r="L43" s="51" t="s">
        <v>58</v>
      </c>
      <c r="M43" s="52" t="s">
        <v>59</v>
      </c>
      <c r="N43" s="52" t="s">
        <v>60</v>
      </c>
      <c r="O43" s="54"/>
      <c r="P43" s="53"/>
      <c r="Q43" s="32"/>
      <c r="R43" s="33" t="str">
        <f>IF(K43="----","#N/A",CONCATENATE("MK|",(VLOOKUP(B43,Dictionary!$A:$B,2,0)),"_CH|",(VLOOKUP(C43,Dictionary!$AV:$AW,2,0)),"_DT|",(VLOOKUP(D43,Dictionary!$P:$Q,2,0)),"_PB|",(VLOOKUP(E43,Dictionary!$G:$H,2,0)),"_FM|",(VLOOKUP(F43,Dictionary!$S:$T,2,0)),"_RT|",(VLOOKUP(G43,Dictionary!$V:$W,2,0)),"_PD|",SUBSTITUTE(SUBSTITUTE(IF(H43="","NONE",H43),"_","-"),"|","-"),"_TG|",(VLOOKUP(I43,Dictionary!$J:$K,2,0)),"_ST|",(VLOOKUP(J43,Dictionary!$M:$N,2,0)),"_TS|",SUBSTITUTE(SUBSTITUTE(IF(K43="","NONE",K43),"_","-"),"|","-"),"_SZ|",(VLOOKUP(L43,Dictionary!$Y:$Z,1,0)),"_AD|",(VLOOKUP(M43,Dictionary!$AB:$AC,2,0)),"_IT|",(VLOOKUP(N43,Dictionary!$BC:$BD,2,0)),IF(O43="","",CONCATENATE("_U1|",SUBSTITUTE(SUBSTITUTE(O43,"_","-"),"|","-"))),IF(P43="","",CONCATENATE("_U2|",SUBSTITUTE(SUBSTITUTE(P43,"_","-"),"|","-"))),IF(Q43="","",CONCATENATE("_U3|",SUBSTITUTE(SUBSTITUTE(Q43,"_","-"),"|","-")))))</f>
        <v>MK|BR_CH|PSD_DT|CROSS_PB|FCBK_FM|STRY_RT|CPM_PD|DOTZ-10MIL-AMARELO_TG|NON_ST|NON_TS|NONE_SZ|1X1_AD|CM1_IT|SOC</v>
      </c>
    </row>
    <row r="44" ht="15.75" customHeight="1">
      <c r="A44" s="51"/>
      <c r="B44" s="51" t="s">
        <v>15</v>
      </c>
      <c r="C44" s="51" t="s">
        <v>51</v>
      </c>
      <c r="D44" s="51" t="s">
        <v>43</v>
      </c>
      <c r="E44" s="51" t="s">
        <v>52</v>
      </c>
      <c r="F44" s="51" t="s">
        <v>81</v>
      </c>
      <c r="G44" s="51" t="s">
        <v>71</v>
      </c>
      <c r="H44" s="51" t="s">
        <v>86</v>
      </c>
      <c r="I44" s="51" t="s">
        <v>17</v>
      </c>
      <c r="J44" s="51" t="s">
        <v>17</v>
      </c>
      <c r="K44" s="50"/>
      <c r="L44" s="51" t="s">
        <v>58</v>
      </c>
      <c r="M44" s="52" t="s">
        <v>59</v>
      </c>
      <c r="N44" s="52" t="s">
        <v>60</v>
      </c>
      <c r="O44" s="54"/>
      <c r="P44" s="53"/>
      <c r="Q44" s="32"/>
      <c r="R44" s="33" t="str">
        <f>IF(K44="----","#N/A",CONCATENATE("MK|",(VLOOKUP(B44,Dictionary!$A:$B,2,0)),"_CH|",(VLOOKUP(C44,Dictionary!$AV:$AW,2,0)),"_DT|",(VLOOKUP(D44,Dictionary!$P:$Q,2,0)),"_PB|",(VLOOKUP(E44,Dictionary!$G:$H,2,0)),"_FM|",(VLOOKUP(F44,Dictionary!$S:$T,2,0)),"_RT|",(VLOOKUP(G44,Dictionary!$V:$W,2,0)),"_PD|",SUBSTITUTE(SUBSTITUTE(IF(H44="","NONE",H44),"_","-"),"|","-"),"_TG|",(VLOOKUP(I44,Dictionary!$J:$K,2,0)),"_ST|",(VLOOKUP(J44,Dictionary!$M:$N,2,0)),"_TS|",SUBSTITUTE(SUBSTITUTE(IF(K44="","NONE",K44),"_","-"),"|","-"),"_SZ|",(VLOOKUP(L44,Dictionary!$Y:$Z,1,0)),"_AD|",(VLOOKUP(M44,Dictionary!$AB:$AC,2,0)),"_IT|",(VLOOKUP(N44,Dictionary!$BC:$BD,2,0)),IF(O44="","",CONCATENATE("_U1|",SUBSTITUTE(SUBSTITUTE(O44,"_","-"),"|","-"))),IF(P44="","",CONCATENATE("_U2|",SUBSTITUTE(SUBSTITUTE(P44,"_","-"),"|","-"))),IF(Q44="","",CONCATENATE("_U3|",SUBSTITUTE(SUBSTITUTE(Q44,"_","-"),"|","-")))))</f>
        <v>MK|BR_CH|PSD_DT|CROSS_PB|FCBK_FM|STRY_RT|CPM_PD|DOTZ-TODOS-BENEFICIOS-AZUL_TG|NON_ST|NON_TS|NONE_SZ|1X1_AD|CM1_IT|SOC</v>
      </c>
    </row>
    <row r="45" ht="15.75" customHeight="1">
      <c r="A45" s="51"/>
      <c r="B45" s="51" t="s">
        <v>15</v>
      </c>
      <c r="C45" s="51" t="s">
        <v>51</v>
      </c>
      <c r="D45" s="51" t="s">
        <v>43</v>
      </c>
      <c r="E45" s="51" t="s">
        <v>52</v>
      </c>
      <c r="F45" s="51" t="s">
        <v>81</v>
      </c>
      <c r="G45" s="51" t="s">
        <v>71</v>
      </c>
      <c r="H45" s="51" t="s">
        <v>83</v>
      </c>
      <c r="I45" s="51" t="s">
        <v>17</v>
      </c>
      <c r="J45" s="51" t="s">
        <v>17</v>
      </c>
      <c r="K45" s="50"/>
      <c r="L45" s="51" t="s">
        <v>58</v>
      </c>
      <c r="M45" s="52" t="s">
        <v>59</v>
      </c>
      <c r="N45" s="52" t="s">
        <v>60</v>
      </c>
      <c r="O45" s="54"/>
      <c r="P45" s="53"/>
      <c r="Q45" s="32"/>
      <c r="R45" s="33" t="str">
        <f>IF(K45="----","#N/A",CONCATENATE("MK|",(VLOOKUP(B45,Dictionary!$A:$B,2,0)),"_CH|",(VLOOKUP(C45,Dictionary!$AV:$AW,2,0)),"_DT|",(VLOOKUP(D45,Dictionary!$P:$Q,2,0)),"_PB|",(VLOOKUP(E45,Dictionary!$G:$H,2,0)),"_FM|",(VLOOKUP(F45,Dictionary!$S:$T,2,0)),"_RT|",(VLOOKUP(G45,Dictionary!$V:$W,2,0)),"_PD|",SUBSTITUTE(SUBSTITUTE(IF(H45="","NONE",H45),"_","-"),"|","-"),"_TG|",(VLOOKUP(I45,Dictionary!$J:$K,2,0)),"_ST|",(VLOOKUP(J45,Dictionary!$M:$N,2,0)),"_TS|",SUBSTITUTE(SUBSTITUTE(IF(K45="","NONE",K45),"_","-"),"|","-"),"_SZ|",(VLOOKUP(L45,Dictionary!$Y:$Z,1,0)),"_AD|",(VLOOKUP(M45,Dictionary!$AB:$AC,2,0)),"_IT|",(VLOOKUP(N45,Dictionary!$BC:$BD,2,0)),IF(O45="","",CONCATENATE("_U1|",SUBSTITUTE(SUBSTITUTE(O45,"_","-"),"|","-"))),IF(P45="","",CONCATENATE("_U2|",SUBSTITUTE(SUBSTITUTE(P45,"_","-"),"|","-"))),IF(Q45="","",CONCATENATE("_U3|",SUBSTITUTE(SUBSTITUTE(Q45,"_","-"),"|","-")))))</f>
        <v>MK|BR_CH|PSD_DT|CROSS_PB|FCBK_FM|STRY_RT|CPM_PD|DOTZ-ZERO-ANUIDADE-AZUL_TG|NON_ST|NON_TS|NONE_SZ|1X1_AD|CM1_IT|SOC</v>
      </c>
    </row>
    <row r="46" ht="15.75" customHeight="1">
      <c r="A46" s="51"/>
      <c r="B46" s="51" t="s">
        <v>15</v>
      </c>
      <c r="C46" s="51" t="s">
        <v>51</v>
      </c>
      <c r="D46" s="51" t="s">
        <v>43</v>
      </c>
      <c r="E46" s="51" t="s">
        <v>52</v>
      </c>
      <c r="F46" s="51" t="s">
        <v>81</v>
      </c>
      <c r="G46" s="51" t="s">
        <v>71</v>
      </c>
      <c r="H46" s="51" t="s">
        <v>77</v>
      </c>
      <c r="I46" s="51" t="s">
        <v>17</v>
      </c>
      <c r="J46" s="51" t="s">
        <v>17</v>
      </c>
      <c r="K46" s="50"/>
      <c r="L46" s="51" t="s">
        <v>58</v>
      </c>
      <c r="M46" s="52" t="s">
        <v>59</v>
      </c>
      <c r="N46" s="52" t="s">
        <v>60</v>
      </c>
      <c r="O46" s="54"/>
      <c r="P46" s="53"/>
      <c r="Q46" s="32"/>
      <c r="R46" s="33" t="str">
        <f>IF(K46="----","#N/A",CONCATENATE("MK|",(VLOOKUP(B46,Dictionary!$A:$B,2,0)),"_CH|",(VLOOKUP(C46,Dictionary!$AV:$AW,2,0)),"_DT|",(VLOOKUP(D46,Dictionary!$P:$Q,2,0)),"_PB|",(VLOOKUP(E46,Dictionary!$G:$H,2,0)),"_FM|",(VLOOKUP(F46,Dictionary!$S:$T,2,0)),"_RT|",(VLOOKUP(G46,Dictionary!$V:$W,2,0)),"_PD|",SUBSTITUTE(SUBSTITUTE(IF(H46="","NONE",H46),"_","-"),"|","-"),"_TG|",(VLOOKUP(I46,Dictionary!$J:$K,2,0)),"_ST|",(VLOOKUP(J46,Dictionary!$M:$N,2,0)),"_TS|",SUBSTITUTE(SUBSTITUTE(IF(K46="","NONE",K46),"_","-"),"|","-"),"_SZ|",(VLOOKUP(L46,Dictionary!$Y:$Z,1,0)),"_AD|",(VLOOKUP(M46,Dictionary!$AB:$AC,2,0)),"_IT|",(VLOOKUP(N46,Dictionary!$BC:$BD,2,0)),IF(O46="","",CONCATENATE("_U1|",SUBSTITUTE(SUBSTITUTE(O46,"_","-"),"|","-"))),IF(P46="","",CONCATENATE("_U2|",SUBSTITUTE(SUBSTITUTE(P46,"_","-"),"|","-"))),IF(Q46="","",CONCATENATE("_U3|",SUBSTITUTE(SUBSTITUTE(Q46,"_","-"),"|","-")))))</f>
        <v>MK|BR_CH|PSD_DT|CROSS_PB|FCBK_FM|STRY_RT|CPM_PD|DOTZ-10MIL-AZUL_TG|NON_ST|NON_TS|NONE_SZ|1X1_AD|CM1_IT|SOC</v>
      </c>
    </row>
    <row r="47" ht="15.75" customHeight="1">
      <c r="A47" s="61"/>
      <c r="B47" s="61" t="s">
        <v>15</v>
      </c>
      <c r="C47" s="61" t="s">
        <v>51</v>
      </c>
      <c r="D47" s="61" t="s">
        <v>43</v>
      </c>
      <c r="E47" s="61" t="s">
        <v>52</v>
      </c>
      <c r="F47" s="62" t="s">
        <v>80</v>
      </c>
      <c r="G47" s="61" t="s">
        <v>71</v>
      </c>
      <c r="H47" s="61" t="s">
        <v>77</v>
      </c>
      <c r="I47" s="61" t="s">
        <v>17</v>
      </c>
      <c r="J47" s="61" t="s">
        <v>17</v>
      </c>
      <c r="K47" s="61"/>
      <c r="L47" s="61" t="s">
        <v>58</v>
      </c>
      <c r="M47" s="63" t="s">
        <v>59</v>
      </c>
      <c r="N47" s="63" t="s">
        <v>60</v>
      </c>
      <c r="O47" s="64" t="s">
        <v>101</v>
      </c>
      <c r="P47" s="65"/>
      <c r="Q47" s="66"/>
      <c r="R47" s="67" t="str">
        <f>IF(K47="----","#N/A",CONCATENATE("MK|",(VLOOKUP(B47,Dictionary!$A:$B,2,0)),"_CH|",(VLOOKUP(C47,Dictionary!$AV:$AW,2,0)),"_DT|",(VLOOKUP(D47,Dictionary!$P:$Q,2,0)),"_PB|",(VLOOKUP(E47,Dictionary!$G:$H,2,0)),"_FM|",(VLOOKUP(F47,Dictionary!$S:$T,2,0)),"_RT|",(VLOOKUP(G47,Dictionary!$V:$W,2,0)),"_PD|",SUBSTITUTE(SUBSTITUTE(IF(H47="","NONE",H47),"_","-"),"|","-"),"_TG|",(VLOOKUP(I47,Dictionary!$J:$K,2,0)),"_ST|",(VLOOKUP(J47,Dictionary!$M:$N,2,0)),"_TS|",SUBSTITUTE(SUBSTITUTE(IF(K47="","NONE",K47),"_","-"),"|","-"),"_SZ|",(VLOOKUP(L47,Dictionary!$Y:$Z,1,0)),"_AD|",(VLOOKUP(M47,Dictionary!$AB:$AC,2,0)),"_IT|",(VLOOKUP(N47,Dictionary!$BC:$BD,2,0)),IF(O47="","",CONCATENATE("_U1|",SUBSTITUTE(SUBSTITUTE(O47,"_","-"),"|","-"))),IF(P47="","",CONCATENATE("_U2|",SUBSTITUTE(SUBSTITUTE(P47,"_","-"),"|","-"))),IF(Q47="","",CONCATENATE("_U3|",SUBSTITUTE(SUBSTITUTE(Q47,"_","-"),"|","-")))))</f>
        <v>MK|BR_CH|PSD_DT|CROSS_PB|FCBK_FM|CAR_RT|CPM_PD|DOTZ-10MIL-AZUL_TG|NON_ST|NON_TS|NONE_SZ|1X1_AD|CM1_IT|SOC_U1|ESTATICO</v>
      </c>
      <c r="S47" s="66"/>
      <c r="T47" s="66"/>
      <c r="U47" s="66"/>
      <c r="V47" s="66"/>
      <c r="W47" s="66"/>
      <c r="X47" s="66"/>
      <c r="Y47" s="66"/>
      <c r="Z47" s="66"/>
      <c r="AA47" s="66"/>
    </row>
    <row r="48" ht="15.75" customHeight="1">
      <c r="A48" s="61"/>
      <c r="B48" s="62" t="s">
        <v>15</v>
      </c>
      <c r="C48" s="62" t="s">
        <v>51</v>
      </c>
      <c r="D48" s="62" t="s">
        <v>43</v>
      </c>
      <c r="E48" s="62" t="s">
        <v>52</v>
      </c>
      <c r="F48" s="62" t="s">
        <v>80</v>
      </c>
      <c r="G48" s="62" t="s">
        <v>71</v>
      </c>
      <c r="H48" s="62" t="s">
        <v>83</v>
      </c>
      <c r="I48" s="62" t="s">
        <v>17</v>
      </c>
      <c r="J48" s="62" t="s">
        <v>17</v>
      </c>
      <c r="K48" s="61"/>
      <c r="L48" s="62" t="s">
        <v>58</v>
      </c>
      <c r="M48" s="68" t="s">
        <v>59</v>
      </c>
      <c r="N48" s="68" t="s">
        <v>60</v>
      </c>
      <c r="O48" s="64" t="s">
        <v>101</v>
      </c>
      <c r="P48" s="62"/>
      <c r="Q48" s="69"/>
      <c r="R48" s="67" t="str">
        <f>IF(K48="----","#N/A",CONCATENATE("MK|",(VLOOKUP(B48,Dictionary!$A:$B,2,0)),"_CH|",(VLOOKUP(C48,Dictionary!$AV:$AW,2,0)),"_DT|",(VLOOKUP(D48,Dictionary!$P:$Q,2,0)),"_PB|",(VLOOKUP(E48,Dictionary!$G:$H,2,0)),"_FM|",(VLOOKUP(F48,Dictionary!$S:$T,2,0)),"_RT|",(VLOOKUP(G48,Dictionary!$V:$W,2,0)),"_PD|",SUBSTITUTE(SUBSTITUTE(IF(H48="","NONE",H48),"_","-"),"|","-"),"_TG|",(VLOOKUP(I48,Dictionary!$J:$K,2,0)),"_ST|",(VLOOKUP(J48,Dictionary!$M:$N,2,0)),"_TS|",SUBSTITUTE(SUBSTITUTE(IF(K48="","NONE",K48),"_","-"),"|","-"),"_SZ|",(VLOOKUP(L48,Dictionary!$Y:$Z,1,0)),"_AD|",(VLOOKUP(M48,Dictionary!$AB:$AC,2,0)),"_IT|",(VLOOKUP(N48,Dictionary!$BC:$BD,2,0)),IF(O48="","",CONCATENATE("_U1|",SUBSTITUTE(SUBSTITUTE(O48,"_","-"),"|","-"))),IF(P48="","",CONCATENATE("_U2|",SUBSTITUTE(SUBSTITUTE(P48,"_","-"),"|","-"))),IF(Q48="","",CONCATENATE("_U3|",SUBSTITUTE(SUBSTITUTE(Q48,"_","-"),"|","-")))))</f>
        <v>MK|BR_CH|PSD_DT|CROSS_PB|FCBK_FM|CAR_RT|CPM_PD|DOTZ-ZERO-ANUIDADE-AZUL_TG|NON_ST|NON_TS|NONE_SZ|1X1_AD|CM1_IT|SOC_U1|ESTATICO</v>
      </c>
      <c r="S48" s="66"/>
      <c r="T48" s="66"/>
      <c r="U48" s="66"/>
      <c r="V48" s="66"/>
      <c r="W48" s="66"/>
      <c r="X48" s="66"/>
      <c r="Y48" s="66"/>
      <c r="Z48" s="66"/>
      <c r="AA48" s="66"/>
    </row>
    <row r="49" ht="15.75" customHeight="1">
      <c r="A49" s="61"/>
      <c r="B49" s="62" t="s">
        <v>15</v>
      </c>
      <c r="C49" s="62" t="s">
        <v>51</v>
      </c>
      <c r="D49" s="62" t="s">
        <v>43</v>
      </c>
      <c r="E49" s="62" t="s">
        <v>52</v>
      </c>
      <c r="F49" s="62" t="s">
        <v>80</v>
      </c>
      <c r="G49" s="62" t="s">
        <v>71</v>
      </c>
      <c r="H49" s="62" t="s">
        <v>86</v>
      </c>
      <c r="I49" s="62" t="s">
        <v>17</v>
      </c>
      <c r="J49" s="62" t="s">
        <v>17</v>
      </c>
      <c r="K49" s="61"/>
      <c r="L49" s="62" t="s">
        <v>58</v>
      </c>
      <c r="M49" s="68" t="s">
        <v>59</v>
      </c>
      <c r="N49" s="68" t="s">
        <v>60</v>
      </c>
      <c r="O49" s="64" t="s">
        <v>101</v>
      </c>
      <c r="P49" s="62"/>
      <c r="Q49" s="69"/>
      <c r="R49" s="67" t="str">
        <f>IF(K49="----","#N/A",CONCATENATE("MK|",(VLOOKUP(B49,Dictionary!$A:$B,2,0)),"_CH|",(VLOOKUP(C49,Dictionary!$AV:$AW,2,0)),"_DT|",(VLOOKUP(D49,Dictionary!$P:$Q,2,0)),"_PB|",(VLOOKUP(E49,Dictionary!$G:$H,2,0)),"_FM|",(VLOOKUP(F49,Dictionary!$S:$T,2,0)),"_RT|",(VLOOKUP(G49,Dictionary!$V:$W,2,0)),"_PD|",SUBSTITUTE(SUBSTITUTE(IF(H49="","NONE",H49),"_","-"),"|","-"),"_TG|",(VLOOKUP(I49,Dictionary!$J:$K,2,0)),"_ST|",(VLOOKUP(J49,Dictionary!$M:$N,2,0)),"_TS|",SUBSTITUTE(SUBSTITUTE(IF(K49="","NONE",K49),"_","-"),"|","-"),"_SZ|",(VLOOKUP(L49,Dictionary!$Y:$Z,1,0)),"_AD|",(VLOOKUP(M49,Dictionary!$AB:$AC,2,0)),"_IT|",(VLOOKUP(N49,Dictionary!$BC:$BD,2,0)),IF(O49="","",CONCATENATE("_U1|",SUBSTITUTE(SUBSTITUTE(O49,"_","-"),"|","-"))),IF(P49="","",CONCATENATE("_U2|",SUBSTITUTE(SUBSTITUTE(P49,"_","-"),"|","-"))),IF(Q49="","",CONCATENATE("_U3|",SUBSTITUTE(SUBSTITUTE(Q49,"_","-"),"|","-")))))</f>
        <v>MK|BR_CH|PSD_DT|CROSS_PB|FCBK_FM|CAR_RT|CPM_PD|DOTZ-TODOS-BENEFICIOS-AZUL_TG|NON_ST|NON_TS|NONE_SZ|1X1_AD|CM1_IT|SOC_U1|ESTATICO</v>
      </c>
      <c r="S49" s="66"/>
      <c r="T49" s="66"/>
      <c r="U49" s="66"/>
      <c r="V49" s="66"/>
      <c r="W49" s="66"/>
      <c r="X49" s="66"/>
      <c r="Y49" s="66"/>
      <c r="Z49" s="66"/>
      <c r="AA49" s="66"/>
    </row>
    <row r="50" ht="15.75" customHeight="1">
      <c r="A50" s="61"/>
      <c r="B50" s="62" t="s">
        <v>15</v>
      </c>
      <c r="C50" s="62" t="s">
        <v>51</v>
      </c>
      <c r="D50" s="62" t="s">
        <v>43</v>
      </c>
      <c r="E50" s="62" t="s">
        <v>52</v>
      </c>
      <c r="F50" s="62" t="s">
        <v>80</v>
      </c>
      <c r="G50" s="62" t="s">
        <v>71</v>
      </c>
      <c r="H50" s="62" t="s">
        <v>89</v>
      </c>
      <c r="I50" s="62" t="s">
        <v>17</v>
      </c>
      <c r="J50" s="62" t="s">
        <v>17</v>
      </c>
      <c r="K50" s="61"/>
      <c r="L50" s="62" t="s">
        <v>58</v>
      </c>
      <c r="M50" s="68" t="s">
        <v>59</v>
      </c>
      <c r="N50" s="68" t="s">
        <v>60</v>
      </c>
      <c r="O50" s="64" t="s">
        <v>101</v>
      </c>
      <c r="P50" s="62"/>
      <c r="Q50" s="69"/>
      <c r="R50" s="67" t="str">
        <f>IF(K50="----","#N/A",CONCATENATE("MK|",(VLOOKUP(B50,Dictionary!$A:$B,2,0)),"_CH|",(VLOOKUP(C50,Dictionary!$AV:$AW,2,0)),"_DT|",(VLOOKUP(D50,Dictionary!$P:$Q,2,0)),"_PB|",(VLOOKUP(E50,Dictionary!$G:$H,2,0)),"_FM|",(VLOOKUP(F50,Dictionary!$S:$T,2,0)),"_RT|",(VLOOKUP(G50,Dictionary!$V:$W,2,0)),"_PD|",SUBSTITUTE(SUBSTITUTE(IF(H50="","NONE",H50),"_","-"),"|","-"),"_TG|",(VLOOKUP(I50,Dictionary!$J:$K,2,0)),"_ST|",(VLOOKUP(J50,Dictionary!$M:$N,2,0)),"_TS|",SUBSTITUTE(SUBSTITUTE(IF(K50="","NONE",K50),"_","-"),"|","-"),"_SZ|",(VLOOKUP(L50,Dictionary!$Y:$Z,1,0)),"_AD|",(VLOOKUP(M50,Dictionary!$AB:$AC,2,0)),"_IT|",(VLOOKUP(N50,Dictionary!$BC:$BD,2,0)),IF(O50="","",CONCATENATE("_U1|",SUBSTITUTE(SUBSTITUTE(O50,"_","-"),"|","-"))),IF(P50="","",CONCATENATE("_U2|",SUBSTITUTE(SUBSTITUTE(P50,"_","-"),"|","-"))),IF(Q50="","",CONCATENATE("_U3|",SUBSTITUTE(SUBSTITUTE(Q50,"_","-"),"|","-")))))</f>
        <v>MK|BR_CH|PSD_DT|CROSS_PB|FCBK_FM|CAR_RT|CPM_PD|DOTZ-10MIL-AMARELO_TG|NON_ST|NON_TS|NONE_SZ|1X1_AD|CM1_IT|SOC_U1|ESTATICO</v>
      </c>
      <c r="S50" s="66"/>
      <c r="T50" s="66"/>
      <c r="U50" s="66"/>
      <c r="V50" s="66"/>
      <c r="W50" s="66"/>
      <c r="X50" s="66"/>
      <c r="Y50" s="66"/>
      <c r="Z50" s="66"/>
      <c r="AA50" s="66"/>
    </row>
    <row r="51" ht="15.75" customHeight="1">
      <c r="A51" s="61"/>
      <c r="B51" s="62" t="s">
        <v>15</v>
      </c>
      <c r="C51" s="62" t="s">
        <v>51</v>
      </c>
      <c r="D51" s="62" t="s">
        <v>43</v>
      </c>
      <c r="E51" s="62" t="s">
        <v>52</v>
      </c>
      <c r="F51" s="62" t="s">
        <v>80</v>
      </c>
      <c r="G51" s="62" t="s">
        <v>71</v>
      </c>
      <c r="H51" s="62" t="s">
        <v>92</v>
      </c>
      <c r="I51" s="62" t="s">
        <v>17</v>
      </c>
      <c r="J51" s="62" t="s">
        <v>17</v>
      </c>
      <c r="K51" s="61"/>
      <c r="L51" s="62" t="s">
        <v>58</v>
      </c>
      <c r="M51" s="68" t="s">
        <v>59</v>
      </c>
      <c r="N51" s="68" t="s">
        <v>60</v>
      </c>
      <c r="O51" s="64" t="s">
        <v>101</v>
      </c>
      <c r="P51" s="62"/>
      <c r="Q51" s="69"/>
      <c r="R51" s="67" t="str">
        <f>IF(K51="----","#N/A",CONCATENATE("MK|",(VLOOKUP(B51,Dictionary!$A:$B,2,0)),"_CH|",(VLOOKUP(C51,Dictionary!$AV:$AW,2,0)),"_DT|",(VLOOKUP(D51,Dictionary!$P:$Q,2,0)),"_PB|",(VLOOKUP(E51,Dictionary!$G:$H,2,0)),"_FM|",(VLOOKUP(F51,Dictionary!$S:$T,2,0)),"_RT|",(VLOOKUP(G51,Dictionary!$V:$W,2,0)),"_PD|",SUBSTITUTE(SUBSTITUTE(IF(H51="","NONE",H51),"_","-"),"|","-"),"_TG|",(VLOOKUP(I51,Dictionary!$J:$K,2,0)),"_ST|",(VLOOKUP(J51,Dictionary!$M:$N,2,0)),"_TS|",SUBSTITUTE(SUBSTITUTE(IF(K51="","NONE",K51),"_","-"),"|","-"),"_SZ|",(VLOOKUP(L51,Dictionary!$Y:$Z,1,0)),"_AD|",(VLOOKUP(M51,Dictionary!$AB:$AC,2,0)),"_IT|",(VLOOKUP(N51,Dictionary!$BC:$BD,2,0)),IF(O51="","",CONCATENATE("_U1|",SUBSTITUTE(SUBSTITUTE(O51,"_","-"),"|","-"))),IF(P51="","",CONCATENATE("_U2|",SUBSTITUTE(SUBSTITUTE(P51,"_","-"),"|","-"))),IF(Q51="","",CONCATENATE("_U3|",SUBSTITUTE(SUBSTITUTE(Q51,"_","-"),"|","-")))))</f>
        <v>MK|BR_CH|PSD_DT|CROSS_PB|FCBK_FM|CAR_RT|CPM_PD|DOTZ-ZERO-ANUIDADE-AMARELO_TG|NON_ST|NON_TS|NONE_SZ|1X1_AD|CM1_IT|SOC_U1|ESTATICO</v>
      </c>
      <c r="S51" s="66"/>
      <c r="T51" s="66"/>
      <c r="U51" s="66"/>
      <c r="V51" s="66"/>
      <c r="W51" s="66"/>
      <c r="X51" s="66"/>
      <c r="Y51" s="66"/>
      <c r="Z51" s="66"/>
      <c r="AA51" s="66"/>
    </row>
    <row r="52" ht="15.75" customHeight="1">
      <c r="A52" s="61"/>
      <c r="B52" s="61" t="s">
        <v>15</v>
      </c>
      <c r="C52" s="61" t="s">
        <v>51</v>
      </c>
      <c r="D52" s="61" t="s">
        <v>43</v>
      </c>
      <c r="E52" s="61" t="s">
        <v>52</v>
      </c>
      <c r="F52" s="61" t="s">
        <v>80</v>
      </c>
      <c r="G52" s="61" t="s">
        <v>71</v>
      </c>
      <c r="H52" s="61" t="s">
        <v>95</v>
      </c>
      <c r="I52" s="61" t="s">
        <v>17</v>
      </c>
      <c r="J52" s="61" t="s">
        <v>17</v>
      </c>
      <c r="K52" s="61"/>
      <c r="L52" s="61" t="s">
        <v>58</v>
      </c>
      <c r="M52" s="63" t="s">
        <v>59</v>
      </c>
      <c r="N52" s="63" t="s">
        <v>60</v>
      </c>
      <c r="O52" s="64" t="s">
        <v>101</v>
      </c>
      <c r="P52" s="65"/>
      <c r="Q52" s="66"/>
      <c r="R52" s="67" t="str">
        <f>IF(K52="----","#N/A",CONCATENATE("MK|",(VLOOKUP(B52,Dictionary!$A:$B,2,0)),"_CH|",(VLOOKUP(C52,Dictionary!$AV:$AW,2,0)),"_DT|",(VLOOKUP(D52,Dictionary!$P:$Q,2,0)),"_PB|",(VLOOKUP(E52,Dictionary!$G:$H,2,0)),"_FM|",(VLOOKUP(F52,Dictionary!$S:$T,2,0)),"_RT|",(VLOOKUP(G52,Dictionary!$V:$W,2,0)),"_PD|",SUBSTITUTE(SUBSTITUTE(IF(H52="","NONE",H52),"_","-"),"|","-"),"_TG|",(VLOOKUP(I52,Dictionary!$J:$K,2,0)),"_ST|",(VLOOKUP(J52,Dictionary!$M:$N,2,0)),"_TS|",SUBSTITUTE(SUBSTITUTE(IF(K52="","NONE",K52),"_","-"),"|","-"),"_SZ|",(VLOOKUP(L52,Dictionary!$Y:$Z,1,0)),"_AD|",(VLOOKUP(M52,Dictionary!$AB:$AC,2,0)),"_IT|",(VLOOKUP(N52,Dictionary!$BC:$BD,2,0)),IF(O52="","",CONCATENATE("_U1|",SUBSTITUTE(SUBSTITUTE(O52,"_","-"),"|","-"))),IF(P52="","",CONCATENATE("_U2|",SUBSTITUTE(SUBSTITUTE(P52,"_","-"),"|","-"))),IF(Q52="","",CONCATENATE("_U3|",SUBSTITUTE(SUBSTITUTE(Q52,"_","-"),"|","-")))))</f>
        <v>MK|BR_CH|PSD_DT|CROSS_PB|FCBK_FM|CAR_RT|CPM_PD|DOTZ-TODOS-BENEFICIOS-AMARELO_TG|NON_ST|NON_TS|NONE_SZ|1X1_AD|CM1_IT|SOC_U1|ESTATICO</v>
      </c>
      <c r="S52" s="66"/>
      <c r="T52" s="66"/>
      <c r="U52" s="66"/>
      <c r="V52" s="66"/>
      <c r="W52" s="66"/>
      <c r="X52" s="66"/>
      <c r="Y52" s="66"/>
      <c r="Z52" s="66"/>
      <c r="AA52" s="66"/>
    </row>
    <row r="53" ht="15.75" customHeight="1">
      <c r="A53" s="61"/>
      <c r="B53" s="62" t="s">
        <v>15</v>
      </c>
      <c r="C53" s="62" t="s">
        <v>51</v>
      </c>
      <c r="D53" s="62" t="s">
        <v>43</v>
      </c>
      <c r="E53" s="62" t="s">
        <v>52</v>
      </c>
      <c r="F53" s="62" t="s">
        <v>80</v>
      </c>
      <c r="G53" s="62" t="s">
        <v>71</v>
      </c>
      <c r="H53" s="62" t="s">
        <v>98</v>
      </c>
      <c r="I53" s="62" t="s">
        <v>17</v>
      </c>
      <c r="J53" s="62" t="s">
        <v>17</v>
      </c>
      <c r="K53" s="61"/>
      <c r="L53" s="62" t="s">
        <v>58</v>
      </c>
      <c r="M53" s="68" t="s">
        <v>59</v>
      </c>
      <c r="N53" s="68" t="s">
        <v>60</v>
      </c>
      <c r="O53" s="64" t="s">
        <v>101</v>
      </c>
      <c r="P53" s="62"/>
      <c r="Q53" s="69"/>
      <c r="R53" s="67" t="str">
        <f>IF(K53="----","#N/A",CONCATENATE("MK|",(VLOOKUP(B53,Dictionary!$A:$B,2,0)),"_CH|",(VLOOKUP(C53,Dictionary!$AV:$AW,2,0)),"_DT|",(VLOOKUP(D53,Dictionary!$P:$Q,2,0)),"_PB|",(VLOOKUP(E53,Dictionary!$G:$H,2,0)),"_FM|",(VLOOKUP(F53,Dictionary!$S:$T,2,0)),"_RT|",(VLOOKUP(G53,Dictionary!$V:$W,2,0)),"_PD|",SUBSTITUTE(SUBSTITUTE(IF(H53="","NONE",H53),"_","-"),"|","-"),"_TG|",(VLOOKUP(I53,Dictionary!$J:$K,2,0)),"_ST|",(VLOOKUP(J53,Dictionary!$M:$N,2,0)),"_TS|",SUBSTITUTE(SUBSTITUTE(IF(K53="","NONE",K53),"_","-"),"|","-"),"_SZ|",(VLOOKUP(L53,Dictionary!$Y:$Z,1,0)),"_AD|",(VLOOKUP(M53,Dictionary!$AB:$AC,2,0)),"_IT|",(VLOOKUP(N53,Dictionary!$BC:$BD,2,0)),IF(O53="","",CONCATENATE("_U1|",SUBSTITUTE(SUBSTITUTE(O53,"_","-"),"|","-"))),IF(P53="","",CONCATENATE("_U2|",SUBSTITUTE(SUBSTITUTE(P53,"_","-"),"|","-"))),IF(Q53="","",CONCATENATE("_U3|",SUBSTITUTE(SUBSTITUTE(Q53,"_","-"),"|","-")))))</f>
        <v>MK|BR_CH|PSD_DT|CROSS_PB|FCBK_FM|CAR_RT|CPM_PD|DOTZ-CONVERSAO-AMARELO_TG|NON_ST|NON_TS|NONE_SZ|1X1_AD|CM1_IT|SOC_U1|ESTATICO</v>
      </c>
      <c r="S53" s="66"/>
      <c r="T53" s="66"/>
      <c r="U53" s="66"/>
      <c r="V53" s="66"/>
      <c r="W53" s="66"/>
      <c r="X53" s="66"/>
      <c r="Y53" s="66"/>
      <c r="Z53" s="66"/>
      <c r="AA53" s="66"/>
    </row>
    <row r="54" ht="15.75" customHeight="1">
      <c r="A54" s="56"/>
      <c r="B54" s="55" t="s">
        <v>15</v>
      </c>
      <c r="C54" s="55" t="s">
        <v>61</v>
      </c>
      <c r="D54" s="70" t="s">
        <v>43</v>
      </c>
      <c r="E54" s="55" t="s">
        <v>62</v>
      </c>
      <c r="F54" s="55" t="s">
        <v>63</v>
      </c>
      <c r="G54" s="70" t="s">
        <v>71</v>
      </c>
      <c r="H54" s="55" t="s">
        <v>77</v>
      </c>
      <c r="I54" s="70" t="s">
        <v>17</v>
      </c>
      <c r="J54" s="70" t="s">
        <v>17</v>
      </c>
      <c r="K54" s="56"/>
      <c r="L54" s="55" t="s">
        <v>102</v>
      </c>
      <c r="M54" s="57" t="s">
        <v>64</v>
      </c>
      <c r="N54" s="57" t="s">
        <v>65</v>
      </c>
      <c r="O54" s="57"/>
      <c r="P54" s="59"/>
      <c r="Q54" s="59"/>
      <c r="R54" s="71" t="str">
        <f>IF(K54="----","#N/A",CONCATENATE("MK|",(VLOOKUP(B54,Dictionary!$A:$B,2,0)),"_CH|",(VLOOKUP(C54,Dictionary!$AV:$AW,2,0)),"_DT|",(VLOOKUP(D54,Dictionary!$P:$Q,2,0)),"_PB|",(VLOOKUP(E54,Dictionary!$G:$H,2,0)),"_FM|",(VLOOKUP(F54,Dictionary!$S:$T,2,0)),"_RT|",(VLOOKUP(G54,Dictionary!$V:$W,2,0)),"_PD|",SUBSTITUTE(SUBSTITUTE(IF(H54="","NONE",H54),"_","-"),"|","-"),"_TG|",(VLOOKUP(I54,Dictionary!$J:$K,2,0)),"_ST|",(VLOOKUP(J54,Dictionary!$M:$N,2,0)),"_TS|",SUBSTITUTE(SUBSTITUTE(IF(K54="","NONE",K54),"_","-"),"|","-"),"_SZ|",(VLOOKUP(L54,Dictionary!$Y:$Z,1,0)),"_AD|",(VLOOKUP(M54,Dictionary!$AB:$AC,2,0)),"_IT|",(VLOOKUP(N54,Dictionary!$BC:$BD,2,0)),IF(O54="","",CONCATENATE("_U1|",SUBSTITUTE(SUBSTITUTE(O54,"_","-"),"|","-"))),IF(P54="","",CONCATENATE("_U2|",SUBSTITUTE(SUBSTITUTE(P54,"_","-"),"|","-"))),IF(Q54="","",CONCATENATE("_U3|",SUBSTITUTE(SUBSTITUTE(Q54,"_","-"),"|","-")))))</f>
        <v>MK|BR_CH|PD_DT|CROSS_PB|DV36_FM|BAN_RT|CPM_PD|DOTZ-10MIL-AZUL_TG|NON_ST|NON_TS|NONE_SZ|120x600_AD|CM_IT|POE</v>
      </c>
      <c r="S54" s="60"/>
      <c r="T54" s="60"/>
      <c r="U54" s="60"/>
      <c r="V54" s="60"/>
      <c r="W54" s="60"/>
      <c r="X54" s="60"/>
      <c r="Y54" s="60"/>
      <c r="Z54" s="60"/>
      <c r="AA54" s="60"/>
    </row>
    <row r="55" ht="15.75" customHeight="1">
      <c r="A55" s="33"/>
      <c r="B55" s="14" t="s">
        <v>15</v>
      </c>
      <c r="C55" s="14" t="s">
        <v>61</v>
      </c>
      <c r="D55" s="62" t="s">
        <v>43</v>
      </c>
      <c r="E55" s="14" t="s">
        <v>62</v>
      </c>
      <c r="F55" s="14" t="s">
        <v>63</v>
      </c>
      <c r="G55" s="62" t="s">
        <v>71</v>
      </c>
      <c r="H55" s="51" t="s">
        <v>77</v>
      </c>
      <c r="I55" s="62" t="s">
        <v>17</v>
      </c>
      <c r="J55" s="62" t="s">
        <v>17</v>
      </c>
      <c r="K55" s="33"/>
      <c r="L55" s="14" t="s">
        <v>103</v>
      </c>
      <c r="M55" s="31" t="s">
        <v>64</v>
      </c>
      <c r="N55" s="31" t="s">
        <v>65</v>
      </c>
      <c r="O55" s="31"/>
      <c r="P55" s="32"/>
      <c r="Q55" s="32"/>
      <c r="R55" s="67" t="str">
        <f>IF(K55="----","#N/A",CONCATENATE("MK|",(VLOOKUP(B55,Dictionary!$A:$B,2,0)),"_CH|",(VLOOKUP(C55,Dictionary!$AV:$AW,2,0)),"_DT|",(VLOOKUP(D55,Dictionary!$P:$Q,2,0)),"_PB|",(VLOOKUP(E55,Dictionary!$G:$H,2,0)),"_FM|",(VLOOKUP(F55,Dictionary!$S:$T,2,0)),"_RT|",(VLOOKUP(G55,Dictionary!$V:$W,2,0)),"_PD|",SUBSTITUTE(SUBSTITUTE(IF(H55="","NONE",H55),"_","-"),"|","-"),"_TG|",(VLOOKUP(I55,Dictionary!$J:$K,2,0)),"_ST|",(VLOOKUP(J55,Dictionary!$M:$N,2,0)),"_TS|",SUBSTITUTE(SUBSTITUTE(IF(K55="","NONE",K55),"_","-"),"|","-"),"_SZ|",(VLOOKUP(L55,Dictionary!$Y:$Z,1,0)),"_AD|",(VLOOKUP(M55,Dictionary!$AB:$AC,2,0)),"_IT|",(VLOOKUP(N55,Dictionary!$BC:$BD,2,0)),IF(O55="","",CONCATENATE("_U1|",SUBSTITUTE(SUBSTITUTE(O55,"_","-"),"|","-"))),IF(P55="","",CONCATENATE("_U2|",SUBSTITUTE(SUBSTITUTE(P55,"_","-"),"|","-"))),IF(Q55="","",CONCATENATE("_U3|",SUBSTITUTE(SUBSTITUTE(Q55,"_","-"),"|","-")))))</f>
        <v>MK|BR_CH|PD_DT|CROSS_PB|DV36_FM|BAN_RT|CPM_PD|DOTZ-10MIL-AZUL_TG|NON_ST|NON_TS|NONE_SZ|160x600_AD|CM_IT|POE</v>
      </c>
    </row>
    <row r="56" ht="15.75" customHeight="1">
      <c r="A56" s="33"/>
      <c r="B56" s="14" t="s">
        <v>15</v>
      </c>
      <c r="C56" s="14" t="s">
        <v>61</v>
      </c>
      <c r="D56" s="62" t="s">
        <v>43</v>
      </c>
      <c r="E56" s="14" t="s">
        <v>62</v>
      </c>
      <c r="F56" s="14" t="s">
        <v>63</v>
      </c>
      <c r="G56" s="62" t="s">
        <v>71</v>
      </c>
      <c r="H56" s="51" t="s">
        <v>77</v>
      </c>
      <c r="I56" s="62" t="s">
        <v>17</v>
      </c>
      <c r="J56" s="62" t="s">
        <v>17</v>
      </c>
      <c r="K56" s="33"/>
      <c r="L56" s="14" t="s">
        <v>104</v>
      </c>
      <c r="M56" s="31" t="s">
        <v>64</v>
      </c>
      <c r="N56" s="31" t="s">
        <v>65</v>
      </c>
      <c r="O56" s="31"/>
      <c r="P56" s="32"/>
      <c r="Q56" s="32"/>
      <c r="R56" s="67" t="str">
        <f>IF(K56="----","#N/A",CONCATENATE("MK|",(VLOOKUP(B56,Dictionary!$A:$B,2,0)),"_CH|",(VLOOKUP(C56,Dictionary!$AV:$AW,2,0)),"_DT|",(VLOOKUP(D56,Dictionary!$P:$Q,2,0)),"_PB|",(VLOOKUP(E56,Dictionary!$G:$H,2,0)),"_FM|",(VLOOKUP(F56,Dictionary!$S:$T,2,0)),"_RT|",(VLOOKUP(G56,Dictionary!$V:$W,2,0)),"_PD|",SUBSTITUTE(SUBSTITUTE(IF(H56="","NONE",H56),"_","-"),"|","-"),"_TG|",(VLOOKUP(I56,Dictionary!$J:$K,2,0)),"_ST|",(VLOOKUP(J56,Dictionary!$M:$N,2,0)),"_TS|",SUBSTITUTE(SUBSTITUTE(IF(K56="","NONE",K56),"_","-"),"|","-"),"_SZ|",(VLOOKUP(L56,Dictionary!$Y:$Z,1,0)),"_AD|",(VLOOKUP(M56,Dictionary!$AB:$AC,2,0)),"_IT|",(VLOOKUP(N56,Dictionary!$BC:$BD,2,0)),IF(O56="","",CONCATENATE("_U1|",SUBSTITUTE(SUBSTITUTE(O56,"_","-"),"|","-"))),IF(P56="","",CONCATENATE("_U2|",SUBSTITUTE(SUBSTITUTE(P56,"_","-"),"|","-"))),IF(Q56="","",CONCATENATE("_U3|",SUBSTITUTE(SUBSTITUTE(Q56,"_","-"),"|","-")))))</f>
        <v>MK|BR_CH|PD_DT|CROSS_PB|DV36_FM|BAN_RT|CPM_PD|DOTZ-10MIL-AZUL_TG|NON_ST|NON_TS|NONE_SZ|300x250_AD|CM_IT|POE</v>
      </c>
    </row>
    <row r="57" ht="15.75" customHeight="1">
      <c r="A57" s="33"/>
      <c r="B57" s="14" t="s">
        <v>15</v>
      </c>
      <c r="C57" s="14" t="s">
        <v>61</v>
      </c>
      <c r="D57" s="62" t="s">
        <v>43</v>
      </c>
      <c r="E57" s="14" t="s">
        <v>62</v>
      </c>
      <c r="F57" s="14" t="s">
        <v>63</v>
      </c>
      <c r="G57" s="62" t="s">
        <v>71</v>
      </c>
      <c r="H57" s="51" t="s">
        <v>77</v>
      </c>
      <c r="I57" s="62" t="s">
        <v>17</v>
      </c>
      <c r="J57" s="62" t="s">
        <v>17</v>
      </c>
      <c r="K57" s="33"/>
      <c r="L57" s="14" t="s">
        <v>105</v>
      </c>
      <c r="M57" s="31" t="s">
        <v>64</v>
      </c>
      <c r="N57" s="31" t="s">
        <v>65</v>
      </c>
      <c r="O57" s="31"/>
      <c r="P57" s="32"/>
      <c r="Q57" s="32"/>
      <c r="R57" s="67" t="str">
        <f>IF(K57="----","#N/A",CONCATENATE("MK|",(VLOOKUP(B57,Dictionary!$A:$B,2,0)),"_CH|",(VLOOKUP(C57,Dictionary!$AV:$AW,2,0)),"_DT|",(VLOOKUP(D57,Dictionary!$P:$Q,2,0)),"_PB|",(VLOOKUP(E57,Dictionary!$G:$H,2,0)),"_FM|",(VLOOKUP(F57,Dictionary!$S:$T,2,0)),"_RT|",(VLOOKUP(G57,Dictionary!$V:$W,2,0)),"_PD|",SUBSTITUTE(SUBSTITUTE(IF(H57="","NONE",H57),"_","-"),"|","-"),"_TG|",(VLOOKUP(I57,Dictionary!$J:$K,2,0)),"_ST|",(VLOOKUP(J57,Dictionary!$M:$N,2,0)),"_TS|",SUBSTITUTE(SUBSTITUTE(IF(K57="","NONE",K57),"_","-"),"|","-"),"_SZ|",(VLOOKUP(L57,Dictionary!$Y:$Z,1,0)),"_AD|",(VLOOKUP(M57,Dictionary!$AB:$AC,2,0)),"_IT|",(VLOOKUP(N57,Dictionary!$BC:$BD,2,0)),IF(O57="","",CONCATENATE("_U1|",SUBSTITUTE(SUBSTITUTE(O57,"_","-"),"|","-"))),IF(P57="","",CONCATENATE("_U2|",SUBSTITUTE(SUBSTITUTE(P57,"_","-"),"|","-"))),IF(Q57="","",CONCATENATE("_U3|",SUBSTITUTE(SUBSTITUTE(Q57,"_","-"),"|","-")))))</f>
        <v>MK|BR_CH|PD_DT|CROSS_PB|DV36_FM|BAN_RT|CPM_PD|DOTZ-10MIL-AZUL_TG|NON_ST|NON_TS|NONE_SZ|300x600_AD|CM_IT|POE</v>
      </c>
    </row>
    <row r="58" ht="15.75" customHeight="1">
      <c r="A58" s="33"/>
      <c r="B58" s="14" t="s">
        <v>15</v>
      </c>
      <c r="C58" s="14" t="s">
        <v>106</v>
      </c>
      <c r="D58" s="62" t="s">
        <v>43</v>
      </c>
      <c r="E58" s="14" t="s">
        <v>62</v>
      </c>
      <c r="F58" s="14" t="s">
        <v>63</v>
      </c>
      <c r="G58" s="62" t="s">
        <v>71</v>
      </c>
      <c r="H58" s="51" t="s">
        <v>77</v>
      </c>
      <c r="I58" s="62" t="s">
        <v>17</v>
      </c>
      <c r="J58" s="62" t="s">
        <v>17</v>
      </c>
      <c r="K58" s="33"/>
      <c r="L58" s="14" t="s">
        <v>107</v>
      </c>
      <c r="M58" s="31" t="s">
        <v>64</v>
      </c>
      <c r="N58" s="31" t="s">
        <v>65</v>
      </c>
      <c r="O58" s="31"/>
      <c r="P58" s="32"/>
      <c r="Q58" s="32"/>
      <c r="R58" s="67" t="str">
        <f>IF(K58="----","#N/A",CONCATENATE("MK|",(VLOOKUP(B58,Dictionary!$A:$B,2,0)),"_CH|",(VLOOKUP(C58,Dictionary!$AV:$AW,2,0)),"_DT|",(VLOOKUP(D58,Dictionary!$P:$Q,2,0)),"_PB|",(VLOOKUP(E58,Dictionary!$G:$H,2,0)),"_FM|",(VLOOKUP(F58,Dictionary!$S:$T,2,0)),"_RT|",(VLOOKUP(G58,Dictionary!$V:$W,2,0)),"_PD|",SUBSTITUTE(SUBSTITUTE(IF(H58="","NONE",H58),"_","-"),"|","-"),"_TG|",(VLOOKUP(I58,Dictionary!$J:$K,2,0)),"_ST|",(VLOOKUP(J58,Dictionary!$M:$N,2,0)),"_TS|",SUBSTITUTE(SUBSTITUTE(IF(K58="","NONE",K58),"_","-"),"|","-"),"_SZ|",(VLOOKUP(L58,Dictionary!$Y:$Z,1,0)),"_AD|",(VLOOKUP(M58,Dictionary!$AB:$AC,2,0)),"_IT|",(VLOOKUP(N58,Dictionary!$BC:$BD,2,0)),IF(O58="","",CONCATENATE("_U1|",SUBSTITUTE(SUBSTITUTE(O58,"_","-"),"|","-"))),IF(P58="","",CONCATENATE("_U2|",SUBSTITUTE(SUBSTITUTE(P58,"_","-"),"|","-"))),IF(Q58="","",CONCATENATE("_U3|",SUBSTITUTE(SUBSTITUTE(Q58,"_","-"),"|","-")))))</f>
        <v>MK|BR_CH|PMD_DT|CROSS_PB|DV36_FM|BAN_RT|CPM_PD|DOTZ-10MIL-AZUL_TG|NON_ST|NON_TS|NONE_SZ|320x50_AD|CM_IT|POE</v>
      </c>
    </row>
    <row r="59" ht="15.75" customHeight="1">
      <c r="A59" s="33"/>
      <c r="B59" s="14" t="s">
        <v>15</v>
      </c>
      <c r="C59" s="14" t="s">
        <v>106</v>
      </c>
      <c r="D59" s="62" t="s">
        <v>43</v>
      </c>
      <c r="E59" s="14" t="s">
        <v>62</v>
      </c>
      <c r="F59" s="14" t="s">
        <v>63</v>
      </c>
      <c r="G59" s="62" t="s">
        <v>71</v>
      </c>
      <c r="H59" s="51" t="s">
        <v>77</v>
      </c>
      <c r="I59" s="62" t="s">
        <v>17</v>
      </c>
      <c r="J59" s="62" t="s">
        <v>17</v>
      </c>
      <c r="K59" s="33"/>
      <c r="L59" s="14" t="s">
        <v>108</v>
      </c>
      <c r="M59" s="31" t="s">
        <v>64</v>
      </c>
      <c r="N59" s="31" t="s">
        <v>65</v>
      </c>
      <c r="O59" s="31"/>
      <c r="P59" s="32"/>
      <c r="Q59" s="32"/>
      <c r="R59" s="67" t="str">
        <f>IF(K59="----","#N/A",CONCATENATE("MK|",(VLOOKUP(B59,Dictionary!$A:$B,2,0)),"_CH|",(VLOOKUP(C59,Dictionary!$AV:$AW,2,0)),"_DT|",(VLOOKUP(D59,Dictionary!$P:$Q,2,0)),"_PB|",(VLOOKUP(E59,Dictionary!$G:$H,2,0)),"_FM|",(VLOOKUP(F59,Dictionary!$S:$T,2,0)),"_RT|",(VLOOKUP(G59,Dictionary!$V:$W,2,0)),"_PD|",SUBSTITUTE(SUBSTITUTE(IF(H59="","NONE",H59),"_","-"),"|","-"),"_TG|",(VLOOKUP(I59,Dictionary!$J:$K,2,0)),"_ST|",(VLOOKUP(J59,Dictionary!$M:$N,2,0)),"_TS|",SUBSTITUTE(SUBSTITUTE(IF(K59="","NONE",K59),"_","-"),"|","-"),"_SZ|",(VLOOKUP(L59,Dictionary!$Y:$Z,1,0)),"_AD|",(VLOOKUP(M59,Dictionary!$AB:$AC,2,0)),"_IT|",(VLOOKUP(N59,Dictionary!$BC:$BD,2,0)),IF(O59="","",CONCATENATE("_U1|",SUBSTITUTE(SUBSTITUTE(O59,"_","-"),"|","-"))),IF(P59="","",CONCATENATE("_U2|",SUBSTITUTE(SUBSTITUTE(P59,"_","-"),"|","-"))),IF(Q59="","",CONCATENATE("_U3|",SUBSTITUTE(SUBSTITUTE(Q59,"_","-"),"|","-")))))</f>
        <v>MK|BR_CH|PMD_DT|CROSS_PB|DV36_FM|BAN_RT|CPM_PD|DOTZ-10MIL-AZUL_TG|NON_ST|NON_TS|NONE_SZ|320x100_AD|CM_IT|POE</v>
      </c>
    </row>
    <row r="60" ht="15.75" customHeight="1">
      <c r="A60" s="33"/>
      <c r="B60" s="14" t="s">
        <v>15</v>
      </c>
      <c r="C60" s="14" t="s">
        <v>61</v>
      </c>
      <c r="D60" s="62" t="s">
        <v>43</v>
      </c>
      <c r="E60" s="14" t="s">
        <v>62</v>
      </c>
      <c r="F60" s="14" t="s">
        <v>63</v>
      </c>
      <c r="G60" s="62" t="s">
        <v>71</v>
      </c>
      <c r="H60" s="51" t="s">
        <v>77</v>
      </c>
      <c r="I60" s="62" t="s">
        <v>17</v>
      </c>
      <c r="J60" s="62" t="s">
        <v>17</v>
      </c>
      <c r="K60" s="33"/>
      <c r="L60" s="14" t="s">
        <v>109</v>
      </c>
      <c r="M60" s="31" t="s">
        <v>64</v>
      </c>
      <c r="N60" s="31" t="s">
        <v>65</v>
      </c>
      <c r="O60" s="31"/>
      <c r="P60" s="32"/>
      <c r="Q60" s="32"/>
      <c r="R60" s="67" t="str">
        <f>IF(K60="----","#N/A",CONCATENATE("MK|",(VLOOKUP(B60,Dictionary!$A:$B,2,0)),"_CH|",(VLOOKUP(C60,Dictionary!$AV:$AW,2,0)),"_DT|",(VLOOKUP(D60,Dictionary!$P:$Q,2,0)),"_PB|",(VLOOKUP(E60,Dictionary!$G:$H,2,0)),"_FM|",(VLOOKUP(F60,Dictionary!$S:$T,2,0)),"_RT|",(VLOOKUP(G60,Dictionary!$V:$W,2,0)),"_PD|",SUBSTITUTE(SUBSTITUTE(IF(H60="","NONE",H60),"_","-"),"|","-"),"_TG|",(VLOOKUP(I60,Dictionary!$J:$K,2,0)),"_ST|",(VLOOKUP(J60,Dictionary!$M:$N,2,0)),"_TS|",SUBSTITUTE(SUBSTITUTE(IF(K60="","NONE",K60),"_","-"),"|","-"),"_SZ|",(VLOOKUP(L60,Dictionary!$Y:$Z,1,0)),"_AD|",(VLOOKUP(M60,Dictionary!$AB:$AC,2,0)),"_IT|",(VLOOKUP(N60,Dictionary!$BC:$BD,2,0)),IF(O60="","",CONCATENATE("_U1|",SUBSTITUTE(SUBSTITUTE(O60,"_","-"),"|","-"))),IF(P60="","",CONCATENATE("_U2|",SUBSTITUTE(SUBSTITUTE(P60,"_","-"),"|","-"))),IF(Q60="","",CONCATENATE("_U3|",SUBSTITUTE(SUBSTITUTE(Q60,"_","-"),"|","-")))))</f>
        <v>MK|BR_CH|PD_DT|CROSS_PB|DV36_FM|BAN_RT|CPM_PD|DOTZ-10MIL-AZUL_TG|NON_ST|NON_TS|NONE_SZ|728x90_AD|CM_IT|POE</v>
      </c>
    </row>
    <row r="61" ht="15.75" customHeight="1">
      <c r="A61" s="33"/>
      <c r="B61" s="14" t="s">
        <v>15</v>
      </c>
      <c r="C61" s="14" t="s">
        <v>61</v>
      </c>
      <c r="D61" s="62" t="s">
        <v>43</v>
      </c>
      <c r="E61" s="14" t="s">
        <v>62</v>
      </c>
      <c r="F61" s="14" t="s">
        <v>63</v>
      </c>
      <c r="G61" s="62" t="s">
        <v>71</v>
      </c>
      <c r="H61" s="72" t="s">
        <v>83</v>
      </c>
      <c r="I61" s="62" t="s">
        <v>17</v>
      </c>
      <c r="J61" s="62" t="s">
        <v>17</v>
      </c>
      <c r="K61" s="33"/>
      <c r="L61" s="14" t="s">
        <v>102</v>
      </c>
      <c r="M61" s="31" t="s">
        <v>64</v>
      </c>
      <c r="N61" s="31" t="s">
        <v>65</v>
      </c>
      <c r="O61" s="31"/>
      <c r="P61" s="32"/>
      <c r="Q61" s="32"/>
      <c r="R61" s="67" t="str">
        <f>IF(K61="----","#N/A",CONCATENATE("MK|",(VLOOKUP(B61,Dictionary!$A:$B,2,0)),"_CH|",(VLOOKUP(C61,Dictionary!$AV:$AW,2,0)),"_DT|",(VLOOKUP(D61,Dictionary!$P:$Q,2,0)),"_PB|",(VLOOKUP(E61,Dictionary!$G:$H,2,0)),"_FM|",(VLOOKUP(F61,Dictionary!$S:$T,2,0)),"_RT|",(VLOOKUP(G61,Dictionary!$V:$W,2,0)),"_PD|",SUBSTITUTE(SUBSTITUTE(IF(H61="","NONE",H61),"_","-"),"|","-"),"_TG|",(VLOOKUP(I61,Dictionary!$J:$K,2,0)),"_ST|",(VLOOKUP(J61,Dictionary!$M:$N,2,0)),"_TS|",SUBSTITUTE(SUBSTITUTE(IF(K61="","NONE",K61),"_","-"),"|","-"),"_SZ|",(VLOOKUP(L61,Dictionary!$Y:$Z,1,0)),"_AD|",(VLOOKUP(M61,Dictionary!$AB:$AC,2,0)),"_IT|",(VLOOKUP(N61,Dictionary!$BC:$BD,2,0)),IF(O61="","",CONCATENATE("_U1|",SUBSTITUTE(SUBSTITUTE(O61,"_","-"),"|","-"))),IF(P61="","",CONCATENATE("_U2|",SUBSTITUTE(SUBSTITUTE(P61,"_","-"),"|","-"))),IF(Q61="","",CONCATENATE("_U3|",SUBSTITUTE(SUBSTITUTE(Q61,"_","-"),"|","-")))))</f>
        <v>MK|BR_CH|PD_DT|CROSS_PB|DV36_FM|BAN_RT|CPM_PD|DOTZ-ZERO-ANUIDADE-AZUL_TG|NON_ST|NON_TS|NONE_SZ|120x600_AD|CM_IT|POE</v>
      </c>
    </row>
    <row r="62" ht="15.75" customHeight="1">
      <c r="A62" s="33"/>
      <c r="B62" s="14" t="s">
        <v>15</v>
      </c>
      <c r="C62" s="14" t="s">
        <v>61</v>
      </c>
      <c r="D62" s="62" t="s">
        <v>43</v>
      </c>
      <c r="E62" s="14" t="s">
        <v>62</v>
      </c>
      <c r="F62" s="14" t="s">
        <v>63</v>
      </c>
      <c r="G62" s="62" t="s">
        <v>71</v>
      </c>
      <c r="H62" s="72" t="s">
        <v>83</v>
      </c>
      <c r="I62" s="62" t="s">
        <v>17</v>
      </c>
      <c r="J62" s="62" t="s">
        <v>17</v>
      </c>
      <c r="K62" s="33"/>
      <c r="L62" s="14" t="s">
        <v>103</v>
      </c>
      <c r="M62" s="31" t="s">
        <v>64</v>
      </c>
      <c r="N62" s="31" t="s">
        <v>65</v>
      </c>
      <c r="O62" s="31"/>
      <c r="P62" s="32"/>
      <c r="Q62" s="32"/>
      <c r="R62" s="67" t="str">
        <f>IF(K62="----","#N/A",CONCATENATE("MK|",(VLOOKUP(B62,Dictionary!$A:$B,2,0)),"_CH|",(VLOOKUP(C62,Dictionary!$AV:$AW,2,0)),"_DT|",(VLOOKUP(D62,Dictionary!$P:$Q,2,0)),"_PB|",(VLOOKUP(E62,Dictionary!$G:$H,2,0)),"_FM|",(VLOOKUP(F62,Dictionary!$S:$T,2,0)),"_RT|",(VLOOKUP(G62,Dictionary!$V:$W,2,0)),"_PD|",SUBSTITUTE(SUBSTITUTE(IF(H62="","NONE",H62),"_","-"),"|","-"),"_TG|",(VLOOKUP(I62,Dictionary!$J:$K,2,0)),"_ST|",(VLOOKUP(J62,Dictionary!$M:$N,2,0)),"_TS|",SUBSTITUTE(SUBSTITUTE(IF(K62="","NONE",K62),"_","-"),"|","-"),"_SZ|",(VLOOKUP(L62,Dictionary!$Y:$Z,1,0)),"_AD|",(VLOOKUP(M62,Dictionary!$AB:$AC,2,0)),"_IT|",(VLOOKUP(N62,Dictionary!$BC:$BD,2,0)),IF(O62="","",CONCATENATE("_U1|",SUBSTITUTE(SUBSTITUTE(O62,"_","-"),"|","-"))),IF(P62="","",CONCATENATE("_U2|",SUBSTITUTE(SUBSTITUTE(P62,"_","-"),"|","-"))),IF(Q62="","",CONCATENATE("_U3|",SUBSTITUTE(SUBSTITUTE(Q62,"_","-"),"|","-")))))</f>
        <v>MK|BR_CH|PD_DT|CROSS_PB|DV36_FM|BAN_RT|CPM_PD|DOTZ-ZERO-ANUIDADE-AZUL_TG|NON_ST|NON_TS|NONE_SZ|160x600_AD|CM_IT|POE</v>
      </c>
    </row>
    <row r="63" ht="15.75" customHeight="1">
      <c r="A63" s="33"/>
      <c r="B63" s="14" t="s">
        <v>15</v>
      </c>
      <c r="C63" s="14" t="s">
        <v>61</v>
      </c>
      <c r="D63" s="62" t="s">
        <v>43</v>
      </c>
      <c r="E63" s="14" t="s">
        <v>62</v>
      </c>
      <c r="F63" s="14" t="s">
        <v>63</v>
      </c>
      <c r="G63" s="62" t="s">
        <v>71</v>
      </c>
      <c r="H63" s="72" t="s">
        <v>83</v>
      </c>
      <c r="I63" s="62" t="s">
        <v>17</v>
      </c>
      <c r="J63" s="62" t="s">
        <v>17</v>
      </c>
      <c r="K63" s="33"/>
      <c r="L63" s="14" t="s">
        <v>104</v>
      </c>
      <c r="M63" s="31" t="s">
        <v>64</v>
      </c>
      <c r="N63" s="31" t="s">
        <v>65</v>
      </c>
      <c r="O63" s="31"/>
      <c r="P63" s="32"/>
      <c r="Q63" s="32"/>
      <c r="R63" s="67" t="str">
        <f>IF(K63="----","#N/A",CONCATENATE("MK|",(VLOOKUP(B63,Dictionary!$A:$B,2,0)),"_CH|",(VLOOKUP(C63,Dictionary!$AV:$AW,2,0)),"_DT|",(VLOOKUP(D63,Dictionary!$P:$Q,2,0)),"_PB|",(VLOOKUP(E63,Dictionary!$G:$H,2,0)),"_FM|",(VLOOKUP(F63,Dictionary!$S:$T,2,0)),"_RT|",(VLOOKUP(G63,Dictionary!$V:$W,2,0)),"_PD|",SUBSTITUTE(SUBSTITUTE(IF(H63="","NONE",H63),"_","-"),"|","-"),"_TG|",(VLOOKUP(I63,Dictionary!$J:$K,2,0)),"_ST|",(VLOOKUP(J63,Dictionary!$M:$N,2,0)),"_TS|",SUBSTITUTE(SUBSTITUTE(IF(K63="","NONE",K63),"_","-"),"|","-"),"_SZ|",(VLOOKUP(L63,Dictionary!$Y:$Z,1,0)),"_AD|",(VLOOKUP(M63,Dictionary!$AB:$AC,2,0)),"_IT|",(VLOOKUP(N63,Dictionary!$BC:$BD,2,0)),IF(O63="","",CONCATENATE("_U1|",SUBSTITUTE(SUBSTITUTE(O63,"_","-"),"|","-"))),IF(P63="","",CONCATENATE("_U2|",SUBSTITUTE(SUBSTITUTE(P63,"_","-"),"|","-"))),IF(Q63="","",CONCATENATE("_U3|",SUBSTITUTE(SUBSTITUTE(Q63,"_","-"),"|","-")))))</f>
        <v>MK|BR_CH|PD_DT|CROSS_PB|DV36_FM|BAN_RT|CPM_PD|DOTZ-ZERO-ANUIDADE-AZUL_TG|NON_ST|NON_TS|NONE_SZ|300x250_AD|CM_IT|POE</v>
      </c>
    </row>
    <row r="64" ht="15.75" customHeight="1">
      <c r="A64" s="33"/>
      <c r="B64" s="14" t="s">
        <v>15</v>
      </c>
      <c r="C64" s="14" t="s">
        <v>61</v>
      </c>
      <c r="D64" s="62" t="s">
        <v>43</v>
      </c>
      <c r="E64" s="14" t="s">
        <v>62</v>
      </c>
      <c r="F64" s="14" t="s">
        <v>63</v>
      </c>
      <c r="G64" s="62" t="s">
        <v>71</v>
      </c>
      <c r="H64" s="72" t="s">
        <v>83</v>
      </c>
      <c r="I64" s="62" t="s">
        <v>17</v>
      </c>
      <c r="J64" s="62" t="s">
        <v>17</v>
      </c>
      <c r="K64" s="33"/>
      <c r="L64" s="14" t="s">
        <v>105</v>
      </c>
      <c r="M64" s="31" t="s">
        <v>64</v>
      </c>
      <c r="N64" s="31" t="s">
        <v>65</v>
      </c>
      <c r="O64" s="31"/>
      <c r="P64" s="32"/>
      <c r="Q64" s="32"/>
      <c r="R64" s="67" t="str">
        <f>IF(K64="----","#N/A",CONCATENATE("MK|",(VLOOKUP(B64,Dictionary!$A:$B,2,0)),"_CH|",(VLOOKUP(C64,Dictionary!$AV:$AW,2,0)),"_DT|",(VLOOKUP(D64,Dictionary!$P:$Q,2,0)),"_PB|",(VLOOKUP(E64,Dictionary!$G:$H,2,0)),"_FM|",(VLOOKUP(F64,Dictionary!$S:$T,2,0)),"_RT|",(VLOOKUP(G64,Dictionary!$V:$W,2,0)),"_PD|",SUBSTITUTE(SUBSTITUTE(IF(H64="","NONE",H64),"_","-"),"|","-"),"_TG|",(VLOOKUP(I64,Dictionary!$J:$K,2,0)),"_ST|",(VLOOKUP(J64,Dictionary!$M:$N,2,0)),"_TS|",SUBSTITUTE(SUBSTITUTE(IF(K64="","NONE",K64),"_","-"),"|","-"),"_SZ|",(VLOOKUP(L64,Dictionary!$Y:$Z,1,0)),"_AD|",(VLOOKUP(M64,Dictionary!$AB:$AC,2,0)),"_IT|",(VLOOKUP(N64,Dictionary!$BC:$BD,2,0)),IF(O64="","",CONCATENATE("_U1|",SUBSTITUTE(SUBSTITUTE(O64,"_","-"),"|","-"))),IF(P64="","",CONCATENATE("_U2|",SUBSTITUTE(SUBSTITUTE(P64,"_","-"),"|","-"))),IF(Q64="","",CONCATENATE("_U3|",SUBSTITUTE(SUBSTITUTE(Q64,"_","-"),"|","-")))))</f>
        <v>MK|BR_CH|PD_DT|CROSS_PB|DV36_FM|BAN_RT|CPM_PD|DOTZ-ZERO-ANUIDADE-AZUL_TG|NON_ST|NON_TS|NONE_SZ|300x600_AD|CM_IT|POE</v>
      </c>
    </row>
    <row r="65" ht="15.75" customHeight="1">
      <c r="A65" s="33"/>
      <c r="B65" s="14" t="s">
        <v>15</v>
      </c>
      <c r="C65" s="14" t="s">
        <v>106</v>
      </c>
      <c r="D65" s="62" t="s">
        <v>43</v>
      </c>
      <c r="E65" s="14" t="s">
        <v>62</v>
      </c>
      <c r="F65" s="14" t="s">
        <v>63</v>
      </c>
      <c r="G65" s="62" t="s">
        <v>71</v>
      </c>
      <c r="H65" s="72" t="s">
        <v>83</v>
      </c>
      <c r="I65" s="62" t="s">
        <v>17</v>
      </c>
      <c r="J65" s="62" t="s">
        <v>17</v>
      </c>
      <c r="K65" s="33"/>
      <c r="L65" s="14" t="s">
        <v>107</v>
      </c>
      <c r="M65" s="31" t="s">
        <v>64</v>
      </c>
      <c r="N65" s="31" t="s">
        <v>65</v>
      </c>
      <c r="O65" s="31"/>
      <c r="P65" s="32"/>
      <c r="Q65" s="32"/>
      <c r="R65" s="67" t="str">
        <f>IF(K65="----","#N/A",CONCATENATE("MK|",(VLOOKUP(B65,Dictionary!$A:$B,2,0)),"_CH|",(VLOOKUP(C65,Dictionary!$AV:$AW,2,0)),"_DT|",(VLOOKUP(D65,Dictionary!$P:$Q,2,0)),"_PB|",(VLOOKUP(E65,Dictionary!$G:$H,2,0)),"_FM|",(VLOOKUP(F65,Dictionary!$S:$T,2,0)),"_RT|",(VLOOKUP(G65,Dictionary!$V:$W,2,0)),"_PD|",SUBSTITUTE(SUBSTITUTE(IF(H65="","NONE",H65),"_","-"),"|","-"),"_TG|",(VLOOKUP(I65,Dictionary!$J:$K,2,0)),"_ST|",(VLOOKUP(J65,Dictionary!$M:$N,2,0)),"_TS|",SUBSTITUTE(SUBSTITUTE(IF(K65="","NONE",K65),"_","-"),"|","-"),"_SZ|",(VLOOKUP(L65,Dictionary!$Y:$Z,1,0)),"_AD|",(VLOOKUP(M65,Dictionary!$AB:$AC,2,0)),"_IT|",(VLOOKUP(N65,Dictionary!$BC:$BD,2,0)),IF(O65="","",CONCATENATE("_U1|",SUBSTITUTE(SUBSTITUTE(O65,"_","-"),"|","-"))),IF(P65="","",CONCATENATE("_U2|",SUBSTITUTE(SUBSTITUTE(P65,"_","-"),"|","-"))),IF(Q65="","",CONCATENATE("_U3|",SUBSTITUTE(SUBSTITUTE(Q65,"_","-"),"|","-")))))</f>
        <v>MK|BR_CH|PMD_DT|CROSS_PB|DV36_FM|BAN_RT|CPM_PD|DOTZ-ZERO-ANUIDADE-AZUL_TG|NON_ST|NON_TS|NONE_SZ|320x50_AD|CM_IT|POE</v>
      </c>
    </row>
    <row r="66" ht="15.75" customHeight="1">
      <c r="A66" s="33"/>
      <c r="B66" s="14" t="s">
        <v>15</v>
      </c>
      <c r="C66" s="14" t="s">
        <v>106</v>
      </c>
      <c r="D66" s="62" t="s">
        <v>43</v>
      </c>
      <c r="E66" s="14" t="s">
        <v>62</v>
      </c>
      <c r="F66" s="14" t="s">
        <v>63</v>
      </c>
      <c r="G66" s="62" t="s">
        <v>71</v>
      </c>
      <c r="H66" s="72" t="s">
        <v>83</v>
      </c>
      <c r="I66" s="62" t="s">
        <v>17</v>
      </c>
      <c r="J66" s="62" t="s">
        <v>17</v>
      </c>
      <c r="K66" s="33"/>
      <c r="L66" s="14" t="s">
        <v>108</v>
      </c>
      <c r="M66" s="31" t="s">
        <v>64</v>
      </c>
      <c r="N66" s="31" t="s">
        <v>65</v>
      </c>
      <c r="O66" s="31"/>
      <c r="P66" s="32"/>
      <c r="Q66" s="32"/>
      <c r="R66" s="67" t="str">
        <f>IF(K66="----","#N/A",CONCATENATE("MK|",(VLOOKUP(B66,Dictionary!$A:$B,2,0)),"_CH|",(VLOOKUP(C66,Dictionary!$AV:$AW,2,0)),"_DT|",(VLOOKUP(D66,Dictionary!$P:$Q,2,0)),"_PB|",(VLOOKUP(E66,Dictionary!$G:$H,2,0)),"_FM|",(VLOOKUP(F66,Dictionary!$S:$T,2,0)),"_RT|",(VLOOKUP(G66,Dictionary!$V:$W,2,0)),"_PD|",SUBSTITUTE(SUBSTITUTE(IF(H66="","NONE",H66),"_","-"),"|","-"),"_TG|",(VLOOKUP(I66,Dictionary!$J:$K,2,0)),"_ST|",(VLOOKUP(J66,Dictionary!$M:$N,2,0)),"_TS|",SUBSTITUTE(SUBSTITUTE(IF(K66="","NONE",K66),"_","-"),"|","-"),"_SZ|",(VLOOKUP(L66,Dictionary!$Y:$Z,1,0)),"_AD|",(VLOOKUP(M66,Dictionary!$AB:$AC,2,0)),"_IT|",(VLOOKUP(N66,Dictionary!$BC:$BD,2,0)),IF(O66="","",CONCATENATE("_U1|",SUBSTITUTE(SUBSTITUTE(O66,"_","-"),"|","-"))),IF(P66="","",CONCATENATE("_U2|",SUBSTITUTE(SUBSTITUTE(P66,"_","-"),"|","-"))),IF(Q66="","",CONCATENATE("_U3|",SUBSTITUTE(SUBSTITUTE(Q66,"_","-"),"|","-")))))</f>
        <v>MK|BR_CH|PMD_DT|CROSS_PB|DV36_FM|BAN_RT|CPM_PD|DOTZ-ZERO-ANUIDADE-AZUL_TG|NON_ST|NON_TS|NONE_SZ|320x100_AD|CM_IT|POE</v>
      </c>
    </row>
    <row r="67" ht="15.75" customHeight="1">
      <c r="A67" s="33"/>
      <c r="B67" s="14" t="s">
        <v>15</v>
      </c>
      <c r="C67" s="14" t="s">
        <v>61</v>
      </c>
      <c r="D67" s="62" t="s">
        <v>43</v>
      </c>
      <c r="E67" s="14" t="s">
        <v>62</v>
      </c>
      <c r="F67" s="14" t="s">
        <v>63</v>
      </c>
      <c r="G67" s="62" t="s">
        <v>71</v>
      </c>
      <c r="H67" s="72" t="s">
        <v>83</v>
      </c>
      <c r="I67" s="62" t="s">
        <v>17</v>
      </c>
      <c r="J67" s="62" t="s">
        <v>17</v>
      </c>
      <c r="K67" s="33"/>
      <c r="L67" s="14" t="s">
        <v>109</v>
      </c>
      <c r="M67" s="31" t="s">
        <v>64</v>
      </c>
      <c r="N67" s="31" t="s">
        <v>65</v>
      </c>
      <c r="O67" s="31"/>
      <c r="P67" s="32"/>
      <c r="Q67" s="32"/>
      <c r="R67" s="67" t="str">
        <f>IF(K67="----","#N/A",CONCATENATE("MK|",(VLOOKUP(B67,Dictionary!$A:$B,2,0)),"_CH|",(VLOOKUP(C67,Dictionary!$AV:$AW,2,0)),"_DT|",(VLOOKUP(D67,Dictionary!$P:$Q,2,0)),"_PB|",(VLOOKUP(E67,Dictionary!$G:$H,2,0)),"_FM|",(VLOOKUP(F67,Dictionary!$S:$T,2,0)),"_RT|",(VLOOKUP(G67,Dictionary!$V:$W,2,0)),"_PD|",SUBSTITUTE(SUBSTITUTE(IF(H67="","NONE",H67),"_","-"),"|","-"),"_TG|",(VLOOKUP(I67,Dictionary!$J:$K,2,0)),"_ST|",(VLOOKUP(J67,Dictionary!$M:$N,2,0)),"_TS|",SUBSTITUTE(SUBSTITUTE(IF(K67="","NONE",K67),"_","-"),"|","-"),"_SZ|",(VLOOKUP(L67,Dictionary!$Y:$Z,1,0)),"_AD|",(VLOOKUP(M67,Dictionary!$AB:$AC,2,0)),"_IT|",(VLOOKUP(N67,Dictionary!$BC:$BD,2,0)),IF(O67="","",CONCATENATE("_U1|",SUBSTITUTE(SUBSTITUTE(O67,"_","-"),"|","-"))),IF(P67="","",CONCATENATE("_U2|",SUBSTITUTE(SUBSTITUTE(P67,"_","-"),"|","-"))),IF(Q67="","",CONCATENATE("_U3|",SUBSTITUTE(SUBSTITUTE(Q67,"_","-"),"|","-")))))</f>
        <v>MK|BR_CH|PD_DT|CROSS_PB|DV36_FM|BAN_RT|CPM_PD|DOTZ-ZERO-ANUIDADE-AZUL_TG|NON_ST|NON_TS|NONE_SZ|728x90_AD|CM_IT|POE</v>
      </c>
    </row>
    <row r="68" ht="15.75" customHeight="1">
      <c r="A68" s="33"/>
      <c r="B68" s="14" t="s">
        <v>15</v>
      </c>
      <c r="C68" s="14" t="s">
        <v>61</v>
      </c>
      <c r="D68" s="62" t="s">
        <v>43</v>
      </c>
      <c r="E68" s="14" t="s">
        <v>62</v>
      </c>
      <c r="F68" s="14" t="s">
        <v>63</v>
      </c>
      <c r="G68" s="62" t="s">
        <v>71</v>
      </c>
      <c r="H68" s="51" t="s">
        <v>110</v>
      </c>
      <c r="I68" s="62" t="s">
        <v>17</v>
      </c>
      <c r="J68" s="62" t="s">
        <v>17</v>
      </c>
      <c r="K68" s="33"/>
      <c r="L68" s="14" t="s">
        <v>102</v>
      </c>
      <c r="M68" s="31" t="s">
        <v>64</v>
      </c>
      <c r="N68" s="31" t="s">
        <v>65</v>
      </c>
      <c r="O68" s="31"/>
      <c r="P68" s="32"/>
      <c r="Q68" s="32"/>
      <c r="R68" s="67" t="str">
        <f>IF(K68="----","#N/A",CONCATENATE("MK|",(VLOOKUP(B68,Dictionary!$A:$B,2,0)),"_CH|",(VLOOKUP(C68,Dictionary!$AV:$AW,2,0)),"_DT|",(VLOOKUP(D68,Dictionary!$P:$Q,2,0)),"_PB|",(VLOOKUP(E68,Dictionary!$G:$H,2,0)),"_FM|",(VLOOKUP(F68,Dictionary!$S:$T,2,0)),"_RT|",(VLOOKUP(G68,Dictionary!$V:$W,2,0)),"_PD|",SUBSTITUTE(SUBSTITUTE(IF(H68="","NONE",H68),"_","-"),"|","-"),"_TG|",(VLOOKUP(I68,Dictionary!$J:$K,2,0)),"_ST|",(VLOOKUP(J68,Dictionary!$M:$N,2,0)),"_TS|",SUBSTITUTE(SUBSTITUTE(IF(K68="","NONE",K68),"_","-"),"|","-"),"_SZ|",(VLOOKUP(L68,Dictionary!$Y:$Z,1,0)),"_AD|",(VLOOKUP(M68,Dictionary!$AB:$AC,2,0)),"_IT|",(VLOOKUP(N68,Dictionary!$BC:$BD,2,0)),IF(O68="","",CONCATENATE("_U1|",SUBSTITUTE(SUBSTITUTE(O68,"_","-"),"|","-"))),IF(P68="","",CONCATENATE("_U2|",SUBSTITUTE(SUBSTITUTE(P68,"_","-"),"|","-"))),IF(Q68="","",CONCATENATE("_U3|",SUBSTITUTE(SUBSTITUTE(Q68,"_","-"),"|","-")))))</f>
        <v>MK|BR_CH|PD_DT|CROSS_PB|DV36_FM|BAN_RT|CPM_PD|DOTZ-10MIL-HUMANIZADO_TG|NON_ST|NON_TS|NONE_SZ|120x600_AD|CM_IT|POE</v>
      </c>
    </row>
    <row r="69" ht="15.75" customHeight="1">
      <c r="A69" s="33"/>
      <c r="B69" s="14" t="s">
        <v>15</v>
      </c>
      <c r="C69" s="14" t="s">
        <v>61</v>
      </c>
      <c r="D69" s="62" t="s">
        <v>43</v>
      </c>
      <c r="E69" s="14" t="s">
        <v>62</v>
      </c>
      <c r="F69" s="14" t="s">
        <v>63</v>
      </c>
      <c r="G69" s="62" t="s">
        <v>71</v>
      </c>
      <c r="H69" s="51" t="s">
        <v>110</v>
      </c>
      <c r="I69" s="62" t="s">
        <v>17</v>
      </c>
      <c r="J69" s="62" t="s">
        <v>17</v>
      </c>
      <c r="K69" s="33"/>
      <c r="L69" s="14" t="s">
        <v>103</v>
      </c>
      <c r="M69" s="31" t="s">
        <v>64</v>
      </c>
      <c r="N69" s="31" t="s">
        <v>65</v>
      </c>
      <c r="O69" s="31"/>
      <c r="P69" s="32"/>
      <c r="Q69" s="32"/>
      <c r="R69" s="67" t="str">
        <f>IF(K69="----","#N/A",CONCATENATE("MK|",(VLOOKUP(B69,Dictionary!$A:$B,2,0)),"_CH|",(VLOOKUP(C69,Dictionary!$AV:$AW,2,0)),"_DT|",(VLOOKUP(D69,Dictionary!$P:$Q,2,0)),"_PB|",(VLOOKUP(E69,Dictionary!$G:$H,2,0)),"_FM|",(VLOOKUP(F69,Dictionary!$S:$T,2,0)),"_RT|",(VLOOKUP(G69,Dictionary!$V:$W,2,0)),"_PD|",SUBSTITUTE(SUBSTITUTE(IF(H69="","NONE",H69),"_","-"),"|","-"),"_TG|",(VLOOKUP(I69,Dictionary!$J:$K,2,0)),"_ST|",(VLOOKUP(J69,Dictionary!$M:$N,2,0)),"_TS|",SUBSTITUTE(SUBSTITUTE(IF(K69="","NONE",K69),"_","-"),"|","-"),"_SZ|",(VLOOKUP(L69,Dictionary!$Y:$Z,1,0)),"_AD|",(VLOOKUP(M69,Dictionary!$AB:$AC,2,0)),"_IT|",(VLOOKUP(N69,Dictionary!$BC:$BD,2,0)),IF(O69="","",CONCATENATE("_U1|",SUBSTITUTE(SUBSTITUTE(O69,"_","-"),"|","-"))),IF(P69="","",CONCATENATE("_U2|",SUBSTITUTE(SUBSTITUTE(P69,"_","-"),"|","-"))),IF(Q69="","",CONCATENATE("_U3|",SUBSTITUTE(SUBSTITUTE(Q69,"_","-"),"|","-")))))</f>
        <v>MK|BR_CH|PD_DT|CROSS_PB|DV36_FM|BAN_RT|CPM_PD|DOTZ-10MIL-HUMANIZADO_TG|NON_ST|NON_TS|NONE_SZ|160x600_AD|CM_IT|POE</v>
      </c>
    </row>
    <row r="70" ht="15.75" customHeight="1">
      <c r="A70" s="33"/>
      <c r="B70" s="14" t="s">
        <v>15</v>
      </c>
      <c r="C70" s="14" t="s">
        <v>61</v>
      </c>
      <c r="D70" s="62" t="s">
        <v>43</v>
      </c>
      <c r="E70" s="14" t="s">
        <v>62</v>
      </c>
      <c r="F70" s="14" t="s">
        <v>63</v>
      </c>
      <c r="G70" s="62" t="s">
        <v>71</v>
      </c>
      <c r="H70" s="51" t="s">
        <v>110</v>
      </c>
      <c r="I70" s="62" t="s">
        <v>17</v>
      </c>
      <c r="J70" s="62" t="s">
        <v>17</v>
      </c>
      <c r="K70" s="33"/>
      <c r="L70" s="14" t="s">
        <v>104</v>
      </c>
      <c r="M70" s="31" t="s">
        <v>64</v>
      </c>
      <c r="N70" s="31" t="s">
        <v>65</v>
      </c>
      <c r="O70" s="31"/>
      <c r="P70" s="32"/>
      <c r="Q70" s="32"/>
      <c r="R70" s="67" t="str">
        <f>IF(K70="----","#N/A",CONCATENATE("MK|",(VLOOKUP(B70,Dictionary!$A:$B,2,0)),"_CH|",(VLOOKUP(C70,Dictionary!$AV:$AW,2,0)),"_DT|",(VLOOKUP(D70,Dictionary!$P:$Q,2,0)),"_PB|",(VLOOKUP(E70,Dictionary!$G:$H,2,0)),"_FM|",(VLOOKUP(F70,Dictionary!$S:$T,2,0)),"_RT|",(VLOOKUP(G70,Dictionary!$V:$W,2,0)),"_PD|",SUBSTITUTE(SUBSTITUTE(IF(H70="","NONE",H70),"_","-"),"|","-"),"_TG|",(VLOOKUP(I70,Dictionary!$J:$K,2,0)),"_ST|",(VLOOKUP(J70,Dictionary!$M:$N,2,0)),"_TS|",SUBSTITUTE(SUBSTITUTE(IF(K70="","NONE",K70),"_","-"),"|","-"),"_SZ|",(VLOOKUP(L70,Dictionary!$Y:$Z,1,0)),"_AD|",(VLOOKUP(M70,Dictionary!$AB:$AC,2,0)),"_IT|",(VLOOKUP(N70,Dictionary!$BC:$BD,2,0)),IF(O70="","",CONCATENATE("_U1|",SUBSTITUTE(SUBSTITUTE(O70,"_","-"),"|","-"))),IF(P70="","",CONCATENATE("_U2|",SUBSTITUTE(SUBSTITUTE(P70,"_","-"),"|","-"))),IF(Q70="","",CONCATENATE("_U3|",SUBSTITUTE(SUBSTITUTE(Q70,"_","-"),"|","-")))))</f>
        <v>MK|BR_CH|PD_DT|CROSS_PB|DV36_FM|BAN_RT|CPM_PD|DOTZ-10MIL-HUMANIZADO_TG|NON_ST|NON_TS|NONE_SZ|300x250_AD|CM_IT|POE</v>
      </c>
    </row>
    <row r="71" ht="15.75" customHeight="1">
      <c r="A71" s="33"/>
      <c r="B71" s="14" t="s">
        <v>15</v>
      </c>
      <c r="C71" s="14" t="s">
        <v>61</v>
      </c>
      <c r="D71" s="62" t="s">
        <v>43</v>
      </c>
      <c r="E71" s="14" t="s">
        <v>62</v>
      </c>
      <c r="F71" s="14" t="s">
        <v>63</v>
      </c>
      <c r="G71" s="62" t="s">
        <v>71</v>
      </c>
      <c r="H71" s="51" t="s">
        <v>110</v>
      </c>
      <c r="I71" s="62" t="s">
        <v>17</v>
      </c>
      <c r="J71" s="62" t="s">
        <v>17</v>
      </c>
      <c r="K71" s="33"/>
      <c r="L71" s="14" t="s">
        <v>105</v>
      </c>
      <c r="M71" s="31" t="s">
        <v>64</v>
      </c>
      <c r="N71" s="31" t="s">
        <v>65</v>
      </c>
      <c r="O71" s="31"/>
      <c r="P71" s="32"/>
      <c r="Q71" s="32"/>
      <c r="R71" s="67" t="str">
        <f>IF(K71="----","#N/A",CONCATENATE("MK|",(VLOOKUP(B71,Dictionary!$A:$B,2,0)),"_CH|",(VLOOKUP(C71,Dictionary!$AV:$AW,2,0)),"_DT|",(VLOOKUP(D71,Dictionary!$P:$Q,2,0)),"_PB|",(VLOOKUP(E71,Dictionary!$G:$H,2,0)),"_FM|",(VLOOKUP(F71,Dictionary!$S:$T,2,0)),"_RT|",(VLOOKUP(G71,Dictionary!$V:$W,2,0)),"_PD|",SUBSTITUTE(SUBSTITUTE(IF(H71="","NONE",H71),"_","-"),"|","-"),"_TG|",(VLOOKUP(I71,Dictionary!$J:$K,2,0)),"_ST|",(VLOOKUP(J71,Dictionary!$M:$N,2,0)),"_TS|",SUBSTITUTE(SUBSTITUTE(IF(K71="","NONE",K71),"_","-"),"|","-"),"_SZ|",(VLOOKUP(L71,Dictionary!$Y:$Z,1,0)),"_AD|",(VLOOKUP(M71,Dictionary!$AB:$AC,2,0)),"_IT|",(VLOOKUP(N71,Dictionary!$BC:$BD,2,0)),IF(O71="","",CONCATENATE("_U1|",SUBSTITUTE(SUBSTITUTE(O71,"_","-"),"|","-"))),IF(P71="","",CONCATENATE("_U2|",SUBSTITUTE(SUBSTITUTE(P71,"_","-"),"|","-"))),IF(Q71="","",CONCATENATE("_U3|",SUBSTITUTE(SUBSTITUTE(Q71,"_","-"),"|","-")))))</f>
        <v>MK|BR_CH|PD_DT|CROSS_PB|DV36_FM|BAN_RT|CPM_PD|DOTZ-10MIL-HUMANIZADO_TG|NON_ST|NON_TS|NONE_SZ|300x600_AD|CM_IT|POE</v>
      </c>
    </row>
    <row r="72" ht="15.75" customHeight="1">
      <c r="A72" s="33"/>
      <c r="B72" s="14" t="s">
        <v>15</v>
      </c>
      <c r="C72" s="14" t="s">
        <v>106</v>
      </c>
      <c r="D72" s="62" t="s">
        <v>43</v>
      </c>
      <c r="E72" s="14" t="s">
        <v>62</v>
      </c>
      <c r="F72" s="14" t="s">
        <v>63</v>
      </c>
      <c r="G72" s="62" t="s">
        <v>71</v>
      </c>
      <c r="H72" s="51" t="s">
        <v>110</v>
      </c>
      <c r="I72" s="62" t="s">
        <v>17</v>
      </c>
      <c r="J72" s="62" t="s">
        <v>17</v>
      </c>
      <c r="K72" s="33"/>
      <c r="L72" s="14" t="s">
        <v>107</v>
      </c>
      <c r="M72" s="31" t="s">
        <v>64</v>
      </c>
      <c r="N72" s="31" t="s">
        <v>65</v>
      </c>
      <c r="O72" s="31"/>
      <c r="P72" s="32"/>
      <c r="Q72" s="32"/>
      <c r="R72" s="67" t="str">
        <f>IF(K72="----","#N/A",CONCATENATE("MK|",(VLOOKUP(B72,Dictionary!$A:$B,2,0)),"_CH|",(VLOOKUP(C72,Dictionary!$AV:$AW,2,0)),"_DT|",(VLOOKUP(D72,Dictionary!$P:$Q,2,0)),"_PB|",(VLOOKUP(E72,Dictionary!$G:$H,2,0)),"_FM|",(VLOOKUP(F72,Dictionary!$S:$T,2,0)),"_RT|",(VLOOKUP(G72,Dictionary!$V:$W,2,0)),"_PD|",SUBSTITUTE(SUBSTITUTE(IF(H72="","NONE",H72),"_","-"),"|","-"),"_TG|",(VLOOKUP(I72,Dictionary!$J:$K,2,0)),"_ST|",(VLOOKUP(J72,Dictionary!$M:$N,2,0)),"_TS|",SUBSTITUTE(SUBSTITUTE(IF(K72="","NONE",K72),"_","-"),"|","-"),"_SZ|",(VLOOKUP(L72,Dictionary!$Y:$Z,1,0)),"_AD|",(VLOOKUP(M72,Dictionary!$AB:$AC,2,0)),"_IT|",(VLOOKUP(N72,Dictionary!$BC:$BD,2,0)),IF(O72="","",CONCATENATE("_U1|",SUBSTITUTE(SUBSTITUTE(O72,"_","-"),"|","-"))),IF(P72="","",CONCATENATE("_U2|",SUBSTITUTE(SUBSTITUTE(P72,"_","-"),"|","-"))),IF(Q72="","",CONCATENATE("_U3|",SUBSTITUTE(SUBSTITUTE(Q72,"_","-"),"|","-")))))</f>
        <v>MK|BR_CH|PMD_DT|CROSS_PB|DV36_FM|BAN_RT|CPM_PD|DOTZ-10MIL-HUMANIZADO_TG|NON_ST|NON_TS|NONE_SZ|320x50_AD|CM_IT|POE</v>
      </c>
    </row>
    <row r="73" ht="15.75" customHeight="1">
      <c r="A73" s="33"/>
      <c r="B73" s="14" t="s">
        <v>15</v>
      </c>
      <c r="C73" s="14" t="s">
        <v>106</v>
      </c>
      <c r="D73" s="62" t="s">
        <v>43</v>
      </c>
      <c r="E73" s="14" t="s">
        <v>62</v>
      </c>
      <c r="F73" s="14" t="s">
        <v>63</v>
      </c>
      <c r="G73" s="62" t="s">
        <v>71</v>
      </c>
      <c r="H73" s="51" t="s">
        <v>110</v>
      </c>
      <c r="I73" s="62" t="s">
        <v>17</v>
      </c>
      <c r="J73" s="62" t="s">
        <v>17</v>
      </c>
      <c r="K73" s="33"/>
      <c r="L73" s="14" t="s">
        <v>108</v>
      </c>
      <c r="M73" s="31" t="s">
        <v>64</v>
      </c>
      <c r="N73" s="31" t="s">
        <v>65</v>
      </c>
      <c r="O73" s="31"/>
      <c r="P73" s="32"/>
      <c r="Q73" s="32"/>
      <c r="R73" s="67" t="str">
        <f>IF(K73="----","#N/A",CONCATENATE("MK|",(VLOOKUP(B73,Dictionary!$A:$B,2,0)),"_CH|",(VLOOKUP(C73,Dictionary!$AV:$AW,2,0)),"_DT|",(VLOOKUP(D73,Dictionary!$P:$Q,2,0)),"_PB|",(VLOOKUP(E73,Dictionary!$G:$H,2,0)),"_FM|",(VLOOKUP(F73,Dictionary!$S:$T,2,0)),"_RT|",(VLOOKUP(G73,Dictionary!$V:$W,2,0)),"_PD|",SUBSTITUTE(SUBSTITUTE(IF(H73="","NONE",H73),"_","-"),"|","-"),"_TG|",(VLOOKUP(I73,Dictionary!$J:$K,2,0)),"_ST|",(VLOOKUP(J73,Dictionary!$M:$N,2,0)),"_TS|",SUBSTITUTE(SUBSTITUTE(IF(K73="","NONE",K73),"_","-"),"|","-"),"_SZ|",(VLOOKUP(L73,Dictionary!$Y:$Z,1,0)),"_AD|",(VLOOKUP(M73,Dictionary!$AB:$AC,2,0)),"_IT|",(VLOOKUP(N73,Dictionary!$BC:$BD,2,0)),IF(O73="","",CONCATENATE("_U1|",SUBSTITUTE(SUBSTITUTE(O73,"_","-"),"|","-"))),IF(P73="","",CONCATENATE("_U2|",SUBSTITUTE(SUBSTITUTE(P73,"_","-"),"|","-"))),IF(Q73="","",CONCATENATE("_U3|",SUBSTITUTE(SUBSTITUTE(Q73,"_","-"),"|","-")))))</f>
        <v>MK|BR_CH|PMD_DT|CROSS_PB|DV36_FM|BAN_RT|CPM_PD|DOTZ-10MIL-HUMANIZADO_TG|NON_ST|NON_TS|NONE_SZ|320x100_AD|CM_IT|POE</v>
      </c>
    </row>
    <row r="74" ht="15.75" customHeight="1">
      <c r="A74" s="33"/>
      <c r="B74" s="14" t="s">
        <v>15</v>
      </c>
      <c r="C74" s="14" t="s">
        <v>61</v>
      </c>
      <c r="D74" s="62" t="s">
        <v>43</v>
      </c>
      <c r="E74" s="14" t="s">
        <v>62</v>
      </c>
      <c r="F74" s="14" t="s">
        <v>63</v>
      </c>
      <c r="G74" s="62" t="s">
        <v>71</v>
      </c>
      <c r="H74" s="51" t="s">
        <v>110</v>
      </c>
      <c r="I74" s="62" t="s">
        <v>17</v>
      </c>
      <c r="J74" s="62" t="s">
        <v>17</v>
      </c>
      <c r="K74" s="33"/>
      <c r="L74" s="14" t="s">
        <v>109</v>
      </c>
      <c r="M74" s="31" t="s">
        <v>64</v>
      </c>
      <c r="N74" s="31" t="s">
        <v>65</v>
      </c>
      <c r="O74" s="31"/>
      <c r="P74" s="32"/>
      <c r="Q74" s="32"/>
      <c r="R74" s="67" t="str">
        <f>IF(K74="----","#N/A",CONCATENATE("MK|",(VLOOKUP(B74,Dictionary!$A:$B,2,0)),"_CH|",(VLOOKUP(C74,Dictionary!$AV:$AW,2,0)),"_DT|",(VLOOKUP(D74,Dictionary!$P:$Q,2,0)),"_PB|",(VLOOKUP(E74,Dictionary!$G:$H,2,0)),"_FM|",(VLOOKUP(F74,Dictionary!$S:$T,2,0)),"_RT|",(VLOOKUP(G74,Dictionary!$V:$W,2,0)),"_PD|",SUBSTITUTE(SUBSTITUTE(IF(H74="","NONE",H74),"_","-"),"|","-"),"_TG|",(VLOOKUP(I74,Dictionary!$J:$K,2,0)),"_ST|",(VLOOKUP(J74,Dictionary!$M:$N,2,0)),"_TS|",SUBSTITUTE(SUBSTITUTE(IF(K74="","NONE",K74),"_","-"),"|","-"),"_SZ|",(VLOOKUP(L74,Dictionary!$Y:$Z,1,0)),"_AD|",(VLOOKUP(M74,Dictionary!$AB:$AC,2,0)),"_IT|",(VLOOKUP(N74,Dictionary!$BC:$BD,2,0)),IF(O74="","",CONCATENATE("_U1|",SUBSTITUTE(SUBSTITUTE(O74,"_","-"),"|","-"))),IF(P74="","",CONCATENATE("_U2|",SUBSTITUTE(SUBSTITUTE(P74,"_","-"),"|","-"))),IF(Q74="","",CONCATENATE("_U3|",SUBSTITUTE(SUBSTITUTE(Q74,"_","-"),"|","-")))))</f>
        <v>MK|BR_CH|PD_DT|CROSS_PB|DV36_FM|BAN_RT|CPM_PD|DOTZ-10MIL-HUMANIZADO_TG|NON_ST|NON_TS|NONE_SZ|728x90_AD|CM_IT|POE</v>
      </c>
    </row>
    <row r="75" ht="15.75" customHeight="1">
      <c r="A75" s="33"/>
      <c r="B75" s="14" t="s">
        <v>15</v>
      </c>
      <c r="C75" s="14" t="s">
        <v>61</v>
      </c>
      <c r="D75" s="62" t="s">
        <v>43</v>
      </c>
      <c r="E75" s="14" t="s">
        <v>62</v>
      </c>
      <c r="F75" s="14" t="s">
        <v>63</v>
      </c>
      <c r="G75" s="62" t="s">
        <v>71</v>
      </c>
      <c r="H75" s="51" t="s">
        <v>111</v>
      </c>
      <c r="I75" s="62" t="s">
        <v>17</v>
      </c>
      <c r="J75" s="62" t="s">
        <v>17</v>
      </c>
      <c r="K75" s="33"/>
      <c r="L75" s="14" t="s">
        <v>102</v>
      </c>
      <c r="M75" s="31" t="s">
        <v>64</v>
      </c>
      <c r="N75" s="31" t="s">
        <v>65</v>
      </c>
      <c r="O75" s="31"/>
      <c r="P75" s="32"/>
      <c r="Q75" s="32"/>
      <c r="R75" s="67" t="str">
        <f>IF(K75="----","#N/A",CONCATENATE("MK|",(VLOOKUP(B75,Dictionary!$A:$B,2,0)),"_CH|",(VLOOKUP(C75,Dictionary!$AV:$AW,2,0)),"_DT|",(VLOOKUP(D75,Dictionary!$P:$Q,2,0)),"_PB|",(VLOOKUP(E75,Dictionary!$G:$H,2,0)),"_FM|",(VLOOKUP(F75,Dictionary!$S:$T,2,0)),"_RT|",(VLOOKUP(G75,Dictionary!$V:$W,2,0)),"_PD|",SUBSTITUTE(SUBSTITUTE(IF(H75="","NONE",H75),"_","-"),"|","-"),"_TG|",(VLOOKUP(I75,Dictionary!$J:$K,2,0)),"_ST|",(VLOOKUP(J75,Dictionary!$M:$N,2,0)),"_TS|",SUBSTITUTE(SUBSTITUTE(IF(K75="","NONE",K75),"_","-"),"|","-"),"_SZ|",(VLOOKUP(L75,Dictionary!$Y:$Z,1,0)),"_AD|",(VLOOKUP(M75,Dictionary!$AB:$AC,2,0)),"_IT|",(VLOOKUP(N75,Dictionary!$BC:$BD,2,0)),IF(O75="","",CONCATENATE("_U1|",SUBSTITUTE(SUBSTITUTE(O75,"_","-"),"|","-"))),IF(P75="","",CONCATENATE("_U2|",SUBSTITUTE(SUBSTITUTE(P75,"_","-"),"|","-"))),IF(Q75="","",CONCATENATE("_U3|",SUBSTITUTE(SUBSTITUTE(Q75,"_","-"),"|","-")))))</f>
        <v>MK|BR_CH|PD_DT|CROSS_PB|DV36_FM|BAN_RT|CPM_PD|DOTZ-ZERO-ANUIDADE-HUMANIZADO_TG|NON_ST|NON_TS|NONE_SZ|120x600_AD|CM_IT|POE</v>
      </c>
    </row>
    <row r="76" ht="15.75" customHeight="1">
      <c r="A76" s="33"/>
      <c r="B76" s="14" t="s">
        <v>15</v>
      </c>
      <c r="C76" s="14" t="s">
        <v>61</v>
      </c>
      <c r="D76" s="62" t="s">
        <v>43</v>
      </c>
      <c r="E76" s="14" t="s">
        <v>62</v>
      </c>
      <c r="F76" s="14" t="s">
        <v>63</v>
      </c>
      <c r="G76" s="62" t="s">
        <v>71</v>
      </c>
      <c r="H76" s="51" t="s">
        <v>111</v>
      </c>
      <c r="I76" s="62" t="s">
        <v>17</v>
      </c>
      <c r="J76" s="62" t="s">
        <v>17</v>
      </c>
      <c r="K76" s="33"/>
      <c r="L76" s="14" t="s">
        <v>103</v>
      </c>
      <c r="M76" s="31" t="s">
        <v>64</v>
      </c>
      <c r="N76" s="31" t="s">
        <v>65</v>
      </c>
      <c r="O76" s="31"/>
      <c r="P76" s="32"/>
      <c r="Q76" s="32"/>
      <c r="R76" s="67" t="str">
        <f>IF(K76="----","#N/A",CONCATENATE("MK|",(VLOOKUP(B76,Dictionary!$A:$B,2,0)),"_CH|",(VLOOKUP(C76,Dictionary!$AV:$AW,2,0)),"_DT|",(VLOOKUP(D76,Dictionary!$P:$Q,2,0)),"_PB|",(VLOOKUP(E76,Dictionary!$G:$H,2,0)),"_FM|",(VLOOKUP(F76,Dictionary!$S:$T,2,0)),"_RT|",(VLOOKUP(G76,Dictionary!$V:$W,2,0)),"_PD|",SUBSTITUTE(SUBSTITUTE(IF(H76="","NONE",H76),"_","-"),"|","-"),"_TG|",(VLOOKUP(I76,Dictionary!$J:$K,2,0)),"_ST|",(VLOOKUP(J76,Dictionary!$M:$N,2,0)),"_TS|",SUBSTITUTE(SUBSTITUTE(IF(K76="","NONE",K76),"_","-"),"|","-"),"_SZ|",(VLOOKUP(L76,Dictionary!$Y:$Z,1,0)),"_AD|",(VLOOKUP(M76,Dictionary!$AB:$AC,2,0)),"_IT|",(VLOOKUP(N76,Dictionary!$BC:$BD,2,0)),IF(O76="","",CONCATENATE("_U1|",SUBSTITUTE(SUBSTITUTE(O76,"_","-"),"|","-"))),IF(P76="","",CONCATENATE("_U2|",SUBSTITUTE(SUBSTITUTE(P76,"_","-"),"|","-"))),IF(Q76="","",CONCATENATE("_U3|",SUBSTITUTE(SUBSTITUTE(Q76,"_","-"),"|","-")))))</f>
        <v>MK|BR_CH|PD_DT|CROSS_PB|DV36_FM|BAN_RT|CPM_PD|DOTZ-ZERO-ANUIDADE-HUMANIZADO_TG|NON_ST|NON_TS|NONE_SZ|160x600_AD|CM_IT|POE</v>
      </c>
    </row>
    <row r="77" ht="15.75" customHeight="1">
      <c r="A77" s="33"/>
      <c r="B77" s="14" t="s">
        <v>15</v>
      </c>
      <c r="C77" s="14" t="s">
        <v>61</v>
      </c>
      <c r="D77" s="62" t="s">
        <v>43</v>
      </c>
      <c r="E77" s="14" t="s">
        <v>62</v>
      </c>
      <c r="F77" s="14" t="s">
        <v>63</v>
      </c>
      <c r="G77" s="62" t="s">
        <v>71</v>
      </c>
      <c r="H77" s="51" t="s">
        <v>111</v>
      </c>
      <c r="I77" s="62" t="s">
        <v>17</v>
      </c>
      <c r="J77" s="62" t="s">
        <v>17</v>
      </c>
      <c r="K77" s="33"/>
      <c r="L77" s="14" t="s">
        <v>104</v>
      </c>
      <c r="M77" s="31" t="s">
        <v>64</v>
      </c>
      <c r="N77" s="31" t="s">
        <v>65</v>
      </c>
      <c r="O77" s="31"/>
      <c r="P77" s="32"/>
      <c r="Q77" s="32"/>
      <c r="R77" s="67" t="str">
        <f>IF(K77="----","#N/A",CONCATENATE("MK|",(VLOOKUP(B77,Dictionary!$A:$B,2,0)),"_CH|",(VLOOKUP(C77,Dictionary!$AV:$AW,2,0)),"_DT|",(VLOOKUP(D77,Dictionary!$P:$Q,2,0)),"_PB|",(VLOOKUP(E77,Dictionary!$G:$H,2,0)),"_FM|",(VLOOKUP(F77,Dictionary!$S:$T,2,0)),"_RT|",(VLOOKUP(G77,Dictionary!$V:$W,2,0)),"_PD|",SUBSTITUTE(SUBSTITUTE(IF(H77="","NONE",H77),"_","-"),"|","-"),"_TG|",(VLOOKUP(I77,Dictionary!$J:$K,2,0)),"_ST|",(VLOOKUP(J77,Dictionary!$M:$N,2,0)),"_TS|",SUBSTITUTE(SUBSTITUTE(IF(K77="","NONE",K77),"_","-"),"|","-"),"_SZ|",(VLOOKUP(L77,Dictionary!$Y:$Z,1,0)),"_AD|",(VLOOKUP(M77,Dictionary!$AB:$AC,2,0)),"_IT|",(VLOOKUP(N77,Dictionary!$BC:$BD,2,0)),IF(O77="","",CONCATENATE("_U1|",SUBSTITUTE(SUBSTITUTE(O77,"_","-"),"|","-"))),IF(P77="","",CONCATENATE("_U2|",SUBSTITUTE(SUBSTITUTE(P77,"_","-"),"|","-"))),IF(Q77="","",CONCATENATE("_U3|",SUBSTITUTE(SUBSTITUTE(Q77,"_","-"),"|","-")))))</f>
        <v>MK|BR_CH|PD_DT|CROSS_PB|DV36_FM|BAN_RT|CPM_PD|DOTZ-ZERO-ANUIDADE-HUMANIZADO_TG|NON_ST|NON_TS|NONE_SZ|300x250_AD|CM_IT|POE</v>
      </c>
    </row>
    <row r="78" ht="15.75" customHeight="1">
      <c r="A78" s="33"/>
      <c r="B78" s="14" t="s">
        <v>15</v>
      </c>
      <c r="C78" s="14" t="s">
        <v>61</v>
      </c>
      <c r="D78" s="62" t="s">
        <v>43</v>
      </c>
      <c r="E78" s="14" t="s">
        <v>62</v>
      </c>
      <c r="F78" s="14" t="s">
        <v>63</v>
      </c>
      <c r="G78" s="62" t="s">
        <v>71</v>
      </c>
      <c r="H78" s="51" t="s">
        <v>111</v>
      </c>
      <c r="I78" s="62" t="s">
        <v>17</v>
      </c>
      <c r="J78" s="62" t="s">
        <v>17</v>
      </c>
      <c r="K78" s="33"/>
      <c r="L78" s="14" t="s">
        <v>105</v>
      </c>
      <c r="M78" s="31" t="s">
        <v>64</v>
      </c>
      <c r="N78" s="31" t="s">
        <v>65</v>
      </c>
      <c r="O78" s="31"/>
      <c r="P78" s="32"/>
      <c r="Q78" s="32"/>
      <c r="R78" s="67" t="str">
        <f>IF(K78="----","#N/A",CONCATENATE("MK|",(VLOOKUP(B78,Dictionary!$A:$B,2,0)),"_CH|",(VLOOKUP(C78,Dictionary!$AV:$AW,2,0)),"_DT|",(VLOOKUP(D78,Dictionary!$P:$Q,2,0)),"_PB|",(VLOOKUP(E78,Dictionary!$G:$H,2,0)),"_FM|",(VLOOKUP(F78,Dictionary!$S:$T,2,0)),"_RT|",(VLOOKUP(G78,Dictionary!$V:$W,2,0)),"_PD|",SUBSTITUTE(SUBSTITUTE(IF(H78="","NONE",H78),"_","-"),"|","-"),"_TG|",(VLOOKUP(I78,Dictionary!$J:$K,2,0)),"_ST|",(VLOOKUP(J78,Dictionary!$M:$N,2,0)),"_TS|",SUBSTITUTE(SUBSTITUTE(IF(K78="","NONE",K78),"_","-"),"|","-"),"_SZ|",(VLOOKUP(L78,Dictionary!$Y:$Z,1,0)),"_AD|",(VLOOKUP(M78,Dictionary!$AB:$AC,2,0)),"_IT|",(VLOOKUP(N78,Dictionary!$BC:$BD,2,0)),IF(O78="","",CONCATENATE("_U1|",SUBSTITUTE(SUBSTITUTE(O78,"_","-"),"|","-"))),IF(P78="","",CONCATENATE("_U2|",SUBSTITUTE(SUBSTITUTE(P78,"_","-"),"|","-"))),IF(Q78="","",CONCATENATE("_U3|",SUBSTITUTE(SUBSTITUTE(Q78,"_","-"),"|","-")))))</f>
        <v>MK|BR_CH|PD_DT|CROSS_PB|DV36_FM|BAN_RT|CPM_PD|DOTZ-ZERO-ANUIDADE-HUMANIZADO_TG|NON_ST|NON_TS|NONE_SZ|300x600_AD|CM_IT|POE</v>
      </c>
    </row>
    <row r="79" ht="15.75" customHeight="1">
      <c r="A79" s="33"/>
      <c r="B79" s="14" t="s">
        <v>15</v>
      </c>
      <c r="C79" s="14" t="s">
        <v>106</v>
      </c>
      <c r="D79" s="62" t="s">
        <v>43</v>
      </c>
      <c r="E79" s="14" t="s">
        <v>62</v>
      </c>
      <c r="F79" s="14" t="s">
        <v>63</v>
      </c>
      <c r="G79" s="62" t="s">
        <v>71</v>
      </c>
      <c r="H79" s="51" t="s">
        <v>111</v>
      </c>
      <c r="I79" s="62" t="s">
        <v>17</v>
      </c>
      <c r="J79" s="62" t="s">
        <v>17</v>
      </c>
      <c r="K79" s="33"/>
      <c r="L79" s="14" t="s">
        <v>107</v>
      </c>
      <c r="M79" s="31" t="s">
        <v>64</v>
      </c>
      <c r="N79" s="31" t="s">
        <v>65</v>
      </c>
      <c r="O79" s="31"/>
      <c r="P79" s="32"/>
      <c r="Q79" s="32"/>
      <c r="R79" s="67" t="str">
        <f>IF(K79="----","#N/A",CONCATENATE("MK|",(VLOOKUP(B79,Dictionary!$A:$B,2,0)),"_CH|",(VLOOKUP(C79,Dictionary!$AV:$AW,2,0)),"_DT|",(VLOOKUP(D79,Dictionary!$P:$Q,2,0)),"_PB|",(VLOOKUP(E79,Dictionary!$G:$H,2,0)),"_FM|",(VLOOKUP(F79,Dictionary!$S:$T,2,0)),"_RT|",(VLOOKUP(G79,Dictionary!$V:$W,2,0)),"_PD|",SUBSTITUTE(SUBSTITUTE(IF(H79="","NONE",H79),"_","-"),"|","-"),"_TG|",(VLOOKUP(I79,Dictionary!$J:$K,2,0)),"_ST|",(VLOOKUP(J79,Dictionary!$M:$N,2,0)),"_TS|",SUBSTITUTE(SUBSTITUTE(IF(K79="","NONE",K79),"_","-"),"|","-"),"_SZ|",(VLOOKUP(L79,Dictionary!$Y:$Z,1,0)),"_AD|",(VLOOKUP(M79,Dictionary!$AB:$AC,2,0)),"_IT|",(VLOOKUP(N79,Dictionary!$BC:$BD,2,0)),IF(O79="","",CONCATENATE("_U1|",SUBSTITUTE(SUBSTITUTE(O79,"_","-"),"|","-"))),IF(P79="","",CONCATENATE("_U2|",SUBSTITUTE(SUBSTITUTE(P79,"_","-"),"|","-"))),IF(Q79="","",CONCATENATE("_U3|",SUBSTITUTE(SUBSTITUTE(Q79,"_","-"),"|","-")))))</f>
        <v>MK|BR_CH|PMD_DT|CROSS_PB|DV36_FM|BAN_RT|CPM_PD|DOTZ-ZERO-ANUIDADE-HUMANIZADO_TG|NON_ST|NON_TS|NONE_SZ|320x50_AD|CM_IT|POE</v>
      </c>
    </row>
    <row r="80" ht="15.75" customHeight="1">
      <c r="A80" s="33"/>
      <c r="B80" s="14" t="s">
        <v>15</v>
      </c>
      <c r="C80" s="14" t="s">
        <v>106</v>
      </c>
      <c r="D80" s="62" t="s">
        <v>43</v>
      </c>
      <c r="E80" s="14" t="s">
        <v>62</v>
      </c>
      <c r="F80" s="14" t="s">
        <v>63</v>
      </c>
      <c r="G80" s="62" t="s">
        <v>71</v>
      </c>
      <c r="H80" s="51" t="s">
        <v>111</v>
      </c>
      <c r="I80" s="62" t="s">
        <v>17</v>
      </c>
      <c r="J80" s="62" t="s">
        <v>17</v>
      </c>
      <c r="K80" s="33"/>
      <c r="L80" s="14" t="s">
        <v>108</v>
      </c>
      <c r="M80" s="31" t="s">
        <v>64</v>
      </c>
      <c r="N80" s="31" t="s">
        <v>65</v>
      </c>
      <c r="O80" s="31"/>
      <c r="P80" s="32"/>
      <c r="Q80" s="32"/>
      <c r="R80" s="67" t="str">
        <f>IF(K80="----","#N/A",CONCATENATE("MK|",(VLOOKUP(B80,Dictionary!$A:$B,2,0)),"_CH|",(VLOOKUP(C80,Dictionary!$AV:$AW,2,0)),"_DT|",(VLOOKUP(D80,Dictionary!$P:$Q,2,0)),"_PB|",(VLOOKUP(E80,Dictionary!$G:$H,2,0)),"_FM|",(VLOOKUP(F80,Dictionary!$S:$T,2,0)),"_RT|",(VLOOKUP(G80,Dictionary!$V:$W,2,0)),"_PD|",SUBSTITUTE(SUBSTITUTE(IF(H80="","NONE",H80),"_","-"),"|","-"),"_TG|",(VLOOKUP(I80,Dictionary!$J:$K,2,0)),"_ST|",(VLOOKUP(J80,Dictionary!$M:$N,2,0)),"_TS|",SUBSTITUTE(SUBSTITUTE(IF(K80="","NONE",K80),"_","-"),"|","-"),"_SZ|",(VLOOKUP(L80,Dictionary!$Y:$Z,1,0)),"_AD|",(VLOOKUP(M80,Dictionary!$AB:$AC,2,0)),"_IT|",(VLOOKUP(N80,Dictionary!$BC:$BD,2,0)),IF(O80="","",CONCATENATE("_U1|",SUBSTITUTE(SUBSTITUTE(O80,"_","-"),"|","-"))),IF(P80="","",CONCATENATE("_U2|",SUBSTITUTE(SUBSTITUTE(P80,"_","-"),"|","-"))),IF(Q80="","",CONCATENATE("_U3|",SUBSTITUTE(SUBSTITUTE(Q80,"_","-"),"|","-")))))</f>
        <v>MK|BR_CH|PMD_DT|CROSS_PB|DV36_FM|BAN_RT|CPM_PD|DOTZ-ZERO-ANUIDADE-HUMANIZADO_TG|NON_ST|NON_TS|NONE_SZ|320x100_AD|CM_IT|POE</v>
      </c>
    </row>
    <row r="81" ht="15.75" customHeight="1">
      <c r="A81" s="33"/>
      <c r="B81" s="14" t="s">
        <v>15</v>
      </c>
      <c r="C81" s="14" t="s">
        <v>61</v>
      </c>
      <c r="D81" s="62" t="s">
        <v>43</v>
      </c>
      <c r="E81" s="14" t="s">
        <v>62</v>
      </c>
      <c r="F81" s="14" t="s">
        <v>63</v>
      </c>
      <c r="G81" s="62" t="s">
        <v>71</v>
      </c>
      <c r="H81" s="51" t="s">
        <v>111</v>
      </c>
      <c r="I81" s="62" t="s">
        <v>17</v>
      </c>
      <c r="J81" s="62" t="s">
        <v>17</v>
      </c>
      <c r="K81" s="33"/>
      <c r="L81" s="14" t="s">
        <v>109</v>
      </c>
      <c r="M81" s="31" t="s">
        <v>64</v>
      </c>
      <c r="N81" s="31" t="s">
        <v>65</v>
      </c>
      <c r="O81" s="31"/>
      <c r="P81" s="32"/>
      <c r="Q81" s="32"/>
      <c r="R81" s="67" t="str">
        <f>IF(K81="----","#N/A",CONCATENATE("MK|",(VLOOKUP(B81,Dictionary!$A:$B,2,0)),"_CH|",(VLOOKUP(C81,Dictionary!$AV:$AW,2,0)),"_DT|",(VLOOKUP(D81,Dictionary!$P:$Q,2,0)),"_PB|",(VLOOKUP(E81,Dictionary!$G:$H,2,0)),"_FM|",(VLOOKUP(F81,Dictionary!$S:$T,2,0)),"_RT|",(VLOOKUP(G81,Dictionary!$V:$W,2,0)),"_PD|",SUBSTITUTE(SUBSTITUTE(IF(H81="","NONE",H81),"_","-"),"|","-"),"_TG|",(VLOOKUP(I81,Dictionary!$J:$K,2,0)),"_ST|",(VLOOKUP(J81,Dictionary!$M:$N,2,0)),"_TS|",SUBSTITUTE(SUBSTITUTE(IF(K81="","NONE",K81),"_","-"),"|","-"),"_SZ|",(VLOOKUP(L81,Dictionary!$Y:$Z,1,0)),"_AD|",(VLOOKUP(M81,Dictionary!$AB:$AC,2,0)),"_IT|",(VLOOKUP(N81,Dictionary!$BC:$BD,2,0)),IF(O81="","",CONCATENATE("_U1|",SUBSTITUTE(SUBSTITUTE(O81,"_","-"),"|","-"))),IF(P81="","",CONCATENATE("_U2|",SUBSTITUTE(SUBSTITUTE(P81,"_","-"),"|","-"))),IF(Q81="","",CONCATENATE("_U3|",SUBSTITUTE(SUBSTITUTE(Q81,"_","-"),"|","-")))))</f>
        <v>MK|BR_CH|PD_DT|CROSS_PB|DV36_FM|BAN_RT|CPM_PD|DOTZ-ZERO-ANUIDADE-HUMANIZADO_TG|NON_ST|NON_TS|NONE_SZ|728x90_AD|CM_IT|POE</v>
      </c>
    </row>
    <row r="82" ht="15.75" customHeight="1">
      <c r="A82" s="33"/>
      <c r="B82" s="14" t="s">
        <v>15</v>
      </c>
      <c r="C82" s="14" t="s">
        <v>61</v>
      </c>
      <c r="D82" s="62" t="s">
        <v>43</v>
      </c>
      <c r="E82" s="14" t="s">
        <v>62</v>
      </c>
      <c r="F82" s="14" t="s">
        <v>63</v>
      </c>
      <c r="G82" s="62" t="s">
        <v>71</v>
      </c>
      <c r="H82" s="51" t="s">
        <v>112</v>
      </c>
      <c r="I82" s="62" t="s">
        <v>17</v>
      </c>
      <c r="J82" s="62" t="s">
        <v>17</v>
      </c>
      <c r="K82" s="33"/>
      <c r="L82" s="14" t="s">
        <v>102</v>
      </c>
      <c r="M82" s="31" t="s">
        <v>64</v>
      </c>
      <c r="N82" s="31" t="s">
        <v>65</v>
      </c>
      <c r="O82" s="31"/>
      <c r="P82" s="32"/>
      <c r="Q82" s="32"/>
      <c r="R82" s="67" t="str">
        <f>IF(K82="----","#N/A",CONCATENATE("MK|",(VLOOKUP(B82,Dictionary!$A:$B,2,0)),"_CH|",(VLOOKUP(C82,Dictionary!$AV:$AW,2,0)),"_DT|",(VLOOKUP(D82,Dictionary!$P:$Q,2,0)),"_PB|",(VLOOKUP(E82,Dictionary!$G:$H,2,0)),"_FM|",(VLOOKUP(F82,Dictionary!$S:$T,2,0)),"_RT|",(VLOOKUP(G82,Dictionary!$V:$W,2,0)),"_PD|",SUBSTITUTE(SUBSTITUTE(IF(H82="","NONE",H82),"_","-"),"|","-"),"_TG|",(VLOOKUP(I82,Dictionary!$J:$K,2,0)),"_ST|",(VLOOKUP(J82,Dictionary!$M:$N,2,0)),"_TS|",SUBSTITUTE(SUBSTITUTE(IF(K82="","NONE",K82),"_","-"),"|","-"),"_SZ|",(VLOOKUP(L82,Dictionary!$Y:$Z,1,0)),"_AD|",(VLOOKUP(M82,Dictionary!$AB:$AC,2,0)),"_IT|",(VLOOKUP(N82,Dictionary!$BC:$BD,2,0)),IF(O82="","",CONCATENATE("_U1|",SUBSTITUTE(SUBSTITUTE(O82,"_","-"),"|","-"))),IF(P82="","",CONCATENATE("_U2|",SUBSTITUTE(SUBSTITUTE(P82,"_","-"),"|","-"))),IF(Q82="","",CONCATENATE("_U3|",SUBSTITUTE(SUBSTITUTE(Q82,"_","-"),"|","-")))))</f>
        <v>MK|BR_CH|PD_DT|CROSS_PB|DV36_FM|BAN_RT|CPM_PD|DOTZ-ZERO-CONVERSAO-AZUL_TG|NON_ST|NON_TS|NONE_SZ|120x600_AD|CM_IT|POE</v>
      </c>
    </row>
    <row r="83" ht="15.75" customHeight="1">
      <c r="A83" s="33"/>
      <c r="B83" s="14" t="s">
        <v>15</v>
      </c>
      <c r="C83" s="14" t="s">
        <v>61</v>
      </c>
      <c r="D83" s="62" t="s">
        <v>43</v>
      </c>
      <c r="E83" s="14" t="s">
        <v>62</v>
      </c>
      <c r="F83" s="14" t="s">
        <v>63</v>
      </c>
      <c r="G83" s="62" t="s">
        <v>71</v>
      </c>
      <c r="H83" s="51" t="s">
        <v>112</v>
      </c>
      <c r="I83" s="62" t="s">
        <v>17</v>
      </c>
      <c r="J83" s="62" t="s">
        <v>17</v>
      </c>
      <c r="K83" s="33"/>
      <c r="L83" s="14" t="s">
        <v>103</v>
      </c>
      <c r="M83" s="31" t="s">
        <v>64</v>
      </c>
      <c r="N83" s="31" t="s">
        <v>65</v>
      </c>
      <c r="O83" s="31"/>
      <c r="P83" s="32"/>
      <c r="Q83" s="32"/>
      <c r="R83" s="67" t="str">
        <f>IF(K83="----","#N/A",CONCATENATE("MK|",(VLOOKUP(B83,Dictionary!$A:$B,2,0)),"_CH|",(VLOOKUP(C83,Dictionary!$AV:$AW,2,0)),"_DT|",(VLOOKUP(D83,Dictionary!$P:$Q,2,0)),"_PB|",(VLOOKUP(E83,Dictionary!$G:$H,2,0)),"_FM|",(VLOOKUP(F83,Dictionary!$S:$T,2,0)),"_RT|",(VLOOKUP(G83,Dictionary!$V:$W,2,0)),"_PD|",SUBSTITUTE(SUBSTITUTE(IF(H83="","NONE",H83),"_","-"),"|","-"),"_TG|",(VLOOKUP(I83,Dictionary!$J:$K,2,0)),"_ST|",(VLOOKUP(J83,Dictionary!$M:$N,2,0)),"_TS|",SUBSTITUTE(SUBSTITUTE(IF(K83="","NONE",K83),"_","-"),"|","-"),"_SZ|",(VLOOKUP(L83,Dictionary!$Y:$Z,1,0)),"_AD|",(VLOOKUP(M83,Dictionary!$AB:$AC,2,0)),"_IT|",(VLOOKUP(N83,Dictionary!$BC:$BD,2,0)),IF(O83="","",CONCATENATE("_U1|",SUBSTITUTE(SUBSTITUTE(O83,"_","-"),"|","-"))),IF(P83="","",CONCATENATE("_U2|",SUBSTITUTE(SUBSTITUTE(P83,"_","-"),"|","-"))),IF(Q83="","",CONCATENATE("_U3|",SUBSTITUTE(SUBSTITUTE(Q83,"_","-"),"|","-")))))</f>
        <v>MK|BR_CH|PD_DT|CROSS_PB|DV36_FM|BAN_RT|CPM_PD|DOTZ-ZERO-CONVERSAO-AZUL_TG|NON_ST|NON_TS|NONE_SZ|160x600_AD|CM_IT|POE</v>
      </c>
    </row>
    <row r="84" ht="15.75" customHeight="1">
      <c r="A84" s="33"/>
      <c r="B84" s="14" t="s">
        <v>15</v>
      </c>
      <c r="C84" s="14" t="s">
        <v>61</v>
      </c>
      <c r="D84" s="62" t="s">
        <v>43</v>
      </c>
      <c r="E84" s="14" t="s">
        <v>62</v>
      </c>
      <c r="F84" s="14" t="s">
        <v>63</v>
      </c>
      <c r="G84" s="62" t="s">
        <v>71</v>
      </c>
      <c r="H84" s="51" t="s">
        <v>112</v>
      </c>
      <c r="I84" s="62" t="s">
        <v>17</v>
      </c>
      <c r="J84" s="62" t="s">
        <v>17</v>
      </c>
      <c r="K84" s="33"/>
      <c r="L84" s="14" t="s">
        <v>104</v>
      </c>
      <c r="M84" s="31" t="s">
        <v>64</v>
      </c>
      <c r="N84" s="31" t="s">
        <v>65</v>
      </c>
      <c r="O84" s="31"/>
      <c r="P84" s="32"/>
      <c r="Q84" s="32"/>
      <c r="R84" s="67" t="str">
        <f>IF(K84="----","#N/A",CONCATENATE("MK|",(VLOOKUP(B84,Dictionary!$A:$B,2,0)),"_CH|",(VLOOKUP(C84,Dictionary!$AV:$AW,2,0)),"_DT|",(VLOOKUP(D84,Dictionary!$P:$Q,2,0)),"_PB|",(VLOOKUP(E84,Dictionary!$G:$H,2,0)),"_FM|",(VLOOKUP(F84,Dictionary!$S:$T,2,0)),"_RT|",(VLOOKUP(G84,Dictionary!$V:$W,2,0)),"_PD|",SUBSTITUTE(SUBSTITUTE(IF(H84="","NONE",H84),"_","-"),"|","-"),"_TG|",(VLOOKUP(I84,Dictionary!$J:$K,2,0)),"_ST|",(VLOOKUP(J84,Dictionary!$M:$N,2,0)),"_TS|",SUBSTITUTE(SUBSTITUTE(IF(K84="","NONE",K84),"_","-"),"|","-"),"_SZ|",(VLOOKUP(L84,Dictionary!$Y:$Z,1,0)),"_AD|",(VLOOKUP(M84,Dictionary!$AB:$AC,2,0)),"_IT|",(VLOOKUP(N84,Dictionary!$BC:$BD,2,0)),IF(O84="","",CONCATENATE("_U1|",SUBSTITUTE(SUBSTITUTE(O84,"_","-"),"|","-"))),IF(P84="","",CONCATENATE("_U2|",SUBSTITUTE(SUBSTITUTE(P84,"_","-"),"|","-"))),IF(Q84="","",CONCATENATE("_U3|",SUBSTITUTE(SUBSTITUTE(Q84,"_","-"),"|","-")))))</f>
        <v>MK|BR_CH|PD_DT|CROSS_PB|DV36_FM|BAN_RT|CPM_PD|DOTZ-ZERO-CONVERSAO-AZUL_TG|NON_ST|NON_TS|NONE_SZ|300x250_AD|CM_IT|POE</v>
      </c>
    </row>
    <row r="85" ht="15.75" customHeight="1">
      <c r="A85" s="33"/>
      <c r="B85" s="14" t="s">
        <v>15</v>
      </c>
      <c r="C85" s="14" t="s">
        <v>61</v>
      </c>
      <c r="D85" s="62" t="s">
        <v>43</v>
      </c>
      <c r="E85" s="14" t="s">
        <v>62</v>
      </c>
      <c r="F85" s="14" t="s">
        <v>63</v>
      </c>
      <c r="G85" s="62" t="s">
        <v>71</v>
      </c>
      <c r="H85" s="51" t="s">
        <v>112</v>
      </c>
      <c r="I85" s="62" t="s">
        <v>17</v>
      </c>
      <c r="J85" s="62" t="s">
        <v>17</v>
      </c>
      <c r="K85" s="33"/>
      <c r="L85" s="14" t="s">
        <v>105</v>
      </c>
      <c r="M85" s="31" t="s">
        <v>64</v>
      </c>
      <c r="N85" s="31" t="s">
        <v>65</v>
      </c>
      <c r="O85" s="31"/>
      <c r="P85" s="32"/>
      <c r="Q85" s="32"/>
      <c r="R85" s="67" t="str">
        <f>IF(K85="----","#N/A",CONCATENATE("MK|",(VLOOKUP(B85,Dictionary!$A:$B,2,0)),"_CH|",(VLOOKUP(C85,Dictionary!$AV:$AW,2,0)),"_DT|",(VLOOKUP(D85,Dictionary!$P:$Q,2,0)),"_PB|",(VLOOKUP(E85,Dictionary!$G:$H,2,0)),"_FM|",(VLOOKUP(F85,Dictionary!$S:$T,2,0)),"_RT|",(VLOOKUP(G85,Dictionary!$V:$W,2,0)),"_PD|",SUBSTITUTE(SUBSTITUTE(IF(H85="","NONE",H85),"_","-"),"|","-"),"_TG|",(VLOOKUP(I85,Dictionary!$J:$K,2,0)),"_ST|",(VLOOKUP(J85,Dictionary!$M:$N,2,0)),"_TS|",SUBSTITUTE(SUBSTITUTE(IF(K85="","NONE",K85),"_","-"),"|","-"),"_SZ|",(VLOOKUP(L85,Dictionary!$Y:$Z,1,0)),"_AD|",(VLOOKUP(M85,Dictionary!$AB:$AC,2,0)),"_IT|",(VLOOKUP(N85,Dictionary!$BC:$BD,2,0)),IF(O85="","",CONCATENATE("_U1|",SUBSTITUTE(SUBSTITUTE(O85,"_","-"),"|","-"))),IF(P85="","",CONCATENATE("_U2|",SUBSTITUTE(SUBSTITUTE(P85,"_","-"),"|","-"))),IF(Q85="","",CONCATENATE("_U3|",SUBSTITUTE(SUBSTITUTE(Q85,"_","-"),"|","-")))))</f>
        <v>MK|BR_CH|PD_DT|CROSS_PB|DV36_FM|BAN_RT|CPM_PD|DOTZ-ZERO-CONVERSAO-AZUL_TG|NON_ST|NON_TS|NONE_SZ|300x600_AD|CM_IT|POE</v>
      </c>
    </row>
    <row r="86" ht="15.75" customHeight="1">
      <c r="A86" s="33"/>
      <c r="B86" s="14" t="s">
        <v>15</v>
      </c>
      <c r="C86" s="14" t="s">
        <v>106</v>
      </c>
      <c r="D86" s="62" t="s">
        <v>43</v>
      </c>
      <c r="E86" s="14" t="s">
        <v>62</v>
      </c>
      <c r="F86" s="14" t="s">
        <v>63</v>
      </c>
      <c r="G86" s="62" t="s">
        <v>71</v>
      </c>
      <c r="H86" s="51" t="s">
        <v>112</v>
      </c>
      <c r="I86" s="62" t="s">
        <v>17</v>
      </c>
      <c r="J86" s="62" t="s">
        <v>17</v>
      </c>
      <c r="K86" s="33"/>
      <c r="L86" s="14" t="s">
        <v>107</v>
      </c>
      <c r="M86" s="31" t="s">
        <v>64</v>
      </c>
      <c r="N86" s="31" t="s">
        <v>65</v>
      </c>
      <c r="O86" s="31"/>
      <c r="P86" s="32"/>
      <c r="Q86" s="32"/>
      <c r="R86" s="67" t="str">
        <f>IF(K86="----","#N/A",CONCATENATE("MK|",(VLOOKUP(B86,Dictionary!$A:$B,2,0)),"_CH|",(VLOOKUP(C86,Dictionary!$AV:$AW,2,0)),"_DT|",(VLOOKUP(D86,Dictionary!$P:$Q,2,0)),"_PB|",(VLOOKUP(E86,Dictionary!$G:$H,2,0)),"_FM|",(VLOOKUP(F86,Dictionary!$S:$T,2,0)),"_RT|",(VLOOKUP(G86,Dictionary!$V:$W,2,0)),"_PD|",SUBSTITUTE(SUBSTITUTE(IF(H86="","NONE",H86),"_","-"),"|","-"),"_TG|",(VLOOKUP(I86,Dictionary!$J:$K,2,0)),"_ST|",(VLOOKUP(J86,Dictionary!$M:$N,2,0)),"_TS|",SUBSTITUTE(SUBSTITUTE(IF(K86="","NONE",K86),"_","-"),"|","-"),"_SZ|",(VLOOKUP(L86,Dictionary!$Y:$Z,1,0)),"_AD|",(VLOOKUP(M86,Dictionary!$AB:$AC,2,0)),"_IT|",(VLOOKUP(N86,Dictionary!$BC:$BD,2,0)),IF(O86="","",CONCATENATE("_U1|",SUBSTITUTE(SUBSTITUTE(O86,"_","-"),"|","-"))),IF(P86="","",CONCATENATE("_U2|",SUBSTITUTE(SUBSTITUTE(P86,"_","-"),"|","-"))),IF(Q86="","",CONCATENATE("_U3|",SUBSTITUTE(SUBSTITUTE(Q86,"_","-"),"|","-")))))</f>
        <v>MK|BR_CH|PMD_DT|CROSS_PB|DV36_FM|BAN_RT|CPM_PD|DOTZ-ZERO-CONVERSAO-AZUL_TG|NON_ST|NON_TS|NONE_SZ|320x50_AD|CM_IT|POE</v>
      </c>
    </row>
    <row r="87" ht="15.75" customHeight="1">
      <c r="A87" s="33"/>
      <c r="B87" s="14" t="s">
        <v>15</v>
      </c>
      <c r="C87" s="14" t="s">
        <v>106</v>
      </c>
      <c r="D87" s="62" t="s">
        <v>43</v>
      </c>
      <c r="E87" s="14" t="s">
        <v>62</v>
      </c>
      <c r="F87" s="14" t="s">
        <v>63</v>
      </c>
      <c r="G87" s="62" t="s">
        <v>71</v>
      </c>
      <c r="H87" s="51" t="s">
        <v>112</v>
      </c>
      <c r="I87" s="62" t="s">
        <v>17</v>
      </c>
      <c r="J87" s="62" t="s">
        <v>17</v>
      </c>
      <c r="K87" s="33"/>
      <c r="L87" s="14" t="s">
        <v>108</v>
      </c>
      <c r="M87" s="31" t="s">
        <v>64</v>
      </c>
      <c r="N87" s="31" t="s">
        <v>65</v>
      </c>
      <c r="O87" s="31"/>
      <c r="P87" s="32"/>
      <c r="Q87" s="32"/>
      <c r="R87" s="67" t="str">
        <f>IF(K87="----","#N/A",CONCATENATE("MK|",(VLOOKUP(B87,Dictionary!$A:$B,2,0)),"_CH|",(VLOOKUP(C87,Dictionary!$AV:$AW,2,0)),"_DT|",(VLOOKUP(D87,Dictionary!$P:$Q,2,0)),"_PB|",(VLOOKUP(E87,Dictionary!$G:$H,2,0)),"_FM|",(VLOOKUP(F87,Dictionary!$S:$T,2,0)),"_RT|",(VLOOKUP(G87,Dictionary!$V:$W,2,0)),"_PD|",SUBSTITUTE(SUBSTITUTE(IF(H87="","NONE",H87),"_","-"),"|","-"),"_TG|",(VLOOKUP(I87,Dictionary!$J:$K,2,0)),"_ST|",(VLOOKUP(J87,Dictionary!$M:$N,2,0)),"_TS|",SUBSTITUTE(SUBSTITUTE(IF(K87="","NONE",K87),"_","-"),"|","-"),"_SZ|",(VLOOKUP(L87,Dictionary!$Y:$Z,1,0)),"_AD|",(VLOOKUP(M87,Dictionary!$AB:$AC,2,0)),"_IT|",(VLOOKUP(N87,Dictionary!$BC:$BD,2,0)),IF(O87="","",CONCATENATE("_U1|",SUBSTITUTE(SUBSTITUTE(O87,"_","-"),"|","-"))),IF(P87="","",CONCATENATE("_U2|",SUBSTITUTE(SUBSTITUTE(P87,"_","-"),"|","-"))),IF(Q87="","",CONCATENATE("_U3|",SUBSTITUTE(SUBSTITUTE(Q87,"_","-"),"|","-")))))</f>
        <v>MK|BR_CH|PMD_DT|CROSS_PB|DV36_FM|BAN_RT|CPM_PD|DOTZ-ZERO-CONVERSAO-AZUL_TG|NON_ST|NON_TS|NONE_SZ|320x100_AD|CM_IT|POE</v>
      </c>
    </row>
    <row r="88" ht="15.75" customHeight="1">
      <c r="A88" s="33"/>
      <c r="B88" s="14" t="s">
        <v>15</v>
      </c>
      <c r="C88" s="14" t="s">
        <v>61</v>
      </c>
      <c r="D88" s="62" t="s">
        <v>43</v>
      </c>
      <c r="E88" s="14" t="s">
        <v>62</v>
      </c>
      <c r="F88" s="14" t="s">
        <v>63</v>
      </c>
      <c r="G88" s="62" t="s">
        <v>71</v>
      </c>
      <c r="H88" s="51" t="s">
        <v>112</v>
      </c>
      <c r="I88" s="62" t="s">
        <v>17</v>
      </c>
      <c r="J88" s="62" t="s">
        <v>17</v>
      </c>
      <c r="K88" s="33"/>
      <c r="L88" s="14" t="s">
        <v>109</v>
      </c>
      <c r="M88" s="31" t="s">
        <v>64</v>
      </c>
      <c r="N88" s="31" t="s">
        <v>65</v>
      </c>
      <c r="O88" s="31"/>
      <c r="P88" s="32"/>
      <c r="Q88" s="32"/>
      <c r="R88" s="67" t="str">
        <f>IF(K88="----","#N/A",CONCATENATE("MK|",(VLOOKUP(B88,Dictionary!$A:$B,2,0)),"_CH|",(VLOOKUP(C88,Dictionary!$AV:$AW,2,0)),"_DT|",(VLOOKUP(D88,Dictionary!$P:$Q,2,0)),"_PB|",(VLOOKUP(E88,Dictionary!$G:$H,2,0)),"_FM|",(VLOOKUP(F88,Dictionary!$S:$T,2,0)),"_RT|",(VLOOKUP(G88,Dictionary!$V:$W,2,0)),"_PD|",SUBSTITUTE(SUBSTITUTE(IF(H88="","NONE",H88),"_","-"),"|","-"),"_TG|",(VLOOKUP(I88,Dictionary!$J:$K,2,0)),"_ST|",(VLOOKUP(J88,Dictionary!$M:$N,2,0)),"_TS|",SUBSTITUTE(SUBSTITUTE(IF(K88="","NONE",K88),"_","-"),"|","-"),"_SZ|",(VLOOKUP(L88,Dictionary!$Y:$Z,1,0)),"_AD|",(VLOOKUP(M88,Dictionary!$AB:$AC,2,0)),"_IT|",(VLOOKUP(N88,Dictionary!$BC:$BD,2,0)),IF(O88="","",CONCATENATE("_U1|",SUBSTITUTE(SUBSTITUTE(O88,"_","-"),"|","-"))),IF(P88="","",CONCATENATE("_U2|",SUBSTITUTE(SUBSTITUTE(P88,"_","-"),"|","-"))),IF(Q88="","",CONCATENATE("_U3|",SUBSTITUTE(SUBSTITUTE(Q88,"_","-"),"|","-")))))</f>
        <v>MK|BR_CH|PD_DT|CROSS_PB|DV36_FM|BAN_RT|CPM_PD|DOTZ-ZERO-CONVERSAO-AZUL_TG|NON_ST|NON_TS|NONE_SZ|728x90_AD|CM_IT|POE</v>
      </c>
    </row>
    <row r="89" ht="15.75" customHeight="1">
      <c r="A89" s="56"/>
      <c r="B89" s="55" t="s">
        <v>15</v>
      </c>
      <c r="C89" s="55" t="s">
        <v>61</v>
      </c>
      <c r="D89" s="70" t="s">
        <v>43</v>
      </c>
      <c r="E89" s="55" t="s">
        <v>69</v>
      </c>
      <c r="F89" s="55" t="s">
        <v>63</v>
      </c>
      <c r="G89" s="70" t="s">
        <v>71</v>
      </c>
      <c r="H89" s="55" t="s">
        <v>77</v>
      </c>
      <c r="I89" s="70" t="s">
        <v>17</v>
      </c>
      <c r="J89" s="70" t="s">
        <v>17</v>
      </c>
      <c r="K89" s="56"/>
      <c r="L89" s="55" t="s">
        <v>102</v>
      </c>
      <c r="M89" s="57" t="s">
        <v>59</v>
      </c>
      <c r="N89" s="57" t="s">
        <v>74</v>
      </c>
      <c r="O89" s="57"/>
      <c r="P89" s="59"/>
      <c r="Q89" s="59"/>
      <c r="R89" s="71" t="str">
        <f>IF(K89="----","#N/A",CONCATENATE("MK|",(VLOOKUP(B89,Dictionary!$A:$B,2,0)),"_CH|",(VLOOKUP(C89,Dictionary!$AV:$AW,2,0)),"_DT|",(VLOOKUP(D89,Dictionary!$P:$Q,2,0)),"_PB|",(VLOOKUP(E89,Dictionary!$G:$H,2,0)),"_FM|",(VLOOKUP(F89,Dictionary!$S:$T,2,0)),"_RT|",(VLOOKUP(G89,Dictionary!$V:$W,2,0)),"_PD|",SUBSTITUTE(SUBSTITUTE(IF(H89="","NONE",H89),"_","-"),"|","-"),"_TG|",(VLOOKUP(I89,Dictionary!$J:$K,2,0)),"_ST|",(VLOOKUP(J89,Dictionary!$M:$N,2,0)),"_TS|",SUBSTITUTE(SUBSTITUTE(IF(K89="","NONE",K89),"_","-"),"|","-"),"_SZ|",(VLOOKUP(L89,Dictionary!$Y:$Z,1,0)),"_AD|",(VLOOKUP(M89,Dictionary!$AB:$AC,2,0)),"_IT|",(VLOOKUP(N89,Dictionary!$BC:$BD,2,0)),IF(O89="","",CONCATENATE("_U1|",SUBSTITUTE(SUBSTITUTE(O89,"_","-"),"|","-"))),IF(P89="","",CONCATENATE("_U2|",SUBSTITUTE(SUBSTITUTE(P89,"_","-"),"|","-"))),IF(Q89="","",CONCATENATE("_U3|",SUBSTITUTE(SUBSTITUTE(Q89,"_","-"),"|","-")))))</f>
        <v>MK|BR_CH|PD_DT|CROSS_PB|VER_FM|BAN_RT|CPM_PD|DOTZ-10MIL-AZUL_TG|NON_ST|NON_TS|NONE_SZ|120x600_AD|CM1_IT|OO</v>
      </c>
      <c r="S89" s="60"/>
      <c r="T89" s="60"/>
      <c r="U89" s="60"/>
      <c r="V89" s="60"/>
      <c r="W89" s="60"/>
      <c r="X89" s="60"/>
      <c r="Y89" s="60"/>
      <c r="Z89" s="60"/>
      <c r="AA89" s="60"/>
    </row>
    <row r="90" ht="15.75" customHeight="1">
      <c r="A90" s="33"/>
      <c r="B90" s="14" t="s">
        <v>15</v>
      </c>
      <c r="C90" s="14" t="s">
        <v>61</v>
      </c>
      <c r="D90" s="62" t="s">
        <v>43</v>
      </c>
      <c r="E90" s="14" t="s">
        <v>69</v>
      </c>
      <c r="F90" s="14" t="s">
        <v>63</v>
      </c>
      <c r="G90" s="62" t="s">
        <v>71</v>
      </c>
      <c r="H90" s="51" t="s">
        <v>77</v>
      </c>
      <c r="I90" s="62" t="s">
        <v>17</v>
      </c>
      <c r="J90" s="62" t="s">
        <v>17</v>
      </c>
      <c r="K90" s="33"/>
      <c r="L90" s="14" t="s">
        <v>103</v>
      </c>
      <c r="M90" s="31" t="s">
        <v>59</v>
      </c>
      <c r="N90" s="31" t="s">
        <v>74</v>
      </c>
      <c r="O90" s="31"/>
      <c r="P90" s="32"/>
      <c r="Q90" s="32"/>
      <c r="R90" s="67" t="str">
        <f>IF(K90="----","#N/A",CONCATENATE("MK|",(VLOOKUP(B90,Dictionary!$A:$B,2,0)),"_CH|",(VLOOKUP(C90,Dictionary!$AV:$AW,2,0)),"_DT|",(VLOOKUP(D90,Dictionary!$P:$Q,2,0)),"_PB|",(VLOOKUP(E90,Dictionary!$G:$H,2,0)),"_FM|",(VLOOKUP(F90,Dictionary!$S:$T,2,0)),"_RT|",(VLOOKUP(G90,Dictionary!$V:$W,2,0)),"_PD|",SUBSTITUTE(SUBSTITUTE(IF(H90="","NONE",H90),"_","-"),"|","-"),"_TG|",(VLOOKUP(I90,Dictionary!$J:$K,2,0)),"_ST|",(VLOOKUP(J90,Dictionary!$M:$N,2,0)),"_TS|",SUBSTITUTE(SUBSTITUTE(IF(K90="","NONE",K90),"_","-"),"|","-"),"_SZ|",(VLOOKUP(L90,Dictionary!$Y:$Z,1,0)),"_AD|",(VLOOKUP(M90,Dictionary!$AB:$AC,2,0)),"_IT|",(VLOOKUP(N90,Dictionary!$BC:$BD,2,0)),IF(O90="","",CONCATENATE("_U1|",SUBSTITUTE(SUBSTITUTE(O90,"_","-"),"|","-"))),IF(P90="","",CONCATENATE("_U2|",SUBSTITUTE(SUBSTITUTE(P90,"_","-"),"|","-"))),IF(Q90="","",CONCATENATE("_U3|",SUBSTITUTE(SUBSTITUTE(Q90,"_","-"),"|","-")))))</f>
        <v>MK|BR_CH|PD_DT|CROSS_PB|VER_FM|BAN_RT|CPM_PD|DOTZ-10MIL-AZUL_TG|NON_ST|NON_TS|NONE_SZ|160x600_AD|CM1_IT|OO</v>
      </c>
    </row>
    <row r="91" ht="15.75" customHeight="1">
      <c r="A91" s="33"/>
      <c r="B91" s="14" t="s">
        <v>15</v>
      </c>
      <c r="C91" s="14" t="s">
        <v>61</v>
      </c>
      <c r="D91" s="62" t="s">
        <v>43</v>
      </c>
      <c r="E91" s="14" t="s">
        <v>69</v>
      </c>
      <c r="F91" s="14" t="s">
        <v>63</v>
      </c>
      <c r="G91" s="62" t="s">
        <v>71</v>
      </c>
      <c r="H91" s="51" t="s">
        <v>77</v>
      </c>
      <c r="I91" s="62" t="s">
        <v>17</v>
      </c>
      <c r="J91" s="62" t="s">
        <v>17</v>
      </c>
      <c r="K91" s="33"/>
      <c r="L91" s="14" t="s">
        <v>104</v>
      </c>
      <c r="M91" s="31" t="s">
        <v>59</v>
      </c>
      <c r="N91" s="31" t="s">
        <v>74</v>
      </c>
      <c r="O91" s="31"/>
      <c r="P91" s="32"/>
      <c r="Q91" s="32"/>
      <c r="R91" s="67" t="str">
        <f>IF(K91="----","#N/A",CONCATENATE("MK|",(VLOOKUP(B91,Dictionary!$A:$B,2,0)),"_CH|",(VLOOKUP(C91,Dictionary!$AV:$AW,2,0)),"_DT|",(VLOOKUP(D91,Dictionary!$P:$Q,2,0)),"_PB|",(VLOOKUP(E91,Dictionary!$G:$H,2,0)),"_FM|",(VLOOKUP(F91,Dictionary!$S:$T,2,0)),"_RT|",(VLOOKUP(G91,Dictionary!$V:$W,2,0)),"_PD|",SUBSTITUTE(SUBSTITUTE(IF(H91="","NONE",H91),"_","-"),"|","-"),"_TG|",(VLOOKUP(I91,Dictionary!$J:$K,2,0)),"_ST|",(VLOOKUP(J91,Dictionary!$M:$N,2,0)),"_TS|",SUBSTITUTE(SUBSTITUTE(IF(K91="","NONE",K91),"_","-"),"|","-"),"_SZ|",(VLOOKUP(L91,Dictionary!$Y:$Z,1,0)),"_AD|",(VLOOKUP(M91,Dictionary!$AB:$AC,2,0)),"_IT|",(VLOOKUP(N91,Dictionary!$BC:$BD,2,0)),IF(O91="","",CONCATENATE("_U1|",SUBSTITUTE(SUBSTITUTE(O91,"_","-"),"|","-"))),IF(P91="","",CONCATENATE("_U2|",SUBSTITUTE(SUBSTITUTE(P91,"_","-"),"|","-"))),IF(Q91="","",CONCATENATE("_U3|",SUBSTITUTE(SUBSTITUTE(Q91,"_","-"),"|","-")))))</f>
        <v>MK|BR_CH|PD_DT|CROSS_PB|VER_FM|BAN_RT|CPM_PD|DOTZ-10MIL-AZUL_TG|NON_ST|NON_TS|NONE_SZ|300x250_AD|CM1_IT|OO</v>
      </c>
    </row>
    <row r="92" ht="15.75" customHeight="1">
      <c r="A92" s="33"/>
      <c r="B92" s="14" t="s">
        <v>15</v>
      </c>
      <c r="C92" s="14" t="s">
        <v>61</v>
      </c>
      <c r="D92" s="62" t="s">
        <v>43</v>
      </c>
      <c r="E92" s="14" t="s">
        <v>69</v>
      </c>
      <c r="F92" s="14" t="s">
        <v>63</v>
      </c>
      <c r="G92" s="62" t="s">
        <v>71</v>
      </c>
      <c r="H92" s="51" t="s">
        <v>77</v>
      </c>
      <c r="I92" s="62" t="s">
        <v>17</v>
      </c>
      <c r="J92" s="62" t="s">
        <v>17</v>
      </c>
      <c r="K92" s="33"/>
      <c r="L92" s="14" t="s">
        <v>105</v>
      </c>
      <c r="M92" s="31" t="s">
        <v>59</v>
      </c>
      <c r="N92" s="31" t="s">
        <v>74</v>
      </c>
      <c r="O92" s="31"/>
      <c r="P92" s="32"/>
      <c r="Q92" s="32"/>
      <c r="R92" s="67" t="str">
        <f>IF(K92="----","#N/A",CONCATENATE("MK|",(VLOOKUP(B92,Dictionary!$A:$B,2,0)),"_CH|",(VLOOKUP(C92,Dictionary!$AV:$AW,2,0)),"_DT|",(VLOOKUP(D92,Dictionary!$P:$Q,2,0)),"_PB|",(VLOOKUP(E92,Dictionary!$G:$H,2,0)),"_FM|",(VLOOKUP(F92,Dictionary!$S:$T,2,0)),"_RT|",(VLOOKUP(G92,Dictionary!$V:$W,2,0)),"_PD|",SUBSTITUTE(SUBSTITUTE(IF(H92="","NONE",H92),"_","-"),"|","-"),"_TG|",(VLOOKUP(I92,Dictionary!$J:$K,2,0)),"_ST|",(VLOOKUP(J92,Dictionary!$M:$N,2,0)),"_TS|",SUBSTITUTE(SUBSTITUTE(IF(K92="","NONE",K92),"_","-"),"|","-"),"_SZ|",(VLOOKUP(L92,Dictionary!$Y:$Z,1,0)),"_AD|",(VLOOKUP(M92,Dictionary!$AB:$AC,2,0)),"_IT|",(VLOOKUP(N92,Dictionary!$BC:$BD,2,0)),IF(O92="","",CONCATENATE("_U1|",SUBSTITUTE(SUBSTITUTE(O92,"_","-"),"|","-"))),IF(P92="","",CONCATENATE("_U2|",SUBSTITUTE(SUBSTITUTE(P92,"_","-"),"|","-"))),IF(Q92="","",CONCATENATE("_U3|",SUBSTITUTE(SUBSTITUTE(Q92,"_","-"),"|","-")))))</f>
        <v>MK|BR_CH|PD_DT|CROSS_PB|VER_FM|BAN_RT|CPM_PD|DOTZ-10MIL-AZUL_TG|NON_ST|NON_TS|NONE_SZ|300x600_AD|CM1_IT|OO</v>
      </c>
    </row>
    <row r="93" ht="15.75" customHeight="1">
      <c r="A93" s="33"/>
      <c r="B93" s="14" t="s">
        <v>15</v>
      </c>
      <c r="C93" s="14" t="s">
        <v>106</v>
      </c>
      <c r="D93" s="62" t="s">
        <v>43</v>
      </c>
      <c r="E93" s="14" t="s">
        <v>69</v>
      </c>
      <c r="F93" s="14" t="s">
        <v>63</v>
      </c>
      <c r="G93" s="62" t="s">
        <v>71</v>
      </c>
      <c r="H93" s="51" t="s">
        <v>77</v>
      </c>
      <c r="I93" s="62" t="s">
        <v>17</v>
      </c>
      <c r="J93" s="62" t="s">
        <v>17</v>
      </c>
      <c r="K93" s="33"/>
      <c r="L93" s="14" t="s">
        <v>107</v>
      </c>
      <c r="M93" s="31" t="s">
        <v>59</v>
      </c>
      <c r="N93" s="31" t="s">
        <v>74</v>
      </c>
      <c r="O93" s="31"/>
      <c r="P93" s="32"/>
      <c r="Q93" s="32"/>
      <c r="R93" s="67" t="str">
        <f>IF(K93="----","#N/A",CONCATENATE("MK|",(VLOOKUP(B93,Dictionary!$A:$B,2,0)),"_CH|",(VLOOKUP(C93,Dictionary!$AV:$AW,2,0)),"_DT|",(VLOOKUP(D93,Dictionary!$P:$Q,2,0)),"_PB|",(VLOOKUP(E93,Dictionary!$G:$H,2,0)),"_FM|",(VLOOKUP(F93,Dictionary!$S:$T,2,0)),"_RT|",(VLOOKUP(G93,Dictionary!$V:$W,2,0)),"_PD|",SUBSTITUTE(SUBSTITUTE(IF(H93="","NONE",H93),"_","-"),"|","-"),"_TG|",(VLOOKUP(I93,Dictionary!$J:$K,2,0)),"_ST|",(VLOOKUP(J93,Dictionary!$M:$N,2,0)),"_TS|",SUBSTITUTE(SUBSTITUTE(IF(K93="","NONE",K93),"_","-"),"|","-"),"_SZ|",(VLOOKUP(L93,Dictionary!$Y:$Z,1,0)),"_AD|",(VLOOKUP(M93,Dictionary!$AB:$AC,2,0)),"_IT|",(VLOOKUP(N93,Dictionary!$BC:$BD,2,0)),IF(O93="","",CONCATENATE("_U1|",SUBSTITUTE(SUBSTITUTE(O93,"_","-"),"|","-"))),IF(P93="","",CONCATENATE("_U2|",SUBSTITUTE(SUBSTITUTE(P93,"_","-"),"|","-"))),IF(Q93="","",CONCATENATE("_U3|",SUBSTITUTE(SUBSTITUTE(Q93,"_","-"),"|","-")))))</f>
        <v>MK|BR_CH|PMD_DT|CROSS_PB|VER_FM|BAN_RT|CPM_PD|DOTZ-10MIL-AZUL_TG|NON_ST|NON_TS|NONE_SZ|320x50_AD|CM1_IT|OO</v>
      </c>
    </row>
    <row r="94" ht="15.75" customHeight="1">
      <c r="A94" s="33"/>
      <c r="B94" s="14" t="s">
        <v>15</v>
      </c>
      <c r="C94" s="14" t="s">
        <v>106</v>
      </c>
      <c r="D94" s="62" t="s">
        <v>43</v>
      </c>
      <c r="E94" s="14" t="s">
        <v>69</v>
      </c>
      <c r="F94" s="14" t="s">
        <v>63</v>
      </c>
      <c r="G94" s="62" t="s">
        <v>71</v>
      </c>
      <c r="H94" s="51" t="s">
        <v>77</v>
      </c>
      <c r="I94" s="62" t="s">
        <v>17</v>
      </c>
      <c r="J94" s="62" t="s">
        <v>17</v>
      </c>
      <c r="K94" s="33"/>
      <c r="L94" s="14" t="s">
        <v>108</v>
      </c>
      <c r="M94" s="31" t="s">
        <v>59</v>
      </c>
      <c r="N94" s="31" t="s">
        <v>74</v>
      </c>
      <c r="O94" s="31"/>
      <c r="P94" s="32"/>
      <c r="Q94" s="32"/>
      <c r="R94" s="67" t="str">
        <f>IF(K94="----","#N/A",CONCATENATE("MK|",(VLOOKUP(B94,Dictionary!$A:$B,2,0)),"_CH|",(VLOOKUP(C94,Dictionary!$AV:$AW,2,0)),"_DT|",(VLOOKUP(D94,Dictionary!$P:$Q,2,0)),"_PB|",(VLOOKUP(E94,Dictionary!$G:$H,2,0)),"_FM|",(VLOOKUP(F94,Dictionary!$S:$T,2,0)),"_RT|",(VLOOKUP(G94,Dictionary!$V:$W,2,0)),"_PD|",SUBSTITUTE(SUBSTITUTE(IF(H94="","NONE",H94),"_","-"),"|","-"),"_TG|",(VLOOKUP(I94,Dictionary!$J:$K,2,0)),"_ST|",(VLOOKUP(J94,Dictionary!$M:$N,2,0)),"_TS|",SUBSTITUTE(SUBSTITUTE(IF(K94="","NONE",K94),"_","-"),"|","-"),"_SZ|",(VLOOKUP(L94,Dictionary!$Y:$Z,1,0)),"_AD|",(VLOOKUP(M94,Dictionary!$AB:$AC,2,0)),"_IT|",(VLOOKUP(N94,Dictionary!$BC:$BD,2,0)),IF(O94="","",CONCATENATE("_U1|",SUBSTITUTE(SUBSTITUTE(O94,"_","-"),"|","-"))),IF(P94="","",CONCATENATE("_U2|",SUBSTITUTE(SUBSTITUTE(P94,"_","-"),"|","-"))),IF(Q94="","",CONCATENATE("_U3|",SUBSTITUTE(SUBSTITUTE(Q94,"_","-"),"|","-")))))</f>
        <v>MK|BR_CH|PMD_DT|CROSS_PB|VER_FM|BAN_RT|CPM_PD|DOTZ-10MIL-AZUL_TG|NON_ST|NON_TS|NONE_SZ|320x100_AD|CM1_IT|OO</v>
      </c>
    </row>
    <row r="95" ht="15.75" customHeight="1">
      <c r="A95" s="33"/>
      <c r="B95" s="14" t="s">
        <v>15</v>
      </c>
      <c r="C95" s="14" t="s">
        <v>61</v>
      </c>
      <c r="D95" s="62" t="s">
        <v>43</v>
      </c>
      <c r="E95" s="14" t="s">
        <v>69</v>
      </c>
      <c r="F95" s="14" t="s">
        <v>63</v>
      </c>
      <c r="G95" s="62" t="s">
        <v>71</v>
      </c>
      <c r="H95" s="51" t="s">
        <v>77</v>
      </c>
      <c r="I95" s="62" t="s">
        <v>17</v>
      </c>
      <c r="J95" s="62" t="s">
        <v>17</v>
      </c>
      <c r="K95" s="33"/>
      <c r="L95" s="14" t="s">
        <v>109</v>
      </c>
      <c r="M95" s="31" t="s">
        <v>59</v>
      </c>
      <c r="N95" s="31" t="s">
        <v>74</v>
      </c>
      <c r="O95" s="31"/>
      <c r="P95" s="32"/>
      <c r="Q95" s="32"/>
      <c r="R95" s="67" t="str">
        <f>IF(K95="----","#N/A",CONCATENATE("MK|",(VLOOKUP(B95,Dictionary!$A:$B,2,0)),"_CH|",(VLOOKUP(C95,Dictionary!$AV:$AW,2,0)),"_DT|",(VLOOKUP(D95,Dictionary!$P:$Q,2,0)),"_PB|",(VLOOKUP(E95,Dictionary!$G:$H,2,0)),"_FM|",(VLOOKUP(F95,Dictionary!$S:$T,2,0)),"_RT|",(VLOOKUP(G95,Dictionary!$V:$W,2,0)),"_PD|",SUBSTITUTE(SUBSTITUTE(IF(H95="","NONE",H95),"_","-"),"|","-"),"_TG|",(VLOOKUP(I95,Dictionary!$J:$K,2,0)),"_ST|",(VLOOKUP(J95,Dictionary!$M:$N,2,0)),"_TS|",SUBSTITUTE(SUBSTITUTE(IF(K95="","NONE",K95),"_","-"),"|","-"),"_SZ|",(VLOOKUP(L95,Dictionary!$Y:$Z,1,0)),"_AD|",(VLOOKUP(M95,Dictionary!$AB:$AC,2,0)),"_IT|",(VLOOKUP(N95,Dictionary!$BC:$BD,2,0)),IF(O95="","",CONCATENATE("_U1|",SUBSTITUTE(SUBSTITUTE(O95,"_","-"),"|","-"))),IF(P95="","",CONCATENATE("_U2|",SUBSTITUTE(SUBSTITUTE(P95,"_","-"),"|","-"))),IF(Q95="","",CONCATENATE("_U3|",SUBSTITUTE(SUBSTITUTE(Q95,"_","-"),"|","-")))))</f>
        <v>MK|BR_CH|PD_DT|CROSS_PB|VER_FM|BAN_RT|CPM_PD|DOTZ-10MIL-AZUL_TG|NON_ST|NON_TS|NONE_SZ|728x90_AD|CM1_IT|OO</v>
      </c>
    </row>
    <row r="96" ht="15.75" customHeight="1">
      <c r="A96" s="33"/>
      <c r="B96" s="14" t="s">
        <v>15</v>
      </c>
      <c r="C96" s="14" t="s">
        <v>61</v>
      </c>
      <c r="D96" s="62" t="s">
        <v>43</v>
      </c>
      <c r="E96" s="14" t="s">
        <v>69</v>
      </c>
      <c r="F96" s="14" t="s">
        <v>63</v>
      </c>
      <c r="G96" s="62" t="s">
        <v>71</v>
      </c>
      <c r="H96" s="72" t="s">
        <v>83</v>
      </c>
      <c r="I96" s="62" t="s">
        <v>17</v>
      </c>
      <c r="J96" s="62" t="s">
        <v>17</v>
      </c>
      <c r="K96" s="33"/>
      <c r="L96" s="14" t="s">
        <v>102</v>
      </c>
      <c r="M96" s="31" t="s">
        <v>59</v>
      </c>
      <c r="N96" s="31" t="s">
        <v>74</v>
      </c>
      <c r="O96" s="31"/>
      <c r="P96" s="32"/>
      <c r="Q96" s="32"/>
      <c r="R96" s="67" t="str">
        <f>IF(K96="----","#N/A",CONCATENATE("MK|",(VLOOKUP(B96,Dictionary!$A:$B,2,0)),"_CH|",(VLOOKUP(C96,Dictionary!$AV:$AW,2,0)),"_DT|",(VLOOKUP(D96,Dictionary!$P:$Q,2,0)),"_PB|",(VLOOKUP(E96,Dictionary!$G:$H,2,0)),"_FM|",(VLOOKUP(F96,Dictionary!$S:$T,2,0)),"_RT|",(VLOOKUP(G96,Dictionary!$V:$W,2,0)),"_PD|",SUBSTITUTE(SUBSTITUTE(IF(H96="","NONE",H96),"_","-"),"|","-"),"_TG|",(VLOOKUP(I96,Dictionary!$J:$K,2,0)),"_ST|",(VLOOKUP(J96,Dictionary!$M:$N,2,0)),"_TS|",SUBSTITUTE(SUBSTITUTE(IF(K96="","NONE",K96),"_","-"),"|","-"),"_SZ|",(VLOOKUP(L96,Dictionary!$Y:$Z,1,0)),"_AD|",(VLOOKUP(M96,Dictionary!$AB:$AC,2,0)),"_IT|",(VLOOKUP(N96,Dictionary!$BC:$BD,2,0)),IF(O96="","",CONCATENATE("_U1|",SUBSTITUTE(SUBSTITUTE(O96,"_","-"),"|","-"))),IF(P96="","",CONCATENATE("_U2|",SUBSTITUTE(SUBSTITUTE(P96,"_","-"),"|","-"))),IF(Q96="","",CONCATENATE("_U3|",SUBSTITUTE(SUBSTITUTE(Q96,"_","-"),"|","-")))))</f>
        <v>MK|BR_CH|PD_DT|CROSS_PB|VER_FM|BAN_RT|CPM_PD|DOTZ-ZERO-ANUIDADE-AZUL_TG|NON_ST|NON_TS|NONE_SZ|120x600_AD|CM1_IT|OO</v>
      </c>
    </row>
    <row r="97" ht="15.75" customHeight="1">
      <c r="A97" s="33"/>
      <c r="B97" s="14" t="s">
        <v>15</v>
      </c>
      <c r="C97" s="14" t="s">
        <v>61</v>
      </c>
      <c r="D97" s="62" t="s">
        <v>43</v>
      </c>
      <c r="E97" s="14" t="s">
        <v>69</v>
      </c>
      <c r="F97" s="14" t="s">
        <v>63</v>
      </c>
      <c r="G97" s="62" t="s">
        <v>71</v>
      </c>
      <c r="H97" s="72" t="s">
        <v>83</v>
      </c>
      <c r="I97" s="62" t="s">
        <v>17</v>
      </c>
      <c r="J97" s="62" t="s">
        <v>17</v>
      </c>
      <c r="K97" s="33"/>
      <c r="L97" s="14" t="s">
        <v>103</v>
      </c>
      <c r="M97" s="31" t="s">
        <v>59</v>
      </c>
      <c r="N97" s="31" t="s">
        <v>74</v>
      </c>
      <c r="O97" s="31"/>
      <c r="P97" s="32"/>
      <c r="Q97" s="32"/>
      <c r="R97" s="67" t="str">
        <f>IF(K97="----","#N/A",CONCATENATE("MK|",(VLOOKUP(B97,Dictionary!$A:$B,2,0)),"_CH|",(VLOOKUP(C97,Dictionary!$AV:$AW,2,0)),"_DT|",(VLOOKUP(D97,Dictionary!$P:$Q,2,0)),"_PB|",(VLOOKUP(E97,Dictionary!$G:$H,2,0)),"_FM|",(VLOOKUP(F97,Dictionary!$S:$T,2,0)),"_RT|",(VLOOKUP(G97,Dictionary!$V:$W,2,0)),"_PD|",SUBSTITUTE(SUBSTITUTE(IF(H97="","NONE",H97),"_","-"),"|","-"),"_TG|",(VLOOKUP(I97,Dictionary!$J:$K,2,0)),"_ST|",(VLOOKUP(J97,Dictionary!$M:$N,2,0)),"_TS|",SUBSTITUTE(SUBSTITUTE(IF(K97="","NONE",K97),"_","-"),"|","-"),"_SZ|",(VLOOKUP(L97,Dictionary!$Y:$Z,1,0)),"_AD|",(VLOOKUP(M97,Dictionary!$AB:$AC,2,0)),"_IT|",(VLOOKUP(N97,Dictionary!$BC:$BD,2,0)),IF(O97="","",CONCATENATE("_U1|",SUBSTITUTE(SUBSTITUTE(O97,"_","-"),"|","-"))),IF(P97="","",CONCATENATE("_U2|",SUBSTITUTE(SUBSTITUTE(P97,"_","-"),"|","-"))),IF(Q97="","",CONCATENATE("_U3|",SUBSTITUTE(SUBSTITUTE(Q97,"_","-"),"|","-")))))</f>
        <v>MK|BR_CH|PD_DT|CROSS_PB|VER_FM|BAN_RT|CPM_PD|DOTZ-ZERO-ANUIDADE-AZUL_TG|NON_ST|NON_TS|NONE_SZ|160x600_AD|CM1_IT|OO</v>
      </c>
    </row>
    <row r="98" ht="15.75" customHeight="1">
      <c r="A98" s="33"/>
      <c r="B98" s="14" t="s">
        <v>15</v>
      </c>
      <c r="C98" s="14" t="s">
        <v>61</v>
      </c>
      <c r="D98" s="62" t="s">
        <v>43</v>
      </c>
      <c r="E98" s="14" t="s">
        <v>69</v>
      </c>
      <c r="F98" s="14" t="s">
        <v>63</v>
      </c>
      <c r="G98" s="62" t="s">
        <v>71</v>
      </c>
      <c r="H98" s="72" t="s">
        <v>83</v>
      </c>
      <c r="I98" s="62" t="s">
        <v>17</v>
      </c>
      <c r="J98" s="62" t="s">
        <v>17</v>
      </c>
      <c r="K98" s="33"/>
      <c r="L98" s="14" t="s">
        <v>104</v>
      </c>
      <c r="M98" s="31" t="s">
        <v>59</v>
      </c>
      <c r="N98" s="31" t="s">
        <v>74</v>
      </c>
      <c r="O98" s="31"/>
      <c r="P98" s="32"/>
      <c r="Q98" s="32"/>
      <c r="R98" s="67" t="str">
        <f>IF(K98="----","#N/A",CONCATENATE("MK|",(VLOOKUP(B98,Dictionary!$A:$B,2,0)),"_CH|",(VLOOKUP(C98,Dictionary!$AV:$AW,2,0)),"_DT|",(VLOOKUP(D98,Dictionary!$P:$Q,2,0)),"_PB|",(VLOOKUP(E98,Dictionary!$G:$H,2,0)),"_FM|",(VLOOKUP(F98,Dictionary!$S:$T,2,0)),"_RT|",(VLOOKUP(G98,Dictionary!$V:$W,2,0)),"_PD|",SUBSTITUTE(SUBSTITUTE(IF(H98="","NONE",H98),"_","-"),"|","-"),"_TG|",(VLOOKUP(I98,Dictionary!$J:$K,2,0)),"_ST|",(VLOOKUP(J98,Dictionary!$M:$N,2,0)),"_TS|",SUBSTITUTE(SUBSTITUTE(IF(K98="","NONE",K98),"_","-"),"|","-"),"_SZ|",(VLOOKUP(L98,Dictionary!$Y:$Z,1,0)),"_AD|",(VLOOKUP(M98,Dictionary!$AB:$AC,2,0)),"_IT|",(VLOOKUP(N98,Dictionary!$BC:$BD,2,0)),IF(O98="","",CONCATENATE("_U1|",SUBSTITUTE(SUBSTITUTE(O98,"_","-"),"|","-"))),IF(P98="","",CONCATENATE("_U2|",SUBSTITUTE(SUBSTITUTE(P98,"_","-"),"|","-"))),IF(Q98="","",CONCATENATE("_U3|",SUBSTITUTE(SUBSTITUTE(Q98,"_","-"),"|","-")))))</f>
        <v>MK|BR_CH|PD_DT|CROSS_PB|VER_FM|BAN_RT|CPM_PD|DOTZ-ZERO-ANUIDADE-AZUL_TG|NON_ST|NON_TS|NONE_SZ|300x250_AD|CM1_IT|OO</v>
      </c>
    </row>
    <row r="99" ht="15.75" customHeight="1">
      <c r="A99" s="33"/>
      <c r="B99" s="14" t="s">
        <v>15</v>
      </c>
      <c r="C99" s="14" t="s">
        <v>61</v>
      </c>
      <c r="D99" s="62" t="s">
        <v>43</v>
      </c>
      <c r="E99" s="14" t="s">
        <v>69</v>
      </c>
      <c r="F99" s="14" t="s">
        <v>63</v>
      </c>
      <c r="G99" s="62" t="s">
        <v>71</v>
      </c>
      <c r="H99" s="72" t="s">
        <v>83</v>
      </c>
      <c r="I99" s="62" t="s">
        <v>17</v>
      </c>
      <c r="J99" s="62" t="s">
        <v>17</v>
      </c>
      <c r="K99" s="33"/>
      <c r="L99" s="14" t="s">
        <v>105</v>
      </c>
      <c r="M99" s="31" t="s">
        <v>59</v>
      </c>
      <c r="N99" s="31" t="s">
        <v>74</v>
      </c>
      <c r="O99" s="31"/>
      <c r="P99" s="32"/>
      <c r="Q99" s="32"/>
      <c r="R99" s="67" t="str">
        <f>IF(K99="----","#N/A",CONCATENATE("MK|",(VLOOKUP(B99,Dictionary!$A:$B,2,0)),"_CH|",(VLOOKUP(C99,Dictionary!$AV:$AW,2,0)),"_DT|",(VLOOKUP(D99,Dictionary!$P:$Q,2,0)),"_PB|",(VLOOKUP(E99,Dictionary!$G:$H,2,0)),"_FM|",(VLOOKUP(F99,Dictionary!$S:$T,2,0)),"_RT|",(VLOOKUP(G99,Dictionary!$V:$W,2,0)),"_PD|",SUBSTITUTE(SUBSTITUTE(IF(H99="","NONE",H99),"_","-"),"|","-"),"_TG|",(VLOOKUP(I99,Dictionary!$J:$K,2,0)),"_ST|",(VLOOKUP(J99,Dictionary!$M:$N,2,0)),"_TS|",SUBSTITUTE(SUBSTITUTE(IF(K99="","NONE",K99),"_","-"),"|","-"),"_SZ|",(VLOOKUP(L99,Dictionary!$Y:$Z,1,0)),"_AD|",(VLOOKUP(M99,Dictionary!$AB:$AC,2,0)),"_IT|",(VLOOKUP(N99,Dictionary!$BC:$BD,2,0)),IF(O99="","",CONCATENATE("_U1|",SUBSTITUTE(SUBSTITUTE(O99,"_","-"),"|","-"))),IF(P99="","",CONCATENATE("_U2|",SUBSTITUTE(SUBSTITUTE(P99,"_","-"),"|","-"))),IF(Q99="","",CONCATENATE("_U3|",SUBSTITUTE(SUBSTITUTE(Q99,"_","-"),"|","-")))))</f>
        <v>MK|BR_CH|PD_DT|CROSS_PB|VER_FM|BAN_RT|CPM_PD|DOTZ-ZERO-ANUIDADE-AZUL_TG|NON_ST|NON_TS|NONE_SZ|300x600_AD|CM1_IT|OO</v>
      </c>
    </row>
    <row r="100" ht="15.75" customHeight="1">
      <c r="A100" s="33"/>
      <c r="B100" s="14" t="s">
        <v>15</v>
      </c>
      <c r="C100" s="14" t="s">
        <v>106</v>
      </c>
      <c r="D100" s="62" t="s">
        <v>43</v>
      </c>
      <c r="E100" s="14" t="s">
        <v>69</v>
      </c>
      <c r="F100" s="14" t="s">
        <v>63</v>
      </c>
      <c r="G100" s="62" t="s">
        <v>71</v>
      </c>
      <c r="H100" s="72" t="s">
        <v>83</v>
      </c>
      <c r="I100" s="62" t="s">
        <v>17</v>
      </c>
      <c r="J100" s="62" t="s">
        <v>17</v>
      </c>
      <c r="K100" s="33"/>
      <c r="L100" s="14" t="s">
        <v>107</v>
      </c>
      <c r="M100" s="31" t="s">
        <v>59</v>
      </c>
      <c r="N100" s="31" t="s">
        <v>74</v>
      </c>
      <c r="O100" s="31"/>
      <c r="P100" s="32"/>
      <c r="Q100" s="32"/>
      <c r="R100" s="67" t="str">
        <f>IF(K100="----","#N/A",CONCATENATE("MK|",(VLOOKUP(B100,Dictionary!$A:$B,2,0)),"_CH|",(VLOOKUP(C100,Dictionary!$AV:$AW,2,0)),"_DT|",(VLOOKUP(D100,Dictionary!$P:$Q,2,0)),"_PB|",(VLOOKUP(E100,Dictionary!$G:$H,2,0)),"_FM|",(VLOOKUP(F100,Dictionary!$S:$T,2,0)),"_RT|",(VLOOKUP(G100,Dictionary!$V:$W,2,0)),"_PD|",SUBSTITUTE(SUBSTITUTE(IF(H100="","NONE",H100),"_","-"),"|","-"),"_TG|",(VLOOKUP(I100,Dictionary!$J:$K,2,0)),"_ST|",(VLOOKUP(J100,Dictionary!$M:$N,2,0)),"_TS|",SUBSTITUTE(SUBSTITUTE(IF(K100="","NONE",K100),"_","-"),"|","-"),"_SZ|",(VLOOKUP(L100,Dictionary!$Y:$Z,1,0)),"_AD|",(VLOOKUP(M100,Dictionary!$AB:$AC,2,0)),"_IT|",(VLOOKUP(N100,Dictionary!$BC:$BD,2,0)),IF(O100="","",CONCATENATE("_U1|",SUBSTITUTE(SUBSTITUTE(O100,"_","-"),"|","-"))),IF(P100="","",CONCATENATE("_U2|",SUBSTITUTE(SUBSTITUTE(P100,"_","-"),"|","-"))),IF(Q100="","",CONCATENATE("_U3|",SUBSTITUTE(SUBSTITUTE(Q100,"_","-"),"|","-")))))</f>
        <v>MK|BR_CH|PMD_DT|CROSS_PB|VER_FM|BAN_RT|CPM_PD|DOTZ-ZERO-ANUIDADE-AZUL_TG|NON_ST|NON_TS|NONE_SZ|320x50_AD|CM1_IT|OO</v>
      </c>
    </row>
    <row r="101" ht="15.75" customHeight="1">
      <c r="A101" s="33"/>
      <c r="B101" s="14" t="s">
        <v>15</v>
      </c>
      <c r="C101" s="14" t="s">
        <v>106</v>
      </c>
      <c r="D101" s="62" t="s">
        <v>43</v>
      </c>
      <c r="E101" s="14" t="s">
        <v>69</v>
      </c>
      <c r="F101" s="14" t="s">
        <v>63</v>
      </c>
      <c r="G101" s="62" t="s">
        <v>71</v>
      </c>
      <c r="H101" s="72" t="s">
        <v>83</v>
      </c>
      <c r="I101" s="62" t="s">
        <v>17</v>
      </c>
      <c r="J101" s="62" t="s">
        <v>17</v>
      </c>
      <c r="K101" s="33"/>
      <c r="L101" s="14" t="s">
        <v>108</v>
      </c>
      <c r="M101" s="31" t="s">
        <v>59</v>
      </c>
      <c r="N101" s="31" t="s">
        <v>74</v>
      </c>
      <c r="O101" s="31"/>
      <c r="P101" s="32"/>
      <c r="Q101" s="32"/>
      <c r="R101" s="67" t="str">
        <f>IF(K101="----","#N/A",CONCATENATE("MK|",(VLOOKUP(B101,Dictionary!$A:$B,2,0)),"_CH|",(VLOOKUP(C101,Dictionary!$AV:$AW,2,0)),"_DT|",(VLOOKUP(D101,Dictionary!$P:$Q,2,0)),"_PB|",(VLOOKUP(E101,Dictionary!$G:$H,2,0)),"_FM|",(VLOOKUP(F101,Dictionary!$S:$T,2,0)),"_RT|",(VLOOKUP(G101,Dictionary!$V:$W,2,0)),"_PD|",SUBSTITUTE(SUBSTITUTE(IF(H101="","NONE",H101),"_","-"),"|","-"),"_TG|",(VLOOKUP(I101,Dictionary!$J:$K,2,0)),"_ST|",(VLOOKUP(J101,Dictionary!$M:$N,2,0)),"_TS|",SUBSTITUTE(SUBSTITUTE(IF(K101="","NONE",K101),"_","-"),"|","-"),"_SZ|",(VLOOKUP(L101,Dictionary!$Y:$Z,1,0)),"_AD|",(VLOOKUP(M101,Dictionary!$AB:$AC,2,0)),"_IT|",(VLOOKUP(N101,Dictionary!$BC:$BD,2,0)),IF(O101="","",CONCATENATE("_U1|",SUBSTITUTE(SUBSTITUTE(O101,"_","-"),"|","-"))),IF(P101="","",CONCATENATE("_U2|",SUBSTITUTE(SUBSTITUTE(P101,"_","-"),"|","-"))),IF(Q101="","",CONCATENATE("_U3|",SUBSTITUTE(SUBSTITUTE(Q101,"_","-"),"|","-")))))</f>
        <v>MK|BR_CH|PMD_DT|CROSS_PB|VER_FM|BAN_RT|CPM_PD|DOTZ-ZERO-ANUIDADE-AZUL_TG|NON_ST|NON_TS|NONE_SZ|320x100_AD|CM1_IT|OO</v>
      </c>
    </row>
    <row r="102" ht="15.75" customHeight="1">
      <c r="A102" s="33"/>
      <c r="B102" s="14" t="s">
        <v>15</v>
      </c>
      <c r="C102" s="14" t="s">
        <v>61</v>
      </c>
      <c r="D102" s="62" t="s">
        <v>43</v>
      </c>
      <c r="E102" s="14" t="s">
        <v>69</v>
      </c>
      <c r="F102" s="14" t="s">
        <v>63</v>
      </c>
      <c r="G102" s="62" t="s">
        <v>71</v>
      </c>
      <c r="H102" s="72" t="s">
        <v>83</v>
      </c>
      <c r="I102" s="62" t="s">
        <v>17</v>
      </c>
      <c r="J102" s="62" t="s">
        <v>17</v>
      </c>
      <c r="K102" s="33"/>
      <c r="L102" s="14" t="s">
        <v>109</v>
      </c>
      <c r="M102" s="31" t="s">
        <v>59</v>
      </c>
      <c r="N102" s="31" t="s">
        <v>74</v>
      </c>
      <c r="O102" s="31"/>
      <c r="P102" s="32"/>
      <c r="Q102" s="32"/>
      <c r="R102" s="67" t="str">
        <f>IF(K102="----","#N/A",CONCATENATE("MK|",(VLOOKUP(B102,Dictionary!$A:$B,2,0)),"_CH|",(VLOOKUP(C102,Dictionary!$AV:$AW,2,0)),"_DT|",(VLOOKUP(D102,Dictionary!$P:$Q,2,0)),"_PB|",(VLOOKUP(E102,Dictionary!$G:$H,2,0)),"_FM|",(VLOOKUP(F102,Dictionary!$S:$T,2,0)),"_RT|",(VLOOKUP(G102,Dictionary!$V:$W,2,0)),"_PD|",SUBSTITUTE(SUBSTITUTE(IF(H102="","NONE",H102),"_","-"),"|","-"),"_TG|",(VLOOKUP(I102,Dictionary!$J:$K,2,0)),"_ST|",(VLOOKUP(J102,Dictionary!$M:$N,2,0)),"_TS|",SUBSTITUTE(SUBSTITUTE(IF(K102="","NONE",K102),"_","-"),"|","-"),"_SZ|",(VLOOKUP(L102,Dictionary!$Y:$Z,1,0)),"_AD|",(VLOOKUP(M102,Dictionary!$AB:$AC,2,0)),"_IT|",(VLOOKUP(N102,Dictionary!$BC:$BD,2,0)),IF(O102="","",CONCATENATE("_U1|",SUBSTITUTE(SUBSTITUTE(O102,"_","-"),"|","-"))),IF(P102="","",CONCATENATE("_U2|",SUBSTITUTE(SUBSTITUTE(P102,"_","-"),"|","-"))),IF(Q102="","",CONCATENATE("_U3|",SUBSTITUTE(SUBSTITUTE(Q102,"_","-"),"|","-")))))</f>
        <v>MK|BR_CH|PD_DT|CROSS_PB|VER_FM|BAN_RT|CPM_PD|DOTZ-ZERO-ANUIDADE-AZUL_TG|NON_ST|NON_TS|NONE_SZ|728x90_AD|CM1_IT|OO</v>
      </c>
    </row>
    <row r="103" ht="15.75" customHeight="1">
      <c r="A103" s="33"/>
      <c r="B103" s="14" t="s">
        <v>15</v>
      </c>
      <c r="C103" s="14" t="s">
        <v>61</v>
      </c>
      <c r="D103" s="62" t="s">
        <v>43</v>
      </c>
      <c r="E103" s="14" t="s">
        <v>69</v>
      </c>
      <c r="F103" s="14" t="s">
        <v>63</v>
      </c>
      <c r="G103" s="62" t="s">
        <v>71</v>
      </c>
      <c r="H103" s="51" t="s">
        <v>110</v>
      </c>
      <c r="I103" s="62" t="s">
        <v>17</v>
      </c>
      <c r="J103" s="62" t="s">
        <v>17</v>
      </c>
      <c r="K103" s="33"/>
      <c r="L103" s="14" t="s">
        <v>102</v>
      </c>
      <c r="M103" s="31" t="s">
        <v>59</v>
      </c>
      <c r="N103" s="31" t="s">
        <v>74</v>
      </c>
      <c r="O103" s="31"/>
      <c r="P103" s="32"/>
      <c r="Q103" s="32"/>
      <c r="R103" s="67" t="str">
        <f>IF(K103="----","#N/A",CONCATENATE("MK|",(VLOOKUP(B103,Dictionary!$A:$B,2,0)),"_CH|",(VLOOKUP(C103,Dictionary!$AV:$AW,2,0)),"_DT|",(VLOOKUP(D103,Dictionary!$P:$Q,2,0)),"_PB|",(VLOOKUP(E103,Dictionary!$G:$H,2,0)),"_FM|",(VLOOKUP(F103,Dictionary!$S:$T,2,0)),"_RT|",(VLOOKUP(G103,Dictionary!$V:$W,2,0)),"_PD|",SUBSTITUTE(SUBSTITUTE(IF(H103="","NONE",H103),"_","-"),"|","-"),"_TG|",(VLOOKUP(I103,Dictionary!$J:$K,2,0)),"_ST|",(VLOOKUP(J103,Dictionary!$M:$N,2,0)),"_TS|",SUBSTITUTE(SUBSTITUTE(IF(K103="","NONE",K103),"_","-"),"|","-"),"_SZ|",(VLOOKUP(L103,Dictionary!$Y:$Z,1,0)),"_AD|",(VLOOKUP(M103,Dictionary!$AB:$AC,2,0)),"_IT|",(VLOOKUP(N103,Dictionary!$BC:$BD,2,0)),IF(O103="","",CONCATENATE("_U1|",SUBSTITUTE(SUBSTITUTE(O103,"_","-"),"|","-"))),IF(P103="","",CONCATENATE("_U2|",SUBSTITUTE(SUBSTITUTE(P103,"_","-"),"|","-"))),IF(Q103="","",CONCATENATE("_U3|",SUBSTITUTE(SUBSTITUTE(Q103,"_","-"),"|","-")))))</f>
        <v>MK|BR_CH|PD_DT|CROSS_PB|VER_FM|BAN_RT|CPM_PD|DOTZ-10MIL-HUMANIZADO_TG|NON_ST|NON_TS|NONE_SZ|120x600_AD|CM1_IT|OO</v>
      </c>
    </row>
    <row r="104" ht="15.75" customHeight="1">
      <c r="A104" s="33"/>
      <c r="B104" s="14" t="s">
        <v>15</v>
      </c>
      <c r="C104" s="14" t="s">
        <v>61</v>
      </c>
      <c r="D104" s="62" t="s">
        <v>43</v>
      </c>
      <c r="E104" s="14" t="s">
        <v>69</v>
      </c>
      <c r="F104" s="14" t="s">
        <v>63</v>
      </c>
      <c r="G104" s="62" t="s">
        <v>71</v>
      </c>
      <c r="H104" s="51" t="s">
        <v>110</v>
      </c>
      <c r="I104" s="62" t="s">
        <v>17</v>
      </c>
      <c r="J104" s="62" t="s">
        <v>17</v>
      </c>
      <c r="K104" s="33"/>
      <c r="L104" s="14" t="s">
        <v>103</v>
      </c>
      <c r="M104" s="31" t="s">
        <v>59</v>
      </c>
      <c r="N104" s="31" t="s">
        <v>74</v>
      </c>
      <c r="O104" s="31"/>
      <c r="P104" s="32"/>
      <c r="Q104" s="32"/>
      <c r="R104" s="67" t="str">
        <f>IF(K104="----","#N/A",CONCATENATE("MK|",(VLOOKUP(B104,Dictionary!$A:$B,2,0)),"_CH|",(VLOOKUP(C104,Dictionary!$AV:$AW,2,0)),"_DT|",(VLOOKUP(D104,Dictionary!$P:$Q,2,0)),"_PB|",(VLOOKUP(E104,Dictionary!$G:$H,2,0)),"_FM|",(VLOOKUP(F104,Dictionary!$S:$T,2,0)),"_RT|",(VLOOKUP(G104,Dictionary!$V:$W,2,0)),"_PD|",SUBSTITUTE(SUBSTITUTE(IF(H104="","NONE",H104),"_","-"),"|","-"),"_TG|",(VLOOKUP(I104,Dictionary!$J:$K,2,0)),"_ST|",(VLOOKUP(J104,Dictionary!$M:$N,2,0)),"_TS|",SUBSTITUTE(SUBSTITUTE(IF(K104="","NONE",K104),"_","-"),"|","-"),"_SZ|",(VLOOKUP(L104,Dictionary!$Y:$Z,1,0)),"_AD|",(VLOOKUP(M104,Dictionary!$AB:$AC,2,0)),"_IT|",(VLOOKUP(N104,Dictionary!$BC:$BD,2,0)),IF(O104="","",CONCATENATE("_U1|",SUBSTITUTE(SUBSTITUTE(O104,"_","-"),"|","-"))),IF(P104="","",CONCATENATE("_U2|",SUBSTITUTE(SUBSTITUTE(P104,"_","-"),"|","-"))),IF(Q104="","",CONCATENATE("_U3|",SUBSTITUTE(SUBSTITUTE(Q104,"_","-"),"|","-")))))</f>
        <v>MK|BR_CH|PD_DT|CROSS_PB|VER_FM|BAN_RT|CPM_PD|DOTZ-10MIL-HUMANIZADO_TG|NON_ST|NON_TS|NONE_SZ|160x600_AD|CM1_IT|OO</v>
      </c>
    </row>
    <row r="105" ht="15.75" customHeight="1">
      <c r="A105" s="33"/>
      <c r="B105" s="14" t="s">
        <v>15</v>
      </c>
      <c r="C105" s="14" t="s">
        <v>61</v>
      </c>
      <c r="D105" s="62" t="s">
        <v>43</v>
      </c>
      <c r="E105" s="14" t="s">
        <v>69</v>
      </c>
      <c r="F105" s="14" t="s">
        <v>63</v>
      </c>
      <c r="G105" s="62" t="s">
        <v>71</v>
      </c>
      <c r="H105" s="51" t="s">
        <v>110</v>
      </c>
      <c r="I105" s="62" t="s">
        <v>17</v>
      </c>
      <c r="J105" s="62" t="s">
        <v>17</v>
      </c>
      <c r="K105" s="33"/>
      <c r="L105" s="14" t="s">
        <v>104</v>
      </c>
      <c r="M105" s="31" t="s">
        <v>59</v>
      </c>
      <c r="N105" s="31" t="s">
        <v>74</v>
      </c>
      <c r="O105" s="31"/>
      <c r="P105" s="32"/>
      <c r="Q105" s="32"/>
      <c r="R105" s="67" t="str">
        <f>IF(K105="----","#N/A",CONCATENATE("MK|",(VLOOKUP(B105,Dictionary!$A:$B,2,0)),"_CH|",(VLOOKUP(C105,Dictionary!$AV:$AW,2,0)),"_DT|",(VLOOKUP(D105,Dictionary!$P:$Q,2,0)),"_PB|",(VLOOKUP(E105,Dictionary!$G:$H,2,0)),"_FM|",(VLOOKUP(F105,Dictionary!$S:$T,2,0)),"_RT|",(VLOOKUP(G105,Dictionary!$V:$W,2,0)),"_PD|",SUBSTITUTE(SUBSTITUTE(IF(H105="","NONE",H105),"_","-"),"|","-"),"_TG|",(VLOOKUP(I105,Dictionary!$J:$K,2,0)),"_ST|",(VLOOKUP(J105,Dictionary!$M:$N,2,0)),"_TS|",SUBSTITUTE(SUBSTITUTE(IF(K105="","NONE",K105),"_","-"),"|","-"),"_SZ|",(VLOOKUP(L105,Dictionary!$Y:$Z,1,0)),"_AD|",(VLOOKUP(M105,Dictionary!$AB:$AC,2,0)),"_IT|",(VLOOKUP(N105,Dictionary!$BC:$BD,2,0)),IF(O105="","",CONCATENATE("_U1|",SUBSTITUTE(SUBSTITUTE(O105,"_","-"),"|","-"))),IF(P105="","",CONCATENATE("_U2|",SUBSTITUTE(SUBSTITUTE(P105,"_","-"),"|","-"))),IF(Q105="","",CONCATENATE("_U3|",SUBSTITUTE(SUBSTITUTE(Q105,"_","-"),"|","-")))))</f>
        <v>MK|BR_CH|PD_DT|CROSS_PB|VER_FM|BAN_RT|CPM_PD|DOTZ-10MIL-HUMANIZADO_TG|NON_ST|NON_TS|NONE_SZ|300x250_AD|CM1_IT|OO</v>
      </c>
    </row>
    <row r="106" ht="15.75" customHeight="1">
      <c r="A106" s="33"/>
      <c r="B106" s="14" t="s">
        <v>15</v>
      </c>
      <c r="C106" s="14" t="s">
        <v>61</v>
      </c>
      <c r="D106" s="62" t="s">
        <v>43</v>
      </c>
      <c r="E106" s="14" t="s">
        <v>69</v>
      </c>
      <c r="F106" s="14" t="s">
        <v>63</v>
      </c>
      <c r="G106" s="62" t="s">
        <v>71</v>
      </c>
      <c r="H106" s="51" t="s">
        <v>110</v>
      </c>
      <c r="I106" s="62" t="s">
        <v>17</v>
      </c>
      <c r="J106" s="62" t="s">
        <v>17</v>
      </c>
      <c r="K106" s="33"/>
      <c r="L106" s="14" t="s">
        <v>105</v>
      </c>
      <c r="M106" s="31" t="s">
        <v>59</v>
      </c>
      <c r="N106" s="31" t="s">
        <v>74</v>
      </c>
      <c r="O106" s="31"/>
      <c r="P106" s="32"/>
      <c r="Q106" s="32"/>
      <c r="R106" s="67" t="str">
        <f>IF(K106="----","#N/A",CONCATENATE("MK|",(VLOOKUP(B106,Dictionary!$A:$B,2,0)),"_CH|",(VLOOKUP(C106,Dictionary!$AV:$AW,2,0)),"_DT|",(VLOOKUP(D106,Dictionary!$P:$Q,2,0)),"_PB|",(VLOOKUP(E106,Dictionary!$G:$H,2,0)),"_FM|",(VLOOKUP(F106,Dictionary!$S:$T,2,0)),"_RT|",(VLOOKUP(G106,Dictionary!$V:$W,2,0)),"_PD|",SUBSTITUTE(SUBSTITUTE(IF(H106="","NONE",H106),"_","-"),"|","-"),"_TG|",(VLOOKUP(I106,Dictionary!$J:$K,2,0)),"_ST|",(VLOOKUP(J106,Dictionary!$M:$N,2,0)),"_TS|",SUBSTITUTE(SUBSTITUTE(IF(K106="","NONE",K106),"_","-"),"|","-"),"_SZ|",(VLOOKUP(L106,Dictionary!$Y:$Z,1,0)),"_AD|",(VLOOKUP(M106,Dictionary!$AB:$AC,2,0)),"_IT|",(VLOOKUP(N106,Dictionary!$BC:$BD,2,0)),IF(O106="","",CONCATENATE("_U1|",SUBSTITUTE(SUBSTITUTE(O106,"_","-"),"|","-"))),IF(P106="","",CONCATENATE("_U2|",SUBSTITUTE(SUBSTITUTE(P106,"_","-"),"|","-"))),IF(Q106="","",CONCATENATE("_U3|",SUBSTITUTE(SUBSTITUTE(Q106,"_","-"),"|","-")))))</f>
        <v>MK|BR_CH|PD_DT|CROSS_PB|VER_FM|BAN_RT|CPM_PD|DOTZ-10MIL-HUMANIZADO_TG|NON_ST|NON_TS|NONE_SZ|300x600_AD|CM1_IT|OO</v>
      </c>
    </row>
    <row r="107" ht="15.75" customHeight="1">
      <c r="A107" s="33"/>
      <c r="B107" s="14" t="s">
        <v>15</v>
      </c>
      <c r="C107" s="14" t="s">
        <v>106</v>
      </c>
      <c r="D107" s="62" t="s">
        <v>43</v>
      </c>
      <c r="E107" s="14" t="s">
        <v>69</v>
      </c>
      <c r="F107" s="14" t="s">
        <v>63</v>
      </c>
      <c r="G107" s="62" t="s">
        <v>71</v>
      </c>
      <c r="H107" s="51" t="s">
        <v>110</v>
      </c>
      <c r="I107" s="62" t="s">
        <v>17</v>
      </c>
      <c r="J107" s="62" t="s">
        <v>17</v>
      </c>
      <c r="K107" s="33"/>
      <c r="L107" s="14" t="s">
        <v>107</v>
      </c>
      <c r="M107" s="31" t="s">
        <v>59</v>
      </c>
      <c r="N107" s="31" t="s">
        <v>74</v>
      </c>
      <c r="O107" s="31"/>
      <c r="P107" s="32"/>
      <c r="Q107" s="32"/>
      <c r="R107" s="67" t="str">
        <f>IF(K107="----","#N/A",CONCATENATE("MK|",(VLOOKUP(B107,Dictionary!$A:$B,2,0)),"_CH|",(VLOOKUP(C107,Dictionary!$AV:$AW,2,0)),"_DT|",(VLOOKUP(D107,Dictionary!$P:$Q,2,0)),"_PB|",(VLOOKUP(E107,Dictionary!$G:$H,2,0)),"_FM|",(VLOOKUP(F107,Dictionary!$S:$T,2,0)),"_RT|",(VLOOKUP(G107,Dictionary!$V:$W,2,0)),"_PD|",SUBSTITUTE(SUBSTITUTE(IF(H107="","NONE",H107),"_","-"),"|","-"),"_TG|",(VLOOKUP(I107,Dictionary!$J:$K,2,0)),"_ST|",(VLOOKUP(J107,Dictionary!$M:$N,2,0)),"_TS|",SUBSTITUTE(SUBSTITUTE(IF(K107="","NONE",K107),"_","-"),"|","-"),"_SZ|",(VLOOKUP(L107,Dictionary!$Y:$Z,1,0)),"_AD|",(VLOOKUP(M107,Dictionary!$AB:$AC,2,0)),"_IT|",(VLOOKUP(N107,Dictionary!$BC:$BD,2,0)),IF(O107="","",CONCATENATE("_U1|",SUBSTITUTE(SUBSTITUTE(O107,"_","-"),"|","-"))),IF(P107="","",CONCATENATE("_U2|",SUBSTITUTE(SUBSTITUTE(P107,"_","-"),"|","-"))),IF(Q107="","",CONCATENATE("_U3|",SUBSTITUTE(SUBSTITUTE(Q107,"_","-"),"|","-")))))</f>
        <v>MK|BR_CH|PMD_DT|CROSS_PB|VER_FM|BAN_RT|CPM_PD|DOTZ-10MIL-HUMANIZADO_TG|NON_ST|NON_TS|NONE_SZ|320x50_AD|CM1_IT|OO</v>
      </c>
    </row>
    <row r="108" ht="15.75" customHeight="1">
      <c r="A108" s="33"/>
      <c r="B108" s="14" t="s">
        <v>15</v>
      </c>
      <c r="C108" s="14" t="s">
        <v>106</v>
      </c>
      <c r="D108" s="62" t="s">
        <v>43</v>
      </c>
      <c r="E108" s="14" t="s">
        <v>69</v>
      </c>
      <c r="F108" s="14" t="s">
        <v>63</v>
      </c>
      <c r="G108" s="62" t="s">
        <v>71</v>
      </c>
      <c r="H108" s="51" t="s">
        <v>110</v>
      </c>
      <c r="I108" s="62" t="s">
        <v>17</v>
      </c>
      <c r="J108" s="62" t="s">
        <v>17</v>
      </c>
      <c r="K108" s="33"/>
      <c r="L108" s="14" t="s">
        <v>108</v>
      </c>
      <c r="M108" s="31" t="s">
        <v>59</v>
      </c>
      <c r="N108" s="31" t="s">
        <v>74</v>
      </c>
      <c r="O108" s="31"/>
      <c r="P108" s="32"/>
      <c r="Q108" s="32"/>
      <c r="R108" s="67" t="str">
        <f>IF(K108="----","#N/A",CONCATENATE("MK|",(VLOOKUP(B108,Dictionary!$A:$B,2,0)),"_CH|",(VLOOKUP(C108,Dictionary!$AV:$AW,2,0)),"_DT|",(VLOOKUP(D108,Dictionary!$P:$Q,2,0)),"_PB|",(VLOOKUP(E108,Dictionary!$G:$H,2,0)),"_FM|",(VLOOKUP(F108,Dictionary!$S:$T,2,0)),"_RT|",(VLOOKUP(G108,Dictionary!$V:$W,2,0)),"_PD|",SUBSTITUTE(SUBSTITUTE(IF(H108="","NONE",H108),"_","-"),"|","-"),"_TG|",(VLOOKUP(I108,Dictionary!$J:$K,2,0)),"_ST|",(VLOOKUP(J108,Dictionary!$M:$N,2,0)),"_TS|",SUBSTITUTE(SUBSTITUTE(IF(K108="","NONE",K108),"_","-"),"|","-"),"_SZ|",(VLOOKUP(L108,Dictionary!$Y:$Z,1,0)),"_AD|",(VLOOKUP(M108,Dictionary!$AB:$AC,2,0)),"_IT|",(VLOOKUP(N108,Dictionary!$BC:$BD,2,0)),IF(O108="","",CONCATENATE("_U1|",SUBSTITUTE(SUBSTITUTE(O108,"_","-"),"|","-"))),IF(P108="","",CONCATENATE("_U2|",SUBSTITUTE(SUBSTITUTE(P108,"_","-"),"|","-"))),IF(Q108="","",CONCATENATE("_U3|",SUBSTITUTE(SUBSTITUTE(Q108,"_","-"),"|","-")))))</f>
        <v>MK|BR_CH|PMD_DT|CROSS_PB|VER_FM|BAN_RT|CPM_PD|DOTZ-10MIL-HUMANIZADO_TG|NON_ST|NON_TS|NONE_SZ|320x100_AD|CM1_IT|OO</v>
      </c>
    </row>
    <row r="109" ht="15.75" customHeight="1">
      <c r="A109" s="33"/>
      <c r="B109" s="14" t="s">
        <v>15</v>
      </c>
      <c r="C109" s="14" t="s">
        <v>61</v>
      </c>
      <c r="D109" s="62" t="s">
        <v>43</v>
      </c>
      <c r="E109" s="14" t="s">
        <v>69</v>
      </c>
      <c r="F109" s="14" t="s">
        <v>63</v>
      </c>
      <c r="G109" s="62" t="s">
        <v>71</v>
      </c>
      <c r="H109" s="51" t="s">
        <v>110</v>
      </c>
      <c r="I109" s="62" t="s">
        <v>17</v>
      </c>
      <c r="J109" s="62" t="s">
        <v>17</v>
      </c>
      <c r="K109" s="33"/>
      <c r="L109" s="14" t="s">
        <v>109</v>
      </c>
      <c r="M109" s="31" t="s">
        <v>59</v>
      </c>
      <c r="N109" s="31" t="s">
        <v>74</v>
      </c>
      <c r="O109" s="31"/>
      <c r="P109" s="32"/>
      <c r="Q109" s="32"/>
      <c r="R109" s="67" t="str">
        <f>IF(K109="----","#N/A",CONCATENATE("MK|",(VLOOKUP(B109,Dictionary!$A:$B,2,0)),"_CH|",(VLOOKUP(C109,Dictionary!$AV:$AW,2,0)),"_DT|",(VLOOKUP(D109,Dictionary!$P:$Q,2,0)),"_PB|",(VLOOKUP(E109,Dictionary!$G:$H,2,0)),"_FM|",(VLOOKUP(F109,Dictionary!$S:$T,2,0)),"_RT|",(VLOOKUP(G109,Dictionary!$V:$W,2,0)),"_PD|",SUBSTITUTE(SUBSTITUTE(IF(H109="","NONE",H109),"_","-"),"|","-"),"_TG|",(VLOOKUP(I109,Dictionary!$J:$K,2,0)),"_ST|",(VLOOKUP(J109,Dictionary!$M:$N,2,0)),"_TS|",SUBSTITUTE(SUBSTITUTE(IF(K109="","NONE",K109),"_","-"),"|","-"),"_SZ|",(VLOOKUP(L109,Dictionary!$Y:$Z,1,0)),"_AD|",(VLOOKUP(M109,Dictionary!$AB:$AC,2,0)),"_IT|",(VLOOKUP(N109,Dictionary!$BC:$BD,2,0)),IF(O109="","",CONCATENATE("_U1|",SUBSTITUTE(SUBSTITUTE(O109,"_","-"),"|","-"))),IF(P109="","",CONCATENATE("_U2|",SUBSTITUTE(SUBSTITUTE(P109,"_","-"),"|","-"))),IF(Q109="","",CONCATENATE("_U3|",SUBSTITUTE(SUBSTITUTE(Q109,"_","-"),"|","-")))))</f>
        <v>MK|BR_CH|PD_DT|CROSS_PB|VER_FM|BAN_RT|CPM_PD|DOTZ-10MIL-HUMANIZADO_TG|NON_ST|NON_TS|NONE_SZ|728x90_AD|CM1_IT|OO</v>
      </c>
    </row>
    <row r="110" ht="15.75" customHeight="1">
      <c r="A110" s="33"/>
      <c r="B110" s="14" t="s">
        <v>15</v>
      </c>
      <c r="C110" s="14" t="s">
        <v>61</v>
      </c>
      <c r="D110" s="62" t="s">
        <v>43</v>
      </c>
      <c r="E110" s="14" t="s">
        <v>69</v>
      </c>
      <c r="F110" s="14" t="s">
        <v>63</v>
      </c>
      <c r="G110" s="62" t="s">
        <v>71</v>
      </c>
      <c r="H110" s="51" t="s">
        <v>111</v>
      </c>
      <c r="I110" s="62" t="s">
        <v>17</v>
      </c>
      <c r="J110" s="62" t="s">
        <v>17</v>
      </c>
      <c r="K110" s="33"/>
      <c r="L110" s="14" t="s">
        <v>102</v>
      </c>
      <c r="M110" s="31" t="s">
        <v>59</v>
      </c>
      <c r="N110" s="31" t="s">
        <v>74</v>
      </c>
      <c r="O110" s="31"/>
      <c r="P110" s="32"/>
      <c r="Q110" s="32"/>
      <c r="R110" s="67" t="str">
        <f>IF(K110="----","#N/A",CONCATENATE("MK|",(VLOOKUP(B110,Dictionary!$A:$B,2,0)),"_CH|",(VLOOKUP(C110,Dictionary!$AV:$AW,2,0)),"_DT|",(VLOOKUP(D110,Dictionary!$P:$Q,2,0)),"_PB|",(VLOOKUP(E110,Dictionary!$G:$H,2,0)),"_FM|",(VLOOKUP(F110,Dictionary!$S:$T,2,0)),"_RT|",(VLOOKUP(G110,Dictionary!$V:$W,2,0)),"_PD|",SUBSTITUTE(SUBSTITUTE(IF(H110="","NONE",H110),"_","-"),"|","-"),"_TG|",(VLOOKUP(I110,Dictionary!$J:$K,2,0)),"_ST|",(VLOOKUP(J110,Dictionary!$M:$N,2,0)),"_TS|",SUBSTITUTE(SUBSTITUTE(IF(K110="","NONE",K110),"_","-"),"|","-"),"_SZ|",(VLOOKUP(L110,Dictionary!$Y:$Z,1,0)),"_AD|",(VLOOKUP(M110,Dictionary!$AB:$AC,2,0)),"_IT|",(VLOOKUP(N110,Dictionary!$BC:$BD,2,0)),IF(O110="","",CONCATENATE("_U1|",SUBSTITUTE(SUBSTITUTE(O110,"_","-"),"|","-"))),IF(P110="","",CONCATENATE("_U2|",SUBSTITUTE(SUBSTITUTE(P110,"_","-"),"|","-"))),IF(Q110="","",CONCATENATE("_U3|",SUBSTITUTE(SUBSTITUTE(Q110,"_","-"),"|","-")))))</f>
        <v>MK|BR_CH|PD_DT|CROSS_PB|VER_FM|BAN_RT|CPM_PD|DOTZ-ZERO-ANUIDADE-HUMANIZADO_TG|NON_ST|NON_TS|NONE_SZ|120x600_AD|CM1_IT|OO</v>
      </c>
    </row>
    <row r="111" ht="15.75" customHeight="1">
      <c r="A111" s="33"/>
      <c r="B111" s="14" t="s">
        <v>15</v>
      </c>
      <c r="C111" s="14" t="s">
        <v>61</v>
      </c>
      <c r="D111" s="62" t="s">
        <v>43</v>
      </c>
      <c r="E111" s="14" t="s">
        <v>69</v>
      </c>
      <c r="F111" s="14" t="s">
        <v>63</v>
      </c>
      <c r="G111" s="62" t="s">
        <v>71</v>
      </c>
      <c r="H111" s="51" t="s">
        <v>111</v>
      </c>
      <c r="I111" s="62" t="s">
        <v>17</v>
      </c>
      <c r="J111" s="62" t="s">
        <v>17</v>
      </c>
      <c r="K111" s="33"/>
      <c r="L111" s="14" t="s">
        <v>103</v>
      </c>
      <c r="M111" s="31" t="s">
        <v>59</v>
      </c>
      <c r="N111" s="31" t="s">
        <v>74</v>
      </c>
      <c r="O111" s="31"/>
      <c r="P111" s="32"/>
      <c r="Q111" s="32"/>
      <c r="R111" s="67" t="str">
        <f>IF(K111="----","#N/A",CONCATENATE("MK|",(VLOOKUP(B111,Dictionary!$A:$B,2,0)),"_CH|",(VLOOKUP(C111,Dictionary!$AV:$AW,2,0)),"_DT|",(VLOOKUP(D111,Dictionary!$P:$Q,2,0)),"_PB|",(VLOOKUP(E111,Dictionary!$G:$H,2,0)),"_FM|",(VLOOKUP(F111,Dictionary!$S:$T,2,0)),"_RT|",(VLOOKUP(G111,Dictionary!$V:$W,2,0)),"_PD|",SUBSTITUTE(SUBSTITUTE(IF(H111="","NONE",H111),"_","-"),"|","-"),"_TG|",(VLOOKUP(I111,Dictionary!$J:$K,2,0)),"_ST|",(VLOOKUP(J111,Dictionary!$M:$N,2,0)),"_TS|",SUBSTITUTE(SUBSTITUTE(IF(K111="","NONE",K111),"_","-"),"|","-"),"_SZ|",(VLOOKUP(L111,Dictionary!$Y:$Z,1,0)),"_AD|",(VLOOKUP(M111,Dictionary!$AB:$AC,2,0)),"_IT|",(VLOOKUP(N111,Dictionary!$BC:$BD,2,0)),IF(O111="","",CONCATENATE("_U1|",SUBSTITUTE(SUBSTITUTE(O111,"_","-"),"|","-"))),IF(P111="","",CONCATENATE("_U2|",SUBSTITUTE(SUBSTITUTE(P111,"_","-"),"|","-"))),IF(Q111="","",CONCATENATE("_U3|",SUBSTITUTE(SUBSTITUTE(Q111,"_","-"),"|","-")))))</f>
        <v>MK|BR_CH|PD_DT|CROSS_PB|VER_FM|BAN_RT|CPM_PD|DOTZ-ZERO-ANUIDADE-HUMANIZADO_TG|NON_ST|NON_TS|NONE_SZ|160x600_AD|CM1_IT|OO</v>
      </c>
    </row>
    <row r="112" ht="15.75" customHeight="1">
      <c r="A112" s="33"/>
      <c r="B112" s="14" t="s">
        <v>15</v>
      </c>
      <c r="C112" s="14" t="s">
        <v>61</v>
      </c>
      <c r="D112" s="62" t="s">
        <v>43</v>
      </c>
      <c r="E112" s="14" t="s">
        <v>69</v>
      </c>
      <c r="F112" s="14" t="s">
        <v>63</v>
      </c>
      <c r="G112" s="62" t="s">
        <v>71</v>
      </c>
      <c r="H112" s="51" t="s">
        <v>111</v>
      </c>
      <c r="I112" s="62" t="s">
        <v>17</v>
      </c>
      <c r="J112" s="62" t="s">
        <v>17</v>
      </c>
      <c r="K112" s="33"/>
      <c r="L112" s="14" t="s">
        <v>104</v>
      </c>
      <c r="M112" s="31" t="s">
        <v>59</v>
      </c>
      <c r="N112" s="31" t="s">
        <v>74</v>
      </c>
      <c r="O112" s="31"/>
      <c r="P112" s="32"/>
      <c r="Q112" s="32"/>
      <c r="R112" s="67" t="str">
        <f>IF(K112="----","#N/A",CONCATENATE("MK|",(VLOOKUP(B112,Dictionary!$A:$B,2,0)),"_CH|",(VLOOKUP(C112,Dictionary!$AV:$AW,2,0)),"_DT|",(VLOOKUP(D112,Dictionary!$P:$Q,2,0)),"_PB|",(VLOOKUP(E112,Dictionary!$G:$H,2,0)),"_FM|",(VLOOKUP(F112,Dictionary!$S:$T,2,0)),"_RT|",(VLOOKUP(G112,Dictionary!$V:$W,2,0)),"_PD|",SUBSTITUTE(SUBSTITUTE(IF(H112="","NONE",H112),"_","-"),"|","-"),"_TG|",(VLOOKUP(I112,Dictionary!$J:$K,2,0)),"_ST|",(VLOOKUP(J112,Dictionary!$M:$N,2,0)),"_TS|",SUBSTITUTE(SUBSTITUTE(IF(K112="","NONE",K112),"_","-"),"|","-"),"_SZ|",(VLOOKUP(L112,Dictionary!$Y:$Z,1,0)),"_AD|",(VLOOKUP(M112,Dictionary!$AB:$AC,2,0)),"_IT|",(VLOOKUP(N112,Dictionary!$BC:$BD,2,0)),IF(O112="","",CONCATENATE("_U1|",SUBSTITUTE(SUBSTITUTE(O112,"_","-"),"|","-"))),IF(P112="","",CONCATENATE("_U2|",SUBSTITUTE(SUBSTITUTE(P112,"_","-"),"|","-"))),IF(Q112="","",CONCATENATE("_U3|",SUBSTITUTE(SUBSTITUTE(Q112,"_","-"),"|","-")))))</f>
        <v>MK|BR_CH|PD_DT|CROSS_PB|VER_FM|BAN_RT|CPM_PD|DOTZ-ZERO-ANUIDADE-HUMANIZADO_TG|NON_ST|NON_TS|NONE_SZ|300x250_AD|CM1_IT|OO</v>
      </c>
    </row>
    <row r="113" ht="15.75" customHeight="1">
      <c r="A113" s="33"/>
      <c r="B113" s="14" t="s">
        <v>15</v>
      </c>
      <c r="C113" s="14" t="s">
        <v>61</v>
      </c>
      <c r="D113" s="62" t="s">
        <v>43</v>
      </c>
      <c r="E113" s="14" t="s">
        <v>69</v>
      </c>
      <c r="F113" s="14" t="s">
        <v>63</v>
      </c>
      <c r="G113" s="62" t="s">
        <v>71</v>
      </c>
      <c r="H113" s="51" t="s">
        <v>111</v>
      </c>
      <c r="I113" s="62" t="s">
        <v>17</v>
      </c>
      <c r="J113" s="62" t="s">
        <v>17</v>
      </c>
      <c r="K113" s="33"/>
      <c r="L113" s="14" t="s">
        <v>105</v>
      </c>
      <c r="M113" s="31" t="s">
        <v>59</v>
      </c>
      <c r="N113" s="31" t="s">
        <v>74</v>
      </c>
      <c r="O113" s="31"/>
      <c r="P113" s="32"/>
      <c r="Q113" s="32"/>
      <c r="R113" s="67" t="str">
        <f>IF(K113="----","#N/A",CONCATENATE("MK|",(VLOOKUP(B113,Dictionary!$A:$B,2,0)),"_CH|",(VLOOKUP(C113,Dictionary!$AV:$AW,2,0)),"_DT|",(VLOOKUP(D113,Dictionary!$P:$Q,2,0)),"_PB|",(VLOOKUP(E113,Dictionary!$G:$H,2,0)),"_FM|",(VLOOKUP(F113,Dictionary!$S:$T,2,0)),"_RT|",(VLOOKUP(G113,Dictionary!$V:$W,2,0)),"_PD|",SUBSTITUTE(SUBSTITUTE(IF(H113="","NONE",H113),"_","-"),"|","-"),"_TG|",(VLOOKUP(I113,Dictionary!$J:$K,2,0)),"_ST|",(VLOOKUP(J113,Dictionary!$M:$N,2,0)),"_TS|",SUBSTITUTE(SUBSTITUTE(IF(K113="","NONE",K113),"_","-"),"|","-"),"_SZ|",(VLOOKUP(L113,Dictionary!$Y:$Z,1,0)),"_AD|",(VLOOKUP(M113,Dictionary!$AB:$AC,2,0)),"_IT|",(VLOOKUP(N113,Dictionary!$BC:$BD,2,0)),IF(O113="","",CONCATENATE("_U1|",SUBSTITUTE(SUBSTITUTE(O113,"_","-"),"|","-"))),IF(P113="","",CONCATENATE("_U2|",SUBSTITUTE(SUBSTITUTE(P113,"_","-"),"|","-"))),IF(Q113="","",CONCATENATE("_U3|",SUBSTITUTE(SUBSTITUTE(Q113,"_","-"),"|","-")))))</f>
        <v>MK|BR_CH|PD_DT|CROSS_PB|VER_FM|BAN_RT|CPM_PD|DOTZ-ZERO-ANUIDADE-HUMANIZADO_TG|NON_ST|NON_TS|NONE_SZ|300x600_AD|CM1_IT|OO</v>
      </c>
    </row>
    <row r="114" ht="15.75" customHeight="1">
      <c r="A114" s="33"/>
      <c r="B114" s="14" t="s">
        <v>15</v>
      </c>
      <c r="C114" s="14" t="s">
        <v>106</v>
      </c>
      <c r="D114" s="62" t="s">
        <v>43</v>
      </c>
      <c r="E114" s="14" t="s">
        <v>69</v>
      </c>
      <c r="F114" s="14" t="s">
        <v>63</v>
      </c>
      <c r="G114" s="62" t="s">
        <v>71</v>
      </c>
      <c r="H114" s="51" t="s">
        <v>111</v>
      </c>
      <c r="I114" s="62" t="s">
        <v>17</v>
      </c>
      <c r="J114" s="62" t="s">
        <v>17</v>
      </c>
      <c r="K114" s="33"/>
      <c r="L114" s="14" t="s">
        <v>107</v>
      </c>
      <c r="M114" s="31" t="s">
        <v>59</v>
      </c>
      <c r="N114" s="31" t="s">
        <v>74</v>
      </c>
      <c r="O114" s="31"/>
      <c r="P114" s="32"/>
      <c r="Q114" s="32"/>
      <c r="R114" s="67" t="str">
        <f>IF(K114="----","#N/A",CONCATENATE("MK|",(VLOOKUP(B114,Dictionary!$A:$B,2,0)),"_CH|",(VLOOKUP(C114,Dictionary!$AV:$AW,2,0)),"_DT|",(VLOOKUP(D114,Dictionary!$P:$Q,2,0)),"_PB|",(VLOOKUP(E114,Dictionary!$G:$H,2,0)),"_FM|",(VLOOKUP(F114,Dictionary!$S:$T,2,0)),"_RT|",(VLOOKUP(G114,Dictionary!$V:$W,2,0)),"_PD|",SUBSTITUTE(SUBSTITUTE(IF(H114="","NONE",H114),"_","-"),"|","-"),"_TG|",(VLOOKUP(I114,Dictionary!$J:$K,2,0)),"_ST|",(VLOOKUP(J114,Dictionary!$M:$N,2,0)),"_TS|",SUBSTITUTE(SUBSTITUTE(IF(K114="","NONE",K114),"_","-"),"|","-"),"_SZ|",(VLOOKUP(L114,Dictionary!$Y:$Z,1,0)),"_AD|",(VLOOKUP(M114,Dictionary!$AB:$AC,2,0)),"_IT|",(VLOOKUP(N114,Dictionary!$BC:$BD,2,0)),IF(O114="","",CONCATENATE("_U1|",SUBSTITUTE(SUBSTITUTE(O114,"_","-"),"|","-"))),IF(P114="","",CONCATENATE("_U2|",SUBSTITUTE(SUBSTITUTE(P114,"_","-"),"|","-"))),IF(Q114="","",CONCATENATE("_U3|",SUBSTITUTE(SUBSTITUTE(Q114,"_","-"),"|","-")))))</f>
        <v>MK|BR_CH|PMD_DT|CROSS_PB|VER_FM|BAN_RT|CPM_PD|DOTZ-ZERO-ANUIDADE-HUMANIZADO_TG|NON_ST|NON_TS|NONE_SZ|320x50_AD|CM1_IT|OO</v>
      </c>
    </row>
    <row r="115" ht="15.75" customHeight="1">
      <c r="A115" s="33"/>
      <c r="B115" s="14" t="s">
        <v>15</v>
      </c>
      <c r="C115" s="14" t="s">
        <v>106</v>
      </c>
      <c r="D115" s="62" t="s">
        <v>43</v>
      </c>
      <c r="E115" s="14" t="s">
        <v>69</v>
      </c>
      <c r="F115" s="14" t="s">
        <v>63</v>
      </c>
      <c r="G115" s="62" t="s">
        <v>71</v>
      </c>
      <c r="H115" s="51" t="s">
        <v>111</v>
      </c>
      <c r="I115" s="62" t="s">
        <v>17</v>
      </c>
      <c r="J115" s="62" t="s">
        <v>17</v>
      </c>
      <c r="K115" s="33"/>
      <c r="L115" s="14" t="s">
        <v>108</v>
      </c>
      <c r="M115" s="31" t="s">
        <v>59</v>
      </c>
      <c r="N115" s="31" t="s">
        <v>74</v>
      </c>
      <c r="O115" s="31"/>
      <c r="P115" s="32"/>
      <c r="Q115" s="32"/>
      <c r="R115" s="67" t="str">
        <f>IF(K115="----","#N/A",CONCATENATE("MK|",(VLOOKUP(B115,Dictionary!$A:$B,2,0)),"_CH|",(VLOOKUP(C115,Dictionary!$AV:$AW,2,0)),"_DT|",(VLOOKUP(D115,Dictionary!$P:$Q,2,0)),"_PB|",(VLOOKUP(E115,Dictionary!$G:$H,2,0)),"_FM|",(VLOOKUP(F115,Dictionary!$S:$T,2,0)),"_RT|",(VLOOKUP(G115,Dictionary!$V:$W,2,0)),"_PD|",SUBSTITUTE(SUBSTITUTE(IF(H115="","NONE",H115),"_","-"),"|","-"),"_TG|",(VLOOKUP(I115,Dictionary!$J:$K,2,0)),"_ST|",(VLOOKUP(J115,Dictionary!$M:$N,2,0)),"_TS|",SUBSTITUTE(SUBSTITUTE(IF(K115="","NONE",K115),"_","-"),"|","-"),"_SZ|",(VLOOKUP(L115,Dictionary!$Y:$Z,1,0)),"_AD|",(VLOOKUP(M115,Dictionary!$AB:$AC,2,0)),"_IT|",(VLOOKUP(N115,Dictionary!$BC:$BD,2,0)),IF(O115="","",CONCATENATE("_U1|",SUBSTITUTE(SUBSTITUTE(O115,"_","-"),"|","-"))),IF(P115="","",CONCATENATE("_U2|",SUBSTITUTE(SUBSTITUTE(P115,"_","-"),"|","-"))),IF(Q115="","",CONCATENATE("_U3|",SUBSTITUTE(SUBSTITUTE(Q115,"_","-"),"|","-")))))</f>
        <v>MK|BR_CH|PMD_DT|CROSS_PB|VER_FM|BAN_RT|CPM_PD|DOTZ-ZERO-ANUIDADE-HUMANIZADO_TG|NON_ST|NON_TS|NONE_SZ|320x100_AD|CM1_IT|OO</v>
      </c>
    </row>
    <row r="116" ht="15.75" customHeight="1">
      <c r="A116" s="33"/>
      <c r="B116" s="14" t="s">
        <v>15</v>
      </c>
      <c r="C116" s="14" t="s">
        <v>61</v>
      </c>
      <c r="D116" s="62" t="s">
        <v>43</v>
      </c>
      <c r="E116" s="14" t="s">
        <v>69</v>
      </c>
      <c r="F116" s="14" t="s">
        <v>63</v>
      </c>
      <c r="G116" s="62" t="s">
        <v>71</v>
      </c>
      <c r="H116" s="51" t="s">
        <v>111</v>
      </c>
      <c r="I116" s="62" t="s">
        <v>17</v>
      </c>
      <c r="J116" s="62" t="s">
        <v>17</v>
      </c>
      <c r="K116" s="33"/>
      <c r="L116" s="14" t="s">
        <v>109</v>
      </c>
      <c r="M116" s="31" t="s">
        <v>59</v>
      </c>
      <c r="N116" s="31" t="s">
        <v>74</v>
      </c>
      <c r="O116" s="31"/>
      <c r="P116" s="32"/>
      <c r="Q116" s="32"/>
      <c r="R116" s="67" t="str">
        <f>IF(K116="----","#N/A",CONCATENATE("MK|",(VLOOKUP(B116,Dictionary!$A:$B,2,0)),"_CH|",(VLOOKUP(C116,Dictionary!$AV:$AW,2,0)),"_DT|",(VLOOKUP(D116,Dictionary!$P:$Q,2,0)),"_PB|",(VLOOKUP(E116,Dictionary!$G:$H,2,0)),"_FM|",(VLOOKUP(F116,Dictionary!$S:$T,2,0)),"_RT|",(VLOOKUP(G116,Dictionary!$V:$W,2,0)),"_PD|",SUBSTITUTE(SUBSTITUTE(IF(H116="","NONE",H116),"_","-"),"|","-"),"_TG|",(VLOOKUP(I116,Dictionary!$J:$K,2,0)),"_ST|",(VLOOKUP(J116,Dictionary!$M:$N,2,0)),"_TS|",SUBSTITUTE(SUBSTITUTE(IF(K116="","NONE",K116),"_","-"),"|","-"),"_SZ|",(VLOOKUP(L116,Dictionary!$Y:$Z,1,0)),"_AD|",(VLOOKUP(M116,Dictionary!$AB:$AC,2,0)),"_IT|",(VLOOKUP(N116,Dictionary!$BC:$BD,2,0)),IF(O116="","",CONCATENATE("_U1|",SUBSTITUTE(SUBSTITUTE(O116,"_","-"),"|","-"))),IF(P116="","",CONCATENATE("_U2|",SUBSTITUTE(SUBSTITUTE(P116,"_","-"),"|","-"))),IF(Q116="","",CONCATENATE("_U3|",SUBSTITUTE(SUBSTITUTE(Q116,"_","-"),"|","-")))))</f>
        <v>MK|BR_CH|PD_DT|CROSS_PB|VER_FM|BAN_RT|CPM_PD|DOTZ-ZERO-ANUIDADE-HUMANIZADO_TG|NON_ST|NON_TS|NONE_SZ|728x90_AD|CM1_IT|OO</v>
      </c>
    </row>
    <row r="117" ht="15.75" customHeight="1">
      <c r="A117" s="33"/>
      <c r="B117" s="14" t="s">
        <v>15</v>
      </c>
      <c r="C117" s="14" t="s">
        <v>61</v>
      </c>
      <c r="D117" s="62" t="s">
        <v>43</v>
      </c>
      <c r="E117" s="14" t="s">
        <v>69</v>
      </c>
      <c r="F117" s="14" t="s">
        <v>63</v>
      </c>
      <c r="G117" s="62" t="s">
        <v>71</v>
      </c>
      <c r="H117" s="51" t="s">
        <v>112</v>
      </c>
      <c r="I117" s="62" t="s">
        <v>17</v>
      </c>
      <c r="J117" s="62" t="s">
        <v>17</v>
      </c>
      <c r="K117" s="33"/>
      <c r="L117" s="14" t="s">
        <v>102</v>
      </c>
      <c r="M117" s="31" t="s">
        <v>59</v>
      </c>
      <c r="N117" s="31" t="s">
        <v>74</v>
      </c>
      <c r="O117" s="31"/>
      <c r="P117" s="32"/>
      <c r="Q117" s="32"/>
      <c r="R117" s="67" t="str">
        <f>IF(K117="----","#N/A",CONCATENATE("MK|",(VLOOKUP(B117,Dictionary!$A:$B,2,0)),"_CH|",(VLOOKUP(C117,Dictionary!$AV:$AW,2,0)),"_DT|",(VLOOKUP(D117,Dictionary!$P:$Q,2,0)),"_PB|",(VLOOKUP(E117,Dictionary!$G:$H,2,0)),"_FM|",(VLOOKUP(F117,Dictionary!$S:$T,2,0)),"_RT|",(VLOOKUP(G117,Dictionary!$V:$W,2,0)),"_PD|",SUBSTITUTE(SUBSTITUTE(IF(H117="","NONE",H117),"_","-"),"|","-"),"_TG|",(VLOOKUP(I117,Dictionary!$J:$K,2,0)),"_ST|",(VLOOKUP(J117,Dictionary!$M:$N,2,0)),"_TS|",SUBSTITUTE(SUBSTITUTE(IF(K117="","NONE",K117),"_","-"),"|","-"),"_SZ|",(VLOOKUP(L117,Dictionary!$Y:$Z,1,0)),"_AD|",(VLOOKUP(M117,Dictionary!$AB:$AC,2,0)),"_IT|",(VLOOKUP(N117,Dictionary!$BC:$BD,2,0)),IF(O117="","",CONCATENATE("_U1|",SUBSTITUTE(SUBSTITUTE(O117,"_","-"),"|","-"))),IF(P117="","",CONCATENATE("_U2|",SUBSTITUTE(SUBSTITUTE(P117,"_","-"),"|","-"))),IF(Q117="","",CONCATENATE("_U3|",SUBSTITUTE(SUBSTITUTE(Q117,"_","-"),"|","-")))))</f>
        <v>MK|BR_CH|PD_DT|CROSS_PB|VER_FM|BAN_RT|CPM_PD|DOTZ-ZERO-CONVERSAO-AZUL_TG|NON_ST|NON_TS|NONE_SZ|120x600_AD|CM1_IT|OO</v>
      </c>
    </row>
    <row r="118" ht="15.75" customHeight="1">
      <c r="A118" s="33"/>
      <c r="B118" s="14" t="s">
        <v>15</v>
      </c>
      <c r="C118" s="14" t="s">
        <v>61</v>
      </c>
      <c r="D118" s="62" t="s">
        <v>43</v>
      </c>
      <c r="E118" s="14" t="s">
        <v>69</v>
      </c>
      <c r="F118" s="14" t="s">
        <v>63</v>
      </c>
      <c r="G118" s="62" t="s">
        <v>71</v>
      </c>
      <c r="H118" s="51" t="s">
        <v>112</v>
      </c>
      <c r="I118" s="62" t="s">
        <v>17</v>
      </c>
      <c r="J118" s="62" t="s">
        <v>17</v>
      </c>
      <c r="K118" s="33"/>
      <c r="L118" s="14" t="s">
        <v>103</v>
      </c>
      <c r="M118" s="31" t="s">
        <v>59</v>
      </c>
      <c r="N118" s="31" t="s">
        <v>74</v>
      </c>
      <c r="O118" s="31"/>
      <c r="P118" s="32"/>
      <c r="Q118" s="32"/>
      <c r="R118" s="67" t="str">
        <f>IF(K118="----","#N/A",CONCATENATE("MK|",(VLOOKUP(B118,Dictionary!$A:$B,2,0)),"_CH|",(VLOOKUP(C118,Dictionary!$AV:$AW,2,0)),"_DT|",(VLOOKUP(D118,Dictionary!$P:$Q,2,0)),"_PB|",(VLOOKUP(E118,Dictionary!$G:$H,2,0)),"_FM|",(VLOOKUP(F118,Dictionary!$S:$T,2,0)),"_RT|",(VLOOKUP(G118,Dictionary!$V:$W,2,0)),"_PD|",SUBSTITUTE(SUBSTITUTE(IF(H118="","NONE",H118),"_","-"),"|","-"),"_TG|",(VLOOKUP(I118,Dictionary!$J:$K,2,0)),"_ST|",(VLOOKUP(J118,Dictionary!$M:$N,2,0)),"_TS|",SUBSTITUTE(SUBSTITUTE(IF(K118="","NONE",K118),"_","-"),"|","-"),"_SZ|",(VLOOKUP(L118,Dictionary!$Y:$Z,1,0)),"_AD|",(VLOOKUP(M118,Dictionary!$AB:$AC,2,0)),"_IT|",(VLOOKUP(N118,Dictionary!$BC:$BD,2,0)),IF(O118="","",CONCATENATE("_U1|",SUBSTITUTE(SUBSTITUTE(O118,"_","-"),"|","-"))),IF(P118="","",CONCATENATE("_U2|",SUBSTITUTE(SUBSTITUTE(P118,"_","-"),"|","-"))),IF(Q118="","",CONCATENATE("_U3|",SUBSTITUTE(SUBSTITUTE(Q118,"_","-"),"|","-")))))</f>
        <v>MK|BR_CH|PD_DT|CROSS_PB|VER_FM|BAN_RT|CPM_PD|DOTZ-ZERO-CONVERSAO-AZUL_TG|NON_ST|NON_TS|NONE_SZ|160x600_AD|CM1_IT|OO</v>
      </c>
    </row>
    <row r="119" ht="15.75" customHeight="1">
      <c r="A119" s="33"/>
      <c r="B119" s="14" t="s">
        <v>15</v>
      </c>
      <c r="C119" s="14" t="s">
        <v>61</v>
      </c>
      <c r="D119" s="62" t="s">
        <v>43</v>
      </c>
      <c r="E119" s="14" t="s">
        <v>69</v>
      </c>
      <c r="F119" s="14" t="s">
        <v>63</v>
      </c>
      <c r="G119" s="62" t="s">
        <v>71</v>
      </c>
      <c r="H119" s="51" t="s">
        <v>112</v>
      </c>
      <c r="I119" s="62" t="s">
        <v>17</v>
      </c>
      <c r="J119" s="62" t="s">
        <v>17</v>
      </c>
      <c r="K119" s="33"/>
      <c r="L119" s="14" t="s">
        <v>104</v>
      </c>
      <c r="M119" s="31" t="s">
        <v>59</v>
      </c>
      <c r="N119" s="31" t="s">
        <v>74</v>
      </c>
      <c r="O119" s="31"/>
      <c r="P119" s="32"/>
      <c r="Q119" s="32"/>
      <c r="R119" s="67" t="str">
        <f>IF(K119="----","#N/A",CONCATENATE("MK|",(VLOOKUP(B119,Dictionary!$A:$B,2,0)),"_CH|",(VLOOKUP(C119,Dictionary!$AV:$AW,2,0)),"_DT|",(VLOOKUP(D119,Dictionary!$P:$Q,2,0)),"_PB|",(VLOOKUP(E119,Dictionary!$G:$H,2,0)),"_FM|",(VLOOKUP(F119,Dictionary!$S:$T,2,0)),"_RT|",(VLOOKUP(G119,Dictionary!$V:$W,2,0)),"_PD|",SUBSTITUTE(SUBSTITUTE(IF(H119="","NONE",H119),"_","-"),"|","-"),"_TG|",(VLOOKUP(I119,Dictionary!$J:$K,2,0)),"_ST|",(VLOOKUP(J119,Dictionary!$M:$N,2,0)),"_TS|",SUBSTITUTE(SUBSTITUTE(IF(K119="","NONE",K119),"_","-"),"|","-"),"_SZ|",(VLOOKUP(L119,Dictionary!$Y:$Z,1,0)),"_AD|",(VLOOKUP(M119,Dictionary!$AB:$AC,2,0)),"_IT|",(VLOOKUP(N119,Dictionary!$BC:$BD,2,0)),IF(O119="","",CONCATENATE("_U1|",SUBSTITUTE(SUBSTITUTE(O119,"_","-"),"|","-"))),IF(P119="","",CONCATENATE("_U2|",SUBSTITUTE(SUBSTITUTE(P119,"_","-"),"|","-"))),IF(Q119="","",CONCATENATE("_U3|",SUBSTITUTE(SUBSTITUTE(Q119,"_","-"),"|","-")))))</f>
        <v>MK|BR_CH|PD_DT|CROSS_PB|VER_FM|BAN_RT|CPM_PD|DOTZ-ZERO-CONVERSAO-AZUL_TG|NON_ST|NON_TS|NONE_SZ|300x250_AD|CM1_IT|OO</v>
      </c>
    </row>
    <row r="120" ht="15.75" customHeight="1">
      <c r="A120" s="33"/>
      <c r="B120" s="14" t="s">
        <v>15</v>
      </c>
      <c r="C120" s="14" t="s">
        <v>61</v>
      </c>
      <c r="D120" s="62" t="s">
        <v>43</v>
      </c>
      <c r="E120" s="14" t="s">
        <v>69</v>
      </c>
      <c r="F120" s="14" t="s">
        <v>63</v>
      </c>
      <c r="G120" s="62" t="s">
        <v>71</v>
      </c>
      <c r="H120" s="51" t="s">
        <v>112</v>
      </c>
      <c r="I120" s="62" t="s">
        <v>17</v>
      </c>
      <c r="J120" s="62" t="s">
        <v>17</v>
      </c>
      <c r="K120" s="33"/>
      <c r="L120" s="14" t="s">
        <v>105</v>
      </c>
      <c r="M120" s="31" t="s">
        <v>59</v>
      </c>
      <c r="N120" s="31" t="s">
        <v>74</v>
      </c>
      <c r="O120" s="31"/>
      <c r="P120" s="32"/>
      <c r="Q120" s="32"/>
      <c r="R120" s="67" t="str">
        <f>IF(K120="----","#N/A",CONCATENATE("MK|",(VLOOKUP(B120,Dictionary!$A:$B,2,0)),"_CH|",(VLOOKUP(C120,Dictionary!$AV:$AW,2,0)),"_DT|",(VLOOKUP(D120,Dictionary!$P:$Q,2,0)),"_PB|",(VLOOKUP(E120,Dictionary!$G:$H,2,0)),"_FM|",(VLOOKUP(F120,Dictionary!$S:$T,2,0)),"_RT|",(VLOOKUP(G120,Dictionary!$V:$W,2,0)),"_PD|",SUBSTITUTE(SUBSTITUTE(IF(H120="","NONE",H120),"_","-"),"|","-"),"_TG|",(VLOOKUP(I120,Dictionary!$J:$K,2,0)),"_ST|",(VLOOKUP(J120,Dictionary!$M:$N,2,0)),"_TS|",SUBSTITUTE(SUBSTITUTE(IF(K120="","NONE",K120),"_","-"),"|","-"),"_SZ|",(VLOOKUP(L120,Dictionary!$Y:$Z,1,0)),"_AD|",(VLOOKUP(M120,Dictionary!$AB:$AC,2,0)),"_IT|",(VLOOKUP(N120,Dictionary!$BC:$BD,2,0)),IF(O120="","",CONCATENATE("_U1|",SUBSTITUTE(SUBSTITUTE(O120,"_","-"),"|","-"))),IF(P120="","",CONCATENATE("_U2|",SUBSTITUTE(SUBSTITUTE(P120,"_","-"),"|","-"))),IF(Q120="","",CONCATENATE("_U3|",SUBSTITUTE(SUBSTITUTE(Q120,"_","-"),"|","-")))))</f>
        <v>MK|BR_CH|PD_DT|CROSS_PB|VER_FM|BAN_RT|CPM_PD|DOTZ-ZERO-CONVERSAO-AZUL_TG|NON_ST|NON_TS|NONE_SZ|300x600_AD|CM1_IT|OO</v>
      </c>
    </row>
    <row r="121" ht="15.75" customHeight="1">
      <c r="A121" s="33"/>
      <c r="B121" s="14" t="s">
        <v>15</v>
      </c>
      <c r="C121" s="14" t="s">
        <v>106</v>
      </c>
      <c r="D121" s="62" t="s">
        <v>43</v>
      </c>
      <c r="E121" s="14" t="s">
        <v>69</v>
      </c>
      <c r="F121" s="14" t="s">
        <v>63</v>
      </c>
      <c r="G121" s="62" t="s">
        <v>71</v>
      </c>
      <c r="H121" s="51" t="s">
        <v>112</v>
      </c>
      <c r="I121" s="62" t="s">
        <v>17</v>
      </c>
      <c r="J121" s="62" t="s">
        <v>17</v>
      </c>
      <c r="K121" s="33"/>
      <c r="L121" s="14" t="s">
        <v>107</v>
      </c>
      <c r="M121" s="31" t="s">
        <v>59</v>
      </c>
      <c r="N121" s="31" t="s">
        <v>74</v>
      </c>
      <c r="O121" s="31"/>
      <c r="P121" s="32"/>
      <c r="Q121" s="32"/>
      <c r="R121" s="67" t="str">
        <f>IF(K121="----","#N/A",CONCATENATE("MK|",(VLOOKUP(B121,Dictionary!$A:$B,2,0)),"_CH|",(VLOOKUP(C121,Dictionary!$AV:$AW,2,0)),"_DT|",(VLOOKUP(D121,Dictionary!$P:$Q,2,0)),"_PB|",(VLOOKUP(E121,Dictionary!$G:$H,2,0)),"_FM|",(VLOOKUP(F121,Dictionary!$S:$T,2,0)),"_RT|",(VLOOKUP(G121,Dictionary!$V:$W,2,0)),"_PD|",SUBSTITUTE(SUBSTITUTE(IF(H121="","NONE",H121),"_","-"),"|","-"),"_TG|",(VLOOKUP(I121,Dictionary!$J:$K,2,0)),"_ST|",(VLOOKUP(J121,Dictionary!$M:$N,2,0)),"_TS|",SUBSTITUTE(SUBSTITUTE(IF(K121="","NONE",K121),"_","-"),"|","-"),"_SZ|",(VLOOKUP(L121,Dictionary!$Y:$Z,1,0)),"_AD|",(VLOOKUP(M121,Dictionary!$AB:$AC,2,0)),"_IT|",(VLOOKUP(N121,Dictionary!$BC:$BD,2,0)),IF(O121="","",CONCATENATE("_U1|",SUBSTITUTE(SUBSTITUTE(O121,"_","-"),"|","-"))),IF(P121="","",CONCATENATE("_U2|",SUBSTITUTE(SUBSTITUTE(P121,"_","-"),"|","-"))),IF(Q121="","",CONCATENATE("_U3|",SUBSTITUTE(SUBSTITUTE(Q121,"_","-"),"|","-")))))</f>
        <v>MK|BR_CH|PMD_DT|CROSS_PB|VER_FM|BAN_RT|CPM_PD|DOTZ-ZERO-CONVERSAO-AZUL_TG|NON_ST|NON_TS|NONE_SZ|320x50_AD|CM1_IT|OO</v>
      </c>
    </row>
    <row r="122" ht="15.75" customHeight="1">
      <c r="A122" s="33"/>
      <c r="B122" s="14" t="s">
        <v>15</v>
      </c>
      <c r="C122" s="14" t="s">
        <v>106</v>
      </c>
      <c r="D122" s="62" t="s">
        <v>43</v>
      </c>
      <c r="E122" s="14" t="s">
        <v>69</v>
      </c>
      <c r="F122" s="14" t="s">
        <v>63</v>
      </c>
      <c r="G122" s="62" t="s">
        <v>71</v>
      </c>
      <c r="H122" s="51" t="s">
        <v>112</v>
      </c>
      <c r="I122" s="62" t="s">
        <v>17</v>
      </c>
      <c r="J122" s="62" t="s">
        <v>17</v>
      </c>
      <c r="K122" s="33"/>
      <c r="L122" s="14" t="s">
        <v>108</v>
      </c>
      <c r="M122" s="31" t="s">
        <v>59</v>
      </c>
      <c r="N122" s="31" t="s">
        <v>74</v>
      </c>
      <c r="O122" s="31"/>
      <c r="P122" s="32"/>
      <c r="Q122" s="32"/>
      <c r="R122" s="67" t="str">
        <f>IF(K122="----","#N/A",CONCATENATE("MK|",(VLOOKUP(B122,Dictionary!$A:$B,2,0)),"_CH|",(VLOOKUP(C122,Dictionary!$AV:$AW,2,0)),"_DT|",(VLOOKUP(D122,Dictionary!$P:$Q,2,0)),"_PB|",(VLOOKUP(E122,Dictionary!$G:$H,2,0)),"_FM|",(VLOOKUP(F122,Dictionary!$S:$T,2,0)),"_RT|",(VLOOKUP(G122,Dictionary!$V:$W,2,0)),"_PD|",SUBSTITUTE(SUBSTITUTE(IF(H122="","NONE",H122),"_","-"),"|","-"),"_TG|",(VLOOKUP(I122,Dictionary!$J:$K,2,0)),"_ST|",(VLOOKUP(J122,Dictionary!$M:$N,2,0)),"_TS|",SUBSTITUTE(SUBSTITUTE(IF(K122="","NONE",K122),"_","-"),"|","-"),"_SZ|",(VLOOKUP(L122,Dictionary!$Y:$Z,1,0)),"_AD|",(VLOOKUP(M122,Dictionary!$AB:$AC,2,0)),"_IT|",(VLOOKUP(N122,Dictionary!$BC:$BD,2,0)),IF(O122="","",CONCATENATE("_U1|",SUBSTITUTE(SUBSTITUTE(O122,"_","-"),"|","-"))),IF(P122="","",CONCATENATE("_U2|",SUBSTITUTE(SUBSTITUTE(P122,"_","-"),"|","-"))),IF(Q122="","",CONCATENATE("_U3|",SUBSTITUTE(SUBSTITUTE(Q122,"_","-"),"|","-")))))</f>
        <v>MK|BR_CH|PMD_DT|CROSS_PB|VER_FM|BAN_RT|CPM_PD|DOTZ-ZERO-CONVERSAO-AZUL_TG|NON_ST|NON_TS|NONE_SZ|320x100_AD|CM1_IT|OO</v>
      </c>
    </row>
    <row r="123" ht="15.75" customHeight="1">
      <c r="A123" s="33"/>
      <c r="B123" s="14" t="s">
        <v>15</v>
      </c>
      <c r="C123" s="14" t="s">
        <v>61</v>
      </c>
      <c r="D123" s="62" t="s">
        <v>43</v>
      </c>
      <c r="E123" s="14" t="s">
        <v>69</v>
      </c>
      <c r="F123" s="14" t="s">
        <v>63</v>
      </c>
      <c r="G123" s="62" t="s">
        <v>71</v>
      </c>
      <c r="H123" s="51" t="s">
        <v>112</v>
      </c>
      <c r="I123" s="62" t="s">
        <v>17</v>
      </c>
      <c r="J123" s="62" t="s">
        <v>17</v>
      </c>
      <c r="K123" s="33"/>
      <c r="L123" s="14" t="s">
        <v>109</v>
      </c>
      <c r="M123" s="31" t="s">
        <v>59</v>
      </c>
      <c r="N123" s="31" t="s">
        <v>74</v>
      </c>
      <c r="O123" s="31"/>
      <c r="P123" s="32"/>
      <c r="Q123" s="32"/>
      <c r="R123" s="67" t="str">
        <f>IF(K123="----","#N/A",CONCATENATE("MK|",(VLOOKUP(B123,Dictionary!$A:$B,2,0)),"_CH|",(VLOOKUP(C123,Dictionary!$AV:$AW,2,0)),"_DT|",(VLOOKUP(D123,Dictionary!$P:$Q,2,0)),"_PB|",(VLOOKUP(E123,Dictionary!$G:$H,2,0)),"_FM|",(VLOOKUP(F123,Dictionary!$S:$T,2,0)),"_RT|",(VLOOKUP(G123,Dictionary!$V:$W,2,0)),"_PD|",SUBSTITUTE(SUBSTITUTE(IF(H123="","NONE",H123),"_","-"),"|","-"),"_TG|",(VLOOKUP(I123,Dictionary!$J:$K,2,0)),"_ST|",(VLOOKUP(J123,Dictionary!$M:$N,2,0)),"_TS|",SUBSTITUTE(SUBSTITUTE(IF(K123="","NONE",K123),"_","-"),"|","-"),"_SZ|",(VLOOKUP(L123,Dictionary!$Y:$Z,1,0)),"_AD|",(VLOOKUP(M123,Dictionary!$AB:$AC,2,0)),"_IT|",(VLOOKUP(N123,Dictionary!$BC:$BD,2,0)),IF(O123="","",CONCATENATE("_U1|",SUBSTITUTE(SUBSTITUTE(O123,"_","-"),"|","-"))),IF(P123="","",CONCATENATE("_U2|",SUBSTITUTE(SUBSTITUTE(P123,"_","-"),"|","-"))),IF(Q123="","",CONCATENATE("_U3|",SUBSTITUTE(SUBSTITUTE(Q123,"_","-"),"|","-")))))</f>
        <v>MK|BR_CH|PD_DT|CROSS_PB|VER_FM|BAN_RT|CPM_PD|DOTZ-ZERO-CONVERSAO-AZUL_TG|NON_ST|NON_TS|NONE_SZ|728x90_AD|CM1_IT|OO</v>
      </c>
    </row>
    <row r="124" ht="15.75" customHeight="1">
      <c r="A124" s="33"/>
      <c r="B124" s="14" t="s">
        <v>15</v>
      </c>
      <c r="C124" s="14" t="s">
        <v>61</v>
      </c>
      <c r="D124" s="62" t="s">
        <v>43</v>
      </c>
      <c r="E124" s="14" t="s">
        <v>69</v>
      </c>
      <c r="F124" s="14" t="s">
        <v>70</v>
      </c>
      <c r="G124" s="64" t="s">
        <v>46</v>
      </c>
      <c r="H124" s="51" t="s">
        <v>112</v>
      </c>
      <c r="I124" s="62" t="s">
        <v>17</v>
      </c>
      <c r="J124" s="62" t="s">
        <v>17</v>
      </c>
      <c r="K124" s="33"/>
      <c r="L124" s="14" t="s">
        <v>113</v>
      </c>
      <c r="M124" s="31" t="s">
        <v>59</v>
      </c>
      <c r="N124" s="31" t="s">
        <v>74</v>
      </c>
      <c r="O124" s="31"/>
      <c r="P124" s="32"/>
      <c r="Q124" s="32"/>
      <c r="R124" s="67" t="str">
        <f>IF(K124="----","#N/A",CONCATENATE("MK|",(VLOOKUP(B124,Dictionary!$A:$B,2,0)),"_CH|",(VLOOKUP(C124,Dictionary!$AV:$AW,2,0)),"_DT|",(VLOOKUP(D124,Dictionary!$P:$Q,2,0)),"_PB|",(VLOOKUP(E124,Dictionary!$G:$H,2,0)),"_FM|",(VLOOKUP(F124,Dictionary!$S:$T,2,0)),"_RT|",(VLOOKUP(G124,Dictionary!$V:$W,2,0)),"_PD|",SUBSTITUTE(SUBSTITUTE(IF(H124="","NONE",H124),"_","-"),"|","-"),"_TG|",(VLOOKUP(I124,Dictionary!$J:$K,2,0)),"_ST|",(VLOOKUP(J124,Dictionary!$M:$N,2,0)),"_TS|",SUBSTITUTE(SUBSTITUTE(IF(K124="","NONE",K124),"_","-"),"|","-"),"_SZ|",(VLOOKUP(L124,Dictionary!$Y:$Z,1,0)),"_AD|",(VLOOKUP(M124,Dictionary!$AB:$AC,2,0)),"_IT|",(VLOOKUP(N124,Dictionary!$BC:$BD,2,0)),IF(O124="","",CONCATENATE("_U1|",SUBSTITUTE(SUBSTITUTE(O124,"_","-"),"|","-"))),IF(P124="","",CONCATENATE("_U2|",SUBSTITUTE(SUBSTITUTE(P124,"_","-"),"|","-"))),IF(Q124="","",CONCATENATE("_U3|",SUBSTITUTE(SUBSTITUTE(Q124,"_","-"),"|","-")))))</f>
        <v>MK|BR_CH|PD_DT|CROSS_PB|VER_FM|NAT_RT|CPC_PD|DOTZ-ZERO-CONVERSAO-AZUL_TG|NON_ST|NON_TS|NONE_SZ|1200x627_AD|CM1_IT|OO</v>
      </c>
    </row>
    <row r="125" ht="15.75" customHeight="1">
      <c r="A125" s="33"/>
      <c r="B125" s="14" t="s">
        <v>15</v>
      </c>
      <c r="C125" s="14" t="s">
        <v>61</v>
      </c>
      <c r="D125" s="62" t="s">
        <v>43</v>
      </c>
      <c r="E125" s="14" t="s">
        <v>69</v>
      </c>
      <c r="F125" s="14" t="s">
        <v>70</v>
      </c>
      <c r="G125" s="64" t="s">
        <v>46</v>
      </c>
      <c r="H125" s="51" t="s">
        <v>112</v>
      </c>
      <c r="I125" s="62" t="s">
        <v>17</v>
      </c>
      <c r="J125" s="62" t="s">
        <v>17</v>
      </c>
      <c r="K125" s="33"/>
      <c r="L125" s="14" t="s">
        <v>73</v>
      </c>
      <c r="M125" s="31" t="s">
        <v>59</v>
      </c>
      <c r="N125" s="31" t="s">
        <v>74</v>
      </c>
      <c r="O125" s="31"/>
      <c r="P125" s="32"/>
      <c r="Q125" s="32"/>
      <c r="R125" s="67" t="str">
        <f>IF(K125="----","#N/A",CONCATENATE("MK|",(VLOOKUP(B125,Dictionary!$A:$B,2,0)),"_CH|",(VLOOKUP(C125,Dictionary!$AV:$AW,2,0)),"_DT|",(VLOOKUP(D125,Dictionary!$P:$Q,2,0)),"_PB|",(VLOOKUP(E125,Dictionary!$G:$H,2,0)),"_FM|",(VLOOKUP(F125,Dictionary!$S:$T,2,0)),"_RT|",(VLOOKUP(G125,Dictionary!$V:$W,2,0)),"_PD|",SUBSTITUTE(SUBSTITUTE(IF(H125="","NONE",H125),"_","-"),"|","-"),"_TG|",(VLOOKUP(I125,Dictionary!$J:$K,2,0)),"_ST|",(VLOOKUP(J125,Dictionary!$M:$N,2,0)),"_TS|",SUBSTITUTE(SUBSTITUTE(IF(K125="","NONE",K125),"_","-"),"|","-"),"_SZ|",(VLOOKUP(L125,Dictionary!$Y:$Z,1,0)),"_AD|",(VLOOKUP(M125,Dictionary!$AB:$AC,2,0)),"_IT|",(VLOOKUP(N125,Dictionary!$BC:$BD,2,0)),IF(O125="","",CONCATENATE("_U1|",SUBSTITUTE(SUBSTITUTE(O125,"_","-"),"|","-"))),IF(P125="","",CONCATENATE("_U2|",SUBSTITUTE(SUBSTITUTE(P125,"_","-"),"|","-"))),IF(Q125="","",CONCATENATE("_U3|",SUBSTITUTE(SUBSTITUTE(Q125,"_","-"),"|","-")))))</f>
        <v>MK|BR_CH|PD_DT|CROSS_PB|VER_FM|NAT_RT|CPC_PD|DOTZ-ZERO-CONVERSAO-AZUL_TG|NON_ST|NON_TS|NONE_SZ|627x627_AD|CM1_IT|OO</v>
      </c>
    </row>
    <row r="126" ht="15.75" customHeight="1">
      <c r="A126" s="33"/>
      <c r="B126" s="14" t="s">
        <v>15</v>
      </c>
      <c r="C126" s="14" t="s">
        <v>61</v>
      </c>
      <c r="D126" s="62" t="s">
        <v>43</v>
      </c>
      <c r="E126" s="14" t="s">
        <v>69</v>
      </c>
      <c r="F126" s="14" t="s">
        <v>70</v>
      </c>
      <c r="G126" s="64" t="s">
        <v>46</v>
      </c>
      <c r="H126" s="51" t="s">
        <v>111</v>
      </c>
      <c r="I126" s="62" t="s">
        <v>17</v>
      </c>
      <c r="J126" s="62" t="s">
        <v>17</v>
      </c>
      <c r="K126" s="33"/>
      <c r="L126" s="14" t="s">
        <v>113</v>
      </c>
      <c r="M126" s="31" t="s">
        <v>59</v>
      </c>
      <c r="N126" s="31" t="s">
        <v>74</v>
      </c>
      <c r="O126" s="31"/>
      <c r="P126" s="32"/>
      <c r="Q126" s="32"/>
      <c r="R126" s="67" t="str">
        <f>IF(K126="----","#N/A",CONCATENATE("MK|",(VLOOKUP(B126,Dictionary!$A:$B,2,0)),"_CH|",(VLOOKUP(C126,Dictionary!$AV:$AW,2,0)),"_DT|",(VLOOKUP(D126,Dictionary!$P:$Q,2,0)),"_PB|",(VLOOKUP(E126,Dictionary!$G:$H,2,0)),"_FM|",(VLOOKUP(F126,Dictionary!$S:$T,2,0)),"_RT|",(VLOOKUP(G126,Dictionary!$V:$W,2,0)),"_PD|",SUBSTITUTE(SUBSTITUTE(IF(H126="","NONE",H126),"_","-"),"|","-"),"_TG|",(VLOOKUP(I126,Dictionary!$J:$K,2,0)),"_ST|",(VLOOKUP(J126,Dictionary!$M:$N,2,0)),"_TS|",SUBSTITUTE(SUBSTITUTE(IF(K126="","NONE",K126),"_","-"),"|","-"),"_SZ|",(VLOOKUP(L126,Dictionary!$Y:$Z,1,0)),"_AD|",(VLOOKUP(M126,Dictionary!$AB:$AC,2,0)),"_IT|",(VLOOKUP(N126,Dictionary!$BC:$BD,2,0)),IF(O126="","",CONCATENATE("_U1|",SUBSTITUTE(SUBSTITUTE(O126,"_","-"),"|","-"))),IF(P126="","",CONCATENATE("_U2|",SUBSTITUTE(SUBSTITUTE(P126,"_","-"),"|","-"))),IF(Q126="","",CONCATENATE("_U3|",SUBSTITUTE(SUBSTITUTE(Q126,"_","-"),"|","-")))))</f>
        <v>MK|BR_CH|PD_DT|CROSS_PB|VER_FM|NAT_RT|CPC_PD|DOTZ-ZERO-ANUIDADE-HUMANIZADO_TG|NON_ST|NON_TS|NONE_SZ|1200x627_AD|CM1_IT|OO</v>
      </c>
    </row>
    <row r="127" ht="15.75" customHeight="1">
      <c r="A127" s="33"/>
      <c r="B127" s="14" t="s">
        <v>15</v>
      </c>
      <c r="C127" s="14" t="s">
        <v>61</v>
      </c>
      <c r="D127" s="62" t="s">
        <v>43</v>
      </c>
      <c r="E127" s="14" t="s">
        <v>69</v>
      </c>
      <c r="F127" s="14" t="s">
        <v>70</v>
      </c>
      <c r="G127" s="64" t="s">
        <v>46</v>
      </c>
      <c r="H127" s="51" t="s">
        <v>111</v>
      </c>
      <c r="I127" s="62" t="s">
        <v>17</v>
      </c>
      <c r="J127" s="62" t="s">
        <v>17</v>
      </c>
      <c r="K127" s="33"/>
      <c r="L127" s="14" t="s">
        <v>73</v>
      </c>
      <c r="M127" s="31" t="s">
        <v>59</v>
      </c>
      <c r="N127" s="31" t="s">
        <v>74</v>
      </c>
      <c r="O127" s="31"/>
      <c r="P127" s="32"/>
      <c r="Q127" s="32"/>
      <c r="R127" s="67" t="str">
        <f>IF(K127="----","#N/A",CONCATENATE("MK|",(VLOOKUP(B127,Dictionary!$A:$B,2,0)),"_CH|",(VLOOKUP(C127,Dictionary!$AV:$AW,2,0)),"_DT|",(VLOOKUP(D127,Dictionary!$P:$Q,2,0)),"_PB|",(VLOOKUP(E127,Dictionary!$G:$H,2,0)),"_FM|",(VLOOKUP(F127,Dictionary!$S:$T,2,0)),"_RT|",(VLOOKUP(G127,Dictionary!$V:$W,2,0)),"_PD|",SUBSTITUTE(SUBSTITUTE(IF(H127="","NONE",H127),"_","-"),"|","-"),"_TG|",(VLOOKUP(I127,Dictionary!$J:$K,2,0)),"_ST|",(VLOOKUP(J127,Dictionary!$M:$N,2,0)),"_TS|",SUBSTITUTE(SUBSTITUTE(IF(K127="","NONE",K127),"_","-"),"|","-"),"_SZ|",(VLOOKUP(L127,Dictionary!$Y:$Z,1,0)),"_AD|",(VLOOKUP(M127,Dictionary!$AB:$AC,2,0)),"_IT|",(VLOOKUP(N127,Dictionary!$BC:$BD,2,0)),IF(O127="","",CONCATENATE("_U1|",SUBSTITUTE(SUBSTITUTE(O127,"_","-"),"|","-"))),IF(P127="","",CONCATENATE("_U2|",SUBSTITUTE(SUBSTITUTE(P127,"_","-"),"|","-"))),IF(Q127="","",CONCATENATE("_U3|",SUBSTITUTE(SUBSTITUTE(Q127,"_","-"),"|","-")))))</f>
        <v>MK|BR_CH|PD_DT|CROSS_PB|VER_FM|NAT_RT|CPC_PD|DOTZ-ZERO-ANUIDADE-HUMANIZADO_TG|NON_ST|NON_TS|NONE_SZ|627x627_AD|CM1_IT|OO</v>
      </c>
    </row>
    <row r="128" ht="15.75" customHeight="1">
      <c r="A128" s="33"/>
      <c r="B128" s="14" t="s">
        <v>15</v>
      </c>
      <c r="C128" s="14" t="s">
        <v>61</v>
      </c>
      <c r="D128" s="62" t="s">
        <v>43</v>
      </c>
      <c r="E128" s="14" t="s">
        <v>69</v>
      </c>
      <c r="F128" s="14" t="s">
        <v>70</v>
      </c>
      <c r="G128" s="64" t="s">
        <v>46</v>
      </c>
      <c r="H128" s="51" t="s">
        <v>110</v>
      </c>
      <c r="I128" s="62" t="s">
        <v>17</v>
      </c>
      <c r="J128" s="62" t="s">
        <v>17</v>
      </c>
      <c r="K128" s="33"/>
      <c r="L128" s="14" t="s">
        <v>113</v>
      </c>
      <c r="M128" s="31" t="s">
        <v>59</v>
      </c>
      <c r="N128" s="31" t="s">
        <v>74</v>
      </c>
      <c r="O128" s="31"/>
      <c r="P128" s="32"/>
      <c r="Q128" s="32"/>
      <c r="R128" s="67" t="str">
        <f>IF(K128="----","#N/A",CONCATENATE("MK|",(VLOOKUP(B128,Dictionary!$A:$B,2,0)),"_CH|",(VLOOKUP(C128,Dictionary!$AV:$AW,2,0)),"_DT|",(VLOOKUP(D128,Dictionary!$P:$Q,2,0)),"_PB|",(VLOOKUP(E128,Dictionary!$G:$H,2,0)),"_FM|",(VLOOKUP(F128,Dictionary!$S:$T,2,0)),"_RT|",(VLOOKUP(G128,Dictionary!$V:$W,2,0)),"_PD|",SUBSTITUTE(SUBSTITUTE(IF(H128="","NONE",H128),"_","-"),"|","-"),"_TG|",(VLOOKUP(I128,Dictionary!$J:$K,2,0)),"_ST|",(VLOOKUP(J128,Dictionary!$M:$N,2,0)),"_TS|",SUBSTITUTE(SUBSTITUTE(IF(K128="","NONE",K128),"_","-"),"|","-"),"_SZ|",(VLOOKUP(L128,Dictionary!$Y:$Z,1,0)),"_AD|",(VLOOKUP(M128,Dictionary!$AB:$AC,2,0)),"_IT|",(VLOOKUP(N128,Dictionary!$BC:$BD,2,0)),IF(O128="","",CONCATENATE("_U1|",SUBSTITUTE(SUBSTITUTE(O128,"_","-"),"|","-"))),IF(P128="","",CONCATENATE("_U2|",SUBSTITUTE(SUBSTITUTE(P128,"_","-"),"|","-"))),IF(Q128="","",CONCATENATE("_U3|",SUBSTITUTE(SUBSTITUTE(Q128,"_","-"),"|","-")))))</f>
        <v>MK|BR_CH|PD_DT|CROSS_PB|VER_FM|NAT_RT|CPC_PD|DOTZ-10MIL-HUMANIZADO_TG|NON_ST|NON_TS|NONE_SZ|1200x627_AD|CM1_IT|OO</v>
      </c>
    </row>
    <row r="129" ht="15.75" customHeight="1">
      <c r="A129" s="33"/>
      <c r="B129" s="14" t="s">
        <v>15</v>
      </c>
      <c r="C129" s="14" t="s">
        <v>61</v>
      </c>
      <c r="D129" s="62" t="s">
        <v>43</v>
      </c>
      <c r="E129" s="14" t="s">
        <v>69</v>
      </c>
      <c r="F129" s="14" t="s">
        <v>70</v>
      </c>
      <c r="G129" s="64" t="s">
        <v>46</v>
      </c>
      <c r="H129" s="51" t="s">
        <v>110</v>
      </c>
      <c r="I129" s="62" t="s">
        <v>17</v>
      </c>
      <c r="J129" s="62" t="s">
        <v>17</v>
      </c>
      <c r="K129" s="33"/>
      <c r="L129" s="14" t="s">
        <v>73</v>
      </c>
      <c r="M129" s="31" t="s">
        <v>59</v>
      </c>
      <c r="N129" s="31" t="s">
        <v>74</v>
      </c>
      <c r="O129" s="31"/>
      <c r="P129" s="32"/>
      <c r="Q129" s="32"/>
      <c r="R129" s="67" t="str">
        <f>IF(K129="----","#N/A",CONCATENATE("MK|",(VLOOKUP(B129,Dictionary!$A:$B,2,0)),"_CH|",(VLOOKUP(C129,Dictionary!$AV:$AW,2,0)),"_DT|",(VLOOKUP(D129,Dictionary!$P:$Q,2,0)),"_PB|",(VLOOKUP(E129,Dictionary!$G:$H,2,0)),"_FM|",(VLOOKUP(F129,Dictionary!$S:$T,2,0)),"_RT|",(VLOOKUP(G129,Dictionary!$V:$W,2,0)),"_PD|",SUBSTITUTE(SUBSTITUTE(IF(H129="","NONE",H129),"_","-"),"|","-"),"_TG|",(VLOOKUP(I129,Dictionary!$J:$K,2,0)),"_ST|",(VLOOKUP(J129,Dictionary!$M:$N,2,0)),"_TS|",SUBSTITUTE(SUBSTITUTE(IF(K129="","NONE",K129),"_","-"),"|","-"),"_SZ|",(VLOOKUP(L129,Dictionary!$Y:$Z,1,0)),"_AD|",(VLOOKUP(M129,Dictionary!$AB:$AC,2,0)),"_IT|",(VLOOKUP(N129,Dictionary!$BC:$BD,2,0)),IF(O129="","",CONCATENATE("_U1|",SUBSTITUTE(SUBSTITUTE(O129,"_","-"),"|","-"))),IF(P129="","",CONCATENATE("_U2|",SUBSTITUTE(SUBSTITUTE(P129,"_","-"),"|","-"))),IF(Q129="","",CONCATENATE("_U3|",SUBSTITUTE(SUBSTITUTE(Q129,"_","-"),"|","-")))))</f>
        <v>MK|BR_CH|PD_DT|CROSS_PB|VER_FM|NAT_RT|CPC_PD|DOTZ-10MIL-HUMANIZADO_TG|NON_ST|NON_TS|NONE_SZ|627x627_AD|CM1_IT|OO</v>
      </c>
    </row>
    <row r="130" ht="15.75" customHeight="1">
      <c r="A130" s="33"/>
      <c r="B130" s="14" t="s">
        <v>15</v>
      </c>
      <c r="C130" s="14" t="s">
        <v>51</v>
      </c>
      <c r="D130" s="62" t="s">
        <v>43</v>
      </c>
      <c r="E130" s="14" t="s">
        <v>52</v>
      </c>
      <c r="F130" s="14" t="s">
        <v>76</v>
      </c>
      <c r="G130" s="62" t="s">
        <v>71</v>
      </c>
      <c r="H130" s="14" t="s">
        <v>114</v>
      </c>
      <c r="I130" s="62" t="s">
        <v>17</v>
      </c>
      <c r="J130" s="62" t="s">
        <v>17</v>
      </c>
      <c r="K130" s="33"/>
      <c r="L130" s="14" t="s">
        <v>58</v>
      </c>
      <c r="M130" s="31" t="s">
        <v>59</v>
      </c>
      <c r="N130" s="31" t="s">
        <v>60</v>
      </c>
      <c r="O130" s="32"/>
      <c r="P130" s="32"/>
      <c r="Q130" s="32"/>
      <c r="R130" s="67" t="str">
        <f>IF(K130="----","#N/A",CONCATENATE("MK|",(VLOOKUP(B130,Dictionary!$A:$B,2,0)),"_CH|",(VLOOKUP(C130,Dictionary!$AV:$AW,2,0)),"_DT|",(VLOOKUP(D130,Dictionary!$P:$Q,2,0)),"_PB|",(VLOOKUP(E130,Dictionary!$G:$H,2,0)),"_FM|",(VLOOKUP(F130,Dictionary!$S:$T,2,0)),"_RT|",(VLOOKUP(G130,Dictionary!$V:$W,2,0)),"_PD|",SUBSTITUTE(SUBSTITUTE(IF(H130="","NONE",H130),"_","-"),"|","-"),"_TG|",(VLOOKUP(I130,Dictionary!$J:$K,2,0)),"_ST|",(VLOOKUP(J130,Dictionary!$M:$N,2,0)),"_TS|",SUBSTITUTE(SUBSTITUTE(IF(K130="","NONE",K130),"_","-"),"|","-"),"_SZ|",(VLOOKUP(L130,Dictionary!$Y:$Z,1,0)),"_AD|",(VLOOKUP(M130,Dictionary!$AB:$AC,2,0)),"_IT|",(VLOOKUP(N130,Dictionary!$BC:$BD,2,0)),IF(O130="","",CONCATENATE("_U1|",SUBSTITUTE(SUBSTITUTE(O130,"_","-"),"|","-"))),IF(P130="","",CONCATENATE("_U2|",SUBSTITUTE(SUBSTITUTE(P130,"_","-"),"|","-"))),IF(Q130="","",CONCATENATE("_U3|",SUBSTITUTE(SUBSTITUTE(Q130,"_","-"),"|","-")))))</f>
        <v>MK|BR_CH|PSD_DT|CROSS_PB|FCBK_FM|LNK_RT|CPM_PD|DOTZ-DOLAR_TG|NON_ST|NON_TS|NONE_SZ|1X1_AD|CM1_IT|SOC</v>
      </c>
    </row>
    <row r="131" ht="15.75" customHeight="1">
      <c r="A131" s="33"/>
      <c r="B131" s="14" t="s">
        <v>15</v>
      </c>
      <c r="C131" s="14" t="s">
        <v>51</v>
      </c>
      <c r="D131" s="62" t="s">
        <v>43</v>
      </c>
      <c r="E131" s="14" t="s">
        <v>52</v>
      </c>
      <c r="F131" s="14" t="s">
        <v>81</v>
      </c>
      <c r="G131" s="62" t="s">
        <v>71</v>
      </c>
      <c r="H131" s="14" t="s">
        <v>114</v>
      </c>
      <c r="I131" s="62" t="s">
        <v>17</v>
      </c>
      <c r="J131" s="62" t="s">
        <v>17</v>
      </c>
      <c r="K131" s="33"/>
      <c r="L131" s="14" t="s">
        <v>58</v>
      </c>
      <c r="M131" s="31" t="s">
        <v>59</v>
      </c>
      <c r="N131" s="31" t="s">
        <v>60</v>
      </c>
      <c r="O131" s="32"/>
      <c r="P131" s="32"/>
      <c r="Q131" s="32"/>
      <c r="R131" s="67" t="str">
        <f>IF(K131="----","#N/A",CONCATENATE("MK|",(VLOOKUP(B131,Dictionary!$A:$B,2,0)),"_CH|",(VLOOKUP(C131,Dictionary!$AV:$AW,2,0)),"_DT|",(VLOOKUP(D131,Dictionary!$P:$Q,2,0)),"_PB|",(VLOOKUP(E131,Dictionary!$G:$H,2,0)),"_FM|",(VLOOKUP(F131,Dictionary!$S:$T,2,0)),"_RT|",(VLOOKUP(G131,Dictionary!$V:$W,2,0)),"_PD|",SUBSTITUTE(SUBSTITUTE(IF(H131="","NONE",H131),"_","-"),"|","-"),"_TG|",(VLOOKUP(I131,Dictionary!$J:$K,2,0)),"_ST|",(VLOOKUP(J131,Dictionary!$M:$N,2,0)),"_TS|",SUBSTITUTE(SUBSTITUTE(IF(K131="","NONE",K131),"_","-"),"|","-"),"_SZ|",(VLOOKUP(L131,Dictionary!$Y:$Z,1,0)),"_AD|",(VLOOKUP(M131,Dictionary!$AB:$AC,2,0)),"_IT|",(VLOOKUP(N131,Dictionary!$BC:$BD,2,0)),IF(O131="","",CONCATENATE("_U1|",SUBSTITUTE(SUBSTITUTE(O131,"_","-"),"|","-"))),IF(P131="","",CONCATENATE("_U2|",SUBSTITUTE(SUBSTITUTE(P131,"_","-"),"|","-"))),IF(Q131="","",CONCATENATE("_U3|",SUBSTITUTE(SUBSTITUTE(Q131,"_","-"),"|","-")))))</f>
        <v>MK|BR_CH|PSD_DT|CROSS_PB|FCBK_FM|STRY_RT|CPM_PD|DOTZ-DOLAR_TG|NON_ST|NON_TS|NONE_SZ|1X1_AD|CM1_IT|SOC</v>
      </c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2"/>
      <c r="N132" s="32"/>
      <c r="O132" s="32"/>
      <c r="P132" s="32"/>
      <c r="Q132" s="32"/>
      <c r="R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2"/>
      <c r="N133" s="32"/>
      <c r="O133" s="32"/>
      <c r="P133" s="32"/>
      <c r="Q133" s="32"/>
      <c r="R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2"/>
      <c r="N134" s="32"/>
      <c r="O134" s="32"/>
      <c r="P134" s="32"/>
      <c r="Q134" s="32"/>
      <c r="R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2"/>
      <c r="N135" s="32"/>
      <c r="O135" s="32"/>
      <c r="P135" s="32"/>
      <c r="Q135" s="32"/>
      <c r="R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2"/>
      <c r="N136" s="32"/>
      <c r="O136" s="32"/>
      <c r="P136" s="32"/>
      <c r="Q136" s="32"/>
      <c r="R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2"/>
      <c r="N137" s="32"/>
      <c r="O137" s="32"/>
      <c r="P137" s="32"/>
      <c r="Q137" s="32"/>
      <c r="R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2"/>
      <c r="N138" s="32"/>
      <c r="O138" s="32"/>
      <c r="P138" s="32"/>
      <c r="Q138" s="32"/>
      <c r="R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2"/>
      <c r="N139" s="32"/>
      <c r="O139" s="32"/>
      <c r="P139" s="32"/>
      <c r="Q139" s="32"/>
      <c r="R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2"/>
      <c r="N140" s="32"/>
      <c r="O140" s="32"/>
      <c r="P140" s="32"/>
      <c r="Q140" s="32"/>
      <c r="R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2"/>
      <c r="N141" s="32"/>
      <c r="O141" s="32"/>
      <c r="P141" s="32"/>
      <c r="Q141" s="32"/>
      <c r="R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2"/>
      <c r="N142" s="32"/>
      <c r="O142" s="32"/>
      <c r="P142" s="32"/>
      <c r="Q142" s="32"/>
      <c r="R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2"/>
      <c r="N143" s="32"/>
      <c r="O143" s="32"/>
      <c r="P143" s="32"/>
      <c r="Q143" s="32"/>
      <c r="R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2"/>
      <c r="N144" s="32"/>
      <c r="O144" s="32"/>
      <c r="P144" s="32"/>
      <c r="Q144" s="32"/>
      <c r="R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2"/>
      <c r="N145" s="32"/>
      <c r="O145" s="32"/>
      <c r="P145" s="32"/>
      <c r="Q145" s="32"/>
      <c r="R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2"/>
      <c r="N146" s="32"/>
      <c r="O146" s="32"/>
      <c r="P146" s="32"/>
      <c r="Q146" s="32"/>
      <c r="R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2"/>
      <c r="N147" s="32"/>
      <c r="O147" s="32"/>
      <c r="P147" s="32"/>
      <c r="Q147" s="32"/>
      <c r="R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2"/>
      <c r="N148" s="32"/>
      <c r="O148" s="32"/>
      <c r="P148" s="32"/>
      <c r="Q148" s="32"/>
      <c r="R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2"/>
      <c r="N149" s="32"/>
      <c r="O149" s="32"/>
      <c r="P149" s="32"/>
      <c r="Q149" s="32"/>
      <c r="R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2"/>
      <c r="N150" s="32"/>
      <c r="O150" s="32"/>
      <c r="P150" s="32"/>
      <c r="Q150" s="32"/>
      <c r="R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2"/>
      <c r="N151" s="32"/>
      <c r="O151" s="32"/>
      <c r="P151" s="32"/>
      <c r="Q151" s="32"/>
      <c r="R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2"/>
      <c r="N152" s="32"/>
      <c r="O152" s="32"/>
      <c r="P152" s="32"/>
      <c r="Q152" s="32"/>
      <c r="R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2"/>
      <c r="N153" s="32"/>
      <c r="O153" s="32"/>
      <c r="P153" s="32"/>
      <c r="Q153" s="32"/>
      <c r="R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2"/>
      <c r="N154" s="32"/>
      <c r="O154" s="32"/>
      <c r="P154" s="32"/>
      <c r="Q154" s="32"/>
      <c r="R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2"/>
      <c r="N155" s="32"/>
      <c r="O155" s="32"/>
      <c r="P155" s="32"/>
      <c r="Q155" s="32"/>
      <c r="R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2"/>
      <c r="N156" s="32"/>
      <c r="O156" s="32"/>
      <c r="P156" s="32"/>
      <c r="Q156" s="32"/>
      <c r="R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2"/>
      <c r="N157" s="32"/>
      <c r="O157" s="32"/>
      <c r="P157" s="32"/>
      <c r="Q157" s="32"/>
      <c r="R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2"/>
      <c r="N158" s="32"/>
      <c r="O158" s="32"/>
      <c r="P158" s="32"/>
      <c r="Q158" s="32"/>
      <c r="R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2"/>
      <c r="N159" s="32"/>
      <c r="O159" s="32"/>
      <c r="P159" s="32"/>
      <c r="Q159" s="32"/>
      <c r="R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2"/>
      <c r="N160" s="32"/>
      <c r="O160" s="32"/>
      <c r="P160" s="32"/>
      <c r="Q160" s="32"/>
      <c r="R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2"/>
      <c r="O161" s="32"/>
      <c r="P161" s="32"/>
      <c r="Q161" s="32"/>
      <c r="R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2"/>
      <c r="O162" s="32"/>
      <c r="P162" s="32"/>
      <c r="Q162" s="32"/>
      <c r="R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2"/>
      <c r="O163" s="32"/>
      <c r="P163" s="32"/>
      <c r="Q163" s="32"/>
      <c r="R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2"/>
      <c r="O164" s="32"/>
      <c r="P164" s="32"/>
      <c r="Q164" s="32"/>
      <c r="R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2"/>
      <c r="O165" s="32"/>
      <c r="P165" s="32"/>
      <c r="Q165" s="32"/>
      <c r="R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2"/>
      <c r="O166" s="32"/>
      <c r="P166" s="32"/>
      <c r="Q166" s="32"/>
      <c r="R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2"/>
      <c r="O167" s="32"/>
      <c r="P167" s="32"/>
      <c r="Q167" s="32"/>
      <c r="R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2"/>
      <c r="O168" s="32"/>
      <c r="P168" s="32"/>
      <c r="Q168" s="32"/>
      <c r="R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2"/>
      <c r="O169" s="32"/>
      <c r="P169" s="32"/>
      <c r="Q169" s="32"/>
      <c r="R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2"/>
      <c r="O170" s="32"/>
      <c r="P170" s="32"/>
      <c r="Q170" s="32"/>
      <c r="R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2"/>
      <c r="O171" s="32"/>
      <c r="P171" s="32"/>
      <c r="Q171" s="32"/>
      <c r="R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2"/>
      <c r="O172" s="32"/>
      <c r="P172" s="32"/>
      <c r="Q172" s="32"/>
      <c r="R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2"/>
      <c r="O173" s="32"/>
      <c r="P173" s="32"/>
      <c r="Q173" s="32"/>
      <c r="R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2"/>
      <c r="O174" s="32"/>
      <c r="P174" s="32"/>
      <c r="Q174" s="32"/>
      <c r="R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2"/>
      <c r="O175" s="32"/>
      <c r="P175" s="32"/>
      <c r="Q175" s="32"/>
      <c r="R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2"/>
      <c r="O176" s="32"/>
      <c r="P176" s="32"/>
      <c r="Q176" s="32"/>
      <c r="R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2"/>
      <c r="O177" s="32"/>
      <c r="P177" s="32"/>
      <c r="Q177" s="32"/>
      <c r="R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2"/>
      <c r="O178" s="32"/>
      <c r="P178" s="32"/>
      <c r="Q178" s="32"/>
      <c r="R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2"/>
      <c r="O179" s="32"/>
      <c r="P179" s="32"/>
      <c r="Q179" s="32"/>
      <c r="R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2"/>
      <c r="O180" s="32"/>
      <c r="P180" s="32"/>
      <c r="Q180" s="32"/>
      <c r="R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2"/>
      <c r="O181" s="32"/>
      <c r="P181" s="32"/>
      <c r="Q181" s="32"/>
      <c r="R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2"/>
      <c r="O182" s="32"/>
      <c r="P182" s="32"/>
      <c r="Q182" s="32"/>
      <c r="R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2"/>
      <c r="O183" s="32"/>
      <c r="P183" s="32"/>
      <c r="Q183" s="32"/>
      <c r="R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2"/>
      <c r="O184" s="32"/>
      <c r="P184" s="32"/>
      <c r="Q184" s="32"/>
      <c r="R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2"/>
      <c r="O185" s="32"/>
      <c r="P185" s="32"/>
      <c r="Q185" s="32"/>
      <c r="R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2"/>
      <c r="O186" s="32"/>
      <c r="P186" s="32"/>
      <c r="Q186" s="32"/>
      <c r="R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2"/>
      <c r="O187" s="32"/>
      <c r="P187" s="32"/>
      <c r="Q187" s="32"/>
      <c r="R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2"/>
      <c r="O188" s="32"/>
      <c r="P188" s="32"/>
      <c r="Q188" s="32"/>
      <c r="R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2"/>
      <c r="O189" s="32"/>
      <c r="P189" s="32"/>
      <c r="Q189" s="32"/>
      <c r="R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2"/>
      <c r="O190" s="32"/>
      <c r="P190" s="32"/>
      <c r="Q190" s="32"/>
      <c r="R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2"/>
      <c r="O191" s="32"/>
      <c r="P191" s="32"/>
      <c r="Q191" s="32"/>
      <c r="R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2"/>
      <c r="O192" s="32"/>
      <c r="P192" s="32"/>
      <c r="Q192" s="32"/>
      <c r="R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2"/>
      <c r="O193" s="32"/>
      <c r="P193" s="32"/>
      <c r="Q193" s="32"/>
      <c r="R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2"/>
      <c r="O194" s="32"/>
      <c r="P194" s="32"/>
      <c r="Q194" s="32"/>
      <c r="R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2"/>
      <c r="O195" s="32"/>
      <c r="P195" s="32"/>
      <c r="Q195" s="32"/>
      <c r="R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2"/>
      <c r="O196" s="32"/>
      <c r="P196" s="32"/>
      <c r="Q196" s="32"/>
      <c r="R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2"/>
      <c r="O197" s="32"/>
      <c r="P197" s="32"/>
      <c r="Q197" s="32"/>
      <c r="R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2"/>
      <c r="O198" s="32"/>
      <c r="P198" s="32"/>
      <c r="Q198" s="32"/>
      <c r="R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2"/>
      <c r="O199" s="32"/>
      <c r="P199" s="32"/>
      <c r="Q199" s="32"/>
      <c r="R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2"/>
      <c r="O200" s="32"/>
      <c r="P200" s="32"/>
      <c r="Q200" s="32"/>
      <c r="R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2"/>
      <c r="O201" s="32"/>
      <c r="P201" s="32"/>
      <c r="Q201" s="32"/>
      <c r="R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2"/>
      <c r="O202" s="32"/>
      <c r="P202" s="32"/>
      <c r="Q202" s="32"/>
      <c r="R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2"/>
      <c r="O203" s="32"/>
      <c r="P203" s="32"/>
      <c r="Q203" s="32"/>
      <c r="R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2"/>
      <c r="O204" s="32"/>
      <c r="P204" s="32"/>
      <c r="Q204" s="32"/>
      <c r="R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2"/>
      <c r="O205" s="32"/>
      <c r="P205" s="32"/>
      <c r="Q205" s="32"/>
      <c r="R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2"/>
      <c r="O206" s="32"/>
      <c r="P206" s="32"/>
      <c r="Q206" s="32"/>
      <c r="R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2"/>
      <c r="O207" s="32"/>
      <c r="P207" s="32"/>
      <c r="Q207" s="32"/>
      <c r="R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2"/>
      <c r="O208" s="32"/>
      <c r="P208" s="32"/>
      <c r="Q208" s="32"/>
      <c r="R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2"/>
      <c r="O209" s="32"/>
      <c r="P209" s="32"/>
      <c r="Q209" s="32"/>
      <c r="R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2"/>
      <c r="O210" s="32"/>
      <c r="P210" s="32"/>
      <c r="Q210" s="32"/>
      <c r="R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2"/>
      <c r="O211" s="32"/>
      <c r="P211" s="32"/>
      <c r="Q211" s="32"/>
      <c r="R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2"/>
      <c r="O212" s="32"/>
      <c r="P212" s="32"/>
      <c r="Q212" s="32"/>
      <c r="R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2"/>
      <c r="O213" s="32"/>
      <c r="P213" s="32"/>
      <c r="Q213" s="32"/>
      <c r="R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2"/>
      <c r="O214" s="32"/>
      <c r="P214" s="32"/>
      <c r="Q214" s="32"/>
      <c r="R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2"/>
      <c r="O215" s="32"/>
      <c r="P215" s="32"/>
      <c r="Q215" s="32"/>
      <c r="R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2"/>
      <c r="O216" s="32"/>
      <c r="P216" s="32"/>
      <c r="Q216" s="32"/>
      <c r="R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2"/>
      <c r="O217" s="32"/>
      <c r="P217" s="32"/>
      <c r="Q217" s="32"/>
      <c r="R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2"/>
      <c r="O218" s="32"/>
      <c r="P218" s="32"/>
      <c r="Q218" s="32"/>
      <c r="R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2"/>
      <c r="O219" s="32"/>
      <c r="P219" s="32"/>
      <c r="Q219" s="32"/>
      <c r="R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2"/>
      <c r="O220" s="32"/>
      <c r="P220" s="32"/>
      <c r="Q220" s="32"/>
      <c r="R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2"/>
      <c r="O221" s="32"/>
      <c r="P221" s="32"/>
      <c r="Q221" s="32"/>
      <c r="R221" s="33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3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3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3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3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3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3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3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3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3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3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3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3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3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3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3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3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3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3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3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3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3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3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3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3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3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3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3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3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3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3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3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3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3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3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3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3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3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3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3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3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3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3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3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3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3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3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3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3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3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3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3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3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3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3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3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3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3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3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3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3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3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3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3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3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3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3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3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3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3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3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3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3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3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3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3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3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3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3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3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3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3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3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3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3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3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3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3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3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3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3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3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3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3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3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3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3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3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3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3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3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3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3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3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3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3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3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3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3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3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3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3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3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3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3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3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3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3" t="str">
        <f>IF(K338="----","#N/A",CONCATENATE("MK|",(VLOOKUP(B338,Dictionary!$A:$B,2,0)),"_CH|",(VLOOKUP(C338,Dictionary!$AV:$AW,2,0)),"_DT|",(VLOOKUP(D338,Dictionary!$P:$Q,2,0)),"_PB|",(VLOOKUP(E338,Dictionary!$G:$H,2,0)),"_FM|",(VLOOKUP(F338,Dictionary!$S:$T,2,0)),"_RT|",(VLOOKUP(G338,Dictionary!$V:$W,2,0)),"_PD|",SUBSTITUTE(SUBSTITUTE(IF(H338="","NONE",H338),"_","-"),"|","-"),"_TG|",(VLOOKUP(I338,Dictionary!$J:$K,2,0)),"_ST|",(VLOOKUP(J338,Dictionary!$M:$N,2,0)),"_TS|",SUBSTITUTE(SUBSTITUTE(IF(K338="","NONE",K338),"_","-"),"|","-"),"_SZ|",(VLOOKUP(L338,Dictionary!$Y:$Z,1,0)),"_AD|",(VLOOKUP(M338,Dictionary!$AB:$AC,2,0)),"_IT|",(VLOOKUP(N338,Dictionary!$BC:$BD,2,0)),IF(O338="","",CONCATENATE("_U1|",SUBSTITUTE(SUBSTITUTE(O338,"_","-"),"|","-"))),IF(P338="","",CONCATENATE("_U2|",SUBSTITUTE(SUBSTITUTE(P338,"_","-"),"|","-"))),IF(Q338="","",CONCATENATE("_U3|",SUBSTITUTE(SUBSTITUTE(Q338,"_","-"),"|","-")))))</f>
        <v>#N/A</v>
      </c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3" t="str">
        <f>IF(K339="----","#N/A",CONCATENATE("MK|",(VLOOKUP(B339,Dictionary!$A:$B,2,0)),"_CH|",(VLOOKUP(C339,Dictionary!$AV:$AW,2,0)),"_DT|",(VLOOKUP(D339,Dictionary!$P:$Q,2,0)),"_PB|",(VLOOKUP(E339,Dictionary!$G:$H,2,0)),"_FM|",(VLOOKUP(F339,Dictionary!$S:$T,2,0)),"_RT|",(VLOOKUP(G339,Dictionary!$V:$W,2,0)),"_PD|",SUBSTITUTE(SUBSTITUTE(IF(H339="","NONE",H339),"_","-"),"|","-"),"_TG|",(VLOOKUP(I339,Dictionary!$J:$K,2,0)),"_ST|",(VLOOKUP(J339,Dictionary!$M:$N,2,0)),"_TS|",SUBSTITUTE(SUBSTITUTE(IF(K339="","NONE",K339),"_","-"),"|","-"),"_SZ|",(VLOOKUP(L339,Dictionary!$Y:$Z,1,0)),"_AD|",(VLOOKUP(M339,Dictionary!$AB:$AC,2,0)),"_IT|",(VLOOKUP(N339,Dictionary!$BC:$BD,2,0)),IF(O339="","",CONCATENATE("_U1|",SUBSTITUTE(SUBSTITUTE(O339,"_","-"),"|","-"))),IF(P339="","",CONCATENATE("_U2|",SUBSTITUTE(SUBSTITUTE(P339,"_","-"),"|","-"))),IF(Q339="","",CONCATENATE("_U3|",SUBSTITUTE(SUBSTITUTE(Q339,"_","-"),"|","-")))))</f>
        <v>#N/A</v>
      </c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3" t="str">
        <f>IF(K340="----","#N/A",CONCATENATE("MK|",(VLOOKUP(B340,Dictionary!$A:$B,2,0)),"_CH|",(VLOOKUP(C340,Dictionary!$AV:$AW,2,0)),"_DT|",(VLOOKUP(D340,Dictionary!$P:$Q,2,0)),"_PB|",(VLOOKUP(E340,Dictionary!$G:$H,2,0)),"_FM|",(VLOOKUP(F340,Dictionary!$S:$T,2,0)),"_RT|",(VLOOKUP(G340,Dictionary!$V:$W,2,0)),"_PD|",SUBSTITUTE(SUBSTITUTE(IF(H340="","NONE",H340),"_","-"),"|","-"),"_TG|",(VLOOKUP(I340,Dictionary!$J:$K,2,0)),"_ST|",(VLOOKUP(J340,Dictionary!$M:$N,2,0)),"_TS|",SUBSTITUTE(SUBSTITUTE(IF(K340="","NONE",K340),"_","-"),"|","-"),"_SZ|",(VLOOKUP(L340,Dictionary!$Y:$Z,1,0)),"_AD|",(VLOOKUP(M340,Dictionary!$AB:$AC,2,0)),"_IT|",(VLOOKUP(N340,Dictionary!$BC:$BD,2,0)),IF(O340="","",CONCATENATE("_U1|",SUBSTITUTE(SUBSTITUTE(O340,"_","-"),"|","-"))),IF(P340="","",CONCATENATE("_U2|",SUBSTITUTE(SUBSTITUTE(P340,"_","-"),"|","-"))),IF(Q340="","",CONCATENATE("_U3|",SUBSTITUTE(SUBSTITUTE(Q340,"_","-"),"|","-")))))</f>
        <v>#N/A</v>
      </c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3" t="str">
        <f>IF(K341="----","#N/A",CONCATENATE("MK|",(VLOOKUP(B341,Dictionary!$A:$B,2,0)),"_CH|",(VLOOKUP(C341,Dictionary!$AV:$AW,2,0)),"_DT|",(VLOOKUP(D341,Dictionary!$P:$Q,2,0)),"_PB|",(VLOOKUP(E341,Dictionary!$G:$H,2,0)),"_FM|",(VLOOKUP(F341,Dictionary!$S:$T,2,0)),"_RT|",(VLOOKUP(G341,Dictionary!$V:$W,2,0)),"_PD|",SUBSTITUTE(SUBSTITUTE(IF(H341="","NONE",H341),"_","-"),"|","-"),"_TG|",(VLOOKUP(I341,Dictionary!$J:$K,2,0)),"_ST|",(VLOOKUP(J341,Dictionary!$M:$N,2,0)),"_TS|",SUBSTITUTE(SUBSTITUTE(IF(K341="","NONE",K341),"_","-"),"|","-"),"_SZ|",(VLOOKUP(L341,Dictionary!$Y:$Z,1,0)),"_AD|",(VLOOKUP(M341,Dictionary!$AB:$AC,2,0)),"_IT|",(VLOOKUP(N341,Dictionary!$BC:$BD,2,0)),IF(O341="","",CONCATENATE("_U1|",SUBSTITUTE(SUBSTITUTE(O341,"_","-"),"|","-"))),IF(P341="","",CONCATENATE("_U2|",SUBSTITUTE(SUBSTITUTE(P341,"_","-"),"|","-"))),IF(Q341="","",CONCATENATE("_U3|",SUBSTITUTE(SUBSTITUTE(Q341,"_","-"),"|","-")))))</f>
        <v>#N/A</v>
      </c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3" t="str">
        <f>IF(K342="----","#N/A",CONCATENATE("MK|",(VLOOKUP(B342,Dictionary!$A:$B,2,0)),"_CH|",(VLOOKUP(C342,Dictionary!$AV:$AW,2,0)),"_DT|",(VLOOKUP(D342,Dictionary!$P:$Q,2,0)),"_PB|",(VLOOKUP(E342,Dictionary!$G:$H,2,0)),"_FM|",(VLOOKUP(F342,Dictionary!$S:$T,2,0)),"_RT|",(VLOOKUP(G342,Dictionary!$V:$W,2,0)),"_PD|",SUBSTITUTE(SUBSTITUTE(IF(H342="","NONE",H342),"_","-"),"|","-"),"_TG|",(VLOOKUP(I342,Dictionary!$J:$K,2,0)),"_ST|",(VLOOKUP(J342,Dictionary!$M:$N,2,0)),"_TS|",SUBSTITUTE(SUBSTITUTE(IF(K342="","NONE",K342),"_","-"),"|","-"),"_SZ|",(VLOOKUP(L342,Dictionary!$Y:$Z,1,0)),"_AD|",(VLOOKUP(M342,Dictionary!$AB:$AC,2,0)),"_IT|",(VLOOKUP(N342,Dictionary!$BC:$BD,2,0)),IF(O342="","",CONCATENATE("_U1|",SUBSTITUTE(SUBSTITUTE(O342,"_","-"),"|","-"))),IF(P342="","",CONCATENATE("_U2|",SUBSTITUTE(SUBSTITUTE(P342,"_","-"),"|","-"))),IF(Q342="","",CONCATENATE("_U3|",SUBSTITUTE(SUBSTITUTE(Q342,"_","-"),"|","-")))))</f>
        <v>#N/A</v>
      </c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3" t="str">
        <f>IF(K343="----","#N/A",CONCATENATE("MK|",(VLOOKUP(B343,Dictionary!$A:$B,2,0)),"_CH|",(VLOOKUP(C343,Dictionary!$AV:$AW,2,0)),"_DT|",(VLOOKUP(D343,Dictionary!$P:$Q,2,0)),"_PB|",(VLOOKUP(E343,Dictionary!$G:$H,2,0)),"_FM|",(VLOOKUP(F343,Dictionary!$S:$T,2,0)),"_RT|",(VLOOKUP(G343,Dictionary!$V:$W,2,0)),"_PD|",SUBSTITUTE(SUBSTITUTE(IF(H343="","NONE",H343),"_","-"),"|","-"),"_TG|",(VLOOKUP(I343,Dictionary!$J:$K,2,0)),"_ST|",(VLOOKUP(J343,Dictionary!$M:$N,2,0)),"_TS|",SUBSTITUTE(SUBSTITUTE(IF(K343="","NONE",K343),"_","-"),"|","-"),"_SZ|",(VLOOKUP(L343,Dictionary!$Y:$Z,1,0)),"_AD|",(VLOOKUP(M343,Dictionary!$AB:$AC,2,0)),"_IT|",(VLOOKUP(N343,Dictionary!$BC:$BD,2,0)),IF(O343="","",CONCATENATE("_U1|",SUBSTITUTE(SUBSTITUTE(O343,"_","-"),"|","-"))),IF(P343="","",CONCATENATE("_U2|",SUBSTITUTE(SUBSTITUTE(P343,"_","-"),"|","-"))),IF(Q343="","",CONCATENATE("_U3|",SUBSTITUTE(SUBSTITUTE(Q343,"_","-"),"|","-")))))</f>
        <v>#N/A</v>
      </c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3" t="str">
        <f>IF(K344="----","#N/A",CONCATENATE("MK|",(VLOOKUP(B344,Dictionary!$A:$B,2,0)),"_CH|",(VLOOKUP(C344,Dictionary!$AV:$AW,2,0)),"_DT|",(VLOOKUP(D344,Dictionary!$P:$Q,2,0)),"_PB|",(VLOOKUP(E344,Dictionary!$G:$H,2,0)),"_FM|",(VLOOKUP(F344,Dictionary!$S:$T,2,0)),"_RT|",(VLOOKUP(G344,Dictionary!$V:$W,2,0)),"_PD|",SUBSTITUTE(SUBSTITUTE(IF(H344="","NONE",H344),"_","-"),"|","-"),"_TG|",(VLOOKUP(I344,Dictionary!$J:$K,2,0)),"_ST|",(VLOOKUP(J344,Dictionary!$M:$N,2,0)),"_TS|",SUBSTITUTE(SUBSTITUTE(IF(K344="","NONE",K344),"_","-"),"|","-"),"_SZ|",(VLOOKUP(L344,Dictionary!$Y:$Z,1,0)),"_AD|",(VLOOKUP(M344,Dictionary!$AB:$AC,2,0)),"_IT|",(VLOOKUP(N344,Dictionary!$BC:$BD,2,0)),IF(O344="","",CONCATENATE("_U1|",SUBSTITUTE(SUBSTITUTE(O344,"_","-"),"|","-"))),IF(P344="","",CONCATENATE("_U2|",SUBSTITUTE(SUBSTITUTE(P344,"_","-"),"|","-"))),IF(Q344="","",CONCATENATE("_U3|",SUBSTITUTE(SUBSTITUTE(Q344,"_","-"),"|","-")))))</f>
        <v>#N/A</v>
      </c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3" t="str">
        <f>IF(K345="----","#N/A",CONCATENATE("MK|",(VLOOKUP(B345,Dictionary!$A:$B,2,0)),"_CH|",(VLOOKUP(C345,Dictionary!$AV:$AW,2,0)),"_DT|",(VLOOKUP(D345,Dictionary!$P:$Q,2,0)),"_PB|",(VLOOKUP(E345,Dictionary!$G:$H,2,0)),"_FM|",(VLOOKUP(F345,Dictionary!$S:$T,2,0)),"_RT|",(VLOOKUP(G345,Dictionary!$V:$W,2,0)),"_PD|",SUBSTITUTE(SUBSTITUTE(IF(H345="","NONE",H345),"_","-"),"|","-"),"_TG|",(VLOOKUP(I345,Dictionary!$J:$K,2,0)),"_ST|",(VLOOKUP(J345,Dictionary!$M:$N,2,0)),"_TS|",SUBSTITUTE(SUBSTITUTE(IF(K345="","NONE",K345),"_","-"),"|","-"),"_SZ|",(VLOOKUP(L345,Dictionary!$Y:$Z,1,0)),"_AD|",(VLOOKUP(M345,Dictionary!$AB:$AC,2,0)),"_IT|",(VLOOKUP(N345,Dictionary!$BC:$BD,2,0)),IF(O345="","",CONCATENATE("_U1|",SUBSTITUTE(SUBSTITUTE(O345,"_","-"),"|","-"))),IF(P345="","",CONCATENATE("_U2|",SUBSTITUTE(SUBSTITUTE(P345,"_","-"),"|","-"))),IF(Q345="","",CONCATENATE("_U3|",SUBSTITUTE(SUBSTITUTE(Q345,"_","-"),"|","-")))))</f>
        <v>#N/A</v>
      </c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3" t="str">
        <f>IF(K346="----","#N/A",CONCATENATE("MK|",(VLOOKUP(B346,Dictionary!$A:$B,2,0)),"_CH|",(VLOOKUP(C346,Dictionary!$AV:$AW,2,0)),"_DT|",(VLOOKUP(D346,Dictionary!$P:$Q,2,0)),"_PB|",(VLOOKUP(E346,Dictionary!$G:$H,2,0)),"_FM|",(VLOOKUP(F346,Dictionary!$S:$T,2,0)),"_RT|",(VLOOKUP(G346,Dictionary!$V:$W,2,0)),"_PD|",SUBSTITUTE(SUBSTITUTE(IF(H346="","NONE",H346),"_","-"),"|","-"),"_TG|",(VLOOKUP(I346,Dictionary!$J:$K,2,0)),"_ST|",(VLOOKUP(J346,Dictionary!$M:$N,2,0)),"_TS|",SUBSTITUTE(SUBSTITUTE(IF(K346="","NONE",K346),"_","-"),"|","-"),"_SZ|",(VLOOKUP(L346,Dictionary!$Y:$Z,1,0)),"_AD|",(VLOOKUP(M346,Dictionary!$AB:$AC,2,0)),"_IT|",(VLOOKUP(N346,Dictionary!$BC:$BD,2,0)),IF(O346="","",CONCATENATE("_U1|",SUBSTITUTE(SUBSTITUTE(O346,"_","-"),"|","-"))),IF(P346="","",CONCATENATE("_U2|",SUBSTITUTE(SUBSTITUTE(P346,"_","-"),"|","-"))),IF(Q346="","",CONCATENATE("_U3|",SUBSTITUTE(SUBSTITUTE(Q346,"_","-"),"|","-")))))</f>
        <v>#N/A</v>
      </c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3" t="str">
        <f>IF(K347="----","#N/A",CONCATENATE("MK|",(VLOOKUP(B347,Dictionary!$A:$B,2,0)),"_CH|",(VLOOKUP(C347,Dictionary!$AV:$AW,2,0)),"_DT|",(VLOOKUP(D347,Dictionary!$P:$Q,2,0)),"_PB|",(VLOOKUP(E347,Dictionary!$G:$H,2,0)),"_FM|",(VLOOKUP(F347,Dictionary!$S:$T,2,0)),"_RT|",(VLOOKUP(G347,Dictionary!$V:$W,2,0)),"_PD|",SUBSTITUTE(SUBSTITUTE(IF(H347="","NONE",H347),"_","-"),"|","-"),"_TG|",(VLOOKUP(I347,Dictionary!$J:$K,2,0)),"_ST|",(VLOOKUP(J347,Dictionary!$M:$N,2,0)),"_TS|",SUBSTITUTE(SUBSTITUTE(IF(K347="","NONE",K347),"_","-"),"|","-"),"_SZ|",(VLOOKUP(L347,Dictionary!$Y:$Z,1,0)),"_AD|",(VLOOKUP(M347,Dictionary!$AB:$AC,2,0)),"_IT|",(VLOOKUP(N347,Dictionary!$BC:$BD,2,0)),IF(O347="","",CONCATENATE("_U1|",SUBSTITUTE(SUBSTITUTE(O347,"_","-"),"|","-"))),IF(P347="","",CONCATENATE("_U2|",SUBSTITUTE(SUBSTITUTE(P347,"_","-"),"|","-"))),IF(Q347="","",CONCATENATE("_U3|",SUBSTITUTE(SUBSTITUTE(Q347,"_","-"),"|","-")))))</f>
        <v>#N/A</v>
      </c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3" t="str">
        <f>IF(K348="----","#N/A",CONCATENATE("MK|",(VLOOKUP(B348,Dictionary!$A:$B,2,0)),"_CH|",(VLOOKUP(C348,Dictionary!$AV:$AW,2,0)),"_DT|",(VLOOKUP(D348,Dictionary!$P:$Q,2,0)),"_PB|",(VLOOKUP(E348,Dictionary!$G:$H,2,0)),"_FM|",(VLOOKUP(F348,Dictionary!$S:$T,2,0)),"_RT|",(VLOOKUP(G348,Dictionary!$V:$W,2,0)),"_PD|",SUBSTITUTE(SUBSTITUTE(IF(H348="","NONE",H348),"_","-"),"|","-"),"_TG|",(VLOOKUP(I348,Dictionary!$J:$K,2,0)),"_ST|",(VLOOKUP(J348,Dictionary!$M:$N,2,0)),"_TS|",SUBSTITUTE(SUBSTITUTE(IF(K348="","NONE",K348),"_","-"),"|","-"),"_SZ|",(VLOOKUP(L348,Dictionary!$Y:$Z,1,0)),"_AD|",(VLOOKUP(M348,Dictionary!$AB:$AC,2,0)),"_IT|",(VLOOKUP(N348,Dictionary!$BC:$BD,2,0)),IF(O348="","",CONCATENATE("_U1|",SUBSTITUTE(SUBSTITUTE(O348,"_","-"),"|","-"))),IF(P348="","",CONCATENATE("_U2|",SUBSTITUTE(SUBSTITUTE(P348,"_","-"),"|","-"))),IF(Q348="","",CONCATENATE("_U3|",SUBSTITUTE(SUBSTITUTE(Q348,"_","-"),"|","-")))))</f>
        <v>#N/A</v>
      </c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3" t="str">
        <f>IF(K349="----","#N/A",CONCATENATE("MK|",(VLOOKUP(B349,Dictionary!$A:$B,2,0)),"_CH|",(VLOOKUP(C349,Dictionary!$AV:$AW,2,0)),"_DT|",(VLOOKUP(D349,Dictionary!$P:$Q,2,0)),"_PB|",(VLOOKUP(E349,Dictionary!$G:$H,2,0)),"_FM|",(VLOOKUP(F349,Dictionary!$S:$T,2,0)),"_RT|",(VLOOKUP(G349,Dictionary!$V:$W,2,0)),"_PD|",SUBSTITUTE(SUBSTITUTE(IF(H349="","NONE",H349),"_","-"),"|","-"),"_TG|",(VLOOKUP(I349,Dictionary!$J:$K,2,0)),"_ST|",(VLOOKUP(J349,Dictionary!$M:$N,2,0)),"_TS|",SUBSTITUTE(SUBSTITUTE(IF(K349="","NONE",K349),"_","-"),"|","-"),"_SZ|",(VLOOKUP(L349,Dictionary!$Y:$Z,1,0)),"_AD|",(VLOOKUP(M349,Dictionary!$AB:$AC,2,0)),"_IT|",(VLOOKUP(N349,Dictionary!$BC:$BD,2,0)),IF(O349="","",CONCATENATE("_U1|",SUBSTITUTE(SUBSTITUTE(O349,"_","-"),"|","-"))),IF(P349="","",CONCATENATE("_U2|",SUBSTITUTE(SUBSTITUTE(P349,"_","-"),"|","-"))),IF(Q349="","",CONCATENATE("_U3|",SUBSTITUTE(SUBSTITUTE(Q349,"_","-"),"|","-")))))</f>
        <v>#N/A</v>
      </c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3" t="str">
        <f>IF(K350="----","#N/A",CONCATENATE("MK|",(VLOOKUP(B350,Dictionary!$A:$B,2,0)),"_CH|",(VLOOKUP(C350,Dictionary!$AV:$AW,2,0)),"_DT|",(VLOOKUP(D350,Dictionary!$P:$Q,2,0)),"_PB|",(VLOOKUP(E350,Dictionary!$G:$H,2,0)),"_FM|",(VLOOKUP(F350,Dictionary!$S:$T,2,0)),"_RT|",(VLOOKUP(G350,Dictionary!$V:$W,2,0)),"_PD|",SUBSTITUTE(SUBSTITUTE(IF(H350="","NONE",H350),"_","-"),"|","-"),"_TG|",(VLOOKUP(I350,Dictionary!$J:$K,2,0)),"_ST|",(VLOOKUP(J350,Dictionary!$M:$N,2,0)),"_TS|",SUBSTITUTE(SUBSTITUTE(IF(K350="","NONE",K350),"_","-"),"|","-"),"_SZ|",(VLOOKUP(L350,Dictionary!$Y:$Z,1,0)),"_AD|",(VLOOKUP(M350,Dictionary!$AB:$AC,2,0)),"_IT|",(VLOOKUP(N350,Dictionary!$BC:$BD,2,0)),IF(O350="","",CONCATENATE("_U1|",SUBSTITUTE(SUBSTITUTE(O350,"_","-"),"|","-"))),IF(P350="","",CONCATENATE("_U2|",SUBSTITUTE(SUBSTITUTE(P350,"_","-"),"|","-"))),IF(Q350="","",CONCATENATE("_U3|",SUBSTITUTE(SUBSTITUTE(Q350,"_","-"),"|","-")))))</f>
        <v>#N/A</v>
      </c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3" t="str">
        <f>IF(K351="----","#N/A",CONCATENATE("MK|",(VLOOKUP(B351,Dictionary!$A:$B,2,0)),"_CH|",(VLOOKUP(C351,Dictionary!$AV:$AW,2,0)),"_DT|",(VLOOKUP(D351,Dictionary!$P:$Q,2,0)),"_PB|",(VLOOKUP(E351,Dictionary!$G:$H,2,0)),"_FM|",(VLOOKUP(F351,Dictionary!$S:$T,2,0)),"_RT|",(VLOOKUP(G351,Dictionary!$V:$W,2,0)),"_PD|",SUBSTITUTE(SUBSTITUTE(IF(H351="","NONE",H351),"_","-"),"|","-"),"_TG|",(VLOOKUP(I351,Dictionary!$J:$K,2,0)),"_ST|",(VLOOKUP(J351,Dictionary!$M:$N,2,0)),"_TS|",SUBSTITUTE(SUBSTITUTE(IF(K351="","NONE",K351),"_","-"),"|","-"),"_SZ|",(VLOOKUP(L351,Dictionary!$Y:$Z,1,0)),"_AD|",(VLOOKUP(M351,Dictionary!$AB:$AC,2,0)),"_IT|",(VLOOKUP(N351,Dictionary!$BC:$BD,2,0)),IF(O351="","",CONCATENATE("_U1|",SUBSTITUTE(SUBSTITUTE(O351,"_","-"),"|","-"))),IF(P351="","",CONCATENATE("_U2|",SUBSTITUTE(SUBSTITUTE(P351,"_","-"),"|","-"))),IF(Q351="","",CONCATENATE("_U3|",SUBSTITUTE(SUBSTITUTE(Q351,"_","-"),"|","-")))))</f>
        <v>#N/A</v>
      </c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3" t="str">
        <f>IF(K352="----","#N/A",CONCATENATE("MK|",(VLOOKUP(B352,Dictionary!$A:$B,2,0)),"_CH|",(VLOOKUP(C352,Dictionary!$AV:$AW,2,0)),"_DT|",(VLOOKUP(D352,Dictionary!$P:$Q,2,0)),"_PB|",(VLOOKUP(E352,Dictionary!$G:$H,2,0)),"_FM|",(VLOOKUP(F352,Dictionary!$S:$T,2,0)),"_RT|",(VLOOKUP(G352,Dictionary!$V:$W,2,0)),"_PD|",SUBSTITUTE(SUBSTITUTE(IF(H352="","NONE",H352),"_","-"),"|","-"),"_TG|",(VLOOKUP(I352,Dictionary!$J:$K,2,0)),"_ST|",(VLOOKUP(J352,Dictionary!$M:$N,2,0)),"_TS|",SUBSTITUTE(SUBSTITUTE(IF(K352="","NONE",K352),"_","-"),"|","-"),"_SZ|",(VLOOKUP(L352,Dictionary!$Y:$Z,1,0)),"_AD|",(VLOOKUP(M352,Dictionary!$AB:$AC,2,0)),"_IT|",(VLOOKUP(N352,Dictionary!$BC:$BD,2,0)),IF(O352="","",CONCATENATE("_U1|",SUBSTITUTE(SUBSTITUTE(O352,"_","-"),"|","-"))),IF(P352="","",CONCATENATE("_U2|",SUBSTITUTE(SUBSTITUTE(P352,"_","-"),"|","-"))),IF(Q352="","",CONCATENATE("_U3|",SUBSTITUTE(SUBSTITUTE(Q352,"_","-"),"|","-")))))</f>
        <v>#N/A</v>
      </c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3" t="str">
        <f>IF(K353="----","#N/A",CONCATENATE("MK|",(VLOOKUP(B353,Dictionary!$A:$B,2,0)),"_CH|",(VLOOKUP(C353,Dictionary!$AV:$AW,2,0)),"_DT|",(VLOOKUP(D353,Dictionary!$P:$Q,2,0)),"_PB|",(VLOOKUP(E353,Dictionary!$G:$H,2,0)),"_FM|",(VLOOKUP(F353,Dictionary!$S:$T,2,0)),"_RT|",(VLOOKUP(G353,Dictionary!$V:$W,2,0)),"_PD|",SUBSTITUTE(SUBSTITUTE(IF(H353="","NONE",H353),"_","-"),"|","-"),"_TG|",(VLOOKUP(I353,Dictionary!$J:$K,2,0)),"_ST|",(VLOOKUP(J353,Dictionary!$M:$N,2,0)),"_TS|",SUBSTITUTE(SUBSTITUTE(IF(K353="","NONE",K353),"_","-"),"|","-"),"_SZ|",(VLOOKUP(L353,Dictionary!$Y:$Z,1,0)),"_AD|",(VLOOKUP(M353,Dictionary!$AB:$AC,2,0)),"_IT|",(VLOOKUP(N353,Dictionary!$BC:$BD,2,0)),IF(O353="","",CONCATENATE("_U1|",SUBSTITUTE(SUBSTITUTE(O353,"_","-"),"|","-"))),IF(P353="","",CONCATENATE("_U2|",SUBSTITUTE(SUBSTITUTE(P353,"_","-"),"|","-"))),IF(Q353="","",CONCATENATE("_U3|",SUBSTITUTE(SUBSTITUTE(Q353,"_","-"),"|","-")))))</f>
        <v>#N/A</v>
      </c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3" t="str">
        <f>IF(K354="----","#N/A",CONCATENATE("MK|",(VLOOKUP(B354,Dictionary!$A:$B,2,0)),"_CH|",(VLOOKUP(C354,Dictionary!$AV:$AW,2,0)),"_DT|",(VLOOKUP(D354,Dictionary!$P:$Q,2,0)),"_PB|",(VLOOKUP(E354,Dictionary!$G:$H,2,0)),"_FM|",(VLOOKUP(F354,Dictionary!$S:$T,2,0)),"_RT|",(VLOOKUP(G354,Dictionary!$V:$W,2,0)),"_PD|",SUBSTITUTE(SUBSTITUTE(IF(H354="","NONE",H354),"_","-"),"|","-"),"_TG|",(VLOOKUP(I354,Dictionary!$J:$K,2,0)),"_ST|",(VLOOKUP(J354,Dictionary!$M:$N,2,0)),"_TS|",SUBSTITUTE(SUBSTITUTE(IF(K354="","NONE",K354),"_","-"),"|","-"),"_SZ|",(VLOOKUP(L354,Dictionary!$Y:$Z,1,0)),"_AD|",(VLOOKUP(M354,Dictionary!$AB:$AC,2,0)),"_IT|",(VLOOKUP(N354,Dictionary!$BC:$BD,2,0)),IF(O354="","",CONCATENATE("_U1|",SUBSTITUTE(SUBSTITUTE(O354,"_","-"),"|","-"))),IF(P354="","",CONCATENATE("_U2|",SUBSTITUTE(SUBSTITUTE(P354,"_","-"),"|","-"))),IF(Q354="","",CONCATENATE("_U3|",SUBSTITUTE(SUBSTITUTE(Q354,"_","-"),"|","-")))))</f>
        <v>#N/A</v>
      </c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3" t="str">
        <f>IF(K355="----","#N/A",CONCATENATE("MK|",(VLOOKUP(B355,Dictionary!$A:$B,2,0)),"_CH|",(VLOOKUP(C355,Dictionary!$AV:$AW,2,0)),"_DT|",(VLOOKUP(D355,Dictionary!$P:$Q,2,0)),"_PB|",(VLOOKUP(E355,Dictionary!$G:$H,2,0)),"_FM|",(VLOOKUP(F355,Dictionary!$S:$T,2,0)),"_RT|",(VLOOKUP(G355,Dictionary!$V:$W,2,0)),"_PD|",SUBSTITUTE(SUBSTITUTE(IF(H355="","NONE",H355),"_","-"),"|","-"),"_TG|",(VLOOKUP(I355,Dictionary!$J:$K,2,0)),"_ST|",(VLOOKUP(J355,Dictionary!$M:$N,2,0)),"_TS|",SUBSTITUTE(SUBSTITUTE(IF(K355="","NONE",K355),"_","-"),"|","-"),"_SZ|",(VLOOKUP(L355,Dictionary!$Y:$Z,1,0)),"_AD|",(VLOOKUP(M355,Dictionary!$AB:$AC,2,0)),"_IT|",(VLOOKUP(N355,Dictionary!$BC:$BD,2,0)),IF(O355="","",CONCATENATE("_U1|",SUBSTITUTE(SUBSTITUTE(O355,"_","-"),"|","-"))),IF(P355="","",CONCATENATE("_U2|",SUBSTITUTE(SUBSTITUTE(P355,"_","-"),"|","-"))),IF(Q355="","",CONCATENATE("_U3|",SUBSTITUTE(SUBSTITUTE(Q355,"_","-"),"|","-")))))</f>
        <v>#N/A</v>
      </c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3" t="str">
        <f>IF(K356="----","#N/A",CONCATENATE("MK|",(VLOOKUP(B356,Dictionary!$A:$B,2,0)),"_CH|",(VLOOKUP(C356,Dictionary!$AV:$AW,2,0)),"_DT|",(VLOOKUP(D356,Dictionary!$P:$Q,2,0)),"_PB|",(VLOOKUP(E356,Dictionary!$G:$H,2,0)),"_FM|",(VLOOKUP(F356,Dictionary!$S:$T,2,0)),"_RT|",(VLOOKUP(G356,Dictionary!$V:$W,2,0)),"_PD|",SUBSTITUTE(SUBSTITUTE(IF(H356="","NONE",H356),"_","-"),"|","-"),"_TG|",(VLOOKUP(I356,Dictionary!$J:$K,2,0)),"_ST|",(VLOOKUP(J356,Dictionary!$M:$N,2,0)),"_TS|",SUBSTITUTE(SUBSTITUTE(IF(K356="","NONE",K356),"_","-"),"|","-"),"_SZ|",(VLOOKUP(L356,Dictionary!$Y:$Z,1,0)),"_AD|",(VLOOKUP(M356,Dictionary!$AB:$AC,2,0)),"_IT|",(VLOOKUP(N356,Dictionary!$BC:$BD,2,0)),IF(O356="","",CONCATENATE("_U1|",SUBSTITUTE(SUBSTITUTE(O356,"_","-"),"|","-"))),IF(P356="","",CONCATENATE("_U2|",SUBSTITUTE(SUBSTITUTE(P356,"_","-"),"|","-"))),IF(Q356="","",CONCATENATE("_U3|",SUBSTITUTE(SUBSTITUTE(Q356,"_","-"),"|","-")))))</f>
        <v>#N/A</v>
      </c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3" t="str">
        <f>IF(K357="----","#N/A",CONCATENATE("MK|",(VLOOKUP(B357,Dictionary!$A:$B,2,0)),"_CH|",(VLOOKUP(C357,Dictionary!$AV:$AW,2,0)),"_DT|",(VLOOKUP(D357,Dictionary!$P:$Q,2,0)),"_PB|",(VLOOKUP(E357,Dictionary!$G:$H,2,0)),"_FM|",(VLOOKUP(F357,Dictionary!$S:$T,2,0)),"_RT|",(VLOOKUP(G357,Dictionary!$V:$W,2,0)),"_PD|",SUBSTITUTE(SUBSTITUTE(IF(H357="","NONE",H357),"_","-"),"|","-"),"_TG|",(VLOOKUP(I357,Dictionary!$J:$K,2,0)),"_ST|",(VLOOKUP(J357,Dictionary!$M:$N,2,0)),"_TS|",SUBSTITUTE(SUBSTITUTE(IF(K357="","NONE",K357),"_","-"),"|","-"),"_SZ|",(VLOOKUP(L357,Dictionary!$Y:$Z,1,0)),"_AD|",(VLOOKUP(M357,Dictionary!$AB:$AC,2,0)),"_IT|",(VLOOKUP(N357,Dictionary!$BC:$BD,2,0)),IF(O357="","",CONCATENATE("_U1|",SUBSTITUTE(SUBSTITUTE(O357,"_","-"),"|","-"))),IF(P357="","",CONCATENATE("_U2|",SUBSTITUTE(SUBSTITUTE(P357,"_","-"),"|","-"))),IF(Q357="","",CONCATENATE("_U3|",SUBSTITUTE(SUBSTITUTE(Q357,"_","-"),"|","-")))))</f>
        <v>#N/A</v>
      </c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3" t="str">
        <f>IF(K358="----","#N/A",CONCATENATE("MK|",(VLOOKUP(B358,Dictionary!$A:$B,2,0)),"_CH|",(VLOOKUP(C358,Dictionary!$AV:$AW,2,0)),"_DT|",(VLOOKUP(D358,Dictionary!$P:$Q,2,0)),"_PB|",(VLOOKUP(E358,Dictionary!$G:$H,2,0)),"_FM|",(VLOOKUP(F358,Dictionary!$S:$T,2,0)),"_RT|",(VLOOKUP(G358,Dictionary!$V:$W,2,0)),"_PD|",SUBSTITUTE(SUBSTITUTE(IF(H358="","NONE",H358),"_","-"),"|","-"),"_TG|",(VLOOKUP(I358,Dictionary!$J:$K,2,0)),"_ST|",(VLOOKUP(J358,Dictionary!$M:$N,2,0)),"_TS|",SUBSTITUTE(SUBSTITUTE(IF(K358="","NONE",K358),"_","-"),"|","-"),"_SZ|",(VLOOKUP(L358,Dictionary!$Y:$Z,1,0)),"_AD|",(VLOOKUP(M358,Dictionary!$AB:$AC,2,0)),"_IT|",(VLOOKUP(N358,Dictionary!$BC:$BD,2,0)),IF(O358="","",CONCATENATE("_U1|",SUBSTITUTE(SUBSTITUTE(O358,"_","-"),"|","-"))),IF(P358="","",CONCATENATE("_U2|",SUBSTITUTE(SUBSTITUTE(P358,"_","-"),"|","-"))),IF(Q358="","",CONCATENATE("_U3|",SUBSTITUTE(SUBSTITUTE(Q358,"_","-"),"|","-")))))</f>
        <v>#N/A</v>
      </c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3" t="str">
        <f>IF(K359="----","#N/A",CONCATENATE("MK|",(VLOOKUP(B359,Dictionary!$A:$B,2,0)),"_CH|",(VLOOKUP(C359,Dictionary!$AV:$AW,2,0)),"_DT|",(VLOOKUP(D359,Dictionary!$P:$Q,2,0)),"_PB|",(VLOOKUP(E359,Dictionary!$G:$H,2,0)),"_FM|",(VLOOKUP(F359,Dictionary!$S:$T,2,0)),"_RT|",(VLOOKUP(G359,Dictionary!$V:$W,2,0)),"_PD|",SUBSTITUTE(SUBSTITUTE(IF(H359="","NONE",H359),"_","-"),"|","-"),"_TG|",(VLOOKUP(I359,Dictionary!$J:$K,2,0)),"_ST|",(VLOOKUP(J359,Dictionary!$M:$N,2,0)),"_TS|",SUBSTITUTE(SUBSTITUTE(IF(K359="","NONE",K359),"_","-"),"|","-"),"_SZ|",(VLOOKUP(L359,Dictionary!$Y:$Z,1,0)),"_AD|",(VLOOKUP(M359,Dictionary!$AB:$AC,2,0)),"_IT|",(VLOOKUP(N359,Dictionary!$BC:$BD,2,0)),IF(O359="","",CONCATENATE("_U1|",SUBSTITUTE(SUBSTITUTE(O359,"_","-"),"|","-"))),IF(P359="","",CONCATENATE("_U2|",SUBSTITUTE(SUBSTITUTE(P359,"_","-"),"|","-"))),IF(Q359="","",CONCATENATE("_U3|",SUBSTITUTE(SUBSTITUTE(Q359,"_","-"),"|","-")))))</f>
        <v>#N/A</v>
      </c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3" t="str">
        <f>IF(K360="----","#N/A",CONCATENATE("MK|",(VLOOKUP(B360,Dictionary!$A:$B,2,0)),"_CH|",(VLOOKUP(C360,Dictionary!$AV:$AW,2,0)),"_DT|",(VLOOKUP(D360,Dictionary!$P:$Q,2,0)),"_PB|",(VLOOKUP(E360,Dictionary!$G:$H,2,0)),"_FM|",(VLOOKUP(F360,Dictionary!$S:$T,2,0)),"_RT|",(VLOOKUP(G360,Dictionary!$V:$W,2,0)),"_PD|",SUBSTITUTE(SUBSTITUTE(IF(H360="","NONE",H360),"_","-"),"|","-"),"_TG|",(VLOOKUP(I360,Dictionary!$J:$K,2,0)),"_ST|",(VLOOKUP(J360,Dictionary!$M:$N,2,0)),"_TS|",SUBSTITUTE(SUBSTITUTE(IF(K360="","NONE",K360),"_","-"),"|","-"),"_SZ|",(VLOOKUP(L360,Dictionary!$Y:$Z,1,0)),"_AD|",(VLOOKUP(M360,Dictionary!$AB:$AC,2,0)),"_IT|",(VLOOKUP(N360,Dictionary!$BC:$BD,2,0)),IF(O360="","",CONCATENATE("_U1|",SUBSTITUTE(SUBSTITUTE(O360,"_","-"),"|","-"))),IF(P360="","",CONCATENATE("_U2|",SUBSTITUTE(SUBSTITUTE(P360,"_","-"),"|","-"))),IF(Q360="","",CONCATENATE("_U3|",SUBSTITUTE(SUBSTITUTE(Q360,"_","-"),"|","-")))))</f>
        <v>#N/A</v>
      </c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3" t="str">
        <f>IF(K361="----","#N/A",CONCATENATE("MK|",(VLOOKUP(B361,Dictionary!$A:$B,2,0)),"_CH|",(VLOOKUP(C361,Dictionary!$AV:$AW,2,0)),"_DT|",(VLOOKUP(D361,Dictionary!$P:$Q,2,0)),"_PB|",(VLOOKUP(E361,Dictionary!$G:$H,2,0)),"_FM|",(VLOOKUP(F361,Dictionary!$S:$T,2,0)),"_RT|",(VLOOKUP(G361,Dictionary!$V:$W,2,0)),"_PD|",SUBSTITUTE(SUBSTITUTE(IF(H361="","NONE",H361),"_","-"),"|","-"),"_TG|",(VLOOKUP(I361,Dictionary!$J:$K,2,0)),"_ST|",(VLOOKUP(J361,Dictionary!$M:$N,2,0)),"_TS|",SUBSTITUTE(SUBSTITUTE(IF(K361="","NONE",K361),"_","-"),"|","-"),"_SZ|",(VLOOKUP(L361,Dictionary!$Y:$Z,1,0)),"_AD|",(VLOOKUP(M361,Dictionary!$AB:$AC,2,0)),"_IT|",(VLOOKUP(N361,Dictionary!$BC:$BD,2,0)),IF(O361="","",CONCATENATE("_U1|",SUBSTITUTE(SUBSTITUTE(O361,"_","-"),"|","-"))),IF(P361="","",CONCATENATE("_U2|",SUBSTITUTE(SUBSTITUTE(P361,"_","-"),"|","-"))),IF(Q361="","",CONCATENATE("_U3|",SUBSTITUTE(SUBSTITUTE(Q361,"_","-"),"|","-")))))</f>
        <v>#N/A</v>
      </c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3" t="str">
        <f>IF(K362="----","#N/A",CONCATENATE("MK|",(VLOOKUP(B362,Dictionary!$A:$B,2,0)),"_CH|",(VLOOKUP(C362,Dictionary!$AV:$AW,2,0)),"_DT|",(VLOOKUP(D362,Dictionary!$P:$Q,2,0)),"_PB|",(VLOOKUP(E362,Dictionary!$G:$H,2,0)),"_FM|",(VLOOKUP(F362,Dictionary!$S:$T,2,0)),"_RT|",(VLOOKUP(G362,Dictionary!$V:$W,2,0)),"_PD|",SUBSTITUTE(SUBSTITUTE(IF(H362="","NONE",H362),"_","-"),"|","-"),"_TG|",(VLOOKUP(I362,Dictionary!$J:$K,2,0)),"_ST|",(VLOOKUP(J362,Dictionary!$M:$N,2,0)),"_TS|",SUBSTITUTE(SUBSTITUTE(IF(K362="","NONE",K362),"_","-"),"|","-"),"_SZ|",(VLOOKUP(L362,Dictionary!$Y:$Z,1,0)),"_AD|",(VLOOKUP(M362,Dictionary!$AB:$AC,2,0)),"_IT|",(VLOOKUP(N362,Dictionary!$BC:$BD,2,0)),IF(O362="","",CONCATENATE("_U1|",SUBSTITUTE(SUBSTITUTE(O362,"_","-"),"|","-"))),IF(P362="","",CONCATENATE("_U2|",SUBSTITUTE(SUBSTITUTE(P362,"_","-"),"|","-"))),IF(Q362="","",CONCATENATE("_U3|",SUBSTITUTE(SUBSTITUTE(Q362,"_","-"),"|","-")))))</f>
        <v>#N/A</v>
      </c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3" t="str">
        <f>IF(K363="----","#N/A",CONCATENATE("MK|",(VLOOKUP(B363,Dictionary!$A:$B,2,0)),"_CH|",(VLOOKUP(C363,Dictionary!$AV:$AW,2,0)),"_DT|",(VLOOKUP(D363,Dictionary!$P:$Q,2,0)),"_PB|",(VLOOKUP(E363,Dictionary!$G:$H,2,0)),"_FM|",(VLOOKUP(F363,Dictionary!$S:$T,2,0)),"_RT|",(VLOOKUP(G363,Dictionary!$V:$W,2,0)),"_PD|",SUBSTITUTE(SUBSTITUTE(IF(H363="","NONE",H363),"_","-"),"|","-"),"_TG|",(VLOOKUP(I363,Dictionary!$J:$K,2,0)),"_ST|",(VLOOKUP(J363,Dictionary!$M:$N,2,0)),"_TS|",SUBSTITUTE(SUBSTITUTE(IF(K363="","NONE",K363),"_","-"),"|","-"),"_SZ|",(VLOOKUP(L363,Dictionary!$Y:$Z,1,0)),"_AD|",(VLOOKUP(M363,Dictionary!$AB:$AC,2,0)),"_IT|",(VLOOKUP(N363,Dictionary!$BC:$BD,2,0)),IF(O363="","",CONCATENATE("_U1|",SUBSTITUTE(SUBSTITUTE(O363,"_","-"),"|","-"))),IF(P363="","",CONCATENATE("_U2|",SUBSTITUTE(SUBSTITUTE(P363,"_","-"),"|","-"))),IF(Q363="","",CONCATENATE("_U3|",SUBSTITUTE(SUBSTITUTE(Q363,"_","-"),"|","-")))))</f>
        <v>#N/A</v>
      </c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3" t="str">
        <f>IF(K364="----","#N/A",CONCATENATE("MK|",(VLOOKUP(B364,Dictionary!$A:$B,2,0)),"_CH|",(VLOOKUP(C364,Dictionary!$AV:$AW,2,0)),"_DT|",(VLOOKUP(D364,Dictionary!$P:$Q,2,0)),"_PB|",(VLOOKUP(E364,Dictionary!$G:$H,2,0)),"_FM|",(VLOOKUP(F364,Dictionary!$S:$T,2,0)),"_RT|",(VLOOKUP(G364,Dictionary!$V:$W,2,0)),"_PD|",SUBSTITUTE(SUBSTITUTE(IF(H364="","NONE",H364),"_","-"),"|","-"),"_TG|",(VLOOKUP(I364,Dictionary!$J:$K,2,0)),"_ST|",(VLOOKUP(J364,Dictionary!$M:$N,2,0)),"_TS|",SUBSTITUTE(SUBSTITUTE(IF(K364="","NONE",K364),"_","-"),"|","-"),"_SZ|",(VLOOKUP(L364,Dictionary!$Y:$Z,1,0)),"_AD|",(VLOOKUP(M364,Dictionary!$AB:$AC,2,0)),"_IT|",(VLOOKUP(N364,Dictionary!$BC:$BD,2,0)),IF(O364="","",CONCATENATE("_U1|",SUBSTITUTE(SUBSTITUTE(O364,"_","-"),"|","-"))),IF(P364="","",CONCATENATE("_U2|",SUBSTITUTE(SUBSTITUTE(P364,"_","-"),"|","-"))),IF(Q364="","",CONCATENATE("_U3|",SUBSTITUTE(SUBSTITUTE(Q364,"_","-"),"|","-")))))</f>
        <v>#N/A</v>
      </c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3" t="str">
        <f>IF(K365="----","#N/A",CONCATENATE("MK|",(VLOOKUP(B365,Dictionary!$A:$B,2,0)),"_CH|",(VLOOKUP(C365,Dictionary!$AV:$AW,2,0)),"_DT|",(VLOOKUP(D365,Dictionary!$P:$Q,2,0)),"_PB|",(VLOOKUP(E365,Dictionary!$G:$H,2,0)),"_FM|",(VLOOKUP(F365,Dictionary!$S:$T,2,0)),"_RT|",(VLOOKUP(G365,Dictionary!$V:$W,2,0)),"_PD|",SUBSTITUTE(SUBSTITUTE(IF(H365="","NONE",H365),"_","-"),"|","-"),"_TG|",(VLOOKUP(I365,Dictionary!$J:$K,2,0)),"_ST|",(VLOOKUP(J365,Dictionary!$M:$N,2,0)),"_TS|",SUBSTITUTE(SUBSTITUTE(IF(K365="","NONE",K365),"_","-"),"|","-"),"_SZ|",(VLOOKUP(L365,Dictionary!$Y:$Z,1,0)),"_AD|",(VLOOKUP(M365,Dictionary!$AB:$AC,2,0)),"_IT|",(VLOOKUP(N365,Dictionary!$BC:$BD,2,0)),IF(O365="","",CONCATENATE("_U1|",SUBSTITUTE(SUBSTITUTE(O365,"_","-"),"|","-"))),IF(P365="","",CONCATENATE("_U2|",SUBSTITUTE(SUBSTITUTE(P365,"_","-"),"|","-"))),IF(Q365="","",CONCATENATE("_U3|",SUBSTITUTE(SUBSTITUTE(Q365,"_","-"),"|","-")))))</f>
        <v>#N/A</v>
      </c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3" t="str">
        <f>IF(K366="----","#N/A",CONCATENATE("MK|",(VLOOKUP(B366,Dictionary!$A:$B,2,0)),"_CH|",(VLOOKUP(C366,Dictionary!$AV:$AW,2,0)),"_DT|",(VLOOKUP(D366,Dictionary!$P:$Q,2,0)),"_PB|",(VLOOKUP(E366,Dictionary!$G:$H,2,0)),"_FM|",(VLOOKUP(F366,Dictionary!$S:$T,2,0)),"_RT|",(VLOOKUP(G366,Dictionary!$V:$W,2,0)),"_PD|",SUBSTITUTE(SUBSTITUTE(IF(H366="","NONE",H366),"_","-"),"|","-"),"_TG|",(VLOOKUP(I366,Dictionary!$J:$K,2,0)),"_ST|",(VLOOKUP(J366,Dictionary!$M:$N,2,0)),"_TS|",SUBSTITUTE(SUBSTITUTE(IF(K366="","NONE",K366),"_","-"),"|","-"),"_SZ|",(VLOOKUP(L366,Dictionary!$Y:$Z,1,0)),"_AD|",(VLOOKUP(M366,Dictionary!$AB:$AC,2,0)),"_IT|",(VLOOKUP(N366,Dictionary!$BC:$BD,2,0)),IF(O366="","",CONCATENATE("_U1|",SUBSTITUTE(SUBSTITUTE(O366,"_","-"),"|","-"))),IF(P366="","",CONCATENATE("_U2|",SUBSTITUTE(SUBSTITUTE(P366,"_","-"),"|","-"))),IF(Q366="","",CONCATENATE("_U3|",SUBSTITUTE(SUBSTITUTE(Q366,"_","-"),"|","-")))))</f>
        <v>#N/A</v>
      </c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3" t="str">
        <f>IF(K367="----","#N/A",CONCATENATE("MK|",(VLOOKUP(B367,Dictionary!$A:$B,2,0)),"_CH|",(VLOOKUP(C367,Dictionary!$AV:$AW,2,0)),"_DT|",(VLOOKUP(D367,Dictionary!$P:$Q,2,0)),"_PB|",(VLOOKUP(E367,Dictionary!$G:$H,2,0)),"_FM|",(VLOOKUP(F367,Dictionary!$S:$T,2,0)),"_RT|",(VLOOKUP(G367,Dictionary!$V:$W,2,0)),"_PD|",SUBSTITUTE(SUBSTITUTE(IF(H367="","NONE",H367),"_","-"),"|","-"),"_TG|",(VLOOKUP(I367,Dictionary!$J:$K,2,0)),"_ST|",(VLOOKUP(J367,Dictionary!$M:$N,2,0)),"_TS|",SUBSTITUTE(SUBSTITUTE(IF(K367="","NONE",K367),"_","-"),"|","-"),"_SZ|",(VLOOKUP(L367,Dictionary!$Y:$Z,1,0)),"_AD|",(VLOOKUP(M367,Dictionary!$AB:$AC,2,0)),"_IT|",(VLOOKUP(N367,Dictionary!$BC:$BD,2,0)),IF(O367="","",CONCATENATE("_U1|",SUBSTITUTE(SUBSTITUTE(O367,"_","-"),"|","-"))),IF(P367="","",CONCATENATE("_U2|",SUBSTITUTE(SUBSTITUTE(P367,"_","-"),"|","-"))),IF(Q367="","",CONCATENATE("_U3|",SUBSTITUTE(SUBSTITUTE(Q367,"_","-"),"|","-")))))</f>
        <v>#N/A</v>
      </c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3" t="str">
        <f>IF(K368="----","#N/A",CONCATENATE("MK|",(VLOOKUP(B368,Dictionary!$A:$B,2,0)),"_CH|",(VLOOKUP(C368,Dictionary!$AV:$AW,2,0)),"_DT|",(VLOOKUP(D368,Dictionary!$P:$Q,2,0)),"_PB|",(VLOOKUP(E368,Dictionary!$G:$H,2,0)),"_FM|",(VLOOKUP(F368,Dictionary!$S:$T,2,0)),"_RT|",(VLOOKUP(G368,Dictionary!$V:$W,2,0)),"_PD|",SUBSTITUTE(SUBSTITUTE(IF(H368="","NONE",H368),"_","-"),"|","-"),"_TG|",(VLOOKUP(I368,Dictionary!$J:$K,2,0)),"_ST|",(VLOOKUP(J368,Dictionary!$M:$N,2,0)),"_TS|",SUBSTITUTE(SUBSTITUTE(IF(K368="","NONE",K368),"_","-"),"|","-"),"_SZ|",(VLOOKUP(L368,Dictionary!$Y:$Z,1,0)),"_AD|",(VLOOKUP(M368,Dictionary!$AB:$AC,2,0)),"_IT|",(VLOOKUP(N368,Dictionary!$BC:$BD,2,0)),IF(O368="","",CONCATENATE("_U1|",SUBSTITUTE(SUBSTITUTE(O368,"_","-"),"|","-"))),IF(P368="","",CONCATENATE("_U2|",SUBSTITUTE(SUBSTITUTE(P368,"_","-"),"|","-"))),IF(Q368="","",CONCATENATE("_U3|",SUBSTITUTE(SUBSTITUTE(Q368,"_","-"),"|","-")))))</f>
        <v>#N/A</v>
      </c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3" t="str">
        <f>IF(K369="----","#N/A",CONCATENATE("MK|",(VLOOKUP(B369,Dictionary!$A:$B,2,0)),"_CH|",(VLOOKUP(C369,Dictionary!$AV:$AW,2,0)),"_DT|",(VLOOKUP(D369,Dictionary!$P:$Q,2,0)),"_PB|",(VLOOKUP(E369,Dictionary!$G:$H,2,0)),"_FM|",(VLOOKUP(F369,Dictionary!$S:$T,2,0)),"_RT|",(VLOOKUP(G369,Dictionary!$V:$W,2,0)),"_PD|",SUBSTITUTE(SUBSTITUTE(IF(H369="","NONE",H369),"_","-"),"|","-"),"_TG|",(VLOOKUP(I369,Dictionary!$J:$K,2,0)),"_ST|",(VLOOKUP(J369,Dictionary!$M:$N,2,0)),"_TS|",SUBSTITUTE(SUBSTITUTE(IF(K369="","NONE",K369),"_","-"),"|","-"),"_SZ|",(VLOOKUP(L369,Dictionary!$Y:$Z,1,0)),"_AD|",(VLOOKUP(M369,Dictionary!$AB:$AC,2,0)),"_IT|",(VLOOKUP(N369,Dictionary!$BC:$BD,2,0)),IF(O369="","",CONCATENATE("_U1|",SUBSTITUTE(SUBSTITUTE(O369,"_","-"),"|","-"))),IF(P369="","",CONCATENATE("_U2|",SUBSTITUTE(SUBSTITUTE(P369,"_","-"),"|","-"))),IF(Q369="","",CONCATENATE("_U3|",SUBSTITUTE(SUBSTITUTE(Q369,"_","-"),"|","-")))))</f>
        <v>#N/A</v>
      </c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3" t="str">
        <f>IF(K370="----","#N/A",CONCATENATE("MK|",(VLOOKUP(B370,Dictionary!$A:$B,2,0)),"_CH|",(VLOOKUP(C370,Dictionary!$AV:$AW,2,0)),"_DT|",(VLOOKUP(D370,Dictionary!$P:$Q,2,0)),"_PB|",(VLOOKUP(E370,Dictionary!$G:$H,2,0)),"_FM|",(VLOOKUP(F370,Dictionary!$S:$T,2,0)),"_RT|",(VLOOKUP(G370,Dictionary!$V:$W,2,0)),"_PD|",SUBSTITUTE(SUBSTITUTE(IF(H370="","NONE",H370),"_","-"),"|","-"),"_TG|",(VLOOKUP(I370,Dictionary!$J:$K,2,0)),"_ST|",(VLOOKUP(J370,Dictionary!$M:$N,2,0)),"_TS|",SUBSTITUTE(SUBSTITUTE(IF(K370="","NONE",K370),"_","-"),"|","-"),"_SZ|",(VLOOKUP(L370,Dictionary!$Y:$Z,1,0)),"_AD|",(VLOOKUP(M370,Dictionary!$AB:$AC,2,0)),"_IT|",(VLOOKUP(N370,Dictionary!$BC:$BD,2,0)),IF(O370="","",CONCATENATE("_U1|",SUBSTITUTE(SUBSTITUTE(O370,"_","-"),"|","-"))),IF(P370="","",CONCATENATE("_U2|",SUBSTITUTE(SUBSTITUTE(P370,"_","-"),"|","-"))),IF(Q370="","",CONCATENATE("_U3|",SUBSTITUTE(SUBSTITUTE(Q370,"_","-"),"|","-")))))</f>
        <v>#N/A</v>
      </c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3" t="str">
        <f>IF(K371="----","#N/A",CONCATENATE("MK|",(VLOOKUP(B371,Dictionary!$A:$B,2,0)),"_CH|",(VLOOKUP(C371,Dictionary!$AV:$AW,2,0)),"_DT|",(VLOOKUP(D371,Dictionary!$P:$Q,2,0)),"_PB|",(VLOOKUP(E371,Dictionary!$G:$H,2,0)),"_FM|",(VLOOKUP(F371,Dictionary!$S:$T,2,0)),"_RT|",(VLOOKUP(G371,Dictionary!$V:$W,2,0)),"_PD|",SUBSTITUTE(SUBSTITUTE(IF(H371="","NONE",H371),"_","-"),"|","-"),"_TG|",(VLOOKUP(I371,Dictionary!$J:$K,2,0)),"_ST|",(VLOOKUP(J371,Dictionary!$M:$N,2,0)),"_TS|",SUBSTITUTE(SUBSTITUTE(IF(K371="","NONE",K371),"_","-"),"|","-"),"_SZ|",(VLOOKUP(L371,Dictionary!$Y:$Z,1,0)),"_AD|",(VLOOKUP(M371,Dictionary!$AB:$AC,2,0)),"_IT|",(VLOOKUP(N371,Dictionary!$BC:$BD,2,0)),IF(O371="","",CONCATENATE("_U1|",SUBSTITUTE(SUBSTITUTE(O371,"_","-"),"|","-"))),IF(P371="","",CONCATENATE("_U2|",SUBSTITUTE(SUBSTITUTE(P371,"_","-"),"|","-"))),IF(Q371="","",CONCATENATE("_U3|",SUBSTITUTE(SUBSTITUTE(Q371,"_","-"),"|","-")))))</f>
        <v>#N/A</v>
      </c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3" t="str">
        <f>IF(K372="----","#N/A",CONCATENATE("MK|",(VLOOKUP(B372,Dictionary!$A:$B,2,0)),"_CH|",(VLOOKUP(C372,Dictionary!$AV:$AW,2,0)),"_DT|",(VLOOKUP(D372,Dictionary!$P:$Q,2,0)),"_PB|",(VLOOKUP(E372,Dictionary!$G:$H,2,0)),"_FM|",(VLOOKUP(F372,Dictionary!$S:$T,2,0)),"_RT|",(VLOOKUP(G372,Dictionary!$V:$W,2,0)),"_PD|",SUBSTITUTE(SUBSTITUTE(IF(H372="","NONE",H372),"_","-"),"|","-"),"_TG|",(VLOOKUP(I372,Dictionary!$J:$K,2,0)),"_ST|",(VLOOKUP(J372,Dictionary!$M:$N,2,0)),"_TS|",SUBSTITUTE(SUBSTITUTE(IF(K372="","NONE",K372),"_","-"),"|","-"),"_SZ|",(VLOOKUP(L372,Dictionary!$Y:$Z,1,0)),"_AD|",(VLOOKUP(M372,Dictionary!$AB:$AC,2,0)),"_IT|",(VLOOKUP(N372,Dictionary!$BC:$BD,2,0)),IF(O372="","",CONCATENATE("_U1|",SUBSTITUTE(SUBSTITUTE(O372,"_","-"),"|","-"))),IF(P372="","",CONCATENATE("_U2|",SUBSTITUTE(SUBSTITUTE(P372,"_","-"),"|","-"))),IF(Q372="","",CONCATENATE("_U3|",SUBSTITUTE(SUBSTITUTE(Q372,"_","-"),"|","-")))))</f>
        <v>#N/A</v>
      </c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3" t="str">
        <f>IF(K373="----","#N/A",CONCATENATE("MK|",(VLOOKUP(B373,Dictionary!$A:$B,2,0)),"_CH|",(VLOOKUP(C373,Dictionary!$AV:$AW,2,0)),"_DT|",(VLOOKUP(D373,Dictionary!$P:$Q,2,0)),"_PB|",(VLOOKUP(E373,Dictionary!$G:$H,2,0)),"_FM|",(VLOOKUP(F373,Dictionary!$S:$T,2,0)),"_RT|",(VLOOKUP(G373,Dictionary!$V:$W,2,0)),"_PD|",SUBSTITUTE(SUBSTITUTE(IF(H373="","NONE",H373),"_","-"),"|","-"),"_TG|",(VLOOKUP(I373,Dictionary!$J:$K,2,0)),"_ST|",(VLOOKUP(J373,Dictionary!$M:$N,2,0)),"_TS|",SUBSTITUTE(SUBSTITUTE(IF(K373="","NONE",K373),"_","-"),"|","-"),"_SZ|",(VLOOKUP(L373,Dictionary!$Y:$Z,1,0)),"_AD|",(VLOOKUP(M373,Dictionary!$AB:$AC,2,0)),"_IT|",(VLOOKUP(N373,Dictionary!$BC:$BD,2,0)),IF(O373="","",CONCATENATE("_U1|",SUBSTITUTE(SUBSTITUTE(O373,"_","-"),"|","-"))),IF(P373="","",CONCATENATE("_U2|",SUBSTITUTE(SUBSTITUTE(P373,"_","-"),"|","-"))),IF(Q373="","",CONCATENATE("_U3|",SUBSTITUTE(SUBSTITUTE(Q373,"_","-"),"|","-")))))</f>
        <v>#N/A</v>
      </c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3" t="str">
        <f>IF(K374="----","#N/A",CONCATENATE("MK|",(VLOOKUP(B374,Dictionary!$A:$B,2,0)),"_CH|",(VLOOKUP(C374,Dictionary!$AV:$AW,2,0)),"_DT|",(VLOOKUP(D374,Dictionary!$P:$Q,2,0)),"_PB|",(VLOOKUP(E374,Dictionary!$G:$H,2,0)),"_FM|",(VLOOKUP(F374,Dictionary!$S:$T,2,0)),"_RT|",(VLOOKUP(G374,Dictionary!$V:$W,2,0)),"_PD|",SUBSTITUTE(SUBSTITUTE(IF(H374="","NONE",H374),"_","-"),"|","-"),"_TG|",(VLOOKUP(I374,Dictionary!$J:$K,2,0)),"_ST|",(VLOOKUP(J374,Dictionary!$M:$N,2,0)),"_TS|",SUBSTITUTE(SUBSTITUTE(IF(K374="","NONE",K374),"_","-"),"|","-"),"_SZ|",(VLOOKUP(L374,Dictionary!$Y:$Z,1,0)),"_AD|",(VLOOKUP(M374,Dictionary!$AB:$AC,2,0)),"_IT|",(VLOOKUP(N374,Dictionary!$BC:$BD,2,0)),IF(O374="","",CONCATENATE("_U1|",SUBSTITUTE(SUBSTITUTE(O374,"_","-"),"|","-"))),IF(P374="","",CONCATENATE("_U2|",SUBSTITUTE(SUBSTITUTE(P374,"_","-"),"|","-"))),IF(Q374="","",CONCATENATE("_U3|",SUBSTITUTE(SUBSTITUTE(Q374,"_","-"),"|","-")))))</f>
        <v>#N/A</v>
      </c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3" t="str">
        <f>IF(K375="----","#N/A",CONCATENATE("MK|",(VLOOKUP(B375,Dictionary!$A:$B,2,0)),"_CH|",(VLOOKUP(C375,Dictionary!$AV:$AW,2,0)),"_DT|",(VLOOKUP(D375,Dictionary!$P:$Q,2,0)),"_PB|",(VLOOKUP(E375,Dictionary!$G:$H,2,0)),"_FM|",(VLOOKUP(F375,Dictionary!$S:$T,2,0)),"_RT|",(VLOOKUP(G375,Dictionary!$V:$W,2,0)),"_PD|",SUBSTITUTE(SUBSTITUTE(IF(H375="","NONE",H375),"_","-"),"|","-"),"_TG|",(VLOOKUP(I375,Dictionary!$J:$K,2,0)),"_ST|",(VLOOKUP(J375,Dictionary!$M:$N,2,0)),"_TS|",SUBSTITUTE(SUBSTITUTE(IF(K375="","NONE",K375),"_","-"),"|","-"),"_SZ|",(VLOOKUP(L375,Dictionary!$Y:$Z,1,0)),"_AD|",(VLOOKUP(M375,Dictionary!$AB:$AC,2,0)),"_IT|",(VLOOKUP(N375,Dictionary!$BC:$BD,2,0)),IF(O375="","",CONCATENATE("_U1|",SUBSTITUTE(SUBSTITUTE(O375,"_","-"),"|","-"))),IF(P375="","",CONCATENATE("_U2|",SUBSTITUTE(SUBSTITUTE(P375,"_","-"),"|","-"))),IF(Q375="","",CONCATENATE("_U3|",SUBSTITUTE(SUBSTITUTE(Q375,"_","-"),"|","-")))))</f>
        <v>#N/A</v>
      </c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3" t="str">
        <f>IF(K376="----","#N/A",CONCATENATE("MK|",(VLOOKUP(B376,Dictionary!$A:$B,2,0)),"_CH|",(VLOOKUP(C376,Dictionary!$AV:$AW,2,0)),"_DT|",(VLOOKUP(D376,Dictionary!$P:$Q,2,0)),"_PB|",(VLOOKUP(E376,Dictionary!$G:$H,2,0)),"_FM|",(VLOOKUP(F376,Dictionary!$S:$T,2,0)),"_RT|",(VLOOKUP(G376,Dictionary!$V:$W,2,0)),"_PD|",SUBSTITUTE(SUBSTITUTE(IF(H376="","NONE",H376),"_","-"),"|","-"),"_TG|",(VLOOKUP(I376,Dictionary!$J:$K,2,0)),"_ST|",(VLOOKUP(J376,Dictionary!$M:$N,2,0)),"_TS|",SUBSTITUTE(SUBSTITUTE(IF(K376="","NONE",K376),"_","-"),"|","-"),"_SZ|",(VLOOKUP(L376,Dictionary!$Y:$Z,1,0)),"_AD|",(VLOOKUP(M376,Dictionary!$AB:$AC,2,0)),"_IT|",(VLOOKUP(N376,Dictionary!$BC:$BD,2,0)),IF(O376="","",CONCATENATE("_U1|",SUBSTITUTE(SUBSTITUTE(O376,"_","-"),"|","-"))),IF(P376="","",CONCATENATE("_U2|",SUBSTITUTE(SUBSTITUTE(P376,"_","-"),"|","-"))),IF(Q376="","",CONCATENATE("_U3|",SUBSTITUTE(SUBSTITUTE(Q376,"_","-"),"|","-")))))</f>
        <v>#N/A</v>
      </c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3" t="str">
        <f>IF(K377="----","#N/A",CONCATENATE("MK|",(VLOOKUP(B377,Dictionary!$A:$B,2,0)),"_CH|",(VLOOKUP(C377,Dictionary!$AV:$AW,2,0)),"_DT|",(VLOOKUP(D377,Dictionary!$P:$Q,2,0)),"_PB|",(VLOOKUP(E377,Dictionary!$G:$H,2,0)),"_FM|",(VLOOKUP(F377,Dictionary!$S:$T,2,0)),"_RT|",(VLOOKUP(G377,Dictionary!$V:$W,2,0)),"_PD|",SUBSTITUTE(SUBSTITUTE(IF(H377="","NONE",H377),"_","-"),"|","-"),"_TG|",(VLOOKUP(I377,Dictionary!$J:$K,2,0)),"_ST|",(VLOOKUP(J377,Dictionary!$M:$N,2,0)),"_TS|",SUBSTITUTE(SUBSTITUTE(IF(K377="","NONE",K377),"_","-"),"|","-"),"_SZ|",(VLOOKUP(L377,Dictionary!$Y:$Z,1,0)),"_AD|",(VLOOKUP(M377,Dictionary!$AB:$AC,2,0)),"_IT|",(VLOOKUP(N377,Dictionary!$BC:$BD,2,0)),IF(O377="","",CONCATENATE("_U1|",SUBSTITUTE(SUBSTITUTE(O377,"_","-"),"|","-"))),IF(P377="","",CONCATENATE("_U2|",SUBSTITUTE(SUBSTITUTE(P377,"_","-"),"|","-"))),IF(Q377="","",CONCATENATE("_U3|",SUBSTITUTE(SUBSTITUTE(Q377,"_","-"),"|","-")))))</f>
        <v>#N/A</v>
      </c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3" t="str">
        <f>IF(K378="----","#N/A",CONCATENATE("MK|",(VLOOKUP(B378,Dictionary!$A:$B,2,0)),"_CH|",(VLOOKUP(C378,Dictionary!$AV:$AW,2,0)),"_DT|",(VLOOKUP(D378,Dictionary!$P:$Q,2,0)),"_PB|",(VLOOKUP(E378,Dictionary!$G:$H,2,0)),"_FM|",(VLOOKUP(F378,Dictionary!$S:$T,2,0)),"_RT|",(VLOOKUP(G378,Dictionary!$V:$W,2,0)),"_PD|",SUBSTITUTE(SUBSTITUTE(IF(H378="","NONE",H378),"_","-"),"|","-"),"_TG|",(VLOOKUP(I378,Dictionary!$J:$K,2,0)),"_ST|",(VLOOKUP(J378,Dictionary!$M:$N,2,0)),"_TS|",SUBSTITUTE(SUBSTITUTE(IF(K378="","NONE",K378),"_","-"),"|","-"),"_SZ|",(VLOOKUP(L378,Dictionary!$Y:$Z,1,0)),"_AD|",(VLOOKUP(M378,Dictionary!$AB:$AC,2,0)),"_IT|",(VLOOKUP(N378,Dictionary!$BC:$BD,2,0)),IF(O378="","",CONCATENATE("_U1|",SUBSTITUTE(SUBSTITUTE(O378,"_","-"),"|","-"))),IF(P378="","",CONCATENATE("_U2|",SUBSTITUTE(SUBSTITUTE(P378,"_","-"),"|","-"))),IF(Q378="","",CONCATENATE("_U3|",SUBSTITUTE(SUBSTITUTE(Q378,"_","-"),"|","-")))))</f>
        <v>#N/A</v>
      </c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3" t="str">
        <f>IF(K379="----","#N/A",CONCATENATE("MK|",(VLOOKUP(B379,Dictionary!$A:$B,2,0)),"_CH|",(VLOOKUP(C379,Dictionary!$AV:$AW,2,0)),"_DT|",(VLOOKUP(D379,Dictionary!$P:$Q,2,0)),"_PB|",(VLOOKUP(E379,Dictionary!$G:$H,2,0)),"_FM|",(VLOOKUP(F379,Dictionary!$S:$T,2,0)),"_RT|",(VLOOKUP(G379,Dictionary!$V:$W,2,0)),"_PD|",SUBSTITUTE(SUBSTITUTE(IF(H379="","NONE",H379),"_","-"),"|","-"),"_TG|",(VLOOKUP(I379,Dictionary!$J:$K,2,0)),"_ST|",(VLOOKUP(J379,Dictionary!$M:$N,2,0)),"_TS|",SUBSTITUTE(SUBSTITUTE(IF(K379="","NONE",K379),"_","-"),"|","-"),"_SZ|",(VLOOKUP(L379,Dictionary!$Y:$Z,1,0)),"_AD|",(VLOOKUP(M379,Dictionary!$AB:$AC,2,0)),"_IT|",(VLOOKUP(N379,Dictionary!$BC:$BD,2,0)),IF(O379="","",CONCATENATE("_U1|",SUBSTITUTE(SUBSTITUTE(O379,"_","-"),"|","-"))),IF(P379="","",CONCATENATE("_U2|",SUBSTITUTE(SUBSTITUTE(P379,"_","-"),"|","-"))),IF(Q379="","",CONCATENATE("_U3|",SUBSTITUTE(SUBSTITUTE(Q379,"_","-"),"|","-")))))</f>
        <v>#N/A</v>
      </c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3" t="str">
        <f>IF(K380="----","#N/A",CONCATENATE("MK|",(VLOOKUP(B380,Dictionary!$A:$B,2,0)),"_CH|",(VLOOKUP(C380,Dictionary!$AV:$AW,2,0)),"_DT|",(VLOOKUP(D380,Dictionary!$P:$Q,2,0)),"_PB|",(VLOOKUP(E380,Dictionary!$G:$H,2,0)),"_FM|",(VLOOKUP(F380,Dictionary!$S:$T,2,0)),"_RT|",(VLOOKUP(G380,Dictionary!$V:$W,2,0)),"_PD|",SUBSTITUTE(SUBSTITUTE(IF(H380="","NONE",H380),"_","-"),"|","-"),"_TG|",(VLOOKUP(I380,Dictionary!$J:$K,2,0)),"_ST|",(VLOOKUP(J380,Dictionary!$M:$N,2,0)),"_TS|",SUBSTITUTE(SUBSTITUTE(IF(K380="","NONE",K380),"_","-"),"|","-"),"_SZ|",(VLOOKUP(L380,Dictionary!$Y:$Z,1,0)),"_AD|",(VLOOKUP(M380,Dictionary!$AB:$AC,2,0)),"_IT|",(VLOOKUP(N380,Dictionary!$BC:$BD,2,0)),IF(O380="","",CONCATENATE("_U1|",SUBSTITUTE(SUBSTITUTE(O380,"_","-"),"|","-"))),IF(P380="","",CONCATENATE("_U2|",SUBSTITUTE(SUBSTITUTE(P380,"_","-"),"|","-"))),IF(Q380="","",CONCATENATE("_U3|",SUBSTITUTE(SUBSTITUTE(Q380,"_","-"),"|","-")))))</f>
        <v>#N/A</v>
      </c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3" t="str">
        <f>IF(K381="----","#N/A",CONCATENATE("MK|",(VLOOKUP(B381,Dictionary!$A:$B,2,0)),"_CH|",(VLOOKUP(C381,Dictionary!$AV:$AW,2,0)),"_DT|",(VLOOKUP(D381,Dictionary!$P:$Q,2,0)),"_PB|",(VLOOKUP(E381,Dictionary!$G:$H,2,0)),"_FM|",(VLOOKUP(F381,Dictionary!$S:$T,2,0)),"_RT|",(VLOOKUP(G381,Dictionary!$V:$W,2,0)),"_PD|",SUBSTITUTE(SUBSTITUTE(IF(H381="","NONE",H381),"_","-"),"|","-"),"_TG|",(VLOOKUP(I381,Dictionary!$J:$K,2,0)),"_ST|",(VLOOKUP(J381,Dictionary!$M:$N,2,0)),"_TS|",SUBSTITUTE(SUBSTITUTE(IF(K381="","NONE",K381),"_","-"),"|","-"),"_SZ|",(VLOOKUP(L381,Dictionary!$Y:$Z,1,0)),"_AD|",(VLOOKUP(M381,Dictionary!$AB:$AC,2,0)),"_IT|",(VLOOKUP(N381,Dictionary!$BC:$BD,2,0)),IF(O381="","",CONCATENATE("_U1|",SUBSTITUTE(SUBSTITUTE(O381,"_","-"),"|","-"))),IF(P381="","",CONCATENATE("_U2|",SUBSTITUTE(SUBSTITUTE(P381,"_","-"),"|","-"))),IF(Q381="","",CONCATENATE("_U3|",SUBSTITUTE(SUBSTITUTE(Q381,"_","-"),"|","-")))))</f>
        <v>#N/A</v>
      </c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3" t="str">
        <f>IF(K382="----","#N/A",CONCATENATE("MK|",(VLOOKUP(B382,Dictionary!$A:$B,2,0)),"_CH|",(VLOOKUP(C382,Dictionary!$AV:$AW,2,0)),"_DT|",(VLOOKUP(D382,Dictionary!$P:$Q,2,0)),"_PB|",(VLOOKUP(E382,Dictionary!$G:$H,2,0)),"_FM|",(VLOOKUP(F382,Dictionary!$S:$T,2,0)),"_RT|",(VLOOKUP(G382,Dictionary!$V:$W,2,0)),"_PD|",SUBSTITUTE(SUBSTITUTE(IF(H382="","NONE",H382),"_","-"),"|","-"),"_TG|",(VLOOKUP(I382,Dictionary!$J:$K,2,0)),"_ST|",(VLOOKUP(J382,Dictionary!$M:$N,2,0)),"_TS|",SUBSTITUTE(SUBSTITUTE(IF(K382="","NONE",K382),"_","-"),"|","-"),"_SZ|",(VLOOKUP(L382,Dictionary!$Y:$Z,1,0)),"_AD|",(VLOOKUP(M382,Dictionary!$AB:$AC,2,0)),"_IT|",(VLOOKUP(N382,Dictionary!$BC:$BD,2,0)),IF(O382="","",CONCATENATE("_U1|",SUBSTITUTE(SUBSTITUTE(O382,"_","-"),"|","-"))),IF(P382="","",CONCATENATE("_U2|",SUBSTITUTE(SUBSTITUTE(P382,"_","-"),"|","-"))),IF(Q382="","",CONCATENATE("_U3|",SUBSTITUTE(SUBSTITUTE(Q382,"_","-"),"|","-")))))</f>
        <v>#N/A</v>
      </c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3" t="str">
        <f>IF(K383="----","#N/A",CONCATENATE("MK|",(VLOOKUP(B383,Dictionary!$A:$B,2,0)),"_CH|",(VLOOKUP(C383,Dictionary!$AV:$AW,2,0)),"_DT|",(VLOOKUP(D383,Dictionary!$P:$Q,2,0)),"_PB|",(VLOOKUP(E383,Dictionary!$G:$H,2,0)),"_FM|",(VLOOKUP(F383,Dictionary!$S:$T,2,0)),"_RT|",(VLOOKUP(G383,Dictionary!$V:$W,2,0)),"_PD|",SUBSTITUTE(SUBSTITUTE(IF(H383="","NONE",H383),"_","-"),"|","-"),"_TG|",(VLOOKUP(I383,Dictionary!$J:$K,2,0)),"_ST|",(VLOOKUP(J383,Dictionary!$M:$N,2,0)),"_TS|",SUBSTITUTE(SUBSTITUTE(IF(K383="","NONE",K383),"_","-"),"|","-"),"_SZ|",(VLOOKUP(L383,Dictionary!$Y:$Z,1,0)),"_AD|",(VLOOKUP(M383,Dictionary!$AB:$AC,2,0)),"_IT|",(VLOOKUP(N383,Dictionary!$BC:$BD,2,0)),IF(O383="","",CONCATENATE("_U1|",SUBSTITUTE(SUBSTITUTE(O383,"_","-"),"|","-"))),IF(P383="","",CONCATENATE("_U2|",SUBSTITUTE(SUBSTITUTE(P383,"_","-"),"|","-"))),IF(Q383="","",CONCATENATE("_U3|",SUBSTITUTE(SUBSTITUTE(Q383,"_","-"),"|","-")))))</f>
        <v>#N/A</v>
      </c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3" t="str">
        <f>IF(K384="----","#N/A",CONCATENATE("MK|",(VLOOKUP(B384,Dictionary!$A:$B,2,0)),"_CH|",(VLOOKUP(C384,Dictionary!$AV:$AW,2,0)),"_DT|",(VLOOKUP(D384,Dictionary!$P:$Q,2,0)),"_PB|",(VLOOKUP(E384,Dictionary!$G:$H,2,0)),"_FM|",(VLOOKUP(F384,Dictionary!$S:$T,2,0)),"_RT|",(VLOOKUP(G384,Dictionary!$V:$W,2,0)),"_PD|",SUBSTITUTE(SUBSTITUTE(IF(H384="","NONE",H384),"_","-"),"|","-"),"_TG|",(VLOOKUP(I384,Dictionary!$J:$K,2,0)),"_ST|",(VLOOKUP(J384,Dictionary!$M:$N,2,0)),"_TS|",SUBSTITUTE(SUBSTITUTE(IF(K384="","NONE",K384),"_","-"),"|","-"),"_SZ|",(VLOOKUP(L384,Dictionary!$Y:$Z,1,0)),"_AD|",(VLOOKUP(M384,Dictionary!$AB:$AC,2,0)),"_IT|",(VLOOKUP(N384,Dictionary!$BC:$BD,2,0)),IF(O384="","",CONCATENATE("_U1|",SUBSTITUTE(SUBSTITUTE(O384,"_","-"),"|","-"))),IF(P384="","",CONCATENATE("_U2|",SUBSTITUTE(SUBSTITUTE(P384,"_","-"),"|","-"))),IF(Q384="","",CONCATENATE("_U3|",SUBSTITUTE(SUBSTITUTE(Q384,"_","-"),"|","-")))))</f>
        <v>#N/A</v>
      </c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3" t="str">
        <f>IF(K385="----","#N/A",CONCATENATE("MK|",(VLOOKUP(B385,Dictionary!$A:$B,2,0)),"_CH|",(VLOOKUP(C385,Dictionary!$AV:$AW,2,0)),"_DT|",(VLOOKUP(D385,Dictionary!$P:$Q,2,0)),"_PB|",(VLOOKUP(E385,Dictionary!$G:$H,2,0)),"_FM|",(VLOOKUP(F385,Dictionary!$S:$T,2,0)),"_RT|",(VLOOKUP(G385,Dictionary!$V:$W,2,0)),"_PD|",SUBSTITUTE(SUBSTITUTE(IF(H385="","NONE",H385),"_","-"),"|","-"),"_TG|",(VLOOKUP(I385,Dictionary!$J:$K,2,0)),"_ST|",(VLOOKUP(J385,Dictionary!$M:$N,2,0)),"_TS|",SUBSTITUTE(SUBSTITUTE(IF(K385="","NONE",K385),"_","-"),"|","-"),"_SZ|",(VLOOKUP(L385,Dictionary!$Y:$Z,1,0)),"_AD|",(VLOOKUP(M385,Dictionary!$AB:$AC,2,0)),"_IT|",(VLOOKUP(N385,Dictionary!$BC:$BD,2,0)),IF(O385="","",CONCATENATE("_U1|",SUBSTITUTE(SUBSTITUTE(O385,"_","-"),"|","-"))),IF(P385="","",CONCATENATE("_U2|",SUBSTITUTE(SUBSTITUTE(P385,"_","-"),"|","-"))),IF(Q385="","",CONCATENATE("_U3|",SUBSTITUTE(SUBSTITUTE(Q385,"_","-"),"|","-")))))</f>
        <v>#N/A</v>
      </c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3" t="str">
        <f>IF(K386="----","#N/A",CONCATENATE("MK|",(VLOOKUP(B386,Dictionary!$A:$B,2,0)),"_CH|",(VLOOKUP(C386,Dictionary!$AV:$AW,2,0)),"_DT|",(VLOOKUP(D386,Dictionary!$P:$Q,2,0)),"_PB|",(VLOOKUP(E386,Dictionary!$G:$H,2,0)),"_FM|",(VLOOKUP(F386,Dictionary!$S:$T,2,0)),"_RT|",(VLOOKUP(G386,Dictionary!$V:$W,2,0)),"_PD|",SUBSTITUTE(SUBSTITUTE(IF(H386="","NONE",H386),"_","-"),"|","-"),"_TG|",(VLOOKUP(I386,Dictionary!$J:$K,2,0)),"_ST|",(VLOOKUP(J386,Dictionary!$M:$N,2,0)),"_TS|",SUBSTITUTE(SUBSTITUTE(IF(K386="","NONE",K386),"_","-"),"|","-"),"_SZ|",(VLOOKUP(L386,Dictionary!$Y:$Z,1,0)),"_AD|",(VLOOKUP(M386,Dictionary!$AB:$AC,2,0)),"_IT|",(VLOOKUP(N386,Dictionary!$BC:$BD,2,0)),IF(O386="","",CONCATENATE("_U1|",SUBSTITUTE(SUBSTITUTE(O386,"_","-"),"|","-"))),IF(P386="","",CONCATENATE("_U2|",SUBSTITUTE(SUBSTITUTE(P386,"_","-"),"|","-"))),IF(Q386="","",CONCATENATE("_U3|",SUBSTITUTE(SUBSTITUTE(Q386,"_","-"),"|","-")))))</f>
        <v>#N/A</v>
      </c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3" t="str">
        <f>IF(K387="----","#N/A",CONCATENATE("MK|",(VLOOKUP(B387,Dictionary!$A:$B,2,0)),"_CH|",(VLOOKUP(C387,Dictionary!$AV:$AW,2,0)),"_DT|",(VLOOKUP(D387,Dictionary!$P:$Q,2,0)),"_PB|",(VLOOKUP(E387,Dictionary!$G:$H,2,0)),"_FM|",(VLOOKUP(F387,Dictionary!$S:$T,2,0)),"_RT|",(VLOOKUP(G387,Dictionary!$V:$W,2,0)),"_PD|",SUBSTITUTE(SUBSTITUTE(IF(H387="","NONE",H387),"_","-"),"|","-"),"_TG|",(VLOOKUP(I387,Dictionary!$J:$K,2,0)),"_ST|",(VLOOKUP(J387,Dictionary!$M:$N,2,0)),"_TS|",SUBSTITUTE(SUBSTITUTE(IF(K387="","NONE",K387),"_","-"),"|","-"),"_SZ|",(VLOOKUP(L387,Dictionary!$Y:$Z,1,0)),"_AD|",(VLOOKUP(M387,Dictionary!$AB:$AC,2,0)),"_IT|",(VLOOKUP(N387,Dictionary!$BC:$BD,2,0)),IF(O387="","",CONCATENATE("_U1|",SUBSTITUTE(SUBSTITUTE(O387,"_","-"),"|","-"))),IF(P387="","",CONCATENATE("_U2|",SUBSTITUTE(SUBSTITUTE(P387,"_","-"),"|","-"))),IF(Q387="","",CONCATENATE("_U3|",SUBSTITUTE(SUBSTITUTE(Q387,"_","-"),"|","-")))))</f>
        <v>#N/A</v>
      </c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3" t="str">
        <f>IF(K388="----","#N/A",CONCATENATE("MK|",(VLOOKUP(B388,Dictionary!$A:$B,2,0)),"_CH|",(VLOOKUP(C388,Dictionary!$AV:$AW,2,0)),"_DT|",(VLOOKUP(D388,Dictionary!$P:$Q,2,0)),"_PB|",(VLOOKUP(E388,Dictionary!$G:$H,2,0)),"_FM|",(VLOOKUP(F388,Dictionary!$S:$T,2,0)),"_RT|",(VLOOKUP(G388,Dictionary!$V:$W,2,0)),"_PD|",SUBSTITUTE(SUBSTITUTE(IF(H388="","NONE",H388),"_","-"),"|","-"),"_TG|",(VLOOKUP(I388,Dictionary!$J:$K,2,0)),"_ST|",(VLOOKUP(J388,Dictionary!$M:$N,2,0)),"_TS|",SUBSTITUTE(SUBSTITUTE(IF(K388="","NONE",K388),"_","-"),"|","-"),"_SZ|",(VLOOKUP(L388,Dictionary!$Y:$Z,1,0)),"_AD|",(VLOOKUP(M388,Dictionary!$AB:$AC,2,0)),"_IT|",(VLOOKUP(N388,Dictionary!$BC:$BD,2,0)),IF(O388="","",CONCATENATE("_U1|",SUBSTITUTE(SUBSTITUTE(O388,"_","-"),"|","-"))),IF(P388="","",CONCATENATE("_U2|",SUBSTITUTE(SUBSTITUTE(P388,"_","-"),"|","-"))),IF(Q388="","",CONCATENATE("_U3|",SUBSTITUTE(SUBSTITUTE(Q388,"_","-"),"|","-")))))</f>
        <v>#N/A</v>
      </c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3" t="str">
        <f>IF(K389="----","#N/A",CONCATENATE("MK|",(VLOOKUP(B389,Dictionary!$A:$B,2,0)),"_CH|",(VLOOKUP(C389,Dictionary!$AV:$AW,2,0)),"_DT|",(VLOOKUP(D389,Dictionary!$P:$Q,2,0)),"_PB|",(VLOOKUP(E389,Dictionary!$G:$H,2,0)),"_FM|",(VLOOKUP(F389,Dictionary!$S:$T,2,0)),"_RT|",(VLOOKUP(G389,Dictionary!$V:$W,2,0)),"_PD|",SUBSTITUTE(SUBSTITUTE(IF(H389="","NONE",H389),"_","-"),"|","-"),"_TG|",(VLOOKUP(I389,Dictionary!$J:$K,2,0)),"_ST|",(VLOOKUP(J389,Dictionary!$M:$N,2,0)),"_TS|",SUBSTITUTE(SUBSTITUTE(IF(K389="","NONE",K389),"_","-"),"|","-"),"_SZ|",(VLOOKUP(L389,Dictionary!$Y:$Z,1,0)),"_AD|",(VLOOKUP(M389,Dictionary!$AB:$AC,2,0)),"_IT|",(VLOOKUP(N389,Dictionary!$BC:$BD,2,0)),IF(O389="","",CONCATENATE("_U1|",SUBSTITUTE(SUBSTITUTE(O389,"_","-"),"|","-"))),IF(P389="","",CONCATENATE("_U2|",SUBSTITUTE(SUBSTITUTE(P389,"_","-"),"|","-"))),IF(Q389="","",CONCATENATE("_U3|",SUBSTITUTE(SUBSTITUTE(Q389,"_","-"),"|","-")))))</f>
        <v>#N/A</v>
      </c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3" t="str">
        <f>IF(K390="----","#N/A",CONCATENATE("MK|",(VLOOKUP(B390,Dictionary!$A:$B,2,0)),"_CH|",(VLOOKUP(C390,Dictionary!$AV:$AW,2,0)),"_DT|",(VLOOKUP(D390,Dictionary!$P:$Q,2,0)),"_PB|",(VLOOKUP(E390,Dictionary!$G:$H,2,0)),"_FM|",(VLOOKUP(F390,Dictionary!$S:$T,2,0)),"_RT|",(VLOOKUP(G390,Dictionary!$V:$W,2,0)),"_PD|",SUBSTITUTE(SUBSTITUTE(IF(H390="","NONE",H390),"_","-"),"|","-"),"_TG|",(VLOOKUP(I390,Dictionary!$J:$K,2,0)),"_ST|",(VLOOKUP(J390,Dictionary!$M:$N,2,0)),"_TS|",SUBSTITUTE(SUBSTITUTE(IF(K390="","NONE",K390),"_","-"),"|","-"),"_SZ|",(VLOOKUP(L390,Dictionary!$Y:$Z,1,0)),"_AD|",(VLOOKUP(M390,Dictionary!$AB:$AC,2,0)),"_IT|",(VLOOKUP(N390,Dictionary!$BC:$BD,2,0)),IF(O390="","",CONCATENATE("_U1|",SUBSTITUTE(SUBSTITUTE(O390,"_","-"),"|","-"))),IF(P390="","",CONCATENATE("_U2|",SUBSTITUTE(SUBSTITUTE(P390,"_","-"),"|","-"))),IF(Q390="","",CONCATENATE("_U3|",SUBSTITUTE(SUBSTITUTE(Q390,"_","-"),"|","-")))))</f>
        <v>#N/A</v>
      </c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3" t="str">
        <f>IF(K391="----","#N/A",CONCATENATE("MK|",(VLOOKUP(B391,Dictionary!$A:$B,2,0)),"_CH|",(VLOOKUP(C391,Dictionary!$AV:$AW,2,0)),"_DT|",(VLOOKUP(D391,Dictionary!$P:$Q,2,0)),"_PB|",(VLOOKUP(E391,Dictionary!$G:$H,2,0)),"_FM|",(VLOOKUP(F391,Dictionary!$S:$T,2,0)),"_RT|",(VLOOKUP(G391,Dictionary!$V:$W,2,0)),"_PD|",SUBSTITUTE(SUBSTITUTE(IF(H391="","NONE",H391),"_","-"),"|","-"),"_TG|",(VLOOKUP(I391,Dictionary!$J:$K,2,0)),"_ST|",(VLOOKUP(J391,Dictionary!$M:$N,2,0)),"_TS|",SUBSTITUTE(SUBSTITUTE(IF(K391="","NONE",K391),"_","-"),"|","-"),"_SZ|",(VLOOKUP(L391,Dictionary!$Y:$Z,1,0)),"_AD|",(VLOOKUP(M391,Dictionary!$AB:$AC,2,0)),"_IT|",(VLOOKUP(N391,Dictionary!$BC:$BD,2,0)),IF(O391="","",CONCATENATE("_U1|",SUBSTITUTE(SUBSTITUTE(O391,"_","-"),"|","-"))),IF(P391="","",CONCATENATE("_U2|",SUBSTITUTE(SUBSTITUTE(P391,"_","-"),"|","-"))),IF(Q391="","",CONCATENATE("_U3|",SUBSTITUTE(SUBSTITUTE(Q391,"_","-"),"|","-")))))</f>
        <v>#N/A</v>
      </c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3" t="str">
        <f>IF(K392="----","#N/A",CONCATENATE("MK|",(VLOOKUP(B392,Dictionary!$A:$B,2,0)),"_CH|",(VLOOKUP(C392,Dictionary!$AV:$AW,2,0)),"_DT|",(VLOOKUP(D392,Dictionary!$P:$Q,2,0)),"_PB|",(VLOOKUP(E392,Dictionary!$G:$H,2,0)),"_FM|",(VLOOKUP(F392,Dictionary!$S:$T,2,0)),"_RT|",(VLOOKUP(G392,Dictionary!$V:$W,2,0)),"_PD|",SUBSTITUTE(SUBSTITUTE(IF(H392="","NONE",H392),"_","-"),"|","-"),"_TG|",(VLOOKUP(I392,Dictionary!$J:$K,2,0)),"_ST|",(VLOOKUP(J392,Dictionary!$M:$N,2,0)),"_TS|",SUBSTITUTE(SUBSTITUTE(IF(K392="","NONE",K392),"_","-"),"|","-"),"_SZ|",(VLOOKUP(L392,Dictionary!$Y:$Z,1,0)),"_AD|",(VLOOKUP(M392,Dictionary!$AB:$AC,2,0)),"_IT|",(VLOOKUP(N392,Dictionary!$BC:$BD,2,0)),IF(O392="","",CONCATENATE("_U1|",SUBSTITUTE(SUBSTITUTE(O392,"_","-"),"|","-"))),IF(P392="","",CONCATENATE("_U2|",SUBSTITUTE(SUBSTITUTE(P392,"_","-"),"|","-"))),IF(Q392="","",CONCATENATE("_U3|",SUBSTITUTE(SUBSTITUTE(Q392,"_","-"),"|","-")))))</f>
        <v>#N/A</v>
      </c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3" t="str">
        <f>IF(K393="----","#N/A",CONCATENATE("MK|",(VLOOKUP(B393,Dictionary!$A:$B,2,0)),"_CH|",(VLOOKUP(C393,Dictionary!$AV:$AW,2,0)),"_DT|",(VLOOKUP(D393,Dictionary!$P:$Q,2,0)),"_PB|",(VLOOKUP(E393,Dictionary!$G:$H,2,0)),"_FM|",(VLOOKUP(F393,Dictionary!$S:$T,2,0)),"_RT|",(VLOOKUP(G393,Dictionary!$V:$W,2,0)),"_PD|",SUBSTITUTE(SUBSTITUTE(IF(H393="","NONE",H393),"_","-"),"|","-"),"_TG|",(VLOOKUP(I393,Dictionary!$J:$K,2,0)),"_ST|",(VLOOKUP(J393,Dictionary!$M:$N,2,0)),"_TS|",SUBSTITUTE(SUBSTITUTE(IF(K393="","NONE",K393),"_","-"),"|","-"),"_SZ|",(VLOOKUP(L393,Dictionary!$Y:$Z,1,0)),"_AD|",(VLOOKUP(M393,Dictionary!$AB:$AC,2,0)),"_IT|",(VLOOKUP(N393,Dictionary!$BC:$BD,2,0)),IF(O393="","",CONCATENATE("_U1|",SUBSTITUTE(SUBSTITUTE(O393,"_","-"),"|","-"))),IF(P393="","",CONCATENATE("_U2|",SUBSTITUTE(SUBSTITUTE(P393,"_","-"),"|","-"))),IF(Q393="","",CONCATENATE("_U3|",SUBSTITUTE(SUBSTITUTE(Q393,"_","-"),"|","-")))))</f>
        <v>#N/A</v>
      </c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3" t="str">
        <f>IF(K394="----","#N/A",CONCATENATE("MK|",(VLOOKUP(B394,Dictionary!$A:$B,2,0)),"_CH|",(VLOOKUP(C394,Dictionary!$AV:$AW,2,0)),"_DT|",(VLOOKUP(D394,Dictionary!$P:$Q,2,0)),"_PB|",(VLOOKUP(E394,Dictionary!$G:$H,2,0)),"_FM|",(VLOOKUP(F394,Dictionary!$S:$T,2,0)),"_RT|",(VLOOKUP(G394,Dictionary!$V:$W,2,0)),"_PD|",SUBSTITUTE(SUBSTITUTE(IF(H394="","NONE",H394),"_","-"),"|","-"),"_TG|",(VLOOKUP(I394,Dictionary!$J:$K,2,0)),"_ST|",(VLOOKUP(J394,Dictionary!$M:$N,2,0)),"_TS|",SUBSTITUTE(SUBSTITUTE(IF(K394="","NONE",K394),"_","-"),"|","-"),"_SZ|",(VLOOKUP(L394,Dictionary!$Y:$Z,1,0)),"_AD|",(VLOOKUP(M394,Dictionary!$AB:$AC,2,0)),"_IT|",(VLOOKUP(N394,Dictionary!$BC:$BD,2,0)),IF(O394="","",CONCATENATE("_U1|",SUBSTITUTE(SUBSTITUTE(O394,"_","-"),"|","-"))),IF(P394="","",CONCATENATE("_U2|",SUBSTITUTE(SUBSTITUTE(P394,"_","-"),"|","-"))),IF(Q394="","",CONCATENATE("_U3|",SUBSTITUTE(SUBSTITUTE(Q394,"_","-"),"|","-")))))</f>
        <v>#N/A</v>
      </c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3" t="str">
        <f>IF(K395="----","#N/A",CONCATENATE("MK|",(VLOOKUP(B395,Dictionary!$A:$B,2,0)),"_CH|",(VLOOKUP(C395,Dictionary!$AV:$AW,2,0)),"_DT|",(VLOOKUP(D395,Dictionary!$P:$Q,2,0)),"_PB|",(VLOOKUP(E395,Dictionary!$G:$H,2,0)),"_FM|",(VLOOKUP(F395,Dictionary!$S:$T,2,0)),"_RT|",(VLOOKUP(G395,Dictionary!$V:$W,2,0)),"_PD|",SUBSTITUTE(SUBSTITUTE(IF(H395="","NONE",H395),"_","-"),"|","-"),"_TG|",(VLOOKUP(I395,Dictionary!$J:$K,2,0)),"_ST|",(VLOOKUP(J395,Dictionary!$M:$N,2,0)),"_TS|",SUBSTITUTE(SUBSTITUTE(IF(K395="","NONE",K395),"_","-"),"|","-"),"_SZ|",(VLOOKUP(L395,Dictionary!$Y:$Z,1,0)),"_AD|",(VLOOKUP(M395,Dictionary!$AB:$AC,2,0)),"_IT|",(VLOOKUP(N395,Dictionary!$BC:$BD,2,0)),IF(O395="","",CONCATENATE("_U1|",SUBSTITUTE(SUBSTITUTE(O395,"_","-"),"|","-"))),IF(P395="","",CONCATENATE("_U2|",SUBSTITUTE(SUBSTITUTE(P395,"_","-"),"|","-"))),IF(Q395="","",CONCATENATE("_U3|",SUBSTITUTE(SUBSTITUTE(Q395,"_","-"),"|","-")))))</f>
        <v>#N/A</v>
      </c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3" t="str">
        <f>IF(K396="----","#N/A",CONCATENATE("MK|",(VLOOKUP(B396,Dictionary!$A:$B,2,0)),"_CH|",(VLOOKUP(C396,Dictionary!$AV:$AW,2,0)),"_DT|",(VLOOKUP(D396,Dictionary!$P:$Q,2,0)),"_PB|",(VLOOKUP(E396,Dictionary!$G:$H,2,0)),"_FM|",(VLOOKUP(F396,Dictionary!$S:$T,2,0)),"_RT|",(VLOOKUP(G396,Dictionary!$V:$W,2,0)),"_PD|",SUBSTITUTE(SUBSTITUTE(IF(H396="","NONE",H396),"_","-"),"|","-"),"_TG|",(VLOOKUP(I396,Dictionary!$J:$K,2,0)),"_ST|",(VLOOKUP(J396,Dictionary!$M:$N,2,0)),"_TS|",SUBSTITUTE(SUBSTITUTE(IF(K396="","NONE",K396),"_","-"),"|","-"),"_SZ|",(VLOOKUP(L396,Dictionary!$Y:$Z,1,0)),"_AD|",(VLOOKUP(M396,Dictionary!$AB:$AC,2,0)),"_IT|",(VLOOKUP(N396,Dictionary!$BC:$BD,2,0)),IF(O396="","",CONCATENATE("_U1|",SUBSTITUTE(SUBSTITUTE(O396,"_","-"),"|","-"))),IF(P396="","",CONCATENATE("_U2|",SUBSTITUTE(SUBSTITUTE(P396,"_","-"),"|","-"))),IF(Q396="","",CONCATENATE("_U3|",SUBSTITUTE(SUBSTITUTE(Q396,"_","-"),"|","-")))))</f>
        <v>#N/A</v>
      </c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3" t="str">
        <f>IF(K397="----","#N/A",CONCATENATE("MK|",(VLOOKUP(B397,Dictionary!$A:$B,2,0)),"_CH|",(VLOOKUP(C397,Dictionary!$AV:$AW,2,0)),"_DT|",(VLOOKUP(D397,Dictionary!$P:$Q,2,0)),"_PB|",(VLOOKUP(E397,Dictionary!$G:$H,2,0)),"_FM|",(VLOOKUP(F397,Dictionary!$S:$T,2,0)),"_RT|",(VLOOKUP(G397,Dictionary!$V:$W,2,0)),"_PD|",SUBSTITUTE(SUBSTITUTE(IF(H397="","NONE",H397),"_","-"),"|","-"),"_TG|",(VLOOKUP(I397,Dictionary!$J:$K,2,0)),"_ST|",(VLOOKUP(J397,Dictionary!$M:$N,2,0)),"_TS|",SUBSTITUTE(SUBSTITUTE(IF(K397="","NONE",K397),"_","-"),"|","-"),"_SZ|",(VLOOKUP(L397,Dictionary!$Y:$Z,1,0)),"_AD|",(VLOOKUP(M397,Dictionary!$AB:$AC,2,0)),"_IT|",(VLOOKUP(N397,Dictionary!$BC:$BD,2,0)),IF(O397="","",CONCATENATE("_U1|",SUBSTITUTE(SUBSTITUTE(O397,"_","-"),"|","-"))),IF(P397="","",CONCATENATE("_U2|",SUBSTITUTE(SUBSTITUTE(P397,"_","-"),"|","-"))),IF(Q397="","",CONCATENATE("_U3|",SUBSTITUTE(SUBSTITUTE(Q397,"_","-"),"|","-")))))</f>
        <v>#N/A</v>
      </c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3" t="str">
        <f>IF(K398="----","#N/A",CONCATENATE("MK|",(VLOOKUP(B398,Dictionary!$A:$B,2,0)),"_CH|",(VLOOKUP(C398,Dictionary!$AV:$AW,2,0)),"_DT|",(VLOOKUP(D398,Dictionary!$P:$Q,2,0)),"_PB|",(VLOOKUP(E398,Dictionary!$G:$H,2,0)),"_FM|",(VLOOKUP(F398,Dictionary!$S:$T,2,0)),"_RT|",(VLOOKUP(G398,Dictionary!$V:$W,2,0)),"_PD|",SUBSTITUTE(SUBSTITUTE(IF(H398="","NONE",H398),"_","-"),"|","-"),"_TG|",(VLOOKUP(I398,Dictionary!$J:$K,2,0)),"_ST|",(VLOOKUP(J398,Dictionary!$M:$N,2,0)),"_TS|",SUBSTITUTE(SUBSTITUTE(IF(K398="","NONE",K398),"_","-"),"|","-"),"_SZ|",(VLOOKUP(L398,Dictionary!$Y:$Z,1,0)),"_AD|",(VLOOKUP(M398,Dictionary!$AB:$AC,2,0)),"_IT|",(VLOOKUP(N398,Dictionary!$BC:$BD,2,0)),IF(O398="","",CONCATENATE("_U1|",SUBSTITUTE(SUBSTITUTE(O398,"_","-"),"|","-"))),IF(P398="","",CONCATENATE("_U2|",SUBSTITUTE(SUBSTITUTE(P398,"_","-"),"|","-"))),IF(Q398="","",CONCATENATE("_U3|",SUBSTITUTE(SUBSTITUTE(Q398,"_","-"),"|","-")))))</f>
        <v>#N/A</v>
      </c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3" t="str">
        <f>IF(K399="----","#N/A",CONCATENATE("MK|",(VLOOKUP(B399,Dictionary!$A:$B,2,0)),"_CH|",(VLOOKUP(C399,Dictionary!$AV:$AW,2,0)),"_DT|",(VLOOKUP(D399,Dictionary!$P:$Q,2,0)),"_PB|",(VLOOKUP(E399,Dictionary!$G:$H,2,0)),"_FM|",(VLOOKUP(F399,Dictionary!$S:$T,2,0)),"_RT|",(VLOOKUP(G399,Dictionary!$V:$W,2,0)),"_PD|",SUBSTITUTE(SUBSTITUTE(IF(H399="","NONE",H399),"_","-"),"|","-"),"_TG|",(VLOOKUP(I399,Dictionary!$J:$K,2,0)),"_ST|",(VLOOKUP(J399,Dictionary!$M:$N,2,0)),"_TS|",SUBSTITUTE(SUBSTITUTE(IF(K399="","NONE",K399),"_","-"),"|","-"),"_SZ|",(VLOOKUP(L399,Dictionary!$Y:$Z,1,0)),"_AD|",(VLOOKUP(M399,Dictionary!$AB:$AC,2,0)),"_IT|",(VLOOKUP(N399,Dictionary!$BC:$BD,2,0)),IF(O399="","",CONCATENATE("_U1|",SUBSTITUTE(SUBSTITUTE(O399,"_","-"),"|","-"))),IF(P399="","",CONCATENATE("_U2|",SUBSTITUTE(SUBSTITUTE(P399,"_","-"),"|","-"))),IF(Q399="","",CONCATENATE("_U3|",SUBSTITUTE(SUBSTITUTE(Q399,"_","-"),"|","-")))))</f>
        <v>#N/A</v>
      </c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3" t="str">
        <f>IF(K400="----","#N/A",CONCATENATE("MK|",(VLOOKUP(B400,Dictionary!$A:$B,2,0)),"_CH|",(VLOOKUP(C400,Dictionary!$AV:$AW,2,0)),"_DT|",(VLOOKUP(D400,Dictionary!$P:$Q,2,0)),"_PB|",(VLOOKUP(E400,Dictionary!$G:$H,2,0)),"_FM|",(VLOOKUP(F400,Dictionary!$S:$T,2,0)),"_RT|",(VLOOKUP(G400,Dictionary!$V:$W,2,0)),"_PD|",SUBSTITUTE(SUBSTITUTE(IF(H400="","NONE",H400),"_","-"),"|","-"),"_TG|",(VLOOKUP(I400,Dictionary!$J:$K,2,0)),"_ST|",(VLOOKUP(J400,Dictionary!$M:$N,2,0)),"_TS|",SUBSTITUTE(SUBSTITUTE(IF(K400="","NONE",K400),"_","-"),"|","-"),"_SZ|",(VLOOKUP(L400,Dictionary!$Y:$Z,1,0)),"_AD|",(VLOOKUP(M400,Dictionary!$AB:$AC,2,0)),"_IT|",(VLOOKUP(N400,Dictionary!$BC:$BD,2,0)),IF(O400="","",CONCATENATE("_U1|",SUBSTITUTE(SUBSTITUTE(O400,"_","-"),"|","-"))),IF(P400="","",CONCATENATE("_U2|",SUBSTITUTE(SUBSTITUTE(P400,"_","-"),"|","-"))),IF(Q400="","",CONCATENATE("_U3|",SUBSTITUTE(SUBSTITUTE(Q400,"_","-"),"|","-")))))</f>
        <v>#N/A</v>
      </c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3" t="str">
        <f>IF(K401="----","#N/A",CONCATENATE("MK|",(VLOOKUP(B401,Dictionary!$A:$B,2,0)),"_CH|",(VLOOKUP(C401,Dictionary!$AV:$AW,2,0)),"_DT|",(VLOOKUP(D401,Dictionary!$P:$Q,2,0)),"_PB|",(VLOOKUP(E401,Dictionary!$G:$H,2,0)),"_FM|",(VLOOKUP(F401,Dictionary!$S:$T,2,0)),"_RT|",(VLOOKUP(G401,Dictionary!$V:$W,2,0)),"_PD|",SUBSTITUTE(SUBSTITUTE(IF(H401="","NONE",H401),"_","-"),"|","-"),"_TG|",(VLOOKUP(I401,Dictionary!$J:$K,2,0)),"_ST|",(VLOOKUP(J401,Dictionary!$M:$N,2,0)),"_TS|",SUBSTITUTE(SUBSTITUTE(IF(K401="","NONE",K401),"_","-"),"|","-"),"_SZ|",(VLOOKUP(L401,Dictionary!$Y:$Z,1,0)),"_AD|",(VLOOKUP(M401,Dictionary!$AB:$AC,2,0)),"_IT|",(VLOOKUP(N401,Dictionary!$BC:$BD,2,0)),IF(O401="","",CONCATENATE("_U1|",SUBSTITUTE(SUBSTITUTE(O401,"_","-"),"|","-"))),IF(P401="","",CONCATENATE("_U2|",SUBSTITUTE(SUBSTITUTE(P401,"_","-"),"|","-"))),IF(Q401="","",CONCATENATE("_U3|",SUBSTITUTE(SUBSTITUTE(Q401,"_","-"),"|","-")))))</f>
        <v>#N/A</v>
      </c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3" t="str">
        <f>IF(K402="----","#N/A",CONCATENATE("MK|",(VLOOKUP(B402,Dictionary!$A:$B,2,0)),"_CH|",(VLOOKUP(C402,Dictionary!$AV:$AW,2,0)),"_DT|",(VLOOKUP(D402,Dictionary!$P:$Q,2,0)),"_PB|",(VLOOKUP(E402,Dictionary!$G:$H,2,0)),"_FM|",(VLOOKUP(F402,Dictionary!$S:$T,2,0)),"_RT|",(VLOOKUP(G402,Dictionary!$V:$W,2,0)),"_PD|",SUBSTITUTE(SUBSTITUTE(IF(H402="","NONE",H402),"_","-"),"|","-"),"_TG|",(VLOOKUP(I402,Dictionary!$J:$K,2,0)),"_ST|",(VLOOKUP(J402,Dictionary!$M:$N,2,0)),"_TS|",SUBSTITUTE(SUBSTITUTE(IF(K402="","NONE",K402),"_","-"),"|","-"),"_SZ|",(VLOOKUP(L402,Dictionary!$Y:$Z,1,0)),"_AD|",(VLOOKUP(M402,Dictionary!$AB:$AC,2,0)),"_IT|",(VLOOKUP(N402,Dictionary!$BC:$BD,2,0)),IF(O402="","",CONCATENATE("_U1|",SUBSTITUTE(SUBSTITUTE(O402,"_","-"),"|","-"))),IF(P402="","",CONCATENATE("_U2|",SUBSTITUTE(SUBSTITUTE(P402,"_","-"),"|","-"))),IF(Q402="","",CONCATENATE("_U3|",SUBSTITUTE(SUBSTITUTE(Q402,"_","-"),"|","-")))))</f>
        <v>#N/A</v>
      </c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3" t="str">
        <f>IF(K403="----","#N/A",CONCATENATE("MK|",(VLOOKUP(B403,Dictionary!$A:$B,2,0)),"_CH|",(VLOOKUP(C403,Dictionary!$AV:$AW,2,0)),"_DT|",(VLOOKUP(D403,Dictionary!$P:$Q,2,0)),"_PB|",(VLOOKUP(E403,Dictionary!$G:$H,2,0)),"_FM|",(VLOOKUP(F403,Dictionary!$S:$T,2,0)),"_RT|",(VLOOKUP(G403,Dictionary!$V:$W,2,0)),"_PD|",SUBSTITUTE(SUBSTITUTE(IF(H403="","NONE",H403),"_","-"),"|","-"),"_TG|",(VLOOKUP(I403,Dictionary!$J:$K,2,0)),"_ST|",(VLOOKUP(J403,Dictionary!$M:$N,2,0)),"_TS|",SUBSTITUTE(SUBSTITUTE(IF(K403="","NONE",K403),"_","-"),"|","-"),"_SZ|",(VLOOKUP(L403,Dictionary!$Y:$Z,1,0)),"_AD|",(VLOOKUP(M403,Dictionary!$AB:$AC,2,0)),"_IT|",(VLOOKUP(N403,Dictionary!$BC:$BD,2,0)),IF(O403="","",CONCATENATE("_U1|",SUBSTITUTE(SUBSTITUTE(O403,"_","-"),"|","-"))),IF(P403="","",CONCATENATE("_U2|",SUBSTITUTE(SUBSTITUTE(P403,"_","-"),"|","-"))),IF(Q403="","",CONCATENATE("_U3|",SUBSTITUTE(SUBSTITUTE(Q403,"_","-"),"|","-")))))</f>
        <v>#N/A</v>
      </c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3" t="str">
        <f>IF(K404="----","#N/A",CONCATENATE("MK|",(VLOOKUP(B404,Dictionary!$A:$B,2,0)),"_CH|",(VLOOKUP(C404,Dictionary!$AV:$AW,2,0)),"_DT|",(VLOOKUP(D404,Dictionary!$P:$Q,2,0)),"_PB|",(VLOOKUP(E404,Dictionary!$G:$H,2,0)),"_FM|",(VLOOKUP(F404,Dictionary!$S:$T,2,0)),"_RT|",(VLOOKUP(G404,Dictionary!$V:$W,2,0)),"_PD|",SUBSTITUTE(SUBSTITUTE(IF(H404="","NONE",H404),"_","-"),"|","-"),"_TG|",(VLOOKUP(I404,Dictionary!$J:$K,2,0)),"_ST|",(VLOOKUP(J404,Dictionary!$M:$N,2,0)),"_TS|",SUBSTITUTE(SUBSTITUTE(IF(K404="","NONE",K404),"_","-"),"|","-"),"_SZ|",(VLOOKUP(L404,Dictionary!$Y:$Z,1,0)),"_AD|",(VLOOKUP(M404,Dictionary!$AB:$AC,2,0)),"_IT|",(VLOOKUP(N404,Dictionary!$BC:$BD,2,0)),IF(O404="","",CONCATENATE("_U1|",SUBSTITUTE(SUBSTITUTE(O404,"_","-"),"|","-"))),IF(P404="","",CONCATENATE("_U2|",SUBSTITUTE(SUBSTITUTE(P404,"_","-"),"|","-"))),IF(Q404="","",CONCATENATE("_U3|",SUBSTITUTE(SUBSTITUTE(Q404,"_","-"),"|","-")))))</f>
        <v>#N/A</v>
      </c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3" t="str">
        <f>IF(K405="----","#N/A",CONCATENATE("MK|",(VLOOKUP(B405,Dictionary!$A:$B,2,0)),"_CH|",(VLOOKUP(C405,Dictionary!$AV:$AW,2,0)),"_DT|",(VLOOKUP(D405,Dictionary!$P:$Q,2,0)),"_PB|",(VLOOKUP(E405,Dictionary!$G:$H,2,0)),"_FM|",(VLOOKUP(F405,Dictionary!$S:$T,2,0)),"_RT|",(VLOOKUP(G405,Dictionary!$V:$W,2,0)),"_PD|",SUBSTITUTE(SUBSTITUTE(IF(H405="","NONE",H405),"_","-"),"|","-"),"_TG|",(VLOOKUP(I405,Dictionary!$J:$K,2,0)),"_ST|",(VLOOKUP(J405,Dictionary!$M:$N,2,0)),"_TS|",SUBSTITUTE(SUBSTITUTE(IF(K405="","NONE",K405),"_","-"),"|","-"),"_SZ|",(VLOOKUP(L405,Dictionary!$Y:$Z,1,0)),"_AD|",(VLOOKUP(M405,Dictionary!$AB:$AC,2,0)),"_IT|",(VLOOKUP(N405,Dictionary!$BC:$BD,2,0)),IF(O405="","",CONCATENATE("_U1|",SUBSTITUTE(SUBSTITUTE(O405,"_","-"),"|","-"))),IF(P405="","",CONCATENATE("_U2|",SUBSTITUTE(SUBSTITUTE(P405,"_","-"),"|","-"))),IF(Q405="","",CONCATENATE("_U3|",SUBSTITUTE(SUBSTITUTE(Q405,"_","-"),"|","-")))))</f>
        <v>#N/A</v>
      </c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3" t="str">
        <f>IF(K406="----","#N/A",CONCATENATE("MK|",(VLOOKUP(B406,Dictionary!$A:$B,2,0)),"_CH|",(VLOOKUP(C406,Dictionary!$AV:$AW,2,0)),"_DT|",(VLOOKUP(D406,Dictionary!$P:$Q,2,0)),"_PB|",(VLOOKUP(E406,Dictionary!$G:$H,2,0)),"_FM|",(VLOOKUP(F406,Dictionary!$S:$T,2,0)),"_RT|",(VLOOKUP(G406,Dictionary!$V:$W,2,0)),"_PD|",SUBSTITUTE(SUBSTITUTE(IF(H406="","NONE",H406),"_","-"),"|","-"),"_TG|",(VLOOKUP(I406,Dictionary!$J:$K,2,0)),"_ST|",(VLOOKUP(J406,Dictionary!$M:$N,2,0)),"_TS|",SUBSTITUTE(SUBSTITUTE(IF(K406="","NONE",K406),"_","-"),"|","-"),"_SZ|",(VLOOKUP(L406,Dictionary!$Y:$Z,1,0)),"_AD|",(VLOOKUP(M406,Dictionary!$AB:$AC,2,0)),"_IT|",(VLOOKUP(N406,Dictionary!$BC:$BD,2,0)),IF(O406="","",CONCATENATE("_U1|",SUBSTITUTE(SUBSTITUTE(O406,"_","-"),"|","-"))),IF(P406="","",CONCATENATE("_U2|",SUBSTITUTE(SUBSTITUTE(P406,"_","-"),"|","-"))),IF(Q406="","",CONCATENATE("_U3|",SUBSTITUTE(SUBSTITUTE(Q406,"_","-"),"|","-")))))</f>
        <v>#N/A</v>
      </c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3" t="str">
        <f>IF(K407="----","#N/A",CONCATENATE("MK|",(VLOOKUP(B407,Dictionary!$A:$B,2,0)),"_CH|",(VLOOKUP(C407,Dictionary!$AV:$AW,2,0)),"_DT|",(VLOOKUP(D407,Dictionary!$P:$Q,2,0)),"_PB|",(VLOOKUP(E407,Dictionary!$G:$H,2,0)),"_FM|",(VLOOKUP(F407,Dictionary!$S:$T,2,0)),"_RT|",(VLOOKUP(G407,Dictionary!$V:$W,2,0)),"_PD|",SUBSTITUTE(SUBSTITUTE(IF(H407="","NONE",H407),"_","-"),"|","-"),"_TG|",(VLOOKUP(I407,Dictionary!$J:$K,2,0)),"_ST|",(VLOOKUP(J407,Dictionary!$M:$N,2,0)),"_TS|",SUBSTITUTE(SUBSTITUTE(IF(K407="","NONE",K407),"_","-"),"|","-"),"_SZ|",(VLOOKUP(L407,Dictionary!$Y:$Z,1,0)),"_AD|",(VLOOKUP(M407,Dictionary!$AB:$AC,2,0)),"_IT|",(VLOOKUP(N407,Dictionary!$BC:$BD,2,0)),IF(O407="","",CONCATENATE("_U1|",SUBSTITUTE(SUBSTITUTE(O407,"_","-"),"|","-"))),IF(P407="","",CONCATENATE("_U2|",SUBSTITUTE(SUBSTITUTE(P407,"_","-"),"|","-"))),IF(Q407="","",CONCATENATE("_U3|",SUBSTITUTE(SUBSTITUTE(Q407,"_","-"),"|","-")))))</f>
        <v>#N/A</v>
      </c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3" t="str">
        <f>IF(K408="----","#N/A",CONCATENATE("MK|",(VLOOKUP(B408,Dictionary!$A:$B,2,0)),"_CH|",(VLOOKUP(C408,Dictionary!$AV:$AW,2,0)),"_DT|",(VLOOKUP(D408,Dictionary!$P:$Q,2,0)),"_PB|",(VLOOKUP(E408,Dictionary!$G:$H,2,0)),"_FM|",(VLOOKUP(F408,Dictionary!$S:$T,2,0)),"_RT|",(VLOOKUP(G408,Dictionary!$V:$W,2,0)),"_PD|",SUBSTITUTE(SUBSTITUTE(IF(H408="","NONE",H408),"_","-"),"|","-"),"_TG|",(VLOOKUP(I408,Dictionary!$J:$K,2,0)),"_ST|",(VLOOKUP(J408,Dictionary!$M:$N,2,0)),"_TS|",SUBSTITUTE(SUBSTITUTE(IF(K408="","NONE",K408),"_","-"),"|","-"),"_SZ|",(VLOOKUP(L408,Dictionary!$Y:$Z,1,0)),"_AD|",(VLOOKUP(M408,Dictionary!$AB:$AC,2,0)),"_IT|",(VLOOKUP(N408,Dictionary!$BC:$BD,2,0)),IF(O408="","",CONCATENATE("_U1|",SUBSTITUTE(SUBSTITUTE(O408,"_","-"),"|","-"))),IF(P408="","",CONCATENATE("_U2|",SUBSTITUTE(SUBSTITUTE(P408,"_","-"),"|","-"))),IF(Q408="","",CONCATENATE("_U3|",SUBSTITUTE(SUBSTITUTE(Q408,"_","-"),"|","-")))))</f>
        <v>#N/A</v>
      </c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3" t="str">
        <f>IF(K409="----","#N/A",CONCATENATE("MK|",(VLOOKUP(B409,Dictionary!$A:$B,2,0)),"_CH|",(VLOOKUP(C409,Dictionary!$AV:$AW,2,0)),"_DT|",(VLOOKUP(D409,Dictionary!$P:$Q,2,0)),"_PB|",(VLOOKUP(E409,Dictionary!$G:$H,2,0)),"_FM|",(VLOOKUP(F409,Dictionary!$S:$T,2,0)),"_RT|",(VLOOKUP(G409,Dictionary!$V:$W,2,0)),"_PD|",SUBSTITUTE(SUBSTITUTE(IF(H409="","NONE",H409),"_","-"),"|","-"),"_TG|",(VLOOKUP(I409,Dictionary!$J:$K,2,0)),"_ST|",(VLOOKUP(J409,Dictionary!$M:$N,2,0)),"_TS|",SUBSTITUTE(SUBSTITUTE(IF(K409="","NONE",K409),"_","-"),"|","-"),"_SZ|",(VLOOKUP(L409,Dictionary!$Y:$Z,1,0)),"_AD|",(VLOOKUP(M409,Dictionary!$AB:$AC,2,0)),"_IT|",(VLOOKUP(N409,Dictionary!$BC:$BD,2,0)),IF(O409="","",CONCATENATE("_U1|",SUBSTITUTE(SUBSTITUTE(O409,"_","-"),"|","-"))),IF(P409="","",CONCATENATE("_U2|",SUBSTITUTE(SUBSTITUTE(P409,"_","-"),"|","-"))),IF(Q409="","",CONCATENATE("_U3|",SUBSTITUTE(SUBSTITUTE(Q409,"_","-"),"|","-")))))</f>
        <v>#N/A</v>
      </c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3" t="str">
        <f>IF(K410="----","#N/A",CONCATENATE("MK|",(VLOOKUP(B410,Dictionary!$A:$B,2,0)),"_CH|",(VLOOKUP(C410,Dictionary!$AV:$AW,2,0)),"_DT|",(VLOOKUP(D410,Dictionary!$P:$Q,2,0)),"_PB|",(VLOOKUP(E410,Dictionary!$G:$H,2,0)),"_FM|",(VLOOKUP(F410,Dictionary!$S:$T,2,0)),"_RT|",(VLOOKUP(G410,Dictionary!$V:$W,2,0)),"_PD|",SUBSTITUTE(SUBSTITUTE(IF(H410="","NONE",H410),"_","-"),"|","-"),"_TG|",(VLOOKUP(I410,Dictionary!$J:$K,2,0)),"_ST|",(VLOOKUP(J410,Dictionary!$M:$N,2,0)),"_TS|",SUBSTITUTE(SUBSTITUTE(IF(K410="","NONE",K410),"_","-"),"|","-"),"_SZ|",(VLOOKUP(L410,Dictionary!$Y:$Z,1,0)),"_AD|",(VLOOKUP(M410,Dictionary!$AB:$AC,2,0)),"_IT|",(VLOOKUP(N410,Dictionary!$BC:$BD,2,0)),IF(O410="","",CONCATENATE("_U1|",SUBSTITUTE(SUBSTITUTE(O410,"_","-"),"|","-"))),IF(P410="","",CONCATENATE("_U2|",SUBSTITUTE(SUBSTITUTE(P410,"_","-"),"|","-"))),IF(Q410="","",CONCATENATE("_U3|",SUBSTITUTE(SUBSTITUTE(Q410,"_","-"),"|","-")))))</f>
        <v>#N/A</v>
      </c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3" t="str">
        <f>IF(K411="----","#N/A",CONCATENATE("MK|",(VLOOKUP(B411,Dictionary!$A:$B,2,0)),"_CH|",(VLOOKUP(C411,Dictionary!$AV:$AW,2,0)),"_DT|",(VLOOKUP(D411,Dictionary!$P:$Q,2,0)),"_PB|",(VLOOKUP(E411,Dictionary!$G:$H,2,0)),"_FM|",(VLOOKUP(F411,Dictionary!$S:$T,2,0)),"_RT|",(VLOOKUP(G411,Dictionary!$V:$W,2,0)),"_PD|",SUBSTITUTE(SUBSTITUTE(IF(H411="","NONE",H411),"_","-"),"|","-"),"_TG|",(VLOOKUP(I411,Dictionary!$J:$K,2,0)),"_ST|",(VLOOKUP(J411,Dictionary!$M:$N,2,0)),"_TS|",SUBSTITUTE(SUBSTITUTE(IF(K411="","NONE",K411),"_","-"),"|","-"),"_SZ|",(VLOOKUP(L411,Dictionary!$Y:$Z,1,0)),"_AD|",(VLOOKUP(M411,Dictionary!$AB:$AC,2,0)),"_IT|",(VLOOKUP(N411,Dictionary!$BC:$BD,2,0)),IF(O411="","",CONCATENATE("_U1|",SUBSTITUTE(SUBSTITUTE(O411,"_","-"),"|","-"))),IF(P411="","",CONCATENATE("_U2|",SUBSTITUTE(SUBSTITUTE(P411,"_","-"),"|","-"))),IF(Q411="","",CONCATENATE("_U3|",SUBSTITUTE(SUBSTITUTE(Q411,"_","-"),"|","-")))))</f>
        <v>#N/A</v>
      </c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3" t="str">
        <f>IF(K412="----","#N/A",CONCATENATE("MK|",(VLOOKUP(B412,Dictionary!$A:$B,2,0)),"_CH|",(VLOOKUP(C412,Dictionary!$AV:$AW,2,0)),"_DT|",(VLOOKUP(D412,Dictionary!$P:$Q,2,0)),"_PB|",(VLOOKUP(E412,Dictionary!$G:$H,2,0)),"_FM|",(VLOOKUP(F412,Dictionary!$S:$T,2,0)),"_RT|",(VLOOKUP(G412,Dictionary!$V:$W,2,0)),"_PD|",SUBSTITUTE(SUBSTITUTE(IF(H412="","NONE",H412),"_","-"),"|","-"),"_TG|",(VLOOKUP(I412,Dictionary!$J:$K,2,0)),"_ST|",(VLOOKUP(J412,Dictionary!$M:$N,2,0)),"_TS|",SUBSTITUTE(SUBSTITUTE(IF(K412="","NONE",K412),"_","-"),"|","-"),"_SZ|",(VLOOKUP(L412,Dictionary!$Y:$Z,1,0)),"_AD|",(VLOOKUP(M412,Dictionary!$AB:$AC,2,0)),"_IT|",(VLOOKUP(N412,Dictionary!$BC:$BD,2,0)),IF(O412="","",CONCATENATE("_U1|",SUBSTITUTE(SUBSTITUTE(O412,"_","-"),"|","-"))),IF(P412="","",CONCATENATE("_U2|",SUBSTITUTE(SUBSTITUTE(P412,"_","-"),"|","-"))),IF(Q412="","",CONCATENATE("_U3|",SUBSTITUTE(SUBSTITUTE(Q412,"_","-"),"|","-")))))</f>
        <v>#N/A</v>
      </c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3" t="str">
        <f>IF(K413="----","#N/A",CONCATENATE("MK|",(VLOOKUP(B413,Dictionary!$A:$B,2,0)),"_CH|",(VLOOKUP(C413,Dictionary!$AV:$AW,2,0)),"_DT|",(VLOOKUP(D413,Dictionary!$P:$Q,2,0)),"_PB|",(VLOOKUP(E413,Dictionary!$G:$H,2,0)),"_FM|",(VLOOKUP(F413,Dictionary!$S:$T,2,0)),"_RT|",(VLOOKUP(G413,Dictionary!$V:$W,2,0)),"_PD|",SUBSTITUTE(SUBSTITUTE(IF(H413="","NONE",H413),"_","-"),"|","-"),"_TG|",(VLOOKUP(I413,Dictionary!$J:$K,2,0)),"_ST|",(VLOOKUP(J413,Dictionary!$M:$N,2,0)),"_TS|",SUBSTITUTE(SUBSTITUTE(IF(K413="","NONE",K413),"_","-"),"|","-"),"_SZ|",(VLOOKUP(L413,Dictionary!$Y:$Z,1,0)),"_AD|",(VLOOKUP(M413,Dictionary!$AB:$AC,2,0)),"_IT|",(VLOOKUP(N413,Dictionary!$BC:$BD,2,0)),IF(O413="","",CONCATENATE("_U1|",SUBSTITUTE(SUBSTITUTE(O413,"_","-"),"|","-"))),IF(P413="","",CONCATENATE("_U2|",SUBSTITUTE(SUBSTITUTE(P413,"_","-"),"|","-"))),IF(Q413="","",CONCATENATE("_U3|",SUBSTITUTE(SUBSTITUTE(Q413,"_","-"),"|","-")))))</f>
        <v>#N/A</v>
      </c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3" t="str">
        <f>IF(K414="----","#N/A",CONCATENATE("MK|",(VLOOKUP(B414,Dictionary!$A:$B,2,0)),"_CH|",(VLOOKUP(C414,Dictionary!$AV:$AW,2,0)),"_DT|",(VLOOKUP(D414,Dictionary!$P:$Q,2,0)),"_PB|",(VLOOKUP(E414,Dictionary!$G:$H,2,0)),"_FM|",(VLOOKUP(F414,Dictionary!$S:$T,2,0)),"_RT|",(VLOOKUP(G414,Dictionary!$V:$W,2,0)),"_PD|",SUBSTITUTE(SUBSTITUTE(IF(H414="","NONE",H414),"_","-"),"|","-"),"_TG|",(VLOOKUP(I414,Dictionary!$J:$K,2,0)),"_ST|",(VLOOKUP(J414,Dictionary!$M:$N,2,0)),"_TS|",SUBSTITUTE(SUBSTITUTE(IF(K414="","NONE",K414),"_","-"),"|","-"),"_SZ|",(VLOOKUP(L414,Dictionary!$Y:$Z,1,0)),"_AD|",(VLOOKUP(M414,Dictionary!$AB:$AC,2,0)),"_IT|",(VLOOKUP(N414,Dictionary!$BC:$BD,2,0)),IF(O414="","",CONCATENATE("_U1|",SUBSTITUTE(SUBSTITUTE(O414,"_","-"),"|","-"))),IF(P414="","",CONCATENATE("_U2|",SUBSTITUTE(SUBSTITUTE(P414,"_","-"),"|","-"))),IF(Q414="","",CONCATENATE("_U3|",SUBSTITUTE(SUBSTITUTE(Q414,"_","-"),"|","-")))))</f>
        <v>#N/A</v>
      </c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3" t="str">
        <f>IF(K415="----","#N/A",CONCATENATE("MK|",(VLOOKUP(B415,Dictionary!$A:$B,2,0)),"_CH|",(VLOOKUP(C415,Dictionary!$AV:$AW,2,0)),"_DT|",(VLOOKUP(D415,Dictionary!$P:$Q,2,0)),"_PB|",(VLOOKUP(E415,Dictionary!$G:$H,2,0)),"_FM|",(VLOOKUP(F415,Dictionary!$S:$T,2,0)),"_RT|",(VLOOKUP(G415,Dictionary!$V:$W,2,0)),"_PD|",SUBSTITUTE(SUBSTITUTE(IF(H415="","NONE",H415),"_","-"),"|","-"),"_TG|",(VLOOKUP(I415,Dictionary!$J:$K,2,0)),"_ST|",(VLOOKUP(J415,Dictionary!$M:$N,2,0)),"_TS|",SUBSTITUTE(SUBSTITUTE(IF(K415="","NONE",K415),"_","-"),"|","-"),"_SZ|",(VLOOKUP(L415,Dictionary!$Y:$Z,1,0)),"_AD|",(VLOOKUP(M415,Dictionary!$AB:$AC,2,0)),"_IT|",(VLOOKUP(N415,Dictionary!$BC:$BD,2,0)),IF(O415="","",CONCATENATE("_U1|",SUBSTITUTE(SUBSTITUTE(O415,"_","-"),"|","-"))),IF(P415="","",CONCATENATE("_U2|",SUBSTITUTE(SUBSTITUTE(P415,"_","-"),"|","-"))),IF(Q415="","",CONCATENATE("_U3|",SUBSTITUTE(SUBSTITUTE(Q415,"_","-"),"|","-")))))</f>
        <v>#N/A</v>
      </c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3" t="str">
        <f>IF(K416="----","#N/A",CONCATENATE("MK|",(VLOOKUP(B416,Dictionary!$A:$B,2,0)),"_CH|",(VLOOKUP(C416,Dictionary!$AV:$AW,2,0)),"_DT|",(VLOOKUP(D416,Dictionary!$P:$Q,2,0)),"_PB|",(VLOOKUP(E416,Dictionary!$G:$H,2,0)),"_FM|",(VLOOKUP(F416,Dictionary!$S:$T,2,0)),"_RT|",(VLOOKUP(G416,Dictionary!$V:$W,2,0)),"_PD|",SUBSTITUTE(SUBSTITUTE(IF(H416="","NONE",H416),"_","-"),"|","-"),"_TG|",(VLOOKUP(I416,Dictionary!$J:$K,2,0)),"_ST|",(VLOOKUP(J416,Dictionary!$M:$N,2,0)),"_TS|",SUBSTITUTE(SUBSTITUTE(IF(K416="","NONE",K416),"_","-"),"|","-"),"_SZ|",(VLOOKUP(L416,Dictionary!$Y:$Z,1,0)),"_AD|",(VLOOKUP(M416,Dictionary!$AB:$AC,2,0)),"_IT|",(VLOOKUP(N416,Dictionary!$BC:$BD,2,0)),IF(O416="","",CONCATENATE("_U1|",SUBSTITUTE(SUBSTITUTE(O416,"_","-"),"|","-"))),IF(P416="","",CONCATENATE("_U2|",SUBSTITUTE(SUBSTITUTE(P416,"_","-"),"|","-"))),IF(Q416="","",CONCATENATE("_U3|",SUBSTITUTE(SUBSTITUTE(Q416,"_","-"),"|","-")))))</f>
        <v>#N/A</v>
      </c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3" t="str">
        <f>IF(K417="----","#N/A",CONCATENATE("MK|",(VLOOKUP(B417,Dictionary!$A:$B,2,0)),"_CH|",(VLOOKUP(C417,Dictionary!$AV:$AW,2,0)),"_DT|",(VLOOKUP(D417,Dictionary!$P:$Q,2,0)),"_PB|",(VLOOKUP(E417,Dictionary!$G:$H,2,0)),"_FM|",(VLOOKUP(F417,Dictionary!$S:$T,2,0)),"_RT|",(VLOOKUP(G417,Dictionary!$V:$W,2,0)),"_PD|",SUBSTITUTE(SUBSTITUTE(IF(H417="","NONE",H417),"_","-"),"|","-"),"_TG|",(VLOOKUP(I417,Dictionary!$J:$K,2,0)),"_ST|",(VLOOKUP(J417,Dictionary!$M:$N,2,0)),"_TS|",SUBSTITUTE(SUBSTITUTE(IF(K417="","NONE",K417),"_","-"),"|","-"),"_SZ|",(VLOOKUP(L417,Dictionary!$Y:$Z,1,0)),"_AD|",(VLOOKUP(M417,Dictionary!$AB:$AC,2,0)),"_IT|",(VLOOKUP(N417,Dictionary!$BC:$BD,2,0)),IF(O417="","",CONCATENATE("_U1|",SUBSTITUTE(SUBSTITUTE(O417,"_","-"),"|","-"))),IF(P417="","",CONCATENATE("_U2|",SUBSTITUTE(SUBSTITUTE(P417,"_","-"),"|","-"))),IF(Q417="","",CONCATENATE("_U3|",SUBSTITUTE(SUBSTITUTE(Q417,"_","-"),"|","-")))))</f>
        <v>#N/A</v>
      </c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3" t="str">
        <f>IF(K418="----","#N/A",CONCATENATE("MK|",(VLOOKUP(B418,Dictionary!$A:$B,2,0)),"_CH|",(VLOOKUP(C418,Dictionary!$AV:$AW,2,0)),"_DT|",(VLOOKUP(D418,Dictionary!$P:$Q,2,0)),"_PB|",(VLOOKUP(E418,Dictionary!$G:$H,2,0)),"_FM|",(VLOOKUP(F418,Dictionary!$S:$T,2,0)),"_RT|",(VLOOKUP(G418,Dictionary!$V:$W,2,0)),"_PD|",SUBSTITUTE(SUBSTITUTE(IF(H418="","NONE",H418),"_","-"),"|","-"),"_TG|",(VLOOKUP(I418,Dictionary!$J:$K,2,0)),"_ST|",(VLOOKUP(J418,Dictionary!$M:$N,2,0)),"_TS|",SUBSTITUTE(SUBSTITUTE(IF(K418="","NONE",K418),"_","-"),"|","-"),"_SZ|",(VLOOKUP(L418,Dictionary!$Y:$Z,1,0)),"_AD|",(VLOOKUP(M418,Dictionary!$AB:$AC,2,0)),"_IT|",(VLOOKUP(N418,Dictionary!$BC:$BD,2,0)),IF(O418="","",CONCATENATE("_U1|",SUBSTITUTE(SUBSTITUTE(O418,"_","-"),"|","-"))),IF(P418="","",CONCATENATE("_U2|",SUBSTITUTE(SUBSTITUTE(P418,"_","-"),"|","-"))),IF(Q418="","",CONCATENATE("_U3|",SUBSTITUTE(SUBSTITUTE(Q418,"_","-"),"|","-")))))</f>
        <v>#N/A</v>
      </c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3" t="str">
        <f>IF(K419="----","#N/A",CONCATENATE("MK|",(VLOOKUP(B419,Dictionary!$A:$B,2,0)),"_CH|",(VLOOKUP(C419,Dictionary!$AV:$AW,2,0)),"_DT|",(VLOOKUP(D419,Dictionary!$P:$Q,2,0)),"_PB|",(VLOOKUP(E419,Dictionary!$G:$H,2,0)),"_FM|",(VLOOKUP(F419,Dictionary!$S:$T,2,0)),"_RT|",(VLOOKUP(G419,Dictionary!$V:$W,2,0)),"_PD|",SUBSTITUTE(SUBSTITUTE(IF(H419="","NONE",H419),"_","-"),"|","-"),"_TG|",(VLOOKUP(I419,Dictionary!$J:$K,2,0)),"_ST|",(VLOOKUP(J419,Dictionary!$M:$N,2,0)),"_TS|",SUBSTITUTE(SUBSTITUTE(IF(K419="","NONE",K419),"_","-"),"|","-"),"_SZ|",(VLOOKUP(L419,Dictionary!$Y:$Z,1,0)),"_AD|",(VLOOKUP(M419,Dictionary!$AB:$AC,2,0)),"_IT|",(VLOOKUP(N419,Dictionary!$BC:$BD,2,0)),IF(O419="","",CONCATENATE("_U1|",SUBSTITUTE(SUBSTITUTE(O419,"_","-"),"|","-"))),IF(P419="","",CONCATENATE("_U2|",SUBSTITUTE(SUBSTITUTE(P419,"_","-"),"|","-"))),IF(Q419="","",CONCATENATE("_U3|",SUBSTITUTE(SUBSTITUTE(Q419,"_","-"),"|","-")))))</f>
        <v>#N/A</v>
      </c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3" t="str">
        <f>IF(K420="----","#N/A",CONCATENATE("MK|",(VLOOKUP(B420,Dictionary!$A:$B,2,0)),"_CH|",(VLOOKUP(C420,Dictionary!$AV:$AW,2,0)),"_DT|",(VLOOKUP(D420,Dictionary!$P:$Q,2,0)),"_PB|",(VLOOKUP(E420,Dictionary!$G:$H,2,0)),"_FM|",(VLOOKUP(F420,Dictionary!$S:$T,2,0)),"_RT|",(VLOOKUP(G420,Dictionary!$V:$W,2,0)),"_PD|",SUBSTITUTE(SUBSTITUTE(IF(H420="","NONE",H420),"_","-"),"|","-"),"_TG|",(VLOOKUP(I420,Dictionary!$J:$K,2,0)),"_ST|",(VLOOKUP(J420,Dictionary!$M:$N,2,0)),"_TS|",SUBSTITUTE(SUBSTITUTE(IF(K420="","NONE",K420),"_","-"),"|","-"),"_SZ|",(VLOOKUP(L420,Dictionary!$Y:$Z,1,0)),"_AD|",(VLOOKUP(M420,Dictionary!$AB:$AC,2,0)),"_IT|",(VLOOKUP(N420,Dictionary!$BC:$BD,2,0)),IF(O420="","",CONCATENATE("_U1|",SUBSTITUTE(SUBSTITUTE(O420,"_","-"),"|","-"))),IF(P420="","",CONCATENATE("_U2|",SUBSTITUTE(SUBSTITUTE(P420,"_","-"),"|","-"))),IF(Q420="","",CONCATENATE("_U3|",SUBSTITUTE(SUBSTITUTE(Q420,"_","-"),"|","-")))))</f>
        <v>#N/A</v>
      </c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3" t="str">
        <f>IF(K421="----","#N/A",CONCATENATE("MK|",(VLOOKUP(B421,Dictionary!$A:$B,2,0)),"_CH|",(VLOOKUP(C421,Dictionary!$AV:$AW,2,0)),"_DT|",(VLOOKUP(D421,Dictionary!$P:$Q,2,0)),"_PB|",(VLOOKUP(E421,Dictionary!$G:$H,2,0)),"_FM|",(VLOOKUP(F421,Dictionary!$S:$T,2,0)),"_RT|",(VLOOKUP(G421,Dictionary!$V:$W,2,0)),"_PD|",SUBSTITUTE(SUBSTITUTE(IF(H421="","NONE",H421),"_","-"),"|","-"),"_TG|",(VLOOKUP(I421,Dictionary!$J:$K,2,0)),"_ST|",(VLOOKUP(J421,Dictionary!$M:$N,2,0)),"_TS|",SUBSTITUTE(SUBSTITUTE(IF(K421="","NONE",K421),"_","-"),"|","-"),"_SZ|",(VLOOKUP(L421,Dictionary!$Y:$Z,1,0)),"_AD|",(VLOOKUP(M421,Dictionary!$AB:$AC,2,0)),"_IT|",(VLOOKUP(N421,Dictionary!$BC:$BD,2,0)),IF(O421="","",CONCATENATE("_U1|",SUBSTITUTE(SUBSTITUTE(O421,"_","-"),"|","-"))),IF(P421="","",CONCATENATE("_U2|",SUBSTITUTE(SUBSTITUTE(P421,"_","-"),"|","-"))),IF(Q421="","",CONCATENATE("_U3|",SUBSTITUTE(SUBSTITUTE(Q421,"_","-"),"|","-")))))</f>
        <v>#N/A</v>
      </c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3" t="str">
        <f>IF(K422="----","#N/A",CONCATENATE("MK|",(VLOOKUP(B422,Dictionary!$A:$B,2,0)),"_CH|",(VLOOKUP(C422,Dictionary!$AV:$AW,2,0)),"_DT|",(VLOOKUP(D422,Dictionary!$P:$Q,2,0)),"_PB|",(VLOOKUP(E422,Dictionary!$G:$H,2,0)),"_FM|",(VLOOKUP(F422,Dictionary!$S:$T,2,0)),"_RT|",(VLOOKUP(G422,Dictionary!$V:$W,2,0)),"_PD|",SUBSTITUTE(SUBSTITUTE(IF(H422="","NONE",H422),"_","-"),"|","-"),"_TG|",(VLOOKUP(I422,Dictionary!$J:$K,2,0)),"_ST|",(VLOOKUP(J422,Dictionary!$M:$N,2,0)),"_TS|",SUBSTITUTE(SUBSTITUTE(IF(K422="","NONE",K422),"_","-"),"|","-"),"_SZ|",(VLOOKUP(L422,Dictionary!$Y:$Z,1,0)),"_AD|",(VLOOKUP(M422,Dictionary!$AB:$AC,2,0)),"_IT|",(VLOOKUP(N422,Dictionary!$BC:$BD,2,0)),IF(O422="","",CONCATENATE("_U1|",SUBSTITUTE(SUBSTITUTE(O422,"_","-"),"|","-"))),IF(P422="","",CONCATENATE("_U2|",SUBSTITUTE(SUBSTITUTE(P422,"_","-"),"|","-"))),IF(Q422="","",CONCATENATE("_U3|",SUBSTITUTE(SUBSTITUTE(Q422,"_","-"),"|","-")))))</f>
        <v>#N/A</v>
      </c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3" t="str">
        <f>IF(K423="----","#N/A",CONCATENATE("MK|",(VLOOKUP(B423,Dictionary!$A:$B,2,0)),"_CH|",(VLOOKUP(C423,Dictionary!$AV:$AW,2,0)),"_DT|",(VLOOKUP(D423,Dictionary!$P:$Q,2,0)),"_PB|",(VLOOKUP(E423,Dictionary!$G:$H,2,0)),"_FM|",(VLOOKUP(F423,Dictionary!$S:$T,2,0)),"_RT|",(VLOOKUP(G423,Dictionary!$V:$W,2,0)),"_PD|",SUBSTITUTE(SUBSTITUTE(IF(H423="","NONE",H423),"_","-"),"|","-"),"_TG|",(VLOOKUP(I423,Dictionary!$J:$K,2,0)),"_ST|",(VLOOKUP(J423,Dictionary!$M:$N,2,0)),"_TS|",SUBSTITUTE(SUBSTITUTE(IF(K423="","NONE",K423),"_","-"),"|","-"),"_SZ|",(VLOOKUP(L423,Dictionary!$Y:$Z,1,0)),"_AD|",(VLOOKUP(M423,Dictionary!$AB:$AC,2,0)),"_IT|",(VLOOKUP(N423,Dictionary!$BC:$BD,2,0)),IF(O423="","",CONCATENATE("_U1|",SUBSTITUTE(SUBSTITUTE(O423,"_","-"),"|","-"))),IF(P423="","",CONCATENATE("_U2|",SUBSTITUTE(SUBSTITUTE(P423,"_","-"),"|","-"))),IF(Q423="","",CONCATENATE("_U3|",SUBSTITUTE(SUBSTITUTE(Q423,"_","-"),"|","-")))))</f>
        <v>#N/A</v>
      </c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3" t="str">
        <f>IF(K424="----","#N/A",CONCATENATE("MK|",(VLOOKUP(B424,Dictionary!$A:$B,2,0)),"_CH|",(VLOOKUP(C424,Dictionary!$AV:$AW,2,0)),"_DT|",(VLOOKUP(D424,Dictionary!$P:$Q,2,0)),"_PB|",(VLOOKUP(E424,Dictionary!$G:$H,2,0)),"_FM|",(VLOOKUP(F424,Dictionary!$S:$T,2,0)),"_RT|",(VLOOKUP(G424,Dictionary!$V:$W,2,0)),"_PD|",SUBSTITUTE(SUBSTITUTE(IF(H424="","NONE",H424),"_","-"),"|","-"),"_TG|",(VLOOKUP(I424,Dictionary!$J:$K,2,0)),"_ST|",(VLOOKUP(J424,Dictionary!$M:$N,2,0)),"_TS|",SUBSTITUTE(SUBSTITUTE(IF(K424="","NONE",K424),"_","-"),"|","-"),"_SZ|",(VLOOKUP(L424,Dictionary!$Y:$Z,1,0)),"_AD|",(VLOOKUP(M424,Dictionary!$AB:$AC,2,0)),"_IT|",(VLOOKUP(N424,Dictionary!$BC:$BD,2,0)),IF(O424="","",CONCATENATE("_U1|",SUBSTITUTE(SUBSTITUTE(O424,"_","-"),"|","-"))),IF(P424="","",CONCATENATE("_U2|",SUBSTITUTE(SUBSTITUTE(P424,"_","-"),"|","-"))),IF(Q424="","",CONCATENATE("_U3|",SUBSTITUTE(SUBSTITUTE(Q424,"_","-"),"|","-")))))</f>
        <v>#N/A</v>
      </c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3" t="str">
        <f>IF(K425="----","#N/A",CONCATENATE("MK|",(VLOOKUP(B425,Dictionary!$A:$B,2,0)),"_CH|",(VLOOKUP(C425,Dictionary!$AV:$AW,2,0)),"_DT|",(VLOOKUP(D425,Dictionary!$P:$Q,2,0)),"_PB|",(VLOOKUP(E425,Dictionary!$G:$H,2,0)),"_FM|",(VLOOKUP(F425,Dictionary!$S:$T,2,0)),"_RT|",(VLOOKUP(G425,Dictionary!$V:$W,2,0)),"_PD|",SUBSTITUTE(SUBSTITUTE(IF(H425="","NONE",H425),"_","-"),"|","-"),"_TG|",(VLOOKUP(I425,Dictionary!$J:$K,2,0)),"_ST|",(VLOOKUP(J425,Dictionary!$M:$N,2,0)),"_TS|",SUBSTITUTE(SUBSTITUTE(IF(K425="","NONE",K425),"_","-"),"|","-"),"_SZ|",(VLOOKUP(L425,Dictionary!$Y:$Z,1,0)),"_AD|",(VLOOKUP(M425,Dictionary!$AB:$AC,2,0)),"_IT|",(VLOOKUP(N425,Dictionary!$BC:$BD,2,0)),IF(O425="","",CONCATENATE("_U1|",SUBSTITUTE(SUBSTITUTE(O425,"_","-"),"|","-"))),IF(P425="","",CONCATENATE("_U2|",SUBSTITUTE(SUBSTITUTE(P425,"_","-"),"|","-"))),IF(Q425="","",CONCATENATE("_U3|",SUBSTITUTE(SUBSTITUTE(Q425,"_","-"),"|","-")))))</f>
        <v>#N/A</v>
      </c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3" t="str">
        <f>IF(K426="----","#N/A",CONCATENATE("MK|",(VLOOKUP(B426,Dictionary!$A:$B,2,0)),"_CH|",(VLOOKUP(C426,Dictionary!$AV:$AW,2,0)),"_DT|",(VLOOKUP(D426,Dictionary!$P:$Q,2,0)),"_PB|",(VLOOKUP(E426,Dictionary!$G:$H,2,0)),"_FM|",(VLOOKUP(F426,Dictionary!$S:$T,2,0)),"_RT|",(VLOOKUP(G426,Dictionary!$V:$W,2,0)),"_PD|",SUBSTITUTE(SUBSTITUTE(IF(H426="","NONE",H426),"_","-"),"|","-"),"_TG|",(VLOOKUP(I426,Dictionary!$J:$K,2,0)),"_ST|",(VLOOKUP(J426,Dictionary!$M:$N,2,0)),"_TS|",SUBSTITUTE(SUBSTITUTE(IF(K426="","NONE",K426),"_","-"),"|","-"),"_SZ|",(VLOOKUP(L426,Dictionary!$Y:$Z,1,0)),"_AD|",(VLOOKUP(M426,Dictionary!$AB:$AC,2,0)),"_IT|",(VLOOKUP(N426,Dictionary!$BC:$BD,2,0)),IF(O426="","",CONCATENATE("_U1|",SUBSTITUTE(SUBSTITUTE(O426,"_","-"),"|","-"))),IF(P426="","",CONCATENATE("_U2|",SUBSTITUTE(SUBSTITUTE(P426,"_","-"),"|","-"))),IF(Q426="","",CONCATENATE("_U3|",SUBSTITUTE(SUBSTITUTE(Q426,"_","-"),"|","-")))))</f>
        <v>#N/A</v>
      </c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3" t="str">
        <f>IF(K427="----","#N/A",CONCATENATE("MK|",(VLOOKUP(B427,Dictionary!$A:$B,2,0)),"_CH|",(VLOOKUP(C427,Dictionary!$AV:$AW,2,0)),"_DT|",(VLOOKUP(D427,Dictionary!$P:$Q,2,0)),"_PB|",(VLOOKUP(E427,Dictionary!$G:$H,2,0)),"_FM|",(VLOOKUP(F427,Dictionary!$S:$T,2,0)),"_RT|",(VLOOKUP(G427,Dictionary!$V:$W,2,0)),"_PD|",SUBSTITUTE(SUBSTITUTE(IF(H427="","NONE",H427),"_","-"),"|","-"),"_TG|",(VLOOKUP(I427,Dictionary!$J:$K,2,0)),"_ST|",(VLOOKUP(J427,Dictionary!$M:$N,2,0)),"_TS|",SUBSTITUTE(SUBSTITUTE(IF(K427="","NONE",K427),"_","-"),"|","-"),"_SZ|",(VLOOKUP(L427,Dictionary!$Y:$Z,1,0)),"_AD|",(VLOOKUP(M427,Dictionary!$AB:$AC,2,0)),"_IT|",(VLOOKUP(N427,Dictionary!$BC:$BD,2,0)),IF(O427="","",CONCATENATE("_U1|",SUBSTITUTE(SUBSTITUTE(O427,"_","-"),"|","-"))),IF(P427="","",CONCATENATE("_U2|",SUBSTITUTE(SUBSTITUTE(P427,"_","-"),"|","-"))),IF(Q427="","",CONCATENATE("_U3|",SUBSTITUTE(SUBSTITUTE(Q427,"_","-"),"|","-")))))</f>
        <v>#N/A</v>
      </c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3" t="str">
        <f>IF(K428="----","#N/A",CONCATENATE("MK|",(VLOOKUP(B428,Dictionary!$A:$B,2,0)),"_CH|",(VLOOKUP(C428,Dictionary!$AV:$AW,2,0)),"_DT|",(VLOOKUP(D428,Dictionary!$P:$Q,2,0)),"_PB|",(VLOOKUP(E428,Dictionary!$G:$H,2,0)),"_FM|",(VLOOKUP(F428,Dictionary!$S:$T,2,0)),"_RT|",(VLOOKUP(G428,Dictionary!$V:$W,2,0)),"_PD|",SUBSTITUTE(SUBSTITUTE(IF(H428="","NONE",H428),"_","-"),"|","-"),"_TG|",(VLOOKUP(I428,Dictionary!$J:$K,2,0)),"_ST|",(VLOOKUP(J428,Dictionary!$M:$N,2,0)),"_TS|",SUBSTITUTE(SUBSTITUTE(IF(K428="","NONE",K428),"_","-"),"|","-"),"_SZ|",(VLOOKUP(L428,Dictionary!$Y:$Z,1,0)),"_AD|",(VLOOKUP(M428,Dictionary!$AB:$AC,2,0)),"_IT|",(VLOOKUP(N428,Dictionary!$BC:$BD,2,0)),IF(O428="","",CONCATENATE("_U1|",SUBSTITUTE(SUBSTITUTE(O428,"_","-"),"|","-"))),IF(P428="","",CONCATENATE("_U2|",SUBSTITUTE(SUBSTITUTE(P428,"_","-"),"|","-"))),IF(Q428="","",CONCATENATE("_U3|",SUBSTITUTE(SUBSTITUTE(Q428,"_","-"),"|","-")))))</f>
        <v>#N/A</v>
      </c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3" t="str">
        <f>IF(K429="----","#N/A",CONCATENATE("MK|",(VLOOKUP(B429,Dictionary!$A:$B,2,0)),"_CH|",(VLOOKUP(C429,Dictionary!$AV:$AW,2,0)),"_DT|",(VLOOKUP(D429,Dictionary!$P:$Q,2,0)),"_PB|",(VLOOKUP(E429,Dictionary!$G:$H,2,0)),"_FM|",(VLOOKUP(F429,Dictionary!$S:$T,2,0)),"_RT|",(VLOOKUP(G429,Dictionary!$V:$W,2,0)),"_PD|",SUBSTITUTE(SUBSTITUTE(IF(H429="","NONE",H429),"_","-"),"|","-"),"_TG|",(VLOOKUP(I429,Dictionary!$J:$K,2,0)),"_ST|",(VLOOKUP(J429,Dictionary!$M:$N,2,0)),"_TS|",SUBSTITUTE(SUBSTITUTE(IF(K429="","NONE",K429),"_","-"),"|","-"),"_SZ|",(VLOOKUP(L429,Dictionary!$Y:$Z,1,0)),"_AD|",(VLOOKUP(M429,Dictionary!$AB:$AC,2,0)),"_IT|",(VLOOKUP(N429,Dictionary!$BC:$BD,2,0)),IF(O429="","",CONCATENATE("_U1|",SUBSTITUTE(SUBSTITUTE(O429,"_","-"),"|","-"))),IF(P429="","",CONCATENATE("_U2|",SUBSTITUTE(SUBSTITUTE(P429,"_","-"),"|","-"))),IF(Q429="","",CONCATENATE("_U3|",SUBSTITUTE(SUBSTITUTE(Q429,"_","-"),"|","-")))))</f>
        <v>#N/A</v>
      </c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3" t="str">
        <f>IF(K430="----","#N/A",CONCATENATE("MK|",(VLOOKUP(B430,Dictionary!$A:$B,2,0)),"_CH|",(VLOOKUP(C430,Dictionary!$AV:$AW,2,0)),"_DT|",(VLOOKUP(D430,Dictionary!$P:$Q,2,0)),"_PB|",(VLOOKUP(E430,Dictionary!$G:$H,2,0)),"_FM|",(VLOOKUP(F430,Dictionary!$S:$T,2,0)),"_RT|",(VLOOKUP(G430,Dictionary!$V:$W,2,0)),"_PD|",SUBSTITUTE(SUBSTITUTE(IF(H430="","NONE",H430),"_","-"),"|","-"),"_TG|",(VLOOKUP(I430,Dictionary!$J:$K,2,0)),"_ST|",(VLOOKUP(J430,Dictionary!$M:$N,2,0)),"_TS|",SUBSTITUTE(SUBSTITUTE(IF(K430="","NONE",K430),"_","-"),"|","-"),"_SZ|",(VLOOKUP(L430,Dictionary!$Y:$Z,1,0)),"_AD|",(VLOOKUP(M430,Dictionary!$AB:$AC,2,0)),"_IT|",(VLOOKUP(N430,Dictionary!$BC:$BD,2,0)),IF(O430="","",CONCATENATE("_U1|",SUBSTITUTE(SUBSTITUTE(O430,"_","-"),"|","-"))),IF(P430="","",CONCATENATE("_U2|",SUBSTITUTE(SUBSTITUTE(P430,"_","-"),"|","-"))),IF(Q430="","",CONCATENATE("_U3|",SUBSTITUTE(SUBSTITUTE(Q430,"_","-"),"|","-")))))</f>
        <v>#N/A</v>
      </c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3" t="str">
        <f>IF(K431="----","#N/A",CONCATENATE("MK|",(VLOOKUP(B431,Dictionary!$A:$B,2,0)),"_CH|",(VLOOKUP(C431,Dictionary!$AV:$AW,2,0)),"_DT|",(VLOOKUP(D431,Dictionary!$P:$Q,2,0)),"_PB|",(VLOOKUP(E431,Dictionary!$G:$H,2,0)),"_FM|",(VLOOKUP(F431,Dictionary!$S:$T,2,0)),"_RT|",(VLOOKUP(G431,Dictionary!$V:$W,2,0)),"_PD|",SUBSTITUTE(SUBSTITUTE(IF(H431="","NONE",H431),"_","-"),"|","-"),"_TG|",(VLOOKUP(I431,Dictionary!$J:$K,2,0)),"_ST|",(VLOOKUP(J431,Dictionary!$M:$N,2,0)),"_TS|",SUBSTITUTE(SUBSTITUTE(IF(K431="","NONE",K431),"_","-"),"|","-"),"_SZ|",(VLOOKUP(L431,Dictionary!$Y:$Z,1,0)),"_AD|",(VLOOKUP(M431,Dictionary!$AB:$AC,2,0)),"_IT|",(VLOOKUP(N431,Dictionary!$BC:$BD,2,0)),IF(O431="","",CONCATENATE("_U1|",SUBSTITUTE(SUBSTITUTE(O431,"_","-"),"|","-"))),IF(P431="","",CONCATENATE("_U2|",SUBSTITUTE(SUBSTITUTE(P431,"_","-"),"|","-"))),IF(Q431="","",CONCATENATE("_U3|",SUBSTITUTE(SUBSTITUTE(Q431,"_","-"),"|","-")))))</f>
        <v>#N/A</v>
      </c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3" t="str">
        <f>IF(K432="----","#N/A",CONCATENATE("MK|",(VLOOKUP(B432,Dictionary!$A:$B,2,0)),"_CH|",(VLOOKUP(C432,Dictionary!$AV:$AW,2,0)),"_DT|",(VLOOKUP(D432,Dictionary!$P:$Q,2,0)),"_PB|",(VLOOKUP(E432,Dictionary!$G:$H,2,0)),"_FM|",(VLOOKUP(F432,Dictionary!$S:$T,2,0)),"_RT|",(VLOOKUP(G432,Dictionary!$V:$W,2,0)),"_PD|",SUBSTITUTE(SUBSTITUTE(IF(H432="","NONE",H432),"_","-"),"|","-"),"_TG|",(VLOOKUP(I432,Dictionary!$J:$K,2,0)),"_ST|",(VLOOKUP(J432,Dictionary!$M:$N,2,0)),"_TS|",SUBSTITUTE(SUBSTITUTE(IF(K432="","NONE",K432),"_","-"),"|","-"),"_SZ|",(VLOOKUP(L432,Dictionary!$Y:$Z,1,0)),"_AD|",(VLOOKUP(M432,Dictionary!$AB:$AC,2,0)),"_IT|",(VLOOKUP(N432,Dictionary!$BC:$BD,2,0)),IF(O432="","",CONCATENATE("_U1|",SUBSTITUTE(SUBSTITUTE(O432,"_","-"),"|","-"))),IF(P432="","",CONCATENATE("_U2|",SUBSTITUTE(SUBSTITUTE(P432,"_","-"),"|","-"))),IF(Q432="","",CONCATENATE("_U3|",SUBSTITUTE(SUBSTITUTE(Q432,"_","-"),"|","-")))))</f>
        <v>#N/A</v>
      </c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3" t="str">
        <f>IF(K433="----","#N/A",CONCATENATE("MK|",(VLOOKUP(B433,Dictionary!$A:$B,2,0)),"_CH|",(VLOOKUP(C433,Dictionary!$AV:$AW,2,0)),"_DT|",(VLOOKUP(D433,Dictionary!$P:$Q,2,0)),"_PB|",(VLOOKUP(E433,Dictionary!$G:$H,2,0)),"_FM|",(VLOOKUP(F433,Dictionary!$S:$T,2,0)),"_RT|",(VLOOKUP(G433,Dictionary!$V:$W,2,0)),"_PD|",SUBSTITUTE(SUBSTITUTE(IF(H433="","NONE",H433),"_","-"),"|","-"),"_TG|",(VLOOKUP(I433,Dictionary!$J:$K,2,0)),"_ST|",(VLOOKUP(J433,Dictionary!$M:$N,2,0)),"_TS|",SUBSTITUTE(SUBSTITUTE(IF(K433="","NONE",K433),"_","-"),"|","-"),"_SZ|",(VLOOKUP(L433,Dictionary!$Y:$Z,1,0)),"_AD|",(VLOOKUP(M433,Dictionary!$AB:$AC,2,0)),"_IT|",(VLOOKUP(N433,Dictionary!$BC:$BD,2,0)),IF(O433="","",CONCATENATE("_U1|",SUBSTITUTE(SUBSTITUTE(O433,"_","-"),"|","-"))),IF(P433="","",CONCATENATE("_U2|",SUBSTITUTE(SUBSTITUTE(P433,"_","-"),"|","-"))),IF(Q433="","",CONCATENATE("_U3|",SUBSTITUTE(SUBSTITUTE(Q433,"_","-"),"|","-")))))</f>
        <v>#N/A</v>
      </c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3" t="str">
        <f>IF(K434="----","#N/A",CONCATENATE("MK|",(VLOOKUP(B434,Dictionary!$A:$B,2,0)),"_CH|",(VLOOKUP(C434,Dictionary!$AV:$AW,2,0)),"_DT|",(VLOOKUP(D434,Dictionary!$P:$Q,2,0)),"_PB|",(VLOOKUP(E434,Dictionary!$G:$H,2,0)),"_FM|",(VLOOKUP(F434,Dictionary!$S:$T,2,0)),"_RT|",(VLOOKUP(G434,Dictionary!$V:$W,2,0)),"_PD|",SUBSTITUTE(SUBSTITUTE(IF(H434="","NONE",H434),"_","-"),"|","-"),"_TG|",(VLOOKUP(I434,Dictionary!$J:$K,2,0)),"_ST|",(VLOOKUP(J434,Dictionary!$M:$N,2,0)),"_TS|",SUBSTITUTE(SUBSTITUTE(IF(K434="","NONE",K434),"_","-"),"|","-"),"_SZ|",(VLOOKUP(L434,Dictionary!$Y:$Z,1,0)),"_AD|",(VLOOKUP(M434,Dictionary!$AB:$AC,2,0)),"_IT|",(VLOOKUP(N434,Dictionary!$BC:$BD,2,0)),IF(O434="","",CONCATENATE("_U1|",SUBSTITUTE(SUBSTITUTE(O434,"_","-"),"|","-"))),IF(P434="","",CONCATENATE("_U2|",SUBSTITUTE(SUBSTITUTE(P434,"_","-"),"|","-"))),IF(Q434="","",CONCATENATE("_U3|",SUBSTITUTE(SUBSTITUTE(Q434,"_","-"),"|","-")))))</f>
        <v>#N/A</v>
      </c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3" t="str">
        <f>IF(K435="----","#N/A",CONCATENATE("MK|",(VLOOKUP(B435,Dictionary!$A:$B,2,0)),"_CH|",(VLOOKUP(C435,Dictionary!$AV:$AW,2,0)),"_DT|",(VLOOKUP(D435,Dictionary!$P:$Q,2,0)),"_PB|",(VLOOKUP(E435,Dictionary!$G:$H,2,0)),"_FM|",(VLOOKUP(F435,Dictionary!$S:$T,2,0)),"_RT|",(VLOOKUP(G435,Dictionary!$V:$W,2,0)),"_PD|",SUBSTITUTE(SUBSTITUTE(IF(H435="","NONE",H435),"_","-"),"|","-"),"_TG|",(VLOOKUP(I435,Dictionary!$J:$K,2,0)),"_ST|",(VLOOKUP(J435,Dictionary!$M:$N,2,0)),"_TS|",SUBSTITUTE(SUBSTITUTE(IF(K435="","NONE",K435),"_","-"),"|","-"),"_SZ|",(VLOOKUP(L435,Dictionary!$Y:$Z,1,0)),"_AD|",(VLOOKUP(M435,Dictionary!$AB:$AC,2,0)),"_IT|",(VLOOKUP(N435,Dictionary!$BC:$BD,2,0)),IF(O435="","",CONCATENATE("_U1|",SUBSTITUTE(SUBSTITUTE(O435,"_","-"),"|","-"))),IF(P435="","",CONCATENATE("_U2|",SUBSTITUTE(SUBSTITUTE(P435,"_","-"),"|","-"))),IF(Q435="","",CONCATENATE("_U3|",SUBSTITUTE(SUBSTITUTE(Q435,"_","-"),"|","-")))))</f>
        <v>#N/A</v>
      </c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3" t="str">
        <f>IF(K436="----","#N/A",CONCATENATE("MK|",(VLOOKUP(B436,Dictionary!$A:$B,2,0)),"_CH|",(VLOOKUP(C436,Dictionary!$AV:$AW,2,0)),"_DT|",(VLOOKUP(D436,Dictionary!$P:$Q,2,0)),"_PB|",(VLOOKUP(E436,Dictionary!$G:$H,2,0)),"_FM|",(VLOOKUP(F436,Dictionary!$S:$T,2,0)),"_RT|",(VLOOKUP(G436,Dictionary!$V:$W,2,0)),"_PD|",SUBSTITUTE(SUBSTITUTE(IF(H436="","NONE",H436),"_","-"),"|","-"),"_TG|",(VLOOKUP(I436,Dictionary!$J:$K,2,0)),"_ST|",(VLOOKUP(J436,Dictionary!$M:$N,2,0)),"_TS|",SUBSTITUTE(SUBSTITUTE(IF(K436="","NONE",K436),"_","-"),"|","-"),"_SZ|",(VLOOKUP(L436,Dictionary!$Y:$Z,1,0)),"_AD|",(VLOOKUP(M436,Dictionary!$AB:$AC,2,0)),"_IT|",(VLOOKUP(N436,Dictionary!$BC:$BD,2,0)),IF(O436="","",CONCATENATE("_U1|",SUBSTITUTE(SUBSTITUTE(O436,"_","-"),"|","-"))),IF(P436="","",CONCATENATE("_U2|",SUBSTITUTE(SUBSTITUTE(P436,"_","-"),"|","-"))),IF(Q436="","",CONCATENATE("_U3|",SUBSTITUTE(SUBSTITUTE(Q436,"_","-"),"|","-")))))</f>
        <v>#N/A</v>
      </c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3" t="str">
        <f>IF(K437="----","#N/A",CONCATENATE("MK|",(VLOOKUP(B437,Dictionary!$A:$B,2,0)),"_CH|",(VLOOKUP(C437,Dictionary!$AV:$AW,2,0)),"_DT|",(VLOOKUP(D437,Dictionary!$P:$Q,2,0)),"_PB|",(VLOOKUP(E437,Dictionary!$G:$H,2,0)),"_FM|",(VLOOKUP(F437,Dictionary!$S:$T,2,0)),"_RT|",(VLOOKUP(G437,Dictionary!$V:$W,2,0)),"_PD|",SUBSTITUTE(SUBSTITUTE(IF(H437="","NONE",H437),"_","-"),"|","-"),"_TG|",(VLOOKUP(I437,Dictionary!$J:$K,2,0)),"_ST|",(VLOOKUP(J437,Dictionary!$M:$N,2,0)),"_TS|",SUBSTITUTE(SUBSTITUTE(IF(K437="","NONE",K437),"_","-"),"|","-"),"_SZ|",(VLOOKUP(L437,Dictionary!$Y:$Z,1,0)),"_AD|",(VLOOKUP(M437,Dictionary!$AB:$AC,2,0)),"_IT|",(VLOOKUP(N437,Dictionary!$BC:$BD,2,0)),IF(O437="","",CONCATENATE("_U1|",SUBSTITUTE(SUBSTITUTE(O437,"_","-"),"|","-"))),IF(P437="","",CONCATENATE("_U2|",SUBSTITUTE(SUBSTITUTE(P437,"_","-"),"|","-"))),IF(Q437="","",CONCATENATE("_U3|",SUBSTITUTE(SUBSTITUTE(Q437,"_","-"),"|","-")))))</f>
        <v>#N/A</v>
      </c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3" t="str">
        <f>IF(K438="----","#N/A",CONCATENATE("MK|",(VLOOKUP(B438,Dictionary!$A:$B,2,0)),"_CH|",(VLOOKUP(C438,Dictionary!$AV:$AW,2,0)),"_DT|",(VLOOKUP(D438,Dictionary!$P:$Q,2,0)),"_PB|",(VLOOKUP(E438,Dictionary!$G:$H,2,0)),"_FM|",(VLOOKUP(F438,Dictionary!$S:$T,2,0)),"_RT|",(VLOOKUP(G438,Dictionary!$V:$W,2,0)),"_PD|",SUBSTITUTE(SUBSTITUTE(IF(H438="","NONE",H438),"_","-"),"|","-"),"_TG|",(VLOOKUP(I438,Dictionary!$J:$K,2,0)),"_ST|",(VLOOKUP(J438,Dictionary!$M:$N,2,0)),"_TS|",SUBSTITUTE(SUBSTITUTE(IF(K438="","NONE",K438),"_","-"),"|","-"),"_SZ|",(VLOOKUP(L438,Dictionary!$Y:$Z,1,0)),"_AD|",(VLOOKUP(M438,Dictionary!$AB:$AC,2,0)),"_IT|",(VLOOKUP(N438,Dictionary!$BC:$BD,2,0)),IF(O438="","",CONCATENATE("_U1|",SUBSTITUTE(SUBSTITUTE(O438,"_","-"),"|","-"))),IF(P438="","",CONCATENATE("_U2|",SUBSTITUTE(SUBSTITUTE(P438,"_","-"),"|","-"))),IF(Q438="","",CONCATENATE("_U3|",SUBSTITUTE(SUBSTITUTE(Q438,"_","-"),"|","-")))))</f>
        <v>#N/A</v>
      </c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3" t="str">
        <f>IF(K439="----","#N/A",CONCATENATE("MK|",(VLOOKUP(B439,Dictionary!$A:$B,2,0)),"_CH|",(VLOOKUP(C439,Dictionary!$AV:$AW,2,0)),"_DT|",(VLOOKUP(D439,Dictionary!$P:$Q,2,0)),"_PB|",(VLOOKUP(E439,Dictionary!$G:$H,2,0)),"_FM|",(VLOOKUP(F439,Dictionary!$S:$T,2,0)),"_RT|",(VLOOKUP(G439,Dictionary!$V:$W,2,0)),"_PD|",SUBSTITUTE(SUBSTITUTE(IF(H439="","NONE",H439),"_","-"),"|","-"),"_TG|",(VLOOKUP(I439,Dictionary!$J:$K,2,0)),"_ST|",(VLOOKUP(J439,Dictionary!$M:$N,2,0)),"_TS|",SUBSTITUTE(SUBSTITUTE(IF(K439="","NONE",K439),"_","-"),"|","-"),"_SZ|",(VLOOKUP(L439,Dictionary!$Y:$Z,1,0)),"_AD|",(VLOOKUP(M439,Dictionary!$AB:$AC,2,0)),"_IT|",(VLOOKUP(N439,Dictionary!$BC:$BD,2,0)),IF(O439="","",CONCATENATE("_U1|",SUBSTITUTE(SUBSTITUTE(O439,"_","-"),"|","-"))),IF(P439="","",CONCATENATE("_U2|",SUBSTITUTE(SUBSTITUTE(P439,"_","-"),"|","-"))),IF(Q439="","",CONCATENATE("_U3|",SUBSTITUTE(SUBSTITUTE(Q439,"_","-"),"|","-")))))</f>
        <v>#N/A</v>
      </c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3" t="str">
        <f>IF(K440="----","#N/A",CONCATENATE("MK|",(VLOOKUP(B440,Dictionary!$A:$B,2,0)),"_CH|",(VLOOKUP(C440,Dictionary!$AV:$AW,2,0)),"_DT|",(VLOOKUP(D440,Dictionary!$P:$Q,2,0)),"_PB|",(VLOOKUP(E440,Dictionary!$G:$H,2,0)),"_FM|",(VLOOKUP(F440,Dictionary!$S:$T,2,0)),"_RT|",(VLOOKUP(G440,Dictionary!$V:$W,2,0)),"_PD|",SUBSTITUTE(SUBSTITUTE(IF(H440="","NONE",H440),"_","-"),"|","-"),"_TG|",(VLOOKUP(I440,Dictionary!$J:$K,2,0)),"_ST|",(VLOOKUP(J440,Dictionary!$M:$N,2,0)),"_TS|",SUBSTITUTE(SUBSTITUTE(IF(K440="","NONE",K440),"_","-"),"|","-"),"_SZ|",(VLOOKUP(L440,Dictionary!$Y:$Z,1,0)),"_AD|",(VLOOKUP(M440,Dictionary!$AB:$AC,2,0)),"_IT|",(VLOOKUP(N440,Dictionary!$BC:$BD,2,0)),IF(O440="","",CONCATENATE("_U1|",SUBSTITUTE(SUBSTITUTE(O440,"_","-"),"|","-"))),IF(P440="","",CONCATENATE("_U2|",SUBSTITUTE(SUBSTITUTE(P440,"_","-"),"|","-"))),IF(Q440="","",CONCATENATE("_U3|",SUBSTITUTE(SUBSTITUTE(Q440,"_","-"),"|","-")))))</f>
        <v>#N/A</v>
      </c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3" t="str">
        <f>IF(K441="----","#N/A",CONCATENATE("MK|",(VLOOKUP(B441,Dictionary!$A:$B,2,0)),"_CH|",(VLOOKUP(C441,Dictionary!$AV:$AW,2,0)),"_DT|",(VLOOKUP(D441,Dictionary!$P:$Q,2,0)),"_PB|",(VLOOKUP(E441,Dictionary!$G:$H,2,0)),"_FM|",(VLOOKUP(F441,Dictionary!$S:$T,2,0)),"_RT|",(VLOOKUP(G441,Dictionary!$V:$W,2,0)),"_PD|",SUBSTITUTE(SUBSTITUTE(IF(H441="","NONE",H441),"_","-"),"|","-"),"_TG|",(VLOOKUP(I441,Dictionary!$J:$K,2,0)),"_ST|",(VLOOKUP(J441,Dictionary!$M:$N,2,0)),"_TS|",SUBSTITUTE(SUBSTITUTE(IF(K441="","NONE",K441),"_","-"),"|","-"),"_SZ|",(VLOOKUP(L441,Dictionary!$Y:$Z,1,0)),"_AD|",(VLOOKUP(M441,Dictionary!$AB:$AC,2,0)),"_IT|",(VLOOKUP(N441,Dictionary!$BC:$BD,2,0)),IF(O441="","",CONCATENATE("_U1|",SUBSTITUTE(SUBSTITUTE(O441,"_","-"),"|","-"))),IF(P441="","",CONCATENATE("_U2|",SUBSTITUTE(SUBSTITUTE(P441,"_","-"),"|","-"))),IF(Q441="","",CONCATENATE("_U3|",SUBSTITUTE(SUBSTITUTE(Q441,"_","-"),"|","-")))))</f>
        <v>#N/A</v>
      </c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3" t="str">
        <f>IF(K442="----","#N/A",CONCATENATE("MK|",(VLOOKUP(B442,Dictionary!$A:$B,2,0)),"_CH|",(VLOOKUP(C442,Dictionary!$AV:$AW,2,0)),"_DT|",(VLOOKUP(D442,Dictionary!$P:$Q,2,0)),"_PB|",(VLOOKUP(E442,Dictionary!$G:$H,2,0)),"_FM|",(VLOOKUP(F442,Dictionary!$S:$T,2,0)),"_RT|",(VLOOKUP(G442,Dictionary!$V:$W,2,0)),"_PD|",SUBSTITUTE(SUBSTITUTE(IF(H442="","NONE",H442),"_","-"),"|","-"),"_TG|",(VLOOKUP(I442,Dictionary!$J:$K,2,0)),"_ST|",(VLOOKUP(J442,Dictionary!$M:$N,2,0)),"_TS|",SUBSTITUTE(SUBSTITUTE(IF(K442="","NONE",K442),"_","-"),"|","-"),"_SZ|",(VLOOKUP(L442,Dictionary!$Y:$Z,1,0)),"_AD|",(VLOOKUP(M442,Dictionary!$AB:$AC,2,0)),"_IT|",(VLOOKUP(N442,Dictionary!$BC:$BD,2,0)),IF(O442="","",CONCATENATE("_U1|",SUBSTITUTE(SUBSTITUTE(O442,"_","-"),"|","-"))),IF(P442="","",CONCATENATE("_U2|",SUBSTITUTE(SUBSTITUTE(P442,"_","-"),"|","-"))),IF(Q442="","",CONCATENATE("_U3|",SUBSTITUTE(SUBSTITUTE(Q442,"_","-"),"|","-")))))</f>
        <v>#N/A</v>
      </c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3" t="str">
        <f>IF(K443="----","#N/A",CONCATENATE("MK|",(VLOOKUP(B443,Dictionary!$A:$B,2,0)),"_CH|",(VLOOKUP(C443,Dictionary!$AV:$AW,2,0)),"_DT|",(VLOOKUP(D443,Dictionary!$P:$Q,2,0)),"_PB|",(VLOOKUP(E443,Dictionary!$G:$H,2,0)),"_FM|",(VLOOKUP(F443,Dictionary!$S:$T,2,0)),"_RT|",(VLOOKUP(G443,Dictionary!$V:$W,2,0)),"_PD|",SUBSTITUTE(SUBSTITUTE(IF(H443="","NONE",H443),"_","-"),"|","-"),"_TG|",(VLOOKUP(I443,Dictionary!$J:$K,2,0)),"_ST|",(VLOOKUP(J443,Dictionary!$M:$N,2,0)),"_TS|",SUBSTITUTE(SUBSTITUTE(IF(K443="","NONE",K443),"_","-"),"|","-"),"_SZ|",(VLOOKUP(L443,Dictionary!$Y:$Z,1,0)),"_AD|",(VLOOKUP(M443,Dictionary!$AB:$AC,2,0)),"_IT|",(VLOOKUP(N443,Dictionary!$BC:$BD,2,0)),IF(O443="","",CONCATENATE("_U1|",SUBSTITUTE(SUBSTITUTE(O443,"_","-"),"|","-"))),IF(P443="","",CONCATENATE("_U2|",SUBSTITUTE(SUBSTITUTE(P443,"_","-"),"|","-"))),IF(Q443="","",CONCATENATE("_U3|",SUBSTITUTE(SUBSTITUTE(Q443,"_","-"),"|","-")))))</f>
        <v>#N/A</v>
      </c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3" t="str">
        <f>IF(K444="----","#N/A",CONCATENATE("MK|",(VLOOKUP(B444,Dictionary!$A:$B,2,0)),"_CH|",(VLOOKUP(C444,Dictionary!$AV:$AW,2,0)),"_DT|",(VLOOKUP(D444,Dictionary!$P:$Q,2,0)),"_PB|",(VLOOKUP(E444,Dictionary!$G:$H,2,0)),"_FM|",(VLOOKUP(F444,Dictionary!$S:$T,2,0)),"_RT|",(VLOOKUP(G444,Dictionary!$V:$W,2,0)),"_PD|",SUBSTITUTE(SUBSTITUTE(IF(H444="","NONE",H444),"_","-"),"|","-"),"_TG|",(VLOOKUP(I444,Dictionary!$J:$K,2,0)),"_ST|",(VLOOKUP(J444,Dictionary!$M:$N,2,0)),"_TS|",SUBSTITUTE(SUBSTITUTE(IF(K444="","NONE",K444),"_","-"),"|","-"),"_SZ|",(VLOOKUP(L444,Dictionary!$Y:$Z,1,0)),"_AD|",(VLOOKUP(M444,Dictionary!$AB:$AC,2,0)),"_IT|",(VLOOKUP(N444,Dictionary!$BC:$BD,2,0)),IF(O444="","",CONCATENATE("_U1|",SUBSTITUTE(SUBSTITUTE(O444,"_","-"),"|","-"))),IF(P444="","",CONCATENATE("_U2|",SUBSTITUTE(SUBSTITUTE(P444,"_","-"),"|","-"))),IF(Q444="","",CONCATENATE("_U3|",SUBSTITUTE(SUBSTITUTE(Q444,"_","-"),"|","-")))))</f>
        <v>#N/A</v>
      </c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3" t="str">
        <f>IF(K445="----","#N/A",CONCATENATE("MK|",(VLOOKUP(B445,Dictionary!$A:$B,2,0)),"_CH|",(VLOOKUP(C445,Dictionary!$AV:$AW,2,0)),"_DT|",(VLOOKUP(D445,Dictionary!$P:$Q,2,0)),"_PB|",(VLOOKUP(E445,Dictionary!$G:$H,2,0)),"_FM|",(VLOOKUP(F445,Dictionary!$S:$T,2,0)),"_RT|",(VLOOKUP(G445,Dictionary!$V:$W,2,0)),"_PD|",SUBSTITUTE(SUBSTITUTE(IF(H445="","NONE",H445),"_","-"),"|","-"),"_TG|",(VLOOKUP(I445,Dictionary!$J:$K,2,0)),"_ST|",(VLOOKUP(J445,Dictionary!$M:$N,2,0)),"_TS|",SUBSTITUTE(SUBSTITUTE(IF(K445="","NONE",K445),"_","-"),"|","-"),"_SZ|",(VLOOKUP(L445,Dictionary!$Y:$Z,1,0)),"_AD|",(VLOOKUP(M445,Dictionary!$AB:$AC,2,0)),"_IT|",(VLOOKUP(N445,Dictionary!$BC:$BD,2,0)),IF(O445="","",CONCATENATE("_U1|",SUBSTITUTE(SUBSTITUTE(O445,"_","-"),"|","-"))),IF(P445="","",CONCATENATE("_U2|",SUBSTITUTE(SUBSTITUTE(P445,"_","-"),"|","-"))),IF(Q445="","",CONCATENATE("_U3|",SUBSTITUTE(SUBSTITUTE(Q445,"_","-"),"|","-")))))</f>
        <v>#N/A</v>
      </c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3" t="str">
        <f>IF(K446="----","#N/A",CONCATENATE("MK|",(VLOOKUP(B446,Dictionary!$A:$B,2,0)),"_CH|",(VLOOKUP(C446,Dictionary!$AV:$AW,2,0)),"_DT|",(VLOOKUP(D446,Dictionary!$P:$Q,2,0)),"_PB|",(VLOOKUP(E446,Dictionary!$G:$H,2,0)),"_FM|",(VLOOKUP(F446,Dictionary!$S:$T,2,0)),"_RT|",(VLOOKUP(G446,Dictionary!$V:$W,2,0)),"_PD|",SUBSTITUTE(SUBSTITUTE(IF(H446="","NONE",H446),"_","-"),"|","-"),"_TG|",(VLOOKUP(I446,Dictionary!$J:$K,2,0)),"_ST|",(VLOOKUP(J446,Dictionary!$M:$N,2,0)),"_TS|",SUBSTITUTE(SUBSTITUTE(IF(K446="","NONE",K446),"_","-"),"|","-"),"_SZ|",(VLOOKUP(L446,Dictionary!$Y:$Z,1,0)),"_AD|",(VLOOKUP(M446,Dictionary!$AB:$AC,2,0)),"_IT|",(VLOOKUP(N446,Dictionary!$BC:$BD,2,0)),IF(O446="","",CONCATENATE("_U1|",SUBSTITUTE(SUBSTITUTE(O446,"_","-"),"|","-"))),IF(P446="","",CONCATENATE("_U2|",SUBSTITUTE(SUBSTITUTE(P446,"_","-"),"|","-"))),IF(Q446="","",CONCATENATE("_U3|",SUBSTITUTE(SUBSTITUTE(Q446,"_","-"),"|","-")))))</f>
        <v>#N/A</v>
      </c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3" t="str">
        <f>IF(K447="----","#N/A",CONCATENATE("MK|",(VLOOKUP(B447,Dictionary!$A:$B,2,0)),"_CH|",(VLOOKUP(C447,Dictionary!$AV:$AW,2,0)),"_DT|",(VLOOKUP(D447,Dictionary!$P:$Q,2,0)),"_PB|",(VLOOKUP(E447,Dictionary!$G:$H,2,0)),"_FM|",(VLOOKUP(F447,Dictionary!$S:$T,2,0)),"_RT|",(VLOOKUP(G447,Dictionary!$V:$W,2,0)),"_PD|",SUBSTITUTE(SUBSTITUTE(IF(H447="","NONE",H447),"_","-"),"|","-"),"_TG|",(VLOOKUP(I447,Dictionary!$J:$K,2,0)),"_ST|",(VLOOKUP(J447,Dictionary!$M:$N,2,0)),"_TS|",SUBSTITUTE(SUBSTITUTE(IF(K447="","NONE",K447),"_","-"),"|","-"),"_SZ|",(VLOOKUP(L447,Dictionary!$Y:$Z,1,0)),"_AD|",(VLOOKUP(M447,Dictionary!$AB:$AC,2,0)),"_IT|",(VLOOKUP(N447,Dictionary!$BC:$BD,2,0)),IF(O447="","",CONCATENATE("_U1|",SUBSTITUTE(SUBSTITUTE(O447,"_","-"),"|","-"))),IF(P447="","",CONCATENATE("_U2|",SUBSTITUTE(SUBSTITUTE(P447,"_","-"),"|","-"))),IF(Q447="","",CONCATENATE("_U3|",SUBSTITUTE(SUBSTITUTE(Q447,"_","-"),"|","-")))))</f>
        <v>#N/A</v>
      </c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3" t="str">
        <f>IF(K448="----","#N/A",CONCATENATE("MK|",(VLOOKUP(B448,Dictionary!$A:$B,2,0)),"_CH|",(VLOOKUP(C448,Dictionary!$AV:$AW,2,0)),"_DT|",(VLOOKUP(D448,Dictionary!$P:$Q,2,0)),"_PB|",(VLOOKUP(E448,Dictionary!$G:$H,2,0)),"_FM|",(VLOOKUP(F448,Dictionary!$S:$T,2,0)),"_RT|",(VLOOKUP(G448,Dictionary!$V:$W,2,0)),"_PD|",SUBSTITUTE(SUBSTITUTE(IF(H448="","NONE",H448),"_","-"),"|","-"),"_TG|",(VLOOKUP(I448,Dictionary!$J:$K,2,0)),"_ST|",(VLOOKUP(J448,Dictionary!$M:$N,2,0)),"_TS|",SUBSTITUTE(SUBSTITUTE(IF(K448="","NONE",K448),"_","-"),"|","-"),"_SZ|",(VLOOKUP(L448,Dictionary!$Y:$Z,1,0)),"_AD|",(VLOOKUP(M448,Dictionary!$AB:$AC,2,0)),"_IT|",(VLOOKUP(N448,Dictionary!$BC:$BD,2,0)),IF(O448="","",CONCATENATE("_U1|",SUBSTITUTE(SUBSTITUTE(O448,"_","-"),"|","-"))),IF(P448="","",CONCATENATE("_U2|",SUBSTITUTE(SUBSTITUTE(P448,"_","-"),"|","-"))),IF(Q448="","",CONCATENATE("_U3|",SUBSTITUTE(SUBSTITUTE(Q448,"_","-"),"|","-")))))</f>
        <v>#N/A</v>
      </c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3" t="str">
        <f>IF(K449="----","#N/A",CONCATENATE("MK|",(VLOOKUP(B449,Dictionary!$A:$B,2,0)),"_CH|",(VLOOKUP(C449,Dictionary!$AV:$AW,2,0)),"_DT|",(VLOOKUP(D449,Dictionary!$P:$Q,2,0)),"_PB|",(VLOOKUP(E449,Dictionary!$G:$H,2,0)),"_FM|",(VLOOKUP(F449,Dictionary!$S:$T,2,0)),"_RT|",(VLOOKUP(G449,Dictionary!$V:$W,2,0)),"_PD|",SUBSTITUTE(SUBSTITUTE(IF(H449="","NONE",H449),"_","-"),"|","-"),"_TG|",(VLOOKUP(I449,Dictionary!$J:$K,2,0)),"_ST|",(VLOOKUP(J449,Dictionary!$M:$N,2,0)),"_TS|",SUBSTITUTE(SUBSTITUTE(IF(K449="","NONE",K449),"_","-"),"|","-"),"_SZ|",(VLOOKUP(L449,Dictionary!$Y:$Z,1,0)),"_AD|",(VLOOKUP(M449,Dictionary!$AB:$AC,2,0)),"_IT|",(VLOOKUP(N449,Dictionary!$BC:$BD,2,0)),IF(O449="","",CONCATENATE("_U1|",SUBSTITUTE(SUBSTITUTE(O449,"_","-"),"|","-"))),IF(P449="","",CONCATENATE("_U2|",SUBSTITUTE(SUBSTITUTE(P449,"_","-"),"|","-"))),IF(Q449="","",CONCATENATE("_U3|",SUBSTITUTE(SUBSTITUTE(Q449,"_","-"),"|","-")))))</f>
        <v>#N/A</v>
      </c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3" t="str">
        <f>IF(K450="----","#N/A",CONCATENATE("MK|",(VLOOKUP(B450,Dictionary!$A:$B,2,0)),"_CH|",(VLOOKUP(C450,Dictionary!$AV:$AW,2,0)),"_DT|",(VLOOKUP(D450,Dictionary!$P:$Q,2,0)),"_PB|",(VLOOKUP(E450,Dictionary!$G:$H,2,0)),"_FM|",(VLOOKUP(F450,Dictionary!$S:$T,2,0)),"_RT|",(VLOOKUP(G450,Dictionary!$V:$W,2,0)),"_PD|",SUBSTITUTE(SUBSTITUTE(IF(H450="","NONE",H450),"_","-"),"|","-"),"_TG|",(VLOOKUP(I450,Dictionary!$J:$K,2,0)),"_ST|",(VLOOKUP(J450,Dictionary!$M:$N,2,0)),"_TS|",SUBSTITUTE(SUBSTITUTE(IF(K450="","NONE",K450),"_","-"),"|","-"),"_SZ|",(VLOOKUP(L450,Dictionary!$Y:$Z,1,0)),"_AD|",(VLOOKUP(M450,Dictionary!$AB:$AC,2,0)),"_IT|",(VLOOKUP(N450,Dictionary!$BC:$BD,2,0)),IF(O450="","",CONCATENATE("_U1|",SUBSTITUTE(SUBSTITUTE(O450,"_","-"),"|","-"))),IF(P450="","",CONCATENATE("_U2|",SUBSTITUTE(SUBSTITUTE(P450,"_","-"),"|","-"))),IF(Q450="","",CONCATENATE("_U3|",SUBSTITUTE(SUBSTITUTE(Q450,"_","-"),"|","-")))))</f>
        <v>#N/A</v>
      </c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3" t="str">
        <f>IF(K451="----","#N/A",CONCATENATE("MK|",(VLOOKUP(B451,Dictionary!$A:$B,2,0)),"_CH|",(VLOOKUP(C451,Dictionary!$AV:$AW,2,0)),"_DT|",(VLOOKUP(D451,Dictionary!$P:$Q,2,0)),"_PB|",(VLOOKUP(E451,Dictionary!$G:$H,2,0)),"_FM|",(VLOOKUP(F451,Dictionary!$S:$T,2,0)),"_RT|",(VLOOKUP(G451,Dictionary!$V:$W,2,0)),"_PD|",SUBSTITUTE(SUBSTITUTE(IF(H451="","NONE",H451),"_","-"),"|","-"),"_TG|",(VLOOKUP(I451,Dictionary!$J:$K,2,0)),"_ST|",(VLOOKUP(J451,Dictionary!$M:$N,2,0)),"_TS|",SUBSTITUTE(SUBSTITUTE(IF(K451="","NONE",K451),"_","-"),"|","-"),"_SZ|",(VLOOKUP(L451,Dictionary!$Y:$Z,1,0)),"_AD|",(VLOOKUP(M451,Dictionary!$AB:$AC,2,0)),"_IT|",(VLOOKUP(N451,Dictionary!$BC:$BD,2,0)),IF(O451="","",CONCATENATE("_U1|",SUBSTITUTE(SUBSTITUTE(O451,"_","-"),"|","-"))),IF(P451="","",CONCATENATE("_U2|",SUBSTITUTE(SUBSTITUTE(P451,"_","-"),"|","-"))),IF(Q451="","",CONCATENATE("_U3|",SUBSTITUTE(SUBSTITUTE(Q451,"_","-"),"|","-")))))</f>
        <v>#N/A</v>
      </c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3" t="str">
        <f>IF(K452="----","#N/A",CONCATENATE("MK|",(VLOOKUP(B452,Dictionary!$A:$B,2,0)),"_CH|",(VLOOKUP(C452,Dictionary!$AV:$AW,2,0)),"_DT|",(VLOOKUP(D452,Dictionary!$P:$Q,2,0)),"_PB|",(VLOOKUP(E452,Dictionary!$G:$H,2,0)),"_FM|",(VLOOKUP(F452,Dictionary!$S:$T,2,0)),"_RT|",(VLOOKUP(G452,Dictionary!$V:$W,2,0)),"_PD|",SUBSTITUTE(SUBSTITUTE(IF(H452="","NONE",H452),"_","-"),"|","-"),"_TG|",(VLOOKUP(I452,Dictionary!$J:$K,2,0)),"_ST|",(VLOOKUP(J452,Dictionary!$M:$N,2,0)),"_TS|",SUBSTITUTE(SUBSTITUTE(IF(K452="","NONE",K452),"_","-"),"|","-"),"_SZ|",(VLOOKUP(L452,Dictionary!$Y:$Z,1,0)),"_AD|",(VLOOKUP(M452,Dictionary!$AB:$AC,2,0)),"_IT|",(VLOOKUP(N452,Dictionary!$BC:$BD,2,0)),IF(O452="","",CONCATENATE("_U1|",SUBSTITUTE(SUBSTITUTE(O452,"_","-"),"|","-"))),IF(P452="","",CONCATENATE("_U2|",SUBSTITUTE(SUBSTITUTE(P452,"_","-"),"|","-"))),IF(Q452="","",CONCATENATE("_U3|",SUBSTITUTE(SUBSTITUTE(Q452,"_","-"),"|","-")))))</f>
        <v>#N/A</v>
      </c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3" t="str">
        <f>IF(K453="----","#N/A",CONCATENATE("MK|",(VLOOKUP(B453,Dictionary!$A:$B,2,0)),"_CH|",(VLOOKUP(C453,Dictionary!$AV:$AW,2,0)),"_DT|",(VLOOKUP(D453,Dictionary!$P:$Q,2,0)),"_PB|",(VLOOKUP(E453,Dictionary!$G:$H,2,0)),"_FM|",(VLOOKUP(F453,Dictionary!$S:$T,2,0)),"_RT|",(VLOOKUP(G453,Dictionary!$V:$W,2,0)),"_PD|",SUBSTITUTE(SUBSTITUTE(IF(H453="","NONE",H453),"_","-"),"|","-"),"_TG|",(VLOOKUP(I453,Dictionary!$J:$K,2,0)),"_ST|",(VLOOKUP(J453,Dictionary!$M:$N,2,0)),"_TS|",SUBSTITUTE(SUBSTITUTE(IF(K453="","NONE",K453),"_","-"),"|","-"),"_SZ|",(VLOOKUP(L453,Dictionary!$Y:$Z,1,0)),"_AD|",(VLOOKUP(M453,Dictionary!$AB:$AC,2,0)),"_IT|",(VLOOKUP(N453,Dictionary!$BC:$BD,2,0)),IF(O453="","",CONCATENATE("_U1|",SUBSTITUTE(SUBSTITUTE(O453,"_","-"),"|","-"))),IF(P453="","",CONCATENATE("_U2|",SUBSTITUTE(SUBSTITUTE(P453,"_","-"),"|","-"))),IF(Q453="","",CONCATENATE("_U3|",SUBSTITUTE(SUBSTITUTE(Q453,"_","-"),"|","-")))))</f>
        <v>#N/A</v>
      </c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3" t="str">
        <f>IF(K454="----","#N/A",CONCATENATE("MK|",(VLOOKUP(B454,Dictionary!$A:$B,2,0)),"_CH|",(VLOOKUP(C454,Dictionary!$AV:$AW,2,0)),"_DT|",(VLOOKUP(D454,Dictionary!$P:$Q,2,0)),"_PB|",(VLOOKUP(E454,Dictionary!$G:$H,2,0)),"_FM|",(VLOOKUP(F454,Dictionary!$S:$T,2,0)),"_RT|",(VLOOKUP(G454,Dictionary!$V:$W,2,0)),"_PD|",SUBSTITUTE(SUBSTITUTE(IF(H454="","NONE",H454),"_","-"),"|","-"),"_TG|",(VLOOKUP(I454,Dictionary!$J:$K,2,0)),"_ST|",(VLOOKUP(J454,Dictionary!$M:$N,2,0)),"_TS|",SUBSTITUTE(SUBSTITUTE(IF(K454="","NONE",K454),"_","-"),"|","-"),"_SZ|",(VLOOKUP(L454,Dictionary!$Y:$Z,1,0)),"_AD|",(VLOOKUP(M454,Dictionary!$AB:$AC,2,0)),"_IT|",(VLOOKUP(N454,Dictionary!$BC:$BD,2,0)),IF(O454="","",CONCATENATE("_U1|",SUBSTITUTE(SUBSTITUTE(O454,"_","-"),"|","-"))),IF(P454="","",CONCATENATE("_U2|",SUBSTITUTE(SUBSTITUTE(P454,"_","-"),"|","-"))),IF(Q454="","",CONCATENATE("_U3|",SUBSTITUTE(SUBSTITUTE(Q454,"_","-"),"|","-")))))</f>
        <v>#N/A</v>
      </c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3" t="str">
        <f>IF(K455="----","#N/A",CONCATENATE("MK|",(VLOOKUP(B455,Dictionary!$A:$B,2,0)),"_CH|",(VLOOKUP(C455,Dictionary!$AV:$AW,2,0)),"_DT|",(VLOOKUP(D455,Dictionary!$P:$Q,2,0)),"_PB|",(VLOOKUP(E455,Dictionary!$G:$H,2,0)),"_FM|",(VLOOKUP(F455,Dictionary!$S:$T,2,0)),"_RT|",(VLOOKUP(G455,Dictionary!$V:$W,2,0)),"_PD|",SUBSTITUTE(SUBSTITUTE(IF(H455="","NONE",H455),"_","-"),"|","-"),"_TG|",(VLOOKUP(I455,Dictionary!$J:$K,2,0)),"_ST|",(VLOOKUP(J455,Dictionary!$M:$N,2,0)),"_TS|",SUBSTITUTE(SUBSTITUTE(IF(K455="","NONE",K455),"_","-"),"|","-"),"_SZ|",(VLOOKUP(L455,Dictionary!$Y:$Z,1,0)),"_AD|",(VLOOKUP(M455,Dictionary!$AB:$AC,2,0)),"_IT|",(VLOOKUP(N455,Dictionary!$BC:$BD,2,0)),IF(O455="","",CONCATENATE("_U1|",SUBSTITUTE(SUBSTITUTE(O455,"_","-"),"|","-"))),IF(P455="","",CONCATENATE("_U2|",SUBSTITUTE(SUBSTITUTE(P455,"_","-"),"|","-"))),IF(Q455="","",CONCATENATE("_U3|",SUBSTITUTE(SUBSTITUTE(Q455,"_","-"),"|","-")))))</f>
        <v>#N/A</v>
      </c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3" t="str">
        <f>IF(K456="----","#N/A",CONCATENATE("MK|",(VLOOKUP(B456,Dictionary!$A:$B,2,0)),"_CH|",(VLOOKUP(C456,Dictionary!$AV:$AW,2,0)),"_DT|",(VLOOKUP(D456,Dictionary!$P:$Q,2,0)),"_PB|",(VLOOKUP(E456,Dictionary!$G:$H,2,0)),"_FM|",(VLOOKUP(F456,Dictionary!$S:$T,2,0)),"_RT|",(VLOOKUP(G456,Dictionary!$V:$W,2,0)),"_PD|",SUBSTITUTE(SUBSTITUTE(IF(H456="","NONE",H456),"_","-"),"|","-"),"_TG|",(VLOOKUP(I456,Dictionary!$J:$K,2,0)),"_ST|",(VLOOKUP(J456,Dictionary!$M:$N,2,0)),"_TS|",SUBSTITUTE(SUBSTITUTE(IF(K456="","NONE",K456),"_","-"),"|","-"),"_SZ|",(VLOOKUP(L456,Dictionary!$Y:$Z,1,0)),"_AD|",(VLOOKUP(M456,Dictionary!$AB:$AC,2,0)),"_IT|",(VLOOKUP(N456,Dictionary!$BC:$BD,2,0)),IF(O456="","",CONCATENATE("_U1|",SUBSTITUTE(SUBSTITUTE(O456,"_","-"),"|","-"))),IF(P456="","",CONCATENATE("_U2|",SUBSTITUTE(SUBSTITUTE(P456,"_","-"),"|","-"))),IF(Q456="","",CONCATENATE("_U3|",SUBSTITUTE(SUBSTITUTE(Q456,"_","-"),"|","-")))))</f>
        <v>#N/A</v>
      </c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3" t="str">
        <f>IF(K457="----","#N/A",CONCATENATE("MK|",(VLOOKUP(B457,Dictionary!$A:$B,2,0)),"_CH|",(VLOOKUP(C457,Dictionary!$AV:$AW,2,0)),"_DT|",(VLOOKUP(D457,Dictionary!$P:$Q,2,0)),"_PB|",(VLOOKUP(E457,Dictionary!$G:$H,2,0)),"_FM|",(VLOOKUP(F457,Dictionary!$S:$T,2,0)),"_RT|",(VLOOKUP(G457,Dictionary!$V:$W,2,0)),"_PD|",SUBSTITUTE(SUBSTITUTE(IF(H457="","NONE",H457),"_","-"),"|","-"),"_TG|",(VLOOKUP(I457,Dictionary!$J:$K,2,0)),"_ST|",(VLOOKUP(J457,Dictionary!$M:$N,2,0)),"_TS|",SUBSTITUTE(SUBSTITUTE(IF(K457="","NONE",K457),"_","-"),"|","-"),"_SZ|",(VLOOKUP(L457,Dictionary!$Y:$Z,1,0)),"_AD|",(VLOOKUP(M457,Dictionary!$AB:$AC,2,0)),"_IT|",(VLOOKUP(N457,Dictionary!$BC:$BD,2,0)),IF(O457="","",CONCATENATE("_U1|",SUBSTITUTE(SUBSTITUTE(O457,"_","-"),"|","-"))),IF(P457="","",CONCATENATE("_U2|",SUBSTITUTE(SUBSTITUTE(P457,"_","-"),"|","-"))),IF(Q457="","",CONCATENATE("_U3|",SUBSTITUTE(SUBSTITUTE(Q457,"_","-"),"|","-")))))</f>
        <v>#N/A</v>
      </c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3" t="str">
        <f>IF(K458="----","#N/A",CONCATENATE("MK|",(VLOOKUP(B458,Dictionary!$A:$B,2,0)),"_CH|",(VLOOKUP(C458,Dictionary!$AV:$AW,2,0)),"_DT|",(VLOOKUP(D458,Dictionary!$P:$Q,2,0)),"_PB|",(VLOOKUP(E458,Dictionary!$G:$H,2,0)),"_FM|",(VLOOKUP(F458,Dictionary!$S:$T,2,0)),"_RT|",(VLOOKUP(G458,Dictionary!$V:$W,2,0)),"_PD|",SUBSTITUTE(SUBSTITUTE(IF(H458="","NONE",H458),"_","-"),"|","-"),"_TG|",(VLOOKUP(I458,Dictionary!$J:$K,2,0)),"_ST|",(VLOOKUP(J458,Dictionary!$M:$N,2,0)),"_TS|",SUBSTITUTE(SUBSTITUTE(IF(K458="","NONE",K458),"_","-"),"|","-"),"_SZ|",(VLOOKUP(L458,Dictionary!$Y:$Z,1,0)),"_AD|",(VLOOKUP(M458,Dictionary!$AB:$AC,2,0)),"_IT|",(VLOOKUP(N458,Dictionary!$BC:$BD,2,0)),IF(O458="","",CONCATENATE("_U1|",SUBSTITUTE(SUBSTITUTE(O458,"_","-"),"|","-"))),IF(P458="","",CONCATENATE("_U2|",SUBSTITUTE(SUBSTITUTE(P458,"_","-"),"|","-"))),IF(Q458="","",CONCATENATE("_U3|",SUBSTITUTE(SUBSTITUTE(Q458,"_","-"),"|","-")))))</f>
        <v>#N/A</v>
      </c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3" t="str">
        <f>IF(K459="----","#N/A",CONCATENATE("MK|",(VLOOKUP(B459,Dictionary!$A:$B,2,0)),"_CH|",(VLOOKUP(C459,Dictionary!$AV:$AW,2,0)),"_DT|",(VLOOKUP(D459,Dictionary!$P:$Q,2,0)),"_PB|",(VLOOKUP(E459,Dictionary!$G:$H,2,0)),"_FM|",(VLOOKUP(F459,Dictionary!$S:$T,2,0)),"_RT|",(VLOOKUP(G459,Dictionary!$V:$W,2,0)),"_PD|",SUBSTITUTE(SUBSTITUTE(IF(H459="","NONE",H459),"_","-"),"|","-"),"_TG|",(VLOOKUP(I459,Dictionary!$J:$K,2,0)),"_ST|",(VLOOKUP(J459,Dictionary!$M:$N,2,0)),"_TS|",SUBSTITUTE(SUBSTITUTE(IF(K459="","NONE",K459),"_","-"),"|","-"),"_SZ|",(VLOOKUP(L459,Dictionary!$Y:$Z,1,0)),"_AD|",(VLOOKUP(M459,Dictionary!$AB:$AC,2,0)),"_IT|",(VLOOKUP(N459,Dictionary!$BC:$BD,2,0)),IF(O459="","",CONCATENATE("_U1|",SUBSTITUTE(SUBSTITUTE(O459,"_","-"),"|","-"))),IF(P459="","",CONCATENATE("_U2|",SUBSTITUTE(SUBSTITUTE(P459,"_","-"),"|","-"))),IF(Q459="","",CONCATENATE("_U3|",SUBSTITUTE(SUBSTITUTE(Q459,"_","-"),"|","-")))))</f>
        <v>#N/A</v>
      </c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3" t="str">
        <f>IF(K460="----","#N/A",CONCATENATE("MK|",(VLOOKUP(B460,Dictionary!$A:$B,2,0)),"_CH|",(VLOOKUP(C460,Dictionary!$AV:$AW,2,0)),"_DT|",(VLOOKUP(D460,Dictionary!$P:$Q,2,0)),"_PB|",(VLOOKUP(E460,Dictionary!$G:$H,2,0)),"_FM|",(VLOOKUP(F460,Dictionary!$S:$T,2,0)),"_RT|",(VLOOKUP(G460,Dictionary!$V:$W,2,0)),"_PD|",SUBSTITUTE(SUBSTITUTE(IF(H460="","NONE",H460),"_","-"),"|","-"),"_TG|",(VLOOKUP(I460,Dictionary!$J:$K,2,0)),"_ST|",(VLOOKUP(J460,Dictionary!$M:$N,2,0)),"_TS|",SUBSTITUTE(SUBSTITUTE(IF(K460="","NONE",K460),"_","-"),"|","-"),"_SZ|",(VLOOKUP(L460,Dictionary!$Y:$Z,1,0)),"_AD|",(VLOOKUP(M460,Dictionary!$AB:$AC,2,0)),"_IT|",(VLOOKUP(N460,Dictionary!$BC:$BD,2,0)),IF(O460="","",CONCATENATE("_U1|",SUBSTITUTE(SUBSTITUTE(O460,"_","-"),"|","-"))),IF(P460="","",CONCATENATE("_U2|",SUBSTITUTE(SUBSTITUTE(P460,"_","-"),"|","-"))),IF(Q460="","",CONCATENATE("_U3|",SUBSTITUTE(SUBSTITUTE(Q460,"_","-"),"|","-")))))</f>
        <v>#N/A</v>
      </c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3" t="str">
        <f>IF(K461="----","#N/A",CONCATENATE("MK|",(VLOOKUP(B461,Dictionary!$A:$B,2,0)),"_CH|",(VLOOKUP(C461,Dictionary!$AV:$AW,2,0)),"_DT|",(VLOOKUP(D461,Dictionary!$P:$Q,2,0)),"_PB|",(VLOOKUP(E461,Dictionary!$G:$H,2,0)),"_FM|",(VLOOKUP(F461,Dictionary!$S:$T,2,0)),"_RT|",(VLOOKUP(G461,Dictionary!$V:$W,2,0)),"_PD|",SUBSTITUTE(SUBSTITUTE(IF(H461="","NONE",H461),"_","-"),"|","-"),"_TG|",(VLOOKUP(I461,Dictionary!$J:$K,2,0)),"_ST|",(VLOOKUP(J461,Dictionary!$M:$N,2,0)),"_TS|",SUBSTITUTE(SUBSTITUTE(IF(K461="","NONE",K461),"_","-"),"|","-"),"_SZ|",(VLOOKUP(L461,Dictionary!$Y:$Z,1,0)),"_AD|",(VLOOKUP(M461,Dictionary!$AB:$AC,2,0)),"_IT|",(VLOOKUP(N461,Dictionary!$BC:$BD,2,0)),IF(O461="","",CONCATENATE("_U1|",SUBSTITUTE(SUBSTITUTE(O461,"_","-"),"|","-"))),IF(P461="","",CONCATENATE("_U2|",SUBSTITUTE(SUBSTITUTE(P461,"_","-"),"|","-"))),IF(Q461="","",CONCATENATE("_U3|",SUBSTITUTE(SUBSTITUTE(Q461,"_","-"),"|","-")))))</f>
        <v>#N/A</v>
      </c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3" t="str">
        <f>IF(K462="----","#N/A",CONCATENATE("MK|",(VLOOKUP(B462,Dictionary!$A:$B,2,0)),"_CH|",(VLOOKUP(C462,Dictionary!$AV:$AW,2,0)),"_DT|",(VLOOKUP(D462,Dictionary!$P:$Q,2,0)),"_PB|",(VLOOKUP(E462,Dictionary!$G:$H,2,0)),"_FM|",(VLOOKUP(F462,Dictionary!$S:$T,2,0)),"_RT|",(VLOOKUP(G462,Dictionary!$V:$W,2,0)),"_PD|",SUBSTITUTE(SUBSTITUTE(IF(H462="","NONE",H462),"_","-"),"|","-"),"_TG|",(VLOOKUP(I462,Dictionary!$J:$K,2,0)),"_ST|",(VLOOKUP(J462,Dictionary!$M:$N,2,0)),"_TS|",SUBSTITUTE(SUBSTITUTE(IF(K462="","NONE",K462),"_","-"),"|","-"),"_SZ|",(VLOOKUP(L462,Dictionary!$Y:$Z,1,0)),"_AD|",(VLOOKUP(M462,Dictionary!$AB:$AC,2,0)),"_IT|",(VLOOKUP(N462,Dictionary!$BC:$BD,2,0)),IF(O462="","",CONCATENATE("_U1|",SUBSTITUTE(SUBSTITUTE(O462,"_","-"),"|","-"))),IF(P462="","",CONCATENATE("_U2|",SUBSTITUTE(SUBSTITUTE(P462,"_","-"),"|","-"))),IF(Q462="","",CONCATENATE("_U3|",SUBSTITUTE(SUBSTITUTE(Q462,"_","-"),"|","-")))))</f>
        <v>#N/A</v>
      </c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3" t="str">
        <f>IF(K463="----","#N/A",CONCATENATE("MK|",(VLOOKUP(B463,Dictionary!$A:$B,2,0)),"_CH|",(VLOOKUP(C463,Dictionary!$AV:$AW,2,0)),"_DT|",(VLOOKUP(D463,Dictionary!$P:$Q,2,0)),"_PB|",(VLOOKUP(E463,Dictionary!$G:$H,2,0)),"_FM|",(VLOOKUP(F463,Dictionary!$S:$T,2,0)),"_RT|",(VLOOKUP(G463,Dictionary!$V:$W,2,0)),"_PD|",SUBSTITUTE(SUBSTITUTE(IF(H463="","NONE",H463),"_","-"),"|","-"),"_TG|",(VLOOKUP(I463,Dictionary!$J:$K,2,0)),"_ST|",(VLOOKUP(J463,Dictionary!$M:$N,2,0)),"_TS|",SUBSTITUTE(SUBSTITUTE(IF(K463="","NONE",K463),"_","-"),"|","-"),"_SZ|",(VLOOKUP(L463,Dictionary!$Y:$Z,1,0)),"_AD|",(VLOOKUP(M463,Dictionary!$AB:$AC,2,0)),"_IT|",(VLOOKUP(N463,Dictionary!$BC:$BD,2,0)),IF(O463="","",CONCATENATE("_U1|",SUBSTITUTE(SUBSTITUTE(O463,"_","-"),"|","-"))),IF(P463="","",CONCATENATE("_U2|",SUBSTITUTE(SUBSTITUTE(P463,"_","-"),"|","-"))),IF(Q463="","",CONCATENATE("_U3|",SUBSTITUTE(SUBSTITUTE(Q463,"_","-"),"|","-")))))</f>
        <v>#N/A</v>
      </c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3" t="str">
        <f>IF(K464="----","#N/A",CONCATENATE("MK|",(VLOOKUP(B464,Dictionary!$A:$B,2,0)),"_CH|",(VLOOKUP(C464,Dictionary!$AV:$AW,2,0)),"_DT|",(VLOOKUP(D464,Dictionary!$P:$Q,2,0)),"_PB|",(VLOOKUP(E464,Dictionary!$G:$H,2,0)),"_FM|",(VLOOKUP(F464,Dictionary!$S:$T,2,0)),"_RT|",(VLOOKUP(G464,Dictionary!$V:$W,2,0)),"_PD|",SUBSTITUTE(SUBSTITUTE(IF(H464="","NONE",H464),"_","-"),"|","-"),"_TG|",(VLOOKUP(I464,Dictionary!$J:$K,2,0)),"_ST|",(VLOOKUP(J464,Dictionary!$M:$N,2,0)),"_TS|",SUBSTITUTE(SUBSTITUTE(IF(K464="","NONE",K464),"_","-"),"|","-"),"_SZ|",(VLOOKUP(L464,Dictionary!$Y:$Z,1,0)),"_AD|",(VLOOKUP(M464,Dictionary!$AB:$AC,2,0)),"_IT|",(VLOOKUP(N464,Dictionary!$BC:$BD,2,0)),IF(O464="","",CONCATENATE("_U1|",SUBSTITUTE(SUBSTITUTE(O464,"_","-"),"|","-"))),IF(P464="","",CONCATENATE("_U2|",SUBSTITUTE(SUBSTITUTE(P464,"_","-"),"|","-"))),IF(Q464="","",CONCATENATE("_U3|",SUBSTITUTE(SUBSTITUTE(Q464,"_","-"),"|","-")))))</f>
        <v>#N/A</v>
      </c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3" t="str">
        <f>IF(K465="----","#N/A",CONCATENATE("MK|",(VLOOKUP(B465,Dictionary!$A:$B,2,0)),"_CH|",(VLOOKUP(C465,Dictionary!$AV:$AW,2,0)),"_DT|",(VLOOKUP(D465,Dictionary!$P:$Q,2,0)),"_PB|",(VLOOKUP(E465,Dictionary!$G:$H,2,0)),"_FM|",(VLOOKUP(F465,Dictionary!$S:$T,2,0)),"_RT|",(VLOOKUP(G465,Dictionary!$V:$W,2,0)),"_PD|",SUBSTITUTE(SUBSTITUTE(IF(H465="","NONE",H465),"_","-"),"|","-"),"_TG|",(VLOOKUP(I465,Dictionary!$J:$K,2,0)),"_ST|",(VLOOKUP(J465,Dictionary!$M:$N,2,0)),"_TS|",SUBSTITUTE(SUBSTITUTE(IF(K465="","NONE",K465),"_","-"),"|","-"),"_SZ|",(VLOOKUP(L465,Dictionary!$Y:$Z,1,0)),"_AD|",(VLOOKUP(M465,Dictionary!$AB:$AC,2,0)),"_IT|",(VLOOKUP(N465,Dictionary!$BC:$BD,2,0)),IF(O465="","",CONCATENATE("_U1|",SUBSTITUTE(SUBSTITUTE(O465,"_","-"),"|","-"))),IF(P465="","",CONCATENATE("_U2|",SUBSTITUTE(SUBSTITUTE(P465,"_","-"),"|","-"))),IF(Q465="","",CONCATENATE("_U3|",SUBSTITUTE(SUBSTITUTE(Q465,"_","-"),"|","-")))))</f>
        <v>#N/A</v>
      </c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3" t="str">
        <f>IF(K466="----","#N/A",CONCATENATE("MK|",(VLOOKUP(B466,Dictionary!$A:$B,2,0)),"_CH|",(VLOOKUP(C466,Dictionary!$AV:$AW,2,0)),"_DT|",(VLOOKUP(D466,Dictionary!$P:$Q,2,0)),"_PB|",(VLOOKUP(E466,Dictionary!$G:$H,2,0)),"_FM|",(VLOOKUP(F466,Dictionary!$S:$T,2,0)),"_RT|",(VLOOKUP(G466,Dictionary!$V:$W,2,0)),"_PD|",SUBSTITUTE(SUBSTITUTE(IF(H466="","NONE",H466),"_","-"),"|","-"),"_TG|",(VLOOKUP(I466,Dictionary!$J:$K,2,0)),"_ST|",(VLOOKUP(J466,Dictionary!$M:$N,2,0)),"_TS|",SUBSTITUTE(SUBSTITUTE(IF(K466="","NONE",K466),"_","-"),"|","-"),"_SZ|",(VLOOKUP(L466,Dictionary!$Y:$Z,1,0)),"_AD|",(VLOOKUP(M466,Dictionary!$AB:$AC,2,0)),"_IT|",(VLOOKUP(N466,Dictionary!$BC:$BD,2,0)),IF(O466="","",CONCATENATE("_U1|",SUBSTITUTE(SUBSTITUTE(O466,"_","-"),"|","-"))),IF(P466="","",CONCATENATE("_U2|",SUBSTITUTE(SUBSTITUTE(P466,"_","-"),"|","-"))),IF(Q466="","",CONCATENATE("_U3|",SUBSTITUTE(SUBSTITUTE(Q466,"_","-"),"|","-")))))</f>
        <v>#N/A</v>
      </c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3" t="str">
        <f>IF(K467="----","#N/A",CONCATENATE("MK|",(VLOOKUP(B467,Dictionary!$A:$B,2,0)),"_CH|",(VLOOKUP(C467,Dictionary!$AV:$AW,2,0)),"_DT|",(VLOOKUP(D467,Dictionary!$P:$Q,2,0)),"_PB|",(VLOOKUP(E467,Dictionary!$G:$H,2,0)),"_FM|",(VLOOKUP(F467,Dictionary!$S:$T,2,0)),"_RT|",(VLOOKUP(G467,Dictionary!$V:$W,2,0)),"_PD|",SUBSTITUTE(SUBSTITUTE(IF(H467="","NONE",H467),"_","-"),"|","-"),"_TG|",(VLOOKUP(I467,Dictionary!$J:$K,2,0)),"_ST|",(VLOOKUP(J467,Dictionary!$M:$N,2,0)),"_TS|",SUBSTITUTE(SUBSTITUTE(IF(K467="","NONE",K467),"_","-"),"|","-"),"_SZ|",(VLOOKUP(L467,Dictionary!$Y:$Z,1,0)),"_AD|",(VLOOKUP(M467,Dictionary!$AB:$AC,2,0)),"_IT|",(VLOOKUP(N467,Dictionary!$BC:$BD,2,0)),IF(O467="","",CONCATENATE("_U1|",SUBSTITUTE(SUBSTITUTE(O467,"_","-"),"|","-"))),IF(P467="","",CONCATENATE("_U2|",SUBSTITUTE(SUBSTITUTE(P467,"_","-"),"|","-"))),IF(Q467="","",CONCATENATE("_U3|",SUBSTITUTE(SUBSTITUTE(Q467,"_","-"),"|","-")))))</f>
        <v>#N/A</v>
      </c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3" t="str">
        <f>IF(K468="----","#N/A",CONCATENATE("MK|",(VLOOKUP(B468,Dictionary!$A:$B,2,0)),"_CH|",(VLOOKUP(C468,Dictionary!$AV:$AW,2,0)),"_DT|",(VLOOKUP(D468,Dictionary!$P:$Q,2,0)),"_PB|",(VLOOKUP(E468,Dictionary!$G:$H,2,0)),"_FM|",(VLOOKUP(F468,Dictionary!$S:$T,2,0)),"_RT|",(VLOOKUP(G468,Dictionary!$V:$W,2,0)),"_PD|",SUBSTITUTE(SUBSTITUTE(IF(H468="","NONE",H468),"_","-"),"|","-"),"_TG|",(VLOOKUP(I468,Dictionary!$J:$K,2,0)),"_ST|",(VLOOKUP(J468,Dictionary!$M:$N,2,0)),"_TS|",SUBSTITUTE(SUBSTITUTE(IF(K468="","NONE",K468),"_","-"),"|","-"),"_SZ|",(VLOOKUP(L468,Dictionary!$Y:$Z,1,0)),"_AD|",(VLOOKUP(M468,Dictionary!$AB:$AC,2,0)),"_IT|",(VLOOKUP(N468,Dictionary!$BC:$BD,2,0)),IF(O468="","",CONCATENATE("_U1|",SUBSTITUTE(SUBSTITUTE(O468,"_","-"),"|","-"))),IF(P468="","",CONCATENATE("_U2|",SUBSTITUTE(SUBSTITUTE(P468,"_","-"),"|","-"))),IF(Q468="","",CONCATENATE("_U3|",SUBSTITUTE(SUBSTITUTE(Q468,"_","-"),"|","-")))))</f>
        <v>#N/A</v>
      </c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3" t="str">
        <f>IF(K469="----","#N/A",CONCATENATE("MK|",(VLOOKUP(B469,Dictionary!$A:$B,2,0)),"_CH|",(VLOOKUP(C469,Dictionary!$AV:$AW,2,0)),"_DT|",(VLOOKUP(D469,Dictionary!$P:$Q,2,0)),"_PB|",(VLOOKUP(E469,Dictionary!$G:$H,2,0)),"_FM|",(VLOOKUP(F469,Dictionary!$S:$T,2,0)),"_RT|",(VLOOKUP(G469,Dictionary!$V:$W,2,0)),"_PD|",SUBSTITUTE(SUBSTITUTE(IF(H469="","NONE",H469),"_","-"),"|","-"),"_TG|",(VLOOKUP(I469,Dictionary!$J:$K,2,0)),"_ST|",(VLOOKUP(J469,Dictionary!$M:$N,2,0)),"_TS|",SUBSTITUTE(SUBSTITUTE(IF(K469="","NONE",K469),"_","-"),"|","-"),"_SZ|",(VLOOKUP(L469,Dictionary!$Y:$Z,1,0)),"_AD|",(VLOOKUP(M469,Dictionary!$AB:$AC,2,0)),"_IT|",(VLOOKUP(N469,Dictionary!$BC:$BD,2,0)),IF(O469="","",CONCATENATE("_U1|",SUBSTITUTE(SUBSTITUTE(O469,"_","-"),"|","-"))),IF(P469="","",CONCATENATE("_U2|",SUBSTITUTE(SUBSTITUTE(P469,"_","-"),"|","-"))),IF(Q469="","",CONCATENATE("_U3|",SUBSTITUTE(SUBSTITUTE(Q469,"_","-"),"|","-")))))</f>
        <v>#N/A</v>
      </c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3" t="str">
        <f>IF(K470="----","#N/A",CONCATENATE("MK|",(VLOOKUP(B470,Dictionary!$A:$B,2,0)),"_CH|",(VLOOKUP(C470,Dictionary!$AV:$AW,2,0)),"_DT|",(VLOOKUP(D470,Dictionary!$P:$Q,2,0)),"_PB|",(VLOOKUP(E470,Dictionary!$G:$H,2,0)),"_FM|",(VLOOKUP(F470,Dictionary!$S:$T,2,0)),"_RT|",(VLOOKUP(G470,Dictionary!$V:$W,2,0)),"_PD|",SUBSTITUTE(SUBSTITUTE(IF(H470="","NONE",H470),"_","-"),"|","-"),"_TG|",(VLOOKUP(I470,Dictionary!$J:$K,2,0)),"_ST|",(VLOOKUP(J470,Dictionary!$M:$N,2,0)),"_TS|",SUBSTITUTE(SUBSTITUTE(IF(K470="","NONE",K470),"_","-"),"|","-"),"_SZ|",(VLOOKUP(L470,Dictionary!$Y:$Z,1,0)),"_AD|",(VLOOKUP(M470,Dictionary!$AB:$AC,2,0)),"_IT|",(VLOOKUP(N470,Dictionary!$BC:$BD,2,0)),IF(O470="","",CONCATENATE("_U1|",SUBSTITUTE(SUBSTITUTE(O470,"_","-"),"|","-"))),IF(P470="","",CONCATENATE("_U2|",SUBSTITUTE(SUBSTITUTE(P470,"_","-"),"|","-"))),IF(Q470="","",CONCATENATE("_U3|",SUBSTITUTE(SUBSTITUTE(Q470,"_","-"),"|","-")))))</f>
        <v>#N/A</v>
      </c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3" t="str">
        <f>IF(K471="----","#N/A",CONCATENATE("MK|",(VLOOKUP(B471,Dictionary!$A:$B,2,0)),"_CH|",(VLOOKUP(C471,Dictionary!$AV:$AW,2,0)),"_DT|",(VLOOKUP(D471,Dictionary!$P:$Q,2,0)),"_PB|",(VLOOKUP(E471,Dictionary!$G:$H,2,0)),"_FM|",(VLOOKUP(F471,Dictionary!$S:$T,2,0)),"_RT|",(VLOOKUP(G471,Dictionary!$V:$W,2,0)),"_PD|",SUBSTITUTE(SUBSTITUTE(IF(H471="","NONE",H471),"_","-"),"|","-"),"_TG|",(VLOOKUP(I471,Dictionary!$J:$K,2,0)),"_ST|",(VLOOKUP(J471,Dictionary!$M:$N,2,0)),"_TS|",SUBSTITUTE(SUBSTITUTE(IF(K471="","NONE",K471),"_","-"),"|","-"),"_SZ|",(VLOOKUP(L471,Dictionary!$Y:$Z,1,0)),"_AD|",(VLOOKUP(M471,Dictionary!$AB:$AC,2,0)),"_IT|",(VLOOKUP(N471,Dictionary!$BC:$BD,2,0)),IF(O471="","",CONCATENATE("_U1|",SUBSTITUTE(SUBSTITUTE(O471,"_","-"),"|","-"))),IF(P471="","",CONCATENATE("_U2|",SUBSTITUTE(SUBSTITUTE(P471,"_","-"),"|","-"))),IF(Q471="","",CONCATENATE("_U3|",SUBSTITUTE(SUBSTITUTE(Q471,"_","-"),"|","-")))))</f>
        <v>#N/A</v>
      </c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3" t="str">
        <f>IF(K472="----","#N/A",CONCATENATE("MK|",(VLOOKUP(B472,Dictionary!$A:$B,2,0)),"_CH|",(VLOOKUP(C472,Dictionary!$AV:$AW,2,0)),"_DT|",(VLOOKUP(D472,Dictionary!$P:$Q,2,0)),"_PB|",(VLOOKUP(E472,Dictionary!$G:$H,2,0)),"_FM|",(VLOOKUP(F472,Dictionary!$S:$T,2,0)),"_RT|",(VLOOKUP(G472,Dictionary!$V:$W,2,0)),"_PD|",SUBSTITUTE(SUBSTITUTE(IF(H472="","NONE",H472),"_","-"),"|","-"),"_TG|",(VLOOKUP(I472,Dictionary!$J:$K,2,0)),"_ST|",(VLOOKUP(J472,Dictionary!$M:$N,2,0)),"_TS|",SUBSTITUTE(SUBSTITUTE(IF(K472="","NONE",K472),"_","-"),"|","-"),"_SZ|",(VLOOKUP(L472,Dictionary!$Y:$Z,1,0)),"_AD|",(VLOOKUP(M472,Dictionary!$AB:$AC,2,0)),"_IT|",(VLOOKUP(N472,Dictionary!$BC:$BD,2,0)),IF(O472="","",CONCATENATE("_U1|",SUBSTITUTE(SUBSTITUTE(O472,"_","-"),"|","-"))),IF(P472="","",CONCATENATE("_U2|",SUBSTITUTE(SUBSTITUTE(P472,"_","-"),"|","-"))),IF(Q472="","",CONCATENATE("_U3|",SUBSTITUTE(SUBSTITUTE(Q472,"_","-"),"|","-")))))</f>
        <v>#N/A</v>
      </c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3" t="str">
        <f>IF(K473="----","#N/A",CONCATENATE("MK|",(VLOOKUP(B473,Dictionary!$A:$B,2,0)),"_CH|",(VLOOKUP(C473,Dictionary!$AV:$AW,2,0)),"_DT|",(VLOOKUP(D473,Dictionary!$P:$Q,2,0)),"_PB|",(VLOOKUP(E473,Dictionary!$G:$H,2,0)),"_FM|",(VLOOKUP(F473,Dictionary!$S:$T,2,0)),"_RT|",(VLOOKUP(G473,Dictionary!$V:$W,2,0)),"_PD|",SUBSTITUTE(SUBSTITUTE(IF(H473="","NONE",H473),"_","-"),"|","-"),"_TG|",(VLOOKUP(I473,Dictionary!$J:$K,2,0)),"_ST|",(VLOOKUP(J473,Dictionary!$M:$N,2,0)),"_TS|",SUBSTITUTE(SUBSTITUTE(IF(K473="","NONE",K473),"_","-"),"|","-"),"_SZ|",(VLOOKUP(L473,Dictionary!$Y:$Z,1,0)),"_AD|",(VLOOKUP(M473,Dictionary!$AB:$AC,2,0)),"_IT|",(VLOOKUP(N473,Dictionary!$BC:$BD,2,0)),IF(O473="","",CONCATENATE("_U1|",SUBSTITUTE(SUBSTITUTE(O473,"_","-"),"|","-"))),IF(P473="","",CONCATENATE("_U2|",SUBSTITUTE(SUBSTITUTE(P473,"_","-"),"|","-"))),IF(Q473="","",CONCATENATE("_U3|",SUBSTITUTE(SUBSTITUTE(Q473,"_","-"),"|","-")))))</f>
        <v>#N/A</v>
      </c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3" t="str">
        <f>IF(K474="----","#N/A",CONCATENATE("MK|",(VLOOKUP(B474,Dictionary!$A:$B,2,0)),"_CH|",(VLOOKUP(C474,Dictionary!$AV:$AW,2,0)),"_DT|",(VLOOKUP(D474,Dictionary!$P:$Q,2,0)),"_PB|",(VLOOKUP(E474,Dictionary!$G:$H,2,0)),"_FM|",(VLOOKUP(F474,Dictionary!$S:$T,2,0)),"_RT|",(VLOOKUP(G474,Dictionary!$V:$W,2,0)),"_PD|",SUBSTITUTE(SUBSTITUTE(IF(H474="","NONE",H474),"_","-"),"|","-"),"_TG|",(VLOOKUP(I474,Dictionary!$J:$K,2,0)),"_ST|",(VLOOKUP(J474,Dictionary!$M:$N,2,0)),"_TS|",SUBSTITUTE(SUBSTITUTE(IF(K474="","NONE",K474),"_","-"),"|","-"),"_SZ|",(VLOOKUP(L474,Dictionary!$Y:$Z,1,0)),"_AD|",(VLOOKUP(M474,Dictionary!$AB:$AC,2,0)),"_IT|",(VLOOKUP(N474,Dictionary!$BC:$BD,2,0)),IF(O474="","",CONCATENATE("_U1|",SUBSTITUTE(SUBSTITUTE(O474,"_","-"),"|","-"))),IF(P474="","",CONCATENATE("_U2|",SUBSTITUTE(SUBSTITUTE(P474,"_","-"),"|","-"))),IF(Q474="","",CONCATENATE("_U3|",SUBSTITUTE(SUBSTITUTE(Q474,"_","-"),"|","-")))))</f>
        <v>#N/A</v>
      </c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3" t="str">
        <f>IF(K475="----","#N/A",CONCATENATE("MK|",(VLOOKUP(B475,Dictionary!$A:$B,2,0)),"_CH|",(VLOOKUP(C475,Dictionary!$AV:$AW,2,0)),"_DT|",(VLOOKUP(D475,Dictionary!$P:$Q,2,0)),"_PB|",(VLOOKUP(E475,Dictionary!$G:$H,2,0)),"_FM|",(VLOOKUP(F475,Dictionary!$S:$T,2,0)),"_RT|",(VLOOKUP(G475,Dictionary!$V:$W,2,0)),"_PD|",SUBSTITUTE(SUBSTITUTE(IF(H475="","NONE",H475),"_","-"),"|","-"),"_TG|",(VLOOKUP(I475,Dictionary!$J:$K,2,0)),"_ST|",(VLOOKUP(J475,Dictionary!$M:$N,2,0)),"_TS|",SUBSTITUTE(SUBSTITUTE(IF(K475="","NONE",K475),"_","-"),"|","-"),"_SZ|",(VLOOKUP(L475,Dictionary!$Y:$Z,1,0)),"_AD|",(VLOOKUP(M475,Dictionary!$AB:$AC,2,0)),"_IT|",(VLOOKUP(N475,Dictionary!$BC:$BD,2,0)),IF(O475="","",CONCATENATE("_U1|",SUBSTITUTE(SUBSTITUTE(O475,"_","-"),"|","-"))),IF(P475="","",CONCATENATE("_U2|",SUBSTITUTE(SUBSTITUTE(P475,"_","-"),"|","-"))),IF(Q475="","",CONCATENATE("_U3|",SUBSTITUTE(SUBSTITUTE(Q475,"_","-"),"|","-")))))</f>
        <v>#N/A</v>
      </c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3" t="str">
        <f>IF(K476="----","#N/A",CONCATENATE("MK|",(VLOOKUP(B476,Dictionary!$A:$B,2,0)),"_CH|",(VLOOKUP(C476,Dictionary!$AV:$AW,2,0)),"_DT|",(VLOOKUP(D476,Dictionary!$P:$Q,2,0)),"_PB|",(VLOOKUP(E476,Dictionary!$G:$H,2,0)),"_FM|",(VLOOKUP(F476,Dictionary!$S:$T,2,0)),"_RT|",(VLOOKUP(G476,Dictionary!$V:$W,2,0)),"_PD|",SUBSTITUTE(SUBSTITUTE(IF(H476="","NONE",H476),"_","-"),"|","-"),"_TG|",(VLOOKUP(I476,Dictionary!$J:$K,2,0)),"_ST|",(VLOOKUP(J476,Dictionary!$M:$N,2,0)),"_TS|",SUBSTITUTE(SUBSTITUTE(IF(K476="","NONE",K476),"_","-"),"|","-"),"_SZ|",(VLOOKUP(L476,Dictionary!$Y:$Z,1,0)),"_AD|",(VLOOKUP(M476,Dictionary!$AB:$AC,2,0)),"_IT|",(VLOOKUP(N476,Dictionary!$BC:$BD,2,0)),IF(O476="","",CONCATENATE("_U1|",SUBSTITUTE(SUBSTITUTE(O476,"_","-"),"|","-"))),IF(P476="","",CONCATENATE("_U2|",SUBSTITUTE(SUBSTITUTE(P476,"_","-"),"|","-"))),IF(Q476="","",CONCATENATE("_U3|",SUBSTITUTE(SUBSTITUTE(Q476,"_","-"),"|","-")))))</f>
        <v>#N/A</v>
      </c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3" t="str">
        <f>IF(K477="----","#N/A",CONCATENATE("MK|",(VLOOKUP(B477,Dictionary!$A:$B,2,0)),"_CH|",(VLOOKUP(C477,Dictionary!$AV:$AW,2,0)),"_DT|",(VLOOKUP(D477,Dictionary!$P:$Q,2,0)),"_PB|",(VLOOKUP(E477,Dictionary!$G:$H,2,0)),"_FM|",(VLOOKUP(F477,Dictionary!$S:$T,2,0)),"_RT|",(VLOOKUP(G477,Dictionary!$V:$W,2,0)),"_PD|",SUBSTITUTE(SUBSTITUTE(IF(H477="","NONE",H477),"_","-"),"|","-"),"_TG|",(VLOOKUP(I477,Dictionary!$J:$K,2,0)),"_ST|",(VLOOKUP(J477,Dictionary!$M:$N,2,0)),"_TS|",SUBSTITUTE(SUBSTITUTE(IF(K477="","NONE",K477),"_","-"),"|","-"),"_SZ|",(VLOOKUP(L477,Dictionary!$Y:$Z,1,0)),"_AD|",(VLOOKUP(M477,Dictionary!$AB:$AC,2,0)),"_IT|",(VLOOKUP(N477,Dictionary!$BC:$BD,2,0)),IF(O477="","",CONCATENATE("_U1|",SUBSTITUTE(SUBSTITUTE(O477,"_","-"),"|","-"))),IF(P477="","",CONCATENATE("_U2|",SUBSTITUTE(SUBSTITUTE(P477,"_","-"),"|","-"))),IF(Q477="","",CONCATENATE("_U3|",SUBSTITUTE(SUBSTITUTE(Q477,"_","-"),"|","-")))))</f>
        <v>#N/A</v>
      </c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3" t="str">
        <f>IF(K478="----","#N/A",CONCATENATE("MK|",(VLOOKUP(B478,Dictionary!$A:$B,2,0)),"_CH|",(VLOOKUP(C478,Dictionary!$AV:$AW,2,0)),"_DT|",(VLOOKUP(D478,Dictionary!$P:$Q,2,0)),"_PB|",(VLOOKUP(E478,Dictionary!$G:$H,2,0)),"_FM|",(VLOOKUP(F478,Dictionary!$S:$T,2,0)),"_RT|",(VLOOKUP(G478,Dictionary!$V:$W,2,0)),"_PD|",SUBSTITUTE(SUBSTITUTE(IF(H478="","NONE",H478),"_","-"),"|","-"),"_TG|",(VLOOKUP(I478,Dictionary!$J:$K,2,0)),"_ST|",(VLOOKUP(J478,Dictionary!$M:$N,2,0)),"_TS|",SUBSTITUTE(SUBSTITUTE(IF(K478="","NONE",K478),"_","-"),"|","-"),"_SZ|",(VLOOKUP(L478,Dictionary!$Y:$Z,1,0)),"_AD|",(VLOOKUP(M478,Dictionary!$AB:$AC,2,0)),"_IT|",(VLOOKUP(N478,Dictionary!$BC:$BD,2,0)),IF(O478="","",CONCATENATE("_U1|",SUBSTITUTE(SUBSTITUTE(O478,"_","-"),"|","-"))),IF(P478="","",CONCATENATE("_U2|",SUBSTITUTE(SUBSTITUTE(P478,"_","-"),"|","-"))),IF(Q478="","",CONCATENATE("_U3|",SUBSTITUTE(SUBSTITUTE(Q478,"_","-"),"|","-")))))</f>
        <v>#N/A</v>
      </c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3" t="str">
        <f>IF(K479="----","#N/A",CONCATENATE("MK|",(VLOOKUP(B479,Dictionary!$A:$B,2,0)),"_CH|",(VLOOKUP(C479,Dictionary!$AV:$AW,2,0)),"_DT|",(VLOOKUP(D479,Dictionary!$P:$Q,2,0)),"_PB|",(VLOOKUP(E479,Dictionary!$G:$H,2,0)),"_FM|",(VLOOKUP(F479,Dictionary!$S:$T,2,0)),"_RT|",(VLOOKUP(G479,Dictionary!$V:$W,2,0)),"_PD|",SUBSTITUTE(SUBSTITUTE(IF(H479="","NONE",H479),"_","-"),"|","-"),"_TG|",(VLOOKUP(I479,Dictionary!$J:$K,2,0)),"_ST|",(VLOOKUP(J479,Dictionary!$M:$N,2,0)),"_TS|",SUBSTITUTE(SUBSTITUTE(IF(K479="","NONE",K479),"_","-"),"|","-"),"_SZ|",(VLOOKUP(L479,Dictionary!$Y:$Z,1,0)),"_AD|",(VLOOKUP(M479,Dictionary!$AB:$AC,2,0)),"_IT|",(VLOOKUP(N479,Dictionary!$BC:$BD,2,0)),IF(O479="","",CONCATENATE("_U1|",SUBSTITUTE(SUBSTITUTE(O479,"_","-"),"|","-"))),IF(P479="","",CONCATENATE("_U2|",SUBSTITUTE(SUBSTITUTE(P479,"_","-"),"|","-"))),IF(Q479="","",CONCATENATE("_U3|",SUBSTITUTE(SUBSTITUTE(Q479,"_","-"),"|","-")))))</f>
        <v>#N/A</v>
      </c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3" t="str">
        <f>IF(K480="----","#N/A",CONCATENATE("MK|",(VLOOKUP(B480,Dictionary!$A:$B,2,0)),"_CH|",(VLOOKUP(C480,Dictionary!$AV:$AW,2,0)),"_DT|",(VLOOKUP(D480,Dictionary!$P:$Q,2,0)),"_PB|",(VLOOKUP(E480,Dictionary!$G:$H,2,0)),"_FM|",(VLOOKUP(F480,Dictionary!$S:$T,2,0)),"_RT|",(VLOOKUP(G480,Dictionary!$V:$W,2,0)),"_PD|",SUBSTITUTE(SUBSTITUTE(IF(H480="","NONE",H480),"_","-"),"|","-"),"_TG|",(VLOOKUP(I480,Dictionary!$J:$K,2,0)),"_ST|",(VLOOKUP(J480,Dictionary!$M:$N,2,0)),"_TS|",SUBSTITUTE(SUBSTITUTE(IF(K480="","NONE",K480),"_","-"),"|","-"),"_SZ|",(VLOOKUP(L480,Dictionary!$Y:$Z,1,0)),"_AD|",(VLOOKUP(M480,Dictionary!$AB:$AC,2,0)),"_IT|",(VLOOKUP(N480,Dictionary!$BC:$BD,2,0)),IF(O480="","",CONCATENATE("_U1|",SUBSTITUTE(SUBSTITUTE(O480,"_","-"),"|","-"))),IF(P480="","",CONCATENATE("_U2|",SUBSTITUTE(SUBSTITUTE(P480,"_","-"),"|","-"))),IF(Q480="","",CONCATENATE("_U3|",SUBSTITUTE(SUBSTITUTE(Q480,"_","-"),"|","-")))))</f>
        <v>#N/A</v>
      </c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3" t="str">
        <f>IF(K481="----","#N/A",CONCATENATE("MK|",(VLOOKUP(B481,Dictionary!$A:$B,2,0)),"_CH|",(VLOOKUP(C481,Dictionary!$AV:$AW,2,0)),"_DT|",(VLOOKUP(D481,Dictionary!$P:$Q,2,0)),"_PB|",(VLOOKUP(E481,Dictionary!$G:$H,2,0)),"_FM|",(VLOOKUP(F481,Dictionary!$S:$T,2,0)),"_RT|",(VLOOKUP(G481,Dictionary!$V:$W,2,0)),"_PD|",SUBSTITUTE(SUBSTITUTE(IF(H481="","NONE",H481),"_","-"),"|","-"),"_TG|",(VLOOKUP(I481,Dictionary!$J:$K,2,0)),"_ST|",(VLOOKUP(J481,Dictionary!$M:$N,2,0)),"_TS|",SUBSTITUTE(SUBSTITUTE(IF(K481="","NONE",K481),"_","-"),"|","-"),"_SZ|",(VLOOKUP(L481,Dictionary!$Y:$Z,1,0)),"_AD|",(VLOOKUP(M481,Dictionary!$AB:$AC,2,0)),"_IT|",(VLOOKUP(N481,Dictionary!$BC:$BD,2,0)),IF(O481="","",CONCATENATE("_U1|",SUBSTITUTE(SUBSTITUTE(O481,"_","-"),"|","-"))),IF(P481="","",CONCATENATE("_U2|",SUBSTITUTE(SUBSTITUTE(P481,"_","-"),"|","-"))),IF(Q481="","",CONCATENATE("_U3|",SUBSTITUTE(SUBSTITUTE(Q481,"_","-"),"|","-")))))</f>
        <v>#N/A</v>
      </c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3" t="str">
        <f>IF(K482="----","#N/A",CONCATENATE("MK|",(VLOOKUP(B482,Dictionary!$A:$B,2,0)),"_CH|",(VLOOKUP(C482,Dictionary!$AV:$AW,2,0)),"_DT|",(VLOOKUP(D482,Dictionary!$P:$Q,2,0)),"_PB|",(VLOOKUP(E482,Dictionary!$G:$H,2,0)),"_FM|",(VLOOKUP(F482,Dictionary!$S:$T,2,0)),"_RT|",(VLOOKUP(G482,Dictionary!$V:$W,2,0)),"_PD|",SUBSTITUTE(SUBSTITUTE(IF(H482="","NONE",H482),"_","-"),"|","-"),"_TG|",(VLOOKUP(I482,Dictionary!$J:$K,2,0)),"_ST|",(VLOOKUP(J482,Dictionary!$M:$N,2,0)),"_TS|",SUBSTITUTE(SUBSTITUTE(IF(K482="","NONE",K482),"_","-"),"|","-"),"_SZ|",(VLOOKUP(L482,Dictionary!$Y:$Z,1,0)),"_AD|",(VLOOKUP(M482,Dictionary!$AB:$AC,2,0)),"_IT|",(VLOOKUP(N482,Dictionary!$BC:$BD,2,0)),IF(O482="","",CONCATENATE("_U1|",SUBSTITUTE(SUBSTITUTE(O482,"_","-"),"|","-"))),IF(P482="","",CONCATENATE("_U2|",SUBSTITUTE(SUBSTITUTE(P482,"_","-"),"|","-"))),IF(Q482="","",CONCATENATE("_U3|",SUBSTITUTE(SUBSTITUTE(Q482,"_","-"),"|","-")))))</f>
        <v>#N/A</v>
      </c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3" t="str">
        <f>IF(K483="----","#N/A",CONCATENATE("MK|",(VLOOKUP(B483,Dictionary!$A:$B,2,0)),"_CH|",(VLOOKUP(C483,Dictionary!$AV:$AW,2,0)),"_DT|",(VLOOKUP(D483,Dictionary!$P:$Q,2,0)),"_PB|",(VLOOKUP(E483,Dictionary!$G:$H,2,0)),"_FM|",(VLOOKUP(F483,Dictionary!$S:$T,2,0)),"_RT|",(VLOOKUP(G483,Dictionary!$V:$W,2,0)),"_PD|",SUBSTITUTE(SUBSTITUTE(IF(H483="","NONE",H483),"_","-"),"|","-"),"_TG|",(VLOOKUP(I483,Dictionary!$J:$K,2,0)),"_ST|",(VLOOKUP(J483,Dictionary!$M:$N,2,0)),"_TS|",SUBSTITUTE(SUBSTITUTE(IF(K483="","NONE",K483),"_","-"),"|","-"),"_SZ|",(VLOOKUP(L483,Dictionary!$Y:$Z,1,0)),"_AD|",(VLOOKUP(M483,Dictionary!$AB:$AC,2,0)),"_IT|",(VLOOKUP(N483,Dictionary!$BC:$BD,2,0)),IF(O483="","",CONCATENATE("_U1|",SUBSTITUTE(SUBSTITUTE(O483,"_","-"),"|","-"))),IF(P483="","",CONCATENATE("_U2|",SUBSTITUTE(SUBSTITUTE(P483,"_","-"),"|","-"))),IF(Q483="","",CONCATENATE("_U3|",SUBSTITUTE(SUBSTITUTE(Q483,"_","-"),"|","-")))))</f>
        <v>#N/A</v>
      </c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3" t="str">
        <f>IF(K484="----","#N/A",CONCATENATE("MK|",(VLOOKUP(B484,Dictionary!$A:$B,2,0)),"_CH|",(VLOOKUP(C484,Dictionary!$AV:$AW,2,0)),"_DT|",(VLOOKUP(D484,Dictionary!$P:$Q,2,0)),"_PB|",(VLOOKUP(E484,Dictionary!$G:$H,2,0)),"_FM|",(VLOOKUP(F484,Dictionary!$S:$T,2,0)),"_RT|",(VLOOKUP(G484,Dictionary!$V:$W,2,0)),"_PD|",SUBSTITUTE(SUBSTITUTE(IF(H484="","NONE",H484),"_","-"),"|","-"),"_TG|",(VLOOKUP(I484,Dictionary!$J:$K,2,0)),"_ST|",(VLOOKUP(J484,Dictionary!$M:$N,2,0)),"_TS|",SUBSTITUTE(SUBSTITUTE(IF(K484="","NONE",K484),"_","-"),"|","-"),"_SZ|",(VLOOKUP(L484,Dictionary!$Y:$Z,1,0)),"_AD|",(VLOOKUP(M484,Dictionary!$AB:$AC,2,0)),"_IT|",(VLOOKUP(N484,Dictionary!$BC:$BD,2,0)),IF(O484="","",CONCATENATE("_U1|",SUBSTITUTE(SUBSTITUTE(O484,"_","-"),"|","-"))),IF(P484="","",CONCATENATE("_U2|",SUBSTITUTE(SUBSTITUTE(P484,"_","-"),"|","-"))),IF(Q484="","",CONCATENATE("_U3|",SUBSTITUTE(SUBSTITUTE(Q484,"_","-"),"|","-")))))</f>
        <v>#N/A</v>
      </c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3" t="str">
        <f>IF(K485="----","#N/A",CONCATENATE("MK|",(VLOOKUP(B485,Dictionary!$A:$B,2,0)),"_CH|",(VLOOKUP(C485,Dictionary!$AV:$AW,2,0)),"_DT|",(VLOOKUP(D485,Dictionary!$P:$Q,2,0)),"_PB|",(VLOOKUP(E485,Dictionary!$G:$H,2,0)),"_FM|",(VLOOKUP(F485,Dictionary!$S:$T,2,0)),"_RT|",(VLOOKUP(G485,Dictionary!$V:$W,2,0)),"_PD|",SUBSTITUTE(SUBSTITUTE(IF(H485="","NONE",H485),"_","-"),"|","-"),"_TG|",(VLOOKUP(I485,Dictionary!$J:$K,2,0)),"_ST|",(VLOOKUP(J485,Dictionary!$M:$N,2,0)),"_TS|",SUBSTITUTE(SUBSTITUTE(IF(K485="","NONE",K485),"_","-"),"|","-"),"_SZ|",(VLOOKUP(L485,Dictionary!$Y:$Z,1,0)),"_AD|",(VLOOKUP(M485,Dictionary!$AB:$AC,2,0)),"_IT|",(VLOOKUP(N485,Dictionary!$BC:$BD,2,0)),IF(O485="","",CONCATENATE("_U1|",SUBSTITUTE(SUBSTITUTE(O485,"_","-"),"|","-"))),IF(P485="","",CONCATENATE("_U2|",SUBSTITUTE(SUBSTITUTE(P485,"_","-"),"|","-"))),IF(Q485="","",CONCATENATE("_U3|",SUBSTITUTE(SUBSTITUTE(Q485,"_","-"),"|","-")))))</f>
        <v>#N/A</v>
      </c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3" t="str">
        <f>IF(K486="----","#N/A",CONCATENATE("MK|",(VLOOKUP(B486,Dictionary!$A:$B,2,0)),"_CH|",(VLOOKUP(C486,Dictionary!$AV:$AW,2,0)),"_DT|",(VLOOKUP(D486,Dictionary!$P:$Q,2,0)),"_PB|",(VLOOKUP(E486,Dictionary!$G:$H,2,0)),"_FM|",(VLOOKUP(F486,Dictionary!$S:$T,2,0)),"_RT|",(VLOOKUP(G486,Dictionary!$V:$W,2,0)),"_PD|",SUBSTITUTE(SUBSTITUTE(IF(H486="","NONE",H486),"_","-"),"|","-"),"_TG|",(VLOOKUP(I486,Dictionary!$J:$K,2,0)),"_ST|",(VLOOKUP(J486,Dictionary!$M:$N,2,0)),"_TS|",SUBSTITUTE(SUBSTITUTE(IF(K486="","NONE",K486),"_","-"),"|","-"),"_SZ|",(VLOOKUP(L486,Dictionary!$Y:$Z,1,0)),"_AD|",(VLOOKUP(M486,Dictionary!$AB:$AC,2,0)),"_IT|",(VLOOKUP(N486,Dictionary!$BC:$BD,2,0)),IF(O486="","",CONCATENATE("_U1|",SUBSTITUTE(SUBSTITUTE(O486,"_","-"),"|","-"))),IF(P486="","",CONCATENATE("_U2|",SUBSTITUTE(SUBSTITUTE(P486,"_","-"),"|","-"))),IF(Q486="","",CONCATENATE("_U3|",SUBSTITUTE(SUBSTITUTE(Q486,"_","-"),"|","-")))))</f>
        <v>#N/A</v>
      </c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3" t="str">
        <f>IF(K487="----","#N/A",CONCATENATE("MK|",(VLOOKUP(B487,Dictionary!$A:$B,2,0)),"_CH|",(VLOOKUP(C487,Dictionary!$AV:$AW,2,0)),"_DT|",(VLOOKUP(D487,Dictionary!$P:$Q,2,0)),"_PB|",(VLOOKUP(E487,Dictionary!$G:$H,2,0)),"_FM|",(VLOOKUP(F487,Dictionary!$S:$T,2,0)),"_RT|",(VLOOKUP(G487,Dictionary!$V:$W,2,0)),"_PD|",SUBSTITUTE(SUBSTITUTE(IF(H487="","NONE",H487),"_","-"),"|","-"),"_TG|",(VLOOKUP(I487,Dictionary!$J:$K,2,0)),"_ST|",(VLOOKUP(J487,Dictionary!$M:$N,2,0)),"_TS|",SUBSTITUTE(SUBSTITUTE(IF(K487="","NONE",K487),"_","-"),"|","-"),"_SZ|",(VLOOKUP(L487,Dictionary!$Y:$Z,1,0)),"_AD|",(VLOOKUP(M487,Dictionary!$AB:$AC,2,0)),"_IT|",(VLOOKUP(N487,Dictionary!$BC:$BD,2,0)),IF(O487="","",CONCATENATE("_U1|",SUBSTITUTE(SUBSTITUTE(O487,"_","-"),"|","-"))),IF(P487="","",CONCATENATE("_U2|",SUBSTITUTE(SUBSTITUTE(P487,"_","-"),"|","-"))),IF(Q487="","",CONCATENATE("_U3|",SUBSTITUTE(SUBSTITUTE(Q487,"_","-"),"|","-")))))</f>
        <v>#N/A</v>
      </c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3" t="str">
        <f>IF(K488="----","#N/A",CONCATENATE("MK|",(VLOOKUP(B488,Dictionary!$A:$B,2,0)),"_CH|",(VLOOKUP(C488,Dictionary!$AV:$AW,2,0)),"_DT|",(VLOOKUP(D488,Dictionary!$P:$Q,2,0)),"_PB|",(VLOOKUP(E488,Dictionary!$G:$H,2,0)),"_FM|",(VLOOKUP(F488,Dictionary!$S:$T,2,0)),"_RT|",(VLOOKUP(G488,Dictionary!$V:$W,2,0)),"_PD|",SUBSTITUTE(SUBSTITUTE(IF(H488="","NONE",H488),"_","-"),"|","-"),"_TG|",(VLOOKUP(I488,Dictionary!$J:$K,2,0)),"_ST|",(VLOOKUP(J488,Dictionary!$M:$N,2,0)),"_TS|",SUBSTITUTE(SUBSTITUTE(IF(K488="","NONE",K488),"_","-"),"|","-"),"_SZ|",(VLOOKUP(L488,Dictionary!$Y:$Z,1,0)),"_AD|",(VLOOKUP(M488,Dictionary!$AB:$AC,2,0)),"_IT|",(VLOOKUP(N488,Dictionary!$BC:$BD,2,0)),IF(O488="","",CONCATENATE("_U1|",SUBSTITUTE(SUBSTITUTE(O488,"_","-"),"|","-"))),IF(P488="","",CONCATENATE("_U2|",SUBSTITUTE(SUBSTITUTE(P488,"_","-"),"|","-"))),IF(Q488="","",CONCATENATE("_U3|",SUBSTITUTE(SUBSTITUTE(Q488,"_","-"),"|","-")))))</f>
        <v>#N/A</v>
      </c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3" t="str">
        <f>IF(K489="----","#N/A",CONCATENATE("MK|",(VLOOKUP(B489,Dictionary!$A:$B,2,0)),"_CH|",(VLOOKUP(C489,Dictionary!$AV:$AW,2,0)),"_DT|",(VLOOKUP(D489,Dictionary!$P:$Q,2,0)),"_PB|",(VLOOKUP(E489,Dictionary!$G:$H,2,0)),"_FM|",(VLOOKUP(F489,Dictionary!$S:$T,2,0)),"_RT|",(VLOOKUP(G489,Dictionary!$V:$W,2,0)),"_PD|",SUBSTITUTE(SUBSTITUTE(IF(H489="","NONE",H489),"_","-"),"|","-"),"_TG|",(VLOOKUP(I489,Dictionary!$J:$K,2,0)),"_ST|",(VLOOKUP(J489,Dictionary!$M:$N,2,0)),"_TS|",SUBSTITUTE(SUBSTITUTE(IF(K489="","NONE",K489),"_","-"),"|","-"),"_SZ|",(VLOOKUP(L489,Dictionary!$Y:$Z,1,0)),"_AD|",(VLOOKUP(M489,Dictionary!$AB:$AC,2,0)),"_IT|",(VLOOKUP(N489,Dictionary!$BC:$BD,2,0)),IF(O489="","",CONCATENATE("_U1|",SUBSTITUTE(SUBSTITUTE(O489,"_","-"),"|","-"))),IF(P489="","",CONCATENATE("_U2|",SUBSTITUTE(SUBSTITUTE(P489,"_","-"),"|","-"))),IF(Q489="","",CONCATENATE("_U3|",SUBSTITUTE(SUBSTITUTE(Q489,"_","-"),"|","-")))))</f>
        <v>#N/A</v>
      </c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3" t="str">
        <f>IF(K490="----","#N/A",CONCATENATE("MK|",(VLOOKUP(B490,Dictionary!$A:$B,2,0)),"_CH|",(VLOOKUP(C490,Dictionary!$AV:$AW,2,0)),"_DT|",(VLOOKUP(D490,Dictionary!$P:$Q,2,0)),"_PB|",(VLOOKUP(E490,Dictionary!$G:$H,2,0)),"_FM|",(VLOOKUP(F490,Dictionary!$S:$T,2,0)),"_RT|",(VLOOKUP(G490,Dictionary!$V:$W,2,0)),"_PD|",SUBSTITUTE(SUBSTITUTE(IF(H490="","NONE",H490),"_","-"),"|","-"),"_TG|",(VLOOKUP(I490,Dictionary!$J:$K,2,0)),"_ST|",(VLOOKUP(J490,Dictionary!$M:$N,2,0)),"_TS|",SUBSTITUTE(SUBSTITUTE(IF(K490="","NONE",K490),"_","-"),"|","-"),"_SZ|",(VLOOKUP(L490,Dictionary!$Y:$Z,1,0)),"_AD|",(VLOOKUP(M490,Dictionary!$AB:$AC,2,0)),"_IT|",(VLOOKUP(N490,Dictionary!$BC:$BD,2,0)),IF(O490="","",CONCATENATE("_U1|",SUBSTITUTE(SUBSTITUTE(O490,"_","-"),"|","-"))),IF(P490="","",CONCATENATE("_U2|",SUBSTITUTE(SUBSTITUTE(P490,"_","-"),"|","-"))),IF(Q490="","",CONCATENATE("_U3|",SUBSTITUTE(SUBSTITUTE(Q490,"_","-"),"|","-")))))</f>
        <v>#N/A</v>
      </c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3" t="str">
        <f>IF(K491="----","#N/A",CONCATENATE("MK|",(VLOOKUP(B491,Dictionary!$A:$B,2,0)),"_CH|",(VLOOKUP(C491,Dictionary!$AV:$AW,2,0)),"_DT|",(VLOOKUP(D491,Dictionary!$P:$Q,2,0)),"_PB|",(VLOOKUP(E491,Dictionary!$G:$H,2,0)),"_FM|",(VLOOKUP(F491,Dictionary!$S:$T,2,0)),"_RT|",(VLOOKUP(G491,Dictionary!$V:$W,2,0)),"_PD|",SUBSTITUTE(SUBSTITUTE(IF(H491="","NONE",H491),"_","-"),"|","-"),"_TG|",(VLOOKUP(I491,Dictionary!$J:$K,2,0)),"_ST|",(VLOOKUP(J491,Dictionary!$M:$N,2,0)),"_TS|",SUBSTITUTE(SUBSTITUTE(IF(K491="","NONE",K491),"_","-"),"|","-"),"_SZ|",(VLOOKUP(L491,Dictionary!$Y:$Z,1,0)),"_AD|",(VLOOKUP(M491,Dictionary!$AB:$AC,2,0)),"_IT|",(VLOOKUP(N491,Dictionary!$BC:$BD,2,0)),IF(O491="","",CONCATENATE("_U1|",SUBSTITUTE(SUBSTITUTE(O491,"_","-"),"|","-"))),IF(P491="","",CONCATENATE("_U2|",SUBSTITUTE(SUBSTITUTE(P491,"_","-"),"|","-"))),IF(Q491="","",CONCATENATE("_U3|",SUBSTITUTE(SUBSTITUTE(Q491,"_","-"),"|","-")))))</f>
        <v>#N/A</v>
      </c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3" t="str">
        <f>IF(K492="----","#N/A",CONCATENATE("MK|",(VLOOKUP(B492,Dictionary!$A:$B,2,0)),"_CH|",(VLOOKUP(C492,Dictionary!$AV:$AW,2,0)),"_DT|",(VLOOKUP(D492,Dictionary!$P:$Q,2,0)),"_PB|",(VLOOKUP(E492,Dictionary!$G:$H,2,0)),"_FM|",(VLOOKUP(F492,Dictionary!$S:$T,2,0)),"_RT|",(VLOOKUP(G492,Dictionary!$V:$W,2,0)),"_PD|",SUBSTITUTE(SUBSTITUTE(IF(H492="","NONE",H492),"_","-"),"|","-"),"_TG|",(VLOOKUP(I492,Dictionary!$J:$K,2,0)),"_ST|",(VLOOKUP(J492,Dictionary!$M:$N,2,0)),"_TS|",SUBSTITUTE(SUBSTITUTE(IF(K492="","NONE",K492),"_","-"),"|","-"),"_SZ|",(VLOOKUP(L492,Dictionary!$Y:$Z,1,0)),"_AD|",(VLOOKUP(M492,Dictionary!$AB:$AC,2,0)),"_IT|",(VLOOKUP(N492,Dictionary!$BC:$BD,2,0)),IF(O492="","",CONCATENATE("_U1|",SUBSTITUTE(SUBSTITUTE(O492,"_","-"),"|","-"))),IF(P492="","",CONCATENATE("_U2|",SUBSTITUTE(SUBSTITUTE(P492,"_","-"),"|","-"))),IF(Q492="","",CONCATENATE("_U3|",SUBSTITUTE(SUBSTITUTE(Q492,"_","-"),"|","-")))))</f>
        <v>#N/A</v>
      </c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3" t="str">
        <f>IF(K493="----","#N/A",CONCATENATE("MK|",(VLOOKUP(B493,Dictionary!$A:$B,2,0)),"_CH|",(VLOOKUP(C493,Dictionary!$AV:$AW,2,0)),"_DT|",(VLOOKUP(D493,Dictionary!$P:$Q,2,0)),"_PB|",(VLOOKUP(E493,Dictionary!$G:$H,2,0)),"_FM|",(VLOOKUP(F493,Dictionary!$S:$T,2,0)),"_RT|",(VLOOKUP(G493,Dictionary!$V:$W,2,0)),"_PD|",SUBSTITUTE(SUBSTITUTE(IF(H493="","NONE",H493),"_","-"),"|","-"),"_TG|",(VLOOKUP(I493,Dictionary!$J:$K,2,0)),"_ST|",(VLOOKUP(J493,Dictionary!$M:$N,2,0)),"_TS|",SUBSTITUTE(SUBSTITUTE(IF(K493="","NONE",K493),"_","-"),"|","-"),"_SZ|",(VLOOKUP(L493,Dictionary!$Y:$Z,1,0)),"_AD|",(VLOOKUP(M493,Dictionary!$AB:$AC,2,0)),"_IT|",(VLOOKUP(N493,Dictionary!$BC:$BD,2,0)),IF(O493="","",CONCATENATE("_U1|",SUBSTITUTE(SUBSTITUTE(O493,"_","-"),"|","-"))),IF(P493="","",CONCATENATE("_U2|",SUBSTITUTE(SUBSTITUTE(P493,"_","-"),"|","-"))),IF(Q493="","",CONCATENATE("_U3|",SUBSTITUTE(SUBSTITUTE(Q493,"_","-"),"|","-")))))</f>
        <v>#N/A</v>
      </c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3" t="str">
        <f>IF(K494="----","#N/A",CONCATENATE("MK|",(VLOOKUP(B494,Dictionary!$A:$B,2,0)),"_CH|",(VLOOKUP(C494,Dictionary!$AV:$AW,2,0)),"_DT|",(VLOOKUP(D494,Dictionary!$P:$Q,2,0)),"_PB|",(VLOOKUP(E494,Dictionary!$G:$H,2,0)),"_FM|",(VLOOKUP(F494,Dictionary!$S:$T,2,0)),"_RT|",(VLOOKUP(G494,Dictionary!$V:$W,2,0)),"_PD|",SUBSTITUTE(SUBSTITUTE(IF(H494="","NONE",H494),"_","-"),"|","-"),"_TG|",(VLOOKUP(I494,Dictionary!$J:$K,2,0)),"_ST|",(VLOOKUP(J494,Dictionary!$M:$N,2,0)),"_TS|",SUBSTITUTE(SUBSTITUTE(IF(K494="","NONE",K494),"_","-"),"|","-"),"_SZ|",(VLOOKUP(L494,Dictionary!$Y:$Z,1,0)),"_AD|",(VLOOKUP(M494,Dictionary!$AB:$AC,2,0)),"_IT|",(VLOOKUP(N494,Dictionary!$BC:$BD,2,0)),IF(O494="","",CONCATENATE("_U1|",SUBSTITUTE(SUBSTITUTE(O494,"_","-"),"|","-"))),IF(P494="","",CONCATENATE("_U2|",SUBSTITUTE(SUBSTITUTE(P494,"_","-"),"|","-"))),IF(Q494="","",CONCATENATE("_U3|",SUBSTITUTE(SUBSTITUTE(Q494,"_","-"),"|","-")))))</f>
        <v>#N/A</v>
      </c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3" t="str">
        <f>IF(K495="----","#N/A",CONCATENATE("MK|",(VLOOKUP(B495,Dictionary!$A:$B,2,0)),"_CH|",(VLOOKUP(C495,Dictionary!$AV:$AW,2,0)),"_DT|",(VLOOKUP(D495,Dictionary!$P:$Q,2,0)),"_PB|",(VLOOKUP(E495,Dictionary!$G:$H,2,0)),"_FM|",(VLOOKUP(F495,Dictionary!$S:$T,2,0)),"_RT|",(VLOOKUP(G495,Dictionary!$V:$W,2,0)),"_PD|",SUBSTITUTE(SUBSTITUTE(IF(H495="","NONE",H495),"_","-"),"|","-"),"_TG|",(VLOOKUP(I495,Dictionary!$J:$K,2,0)),"_ST|",(VLOOKUP(J495,Dictionary!$M:$N,2,0)),"_TS|",SUBSTITUTE(SUBSTITUTE(IF(K495="","NONE",K495),"_","-"),"|","-"),"_SZ|",(VLOOKUP(L495,Dictionary!$Y:$Z,1,0)),"_AD|",(VLOOKUP(M495,Dictionary!$AB:$AC,2,0)),"_IT|",(VLOOKUP(N495,Dictionary!$BC:$BD,2,0)),IF(O495="","",CONCATENATE("_U1|",SUBSTITUTE(SUBSTITUTE(O495,"_","-"),"|","-"))),IF(P495="","",CONCATENATE("_U2|",SUBSTITUTE(SUBSTITUTE(P495,"_","-"),"|","-"))),IF(Q495="","",CONCATENATE("_U3|",SUBSTITUTE(SUBSTITUTE(Q495,"_","-"),"|","-")))))</f>
        <v>#N/A</v>
      </c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3" t="str">
        <f>IF(K496="----","#N/A",CONCATENATE("MK|",(VLOOKUP(B496,Dictionary!$A:$B,2,0)),"_CH|",(VLOOKUP(C496,Dictionary!$AV:$AW,2,0)),"_DT|",(VLOOKUP(D496,Dictionary!$P:$Q,2,0)),"_PB|",(VLOOKUP(E496,Dictionary!$G:$H,2,0)),"_FM|",(VLOOKUP(F496,Dictionary!$S:$T,2,0)),"_RT|",(VLOOKUP(G496,Dictionary!$V:$W,2,0)),"_PD|",SUBSTITUTE(SUBSTITUTE(IF(H496="","NONE",H496),"_","-"),"|","-"),"_TG|",(VLOOKUP(I496,Dictionary!$J:$K,2,0)),"_ST|",(VLOOKUP(J496,Dictionary!$M:$N,2,0)),"_TS|",SUBSTITUTE(SUBSTITUTE(IF(K496="","NONE",K496),"_","-"),"|","-"),"_SZ|",(VLOOKUP(L496,Dictionary!$Y:$Z,1,0)),"_AD|",(VLOOKUP(M496,Dictionary!$AB:$AC,2,0)),"_IT|",(VLOOKUP(N496,Dictionary!$BC:$BD,2,0)),IF(O496="","",CONCATENATE("_U1|",SUBSTITUTE(SUBSTITUTE(O496,"_","-"),"|","-"))),IF(P496="","",CONCATENATE("_U2|",SUBSTITUTE(SUBSTITUTE(P496,"_","-"),"|","-"))),IF(Q496="","",CONCATENATE("_U3|",SUBSTITUTE(SUBSTITUTE(Q496,"_","-"),"|","-")))))</f>
        <v>#N/A</v>
      </c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3" t="str">
        <f>IF(K497="----","#N/A",CONCATENATE("MK|",(VLOOKUP(B497,Dictionary!$A:$B,2,0)),"_CH|",(VLOOKUP(C497,Dictionary!$AV:$AW,2,0)),"_DT|",(VLOOKUP(D497,Dictionary!$P:$Q,2,0)),"_PB|",(VLOOKUP(E497,Dictionary!$G:$H,2,0)),"_FM|",(VLOOKUP(F497,Dictionary!$S:$T,2,0)),"_RT|",(VLOOKUP(G497,Dictionary!$V:$W,2,0)),"_PD|",SUBSTITUTE(SUBSTITUTE(IF(H497="","NONE",H497),"_","-"),"|","-"),"_TG|",(VLOOKUP(I497,Dictionary!$J:$K,2,0)),"_ST|",(VLOOKUP(J497,Dictionary!$M:$N,2,0)),"_TS|",SUBSTITUTE(SUBSTITUTE(IF(K497="","NONE",K497),"_","-"),"|","-"),"_SZ|",(VLOOKUP(L497,Dictionary!$Y:$Z,1,0)),"_AD|",(VLOOKUP(M497,Dictionary!$AB:$AC,2,0)),"_IT|",(VLOOKUP(N497,Dictionary!$BC:$BD,2,0)),IF(O497="","",CONCATENATE("_U1|",SUBSTITUTE(SUBSTITUTE(O497,"_","-"),"|","-"))),IF(P497="","",CONCATENATE("_U2|",SUBSTITUTE(SUBSTITUTE(P497,"_","-"),"|","-"))),IF(Q497="","",CONCATENATE("_U3|",SUBSTITUTE(SUBSTITUTE(Q497,"_","-"),"|","-")))))</f>
        <v>#N/A</v>
      </c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3" t="str">
        <f>IF(K498="----","#N/A",CONCATENATE("MK|",(VLOOKUP(B498,Dictionary!$A:$B,2,0)),"_CH|",(VLOOKUP(C498,Dictionary!$AV:$AW,2,0)),"_DT|",(VLOOKUP(D498,Dictionary!$P:$Q,2,0)),"_PB|",(VLOOKUP(E498,Dictionary!$G:$H,2,0)),"_FM|",(VLOOKUP(F498,Dictionary!$S:$T,2,0)),"_RT|",(VLOOKUP(G498,Dictionary!$V:$W,2,0)),"_PD|",SUBSTITUTE(SUBSTITUTE(IF(H498="","NONE",H498),"_","-"),"|","-"),"_TG|",(VLOOKUP(I498,Dictionary!$J:$K,2,0)),"_ST|",(VLOOKUP(J498,Dictionary!$M:$N,2,0)),"_TS|",SUBSTITUTE(SUBSTITUTE(IF(K498="","NONE",K498),"_","-"),"|","-"),"_SZ|",(VLOOKUP(L498,Dictionary!$Y:$Z,1,0)),"_AD|",(VLOOKUP(M498,Dictionary!$AB:$AC,2,0)),"_IT|",(VLOOKUP(N498,Dictionary!$BC:$BD,2,0)),IF(O498="","",CONCATENATE("_U1|",SUBSTITUTE(SUBSTITUTE(O498,"_","-"),"|","-"))),IF(P498="","",CONCATENATE("_U2|",SUBSTITUTE(SUBSTITUTE(P498,"_","-"),"|","-"))),IF(Q498="","",CONCATENATE("_U3|",SUBSTITUTE(SUBSTITUTE(Q498,"_","-"),"|","-")))))</f>
        <v>#N/A</v>
      </c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3" t="str">
        <f>IF(K499="----","#N/A",CONCATENATE("MK|",(VLOOKUP(B499,Dictionary!$A:$B,2,0)),"_CH|",(VLOOKUP(C499,Dictionary!$AV:$AW,2,0)),"_DT|",(VLOOKUP(D499,Dictionary!$P:$Q,2,0)),"_PB|",(VLOOKUP(E499,Dictionary!$G:$H,2,0)),"_FM|",(VLOOKUP(F499,Dictionary!$S:$T,2,0)),"_RT|",(VLOOKUP(G499,Dictionary!$V:$W,2,0)),"_PD|",SUBSTITUTE(SUBSTITUTE(IF(H499="","NONE",H499),"_","-"),"|","-"),"_TG|",(VLOOKUP(I499,Dictionary!$J:$K,2,0)),"_ST|",(VLOOKUP(J499,Dictionary!$M:$N,2,0)),"_TS|",SUBSTITUTE(SUBSTITUTE(IF(K499="","NONE",K499),"_","-"),"|","-"),"_SZ|",(VLOOKUP(L499,Dictionary!$Y:$Z,1,0)),"_AD|",(VLOOKUP(M499,Dictionary!$AB:$AC,2,0)),"_IT|",(VLOOKUP(N499,Dictionary!$BC:$BD,2,0)),IF(O499="","",CONCATENATE("_U1|",SUBSTITUTE(SUBSTITUTE(O499,"_","-"),"|","-"))),IF(P499="","",CONCATENATE("_U2|",SUBSTITUTE(SUBSTITUTE(P499,"_","-"),"|","-"))),IF(Q499="","",CONCATENATE("_U3|",SUBSTITUTE(SUBSTITUTE(Q499,"_","-"),"|","-")))))</f>
        <v>#N/A</v>
      </c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3" t="str">
        <f>IF(K500="----","#N/A",CONCATENATE("MK|",(VLOOKUP(B500,Dictionary!$A:$B,2,0)),"_CH|",(VLOOKUP(C500,Dictionary!$AV:$AW,2,0)),"_DT|",(VLOOKUP(D500,Dictionary!$P:$Q,2,0)),"_PB|",(VLOOKUP(E500,Dictionary!$G:$H,2,0)),"_FM|",(VLOOKUP(F500,Dictionary!$S:$T,2,0)),"_RT|",(VLOOKUP(G500,Dictionary!$V:$W,2,0)),"_PD|",SUBSTITUTE(SUBSTITUTE(IF(H500="","NONE",H500),"_","-"),"|","-"),"_TG|",(VLOOKUP(I500,Dictionary!$J:$K,2,0)),"_ST|",(VLOOKUP(J500,Dictionary!$M:$N,2,0)),"_TS|",SUBSTITUTE(SUBSTITUTE(IF(K500="","NONE",K500),"_","-"),"|","-"),"_SZ|",(VLOOKUP(L500,Dictionary!$Y:$Z,1,0)),"_AD|",(VLOOKUP(M500,Dictionary!$AB:$AC,2,0)),"_IT|",(VLOOKUP(N500,Dictionary!$BC:$BD,2,0)),IF(O500="","",CONCATENATE("_U1|",SUBSTITUTE(SUBSTITUTE(O500,"_","-"),"|","-"))),IF(P500="","",CONCATENATE("_U2|",SUBSTITUTE(SUBSTITUTE(P500,"_","-"),"|","-"))),IF(Q500="","",CONCATENATE("_U3|",SUBSTITUTE(SUBSTITUTE(Q500,"_","-"),"|","-")))))</f>
        <v>#N/A</v>
      </c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3" t="str">
        <f>IF(K501="----","#N/A",CONCATENATE("MK|",(VLOOKUP(B501,Dictionary!$A:$B,2,0)),"_CH|",(VLOOKUP(C501,Dictionary!$AV:$AW,2,0)),"_DT|",(VLOOKUP(D501,Dictionary!$P:$Q,2,0)),"_PB|",(VLOOKUP(E501,Dictionary!$G:$H,2,0)),"_FM|",(VLOOKUP(F501,Dictionary!$S:$T,2,0)),"_RT|",(VLOOKUP(G501,Dictionary!$V:$W,2,0)),"_PD|",SUBSTITUTE(SUBSTITUTE(IF(H501="","NONE",H501),"_","-"),"|","-"),"_TG|",(VLOOKUP(I501,Dictionary!$J:$K,2,0)),"_ST|",(VLOOKUP(J501,Dictionary!$M:$N,2,0)),"_TS|",SUBSTITUTE(SUBSTITUTE(IF(K501="","NONE",K501),"_","-"),"|","-"),"_SZ|",(VLOOKUP(L501,Dictionary!$Y:$Z,1,0)),"_AD|",(VLOOKUP(M501,Dictionary!$AB:$AC,2,0)),"_IT|",(VLOOKUP(N501,Dictionary!$BC:$BD,2,0)),IF(O501="","",CONCATENATE("_U1|",SUBSTITUTE(SUBSTITUTE(O501,"_","-"),"|","-"))),IF(P501="","",CONCATENATE("_U2|",SUBSTITUTE(SUBSTITUTE(P501,"_","-"),"|","-"))),IF(Q501="","",CONCATENATE("_U3|",SUBSTITUTE(SUBSTITUTE(Q501,"_","-"),"|","-")))))</f>
        <v>#N/A</v>
      </c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3" t="str">
        <f>IF(K502="----","#N/A",CONCATENATE("MK|",(VLOOKUP(B502,Dictionary!$A:$B,2,0)),"_CH|",(VLOOKUP(C502,Dictionary!$AV:$AW,2,0)),"_DT|",(VLOOKUP(D502,Dictionary!$P:$Q,2,0)),"_PB|",(VLOOKUP(E502,Dictionary!$G:$H,2,0)),"_FM|",(VLOOKUP(F502,Dictionary!$S:$T,2,0)),"_RT|",(VLOOKUP(G502,Dictionary!$V:$W,2,0)),"_PD|",SUBSTITUTE(SUBSTITUTE(IF(H502="","NONE",H502),"_","-"),"|","-"),"_TG|",(VLOOKUP(I502,Dictionary!$J:$K,2,0)),"_ST|",(VLOOKUP(J502,Dictionary!$M:$N,2,0)),"_TS|",SUBSTITUTE(SUBSTITUTE(IF(K502="","NONE",K502),"_","-"),"|","-"),"_SZ|",(VLOOKUP(L502,Dictionary!$Y:$Z,1,0)),"_AD|",(VLOOKUP(M502,Dictionary!$AB:$AC,2,0)),"_IT|",(VLOOKUP(N502,Dictionary!$BC:$BD,2,0)),IF(O502="","",CONCATENATE("_U1|",SUBSTITUTE(SUBSTITUTE(O502,"_","-"),"|","-"))),IF(P502="","",CONCATENATE("_U2|",SUBSTITUTE(SUBSTITUTE(P502,"_","-"),"|","-"))),IF(Q502="","",CONCATENATE("_U3|",SUBSTITUTE(SUBSTITUTE(Q502,"_","-"),"|","-")))))</f>
        <v>#N/A</v>
      </c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3" t="str">
        <f>IF(K503="----","#N/A",CONCATENATE("MK|",(VLOOKUP(B503,Dictionary!$A:$B,2,0)),"_CH|",(VLOOKUP(C503,Dictionary!$AV:$AW,2,0)),"_DT|",(VLOOKUP(D503,Dictionary!$P:$Q,2,0)),"_PB|",(VLOOKUP(E503,Dictionary!$G:$H,2,0)),"_FM|",(VLOOKUP(F503,Dictionary!$S:$T,2,0)),"_RT|",(VLOOKUP(G503,Dictionary!$V:$W,2,0)),"_PD|",SUBSTITUTE(SUBSTITUTE(IF(H503="","NONE",H503),"_","-"),"|","-"),"_TG|",(VLOOKUP(I503,Dictionary!$J:$K,2,0)),"_ST|",(VLOOKUP(J503,Dictionary!$M:$N,2,0)),"_TS|",SUBSTITUTE(SUBSTITUTE(IF(K503="","NONE",K503),"_","-"),"|","-"),"_SZ|",(VLOOKUP(L503,Dictionary!$Y:$Z,1,0)),"_AD|",(VLOOKUP(M503,Dictionary!$AB:$AC,2,0)),"_IT|",(VLOOKUP(N503,Dictionary!$BC:$BD,2,0)),IF(O503="","",CONCATENATE("_U1|",SUBSTITUTE(SUBSTITUTE(O503,"_","-"),"|","-"))),IF(P503="","",CONCATENATE("_U2|",SUBSTITUTE(SUBSTITUTE(P503,"_","-"),"|","-"))),IF(Q503="","",CONCATENATE("_U3|",SUBSTITUTE(SUBSTITUTE(Q503,"_","-"),"|","-")))))</f>
        <v>#N/A</v>
      </c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3" t="str">
        <f>IF(K504="----","#N/A",CONCATENATE("MK|",(VLOOKUP(B504,Dictionary!$A:$B,2,0)),"_CH|",(VLOOKUP(C504,Dictionary!$AV:$AW,2,0)),"_DT|",(VLOOKUP(D504,Dictionary!$P:$Q,2,0)),"_PB|",(VLOOKUP(E504,Dictionary!$G:$H,2,0)),"_FM|",(VLOOKUP(F504,Dictionary!$S:$T,2,0)),"_RT|",(VLOOKUP(G504,Dictionary!$V:$W,2,0)),"_PD|",SUBSTITUTE(SUBSTITUTE(IF(H504="","NONE",H504),"_","-"),"|","-"),"_TG|",(VLOOKUP(I504,Dictionary!$J:$K,2,0)),"_ST|",(VLOOKUP(J504,Dictionary!$M:$N,2,0)),"_TS|",SUBSTITUTE(SUBSTITUTE(IF(K504="","NONE",K504),"_","-"),"|","-"),"_SZ|",(VLOOKUP(L504,Dictionary!$Y:$Z,1,0)),"_AD|",(VLOOKUP(M504,Dictionary!$AB:$AC,2,0)),"_IT|",(VLOOKUP(N504,Dictionary!$BC:$BD,2,0)),IF(O504="","",CONCATENATE("_U1|",SUBSTITUTE(SUBSTITUTE(O504,"_","-"),"|","-"))),IF(P504="","",CONCATENATE("_U2|",SUBSTITUTE(SUBSTITUTE(P504,"_","-"),"|","-"))),IF(Q504="","",CONCATENATE("_U3|",SUBSTITUTE(SUBSTITUTE(Q504,"_","-"),"|","-")))))</f>
        <v>#N/A</v>
      </c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3" t="str">
        <f>IF(K505="----","#N/A",CONCATENATE("MK|",(VLOOKUP(B505,Dictionary!$A:$B,2,0)),"_CH|",(VLOOKUP(C505,Dictionary!$AV:$AW,2,0)),"_DT|",(VLOOKUP(D505,Dictionary!$P:$Q,2,0)),"_PB|",(VLOOKUP(E505,Dictionary!$G:$H,2,0)),"_FM|",(VLOOKUP(F505,Dictionary!$S:$T,2,0)),"_RT|",(VLOOKUP(G505,Dictionary!$V:$W,2,0)),"_PD|",SUBSTITUTE(SUBSTITUTE(IF(H505="","NONE",H505),"_","-"),"|","-"),"_TG|",(VLOOKUP(I505,Dictionary!$J:$K,2,0)),"_ST|",(VLOOKUP(J505,Dictionary!$M:$N,2,0)),"_TS|",SUBSTITUTE(SUBSTITUTE(IF(K505="","NONE",K505),"_","-"),"|","-"),"_SZ|",(VLOOKUP(L505,Dictionary!$Y:$Z,1,0)),"_AD|",(VLOOKUP(M505,Dictionary!$AB:$AC,2,0)),"_IT|",(VLOOKUP(N505,Dictionary!$BC:$BD,2,0)),IF(O505="","",CONCATENATE("_U1|",SUBSTITUTE(SUBSTITUTE(O505,"_","-"),"|","-"))),IF(P505="","",CONCATENATE("_U2|",SUBSTITUTE(SUBSTITUTE(P505,"_","-"),"|","-"))),IF(Q505="","",CONCATENATE("_U3|",SUBSTITUTE(SUBSTITUTE(Q505,"_","-"),"|","-")))))</f>
        <v>#N/A</v>
      </c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3" t="str">
        <f>IF(K506="----","#N/A",CONCATENATE("MK|",(VLOOKUP(B506,Dictionary!$A:$B,2,0)),"_CH|",(VLOOKUP(C506,Dictionary!$AV:$AW,2,0)),"_DT|",(VLOOKUP(D506,Dictionary!$P:$Q,2,0)),"_PB|",(VLOOKUP(E506,Dictionary!$G:$H,2,0)),"_FM|",(VLOOKUP(F506,Dictionary!$S:$T,2,0)),"_RT|",(VLOOKUP(G506,Dictionary!$V:$W,2,0)),"_PD|",SUBSTITUTE(SUBSTITUTE(IF(H506="","NONE",H506),"_","-"),"|","-"),"_TG|",(VLOOKUP(I506,Dictionary!$J:$K,2,0)),"_ST|",(VLOOKUP(J506,Dictionary!$M:$N,2,0)),"_TS|",SUBSTITUTE(SUBSTITUTE(IF(K506="","NONE",K506),"_","-"),"|","-"),"_SZ|",(VLOOKUP(L506,Dictionary!$Y:$Z,1,0)),"_AD|",(VLOOKUP(M506,Dictionary!$AB:$AC,2,0)),"_IT|",(VLOOKUP(N506,Dictionary!$BC:$BD,2,0)),IF(O506="","",CONCATENATE("_U1|",SUBSTITUTE(SUBSTITUTE(O506,"_","-"),"|","-"))),IF(P506="","",CONCATENATE("_U2|",SUBSTITUTE(SUBSTITUTE(P506,"_","-"),"|","-"))),IF(Q506="","",CONCATENATE("_U3|",SUBSTITUTE(SUBSTITUTE(Q506,"_","-"),"|","-")))))</f>
        <v>#N/A</v>
      </c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3" t="str">
        <f>IF(K507="----","#N/A",CONCATENATE("MK|",(VLOOKUP(B507,Dictionary!$A:$B,2,0)),"_CH|",(VLOOKUP(C507,Dictionary!$AV:$AW,2,0)),"_DT|",(VLOOKUP(D507,Dictionary!$P:$Q,2,0)),"_PB|",(VLOOKUP(E507,Dictionary!$G:$H,2,0)),"_FM|",(VLOOKUP(F507,Dictionary!$S:$T,2,0)),"_RT|",(VLOOKUP(G507,Dictionary!$V:$W,2,0)),"_PD|",SUBSTITUTE(SUBSTITUTE(IF(H507="","NONE",H507),"_","-"),"|","-"),"_TG|",(VLOOKUP(I507,Dictionary!$J:$K,2,0)),"_ST|",(VLOOKUP(J507,Dictionary!$M:$N,2,0)),"_TS|",SUBSTITUTE(SUBSTITUTE(IF(K507="","NONE",K507),"_","-"),"|","-"),"_SZ|",(VLOOKUP(L507,Dictionary!$Y:$Z,1,0)),"_AD|",(VLOOKUP(M507,Dictionary!$AB:$AC,2,0)),"_IT|",(VLOOKUP(N507,Dictionary!$BC:$BD,2,0)),IF(O507="","",CONCATENATE("_U1|",SUBSTITUTE(SUBSTITUTE(O507,"_","-"),"|","-"))),IF(P507="","",CONCATENATE("_U2|",SUBSTITUTE(SUBSTITUTE(P507,"_","-"),"|","-"))),IF(Q507="","",CONCATENATE("_U3|",SUBSTITUTE(SUBSTITUTE(Q507,"_","-"),"|","-")))))</f>
        <v>#N/A</v>
      </c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3" t="str">
        <f>IF(K508="----","#N/A",CONCATENATE("MK|",(VLOOKUP(B508,Dictionary!$A:$B,2,0)),"_CH|",(VLOOKUP(C508,Dictionary!$AV:$AW,2,0)),"_DT|",(VLOOKUP(D508,Dictionary!$P:$Q,2,0)),"_PB|",(VLOOKUP(E508,Dictionary!$G:$H,2,0)),"_FM|",(VLOOKUP(F508,Dictionary!$S:$T,2,0)),"_RT|",(VLOOKUP(G508,Dictionary!$V:$W,2,0)),"_PD|",SUBSTITUTE(SUBSTITUTE(IF(H508="","NONE",H508),"_","-"),"|","-"),"_TG|",(VLOOKUP(I508,Dictionary!$J:$K,2,0)),"_ST|",(VLOOKUP(J508,Dictionary!$M:$N,2,0)),"_TS|",SUBSTITUTE(SUBSTITUTE(IF(K508="","NONE",K508),"_","-"),"|","-"),"_SZ|",(VLOOKUP(L508,Dictionary!$Y:$Z,1,0)),"_AD|",(VLOOKUP(M508,Dictionary!$AB:$AC,2,0)),"_IT|",(VLOOKUP(N508,Dictionary!$BC:$BD,2,0)),IF(O508="","",CONCATENATE("_U1|",SUBSTITUTE(SUBSTITUTE(O508,"_","-"),"|","-"))),IF(P508="","",CONCATENATE("_U2|",SUBSTITUTE(SUBSTITUTE(P508,"_","-"),"|","-"))),IF(Q508="","",CONCATENATE("_U3|",SUBSTITUTE(SUBSTITUTE(Q508,"_","-"),"|","-")))))</f>
        <v>#N/A</v>
      </c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3" t="str">
        <f>IF(K509="----","#N/A",CONCATENATE("MK|",(VLOOKUP(B509,Dictionary!$A:$B,2,0)),"_CH|",(VLOOKUP(C509,Dictionary!$AV:$AW,2,0)),"_DT|",(VLOOKUP(D509,Dictionary!$P:$Q,2,0)),"_PB|",(VLOOKUP(E509,Dictionary!$G:$H,2,0)),"_FM|",(VLOOKUP(F509,Dictionary!$S:$T,2,0)),"_RT|",(VLOOKUP(G509,Dictionary!$V:$W,2,0)),"_PD|",SUBSTITUTE(SUBSTITUTE(IF(H509="","NONE",H509),"_","-"),"|","-"),"_TG|",(VLOOKUP(I509,Dictionary!$J:$K,2,0)),"_ST|",(VLOOKUP(J509,Dictionary!$M:$N,2,0)),"_TS|",SUBSTITUTE(SUBSTITUTE(IF(K509="","NONE",K509),"_","-"),"|","-"),"_SZ|",(VLOOKUP(L509,Dictionary!$Y:$Z,1,0)),"_AD|",(VLOOKUP(M509,Dictionary!$AB:$AC,2,0)),"_IT|",(VLOOKUP(N509,Dictionary!$BC:$BD,2,0)),IF(O509="","",CONCATENATE("_U1|",SUBSTITUTE(SUBSTITUTE(O509,"_","-"),"|","-"))),IF(P509="","",CONCATENATE("_U2|",SUBSTITUTE(SUBSTITUTE(P509,"_","-"),"|","-"))),IF(Q509="","",CONCATENATE("_U3|",SUBSTITUTE(SUBSTITUTE(Q509,"_","-"),"|","-")))))</f>
        <v>#N/A</v>
      </c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3" t="str">
        <f>IF(K510="----","#N/A",CONCATENATE("MK|",(VLOOKUP(B510,Dictionary!$A:$B,2,0)),"_CH|",(VLOOKUP(C510,Dictionary!$AV:$AW,2,0)),"_DT|",(VLOOKUP(D510,Dictionary!$P:$Q,2,0)),"_PB|",(VLOOKUP(E510,Dictionary!$G:$H,2,0)),"_FM|",(VLOOKUP(F510,Dictionary!$S:$T,2,0)),"_RT|",(VLOOKUP(G510,Dictionary!$V:$W,2,0)),"_PD|",SUBSTITUTE(SUBSTITUTE(IF(H510="","NONE",H510),"_","-"),"|","-"),"_TG|",(VLOOKUP(I510,Dictionary!$J:$K,2,0)),"_ST|",(VLOOKUP(J510,Dictionary!$M:$N,2,0)),"_TS|",SUBSTITUTE(SUBSTITUTE(IF(K510="","NONE",K510),"_","-"),"|","-"),"_SZ|",(VLOOKUP(L510,Dictionary!$Y:$Z,1,0)),"_AD|",(VLOOKUP(M510,Dictionary!$AB:$AC,2,0)),"_IT|",(VLOOKUP(N510,Dictionary!$BC:$BD,2,0)),IF(O510="","",CONCATENATE("_U1|",SUBSTITUTE(SUBSTITUTE(O510,"_","-"),"|","-"))),IF(P510="","",CONCATENATE("_U2|",SUBSTITUTE(SUBSTITUTE(P510,"_","-"),"|","-"))),IF(Q510="","",CONCATENATE("_U3|",SUBSTITUTE(SUBSTITUTE(Q510,"_","-"),"|","-")))))</f>
        <v>#N/A</v>
      </c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3" t="str">
        <f>IF(K511="----","#N/A",CONCATENATE("MK|",(VLOOKUP(B511,Dictionary!$A:$B,2,0)),"_CH|",(VLOOKUP(C511,Dictionary!$AV:$AW,2,0)),"_DT|",(VLOOKUP(D511,Dictionary!$P:$Q,2,0)),"_PB|",(VLOOKUP(E511,Dictionary!$G:$H,2,0)),"_FM|",(VLOOKUP(F511,Dictionary!$S:$T,2,0)),"_RT|",(VLOOKUP(G511,Dictionary!$V:$W,2,0)),"_PD|",SUBSTITUTE(SUBSTITUTE(IF(H511="","NONE",H511),"_","-"),"|","-"),"_TG|",(VLOOKUP(I511,Dictionary!$J:$K,2,0)),"_ST|",(VLOOKUP(J511,Dictionary!$M:$N,2,0)),"_TS|",SUBSTITUTE(SUBSTITUTE(IF(K511="","NONE",K511),"_","-"),"|","-"),"_SZ|",(VLOOKUP(L511,Dictionary!$Y:$Z,1,0)),"_AD|",(VLOOKUP(M511,Dictionary!$AB:$AC,2,0)),"_IT|",(VLOOKUP(N511,Dictionary!$BC:$BD,2,0)),IF(O511="","",CONCATENATE("_U1|",SUBSTITUTE(SUBSTITUTE(O511,"_","-"),"|","-"))),IF(P511="","",CONCATENATE("_U2|",SUBSTITUTE(SUBSTITUTE(P511,"_","-"),"|","-"))),IF(Q511="","",CONCATENATE("_U3|",SUBSTITUTE(SUBSTITUTE(Q511,"_","-"),"|","-")))))</f>
        <v>#N/A</v>
      </c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3" t="str">
        <f>IF(K512="----","#N/A",CONCATENATE("MK|",(VLOOKUP(B512,Dictionary!$A:$B,2,0)),"_CH|",(VLOOKUP(C512,Dictionary!$AV:$AW,2,0)),"_DT|",(VLOOKUP(D512,Dictionary!$P:$Q,2,0)),"_PB|",(VLOOKUP(E512,Dictionary!$G:$H,2,0)),"_FM|",(VLOOKUP(F512,Dictionary!$S:$T,2,0)),"_RT|",(VLOOKUP(G512,Dictionary!$V:$W,2,0)),"_PD|",SUBSTITUTE(SUBSTITUTE(IF(H512="","NONE",H512),"_","-"),"|","-"),"_TG|",(VLOOKUP(I512,Dictionary!$J:$K,2,0)),"_ST|",(VLOOKUP(J512,Dictionary!$M:$N,2,0)),"_TS|",SUBSTITUTE(SUBSTITUTE(IF(K512="","NONE",K512),"_","-"),"|","-"),"_SZ|",(VLOOKUP(L512,Dictionary!$Y:$Z,1,0)),"_AD|",(VLOOKUP(M512,Dictionary!$AB:$AC,2,0)),"_IT|",(VLOOKUP(N512,Dictionary!$BC:$BD,2,0)),IF(O512="","",CONCATENATE("_U1|",SUBSTITUTE(SUBSTITUTE(O512,"_","-"),"|","-"))),IF(P512="","",CONCATENATE("_U2|",SUBSTITUTE(SUBSTITUTE(P512,"_","-"),"|","-"))),IF(Q512="","",CONCATENATE("_U3|",SUBSTITUTE(SUBSTITUTE(Q512,"_","-"),"|","-")))))</f>
        <v>#N/A</v>
      </c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3" t="str">
        <f>IF(K513="----","#N/A",CONCATENATE("MK|",(VLOOKUP(B513,Dictionary!$A:$B,2,0)),"_CH|",(VLOOKUP(C513,Dictionary!$AV:$AW,2,0)),"_DT|",(VLOOKUP(D513,Dictionary!$P:$Q,2,0)),"_PB|",(VLOOKUP(E513,Dictionary!$G:$H,2,0)),"_FM|",(VLOOKUP(F513,Dictionary!$S:$T,2,0)),"_RT|",(VLOOKUP(G513,Dictionary!$V:$W,2,0)),"_PD|",SUBSTITUTE(SUBSTITUTE(IF(H513="","NONE",H513),"_","-"),"|","-"),"_TG|",(VLOOKUP(I513,Dictionary!$J:$K,2,0)),"_ST|",(VLOOKUP(J513,Dictionary!$M:$N,2,0)),"_TS|",SUBSTITUTE(SUBSTITUTE(IF(K513="","NONE",K513),"_","-"),"|","-"),"_SZ|",(VLOOKUP(L513,Dictionary!$Y:$Z,1,0)),"_AD|",(VLOOKUP(M513,Dictionary!$AB:$AC,2,0)),"_IT|",(VLOOKUP(N513,Dictionary!$BC:$BD,2,0)),IF(O513="","",CONCATENATE("_U1|",SUBSTITUTE(SUBSTITUTE(O513,"_","-"),"|","-"))),IF(P513="","",CONCATENATE("_U2|",SUBSTITUTE(SUBSTITUTE(P513,"_","-"),"|","-"))),IF(Q513="","",CONCATENATE("_U3|",SUBSTITUTE(SUBSTITUTE(Q513,"_","-"),"|","-")))))</f>
        <v>#N/A</v>
      </c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3" t="str">
        <f>IF(K514="----","#N/A",CONCATENATE("MK|",(VLOOKUP(B514,Dictionary!$A:$B,2,0)),"_CH|",(VLOOKUP(C514,Dictionary!$AV:$AW,2,0)),"_DT|",(VLOOKUP(D514,Dictionary!$P:$Q,2,0)),"_PB|",(VLOOKUP(E514,Dictionary!$G:$H,2,0)),"_FM|",(VLOOKUP(F514,Dictionary!$S:$T,2,0)),"_RT|",(VLOOKUP(G514,Dictionary!$V:$W,2,0)),"_PD|",SUBSTITUTE(SUBSTITUTE(IF(H514="","NONE",H514),"_","-"),"|","-"),"_TG|",(VLOOKUP(I514,Dictionary!$J:$K,2,0)),"_ST|",(VLOOKUP(J514,Dictionary!$M:$N,2,0)),"_TS|",SUBSTITUTE(SUBSTITUTE(IF(K514="","NONE",K514),"_","-"),"|","-"),"_SZ|",(VLOOKUP(L514,Dictionary!$Y:$Z,1,0)),"_AD|",(VLOOKUP(M514,Dictionary!$AB:$AC,2,0)),"_IT|",(VLOOKUP(N514,Dictionary!$BC:$BD,2,0)),IF(O514="","",CONCATENATE("_U1|",SUBSTITUTE(SUBSTITUTE(O514,"_","-"),"|","-"))),IF(P514="","",CONCATENATE("_U2|",SUBSTITUTE(SUBSTITUTE(P514,"_","-"),"|","-"))),IF(Q514="","",CONCATENATE("_U3|",SUBSTITUTE(SUBSTITUTE(Q514,"_","-"),"|","-")))))</f>
        <v>#N/A</v>
      </c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3" t="str">
        <f>IF(K515="----","#N/A",CONCATENATE("MK|",(VLOOKUP(B515,Dictionary!$A:$B,2,0)),"_CH|",(VLOOKUP(C515,Dictionary!$AV:$AW,2,0)),"_DT|",(VLOOKUP(D515,Dictionary!$P:$Q,2,0)),"_PB|",(VLOOKUP(E515,Dictionary!$G:$H,2,0)),"_FM|",(VLOOKUP(F515,Dictionary!$S:$T,2,0)),"_RT|",(VLOOKUP(G515,Dictionary!$V:$W,2,0)),"_PD|",SUBSTITUTE(SUBSTITUTE(IF(H515="","NONE",H515),"_","-"),"|","-"),"_TG|",(VLOOKUP(I515,Dictionary!$J:$K,2,0)),"_ST|",(VLOOKUP(J515,Dictionary!$M:$N,2,0)),"_TS|",SUBSTITUTE(SUBSTITUTE(IF(K515="","NONE",K515),"_","-"),"|","-"),"_SZ|",(VLOOKUP(L515,Dictionary!$Y:$Z,1,0)),"_AD|",(VLOOKUP(M515,Dictionary!$AB:$AC,2,0)),"_IT|",(VLOOKUP(N515,Dictionary!$BC:$BD,2,0)),IF(O515="","",CONCATENATE("_U1|",SUBSTITUTE(SUBSTITUTE(O515,"_","-"),"|","-"))),IF(P515="","",CONCATENATE("_U2|",SUBSTITUTE(SUBSTITUTE(P515,"_","-"),"|","-"))),IF(Q515="","",CONCATENATE("_U3|",SUBSTITUTE(SUBSTITUTE(Q515,"_","-"),"|","-")))))</f>
        <v>#N/A</v>
      </c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3" t="str">
        <f>IF(K516="----","#N/A",CONCATENATE("MK|",(VLOOKUP(B516,Dictionary!$A:$B,2,0)),"_CH|",(VLOOKUP(C516,Dictionary!$AV:$AW,2,0)),"_DT|",(VLOOKUP(D516,Dictionary!$P:$Q,2,0)),"_PB|",(VLOOKUP(E516,Dictionary!$G:$H,2,0)),"_FM|",(VLOOKUP(F516,Dictionary!$S:$T,2,0)),"_RT|",(VLOOKUP(G516,Dictionary!$V:$W,2,0)),"_PD|",SUBSTITUTE(SUBSTITUTE(IF(H516="","NONE",H516),"_","-"),"|","-"),"_TG|",(VLOOKUP(I516,Dictionary!$J:$K,2,0)),"_ST|",(VLOOKUP(J516,Dictionary!$M:$N,2,0)),"_TS|",SUBSTITUTE(SUBSTITUTE(IF(K516="","NONE",K516),"_","-"),"|","-"),"_SZ|",(VLOOKUP(L516,Dictionary!$Y:$Z,1,0)),"_AD|",(VLOOKUP(M516,Dictionary!$AB:$AC,2,0)),"_IT|",(VLOOKUP(N516,Dictionary!$BC:$BD,2,0)),IF(O516="","",CONCATENATE("_U1|",SUBSTITUTE(SUBSTITUTE(O516,"_","-"),"|","-"))),IF(P516="","",CONCATENATE("_U2|",SUBSTITUTE(SUBSTITUTE(P516,"_","-"),"|","-"))),IF(Q516="","",CONCATENATE("_U3|",SUBSTITUTE(SUBSTITUTE(Q516,"_","-"),"|","-")))))</f>
        <v>#N/A</v>
      </c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3" t="str">
        <f>IF(K517="----","#N/A",CONCATENATE("MK|",(VLOOKUP(B517,Dictionary!$A:$B,2,0)),"_CH|",(VLOOKUP(C517,Dictionary!$AV:$AW,2,0)),"_DT|",(VLOOKUP(D517,Dictionary!$P:$Q,2,0)),"_PB|",(VLOOKUP(E517,Dictionary!$G:$H,2,0)),"_FM|",(VLOOKUP(F517,Dictionary!$S:$T,2,0)),"_RT|",(VLOOKUP(G517,Dictionary!$V:$W,2,0)),"_PD|",SUBSTITUTE(SUBSTITUTE(IF(H517="","NONE",H517),"_","-"),"|","-"),"_TG|",(VLOOKUP(I517,Dictionary!$J:$K,2,0)),"_ST|",(VLOOKUP(J517,Dictionary!$M:$N,2,0)),"_TS|",SUBSTITUTE(SUBSTITUTE(IF(K517="","NONE",K517),"_","-"),"|","-"),"_SZ|",(VLOOKUP(L517,Dictionary!$Y:$Z,1,0)),"_AD|",(VLOOKUP(M517,Dictionary!$AB:$AC,2,0)),"_IT|",(VLOOKUP(N517,Dictionary!$BC:$BD,2,0)),IF(O517="","",CONCATENATE("_U1|",SUBSTITUTE(SUBSTITUTE(O517,"_","-"),"|","-"))),IF(P517="","",CONCATENATE("_U2|",SUBSTITUTE(SUBSTITUTE(P517,"_","-"),"|","-"))),IF(Q517="","",CONCATENATE("_U3|",SUBSTITUTE(SUBSTITUTE(Q517,"_","-"),"|","-")))))</f>
        <v>#N/A</v>
      </c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3" t="str">
        <f>IF(K518="----","#N/A",CONCATENATE("MK|",(VLOOKUP(B518,Dictionary!$A:$B,2,0)),"_CH|",(VLOOKUP(C518,Dictionary!$AV:$AW,2,0)),"_DT|",(VLOOKUP(D518,Dictionary!$P:$Q,2,0)),"_PB|",(VLOOKUP(E518,Dictionary!$G:$H,2,0)),"_FM|",(VLOOKUP(F518,Dictionary!$S:$T,2,0)),"_RT|",(VLOOKUP(G518,Dictionary!$V:$W,2,0)),"_PD|",SUBSTITUTE(SUBSTITUTE(IF(H518="","NONE",H518),"_","-"),"|","-"),"_TG|",(VLOOKUP(I518,Dictionary!$J:$K,2,0)),"_ST|",(VLOOKUP(J518,Dictionary!$M:$N,2,0)),"_TS|",SUBSTITUTE(SUBSTITUTE(IF(K518="","NONE",K518),"_","-"),"|","-"),"_SZ|",(VLOOKUP(L518,Dictionary!$Y:$Z,1,0)),"_AD|",(VLOOKUP(M518,Dictionary!$AB:$AC,2,0)),"_IT|",(VLOOKUP(N518,Dictionary!$BC:$BD,2,0)),IF(O518="","",CONCATENATE("_U1|",SUBSTITUTE(SUBSTITUTE(O518,"_","-"),"|","-"))),IF(P518="","",CONCATENATE("_U2|",SUBSTITUTE(SUBSTITUTE(P518,"_","-"),"|","-"))),IF(Q518="","",CONCATENATE("_U3|",SUBSTITUTE(SUBSTITUTE(Q518,"_","-"),"|","-")))))</f>
        <v>#N/A</v>
      </c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3" t="str">
        <f>IF(K519="----","#N/A",CONCATENATE("MK|",(VLOOKUP(B519,Dictionary!$A:$B,2,0)),"_CH|",(VLOOKUP(C519,Dictionary!$AV:$AW,2,0)),"_DT|",(VLOOKUP(D519,Dictionary!$P:$Q,2,0)),"_PB|",(VLOOKUP(E519,Dictionary!$G:$H,2,0)),"_FM|",(VLOOKUP(F519,Dictionary!$S:$T,2,0)),"_RT|",(VLOOKUP(G519,Dictionary!$V:$W,2,0)),"_PD|",SUBSTITUTE(SUBSTITUTE(IF(H519="","NONE",H519),"_","-"),"|","-"),"_TG|",(VLOOKUP(I519,Dictionary!$J:$K,2,0)),"_ST|",(VLOOKUP(J519,Dictionary!$M:$N,2,0)),"_TS|",SUBSTITUTE(SUBSTITUTE(IF(K519="","NONE",K519),"_","-"),"|","-"),"_SZ|",(VLOOKUP(L519,Dictionary!$Y:$Z,1,0)),"_AD|",(VLOOKUP(M519,Dictionary!$AB:$AC,2,0)),"_IT|",(VLOOKUP(N519,Dictionary!$BC:$BD,2,0)),IF(O519="","",CONCATENATE("_U1|",SUBSTITUTE(SUBSTITUTE(O519,"_","-"),"|","-"))),IF(P519="","",CONCATENATE("_U2|",SUBSTITUTE(SUBSTITUTE(P519,"_","-"),"|","-"))),IF(Q519="","",CONCATENATE("_U3|",SUBSTITUTE(SUBSTITUTE(Q519,"_","-"),"|","-")))))</f>
        <v>#N/A</v>
      </c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3" t="str">
        <f>IF(K520="----","#N/A",CONCATENATE("MK|",(VLOOKUP(B520,Dictionary!$A:$B,2,0)),"_CH|",(VLOOKUP(C520,Dictionary!$AV:$AW,2,0)),"_DT|",(VLOOKUP(D520,Dictionary!$P:$Q,2,0)),"_PB|",(VLOOKUP(E520,Dictionary!$G:$H,2,0)),"_FM|",(VLOOKUP(F520,Dictionary!$S:$T,2,0)),"_RT|",(VLOOKUP(G520,Dictionary!$V:$W,2,0)),"_PD|",SUBSTITUTE(SUBSTITUTE(IF(H520="","NONE",H520),"_","-"),"|","-"),"_TG|",(VLOOKUP(I520,Dictionary!$J:$K,2,0)),"_ST|",(VLOOKUP(J520,Dictionary!$M:$N,2,0)),"_TS|",SUBSTITUTE(SUBSTITUTE(IF(K520="","NONE",K520),"_","-"),"|","-"),"_SZ|",(VLOOKUP(L520,Dictionary!$Y:$Z,1,0)),"_AD|",(VLOOKUP(M520,Dictionary!$AB:$AC,2,0)),"_IT|",(VLOOKUP(N520,Dictionary!$BC:$BD,2,0)),IF(O520="","",CONCATENATE("_U1|",SUBSTITUTE(SUBSTITUTE(O520,"_","-"),"|","-"))),IF(P520="","",CONCATENATE("_U2|",SUBSTITUTE(SUBSTITUTE(P520,"_","-"),"|","-"))),IF(Q520="","",CONCATENATE("_U3|",SUBSTITUTE(SUBSTITUTE(Q520,"_","-"),"|","-")))))</f>
        <v>#N/A</v>
      </c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3" t="str">
        <f>IF(K521="----","#N/A",CONCATENATE("MK|",(VLOOKUP(B521,Dictionary!$A:$B,2,0)),"_CH|",(VLOOKUP(C521,Dictionary!$AV:$AW,2,0)),"_DT|",(VLOOKUP(D521,Dictionary!$P:$Q,2,0)),"_PB|",(VLOOKUP(E521,Dictionary!$G:$H,2,0)),"_FM|",(VLOOKUP(F521,Dictionary!$S:$T,2,0)),"_RT|",(VLOOKUP(G521,Dictionary!$V:$W,2,0)),"_PD|",SUBSTITUTE(SUBSTITUTE(IF(H521="","NONE",H521),"_","-"),"|","-"),"_TG|",(VLOOKUP(I521,Dictionary!$J:$K,2,0)),"_ST|",(VLOOKUP(J521,Dictionary!$M:$N,2,0)),"_TS|",SUBSTITUTE(SUBSTITUTE(IF(K521="","NONE",K521),"_","-"),"|","-"),"_SZ|",(VLOOKUP(L521,Dictionary!$Y:$Z,1,0)),"_AD|",(VLOOKUP(M521,Dictionary!$AB:$AC,2,0)),"_IT|",(VLOOKUP(N521,Dictionary!$BC:$BD,2,0)),IF(O521="","",CONCATENATE("_U1|",SUBSTITUTE(SUBSTITUTE(O521,"_","-"),"|","-"))),IF(P521="","",CONCATENATE("_U2|",SUBSTITUTE(SUBSTITUTE(P521,"_","-"),"|","-"))),IF(Q521="","",CONCATENATE("_U3|",SUBSTITUTE(SUBSTITUTE(Q521,"_","-"),"|","-")))))</f>
        <v>#N/A</v>
      </c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3" t="str">
        <f>IF(K522="----","#N/A",CONCATENATE("MK|",(VLOOKUP(B522,Dictionary!$A:$B,2,0)),"_CH|",(VLOOKUP(C522,Dictionary!$AV:$AW,2,0)),"_DT|",(VLOOKUP(D522,Dictionary!$P:$Q,2,0)),"_PB|",(VLOOKUP(E522,Dictionary!$G:$H,2,0)),"_FM|",(VLOOKUP(F522,Dictionary!$S:$T,2,0)),"_RT|",(VLOOKUP(G522,Dictionary!$V:$W,2,0)),"_PD|",SUBSTITUTE(SUBSTITUTE(IF(H522="","NONE",H522),"_","-"),"|","-"),"_TG|",(VLOOKUP(I522,Dictionary!$J:$K,2,0)),"_ST|",(VLOOKUP(J522,Dictionary!$M:$N,2,0)),"_TS|",SUBSTITUTE(SUBSTITUTE(IF(K522="","NONE",K522),"_","-"),"|","-"),"_SZ|",(VLOOKUP(L522,Dictionary!$Y:$Z,1,0)),"_AD|",(VLOOKUP(M522,Dictionary!$AB:$AC,2,0)),"_IT|",(VLOOKUP(N522,Dictionary!$BC:$BD,2,0)),IF(O522="","",CONCATENATE("_U1|",SUBSTITUTE(SUBSTITUTE(O522,"_","-"),"|","-"))),IF(P522="","",CONCATENATE("_U2|",SUBSTITUTE(SUBSTITUTE(P522,"_","-"),"|","-"))),IF(Q522="","",CONCATENATE("_U3|",SUBSTITUTE(SUBSTITUTE(Q522,"_","-"),"|","-")))))</f>
        <v>#N/A</v>
      </c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3" t="str">
        <f>IF(K523="----","#N/A",CONCATENATE("MK|",(VLOOKUP(B523,Dictionary!$A:$B,2,0)),"_CH|",(VLOOKUP(C523,Dictionary!$AV:$AW,2,0)),"_DT|",(VLOOKUP(D523,Dictionary!$P:$Q,2,0)),"_PB|",(VLOOKUP(E523,Dictionary!$G:$H,2,0)),"_FM|",(VLOOKUP(F523,Dictionary!$S:$T,2,0)),"_RT|",(VLOOKUP(G523,Dictionary!$V:$W,2,0)),"_PD|",SUBSTITUTE(SUBSTITUTE(IF(H523="","NONE",H523),"_","-"),"|","-"),"_TG|",(VLOOKUP(I523,Dictionary!$J:$K,2,0)),"_ST|",(VLOOKUP(J523,Dictionary!$M:$N,2,0)),"_TS|",SUBSTITUTE(SUBSTITUTE(IF(K523="","NONE",K523),"_","-"),"|","-"),"_SZ|",(VLOOKUP(L523,Dictionary!$Y:$Z,1,0)),"_AD|",(VLOOKUP(M523,Dictionary!$AB:$AC,2,0)),"_IT|",(VLOOKUP(N523,Dictionary!$BC:$BD,2,0)),IF(O523="","",CONCATENATE("_U1|",SUBSTITUTE(SUBSTITUTE(O523,"_","-"),"|","-"))),IF(P523="","",CONCATENATE("_U2|",SUBSTITUTE(SUBSTITUTE(P523,"_","-"),"|","-"))),IF(Q523="","",CONCATENATE("_U3|",SUBSTITUTE(SUBSTITUTE(Q523,"_","-"),"|","-")))))</f>
        <v>#N/A</v>
      </c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3" t="str">
        <f>IF(K524="----","#N/A",CONCATENATE("MK|",(VLOOKUP(B524,Dictionary!$A:$B,2,0)),"_CH|",(VLOOKUP(C524,Dictionary!$AV:$AW,2,0)),"_DT|",(VLOOKUP(D524,Dictionary!$P:$Q,2,0)),"_PB|",(VLOOKUP(E524,Dictionary!$G:$H,2,0)),"_FM|",(VLOOKUP(F524,Dictionary!$S:$T,2,0)),"_RT|",(VLOOKUP(G524,Dictionary!$V:$W,2,0)),"_PD|",SUBSTITUTE(SUBSTITUTE(IF(H524="","NONE",H524),"_","-"),"|","-"),"_TG|",(VLOOKUP(I524,Dictionary!$J:$K,2,0)),"_ST|",(VLOOKUP(J524,Dictionary!$M:$N,2,0)),"_TS|",SUBSTITUTE(SUBSTITUTE(IF(K524="","NONE",K524),"_","-"),"|","-"),"_SZ|",(VLOOKUP(L524,Dictionary!$Y:$Z,1,0)),"_AD|",(VLOOKUP(M524,Dictionary!$AB:$AC,2,0)),"_IT|",(VLOOKUP(N524,Dictionary!$BC:$BD,2,0)),IF(O524="","",CONCATENATE("_U1|",SUBSTITUTE(SUBSTITUTE(O524,"_","-"),"|","-"))),IF(P524="","",CONCATENATE("_U2|",SUBSTITUTE(SUBSTITUTE(P524,"_","-"),"|","-"))),IF(Q524="","",CONCATENATE("_U3|",SUBSTITUTE(SUBSTITUTE(Q524,"_","-"),"|","-")))))</f>
        <v>#N/A</v>
      </c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3" t="str">
        <f>IF(K525="----","#N/A",CONCATENATE("MK|",(VLOOKUP(B525,Dictionary!$A:$B,2,0)),"_CH|",(VLOOKUP(C525,Dictionary!$AV:$AW,2,0)),"_DT|",(VLOOKUP(D525,Dictionary!$P:$Q,2,0)),"_PB|",(VLOOKUP(E525,Dictionary!$G:$H,2,0)),"_FM|",(VLOOKUP(F525,Dictionary!$S:$T,2,0)),"_RT|",(VLOOKUP(G525,Dictionary!$V:$W,2,0)),"_PD|",SUBSTITUTE(SUBSTITUTE(IF(H525="","NONE",H525),"_","-"),"|","-"),"_TG|",(VLOOKUP(I525,Dictionary!$J:$K,2,0)),"_ST|",(VLOOKUP(J525,Dictionary!$M:$N,2,0)),"_TS|",SUBSTITUTE(SUBSTITUTE(IF(K525="","NONE",K525),"_","-"),"|","-"),"_SZ|",(VLOOKUP(L525,Dictionary!$Y:$Z,1,0)),"_AD|",(VLOOKUP(M525,Dictionary!$AB:$AC,2,0)),"_IT|",(VLOOKUP(N525,Dictionary!$BC:$BD,2,0)),IF(O525="","",CONCATENATE("_U1|",SUBSTITUTE(SUBSTITUTE(O525,"_","-"),"|","-"))),IF(P525="","",CONCATENATE("_U2|",SUBSTITUTE(SUBSTITUTE(P525,"_","-"),"|","-"))),IF(Q525="","",CONCATENATE("_U3|",SUBSTITUTE(SUBSTITUTE(Q525,"_","-"),"|","-")))))</f>
        <v>#N/A</v>
      </c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3" t="str">
        <f>IF(K526="----","#N/A",CONCATENATE("MK|",(VLOOKUP(B526,Dictionary!$A:$B,2,0)),"_CH|",(VLOOKUP(C526,Dictionary!$AV:$AW,2,0)),"_DT|",(VLOOKUP(D526,Dictionary!$P:$Q,2,0)),"_PB|",(VLOOKUP(E526,Dictionary!$G:$H,2,0)),"_FM|",(VLOOKUP(F526,Dictionary!$S:$T,2,0)),"_RT|",(VLOOKUP(G526,Dictionary!$V:$W,2,0)),"_PD|",SUBSTITUTE(SUBSTITUTE(IF(H526="","NONE",H526),"_","-"),"|","-"),"_TG|",(VLOOKUP(I526,Dictionary!$J:$K,2,0)),"_ST|",(VLOOKUP(J526,Dictionary!$M:$N,2,0)),"_TS|",SUBSTITUTE(SUBSTITUTE(IF(K526="","NONE",K526),"_","-"),"|","-"),"_SZ|",(VLOOKUP(L526,Dictionary!$Y:$Z,1,0)),"_AD|",(VLOOKUP(M526,Dictionary!$AB:$AC,2,0)),"_IT|",(VLOOKUP(N526,Dictionary!$BC:$BD,2,0)),IF(O526="","",CONCATENATE("_U1|",SUBSTITUTE(SUBSTITUTE(O526,"_","-"),"|","-"))),IF(P526="","",CONCATENATE("_U2|",SUBSTITUTE(SUBSTITUTE(P526,"_","-"),"|","-"))),IF(Q526="","",CONCATENATE("_U3|",SUBSTITUTE(SUBSTITUTE(Q526,"_","-"),"|","-")))))</f>
        <v>#N/A</v>
      </c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3" t="str">
        <f>IF(K527="----","#N/A",CONCATENATE("MK|",(VLOOKUP(B527,Dictionary!$A:$B,2,0)),"_CH|",(VLOOKUP(C527,Dictionary!$AV:$AW,2,0)),"_DT|",(VLOOKUP(D527,Dictionary!$P:$Q,2,0)),"_PB|",(VLOOKUP(E527,Dictionary!$G:$H,2,0)),"_FM|",(VLOOKUP(F527,Dictionary!$S:$T,2,0)),"_RT|",(VLOOKUP(G527,Dictionary!$V:$W,2,0)),"_PD|",SUBSTITUTE(SUBSTITUTE(IF(H527="","NONE",H527),"_","-"),"|","-"),"_TG|",(VLOOKUP(I527,Dictionary!$J:$K,2,0)),"_ST|",(VLOOKUP(J527,Dictionary!$M:$N,2,0)),"_TS|",SUBSTITUTE(SUBSTITUTE(IF(K527="","NONE",K527),"_","-"),"|","-"),"_SZ|",(VLOOKUP(L527,Dictionary!$Y:$Z,1,0)),"_AD|",(VLOOKUP(M527,Dictionary!$AB:$AC,2,0)),"_IT|",(VLOOKUP(N527,Dictionary!$BC:$BD,2,0)),IF(O527="","",CONCATENATE("_U1|",SUBSTITUTE(SUBSTITUTE(O527,"_","-"),"|","-"))),IF(P527="","",CONCATENATE("_U2|",SUBSTITUTE(SUBSTITUTE(P527,"_","-"),"|","-"))),IF(Q527="","",CONCATENATE("_U3|",SUBSTITUTE(SUBSTITUTE(Q527,"_","-"),"|","-")))))</f>
        <v>#N/A</v>
      </c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3" t="str">
        <f>IF(K528="----","#N/A",CONCATENATE("MK|",(VLOOKUP(B528,Dictionary!$A:$B,2,0)),"_CH|",(VLOOKUP(C528,Dictionary!$AV:$AW,2,0)),"_DT|",(VLOOKUP(D528,Dictionary!$P:$Q,2,0)),"_PB|",(VLOOKUP(E528,Dictionary!$G:$H,2,0)),"_FM|",(VLOOKUP(F528,Dictionary!$S:$T,2,0)),"_RT|",(VLOOKUP(G528,Dictionary!$V:$W,2,0)),"_PD|",SUBSTITUTE(SUBSTITUTE(IF(H528="","NONE",H528),"_","-"),"|","-"),"_TG|",(VLOOKUP(I528,Dictionary!$J:$K,2,0)),"_ST|",(VLOOKUP(J528,Dictionary!$M:$N,2,0)),"_TS|",SUBSTITUTE(SUBSTITUTE(IF(K528="","NONE",K528),"_","-"),"|","-"),"_SZ|",(VLOOKUP(L528,Dictionary!$Y:$Z,1,0)),"_AD|",(VLOOKUP(M528,Dictionary!$AB:$AC,2,0)),"_IT|",(VLOOKUP(N528,Dictionary!$BC:$BD,2,0)),IF(O528="","",CONCATENATE("_U1|",SUBSTITUTE(SUBSTITUTE(O528,"_","-"),"|","-"))),IF(P528="","",CONCATENATE("_U2|",SUBSTITUTE(SUBSTITUTE(P528,"_","-"),"|","-"))),IF(Q528="","",CONCATENATE("_U3|",SUBSTITUTE(SUBSTITUTE(Q528,"_","-"),"|","-")))))</f>
        <v>#N/A</v>
      </c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3" t="str">
        <f>IF(K529="----","#N/A",CONCATENATE("MK|",(VLOOKUP(B529,Dictionary!$A:$B,2,0)),"_CH|",(VLOOKUP(C529,Dictionary!$AV:$AW,2,0)),"_DT|",(VLOOKUP(D529,Dictionary!$P:$Q,2,0)),"_PB|",(VLOOKUP(E529,Dictionary!$G:$H,2,0)),"_FM|",(VLOOKUP(F529,Dictionary!$S:$T,2,0)),"_RT|",(VLOOKUP(G529,Dictionary!$V:$W,2,0)),"_PD|",SUBSTITUTE(SUBSTITUTE(IF(H529="","NONE",H529),"_","-"),"|","-"),"_TG|",(VLOOKUP(I529,Dictionary!$J:$K,2,0)),"_ST|",(VLOOKUP(J529,Dictionary!$M:$N,2,0)),"_TS|",SUBSTITUTE(SUBSTITUTE(IF(K529="","NONE",K529),"_","-"),"|","-"),"_SZ|",(VLOOKUP(L529,Dictionary!$Y:$Z,1,0)),"_AD|",(VLOOKUP(M529,Dictionary!$AB:$AC,2,0)),"_IT|",(VLOOKUP(N529,Dictionary!$BC:$BD,2,0)),IF(O529="","",CONCATENATE("_U1|",SUBSTITUTE(SUBSTITUTE(O529,"_","-"),"|","-"))),IF(P529="","",CONCATENATE("_U2|",SUBSTITUTE(SUBSTITUTE(P529,"_","-"),"|","-"))),IF(Q529="","",CONCATENATE("_U3|",SUBSTITUTE(SUBSTITUTE(Q529,"_","-"),"|","-")))))</f>
        <v>#N/A</v>
      </c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3" t="str">
        <f>IF(K530="----","#N/A",CONCATENATE("MK|",(VLOOKUP(B530,Dictionary!$A:$B,2,0)),"_CH|",(VLOOKUP(C530,Dictionary!$AV:$AW,2,0)),"_DT|",(VLOOKUP(D530,Dictionary!$P:$Q,2,0)),"_PB|",(VLOOKUP(E530,Dictionary!$G:$H,2,0)),"_FM|",(VLOOKUP(F530,Dictionary!$S:$T,2,0)),"_RT|",(VLOOKUP(G530,Dictionary!$V:$W,2,0)),"_PD|",SUBSTITUTE(SUBSTITUTE(IF(H530="","NONE",H530),"_","-"),"|","-"),"_TG|",(VLOOKUP(I530,Dictionary!$J:$K,2,0)),"_ST|",(VLOOKUP(J530,Dictionary!$M:$N,2,0)),"_TS|",SUBSTITUTE(SUBSTITUTE(IF(K530="","NONE",K530),"_","-"),"|","-"),"_SZ|",(VLOOKUP(L530,Dictionary!$Y:$Z,1,0)),"_AD|",(VLOOKUP(M530,Dictionary!$AB:$AC,2,0)),"_IT|",(VLOOKUP(N530,Dictionary!$BC:$BD,2,0)),IF(O530="","",CONCATENATE("_U1|",SUBSTITUTE(SUBSTITUTE(O530,"_","-"),"|","-"))),IF(P530="","",CONCATENATE("_U2|",SUBSTITUTE(SUBSTITUTE(P530,"_","-"),"|","-"))),IF(Q530="","",CONCATENATE("_U3|",SUBSTITUTE(SUBSTITUTE(Q530,"_","-"),"|","-")))))</f>
        <v>#N/A</v>
      </c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3" t="str">
        <f>IF(K531="----","#N/A",CONCATENATE("MK|",(VLOOKUP(B531,Dictionary!$A:$B,2,0)),"_CH|",(VLOOKUP(C531,Dictionary!$AV:$AW,2,0)),"_DT|",(VLOOKUP(D531,Dictionary!$P:$Q,2,0)),"_PB|",(VLOOKUP(E531,Dictionary!$G:$H,2,0)),"_FM|",(VLOOKUP(F531,Dictionary!$S:$T,2,0)),"_RT|",(VLOOKUP(G531,Dictionary!$V:$W,2,0)),"_PD|",SUBSTITUTE(SUBSTITUTE(IF(H531="","NONE",H531),"_","-"),"|","-"),"_TG|",(VLOOKUP(I531,Dictionary!$J:$K,2,0)),"_ST|",(VLOOKUP(J531,Dictionary!$M:$N,2,0)),"_TS|",SUBSTITUTE(SUBSTITUTE(IF(K531="","NONE",K531),"_","-"),"|","-"),"_SZ|",(VLOOKUP(L531,Dictionary!$Y:$Z,1,0)),"_AD|",(VLOOKUP(M531,Dictionary!$AB:$AC,2,0)),"_IT|",(VLOOKUP(N531,Dictionary!$BC:$BD,2,0)),IF(O531="","",CONCATENATE("_U1|",SUBSTITUTE(SUBSTITUTE(O531,"_","-"),"|","-"))),IF(P531="","",CONCATENATE("_U2|",SUBSTITUTE(SUBSTITUTE(P531,"_","-"),"|","-"))),IF(Q531="","",CONCATENATE("_U3|",SUBSTITUTE(SUBSTITUTE(Q531,"_","-"),"|","-")))))</f>
        <v>#N/A</v>
      </c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3" t="str">
        <f>IF(K532="----","#N/A",CONCATENATE("MK|",(VLOOKUP(B532,Dictionary!$A:$B,2,0)),"_CH|",(VLOOKUP(C532,Dictionary!$AV:$AW,2,0)),"_DT|",(VLOOKUP(D532,Dictionary!$P:$Q,2,0)),"_PB|",(VLOOKUP(E532,Dictionary!$G:$H,2,0)),"_FM|",(VLOOKUP(F532,Dictionary!$S:$T,2,0)),"_RT|",(VLOOKUP(G532,Dictionary!$V:$W,2,0)),"_PD|",SUBSTITUTE(SUBSTITUTE(IF(H532="","NONE",H532),"_","-"),"|","-"),"_TG|",(VLOOKUP(I532,Dictionary!$J:$K,2,0)),"_ST|",(VLOOKUP(J532,Dictionary!$M:$N,2,0)),"_TS|",SUBSTITUTE(SUBSTITUTE(IF(K532="","NONE",K532),"_","-"),"|","-"),"_SZ|",(VLOOKUP(L532,Dictionary!$Y:$Z,1,0)),"_AD|",(VLOOKUP(M532,Dictionary!$AB:$AC,2,0)),"_IT|",(VLOOKUP(N532,Dictionary!$BC:$BD,2,0)),IF(O532="","",CONCATENATE("_U1|",SUBSTITUTE(SUBSTITUTE(O532,"_","-"),"|","-"))),IF(P532="","",CONCATENATE("_U2|",SUBSTITUTE(SUBSTITUTE(P532,"_","-"),"|","-"))),IF(Q532="","",CONCATENATE("_U3|",SUBSTITUTE(SUBSTITUTE(Q532,"_","-"),"|","-")))))</f>
        <v>#N/A</v>
      </c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3" t="str">
        <f>IF(K533="----","#N/A",CONCATENATE("MK|",(VLOOKUP(B533,Dictionary!$A:$B,2,0)),"_CH|",(VLOOKUP(C533,Dictionary!$AV:$AW,2,0)),"_DT|",(VLOOKUP(D533,Dictionary!$P:$Q,2,0)),"_PB|",(VLOOKUP(E533,Dictionary!$G:$H,2,0)),"_FM|",(VLOOKUP(F533,Dictionary!$S:$T,2,0)),"_RT|",(VLOOKUP(G533,Dictionary!$V:$W,2,0)),"_PD|",SUBSTITUTE(SUBSTITUTE(IF(H533="","NONE",H533),"_","-"),"|","-"),"_TG|",(VLOOKUP(I533,Dictionary!$J:$K,2,0)),"_ST|",(VLOOKUP(J533,Dictionary!$M:$N,2,0)),"_TS|",SUBSTITUTE(SUBSTITUTE(IF(K533="","NONE",K533),"_","-"),"|","-"),"_SZ|",(VLOOKUP(L533,Dictionary!$Y:$Z,1,0)),"_AD|",(VLOOKUP(M533,Dictionary!$AB:$AC,2,0)),"_IT|",(VLOOKUP(N533,Dictionary!$BC:$BD,2,0)),IF(O533="","",CONCATENATE("_U1|",SUBSTITUTE(SUBSTITUTE(O533,"_","-"),"|","-"))),IF(P533="","",CONCATENATE("_U2|",SUBSTITUTE(SUBSTITUTE(P533,"_","-"),"|","-"))),IF(Q533="","",CONCATENATE("_U3|",SUBSTITUTE(SUBSTITUTE(Q533,"_","-"),"|","-")))))</f>
        <v>#N/A</v>
      </c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3" t="str">
        <f>IF(K534="----","#N/A",CONCATENATE("MK|",(VLOOKUP(B534,Dictionary!$A:$B,2,0)),"_CH|",(VLOOKUP(C534,Dictionary!$AV:$AW,2,0)),"_DT|",(VLOOKUP(D534,Dictionary!$P:$Q,2,0)),"_PB|",(VLOOKUP(E534,Dictionary!$G:$H,2,0)),"_FM|",(VLOOKUP(F534,Dictionary!$S:$T,2,0)),"_RT|",(VLOOKUP(G534,Dictionary!$V:$W,2,0)),"_PD|",SUBSTITUTE(SUBSTITUTE(IF(H534="","NONE",H534),"_","-"),"|","-"),"_TG|",(VLOOKUP(I534,Dictionary!$J:$K,2,0)),"_ST|",(VLOOKUP(J534,Dictionary!$M:$N,2,0)),"_TS|",SUBSTITUTE(SUBSTITUTE(IF(K534="","NONE",K534),"_","-"),"|","-"),"_SZ|",(VLOOKUP(L534,Dictionary!$Y:$Z,1,0)),"_AD|",(VLOOKUP(M534,Dictionary!$AB:$AC,2,0)),"_IT|",(VLOOKUP(N534,Dictionary!$BC:$BD,2,0)),IF(O534="","",CONCATENATE("_U1|",SUBSTITUTE(SUBSTITUTE(O534,"_","-"),"|","-"))),IF(P534="","",CONCATENATE("_U2|",SUBSTITUTE(SUBSTITUTE(P534,"_","-"),"|","-"))),IF(Q534="","",CONCATENATE("_U3|",SUBSTITUTE(SUBSTITUTE(Q534,"_","-"),"|","-")))))</f>
        <v>#N/A</v>
      </c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3" t="str">
        <f>IF(K535="----","#N/A",CONCATENATE("MK|",(VLOOKUP(B535,Dictionary!$A:$B,2,0)),"_CH|",(VLOOKUP(C535,Dictionary!$AV:$AW,2,0)),"_DT|",(VLOOKUP(D535,Dictionary!$P:$Q,2,0)),"_PB|",(VLOOKUP(E535,Dictionary!$G:$H,2,0)),"_FM|",(VLOOKUP(F535,Dictionary!$S:$T,2,0)),"_RT|",(VLOOKUP(G535,Dictionary!$V:$W,2,0)),"_PD|",SUBSTITUTE(SUBSTITUTE(IF(H535="","NONE",H535),"_","-"),"|","-"),"_TG|",(VLOOKUP(I535,Dictionary!$J:$K,2,0)),"_ST|",(VLOOKUP(J535,Dictionary!$M:$N,2,0)),"_TS|",SUBSTITUTE(SUBSTITUTE(IF(K535="","NONE",K535),"_","-"),"|","-"),"_SZ|",(VLOOKUP(L535,Dictionary!$Y:$Z,1,0)),"_AD|",(VLOOKUP(M535,Dictionary!$AB:$AC,2,0)),"_IT|",(VLOOKUP(N535,Dictionary!$BC:$BD,2,0)),IF(O535="","",CONCATENATE("_U1|",SUBSTITUTE(SUBSTITUTE(O535,"_","-"),"|","-"))),IF(P535="","",CONCATENATE("_U2|",SUBSTITUTE(SUBSTITUTE(P535,"_","-"),"|","-"))),IF(Q535="","",CONCATENATE("_U3|",SUBSTITUTE(SUBSTITUTE(Q535,"_","-"),"|","-")))))</f>
        <v>#N/A</v>
      </c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3" t="str">
        <f>IF(K536="----","#N/A",CONCATENATE("MK|",(VLOOKUP(B536,Dictionary!$A:$B,2,0)),"_CH|",(VLOOKUP(C536,Dictionary!$AV:$AW,2,0)),"_DT|",(VLOOKUP(D536,Dictionary!$P:$Q,2,0)),"_PB|",(VLOOKUP(E536,Dictionary!$G:$H,2,0)),"_FM|",(VLOOKUP(F536,Dictionary!$S:$T,2,0)),"_RT|",(VLOOKUP(G536,Dictionary!$V:$W,2,0)),"_PD|",SUBSTITUTE(SUBSTITUTE(IF(H536="","NONE",H536),"_","-"),"|","-"),"_TG|",(VLOOKUP(I536,Dictionary!$J:$K,2,0)),"_ST|",(VLOOKUP(J536,Dictionary!$M:$N,2,0)),"_TS|",SUBSTITUTE(SUBSTITUTE(IF(K536="","NONE",K536),"_","-"),"|","-"),"_SZ|",(VLOOKUP(L536,Dictionary!$Y:$Z,1,0)),"_AD|",(VLOOKUP(M536,Dictionary!$AB:$AC,2,0)),"_IT|",(VLOOKUP(N536,Dictionary!$BC:$BD,2,0)),IF(O536="","",CONCATENATE("_U1|",SUBSTITUTE(SUBSTITUTE(O536,"_","-"),"|","-"))),IF(P536="","",CONCATENATE("_U2|",SUBSTITUTE(SUBSTITUTE(P536,"_","-"),"|","-"))),IF(Q536="","",CONCATENATE("_U3|",SUBSTITUTE(SUBSTITUTE(Q536,"_","-"),"|","-")))))</f>
        <v>#N/A</v>
      </c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3" t="str">
        <f>IF(K537="----","#N/A",CONCATENATE("MK|",(VLOOKUP(B537,Dictionary!$A:$B,2,0)),"_CH|",(VLOOKUP(C537,Dictionary!$AV:$AW,2,0)),"_DT|",(VLOOKUP(D537,Dictionary!$P:$Q,2,0)),"_PB|",(VLOOKUP(E537,Dictionary!$G:$H,2,0)),"_FM|",(VLOOKUP(F537,Dictionary!$S:$T,2,0)),"_RT|",(VLOOKUP(G537,Dictionary!$V:$W,2,0)),"_PD|",SUBSTITUTE(SUBSTITUTE(IF(H537="","NONE",H537),"_","-"),"|","-"),"_TG|",(VLOOKUP(I537,Dictionary!$J:$K,2,0)),"_ST|",(VLOOKUP(J537,Dictionary!$M:$N,2,0)),"_TS|",SUBSTITUTE(SUBSTITUTE(IF(K537="","NONE",K537),"_","-"),"|","-"),"_SZ|",(VLOOKUP(L537,Dictionary!$Y:$Z,1,0)),"_AD|",(VLOOKUP(M537,Dictionary!$AB:$AC,2,0)),"_IT|",(VLOOKUP(N537,Dictionary!$BC:$BD,2,0)),IF(O537="","",CONCATENATE("_U1|",SUBSTITUTE(SUBSTITUTE(O537,"_","-"),"|","-"))),IF(P537="","",CONCATENATE("_U2|",SUBSTITUTE(SUBSTITUTE(P537,"_","-"),"|","-"))),IF(Q537="","",CONCATENATE("_U3|",SUBSTITUTE(SUBSTITUTE(Q537,"_","-"),"|","-")))))</f>
        <v>#N/A</v>
      </c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3" t="str">
        <f>IF(K538="----","#N/A",CONCATENATE("MK|",(VLOOKUP(B538,Dictionary!$A:$B,2,0)),"_CH|",(VLOOKUP(C538,Dictionary!$AV:$AW,2,0)),"_DT|",(VLOOKUP(D538,Dictionary!$P:$Q,2,0)),"_PB|",(VLOOKUP(E538,Dictionary!$G:$H,2,0)),"_FM|",(VLOOKUP(F538,Dictionary!$S:$T,2,0)),"_RT|",(VLOOKUP(G538,Dictionary!$V:$W,2,0)),"_PD|",SUBSTITUTE(SUBSTITUTE(IF(H538="","NONE",H538),"_","-"),"|","-"),"_TG|",(VLOOKUP(I538,Dictionary!$J:$K,2,0)),"_ST|",(VLOOKUP(J538,Dictionary!$M:$N,2,0)),"_TS|",SUBSTITUTE(SUBSTITUTE(IF(K538="","NONE",K538),"_","-"),"|","-"),"_SZ|",(VLOOKUP(L538,Dictionary!$Y:$Z,1,0)),"_AD|",(VLOOKUP(M538,Dictionary!$AB:$AC,2,0)),"_IT|",(VLOOKUP(N538,Dictionary!$BC:$BD,2,0)),IF(O538="","",CONCATENATE("_U1|",SUBSTITUTE(SUBSTITUTE(O538,"_","-"),"|","-"))),IF(P538="","",CONCATENATE("_U2|",SUBSTITUTE(SUBSTITUTE(P538,"_","-"),"|","-"))),IF(Q538="","",CONCATENATE("_U3|",SUBSTITUTE(SUBSTITUTE(Q538,"_","-"),"|","-")))))</f>
        <v>#N/A</v>
      </c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3" t="str">
        <f>IF(K539="----","#N/A",CONCATENATE("MK|",(VLOOKUP(B539,Dictionary!$A:$B,2,0)),"_CH|",(VLOOKUP(C539,Dictionary!$AV:$AW,2,0)),"_DT|",(VLOOKUP(D539,Dictionary!$P:$Q,2,0)),"_PB|",(VLOOKUP(E539,Dictionary!$G:$H,2,0)),"_FM|",(VLOOKUP(F539,Dictionary!$S:$T,2,0)),"_RT|",(VLOOKUP(G539,Dictionary!$V:$W,2,0)),"_PD|",SUBSTITUTE(SUBSTITUTE(IF(H539="","NONE",H539),"_","-"),"|","-"),"_TG|",(VLOOKUP(I539,Dictionary!$J:$K,2,0)),"_ST|",(VLOOKUP(J539,Dictionary!$M:$N,2,0)),"_TS|",SUBSTITUTE(SUBSTITUTE(IF(K539="","NONE",K539),"_","-"),"|","-"),"_SZ|",(VLOOKUP(L539,Dictionary!$Y:$Z,1,0)),"_AD|",(VLOOKUP(M539,Dictionary!$AB:$AC,2,0)),"_IT|",(VLOOKUP(N539,Dictionary!$BC:$BD,2,0)),IF(O539="","",CONCATENATE("_U1|",SUBSTITUTE(SUBSTITUTE(O539,"_","-"),"|","-"))),IF(P539="","",CONCATENATE("_U2|",SUBSTITUTE(SUBSTITUTE(P539,"_","-"),"|","-"))),IF(Q539="","",CONCATENATE("_U3|",SUBSTITUTE(SUBSTITUTE(Q539,"_","-"),"|","-")))))</f>
        <v>#N/A</v>
      </c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3" t="str">
        <f>IF(K540="----","#N/A",CONCATENATE("MK|",(VLOOKUP(B540,Dictionary!$A:$B,2,0)),"_CH|",(VLOOKUP(C540,Dictionary!$AV:$AW,2,0)),"_DT|",(VLOOKUP(D540,Dictionary!$P:$Q,2,0)),"_PB|",(VLOOKUP(E540,Dictionary!$G:$H,2,0)),"_FM|",(VLOOKUP(F540,Dictionary!$S:$T,2,0)),"_RT|",(VLOOKUP(G540,Dictionary!$V:$W,2,0)),"_PD|",SUBSTITUTE(SUBSTITUTE(IF(H540="","NONE",H540),"_","-"),"|","-"),"_TG|",(VLOOKUP(I540,Dictionary!$J:$K,2,0)),"_ST|",(VLOOKUP(J540,Dictionary!$M:$N,2,0)),"_TS|",SUBSTITUTE(SUBSTITUTE(IF(K540="","NONE",K540),"_","-"),"|","-"),"_SZ|",(VLOOKUP(L540,Dictionary!$Y:$Z,1,0)),"_AD|",(VLOOKUP(M540,Dictionary!$AB:$AC,2,0)),"_IT|",(VLOOKUP(N540,Dictionary!$BC:$BD,2,0)),IF(O540="","",CONCATENATE("_U1|",SUBSTITUTE(SUBSTITUTE(O540,"_","-"),"|","-"))),IF(P540="","",CONCATENATE("_U2|",SUBSTITUTE(SUBSTITUTE(P540,"_","-"),"|","-"))),IF(Q540="","",CONCATENATE("_U3|",SUBSTITUTE(SUBSTITUTE(Q540,"_","-"),"|","-")))))</f>
        <v>#N/A</v>
      </c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3" t="str">
        <f>IF(K541="----","#N/A",CONCATENATE("MK|",(VLOOKUP(B541,Dictionary!$A:$B,2,0)),"_CH|",(VLOOKUP(C541,Dictionary!$AV:$AW,2,0)),"_DT|",(VLOOKUP(D541,Dictionary!$P:$Q,2,0)),"_PB|",(VLOOKUP(E541,Dictionary!$G:$H,2,0)),"_FM|",(VLOOKUP(F541,Dictionary!$S:$T,2,0)),"_RT|",(VLOOKUP(G541,Dictionary!$V:$W,2,0)),"_PD|",SUBSTITUTE(SUBSTITUTE(IF(H541="","NONE",H541),"_","-"),"|","-"),"_TG|",(VLOOKUP(I541,Dictionary!$J:$K,2,0)),"_ST|",(VLOOKUP(J541,Dictionary!$M:$N,2,0)),"_TS|",SUBSTITUTE(SUBSTITUTE(IF(K541="","NONE",K541),"_","-"),"|","-"),"_SZ|",(VLOOKUP(L541,Dictionary!$Y:$Z,1,0)),"_AD|",(VLOOKUP(M541,Dictionary!$AB:$AC,2,0)),"_IT|",(VLOOKUP(N541,Dictionary!$BC:$BD,2,0)),IF(O541="","",CONCATENATE("_U1|",SUBSTITUTE(SUBSTITUTE(O541,"_","-"),"|","-"))),IF(P541="","",CONCATENATE("_U2|",SUBSTITUTE(SUBSTITUTE(P541,"_","-"),"|","-"))),IF(Q541="","",CONCATENATE("_U3|",SUBSTITUTE(SUBSTITUTE(Q541,"_","-"),"|","-")))))</f>
        <v>#N/A</v>
      </c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3" t="str">
        <f>IF(K542="----","#N/A",CONCATENATE("MK|",(VLOOKUP(B542,Dictionary!$A:$B,2,0)),"_CH|",(VLOOKUP(C542,Dictionary!$AV:$AW,2,0)),"_DT|",(VLOOKUP(D542,Dictionary!$P:$Q,2,0)),"_PB|",(VLOOKUP(E542,Dictionary!$G:$H,2,0)),"_FM|",(VLOOKUP(F542,Dictionary!$S:$T,2,0)),"_RT|",(VLOOKUP(G542,Dictionary!$V:$W,2,0)),"_PD|",SUBSTITUTE(SUBSTITUTE(IF(H542="","NONE",H542),"_","-"),"|","-"),"_TG|",(VLOOKUP(I542,Dictionary!$J:$K,2,0)),"_ST|",(VLOOKUP(J542,Dictionary!$M:$N,2,0)),"_TS|",SUBSTITUTE(SUBSTITUTE(IF(K542="","NONE",K542),"_","-"),"|","-"),"_SZ|",(VLOOKUP(L542,Dictionary!$Y:$Z,1,0)),"_AD|",(VLOOKUP(M542,Dictionary!$AB:$AC,2,0)),"_IT|",(VLOOKUP(N542,Dictionary!$BC:$BD,2,0)),IF(O542="","",CONCATENATE("_U1|",SUBSTITUTE(SUBSTITUTE(O542,"_","-"),"|","-"))),IF(P542="","",CONCATENATE("_U2|",SUBSTITUTE(SUBSTITUTE(P542,"_","-"),"|","-"))),IF(Q542="","",CONCATENATE("_U3|",SUBSTITUTE(SUBSTITUTE(Q542,"_","-"),"|","-")))))</f>
        <v>#N/A</v>
      </c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3" t="str">
        <f>IF(K543="----","#N/A",CONCATENATE("MK|",(VLOOKUP(B543,Dictionary!$A:$B,2,0)),"_CH|",(VLOOKUP(C543,Dictionary!$AV:$AW,2,0)),"_DT|",(VLOOKUP(D543,Dictionary!$P:$Q,2,0)),"_PB|",(VLOOKUP(E543,Dictionary!$G:$H,2,0)),"_FM|",(VLOOKUP(F543,Dictionary!$S:$T,2,0)),"_RT|",(VLOOKUP(G543,Dictionary!$V:$W,2,0)),"_PD|",SUBSTITUTE(SUBSTITUTE(IF(H543="","NONE",H543),"_","-"),"|","-"),"_TG|",(VLOOKUP(I543,Dictionary!$J:$K,2,0)),"_ST|",(VLOOKUP(J543,Dictionary!$M:$N,2,0)),"_TS|",SUBSTITUTE(SUBSTITUTE(IF(K543="","NONE",K543),"_","-"),"|","-"),"_SZ|",(VLOOKUP(L543,Dictionary!$Y:$Z,1,0)),"_AD|",(VLOOKUP(M543,Dictionary!$AB:$AC,2,0)),"_IT|",(VLOOKUP(N543,Dictionary!$BC:$BD,2,0)),IF(O543="","",CONCATENATE("_U1|",SUBSTITUTE(SUBSTITUTE(O543,"_","-"),"|","-"))),IF(P543="","",CONCATENATE("_U2|",SUBSTITUTE(SUBSTITUTE(P543,"_","-"),"|","-"))),IF(Q543="","",CONCATENATE("_U3|",SUBSTITUTE(SUBSTITUTE(Q543,"_","-"),"|","-")))))</f>
        <v>#N/A</v>
      </c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3" t="str">
        <f>IF(K544="----","#N/A",CONCATENATE("MK|",(VLOOKUP(B544,Dictionary!$A:$B,2,0)),"_CH|",(VLOOKUP(C544,Dictionary!$AV:$AW,2,0)),"_DT|",(VLOOKUP(D544,Dictionary!$P:$Q,2,0)),"_PB|",(VLOOKUP(E544,Dictionary!$G:$H,2,0)),"_FM|",(VLOOKUP(F544,Dictionary!$S:$T,2,0)),"_RT|",(VLOOKUP(G544,Dictionary!$V:$W,2,0)),"_PD|",SUBSTITUTE(SUBSTITUTE(IF(H544="","NONE",H544),"_","-"),"|","-"),"_TG|",(VLOOKUP(I544,Dictionary!$J:$K,2,0)),"_ST|",(VLOOKUP(J544,Dictionary!$M:$N,2,0)),"_TS|",SUBSTITUTE(SUBSTITUTE(IF(K544="","NONE",K544),"_","-"),"|","-"),"_SZ|",(VLOOKUP(L544,Dictionary!$Y:$Z,1,0)),"_AD|",(VLOOKUP(M544,Dictionary!$AB:$AC,2,0)),"_IT|",(VLOOKUP(N544,Dictionary!$BC:$BD,2,0)),IF(O544="","",CONCATENATE("_U1|",SUBSTITUTE(SUBSTITUTE(O544,"_","-"),"|","-"))),IF(P544="","",CONCATENATE("_U2|",SUBSTITUTE(SUBSTITUTE(P544,"_","-"),"|","-"))),IF(Q544="","",CONCATENATE("_U3|",SUBSTITUTE(SUBSTITUTE(Q544,"_","-"),"|","-")))))</f>
        <v>#N/A</v>
      </c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3" t="str">
        <f>IF(K545="----","#N/A",CONCATENATE("MK|",(VLOOKUP(B545,Dictionary!$A:$B,2,0)),"_CH|",(VLOOKUP(C545,Dictionary!$AV:$AW,2,0)),"_DT|",(VLOOKUP(D545,Dictionary!$P:$Q,2,0)),"_PB|",(VLOOKUP(E545,Dictionary!$G:$H,2,0)),"_FM|",(VLOOKUP(F545,Dictionary!$S:$T,2,0)),"_RT|",(VLOOKUP(G545,Dictionary!$V:$W,2,0)),"_PD|",SUBSTITUTE(SUBSTITUTE(IF(H545="","NONE",H545),"_","-"),"|","-"),"_TG|",(VLOOKUP(I545,Dictionary!$J:$K,2,0)),"_ST|",(VLOOKUP(J545,Dictionary!$M:$N,2,0)),"_TS|",SUBSTITUTE(SUBSTITUTE(IF(K545="","NONE",K545),"_","-"),"|","-"),"_SZ|",(VLOOKUP(L545,Dictionary!$Y:$Z,1,0)),"_AD|",(VLOOKUP(M545,Dictionary!$AB:$AC,2,0)),"_IT|",(VLOOKUP(N545,Dictionary!$BC:$BD,2,0)),IF(O545="","",CONCATENATE("_U1|",SUBSTITUTE(SUBSTITUTE(O545,"_","-"),"|","-"))),IF(P545="","",CONCATENATE("_U2|",SUBSTITUTE(SUBSTITUTE(P545,"_","-"),"|","-"))),IF(Q545="","",CONCATENATE("_U3|",SUBSTITUTE(SUBSTITUTE(Q545,"_","-"),"|","-")))))</f>
        <v>#N/A</v>
      </c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3" t="str">
        <f>IF(K546="----","#N/A",CONCATENATE("MK|",(VLOOKUP(B546,Dictionary!$A:$B,2,0)),"_CH|",(VLOOKUP(C546,Dictionary!$AV:$AW,2,0)),"_DT|",(VLOOKUP(D546,Dictionary!$P:$Q,2,0)),"_PB|",(VLOOKUP(E546,Dictionary!$G:$H,2,0)),"_FM|",(VLOOKUP(F546,Dictionary!$S:$T,2,0)),"_RT|",(VLOOKUP(G546,Dictionary!$V:$W,2,0)),"_PD|",SUBSTITUTE(SUBSTITUTE(IF(H546="","NONE",H546),"_","-"),"|","-"),"_TG|",(VLOOKUP(I546,Dictionary!$J:$K,2,0)),"_ST|",(VLOOKUP(J546,Dictionary!$M:$N,2,0)),"_TS|",SUBSTITUTE(SUBSTITUTE(IF(K546="","NONE",K546),"_","-"),"|","-"),"_SZ|",(VLOOKUP(L546,Dictionary!$Y:$Z,1,0)),"_AD|",(VLOOKUP(M546,Dictionary!$AB:$AC,2,0)),"_IT|",(VLOOKUP(N546,Dictionary!$BC:$BD,2,0)),IF(O546="","",CONCATENATE("_U1|",SUBSTITUTE(SUBSTITUTE(O546,"_","-"),"|","-"))),IF(P546="","",CONCATENATE("_U2|",SUBSTITUTE(SUBSTITUTE(P546,"_","-"),"|","-"))),IF(Q546="","",CONCATENATE("_U3|",SUBSTITUTE(SUBSTITUTE(Q546,"_","-"),"|","-")))))</f>
        <v>#N/A</v>
      </c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3" t="str">
        <f>IF(K547="----","#N/A",CONCATENATE("MK|",(VLOOKUP(B547,Dictionary!$A:$B,2,0)),"_CH|",(VLOOKUP(C547,Dictionary!$AV:$AW,2,0)),"_DT|",(VLOOKUP(D547,Dictionary!$P:$Q,2,0)),"_PB|",(VLOOKUP(E547,Dictionary!$G:$H,2,0)),"_FM|",(VLOOKUP(F547,Dictionary!$S:$T,2,0)),"_RT|",(VLOOKUP(G547,Dictionary!$V:$W,2,0)),"_PD|",SUBSTITUTE(SUBSTITUTE(IF(H547="","NONE",H547),"_","-"),"|","-"),"_TG|",(VLOOKUP(I547,Dictionary!$J:$K,2,0)),"_ST|",(VLOOKUP(J547,Dictionary!$M:$N,2,0)),"_TS|",SUBSTITUTE(SUBSTITUTE(IF(K547="","NONE",K547),"_","-"),"|","-"),"_SZ|",(VLOOKUP(L547,Dictionary!$Y:$Z,1,0)),"_AD|",(VLOOKUP(M547,Dictionary!$AB:$AC,2,0)),"_IT|",(VLOOKUP(N547,Dictionary!$BC:$BD,2,0)),IF(O547="","",CONCATENATE("_U1|",SUBSTITUTE(SUBSTITUTE(O547,"_","-"),"|","-"))),IF(P547="","",CONCATENATE("_U2|",SUBSTITUTE(SUBSTITUTE(P547,"_","-"),"|","-"))),IF(Q547="","",CONCATENATE("_U3|",SUBSTITUTE(SUBSTITUTE(Q547,"_","-"),"|","-")))))</f>
        <v>#N/A</v>
      </c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3" t="str">
        <f>IF(K548="----","#N/A",CONCATENATE("MK|",(VLOOKUP(B548,Dictionary!$A:$B,2,0)),"_CH|",(VLOOKUP(C548,Dictionary!$AV:$AW,2,0)),"_DT|",(VLOOKUP(D548,Dictionary!$P:$Q,2,0)),"_PB|",(VLOOKUP(E548,Dictionary!$G:$H,2,0)),"_FM|",(VLOOKUP(F548,Dictionary!$S:$T,2,0)),"_RT|",(VLOOKUP(G548,Dictionary!$V:$W,2,0)),"_PD|",SUBSTITUTE(SUBSTITUTE(IF(H548="","NONE",H548),"_","-"),"|","-"),"_TG|",(VLOOKUP(I548,Dictionary!$J:$K,2,0)),"_ST|",(VLOOKUP(J548,Dictionary!$M:$N,2,0)),"_TS|",SUBSTITUTE(SUBSTITUTE(IF(K548="","NONE",K548),"_","-"),"|","-"),"_SZ|",(VLOOKUP(L548,Dictionary!$Y:$Z,1,0)),"_AD|",(VLOOKUP(M548,Dictionary!$AB:$AC,2,0)),"_IT|",(VLOOKUP(N548,Dictionary!$BC:$BD,2,0)),IF(O548="","",CONCATENATE("_U1|",SUBSTITUTE(SUBSTITUTE(O548,"_","-"),"|","-"))),IF(P548="","",CONCATENATE("_U2|",SUBSTITUTE(SUBSTITUTE(P548,"_","-"),"|","-"))),IF(Q548="","",CONCATENATE("_U3|",SUBSTITUTE(SUBSTITUTE(Q548,"_","-"),"|","-")))))</f>
        <v>#N/A</v>
      </c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3" t="str">
        <f>IF(K549="----","#N/A",CONCATENATE("MK|",(VLOOKUP(B549,Dictionary!$A:$B,2,0)),"_CH|",(VLOOKUP(C549,Dictionary!$AV:$AW,2,0)),"_DT|",(VLOOKUP(D549,Dictionary!$P:$Q,2,0)),"_PB|",(VLOOKUP(E549,Dictionary!$G:$H,2,0)),"_FM|",(VLOOKUP(F549,Dictionary!$S:$T,2,0)),"_RT|",(VLOOKUP(G549,Dictionary!$V:$W,2,0)),"_PD|",SUBSTITUTE(SUBSTITUTE(IF(H549="","NONE",H549),"_","-"),"|","-"),"_TG|",(VLOOKUP(I549,Dictionary!$J:$K,2,0)),"_ST|",(VLOOKUP(J549,Dictionary!$M:$N,2,0)),"_TS|",SUBSTITUTE(SUBSTITUTE(IF(K549="","NONE",K549),"_","-"),"|","-"),"_SZ|",(VLOOKUP(L549,Dictionary!$Y:$Z,1,0)),"_AD|",(VLOOKUP(M549,Dictionary!$AB:$AC,2,0)),"_IT|",(VLOOKUP(N549,Dictionary!$BC:$BD,2,0)),IF(O549="","",CONCATENATE("_U1|",SUBSTITUTE(SUBSTITUTE(O549,"_","-"),"|","-"))),IF(P549="","",CONCATENATE("_U2|",SUBSTITUTE(SUBSTITUTE(P549,"_","-"),"|","-"))),IF(Q549="","",CONCATENATE("_U3|",SUBSTITUTE(SUBSTITUTE(Q549,"_","-"),"|","-")))))</f>
        <v>#N/A</v>
      </c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3" t="str">
        <f>IF(K550="----","#N/A",CONCATENATE("MK|",(VLOOKUP(B550,Dictionary!$A:$B,2,0)),"_CH|",(VLOOKUP(C550,Dictionary!$AV:$AW,2,0)),"_DT|",(VLOOKUP(D550,Dictionary!$P:$Q,2,0)),"_PB|",(VLOOKUP(E550,Dictionary!$G:$H,2,0)),"_FM|",(VLOOKUP(F550,Dictionary!$S:$T,2,0)),"_RT|",(VLOOKUP(G550,Dictionary!$V:$W,2,0)),"_PD|",SUBSTITUTE(SUBSTITUTE(IF(H550="","NONE",H550),"_","-"),"|","-"),"_TG|",(VLOOKUP(I550,Dictionary!$J:$K,2,0)),"_ST|",(VLOOKUP(J550,Dictionary!$M:$N,2,0)),"_TS|",SUBSTITUTE(SUBSTITUTE(IF(K550="","NONE",K550),"_","-"),"|","-"),"_SZ|",(VLOOKUP(L550,Dictionary!$Y:$Z,1,0)),"_AD|",(VLOOKUP(M550,Dictionary!$AB:$AC,2,0)),"_IT|",(VLOOKUP(N550,Dictionary!$BC:$BD,2,0)),IF(O550="","",CONCATENATE("_U1|",SUBSTITUTE(SUBSTITUTE(O550,"_","-"),"|","-"))),IF(P550="","",CONCATENATE("_U2|",SUBSTITUTE(SUBSTITUTE(P550,"_","-"),"|","-"))),IF(Q550="","",CONCATENATE("_U3|",SUBSTITUTE(SUBSTITUTE(Q550,"_","-"),"|","-")))))</f>
        <v>#N/A</v>
      </c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3" t="str">
        <f>IF(K551="----","#N/A",CONCATENATE("MK|",(VLOOKUP(B551,Dictionary!$A:$B,2,0)),"_CH|",(VLOOKUP(C551,Dictionary!$AV:$AW,2,0)),"_DT|",(VLOOKUP(D551,Dictionary!$P:$Q,2,0)),"_PB|",(VLOOKUP(E551,Dictionary!$G:$H,2,0)),"_FM|",(VLOOKUP(F551,Dictionary!$S:$T,2,0)),"_RT|",(VLOOKUP(G551,Dictionary!$V:$W,2,0)),"_PD|",SUBSTITUTE(SUBSTITUTE(IF(H551="","NONE",H551),"_","-"),"|","-"),"_TG|",(VLOOKUP(I551,Dictionary!$J:$K,2,0)),"_ST|",(VLOOKUP(J551,Dictionary!$M:$N,2,0)),"_TS|",SUBSTITUTE(SUBSTITUTE(IF(K551="","NONE",K551),"_","-"),"|","-"),"_SZ|",(VLOOKUP(L551,Dictionary!$Y:$Z,1,0)),"_AD|",(VLOOKUP(M551,Dictionary!$AB:$AC,2,0)),"_IT|",(VLOOKUP(N551,Dictionary!$BC:$BD,2,0)),IF(O551="","",CONCATENATE("_U1|",SUBSTITUTE(SUBSTITUTE(O551,"_","-"),"|","-"))),IF(P551="","",CONCATENATE("_U2|",SUBSTITUTE(SUBSTITUTE(P551,"_","-"),"|","-"))),IF(Q551="","",CONCATENATE("_U3|",SUBSTITUTE(SUBSTITUTE(Q551,"_","-"),"|","-")))))</f>
        <v>#N/A</v>
      </c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3" t="str">
        <f>IF(K552="----","#N/A",CONCATENATE("MK|",(VLOOKUP(B552,Dictionary!$A:$B,2,0)),"_CH|",(VLOOKUP(C552,Dictionary!$AV:$AW,2,0)),"_DT|",(VLOOKUP(D552,Dictionary!$P:$Q,2,0)),"_PB|",(VLOOKUP(E552,Dictionary!$G:$H,2,0)),"_FM|",(VLOOKUP(F552,Dictionary!$S:$T,2,0)),"_RT|",(VLOOKUP(G552,Dictionary!$V:$W,2,0)),"_PD|",SUBSTITUTE(SUBSTITUTE(IF(H552="","NONE",H552),"_","-"),"|","-"),"_TG|",(VLOOKUP(I552,Dictionary!$J:$K,2,0)),"_ST|",(VLOOKUP(J552,Dictionary!$M:$N,2,0)),"_TS|",SUBSTITUTE(SUBSTITUTE(IF(K552="","NONE",K552),"_","-"),"|","-"),"_SZ|",(VLOOKUP(L552,Dictionary!$Y:$Z,1,0)),"_AD|",(VLOOKUP(M552,Dictionary!$AB:$AC,2,0)),"_IT|",(VLOOKUP(N552,Dictionary!$BC:$BD,2,0)),IF(O552="","",CONCATENATE("_U1|",SUBSTITUTE(SUBSTITUTE(O552,"_","-"),"|","-"))),IF(P552="","",CONCATENATE("_U2|",SUBSTITUTE(SUBSTITUTE(P552,"_","-"),"|","-"))),IF(Q552="","",CONCATENATE("_U3|",SUBSTITUTE(SUBSTITUTE(Q552,"_","-"),"|","-")))))</f>
        <v>#N/A</v>
      </c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3" t="str">
        <f>IF(K553="----","#N/A",CONCATENATE("MK|",(VLOOKUP(B553,Dictionary!$A:$B,2,0)),"_CH|",(VLOOKUP(C553,Dictionary!$AV:$AW,2,0)),"_DT|",(VLOOKUP(D553,Dictionary!$P:$Q,2,0)),"_PB|",(VLOOKUP(E553,Dictionary!$G:$H,2,0)),"_FM|",(VLOOKUP(F553,Dictionary!$S:$T,2,0)),"_RT|",(VLOOKUP(G553,Dictionary!$V:$W,2,0)),"_PD|",SUBSTITUTE(SUBSTITUTE(IF(H553="","NONE",H553),"_","-"),"|","-"),"_TG|",(VLOOKUP(I553,Dictionary!$J:$K,2,0)),"_ST|",(VLOOKUP(J553,Dictionary!$M:$N,2,0)),"_TS|",SUBSTITUTE(SUBSTITUTE(IF(K553="","NONE",K553),"_","-"),"|","-"),"_SZ|",(VLOOKUP(L553,Dictionary!$Y:$Z,1,0)),"_AD|",(VLOOKUP(M553,Dictionary!$AB:$AC,2,0)),"_IT|",(VLOOKUP(N553,Dictionary!$BC:$BD,2,0)),IF(O553="","",CONCATENATE("_U1|",SUBSTITUTE(SUBSTITUTE(O553,"_","-"),"|","-"))),IF(P553="","",CONCATENATE("_U2|",SUBSTITUTE(SUBSTITUTE(P553,"_","-"),"|","-"))),IF(Q553="","",CONCATENATE("_U3|",SUBSTITUTE(SUBSTITUTE(Q553,"_","-"),"|","-")))))</f>
        <v>#N/A</v>
      </c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3" t="str">
        <f>IF(K554="----","#N/A",CONCATENATE("MK|",(VLOOKUP(B554,Dictionary!$A:$B,2,0)),"_CH|",(VLOOKUP(C554,Dictionary!$AV:$AW,2,0)),"_DT|",(VLOOKUP(D554,Dictionary!$P:$Q,2,0)),"_PB|",(VLOOKUP(E554,Dictionary!$G:$H,2,0)),"_FM|",(VLOOKUP(F554,Dictionary!$S:$T,2,0)),"_RT|",(VLOOKUP(G554,Dictionary!$V:$W,2,0)),"_PD|",SUBSTITUTE(SUBSTITUTE(IF(H554="","NONE",H554),"_","-"),"|","-"),"_TG|",(VLOOKUP(I554,Dictionary!$J:$K,2,0)),"_ST|",(VLOOKUP(J554,Dictionary!$M:$N,2,0)),"_TS|",SUBSTITUTE(SUBSTITUTE(IF(K554="","NONE",K554),"_","-"),"|","-"),"_SZ|",(VLOOKUP(L554,Dictionary!$Y:$Z,1,0)),"_AD|",(VLOOKUP(M554,Dictionary!$AB:$AC,2,0)),"_IT|",(VLOOKUP(N554,Dictionary!$BC:$BD,2,0)),IF(O554="","",CONCATENATE("_U1|",SUBSTITUTE(SUBSTITUTE(O554,"_","-"),"|","-"))),IF(P554="","",CONCATENATE("_U2|",SUBSTITUTE(SUBSTITUTE(P554,"_","-"),"|","-"))),IF(Q554="","",CONCATENATE("_U3|",SUBSTITUTE(SUBSTITUTE(Q554,"_","-"),"|","-")))))</f>
        <v>#N/A</v>
      </c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3" t="str">
        <f>IF(K555="----","#N/A",CONCATENATE("MK|",(VLOOKUP(B555,Dictionary!$A:$B,2,0)),"_CH|",(VLOOKUP(C555,Dictionary!$AV:$AW,2,0)),"_DT|",(VLOOKUP(D555,Dictionary!$P:$Q,2,0)),"_PB|",(VLOOKUP(E555,Dictionary!$G:$H,2,0)),"_FM|",(VLOOKUP(F555,Dictionary!$S:$T,2,0)),"_RT|",(VLOOKUP(G555,Dictionary!$V:$W,2,0)),"_PD|",SUBSTITUTE(SUBSTITUTE(IF(H555="","NONE",H555),"_","-"),"|","-"),"_TG|",(VLOOKUP(I555,Dictionary!$J:$K,2,0)),"_ST|",(VLOOKUP(J555,Dictionary!$M:$N,2,0)),"_TS|",SUBSTITUTE(SUBSTITUTE(IF(K555="","NONE",K555),"_","-"),"|","-"),"_SZ|",(VLOOKUP(L555,Dictionary!$Y:$Z,1,0)),"_AD|",(VLOOKUP(M555,Dictionary!$AB:$AC,2,0)),"_IT|",(VLOOKUP(N555,Dictionary!$BC:$BD,2,0)),IF(O555="","",CONCATENATE("_U1|",SUBSTITUTE(SUBSTITUTE(O555,"_","-"),"|","-"))),IF(P555="","",CONCATENATE("_U2|",SUBSTITUTE(SUBSTITUTE(P555,"_","-"),"|","-"))),IF(Q555="","",CONCATENATE("_U3|",SUBSTITUTE(SUBSTITUTE(Q555,"_","-"),"|","-")))))</f>
        <v>#N/A</v>
      </c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3" t="str">
        <f>IF(K556="----","#N/A",CONCATENATE("MK|",(VLOOKUP(B556,Dictionary!$A:$B,2,0)),"_CH|",(VLOOKUP(C556,Dictionary!$AV:$AW,2,0)),"_DT|",(VLOOKUP(D556,Dictionary!$P:$Q,2,0)),"_PB|",(VLOOKUP(E556,Dictionary!$G:$H,2,0)),"_FM|",(VLOOKUP(F556,Dictionary!$S:$T,2,0)),"_RT|",(VLOOKUP(G556,Dictionary!$V:$W,2,0)),"_PD|",SUBSTITUTE(SUBSTITUTE(IF(H556="","NONE",H556),"_","-"),"|","-"),"_TG|",(VLOOKUP(I556,Dictionary!$J:$K,2,0)),"_ST|",(VLOOKUP(J556,Dictionary!$M:$N,2,0)),"_TS|",SUBSTITUTE(SUBSTITUTE(IF(K556="","NONE",K556),"_","-"),"|","-"),"_SZ|",(VLOOKUP(L556,Dictionary!$Y:$Z,1,0)),"_AD|",(VLOOKUP(M556,Dictionary!$AB:$AC,2,0)),"_IT|",(VLOOKUP(N556,Dictionary!$BC:$BD,2,0)),IF(O556="","",CONCATENATE("_U1|",SUBSTITUTE(SUBSTITUTE(O556,"_","-"),"|","-"))),IF(P556="","",CONCATENATE("_U2|",SUBSTITUTE(SUBSTITUTE(P556,"_","-"),"|","-"))),IF(Q556="","",CONCATENATE("_U3|",SUBSTITUTE(SUBSTITUTE(Q556,"_","-"),"|","-")))))</f>
        <v>#N/A</v>
      </c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3" t="str">
        <f>IF(K557="----","#N/A",CONCATENATE("MK|",(VLOOKUP(B557,Dictionary!$A:$B,2,0)),"_CH|",(VLOOKUP(C557,Dictionary!$AV:$AW,2,0)),"_DT|",(VLOOKUP(D557,Dictionary!$P:$Q,2,0)),"_PB|",(VLOOKUP(E557,Dictionary!$G:$H,2,0)),"_FM|",(VLOOKUP(F557,Dictionary!$S:$T,2,0)),"_RT|",(VLOOKUP(G557,Dictionary!$V:$W,2,0)),"_PD|",SUBSTITUTE(SUBSTITUTE(IF(H557="","NONE",H557),"_","-"),"|","-"),"_TG|",(VLOOKUP(I557,Dictionary!$J:$K,2,0)),"_ST|",(VLOOKUP(J557,Dictionary!$M:$N,2,0)),"_TS|",SUBSTITUTE(SUBSTITUTE(IF(K557="","NONE",K557),"_","-"),"|","-"),"_SZ|",(VLOOKUP(L557,Dictionary!$Y:$Z,1,0)),"_AD|",(VLOOKUP(M557,Dictionary!$AB:$AC,2,0)),"_IT|",(VLOOKUP(N557,Dictionary!$BC:$BD,2,0)),IF(O557="","",CONCATENATE("_U1|",SUBSTITUTE(SUBSTITUTE(O557,"_","-"),"|","-"))),IF(P557="","",CONCATENATE("_U2|",SUBSTITUTE(SUBSTITUTE(P557,"_","-"),"|","-"))),IF(Q557="","",CONCATENATE("_U3|",SUBSTITUTE(SUBSTITUTE(Q557,"_","-"),"|","-")))))</f>
        <v>#N/A</v>
      </c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3" t="str">
        <f>IF(K558="----","#N/A",CONCATENATE("MK|",(VLOOKUP(B558,Dictionary!$A:$B,2,0)),"_CH|",(VLOOKUP(C558,Dictionary!$AV:$AW,2,0)),"_DT|",(VLOOKUP(D558,Dictionary!$P:$Q,2,0)),"_PB|",(VLOOKUP(E558,Dictionary!$G:$H,2,0)),"_FM|",(VLOOKUP(F558,Dictionary!$S:$T,2,0)),"_RT|",(VLOOKUP(G558,Dictionary!$V:$W,2,0)),"_PD|",SUBSTITUTE(SUBSTITUTE(IF(H558="","NONE",H558),"_","-"),"|","-"),"_TG|",(VLOOKUP(I558,Dictionary!$J:$K,2,0)),"_ST|",(VLOOKUP(J558,Dictionary!$M:$N,2,0)),"_TS|",SUBSTITUTE(SUBSTITUTE(IF(K558="","NONE",K558),"_","-"),"|","-"),"_SZ|",(VLOOKUP(L558,Dictionary!$Y:$Z,1,0)),"_AD|",(VLOOKUP(M558,Dictionary!$AB:$AC,2,0)),"_IT|",(VLOOKUP(N558,Dictionary!$BC:$BD,2,0)),IF(O558="","",CONCATENATE("_U1|",SUBSTITUTE(SUBSTITUTE(O558,"_","-"),"|","-"))),IF(P558="","",CONCATENATE("_U2|",SUBSTITUTE(SUBSTITUTE(P558,"_","-"),"|","-"))),IF(Q558="","",CONCATENATE("_U3|",SUBSTITUTE(SUBSTITUTE(Q558,"_","-"),"|","-")))))</f>
        <v>#N/A</v>
      </c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3" t="str">
        <f>IF(K559="----","#N/A",CONCATENATE("MK|",(VLOOKUP(B559,Dictionary!$A:$B,2,0)),"_CH|",(VLOOKUP(C559,Dictionary!$AV:$AW,2,0)),"_DT|",(VLOOKUP(D559,Dictionary!$P:$Q,2,0)),"_PB|",(VLOOKUP(E559,Dictionary!$G:$H,2,0)),"_FM|",(VLOOKUP(F559,Dictionary!$S:$T,2,0)),"_RT|",(VLOOKUP(G559,Dictionary!$V:$W,2,0)),"_PD|",SUBSTITUTE(SUBSTITUTE(IF(H559="","NONE",H559),"_","-"),"|","-"),"_TG|",(VLOOKUP(I559,Dictionary!$J:$K,2,0)),"_ST|",(VLOOKUP(J559,Dictionary!$M:$N,2,0)),"_TS|",SUBSTITUTE(SUBSTITUTE(IF(K559="","NONE",K559),"_","-"),"|","-"),"_SZ|",(VLOOKUP(L559,Dictionary!$Y:$Z,1,0)),"_AD|",(VLOOKUP(M559,Dictionary!$AB:$AC,2,0)),"_IT|",(VLOOKUP(N559,Dictionary!$BC:$BD,2,0)),IF(O559="","",CONCATENATE("_U1|",SUBSTITUTE(SUBSTITUTE(O559,"_","-"),"|","-"))),IF(P559="","",CONCATENATE("_U2|",SUBSTITUTE(SUBSTITUTE(P559,"_","-"),"|","-"))),IF(Q559="","",CONCATENATE("_U3|",SUBSTITUTE(SUBSTITUTE(Q559,"_","-"),"|","-")))))</f>
        <v>#N/A</v>
      </c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3" t="str">
        <f>IF(K560="----","#N/A",CONCATENATE("MK|",(VLOOKUP(B560,Dictionary!$A:$B,2,0)),"_CH|",(VLOOKUP(C560,Dictionary!$AV:$AW,2,0)),"_DT|",(VLOOKUP(D560,Dictionary!$P:$Q,2,0)),"_PB|",(VLOOKUP(E560,Dictionary!$G:$H,2,0)),"_FM|",(VLOOKUP(F560,Dictionary!$S:$T,2,0)),"_RT|",(VLOOKUP(G560,Dictionary!$V:$W,2,0)),"_PD|",SUBSTITUTE(SUBSTITUTE(IF(H560="","NONE",H560),"_","-"),"|","-"),"_TG|",(VLOOKUP(I560,Dictionary!$J:$K,2,0)),"_ST|",(VLOOKUP(J560,Dictionary!$M:$N,2,0)),"_TS|",SUBSTITUTE(SUBSTITUTE(IF(K560="","NONE",K560),"_","-"),"|","-"),"_SZ|",(VLOOKUP(L560,Dictionary!$Y:$Z,1,0)),"_AD|",(VLOOKUP(M560,Dictionary!$AB:$AC,2,0)),"_IT|",(VLOOKUP(N560,Dictionary!$BC:$BD,2,0)),IF(O560="","",CONCATENATE("_U1|",SUBSTITUTE(SUBSTITUTE(O560,"_","-"),"|","-"))),IF(P560="","",CONCATENATE("_U2|",SUBSTITUTE(SUBSTITUTE(P560,"_","-"),"|","-"))),IF(Q560="","",CONCATENATE("_U3|",SUBSTITUTE(SUBSTITUTE(Q560,"_","-"),"|","-")))))</f>
        <v>#N/A</v>
      </c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3" t="str">
        <f>IF(K561="----","#N/A",CONCATENATE("MK|",(VLOOKUP(B561,Dictionary!$A:$B,2,0)),"_CH|",(VLOOKUP(C561,Dictionary!$AV:$AW,2,0)),"_DT|",(VLOOKUP(D561,Dictionary!$P:$Q,2,0)),"_PB|",(VLOOKUP(E561,Dictionary!$G:$H,2,0)),"_FM|",(VLOOKUP(F561,Dictionary!$S:$T,2,0)),"_RT|",(VLOOKUP(G561,Dictionary!$V:$W,2,0)),"_PD|",SUBSTITUTE(SUBSTITUTE(IF(H561="","NONE",H561),"_","-"),"|","-"),"_TG|",(VLOOKUP(I561,Dictionary!$J:$K,2,0)),"_ST|",(VLOOKUP(J561,Dictionary!$M:$N,2,0)),"_TS|",SUBSTITUTE(SUBSTITUTE(IF(K561="","NONE",K561),"_","-"),"|","-"),"_SZ|",(VLOOKUP(L561,Dictionary!$Y:$Z,1,0)),"_AD|",(VLOOKUP(M561,Dictionary!$AB:$AC,2,0)),"_IT|",(VLOOKUP(N561,Dictionary!$BC:$BD,2,0)),IF(O561="","",CONCATENATE("_U1|",SUBSTITUTE(SUBSTITUTE(O561,"_","-"),"|","-"))),IF(P561="","",CONCATENATE("_U2|",SUBSTITUTE(SUBSTITUTE(P561,"_","-"),"|","-"))),IF(Q561="","",CONCATENATE("_U3|",SUBSTITUTE(SUBSTITUTE(Q561,"_","-"),"|","-")))))</f>
        <v>#N/A</v>
      </c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3" t="str">
        <f>IF(K562="----","#N/A",CONCATENATE("MK|",(VLOOKUP(B562,Dictionary!$A:$B,2,0)),"_CH|",(VLOOKUP(C562,Dictionary!$AV:$AW,2,0)),"_DT|",(VLOOKUP(D562,Dictionary!$P:$Q,2,0)),"_PB|",(VLOOKUP(E562,Dictionary!$G:$H,2,0)),"_FM|",(VLOOKUP(F562,Dictionary!$S:$T,2,0)),"_RT|",(VLOOKUP(G562,Dictionary!$V:$W,2,0)),"_PD|",SUBSTITUTE(SUBSTITUTE(IF(H562="","NONE",H562),"_","-"),"|","-"),"_TG|",(VLOOKUP(I562,Dictionary!$J:$K,2,0)),"_ST|",(VLOOKUP(J562,Dictionary!$M:$N,2,0)),"_TS|",SUBSTITUTE(SUBSTITUTE(IF(K562="","NONE",K562),"_","-"),"|","-"),"_SZ|",(VLOOKUP(L562,Dictionary!$Y:$Z,1,0)),"_AD|",(VLOOKUP(M562,Dictionary!$AB:$AC,2,0)),"_IT|",(VLOOKUP(N562,Dictionary!$BC:$BD,2,0)),IF(O562="","",CONCATENATE("_U1|",SUBSTITUTE(SUBSTITUTE(O562,"_","-"),"|","-"))),IF(P562="","",CONCATENATE("_U2|",SUBSTITUTE(SUBSTITUTE(P562,"_","-"),"|","-"))),IF(Q562="","",CONCATENATE("_U3|",SUBSTITUTE(SUBSTITUTE(Q562,"_","-"),"|","-")))))</f>
        <v>#N/A</v>
      </c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3" t="str">
        <f>IF(K563="----","#N/A",CONCATENATE("MK|",(VLOOKUP(B563,Dictionary!$A:$B,2,0)),"_CH|",(VLOOKUP(C563,Dictionary!$AV:$AW,2,0)),"_DT|",(VLOOKUP(D563,Dictionary!$P:$Q,2,0)),"_PB|",(VLOOKUP(E563,Dictionary!$G:$H,2,0)),"_FM|",(VLOOKUP(F563,Dictionary!$S:$T,2,0)),"_RT|",(VLOOKUP(G563,Dictionary!$V:$W,2,0)),"_PD|",SUBSTITUTE(SUBSTITUTE(IF(H563="","NONE",H563),"_","-"),"|","-"),"_TG|",(VLOOKUP(I563,Dictionary!$J:$K,2,0)),"_ST|",(VLOOKUP(J563,Dictionary!$M:$N,2,0)),"_TS|",SUBSTITUTE(SUBSTITUTE(IF(K563="","NONE",K563),"_","-"),"|","-"),"_SZ|",(VLOOKUP(L563,Dictionary!$Y:$Z,1,0)),"_AD|",(VLOOKUP(M563,Dictionary!$AB:$AC,2,0)),"_IT|",(VLOOKUP(N563,Dictionary!$BC:$BD,2,0)),IF(O563="","",CONCATENATE("_U1|",SUBSTITUTE(SUBSTITUTE(O563,"_","-"),"|","-"))),IF(P563="","",CONCATENATE("_U2|",SUBSTITUTE(SUBSTITUTE(P563,"_","-"),"|","-"))),IF(Q563="","",CONCATENATE("_U3|",SUBSTITUTE(SUBSTITUTE(Q563,"_","-"),"|","-")))))</f>
        <v>#N/A</v>
      </c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3" t="str">
        <f>IF(K564="----","#N/A",CONCATENATE("MK|",(VLOOKUP(B564,Dictionary!$A:$B,2,0)),"_CH|",(VLOOKUP(C564,Dictionary!$AV:$AW,2,0)),"_DT|",(VLOOKUP(D564,Dictionary!$P:$Q,2,0)),"_PB|",(VLOOKUP(E564,Dictionary!$G:$H,2,0)),"_FM|",(VLOOKUP(F564,Dictionary!$S:$T,2,0)),"_RT|",(VLOOKUP(G564,Dictionary!$V:$W,2,0)),"_PD|",SUBSTITUTE(SUBSTITUTE(IF(H564="","NONE",H564),"_","-"),"|","-"),"_TG|",(VLOOKUP(I564,Dictionary!$J:$K,2,0)),"_ST|",(VLOOKUP(J564,Dictionary!$M:$N,2,0)),"_TS|",SUBSTITUTE(SUBSTITUTE(IF(K564="","NONE",K564),"_","-"),"|","-"),"_SZ|",(VLOOKUP(L564,Dictionary!$Y:$Z,1,0)),"_AD|",(VLOOKUP(M564,Dictionary!$AB:$AC,2,0)),"_IT|",(VLOOKUP(N564,Dictionary!$BC:$BD,2,0)),IF(O564="","",CONCATENATE("_U1|",SUBSTITUTE(SUBSTITUTE(O564,"_","-"),"|","-"))),IF(P564="","",CONCATENATE("_U2|",SUBSTITUTE(SUBSTITUTE(P564,"_","-"),"|","-"))),IF(Q564="","",CONCATENATE("_U3|",SUBSTITUTE(SUBSTITUTE(Q564,"_","-"),"|","-")))))</f>
        <v>#N/A</v>
      </c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3" t="str">
        <f>IF(K565="----","#N/A",CONCATENATE("MK|",(VLOOKUP(B565,Dictionary!$A:$B,2,0)),"_CH|",(VLOOKUP(C565,Dictionary!$AV:$AW,2,0)),"_DT|",(VLOOKUP(D565,Dictionary!$P:$Q,2,0)),"_PB|",(VLOOKUP(E565,Dictionary!$G:$H,2,0)),"_FM|",(VLOOKUP(F565,Dictionary!$S:$T,2,0)),"_RT|",(VLOOKUP(G565,Dictionary!$V:$W,2,0)),"_PD|",SUBSTITUTE(SUBSTITUTE(IF(H565="","NONE",H565),"_","-"),"|","-"),"_TG|",(VLOOKUP(I565,Dictionary!$J:$K,2,0)),"_ST|",(VLOOKUP(J565,Dictionary!$M:$N,2,0)),"_TS|",SUBSTITUTE(SUBSTITUTE(IF(K565="","NONE",K565),"_","-"),"|","-"),"_SZ|",(VLOOKUP(L565,Dictionary!$Y:$Z,1,0)),"_AD|",(VLOOKUP(M565,Dictionary!$AB:$AC,2,0)),"_IT|",(VLOOKUP(N565,Dictionary!$BC:$BD,2,0)),IF(O565="","",CONCATENATE("_U1|",SUBSTITUTE(SUBSTITUTE(O565,"_","-"),"|","-"))),IF(P565="","",CONCATENATE("_U2|",SUBSTITUTE(SUBSTITUTE(P565,"_","-"),"|","-"))),IF(Q565="","",CONCATENATE("_U3|",SUBSTITUTE(SUBSTITUTE(Q565,"_","-"),"|","-")))))</f>
        <v>#N/A</v>
      </c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3" t="str">
        <f>IF(K566="----","#N/A",CONCATENATE("MK|",(VLOOKUP(B566,Dictionary!$A:$B,2,0)),"_CH|",(VLOOKUP(C566,Dictionary!$AV:$AW,2,0)),"_DT|",(VLOOKUP(D566,Dictionary!$P:$Q,2,0)),"_PB|",(VLOOKUP(E566,Dictionary!$G:$H,2,0)),"_FM|",(VLOOKUP(F566,Dictionary!$S:$T,2,0)),"_RT|",(VLOOKUP(G566,Dictionary!$V:$W,2,0)),"_PD|",SUBSTITUTE(SUBSTITUTE(IF(H566="","NONE",H566),"_","-"),"|","-"),"_TG|",(VLOOKUP(I566,Dictionary!$J:$K,2,0)),"_ST|",(VLOOKUP(J566,Dictionary!$M:$N,2,0)),"_TS|",SUBSTITUTE(SUBSTITUTE(IF(K566="","NONE",K566),"_","-"),"|","-"),"_SZ|",(VLOOKUP(L566,Dictionary!$Y:$Z,1,0)),"_AD|",(VLOOKUP(M566,Dictionary!$AB:$AC,2,0)),"_IT|",(VLOOKUP(N566,Dictionary!$BC:$BD,2,0)),IF(O566="","",CONCATENATE("_U1|",SUBSTITUTE(SUBSTITUTE(O566,"_","-"),"|","-"))),IF(P566="","",CONCATENATE("_U2|",SUBSTITUTE(SUBSTITUTE(P566,"_","-"),"|","-"))),IF(Q566="","",CONCATENATE("_U3|",SUBSTITUTE(SUBSTITUTE(Q566,"_","-"),"|","-")))))</f>
        <v>#N/A</v>
      </c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3" t="str">
        <f>IF(K567="----","#N/A",CONCATENATE("MK|",(VLOOKUP(B567,Dictionary!$A:$B,2,0)),"_CH|",(VLOOKUP(C567,Dictionary!$AV:$AW,2,0)),"_DT|",(VLOOKUP(D567,Dictionary!$P:$Q,2,0)),"_PB|",(VLOOKUP(E567,Dictionary!$G:$H,2,0)),"_FM|",(VLOOKUP(F567,Dictionary!$S:$T,2,0)),"_RT|",(VLOOKUP(G567,Dictionary!$V:$W,2,0)),"_PD|",SUBSTITUTE(SUBSTITUTE(IF(H567="","NONE",H567),"_","-"),"|","-"),"_TG|",(VLOOKUP(I567,Dictionary!$J:$K,2,0)),"_ST|",(VLOOKUP(J567,Dictionary!$M:$N,2,0)),"_TS|",SUBSTITUTE(SUBSTITUTE(IF(K567="","NONE",K567),"_","-"),"|","-"),"_SZ|",(VLOOKUP(L567,Dictionary!$Y:$Z,1,0)),"_AD|",(VLOOKUP(M567,Dictionary!$AB:$AC,2,0)),"_IT|",(VLOOKUP(N567,Dictionary!$BC:$BD,2,0)),IF(O567="","",CONCATENATE("_U1|",SUBSTITUTE(SUBSTITUTE(O567,"_","-"),"|","-"))),IF(P567="","",CONCATENATE("_U2|",SUBSTITUTE(SUBSTITUTE(P567,"_","-"),"|","-"))),IF(Q567="","",CONCATENATE("_U3|",SUBSTITUTE(SUBSTITUTE(Q567,"_","-"),"|","-")))))</f>
        <v>#N/A</v>
      </c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3" t="str">
        <f>IF(K568="----","#N/A",CONCATENATE("MK|",(VLOOKUP(B568,Dictionary!$A:$B,2,0)),"_CH|",(VLOOKUP(C568,Dictionary!$AV:$AW,2,0)),"_DT|",(VLOOKUP(D568,Dictionary!$P:$Q,2,0)),"_PB|",(VLOOKUP(E568,Dictionary!$G:$H,2,0)),"_FM|",(VLOOKUP(F568,Dictionary!$S:$T,2,0)),"_RT|",(VLOOKUP(G568,Dictionary!$V:$W,2,0)),"_PD|",SUBSTITUTE(SUBSTITUTE(IF(H568="","NONE",H568),"_","-"),"|","-"),"_TG|",(VLOOKUP(I568,Dictionary!$J:$K,2,0)),"_ST|",(VLOOKUP(J568,Dictionary!$M:$N,2,0)),"_TS|",SUBSTITUTE(SUBSTITUTE(IF(K568="","NONE",K568),"_","-"),"|","-"),"_SZ|",(VLOOKUP(L568,Dictionary!$Y:$Z,1,0)),"_AD|",(VLOOKUP(M568,Dictionary!$AB:$AC,2,0)),"_IT|",(VLOOKUP(N568,Dictionary!$BC:$BD,2,0)),IF(O568="","",CONCATENATE("_U1|",SUBSTITUTE(SUBSTITUTE(O568,"_","-"),"|","-"))),IF(P568="","",CONCATENATE("_U2|",SUBSTITUTE(SUBSTITUTE(P568,"_","-"),"|","-"))),IF(Q568="","",CONCATENATE("_U3|",SUBSTITUTE(SUBSTITUTE(Q568,"_","-"),"|","-")))))</f>
        <v>#N/A</v>
      </c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3" t="str">
        <f>IF(K569="----","#N/A",CONCATENATE("MK|",(VLOOKUP(B569,Dictionary!$A:$B,2,0)),"_CH|",(VLOOKUP(C569,Dictionary!$AV:$AW,2,0)),"_DT|",(VLOOKUP(D569,Dictionary!$P:$Q,2,0)),"_PB|",(VLOOKUP(E569,Dictionary!$G:$H,2,0)),"_FM|",(VLOOKUP(F569,Dictionary!$S:$T,2,0)),"_RT|",(VLOOKUP(G569,Dictionary!$V:$W,2,0)),"_PD|",SUBSTITUTE(SUBSTITUTE(IF(H569="","NONE",H569),"_","-"),"|","-"),"_TG|",(VLOOKUP(I569,Dictionary!$J:$K,2,0)),"_ST|",(VLOOKUP(J569,Dictionary!$M:$N,2,0)),"_TS|",SUBSTITUTE(SUBSTITUTE(IF(K569="","NONE",K569),"_","-"),"|","-"),"_SZ|",(VLOOKUP(L569,Dictionary!$Y:$Z,1,0)),"_AD|",(VLOOKUP(M569,Dictionary!$AB:$AC,2,0)),"_IT|",(VLOOKUP(N569,Dictionary!$BC:$BD,2,0)),IF(O569="","",CONCATENATE("_U1|",SUBSTITUTE(SUBSTITUTE(O569,"_","-"),"|","-"))),IF(P569="","",CONCATENATE("_U2|",SUBSTITUTE(SUBSTITUTE(P569,"_","-"),"|","-"))),IF(Q569="","",CONCATENATE("_U3|",SUBSTITUTE(SUBSTITUTE(Q569,"_","-"),"|","-")))))</f>
        <v>#N/A</v>
      </c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3" t="str">
        <f>IF(K570="----","#N/A",CONCATENATE("MK|",(VLOOKUP(B570,Dictionary!$A:$B,2,0)),"_CH|",(VLOOKUP(C570,Dictionary!$AV:$AW,2,0)),"_DT|",(VLOOKUP(D570,Dictionary!$P:$Q,2,0)),"_PB|",(VLOOKUP(E570,Dictionary!$G:$H,2,0)),"_FM|",(VLOOKUP(F570,Dictionary!$S:$T,2,0)),"_RT|",(VLOOKUP(G570,Dictionary!$V:$W,2,0)),"_PD|",SUBSTITUTE(SUBSTITUTE(IF(H570="","NONE",H570),"_","-"),"|","-"),"_TG|",(VLOOKUP(I570,Dictionary!$J:$K,2,0)),"_ST|",(VLOOKUP(J570,Dictionary!$M:$N,2,0)),"_TS|",SUBSTITUTE(SUBSTITUTE(IF(K570="","NONE",K570),"_","-"),"|","-"),"_SZ|",(VLOOKUP(L570,Dictionary!$Y:$Z,1,0)),"_AD|",(VLOOKUP(M570,Dictionary!$AB:$AC,2,0)),"_IT|",(VLOOKUP(N570,Dictionary!$BC:$BD,2,0)),IF(O570="","",CONCATENATE("_U1|",SUBSTITUTE(SUBSTITUTE(O570,"_","-"),"|","-"))),IF(P570="","",CONCATENATE("_U2|",SUBSTITUTE(SUBSTITUTE(P570,"_","-"),"|","-"))),IF(Q570="","",CONCATENATE("_U3|",SUBSTITUTE(SUBSTITUTE(Q570,"_","-"),"|","-")))))</f>
        <v>#N/A</v>
      </c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3" t="str">
        <f>IF(K571="----","#N/A",CONCATENATE("MK|",(VLOOKUP(B571,Dictionary!$A:$B,2,0)),"_CH|",(VLOOKUP(C571,Dictionary!$AV:$AW,2,0)),"_DT|",(VLOOKUP(D571,Dictionary!$P:$Q,2,0)),"_PB|",(VLOOKUP(E571,Dictionary!$G:$H,2,0)),"_FM|",(VLOOKUP(F571,Dictionary!$S:$T,2,0)),"_RT|",(VLOOKUP(G571,Dictionary!$V:$W,2,0)),"_PD|",SUBSTITUTE(SUBSTITUTE(IF(H571="","NONE",H571),"_","-"),"|","-"),"_TG|",(VLOOKUP(I571,Dictionary!$J:$K,2,0)),"_ST|",(VLOOKUP(J571,Dictionary!$M:$N,2,0)),"_TS|",SUBSTITUTE(SUBSTITUTE(IF(K571="","NONE",K571),"_","-"),"|","-"),"_SZ|",(VLOOKUP(L571,Dictionary!$Y:$Z,1,0)),"_AD|",(VLOOKUP(M571,Dictionary!$AB:$AC,2,0)),"_IT|",(VLOOKUP(N571,Dictionary!$BC:$BD,2,0)),IF(O571="","",CONCATENATE("_U1|",SUBSTITUTE(SUBSTITUTE(O571,"_","-"),"|","-"))),IF(P571="","",CONCATENATE("_U2|",SUBSTITUTE(SUBSTITUTE(P571,"_","-"),"|","-"))),IF(Q571="","",CONCATENATE("_U3|",SUBSTITUTE(SUBSTITUTE(Q571,"_","-"),"|","-")))))</f>
        <v>#N/A</v>
      </c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3" t="str">
        <f>IF(K572="----","#N/A",CONCATENATE("MK|",(VLOOKUP(B572,Dictionary!$A:$B,2,0)),"_CH|",(VLOOKUP(C572,Dictionary!$AV:$AW,2,0)),"_DT|",(VLOOKUP(D572,Dictionary!$P:$Q,2,0)),"_PB|",(VLOOKUP(E572,Dictionary!$G:$H,2,0)),"_FM|",(VLOOKUP(F572,Dictionary!$S:$T,2,0)),"_RT|",(VLOOKUP(G572,Dictionary!$V:$W,2,0)),"_PD|",SUBSTITUTE(SUBSTITUTE(IF(H572="","NONE",H572),"_","-"),"|","-"),"_TG|",(VLOOKUP(I572,Dictionary!$J:$K,2,0)),"_ST|",(VLOOKUP(J572,Dictionary!$M:$N,2,0)),"_TS|",SUBSTITUTE(SUBSTITUTE(IF(K572="","NONE",K572),"_","-"),"|","-"),"_SZ|",(VLOOKUP(L572,Dictionary!$Y:$Z,1,0)),"_AD|",(VLOOKUP(M572,Dictionary!$AB:$AC,2,0)),"_IT|",(VLOOKUP(N572,Dictionary!$BC:$BD,2,0)),IF(O572="","",CONCATENATE("_U1|",SUBSTITUTE(SUBSTITUTE(O572,"_","-"),"|","-"))),IF(P572="","",CONCATENATE("_U2|",SUBSTITUTE(SUBSTITUTE(P572,"_","-"),"|","-"))),IF(Q572="","",CONCATENATE("_U3|",SUBSTITUTE(SUBSTITUTE(Q572,"_","-"),"|","-")))))</f>
        <v>#N/A</v>
      </c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3" t="str">
        <f>IF(K573="----","#N/A",CONCATENATE("MK|",(VLOOKUP(B573,Dictionary!$A:$B,2,0)),"_CH|",(VLOOKUP(C573,Dictionary!$AV:$AW,2,0)),"_DT|",(VLOOKUP(D573,Dictionary!$P:$Q,2,0)),"_PB|",(VLOOKUP(E573,Dictionary!$G:$H,2,0)),"_FM|",(VLOOKUP(F573,Dictionary!$S:$T,2,0)),"_RT|",(VLOOKUP(G573,Dictionary!$V:$W,2,0)),"_PD|",SUBSTITUTE(SUBSTITUTE(IF(H573="","NONE",H573),"_","-"),"|","-"),"_TG|",(VLOOKUP(I573,Dictionary!$J:$K,2,0)),"_ST|",(VLOOKUP(J573,Dictionary!$M:$N,2,0)),"_TS|",SUBSTITUTE(SUBSTITUTE(IF(K573="","NONE",K573),"_","-"),"|","-"),"_SZ|",(VLOOKUP(L573,Dictionary!$Y:$Z,1,0)),"_AD|",(VLOOKUP(M573,Dictionary!$AB:$AC,2,0)),"_IT|",(VLOOKUP(N573,Dictionary!$BC:$BD,2,0)),IF(O573="","",CONCATENATE("_U1|",SUBSTITUTE(SUBSTITUTE(O573,"_","-"),"|","-"))),IF(P573="","",CONCATENATE("_U2|",SUBSTITUTE(SUBSTITUTE(P573,"_","-"),"|","-"))),IF(Q573="","",CONCATENATE("_U3|",SUBSTITUTE(SUBSTITUTE(Q573,"_","-"),"|","-")))))</f>
        <v>#N/A</v>
      </c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3" t="str">
        <f>IF(K574="----","#N/A",CONCATENATE("MK|",(VLOOKUP(B574,Dictionary!$A:$B,2,0)),"_CH|",(VLOOKUP(C574,Dictionary!$AV:$AW,2,0)),"_DT|",(VLOOKUP(D574,Dictionary!$P:$Q,2,0)),"_PB|",(VLOOKUP(E574,Dictionary!$G:$H,2,0)),"_FM|",(VLOOKUP(F574,Dictionary!$S:$T,2,0)),"_RT|",(VLOOKUP(G574,Dictionary!$V:$W,2,0)),"_PD|",SUBSTITUTE(SUBSTITUTE(IF(H574="","NONE",H574),"_","-"),"|","-"),"_TG|",(VLOOKUP(I574,Dictionary!$J:$K,2,0)),"_ST|",(VLOOKUP(J574,Dictionary!$M:$N,2,0)),"_TS|",SUBSTITUTE(SUBSTITUTE(IF(K574="","NONE",K574),"_","-"),"|","-"),"_SZ|",(VLOOKUP(L574,Dictionary!$Y:$Z,1,0)),"_AD|",(VLOOKUP(M574,Dictionary!$AB:$AC,2,0)),"_IT|",(VLOOKUP(N574,Dictionary!$BC:$BD,2,0)),IF(O574="","",CONCATENATE("_U1|",SUBSTITUTE(SUBSTITUTE(O574,"_","-"),"|","-"))),IF(P574="","",CONCATENATE("_U2|",SUBSTITUTE(SUBSTITUTE(P574,"_","-"),"|","-"))),IF(Q574="","",CONCATENATE("_U3|",SUBSTITUTE(SUBSTITUTE(Q574,"_","-"),"|","-")))))</f>
        <v>#N/A</v>
      </c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3" t="str">
        <f>IF(K575="----","#N/A",CONCATENATE("MK|",(VLOOKUP(B575,Dictionary!$A:$B,2,0)),"_CH|",(VLOOKUP(C575,Dictionary!$AV:$AW,2,0)),"_DT|",(VLOOKUP(D575,Dictionary!$P:$Q,2,0)),"_PB|",(VLOOKUP(E575,Dictionary!$G:$H,2,0)),"_FM|",(VLOOKUP(F575,Dictionary!$S:$T,2,0)),"_RT|",(VLOOKUP(G575,Dictionary!$V:$W,2,0)),"_PD|",SUBSTITUTE(SUBSTITUTE(IF(H575="","NONE",H575),"_","-"),"|","-"),"_TG|",(VLOOKUP(I575,Dictionary!$J:$K,2,0)),"_ST|",(VLOOKUP(J575,Dictionary!$M:$N,2,0)),"_TS|",SUBSTITUTE(SUBSTITUTE(IF(K575="","NONE",K575),"_","-"),"|","-"),"_SZ|",(VLOOKUP(L575,Dictionary!$Y:$Z,1,0)),"_AD|",(VLOOKUP(M575,Dictionary!$AB:$AC,2,0)),"_IT|",(VLOOKUP(N575,Dictionary!$BC:$BD,2,0)),IF(O575="","",CONCATENATE("_U1|",SUBSTITUTE(SUBSTITUTE(O575,"_","-"),"|","-"))),IF(P575="","",CONCATENATE("_U2|",SUBSTITUTE(SUBSTITUTE(P575,"_","-"),"|","-"))),IF(Q575="","",CONCATENATE("_U3|",SUBSTITUTE(SUBSTITUTE(Q575,"_","-"),"|","-")))))</f>
        <v>#N/A</v>
      </c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3" t="str">
        <f>IF(K576="----","#N/A",CONCATENATE("MK|",(VLOOKUP(B576,Dictionary!$A:$B,2,0)),"_CH|",(VLOOKUP(C576,Dictionary!$AV:$AW,2,0)),"_DT|",(VLOOKUP(D576,Dictionary!$P:$Q,2,0)),"_PB|",(VLOOKUP(E576,Dictionary!$G:$H,2,0)),"_FM|",(VLOOKUP(F576,Dictionary!$S:$T,2,0)),"_RT|",(VLOOKUP(G576,Dictionary!$V:$W,2,0)),"_PD|",SUBSTITUTE(SUBSTITUTE(IF(H576="","NONE",H576),"_","-"),"|","-"),"_TG|",(VLOOKUP(I576,Dictionary!$J:$K,2,0)),"_ST|",(VLOOKUP(J576,Dictionary!$M:$N,2,0)),"_TS|",SUBSTITUTE(SUBSTITUTE(IF(K576="","NONE",K576),"_","-"),"|","-"),"_SZ|",(VLOOKUP(L576,Dictionary!$Y:$Z,1,0)),"_AD|",(VLOOKUP(M576,Dictionary!$AB:$AC,2,0)),"_IT|",(VLOOKUP(N576,Dictionary!$BC:$BD,2,0)),IF(O576="","",CONCATENATE("_U1|",SUBSTITUTE(SUBSTITUTE(O576,"_","-"),"|","-"))),IF(P576="","",CONCATENATE("_U2|",SUBSTITUTE(SUBSTITUTE(P576,"_","-"),"|","-"))),IF(Q576="","",CONCATENATE("_U3|",SUBSTITUTE(SUBSTITUTE(Q576,"_","-"),"|","-")))))</f>
        <v>#N/A</v>
      </c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3" t="str">
        <f>IF(K577="----","#N/A",CONCATENATE("MK|",(VLOOKUP(B577,Dictionary!$A:$B,2,0)),"_CH|",(VLOOKUP(C577,Dictionary!$AV:$AW,2,0)),"_DT|",(VLOOKUP(D577,Dictionary!$P:$Q,2,0)),"_PB|",(VLOOKUP(E577,Dictionary!$G:$H,2,0)),"_FM|",(VLOOKUP(F577,Dictionary!$S:$T,2,0)),"_RT|",(VLOOKUP(G577,Dictionary!$V:$W,2,0)),"_PD|",SUBSTITUTE(SUBSTITUTE(IF(H577="","NONE",H577),"_","-"),"|","-"),"_TG|",(VLOOKUP(I577,Dictionary!$J:$K,2,0)),"_ST|",(VLOOKUP(J577,Dictionary!$M:$N,2,0)),"_TS|",SUBSTITUTE(SUBSTITUTE(IF(K577="","NONE",K577),"_","-"),"|","-"),"_SZ|",(VLOOKUP(L577,Dictionary!$Y:$Z,1,0)),"_AD|",(VLOOKUP(M577,Dictionary!$AB:$AC,2,0)),"_IT|",(VLOOKUP(N577,Dictionary!$BC:$BD,2,0)),IF(O577="","",CONCATENATE("_U1|",SUBSTITUTE(SUBSTITUTE(O577,"_","-"),"|","-"))),IF(P577="","",CONCATENATE("_U2|",SUBSTITUTE(SUBSTITUTE(P577,"_","-"),"|","-"))),IF(Q577="","",CONCATENATE("_U3|",SUBSTITUTE(SUBSTITUTE(Q577,"_","-"),"|","-")))))</f>
        <v>#N/A</v>
      </c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3" t="str">
        <f>IF(K578="----","#N/A",CONCATENATE("MK|",(VLOOKUP(B578,Dictionary!$A:$B,2,0)),"_CH|",(VLOOKUP(C578,Dictionary!$AV:$AW,2,0)),"_DT|",(VLOOKUP(D578,Dictionary!$P:$Q,2,0)),"_PB|",(VLOOKUP(E578,Dictionary!$G:$H,2,0)),"_FM|",(VLOOKUP(F578,Dictionary!$S:$T,2,0)),"_RT|",(VLOOKUP(G578,Dictionary!$V:$W,2,0)),"_PD|",SUBSTITUTE(SUBSTITUTE(IF(H578="","NONE",H578),"_","-"),"|","-"),"_TG|",(VLOOKUP(I578,Dictionary!$J:$K,2,0)),"_ST|",(VLOOKUP(J578,Dictionary!$M:$N,2,0)),"_TS|",SUBSTITUTE(SUBSTITUTE(IF(K578="","NONE",K578),"_","-"),"|","-"),"_SZ|",(VLOOKUP(L578,Dictionary!$Y:$Z,1,0)),"_AD|",(VLOOKUP(M578,Dictionary!$AB:$AC,2,0)),"_IT|",(VLOOKUP(N578,Dictionary!$BC:$BD,2,0)),IF(O578="","",CONCATENATE("_U1|",SUBSTITUTE(SUBSTITUTE(O578,"_","-"),"|","-"))),IF(P578="","",CONCATENATE("_U2|",SUBSTITUTE(SUBSTITUTE(P578,"_","-"),"|","-"))),IF(Q578="","",CONCATENATE("_U3|",SUBSTITUTE(SUBSTITUTE(Q578,"_","-"),"|","-")))))</f>
        <v>#N/A</v>
      </c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3" t="str">
        <f>IF(K579="----","#N/A",CONCATENATE("MK|",(VLOOKUP(B579,Dictionary!$A:$B,2,0)),"_CH|",(VLOOKUP(C579,Dictionary!$AV:$AW,2,0)),"_DT|",(VLOOKUP(D579,Dictionary!$P:$Q,2,0)),"_PB|",(VLOOKUP(E579,Dictionary!$G:$H,2,0)),"_FM|",(VLOOKUP(F579,Dictionary!$S:$T,2,0)),"_RT|",(VLOOKUP(G579,Dictionary!$V:$W,2,0)),"_PD|",SUBSTITUTE(SUBSTITUTE(IF(H579="","NONE",H579),"_","-"),"|","-"),"_TG|",(VLOOKUP(I579,Dictionary!$J:$K,2,0)),"_ST|",(VLOOKUP(J579,Dictionary!$M:$N,2,0)),"_TS|",SUBSTITUTE(SUBSTITUTE(IF(K579="","NONE",K579),"_","-"),"|","-"),"_SZ|",(VLOOKUP(L579,Dictionary!$Y:$Z,1,0)),"_AD|",(VLOOKUP(M579,Dictionary!$AB:$AC,2,0)),"_IT|",(VLOOKUP(N579,Dictionary!$BC:$BD,2,0)),IF(O579="","",CONCATENATE("_U1|",SUBSTITUTE(SUBSTITUTE(O579,"_","-"),"|","-"))),IF(P579="","",CONCATENATE("_U2|",SUBSTITUTE(SUBSTITUTE(P579,"_","-"),"|","-"))),IF(Q579="","",CONCATENATE("_U3|",SUBSTITUTE(SUBSTITUTE(Q579,"_","-"),"|","-")))))</f>
        <v>#N/A</v>
      </c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3" t="str">
        <f>IF(K580="----","#N/A",CONCATENATE("MK|",(VLOOKUP(B580,Dictionary!$A:$B,2,0)),"_CH|",(VLOOKUP(C580,Dictionary!$AV:$AW,2,0)),"_DT|",(VLOOKUP(D580,Dictionary!$P:$Q,2,0)),"_PB|",(VLOOKUP(E580,Dictionary!$G:$H,2,0)),"_FM|",(VLOOKUP(F580,Dictionary!$S:$T,2,0)),"_RT|",(VLOOKUP(G580,Dictionary!$V:$W,2,0)),"_PD|",SUBSTITUTE(SUBSTITUTE(IF(H580="","NONE",H580),"_","-"),"|","-"),"_TG|",(VLOOKUP(I580,Dictionary!$J:$K,2,0)),"_ST|",(VLOOKUP(J580,Dictionary!$M:$N,2,0)),"_TS|",SUBSTITUTE(SUBSTITUTE(IF(K580="","NONE",K580),"_","-"),"|","-"),"_SZ|",(VLOOKUP(L580,Dictionary!$Y:$Z,1,0)),"_AD|",(VLOOKUP(M580,Dictionary!$AB:$AC,2,0)),"_IT|",(VLOOKUP(N580,Dictionary!$BC:$BD,2,0)),IF(O580="","",CONCATENATE("_U1|",SUBSTITUTE(SUBSTITUTE(O580,"_","-"),"|","-"))),IF(P580="","",CONCATENATE("_U2|",SUBSTITUTE(SUBSTITUTE(P580,"_","-"),"|","-"))),IF(Q580="","",CONCATENATE("_U3|",SUBSTITUTE(SUBSTITUTE(Q580,"_","-"),"|","-")))))</f>
        <v>#N/A</v>
      </c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3" t="str">
        <f>IF(K581="----","#N/A",CONCATENATE("MK|",(VLOOKUP(B581,Dictionary!$A:$B,2,0)),"_CH|",(VLOOKUP(C581,Dictionary!$AV:$AW,2,0)),"_DT|",(VLOOKUP(D581,Dictionary!$P:$Q,2,0)),"_PB|",(VLOOKUP(E581,Dictionary!$G:$H,2,0)),"_FM|",(VLOOKUP(F581,Dictionary!$S:$T,2,0)),"_RT|",(VLOOKUP(G581,Dictionary!$V:$W,2,0)),"_PD|",SUBSTITUTE(SUBSTITUTE(IF(H581="","NONE",H581),"_","-"),"|","-"),"_TG|",(VLOOKUP(I581,Dictionary!$J:$K,2,0)),"_ST|",(VLOOKUP(J581,Dictionary!$M:$N,2,0)),"_TS|",SUBSTITUTE(SUBSTITUTE(IF(K581="","NONE",K581),"_","-"),"|","-"),"_SZ|",(VLOOKUP(L581,Dictionary!$Y:$Z,1,0)),"_AD|",(VLOOKUP(M581,Dictionary!$AB:$AC,2,0)),"_IT|",(VLOOKUP(N581,Dictionary!$BC:$BD,2,0)),IF(O581="","",CONCATENATE("_U1|",SUBSTITUTE(SUBSTITUTE(O581,"_","-"),"|","-"))),IF(P581="","",CONCATENATE("_U2|",SUBSTITUTE(SUBSTITUTE(P581,"_","-"),"|","-"))),IF(Q581="","",CONCATENATE("_U3|",SUBSTITUTE(SUBSTITUTE(Q581,"_","-"),"|","-")))))</f>
        <v>#N/A</v>
      </c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3" t="str">
        <f>IF(K582="----","#N/A",CONCATENATE("MK|",(VLOOKUP(B582,Dictionary!$A:$B,2,0)),"_CH|",(VLOOKUP(C582,Dictionary!$AV:$AW,2,0)),"_DT|",(VLOOKUP(D582,Dictionary!$P:$Q,2,0)),"_PB|",(VLOOKUP(E582,Dictionary!$G:$H,2,0)),"_FM|",(VLOOKUP(F582,Dictionary!$S:$T,2,0)),"_RT|",(VLOOKUP(G582,Dictionary!$V:$W,2,0)),"_PD|",SUBSTITUTE(SUBSTITUTE(IF(H582="","NONE",H582),"_","-"),"|","-"),"_TG|",(VLOOKUP(I582,Dictionary!$J:$K,2,0)),"_ST|",(VLOOKUP(J582,Dictionary!$M:$N,2,0)),"_TS|",SUBSTITUTE(SUBSTITUTE(IF(K582="","NONE",K582),"_","-"),"|","-"),"_SZ|",(VLOOKUP(L582,Dictionary!$Y:$Z,1,0)),"_AD|",(VLOOKUP(M582,Dictionary!$AB:$AC,2,0)),"_IT|",(VLOOKUP(N582,Dictionary!$BC:$BD,2,0)),IF(O582="","",CONCATENATE("_U1|",SUBSTITUTE(SUBSTITUTE(O582,"_","-"),"|","-"))),IF(P582="","",CONCATENATE("_U2|",SUBSTITUTE(SUBSTITUTE(P582,"_","-"),"|","-"))),IF(Q582="","",CONCATENATE("_U3|",SUBSTITUTE(SUBSTITUTE(Q582,"_","-"),"|","-")))))</f>
        <v>#N/A</v>
      </c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3" t="str">
        <f>IF(K583="----","#N/A",CONCATENATE("MK|",(VLOOKUP(B583,Dictionary!$A:$B,2,0)),"_CH|",(VLOOKUP(C583,Dictionary!$AV:$AW,2,0)),"_DT|",(VLOOKUP(D583,Dictionary!$P:$Q,2,0)),"_PB|",(VLOOKUP(E583,Dictionary!$G:$H,2,0)),"_FM|",(VLOOKUP(F583,Dictionary!$S:$T,2,0)),"_RT|",(VLOOKUP(G583,Dictionary!$V:$W,2,0)),"_PD|",SUBSTITUTE(SUBSTITUTE(IF(H583="","NONE",H583),"_","-"),"|","-"),"_TG|",(VLOOKUP(I583,Dictionary!$J:$K,2,0)),"_ST|",(VLOOKUP(J583,Dictionary!$M:$N,2,0)),"_TS|",SUBSTITUTE(SUBSTITUTE(IF(K583="","NONE",K583),"_","-"),"|","-"),"_SZ|",(VLOOKUP(L583,Dictionary!$Y:$Z,1,0)),"_AD|",(VLOOKUP(M583,Dictionary!$AB:$AC,2,0)),"_IT|",(VLOOKUP(N583,Dictionary!$BC:$BD,2,0)),IF(O583="","",CONCATENATE("_U1|",SUBSTITUTE(SUBSTITUTE(O583,"_","-"),"|","-"))),IF(P583="","",CONCATENATE("_U2|",SUBSTITUTE(SUBSTITUTE(P583,"_","-"),"|","-"))),IF(Q583="","",CONCATENATE("_U3|",SUBSTITUTE(SUBSTITUTE(Q583,"_","-"),"|","-")))))</f>
        <v>#N/A</v>
      </c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3" t="str">
        <f>IF(K584="----","#N/A",CONCATENATE("MK|",(VLOOKUP(B584,Dictionary!$A:$B,2,0)),"_CH|",(VLOOKUP(C584,Dictionary!$AV:$AW,2,0)),"_DT|",(VLOOKUP(D584,Dictionary!$P:$Q,2,0)),"_PB|",(VLOOKUP(E584,Dictionary!$G:$H,2,0)),"_FM|",(VLOOKUP(F584,Dictionary!$S:$T,2,0)),"_RT|",(VLOOKUP(G584,Dictionary!$V:$W,2,0)),"_PD|",SUBSTITUTE(SUBSTITUTE(IF(H584="","NONE",H584),"_","-"),"|","-"),"_TG|",(VLOOKUP(I584,Dictionary!$J:$K,2,0)),"_ST|",(VLOOKUP(J584,Dictionary!$M:$N,2,0)),"_TS|",SUBSTITUTE(SUBSTITUTE(IF(K584="","NONE",K584),"_","-"),"|","-"),"_SZ|",(VLOOKUP(L584,Dictionary!$Y:$Z,1,0)),"_AD|",(VLOOKUP(M584,Dictionary!$AB:$AC,2,0)),"_IT|",(VLOOKUP(N584,Dictionary!$BC:$BD,2,0)),IF(O584="","",CONCATENATE("_U1|",SUBSTITUTE(SUBSTITUTE(O584,"_","-"),"|","-"))),IF(P584="","",CONCATENATE("_U2|",SUBSTITUTE(SUBSTITUTE(P584,"_","-"),"|","-"))),IF(Q584="","",CONCATENATE("_U3|",SUBSTITUTE(SUBSTITUTE(Q584,"_","-"),"|","-")))))</f>
        <v>#N/A</v>
      </c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3" t="str">
        <f>IF(K585="----","#N/A",CONCATENATE("MK|",(VLOOKUP(B585,Dictionary!$A:$B,2,0)),"_CH|",(VLOOKUP(C585,Dictionary!$AV:$AW,2,0)),"_DT|",(VLOOKUP(D585,Dictionary!$P:$Q,2,0)),"_PB|",(VLOOKUP(E585,Dictionary!$G:$H,2,0)),"_FM|",(VLOOKUP(F585,Dictionary!$S:$T,2,0)),"_RT|",(VLOOKUP(G585,Dictionary!$V:$W,2,0)),"_PD|",SUBSTITUTE(SUBSTITUTE(IF(H585="","NONE",H585),"_","-"),"|","-"),"_TG|",(VLOOKUP(I585,Dictionary!$J:$K,2,0)),"_ST|",(VLOOKUP(J585,Dictionary!$M:$N,2,0)),"_TS|",SUBSTITUTE(SUBSTITUTE(IF(K585="","NONE",K585),"_","-"),"|","-"),"_SZ|",(VLOOKUP(L585,Dictionary!$Y:$Z,1,0)),"_AD|",(VLOOKUP(M585,Dictionary!$AB:$AC,2,0)),"_IT|",(VLOOKUP(N585,Dictionary!$BC:$BD,2,0)),IF(O585="","",CONCATENATE("_U1|",SUBSTITUTE(SUBSTITUTE(O585,"_","-"),"|","-"))),IF(P585="","",CONCATENATE("_U2|",SUBSTITUTE(SUBSTITUTE(P585,"_","-"),"|","-"))),IF(Q585="","",CONCATENATE("_U3|",SUBSTITUTE(SUBSTITUTE(Q585,"_","-"),"|","-")))))</f>
        <v>#N/A</v>
      </c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3" t="str">
        <f>IF(K586="----","#N/A",CONCATENATE("MK|",(VLOOKUP(B586,Dictionary!$A:$B,2,0)),"_CH|",(VLOOKUP(C586,Dictionary!$AV:$AW,2,0)),"_DT|",(VLOOKUP(D586,Dictionary!$P:$Q,2,0)),"_PB|",(VLOOKUP(E586,Dictionary!$G:$H,2,0)),"_FM|",(VLOOKUP(F586,Dictionary!$S:$T,2,0)),"_RT|",(VLOOKUP(G586,Dictionary!$V:$W,2,0)),"_PD|",SUBSTITUTE(SUBSTITUTE(IF(H586="","NONE",H586),"_","-"),"|","-"),"_TG|",(VLOOKUP(I586,Dictionary!$J:$K,2,0)),"_ST|",(VLOOKUP(J586,Dictionary!$M:$N,2,0)),"_TS|",SUBSTITUTE(SUBSTITUTE(IF(K586="","NONE",K586),"_","-"),"|","-"),"_SZ|",(VLOOKUP(L586,Dictionary!$Y:$Z,1,0)),"_AD|",(VLOOKUP(M586,Dictionary!$AB:$AC,2,0)),"_IT|",(VLOOKUP(N586,Dictionary!$BC:$BD,2,0)),IF(O586="","",CONCATENATE("_U1|",SUBSTITUTE(SUBSTITUTE(O586,"_","-"),"|","-"))),IF(P586="","",CONCATENATE("_U2|",SUBSTITUTE(SUBSTITUTE(P586,"_","-"),"|","-"))),IF(Q586="","",CONCATENATE("_U3|",SUBSTITUTE(SUBSTITUTE(Q586,"_","-"),"|","-")))))</f>
        <v>#N/A</v>
      </c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3" t="str">
        <f>IF(K587="----","#N/A",CONCATENATE("MK|",(VLOOKUP(B587,Dictionary!$A:$B,2,0)),"_CH|",(VLOOKUP(C587,Dictionary!$AV:$AW,2,0)),"_DT|",(VLOOKUP(D587,Dictionary!$P:$Q,2,0)),"_PB|",(VLOOKUP(E587,Dictionary!$G:$H,2,0)),"_FM|",(VLOOKUP(F587,Dictionary!$S:$T,2,0)),"_RT|",(VLOOKUP(G587,Dictionary!$V:$W,2,0)),"_PD|",SUBSTITUTE(SUBSTITUTE(IF(H587="","NONE",H587),"_","-"),"|","-"),"_TG|",(VLOOKUP(I587,Dictionary!$J:$K,2,0)),"_ST|",(VLOOKUP(J587,Dictionary!$M:$N,2,0)),"_TS|",SUBSTITUTE(SUBSTITUTE(IF(K587="","NONE",K587),"_","-"),"|","-"),"_SZ|",(VLOOKUP(L587,Dictionary!$Y:$Z,1,0)),"_AD|",(VLOOKUP(M587,Dictionary!$AB:$AC,2,0)),"_IT|",(VLOOKUP(N587,Dictionary!$BC:$BD,2,0)),IF(O587="","",CONCATENATE("_U1|",SUBSTITUTE(SUBSTITUTE(O587,"_","-"),"|","-"))),IF(P587="","",CONCATENATE("_U2|",SUBSTITUTE(SUBSTITUTE(P587,"_","-"),"|","-"))),IF(Q587="","",CONCATENATE("_U3|",SUBSTITUTE(SUBSTITUTE(Q587,"_","-"),"|","-")))))</f>
        <v>#N/A</v>
      </c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3" t="str">
        <f>IF(K588="----","#N/A",CONCATENATE("MK|",(VLOOKUP(B588,Dictionary!$A:$B,2,0)),"_CH|",(VLOOKUP(C588,Dictionary!$AV:$AW,2,0)),"_DT|",(VLOOKUP(D588,Dictionary!$P:$Q,2,0)),"_PB|",(VLOOKUP(E588,Dictionary!$G:$H,2,0)),"_FM|",(VLOOKUP(F588,Dictionary!$S:$T,2,0)),"_RT|",(VLOOKUP(G588,Dictionary!$V:$W,2,0)),"_PD|",SUBSTITUTE(SUBSTITUTE(IF(H588="","NONE",H588),"_","-"),"|","-"),"_TG|",(VLOOKUP(I588,Dictionary!$J:$K,2,0)),"_ST|",(VLOOKUP(J588,Dictionary!$M:$N,2,0)),"_TS|",SUBSTITUTE(SUBSTITUTE(IF(K588="","NONE",K588),"_","-"),"|","-"),"_SZ|",(VLOOKUP(L588,Dictionary!$Y:$Z,1,0)),"_AD|",(VLOOKUP(M588,Dictionary!$AB:$AC,2,0)),"_IT|",(VLOOKUP(N588,Dictionary!$BC:$BD,2,0)),IF(O588="","",CONCATENATE("_U1|",SUBSTITUTE(SUBSTITUTE(O588,"_","-"),"|","-"))),IF(P588="","",CONCATENATE("_U2|",SUBSTITUTE(SUBSTITUTE(P588,"_","-"),"|","-"))),IF(Q588="","",CONCATENATE("_U3|",SUBSTITUTE(SUBSTITUTE(Q588,"_","-"),"|","-")))))</f>
        <v>#N/A</v>
      </c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3" t="str">
        <f>IF(K589="----","#N/A",CONCATENATE("MK|",(VLOOKUP(B589,Dictionary!$A:$B,2,0)),"_CH|",(VLOOKUP(C589,Dictionary!$AV:$AW,2,0)),"_DT|",(VLOOKUP(D589,Dictionary!$P:$Q,2,0)),"_PB|",(VLOOKUP(E589,Dictionary!$G:$H,2,0)),"_FM|",(VLOOKUP(F589,Dictionary!$S:$T,2,0)),"_RT|",(VLOOKUP(G589,Dictionary!$V:$W,2,0)),"_PD|",SUBSTITUTE(SUBSTITUTE(IF(H589="","NONE",H589),"_","-"),"|","-"),"_TG|",(VLOOKUP(I589,Dictionary!$J:$K,2,0)),"_ST|",(VLOOKUP(J589,Dictionary!$M:$N,2,0)),"_TS|",SUBSTITUTE(SUBSTITUTE(IF(K589="","NONE",K589),"_","-"),"|","-"),"_SZ|",(VLOOKUP(L589,Dictionary!$Y:$Z,1,0)),"_AD|",(VLOOKUP(M589,Dictionary!$AB:$AC,2,0)),"_IT|",(VLOOKUP(N589,Dictionary!$BC:$BD,2,0)),IF(O589="","",CONCATENATE("_U1|",SUBSTITUTE(SUBSTITUTE(O589,"_","-"),"|","-"))),IF(P589="","",CONCATENATE("_U2|",SUBSTITUTE(SUBSTITUTE(P589,"_","-"),"|","-"))),IF(Q589="","",CONCATENATE("_U3|",SUBSTITUTE(SUBSTITUTE(Q589,"_","-"),"|","-")))))</f>
        <v>#N/A</v>
      </c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3" t="str">
        <f>IF(K590="----","#N/A",CONCATENATE("MK|",(VLOOKUP(B590,Dictionary!$A:$B,2,0)),"_CH|",(VLOOKUP(C590,Dictionary!$AV:$AW,2,0)),"_DT|",(VLOOKUP(D590,Dictionary!$P:$Q,2,0)),"_PB|",(VLOOKUP(E590,Dictionary!$G:$H,2,0)),"_FM|",(VLOOKUP(F590,Dictionary!$S:$T,2,0)),"_RT|",(VLOOKUP(G590,Dictionary!$V:$W,2,0)),"_PD|",SUBSTITUTE(SUBSTITUTE(IF(H590="","NONE",H590),"_","-"),"|","-"),"_TG|",(VLOOKUP(I590,Dictionary!$J:$K,2,0)),"_ST|",(VLOOKUP(J590,Dictionary!$M:$N,2,0)),"_TS|",SUBSTITUTE(SUBSTITUTE(IF(K590="","NONE",K590),"_","-"),"|","-"),"_SZ|",(VLOOKUP(L590,Dictionary!$Y:$Z,1,0)),"_AD|",(VLOOKUP(M590,Dictionary!$AB:$AC,2,0)),"_IT|",(VLOOKUP(N590,Dictionary!$BC:$BD,2,0)),IF(O590="","",CONCATENATE("_U1|",SUBSTITUTE(SUBSTITUTE(O590,"_","-"),"|","-"))),IF(P590="","",CONCATENATE("_U2|",SUBSTITUTE(SUBSTITUTE(P590,"_","-"),"|","-"))),IF(Q590="","",CONCATENATE("_U3|",SUBSTITUTE(SUBSTITUTE(Q590,"_","-"),"|","-")))))</f>
        <v>#N/A</v>
      </c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3" t="str">
        <f>IF(K591="----","#N/A",CONCATENATE("MK|",(VLOOKUP(B591,Dictionary!$A:$B,2,0)),"_CH|",(VLOOKUP(C591,Dictionary!$AV:$AW,2,0)),"_DT|",(VLOOKUP(D591,Dictionary!$P:$Q,2,0)),"_PB|",(VLOOKUP(E591,Dictionary!$G:$H,2,0)),"_FM|",(VLOOKUP(F591,Dictionary!$S:$T,2,0)),"_RT|",(VLOOKUP(G591,Dictionary!$V:$W,2,0)),"_PD|",SUBSTITUTE(SUBSTITUTE(IF(H591="","NONE",H591),"_","-"),"|","-"),"_TG|",(VLOOKUP(I591,Dictionary!$J:$K,2,0)),"_ST|",(VLOOKUP(J591,Dictionary!$M:$N,2,0)),"_TS|",SUBSTITUTE(SUBSTITUTE(IF(K591="","NONE",K591),"_","-"),"|","-"),"_SZ|",(VLOOKUP(L591,Dictionary!$Y:$Z,1,0)),"_AD|",(VLOOKUP(M591,Dictionary!$AB:$AC,2,0)),"_IT|",(VLOOKUP(N591,Dictionary!$BC:$BD,2,0)),IF(O591="","",CONCATENATE("_U1|",SUBSTITUTE(SUBSTITUTE(O591,"_","-"),"|","-"))),IF(P591="","",CONCATENATE("_U2|",SUBSTITUTE(SUBSTITUTE(P591,"_","-"),"|","-"))),IF(Q591="","",CONCATENATE("_U3|",SUBSTITUTE(SUBSTITUTE(Q591,"_","-"),"|","-")))))</f>
        <v>#N/A</v>
      </c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3" t="str">
        <f>IF(K592="----","#N/A",CONCATENATE("MK|",(VLOOKUP(B592,Dictionary!$A:$B,2,0)),"_CH|",(VLOOKUP(C592,Dictionary!$AV:$AW,2,0)),"_DT|",(VLOOKUP(D592,Dictionary!$P:$Q,2,0)),"_PB|",(VLOOKUP(E592,Dictionary!$G:$H,2,0)),"_FM|",(VLOOKUP(F592,Dictionary!$S:$T,2,0)),"_RT|",(VLOOKUP(G592,Dictionary!$V:$W,2,0)),"_PD|",SUBSTITUTE(SUBSTITUTE(IF(H592="","NONE",H592),"_","-"),"|","-"),"_TG|",(VLOOKUP(I592,Dictionary!$J:$K,2,0)),"_ST|",(VLOOKUP(J592,Dictionary!$M:$N,2,0)),"_TS|",SUBSTITUTE(SUBSTITUTE(IF(K592="","NONE",K592),"_","-"),"|","-"),"_SZ|",(VLOOKUP(L592,Dictionary!$Y:$Z,1,0)),"_AD|",(VLOOKUP(M592,Dictionary!$AB:$AC,2,0)),"_IT|",(VLOOKUP(N592,Dictionary!$BC:$BD,2,0)),IF(O592="","",CONCATENATE("_U1|",SUBSTITUTE(SUBSTITUTE(O592,"_","-"),"|","-"))),IF(P592="","",CONCATENATE("_U2|",SUBSTITUTE(SUBSTITUTE(P592,"_","-"),"|","-"))),IF(Q592="","",CONCATENATE("_U3|",SUBSTITUTE(SUBSTITUTE(Q592,"_","-"),"|","-")))))</f>
        <v>#N/A</v>
      </c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3" t="str">
        <f>IF(K593="----","#N/A",CONCATENATE("MK|",(VLOOKUP(B593,Dictionary!$A:$B,2,0)),"_CH|",(VLOOKUP(C593,Dictionary!$AV:$AW,2,0)),"_DT|",(VLOOKUP(D593,Dictionary!$P:$Q,2,0)),"_PB|",(VLOOKUP(E593,Dictionary!$G:$H,2,0)),"_FM|",(VLOOKUP(F593,Dictionary!$S:$T,2,0)),"_RT|",(VLOOKUP(G593,Dictionary!$V:$W,2,0)),"_PD|",SUBSTITUTE(SUBSTITUTE(IF(H593="","NONE",H593),"_","-"),"|","-"),"_TG|",(VLOOKUP(I593,Dictionary!$J:$K,2,0)),"_ST|",(VLOOKUP(J593,Dictionary!$M:$N,2,0)),"_TS|",SUBSTITUTE(SUBSTITUTE(IF(K593="","NONE",K593),"_","-"),"|","-"),"_SZ|",(VLOOKUP(L593,Dictionary!$Y:$Z,1,0)),"_AD|",(VLOOKUP(M593,Dictionary!$AB:$AC,2,0)),"_IT|",(VLOOKUP(N593,Dictionary!$BC:$BD,2,0)),IF(O593="","",CONCATENATE("_U1|",SUBSTITUTE(SUBSTITUTE(O593,"_","-"),"|","-"))),IF(P593="","",CONCATENATE("_U2|",SUBSTITUTE(SUBSTITUTE(P593,"_","-"),"|","-"))),IF(Q593="","",CONCATENATE("_U3|",SUBSTITUTE(SUBSTITUTE(Q593,"_","-"),"|","-")))))</f>
        <v>#N/A</v>
      </c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3" t="str">
        <f>IF(K594="----","#N/A",CONCATENATE("MK|",(VLOOKUP(B594,Dictionary!$A:$B,2,0)),"_CH|",(VLOOKUP(C594,Dictionary!$AV:$AW,2,0)),"_DT|",(VLOOKUP(D594,Dictionary!$P:$Q,2,0)),"_PB|",(VLOOKUP(E594,Dictionary!$G:$H,2,0)),"_FM|",(VLOOKUP(F594,Dictionary!$S:$T,2,0)),"_RT|",(VLOOKUP(G594,Dictionary!$V:$W,2,0)),"_PD|",SUBSTITUTE(SUBSTITUTE(IF(H594="","NONE",H594),"_","-"),"|","-"),"_TG|",(VLOOKUP(I594,Dictionary!$J:$K,2,0)),"_ST|",(VLOOKUP(J594,Dictionary!$M:$N,2,0)),"_TS|",SUBSTITUTE(SUBSTITUTE(IF(K594="","NONE",K594),"_","-"),"|","-"),"_SZ|",(VLOOKUP(L594,Dictionary!$Y:$Z,1,0)),"_AD|",(VLOOKUP(M594,Dictionary!$AB:$AC,2,0)),"_IT|",(VLOOKUP(N594,Dictionary!$BC:$BD,2,0)),IF(O594="","",CONCATENATE("_U1|",SUBSTITUTE(SUBSTITUTE(O594,"_","-"),"|","-"))),IF(P594="","",CONCATENATE("_U2|",SUBSTITUTE(SUBSTITUTE(P594,"_","-"),"|","-"))),IF(Q594="","",CONCATENATE("_U3|",SUBSTITUTE(SUBSTITUTE(Q594,"_","-"),"|","-")))))</f>
        <v>#N/A</v>
      </c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3" t="str">
        <f>IF(K595="----","#N/A",CONCATENATE("MK|",(VLOOKUP(B595,Dictionary!$A:$B,2,0)),"_CH|",(VLOOKUP(C595,Dictionary!$AV:$AW,2,0)),"_DT|",(VLOOKUP(D595,Dictionary!$P:$Q,2,0)),"_PB|",(VLOOKUP(E595,Dictionary!$G:$H,2,0)),"_FM|",(VLOOKUP(F595,Dictionary!$S:$T,2,0)),"_RT|",(VLOOKUP(G595,Dictionary!$V:$W,2,0)),"_PD|",SUBSTITUTE(SUBSTITUTE(IF(H595="","NONE",H595),"_","-"),"|","-"),"_TG|",(VLOOKUP(I595,Dictionary!$J:$K,2,0)),"_ST|",(VLOOKUP(J595,Dictionary!$M:$N,2,0)),"_TS|",SUBSTITUTE(SUBSTITUTE(IF(K595="","NONE",K595),"_","-"),"|","-"),"_SZ|",(VLOOKUP(L595,Dictionary!$Y:$Z,1,0)),"_AD|",(VLOOKUP(M595,Dictionary!$AB:$AC,2,0)),"_IT|",(VLOOKUP(N595,Dictionary!$BC:$BD,2,0)),IF(O595="","",CONCATENATE("_U1|",SUBSTITUTE(SUBSTITUTE(O595,"_","-"),"|","-"))),IF(P595="","",CONCATENATE("_U2|",SUBSTITUTE(SUBSTITUTE(P595,"_","-"),"|","-"))),IF(Q595="","",CONCATENATE("_U3|",SUBSTITUTE(SUBSTITUTE(Q595,"_","-"),"|","-")))))</f>
        <v>#N/A</v>
      </c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3" t="str">
        <f>IF(K596="----","#N/A",CONCATENATE("MK|",(VLOOKUP(B596,Dictionary!$A:$B,2,0)),"_CH|",(VLOOKUP(C596,Dictionary!$AV:$AW,2,0)),"_DT|",(VLOOKUP(D596,Dictionary!$P:$Q,2,0)),"_PB|",(VLOOKUP(E596,Dictionary!$G:$H,2,0)),"_FM|",(VLOOKUP(F596,Dictionary!$S:$T,2,0)),"_RT|",(VLOOKUP(G596,Dictionary!$V:$W,2,0)),"_PD|",SUBSTITUTE(SUBSTITUTE(IF(H596="","NONE",H596),"_","-"),"|","-"),"_TG|",(VLOOKUP(I596,Dictionary!$J:$K,2,0)),"_ST|",(VLOOKUP(J596,Dictionary!$M:$N,2,0)),"_TS|",SUBSTITUTE(SUBSTITUTE(IF(K596="","NONE",K596),"_","-"),"|","-"),"_SZ|",(VLOOKUP(L596,Dictionary!$Y:$Z,1,0)),"_AD|",(VLOOKUP(M596,Dictionary!$AB:$AC,2,0)),"_IT|",(VLOOKUP(N596,Dictionary!$BC:$BD,2,0)),IF(O596="","",CONCATENATE("_U1|",SUBSTITUTE(SUBSTITUTE(O596,"_","-"),"|","-"))),IF(P596="","",CONCATENATE("_U2|",SUBSTITUTE(SUBSTITUTE(P596,"_","-"),"|","-"))),IF(Q596="","",CONCATENATE("_U3|",SUBSTITUTE(SUBSTITUTE(Q596,"_","-"),"|","-")))))</f>
        <v>#N/A</v>
      </c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3" t="str">
        <f>IF(K597="----","#N/A",CONCATENATE("MK|",(VLOOKUP(B597,Dictionary!$A:$B,2,0)),"_CH|",(VLOOKUP(C597,Dictionary!$AV:$AW,2,0)),"_DT|",(VLOOKUP(D597,Dictionary!$P:$Q,2,0)),"_PB|",(VLOOKUP(E597,Dictionary!$G:$H,2,0)),"_FM|",(VLOOKUP(F597,Dictionary!$S:$T,2,0)),"_RT|",(VLOOKUP(G597,Dictionary!$V:$W,2,0)),"_PD|",SUBSTITUTE(SUBSTITUTE(IF(H597="","NONE",H597),"_","-"),"|","-"),"_TG|",(VLOOKUP(I597,Dictionary!$J:$K,2,0)),"_ST|",(VLOOKUP(J597,Dictionary!$M:$N,2,0)),"_TS|",SUBSTITUTE(SUBSTITUTE(IF(K597="","NONE",K597),"_","-"),"|","-"),"_SZ|",(VLOOKUP(L597,Dictionary!$Y:$Z,1,0)),"_AD|",(VLOOKUP(M597,Dictionary!$AB:$AC,2,0)),"_IT|",(VLOOKUP(N597,Dictionary!$BC:$BD,2,0)),IF(O597="","",CONCATENATE("_U1|",SUBSTITUTE(SUBSTITUTE(O597,"_","-"),"|","-"))),IF(P597="","",CONCATENATE("_U2|",SUBSTITUTE(SUBSTITUTE(P597,"_","-"),"|","-"))),IF(Q597="","",CONCATENATE("_U3|",SUBSTITUTE(SUBSTITUTE(Q597,"_","-"),"|","-")))))</f>
        <v>#N/A</v>
      </c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3" t="str">
        <f>IF(K598="----","#N/A",CONCATENATE("MK|",(VLOOKUP(B598,Dictionary!$A:$B,2,0)),"_CH|",(VLOOKUP(C598,Dictionary!$AV:$AW,2,0)),"_DT|",(VLOOKUP(D598,Dictionary!$P:$Q,2,0)),"_PB|",(VLOOKUP(E598,Dictionary!$G:$H,2,0)),"_FM|",(VLOOKUP(F598,Dictionary!$S:$T,2,0)),"_RT|",(VLOOKUP(G598,Dictionary!$V:$W,2,0)),"_PD|",SUBSTITUTE(SUBSTITUTE(IF(H598="","NONE",H598),"_","-"),"|","-"),"_TG|",(VLOOKUP(I598,Dictionary!$J:$K,2,0)),"_ST|",(VLOOKUP(J598,Dictionary!$M:$N,2,0)),"_TS|",SUBSTITUTE(SUBSTITUTE(IF(K598="","NONE",K598),"_","-"),"|","-"),"_SZ|",(VLOOKUP(L598,Dictionary!$Y:$Z,1,0)),"_AD|",(VLOOKUP(M598,Dictionary!$AB:$AC,2,0)),"_IT|",(VLOOKUP(N598,Dictionary!$BC:$BD,2,0)),IF(O598="","",CONCATENATE("_U1|",SUBSTITUTE(SUBSTITUTE(O598,"_","-"),"|","-"))),IF(P598="","",CONCATENATE("_U2|",SUBSTITUTE(SUBSTITUTE(P598,"_","-"),"|","-"))),IF(Q598="","",CONCATENATE("_U3|",SUBSTITUTE(SUBSTITUTE(Q598,"_","-"),"|","-")))))</f>
        <v>#N/A</v>
      </c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3" t="str">
        <f>IF(K599="----","#N/A",CONCATENATE("MK|",(VLOOKUP(B599,Dictionary!$A:$B,2,0)),"_CH|",(VLOOKUP(C599,Dictionary!$AV:$AW,2,0)),"_DT|",(VLOOKUP(D599,Dictionary!$P:$Q,2,0)),"_PB|",(VLOOKUP(E599,Dictionary!$G:$H,2,0)),"_FM|",(VLOOKUP(F599,Dictionary!$S:$T,2,0)),"_RT|",(VLOOKUP(G599,Dictionary!$V:$W,2,0)),"_PD|",SUBSTITUTE(SUBSTITUTE(IF(H599="","NONE",H599),"_","-"),"|","-"),"_TG|",(VLOOKUP(I599,Dictionary!$J:$K,2,0)),"_ST|",(VLOOKUP(J599,Dictionary!$M:$N,2,0)),"_TS|",SUBSTITUTE(SUBSTITUTE(IF(K599="","NONE",K599),"_","-"),"|","-"),"_SZ|",(VLOOKUP(L599,Dictionary!$Y:$Z,1,0)),"_AD|",(VLOOKUP(M599,Dictionary!$AB:$AC,2,0)),"_IT|",(VLOOKUP(N599,Dictionary!$BC:$BD,2,0)),IF(O599="","",CONCATENATE("_U1|",SUBSTITUTE(SUBSTITUTE(O599,"_","-"),"|","-"))),IF(P599="","",CONCATENATE("_U2|",SUBSTITUTE(SUBSTITUTE(P599,"_","-"),"|","-"))),IF(Q599="","",CONCATENATE("_U3|",SUBSTITUTE(SUBSTITUTE(Q599,"_","-"),"|","-")))))</f>
        <v>#N/A</v>
      </c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3" t="str">
        <f>IF(K600="----","#N/A",CONCATENATE("MK|",(VLOOKUP(B600,Dictionary!$A:$B,2,0)),"_CH|",(VLOOKUP(C600,Dictionary!$AV:$AW,2,0)),"_DT|",(VLOOKUP(D600,Dictionary!$P:$Q,2,0)),"_PB|",(VLOOKUP(E600,Dictionary!$G:$H,2,0)),"_FM|",(VLOOKUP(F600,Dictionary!$S:$T,2,0)),"_RT|",(VLOOKUP(G600,Dictionary!$V:$W,2,0)),"_PD|",SUBSTITUTE(SUBSTITUTE(IF(H600="","NONE",H600),"_","-"),"|","-"),"_TG|",(VLOOKUP(I600,Dictionary!$J:$K,2,0)),"_ST|",(VLOOKUP(J600,Dictionary!$M:$N,2,0)),"_TS|",SUBSTITUTE(SUBSTITUTE(IF(K600="","NONE",K600),"_","-"),"|","-"),"_SZ|",(VLOOKUP(L600,Dictionary!$Y:$Z,1,0)),"_AD|",(VLOOKUP(M600,Dictionary!$AB:$AC,2,0)),"_IT|",(VLOOKUP(N600,Dictionary!$BC:$BD,2,0)),IF(O600="","",CONCATENATE("_U1|",SUBSTITUTE(SUBSTITUTE(O600,"_","-"),"|","-"))),IF(P600="","",CONCATENATE("_U2|",SUBSTITUTE(SUBSTITUTE(P600,"_","-"),"|","-"))),IF(Q600="","",CONCATENATE("_U3|",SUBSTITUTE(SUBSTITUTE(Q600,"_","-"),"|","-")))))</f>
        <v>#N/A</v>
      </c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3" t="str">
        <f>IF(K601="----","#N/A",CONCATENATE("MK|",(VLOOKUP(B601,Dictionary!$A:$B,2,0)),"_CH|",(VLOOKUP(C601,Dictionary!$AV:$AW,2,0)),"_DT|",(VLOOKUP(D601,Dictionary!$P:$Q,2,0)),"_PB|",(VLOOKUP(E601,Dictionary!$G:$H,2,0)),"_FM|",(VLOOKUP(F601,Dictionary!$S:$T,2,0)),"_RT|",(VLOOKUP(G601,Dictionary!$V:$W,2,0)),"_PD|",SUBSTITUTE(SUBSTITUTE(IF(H601="","NONE",H601),"_","-"),"|","-"),"_TG|",(VLOOKUP(I601,Dictionary!$J:$K,2,0)),"_ST|",(VLOOKUP(J601,Dictionary!$M:$N,2,0)),"_TS|",SUBSTITUTE(SUBSTITUTE(IF(K601="","NONE",K601),"_","-"),"|","-"),"_SZ|",(VLOOKUP(L601,Dictionary!$Y:$Z,1,0)),"_AD|",(VLOOKUP(M601,Dictionary!$AB:$AC,2,0)),"_IT|",(VLOOKUP(N601,Dictionary!$BC:$BD,2,0)),IF(O601="","",CONCATENATE("_U1|",SUBSTITUTE(SUBSTITUTE(O601,"_","-"),"|","-"))),IF(P601="","",CONCATENATE("_U2|",SUBSTITUTE(SUBSTITUTE(P601,"_","-"),"|","-"))),IF(Q601="","",CONCATENATE("_U3|",SUBSTITUTE(SUBSTITUTE(Q601,"_","-"),"|","-")))))</f>
        <v>#N/A</v>
      </c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3" t="str">
        <f>IF(K602="----","#N/A",CONCATENATE("MK|",(VLOOKUP(B602,Dictionary!$A:$B,2,0)),"_CH|",(VLOOKUP(C602,Dictionary!$AV:$AW,2,0)),"_DT|",(VLOOKUP(D602,Dictionary!$P:$Q,2,0)),"_PB|",(VLOOKUP(E602,Dictionary!$G:$H,2,0)),"_FM|",(VLOOKUP(F602,Dictionary!$S:$T,2,0)),"_RT|",(VLOOKUP(G602,Dictionary!$V:$W,2,0)),"_PD|",SUBSTITUTE(SUBSTITUTE(IF(H602="","NONE",H602),"_","-"),"|","-"),"_TG|",(VLOOKUP(I602,Dictionary!$J:$K,2,0)),"_ST|",(VLOOKUP(J602,Dictionary!$M:$N,2,0)),"_TS|",SUBSTITUTE(SUBSTITUTE(IF(K602="","NONE",K602),"_","-"),"|","-"),"_SZ|",(VLOOKUP(L602,Dictionary!$Y:$Z,1,0)),"_AD|",(VLOOKUP(M602,Dictionary!$AB:$AC,2,0)),"_IT|",(VLOOKUP(N602,Dictionary!$BC:$BD,2,0)),IF(O602="","",CONCATENATE("_U1|",SUBSTITUTE(SUBSTITUTE(O602,"_","-"),"|","-"))),IF(P602="","",CONCATENATE("_U2|",SUBSTITUTE(SUBSTITUTE(P602,"_","-"),"|","-"))),IF(Q602="","",CONCATENATE("_U3|",SUBSTITUTE(SUBSTITUTE(Q602,"_","-"),"|","-")))))</f>
        <v>#N/A</v>
      </c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3" t="str">
        <f>IF(K603="----","#N/A",CONCATENATE("MK|",(VLOOKUP(B603,Dictionary!$A:$B,2,0)),"_CH|",(VLOOKUP(C603,Dictionary!$AV:$AW,2,0)),"_DT|",(VLOOKUP(D603,Dictionary!$P:$Q,2,0)),"_PB|",(VLOOKUP(E603,Dictionary!$G:$H,2,0)),"_FM|",(VLOOKUP(F603,Dictionary!$S:$T,2,0)),"_RT|",(VLOOKUP(G603,Dictionary!$V:$W,2,0)),"_PD|",SUBSTITUTE(SUBSTITUTE(IF(H603="","NONE",H603),"_","-"),"|","-"),"_TG|",(VLOOKUP(I603,Dictionary!$J:$K,2,0)),"_ST|",(VLOOKUP(J603,Dictionary!$M:$N,2,0)),"_TS|",SUBSTITUTE(SUBSTITUTE(IF(K603="","NONE",K603),"_","-"),"|","-"),"_SZ|",(VLOOKUP(L603,Dictionary!$Y:$Z,1,0)),"_AD|",(VLOOKUP(M603,Dictionary!$AB:$AC,2,0)),"_IT|",(VLOOKUP(N603,Dictionary!$BC:$BD,2,0)),IF(O603="","",CONCATENATE("_U1|",SUBSTITUTE(SUBSTITUTE(O603,"_","-"),"|","-"))),IF(P603="","",CONCATENATE("_U2|",SUBSTITUTE(SUBSTITUTE(P603,"_","-"),"|","-"))),IF(Q603="","",CONCATENATE("_U3|",SUBSTITUTE(SUBSTITUTE(Q603,"_","-"),"|","-")))))</f>
        <v>#N/A</v>
      </c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3" t="str">
        <f>IF(K604="----","#N/A",CONCATENATE("MK|",(VLOOKUP(B604,Dictionary!$A:$B,2,0)),"_CH|",(VLOOKUP(C604,Dictionary!$AV:$AW,2,0)),"_DT|",(VLOOKUP(D604,Dictionary!$P:$Q,2,0)),"_PB|",(VLOOKUP(E604,Dictionary!$G:$H,2,0)),"_FM|",(VLOOKUP(F604,Dictionary!$S:$T,2,0)),"_RT|",(VLOOKUP(G604,Dictionary!$V:$W,2,0)),"_PD|",SUBSTITUTE(SUBSTITUTE(IF(H604="","NONE",H604),"_","-"),"|","-"),"_TG|",(VLOOKUP(I604,Dictionary!$J:$K,2,0)),"_ST|",(VLOOKUP(J604,Dictionary!$M:$N,2,0)),"_TS|",SUBSTITUTE(SUBSTITUTE(IF(K604="","NONE",K604),"_","-"),"|","-"),"_SZ|",(VLOOKUP(L604,Dictionary!$Y:$Z,1,0)),"_AD|",(VLOOKUP(M604,Dictionary!$AB:$AC,2,0)),"_IT|",(VLOOKUP(N604,Dictionary!$BC:$BD,2,0)),IF(O604="","",CONCATENATE("_U1|",SUBSTITUTE(SUBSTITUTE(O604,"_","-"),"|","-"))),IF(P604="","",CONCATENATE("_U2|",SUBSTITUTE(SUBSTITUTE(P604,"_","-"),"|","-"))),IF(Q604="","",CONCATENATE("_U3|",SUBSTITUTE(SUBSTITUTE(Q604,"_","-"),"|","-")))))</f>
        <v>#N/A</v>
      </c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3" t="str">
        <f>IF(K605="----","#N/A",CONCATENATE("MK|",(VLOOKUP(B605,Dictionary!$A:$B,2,0)),"_CH|",(VLOOKUP(C605,Dictionary!$AV:$AW,2,0)),"_DT|",(VLOOKUP(D605,Dictionary!$P:$Q,2,0)),"_PB|",(VLOOKUP(E605,Dictionary!$G:$H,2,0)),"_FM|",(VLOOKUP(F605,Dictionary!$S:$T,2,0)),"_RT|",(VLOOKUP(G605,Dictionary!$V:$W,2,0)),"_PD|",SUBSTITUTE(SUBSTITUTE(IF(H605="","NONE",H605),"_","-"),"|","-"),"_TG|",(VLOOKUP(I605,Dictionary!$J:$K,2,0)),"_ST|",(VLOOKUP(J605,Dictionary!$M:$N,2,0)),"_TS|",SUBSTITUTE(SUBSTITUTE(IF(K605="","NONE",K605),"_","-"),"|","-"),"_SZ|",(VLOOKUP(L605,Dictionary!$Y:$Z,1,0)),"_AD|",(VLOOKUP(M605,Dictionary!$AB:$AC,2,0)),"_IT|",(VLOOKUP(N605,Dictionary!$BC:$BD,2,0)),IF(O605="","",CONCATENATE("_U1|",SUBSTITUTE(SUBSTITUTE(O605,"_","-"),"|","-"))),IF(P605="","",CONCATENATE("_U2|",SUBSTITUTE(SUBSTITUTE(P605,"_","-"),"|","-"))),IF(Q605="","",CONCATENATE("_U3|",SUBSTITUTE(SUBSTITUTE(Q605,"_","-"),"|","-")))))</f>
        <v>#N/A</v>
      </c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3" t="str">
        <f>IF(K606="----","#N/A",CONCATENATE("MK|",(VLOOKUP(B606,Dictionary!$A:$B,2,0)),"_CH|",(VLOOKUP(C606,Dictionary!$AV:$AW,2,0)),"_DT|",(VLOOKUP(D606,Dictionary!$P:$Q,2,0)),"_PB|",(VLOOKUP(E606,Dictionary!$G:$H,2,0)),"_FM|",(VLOOKUP(F606,Dictionary!$S:$T,2,0)),"_RT|",(VLOOKUP(G606,Dictionary!$V:$W,2,0)),"_PD|",SUBSTITUTE(SUBSTITUTE(IF(H606="","NONE",H606),"_","-"),"|","-"),"_TG|",(VLOOKUP(I606,Dictionary!$J:$K,2,0)),"_ST|",(VLOOKUP(J606,Dictionary!$M:$N,2,0)),"_TS|",SUBSTITUTE(SUBSTITUTE(IF(K606="","NONE",K606),"_","-"),"|","-"),"_SZ|",(VLOOKUP(L606,Dictionary!$Y:$Z,1,0)),"_AD|",(VLOOKUP(M606,Dictionary!$AB:$AC,2,0)),"_IT|",(VLOOKUP(N606,Dictionary!$BC:$BD,2,0)),IF(O606="","",CONCATENATE("_U1|",SUBSTITUTE(SUBSTITUTE(O606,"_","-"),"|","-"))),IF(P606="","",CONCATENATE("_U2|",SUBSTITUTE(SUBSTITUTE(P606,"_","-"),"|","-"))),IF(Q606="","",CONCATENATE("_U3|",SUBSTITUTE(SUBSTITUTE(Q606,"_","-"),"|","-")))))</f>
        <v>#N/A</v>
      </c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3" t="str">
        <f>IF(K607="----","#N/A",CONCATENATE("MK|",(VLOOKUP(B607,Dictionary!$A:$B,2,0)),"_CH|",(VLOOKUP(C607,Dictionary!$AV:$AW,2,0)),"_DT|",(VLOOKUP(D607,Dictionary!$P:$Q,2,0)),"_PB|",(VLOOKUP(E607,Dictionary!$G:$H,2,0)),"_FM|",(VLOOKUP(F607,Dictionary!$S:$T,2,0)),"_RT|",(VLOOKUP(G607,Dictionary!$V:$W,2,0)),"_PD|",SUBSTITUTE(SUBSTITUTE(IF(H607="","NONE",H607),"_","-"),"|","-"),"_TG|",(VLOOKUP(I607,Dictionary!$J:$K,2,0)),"_ST|",(VLOOKUP(J607,Dictionary!$M:$N,2,0)),"_TS|",SUBSTITUTE(SUBSTITUTE(IF(K607="","NONE",K607),"_","-"),"|","-"),"_SZ|",(VLOOKUP(L607,Dictionary!$Y:$Z,1,0)),"_AD|",(VLOOKUP(M607,Dictionary!$AB:$AC,2,0)),"_IT|",(VLOOKUP(N607,Dictionary!$BC:$BD,2,0)),IF(O607="","",CONCATENATE("_U1|",SUBSTITUTE(SUBSTITUTE(O607,"_","-"),"|","-"))),IF(P607="","",CONCATENATE("_U2|",SUBSTITUTE(SUBSTITUTE(P607,"_","-"),"|","-"))),IF(Q607="","",CONCATENATE("_U3|",SUBSTITUTE(SUBSTITUTE(Q607,"_","-"),"|","-")))))</f>
        <v>#N/A</v>
      </c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3" t="str">
        <f>IF(K608="----","#N/A",CONCATENATE("MK|",(VLOOKUP(B608,Dictionary!$A:$B,2,0)),"_CH|",(VLOOKUP(C608,Dictionary!$AV:$AW,2,0)),"_DT|",(VLOOKUP(D608,Dictionary!$P:$Q,2,0)),"_PB|",(VLOOKUP(E608,Dictionary!$G:$H,2,0)),"_FM|",(VLOOKUP(F608,Dictionary!$S:$T,2,0)),"_RT|",(VLOOKUP(G608,Dictionary!$V:$W,2,0)),"_PD|",SUBSTITUTE(SUBSTITUTE(IF(H608="","NONE",H608),"_","-"),"|","-"),"_TG|",(VLOOKUP(I608,Dictionary!$J:$K,2,0)),"_ST|",(VLOOKUP(J608,Dictionary!$M:$N,2,0)),"_TS|",SUBSTITUTE(SUBSTITUTE(IF(K608="","NONE",K608),"_","-"),"|","-"),"_SZ|",(VLOOKUP(L608,Dictionary!$Y:$Z,1,0)),"_AD|",(VLOOKUP(M608,Dictionary!$AB:$AC,2,0)),"_IT|",(VLOOKUP(N608,Dictionary!$BC:$BD,2,0)),IF(O608="","",CONCATENATE("_U1|",SUBSTITUTE(SUBSTITUTE(O608,"_","-"),"|","-"))),IF(P608="","",CONCATENATE("_U2|",SUBSTITUTE(SUBSTITUTE(P608,"_","-"),"|","-"))),IF(Q608="","",CONCATENATE("_U3|",SUBSTITUTE(SUBSTITUTE(Q608,"_","-"),"|","-")))))</f>
        <v>#N/A</v>
      </c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3" t="str">
        <f>IF(K609="----","#N/A",CONCATENATE("MK|",(VLOOKUP(B609,Dictionary!$A:$B,2,0)),"_CH|",(VLOOKUP(C609,Dictionary!$AV:$AW,2,0)),"_DT|",(VLOOKUP(D609,Dictionary!$P:$Q,2,0)),"_PB|",(VLOOKUP(E609,Dictionary!$G:$H,2,0)),"_FM|",(VLOOKUP(F609,Dictionary!$S:$T,2,0)),"_RT|",(VLOOKUP(G609,Dictionary!$V:$W,2,0)),"_PD|",SUBSTITUTE(SUBSTITUTE(IF(H609="","NONE",H609),"_","-"),"|","-"),"_TG|",(VLOOKUP(I609,Dictionary!$J:$K,2,0)),"_ST|",(VLOOKUP(J609,Dictionary!$M:$N,2,0)),"_TS|",SUBSTITUTE(SUBSTITUTE(IF(K609="","NONE",K609),"_","-"),"|","-"),"_SZ|",(VLOOKUP(L609,Dictionary!$Y:$Z,1,0)),"_AD|",(VLOOKUP(M609,Dictionary!$AB:$AC,2,0)),"_IT|",(VLOOKUP(N609,Dictionary!$BC:$BD,2,0)),IF(O609="","",CONCATENATE("_U1|",SUBSTITUTE(SUBSTITUTE(O609,"_","-"),"|","-"))),IF(P609="","",CONCATENATE("_U2|",SUBSTITUTE(SUBSTITUTE(P609,"_","-"),"|","-"))),IF(Q609="","",CONCATENATE("_U3|",SUBSTITUTE(SUBSTITUTE(Q609,"_","-"),"|","-")))))</f>
        <v>#N/A</v>
      </c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3" t="str">
        <f>IF(K610="----","#N/A",CONCATENATE("MK|",(VLOOKUP(B610,Dictionary!$A:$B,2,0)),"_CH|",(VLOOKUP(C610,Dictionary!$AV:$AW,2,0)),"_DT|",(VLOOKUP(D610,Dictionary!$P:$Q,2,0)),"_PB|",(VLOOKUP(E610,Dictionary!$G:$H,2,0)),"_FM|",(VLOOKUP(F610,Dictionary!$S:$T,2,0)),"_RT|",(VLOOKUP(G610,Dictionary!$V:$W,2,0)),"_PD|",SUBSTITUTE(SUBSTITUTE(IF(H610="","NONE",H610),"_","-"),"|","-"),"_TG|",(VLOOKUP(I610,Dictionary!$J:$K,2,0)),"_ST|",(VLOOKUP(J610,Dictionary!$M:$N,2,0)),"_TS|",SUBSTITUTE(SUBSTITUTE(IF(K610="","NONE",K610),"_","-"),"|","-"),"_SZ|",(VLOOKUP(L610,Dictionary!$Y:$Z,1,0)),"_AD|",(VLOOKUP(M610,Dictionary!$AB:$AC,2,0)),"_IT|",(VLOOKUP(N610,Dictionary!$BC:$BD,2,0)),IF(O610="","",CONCATENATE("_U1|",SUBSTITUTE(SUBSTITUTE(O610,"_","-"),"|","-"))),IF(P610="","",CONCATENATE("_U2|",SUBSTITUTE(SUBSTITUTE(P610,"_","-"),"|","-"))),IF(Q610="","",CONCATENATE("_U3|",SUBSTITUTE(SUBSTITUTE(Q610,"_","-"),"|","-")))))</f>
        <v>#N/A</v>
      </c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3" t="str">
        <f>IF(K611="----","#N/A",CONCATENATE("MK|",(VLOOKUP(B611,Dictionary!$A:$B,2,0)),"_CH|",(VLOOKUP(C611,Dictionary!$AV:$AW,2,0)),"_DT|",(VLOOKUP(D611,Dictionary!$P:$Q,2,0)),"_PB|",(VLOOKUP(E611,Dictionary!$G:$H,2,0)),"_FM|",(VLOOKUP(F611,Dictionary!$S:$T,2,0)),"_RT|",(VLOOKUP(G611,Dictionary!$V:$W,2,0)),"_PD|",SUBSTITUTE(SUBSTITUTE(IF(H611="","NONE",H611),"_","-"),"|","-"),"_TG|",(VLOOKUP(I611,Dictionary!$J:$K,2,0)),"_ST|",(VLOOKUP(J611,Dictionary!$M:$N,2,0)),"_TS|",SUBSTITUTE(SUBSTITUTE(IF(K611="","NONE",K611),"_","-"),"|","-"),"_SZ|",(VLOOKUP(L611,Dictionary!$Y:$Z,1,0)),"_AD|",(VLOOKUP(M611,Dictionary!$AB:$AC,2,0)),"_IT|",(VLOOKUP(N611,Dictionary!$BC:$BD,2,0)),IF(O611="","",CONCATENATE("_U1|",SUBSTITUTE(SUBSTITUTE(O611,"_","-"),"|","-"))),IF(P611="","",CONCATENATE("_U2|",SUBSTITUTE(SUBSTITUTE(P611,"_","-"),"|","-"))),IF(Q611="","",CONCATENATE("_U3|",SUBSTITUTE(SUBSTITUTE(Q611,"_","-"),"|","-")))))</f>
        <v>#N/A</v>
      </c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3" t="str">
        <f>IF(K612="----","#N/A",CONCATENATE("MK|",(VLOOKUP(B612,Dictionary!$A:$B,2,0)),"_CH|",(VLOOKUP(C612,Dictionary!$AV:$AW,2,0)),"_DT|",(VLOOKUP(D612,Dictionary!$P:$Q,2,0)),"_PB|",(VLOOKUP(E612,Dictionary!$G:$H,2,0)),"_FM|",(VLOOKUP(F612,Dictionary!$S:$T,2,0)),"_RT|",(VLOOKUP(G612,Dictionary!$V:$W,2,0)),"_PD|",SUBSTITUTE(SUBSTITUTE(IF(H612="","NONE",H612),"_","-"),"|","-"),"_TG|",(VLOOKUP(I612,Dictionary!$J:$K,2,0)),"_ST|",(VLOOKUP(J612,Dictionary!$M:$N,2,0)),"_TS|",SUBSTITUTE(SUBSTITUTE(IF(K612="","NONE",K612),"_","-"),"|","-"),"_SZ|",(VLOOKUP(L612,Dictionary!$Y:$Z,1,0)),"_AD|",(VLOOKUP(M612,Dictionary!$AB:$AC,2,0)),"_IT|",(VLOOKUP(N612,Dictionary!$BC:$BD,2,0)),IF(O612="","",CONCATENATE("_U1|",SUBSTITUTE(SUBSTITUTE(O612,"_","-"),"|","-"))),IF(P612="","",CONCATENATE("_U2|",SUBSTITUTE(SUBSTITUTE(P612,"_","-"),"|","-"))),IF(Q612="","",CONCATENATE("_U3|",SUBSTITUTE(SUBSTITUTE(Q612,"_","-"),"|","-")))))</f>
        <v>#N/A</v>
      </c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3" t="str">
        <f>IF(K613="----","#N/A",CONCATENATE("MK|",(VLOOKUP(B613,Dictionary!$A:$B,2,0)),"_CH|",(VLOOKUP(C613,Dictionary!$AV:$AW,2,0)),"_DT|",(VLOOKUP(D613,Dictionary!$P:$Q,2,0)),"_PB|",(VLOOKUP(E613,Dictionary!$G:$H,2,0)),"_FM|",(VLOOKUP(F613,Dictionary!$S:$T,2,0)),"_RT|",(VLOOKUP(G613,Dictionary!$V:$W,2,0)),"_PD|",SUBSTITUTE(SUBSTITUTE(IF(H613="","NONE",H613),"_","-"),"|","-"),"_TG|",(VLOOKUP(I613,Dictionary!$J:$K,2,0)),"_ST|",(VLOOKUP(J613,Dictionary!$M:$N,2,0)),"_TS|",SUBSTITUTE(SUBSTITUTE(IF(K613="","NONE",K613),"_","-"),"|","-"),"_SZ|",(VLOOKUP(L613,Dictionary!$Y:$Z,1,0)),"_AD|",(VLOOKUP(M613,Dictionary!$AB:$AC,2,0)),"_IT|",(VLOOKUP(N613,Dictionary!$BC:$BD,2,0)),IF(O613="","",CONCATENATE("_U1|",SUBSTITUTE(SUBSTITUTE(O613,"_","-"),"|","-"))),IF(P613="","",CONCATENATE("_U2|",SUBSTITUTE(SUBSTITUTE(P613,"_","-"),"|","-"))),IF(Q613="","",CONCATENATE("_U3|",SUBSTITUTE(SUBSTITUTE(Q613,"_","-"),"|","-")))))</f>
        <v>#N/A</v>
      </c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3" t="str">
        <f>IF(K614="----","#N/A",CONCATENATE("MK|",(VLOOKUP(B614,Dictionary!$A:$B,2,0)),"_CH|",(VLOOKUP(C614,Dictionary!$AV:$AW,2,0)),"_DT|",(VLOOKUP(D614,Dictionary!$P:$Q,2,0)),"_PB|",(VLOOKUP(E614,Dictionary!$G:$H,2,0)),"_FM|",(VLOOKUP(F614,Dictionary!$S:$T,2,0)),"_RT|",(VLOOKUP(G614,Dictionary!$V:$W,2,0)),"_PD|",SUBSTITUTE(SUBSTITUTE(IF(H614="","NONE",H614),"_","-"),"|","-"),"_TG|",(VLOOKUP(I614,Dictionary!$J:$K,2,0)),"_ST|",(VLOOKUP(J614,Dictionary!$M:$N,2,0)),"_TS|",SUBSTITUTE(SUBSTITUTE(IF(K614="","NONE",K614),"_","-"),"|","-"),"_SZ|",(VLOOKUP(L614,Dictionary!$Y:$Z,1,0)),"_AD|",(VLOOKUP(M614,Dictionary!$AB:$AC,2,0)),"_IT|",(VLOOKUP(N614,Dictionary!$BC:$BD,2,0)),IF(O614="","",CONCATENATE("_U1|",SUBSTITUTE(SUBSTITUTE(O614,"_","-"),"|","-"))),IF(P614="","",CONCATENATE("_U2|",SUBSTITUTE(SUBSTITUTE(P614,"_","-"),"|","-"))),IF(Q614="","",CONCATENATE("_U3|",SUBSTITUTE(SUBSTITUTE(Q614,"_","-"),"|","-")))))</f>
        <v>#N/A</v>
      </c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3" t="str">
        <f>IF(K615="----","#N/A",CONCATENATE("MK|",(VLOOKUP(B615,Dictionary!$A:$B,2,0)),"_CH|",(VLOOKUP(C615,Dictionary!$AV:$AW,2,0)),"_DT|",(VLOOKUP(D615,Dictionary!$P:$Q,2,0)),"_PB|",(VLOOKUP(E615,Dictionary!$G:$H,2,0)),"_FM|",(VLOOKUP(F615,Dictionary!$S:$T,2,0)),"_RT|",(VLOOKUP(G615,Dictionary!$V:$W,2,0)),"_PD|",SUBSTITUTE(SUBSTITUTE(IF(H615="","NONE",H615),"_","-"),"|","-"),"_TG|",(VLOOKUP(I615,Dictionary!$J:$K,2,0)),"_ST|",(VLOOKUP(J615,Dictionary!$M:$N,2,0)),"_TS|",SUBSTITUTE(SUBSTITUTE(IF(K615="","NONE",K615),"_","-"),"|","-"),"_SZ|",(VLOOKUP(L615,Dictionary!$Y:$Z,1,0)),"_AD|",(VLOOKUP(M615,Dictionary!$AB:$AC,2,0)),"_IT|",(VLOOKUP(N615,Dictionary!$BC:$BD,2,0)),IF(O615="","",CONCATENATE("_U1|",SUBSTITUTE(SUBSTITUTE(O615,"_","-"),"|","-"))),IF(P615="","",CONCATENATE("_U2|",SUBSTITUTE(SUBSTITUTE(P615,"_","-"),"|","-"))),IF(Q615="","",CONCATENATE("_U3|",SUBSTITUTE(SUBSTITUTE(Q615,"_","-"),"|","-")))))</f>
        <v>#N/A</v>
      </c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3" t="str">
        <f>IF(K616="----","#N/A",CONCATENATE("MK|",(VLOOKUP(B616,Dictionary!$A:$B,2,0)),"_CH|",(VLOOKUP(C616,Dictionary!$AV:$AW,2,0)),"_DT|",(VLOOKUP(D616,Dictionary!$P:$Q,2,0)),"_PB|",(VLOOKUP(E616,Dictionary!$G:$H,2,0)),"_FM|",(VLOOKUP(F616,Dictionary!$S:$T,2,0)),"_RT|",(VLOOKUP(G616,Dictionary!$V:$W,2,0)),"_PD|",SUBSTITUTE(SUBSTITUTE(IF(H616="","NONE",H616),"_","-"),"|","-"),"_TG|",(VLOOKUP(I616,Dictionary!$J:$K,2,0)),"_ST|",(VLOOKUP(J616,Dictionary!$M:$N,2,0)),"_TS|",SUBSTITUTE(SUBSTITUTE(IF(K616="","NONE",K616),"_","-"),"|","-"),"_SZ|",(VLOOKUP(L616,Dictionary!$Y:$Z,1,0)),"_AD|",(VLOOKUP(M616,Dictionary!$AB:$AC,2,0)),"_IT|",(VLOOKUP(N616,Dictionary!$BC:$BD,2,0)),IF(O616="","",CONCATENATE("_U1|",SUBSTITUTE(SUBSTITUTE(O616,"_","-"),"|","-"))),IF(P616="","",CONCATENATE("_U2|",SUBSTITUTE(SUBSTITUTE(P616,"_","-"),"|","-"))),IF(Q616="","",CONCATENATE("_U3|",SUBSTITUTE(SUBSTITUTE(Q616,"_","-"),"|","-")))))</f>
        <v>#N/A</v>
      </c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3" t="str">
        <f>IF(K617="----","#N/A",CONCATENATE("MK|",(VLOOKUP(B617,Dictionary!$A:$B,2,0)),"_CH|",(VLOOKUP(C617,Dictionary!$AV:$AW,2,0)),"_DT|",(VLOOKUP(D617,Dictionary!$P:$Q,2,0)),"_PB|",(VLOOKUP(E617,Dictionary!$G:$H,2,0)),"_FM|",(VLOOKUP(F617,Dictionary!$S:$T,2,0)),"_RT|",(VLOOKUP(G617,Dictionary!$V:$W,2,0)),"_PD|",SUBSTITUTE(SUBSTITUTE(IF(H617="","NONE",H617),"_","-"),"|","-"),"_TG|",(VLOOKUP(I617,Dictionary!$J:$K,2,0)),"_ST|",(VLOOKUP(J617,Dictionary!$M:$N,2,0)),"_TS|",SUBSTITUTE(SUBSTITUTE(IF(K617="","NONE",K617),"_","-"),"|","-"),"_SZ|",(VLOOKUP(L617,Dictionary!$Y:$Z,1,0)),"_AD|",(VLOOKUP(M617,Dictionary!$AB:$AC,2,0)),"_IT|",(VLOOKUP(N617,Dictionary!$BC:$BD,2,0)),IF(O617="","",CONCATENATE("_U1|",SUBSTITUTE(SUBSTITUTE(O617,"_","-"),"|","-"))),IF(P617="","",CONCATENATE("_U2|",SUBSTITUTE(SUBSTITUTE(P617,"_","-"),"|","-"))),IF(Q617="","",CONCATENATE("_U3|",SUBSTITUTE(SUBSTITUTE(Q617,"_","-"),"|","-")))))</f>
        <v>#N/A</v>
      </c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3" t="str">
        <f>IF(K618="----","#N/A",CONCATENATE("MK|",(VLOOKUP(B618,Dictionary!$A:$B,2,0)),"_CH|",(VLOOKUP(C618,Dictionary!$AV:$AW,2,0)),"_DT|",(VLOOKUP(D618,Dictionary!$P:$Q,2,0)),"_PB|",(VLOOKUP(E618,Dictionary!$G:$H,2,0)),"_FM|",(VLOOKUP(F618,Dictionary!$S:$T,2,0)),"_RT|",(VLOOKUP(G618,Dictionary!$V:$W,2,0)),"_PD|",SUBSTITUTE(SUBSTITUTE(IF(H618="","NONE",H618),"_","-"),"|","-"),"_TG|",(VLOOKUP(I618,Dictionary!$J:$K,2,0)),"_ST|",(VLOOKUP(J618,Dictionary!$M:$N,2,0)),"_TS|",SUBSTITUTE(SUBSTITUTE(IF(K618="","NONE",K618),"_","-"),"|","-"),"_SZ|",(VLOOKUP(L618,Dictionary!$Y:$Z,1,0)),"_AD|",(VLOOKUP(M618,Dictionary!$AB:$AC,2,0)),"_IT|",(VLOOKUP(N618,Dictionary!$BC:$BD,2,0)),IF(O618="","",CONCATENATE("_U1|",SUBSTITUTE(SUBSTITUTE(O618,"_","-"),"|","-"))),IF(P618="","",CONCATENATE("_U2|",SUBSTITUTE(SUBSTITUTE(P618,"_","-"),"|","-"))),IF(Q618="","",CONCATENATE("_U3|",SUBSTITUTE(SUBSTITUTE(Q618,"_","-"),"|","-")))))</f>
        <v>#N/A</v>
      </c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3" t="str">
        <f>IF(K619="----","#N/A",CONCATENATE("MK|",(VLOOKUP(B619,Dictionary!$A:$B,2,0)),"_CH|",(VLOOKUP(C619,Dictionary!$AV:$AW,2,0)),"_DT|",(VLOOKUP(D619,Dictionary!$P:$Q,2,0)),"_PB|",(VLOOKUP(E619,Dictionary!$G:$H,2,0)),"_FM|",(VLOOKUP(F619,Dictionary!$S:$T,2,0)),"_RT|",(VLOOKUP(G619,Dictionary!$V:$W,2,0)),"_PD|",SUBSTITUTE(SUBSTITUTE(IF(H619="","NONE",H619),"_","-"),"|","-"),"_TG|",(VLOOKUP(I619,Dictionary!$J:$K,2,0)),"_ST|",(VLOOKUP(J619,Dictionary!$M:$N,2,0)),"_TS|",SUBSTITUTE(SUBSTITUTE(IF(K619="","NONE",K619),"_","-"),"|","-"),"_SZ|",(VLOOKUP(L619,Dictionary!$Y:$Z,1,0)),"_AD|",(VLOOKUP(M619,Dictionary!$AB:$AC,2,0)),"_IT|",(VLOOKUP(N619,Dictionary!$BC:$BD,2,0)),IF(O619="","",CONCATENATE("_U1|",SUBSTITUTE(SUBSTITUTE(O619,"_","-"),"|","-"))),IF(P619="","",CONCATENATE("_U2|",SUBSTITUTE(SUBSTITUTE(P619,"_","-"),"|","-"))),IF(Q619="","",CONCATENATE("_U3|",SUBSTITUTE(SUBSTITUTE(Q619,"_","-"),"|","-")))))</f>
        <v>#N/A</v>
      </c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3" t="str">
        <f>IF(K620="----","#N/A",CONCATENATE("MK|",(VLOOKUP(B620,Dictionary!$A:$B,2,0)),"_CH|",(VLOOKUP(C620,Dictionary!$AV:$AW,2,0)),"_DT|",(VLOOKUP(D620,Dictionary!$P:$Q,2,0)),"_PB|",(VLOOKUP(E620,Dictionary!$G:$H,2,0)),"_FM|",(VLOOKUP(F620,Dictionary!$S:$T,2,0)),"_RT|",(VLOOKUP(G620,Dictionary!$V:$W,2,0)),"_PD|",SUBSTITUTE(SUBSTITUTE(IF(H620="","NONE",H620),"_","-"),"|","-"),"_TG|",(VLOOKUP(I620,Dictionary!$J:$K,2,0)),"_ST|",(VLOOKUP(J620,Dictionary!$M:$N,2,0)),"_TS|",SUBSTITUTE(SUBSTITUTE(IF(K620="","NONE",K620),"_","-"),"|","-"),"_SZ|",(VLOOKUP(L620,Dictionary!$Y:$Z,1,0)),"_AD|",(VLOOKUP(M620,Dictionary!$AB:$AC,2,0)),"_IT|",(VLOOKUP(N620,Dictionary!$BC:$BD,2,0)),IF(O620="","",CONCATENATE("_U1|",SUBSTITUTE(SUBSTITUTE(O620,"_","-"),"|","-"))),IF(P620="","",CONCATENATE("_U2|",SUBSTITUTE(SUBSTITUTE(P620,"_","-"),"|","-"))),IF(Q620="","",CONCATENATE("_U3|",SUBSTITUTE(SUBSTITUTE(Q620,"_","-"),"|","-")))))</f>
        <v>#N/A</v>
      </c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3" t="str">
        <f>IF(K621="----","#N/A",CONCATENATE("MK|",(VLOOKUP(B621,Dictionary!$A:$B,2,0)),"_CH|",(VLOOKUP(C621,Dictionary!$AV:$AW,2,0)),"_DT|",(VLOOKUP(D621,Dictionary!$P:$Q,2,0)),"_PB|",(VLOOKUP(E621,Dictionary!$G:$H,2,0)),"_FM|",(VLOOKUP(F621,Dictionary!$S:$T,2,0)),"_RT|",(VLOOKUP(G621,Dictionary!$V:$W,2,0)),"_PD|",SUBSTITUTE(SUBSTITUTE(IF(H621="","NONE",H621),"_","-"),"|","-"),"_TG|",(VLOOKUP(I621,Dictionary!$J:$K,2,0)),"_ST|",(VLOOKUP(J621,Dictionary!$M:$N,2,0)),"_TS|",SUBSTITUTE(SUBSTITUTE(IF(K621="","NONE",K621),"_","-"),"|","-"),"_SZ|",(VLOOKUP(L621,Dictionary!$Y:$Z,1,0)),"_AD|",(VLOOKUP(M621,Dictionary!$AB:$AC,2,0)),"_IT|",(VLOOKUP(N621,Dictionary!$BC:$BD,2,0)),IF(O621="","",CONCATENATE("_U1|",SUBSTITUTE(SUBSTITUTE(O621,"_","-"),"|","-"))),IF(P621="","",CONCATENATE("_U2|",SUBSTITUTE(SUBSTITUTE(P621,"_","-"),"|","-"))),IF(Q621="","",CONCATENATE("_U3|",SUBSTITUTE(SUBSTITUTE(Q621,"_","-"),"|","-")))))</f>
        <v>#N/A</v>
      </c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3" t="str">
        <f>IF(K622="----","#N/A",CONCATENATE("MK|",(VLOOKUP(B622,Dictionary!$A:$B,2,0)),"_CH|",(VLOOKUP(C622,Dictionary!$AV:$AW,2,0)),"_DT|",(VLOOKUP(D622,Dictionary!$P:$Q,2,0)),"_PB|",(VLOOKUP(E622,Dictionary!$G:$H,2,0)),"_FM|",(VLOOKUP(F622,Dictionary!$S:$T,2,0)),"_RT|",(VLOOKUP(G622,Dictionary!$V:$W,2,0)),"_PD|",SUBSTITUTE(SUBSTITUTE(IF(H622="","NONE",H622),"_","-"),"|","-"),"_TG|",(VLOOKUP(I622,Dictionary!$J:$K,2,0)),"_ST|",(VLOOKUP(J622,Dictionary!$M:$N,2,0)),"_TS|",SUBSTITUTE(SUBSTITUTE(IF(K622="","NONE",K622),"_","-"),"|","-"),"_SZ|",(VLOOKUP(L622,Dictionary!$Y:$Z,1,0)),"_AD|",(VLOOKUP(M622,Dictionary!$AB:$AC,2,0)),"_IT|",(VLOOKUP(N622,Dictionary!$BC:$BD,2,0)),IF(O622="","",CONCATENATE("_U1|",SUBSTITUTE(SUBSTITUTE(O622,"_","-"),"|","-"))),IF(P622="","",CONCATENATE("_U2|",SUBSTITUTE(SUBSTITUTE(P622,"_","-"),"|","-"))),IF(Q622="","",CONCATENATE("_U3|",SUBSTITUTE(SUBSTITUTE(Q622,"_","-"),"|","-")))))</f>
        <v>#N/A</v>
      </c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3" t="str">
        <f>IF(K623="----","#N/A",CONCATENATE("MK|",(VLOOKUP(B623,Dictionary!$A:$B,2,0)),"_CH|",(VLOOKUP(C623,Dictionary!$AV:$AW,2,0)),"_DT|",(VLOOKUP(D623,Dictionary!$P:$Q,2,0)),"_PB|",(VLOOKUP(E623,Dictionary!$G:$H,2,0)),"_FM|",(VLOOKUP(F623,Dictionary!$S:$T,2,0)),"_RT|",(VLOOKUP(G623,Dictionary!$V:$W,2,0)),"_PD|",SUBSTITUTE(SUBSTITUTE(IF(H623="","NONE",H623),"_","-"),"|","-"),"_TG|",(VLOOKUP(I623,Dictionary!$J:$K,2,0)),"_ST|",(VLOOKUP(J623,Dictionary!$M:$N,2,0)),"_TS|",SUBSTITUTE(SUBSTITUTE(IF(K623="","NONE",K623),"_","-"),"|","-"),"_SZ|",(VLOOKUP(L623,Dictionary!$Y:$Z,1,0)),"_AD|",(VLOOKUP(M623,Dictionary!$AB:$AC,2,0)),"_IT|",(VLOOKUP(N623,Dictionary!$BC:$BD,2,0)),IF(O623="","",CONCATENATE("_U1|",SUBSTITUTE(SUBSTITUTE(O623,"_","-"),"|","-"))),IF(P623="","",CONCATENATE("_U2|",SUBSTITUTE(SUBSTITUTE(P623,"_","-"),"|","-"))),IF(Q623="","",CONCATENATE("_U3|",SUBSTITUTE(SUBSTITUTE(Q623,"_","-"),"|","-")))))</f>
        <v>#N/A</v>
      </c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3" t="str">
        <f>IF(K624="----","#N/A",CONCATENATE("MK|",(VLOOKUP(B624,Dictionary!$A:$B,2,0)),"_CH|",(VLOOKUP(C624,Dictionary!$AV:$AW,2,0)),"_DT|",(VLOOKUP(D624,Dictionary!$P:$Q,2,0)),"_PB|",(VLOOKUP(E624,Dictionary!$G:$H,2,0)),"_FM|",(VLOOKUP(F624,Dictionary!$S:$T,2,0)),"_RT|",(VLOOKUP(G624,Dictionary!$V:$W,2,0)),"_PD|",SUBSTITUTE(SUBSTITUTE(IF(H624="","NONE",H624),"_","-"),"|","-"),"_TG|",(VLOOKUP(I624,Dictionary!$J:$K,2,0)),"_ST|",(VLOOKUP(J624,Dictionary!$M:$N,2,0)),"_TS|",SUBSTITUTE(SUBSTITUTE(IF(K624="","NONE",K624),"_","-"),"|","-"),"_SZ|",(VLOOKUP(L624,Dictionary!$Y:$Z,1,0)),"_AD|",(VLOOKUP(M624,Dictionary!$AB:$AC,2,0)),"_IT|",(VLOOKUP(N624,Dictionary!$BC:$BD,2,0)),IF(O624="","",CONCATENATE("_U1|",SUBSTITUTE(SUBSTITUTE(O624,"_","-"),"|","-"))),IF(P624="","",CONCATENATE("_U2|",SUBSTITUTE(SUBSTITUTE(P624,"_","-"),"|","-"))),IF(Q624="","",CONCATENATE("_U3|",SUBSTITUTE(SUBSTITUTE(Q624,"_","-"),"|","-")))))</f>
        <v>#N/A</v>
      </c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3" t="str">
        <f>IF(K625="----","#N/A",CONCATENATE("MK|",(VLOOKUP(B625,Dictionary!$A:$B,2,0)),"_CH|",(VLOOKUP(C625,Dictionary!$AV:$AW,2,0)),"_DT|",(VLOOKUP(D625,Dictionary!$P:$Q,2,0)),"_PB|",(VLOOKUP(E625,Dictionary!$G:$H,2,0)),"_FM|",(VLOOKUP(F625,Dictionary!$S:$T,2,0)),"_RT|",(VLOOKUP(G625,Dictionary!$V:$W,2,0)),"_PD|",SUBSTITUTE(SUBSTITUTE(IF(H625="","NONE",H625),"_","-"),"|","-"),"_TG|",(VLOOKUP(I625,Dictionary!$J:$K,2,0)),"_ST|",(VLOOKUP(J625,Dictionary!$M:$N,2,0)),"_TS|",SUBSTITUTE(SUBSTITUTE(IF(K625="","NONE",K625),"_","-"),"|","-"),"_SZ|",(VLOOKUP(L625,Dictionary!$Y:$Z,1,0)),"_AD|",(VLOOKUP(M625,Dictionary!$AB:$AC,2,0)),"_IT|",(VLOOKUP(N625,Dictionary!$BC:$BD,2,0)),IF(O625="","",CONCATENATE("_U1|",SUBSTITUTE(SUBSTITUTE(O625,"_","-"),"|","-"))),IF(P625="","",CONCATENATE("_U2|",SUBSTITUTE(SUBSTITUTE(P625,"_","-"),"|","-"))),IF(Q625="","",CONCATENATE("_U3|",SUBSTITUTE(SUBSTITUTE(Q625,"_","-"),"|","-")))))</f>
        <v>#N/A</v>
      </c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3" t="str">
        <f>IF(K626="----","#N/A",CONCATENATE("MK|",(VLOOKUP(B626,Dictionary!$A:$B,2,0)),"_CH|",(VLOOKUP(C626,Dictionary!$AV:$AW,2,0)),"_DT|",(VLOOKUP(D626,Dictionary!$P:$Q,2,0)),"_PB|",(VLOOKUP(E626,Dictionary!$G:$H,2,0)),"_FM|",(VLOOKUP(F626,Dictionary!$S:$T,2,0)),"_RT|",(VLOOKUP(G626,Dictionary!$V:$W,2,0)),"_PD|",SUBSTITUTE(SUBSTITUTE(IF(H626="","NONE",H626),"_","-"),"|","-"),"_TG|",(VLOOKUP(I626,Dictionary!$J:$K,2,0)),"_ST|",(VLOOKUP(J626,Dictionary!$M:$N,2,0)),"_TS|",SUBSTITUTE(SUBSTITUTE(IF(K626="","NONE",K626),"_","-"),"|","-"),"_SZ|",(VLOOKUP(L626,Dictionary!$Y:$Z,1,0)),"_AD|",(VLOOKUP(M626,Dictionary!$AB:$AC,2,0)),"_IT|",(VLOOKUP(N626,Dictionary!$BC:$BD,2,0)),IF(O626="","",CONCATENATE("_U1|",SUBSTITUTE(SUBSTITUTE(O626,"_","-"),"|","-"))),IF(P626="","",CONCATENATE("_U2|",SUBSTITUTE(SUBSTITUTE(P626,"_","-"),"|","-"))),IF(Q626="","",CONCATENATE("_U3|",SUBSTITUTE(SUBSTITUTE(Q626,"_","-"),"|","-")))))</f>
        <v>#N/A</v>
      </c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3" t="str">
        <f>IF(K627="----","#N/A",CONCATENATE("MK|",(VLOOKUP(B627,Dictionary!$A:$B,2,0)),"_CH|",(VLOOKUP(C627,Dictionary!$AV:$AW,2,0)),"_DT|",(VLOOKUP(D627,Dictionary!$P:$Q,2,0)),"_PB|",(VLOOKUP(E627,Dictionary!$G:$H,2,0)),"_FM|",(VLOOKUP(F627,Dictionary!$S:$T,2,0)),"_RT|",(VLOOKUP(G627,Dictionary!$V:$W,2,0)),"_PD|",SUBSTITUTE(SUBSTITUTE(IF(H627="","NONE",H627),"_","-"),"|","-"),"_TG|",(VLOOKUP(I627,Dictionary!$J:$K,2,0)),"_ST|",(VLOOKUP(J627,Dictionary!$M:$N,2,0)),"_TS|",SUBSTITUTE(SUBSTITUTE(IF(K627="","NONE",K627),"_","-"),"|","-"),"_SZ|",(VLOOKUP(L627,Dictionary!$Y:$Z,1,0)),"_AD|",(VLOOKUP(M627,Dictionary!$AB:$AC,2,0)),"_IT|",(VLOOKUP(N627,Dictionary!$BC:$BD,2,0)),IF(O627="","",CONCATENATE("_U1|",SUBSTITUTE(SUBSTITUTE(O627,"_","-"),"|","-"))),IF(P627="","",CONCATENATE("_U2|",SUBSTITUTE(SUBSTITUTE(P627,"_","-"),"|","-"))),IF(Q627="","",CONCATENATE("_U3|",SUBSTITUTE(SUBSTITUTE(Q627,"_","-"),"|","-")))))</f>
        <v>#N/A</v>
      </c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3" t="str">
        <f>IF(K628="----","#N/A",CONCATENATE("MK|",(VLOOKUP(B628,Dictionary!$A:$B,2,0)),"_CH|",(VLOOKUP(C628,Dictionary!$AV:$AW,2,0)),"_DT|",(VLOOKUP(D628,Dictionary!$P:$Q,2,0)),"_PB|",(VLOOKUP(E628,Dictionary!$G:$H,2,0)),"_FM|",(VLOOKUP(F628,Dictionary!$S:$T,2,0)),"_RT|",(VLOOKUP(G628,Dictionary!$V:$W,2,0)),"_PD|",SUBSTITUTE(SUBSTITUTE(IF(H628="","NONE",H628),"_","-"),"|","-"),"_TG|",(VLOOKUP(I628,Dictionary!$J:$K,2,0)),"_ST|",(VLOOKUP(J628,Dictionary!$M:$N,2,0)),"_TS|",SUBSTITUTE(SUBSTITUTE(IF(K628="","NONE",K628),"_","-"),"|","-"),"_SZ|",(VLOOKUP(L628,Dictionary!$Y:$Z,1,0)),"_AD|",(VLOOKUP(M628,Dictionary!$AB:$AC,2,0)),"_IT|",(VLOOKUP(N628,Dictionary!$BC:$BD,2,0)),IF(O628="","",CONCATENATE("_U1|",SUBSTITUTE(SUBSTITUTE(O628,"_","-"),"|","-"))),IF(P628="","",CONCATENATE("_U2|",SUBSTITUTE(SUBSTITUTE(P628,"_","-"),"|","-"))),IF(Q628="","",CONCATENATE("_U3|",SUBSTITUTE(SUBSTITUTE(Q628,"_","-"),"|","-")))))</f>
        <v>#N/A</v>
      </c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3" t="str">
        <f>IF(K629="----","#N/A",CONCATENATE("MK|",(VLOOKUP(B629,Dictionary!$A:$B,2,0)),"_CH|",(VLOOKUP(C629,Dictionary!$AV:$AW,2,0)),"_DT|",(VLOOKUP(D629,Dictionary!$P:$Q,2,0)),"_PB|",(VLOOKUP(E629,Dictionary!$G:$H,2,0)),"_FM|",(VLOOKUP(F629,Dictionary!$S:$T,2,0)),"_RT|",(VLOOKUP(G629,Dictionary!$V:$W,2,0)),"_PD|",SUBSTITUTE(SUBSTITUTE(IF(H629="","NONE",H629),"_","-"),"|","-"),"_TG|",(VLOOKUP(I629,Dictionary!$J:$K,2,0)),"_ST|",(VLOOKUP(J629,Dictionary!$M:$N,2,0)),"_TS|",SUBSTITUTE(SUBSTITUTE(IF(K629="","NONE",K629),"_","-"),"|","-"),"_SZ|",(VLOOKUP(L629,Dictionary!$Y:$Z,1,0)),"_AD|",(VLOOKUP(M629,Dictionary!$AB:$AC,2,0)),"_IT|",(VLOOKUP(N629,Dictionary!$BC:$BD,2,0)),IF(O629="","",CONCATENATE("_U1|",SUBSTITUTE(SUBSTITUTE(O629,"_","-"),"|","-"))),IF(P629="","",CONCATENATE("_U2|",SUBSTITUTE(SUBSTITUTE(P629,"_","-"),"|","-"))),IF(Q629="","",CONCATENATE("_U3|",SUBSTITUTE(SUBSTITUTE(Q629,"_","-"),"|","-")))))</f>
        <v>#N/A</v>
      </c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3" t="str">
        <f>IF(K630="----","#N/A",CONCATENATE("MK|",(VLOOKUP(B630,Dictionary!$A:$B,2,0)),"_CH|",(VLOOKUP(C630,Dictionary!$AV:$AW,2,0)),"_DT|",(VLOOKUP(D630,Dictionary!$P:$Q,2,0)),"_PB|",(VLOOKUP(E630,Dictionary!$G:$H,2,0)),"_FM|",(VLOOKUP(F630,Dictionary!$S:$T,2,0)),"_RT|",(VLOOKUP(G630,Dictionary!$V:$W,2,0)),"_PD|",SUBSTITUTE(SUBSTITUTE(IF(H630="","NONE",H630),"_","-"),"|","-"),"_TG|",(VLOOKUP(I630,Dictionary!$J:$K,2,0)),"_ST|",(VLOOKUP(J630,Dictionary!$M:$N,2,0)),"_TS|",SUBSTITUTE(SUBSTITUTE(IF(K630="","NONE",K630),"_","-"),"|","-"),"_SZ|",(VLOOKUP(L630,Dictionary!$Y:$Z,1,0)),"_AD|",(VLOOKUP(M630,Dictionary!$AB:$AC,2,0)),"_IT|",(VLOOKUP(N630,Dictionary!$BC:$BD,2,0)),IF(O630="","",CONCATENATE("_U1|",SUBSTITUTE(SUBSTITUTE(O630,"_","-"),"|","-"))),IF(P630="","",CONCATENATE("_U2|",SUBSTITUTE(SUBSTITUTE(P630,"_","-"),"|","-"))),IF(Q630="","",CONCATENATE("_U3|",SUBSTITUTE(SUBSTITUTE(Q630,"_","-"),"|","-")))))</f>
        <v>#N/A</v>
      </c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3" t="str">
        <f>IF(K631="----","#N/A",CONCATENATE("MK|",(VLOOKUP(B631,Dictionary!$A:$B,2,0)),"_CH|",(VLOOKUP(C631,Dictionary!$AV:$AW,2,0)),"_DT|",(VLOOKUP(D631,Dictionary!$P:$Q,2,0)),"_PB|",(VLOOKUP(E631,Dictionary!$G:$H,2,0)),"_FM|",(VLOOKUP(F631,Dictionary!$S:$T,2,0)),"_RT|",(VLOOKUP(G631,Dictionary!$V:$W,2,0)),"_PD|",SUBSTITUTE(SUBSTITUTE(IF(H631="","NONE",H631),"_","-"),"|","-"),"_TG|",(VLOOKUP(I631,Dictionary!$J:$K,2,0)),"_ST|",(VLOOKUP(J631,Dictionary!$M:$N,2,0)),"_TS|",SUBSTITUTE(SUBSTITUTE(IF(K631="","NONE",K631),"_","-"),"|","-"),"_SZ|",(VLOOKUP(L631,Dictionary!$Y:$Z,1,0)),"_AD|",(VLOOKUP(M631,Dictionary!$AB:$AC,2,0)),"_IT|",(VLOOKUP(N631,Dictionary!$BC:$BD,2,0)),IF(O631="","",CONCATENATE("_U1|",SUBSTITUTE(SUBSTITUTE(O631,"_","-"),"|","-"))),IF(P631="","",CONCATENATE("_U2|",SUBSTITUTE(SUBSTITUTE(P631,"_","-"),"|","-"))),IF(Q631="","",CONCATENATE("_U3|",SUBSTITUTE(SUBSTITUTE(Q631,"_","-"),"|","-")))))</f>
        <v>#N/A</v>
      </c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3" t="str">
        <f>IF(K632="----","#N/A",CONCATENATE("MK|",(VLOOKUP(B632,Dictionary!$A:$B,2,0)),"_CH|",(VLOOKUP(C632,Dictionary!$AV:$AW,2,0)),"_DT|",(VLOOKUP(D632,Dictionary!$P:$Q,2,0)),"_PB|",(VLOOKUP(E632,Dictionary!$G:$H,2,0)),"_FM|",(VLOOKUP(F632,Dictionary!$S:$T,2,0)),"_RT|",(VLOOKUP(G632,Dictionary!$V:$W,2,0)),"_PD|",SUBSTITUTE(SUBSTITUTE(IF(H632="","NONE",H632),"_","-"),"|","-"),"_TG|",(VLOOKUP(I632,Dictionary!$J:$K,2,0)),"_ST|",(VLOOKUP(J632,Dictionary!$M:$N,2,0)),"_TS|",SUBSTITUTE(SUBSTITUTE(IF(K632="","NONE",K632),"_","-"),"|","-"),"_SZ|",(VLOOKUP(L632,Dictionary!$Y:$Z,1,0)),"_AD|",(VLOOKUP(M632,Dictionary!$AB:$AC,2,0)),"_IT|",(VLOOKUP(N632,Dictionary!$BC:$BD,2,0)),IF(O632="","",CONCATENATE("_U1|",SUBSTITUTE(SUBSTITUTE(O632,"_","-"),"|","-"))),IF(P632="","",CONCATENATE("_U2|",SUBSTITUTE(SUBSTITUTE(P632,"_","-"),"|","-"))),IF(Q632="","",CONCATENATE("_U3|",SUBSTITUTE(SUBSTITUTE(Q632,"_","-"),"|","-")))))</f>
        <v>#N/A</v>
      </c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3" t="str">
        <f>IF(K633="----","#N/A",CONCATENATE("MK|",(VLOOKUP(B633,Dictionary!$A:$B,2,0)),"_CH|",(VLOOKUP(C633,Dictionary!$AV:$AW,2,0)),"_DT|",(VLOOKUP(D633,Dictionary!$P:$Q,2,0)),"_PB|",(VLOOKUP(E633,Dictionary!$G:$H,2,0)),"_FM|",(VLOOKUP(F633,Dictionary!$S:$T,2,0)),"_RT|",(VLOOKUP(G633,Dictionary!$V:$W,2,0)),"_PD|",SUBSTITUTE(SUBSTITUTE(IF(H633="","NONE",H633),"_","-"),"|","-"),"_TG|",(VLOOKUP(I633,Dictionary!$J:$K,2,0)),"_ST|",(VLOOKUP(J633,Dictionary!$M:$N,2,0)),"_TS|",SUBSTITUTE(SUBSTITUTE(IF(K633="","NONE",K633),"_","-"),"|","-"),"_SZ|",(VLOOKUP(L633,Dictionary!$Y:$Z,1,0)),"_AD|",(VLOOKUP(M633,Dictionary!$AB:$AC,2,0)),"_IT|",(VLOOKUP(N633,Dictionary!$BC:$BD,2,0)),IF(O633="","",CONCATENATE("_U1|",SUBSTITUTE(SUBSTITUTE(O633,"_","-"),"|","-"))),IF(P633="","",CONCATENATE("_U2|",SUBSTITUTE(SUBSTITUTE(P633,"_","-"),"|","-"))),IF(Q633="","",CONCATENATE("_U3|",SUBSTITUTE(SUBSTITUTE(Q633,"_","-"),"|","-")))))</f>
        <v>#N/A</v>
      </c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3" t="str">
        <f>IF(K634="----","#N/A",CONCATENATE("MK|",(VLOOKUP(B634,Dictionary!$A:$B,2,0)),"_CH|",(VLOOKUP(C634,Dictionary!$AV:$AW,2,0)),"_DT|",(VLOOKUP(D634,Dictionary!$P:$Q,2,0)),"_PB|",(VLOOKUP(E634,Dictionary!$G:$H,2,0)),"_FM|",(VLOOKUP(F634,Dictionary!$S:$T,2,0)),"_RT|",(VLOOKUP(G634,Dictionary!$V:$W,2,0)),"_PD|",SUBSTITUTE(SUBSTITUTE(IF(H634="","NONE",H634),"_","-"),"|","-"),"_TG|",(VLOOKUP(I634,Dictionary!$J:$K,2,0)),"_ST|",(VLOOKUP(J634,Dictionary!$M:$N,2,0)),"_TS|",SUBSTITUTE(SUBSTITUTE(IF(K634="","NONE",K634),"_","-"),"|","-"),"_SZ|",(VLOOKUP(L634,Dictionary!$Y:$Z,1,0)),"_AD|",(VLOOKUP(M634,Dictionary!$AB:$AC,2,0)),"_IT|",(VLOOKUP(N634,Dictionary!$BC:$BD,2,0)),IF(O634="","",CONCATENATE("_U1|",SUBSTITUTE(SUBSTITUTE(O634,"_","-"),"|","-"))),IF(P634="","",CONCATENATE("_U2|",SUBSTITUTE(SUBSTITUTE(P634,"_","-"),"|","-"))),IF(Q634="","",CONCATENATE("_U3|",SUBSTITUTE(SUBSTITUTE(Q634,"_","-"),"|","-")))))</f>
        <v>#N/A</v>
      </c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3" t="str">
        <f>IF(K635="----","#N/A",CONCATENATE("MK|",(VLOOKUP(B635,Dictionary!$A:$B,2,0)),"_CH|",(VLOOKUP(C635,Dictionary!$AV:$AW,2,0)),"_DT|",(VLOOKUP(D635,Dictionary!$P:$Q,2,0)),"_PB|",(VLOOKUP(E635,Dictionary!$G:$H,2,0)),"_FM|",(VLOOKUP(F635,Dictionary!$S:$T,2,0)),"_RT|",(VLOOKUP(G635,Dictionary!$V:$W,2,0)),"_PD|",SUBSTITUTE(SUBSTITUTE(IF(H635="","NONE",H635),"_","-"),"|","-"),"_TG|",(VLOOKUP(I635,Dictionary!$J:$K,2,0)),"_ST|",(VLOOKUP(J635,Dictionary!$M:$N,2,0)),"_TS|",SUBSTITUTE(SUBSTITUTE(IF(K635="","NONE",K635),"_","-"),"|","-"),"_SZ|",(VLOOKUP(L635,Dictionary!$Y:$Z,1,0)),"_AD|",(VLOOKUP(M635,Dictionary!$AB:$AC,2,0)),"_IT|",(VLOOKUP(N635,Dictionary!$BC:$BD,2,0)),IF(O635="","",CONCATENATE("_U1|",SUBSTITUTE(SUBSTITUTE(O635,"_","-"),"|","-"))),IF(P635="","",CONCATENATE("_U2|",SUBSTITUTE(SUBSTITUTE(P635,"_","-"),"|","-"))),IF(Q635="","",CONCATENATE("_U3|",SUBSTITUTE(SUBSTITUTE(Q635,"_","-"),"|","-")))))</f>
        <v>#N/A</v>
      </c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3" t="str">
        <f>IF(K636="----","#N/A",CONCATENATE("MK|",(VLOOKUP(B636,Dictionary!$A:$B,2,0)),"_CH|",(VLOOKUP(C636,Dictionary!$AV:$AW,2,0)),"_DT|",(VLOOKUP(D636,Dictionary!$P:$Q,2,0)),"_PB|",(VLOOKUP(E636,Dictionary!$G:$H,2,0)),"_FM|",(VLOOKUP(F636,Dictionary!$S:$T,2,0)),"_RT|",(VLOOKUP(G636,Dictionary!$V:$W,2,0)),"_PD|",SUBSTITUTE(SUBSTITUTE(IF(H636="","NONE",H636),"_","-"),"|","-"),"_TG|",(VLOOKUP(I636,Dictionary!$J:$K,2,0)),"_ST|",(VLOOKUP(J636,Dictionary!$M:$N,2,0)),"_TS|",SUBSTITUTE(SUBSTITUTE(IF(K636="","NONE",K636),"_","-"),"|","-"),"_SZ|",(VLOOKUP(L636,Dictionary!$Y:$Z,1,0)),"_AD|",(VLOOKUP(M636,Dictionary!$AB:$AC,2,0)),"_IT|",(VLOOKUP(N636,Dictionary!$BC:$BD,2,0)),IF(O636="","",CONCATENATE("_U1|",SUBSTITUTE(SUBSTITUTE(O636,"_","-"),"|","-"))),IF(P636="","",CONCATENATE("_U2|",SUBSTITUTE(SUBSTITUTE(P636,"_","-"),"|","-"))),IF(Q636="","",CONCATENATE("_U3|",SUBSTITUTE(SUBSTITUTE(Q636,"_","-"),"|","-")))))</f>
        <v>#N/A</v>
      </c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3" t="str">
        <f>IF(K637="----","#N/A",CONCATENATE("MK|",(VLOOKUP(B637,Dictionary!$A:$B,2,0)),"_CH|",(VLOOKUP(C637,Dictionary!$AV:$AW,2,0)),"_DT|",(VLOOKUP(D637,Dictionary!$P:$Q,2,0)),"_PB|",(VLOOKUP(E637,Dictionary!$G:$H,2,0)),"_FM|",(VLOOKUP(F637,Dictionary!$S:$T,2,0)),"_RT|",(VLOOKUP(G637,Dictionary!$V:$W,2,0)),"_PD|",SUBSTITUTE(SUBSTITUTE(IF(H637="","NONE",H637),"_","-"),"|","-"),"_TG|",(VLOOKUP(I637,Dictionary!$J:$K,2,0)),"_ST|",(VLOOKUP(J637,Dictionary!$M:$N,2,0)),"_TS|",SUBSTITUTE(SUBSTITUTE(IF(K637="","NONE",K637),"_","-"),"|","-"),"_SZ|",(VLOOKUP(L637,Dictionary!$Y:$Z,1,0)),"_AD|",(VLOOKUP(M637,Dictionary!$AB:$AC,2,0)),"_IT|",(VLOOKUP(N637,Dictionary!$BC:$BD,2,0)),IF(O637="","",CONCATENATE("_U1|",SUBSTITUTE(SUBSTITUTE(O637,"_","-"),"|","-"))),IF(P637="","",CONCATENATE("_U2|",SUBSTITUTE(SUBSTITUTE(P637,"_","-"),"|","-"))),IF(Q637="","",CONCATENATE("_U3|",SUBSTITUTE(SUBSTITUTE(Q637,"_","-"),"|","-")))))</f>
        <v>#N/A</v>
      </c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3" t="str">
        <f>IF(K638="----","#N/A",CONCATENATE("MK|",(VLOOKUP(B638,Dictionary!$A:$B,2,0)),"_CH|",(VLOOKUP(C638,Dictionary!$AV:$AW,2,0)),"_DT|",(VLOOKUP(D638,Dictionary!$P:$Q,2,0)),"_PB|",(VLOOKUP(E638,Dictionary!$G:$H,2,0)),"_FM|",(VLOOKUP(F638,Dictionary!$S:$T,2,0)),"_RT|",(VLOOKUP(G638,Dictionary!$V:$W,2,0)),"_PD|",SUBSTITUTE(SUBSTITUTE(IF(H638="","NONE",H638),"_","-"),"|","-"),"_TG|",(VLOOKUP(I638,Dictionary!$J:$K,2,0)),"_ST|",(VLOOKUP(J638,Dictionary!$M:$N,2,0)),"_TS|",SUBSTITUTE(SUBSTITUTE(IF(K638="","NONE",K638),"_","-"),"|","-"),"_SZ|",(VLOOKUP(L638,Dictionary!$Y:$Z,1,0)),"_AD|",(VLOOKUP(M638,Dictionary!$AB:$AC,2,0)),"_IT|",(VLOOKUP(N638,Dictionary!$BC:$BD,2,0)),IF(O638="","",CONCATENATE("_U1|",SUBSTITUTE(SUBSTITUTE(O638,"_","-"),"|","-"))),IF(P638="","",CONCATENATE("_U2|",SUBSTITUTE(SUBSTITUTE(P638,"_","-"),"|","-"))),IF(Q638="","",CONCATENATE("_U3|",SUBSTITUTE(SUBSTITUTE(Q638,"_","-"),"|","-")))))</f>
        <v>#N/A</v>
      </c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3" t="str">
        <f>IF(K639="----","#N/A",CONCATENATE("MK|",(VLOOKUP(B639,Dictionary!$A:$B,2,0)),"_CH|",(VLOOKUP(C639,Dictionary!$AV:$AW,2,0)),"_DT|",(VLOOKUP(D639,Dictionary!$P:$Q,2,0)),"_PB|",(VLOOKUP(E639,Dictionary!$G:$H,2,0)),"_FM|",(VLOOKUP(F639,Dictionary!$S:$T,2,0)),"_RT|",(VLOOKUP(G639,Dictionary!$V:$W,2,0)),"_PD|",SUBSTITUTE(SUBSTITUTE(IF(H639="","NONE",H639),"_","-"),"|","-"),"_TG|",(VLOOKUP(I639,Dictionary!$J:$K,2,0)),"_ST|",(VLOOKUP(J639,Dictionary!$M:$N,2,0)),"_TS|",SUBSTITUTE(SUBSTITUTE(IF(K639="","NONE",K639),"_","-"),"|","-"),"_SZ|",(VLOOKUP(L639,Dictionary!$Y:$Z,1,0)),"_AD|",(VLOOKUP(M639,Dictionary!$AB:$AC,2,0)),"_IT|",(VLOOKUP(N639,Dictionary!$BC:$BD,2,0)),IF(O639="","",CONCATENATE("_U1|",SUBSTITUTE(SUBSTITUTE(O639,"_","-"),"|","-"))),IF(P639="","",CONCATENATE("_U2|",SUBSTITUTE(SUBSTITUTE(P639,"_","-"),"|","-"))),IF(Q639="","",CONCATENATE("_U3|",SUBSTITUTE(SUBSTITUTE(Q639,"_","-"),"|","-")))))</f>
        <v>#N/A</v>
      </c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3" t="str">
        <f>IF(K640="----","#N/A",CONCATENATE("MK|",(VLOOKUP(B640,Dictionary!$A:$B,2,0)),"_CH|",(VLOOKUP(C640,Dictionary!$AV:$AW,2,0)),"_DT|",(VLOOKUP(D640,Dictionary!$P:$Q,2,0)),"_PB|",(VLOOKUP(E640,Dictionary!$G:$H,2,0)),"_FM|",(VLOOKUP(F640,Dictionary!$S:$T,2,0)),"_RT|",(VLOOKUP(G640,Dictionary!$V:$W,2,0)),"_PD|",SUBSTITUTE(SUBSTITUTE(IF(H640="","NONE",H640),"_","-"),"|","-"),"_TG|",(VLOOKUP(I640,Dictionary!$J:$K,2,0)),"_ST|",(VLOOKUP(J640,Dictionary!$M:$N,2,0)),"_TS|",SUBSTITUTE(SUBSTITUTE(IF(K640="","NONE",K640),"_","-"),"|","-"),"_SZ|",(VLOOKUP(L640,Dictionary!$Y:$Z,1,0)),"_AD|",(VLOOKUP(M640,Dictionary!$AB:$AC,2,0)),"_IT|",(VLOOKUP(N640,Dictionary!$BC:$BD,2,0)),IF(O640="","",CONCATENATE("_U1|",SUBSTITUTE(SUBSTITUTE(O640,"_","-"),"|","-"))),IF(P640="","",CONCATENATE("_U2|",SUBSTITUTE(SUBSTITUTE(P640,"_","-"),"|","-"))),IF(Q640="","",CONCATENATE("_U3|",SUBSTITUTE(SUBSTITUTE(Q640,"_","-"),"|","-")))))</f>
        <v>#N/A</v>
      </c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3" t="str">
        <f>IF(K641="----","#N/A",CONCATENATE("MK|",(VLOOKUP(B641,Dictionary!$A:$B,2,0)),"_CH|",(VLOOKUP(C641,Dictionary!$AV:$AW,2,0)),"_DT|",(VLOOKUP(D641,Dictionary!$P:$Q,2,0)),"_PB|",(VLOOKUP(E641,Dictionary!$G:$H,2,0)),"_FM|",(VLOOKUP(F641,Dictionary!$S:$T,2,0)),"_RT|",(VLOOKUP(G641,Dictionary!$V:$W,2,0)),"_PD|",SUBSTITUTE(SUBSTITUTE(IF(H641="","NONE",H641),"_","-"),"|","-"),"_TG|",(VLOOKUP(I641,Dictionary!$J:$K,2,0)),"_ST|",(VLOOKUP(J641,Dictionary!$M:$N,2,0)),"_TS|",SUBSTITUTE(SUBSTITUTE(IF(K641="","NONE",K641),"_","-"),"|","-"),"_SZ|",(VLOOKUP(L641,Dictionary!$Y:$Z,1,0)),"_AD|",(VLOOKUP(M641,Dictionary!$AB:$AC,2,0)),"_IT|",(VLOOKUP(N641,Dictionary!$BC:$BD,2,0)),IF(O641="","",CONCATENATE("_U1|",SUBSTITUTE(SUBSTITUTE(O641,"_","-"),"|","-"))),IF(P641="","",CONCATENATE("_U2|",SUBSTITUTE(SUBSTITUTE(P641,"_","-"),"|","-"))),IF(Q641="","",CONCATENATE("_U3|",SUBSTITUTE(SUBSTITUTE(Q641,"_","-"),"|","-")))))</f>
        <v>#N/A</v>
      </c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3" t="str">
        <f>IF(K642="----","#N/A",CONCATENATE("MK|",(VLOOKUP(B642,Dictionary!$A:$B,2,0)),"_CH|",(VLOOKUP(C642,Dictionary!$AV:$AW,2,0)),"_DT|",(VLOOKUP(D642,Dictionary!$P:$Q,2,0)),"_PB|",(VLOOKUP(E642,Dictionary!$G:$H,2,0)),"_FM|",(VLOOKUP(F642,Dictionary!$S:$T,2,0)),"_RT|",(VLOOKUP(G642,Dictionary!$V:$W,2,0)),"_PD|",SUBSTITUTE(SUBSTITUTE(IF(H642="","NONE",H642),"_","-"),"|","-"),"_TG|",(VLOOKUP(I642,Dictionary!$J:$K,2,0)),"_ST|",(VLOOKUP(J642,Dictionary!$M:$N,2,0)),"_TS|",SUBSTITUTE(SUBSTITUTE(IF(K642="","NONE",K642),"_","-"),"|","-"),"_SZ|",(VLOOKUP(L642,Dictionary!$Y:$Z,1,0)),"_AD|",(VLOOKUP(M642,Dictionary!$AB:$AC,2,0)),"_IT|",(VLOOKUP(N642,Dictionary!$BC:$BD,2,0)),IF(O642="","",CONCATENATE("_U1|",SUBSTITUTE(SUBSTITUTE(O642,"_","-"),"|","-"))),IF(P642="","",CONCATENATE("_U2|",SUBSTITUTE(SUBSTITUTE(P642,"_","-"),"|","-"))),IF(Q642="","",CONCATENATE("_U3|",SUBSTITUTE(SUBSTITUTE(Q642,"_","-"),"|","-")))))</f>
        <v>#N/A</v>
      </c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3" t="str">
        <f>IF(K643="----","#N/A",CONCATENATE("MK|",(VLOOKUP(B643,Dictionary!$A:$B,2,0)),"_CH|",(VLOOKUP(C643,Dictionary!$AV:$AW,2,0)),"_DT|",(VLOOKUP(D643,Dictionary!$P:$Q,2,0)),"_PB|",(VLOOKUP(E643,Dictionary!$G:$H,2,0)),"_FM|",(VLOOKUP(F643,Dictionary!$S:$T,2,0)),"_RT|",(VLOOKUP(G643,Dictionary!$V:$W,2,0)),"_PD|",SUBSTITUTE(SUBSTITUTE(IF(H643="","NONE",H643),"_","-"),"|","-"),"_TG|",(VLOOKUP(I643,Dictionary!$J:$K,2,0)),"_ST|",(VLOOKUP(J643,Dictionary!$M:$N,2,0)),"_TS|",SUBSTITUTE(SUBSTITUTE(IF(K643="","NONE",K643),"_","-"),"|","-"),"_SZ|",(VLOOKUP(L643,Dictionary!$Y:$Z,1,0)),"_AD|",(VLOOKUP(M643,Dictionary!$AB:$AC,2,0)),"_IT|",(VLOOKUP(N643,Dictionary!$BC:$BD,2,0)),IF(O643="","",CONCATENATE("_U1|",SUBSTITUTE(SUBSTITUTE(O643,"_","-"),"|","-"))),IF(P643="","",CONCATENATE("_U2|",SUBSTITUTE(SUBSTITUTE(P643,"_","-"),"|","-"))),IF(Q643="","",CONCATENATE("_U3|",SUBSTITUTE(SUBSTITUTE(Q643,"_","-"),"|","-")))))</f>
        <v>#N/A</v>
      </c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3" t="str">
        <f>IF(K644="----","#N/A",CONCATENATE("MK|",(VLOOKUP(B644,Dictionary!$A:$B,2,0)),"_CH|",(VLOOKUP(C644,Dictionary!$AV:$AW,2,0)),"_DT|",(VLOOKUP(D644,Dictionary!$P:$Q,2,0)),"_PB|",(VLOOKUP(E644,Dictionary!$G:$H,2,0)),"_FM|",(VLOOKUP(F644,Dictionary!$S:$T,2,0)),"_RT|",(VLOOKUP(G644,Dictionary!$V:$W,2,0)),"_PD|",SUBSTITUTE(SUBSTITUTE(IF(H644="","NONE",H644),"_","-"),"|","-"),"_TG|",(VLOOKUP(I644,Dictionary!$J:$K,2,0)),"_ST|",(VLOOKUP(J644,Dictionary!$M:$N,2,0)),"_TS|",SUBSTITUTE(SUBSTITUTE(IF(K644="","NONE",K644),"_","-"),"|","-"),"_SZ|",(VLOOKUP(L644,Dictionary!$Y:$Z,1,0)),"_AD|",(VLOOKUP(M644,Dictionary!$AB:$AC,2,0)),"_IT|",(VLOOKUP(N644,Dictionary!$BC:$BD,2,0)),IF(O644="","",CONCATENATE("_U1|",SUBSTITUTE(SUBSTITUTE(O644,"_","-"),"|","-"))),IF(P644="","",CONCATENATE("_U2|",SUBSTITUTE(SUBSTITUTE(P644,"_","-"),"|","-"))),IF(Q644="","",CONCATENATE("_U3|",SUBSTITUTE(SUBSTITUTE(Q644,"_","-"),"|","-")))))</f>
        <v>#N/A</v>
      </c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3" t="str">
        <f>IF(K645="----","#N/A",CONCATENATE("MK|",(VLOOKUP(B645,Dictionary!$A:$B,2,0)),"_CH|",(VLOOKUP(C645,Dictionary!$AV:$AW,2,0)),"_DT|",(VLOOKUP(D645,Dictionary!$P:$Q,2,0)),"_PB|",(VLOOKUP(E645,Dictionary!$G:$H,2,0)),"_FM|",(VLOOKUP(F645,Dictionary!$S:$T,2,0)),"_RT|",(VLOOKUP(G645,Dictionary!$V:$W,2,0)),"_PD|",SUBSTITUTE(SUBSTITUTE(IF(H645="","NONE",H645),"_","-"),"|","-"),"_TG|",(VLOOKUP(I645,Dictionary!$J:$K,2,0)),"_ST|",(VLOOKUP(J645,Dictionary!$M:$N,2,0)),"_TS|",SUBSTITUTE(SUBSTITUTE(IF(K645="","NONE",K645),"_","-"),"|","-"),"_SZ|",(VLOOKUP(L645,Dictionary!$Y:$Z,1,0)),"_AD|",(VLOOKUP(M645,Dictionary!$AB:$AC,2,0)),"_IT|",(VLOOKUP(N645,Dictionary!$BC:$BD,2,0)),IF(O645="","",CONCATENATE("_U1|",SUBSTITUTE(SUBSTITUTE(O645,"_","-"),"|","-"))),IF(P645="","",CONCATENATE("_U2|",SUBSTITUTE(SUBSTITUTE(P645,"_","-"),"|","-"))),IF(Q645="","",CONCATENATE("_U3|",SUBSTITUTE(SUBSTITUTE(Q645,"_","-"),"|","-")))))</f>
        <v>#N/A</v>
      </c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3" t="str">
        <f>IF(K646="----","#N/A",CONCATENATE("MK|",(VLOOKUP(B646,Dictionary!$A:$B,2,0)),"_CH|",(VLOOKUP(C646,Dictionary!$AV:$AW,2,0)),"_DT|",(VLOOKUP(D646,Dictionary!$P:$Q,2,0)),"_PB|",(VLOOKUP(E646,Dictionary!$G:$H,2,0)),"_FM|",(VLOOKUP(F646,Dictionary!$S:$T,2,0)),"_RT|",(VLOOKUP(G646,Dictionary!$V:$W,2,0)),"_PD|",SUBSTITUTE(SUBSTITUTE(IF(H646="","NONE",H646),"_","-"),"|","-"),"_TG|",(VLOOKUP(I646,Dictionary!$J:$K,2,0)),"_ST|",(VLOOKUP(J646,Dictionary!$M:$N,2,0)),"_TS|",SUBSTITUTE(SUBSTITUTE(IF(K646="","NONE",K646),"_","-"),"|","-"),"_SZ|",(VLOOKUP(L646,Dictionary!$Y:$Z,1,0)),"_AD|",(VLOOKUP(M646,Dictionary!$AB:$AC,2,0)),"_IT|",(VLOOKUP(N646,Dictionary!$BC:$BD,2,0)),IF(O646="","",CONCATENATE("_U1|",SUBSTITUTE(SUBSTITUTE(O646,"_","-"),"|","-"))),IF(P646="","",CONCATENATE("_U2|",SUBSTITUTE(SUBSTITUTE(P646,"_","-"),"|","-"))),IF(Q646="","",CONCATENATE("_U3|",SUBSTITUTE(SUBSTITUTE(Q646,"_","-"),"|","-")))))</f>
        <v>#N/A</v>
      </c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3" t="str">
        <f>IF(K647="----","#N/A",CONCATENATE("MK|",(VLOOKUP(B647,Dictionary!$A:$B,2,0)),"_CH|",(VLOOKUP(C647,Dictionary!$AV:$AW,2,0)),"_DT|",(VLOOKUP(D647,Dictionary!$P:$Q,2,0)),"_PB|",(VLOOKUP(E647,Dictionary!$G:$H,2,0)),"_FM|",(VLOOKUP(F647,Dictionary!$S:$T,2,0)),"_RT|",(VLOOKUP(G647,Dictionary!$V:$W,2,0)),"_PD|",SUBSTITUTE(SUBSTITUTE(IF(H647="","NONE",H647),"_","-"),"|","-"),"_TG|",(VLOOKUP(I647,Dictionary!$J:$K,2,0)),"_ST|",(VLOOKUP(J647,Dictionary!$M:$N,2,0)),"_TS|",SUBSTITUTE(SUBSTITUTE(IF(K647="","NONE",K647),"_","-"),"|","-"),"_SZ|",(VLOOKUP(L647,Dictionary!$Y:$Z,1,0)),"_AD|",(VLOOKUP(M647,Dictionary!$AB:$AC,2,0)),"_IT|",(VLOOKUP(N647,Dictionary!$BC:$BD,2,0)),IF(O647="","",CONCATENATE("_U1|",SUBSTITUTE(SUBSTITUTE(O647,"_","-"),"|","-"))),IF(P647="","",CONCATENATE("_U2|",SUBSTITUTE(SUBSTITUTE(P647,"_","-"),"|","-"))),IF(Q647="","",CONCATENATE("_U3|",SUBSTITUTE(SUBSTITUTE(Q647,"_","-"),"|","-")))))</f>
        <v>#N/A</v>
      </c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3" t="str">
        <f>IF(K648="----","#N/A",CONCATENATE("MK|",(VLOOKUP(B648,Dictionary!$A:$B,2,0)),"_CH|",(VLOOKUP(C648,Dictionary!$AV:$AW,2,0)),"_DT|",(VLOOKUP(D648,Dictionary!$P:$Q,2,0)),"_PB|",(VLOOKUP(E648,Dictionary!$G:$H,2,0)),"_FM|",(VLOOKUP(F648,Dictionary!$S:$T,2,0)),"_RT|",(VLOOKUP(G648,Dictionary!$V:$W,2,0)),"_PD|",SUBSTITUTE(SUBSTITUTE(IF(H648="","NONE",H648),"_","-"),"|","-"),"_TG|",(VLOOKUP(I648,Dictionary!$J:$K,2,0)),"_ST|",(VLOOKUP(J648,Dictionary!$M:$N,2,0)),"_TS|",SUBSTITUTE(SUBSTITUTE(IF(K648="","NONE",K648),"_","-"),"|","-"),"_SZ|",(VLOOKUP(L648,Dictionary!$Y:$Z,1,0)),"_AD|",(VLOOKUP(M648,Dictionary!$AB:$AC,2,0)),"_IT|",(VLOOKUP(N648,Dictionary!$BC:$BD,2,0)),IF(O648="","",CONCATENATE("_U1|",SUBSTITUTE(SUBSTITUTE(O648,"_","-"),"|","-"))),IF(P648="","",CONCATENATE("_U2|",SUBSTITUTE(SUBSTITUTE(P648,"_","-"),"|","-"))),IF(Q648="","",CONCATENATE("_U3|",SUBSTITUTE(SUBSTITUTE(Q648,"_","-"),"|","-")))))</f>
        <v>#N/A</v>
      </c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3" t="str">
        <f>IF(K649="----","#N/A",CONCATENATE("MK|",(VLOOKUP(B649,Dictionary!$A:$B,2,0)),"_CH|",(VLOOKUP(C649,Dictionary!$AV:$AW,2,0)),"_DT|",(VLOOKUP(D649,Dictionary!$P:$Q,2,0)),"_PB|",(VLOOKUP(E649,Dictionary!$G:$H,2,0)),"_FM|",(VLOOKUP(F649,Dictionary!$S:$T,2,0)),"_RT|",(VLOOKUP(G649,Dictionary!$V:$W,2,0)),"_PD|",SUBSTITUTE(SUBSTITUTE(IF(H649="","NONE",H649),"_","-"),"|","-"),"_TG|",(VLOOKUP(I649,Dictionary!$J:$K,2,0)),"_ST|",(VLOOKUP(J649,Dictionary!$M:$N,2,0)),"_TS|",SUBSTITUTE(SUBSTITUTE(IF(K649="","NONE",K649),"_","-"),"|","-"),"_SZ|",(VLOOKUP(L649,Dictionary!$Y:$Z,1,0)),"_AD|",(VLOOKUP(M649,Dictionary!$AB:$AC,2,0)),"_IT|",(VLOOKUP(N649,Dictionary!$BC:$BD,2,0)),IF(O649="","",CONCATENATE("_U1|",SUBSTITUTE(SUBSTITUTE(O649,"_","-"),"|","-"))),IF(P649="","",CONCATENATE("_U2|",SUBSTITUTE(SUBSTITUTE(P649,"_","-"),"|","-"))),IF(Q649="","",CONCATENATE("_U3|",SUBSTITUTE(SUBSTITUTE(Q649,"_","-"),"|","-")))))</f>
        <v>#N/A</v>
      </c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3" t="str">
        <f>IF(K650="----","#N/A",CONCATENATE("MK|",(VLOOKUP(B650,Dictionary!$A:$B,2,0)),"_CH|",(VLOOKUP(C650,Dictionary!$AV:$AW,2,0)),"_DT|",(VLOOKUP(D650,Dictionary!$P:$Q,2,0)),"_PB|",(VLOOKUP(E650,Dictionary!$G:$H,2,0)),"_FM|",(VLOOKUP(F650,Dictionary!$S:$T,2,0)),"_RT|",(VLOOKUP(G650,Dictionary!$V:$W,2,0)),"_PD|",SUBSTITUTE(SUBSTITUTE(IF(H650="","NONE",H650),"_","-"),"|","-"),"_TG|",(VLOOKUP(I650,Dictionary!$J:$K,2,0)),"_ST|",(VLOOKUP(J650,Dictionary!$M:$N,2,0)),"_TS|",SUBSTITUTE(SUBSTITUTE(IF(K650="","NONE",K650),"_","-"),"|","-"),"_SZ|",(VLOOKUP(L650,Dictionary!$Y:$Z,1,0)),"_AD|",(VLOOKUP(M650,Dictionary!$AB:$AC,2,0)),"_IT|",(VLOOKUP(N650,Dictionary!$BC:$BD,2,0)),IF(O650="","",CONCATENATE("_U1|",SUBSTITUTE(SUBSTITUTE(O650,"_","-"),"|","-"))),IF(P650="","",CONCATENATE("_U2|",SUBSTITUTE(SUBSTITUTE(P650,"_","-"),"|","-"))),IF(Q650="","",CONCATENATE("_U3|",SUBSTITUTE(SUBSTITUTE(Q650,"_","-"),"|","-")))))</f>
        <v>#N/A</v>
      </c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3" t="str">
        <f>IF(K651="----","#N/A",CONCATENATE("MK|",(VLOOKUP(B651,Dictionary!$A:$B,2,0)),"_CH|",(VLOOKUP(C651,Dictionary!$AV:$AW,2,0)),"_DT|",(VLOOKUP(D651,Dictionary!$P:$Q,2,0)),"_PB|",(VLOOKUP(E651,Dictionary!$G:$H,2,0)),"_FM|",(VLOOKUP(F651,Dictionary!$S:$T,2,0)),"_RT|",(VLOOKUP(G651,Dictionary!$V:$W,2,0)),"_PD|",SUBSTITUTE(SUBSTITUTE(IF(H651="","NONE",H651),"_","-"),"|","-"),"_TG|",(VLOOKUP(I651,Dictionary!$J:$K,2,0)),"_ST|",(VLOOKUP(J651,Dictionary!$M:$N,2,0)),"_TS|",SUBSTITUTE(SUBSTITUTE(IF(K651="","NONE",K651),"_","-"),"|","-"),"_SZ|",(VLOOKUP(L651,Dictionary!$Y:$Z,1,0)),"_AD|",(VLOOKUP(M651,Dictionary!$AB:$AC,2,0)),"_IT|",(VLOOKUP(N651,Dictionary!$BC:$BD,2,0)),IF(O651="","",CONCATENATE("_U1|",SUBSTITUTE(SUBSTITUTE(O651,"_","-"),"|","-"))),IF(P651="","",CONCATENATE("_U2|",SUBSTITUTE(SUBSTITUTE(P651,"_","-"),"|","-"))),IF(Q651="","",CONCATENATE("_U3|",SUBSTITUTE(SUBSTITUTE(Q651,"_","-"),"|","-")))))</f>
        <v>#N/A</v>
      </c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3" t="str">
        <f>IF(K652="----","#N/A",CONCATENATE("MK|",(VLOOKUP(B652,Dictionary!$A:$B,2,0)),"_CH|",(VLOOKUP(C652,Dictionary!$AV:$AW,2,0)),"_DT|",(VLOOKUP(D652,Dictionary!$P:$Q,2,0)),"_PB|",(VLOOKUP(E652,Dictionary!$G:$H,2,0)),"_FM|",(VLOOKUP(F652,Dictionary!$S:$T,2,0)),"_RT|",(VLOOKUP(G652,Dictionary!$V:$W,2,0)),"_PD|",SUBSTITUTE(SUBSTITUTE(IF(H652="","NONE",H652),"_","-"),"|","-"),"_TG|",(VLOOKUP(I652,Dictionary!$J:$K,2,0)),"_ST|",(VLOOKUP(J652,Dictionary!$M:$N,2,0)),"_TS|",SUBSTITUTE(SUBSTITUTE(IF(K652="","NONE",K652),"_","-"),"|","-"),"_SZ|",(VLOOKUP(L652,Dictionary!$Y:$Z,1,0)),"_AD|",(VLOOKUP(M652,Dictionary!$AB:$AC,2,0)),"_IT|",(VLOOKUP(N652,Dictionary!$BC:$BD,2,0)),IF(O652="","",CONCATENATE("_U1|",SUBSTITUTE(SUBSTITUTE(O652,"_","-"),"|","-"))),IF(P652="","",CONCATENATE("_U2|",SUBSTITUTE(SUBSTITUTE(P652,"_","-"),"|","-"))),IF(Q652="","",CONCATENATE("_U3|",SUBSTITUTE(SUBSTITUTE(Q652,"_","-"),"|","-")))))</f>
        <v>#N/A</v>
      </c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3" t="str">
        <f>IF(K653="----","#N/A",CONCATENATE("MK|",(VLOOKUP(B653,Dictionary!$A:$B,2,0)),"_CH|",(VLOOKUP(C653,Dictionary!$AV:$AW,2,0)),"_DT|",(VLOOKUP(D653,Dictionary!$P:$Q,2,0)),"_PB|",(VLOOKUP(E653,Dictionary!$G:$H,2,0)),"_FM|",(VLOOKUP(F653,Dictionary!$S:$T,2,0)),"_RT|",(VLOOKUP(G653,Dictionary!$V:$W,2,0)),"_PD|",SUBSTITUTE(SUBSTITUTE(IF(H653="","NONE",H653),"_","-"),"|","-"),"_TG|",(VLOOKUP(I653,Dictionary!$J:$K,2,0)),"_ST|",(VLOOKUP(J653,Dictionary!$M:$N,2,0)),"_TS|",SUBSTITUTE(SUBSTITUTE(IF(K653="","NONE",K653),"_","-"),"|","-"),"_SZ|",(VLOOKUP(L653,Dictionary!$Y:$Z,1,0)),"_AD|",(VLOOKUP(M653,Dictionary!$AB:$AC,2,0)),"_IT|",(VLOOKUP(N653,Dictionary!$BC:$BD,2,0)),IF(O653="","",CONCATENATE("_U1|",SUBSTITUTE(SUBSTITUTE(O653,"_","-"),"|","-"))),IF(P653="","",CONCATENATE("_U2|",SUBSTITUTE(SUBSTITUTE(P653,"_","-"),"|","-"))),IF(Q653="","",CONCATENATE("_U3|",SUBSTITUTE(SUBSTITUTE(Q653,"_","-"),"|","-")))))</f>
        <v>#N/A</v>
      </c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3" t="str">
        <f>IF(K654="----","#N/A",CONCATENATE("MK|",(VLOOKUP(B654,Dictionary!$A:$B,2,0)),"_CH|",(VLOOKUP(C654,Dictionary!$AV:$AW,2,0)),"_DT|",(VLOOKUP(D654,Dictionary!$P:$Q,2,0)),"_PB|",(VLOOKUP(E654,Dictionary!$G:$H,2,0)),"_FM|",(VLOOKUP(F654,Dictionary!$S:$T,2,0)),"_RT|",(VLOOKUP(G654,Dictionary!$V:$W,2,0)),"_PD|",SUBSTITUTE(SUBSTITUTE(IF(H654="","NONE",H654),"_","-"),"|","-"),"_TG|",(VLOOKUP(I654,Dictionary!$J:$K,2,0)),"_ST|",(VLOOKUP(J654,Dictionary!$M:$N,2,0)),"_TS|",SUBSTITUTE(SUBSTITUTE(IF(K654="","NONE",K654),"_","-"),"|","-"),"_SZ|",(VLOOKUP(L654,Dictionary!$Y:$Z,1,0)),"_AD|",(VLOOKUP(M654,Dictionary!$AB:$AC,2,0)),"_IT|",(VLOOKUP(N654,Dictionary!$BC:$BD,2,0)),IF(O654="","",CONCATENATE("_U1|",SUBSTITUTE(SUBSTITUTE(O654,"_","-"),"|","-"))),IF(P654="","",CONCATENATE("_U2|",SUBSTITUTE(SUBSTITUTE(P654,"_","-"),"|","-"))),IF(Q654="","",CONCATENATE("_U3|",SUBSTITUTE(SUBSTITUTE(Q654,"_","-"),"|","-")))))</f>
        <v>#N/A</v>
      </c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3" t="str">
        <f>IF(K655="----","#N/A",CONCATENATE("MK|",(VLOOKUP(B655,Dictionary!$A:$B,2,0)),"_CH|",(VLOOKUP(C655,Dictionary!$AV:$AW,2,0)),"_DT|",(VLOOKUP(D655,Dictionary!$P:$Q,2,0)),"_PB|",(VLOOKUP(E655,Dictionary!$G:$H,2,0)),"_FM|",(VLOOKUP(F655,Dictionary!$S:$T,2,0)),"_RT|",(VLOOKUP(G655,Dictionary!$V:$W,2,0)),"_PD|",SUBSTITUTE(SUBSTITUTE(IF(H655="","NONE",H655),"_","-"),"|","-"),"_TG|",(VLOOKUP(I655,Dictionary!$J:$K,2,0)),"_ST|",(VLOOKUP(J655,Dictionary!$M:$N,2,0)),"_TS|",SUBSTITUTE(SUBSTITUTE(IF(K655="","NONE",K655),"_","-"),"|","-"),"_SZ|",(VLOOKUP(L655,Dictionary!$Y:$Z,1,0)),"_AD|",(VLOOKUP(M655,Dictionary!$AB:$AC,2,0)),"_IT|",(VLOOKUP(N655,Dictionary!$BC:$BD,2,0)),IF(O655="","",CONCATENATE("_U1|",SUBSTITUTE(SUBSTITUTE(O655,"_","-"),"|","-"))),IF(P655="","",CONCATENATE("_U2|",SUBSTITUTE(SUBSTITUTE(P655,"_","-"),"|","-"))),IF(Q655="","",CONCATENATE("_U3|",SUBSTITUTE(SUBSTITUTE(Q655,"_","-"),"|","-")))))</f>
        <v>#N/A</v>
      </c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3" t="str">
        <f>IF(K656="----","#N/A",CONCATENATE("MK|",(VLOOKUP(B656,Dictionary!$A:$B,2,0)),"_CH|",(VLOOKUP(C656,Dictionary!$AV:$AW,2,0)),"_DT|",(VLOOKUP(D656,Dictionary!$P:$Q,2,0)),"_PB|",(VLOOKUP(E656,Dictionary!$G:$H,2,0)),"_FM|",(VLOOKUP(F656,Dictionary!$S:$T,2,0)),"_RT|",(VLOOKUP(G656,Dictionary!$V:$W,2,0)),"_PD|",SUBSTITUTE(SUBSTITUTE(IF(H656="","NONE",H656),"_","-"),"|","-"),"_TG|",(VLOOKUP(I656,Dictionary!$J:$K,2,0)),"_ST|",(VLOOKUP(J656,Dictionary!$M:$N,2,0)),"_TS|",SUBSTITUTE(SUBSTITUTE(IF(K656="","NONE",K656),"_","-"),"|","-"),"_SZ|",(VLOOKUP(L656,Dictionary!$Y:$Z,1,0)),"_AD|",(VLOOKUP(M656,Dictionary!$AB:$AC,2,0)),"_IT|",(VLOOKUP(N656,Dictionary!$BC:$BD,2,0)),IF(O656="","",CONCATENATE("_U1|",SUBSTITUTE(SUBSTITUTE(O656,"_","-"),"|","-"))),IF(P656="","",CONCATENATE("_U2|",SUBSTITUTE(SUBSTITUTE(P656,"_","-"),"|","-"))),IF(Q656="","",CONCATENATE("_U3|",SUBSTITUTE(SUBSTITUTE(Q656,"_","-"),"|","-")))))</f>
        <v>#N/A</v>
      </c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3" t="str">
        <f>IF(K657="----","#N/A",CONCATENATE("MK|",(VLOOKUP(B657,Dictionary!$A:$B,2,0)),"_CH|",(VLOOKUP(C657,Dictionary!$AV:$AW,2,0)),"_DT|",(VLOOKUP(D657,Dictionary!$P:$Q,2,0)),"_PB|",(VLOOKUP(E657,Dictionary!$G:$H,2,0)),"_FM|",(VLOOKUP(F657,Dictionary!$S:$T,2,0)),"_RT|",(VLOOKUP(G657,Dictionary!$V:$W,2,0)),"_PD|",SUBSTITUTE(SUBSTITUTE(IF(H657="","NONE",H657),"_","-"),"|","-"),"_TG|",(VLOOKUP(I657,Dictionary!$J:$K,2,0)),"_ST|",(VLOOKUP(J657,Dictionary!$M:$N,2,0)),"_TS|",SUBSTITUTE(SUBSTITUTE(IF(K657="","NONE",K657),"_","-"),"|","-"),"_SZ|",(VLOOKUP(L657,Dictionary!$Y:$Z,1,0)),"_AD|",(VLOOKUP(M657,Dictionary!$AB:$AC,2,0)),"_IT|",(VLOOKUP(N657,Dictionary!$BC:$BD,2,0)),IF(O657="","",CONCATENATE("_U1|",SUBSTITUTE(SUBSTITUTE(O657,"_","-"),"|","-"))),IF(P657="","",CONCATENATE("_U2|",SUBSTITUTE(SUBSTITUTE(P657,"_","-"),"|","-"))),IF(Q657="","",CONCATENATE("_U3|",SUBSTITUTE(SUBSTITUTE(Q657,"_","-"),"|","-")))))</f>
        <v>#N/A</v>
      </c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3" t="str">
        <f>IF(K658="----","#N/A",CONCATENATE("MK|",(VLOOKUP(B658,Dictionary!$A:$B,2,0)),"_CH|",(VLOOKUP(C658,Dictionary!$AV:$AW,2,0)),"_DT|",(VLOOKUP(D658,Dictionary!$P:$Q,2,0)),"_PB|",(VLOOKUP(E658,Dictionary!$G:$H,2,0)),"_FM|",(VLOOKUP(F658,Dictionary!$S:$T,2,0)),"_RT|",(VLOOKUP(G658,Dictionary!$V:$W,2,0)),"_PD|",SUBSTITUTE(SUBSTITUTE(IF(H658="","NONE",H658),"_","-"),"|","-"),"_TG|",(VLOOKUP(I658,Dictionary!$J:$K,2,0)),"_ST|",(VLOOKUP(J658,Dictionary!$M:$N,2,0)),"_TS|",SUBSTITUTE(SUBSTITUTE(IF(K658="","NONE",K658),"_","-"),"|","-"),"_SZ|",(VLOOKUP(L658,Dictionary!$Y:$Z,1,0)),"_AD|",(VLOOKUP(M658,Dictionary!$AB:$AC,2,0)),"_IT|",(VLOOKUP(N658,Dictionary!$BC:$BD,2,0)),IF(O658="","",CONCATENATE("_U1|",SUBSTITUTE(SUBSTITUTE(O658,"_","-"),"|","-"))),IF(P658="","",CONCATENATE("_U2|",SUBSTITUTE(SUBSTITUTE(P658,"_","-"),"|","-"))),IF(Q658="","",CONCATENATE("_U3|",SUBSTITUTE(SUBSTITUTE(Q658,"_","-"),"|","-")))))</f>
        <v>#N/A</v>
      </c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3" t="str">
        <f>IF(K659="----","#N/A",CONCATENATE("MK|",(VLOOKUP(B659,Dictionary!$A:$B,2,0)),"_CH|",(VLOOKUP(C659,Dictionary!$AV:$AW,2,0)),"_DT|",(VLOOKUP(D659,Dictionary!$P:$Q,2,0)),"_PB|",(VLOOKUP(E659,Dictionary!$G:$H,2,0)),"_FM|",(VLOOKUP(F659,Dictionary!$S:$T,2,0)),"_RT|",(VLOOKUP(G659,Dictionary!$V:$W,2,0)),"_PD|",SUBSTITUTE(SUBSTITUTE(IF(H659="","NONE",H659),"_","-"),"|","-"),"_TG|",(VLOOKUP(I659,Dictionary!$J:$K,2,0)),"_ST|",(VLOOKUP(J659,Dictionary!$M:$N,2,0)),"_TS|",SUBSTITUTE(SUBSTITUTE(IF(K659="","NONE",K659),"_","-"),"|","-"),"_SZ|",(VLOOKUP(L659,Dictionary!$Y:$Z,1,0)),"_AD|",(VLOOKUP(M659,Dictionary!$AB:$AC,2,0)),"_IT|",(VLOOKUP(N659,Dictionary!$BC:$BD,2,0)),IF(O659="","",CONCATENATE("_U1|",SUBSTITUTE(SUBSTITUTE(O659,"_","-"),"|","-"))),IF(P659="","",CONCATENATE("_U2|",SUBSTITUTE(SUBSTITUTE(P659,"_","-"),"|","-"))),IF(Q659="","",CONCATENATE("_U3|",SUBSTITUTE(SUBSTITUTE(Q659,"_","-"),"|","-")))))</f>
        <v>#N/A</v>
      </c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3" t="str">
        <f>IF(K660="----","#N/A",CONCATENATE("MK|",(VLOOKUP(B660,Dictionary!$A:$B,2,0)),"_CH|",(VLOOKUP(C660,Dictionary!$AV:$AW,2,0)),"_DT|",(VLOOKUP(D660,Dictionary!$P:$Q,2,0)),"_PB|",(VLOOKUP(E660,Dictionary!$G:$H,2,0)),"_FM|",(VLOOKUP(F660,Dictionary!$S:$T,2,0)),"_RT|",(VLOOKUP(G660,Dictionary!$V:$W,2,0)),"_PD|",SUBSTITUTE(SUBSTITUTE(IF(H660="","NONE",H660),"_","-"),"|","-"),"_TG|",(VLOOKUP(I660,Dictionary!$J:$K,2,0)),"_ST|",(VLOOKUP(J660,Dictionary!$M:$N,2,0)),"_TS|",SUBSTITUTE(SUBSTITUTE(IF(K660="","NONE",K660),"_","-"),"|","-"),"_SZ|",(VLOOKUP(L660,Dictionary!$Y:$Z,1,0)),"_AD|",(VLOOKUP(M660,Dictionary!$AB:$AC,2,0)),"_IT|",(VLOOKUP(N660,Dictionary!$BC:$BD,2,0)),IF(O660="","",CONCATENATE("_U1|",SUBSTITUTE(SUBSTITUTE(O660,"_","-"),"|","-"))),IF(P660="","",CONCATENATE("_U2|",SUBSTITUTE(SUBSTITUTE(P660,"_","-"),"|","-"))),IF(Q660="","",CONCATENATE("_U3|",SUBSTITUTE(SUBSTITUTE(Q660,"_","-"),"|","-")))))</f>
        <v>#N/A</v>
      </c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3" t="str">
        <f>IF(K661="----","#N/A",CONCATENATE("MK|",(VLOOKUP(B661,Dictionary!$A:$B,2,0)),"_CH|",(VLOOKUP(C661,Dictionary!$AV:$AW,2,0)),"_DT|",(VLOOKUP(D661,Dictionary!$P:$Q,2,0)),"_PB|",(VLOOKUP(E661,Dictionary!$G:$H,2,0)),"_FM|",(VLOOKUP(F661,Dictionary!$S:$T,2,0)),"_RT|",(VLOOKUP(G661,Dictionary!$V:$W,2,0)),"_PD|",SUBSTITUTE(SUBSTITUTE(IF(H661="","NONE",H661),"_","-"),"|","-"),"_TG|",(VLOOKUP(I661,Dictionary!$J:$K,2,0)),"_ST|",(VLOOKUP(J661,Dictionary!$M:$N,2,0)),"_TS|",SUBSTITUTE(SUBSTITUTE(IF(K661="","NONE",K661),"_","-"),"|","-"),"_SZ|",(VLOOKUP(L661,Dictionary!$Y:$Z,1,0)),"_AD|",(VLOOKUP(M661,Dictionary!$AB:$AC,2,0)),"_IT|",(VLOOKUP(N661,Dictionary!$BC:$BD,2,0)),IF(O661="","",CONCATENATE("_U1|",SUBSTITUTE(SUBSTITUTE(O661,"_","-"),"|","-"))),IF(P661="","",CONCATENATE("_U2|",SUBSTITUTE(SUBSTITUTE(P661,"_","-"),"|","-"))),IF(Q661="","",CONCATENATE("_U3|",SUBSTITUTE(SUBSTITUTE(Q661,"_","-"),"|","-")))))</f>
        <v>#N/A</v>
      </c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3" t="str">
        <f>IF(K662="----","#N/A",CONCATENATE("MK|",(VLOOKUP(B662,Dictionary!$A:$B,2,0)),"_CH|",(VLOOKUP(C662,Dictionary!$AV:$AW,2,0)),"_DT|",(VLOOKUP(D662,Dictionary!$P:$Q,2,0)),"_PB|",(VLOOKUP(E662,Dictionary!$G:$H,2,0)),"_FM|",(VLOOKUP(F662,Dictionary!$S:$T,2,0)),"_RT|",(VLOOKUP(G662,Dictionary!$V:$W,2,0)),"_PD|",SUBSTITUTE(SUBSTITUTE(IF(H662="","NONE",H662),"_","-"),"|","-"),"_TG|",(VLOOKUP(I662,Dictionary!$J:$K,2,0)),"_ST|",(VLOOKUP(J662,Dictionary!$M:$N,2,0)),"_TS|",SUBSTITUTE(SUBSTITUTE(IF(K662="","NONE",K662),"_","-"),"|","-"),"_SZ|",(VLOOKUP(L662,Dictionary!$Y:$Z,1,0)),"_AD|",(VLOOKUP(M662,Dictionary!$AB:$AC,2,0)),"_IT|",(VLOOKUP(N662,Dictionary!$BC:$BD,2,0)),IF(O662="","",CONCATENATE("_U1|",SUBSTITUTE(SUBSTITUTE(O662,"_","-"),"|","-"))),IF(P662="","",CONCATENATE("_U2|",SUBSTITUTE(SUBSTITUTE(P662,"_","-"),"|","-"))),IF(Q662="","",CONCATENATE("_U3|",SUBSTITUTE(SUBSTITUTE(Q662,"_","-"),"|","-")))))</f>
        <v>#N/A</v>
      </c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3" t="str">
        <f>IF(K663="----","#N/A",CONCATENATE("MK|",(VLOOKUP(B663,Dictionary!$A:$B,2,0)),"_CH|",(VLOOKUP(C663,Dictionary!$AV:$AW,2,0)),"_DT|",(VLOOKUP(D663,Dictionary!$P:$Q,2,0)),"_PB|",(VLOOKUP(E663,Dictionary!$G:$H,2,0)),"_FM|",(VLOOKUP(F663,Dictionary!$S:$T,2,0)),"_RT|",(VLOOKUP(G663,Dictionary!$V:$W,2,0)),"_PD|",SUBSTITUTE(SUBSTITUTE(IF(H663="","NONE",H663),"_","-"),"|","-"),"_TG|",(VLOOKUP(I663,Dictionary!$J:$K,2,0)),"_ST|",(VLOOKUP(J663,Dictionary!$M:$N,2,0)),"_TS|",SUBSTITUTE(SUBSTITUTE(IF(K663="","NONE",K663),"_","-"),"|","-"),"_SZ|",(VLOOKUP(L663,Dictionary!$Y:$Z,1,0)),"_AD|",(VLOOKUP(M663,Dictionary!$AB:$AC,2,0)),"_IT|",(VLOOKUP(N663,Dictionary!$BC:$BD,2,0)),IF(O663="","",CONCATENATE("_U1|",SUBSTITUTE(SUBSTITUTE(O663,"_","-"),"|","-"))),IF(P663="","",CONCATENATE("_U2|",SUBSTITUTE(SUBSTITUTE(P663,"_","-"),"|","-"))),IF(Q663="","",CONCATENATE("_U3|",SUBSTITUTE(SUBSTITUTE(Q663,"_","-"),"|","-")))))</f>
        <v>#N/A</v>
      </c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3" t="str">
        <f>IF(K664="----","#N/A",CONCATENATE("MK|",(VLOOKUP(B664,Dictionary!$A:$B,2,0)),"_CH|",(VLOOKUP(C664,Dictionary!$AV:$AW,2,0)),"_DT|",(VLOOKUP(D664,Dictionary!$P:$Q,2,0)),"_PB|",(VLOOKUP(E664,Dictionary!$G:$H,2,0)),"_FM|",(VLOOKUP(F664,Dictionary!$S:$T,2,0)),"_RT|",(VLOOKUP(G664,Dictionary!$V:$W,2,0)),"_PD|",SUBSTITUTE(SUBSTITUTE(IF(H664="","NONE",H664),"_","-"),"|","-"),"_TG|",(VLOOKUP(I664,Dictionary!$J:$K,2,0)),"_ST|",(VLOOKUP(J664,Dictionary!$M:$N,2,0)),"_TS|",SUBSTITUTE(SUBSTITUTE(IF(K664="","NONE",K664),"_","-"),"|","-"),"_SZ|",(VLOOKUP(L664,Dictionary!$Y:$Z,1,0)),"_AD|",(VLOOKUP(M664,Dictionary!$AB:$AC,2,0)),"_IT|",(VLOOKUP(N664,Dictionary!$BC:$BD,2,0)),IF(O664="","",CONCATENATE("_U1|",SUBSTITUTE(SUBSTITUTE(O664,"_","-"),"|","-"))),IF(P664="","",CONCATENATE("_U2|",SUBSTITUTE(SUBSTITUTE(P664,"_","-"),"|","-"))),IF(Q664="","",CONCATENATE("_U3|",SUBSTITUTE(SUBSTITUTE(Q664,"_","-"),"|","-")))))</f>
        <v>#N/A</v>
      </c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3" t="str">
        <f>IF(K665="----","#N/A",CONCATENATE("MK|",(VLOOKUP(B665,Dictionary!$A:$B,2,0)),"_CH|",(VLOOKUP(C665,Dictionary!$AV:$AW,2,0)),"_DT|",(VLOOKUP(D665,Dictionary!$P:$Q,2,0)),"_PB|",(VLOOKUP(E665,Dictionary!$G:$H,2,0)),"_FM|",(VLOOKUP(F665,Dictionary!$S:$T,2,0)),"_RT|",(VLOOKUP(G665,Dictionary!$V:$W,2,0)),"_PD|",SUBSTITUTE(SUBSTITUTE(IF(H665="","NONE",H665),"_","-"),"|","-"),"_TG|",(VLOOKUP(I665,Dictionary!$J:$K,2,0)),"_ST|",(VLOOKUP(J665,Dictionary!$M:$N,2,0)),"_TS|",SUBSTITUTE(SUBSTITUTE(IF(K665="","NONE",K665),"_","-"),"|","-"),"_SZ|",(VLOOKUP(L665,Dictionary!$Y:$Z,1,0)),"_AD|",(VLOOKUP(M665,Dictionary!$AB:$AC,2,0)),"_IT|",(VLOOKUP(N665,Dictionary!$BC:$BD,2,0)),IF(O665="","",CONCATENATE("_U1|",SUBSTITUTE(SUBSTITUTE(O665,"_","-"),"|","-"))),IF(P665="","",CONCATENATE("_U2|",SUBSTITUTE(SUBSTITUTE(P665,"_","-"),"|","-"))),IF(Q665="","",CONCATENATE("_U3|",SUBSTITUTE(SUBSTITUTE(Q665,"_","-"),"|","-")))))</f>
        <v>#N/A</v>
      </c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3" t="str">
        <f>IF(K666="----","#N/A",CONCATENATE("MK|",(VLOOKUP(B666,Dictionary!$A:$B,2,0)),"_CH|",(VLOOKUP(C666,Dictionary!$AV:$AW,2,0)),"_DT|",(VLOOKUP(D666,Dictionary!$P:$Q,2,0)),"_PB|",(VLOOKUP(E666,Dictionary!$G:$H,2,0)),"_FM|",(VLOOKUP(F666,Dictionary!$S:$T,2,0)),"_RT|",(VLOOKUP(G666,Dictionary!$V:$W,2,0)),"_PD|",SUBSTITUTE(SUBSTITUTE(IF(H666="","NONE",H666),"_","-"),"|","-"),"_TG|",(VLOOKUP(I666,Dictionary!$J:$K,2,0)),"_ST|",(VLOOKUP(J666,Dictionary!$M:$N,2,0)),"_TS|",SUBSTITUTE(SUBSTITUTE(IF(K666="","NONE",K666),"_","-"),"|","-"),"_SZ|",(VLOOKUP(L666,Dictionary!$Y:$Z,1,0)),"_AD|",(VLOOKUP(M666,Dictionary!$AB:$AC,2,0)),"_IT|",(VLOOKUP(N666,Dictionary!$BC:$BD,2,0)),IF(O666="","",CONCATENATE("_U1|",SUBSTITUTE(SUBSTITUTE(O666,"_","-"),"|","-"))),IF(P666="","",CONCATENATE("_U2|",SUBSTITUTE(SUBSTITUTE(P666,"_","-"),"|","-"))),IF(Q666="","",CONCATENATE("_U3|",SUBSTITUTE(SUBSTITUTE(Q666,"_","-"),"|","-")))))</f>
        <v>#N/A</v>
      </c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3" t="str">
        <f>IF(K667="----","#N/A",CONCATENATE("MK|",(VLOOKUP(B667,Dictionary!$A:$B,2,0)),"_CH|",(VLOOKUP(C667,Dictionary!$AV:$AW,2,0)),"_DT|",(VLOOKUP(D667,Dictionary!$P:$Q,2,0)),"_PB|",(VLOOKUP(E667,Dictionary!$G:$H,2,0)),"_FM|",(VLOOKUP(F667,Dictionary!$S:$T,2,0)),"_RT|",(VLOOKUP(G667,Dictionary!$V:$W,2,0)),"_PD|",SUBSTITUTE(SUBSTITUTE(IF(H667="","NONE",H667),"_","-"),"|","-"),"_TG|",(VLOOKUP(I667,Dictionary!$J:$K,2,0)),"_ST|",(VLOOKUP(J667,Dictionary!$M:$N,2,0)),"_TS|",SUBSTITUTE(SUBSTITUTE(IF(K667="","NONE",K667),"_","-"),"|","-"),"_SZ|",(VLOOKUP(L667,Dictionary!$Y:$Z,1,0)),"_AD|",(VLOOKUP(M667,Dictionary!$AB:$AC,2,0)),"_IT|",(VLOOKUP(N667,Dictionary!$BC:$BD,2,0)),IF(O667="","",CONCATENATE("_U1|",SUBSTITUTE(SUBSTITUTE(O667,"_","-"),"|","-"))),IF(P667="","",CONCATENATE("_U2|",SUBSTITUTE(SUBSTITUTE(P667,"_","-"),"|","-"))),IF(Q667="","",CONCATENATE("_U3|",SUBSTITUTE(SUBSTITUTE(Q667,"_","-"),"|","-")))))</f>
        <v>#N/A</v>
      </c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3" t="str">
        <f>IF(K668="----","#N/A",CONCATENATE("MK|",(VLOOKUP(B668,Dictionary!$A:$B,2,0)),"_CH|",(VLOOKUP(C668,Dictionary!$AV:$AW,2,0)),"_DT|",(VLOOKUP(D668,Dictionary!$P:$Q,2,0)),"_PB|",(VLOOKUP(E668,Dictionary!$G:$H,2,0)),"_FM|",(VLOOKUP(F668,Dictionary!$S:$T,2,0)),"_RT|",(VLOOKUP(G668,Dictionary!$V:$W,2,0)),"_PD|",SUBSTITUTE(SUBSTITUTE(IF(H668="","NONE",H668),"_","-"),"|","-"),"_TG|",(VLOOKUP(I668,Dictionary!$J:$K,2,0)),"_ST|",(VLOOKUP(J668,Dictionary!$M:$N,2,0)),"_TS|",SUBSTITUTE(SUBSTITUTE(IF(K668="","NONE",K668),"_","-"),"|","-"),"_SZ|",(VLOOKUP(L668,Dictionary!$Y:$Z,1,0)),"_AD|",(VLOOKUP(M668,Dictionary!$AB:$AC,2,0)),"_IT|",(VLOOKUP(N668,Dictionary!$BC:$BD,2,0)),IF(O668="","",CONCATENATE("_U1|",SUBSTITUTE(SUBSTITUTE(O668,"_","-"),"|","-"))),IF(P668="","",CONCATENATE("_U2|",SUBSTITUTE(SUBSTITUTE(P668,"_","-"),"|","-"))),IF(Q668="","",CONCATENATE("_U3|",SUBSTITUTE(SUBSTITUTE(Q668,"_","-"),"|","-")))))</f>
        <v>#N/A</v>
      </c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3" t="str">
        <f>IF(K669="----","#N/A",CONCATENATE("MK|",(VLOOKUP(B669,Dictionary!$A:$B,2,0)),"_CH|",(VLOOKUP(C669,Dictionary!$AV:$AW,2,0)),"_DT|",(VLOOKUP(D669,Dictionary!$P:$Q,2,0)),"_PB|",(VLOOKUP(E669,Dictionary!$G:$H,2,0)),"_FM|",(VLOOKUP(F669,Dictionary!$S:$T,2,0)),"_RT|",(VLOOKUP(G669,Dictionary!$V:$W,2,0)),"_PD|",SUBSTITUTE(SUBSTITUTE(IF(H669="","NONE",H669),"_","-"),"|","-"),"_TG|",(VLOOKUP(I669,Dictionary!$J:$K,2,0)),"_ST|",(VLOOKUP(J669,Dictionary!$M:$N,2,0)),"_TS|",SUBSTITUTE(SUBSTITUTE(IF(K669="","NONE",K669),"_","-"),"|","-"),"_SZ|",(VLOOKUP(L669,Dictionary!$Y:$Z,1,0)),"_AD|",(VLOOKUP(M669,Dictionary!$AB:$AC,2,0)),"_IT|",(VLOOKUP(N669,Dictionary!$BC:$BD,2,0)),IF(O669="","",CONCATENATE("_U1|",SUBSTITUTE(SUBSTITUTE(O669,"_","-"),"|","-"))),IF(P669="","",CONCATENATE("_U2|",SUBSTITUTE(SUBSTITUTE(P669,"_","-"),"|","-"))),IF(Q669="","",CONCATENATE("_U3|",SUBSTITUTE(SUBSTITUTE(Q669,"_","-"),"|","-")))))</f>
        <v>#N/A</v>
      </c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3" t="str">
        <f>IF(K670="----","#N/A",CONCATENATE("MK|",(VLOOKUP(B670,Dictionary!$A:$B,2,0)),"_CH|",(VLOOKUP(C670,Dictionary!$AV:$AW,2,0)),"_DT|",(VLOOKUP(D670,Dictionary!$P:$Q,2,0)),"_PB|",(VLOOKUP(E670,Dictionary!$G:$H,2,0)),"_FM|",(VLOOKUP(F670,Dictionary!$S:$T,2,0)),"_RT|",(VLOOKUP(G670,Dictionary!$V:$W,2,0)),"_PD|",SUBSTITUTE(SUBSTITUTE(IF(H670="","NONE",H670),"_","-"),"|","-"),"_TG|",(VLOOKUP(I670,Dictionary!$J:$K,2,0)),"_ST|",(VLOOKUP(J670,Dictionary!$M:$N,2,0)),"_TS|",SUBSTITUTE(SUBSTITUTE(IF(K670="","NONE",K670),"_","-"),"|","-"),"_SZ|",(VLOOKUP(L670,Dictionary!$Y:$Z,1,0)),"_AD|",(VLOOKUP(M670,Dictionary!$AB:$AC,2,0)),"_IT|",(VLOOKUP(N670,Dictionary!$BC:$BD,2,0)),IF(O670="","",CONCATENATE("_U1|",SUBSTITUTE(SUBSTITUTE(O670,"_","-"),"|","-"))),IF(P670="","",CONCATENATE("_U2|",SUBSTITUTE(SUBSTITUTE(P670,"_","-"),"|","-"))),IF(Q670="","",CONCATENATE("_U3|",SUBSTITUTE(SUBSTITUTE(Q670,"_","-"),"|","-")))))</f>
        <v>#N/A</v>
      </c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3" t="str">
        <f>IF(K671="----","#N/A",CONCATENATE("MK|",(VLOOKUP(B671,Dictionary!$A:$B,2,0)),"_CH|",(VLOOKUP(C671,Dictionary!$AV:$AW,2,0)),"_DT|",(VLOOKUP(D671,Dictionary!$P:$Q,2,0)),"_PB|",(VLOOKUP(E671,Dictionary!$G:$H,2,0)),"_FM|",(VLOOKUP(F671,Dictionary!$S:$T,2,0)),"_RT|",(VLOOKUP(G671,Dictionary!$V:$W,2,0)),"_PD|",SUBSTITUTE(SUBSTITUTE(IF(H671="","NONE",H671),"_","-"),"|","-"),"_TG|",(VLOOKUP(I671,Dictionary!$J:$K,2,0)),"_ST|",(VLOOKUP(J671,Dictionary!$M:$N,2,0)),"_TS|",SUBSTITUTE(SUBSTITUTE(IF(K671="","NONE",K671),"_","-"),"|","-"),"_SZ|",(VLOOKUP(L671,Dictionary!$Y:$Z,1,0)),"_AD|",(VLOOKUP(M671,Dictionary!$AB:$AC,2,0)),"_IT|",(VLOOKUP(N671,Dictionary!$BC:$BD,2,0)),IF(O671="","",CONCATENATE("_U1|",SUBSTITUTE(SUBSTITUTE(O671,"_","-"),"|","-"))),IF(P671="","",CONCATENATE("_U2|",SUBSTITUTE(SUBSTITUTE(P671,"_","-"),"|","-"))),IF(Q671="","",CONCATENATE("_U3|",SUBSTITUTE(SUBSTITUTE(Q671,"_","-"),"|","-")))))</f>
        <v>#N/A</v>
      </c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3" t="str">
        <f>IF(K672="----","#N/A",CONCATENATE("MK|",(VLOOKUP(B672,Dictionary!$A:$B,2,0)),"_CH|",(VLOOKUP(C672,Dictionary!$AV:$AW,2,0)),"_DT|",(VLOOKUP(D672,Dictionary!$P:$Q,2,0)),"_PB|",(VLOOKUP(E672,Dictionary!$G:$H,2,0)),"_FM|",(VLOOKUP(F672,Dictionary!$S:$T,2,0)),"_RT|",(VLOOKUP(G672,Dictionary!$V:$W,2,0)),"_PD|",SUBSTITUTE(SUBSTITUTE(IF(H672="","NONE",H672),"_","-"),"|","-"),"_TG|",(VLOOKUP(I672,Dictionary!$J:$K,2,0)),"_ST|",(VLOOKUP(J672,Dictionary!$M:$N,2,0)),"_TS|",SUBSTITUTE(SUBSTITUTE(IF(K672="","NONE",K672),"_","-"),"|","-"),"_SZ|",(VLOOKUP(L672,Dictionary!$Y:$Z,1,0)),"_AD|",(VLOOKUP(M672,Dictionary!$AB:$AC,2,0)),"_IT|",(VLOOKUP(N672,Dictionary!$BC:$BD,2,0)),IF(O672="","",CONCATENATE("_U1|",SUBSTITUTE(SUBSTITUTE(O672,"_","-"),"|","-"))),IF(P672="","",CONCATENATE("_U2|",SUBSTITUTE(SUBSTITUTE(P672,"_","-"),"|","-"))),IF(Q672="","",CONCATENATE("_U3|",SUBSTITUTE(SUBSTITUTE(Q672,"_","-"),"|","-")))))</f>
        <v>#N/A</v>
      </c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3" t="str">
        <f>IF(K673="----","#N/A",CONCATENATE("MK|",(VLOOKUP(B673,Dictionary!$A:$B,2,0)),"_CH|",(VLOOKUP(C673,Dictionary!$AV:$AW,2,0)),"_DT|",(VLOOKUP(D673,Dictionary!$P:$Q,2,0)),"_PB|",(VLOOKUP(E673,Dictionary!$G:$H,2,0)),"_FM|",(VLOOKUP(F673,Dictionary!$S:$T,2,0)),"_RT|",(VLOOKUP(G673,Dictionary!$V:$W,2,0)),"_PD|",SUBSTITUTE(SUBSTITUTE(IF(H673="","NONE",H673),"_","-"),"|","-"),"_TG|",(VLOOKUP(I673,Dictionary!$J:$K,2,0)),"_ST|",(VLOOKUP(J673,Dictionary!$M:$N,2,0)),"_TS|",SUBSTITUTE(SUBSTITUTE(IF(K673="","NONE",K673),"_","-"),"|","-"),"_SZ|",(VLOOKUP(L673,Dictionary!$Y:$Z,1,0)),"_AD|",(VLOOKUP(M673,Dictionary!$AB:$AC,2,0)),"_IT|",(VLOOKUP(N673,Dictionary!$BC:$BD,2,0)),IF(O673="","",CONCATENATE("_U1|",SUBSTITUTE(SUBSTITUTE(O673,"_","-"),"|","-"))),IF(P673="","",CONCATENATE("_U2|",SUBSTITUTE(SUBSTITUTE(P673,"_","-"),"|","-"))),IF(Q673="","",CONCATENATE("_U3|",SUBSTITUTE(SUBSTITUTE(Q673,"_","-"),"|","-")))))</f>
        <v>#N/A</v>
      </c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3" t="str">
        <f>IF(K674="----","#N/A",CONCATENATE("MK|",(VLOOKUP(B674,Dictionary!$A:$B,2,0)),"_CH|",(VLOOKUP(C674,Dictionary!$AV:$AW,2,0)),"_DT|",(VLOOKUP(D674,Dictionary!$P:$Q,2,0)),"_PB|",(VLOOKUP(E674,Dictionary!$G:$H,2,0)),"_FM|",(VLOOKUP(F674,Dictionary!$S:$T,2,0)),"_RT|",(VLOOKUP(G674,Dictionary!$V:$W,2,0)),"_PD|",SUBSTITUTE(SUBSTITUTE(IF(H674="","NONE",H674),"_","-"),"|","-"),"_TG|",(VLOOKUP(I674,Dictionary!$J:$K,2,0)),"_ST|",(VLOOKUP(J674,Dictionary!$M:$N,2,0)),"_TS|",SUBSTITUTE(SUBSTITUTE(IF(K674="","NONE",K674),"_","-"),"|","-"),"_SZ|",(VLOOKUP(L674,Dictionary!$Y:$Z,1,0)),"_AD|",(VLOOKUP(M674,Dictionary!$AB:$AC,2,0)),"_IT|",(VLOOKUP(N674,Dictionary!$BC:$BD,2,0)),IF(O674="","",CONCATENATE("_U1|",SUBSTITUTE(SUBSTITUTE(O674,"_","-"),"|","-"))),IF(P674="","",CONCATENATE("_U2|",SUBSTITUTE(SUBSTITUTE(P674,"_","-"),"|","-"))),IF(Q674="","",CONCATENATE("_U3|",SUBSTITUTE(SUBSTITUTE(Q674,"_","-"),"|","-")))))</f>
        <v>#N/A</v>
      </c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3" t="str">
        <f>IF(K675="----","#N/A",CONCATENATE("MK|",(VLOOKUP(B675,Dictionary!$A:$B,2,0)),"_CH|",(VLOOKUP(C675,Dictionary!$AV:$AW,2,0)),"_DT|",(VLOOKUP(D675,Dictionary!$P:$Q,2,0)),"_PB|",(VLOOKUP(E675,Dictionary!$G:$H,2,0)),"_FM|",(VLOOKUP(F675,Dictionary!$S:$T,2,0)),"_RT|",(VLOOKUP(G675,Dictionary!$V:$W,2,0)),"_PD|",SUBSTITUTE(SUBSTITUTE(IF(H675="","NONE",H675),"_","-"),"|","-"),"_TG|",(VLOOKUP(I675,Dictionary!$J:$K,2,0)),"_ST|",(VLOOKUP(J675,Dictionary!$M:$N,2,0)),"_TS|",SUBSTITUTE(SUBSTITUTE(IF(K675="","NONE",K675),"_","-"),"|","-"),"_SZ|",(VLOOKUP(L675,Dictionary!$Y:$Z,1,0)),"_AD|",(VLOOKUP(M675,Dictionary!$AB:$AC,2,0)),"_IT|",(VLOOKUP(N675,Dictionary!$BC:$BD,2,0)),IF(O675="","",CONCATENATE("_U1|",SUBSTITUTE(SUBSTITUTE(O675,"_","-"),"|","-"))),IF(P675="","",CONCATENATE("_U2|",SUBSTITUTE(SUBSTITUTE(P675,"_","-"),"|","-"))),IF(Q675="","",CONCATENATE("_U3|",SUBSTITUTE(SUBSTITUTE(Q675,"_","-"),"|","-")))))</f>
        <v>#N/A</v>
      </c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3" t="str">
        <f>IF(K676="----","#N/A",CONCATENATE("MK|",(VLOOKUP(B676,Dictionary!$A:$B,2,0)),"_CH|",(VLOOKUP(C676,Dictionary!$AV:$AW,2,0)),"_DT|",(VLOOKUP(D676,Dictionary!$P:$Q,2,0)),"_PB|",(VLOOKUP(E676,Dictionary!$G:$H,2,0)),"_FM|",(VLOOKUP(F676,Dictionary!$S:$T,2,0)),"_RT|",(VLOOKUP(G676,Dictionary!$V:$W,2,0)),"_PD|",SUBSTITUTE(SUBSTITUTE(IF(H676="","NONE",H676),"_","-"),"|","-"),"_TG|",(VLOOKUP(I676,Dictionary!$J:$K,2,0)),"_ST|",(VLOOKUP(J676,Dictionary!$M:$N,2,0)),"_TS|",SUBSTITUTE(SUBSTITUTE(IF(K676="","NONE",K676),"_","-"),"|","-"),"_SZ|",(VLOOKUP(L676,Dictionary!$Y:$Z,1,0)),"_AD|",(VLOOKUP(M676,Dictionary!$AB:$AC,2,0)),"_IT|",(VLOOKUP(N676,Dictionary!$BC:$BD,2,0)),IF(O676="","",CONCATENATE("_U1|",SUBSTITUTE(SUBSTITUTE(O676,"_","-"),"|","-"))),IF(P676="","",CONCATENATE("_U2|",SUBSTITUTE(SUBSTITUTE(P676,"_","-"),"|","-"))),IF(Q676="","",CONCATENATE("_U3|",SUBSTITUTE(SUBSTITUTE(Q676,"_","-"),"|","-")))))</f>
        <v>#N/A</v>
      </c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3" t="str">
        <f>IF(K677="----","#N/A",CONCATENATE("MK|",(VLOOKUP(B677,Dictionary!$A:$B,2,0)),"_CH|",(VLOOKUP(C677,Dictionary!$AV:$AW,2,0)),"_DT|",(VLOOKUP(D677,Dictionary!$P:$Q,2,0)),"_PB|",(VLOOKUP(E677,Dictionary!$G:$H,2,0)),"_FM|",(VLOOKUP(F677,Dictionary!$S:$T,2,0)),"_RT|",(VLOOKUP(G677,Dictionary!$V:$W,2,0)),"_PD|",SUBSTITUTE(SUBSTITUTE(IF(H677="","NONE",H677),"_","-"),"|","-"),"_TG|",(VLOOKUP(I677,Dictionary!$J:$K,2,0)),"_ST|",(VLOOKUP(J677,Dictionary!$M:$N,2,0)),"_TS|",SUBSTITUTE(SUBSTITUTE(IF(K677="","NONE",K677),"_","-"),"|","-"),"_SZ|",(VLOOKUP(L677,Dictionary!$Y:$Z,1,0)),"_AD|",(VLOOKUP(M677,Dictionary!$AB:$AC,2,0)),"_IT|",(VLOOKUP(N677,Dictionary!$BC:$BD,2,0)),IF(O677="","",CONCATENATE("_U1|",SUBSTITUTE(SUBSTITUTE(O677,"_","-"),"|","-"))),IF(P677="","",CONCATENATE("_U2|",SUBSTITUTE(SUBSTITUTE(P677,"_","-"),"|","-"))),IF(Q677="","",CONCATENATE("_U3|",SUBSTITUTE(SUBSTITUTE(Q677,"_","-"),"|","-")))))</f>
        <v>#N/A</v>
      </c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3" t="str">
        <f>IF(K678="----","#N/A",CONCATENATE("MK|",(VLOOKUP(B678,Dictionary!$A:$B,2,0)),"_CH|",(VLOOKUP(C678,Dictionary!$AV:$AW,2,0)),"_DT|",(VLOOKUP(D678,Dictionary!$P:$Q,2,0)),"_PB|",(VLOOKUP(E678,Dictionary!$G:$H,2,0)),"_FM|",(VLOOKUP(F678,Dictionary!$S:$T,2,0)),"_RT|",(VLOOKUP(G678,Dictionary!$V:$W,2,0)),"_PD|",SUBSTITUTE(SUBSTITUTE(IF(H678="","NONE",H678),"_","-"),"|","-"),"_TG|",(VLOOKUP(I678,Dictionary!$J:$K,2,0)),"_ST|",(VLOOKUP(J678,Dictionary!$M:$N,2,0)),"_TS|",SUBSTITUTE(SUBSTITUTE(IF(K678="","NONE",K678),"_","-"),"|","-"),"_SZ|",(VLOOKUP(L678,Dictionary!$Y:$Z,1,0)),"_AD|",(VLOOKUP(M678,Dictionary!$AB:$AC,2,0)),"_IT|",(VLOOKUP(N678,Dictionary!$BC:$BD,2,0)),IF(O678="","",CONCATENATE("_U1|",SUBSTITUTE(SUBSTITUTE(O678,"_","-"),"|","-"))),IF(P678="","",CONCATENATE("_U2|",SUBSTITUTE(SUBSTITUTE(P678,"_","-"),"|","-"))),IF(Q678="","",CONCATENATE("_U3|",SUBSTITUTE(SUBSTITUTE(Q678,"_","-"),"|","-")))))</f>
        <v>#N/A</v>
      </c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3" t="str">
        <f>IF(K679="----","#N/A",CONCATENATE("MK|",(VLOOKUP(B679,Dictionary!$A:$B,2,0)),"_CH|",(VLOOKUP(C679,Dictionary!$AV:$AW,2,0)),"_DT|",(VLOOKUP(D679,Dictionary!$P:$Q,2,0)),"_PB|",(VLOOKUP(E679,Dictionary!$G:$H,2,0)),"_FM|",(VLOOKUP(F679,Dictionary!$S:$T,2,0)),"_RT|",(VLOOKUP(G679,Dictionary!$V:$W,2,0)),"_PD|",SUBSTITUTE(SUBSTITUTE(IF(H679="","NONE",H679),"_","-"),"|","-"),"_TG|",(VLOOKUP(I679,Dictionary!$J:$K,2,0)),"_ST|",(VLOOKUP(J679,Dictionary!$M:$N,2,0)),"_TS|",SUBSTITUTE(SUBSTITUTE(IF(K679="","NONE",K679),"_","-"),"|","-"),"_SZ|",(VLOOKUP(L679,Dictionary!$Y:$Z,1,0)),"_AD|",(VLOOKUP(M679,Dictionary!$AB:$AC,2,0)),"_IT|",(VLOOKUP(N679,Dictionary!$BC:$BD,2,0)),IF(O679="","",CONCATENATE("_U1|",SUBSTITUTE(SUBSTITUTE(O679,"_","-"),"|","-"))),IF(P679="","",CONCATENATE("_U2|",SUBSTITUTE(SUBSTITUTE(P679,"_","-"),"|","-"))),IF(Q679="","",CONCATENATE("_U3|",SUBSTITUTE(SUBSTITUTE(Q679,"_","-"),"|","-")))))</f>
        <v>#N/A</v>
      </c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3" t="str">
        <f>IF(K680="----","#N/A",CONCATENATE("MK|",(VLOOKUP(B680,Dictionary!$A:$B,2,0)),"_CH|",(VLOOKUP(C680,Dictionary!$AV:$AW,2,0)),"_DT|",(VLOOKUP(D680,Dictionary!$P:$Q,2,0)),"_PB|",(VLOOKUP(E680,Dictionary!$G:$H,2,0)),"_FM|",(VLOOKUP(F680,Dictionary!$S:$T,2,0)),"_RT|",(VLOOKUP(G680,Dictionary!$V:$W,2,0)),"_PD|",SUBSTITUTE(SUBSTITUTE(IF(H680="","NONE",H680),"_","-"),"|","-"),"_TG|",(VLOOKUP(I680,Dictionary!$J:$K,2,0)),"_ST|",(VLOOKUP(J680,Dictionary!$M:$N,2,0)),"_TS|",SUBSTITUTE(SUBSTITUTE(IF(K680="","NONE",K680),"_","-"),"|","-"),"_SZ|",(VLOOKUP(L680,Dictionary!$Y:$Z,1,0)),"_AD|",(VLOOKUP(M680,Dictionary!$AB:$AC,2,0)),"_IT|",(VLOOKUP(N680,Dictionary!$BC:$BD,2,0)),IF(O680="","",CONCATENATE("_U1|",SUBSTITUTE(SUBSTITUTE(O680,"_","-"),"|","-"))),IF(P680="","",CONCATENATE("_U2|",SUBSTITUTE(SUBSTITUTE(P680,"_","-"),"|","-"))),IF(Q680="","",CONCATENATE("_U3|",SUBSTITUTE(SUBSTITUTE(Q680,"_","-"),"|","-")))))</f>
        <v>#N/A</v>
      </c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3" t="str">
        <f>IF(K681="----","#N/A",CONCATENATE("MK|",(VLOOKUP(B681,Dictionary!$A:$B,2,0)),"_CH|",(VLOOKUP(C681,Dictionary!$AV:$AW,2,0)),"_DT|",(VLOOKUP(D681,Dictionary!$P:$Q,2,0)),"_PB|",(VLOOKUP(E681,Dictionary!$G:$H,2,0)),"_FM|",(VLOOKUP(F681,Dictionary!$S:$T,2,0)),"_RT|",(VLOOKUP(G681,Dictionary!$V:$W,2,0)),"_PD|",SUBSTITUTE(SUBSTITUTE(IF(H681="","NONE",H681),"_","-"),"|","-"),"_TG|",(VLOOKUP(I681,Dictionary!$J:$K,2,0)),"_ST|",(VLOOKUP(J681,Dictionary!$M:$N,2,0)),"_TS|",SUBSTITUTE(SUBSTITUTE(IF(K681="","NONE",K681),"_","-"),"|","-"),"_SZ|",(VLOOKUP(L681,Dictionary!$Y:$Z,1,0)),"_AD|",(VLOOKUP(M681,Dictionary!$AB:$AC,2,0)),"_IT|",(VLOOKUP(N681,Dictionary!$BC:$BD,2,0)),IF(O681="","",CONCATENATE("_U1|",SUBSTITUTE(SUBSTITUTE(O681,"_","-"),"|","-"))),IF(P681="","",CONCATENATE("_U2|",SUBSTITUTE(SUBSTITUTE(P681,"_","-"),"|","-"))),IF(Q681="","",CONCATENATE("_U3|",SUBSTITUTE(SUBSTITUTE(Q681,"_","-"),"|","-")))))</f>
        <v>#N/A</v>
      </c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3" t="str">
        <f>IF(K682="----","#N/A",CONCATENATE("MK|",(VLOOKUP(B682,Dictionary!$A:$B,2,0)),"_CH|",(VLOOKUP(C682,Dictionary!$AV:$AW,2,0)),"_DT|",(VLOOKUP(D682,Dictionary!$P:$Q,2,0)),"_PB|",(VLOOKUP(E682,Dictionary!$G:$H,2,0)),"_FM|",(VLOOKUP(F682,Dictionary!$S:$T,2,0)),"_RT|",(VLOOKUP(G682,Dictionary!$V:$W,2,0)),"_PD|",SUBSTITUTE(SUBSTITUTE(IF(H682="","NONE",H682),"_","-"),"|","-"),"_TG|",(VLOOKUP(I682,Dictionary!$J:$K,2,0)),"_ST|",(VLOOKUP(J682,Dictionary!$M:$N,2,0)),"_TS|",SUBSTITUTE(SUBSTITUTE(IF(K682="","NONE",K682),"_","-"),"|","-"),"_SZ|",(VLOOKUP(L682,Dictionary!$Y:$Z,1,0)),"_AD|",(VLOOKUP(M682,Dictionary!$AB:$AC,2,0)),"_IT|",(VLOOKUP(N682,Dictionary!$BC:$BD,2,0)),IF(O682="","",CONCATENATE("_U1|",SUBSTITUTE(SUBSTITUTE(O682,"_","-"),"|","-"))),IF(P682="","",CONCATENATE("_U2|",SUBSTITUTE(SUBSTITUTE(P682,"_","-"),"|","-"))),IF(Q682="","",CONCATENATE("_U3|",SUBSTITUTE(SUBSTITUTE(Q682,"_","-"),"|","-")))))</f>
        <v>#N/A</v>
      </c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3" t="str">
        <f>IF(K683="----","#N/A",CONCATENATE("MK|",(VLOOKUP(B683,Dictionary!$A:$B,2,0)),"_CH|",(VLOOKUP(C683,Dictionary!$AV:$AW,2,0)),"_DT|",(VLOOKUP(D683,Dictionary!$P:$Q,2,0)),"_PB|",(VLOOKUP(E683,Dictionary!$G:$H,2,0)),"_FM|",(VLOOKUP(F683,Dictionary!$S:$T,2,0)),"_RT|",(VLOOKUP(G683,Dictionary!$V:$W,2,0)),"_PD|",SUBSTITUTE(SUBSTITUTE(IF(H683="","NONE",H683),"_","-"),"|","-"),"_TG|",(VLOOKUP(I683,Dictionary!$J:$K,2,0)),"_ST|",(VLOOKUP(J683,Dictionary!$M:$N,2,0)),"_TS|",SUBSTITUTE(SUBSTITUTE(IF(K683="","NONE",K683),"_","-"),"|","-"),"_SZ|",(VLOOKUP(L683,Dictionary!$Y:$Z,1,0)),"_AD|",(VLOOKUP(M683,Dictionary!$AB:$AC,2,0)),"_IT|",(VLOOKUP(N683,Dictionary!$BC:$BD,2,0)),IF(O683="","",CONCATENATE("_U1|",SUBSTITUTE(SUBSTITUTE(O683,"_","-"),"|","-"))),IF(P683="","",CONCATENATE("_U2|",SUBSTITUTE(SUBSTITUTE(P683,"_","-"),"|","-"))),IF(Q683="","",CONCATENATE("_U3|",SUBSTITUTE(SUBSTITUTE(Q683,"_","-"),"|","-")))))</f>
        <v>#N/A</v>
      </c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3" t="str">
        <f>IF(K684="----","#N/A",CONCATENATE("MK|",(VLOOKUP(B684,Dictionary!$A:$B,2,0)),"_CH|",(VLOOKUP(C684,Dictionary!$AV:$AW,2,0)),"_DT|",(VLOOKUP(D684,Dictionary!$P:$Q,2,0)),"_PB|",(VLOOKUP(E684,Dictionary!$G:$H,2,0)),"_FM|",(VLOOKUP(F684,Dictionary!$S:$T,2,0)),"_RT|",(VLOOKUP(G684,Dictionary!$V:$W,2,0)),"_PD|",SUBSTITUTE(SUBSTITUTE(IF(H684="","NONE",H684),"_","-"),"|","-"),"_TG|",(VLOOKUP(I684,Dictionary!$J:$K,2,0)),"_ST|",(VLOOKUP(J684,Dictionary!$M:$N,2,0)),"_TS|",SUBSTITUTE(SUBSTITUTE(IF(K684="","NONE",K684),"_","-"),"|","-"),"_SZ|",(VLOOKUP(L684,Dictionary!$Y:$Z,1,0)),"_AD|",(VLOOKUP(M684,Dictionary!$AB:$AC,2,0)),"_IT|",(VLOOKUP(N684,Dictionary!$BC:$BD,2,0)),IF(O684="","",CONCATENATE("_U1|",SUBSTITUTE(SUBSTITUTE(O684,"_","-"),"|","-"))),IF(P684="","",CONCATENATE("_U2|",SUBSTITUTE(SUBSTITUTE(P684,"_","-"),"|","-"))),IF(Q684="","",CONCATENATE("_U3|",SUBSTITUTE(SUBSTITUTE(Q684,"_","-"),"|","-")))))</f>
        <v>#N/A</v>
      </c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3" t="str">
        <f>IF(K685="----","#N/A",CONCATENATE("MK|",(VLOOKUP(B685,Dictionary!$A:$B,2,0)),"_CH|",(VLOOKUP(C685,Dictionary!$AV:$AW,2,0)),"_DT|",(VLOOKUP(D685,Dictionary!$P:$Q,2,0)),"_PB|",(VLOOKUP(E685,Dictionary!$G:$H,2,0)),"_FM|",(VLOOKUP(F685,Dictionary!$S:$T,2,0)),"_RT|",(VLOOKUP(G685,Dictionary!$V:$W,2,0)),"_PD|",SUBSTITUTE(SUBSTITUTE(IF(H685="","NONE",H685),"_","-"),"|","-"),"_TG|",(VLOOKUP(I685,Dictionary!$J:$K,2,0)),"_ST|",(VLOOKUP(J685,Dictionary!$M:$N,2,0)),"_TS|",SUBSTITUTE(SUBSTITUTE(IF(K685="","NONE",K685),"_","-"),"|","-"),"_SZ|",(VLOOKUP(L685,Dictionary!$Y:$Z,1,0)),"_AD|",(VLOOKUP(M685,Dictionary!$AB:$AC,2,0)),"_IT|",(VLOOKUP(N685,Dictionary!$BC:$BD,2,0)),IF(O685="","",CONCATENATE("_U1|",SUBSTITUTE(SUBSTITUTE(O685,"_","-"),"|","-"))),IF(P685="","",CONCATENATE("_U2|",SUBSTITUTE(SUBSTITUTE(P685,"_","-"),"|","-"))),IF(Q685="","",CONCATENATE("_U3|",SUBSTITUTE(SUBSTITUTE(Q685,"_","-"),"|","-")))))</f>
        <v>#N/A</v>
      </c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3" t="str">
        <f>IF(K686="----","#N/A",CONCATENATE("MK|",(VLOOKUP(B686,Dictionary!$A:$B,2,0)),"_CH|",(VLOOKUP(C686,Dictionary!$AV:$AW,2,0)),"_DT|",(VLOOKUP(D686,Dictionary!$P:$Q,2,0)),"_PB|",(VLOOKUP(E686,Dictionary!$G:$H,2,0)),"_FM|",(VLOOKUP(F686,Dictionary!$S:$T,2,0)),"_RT|",(VLOOKUP(G686,Dictionary!$V:$W,2,0)),"_PD|",SUBSTITUTE(SUBSTITUTE(IF(H686="","NONE",H686),"_","-"),"|","-"),"_TG|",(VLOOKUP(I686,Dictionary!$J:$K,2,0)),"_ST|",(VLOOKUP(J686,Dictionary!$M:$N,2,0)),"_TS|",SUBSTITUTE(SUBSTITUTE(IF(K686="","NONE",K686),"_","-"),"|","-"),"_SZ|",(VLOOKUP(L686,Dictionary!$Y:$Z,1,0)),"_AD|",(VLOOKUP(M686,Dictionary!$AB:$AC,2,0)),"_IT|",(VLOOKUP(N686,Dictionary!$BC:$BD,2,0)),IF(O686="","",CONCATENATE("_U1|",SUBSTITUTE(SUBSTITUTE(O686,"_","-"),"|","-"))),IF(P686="","",CONCATENATE("_U2|",SUBSTITUTE(SUBSTITUTE(P686,"_","-"),"|","-"))),IF(Q686="","",CONCATENATE("_U3|",SUBSTITUTE(SUBSTITUTE(Q686,"_","-"),"|","-")))))</f>
        <v>#N/A</v>
      </c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3" t="str">
        <f>IF(K687="----","#N/A",CONCATENATE("MK|",(VLOOKUP(B687,Dictionary!$A:$B,2,0)),"_CH|",(VLOOKUP(C687,Dictionary!$AV:$AW,2,0)),"_DT|",(VLOOKUP(D687,Dictionary!$P:$Q,2,0)),"_PB|",(VLOOKUP(E687,Dictionary!$G:$H,2,0)),"_FM|",(VLOOKUP(F687,Dictionary!$S:$T,2,0)),"_RT|",(VLOOKUP(G687,Dictionary!$V:$W,2,0)),"_PD|",SUBSTITUTE(SUBSTITUTE(IF(H687="","NONE",H687),"_","-"),"|","-"),"_TG|",(VLOOKUP(I687,Dictionary!$J:$K,2,0)),"_ST|",(VLOOKUP(J687,Dictionary!$M:$N,2,0)),"_TS|",SUBSTITUTE(SUBSTITUTE(IF(K687="","NONE",K687),"_","-"),"|","-"),"_SZ|",(VLOOKUP(L687,Dictionary!$Y:$Z,1,0)),"_AD|",(VLOOKUP(M687,Dictionary!$AB:$AC,2,0)),"_IT|",(VLOOKUP(N687,Dictionary!$BC:$BD,2,0)),IF(O687="","",CONCATENATE("_U1|",SUBSTITUTE(SUBSTITUTE(O687,"_","-"),"|","-"))),IF(P687="","",CONCATENATE("_U2|",SUBSTITUTE(SUBSTITUTE(P687,"_","-"),"|","-"))),IF(Q687="","",CONCATENATE("_U3|",SUBSTITUTE(SUBSTITUTE(Q687,"_","-"),"|","-")))))</f>
        <v>#N/A</v>
      </c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3" t="str">
        <f>IF(K688="----","#N/A",CONCATENATE("MK|",(VLOOKUP(B688,Dictionary!$A:$B,2,0)),"_CH|",(VLOOKUP(C688,Dictionary!$AV:$AW,2,0)),"_DT|",(VLOOKUP(D688,Dictionary!$P:$Q,2,0)),"_PB|",(VLOOKUP(E688,Dictionary!$G:$H,2,0)),"_FM|",(VLOOKUP(F688,Dictionary!$S:$T,2,0)),"_RT|",(VLOOKUP(G688,Dictionary!$V:$W,2,0)),"_PD|",SUBSTITUTE(SUBSTITUTE(IF(H688="","NONE",H688),"_","-"),"|","-"),"_TG|",(VLOOKUP(I688,Dictionary!$J:$K,2,0)),"_ST|",(VLOOKUP(J688,Dictionary!$M:$N,2,0)),"_TS|",SUBSTITUTE(SUBSTITUTE(IF(K688="","NONE",K688),"_","-"),"|","-"),"_SZ|",(VLOOKUP(L688,Dictionary!$Y:$Z,1,0)),"_AD|",(VLOOKUP(M688,Dictionary!$AB:$AC,2,0)),"_IT|",(VLOOKUP(N688,Dictionary!$BC:$BD,2,0)),IF(O688="","",CONCATENATE("_U1|",SUBSTITUTE(SUBSTITUTE(O688,"_","-"),"|","-"))),IF(P688="","",CONCATENATE("_U2|",SUBSTITUTE(SUBSTITUTE(P688,"_","-"),"|","-"))),IF(Q688="","",CONCATENATE("_U3|",SUBSTITUTE(SUBSTITUTE(Q688,"_","-"),"|","-")))))</f>
        <v>#N/A</v>
      </c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3" t="str">
        <f>IF(K689="----","#N/A",CONCATENATE("MK|",(VLOOKUP(B689,Dictionary!$A:$B,2,0)),"_CH|",(VLOOKUP(C689,Dictionary!$AV:$AW,2,0)),"_DT|",(VLOOKUP(D689,Dictionary!$P:$Q,2,0)),"_PB|",(VLOOKUP(E689,Dictionary!$G:$H,2,0)),"_FM|",(VLOOKUP(F689,Dictionary!$S:$T,2,0)),"_RT|",(VLOOKUP(G689,Dictionary!$V:$W,2,0)),"_PD|",SUBSTITUTE(SUBSTITUTE(IF(H689="","NONE",H689),"_","-"),"|","-"),"_TG|",(VLOOKUP(I689,Dictionary!$J:$K,2,0)),"_ST|",(VLOOKUP(J689,Dictionary!$M:$N,2,0)),"_TS|",SUBSTITUTE(SUBSTITUTE(IF(K689="","NONE",K689),"_","-"),"|","-"),"_SZ|",(VLOOKUP(L689,Dictionary!$Y:$Z,1,0)),"_AD|",(VLOOKUP(M689,Dictionary!$AB:$AC,2,0)),"_IT|",(VLOOKUP(N689,Dictionary!$BC:$BD,2,0)),IF(O689="","",CONCATENATE("_U1|",SUBSTITUTE(SUBSTITUTE(O689,"_","-"),"|","-"))),IF(P689="","",CONCATENATE("_U2|",SUBSTITUTE(SUBSTITUTE(P689,"_","-"),"|","-"))),IF(Q689="","",CONCATENATE("_U3|",SUBSTITUTE(SUBSTITUTE(Q689,"_","-"),"|","-")))))</f>
        <v>#N/A</v>
      </c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3" t="str">
        <f>IF(K690="----","#N/A",CONCATENATE("MK|",(VLOOKUP(B690,Dictionary!$A:$B,2,0)),"_CH|",(VLOOKUP(C690,Dictionary!$AV:$AW,2,0)),"_DT|",(VLOOKUP(D690,Dictionary!$P:$Q,2,0)),"_PB|",(VLOOKUP(E690,Dictionary!$G:$H,2,0)),"_FM|",(VLOOKUP(F690,Dictionary!$S:$T,2,0)),"_RT|",(VLOOKUP(G690,Dictionary!$V:$W,2,0)),"_PD|",SUBSTITUTE(SUBSTITUTE(IF(H690="","NONE",H690),"_","-"),"|","-"),"_TG|",(VLOOKUP(I690,Dictionary!$J:$K,2,0)),"_ST|",(VLOOKUP(J690,Dictionary!$M:$N,2,0)),"_TS|",SUBSTITUTE(SUBSTITUTE(IF(K690="","NONE",K690),"_","-"),"|","-"),"_SZ|",(VLOOKUP(L690,Dictionary!$Y:$Z,1,0)),"_AD|",(VLOOKUP(M690,Dictionary!$AB:$AC,2,0)),"_IT|",(VLOOKUP(N690,Dictionary!$BC:$BD,2,0)),IF(O690="","",CONCATENATE("_U1|",SUBSTITUTE(SUBSTITUTE(O690,"_","-"),"|","-"))),IF(P690="","",CONCATENATE("_U2|",SUBSTITUTE(SUBSTITUTE(P690,"_","-"),"|","-"))),IF(Q690="","",CONCATENATE("_U3|",SUBSTITUTE(SUBSTITUTE(Q690,"_","-"),"|","-")))))</f>
        <v>#N/A</v>
      </c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3" t="str">
        <f>IF(K691="----","#N/A",CONCATENATE("MK|",(VLOOKUP(B691,Dictionary!$A:$B,2,0)),"_CH|",(VLOOKUP(C691,Dictionary!$AV:$AW,2,0)),"_DT|",(VLOOKUP(D691,Dictionary!$P:$Q,2,0)),"_PB|",(VLOOKUP(E691,Dictionary!$G:$H,2,0)),"_FM|",(VLOOKUP(F691,Dictionary!$S:$T,2,0)),"_RT|",(VLOOKUP(G691,Dictionary!$V:$W,2,0)),"_PD|",SUBSTITUTE(SUBSTITUTE(IF(H691="","NONE",H691),"_","-"),"|","-"),"_TG|",(VLOOKUP(I691,Dictionary!$J:$K,2,0)),"_ST|",(VLOOKUP(J691,Dictionary!$M:$N,2,0)),"_TS|",SUBSTITUTE(SUBSTITUTE(IF(K691="","NONE",K691),"_","-"),"|","-"),"_SZ|",(VLOOKUP(L691,Dictionary!$Y:$Z,1,0)),"_AD|",(VLOOKUP(M691,Dictionary!$AB:$AC,2,0)),"_IT|",(VLOOKUP(N691,Dictionary!$BC:$BD,2,0)),IF(O691="","",CONCATENATE("_U1|",SUBSTITUTE(SUBSTITUTE(O691,"_","-"),"|","-"))),IF(P691="","",CONCATENATE("_U2|",SUBSTITUTE(SUBSTITUTE(P691,"_","-"),"|","-"))),IF(Q691="","",CONCATENATE("_U3|",SUBSTITUTE(SUBSTITUTE(Q691,"_","-"),"|","-")))))</f>
        <v>#N/A</v>
      </c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3" t="str">
        <f>IF(K692="----","#N/A",CONCATENATE("MK|",(VLOOKUP(B692,Dictionary!$A:$B,2,0)),"_CH|",(VLOOKUP(C692,Dictionary!$AV:$AW,2,0)),"_DT|",(VLOOKUP(D692,Dictionary!$P:$Q,2,0)),"_PB|",(VLOOKUP(E692,Dictionary!$G:$H,2,0)),"_FM|",(VLOOKUP(F692,Dictionary!$S:$T,2,0)),"_RT|",(VLOOKUP(G692,Dictionary!$V:$W,2,0)),"_PD|",SUBSTITUTE(SUBSTITUTE(IF(H692="","NONE",H692),"_","-"),"|","-"),"_TG|",(VLOOKUP(I692,Dictionary!$J:$K,2,0)),"_ST|",(VLOOKUP(J692,Dictionary!$M:$N,2,0)),"_TS|",SUBSTITUTE(SUBSTITUTE(IF(K692="","NONE",K692),"_","-"),"|","-"),"_SZ|",(VLOOKUP(L692,Dictionary!$Y:$Z,1,0)),"_AD|",(VLOOKUP(M692,Dictionary!$AB:$AC,2,0)),"_IT|",(VLOOKUP(N692,Dictionary!$BC:$BD,2,0)),IF(O692="","",CONCATENATE("_U1|",SUBSTITUTE(SUBSTITUTE(O692,"_","-"),"|","-"))),IF(P692="","",CONCATENATE("_U2|",SUBSTITUTE(SUBSTITUTE(P692,"_","-"),"|","-"))),IF(Q692="","",CONCATENATE("_U3|",SUBSTITUTE(SUBSTITUTE(Q692,"_","-"),"|","-")))))</f>
        <v>#N/A</v>
      </c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3" t="str">
        <f>IF(K693="----","#N/A",CONCATENATE("MK|",(VLOOKUP(B693,Dictionary!$A:$B,2,0)),"_CH|",(VLOOKUP(C693,Dictionary!$AV:$AW,2,0)),"_DT|",(VLOOKUP(D693,Dictionary!$P:$Q,2,0)),"_PB|",(VLOOKUP(E693,Dictionary!$G:$H,2,0)),"_FM|",(VLOOKUP(F693,Dictionary!$S:$T,2,0)),"_RT|",(VLOOKUP(G693,Dictionary!$V:$W,2,0)),"_PD|",SUBSTITUTE(SUBSTITUTE(IF(H693="","NONE",H693),"_","-"),"|","-"),"_TG|",(VLOOKUP(I693,Dictionary!$J:$K,2,0)),"_ST|",(VLOOKUP(J693,Dictionary!$M:$N,2,0)),"_TS|",SUBSTITUTE(SUBSTITUTE(IF(K693="","NONE",K693),"_","-"),"|","-"),"_SZ|",(VLOOKUP(L693,Dictionary!$Y:$Z,1,0)),"_AD|",(VLOOKUP(M693,Dictionary!$AB:$AC,2,0)),"_IT|",(VLOOKUP(N693,Dictionary!$BC:$BD,2,0)),IF(O693="","",CONCATENATE("_U1|",SUBSTITUTE(SUBSTITUTE(O693,"_","-"),"|","-"))),IF(P693="","",CONCATENATE("_U2|",SUBSTITUTE(SUBSTITUTE(P693,"_","-"),"|","-"))),IF(Q693="","",CONCATENATE("_U3|",SUBSTITUTE(SUBSTITUTE(Q693,"_","-"),"|","-")))))</f>
        <v>#N/A</v>
      </c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3" t="str">
        <f>IF(K694="----","#N/A",CONCATENATE("MK|",(VLOOKUP(B694,Dictionary!$A:$B,2,0)),"_CH|",(VLOOKUP(C694,Dictionary!$AV:$AW,2,0)),"_DT|",(VLOOKUP(D694,Dictionary!$P:$Q,2,0)),"_PB|",(VLOOKUP(E694,Dictionary!$G:$H,2,0)),"_FM|",(VLOOKUP(F694,Dictionary!$S:$T,2,0)),"_RT|",(VLOOKUP(G694,Dictionary!$V:$W,2,0)),"_PD|",SUBSTITUTE(SUBSTITUTE(IF(H694="","NONE",H694),"_","-"),"|","-"),"_TG|",(VLOOKUP(I694,Dictionary!$J:$K,2,0)),"_ST|",(VLOOKUP(J694,Dictionary!$M:$N,2,0)),"_TS|",SUBSTITUTE(SUBSTITUTE(IF(K694="","NONE",K694),"_","-"),"|","-"),"_SZ|",(VLOOKUP(L694,Dictionary!$Y:$Z,1,0)),"_AD|",(VLOOKUP(M694,Dictionary!$AB:$AC,2,0)),"_IT|",(VLOOKUP(N694,Dictionary!$BC:$BD,2,0)),IF(O694="","",CONCATENATE("_U1|",SUBSTITUTE(SUBSTITUTE(O694,"_","-"),"|","-"))),IF(P694="","",CONCATENATE("_U2|",SUBSTITUTE(SUBSTITUTE(P694,"_","-"),"|","-"))),IF(Q694="","",CONCATENATE("_U3|",SUBSTITUTE(SUBSTITUTE(Q694,"_","-"),"|","-")))))</f>
        <v>#N/A</v>
      </c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3" t="str">
        <f>IF(K695="----","#N/A",CONCATENATE("MK|",(VLOOKUP(B695,Dictionary!$A:$B,2,0)),"_CH|",(VLOOKUP(C695,Dictionary!$AV:$AW,2,0)),"_DT|",(VLOOKUP(D695,Dictionary!$P:$Q,2,0)),"_PB|",(VLOOKUP(E695,Dictionary!$G:$H,2,0)),"_FM|",(VLOOKUP(F695,Dictionary!$S:$T,2,0)),"_RT|",(VLOOKUP(G695,Dictionary!$V:$W,2,0)),"_PD|",SUBSTITUTE(SUBSTITUTE(IF(H695="","NONE",H695),"_","-"),"|","-"),"_TG|",(VLOOKUP(I695,Dictionary!$J:$K,2,0)),"_ST|",(VLOOKUP(J695,Dictionary!$M:$N,2,0)),"_TS|",SUBSTITUTE(SUBSTITUTE(IF(K695="","NONE",K695),"_","-"),"|","-"),"_SZ|",(VLOOKUP(L695,Dictionary!$Y:$Z,1,0)),"_AD|",(VLOOKUP(M695,Dictionary!$AB:$AC,2,0)),"_IT|",(VLOOKUP(N695,Dictionary!$BC:$BD,2,0)),IF(O695="","",CONCATENATE("_U1|",SUBSTITUTE(SUBSTITUTE(O695,"_","-"),"|","-"))),IF(P695="","",CONCATENATE("_U2|",SUBSTITUTE(SUBSTITUTE(P695,"_","-"),"|","-"))),IF(Q695="","",CONCATENATE("_U3|",SUBSTITUTE(SUBSTITUTE(Q695,"_","-"),"|","-")))))</f>
        <v>#N/A</v>
      </c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3" t="str">
        <f>IF(K696="----","#N/A",CONCATENATE("MK|",(VLOOKUP(B696,Dictionary!$A:$B,2,0)),"_CH|",(VLOOKUP(C696,Dictionary!$AV:$AW,2,0)),"_DT|",(VLOOKUP(D696,Dictionary!$P:$Q,2,0)),"_PB|",(VLOOKUP(E696,Dictionary!$G:$H,2,0)),"_FM|",(VLOOKUP(F696,Dictionary!$S:$T,2,0)),"_RT|",(VLOOKUP(G696,Dictionary!$V:$W,2,0)),"_PD|",SUBSTITUTE(SUBSTITUTE(IF(H696="","NONE",H696),"_","-"),"|","-"),"_TG|",(VLOOKUP(I696,Dictionary!$J:$K,2,0)),"_ST|",(VLOOKUP(J696,Dictionary!$M:$N,2,0)),"_TS|",SUBSTITUTE(SUBSTITUTE(IF(K696="","NONE",K696),"_","-"),"|","-"),"_SZ|",(VLOOKUP(L696,Dictionary!$Y:$Z,1,0)),"_AD|",(VLOOKUP(M696,Dictionary!$AB:$AC,2,0)),"_IT|",(VLOOKUP(N696,Dictionary!$BC:$BD,2,0)),IF(O696="","",CONCATENATE("_U1|",SUBSTITUTE(SUBSTITUTE(O696,"_","-"),"|","-"))),IF(P696="","",CONCATENATE("_U2|",SUBSTITUTE(SUBSTITUTE(P696,"_","-"),"|","-"))),IF(Q696="","",CONCATENATE("_U3|",SUBSTITUTE(SUBSTITUTE(Q696,"_","-"),"|","-")))))</f>
        <v>#N/A</v>
      </c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3" t="str">
        <f>IF(K697="----","#N/A",CONCATENATE("MK|",(VLOOKUP(B697,Dictionary!$A:$B,2,0)),"_CH|",(VLOOKUP(C697,Dictionary!$AV:$AW,2,0)),"_DT|",(VLOOKUP(D697,Dictionary!$P:$Q,2,0)),"_PB|",(VLOOKUP(E697,Dictionary!$G:$H,2,0)),"_FM|",(VLOOKUP(F697,Dictionary!$S:$T,2,0)),"_RT|",(VLOOKUP(G697,Dictionary!$V:$W,2,0)),"_PD|",SUBSTITUTE(SUBSTITUTE(IF(H697="","NONE",H697),"_","-"),"|","-"),"_TG|",(VLOOKUP(I697,Dictionary!$J:$K,2,0)),"_ST|",(VLOOKUP(J697,Dictionary!$M:$N,2,0)),"_TS|",SUBSTITUTE(SUBSTITUTE(IF(K697="","NONE",K697),"_","-"),"|","-"),"_SZ|",(VLOOKUP(L697,Dictionary!$Y:$Z,1,0)),"_AD|",(VLOOKUP(M697,Dictionary!$AB:$AC,2,0)),"_IT|",(VLOOKUP(N697,Dictionary!$BC:$BD,2,0)),IF(O697="","",CONCATENATE("_U1|",SUBSTITUTE(SUBSTITUTE(O697,"_","-"),"|","-"))),IF(P697="","",CONCATENATE("_U2|",SUBSTITUTE(SUBSTITUTE(P697,"_","-"),"|","-"))),IF(Q697="","",CONCATENATE("_U3|",SUBSTITUTE(SUBSTITUTE(Q697,"_","-"),"|","-")))))</f>
        <v>#N/A</v>
      </c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3" t="str">
        <f>IF(K698="----","#N/A",CONCATENATE("MK|",(VLOOKUP(B698,Dictionary!$A:$B,2,0)),"_CH|",(VLOOKUP(C698,Dictionary!$AV:$AW,2,0)),"_DT|",(VLOOKUP(D698,Dictionary!$P:$Q,2,0)),"_PB|",(VLOOKUP(E698,Dictionary!$G:$H,2,0)),"_FM|",(VLOOKUP(F698,Dictionary!$S:$T,2,0)),"_RT|",(VLOOKUP(G698,Dictionary!$V:$W,2,0)),"_PD|",SUBSTITUTE(SUBSTITUTE(IF(H698="","NONE",H698),"_","-"),"|","-"),"_TG|",(VLOOKUP(I698,Dictionary!$J:$K,2,0)),"_ST|",(VLOOKUP(J698,Dictionary!$M:$N,2,0)),"_TS|",SUBSTITUTE(SUBSTITUTE(IF(K698="","NONE",K698),"_","-"),"|","-"),"_SZ|",(VLOOKUP(L698,Dictionary!$Y:$Z,1,0)),"_AD|",(VLOOKUP(M698,Dictionary!$AB:$AC,2,0)),"_IT|",(VLOOKUP(N698,Dictionary!$BC:$BD,2,0)),IF(O698="","",CONCATENATE("_U1|",SUBSTITUTE(SUBSTITUTE(O698,"_","-"),"|","-"))),IF(P698="","",CONCATENATE("_U2|",SUBSTITUTE(SUBSTITUTE(P698,"_","-"),"|","-"))),IF(Q698="","",CONCATENATE("_U3|",SUBSTITUTE(SUBSTITUTE(Q698,"_","-"),"|","-")))))</f>
        <v>#N/A</v>
      </c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3" t="str">
        <f>IF(K699="----","#N/A",CONCATENATE("MK|",(VLOOKUP(B699,Dictionary!$A:$B,2,0)),"_CH|",(VLOOKUP(C699,Dictionary!$AV:$AW,2,0)),"_DT|",(VLOOKUP(D699,Dictionary!$P:$Q,2,0)),"_PB|",(VLOOKUP(E699,Dictionary!$G:$H,2,0)),"_FM|",(VLOOKUP(F699,Dictionary!$S:$T,2,0)),"_RT|",(VLOOKUP(G699,Dictionary!$V:$W,2,0)),"_PD|",SUBSTITUTE(SUBSTITUTE(IF(H699="","NONE",H699),"_","-"),"|","-"),"_TG|",(VLOOKUP(I699,Dictionary!$J:$K,2,0)),"_ST|",(VLOOKUP(J699,Dictionary!$M:$N,2,0)),"_TS|",SUBSTITUTE(SUBSTITUTE(IF(K699="","NONE",K699),"_","-"),"|","-"),"_SZ|",(VLOOKUP(L699,Dictionary!$Y:$Z,1,0)),"_AD|",(VLOOKUP(M699,Dictionary!$AB:$AC,2,0)),"_IT|",(VLOOKUP(N699,Dictionary!$BC:$BD,2,0)),IF(O699="","",CONCATENATE("_U1|",SUBSTITUTE(SUBSTITUTE(O699,"_","-"),"|","-"))),IF(P699="","",CONCATENATE("_U2|",SUBSTITUTE(SUBSTITUTE(P699,"_","-"),"|","-"))),IF(Q699="","",CONCATENATE("_U3|",SUBSTITUTE(SUBSTITUTE(Q699,"_","-"),"|","-")))))</f>
        <v>#N/A</v>
      </c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3" t="str">
        <f>IF(K700="----","#N/A",CONCATENATE("MK|",(VLOOKUP(B700,Dictionary!$A:$B,2,0)),"_CH|",(VLOOKUP(C700,Dictionary!$AV:$AW,2,0)),"_DT|",(VLOOKUP(D700,Dictionary!$P:$Q,2,0)),"_PB|",(VLOOKUP(E700,Dictionary!$G:$H,2,0)),"_FM|",(VLOOKUP(F700,Dictionary!$S:$T,2,0)),"_RT|",(VLOOKUP(G700,Dictionary!$V:$W,2,0)),"_PD|",SUBSTITUTE(SUBSTITUTE(IF(H700="","NONE",H700),"_","-"),"|","-"),"_TG|",(VLOOKUP(I700,Dictionary!$J:$K,2,0)),"_ST|",(VLOOKUP(J700,Dictionary!$M:$N,2,0)),"_TS|",SUBSTITUTE(SUBSTITUTE(IF(K700="","NONE",K700),"_","-"),"|","-"),"_SZ|",(VLOOKUP(L700,Dictionary!$Y:$Z,1,0)),"_AD|",(VLOOKUP(M700,Dictionary!$AB:$AC,2,0)),"_IT|",(VLOOKUP(N700,Dictionary!$BC:$BD,2,0)),IF(O700="","",CONCATENATE("_U1|",SUBSTITUTE(SUBSTITUTE(O700,"_","-"),"|","-"))),IF(P700="","",CONCATENATE("_U2|",SUBSTITUTE(SUBSTITUTE(P700,"_","-"),"|","-"))),IF(Q700="","",CONCATENATE("_U3|",SUBSTITUTE(SUBSTITUTE(Q700,"_","-"),"|","-")))))</f>
        <v>#N/A</v>
      </c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3" t="str">
        <f>IF(K701="----","#N/A",CONCATENATE("MK|",(VLOOKUP(B701,Dictionary!$A:$B,2,0)),"_CH|",(VLOOKUP(C701,Dictionary!$AV:$AW,2,0)),"_DT|",(VLOOKUP(D701,Dictionary!$P:$Q,2,0)),"_PB|",(VLOOKUP(E701,Dictionary!$G:$H,2,0)),"_FM|",(VLOOKUP(F701,Dictionary!$S:$T,2,0)),"_RT|",(VLOOKUP(G701,Dictionary!$V:$W,2,0)),"_PD|",SUBSTITUTE(SUBSTITUTE(IF(H701="","NONE",H701),"_","-"),"|","-"),"_TG|",(VLOOKUP(I701,Dictionary!$J:$K,2,0)),"_ST|",(VLOOKUP(J701,Dictionary!$M:$N,2,0)),"_TS|",SUBSTITUTE(SUBSTITUTE(IF(K701="","NONE",K701),"_","-"),"|","-"),"_SZ|",(VLOOKUP(L701,Dictionary!$Y:$Z,1,0)),"_AD|",(VLOOKUP(M701,Dictionary!$AB:$AC,2,0)),"_IT|",(VLOOKUP(N701,Dictionary!$BC:$BD,2,0)),IF(O701="","",CONCATENATE("_U1|",SUBSTITUTE(SUBSTITUTE(O701,"_","-"),"|","-"))),IF(P701="","",CONCATENATE("_U2|",SUBSTITUTE(SUBSTITUTE(P701,"_","-"),"|","-"))),IF(Q701="","",CONCATENATE("_U3|",SUBSTITUTE(SUBSTITUTE(Q701,"_","-"),"|","-")))))</f>
        <v>#N/A</v>
      </c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3" t="str">
        <f>IF(K702="----","#N/A",CONCATENATE("MK|",(VLOOKUP(B702,Dictionary!$A:$B,2,0)),"_CH|",(VLOOKUP(C702,Dictionary!$AV:$AW,2,0)),"_DT|",(VLOOKUP(D702,Dictionary!$P:$Q,2,0)),"_PB|",(VLOOKUP(E702,Dictionary!$G:$H,2,0)),"_FM|",(VLOOKUP(F702,Dictionary!$S:$T,2,0)),"_RT|",(VLOOKUP(G702,Dictionary!$V:$W,2,0)),"_PD|",SUBSTITUTE(SUBSTITUTE(IF(H702="","NONE",H702),"_","-"),"|","-"),"_TG|",(VLOOKUP(I702,Dictionary!$J:$K,2,0)),"_ST|",(VLOOKUP(J702,Dictionary!$M:$N,2,0)),"_TS|",SUBSTITUTE(SUBSTITUTE(IF(K702="","NONE",K702),"_","-"),"|","-"),"_SZ|",(VLOOKUP(L702,Dictionary!$Y:$Z,1,0)),"_AD|",(VLOOKUP(M702,Dictionary!$AB:$AC,2,0)),"_IT|",(VLOOKUP(N702,Dictionary!$BC:$BD,2,0)),IF(O702="","",CONCATENATE("_U1|",SUBSTITUTE(SUBSTITUTE(O702,"_","-"),"|","-"))),IF(P702="","",CONCATENATE("_U2|",SUBSTITUTE(SUBSTITUTE(P702,"_","-"),"|","-"))),IF(Q702="","",CONCATENATE("_U3|",SUBSTITUTE(SUBSTITUTE(Q702,"_","-"),"|","-")))))</f>
        <v>#N/A</v>
      </c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3" t="str">
        <f>IF(K703="----","#N/A",CONCATENATE("MK|",(VLOOKUP(B703,Dictionary!$A:$B,2,0)),"_CH|",(VLOOKUP(C703,Dictionary!$AV:$AW,2,0)),"_DT|",(VLOOKUP(D703,Dictionary!$P:$Q,2,0)),"_PB|",(VLOOKUP(E703,Dictionary!$G:$H,2,0)),"_FM|",(VLOOKUP(F703,Dictionary!$S:$T,2,0)),"_RT|",(VLOOKUP(G703,Dictionary!$V:$W,2,0)),"_PD|",SUBSTITUTE(SUBSTITUTE(IF(H703="","NONE",H703),"_","-"),"|","-"),"_TG|",(VLOOKUP(I703,Dictionary!$J:$K,2,0)),"_ST|",(VLOOKUP(J703,Dictionary!$M:$N,2,0)),"_TS|",SUBSTITUTE(SUBSTITUTE(IF(K703="","NONE",K703),"_","-"),"|","-"),"_SZ|",(VLOOKUP(L703,Dictionary!$Y:$Z,1,0)),"_AD|",(VLOOKUP(M703,Dictionary!$AB:$AC,2,0)),"_IT|",(VLOOKUP(N703,Dictionary!$BC:$BD,2,0)),IF(O703="","",CONCATENATE("_U1|",SUBSTITUTE(SUBSTITUTE(O703,"_","-"),"|","-"))),IF(P703="","",CONCATENATE("_U2|",SUBSTITUTE(SUBSTITUTE(P703,"_","-"),"|","-"))),IF(Q703="","",CONCATENATE("_U3|",SUBSTITUTE(SUBSTITUTE(Q703,"_","-"),"|","-")))))</f>
        <v>#N/A</v>
      </c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3" t="str">
        <f>IF(K704="----","#N/A",CONCATENATE("MK|",(VLOOKUP(B704,Dictionary!$A:$B,2,0)),"_CH|",(VLOOKUP(C704,Dictionary!$AV:$AW,2,0)),"_DT|",(VLOOKUP(D704,Dictionary!$P:$Q,2,0)),"_PB|",(VLOOKUP(E704,Dictionary!$G:$H,2,0)),"_FM|",(VLOOKUP(F704,Dictionary!$S:$T,2,0)),"_RT|",(VLOOKUP(G704,Dictionary!$V:$W,2,0)),"_PD|",SUBSTITUTE(SUBSTITUTE(IF(H704="","NONE",H704),"_","-"),"|","-"),"_TG|",(VLOOKUP(I704,Dictionary!$J:$K,2,0)),"_ST|",(VLOOKUP(J704,Dictionary!$M:$N,2,0)),"_TS|",SUBSTITUTE(SUBSTITUTE(IF(K704="","NONE",K704),"_","-"),"|","-"),"_SZ|",(VLOOKUP(L704,Dictionary!$Y:$Z,1,0)),"_AD|",(VLOOKUP(M704,Dictionary!$AB:$AC,2,0)),"_IT|",(VLOOKUP(N704,Dictionary!$BC:$BD,2,0)),IF(O704="","",CONCATENATE("_U1|",SUBSTITUTE(SUBSTITUTE(O704,"_","-"),"|","-"))),IF(P704="","",CONCATENATE("_U2|",SUBSTITUTE(SUBSTITUTE(P704,"_","-"),"|","-"))),IF(Q704="","",CONCATENATE("_U3|",SUBSTITUTE(SUBSTITUTE(Q704,"_","-"),"|","-")))))</f>
        <v>#N/A</v>
      </c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3" t="str">
        <f>IF(K705="----","#N/A",CONCATENATE("MK|",(VLOOKUP(B705,Dictionary!$A:$B,2,0)),"_CH|",(VLOOKUP(C705,Dictionary!$AV:$AW,2,0)),"_DT|",(VLOOKUP(D705,Dictionary!$P:$Q,2,0)),"_PB|",(VLOOKUP(E705,Dictionary!$G:$H,2,0)),"_FM|",(VLOOKUP(F705,Dictionary!$S:$T,2,0)),"_RT|",(VLOOKUP(G705,Dictionary!$V:$W,2,0)),"_PD|",SUBSTITUTE(SUBSTITUTE(IF(H705="","NONE",H705),"_","-"),"|","-"),"_TG|",(VLOOKUP(I705,Dictionary!$J:$K,2,0)),"_ST|",(VLOOKUP(J705,Dictionary!$M:$N,2,0)),"_TS|",SUBSTITUTE(SUBSTITUTE(IF(K705="","NONE",K705),"_","-"),"|","-"),"_SZ|",(VLOOKUP(L705,Dictionary!$Y:$Z,1,0)),"_AD|",(VLOOKUP(M705,Dictionary!$AB:$AC,2,0)),"_IT|",(VLOOKUP(N705,Dictionary!$BC:$BD,2,0)),IF(O705="","",CONCATENATE("_U1|",SUBSTITUTE(SUBSTITUTE(O705,"_","-"),"|","-"))),IF(P705="","",CONCATENATE("_U2|",SUBSTITUTE(SUBSTITUTE(P705,"_","-"),"|","-"))),IF(Q705="","",CONCATENATE("_U3|",SUBSTITUTE(SUBSTITUTE(Q705,"_","-"),"|","-")))))</f>
        <v>#N/A</v>
      </c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3" t="str">
        <f>IF(K706="----","#N/A",CONCATENATE("MK|",(VLOOKUP(B706,Dictionary!$A:$B,2,0)),"_CH|",(VLOOKUP(C706,Dictionary!$AV:$AW,2,0)),"_DT|",(VLOOKUP(D706,Dictionary!$P:$Q,2,0)),"_PB|",(VLOOKUP(E706,Dictionary!$G:$H,2,0)),"_FM|",(VLOOKUP(F706,Dictionary!$S:$T,2,0)),"_RT|",(VLOOKUP(G706,Dictionary!$V:$W,2,0)),"_PD|",SUBSTITUTE(SUBSTITUTE(IF(H706="","NONE",H706),"_","-"),"|","-"),"_TG|",(VLOOKUP(I706,Dictionary!$J:$K,2,0)),"_ST|",(VLOOKUP(J706,Dictionary!$M:$N,2,0)),"_TS|",SUBSTITUTE(SUBSTITUTE(IF(K706="","NONE",K706),"_","-"),"|","-"),"_SZ|",(VLOOKUP(L706,Dictionary!$Y:$Z,1,0)),"_AD|",(VLOOKUP(M706,Dictionary!$AB:$AC,2,0)),"_IT|",(VLOOKUP(N706,Dictionary!$BC:$BD,2,0)),IF(O706="","",CONCATENATE("_U1|",SUBSTITUTE(SUBSTITUTE(O706,"_","-"),"|","-"))),IF(P706="","",CONCATENATE("_U2|",SUBSTITUTE(SUBSTITUTE(P706,"_","-"),"|","-"))),IF(Q706="","",CONCATENATE("_U3|",SUBSTITUTE(SUBSTITUTE(Q706,"_","-"),"|","-")))))</f>
        <v>#N/A</v>
      </c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3" t="str">
        <f>IF(K707="----","#N/A",CONCATENATE("MK|",(VLOOKUP(B707,Dictionary!$A:$B,2,0)),"_CH|",(VLOOKUP(C707,Dictionary!$AV:$AW,2,0)),"_DT|",(VLOOKUP(D707,Dictionary!$P:$Q,2,0)),"_PB|",(VLOOKUP(E707,Dictionary!$G:$H,2,0)),"_FM|",(VLOOKUP(F707,Dictionary!$S:$T,2,0)),"_RT|",(VLOOKUP(G707,Dictionary!$V:$W,2,0)),"_PD|",SUBSTITUTE(SUBSTITUTE(IF(H707="","NONE",H707),"_","-"),"|","-"),"_TG|",(VLOOKUP(I707,Dictionary!$J:$K,2,0)),"_ST|",(VLOOKUP(J707,Dictionary!$M:$N,2,0)),"_TS|",SUBSTITUTE(SUBSTITUTE(IF(K707="","NONE",K707),"_","-"),"|","-"),"_SZ|",(VLOOKUP(L707,Dictionary!$Y:$Z,1,0)),"_AD|",(VLOOKUP(M707,Dictionary!$AB:$AC,2,0)),"_IT|",(VLOOKUP(N707,Dictionary!$BC:$BD,2,0)),IF(O707="","",CONCATENATE("_U1|",SUBSTITUTE(SUBSTITUTE(O707,"_","-"),"|","-"))),IF(P707="","",CONCATENATE("_U2|",SUBSTITUTE(SUBSTITUTE(P707,"_","-"),"|","-"))),IF(Q707="","",CONCATENATE("_U3|",SUBSTITUTE(SUBSTITUTE(Q707,"_","-"),"|","-")))))</f>
        <v>#N/A</v>
      </c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3" t="str">
        <f>IF(K708="----","#N/A",CONCATENATE("MK|",(VLOOKUP(B708,Dictionary!$A:$B,2,0)),"_CH|",(VLOOKUP(C708,Dictionary!$AV:$AW,2,0)),"_DT|",(VLOOKUP(D708,Dictionary!$P:$Q,2,0)),"_PB|",(VLOOKUP(E708,Dictionary!$G:$H,2,0)),"_FM|",(VLOOKUP(F708,Dictionary!$S:$T,2,0)),"_RT|",(VLOOKUP(G708,Dictionary!$V:$W,2,0)),"_PD|",SUBSTITUTE(SUBSTITUTE(IF(H708="","NONE",H708),"_","-"),"|","-"),"_TG|",(VLOOKUP(I708,Dictionary!$J:$K,2,0)),"_ST|",(VLOOKUP(J708,Dictionary!$M:$N,2,0)),"_TS|",SUBSTITUTE(SUBSTITUTE(IF(K708="","NONE",K708),"_","-"),"|","-"),"_SZ|",(VLOOKUP(L708,Dictionary!$Y:$Z,1,0)),"_AD|",(VLOOKUP(M708,Dictionary!$AB:$AC,2,0)),"_IT|",(VLOOKUP(N708,Dictionary!$BC:$BD,2,0)),IF(O708="","",CONCATENATE("_U1|",SUBSTITUTE(SUBSTITUTE(O708,"_","-"),"|","-"))),IF(P708="","",CONCATENATE("_U2|",SUBSTITUTE(SUBSTITUTE(P708,"_","-"),"|","-"))),IF(Q708="","",CONCATENATE("_U3|",SUBSTITUTE(SUBSTITUTE(Q708,"_","-"),"|","-")))))</f>
        <v>#N/A</v>
      </c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3" t="str">
        <f>IF(K709="----","#N/A",CONCATENATE("MK|",(VLOOKUP(B709,Dictionary!$A:$B,2,0)),"_CH|",(VLOOKUP(C709,Dictionary!$AV:$AW,2,0)),"_DT|",(VLOOKUP(D709,Dictionary!$P:$Q,2,0)),"_PB|",(VLOOKUP(E709,Dictionary!$G:$H,2,0)),"_FM|",(VLOOKUP(F709,Dictionary!$S:$T,2,0)),"_RT|",(VLOOKUP(G709,Dictionary!$V:$W,2,0)),"_PD|",SUBSTITUTE(SUBSTITUTE(IF(H709="","NONE",H709),"_","-"),"|","-"),"_TG|",(VLOOKUP(I709,Dictionary!$J:$K,2,0)),"_ST|",(VLOOKUP(J709,Dictionary!$M:$N,2,0)),"_TS|",SUBSTITUTE(SUBSTITUTE(IF(K709="","NONE",K709),"_","-"),"|","-"),"_SZ|",(VLOOKUP(L709,Dictionary!$Y:$Z,1,0)),"_AD|",(VLOOKUP(M709,Dictionary!$AB:$AC,2,0)),"_IT|",(VLOOKUP(N709,Dictionary!$BC:$BD,2,0)),IF(O709="","",CONCATENATE("_U1|",SUBSTITUTE(SUBSTITUTE(O709,"_","-"),"|","-"))),IF(P709="","",CONCATENATE("_U2|",SUBSTITUTE(SUBSTITUTE(P709,"_","-"),"|","-"))),IF(Q709="","",CONCATENATE("_U3|",SUBSTITUTE(SUBSTITUTE(Q709,"_","-"),"|","-")))))</f>
        <v>#N/A</v>
      </c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3" t="str">
        <f>IF(K710="----","#N/A",CONCATENATE("MK|",(VLOOKUP(B710,Dictionary!$A:$B,2,0)),"_CH|",(VLOOKUP(C710,Dictionary!$AV:$AW,2,0)),"_DT|",(VLOOKUP(D710,Dictionary!$P:$Q,2,0)),"_PB|",(VLOOKUP(E710,Dictionary!$G:$H,2,0)),"_FM|",(VLOOKUP(F710,Dictionary!$S:$T,2,0)),"_RT|",(VLOOKUP(G710,Dictionary!$V:$W,2,0)),"_PD|",SUBSTITUTE(SUBSTITUTE(IF(H710="","NONE",H710),"_","-"),"|","-"),"_TG|",(VLOOKUP(I710,Dictionary!$J:$K,2,0)),"_ST|",(VLOOKUP(J710,Dictionary!$M:$N,2,0)),"_TS|",SUBSTITUTE(SUBSTITUTE(IF(K710="","NONE",K710),"_","-"),"|","-"),"_SZ|",(VLOOKUP(L710,Dictionary!$Y:$Z,1,0)),"_AD|",(VLOOKUP(M710,Dictionary!$AB:$AC,2,0)),"_IT|",(VLOOKUP(N710,Dictionary!$BC:$BD,2,0)),IF(O710="","",CONCATENATE("_U1|",SUBSTITUTE(SUBSTITUTE(O710,"_","-"),"|","-"))),IF(P710="","",CONCATENATE("_U2|",SUBSTITUTE(SUBSTITUTE(P710,"_","-"),"|","-"))),IF(Q710="","",CONCATENATE("_U3|",SUBSTITUTE(SUBSTITUTE(Q710,"_","-"),"|","-")))))</f>
        <v>#N/A</v>
      </c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3" t="str">
        <f>IF(K711="----","#N/A",CONCATENATE("MK|",(VLOOKUP(B711,Dictionary!$A:$B,2,0)),"_CH|",(VLOOKUP(C711,Dictionary!$AV:$AW,2,0)),"_DT|",(VLOOKUP(D711,Dictionary!$P:$Q,2,0)),"_PB|",(VLOOKUP(E711,Dictionary!$G:$H,2,0)),"_FM|",(VLOOKUP(F711,Dictionary!$S:$T,2,0)),"_RT|",(VLOOKUP(G711,Dictionary!$V:$W,2,0)),"_PD|",SUBSTITUTE(SUBSTITUTE(IF(H711="","NONE",H711),"_","-"),"|","-"),"_TG|",(VLOOKUP(I711,Dictionary!$J:$K,2,0)),"_ST|",(VLOOKUP(J711,Dictionary!$M:$N,2,0)),"_TS|",SUBSTITUTE(SUBSTITUTE(IF(K711="","NONE",K711),"_","-"),"|","-"),"_SZ|",(VLOOKUP(L711,Dictionary!$Y:$Z,1,0)),"_AD|",(VLOOKUP(M711,Dictionary!$AB:$AC,2,0)),"_IT|",(VLOOKUP(N711,Dictionary!$BC:$BD,2,0)),IF(O711="","",CONCATENATE("_U1|",SUBSTITUTE(SUBSTITUTE(O711,"_","-"),"|","-"))),IF(P711="","",CONCATENATE("_U2|",SUBSTITUTE(SUBSTITUTE(P711,"_","-"),"|","-"))),IF(Q711="","",CONCATENATE("_U3|",SUBSTITUTE(SUBSTITUTE(Q711,"_","-"),"|","-")))))</f>
        <v>#N/A</v>
      </c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3" t="str">
        <f>IF(K712="----","#N/A",CONCATENATE("MK|",(VLOOKUP(B712,Dictionary!$A:$B,2,0)),"_CH|",(VLOOKUP(C712,Dictionary!$AV:$AW,2,0)),"_DT|",(VLOOKUP(D712,Dictionary!$P:$Q,2,0)),"_PB|",(VLOOKUP(E712,Dictionary!$G:$H,2,0)),"_FM|",(VLOOKUP(F712,Dictionary!$S:$T,2,0)),"_RT|",(VLOOKUP(G712,Dictionary!$V:$W,2,0)),"_PD|",SUBSTITUTE(SUBSTITUTE(IF(H712="","NONE",H712),"_","-"),"|","-"),"_TG|",(VLOOKUP(I712,Dictionary!$J:$K,2,0)),"_ST|",(VLOOKUP(J712,Dictionary!$M:$N,2,0)),"_TS|",SUBSTITUTE(SUBSTITUTE(IF(K712="","NONE",K712),"_","-"),"|","-"),"_SZ|",(VLOOKUP(L712,Dictionary!$Y:$Z,1,0)),"_AD|",(VLOOKUP(M712,Dictionary!$AB:$AC,2,0)),"_IT|",(VLOOKUP(N712,Dictionary!$BC:$BD,2,0)),IF(O712="","",CONCATENATE("_U1|",SUBSTITUTE(SUBSTITUTE(O712,"_","-"),"|","-"))),IF(P712="","",CONCATENATE("_U2|",SUBSTITUTE(SUBSTITUTE(P712,"_","-"),"|","-"))),IF(Q712="","",CONCATENATE("_U3|",SUBSTITUTE(SUBSTITUTE(Q712,"_","-"),"|","-")))))</f>
        <v>#N/A</v>
      </c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3" t="str">
        <f>IF(K713="----","#N/A",CONCATENATE("MK|",(VLOOKUP(B713,Dictionary!$A:$B,2,0)),"_CH|",(VLOOKUP(C713,Dictionary!$AV:$AW,2,0)),"_DT|",(VLOOKUP(D713,Dictionary!$P:$Q,2,0)),"_PB|",(VLOOKUP(E713,Dictionary!$G:$H,2,0)),"_FM|",(VLOOKUP(F713,Dictionary!$S:$T,2,0)),"_RT|",(VLOOKUP(G713,Dictionary!$V:$W,2,0)),"_PD|",SUBSTITUTE(SUBSTITUTE(IF(H713="","NONE",H713),"_","-"),"|","-"),"_TG|",(VLOOKUP(I713,Dictionary!$J:$K,2,0)),"_ST|",(VLOOKUP(J713,Dictionary!$M:$N,2,0)),"_TS|",SUBSTITUTE(SUBSTITUTE(IF(K713="","NONE",K713),"_","-"),"|","-"),"_SZ|",(VLOOKUP(L713,Dictionary!$Y:$Z,1,0)),"_AD|",(VLOOKUP(M713,Dictionary!$AB:$AC,2,0)),"_IT|",(VLOOKUP(N713,Dictionary!$BC:$BD,2,0)),IF(O713="","",CONCATENATE("_U1|",SUBSTITUTE(SUBSTITUTE(O713,"_","-"),"|","-"))),IF(P713="","",CONCATENATE("_U2|",SUBSTITUTE(SUBSTITUTE(P713,"_","-"),"|","-"))),IF(Q713="","",CONCATENATE("_U3|",SUBSTITUTE(SUBSTITUTE(Q713,"_","-"),"|","-")))))</f>
        <v>#N/A</v>
      </c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3" t="str">
        <f>IF(K714="----","#N/A",CONCATENATE("MK|",(VLOOKUP(B714,Dictionary!$A:$B,2,0)),"_CH|",(VLOOKUP(C714,Dictionary!$AV:$AW,2,0)),"_DT|",(VLOOKUP(D714,Dictionary!$P:$Q,2,0)),"_PB|",(VLOOKUP(E714,Dictionary!$G:$H,2,0)),"_FM|",(VLOOKUP(F714,Dictionary!$S:$T,2,0)),"_RT|",(VLOOKUP(G714,Dictionary!$V:$W,2,0)),"_PD|",SUBSTITUTE(SUBSTITUTE(IF(H714="","NONE",H714),"_","-"),"|","-"),"_TG|",(VLOOKUP(I714,Dictionary!$J:$K,2,0)),"_ST|",(VLOOKUP(J714,Dictionary!$M:$N,2,0)),"_TS|",SUBSTITUTE(SUBSTITUTE(IF(K714="","NONE",K714),"_","-"),"|","-"),"_SZ|",(VLOOKUP(L714,Dictionary!$Y:$Z,1,0)),"_AD|",(VLOOKUP(M714,Dictionary!$AB:$AC,2,0)),"_IT|",(VLOOKUP(N714,Dictionary!$BC:$BD,2,0)),IF(O714="","",CONCATENATE("_U1|",SUBSTITUTE(SUBSTITUTE(O714,"_","-"),"|","-"))),IF(P714="","",CONCATENATE("_U2|",SUBSTITUTE(SUBSTITUTE(P714,"_","-"),"|","-"))),IF(Q714="","",CONCATENATE("_U3|",SUBSTITUTE(SUBSTITUTE(Q714,"_","-"),"|","-")))))</f>
        <v>#N/A</v>
      </c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3" t="str">
        <f>IF(K715="----","#N/A",CONCATENATE("MK|",(VLOOKUP(B715,Dictionary!$A:$B,2,0)),"_CH|",(VLOOKUP(C715,Dictionary!$AV:$AW,2,0)),"_DT|",(VLOOKUP(D715,Dictionary!$P:$Q,2,0)),"_PB|",(VLOOKUP(E715,Dictionary!$G:$H,2,0)),"_FM|",(VLOOKUP(F715,Dictionary!$S:$T,2,0)),"_RT|",(VLOOKUP(G715,Dictionary!$V:$W,2,0)),"_PD|",SUBSTITUTE(SUBSTITUTE(IF(H715="","NONE",H715),"_","-"),"|","-"),"_TG|",(VLOOKUP(I715,Dictionary!$J:$K,2,0)),"_ST|",(VLOOKUP(J715,Dictionary!$M:$N,2,0)),"_TS|",SUBSTITUTE(SUBSTITUTE(IF(K715="","NONE",K715),"_","-"),"|","-"),"_SZ|",(VLOOKUP(L715,Dictionary!$Y:$Z,1,0)),"_AD|",(VLOOKUP(M715,Dictionary!$AB:$AC,2,0)),"_IT|",(VLOOKUP(N715,Dictionary!$BC:$BD,2,0)),IF(O715="","",CONCATENATE("_U1|",SUBSTITUTE(SUBSTITUTE(O715,"_","-"),"|","-"))),IF(P715="","",CONCATENATE("_U2|",SUBSTITUTE(SUBSTITUTE(P715,"_","-"),"|","-"))),IF(Q715="","",CONCATENATE("_U3|",SUBSTITUTE(SUBSTITUTE(Q715,"_","-"),"|","-")))))</f>
        <v>#N/A</v>
      </c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3" t="str">
        <f>IF(K716="----","#N/A",CONCATENATE("MK|",(VLOOKUP(B716,Dictionary!$A:$B,2,0)),"_CH|",(VLOOKUP(C716,Dictionary!$AV:$AW,2,0)),"_DT|",(VLOOKUP(D716,Dictionary!$P:$Q,2,0)),"_PB|",(VLOOKUP(E716,Dictionary!$G:$H,2,0)),"_FM|",(VLOOKUP(F716,Dictionary!$S:$T,2,0)),"_RT|",(VLOOKUP(G716,Dictionary!$V:$W,2,0)),"_PD|",SUBSTITUTE(SUBSTITUTE(IF(H716="","NONE",H716),"_","-"),"|","-"),"_TG|",(VLOOKUP(I716,Dictionary!$J:$K,2,0)),"_ST|",(VLOOKUP(J716,Dictionary!$M:$N,2,0)),"_TS|",SUBSTITUTE(SUBSTITUTE(IF(K716="","NONE",K716),"_","-"),"|","-"),"_SZ|",(VLOOKUP(L716,Dictionary!$Y:$Z,1,0)),"_AD|",(VLOOKUP(M716,Dictionary!$AB:$AC,2,0)),"_IT|",(VLOOKUP(N716,Dictionary!$BC:$BD,2,0)),IF(O716="","",CONCATENATE("_U1|",SUBSTITUTE(SUBSTITUTE(O716,"_","-"),"|","-"))),IF(P716="","",CONCATENATE("_U2|",SUBSTITUTE(SUBSTITUTE(P716,"_","-"),"|","-"))),IF(Q716="","",CONCATENATE("_U3|",SUBSTITUTE(SUBSTITUTE(Q716,"_","-"),"|","-")))))</f>
        <v>#N/A</v>
      </c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3" t="str">
        <f>IF(K717="----","#N/A",CONCATENATE("MK|",(VLOOKUP(B717,Dictionary!$A:$B,2,0)),"_CH|",(VLOOKUP(C717,Dictionary!$AV:$AW,2,0)),"_DT|",(VLOOKUP(D717,Dictionary!$P:$Q,2,0)),"_PB|",(VLOOKUP(E717,Dictionary!$G:$H,2,0)),"_FM|",(VLOOKUP(F717,Dictionary!$S:$T,2,0)),"_RT|",(VLOOKUP(G717,Dictionary!$V:$W,2,0)),"_PD|",SUBSTITUTE(SUBSTITUTE(IF(H717="","NONE",H717),"_","-"),"|","-"),"_TG|",(VLOOKUP(I717,Dictionary!$J:$K,2,0)),"_ST|",(VLOOKUP(J717,Dictionary!$M:$N,2,0)),"_TS|",SUBSTITUTE(SUBSTITUTE(IF(K717="","NONE",K717),"_","-"),"|","-"),"_SZ|",(VLOOKUP(L717,Dictionary!$Y:$Z,1,0)),"_AD|",(VLOOKUP(M717,Dictionary!$AB:$AC,2,0)),"_IT|",(VLOOKUP(N717,Dictionary!$BC:$BD,2,0)),IF(O717="","",CONCATENATE("_U1|",SUBSTITUTE(SUBSTITUTE(O717,"_","-"),"|","-"))),IF(P717="","",CONCATENATE("_U2|",SUBSTITUTE(SUBSTITUTE(P717,"_","-"),"|","-"))),IF(Q717="","",CONCATENATE("_U3|",SUBSTITUTE(SUBSTITUTE(Q717,"_","-"),"|","-")))))</f>
        <v>#N/A</v>
      </c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3" t="str">
        <f>IF(K718="----","#N/A",CONCATENATE("MK|",(VLOOKUP(B718,Dictionary!$A:$B,2,0)),"_CH|",(VLOOKUP(C718,Dictionary!$AV:$AW,2,0)),"_DT|",(VLOOKUP(D718,Dictionary!$P:$Q,2,0)),"_PB|",(VLOOKUP(E718,Dictionary!$G:$H,2,0)),"_FM|",(VLOOKUP(F718,Dictionary!$S:$T,2,0)),"_RT|",(VLOOKUP(G718,Dictionary!$V:$W,2,0)),"_PD|",SUBSTITUTE(SUBSTITUTE(IF(H718="","NONE",H718),"_","-"),"|","-"),"_TG|",(VLOOKUP(I718,Dictionary!$J:$K,2,0)),"_ST|",(VLOOKUP(J718,Dictionary!$M:$N,2,0)),"_TS|",SUBSTITUTE(SUBSTITUTE(IF(K718="","NONE",K718),"_","-"),"|","-"),"_SZ|",(VLOOKUP(L718,Dictionary!$Y:$Z,1,0)),"_AD|",(VLOOKUP(M718,Dictionary!$AB:$AC,2,0)),"_IT|",(VLOOKUP(N718,Dictionary!$BC:$BD,2,0)),IF(O718="","",CONCATENATE("_U1|",SUBSTITUTE(SUBSTITUTE(O718,"_","-"),"|","-"))),IF(P718="","",CONCATENATE("_U2|",SUBSTITUTE(SUBSTITUTE(P718,"_","-"),"|","-"))),IF(Q718="","",CONCATENATE("_U3|",SUBSTITUTE(SUBSTITUTE(Q718,"_","-"),"|","-")))))</f>
        <v>#N/A</v>
      </c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3" t="str">
        <f>IF(K719="----","#N/A",CONCATENATE("MK|",(VLOOKUP(B719,Dictionary!$A:$B,2,0)),"_CH|",(VLOOKUP(C719,Dictionary!$AV:$AW,2,0)),"_DT|",(VLOOKUP(D719,Dictionary!$P:$Q,2,0)),"_PB|",(VLOOKUP(E719,Dictionary!$G:$H,2,0)),"_FM|",(VLOOKUP(F719,Dictionary!$S:$T,2,0)),"_RT|",(VLOOKUP(G719,Dictionary!$V:$W,2,0)),"_PD|",SUBSTITUTE(SUBSTITUTE(IF(H719="","NONE",H719),"_","-"),"|","-"),"_TG|",(VLOOKUP(I719,Dictionary!$J:$K,2,0)),"_ST|",(VLOOKUP(J719,Dictionary!$M:$N,2,0)),"_TS|",SUBSTITUTE(SUBSTITUTE(IF(K719="","NONE",K719),"_","-"),"|","-"),"_SZ|",(VLOOKUP(L719,Dictionary!$Y:$Z,1,0)),"_AD|",(VLOOKUP(M719,Dictionary!$AB:$AC,2,0)),"_IT|",(VLOOKUP(N719,Dictionary!$BC:$BD,2,0)),IF(O719="","",CONCATENATE("_U1|",SUBSTITUTE(SUBSTITUTE(O719,"_","-"),"|","-"))),IF(P719="","",CONCATENATE("_U2|",SUBSTITUTE(SUBSTITUTE(P719,"_","-"),"|","-"))),IF(Q719="","",CONCATENATE("_U3|",SUBSTITUTE(SUBSTITUTE(Q719,"_","-"),"|","-")))))</f>
        <v>#N/A</v>
      </c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3" t="str">
        <f>IF(K720="----","#N/A",CONCATENATE("MK|",(VLOOKUP(B720,Dictionary!$A:$B,2,0)),"_CH|",(VLOOKUP(C720,Dictionary!$AV:$AW,2,0)),"_DT|",(VLOOKUP(D720,Dictionary!$P:$Q,2,0)),"_PB|",(VLOOKUP(E720,Dictionary!$G:$H,2,0)),"_FM|",(VLOOKUP(F720,Dictionary!$S:$T,2,0)),"_RT|",(VLOOKUP(G720,Dictionary!$V:$W,2,0)),"_PD|",SUBSTITUTE(SUBSTITUTE(IF(H720="","NONE",H720),"_","-"),"|","-"),"_TG|",(VLOOKUP(I720,Dictionary!$J:$K,2,0)),"_ST|",(VLOOKUP(J720,Dictionary!$M:$N,2,0)),"_TS|",SUBSTITUTE(SUBSTITUTE(IF(K720="","NONE",K720),"_","-"),"|","-"),"_SZ|",(VLOOKUP(L720,Dictionary!$Y:$Z,1,0)),"_AD|",(VLOOKUP(M720,Dictionary!$AB:$AC,2,0)),"_IT|",(VLOOKUP(N720,Dictionary!$BC:$BD,2,0)),IF(O720="","",CONCATENATE("_U1|",SUBSTITUTE(SUBSTITUTE(O720,"_","-"),"|","-"))),IF(P720="","",CONCATENATE("_U2|",SUBSTITUTE(SUBSTITUTE(P720,"_","-"),"|","-"))),IF(Q720="","",CONCATENATE("_U3|",SUBSTITUTE(SUBSTITUTE(Q720,"_","-"),"|","-")))))</f>
        <v>#N/A</v>
      </c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3" t="str">
        <f>IF(K721="----","#N/A",CONCATENATE("MK|",(VLOOKUP(B721,Dictionary!$A:$B,2,0)),"_CH|",(VLOOKUP(C721,Dictionary!$AV:$AW,2,0)),"_DT|",(VLOOKUP(D721,Dictionary!$P:$Q,2,0)),"_PB|",(VLOOKUP(E721,Dictionary!$G:$H,2,0)),"_FM|",(VLOOKUP(F721,Dictionary!$S:$T,2,0)),"_RT|",(VLOOKUP(G721,Dictionary!$V:$W,2,0)),"_PD|",SUBSTITUTE(SUBSTITUTE(IF(H721="","NONE",H721),"_","-"),"|","-"),"_TG|",(VLOOKUP(I721,Dictionary!$J:$K,2,0)),"_ST|",(VLOOKUP(J721,Dictionary!$M:$N,2,0)),"_TS|",SUBSTITUTE(SUBSTITUTE(IF(K721="","NONE",K721),"_","-"),"|","-"),"_SZ|",(VLOOKUP(L721,Dictionary!$Y:$Z,1,0)),"_AD|",(VLOOKUP(M721,Dictionary!$AB:$AC,2,0)),"_IT|",(VLOOKUP(N721,Dictionary!$BC:$BD,2,0)),IF(O721="","",CONCATENATE("_U1|",SUBSTITUTE(SUBSTITUTE(O721,"_","-"),"|","-"))),IF(P721="","",CONCATENATE("_U2|",SUBSTITUTE(SUBSTITUTE(P721,"_","-"),"|","-"))),IF(Q721="","",CONCATENATE("_U3|",SUBSTITUTE(SUBSTITUTE(Q721,"_","-"),"|","-")))))</f>
        <v>#N/A</v>
      </c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3" t="str">
        <f>IF(K722="----","#N/A",CONCATENATE("MK|",(VLOOKUP(B722,Dictionary!$A:$B,2,0)),"_CH|",(VLOOKUP(C722,Dictionary!$AV:$AW,2,0)),"_DT|",(VLOOKUP(D722,Dictionary!$P:$Q,2,0)),"_PB|",(VLOOKUP(E722,Dictionary!$G:$H,2,0)),"_FM|",(VLOOKUP(F722,Dictionary!$S:$T,2,0)),"_RT|",(VLOOKUP(G722,Dictionary!$V:$W,2,0)),"_PD|",SUBSTITUTE(SUBSTITUTE(IF(H722="","NONE",H722),"_","-"),"|","-"),"_TG|",(VLOOKUP(I722,Dictionary!$J:$K,2,0)),"_ST|",(VLOOKUP(J722,Dictionary!$M:$N,2,0)),"_TS|",SUBSTITUTE(SUBSTITUTE(IF(K722="","NONE",K722),"_","-"),"|","-"),"_SZ|",(VLOOKUP(L722,Dictionary!$Y:$Z,1,0)),"_AD|",(VLOOKUP(M722,Dictionary!$AB:$AC,2,0)),"_IT|",(VLOOKUP(N722,Dictionary!$BC:$BD,2,0)),IF(O722="","",CONCATENATE("_U1|",SUBSTITUTE(SUBSTITUTE(O722,"_","-"),"|","-"))),IF(P722="","",CONCATENATE("_U2|",SUBSTITUTE(SUBSTITUTE(P722,"_","-"),"|","-"))),IF(Q722="","",CONCATENATE("_U3|",SUBSTITUTE(SUBSTITUTE(Q722,"_","-"),"|","-")))))</f>
        <v>#N/A</v>
      </c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3" t="str">
        <f>IF(K723="----","#N/A",CONCATENATE("MK|",(VLOOKUP(B723,Dictionary!$A:$B,2,0)),"_CH|",(VLOOKUP(C723,Dictionary!$AV:$AW,2,0)),"_DT|",(VLOOKUP(D723,Dictionary!$P:$Q,2,0)),"_PB|",(VLOOKUP(E723,Dictionary!$G:$H,2,0)),"_FM|",(VLOOKUP(F723,Dictionary!$S:$T,2,0)),"_RT|",(VLOOKUP(G723,Dictionary!$V:$W,2,0)),"_PD|",SUBSTITUTE(SUBSTITUTE(IF(H723="","NONE",H723),"_","-"),"|","-"),"_TG|",(VLOOKUP(I723,Dictionary!$J:$K,2,0)),"_ST|",(VLOOKUP(J723,Dictionary!$M:$N,2,0)),"_TS|",SUBSTITUTE(SUBSTITUTE(IF(K723="","NONE",K723),"_","-"),"|","-"),"_SZ|",(VLOOKUP(L723,Dictionary!$Y:$Z,1,0)),"_AD|",(VLOOKUP(M723,Dictionary!$AB:$AC,2,0)),"_IT|",(VLOOKUP(N723,Dictionary!$BC:$BD,2,0)),IF(O723="","",CONCATENATE("_U1|",SUBSTITUTE(SUBSTITUTE(O723,"_","-"),"|","-"))),IF(P723="","",CONCATENATE("_U2|",SUBSTITUTE(SUBSTITUTE(P723,"_","-"),"|","-"))),IF(Q723="","",CONCATENATE("_U3|",SUBSTITUTE(SUBSTITUTE(Q723,"_","-"),"|","-")))))</f>
        <v>#N/A</v>
      </c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3" t="str">
        <f>IF(K724="----","#N/A",CONCATENATE("MK|",(VLOOKUP(B724,Dictionary!$A:$B,2,0)),"_CH|",(VLOOKUP(C724,Dictionary!$AV:$AW,2,0)),"_DT|",(VLOOKUP(D724,Dictionary!$P:$Q,2,0)),"_PB|",(VLOOKUP(E724,Dictionary!$G:$H,2,0)),"_FM|",(VLOOKUP(F724,Dictionary!$S:$T,2,0)),"_RT|",(VLOOKUP(G724,Dictionary!$V:$W,2,0)),"_PD|",SUBSTITUTE(SUBSTITUTE(IF(H724="","NONE",H724),"_","-"),"|","-"),"_TG|",(VLOOKUP(I724,Dictionary!$J:$K,2,0)),"_ST|",(VLOOKUP(J724,Dictionary!$M:$N,2,0)),"_TS|",SUBSTITUTE(SUBSTITUTE(IF(K724="","NONE",K724),"_","-"),"|","-"),"_SZ|",(VLOOKUP(L724,Dictionary!$Y:$Z,1,0)),"_AD|",(VLOOKUP(M724,Dictionary!$AB:$AC,2,0)),"_IT|",(VLOOKUP(N724,Dictionary!$BC:$BD,2,0)),IF(O724="","",CONCATENATE("_U1|",SUBSTITUTE(SUBSTITUTE(O724,"_","-"),"|","-"))),IF(P724="","",CONCATENATE("_U2|",SUBSTITUTE(SUBSTITUTE(P724,"_","-"),"|","-"))),IF(Q724="","",CONCATENATE("_U3|",SUBSTITUTE(SUBSTITUTE(Q724,"_","-"),"|","-")))))</f>
        <v>#N/A</v>
      </c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3" t="str">
        <f>IF(K725="----","#N/A",CONCATENATE("MK|",(VLOOKUP(B725,Dictionary!$A:$B,2,0)),"_CH|",(VLOOKUP(C725,Dictionary!$AV:$AW,2,0)),"_DT|",(VLOOKUP(D725,Dictionary!$P:$Q,2,0)),"_PB|",(VLOOKUP(E725,Dictionary!$G:$H,2,0)),"_FM|",(VLOOKUP(F725,Dictionary!$S:$T,2,0)),"_RT|",(VLOOKUP(G725,Dictionary!$V:$W,2,0)),"_PD|",SUBSTITUTE(SUBSTITUTE(IF(H725="","NONE",H725),"_","-"),"|","-"),"_TG|",(VLOOKUP(I725,Dictionary!$J:$K,2,0)),"_ST|",(VLOOKUP(J725,Dictionary!$M:$N,2,0)),"_TS|",SUBSTITUTE(SUBSTITUTE(IF(K725="","NONE",K725),"_","-"),"|","-"),"_SZ|",(VLOOKUP(L725,Dictionary!$Y:$Z,1,0)),"_AD|",(VLOOKUP(M725,Dictionary!$AB:$AC,2,0)),"_IT|",(VLOOKUP(N725,Dictionary!$BC:$BD,2,0)),IF(O725="","",CONCATENATE("_U1|",SUBSTITUTE(SUBSTITUTE(O725,"_","-"),"|","-"))),IF(P725="","",CONCATENATE("_U2|",SUBSTITUTE(SUBSTITUTE(P725,"_","-"),"|","-"))),IF(Q725="","",CONCATENATE("_U3|",SUBSTITUTE(SUBSTITUTE(Q725,"_","-"),"|","-")))))</f>
        <v>#N/A</v>
      </c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3" t="str">
        <f>IF(K726="----","#N/A",CONCATENATE("MK|",(VLOOKUP(B726,Dictionary!$A:$B,2,0)),"_CH|",(VLOOKUP(C726,Dictionary!$AV:$AW,2,0)),"_DT|",(VLOOKUP(D726,Dictionary!$P:$Q,2,0)),"_PB|",(VLOOKUP(E726,Dictionary!$G:$H,2,0)),"_FM|",(VLOOKUP(F726,Dictionary!$S:$T,2,0)),"_RT|",(VLOOKUP(G726,Dictionary!$V:$W,2,0)),"_PD|",SUBSTITUTE(SUBSTITUTE(IF(H726="","NONE",H726),"_","-"),"|","-"),"_TG|",(VLOOKUP(I726,Dictionary!$J:$K,2,0)),"_ST|",(VLOOKUP(J726,Dictionary!$M:$N,2,0)),"_TS|",SUBSTITUTE(SUBSTITUTE(IF(K726="","NONE",K726),"_","-"),"|","-"),"_SZ|",(VLOOKUP(L726,Dictionary!$Y:$Z,1,0)),"_AD|",(VLOOKUP(M726,Dictionary!$AB:$AC,2,0)),"_IT|",(VLOOKUP(N726,Dictionary!$BC:$BD,2,0)),IF(O726="","",CONCATENATE("_U1|",SUBSTITUTE(SUBSTITUTE(O726,"_","-"),"|","-"))),IF(P726="","",CONCATENATE("_U2|",SUBSTITUTE(SUBSTITUTE(P726,"_","-"),"|","-"))),IF(Q726="","",CONCATENATE("_U3|",SUBSTITUTE(SUBSTITUTE(Q726,"_","-"),"|","-")))))</f>
        <v>#N/A</v>
      </c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3" t="str">
        <f>IF(K727="----","#N/A",CONCATENATE("MK|",(VLOOKUP(B727,Dictionary!$A:$B,2,0)),"_CH|",(VLOOKUP(C727,Dictionary!$AV:$AW,2,0)),"_DT|",(VLOOKUP(D727,Dictionary!$P:$Q,2,0)),"_PB|",(VLOOKUP(E727,Dictionary!$G:$H,2,0)),"_FM|",(VLOOKUP(F727,Dictionary!$S:$T,2,0)),"_RT|",(VLOOKUP(G727,Dictionary!$V:$W,2,0)),"_PD|",SUBSTITUTE(SUBSTITUTE(IF(H727="","NONE",H727),"_","-"),"|","-"),"_TG|",(VLOOKUP(I727,Dictionary!$J:$K,2,0)),"_ST|",(VLOOKUP(J727,Dictionary!$M:$N,2,0)),"_TS|",SUBSTITUTE(SUBSTITUTE(IF(K727="","NONE",K727),"_","-"),"|","-"),"_SZ|",(VLOOKUP(L727,Dictionary!$Y:$Z,1,0)),"_AD|",(VLOOKUP(M727,Dictionary!$AB:$AC,2,0)),"_IT|",(VLOOKUP(N727,Dictionary!$BC:$BD,2,0)),IF(O727="","",CONCATENATE("_U1|",SUBSTITUTE(SUBSTITUTE(O727,"_","-"),"|","-"))),IF(P727="","",CONCATENATE("_U2|",SUBSTITUTE(SUBSTITUTE(P727,"_","-"),"|","-"))),IF(Q727="","",CONCATENATE("_U3|",SUBSTITUTE(SUBSTITUTE(Q727,"_","-"),"|","-")))))</f>
        <v>#N/A</v>
      </c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3" t="str">
        <f>IF(K728="----","#N/A",CONCATENATE("MK|",(VLOOKUP(B728,Dictionary!$A:$B,2,0)),"_CH|",(VLOOKUP(C728,Dictionary!$AV:$AW,2,0)),"_DT|",(VLOOKUP(D728,Dictionary!$P:$Q,2,0)),"_PB|",(VLOOKUP(E728,Dictionary!$G:$H,2,0)),"_FM|",(VLOOKUP(F728,Dictionary!$S:$T,2,0)),"_RT|",(VLOOKUP(G728,Dictionary!$V:$W,2,0)),"_PD|",SUBSTITUTE(SUBSTITUTE(IF(H728="","NONE",H728),"_","-"),"|","-"),"_TG|",(VLOOKUP(I728,Dictionary!$J:$K,2,0)),"_ST|",(VLOOKUP(J728,Dictionary!$M:$N,2,0)),"_TS|",SUBSTITUTE(SUBSTITUTE(IF(K728="","NONE",K728),"_","-"),"|","-"),"_SZ|",(VLOOKUP(L728,Dictionary!$Y:$Z,1,0)),"_AD|",(VLOOKUP(M728,Dictionary!$AB:$AC,2,0)),"_IT|",(VLOOKUP(N728,Dictionary!$BC:$BD,2,0)),IF(O728="","",CONCATENATE("_U1|",SUBSTITUTE(SUBSTITUTE(O728,"_","-"),"|","-"))),IF(P728="","",CONCATENATE("_U2|",SUBSTITUTE(SUBSTITUTE(P728,"_","-"),"|","-"))),IF(Q728="","",CONCATENATE("_U3|",SUBSTITUTE(SUBSTITUTE(Q728,"_","-"),"|","-")))))</f>
        <v>#N/A</v>
      </c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3" t="str">
        <f>IF(K729="----","#N/A",CONCATENATE("MK|",(VLOOKUP(B729,Dictionary!$A:$B,2,0)),"_CH|",(VLOOKUP(C729,Dictionary!$AV:$AW,2,0)),"_DT|",(VLOOKUP(D729,Dictionary!$P:$Q,2,0)),"_PB|",(VLOOKUP(E729,Dictionary!$G:$H,2,0)),"_FM|",(VLOOKUP(F729,Dictionary!$S:$T,2,0)),"_RT|",(VLOOKUP(G729,Dictionary!$V:$W,2,0)),"_PD|",SUBSTITUTE(SUBSTITUTE(IF(H729="","NONE",H729),"_","-"),"|","-"),"_TG|",(VLOOKUP(I729,Dictionary!$J:$K,2,0)),"_ST|",(VLOOKUP(J729,Dictionary!$M:$N,2,0)),"_TS|",SUBSTITUTE(SUBSTITUTE(IF(K729="","NONE",K729),"_","-"),"|","-"),"_SZ|",(VLOOKUP(L729,Dictionary!$Y:$Z,1,0)),"_AD|",(VLOOKUP(M729,Dictionary!$AB:$AC,2,0)),"_IT|",(VLOOKUP(N729,Dictionary!$BC:$BD,2,0)),IF(O729="","",CONCATENATE("_U1|",SUBSTITUTE(SUBSTITUTE(O729,"_","-"),"|","-"))),IF(P729="","",CONCATENATE("_U2|",SUBSTITUTE(SUBSTITUTE(P729,"_","-"),"|","-"))),IF(Q729="","",CONCATENATE("_U3|",SUBSTITUTE(SUBSTITUTE(Q729,"_","-"),"|","-")))))</f>
        <v>#N/A</v>
      </c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3" t="str">
        <f>IF(K730="----","#N/A",CONCATENATE("MK|",(VLOOKUP(B730,Dictionary!$A:$B,2,0)),"_CH|",(VLOOKUP(C730,Dictionary!$AV:$AW,2,0)),"_DT|",(VLOOKUP(D730,Dictionary!$P:$Q,2,0)),"_PB|",(VLOOKUP(E730,Dictionary!$G:$H,2,0)),"_FM|",(VLOOKUP(F730,Dictionary!$S:$T,2,0)),"_RT|",(VLOOKUP(G730,Dictionary!$V:$W,2,0)),"_PD|",SUBSTITUTE(SUBSTITUTE(IF(H730="","NONE",H730),"_","-"),"|","-"),"_TG|",(VLOOKUP(I730,Dictionary!$J:$K,2,0)),"_ST|",(VLOOKUP(J730,Dictionary!$M:$N,2,0)),"_TS|",SUBSTITUTE(SUBSTITUTE(IF(K730="","NONE",K730),"_","-"),"|","-"),"_SZ|",(VLOOKUP(L730,Dictionary!$Y:$Z,1,0)),"_AD|",(VLOOKUP(M730,Dictionary!$AB:$AC,2,0)),"_IT|",(VLOOKUP(N730,Dictionary!$BC:$BD,2,0)),IF(O730="","",CONCATENATE("_U1|",SUBSTITUTE(SUBSTITUTE(O730,"_","-"),"|","-"))),IF(P730="","",CONCATENATE("_U2|",SUBSTITUTE(SUBSTITUTE(P730,"_","-"),"|","-"))),IF(Q730="","",CONCATENATE("_U3|",SUBSTITUTE(SUBSTITUTE(Q730,"_","-"),"|","-")))))</f>
        <v>#N/A</v>
      </c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3" t="str">
        <f>IF(K731="----","#N/A",CONCATENATE("MK|",(VLOOKUP(B731,Dictionary!$A:$B,2,0)),"_CH|",(VLOOKUP(C731,Dictionary!$AV:$AW,2,0)),"_DT|",(VLOOKUP(D731,Dictionary!$P:$Q,2,0)),"_PB|",(VLOOKUP(E731,Dictionary!$G:$H,2,0)),"_FM|",(VLOOKUP(F731,Dictionary!$S:$T,2,0)),"_RT|",(VLOOKUP(G731,Dictionary!$V:$W,2,0)),"_PD|",SUBSTITUTE(SUBSTITUTE(IF(H731="","NONE",H731),"_","-"),"|","-"),"_TG|",(VLOOKUP(I731,Dictionary!$J:$K,2,0)),"_ST|",(VLOOKUP(J731,Dictionary!$M:$N,2,0)),"_TS|",SUBSTITUTE(SUBSTITUTE(IF(K731="","NONE",K731),"_","-"),"|","-"),"_SZ|",(VLOOKUP(L731,Dictionary!$Y:$Z,1,0)),"_AD|",(VLOOKUP(M731,Dictionary!$AB:$AC,2,0)),"_IT|",(VLOOKUP(N731,Dictionary!$BC:$BD,2,0)),IF(O731="","",CONCATENATE("_U1|",SUBSTITUTE(SUBSTITUTE(O731,"_","-"),"|","-"))),IF(P731="","",CONCATENATE("_U2|",SUBSTITUTE(SUBSTITUTE(P731,"_","-"),"|","-"))),IF(Q731="","",CONCATENATE("_U3|",SUBSTITUTE(SUBSTITUTE(Q731,"_","-"),"|","-")))))</f>
        <v>#N/A</v>
      </c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3" t="str">
        <f>IF(K732="----","#N/A",CONCATENATE("MK|",(VLOOKUP(B732,Dictionary!$A:$B,2,0)),"_CH|",(VLOOKUP(C732,Dictionary!$AV:$AW,2,0)),"_DT|",(VLOOKUP(D732,Dictionary!$P:$Q,2,0)),"_PB|",(VLOOKUP(E732,Dictionary!$G:$H,2,0)),"_FM|",(VLOOKUP(F732,Dictionary!$S:$T,2,0)),"_RT|",(VLOOKUP(G732,Dictionary!$V:$W,2,0)),"_PD|",SUBSTITUTE(SUBSTITUTE(IF(H732="","NONE",H732),"_","-"),"|","-"),"_TG|",(VLOOKUP(I732,Dictionary!$J:$K,2,0)),"_ST|",(VLOOKUP(J732,Dictionary!$M:$N,2,0)),"_TS|",SUBSTITUTE(SUBSTITUTE(IF(K732="","NONE",K732),"_","-"),"|","-"),"_SZ|",(VLOOKUP(L732,Dictionary!$Y:$Z,1,0)),"_AD|",(VLOOKUP(M732,Dictionary!$AB:$AC,2,0)),"_IT|",(VLOOKUP(N732,Dictionary!$BC:$BD,2,0)),IF(O732="","",CONCATENATE("_U1|",SUBSTITUTE(SUBSTITUTE(O732,"_","-"),"|","-"))),IF(P732="","",CONCATENATE("_U2|",SUBSTITUTE(SUBSTITUTE(P732,"_","-"),"|","-"))),IF(Q732="","",CONCATENATE("_U3|",SUBSTITUTE(SUBSTITUTE(Q732,"_","-"),"|","-")))))</f>
        <v>#N/A</v>
      </c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3" t="str">
        <f>IF(K733="----","#N/A",CONCATENATE("MK|",(VLOOKUP(B733,Dictionary!$A:$B,2,0)),"_CH|",(VLOOKUP(C733,Dictionary!$AV:$AW,2,0)),"_DT|",(VLOOKUP(D733,Dictionary!$P:$Q,2,0)),"_PB|",(VLOOKUP(E733,Dictionary!$G:$H,2,0)),"_FM|",(VLOOKUP(F733,Dictionary!$S:$T,2,0)),"_RT|",(VLOOKUP(G733,Dictionary!$V:$W,2,0)),"_PD|",SUBSTITUTE(SUBSTITUTE(IF(H733="","NONE",H733),"_","-"),"|","-"),"_TG|",(VLOOKUP(I733,Dictionary!$J:$K,2,0)),"_ST|",(VLOOKUP(J733,Dictionary!$M:$N,2,0)),"_TS|",SUBSTITUTE(SUBSTITUTE(IF(K733="","NONE",K733),"_","-"),"|","-"),"_SZ|",(VLOOKUP(L733,Dictionary!$Y:$Z,1,0)),"_AD|",(VLOOKUP(M733,Dictionary!$AB:$AC,2,0)),"_IT|",(VLOOKUP(N733,Dictionary!$BC:$BD,2,0)),IF(O733="","",CONCATENATE("_U1|",SUBSTITUTE(SUBSTITUTE(O733,"_","-"),"|","-"))),IF(P733="","",CONCATENATE("_U2|",SUBSTITUTE(SUBSTITUTE(P733,"_","-"),"|","-"))),IF(Q733="","",CONCATENATE("_U3|",SUBSTITUTE(SUBSTITUTE(Q733,"_","-"),"|","-")))))</f>
        <v>#N/A</v>
      </c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3" t="str">
        <f>IF(K734="----","#N/A",CONCATENATE("MK|",(VLOOKUP(B734,Dictionary!$A:$B,2,0)),"_CH|",(VLOOKUP(C734,Dictionary!$AV:$AW,2,0)),"_DT|",(VLOOKUP(D734,Dictionary!$P:$Q,2,0)),"_PB|",(VLOOKUP(E734,Dictionary!$G:$H,2,0)),"_FM|",(VLOOKUP(F734,Dictionary!$S:$T,2,0)),"_RT|",(VLOOKUP(G734,Dictionary!$V:$W,2,0)),"_PD|",SUBSTITUTE(SUBSTITUTE(IF(H734="","NONE",H734),"_","-"),"|","-"),"_TG|",(VLOOKUP(I734,Dictionary!$J:$K,2,0)),"_ST|",(VLOOKUP(J734,Dictionary!$M:$N,2,0)),"_TS|",SUBSTITUTE(SUBSTITUTE(IF(K734="","NONE",K734),"_","-"),"|","-"),"_SZ|",(VLOOKUP(L734,Dictionary!$Y:$Z,1,0)),"_AD|",(VLOOKUP(M734,Dictionary!$AB:$AC,2,0)),"_IT|",(VLOOKUP(N734,Dictionary!$BC:$BD,2,0)),IF(O734="","",CONCATENATE("_U1|",SUBSTITUTE(SUBSTITUTE(O734,"_","-"),"|","-"))),IF(P734="","",CONCATENATE("_U2|",SUBSTITUTE(SUBSTITUTE(P734,"_","-"),"|","-"))),IF(Q734="","",CONCATENATE("_U3|",SUBSTITUTE(SUBSTITUTE(Q734,"_","-"),"|","-")))))</f>
        <v>#N/A</v>
      </c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3" t="str">
        <f>IF(K735="----","#N/A",CONCATENATE("MK|",(VLOOKUP(B735,Dictionary!$A:$B,2,0)),"_CH|",(VLOOKUP(C735,Dictionary!$AV:$AW,2,0)),"_DT|",(VLOOKUP(D735,Dictionary!$P:$Q,2,0)),"_PB|",(VLOOKUP(E735,Dictionary!$G:$H,2,0)),"_FM|",(VLOOKUP(F735,Dictionary!$S:$T,2,0)),"_RT|",(VLOOKUP(G735,Dictionary!$V:$W,2,0)),"_PD|",SUBSTITUTE(SUBSTITUTE(IF(H735="","NONE",H735),"_","-"),"|","-"),"_TG|",(VLOOKUP(I735,Dictionary!$J:$K,2,0)),"_ST|",(VLOOKUP(J735,Dictionary!$M:$N,2,0)),"_TS|",SUBSTITUTE(SUBSTITUTE(IF(K735="","NONE",K735),"_","-"),"|","-"),"_SZ|",(VLOOKUP(L735,Dictionary!$Y:$Z,1,0)),"_AD|",(VLOOKUP(M735,Dictionary!$AB:$AC,2,0)),"_IT|",(VLOOKUP(N735,Dictionary!$BC:$BD,2,0)),IF(O735="","",CONCATENATE("_U1|",SUBSTITUTE(SUBSTITUTE(O735,"_","-"),"|","-"))),IF(P735="","",CONCATENATE("_U2|",SUBSTITUTE(SUBSTITUTE(P735,"_","-"),"|","-"))),IF(Q735="","",CONCATENATE("_U3|",SUBSTITUTE(SUBSTITUTE(Q735,"_","-"),"|","-")))))</f>
        <v>#N/A</v>
      </c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3" t="str">
        <f>IF(K736="----","#N/A",CONCATENATE("MK|",(VLOOKUP(B736,Dictionary!$A:$B,2,0)),"_CH|",(VLOOKUP(C736,Dictionary!$AV:$AW,2,0)),"_DT|",(VLOOKUP(D736,Dictionary!$P:$Q,2,0)),"_PB|",(VLOOKUP(E736,Dictionary!$G:$H,2,0)),"_FM|",(VLOOKUP(F736,Dictionary!$S:$T,2,0)),"_RT|",(VLOOKUP(G736,Dictionary!$V:$W,2,0)),"_PD|",SUBSTITUTE(SUBSTITUTE(IF(H736="","NONE",H736),"_","-"),"|","-"),"_TG|",(VLOOKUP(I736,Dictionary!$J:$K,2,0)),"_ST|",(VLOOKUP(J736,Dictionary!$M:$N,2,0)),"_TS|",SUBSTITUTE(SUBSTITUTE(IF(K736="","NONE",K736),"_","-"),"|","-"),"_SZ|",(VLOOKUP(L736,Dictionary!$Y:$Z,1,0)),"_AD|",(VLOOKUP(M736,Dictionary!$AB:$AC,2,0)),"_IT|",(VLOOKUP(N736,Dictionary!$BC:$BD,2,0)),IF(O736="","",CONCATENATE("_U1|",SUBSTITUTE(SUBSTITUTE(O736,"_","-"),"|","-"))),IF(P736="","",CONCATENATE("_U2|",SUBSTITUTE(SUBSTITUTE(P736,"_","-"),"|","-"))),IF(Q736="","",CONCATENATE("_U3|",SUBSTITUTE(SUBSTITUTE(Q736,"_","-"),"|","-")))))</f>
        <v>#N/A</v>
      </c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3" t="str">
        <f>IF(K737="----","#N/A",CONCATENATE("MK|",(VLOOKUP(B737,Dictionary!$A:$B,2,0)),"_CH|",(VLOOKUP(C737,Dictionary!$AV:$AW,2,0)),"_DT|",(VLOOKUP(D737,Dictionary!$P:$Q,2,0)),"_PB|",(VLOOKUP(E737,Dictionary!$G:$H,2,0)),"_FM|",(VLOOKUP(F737,Dictionary!$S:$T,2,0)),"_RT|",(VLOOKUP(G737,Dictionary!$V:$W,2,0)),"_PD|",SUBSTITUTE(SUBSTITUTE(IF(H737="","NONE",H737),"_","-"),"|","-"),"_TG|",(VLOOKUP(I737,Dictionary!$J:$K,2,0)),"_ST|",(VLOOKUP(J737,Dictionary!$M:$N,2,0)),"_TS|",SUBSTITUTE(SUBSTITUTE(IF(K737="","NONE",K737),"_","-"),"|","-"),"_SZ|",(VLOOKUP(L737,Dictionary!$Y:$Z,1,0)),"_AD|",(VLOOKUP(M737,Dictionary!$AB:$AC,2,0)),"_IT|",(VLOOKUP(N737,Dictionary!$BC:$BD,2,0)),IF(O737="","",CONCATENATE("_U1|",SUBSTITUTE(SUBSTITUTE(O737,"_","-"),"|","-"))),IF(P737="","",CONCATENATE("_U2|",SUBSTITUTE(SUBSTITUTE(P737,"_","-"),"|","-"))),IF(Q737="","",CONCATENATE("_U3|",SUBSTITUTE(SUBSTITUTE(Q737,"_","-"),"|","-")))))</f>
        <v>#N/A</v>
      </c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3" t="str">
        <f>IF(K738="----","#N/A",CONCATENATE("MK|",(VLOOKUP(B738,Dictionary!$A:$B,2,0)),"_CH|",(VLOOKUP(C738,Dictionary!$AV:$AW,2,0)),"_DT|",(VLOOKUP(D738,Dictionary!$P:$Q,2,0)),"_PB|",(VLOOKUP(E738,Dictionary!$G:$H,2,0)),"_FM|",(VLOOKUP(F738,Dictionary!$S:$T,2,0)),"_RT|",(VLOOKUP(G738,Dictionary!$V:$W,2,0)),"_PD|",SUBSTITUTE(SUBSTITUTE(IF(H738="","NONE",H738),"_","-"),"|","-"),"_TG|",(VLOOKUP(I738,Dictionary!$J:$K,2,0)),"_ST|",(VLOOKUP(J738,Dictionary!$M:$N,2,0)),"_TS|",SUBSTITUTE(SUBSTITUTE(IF(K738="","NONE",K738),"_","-"),"|","-"),"_SZ|",(VLOOKUP(L738,Dictionary!$Y:$Z,1,0)),"_AD|",(VLOOKUP(M738,Dictionary!$AB:$AC,2,0)),"_IT|",(VLOOKUP(N738,Dictionary!$BC:$BD,2,0)),IF(O738="","",CONCATENATE("_U1|",SUBSTITUTE(SUBSTITUTE(O738,"_","-"),"|","-"))),IF(P738="","",CONCATENATE("_U2|",SUBSTITUTE(SUBSTITUTE(P738,"_","-"),"|","-"))),IF(Q738="","",CONCATENATE("_U3|",SUBSTITUTE(SUBSTITUTE(Q738,"_","-"),"|","-")))))</f>
        <v>#N/A</v>
      </c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3" t="str">
        <f>IF(K739="----","#N/A",CONCATENATE("MK|",(VLOOKUP(B739,Dictionary!$A:$B,2,0)),"_CH|",(VLOOKUP(C739,Dictionary!$AV:$AW,2,0)),"_DT|",(VLOOKUP(D739,Dictionary!$P:$Q,2,0)),"_PB|",(VLOOKUP(E739,Dictionary!$G:$H,2,0)),"_FM|",(VLOOKUP(F739,Dictionary!$S:$T,2,0)),"_RT|",(VLOOKUP(G739,Dictionary!$V:$W,2,0)),"_PD|",SUBSTITUTE(SUBSTITUTE(IF(H739="","NONE",H739),"_","-"),"|","-"),"_TG|",(VLOOKUP(I739,Dictionary!$J:$K,2,0)),"_ST|",(VLOOKUP(J739,Dictionary!$M:$N,2,0)),"_TS|",SUBSTITUTE(SUBSTITUTE(IF(K739="","NONE",K739),"_","-"),"|","-"),"_SZ|",(VLOOKUP(L739,Dictionary!$Y:$Z,1,0)),"_AD|",(VLOOKUP(M739,Dictionary!$AB:$AC,2,0)),"_IT|",(VLOOKUP(N739,Dictionary!$BC:$BD,2,0)),IF(O739="","",CONCATENATE("_U1|",SUBSTITUTE(SUBSTITUTE(O739,"_","-"),"|","-"))),IF(P739="","",CONCATENATE("_U2|",SUBSTITUTE(SUBSTITUTE(P739,"_","-"),"|","-"))),IF(Q739="","",CONCATENATE("_U3|",SUBSTITUTE(SUBSTITUTE(Q739,"_","-"),"|","-")))))</f>
        <v>#N/A</v>
      </c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3" t="str">
        <f>IF(K740="----","#N/A",CONCATENATE("MK|",(VLOOKUP(B740,Dictionary!$A:$B,2,0)),"_CH|",(VLOOKUP(C740,Dictionary!$AV:$AW,2,0)),"_DT|",(VLOOKUP(D740,Dictionary!$P:$Q,2,0)),"_PB|",(VLOOKUP(E740,Dictionary!$G:$H,2,0)),"_FM|",(VLOOKUP(F740,Dictionary!$S:$T,2,0)),"_RT|",(VLOOKUP(G740,Dictionary!$V:$W,2,0)),"_PD|",SUBSTITUTE(SUBSTITUTE(IF(H740="","NONE",H740),"_","-"),"|","-"),"_TG|",(VLOOKUP(I740,Dictionary!$J:$K,2,0)),"_ST|",(VLOOKUP(J740,Dictionary!$M:$N,2,0)),"_TS|",SUBSTITUTE(SUBSTITUTE(IF(K740="","NONE",K740),"_","-"),"|","-"),"_SZ|",(VLOOKUP(L740,Dictionary!$Y:$Z,1,0)),"_AD|",(VLOOKUP(M740,Dictionary!$AB:$AC,2,0)),"_IT|",(VLOOKUP(N740,Dictionary!$BC:$BD,2,0)),IF(O740="","",CONCATENATE("_U1|",SUBSTITUTE(SUBSTITUTE(O740,"_","-"),"|","-"))),IF(P740="","",CONCATENATE("_U2|",SUBSTITUTE(SUBSTITUTE(P740,"_","-"),"|","-"))),IF(Q740="","",CONCATENATE("_U3|",SUBSTITUTE(SUBSTITUTE(Q740,"_","-"),"|","-")))))</f>
        <v>#N/A</v>
      </c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3" t="str">
        <f>IF(K741="----","#N/A",CONCATENATE("MK|",(VLOOKUP(B741,Dictionary!$A:$B,2,0)),"_CH|",(VLOOKUP(C741,Dictionary!$AV:$AW,2,0)),"_DT|",(VLOOKUP(D741,Dictionary!$P:$Q,2,0)),"_PB|",(VLOOKUP(E741,Dictionary!$G:$H,2,0)),"_FM|",(VLOOKUP(F741,Dictionary!$S:$T,2,0)),"_RT|",(VLOOKUP(G741,Dictionary!$V:$W,2,0)),"_PD|",SUBSTITUTE(SUBSTITUTE(IF(H741="","NONE",H741),"_","-"),"|","-"),"_TG|",(VLOOKUP(I741,Dictionary!$J:$K,2,0)),"_ST|",(VLOOKUP(J741,Dictionary!$M:$N,2,0)),"_TS|",SUBSTITUTE(SUBSTITUTE(IF(K741="","NONE",K741),"_","-"),"|","-"),"_SZ|",(VLOOKUP(L741,Dictionary!$Y:$Z,1,0)),"_AD|",(VLOOKUP(M741,Dictionary!$AB:$AC,2,0)),"_IT|",(VLOOKUP(N741,Dictionary!$BC:$BD,2,0)),IF(O741="","",CONCATENATE("_U1|",SUBSTITUTE(SUBSTITUTE(O741,"_","-"),"|","-"))),IF(P741="","",CONCATENATE("_U2|",SUBSTITUTE(SUBSTITUTE(P741,"_","-"),"|","-"))),IF(Q741="","",CONCATENATE("_U3|",SUBSTITUTE(SUBSTITUTE(Q741,"_","-"),"|","-")))))</f>
        <v>#N/A</v>
      </c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3" t="str">
        <f>IF(K742="----","#N/A",CONCATENATE("MK|",(VLOOKUP(B742,Dictionary!$A:$B,2,0)),"_CH|",(VLOOKUP(C742,Dictionary!$AV:$AW,2,0)),"_DT|",(VLOOKUP(D742,Dictionary!$P:$Q,2,0)),"_PB|",(VLOOKUP(E742,Dictionary!$G:$H,2,0)),"_FM|",(VLOOKUP(F742,Dictionary!$S:$T,2,0)),"_RT|",(VLOOKUP(G742,Dictionary!$V:$W,2,0)),"_PD|",SUBSTITUTE(SUBSTITUTE(IF(H742="","NONE",H742),"_","-"),"|","-"),"_TG|",(VLOOKUP(I742,Dictionary!$J:$K,2,0)),"_ST|",(VLOOKUP(J742,Dictionary!$M:$N,2,0)),"_TS|",SUBSTITUTE(SUBSTITUTE(IF(K742="","NONE",K742),"_","-"),"|","-"),"_SZ|",(VLOOKUP(L742,Dictionary!$Y:$Z,1,0)),"_AD|",(VLOOKUP(M742,Dictionary!$AB:$AC,2,0)),"_IT|",(VLOOKUP(N742,Dictionary!$BC:$BD,2,0)),IF(O742="","",CONCATENATE("_U1|",SUBSTITUTE(SUBSTITUTE(O742,"_","-"),"|","-"))),IF(P742="","",CONCATENATE("_U2|",SUBSTITUTE(SUBSTITUTE(P742,"_","-"),"|","-"))),IF(Q742="","",CONCATENATE("_U3|",SUBSTITUTE(SUBSTITUTE(Q742,"_","-"),"|","-")))))</f>
        <v>#N/A</v>
      </c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3" t="str">
        <f>IF(K743="----","#N/A",CONCATENATE("MK|",(VLOOKUP(B743,Dictionary!$A:$B,2,0)),"_CH|",(VLOOKUP(C743,Dictionary!$AV:$AW,2,0)),"_DT|",(VLOOKUP(D743,Dictionary!$P:$Q,2,0)),"_PB|",(VLOOKUP(E743,Dictionary!$G:$H,2,0)),"_FM|",(VLOOKUP(F743,Dictionary!$S:$T,2,0)),"_RT|",(VLOOKUP(G743,Dictionary!$V:$W,2,0)),"_PD|",SUBSTITUTE(SUBSTITUTE(IF(H743="","NONE",H743),"_","-"),"|","-"),"_TG|",(VLOOKUP(I743,Dictionary!$J:$K,2,0)),"_ST|",(VLOOKUP(J743,Dictionary!$M:$N,2,0)),"_TS|",SUBSTITUTE(SUBSTITUTE(IF(K743="","NONE",K743),"_","-"),"|","-"),"_SZ|",(VLOOKUP(L743,Dictionary!$Y:$Z,1,0)),"_AD|",(VLOOKUP(M743,Dictionary!$AB:$AC,2,0)),"_IT|",(VLOOKUP(N743,Dictionary!$BC:$BD,2,0)),IF(O743="","",CONCATENATE("_U1|",SUBSTITUTE(SUBSTITUTE(O743,"_","-"),"|","-"))),IF(P743="","",CONCATENATE("_U2|",SUBSTITUTE(SUBSTITUTE(P743,"_","-"),"|","-"))),IF(Q743="","",CONCATENATE("_U3|",SUBSTITUTE(SUBSTITUTE(Q743,"_","-"),"|","-")))))</f>
        <v>#N/A</v>
      </c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3" t="str">
        <f>IF(K744="----","#N/A",CONCATENATE("MK|",(VLOOKUP(B744,Dictionary!$A:$B,2,0)),"_CH|",(VLOOKUP(C744,Dictionary!$AV:$AW,2,0)),"_DT|",(VLOOKUP(D744,Dictionary!$P:$Q,2,0)),"_PB|",(VLOOKUP(E744,Dictionary!$G:$H,2,0)),"_FM|",(VLOOKUP(F744,Dictionary!$S:$T,2,0)),"_RT|",(VLOOKUP(G744,Dictionary!$V:$W,2,0)),"_PD|",SUBSTITUTE(SUBSTITUTE(IF(H744="","NONE",H744),"_","-"),"|","-"),"_TG|",(VLOOKUP(I744,Dictionary!$J:$K,2,0)),"_ST|",(VLOOKUP(J744,Dictionary!$M:$N,2,0)),"_TS|",SUBSTITUTE(SUBSTITUTE(IF(K744="","NONE",K744),"_","-"),"|","-"),"_SZ|",(VLOOKUP(L744,Dictionary!$Y:$Z,1,0)),"_AD|",(VLOOKUP(M744,Dictionary!$AB:$AC,2,0)),"_IT|",(VLOOKUP(N744,Dictionary!$BC:$BD,2,0)),IF(O744="","",CONCATENATE("_U1|",SUBSTITUTE(SUBSTITUTE(O744,"_","-"),"|","-"))),IF(P744="","",CONCATENATE("_U2|",SUBSTITUTE(SUBSTITUTE(P744,"_","-"),"|","-"))),IF(Q744="","",CONCATENATE("_U3|",SUBSTITUTE(SUBSTITUTE(Q744,"_","-"),"|","-")))))</f>
        <v>#N/A</v>
      </c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3" t="str">
        <f>IF(K745="----","#N/A",CONCATENATE("MK|",(VLOOKUP(B745,Dictionary!$A:$B,2,0)),"_CH|",(VLOOKUP(C745,Dictionary!$AV:$AW,2,0)),"_DT|",(VLOOKUP(D745,Dictionary!$P:$Q,2,0)),"_PB|",(VLOOKUP(E745,Dictionary!$G:$H,2,0)),"_FM|",(VLOOKUP(F745,Dictionary!$S:$T,2,0)),"_RT|",(VLOOKUP(G745,Dictionary!$V:$W,2,0)),"_PD|",SUBSTITUTE(SUBSTITUTE(IF(H745="","NONE",H745),"_","-"),"|","-"),"_TG|",(VLOOKUP(I745,Dictionary!$J:$K,2,0)),"_ST|",(VLOOKUP(J745,Dictionary!$M:$N,2,0)),"_TS|",SUBSTITUTE(SUBSTITUTE(IF(K745="","NONE",K745),"_","-"),"|","-"),"_SZ|",(VLOOKUP(L745,Dictionary!$Y:$Z,1,0)),"_AD|",(VLOOKUP(M745,Dictionary!$AB:$AC,2,0)),"_IT|",(VLOOKUP(N745,Dictionary!$BC:$BD,2,0)),IF(O745="","",CONCATENATE("_U1|",SUBSTITUTE(SUBSTITUTE(O745,"_","-"),"|","-"))),IF(P745="","",CONCATENATE("_U2|",SUBSTITUTE(SUBSTITUTE(P745,"_","-"),"|","-"))),IF(Q745="","",CONCATENATE("_U3|",SUBSTITUTE(SUBSTITUTE(Q745,"_","-"),"|","-")))))</f>
        <v>#N/A</v>
      </c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3" t="str">
        <f>IF(K746="----","#N/A",CONCATENATE("MK|",(VLOOKUP(B746,Dictionary!$A:$B,2,0)),"_CH|",(VLOOKUP(C746,Dictionary!$AV:$AW,2,0)),"_DT|",(VLOOKUP(D746,Dictionary!$P:$Q,2,0)),"_PB|",(VLOOKUP(E746,Dictionary!$G:$H,2,0)),"_FM|",(VLOOKUP(F746,Dictionary!$S:$T,2,0)),"_RT|",(VLOOKUP(G746,Dictionary!$V:$W,2,0)),"_PD|",SUBSTITUTE(SUBSTITUTE(IF(H746="","NONE",H746),"_","-"),"|","-"),"_TG|",(VLOOKUP(I746,Dictionary!$J:$K,2,0)),"_ST|",(VLOOKUP(J746,Dictionary!$M:$N,2,0)),"_TS|",SUBSTITUTE(SUBSTITUTE(IF(K746="","NONE",K746),"_","-"),"|","-"),"_SZ|",(VLOOKUP(L746,Dictionary!$Y:$Z,1,0)),"_AD|",(VLOOKUP(M746,Dictionary!$AB:$AC,2,0)),"_IT|",(VLOOKUP(N746,Dictionary!$BC:$BD,2,0)),IF(O746="","",CONCATENATE("_U1|",SUBSTITUTE(SUBSTITUTE(O746,"_","-"),"|","-"))),IF(P746="","",CONCATENATE("_U2|",SUBSTITUTE(SUBSTITUTE(P746,"_","-"),"|","-"))),IF(Q746="","",CONCATENATE("_U3|",SUBSTITUTE(SUBSTITUTE(Q746,"_","-"),"|","-")))))</f>
        <v>#N/A</v>
      </c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3" t="str">
        <f>IF(K747="----","#N/A",CONCATENATE("MK|",(VLOOKUP(B747,Dictionary!$A:$B,2,0)),"_CH|",(VLOOKUP(C747,Dictionary!$AV:$AW,2,0)),"_DT|",(VLOOKUP(D747,Dictionary!$P:$Q,2,0)),"_PB|",(VLOOKUP(E747,Dictionary!$G:$H,2,0)),"_FM|",(VLOOKUP(F747,Dictionary!$S:$T,2,0)),"_RT|",(VLOOKUP(G747,Dictionary!$V:$W,2,0)),"_PD|",SUBSTITUTE(SUBSTITUTE(IF(H747="","NONE",H747),"_","-"),"|","-"),"_TG|",(VLOOKUP(I747,Dictionary!$J:$K,2,0)),"_ST|",(VLOOKUP(J747,Dictionary!$M:$N,2,0)),"_TS|",SUBSTITUTE(SUBSTITUTE(IF(K747="","NONE",K747),"_","-"),"|","-"),"_SZ|",(VLOOKUP(L747,Dictionary!$Y:$Z,1,0)),"_AD|",(VLOOKUP(M747,Dictionary!$AB:$AC,2,0)),"_IT|",(VLOOKUP(N747,Dictionary!$BC:$BD,2,0)),IF(O747="","",CONCATENATE("_U1|",SUBSTITUTE(SUBSTITUTE(O747,"_","-"),"|","-"))),IF(P747="","",CONCATENATE("_U2|",SUBSTITUTE(SUBSTITUTE(P747,"_","-"),"|","-"))),IF(Q747="","",CONCATENATE("_U3|",SUBSTITUTE(SUBSTITUTE(Q747,"_","-"),"|","-")))))</f>
        <v>#N/A</v>
      </c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3" t="str">
        <f>IF(K748="----","#N/A",CONCATENATE("MK|",(VLOOKUP(B748,Dictionary!$A:$B,2,0)),"_CH|",(VLOOKUP(C748,Dictionary!$AV:$AW,2,0)),"_DT|",(VLOOKUP(D748,Dictionary!$P:$Q,2,0)),"_PB|",(VLOOKUP(E748,Dictionary!$G:$H,2,0)),"_FM|",(VLOOKUP(F748,Dictionary!$S:$T,2,0)),"_RT|",(VLOOKUP(G748,Dictionary!$V:$W,2,0)),"_PD|",SUBSTITUTE(SUBSTITUTE(IF(H748="","NONE",H748),"_","-"),"|","-"),"_TG|",(VLOOKUP(I748,Dictionary!$J:$K,2,0)),"_ST|",(VLOOKUP(J748,Dictionary!$M:$N,2,0)),"_TS|",SUBSTITUTE(SUBSTITUTE(IF(K748="","NONE",K748),"_","-"),"|","-"),"_SZ|",(VLOOKUP(L748,Dictionary!$Y:$Z,1,0)),"_AD|",(VLOOKUP(M748,Dictionary!$AB:$AC,2,0)),"_IT|",(VLOOKUP(N748,Dictionary!$BC:$BD,2,0)),IF(O748="","",CONCATENATE("_U1|",SUBSTITUTE(SUBSTITUTE(O748,"_","-"),"|","-"))),IF(P748="","",CONCATENATE("_U2|",SUBSTITUTE(SUBSTITUTE(P748,"_","-"),"|","-"))),IF(Q748="","",CONCATENATE("_U3|",SUBSTITUTE(SUBSTITUTE(Q748,"_","-"),"|","-")))))</f>
        <v>#N/A</v>
      </c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3" t="str">
        <f>IF(K749="----","#N/A",CONCATENATE("MK|",(VLOOKUP(B749,Dictionary!$A:$B,2,0)),"_CH|",(VLOOKUP(C749,Dictionary!$AV:$AW,2,0)),"_DT|",(VLOOKUP(D749,Dictionary!$P:$Q,2,0)),"_PB|",(VLOOKUP(E749,Dictionary!$G:$H,2,0)),"_FM|",(VLOOKUP(F749,Dictionary!$S:$T,2,0)),"_RT|",(VLOOKUP(G749,Dictionary!$V:$W,2,0)),"_PD|",SUBSTITUTE(SUBSTITUTE(IF(H749="","NONE",H749),"_","-"),"|","-"),"_TG|",(VLOOKUP(I749,Dictionary!$J:$K,2,0)),"_ST|",(VLOOKUP(J749,Dictionary!$M:$N,2,0)),"_TS|",SUBSTITUTE(SUBSTITUTE(IF(K749="","NONE",K749),"_","-"),"|","-"),"_SZ|",(VLOOKUP(L749,Dictionary!$Y:$Z,1,0)),"_AD|",(VLOOKUP(M749,Dictionary!$AB:$AC,2,0)),"_IT|",(VLOOKUP(N749,Dictionary!$BC:$BD,2,0)),IF(O749="","",CONCATENATE("_U1|",SUBSTITUTE(SUBSTITUTE(O749,"_","-"),"|","-"))),IF(P749="","",CONCATENATE("_U2|",SUBSTITUTE(SUBSTITUTE(P749,"_","-"),"|","-"))),IF(Q749="","",CONCATENATE("_U3|",SUBSTITUTE(SUBSTITUTE(Q749,"_","-"),"|","-")))))</f>
        <v>#N/A</v>
      </c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3" t="str">
        <f>IF(K750="----","#N/A",CONCATENATE("MK|",(VLOOKUP(B750,Dictionary!$A:$B,2,0)),"_CH|",(VLOOKUP(C750,Dictionary!$AV:$AW,2,0)),"_DT|",(VLOOKUP(D750,Dictionary!$P:$Q,2,0)),"_PB|",(VLOOKUP(E750,Dictionary!$G:$H,2,0)),"_FM|",(VLOOKUP(F750,Dictionary!$S:$T,2,0)),"_RT|",(VLOOKUP(G750,Dictionary!$V:$W,2,0)),"_PD|",SUBSTITUTE(SUBSTITUTE(IF(H750="","NONE",H750),"_","-"),"|","-"),"_TG|",(VLOOKUP(I750,Dictionary!$J:$K,2,0)),"_ST|",(VLOOKUP(J750,Dictionary!$M:$N,2,0)),"_TS|",SUBSTITUTE(SUBSTITUTE(IF(K750="","NONE",K750),"_","-"),"|","-"),"_SZ|",(VLOOKUP(L750,Dictionary!$Y:$Z,1,0)),"_AD|",(VLOOKUP(M750,Dictionary!$AB:$AC,2,0)),"_IT|",(VLOOKUP(N750,Dictionary!$BC:$BD,2,0)),IF(O750="","",CONCATENATE("_U1|",SUBSTITUTE(SUBSTITUTE(O750,"_","-"),"|","-"))),IF(P750="","",CONCATENATE("_U2|",SUBSTITUTE(SUBSTITUTE(P750,"_","-"),"|","-"))),IF(Q750="","",CONCATENATE("_U3|",SUBSTITUTE(SUBSTITUTE(Q750,"_","-"),"|","-")))))</f>
        <v>#N/A</v>
      </c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3" t="str">
        <f>IF(K751="----","#N/A",CONCATENATE("MK|",(VLOOKUP(B751,Dictionary!$A:$B,2,0)),"_CH|",(VLOOKUP(C751,Dictionary!$AV:$AW,2,0)),"_DT|",(VLOOKUP(D751,Dictionary!$P:$Q,2,0)),"_PB|",(VLOOKUP(E751,Dictionary!$G:$H,2,0)),"_FM|",(VLOOKUP(F751,Dictionary!$S:$T,2,0)),"_RT|",(VLOOKUP(G751,Dictionary!$V:$W,2,0)),"_PD|",SUBSTITUTE(SUBSTITUTE(IF(H751="","NONE",H751),"_","-"),"|","-"),"_TG|",(VLOOKUP(I751,Dictionary!$J:$K,2,0)),"_ST|",(VLOOKUP(J751,Dictionary!$M:$N,2,0)),"_TS|",SUBSTITUTE(SUBSTITUTE(IF(K751="","NONE",K751),"_","-"),"|","-"),"_SZ|",(VLOOKUP(L751,Dictionary!$Y:$Z,1,0)),"_AD|",(VLOOKUP(M751,Dictionary!$AB:$AC,2,0)),"_IT|",(VLOOKUP(N751,Dictionary!$BC:$BD,2,0)),IF(O751="","",CONCATENATE("_U1|",SUBSTITUTE(SUBSTITUTE(O751,"_","-"),"|","-"))),IF(P751="","",CONCATENATE("_U2|",SUBSTITUTE(SUBSTITUTE(P751,"_","-"),"|","-"))),IF(Q751="","",CONCATENATE("_U3|",SUBSTITUTE(SUBSTITUTE(Q751,"_","-"),"|","-")))))</f>
        <v>#N/A</v>
      </c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3" t="str">
        <f>IF(K752="----","#N/A",CONCATENATE("MK|",(VLOOKUP(B752,Dictionary!$A:$B,2,0)),"_CH|",(VLOOKUP(C752,Dictionary!$AV:$AW,2,0)),"_DT|",(VLOOKUP(D752,Dictionary!$P:$Q,2,0)),"_PB|",(VLOOKUP(E752,Dictionary!$G:$H,2,0)),"_FM|",(VLOOKUP(F752,Dictionary!$S:$T,2,0)),"_RT|",(VLOOKUP(G752,Dictionary!$V:$W,2,0)),"_PD|",SUBSTITUTE(SUBSTITUTE(IF(H752="","NONE",H752),"_","-"),"|","-"),"_TG|",(VLOOKUP(I752,Dictionary!$J:$K,2,0)),"_ST|",(VLOOKUP(J752,Dictionary!$M:$N,2,0)),"_TS|",SUBSTITUTE(SUBSTITUTE(IF(K752="","NONE",K752),"_","-"),"|","-"),"_SZ|",(VLOOKUP(L752,Dictionary!$Y:$Z,1,0)),"_AD|",(VLOOKUP(M752,Dictionary!$AB:$AC,2,0)),"_IT|",(VLOOKUP(N752,Dictionary!$BC:$BD,2,0)),IF(O752="","",CONCATENATE("_U1|",SUBSTITUTE(SUBSTITUTE(O752,"_","-"),"|","-"))),IF(P752="","",CONCATENATE("_U2|",SUBSTITUTE(SUBSTITUTE(P752,"_","-"),"|","-"))),IF(Q752="","",CONCATENATE("_U3|",SUBSTITUTE(SUBSTITUTE(Q752,"_","-"),"|","-")))))</f>
        <v>#N/A</v>
      </c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3" t="str">
        <f>IF(K753="----","#N/A",CONCATENATE("MK|",(VLOOKUP(B753,Dictionary!$A:$B,2,0)),"_CH|",(VLOOKUP(C753,Dictionary!$AV:$AW,2,0)),"_DT|",(VLOOKUP(D753,Dictionary!$P:$Q,2,0)),"_PB|",(VLOOKUP(E753,Dictionary!$G:$H,2,0)),"_FM|",(VLOOKUP(F753,Dictionary!$S:$T,2,0)),"_RT|",(VLOOKUP(G753,Dictionary!$V:$W,2,0)),"_PD|",SUBSTITUTE(SUBSTITUTE(IF(H753="","NONE",H753),"_","-"),"|","-"),"_TG|",(VLOOKUP(I753,Dictionary!$J:$K,2,0)),"_ST|",(VLOOKUP(J753,Dictionary!$M:$N,2,0)),"_TS|",SUBSTITUTE(SUBSTITUTE(IF(K753="","NONE",K753),"_","-"),"|","-"),"_SZ|",(VLOOKUP(L753,Dictionary!$Y:$Z,1,0)),"_AD|",(VLOOKUP(M753,Dictionary!$AB:$AC,2,0)),"_IT|",(VLOOKUP(N753,Dictionary!$BC:$BD,2,0)),IF(O753="","",CONCATENATE("_U1|",SUBSTITUTE(SUBSTITUTE(O753,"_","-"),"|","-"))),IF(P753="","",CONCATENATE("_U2|",SUBSTITUTE(SUBSTITUTE(P753,"_","-"),"|","-"))),IF(Q753="","",CONCATENATE("_U3|",SUBSTITUTE(SUBSTITUTE(Q753,"_","-"),"|","-")))))</f>
        <v>#N/A</v>
      </c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3" t="str">
        <f>IF(K754="----","#N/A",CONCATENATE("MK|",(VLOOKUP(B754,Dictionary!$A:$B,2,0)),"_CH|",(VLOOKUP(C754,Dictionary!$AV:$AW,2,0)),"_DT|",(VLOOKUP(D754,Dictionary!$P:$Q,2,0)),"_PB|",(VLOOKUP(E754,Dictionary!$G:$H,2,0)),"_FM|",(VLOOKUP(F754,Dictionary!$S:$T,2,0)),"_RT|",(VLOOKUP(G754,Dictionary!$V:$W,2,0)),"_PD|",SUBSTITUTE(SUBSTITUTE(IF(H754="","NONE",H754),"_","-"),"|","-"),"_TG|",(VLOOKUP(I754,Dictionary!$J:$K,2,0)),"_ST|",(VLOOKUP(J754,Dictionary!$M:$N,2,0)),"_TS|",SUBSTITUTE(SUBSTITUTE(IF(K754="","NONE",K754),"_","-"),"|","-"),"_SZ|",(VLOOKUP(L754,Dictionary!$Y:$Z,1,0)),"_AD|",(VLOOKUP(M754,Dictionary!$AB:$AC,2,0)),"_IT|",(VLOOKUP(N754,Dictionary!$BC:$BD,2,0)),IF(O754="","",CONCATENATE("_U1|",SUBSTITUTE(SUBSTITUTE(O754,"_","-"),"|","-"))),IF(P754="","",CONCATENATE("_U2|",SUBSTITUTE(SUBSTITUTE(P754,"_","-"),"|","-"))),IF(Q754="","",CONCATENATE("_U3|",SUBSTITUTE(SUBSTITUTE(Q754,"_","-"),"|","-")))))</f>
        <v>#N/A</v>
      </c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3" t="str">
        <f>IF(K755="----","#N/A",CONCATENATE("MK|",(VLOOKUP(B755,Dictionary!$A:$B,2,0)),"_CH|",(VLOOKUP(C755,Dictionary!$AV:$AW,2,0)),"_DT|",(VLOOKUP(D755,Dictionary!$P:$Q,2,0)),"_PB|",(VLOOKUP(E755,Dictionary!$G:$H,2,0)),"_FM|",(VLOOKUP(F755,Dictionary!$S:$T,2,0)),"_RT|",(VLOOKUP(G755,Dictionary!$V:$W,2,0)),"_PD|",SUBSTITUTE(SUBSTITUTE(IF(H755="","NONE",H755),"_","-"),"|","-"),"_TG|",(VLOOKUP(I755,Dictionary!$J:$K,2,0)),"_ST|",(VLOOKUP(J755,Dictionary!$M:$N,2,0)),"_TS|",SUBSTITUTE(SUBSTITUTE(IF(K755="","NONE",K755),"_","-"),"|","-"),"_SZ|",(VLOOKUP(L755,Dictionary!$Y:$Z,1,0)),"_AD|",(VLOOKUP(M755,Dictionary!$AB:$AC,2,0)),"_IT|",(VLOOKUP(N755,Dictionary!$BC:$BD,2,0)),IF(O755="","",CONCATENATE("_U1|",SUBSTITUTE(SUBSTITUTE(O755,"_","-"),"|","-"))),IF(P755="","",CONCATENATE("_U2|",SUBSTITUTE(SUBSTITUTE(P755,"_","-"),"|","-"))),IF(Q755="","",CONCATENATE("_U3|",SUBSTITUTE(SUBSTITUTE(Q755,"_","-"),"|","-")))))</f>
        <v>#N/A</v>
      </c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3" t="str">
        <f>IF(K756="----","#N/A",CONCATENATE("MK|",(VLOOKUP(B756,Dictionary!$A:$B,2,0)),"_CH|",(VLOOKUP(C756,Dictionary!$AV:$AW,2,0)),"_DT|",(VLOOKUP(D756,Dictionary!$P:$Q,2,0)),"_PB|",(VLOOKUP(E756,Dictionary!$G:$H,2,0)),"_FM|",(VLOOKUP(F756,Dictionary!$S:$T,2,0)),"_RT|",(VLOOKUP(G756,Dictionary!$V:$W,2,0)),"_PD|",SUBSTITUTE(SUBSTITUTE(IF(H756="","NONE",H756),"_","-"),"|","-"),"_TG|",(VLOOKUP(I756,Dictionary!$J:$K,2,0)),"_ST|",(VLOOKUP(J756,Dictionary!$M:$N,2,0)),"_TS|",SUBSTITUTE(SUBSTITUTE(IF(K756="","NONE",K756),"_","-"),"|","-"),"_SZ|",(VLOOKUP(L756,Dictionary!$Y:$Z,1,0)),"_AD|",(VLOOKUP(M756,Dictionary!$AB:$AC,2,0)),"_IT|",(VLOOKUP(N756,Dictionary!$BC:$BD,2,0)),IF(O756="","",CONCATENATE("_U1|",SUBSTITUTE(SUBSTITUTE(O756,"_","-"),"|","-"))),IF(P756="","",CONCATENATE("_U2|",SUBSTITUTE(SUBSTITUTE(P756,"_","-"),"|","-"))),IF(Q756="","",CONCATENATE("_U3|",SUBSTITUTE(SUBSTITUTE(Q756,"_","-"),"|","-")))))</f>
        <v>#N/A</v>
      </c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3" t="str">
        <f>IF(K757="----","#N/A",CONCATENATE("MK|",(VLOOKUP(B757,Dictionary!$A:$B,2,0)),"_CH|",(VLOOKUP(C757,Dictionary!$AV:$AW,2,0)),"_DT|",(VLOOKUP(D757,Dictionary!$P:$Q,2,0)),"_PB|",(VLOOKUP(E757,Dictionary!$G:$H,2,0)),"_FM|",(VLOOKUP(F757,Dictionary!$S:$T,2,0)),"_RT|",(VLOOKUP(G757,Dictionary!$V:$W,2,0)),"_PD|",SUBSTITUTE(SUBSTITUTE(IF(H757="","NONE",H757),"_","-"),"|","-"),"_TG|",(VLOOKUP(I757,Dictionary!$J:$K,2,0)),"_ST|",(VLOOKUP(J757,Dictionary!$M:$N,2,0)),"_TS|",SUBSTITUTE(SUBSTITUTE(IF(K757="","NONE",K757),"_","-"),"|","-"),"_SZ|",(VLOOKUP(L757,Dictionary!$Y:$Z,1,0)),"_AD|",(VLOOKUP(M757,Dictionary!$AB:$AC,2,0)),"_IT|",(VLOOKUP(N757,Dictionary!$BC:$BD,2,0)),IF(O757="","",CONCATENATE("_U1|",SUBSTITUTE(SUBSTITUTE(O757,"_","-"),"|","-"))),IF(P757="","",CONCATENATE("_U2|",SUBSTITUTE(SUBSTITUTE(P757,"_","-"),"|","-"))),IF(Q757="","",CONCATENATE("_U3|",SUBSTITUTE(SUBSTITUTE(Q757,"_","-"),"|","-")))))</f>
        <v>#N/A</v>
      </c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3" t="str">
        <f>IF(K758="----","#N/A",CONCATENATE("MK|",(VLOOKUP(B758,Dictionary!$A:$B,2,0)),"_CH|",(VLOOKUP(C758,Dictionary!$AV:$AW,2,0)),"_DT|",(VLOOKUP(D758,Dictionary!$P:$Q,2,0)),"_PB|",(VLOOKUP(E758,Dictionary!$G:$H,2,0)),"_FM|",(VLOOKUP(F758,Dictionary!$S:$T,2,0)),"_RT|",(VLOOKUP(G758,Dictionary!$V:$W,2,0)),"_PD|",SUBSTITUTE(SUBSTITUTE(IF(H758="","NONE",H758),"_","-"),"|","-"),"_TG|",(VLOOKUP(I758,Dictionary!$J:$K,2,0)),"_ST|",(VLOOKUP(J758,Dictionary!$M:$N,2,0)),"_TS|",SUBSTITUTE(SUBSTITUTE(IF(K758="","NONE",K758),"_","-"),"|","-"),"_SZ|",(VLOOKUP(L758,Dictionary!$Y:$Z,1,0)),"_AD|",(VLOOKUP(M758,Dictionary!$AB:$AC,2,0)),"_IT|",(VLOOKUP(N758,Dictionary!$BC:$BD,2,0)),IF(O758="","",CONCATENATE("_U1|",SUBSTITUTE(SUBSTITUTE(O758,"_","-"),"|","-"))),IF(P758="","",CONCATENATE("_U2|",SUBSTITUTE(SUBSTITUTE(P758,"_","-"),"|","-"))),IF(Q758="","",CONCATENATE("_U3|",SUBSTITUTE(SUBSTITUTE(Q758,"_","-"),"|","-")))))</f>
        <v>#N/A</v>
      </c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3" t="str">
        <f>IF(K759="----","#N/A",CONCATENATE("MK|",(VLOOKUP(B759,Dictionary!$A:$B,2,0)),"_CH|",(VLOOKUP(C759,Dictionary!$AV:$AW,2,0)),"_DT|",(VLOOKUP(D759,Dictionary!$P:$Q,2,0)),"_PB|",(VLOOKUP(E759,Dictionary!$G:$H,2,0)),"_FM|",(VLOOKUP(F759,Dictionary!$S:$T,2,0)),"_RT|",(VLOOKUP(G759,Dictionary!$V:$W,2,0)),"_PD|",SUBSTITUTE(SUBSTITUTE(IF(H759="","NONE",H759),"_","-"),"|","-"),"_TG|",(VLOOKUP(I759,Dictionary!$J:$K,2,0)),"_ST|",(VLOOKUP(J759,Dictionary!$M:$N,2,0)),"_TS|",SUBSTITUTE(SUBSTITUTE(IF(K759="","NONE",K759),"_","-"),"|","-"),"_SZ|",(VLOOKUP(L759,Dictionary!$Y:$Z,1,0)),"_AD|",(VLOOKUP(M759,Dictionary!$AB:$AC,2,0)),"_IT|",(VLOOKUP(N759,Dictionary!$BC:$BD,2,0)),IF(O759="","",CONCATENATE("_U1|",SUBSTITUTE(SUBSTITUTE(O759,"_","-"),"|","-"))),IF(P759="","",CONCATENATE("_U2|",SUBSTITUTE(SUBSTITUTE(P759,"_","-"),"|","-"))),IF(Q759="","",CONCATENATE("_U3|",SUBSTITUTE(SUBSTITUTE(Q759,"_","-"),"|","-")))))</f>
        <v>#N/A</v>
      </c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3" t="str">
        <f>IF(K760="----","#N/A",CONCATENATE("MK|",(VLOOKUP(B760,Dictionary!$A:$B,2,0)),"_CH|",(VLOOKUP(C760,Dictionary!$AV:$AW,2,0)),"_DT|",(VLOOKUP(D760,Dictionary!$P:$Q,2,0)),"_PB|",(VLOOKUP(E760,Dictionary!$G:$H,2,0)),"_FM|",(VLOOKUP(F760,Dictionary!$S:$T,2,0)),"_RT|",(VLOOKUP(G760,Dictionary!$V:$W,2,0)),"_PD|",SUBSTITUTE(SUBSTITUTE(IF(H760="","NONE",H760),"_","-"),"|","-"),"_TG|",(VLOOKUP(I760,Dictionary!$J:$K,2,0)),"_ST|",(VLOOKUP(J760,Dictionary!$M:$N,2,0)),"_TS|",SUBSTITUTE(SUBSTITUTE(IF(K760="","NONE",K760),"_","-"),"|","-"),"_SZ|",(VLOOKUP(L760,Dictionary!$Y:$Z,1,0)),"_AD|",(VLOOKUP(M760,Dictionary!$AB:$AC,2,0)),"_IT|",(VLOOKUP(N760,Dictionary!$BC:$BD,2,0)),IF(O760="","",CONCATENATE("_U1|",SUBSTITUTE(SUBSTITUTE(O760,"_","-"),"|","-"))),IF(P760="","",CONCATENATE("_U2|",SUBSTITUTE(SUBSTITUTE(P760,"_","-"),"|","-"))),IF(Q760="","",CONCATENATE("_U3|",SUBSTITUTE(SUBSTITUTE(Q760,"_","-"),"|","-")))))</f>
        <v>#N/A</v>
      </c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3" t="str">
        <f>IF(K761="----","#N/A",CONCATENATE("MK|",(VLOOKUP(B761,Dictionary!$A:$B,2,0)),"_CH|",(VLOOKUP(C761,Dictionary!$AV:$AW,2,0)),"_DT|",(VLOOKUP(D761,Dictionary!$P:$Q,2,0)),"_PB|",(VLOOKUP(E761,Dictionary!$G:$H,2,0)),"_FM|",(VLOOKUP(F761,Dictionary!$S:$T,2,0)),"_RT|",(VLOOKUP(G761,Dictionary!$V:$W,2,0)),"_PD|",SUBSTITUTE(SUBSTITUTE(IF(H761="","NONE",H761),"_","-"),"|","-"),"_TG|",(VLOOKUP(I761,Dictionary!$J:$K,2,0)),"_ST|",(VLOOKUP(J761,Dictionary!$M:$N,2,0)),"_TS|",SUBSTITUTE(SUBSTITUTE(IF(K761="","NONE",K761),"_","-"),"|","-"),"_SZ|",(VLOOKUP(L761,Dictionary!$Y:$Z,1,0)),"_AD|",(VLOOKUP(M761,Dictionary!$AB:$AC,2,0)),"_IT|",(VLOOKUP(N761,Dictionary!$BC:$BD,2,0)),IF(O761="","",CONCATENATE("_U1|",SUBSTITUTE(SUBSTITUTE(O761,"_","-"),"|","-"))),IF(P761="","",CONCATENATE("_U2|",SUBSTITUTE(SUBSTITUTE(P761,"_","-"),"|","-"))),IF(Q761="","",CONCATENATE("_U3|",SUBSTITUTE(SUBSTITUTE(Q761,"_","-"),"|","-")))))</f>
        <v>#N/A</v>
      </c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3" t="str">
        <f>IF(K762="----","#N/A",CONCATENATE("MK|",(VLOOKUP(B762,Dictionary!$A:$B,2,0)),"_CH|",(VLOOKUP(C762,Dictionary!$AV:$AW,2,0)),"_DT|",(VLOOKUP(D762,Dictionary!$P:$Q,2,0)),"_PB|",(VLOOKUP(E762,Dictionary!$G:$H,2,0)),"_FM|",(VLOOKUP(F762,Dictionary!$S:$T,2,0)),"_RT|",(VLOOKUP(G762,Dictionary!$V:$W,2,0)),"_PD|",SUBSTITUTE(SUBSTITUTE(IF(H762="","NONE",H762),"_","-"),"|","-"),"_TG|",(VLOOKUP(I762,Dictionary!$J:$K,2,0)),"_ST|",(VLOOKUP(J762,Dictionary!$M:$N,2,0)),"_TS|",SUBSTITUTE(SUBSTITUTE(IF(K762="","NONE",K762),"_","-"),"|","-"),"_SZ|",(VLOOKUP(L762,Dictionary!$Y:$Z,1,0)),"_AD|",(VLOOKUP(M762,Dictionary!$AB:$AC,2,0)),"_IT|",(VLOOKUP(N762,Dictionary!$BC:$BD,2,0)),IF(O762="","",CONCATENATE("_U1|",SUBSTITUTE(SUBSTITUTE(O762,"_","-"),"|","-"))),IF(P762="","",CONCATENATE("_U2|",SUBSTITUTE(SUBSTITUTE(P762,"_","-"),"|","-"))),IF(Q762="","",CONCATENATE("_U3|",SUBSTITUTE(SUBSTITUTE(Q762,"_","-"),"|","-")))))</f>
        <v>#N/A</v>
      </c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3" t="str">
        <f>IF(K763="----","#N/A",CONCATENATE("MK|",(VLOOKUP(B763,Dictionary!$A:$B,2,0)),"_CH|",(VLOOKUP(C763,Dictionary!$AV:$AW,2,0)),"_DT|",(VLOOKUP(D763,Dictionary!$P:$Q,2,0)),"_PB|",(VLOOKUP(E763,Dictionary!$G:$H,2,0)),"_FM|",(VLOOKUP(F763,Dictionary!$S:$T,2,0)),"_RT|",(VLOOKUP(G763,Dictionary!$V:$W,2,0)),"_PD|",SUBSTITUTE(SUBSTITUTE(IF(H763="","NONE",H763),"_","-"),"|","-"),"_TG|",(VLOOKUP(I763,Dictionary!$J:$K,2,0)),"_ST|",(VLOOKUP(J763,Dictionary!$M:$N,2,0)),"_TS|",SUBSTITUTE(SUBSTITUTE(IF(K763="","NONE",K763),"_","-"),"|","-"),"_SZ|",(VLOOKUP(L763,Dictionary!$Y:$Z,1,0)),"_AD|",(VLOOKUP(M763,Dictionary!$AB:$AC,2,0)),"_IT|",(VLOOKUP(N763,Dictionary!$BC:$BD,2,0)),IF(O763="","",CONCATENATE("_U1|",SUBSTITUTE(SUBSTITUTE(O763,"_","-"),"|","-"))),IF(P763="","",CONCATENATE("_U2|",SUBSTITUTE(SUBSTITUTE(P763,"_","-"),"|","-"))),IF(Q763="","",CONCATENATE("_U3|",SUBSTITUTE(SUBSTITUTE(Q763,"_","-"),"|","-")))))</f>
        <v>#N/A</v>
      </c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3" t="str">
        <f>IF(K764="----","#N/A",CONCATENATE("MK|",(VLOOKUP(B764,Dictionary!$A:$B,2,0)),"_CH|",(VLOOKUP(C764,Dictionary!$AV:$AW,2,0)),"_DT|",(VLOOKUP(D764,Dictionary!$P:$Q,2,0)),"_PB|",(VLOOKUP(E764,Dictionary!$G:$H,2,0)),"_FM|",(VLOOKUP(F764,Dictionary!$S:$T,2,0)),"_RT|",(VLOOKUP(G764,Dictionary!$V:$W,2,0)),"_PD|",SUBSTITUTE(SUBSTITUTE(IF(H764="","NONE",H764),"_","-"),"|","-"),"_TG|",(VLOOKUP(I764,Dictionary!$J:$K,2,0)),"_ST|",(VLOOKUP(J764,Dictionary!$M:$N,2,0)),"_TS|",SUBSTITUTE(SUBSTITUTE(IF(K764="","NONE",K764),"_","-"),"|","-"),"_SZ|",(VLOOKUP(L764,Dictionary!$Y:$Z,1,0)),"_AD|",(VLOOKUP(M764,Dictionary!$AB:$AC,2,0)),"_IT|",(VLOOKUP(N764,Dictionary!$BC:$BD,2,0)),IF(O764="","",CONCATENATE("_U1|",SUBSTITUTE(SUBSTITUTE(O764,"_","-"),"|","-"))),IF(P764="","",CONCATENATE("_U2|",SUBSTITUTE(SUBSTITUTE(P764,"_","-"),"|","-"))),IF(Q764="","",CONCATENATE("_U3|",SUBSTITUTE(SUBSTITUTE(Q764,"_","-"),"|","-")))))</f>
        <v>#N/A</v>
      </c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3" t="str">
        <f>IF(K765="----","#N/A",CONCATENATE("MK|",(VLOOKUP(B765,Dictionary!$A:$B,2,0)),"_CH|",(VLOOKUP(C765,Dictionary!$AV:$AW,2,0)),"_DT|",(VLOOKUP(D765,Dictionary!$P:$Q,2,0)),"_PB|",(VLOOKUP(E765,Dictionary!$G:$H,2,0)),"_FM|",(VLOOKUP(F765,Dictionary!$S:$T,2,0)),"_RT|",(VLOOKUP(G765,Dictionary!$V:$W,2,0)),"_PD|",SUBSTITUTE(SUBSTITUTE(IF(H765="","NONE",H765),"_","-"),"|","-"),"_TG|",(VLOOKUP(I765,Dictionary!$J:$K,2,0)),"_ST|",(VLOOKUP(J765,Dictionary!$M:$N,2,0)),"_TS|",SUBSTITUTE(SUBSTITUTE(IF(K765="","NONE",K765),"_","-"),"|","-"),"_SZ|",(VLOOKUP(L765,Dictionary!$Y:$Z,1,0)),"_AD|",(VLOOKUP(M765,Dictionary!$AB:$AC,2,0)),"_IT|",(VLOOKUP(N765,Dictionary!$BC:$BD,2,0)),IF(O765="","",CONCATENATE("_U1|",SUBSTITUTE(SUBSTITUTE(O765,"_","-"),"|","-"))),IF(P765="","",CONCATENATE("_U2|",SUBSTITUTE(SUBSTITUTE(P765,"_","-"),"|","-"))),IF(Q765="","",CONCATENATE("_U3|",SUBSTITUTE(SUBSTITUTE(Q765,"_","-"),"|","-")))))</f>
        <v>#N/A</v>
      </c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3" t="str">
        <f>IF(K766="----","#N/A",CONCATENATE("MK|",(VLOOKUP(B766,Dictionary!$A:$B,2,0)),"_CH|",(VLOOKUP(C766,Dictionary!$AV:$AW,2,0)),"_DT|",(VLOOKUP(D766,Dictionary!$P:$Q,2,0)),"_PB|",(VLOOKUP(E766,Dictionary!$G:$H,2,0)),"_FM|",(VLOOKUP(F766,Dictionary!$S:$T,2,0)),"_RT|",(VLOOKUP(G766,Dictionary!$V:$W,2,0)),"_PD|",SUBSTITUTE(SUBSTITUTE(IF(H766="","NONE",H766),"_","-"),"|","-"),"_TG|",(VLOOKUP(I766,Dictionary!$J:$K,2,0)),"_ST|",(VLOOKUP(J766,Dictionary!$M:$N,2,0)),"_TS|",SUBSTITUTE(SUBSTITUTE(IF(K766="","NONE",K766),"_","-"),"|","-"),"_SZ|",(VLOOKUP(L766,Dictionary!$Y:$Z,1,0)),"_AD|",(VLOOKUP(M766,Dictionary!$AB:$AC,2,0)),"_IT|",(VLOOKUP(N766,Dictionary!$BC:$BD,2,0)),IF(O766="","",CONCATENATE("_U1|",SUBSTITUTE(SUBSTITUTE(O766,"_","-"),"|","-"))),IF(P766="","",CONCATENATE("_U2|",SUBSTITUTE(SUBSTITUTE(P766,"_","-"),"|","-"))),IF(Q766="","",CONCATENATE("_U3|",SUBSTITUTE(SUBSTITUTE(Q766,"_","-"),"|","-")))))</f>
        <v>#N/A</v>
      </c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3" t="str">
        <f>IF(K767="----","#N/A",CONCATENATE("MK|",(VLOOKUP(B767,Dictionary!$A:$B,2,0)),"_CH|",(VLOOKUP(C767,Dictionary!$AV:$AW,2,0)),"_DT|",(VLOOKUP(D767,Dictionary!$P:$Q,2,0)),"_PB|",(VLOOKUP(E767,Dictionary!$G:$H,2,0)),"_FM|",(VLOOKUP(F767,Dictionary!$S:$T,2,0)),"_RT|",(VLOOKUP(G767,Dictionary!$V:$W,2,0)),"_PD|",SUBSTITUTE(SUBSTITUTE(IF(H767="","NONE",H767),"_","-"),"|","-"),"_TG|",(VLOOKUP(I767,Dictionary!$J:$K,2,0)),"_ST|",(VLOOKUP(J767,Dictionary!$M:$N,2,0)),"_TS|",SUBSTITUTE(SUBSTITUTE(IF(K767="","NONE",K767),"_","-"),"|","-"),"_SZ|",(VLOOKUP(L767,Dictionary!$Y:$Z,1,0)),"_AD|",(VLOOKUP(M767,Dictionary!$AB:$AC,2,0)),"_IT|",(VLOOKUP(N767,Dictionary!$BC:$BD,2,0)),IF(O767="","",CONCATENATE("_U1|",SUBSTITUTE(SUBSTITUTE(O767,"_","-"),"|","-"))),IF(P767="","",CONCATENATE("_U2|",SUBSTITUTE(SUBSTITUTE(P767,"_","-"),"|","-"))),IF(Q767="","",CONCATENATE("_U3|",SUBSTITUTE(SUBSTITUTE(Q767,"_","-"),"|","-")))))</f>
        <v>#N/A</v>
      </c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3" t="str">
        <f>IF(K768="----","#N/A",CONCATENATE("MK|",(VLOOKUP(B768,Dictionary!$A:$B,2,0)),"_CH|",(VLOOKUP(C768,Dictionary!$AV:$AW,2,0)),"_DT|",(VLOOKUP(D768,Dictionary!$P:$Q,2,0)),"_PB|",(VLOOKUP(E768,Dictionary!$G:$H,2,0)),"_FM|",(VLOOKUP(F768,Dictionary!$S:$T,2,0)),"_RT|",(VLOOKUP(G768,Dictionary!$V:$W,2,0)),"_PD|",SUBSTITUTE(SUBSTITUTE(IF(H768="","NONE",H768),"_","-"),"|","-"),"_TG|",(VLOOKUP(I768,Dictionary!$J:$K,2,0)),"_ST|",(VLOOKUP(J768,Dictionary!$M:$N,2,0)),"_TS|",SUBSTITUTE(SUBSTITUTE(IF(K768="","NONE",K768),"_","-"),"|","-"),"_SZ|",(VLOOKUP(L768,Dictionary!$Y:$Z,1,0)),"_AD|",(VLOOKUP(M768,Dictionary!$AB:$AC,2,0)),"_IT|",(VLOOKUP(N768,Dictionary!$BC:$BD,2,0)),IF(O768="","",CONCATENATE("_U1|",SUBSTITUTE(SUBSTITUTE(O768,"_","-"),"|","-"))),IF(P768="","",CONCATENATE("_U2|",SUBSTITUTE(SUBSTITUTE(P768,"_","-"),"|","-"))),IF(Q768="","",CONCATENATE("_U3|",SUBSTITUTE(SUBSTITUTE(Q768,"_","-"),"|","-")))))</f>
        <v>#N/A</v>
      </c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3" t="str">
        <f>IF(K769="----","#N/A",CONCATENATE("MK|",(VLOOKUP(B769,Dictionary!$A:$B,2,0)),"_CH|",(VLOOKUP(C769,Dictionary!$AV:$AW,2,0)),"_DT|",(VLOOKUP(D769,Dictionary!$P:$Q,2,0)),"_PB|",(VLOOKUP(E769,Dictionary!$G:$H,2,0)),"_FM|",(VLOOKUP(F769,Dictionary!$S:$T,2,0)),"_RT|",(VLOOKUP(G769,Dictionary!$V:$W,2,0)),"_PD|",SUBSTITUTE(SUBSTITUTE(IF(H769="","NONE",H769),"_","-"),"|","-"),"_TG|",(VLOOKUP(I769,Dictionary!$J:$K,2,0)),"_ST|",(VLOOKUP(J769,Dictionary!$M:$N,2,0)),"_TS|",SUBSTITUTE(SUBSTITUTE(IF(K769="","NONE",K769),"_","-"),"|","-"),"_SZ|",(VLOOKUP(L769,Dictionary!$Y:$Z,1,0)),"_AD|",(VLOOKUP(M769,Dictionary!$AB:$AC,2,0)),"_IT|",(VLOOKUP(N769,Dictionary!$BC:$BD,2,0)),IF(O769="","",CONCATENATE("_U1|",SUBSTITUTE(SUBSTITUTE(O769,"_","-"),"|","-"))),IF(P769="","",CONCATENATE("_U2|",SUBSTITUTE(SUBSTITUTE(P769,"_","-"),"|","-"))),IF(Q769="","",CONCATENATE("_U3|",SUBSTITUTE(SUBSTITUTE(Q769,"_","-"),"|","-")))))</f>
        <v>#N/A</v>
      </c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3" t="str">
        <f>IF(K770="----","#N/A",CONCATENATE("MK|",(VLOOKUP(B770,Dictionary!$A:$B,2,0)),"_CH|",(VLOOKUP(C770,Dictionary!$AV:$AW,2,0)),"_DT|",(VLOOKUP(D770,Dictionary!$P:$Q,2,0)),"_PB|",(VLOOKUP(E770,Dictionary!$G:$H,2,0)),"_FM|",(VLOOKUP(F770,Dictionary!$S:$T,2,0)),"_RT|",(VLOOKUP(G770,Dictionary!$V:$W,2,0)),"_PD|",SUBSTITUTE(SUBSTITUTE(IF(H770="","NONE",H770),"_","-"),"|","-"),"_TG|",(VLOOKUP(I770,Dictionary!$J:$K,2,0)),"_ST|",(VLOOKUP(J770,Dictionary!$M:$N,2,0)),"_TS|",SUBSTITUTE(SUBSTITUTE(IF(K770="","NONE",K770),"_","-"),"|","-"),"_SZ|",(VLOOKUP(L770,Dictionary!$Y:$Z,1,0)),"_AD|",(VLOOKUP(M770,Dictionary!$AB:$AC,2,0)),"_IT|",(VLOOKUP(N770,Dictionary!$BC:$BD,2,0)),IF(O770="","",CONCATENATE("_U1|",SUBSTITUTE(SUBSTITUTE(O770,"_","-"),"|","-"))),IF(P770="","",CONCATENATE("_U2|",SUBSTITUTE(SUBSTITUTE(P770,"_","-"),"|","-"))),IF(Q770="","",CONCATENATE("_U3|",SUBSTITUTE(SUBSTITUTE(Q770,"_","-"),"|","-")))))</f>
        <v>#N/A</v>
      </c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3" t="str">
        <f>IF(K771="----","#N/A",CONCATENATE("MK|",(VLOOKUP(B771,Dictionary!$A:$B,2,0)),"_CH|",(VLOOKUP(C771,Dictionary!$AV:$AW,2,0)),"_DT|",(VLOOKUP(D771,Dictionary!$P:$Q,2,0)),"_PB|",(VLOOKUP(E771,Dictionary!$G:$H,2,0)),"_FM|",(VLOOKUP(F771,Dictionary!$S:$T,2,0)),"_RT|",(VLOOKUP(G771,Dictionary!$V:$W,2,0)),"_PD|",SUBSTITUTE(SUBSTITUTE(IF(H771="","NONE",H771),"_","-"),"|","-"),"_TG|",(VLOOKUP(I771,Dictionary!$J:$K,2,0)),"_ST|",(VLOOKUP(J771,Dictionary!$M:$N,2,0)),"_TS|",SUBSTITUTE(SUBSTITUTE(IF(K771="","NONE",K771),"_","-"),"|","-"),"_SZ|",(VLOOKUP(L771,Dictionary!$Y:$Z,1,0)),"_AD|",(VLOOKUP(M771,Dictionary!$AB:$AC,2,0)),"_IT|",(VLOOKUP(N771,Dictionary!$BC:$BD,2,0)),IF(O771="","",CONCATENATE("_U1|",SUBSTITUTE(SUBSTITUTE(O771,"_","-"),"|","-"))),IF(P771="","",CONCATENATE("_U2|",SUBSTITUTE(SUBSTITUTE(P771,"_","-"),"|","-"))),IF(Q771="","",CONCATENATE("_U3|",SUBSTITUTE(SUBSTITUTE(Q771,"_","-"),"|","-")))))</f>
        <v>#N/A</v>
      </c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3" t="str">
        <f>IF(K772="----","#N/A",CONCATENATE("MK|",(VLOOKUP(B772,Dictionary!$A:$B,2,0)),"_CH|",(VLOOKUP(C772,Dictionary!$AV:$AW,2,0)),"_DT|",(VLOOKUP(D772,Dictionary!$P:$Q,2,0)),"_PB|",(VLOOKUP(E772,Dictionary!$G:$H,2,0)),"_FM|",(VLOOKUP(F772,Dictionary!$S:$T,2,0)),"_RT|",(VLOOKUP(G772,Dictionary!$V:$W,2,0)),"_PD|",SUBSTITUTE(SUBSTITUTE(IF(H772="","NONE",H772),"_","-"),"|","-"),"_TG|",(VLOOKUP(I772,Dictionary!$J:$K,2,0)),"_ST|",(VLOOKUP(J772,Dictionary!$M:$N,2,0)),"_TS|",SUBSTITUTE(SUBSTITUTE(IF(K772="","NONE",K772),"_","-"),"|","-"),"_SZ|",(VLOOKUP(L772,Dictionary!$Y:$Z,1,0)),"_AD|",(VLOOKUP(M772,Dictionary!$AB:$AC,2,0)),"_IT|",(VLOOKUP(N772,Dictionary!$BC:$BD,2,0)),IF(O772="","",CONCATENATE("_U1|",SUBSTITUTE(SUBSTITUTE(O772,"_","-"),"|","-"))),IF(P772="","",CONCATENATE("_U2|",SUBSTITUTE(SUBSTITUTE(P772,"_","-"),"|","-"))),IF(Q772="","",CONCATENATE("_U3|",SUBSTITUTE(SUBSTITUTE(Q772,"_","-"),"|","-")))))</f>
        <v>#N/A</v>
      </c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3" t="str">
        <f>IF(K773="----","#N/A",CONCATENATE("MK|",(VLOOKUP(B773,Dictionary!$A:$B,2,0)),"_CH|",(VLOOKUP(C773,Dictionary!$AV:$AW,2,0)),"_DT|",(VLOOKUP(D773,Dictionary!$P:$Q,2,0)),"_PB|",(VLOOKUP(E773,Dictionary!$G:$H,2,0)),"_FM|",(VLOOKUP(F773,Dictionary!$S:$T,2,0)),"_RT|",(VLOOKUP(G773,Dictionary!$V:$W,2,0)),"_PD|",SUBSTITUTE(SUBSTITUTE(IF(H773="","NONE",H773),"_","-"),"|","-"),"_TG|",(VLOOKUP(I773,Dictionary!$J:$K,2,0)),"_ST|",(VLOOKUP(J773,Dictionary!$M:$N,2,0)),"_TS|",SUBSTITUTE(SUBSTITUTE(IF(K773="","NONE",K773),"_","-"),"|","-"),"_SZ|",(VLOOKUP(L773,Dictionary!$Y:$Z,1,0)),"_AD|",(VLOOKUP(M773,Dictionary!$AB:$AC,2,0)),"_IT|",(VLOOKUP(N773,Dictionary!$BC:$BD,2,0)),IF(O773="","",CONCATENATE("_U1|",SUBSTITUTE(SUBSTITUTE(O773,"_","-"),"|","-"))),IF(P773="","",CONCATENATE("_U2|",SUBSTITUTE(SUBSTITUTE(P773,"_","-"),"|","-"))),IF(Q773="","",CONCATENATE("_U3|",SUBSTITUTE(SUBSTITUTE(Q773,"_","-"),"|","-")))))</f>
        <v>#N/A</v>
      </c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3" t="str">
        <f>IF(K774="----","#N/A",CONCATENATE("MK|",(VLOOKUP(B774,Dictionary!$A:$B,2,0)),"_CH|",(VLOOKUP(C774,Dictionary!$AV:$AW,2,0)),"_DT|",(VLOOKUP(D774,Dictionary!$P:$Q,2,0)),"_PB|",(VLOOKUP(E774,Dictionary!$G:$H,2,0)),"_FM|",(VLOOKUP(F774,Dictionary!$S:$T,2,0)),"_RT|",(VLOOKUP(G774,Dictionary!$V:$W,2,0)),"_PD|",SUBSTITUTE(SUBSTITUTE(IF(H774="","NONE",H774),"_","-"),"|","-"),"_TG|",(VLOOKUP(I774,Dictionary!$J:$K,2,0)),"_ST|",(VLOOKUP(J774,Dictionary!$M:$N,2,0)),"_TS|",SUBSTITUTE(SUBSTITUTE(IF(K774="","NONE",K774),"_","-"),"|","-"),"_SZ|",(VLOOKUP(L774,Dictionary!$Y:$Z,1,0)),"_AD|",(VLOOKUP(M774,Dictionary!$AB:$AC,2,0)),"_IT|",(VLOOKUP(N774,Dictionary!$BC:$BD,2,0)),IF(O774="","",CONCATENATE("_U1|",SUBSTITUTE(SUBSTITUTE(O774,"_","-"),"|","-"))),IF(P774="","",CONCATENATE("_U2|",SUBSTITUTE(SUBSTITUTE(P774,"_","-"),"|","-"))),IF(Q774="","",CONCATENATE("_U3|",SUBSTITUTE(SUBSTITUTE(Q774,"_","-"),"|","-")))))</f>
        <v>#N/A</v>
      </c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3" t="str">
        <f>IF(K775="----","#N/A",CONCATENATE("MK|",(VLOOKUP(B775,Dictionary!$A:$B,2,0)),"_CH|",(VLOOKUP(C775,Dictionary!$AV:$AW,2,0)),"_DT|",(VLOOKUP(D775,Dictionary!$P:$Q,2,0)),"_PB|",(VLOOKUP(E775,Dictionary!$G:$H,2,0)),"_FM|",(VLOOKUP(F775,Dictionary!$S:$T,2,0)),"_RT|",(VLOOKUP(G775,Dictionary!$V:$W,2,0)),"_PD|",SUBSTITUTE(SUBSTITUTE(IF(H775="","NONE",H775),"_","-"),"|","-"),"_TG|",(VLOOKUP(I775,Dictionary!$J:$K,2,0)),"_ST|",(VLOOKUP(J775,Dictionary!$M:$N,2,0)),"_TS|",SUBSTITUTE(SUBSTITUTE(IF(K775="","NONE",K775),"_","-"),"|","-"),"_SZ|",(VLOOKUP(L775,Dictionary!$Y:$Z,1,0)),"_AD|",(VLOOKUP(M775,Dictionary!$AB:$AC,2,0)),"_IT|",(VLOOKUP(N775,Dictionary!$BC:$BD,2,0)),IF(O775="","",CONCATENATE("_U1|",SUBSTITUTE(SUBSTITUTE(O775,"_","-"),"|","-"))),IF(P775="","",CONCATENATE("_U2|",SUBSTITUTE(SUBSTITUTE(P775,"_","-"),"|","-"))),IF(Q775="","",CONCATENATE("_U3|",SUBSTITUTE(SUBSTITUTE(Q775,"_","-"),"|","-")))))</f>
        <v>#N/A</v>
      </c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3" t="str">
        <f>IF(K776="----","#N/A",CONCATENATE("MK|",(VLOOKUP(B776,Dictionary!$A:$B,2,0)),"_CH|",(VLOOKUP(C776,Dictionary!$AV:$AW,2,0)),"_DT|",(VLOOKUP(D776,Dictionary!$P:$Q,2,0)),"_PB|",(VLOOKUP(E776,Dictionary!$G:$H,2,0)),"_FM|",(VLOOKUP(F776,Dictionary!$S:$T,2,0)),"_RT|",(VLOOKUP(G776,Dictionary!$V:$W,2,0)),"_PD|",SUBSTITUTE(SUBSTITUTE(IF(H776="","NONE",H776),"_","-"),"|","-"),"_TG|",(VLOOKUP(I776,Dictionary!$J:$K,2,0)),"_ST|",(VLOOKUP(J776,Dictionary!$M:$N,2,0)),"_TS|",SUBSTITUTE(SUBSTITUTE(IF(K776="","NONE",K776),"_","-"),"|","-"),"_SZ|",(VLOOKUP(L776,Dictionary!$Y:$Z,1,0)),"_AD|",(VLOOKUP(M776,Dictionary!$AB:$AC,2,0)),"_IT|",(VLOOKUP(N776,Dictionary!$BC:$BD,2,0)),IF(O776="","",CONCATENATE("_U1|",SUBSTITUTE(SUBSTITUTE(O776,"_","-"),"|","-"))),IF(P776="","",CONCATENATE("_U2|",SUBSTITUTE(SUBSTITUTE(P776,"_","-"),"|","-"))),IF(Q776="","",CONCATENATE("_U3|",SUBSTITUTE(SUBSTITUTE(Q776,"_","-"),"|","-")))))</f>
        <v>#N/A</v>
      </c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3" t="str">
        <f>IF(K777="----","#N/A",CONCATENATE("MK|",(VLOOKUP(B777,Dictionary!$A:$B,2,0)),"_CH|",(VLOOKUP(C777,Dictionary!$AV:$AW,2,0)),"_DT|",(VLOOKUP(D777,Dictionary!$P:$Q,2,0)),"_PB|",(VLOOKUP(E777,Dictionary!$G:$H,2,0)),"_FM|",(VLOOKUP(F777,Dictionary!$S:$T,2,0)),"_RT|",(VLOOKUP(G777,Dictionary!$V:$W,2,0)),"_PD|",SUBSTITUTE(SUBSTITUTE(IF(H777="","NONE",H777),"_","-"),"|","-"),"_TG|",(VLOOKUP(I777,Dictionary!$J:$K,2,0)),"_ST|",(VLOOKUP(J777,Dictionary!$M:$N,2,0)),"_TS|",SUBSTITUTE(SUBSTITUTE(IF(K777="","NONE",K777),"_","-"),"|","-"),"_SZ|",(VLOOKUP(L777,Dictionary!$Y:$Z,1,0)),"_AD|",(VLOOKUP(M777,Dictionary!$AB:$AC,2,0)),"_IT|",(VLOOKUP(N777,Dictionary!$BC:$BD,2,0)),IF(O777="","",CONCATENATE("_U1|",SUBSTITUTE(SUBSTITUTE(O777,"_","-"),"|","-"))),IF(P777="","",CONCATENATE("_U2|",SUBSTITUTE(SUBSTITUTE(P777,"_","-"),"|","-"))),IF(Q777="","",CONCATENATE("_U3|",SUBSTITUTE(SUBSTITUTE(Q777,"_","-"),"|","-")))))</f>
        <v>#N/A</v>
      </c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3" t="str">
        <f>IF(K778="----","#N/A",CONCATENATE("MK|",(VLOOKUP(B778,Dictionary!$A:$B,2,0)),"_CH|",(VLOOKUP(C778,Dictionary!$AV:$AW,2,0)),"_DT|",(VLOOKUP(D778,Dictionary!$P:$Q,2,0)),"_PB|",(VLOOKUP(E778,Dictionary!$G:$H,2,0)),"_FM|",(VLOOKUP(F778,Dictionary!$S:$T,2,0)),"_RT|",(VLOOKUP(G778,Dictionary!$V:$W,2,0)),"_PD|",SUBSTITUTE(SUBSTITUTE(IF(H778="","NONE",H778),"_","-"),"|","-"),"_TG|",(VLOOKUP(I778,Dictionary!$J:$K,2,0)),"_ST|",(VLOOKUP(J778,Dictionary!$M:$N,2,0)),"_TS|",SUBSTITUTE(SUBSTITUTE(IF(K778="","NONE",K778),"_","-"),"|","-"),"_SZ|",(VLOOKUP(L778,Dictionary!$Y:$Z,1,0)),"_AD|",(VLOOKUP(M778,Dictionary!$AB:$AC,2,0)),"_IT|",(VLOOKUP(N778,Dictionary!$BC:$BD,2,0)),IF(O778="","",CONCATENATE("_U1|",SUBSTITUTE(SUBSTITUTE(O778,"_","-"),"|","-"))),IF(P778="","",CONCATENATE("_U2|",SUBSTITUTE(SUBSTITUTE(P778,"_","-"),"|","-"))),IF(Q778="","",CONCATENATE("_U3|",SUBSTITUTE(SUBSTITUTE(Q778,"_","-"),"|","-")))))</f>
        <v>#N/A</v>
      </c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3" t="str">
        <f>IF(K779="----","#N/A",CONCATENATE("MK|",(VLOOKUP(B779,Dictionary!$A:$B,2,0)),"_CH|",(VLOOKUP(C779,Dictionary!$AV:$AW,2,0)),"_DT|",(VLOOKUP(D779,Dictionary!$P:$Q,2,0)),"_PB|",(VLOOKUP(E779,Dictionary!$G:$H,2,0)),"_FM|",(VLOOKUP(F779,Dictionary!$S:$T,2,0)),"_RT|",(VLOOKUP(G779,Dictionary!$V:$W,2,0)),"_PD|",SUBSTITUTE(SUBSTITUTE(IF(H779="","NONE",H779),"_","-"),"|","-"),"_TG|",(VLOOKUP(I779,Dictionary!$J:$K,2,0)),"_ST|",(VLOOKUP(J779,Dictionary!$M:$N,2,0)),"_TS|",SUBSTITUTE(SUBSTITUTE(IF(K779="","NONE",K779),"_","-"),"|","-"),"_SZ|",(VLOOKUP(L779,Dictionary!$Y:$Z,1,0)),"_AD|",(VLOOKUP(M779,Dictionary!$AB:$AC,2,0)),"_IT|",(VLOOKUP(N779,Dictionary!$BC:$BD,2,0)),IF(O779="","",CONCATENATE("_U1|",SUBSTITUTE(SUBSTITUTE(O779,"_","-"),"|","-"))),IF(P779="","",CONCATENATE("_U2|",SUBSTITUTE(SUBSTITUTE(P779,"_","-"),"|","-"))),IF(Q779="","",CONCATENATE("_U3|",SUBSTITUTE(SUBSTITUTE(Q779,"_","-"),"|","-")))))</f>
        <v>#N/A</v>
      </c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3" t="str">
        <f>IF(K780="----","#N/A",CONCATENATE("MK|",(VLOOKUP(B780,Dictionary!$A:$B,2,0)),"_CH|",(VLOOKUP(C780,Dictionary!$AV:$AW,2,0)),"_DT|",(VLOOKUP(D780,Dictionary!$P:$Q,2,0)),"_PB|",(VLOOKUP(E780,Dictionary!$G:$H,2,0)),"_FM|",(VLOOKUP(F780,Dictionary!$S:$T,2,0)),"_RT|",(VLOOKUP(G780,Dictionary!$V:$W,2,0)),"_PD|",SUBSTITUTE(SUBSTITUTE(IF(H780="","NONE",H780),"_","-"),"|","-"),"_TG|",(VLOOKUP(I780,Dictionary!$J:$K,2,0)),"_ST|",(VLOOKUP(J780,Dictionary!$M:$N,2,0)),"_TS|",SUBSTITUTE(SUBSTITUTE(IF(K780="","NONE",K780),"_","-"),"|","-"),"_SZ|",(VLOOKUP(L780,Dictionary!$Y:$Z,1,0)),"_AD|",(VLOOKUP(M780,Dictionary!$AB:$AC,2,0)),"_IT|",(VLOOKUP(N780,Dictionary!$BC:$BD,2,0)),IF(O780="","",CONCATENATE("_U1|",SUBSTITUTE(SUBSTITUTE(O780,"_","-"),"|","-"))),IF(P780="","",CONCATENATE("_U2|",SUBSTITUTE(SUBSTITUTE(P780,"_","-"),"|","-"))),IF(Q780="","",CONCATENATE("_U3|",SUBSTITUTE(SUBSTITUTE(Q780,"_","-"),"|","-")))))</f>
        <v>#N/A</v>
      </c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3" t="str">
        <f>IF(K781="----","#N/A",CONCATENATE("MK|",(VLOOKUP(B781,Dictionary!$A:$B,2,0)),"_CH|",(VLOOKUP(C781,Dictionary!$AV:$AW,2,0)),"_DT|",(VLOOKUP(D781,Dictionary!$P:$Q,2,0)),"_PB|",(VLOOKUP(E781,Dictionary!$G:$H,2,0)),"_FM|",(VLOOKUP(F781,Dictionary!$S:$T,2,0)),"_RT|",(VLOOKUP(G781,Dictionary!$V:$W,2,0)),"_PD|",SUBSTITUTE(SUBSTITUTE(IF(H781="","NONE",H781),"_","-"),"|","-"),"_TG|",(VLOOKUP(I781,Dictionary!$J:$K,2,0)),"_ST|",(VLOOKUP(J781,Dictionary!$M:$N,2,0)),"_TS|",SUBSTITUTE(SUBSTITUTE(IF(K781="","NONE",K781),"_","-"),"|","-"),"_SZ|",(VLOOKUP(L781,Dictionary!$Y:$Z,1,0)),"_AD|",(VLOOKUP(M781,Dictionary!$AB:$AC,2,0)),"_IT|",(VLOOKUP(N781,Dictionary!$BC:$BD,2,0)),IF(O781="","",CONCATENATE("_U1|",SUBSTITUTE(SUBSTITUTE(O781,"_","-"),"|","-"))),IF(P781="","",CONCATENATE("_U2|",SUBSTITUTE(SUBSTITUTE(P781,"_","-"),"|","-"))),IF(Q781="","",CONCATENATE("_U3|",SUBSTITUTE(SUBSTITUTE(Q781,"_","-"),"|","-")))))</f>
        <v>#N/A</v>
      </c>
    </row>
    <row r="782" ht="15.75" customHeight="1">
      <c r="A782" s="31"/>
      <c r="B782" s="32"/>
      <c r="C782" s="31"/>
      <c r="D782" s="32"/>
      <c r="E782" s="31"/>
      <c r="F782" s="31"/>
      <c r="G782" s="32"/>
      <c r="H782" s="31"/>
      <c r="I782" s="32"/>
      <c r="J782" s="32"/>
      <c r="K782" s="32"/>
      <c r="L782" s="31"/>
      <c r="M782" s="31"/>
      <c r="N782" s="31"/>
      <c r="O782" s="31"/>
      <c r="P782" s="31"/>
      <c r="Q782" s="31"/>
      <c r="R782" s="33"/>
    </row>
    <row r="783" ht="15.75" customHeight="1">
      <c r="A783" s="32"/>
      <c r="B783" s="32"/>
      <c r="C783" s="31"/>
      <c r="D783" s="32"/>
      <c r="E783" s="31"/>
      <c r="F783" s="31"/>
      <c r="G783" s="32"/>
      <c r="H783" s="32"/>
      <c r="I783" s="32"/>
      <c r="J783" s="32"/>
      <c r="K783" s="32"/>
      <c r="L783" s="31"/>
      <c r="M783" s="31"/>
      <c r="N783" s="31"/>
      <c r="O783" s="32"/>
      <c r="P783" s="32"/>
      <c r="Q783" s="32"/>
      <c r="R783" s="33"/>
    </row>
    <row r="784" ht="15.75" customHeight="1">
      <c r="A784" s="32"/>
      <c r="B784" s="32"/>
      <c r="C784" s="31"/>
      <c r="D784" s="32"/>
      <c r="E784" s="31"/>
      <c r="F784" s="31"/>
      <c r="G784" s="32"/>
      <c r="H784" s="32"/>
      <c r="I784" s="32"/>
      <c r="J784" s="32"/>
      <c r="K784" s="32"/>
      <c r="L784" s="31"/>
      <c r="M784" s="31"/>
      <c r="N784" s="31"/>
      <c r="O784" s="32"/>
      <c r="P784" s="32"/>
      <c r="Q784" s="32"/>
      <c r="R784" s="33"/>
    </row>
    <row r="785" ht="15.75" customHeight="1">
      <c r="A785" s="32"/>
      <c r="B785" s="32"/>
      <c r="C785" s="31"/>
      <c r="D785" s="32"/>
      <c r="E785" s="31"/>
      <c r="F785" s="31"/>
      <c r="G785" s="32"/>
      <c r="H785" s="32"/>
      <c r="I785" s="32"/>
      <c r="J785" s="32"/>
      <c r="K785" s="32"/>
      <c r="L785" s="31"/>
      <c r="M785" s="31"/>
      <c r="N785" s="31"/>
      <c r="O785" s="32"/>
      <c r="P785" s="32"/>
      <c r="Q785" s="32"/>
      <c r="R785" s="33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3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3" t="str">
        <f>IF(K787="----","#N/A",CONCATENATE("MK|",(VLOOKUP(B787,Dictionary!$A:$B,2,0)),"_CH|",(VLOOKUP(C787,Dictionary!$AV:$AW,2,0)),"_DT|",(VLOOKUP(D787,Dictionary!$P:$Q,2,0)),"_PB|",(VLOOKUP(E787,Dictionary!$G:$H,2,0)),"_FM|",(VLOOKUP(F787,Dictionary!$S:$T,2,0)),"_RT|",(VLOOKUP(G787,Dictionary!$V:$W,2,0)),"_PD|",SUBSTITUTE(SUBSTITUTE(IF(H787="","NONE",H787),"_","-"),"|","-"),"_TG|",(VLOOKUP(I787,Dictionary!$J:$K,2,0)),"_ST|",(VLOOKUP(J787,Dictionary!$M:$N,2,0)),"_TS|",SUBSTITUTE(SUBSTITUTE(IF(K787="","NONE",K787),"_","-"),"|","-"),"_SZ|",(VLOOKUP(L787,Dictionary!$Y:$Z,1,0)),"_AD|",(VLOOKUP(M787,Dictionary!$AB:$AC,2,0)),"_IT|",(VLOOKUP(N787,Dictionary!$BC:$BD,2,0)),IF(O787="","",CONCATENATE("_U1|",SUBSTITUTE(SUBSTITUTE(O787,"_","-"),"|","-"))),IF(P787="","",CONCATENATE("_U2|",SUBSTITUTE(SUBSTITUTE(P787,"_","-"),"|","-"))),IF(Q787="","",CONCATENATE("_U3|",SUBSTITUTE(SUBSTITUTE(Q787,"_","-"),"|","-")))))</f>
        <v>#N/A</v>
      </c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3" t="str">
        <f>IF(K788="----","#N/A",CONCATENATE("MK|",(VLOOKUP(B788,Dictionary!$A:$B,2,0)),"_CH|",(VLOOKUP(C788,Dictionary!$AV:$AW,2,0)),"_DT|",(VLOOKUP(D788,Dictionary!$P:$Q,2,0)),"_PB|",(VLOOKUP(E788,Dictionary!$G:$H,2,0)),"_FM|",(VLOOKUP(F788,Dictionary!$S:$T,2,0)),"_RT|",(VLOOKUP(G788,Dictionary!$V:$W,2,0)),"_PD|",SUBSTITUTE(SUBSTITUTE(IF(H788="","NONE",H788),"_","-"),"|","-"),"_TG|",(VLOOKUP(I788,Dictionary!$J:$K,2,0)),"_ST|",(VLOOKUP(J788,Dictionary!$M:$N,2,0)),"_TS|",SUBSTITUTE(SUBSTITUTE(IF(K788="","NONE",K788),"_","-"),"|","-"),"_SZ|",(VLOOKUP(L788,Dictionary!$Y:$Z,1,0)),"_AD|",(VLOOKUP(M788,Dictionary!$AB:$AC,2,0)),"_IT|",(VLOOKUP(N788,Dictionary!$BC:$BD,2,0)),IF(O788="","",CONCATENATE("_U1|",SUBSTITUTE(SUBSTITUTE(O788,"_","-"),"|","-"))),IF(P788="","",CONCATENATE("_U2|",SUBSTITUTE(SUBSTITUTE(P788,"_","-"),"|","-"))),IF(Q788="","",CONCATENATE("_U3|",SUBSTITUTE(SUBSTITUTE(Q788,"_","-"),"|","-")))))</f>
        <v>#N/A</v>
      </c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3" t="str">
        <f>IF(K789="----","#N/A",CONCATENATE("MK|",(VLOOKUP(B789,Dictionary!$A:$B,2,0)),"_CH|",(VLOOKUP(C789,Dictionary!$AV:$AW,2,0)),"_DT|",(VLOOKUP(D789,Dictionary!$P:$Q,2,0)),"_PB|",(VLOOKUP(E789,Dictionary!$G:$H,2,0)),"_FM|",(VLOOKUP(F789,Dictionary!$S:$T,2,0)),"_RT|",(VLOOKUP(G789,Dictionary!$V:$W,2,0)),"_PD|",SUBSTITUTE(SUBSTITUTE(IF(H789="","NONE",H789),"_","-"),"|","-"),"_TG|",(VLOOKUP(I789,Dictionary!$J:$K,2,0)),"_ST|",(VLOOKUP(J789,Dictionary!$M:$N,2,0)),"_TS|",SUBSTITUTE(SUBSTITUTE(IF(K789="","NONE",K789),"_","-"),"|","-"),"_SZ|",(VLOOKUP(L789,Dictionary!$Y:$Z,1,0)),"_AD|",(VLOOKUP(M789,Dictionary!$AB:$AC,2,0)),"_IT|",(VLOOKUP(N789,Dictionary!$BC:$BD,2,0)),IF(O789="","",CONCATENATE("_U1|",SUBSTITUTE(SUBSTITUTE(O789,"_","-"),"|","-"))),IF(P789="","",CONCATENATE("_U2|",SUBSTITUTE(SUBSTITUTE(P789,"_","-"),"|","-"))),IF(Q789="","",CONCATENATE("_U3|",SUBSTITUTE(SUBSTITUTE(Q789,"_","-"),"|","-")))))</f>
        <v>#N/A</v>
      </c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3" t="str">
        <f>IF(K790="----","#N/A",CONCATENATE("MK|",(VLOOKUP(B790,Dictionary!$A:$B,2,0)),"_CH|",(VLOOKUP(C790,Dictionary!$AV:$AW,2,0)),"_DT|",(VLOOKUP(D790,Dictionary!$P:$Q,2,0)),"_PB|",(VLOOKUP(E790,Dictionary!$G:$H,2,0)),"_FM|",(VLOOKUP(F790,Dictionary!$S:$T,2,0)),"_RT|",(VLOOKUP(G790,Dictionary!$V:$W,2,0)),"_PD|",SUBSTITUTE(SUBSTITUTE(IF(H790="","NONE",H790),"_","-"),"|","-"),"_TG|",(VLOOKUP(I790,Dictionary!$J:$K,2,0)),"_ST|",(VLOOKUP(J790,Dictionary!$M:$N,2,0)),"_TS|",SUBSTITUTE(SUBSTITUTE(IF(K790="","NONE",K790),"_","-"),"|","-"),"_SZ|",(VLOOKUP(L790,Dictionary!$Y:$Z,1,0)),"_AD|",(VLOOKUP(M790,Dictionary!$AB:$AC,2,0)),"_IT|",(VLOOKUP(N790,Dictionary!$BC:$BD,2,0)),IF(O790="","",CONCATENATE("_U1|",SUBSTITUTE(SUBSTITUTE(O790,"_","-"),"|","-"))),IF(P790="","",CONCATENATE("_U2|",SUBSTITUTE(SUBSTITUTE(P790,"_","-"),"|","-"))),IF(Q790="","",CONCATENATE("_U3|",SUBSTITUTE(SUBSTITUTE(Q790,"_","-"),"|","-")))))</f>
        <v>#N/A</v>
      </c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3" t="str">
        <f>IF(K791="----","#N/A",CONCATENATE("MK|",(VLOOKUP(B791,Dictionary!$A:$B,2,0)),"_CH|",(VLOOKUP(C791,Dictionary!$AV:$AW,2,0)),"_DT|",(VLOOKUP(D791,Dictionary!$P:$Q,2,0)),"_PB|",(VLOOKUP(E791,Dictionary!$G:$H,2,0)),"_FM|",(VLOOKUP(F791,Dictionary!$S:$T,2,0)),"_RT|",(VLOOKUP(G791,Dictionary!$V:$W,2,0)),"_PD|",SUBSTITUTE(SUBSTITUTE(IF(H791="","NONE",H791),"_","-"),"|","-"),"_TG|",(VLOOKUP(I791,Dictionary!$J:$K,2,0)),"_ST|",(VLOOKUP(J791,Dictionary!$M:$N,2,0)),"_TS|",SUBSTITUTE(SUBSTITUTE(IF(K791="","NONE",K791),"_","-"),"|","-"),"_SZ|",(VLOOKUP(L791,Dictionary!$Y:$Z,1,0)),"_AD|",(VLOOKUP(M791,Dictionary!$AB:$AC,2,0)),"_IT|",(VLOOKUP(N791,Dictionary!$BC:$BD,2,0)),IF(O791="","",CONCATENATE("_U1|",SUBSTITUTE(SUBSTITUTE(O791,"_","-"),"|","-"))),IF(P791="","",CONCATENATE("_U2|",SUBSTITUTE(SUBSTITUTE(P791,"_","-"),"|","-"))),IF(Q791="","",CONCATENATE("_U3|",SUBSTITUTE(SUBSTITUTE(Q791,"_","-"),"|","-")))))</f>
        <v>#N/A</v>
      </c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3" t="str">
        <f>IF(K792="----","#N/A",CONCATENATE("MK|",(VLOOKUP(B792,Dictionary!$A:$B,2,0)),"_CH|",(VLOOKUP(C792,Dictionary!$AV:$AW,2,0)),"_DT|",(VLOOKUP(D792,Dictionary!$P:$Q,2,0)),"_PB|",(VLOOKUP(E792,Dictionary!$G:$H,2,0)),"_FM|",(VLOOKUP(F792,Dictionary!$S:$T,2,0)),"_RT|",(VLOOKUP(G792,Dictionary!$V:$W,2,0)),"_PD|",SUBSTITUTE(SUBSTITUTE(IF(H792="","NONE",H792),"_","-"),"|","-"),"_TG|",(VLOOKUP(I792,Dictionary!$J:$K,2,0)),"_ST|",(VLOOKUP(J792,Dictionary!$M:$N,2,0)),"_TS|",SUBSTITUTE(SUBSTITUTE(IF(K792="","NONE",K792),"_","-"),"|","-"),"_SZ|",(VLOOKUP(L792,Dictionary!$Y:$Z,1,0)),"_AD|",(VLOOKUP(M792,Dictionary!$AB:$AC,2,0)),"_IT|",(VLOOKUP(N792,Dictionary!$BC:$BD,2,0)),IF(O792="","",CONCATENATE("_U1|",SUBSTITUTE(SUBSTITUTE(O792,"_","-"),"|","-"))),IF(P792="","",CONCATENATE("_U2|",SUBSTITUTE(SUBSTITUTE(P792,"_","-"),"|","-"))),IF(Q792="","",CONCATENATE("_U3|",SUBSTITUTE(SUBSTITUTE(Q792,"_","-"),"|","-")))))</f>
        <v>#N/A</v>
      </c>
    </row>
  </sheetData>
  <mergeCells count="2">
    <mergeCell ref="B1:N1"/>
    <mergeCell ref="O1:Q1"/>
  </mergeCells>
  <dataValidations>
    <dataValidation type="list" allowBlank="1" showErrorMessage="1" sqref="M3:M792">
      <formula1>Dictionary!$AB$4:$AB$9</formula1>
    </dataValidation>
    <dataValidation type="list" allowBlank="1" sqref="B3:B792">
      <formula1>Dictionary!$A$4:$A$77</formula1>
    </dataValidation>
    <dataValidation type="list" allowBlank="1" showErrorMessage="1" sqref="F3:F792">
      <formula1>Dictionary!$S$4:$S$71</formula1>
    </dataValidation>
    <dataValidation type="list" allowBlank="1" showErrorMessage="1" sqref="N3:N792">
      <formula1>Dictionary!$BC$4:$BC$11</formula1>
    </dataValidation>
    <dataValidation type="list" allowBlank="1" sqref="D3:D792">
      <formula1>Dictionary!$P$4:$P$10</formula1>
    </dataValidation>
    <dataValidation type="list" allowBlank="1" showErrorMessage="1" sqref="C3:C792">
      <formula1>Dictionary!$AV$4:$AV$20</formula1>
    </dataValidation>
    <dataValidation type="list" allowBlank="1" sqref="E3:E4 E47 E52 E130:E792">
      <formula1>Dictionary!$G$4:$G$934</formula1>
    </dataValidation>
    <dataValidation type="list" allowBlank="1" sqref="G3:G792">
      <formula1>Dictionary!$V$4:$V$20</formula1>
    </dataValidation>
    <dataValidation type="list" allowBlank="1" sqref="I3:I4 I5:J46 I47:I792">
      <formula1>Dictionary!$J$4:$J$12</formula1>
    </dataValidation>
    <dataValidation type="list" allowBlank="1" showErrorMessage="1" sqref="J3:J4 J47:J792">
      <formula1>Dictionary!$M$4:$M$14</formula1>
    </dataValidation>
    <dataValidation type="list" allowBlank="1" sqref="L3:L792">
      <formula1>Dictionary!$Y$4:$Y$640</formula1>
    </dataValidation>
    <dataValidation type="list" allowBlank="1" sqref="E5:E46 E48:E51 E53:E129">
      <formula1>Dictionary!$G$4:$G$945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20.86"/>
    <col customWidth="1" min="2" max="2" width="50.43"/>
    <col customWidth="1" min="3" max="3" width="33.43"/>
    <col customWidth="1" min="4" max="4" width="27.14"/>
    <col customWidth="1" min="5" max="5" width="24.86"/>
    <col customWidth="1" min="6" max="6" width="30.29"/>
    <col customWidth="1" min="7" max="7" width="14.43"/>
    <col customWidth="1" min="8" max="8" width="96.71"/>
  </cols>
  <sheetData>
    <row r="1" ht="15.75" customHeight="1">
      <c r="A1" s="1"/>
      <c r="B1" s="2" t="s">
        <v>0</v>
      </c>
      <c r="C1" s="3"/>
      <c r="D1" s="4"/>
      <c r="E1" s="73" t="s">
        <v>29</v>
      </c>
      <c r="F1" s="3"/>
      <c r="G1" s="4"/>
      <c r="H1" s="74" t="s">
        <v>115</v>
      </c>
    </row>
    <row r="2" ht="15.75" customHeight="1">
      <c r="A2" s="75" t="s">
        <v>3</v>
      </c>
      <c r="B2" s="76" t="s">
        <v>116</v>
      </c>
      <c r="C2" s="76" t="s">
        <v>117</v>
      </c>
      <c r="D2" s="77" t="s">
        <v>118</v>
      </c>
      <c r="E2" s="12" t="s">
        <v>12</v>
      </c>
      <c r="F2" s="12" t="s">
        <v>13</v>
      </c>
      <c r="G2" s="12" t="s">
        <v>14</v>
      </c>
    </row>
    <row r="3" ht="15.75" customHeight="1">
      <c r="A3" s="32"/>
      <c r="B3" s="51" t="s">
        <v>72</v>
      </c>
      <c r="C3" s="14" t="s">
        <v>73</v>
      </c>
      <c r="D3" s="31" t="s">
        <v>119</v>
      </c>
      <c r="E3" s="54"/>
      <c r="F3" s="31"/>
      <c r="G3" s="32"/>
      <c r="H3" s="33" t="str">
        <f>IF(C3="----","#N/A",CONCATENATE("CV|",SUBSTITUTE(SUBSTITUTE(IF(B3="","NONE",B3),"_","-"),"|","-"),"_","CS|",(VLOOKUP(C3,Dictionary!$Y:$Z,2,FALSE)),"_","CT|",(VLOOKUP(D3,Dictionary!$AE:$AF,2,FALSE)),IF(E3="","",CONCATENATE("_U1|",SUBSTITUTE(SUBSTITUTE(E3,"_","-"),"|","-"))),IF(F3="","",CONCATENATE("_U2|",SUBSTITUTE(SUBSTITUTE(F3,"_","-"),"|","-"))),IF(G3="","",CONCATENATE("_U3|",SUBSTITUTE(SUBSTITUTE(G3,"_","-"),"|","-")))))</f>
        <v>CV|DOTZ-10MIL_CS|627x627_CT|NAT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ht="15.75" customHeight="1">
      <c r="A4" s="32"/>
      <c r="B4" s="51" t="s">
        <v>75</v>
      </c>
      <c r="C4" s="14" t="s">
        <v>73</v>
      </c>
      <c r="D4" s="31" t="s">
        <v>119</v>
      </c>
      <c r="E4" s="54"/>
      <c r="F4" s="31"/>
      <c r="G4" s="32"/>
      <c r="H4" s="33" t="str">
        <f>IF(C4="----","#N/A",CONCATENATE("CV|",SUBSTITUTE(SUBSTITUTE(IF(B4="","NONE",B4),"_","-"),"|","-"),"_","CS|",(VLOOKUP(C4,Dictionary!$Y:$Z,2,FALSE)),"_","CT|",(VLOOKUP(D4,Dictionary!$AE:$AF,2,FALSE)),IF(E4="","",CONCATENATE("_U1|",SUBSTITUTE(SUBSTITUTE(E4,"_","-"),"|","-"))),IF(F4="","",CONCATENATE("_U2|",SUBSTITUTE(SUBSTITUTE(F4,"_","-"),"|","-"))),IF(G4="","",CONCATENATE("_U3|",SUBSTITUTE(SUBSTITUTE(G4,"_","-"),"|","-")))))</f>
        <v>CV|DOTZ-TAXA-ZERO_CS|627x627_CT|NAT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ht="15.75" customHeight="1">
      <c r="A5" s="32"/>
      <c r="B5" s="51" t="s">
        <v>77</v>
      </c>
      <c r="C5" s="14" t="s">
        <v>58</v>
      </c>
      <c r="D5" s="31" t="s">
        <v>120</v>
      </c>
      <c r="E5" s="54"/>
      <c r="F5" s="31"/>
      <c r="G5" s="32"/>
      <c r="H5" s="43" t="str">
        <f>IF(C5="----","#N/A",CONCATENATE("CV|",SUBSTITUTE(SUBSTITUTE(IF(B5="","NONE",B5),"_","-"),"|","-"),"_","CS|",(VLOOKUP(C5,Dictionary!$Y:$Z,2,FALSE)),"_","CT|",(VLOOKUP(D5,Dictionary!$AE:$AF,2,FALSE)),IF(E5="","",CONCATENATE("_U1|",SUBSTITUTE(SUBSTITUTE(E5,"_","-"),"|","-"))),IF(F5="","",CONCATENATE("_U2|",SUBSTITUTE(SUBSTITUTE(F5,"_","-"),"|","-"))),IF(G5="","",CONCATENATE("_U3|",SUBSTITUTE(SUBSTITUTE(G5,"_","-"),"|","-")))))</f>
        <v>CV|DOTZ-10MIL-AZUL_CS|1x1_CT|FLA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ht="15.75" customHeight="1">
      <c r="A6" s="32"/>
      <c r="B6" s="51" t="s">
        <v>78</v>
      </c>
      <c r="C6" s="14" t="s">
        <v>58</v>
      </c>
      <c r="D6" s="31" t="s">
        <v>120</v>
      </c>
      <c r="E6" s="54"/>
      <c r="F6" s="31"/>
      <c r="G6" s="32"/>
      <c r="H6" s="43" t="str">
        <f>IF(C6="----","#N/A",CONCATENATE("CV|",SUBSTITUTE(SUBSTITUTE(IF(B6="","NONE",B6),"_","-"),"|","-"),"_","CS|",(VLOOKUP(C6,Dictionary!$Y:$Z,2,FALSE)),"_","CT|",(VLOOKUP(D6,Dictionary!$AE:$AF,2,FALSE)),IF(E6="","",CONCATENATE("_U1|",SUBSTITUTE(SUBSTITUTE(E6,"_","-"),"|","-"))),IF(F6="","",CONCATENATE("_U2|",SUBSTITUTE(SUBSTITUTE(F6,"_","-"),"|","-"))),IF(G6="","",CONCATENATE("_U3|",SUBSTITUTE(SUBSTITUTE(G6,"_","-"),"|","-")))))</f>
        <v>CV|DOTZ-10MIL-AZUL-QUAD_CS|1x1_CT|FLA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ht="15.75" customHeight="1">
      <c r="A7" s="32"/>
      <c r="B7" s="51" t="s">
        <v>77</v>
      </c>
      <c r="C7" s="14" t="s">
        <v>58</v>
      </c>
      <c r="D7" s="31" t="s">
        <v>121</v>
      </c>
      <c r="E7" s="54"/>
      <c r="F7" s="31"/>
      <c r="G7" s="32"/>
      <c r="H7" s="43" t="str">
        <f>IF(C7="----","#N/A",CONCATENATE("CV|",SUBSTITUTE(SUBSTITUTE(IF(B7="","NONE",B7),"_","-"),"|","-"),"_","CS|",(VLOOKUP(C7,Dictionary!$Y:$Z,2,FALSE)),"_","CT|",(VLOOKUP(D7,Dictionary!$AE:$AF,2,FALSE)),IF(E7="","",CONCATENATE("_U1|",SUBSTITUTE(SUBSTITUTE(E7,"_","-"),"|","-"))),IF(F7="","",CONCATENATE("_U2|",SUBSTITUTE(SUBSTITUTE(F7,"_","-"),"|","-"))),IF(G7="","",CONCATENATE("_U3|",SUBSTITUTE(SUBSTITUTE(G7,"_","-"),"|","-")))))</f>
        <v>CV|DOTZ-10MIL-AZUL_CS|1x1_CT|FGIF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ht="15.75" customHeight="1">
      <c r="A8" s="32"/>
      <c r="B8" s="51" t="s">
        <v>77</v>
      </c>
      <c r="C8" s="14" t="s">
        <v>58</v>
      </c>
      <c r="D8" s="31" t="s">
        <v>122</v>
      </c>
      <c r="E8" s="54"/>
      <c r="F8" s="31"/>
      <c r="G8" s="32"/>
      <c r="H8" s="43" t="str">
        <f>IF(C8="----","#N/A",CONCATENATE("CV|",SUBSTITUTE(SUBSTITUTE(IF(B8="","NONE",B8),"_","-"),"|","-"),"_","CS|",(VLOOKUP(C8,Dictionary!$Y:$Z,2,FALSE)),"_","CT|",(VLOOKUP(D8,Dictionary!$AE:$AF,2,FALSE)),IF(E8="","",CONCATENATE("_U1|",SUBSTITUTE(SUBSTITUTE(E8,"_","-"),"|","-"))),IF(F8="","",CONCATENATE("_U2|",SUBSTITUTE(SUBSTITUTE(F8,"_","-"),"|","-"))),IF(G8="","",CONCATENATE("_U3|",SUBSTITUTE(SUBSTITUTE(G8,"_","-"),"|","-")))))</f>
        <v>CV|DOTZ-10MIL-AZUL_CS|1x1_CT|FCR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ht="15.75" customHeight="1">
      <c r="A9" s="32"/>
      <c r="B9" s="51" t="s">
        <v>82</v>
      </c>
      <c r="C9" s="14" t="s">
        <v>58</v>
      </c>
      <c r="D9" s="31" t="s">
        <v>123</v>
      </c>
      <c r="E9" s="54"/>
      <c r="F9" s="31"/>
      <c r="G9" s="32"/>
      <c r="H9" s="43" t="str">
        <f>IF(C9="----","#N/A",CONCATENATE("CV|",SUBSTITUTE(SUBSTITUTE(IF(B9="","NONE",B9),"_","-"),"|","-"),"_","CS|",(VLOOKUP(C9,Dictionary!$Y:$Z,2,FALSE)),"_","CT|",(VLOOKUP(D9,Dictionary!$AE:$AF,2,FALSE)),IF(E9="","",CONCATENATE("_U1|",SUBSTITUTE(SUBSTITUTE(E9,"_","-"),"|","-"))),IF(F9="","",CONCATENATE("_U2|",SUBSTITUTE(SUBSTITUTE(F9,"_","-"),"|","-"))),IF(G9="","",CONCATENATE("_U3|",SUBSTITUTE(SUBSTITUTE(G9,"_","-"),"|","-")))))</f>
        <v>CV|DOTZ-10MIL-AZUL-CAR_CS|1x1_CT|INSSTORY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ht="15.75" customHeight="1">
      <c r="A10" s="32"/>
      <c r="B10" s="51" t="s">
        <v>83</v>
      </c>
      <c r="C10" s="14" t="s">
        <v>58</v>
      </c>
      <c r="D10" s="31" t="s">
        <v>120</v>
      </c>
      <c r="E10" s="54"/>
      <c r="F10" s="31"/>
      <c r="G10" s="32"/>
      <c r="H10" s="43" t="str">
        <f>IF(C10="----","#N/A",CONCATENATE("CV|",SUBSTITUTE(SUBSTITUTE(IF(B10="","NONE",B10),"_","-"),"|","-"),"_","CS|",(VLOOKUP(C10,Dictionary!$Y:$Z,2,FALSE)),"_","CT|",(VLOOKUP(D10,Dictionary!$AE:$AF,2,FALSE)),IF(E10="","",CONCATENATE("_U1|",SUBSTITUTE(SUBSTITUTE(E10,"_","-"),"|","-"))),IF(F10="","",CONCATENATE("_U2|",SUBSTITUTE(SUBSTITUTE(F10,"_","-"),"|","-"))),IF(G10="","",CONCATENATE("_U3|",SUBSTITUTE(SUBSTITUTE(G10,"_","-"),"|","-")))))</f>
        <v>CV|DOTZ-ZERO-ANUIDADE-AZUL_CS|1x1_CT|FLA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ht="15.75" customHeight="1">
      <c r="A11" s="32"/>
      <c r="B11" s="51" t="s">
        <v>84</v>
      </c>
      <c r="C11" s="14" t="s">
        <v>58</v>
      </c>
      <c r="D11" s="31" t="s">
        <v>120</v>
      </c>
      <c r="E11" s="54"/>
      <c r="F11" s="31"/>
      <c r="G11" s="32"/>
      <c r="H11" s="43" t="str">
        <f>IF(C11="----","#N/A",CONCATENATE("CV|",SUBSTITUTE(SUBSTITUTE(IF(B11="","NONE",B11),"_","-"),"|","-"),"_","CS|",(VLOOKUP(C11,Dictionary!$Y:$Z,2,FALSE)),"_","CT|",(VLOOKUP(D11,Dictionary!$AE:$AF,2,FALSE)),IF(E11="","",CONCATENATE("_U1|",SUBSTITUTE(SUBSTITUTE(E11,"_","-"),"|","-"))),IF(F11="","",CONCATENATE("_U2|",SUBSTITUTE(SUBSTITUTE(F11,"_","-"),"|","-"))),IF(G11="","",CONCATENATE("_U3|",SUBSTITUTE(SUBSTITUTE(G11,"_","-"),"|","-")))))</f>
        <v>CV|DOTZ-ZERO-ANUIDADE-AZUL-QUAD_CS|1x1_CT|FLA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ht="15.75" customHeight="1">
      <c r="A12" s="32"/>
      <c r="B12" s="51" t="s">
        <v>83</v>
      </c>
      <c r="C12" s="14" t="s">
        <v>58</v>
      </c>
      <c r="D12" s="31" t="s">
        <v>121</v>
      </c>
      <c r="E12" s="54"/>
      <c r="F12" s="31"/>
      <c r="G12" s="32"/>
      <c r="H12" s="43" t="str">
        <f>IF(C12="----","#N/A",CONCATENATE("CV|",SUBSTITUTE(SUBSTITUTE(IF(B12="","NONE",B12),"_","-"),"|","-"),"_","CS|",(VLOOKUP(C12,Dictionary!$Y:$Z,2,FALSE)),"_","CT|",(VLOOKUP(D12,Dictionary!$AE:$AF,2,FALSE)),IF(E12="","",CONCATENATE("_U1|",SUBSTITUTE(SUBSTITUTE(E12,"_","-"),"|","-"))),IF(F12="","",CONCATENATE("_U2|",SUBSTITUTE(SUBSTITUTE(F12,"_","-"),"|","-"))),IF(G12="","",CONCATENATE("_U3|",SUBSTITUTE(SUBSTITUTE(G12,"_","-"),"|","-")))))</f>
        <v>CV|DOTZ-ZERO-ANUIDADE-AZUL_CS|1x1_CT|FGIF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ht="15.75" customHeight="1">
      <c r="A13" s="32"/>
      <c r="B13" s="51" t="s">
        <v>83</v>
      </c>
      <c r="C13" s="14" t="s">
        <v>58</v>
      </c>
      <c r="D13" s="31" t="s">
        <v>122</v>
      </c>
      <c r="E13" s="54"/>
      <c r="F13" s="31"/>
      <c r="G13" s="32"/>
      <c r="H13" s="43" t="str">
        <f>IF(C13="----","#N/A",CONCATENATE("CV|",SUBSTITUTE(SUBSTITUTE(IF(B13="","NONE",B13),"_","-"),"|","-"),"_","CS|",(VLOOKUP(C13,Dictionary!$Y:$Z,2,FALSE)),"_","CT|",(VLOOKUP(D13,Dictionary!$AE:$AF,2,FALSE)),IF(E13="","",CONCATENATE("_U1|",SUBSTITUTE(SUBSTITUTE(E13,"_","-"),"|","-"))),IF(F13="","",CONCATENATE("_U2|",SUBSTITUTE(SUBSTITUTE(F13,"_","-"),"|","-"))),IF(G13="","",CONCATENATE("_U3|",SUBSTITUTE(SUBSTITUTE(G13,"_","-"),"|","-")))))</f>
        <v>CV|DOTZ-ZERO-ANUIDADE-AZUL_CS|1x1_CT|FCR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ht="15.75" customHeight="1">
      <c r="A14" s="32"/>
      <c r="B14" s="51" t="s">
        <v>85</v>
      </c>
      <c r="C14" s="14" t="s">
        <v>58</v>
      </c>
      <c r="D14" s="31" t="s">
        <v>123</v>
      </c>
      <c r="E14" s="54"/>
      <c r="F14" s="31"/>
      <c r="G14" s="32"/>
      <c r="H14" s="43" t="str">
        <f>IF(C14="----","#N/A",CONCATENATE("CV|",SUBSTITUTE(SUBSTITUTE(IF(B14="","NONE",B14),"_","-"),"|","-"),"_","CS|",(VLOOKUP(C14,Dictionary!$Y:$Z,2,FALSE)),"_","CT|",(VLOOKUP(D14,Dictionary!$AE:$AF,2,FALSE)),IF(E14="","",CONCATENATE("_U1|",SUBSTITUTE(SUBSTITUTE(E14,"_","-"),"|","-"))),IF(F14="","",CONCATENATE("_U2|",SUBSTITUTE(SUBSTITUTE(F14,"_","-"),"|","-"))),IF(G14="","",CONCATENATE("_U3|",SUBSTITUTE(SUBSTITUTE(G14,"_","-"),"|","-")))))</f>
        <v>CV|DOTZ-ZERO-ANUIDADE-AZUL-CAR_CS|1x1_CT|INSSTORY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ht="15.75" customHeight="1">
      <c r="A15" s="66"/>
      <c r="B15" s="51" t="s">
        <v>86</v>
      </c>
      <c r="C15" s="14" t="s">
        <v>58</v>
      </c>
      <c r="D15" s="31" t="s">
        <v>120</v>
      </c>
      <c r="E15" s="78"/>
      <c r="G15" s="66"/>
      <c r="H15" s="43" t="str">
        <f>IF(C15="----","#N/A",CONCATENATE("CV|",SUBSTITUTE(SUBSTITUTE(IF(B15="","NONE",B15),"_","-"),"|","-"),"_","CS|",(VLOOKUP(C15,Dictionary!$Y:$Z,2,FALSE)),"_","CT|",(VLOOKUP(D15,Dictionary!$AE:$AF,2,FALSE)),IF(E15="","",CONCATENATE("_U1|",SUBSTITUTE(SUBSTITUTE(E15,"_","-"),"|","-"))),IF(F15="","",CONCATENATE("_U2|",SUBSTITUTE(SUBSTITUTE(F15,"_","-"),"|","-"))),IF(G15="","",CONCATENATE("_U3|",SUBSTITUTE(SUBSTITUTE(G15,"_","-"),"|","-")))))</f>
        <v>CV|DOTZ-TODOS-BENEFICIOS-AZUL_CS|1x1_CT|FLA</v>
      </c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ht="15.75" customHeight="1">
      <c r="A16" s="32"/>
      <c r="B16" s="51" t="s">
        <v>87</v>
      </c>
      <c r="C16" s="14" t="s">
        <v>58</v>
      </c>
      <c r="D16" s="31" t="s">
        <v>120</v>
      </c>
      <c r="E16" s="54"/>
      <c r="F16" s="31"/>
      <c r="G16" s="32"/>
      <c r="H16" s="43" t="str">
        <f>IF(C16="----","#N/A",CONCATENATE("CV|",SUBSTITUTE(SUBSTITUTE(IF(B16="","NONE",B16),"_","-"),"|","-"),"_","CS|",(VLOOKUP(C16,Dictionary!$Y:$Z,2,FALSE)),"_","CT|",(VLOOKUP(D16,Dictionary!$AE:$AF,2,FALSE)),IF(E16="","",CONCATENATE("_U1|",SUBSTITUTE(SUBSTITUTE(E16,"_","-"),"|","-"))),IF(F16="","",CONCATENATE("_U2|",SUBSTITUTE(SUBSTITUTE(F16,"_","-"),"|","-"))),IF(G16="","",CONCATENATE("_U3|",SUBSTITUTE(SUBSTITUTE(G16,"_","-"),"|","-")))))</f>
        <v>CV|DOTZ-TODOS-BENEFICIOS-AZUL-QUAD_CS|1x1_CT|FLA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ht="15.75" customHeight="1">
      <c r="A17" s="32"/>
      <c r="B17" s="51" t="s">
        <v>86</v>
      </c>
      <c r="C17" s="14" t="s">
        <v>58</v>
      </c>
      <c r="D17" s="31" t="s">
        <v>121</v>
      </c>
      <c r="E17" s="54"/>
      <c r="F17" s="31"/>
      <c r="G17" s="32"/>
      <c r="H17" s="43" t="str">
        <f>IF(C17="----","#N/A",CONCATENATE("CV|",SUBSTITUTE(SUBSTITUTE(IF(B17="","NONE",B17),"_","-"),"|","-"),"_","CS|",(VLOOKUP(C17,Dictionary!$Y:$Z,2,FALSE)),"_","CT|",(VLOOKUP(D17,Dictionary!$AE:$AF,2,FALSE)),IF(E17="","",CONCATENATE("_U1|",SUBSTITUTE(SUBSTITUTE(E17,"_","-"),"|","-"))),IF(F17="","",CONCATENATE("_U2|",SUBSTITUTE(SUBSTITUTE(F17,"_","-"),"|","-"))),IF(G17="","",CONCATENATE("_U3|",SUBSTITUTE(SUBSTITUTE(G17,"_","-"),"|","-")))))</f>
        <v>CV|DOTZ-TODOS-BENEFICIOS-AZUL_CS|1x1_CT|FGIF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ht="15.75" customHeight="1">
      <c r="A18" s="66"/>
      <c r="B18" s="51" t="s">
        <v>86</v>
      </c>
      <c r="C18" s="14" t="s">
        <v>58</v>
      </c>
      <c r="D18" s="31" t="s">
        <v>122</v>
      </c>
      <c r="E18" s="54"/>
      <c r="G18" s="66"/>
      <c r="H18" s="43" t="str">
        <f>IF(C18="----","#N/A",CONCATENATE("CV|",SUBSTITUTE(SUBSTITUTE(IF(B18="","NONE",B18),"_","-"),"|","-"),"_","CS|",(VLOOKUP(C18,Dictionary!$Y:$Z,2,FALSE)),"_","CT|",(VLOOKUP(D18,Dictionary!$AE:$AF,2,FALSE)),IF(E18="","",CONCATENATE("_U1|",SUBSTITUTE(SUBSTITUTE(E18,"_","-"),"|","-"))),IF(F18="","",CONCATENATE("_U2|",SUBSTITUTE(SUBSTITUTE(F18,"_","-"),"|","-"))),IF(G18="","",CONCATENATE("_U3|",SUBSTITUTE(SUBSTITUTE(G18,"_","-"),"|","-")))))</f>
        <v>CV|DOTZ-TODOS-BENEFICIOS-AZUL_CS|1x1_CT|FCR</v>
      </c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</row>
    <row r="19" ht="15.75" customHeight="1">
      <c r="A19" s="66"/>
      <c r="B19" s="51" t="s">
        <v>88</v>
      </c>
      <c r="C19" s="14" t="s">
        <v>58</v>
      </c>
      <c r="D19" s="31" t="s">
        <v>123</v>
      </c>
      <c r="E19" s="54"/>
      <c r="G19" s="66"/>
      <c r="H19" s="43" t="str">
        <f>IF(C19="----","#N/A",CONCATENATE("CV|",SUBSTITUTE(SUBSTITUTE(IF(B19="","NONE",B19),"_","-"),"|","-"),"_","CS|",(VLOOKUP(C19,Dictionary!$Y:$Z,2,FALSE)),"_","CT|",(VLOOKUP(D19,Dictionary!$AE:$AF,2,FALSE)),IF(E19="","",CONCATENATE("_U1|",SUBSTITUTE(SUBSTITUTE(E19,"_","-"),"|","-"))),IF(F19="","",CONCATENATE("_U2|",SUBSTITUTE(SUBSTITUTE(F19,"_","-"),"|","-"))),IF(G19="","",CONCATENATE("_U3|",SUBSTITUTE(SUBSTITUTE(G19,"_","-"),"|","-")))))</f>
        <v>CV|DOTZ-TODOS-BENEFICIOS-AZUL-CAR_CS|1x1_CT|INSSTORY</v>
      </c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ht="15.75" customHeight="1">
      <c r="A20" s="66"/>
      <c r="B20" s="51" t="s">
        <v>89</v>
      </c>
      <c r="C20" s="14" t="s">
        <v>58</v>
      </c>
      <c r="D20" s="31" t="s">
        <v>120</v>
      </c>
      <c r="E20" s="78"/>
      <c r="G20" s="66"/>
      <c r="H20" s="43" t="str">
        <f>IF(C20="----","#N/A",CONCATENATE("CV|",SUBSTITUTE(SUBSTITUTE(IF(B20="","NONE",B20),"_","-"),"|","-"),"_","CS|",(VLOOKUP(C20,Dictionary!$Y:$Z,2,FALSE)),"_","CT|",(VLOOKUP(D20,Dictionary!$AE:$AF,2,FALSE)),IF(E20="","",CONCATENATE("_U1|",SUBSTITUTE(SUBSTITUTE(E20,"_","-"),"|","-"))),IF(F20="","",CONCATENATE("_U2|",SUBSTITUTE(SUBSTITUTE(F20,"_","-"),"|","-"))),IF(G20="","",CONCATENATE("_U3|",SUBSTITUTE(SUBSTITUTE(G20,"_","-"),"|","-")))))</f>
        <v>CV|DOTZ-10MIL-AMARELO_CS|1x1_CT|FLA</v>
      </c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ht="15.75" customHeight="1">
      <c r="B21" s="51" t="s">
        <v>90</v>
      </c>
      <c r="C21" s="14" t="s">
        <v>58</v>
      </c>
      <c r="D21" s="31" t="s">
        <v>120</v>
      </c>
      <c r="H21" s="43" t="str">
        <f>IF(C21="----","#N/A",CONCATENATE("CV|",SUBSTITUTE(SUBSTITUTE(IF(B21="","NONE",B21),"_","-"),"|","-"),"_","CS|",(VLOOKUP(C21,Dictionary!$Y:$Z,2,FALSE)),"_","CT|",(VLOOKUP(D21,Dictionary!$AE:$AF,2,FALSE)),IF(E21="","",CONCATENATE("_U1|",SUBSTITUTE(SUBSTITUTE(E21,"_","-"),"|","-"))),IF(F21="","",CONCATENATE("_U2|",SUBSTITUTE(SUBSTITUTE(F21,"_","-"),"|","-"))),IF(G21="","",CONCATENATE("_U3|",SUBSTITUTE(SUBSTITUTE(G21,"_","-"),"|","-")))))</f>
        <v>CV|DOTZ-10MIL-AMARELO-QUAD_CS|1x1_CT|FLA</v>
      </c>
    </row>
    <row r="22" ht="15.75" customHeight="1">
      <c r="A22" s="66"/>
      <c r="B22" s="51" t="s">
        <v>89</v>
      </c>
      <c r="C22" s="14" t="s">
        <v>58</v>
      </c>
      <c r="D22" s="31" t="s">
        <v>121</v>
      </c>
      <c r="E22" s="79"/>
      <c r="G22" s="66"/>
      <c r="H22" s="43" t="str">
        <f>IF(C22="----","#N/A",CONCATENATE("CV|",SUBSTITUTE(SUBSTITUTE(IF(B22="","NONE",B22),"_","-"),"|","-"),"_","CS|",(VLOOKUP(C22,Dictionary!$Y:$Z,2,FALSE)),"_","CT|",(VLOOKUP(D22,Dictionary!$AE:$AF,2,FALSE)),IF(E22="","",CONCATENATE("_U1|",SUBSTITUTE(SUBSTITUTE(E22,"_","-"),"|","-"))),IF(F22="","",CONCATENATE("_U2|",SUBSTITUTE(SUBSTITUTE(F22,"_","-"),"|","-"))),IF(G22="","",CONCATENATE("_U3|",SUBSTITUTE(SUBSTITUTE(G22,"_","-"),"|","-")))))</f>
        <v>CV|DOTZ-10MIL-AMARELO_CS|1x1_CT|FGIF</v>
      </c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ht="15.75" customHeight="1">
      <c r="A23" s="66"/>
      <c r="B23" s="51" t="s">
        <v>89</v>
      </c>
      <c r="C23" s="14" t="s">
        <v>58</v>
      </c>
      <c r="D23" s="31" t="s">
        <v>122</v>
      </c>
      <c r="E23" s="79"/>
      <c r="G23" s="66"/>
      <c r="H23" s="43" t="str">
        <f>IF(C23="----","#N/A",CONCATENATE("CV|",SUBSTITUTE(SUBSTITUTE(IF(B23="","NONE",B23),"_","-"),"|","-"),"_","CS|",(VLOOKUP(C23,Dictionary!$Y:$Z,2,FALSE)),"_","CT|",(VLOOKUP(D23,Dictionary!$AE:$AF,2,FALSE)),IF(E23="","",CONCATENATE("_U1|",SUBSTITUTE(SUBSTITUTE(E23,"_","-"),"|","-"))),IF(F23="","",CONCATENATE("_U2|",SUBSTITUTE(SUBSTITUTE(F23,"_","-"),"|","-"))),IF(G23="","",CONCATENATE("_U3|",SUBSTITUTE(SUBSTITUTE(G23,"_","-"),"|","-")))))</f>
        <v>CV|DOTZ-10MIL-AMARELO_CS|1x1_CT|FCR</v>
      </c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ht="16.5" customHeight="1">
      <c r="B24" s="51" t="s">
        <v>91</v>
      </c>
      <c r="C24" s="14" t="s">
        <v>58</v>
      </c>
      <c r="D24" s="31" t="s">
        <v>123</v>
      </c>
      <c r="H24" s="43" t="str">
        <f>IF(C24="----","#N/A",CONCATENATE("CV|",SUBSTITUTE(SUBSTITUTE(IF(B24="","NONE",B24),"_","-"),"|","-"),"_","CS|",(VLOOKUP(C24,Dictionary!$Y:$Z,2,FALSE)),"_","CT|",(VLOOKUP(D24,Dictionary!$AE:$AF,2,FALSE)),IF(E24="","",CONCATENATE("_U1|",SUBSTITUTE(SUBSTITUTE(E24,"_","-"),"|","-"))),IF(F24="","",CONCATENATE("_U2|",SUBSTITUTE(SUBSTITUTE(F24,"_","-"),"|","-"))),IF(G24="","",CONCATENATE("_U3|",SUBSTITUTE(SUBSTITUTE(G24,"_","-"),"|","-")))))</f>
        <v>CV|DOTZ-10MIL-AMARELO-CAR_CS|1x1_CT|INSSTORY</v>
      </c>
    </row>
    <row r="25" ht="15.75" customHeight="1">
      <c r="A25" s="66"/>
      <c r="B25" s="51" t="s">
        <v>92</v>
      </c>
      <c r="C25" s="14" t="s">
        <v>58</v>
      </c>
      <c r="D25" s="31" t="s">
        <v>120</v>
      </c>
      <c r="E25" s="79"/>
      <c r="G25" s="66"/>
      <c r="H25" s="43" t="str">
        <f>IF(C25="----","#N/A",CONCATENATE("CV|",SUBSTITUTE(SUBSTITUTE(IF(B25="","NONE",B25),"_","-"),"|","-"),"_","CS|",(VLOOKUP(C25,Dictionary!$Y:$Z,2,FALSE)),"_","CT|",(VLOOKUP(D25,Dictionary!$AE:$AF,2,FALSE)),IF(E25="","",CONCATENATE("_U1|",SUBSTITUTE(SUBSTITUTE(E25,"_","-"),"|","-"))),IF(F25="","",CONCATENATE("_U2|",SUBSTITUTE(SUBSTITUTE(F25,"_","-"),"|","-"))),IF(G25="","",CONCATENATE("_U3|",SUBSTITUTE(SUBSTITUTE(G25,"_","-"),"|","-")))))</f>
        <v>CV|DOTZ-ZERO-ANUIDADE-AMARELO_CS|1x1_CT|FLA</v>
      </c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ht="15.75" customHeight="1">
      <c r="A26" s="66"/>
      <c r="B26" s="51" t="s">
        <v>93</v>
      </c>
      <c r="C26" s="14" t="s">
        <v>58</v>
      </c>
      <c r="D26" s="31" t="s">
        <v>120</v>
      </c>
      <c r="E26" s="79"/>
      <c r="G26" s="66"/>
      <c r="H26" s="43" t="str">
        <f>IF(C26="----","#N/A",CONCATENATE("CV|",SUBSTITUTE(SUBSTITUTE(IF(B26="","NONE",B26),"_","-"),"|","-"),"_","CS|",(VLOOKUP(C26,Dictionary!$Y:$Z,2,FALSE)),"_","CT|",(VLOOKUP(D26,Dictionary!$AE:$AF,2,FALSE)),IF(E26="","",CONCATENATE("_U1|",SUBSTITUTE(SUBSTITUTE(E26,"_","-"),"|","-"))),IF(F26="","",CONCATENATE("_U2|",SUBSTITUTE(SUBSTITUTE(F26,"_","-"),"|","-"))),IF(G26="","",CONCATENATE("_U3|",SUBSTITUTE(SUBSTITUTE(G26,"_","-"),"|","-")))))</f>
        <v>CV|DOTZ-ZERO-ANUIDADE-AMARELO-QUAD_CS|1x1_CT|FLA</v>
      </c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ht="15.75" customHeight="1">
      <c r="A27" s="66"/>
      <c r="B27" s="51" t="s">
        <v>92</v>
      </c>
      <c r="C27" s="14" t="s">
        <v>58</v>
      </c>
      <c r="D27" s="31" t="s">
        <v>121</v>
      </c>
      <c r="E27" s="79"/>
      <c r="G27" s="66"/>
      <c r="H27" s="43" t="str">
        <f>IF(C27="----","#N/A",CONCATENATE("CV|",SUBSTITUTE(SUBSTITUTE(IF(B27="","NONE",B27),"_","-"),"|","-"),"_","CS|",(VLOOKUP(C27,Dictionary!$Y:$Z,2,FALSE)),"_","CT|",(VLOOKUP(D27,Dictionary!$AE:$AF,2,FALSE)),IF(E27="","",CONCATENATE("_U1|",SUBSTITUTE(SUBSTITUTE(E27,"_","-"),"|","-"))),IF(F27="","",CONCATENATE("_U2|",SUBSTITUTE(SUBSTITUTE(F27,"_","-"),"|","-"))),IF(G27="","",CONCATENATE("_U3|",SUBSTITUTE(SUBSTITUTE(G27,"_","-"),"|","-")))))</f>
        <v>CV|DOTZ-ZERO-ANUIDADE-AMARELO_CS|1x1_CT|FGIF</v>
      </c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ht="15.75" customHeight="1">
      <c r="A28" s="66"/>
      <c r="B28" s="51" t="s">
        <v>92</v>
      </c>
      <c r="C28" s="14" t="s">
        <v>58</v>
      </c>
      <c r="D28" s="31" t="s">
        <v>122</v>
      </c>
      <c r="E28" s="79"/>
      <c r="G28" s="66"/>
      <c r="H28" s="43" t="str">
        <f>IF(C28="----","#N/A",CONCATENATE("CV|",SUBSTITUTE(SUBSTITUTE(IF(B28="","NONE",B28),"_","-"),"|","-"),"_","CS|",(VLOOKUP(C28,Dictionary!$Y:$Z,2,FALSE)),"_","CT|",(VLOOKUP(D28,Dictionary!$AE:$AF,2,FALSE)),IF(E28="","",CONCATENATE("_U1|",SUBSTITUTE(SUBSTITUTE(E28,"_","-"),"|","-"))),IF(F28="","",CONCATENATE("_U2|",SUBSTITUTE(SUBSTITUTE(F28,"_","-"),"|","-"))),IF(G28="","",CONCATENATE("_U3|",SUBSTITUTE(SUBSTITUTE(G28,"_","-"),"|","-")))))</f>
        <v>CV|DOTZ-ZERO-ANUIDADE-AMARELO_CS|1x1_CT|FCR</v>
      </c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ht="15.75" customHeight="1">
      <c r="A29" s="66"/>
      <c r="B29" s="51" t="s">
        <v>94</v>
      </c>
      <c r="C29" s="14" t="s">
        <v>58</v>
      </c>
      <c r="D29" s="31" t="s">
        <v>123</v>
      </c>
      <c r="E29" s="79"/>
      <c r="G29" s="66"/>
      <c r="H29" s="43" t="str">
        <f>IF(C29="----","#N/A",CONCATENATE("CV|",SUBSTITUTE(SUBSTITUTE(IF(B29="","NONE",B29),"_","-"),"|","-"),"_","CS|",(VLOOKUP(C29,Dictionary!$Y:$Z,2,FALSE)),"_","CT|",(VLOOKUP(D29,Dictionary!$AE:$AF,2,FALSE)),IF(E29="","",CONCATENATE("_U1|",SUBSTITUTE(SUBSTITUTE(E29,"_","-"),"|","-"))),IF(F29="","",CONCATENATE("_U2|",SUBSTITUTE(SUBSTITUTE(F29,"_","-"),"|","-"))),IF(G29="","",CONCATENATE("_U3|",SUBSTITUTE(SUBSTITUTE(G29,"_","-"),"|","-")))))</f>
        <v>CV|DOTZ-ZERO-ANUIDADE-AMARELO-CAR_CS|1x1_CT|INSSTORY</v>
      </c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ht="15.75" customHeight="1">
      <c r="A30" s="66"/>
      <c r="B30" s="51" t="s">
        <v>95</v>
      </c>
      <c r="C30" s="14" t="s">
        <v>58</v>
      </c>
      <c r="D30" s="31" t="s">
        <v>120</v>
      </c>
      <c r="E30" s="79"/>
      <c r="G30" s="66"/>
      <c r="H30" s="43" t="str">
        <f>IF(C30="----","#N/A",CONCATENATE("CV|",SUBSTITUTE(SUBSTITUTE(IF(B30="","NONE",B30),"_","-"),"|","-"),"_","CS|",(VLOOKUP(C30,Dictionary!$Y:$Z,2,FALSE)),"_","CT|",(VLOOKUP(D30,Dictionary!$AE:$AF,2,FALSE)),IF(E30="","",CONCATENATE("_U1|",SUBSTITUTE(SUBSTITUTE(E30,"_","-"),"|","-"))),IF(F30="","",CONCATENATE("_U2|",SUBSTITUTE(SUBSTITUTE(F30,"_","-"),"|","-"))),IF(G30="","",CONCATENATE("_U3|",SUBSTITUTE(SUBSTITUTE(G30,"_","-"),"|","-")))))</f>
        <v>CV|DOTZ-TODOS-BENEFICIOS-AMARELO_CS|1x1_CT|FLA</v>
      </c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ht="15.75" customHeight="1">
      <c r="B31" s="51" t="s">
        <v>96</v>
      </c>
      <c r="C31" s="14" t="s">
        <v>58</v>
      </c>
      <c r="D31" s="31" t="s">
        <v>120</v>
      </c>
      <c r="H31" s="43" t="str">
        <f>IF(C31="----","#N/A",CONCATENATE("CV|",SUBSTITUTE(SUBSTITUTE(IF(B31="","NONE",B31),"_","-"),"|","-"),"_","CS|",(VLOOKUP(C31,Dictionary!$Y:$Z,2,FALSE)),"_","CT|",(VLOOKUP(D31,Dictionary!$AE:$AF,2,FALSE)),IF(E31="","",CONCATENATE("_U1|",SUBSTITUTE(SUBSTITUTE(E31,"_","-"),"|","-"))),IF(F31="","",CONCATENATE("_U2|",SUBSTITUTE(SUBSTITUTE(F31,"_","-"),"|","-"))),IF(G31="","",CONCATENATE("_U3|",SUBSTITUTE(SUBSTITUTE(G31,"_","-"),"|","-")))))</f>
        <v>CV|DOTZ-TODOS-BENEFICIOS-AMARELO-QUAD_CS|1x1_CT|FLA</v>
      </c>
    </row>
    <row r="32" ht="15.75" customHeight="1">
      <c r="A32" s="66"/>
      <c r="B32" s="51" t="s">
        <v>95</v>
      </c>
      <c r="C32" s="14" t="s">
        <v>58</v>
      </c>
      <c r="D32" s="31" t="s">
        <v>121</v>
      </c>
      <c r="E32" s="31"/>
      <c r="G32" s="66"/>
      <c r="H32" s="43" t="str">
        <f>IF(C32="----","#N/A",CONCATENATE("CV|",SUBSTITUTE(SUBSTITUTE(IF(B32="","NONE",B32),"_","-"),"|","-"),"_","CS|",(VLOOKUP(C32,Dictionary!$Y:$Z,2,FALSE)),"_","CT|",(VLOOKUP(D32,Dictionary!$AE:$AF,2,FALSE)),IF(E32="","",CONCATENATE("_U1|",SUBSTITUTE(SUBSTITUTE(E32,"_","-"),"|","-"))),IF(F32="","",CONCATENATE("_U2|",SUBSTITUTE(SUBSTITUTE(F32,"_","-"),"|","-"))),IF(G32="","",CONCATENATE("_U3|",SUBSTITUTE(SUBSTITUTE(G32,"_","-"),"|","-")))))</f>
        <v>CV|DOTZ-TODOS-BENEFICIOS-AMARELO_CS|1x1_CT|FGIF</v>
      </c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ht="15.75" customHeight="1">
      <c r="B33" s="51" t="s">
        <v>95</v>
      </c>
      <c r="C33" s="14" t="s">
        <v>58</v>
      </c>
      <c r="D33" s="31" t="s">
        <v>122</v>
      </c>
      <c r="E33" s="31"/>
      <c r="H33" s="43" t="str">
        <f>IF(C33="----","#N/A",CONCATENATE("CV|",SUBSTITUTE(SUBSTITUTE(IF(B33="","NONE",B33),"_","-"),"|","-"),"_","CS|",(VLOOKUP(C33,Dictionary!$Y:$Z,2,FALSE)),"_","CT|",(VLOOKUP(D33,Dictionary!$AE:$AF,2,FALSE)),IF(E33="","",CONCATENATE("_U1|",SUBSTITUTE(SUBSTITUTE(E33,"_","-"),"|","-"))),IF(F33="","",CONCATENATE("_U2|",SUBSTITUTE(SUBSTITUTE(F33,"_","-"),"|","-"))),IF(G33="","",CONCATENATE("_U3|",SUBSTITUTE(SUBSTITUTE(G33,"_","-"),"|","-")))))</f>
        <v>CV|DOTZ-TODOS-BENEFICIOS-AMARELO_CS|1x1_CT|FCR</v>
      </c>
    </row>
    <row r="34" ht="15.75" customHeight="1">
      <c r="B34" s="51" t="s">
        <v>97</v>
      </c>
      <c r="C34" s="14" t="s">
        <v>58</v>
      </c>
      <c r="D34" s="31" t="s">
        <v>123</v>
      </c>
      <c r="E34" s="31"/>
      <c r="H34" s="43" t="str">
        <f>IF(C34="----","#N/A",CONCATENATE("CV|",SUBSTITUTE(SUBSTITUTE(IF(B34="","NONE",B34),"_","-"),"|","-"),"_","CS|",(VLOOKUP(C34,Dictionary!$Y:$Z,2,FALSE)),"_","CT|",(VLOOKUP(D34,Dictionary!$AE:$AF,2,FALSE)),IF(E34="","",CONCATENATE("_U1|",SUBSTITUTE(SUBSTITUTE(E34,"_","-"),"|","-"))),IF(F34="","",CONCATENATE("_U2|",SUBSTITUTE(SUBSTITUTE(F34,"_","-"),"|","-"))),IF(G34="","",CONCATENATE("_U3|",SUBSTITUTE(SUBSTITUTE(G34,"_","-"),"|","-")))))</f>
        <v>CV|DOTZ-TODOS-BENEFICIOS-AMARELO-CAR_CS|1x1_CT|INSSTORY</v>
      </c>
    </row>
    <row r="35" ht="15.75" customHeight="1">
      <c r="B35" s="55" t="s">
        <v>98</v>
      </c>
      <c r="C35" s="14" t="s">
        <v>58</v>
      </c>
      <c r="D35" s="31" t="s">
        <v>120</v>
      </c>
      <c r="E35" s="31"/>
      <c r="H35" s="43" t="str">
        <f>IF(C35="----","#N/A",CONCATENATE("CV|",SUBSTITUTE(SUBSTITUTE(IF(B35="","NONE",B35),"_","-"),"|","-"),"_","CS|",(VLOOKUP(C35,Dictionary!$Y:$Z,2,FALSE)),"_","CT|",(VLOOKUP(D35,Dictionary!$AE:$AF,2,FALSE)),IF(E35="","",CONCATENATE("_U1|",SUBSTITUTE(SUBSTITUTE(E35,"_","-"),"|","-"))),IF(F35="","",CONCATENATE("_U2|",SUBSTITUTE(SUBSTITUTE(F35,"_","-"),"|","-"))),IF(G35="","",CONCATENATE("_U3|",SUBSTITUTE(SUBSTITUTE(G35,"_","-"),"|","-")))))</f>
        <v>CV|DOTZ-CONVERSAO-AMARELO_CS|1x1_CT|FLA</v>
      </c>
    </row>
    <row r="36" ht="15.75" customHeight="1">
      <c r="B36" s="51" t="s">
        <v>99</v>
      </c>
      <c r="C36" s="14" t="s">
        <v>58</v>
      </c>
      <c r="D36" s="31" t="s">
        <v>120</v>
      </c>
      <c r="H36" s="43" t="str">
        <f>IF(C36="----","#N/A",CONCATENATE("CV|",SUBSTITUTE(SUBSTITUTE(IF(B36="","NONE",B36),"_","-"),"|","-"),"_","CS|",(VLOOKUP(C36,Dictionary!$Y:$Z,2,FALSE)),"_","CT|",(VLOOKUP(D36,Dictionary!$AE:$AF,2,FALSE)),IF(E36="","",CONCATENATE("_U1|",SUBSTITUTE(SUBSTITUTE(E36,"_","-"),"|","-"))),IF(F36="","",CONCATENATE("_U2|",SUBSTITUTE(SUBSTITUTE(F36,"_","-"),"|","-"))),IF(G36="","",CONCATENATE("_U3|",SUBSTITUTE(SUBSTITUTE(G36,"_","-"),"|","-")))))</f>
        <v>CV|DOTZ-CONVERSAO-AMARELO-QUAD_CS|1x1_CT|FLA</v>
      </c>
    </row>
    <row r="37" ht="15.75" customHeight="1">
      <c r="B37" s="51" t="s">
        <v>98</v>
      </c>
      <c r="C37" s="14" t="s">
        <v>58</v>
      </c>
      <c r="D37" s="31" t="s">
        <v>121</v>
      </c>
      <c r="E37" s="31"/>
      <c r="F37" s="80"/>
      <c r="H37" s="43" t="str">
        <f>IF(C37="----","#N/A",CONCATENATE("CV|",SUBSTITUTE(SUBSTITUTE(IF(B37="","NONE",B37),"_","-"),"|","-"),"_","CS|",(VLOOKUP(C37,Dictionary!$Y:$Z,2,FALSE)),"_","CT|",(VLOOKUP(D37,Dictionary!$AE:$AF,2,FALSE)),IF(E37="","",CONCATENATE("_U1|",SUBSTITUTE(SUBSTITUTE(E37,"_","-"),"|","-"))),IF(F37="","",CONCATENATE("_U2|",SUBSTITUTE(SUBSTITUTE(F37,"_","-"),"|","-"))),IF(G37="","",CONCATENATE("_U3|",SUBSTITUTE(SUBSTITUTE(G37,"_","-"),"|","-")))))</f>
        <v>CV|DOTZ-CONVERSAO-AMARELO_CS|1x1_CT|FGIF</v>
      </c>
    </row>
    <row r="38" ht="15.75" customHeight="1">
      <c r="B38" s="51" t="s">
        <v>98</v>
      </c>
      <c r="C38" s="14" t="s">
        <v>58</v>
      </c>
      <c r="D38" s="31" t="s">
        <v>122</v>
      </c>
      <c r="E38" s="31"/>
      <c r="F38" s="80"/>
      <c r="H38" s="43" t="str">
        <f>IF(C38="----","#N/A",CONCATENATE("CV|",SUBSTITUTE(SUBSTITUTE(IF(B38="","NONE",B38),"_","-"),"|","-"),"_","CS|",(VLOOKUP(C38,Dictionary!$Y:$Z,2,FALSE)),"_","CT|",(VLOOKUP(D38,Dictionary!$AE:$AF,2,FALSE)),IF(E38="","",CONCATENATE("_U1|",SUBSTITUTE(SUBSTITUTE(E38,"_","-"),"|","-"))),IF(F38="","",CONCATENATE("_U2|",SUBSTITUTE(SUBSTITUTE(F38,"_","-"),"|","-"))),IF(G38="","",CONCATENATE("_U3|",SUBSTITUTE(SUBSTITUTE(G38,"_","-"),"|","-")))))</f>
        <v>CV|DOTZ-CONVERSAO-AMARELO_CS|1x1_CT|FCR</v>
      </c>
    </row>
    <row r="39" ht="15.75" customHeight="1">
      <c r="B39" s="51" t="s">
        <v>100</v>
      </c>
      <c r="C39" s="14" t="s">
        <v>58</v>
      </c>
      <c r="D39" s="31" t="s">
        <v>123</v>
      </c>
      <c r="H39" s="43" t="str">
        <f>IF(C39="----","#N/A",CONCATENATE("CV|",SUBSTITUTE(SUBSTITUTE(IF(B39="","NONE",B39),"_","-"),"|","-"),"_","CS|",(VLOOKUP(C39,Dictionary!$Y:$Z,2,FALSE)),"_","CT|",(VLOOKUP(D39,Dictionary!$AE:$AF,2,FALSE)),IF(E39="","",CONCATENATE("_U1|",SUBSTITUTE(SUBSTITUTE(E39,"_","-"),"|","-"))),IF(F39="","",CONCATENATE("_U2|",SUBSTITUTE(SUBSTITUTE(F39,"_","-"),"|","-"))),IF(G39="","",CONCATENATE("_U3|",SUBSTITUTE(SUBSTITUTE(G39,"_","-"),"|","-")))))</f>
        <v>CV|DOTZ-CONVERSAO-AMARELO-CAR_CS|1x1_CT|INSSTORY</v>
      </c>
    </row>
    <row r="40" ht="15.75" customHeight="1">
      <c r="B40" s="51" t="s">
        <v>98</v>
      </c>
      <c r="C40" s="14" t="s">
        <v>58</v>
      </c>
      <c r="D40" s="31" t="s">
        <v>123</v>
      </c>
      <c r="E40" s="31"/>
      <c r="F40" s="81"/>
      <c r="H40" s="43" t="str">
        <f>IF(C40="----","#N/A",CONCATENATE("CV|",SUBSTITUTE(SUBSTITUTE(IF(B40="","NONE",B40),"_","-"),"|","-"),"_","CS|",(VLOOKUP(C40,Dictionary!$Y:$Z,2,FALSE)),"_","CT|",(VLOOKUP(D40,Dictionary!$AE:$AF,2,FALSE)),IF(E40="","",CONCATENATE("_U1|",SUBSTITUTE(SUBSTITUTE(E40,"_","-"),"|","-"))),IF(F40="","",CONCATENATE("_U2|",SUBSTITUTE(SUBSTITUTE(F40,"_","-"),"|","-"))),IF(G40="","",CONCATENATE("_U3|",SUBSTITUTE(SUBSTITUTE(G40,"_","-"),"|","-")))))</f>
        <v>CV|DOTZ-CONVERSAO-AMARELO_CS|1x1_CT|INSSTORY</v>
      </c>
    </row>
    <row r="41" ht="15.75" customHeight="1">
      <c r="B41" s="51" t="s">
        <v>95</v>
      </c>
      <c r="C41" s="14" t="s">
        <v>58</v>
      </c>
      <c r="D41" s="31" t="s">
        <v>123</v>
      </c>
      <c r="E41" s="31"/>
      <c r="F41" s="81"/>
      <c r="H41" s="33" t="str">
        <f>IF(C41="----","#N/A",CONCATENATE("CV|",SUBSTITUTE(SUBSTITUTE(IF(B41="","NONE",B41),"_","-"),"|","-"),"_","CS|",(VLOOKUP(C41,Dictionary!$Y:$Z,2,FALSE)),"_","CT|",(VLOOKUP(D41,Dictionary!$AE:$AF,2,FALSE)),IF(E41="","",CONCATENATE("_U1|",SUBSTITUTE(SUBSTITUTE(E41,"_","-"),"|","-"))),IF(F41="","",CONCATENATE("_U2|",SUBSTITUTE(SUBSTITUTE(F41,"_","-"),"|","-"))),IF(G41="","",CONCATENATE("_U3|",SUBSTITUTE(SUBSTITUTE(G41,"_","-"),"|","-")))))</f>
        <v>CV|DOTZ-TODOS-BENEFICIOS-AMARELO_CS|1x1_CT|INSSTORY</v>
      </c>
    </row>
    <row r="42" ht="15.75" customHeight="1">
      <c r="B42" s="51" t="s">
        <v>92</v>
      </c>
      <c r="C42" s="14" t="s">
        <v>58</v>
      </c>
      <c r="D42" s="31" t="s">
        <v>123</v>
      </c>
      <c r="E42" s="31"/>
      <c r="F42" s="81"/>
      <c r="H42" s="33" t="str">
        <f>IF(C42="----","#N/A",CONCATENATE("CV|",SUBSTITUTE(SUBSTITUTE(IF(B42="","NONE",B42),"_","-"),"|","-"),"_","CS|",(VLOOKUP(C42,Dictionary!$Y:$Z,2,FALSE)),"_","CT|",(VLOOKUP(D42,Dictionary!$AE:$AF,2,FALSE)),IF(E42="","",CONCATENATE("_U1|",SUBSTITUTE(SUBSTITUTE(E42,"_","-"),"|","-"))),IF(F42="","",CONCATENATE("_U2|",SUBSTITUTE(SUBSTITUTE(F42,"_","-"),"|","-"))),IF(G42="","",CONCATENATE("_U3|",SUBSTITUTE(SUBSTITUTE(G42,"_","-"),"|","-")))))</f>
        <v>CV|DOTZ-ZERO-ANUIDADE-AMARELO_CS|1x1_CT|INSSTORY</v>
      </c>
    </row>
    <row r="43" ht="15.75" customHeight="1">
      <c r="B43" s="51" t="s">
        <v>89</v>
      </c>
      <c r="C43" s="14" t="s">
        <v>58</v>
      </c>
      <c r="D43" s="31" t="s">
        <v>123</v>
      </c>
      <c r="H43" s="33" t="str">
        <f>IF(C43="----","#N/A",CONCATENATE("CV|",SUBSTITUTE(SUBSTITUTE(IF(B43="","NONE",B43),"_","-"),"|","-"),"_","CS|",(VLOOKUP(C43,Dictionary!$Y:$Z,2,FALSE)),"_","CT|",(VLOOKUP(D43,Dictionary!$AE:$AF,2,FALSE)),IF(E43="","",CONCATENATE("_U1|",SUBSTITUTE(SUBSTITUTE(E43,"_","-"),"|","-"))),IF(F43="","",CONCATENATE("_U2|",SUBSTITUTE(SUBSTITUTE(F43,"_","-"),"|","-"))),IF(G43="","",CONCATENATE("_U3|",SUBSTITUTE(SUBSTITUTE(G43,"_","-"),"|","-")))))</f>
        <v>CV|DOTZ-10MIL-AMARELO_CS|1x1_CT|INSSTORY</v>
      </c>
    </row>
    <row r="44" ht="15.75" customHeight="1">
      <c r="B44" s="51" t="s">
        <v>86</v>
      </c>
      <c r="C44" s="14" t="s">
        <v>58</v>
      </c>
      <c r="D44" s="31" t="s">
        <v>123</v>
      </c>
      <c r="E44" s="31"/>
      <c r="F44" s="81"/>
      <c r="H44" s="33" t="str">
        <f>IF(C44="----","#N/A",CONCATENATE("CV|",SUBSTITUTE(SUBSTITUTE(IF(B44="","NONE",B44),"_","-"),"|","-"),"_","CS|",(VLOOKUP(C44,Dictionary!$Y:$Z,2,FALSE)),"_","CT|",(VLOOKUP(D44,Dictionary!$AE:$AF,2,FALSE)),IF(E44="","",CONCATENATE("_U1|",SUBSTITUTE(SUBSTITUTE(E44,"_","-"),"|","-"))),IF(F44="","",CONCATENATE("_U2|",SUBSTITUTE(SUBSTITUTE(F44,"_","-"),"|","-"))),IF(G44="","",CONCATENATE("_U3|",SUBSTITUTE(SUBSTITUTE(G44,"_","-"),"|","-")))))</f>
        <v>CV|DOTZ-TODOS-BENEFICIOS-AZUL_CS|1x1_CT|INSSTORY</v>
      </c>
    </row>
    <row r="45" ht="15.75" customHeight="1">
      <c r="B45" s="51" t="s">
        <v>83</v>
      </c>
      <c r="C45" s="14" t="s">
        <v>58</v>
      </c>
      <c r="D45" s="31" t="s">
        <v>123</v>
      </c>
      <c r="E45" s="31"/>
      <c r="F45" s="81"/>
      <c r="H45" s="33" t="str">
        <f>IF(C45="----","#N/A",CONCATENATE("CV|",SUBSTITUTE(SUBSTITUTE(IF(B45="","NONE",B45),"_","-"),"|","-"),"_","CS|",(VLOOKUP(C45,Dictionary!$Y:$Z,2,FALSE)),"_","CT|",(VLOOKUP(D45,Dictionary!$AE:$AF,2,FALSE)),IF(E45="","",CONCATENATE("_U1|",SUBSTITUTE(SUBSTITUTE(E45,"_","-"),"|","-"))),IF(F45="","",CONCATENATE("_U2|",SUBSTITUTE(SUBSTITUTE(F45,"_","-"),"|","-"))),IF(G45="","",CONCATENATE("_U3|",SUBSTITUTE(SUBSTITUTE(G45,"_","-"),"|","-")))))</f>
        <v>CV|DOTZ-ZERO-ANUIDADE-AZUL_CS|1x1_CT|INSSTORY</v>
      </c>
    </row>
    <row r="46" ht="15.75" customHeight="1">
      <c r="B46" s="51" t="s">
        <v>77</v>
      </c>
      <c r="C46" s="14" t="s">
        <v>58</v>
      </c>
      <c r="D46" s="31" t="s">
        <v>123</v>
      </c>
      <c r="E46" s="31"/>
      <c r="F46" s="81"/>
      <c r="H46" s="33" t="str">
        <f>IF(C46="----","#N/A",CONCATENATE("CV|",SUBSTITUTE(SUBSTITUTE(IF(B46="","NONE",B46),"_","-"),"|","-"),"_","CS|",(VLOOKUP(C46,Dictionary!$Y:$Z,2,FALSE)),"_","CT|",(VLOOKUP(D46,Dictionary!$AE:$AF,2,FALSE)),IF(E46="","",CONCATENATE("_U1|",SUBSTITUTE(SUBSTITUTE(E46,"_","-"),"|","-"))),IF(F46="","",CONCATENATE("_U2|",SUBSTITUTE(SUBSTITUTE(F46,"_","-"),"|","-"))),IF(G46="","",CONCATENATE("_U3|",SUBSTITUTE(SUBSTITUTE(G46,"_","-"),"|","-")))))</f>
        <v>CV|DOTZ-10MIL-AZUL_CS|1x1_CT|INSSTORY</v>
      </c>
    </row>
    <row r="47" ht="15.75" customHeight="1">
      <c r="B47" s="82" t="s">
        <v>77</v>
      </c>
      <c r="C47" s="14" t="s">
        <v>58</v>
      </c>
      <c r="D47" s="83" t="s">
        <v>122</v>
      </c>
      <c r="E47" s="83" t="s">
        <v>101</v>
      </c>
      <c r="F47" s="81"/>
      <c r="H47" s="33" t="str">
        <f>IF(C47="----","#N/A",CONCATENATE("CV|",SUBSTITUTE(SUBSTITUTE(IF(B47="","NONE",B47),"_","-"),"|","-"),"_","CS|",(VLOOKUP(C47,Dictionary!$Y:$Z,2,FALSE)),"_","CT|",(VLOOKUP(D47,Dictionary!$AE:$AF,2,FALSE)),IF(E47="","",CONCATENATE("_U1|",SUBSTITUTE(SUBSTITUTE(E47,"_","-"),"|","-"))),IF(F47="","",CONCATENATE("_U2|",SUBSTITUTE(SUBSTITUTE(F47,"_","-"),"|","-"))),IF(G47="","",CONCATENATE("_U3|",SUBSTITUTE(SUBSTITUTE(G47,"_","-"),"|","-")))))</f>
        <v>CV|DOTZ-10MIL-AZUL_CS|1x1_CT|FCR_U1|ESTATICO</v>
      </c>
    </row>
    <row r="48" ht="15.75" customHeight="1">
      <c r="B48" s="68" t="s">
        <v>83</v>
      </c>
      <c r="C48" s="14" t="s">
        <v>58</v>
      </c>
      <c r="D48" s="83" t="s">
        <v>122</v>
      </c>
      <c r="E48" s="83" t="s">
        <v>101</v>
      </c>
      <c r="H48" s="33" t="str">
        <f>IF(C48="----","#N/A",CONCATENATE("CV|",SUBSTITUTE(SUBSTITUTE(IF(B48="","NONE",B48),"_","-"),"|","-"),"_","CS|",(VLOOKUP(C48,Dictionary!$Y:$Z,2,FALSE)),"_","CT|",(VLOOKUP(D48,Dictionary!$AE:$AF,2,FALSE)),IF(E48="","",CONCATENATE("_U1|",SUBSTITUTE(SUBSTITUTE(E48,"_","-"),"|","-"))),IF(F48="","",CONCATENATE("_U2|",SUBSTITUTE(SUBSTITUTE(F48,"_","-"),"|","-"))),IF(G48="","",CONCATENATE("_U3|",SUBSTITUTE(SUBSTITUTE(G48,"_","-"),"|","-")))))</f>
        <v>CV|DOTZ-ZERO-ANUIDADE-AZUL_CS|1x1_CT|FCR_U1|ESTATICO</v>
      </c>
    </row>
    <row r="49" ht="15.75" customHeight="1">
      <c r="B49" s="68" t="s">
        <v>86</v>
      </c>
      <c r="C49" s="14" t="s">
        <v>58</v>
      </c>
      <c r="D49" s="83" t="s">
        <v>122</v>
      </c>
      <c r="E49" s="83" t="s">
        <v>101</v>
      </c>
      <c r="H49" s="33" t="str">
        <f>IF(C49="----","#N/A",CONCATENATE("CV|",SUBSTITUTE(SUBSTITUTE(IF(B49="","NONE",B49),"_","-"),"|","-"),"_","CS|",(VLOOKUP(C49,Dictionary!$Y:$Z,2,FALSE)),"_","CT|",(VLOOKUP(D49,Dictionary!$AE:$AF,2,FALSE)),IF(E49="","",CONCATENATE("_U1|",SUBSTITUTE(SUBSTITUTE(E49,"_","-"),"|","-"))),IF(F49="","",CONCATENATE("_U2|",SUBSTITUTE(SUBSTITUTE(F49,"_","-"),"|","-"))),IF(G49="","",CONCATENATE("_U3|",SUBSTITUTE(SUBSTITUTE(G49,"_","-"),"|","-")))))</f>
        <v>CV|DOTZ-TODOS-BENEFICIOS-AZUL_CS|1x1_CT|FCR_U1|ESTATICO</v>
      </c>
    </row>
    <row r="50" ht="15.75" customHeight="1">
      <c r="B50" s="68" t="s">
        <v>89</v>
      </c>
      <c r="C50" s="14" t="s">
        <v>58</v>
      </c>
      <c r="D50" s="83" t="s">
        <v>122</v>
      </c>
      <c r="E50" s="83" t="s">
        <v>101</v>
      </c>
      <c r="H50" s="33" t="str">
        <f>IF(C50="----","#N/A",CONCATENATE("CV|",SUBSTITUTE(SUBSTITUTE(IF(B50="","NONE",B50),"_","-"),"|","-"),"_","CS|",(VLOOKUP(C50,Dictionary!$Y:$Z,2,FALSE)),"_","CT|",(VLOOKUP(D50,Dictionary!$AE:$AF,2,FALSE)),IF(E50="","",CONCATENATE("_U1|",SUBSTITUTE(SUBSTITUTE(E50,"_","-"),"|","-"))),IF(F50="","",CONCATENATE("_U2|",SUBSTITUTE(SUBSTITUTE(F50,"_","-"),"|","-"))),IF(G50="","",CONCATENATE("_U3|",SUBSTITUTE(SUBSTITUTE(G50,"_","-"),"|","-")))))</f>
        <v>CV|DOTZ-10MIL-AMARELO_CS|1x1_CT|FCR_U1|ESTATICO</v>
      </c>
    </row>
    <row r="51" ht="15.75" customHeight="1">
      <c r="B51" s="68" t="s">
        <v>92</v>
      </c>
      <c r="C51" s="14" t="s">
        <v>58</v>
      </c>
      <c r="D51" s="83" t="s">
        <v>122</v>
      </c>
      <c r="E51" s="83" t="s">
        <v>101</v>
      </c>
      <c r="H51" s="33" t="str">
        <f>IF(C51="----","#N/A",CONCATENATE("CV|",SUBSTITUTE(SUBSTITUTE(IF(B51="","NONE",B51),"_","-"),"|","-"),"_","CS|",(VLOOKUP(C51,Dictionary!$Y:$Z,2,FALSE)),"_","CT|",(VLOOKUP(D51,Dictionary!$AE:$AF,2,FALSE)),IF(E51="","",CONCATENATE("_U1|",SUBSTITUTE(SUBSTITUTE(E51,"_","-"),"|","-"))),IF(F51="","",CONCATENATE("_U2|",SUBSTITUTE(SUBSTITUTE(F51,"_","-"),"|","-"))),IF(G51="","",CONCATENATE("_U3|",SUBSTITUTE(SUBSTITUTE(G51,"_","-"),"|","-")))))</f>
        <v>CV|DOTZ-ZERO-ANUIDADE-AMARELO_CS|1x1_CT|FCR_U1|ESTATICO</v>
      </c>
    </row>
    <row r="52" ht="15.75" customHeight="1">
      <c r="B52" s="82" t="s">
        <v>95</v>
      </c>
      <c r="C52" s="14" t="s">
        <v>58</v>
      </c>
      <c r="D52" s="83" t="s">
        <v>122</v>
      </c>
      <c r="E52" s="83" t="s">
        <v>101</v>
      </c>
      <c r="H52" s="33" t="str">
        <f>IF(C52="----","#N/A",CONCATENATE("CV|",SUBSTITUTE(SUBSTITUTE(IF(B52="","NONE",B52),"_","-"),"|","-"),"_","CS|",(VLOOKUP(C52,Dictionary!$Y:$Z,2,FALSE)),"_","CT|",(VLOOKUP(D52,Dictionary!$AE:$AF,2,FALSE)),IF(E52="","",CONCATENATE("_U1|",SUBSTITUTE(SUBSTITUTE(E52,"_","-"),"|","-"))),IF(F52="","",CONCATENATE("_U2|",SUBSTITUTE(SUBSTITUTE(F52,"_","-"),"|","-"))),IF(G52="","",CONCATENATE("_U3|",SUBSTITUTE(SUBSTITUTE(G52,"_","-"),"|","-")))))</f>
        <v>CV|DOTZ-TODOS-BENEFICIOS-AMARELO_CS|1x1_CT|FCR_U1|ESTATICO</v>
      </c>
    </row>
    <row r="53" ht="15.75" customHeight="1">
      <c r="B53" s="68" t="s">
        <v>98</v>
      </c>
      <c r="C53" s="14" t="s">
        <v>58</v>
      </c>
      <c r="D53" s="83" t="s">
        <v>122</v>
      </c>
      <c r="E53" s="83" t="s">
        <v>101</v>
      </c>
      <c r="H53" s="33" t="str">
        <f>IF(C53="----","#N/A",CONCATENATE("CV|",SUBSTITUTE(SUBSTITUTE(IF(B53="","NONE",B53),"_","-"),"|","-"),"_","CS|",(VLOOKUP(C53,Dictionary!$Y:$Z,2,FALSE)),"_","CT|",(VLOOKUP(D53,Dictionary!$AE:$AF,2,FALSE)),IF(E53="","",CONCATENATE("_U1|",SUBSTITUTE(SUBSTITUTE(E53,"_","-"),"|","-"))),IF(F53="","",CONCATENATE("_U2|",SUBSTITUTE(SUBSTITUTE(F53,"_","-"),"|","-"))),IF(G53="","",CONCATENATE("_U3|",SUBSTITUTE(SUBSTITUTE(G53,"_","-"),"|","-")))))</f>
        <v>CV|DOTZ-CONVERSAO-AMARELO_CS|1x1_CT|FCR_U1|ESTATICO</v>
      </c>
    </row>
    <row r="54" ht="15.75" customHeight="1">
      <c r="B54" s="14" t="s">
        <v>77</v>
      </c>
      <c r="C54" s="55" t="s">
        <v>102</v>
      </c>
      <c r="D54" s="83" t="s">
        <v>124</v>
      </c>
      <c r="H54" s="33" t="str">
        <f>IF(C54="----","#N/A",CONCATENATE("CV|",SUBSTITUTE(SUBSTITUTE(IF(B54="","NONE",B54),"_","-"),"|","-"),"_","CS|",(VLOOKUP(C54,Dictionary!$Y:$Z,2,FALSE)),"_","CT|",(VLOOKUP(D54,Dictionary!$AE:$AF,2,FALSE)),IF(E54="","",CONCATENATE("_U1|",SUBSTITUTE(SUBSTITUTE(E54,"_","-"),"|","-"))),IF(F54="","",CONCATENATE("_U2|",SUBSTITUTE(SUBSTITUTE(F54,"_","-"),"|","-"))),IF(G54="","",CONCATENATE("_U3|",SUBSTITUTE(SUBSTITUTE(G54,"_","-"),"|","-")))))</f>
        <v>CV|DOTZ-10MIL-AZUL_CS|120x600_CT|HTML5</v>
      </c>
    </row>
    <row r="55" ht="15.75" customHeight="1">
      <c r="B55" s="14" t="s">
        <v>77</v>
      </c>
      <c r="C55" s="14" t="s">
        <v>103</v>
      </c>
      <c r="D55" s="83" t="s">
        <v>124</v>
      </c>
      <c r="H55" s="33" t="str">
        <f>IF(C55="----","#N/A",CONCATENATE("CV|",SUBSTITUTE(SUBSTITUTE(IF(B55="","NONE",B55),"_","-"),"|","-"),"_","CS|",(VLOOKUP(C55,Dictionary!$Y:$Z,2,FALSE)),"_","CT|",(VLOOKUP(D55,Dictionary!$AE:$AF,2,FALSE)),IF(E55="","",CONCATENATE("_U1|",SUBSTITUTE(SUBSTITUTE(E55,"_","-"),"|","-"))),IF(F55="","",CONCATENATE("_U2|",SUBSTITUTE(SUBSTITUTE(F55,"_","-"),"|","-"))),IF(G55="","",CONCATENATE("_U3|",SUBSTITUTE(SUBSTITUTE(G55,"_","-"),"|","-")))))</f>
        <v>CV|DOTZ-10MIL-AZUL_CS|160x600_CT|HTML5</v>
      </c>
    </row>
    <row r="56" ht="15.75" customHeight="1">
      <c r="B56" s="14" t="s">
        <v>77</v>
      </c>
      <c r="C56" s="14" t="s">
        <v>104</v>
      </c>
      <c r="D56" s="83" t="s">
        <v>124</v>
      </c>
      <c r="H56" s="33" t="str">
        <f>IF(C56="----","#N/A",CONCATENATE("CV|",SUBSTITUTE(SUBSTITUTE(IF(B56="","NONE",B56),"_","-"),"|","-"),"_","CS|",(VLOOKUP(C56,Dictionary!$Y:$Z,2,FALSE)),"_","CT|",(VLOOKUP(D56,Dictionary!$AE:$AF,2,FALSE)),IF(E56="","",CONCATENATE("_U1|",SUBSTITUTE(SUBSTITUTE(E56,"_","-"),"|","-"))),IF(F56="","",CONCATENATE("_U2|",SUBSTITUTE(SUBSTITUTE(F56,"_","-"),"|","-"))),IF(G56="","",CONCATENATE("_U3|",SUBSTITUTE(SUBSTITUTE(G56,"_","-"),"|","-")))))</f>
        <v>CV|DOTZ-10MIL-AZUL_CS|300x250_CT|HTML5</v>
      </c>
    </row>
    <row r="57" ht="15.75" customHeight="1">
      <c r="B57" s="14" t="s">
        <v>77</v>
      </c>
      <c r="C57" s="14" t="s">
        <v>105</v>
      </c>
      <c r="D57" s="83" t="s">
        <v>124</v>
      </c>
      <c r="H57" s="33" t="str">
        <f>IF(C57="----","#N/A",CONCATENATE("CV|",SUBSTITUTE(SUBSTITUTE(IF(B57="","NONE",B57),"_","-"),"|","-"),"_","CS|",(VLOOKUP(C57,Dictionary!$Y:$Z,2,FALSE)),"_","CT|",(VLOOKUP(D57,Dictionary!$AE:$AF,2,FALSE)),IF(E57="","",CONCATENATE("_U1|",SUBSTITUTE(SUBSTITUTE(E57,"_","-"),"|","-"))),IF(F57="","",CONCATENATE("_U2|",SUBSTITUTE(SUBSTITUTE(F57,"_","-"),"|","-"))),IF(G57="","",CONCATENATE("_U3|",SUBSTITUTE(SUBSTITUTE(G57,"_","-"),"|","-")))))</f>
        <v>CV|DOTZ-10MIL-AZUL_CS|300x600_CT|HTML5</v>
      </c>
    </row>
    <row r="58" ht="15.75" customHeight="1">
      <c r="B58" s="14" t="s">
        <v>77</v>
      </c>
      <c r="C58" s="14" t="s">
        <v>107</v>
      </c>
      <c r="D58" s="83" t="s">
        <v>124</v>
      </c>
      <c r="H58" s="33" t="str">
        <f>IF(C58="----","#N/A",CONCATENATE("CV|",SUBSTITUTE(SUBSTITUTE(IF(B58="","NONE",B58),"_","-"),"|","-"),"_","CS|",(VLOOKUP(C58,Dictionary!$Y:$Z,2,FALSE)),"_","CT|",(VLOOKUP(D58,Dictionary!$AE:$AF,2,FALSE)),IF(E58="","",CONCATENATE("_U1|",SUBSTITUTE(SUBSTITUTE(E58,"_","-"),"|","-"))),IF(F58="","",CONCATENATE("_U2|",SUBSTITUTE(SUBSTITUTE(F58,"_","-"),"|","-"))),IF(G58="","",CONCATENATE("_U3|",SUBSTITUTE(SUBSTITUTE(G58,"_","-"),"|","-")))))</f>
        <v>CV|DOTZ-10MIL-AZUL_CS|320x50_CT|HTML5</v>
      </c>
    </row>
    <row r="59" ht="15.75" customHeight="1">
      <c r="B59" s="14" t="s">
        <v>77</v>
      </c>
      <c r="C59" s="14" t="s">
        <v>108</v>
      </c>
      <c r="D59" s="83" t="s">
        <v>124</v>
      </c>
      <c r="H59" s="33" t="str">
        <f>IF(C59="----","#N/A",CONCATENATE("CV|",SUBSTITUTE(SUBSTITUTE(IF(B59="","NONE",B59),"_","-"),"|","-"),"_","CS|",(VLOOKUP(C59,Dictionary!$Y:$Z,2,FALSE)),"_","CT|",(VLOOKUP(D59,Dictionary!$AE:$AF,2,FALSE)),IF(E59="","",CONCATENATE("_U1|",SUBSTITUTE(SUBSTITUTE(E59,"_","-"),"|","-"))),IF(F59="","",CONCATENATE("_U2|",SUBSTITUTE(SUBSTITUTE(F59,"_","-"),"|","-"))),IF(G59="","",CONCATENATE("_U3|",SUBSTITUTE(SUBSTITUTE(G59,"_","-"),"|","-")))))</f>
        <v>CV|DOTZ-10MIL-AZUL_CS|320x100_CT|HTML5</v>
      </c>
    </row>
    <row r="60" ht="15.75" customHeight="1">
      <c r="B60" s="14" t="s">
        <v>77</v>
      </c>
      <c r="C60" s="14" t="s">
        <v>109</v>
      </c>
      <c r="D60" s="83" t="s">
        <v>124</v>
      </c>
      <c r="H60" s="33" t="str">
        <f>IF(C60="----","#N/A",CONCATENATE("CV|",SUBSTITUTE(SUBSTITUTE(IF(B60="","NONE",B60),"_","-"),"|","-"),"_","CS|",(VLOOKUP(C60,Dictionary!$Y:$Z,2,FALSE)),"_","CT|",(VLOOKUP(D60,Dictionary!$AE:$AF,2,FALSE)),IF(E60="","",CONCATENATE("_U1|",SUBSTITUTE(SUBSTITUTE(E60,"_","-"),"|","-"))),IF(F60="","",CONCATENATE("_U2|",SUBSTITUTE(SUBSTITUTE(F60,"_","-"),"|","-"))),IF(G60="","",CONCATENATE("_U3|",SUBSTITUTE(SUBSTITUTE(G60,"_","-"),"|","-")))))</f>
        <v>CV|DOTZ-10MIL-AZUL_CS|728x90_CT|HTML5</v>
      </c>
    </row>
    <row r="61" ht="15.75" customHeight="1">
      <c r="B61" s="84" t="s">
        <v>83</v>
      </c>
      <c r="C61" s="14" t="s">
        <v>102</v>
      </c>
      <c r="D61" s="83" t="s">
        <v>124</v>
      </c>
      <c r="H61" s="33" t="str">
        <f>IF(C61="----","#N/A",CONCATENATE("CV|",SUBSTITUTE(SUBSTITUTE(IF(B61="","NONE",B61),"_","-"),"|","-"),"_","CS|",(VLOOKUP(C61,Dictionary!$Y:$Z,2,FALSE)),"_","CT|",(VLOOKUP(D61,Dictionary!$AE:$AF,2,FALSE)),IF(E61="","",CONCATENATE("_U1|",SUBSTITUTE(SUBSTITUTE(E61,"_","-"),"|","-"))),IF(F61="","",CONCATENATE("_U2|",SUBSTITUTE(SUBSTITUTE(F61,"_","-"),"|","-"))),IF(G61="","",CONCATENATE("_U3|",SUBSTITUTE(SUBSTITUTE(G61,"_","-"),"|","-")))))</f>
        <v>CV|DOTZ-ZERO-ANUIDADE-AZUL_CS|120x600_CT|HTML5</v>
      </c>
    </row>
    <row r="62" ht="15.75" customHeight="1">
      <c r="B62" s="84" t="s">
        <v>83</v>
      </c>
      <c r="C62" s="14" t="s">
        <v>103</v>
      </c>
      <c r="D62" s="83" t="s">
        <v>124</v>
      </c>
      <c r="H62" s="33" t="str">
        <f>IF(C62="----","#N/A",CONCATENATE("CV|",SUBSTITUTE(SUBSTITUTE(IF(B62="","NONE",B62),"_","-"),"|","-"),"_","CS|",(VLOOKUP(C62,Dictionary!$Y:$Z,2,FALSE)),"_","CT|",(VLOOKUP(D62,Dictionary!$AE:$AF,2,FALSE)),IF(E62="","",CONCATENATE("_U1|",SUBSTITUTE(SUBSTITUTE(E62,"_","-"),"|","-"))),IF(F62="","",CONCATENATE("_U2|",SUBSTITUTE(SUBSTITUTE(F62,"_","-"),"|","-"))),IF(G62="","",CONCATENATE("_U3|",SUBSTITUTE(SUBSTITUTE(G62,"_","-"),"|","-")))))</f>
        <v>CV|DOTZ-ZERO-ANUIDADE-AZUL_CS|160x600_CT|HTML5</v>
      </c>
    </row>
    <row r="63" ht="15.75" customHeight="1">
      <c r="B63" s="84" t="s">
        <v>83</v>
      </c>
      <c r="C63" s="14" t="s">
        <v>104</v>
      </c>
      <c r="D63" s="83" t="s">
        <v>124</v>
      </c>
      <c r="H63" s="33" t="str">
        <f>IF(C63="----","#N/A",CONCATENATE("CV|",SUBSTITUTE(SUBSTITUTE(IF(B63="","NONE",B63),"_","-"),"|","-"),"_","CS|",(VLOOKUP(C63,Dictionary!$Y:$Z,2,FALSE)),"_","CT|",(VLOOKUP(D63,Dictionary!$AE:$AF,2,FALSE)),IF(E63="","",CONCATENATE("_U1|",SUBSTITUTE(SUBSTITUTE(E63,"_","-"),"|","-"))),IF(F63="","",CONCATENATE("_U2|",SUBSTITUTE(SUBSTITUTE(F63,"_","-"),"|","-"))),IF(G63="","",CONCATENATE("_U3|",SUBSTITUTE(SUBSTITUTE(G63,"_","-"),"|","-")))))</f>
        <v>CV|DOTZ-ZERO-ANUIDADE-AZUL_CS|300x250_CT|HTML5</v>
      </c>
    </row>
    <row r="64" ht="15.75" customHeight="1">
      <c r="B64" s="84" t="s">
        <v>83</v>
      </c>
      <c r="C64" s="14" t="s">
        <v>105</v>
      </c>
      <c r="D64" s="83" t="s">
        <v>124</v>
      </c>
      <c r="H64" s="33" t="str">
        <f>IF(C64="----","#N/A",CONCATENATE("CV|",SUBSTITUTE(SUBSTITUTE(IF(B64="","NONE",B64),"_","-"),"|","-"),"_","CS|",(VLOOKUP(C64,Dictionary!$Y:$Z,2,FALSE)),"_","CT|",(VLOOKUP(D64,Dictionary!$AE:$AF,2,FALSE)),IF(E64="","",CONCATENATE("_U1|",SUBSTITUTE(SUBSTITUTE(E64,"_","-"),"|","-"))),IF(F64="","",CONCATENATE("_U2|",SUBSTITUTE(SUBSTITUTE(F64,"_","-"),"|","-"))),IF(G64="","",CONCATENATE("_U3|",SUBSTITUTE(SUBSTITUTE(G64,"_","-"),"|","-")))))</f>
        <v>CV|DOTZ-ZERO-ANUIDADE-AZUL_CS|300x600_CT|HTML5</v>
      </c>
    </row>
    <row r="65" ht="15.75" customHeight="1">
      <c r="B65" s="32" t="s">
        <v>83</v>
      </c>
      <c r="C65" s="14" t="s">
        <v>107</v>
      </c>
      <c r="D65" s="83" t="s">
        <v>124</v>
      </c>
      <c r="H65" s="33" t="str">
        <f>IF(C65="----","#N/A",CONCATENATE("CV|",SUBSTITUTE(SUBSTITUTE(IF(B65="","NONE",B65),"_","-"),"|","-"),"_","CS|",(VLOOKUP(C65,Dictionary!$Y:$Z,2,FALSE)),"_","CT|",(VLOOKUP(D65,Dictionary!$AE:$AF,2,FALSE)),IF(E65="","",CONCATENATE("_U1|",SUBSTITUTE(SUBSTITUTE(E65,"_","-"),"|","-"))),IF(F65="","",CONCATENATE("_U2|",SUBSTITUTE(SUBSTITUTE(F65,"_","-"),"|","-"))),IF(G65="","",CONCATENATE("_U3|",SUBSTITUTE(SUBSTITUTE(G65,"_","-"),"|","-")))))</f>
        <v>CV|DOTZ-ZERO-ANUIDADE-AZUL_CS|320x50_CT|HTML5</v>
      </c>
    </row>
    <row r="66" ht="15.75" customHeight="1">
      <c r="B66" s="84" t="s">
        <v>83</v>
      </c>
      <c r="C66" s="14" t="s">
        <v>108</v>
      </c>
      <c r="D66" s="83" t="s">
        <v>124</v>
      </c>
      <c r="H66" s="33" t="str">
        <f>IF(C66="----","#N/A",CONCATENATE("CV|",SUBSTITUTE(SUBSTITUTE(IF(B66="","NONE",B66),"_","-"),"|","-"),"_","CS|",(VLOOKUP(C66,Dictionary!$Y:$Z,2,FALSE)),"_","CT|",(VLOOKUP(D66,Dictionary!$AE:$AF,2,FALSE)),IF(E66="","",CONCATENATE("_U1|",SUBSTITUTE(SUBSTITUTE(E66,"_","-"),"|","-"))),IF(F66="","",CONCATENATE("_U2|",SUBSTITUTE(SUBSTITUTE(F66,"_","-"),"|","-"))),IF(G66="","",CONCATENATE("_U3|",SUBSTITUTE(SUBSTITUTE(G66,"_","-"),"|","-")))))</f>
        <v>CV|DOTZ-ZERO-ANUIDADE-AZUL_CS|320x100_CT|HTML5</v>
      </c>
    </row>
    <row r="67" ht="15.75" customHeight="1">
      <c r="B67" s="84" t="s">
        <v>83</v>
      </c>
      <c r="C67" s="14" t="s">
        <v>109</v>
      </c>
      <c r="D67" s="83" t="s">
        <v>124</v>
      </c>
      <c r="H67" s="33" t="str">
        <f>IF(C67="----","#N/A",CONCATENATE("CV|",SUBSTITUTE(SUBSTITUTE(IF(B67="","NONE",B67),"_","-"),"|","-"),"_","CS|",(VLOOKUP(C67,Dictionary!$Y:$Z,2,FALSE)),"_","CT|",(VLOOKUP(D67,Dictionary!$AE:$AF,2,FALSE)),IF(E67="","",CONCATENATE("_U1|",SUBSTITUTE(SUBSTITUTE(E67,"_","-"),"|","-"))),IF(F67="","",CONCATENATE("_U2|",SUBSTITUTE(SUBSTITUTE(F67,"_","-"),"|","-"))),IF(G67="","",CONCATENATE("_U3|",SUBSTITUTE(SUBSTITUTE(G67,"_","-"),"|","-")))))</f>
        <v>CV|DOTZ-ZERO-ANUIDADE-AZUL_CS|728x90_CT|HTML5</v>
      </c>
    </row>
    <row r="68" ht="15.75" customHeight="1">
      <c r="B68" s="14" t="s">
        <v>110</v>
      </c>
      <c r="C68" s="14" t="s">
        <v>102</v>
      </c>
      <c r="D68" s="83" t="s">
        <v>124</v>
      </c>
      <c r="H68" s="33" t="str">
        <f>IF(C68="----","#N/A",CONCATENATE("CV|",SUBSTITUTE(SUBSTITUTE(IF(B68="","NONE",B68),"_","-"),"|","-"),"_","CS|",(VLOOKUP(C68,Dictionary!$Y:$Z,2,FALSE)),"_","CT|",(VLOOKUP(D68,Dictionary!$AE:$AF,2,FALSE)),IF(E68="","",CONCATENATE("_U1|",SUBSTITUTE(SUBSTITUTE(E68,"_","-"),"|","-"))),IF(F68="","",CONCATENATE("_U2|",SUBSTITUTE(SUBSTITUTE(F68,"_","-"),"|","-"))),IF(G68="","",CONCATENATE("_U3|",SUBSTITUTE(SUBSTITUTE(G68,"_","-"),"|","-")))))</f>
        <v>CV|DOTZ-10MIL-HUMANIZADO_CS|120x600_CT|HTML5</v>
      </c>
    </row>
    <row r="69" ht="15.75" customHeight="1">
      <c r="A69" s="66"/>
      <c r="B69" s="79" t="s">
        <v>110</v>
      </c>
      <c r="C69" s="14" t="s">
        <v>103</v>
      </c>
      <c r="D69" s="83" t="s">
        <v>124</v>
      </c>
      <c r="E69" s="79"/>
      <c r="G69" s="66"/>
      <c r="H69" s="33" t="str">
        <f>IF(C69="----","#N/A",CONCATENATE("CV|",SUBSTITUTE(SUBSTITUTE(IF(B69="","NONE",B69),"_","-"),"|","-"),"_","CS|",(VLOOKUP(C69,Dictionary!$Y:$Z,2,FALSE)),"_","CT|",(VLOOKUP(D69,Dictionary!$AE:$AF,2,FALSE)),IF(E69="","",CONCATENATE("_U1|",SUBSTITUTE(SUBSTITUTE(E69,"_","-"),"|","-"))),IF(F69="","",CONCATENATE("_U2|",SUBSTITUTE(SUBSTITUTE(F69,"_","-"),"|","-"))),IF(G69="","",CONCATENATE("_U3|",SUBSTITUTE(SUBSTITUTE(G69,"_","-"),"|","-")))))</f>
        <v>CV|DOTZ-10MIL-HUMANIZADO_CS|160x600_CT|HTML5</v>
      </c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 ht="15.75" customHeight="1">
      <c r="A70" s="66"/>
      <c r="B70" s="79" t="s">
        <v>110</v>
      </c>
      <c r="C70" s="14" t="s">
        <v>104</v>
      </c>
      <c r="D70" s="83" t="s">
        <v>124</v>
      </c>
      <c r="E70" s="79"/>
      <c r="G70" s="66"/>
      <c r="H70" s="33" t="str">
        <f>IF(C70="----","#N/A",CONCATENATE("CV|",SUBSTITUTE(SUBSTITUTE(IF(B70="","NONE",B70),"_","-"),"|","-"),"_","CS|",(VLOOKUP(C70,Dictionary!$Y:$Z,2,FALSE)),"_","CT|",(VLOOKUP(D70,Dictionary!$AE:$AF,2,FALSE)),IF(E70="","",CONCATENATE("_U1|",SUBSTITUTE(SUBSTITUTE(E70,"_","-"),"|","-"))),IF(F70="","",CONCATENATE("_U2|",SUBSTITUTE(SUBSTITUTE(F70,"_","-"),"|","-"))),IF(G70="","",CONCATENATE("_U3|",SUBSTITUTE(SUBSTITUTE(G70,"_","-"),"|","-")))))</f>
        <v>CV|DOTZ-10MIL-HUMANIZADO_CS|300x250_CT|HTML5</v>
      </c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 ht="15.75" customHeight="1">
      <c r="A71" s="66"/>
      <c r="B71" s="79" t="s">
        <v>110</v>
      </c>
      <c r="C71" s="14" t="s">
        <v>105</v>
      </c>
      <c r="D71" s="83" t="s">
        <v>124</v>
      </c>
      <c r="E71" s="79"/>
      <c r="G71" s="66"/>
      <c r="H71" s="33" t="str">
        <f>IF(C71="----","#N/A",CONCATENATE("CV|",SUBSTITUTE(SUBSTITUTE(IF(B71="","NONE",B71),"_","-"),"|","-"),"_","CS|",(VLOOKUP(C71,Dictionary!$Y:$Z,2,FALSE)),"_","CT|",(VLOOKUP(D71,Dictionary!$AE:$AF,2,FALSE)),IF(E71="","",CONCATENATE("_U1|",SUBSTITUTE(SUBSTITUTE(E71,"_","-"),"|","-"))),IF(F71="","",CONCATENATE("_U2|",SUBSTITUTE(SUBSTITUTE(F71,"_","-"),"|","-"))),IF(G71="","",CONCATENATE("_U3|",SUBSTITUTE(SUBSTITUTE(G71,"_","-"),"|","-")))))</f>
        <v>CV|DOTZ-10MIL-HUMANIZADO_CS|300x600_CT|HTML5</v>
      </c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 ht="15.75" customHeight="1">
      <c r="A72" s="66"/>
      <c r="B72" s="79" t="s">
        <v>110</v>
      </c>
      <c r="C72" s="14" t="s">
        <v>107</v>
      </c>
      <c r="D72" s="83" t="s">
        <v>124</v>
      </c>
      <c r="E72" s="79"/>
      <c r="G72" s="66"/>
      <c r="H72" s="33" t="str">
        <f>IF(C72="----","#N/A",CONCATENATE("CV|",SUBSTITUTE(SUBSTITUTE(IF(B72="","NONE",B72),"_","-"),"|","-"),"_","CS|",(VLOOKUP(C72,Dictionary!$Y:$Z,2,FALSE)),"_","CT|",(VLOOKUP(D72,Dictionary!$AE:$AF,2,FALSE)),IF(E72="","",CONCATENATE("_U1|",SUBSTITUTE(SUBSTITUTE(E72,"_","-"),"|","-"))),IF(F72="","",CONCATENATE("_U2|",SUBSTITUTE(SUBSTITUTE(F72,"_","-"),"|","-"))),IF(G72="","",CONCATENATE("_U3|",SUBSTITUTE(SUBSTITUTE(G72,"_","-"),"|","-")))))</f>
        <v>CV|DOTZ-10MIL-HUMANIZADO_CS|320x50_CT|HTML5</v>
      </c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 ht="15.75" customHeight="1">
      <c r="A73" s="66"/>
      <c r="B73" s="79" t="s">
        <v>110</v>
      </c>
      <c r="C73" s="14" t="s">
        <v>108</v>
      </c>
      <c r="D73" s="83" t="s">
        <v>124</v>
      </c>
      <c r="E73" s="79"/>
      <c r="G73" s="66"/>
      <c r="H73" s="33" t="str">
        <f>IF(C73="----","#N/A",CONCATENATE("CV|",SUBSTITUTE(SUBSTITUTE(IF(B73="","NONE",B73),"_","-"),"|","-"),"_","CS|",(VLOOKUP(C73,Dictionary!$Y:$Z,2,FALSE)),"_","CT|",(VLOOKUP(D73,Dictionary!$AE:$AF,2,FALSE)),IF(E73="","",CONCATENATE("_U1|",SUBSTITUTE(SUBSTITUTE(E73,"_","-"),"|","-"))),IF(F73="","",CONCATENATE("_U2|",SUBSTITUTE(SUBSTITUTE(F73,"_","-"),"|","-"))),IF(G73="","",CONCATENATE("_U3|",SUBSTITUTE(SUBSTITUTE(G73,"_","-"),"|","-")))))</f>
        <v>CV|DOTZ-10MIL-HUMANIZADO_CS|320x100_CT|HTML5</v>
      </c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 ht="15.75" customHeight="1">
      <c r="A74" s="66"/>
      <c r="B74" s="79" t="s">
        <v>110</v>
      </c>
      <c r="C74" s="14" t="s">
        <v>109</v>
      </c>
      <c r="D74" s="83" t="s">
        <v>124</v>
      </c>
      <c r="E74" s="79"/>
      <c r="G74" s="66"/>
      <c r="H74" s="33" t="str">
        <f>IF(C74="----","#N/A",CONCATENATE("CV|",SUBSTITUTE(SUBSTITUTE(IF(B74="","NONE",B74),"_","-"),"|","-"),"_","CS|",(VLOOKUP(C74,Dictionary!$Y:$Z,2,FALSE)),"_","CT|",(VLOOKUP(D74,Dictionary!$AE:$AF,2,FALSE)),IF(E74="","",CONCATENATE("_U1|",SUBSTITUTE(SUBSTITUTE(E74,"_","-"),"|","-"))),IF(F74="","",CONCATENATE("_U2|",SUBSTITUTE(SUBSTITUTE(F74,"_","-"),"|","-"))),IF(G74="","",CONCATENATE("_U3|",SUBSTITUTE(SUBSTITUTE(G74,"_","-"),"|","-")))))</f>
        <v>CV|DOTZ-10MIL-HUMANIZADO_CS|728x90_CT|HTML5</v>
      </c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 ht="15.75" customHeight="1">
      <c r="A75" s="66"/>
      <c r="B75" s="79" t="s">
        <v>111</v>
      </c>
      <c r="C75" s="14" t="s">
        <v>102</v>
      </c>
      <c r="D75" s="83" t="s">
        <v>124</v>
      </c>
      <c r="E75" s="79"/>
      <c r="G75" s="66"/>
      <c r="H75" s="33" t="str">
        <f>IF(C75="----","#N/A",CONCATENATE("CV|",SUBSTITUTE(SUBSTITUTE(IF(B75="","NONE",B75),"_","-"),"|","-"),"_","CS|",(VLOOKUP(C75,Dictionary!$Y:$Z,2,FALSE)),"_","CT|",(VLOOKUP(D75,Dictionary!$AE:$AF,2,FALSE)),IF(E75="","",CONCATENATE("_U1|",SUBSTITUTE(SUBSTITUTE(E75,"_","-"),"|","-"))),IF(F75="","",CONCATENATE("_U2|",SUBSTITUTE(SUBSTITUTE(F75,"_","-"),"|","-"))),IF(G75="","",CONCATENATE("_U3|",SUBSTITUTE(SUBSTITUTE(G75,"_","-"),"|","-")))))</f>
        <v>CV|DOTZ-ZERO-ANUIDADE-HUMANIZADO_CS|120x600_CT|HTML5</v>
      </c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 ht="15.75" customHeight="1">
      <c r="A76" s="66"/>
      <c r="B76" s="79" t="s">
        <v>111</v>
      </c>
      <c r="C76" s="14" t="s">
        <v>103</v>
      </c>
      <c r="D76" s="83" t="s">
        <v>124</v>
      </c>
      <c r="E76" s="79"/>
      <c r="G76" s="66"/>
      <c r="H76" s="33" t="str">
        <f>IF(C76="----","#N/A",CONCATENATE("CV|",SUBSTITUTE(SUBSTITUTE(IF(B76="","NONE",B76),"_","-"),"|","-"),"_","CS|",(VLOOKUP(C76,Dictionary!$Y:$Z,2,FALSE)),"_","CT|",(VLOOKUP(D76,Dictionary!$AE:$AF,2,FALSE)),IF(E76="","",CONCATENATE("_U1|",SUBSTITUTE(SUBSTITUTE(E76,"_","-"),"|","-"))),IF(F76="","",CONCATENATE("_U2|",SUBSTITUTE(SUBSTITUTE(F76,"_","-"),"|","-"))),IF(G76="","",CONCATENATE("_U3|",SUBSTITUTE(SUBSTITUTE(G76,"_","-"),"|","-")))))</f>
        <v>CV|DOTZ-ZERO-ANUIDADE-HUMANIZADO_CS|160x600_CT|HTML5</v>
      </c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 ht="15.75" customHeight="1">
      <c r="A77" s="66"/>
      <c r="B77" s="79" t="s">
        <v>111</v>
      </c>
      <c r="C77" s="14" t="s">
        <v>104</v>
      </c>
      <c r="D77" s="83" t="s">
        <v>124</v>
      </c>
      <c r="E77" s="79"/>
      <c r="G77" s="66"/>
      <c r="H77" s="33" t="str">
        <f>IF(C77="----","#N/A",CONCATENATE("CV|",SUBSTITUTE(SUBSTITUTE(IF(B77="","NONE",B77),"_","-"),"|","-"),"_","CS|",(VLOOKUP(C77,Dictionary!$Y:$Z,2,FALSE)),"_","CT|",(VLOOKUP(D77,Dictionary!$AE:$AF,2,FALSE)),IF(E77="","",CONCATENATE("_U1|",SUBSTITUTE(SUBSTITUTE(E77,"_","-"),"|","-"))),IF(F77="","",CONCATENATE("_U2|",SUBSTITUTE(SUBSTITUTE(F77,"_","-"),"|","-"))),IF(G77="","",CONCATENATE("_U3|",SUBSTITUTE(SUBSTITUTE(G77,"_","-"),"|","-")))))</f>
        <v>CV|DOTZ-ZERO-ANUIDADE-HUMANIZADO_CS|300x250_CT|HTML5</v>
      </c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 ht="15.75" customHeight="1">
      <c r="B78" s="47" t="s">
        <v>111</v>
      </c>
      <c r="C78" s="14" t="s">
        <v>105</v>
      </c>
      <c r="D78" s="83" t="s">
        <v>124</v>
      </c>
      <c r="H78" s="33" t="str">
        <f>IF(C78="----","#N/A",CONCATENATE("CV|",SUBSTITUTE(SUBSTITUTE(IF(B78="","NONE",B78),"_","-"),"|","-"),"_","CS|",(VLOOKUP(C78,Dictionary!$Y:$Z,2,FALSE)),"_","CT|",(VLOOKUP(D78,Dictionary!$AE:$AF,2,FALSE)),IF(E78="","",CONCATENATE("_U1|",SUBSTITUTE(SUBSTITUTE(E78,"_","-"),"|","-"))),IF(F78="","",CONCATENATE("_U2|",SUBSTITUTE(SUBSTITUTE(F78,"_","-"),"|","-"))),IF(G78="","",CONCATENATE("_U3|",SUBSTITUTE(SUBSTITUTE(G78,"_","-"),"|","-")))))</f>
        <v>CV|DOTZ-ZERO-ANUIDADE-HUMANIZADO_CS|300x600_CT|HTML5</v>
      </c>
    </row>
    <row r="79" ht="15.75" customHeight="1">
      <c r="B79" s="14" t="s">
        <v>111</v>
      </c>
      <c r="C79" s="14" t="s">
        <v>107</v>
      </c>
      <c r="D79" s="83" t="s">
        <v>124</v>
      </c>
      <c r="H79" s="33" t="str">
        <f>IF(C79="----","#N/A",CONCATENATE("CV|",SUBSTITUTE(SUBSTITUTE(IF(B79="","NONE",B79),"_","-"),"|","-"),"_","CS|",(VLOOKUP(C79,Dictionary!$Y:$Z,2,FALSE)),"_","CT|",(VLOOKUP(D79,Dictionary!$AE:$AF,2,FALSE)),IF(E79="","",CONCATENATE("_U1|",SUBSTITUTE(SUBSTITUTE(E79,"_","-"),"|","-"))),IF(F79="","",CONCATENATE("_U2|",SUBSTITUTE(SUBSTITUTE(F79,"_","-"),"|","-"))),IF(G79="","",CONCATENATE("_U3|",SUBSTITUTE(SUBSTITUTE(G79,"_","-"),"|","-")))))</f>
        <v>CV|DOTZ-ZERO-ANUIDADE-HUMANIZADO_CS|320x50_CT|HTML5</v>
      </c>
    </row>
    <row r="80" ht="15.75" customHeight="1">
      <c r="B80" s="47" t="s">
        <v>111</v>
      </c>
      <c r="C80" s="14" t="s">
        <v>108</v>
      </c>
      <c r="D80" s="83" t="s">
        <v>124</v>
      </c>
      <c r="H80" s="33" t="str">
        <f>IF(C80="----","#N/A",CONCATENATE("CV|",SUBSTITUTE(SUBSTITUTE(IF(B80="","NONE",B80),"_","-"),"|","-"),"_","CS|",(VLOOKUP(C80,Dictionary!$Y:$Z,2,FALSE)),"_","CT|",(VLOOKUP(D80,Dictionary!$AE:$AF,2,FALSE)),IF(E80="","",CONCATENATE("_U1|",SUBSTITUTE(SUBSTITUTE(E80,"_","-"),"|","-"))),IF(F80="","",CONCATENATE("_U2|",SUBSTITUTE(SUBSTITUTE(F80,"_","-"),"|","-"))),IF(G80="","",CONCATENATE("_U3|",SUBSTITUTE(SUBSTITUTE(G80,"_","-"),"|","-")))))</f>
        <v>CV|DOTZ-ZERO-ANUIDADE-HUMANIZADO_CS|320x100_CT|HTML5</v>
      </c>
    </row>
    <row r="81" ht="15.75" customHeight="1">
      <c r="B81" s="14" t="s">
        <v>111</v>
      </c>
      <c r="C81" s="14" t="s">
        <v>109</v>
      </c>
      <c r="D81" s="83" t="s">
        <v>124</v>
      </c>
      <c r="H81" s="33" t="str">
        <f>IF(C81="----","#N/A",CONCATENATE("CV|",SUBSTITUTE(SUBSTITUTE(IF(B81="","NONE",B81),"_","-"),"|","-"),"_","CS|",(VLOOKUP(C81,Dictionary!$Y:$Z,2,FALSE)),"_","CT|",(VLOOKUP(D81,Dictionary!$AE:$AF,2,FALSE)),IF(E81="","",CONCATENATE("_U1|",SUBSTITUTE(SUBSTITUTE(E81,"_","-"),"|","-"))),IF(F81="","",CONCATENATE("_U2|",SUBSTITUTE(SUBSTITUTE(F81,"_","-"),"|","-"))),IF(G81="","",CONCATENATE("_U3|",SUBSTITUTE(SUBSTITUTE(G81,"_","-"),"|","-")))))</f>
        <v>CV|DOTZ-ZERO-ANUIDADE-HUMANIZADO_CS|728x90_CT|HTML5</v>
      </c>
    </row>
    <row r="82" ht="15.75" customHeight="1">
      <c r="B82" s="14" t="s">
        <v>112</v>
      </c>
      <c r="C82" s="14" t="s">
        <v>102</v>
      </c>
      <c r="D82" s="83" t="s">
        <v>124</v>
      </c>
      <c r="H82" s="33" t="str">
        <f>IF(C82="----","#N/A",CONCATENATE("CV|",SUBSTITUTE(SUBSTITUTE(IF(B82="","NONE",B82),"_","-"),"|","-"),"_","CS|",(VLOOKUP(C82,Dictionary!$Y:$Z,2,FALSE)),"_","CT|",(VLOOKUP(D82,Dictionary!$AE:$AF,2,FALSE)),IF(E82="","",CONCATENATE("_U1|",SUBSTITUTE(SUBSTITUTE(E82,"_","-"),"|","-"))),IF(F82="","",CONCATENATE("_U2|",SUBSTITUTE(SUBSTITUTE(F82,"_","-"),"|","-"))),IF(G82="","",CONCATENATE("_U3|",SUBSTITUTE(SUBSTITUTE(G82,"_","-"),"|","-")))))</f>
        <v>CV|DOTZ-ZERO-CONVERSAO-AZUL_CS|120x600_CT|HTML5</v>
      </c>
    </row>
    <row r="83" ht="15.75" customHeight="1">
      <c r="B83" s="14" t="s">
        <v>112</v>
      </c>
      <c r="C83" s="14" t="s">
        <v>103</v>
      </c>
      <c r="D83" s="83" t="s">
        <v>124</v>
      </c>
      <c r="H83" s="33" t="str">
        <f>IF(C83="----","#N/A",CONCATENATE("CV|",SUBSTITUTE(SUBSTITUTE(IF(B83="","NONE",B83),"_","-"),"|","-"),"_","CS|",(VLOOKUP(C83,Dictionary!$Y:$Z,2,FALSE)),"_","CT|",(VLOOKUP(D83,Dictionary!$AE:$AF,2,FALSE)),IF(E83="","",CONCATENATE("_U1|",SUBSTITUTE(SUBSTITUTE(E83,"_","-"),"|","-"))),IF(F83="","",CONCATENATE("_U2|",SUBSTITUTE(SUBSTITUTE(F83,"_","-"),"|","-"))),IF(G83="","",CONCATENATE("_U3|",SUBSTITUTE(SUBSTITUTE(G83,"_","-"),"|","-")))))</f>
        <v>CV|DOTZ-ZERO-CONVERSAO-AZUL_CS|160x600_CT|HTML5</v>
      </c>
    </row>
    <row r="84" ht="15.75" customHeight="1">
      <c r="B84" s="14" t="s">
        <v>112</v>
      </c>
      <c r="C84" s="14" t="s">
        <v>104</v>
      </c>
      <c r="D84" s="83" t="s">
        <v>124</v>
      </c>
      <c r="H84" s="33" t="str">
        <f>IF(C84="----","#N/A",CONCATENATE("CV|",SUBSTITUTE(SUBSTITUTE(IF(B84="","NONE",B84),"_","-"),"|","-"),"_","CS|",(VLOOKUP(C84,Dictionary!$Y:$Z,2,FALSE)),"_","CT|",(VLOOKUP(D84,Dictionary!$AE:$AF,2,FALSE)),IF(E84="","",CONCATENATE("_U1|",SUBSTITUTE(SUBSTITUTE(E84,"_","-"),"|","-"))),IF(F84="","",CONCATENATE("_U2|",SUBSTITUTE(SUBSTITUTE(F84,"_","-"),"|","-"))),IF(G84="","",CONCATENATE("_U3|",SUBSTITUTE(SUBSTITUTE(G84,"_","-"),"|","-")))))</f>
        <v>CV|DOTZ-ZERO-CONVERSAO-AZUL_CS|300x250_CT|HTML5</v>
      </c>
    </row>
    <row r="85" ht="15.75" customHeight="1">
      <c r="B85" s="14" t="s">
        <v>112</v>
      </c>
      <c r="C85" s="14" t="s">
        <v>105</v>
      </c>
      <c r="D85" s="83" t="s">
        <v>124</v>
      </c>
      <c r="H85" s="33" t="str">
        <f>IF(C85="----","#N/A",CONCATENATE("CV|",SUBSTITUTE(SUBSTITUTE(IF(B85="","NONE",B85),"_","-"),"|","-"),"_","CS|",(VLOOKUP(C85,Dictionary!$Y:$Z,2,FALSE)),"_","CT|",(VLOOKUP(D85,Dictionary!$AE:$AF,2,FALSE)),IF(E85="","",CONCATENATE("_U1|",SUBSTITUTE(SUBSTITUTE(E85,"_","-"),"|","-"))),IF(F85="","",CONCATENATE("_U2|",SUBSTITUTE(SUBSTITUTE(F85,"_","-"),"|","-"))),IF(G85="","",CONCATENATE("_U3|",SUBSTITUTE(SUBSTITUTE(G85,"_","-"),"|","-")))))</f>
        <v>CV|DOTZ-ZERO-CONVERSAO-AZUL_CS|300x600_CT|HTML5</v>
      </c>
    </row>
    <row r="86" ht="15.75" customHeight="1">
      <c r="B86" s="14" t="s">
        <v>112</v>
      </c>
      <c r="C86" s="14" t="s">
        <v>107</v>
      </c>
      <c r="D86" s="83" t="s">
        <v>124</v>
      </c>
      <c r="H86" s="33" t="str">
        <f>IF(C86="----","#N/A",CONCATENATE("CV|",SUBSTITUTE(SUBSTITUTE(IF(B86="","NONE",B86),"_","-"),"|","-"),"_","CS|",(VLOOKUP(C86,Dictionary!$Y:$Z,2,FALSE)),"_","CT|",(VLOOKUP(D86,Dictionary!$AE:$AF,2,FALSE)),IF(E86="","",CONCATENATE("_U1|",SUBSTITUTE(SUBSTITUTE(E86,"_","-"),"|","-"))),IF(F86="","",CONCATENATE("_U2|",SUBSTITUTE(SUBSTITUTE(F86,"_","-"),"|","-"))),IF(G86="","",CONCATENATE("_U3|",SUBSTITUTE(SUBSTITUTE(G86,"_","-"),"|","-")))))</f>
        <v>CV|DOTZ-ZERO-CONVERSAO-AZUL_CS|320x50_CT|HTML5</v>
      </c>
    </row>
    <row r="87" ht="15.75" customHeight="1">
      <c r="B87" s="14" t="s">
        <v>112</v>
      </c>
      <c r="C87" s="14" t="s">
        <v>108</v>
      </c>
      <c r="D87" s="83" t="s">
        <v>124</v>
      </c>
      <c r="H87" s="33" t="str">
        <f>IF(C87="----","#N/A",CONCATENATE("CV|",SUBSTITUTE(SUBSTITUTE(IF(B87="","NONE",B87),"_","-"),"|","-"),"_","CS|",(VLOOKUP(C87,Dictionary!$Y:$Z,2,FALSE)),"_","CT|",(VLOOKUP(D87,Dictionary!$AE:$AF,2,FALSE)),IF(E87="","",CONCATENATE("_U1|",SUBSTITUTE(SUBSTITUTE(E87,"_","-"),"|","-"))),IF(F87="","",CONCATENATE("_U2|",SUBSTITUTE(SUBSTITUTE(F87,"_","-"),"|","-"))),IF(G87="","",CONCATENATE("_U3|",SUBSTITUTE(SUBSTITUTE(G87,"_","-"),"|","-")))))</f>
        <v>CV|DOTZ-ZERO-CONVERSAO-AZUL_CS|320x100_CT|HTML5</v>
      </c>
    </row>
    <row r="88" ht="15.75" customHeight="1">
      <c r="B88" s="14" t="s">
        <v>112</v>
      </c>
      <c r="C88" s="14" t="s">
        <v>109</v>
      </c>
      <c r="D88" s="83" t="s">
        <v>124</v>
      </c>
      <c r="H88" s="33" t="str">
        <f>IF(C88="----","#N/A",CONCATENATE("CV|",SUBSTITUTE(SUBSTITUTE(IF(B88="","NONE",B88),"_","-"),"|","-"),"_","CS|",(VLOOKUP(C88,Dictionary!$Y:$Z,2,FALSE)),"_","CT|",(VLOOKUP(D88,Dictionary!$AE:$AF,2,FALSE)),IF(E88="","",CONCATENATE("_U1|",SUBSTITUTE(SUBSTITUTE(E88,"_","-"),"|","-"))),IF(F88="","",CONCATENATE("_U2|",SUBSTITUTE(SUBSTITUTE(F88,"_","-"),"|","-"))),IF(G88="","",CONCATENATE("_U3|",SUBSTITUTE(SUBSTITUTE(G88,"_","-"),"|","-")))))</f>
        <v>CV|DOTZ-ZERO-CONVERSAO-AZUL_CS|728x90_CT|HTML5</v>
      </c>
    </row>
    <row r="89" ht="15.75" customHeight="1">
      <c r="B89" s="14" t="s">
        <v>77</v>
      </c>
      <c r="C89" s="55" t="s">
        <v>102</v>
      </c>
      <c r="D89" s="83" t="s">
        <v>124</v>
      </c>
      <c r="H89" s="33" t="str">
        <f>IF(C89="----","#N/A",CONCATENATE("CV|",SUBSTITUTE(SUBSTITUTE(IF(B89="","NONE",B89),"_","-"),"|","-"),"_","CS|",(VLOOKUP(C89,Dictionary!$Y:$Z,2,FALSE)),"_","CT|",(VLOOKUP(D89,Dictionary!$AE:$AF,2,FALSE)),IF(E89="","",CONCATENATE("_U1|",SUBSTITUTE(SUBSTITUTE(E89,"_","-"),"|","-"))),IF(F89="","",CONCATENATE("_U2|",SUBSTITUTE(SUBSTITUTE(F89,"_","-"),"|","-"))),IF(G89="","",CONCATENATE("_U3|",SUBSTITUTE(SUBSTITUTE(G89,"_","-"),"|","-")))))</f>
        <v>CV|DOTZ-10MIL-AZUL_CS|120x600_CT|HTML5</v>
      </c>
    </row>
    <row r="90" ht="15.75" customHeight="1">
      <c r="B90" s="47" t="s">
        <v>77</v>
      </c>
      <c r="C90" s="14" t="s">
        <v>103</v>
      </c>
      <c r="D90" s="83" t="s">
        <v>124</v>
      </c>
      <c r="H90" s="33" t="str">
        <f>IF(C90="----","#N/A",CONCATENATE("CV|",SUBSTITUTE(SUBSTITUTE(IF(B90="","NONE",B90),"_","-"),"|","-"),"_","CS|",(VLOOKUP(C90,Dictionary!$Y:$Z,2,FALSE)),"_","CT|",(VLOOKUP(D90,Dictionary!$AE:$AF,2,FALSE)),IF(E90="","",CONCATENATE("_U1|",SUBSTITUTE(SUBSTITUTE(E90,"_","-"),"|","-"))),IF(F90="","",CONCATENATE("_U2|",SUBSTITUTE(SUBSTITUTE(F90,"_","-"),"|","-"))),IF(G90="","",CONCATENATE("_U3|",SUBSTITUTE(SUBSTITUTE(G90,"_","-"),"|","-")))))</f>
        <v>CV|DOTZ-10MIL-AZUL_CS|160x600_CT|HTML5</v>
      </c>
    </row>
    <row r="91" ht="15.75" customHeight="1">
      <c r="B91" s="14" t="s">
        <v>77</v>
      </c>
      <c r="C91" s="14" t="s">
        <v>104</v>
      </c>
      <c r="D91" s="83" t="s">
        <v>124</v>
      </c>
      <c r="H91" s="33" t="str">
        <f>IF(C91="----","#N/A",CONCATENATE("CV|",SUBSTITUTE(SUBSTITUTE(IF(B91="","NONE",B91),"_","-"),"|","-"),"_","CS|",(VLOOKUP(C91,Dictionary!$Y:$Z,2,FALSE)),"_","CT|",(VLOOKUP(D91,Dictionary!$AE:$AF,2,FALSE)),IF(E91="","",CONCATENATE("_U1|",SUBSTITUTE(SUBSTITUTE(E91,"_","-"),"|","-"))),IF(F91="","",CONCATENATE("_U2|",SUBSTITUTE(SUBSTITUTE(F91,"_","-"),"|","-"))),IF(G91="","",CONCATENATE("_U3|",SUBSTITUTE(SUBSTITUTE(G91,"_","-"),"|","-")))))</f>
        <v>CV|DOTZ-10MIL-AZUL_CS|300x250_CT|HTML5</v>
      </c>
    </row>
    <row r="92" ht="15.75" customHeight="1">
      <c r="B92" s="47" t="s">
        <v>77</v>
      </c>
      <c r="C92" s="14" t="s">
        <v>105</v>
      </c>
      <c r="D92" s="83" t="s">
        <v>124</v>
      </c>
      <c r="H92" s="33" t="str">
        <f>IF(C92="----","#N/A",CONCATENATE("CV|",SUBSTITUTE(SUBSTITUTE(IF(B92="","NONE",B92),"_","-"),"|","-"),"_","CS|",(VLOOKUP(C92,Dictionary!$Y:$Z,2,FALSE)),"_","CT|",(VLOOKUP(D92,Dictionary!$AE:$AF,2,FALSE)),IF(E92="","",CONCATENATE("_U1|",SUBSTITUTE(SUBSTITUTE(E92,"_","-"),"|","-"))),IF(F92="","",CONCATENATE("_U2|",SUBSTITUTE(SUBSTITUTE(F92,"_","-"),"|","-"))),IF(G92="","",CONCATENATE("_U3|",SUBSTITUTE(SUBSTITUTE(G92,"_","-"),"|","-")))))</f>
        <v>CV|DOTZ-10MIL-AZUL_CS|300x600_CT|HTML5</v>
      </c>
    </row>
    <row r="93" ht="15.75" customHeight="1">
      <c r="B93" s="47" t="s">
        <v>77</v>
      </c>
      <c r="C93" s="14" t="s">
        <v>107</v>
      </c>
      <c r="D93" s="83" t="s">
        <v>124</v>
      </c>
      <c r="H93" s="33" t="str">
        <f>IF(C93="----","#N/A",CONCATENATE("CV|",SUBSTITUTE(SUBSTITUTE(IF(B93="","NONE",B93),"_","-"),"|","-"),"_","CS|",(VLOOKUP(C93,Dictionary!$Y:$Z,2,FALSE)),"_","CT|",(VLOOKUP(D93,Dictionary!$AE:$AF,2,FALSE)),IF(E93="","",CONCATENATE("_U1|",SUBSTITUTE(SUBSTITUTE(E93,"_","-"),"|","-"))),IF(F93="","",CONCATENATE("_U2|",SUBSTITUTE(SUBSTITUTE(F93,"_","-"),"|","-"))),IF(G93="","",CONCATENATE("_U3|",SUBSTITUTE(SUBSTITUTE(G93,"_","-"),"|","-")))))</f>
        <v>CV|DOTZ-10MIL-AZUL_CS|320x50_CT|HTML5</v>
      </c>
    </row>
    <row r="94" ht="15.75" customHeight="1">
      <c r="B94" s="47" t="s">
        <v>77</v>
      </c>
      <c r="C94" s="14" t="s">
        <v>108</v>
      </c>
      <c r="D94" s="83" t="s">
        <v>124</v>
      </c>
      <c r="H94" s="33" t="str">
        <f>IF(C94="----","#N/A",CONCATENATE("CV|",SUBSTITUTE(SUBSTITUTE(IF(B94="","NONE",B94),"_","-"),"|","-"),"_","CS|",(VLOOKUP(C94,Dictionary!$Y:$Z,2,FALSE)),"_","CT|",(VLOOKUP(D94,Dictionary!$AE:$AF,2,FALSE)),IF(E94="","",CONCATENATE("_U1|",SUBSTITUTE(SUBSTITUTE(E94,"_","-"),"|","-"))),IF(F94="","",CONCATENATE("_U2|",SUBSTITUTE(SUBSTITUTE(F94,"_","-"),"|","-"))),IF(G94="","",CONCATENATE("_U3|",SUBSTITUTE(SUBSTITUTE(G94,"_","-"),"|","-")))))</f>
        <v>CV|DOTZ-10MIL-AZUL_CS|320x100_CT|HTML5</v>
      </c>
    </row>
    <row r="95" ht="15.75" customHeight="1">
      <c r="B95" s="47" t="s">
        <v>77</v>
      </c>
      <c r="C95" s="14" t="s">
        <v>109</v>
      </c>
      <c r="D95" s="83" t="s">
        <v>124</v>
      </c>
      <c r="H95" s="33" t="str">
        <f>IF(C95="----","#N/A",CONCATENATE("CV|",SUBSTITUTE(SUBSTITUTE(IF(B95="","NONE",B95),"_","-"),"|","-"),"_","CS|",(VLOOKUP(C95,Dictionary!$Y:$Z,2,FALSE)),"_","CT|",(VLOOKUP(D95,Dictionary!$AE:$AF,2,FALSE)),IF(E95="","",CONCATENATE("_U1|",SUBSTITUTE(SUBSTITUTE(E95,"_","-"),"|","-"))),IF(F95="","",CONCATENATE("_U2|",SUBSTITUTE(SUBSTITUTE(F95,"_","-"),"|","-"))),IF(G95="","",CONCATENATE("_U3|",SUBSTITUTE(SUBSTITUTE(G95,"_","-"),"|","-")))))</f>
        <v>CV|DOTZ-10MIL-AZUL_CS|728x90_CT|HTML5</v>
      </c>
    </row>
    <row r="96" ht="15.75" customHeight="1">
      <c r="B96" s="32" t="s">
        <v>83</v>
      </c>
      <c r="C96" s="14" t="s">
        <v>102</v>
      </c>
      <c r="D96" s="83" t="s">
        <v>124</v>
      </c>
      <c r="H96" s="33" t="str">
        <f>IF(C96="----","#N/A",CONCATENATE("CV|",SUBSTITUTE(SUBSTITUTE(IF(B96="","NONE",B96),"_","-"),"|","-"),"_","CS|",(VLOOKUP(C96,Dictionary!$Y:$Z,2,FALSE)),"_","CT|",(VLOOKUP(D96,Dictionary!$AE:$AF,2,FALSE)),IF(E96="","",CONCATENATE("_U1|",SUBSTITUTE(SUBSTITUTE(E96,"_","-"),"|","-"))),IF(F96="","",CONCATENATE("_U2|",SUBSTITUTE(SUBSTITUTE(F96,"_","-"),"|","-"))),IF(G96="","",CONCATENATE("_U3|",SUBSTITUTE(SUBSTITUTE(G96,"_","-"),"|","-")))))</f>
        <v>CV|DOTZ-ZERO-ANUIDADE-AZUL_CS|120x600_CT|HTML5</v>
      </c>
    </row>
    <row r="97" ht="15.75" customHeight="1">
      <c r="B97" s="32" t="s">
        <v>83</v>
      </c>
      <c r="C97" s="14" t="s">
        <v>103</v>
      </c>
      <c r="D97" s="83" t="s">
        <v>124</v>
      </c>
      <c r="H97" s="33" t="str">
        <f>IF(C97="----","#N/A",CONCATENATE("CV|",SUBSTITUTE(SUBSTITUTE(IF(B97="","NONE",B97),"_","-"),"|","-"),"_","CS|",(VLOOKUP(C97,Dictionary!$Y:$Z,2,FALSE)),"_","CT|",(VLOOKUP(D97,Dictionary!$AE:$AF,2,FALSE)),IF(E97="","",CONCATENATE("_U1|",SUBSTITUTE(SUBSTITUTE(E97,"_","-"),"|","-"))),IF(F97="","",CONCATENATE("_U2|",SUBSTITUTE(SUBSTITUTE(F97,"_","-"),"|","-"))),IF(G97="","",CONCATENATE("_U3|",SUBSTITUTE(SUBSTITUTE(G97,"_","-"),"|","-")))))</f>
        <v>CV|DOTZ-ZERO-ANUIDADE-AZUL_CS|160x600_CT|HTML5</v>
      </c>
    </row>
    <row r="98" ht="15.75" customHeight="1">
      <c r="B98" s="32" t="s">
        <v>83</v>
      </c>
      <c r="C98" s="14" t="s">
        <v>104</v>
      </c>
      <c r="D98" s="83" t="s">
        <v>124</v>
      </c>
      <c r="H98" s="33" t="str">
        <f>IF(C98="----","#N/A",CONCATENATE("CV|",SUBSTITUTE(SUBSTITUTE(IF(B98="","NONE",B98),"_","-"),"|","-"),"_","CS|",(VLOOKUP(C98,Dictionary!$Y:$Z,2,FALSE)),"_","CT|",(VLOOKUP(D98,Dictionary!$AE:$AF,2,FALSE)),IF(E98="","",CONCATENATE("_U1|",SUBSTITUTE(SUBSTITUTE(E98,"_","-"),"|","-"))),IF(F98="","",CONCATENATE("_U2|",SUBSTITUTE(SUBSTITUTE(F98,"_","-"),"|","-"))),IF(G98="","",CONCATENATE("_U3|",SUBSTITUTE(SUBSTITUTE(G98,"_","-"),"|","-")))))</f>
        <v>CV|DOTZ-ZERO-ANUIDADE-AZUL_CS|300x250_CT|HTML5</v>
      </c>
    </row>
    <row r="99" ht="15.75" customHeight="1">
      <c r="B99" s="32" t="s">
        <v>83</v>
      </c>
      <c r="C99" s="14" t="s">
        <v>105</v>
      </c>
      <c r="D99" s="83" t="s">
        <v>124</v>
      </c>
      <c r="H99" s="33" t="str">
        <f>IF(C99="----","#N/A",CONCATENATE("CV|",SUBSTITUTE(SUBSTITUTE(IF(B99="","NONE",B99),"_","-"),"|","-"),"_","CS|",(VLOOKUP(C99,Dictionary!$Y:$Z,2,FALSE)),"_","CT|",(VLOOKUP(D99,Dictionary!$AE:$AF,2,FALSE)),IF(E99="","",CONCATENATE("_U1|",SUBSTITUTE(SUBSTITUTE(E99,"_","-"),"|","-"))),IF(F99="","",CONCATENATE("_U2|",SUBSTITUTE(SUBSTITUTE(F99,"_","-"),"|","-"))),IF(G99="","",CONCATENATE("_U3|",SUBSTITUTE(SUBSTITUTE(G99,"_","-"),"|","-")))))</f>
        <v>CV|DOTZ-ZERO-ANUIDADE-AZUL_CS|300x600_CT|HTML5</v>
      </c>
    </row>
    <row r="100" ht="15.75" customHeight="1">
      <c r="B100" s="32" t="s">
        <v>83</v>
      </c>
      <c r="C100" s="14" t="s">
        <v>107</v>
      </c>
      <c r="D100" s="83" t="s">
        <v>124</v>
      </c>
      <c r="H100" s="33" t="str">
        <f>IF(C100="----","#N/A",CONCATENATE("CV|",SUBSTITUTE(SUBSTITUTE(IF(B100="","NONE",B100),"_","-"),"|","-"),"_","CS|",(VLOOKUP(C100,Dictionary!$Y:$Z,2,FALSE)),"_","CT|",(VLOOKUP(D100,Dictionary!$AE:$AF,2,FALSE)),IF(E100="","",CONCATENATE("_U1|",SUBSTITUTE(SUBSTITUTE(E100,"_","-"),"|","-"))),IF(F100="","",CONCATENATE("_U2|",SUBSTITUTE(SUBSTITUTE(F100,"_","-"),"|","-"))),IF(G100="","",CONCATENATE("_U3|",SUBSTITUTE(SUBSTITUTE(G100,"_","-"),"|","-")))))</f>
        <v>CV|DOTZ-ZERO-ANUIDADE-AZUL_CS|320x50_CT|HTML5</v>
      </c>
    </row>
    <row r="101" ht="15.75" customHeight="1">
      <c r="B101" s="32" t="s">
        <v>83</v>
      </c>
      <c r="C101" s="14" t="s">
        <v>108</v>
      </c>
      <c r="D101" s="83" t="s">
        <v>124</v>
      </c>
      <c r="H101" s="33" t="str">
        <f>IF(C101="----","#N/A",CONCATENATE("CV|",SUBSTITUTE(SUBSTITUTE(IF(B101="","NONE",B101),"_","-"),"|","-"),"_","CS|",(VLOOKUP(C101,Dictionary!$Y:$Z,2,FALSE)),"_","CT|",(VLOOKUP(D101,Dictionary!$AE:$AF,2,FALSE)),IF(E101="","",CONCATENATE("_U1|",SUBSTITUTE(SUBSTITUTE(E101,"_","-"),"|","-"))),IF(F101="","",CONCATENATE("_U2|",SUBSTITUTE(SUBSTITUTE(F101,"_","-"),"|","-"))),IF(G101="","",CONCATENATE("_U3|",SUBSTITUTE(SUBSTITUTE(G101,"_","-"),"|","-")))))</f>
        <v>CV|DOTZ-ZERO-ANUIDADE-AZUL_CS|320x100_CT|HTML5</v>
      </c>
    </row>
    <row r="102" ht="15.75" customHeight="1">
      <c r="B102" s="32" t="s">
        <v>83</v>
      </c>
      <c r="C102" s="14" t="s">
        <v>109</v>
      </c>
      <c r="D102" s="83" t="s">
        <v>124</v>
      </c>
      <c r="H102" s="33" t="str">
        <f>IF(C102="----","#N/A",CONCATENATE("CV|",SUBSTITUTE(SUBSTITUTE(IF(B102="","NONE",B102),"_","-"),"|","-"),"_","CS|",(VLOOKUP(C102,Dictionary!$Y:$Z,2,FALSE)),"_","CT|",(VLOOKUP(D102,Dictionary!$AE:$AF,2,FALSE)),IF(E102="","",CONCATENATE("_U1|",SUBSTITUTE(SUBSTITUTE(E102,"_","-"),"|","-"))),IF(F102="","",CONCATENATE("_U2|",SUBSTITUTE(SUBSTITUTE(F102,"_","-"),"|","-"))),IF(G102="","",CONCATENATE("_U3|",SUBSTITUTE(SUBSTITUTE(G102,"_","-"),"|","-")))))</f>
        <v>CV|DOTZ-ZERO-ANUIDADE-AZUL_CS|728x90_CT|HTML5</v>
      </c>
    </row>
    <row r="103" ht="15.75" customHeight="1">
      <c r="B103" s="47" t="s">
        <v>110</v>
      </c>
      <c r="C103" s="14" t="s">
        <v>102</v>
      </c>
      <c r="D103" s="83" t="s">
        <v>124</v>
      </c>
      <c r="H103" s="33" t="str">
        <f>IF(C103="----","#N/A",CONCATENATE("CV|",SUBSTITUTE(SUBSTITUTE(IF(B103="","NONE",B103),"_","-"),"|","-"),"_","CS|",(VLOOKUP(C103,Dictionary!$Y:$Z,2,FALSE)),"_","CT|",(VLOOKUP(D103,Dictionary!$AE:$AF,2,FALSE)),IF(E103="","",CONCATENATE("_U1|",SUBSTITUTE(SUBSTITUTE(E103,"_","-"),"|","-"))),IF(F103="","",CONCATENATE("_U2|",SUBSTITUTE(SUBSTITUTE(F103,"_","-"),"|","-"))),IF(G103="","",CONCATENATE("_U3|",SUBSTITUTE(SUBSTITUTE(G103,"_","-"),"|","-")))))</f>
        <v>CV|DOTZ-10MIL-HUMANIZADO_CS|120x600_CT|HTML5</v>
      </c>
    </row>
    <row r="104" ht="15.75" customHeight="1">
      <c r="B104" s="47" t="s">
        <v>110</v>
      </c>
      <c r="C104" s="14" t="s">
        <v>103</v>
      </c>
      <c r="D104" s="83" t="s">
        <v>124</v>
      </c>
      <c r="H104" s="33" t="str">
        <f>IF(C104="----","#N/A",CONCATENATE("CV|",SUBSTITUTE(SUBSTITUTE(IF(B104="","NONE",B104),"_","-"),"|","-"),"_","CS|",(VLOOKUP(C104,Dictionary!$Y:$Z,2,FALSE)),"_","CT|",(VLOOKUP(D104,Dictionary!$AE:$AF,2,FALSE)),IF(E104="","",CONCATENATE("_U1|",SUBSTITUTE(SUBSTITUTE(E104,"_","-"),"|","-"))),IF(F104="","",CONCATENATE("_U2|",SUBSTITUTE(SUBSTITUTE(F104,"_","-"),"|","-"))),IF(G104="","",CONCATENATE("_U3|",SUBSTITUTE(SUBSTITUTE(G104,"_","-"),"|","-")))))</f>
        <v>CV|DOTZ-10MIL-HUMANIZADO_CS|160x600_CT|HTML5</v>
      </c>
    </row>
    <row r="105" ht="15.75" customHeight="1">
      <c r="B105" s="47" t="s">
        <v>110</v>
      </c>
      <c r="C105" s="14" t="s">
        <v>104</v>
      </c>
      <c r="D105" s="83" t="s">
        <v>124</v>
      </c>
      <c r="H105" s="33" t="str">
        <f>IF(C105="----","#N/A",CONCATENATE("CV|",SUBSTITUTE(SUBSTITUTE(IF(B105="","NONE",B105),"_","-"),"|","-"),"_","CS|",(VLOOKUP(C105,Dictionary!$Y:$Z,2,FALSE)),"_","CT|",(VLOOKUP(D105,Dictionary!$AE:$AF,2,FALSE)),IF(E105="","",CONCATENATE("_U1|",SUBSTITUTE(SUBSTITUTE(E105,"_","-"),"|","-"))),IF(F105="","",CONCATENATE("_U2|",SUBSTITUTE(SUBSTITUTE(F105,"_","-"),"|","-"))),IF(G105="","",CONCATENATE("_U3|",SUBSTITUTE(SUBSTITUTE(G105,"_","-"),"|","-")))))</f>
        <v>CV|DOTZ-10MIL-HUMANIZADO_CS|300x250_CT|HTML5</v>
      </c>
    </row>
    <row r="106" ht="15.75" customHeight="1">
      <c r="B106" s="47" t="s">
        <v>110</v>
      </c>
      <c r="C106" s="14" t="s">
        <v>105</v>
      </c>
      <c r="D106" s="83" t="s">
        <v>124</v>
      </c>
      <c r="H106" s="33" t="str">
        <f>IF(C106="----","#N/A",CONCATENATE("CV|",SUBSTITUTE(SUBSTITUTE(IF(B106="","NONE",B106),"_","-"),"|","-"),"_","CS|",(VLOOKUP(C106,Dictionary!$Y:$Z,2,FALSE)),"_","CT|",(VLOOKUP(D106,Dictionary!$AE:$AF,2,FALSE)),IF(E106="","",CONCATENATE("_U1|",SUBSTITUTE(SUBSTITUTE(E106,"_","-"),"|","-"))),IF(F106="","",CONCATENATE("_U2|",SUBSTITUTE(SUBSTITUTE(F106,"_","-"),"|","-"))),IF(G106="","",CONCATENATE("_U3|",SUBSTITUTE(SUBSTITUTE(G106,"_","-"),"|","-")))))</f>
        <v>CV|DOTZ-10MIL-HUMANIZADO_CS|300x600_CT|HTML5</v>
      </c>
    </row>
    <row r="107" ht="15.75" customHeight="1">
      <c r="B107" s="47" t="s">
        <v>110</v>
      </c>
      <c r="C107" s="14" t="s">
        <v>107</v>
      </c>
      <c r="D107" s="83" t="s">
        <v>124</v>
      </c>
      <c r="H107" s="33" t="str">
        <f>IF(C107="----","#N/A",CONCATENATE("CV|",SUBSTITUTE(SUBSTITUTE(IF(B107="","NONE",B107),"_","-"),"|","-"),"_","CS|",(VLOOKUP(C107,Dictionary!$Y:$Z,2,FALSE)),"_","CT|",(VLOOKUP(D107,Dictionary!$AE:$AF,2,FALSE)),IF(E107="","",CONCATENATE("_U1|",SUBSTITUTE(SUBSTITUTE(E107,"_","-"),"|","-"))),IF(F107="","",CONCATENATE("_U2|",SUBSTITUTE(SUBSTITUTE(F107,"_","-"),"|","-"))),IF(G107="","",CONCATENATE("_U3|",SUBSTITUTE(SUBSTITUTE(G107,"_","-"),"|","-")))))</f>
        <v>CV|DOTZ-10MIL-HUMANIZADO_CS|320x50_CT|HTML5</v>
      </c>
    </row>
    <row r="108" ht="15.75" customHeight="1">
      <c r="B108" s="47" t="s">
        <v>110</v>
      </c>
      <c r="C108" s="14" t="s">
        <v>108</v>
      </c>
      <c r="D108" s="83" t="s">
        <v>124</v>
      </c>
      <c r="H108" s="33" t="str">
        <f>IF(C108="----","#N/A",CONCATENATE("CV|",SUBSTITUTE(SUBSTITUTE(IF(B108="","NONE",B108),"_","-"),"|","-"),"_","CS|",(VLOOKUP(C108,Dictionary!$Y:$Z,2,FALSE)),"_","CT|",(VLOOKUP(D108,Dictionary!$AE:$AF,2,FALSE)),IF(E108="","",CONCATENATE("_U1|",SUBSTITUTE(SUBSTITUTE(E108,"_","-"),"|","-"))),IF(F108="","",CONCATENATE("_U2|",SUBSTITUTE(SUBSTITUTE(F108,"_","-"),"|","-"))),IF(G108="","",CONCATENATE("_U3|",SUBSTITUTE(SUBSTITUTE(G108,"_","-"),"|","-")))))</f>
        <v>CV|DOTZ-10MIL-HUMANIZADO_CS|320x100_CT|HTML5</v>
      </c>
    </row>
    <row r="109" ht="15.75" customHeight="1">
      <c r="B109" s="47" t="s">
        <v>110</v>
      </c>
      <c r="C109" s="14" t="s">
        <v>109</v>
      </c>
      <c r="D109" s="83" t="s">
        <v>124</v>
      </c>
      <c r="H109" s="33" t="str">
        <f>IF(C109="----","#N/A",CONCATENATE("CV|",SUBSTITUTE(SUBSTITUTE(IF(B109="","NONE",B109),"_","-"),"|","-"),"_","CS|",(VLOOKUP(C109,Dictionary!$Y:$Z,2,FALSE)),"_","CT|",(VLOOKUP(D109,Dictionary!$AE:$AF,2,FALSE)),IF(E109="","",CONCATENATE("_U1|",SUBSTITUTE(SUBSTITUTE(E109,"_","-"),"|","-"))),IF(F109="","",CONCATENATE("_U2|",SUBSTITUTE(SUBSTITUTE(F109,"_","-"),"|","-"))),IF(G109="","",CONCATENATE("_U3|",SUBSTITUTE(SUBSTITUTE(G109,"_","-"),"|","-")))))</f>
        <v>CV|DOTZ-10MIL-HUMANIZADO_CS|728x90_CT|HTML5</v>
      </c>
    </row>
    <row r="110" ht="15.75" customHeight="1">
      <c r="B110" s="47" t="s">
        <v>111</v>
      </c>
      <c r="C110" s="14" t="s">
        <v>102</v>
      </c>
      <c r="D110" s="83" t="s">
        <v>124</v>
      </c>
      <c r="H110" s="33" t="str">
        <f>IF(C110="----","#N/A",CONCATENATE("CV|",SUBSTITUTE(SUBSTITUTE(IF(B110="","NONE",B110),"_","-"),"|","-"),"_","CS|",(VLOOKUP(C110,Dictionary!$Y:$Z,2,FALSE)),"_","CT|",(VLOOKUP(D110,Dictionary!$AE:$AF,2,FALSE)),IF(E110="","",CONCATENATE("_U1|",SUBSTITUTE(SUBSTITUTE(E110,"_","-"),"|","-"))),IF(F110="","",CONCATENATE("_U2|",SUBSTITUTE(SUBSTITUTE(F110,"_","-"),"|","-"))),IF(G110="","",CONCATENATE("_U3|",SUBSTITUTE(SUBSTITUTE(G110,"_","-"),"|","-")))))</f>
        <v>CV|DOTZ-ZERO-ANUIDADE-HUMANIZADO_CS|120x600_CT|HTML5</v>
      </c>
    </row>
    <row r="111" ht="15.75" customHeight="1">
      <c r="B111" s="47" t="s">
        <v>111</v>
      </c>
      <c r="C111" s="14" t="s">
        <v>103</v>
      </c>
      <c r="D111" s="83" t="s">
        <v>124</v>
      </c>
      <c r="H111" s="33" t="str">
        <f>IF(C111="----","#N/A",CONCATENATE("CV|",SUBSTITUTE(SUBSTITUTE(IF(B111="","NONE",B111),"_","-"),"|","-"),"_","CS|",(VLOOKUP(C111,Dictionary!$Y:$Z,2,FALSE)),"_","CT|",(VLOOKUP(D111,Dictionary!$AE:$AF,2,FALSE)),IF(E111="","",CONCATENATE("_U1|",SUBSTITUTE(SUBSTITUTE(E111,"_","-"),"|","-"))),IF(F111="","",CONCATENATE("_U2|",SUBSTITUTE(SUBSTITUTE(F111,"_","-"),"|","-"))),IF(G111="","",CONCATENATE("_U3|",SUBSTITUTE(SUBSTITUTE(G111,"_","-"),"|","-")))))</f>
        <v>CV|DOTZ-ZERO-ANUIDADE-HUMANIZADO_CS|160x600_CT|HTML5</v>
      </c>
    </row>
    <row r="112" ht="15.75" customHeight="1">
      <c r="B112" s="47" t="s">
        <v>111</v>
      </c>
      <c r="C112" s="14" t="s">
        <v>104</v>
      </c>
      <c r="D112" s="83" t="s">
        <v>124</v>
      </c>
      <c r="H112" s="33" t="str">
        <f>IF(C112="----","#N/A",CONCATENATE("CV|",SUBSTITUTE(SUBSTITUTE(IF(B112="","NONE",B112),"_","-"),"|","-"),"_","CS|",(VLOOKUP(C112,Dictionary!$Y:$Z,2,FALSE)),"_","CT|",(VLOOKUP(D112,Dictionary!$AE:$AF,2,FALSE)),IF(E112="","",CONCATENATE("_U1|",SUBSTITUTE(SUBSTITUTE(E112,"_","-"),"|","-"))),IF(F112="","",CONCATENATE("_U2|",SUBSTITUTE(SUBSTITUTE(F112,"_","-"),"|","-"))),IF(G112="","",CONCATENATE("_U3|",SUBSTITUTE(SUBSTITUTE(G112,"_","-"),"|","-")))))</f>
        <v>CV|DOTZ-ZERO-ANUIDADE-HUMANIZADO_CS|300x250_CT|HTML5</v>
      </c>
    </row>
    <row r="113" ht="15.75" customHeight="1">
      <c r="B113" s="47" t="s">
        <v>111</v>
      </c>
      <c r="C113" s="14" t="s">
        <v>105</v>
      </c>
      <c r="D113" s="83" t="s">
        <v>124</v>
      </c>
      <c r="H113" s="33" t="str">
        <f>IF(C113="----","#N/A",CONCATENATE("CV|",SUBSTITUTE(SUBSTITUTE(IF(B113="","NONE",B113),"_","-"),"|","-"),"_","CS|",(VLOOKUP(C113,Dictionary!$Y:$Z,2,FALSE)),"_","CT|",(VLOOKUP(D113,Dictionary!$AE:$AF,2,FALSE)),IF(E113="","",CONCATENATE("_U1|",SUBSTITUTE(SUBSTITUTE(E113,"_","-"),"|","-"))),IF(F113="","",CONCATENATE("_U2|",SUBSTITUTE(SUBSTITUTE(F113,"_","-"),"|","-"))),IF(G113="","",CONCATENATE("_U3|",SUBSTITUTE(SUBSTITUTE(G113,"_","-"),"|","-")))))</f>
        <v>CV|DOTZ-ZERO-ANUIDADE-HUMANIZADO_CS|300x600_CT|HTML5</v>
      </c>
    </row>
    <row r="114" ht="15.75" customHeight="1">
      <c r="B114" s="47" t="s">
        <v>111</v>
      </c>
      <c r="C114" s="14" t="s">
        <v>107</v>
      </c>
      <c r="D114" s="83" t="s">
        <v>124</v>
      </c>
      <c r="H114" s="33" t="str">
        <f>IF(C114="----","#N/A",CONCATENATE("CV|",SUBSTITUTE(SUBSTITUTE(IF(B114="","NONE",B114),"_","-"),"|","-"),"_","CS|",(VLOOKUP(C114,Dictionary!$Y:$Z,2,FALSE)),"_","CT|",(VLOOKUP(D114,Dictionary!$AE:$AF,2,FALSE)),IF(E114="","",CONCATENATE("_U1|",SUBSTITUTE(SUBSTITUTE(E114,"_","-"),"|","-"))),IF(F114="","",CONCATENATE("_U2|",SUBSTITUTE(SUBSTITUTE(F114,"_","-"),"|","-"))),IF(G114="","",CONCATENATE("_U3|",SUBSTITUTE(SUBSTITUTE(G114,"_","-"),"|","-")))))</f>
        <v>CV|DOTZ-ZERO-ANUIDADE-HUMANIZADO_CS|320x50_CT|HTML5</v>
      </c>
    </row>
    <row r="115" ht="15.75" customHeight="1">
      <c r="B115" s="47" t="s">
        <v>111</v>
      </c>
      <c r="C115" s="14" t="s">
        <v>108</v>
      </c>
      <c r="D115" s="83" t="s">
        <v>124</v>
      </c>
      <c r="H115" s="33" t="str">
        <f>IF(C115="----","#N/A",CONCATENATE("CV|",SUBSTITUTE(SUBSTITUTE(IF(B115="","NONE",B115),"_","-"),"|","-"),"_","CS|",(VLOOKUP(C115,Dictionary!$Y:$Z,2,FALSE)),"_","CT|",(VLOOKUP(D115,Dictionary!$AE:$AF,2,FALSE)),IF(E115="","",CONCATENATE("_U1|",SUBSTITUTE(SUBSTITUTE(E115,"_","-"),"|","-"))),IF(F115="","",CONCATENATE("_U2|",SUBSTITUTE(SUBSTITUTE(F115,"_","-"),"|","-"))),IF(G115="","",CONCATENATE("_U3|",SUBSTITUTE(SUBSTITUTE(G115,"_","-"),"|","-")))))</f>
        <v>CV|DOTZ-ZERO-ANUIDADE-HUMANIZADO_CS|320x100_CT|HTML5</v>
      </c>
    </row>
    <row r="116" ht="15.75" customHeight="1">
      <c r="B116" s="47" t="s">
        <v>111</v>
      </c>
      <c r="C116" s="14" t="s">
        <v>109</v>
      </c>
      <c r="D116" s="83" t="s">
        <v>124</v>
      </c>
      <c r="H116" s="33" t="str">
        <f>IF(C116="----","#N/A",CONCATENATE("CV|",SUBSTITUTE(SUBSTITUTE(IF(B116="","NONE",B116),"_","-"),"|","-"),"_","CS|",(VLOOKUP(C116,Dictionary!$Y:$Z,2,FALSE)),"_","CT|",(VLOOKUP(D116,Dictionary!$AE:$AF,2,FALSE)),IF(E116="","",CONCATENATE("_U1|",SUBSTITUTE(SUBSTITUTE(E116,"_","-"),"|","-"))),IF(F116="","",CONCATENATE("_U2|",SUBSTITUTE(SUBSTITUTE(F116,"_","-"),"|","-"))),IF(G116="","",CONCATENATE("_U3|",SUBSTITUTE(SUBSTITUTE(G116,"_","-"),"|","-")))))</f>
        <v>CV|DOTZ-ZERO-ANUIDADE-HUMANIZADO_CS|728x90_CT|HTML5</v>
      </c>
    </row>
    <row r="117" ht="15.75" customHeight="1">
      <c r="B117" s="47" t="s">
        <v>112</v>
      </c>
      <c r="C117" s="14" t="s">
        <v>102</v>
      </c>
      <c r="D117" s="83" t="s">
        <v>124</v>
      </c>
      <c r="H117" s="33" t="str">
        <f>IF(C117="----","#N/A",CONCATENATE("CV|",SUBSTITUTE(SUBSTITUTE(IF(B117="","NONE",B117),"_","-"),"|","-"),"_","CS|",(VLOOKUP(C117,Dictionary!$Y:$Z,2,FALSE)),"_","CT|",(VLOOKUP(D117,Dictionary!$AE:$AF,2,FALSE)),IF(E117="","",CONCATENATE("_U1|",SUBSTITUTE(SUBSTITUTE(E117,"_","-"),"|","-"))),IF(F117="","",CONCATENATE("_U2|",SUBSTITUTE(SUBSTITUTE(F117,"_","-"),"|","-"))),IF(G117="","",CONCATENATE("_U3|",SUBSTITUTE(SUBSTITUTE(G117,"_","-"),"|","-")))))</f>
        <v>CV|DOTZ-ZERO-CONVERSAO-AZUL_CS|120x600_CT|HTML5</v>
      </c>
    </row>
    <row r="118" ht="15.75" customHeight="1">
      <c r="B118" s="47" t="s">
        <v>112</v>
      </c>
      <c r="C118" s="14" t="s">
        <v>103</v>
      </c>
      <c r="D118" s="83" t="s">
        <v>124</v>
      </c>
      <c r="H118" s="33" t="str">
        <f>IF(C118="----","#N/A",CONCATENATE("CV|",SUBSTITUTE(SUBSTITUTE(IF(B118="","NONE",B118),"_","-"),"|","-"),"_","CS|",(VLOOKUP(C118,Dictionary!$Y:$Z,2,FALSE)),"_","CT|",(VLOOKUP(D118,Dictionary!$AE:$AF,2,FALSE)),IF(E118="","",CONCATENATE("_U1|",SUBSTITUTE(SUBSTITUTE(E118,"_","-"),"|","-"))),IF(F118="","",CONCATENATE("_U2|",SUBSTITUTE(SUBSTITUTE(F118,"_","-"),"|","-"))),IF(G118="","",CONCATENATE("_U3|",SUBSTITUTE(SUBSTITUTE(G118,"_","-"),"|","-")))))</f>
        <v>CV|DOTZ-ZERO-CONVERSAO-AZUL_CS|160x600_CT|HTML5</v>
      </c>
    </row>
    <row r="119" ht="15.75" customHeight="1">
      <c r="B119" s="47" t="s">
        <v>112</v>
      </c>
      <c r="C119" s="14" t="s">
        <v>104</v>
      </c>
      <c r="D119" s="83" t="s">
        <v>124</v>
      </c>
      <c r="H119" s="33" t="str">
        <f>IF(C119="----","#N/A",CONCATENATE("CV|",SUBSTITUTE(SUBSTITUTE(IF(B119="","NONE",B119),"_","-"),"|","-"),"_","CS|",(VLOOKUP(C119,Dictionary!$Y:$Z,2,FALSE)),"_","CT|",(VLOOKUP(D119,Dictionary!$AE:$AF,2,FALSE)),IF(E119="","",CONCATENATE("_U1|",SUBSTITUTE(SUBSTITUTE(E119,"_","-"),"|","-"))),IF(F119="","",CONCATENATE("_U2|",SUBSTITUTE(SUBSTITUTE(F119,"_","-"),"|","-"))),IF(G119="","",CONCATENATE("_U3|",SUBSTITUTE(SUBSTITUTE(G119,"_","-"),"|","-")))))</f>
        <v>CV|DOTZ-ZERO-CONVERSAO-AZUL_CS|300x250_CT|HTML5</v>
      </c>
    </row>
    <row r="120" ht="15.75" customHeight="1">
      <c r="B120" s="47" t="s">
        <v>112</v>
      </c>
      <c r="C120" s="14" t="s">
        <v>105</v>
      </c>
      <c r="D120" s="83" t="s">
        <v>124</v>
      </c>
      <c r="H120" s="33" t="str">
        <f>IF(C120="----","#N/A",CONCATENATE("CV|",SUBSTITUTE(SUBSTITUTE(IF(B120="","NONE",B120),"_","-"),"|","-"),"_","CS|",(VLOOKUP(C120,Dictionary!$Y:$Z,2,FALSE)),"_","CT|",(VLOOKUP(D120,Dictionary!$AE:$AF,2,FALSE)),IF(E120="","",CONCATENATE("_U1|",SUBSTITUTE(SUBSTITUTE(E120,"_","-"),"|","-"))),IF(F120="","",CONCATENATE("_U2|",SUBSTITUTE(SUBSTITUTE(F120,"_","-"),"|","-"))),IF(G120="","",CONCATENATE("_U3|",SUBSTITUTE(SUBSTITUTE(G120,"_","-"),"|","-")))))</f>
        <v>CV|DOTZ-ZERO-CONVERSAO-AZUL_CS|300x600_CT|HTML5</v>
      </c>
    </row>
    <row r="121" ht="15.75" customHeight="1">
      <c r="B121" s="47" t="s">
        <v>112</v>
      </c>
      <c r="C121" s="14" t="s">
        <v>107</v>
      </c>
      <c r="D121" s="83" t="s">
        <v>124</v>
      </c>
      <c r="H121" s="33" t="str">
        <f>IF(C121="----","#N/A",CONCATENATE("CV|",SUBSTITUTE(SUBSTITUTE(IF(B121="","NONE",B121),"_","-"),"|","-"),"_","CS|",(VLOOKUP(C121,Dictionary!$Y:$Z,2,FALSE)),"_","CT|",(VLOOKUP(D121,Dictionary!$AE:$AF,2,FALSE)),IF(E121="","",CONCATENATE("_U1|",SUBSTITUTE(SUBSTITUTE(E121,"_","-"),"|","-"))),IF(F121="","",CONCATENATE("_U2|",SUBSTITUTE(SUBSTITUTE(F121,"_","-"),"|","-"))),IF(G121="","",CONCATENATE("_U3|",SUBSTITUTE(SUBSTITUTE(G121,"_","-"),"|","-")))))</f>
        <v>CV|DOTZ-ZERO-CONVERSAO-AZUL_CS|320x50_CT|HTML5</v>
      </c>
    </row>
    <row r="122" ht="15.75" customHeight="1">
      <c r="B122" s="47" t="s">
        <v>112</v>
      </c>
      <c r="C122" s="14" t="s">
        <v>108</v>
      </c>
      <c r="D122" s="83" t="s">
        <v>124</v>
      </c>
      <c r="H122" s="33" t="str">
        <f>IF(C122="----","#N/A",CONCATENATE("CV|",SUBSTITUTE(SUBSTITUTE(IF(B122="","NONE",B122),"_","-"),"|","-"),"_","CS|",(VLOOKUP(C122,Dictionary!$Y:$Z,2,FALSE)),"_","CT|",(VLOOKUP(D122,Dictionary!$AE:$AF,2,FALSE)),IF(E122="","",CONCATENATE("_U1|",SUBSTITUTE(SUBSTITUTE(E122,"_","-"),"|","-"))),IF(F122="","",CONCATENATE("_U2|",SUBSTITUTE(SUBSTITUTE(F122,"_","-"),"|","-"))),IF(G122="","",CONCATENATE("_U3|",SUBSTITUTE(SUBSTITUTE(G122,"_","-"),"|","-")))))</f>
        <v>CV|DOTZ-ZERO-CONVERSAO-AZUL_CS|320x100_CT|HTML5</v>
      </c>
    </row>
    <row r="123" ht="15.75" customHeight="1">
      <c r="B123" s="47" t="s">
        <v>112</v>
      </c>
      <c r="C123" s="14" t="s">
        <v>109</v>
      </c>
      <c r="D123" s="83" t="s">
        <v>124</v>
      </c>
      <c r="H123" s="33" t="str">
        <f>IF(C123="----","#N/A",CONCATENATE("CV|",SUBSTITUTE(SUBSTITUTE(IF(B123="","NONE",B123),"_","-"),"|","-"),"_","CS|",(VLOOKUP(C123,Dictionary!$Y:$Z,2,FALSE)),"_","CT|",(VLOOKUP(D123,Dictionary!$AE:$AF,2,FALSE)),IF(E123="","",CONCATENATE("_U1|",SUBSTITUTE(SUBSTITUTE(E123,"_","-"),"|","-"))),IF(F123="","",CONCATENATE("_U2|",SUBSTITUTE(SUBSTITUTE(F123,"_","-"),"|","-"))),IF(G123="","",CONCATENATE("_U3|",SUBSTITUTE(SUBSTITUTE(G123,"_","-"),"|","-")))))</f>
        <v>CV|DOTZ-ZERO-CONVERSAO-AZUL_CS|728x90_CT|HTML5</v>
      </c>
    </row>
    <row r="124" ht="15.75" customHeight="1">
      <c r="B124" s="51" t="s">
        <v>112</v>
      </c>
      <c r="C124" s="14" t="s">
        <v>113</v>
      </c>
      <c r="D124" s="83" t="s">
        <v>119</v>
      </c>
      <c r="H124" s="33" t="str">
        <f>IF(C124="----","#N/A",CONCATENATE("CV|",SUBSTITUTE(SUBSTITUTE(IF(B124="","NONE",B124),"_","-"),"|","-"),"_","CS|",(VLOOKUP(C124,Dictionary!$Y:$Z,2,FALSE)),"_","CT|",(VLOOKUP(D124,Dictionary!$AE:$AF,2,FALSE)),IF(E124="","",CONCATENATE("_U1|",SUBSTITUTE(SUBSTITUTE(E124,"_","-"),"|","-"))),IF(F124="","",CONCATENATE("_U2|",SUBSTITUTE(SUBSTITUTE(F124,"_","-"),"|","-"))),IF(G124="","",CONCATENATE("_U3|",SUBSTITUTE(SUBSTITUTE(G124,"_","-"),"|","-")))))</f>
        <v>CV|DOTZ-ZERO-CONVERSAO-AZUL_CS|1200x627_CT|NAT</v>
      </c>
    </row>
    <row r="125" ht="15.75" customHeight="1">
      <c r="B125" s="51" t="s">
        <v>112</v>
      </c>
      <c r="C125" s="14" t="s">
        <v>73</v>
      </c>
      <c r="D125" s="83" t="s">
        <v>119</v>
      </c>
      <c r="H125" s="33" t="str">
        <f>IF(C125="----","#N/A",CONCATENATE("CV|",SUBSTITUTE(SUBSTITUTE(IF(B125="","NONE",B125),"_","-"),"|","-"),"_","CS|",(VLOOKUP(C125,Dictionary!$Y:$Z,2,FALSE)),"_","CT|",(VLOOKUP(D125,Dictionary!$AE:$AF,2,FALSE)),IF(E125="","",CONCATENATE("_U1|",SUBSTITUTE(SUBSTITUTE(E125,"_","-"),"|","-"))),IF(F125="","",CONCATENATE("_U2|",SUBSTITUTE(SUBSTITUTE(F125,"_","-"),"|","-"))),IF(G125="","",CONCATENATE("_U3|",SUBSTITUTE(SUBSTITUTE(G125,"_","-"),"|","-")))))</f>
        <v>CV|DOTZ-ZERO-CONVERSAO-AZUL_CS|627x627_CT|NAT</v>
      </c>
    </row>
    <row r="126" ht="15.75" customHeight="1">
      <c r="B126" s="51" t="s">
        <v>111</v>
      </c>
      <c r="C126" s="14" t="s">
        <v>113</v>
      </c>
      <c r="D126" s="83" t="s">
        <v>119</v>
      </c>
      <c r="H126" s="33" t="str">
        <f>IF(C126="----","#N/A",CONCATENATE("CV|",SUBSTITUTE(SUBSTITUTE(IF(B126="","NONE",B126),"_","-"),"|","-"),"_","CS|",(VLOOKUP(C126,Dictionary!$Y:$Z,2,FALSE)),"_","CT|",(VLOOKUP(D126,Dictionary!$AE:$AF,2,FALSE)),IF(E126="","",CONCATENATE("_U1|",SUBSTITUTE(SUBSTITUTE(E126,"_","-"),"|","-"))),IF(F126="","",CONCATENATE("_U2|",SUBSTITUTE(SUBSTITUTE(F126,"_","-"),"|","-"))),IF(G126="","",CONCATENATE("_U3|",SUBSTITUTE(SUBSTITUTE(G126,"_","-"),"|","-")))))</f>
        <v>CV|DOTZ-ZERO-ANUIDADE-HUMANIZADO_CS|1200x627_CT|NAT</v>
      </c>
    </row>
    <row r="127" ht="15.75" customHeight="1">
      <c r="B127" s="51" t="s">
        <v>111</v>
      </c>
      <c r="C127" s="14" t="s">
        <v>73</v>
      </c>
      <c r="D127" s="83" t="s">
        <v>119</v>
      </c>
      <c r="H127" s="33" t="str">
        <f>IF(C127="----","#N/A",CONCATENATE("CV|",SUBSTITUTE(SUBSTITUTE(IF(B127="","NONE",B127),"_","-"),"|","-"),"_","CS|",(VLOOKUP(C127,Dictionary!$Y:$Z,2,FALSE)),"_","CT|",(VLOOKUP(D127,Dictionary!$AE:$AF,2,FALSE)),IF(E127="","",CONCATENATE("_U1|",SUBSTITUTE(SUBSTITUTE(E127,"_","-"),"|","-"))),IF(F127="","",CONCATENATE("_U2|",SUBSTITUTE(SUBSTITUTE(F127,"_","-"),"|","-"))),IF(G127="","",CONCATENATE("_U3|",SUBSTITUTE(SUBSTITUTE(G127,"_","-"),"|","-")))))</f>
        <v>CV|DOTZ-ZERO-ANUIDADE-HUMANIZADO_CS|627x627_CT|NAT</v>
      </c>
    </row>
    <row r="128" ht="15.75" customHeight="1">
      <c r="B128" s="51" t="s">
        <v>110</v>
      </c>
      <c r="C128" s="14" t="s">
        <v>113</v>
      </c>
      <c r="D128" s="83" t="s">
        <v>119</v>
      </c>
      <c r="H128" s="33" t="str">
        <f>IF(C128="----","#N/A",CONCATENATE("CV|",SUBSTITUTE(SUBSTITUTE(IF(B128="","NONE",B128),"_","-"),"|","-"),"_","CS|",(VLOOKUP(C128,Dictionary!$Y:$Z,2,FALSE)),"_","CT|",(VLOOKUP(D128,Dictionary!$AE:$AF,2,FALSE)),IF(E128="","",CONCATENATE("_U1|",SUBSTITUTE(SUBSTITUTE(E128,"_","-"),"|","-"))),IF(F128="","",CONCATENATE("_U2|",SUBSTITUTE(SUBSTITUTE(F128,"_","-"),"|","-"))),IF(G128="","",CONCATENATE("_U3|",SUBSTITUTE(SUBSTITUTE(G128,"_","-"),"|","-")))))</f>
        <v>CV|DOTZ-10MIL-HUMANIZADO_CS|1200x627_CT|NAT</v>
      </c>
    </row>
    <row r="129" ht="15.75" customHeight="1">
      <c r="B129" s="51" t="s">
        <v>110</v>
      </c>
      <c r="C129" s="14" t="s">
        <v>73</v>
      </c>
      <c r="D129" s="83" t="s">
        <v>119</v>
      </c>
      <c r="H129" s="33" t="str">
        <f>IF(C129="----","#N/A",CONCATENATE("CV|",SUBSTITUTE(SUBSTITUTE(IF(B129="","NONE",B129),"_","-"),"|","-"),"_","CS|",(VLOOKUP(C129,Dictionary!$Y:$Z,2,FALSE)),"_","CT|",(VLOOKUP(D129,Dictionary!$AE:$AF,2,FALSE)),IF(E129="","",CONCATENATE("_U1|",SUBSTITUTE(SUBSTITUTE(E129,"_","-"),"|","-"))),IF(F129="","",CONCATENATE("_U2|",SUBSTITUTE(SUBSTITUTE(F129,"_","-"),"|","-"))),IF(G129="","",CONCATENATE("_U3|",SUBSTITUTE(SUBSTITUTE(G129,"_","-"),"|","-")))))</f>
        <v>CV|DOTZ-10MIL-HUMANIZADO_CS|627x627_CT|NAT</v>
      </c>
    </row>
    <row r="130" ht="15.75" customHeight="1">
      <c r="B130" s="83" t="s">
        <v>114</v>
      </c>
      <c r="C130" s="14" t="s">
        <v>58</v>
      </c>
      <c r="D130" s="83" t="s">
        <v>120</v>
      </c>
      <c r="H130" s="33" t="str">
        <f>IF(C130="----","#N/A",CONCATENATE("CV|",SUBSTITUTE(SUBSTITUTE(IF(B130="","NONE",B130),"_","-"),"|","-"),"_","CS|",(VLOOKUP(C130,Dictionary!$Y:$Z,2,FALSE)),"_","CT|",(VLOOKUP(D130,Dictionary!$AE:$AF,2,FALSE)),IF(E130="","",CONCATENATE("_U1|",SUBSTITUTE(SUBSTITUTE(E130,"_","-"),"|","-"))),IF(F130="","",CONCATENATE("_U2|",SUBSTITUTE(SUBSTITUTE(F130,"_","-"),"|","-"))),IF(G130="","",CONCATENATE("_U3|",SUBSTITUTE(SUBSTITUTE(G130,"_","-"),"|","-")))))</f>
        <v>CV|DOTZ-DOLAR_CS|1x1_CT|FLA</v>
      </c>
    </row>
    <row r="131" ht="15.75" customHeight="1">
      <c r="B131" s="83" t="s">
        <v>114</v>
      </c>
      <c r="C131" s="14" t="s">
        <v>58</v>
      </c>
      <c r="D131" s="83" t="s">
        <v>123</v>
      </c>
      <c r="H131" s="33" t="str">
        <f>IF(C131="----","#N/A",CONCATENATE("CV|",SUBSTITUTE(SUBSTITUTE(IF(B131="","NONE",B131),"_","-"),"|","-"),"_","CS|",(VLOOKUP(C131,Dictionary!$Y:$Z,2,FALSE)),"_","CT|",(VLOOKUP(D131,Dictionary!$AE:$AF,2,FALSE)),IF(E131="","",CONCATENATE("_U1|",SUBSTITUTE(SUBSTITUTE(E131,"_","-"),"|","-"))),IF(F131="","",CONCATENATE("_U2|",SUBSTITUTE(SUBSTITUTE(F131,"_","-"),"|","-"))),IF(G131="","",CONCATENATE("_U3|",SUBSTITUTE(SUBSTITUTE(G131,"_","-"),"|","-")))))</f>
        <v>CV|DOTZ-DOLAR_CS|1x1_CT|INSSTORY</v>
      </c>
    </row>
    <row r="132" ht="15.75" customHeight="1">
      <c r="C132" s="14"/>
      <c r="D132" s="23"/>
    </row>
    <row r="133" ht="15.75" customHeight="1">
      <c r="C133" s="14"/>
      <c r="D133" s="23"/>
    </row>
    <row r="134" ht="15.75" customHeight="1">
      <c r="C134" s="14"/>
      <c r="D134" s="23"/>
    </row>
    <row r="135" ht="15.75" customHeight="1">
      <c r="C135" s="14"/>
      <c r="D135" s="23"/>
    </row>
    <row r="136" ht="15.75" customHeight="1">
      <c r="C136" s="14"/>
      <c r="D136" s="23"/>
    </row>
    <row r="137" ht="15.75" customHeight="1">
      <c r="C137" s="14"/>
      <c r="D137" s="23"/>
    </row>
    <row r="138" ht="15.75" customHeight="1">
      <c r="C138" s="14"/>
      <c r="D138" s="23"/>
    </row>
    <row r="139" ht="15.75" customHeight="1">
      <c r="C139" s="14"/>
      <c r="D139" s="23"/>
    </row>
    <row r="140" ht="15.75" customHeight="1">
      <c r="C140" s="14"/>
      <c r="D140" s="23"/>
    </row>
    <row r="141" ht="15.75" customHeight="1">
      <c r="C141" s="14"/>
      <c r="D141" s="23"/>
    </row>
    <row r="142" ht="15.75" customHeight="1">
      <c r="C142" s="14"/>
      <c r="D142" s="23"/>
    </row>
    <row r="143" ht="15.75" customHeight="1">
      <c r="C143" s="14"/>
      <c r="D143" s="23"/>
    </row>
    <row r="144" ht="15.75" customHeight="1">
      <c r="C144" s="14"/>
      <c r="D144" s="23"/>
    </row>
    <row r="145" ht="15.75" customHeight="1">
      <c r="C145" s="14"/>
      <c r="D145" s="23"/>
    </row>
    <row r="146" ht="15.75" customHeight="1">
      <c r="C146" s="14"/>
      <c r="D146" s="23"/>
    </row>
    <row r="147" ht="15.75" customHeight="1">
      <c r="C147" s="14"/>
      <c r="D147" s="23"/>
    </row>
    <row r="148" ht="15.75" customHeight="1">
      <c r="C148" s="14"/>
      <c r="D148" s="23"/>
    </row>
    <row r="149" ht="15.75" customHeight="1">
      <c r="C149" s="14"/>
      <c r="D149" s="23"/>
    </row>
    <row r="150" ht="15.75" customHeight="1">
      <c r="C150" s="14"/>
      <c r="D150" s="23"/>
    </row>
    <row r="151" ht="15.75" customHeight="1">
      <c r="C151" s="14"/>
      <c r="D151" s="23"/>
    </row>
    <row r="152" ht="15.75" customHeight="1">
      <c r="C152" s="14"/>
      <c r="D152" s="23"/>
    </row>
    <row r="153" ht="15.75" customHeight="1">
      <c r="C153" s="14"/>
      <c r="D153" s="23"/>
    </row>
    <row r="154" ht="15.75" customHeight="1">
      <c r="C154" s="14"/>
      <c r="D154" s="23"/>
    </row>
    <row r="155" ht="15.75" customHeight="1">
      <c r="C155" s="14"/>
      <c r="D155" s="23"/>
    </row>
    <row r="156" ht="15.75" customHeight="1">
      <c r="C156" s="14"/>
      <c r="D156" s="23"/>
    </row>
    <row r="157" ht="15.75" customHeight="1">
      <c r="C157" s="14"/>
      <c r="D157" s="23"/>
    </row>
    <row r="158" ht="15.75" customHeight="1">
      <c r="C158" s="14"/>
      <c r="D158" s="23"/>
    </row>
    <row r="159" ht="15.75" customHeight="1">
      <c r="C159" s="14"/>
      <c r="D159" s="23"/>
    </row>
    <row r="160" ht="15.75" customHeight="1">
      <c r="C160" s="14"/>
      <c r="D160" s="23"/>
    </row>
    <row r="161" ht="15.75" customHeight="1">
      <c r="C161" s="14"/>
      <c r="D161" s="23"/>
    </row>
    <row r="162" ht="15.75" customHeight="1">
      <c r="C162" s="14"/>
      <c r="D162" s="23"/>
    </row>
    <row r="163" ht="15.75" customHeight="1">
      <c r="C163" s="14"/>
      <c r="D163" s="23"/>
    </row>
    <row r="164" ht="15.75" customHeight="1">
      <c r="C164" s="14"/>
      <c r="D164" s="23"/>
    </row>
    <row r="165" ht="15.75" customHeight="1">
      <c r="C165" s="14"/>
      <c r="D165" s="23"/>
    </row>
    <row r="166" ht="15.75" customHeight="1">
      <c r="C166" s="14"/>
      <c r="D166" s="23"/>
    </row>
    <row r="167" ht="15.75" customHeight="1">
      <c r="C167" s="14"/>
      <c r="D167" s="23"/>
    </row>
    <row r="168" ht="15.75" customHeight="1">
      <c r="C168" s="14"/>
      <c r="D168" s="23"/>
    </row>
    <row r="169" ht="15.75" customHeight="1">
      <c r="C169" s="14"/>
      <c r="D169" s="23"/>
    </row>
    <row r="170" ht="15.75" customHeight="1">
      <c r="C170" s="14"/>
      <c r="D170" s="23"/>
    </row>
    <row r="171" ht="15.75" customHeight="1">
      <c r="C171" s="14"/>
      <c r="D171" s="23"/>
    </row>
    <row r="172" ht="15.75" customHeight="1">
      <c r="C172" s="14"/>
      <c r="D172" s="23"/>
    </row>
    <row r="173" ht="15.75" customHeight="1">
      <c r="C173" s="14"/>
      <c r="D173" s="23"/>
    </row>
    <row r="174" ht="15.75" customHeight="1">
      <c r="C174" s="14"/>
      <c r="D174" s="23"/>
    </row>
    <row r="175" ht="15.75" customHeight="1">
      <c r="C175" s="14"/>
      <c r="D175" s="23"/>
    </row>
    <row r="176" ht="15.75" customHeight="1">
      <c r="C176" s="14"/>
      <c r="D176" s="23"/>
    </row>
    <row r="177" ht="15.75" customHeight="1">
      <c r="C177" s="14"/>
      <c r="D177" s="23"/>
    </row>
    <row r="178" ht="15.75" customHeight="1">
      <c r="C178" s="14"/>
      <c r="D178" s="23"/>
    </row>
    <row r="179" ht="15.75" customHeight="1">
      <c r="C179" s="14"/>
      <c r="D179" s="23"/>
    </row>
    <row r="180" ht="15.75" customHeight="1">
      <c r="C180" s="14"/>
      <c r="D180" s="23"/>
    </row>
    <row r="181" ht="15.75" customHeight="1">
      <c r="C181" s="14"/>
      <c r="D181" s="23"/>
    </row>
    <row r="182" ht="15.75" customHeight="1">
      <c r="C182" s="14"/>
      <c r="D182" s="23"/>
    </row>
    <row r="183" ht="15.75" customHeight="1">
      <c r="C183" s="14"/>
      <c r="D183" s="23"/>
    </row>
    <row r="184" ht="15.75" customHeight="1">
      <c r="C184" s="14"/>
      <c r="D184" s="23"/>
    </row>
    <row r="185" ht="15.75" customHeight="1">
      <c r="C185" s="14"/>
      <c r="D185" s="23"/>
    </row>
    <row r="186" ht="15.75" customHeight="1">
      <c r="C186" s="14"/>
      <c r="D186" s="23"/>
    </row>
    <row r="187" ht="15.75" customHeight="1">
      <c r="C187" s="14"/>
      <c r="D187" s="23"/>
    </row>
    <row r="188" ht="15.75" customHeight="1">
      <c r="C188" s="14"/>
      <c r="D188" s="23"/>
    </row>
    <row r="189" ht="15.75" customHeight="1">
      <c r="C189" s="14"/>
      <c r="D189" s="23"/>
    </row>
    <row r="190" ht="15.75" customHeight="1">
      <c r="C190" s="14"/>
      <c r="D190" s="23"/>
    </row>
    <row r="191" ht="15.75" customHeight="1">
      <c r="C191" s="14"/>
      <c r="D191" s="23"/>
    </row>
    <row r="192" ht="15.75" customHeight="1">
      <c r="C192" s="14"/>
      <c r="D192" s="23"/>
    </row>
    <row r="193" ht="15.75" customHeight="1">
      <c r="C193" s="14"/>
      <c r="D193" s="23"/>
    </row>
    <row r="194" ht="15.75" customHeight="1">
      <c r="C194" s="14"/>
      <c r="D194" s="23"/>
    </row>
    <row r="195" ht="15.75" customHeight="1">
      <c r="C195" s="14"/>
      <c r="D195" s="23"/>
    </row>
    <row r="196" ht="15.75" customHeight="1">
      <c r="C196" s="14"/>
      <c r="D196" s="23"/>
    </row>
    <row r="197" ht="15.75" customHeight="1">
      <c r="C197" s="14"/>
      <c r="D197" s="23"/>
    </row>
    <row r="198" ht="15.75" customHeight="1">
      <c r="C198" s="14"/>
      <c r="D198" s="23"/>
    </row>
    <row r="199" ht="15.75" customHeight="1">
      <c r="C199" s="14"/>
      <c r="D199" s="23"/>
    </row>
    <row r="200" ht="15.75" customHeight="1">
      <c r="C200" s="14"/>
      <c r="D200" s="23"/>
    </row>
    <row r="201" ht="15.75" customHeight="1">
      <c r="C201" s="14"/>
      <c r="D201" s="23"/>
    </row>
    <row r="202" ht="15.75" customHeight="1">
      <c r="C202" s="14"/>
      <c r="D202" s="23"/>
    </row>
    <row r="203" ht="15.75" customHeight="1">
      <c r="C203" s="14"/>
      <c r="D203" s="23"/>
    </row>
    <row r="204" ht="15.75" customHeight="1">
      <c r="C204" s="14"/>
      <c r="D204" s="23"/>
    </row>
    <row r="205" ht="15.75" customHeight="1">
      <c r="C205" s="14"/>
      <c r="D205" s="23"/>
    </row>
    <row r="206" ht="15.75" customHeight="1">
      <c r="C206" s="14"/>
      <c r="D206" s="23"/>
    </row>
    <row r="207" ht="15.75" customHeight="1">
      <c r="C207" s="14"/>
      <c r="D207" s="23"/>
    </row>
    <row r="208" ht="15.75" customHeight="1">
      <c r="C208" s="14"/>
      <c r="D208" s="23"/>
    </row>
    <row r="209" ht="15.75" customHeight="1">
      <c r="C209" s="14"/>
      <c r="D209" s="23"/>
    </row>
    <row r="210" ht="15.75" customHeight="1">
      <c r="C210" s="14"/>
      <c r="D210" s="23"/>
    </row>
    <row r="211" ht="15.75" customHeight="1">
      <c r="C211" s="14"/>
      <c r="D211" s="23"/>
    </row>
    <row r="212" ht="15.75" customHeight="1">
      <c r="C212" s="14"/>
      <c r="D212" s="23"/>
    </row>
    <row r="213" ht="15.75" customHeight="1">
      <c r="C213" s="14"/>
      <c r="D213" s="23"/>
    </row>
    <row r="214" ht="15.75" customHeight="1">
      <c r="C214" s="14"/>
      <c r="D214" s="23"/>
    </row>
    <row r="215" ht="15.75" customHeight="1">
      <c r="C215" s="14"/>
      <c r="D215" s="23"/>
    </row>
    <row r="216" ht="15.75" customHeight="1">
      <c r="C216" s="14"/>
      <c r="D216" s="23"/>
    </row>
    <row r="217" ht="15.75" customHeight="1">
      <c r="C217" s="14"/>
      <c r="D217" s="23"/>
    </row>
    <row r="218" ht="15.75" customHeight="1">
      <c r="C218" s="14"/>
      <c r="D218" s="23"/>
    </row>
    <row r="219" ht="15.75" customHeight="1">
      <c r="C219" s="14"/>
      <c r="D219" s="23"/>
    </row>
    <row r="220" ht="15.75" customHeight="1">
      <c r="C220" s="14"/>
      <c r="D220" s="23"/>
    </row>
    <row r="221" ht="15.75" customHeight="1">
      <c r="C221" s="14"/>
      <c r="D221" s="23"/>
    </row>
  </sheetData>
  <customSheetViews>
    <customSheetView guid="{C64F0674-7985-47AF-A24A-BAAE135F2194}" filter="1" showAutoFilter="1">
      <autoFilter ref="$A$2:$H$2"/>
    </customSheetView>
  </customSheetViews>
  <mergeCells count="2">
    <mergeCell ref="B1:D1"/>
    <mergeCell ref="E1:G1"/>
  </mergeCells>
  <dataValidations>
    <dataValidation type="list" allowBlank="1" sqref="D3:D221">
      <formula1>Dictionary!$AE$4:$AE$53</formula1>
    </dataValidation>
    <dataValidation type="list" allowBlank="1" showErrorMessage="1" sqref="C3:C53 C130:C221">
      <formula1>Dictionary!$Y$4:$Y$634</formula1>
    </dataValidation>
    <dataValidation type="list" allowBlank="1" sqref="C54:C129">
      <formula1>Dictionary!$Y$4:$Y$640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86"/>
    <col customWidth="1" min="2" max="2" width="50.43"/>
    <col customWidth="1" min="3" max="3" width="33.43"/>
    <col customWidth="1" min="4" max="4" width="27.14"/>
    <col customWidth="1" min="5" max="5" width="24.86"/>
    <col customWidth="1" min="6" max="6" width="30.29"/>
    <col customWidth="1" min="7" max="7" width="14.43"/>
    <col customWidth="1" min="8" max="8" width="96.71"/>
  </cols>
  <sheetData>
    <row r="1" ht="15.75" customHeight="1">
      <c r="A1" s="1"/>
      <c r="B1" s="2" t="s">
        <v>0</v>
      </c>
      <c r="C1" s="3"/>
      <c r="D1" s="4"/>
      <c r="E1" s="73" t="s">
        <v>29</v>
      </c>
      <c r="F1" s="3"/>
      <c r="G1" s="4"/>
      <c r="H1" s="85" t="s">
        <v>2</v>
      </c>
    </row>
    <row r="2" ht="15.75" customHeight="1">
      <c r="A2" s="49" t="s">
        <v>3</v>
      </c>
      <c r="B2" s="86" t="s">
        <v>116</v>
      </c>
      <c r="C2" s="9" t="s">
        <v>117</v>
      </c>
      <c r="D2" s="87" t="s">
        <v>118</v>
      </c>
      <c r="E2" s="12" t="s">
        <v>12</v>
      </c>
      <c r="F2" s="12" t="s">
        <v>13</v>
      </c>
      <c r="G2" s="12" t="s">
        <v>14</v>
      </c>
    </row>
    <row r="3" ht="15.75" customHeight="1">
      <c r="A3" s="14">
        <v>2.35541867E8</v>
      </c>
      <c r="B3" s="14" t="s">
        <v>125</v>
      </c>
      <c r="C3" s="14" t="s">
        <v>58</v>
      </c>
      <c r="D3" s="14" t="s">
        <v>120</v>
      </c>
      <c r="E3" s="14" t="s">
        <v>126</v>
      </c>
      <c r="F3" s="14"/>
      <c r="G3" s="14"/>
      <c r="H3" s="33" t="str">
        <f>IF(C3="----","#N/A",CONCATENATE("CV|",SUBSTITUTE(SUBSTITUTE(IF(B3="","NONE",B3),"_","-"),"|","-"),"_","CS|",(VLOOKUP(C3,Dictionary!$Y:$Z,2,FALSE)),"_","CT|",(VLOOKUP(D3,Dictionary!$AE:$AF,2,FALSE)),IF(E3="","",CONCATENATE("_U1|",SUBSTITUTE(SUBSTITUTE(E3,"_","-"),"|","-"))),IF(F3="","",CONCATENATE("_U2|",SUBSTITUTE(SUBSTITUTE(F3,"_","-"),"|","-"))),IF(G3="","",CONCATENATE("_U3|",SUBSTITUTE(SUBSTITUTE(G3,"_","-"),"|","-")))))</f>
        <v>CV|VDV-MERCHANT-DECOLAR-15OFF_CS|1x1_CT|FLA_U1|FAMILIA-TRAPICHE</v>
      </c>
    </row>
    <row r="4" ht="15.75" customHeight="1">
      <c r="A4" s="14">
        <v>2.3902884E8</v>
      </c>
      <c r="B4" s="14" t="s">
        <v>127</v>
      </c>
      <c r="C4" s="14" t="s">
        <v>58</v>
      </c>
      <c r="D4" s="14" t="s">
        <v>122</v>
      </c>
      <c r="E4" s="14"/>
      <c r="F4" s="14"/>
      <c r="G4" s="14"/>
      <c r="H4" s="33" t="str">
        <f>IF(C4="----","#N/A",CONCATENATE("CV|",SUBSTITUTE(SUBSTITUTE(IF(B4="","NONE",B4),"_","-"),"|","-"),"_","CS|",(VLOOKUP(C4,Dictionary!$Y:$Z,2,FALSE)),"_","CT|",(VLOOKUP(D4,Dictionary!$AE:$AF,2,FALSE)),IF(E4="","",CONCATENATE("_U1|",SUBSTITUTE(SUBSTITUTE(E4,"_","-"),"|","-"))),IF(F4="","",CONCATENATE("_U2|",SUBSTITUTE(SUBSTITUTE(F4,"_","-"),"|","-"))),IF(G4="","",CONCATENATE("_U3|",SUBSTITUTE(SUBSTITUTE(G4,"_","-"),"|","-")))))</f>
        <v>CV|VDV-MERCHANT-GOL-REDES-SOCIAIS_CS|1x1_CT|FCR</v>
      </c>
    </row>
    <row r="5" ht="15.75" customHeight="1">
      <c r="A5" s="14">
        <v>2.40843175E8</v>
      </c>
      <c r="B5" s="14" t="s">
        <v>128</v>
      </c>
      <c r="C5" s="14" t="s">
        <v>73</v>
      </c>
      <c r="D5" s="14" t="s">
        <v>129</v>
      </c>
      <c r="E5" s="14"/>
      <c r="F5" s="14" t="s">
        <v>130</v>
      </c>
      <c r="G5" s="14"/>
      <c r="H5" s="33" t="str">
        <f>IF(C5="----","#N/A",CONCATENATE("CV|",SUBSTITUTE(SUBSTITUTE(IF(B5="","NONE",B5),"_","-"),"|","-"),"_","CS|",(VLOOKUP(C5,Dictionary!$Y:$Z,2,FALSE)),"_","CT|",(VLOOKUP(D5,Dictionary!$AE:$AF,2,FALSE)),IF(E5="","",CONCATENATE("_U1|",SUBSTITUTE(SUBSTITUTE(E5,"_","-"),"|","-"))),IF(F5="","",CONCATENATE("_U2|",SUBSTITUTE(SUBSTITUTE(F5,"_","-"),"|","-"))),IF(G5="","",CONCATENATE("_U3|",SUBSTITUTE(SUBSTITUTE(G5,"_","-"),"|","-")))))</f>
        <v>CV|VDV-MERCHANT-GOL_CS|627x627_CT|BAN_U2|VERIZON</v>
      </c>
    </row>
    <row r="6" ht="15.75" customHeight="1">
      <c r="A6" s="14">
        <v>2.42870616E8</v>
      </c>
      <c r="B6" s="14" t="s">
        <v>131</v>
      </c>
      <c r="C6" s="14" t="s">
        <v>107</v>
      </c>
      <c r="D6" s="14" t="s">
        <v>129</v>
      </c>
      <c r="E6" s="14"/>
      <c r="F6" s="14" t="s">
        <v>132</v>
      </c>
      <c r="G6" s="14"/>
      <c r="H6" s="33" t="str">
        <f>IF(C6="----","#N/A",CONCATENATE("CV|",SUBSTITUTE(SUBSTITUTE(IF(B6="","NONE",B6),"_","-"),"|","-"),"_","CS|",(VLOOKUP(C6,Dictionary!$Y:$Z,2,FALSE)),"_","CT|",(VLOOKUP(D6,Dictionary!$AE:$AF,2,FALSE)),IF(E6="","",CONCATENATE("_U1|",SUBSTITUTE(SUBSTITUTE(E6,"_","-"),"|","-"))),IF(F6="","",CONCATENATE("_U2|",SUBSTITUTE(SUBSTITUTE(F6,"_","-"),"|","-"))),IF(G6="","",CONCATENATE("_U3|",SUBSTITUTE(SUBSTITUTE(G6,"_","-"),"|","-")))))</f>
        <v>CV|VDV-MERCHANT-NATURA_CS|320x50_CT|BAN_U2|ADSMOVIL</v>
      </c>
    </row>
    <row r="7" ht="15.75" customHeight="1">
      <c r="A7" s="14">
        <v>2.45600938E8</v>
      </c>
      <c r="B7" s="14" t="s">
        <v>125</v>
      </c>
      <c r="C7" s="14" t="s">
        <v>58</v>
      </c>
      <c r="D7" s="14" t="s">
        <v>120</v>
      </c>
      <c r="E7" s="14" t="s">
        <v>133</v>
      </c>
      <c r="F7" s="14"/>
      <c r="G7" s="14"/>
      <c r="H7" s="33" t="str">
        <f>IF(C7="----","#N/A",CONCATENATE("CV|",SUBSTITUTE(SUBSTITUTE(IF(B7="","NONE",B7),"_","-"),"|","-"),"_","CS|",(VLOOKUP(C7,Dictionary!$Y:$Z,2,FALSE)),"_","CT|",(VLOOKUP(D7,Dictionary!$AE:$AF,2,FALSE)),IF(E7="","",CONCATENATE("_U1|",SUBSTITUTE(SUBSTITUTE(E7,"_","-"),"|","-"))),IF(F7="","",CONCATENATE("_U2|",SUBSTITUTE(SUBSTITUTE(F7,"_","-"),"|","-"))),IF(G7="","",CONCATENATE("_U3|",SUBSTITUTE(SUBSTITUTE(G7,"_","-"),"|","-")))))</f>
        <v>CV|VDV-MERCHANT-DECOLAR-15OFF_CS|1x1_CT|FLA_U1|PREDIOS</v>
      </c>
    </row>
    <row r="8" ht="15.75" customHeight="1">
      <c r="A8" s="14">
        <v>2.45600986E8</v>
      </c>
      <c r="B8" s="14" t="s">
        <v>125</v>
      </c>
      <c r="C8" s="14" t="s">
        <v>58</v>
      </c>
      <c r="D8" s="14" t="s">
        <v>120</v>
      </c>
      <c r="E8" s="14" t="s">
        <v>134</v>
      </c>
      <c r="F8" s="14"/>
      <c r="G8" s="14"/>
      <c r="H8" s="33" t="str">
        <f>IF(C8="----","#N/A",CONCATENATE("CV|",SUBSTITUTE(SUBSTITUTE(IF(B8="","NONE",B8),"_","-"),"|","-"),"_","CS|",(VLOOKUP(C8,Dictionary!$Y:$Z,2,FALSE)),"_","CT|",(VLOOKUP(D8,Dictionary!$AE:$AF,2,FALSE)),IF(E8="","",CONCATENATE("_U1|",SUBSTITUTE(SUBSTITUTE(E8,"_","-"),"|","-"))),IF(F8="","",CONCATENATE("_U2|",SUBSTITUTE(SUBSTITUTE(F8,"_","-"),"|","-"))),IF(G8="","",CONCATENATE("_U3|",SUBSTITUTE(SUBSTITUTE(G8,"_","-"),"|","-")))))</f>
        <v>CV|VDV-MERCHANT-DECOLAR-15OFF_CS|1x1_CT|FLA_U1|CAMPO</v>
      </c>
    </row>
    <row r="9" ht="15.75" customHeight="1">
      <c r="A9" s="14">
        <v>2.45601013E8</v>
      </c>
      <c r="B9" s="14" t="s">
        <v>125</v>
      </c>
      <c r="C9" s="14" t="s">
        <v>58</v>
      </c>
      <c r="D9" s="14" t="s">
        <v>120</v>
      </c>
      <c r="E9" s="14" t="s">
        <v>135</v>
      </c>
      <c r="F9" s="14"/>
      <c r="G9" s="14"/>
      <c r="H9" s="33" t="str">
        <f>IF(C9="----","#N/A",CONCATENATE("CV|",SUBSTITUTE(SUBSTITUTE(IF(B9="","NONE",B9),"_","-"),"|","-"),"_","CS|",(VLOOKUP(C9,Dictionary!$Y:$Z,2,FALSE)),"_","CT|",(VLOOKUP(D9,Dictionary!$AE:$AF,2,FALSE)),IF(E9="","",CONCATENATE("_U1|",SUBSTITUTE(SUBSTITUTE(E9,"_","-"),"|","-"))),IF(F9="","",CONCATENATE("_U2|",SUBSTITUTE(SUBSTITUTE(F9,"_","-"),"|","-"))),IF(G9="","",CONCATENATE("_U3|",SUBSTITUTE(SUBSTITUTE(G9,"_","-"),"|","-")))))</f>
        <v>CV|VDV-MERCHANT-DECOLAR-15OFF_CS|1x1_CT|FLA_U1|MAR</v>
      </c>
    </row>
    <row r="10" ht="15.75" customHeight="1">
      <c r="A10" s="14">
        <v>2.46942068E8</v>
      </c>
      <c r="B10" s="14" t="s">
        <v>136</v>
      </c>
      <c r="C10" s="14" t="s">
        <v>58</v>
      </c>
      <c r="D10" s="14" t="s">
        <v>120</v>
      </c>
      <c r="E10" s="14" t="s">
        <v>137</v>
      </c>
      <c r="F10" s="14"/>
      <c r="G10" s="14"/>
      <c r="H10" s="33" t="str">
        <f>IF(C10="----","#N/A",CONCATENATE("CV|",SUBSTITUTE(SUBSTITUTE(IF(B10="","NONE",B10),"_","-"),"|","-"),"_","CS|",(VLOOKUP(C10,Dictionary!$Y:$Z,2,FALSE)),"_","CT|",(VLOOKUP(D10,Dictionary!$AE:$AF,2,FALSE)),IF(E10="","",CONCATENATE("_U1|",SUBSTITUTE(SUBSTITUTE(E10,"_","-"),"|","-"))),IF(F10="","",CONCATENATE("_U2|",SUBSTITUTE(SUBSTITUTE(F10,"_","-"),"|","-"))),IF(G10="","",CONCATENATE("_U3|",SUBSTITUTE(SUBSTITUTE(G10,"_","-"),"|","-")))))</f>
        <v>CV|VDV-PROMONACIONAL_CS|1x1_CT|FLA_U1|AMARELO</v>
      </c>
    </row>
    <row r="11" ht="15.75" customHeight="1">
      <c r="A11" s="14">
        <v>2.48336396E8</v>
      </c>
      <c r="B11" s="14" t="s">
        <v>138</v>
      </c>
      <c r="C11" s="14" t="s">
        <v>58</v>
      </c>
      <c r="D11" s="14" t="s">
        <v>122</v>
      </c>
      <c r="E11" s="14" t="s">
        <v>139</v>
      </c>
      <c r="F11" s="14"/>
      <c r="G11" s="14"/>
      <c r="H11" s="33" t="str">
        <f>IF(C11="----","#N/A",CONCATENATE("CV|",SUBSTITUTE(SUBSTITUTE(IF(B11="","NONE",B11),"_","-"),"|","-"),"_","CS|",(VLOOKUP(C11,Dictionary!$Y:$Z,2,FALSE)),"_","CT|",(VLOOKUP(D11,Dictionary!$AE:$AF,2,FALSE)),IF(E11="","",CONCATENATE("_U1|",SUBSTITUTE(SUBSTITUTE(E11,"_","-"),"|","-"))),IF(F11="","",CONCATENATE("_U2|",SUBSTITUTE(SUBSTITUTE(F11,"_","-"),"|","-"))),IF(G11="","",CONCATENATE("_U3|",SUBSTITUTE(SUBSTITUTE(G11,"_","-"),"|","-")))))</f>
        <v>CV|VDV-MOVIDA_CS|1x1_CT|FCR_U1|OFERTAEDUCACIONAL</v>
      </c>
    </row>
    <row r="12" ht="15.75" customHeight="1">
      <c r="A12" s="14">
        <v>2.4913327E8</v>
      </c>
      <c r="B12" s="14" t="s">
        <v>136</v>
      </c>
      <c r="C12" s="14" t="s">
        <v>58</v>
      </c>
      <c r="D12" s="14" t="s">
        <v>123</v>
      </c>
      <c r="E12" s="14" t="s">
        <v>140</v>
      </c>
      <c r="F12" s="14"/>
      <c r="G12" s="14"/>
      <c r="H12" s="33" t="str">
        <f>IF(C12="----","#N/A",CONCATENATE("CV|",SUBSTITUTE(SUBSTITUTE(IF(B12="","NONE",B12),"_","-"),"|","-"),"_","CS|",(VLOOKUP(C12,Dictionary!$Y:$Z,2,FALSE)),"_","CT|",(VLOOKUP(D12,Dictionary!$AE:$AF,2,FALSE)),IF(E12="","",CONCATENATE("_U1|",SUBSTITUTE(SUBSTITUTE(E12,"_","-"),"|","-"))),IF(F12="","",CONCATENATE("_U2|",SUBSTITUTE(SUBSTITUTE(F12,"_","-"),"|","-"))),IF(G12="","",CONCATENATE("_U3|",SUBSTITUTE(SUBSTITUTE(G12,"_","-"),"|","-")))))</f>
        <v>CV|VDV-PROMONACIONAL_CS|1x1_CT|INSSTORY_U1|PAGUECOMVISA</v>
      </c>
    </row>
    <row r="13" ht="15.75" customHeight="1">
      <c r="A13" s="14">
        <v>2.49651979E8</v>
      </c>
      <c r="B13" s="14" t="s">
        <v>136</v>
      </c>
      <c r="C13" s="14" t="s">
        <v>58</v>
      </c>
      <c r="D13" s="14" t="s">
        <v>120</v>
      </c>
      <c r="E13" s="14" t="s">
        <v>141</v>
      </c>
      <c r="F13" s="14"/>
      <c r="G13" s="14"/>
      <c r="H13" s="33" t="str">
        <f>IF(C13="----","#N/A",CONCATENATE("CV|",SUBSTITUTE(SUBSTITUTE(IF(B13="","NONE",B13),"_","-"),"|","-"),"_","CS|",(VLOOKUP(C13,Dictionary!$Y:$Z,2,FALSE)),"_","CT|",(VLOOKUP(D13,Dictionary!$AE:$AF,2,FALSE)),IF(E13="","",CONCATENATE("_U1|",SUBSTITUTE(SUBSTITUTE(E13,"_","-"),"|","-"))),IF(F13="","",CONCATENATE("_U2|",SUBSTITUTE(SUBSTITUTE(F13,"_","-"),"|","-"))),IF(G13="","",CONCATENATE("_U3|",SUBSTITUTE(SUBSTITUTE(G13,"_","-"),"|","-")))))</f>
        <v>CV|VDV-PROMONACIONAL_CS|1x1_CT|FLA_U1|PARTICIPE</v>
      </c>
    </row>
    <row r="14" ht="15.75" customHeight="1">
      <c r="A14" s="14">
        <v>2.49651985E8</v>
      </c>
      <c r="B14" s="14" t="s">
        <v>136</v>
      </c>
      <c r="C14" s="14" t="s">
        <v>58</v>
      </c>
      <c r="D14" s="14" t="s">
        <v>122</v>
      </c>
      <c r="E14" s="14" t="s">
        <v>141</v>
      </c>
      <c r="F14" s="14"/>
      <c r="G14" s="14"/>
      <c r="H14" s="33" t="str">
        <f>IF(C14="----","#N/A",CONCATENATE("CV|",SUBSTITUTE(SUBSTITUTE(IF(B14="","NONE",B14),"_","-"),"|","-"),"_","CS|",(VLOOKUP(C14,Dictionary!$Y:$Z,2,FALSE)),"_","CT|",(VLOOKUP(D14,Dictionary!$AE:$AF,2,FALSE)),IF(E14="","",CONCATENATE("_U1|",SUBSTITUTE(SUBSTITUTE(E14,"_","-"),"|","-"))),IF(F14="","",CONCATENATE("_U2|",SUBSTITUTE(SUBSTITUTE(F14,"_","-"),"|","-"))),IF(G14="","",CONCATENATE("_U3|",SUBSTITUTE(SUBSTITUTE(G14,"_","-"),"|","-")))))</f>
        <v>CV|VDV-PROMONACIONAL_CS|1x1_CT|FCR_U1|PARTICIPE</v>
      </c>
    </row>
    <row r="15" ht="15.75" customHeight="1">
      <c r="A15" s="14">
        <v>2.49651991E8</v>
      </c>
      <c r="B15" s="14" t="s">
        <v>136</v>
      </c>
      <c r="C15" s="14" t="s">
        <v>58</v>
      </c>
      <c r="D15" s="14" t="s">
        <v>121</v>
      </c>
      <c r="E15" s="14" t="s">
        <v>142</v>
      </c>
      <c r="F15" s="14"/>
      <c r="G15" s="33"/>
      <c r="H15" s="33" t="str">
        <f>IF(C15="----","#N/A",CONCATENATE("CV|",SUBSTITUTE(SUBSTITUTE(IF(B15="","NONE",B15),"_","-"),"|","-"),"_","CS|",(VLOOKUP(C15,Dictionary!$Y:$Z,2,FALSE)),"_","CT|",(VLOOKUP(D15,Dictionary!$AE:$AF,2,FALSE)),IF(E15="","",CONCATENATE("_U1|",SUBSTITUTE(SUBSTITUTE(E15,"_","-"),"|","-"))),IF(F15="","",CONCATENATE("_U2|",SUBSTITUTE(SUBSTITUTE(F15,"_","-"),"|","-"))),IF(G15="","",CONCATENATE("_U3|",SUBSTITUTE(SUBSTITUTE(G15,"_","-"),"|","-")))))</f>
        <v>CV|VDV-PROMONACIONAL_CS|1x1_CT|FGIF_U1|CADASTRE-SE</v>
      </c>
    </row>
    <row r="16" ht="15.75" customHeight="1">
      <c r="A16" s="14">
        <v>2.4960913E8</v>
      </c>
      <c r="B16" s="14" t="s">
        <v>143</v>
      </c>
      <c r="C16" s="14" t="s">
        <v>58</v>
      </c>
      <c r="D16" s="14" t="s">
        <v>122</v>
      </c>
      <c r="E16" s="33"/>
      <c r="F16" s="14"/>
      <c r="G16" s="33"/>
      <c r="H16" s="33" t="str">
        <f>IF(C16="----","#N/A",CONCATENATE("CV|",SUBSTITUTE(SUBSTITUTE(IF(B16="","NONE",B16),"_","-"),"|","-"),"_","CS|",(VLOOKUP(C16,Dictionary!$Y:$Z,2,FALSE)),"_","CT|",(VLOOKUP(D16,Dictionary!$AE:$AF,2,FALSE)),IF(E16="","",CONCATENATE("_U1|",SUBSTITUTE(SUBSTITUTE(E16,"_","-"),"|","-"))),IF(F16="","",CONCATENATE("_U2|",SUBSTITUTE(SUBSTITUTE(F16,"_","-"),"|","-"))),IF(G16="","",CONCATENATE("_U3|",SUBSTITUTE(SUBSTITUTE(G16,"_","-"),"|","-")))))</f>
        <v>CV|VDV-MERCHANT-NETSHOES_CS|1x1_CT|FCR</v>
      </c>
    </row>
    <row r="17" ht="15.75" customHeight="1">
      <c r="A17" s="14">
        <v>2.49687215E8</v>
      </c>
      <c r="B17" s="14" t="s">
        <v>136</v>
      </c>
      <c r="C17" s="14" t="s">
        <v>144</v>
      </c>
      <c r="D17" s="14" t="s">
        <v>145</v>
      </c>
      <c r="E17" s="14" t="s">
        <v>146</v>
      </c>
      <c r="F17" s="14"/>
      <c r="G17" s="33"/>
      <c r="H17" s="33" t="str">
        <f>IF(C17="----","#N/A",CONCATENATE("CV|",SUBSTITUTE(SUBSTITUTE(IF(B17="","NONE",B17),"_","-"),"|","-"),"_","CS|",(VLOOKUP(C17,Dictionary!$Y:$Z,2,FALSE)),"_","CT|",(VLOOKUP(D17,Dictionary!$AE:$AF,2,FALSE)),IF(E17="","",CONCATENATE("_U1|",SUBSTITUTE(SUBSTITUTE(E17,"_","-"),"|","-"))),IF(F17="","",CONCATENATE("_U2|",SUBSTITUTE(SUBSTITUTE(F17,"_","-"),"|","-"))),IF(G17="","",CONCATENATE("_U3|",SUBSTITUTE(SUBSTITUTE(G17,"_","-"),"|","-")))))</f>
        <v>CV|VDV-PROMONACIONAL_CS|VID:6_CT|YTNSK_U1|BUMPER-AD</v>
      </c>
    </row>
    <row r="18" ht="15.75" customHeight="1">
      <c r="A18" s="14">
        <v>2.49663197E8</v>
      </c>
      <c r="B18" s="14" t="s">
        <v>136</v>
      </c>
      <c r="C18" s="14" t="s">
        <v>73</v>
      </c>
      <c r="D18" s="14" t="s">
        <v>129</v>
      </c>
      <c r="F18" s="14" t="s">
        <v>130</v>
      </c>
      <c r="G18" s="33"/>
      <c r="H18" s="33" t="str">
        <f>IF(C18="----","#N/A",CONCATENATE("CV|",SUBSTITUTE(SUBSTITUTE(IF(B18="","NONE",B18),"_","-"),"|","-"),"_","CS|",(VLOOKUP(C18,Dictionary!$Y:$Z,2,FALSE)),"_","CT|",(VLOOKUP(D18,Dictionary!$AE:$AF,2,FALSE)),IF(E18="","",CONCATENATE("_U1|",SUBSTITUTE(SUBSTITUTE(E18,"_","-"),"|","-"))),IF(F18="","",CONCATENATE("_U2|",SUBSTITUTE(SUBSTITUTE(F18,"_","-"),"|","-"))),IF(G18="","",CONCATENATE("_U3|",SUBSTITUTE(SUBSTITUTE(G18,"_","-"),"|","-")))))</f>
        <v>CV|VDV-PROMONACIONAL_CS|627x627_CT|BAN_U2|VERIZON</v>
      </c>
    </row>
    <row r="19" ht="15.75" customHeight="1">
      <c r="A19" s="14">
        <v>2.51011278E8</v>
      </c>
      <c r="B19" s="14" t="s">
        <v>136</v>
      </c>
      <c r="C19" s="14" t="s">
        <v>58</v>
      </c>
      <c r="D19" s="14" t="s">
        <v>121</v>
      </c>
      <c r="E19" s="14" t="s">
        <v>147</v>
      </c>
      <c r="F19" s="14"/>
      <c r="G19" s="33"/>
      <c r="H19" s="33" t="str">
        <f>IF(C19="----","#N/A",CONCATENATE("CV|",SUBSTITUTE(SUBSTITUTE(IF(B19="","NONE",B19),"_","-"),"|","-"),"_","CS|",(VLOOKUP(C19,Dictionary!$Y:$Z,2,FALSE)),"_","CT|",(VLOOKUP(D19,Dictionary!$AE:$AF,2,FALSE)),IF(E19="","",CONCATENATE("_U1|",SUBSTITUTE(SUBSTITUTE(E19,"_","-"),"|","-"))),IF(F19="","",CONCATENATE("_U2|",SUBSTITUTE(SUBSTITUTE(F19,"_","-"),"|","-"))),IF(G19="","",CONCATENATE("_U3|",SUBSTITUTE(SUBSTITUTE(G19,"_","-"),"|","-")))))</f>
        <v>CV|VDV-PROMONACIONAL_CS|1x1_CT|FGIF_U1|PRAIA-PARTICIPE</v>
      </c>
    </row>
    <row r="20" ht="15.75" customHeight="1">
      <c r="A20" s="14">
        <v>2.51011296E8</v>
      </c>
      <c r="B20" s="14" t="s">
        <v>136</v>
      </c>
      <c r="C20" s="14" t="s">
        <v>58</v>
      </c>
      <c r="D20" s="14" t="s">
        <v>120</v>
      </c>
      <c r="E20" s="14" t="s">
        <v>148</v>
      </c>
      <c r="F20" s="14"/>
      <c r="G20" s="33"/>
      <c r="H20" s="33" t="str">
        <f>IF(C20="----","#N/A",CONCATENATE("CV|",SUBSTITUTE(SUBSTITUTE(IF(B20="","NONE",B20),"_","-"),"|","-"),"_","CS|",(VLOOKUP(C20,Dictionary!$Y:$Z,2,FALSE)),"_","CT|",(VLOOKUP(D20,Dictionary!$AE:$AF,2,FALSE)),IF(E20="","",CONCATENATE("_U1|",SUBSTITUTE(SUBSTITUTE(E20,"_","-"),"|","-"))),IF(F20="","",CONCATENATE("_U2|",SUBSTITUTE(SUBSTITUTE(F20,"_","-"),"|","-"))),IF(G20="","",CONCATENATE("_U3|",SUBSTITUTE(SUBSTITUTE(G20,"_","-"),"|","-")))))</f>
        <v>CV|VDV-PROMONACIONAL_CS|1x1_CT|FLA_U1|CAMPING-CADASTRE-SE</v>
      </c>
    </row>
    <row r="21" ht="15.75" customHeight="1">
      <c r="A21" s="14">
        <v>2.51011302E8</v>
      </c>
      <c r="B21" s="14" t="s">
        <v>136</v>
      </c>
      <c r="C21" s="14" t="s">
        <v>58</v>
      </c>
      <c r="D21" s="14" t="s">
        <v>121</v>
      </c>
      <c r="E21" s="14" t="s">
        <v>148</v>
      </c>
      <c r="F21" s="14"/>
      <c r="G21" s="33"/>
      <c r="H21" s="33" t="str">
        <f>IF(C21="----","#N/A",CONCATENATE("CV|",SUBSTITUTE(SUBSTITUTE(IF(B21="","NONE",B21),"_","-"),"|","-"),"_","CS|",(VLOOKUP(C21,Dictionary!$Y:$Z,2,FALSE)),"_","CT|",(VLOOKUP(D21,Dictionary!$AE:$AF,2,FALSE)),IF(E21="","",CONCATENATE("_U1|",SUBSTITUTE(SUBSTITUTE(E21,"_","-"),"|","-"))),IF(F21="","",CONCATENATE("_U2|",SUBSTITUTE(SUBSTITUTE(F21,"_","-"),"|","-"))),IF(G21="","",CONCATENATE("_U3|",SUBSTITUTE(SUBSTITUTE(G21,"_","-"),"|","-")))))</f>
        <v>CV|VDV-PROMONACIONAL_CS|1x1_CT|FGIF_U1|CAMPING-CADASTRE-SE</v>
      </c>
    </row>
    <row r="22" ht="15.75" customHeight="1">
      <c r="A22" s="30">
        <v>2.51155108E8</v>
      </c>
      <c r="B22" s="14" t="s">
        <v>136</v>
      </c>
      <c r="C22" s="14" t="s">
        <v>73</v>
      </c>
      <c r="D22" s="14" t="s">
        <v>129</v>
      </c>
      <c r="E22" s="14" t="s">
        <v>134</v>
      </c>
      <c r="F22" s="14" t="s">
        <v>130</v>
      </c>
      <c r="G22" s="33"/>
      <c r="H22" s="33" t="str">
        <f>IF(C22="----","#N/A",CONCATENATE("CV|",SUBSTITUTE(SUBSTITUTE(IF(B22="","NONE",B22),"_","-"),"|","-"),"_","CS|",(VLOOKUP(C22,Dictionary!$Y:$Z,2,FALSE)),"_","CT|",(VLOOKUP(D22,Dictionary!$AE:$AF,2,FALSE)),IF(E22="","",CONCATENATE("_U1|",SUBSTITUTE(SUBSTITUTE(E22,"_","-"),"|","-"))),IF(F22="","",CONCATENATE("_U2|",SUBSTITUTE(SUBSTITUTE(F22,"_","-"),"|","-"))),IF(G22="","",CONCATENATE("_U3|",SUBSTITUTE(SUBSTITUTE(G22,"_","-"),"|","-")))))</f>
        <v>CV|VDV-PROMONACIONAL_CS|627x627_CT|BAN_U1|CAMPO_U2|VERIZON</v>
      </c>
    </row>
    <row r="23" ht="15.75" customHeight="1">
      <c r="A23" s="30">
        <v>2.51155096E8</v>
      </c>
      <c r="B23" s="14" t="s">
        <v>136</v>
      </c>
      <c r="C23" s="14" t="s">
        <v>73</v>
      </c>
      <c r="D23" s="14" t="s">
        <v>129</v>
      </c>
      <c r="E23" s="14" t="s">
        <v>149</v>
      </c>
      <c r="F23" s="14" t="s">
        <v>130</v>
      </c>
      <c r="G23" s="33"/>
      <c r="H23" s="33" t="str">
        <f>IF(C23="----","#N/A",CONCATENATE("CV|",SUBSTITUTE(SUBSTITUTE(IF(B23="","NONE",B23),"_","-"),"|","-"),"_","CS|",(VLOOKUP(C23,Dictionary!$Y:$Z,2,FALSE)),"_","CT|",(VLOOKUP(D23,Dictionary!$AE:$AF,2,FALSE)),IF(E23="","",CONCATENATE("_U1|",SUBSTITUTE(SUBSTITUTE(E23,"_","-"),"|","-"))),IF(F23="","",CONCATENATE("_U2|",SUBSTITUTE(SUBSTITUTE(F23,"_","-"),"|","-"))),IF(G23="","",CONCATENATE("_U3|",SUBSTITUTE(SUBSTITUTE(G23,"_","-"),"|","-")))))</f>
        <v>CV|VDV-PROMONACIONAL_CS|627x627_CT|BAN_U1|PRAIA_U2|VERIZON</v>
      </c>
    </row>
    <row r="24" ht="15.75" customHeight="1">
      <c r="A24" s="30">
        <v>2.51155096E8</v>
      </c>
      <c r="B24" s="14" t="s">
        <v>136</v>
      </c>
      <c r="C24" s="14" t="s">
        <v>73</v>
      </c>
      <c r="D24" s="14" t="s">
        <v>129</v>
      </c>
      <c r="E24" s="14" t="s">
        <v>149</v>
      </c>
      <c r="F24" s="14" t="s">
        <v>130</v>
      </c>
      <c r="G24" s="33"/>
      <c r="H24" s="33" t="str">
        <f>IF(C24="----","#N/A",CONCATENATE("CV|",SUBSTITUTE(SUBSTITUTE(IF(B24="","NONE",B24),"_","-"),"|","-"),"_","CS|",(VLOOKUP(C24,Dictionary!$Y:$Z,2,FALSE)),"_","CT|",(VLOOKUP(D24,Dictionary!$AE:$AF,2,FALSE)),IF(E24="","",CONCATENATE("_U1|",SUBSTITUTE(SUBSTITUTE(E24,"_","-"),"|","-"))),IF(F24="","",CONCATENATE("_U2|",SUBSTITUTE(SUBSTITUTE(F24,"_","-"),"|","-"))),IF(G24="","",CONCATENATE("_U3|",SUBSTITUTE(SUBSTITUTE(G24,"_","-"),"|","-")))))</f>
        <v>CV|VDV-PROMONACIONAL_CS|627x627_CT|BAN_U1|PRAIA_U2|VERIZON</v>
      </c>
    </row>
    <row r="25" ht="15.75" customHeight="1">
      <c r="A25" s="30">
        <v>2.51155108E8</v>
      </c>
      <c r="B25" s="14" t="s">
        <v>136</v>
      </c>
      <c r="C25" s="14" t="s">
        <v>73</v>
      </c>
      <c r="D25" s="14" t="s">
        <v>129</v>
      </c>
      <c r="E25" s="14" t="s">
        <v>134</v>
      </c>
      <c r="F25" s="14" t="s">
        <v>130</v>
      </c>
      <c r="G25" s="33"/>
      <c r="H25" s="33" t="str">
        <f>IF(C25="----","#N/A",CONCATENATE("CV|",SUBSTITUTE(SUBSTITUTE(IF(B25="","NONE",B25),"_","-"),"|","-"),"_","CS|",(VLOOKUP(C25,Dictionary!$Y:$Z,2,FALSE)),"_","CT|",(VLOOKUP(D25,Dictionary!$AE:$AF,2,FALSE)),IF(E25="","",CONCATENATE("_U1|",SUBSTITUTE(SUBSTITUTE(E25,"_","-"),"|","-"))),IF(F25="","",CONCATENATE("_U2|",SUBSTITUTE(SUBSTITUTE(F25,"_","-"),"|","-"))),IF(G25="","",CONCATENATE("_U3|",SUBSTITUTE(SUBSTITUTE(G25,"_","-"),"|","-")))))</f>
        <v>CV|VDV-PROMONACIONAL_CS|627x627_CT|BAN_U1|CAMPO_U2|VERIZON</v>
      </c>
    </row>
    <row r="26" ht="15.75" customHeight="1">
      <c r="A26" s="30">
        <v>2.51254944E8</v>
      </c>
      <c r="B26" s="14" t="s">
        <v>150</v>
      </c>
      <c r="C26" s="14" t="s">
        <v>58</v>
      </c>
      <c r="D26" s="14" t="s">
        <v>120</v>
      </c>
      <c r="E26" s="14" t="s">
        <v>151</v>
      </c>
      <c r="F26" s="14"/>
      <c r="G26" s="33"/>
      <c r="H26" s="33" t="str">
        <f>IF(C26="----","#N/A",CONCATENATE("CV|",SUBSTITUTE(SUBSTITUTE(IF(B26="","NONE",B26),"_","-"),"|","-"),"_","CS|",(VLOOKUP(C26,Dictionary!$Y:$Z,2,FALSE)),"_","CT|",(VLOOKUP(D26,Dictionary!$AE:$AF,2,FALSE)),IF(E26="","",CONCATENATE("_U1|",SUBSTITUTE(SUBSTITUTE(E26,"_","-"),"|","-"))),IF(F26="","",CONCATENATE("_U2|",SUBSTITUTE(SUBSTITUTE(F26,"_","-"),"|","-"))),IF(G26="","",CONCATENATE("_U3|",SUBSTITUTE(SUBSTITUTE(G26,"_","-"),"|","-")))))</f>
        <v>CV|VDV-MERCHANT-MOVIDA-20OFF_CS|1x1_CT|FLA_U1|QUADRADO</v>
      </c>
    </row>
    <row r="27" ht="15.75" customHeight="1">
      <c r="A27" s="30">
        <v>2.5127271E8</v>
      </c>
      <c r="B27" s="14" t="s">
        <v>150</v>
      </c>
      <c r="C27" s="14" t="s">
        <v>58</v>
      </c>
      <c r="D27" s="14" t="s">
        <v>120</v>
      </c>
      <c r="E27" s="14" t="s">
        <v>152</v>
      </c>
      <c r="F27" s="14"/>
      <c r="G27" s="33"/>
      <c r="H27" s="33" t="str">
        <f>IF(C27="----","#N/A",CONCATENATE("CV|",SUBSTITUTE(SUBSTITUTE(IF(B27="","NONE",B27),"_","-"),"|","-"),"_","CS|",(VLOOKUP(C27,Dictionary!$Y:$Z,2,FALSE)),"_","CT|",(VLOOKUP(D27,Dictionary!$AE:$AF,2,FALSE)),IF(E27="","",CONCATENATE("_U1|",SUBSTITUTE(SUBSTITUTE(E27,"_","-"),"|","-"))),IF(F27="","",CONCATENATE("_U2|",SUBSTITUTE(SUBSTITUTE(F27,"_","-"),"|","-"))),IF(G27="","",CONCATENATE("_U3|",SUBSTITUTE(SUBSTITUTE(G27,"_","-"),"|","-")))))</f>
        <v>CV|VDV-MERCHANT-MOVIDA-20OFF_CS|1x1_CT|FLA_U1|RETANGULAR</v>
      </c>
    </row>
    <row r="28" ht="15.75" customHeight="1">
      <c r="A28" s="30">
        <v>2.51270277E8</v>
      </c>
      <c r="B28" s="14" t="s">
        <v>150</v>
      </c>
      <c r="C28" s="14" t="s">
        <v>58</v>
      </c>
      <c r="D28" s="14" t="s">
        <v>122</v>
      </c>
      <c r="E28" s="33"/>
      <c r="F28" s="14"/>
      <c r="G28" s="33"/>
      <c r="H28" s="33" t="str">
        <f>IF(C28="----","#N/A",CONCATENATE("CV|",SUBSTITUTE(SUBSTITUTE(IF(B28="","NONE",B28),"_","-"),"|","-"),"_","CS|",(VLOOKUP(C28,Dictionary!$Y:$Z,2,FALSE)),"_","CT|",(VLOOKUP(D28,Dictionary!$AE:$AF,2,FALSE)),IF(E28="","",CONCATENATE("_U1|",SUBSTITUTE(SUBSTITUTE(E28,"_","-"),"|","-"))),IF(F28="","",CONCATENATE("_U2|",SUBSTITUTE(SUBSTITUTE(F28,"_","-"),"|","-"))),IF(G28="","",CONCATENATE("_U3|",SUBSTITUTE(SUBSTITUTE(G28,"_","-"),"|","-")))))</f>
        <v>CV|VDV-MERCHANT-MOVIDA-20OFF_CS|1x1_CT|FCR</v>
      </c>
    </row>
    <row r="29" ht="15.75" customHeight="1">
      <c r="A29" s="30">
        <v>2.51272737E8</v>
      </c>
      <c r="B29" s="14" t="s">
        <v>150</v>
      </c>
      <c r="C29" s="14" t="s">
        <v>58</v>
      </c>
      <c r="D29" s="14" t="s">
        <v>123</v>
      </c>
      <c r="E29" s="33"/>
      <c r="F29" s="14"/>
      <c r="G29" s="33"/>
      <c r="H29" s="33" t="str">
        <f>IF(C29="----","#N/A",CONCATENATE("CV|",SUBSTITUTE(SUBSTITUTE(IF(B29="","NONE",B29),"_","-"),"|","-"),"_","CS|",(VLOOKUP(C29,Dictionary!$Y:$Z,2,FALSE)),"_","CT|",(VLOOKUP(D29,Dictionary!$AE:$AF,2,FALSE)),IF(E29="","",CONCATENATE("_U1|",SUBSTITUTE(SUBSTITUTE(E29,"_","-"),"|","-"))),IF(F29="","",CONCATENATE("_U2|",SUBSTITUTE(SUBSTITUTE(F29,"_","-"),"|","-"))),IF(G29="","",CONCATENATE("_U3|",SUBSTITUTE(SUBSTITUTE(G29,"_","-"),"|","-")))))</f>
        <v>CV|VDV-MERCHANT-MOVIDA-20OFF_CS|1x1_CT|INSSTORY</v>
      </c>
    </row>
    <row r="30" ht="15.75" customHeight="1">
      <c r="A30" s="30">
        <v>2.51351886E8</v>
      </c>
      <c r="B30" s="14" t="s">
        <v>136</v>
      </c>
      <c r="C30" s="14" t="s">
        <v>153</v>
      </c>
      <c r="D30" s="14" t="s">
        <v>154</v>
      </c>
      <c r="E30" s="14" t="s">
        <v>155</v>
      </c>
      <c r="F30" s="14"/>
      <c r="G30" s="33"/>
      <c r="H30" s="33" t="str">
        <f>IF(C30="----","#N/A",CONCATENATE("CV|",SUBSTITUTE(SUBSTITUTE(IF(B30="","NONE",B30),"_","-"),"|","-"),"_","CS|",(VLOOKUP(C30,Dictionary!$Y:$Z,2,FALSE)),"_","CT|",(VLOOKUP(D30,Dictionary!$AE:$AF,2,FALSE)),IF(E30="","",CONCATENATE("_U1|",SUBSTITUTE(SUBSTITUTE(E30,"_","-"),"|","-"))),IF(F30="","",CONCATENATE("_U2|",SUBSTITUTE(SUBSTITUTE(F30,"_","-"),"|","-"))),IF(G30="","",CONCATENATE("_U3|",SUBSTITUTE(SUBSTITUTE(G30,"_","-"),"|","-")))))</f>
        <v>CV|VDV-PROMONACIONAL_CS|VID_CT|VGEN_U1|PRAIA-KV-FERIAS</v>
      </c>
    </row>
    <row r="31" ht="15.75" customHeight="1">
      <c r="A31" s="30">
        <v>2.51343159E8</v>
      </c>
      <c r="B31" s="14" t="s">
        <v>136</v>
      </c>
      <c r="C31" s="14" t="s">
        <v>144</v>
      </c>
      <c r="D31" s="14" t="s">
        <v>145</v>
      </c>
      <c r="E31" s="33"/>
      <c r="F31" s="14"/>
      <c r="G31" s="33"/>
      <c r="H31" s="33" t="str">
        <f>IF(C31="----","#N/A",CONCATENATE("CV|",SUBSTITUTE(SUBSTITUTE(IF(B31="","NONE",B31),"_","-"),"|","-"),"_","CS|",(VLOOKUP(C31,Dictionary!$Y:$Z,2,FALSE)),"_","CT|",(VLOOKUP(D31,Dictionary!$AE:$AF,2,FALSE)),IF(E31="","",CONCATENATE("_U1|",SUBSTITUTE(SUBSTITUTE(E31,"_","-"),"|","-"))),IF(F31="","",CONCATENATE("_U2|",SUBSTITUTE(SUBSTITUTE(F31,"_","-"),"|","-"))),IF(G31="","",CONCATENATE("_U3|",SUBSTITUTE(SUBSTITUTE(G31,"_","-"),"|","-")))))</f>
        <v>CV|VDV-PROMONACIONAL_CS|VID:6_CT|YTNSK</v>
      </c>
    </row>
    <row r="32" ht="15.75" customHeight="1">
      <c r="A32" s="30">
        <v>2.51415409E8</v>
      </c>
      <c r="B32" s="14" t="s">
        <v>156</v>
      </c>
      <c r="C32" s="14" t="s">
        <v>58</v>
      </c>
      <c r="D32" s="14" t="s">
        <v>123</v>
      </c>
      <c r="E32" s="14" t="s">
        <v>157</v>
      </c>
      <c r="F32" s="14"/>
      <c r="G32" s="33"/>
      <c r="H32" s="33" t="str">
        <f>IF(C32="----","#N/A",CONCATENATE("CV|",SUBSTITUTE(SUBSTITUTE(IF(B32="","NONE",B32),"_","-"),"|","-"),"_","CS|",(VLOOKUP(C32,Dictionary!$Y:$Z,2,FALSE)),"_","CT|",(VLOOKUP(D32,Dictionary!$AE:$AF,2,FALSE)),IF(E32="","",CONCATENATE("_U1|",SUBSTITUTE(SUBSTITUTE(E32,"_","-"),"|","-"))),IF(F32="","",CONCATENATE("_U2|",SUBSTITUTE(SUBSTITUTE(F32,"_","-"),"|","-"))),IF(G32="","",CONCATENATE("_U3|",SUBSTITUTE(SUBSTITUTE(G32,"_","-"),"|","-")))))</f>
        <v>CV|VDV-EDUCACIONAL_CS|1x1_CT|INSSTORY_U1|DESCONTO</v>
      </c>
    </row>
    <row r="33" ht="15.75" customHeight="1">
      <c r="A33" s="30">
        <v>2.51415754E8</v>
      </c>
      <c r="B33" s="14" t="s">
        <v>156</v>
      </c>
      <c r="C33" s="14" t="s">
        <v>58</v>
      </c>
      <c r="D33" s="14" t="s">
        <v>123</v>
      </c>
      <c r="E33" s="14" t="s">
        <v>158</v>
      </c>
      <c r="F33" s="14"/>
      <c r="G33" s="33"/>
      <c r="H33" s="33" t="str">
        <f>IF(C33="----","#N/A",CONCATENATE("CV|",SUBSTITUTE(SUBSTITUTE(IF(B33="","NONE",B33),"_","-"),"|","-"),"_","CS|",(VLOOKUP(C33,Dictionary!$Y:$Z,2,FALSE)),"_","CT|",(VLOOKUP(D33,Dictionary!$AE:$AF,2,FALSE)),IF(E33="","",CONCATENATE("_U1|",SUBSTITUTE(SUBSTITUTE(E33,"_","-"),"|","-"))),IF(F33="","",CONCATENATE("_U2|",SUBSTITUTE(SUBSTITUTE(F33,"_","-"),"|","-"))),IF(G33="","",CONCATENATE("_U3|",SUBSTITUTE(SUBSTITUTE(G33,"_","-"),"|","-")))))</f>
        <v>CV|VDV-EDUCACIONAL_CS|1x1_CT|INSSTORY_U1|VIAGEM-OFERTA</v>
      </c>
    </row>
    <row r="34" ht="15.75" customHeight="1">
      <c r="A34" s="30">
        <v>2.51524148E8</v>
      </c>
      <c r="B34" s="14" t="s">
        <v>156</v>
      </c>
      <c r="C34" s="14" t="s">
        <v>104</v>
      </c>
      <c r="D34" s="14" t="s">
        <v>129</v>
      </c>
      <c r="E34" s="14" t="s">
        <v>159</v>
      </c>
      <c r="F34" s="14" t="s">
        <v>160</v>
      </c>
      <c r="G34" s="33"/>
      <c r="H34" s="33" t="str">
        <f>IF(C34="----","#N/A",CONCATENATE("CV|",SUBSTITUTE(SUBSTITUTE(IF(B34="","NONE",B34),"_","-"),"|","-"),"_","CS|",(VLOOKUP(C34,Dictionary!$Y:$Z,2,FALSE)),"_","CT|",(VLOOKUP(D34,Dictionary!$AE:$AF,2,FALSE)),IF(E34="","",CONCATENATE("_U1|",SUBSTITUTE(SUBSTITUTE(E34,"_","-"),"|","-"))),IF(F34="","",CONCATENATE("_U2|",SUBSTITUTE(SUBSTITUTE(F34,"_","-"),"|","-"))),IF(G34="","",CONCATENATE("_U3|",SUBSTITUTE(SUBSTITUTE(G34,"_","-"),"|","-")))))</f>
        <v>CV|VDV-EDUCACIONAL_CS|300x250_CT|BAN_U1|CREDITO_U2|DV360</v>
      </c>
    </row>
    <row r="35" ht="15.75" customHeight="1">
      <c r="A35" s="30">
        <v>2.51422685E8</v>
      </c>
      <c r="B35" s="14" t="s">
        <v>161</v>
      </c>
      <c r="C35" s="14" t="s">
        <v>58</v>
      </c>
      <c r="D35" s="14" t="s">
        <v>120</v>
      </c>
      <c r="E35" s="14" t="s">
        <v>152</v>
      </c>
      <c r="F35" s="14" t="s">
        <v>162</v>
      </c>
      <c r="G35" s="33"/>
      <c r="H35" s="33" t="str">
        <f>IF(C35="----","#N/A",CONCATENATE("CV|",SUBSTITUTE(SUBSTITUTE(IF(B35="","NONE",B35),"_","-"),"|","-"),"_","CS|",(VLOOKUP(C35,Dictionary!$Y:$Z,2,FALSE)),"_","CT|",(VLOOKUP(D35,Dictionary!$AE:$AF,2,FALSE)),IF(E35="","",CONCATENATE("_U1|",SUBSTITUTE(SUBSTITUTE(E35,"_","-"),"|","-"))),IF(F35="","",CONCATENATE("_U2|",SUBSTITUTE(SUBSTITUTE(F35,"_","-"),"|","-"))),IF(G35="","",CONCATENATE("_U3|",SUBSTITUTE(SUBSTITUTE(G35,"_","-"),"|","-")))))</f>
        <v>CV|VDV-MERCHANT-RAPPI_CS|1x1_CT|FLA_U1|RETANGULAR_U2|VERDE</v>
      </c>
    </row>
    <row r="36" ht="15.75" customHeight="1">
      <c r="A36" s="30">
        <v>2.51830933E8</v>
      </c>
      <c r="B36" s="14" t="s">
        <v>156</v>
      </c>
      <c r="C36" s="14" t="s">
        <v>103</v>
      </c>
      <c r="D36" s="14" t="s">
        <v>129</v>
      </c>
      <c r="E36" s="14" t="s">
        <v>159</v>
      </c>
      <c r="F36" s="14" t="s">
        <v>160</v>
      </c>
      <c r="G36" s="33"/>
      <c r="H36" s="33" t="str">
        <f>IF(C36="----","#N/A",CONCATENATE("CV|",SUBSTITUTE(SUBSTITUTE(IF(B36="","NONE",B36),"_","-"),"|","-"),"_","CS|",(VLOOKUP(C36,Dictionary!$Y:$Z,2,FALSE)),"_","CT|",(VLOOKUP(D36,Dictionary!$AE:$AF,2,FALSE)),IF(E36="","",CONCATENATE("_U1|",SUBSTITUTE(SUBSTITUTE(E36,"_","-"),"|","-"))),IF(F36="","",CONCATENATE("_U2|",SUBSTITUTE(SUBSTITUTE(F36,"_","-"),"|","-"))),IF(G36="","",CONCATENATE("_U3|",SUBSTITUTE(SUBSTITUTE(G36,"_","-"),"|","-")))))</f>
        <v>CV|VDV-EDUCACIONAL_CS|160x600_CT|BAN_U1|CREDITO_U2|DV360</v>
      </c>
    </row>
    <row r="37" ht="15.75" customHeight="1">
      <c r="A37" s="30">
        <v>2.51831053E8</v>
      </c>
      <c r="B37" s="14" t="s">
        <v>156</v>
      </c>
      <c r="C37" s="14" t="s">
        <v>105</v>
      </c>
      <c r="D37" s="14" t="s">
        <v>129</v>
      </c>
      <c r="E37" s="14" t="s">
        <v>159</v>
      </c>
      <c r="F37" s="14" t="s">
        <v>160</v>
      </c>
      <c r="G37" s="33"/>
      <c r="H37" s="33" t="str">
        <f>IF(C37="----","#N/A",CONCATENATE("CV|",SUBSTITUTE(SUBSTITUTE(IF(B37="","NONE",B37),"_","-"),"|","-"),"_","CS|",(VLOOKUP(C37,Dictionary!$Y:$Z,2,FALSE)),"_","CT|",(VLOOKUP(D37,Dictionary!$AE:$AF,2,FALSE)),IF(E37="","",CONCATENATE("_U1|",SUBSTITUTE(SUBSTITUTE(E37,"_","-"),"|","-"))),IF(F37="","",CONCATENATE("_U2|",SUBSTITUTE(SUBSTITUTE(F37,"_","-"),"|","-"))),IF(G37="","",CONCATENATE("_U3|",SUBSTITUTE(SUBSTITUTE(G37,"_","-"),"|","-")))))</f>
        <v>CV|VDV-EDUCACIONAL_CS|300x600_CT|BAN_U1|CREDITO_U2|DV360</v>
      </c>
    </row>
    <row r="38" ht="15.75" customHeight="1">
      <c r="A38" s="30">
        <v>2.51522756E8</v>
      </c>
      <c r="B38" s="14" t="s">
        <v>156</v>
      </c>
      <c r="C38" s="14" t="s">
        <v>163</v>
      </c>
      <c r="D38" s="14" t="s">
        <v>129</v>
      </c>
      <c r="E38" s="14" t="s">
        <v>159</v>
      </c>
      <c r="F38" s="14" t="s">
        <v>160</v>
      </c>
      <c r="G38" s="33"/>
      <c r="H38" s="33" t="str">
        <f>IF(C38="----","#N/A",CONCATENATE("CV|",SUBSTITUTE(SUBSTITUTE(IF(B38="","NONE",B38),"_","-"),"|","-"),"_","CS|",(VLOOKUP(C38,Dictionary!$Y:$Z,2,FALSE)),"_","CT|",(VLOOKUP(D38,Dictionary!$AE:$AF,2,FALSE)),IF(E38="","",CONCATENATE("_U1|",SUBSTITUTE(SUBSTITUTE(E38,"_","-"),"|","-"))),IF(F38="","",CONCATENATE("_U2|",SUBSTITUTE(SUBSTITUTE(F38,"_","-"),"|","-"))),IF(G38="","",CONCATENATE("_U3|",SUBSTITUTE(SUBSTITUTE(G38,"_","-"),"|","-")))))</f>
        <v>CV|VDV-EDUCACIONAL_CS|970x250_CT|BAN_U1|CREDITO_U2|DV360</v>
      </c>
    </row>
    <row r="39" ht="15.75" customHeight="1">
      <c r="A39" s="30">
        <v>2.51703248E8</v>
      </c>
      <c r="B39" s="14" t="s">
        <v>156</v>
      </c>
      <c r="C39" s="14" t="s">
        <v>104</v>
      </c>
      <c r="D39" s="14" t="s">
        <v>129</v>
      </c>
      <c r="E39" s="14"/>
      <c r="F39" s="14" t="s">
        <v>130</v>
      </c>
      <c r="G39" s="33"/>
      <c r="H39" s="33" t="str">
        <f>IF(C39="----","#N/A",CONCATENATE("CV|",SUBSTITUTE(SUBSTITUTE(IF(B39="","NONE",B39),"_","-"),"|","-"),"_","CS|",(VLOOKUP(C39,Dictionary!$Y:$Z,2,FALSE)),"_","CT|",(VLOOKUP(D39,Dictionary!$AE:$AF,2,FALSE)),IF(E39="","",CONCATENATE("_U1|",SUBSTITUTE(SUBSTITUTE(E39,"_","-"),"|","-"))),IF(F39="","",CONCATENATE("_U2|",SUBSTITUTE(SUBSTITUTE(F39,"_","-"),"|","-"))),IF(G39="","",CONCATENATE("_U3|",SUBSTITUTE(SUBSTITUTE(G39,"_","-"),"|","-")))))</f>
        <v>CV|VDV-EDUCACIONAL_CS|300x250_CT|BAN_U2|VERIZON</v>
      </c>
    </row>
    <row r="40" ht="15.75" customHeight="1">
      <c r="A40" s="30">
        <v>2.51698928E8</v>
      </c>
      <c r="B40" s="14" t="s">
        <v>156</v>
      </c>
      <c r="C40" s="14" t="s">
        <v>105</v>
      </c>
      <c r="D40" s="14" t="s">
        <v>129</v>
      </c>
      <c r="E40" s="14"/>
      <c r="F40" s="14" t="s">
        <v>160</v>
      </c>
      <c r="G40" s="33"/>
      <c r="H40" s="33" t="str">
        <f>IF(C40="----","#N/A",CONCATENATE("CV|",SUBSTITUTE(SUBSTITUTE(IF(B40="","NONE",B40),"_","-"),"|","-"),"_","CS|",(VLOOKUP(C40,Dictionary!$Y:$Z,2,FALSE)),"_","CT|",(VLOOKUP(D40,Dictionary!$AE:$AF,2,FALSE)),IF(E40="","",CONCATENATE("_U1|",SUBSTITUTE(SUBSTITUTE(E40,"_","-"),"|","-"))),IF(F40="","",CONCATENATE("_U2|",SUBSTITUTE(SUBSTITUTE(F40,"_","-"),"|","-"))),IF(G40="","",CONCATENATE("_U3|",SUBSTITUTE(SUBSTITUTE(G40,"_","-"),"|","-")))))</f>
        <v>CV|VDV-EDUCACIONAL_CS|300x600_CT|BAN_U2|DV360</v>
      </c>
    </row>
    <row r="41" ht="15.75" customHeight="1">
      <c r="A41" s="30">
        <v>2.51696792E8</v>
      </c>
      <c r="B41" s="14" t="s">
        <v>156</v>
      </c>
      <c r="C41" s="14" t="s">
        <v>103</v>
      </c>
      <c r="D41" s="14" t="s">
        <v>129</v>
      </c>
      <c r="E41" s="14"/>
      <c r="F41" s="14" t="s">
        <v>160</v>
      </c>
      <c r="G41" s="33"/>
      <c r="H41" s="33" t="str">
        <f>IF(C41="----","#N/A",CONCATENATE("CV|",SUBSTITUTE(SUBSTITUTE(IF(B41="","NONE",B41),"_","-"),"|","-"),"_","CS|",(VLOOKUP(C41,Dictionary!$Y:$Z,2,FALSE)),"_","CT|",(VLOOKUP(D41,Dictionary!$AE:$AF,2,FALSE)),IF(E41="","",CONCATENATE("_U1|",SUBSTITUTE(SUBSTITUTE(E41,"_","-"),"|","-"))),IF(F41="","",CONCATENATE("_U2|",SUBSTITUTE(SUBSTITUTE(F41,"_","-"),"|","-"))),IF(G41="","",CONCATENATE("_U3|",SUBSTITUTE(SUBSTITUTE(G41,"_","-"),"|","-")))))</f>
        <v>CV|VDV-EDUCACIONAL_CS|160x600_CT|BAN_U2|DV360</v>
      </c>
    </row>
    <row r="42" ht="15.75" customHeight="1">
      <c r="A42" s="30">
        <v>2.52103032E8</v>
      </c>
      <c r="B42" s="14" t="s">
        <v>156</v>
      </c>
      <c r="C42" s="14" t="s">
        <v>104</v>
      </c>
      <c r="D42" s="14" t="s">
        <v>129</v>
      </c>
      <c r="E42" s="14"/>
      <c r="F42" s="14" t="s">
        <v>160</v>
      </c>
      <c r="G42" s="33"/>
      <c r="H42" s="33" t="str">
        <f>IF(C42="----","#N/A",CONCATENATE("CV|",SUBSTITUTE(SUBSTITUTE(IF(B42="","NONE",B42),"_","-"),"|","-"),"_","CS|",(VLOOKUP(C42,Dictionary!$Y:$Z,2,FALSE)),"_","CT|",(VLOOKUP(D42,Dictionary!$AE:$AF,2,FALSE)),IF(E42="","",CONCATENATE("_U1|",SUBSTITUTE(SUBSTITUTE(E42,"_","-"),"|","-"))),IF(F42="","",CONCATENATE("_U2|",SUBSTITUTE(SUBSTITUTE(F42,"_","-"),"|","-"))),IF(G42="","",CONCATENATE("_U3|",SUBSTITUTE(SUBSTITUTE(G42,"_","-"),"|","-")))))</f>
        <v>CV|VDV-EDUCACIONAL_CS|300x250_CT|BAN_U2|DV360</v>
      </c>
    </row>
    <row r="43" ht="15.75" customHeight="1">
      <c r="A43" s="30">
        <v>2.52103536E8</v>
      </c>
      <c r="B43" s="14" t="s">
        <v>156</v>
      </c>
      <c r="C43" s="14" t="s">
        <v>163</v>
      </c>
      <c r="D43" s="14" t="s">
        <v>129</v>
      </c>
      <c r="E43" s="14"/>
      <c r="F43" s="14" t="s">
        <v>160</v>
      </c>
      <c r="G43" s="33"/>
      <c r="H43" s="33" t="str">
        <f>IF(C43="----","#N/A",CONCATENATE("CV|",SUBSTITUTE(SUBSTITUTE(IF(B43="","NONE",B43),"_","-"),"|","-"),"_","CS|",(VLOOKUP(C43,Dictionary!$Y:$Z,2,FALSE)),"_","CT|",(VLOOKUP(D43,Dictionary!$AE:$AF,2,FALSE)),IF(E43="","",CONCATENATE("_U1|",SUBSTITUTE(SUBSTITUTE(E43,"_","-"),"|","-"))),IF(F43="","",CONCATENATE("_U2|",SUBSTITUTE(SUBSTITUTE(F43,"_","-"),"|","-"))),IF(G43="","",CONCATENATE("_U3|",SUBSTITUTE(SUBSTITUTE(G43,"_","-"),"|","-")))))</f>
        <v>CV|VDV-EDUCACIONAL_CS|970x250_CT|BAN_U2|DV360</v>
      </c>
    </row>
    <row r="44" ht="15.75" customHeight="1">
      <c r="A44" s="30">
        <v>2.52102792E8</v>
      </c>
      <c r="B44" s="14" t="s">
        <v>156</v>
      </c>
      <c r="C44" s="14" t="s">
        <v>103</v>
      </c>
      <c r="D44" s="14" t="s">
        <v>129</v>
      </c>
      <c r="E44" s="14"/>
      <c r="F44" s="14" t="s">
        <v>130</v>
      </c>
      <c r="G44" s="33"/>
      <c r="H44" s="33" t="str">
        <f>IF(C44="----","#N/A",CONCATENATE("CV|",SUBSTITUTE(SUBSTITUTE(IF(B44="","NONE",B44),"_","-"),"|","-"),"_","CS|",(VLOOKUP(C44,Dictionary!$Y:$Z,2,FALSE)),"_","CT|",(VLOOKUP(D44,Dictionary!$AE:$AF,2,FALSE)),IF(E44="","",CONCATENATE("_U1|",SUBSTITUTE(SUBSTITUTE(E44,"_","-"),"|","-"))),IF(F44="","",CONCATENATE("_U2|",SUBSTITUTE(SUBSTITUTE(F44,"_","-"),"|","-"))),IF(G44="","",CONCATENATE("_U3|",SUBSTITUTE(SUBSTITUTE(G44,"_","-"),"|","-")))))</f>
        <v>CV|VDV-EDUCACIONAL_CS|160x600_CT|BAN_U2|VERIZON</v>
      </c>
    </row>
    <row r="45" ht="15.75" customHeight="1">
      <c r="A45" s="30">
        <v>2.52105414E8</v>
      </c>
      <c r="B45" s="14" t="s">
        <v>156</v>
      </c>
      <c r="C45" s="14" t="s">
        <v>105</v>
      </c>
      <c r="D45" s="14" t="s">
        <v>129</v>
      </c>
      <c r="E45" s="14"/>
      <c r="F45" s="14" t="s">
        <v>130</v>
      </c>
      <c r="G45" s="33"/>
      <c r="H45" s="33" t="str">
        <f>IF(C45="----","#N/A",CONCATENATE("CV|",SUBSTITUTE(SUBSTITUTE(IF(B45="","NONE",B45),"_","-"),"|","-"),"_","CS|",(VLOOKUP(C45,Dictionary!$Y:$Z,2,FALSE)),"_","CT|",(VLOOKUP(D45,Dictionary!$AE:$AF,2,FALSE)),IF(E45="","",CONCATENATE("_U1|",SUBSTITUTE(SUBSTITUTE(E45,"_","-"),"|","-"))),IF(F45="","",CONCATENATE("_U2|",SUBSTITUTE(SUBSTITUTE(F45,"_","-"),"|","-"))),IF(G45="","",CONCATENATE("_U3|",SUBSTITUTE(SUBSTITUTE(G45,"_","-"),"|","-")))))</f>
        <v>CV|VDV-EDUCACIONAL_CS|300x600_CT|BAN_U2|VERIZON</v>
      </c>
    </row>
    <row r="46" ht="15.75" customHeight="1">
      <c r="A46" s="30">
        <v>2.52132775E8</v>
      </c>
      <c r="B46" s="14" t="s">
        <v>156</v>
      </c>
      <c r="C46" s="14" t="s">
        <v>58</v>
      </c>
      <c r="D46" s="14" t="s">
        <v>121</v>
      </c>
      <c r="E46" s="14" t="s">
        <v>164</v>
      </c>
      <c r="F46" s="81"/>
      <c r="G46" s="33"/>
      <c r="H46" s="33" t="str">
        <f>IF(C46="----","#N/A",CONCATENATE("CV|",SUBSTITUTE(SUBSTITUTE(IF(B46="","NONE",B46),"_","-"),"|","-"),"_","CS|",(VLOOKUP(C46,Dictionary!$Y:$Z,2,FALSE)),"_","CT|",(VLOOKUP(D46,Dictionary!$AE:$AF,2,FALSE)),IF(E46="","",CONCATENATE("_U1|",SUBSTITUTE(SUBSTITUTE(E46,"_","-"),"|","-"))),IF(F46="","",CONCATENATE("_U2|",SUBSTITUTE(SUBSTITUTE(F46,"_","-"),"|","-"))),IF(G46="","",CONCATENATE("_U3|",SUBSTITUTE(SUBSTITUTE(G46,"_","-"),"|","-")))))</f>
        <v>CV|VDV-EDUCACIONAL_CS|1x1_CT|FGIF_U1|DEBITO-COMPRAS-MOBILE</v>
      </c>
    </row>
    <row r="47" ht="15.75" customHeight="1">
      <c r="A47" s="30">
        <v>2.52202866E8</v>
      </c>
      <c r="B47" s="14" t="s">
        <v>156</v>
      </c>
      <c r="C47" s="14" t="s">
        <v>58</v>
      </c>
      <c r="D47" s="14" t="s">
        <v>123</v>
      </c>
      <c r="E47" s="14" t="s">
        <v>165</v>
      </c>
      <c r="F47" s="14"/>
      <c r="G47" s="33"/>
      <c r="H47" s="33" t="str">
        <f>IF(C47="----","#N/A",CONCATENATE("CV|",SUBSTITUTE(SUBSTITUTE(IF(B47="","NONE",B47),"_","-"),"|","-"),"_","CS|",(VLOOKUP(C47,Dictionary!$Y:$Z,2,FALSE)),"_","CT|",(VLOOKUP(D47,Dictionary!$AE:$AF,2,FALSE)),IF(E47="","",CONCATENATE("_U1|",SUBSTITUTE(SUBSTITUTE(E47,"_","-"),"|","-"))),IF(F47="","",CONCATENATE("_U2|",SUBSTITUTE(SUBSTITUTE(F47,"_","-"),"|","-"))),IF(G47="","",CONCATENATE("_U3|",SUBSTITUTE(SUBSTITUTE(G47,"_","-"),"|","-")))))</f>
        <v>CV|VDV-EDUCACIONAL_CS|1x1_CT|INSSTORY_U1|DEBITO</v>
      </c>
    </row>
    <row r="48" ht="15.75" customHeight="1">
      <c r="A48" s="30">
        <v>2.51876717E8</v>
      </c>
      <c r="B48" s="14" t="s">
        <v>161</v>
      </c>
      <c r="C48" s="14" t="s">
        <v>58</v>
      </c>
      <c r="D48" s="14" t="s">
        <v>123</v>
      </c>
      <c r="E48" s="14" t="s">
        <v>166</v>
      </c>
      <c r="F48" s="14"/>
      <c r="G48" s="33"/>
      <c r="H48" s="33" t="str">
        <f>IF(C48="----","#N/A",CONCATENATE("CV|",SUBSTITUTE(SUBSTITUTE(IF(B48="","NONE",B48),"_","-"),"|","-"),"_","CS|",(VLOOKUP(C48,Dictionary!$Y:$Z,2,FALSE)),"_","CT|",(VLOOKUP(D48,Dictionary!$AE:$AF,2,FALSE)),IF(E48="","",CONCATENATE("_U1|",SUBSTITUTE(SUBSTITUTE(E48,"_","-"),"|","-"))),IF(F48="","",CONCATENATE("_U2|",SUBSTITUTE(SUBSTITUTE(F48,"_","-"),"|","-"))),IF(G48="","",CONCATENATE("_U3|",SUBSTITUTE(SUBSTITUTE(G48,"_","-"),"|","-")))))</f>
        <v>CV|VDV-MERCHANT-RAPPI_CS|1x1_CT|INSSTORY_U1|LARANJA</v>
      </c>
    </row>
    <row r="49" ht="15.75" customHeight="1">
      <c r="A49" s="30">
        <v>2.5187669E8</v>
      </c>
      <c r="B49" s="14" t="s">
        <v>161</v>
      </c>
      <c r="C49" s="14" t="s">
        <v>58</v>
      </c>
      <c r="D49" s="14" t="s">
        <v>120</v>
      </c>
      <c r="E49" s="14" t="s">
        <v>151</v>
      </c>
      <c r="F49" s="14"/>
      <c r="G49" s="33"/>
      <c r="H49" s="33" t="str">
        <f>IF(C49="----","#N/A",CONCATENATE("CV|",SUBSTITUTE(SUBSTITUTE(IF(B49="","NONE",B49),"_","-"),"|","-"),"_","CS|",(VLOOKUP(C49,Dictionary!$Y:$Z,2,FALSE)),"_","CT|",(VLOOKUP(D49,Dictionary!$AE:$AF,2,FALSE)),IF(E49="","",CONCATENATE("_U1|",SUBSTITUTE(SUBSTITUTE(E49,"_","-"),"|","-"))),IF(F49="","",CONCATENATE("_U2|",SUBSTITUTE(SUBSTITUTE(F49,"_","-"),"|","-"))),IF(G49="","",CONCATENATE("_U3|",SUBSTITUTE(SUBSTITUTE(G49,"_","-"),"|","-")))))</f>
        <v>CV|VDV-MERCHANT-RAPPI_CS|1x1_CT|FLA_U1|QUADRADO</v>
      </c>
    </row>
    <row r="50" ht="15.75" customHeight="1">
      <c r="A50" s="30">
        <v>2.52293266E8</v>
      </c>
      <c r="B50" s="14" t="s">
        <v>167</v>
      </c>
      <c r="C50" s="14" t="s">
        <v>58</v>
      </c>
      <c r="D50" s="14" t="s">
        <v>122</v>
      </c>
      <c r="E50" s="33"/>
      <c r="F50" s="14"/>
      <c r="G50" s="33"/>
      <c r="H50" s="33" t="str">
        <f>IF(C50="----","#N/A",CONCATENATE("CV|",SUBSTITUTE(SUBSTITUTE(IF(B50="","NONE",B50),"_","-"),"|","-"),"_","CS|",(VLOOKUP(C50,Dictionary!$Y:$Z,2,FALSE)),"_","CT|",(VLOOKUP(D50,Dictionary!$AE:$AF,2,FALSE)),IF(E50="","",CONCATENATE("_U1|",SUBSTITUTE(SUBSTITUTE(E50,"_","-"),"|","-"))),IF(F50="","",CONCATENATE("_U2|",SUBSTITUTE(SUBSTITUTE(F50,"_","-"),"|","-"))),IF(G50="","",CONCATENATE("_U3|",SUBSTITUTE(SUBSTITUTE(G50,"_","-"),"|","-")))))</f>
        <v>CV|VDV-MERCHANT-CAMICADO-10OFF_CS|1x1_CT|FCR</v>
      </c>
    </row>
    <row r="51" ht="15.75" customHeight="1">
      <c r="A51" s="30">
        <v>2.52207496E8</v>
      </c>
      <c r="B51" s="14" t="s">
        <v>161</v>
      </c>
      <c r="C51" s="14" t="s">
        <v>58</v>
      </c>
      <c r="D51" s="14" t="s">
        <v>120</v>
      </c>
      <c r="E51" s="14" t="s">
        <v>152</v>
      </c>
      <c r="F51" s="14"/>
      <c r="G51" s="33"/>
      <c r="H51" s="33" t="str">
        <f>IF(C51="----","#N/A",CONCATENATE("CV|",SUBSTITUTE(SUBSTITUTE(IF(B51="","NONE",B51),"_","-"),"|","-"),"_","CS|",(VLOOKUP(C51,Dictionary!$Y:$Z,2,FALSE)),"_","CT|",(VLOOKUP(D51,Dictionary!$AE:$AF,2,FALSE)),IF(E51="","",CONCATENATE("_U1|",SUBSTITUTE(SUBSTITUTE(E51,"_","-"),"|","-"))),IF(F51="","",CONCATENATE("_U2|",SUBSTITUTE(SUBSTITUTE(F51,"_","-"),"|","-"))),IF(G51="","",CONCATENATE("_U3|",SUBSTITUTE(SUBSTITUTE(G51,"_","-"),"|","-")))))</f>
        <v>CV|VDV-MERCHANT-RAPPI_CS|1x1_CT|FLA_U1|RETANGULAR</v>
      </c>
    </row>
    <row r="52" ht="15.75" customHeight="1">
      <c r="A52" s="30">
        <v>2.52144842E8</v>
      </c>
      <c r="B52" s="14" t="s">
        <v>168</v>
      </c>
      <c r="C52" s="14" t="s">
        <v>58</v>
      </c>
      <c r="D52" s="14" t="s">
        <v>120</v>
      </c>
      <c r="E52" s="14" t="s">
        <v>151</v>
      </c>
      <c r="F52" s="14"/>
      <c r="G52" s="33"/>
      <c r="H52" s="33" t="str">
        <f>IF(C52="----","#N/A",CONCATENATE("CV|",SUBSTITUTE(SUBSTITUTE(IF(B52="","NONE",B52),"_","-"),"|","-"),"_","CS|",(VLOOKUP(C52,Dictionary!$Y:$Z,2,FALSE)),"_","CT|",(VLOOKUP(D52,Dictionary!$AE:$AF,2,FALSE)),IF(E52="","",CONCATENATE("_U1|",SUBSTITUTE(SUBSTITUTE(E52,"_","-"),"|","-"))),IF(F52="","",CONCATENATE("_U2|",SUBSTITUTE(SUBSTITUTE(F52,"_","-"),"|","-"))),IF(G52="","",CONCATENATE("_U3|",SUBSTITUTE(SUBSTITUTE(G52,"_","-"),"|","-")))))</f>
        <v>CV|VDV-MERCHANT-NETSHOES-20OFF_CS|1x1_CT|FLA_U1|QUADRADO</v>
      </c>
    </row>
    <row r="53" ht="15.75" customHeight="1">
      <c r="A53" s="30">
        <v>2.52613815E8</v>
      </c>
      <c r="B53" s="14" t="s">
        <v>169</v>
      </c>
      <c r="C53" s="14" t="s">
        <v>105</v>
      </c>
      <c r="D53" s="14" t="s">
        <v>129</v>
      </c>
      <c r="E53" s="14" t="s">
        <v>170</v>
      </c>
      <c r="F53" s="14"/>
      <c r="G53" s="14"/>
      <c r="H53" s="33" t="str">
        <f>IF(C53="----","#N/A",CONCATENATE("CV|",SUBSTITUTE(SUBSTITUTE(IF(B53="","NONE",B53),"_","-"),"|","-"),"_","CS|",(VLOOKUP(C53,Dictionary!$Y:$Z,2,FALSE)),"_","CT|",(VLOOKUP(D53,Dictionary!$AE:$AF,2,FALSE)),IF(E53="","",CONCATENATE("_U1|",SUBSTITUTE(SUBSTITUTE(E53,"_","-"),"|","-"))),IF(F53="","",CONCATENATE("_U2|",SUBSTITUTE(SUBSTITUTE(F53,"_","-"),"|","-"))),IF(G53="","",CONCATENATE("_U3|",SUBSTITUTE(SUBSTITUTE(G53,"_","-"),"|","-")))))</f>
        <v>CV|VCO-MERCHANT-GPA_CS|300x600_CT|BAN_U1|FRETEGRATIS</v>
      </c>
    </row>
    <row r="54" ht="15.75" customHeight="1">
      <c r="A54" s="30">
        <v>2.52206129E8</v>
      </c>
      <c r="B54" s="14" t="s">
        <v>169</v>
      </c>
      <c r="C54" s="14" t="s">
        <v>104</v>
      </c>
      <c r="D54" s="14" t="s">
        <v>129</v>
      </c>
      <c r="E54" s="14" t="s">
        <v>170</v>
      </c>
      <c r="F54" s="14"/>
      <c r="G54" s="14"/>
      <c r="H54" s="33" t="str">
        <f>IF(C54="----","#N/A",CONCATENATE("CV|",SUBSTITUTE(SUBSTITUTE(IF(B54="","NONE",B54),"_","-"),"|","-"),"_","CS|",(VLOOKUP(C54,Dictionary!$Y:$Z,2,FALSE)),"_","CT|",(VLOOKUP(D54,Dictionary!$AE:$AF,2,FALSE)),IF(E54="","",CONCATENATE("_U1|",SUBSTITUTE(SUBSTITUTE(E54,"_","-"),"|","-"))),IF(F54="","",CONCATENATE("_U2|",SUBSTITUTE(SUBSTITUTE(F54,"_","-"),"|","-"))),IF(G54="","",CONCATENATE("_U3|",SUBSTITUTE(SUBSTITUTE(G54,"_","-"),"|","-")))))</f>
        <v>CV|VCO-MERCHANT-GPA_CS|300x250_CT|BAN_U1|FRETEGRATIS</v>
      </c>
    </row>
    <row r="55" ht="15.75" customHeight="1">
      <c r="A55" s="30">
        <v>2.52617688E8</v>
      </c>
      <c r="B55" s="14" t="s">
        <v>169</v>
      </c>
      <c r="C55" s="14" t="s">
        <v>163</v>
      </c>
      <c r="D55" s="14" t="s">
        <v>129</v>
      </c>
      <c r="E55" s="14" t="s">
        <v>170</v>
      </c>
      <c r="F55" s="14"/>
      <c r="G55" s="14"/>
      <c r="H55" s="33" t="str">
        <f>IF(C55="----","#N/A",CONCATENATE("CV|",SUBSTITUTE(SUBSTITUTE(IF(B55="","NONE",B55),"_","-"),"|","-"),"_","CS|",(VLOOKUP(C55,Dictionary!$Y:$Z,2,FALSE)),"_","CT|",(VLOOKUP(D55,Dictionary!$AE:$AF,2,FALSE)),IF(E55="","",CONCATENATE("_U1|",SUBSTITUTE(SUBSTITUTE(E55,"_","-"),"|","-"))),IF(F55="","",CONCATENATE("_U2|",SUBSTITUTE(SUBSTITUTE(F55,"_","-"),"|","-"))),IF(G55="","",CONCATENATE("_U3|",SUBSTITUTE(SUBSTITUTE(G55,"_","-"),"|","-")))))</f>
        <v>CV|VCO-MERCHANT-GPA_CS|970x250_CT|BAN_U1|FRETEGRATIS</v>
      </c>
    </row>
    <row r="56" ht="15.75" customHeight="1">
      <c r="A56" s="30">
        <v>2.52563791E8</v>
      </c>
      <c r="B56" s="14" t="s">
        <v>169</v>
      </c>
      <c r="C56" s="14" t="s">
        <v>103</v>
      </c>
      <c r="D56" s="14" t="s">
        <v>129</v>
      </c>
      <c r="E56" s="14" t="s">
        <v>170</v>
      </c>
      <c r="F56" s="14"/>
      <c r="G56" s="14"/>
      <c r="H56" s="33" t="str">
        <f>IF(C56="----","#N/A",CONCATENATE("CV|",SUBSTITUTE(SUBSTITUTE(IF(B56="","NONE",B56),"_","-"),"|","-"),"_","CS|",(VLOOKUP(C56,Dictionary!$Y:$Z,2,FALSE)),"_","CT|",(VLOOKUP(D56,Dictionary!$AE:$AF,2,FALSE)),IF(E56="","",CONCATENATE("_U1|",SUBSTITUTE(SUBSTITUTE(E56,"_","-"),"|","-"))),IF(F56="","",CONCATENATE("_U2|",SUBSTITUTE(SUBSTITUTE(F56,"_","-"),"|","-"))),IF(G56="","",CONCATENATE("_U3|",SUBSTITUTE(SUBSTITUTE(G56,"_","-"),"|","-")))))</f>
        <v>CV|VCO-MERCHANT-GPA_CS|160x600_CT|BAN_U1|FRETEGRATIS</v>
      </c>
    </row>
    <row r="57" ht="15.75" customHeight="1">
      <c r="A57" s="30">
        <v>2.52741885E8</v>
      </c>
      <c r="B57" s="14" t="s">
        <v>136</v>
      </c>
      <c r="C57" s="14" t="s">
        <v>58</v>
      </c>
      <c r="D57" s="14" t="s">
        <v>122</v>
      </c>
      <c r="E57" s="14" t="s">
        <v>171</v>
      </c>
      <c r="F57" s="14"/>
      <c r="G57" s="14"/>
      <c r="H57" s="33" t="str">
        <f>IF(C57="----","#N/A",CONCATENATE("CV|",SUBSTITUTE(SUBSTITUTE(IF(B57="","NONE",B57),"_","-"),"|","-"),"_","CS|",(VLOOKUP(C57,Dictionary!$Y:$Z,2,FALSE)),"_","CT|",(VLOOKUP(D57,Dictionary!$AE:$AF,2,FALSE)),IF(E57="","",CONCATENATE("_U1|",SUBSTITUTE(SUBSTITUTE(E57,"_","-"),"|","-"))),IF(F57="","",CONCATENATE("_U2|",SUBSTITUTE(SUBSTITUTE(F57,"_","-"),"|","-"))),IF(G57="","",CONCATENATE("_U3|",SUBSTITUTE(SUBSTITUTE(G57,"_","-"),"|","-")))))</f>
        <v>CV|VDV-PROMONACIONAL_CS|1x1_CT|FCR_U1|DIADOSPAIS</v>
      </c>
    </row>
    <row r="58" ht="15.75" customHeight="1">
      <c r="A58" s="30">
        <v>2.52412997E8</v>
      </c>
      <c r="B58" s="14" t="s">
        <v>172</v>
      </c>
      <c r="C58" s="14" t="s">
        <v>58</v>
      </c>
      <c r="D58" s="14" t="s">
        <v>122</v>
      </c>
      <c r="E58" s="33"/>
      <c r="F58" s="14"/>
      <c r="G58" s="14"/>
      <c r="H58" s="33" t="str">
        <f>IF(C58="----","#N/A",CONCATENATE("CV|",SUBSTITUTE(SUBSTITUTE(IF(B58="","NONE",B58),"_","-"),"|","-"),"_","CS|",(VLOOKUP(C58,Dictionary!$Y:$Z,2,FALSE)),"_","CT|",(VLOOKUP(D58,Dictionary!$AE:$AF,2,FALSE)),IF(E58="","",CONCATENATE("_U1|",SUBSTITUTE(SUBSTITUTE(E58,"_","-"),"|","-"))),IF(F58="","",CONCATENATE("_U2|",SUBSTITUTE(SUBSTITUTE(F58,"_","-"),"|","-"))),IF(G58="","",CONCATENATE("_U3|",SUBSTITUTE(SUBSTITUTE(G58,"_","-"),"|","-")))))</f>
        <v>CV|VDV-MERCHANT-NETSHOES-15OFF_CS|1x1_CT|FCR</v>
      </c>
    </row>
    <row r="59" ht="15.75" customHeight="1">
      <c r="A59" s="30">
        <v>2.52942147E8</v>
      </c>
      <c r="B59" s="14" t="s">
        <v>136</v>
      </c>
      <c r="C59" s="14" t="s">
        <v>58</v>
      </c>
      <c r="D59" s="14" t="s">
        <v>122</v>
      </c>
      <c r="E59" s="14" t="s">
        <v>173</v>
      </c>
      <c r="F59" s="14"/>
      <c r="G59" s="14"/>
      <c r="H59" s="33" t="str">
        <f>IF(C59="----","#N/A",CONCATENATE("CV|",SUBSTITUTE(SUBSTITUTE(IF(B59="","NONE",B59),"_","-"),"|","-"),"_","CS|",(VLOOKUP(C59,Dictionary!$Y:$Z,2,FALSE)),"_","CT|",(VLOOKUP(D59,Dictionary!$AE:$AF,2,FALSE)),IF(E59="","",CONCATENATE("_U1|",SUBSTITUTE(SUBSTITUTE(E59,"_","-"),"|","-"))),IF(F59="","",CONCATENATE("_U2|",SUBSTITUTE(SUBSTITUTE(F59,"_","-"),"|","-"))),IF(G59="","",CONCATENATE("_U3|",SUBSTITUTE(SUBSTITUTE(G59,"_","-"),"|","-")))))</f>
        <v>CV|VDV-PROMONACIONAL_CS|1x1_CT|FCR_U1|PARTICIPE-PAGUECOMVISA</v>
      </c>
    </row>
    <row r="60" ht="15.75" customHeight="1">
      <c r="A60" s="30">
        <v>2.52876919E8</v>
      </c>
      <c r="B60" s="14" t="s">
        <v>136</v>
      </c>
      <c r="C60" s="14" t="s">
        <v>58</v>
      </c>
      <c r="D60" s="14" t="s">
        <v>123</v>
      </c>
      <c r="E60" s="14" t="s">
        <v>173</v>
      </c>
      <c r="F60" s="14"/>
      <c r="G60" s="14"/>
      <c r="H60" s="33" t="str">
        <f>IF(C60="----","#N/A",CONCATENATE("CV|",SUBSTITUTE(SUBSTITUTE(IF(B60="","NONE",B60),"_","-"),"|","-"),"_","CS|",(VLOOKUP(C60,Dictionary!$Y:$Z,2,FALSE)),"_","CT|",(VLOOKUP(D60,Dictionary!$AE:$AF,2,FALSE)),IF(E60="","",CONCATENATE("_U1|",SUBSTITUTE(SUBSTITUTE(E60,"_","-"),"|","-"))),IF(F60="","",CONCATENATE("_U2|",SUBSTITUTE(SUBSTITUTE(F60,"_","-"),"|","-"))),IF(G60="","",CONCATENATE("_U3|",SUBSTITUTE(SUBSTITUTE(G60,"_","-"),"|","-")))))</f>
        <v>CV|VDV-PROMONACIONAL_CS|1x1_CT|INSSTORY_U1|PARTICIPE-PAGUECOMVISA</v>
      </c>
    </row>
    <row r="61" ht="15.75" customHeight="1">
      <c r="A61" s="30">
        <v>2.52741885E8</v>
      </c>
      <c r="B61" s="14" t="s">
        <v>136</v>
      </c>
      <c r="C61" s="14" t="s">
        <v>58</v>
      </c>
      <c r="D61" s="14" t="s">
        <v>122</v>
      </c>
      <c r="E61" s="14" t="s">
        <v>171</v>
      </c>
      <c r="F61" s="14"/>
      <c r="G61" s="14"/>
      <c r="H61" s="33" t="str">
        <f>IF(C61="----","#N/A",CONCATENATE("CV|",SUBSTITUTE(SUBSTITUTE(IF(B61="","NONE",B61),"_","-"),"|","-"),"_","CS|",(VLOOKUP(C61,Dictionary!$Y:$Z,2,FALSE)),"_","CT|",(VLOOKUP(D61,Dictionary!$AE:$AF,2,FALSE)),IF(E61="","",CONCATENATE("_U1|",SUBSTITUTE(SUBSTITUTE(E61,"_","-"),"|","-"))),IF(F61="","",CONCATENATE("_U2|",SUBSTITUTE(SUBSTITUTE(F61,"_","-"),"|","-"))),IF(G61="","",CONCATENATE("_U3|",SUBSTITUTE(SUBSTITUTE(G61,"_","-"),"|","-")))))</f>
        <v>CV|VDV-PROMONACIONAL_CS|1x1_CT|FCR_U1|DIADOSPAIS</v>
      </c>
    </row>
    <row r="62" ht="15.75" customHeight="1">
      <c r="A62" s="30">
        <v>2.52515498E8</v>
      </c>
      <c r="B62" s="14" t="s">
        <v>136</v>
      </c>
      <c r="C62" s="14" t="s">
        <v>58</v>
      </c>
      <c r="D62" s="14" t="s">
        <v>121</v>
      </c>
      <c r="E62" s="14" t="s">
        <v>173</v>
      </c>
      <c r="F62" s="14"/>
      <c r="G62" s="33"/>
      <c r="H62" s="33" t="str">
        <f>IF(C62="----","#N/A",CONCATENATE("CV|",SUBSTITUTE(SUBSTITUTE(IF(B62="","NONE",B62),"_","-"),"|","-"),"_","CS|",(VLOOKUP(C62,Dictionary!$Y:$Z,2,FALSE)),"_","CT|",(VLOOKUP(D62,Dictionary!$AE:$AF,2,FALSE)),IF(E62="","",CONCATENATE("_U1|",SUBSTITUTE(SUBSTITUTE(E62,"_","-"),"|","-"))),IF(F62="","",CONCATENATE("_U2|",SUBSTITUTE(SUBSTITUTE(F62,"_","-"),"|","-"))),IF(G62="","",CONCATENATE("_U3|",SUBSTITUTE(SUBSTITUTE(G62,"_","-"),"|","-")))))</f>
        <v>CV|VDV-PROMONACIONAL_CS|1x1_CT|FGIF_U1|PARTICIPE-PAGUECOMVISA</v>
      </c>
    </row>
    <row r="63" ht="15.75" customHeight="1">
      <c r="A63" s="30">
        <v>2.52515468E8</v>
      </c>
      <c r="B63" s="14" t="s">
        <v>136</v>
      </c>
      <c r="C63" s="14" t="s">
        <v>58</v>
      </c>
      <c r="D63" s="14" t="s">
        <v>120</v>
      </c>
      <c r="E63" s="14" t="s">
        <v>173</v>
      </c>
      <c r="F63" s="14"/>
      <c r="G63" s="14"/>
      <c r="H63" s="33" t="str">
        <f>IF(C63="----","#N/A",CONCATENATE("CV|",SUBSTITUTE(SUBSTITUTE(IF(B63="","NONE",B63),"_","-"),"|","-"),"_","CS|",(VLOOKUP(C63,Dictionary!$Y:$Z,2,FALSE)),"_","CT|",(VLOOKUP(D63,Dictionary!$AE:$AF,2,FALSE)),IF(E63="","",CONCATENATE("_U1|",SUBSTITUTE(SUBSTITUTE(E63,"_","-"),"|","-"))),IF(F63="","",CONCATENATE("_U2|",SUBSTITUTE(SUBSTITUTE(F63,"_","-"),"|","-"))),IF(G63="","",CONCATENATE("_U3|",SUBSTITUTE(SUBSTITUTE(G63,"_","-"),"|","-")))))</f>
        <v>CV|VDV-PROMONACIONAL_CS|1x1_CT|FLA_U1|PARTICIPE-PAGUECOMVISA</v>
      </c>
    </row>
    <row r="64" ht="15.75" customHeight="1">
      <c r="A64" s="30">
        <v>2.52760903E8</v>
      </c>
      <c r="B64" s="14" t="s">
        <v>172</v>
      </c>
      <c r="C64" s="14" t="s">
        <v>58</v>
      </c>
      <c r="D64" s="14" t="s">
        <v>120</v>
      </c>
      <c r="E64" s="14" t="s">
        <v>151</v>
      </c>
      <c r="F64" s="14"/>
      <c r="G64" s="14"/>
      <c r="H64" s="33" t="str">
        <f>IF(C64="----","#N/A",CONCATENATE("CV|",SUBSTITUTE(SUBSTITUTE(IF(B64="","NONE",B64),"_","-"),"|","-"),"_","CS|",(VLOOKUP(C64,Dictionary!$Y:$Z,2,FALSE)),"_","CT|",(VLOOKUP(D64,Dictionary!$AE:$AF,2,FALSE)),IF(E64="","",CONCATENATE("_U1|",SUBSTITUTE(SUBSTITUTE(E64,"_","-"),"|","-"))),IF(F64="","",CONCATENATE("_U2|",SUBSTITUTE(SUBSTITUTE(F64,"_","-"),"|","-"))),IF(G64="","",CONCATENATE("_U3|",SUBSTITUTE(SUBSTITUTE(G64,"_","-"),"|","-")))))</f>
        <v>CV|VDV-MERCHANT-NETSHOES-15OFF_CS|1x1_CT|FLA_U1|QUADRADO</v>
      </c>
    </row>
    <row r="65" ht="15.75" customHeight="1">
      <c r="A65" s="30">
        <v>2.52858643E8</v>
      </c>
      <c r="B65" s="14" t="s">
        <v>174</v>
      </c>
      <c r="C65" s="14" t="s">
        <v>104</v>
      </c>
      <c r="D65" s="14" t="s">
        <v>129</v>
      </c>
      <c r="E65" s="14" t="s">
        <v>175</v>
      </c>
      <c r="F65" s="14" t="s">
        <v>160</v>
      </c>
      <c r="G65" s="14"/>
      <c r="H65" s="33" t="str">
        <f>IF(C65="----","#N/A",CONCATENATE("CV|",SUBSTITUTE(SUBSTITUTE(IF(B65="","NONE",B65),"_","-"),"|","-"),"_","CS|",(VLOOKUP(C65,Dictionary!$Y:$Z,2,FALSE)),"_","CT|",(VLOOKUP(D65,Dictionary!$AE:$AF,2,FALSE)),IF(E65="","",CONCATENATE("_U1|",SUBSTITUTE(SUBSTITUTE(E65,"_","-"),"|","-"))),IF(F65="","",CONCATENATE("_U2|",SUBSTITUTE(SUBSTITUTE(F65,"_","-"),"|","-"))),IF(G65="","",CONCATENATE("_U3|",SUBSTITUTE(SUBSTITUTE(G65,"_","-"),"|","-")))))</f>
        <v>CV|VCO-MERCHANT-GOL_CS|300x250_CT|BAN_U1|WIFI_U2|DV360</v>
      </c>
    </row>
    <row r="66" ht="15.75" customHeight="1">
      <c r="A66" s="30">
        <v>2.5285984E8</v>
      </c>
      <c r="B66" s="14" t="s">
        <v>174</v>
      </c>
      <c r="C66" s="14" t="s">
        <v>105</v>
      </c>
      <c r="D66" s="14" t="s">
        <v>129</v>
      </c>
      <c r="E66" s="14" t="s">
        <v>175</v>
      </c>
      <c r="F66" s="14" t="s">
        <v>160</v>
      </c>
      <c r="G66" s="14"/>
      <c r="H66" s="33" t="str">
        <f>IF(C66="----","#N/A",CONCATENATE("CV|",SUBSTITUTE(SUBSTITUTE(IF(B66="","NONE",B66),"_","-"),"|","-"),"_","CS|",(VLOOKUP(C66,Dictionary!$Y:$Z,2,FALSE)),"_","CT|",(VLOOKUP(D66,Dictionary!$AE:$AF,2,FALSE)),IF(E66="","",CONCATENATE("_U1|",SUBSTITUTE(SUBSTITUTE(E66,"_","-"),"|","-"))),IF(F66="","",CONCATENATE("_U2|",SUBSTITUTE(SUBSTITUTE(F66,"_","-"),"|","-"))),IF(G66="","",CONCATENATE("_U3|",SUBSTITUTE(SUBSTITUTE(G66,"_","-"),"|","-")))))</f>
        <v>CV|VCO-MERCHANT-GOL_CS|300x600_CT|BAN_U1|WIFI_U2|DV360</v>
      </c>
    </row>
    <row r="67" ht="15.75" customHeight="1">
      <c r="A67" s="30">
        <v>2.52686396E8</v>
      </c>
      <c r="B67" s="14" t="s">
        <v>176</v>
      </c>
      <c r="C67" s="14" t="s">
        <v>103</v>
      </c>
      <c r="D67" s="14" t="s">
        <v>129</v>
      </c>
      <c r="E67" s="14" t="s">
        <v>134</v>
      </c>
      <c r="F67" s="14" t="s">
        <v>130</v>
      </c>
      <c r="G67" s="14"/>
      <c r="H67" s="33" t="str">
        <f>IF(C67="----","#N/A",CONCATENATE("CV|",SUBSTITUTE(SUBSTITUTE(IF(B67="","NONE",B67),"_","-"),"|","-"),"_","CS|",(VLOOKUP(C67,Dictionary!$Y:$Z,2,FALSE)),"_","CT|",(VLOOKUP(D67,Dictionary!$AE:$AF,2,FALSE)),IF(E67="","",CONCATENATE("_U1|",SUBSTITUTE(SUBSTITUTE(E67,"_","-"),"|","-"))),IF(F67="","",CONCATENATE("_U2|",SUBSTITUTE(SUBSTITUTE(F67,"_","-"),"|","-"))),IF(G67="","",CONCATENATE("_U3|",SUBSTITUTE(SUBSTITUTE(G67,"_","-"),"|","-")))))</f>
        <v>CV|VDV-MERCHANT-DECOLAR_CS|160x600_CT|BAN_U1|CAMPO_U2|VERIZON</v>
      </c>
    </row>
    <row r="68" ht="15.75" customHeight="1">
      <c r="A68" s="30">
        <v>2.53127703E8</v>
      </c>
      <c r="B68" s="14" t="s">
        <v>176</v>
      </c>
      <c r="C68" s="14" t="s">
        <v>104</v>
      </c>
      <c r="D68" s="14" t="s">
        <v>129</v>
      </c>
      <c r="E68" s="14" t="s">
        <v>134</v>
      </c>
      <c r="F68" s="14" t="s">
        <v>130</v>
      </c>
      <c r="G68" s="14"/>
      <c r="H68" s="33" t="str">
        <f>IF(C68="----","#N/A",CONCATENATE("CV|",SUBSTITUTE(SUBSTITUTE(IF(B68="","NONE",B68),"_","-"),"|","-"),"_","CS|",(VLOOKUP(C68,Dictionary!$Y:$Z,2,FALSE)),"_","CT|",(VLOOKUP(D68,Dictionary!$AE:$AF,2,FALSE)),IF(E68="","",CONCATENATE("_U1|",SUBSTITUTE(SUBSTITUTE(E68,"_","-"),"|","-"))),IF(F68="","",CONCATENATE("_U2|",SUBSTITUTE(SUBSTITUTE(F68,"_","-"),"|","-"))),IF(G68="","",CONCATENATE("_U3|",SUBSTITUTE(SUBSTITUTE(G68,"_","-"),"|","-")))))</f>
        <v>CV|VDV-MERCHANT-DECOLAR_CS|300x250_CT|BAN_U1|CAMPO_U2|VERIZON</v>
      </c>
    </row>
    <row r="69" ht="15.75" customHeight="1">
      <c r="A69" s="30">
        <v>2.52686405E8</v>
      </c>
      <c r="B69" s="14" t="s">
        <v>176</v>
      </c>
      <c r="C69" s="14" t="s">
        <v>163</v>
      </c>
      <c r="D69" s="14" t="s">
        <v>129</v>
      </c>
      <c r="E69" s="14" t="s">
        <v>134</v>
      </c>
      <c r="F69" s="14" t="s">
        <v>130</v>
      </c>
      <c r="G69" s="33"/>
      <c r="H69" s="33" t="str">
        <f>IF(C69="----","#N/A",CONCATENATE("CV|",SUBSTITUTE(SUBSTITUTE(IF(B69="","NONE",B69),"_","-"),"|","-"),"_","CS|",(VLOOKUP(C69,Dictionary!$Y:$Z,2,FALSE)),"_","CT|",(VLOOKUP(D69,Dictionary!$AE:$AF,2,FALSE)),IF(E69="","",CONCATENATE("_U1|",SUBSTITUTE(SUBSTITUTE(E69,"_","-"),"|","-"))),IF(F69="","",CONCATENATE("_U2|",SUBSTITUTE(SUBSTITUTE(F69,"_","-"),"|","-"))),IF(G69="","",CONCATENATE("_U3|",SUBSTITUTE(SUBSTITUTE(G69,"_","-"),"|","-")))))</f>
        <v>CV|VDV-MERCHANT-DECOLAR_CS|970x250_CT|BAN_U1|CAMPO_U2|VERIZON</v>
      </c>
    </row>
    <row r="70" ht="15.75" customHeight="1">
      <c r="A70" s="30">
        <v>2.53158993E8</v>
      </c>
      <c r="B70" s="14" t="s">
        <v>176</v>
      </c>
      <c r="C70" s="14" t="s">
        <v>103</v>
      </c>
      <c r="D70" s="14" t="s">
        <v>129</v>
      </c>
      <c r="E70" s="14" t="s">
        <v>177</v>
      </c>
      <c r="F70" s="14" t="s">
        <v>130</v>
      </c>
      <c r="G70" s="33"/>
      <c r="H70" s="33" t="str">
        <f>IF(C70="----","#N/A",CONCATENATE("CV|",SUBSTITUTE(SUBSTITUTE(IF(B70="","NONE",B70),"_","-"),"|","-"),"_","CS|",(VLOOKUP(C70,Dictionary!$Y:$Z,2,FALSE)),"_","CT|",(VLOOKUP(D70,Dictionary!$AE:$AF,2,FALSE)),IF(E70="","",CONCATENATE("_U1|",SUBSTITUTE(SUBSTITUTE(E70,"_","-"),"|","-"))),IF(F70="","",CONCATENATE("_U2|",SUBSTITUTE(SUBSTITUTE(F70,"_","-"),"|","-"))),IF(G70="","",CONCATENATE("_U3|",SUBSTITUTE(SUBSTITUTE(G70,"_","-"),"|","-")))))</f>
        <v>CV|VDV-MERCHANT-DECOLAR_CS|160x600_CT|BAN_U1|PREDIO_U2|VERIZON</v>
      </c>
    </row>
    <row r="71" ht="15.75" customHeight="1">
      <c r="A71" s="14">
        <v>2.53065304E8</v>
      </c>
      <c r="B71" s="14" t="s">
        <v>176</v>
      </c>
      <c r="C71" s="14" t="s">
        <v>105</v>
      </c>
      <c r="D71" s="14" t="s">
        <v>129</v>
      </c>
      <c r="E71" s="14" t="s">
        <v>177</v>
      </c>
      <c r="F71" s="14" t="s">
        <v>130</v>
      </c>
      <c r="G71" s="33"/>
      <c r="H71" s="33" t="str">
        <f>IF(C71="----","#N/A",CONCATENATE("CV|",SUBSTITUTE(SUBSTITUTE(IF(B71="","NONE",B71),"_","-"),"|","-"),"_","CS|",(VLOOKUP(C71,Dictionary!$Y:$Z,2,FALSE)),"_","CT|",(VLOOKUP(D71,Dictionary!$AE:$AF,2,FALSE)),IF(E71="","",CONCATENATE("_U1|",SUBSTITUTE(SUBSTITUTE(E71,"_","-"),"|","-"))),IF(F71="","",CONCATENATE("_U2|",SUBSTITUTE(SUBSTITUTE(F71,"_","-"),"|","-"))),IF(G71="","",CONCATENATE("_U3|",SUBSTITUTE(SUBSTITUTE(G71,"_","-"),"|","-")))))</f>
        <v>CV|VDV-MERCHANT-DECOLAR_CS|300x600_CT|BAN_U1|PREDIO_U2|VERIZON</v>
      </c>
    </row>
    <row r="72" ht="15.75" customHeight="1">
      <c r="A72" s="30">
        <v>2.53064854E8</v>
      </c>
      <c r="B72" s="14" t="s">
        <v>176</v>
      </c>
      <c r="C72" s="14" t="s">
        <v>104</v>
      </c>
      <c r="D72" s="14" t="s">
        <v>129</v>
      </c>
      <c r="E72" s="14" t="s">
        <v>135</v>
      </c>
      <c r="F72" s="14" t="s">
        <v>130</v>
      </c>
      <c r="G72" s="14"/>
      <c r="H72" s="33" t="str">
        <f>IF(C72="----","#N/A",CONCATENATE("CV|",SUBSTITUTE(SUBSTITUTE(IF(B72="","NONE",B72),"_","-"),"|","-"),"_","CS|",(VLOOKUP(C72,Dictionary!$Y:$Z,2,FALSE)),"_","CT|",(VLOOKUP(D72,Dictionary!$AE:$AF,2,FALSE)),IF(E72="","",CONCATENATE("_U1|",SUBSTITUTE(SUBSTITUTE(E72,"_","-"),"|","-"))),IF(F72="","",CONCATENATE("_U2|",SUBSTITUTE(SUBSTITUTE(F72,"_","-"),"|","-"))),IF(G72="","",CONCATENATE("_U3|",SUBSTITUTE(SUBSTITUTE(G72,"_","-"),"|","-")))))</f>
        <v>CV|VDV-MERCHANT-DECOLAR_CS|300x250_CT|BAN_U1|MAR_U2|VERIZON</v>
      </c>
    </row>
    <row r="73" ht="15.75" customHeight="1">
      <c r="A73" s="30">
        <v>2.53065295E8</v>
      </c>
      <c r="B73" s="14" t="s">
        <v>176</v>
      </c>
      <c r="C73" s="14" t="s">
        <v>104</v>
      </c>
      <c r="D73" s="14" t="s">
        <v>129</v>
      </c>
      <c r="E73" s="14" t="s">
        <v>177</v>
      </c>
      <c r="F73" s="14" t="s">
        <v>130</v>
      </c>
      <c r="G73" s="14"/>
      <c r="H73" s="33" t="str">
        <f>IF(C73="----","#N/A",CONCATENATE("CV|",SUBSTITUTE(SUBSTITUTE(IF(B73="","NONE",B73),"_","-"),"|","-"),"_","CS|",(VLOOKUP(C73,Dictionary!$Y:$Z,2,FALSE)),"_","CT|",(VLOOKUP(D73,Dictionary!$AE:$AF,2,FALSE)),IF(E73="","",CONCATENATE("_U1|",SUBSTITUTE(SUBSTITUTE(E73,"_","-"),"|","-"))),IF(F73="","",CONCATENATE("_U2|",SUBSTITUTE(SUBSTITUTE(F73,"_","-"),"|","-"))),IF(G73="","",CONCATENATE("_U3|",SUBSTITUTE(SUBSTITUTE(G73,"_","-"),"|","-")))))</f>
        <v>CV|VDV-MERCHANT-DECOLAR_CS|300x250_CT|BAN_U1|PREDIO_U2|VERIZON</v>
      </c>
    </row>
    <row r="74" ht="15.75" customHeight="1">
      <c r="A74" s="30">
        <v>2.53065316E8</v>
      </c>
      <c r="B74" s="14" t="s">
        <v>176</v>
      </c>
      <c r="C74" s="14" t="s">
        <v>163</v>
      </c>
      <c r="D74" s="14" t="s">
        <v>129</v>
      </c>
      <c r="E74" s="14" t="s">
        <v>177</v>
      </c>
      <c r="F74" s="14" t="s">
        <v>130</v>
      </c>
      <c r="G74" s="14"/>
      <c r="H74" s="33" t="str">
        <f>IF(C74="----","#N/A",CONCATENATE("CV|",SUBSTITUTE(SUBSTITUTE(IF(B74="","NONE",B74),"_","-"),"|","-"),"_","CS|",(VLOOKUP(C74,Dictionary!$Y:$Z,2,FALSE)),"_","CT|",(VLOOKUP(D74,Dictionary!$AE:$AF,2,FALSE)),IF(E74="","",CONCATENATE("_U1|",SUBSTITUTE(SUBSTITUTE(E74,"_","-"),"|","-"))),IF(F74="","",CONCATENATE("_U2|",SUBSTITUTE(SUBSTITUTE(F74,"_","-"),"|","-"))),IF(G74="","",CONCATENATE("_U3|",SUBSTITUTE(SUBSTITUTE(G74,"_","-"),"|","-")))))</f>
        <v>CV|VDV-MERCHANT-DECOLAR_CS|970x250_CT|BAN_U1|PREDIO_U2|VERIZON</v>
      </c>
    </row>
    <row r="75" ht="15.75" customHeight="1">
      <c r="A75" s="30">
        <v>2.53065325E8</v>
      </c>
      <c r="B75" s="14" t="s">
        <v>176</v>
      </c>
      <c r="C75" s="14" t="s">
        <v>103</v>
      </c>
      <c r="D75" s="14" t="s">
        <v>129</v>
      </c>
      <c r="E75" s="14" t="s">
        <v>135</v>
      </c>
      <c r="F75" s="14" t="s">
        <v>130</v>
      </c>
      <c r="G75" s="14"/>
      <c r="H75" s="33" t="str">
        <f>IF(C75="----","#N/A",CONCATENATE("CV|",SUBSTITUTE(SUBSTITUTE(IF(B75="","NONE",B75),"_","-"),"|","-"),"_","CS|",(VLOOKUP(C75,Dictionary!$Y:$Z,2,FALSE)),"_","CT|",(VLOOKUP(D75,Dictionary!$AE:$AF,2,FALSE)),IF(E75="","",CONCATENATE("_U1|",SUBSTITUTE(SUBSTITUTE(E75,"_","-"),"|","-"))),IF(F75="","",CONCATENATE("_U2|",SUBSTITUTE(SUBSTITUTE(F75,"_","-"),"|","-"))),IF(G75="","",CONCATENATE("_U3|",SUBSTITUTE(SUBSTITUTE(G75,"_","-"),"|","-")))))</f>
        <v>CV|VDV-MERCHANT-DECOLAR_CS|160x600_CT|BAN_U1|MAR_U2|VERIZON</v>
      </c>
    </row>
    <row r="76" ht="15.75" customHeight="1">
      <c r="A76" s="30">
        <v>2.5271201E8</v>
      </c>
      <c r="B76" s="14" t="s">
        <v>176</v>
      </c>
      <c r="C76" s="14" t="s">
        <v>163</v>
      </c>
      <c r="D76" s="14" t="s">
        <v>129</v>
      </c>
      <c r="E76" s="14" t="s">
        <v>135</v>
      </c>
      <c r="F76" s="14" t="s">
        <v>130</v>
      </c>
      <c r="G76" s="14"/>
      <c r="H76" s="33" t="str">
        <f>IF(C76="----","#N/A",CONCATENATE("CV|",SUBSTITUTE(SUBSTITUTE(IF(B76="","NONE",B76),"_","-"),"|","-"),"_","CS|",(VLOOKUP(C76,Dictionary!$Y:$Z,2,FALSE)),"_","CT|",(VLOOKUP(D76,Dictionary!$AE:$AF,2,FALSE)),IF(E76="","",CONCATENATE("_U1|",SUBSTITUTE(SUBSTITUTE(E76,"_","-"),"|","-"))),IF(F76="","",CONCATENATE("_U2|",SUBSTITUTE(SUBSTITUTE(F76,"_","-"),"|","-"))),IF(G76="","",CONCATENATE("_U3|",SUBSTITUTE(SUBSTITUTE(G76,"_","-"),"|","-")))))</f>
        <v>CV|VDV-MERCHANT-DECOLAR_CS|970x250_CT|BAN_U1|MAR_U2|VERIZON</v>
      </c>
    </row>
    <row r="77" ht="15.75" customHeight="1">
      <c r="A77" s="30">
        <v>2.53150278E8</v>
      </c>
      <c r="B77" s="14" t="s">
        <v>176</v>
      </c>
      <c r="C77" s="14" t="s">
        <v>105</v>
      </c>
      <c r="D77" s="14" t="s">
        <v>129</v>
      </c>
      <c r="E77" s="14" t="s">
        <v>134</v>
      </c>
      <c r="F77" s="14" t="s">
        <v>130</v>
      </c>
      <c r="G77" s="14"/>
      <c r="H77" s="33" t="str">
        <f>IF(C77="----","#N/A",CONCATENATE("CV|",SUBSTITUTE(SUBSTITUTE(IF(B77="","NONE",B77),"_","-"),"|","-"),"_","CS|",(VLOOKUP(C77,Dictionary!$Y:$Z,2,FALSE)),"_","CT|",(VLOOKUP(D77,Dictionary!$AE:$AF,2,FALSE)),IF(E77="","",CONCATENATE("_U1|",SUBSTITUTE(SUBSTITUTE(E77,"_","-"),"|","-"))),IF(F77="","",CONCATENATE("_U2|",SUBSTITUTE(SUBSTITUTE(F77,"_","-"),"|","-"))),IF(G77="","",CONCATENATE("_U3|",SUBSTITUTE(SUBSTITUTE(G77,"_","-"),"|","-")))))</f>
        <v>CV|VDV-MERCHANT-DECOLAR_CS|300x600_CT|BAN_U1|CAMPO_U2|VERIZON</v>
      </c>
    </row>
    <row r="78" ht="15.75" customHeight="1">
      <c r="A78" s="30">
        <v>2.53064878E8</v>
      </c>
      <c r="B78" s="14" t="s">
        <v>176</v>
      </c>
      <c r="C78" s="14" t="s">
        <v>105</v>
      </c>
      <c r="D78" s="14" t="s">
        <v>129</v>
      </c>
      <c r="E78" s="14" t="s">
        <v>135</v>
      </c>
      <c r="F78" s="14" t="s">
        <v>130</v>
      </c>
      <c r="G78" s="14"/>
      <c r="H78" s="33" t="str">
        <f>IF(C78="----","#N/A",CONCATENATE("CV|",SUBSTITUTE(SUBSTITUTE(IF(B78="","NONE",B78),"_","-"),"|","-"),"_","CS|",(VLOOKUP(C78,Dictionary!$Y:$Z,2,FALSE)),"_","CT|",(VLOOKUP(D78,Dictionary!$AE:$AF,2,FALSE)),IF(E78="","",CONCATENATE("_U1|",SUBSTITUTE(SUBSTITUTE(E78,"_","-"),"|","-"))),IF(F78="","",CONCATENATE("_U2|",SUBSTITUTE(SUBSTITUTE(F78,"_","-"),"|","-"))),IF(G78="","",CONCATENATE("_U3|",SUBSTITUTE(SUBSTITUTE(G78,"_","-"),"|","-")))))</f>
        <v>CV|VDV-MERCHANT-DECOLAR_CS|300x600_CT|BAN_U1|MAR_U2|VERIZON</v>
      </c>
    </row>
    <row r="79" ht="15.75" customHeight="1">
      <c r="A79" s="30">
        <v>2.53118213E8</v>
      </c>
      <c r="B79" s="14" t="s">
        <v>136</v>
      </c>
      <c r="C79" s="14" t="s">
        <v>58</v>
      </c>
      <c r="D79" s="14" t="s">
        <v>121</v>
      </c>
      <c r="E79" s="14" t="s">
        <v>178</v>
      </c>
      <c r="F79" s="14"/>
      <c r="G79" s="14"/>
      <c r="H79" s="33" t="str">
        <f>IF(C79="----","#N/A",CONCATENATE("CV|",SUBSTITUTE(SUBSTITUTE(IF(B79="","NONE",B79),"_","-"),"|","-"),"_","CS|",(VLOOKUP(C79,Dictionary!$Y:$Z,2,FALSE)),"_","CT|",(VLOOKUP(D79,Dictionary!$AE:$AF,2,FALSE)),IF(E79="","",CONCATENATE("_U1|",SUBSTITUTE(SUBSTITUTE(E79,"_","-"),"|","-"))),IF(F79="","",CONCATENATE("_U2|",SUBSTITUTE(SUBSTITUTE(F79,"_","-"),"|","-"))),IF(G79="","",CONCATENATE("_U3|",SUBSTITUTE(SUBSTITUTE(G79,"_","-"),"|","-")))))</f>
        <v>CV|VDV-PROMONACIONAL_CS|1x1_CT|FGIF_U1|GANHADORES</v>
      </c>
    </row>
    <row r="80" ht="15.75" customHeight="1">
      <c r="A80" s="30">
        <v>2.53561005E8</v>
      </c>
      <c r="B80" s="14" t="s">
        <v>136</v>
      </c>
      <c r="C80" s="14" t="s">
        <v>58</v>
      </c>
      <c r="D80" s="14" t="s">
        <v>120</v>
      </c>
      <c r="E80" s="14" t="s">
        <v>178</v>
      </c>
      <c r="F80" s="14"/>
      <c r="G80" s="14"/>
      <c r="H80" s="33" t="str">
        <f>IF(C80="----","#N/A",CONCATENATE("CV|",SUBSTITUTE(SUBSTITUTE(IF(B80="","NONE",B80),"_","-"),"|","-"),"_","CS|",(VLOOKUP(C80,Dictionary!$Y:$Z,2,FALSE)),"_","CT|",(VLOOKUP(D80,Dictionary!$AE:$AF,2,FALSE)),IF(E80="","",CONCATENATE("_U1|",SUBSTITUTE(SUBSTITUTE(E80,"_","-"),"|","-"))),IF(F80="","",CONCATENATE("_U2|",SUBSTITUTE(SUBSTITUTE(F80,"_","-"),"|","-"))),IF(G80="","",CONCATENATE("_U3|",SUBSTITUTE(SUBSTITUTE(G80,"_","-"),"|","-")))))</f>
        <v>CV|VDV-PROMONACIONAL_CS|1x1_CT|FLA_U1|GANHADORES</v>
      </c>
    </row>
    <row r="81" ht="15.75" customHeight="1">
      <c r="A81" s="30">
        <v>2.53116236E8</v>
      </c>
      <c r="B81" s="14" t="s">
        <v>136</v>
      </c>
      <c r="C81" s="14" t="s">
        <v>58</v>
      </c>
      <c r="D81" s="14" t="s">
        <v>123</v>
      </c>
      <c r="E81" s="14" t="s">
        <v>178</v>
      </c>
      <c r="F81" s="14"/>
      <c r="G81" s="14"/>
      <c r="H81" s="33" t="str">
        <f>IF(C81="----","#N/A",CONCATENATE("CV|",SUBSTITUTE(SUBSTITUTE(IF(B81="","NONE",B81),"_","-"),"|","-"),"_","CS|",(VLOOKUP(C81,Dictionary!$Y:$Z,2,FALSE)),"_","CT|",(VLOOKUP(D81,Dictionary!$AE:$AF,2,FALSE)),IF(E81="","",CONCATENATE("_U1|",SUBSTITUTE(SUBSTITUTE(E81,"_","-"),"|","-"))),IF(F81="","",CONCATENATE("_U2|",SUBSTITUTE(SUBSTITUTE(F81,"_","-"),"|","-"))),IF(G81="","",CONCATENATE("_U3|",SUBSTITUTE(SUBSTITUTE(G81,"_","-"),"|","-")))))</f>
        <v>CV|VDV-PROMONACIONAL_CS|1x1_CT|INSSTORY_U1|GANHADORES</v>
      </c>
    </row>
    <row r="82" ht="15.75" customHeight="1">
      <c r="A82" s="30">
        <v>2.53832721E8</v>
      </c>
      <c r="B82" s="14" t="s">
        <v>176</v>
      </c>
      <c r="C82" s="14" t="s">
        <v>58</v>
      </c>
      <c r="D82" s="14" t="s">
        <v>123</v>
      </c>
      <c r="E82" s="14" t="s">
        <v>149</v>
      </c>
      <c r="F82" s="14"/>
      <c r="G82" s="14"/>
      <c r="H82" s="33" t="str">
        <f>IF(C82="----","#N/A",CONCATENATE("CV|",SUBSTITUTE(SUBSTITUTE(IF(B82="","NONE",B82),"_","-"),"|","-"),"_","CS|",(VLOOKUP(C82,Dictionary!$Y:$Z,2,FALSE)),"_","CT|",(VLOOKUP(D82,Dictionary!$AE:$AF,2,FALSE)),IF(E82="","",CONCATENATE("_U1|",SUBSTITUTE(SUBSTITUTE(E82,"_","-"),"|","-"))),IF(F82="","",CONCATENATE("_U2|",SUBSTITUTE(SUBSTITUTE(F82,"_","-"),"|","-"))),IF(G82="","",CONCATENATE("_U3|",SUBSTITUTE(SUBSTITUTE(G82,"_","-"),"|","-")))))</f>
        <v>CV|VDV-MERCHANT-DECOLAR_CS|1x1_CT|INSSTORY_U1|PRAIA</v>
      </c>
    </row>
    <row r="83" ht="15.75" customHeight="1">
      <c r="A83" s="30">
        <v>2.53832718E8</v>
      </c>
      <c r="B83" s="14" t="s">
        <v>176</v>
      </c>
      <c r="C83" s="14" t="s">
        <v>58</v>
      </c>
      <c r="D83" s="14" t="s">
        <v>120</v>
      </c>
      <c r="E83" s="14" t="s">
        <v>149</v>
      </c>
      <c r="F83" s="14"/>
      <c r="G83" s="14"/>
      <c r="H83" s="33" t="str">
        <f>IF(C83="----","#N/A",CONCATENATE("CV|",SUBSTITUTE(SUBSTITUTE(IF(B83="","NONE",B83),"_","-"),"|","-"),"_","CS|",(VLOOKUP(C83,Dictionary!$Y:$Z,2,FALSE)),"_","CT|",(VLOOKUP(D83,Dictionary!$AE:$AF,2,FALSE)),IF(E83="","",CONCATENATE("_U1|",SUBSTITUTE(SUBSTITUTE(E83,"_","-"),"|","-"))),IF(F83="","",CONCATENATE("_U2|",SUBSTITUTE(SUBSTITUTE(F83,"_","-"),"|","-"))),IF(G83="","",CONCATENATE("_U3|",SUBSTITUTE(SUBSTITUTE(G83,"_","-"),"|","-")))))</f>
        <v>CV|VDV-MERCHANT-DECOLAR_CS|1x1_CT|FLA_U1|PRAIA</v>
      </c>
    </row>
    <row r="84" ht="15.75" customHeight="1">
      <c r="A84" s="30">
        <v>2.53832715E8</v>
      </c>
      <c r="B84" s="14" t="s">
        <v>176</v>
      </c>
      <c r="C84" s="14" t="s">
        <v>58</v>
      </c>
      <c r="D84" s="14" t="s">
        <v>122</v>
      </c>
      <c r="E84" s="14" t="s">
        <v>149</v>
      </c>
      <c r="F84" s="14"/>
      <c r="G84" s="14"/>
      <c r="H84" s="33" t="str">
        <f>IF(C84="----","#N/A",CONCATENATE("CV|",SUBSTITUTE(SUBSTITUTE(IF(B84="","NONE",B84),"_","-"),"|","-"),"_","CS|",(VLOOKUP(C84,Dictionary!$Y:$Z,2,FALSE)),"_","CT|",(VLOOKUP(D84,Dictionary!$AE:$AF,2,FALSE)),IF(E84="","",CONCATENATE("_U1|",SUBSTITUTE(SUBSTITUTE(E84,"_","-"),"|","-"))),IF(F84="","",CONCATENATE("_U2|",SUBSTITUTE(SUBSTITUTE(F84,"_","-"),"|","-"))),IF(G84="","",CONCATENATE("_U3|",SUBSTITUTE(SUBSTITUTE(G84,"_","-"),"|","-")))))</f>
        <v>CV|VDV-MERCHANT-DECOLAR_CS|1x1_CT|FCR_U1|PRAIA</v>
      </c>
    </row>
    <row r="85" ht="15.75" customHeight="1">
      <c r="A85" s="30">
        <v>2.53832712E8</v>
      </c>
      <c r="B85" s="14" t="s">
        <v>176</v>
      </c>
      <c r="C85" s="14" t="s">
        <v>58</v>
      </c>
      <c r="D85" s="14" t="s">
        <v>121</v>
      </c>
      <c r="E85" s="14" t="s">
        <v>149</v>
      </c>
      <c r="F85" s="14"/>
      <c r="G85" s="14"/>
      <c r="H85" s="33" t="str">
        <f>IF(C85="----","#N/A",CONCATENATE("CV|",SUBSTITUTE(SUBSTITUTE(IF(B85="","NONE",B85),"_","-"),"|","-"),"_","CS|",(VLOOKUP(C85,Dictionary!$Y:$Z,2,FALSE)),"_","CT|",(VLOOKUP(D85,Dictionary!$AE:$AF,2,FALSE)),IF(E85="","",CONCATENATE("_U1|",SUBSTITUTE(SUBSTITUTE(E85,"_","-"),"|","-"))),IF(F85="","",CONCATENATE("_U2|",SUBSTITUTE(SUBSTITUTE(F85,"_","-"),"|","-"))),IF(G85="","",CONCATENATE("_U3|",SUBSTITUTE(SUBSTITUTE(G85,"_","-"),"|","-")))))</f>
        <v>CV|VDV-MERCHANT-DECOLAR_CS|1x1_CT|FGIF_U1|PRAIA</v>
      </c>
    </row>
    <row r="86" ht="15.75" customHeight="1">
      <c r="A86" s="30">
        <v>2.53832709E8</v>
      </c>
      <c r="B86" s="14" t="s">
        <v>176</v>
      </c>
      <c r="C86" s="14" t="s">
        <v>58</v>
      </c>
      <c r="D86" s="14" t="s">
        <v>123</v>
      </c>
      <c r="E86" s="14" t="s">
        <v>179</v>
      </c>
      <c r="F86" s="14"/>
      <c r="G86" s="14"/>
      <c r="H86" s="33" t="str">
        <f>IF(C86="----","#N/A",CONCATENATE("CV|",SUBSTITUTE(SUBSTITUTE(IF(B86="","NONE",B86),"_","-"),"|","-"),"_","CS|",(VLOOKUP(C86,Dictionary!$Y:$Z,2,FALSE)),"_","CT|",(VLOOKUP(D86,Dictionary!$AE:$AF,2,FALSE)),IF(E86="","",CONCATENATE("_U1|",SUBSTITUTE(SUBSTITUTE(E86,"_","-"),"|","-"))),IF(F86="","",CONCATENATE("_U2|",SUBSTITUTE(SUBSTITUTE(F86,"_","-"),"|","-"))),IF(G86="","",CONCATENATE("_U3|",SUBSTITUTE(SUBSTITUTE(G86,"_","-"),"|","-")))))</f>
        <v>CV|VDV-MERCHANT-DECOLAR_CS|1x1_CT|INSSTORY_U1|MONTANHA</v>
      </c>
    </row>
    <row r="87" ht="15.75" customHeight="1">
      <c r="A87" s="30">
        <v>2.53832706E8</v>
      </c>
      <c r="B87" s="14" t="s">
        <v>176</v>
      </c>
      <c r="C87" s="14" t="s">
        <v>58</v>
      </c>
      <c r="D87" s="14" t="s">
        <v>120</v>
      </c>
      <c r="E87" s="14" t="s">
        <v>179</v>
      </c>
      <c r="F87" s="14"/>
      <c r="G87" s="14"/>
      <c r="H87" s="33" t="str">
        <f>IF(C87="----","#N/A",CONCATENATE("CV|",SUBSTITUTE(SUBSTITUTE(IF(B87="","NONE",B87),"_","-"),"|","-"),"_","CS|",(VLOOKUP(C87,Dictionary!$Y:$Z,2,FALSE)),"_","CT|",(VLOOKUP(D87,Dictionary!$AE:$AF,2,FALSE)),IF(E87="","",CONCATENATE("_U1|",SUBSTITUTE(SUBSTITUTE(E87,"_","-"),"|","-"))),IF(F87="","",CONCATENATE("_U2|",SUBSTITUTE(SUBSTITUTE(F87,"_","-"),"|","-"))),IF(G87="","",CONCATENATE("_U3|",SUBSTITUTE(SUBSTITUTE(G87,"_","-"),"|","-")))))</f>
        <v>CV|VDV-MERCHANT-DECOLAR_CS|1x1_CT|FLA_U1|MONTANHA</v>
      </c>
    </row>
    <row r="88" ht="15.75" customHeight="1">
      <c r="A88" s="30">
        <v>2.53832703E8</v>
      </c>
      <c r="B88" s="14" t="s">
        <v>176</v>
      </c>
      <c r="C88" s="14" t="s">
        <v>58</v>
      </c>
      <c r="D88" s="14" t="s">
        <v>122</v>
      </c>
      <c r="E88" s="14" t="s">
        <v>179</v>
      </c>
      <c r="F88" s="14"/>
      <c r="G88" s="14"/>
      <c r="H88" s="33" t="str">
        <f>IF(C88="----","#N/A",CONCATENATE("CV|",SUBSTITUTE(SUBSTITUTE(IF(B88="","NONE",B88),"_","-"),"|","-"),"_","CS|",(VLOOKUP(C88,Dictionary!$Y:$Z,2,FALSE)),"_","CT|",(VLOOKUP(D88,Dictionary!$AE:$AF,2,FALSE)),IF(E88="","",CONCATENATE("_U1|",SUBSTITUTE(SUBSTITUTE(E88,"_","-"),"|","-"))),IF(F88="","",CONCATENATE("_U2|",SUBSTITUTE(SUBSTITUTE(F88,"_","-"),"|","-"))),IF(G88="","",CONCATENATE("_U3|",SUBSTITUTE(SUBSTITUTE(G88,"_","-"),"|","-")))))</f>
        <v>CV|VDV-MERCHANT-DECOLAR_CS|1x1_CT|FCR_U1|MONTANHA</v>
      </c>
    </row>
    <row r="89" ht="15.75" customHeight="1">
      <c r="A89" s="30">
        <v>2.538327E8</v>
      </c>
      <c r="B89" s="14" t="s">
        <v>176</v>
      </c>
      <c r="C89" s="14" t="s">
        <v>58</v>
      </c>
      <c r="D89" s="14" t="s">
        <v>121</v>
      </c>
      <c r="E89" s="14" t="s">
        <v>179</v>
      </c>
      <c r="F89" s="14"/>
      <c r="G89" s="14"/>
      <c r="H89" s="33" t="str">
        <f>IF(C89="----","#N/A",CONCATENATE("CV|",SUBSTITUTE(SUBSTITUTE(IF(B89="","NONE",B89),"_","-"),"|","-"),"_","CS|",(VLOOKUP(C89,Dictionary!$Y:$Z,2,FALSE)),"_","CT|",(VLOOKUP(D89,Dictionary!$AE:$AF,2,FALSE)),IF(E89="","",CONCATENATE("_U1|",SUBSTITUTE(SUBSTITUTE(E89,"_","-"),"|","-"))),IF(F89="","",CONCATENATE("_U2|",SUBSTITUTE(SUBSTITUTE(F89,"_","-"),"|","-"))),IF(G89="","",CONCATENATE("_U3|",SUBSTITUTE(SUBSTITUTE(G89,"_","-"),"|","-")))))</f>
        <v>CV|VDV-MERCHANT-DECOLAR_CS|1x1_CT|FGIF_U1|MONTANHA</v>
      </c>
    </row>
    <row r="90" ht="15.75" customHeight="1">
      <c r="A90" s="30">
        <v>2.53472006E8</v>
      </c>
      <c r="B90" s="14" t="s">
        <v>136</v>
      </c>
      <c r="C90" s="14" t="s">
        <v>113</v>
      </c>
      <c r="D90" s="14" t="s">
        <v>119</v>
      </c>
      <c r="E90" s="14" t="s">
        <v>180</v>
      </c>
      <c r="F90" s="14"/>
      <c r="G90" s="14"/>
      <c r="H90" s="33" t="str">
        <f>IF(C90="----","#N/A",CONCATENATE("CV|",SUBSTITUTE(SUBSTITUTE(IF(B90="","NONE",B90),"_","-"),"|","-"),"_","CS|",(VLOOKUP(C90,Dictionary!$Y:$Z,2,FALSE)),"_","CT|",(VLOOKUP(D90,Dictionary!$AE:$AF,2,FALSE)),IF(E90="","",CONCATENATE("_U1|",SUBSTITUTE(SUBSTITUTE(E90,"_","-"),"|","-"))),IF(F90="","",CONCATENATE("_U2|",SUBSTITUTE(SUBSTITUTE(F90,"_","-"),"|","-"))),IF(G90="","",CONCATENATE("_U3|",SUBSTITUTE(SUBSTITUTE(G90,"_","-"),"|","-")))))</f>
        <v>CV|VDV-PROMONACIONAL_CS|1200x627_CT|NAT_U1|KV-AMARELO</v>
      </c>
    </row>
    <row r="91" ht="15.75" customHeight="1">
      <c r="A91" s="30">
        <v>2.53535321E8</v>
      </c>
      <c r="B91" s="14" t="s">
        <v>172</v>
      </c>
      <c r="C91" s="14" t="s">
        <v>113</v>
      </c>
      <c r="D91" s="14" t="s">
        <v>119</v>
      </c>
      <c r="E91" s="14" t="s">
        <v>181</v>
      </c>
      <c r="F91" s="14"/>
      <c r="G91" s="14"/>
      <c r="H91" s="33" t="str">
        <f>IF(C91="----","#N/A",CONCATENATE("CV|",SUBSTITUTE(SUBSTITUTE(IF(B91="","NONE",B91),"_","-"),"|","-"),"_","CS|",(VLOOKUP(C91,Dictionary!$Y:$Z,2,FALSE)),"_","CT|",(VLOOKUP(D91,Dictionary!$AE:$AF,2,FALSE)),IF(E91="","",CONCATENATE("_U1|",SUBSTITUTE(SUBSTITUTE(E91,"_","-"),"|","-"))),IF(F91="","",CONCATENATE("_U2|",SUBSTITUTE(SUBSTITUTE(F91,"_","-"),"|","-"))),IF(G91="","",CONCATENATE("_U3|",SUBSTITUTE(SUBSTITUTE(G91,"_","-"),"|","-")))))</f>
        <v>CV|VDV-MERCHANT-NETSHOES-15OFF_CS|1200x627_CT|NAT_U1|FEMININO</v>
      </c>
    </row>
    <row r="92" ht="15.75" customHeight="1">
      <c r="A92" s="30">
        <v>2.54095833E8</v>
      </c>
      <c r="B92" s="14" t="s">
        <v>182</v>
      </c>
      <c r="C92" s="14" t="s">
        <v>58</v>
      </c>
      <c r="D92" s="14" t="s">
        <v>122</v>
      </c>
      <c r="E92" s="14" t="s">
        <v>183</v>
      </c>
      <c r="F92" s="14"/>
      <c r="G92" s="33"/>
      <c r="H92" s="33" t="str">
        <f>IF(C92="----","#N/A",CONCATENATE("CV|",SUBSTITUTE(SUBSTITUTE(IF(B92="","NONE",B92),"_","-"),"|","-"),"_","CS|",(VLOOKUP(C92,Dictionary!$Y:$Z,2,FALSE)),"_","CT|",(VLOOKUP(D92,Dictionary!$AE:$AF,2,FALSE)),IF(E92="","",CONCATENATE("_U1|",SUBSTITUTE(SUBSTITUTE(E92,"_","-"),"|","-"))),IF(F92="","",CONCATENATE("_U2|",SUBSTITUTE(SUBSTITUTE(F92,"_","-"),"|","-"))),IF(G92="","",CONCATENATE("_U3|",SUBSTITUTE(SUBSTITUTE(G92,"_","-"),"|","-")))))</f>
        <v>CV|VDV-MERCHANT-RENNER_CS|1x1_CT|FCR_U1|5FRAMES-HOMEMEMULHER-MENSAGEM-ANTECIPADA</v>
      </c>
    </row>
    <row r="93" ht="15.75" customHeight="1">
      <c r="A93" s="30">
        <v>2.54095836E8</v>
      </c>
      <c r="B93" s="14" t="s">
        <v>169</v>
      </c>
      <c r="C93" s="14" t="s">
        <v>58</v>
      </c>
      <c r="D93" s="14" t="s">
        <v>123</v>
      </c>
      <c r="E93" s="14" t="s">
        <v>184</v>
      </c>
      <c r="F93" s="14"/>
      <c r="G93" s="33"/>
      <c r="H93" s="33" t="str">
        <f>IF(C93="----","#N/A",CONCATENATE("CV|",SUBSTITUTE(SUBSTITUTE(IF(B93="","NONE",B93),"_","-"),"|","-"),"_","CS|",(VLOOKUP(C93,Dictionary!$Y:$Z,2,FALSE)),"_","CT|",(VLOOKUP(D93,Dictionary!$AE:$AF,2,FALSE)),IF(E93="","",CONCATENATE("_U1|",SUBSTITUTE(SUBSTITUTE(E93,"_","-"),"|","-"))),IF(F93="","",CONCATENATE("_U2|",SUBSTITUTE(SUBSTITUTE(F93,"_","-"),"|","-"))),IF(G93="","",CONCATENATE("_U3|",SUBSTITUTE(SUBSTITUTE(G93,"_","-"),"|","-")))))</f>
        <v>CV|VCO-MERCHANT-GPA_CS|1x1_CT|INSSTORY_U1|PAIEFILHA</v>
      </c>
    </row>
    <row r="94" ht="15.75" customHeight="1">
      <c r="A94" s="30">
        <v>2.54095839E8</v>
      </c>
      <c r="B94" s="14" t="s">
        <v>169</v>
      </c>
      <c r="C94" s="14" t="s">
        <v>58</v>
      </c>
      <c r="D94" s="14" t="s">
        <v>120</v>
      </c>
      <c r="E94" s="14" t="s">
        <v>184</v>
      </c>
      <c r="F94" s="14"/>
      <c r="G94" s="33"/>
      <c r="H94" s="33" t="str">
        <f>IF(C94="----","#N/A",CONCATENATE("CV|",SUBSTITUTE(SUBSTITUTE(IF(B94="","NONE",B94),"_","-"),"|","-"),"_","CS|",(VLOOKUP(C94,Dictionary!$Y:$Z,2,FALSE)),"_","CT|",(VLOOKUP(D94,Dictionary!$AE:$AF,2,FALSE)),IF(E94="","",CONCATENATE("_U1|",SUBSTITUTE(SUBSTITUTE(E94,"_","-"),"|","-"))),IF(F94="","",CONCATENATE("_U2|",SUBSTITUTE(SUBSTITUTE(F94,"_","-"),"|","-"))),IF(G94="","",CONCATENATE("_U3|",SUBSTITUTE(SUBSTITUTE(G94,"_","-"),"|","-")))))</f>
        <v>CV|VCO-MERCHANT-GPA_CS|1x1_CT|FLA_U1|PAIEFILHA</v>
      </c>
    </row>
    <row r="95" ht="15.75" customHeight="1">
      <c r="A95" s="30">
        <v>2.54166003E8</v>
      </c>
      <c r="B95" s="14" t="s">
        <v>172</v>
      </c>
      <c r="C95" s="14" t="s">
        <v>58</v>
      </c>
      <c r="D95" s="14" t="s">
        <v>121</v>
      </c>
      <c r="E95" s="14" t="s">
        <v>181</v>
      </c>
      <c r="F95" s="14"/>
      <c r="G95" s="33"/>
      <c r="H95" s="33" t="str">
        <f>IF(C95="----","#N/A",CONCATENATE("CV|",SUBSTITUTE(SUBSTITUTE(IF(B95="","NONE",B95),"_","-"),"|","-"),"_","CS|",(VLOOKUP(C95,Dictionary!$Y:$Z,2,FALSE)),"_","CT|",(VLOOKUP(D95,Dictionary!$AE:$AF,2,FALSE)),IF(E95="","",CONCATENATE("_U1|",SUBSTITUTE(SUBSTITUTE(E95,"_","-"),"|","-"))),IF(F95="","",CONCATENATE("_U2|",SUBSTITUTE(SUBSTITUTE(F95,"_","-"),"|","-"))),IF(G95="","",CONCATENATE("_U3|",SUBSTITUTE(SUBSTITUTE(G95,"_","-"),"|","-")))))</f>
        <v>CV|VDV-MERCHANT-NETSHOES-15OFF_CS|1x1_CT|FGIF_U1|FEMININO</v>
      </c>
    </row>
    <row r="96" ht="15.75" customHeight="1">
      <c r="A96" s="30">
        <v>2.54166006E8</v>
      </c>
      <c r="B96" s="14" t="s">
        <v>172</v>
      </c>
      <c r="C96" s="14" t="s">
        <v>58</v>
      </c>
      <c r="D96" s="14" t="s">
        <v>122</v>
      </c>
      <c r="E96" s="14" t="s">
        <v>181</v>
      </c>
      <c r="F96" s="14"/>
      <c r="G96" s="14"/>
      <c r="H96" s="33" t="str">
        <f>IF(C96="----","#N/A",CONCATENATE("CV|",SUBSTITUTE(SUBSTITUTE(IF(B96="","NONE",B96),"_","-"),"|","-"),"_","CS|",(VLOOKUP(C96,Dictionary!$Y:$Z,2,FALSE)),"_","CT|",(VLOOKUP(D96,Dictionary!$AE:$AF,2,FALSE)),IF(E96="","",CONCATENATE("_U1|",SUBSTITUTE(SUBSTITUTE(E96,"_","-"),"|","-"))),IF(F96="","",CONCATENATE("_U2|",SUBSTITUTE(SUBSTITUTE(F96,"_","-"),"|","-"))),IF(G96="","",CONCATENATE("_U3|",SUBSTITUTE(SUBSTITUTE(G96,"_","-"),"|","-")))))</f>
        <v>CV|VDV-MERCHANT-NETSHOES-15OFF_CS|1x1_CT|FCR_U1|FEMININO</v>
      </c>
    </row>
    <row r="97" ht="15.75" customHeight="1">
      <c r="A97" s="30">
        <v>2.54166009E8</v>
      </c>
      <c r="B97" s="14" t="s">
        <v>185</v>
      </c>
      <c r="C97" s="14" t="s">
        <v>58</v>
      </c>
      <c r="D97" s="14" t="s">
        <v>120</v>
      </c>
      <c r="E97" s="14" t="s">
        <v>181</v>
      </c>
      <c r="F97" s="14"/>
      <c r="G97" s="14"/>
      <c r="H97" s="33" t="str">
        <f>IF(C97="----","#N/A",CONCATENATE("CV|",SUBSTITUTE(SUBSTITUTE(IF(B97="","NONE",B97),"_","-"),"|","-"),"_","CS|",(VLOOKUP(C97,Dictionary!$Y:$Z,2,FALSE)),"_","CT|",(VLOOKUP(D97,Dictionary!$AE:$AF,2,FALSE)),IF(E97="","",CONCATENATE("_U1|",SUBSTITUTE(SUBSTITUTE(E97,"_","-"),"|","-"))),IF(F97="","",CONCATENATE("_U2|",SUBSTITUTE(SUBSTITUTE(F97,"_","-"),"|","-"))),IF(G97="","",CONCATENATE("_U3|",SUBSTITUTE(SUBSTITUTE(G97,"_","-"),"|","-")))))</f>
        <v>CV|VDV-MERCHANT-ZATTINI-15OFF_CS|1x1_CT|FLA_U1|FEMININO</v>
      </c>
    </row>
    <row r="98" ht="15.75" customHeight="1">
      <c r="A98" s="30">
        <v>2.54166018E8</v>
      </c>
      <c r="B98" s="14" t="s">
        <v>172</v>
      </c>
      <c r="C98" s="14" t="s">
        <v>58</v>
      </c>
      <c r="D98" s="14" t="s">
        <v>123</v>
      </c>
      <c r="E98" s="14" t="s">
        <v>181</v>
      </c>
      <c r="F98" s="14"/>
      <c r="G98" s="14"/>
      <c r="H98" s="33" t="str">
        <f>IF(C98="----","#N/A",CONCATENATE("CV|",SUBSTITUTE(SUBSTITUTE(IF(B98="","NONE",B98),"_","-"),"|","-"),"_","CS|",(VLOOKUP(C98,Dictionary!$Y:$Z,2,FALSE)),"_","CT|",(VLOOKUP(D98,Dictionary!$AE:$AF,2,FALSE)),IF(E98="","",CONCATENATE("_U1|",SUBSTITUTE(SUBSTITUTE(E98,"_","-"),"|","-"))),IF(F98="","",CONCATENATE("_U2|",SUBSTITUTE(SUBSTITUTE(F98,"_","-"),"|","-"))),IF(G98="","",CONCATENATE("_U3|",SUBSTITUTE(SUBSTITUTE(G98,"_","-"),"|","-")))))</f>
        <v>CV|VDV-MERCHANT-NETSHOES-15OFF_CS|1x1_CT|INSSTORY_U1|FEMININO</v>
      </c>
    </row>
    <row r="99" ht="15.75" customHeight="1">
      <c r="A99" s="30">
        <v>2.54166021E8</v>
      </c>
      <c r="B99" s="14" t="s">
        <v>185</v>
      </c>
      <c r="C99" s="14" t="s">
        <v>58</v>
      </c>
      <c r="D99" s="14" t="s">
        <v>123</v>
      </c>
      <c r="E99" s="14" t="s">
        <v>181</v>
      </c>
      <c r="F99" s="14"/>
      <c r="G99" s="14"/>
      <c r="H99" s="33" t="str">
        <f>IF(C99="----","#N/A",CONCATENATE("CV|",SUBSTITUTE(SUBSTITUTE(IF(B99="","NONE",B99),"_","-"),"|","-"),"_","CS|",(VLOOKUP(C99,Dictionary!$Y:$Z,2,FALSE)),"_","CT|",(VLOOKUP(D99,Dictionary!$AE:$AF,2,FALSE)),IF(E99="","",CONCATENATE("_U1|",SUBSTITUTE(SUBSTITUTE(E99,"_","-"),"|","-"))),IF(F99="","",CONCATENATE("_U2|",SUBSTITUTE(SUBSTITUTE(F99,"_","-"),"|","-"))),IF(G99="","",CONCATENATE("_U3|",SUBSTITUTE(SUBSTITUTE(G99,"_","-"),"|","-")))))</f>
        <v>CV|VDV-MERCHANT-ZATTINI-15OFF_CS|1x1_CT|INSSTORY_U1|FEMININO</v>
      </c>
    </row>
    <row r="100" ht="15.75" customHeight="1">
      <c r="A100" s="30">
        <v>2.53822499E8</v>
      </c>
      <c r="B100" s="14" t="s">
        <v>136</v>
      </c>
      <c r="C100" s="14" t="s">
        <v>73</v>
      </c>
      <c r="D100" s="14" t="s">
        <v>119</v>
      </c>
      <c r="E100" s="14" t="s">
        <v>186</v>
      </c>
      <c r="F100" s="14" t="s">
        <v>187</v>
      </c>
      <c r="G100" s="14"/>
      <c r="H100" s="33" t="str">
        <f>IF(C100="----","#N/A",CONCATENATE("CV|",SUBSTITUTE(SUBSTITUTE(IF(B100="","NONE",B100),"_","-"),"|","-"),"_","CS|",(VLOOKUP(C100,Dictionary!$Y:$Z,2,FALSE)),"_","CT|",(VLOOKUP(D100,Dictionary!$AE:$AF,2,FALSE)),IF(E100="","",CONCATENATE("_U1|",SUBSTITUTE(SUBSTITUTE(E100,"_","-"),"|","-"))),IF(F100="","",CONCATENATE("_U2|",SUBSTITUTE(SUBSTITUTE(F100,"_","-"),"|","-"))),IF(G100="","",CONCATENATE("_U3|",SUBSTITUTE(SUBSTITUTE(G100,"_","-"),"|","-")))))</f>
        <v>CV|VDV-PROMONACIONAL_CS|627x627_CT|NAT_U1|KVAMARELO_U2|TESTE-DSP</v>
      </c>
    </row>
    <row r="101" ht="15.75" customHeight="1">
      <c r="A101" s="30">
        <v>2.54745531E8</v>
      </c>
      <c r="B101" s="14" t="s">
        <v>176</v>
      </c>
      <c r="C101" s="14" t="s">
        <v>58</v>
      </c>
      <c r="D101" s="14" t="s">
        <v>120</v>
      </c>
      <c r="E101" s="14" t="s">
        <v>188</v>
      </c>
      <c r="F101" s="14"/>
      <c r="G101" s="14"/>
      <c r="H101" s="33" t="str">
        <f>IF(C101="----","#N/A",CONCATENATE("CV|",SUBSTITUTE(SUBSTITUTE(IF(B101="","NONE",B101),"_","-"),"|","-"),"_","CS|",(VLOOKUP(C101,Dictionary!$Y:$Z,2,FALSE)),"_","CT|",(VLOOKUP(D101,Dictionary!$AE:$AF,2,FALSE)),IF(E101="","",CONCATENATE("_U1|",SUBSTITUTE(SUBSTITUTE(E101,"_","-"),"|","-"))),IF(F101="","",CONCATENATE("_U2|",SUBSTITUTE(SUBSTITUTE(F101,"_","-"),"|","-"))),IF(G101="","",CONCATENATE("_U3|",SUBSTITUTE(SUBSTITUTE(G101,"_","-"),"|","-")))))</f>
        <v>CV|VDV-MERCHANT-DECOLAR_CS|1x1_CT|FLA_U1|OPORTUNIDADE-PISCINA</v>
      </c>
    </row>
    <row r="102" ht="15.75" customHeight="1">
      <c r="A102" s="30">
        <v>2.5438028E8</v>
      </c>
      <c r="B102" s="14" t="s">
        <v>136</v>
      </c>
      <c r="C102" s="14" t="s">
        <v>58</v>
      </c>
      <c r="D102" s="14" t="s">
        <v>123</v>
      </c>
      <c r="E102" s="14" t="s">
        <v>189</v>
      </c>
      <c r="F102" s="14"/>
      <c r="G102" s="14"/>
      <c r="H102" s="33" t="str">
        <f>IF(C102="----","#N/A",CONCATENATE("CV|",SUBSTITUTE(SUBSTITUTE(IF(B102="","NONE",B102),"_","-"),"|","-"),"_","CS|",(VLOOKUP(C102,Dictionary!$Y:$Z,2,FALSE)),"_","CT|",(VLOOKUP(D102,Dictionary!$AE:$AF,2,FALSE)),IF(E102="","",CONCATENATE("_U1|",SUBSTITUTE(SUBSTITUTE(E102,"_","-"),"|","-"))),IF(F102="","",CONCATENATE("_U2|",SUBSTITUTE(SUBSTITUTE(F102,"_","-"),"|","-"))),IF(G102="","",CONCATENATE("_U3|",SUBSTITUTE(SUBSTITUTE(G102,"_","-"),"|","-")))))</f>
        <v>CV|VDV-PROMONACIONAL_CS|1x1_CT|INSSTORY_U1|CHANCECHANCE-FUTEBOL</v>
      </c>
    </row>
    <row r="103" ht="15.75" customHeight="1">
      <c r="A103" s="30">
        <v>2.54380283E8</v>
      </c>
      <c r="B103" s="14" t="s">
        <v>136</v>
      </c>
      <c r="C103" s="14" t="s">
        <v>58</v>
      </c>
      <c r="D103" s="14" t="s">
        <v>123</v>
      </c>
      <c r="E103" s="14" t="s">
        <v>190</v>
      </c>
      <c r="F103" s="14"/>
      <c r="G103" s="14"/>
      <c r="H103" s="33" t="str">
        <f>IF(C103="----","#N/A",CONCATENATE("CV|",SUBSTITUTE(SUBSTITUTE(IF(B103="","NONE",B103),"_","-"),"|","-"),"_","CS|",(VLOOKUP(C103,Dictionary!$Y:$Z,2,FALSE)),"_","CT|",(VLOOKUP(D103,Dictionary!$AE:$AF,2,FALSE)),IF(E103="","",CONCATENATE("_U1|",SUBSTITUTE(SUBSTITUTE(E103,"_","-"),"|","-"))),IF(F103="","",CONCATENATE("_U2|",SUBSTITUTE(SUBSTITUTE(F103,"_","-"),"|","-"))),IF(G103="","",CONCATENATE("_U3|",SUBSTITUTE(SUBSTITUTE(G103,"_","-"),"|","-")))))</f>
        <v>CV|VDV-PROMONACIONAL_CS|1x1_CT|INSSTORY_U1|CHANCECHANCE-BASQUETE</v>
      </c>
    </row>
    <row r="104" ht="15.75" customHeight="1">
      <c r="A104" s="30">
        <v>2.54860515E8</v>
      </c>
      <c r="B104" s="14" t="s">
        <v>136</v>
      </c>
      <c r="C104" s="14" t="s">
        <v>58</v>
      </c>
      <c r="D104" s="14" t="s">
        <v>120</v>
      </c>
      <c r="E104" s="14" t="s">
        <v>191</v>
      </c>
      <c r="F104" s="14"/>
      <c r="G104" s="14"/>
      <c r="H104" s="33" t="str">
        <f>IF(C104="----","#N/A",CONCATENATE("CV|",SUBSTITUTE(SUBSTITUTE(IF(B104="","NONE",B104),"_","-"),"|","-"),"_","CS|",(VLOOKUP(C104,Dictionary!$Y:$Z,2,FALSE)),"_","CT|",(VLOOKUP(D104,Dictionary!$AE:$AF,2,FALSE)),IF(E104="","",CONCATENATE("_U1|",SUBSTITUTE(SUBSTITUTE(E104,"_","-"),"|","-"))),IF(F104="","",CONCATENATE("_U2|",SUBSTITUTE(SUBSTITUTE(F104,"_","-"),"|","-"))),IF(G104="","",CONCATENATE("_U3|",SUBSTITUTE(SUBSTITUTE(G104,"_","-"),"|","-")))))</f>
        <v>CV|VDV-PROMONACIONAL_CS|1x1_CT|FLA_U1|CHANCECHANCE-BOCEJO</v>
      </c>
    </row>
    <row r="105" ht="15.75" customHeight="1">
      <c r="A105" s="30">
        <v>2.54860518E8</v>
      </c>
      <c r="B105" s="14" t="s">
        <v>136</v>
      </c>
      <c r="C105" s="14" t="s">
        <v>58</v>
      </c>
      <c r="D105" s="14" t="s">
        <v>121</v>
      </c>
      <c r="E105" s="14" t="s">
        <v>190</v>
      </c>
      <c r="F105" s="14"/>
      <c r="G105" s="14"/>
      <c r="H105" s="33" t="str">
        <f>IF(C105="----","#N/A",CONCATENATE("CV|",SUBSTITUTE(SUBSTITUTE(IF(B105="","NONE",B105),"_","-"),"|","-"),"_","CS|",(VLOOKUP(C105,Dictionary!$Y:$Z,2,FALSE)),"_","CT|",(VLOOKUP(D105,Dictionary!$AE:$AF,2,FALSE)),IF(E105="","",CONCATENATE("_U1|",SUBSTITUTE(SUBSTITUTE(E105,"_","-"),"|","-"))),IF(F105="","",CONCATENATE("_U2|",SUBSTITUTE(SUBSTITUTE(F105,"_","-"),"|","-"))),IF(G105="","",CONCATENATE("_U3|",SUBSTITUTE(SUBSTITUTE(G105,"_","-"),"|","-")))))</f>
        <v>CV|VDV-PROMONACIONAL_CS|1x1_CT|FGIF_U1|CHANCECHANCE-BASQUETE</v>
      </c>
    </row>
    <row r="106" ht="15.75" customHeight="1">
      <c r="A106" s="30">
        <v>2.54860521E8</v>
      </c>
      <c r="B106" s="14" t="s">
        <v>136</v>
      </c>
      <c r="C106" s="14" t="s">
        <v>58</v>
      </c>
      <c r="D106" s="14" t="s">
        <v>122</v>
      </c>
      <c r="E106" s="14" t="s">
        <v>192</v>
      </c>
      <c r="F106" s="14"/>
      <c r="G106" s="14"/>
      <c r="H106" s="33" t="str">
        <f>IF(C106="----","#N/A",CONCATENATE("CV|",SUBSTITUTE(SUBSTITUTE(IF(B106="","NONE",B106),"_","-"),"|","-"),"_","CS|",(VLOOKUP(C106,Dictionary!$Y:$Z,2,FALSE)),"_","CT|",(VLOOKUP(D106,Dictionary!$AE:$AF,2,FALSE)),IF(E106="","",CONCATENATE("_U1|",SUBSTITUTE(SUBSTITUTE(E106,"_","-"),"|","-"))),IF(F106="","",CONCATENATE("_U2|",SUBSTITUTE(SUBSTITUTE(F106,"_","-"),"|","-"))),IF(G106="","",CONCATENATE("_U3|",SUBSTITUTE(SUBSTITUTE(G106,"_","-"),"|","-")))))</f>
        <v>CV|VDV-PROMONACIONAL_CS|1x1_CT|FCR_U1|CHANCECHANCE-VOZDEBEBE</v>
      </c>
    </row>
    <row r="107" ht="15.75" customHeight="1">
      <c r="A107" s="30">
        <v>2.54860524E8</v>
      </c>
      <c r="B107" s="14" t="s">
        <v>136</v>
      </c>
      <c r="C107" s="14" t="s">
        <v>58</v>
      </c>
      <c r="D107" s="14" t="s">
        <v>122</v>
      </c>
      <c r="E107" s="14" t="s">
        <v>191</v>
      </c>
      <c r="F107" s="14"/>
      <c r="G107" s="14"/>
      <c r="H107" s="33" t="str">
        <f>IF(C107="----","#N/A",CONCATENATE("CV|",SUBSTITUTE(SUBSTITUTE(IF(B107="","NONE",B107),"_","-"),"|","-"),"_","CS|",(VLOOKUP(C107,Dictionary!$Y:$Z,2,FALSE)),"_","CT|",(VLOOKUP(D107,Dictionary!$AE:$AF,2,FALSE)),IF(E107="","",CONCATENATE("_U1|",SUBSTITUTE(SUBSTITUTE(E107,"_","-"),"|","-"))),IF(F107="","",CONCATENATE("_U2|",SUBSTITUTE(SUBSTITUTE(F107,"_","-"),"|","-"))),IF(G107="","",CONCATENATE("_U3|",SUBSTITUTE(SUBSTITUTE(G107,"_","-"),"|","-")))))</f>
        <v>CV|VDV-PROMONACIONAL_CS|1x1_CT|FCR_U1|CHANCECHANCE-BOCEJO</v>
      </c>
    </row>
    <row r="108" ht="15.75" customHeight="1">
      <c r="A108" s="30">
        <v>2.54862021E8</v>
      </c>
      <c r="B108" s="14" t="s">
        <v>136</v>
      </c>
      <c r="C108" s="14" t="s">
        <v>144</v>
      </c>
      <c r="D108" s="14" t="s">
        <v>145</v>
      </c>
      <c r="E108" s="14" t="s">
        <v>193</v>
      </c>
      <c r="F108" s="14"/>
      <c r="G108" s="14"/>
      <c r="H108" s="33" t="str">
        <f>IF(C108="----","#N/A",CONCATENATE("CV|",SUBSTITUTE(SUBSTITUTE(IF(B108="","NONE",B108),"_","-"),"|","-"),"_","CS|",(VLOOKUP(C108,Dictionary!$Y:$Z,2,FALSE)),"_","CT|",(VLOOKUP(D108,Dictionary!$AE:$AF,2,FALSE)),IF(E108="","",CONCATENATE("_U1|",SUBSTITUTE(SUBSTITUTE(E108,"_","-"),"|","-"))),IF(F108="","",CONCATENATE("_U2|",SUBSTITUTE(SUBSTITUTE(F108,"_","-"),"|","-"))),IF(G108="","",CONCATENATE("_U3|",SUBSTITUTE(SUBSTITUTE(G108,"_","-"),"|","-")))))</f>
        <v>CV|VDV-PROMONACIONAL_CS|VID:6_CT|YTNSK_U1|CHANCECHANCE</v>
      </c>
    </row>
    <row r="109" ht="15.75" customHeight="1">
      <c r="A109" s="30">
        <v>2.54746266E8</v>
      </c>
      <c r="B109" s="14" t="s">
        <v>176</v>
      </c>
      <c r="C109" s="14" t="s">
        <v>58</v>
      </c>
      <c r="D109" s="14" t="s">
        <v>121</v>
      </c>
      <c r="E109" s="14" t="s">
        <v>188</v>
      </c>
      <c r="F109" s="14"/>
      <c r="G109" s="14"/>
      <c r="H109" s="33" t="str">
        <f>IF(C109="----","#N/A",CONCATENATE("CV|",SUBSTITUTE(SUBSTITUTE(IF(B109="","NONE",B109),"_","-"),"|","-"),"_","CS|",(VLOOKUP(C109,Dictionary!$Y:$Z,2,FALSE)),"_","CT|",(VLOOKUP(D109,Dictionary!$AE:$AF,2,FALSE)),IF(E109="","",CONCATENATE("_U1|",SUBSTITUTE(SUBSTITUTE(E109,"_","-"),"|","-"))),IF(F109="","",CONCATENATE("_U2|",SUBSTITUTE(SUBSTITUTE(F109,"_","-"),"|","-"))),IF(G109="","",CONCATENATE("_U3|",SUBSTITUTE(SUBSTITUTE(G109,"_","-"),"|","-")))))</f>
        <v>CV|VDV-MERCHANT-DECOLAR_CS|1x1_CT|FGIF_U1|OPORTUNIDADE-PISCINA</v>
      </c>
    </row>
    <row r="110" ht="15.75" customHeight="1">
      <c r="A110" s="30">
        <v>2.5487196E8</v>
      </c>
      <c r="B110" s="14" t="s">
        <v>136</v>
      </c>
      <c r="C110" s="14" t="s">
        <v>58</v>
      </c>
      <c r="D110" s="14" t="s">
        <v>120</v>
      </c>
      <c r="E110" s="14" t="s">
        <v>193</v>
      </c>
      <c r="F110" s="14" t="s">
        <v>194</v>
      </c>
      <c r="G110" s="14"/>
      <c r="H110" s="33" t="str">
        <f>IF(C110="----","#N/A",CONCATENATE("CV|",SUBSTITUTE(SUBSTITUTE(IF(B110="","NONE",B110),"_","-"),"|","-"),"_","CS|",(VLOOKUP(C110,Dictionary!$Y:$Z,2,FALSE)),"_","CT|",(VLOOKUP(D110,Dictionary!$AE:$AF,2,FALSE)),IF(E110="","",CONCATENATE("_U1|",SUBSTITUTE(SUBSTITUTE(E110,"_","-"),"|","-"))),IF(F110="","",CONCATENATE("_U2|",SUBSTITUTE(SUBSTITUTE(F110,"_","-"),"|","-"))),IF(G110="","",CONCATENATE("_U3|",SUBSTITUTE(SUBSTITUTE(G110,"_","-"),"|","-")))))</f>
        <v>CV|VDV-PROMONACIONAL_CS|1x1_CT|FLA_U1|CHANCECHANCE_U2|VERTICAL</v>
      </c>
    </row>
    <row r="111" ht="15.75" customHeight="1">
      <c r="A111" s="30">
        <v>2.54741131E8</v>
      </c>
      <c r="B111" s="14" t="s">
        <v>136</v>
      </c>
      <c r="C111" s="14" t="s">
        <v>58</v>
      </c>
      <c r="D111" s="14" t="s">
        <v>120</v>
      </c>
      <c r="E111" s="14" t="s">
        <v>193</v>
      </c>
      <c r="F111" s="14" t="s">
        <v>195</v>
      </c>
      <c r="G111" s="14"/>
      <c r="H111" s="33" t="str">
        <f>IF(C111="----","#N/A",CONCATENATE("CV|",SUBSTITUTE(SUBSTITUTE(IF(B111="","NONE",B111),"_","-"),"|","-"),"_","CS|",(VLOOKUP(C111,Dictionary!$Y:$Z,2,FALSE)),"_","CT|",(VLOOKUP(D111,Dictionary!$AE:$AF,2,FALSE)),IF(E111="","",CONCATENATE("_U1|",SUBSTITUTE(SUBSTITUTE(E111,"_","-"),"|","-"))),IF(F111="","",CONCATENATE("_U2|",SUBSTITUTE(SUBSTITUTE(F111,"_","-"),"|","-"))),IF(G111="","",CONCATENATE("_U3|",SUBSTITUTE(SUBSTITUTE(G111,"_","-"),"|","-")))))</f>
        <v>CV|VDV-PROMONACIONAL_CS|1x1_CT|FLA_U1|CHANCECHANCE_U2|HORIZONTAL</v>
      </c>
    </row>
    <row r="112" ht="15.75" customHeight="1">
      <c r="A112" s="30">
        <v>2.54463878E8</v>
      </c>
      <c r="B112" s="14" t="s">
        <v>136</v>
      </c>
      <c r="C112" s="14" t="s">
        <v>196</v>
      </c>
      <c r="D112" s="14" t="s">
        <v>154</v>
      </c>
      <c r="E112" s="14" t="s">
        <v>193</v>
      </c>
      <c r="F112" s="14" t="s">
        <v>130</v>
      </c>
      <c r="G112" s="14"/>
      <c r="H112" s="33" t="str">
        <f>IF(C112="----","#N/A",CONCATENATE("CV|",SUBSTITUTE(SUBSTITUTE(IF(B112="","NONE",B112),"_","-"),"|","-"),"_","CS|",(VLOOKUP(C112,Dictionary!$Y:$Z,2,FALSE)),"_","CT|",(VLOOKUP(D112,Dictionary!$AE:$AF,2,FALSE)),IF(E112="","",CONCATENATE("_U1|",SUBSTITUTE(SUBSTITUTE(E112,"_","-"),"|","-"))),IF(F112="","",CONCATENATE("_U2|",SUBSTITUTE(SUBSTITUTE(F112,"_","-"),"|","-"))),IF(G112="","",CONCATENATE("_U3|",SUBSTITUTE(SUBSTITUTE(G112,"_","-"),"|","-")))))</f>
        <v>CV|VDV-PROMONACIONAL_CS|VID:32_CT|VGEN_U1|CHANCECHANCE_U2|VERIZON</v>
      </c>
    </row>
    <row r="113" ht="15.75" customHeight="1">
      <c r="A113" s="30">
        <v>2.54926983E8</v>
      </c>
      <c r="B113" s="14" t="s">
        <v>136</v>
      </c>
      <c r="C113" s="14" t="s">
        <v>196</v>
      </c>
      <c r="D113" s="14" t="s">
        <v>154</v>
      </c>
      <c r="E113" s="14" t="s">
        <v>193</v>
      </c>
      <c r="F113" s="14" t="s">
        <v>197</v>
      </c>
      <c r="G113" s="14"/>
      <c r="H113" s="33" t="str">
        <f>IF(C113="----","#N/A",CONCATENATE("CV|",SUBSTITUTE(SUBSTITUTE(IF(B113="","NONE",B113),"_","-"),"|","-"),"_","CS|",(VLOOKUP(C113,Dictionary!$Y:$Z,2,FALSE)),"_","CT|",(VLOOKUP(D113,Dictionary!$AE:$AF,2,FALSE)),IF(E113="","",CONCATENATE("_U1|",SUBSTITUTE(SUBSTITUTE(E113,"_","-"),"|","-"))),IF(F113="","",CONCATENATE("_U2|",SUBSTITUTE(SUBSTITUTE(F113,"_","-"),"|","-"))),IF(G113="","",CONCATENATE("_U3|",SUBSTITUTE(SUBSTITUTE(G113,"_","-"),"|","-")))))</f>
        <v>CV|VDV-PROMONACIONAL_CS|VID:32_CT|VGEN_U1|CHANCECHANCE_U2|YOUTUBE</v>
      </c>
    </row>
    <row r="114" ht="15.75" customHeight="1">
      <c r="A114" s="88">
        <v>2.5505271E8</v>
      </c>
      <c r="B114" s="14" t="s">
        <v>136</v>
      </c>
      <c r="C114" s="14" t="s">
        <v>58</v>
      </c>
      <c r="D114" s="14" t="s">
        <v>123</v>
      </c>
      <c r="E114" s="14" t="s">
        <v>198</v>
      </c>
      <c r="F114" s="14"/>
      <c r="G114" s="14"/>
      <c r="H114" s="33" t="str">
        <f>IF(C114="----","#N/A",CONCATENATE("CV|",SUBSTITUTE(SUBSTITUTE(IF(B114="","NONE",B114),"_","-"),"|","-"),"_","CS|",(VLOOKUP(C114,Dictionary!$Y:$Z,2,FALSE)),"_","CT|",(VLOOKUP(D114,Dictionary!$AE:$AF,2,FALSE)),IF(E114="","",CONCATENATE("_U1|",SUBSTITUTE(SUBSTITUTE(E114,"_","-"),"|","-"))),IF(F114="","",CONCATENATE("_U2|",SUBSTITUTE(SUBSTITUTE(F114,"_","-"),"|","-"))),IF(G114="","",CONCATENATE("_U3|",SUBSTITUTE(SUBSTITUTE(G114,"_","-"),"|","-")))))</f>
        <v>CV|VDV-PROMONACIONAL_CS|1x1_CT|INSSTORY_U1|SEMANA-DO-BRASIL</v>
      </c>
    </row>
    <row r="115" ht="15.75" customHeight="1">
      <c r="A115" s="30">
        <v>2.54925733E8</v>
      </c>
      <c r="B115" s="14" t="s">
        <v>136</v>
      </c>
      <c r="C115" s="14" t="s">
        <v>58</v>
      </c>
      <c r="D115" s="14" t="s">
        <v>121</v>
      </c>
      <c r="E115" s="14" t="s">
        <v>198</v>
      </c>
      <c r="F115" s="14"/>
      <c r="G115" s="14"/>
      <c r="H115" s="33" t="str">
        <f>IF(C115="----","#N/A",CONCATENATE("CV|",SUBSTITUTE(SUBSTITUTE(IF(B115="","NONE",B115),"_","-"),"|","-"),"_","CS|",(VLOOKUP(C115,Dictionary!$Y:$Z,2,FALSE)),"_","CT|",(VLOOKUP(D115,Dictionary!$AE:$AF,2,FALSE)),IF(E115="","",CONCATENATE("_U1|",SUBSTITUTE(SUBSTITUTE(E115,"_","-"),"|","-"))),IF(F115="","",CONCATENATE("_U2|",SUBSTITUTE(SUBSTITUTE(F115,"_","-"),"|","-"))),IF(G115="","",CONCATENATE("_U3|",SUBSTITUTE(SUBSTITUTE(G115,"_","-"),"|","-")))))</f>
        <v>CV|VDV-PROMONACIONAL_CS|1x1_CT|FGIF_U1|SEMANA-DO-BRASIL</v>
      </c>
    </row>
    <row r="116" ht="15.75" customHeight="1">
      <c r="A116" s="30">
        <v>2.55051951E8</v>
      </c>
      <c r="B116" s="14" t="s">
        <v>136</v>
      </c>
      <c r="C116" s="14" t="s">
        <v>58</v>
      </c>
      <c r="D116" s="14" t="s">
        <v>122</v>
      </c>
      <c r="E116" s="14" t="s">
        <v>198</v>
      </c>
      <c r="F116" s="14"/>
      <c r="G116" s="14"/>
      <c r="H116" s="33" t="str">
        <f>IF(C116="----","#N/A",CONCATENATE("CV|",SUBSTITUTE(SUBSTITUTE(IF(B116="","NONE",B116),"_","-"),"|","-"),"_","CS|",(VLOOKUP(C116,Dictionary!$Y:$Z,2,FALSE)),"_","CT|",(VLOOKUP(D116,Dictionary!$AE:$AF,2,FALSE)),IF(E116="","",CONCATENATE("_U1|",SUBSTITUTE(SUBSTITUTE(E116,"_","-"),"|","-"))),IF(F116="","",CONCATENATE("_U2|",SUBSTITUTE(SUBSTITUTE(F116,"_","-"),"|","-"))),IF(G116="","",CONCATENATE("_U3|",SUBSTITUTE(SUBSTITUTE(G116,"_","-"),"|","-")))))</f>
        <v>CV|VDV-PROMONACIONAL_CS|1x1_CT|FCR_U1|SEMANA-DO-BRASIL</v>
      </c>
    </row>
    <row r="117" ht="15.75" customHeight="1">
      <c r="A117" s="30">
        <v>2.55052029E8</v>
      </c>
      <c r="B117" s="14" t="s">
        <v>136</v>
      </c>
      <c r="C117" s="14" t="s">
        <v>58</v>
      </c>
      <c r="D117" s="14" t="s">
        <v>120</v>
      </c>
      <c r="E117" s="14" t="s">
        <v>198</v>
      </c>
      <c r="F117" s="14"/>
      <c r="G117" s="14"/>
      <c r="H117" s="33" t="str">
        <f>IF(C117="----","#N/A",CONCATENATE("CV|",SUBSTITUTE(SUBSTITUTE(IF(B117="","NONE",B117),"_","-"),"|","-"),"_","CS|",(VLOOKUP(C117,Dictionary!$Y:$Z,2,FALSE)),"_","CT|",(VLOOKUP(D117,Dictionary!$AE:$AF,2,FALSE)),IF(E117="","",CONCATENATE("_U1|",SUBSTITUTE(SUBSTITUTE(E117,"_","-"),"|","-"))),IF(F117="","",CONCATENATE("_U2|",SUBSTITUTE(SUBSTITUTE(F117,"_","-"),"|","-"))),IF(G117="","",CONCATENATE("_U3|",SUBSTITUTE(SUBSTITUTE(G117,"_","-"),"|","-")))))</f>
        <v>CV|VDV-PROMONACIONAL_CS|1x1_CT|FLA_U1|SEMANA-DO-BRASIL</v>
      </c>
    </row>
    <row r="118" ht="15.75" customHeight="1">
      <c r="A118" s="30">
        <v>2.55126045E8</v>
      </c>
      <c r="B118" s="14" t="s">
        <v>136</v>
      </c>
      <c r="C118" s="14" t="s">
        <v>58</v>
      </c>
      <c r="D118" s="14" t="s">
        <v>123</v>
      </c>
      <c r="E118" s="14" t="s">
        <v>199</v>
      </c>
      <c r="F118" s="14"/>
      <c r="G118" s="14"/>
      <c r="H118" s="33" t="str">
        <f>IF(C118="----","#N/A",CONCATENATE("CV|",SUBSTITUTE(SUBSTITUTE(IF(B118="","NONE",B118),"_","-"),"|","-"),"_","CS|",(VLOOKUP(C118,Dictionary!$Y:$Z,2,FALSE)),"_","CT|",(VLOOKUP(D118,Dictionary!$AE:$AF,2,FALSE)),IF(E118="","",CONCATENATE("_U1|",SUBSTITUTE(SUBSTITUTE(E118,"_","-"),"|","-"))),IF(F118="","",CONCATENATE("_U2|",SUBSTITUTE(SUBSTITUTE(F118,"_","-"),"|","-"))),IF(G118="","",CONCATENATE("_U3|",SUBSTITUTE(SUBSTITUTE(G118,"_","-"),"|","-")))))</f>
        <v>CV|VDV-PROMONACIONAL_CS|1x1_CT|INSSTORY_U1|CHANCECHANCE-BASEVDV-FUTEBOL</v>
      </c>
    </row>
    <row r="119" ht="15.75" customHeight="1">
      <c r="A119" s="30">
        <v>2.55126048E8</v>
      </c>
      <c r="B119" s="14" t="s">
        <v>136</v>
      </c>
      <c r="C119" s="14" t="s">
        <v>58</v>
      </c>
      <c r="D119" s="14" t="s">
        <v>120</v>
      </c>
      <c r="E119" s="14" t="s">
        <v>200</v>
      </c>
      <c r="F119" s="14"/>
      <c r="G119" s="14"/>
      <c r="H119" s="33" t="str">
        <f>IF(C119="----","#N/A",CONCATENATE("CV|",SUBSTITUTE(SUBSTITUTE(IF(B119="","NONE",B119),"_","-"),"|","-"),"_","CS|",(VLOOKUP(C119,Dictionary!$Y:$Z,2,FALSE)),"_","CT|",(VLOOKUP(D119,Dictionary!$AE:$AF,2,FALSE)),IF(E119="","",CONCATENATE("_U1|",SUBSTITUTE(SUBSTITUTE(E119,"_","-"),"|","-"))),IF(F119="","",CONCATENATE("_U2|",SUBSTITUTE(SUBSTITUTE(F119,"_","-"),"|","-"))),IF(G119="","",CONCATENATE("_U3|",SUBSTITUTE(SUBSTITUTE(G119,"_","-"),"|","-")))))</f>
        <v>CV|VDV-PROMONACIONAL_CS|1x1_CT|FLA_U1|CHANCECHANCE-BASEVDV</v>
      </c>
    </row>
    <row r="120" ht="15.75" customHeight="1">
      <c r="A120" s="30">
        <v>2.55126051E8</v>
      </c>
      <c r="B120" s="14" t="s">
        <v>136</v>
      </c>
      <c r="C120" s="14" t="s">
        <v>58</v>
      </c>
      <c r="D120" s="14" t="s">
        <v>121</v>
      </c>
      <c r="E120" s="14" t="s">
        <v>200</v>
      </c>
      <c r="F120" s="14"/>
      <c r="G120" s="14"/>
      <c r="H120" s="33" t="str">
        <f>IF(C120="----","#N/A",CONCATENATE("CV|",SUBSTITUTE(SUBSTITUTE(IF(B120="","NONE",B120),"_","-"),"|","-"),"_","CS|",(VLOOKUP(C120,Dictionary!$Y:$Z,2,FALSE)),"_","CT|",(VLOOKUP(D120,Dictionary!$AE:$AF,2,FALSE)),IF(E120="","",CONCATENATE("_U1|",SUBSTITUTE(SUBSTITUTE(E120,"_","-"),"|","-"))),IF(F120="","",CONCATENATE("_U2|",SUBSTITUTE(SUBSTITUTE(F120,"_","-"),"|","-"))),IF(G120="","",CONCATENATE("_U3|",SUBSTITUTE(SUBSTITUTE(G120,"_","-"),"|","-")))))</f>
        <v>CV|VDV-PROMONACIONAL_CS|1x1_CT|FGIF_U1|CHANCECHANCE-BASEVDV</v>
      </c>
    </row>
    <row r="121" ht="15.75" customHeight="1">
      <c r="A121" s="30">
        <v>2.55126054E8</v>
      </c>
      <c r="B121" s="14" t="s">
        <v>136</v>
      </c>
      <c r="C121" s="14" t="s">
        <v>58</v>
      </c>
      <c r="D121" s="14" t="s">
        <v>122</v>
      </c>
      <c r="E121" s="14" t="s">
        <v>201</v>
      </c>
      <c r="F121" s="14"/>
      <c r="G121" s="14"/>
      <c r="H121" s="33" t="str">
        <f>IF(C121="----","#N/A",CONCATENATE("CV|",SUBSTITUTE(SUBSTITUTE(IF(B121="","NONE",B121),"_","-"),"|","-"),"_","CS|",(VLOOKUP(C121,Dictionary!$Y:$Z,2,FALSE)),"_","CT|",(VLOOKUP(D121,Dictionary!$AE:$AF,2,FALSE)),IF(E121="","",CONCATENATE("_U1|",SUBSTITUTE(SUBSTITUTE(E121,"_","-"),"|","-"))),IF(F121="","",CONCATENATE("_U2|",SUBSTITUTE(SUBSTITUTE(F121,"_","-"),"|","-"))),IF(G121="","",CONCATENATE("_U3|",SUBSTITUTE(SUBSTITUTE(G121,"_","-"),"|","-")))))</f>
        <v>CV|VDV-PROMONACIONAL_CS|1x1_CT|FCR_U1|CHANCECHANCE-BASEVDV-VOZDEBEBE</v>
      </c>
    </row>
    <row r="122" ht="15.75" customHeight="1">
      <c r="A122" s="30">
        <v>2.55126057E8</v>
      </c>
      <c r="B122" s="14" t="s">
        <v>136</v>
      </c>
      <c r="C122" s="14" t="s">
        <v>58</v>
      </c>
      <c r="D122" s="14" t="s">
        <v>122</v>
      </c>
      <c r="E122" s="14" t="s">
        <v>202</v>
      </c>
      <c r="F122" s="14"/>
      <c r="G122" s="14"/>
      <c r="H122" s="33" t="str">
        <f>IF(C122="----","#N/A",CONCATENATE("CV|",SUBSTITUTE(SUBSTITUTE(IF(B122="","NONE",B122),"_","-"),"|","-"),"_","CS|",(VLOOKUP(C122,Dictionary!$Y:$Z,2,FALSE)),"_","CT|",(VLOOKUP(D122,Dictionary!$AE:$AF,2,FALSE)),IF(E122="","",CONCATENATE("_U1|",SUBSTITUTE(SUBSTITUTE(E122,"_","-"),"|","-"))),IF(F122="","",CONCATENATE("_U2|",SUBSTITUTE(SUBSTITUTE(F122,"_","-"),"|","-"))),IF(G122="","",CONCATENATE("_U3|",SUBSTITUTE(SUBSTITUTE(G122,"_","-"),"|","-")))))</f>
        <v>CV|VDV-PROMONACIONAL_CS|1x1_CT|FCR_U1|CHANCECHANCE-BASEVDV-BOCEJO</v>
      </c>
    </row>
    <row r="123" ht="15.75" customHeight="1">
      <c r="A123" s="30">
        <v>2.5512606E8</v>
      </c>
      <c r="B123" s="14" t="s">
        <v>136</v>
      </c>
      <c r="C123" s="14" t="s">
        <v>58</v>
      </c>
      <c r="D123" s="14" t="s">
        <v>123</v>
      </c>
      <c r="E123" s="14" t="s">
        <v>203</v>
      </c>
      <c r="F123" s="14"/>
      <c r="G123" s="14"/>
      <c r="H123" s="33" t="str">
        <f>IF(C123="----","#N/A",CONCATENATE("CV|",SUBSTITUTE(SUBSTITUTE(IF(B123="","NONE",B123),"_","-"),"|","-"),"_","CS|",(VLOOKUP(C123,Dictionary!$Y:$Z,2,FALSE)),"_","CT|",(VLOOKUP(D123,Dictionary!$AE:$AF,2,FALSE)),IF(E123="","",CONCATENATE("_U1|",SUBSTITUTE(SUBSTITUTE(E123,"_","-"),"|","-"))),IF(F123="","",CONCATENATE("_U2|",SUBSTITUTE(SUBSTITUTE(F123,"_","-"),"|","-"))),IF(G123="","",CONCATENATE("_U3|",SUBSTITUTE(SUBSTITUTE(G123,"_","-"),"|","-")))))</f>
        <v>CV|VDV-PROMONACIONAL_CS|1x1_CT|INSSTORY_U1|CHANCECHANCE-BASEVDV-BASQUETE</v>
      </c>
    </row>
    <row r="124" ht="15.75" customHeight="1">
      <c r="A124" s="30">
        <v>2.55175294E8</v>
      </c>
      <c r="B124" s="14" t="s">
        <v>136</v>
      </c>
      <c r="C124" s="14" t="s">
        <v>58</v>
      </c>
      <c r="D124" s="14" t="s">
        <v>145</v>
      </c>
      <c r="E124" s="14" t="s">
        <v>193</v>
      </c>
      <c r="F124" s="14"/>
      <c r="G124" s="14"/>
      <c r="H124" s="33" t="str">
        <f>IF(C124="----","#N/A",CONCATENATE("CV|",SUBSTITUTE(SUBSTITUTE(IF(B124="","NONE",B124),"_","-"),"|","-"),"_","CS|",(VLOOKUP(C124,Dictionary!$Y:$Z,2,FALSE)),"_","CT|",(VLOOKUP(D124,Dictionary!$AE:$AF,2,FALSE)),IF(E124="","",CONCATENATE("_U1|",SUBSTITUTE(SUBSTITUTE(E124,"_","-"),"|","-"))),IF(F124="","",CONCATENATE("_U2|",SUBSTITUTE(SUBSTITUTE(F124,"_","-"),"|","-"))),IF(G124="","",CONCATENATE("_U3|",SUBSTITUTE(SUBSTITUTE(G124,"_","-"),"|","-")))))</f>
        <v>CV|VDV-PROMONACIONAL_CS|1x1_CT|YTNSK_U1|CHANCECHANCE</v>
      </c>
    </row>
    <row r="125" ht="15.75" customHeight="1">
      <c r="A125" s="30">
        <v>2.54918774E8</v>
      </c>
      <c r="B125" s="14" t="s">
        <v>136</v>
      </c>
      <c r="C125" s="14" t="s">
        <v>73</v>
      </c>
      <c r="D125" s="14" t="s">
        <v>129</v>
      </c>
      <c r="E125" s="14" t="s">
        <v>198</v>
      </c>
      <c r="F125" s="14"/>
      <c r="G125" s="14"/>
      <c r="H125" s="33" t="str">
        <f>IF(C125="----","#N/A",CONCATENATE("CV|",SUBSTITUTE(SUBSTITUTE(IF(B125="","NONE",B125),"_","-"),"|","-"),"_","CS|",(VLOOKUP(C125,Dictionary!$Y:$Z,2,FALSE)),"_","CT|",(VLOOKUP(D125,Dictionary!$AE:$AF,2,FALSE)),IF(E125="","",CONCATENATE("_U1|",SUBSTITUTE(SUBSTITUTE(E125,"_","-"),"|","-"))),IF(F125="","",CONCATENATE("_U2|",SUBSTITUTE(SUBSTITUTE(F125,"_","-"),"|","-"))),IF(G125="","",CONCATENATE("_U3|",SUBSTITUTE(SUBSTITUTE(G125,"_","-"),"|","-")))))</f>
        <v>CV|VDV-PROMONACIONAL_CS|627x627_CT|BAN_U1|SEMANA-DO-BRASIL</v>
      </c>
    </row>
    <row r="126" ht="15.75" customHeight="1">
      <c r="A126" s="30">
        <v>2.55383355E8</v>
      </c>
      <c r="B126" s="14" t="s">
        <v>136</v>
      </c>
      <c r="C126" s="14" t="s">
        <v>204</v>
      </c>
      <c r="D126" s="14" t="s">
        <v>129</v>
      </c>
      <c r="E126" s="14" t="s">
        <v>198</v>
      </c>
      <c r="F126" s="14"/>
      <c r="G126" s="14"/>
      <c r="H126" s="33" t="str">
        <f>IF(C126="----","#N/A",CONCATENATE("CV|",SUBSTITUTE(SUBSTITUTE(IF(B126="","NONE",B126),"_","-"),"|","-"),"_","CS|",(VLOOKUP(C126,Dictionary!$Y:$Z,2,FALSE)),"_","CT|",(VLOOKUP(D126,Dictionary!$AE:$AF,2,FALSE)),IF(E126="","",CONCATENATE("_U1|",SUBSTITUTE(SUBSTITUTE(E126,"_","-"),"|","-"))),IF(F126="","",CONCATENATE("_U2|",SUBSTITUTE(SUBSTITUTE(F126,"_","-"),"|","-"))),IF(G126="","",CONCATENATE("_U3|",SUBSTITUTE(SUBSTITUTE(G126,"_","-"),"|","-")))))</f>
        <v>CV|VDV-PROMONACIONAL_CS|720x1280_CT|BAN_U1|SEMANA-DO-BRASIL</v>
      </c>
    </row>
    <row r="127" ht="15.75" customHeight="1">
      <c r="A127" s="30">
        <v>2.54917961E8</v>
      </c>
      <c r="B127" s="14" t="s">
        <v>136</v>
      </c>
      <c r="C127" s="14" t="s">
        <v>58</v>
      </c>
      <c r="D127" s="14" t="s">
        <v>120</v>
      </c>
      <c r="E127" s="14" t="s">
        <v>205</v>
      </c>
      <c r="F127" s="14"/>
      <c r="G127" s="14"/>
      <c r="H127" s="33" t="str">
        <f>IF(C127="----","#N/A",CONCATENATE("CV|",SUBSTITUTE(SUBSTITUTE(IF(B127="","NONE",B127),"_","-"),"|","-"),"_","CS|",(VLOOKUP(C127,Dictionary!$Y:$Z,2,FALSE)),"_","CT|",(VLOOKUP(D127,Dictionary!$AE:$AF,2,FALSE)),IF(E127="","",CONCATENATE("_U1|",SUBSTITUTE(SUBSTITUTE(E127,"_","-"),"|","-"))),IF(F127="","",CONCATENATE("_U2|",SUBSTITUTE(SUBSTITUTE(F127,"_","-"),"|","-"))),IF(G127="","",CONCATENATE("_U3|",SUBSTITUTE(SUBSTITUTE(G127,"_","-"),"|","-")))))</f>
        <v>CV|VDV-PROMONACIONAL_CS|1x1_CT|FLA_U1|DEBITO-INVADINDO-TIMELINE-CAFE</v>
      </c>
    </row>
    <row r="128" ht="15.75" customHeight="1">
      <c r="A128" s="30">
        <v>2.54917964E8</v>
      </c>
      <c r="B128" s="14" t="s">
        <v>136</v>
      </c>
      <c r="C128" s="14" t="s">
        <v>58</v>
      </c>
      <c r="D128" s="14" t="s">
        <v>122</v>
      </c>
      <c r="E128" s="14" t="s">
        <v>206</v>
      </c>
      <c r="F128" s="14"/>
      <c r="G128" s="14"/>
      <c r="H128" s="33" t="str">
        <f>IF(C128="----","#N/A",CONCATENATE("CV|",SUBSTITUTE(SUBSTITUTE(IF(B128="","NONE",B128),"_","-"),"|","-"),"_","CS|",(VLOOKUP(C128,Dictionary!$Y:$Z,2,FALSE)),"_","CT|",(VLOOKUP(D128,Dictionary!$AE:$AF,2,FALSE)),IF(E128="","",CONCATENATE("_U1|",SUBSTITUTE(SUBSTITUTE(E128,"_","-"),"|","-"))),IF(F128="","",CONCATENATE("_U2|",SUBSTITUTE(SUBSTITUTE(F128,"_","-"),"|","-"))),IF(G128="","",CONCATENATE("_U3|",SUBSTITUTE(SUBSTITUTE(G128,"_","-"),"|","-")))))</f>
        <v>CV|VDV-PROMONACIONAL_CS|1x1_CT|FCR_U1|DEBITO-INVADINDO-TIMELINE-DOCE</v>
      </c>
    </row>
    <row r="129" ht="15.75" customHeight="1">
      <c r="A129" s="30">
        <v>2.54917967E8</v>
      </c>
      <c r="B129" s="14" t="s">
        <v>136</v>
      </c>
      <c r="C129" s="14" t="s">
        <v>58</v>
      </c>
      <c r="D129" s="14" t="s">
        <v>122</v>
      </c>
      <c r="E129" s="14" t="s">
        <v>205</v>
      </c>
      <c r="F129" s="14"/>
      <c r="G129" s="14"/>
      <c r="H129" s="33" t="str">
        <f>IF(C129="----","#N/A",CONCATENATE("CV|",SUBSTITUTE(SUBSTITUTE(IF(B129="","NONE",B129),"_","-"),"|","-"),"_","CS|",(VLOOKUP(C129,Dictionary!$Y:$Z,2,FALSE)),"_","CT|",(VLOOKUP(D129,Dictionary!$AE:$AF,2,FALSE)),IF(E129="","",CONCATENATE("_U1|",SUBSTITUTE(SUBSTITUTE(E129,"_","-"),"|","-"))),IF(F129="","",CONCATENATE("_U2|",SUBSTITUTE(SUBSTITUTE(F129,"_","-"),"|","-"))),IF(G129="","",CONCATENATE("_U3|",SUBSTITUTE(SUBSTITUTE(G129,"_","-"),"|","-")))))</f>
        <v>CV|VDV-PROMONACIONAL_CS|1x1_CT|FCR_U1|DEBITO-INVADINDO-TIMELINE-CAFE</v>
      </c>
    </row>
    <row r="130" ht="15.75" customHeight="1">
      <c r="A130" s="30">
        <v>2.5491797E8</v>
      </c>
      <c r="B130" s="14" t="s">
        <v>136</v>
      </c>
      <c r="C130" s="14" t="s">
        <v>58</v>
      </c>
      <c r="D130" s="14" t="s">
        <v>120</v>
      </c>
      <c r="E130" s="14" t="s">
        <v>207</v>
      </c>
      <c r="F130" s="14"/>
      <c r="G130" s="14"/>
      <c r="H130" s="33" t="str">
        <f>IF(C130="----","#N/A",CONCATENATE("CV|",SUBSTITUTE(SUBSTITUTE(IF(B130="","NONE",B130),"_","-"),"|","-"),"_","CS|",(VLOOKUP(C130,Dictionary!$Y:$Z,2,FALSE)),"_","CT|",(VLOOKUP(D130,Dictionary!$AE:$AF,2,FALSE)),IF(E130="","",CONCATENATE("_U1|",SUBSTITUTE(SUBSTITUTE(E130,"_","-"),"|","-"))),IF(F130="","",CONCATENATE("_U2|",SUBSTITUTE(SUBSTITUTE(F130,"_","-"),"|","-"))),IF(G130="","",CONCATENATE("_U3|",SUBSTITUTE(SUBSTITUTE(G130,"_","-"),"|","-")))))</f>
        <v>CV|VDV-PROMONACIONAL_CS|1x1_CT|FLA_U1|DEBITO-EXPECTATIVA-REALIDADE</v>
      </c>
    </row>
    <row r="131" ht="15.75" customHeight="1">
      <c r="A131" s="30">
        <v>2.54917973E8</v>
      </c>
      <c r="B131" s="14" t="s">
        <v>136</v>
      </c>
      <c r="C131" s="14" t="s">
        <v>58</v>
      </c>
      <c r="D131" s="14" t="s">
        <v>123</v>
      </c>
      <c r="E131" s="14" t="s">
        <v>206</v>
      </c>
      <c r="F131" s="14"/>
      <c r="G131" s="14"/>
      <c r="H131" s="33" t="str">
        <f>IF(C131="----","#N/A",CONCATENATE("CV|",SUBSTITUTE(SUBSTITUTE(IF(B131="","NONE",B131),"_","-"),"|","-"),"_","CS|",(VLOOKUP(C131,Dictionary!$Y:$Z,2,FALSE)),"_","CT|",(VLOOKUP(D131,Dictionary!$AE:$AF,2,FALSE)),IF(E131="","",CONCATENATE("_U1|",SUBSTITUTE(SUBSTITUTE(E131,"_","-"),"|","-"))),IF(F131="","",CONCATENATE("_U2|",SUBSTITUTE(SUBSTITUTE(F131,"_","-"),"|","-"))),IF(G131="","",CONCATENATE("_U3|",SUBSTITUTE(SUBSTITUTE(G131,"_","-"),"|","-")))))</f>
        <v>CV|VDV-PROMONACIONAL_CS|1x1_CT|INSSTORY_U1|DEBITO-INVADINDO-TIMELINE-DOCE</v>
      </c>
    </row>
    <row r="132" ht="15.75" customHeight="1">
      <c r="A132" s="30">
        <v>2.54917976E8</v>
      </c>
      <c r="B132" s="14" t="s">
        <v>136</v>
      </c>
      <c r="C132" s="14" t="s">
        <v>58</v>
      </c>
      <c r="D132" s="14" t="s">
        <v>123</v>
      </c>
      <c r="E132" s="14" t="s">
        <v>205</v>
      </c>
      <c r="F132" s="14"/>
      <c r="G132" s="14"/>
      <c r="H132" s="33" t="str">
        <f>IF(C132="----","#N/A",CONCATENATE("CV|",SUBSTITUTE(SUBSTITUTE(IF(B132="","NONE",B132),"_","-"),"|","-"),"_","CS|",(VLOOKUP(C132,Dictionary!$Y:$Z,2,FALSE)),"_","CT|",(VLOOKUP(D132,Dictionary!$AE:$AF,2,FALSE)),IF(E132="","",CONCATENATE("_U1|",SUBSTITUTE(SUBSTITUTE(E132,"_","-"),"|","-"))),IF(F132="","",CONCATENATE("_U2|",SUBSTITUTE(SUBSTITUTE(F132,"_","-"),"|","-"))),IF(G132="","",CONCATENATE("_U3|",SUBSTITUTE(SUBSTITUTE(G132,"_","-"),"|","-")))))</f>
        <v>CV|VDV-PROMONACIONAL_CS|1x1_CT|INSSTORY_U1|DEBITO-INVADINDO-TIMELINE-CAFE</v>
      </c>
    </row>
    <row r="133" ht="15.75" customHeight="1">
      <c r="A133" s="30">
        <v>2.54917979E8</v>
      </c>
      <c r="B133" s="14" t="s">
        <v>136</v>
      </c>
      <c r="C133" s="14" t="s">
        <v>58</v>
      </c>
      <c r="D133" s="14" t="s">
        <v>122</v>
      </c>
      <c r="E133" s="14" t="s">
        <v>207</v>
      </c>
      <c r="F133" s="14"/>
      <c r="G133" s="14"/>
      <c r="H133" s="33" t="str">
        <f>IF(C133="----","#N/A",CONCATENATE("CV|",SUBSTITUTE(SUBSTITUTE(IF(B133="","NONE",B133),"_","-"),"|","-"),"_","CS|",(VLOOKUP(C133,Dictionary!$Y:$Z,2,FALSE)),"_","CT|",(VLOOKUP(D133,Dictionary!$AE:$AF,2,FALSE)),IF(E133="","",CONCATENATE("_U1|",SUBSTITUTE(SUBSTITUTE(E133,"_","-"),"|","-"))),IF(F133="","",CONCATENATE("_U2|",SUBSTITUTE(SUBSTITUTE(F133,"_","-"),"|","-"))),IF(G133="","",CONCATENATE("_U3|",SUBSTITUTE(SUBSTITUTE(G133,"_","-"),"|","-")))))</f>
        <v>CV|VDV-PROMONACIONAL_CS|1x1_CT|FCR_U1|DEBITO-EXPECTATIVA-REALIDADE</v>
      </c>
    </row>
    <row r="134" ht="15.75" customHeight="1">
      <c r="A134" s="30">
        <v>2.54917982E8</v>
      </c>
      <c r="B134" s="14" t="s">
        <v>136</v>
      </c>
      <c r="C134" s="14" t="s">
        <v>58</v>
      </c>
      <c r="D134" s="14" t="s">
        <v>120</v>
      </c>
      <c r="E134" s="14" t="s">
        <v>206</v>
      </c>
      <c r="F134" s="14"/>
      <c r="G134" s="14"/>
      <c r="H134" s="33" t="str">
        <f>IF(C134="----","#N/A",CONCATENATE("CV|",SUBSTITUTE(SUBSTITUTE(IF(B134="","NONE",B134),"_","-"),"|","-"),"_","CS|",(VLOOKUP(C134,Dictionary!$Y:$Z,2,FALSE)),"_","CT|",(VLOOKUP(D134,Dictionary!$AE:$AF,2,FALSE)),IF(E134="","",CONCATENATE("_U1|",SUBSTITUTE(SUBSTITUTE(E134,"_","-"),"|","-"))),IF(F134="","",CONCATENATE("_U2|",SUBSTITUTE(SUBSTITUTE(F134,"_","-"),"|","-"))),IF(G134="","",CONCATENATE("_U3|",SUBSTITUTE(SUBSTITUTE(G134,"_","-"),"|","-")))))</f>
        <v>CV|VDV-PROMONACIONAL_CS|1x1_CT|FLA_U1|DEBITO-INVADINDO-TIMELINE-DOCE</v>
      </c>
    </row>
    <row r="135" ht="15.75" customHeight="1">
      <c r="A135" s="30">
        <v>2.54917985E8</v>
      </c>
      <c r="B135" s="14" t="s">
        <v>136</v>
      </c>
      <c r="C135" s="14" t="s">
        <v>58</v>
      </c>
      <c r="D135" s="14" t="s">
        <v>123</v>
      </c>
      <c r="E135" s="14" t="s">
        <v>207</v>
      </c>
      <c r="F135" s="14"/>
      <c r="G135" s="14"/>
      <c r="H135" s="33" t="str">
        <f>IF(C135="----","#N/A",CONCATENATE("CV|",SUBSTITUTE(SUBSTITUTE(IF(B135="","NONE",B135),"_","-"),"|","-"),"_","CS|",(VLOOKUP(C135,Dictionary!$Y:$Z,2,FALSE)),"_","CT|",(VLOOKUP(D135,Dictionary!$AE:$AF,2,FALSE)),IF(E135="","",CONCATENATE("_U1|",SUBSTITUTE(SUBSTITUTE(E135,"_","-"),"|","-"))),IF(F135="","",CONCATENATE("_U2|",SUBSTITUTE(SUBSTITUTE(F135,"_","-"),"|","-"))),IF(G135="","",CONCATENATE("_U3|",SUBSTITUTE(SUBSTITUTE(G135,"_","-"),"|","-")))))</f>
        <v>CV|VDV-PROMONACIONAL_CS|1x1_CT|INSSTORY_U1|DEBITO-EXPECTATIVA-REALIDADE</v>
      </c>
    </row>
    <row r="136" ht="15.75" customHeight="1">
      <c r="A136" s="30">
        <v>2.55491046E8</v>
      </c>
      <c r="B136" s="14" t="s">
        <v>136</v>
      </c>
      <c r="C136" s="14" t="s">
        <v>204</v>
      </c>
      <c r="D136" s="14" t="s">
        <v>119</v>
      </c>
      <c r="E136" s="14" t="s">
        <v>198</v>
      </c>
      <c r="F136" s="14" t="s">
        <v>130</v>
      </c>
      <c r="G136" s="14"/>
      <c r="H136" s="33" t="str">
        <f>IF(C136="----","#N/A",CONCATENATE("CV|",SUBSTITUTE(SUBSTITUTE(IF(B136="","NONE",B136),"_","-"),"|","-"),"_","CS|",(VLOOKUP(C136,Dictionary!$Y:$Z,2,FALSE)),"_","CT|",(VLOOKUP(D136,Dictionary!$AE:$AF,2,FALSE)),IF(E136="","",CONCATENATE("_U1|",SUBSTITUTE(SUBSTITUTE(E136,"_","-"),"|","-"))),IF(F136="","",CONCATENATE("_U2|",SUBSTITUTE(SUBSTITUTE(F136,"_","-"),"|","-"))),IF(G136="","",CONCATENATE("_U3|",SUBSTITUTE(SUBSTITUTE(G136,"_","-"),"|","-")))))</f>
        <v>CV|VDV-PROMONACIONAL_CS|720x1280_CT|NAT_U1|SEMANA-DO-BRASIL_U2|VERIZON</v>
      </c>
    </row>
    <row r="137" ht="15.75" customHeight="1">
      <c r="A137" s="30">
        <v>2.55022919E8</v>
      </c>
      <c r="B137" s="14" t="s">
        <v>136</v>
      </c>
      <c r="C137" s="14" t="s">
        <v>73</v>
      </c>
      <c r="D137" s="14" t="s">
        <v>119</v>
      </c>
      <c r="E137" s="14" t="s">
        <v>198</v>
      </c>
      <c r="F137" s="14" t="s">
        <v>130</v>
      </c>
      <c r="G137" s="14"/>
      <c r="H137" s="33" t="str">
        <f>IF(C137="----","#N/A",CONCATENATE("CV|",SUBSTITUTE(SUBSTITUTE(IF(B137="","NONE",B137),"_","-"),"|","-"),"_","CS|",(VLOOKUP(C137,Dictionary!$Y:$Z,2,FALSE)),"_","CT|",(VLOOKUP(D137,Dictionary!$AE:$AF,2,FALSE)),IF(E137="","",CONCATENATE("_U1|",SUBSTITUTE(SUBSTITUTE(E137,"_","-"),"|","-"))),IF(F137="","",CONCATENATE("_U2|",SUBSTITUTE(SUBSTITUTE(F137,"_","-"),"|","-"))),IF(G137="","",CONCATENATE("_U3|",SUBSTITUTE(SUBSTITUTE(G137,"_","-"),"|","-")))))</f>
        <v>CV|VDV-PROMONACIONAL_CS|627x627_CT|NAT_U1|SEMANA-DO-BRASIL_U2|VERIZON</v>
      </c>
    </row>
    <row r="138" ht="15.75" customHeight="1">
      <c r="A138" s="30">
        <v>2.55357874E8</v>
      </c>
      <c r="B138" s="14" t="s">
        <v>136</v>
      </c>
      <c r="C138" s="14" t="s">
        <v>113</v>
      </c>
      <c r="D138" s="14" t="s">
        <v>119</v>
      </c>
      <c r="E138" s="14" t="s">
        <v>198</v>
      </c>
      <c r="F138" s="14" t="s">
        <v>130</v>
      </c>
      <c r="G138" s="14"/>
      <c r="H138" s="33" t="str">
        <f>IF(C138="----","#N/A",CONCATENATE("CV|",SUBSTITUTE(SUBSTITUTE(IF(B138="","NONE",B138),"_","-"),"|","-"),"_","CS|",(VLOOKUP(C138,Dictionary!$Y:$Z,2,FALSE)),"_","CT|",(VLOOKUP(D138,Dictionary!$AE:$AF,2,FALSE)),IF(E138="","",CONCATENATE("_U1|",SUBSTITUTE(SUBSTITUTE(E138,"_","-"),"|","-"))),IF(F138="","",CONCATENATE("_U2|",SUBSTITUTE(SUBSTITUTE(F138,"_","-"),"|","-"))),IF(G138="","",CONCATENATE("_U3|",SUBSTITUTE(SUBSTITUTE(G138,"_","-"),"|","-")))))</f>
        <v>CV|VDV-PROMONACIONAL_CS|1200x627_CT|NAT_U1|SEMANA-DO-BRASIL_U2|VERIZON</v>
      </c>
    </row>
    <row r="139" ht="15.75" customHeight="1">
      <c r="A139" s="30">
        <v>2.55642634E8</v>
      </c>
      <c r="B139" s="14" t="s">
        <v>208</v>
      </c>
      <c r="C139" s="14" t="s">
        <v>58</v>
      </c>
      <c r="D139" s="14" t="s">
        <v>120</v>
      </c>
      <c r="E139" s="14" t="s">
        <v>209</v>
      </c>
      <c r="F139" s="14"/>
      <c r="G139" s="14"/>
      <c r="H139" s="33" t="str">
        <f>IF(C139="----","#N/A",CONCATENATE("CV|",SUBSTITUTE(SUBSTITUTE(IF(B139="","NONE",B139),"_","-"),"|","-"),"_","CS|",(VLOOKUP(C139,Dictionary!$Y:$Z,2,FALSE)),"_","CT|",(VLOOKUP(D139,Dictionary!$AE:$AF,2,FALSE)),IF(E139="","",CONCATENATE("_U1|",SUBSTITUTE(SUBSTITUTE(E139,"_","-"),"|","-"))),IF(F139="","",CONCATENATE("_U2|",SUBSTITUTE(SUBSTITUTE(F139,"_","-"),"|","-"))),IF(G139="","",CONCATENATE("_U3|",SUBSTITUTE(SUBSTITUTE(G139,"_","-"),"|","-")))))</f>
        <v>CV|IQ360_CS|1x1_CT|FLA_U1|ADESAO</v>
      </c>
    </row>
    <row r="140" ht="15.75" customHeight="1">
      <c r="A140" s="30">
        <v>2.56167687E8</v>
      </c>
      <c r="B140" s="14" t="s">
        <v>210</v>
      </c>
      <c r="C140" s="14" t="s">
        <v>58</v>
      </c>
      <c r="D140" s="14" t="s">
        <v>123</v>
      </c>
      <c r="E140" s="14"/>
      <c r="F140" s="14"/>
      <c r="G140" s="14"/>
      <c r="H140" s="33" t="str">
        <f>IF(C140="----","#N/A",CONCATENATE("CV|",SUBSTITUTE(SUBSTITUTE(IF(B140="","NONE",B140),"_","-"),"|","-"),"_","CS|",(VLOOKUP(C140,Dictionary!$Y:$Z,2,FALSE)),"_","CT|",(VLOOKUP(D140,Dictionary!$AE:$AF,2,FALSE)),IF(E140="","",CONCATENATE("_U1|",SUBSTITUTE(SUBSTITUTE(E140,"_","-"),"|","-"))),IF(F140="","",CONCATENATE("_U2|",SUBSTITUTE(SUBSTITUTE(F140,"_","-"),"|","-"))),IF(G140="","",CONCATENATE("_U3|",SUBSTITUTE(SUBSTITUTE(G140,"_","-"),"|","-")))))</f>
        <v>CV|VDV-MERCHANT-DECOLAR-25OFF_CS|1x1_CT|INSSTORY</v>
      </c>
    </row>
    <row r="141" ht="15.75" customHeight="1">
      <c r="A141" s="30">
        <v>2.5616769E8</v>
      </c>
      <c r="B141" s="14" t="s">
        <v>210</v>
      </c>
      <c r="C141" s="14" t="s">
        <v>58</v>
      </c>
      <c r="D141" s="14" t="s">
        <v>120</v>
      </c>
      <c r="E141" s="14" t="s">
        <v>151</v>
      </c>
      <c r="F141" s="14"/>
      <c r="G141" s="14"/>
      <c r="H141" s="33" t="str">
        <f>IF(C141="----","#N/A",CONCATENATE("CV|",SUBSTITUTE(SUBSTITUTE(IF(B141="","NONE",B141),"_","-"),"|","-"),"_","CS|",(VLOOKUP(C141,Dictionary!$Y:$Z,2,FALSE)),"_","CT|",(VLOOKUP(D141,Dictionary!$AE:$AF,2,FALSE)),IF(E141="","",CONCATENATE("_U1|",SUBSTITUTE(SUBSTITUTE(E141,"_","-"),"|","-"))),IF(F141="","",CONCATENATE("_U2|",SUBSTITUTE(SUBSTITUTE(F141,"_","-"),"|","-"))),IF(G141="","",CONCATENATE("_U3|",SUBSTITUTE(SUBSTITUTE(G141,"_","-"),"|","-")))))</f>
        <v>CV|VDV-MERCHANT-DECOLAR-25OFF_CS|1x1_CT|FLA_U1|QUADRADO</v>
      </c>
    </row>
    <row r="142" ht="15.75" customHeight="1">
      <c r="A142" s="30">
        <v>2.56167693E8</v>
      </c>
      <c r="B142" s="14" t="s">
        <v>210</v>
      </c>
      <c r="C142" s="14" t="s">
        <v>58</v>
      </c>
      <c r="D142" s="14" t="s">
        <v>120</v>
      </c>
      <c r="E142" s="14" t="s">
        <v>152</v>
      </c>
      <c r="F142" s="14"/>
      <c r="G142" s="14"/>
      <c r="H142" s="33" t="str">
        <f>IF(C142="----","#N/A",CONCATENATE("CV|",SUBSTITUTE(SUBSTITUTE(IF(B142="","NONE",B142),"_","-"),"|","-"),"_","CS|",(VLOOKUP(C142,Dictionary!$Y:$Z,2,FALSE)),"_","CT|",(VLOOKUP(D142,Dictionary!$AE:$AF,2,FALSE)),IF(E142="","",CONCATENATE("_U1|",SUBSTITUTE(SUBSTITUTE(E142,"_","-"),"|","-"))),IF(F142="","",CONCATENATE("_U2|",SUBSTITUTE(SUBSTITUTE(F142,"_","-"),"|","-"))),IF(G142="","",CONCATENATE("_U3|",SUBSTITUTE(SUBSTITUTE(G142,"_","-"),"|","-")))))</f>
        <v>CV|VDV-MERCHANT-DECOLAR-25OFF_CS|1x1_CT|FLA_U1|RETANGULAR</v>
      </c>
    </row>
    <row r="143" ht="15.75" customHeight="1">
      <c r="A143" s="30">
        <v>2.56167696E8</v>
      </c>
      <c r="B143" s="14" t="s">
        <v>210</v>
      </c>
      <c r="C143" s="14" t="s">
        <v>58</v>
      </c>
      <c r="D143" s="14" t="s">
        <v>122</v>
      </c>
      <c r="E143" s="14"/>
      <c r="F143" s="14"/>
      <c r="G143" s="14"/>
      <c r="H143" s="33" t="str">
        <f>IF(C143="----","#N/A",CONCATENATE("CV|",SUBSTITUTE(SUBSTITUTE(IF(B143="","NONE",B143),"_","-"),"|","-"),"_","CS|",(VLOOKUP(C143,Dictionary!$Y:$Z,2,FALSE)),"_","CT|",(VLOOKUP(D143,Dictionary!$AE:$AF,2,FALSE)),IF(E143="","",CONCATENATE("_U1|",SUBSTITUTE(SUBSTITUTE(E143,"_","-"),"|","-"))),IF(F143="","",CONCATENATE("_U2|",SUBSTITUTE(SUBSTITUTE(F143,"_","-"),"|","-"))),IF(G143="","",CONCATENATE("_U3|",SUBSTITUTE(SUBSTITUTE(G143,"_","-"),"|","-")))))</f>
        <v>CV|VDV-MERCHANT-DECOLAR-25OFF_CS|1x1_CT|FCR</v>
      </c>
    </row>
    <row r="144" ht="15.75" customHeight="1">
      <c r="A144" s="30">
        <v>2.56384401E8</v>
      </c>
      <c r="B144" s="14" t="s">
        <v>136</v>
      </c>
      <c r="C144" s="14" t="s">
        <v>58</v>
      </c>
      <c r="D144" s="14" t="s">
        <v>123</v>
      </c>
      <c r="E144" s="14" t="s">
        <v>211</v>
      </c>
      <c r="F144" s="14"/>
      <c r="G144" s="14"/>
      <c r="H144" s="33" t="str">
        <f>IF(C144="----","#N/A",CONCATENATE("CV|",SUBSTITUTE(SUBSTITUTE(IF(B144="","NONE",B144),"_","-"),"|","-"),"_","CS|",(VLOOKUP(C144,Dictionary!$Y:$Z,2,FALSE)),"_","CT|",(VLOOKUP(D144,Dictionary!$AE:$AF,2,FALSE)),IF(E144="","",CONCATENATE("_U1|",SUBSTITUTE(SUBSTITUTE(E144,"_","-"),"|","-"))),IF(F144="","",CONCATENATE("_U2|",SUBSTITUTE(SUBSTITUTE(F144,"_","-"),"|","-"))),IF(G144="","",CONCATENATE("_U3|",SUBSTITUTE(SUBSTITUTE(G144,"_","-"),"|","-")))))</f>
        <v>CV|VDV-PROMONACIONAL_CS|1x1_CT|INSSTORY_U1|GANHADORES-ATUALIZADO-SETEMBRO</v>
      </c>
    </row>
    <row r="145" ht="15.75" customHeight="1">
      <c r="A145" s="30">
        <v>2.56237882E8</v>
      </c>
      <c r="B145" s="14" t="s">
        <v>136</v>
      </c>
      <c r="C145" s="14" t="s">
        <v>58</v>
      </c>
      <c r="D145" s="14" t="s">
        <v>121</v>
      </c>
      <c r="E145" s="14" t="s">
        <v>211</v>
      </c>
      <c r="F145" s="14"/>
      <c r="G145" s="14"/>
      <c r="H145" s="33" t="str">
        <f>IF(C145="----","#N/A",CONCATENATE("CV|",SUBSTITUTE(SUBSTITUTE(IF(B145="","NONE",B145),"_","-"),"|","-"),"_","CS|",(VLOOKUP(C145,Dictionary!$Y:$Z,2,FALSE)),"_","CT|",(VLOOKUP(D145,Dictionary!$AE:$AF,2,FALSE)),IF(E145="","",CONCATENATE("_U1|",SUBSTITUTE(SUBSTITUTE(E145,"_","-"),"|","-"))),IF(F145="","",CONCATENATE("_U2|",SUBSTITUTE(SUBSTITUTE(F145,"_","-"),"|","-"))),IF(G145="","",CONCATENATE("_U3|",SUBSTITUTE(SUBSTITUTE(G145,"_","-"),"|","-")))))</f>
        <v>CV|VDV-PROMONACIONAL_CS|1x1_CT|FGIF_U1|GANHADORES-ATUALIZADO-SETEMBRO</v>
      </c>
    </row>
    <row r="146" ht="15.75" customHeight="1">
      <c r="A146" s="30">
        <v>2.55925904E8</v>
      </c>
      <c r="B146" s="14" t="s">
        <v>136</v>
      </c>
      <c r="C146" s="14" t="s">
        <v>58</v>
      </c>
      <c r="D146" s="14" t="s">
        <v>120</v>
      </c>
      <c r="E146" s="14" t="s">
        <v>211</v>
      </c>
      <c r="F146" s="14"/>
      <c r="G146" s="14"/>
      <c r="H146" s="33" t="str">
        <f>IF(C146="----","#N/A",CONCATENATE("CV|",SUBSTITUTE(SUBSTITUTE(IF(B146="","NONE",B146),"_","-"),"|","-"),"_","CS|",(VLOOKUP(C146,Dictionary!$Y:$Z,2,FALSE)),"_","CT|",(VLOOKUP(D146,Dictionary!$AE:$AF,2,FALSE)),IF(E146="","",CONCATENATE("_U1|",SUBSTITUTE(SUBSTITUTE(E146,"_","-"),"|","-"))),IF(F146="","",CONCATENATE("_U2|",SUBSTITUTE(SUBSTITUTE(F146,"_","-"),"|","-"))),IF(G146="","",CONCATENATE("_U3|",SUBSTITUTE(SUBSTITUTE(G146,"_","-"),"|","-")))))</f>
        <v>CV|VDV-PROMONACIONAL_CS|1x1_CT|FLA_U1|GANHADORES-ATUALIZADO-SETEMBRO</v>
      </c>
    </row>
    <row r="147" ht="15.75" customHeight="1">
      <c r="A147" s="30"/>
      <c r="B147" s="14"/>
      <c r="C147" s="14"/>
      <c r="D147" s="14"/>
      <c r="E147" s="14"/>
      <c r="F147" s="14"/>
      <c r="G147" s="14"/>
      <c r="H147" s="33"/>
    </row>
    <row r="148" ht="15.75" customHeight="1">
      <c r="A148" s="30"/>
      <c r="B148" s="14"/>
      <c r="C148" s="14"/>
      <c r="D148" s="14"/>
      <c r="E148" s="14"/>
      <c r="F148" s="14"/>
      <c r="G148" s="14"/>
      <c r="H148" s="33"/>
    </row>
    <row r="149" ht="15.75" customHeight="1">
      <c r="A149" s="30"/>
      <c r="B149" s="14"/>
      <c r="C149" s="14"/>
      <c r="D149" s="14"/>
      <c r="E149" s="14"/>
      <c r="F149" s="14"/>
      <c r="G149" s="14"/>
      <c r="H149" s="33"/>
    </row>
    <row r="150" ht="15.75" customHeight="1">
      <c r="A150" s="30"/>
      <c r="B150" s="14"/>
      <c r="C150" s="14"/>
      <c r="D150" s="14"/>
      <c r="E150" s="14"/>
      <c r="F150" s="14"/>
      <c r="G150" s="14"/>
      <c r="H150" s="33"/>
    </row>
    <row r="151" ht="15.75" customHeight="1">
      <c r="A151" s="30"/>
      <c r="B151" s="14"/>
      <c r="C151" s="14"/>
      <c r="D151" s="14"/>
      <c r="E151" s="14"/>
      <c r="F151" s="14"/>
      <c r="G151" s="14"/>
      <c r="H151" s="33"/>
    </row>
    <row r="152" ht="15.75" customHeight="1">
      <c r="A152" s="30"/>
      <c r="B152" s="14"/>
      <c r="C152" s="14"/>
      <c r="D152" s="14"/>
      <c r="E152" s="14"/>
      <c r="F152" s="14"/>
      <c r="G152" s="14"/>
      <c r="H152" s="33"/>
    </row>
    <row r="153" ht="15.75" customHeight="1">
      <c r="A153" s="30"/>
      <c r="B153" s="14"/>
      <c r="C153" s="14"/>
      <c r="D153" s="14"/>
      <c r="E153" s="14"/>
      <c r="F153" s="14"/>
      <c r="G153" s="14"/>
      <c r="H153" s="33"/>
    </row>
    <row r="154" ht="15.75" customHeight="1">
      <c r="A154" s="30"/>
      <c r="B154" s="14"/>
      <c r="C154" s="14"/>
      <c r="D154" s="14"/>
      <c r="E154" s="14"/>
      <c r="F154" s="14"/>
      <c r="G154" s="14"/>
      <c r="H154" s="33"/>
    </row>
    <row r="155" ht="15.75" customHeight="1">
      <c r="A155" s="30"/>
      <c r="B155" s="14"/>
      <c r="C155" s="14"/>
      <c r="D155" s="14"/>
      <c r="E155" s="14"/>
      <c r="F155" s="14"/>
      <c r="G155" s="14"/>
      <c r="H155" s="33"/>
    </row>
    <row r="156" ht="15.75" customHeight="1">
      <c r="A156" s="30"/>
      <c r="B156" s="14"/>
      <c r="C156" s="14"/>
      <c r="D156" s="14"/>
      <c r="E156" s="14"/>
      <c r="F156" s="14"/>
      <c r="G156" s="14"/>
      <c r="H156" s="33"/>
    </row>
    <row r="157" ht="15.75" customHeight="1">
      <c r="A157" s="30"/>
      <c r="B157" s="14"/>
      <c r="C157" s="14"/>
      <c r="D157" s="14"/>
      <c r="E157" s="14"/>
      <c r="F157" s="14"/>
      <c r="G157" s="14"/>
      <c r="H157" s="33"/>
    </row>
    <row r="158" ht="15.75" customHeight="1">
      <c r="A158" s="30"/>
      <c r="B158" s="14"/>
      <c r="C158" s="14"/>
      <c r="D158" s="14"/>
      <c r="E158" s="14"/>
      <c r="F158" s="14"/>
      <c r="G158" s="14"/>
      <c r="H158" s="33"/>
    </row>
    <row r="159" ht="15.75" customHeight="1">
      <c r="A159" s="30"/>
      <c r="B159" s="14"/>
      <c r="C159" s="14"/>
      <c r="D159" s="14"/>
      <c r="E159" s="14"/>
      <c r="F159" s="14"/>
      <c r="G159" s="14"/>
      <c r="H159" s="33"/>
    </row>
    <row r="160" ht="15.75" customHeight="1">
      <c r="A160" s="30"/>
      <c r="B160" s="14"/>
      <c r="C160" s="14"/>
      <c r="D160" s="14"/>
      <c r="E160" s="14"/>
      <c r="F160" s="14"/>
      <c r="G160" s="14"/>
      <c r="H160" s="33"/>
    </row>
    <row r="161" ht="15.75" customHeight="1">
      <c r="A161" s="30"/>
      <c r="B161" s="14"/>
      <c r="C161" s="14"/>
      <c r="D161" s="14"/>
      <c r="E161" s="14"/>
      <c r="F161" s="14"/>
      <c r="G161" s="14"/>
      <c r="H161" s="33"/>
    </row>
    <row r="162" ht="15.75" customHeight="1">
      <c r="A162" s="30"/>
      <c r="B162" s="14"/>
      <c r="C162" s="14"/>
      <c r="D162" s="14"/>
      <c r="E162" s="14"/>
      <c r="F162" s="14"/>
      <c r="G162" s="14"/>
      <c r="H162" s="33"/>
    </row>
    <row r="163" ht="15.75" customHeight="1">
      <c r="A163" s="30"/>
      <c r="B163" s="14"/>
      <c r="C163" s="14"/>
      <c r="D163" s="14"/>
      <c r="E163" s="14"/>
      <c r="F163" s="14"/>
      <c r="G163" s="14"/>
      <c r="H163" s="33"/>
    </row>
    <row r="164" ht="15.75" customHeight="1">
      <c r="A164" s="30"/>
      <c r="B164" s="14"/>
      <c r="C164" s="14"/>
      <c r="D164" s="14"/>
      <c r="E164" s="14"/>
      <c r="F164" s="14"/>
      <c r="G164" s="14"/>
      <c r="H164" s="33"/>
    </row>
    <row r="165" ht="15.75" customHeight="1">
      <c r="A165" s="30"/>
      <c r="B165" s="14"/>
      <c r="C165" s="14"/>
      <c r="D165" s="14"/>
      <c r="E165" s="14"/>
      <c r="F165" s="14"/>
      <c r="G165" s="14"/>
      <c r="H165" s="33"/>
    </row>
    <row r="166" ht="15.75" customHeight="1">
      <c r="A166" s="30"/>
      <c r="B166" s="14"/>
      <c r="C166" s="14"/>
      <c r="D166" s="14"/>
      <c r="E166" s="14"/>
      <c r="F166" s="14"/>
      <c r="G166" s="14"/>
      <c r="H166" s="33"/>
    </row>
    <row r="167" ht="15.75" customHeight="1">
      <c r="A167" s="30"/>
      <c r="B167" s="14"/>
      <c r="C167" s="14"/>
      <c r="D167" s="14"/>
      <c r="E167" s="14"/>
      <c r="F167" s="14"/>
      <c r="G167" s="14"/>
      <c r="H167" s="33"/>
    </row>
    <row r="168" ht="15.75" customHeight="1">
      <c r="A168" s="30"/>
      <c r="B168" s="14"/>
      <c r="C168" s="14"/>
      <c r="D168" s="14"/>
      <c r="E168" s="14"/>
      <c r="F168" s="14"/>
      <c r="G168" s="14"/>
      <c r="H168" s="33"/>
    </row>
    <row r="169" ht="15.75" customHeight="1">
      <c r="A169" s="30"/>
      <c r="B169" s="14"/>
      <c r="C169" s="14"/>
      <c r="D169" s="14"/>
      <c r="E169" s="14"/>
      <c r="F169" s="14"/>
      <c r="G169" s="14"/>
      <c r="H169" s="33"/>
    </row>
    <row r="170" ht="15.75" customHeight="1">
      <c r="A170" s="30"/>
      <c r="B170" s="14"/>
      <c r="C170" s="14"/>
      <c r="D170" s="14"/>
      <c r="E170" s="14"/>
      <c r="F170" s="14"/>
      <c r="G170" s="14"/>
      <c r="H170" s="33"/>
    </row>
    <row r="171" ht="15.75" customHeight="1">
      <c r="A171" s="30"/>
      <c r="B171" s="14"/>
      <c r="C171" s="14"/>
      <c r="D171" s="14"/>
      <c r="E171" s="14"/>
      <c r="F171" s="14"/>
      <c r="G171" s="14"/>
      <c r="H171" s="33"/>
    </row>
    <row r="172" ht="15.75" customHeight="1">
      <c r="A172" s="30"/>
      <c r="B172" s="14"/>
      <c r="C172" s="14"/>
      <c r="D172" s="14"/>
      <c r="E172" s="14"/>
      <c r="F172" s="14"/>
      <c r="G172" s="14"/>
      <c r="H172" s="33"/>
    </row>
    <row r="173" ht="15.75" customHeight="1">
      <c r="A173" s="30"/>
      <c r="B173" s="14"/>
      <c r="C173" s="14"/>
      <c r="D173" s="14"/>
      <c r="E173" s="14"/>
      <c r="F173" s="14"/>
      <c r="G173" s="14"/>
      <c r="H173" s="33"/>
    </row>
    <row r="174" ht="15.75" customHeight="1">
      <c r="A174" s="30"/>
      <c r="B174" s="14"/>
      <c r="C174" s="14"/>
      <c r="D174" s="14"/>
      <c r="E174" s="14"/>
      <c r="F174" s="14"/>
      <c r="G174" s="14"/>
      <c r="H174" s="33"/>
    </row>
    <row r="175" ht="15.75" customHeight="1">
      <c r="A175" s="30"/>
      <c r="B175" s="14"/>
      <c r="C175" s="14"/>
      <c r="D175" s="14"/>
      <c r="E175" s="14"/>
      <c r="F175" s="14"/>
      <c r="G175" s="14"/>
      <c r="H175" s="33"/>
    </row>
    <row r="176" ht="15.75" customHeight="1">
      <c r="A176" s="30"/>
      <c r="B176" s="14"/>
      <c r="C176" s="14"/>
      <c r="D176" s="14"/>
      <c r="E176" s="14"/>
      <c r="F176" s="14"/>
      <c r="G176" s="14"/>
      <c r="H176" s="33"/>
    </row>
    <row r="177" ht="15.75" customHeight="1">
      <c r="A177" s="30"/>
      <c r="B177" s="14"/>
      <c r="C177" s="14"/>
      <c r="D177" s="14"/>
      <c r="E177" s="14"/>
      <c r="F177" s="14"/>
      <c r="G177" s="14"/>
      <c r="H177" s="33"/>
    </row>
    <row r="178" ht="15.75" customHeight="1">
      <c r="A178" s="30"/>
      <c r="B178" s="14"/>
      <c r="C178" s="14"/>
      <c r="D178" s="14"/>
      <c r="E178" s="14"/>
      <c r="F178" s="14"/>
      <c r="G178" s="14"/>
      <c r="H178" s="33"/>
    </row>
    <row r="179" ht="15.75" customHeight="1">
      <c r="A179" s="30"/>
      <c r="B179" s="14"/>
      <c r="C179" s="14"/>
      <c r="D179" s="14"/>
      <c r="E179" s="14"/>
      <c r="F179" s="14"/>
      <c r="G179" s="14"/>
      <c r="H179" s="33"/>
    </row>
    <row r="180" ht="15.75" customHeight="1">
      <c r="A180" s="30"/>
      <c r="B180" s="14"/>
      <c r="C180" s="14"/>
      <c r="D180" s="14"/>
      <c r="E180" s="14"/>
      <c r="F180" s="14"/>
      <c r="G180" s="14"/>
      <c r="H180" s="33"/>
    </row>
    <row r="181" ht="15.75" customHeight="1">
      <c r="A181" s="30"/>
      <c r="B181" s="14"/>
      <c r="C181" s="14"/>
      <c r="D181" s="14"/>
      <c r="E181" s="14"/>
      <c r="F181" s="14"/>
      <c r="G181" s="14"/>
      <c r="H181" s="33"/>
    </row>
    <row r="182" ht="15.75" customHeight="1">
      <c r="A182" s="30"/>
      <c r="B182" s="14"/>
      <c r="C182" s="14"/>
      <c r="D182" s="14"/>
      <c r="E182" s="14"/>
      <c r="F182" s="14"/>
      <c r="G182" s="14"/>
      <c r="H182" s="33"/>
    </row>
    <row r="183" ht="15.75" customHeight="1">
      <c r="A183" s="30"/>
      <c r="B183" s="14"/>
      <c r="C183" s="14"/>
      <c r="D183" s="14"/>
      <c r="E183" s="14"/>
      <c r="F183" s="14"/>
      <c r="G183" s="14"/>
      <c r="H183" s="33"/>
    </row>
    <row r="184" ht="15.75" customHeight="1">
      <c r="A184" s="30"/>
      <c r="B184" s="14"/>
      <c r="C184" s="14"/>
      <c r="D184" s="14"/>
      <c r="E184" s="14"/>
      <c r="F184" s="14"/>
      <c r="G184" s="14"/>
      <c r="H184" s="33"/>
    </row>
    <row r="185" ht="15.75" customHeight="1">
      <c r="A185" s="30"/>
      <c r="B185" s="14"/>
      <c r="C185" s="14"/>
      <c r="D185" s="14"/>
      <c r="E185" s="14"/>
      <c r="F185" s="14"/>
      <c r="G185" s="14"/>
      <c r="H185" s="33"/>
    </row>
    <row r="186" ht="15.75" customHeight="1">
      <c r="A186" s="30"/>
      <c r="B186" s="14"/>
      <c r="C186" s="14"/>
      <c r="D186" s="14"/>
      <c r="E186" s="14"/>
      <c r="F186" s="14"/>
      <c r="G186" s="14"/>
      <c r="H186" s="33"/>
    </row>
    <row r="187" ht="15.75" customHeight="1">
      <c r="A187" s="30"/>
      <c r="B187" s="14"/>
      <c r="C187" s="14"/>
      <c r="D187" s="14"/>
      <c r="E187" s="14"/>
      <c r="F187" s="14"/>
      <c r="G187" s="14"/>
      <c r="H187" s="33"/>
    </row>
    <row r="188" ht="15.75" customHeight="1">
      <c r="A188" s="30"/>
      <c r="B188" s="14"/>
      <c r="C188" s="14"/>
      <c r="D188" s="14"/>
      <c r="E188" s="14"/>
      <c r="F188" s="14"/>
      <c r="G188" s="14"/>
      <c r="H188" s="33"/>
    </row>
    <row r="189" ht="15.75" customHeight="1">
      <c r="A189" s="30"/>
      <c r="B189" s="14"/>
      <c r="C189" s="14"/>
      <c r="D189" s="14"/>
      <c r="E189" s="14"/>
      <c r="F189" s="14"/>
      <c r="G189" s="14"/>
      <c r="H189" s="33"/>
    </row>
    <row r="190" ht="15.75" customHeight="1">
      <c r="A190" s="30"/>
      <c r="B190" s="14"/>
      <c r="C190" s="14"/>
      <c r="D190" s="14"/>
      <c r="E190" s="14"/>
      <c r="F190" s="14"/>
      <c r="G190" s="14"/>
      <c r="H190" s="33"/>
    </row>
    <row r="191" ht="15.75" customHeight="1">
      <c r="A191" s="30"/>
      <c r="B191" s="14"/>
      <c r="C191" s="14"/>
      <c r="D191" s="14"/>
      <c r="E191" s="14"/>
      <c r="F191" s="14"/>
      <c r="G191" s="14"/>
      <c r="H191" s="33"/>
    </row>
    <row r="192" ht="15.75" customHeight="1">
      <c r="A192" s="30"/>
      <c r="B192" s="14"/>
      <c r="C192" s="14"/>
      <c r="D192" s="14"/>
      <c r="E192" s="14"/>
      <c r="F192" s="14"/>
      <c r="G192" s="14"/>
      <c r="H192" s="33"/>
    </row>
    <row r="193" ht="15.75" customHeight="1">
      <c r="A193" s="30"/>
      <c r="B193" s="14"/>
      <c r="C193" s="14"/>
      <c r="D193" s="14"/>
      <c r="E193" s="14"/>
      <c r="F193" s="14"/>
      <c r="G193" s="14"/>
      <c r="H193" s="33"/>
    </row>
    <row r="194" ht="15.75" customHeight="1">
      <c r="A194" s="30"/>
      <c r="B194" s="14"/>
      <c r="C194" s="14"/>
      <c r="D194" s="14"/>
      <c r="E194" s="14"/>
      <c r="F194" s="14"/>
      <c r="G194" s="14"/>
      <c r="H194" s="33"/>
    </row>
    <row r="195" ht="15.75" customHeight="1">
      <c r="A195" s="30"/>
      <c r="B195" s="14"/>
      <c r="C195" s="14"/>
      <c r="D195" s="14"/>
      <c r="E195" s="14"/>
      <c r="F195" s="14"/>
      <c r="G195" s="14"/>
      <c r="H195" s="33"/>
    </row>
    <row r="196" ht="15.75" customHeight="1">
      <c r="A196" s="30"/>
      <c r="B196" s="14"/>
      <c r="C196" s="14"/>
      <c r="D196" s="14"/>
      <c r="E196" s="14"/>
      <c r="F196" s="14"/>
      <c r="G196" s="14"/>
      <c r="H196" s="33"/>
    </row>
    <row r="197" ht="15.75" customHeight="1">
      <c r="A197" s="30"/>
      <c r="B197" s="14"/>
      <c r="C197" s="14"/>
      <c r="D197" s="14"/>
      <c r="E197" s="14"/>
      <c r="F197" s="14"/>
      <c r="G197" s="14"/>
      <c r="H197" s="33"/>
    </row>
    <row r="198" ht="15.75" customHeight="1">
      <c r="A198" s="30"/>
      <c r="B198" s="14"/>
      <c r="C198" s="14"/>
      <c r="D198" s="14"/>
      <c r="E198" s="14"/>
      <c r="F198" s="14"/>
      <c r="G198" s="14"/>
      <c r="H198" s="33"/>
    </row>
    <row r="199" ht="15.75" customHeight="1">
      <c r="A199" s="30"/>
      <c r="B199" s="14"/>
      <c r="C199" s="14"/>
      <c r="D199" s="14"/>
      <c r="E199" s="14"/>
      <c r="F199" s="14"/>
      <c r="G199" s="14"/>
      <c r="H199" s="33"/>
    </row>
    <row r="200" ht="15.75" customHeight="1">
      <c r="A200" s="30"/>
      <c r="B200" s="14"/>
      <c r="C200" s="14"/>
      <c r="D200" s="14"/>
      <c r="E200" s="14"/>
      <c r="F200" s="14"/>
      <c r="G200" s="14"/>
      <c r="H200" s="33"/>
    </row>
    <row r="201" ht="15.75" customHeight="1">
      <c r="A201" s="30"/>
      <c r="B201" s="14"/>
      <c r="C201" s="14"/>
      <c r="D201" s="14"/>
      <c r="E201" s="14"/>
      <c r="F201" s="14"/>
      <c r="G201" s="14"/>
      <c r="H201" s="33"/>
    </row>
    <row r="202" ht="15.75" customHeight="1">
      <c r="A202" s="30"/>
      <c r="B202" s="14"/>
      <c r="C202" s="14"/>
      <c r="D202" s="14"/>
      <c r="E202" s="14"/>
      <c r="F202" s="14"/>
      <c r="G202" s="14"/>
      <c r="H202" s="33"/>
    </row>
    <row r="203" ht="15.75" customHeight="1">
      <c r="A203" s="30"/>
      <c r="B203" s="14"/>
      <c r="C203" s="14"/>
      <c r="D203" s="14"/>
      <c r="E203" s="14"/>
      <c r="F203" s="14"/>
      <c r="G203" s="14"/>
      <c r="H203" s="33"/>
    </row>
    <row r="204" ht="15.75" customHeight="1">
      <c r="A204" s="30"/>
      <c r="B204" s="89"/>
      <c r="C204" s="14"/>
      <c r="D204" s="14"/>
      <c r="E204" s="89"/>
      <c r="F204" s="14"/>
      <c r="G204" s="14"/>
      <c r="H204" s="33"/>
    </row>
    <row r="205" ht="15.75" customHeight="1">
      <c r="A205" s="30"/>
      <c r="B205" s="67"/>
      <c r="C205" s="14"/>
      <c r="D205" s="14"/>
      <c r="E205" s="90"/>
      <c r="F205" s="14"/>
      <c r="G205" s="14"/>
      <c r="H205" s="33"/>
    </row>
    <row r="206" ht="15.75" customHeight="1">
      <c r="A206" s="30"/>
      <c r="B206" s="89"/>
      <c r="C206" s="14"/>
      <c r="D206" s="67"/>
      <c r="E206" s="90"/>
      <c r="F206" s="14"/>
      <c r="G206" s="14"/>
      <c r="H206" s="33"/>
    </row>
    <row r="207" ht="15.75" customHeight="1">
      <c r="A207" s="30"/>
      <c r="B207" s="67"/>
      <c r="C207" s="14"/>
      <c r="D207" s="14"/>
      <c r="E207" s="90"/>
      <c r="F207" s="14"/>
      <c r="G207" s="14"/>
      <c r="H207" s="33"/>
    </row>
    <row r="208" ht="15.75" customHeight="1">
      <c r="A208" s="30"/>
      <c r="B208" s="67"/>
      <c r="C208" s="14"/>
      <c r="D208" s="67"/>
      <c r="E208" s="90"/>
      <c r="F208" s="14"/>
      <c r="G208" s="14"/>
      <c r="H208" s="33"/>
    </row>
    <row r="209" ht="15.75" customHeight="1">
      <c r="A209" s="30"/>
      <c r="B209" s="89"/>
      <c r="C209" s="14"/>
      <c r="D209" s="67"/>
      <c r="E209" s="90"/>
      <c r="F209" s="14"/>
      <c r="G209" s="14"/>
      <c r="H209" s="33"/>
    </row>
    <row r="210" ht="15.75" customHeight="1">
      <c r="A210" s="30"/>
      <c r="B210" s="89"/>
      <c r="C210" s="14"/>
      <c r="D210" s="67"/>
      <c r="E210" s="90"/>
      <c r="F210" s="14"/>
      <c r="G210" s="14"/>
      <c r="H210" s="33"/>
    </row>
    <row r="211" ht="15.75" customHeight="1">
      <c r="A211" s="30"/>
      <c r="B211" s="67"/>
      <c r="C211" s="14"/>
      <c r="D211" s="89"/>
      <c r="E211" s="67"/>
      <c r="F211" s="14"/>
      <c r="G211" s="14"/>
      <c r="H211" s="33"/>
    </row>
    <row r="212" ht="15.75" customHeight="1">
      <c r="A212" s="30"/>
      <c r="B212" s="67"/>
      <c r="C212" s="14"/>
      <c r="D212" s="89"/>
      <c r="E212" s="90"/>
      <c r="F212" s="14"/>
      <c r="G212" s="14"/>
      <c r="H212" s="33"/>
    </row>
    <row r="213" ht="15.75" customHeight="1">
      <c r="A213" s="30"/>
      <c r="B213" s="89"/>
      <c r="C213" s="14"/>
      <c r="D213" s="14"/>
      <c r="E213" s="90"/>
      <c r="F213" s="14"/>
      <c r="G213" s="14"/>
      <c r="H213" s="33"/>
    </row>
    <row r="214" ht="15.75" customHeight="1">
      <c r="A214" s="30"/>
      <c r="B214" s="89"/>
      <c r="C214" s="14"/>
      <c r="D214" s="67"/>
      <c r="E214" s="90"/>
      <c r="F214" s="14"/>
      <c r="G214" s="14"/>
      <c r="H214" s="33"/>
    </row>
    <row r="215" ht="15.75" customHeight="1">
      <c r="A215" s="30"/>
      <c r="B215" s="89"/>
      <c r="C215" s="14"/>
      <c r="D215" s="67"/>
      <c r="E215" s="90"/>
      <c r="F215" s="14"/>
      <c r="G215" s="14"/>
      <c r="H215" s="33"/>
    </row>
    <row r="216" ht="15.75" customHeight="1">
      <c r="A216" s="30"/>
      <c r="B216" s="89"/>
      <c r="C216" s="14"/>
      <c r="D216" s="89"/>
      <c r="E216" s="91"/>
      <c r="F216" s="14"/>
      <c r="G216" s="14"/>
      <c r="H216" s="33"/>
    </row>
    <row r="217" ht="15.75" customHeight="1">
      <c r="A217" s="30"/>
      <c r="B217" s="89"/>
      <c r="C217" s="14"/>
      <c r="D217" s="67"/>
      <c r="E217" s="91"/>
      <c r="F217" s="14"/>
      <c r="G217" s="14"/>
      <c r="H217" s="33"/>
    </row>
    <row r="218" ht="15.75" customHeight="1">
      <c r="A218" s="30"/>
      <c r="B218" s="89"/>
      <c r="C218" s="14"/>
      <c r="D218" s="89"/>
      <c r="E218" s="91"/>
      <c r="F218" s="14"/>
      <c r="G218" s="14"/>
      <c r="H218" s="33"/>
    </row>
    <row r="219" ht="15.75" customHeight="1">
      <c r="A219" s="30"/>
      <c r="B219" s="14"/>
      <c r="C219" s="14"/>
      <c r="D219" s="67"/>
      <c r="E219" s="33"/>
      <c r="F219" s="14"/>
      <c r="G219" s="14"/>
      <c r="H219" s="33"/>
    </row>
    <row r="220" ht="15.75" customHeight="1">
      <c r="A220" s="30"/>
      <c r="B220" s="14"/>
      <c r="C220" s="14"/>
      <c r="D220" s="89"/>
      <c r="E220" s="33"/>
      <c r="F220" s="14"/>
      <c r="G220" s="14"/>
      <c r="H220" s="33"/>
    </row>
    <row r="221" ht="15.75" customHeight="1">
      <c r="A221" s="30"/>
      <c r="B221" s="14"/>
      <c r="C221" s="14"/>
      <c r="D221" s="89"/>
      <c r="E221" s="33"/>
      <c r="F221" s="14"/>
      <c r="G221" s="14"/>
      <c r="H221" s="33"/>
    </row>
    <row r="222" ht="15.75" customHeight="1">
      <c r="A222" s="30"/>
      <c r="B222" s="14"/>
      <c r="C222" s="14"/>
      <c r="D222" s="89"/>
      <c r="E222" s="33"/>
      <c r="F222" s="14"/>
      <c r="G222" s="14"/>
      <c r="H222" s="33"/>
    </row>
    <row r="223" ht="15.75" customHeight="1">
      <c r="A223" s="30"/>
      <c r="B223" s="14"/>
      <c r="C223" s="14"/>
      <c r="D223" s="89"/>
      <c r="E223" s="33"/>
      <c r="F223" s="14"/>
      <c r="G223" s="14"/>
      <c r="H223" s="33"/>
    </row>
    <row r="224" ht="15.75" customHeight="1">
      <c r="A224" s="30"/>
      <c r="B224" s="67"/>
      <c r="C224" s="14"/>
      <c r="D224" s="67"/>
      <c r="E224" s="90"/>
      <c r="F224" s="14"/>
      <c r="G224" s="14"/>
      <c r="H224" s="33"/>
    </row>
    <row r="225" ht="15.75" customHeight="1">
      <c r="A225" s="30"/>
      <c r="B225" s="89"/>
      <c r="C225" s="14"/>
      <c r="D225" s="89"/>
      <c r="E225" s="89"/>
      <c r="F225" s="14"/>
      <c r="G225" s="14"/>
      <c r="H225" s="33"/>
    </row>
    <row r="226" ht="15.75" customHeight="1">
      <c r="A226" s="30"/>
      <c r="B226" s="89"/>
      <c r="C226" s="14"/>
      <c r="D226" s="89"/>
      <c r="E226" s="89"/>
      <c r="F226" s="14"/>
      <c r="G226" s="14"/>
      <c r="H226" s="33"/>
    </row>
    <row r="227" ht="15.75" customHeight="1">
      <c r="A227" s="30"/>
      <c r="B227" s="89"/>
      <c r="C227" s="14"/>
      <c r="D227" s="89"/>
      <c r="E227" s="89"/>
      <c r="F227" s="14"/>
      <c r="G227" s="14"/>
      <c r="H227" s="33"/>
    </row>
    <row r="228" ht="15.75" customHeight="1">
      <c r="A228" s="30"/>
      <c r="B228" s="89"/>
      <c r="C228" s="14"/>
      <c r="D228" s="89"/>
      <c r="E228" s="89"/>
      <c r="F228" s="14"/>
      <c r="G228" s="14"/>
      <c r="H228" s="33"/>
    </row>
    <row r="229" ht="15.75" customHeight="1">
      <c r="A229" s="30"/>
      <c r="B229" s="67"/>
      <c r="C229" s="14"/>
      <c r="D229" s="14"/>
      <c r="E229" s="33"/>
      <c r="F229" s="14"/>
      <c r="G229" s="14"/>
      <c r="H229" s="33"/>
    </row>
    <row r="230" ht="15.75" customHeight="1">
      <c r="A230" s="30"/>
      <c r="B230" s="67"/>
      <c r="C230" s="14"/>
      <c r="D230" s="67"/>
      <c r="E230" s="33"/>
      <c r="F230" s="14"/>
      <c r="G230" s="14"/>
      <c r="H230" s="33"/>
    </row>
    <row r="231" ht="15.75" customHeight="1">
      <c r="A231" s="30"/>
      <c r="B231" s="67"/>
      <c r="C231" s="14"/>
      <c r="D231" s="67"/>
      <c r="E231" s="33"/>
      <c r="F231" s="14"/>
      <c r="G231" s="14"/>
      <c r="H231" s="33"/>
    </row>
    <row r="232" ht="15.75" customHeight="1">
      <c r="A232" s="30"/>
      <c r="B232" s="89"/>
      <c r="C232" s="14"/>
      <c r="D232" s="67"/>
      <c r="E232" s="33"/>
      <c r="F232" s="14"/>
      <c r="G232" s="14"/>
      <c r="H232" s="33"/>
    </row>
    <row r="233" ht="15.75" customHeight="1">
      <c r="A233" s="30"/>
      <c r="B233" s="89"/>
      <c r="C233" s="14"/>
      <c r="D233" s="67"/>
      <c r="E233" s="33"/>
      <c r="F233" s="14"/>
      <c r="G233" s="14"/>
      <c r="H233" s="33"/>
    </row>
    <row r="234" ht="15.75" customHeight="1">
      <c r="A234" s="30"/>
      <c r="B234" s="89"/>
      <c r="C234" s="14"/>
      <c r="D234" s="67"/>
      <c r="E234" s="33"/>
      <c r="F234" s="14"/>
      <c r="G234" s="14"/>
      <c r="H234" s="33"/>
    </row>
    <row r="235" ht="15.75" customHeight="1">
      <c r="A235" s="30"/>
      <c r="B235" s="89"/>
      <c r="C235" s="14"/>
      <c r="D235" s="67"/>
      <c r="E235" s="33"/>
      <c r="F235" s="14"/>
      <c r="G235" s="14"/>
      <c r="H235" s="33"/>
    </row>
    <row r="236" ht="15.75" customHeight="1">
      <c r="A236" s="30"/>
      <c r="B236" s="67"/>
      <c r="C236" s="14"/>
      <c r="D236" s="67"/>
      <c r="E236" s="33"/>
      <c r="F236" s="14"/>
      <c r="G236" s="14"/>
      <c r="H236" s="33"/>
    </row>
    <row r="237" ht="15.75" customHeight="1">
      <c r="A237" s="30"/>
      <c r="B237" s="67"/>
      <c r="C237" s="14"/>
      <c r="D237" s="67"/>
      <c r="E237" s="33"/>
      <c r="F237" s="14"/>
      <c r="G237" s="14"/>
      <c r="H237" s="33"/>
    </row>
    <row r="238" ht="15.75" customHeight="1">
      <c r="A238" s="30"/>
      <c r="B238" s="67"/>
      <c r="C238" s="14"/>
      <c r="D238" s="67"/>
      <c r="E238" s="33"/>
      <c r="F238" s="14"/>
      <c r="G238" s="14"/>
      <c r="H238" s="33"/>
    </row>
    <row r="239" ht="15.75" customHeight="1">
      <c r="A239" s="30"/>
      <c r="B239" s="67"/>
      <c r="C239" s="14"/>
      <c r="D239" s="67"/>
      <c r="E239" s="33"/>
      <c r="F239" s="14"/>
      <c r="G239" s="14"/>
      <c r="H239" s="33"/>
    </row>
    <row r="240" ht="15.75" customHeight="1">
      <c r="A240" s="30"/>
      <c r="B240" s="89"/>
      <c r="C240" s="14"/>
      <c r="D240" s="14"/>
      <c r="E240" s="14"/>
      <c r="F240" s="14"/>
      <c r="G240" s="14"/>
      <c r="H240" s="33"/>
    </row>
    <row r="241" ht="15.75" customHeight="1">
      <c r="A241" s="30"/>
      <c r="B241" s="89"/>
      <c r="C241" s="14"/>
      <c r="D241" s="14"/>
      <c r="E241" s="14"/>
      <c r="F241" s="14"/>
      <c r="G241" s="14"/>
      <c r="H241" s="33"/>
    </row>
    <row r="242" ht="15.75" customHeight="1">
      <c r="A242" s="30"/>
      <c r="B242" s="89"/>
      <c r="C242" s="14"/>
      <c r="D242" s="14"/>
      <c r="E242" s="33"/>
      <c r="F242" s="14"/>
      <c r="G242" s="14"/>
      <c r="H242" s="33"/>
    </row>
    <row r="243" ht="15.75" customHeight="1">
      <c r="A243" s="30"/>
      <c r="B243" s="89"/>
      <c r="C243" s="14"/>
      <c r="D243" s="14"/>
      <c r="E243" s="33"/>
      <c r="F243" s="14"/>
      <c r="G243" s="14"/>
      <c r="H243" s="33"/>
    </row>
    <row r="244" ht="15.75" customHeight="1">
      <c r="A244" s="30"/>
      <c r="B244" s="89"/>
      <c r="C244" s="14"/>
      <c r="D244" s="67"/>
      <c r="E244" s="33"/>
      <c r="F244" s="14"/>
      <c r="G244" s="14"/>
      <c r="H244" s="33"/>
    </row>
    <row r="245" ht="15.75" customHeight="1">
      <c r="A245" s="30"/>
      <c r="B245" s="89"/>
      <c r="C245" s="14"/>
      <c r="D245" s="67"/>
      <c r="E245" s="33"/>
      <c r="F245" s="14"/>
      <c r="G245" s="14"/>
      <c r="H245" s="33"/>
    </row>
    <row r="246" ht="15.75" customHeight="1">
      <c r="A246" s="30"/>
      <c r="B246" s="14"/>
      <c r="C246" s="14"/>
      <c r="D246" s="67"/>
      <c r="E246" s="33"/>
      <c r="F246" s="14"/>
      <c r="G246" s="14"/>
      <c r="H246" s="33"/>
    </row>
    <row r="247" ht="15.75" customHeight="1">
      <c r="A247" s="14"/>
      <c r="B247" s="14"/>
      <c r="C247" s="14"/>
      <c r="D247" s="89"/>
      <c r="E247" s="14"/>
      <c r="F247" s="14"/>
      <c r="G247" s="14"/>
      <c r="H247" s="33"/>
    </row>
    <row r="248" ht="15.75" customHeight="1">
      <c r="A248" s="14"/>
      <c r="B248" s="14"/>
      <c r="C248" s="14"/>
      <c r="D248" s="89"/>
      <c r="E248" s="14"/>
      <c r="F248" s="14"/>
      <c r="G248" s="14"/>
      <c r="H248" s="33"/>
    </row>
    <row r="249" ht="15.75" customHeight="1">
      <c r="A249" s="14"/>
      <c r="B249" s="14"/>
      <c r="C249" s="14"/>
      <c r="D249" s="89"/>
      <c r="E249" s="14"/>
      <c r="F249" s="14"/>
      <c r="G249" s="14"/>
      <c r="H249" s="33"/>
    </row>
    <row r="250" ht="15.75" customHeight="1">
      <c r="A250" s="14"/>
      <c r="B250" s="14"/>
      <c r="C250" s="14"/>
      <c r="D250" s="89"/>
      <c r="E250" s="14"/>
      <c r="F250" s="14"/>
      <c r="G250" s="14"/>
      <c r="H250" s="33"/>
    </row>
    <row r="251" ht="15.75" customHeight="1">
      <c r="A251" s="14"/>
      <c r="B251" s="67"/>
      <c r="C251" s="14"/>
      <c r="D251" s="67"/>
      <c r="E251" s="14"/>
      <c r="F251" s="14"/>
      <c r="G251" s="14"/>
      <c r="H251" s="33"/>
    </row>
    <row r="252" ht="15.75" customHeight="1">
      <c r="A252" s="14"/>
      <c r="B252" s="89"/>
      <c r="C252" s="14"/>
      <c r="D252" s="89"/>
      <c r="E252" s="14"/>
      <c r="F252" s="14"/>
      <c r="G252" s="14"/>
      <c r="H252" s="33"/>
    </row>
    <row r="253" ht="15.75" customHeight="1">
      <c r="A253" s="14"/>
      <c r="B253" s="89"/>
      <c r="C253" s="14"/>
      <c r="D253" s="89"/>
      <c r="E253" s="14"/>
      <c r="F253" s="14"/>
      <c r="G253" s="14"/>
      <c r="H253" s="33"/>
    </row>
    <row r="254" ht="15.75" customHeight="1">
      <c r="A254" s="14"/>
      <c r="B254" s="89"/>
      <c r="C254" s="14"/>
      <c r="D254" s="89"/>
      <c r="E254" s="14"/>
      <c r="F254" s="14"/>
      <c r="G254" s="14"/>
      <c r="H254" s="33"/>
    </row>
    <row r="255" ht="15.75" customHeight="1">
      <c r="A255" s="14"/>
      <c r="B255" s="89"/>
      <c r="C255" s="14"/>
      <c r="D255" s="89"/>
      <c r="E255" s="14"/>
      <c r="F255" s="14"/>
      <c r="G255" s="14"/>
      <c r="H255" s="33"/>
    </row>
    <row r="256" ht="15.75" customHeight="1">
      <c r="A256" s="14"/>
      <c r="B256" s="89"/>
      <c r="C256" s="14"/>
      <c r="D256" s="89"/>
      <c r="E256" s="14"/>
      <c r="F256" s="14"/>
      <c r="G256" s="14"/>
      <c r="H256" s="33"/>
    </row>
    <row r="257" ht="15.75" customHeight="1">
      <c r="A257" s="14"/>
      <c r="B257" s="89"/>
      <c r="C257" s="14"/>
      <c r="D257" s="89"/>
      <c r="E257" s="14"/>
      <c r="F257" s="14"/>
      <c r="G257" s="14"/>
      <c r="H257" s="33"/>
    </row>
    <row r="258" ht="15.75" customHeight="1">
      <c r="A258" s="14"/>
      <c r="B258" s="89"/>
      <c r="C258" s="14"/>
      <c r="D258" s="89"/>
      <c r="E258" s="14"/>
      <c r="F258" s="14"/>
      <c r="G258" s="14"/>
      <c r="H258" s="33"/>
    </row>
    <row r="259" ht="15.75" customHeight="1">
      <c r="A259" s="14"/>
      <c r="B259" s="67"/>
      <c r="C259" s="14"/>
      <c r="D259" s="14"/>
      <c r="E259" s="30"/>
      <c r="F259" s="14"/>
      <c r="G259" s="14"/>
      <c r="H259" s="33"/>
    </row>
    <row r="260" ht="15.75" customHeight="1">
      <c r="A260" s="14"/>
      <c r="B260" s="67"/>
      <c r="C260" s="14"/>
      <c r="D260" s="67"/>
      <c r="E260" s="30"/>
      <c r="F260" s="14"/>
      <c r="G260" s="14"/>
      <c r="H260" s="33"/>
    </row>
    <row r="261" ht="15.75" customHeight="1">
      <c r="A261" s="14"/>
      <c r="B261" s="67"/>
      <c r="C261" s="14"/>
      <c r="D261" s="67"/>
      <c r="E261" s="30"/>
      <c r="F261" s="14"/>
      <c r="G261" s="14"/>
      <c r="H261" s="33"/>
    </row>
    <row r="262" ht="15.75" customHeight="1">
      <c r="A262" s="14"/>
      <c r="B262" s="89"/>
      <c r="C262" s="14"/>
      <c r="D262" s="67"/>
      <c r="E262" s="30"/>
      <c r="F262" s="14"/>
      <c r="G262" s="14"/>
      <c r="H262" s="33"/>
    </row>
    <row r="263" ht="15.75" customHeight="1">
      <c r="A263" s="14"/>
      <c r="B263" s="89"/>
      <c r="C263" s="14"/>
      <c r="D263" s="67"/>
      <c r="E263" s="30"/>
      <c r="F263" s="14"/>
      <c r="G263" s="14"/>
      <c r="H263" s="33"/>
    </row>
    <row r="264" ht="15.75" customHeight="1">
      <c r="A264" s="14"/>
      <c r="B264" s="89"/>
      <c r="C264" s="14"/>
      <c r="D264" s="67"/>
      <c r="E264" s="30"/>
      <c r="F264" s="14"/>
      <c r="G264" s="14"/>
      <c r="H264" s="33"/>
    </row>
    <row r="265" ht="15.75" customHeight="1">
      <c r="A265" s="14"/>
      <c r="B265" s="89"/>
      <c r="C265" s="14"/>
      <c r="D265" s="67"/>
      <c r="E265" s="30"/>
      <c r="F265" s="14"/>
      <c r="G265" s="14"/>
      <c r="H265" s="33"/>
    </row>
    <row r="266" ht="15.75" customHeight="1">
      <c r="A266" s="14"/>
      <c r="B266" s="89"/>
      <c r="C266" s="14"/>
      <c r="D266" s="14"/>
      <c r="E266" s="30"/>
      <c r="F266" s="14"/>
      <c r="G266" s="33"/>
      <c r="H266" s="33"/>
    </row>
    <row r="267" ht="15.75" customHeight="1">
      <c r="A267" s="14"/>
      <c r="B267" s="89"/>
      <c r="C267" s="14"/>
      <c r="D267" s="14"/>
      <c r="E267" s="30"/>
      <c r="F267" s="14"/>
      <c r="G267" s="33"/>
      <c r="H267" s="33"/>
    </row>
    <row r="268" ht="15.75" customHeight="1">
      <c r="A268" s="14"/>
      <c r="B268" s="89"/>
      <c r="C268" s="14"/>
      <c r="D268" s="14"/>
      <c r="E268" s="30"/>
      <c r="F268" s="14"/>
      <c r="G268" s="33"/>
      <c r="H268" s="33"/>
    </row>
    <row r="269" ht="15.75" customHeight="1">
      <c r="A269" s="14"/>
      <c r="B269" s="67"/>
      <c r="C269" s="14"/>
      <c r="D269" s="14"/>
      <c r="E269" s="90"/>
      <c r="F269" s="14"/>
      <c r="G269" s="14"/>
      <c r="H269" s="33"/>
    </row>
    <row r="270" ht="15.75" customHeight="1">
      <c r="A270" s="14"/>
      <c r="B270" s="67"/>
      <c r="C270" s="14"/>
      <c r="D270" s="67"/>
      <c r="E270" s="90"/>
      <c r="F270" s="14"/>
      <c r="G270" s="14"/>
      <c r="H270" s="33"/>
    </row>
    <row r="271" ht="15.75" customHeight="1">
      <c r="A271" s="14"/>
      <c r="B271" s="67"/>
      <c r="C271" s="14"/>
      <c r="D271" s="67"/>
      <c r="E271" s="90"/>
      <c r="F271" s="14"/>
      <c r="G271" s="14"/>
      <c r="H271" s="33"/>
    </row>
    <row r="272" ht="15.75" customHeight="1">
      <c r="A272" s="14"/>
      <c r="B272" s="89"/>
      <c r="C272" s="14"/>
      <c r="D272" s="67"/>
      <c r="E272" s="90"/>
      <c r="F272" s="14"/>
      <c r="G272" s="14"/>
      <c r="H272" s="33"/>
    </row>
    <row r="273" ht="15.75" customHeight="1">
      <c r="A273" s="14"/>
      <c r="B273" s="89"/>
      <c r="C273" s="14"/>
      <c r="D273" s="67"/>
      <c r="E273" s="90"/>
      <c r="F273" s="14"/>
      <c r="G273" s="14"/>
      <c r="H273" s="33"/>
    </row>
    <row r="274" ht="15.75" customHeight="1">
      <c r="A274" s="14"/>
      <c r="B274" s="89"/>
      <c r="C274" s="14"/>
      <c r="D274" s="14"/>
      <c r="E274" s="90"/>
      <c r="F274" s="14"/>
      <c r="G274" s="14"/>
      <c r="H274" s="33"/>
    </row>
    <row r="275" ht="15.75" customHeight="1">
      <c r="A275" s="14"/>
      <c r="B275" s="89"/>
      <c r="C275" s="14"/>
      <c r="D275" s="67"/>
      <c r="E275" s="90"/>
      <c r="F275" s="14"/>
      <c r="G275" s="14"/>
      <c r="H275" s="33"/>
    </row>
    <row r="276" ht="15.75" customHeight="1">
      <c r="A276" s="14"/>
      <c r="B276" s="89"/>
      <c r="C276" s="14"/>
      <c r="D276" s="67"/>
      <c r="E276" s="89"/>
      <c r="F276" s="14"/>
      <c r="G276" s="14"/>
      <c r="H276" s="33"/>
    </row>
    <row r="277" ht="15.75" customHeight="1">
      <c r="A277" s="14"/>
      <c r="B277" s="89"/>
      <c r="C277" s="14"/>
      <c r="D277" s="67"/>
      <c r="E277" s="90"/>
      <c r="F277" s="14"/>
      <c r="G277" s="14"/>
      <c r="H277" s="33"/>
    </row>
    <row r="278" ht="15.75" customHeight="1">
      <c r="A278" s="14"/>
      <c r="B278" s="89"/>
      <c r="C278" s="14"/>
      <c r="D278" s="14"/>
      <c r="E278" s="90"/>
      <c r="F278" s="14"/>
      <c r="G278" s="14"/>
      <c r="H278" s="33"/>
    </row>
    <row r="279" ht="15.75" customHeight="1">
      <c r="A279" s="14"/>
      <c r="B279" s="89"/>
      <c r="C279" s="14"/>
      <c r="D279" s="14"/>
      <c r="E279" s="89"/>
      <c r="F279" s="14"/>
      <c r="G279" s="14"/>
      <c r="H279" s="33"/>
    </row>
    <row r="280" ht="15.75" customHeight="1">
      <c r="A280" s="14"/>
      <c r="B280" s="67"/>
      <c r="C280" s="14"/>
      <c r="D280" s="14"/>
      <c r="E280" s="90"/>
      <c r="F280" s="14"/>
      <c r="G280" s="14"/>
      <c r="H280" s="33"/>
    </row>
    <row r="281" ht="15.75" customHeight="1">
      <c r="A281" s="14"/>
      <c r="B281" s="89"/>
      <c r="C281" s="14"/>
      <c r="D281" s="67"/>
      <c r="E281" s="90"/>
      <c r="F281" s="14"/>
      <c r="G281" s="14"/>
      <c r="H281" s="33"/>
    </row>
    <row r="282" ht="15.75" customHeight="1">
      <c r="A282" s="14"/>
      <c r="B282" s="67"/>
      <c r="C282" s="14"/>
      <c r="D282" s="14"/>
      <c r="E282" s="90"/>
      <c r="F282" s="14"/>
      <c r="G282" s="14"/>
      <c r="H282" s="33"/>
    </row>
    <row r="283" ht="15.75" customHeight="1">
      <c r="A283" s="14"/>
      <c r="B283" s="67"/>
      <c r="C283" s="14"/>
      <c r="D283" s="67"/>
      <c r="E283" s="90"/>
      <c r="F283" s="14"/>
      <c r="G283" s="14"/>
      <c r="H283" s="33"/>
    </row>
    <row r="284" ht="15.75" customHeight="1">
      <c r="A284" s="14"/>
      <c r="B284" s="89"/>
      <c r="C284" s="14"/>
      <c r="D284" s="67"/>
      <c r="E284" s="90"/>
      <c r="F284" s="14"/>
      <c r="G284" s="14"/>
      <c r="H284" s="33"/>
    </row>
    <row r="285" ht="15.75" customHeight="1">
      <c r="A285" s="14"/>
      <c r="B285" s="89"/>
      <c r="C285" s="14"/>
      <c r="D285" s="67"/>
      <c r="E285" s="90"/>
      <c r="F285" s="14"/>
      <c r="G285" s="14"/>
      <c r="H285" s="33"/>
    </row>
    <row r="286" ht="15.75" customHeight="1">
      <c r="A286" s="14"/>
      <c r="B286" s="67"/>
      <c r="C286" s="14"/>
      <c r="D286" s="89"/>
      <c r="E286" s="67"/>
      <c r="F286" s="14"/>
      <c r="G286" s="14"/>
      <c r="H286" s="33"/>
    </row>
    <row r="287" ht="15.75" customHeight="1">
      <c r="A287" s="14"/>
      <c r="B287" s="67"/>
      <c r="C287" s="14"/>
      <c r="D287" s="89"/>
      <c r="E287" s="90"/>
      <c r="F287" s="14"/>
      <c r="G287" s="14"/>
      <c r="H287" s="33"/>
    </row>
    <row r="288" ht="15.75" customHeight="1">
      <c r="A288" s="14"/>
      <c r="B288" s="89"/>
      <c r="C288" s="14"/>
      <c r="D288" s="14"/>
      <c r="E288" s="90"/>
      <c r="F288" s="14"/>
      <c r="G288" s="14"/>
      <c r="H288" s="33"/>
    </row>
    <row r="289" ht="15.75" customHeight="1">
      <c r="A289" s="14"/>
      <c r="B289" s="89"/>
      <c r="C289" s="14"/>
      <c r="D289" s="67"/>
      <c r="E289" s="90"/>
      <c r="F289" s="14"/>
      <c r="G289" s="14"/>
      <c r="H289" s="33"/>
    </row>
    <row r="290" ht="15.75" customHeight="1">
      <c r="A290" s="14"/>
      <c r="B290" s="89"/>
      <c r="C290" s="14"/>
      <c r="D290" s="67"/>
      <c r="E290" s="90"/>
      <c r="F290" s="14"/>
      <c r="G290" s="14"/>
      <c r="H290" s="33"/>
    </row>
    <row r="291" ht="15.75" customHeight="1">
      <c r="A291" s="14"/>
      <c r="B291" s="89"/>
      <c r="C291" s="14"/>
      <c r="D291" s="89"/>
      <c r="E291" s="91"/>
      <c r="F291" s="14"/>
      <c r="G291" s="14"/>
      <c r="H291" s="33"/>
    </row>
    <row r="292" ht="15.75" customHeight="1">
      <c r="A292" s="14"/>
      <c r="B292" s="89"/>
      <c r="C292" s="14"/>
      <c r="D292" s="67"/>
      <c r="E292" s="91"/>
      <c r="F292" s="14"/>
      <c r="G292" s="14"/>
      <c r="H292" s="33"/>
    </row>
    <row r="293" ht="15.75" customHeight="1">
      <c r="A293" s="14"/>
      <c r="B293" s="89"/>
      <c r="C293" s="14"/>
      <c r="D293" s="89"/>
      <c r="E293" s="91"/>
      <c r="F293" s="14"/>
      <c r="G293" s="14"/>
      <c r="H293" s="33"/>
    </row>
    <row r="294" ht="15.75" customHeight="1">
      <c r="A294" s="14"/>
      <c r="B294" s="89"/>
      <c r="C294" s="14"/>
      <c r="D294" s="67"/>
      <c r="E294" s="90"/>
      <c r="F294" s="14"/>
      <c r="G294" s="14"/>
      <c r="H294" s="33"/>
    </row>
    <row r="295" ht="15.75" customHeight="1">
      <c r="A295" s="14"/>
      <c r="B295" s="89"/>
      <c r="C295" s="14"/>
      <c r="D295" s="67"/>
      <c r="E295" s="90"/>
      <c r="F295" s="14"/>
      <c r="G295" s="14"/>
      <c r="H295" s="33"/>
    </row>
    <row r="296" ht="15.75" customHeight="1">
      <c r="A296" s="14"/>
      <c r="B296" s="89"/>
      <c r="C296" s="14"/>
      <c r="D296" s="14"/>
      <c r="E296" s="90"/>
      <c r="F296" s="14"/>
      <c r="G296" s="14"/>
      <c r="H296" s="33"/>
    </row>
    <row r="297" ht="15.75" customHeight="1">
      <c r="A297" s="14"/>
      <c r="B297" s="89"/>
      <c r="C297" s="14"/>
      <c r="D297" s="67"/>
      <c r="E297" s="90"/>
      <c r="F297" s="14"/>
      <c r="G297" s="14"/>
      <c r="H297" s="33"/>
    </row>
    <row r="298" ht="15.75" customHeight="1">
      <c r="A298" s="14"/>
      <c r="B298" s="67"/>
      <c r="C298" s="14"/>
      <c r="D298" s="14"/>
      <c r="E298" s="90"/>
      <c r="F298" s="14"/>
      <c r="G298" s="14"/>
      <c r="H298" s="33"/>
    </row>
    <row r="299" ht="15.75" customHeight="1">
      <c r="A299" s="14"/>
      <c r="B299" s="89"/>
      <c r="C299" s="14"/>
      <c r="D299" s="14"/>
      <c r="E299" s="90"/>
      <c r="F299" s="14"/>
      <c r="G299" s="14"/>
      <c r="H299" s="33"/>
    </row>
    <row r="300" ht="15.75" customHeight="1">
      <c r="A300" s="14"/>
      <c r="B300" s="67"/>
      <c r="C300" s="14"/>
      <c r="D300" s="67"/>
      <c r="E300" s="90"/>
      <c r="F300" s="14"/>
      <c r="G300" s="14"/>
      <c r="H300" s="33"/>
    </row>
    <row r="301" ht="15.75" customHeight="1">
      <c r="A301" s="14"/>
      <c r="B301" s="89"/>
      <c r="C301" s="14"/>
      <c r="D301" s="89"/>
      <c r="E301" s="89"/>
      <c r="F301" s="14"/>
      <c r="G301" s="14"/>
      <c r="H301" s="33"/>
    </row>
    <row r="302" ht="15.75" customHeight="1">
      <c r="A302" s="14"/>
      <c r="B302" s="89"/>
      <c r="C302" s="14"/>
      <c r="D302" s="89"/>
      <c r="E302" s="89"/>
      <c r="F302" s="14"/>
      <c r="G302" s="14"/>
      <c r="H302" s="33"/>
    </row>
    <row r="303" ht="15.75" customHeight="1">
      <c r="A303" s="14"/>
      <c r="B303" s="89"/>
      <c r="C303" s="14"/>
      <c r="D303" s="89"/>
      <c r="E303" s="89"/>
      <c r="F303" s="14"/>
      <c r="G303" s="14"/>
      <c r="H303" s="33"/>
    </row>
    <row r="304" ht="15.75" customHeight="1">
      <c r="A304" s="14"/>
      <c r="B304" s="89"/>
      <c r="C304" s="14"/>
      <c r="D304" s="89"/>
      <c r="E304" s="89"/>
      <c r="F304" s="14"/>
      <c r="G304" s="14"/>
      <c r="H304" s="33"/>
    </row>
    <row r="305" ht="15.75" customHeight="1">
      <c r="A305" s="14"/>
      <c r="B305" s="67"/>
      <c r="C305" s="14"/>
      <c r="D305" s="14"/>
      <c r="E305" s="90"/>
      <c r="F305" s="14"/>
      <c r="G305" s="14"/>
      <c r="H305" s="33"/>
    </row>
    <row r="306" ht="15.75" customHeight="1">
      <c r="A306" s="14"/>
      <c r="B306" s="67"/>
      <c r="C306" s="14"/>
      <c r="D306" s="67"/>
      <c r="E306" s="90"/>
      <c r="F306" s="14"/>
      <c r="G306" s="14"/>
      <c r="H306" s="33"/>
    </row>
    <row r="307" ht="15.75" customHeight="1">
      <c r="A307" s="14"/>
      <c r="B307" s="67"/>
      <c r="C307" s="14"/>
      <c r="D307" s="67"/>
      <c r="E307" s="90"/>
      <c r="F307" s="14"/>
      <c r="G307" s="14"/>
      <c r="H307" s="33"/>
    </row>
    <row r="308" ht="15.75" customHeight="1">
      <c r="A308" s="14"/>
      <c r="B308" s="89"/>
      <c r="C308" s="14"/>
      <c r="D308" s="67"/>
      <c r="E308" s="90"/>
      <c r="F308" s="14"/>
      <c r="G308" s="14"/>
      <c r="H308" s="33"/>
    </row>
    <row r="309" ht="15.75" customHeight="1">
      <c r="A309" s="14"/>
      <c r="B309" s="89"/>
      <c r="C309" s="14"/>
      <c r="D309" s="67"/>
      <c r="E309" s="67"/>
      <c r="F309" s="14"/>
      <c r="G309" s="14"/>
      <c r="H309" s="33"/>
    </row>
    <row r="310" ht="15.75" customHeight="1">
      <c r="A310" s="14"/>
      <c r="B310" s="89"/>
      <c r="C310" s="14"/>
      <c r="D310" s="67"/>
      <c r="E310" s="90"/>
      <c r="F310" s="14"/>
      <c r="G310" s="14"/>
      <c r="H310" s="33"/>
    </row>
    <row r="311" ht="15.75" customHeight="1">
      <c r="A311" s="14"/>
      <c r="B311" s="89"/>
      <c r="C311" s="14"/>
      <c r="D311" s="67"/>
      <c r="E311" s="90"/>
      <c r="F311" s="14"/>
      <c r="G311" s="14"/>
      <c r="H311" s="33"/>
    </row>
    <row r="312" ht="15.75" customHeight="1">
      <c r="A312" s="14"/>
      <c r="B312" s="67"/>
      <c r="C312" s="14"/>
      <c r="D312" s="67"/>
      <c r="E312" s="90"/>
      <c r="F312" s="14"/>
      <c r="G312" s="14"/>
      <c r="H312" s="33"/>
    </row>
    <row r="313" ht="15.75" customHeight="1">
      <c r="A313" s="14"/>
      <c r="B313" s="67"/>
      <c r="C313" s="14"/>
      <c r="D313" s="67"/>
      <c r="E313" s="90"/>
      <c r="F313" s="14"/>
      <c r="G313" s="14"/>
      <c r="H313" s="33"/>
    </row>
    <row r="314" ht="15.75" customHeight="1">
      <c r="A314" s="14"/>
      <c r="B314" s="67"/>
      <c r="C314" s="14"/>
      <c r="D314" s="67"/>
      <c r="E314" s="90"/>
      <c r="F314" s="14"/>
      <c r="G314" s="14"/>
      <c r="H314" s="33"/>
    </row>
    <row r="315" ht="15.75" customHeight="1">
      <c r="A315" s="14"/>
      <c r="B315" s="67"/>
      <c r="C315" s="14"/>
      <c r="D315" s="67"/>
      <c r="E315" s="90"/>
      <c r="F315" s="14"/>
      <c r="G315" s="14"/>
      <c r="H315" s="33"/>
    </row>
    <row r="316" ht="15.75" customHeight="1">
      <c r="A316" s="14"/>
      <c r="B316" s="67"/>
      <c r="C316" s="14"/>
      <c r="D316" s="14"/>
      <c r="E316" s="90"/>
      <c r="F316" s="14"/>
      <c r="G316" s="14"/>
      <c r="H316" s="33"/>
    </row>
    <row r="317" ht="15.75" customHeight="1">
      <c r="A317" s="14"/>
      <c r="B317" s="67"/>
      <c r="C317" s="14"/>
      <c r="D317" s="67"/>
      <c r="E317" s="90"/>
      <c r="F317" s="14"/>
      <c r="G317" s="14"/>
      <c r="H317" s="33"/>
    </row>
    <row r="318" ht="15.75" customHeight="1">
      <c r="A318" s="14"/>
      <c r="B318" s="67"/>
      <c r="C318" s="14"/>
      <c r="D318" s="67"/>
      <c r="E318" s="90"/>
      <c r="F318" s="14"/>
      <c r="G318" s="14"/>
      <c r="H318" s="33"/>
    </row>
    <row r="319" ht="15.75" customHeight="1">
      <c r="A319" s="14"/>
      <c r="B319" s="89"/>
      <c r="C319" s="14"/>
      <c r="D319" s="67"/>
      <c r="E319" s="90"/>
      <c r="F319" s="14"/>
      <c r="G319" s="14"/>
      <c r="H319" s="33"/>
    </row>
    <row r="320" ht="15.75" customHeight="1">
      <c r="A320" s="14"/>
      <c r="B320" s="89"/>
      <c r="C320" s="14"/>
      <c r="D320" s="67"/>
      <c r="E320" s="90"/>
      <c r="F320" s="14"/>
      <c r="G320" s="14"/>
      <c r="H320" s="33"/>
    </row>
    <row r="321" ht="15.75" customHeight="1">
      <c r="A321" s="14"/>
      <c r="B321" s="89"/>
      <c r="C321" s="14"/>
      <c r="D321" s="14"/>
      <c r="E321" s="90"/>
      <c r="F321" s="14"/>
      <c r="G321" s="14"/>
      <c r="H321" s="33"/>
    </row>
    <row r="322" ht="15.75" customHeight="1">
      <c r="A322" s="14"/>
      <c r="B322" s="89"/>
      <c r="C322" s="14"/>
      <c r="D322" s="67"/>
      <c r="E322" s="90"/>
      <c r="F322" s="14"/>
      <c r="G322" s="14"/>
      <c r="H322" s="33"/>
    </row>
    <row r="323" ht="15.75" customHeight="1">
      <c r="A323" s="14"/>
      <c r="B323" s="89"/>
      <c r="C323" s="14"/>
      <c r="D323" s="67"/>
      <c r="E323" s="89"/>
      <c r="F323" s="14"/>
      <c r="G323" s="14"/>
      <c r="H323" s="33"/>
    </row>
    <row r="324" ht="15.75" customHeight="1">
      <c r="A324" s="14"/>
      <c r="B324" s="89"/>
      <c r="C324" s="14"/>
      <c r="D324" s="67"/>
      <c r="E324" s="90"/>
      <c r="F324" s="14"/>
      <c r="G324" s="14"/>
      <c r="H324" s="33"/>
    </row>
    <row r="325" ht="15.75" customHeight="1">
      <c r="A325" s="14"/>
      <c r="B325" s="89"/>
      <c r="C325" s="14"/>
      <c r="D325" s="14"/>
      <c r="E325" s="90"/>
      <c r="F325" s="14"/>
      <c r="G325" s="14"/>
      <c r="H325" s="33"/>
    </row>
    <row r="326" ht="15.75" customHeight="1">
      <c r="A326" s="14"/>
      <c r="B326" s="89"/>
      <c r="C326" s="14"/>
      <c r="D326" s="14"/>
      <c r="E326" s="89"/>
      <c r="F326" s="14"/>
      <c r="G326" s="14"/>
      <c r="H326" s="33"/>
    </row>
    <row r="327" ht="15.75" customHeight="1">
      <c r="A327" s="14"/>
      <c r="B327" s="67"/>
      <c r="C327" s="14"/>
      <c r="D327" s="14"/>
      <c r="E327" s="90"/>
      <c r="F327" s="14"/>
      <c r="G327" s="14"/>
      <c r="H327" s="33"/>
    </row>
    <row r="328" ht="15.75" customHeight="1">
      <c r="A328" s="14"/>
      <c r="B328" s="89"/>
      <c r="C328" s="14"/>
      <c r="D328" s="67"/>
      <c r="E328" s="90"/>
      <c r="F328" s="14"/>
      <c r="G328" s="14"/>
      <c r="H328" s="33"/>
    </row>
    <row r="329" ht="15.75" customHeight="1">
      <c r="A329" s="14"/>
      <c r="B329" s="67"/>
      <c r="C329" s="14"/>
      <c r="D329" s="14"/>
      <c r="E329" s="90"/>
      <c r="F329" s="14"/>
      <c r="G329" s="14"/>
      <c r="H329" s="33"/>
    </row>
    <row r="330" ht="15.75" customHeight="1">
      <c r="A330" s="14"/>
      <c r="B330" s="67"/>
      <c r="C330" s="14"/>
      <c r="D330" s="67"/>
      <c r="E330" s="90"/>
      <c r="F330" s="14"/>
      <c r="G330" s="14"/>
      <c r="H330" s="33"/>
    </row>
    <row r="331" ht="15.75" customHeight="1">
      <c r="A331" s="14"/>
      <c r="B331" s="89"/>
      <c r="C331" s="14"/>
      <c r="D331" s="67"/>
      <c r="E331" s="90"/>
      <c r="F331" s="14"/>
      <c r="G331" s="14"/>
      <c r="H331" s="33"/>
    </row>
    <row r="332" ht="15.75" customHeight="1">
      <c r="A332" s="14"/>
      <c r="B332" s="89"/>
      <c r="C332" s="14"/>
      <c r="D332" s="67"/>
      <c r="E332" s="90"/>
      <c r="F332" s="14"/>
      <c r="G332" s="14"/>
      <c r="H332" s="33"/>
    </row>
    <row r="333" ht="15.75" customHeight="1">
      <c r="A333" s="14"/>
      <c r="B333" s="67"/>
      <c r="C333" s="14"/>
      <c r="D333" s="89"/>
      <c r="E333" s="67"/>
      <c r="F333" s="14"/>
      <c r="G333" s="14"/>
      <c r="H333" s="33"/>
    </row>
    <row r="334" ht="15.75" customHeight="1">
      <c r="A334" s="14"/>
      <c r="B334" s="67"/>
      <c r="C334" s="14"/>
      <c r="D334" s="89"/>
      <c r="E334" s="90"/>
      <c r="F334" s="14"/>
      <c r="G334" s="14"/>
      <c r="H334" s="33"/>
    </row>
    <row r="335" ht="15.75" customHeight="1">
      <c r="A335" s="14"/>
      <c r="B335" s="89"/>
      <c r="C335" s="14"/>
      <c r="D335" s="14"/>
      <c r="E335" s="90"/>
      <c r="F335" s="14"/>
      <c r="G335" s="14"/>
      <c r="H335" s="33"/>
    </row>
    <row r="336" ht="15.75" customHeight="1">
      <c r="A336" s="14"/>
      <c r="B336" s="89"/>
      <c r="C336" s="14"/>
      <c r="D336" s="67"/>
      <c r="E336" s="90"/>
      <c r="F336" s="14"/>
      <c r="G336" s="14"/>
      <c r="H336" s="33"/>
    </row>
    <row r="337" ht="15.75" customHeight="1">
      <c r="A337" s="14"/>
      <c r="B337" s="89"/>
      <c r="C337" s="14"/>
      <c r="D337" s="67"/>
      <c r="E337" s="90"/>
      <c r="F337" s="14"/>
      <c r="G337" s="14"/>
      <c r="H337" s="33"/>
    </row>
    <row r="338" ht="15.75" customHeight="1">
      <c r="A338" s="14"/>
      <c r="B338" s="89"/>
      <c r="C338" s="14"/>
      <c r="D338" s="89"/>
      <c r="E338" s="91"/>
      <c r="F338" s="14"/>
      <c r="G338" s="14"/>
      <c r="H338" s="33"/>
    </row>
    <row r="339" ht="15.75" customHeight="1">
      <c r="A339" s="14"/>
      <c r="B339" s="89"/>
      <c r="C339" s="14"/>
      <c r="D339" s="67"/>
      <c r="E339" s="91"/>
      <c r="F339" s="14"/>
      <c r="G339" s="14"/>
      <c r="H339" s="33"/>
    </row>
    <row r="340" ht="15.75" customHeight="1">
      <c r="A340" s="14"/>
      <c r="B340" s="89"/>
      <c r="C340" s="14"/>
      <c r="D340" s="89"/>
      <c r="E340" s="91"/>
      <c r="F340" s="14"/>
      <c r="G340" s="14"/>
      <c r="H340" s="33"/>
    </row>
    <row r="341" ht="15.75" customHeight="1">
      <c r="A341" s="14"/>
      <c r="B341" s="89"/>
      <c r="C341" s="14"/>
      <c r="D341" s="67"/>
      <c r="E341" s="90"/>
      <c r="F341" s="14"/>
      <c r="G341" s="14"/>
      <c r="H341" s="33"/>
    </row>
    <row r="342" ht="15.75" customHeight="1">
      <c r="A342" s="14"/>
      <c r="B342" s="89"/>
      <c r="C342" s="14"/>
      <c r="D342" s="67"/>
      <c r="E342" s="90"/>
      <c r="F342" s="14"/>
      <c r="G342" s="14"/>
      <c r="H342" s="33"/>
    </row>
    <row r="343" ht="15.75" customHeight="1">
      <c r="A343" s="14"/>
      <c r="B343" s="89"/>
      <c r="C343" s="14"/>
      <c r="D343" s="14"/>
      <c r="E343" s="90"/>
      <c r="F343" s="14"/>
      <c r="G343" s="14"/>
      <c r="H343" s="33"/>
    </row>
    <row r="344" ht="15.75" customHeight="1">
      <c r="A344" s="14"/>
      <c r="B344" s="89"/>
      <c r="C344" s="14"/>
      <c r="D344" s="67"/>
      <c r="E344" s="90"/>
      <c r="F344" s="14"/>
      <c r="G344" s="14"/>
      <c r="H344" s="33"/>
    </row>
    <row r="345" ht="15.75" customHeight="1">
      <c r="A345" s="14"/>
      <c r="B345" s="67"/>
      <c r="C345" s="14"/>
      <c r="D345" s="14"/>
      <c r="E345" s="90"/>
      <c r="F345" s="14"/>
      <c r="G345" s="14"/>
      <c r="H345" s="33"/>
    </row>
    <row r="346" ht="15.75" customHeight="1">
      <c r="A346" s="14"/>
      <c r="B346" s="89"/>
      <c r="C346" s="14"/>
      <c r="D346" s="14"/>
      <c r="E346" s="90"/>
      <c r="F346" s="14"/>
      <c r="G346" s="14"/>
      <c r="H346" s="33"/>
    </row>
    <row r="347" ht="15.75" customHeight="1">
      <c r="A347" s="14"/>
      <c r="B347" s="67"/>
      <c r="C347" s="14"/>
      <c r="D347" s="67"/>
      <c r="E347" s="90"/>
      <c r="F347" s="14"/>
      <c r="G347" s="14"/>
      <c r="H347" s="33"/>
    </row>
    <row r="348" ht="15.75" customHeight="1">
      <c r="A348" s="14"/>
      <c r="B348" s="89"/>
      <c r="C348" s="14"/>
      <c r="D348" s="89"/>
      <c r="E348" s="89"/>
      <c r="F348" s="14"/>
      <c r="G348" s="14"/>
      <c r="H348" s="33"/>
    </row>
    <row r="349" ht="15.75" customHeight="1">
      <c r="A349" s="14"/>
      <c r="B349" s="89"/>
      <c r="C349" s="14"/>
      <c r="D349" s="89"/>
      <c r="E349" s="89"/>
      <c r="F349" s="14"/>
      <c r="G349" s="14"/>
      <c r="H349" s="33"/>
    </row>
    <row r="350" ht="15.75" customHeight="1">
      <c r="A350" s="14"/>
      <c r="B350" s="89"/>
      <c r="C350" s="14"/>
      <c r="D350" s="89"/>
      <c r="E350" s="89"/>
      <c r="F350" s="14"/>
      <c r="G350" s="14"/>
      <c r="H350" s="33"/>
    </row>
    <row r="351" ht="15.75" customHeight="1">
      <c r="A351" s="14"/>
      <c r="B351" s="89"/>
      <c r="C351" s="14"/>
      <c r="D351" s="89"/>
      <c r="E351" s="89"/>
      <c r="F351" s="14"/>
      <c r="G351" s="14"/>
      <c r="H351" s="33"/>
    </row>
    <row r="352" ht="15.75" customHeight="1">
      <c r="A352" s="14"/>
      <c r="B352" s="67"/>
      <c r="C352" s="14"/>
      <c r="D352" s="14"/>
      <c r="E352" s="90"/>
      <c r="F352" s="14"/>
      <c r="G352" s="14"/>
      <c r="H352" s="33"/>
    </row>
    <row r="353" ht="15.75" customHeight="1">
      <c r="A353" s="14"/>
      <c r="B353" s="67"/>
      <c r="C353" s="14"/>
      <c r="D353" s="67"/>
      <c r="E353" s="90"/>
      <c r="F353" s="14"/>
      <c r="G353" s="14"/>
      <c r="H353" s="33"/>
    </row>
    <row r="354" ht="15.75" customHeight="1">
      <c r="A354" s="14"/>
      <c r="B354" s="67"/>
      <c r="C354" s="14"/>
      <c r="D354" s="67"/>
      <c r="E354" s="90"/>
      <c r="F354" s="14"/>
      <c r="G354" s="14"/>
      <c r="H354" s="33"/>
    </row>
    <row r="355" ht="15.75" customHeight="1">
      <c r="A355" s="14"/>
      <c r="B355" s="89"/>
      <c r="C355" s="14"/>
      <c r="D355" s="67"/>
      <c r="E355" s="90"/>
      <c r="F355" s="14"/>
      <c r="G355" s="14"/>
      <c r="H355" s="33"/>
    </row>
    <row r="356" ht="15.75" customHeight="1">
      <c r="A356" s="14"/>
      <c r="B356" s="89"/>
      <c r="C356" s="14"/>
      <c r="D356" s="67"/>
      <c r="E356" s="67"/>
      <c r="F356" s="14"/>
      <c r="G356" s="14"/>
      <c r="H356" s="33"/>
    </row>
    <row r="357" ht="15.75" customHeight="1">
      <c r="A357" s="14"/>
      <c r="B357" s="89"/>
      <c r="C357" s="14"/>
      <c r="D357" s="67"/>
      <c r="E357" s="90"/>
      <c r="F357" s="14"/>
      <c r="G357" s="14"/>
      <c r="H357" s="33"/>
    </row>
    <row r="358" ht="15.75" customHeight="1">
      <c r="A358" s="14"/>
      <c r="B358" s="89"/>
      <c r="C358" s="14"/>
      <c r="D358" s="67"/>
      <c r="E358" s="90"/>
      <c r="F358" s="14"/>
      <c r="G358" s="14"/>
      <c r="H358" s="33"/>
    </row>
    <row r="359" ht="15.75" customHeight="1">
      <c r="A359" s="14"/>
      <c r="B359" s="67"/>
      <c r="C359" s="14"/>
      <c r="D359" s="67"/>
      <c r="E359" s="90"/>
      <c r="F359" s="14"/>
      <c r="G359" s="14"/>
      <c r="H359" s="33"/>
    </row>
    <row r="360" ht="15.75" customHeight="1">
      <c r="A360" s="14"/>
      <c r="B360" s="67"/>
      <c r="C360" s="14"/>
      <c r="D360" s="67"/>
      <c r="E360" s="90"/>
      <c r="F360" s="14"/>
      <c r="G360" s="14"/>
      <c r="H360" s="33"/>
    </row>
    <row r="361" ht="15.75" customHeight="1">
      <c r="A361" s="14"/>
      <c r="B361" s="67"/>
      <c r="C361" s="14"/>
      <c r="D361" s="67"/>
      <c r="E361" s="90"/>
      <c r="F361" s="14"/>
      <c r="G361" s="14"/>
      <c r="H361" s="33"/>
    </row>
    <row r="362" ht="15.75" customHeight="1">
      <c r="A362" s="14"/>
      <c r="B362" s="67"/>
      <c r="C362" s="14"/>
      <c r="D362" s="67"/>
      <c r="E362" s="90"/>
      <c r="F362" s="14"/>
      <c r="G362" s="14"/>
      <c r="H362" s="33"/>
    </row>
    <row r="363" ht="15.75" customHeight="1">
      <c r="A363" s="14"/>
      <c r="B363" s="67"/>
      <c r="C363" s="14"/>
      <c r="D363" s="14"/>
      <c r="E363" s="92"/>
      <c r="F363" s="14"/>
      <c r="G363" s="92"/>
      <c r="H363" s="33"/>
    </row>
    <row r="364" ht="15.75" customHeight="1">
      <c r="A364" s="14"/>
      <c r="B364" s="67"/>
      <c r="C364" s="14"/>
      <c r="D364" s="14"/>
      <c r="E364" s="92"/>
      <c r="F364" s="14"/>
      <c r="G364" s="92"/>
      <c r="H364" s="33"/>
    </row>
    <row r="365" ht="15.75" customHeight="1">
      <c r="A365" s="14"/>
      <c r="B365" s="67"/>
      <c r="C365" s="14"/>
      <c r="D365" s="14"/>
      <c r="E365" s="92"/>
      <c r="F365" s="14"/>
      <c r="G365" s="92"/>
      <c r="H365" s="33"/>
    </row>
    <row r="366" ht="15.75" customHeight="1">
      <c r="A366" s="14"/>
      <c r="B366" s="67"/>
      <c r="C366" s="14"/>
      <c r="D366" s="14"/>
      <c r="E366" s="89"/>
      <c r="F366" s="14"/>
      <c r="G366" s="92"/>
      <c r="H366" s="33"/>
    </row>
    <row r="367" ht="15.75" customHeight="1">
      <c r="A367" s="14"/>
      <c r="B367" s="67"/>
      <c r="C367" s="14"/>
      <c r="D367" s="14"/>
      <c r="E367" s="89"/>
      <c r="F367" s="14"/>
      <c r="G367" s="92"/>
      <c r="H367" s="33"/>
    </row>
    <row r="368" ht="15.75" customHeight="1">
      <c r="A368" s="14"/>
      <c r="B368" s="67"/>
      <c r="C368" s="14"/>
      <c r="D368" s="14"/>
      <c r="E368" s="92"/>
      <c r="F368" s="14"/>
      <c r="G368" s="92"/>
      <c r="H368" s="33"/>
    </row>
    <row r="369" ht="15.75" customHeight="1">
      <c r="A369" s="14"/>
      <c r="B369" s="67"/>
      <c r="C369" s="14"/>
      <c r="D369" s="14"/>
      <c r="E369" s="92"/>
      <c r="F369" s="14"/>
      <c r="G369" s="92"/>
      <c r="H369" s="33"/>
    </row>
    <row r="370" ht="15.75" customHeight="1">
      <c r="A370" s="14"/>
      <c r="B370" s="67"/>
      <c r="C370" s="14"/>
      <c r="D370" s="14"/>
      <c r="E370" s="92"/>
      <c r="F370" s="14"/>
      <c r="G370" s="92"/>
      <c r="H370" s="33"/>
    </row>
    <row r="371" ht="15.75" customHeight="1">
      <c r="A371" s="14"/>
      <c r="B371" s="67"/>
      <c r="C371" s="14"/>
      <c r="D371" s="14"/>
      <c r="E371" s="92"/>
      <c r="F371" s="14"/>
      <c r="G371" s="92"/>
      <c r="H371" s="33"/>
    </row>
    <row r="372" ht="15.75" customHeight="1">
      <c r="A372" s="14"/>
      <c r="B372" s="67"/>
      <c r="C372" s="14"/>
      <c r="D372" s="14"/>
      <c r="E372" s="90"/>
      <c r="F372" s="14"/>
      <c r="G372" s="14"/>
      <c r="H372" s="33"/>
    </row>
    <row r="373" ht="15.75" customHeight="1">
      <c r="A373" s="14"/>
      <c r="B373" s="67"/>
      <c r="C373" s="14"/>
      <c r="D373" s="67"/>
      <c r="E373" s="90"/>
      <c r="F373" s="14"/>
      <c r="G373" s="14"/>
      <c r="H373" s="33"/>
    </row>
    <row r="374" ht="15.75" customHeight="1">
      <c r="A374" s="14"/>
      <c r="B374" s="67"/>
      <c r="C374" s="14"/>
      <c r="D374" s="67"/>
      <c r="E374" s="90"/>
      <c r="F374" s="14"/>
      <c r="G374" s="14"/>
      <c r="H374" s="33"/>
    </row>
    <row r="375" ht="15.75" customHeight="1">
      <c r="A375" s="14"/>
      <c r="B375" s="89"/>
      <c r="C375" s="14"/>
      <c r="D375" s="67"/>
      <c r="E375" s="90"/>
      <c r="F375" s="14"/>
      <c r="G375" s="14"/>
      <c r="H375" s="33"/>
    </row>
    <row r="376" ht="15.75" customHeight="1">
      <c r="A376" s="14"/>
      <c r="B376" s="89"/>
      <c r="C376" s="14"/>
      <c r="D376" s="67"/>
      <c r="E376" s="90"/>
      <c r="F376" s="14"/>
      <c r="G376" s="14"/>
      <c r="H376" s="33"/>
    </row>
    <row r="377" ht="15.75" customHeight="1">
      <c r="A377" s="14"/>
      <c r="B377" s="89"/>
      <c r="C377" s="14"/>
      <c r="D377" s="14"/>
      <c r="E377" s="90"/>
      <c r="F377" s="14"/>
      <c r="G377" s="14"/>
      <c r="H377" s="33"/>
    </row>
    <row r="378" ht="15.75" customHeight="1">
      <c r="A378" s="14"/>
      <c r="B378" s="89"/>
      <c r="C378" s="14"/>
      <c r="D378" s="67"/>
      <c r="E378" s="90"/>
      <c r="F378" s="14"/>
      <c r="G378" s="14"/>
      <c r="H378" s="33"/>
    </row>
    <row r="379" ht="15.75" customHeight="1">
      <c r="A379" s="14"/>
      <c r="B379" s="89"/>
      <c r="C379" s="14"/>
      <c r="D379" s="67"/>
      <c r="E379" s="89"/>
      <c r="F379" s="14"/>
      <c r="G379" s="14"/>
      <c r="H379" s="33"/>
    </row>
    <row r="380" ht="15.75" customHeight="1">
      <c r="A380" s="14"/>
      <c r="B380" s="89"/>
      <c r="C380" s="14"/>
      <c r="D380" s="67"/>
      <c r="E380" s="90"/>
      <c r="F380" s="14"/>
      <c r="G380" s="14"/>
      <c r="H380" s="33"/>
    </row>
    <row r="381" ht="15.75" customHeight="1">
      <c r="A381" s="14"/>
      <c r="B381" s="89"/>
      <c r="C381" s="14"/>
      <c r="D381" s="14"/>
      <c r="E381" s="90"/>
      <c r="F381" s="14"/>
      <c r="G381" s="14"/>
      <c r="H381" s="33"/>
    </row>
    <row r="382" ht="15.75" customHeight="1">
      <c r="A382" s="14"/>
      <c r="B382" s="89"/>
      <c r="C382" s="14"/>
      <c r="D382" s="14"/>
      <c r="E382" s="89"/>
      <c r="F382" s="14"/>
      <c r="G382" s="14"/>
      <c r="H382" s="33"/>
    </row>
    <row r="383" ht="15.75" customHeight="1">
      <c r="A383" s="14"/>
      <c r="B383" s="67"/>
      <c r="C383" s="14"/>
      <c r="D383" s="14"/>
      <c r="E383" s="90"/>
      <c r="F383" s="14"/>
      <c r="G383" s="14"/>
      <c r="H383" s="33"/>
    </row>
    <row r="384" ht="15.75" customHeight="1">
      <c r="A384" s="14"/>
      <c r="B384" s="89"/>
      <c r="C384" s="14"/>
      <c r="D384" s="67"/>
      <c r="E384" s="90"/>
      <c r="F384" s="14"/>
      <c r="G384" s="14"/>
      <c r="H384" s="33"/>
    </row>
    <row r="385" ht="15.75" customHeight="1">
      <c r="A385" s="14"/>
      <c r="B385" s="67"/>
      <c r="C385" s="14"/>
      <c r="D385" s="14"/>
      <c r="E385" s="90"/>
      <c r="F385" s="14"/>
      <c r="G385" s="14"/>
      <c r="H385" s="33"/>
    </row>
    <row r="386" ht="15.75" customHeight="1">
      <c r="A386" s="14"/>
      <c r="B386" s="67"/>
      <c r="C386" s="14"/>
      <c r="D386" s="67"/>
      <c r="E386" s="90"/>
      <c r="F386" s="14"/>
      <c r="G386" s="14"/>
      <c r="H386" s="33"/>
    </row>
    <row r="387" ht="15.75" customHeight="1">
      <c r="A387" s="14"/>
      <c r="B387" s="89"/>
      <c r="C387" s="14"/>
      <c r="D387" s="67"/>
      <c r="E387" s="90"/>
      <c r="F387" s="14"/>
      <c r="G387" s="14"/>
      <c r="H387" s="33"/>
    </row>
    <row r="388" ht="15.75" customHeight="1">
      <c r="A388" s="14"/>
      <c r="B388" s="89"/>
      <c r="C388" s="14"/>
      <c r="D388" s="67"/>
      <c r="E388" s="90"/>
      <c r="F388" s="14"/>
      <c r="G388" s="14"/>
      <c r="H388" s="33"/>
    </row>
    <row r="389" ht="15.75" customHeight="1">
      <c r="A389" s="14"/>
      <c r="B389" s="67"/>
      <c r="C389" s="14"/>
      <c r="D389" s="89"/>
      <c r="E389" s="67"/>
      <c r="F389" s="14"/>
      <c r="G389" s="14"/>
      <c r="H389" s="33"/>
    </row>
    <row r="390" ht="15.75" customHeight="1">
      <c r="A390" s="14"/>
      <c r="B390" s="67"/>
      <c r="C390" s="14"/>
      <c r="D390" s="89"/>
      <c r="E390" s="90"/>
      <c r="F390" s="14"/>
      <c r="G390" s="14"/>
      <c r="H390" s="33"/>
    </row>
    <row r="391" ht="15.75" customHeight="1">
      <c r="A391" s="14"/>
      <c r="B391" s="89"/>
      <c r="C391" s="14"/>
      <c r="D391" s="14"/>
      <c r="E391" s="90"/>
      <c r="F391" s="14"/>
      <c r="G391" s="14"/>
      <c r="H391" s="33"/>
    </row>
    <row r="392" ht="15.75" customHeight="1">
      <c r="A392" s="14"/>
      <c r="B392" s="89"/>
      <c r="C392" s="14"/>
      <c r="D392" s="67"/>
      <c r="E392" s="90"/>
      <c r="F392" s="14"/>
      <c r="G392" s="14"/>
      <c r="H392" s="33"/>
    </row>
    <row r="393" ht="15.75" customHeight="1">
      <c r="A393" s="14"/>
      <c r="B393" s="89"/>
      <c r="C393" s="14"/>
      <c r="D393" s="67"/>
      <c r="E393" s="90"/>
      <c r="F393" s="14"/>
      <c r="G393" s="14"/>
      <c r="H393" s="33"/>
    </row>
    <row r="394" ht="15.75" customHeight="1">
      <c r="A394" s="14"/>
      <c r="B394" s="89"/>
      <c r="C394" s="14"/>
      <c r="D394" s="89"/>
      <c r="E394" s="91"/>
      <c r="F394" s="14"/>
      <c r="G394" s="14"/>
      <c r="H394" s="33"/>
    </row>
    <row r="395" ht="15.75" customHeight="1">
      <c r="A395" s="14"/>
      <c r="B395" s="89"/>
      <c r="C395" s="14"/>
      <c r="D395" s="67"/>
      <c r="E395" s="91"/>
      <c r="F395" s="14"/>
      <c r="G395" s="14"/>
      <c r="H395" s="33"/>
    </row>
    <row r="396" ht="15.75" customHeight="1">
      <c r="A396" s="14"/>
      <c r="B396" s="89"/>
      <c r="C396" s="14"/>
      <c r="D396" s="89"/>
      <c r="E396" s="91"/>
      <c r="F396" s="14"/>
      <c r="G396" s="14"/>
      <c r="H396" s="33"/>
    </row>
    <row r="397" ht="15.75" customHeight="1">
      <c r="A397" s="14"/>
      <c r="B397" s="89"/>
      <c r="C397" s="14"/>
      <c r="D397" s="67"/>
      <c r="E397" s="90"/>
      <c r="F397" s="14"/>
      <c r="G397" s="14"/>
      <c r="H397" s="33"/>
    </row>
    <row r="398" ht="15.75" customHeight="1">
      <c r="A398" s="14"/>
      <c r="B398" s="89"/>
      <c r="C398" s="14"/>
      <c r="D398" s="67"/>
      <c r="E398" s="90"/>
      <c r="F398" s="14"/>
      <c r="G398" s="14"/>
      <c r="H398" s="33"/>
    </row>
    <row r="399" ht="15.75" customHeight="1">
      <c r="A399" s="14"/>
      <c r="B399" s="89"/>
      <c r="C399" s="14"/>
      <c r="D399" s="14"/>
      <c r="E399" s="90"/>
      <c r="F399" s="14"/>
      <c r="G399" s="14"/>
      <c r="H399" s="33"/>
    </row>
    <row r="400" ht="15.75" customHeight="1">
      <c r="A400" s="14"/>
      <c r="B400" s="89"/>
      <c r="C400" s="14"/>
      <c r="D400" s="67"/>
      <c r="E400" s="90"/>
      <c r="F400" s="14"/>
      <c r="G400" s="14"/>
      <c r="H400" s="33"/>
    </row>
    <row r="401" ht="15.75" customHeight="1">
      <c r="A401" s="14"/>
      <c r="B401" s="67"/>
      <c r="C401" s="14"/>
      <c r="D401" s="14"/>
      <c r="E401" s="90"/>
      <c r="F401" s="14"/>
      <c r="G401" s="14"/>
      <c r="H401" s="33"/>
    </row>
    <row r="402" ht="15.75" customHeight="1">
      <c r="A402" s="14"/>
      <c r="B402" s="89"/>
      <c r="C402" s="14"/>
      <c r="D402" s="14"/>
      <c r="E402" s="90"/>
      <c r="F402" s="14"/>
      <c r="G402" s="14"/>
      <c r="H402" s="33"/>
    </row>
    <row r="403" ht="15.75" customHeight="1">
      <c r="A403" s="14"/>
      <c r="B403" s="67"/>
      <c r="C403" s="14"/>
      <c r="D403" s="67"/>
      <c r="E403" s="90"/>
      <c r="F403" s="14"/>
      <c r="G403" s="14"/>
      <c r="H403" s="33"/>
    </row>
    <row r="404" ht="15.75" customHeight="1">
      <c r="A404" s="14"/>
      <c r="B404" s="89"/>
      <c r="C404" s="14"/>
      <c r="D404" s="89"/>
      <c r="E404" s="89"/>
      <c r="F404" s="14"/>
      <c r="G404" s="14"/>
      <c r="H404" s="33"/>
    </row>
    <row r="405" ht="15.75" customHeight="1">
      <c r="A405" s="14"/>
      <c r="B405" s="89"/>
      <c r="C405" s="14"/>
      <c r="D405" s="89"/>
      <c r="E405" s="89"/>
      <c r="F405" s="14"/>
      <c r="G405" s="14"/>
      <c r="H405" s="33"/>
    </row>
    <row r="406" ht="15.75" customHeight="1">
      <c r="A406" s="14"/>
      <c r="B406" s="89"/>
      <c r="C406" s="14"/>
      <c r="D406" s="89"/>
      <c r="E406" s="89"/>
      <c r="F406" s="14"/>
      <c r="G406" s="14"/>
      <c r="H406" s="33"/>
    </row>
    <row r="407" ht="15.75" customHeight="1">
      <c r="A407" s="14"/>
      <c r="B407" s="89"/>
      <c r="C407" s="14"/>
      <c r="D407" s="89"/>
      <c r="E407" s="89"/>
      <c r="F407" s="14"/>
      <c r="G407" s="14"/>
      <c r="H407" s="33"/>
    </row>
    <row r="408" ht="15.75" customHeight="1">
      <c r="A408" s="14"/>
      <c r="B408" s="67"/>
      <c r="C408" s="14"/>
      <c r="D408" s="14"/>
      <c r="E408" s="90"/>
      <c r="F408" s="14"/>
      <c r="G408" s="14"/>
      <c r="H408" s="33"/>
    </row>
    <row r="409" ht="15.75" customHeight="1">
      <c r="A409" s="14"/>
      <c r="B409" s="67"/>
      <c r="C409" s="14"/>
      <c r="D409" s="67"/>
      <c r="E409" s="90"/>
      <c r="F409" s="14"/>
      <c r="G409" s="14"/>
      <c r="H409" s="33"/>
    </row>
    <row r="410" ht="15.75" customHeight="1">
      <c r="A410" s="14"/>
      <c r="B410" s="67"/>
      <c r="C410" s="14"/>
      <c r="D410" s="67"/>
      <c r="E410" s="90"/>
      <c r="F410" s="14"/>
      <c r="G410" s="14"/>
      <c r="H410" s="33"/>
    </row>
    <row r="411" ht="15.75" customHeight="1">
      <c r="A411" s="14"/>
      <c r="B411" s="89"/>
      <c r="C411" s="14"/>
      <c r="D411" s="67"/>
      <c r="E411" s="90"/>
      <c r="F411" s="14"/>
      <c r="G411" s="14"/>
      <c r="H411" s="33"/>
    </row>
    <row r="412" ht="15.75" customHeight="1">
      <c r="A412" s="14"/>
      <c r="B412" s="89"/>
      <c r="C412" s="14"/>
      <c r="D412" s="67"/>
      <c r="E412" s="67"/>
      <c r="F412" s="14"/>
      <c r="G412" s="14"/>
      <c r="H412" s="33"/>
    </row>
    <row r="413" ht="15.75" customHeight="1">
      <c r="A413" s="14"/>
      <c r="B413" s="89"/>
      <c r="C413" s="14"/>
      <c r="D413" s="67"/>
      <c r="E413" s="90"/>
      <c r="F413" s="14"/>
      <c r="G413" s="14"/>
      <c r="H413" s="33"/>
    </row>
    <row r="414" ht="15.75" customHeight="1">
      <c r="A414" s="14"/>
      <c r="B414" s="89"/>
      <c r="C414" s="14"/>
      <c r="D414" s="67"/>
      <c r="E414" s="90"/>
      <c r="F414" s="14"/>
      <c r="G414" s="14"/>
      <c r="H414" s="33"/>
    </row>
    <row r="415" ht="15.75" customHeight="1">
      <c r="A415" s="14"/>
      <c r="B415" s="67"/>
      <c r="C415" s="14"/>
      <c r="D415" s="67"/>
      <c r="E415" s="90"/>
      <c r="F415" s="14"/>
      <c r="G415" s="14"/>
      <c r="H415" s="33"/>
    </row>
    <row r="416" ht="15.75" customHeight="1">
      <c r="A416" s="14"/>
      <c r="B416" s="67"/>
      <c r="C416" s="14"/>
      <c r="D416" s="67"/>
      <c r="E416" s="90"/>
      <c r="F416" s="14"/>
      <c r="G416" s="14"/>
      <c r="H416" s="33"/>
    </row>
    <row r="417" ht="15.75" customHeight="1">
      <c r="A417" s="14"/>
      <c r="B417" s="67"/>
      <c r="C417" s="14"/>
      <c r="D417" s="67"/>
      <c r="E417" s="90"/>
      <c r="F417" s="14"/>
      <c r="G417" s="14"/>
      <c r="H417" s="33"/>
    </row>
    <row r="418" ht="15.75" customHeight="1">
      <c r="A418" s="14"/>
      <c r="B418" s="67"/>
      <c r="C418" s="14"/>
      <c r="D418" s="67"/>
      <c r="E418" s="90"/>
      <c r="F418" s="14"/>
      <c r="G418" s="14"/>
      <c r="H418" s="33"/>
    </row>
    <row r="419" ht="15.75" customHeight="1">
      <c r="A419" s="14"/>
      <c r="B419" s="89"/>
      <c r="C419" s="14"/>
      <c r="D419" s="14"/>
      <c r="E419" s="92"/>
      <c r="F419" s="14"/>
      <c r="G419" s="92"/>
      <c r="H419" s="33"/>
    </row>
    <row r="420" ht="15.75" customHeight="1">
      <c r="A420" s="14"/>
      <c r="B420" s="89"/>
      <c r="C420" s="14"/>
      <c r="D420" s="14"/>
      <c r="E420" s="92"/>
      <c r="F420" s="14"/>
      <c r="G420" s="92"/>
      <c r="H420" s="33"/>
    </row>
    <row r="421" ht="15.75" customHeight="1">
      <c r="A421" s="14"/>
      <c r="B421" s="89"/>
      <c r="C421" s="14"/>
      <c r="D421" s="14"/>
      <c r="E421" s="92"/>
      <c r="F421" s="14"/>
      <c r="G421" s="92"/>
      <c r="H421" s="33"/>
    </row>
    <row r="422" ht="15.75" customHeight="1">
      <c r="A422" s="14"/>
      <c r="B422" s="67"/>
      <c r="C422" s="14"/>
      <c r="D422" s="14"/>
      <c r="E422" s="90"/>
      <c r="F422" s="14"/>
      <c r="G422" s="14"/>
      <c r="H422" s="33"/>
    </row>
    <row r="423" ht="15.75" customHeight="1">
      <c r="A423" s="14"/>
      <c r="B423" s="67"/>
      <c r="C423" s="14"/>
      <c r="D423" s="67"/>
      <c r="E423" s="90"/>
      <c r="F423" s="14"/>
      <c r="G423" s="14"/>
      <c r="H423" s="33"/>
    </row>
    <row r="424" ht="15.75" customHeight="1">
      <c r="A424" s="14"/>
      <c r="B424" s="67"/>
      <c r="C424" s="14"/>
      <c r="D424" s="67"/>
      <c r="E424" s="90"/>
      <c r="F424" s="14"/>
      <c r="G424" s="14"/>
      <c r="H424" s="33"/>
    </row>
    <row r="425" ht="15.75" customHeight="1">
      <c r="A425" s="14"/>
      <c r="B425" s="89"/>
      <c r="C425" s="14"/>
      <c r="D425" s="67"/>
      <c r="E425" s="90"/>
      <c r="F425" s="14"/>
      <c r="G425" s="14"/>
      <c r="H425" s="33"/>
    </row>
    <row r="426" ht="15.75" customHeight="1">
      <c r="A426" s="14"/>
      <c r="B426" s="89"/>
      <c r="C426" s="14"/>
      <c r="D426" s="67"/>
      <c r="E426" s="90"/>
      <c r="F426" s="14"/>
      <c r="G426" s="14"/>
      <c r="H426" s="33"/>
    </row>
    <row r="427" ht="15.75" customHeight="1">
      <c r="A427" s="14"/>
      <c r="B427" s="89"/>
      <c r="C427" s="14"/>
      <c r="D427" s="14"/>
      <c r="E427" s="90"/>
      <c r="F427" s="14"/>
      <c r="G427" s="14"/>
      <c r="H427" s="33"/>
    </row>
    <row r="428" ht="15.75" customHeight="1">
      <c r="A428" s="14"/>
      <c r="B428" s="89"/>
      <c r="C428" s="14"/>
      <c r="D428" s="67"/>
      <c r="E428" s="90"/>
      <c r="F428" s="14"/>
      <c r="G428" s="14"/>
      <c r="H428" s="33"/>
    </row>
    <row r="429" ht="15.75" customHeight="1">
      <c r="A429" s="14"/>
      <c r="B429" s="89"/>
      <c r="C429" s="14"/>
      <c r="D429" s="67"/>
      <c r="E429" s="89"/>
      <c r="F429" s="14"/>
      <c r="G429" s="14"/>
      <c r="H429" s="33"/>
    </row>
    <row r="430" ht="15.75" customHeight="1">
      <c r="A430" s="14"/>
      <c r="B430" s="89"/>
      <c r="C430" s="14"/>
      <c r="D430" s="67"/>
      <c r="E430" s="90"/>
      <c r="F430" s="14"/>
      <c r="G430" s="14"/>
      <c r="H430" s="33"/>
    </row>
    <row r="431" ht="15.75" customHeight="1">
      <c r="A431" s="14"/>
      <c r="B431" s="89"/>
      <c r="C431" s="14"/>
      <c r="D431" s="14"/>
      <c r="E431" s="90"/>
      <c r="F431" s="14"/>
      <c r="G431" s="14"/>
      <c r="H431" s="33"/>
    </row>
    <row r="432" ht="15.75" customHeight="1">
      <c r="A432" s="14"/>
      <c r="B432" s="89"/>
      <c r="C432" s="14"/>
      <c r="D432" s="14"/>
      <c r="E432" s="89"/>
      <c r="F432" s="14"/>
      <c r="G432" s="14"/>
      <c r="H432" s="33"/>
    </row>
    <row r="433" ht="15.75" customHeight="1">
      <c r="A433" s="14"/>
      <c r="B433" s="67"/>
      <c r="C433" s="14"/>
      <c r="D433" s="14"/>
      <c r="E433" s="90"/>
      <c r="F433" s="14"/>
      <c r="G433" s="14"/>
      <c r="H433" s="33"/>
    </row>
    <row r="434" ht="15.75" customHeight="1">
      <c r="A434" s="14"/>
      <c r="B434" s="89"/>
      <c r="C434" s="14"/>
      <c r="D434" s="67"/>
      <c r="E434" s="90"/>
      <c r="F434" s="14"/>
      <c r="G434" s="14"/>
      <c r="H434" s="33"/>
    </row>
    <row r="435" ht="15.75" customHeight="1">
      <c r="A435" s="14"/>
      <c r="B435" s="67"/>
      <c r="C435" s="14"/>
      <c r="D435" s="14"/>
      <c r="E435" s="90"/>
      <c r="F435" s="14"/>
      <c r="G435" s="14"/>
      <c r="H435" s="33"/>
    </row>
    <row r="436" ht="15.75" customHeight="1">
      <c r="A436" s="14"/>
      <c r="B436" s="89"/>
      <c r="C436" s="14"/>
      <c r="D436" s="67"/>
      <c r="E436" s="90"/>
      <c r="F436" s="14"/>
      <c r="G436" s="14"/>
      <c r="H436" s="33"/>
    </row>
    <row r="437" ht="15.75" customHeight="1">
      <c r="A437" s="14"/>
      <c r="B437" s="89"/>
      <c r="C437" s="14"/>
      <c r="D437" s="67"/>
      <c r="E437" s="90"/>
      <c r="F437" s="14"/>
      <c r="G437" s="14"/>
      <c r="H437" s="33"/>
    </row>
    <row r="438" ht="15.75" customHeight="1">
      <c r="A438" s="14"/>
      <c r="B438" s="67"/>
      <c r="C438" s="14"/>
      <c r="D438" s="89"/>
      <c r="E438" s="67"/>
      <c r="F438" s="14"/>
      <c r="G438" s="14"/>
      <c r="H438" s="33"/>
    </row>
    <row r="439" ht="15.75" customHeight="1">
      <c r="A439" s="14"/>
      <c r="B439" s="67"/>
      <c r="C439" s="14"/>
      <c r="D439" s="89"/>
      <c r="E439" s="90"/>
      <c r="F439" s="14"/>
      <c r="G439" s="14"/>
      <c r="H439" s="33"/>
    </row>
    <row r="440" ht="15.75" customHeight="1">
      <c r="A440" s="14"/>
      <c r="B440" s="89"/>
      <c r="C440" s="14"/>
      <c r="D440" s="14"/>
      <c r="E440" s="90"/>
      <c r="F440" s="14"/>
      <c r="G440" s="14"/>
      <c r="H440" s="33"/>
    </row>
    <row r="441" ht="15.75" customHeight="1">
      <c r="A441" s="14"/>
      <c r="B441" s="89"/>
      <c r="C441" s="14"/>
      <c r="D441" s="67"/>
      <c r="E441" s="90"/>
      <c r="F441" s="14"/>
      <c r="G441" s="14"/>
      <c r="H441" s="33"/>
    </row>
    <row r="442" ht="15.75" customHeight="1">
      <c r="A442" s="14"/>
      <c r="B442" s="89"/>
      <c r="C442" s="14"/>
      <c r="D442" s="67"/>
      <c r="E442" s="90"/>
      <c r="F442" s="14"/>
      <c r="G442" s="14"/>
      <c r="H442" s="33"/>
    </row>
    <row r="443" ht="15.75" customHeight="1">
      <c r="A443" s="14"/>
      <c r="B443" s="89"/>
      <c r="C443" s="14"/>
      <c r="D443" s="89"/>
      <c r="E443" s="91"/>
      <c r="F443" s="14"/>
      <c r="G443" s="14"/>
      <c r="H443" s="33"/>
    </row>
    <row r="444" ht="15.75" customHeight="1">
      <c r="A444" s="14"/>
      <c r="B444" s="89"/>
      <c r="C444" s="14"/>
      <c r="D444" s="67"/>
      <c r="E444" s="91"/>
      <c r="F444" s="14"/>
      <c r="G444" s="14"/>
      <c r="H444" s="33"/>
    </row>
    <row r="445" ht="15.75" customHeight="1">
      <c r="A445" s="14"/>
      <c r="B445" s="89"/>
      <c r="C445" s="14"/>
      <c r="D445" s="89"/>
      <c r="E445" s="91"/>
      <c r="F445" s="14"/>
      <c r="G445" s="14"/>
      <c r="H445" s="33"/>
    </row>
    <row r="446" ht="15.75" customHeight="1">
      <c r="A446" s="14"/>
      <c r="B446" s="89"/>
      <c r="C446" s="14"/>
      <c r="D446" s="67"/>
      <c r="E446" s="90"/>
      <c r="F446" s="14"/>
      <c r="G446" s="14"/>
      <c r="H446" s="33"/>
    </row>
    <row r="447" ht="15.75" customHeight="1">
      <c r="A447" s="14"/>
      <c r="B447" s="89"/>
      <c r="C447" s="14"/>
      <c r="D447" s="67"/>
      <c r="E447" s="90"/>
      <c r="F447" s="14"/>
      <c r="G447" s="14"/>
      <c r="H447" s="33"/>
    </row>
    <row r="448" ht="15.75" customHeight="1">
      <c r="A448" s="14"/>
      <c r="B448" s="89"/>
      <c r="C448" s="14"/>
      <c r="D448" s="14"/>
      <c r="E448" s="90"/>
      <c r="F448" s="14"/>
      <c r="G448" s="14"/>
      <c r="H448" s="33"/>
    </row>
    <row r="449" ht="15.75" customHeight="1">
      <c r="A449" s="14"/>
      <c r="B449" s="67"/>
      <c r="C449" s="14"/>
      <c r="D449" s="67"/>
      <c r="E449" s="90"/>
      <c r="F449" s="14"/>
      <c r="G449" s="14"/>
      <c r="H449" s="33"/>
    </row>
    <row r="450" ht="15.75" customHeight="1">
      <c r="A450" s="14"/>
      <c r="B450" s="89"/>
      <c r="C450" s="14"/>
      <c r="D450" s="14"/>
      <c r="E450" s="90"/>
      <c r="F450" s="14"/>
      <c r="G450" s="14"/>
      <c r="H450" s="33"/>
    </row>
    <row r="451" ht="15.75" customHeight="1">
      <c r="A451" s="14"/>
      <c r="B451" s="67"/>
      <c r="C451" s="14"/>
      <c r="D451" s="14"/>
      <c r="E451" s="90"/>
      <c r="F451" s="14"/>
      <c r="G451" s="14"/>
      <c r="H451" s="33"/>
    </row>
    <row r="452" ht="15.75" customHeight="1">
      <c r="A452" s="14"/>
      <c r="B452" s="89"/>
      <c r="C452" s="14"/>
      <c r="D452" s="67"/>
      <c r="E452" s="90"/>
      <c r="F452" s="14"/>
      <c r="G452" s="14"/>
      <c r="H452" s="33"/>
    </row>
    <row r="453" ht="15.75" customHeight="1">
      <c r="A453" s="14"/>
      <c r="B453" s="89"/>
      <c r="C453" s="14"/>
      <c r="D453" s="89"/>
      <c r="E453" s="89"/>
      <c r="F453" s="14"/>
      <c r="G453" s="14"/>
      <c r="H453" s="33"/>
    </row>
    <row r="454" ht="15.75" customHeight="1">
      <c r="A454" s="14"/>
      <c r="B454" s="89"/>
      <c r="C454" s="14"/>
      <c r="D454" s="89"/>
      <c r="E454" s="89"/>
      <c r="F454" s="14"/>
      <c r="G454" s="14"/>
      <c r="H454" s="33"/>
    </row>
    <row r="455" ht="15.75" customHeight="1">
      <c r="A455" s="14"/>
      <c r="B455" s="89"/>
      <c r="C455" s="14"/>
      <c r="D455" s="89"/>
      <c r="E455" s="89"/>
      <c r="F455" s="14"/>
      <c r="G455" s="14"/>
      <c r="H455" s="33"/>
    </row>
    <row r="456" ht="15.75" customHeight="1">
      <c r="A456" s="14"/>
      <c r="B456" s="67"/>
      <c r="C456" s="14"/>
      <c r="D456" s="89"/>
      <c r="E456" s="89"/>
      <c r="F456" s="14"/>
      <c r="G456" s="14"/>
      <c r="H456" s="33"/>
    </row>
    <row r="457" ht="15.75" customHeight="1">
      <c r="A457" s="14"/>
      <c r="B457" s="67"/>
      <c r="C457" s="14"/>
      <c r="D457" s="14"/>
      <c r="E457" s="90"/>
      <c r="F457" s="14"/>
      <c r="G457" s="14"/>
      <c r="H457" s="33"/>
    </row>
    <row r="458" ht="15.75" customHeight="1">
      <c r="A458" s="14"/>
      <c r="B458" s="67"/>
      <c r="C458" s="14"/>
      <c r="D458" s="67"/>
      <c r="E458" s="90"/>
      <c r="F458" s="14"/>
      <c r="G458" s="14"/>
      <c r="H458" s="33"/>
    </row>
    <row r="459" ht="15.75" customHeight="1">
      <c r="A459" s="14"/>
      <c r="B459" s="89"/>
      <c r="C459" s="14"/>
      <c r="D459" s="67"/>
      <c r="E459" s="90"/>
      <c r="F459" s="14"/>
      <c r="G459" s="14"/>
      <c r="H459" s="33"/>
    </row>
    <row r="460" ht="15.75" customHeight="1">
      <c r="A460" s="14"/>
      <c r="B460" s="89"/>
      <c r="C460" s="14"/>
      <c r="D460" s="67"/>
      <c r="E460" s="90"/>
      <c r="F460" s="14"/>
      <c r="G460" s="14"/>
      <c r="H460" s="33"/>
    </row>
    <row r="461" ht="15.75" customHeight="1">
      <c r="A461" s="14"/>
      <c r="B461" s="89"/>
      <c r="C461" s="14"/>
      <c r="D461" s="67"/>
      <c r="E461" s="67"/>
      <c r="F461" s="14"/>
      <c r="G461" s="14"/>
      <c r="H461" s="33"/>
    </row>
    <row r="462" ht="15.75" customHeight="1">
      <c r="A462" s="14"/>
      <c r="B462" s="89"/>
      <c r="C462" s="14"/>
      <c r="D462" s="67"/>
      <c r="E462" s="90"/>
      <c r="F462" s="14"/>
      <c r="G462" s="14"/>
      <c r="H462" s="33"/>
    </row>
    <row r="463" ht="15.75" customHeight="1">
      <c r="A463" s="14"/>
      <c r="B463" s="67"/>
      <c r="C463" s="14"/>
      <c r="D463" s="67"/>
      <c r="E463" s="90"/>
      <c r="F463" s="14"/>
      <c r="G463" s="14"/>
      <c r="H463" s="33"/>
    </row>
    <row r="464" ht="15.75" customHeight="1">
      <c r="A464" s="14"/>
      <c r="B464" s="67"/>
      <c r="C464" s="14"/>
      <c r="D464" s="67"/>
      <c r="E464" s="90"/>
      <c r="F464" s="14"/>
      <c r="G464" s="14"/>
      <c r="H464" s="33"/>
    </row>
    <row r="465" ht="15.75" customHeight="1">
      <c r="A465" s="14"/>
      <c r="B465" s="67"/>
      <c r="C465" s="14"/>
      <c r="D465" s="67"/>
      <c r="E465" s="90"/>
      <c r="F465" s="14"/>
      <c r="G465" s="14"/>
      <c r="H465" s="33"/>
    </row>
    <row r="466" ht="15.75" customHeight="1">
      <c r="A466" s="14"/>
      <c r="B466" s="67"/>
      <c r="C466" s="14"/>
      <c r="D466" s="67"/>
      <c r="E466" s="90"/>
      <c r="F466" s="14"/>
      <c r="G466" s="14"/>
      <c r="H466" s="33"/>
    </row>
    <row r="467" ht="15.75" customHeight="1">
      <c r="A467" s="14"/>
      <c r="B467" s="89"/>
      <c r="C467" s="14"/>
      <c r="D467" s="14"/>
      <c r="E467" s="90"/>
      <c r="F467" s="14"/>
      <c r="G467" s="14"/>
      <c r="H467" s="33"/>
    </row>
    <row r="468" ht="15.75" customHeight="1">
      <c r="A468" s="14"/>
      <c r="B468" s="89"/>
      <c r="C468" s="14"/>
      <c r="D468" s="67"/>
      <c r="E468" s="14"/>
      <c r="F468" s="14"/>
      <c r="G468" s="14"/>
      <c r="H468" s="33"/>
    </row>
    <row r="469" ht="15.75" customHeight="1">
      <c r="A469" s="14"/>
      <c r="B469" s="89"/>
      <c r="C469" s="14"/>
      <c r="D469" s="14"/>
      <c r="E469" s="14"/>
      <c r="F469" s="14"/>
      <c r="G469" s="14"/>
      <c r="H469" s="33"/>
    </row>
    <row r="470" ht="15.75" customHeight="1">
      <c r="A470" s="14"/>
      <c r="B470" s="89"/>
      <c r="C470" s="14"/>
      <c r="D470" s="14"/>
      <c r="E470" s="90"/>
      <c r="F470" s="14"/>
      <c r="G470" s="14"/>
      <c r="H470" s="33"/>
    </row>
    <row r="471" ht="15.75" customHeight="1">
      <c r="A471" s="14"/>
      <c r="B471" s="89"/>
      <c r="C471" s="14"/>
      <c r="D471" s="67"/>
      <c r="E471" s="14"/>
      <c r="F471" s="14"/>
      <c r="G471" s="14"/>
      <c r="H471" s="33"/>
    </row>
    <row r="472" ht="15.75" customHeight="1">
      <c r="A472" s="14"/>
      <c r="B472" s="89"/>
      <c r="C472" s="14"/>
      <c r="D472" s="14"/>
      <c r="E472" s="14"/>
      <c r="F472" s="14"/>
      <c r="G472" s="14"/>
      <c r="H472" s="33"/>
    </row>
    <row r="473" ht="15.75" customHeight="1">
      <c r="A473" s="14"/>
      <c r="B473" s="89"/>
      <c r="C473" s="14"/>
      <c r="D473" s="23"/>
      <c r="F473" s="14"/>
      <c r="G473" s="14"/>
      <c r="H473" s="33"/>
    </row>
    <row r="474" ht="15.75" customHeight="1">
      <c r="A474" s="14"/>
      <c r="B474" s="89"/>
      <c r="C474" s="14"/>
      <c r="D474" s="14"/>
      <c r="E474" s="90"/>
      <c r="F474" s="14"/>
      <c r="G474" s="14"/>
      <c r="H474" s="33"/>
    </row>
    <row r="475" ht="15.75" customHeight="1">
      <c r="A475" s="14"/>
      <c r="B475" s="89"/>
      <c r="C475" s="14"/>
      <c r="D475" s="67"/>
      <c r="E475" s="14"/>
      <c r="F475" s="14"/>
      <c r="G475" s="14"/>
      <c r="H475" s="33"/>
    </row>
    <row r="476" ht="15.75" customHeight="1">
      <c r="A476" s="14"/>
      <c r="B476" s="89"/>
      <c r="C476" s="14"/>
      <c r="D476" s="14"/>
      <c r="E476" s="14"/>
      <c r="F476" s="14"/>
      <c r="G476" s="14"/>
      <c r="H476" s="33"/>
    </row>
    <row r="477" ht="15.75" customHeight="1">
      <c r="A477" s="14"/>
      <c r="B477" s="89"/>
      <c r="C477" s="14"/>
      <c r="D477" s="23"/>
      <c r="F477" s="14"/>
      <c r="G477" s="14"/>
      <c r="H477" s="33"/>
    </row>
    <row r="478" ht="15.75" customHeight="1">
      <c r="A478" s="14"/>
      <c r="B478" s="89"/>
      <c r="C478" s="14"/>
      <c r="D478" s="14"/>
      <c r="F478" s="14"/>
      <c r="G478" s="14"/>
      <c r="H478" s="33"/>
    </row>
    <row r="479" ht="15.75" customHeight="1">
      <c r="A479" s="14"/>
      <c r="B479" s="89"/>
      <c r="C479" s="14"/>
      <c r="D479" s="14"/>
      <c r="F479" s="14"/>
      <c r="G479" s="14"/>
      <c r="H479" s="33"/>
    </row>
    <row r="480" ht="15.75" customHeight="1">
      <c r="A480" s="14"/>
      <c r="B480" s="89"/>
      <c r="C480" s="14"/>
      <c r="D480" s="14"/>
      <c r="F480" s="14"/>
      <c r="G480" s="14"/>
      <c r="H480" s="33"/>
    </row>
    <row r="481" ht="15.75" customHeight="1">
      <c r="A481" s="14"/>
      <c r="C481" s="14"/>
      <c r="D481" s="23"/>
      <c r="H481" s="33" t="str">
        <f>IF(C481="----","#N/A",CONCATENATE("CV|",SUBSTITUTE(SUBSTITUTE(IF(B481="","NONE",B481),"_","-"),"|","-"),"_","CS|",(VLOOKUP(C481,Dictionary!$Y:$Z,2,FALSE)),"_","CT|",(VLOOKUP(D481,Dictionary!$AE:$AF,2,FALSE)),IF(E481="","",CONCATENATE("_U1|",SUBSTITUTE(SUBSTITUTE(E481,"_","-"),"|","-"))),IF(F481="","",CONCATENATE("_U2|",SUBSTITUTE(SUBSTITUTE(F481,"_","-"),"|","-"))),IF(G481="","",CONCATENATE("_U3|",SUBSTITUTE(SUBSTITUTE(G481,"_","-"),"|","-")))))</f>
        <v>#N/A</v>
      </c>
    </row>
    <row r="482" ht="15.75" customHeight="1">
      <c r="A482" s="14"/>
      <c r="C482" s="14"/>
      <c r="D482" s="23"/>
      <c r="H482" s="33" t="str">
        <f>IF(C482="----","#N/A",CONCATENATE("CV|",SUBSTITUTE(SUBSTITUTE(IF(B482="","NONE",B482),"_","-"),"|","-"),"_","CS|",(VLOOKUP(C482,Dictionary!$Y:$Z,2,FALSE)),"_","CT|",(VLOOKUP(D482,Dictionary!$AE:$AF,2,FALSE)),IF(E482="","",CONCATENATE("_U1|",SUBSTITUTE(SUBSTITUTE(E482,"_","-"),"|","-"))),IF(F482="","",CONCATENATE("_U2|",SUBSTITUTE(SUBSTITUTE(F482,"_","-"),"|","-"))),IF(G482="","",CONCATENATE("_U3|",SUBSTITUTE(SUBSTITUTE(G482,"_","-"),"|","-")))))</f>
        <v>#N/A</v>
      </c>
    </row>
    <row r="483" ht="15.75" customHeight="1">
      <c r="A483" s="14"/>
      <c r="C483" s="14"/>
      <c r="D483" s="23"/>
      <c r="H483" s="33" t="str">
        <f>IF(C483="----","#N/A",CONCATENATE("CV|",SUBSTITUTE(SUBSTITUTE(IF(B483="","NONE",B483),"_","-"),"|","-"),"_","CS|",(VLOOKUP(C483,Dictionary!$Y:$Z,2,FALSE)),"_","CT|",(VLOOKUP(D483,Dictionary!$AE:$AF,2,FALSE)),IF(E483="","",CONCATENATE("_U1|",SUBSTITUTE(SUBSTITUTE(E483,"_","-"),"|","-"))),IF(F483="","",CONCATENATE("_U2|",SUBSTITUTE(SUBSTITUTE(F483,"_","-"),"|","-"))),IF(G483="","",CONCATENATE("_U3|",SUBSTITUTE(SUBSTITUTE(G483,"_","-"),"|","-")))))</f>
        <v>#N/A</v>
      </c>
    </row>
    <row r="484" ht="15.75" customHeight="1">
      <c r="A484" s="14"/>
      <c r="C484" s="14"/>
      <c r="D484" s="23"/>
      <c r="H484" s="33" t="str">
        <f>IF(C484="----","#N/A",CONCATENATE("CV|",SUBSTITUTE(SUBSTITUTE(IF(B484="","NONE",B484),"_","-"),"|","-"),"_","CS|",(VLOOKUP(C484,Dictionary!$Y:$Z,2,FALSE)),"_","CT|",(VLOOKUP(D484,Dictionary!$AE:$AF,2,FALSE)),IF(E484="","",CONCATENATE("_U1|",SUBSTITUTE(SUBSTITUTE(E484,"_","-"),"|","-"))),IF(F484="","",CONCATENATE("_U2|",SUBSTITUTE(SUBSTITUTE(F484,"_","-"),"|","-"))),IF(G484="","",CONCATENATE("_U3|",SUBSTITUTE(SUBSTITUTE(G484,"_","-"),"|","-")))))</f>
        <v>#N/A</v>
      </c>
    </row>
    <row r="485" ht="15.75" customHeight="1">
      <c r="A485" s="14"/>
      <c r="C485" s="14"/>
      <c r="D485" s="23"/>
      <c r="H485" s="33" t="str">
        <f>IF(C485="----","#N/A",CONCATENATE("CV|",SUBSTITUTE(SUBSTITUTE(IF(B485="","NONE",B485),"_","-"),"|","-"),"_","CS|",(VLOOKUP(C485,Dictionary!$Y:$Z,2,FALSE)),"_","CT|",(VLOOKUP(D485,Dictionary!$AE:$AF,2,FALSE)),IF(E485="","",CONCATENATE("_U1|",SUBSTITUTE(SUBSTITUTE(E485,"_","-"),"|","-"))),IF(F485="","",CONCATENATE("_U2|",SUBSTITUTE(SUBSTITUTE(F485,"_","-"),"|","-"))),IF(G485="","",CONCATENATE("_U3|",SUBSTITUTE(SUBSTITUTE(G485,"_","-"),"|","-")))))</f>
        <v>#N/A</v>
      </c>
    </row>
    <row r="486" ht="15.75" customHeight="1">
      <c r="D486" s="23"/>
      <c r="H486" s="33" t="str">
        <f>IF(C486="----","#N/A",CONCATENATE("CV|",SUBSTITUTE(SUBSTITUTE(IF(B486="","NONE",B486),"_","-"),"|","-"),"_","CS|",(VLOOKUP(C486,Dictionary!$Y:$Z,2,FALSE)),"_","CT|",(VLOOKUP(D486,Dictionary!$AE:$AF,2,FALSE)),IF(E486="","",CONCATENATE("_U1|",SUBSTITUTE(SUBSTITUTE(E486,"_","-"),"|","-"))),IF(F486="","",CONCATENATE("_U2|",SUBSTITUTE(SUBSTITUTE(F486,"_","-"),"|","-"))),IF(G486="","",CONCATENATE("_U3|",SUBSTITUTE(SUBSTITUTE(G486,"_","-"),"|","-")))))</f>
        <v>#N/A</v>
      </c>
    </row>
    <row r="487" ht="15.75" customHeight="1">
      <c r="D487" s="23"/>
      <c r="H487" s="33" t="str">
        <f>IF(C487="----","#N/A",CONCATENATE("CV|",SUBSTITUTE(SUBSTITUTE(IF(B487="","NONE",B487),"_","-"),"|","-"),"_","CS|",(VLOOKUP(C487,Dictionary!$Y:$Z,2,FALSE)),"_","CT|",(VLOOKUP(D487,Dictionary!$AE:$AF,2,FALSE)),IF(E487="","",CONCATENATE("_U1|",SUBSTITUTE(SUBSTITUTE(E487,"_","-"),"|","-"))),IF(F487="","",CONCATENATE("_U2|",SUBSTITUTE(SUBSTITUTE(F487,"_","-"),"|","-"))),IF(G487="","",CONCATENATE("_U3|",SUBSTITUTE(SUBSTITUTE(G487,"_","-"),"|","-")))))</f>
        <v>#N/A</v>
      </c>
    </row>
    <row r="488" ht="15.75" customHeight="1">
      <c r="D488" s="23"/>
      <c r="H488" s="33" t="str">
        <f>IF(C488="----","#N/A",CONCATENATE("CV|",SUBSTITUTE(SUBSTITUTE(IF(B488="","NONE",B488),"_","-"),"|","-"),"_","CS|",(VLOOKUP(C488,Dictionary!$Y:$Z,2,FALSE)),"_","CT|",(VLOOKUP(D488,Dictionary!$AE:$AF,2,FALSE)),IF(E488="","",CONCATENATE("_U1|",SUBSTITUTE(SUBSTITUTE(E488,"_","-"),"|","-"))),IF(F488="","",CONCATENATE("_U2|",SUBSTITUTE(SUBSTITUTE(F488,"_","-"),"|","-"))),IF(G488="","",CONCATENATE("_U3|",SUBSTITUTE(SUBSTITUTE(G488,"_","-"),"|","-")))))</f>
        <v>#N/A</v>
      </c>
    </row>
    <row r="489" ht="15.75" customHeight="1">
      <c r="D489" s="23"/>
      <c r="H489" s="33" t="str">
        <f>IF(C489="----","#N/A",CONCATENATE("CV|",SUBSTITUTE(SUBSTITUTE(IF(B489="","NONE",B489),"_","-"),"|","-"),"_","CS|",(VLOOKUP(C489,Dictionary!$Y:$Z,2,FALSE)),"_","CT|",(VLOOKUP(D489,Dictionary!$AE:$AF,2,FALSE)),IF(E489="","",CONCATENATE("_U1|",SUBSTITUTE(SUBSTITUTE(E489,"_","-"),"|","-"))),IF(F489="","",CONCATENATE("_U2|",SUBSTITUTE(SUBSTITUTE(F489,"_","-"),"|","-"))),IF(G489="","",CONCATENATE("_U3|",SUBSTITUTE(SUBSTITUTE(G489,"_","-"),"|","-")))))</f>
        <v>#N/A</v>
      </c>
    </row>
    <row r="490" ht="15.75" customHeight="1">
      <c r="D490" s="23"/>
      <c r="H490" s="33" t="str">
        <f>IF(C490="----","#N/A",CONCATENATE("CV|",SUBSTITUTE(SUBSTITUTE(IF(B490="","NONE",B490),"_","-"),"|","-"),"_","CS|",(VLOOKUP(C490,Dictionary!$Y:$Z,2,FALSE)),"_","CT|",(VLOOKUP(D490,Dictionary!$AE:$AF,2,FALSE)),IF(E490="","",CONCATENATE("_U1|",SUBSTITUTE(SUBSTITUTE(E490,"_","-"),"|","-"))),IF(F490="","",CONCATENATE("_U2|",SUBSTITUTE(SUBSTITUTE(F490,"_","-"),"|","-"))),IF(G490="","",CONCATENATE("_U3|",SUBSTITUTE(SUBSTITUTE(G490,"_","-"),"|","-")))))</f>
        <v>#N/A</v>
      </c>
    </row>
    <row r="491" ht="15.75" customHeight="1">
      <c r="D491" s="23"/>
      <c r="H491" s="33" t="str">
        <f>IF(C491="----","#N/A",CONCATENATE("CV|",SUBSTITUTE(SUBSTITUTE(IF(B491="","NONE",B491),"_","-"),"|","-"),"_","CS|",(VLOOKUP(C491,Dictionary!$Y:$Z,2,FALSE)),"_","CT|",(VLOOKUP(D491,Dictionary!$AE:$AF,2,FALSE)),IF(E491="","",CONCATENATE("_U1|",SUBSTITUTE(SUBSTITUTE(E491,"_","-"),"|","-"))),IF(F491="","",CONCATENATE("_U2|",SUBSTITUTE(SUBSTITUTE(F491,"_","-"),"|","-"))),IF(G491="","",CONCATENATE("_U3|",SUBSTITUTE(SUBSTITUTE(G491,"_","-"),"|","-")))))</f>
        <v>#N/A</v>
      </c>
    </row>
    <row r="492" ht="15.75" customHeight="1">
      <c r="D492" s="23"/>
      <c r="H492" s="33" t="str">
        <f>IF(C492="----","#N/A",CONCATENATE("CV|",SUBSTITUTE(SUBSTITUTE(IF(B492="","NONE",B492),"_","-"),"|","-"),"_","CS|",(VLOOKUP(C492,Dictionary!$Y:$Z,2,FALSE)),"_","CT|",(VLOOKUP(D492,Dictionary!$AE:$AF,2,FALSE)),IF(E492="","",CONCATENATE("_U1|",SUBSTITUTE(SUBSTITUTE(E492,"_","-"),"|","-"))),IF(F492="","",CONCATENATE("_U2|",SUBSTITUTE(SUBSTITUTE(F492,"_","-"),"|","-"))),IF(G492="","",CONCATENATE("_U3|",SUBSTITUTE(SUBSTITUTE(G492,"_","-"),"|","-")))))</f>
        <v>#N/A</v>
      </c>
    </row>
    <row r="493" ht="15.75" customHeight="1">
      <c r="D493" s="23"/>
      <c r="H493" s="33" t="str">
        <f>IF(C493="----","#N/A",CONCATENATE("CV|",SUBSTITUTE(SUBSTITUTE(IF(B493="","NONE",B493),"_","-"),"|","-"),"_","CS|",(VLOOKUP(C493,Dictionary!$Y:$Z,2,FALSE)),"_","CT|",(VLOOKUP(D493,Dictionary!$AE:$AF,2,FALSE)),IF(E493="","",CONCATENATE("_U1|",SUBSTITUTE(SUBSTITUTE(E493,"_","-"),"|","-"))),IF(F493="","",CONCATENATE("_U2|",SUBSTITUTE(SUBSTITUTE(F493,"_","-"),"|","-"))),IF(G493="","",CONCATENATE("_U3|",SUBSTITUTE(SUBSTITUTE(G493,"_","-"),"|","-")))))</f>
        <v>#N/A</v>
      </c>
    </row>
    <row r="494" ht="15.75" customHeight="1">
      <c r="D494" s="23"/>
      <c r="H494" s="33" t="str">
        <f>IF(C494="----","#N/A",CONCATENATE("CV|",SUBSTITUTE(SUBSTITUTE(IF(B494="","NONE",B494),"_","-"),"|","-"),"_","CS|",(VLOOKUP(C494,Dictionary!$Y:$Z,2,FALSE)),"_","CT|",(VLOOKUP(D494,Dictionary!$AE:$AF,2,FALSE)),IF(E494="","",CONCATENATE("_U1|",SUBSTITUTE(SUBSTITUTE(E494,"_","-"),"|","-"))),IF(F494="","",CONCATENATE("_U2|",SUBSTITUTE(SUBSTITUTE(F494,"_","-"),"|","-"))),IF(G494="","",CONCATENATE("_U3|",SUBSTITUTE(SUBSTITUTE(G494,"_","-"),"|","-")))))</f>
        <v>#N/A</v>
      </c>
    </row>
    <row r="495" ht="15.75" customHeight="1">
      <c r="D495" s="23"/>
      <c r="H495" s="33" t="str">
        <f>IF(C495="----","#N/A",CONCATENATE("CV|",SUBSTITUTE(SUBSTITUTE(IF(B495="","NONE",B495),"_","-"),"|","-"),"_","CS|",(VLOOKUP(C495,Dictionary!$Y:$Z,2,FALSE)),"_","CT|",(VLOOKUP(D495,Dictionary!$AE:$AF,2,FALSE)),IF(E495="","",CONCATENATE("_U1|",SUBSTITUTE(SUBSTITUTE(E495,"_","-"),"|","-"))),IF(F495="","",CONCATENATE("_U2|",SUBSTITUTE(SUBSTITUTE(F495,"_","-"),"|","-"))),IF(G495="","",CONCATENATE("_U3|",SUBSTITUTE(SUBSTITUTE(G495,"_","-"),"|","-")))))</f>
        <v>#N/A</v>
      </c>
    </row>
    <row r="496" ht="15.75" customHeight="1">
      <c r="D496" s="23"/>
      <c r="H496" s="33" t="str">
        <f>IF(C496="----","#N/A",CONCATENATE("CV|",SUBSTITUTE(SUBSTITUTE(IF(B496="","NONE",B496),"_","-"),"|","-"),"_","CS|",(VLOOKUP(C496,Dictionary!$Y:$Z,2,FALSE)),"_","CT|",(VLOOKUP(D496,Dictionary!$AE:$AF,2,FALSE)),IF(E496="","",CONCATENATE("_U1|",SUBSTITUTE(SUBSTITUTE(E496,"_","-"),"|","-"))),IF(F496="","",CONCATENATE("_U2|",SUBSTITUTE(SUBSTITUTE(F496,"_","-"),"|","-"))),IF(G496="","",CONCATENATE("_U3|",SUBSTITUTE(SUBSTITUTE(G496,"_","-"),"|","-")))))</f>
        <v>#N/A</v>
      </c>
    </row>
    <row r="497" ht="15.75" customHeight="1">
      <c r="D497" s="23"/>
      <c r="H497" s="33" t="str">
        <f>IF(C497="----","#N/A",CONCATENATE("CV|",SUBSTITUTE(SUBSTITUTE(IF(B497="","NONE",B497),"_","-"),"|","-"),"_","CS|",(VLOOKUP(C497,Dictionary!$Y:$Z,2,FALSE)),"_","CT|",(VLOOKUP(D497,Dictionary!$AE:$AF,2,FALSE)),IF(E497="","",CONCATENATE("_U1|",SUBSTITUTE(SUBSTITUTE(E497,"_","-"),"|","-"))),IF(F497="","",CONCATENATE("_U2|",SUBSTITUTE(SUBSTITUTE(F497,"_","-"),"|","-"))),IF(G497="","",CONCATENATE("_U3|",SUBSTITUTE(SUBSTITUTE(G497,"_","-"),"|","-")))))</f>
        <v>#N/A</v>
      </c>
    </row>
    <row r="498" ht="15.75" customHeight="1">
      <c r="D498" s="23"/>
      <c r="H498" s="33" t="str">
        <f>IF(C498="----","#N/A",CONCATENATE("CV|",SUBSTITUTE(SUBSTITUTE(IF(B498="","NONE",B498),"_","-"),"|","-"),"_","CS|",(VLOOKUP(C498,Dictionary!$Y:$Z,2,FALSE)),"_","CT|",(VLOOKUP(D498,Dictionary!$AE:$AF,2,FALSE)),IF(E498="","",CONCATENATE("_U1|",SUBSTITUTE(SUBSTITUTE(E498,"_","-"),"|","-"))),IF(F498="","",CONCATENATE("_U2|",SUBSTITUTE(SUBSTITUTE(F498,"_","-"),"|","-"))),IF(G498="","",CONCATENATE("_U3|",SUBSTITUTE(SUBSTITUTE(G498,"_","-"),"|","-")))))</f>
        <v>#N/A</v>
      </c>
    </row>
    <row r="499" ht="15.75" customHeight="1">
      <c r="D499" s="23"/>
      <c r="H499" s="33" t="str">
        <f>IF(C499="----","#N/A",CONCATENATE("CV|",SUBSTITUTE(SUBSTITUTE(IF(B499="","NONE",B499),"_","-"),"|","-"),"_","CS|",(VLOOKUP(C499,Dictionary!$Y:$Z,2,FALSE)),"_","CT|",(VLOOKUP(D499,Dictionary!$AE:$AF,2,FALSE)),IF(E499="","",CONCATENATE("_U1|",SUBSTITUTE(SUBSTITUTE(E499,"_","-"),"|","-"))),IF(F499="","",CONCATENATE("_U2|",SUBSTITUTE(SUBSTITUTE(F499,"_","-"),"|","-"))),IF(G499="","",CONCATENATE("_U3|",SUBSTITUTE(SUBSTITUTE(G499,"_","-"),"|","-")))))</f>
        <v>#N/A</v>
      </c>
    </row>
    <row r="500" ht="15.75" customHeight="1">
      <c r="D500" s="23"/>
      <c r="H500" s="33" t="str">
        <f>IF(C500="----","#N/A",CONCATENATE("CV|",SUBSTITUTE(SUBSTITUTE(IF(B500="","NONE",B500),"_","-"),"|","-"),"_","CS|",(VLOOKUP(C500,Dictionary!$Y:$Z,2,FALSE)),"_","CT|",(VLOOKUP(D500,Dictionary!$AE:$AF,2,FALSE)),IF(E500="","",CONCATENATE("_U1|",SUBSTITUTE(SUBSTITUTE(E500,"_","-"),"|","-"))),IF(F500="","",CONCATENATE("_U2|",SUBSTITUTE(SUBSTITUTE(F500,"_","-"),"|","-"))),IF(G500="","",CONCATENATE("_U3|",SUBSTITUTE(SUBSTITUTE(G500,"_","-"),"|","-")))))</f>
        <v>#N/A</v>
      </c>
    </row>
    <row r="501" ht="15.75" customHeight="1">
      <c r="D501" s="23"/>
      <c r="H501" s="33" t="str">
        <f>IF(C501="----","#N/A",CONCATENATE("CV|",SUBSTITUTE(SUBSTITUTE(IF(B501="","NONE",B501),"_","-"),"|","-"),"_","CS|",(VLOOKUP(C501,Dictionary!$Y:$Z,2,FALSE)),"_","CT|",(VLOOKUP(D501,Dictionary!$AE:$AF,2,FALSE)),IF(E501="","",CONCATENATE("_U1|",SUBSTITUTE(SUBSTITUTE(E501,"_","-"),"|","-"))),IF(F501="","",CONCATENATE("_U2|",SUBSTITUTE(SUBSTITUTE(F501,"_","-"),"|","-"))),IF(G501="","",CONCATENATE("_U3|",SUBSTITUTE(SUBSTITUTE(G501,"_","-"),"|","-")))))</f>
        <v>#N/A</v>
      </c>
    </row>
    <row r="502" ht="15.75" customHeight="1">
      <c r="D502" s="23"/>
      <c r="H502" s="33" t="str">
        <f>IF(C502="----","#N/A",CONCATENATE("CV|",SUBSTITUTE(SUBSTITUTE(IF(B502="","NONE",B502),"_","-"),"|","-"),"_","CS|",(VLOOKUP(C502,Dictionary!$Y:$Z,2,FALSE)),"_","CT|",(VLOOKUP(D502,Dictionary!$AE:$AF,2,FALSE)),IF(E502="","",CONCATENATE("_U1|",SUBSTITUTE(SUBSTITUTE(E502,"_","-"),"|","-"))),IF(F502="","",CONCATENATE("_U2|",SUBSTITUTE(SUBSTITUTE(F502,"_","-"),"|","-"))),IF(G502="","",CONCATENATE("_U3|",SUBSTITUTE(SUBSTITUTE(G502,"_","-"),"|","-")))))</f>
        <v>#N/A</v>
      </c>
    </row>
    <row r="503" ht="15.75" customHeight="1">
      <c r="D503" s="23"/>
      <c r="H503" s="33" t="str">
        <f>IF(C503="----","#N/A",CONCATENATE("CV|",SUBSTITUTE(SUBSTITUTE(IF(B503="","NONE",B503),"_","-"),"|","-"),"_","CS|",(VLOOKUP(C503,Dictionary!$Y:$Z,2,FALSE)),"_","CT|",(VLOOKUP(D503,Dictionary!$AE:$AF,2,FALSE)),IF(E503="","",CONCATENATE("_U1|",SUBSTITUTE(SUBSTITUTE(E503,"_","-"),"|","-"))),IF(F503="","",CONCATENATE("_U2|",SUBSTITUTE(SUBSTITUTE(F503,"_","-"),"|","-"))),IF(G503="","",CONCATENATE("_U3|",SUBSTITUTE(SUBSTITUTE(G503,"_","-"),"|","-")))))</f>
        <v>#N/A</v>
      </c>
    </row>
    <row r="504" ht="15.75" customHeight="1">
      <c r="D504" s="23"/>
      <c r="H504" s="33" t="str">
        <f>IF(C504="----","#N/A",CONCATENATE("CV|",SUBSTITUTE(SUBSTITUTE(IF(B504="","NONE",B504),"_","-"),"|","-"),"_","CS|",(VLOOKUP(C504,Dictionary!$Y:$Z,2,FALSE)),"_","CT|",(VLOOKUP(D504,Dictionary!$AE:$AF,2,FALSE)),IF(E504="","",CONCATENATE("_U1|",SUBSTITUTE(SUBSTITUTE(E504,"_","-"),"|","-"))),IF(F504="","",CONCATENATE("_U2|",SUBSTITUTE(SUBSTITUTE(F504,"_","-"),"|","-"))),IF(G504="","",CONCATENATE("_U3|",SUBSTITUTE(SUBSTITUTE(G504,"_","-"),"|","-")))))</f>
        <v>#N/A</v>
      </c>
    </row>
    <row r="505" ht="15.75" customHeight="1">
      <c r="D505" s="23"/>
      <c r="H505" s="33" t="str">
        <f>IF(C505="----","#N/A",CONCATENATE("CV|",SUBSTITUTE(SUBSTITUTE(IF(B505="","NONE",B505),"_","-"),"|","-"),"_","CS|",(VLOOKUP(C505,Dictionary!$Y:$Z,2,FALSE)),"_","CT|",(VLOOKUP(D505,Dictionary!$AE:$AF,2,FALSE)),IF(E505="","",CONCATENATE("_U1|",SUBSTITUTE(SUBSTITUTE(E505,"_","-"),"|","-"))),IF(F505="","",CONCATENATE("_U2|",SUBSTITUTE(SUBSTITUTE(F505,"_","-"),"|","-"))),IF(G505="","",CONCATENATE("_U3|",SUBSTITUTE(SUBSTITUTE(G505,"_","-"),"|","-")))))</f>
        <v>#N/A</v>
      </c>
    </row>
    <row r="506" ht="15.75" customHeight="1">
      <c r="D506" s="23"/>
      <c r="H506" s="33" t="str">
        <f>IF(C506="----","#N/A",CONCATENATE("CV|",SUBSTITUTE(SUBSTITUTE(IF(B506="","NONE",B506),"_","-"),"|","-"),"_","CS|",(VLOOKUP(C506,Dictionary!$Y:$Z,2,FALSE)),"_","CT|",(VLOOKUP(D506,Dictionary!$AE:$AF,2,FALSE)),IF(E506="","",CONCATENATE("_U1|",SUBSTITUTE(SUBSTITUTE(E506,"_","-"),"|","-"))),IF(F506="","",CONCATENATE("_U2|",SUBSTITUTE(SUBSTITUTE(F506,"_","-"),"|","-"))),IF(G506="","",CONCATENATE("_U3|",SUBSTITUTE(SUBSTITUTE(G506,"_","-"),"|","-")))))</f>
        <v>#N/A</v>
      </c>
    </row>
    <row r="507" ht="15.75" customHeight="1">
      <c r="D507" s="23"/>
      <c r="H507" s="33" t="str">
        <f>IF(C507="----","#N/A",CONCATENATE("CV|",SUBSTITUTE(SUBSTITUTE(IF(B507="","NONE",B507),"_","-"),"|","-"),"_","CS|",(VLOOKUP(C507,Dictionary!$Y:$Z,2,FALSE)),"_","CT|",(VLOOKUP(D507,Dictionary!$AE:$AF,2,FALSE)),IF(E507="","",CONCATENATE("_U1|",SUBSTITUTE(SUBSTITUTE(E507,"_","-"),"|","-"))),IF(F507="","",CONCATENATE("_U2|",SUBSTITUTE(SUBSTITUTE(F507,"_","-"),"|","-"))),IF(G507="","",CONCATENATE("_U3|",SUBSTITUTE(SUBSTITUTE(G507,"_","-"),"|","-")))))</f>
        <v>#N/A</v>
      </c>
    </row>
    <row r="508" ht="15.75" customHeight="1">
      <c r="D508" s="23"/>
      <c r="H508" s="33" t="str">
        <f>IF(C508="----","#N/A",CONCATENATE("CV|",SUBSTITUTE(SUBSTITUTE(IF(B508="","NONE",B508),"_","-"),"|","-"),"_","CS|",(VLOOKUP(C508,Dictionary!$Y:$Z,2,FALSE)),"_","CT|",(VLOOKUP(D508,Dictionary!$AE:$AF,2,FALSE)),IF(E508="","",CONCATENATE("_U1|",SUBSTITUTE(SUBSTITUTE(E508,"_","-"),"|","-"))),IF(F508="","",CONCATENATE("_U2|",SUBSTITUTE(SUBSTITUTE(F508,"_","-"),"|","-"))),IF(G508="","",CONCATENATE("_U3|",SUBSTITUTE(SUBSTITUTE(G508,"_","-"),"|","-")))))</f>
        <v>#N/A</v>
      </c>
    </row>
    <row r="509" ht="15.75" customHeight="1">
      <c r="D509" s="23"/>
      <c r="H509" s="33" t="str">
        <f>IF(C509="----","#N/A",CONCATENATE("CV|",SUBSTITUTE(SUBSTITUTE(IF(B509="","NONE",B509),"_","-"),"|","-"),"_","CS|",(VLOOKUP(C509,Dictionary!$Y:$Z,2,FALSE)),"_","CT|",(VLOOKUP(D509,Dictionary!$AE:$AF,2,FALSE)),IF(E509="","",CONCATENATE("_U1|",SUBSTITUTE(SUBSTITUTE(E509,"_","-"),"|","-"))),IF(F509="","",CONCATENATE("_U2|",SUBSTITUTE(SUBSTITUTE(F509,"_","-"),"|","-"))),IF(G509="","",CONCATENATE("_U3|",SUBSTITUTE(SUBSTITUTE(G509,"_","-"),"|","-")))))</f>
        <v>#N/A</v>
      </c>
    </row>
    <row r="510" ht="15.75" customHeight="1">
      <c r="D510" s="23"/>
      <c r="H510" s="33" t="str">
        <f>IF(C510="----","#N/A",CONCATENATE("CV|",SUBSTITUTE(SUBSTITUTE(IF(B510="","NONE",B510),"_","-"),"|","-"),"_","CS|",(VLOOKUP(C510,Dictionary!$Y:$Z,2,FALSE)),"_","CT|",(VLOOKUP(D510,Dictionary!$AE:$AF,2,FALSE)),IF(E510="","",CONCATENATE("_U1|",SUBSTITUTE(SUBSTITUTE(E510,"_","-"),"|","-"))),IF(F510="","",CONCATENATE("_U2|",SUBSTITUTE(SUBSTITUTE(F510,"_","-"),"|","-"))),IF(G510="","",CONCATENATE("_U3|",SUBSTITUTE(SUBSTITUTE(G510,"_","-"),"|","-")))))</f>
        <v>#N/A</v>
      </c>
    </row>
    <row r="511" ht="15.75" customHeight="1">
      <c r="D511" s="23"/>
      <c r="H511" s="33" t="str">
        <f>IF(C511="----","#N/A",CONCATENATE("CV|",SUBSTITUTE(SUBSTITUTE(IF(B511="","NONE",B511),"_","-"),"|","-"),"_","CS|",(VLOOKUP(C511,Dictionary!$Y:$Z,2,FALSE)),"_","CT|",(VLOOKUP(D511,Dictionary!$AE:$AF,2,FALSE)),IF(E511="","",CONCATENATE("_U1|",SUBSTITUTE(SUBSTITUTE(E511,"_","-"),"|","-"))),IF(F511="","",CONCATENATE("_U2|",SUBSTITUTE(SUBSTITUTE(F511,"_","-"),"|","-"))),IF(G511="","",CONCATENATE("_U3|",SUBSTITUTE(SUBSTITUTE(G511,"_","-"),"|","-")))))</f>
        <v>#N/A</v>
      </c>
    </row>
    <row r="512" ht="15.75" customHeight="1">
      <c r="D512" s="23"/>
      <c r="H512" s="33" t="str">
        <f>IF(C512="----","#N/A",CONCATENATE("CV|",SUBSTITUTE(SUBSTITUTE(IF(B512="","NONE",B512),"_","-"),"|","-"),"_","CS|",(VLOOKUP(C512,Dictionary!$Y:$Z,2,FALSE)),"_","CT|",(VLOOKUP(D512,Dictionary!$AE:$AF,2,FALSE)),IF(E512="","",CONCATENATE("_U1|",SUBSTITUTE(SUBSTITUTE(E512,"_","-"),"|","-"))),IF(F512="","",CONCATENATE("_U2|",SUBSTITUTE(SUBSTITUTE(F512,"_","-"),"|","-"))),IF(G512="","",CONCATENATE("_U3|",SUBSTITUTE(SUBSTITUTE(G512,"_","-"),"|","-")))))</f>
        <v>#N/A</v>
      </c>
    </row>
    <row r="513" ht="15.75" customHeight="1">
      <c r="D513" s="23"/>
      <c r="H513" s="33" t="str">
        <f>IF(C513="----","#N/A",CONCATENATE("CV|",SUBSTITUTE(SUBSTITUTE(IF(B513="","NONE",B513),"_","-"),"|","-"),"_","CS|",(VLOOKUP(C513,Dictionary!$Y:$Z,2,FALSE)),"_","CT|",(VLOOKUP(D513,Dictionary!$AE:$AF,2,FALSE)),IF(E513="","",CONCATENATE("_U1|",SUBSTITUTE(SUBSTITUTE(E513,"_","-"),"|","-"))),IF(F513="","",CONCATENATE("_U2|",SUBSTITUTE(SUBSTITUTE(F513,"_","-"),"|","-"))),IF(G513="","",CONCATENATE("_U3|",SUBSTITUTE(SUBSTITUTE(G513,"_","-"),"|","-")))))</f>
        <v>#N/A</v>
      </c>
    </row>
    <row r="514" ht="15.75" customHeight="1">
      <c r="D514" s="23"/>
      <c r="H514" s="33" t="str">
        <f>IF(C514="----","#N/A",CONCATENATE("CV|",SUBSTITUTE(SUBSTITUTE(IF(B514="","NONE",B514),"_","-"),"|","-"),"_","CS|",(VLOOKUP(C514,Dictionary!$Y:$Z,2,FALSE)),"_","CT|",(VLOOKUP(D514,Dictionary!$AE:$AF,2,FALSE)),IF(E514="","",CONCATENATE("_U1|",SUBSTITUTE(SUBSTITUTE(E514,"_","-"),"|","-"))),IF(F514="","",CONCATENATE("_U2|",SUBSTITUTE(SUBSTITUTE(F514,"_","-"),"|","-"))),IF(G514="","",CONCATENATE("_U3|",SUBSTITUTE(SUBSTITUTE(G514,"_","-"),"|","-")))))</f>
        <v>#N/A</v>
      </c>
    </row>
    <row r="515" ht="15.75" customHeight="1">
      <c r="D515" s="23"/>
      <c r="H515" s="33" t="str">
        <f>IF(C515="----","#N/A",CONCATENATE("CV|",SUBSTITUTE(SUBSTITUTE(IF(B515="","NONE",B515),"_","-"),"|","-"),"_","CS|",(VLOOKUP(C515,Dictionary!$Y:$Z,2,FALSE)),"_","CT|",(VLOOKUP(D515,Dictionary!$AE:$AF,2,FALSE)),IF(E515="","",CONCATENATE("_U1|",SUBSTITUTE(SUBSTITUTE(E515,"_","-"),"|","-"))),IF(F515="","",CONCATENATE("_U2|",SUBSTITUTE(SUBSTITUTE(F515,"_","-"),"|","-"))),IF(G515="","",CONCATENATE("_U3|",SUBSTITUTE(SUBSTITUTE(G515,"_","-"),"|","-")))))</f>
        <v>#N/A</v>
      </c>
    </row>
    <row r="516" ht="15.75" customHeight="1">
      <c r="D516" s="23"/>
      <c r="H516" s="33" t="str">
        <f>IF(C516="----","#N/A",CONCATENATE("CV|",SUBSTITUTE(SUBSTITUTE(IF(B516="","NONE",B516),"_","-"),"|","-"),"_","CS|",(VLOOKUP(C516,Dictionary!$Y:$Z,2,FALSE)),"_","CT|",(VLOOKUP(D516,Dictionary!$AE:$AF,2,FALSE)),IF(E516="","",CONCATENATE("_U1|",SUBSTITUTE(SUBSTITUTE(E516,"_","-"),"|","-"))),IF(F516="","",CONCATENATE("_U2|",SUBSTITUTE(SUBSTITUTE(F516,"_","-"),"|","-"))),IF(G516="","",CONCATENATE("_U3|",SUBSTITUTE(SUBSTITUTE(G516,"_","-"),"|","-")))))</f>
        <v>#N/A</v>
      </c>
    </row>
    <row r="517" ht="15.75" customHeight="1">
      <c r="D517" s="23"/>
      <c r="H517" s="33" t="str">
        <f>IF(C517="----","#N/A",CONCATENATE("CV|",SUBSTITUTE(SUBSTITUTE(IF(B517="","NONE",B517),"_","-"),"|","-"),"_","CS|",(VLOOKUP(C517,Dictionary!$Y:$Z,2,FALSE)),"_","CT|",(VLOOKUP(D517,Dictionary!$AE:$AF,2,FALSE)),IF(E517="","",CONCATENATE("_U1|",SUBSTITUTE(SUBSTITUTE(E517,"_","-"),"|","-"))),IF(F517="","",CONCATENATE("_U2|",SUBSTITUTE(SUBSTITUTE(F517,"_","-"),"|","-"))),IF(G517="","",CONCATENATE("_U3|",SUBSTITUTE(SUBSTITUTE(G517,"_","-"),"|","-")))))</f>
        <v>#N/A</v>
      </c>
    </row>
    <row r="518" ht="15.75" customHeight="1">
      <c r="D518" s="23"/>
      <c r="H518" s="33" t="str">
        <f>IF(C518="----","#N/A",CONCATENATE("CV|",SUBSTITUTE(SUBSTITUTE(IF(B518="","NONE",B518),"_","-"),"|","-"),"_","CS|",(VLOOKUP(C518,Dictionary!$Y:$Z,2,FALSE)),"_","CT|",(VLOOKUP(D518,Dictionary!$AE:$AF,2,FALSE)),IF(E518="","",CONCATENATE("_U1|",SUBSTITUTE(SUBSTITUTE(E518,"_","-"),"|","-"))),IF(F518="","",CONCATENATE("_U2|",SUBSTITUTE(SUBSTITUTE(F518,"_","-"),"|","-"))),IF(G518="","",CONCATENATE("_U3|",SUBSTITUTE(SUBSTITUTE(G518,"_","-"),"|","-")))))</f>
        <v>#N/A</v>
      </c>
    </row>
    <row r="519" ht="15.75" customHeight="1">
      <c r="D519" s="23"/>
      <c r="H519" s="33" t="str">
        <f>IF(C519="----","#N/A",CONCATENATE("CV|",SUBSTITUTE(SUBSTITUTE(IF(B519="","NONE",B519),"_","-"),"|","-"),"_","CS|",(VLOOKUP(C519,Dictionary!$Y:$Z,2,FALSE)),"_","CT|",(VLOOKUP(D519,Dictionary!$AE:$AF,2,FALSE)),IF(E519="","",CONCATENATE("_U1|",SUBSTITUTE(SUBSTITUTE(E519,"_","-"),"|","-"))),IF(F519="","",CONCATENATE("_U2|",SUBSTITUTE(SUBSTITUTE(F519,"_","-"),"|","-"))),IF(G519="","",CONCATENATE("_U3|",SUBSTITUTE(SUBSTITUTE(G519,"_","-"),"|","-")))))</f>
        <v>#N/A</v>
      </c>
    </row>
    <row r="520" ht="15.75" customHeight="1">
      <c r="D520" s="23"/>
      <c r="H520" s="33" t="str">
        <f>IF(C520="----","#N/A",CONCATENATE("CV|",SUBSTITUTE(SUBSTITUTE(IF(B520="","NONE",B520),"_","-"),"|","-"),"_","CS|",(VLOOKUP(C520,Dictionary!$Y:$Z,2,FALSE)),"_","CT|",(VLOOKUP(D520,Dictionary!$AE:$AF,2,FALSE)),IF(E520="","",CONCATENATE("_U1|",SUBSTITUTE(SUBSTITUTE(E520,"_","-"),"|","-"))),IF(F520="","",CONCATENATE("_U2|",SUBSTITUTE(SUBSTITUTE(F520,"_","-"),"|","-"))),IF(G520="","",CONCATENATE("_U3|",SUBSTITUTE(SUBSTITUTE(G520,"_","-"),"|","-")))))</f>
        <v>#N/A</v>
      </c>
    </row>
    <row r="521" ht="15.75" customHeight="1">
      <c r="D521" s="23"/>
      <c r="H521" s="33" t="str">
        <f>IF(C521="----","#N/A",CONCATENATE("CV|",SUBSTITUTE(SUBSTITUTE(IF(B521="","NONE",B521),"_","-"),"|","-"),"_","CS|",(VLOOKUP(C521,Dictionary!$Y:$Z,2,FALSE)),"_","CT|",(VLOOKUP(D521,Dictionary!$AE:$AF,2,FALSE)),IF(E521="","",CONCATENATE("_U1|",SUBSTITUTE(SUBSTITUTE(E521,"_","-"),"|","-"))),IF(F521="","",CONCATENATE("_U2|",SUBSTITUTE(SUBSTITUTE(F521,"_","-"),"|","-"))),IF(G521="","",CONCATENATE("_U3|",SUBSTITUTE(SUBSTITUTE(G521,"_","-"),"|","-")))))</f>
        <v>#N/A</v>
      </c>
    </row>
    <row r="522" ht="15.75" customHeight="1">
      <c r="D522" s="23"/>
      <c r="H522" s="33" t="str">
        <f>IF(C522="----","#N/A",CONCATENATE("CV|",SUBSTITUTE(SUBSTITUTE(IF(B522="","NONE",B522),"_","-"),"|","-"),"_","CS|",(VLOOKUP(C522,Dictionary!$Y:$Z,2,FALSE)),"_","CT|",(VLOOKUP(D522,Dictionary!$AE:$AF,2,FALSE)),IF(E522="","",CONCATENATE("_U1|",SUBSTITUTE(SUBSTITUTE(E522,"_","-"),"|","-"))),IF(F522="","",CONCATENATE("_U2|",SUBSTITUTE(SUBSTITUTE(F522,"_","-"),"|","-"))),IF(G522="","",CONCATENATE("_U3|",SUBSTITUTE(SUBSTITUTE(G522,"_","-"),"|","-")))))</f>
        <v>#N/A</v>
      </c>
    </row>
    <row r="523" ht="15.75" customHeight="1">
      <c r="D523" s="23"/>
      <c r="H523" s="33" t="str">
        <f>IF(C523="----","#N/A",CONCATENATE("CV|",SUBSTITUTE(SUBSTITUTE(IF(B523="","NONE",B523),"_","-"),"|","-"),"_","CS|",(VLOOKUP(C523,Dictionary!$Y:$Z,2,FALSE)),"_","CT|",(VLOOKUP(D523,Dictionary!$AE:$AF,2,FALSE)),IF(E523="","",CONCATENATE("_U1|",SUBSTITUTE(SUBSTITUTE(E523,"_","-"),"|","-"))),IF(F523="","",CONCATENATE("_U2|",SUBSTITUTE(SUBSTITUTE(F523,"_","-"),"|","-"))),IF(G523="","",CONCATENATE("_U3|",SUBSTITUTE(SUBSTITUTE(G523,"_","-"),"|","-")))))</f>
        <v>#N/A</v>
      </c>
    </row>
    <row r="524" ht="15.75" customHeight="1">
      <c r="D524" s="23"/>
      <c r="H524" s="33" t="str">
        <f>IF(C524="----","#N/A",CONCATENATE("CV|",SUBSTITUTE(SUBSTITUTE(IF(B524="","NONE",B524),"_","-"),"|","-"),"_","CS|",(VLOOKUP(C524,Dictionary!$Y:$Z,2,FALSE)),"_","CT|",(VLOOKUP(D524,Dictionary!$AE:$AF,2,FALSE)),IF(E524="","",CONCATENATE("_U1|",SUBSTITUTE(SUBSTITUTE(E524,"_","-"),"|","-"))),IF(F524="","",CONCATENATE("_U2|",SUBSTITUTE(SUBSTITUTE(F524,"_","-"),"|","-"))),IF(G524="","",CONCATENATE("_U3|",SUBSTITUTE(SUBSTITUTE(G524,"_","-"),"|","-")))))</f>
        <v>#N/A</v>
      </c>
    </row>
    <row r="525" ht="15.75" customHeight="1">
      <c r="D525" s="23"/>
      <c r="H525" s="33" t="str">
        <f>IF(C525="----","#N/A",CONCATENATE("CV|",SUBSTITUTE(SUBSTITUTE(IF(B525="","NONE",B525),"_","-"),"|","-"),"_","CS|",(VLOOKUP(C525,Dictionary!$Y:$Z,2,FALSE)),"_","CT|",(VLOOKUP(D525,Dictionary!$AE:$AF,2,FALSE)),IF(E525="","",CONCATENATE("_U1|",SUBSTITUTE(SUBSTITUTE(E525,"_","-"),"|","-"))),IF(F525="","",CONCATENATE("_U2|",SUBSTITUTE(SUBSTITUTE(F525,"_","-"),"|","-"))),IF(G525="","",CONCATENATE("_U3|",SUBSTITUTE(SUBSTITUTE(G525,"_","-"),"|","-")))))</f>
        <v>#N/A</v>
      </c>
    </row>
    <row r="526" ht="15.75" customHeight="1">
      <c r="D526" s="23"/>
      <c r="H526" s="33" t="str">
        <f>IF(C526="----","#N/A",CONCATENATE("CV|",SUBSTITUTE(SUBSTITUTE(IF(B526="","NONE",B526),"_","-"),"|","-"),"_","CS|",(VLOOKUP(C526,Dictionary!$Y:$Z,2,FALSE)),"_","CT|",(VLOOKUP(D526,Dictionary!$AE:$AF,2,FALSE)),IF(E526="","",CONCATENATE("_U1|",SUBSTITUTE(SUBSTITUTE(E526,"_","-"),"|","-"))),IF(F526="","",CONCATENATE("_U2|",SUBSTITUTE(SUBSTITUTE(F526,"_","-"),"|","-"))),IF(G526="","",CONCATENATE("_U3|",SUBSTITUTE(SUBSTITUTE(G526,"_","-"),"|","-")))))</f>
        <v>#N/A</v>
      </c>
    </row>
    <row r="527" ht="15.75" customHeight="1">
      <c r="D527" s="23"/>
      <c r="H527" s="33" t="str">
        <f>IF(C527="----","#N/A",CONCATENATE("CV|",SUBSTITUTE(SUBSTITUTE(IF(B527="","NONE",B527),"_","-"),"|","-"),"_","CS|",(VLOOKUP(C527,Dictionary!$Y:$Z,2,FALSE)),"_","CT|",(VLOOKUP(D527,Dictionary!$AE:$AF,2,FALSE)),IF(E527="","",CONCATENATE("_U1|",SUBSTITUTE(SUBSTITUTE(E527,"_","-"),"|","-"))),IF(F527="","",CONCATENATE("_U2|",SUBSTITUTE(SUBSTITUTE(F527,"_","-"),"|","-"))),IF(G527="","",CONCATENATE("_U3|",SUBSTITUTE(SUBSTITUTE(G527,"_","-"),"|","-")))))</f>
        <v>#N/A</v>
      </c>
    </row>
    <row r="528" ht="15.75" customHeight="1">
      <c r="D528" s="23"/>
      <c r="H528" s="33" t="str">
        <f>IF(C528="----","#N/A",CONCATENATE("CV|",SUBSTITUTE(SUBSTITUTE(IF(B528="","NONE",B528),"_","-"),"|","-"),"_","CS|",(VLOOKUP(C528,Dictionary!$Y:$Z,2,FALSE)),"_","CT|",(VLOOKUP(D528,Dictionary!$AE:$AF,2,FALSE)),IF(E528="","",CONCATENATE("_U1|",SUBSTITUTE(SUBSTITUTE(E528,"_","-"),"|","-"))),IF(F528="","",CONCATENATE("_U2|",SUBSTITUTE(SUBSTITUTE(F528,"_","-"),"|","-"))),IF(G528="","",CONCATENATE("_U3|",SUBSTITUTE(SUBSTITUTE(G528,"_","-"),"|","-")))))</f>
        <v>#N/A</v>
      </c>
    </row>
    <row r="529" ht="15.75" customHeight="1">
      <c r="D529" s="23"/>
      <c r="H529" s="33" t="str">
        <f>IF(C529="----","#N/A",CONCATENATE("CV|",SUBSTITUTE(SUBSTITUTE(IF(B529="","NONE",B529),"_","-"),"|","-"),"_","CS|",(VLOOKUP(C529,Dictionary!$Y:$Z,2,FALSE)),"_","CT|",(VLOOKUP(D529,Dictionary!$AE:$AF,2,FALSE)),IF(E529="","",CONCATENATE("_U1|",SUBSTITUTE(SUBSTITUTE(E529,"_","-"),"|","-"))),IF(F529="","",CONCATENATE("_U2|",SUBSTITUTE(SUBSTITUTE(F529,"_","-"),"|","-"))),IF(G529="","",CONCATENATE("_U3|",SUBSTITUTE(SUBSTITUTE(G529,"_","-"),"|","-")))))</f>
        <v>#N/A</v>
      </c>
    </row>
    <row r="530" ht="15.75" customHeight="1">
      <c r="D530" s="23"/>
      <c r="H530" s="33" t="str">
        <f>IF(C530="----","#N/A",CONCATENATE("CV|",SUBSTITUTE(SUBSTITUTE(IF(B530="","NONE",B530),"_","-"),"|","-"),"_","CS|",(VLOOKUP(C530,Dictionary!$Y:$Z,2,FALSE)),"_","CT|",(VLOOKUP(D530,Dictionary!$AE:$AF,2,FALSE)),IF(E530="","",CONCATENATE("_U1|",SUBSTITUTE(SUBSTITUTE(E530,"_","-"),"|","-"))),IF(F530="","",CONCATENATE("_U2|",SUBSTITUTE(SUBSTITUTE(F530,"_","-"),"|","-"))),IF(G530="","",CONCATENATE("_U3|",SUBSTITUTE(SUBSTITUTE(G530,"_","-"),"|","-")))))</f>
        <v>#N/A</v>
      </c>
    </row>
    <row r="531" ht="15.75" customHeight="1">
      <c r="D531" s="23"/>
      <c r="H531" s="33" t="str">
        <f>IF(C531="----","#N/A",CONCATENATE("CV|",SUBSTITUTE(SUBSTITUTE(IF(B531="","NONE",B531),"_","-"),"|","-"),"_","CS|",(VLOOKUP(C531,Dictionary!$Y:$Z,2,FALSE)),"_","CT|",(VLOOKUP(D531,Dictionary!$AE:$AF,2,FALSE)),IF(E531="","",CONCATENATE("_U1|",SUBSTITUTE(SUBSTITUTE(E531,"_","-"),"|","-"))),IF(F531="","",CONCATENATE("_U2|",SUBSTITUTE(SUBSTITUTE(F531,"_","-"),"|","-"))),IF(G531="","",CONCATENATE("_U3|",SUBSTITUTE(SUBSTITUTE(G531,"_","-"),"|","-")))))</f>
        <v>#N/A</v>
      </c>
    </row>
    <row r="532" ht="15.75" customHeight="1">
      <c r="D532" s="23"/>
      <c r="H532" s="33" t="str">
        <f>IF(C532="----","#N/A",CONCATENATE("CV|",SUBSTITUTE(SUBSTITUTE(IF(B532="","NONE",B532),"_","-"),"|","-"),"_","CS|",(VLOOKUP(C532,Dictionary!$Y:$Z,2,FALSE)),"_","CT|",(VLOOKUP(D532,Dictionary!$AE:$AF,2,FALSE)),IF(E532="","",CONCATENATE("_U1|",SUBSTITUTE(SUBSTITUTE(E532,"_","-"),"|","-"))),IF(F532="","",CONCATENATE("_U2|",SUBSTITUTE(SUBSTITUTE(F532,"_","-"),"|","-"))),IF(G532="","",CONCATENATE("_U3|",SUBSTITUTE(SUBSTITUTE(G532,"_","-"),"|","-")))))</f>
        <v>#N/A</v>
      </c>
    </row>
    <row r="533" ht="15.75" customHeight="1">
      <c r="D533" s="23"/>
      <c r="H533" s="33" t="str">
        <f>IF(C533="----","#N/A",CONCATENATE("CV|",SUBSTITUTE(SUBSTITUTE(IF(B533="","NONE",B533),"_","-"),"|","-"),"_","CS|",(VLOOKUP(C533,Dictionary!$Y:$Z,2,FALSE)),"_","CT|",(VLOOKUP(D533,Dictionary!$AE:$AF,2,FALSE)),IF(E533="","",CONCATENATE("_U1|",SUBSTITUTE(SUBSTITUTE(E533,"_","-"),"|","-"))),IF(F533="","",CONCATENATE("_U2|",SUBSTITUTE(SUBSTITUTE(F533,"_","-"),"|","-"))),IF(G533="","",CONCATENATE("_U3|",SUBSTITUTE(SUBSTITUTE(G533,"_","-"),"|","-")))))</f>
        <v>#N/A</v>
      </c>
    </row>
    <row r="534" ht="15.75" customHeight="1">
      <c r="D534" s="23"/>
      <c r="H534" s="33" t="str">
        <f>IF(C534="----","#N/A",CONCATENATE("CV|",SUBSTITUTE(SUBSTITUTE(IF(B534="","NONE",B534),"_","-"),"|","-"),"_","CS|",(VLOOKUP(C534,Dictionary!$Y:$Z,2,FALSE)),"_","CT|",(VLOOKUP(D534,Dictionary!$AE:$AF,2,FALSE)),IF(E534="","",CONCATENATE("_U1|",SUBSTITUTE(SUBSTITUTE(E534,"_","-"),"|","-"))),IF(F534="","",CONCATENATE("_U2|",SUBSTITUTE(SUBSTITUTE(F534,"_","-"),"|","-"))),IF(G534="","",CONCATENATE("_U3|",SUBSTITUTE(SUBSTITUTE(G534,"_","-"),"|","-")))))</f>
        <v>#N/A</v>
      </c>
    </row>
    <row r="535" ht="15.75" customHeight="1">
      <c r="D535" s="23"/>
      <c r="H535" s="33" t="str">
        <f>IF(C535="----","#N/A",CONCATENATE("CV|",SUBSTITUTE(SUBSTITUTE(IF(B535="","NONE",B535),"_","-"),"|","-"),"_","CS|",(VLOOKUP(C535,Dictionary!$Y:$Z,2,FALSE)),"_","CT|",(VLOOKUP(D535,Dictionary!$AE:$AF,2,FALSE)),IF(E535="","",CONCATENATE("_U1|",SUBSTITUTE(SUBSTITUTE(E535,"_","-"),"|","-"))),IF(F535="","",CONCATENATE("_U2|",SUBSTITUTE(SUBSTITUTE(F535,"_","-"),"|","-"))),IF(G535="","",CONCATENATE("_U3|",SUBSTITUTE(SUBSTITUTE(G535,"_","-"),"|","-")))))</f>
        <v>#N/A</v>
      </c>
    </row>
    <row r="536" ht="15.75" customHeight="1">
      <c r="D536" s="23"/>
      <c r="H536" s="33" t="str">
        <f>IF(C536="----","#N/A",CONCATENATE("CV|",SUBSTITUTE(SUBSTITUTE(IF(B536="","NONE",B536),"_","-"),"|","-"),"_","CS|",(VLOOKUP(C536,Dictionary!$Y:$Z,2,FALSE)),"_","CT|",(VLOOKUP(D536,Dictionary!$AE:$AF,2,FALSE)),IF(E536="","",CONCATENATE("_U1|",SUBSTITUTE(SUBSTITUTE(E536,"_","-"),"|","-"))),IF(F536="","",CONCATENATE("_U2|",SUBSTITUTE(SUBSTITUTE(F536,"_","-"),"|","-"))),IF(G536="","",CONCATENATE("_U3|",SUBSTITUTE(SUBSTITUTE(G536,"_","-"),"|","-")))))</f>
        <v>#N/A</v>
      </c>
    </row>
    <row r="537" ht="15.75" customHeight="1">
      <c r="D537" s="23"/>
      <c r="H537" s="33" t="str">
        <f>IF(C537="----","#N/A",CONCATENATE("CV|",SUBSTITUTE(SUBSTITUTE(IF(B537="","NONE",B537),"_","-"),"|","-"),"_","CS|",(VLOOKUP(C537,Dictionary!$Y:$Z,2,FALSE)),"_","CT|",(VLOOKUP(D537,Dictionary!$AE:$AF,2,FALSE)),IF(E537="","",CONCATENATE("_U1|",SUBSTITUTE(SUBSTITUTE(E537,"_","-"),"|","-"))),IF(F537="","",CONCATENATE("_U2|",SUBSTITUTE(SUBSTITUTE(F537,"_","-"),"|","-"))),IF(G537="","",CONCATENATE("_U3|",SUBSTITUTE(SUBSTITUTE(G537,"_","-"),"|","-")))))</f>
        <v>#N/A</v>
      </c>
    </row>
    <row r="538" ht="15.75" customHeight="1">
      <c r="D538" s="23"/>
      <c r="H538" s="33" t="str">
        <f>IF(C538="----","#N/A",CONCATENATE("CV|",SUBSTITUTE(SUBSTITUTE(IF(B538="","NONE",B538),"_","-"),"|","-"),"_","CS|",(VLOOKUP(C538,Dictionary!$Y:$Z,2,FALSE)),"_","CT|",(VLOOKUP(D538,Dictionary!$AE:$AF,2,FALSE)),IF(E538="","",CONCATENATE("_U1|",SUBSTITUTE(SUBSTITUTE(E538,"_","-"),"|","-"))),IF(F538="","",CONCATENATE("_U2|",SUBSTITUTE(SUBSTITUTE(F538,"_","-"),"|","-"))),IF(G538="","",CONCATENATE("_U3|",SUBSTITUTE(SUBSTITUTE(G538,"_","-"),"|","-")))))</f>
        <v>#N/A</v>
      </c>
    </row>
    <row r="539" ht="15.75" customHeight="1">
      <c r="D539" s="23"/>
      <c r="H539" s="33" t="str">
        <f>IF(C539="----","#N/A",CONCATENATE("CV|",SUBSTITUTE(SUBSTITUTE(IF(B539="","NONE",B539),"_","-"),"|","-"),"_","CS|",(VLOOKUP(C539,Dictionary!$Y:$Z,2,FALSE)),"_","CT|",(VLOOKUP(D539,Dictionary!$AE:$AF,2,FALSE)),IF(E539="","",CONCATENATE("_U1|",SUBSTITUTE(SUBSTITUTE(E539,"_","-"),"|","-"))),IF(F539="","",CONCATENATE("_U2|",SUBSTITUTE(SUBSTITUTE(F539,"_","-"),"|","-"))),IF(G539="","",CONCATENATE("_U3|",SUBSTITUTE(SUBSTITUTE(G539,"_","-"),"|","-")))))</f>
        <v>#N/A</v>
      </c>
    </row>
    <row r="540" ht="15.75" customHeight="1">
      <c r="D540" s="23"/>
      <c r="H540" s="33" t="str">
        <f>IF(C540="----","#N/A",CONCATENATE("CV|",SUBSTITUTE(SUBSTITUTE(IF(B540="","NONE",B540),"_","-"),"|","-"),"_","CS|",(VLOOKUP(C540,Dictionary!$Y:$Z,2,FALSE)),"_","CT|",(VLOOKUP(D540,Dictionary!$AE:$AF,2,FALSE)),IF(E540="","",CONCATENATE("_U1|",SUBSTITUTE(SUBSTITUTE(E540,"_","-"),"|","-"))),IF(F540="","",CONCATENATE("_U2|",SUBSTITUTE(SUBSTITUTE(F540,"_","-"),"|","-"))),IF(G540="","",CONCATENATE("_U3|",SUBSTITUTE(SUBSTITUTE(G540,"_","-"),"|","-")))))</f>
        <v>#N/A</v>
      </c>
    </row>
    <row r="541" ht="15.75" customHeight="1">
      <c r="D541" s="23"/>
      <c r="H541" s="33" t="str">
        <f>IF(C541="----","#N/A",CONCATENATE("CV|",SUBSTITUTE(SUBSTITUTE(IF(B541="","NONE",B541),"_","-"),"|","-"),"_","CS|",(VLOOKUP(C541,Dictionary!$Y:$Z,2,FALSE)),"_","CT|",(VLOOKUP(D541,Dictionary!$AE:$AF,2,FALSE)),IF(E541="","",CONCATENATE("_U1|",SUBSTITUTE(SUBSTITUTE(E541,"_","-"),"|","-"))),IF(F541="","",CONCATENATE("_U2|",SUBSTITUTE(SUBSTITUTE(F541,"_","-"),"|","-"))),IF(G541="","",CONCATENATE("_U3|",SUBSTITUTE(SUBSTITUTE(G541,"_","-"),"|","-")))))</f>
        <v>#N/A</v>
      </c>
    </row>
    <row r="542" ht="15.75" customHeight="1">
      <c r="D542" s="23"/>
      <c r="H542" s="33" t="str">
        <f>IF(C542="----","#N/A",CONCATENATE("CV|",SUBSTITUTE(SUBSTITUTE(IF(B542="","NONE",B542),"_","-"),"|","-"),"_","CS|",(VLOOKUP(C542,Dictionary!$Y:$Z,2,FALSE)),"_","CT|",(VLOOKUP(D542,Dictionary!$AE:$AF,2,FALSE)),IF(E542="","",CONCATENATE("_U1|",SUBSTITUTE(SUBSTITUTE(E542,"_","-"),"|","-"))),IF(F542="","",CONCATENATE("_U2|",SUBSTITUTE(SUBSTITUTE(F542,"_","-"),"|","-"))),IF(G542="","",CONCATENATE("_U3|",SUBSTITUTE(SUBSTITUTE(G542,"_","-"),"|","-")))))</f>
        <v>#N/A</v>
      </c>
    </row>
    <row r="543" ht="15.75" customHeight="1">
      <c r="D543" s="23"/>
      <c r="H543" s="33" t="str">
        <f>IF(C543="----","#N/A",CONCATENATE("CV|",SUBSTITUTE(SUBSTITUTE(IF(B543="","NONE",B543),"_","-"),"|","-"),"_","CS|",(VLOOKUP(C543,Dictionary!$Y:$Z,2,FALSE)),"_","CT|",(VLOOKUP(D543,Dictionary!$AE:$AF,2,FALSE)),IF(E543="","",CONCATENATE("_U1|",SUBSTITUTE(SUBSTITUTE(E543,"_","-"),"|","-"))),IF(F543="","",CONCATENATE("_U2|",SUBSTITUTE(SUBSTITUTE(F543,"_","-"),"|","-"))),IF(G543="","",CONCATENATE("_U3|",SUBSTITUTE(SUBSTITUTE(G543,"_","-"),"|","-")))))</f>
        <v>#N/A</v>
      </c>
    </row>
    <row r="544" ht="15.75" customHeight="1">
      <c r="D544" s="23"/>
      <c r="H544" s="33" t="str">
        <f>IF(C544="----","#N/A",CONCATENATE("CV|",SUBSTITUTE(SUBSTITUTE(IF(B544="","NONE",B544),"_","-"),"|","-"),"_","CS|",(VLOOKUP(C544,Dictionary!$Y:$Z,2,FALSE)),"_","CT|",(VLOOKUP(D544,Dictionary!$AE:$AF,2,FALSE)),IF(E544="","",CONCATENATE("_U1|",SUBSTITUTE(SUBSTITUTE(E544,"_","-"),"|","-"))),IF(F544="","",CONCATENATE("_U2|",SUBSTITUTE(SUBSTITUTE(F544,"_","-"),"|","-"))),IF(G544="","",CONCATENATE("_U3|",SUBSTITUTE(SUBSTITUTE(G544,"_","-"),"|","-")))))</f>
        <v>#N/A</v>
      </c>
    </row>
    <row r="545" ht="15.75" customHeight="1">
      <c r="D545" s="23"/>
      <c r="H545" s="33" t="str">
        <f>IF(C545="----","#N/A",CONCATENATE("CV|",SUBSTITUTE(SUBSTITUTE(IF(B545="","NONE",B545),"_","-"),"|","-"),"_","CS|",(VLOOKUP(C545,Dictionary!$Y:$Z,2,FALSE)),"_","CT|",(VLOOKUP(D545,Dictionary!$AE:$AF,2,FALSE)),IF(E545="","",CONCATENATE("_U1|",SUBSTITUTE(SUBSTITUTE(E545,"_","-"),"|","-"))),IF(F545="","",CONCATENATE("_U2|",SUBSTITUTE(SUBSTITUTE(F545,"_","-"),"|","-"))),IF(G545="","",CONCATENATE("_U3|",SUBSTITUTE(SUBSTITUTE(G545,"_","-"),"|","-")))))</f>
        <v>#N/A</v>
      </c>
    </row>
    <row r="546" ht="15.75" customHeight="1">
      <c r="D546" s="23"/>
      <c r="H546" s="33" t="str">
        <f>IF(C546="----","#N/A",CONCATENATE("CV|",SUBSTITUTE(SUBSTITUTE(IF(B546="","NONE",B546),"_","-"),"|","-"),"_","CS|",(VLOOKUP(C546,Dictionary!$Y:$Z,2,FALSE)),"_","CT|",(VLOOKUP(D546,Dictionary!$AE:$AF,2,FALSE)),IF(E546="","",CONCATENATE("_U1|",SUBSTITUTE(SUBSTITUTE(E546,"_","-"),"|","-"))),IF(F546="","",CONCATENATE("_U2|",SUBSTITUTE(SUBSTITUTE(F546,"_","-"),"|","-"))),IF(G546="","",CONCATENATE("_U3|",SUBSTITUTE(SUBSTITUTE(G546,"_","-"),"|","-")))))</f>
        <v>#N/A</v>
      </c>
    </row>
    <row r="547" ht="15.75" customHeight="1">
      <c r="D547" s="23"/>
      <c r="H547" s="33" t="str">
        <f>IF(C547="----","#N/A",CONCATENATE("CV|",SUBSTITUTE(SUBSTITUTE(IF(B547="","NONE",B547),"_","-"),"|","-"),"_","CS|",(VLOOKUP(C547,Dictionary!$Y:$Z,2,FALSE)),"_","CT|",(VLOOKUP(D547,Dictionary!$AE:$AF,2,FALSE)),IF(E547="","",CONCATENATE("_U1|",SUBSTITUTE(SUBSTITUTE(E547,"_","-"),"|","-"))),IF(F547="","",CONCATENATE("_U2|",SUBSTITUTE(SUBSTITUTE(F547,"_","-"),"|","-"))),IF(G547="","",CONCATENATE("_U3|",SUBSTITUTE(SUBSTITUTE(G547,"_","-"),"|","-")))))</f>
        <v>#N/A</v>
      </c>
    </row>
    <row r="548" ht="15.75" customHeight="1">
      <c r="D548" s="23"/>
      <c r="H548" s="33" t="str">
        <f>IF(C548="----","#N/A",CONCATENATE("CV|",SUBSTITUTE(SUBSTITUTE(IF(B548="","NONE",B548),"_","-"),"|","-"),"_","CS|",(VLOOKUP(C548,Dictionary!$Y:$Z,2,FALSE)),"_","CT|",(VLOOKUP(D548,Dictionary!$AE:$AF,2,FALSE)),IF(E548="","",CONCATENATE("_U1|",SUBSTITUTE(SUBSTITUTE(E548,"_","-"),"|","-"))),IF(F548="","",CONCATENATE("_U2|",SUBSTITUTE(SUBSTITUTE(F548,"_","-"),"|","-"))),IF(G548="","",CONCATENATE("_U3|",SUBSTITUTE(SUBSTITUTE(G548,"_","-"),"|","-")))))</f>
        <v>#N/A</v>
      </c>
    </row>
    <row r="549" ht="15.75" customHeight="1">
      <c r="D549" s="23"/>
      <c r="H549" s="33" t="str">
        <f>IF(C549="----","#N/A",CONCATENATE("CV|",SUBSTITUTE(SUBSTITUTE(IF(B549="","NONE",B549),"_","-"),"|","-"),"_","CS|",(VLOOKUP(C549,Dictionary!$Y:$Z,2,FALSE)),"_","CT|",(VLOOKUP(D549,Dictionary!$AE:$AF,2,FALSE)),IF(E549="","",CONCATENATE("_U1|",SUBSTITUTE(SUBSTITUTE(E549,"_","-"),"|","-"))),IF(F549="","",CONCATENATE("_U2|",SUBSTITUTE(SUBSTITUTE(F549,"_","-"),"|","-"))),IF(G549="","",CONCATENATE("_U3|",SUBSTITUTE(SUBSTITUTE(G549,"_","-"),"|","-")))))</f>
        <v>#N/A</v>
      </c>
    </row>
    <row r="550" ht="15.75" customHeight="1">
      <c r="D550" s="23"/>
      <c r="H550" s="33" t="str">
        <f>IF(C550="----","#N/A",CONCATENATE("CV|",SUBSTITUTE(SUBSTITUTE(IF(B550="","NONE",B550),"_","-"),"|","-"),"_","CS|",(VLOOKUP(C550,Dictionary!$Y:$Z,2,FALSE)),"_","CT|",(VLOOKUP(D550,Dictionary!$AE:$AF,2,FALSE)),IF(E550="","",CONCATENATE("_U1|",SUBSTITUTE(SUBSTITUTE(E550,"_","-"),"|","-"))),IF(F550="","",CONCATENATE("_U2|",SUBSTITUTE(SUBSTITUTE(F550,"_","-"),"|","-"))),IF(G550="","",CONCATENATE("_U3|",SUBSTITUTE(SUBSTITUTE(G550,"_","-"),"|","-")))))</f>
        <v>#N/A</v>
      </c>
    </row>
    <row r="551" ht="15.75" customHeight="1">
      <c r="D551" s="23"/>
      <c r="H551" s="33" t="str">
        <f>IF(C551="----","#N/A",CONCATENATE("CV|",SUBSTITUTE(SUBSTITUTE(IF(B551="","NONE",B551),"_","-"),"|","-"),"_","CS|",(VLOOKUP(C551,Dictionary!$Y:$Z,2,FALSE)),"_","CT|",(VLOOKUP(D551,Dictionary!$AE:$AF,2,FALSE)),IF(E551="","",CONCATENATE("_U1|",SUBSTITUTE(SUBSTITUTE(E551,"_","-"),"|","-"))),IF(F551="","",CONCATENATE("_U2|",SUBSTITUTE(SUBSTITUTE(F551,"_","-"),"|","-"))),IF(G551="","",CONCATENATE("_U3|",SUBSTITUTE(SUBSTITUTE(G551,"_","-"),"|","-")))))</f>
        <v>#N/A</v>
      </c>
    </row>
    <row r="552" ht="15.75" customHeight="1">
      <c r="D552" s="23"/>
      <c r="H552" s="33" t="str">
        <f>IF(C552="----","#N/A",CONCATENATE("CV|",SUBSTITUTE(SUBSTITUTE(IF(B552="","NONE",B552),"_","-"),"|","-"),"_","CS|",(VLOOKUP(C552,Dictionary!$Y:$Z,2,FALSE)),"_","CT|",(VLOOKUP(D552,Dictionary!$AE:$AF,2,FALSE)),IF(E552="","",CONCATENATE("_U1|",SUBSTITUTE(SUBSTITUTE(E552,"_","-"),"|","-"))),IF(F552="","",CONCATENATE("_U2|",SUBSTITUTE(SUBSTITUTE(F552,"_","-"),"|","-"))),IF(G552="","",CONCATENATE("_U3|",SUBSTITUTE(SUBSTITUTE(G552,"_","-"),"|","-")))))</f>
        <v>#N/A</v>
      </c>
    </row>
    <row r="553" ht="15.75" customHeight="1">
      <c r="D553" s="23"/>
      <c r="H553" s="33" t="str">
        <f>IF(C553="----","#N/A",CONCATENATE("CV|",SUBSTITUTE(SUBSTITUTE(IF(B553="","NONE",B553),"_","-"),"|","-"),"_","CS|",(VLOOKUP(C553,Dictionary!$Y:$Z,2,FALSE)),"_","CT|",(VLOOKUP(D553,Dictionary!$AE:$AF,2,FALSE)),IF(E553="","",CONCATENATE("_U1|",SUBSTITUTE(SUBSTITUTE(E553,"_","-"),"|","-"))),IF(F553="","",CONCATENATE("_U2|",SUBSTITUTE(SUBSTITUTE(F553,"_","-"),"|","-"))),IF(G553="","",CONCATENATE("_U3|",SUBSTITUTE(SUBSTITUTE(G553,"_","-"),"|","-")))))</f>
        <v>#N/A</v>
      </c>
    </row>
    <row r="554" ht="15.75" customHeight="1">
      <c r="D554" s="23"/>
      <c r="H554" s="33" t="str">
        <f>IF(C554="----","#N/A",CONCATENATE("CV|",SUBSTITUTE(SUBSTITUTE(IF(B554="","NONE",B554),"_","-"),"|","-"),"_","CS|",(VLOOKUP(C554,Dictionary!$Y:$Z,2,FALSE)),"_","CT|",(VLOOKUP(D554,Dictionary!$AE:$AF,2,FALSE)),IF(E554="","",CONCATENATE("_U1|",SUBSTITUTE(SUBSTITUTE(E554,"_","-"),"|","-"))),IF(F554="","",CONCATENATE("_U2|",SUBSTITUTE(SUBSTITUTE(F554,"_","-"),"|","-"))),IF(G554="","",CONCATENATE("_U3|",SUBSTITUTE(SUBSTITUTE(G554,"_","-"),"|","-")))))</f>
        <v>#N/A</v>
      </c>
    </row>
    <row r="555" ht="15.75" customHeight="1">
      <c r="D555" s="23"/>
      <c r="H555" s="33" t="str">
        <f>IF(C555="----","#N/A",CONCATENATE("CV|",SUBSTITUTE(SUBSTITUTE(IF(B555="","NONE",B555),"_","-"),"|","-"),"_","CS|",(VLOOKUP(C555,Dictionary!$Y:$Z,2,FALSE)),"_","CT|",(VLOOKUP(D555,Dictionary!$AE:$AF,2,FALSE)),IF(E555="","",CONCATENATE("_U1|",SUBSTITUTE(SUBSTITUTE(E555,"_","-"),"|","-"))),IF(F555="","",CONCATENATE("_U2|",SUBSTITUTE(SUBSTITUTE(F555,"_","-"),"|","-"))),IF(G555="","",CONCATENATE("_U3|",SUBSTITUTE(SUBSTITUTE(G555,"_","-"),"|","-")))))</f>
        <v>#N/A</v>
      </c>
    </row>
    <row r="556" ht="15.75" customHeight="1">
      <c r="D556" s="23"/>
      <c r="H556" s="33" t="str">
        <f>IF(C556="----","#N/A",CONCATENATE("CV|",SUBSTITUTE(SUBSTITUTE(IF(B556="","NONE",B556),"_","-"),"|","-"),"_","CS|",(VLOOKUP(C556,Dictionary!$Y:$Z,2,FALSE)),"_","CT|",(VLOOKUP(D556,Dictionary!$AE:$AF,2,FALSE)),IF(E556="","",CONCATENATE("_U1|",SUBSTITUTE(SUBSTITUTE(E556,"_","-"),"|","-"))),IF(F556="","",CONCATENATE("_U2|",SUBSTITUTE(SUBSTITUTE(F556,"_","-"),"|","-"))),IF(G556="","",CONCATENATE("_U3|",SUBSTITUTE(SUBSTITUTE(G556,"_","-"),"|","-")))))</f>
        <v>#N/A</v>
      </c>
    </row>
    <row r="557" ht="15.75" customHeight="1">
      <c r="D557" s="23"/>
      <c r="H557" s="33" t="str">
        <f>IF(C557="----","#N/A",CONCATENATE("CV|",SUBSTITUTE(SUBSTITUTE(IF(B557="","NONE",B557),"_","-"),"|","-"),"_","CS|",(VLOOKUP(C557,Dictionary!$Y:$Z,2,FALSE)),"_","CT|",(VLOOKUP(D557,Dictionary!$AE:$AF,2,FALSE)),IF(E557="","",CONCATENATE("_U1|",SUBSTITUTE(SUBSTITUTE(E557,"_","-"),"|","-"))),IF(F557="","",CONCATENATE("_U2|",SUBSTITUTE(SUBSTITUTE(F557,"_","-"),"|","-"))),IF(G557="","",CONCATENATE("_U3|",SUBSTITUTE(SUBSTITUTE(G557,"_","-"),"|","-")))))</f>
        <v>#N/A</v>
      </c>
    </row>
    <row r="558" ht="15.75" customHeight="1">
      <c r="D558" s="23"/>
      <c r="H558" s="33" t="str">
        <f>IF(C558="----","#N/A",CONCATENATE("CV|",SUBSTITUTE(SUBSTITUTE(IF(B558="","NONE",B558),"_","-"),"|","-"),"_","CS|",(VLOOKUP(C558,Dictionary!$Y:$Z,2,FALSE)),"_","CT|",(VLOOKUP(D558,Dictionary!$AE:$AF,2,FALSE)),IF(E558="","",CONCATENATE("_U1|",SUBSTITUTE(SUBSTITUTE(E558,"_","-"),"|","-"))),IF(F558="","",CONCATENATE("_U2|",SUBSTITUTE(SUBSTITUTE(F558,"_","-"),"|","-"))),IF(G558="","",CONCATENATE("_U3|",SUBSTITUTE(SUBSTITUTE(G558,"_","-"),"|","-")))))</f>
        <v>#N/A</v>
      </c>
    </row>
    <row r="559" ht="15.75" customHeight="1">
      <c r="D559" s="23"/>
      <c r="H559" s="33" t="str">
        <f>IF(C559="----","#N/A",CONCATENATE("CV|",SUBSTITUTE(SUBSTITUTE(IF(B559="","NONE",B559),"_","-"),"|","-"),"_","CS|",(VLOOKUP(C559,Dictionary!$Y:$Z,2,FALSE)),"_","CT|",(VLOOKUP(D559,Dictionary!$AE:$AF,2,FALSE)),IF(E559="","",CONCATENATE("_U1|",SUBSTITUTE(SUBSTITUTE(E559,"_","-"),"|","-"))),IF(F559="","",CONCATENATE("_U2|",SUBSTITUTE(SUBSTITUTE(F559,"_","-"),"|","-"))),IF(G559="","",CONCATENATE("_U3|",SUBSTITUTE(SUBSTITUTE(G559,"_","-"),"|","-")))))</f>
        <v>#N/A</v>
      </c>
    </row>
    <row r="560" ht="15.75" customHeight="1">
      <c r="D560" s="23"/>
      <c r="H560" s="33" t="str">
        <f>IF(C560="----","#N/A",CONCATENATE("CV|",SUBSTITUTE(SUBSTITUTE(IF(B560="","NONE",B560),"_","-"),"|","-"),"_","CS|",(VLOOKUP(C560,Dictionary!$Y:$Z,2,FALSE)),"_","CT|",(VLOOKUP(D560,Dictionary!$AE:$AF,2,FALSE)),IF(E560="","",CONCATENATE("_U1|",SUBSTITUTE(SUBSTITUTE(E560,"_","-"),"|","-"))),IF(F560="","",CONCATENATE("_U2|",SUBSTITUTE(SUBSTITUTE(F560,"_","-"),"|","-"))),IF(G560="","",CONCATENATE("_U3|",SUBSTITUTE(SUBSTITUTE(G560,"_","-"),"|","-")))))</f>
        <v>#N/A</v>
      </c>
    </row>
    <row r="561" ht="15.75" customHeight="1">
      <c r="D561" s="23"/>
      <c r="H561" s="33" t="str">
        <f>IF(C561="----","#N/A",CONCATENATE("CV|",SUBSTITUTE(SUBSTITUTE(IF(B561="","NONE",B561),"_","-"),"|","-"),"_","CS|",(VLOOKUP(C561,Dictionary!$Y:$Z,2,FALSE)),"_","CT|",(VLOOKUP(D561,Dictionary!$AE:$AF,2,FALSE)),IF(E561="","",CONCATENATE("_U1|",SUBSTITUTE(SUBSTITUTE(E561,"_","-"),"|","-"))),IF(F561="","",CONCATENATE("_U2|",SUBSTITUTE(SUBSTITUTE(F561,"_","-"),"|","-"))),IF(G561="","",CONCATENATE("_U3|",SUBSTITUTE(SUBSTITUTE(G561,"_","-"),"|","-")))))</f>
        <v>#N/A</v>
      </c>
    </row>
    <row r="562" ht="15.75" customHeight="1">
      <c r="D562" s="23"/>
      <c r="H562" s="33" t="str">
        <f>IF(C562="----","#N/A",CONCATENATE("CV|",SUBSTITUTE(SUBSTITUTE(IF(B562="","NONE",B562),"_","-"),"|","-"),"_","CS|",(VLOOKUP(C562,Dictionary!$Y:$Z,2,FALSE)),"_","CT|",(VLOOKUP(D562,Dictionary!$AE:$AF,2,FALSE)),IF(E562="","",CONCATENATE("_U1|",SUBSTITUTE(SUBSTITUTE(E562,"_","-"),"|","-"))),IF(F562="","",CONCATENATE("_U2|",SUBSTITUTE(SUBSTITUTE(F562,"_","-"),"|","-"))),IF(G562="","",CONCATENATE("_U3|",SUBSTITUTE(SUBSTITUTE(G562,"_","-"),"|","-")))))</f>
        <v>#N/A</v>
      </c>
    </row>
    <row r="563" ht="15.75" customHeight="1">
      <c r="D563" s="23"/>
      <c r="H563" s="33" t="str">
        <f>IF(C563="----","#N/A",CONCATENATE("CV|",SUBSTITUTE(SUBSTITUTE(IF(B563="","NONE",B563),"_","-"),"|","-"),"_","CS|",(VLOOKUP(C563,Dictionary!$Y:$Z,2,FALSE)),"_","CT|",(VLOOKUP(D563,Dictionary!$AE:$AF,2,FALSE)),IF(E563="","",CONCATENATE("_U1|",SUBSTITUTE(SUBSTITUTE(E563,"_","-"),"|","-"))),IF(F563="","",CONCATENATE("_U2|",SUBSTITUTE(SUBSTITUTE(F563,"_","-"),"|","-"))),IF(G563="","",CONCATENATE("_U3|",SUBSTITUTE(SUBSTITUTE(G563,"_","-"),"|","-")))))</f>
        <v>#N/A</v>
      </c>
    </row>
    <row r="564" ht="15.75" customHeight="1">
      <c r="D564" s="23"/>
      <c r="H564" s="33" t="str">
        <f>IF(C564="----","#N/A",CONCATENATE("CV|",SUBSTITUTE(SUBSTITUTE(IF(B564="","NONE",B564),"_","-"),"|","-"),"_","CS|",(VLOOKUP(C564,Dictionary!$Y:$Z,2,FALSE)),"_","CT|",(VLOOKUP(D564,Dictionary!$AE:$AF,2,FALSE)),IF(E564="","",CONCATENATE("_U1|",SUBSTITUTE(SUBSTITUTE(E564,"_","-"),"|","-"))),IF(F564="","",CONCATENATE("_U2|",SUBSTITUTE(SUBSTITUTE(F564,"_","-"),"|","-"))),IF(G564="","",CONCATENATE("_U3|",SUBSTITUTE(SUBSTITUTE(G564,"_","-"),"|","-")))))</f>
        <v>#N/A</v>
      </c>
    </row>
    <row r="565" ht="15.75" customHeight="1">
      <c r="D565" s="23"/>
      <c r="H565" s="33" t="str">
        <f>IF(C565="----","#N/A",CONCATENATE("CV|",SUBSTITUTE(SUBSTITUTE(IF(B565="","NONE",B565),"_","-"),"|","-"),"_","CS|",(VLOOKUP(C565,Dictionary!$Y:$Z,2,FALSE)),"_","CT|",(VLOOKUP(D565,Dictionary!$AE:$AF,2,FALSE)),IF(E565="","",CONCATENATE("_U1|",SUBSTITUTE(SUBSTITUTE(E565,"_","-"),"|","-"))),IF(F565="","",CONCATENATE("_U2|",SUBSTITUTE(SUBSTITUTE(F565,"_","-"),"|","-"))),IF(G565="","",CONCATENATE("_U3|",SUBSTITUTE(SUBSTITUTE(G565,"_","-"),"|","-")))))</f>
        <v>#N/A</v>
      </c>
    </row>
    <row r="566" ht="15.75" customHeight="1">
      <c r="D566" s="23"/>
      <c r="H566" s="33" t="str">
        <f>IF(C566="----","#N/A",CONCATENATE("CV|",SUBSTITUTE(SUBSTITUTE(IF(B566="","NONE",B566),"_","-"),"|","-"),"_","CS|",(VLOOKUP(C566,Dictionary!$Y:$Z,2,FALSE)),"_","CT|",(VLOOKUP(D566,Dictionary!$AE:$AF,2,FALSE)),IF(E566="","",CONCATENATE("_U1|",SUBSTITUTE(SUBSTITUTE(E566,"_","-"),"|","-"))),IF(F566="","",CONCATENATE("_U2|",SUBSTITUTE(SUBSTITUTE(F566,"_","-"),"|","-"))),IF(G566="","",CONCATENATE("_U3|",SUBSTITUTE(SUBSTITUTE(G566,"_","-"),"|","-")))))</f>
        <v>#N/A</v>
      </c>
    </row>
    <row r="567" ht="15.75" customHeight="1">
      <c r="D567" s="23"/>
      <c r="H567" s="33" t="str">
        <f>IF(C567="----","#N/A",CONCATENATE("CV|",SUBSTITUTE(SUBSTITUTE(IF(B567="","NONE",B567),"_","-"),"|","-"),"_","CS|",(VLOOKUP(C567,Dictionary!$Y:$Z,2,FALSE)),"_","CT|",(VLOOKUP(D567,Dictionary!$AE:$AF,2,FALSE)),IF(E567="","",CONCATENATE("_U1|",SUBSTITUTE(SUBSTITUTE(E567,"_","-"),"|","-"))),IF(F567="","",CONCATENATE("_U2|",SUBSTITUTE(SUBSTITUTE(F567,"_","-"),"|","-"))),IF(G567="","",CONCATENATE("_U3|",SUBSTITUTE(SUBSTITUTE(G567,"_","-"),"|","-")))))</f>
        <v>#N/A</v>
      </c>
    </row>
    <row r="568" ht="15.75" customHeight="1">
      <c r="D568" s="23"/>
      <c r="H568" s="33" t="str">
        <f>IF(C568="----","#N/A",CONCATENATE("CV|",SUBSTITUTE(SUBSTITUTE(IF(B568="","NONE",B568),"_","-"),"|","-"),"_","CS|",(VLOOKUP(C568,Dictionary!$Y:$Z,2,FALSE)),"_","CT|",(VLOOKUP(D568,Dictionary!$AE:$AF,2,FALSE)),IF(E568="","",CONCATENATE("_U1|",SUBSTITUTE(SUBSTITUTE(E568,"_","-"),"|","-"))),IF(F568="","",CONCATENATE("_U2|",SUBSTITUTE(SUBSTITUTE(F568,"_","-"),"|","-"))),IF(G568="","",CONCATENATE("_U3|",SUBSTITUTE(SUBSTITUTE(G568,"_","-"),"|","-")))))</f>
        <v>#N/A</v>
      </c>
    </row>
    <row r="569" ht="15.75" customHeight="1">
      <c r="D569" s="23"/>
      <c r="H569" s="33" t="str">
        <f>IF(C569="----","#N/A",CONCATENATE("CV|",SUBSTITUTE(SUBSTITUTE(IF(B569="","NONE",B569),"_","-"),"|","-"),"_","CS|",(VLOOKUP(C569,Dictionary!$Y:$Z,2,FALSE)),"_","CT|",(VLOOKUP(D569,Dictionary!$AE:$AF,2,FALSE)),IF(E569="","",CONCATENATE("_U1|",SUBSTITUTE(SUBSTITUTE(E569,"_","-"),"|","-"))),IF(F569="","",CONCATENATE("_U2|",SUBSTITUTE(SUBSTITUTE(F569,"_","-"),"|","-"))),IF(G569="","",CONCATENATE("_U3|",SUBSTITUTE(SUBSTITUTE(G569,"_","-"),"|","-")))))</f>
        <v>#N/A</v>
      </c>
    </row>
    <row r="570" ht="15.75" customHeight="1">
      <c r="D570" s="23"/>
      <c r="H570" s="33" t="str">
        <f>IF(C570="----","#N/A",CONCATENATE("CV|",SUBSTITUTE(SUBSTITUTE(IF(B570="","NONE",B570),"_","-"),"|","-"),"_","CS|",(VLOOKUP(C570,Dictionary!$Y:$Z,2,FALSE)),"_","CT|",(VLOOKUP(D570,Dictionary!$AE:$AF,2,FALSE)),IF(E570="","",CONCATENATE("_U1|",SUBSTITUTE(SUBSTITUTE(E570,"_","-"),"|","-"))),IF(F570="","",CONCATENATE("_U2|",SUBSTITUTE(SUBSTITUTE(F570,"_","-"),"|","-"))),IF(G570="","",CONCATENATE("_U3|",SUBSTITUTE(SUBSTITUTE(G570,"_","-"),"|","-")))))</f>
        <v>#N/A</v>
      </c>
    </row>
    <row r="571" ht="15.75" customHeight="1">
      <c r="D571" s="23"/>
      <c r="H571" s="33" t="str">
        <f>IF(C571="----","#N/A",CONCATENATE("CV|",SUBSTITUTE(SUBSTITUTE(IF(B571="","NONE",B571),"_","-"),"|","-"),"_","CS|",(VLOOKUP(C571,Dictionary!$Y:$Z,2,FALSE)),"_","CT|",(VLOOKUP(D571,Dictionary!$AE:$AF,2,FALSE)),IF(E571="","",CONCATENATE("_U1|",SUBSTITUTE(SUBSTITUTE(E571,"_","-"),"|","-"))),IF(F571="","",CONCATENATE("_U2|",SUBSTITUTE(SUBSTITUTE(F571,"_","-"),"|","-"))),IF(G571="","",CONCATENATE("_U3|",SUBSTITUTE(SUBSTITUTE(G571,"_","-"),"|","-")))))</f>
        <v>#N/A</v>
      </c>
    </row>
    <row r="572" ht="15.75" customHeight="1">
      <c r="D572" s="23"/>
      <c r="H572" s="33" t="str">
        <f>IF(C572="----","#N/A",CONCATENATE("CV|",SUBSTITUTE(SUBSTITUTE(IF(B572="","NONE",B572),"_","-"),"|","-"),"_","CS|",(VLOOKUP(C572,Dictionary!$Y:$Z,2,FALSE)),"_","CT|",(VLOOKUP(D572,Dictionary!$AE:$AF,2,FALSE)),IF(E572="","",CONCATENATE("_U1|",SUBSTITUTE(SUBSTITUTE(E572,"_","-"),"|","-"))),IF(F572="","",CONCATENATE("_U2|",SUBSTITUTE(SUBSTITUTE(F572,"_","-"),"|","-"))),IF(G572="","",CONCATENATE("_U3|",SUBSTITUTE(SUBSTITUTE(G572,"_","-"),"|","-")))))</f>
        <v>#N/A</v>
      </c>
    </row>
    <row r="573" ht="15.75" customHeight="1">
      <c r="D573" s="23"/>
      <c r="H573" s="33" t="str">
        <f>IF(C573="----","#N/A",CONCATENATE("CV|",SUBSTITUTE(SUBSTITUTE(IF(B573="","NONE",B573),"_","-"),"|","-"),"_","CS|",(VLOOKUP(C573,Dictionary!$Y:$Z,2,FALSE)),"_","CT|",(VLOOKUP(D573,Dictionary!$AE:$AF,2,FALSE)),IF(E573="","",CONCATENATE("_U1|",SUBSTITUTE(SUBSTITUTE(E573,"_","-"),"|","-"))),IF(F573="","",CONCATENATE("_U2|",SUBSTITUTE(SUBSTITUTE(F573,"_","-"),"|","-"))),IF(G573="","",CONCATENATE("_U3|",SUBSTITUTE(SUBSTITUTE(G573,"_","-"),"|","-")))))</f>
        <v>#N/A</v>
      </c>
    </row>
    <row r="574" ht="15.75" customHeight="1">
      <c r="D574" s="23"/>
      <c r="H574" s="33" t="str">
        <f>IF(C574="----","#N/A",CONCATENATE("CV|",SUBSTITUTE(SUBSTITUTE(IF(B574="","NONE",B574),"_","-"),"|","-"),"_","CS|",(VLOOKUP(C574,Dictionary!$Y:$Z,2,FALSE)),"_","CT|",(VLOOKUP(D574,Dictionary!$AE:$AF,2,FALSE)),IF(E574="","",CONCATENATE("_U1|",SUBSTITUTE(SUBSTITUTE(E574,"_","-"),"|","-"))),IF(F574="","",CONCATENATE("_U2|",SUBSTITUTE(SUBSTITUTE(F574,"_","-"),"|","-"))),IF(G574="","",CONCATENATE("_U3|",SUBSTITUTE(SUBSTITUTE(G574,"_","-"),"|","-")))))</f>
        <v>#N/A</v>
      </c>
    </row>
    <row r="575" ht="15.75" customHeight="1">
      <c r="D575" s="23"/>
      <c r="H575" s="33" t="str">
        <f>IF(C575="----","#N/A",CONCATENATE("CV|",SUBSTITUTE(SUBSTITUTE(IF(B575="","NONE",B575),"_","-"),"|","-"),"_","CS|",(VLOOKUP(C575,Dictionary!$Y:$Z,2,FALSE)),"_","CT|",(VLOOKUP(D575,Dictionary!$AE:$AF,2,FALSE)),IF(E575="","",CONCATENATE("_U1|",SUBSTITUTE(SUBSTITUTE(E575,"_","-"),"|","-"))),IF(F575="","",CONCATENATE("_U2|",SUBSTITUTE(SUBSTITUTE(F575,"_","-"),"|","-"))),IF(G575="","",CONCATENATE("_U3|",SUBSTITUTE(SUBSTITUTE(G575,"_","-"),"|","-")))))</f>
        <v>#N/A</v>
      </c>
    </row>
    <row r="576" ht="15.75" customHeight="1">
      <c r="D576" s="23"/>
      <c r="H576" s="33" t="str">
        <f>IF(C576="----","#N/A",CONCATENATE("CV|",SUBSTITUTE(SUBSTITUTE(IF(B576="","NONE",B576),"_","-"),"|","-"),"_","CS|",(VLOOKUP(C576,Dictionary!$Y:$Z,2,FALSE)),"_","CT|",(VLOOKUP(D576,Dictionary!$AE:$AF,2,FALSE)),IF(E576="","",CONCATENATE("_U1|",SUBSTITUTE(SUBSTITUTE(E576,"_","-"),"|","-"))),IF(F576="","",CONCATENATE("_U2|",SUBSTITUTE(SUBSTITUTE(F576,"_","-"),"|","-"))),IF(G576="","",CONCATENATE("_U3|",SUBSTITUTE(SUBSTITUTE(G576,"_","-"),"|","-")))))</f>
        <v>#N/A</v>
      </c>
    </row>
    <row r="577" ht="15.75" customHeight="1">
      <c r="D577" s="23"/>
      <c r="H577" s="33" t="str">
        <f>IF(C577="----","#N/A",CONCATENATE("CV|",SUBSTITUTE(SUBSTITUTE(IF(B577="","NONE",B577),"_","-"),"|","-"),"_","CS|",(VLOOKUP(C577,Dictionary!$Y:$Z,2,FALSE)),"_","CT|",(VLOOKUP(D577,Dictionary!$AE:$AF,2,FALSE)),IF(E577="","",CONCATENATE("_U1|",SUBSTITUTE(SUBSTITUTE(E577,"_","-"),"|","-"))),IF(F577="","",CONCATENATE("_U2|",SUBSTITUTE(SUBSTITUTE(F577,"_","-"),"|","-"))),IF(G577="","",CONCATENATE("_U3|",SUBSTITUTE(SUBSTITUTE(G577,"_","-"),"|","-")))))</f>
        <v>#N/A</v>
      </c>
    </row>
    <row r="578" ht="15.75" customHeight="1">
      <c r="D578" s="23"/>
      <c r="H578" s="33" t="str">
        <f>IF(C578="----","#N/A",CONCATENATE("CV|",SUBSTITUTE(SUBSTITUTE(IF(B578="","NONE",B578),"_","-"),"|","-"),"_","CS|",(VLOOKUP(C578,Dictionary!$Y:$Z,2,FALSE)),"_","CT|",(VLOOKUP(D578,Dictionary!$AE:$AF,2,FALSE)),IF(E578="","",CONCATENATE("_U1|",SUBSTITUTE(SUBSTITUTE(E578,"_","-"),"|","-"))),IF(F578="","",CONCATENATE("_U2|",SUBSTITUTE(SUBSTITUTE(F578,"_","-"),"|","-"))),IF(G578="","",CONCATENATE("_U3|",SUBSTITUTE(SUBSTITUTE(G578,"_","-"),"|","-")))))</f>
        <v>#N/A</v>
      </c>
    </row>
    <row r="579" ht="15.75" customHeight="1">
      <c r="D579" s="23"/>
      <c r="H579" s="33" t="str">
        <f>IF(C579="----","#N/A",CONCATENATE("CV|",SUBSTITUTE(SUBSTITUTE(IF(B579="","NONE",B579),"_","-"),"|","-"),"_","CS|",(VLOOKUP(C579,Dictionary!$Y:$Z,2,FALSE)),"_","CT|",(VLOOKUP(D579,Dictionary!$AE:$AF,2,FALSE)),IF(E579="","",CONCATENATE("_U1|",SUBSTITUTE(SUBSTITUTE(E579,"_","-"),"|","-"))),IF(F579="","",CONCATENATE("_U2|",SUBSTITUTE(SUBSTITUTE(F579,"_","-"),"|","-"))),IF(G579="","",CONCATENATE("_U3|",SUBSTITUTE(SUBSTITUTE(G579,"_","-"),"|","-")))))</f>
        <v>#N/A</v>
      </c>
    </row>
    <row r="580" ht="15.75" customHeight="1">
      <c r="D580" s="23"/>
      <c r="H580" s="33" t="str">
        <f>IF(C580="----","#N/A",CONCATENATE("CV|",SUBSTITUTE(SUBSTITUTE(IF(B580="","NONE",B580),"_","-"),"|","-"),"_","CS|",(VLOOKUP(C580,Dictionary!$Y:$Z,2,FALSE)),"_","CT|",(VLOOKUP(D580,Dictionary!$AE:$AF,2,FALSE)),IF(E580="","",CONCATENATE("_U1|",SUBSTITUTE(SUBSTITUTE(E580,"_","-"),"|","-"))),IF(F580="","",CONCATENATE("_U2|",SUBSTITUTE(SUBSTITUTE(F580,"_","-"),"|","-"))),IF(G580="","",CONCATENATE("_U3|",SUBSTITUTE(SUBSTITUTE(G580,"_","-"),"|","-")))))</f>
        <v>#N/A</v>
      </c>
    </row>
    <row r="581" ht="15.75" customHeight="1">
      <c r="D581" s="23"/>
      <c r="H581" s="33" t="str">
        <f>IF(C581="----","#N/A",CONCATENATE("CV|",SUBSTITUTE(SUBSTITUTE(IF(B581="","NONE",B581),"_","-"),"|","-"),"_","CS|",(VLOOKUP(C581,Dictionary!$Y:$Z,2,FALSE)),"_","CT|",(VLOOKUP(D581,Dictionary!$AE:$AF,2,FALSE)),IF(E581="","",CONCATENATE("_U1|",SUBSTITUTE(SUBSTITUTE(E581,"_","-"),"|","-"))),IF(F581="","",CONCATENATE("_U2|",SUBSTITUTE(SUBSTITUTE(F581,"_","-"),"|","-"))),IF(G581="","",CONCATENATE("_U3|",SUBSTITUTE(SUBSTITUTE(G581,"_","-"),"|","-")))))</f>
        <v>#N/A</v>
      </c>
    </row>
    <row r="582" ht="15.75" customHeight="1">
      <c r="D582" s="23"/>
      <c r="H582" s="33" t="str">
        <f>IF(C582="----","#N/A",CONCATENATE("CV|",SUBSTITUTE(SUBSTITUTE(IF(B582="","NONE",B582),"_","-"),"|","-"),"_","CS|",(VLOOKUP(C582,Dictionary!$Y:$Z,2,FALSE)),"_","CT|",(VLOOKUP(D582,Dictionary!$AE:$AF,2,FALSE)),IF(E582="","",CONCATENATE("_U1|",SUBSTITUTE(SUBSTITUTE(E582,"_","-"),"|","-"))),IF(F582="","",CONCATENATE("_U2|",SUBSTITUTE(SUBSTITUTE(F582,"_","-"),"|","-"))),IF(G582="","",CONCATENATE("_U3|",SUBSTITUTE(SUBSTITUTE(G582,"_","-"),"|","-")))))</f>
        <v>#N/A</v>
      </c>
    </row>
    <row r="583" ht="15.75" customHeight="1">
      <c r="D583" s="23"/>
      <c r="H583" s="33" t="str">
        <f>IF(C583="----","#N/A",CONCATENATE("CV|",SUBSTITUTE(SUBSTITUTE(IF(B583="","NONE",B583),"_","-"),"|","-"),"_","CS|",(VLOOKUP(C583,Dictionary!$Y:$Z,2,FALSE)),"_","CT|",(VLOOKUP(D583,Dictionary!$AE:$AF,2,FALSE)),IF(E583="","",CONCATENATE("_U1|",SUBSTITUTE(SUBSTITUTE(E583,"_","-"),"|","-"))),IF(F583="","",CONCATENATE("_U2|",SUBSTITUTE(SUBSTITUTE(F583,"_","-"),"|","-"))),IF(G583="","",CONCATENATE("_U3|",SUBSTITUTE(SUBSTITUTE(G583,"_","-"),"|","-")))))</f>
        <v>#N/A</v>
      </c>
    </row>
    <row r="584" ht="15.75" customHeight="1">
      <c r="D584" s="23"/>
      <c r="H584" s="33" t="str">
        <f>IF(C584="----","#N/A",CONCATENATE("CV|",SUBSTITUTE(SUBSTITUTE(IF(B584="","NONE",B584),"_","-"),"|","-"),"_","CS|",(VLOOKUP(C584,Dictionary!$Y:$Z,2,FALSE)),"_","CT|",(VLOOKUP(D584,Dictionary!$AE:$AF,2,FALSE)),IF(E584="","",CONCATENATE("_U1|",SUBSTITUTE(SUBSTITUTE(E584,"_","-"),"|","-"))),IF(F584="","",CONCATENATE("_U2|",SUBSTITUTE(SUBSTITUTE(F584,"_","-"),"|","-"))),IF(G584="","",CONCATENATE("_U3|",SUBSTITUTE(SUBSTITUTE(G584,"_","-"),"|","-")))))</f>
        <v>#N/A</v>
      </c>
    </row>
    <row r="585" ht="15.75" customHeight="1">
      <c r="D585" s="23"/>
      <c r="H585" s="33" t="str">
        <f>IF(C585="----","#N/A",CONCATENATE("CV|",SUBSTITUTE(SUBSTITUTE(IF(B585="","NONE",B585),"_","-"),"|","-"),"_","CS|",(VLOOKUP(C585,Dictionary!$Y:$Z,2,FALSE)),"_","CT|",(VLOOKUP(D585,Dictionary!$AE:$AF,2,FALSE)),IF(E585="","",CONCATENATE("_U1|",SUBSTITUTE(SUBSTITUTE(E585,"_","-"),"|","-"))),IF(F585="","",CONCATENATE("_U2|",SUBSTITUTE(SUBSTITUTE(F585,"_","-"),"|","-"))),IF(G585="","",CONCATENATE("_U3|",SUBSTITUTE(SUBSTITUTE(G585,"_","-"),"|","-")))))</f>
        <v>#N/A</v>
      </c>
    </row>
    <row r="586" ht="15.75" customHeight="1">
      <c r="D586" s="23"/>
      <c r="H586" s="33" t="str">
        <f>IF(C586="----","#N/A",CONCATENATE("CV|",SUBSTITUTE(SUBSTITUTE(IF(B586="","NONE",B586),"_","-"),"|","-"),"_","CS|",(VLOOKUP(C586,Dictionary!$Y:$Z,2,FALSE)),"_","CT|",(VLOOKUP(D586,Dictionary!$AE:$AF,2,FALSE)),IF(E586="","",CONCATENATE("_U1|",SUBSTITUTE(SUBSTITUTE(E586,"_","-"),"|","-"))),IF(F586="","",CONCATENATE("_U2|",SUBSTITUTE(SUBSTITUTE(F586,"_","-"),"|","-"))),IF(G586="","",CONCATENATE("_U3|",SUBSTITUTE(SUBSTITUTE(G586,"_","-"),"|","-")))))</f>
        <v>#N/A</v>
      </c>
    </row>
    <row r="587" ht="15.75" customHeight="1">
      <c r="D587" s="23"/>
      <c r="H587" s="33" t="str">
        <f>IF(C587="----","#N/A",CONCATENATE("CV|",SUBSTITUTE(SUBSTITUTE(IF(B587="","NONE",B587),"_","-"),"|","-"),"_","CS|",(VLOOKUP(C587,Dictionary!$Y:$Z,2,FALSE)),"_","CT|",(VLOOKUP(D587,Dictionary!$AE:$AF,2,FALSE)),IF(E587="","",CONCATENATE("_U1|",SUBSTITUTE(SUBSTITUTE(E587,"_","-"),"|","-"))),IF(F587="","",CONCATENATE("_U2|",SUBSTITUTE(SUBSTITUTE(F587,"_","-"),"|","-"))),IF(G587="","",CONCATENATE("_U3|",SUBSTITUTE(SUBSTITUTE(G587,"_","-"),"|","-")))))</f>
        <v>#N/A</v>
      </c>
    </row>
    <row r="588" ht="15.75" customHeight="1">
      <c r="D588" s="23"/>
      <c r="H588" s="33" t="str">
        <f>IF(C588="----","#N/A",CONCATENATE("CV|",SUBSTITUTE(SUBSTITUTE(IF(B588="","NONE",B588),"_","-"),"|","-"),"_","CS|",(VLOOKUP(C588,Dictionary!$Y:$Z,2,FALSE)),"_","CT|",(VLOOKUP(D588,Dictionary!$AE:$AF,2,FALSE)),IF(E588="","",CONCATENATE("_U1|",SUBSTITUTE(SUBSTITUTE(E588,"_","-"),"|","-"))),IF(F588="","",CONCATENATE("_U2|",SUBSTITUTE(SUBSTITUTE(F588,"_","-"),"|","-"))),IF(G588="","",CONCATENATE("_U3|",SUBSTITUTE(SUBSTITUTE(G588,"_","-"),"|","-")))))</f>
        <v>#N/A</v>
      </c>
    </row>
    <row r="589" ht="15.75" customHeight="1">
      <c r="D589" s="23"/>
      <c r="H589" s="33" t="str">
        <f>IF(C589="----","#N/A",CONCATENATE("CV|",SUBSTITUTE(SUBSTITUTE(IF(B589="","NONE",B589),"_","-"),"|","-"),"_","CS|",(VLOOKUP(C589,Dictionary!$Y:$Z,2,FALSE)),"_","CT|",(VLOOKUP(D589,Dictionary!$AE:$AF,2,FALSE)),IF(E589="","",CONCATENATE("_U1|",SUBSTITUTE(SUBSTITUTE(E589,"_","-"),"|","-"))),IF(F589="","",CONCATENATE("_U2|",SUBSTITUTE(SUBSTITUTE(F589,"_","-"),"|","-"))),IF(G589="","",CONCATENATE("_U3|",SUBSTITUTE(SUBSTITUTE(G589,"_","-"),"|","-")))))</f>
        <v>#N/A</v>
      </c>
    </row>
    <row r="590" ht="15.75" customHeight="1">
      <c r="D590" s="23"/>
      <c r="H590" s="33" t="str">
        <f>IF(C590="----","#N/A",CONCATENATE("CV|",SUBSTITUTE(SUBSTITUTE(IF(B590="","NONE",B590),"_","-"),"|","-"),"_","CS|",(VLOOKUP(C590,Dictionary!$Y:$Z,2,FALSE)),"_","CT|",(VLOOKUP(D590,Dictionary!$AE:$AF,2,FALSE)),IF(E590="","",CONCATENATE("_U1|",SUBSTITUTE(SUBSTITUTE(E590,"_","-"),"|","-"))),IF(F590="","",CONCATENATE("_U2|",SUBSTITUTE(SUBSTITUTE(F590,"_","-"),"|","-"))),IF(G590="","",CONCATENATE("_U3|",SUBSTITUTE(SUBSTITUTE(G590,"_","-"),"|","-")))))</f>
        <v>#N/A</v>
      </c>
    </row>
    <row r="591" ht="15.75" customHeight="1">
      <c r="D591" s="23"/>
      <c r="H591" s="33" t="str">
        <f>IF(C591="----","#N/A",CONCATENATE("CV|",SUBSTITUTE(SUBSTITUTE(IF(B591="","NONE",B591),"_","-"),"|","-"),"_","CS|",(VLOOKUP(C591,Dictionary!$Y:$Z,2,FALSE)),"_","CT|",(VLOOKUP(D591,Dictionary!$AE:$AF,2,FALSE)),IF(E591="","",CONCATENATE("_U1|",SUBSTITUTE(SUBSTITUTE(E591,"_","-"),"|","-"))),IF(F591="","",CONCATENATE("_U2|",SUBSTITUTE(SUBSTITUTE(F591,"_","-"),"|","-"))),IF(G591="","",CONCATENATE("_U3|",SUBSTITUTE(SUBSTITUTE(G591,"_","-"),"|","-")))))</f>
        <v>#N/A</v>
      </c>
    </row>
    <row r="592" ht="15.75" customHeight="1">
      <c r="D592" s="23"/>
      <c r="H592" s="33" t="str">
        <f>IF(C592="----","#N/A",CONCATENATE("CV|",SUBSTITUTE(SUBSTITUTE(IF(B592="","NONE",B592),"_","-"),"|","-"),"_","CS|",(VLOOKUP(C592,Dictionary!$Y:$Z,2,FALSE)),"_","CT|",(VLOOKUP(D592,Dictionary!$AE:$AF,2,FALSE)),IF(E592="","",CONCATENATE("_U1|",SUBSTITUTE(SUBSTITUTE(E592,"_","-"),"|","-"))),IF(F592="","",CONCATENATE("_U2|",SUBSTITUTE(SUBSTITUTE(F592,"_","-"),"|","-"))),IF(G592="","",CONCATENATE("_U3|",SUBSTITUTE(SUBSTITUTE(G592,"_","-"),"|","-")))))</f>
        <v>#N/A</v>
      </c>
    </row>
    <row r="593" ht="15.75" customHeight="1">
      <c r="D593" s="23"/>
      <c r="H593" s="33" t="str">
        <f>IF(C593="----","#N/A",CONCATENATE("CV|",SUBSTITUTE(SUBSTITUTE(IF(B593="","NONE",B593),"_","-"),"|","-"),"_","CS|",(VLOOKUP(C593,Dictionary!$Y:$Z,2,FALSE)),"_","CT|",(VLOOKUP(D593,Dictionary!$AE:$AF,2,FALSE)),IF(E593="","",CONCATENATE("_U1|",SUBSTITUTE(SUBSTITUTE(E593,"_","-"),"|","-"))),IF(F593="","",CONCATENATE("_U2|",SUBSTITUTE(SUBSTITUTE(F593,"_","-"),"|","-"))),IF(G593="","",CONCATENATE("_U3|",SUBSTITUTE(SUBSTITUTE(G593,"_","-"),"|","-")))))</f>
        <v>#N/A</v>
      </c>
    </row>
    <row r="594" ht="15.75" customHeight="1">
      <c r="D594" s="23"/>
      <c r="H594" s="33" t="str">
        <f>IF(C594="----","#N/A",CONCATENATE("CV|",SUBSTITUTE(SUBSTITUTE(IF(B594="","NONE",B594),"_","-"),"|","-"),"_","CS|",(VLOOKUP(C594,Dictionary!$Y:$Z,2,FALSE)),"_","CT|",(VLOOKUP(D594,Dictionary!$AE:$AF,2,FALSE)),IF(E594="","",CONCATENATE("_U1|",SUBSTITUTE(SUBSTITUTE(E594,"_","-"),"|","-"))),IF(F594="","",CONCATENATE("_U2|",SUBSTITUTE(SUBSTITUTE(F594,"_","-"),"|","-"))),IF(G594="","",CONCATENATE("_U3|",SUBSTITUTE(SUBSTITUTE(G594,"_","-"),"|","-")))))</f>
        <v>#N/A</v>
      </c>
    </row>
    <row r="595" ht="15.75" customHeight="1">
      <c r="D595" s="23"/>
      <c r="H595" s="33" t="str">
        <f>IF(C595="----","#N/A",CONCATENATE("CV|",SUBSTITUTE(SUBSTITUTE(IF(B595="","NONE",B595),"_","-"),"|","-"),"_","CS|",(VLOOKUP(C595,Dictionary!$Y:$Z,2,FALSE)),"_","CT|",(VLOOKUP(D595,Dictionary!$AE:$AF,2,FALSE)),IF(E595="","",CONCATENATE("_U1|",SUBSTITUTE(SUBSTITUTE(E595,"_","-"),"|","-"))),IF(F595="","",CONCATENATE("_U2|",SUBSTITUTE(SUBSTITUTE(F595,"_","-"),"|","-"))),IF(G595="","",CONCATENATE("_U3|",SUBSTITUTE(SUBSTITUTE(G595,"_","-"),"|","-")))))</f>
        <v>#N/A</v>
      </c>
    </row>
    <row r="596" ht="15.75" customHeight="1">
      <c r="D596" s="23"/>
      <c r="H596" s="33" t="str">
        <f>IF(C596="----","#N/A",CONCATENATE("CV|",SUBSTITUTE(SUBSTITUTE(IF(B596="","NONE",B596),"_","-"),"|","-"),"_","CS|",(VLOOKUP(C596,Dictionary!$Y:$Z,2,FALSE)),"_","CT|",(VLOOKUP(D596,Dictionary!$AE:$AF,2,FALSE)),IF(E596="","",CONCATENATE("_U1|",SUBSTITUTE(SUBSTITUTE(E596,"_","-"),"|","-"))),IF(F596="","",CONCATENATE("_U2|",SUBSTITUTE(SUBSTITUTE(F596,"_","-"),"|","-"))),IF(G596="","",CONCATENATE("_U3|",SUBSTITUTE(SUBSTITUTE(G596,"_","-"),"|","-")))))</f>
        <v>#N/A</v>
      </c>
    </row>
    <row r="597" ht="15.75" customHeight="1">
      <c r="D597" s="23"/>
      <c r="H597" s="33" t="str">
        <f>IF(C597="----","#N/A",CONCATENATE("CV|",SUBSTITUTE(SUBSTITUTE(IF(B597="","NONE",B597),"_","-"),"|","-"),"_","CS|",(VLOOKUP(C597,Dictionary!$Y:$Z,2,FALSE)),"_","CT|",(VLOOKUP(D597,Dictionary!$AE:$AF,2,FALSE)),IF(E597="","",CONCATENATE("_U1|",SUBSTITUTE(SUBSTITUTE(E597,"_","-"),"|","-"))),IF(F597="","",CONCATENATE("_U2|",SUBSTITUTE(SUBSTITUTE(F597,"_","-"),"|","-"))),IF(G597="","",CONCATENATE("_U3|",SUBSTITUTE(SUBSTITUTE(G597,"_","-"),"|","-")))))</f>
        <v>#N/A</v>
      </c>
    </row>
    <row r="598" ht="15.75" customHeight="1">
      <c r="D598" s="23"/>
      <c r="H598" s="33" t="str">
        <f>IF(C598="----","#N/A",CONCATENATE("CV|",SUBSTITUTE(SUBSTITUTE(IF(B598="","NONE",B598),"_","-"),"|","-"),"_","CS|",(VLOOKUP(C598,Dictionary!$Y:$Z,2,FALSE)),"_","CT|",(VLOOKUP(D598,Dictionary!$AE:$AF,2,FALSE)),IF(E598="","",CONCATENATE("_U1|",SUBSTITUTE(SUBSTITUTE(E598,"_","-"),"|","-"))),IF(F598="","",CONCATENATE("_U2|",SUBSTITUTE(SUBSTITUTE(F598,"_","-"),"|","-"))),IF(G598="","",CONCATENATE("_U3|",SUBSTITUTE(SUBSTITUTE(G598,"_","-"),"|","-")))))</f>
        <v>#N/A</v>
      </c>
    </row>
    <row r="599" ht="15.75" customHeight="1">
      <c r="D599" s="23"/>
      <c r="H599" s="33" t="str">
        <f>IF(C599="----","#N/A",CONCATENATE("CV|",SUBSTITUTE(SUBSTITUTE(IF(B599="","NONE",B599),"_","-"),"|","-"),"_","CS|",(VLOOKUP(C599,Dictionary!$Y:$Z,2,FALSE)),"_","CT|",(VLOOKUP(D599,Dictionary!$AE:$AF,2,FALSE)),IF(E599="","",CONCATENATE("_U1|",SUBSTITUTE(SUBSTITUTE(E599,"_","-"),"|","-"))),IF(F599="","",CONCATENATE("_U2|",SUBSTITUTE(SUBSTITUTE(F599,"_","-"),"|","-"))),IF(G599="","",CONCATENATE("_U3|",SUBSTITUTE(SUBSTITUTE(G599,"_","-"),"|","-")))))</f>
        <v>#N/A</v>
      </c>
    </row>
    <row r="600" ht="15.75" customHeight="1">
      <c r="D600" s="23"/>
      <c r="H600" s="33" t="str">
        <f>IF(C600="----","#N/A",CONCATENATE("CV|",SUBSTITUTE(SUBSTITUTE(IF(B600="","NONE",B600),"_","-"),"|","-"),"_","CS|",(VLOOKUP(C600,Dictionary!$Y:$Z,2,FALSE)),"_","CT|",(VLOOKUP(D600,Dictionary!$AE:$AF,2,FALSE)),IF(E600="","",CONCATENATE("_U1|",SUBSTITUTE(SUBSTITUTE(E600,"_","-"),"|","-"))),IF(F600="","",CONCATENATE("_U2|",SUBSTITUTE(SUBSTITUTE(F600,"_","-"),"|","-"))),IF(G600="","",CONCATENATE("_U3|",SUBSTITUTE(SUBSTITUTE(G600,"_","-"),"|","-")))))</f>
        <v>#N/A</v>
      </c>
    </row>
    <row r="601" ht="15.75" customHeight="1">
      <c r="D601" s="23"/>
      <c r="H601" s="33" t="str">
        <f>IF(C601="----","#N/A",CONCATENATE("CV|",SUBSTITUTE(SUBSTITUTE(IF(B601="","NONE",B601),"_","-"),"|","-"),"_","CS|",(VLOOKUP(C601,Dictionary!$Y:$Z,2,FALSE)),"_","CT|",(VLOOKUP(D601,Dictionary!$AE:$AF,2,FALSE)),IF(E601="","",CONCATENATE("_U1|",SUBSTITUTE(SUBSTITUTE(E601,"_","-"),"|","-"))),IF(F601="","",CONCATENATE("_U2|",SUBSTITUTE(SUBSTITUTE(F601,"_","-"),"|","-"))),IF(G601="","",CONCATENATE("_U3|",SUBSTITUTE(SUBSTITUTE(G601,"_","-"),"|","-")))))</f>
        <v>#N/A</v>
      </c>
    </row>
    <row r="602" ht="15.75" customHeight="1">
      <c r="D602" s="23"/>
      <c r="H602" s="33" t="str">
        <f>IF(C602="----","#N/A",CONCATENATE("CV|",SUBSTITUTE(SUBSTITUTE(IF(B602="","NONE",B602),"_","-"),"|","-"),"_","CS|",(VLOOKUP(C602,Dictionary!$Y:$Z,2,FALSE)),"_","CT|",(VLOOKUP(D602,Dictionary!$AE:$AF,2,FALSE)),IF(E602="","",CONCATENATE("_U1|",SUBSTITUTE(SUBSTITUTE(E602,"_","-"),"|","-"))),IF(F602="","",CONCATENATE("_U2|",SUBSTITUTE(SUBSTITUTE(F602,"_","-"),"|","-"))),IF(G602="","",CONCATENATE("_U3|",SUBSTITUTE(SUBSTITUTE(G602,"_","-"),"|","-")))))</f>
        <v>#N/A</v>
      </c>
    </row>
    <row r="603" ht="15.75" customHeight="1">
      <c r="D603" s="23"/>
      <c r="H603" s="33" t="str">
        <f>IF(C603="----","#N/A",CONCATENATE("CV|",SUBSTITUTE(SUBSTITUTE(IF(B603="","NONE",B603),"_","-"),"|","-"),"_","CS|",(VLOOKUP(C603,Dictionary!$Y:$Z,2,FALSE)),"_","CT|",(VLOOKUP(D603,Dictionary!$AE:$AF,2,FALSE)),IF(E603="","",CONCATENATE("_U1|",SUBSTITUTE(SUBSTITUTE(E603,"_","-"),"|","-"))),IF(F603="","",CONCATENATE("_U2|",SUBSTITUTE(SUBSTITUTE(F603,"_","-"),"|","-"))),IF(G603="","",CONCATENATE("_U3|",SUBSTITUTE(SUBSTITUTE(G603,"_","-"),"|","-")))))</f>
        <v>#N/A</v>
      </c>
    </row>
    <row r="604" ht="15.75" customHeight="1">
      <c r="D604" s="23"/>
      <c r="H604" s="33" t="str">
        <f>IF(C604="----","#N/A",CONCATENATE("CV|",SUBSTITUTE(SUBSTITUTE(IF(B604="","NONE",B604),"_","-"),"|","-"),"_","CS|",(VLOOKUP(C604,Dictionary!$Y:$Z,2,FALSE)),"_","CT|",(VLOOKUP(D604,Dictionary!$AE:$AF,2,FALSE)),IF(E604="","",CONCATENATE("_U1|",SUBSTITUTE(SUBSTITUTE(E604,"_","-"),"|","-"))),IF(F604="","",CONCATENATE("_U2|",SUBSTITUTE(SUBSTITUTE(F604,"_","-"),"|","-"))),IF(G604="","",CONCATENATE("_U3|",SUBSTITUTE(SUBSTITUTE(G604,"_","-"),"|","-")))))</f>
        <v>#N/A</v>
      </c>
    </row>
    <row r="605" ht="15.75" customHeight="1">
      <c r="D605" s="23"/>
      <c r="H605" s="33" t="str">
        <f>IF(C605="----","#N/A",CONCATENATE("CV|",SUBSTITUTE(SUBSTITUTE(IF(B605="","NONE",B605),"_","-"),"|","-"),"_","CS|",(VLOOKUP(C605,Dictionary!$Y:$Z,2,FALSE)),"_","CT|",(VLOOKUP(D605,Dictionary!$AE:$AF,2,FALSE)),IF(E605="","",CONCATENATE("_U1|",SUBSTITUTE(SUBSTITUTE(E605,"_","-"),"|","-"))),IF(F605="","",CONCATENATE("_U2|",SUBSTITUTE(SUBSTITUTE(F605,"_","-"),"|","-"))),IF(G605="","",CONCATENATE("_U3|",SUBSTITUTE(SUBSTITUTE(G605,"_","-"),"|","-")))))</f>
        <v>#N/A</v>
      </c>
    </row>
    <row r="606" ht="15.75" customHeight="1">
      <c r="D606" s="23"/>
      <c r="H606" s="33" t="str">
        <f>IF(C606="----","#N/A",CONCATENATE("CV|",SUBSTITUTE(SUBSTITUTE(IF(B606="","NONE",B606),"_","-"),"|","-"),"_","CS|",(VLOOKUP(C606,Dictionary!$Y:$Z,2,FALSE)),"_","CT|",(VLOOKUP(D606,Dictionary!$AE:$AF,2,FALSE)),IF(E606="","",CONCATENATE("_U1|",SUBSTITUTE(SUBSTITUTE(E606,"_","-"),"|","-"))),IF(F606="","",CONCATENATE("_U2|",SUBSTITUTE(SUBSTITUTE(F606,"_","-"),"|","-"))),IF(G606="","",CONCATENATE("_U3|",SUBSTITUTE(SUBSTITUTE(G606,"_","-"),"|","-")))))</f>
        <v>#N/A</v>
      </c>
    </row>
    <row r="607" ht="15.75" customHeight="1">
      <c r="D607" s="23"/>
      <c r="H607" s="33" t="str">
        <f>IF(C607="----","#N/A",CONCATENATE("CV|",SUBSTITUTE(SUBSTITUTE(IF(B607="","NONE",B607),"_","-"),"|","-"),"_","CS|",(VLOOKUP(C607,Dictionary!$Y:$Z,2,FALSE)),"_","CT|",(VLOOKUP(D607,Dictionary!$AE:$AF,2,FALSE)),IF(E607="","",CONCATENATE("_U1|",SUBSTITUTE(SUBSTITUTE(E607,"_","-"),"|","-"))),IF(F607="","",CONCATENATE("_U2|",SUBSTITUTE(SUBSTITUTE(F607,"_","-"),"|","-"))),IF(G607="","",CONCATENATE("_U3|",SUBSTITUTE(SUBSTITUTE(G607,"_","-"),"|","-")))))</f>
        <v>#N/A</v>
      </c>
    </row>
    <row r="608" ht="15.75" customHeight="1">
      <c r="D608" s="23"/>
      <c r="H608" s="33" t="str">
        <f>IF(C608="----","#N/A",CONCATENATE("CV|",SUBSTITUTE(SUBSTITUTE(IF(B608="","NONE",B608),"_","-"),"|","-"),"_","CS|",(VLOOKUP(C608,Dictionary!$Y:$Z,2,FALSE)),"_","CT|",(VLOOKUP(D608,Dictionary!$AE:$AF,2,FALSE)),IF(E608="","",CONCATENATE("_U1|",SUBSTITUTE(SUBSTITUTE(E608,"_","-"),"|","-"))),IF(F608="","",CONCATENATE("_U2|",SUBSTITUTE(SUBSTITUTE(F608,"_","-"),"|","-"))),IF(G608="","",CONCATENATE("_U3|",SUBSTITUTE(SUBSTITUTE(G608,"_","-"),"|","-")))))</f>
        <v>#N/A</v>
      </c>
    </row>
    <row r="609" ht="15.75" customHeight="1">
      <c r="D609" s="23"/>
      <c r="H609" s="33" t="str">
        <f>IF(C609="----","#N/A",CONCATENATE("CV|",SUBSTITUTE(SUBSTITUTE(IF(B609="","NONE",B609),"_","-"),"|","-"),"_","CS|",(VLOOKUP(C609,Dictionary!$Y:$Z,2,FALSE)),"_","CT|",(VLOOKUP(D609,Dictionary!$AE:$AF,2,FALSE)),IF(E609="","",CONCATENATE("_U1|",SUBSTITUTE(SUBSTITUTE(E609,"_","-"),"|","-"))),IF(F609="","",CONCATENATE("_U2|",SUBSTITUTE(SUBSTITUTE(F609,"_","-"),"|","-"))),IF(G609="","",CONCATENATE("_U3|",SUBSTITUTE(SUBSTITUTE(G609,"_","-"),"|","-")))))</f>
        <v>#N/A</v>
      </c>
    </row>
    <row r="610" ht="15.75" customHeight="1">
      <c r="D610" s="23"/>
      <c r="H610" s="33" t="str">
        <f>IF(C610="----","#N/A",CONCATENATE("CV|",SUBSTITUTE(SUBSTITUTE(IF(B610="","NONE",B610),"_","-"),"|","-"),"_","CS|",(VLOOKUP(C610,Dictionary!$Y:$Z,2,FALSE)),"_","CT|",(VLOOKUP(D610,Dictionary!$AE:$AF,2,FALSE)),IF(E610="","",CONCATENATE("_U1|",SUBSTITUTE(SUBSTITUTE(E610,"_","-"),"|","-"))),IF(F610="","",CONCATENATE("_U2|",SUBSTITUTE(SUBSTITUTE(F610,"_","-"),"|","-"))),IF(G610="","",CONCATENATE("_U3|",SUBSTITUTE(SUBSTITUTE(G610,"_","-"),"|","-")))))</f>
        <v>#N/A</v>
      </c>
    </row>
    <row r="611" ht="15.75" customHeight="1">
      <c r="D611" s="23"/>
      <c r="H611" s="33" t="str">
        <f>IF(C611="----","#N/A",CONCATENATE("CV|",SUBSTITUTE(SUBSTITUTE(IF(B611="","NONE",B611),"_","-"),"|","-"),"_","CS|",(VLOOKUP(C611,Dictionary!$Y:$Z,2,FALSE)),"_","CT|",(VLOOKUP(D611,Dictionary!$AE:$AF,2,FALSE)),IF(E611="","",CONCATENATE("_U1|",SUBSTITUTE(SUBSTITUTE(E611,"_","-"),"|","-"))),IF(F611="","",CONCATENATE("_U2|",SUBSTITUTE(SUBSTITUTE(F611,"_","-"),"|","-"))),IF(G611="","",CONCATENATE("_U3|",SUBSTITUTE(SUBSTITUTE(G611,"_","-"),"|","-")))))</f>
        <v>#N/A</v>
      </c>
    </row>
    <row r="612" ht="15.75" customHeight="1">
      <c r="D612" s="23"/>
      <c r="H612" s="33" t="str">
        <f>IF(C612="----","#N/A",CONCATENATE("CV|",SUBSTITUTE(SUBSTITUTE(IF(B612="","NONE",B612),"_","-"),"|","-"),"_","CS|",(VLOOKUP(C612,Dictionary!$Y:$Z,2,FALSE)),"_","CT|",(VLOOKUP(D612,Dictionary!$AE:$AF,2,FALSE)),IF(E612="","",CONCATENATE("_U1|",SUBSTITUTE(SUBSTITUTE(E612,"_","-"),"|","-"))),IF(F612="","",CONCATENATE("_U2|",SUBSTITUTE(SUBSTITUTE(F612,"_","-"),"|","-"))),IF(G612="","",CONCATENATE("_U3|",SUBSTITUTE(SUBSTITUTE(G612,"_","-"),"|","-")))))</f>
        <v>#N/A</v>
      </c>
    </row>
    <row r="613" ht="15.75" customHeight="1">
      <c r="D613" s="23"/>
      <c r="H613" s="33" t="str">
        <f>IF(C613="----","#N/A",CONCATENATE("CV|",SUBSTITUTE(SUBSTITUTE(IF(B613="","NONE",B613),"_","-"),"|","-"),"_","CS|",(VLOOKUP(C613,Dictionary!$Y:$Z,2,FALSE)),"_","CT|",(VLOOKUP(D613,Dictionary!$AE:$AF,2,FALSE)),IF(E613="","",CONCATENATE("_U1|",SUBSTITUTE(SUBSTITUTE(E613,"_","-"),"|","-"))),IF(F613="","",CONCATENATE("_U2|",SUBSTITUTE(SUBSTITUTE(F613,"_","-"),"|","-"))),IF(G613="","",CONCATENATE("_U3|",SUBSTITUTE(SUBSTITUTE(G613,"_","-"),"|","-")))))</f>
        <v>#N/A</v>
      </c>
    </row>
    <row r="614" ht="15.75" customHeight="1">
      <c r="D614" s="23"/>
      <c r="H614" s="33" t="str">
        <f>IF(C614="----","#N/A",CONCATENATE("CV|",SUBSTITUTE(SUBSTITUTE(IF(B614="","NONE",B614),"_","-"),"|","-"),"_","CS|",(VLOOKUP(C614,Dictionary!$Y:$Z,2,FALSE)),"_","CT|",(VLOOKUP(D614,Dictionary!$AE:$AF,2,FALSE)),IF(E614="","",CONCATENATE("_U1|",SUBSTITUTE(SUBSTITUTE(E614,"_","-"),"|","-"))),IF(F614="","",CONCATENATE("_U2|",SUBSTITUTE(SUBSTITUTE(F614,"_","-"),"|","-"))),IF(G614="","",CONCATENATE("_U3|",SUBSTITUTE(SUBSTITUTE(G614,"_","-"),"|","-")))))</f>
        <v>#N/A</v>
      </c>
    </row>
    <row r="615" ht="15.75" customHeight="1">
      <c r="D615" s="23"/>
      <c r="H615" s="33" t="str">
        <f>IF(C615="----","#N/A",CONCATENATE("CV|",SUBSTITUTE(SUBSTITUTE(IF(B615="","NONE",B615),"_","-"),"|","-"),"_","CS|",(VLOOKUP(C615,Dictionary!$Y:$Z,2,FALSE)),"_","CT|",(VLOOKUP(D615,Dictionary!$AE:$AF,2,FALSE)),IF(E615="","",CONCATENATE("_U1|",SUBSTITUTE(SUBSTITUTE(E615,"_","-"),"|","-"))),IF(F615="","",CONCATENATE("_U2|",SUBSTITUTE(SUBSTITUTE(F615,"_","-"),"|","-"))),IF(G615="","",CONCATENATE("_U3|",SUBSTITUTE(SUBSTITUTE(G615,"_","-"),"|","-")))))</f>
        <v>#N/A</v>
      </c>
    </row>
    <row r="616" ht="15.75" customHeight="1">
      <c r="D616" s="23"/>
      <c r="H616" s="33" t="str">
        <f>IF(C616="----","#N/A",CONCATENATE("CV|",SUBSTITUTE(SUBSTITUTE(IF(B616="","NONE",B616),"_","-"),"|","-"),"_","CS|",(VLOOKUP(C616,Dictionary!$Y:$Z,2,FALSE)),"_","CT|",(VLOOKUP(D616,Dictionary!$AE:$AF,2,FALSE)),IF(E616="","",CONCATENATE("_U1|",SUBSTITUTE(SUBSTITUTE(E616,"_","-"),"|","-"))),IF(F616="","",CONCATENATE("_U2|",SUBSTITUTE(SUBSTITUTE(F616,"_","-"),"|","-"))),IF(G616="","",CONCATENATE("_U3|",SUBSTITUTE(SUBSTITUTE(G616,"_","-"),"|","-")))))</f>
        <v>#N/A</v>
      </c>
    </row>
    <row r="617" ht="15.75" customHeight="1">
      <c r="D617" s="23"/>
      <c r="H617" s="33" t="str">
        <f>IF(C617="----","#N/A",CONCATENATE("CV|",SUBSTITUTE(SUBSTITUTE(IF(B617="","NONE",B617),"_","-"),"|","-"),"_","CS|",(VLOOKUP(C617,Dictionary!$Y:$Z,2,FALSE)),"_","CT|",(VLOOKUP(D617,Dictionary!$AE:$AF,2,FALSE)),IF(E617="","",CONCATENATE("_U1|",SUBSTITUTE(SUBSTITUTE(E617,"_","-"),"|","-"))),IF(F617="","",CONCATENATE("_U2|",SUBSTITUTE(SUBSTITUTE(F617,"_","-"),"|","-"))),IF(G617="","",CONCATENATE("_U3|",SUBSTITUTE(SUBSTITUTE(G617,"_","-"),"|","-")))))</f>
        <v>#N/A</v>
      </c>
    </row>
    <row r="618" ht="15.75" customHeight="1">
      <c r="D618" s="23"/>
      <c r="H618" s="33" t="str">
        <f>IF(C618="----","#N/A",CONCATENATE("CV|",SUBSTITUTE(SUBSTITUTE(IF(B618="","NONE",B618),"_","-"),"|","-"),"_","CS|",(VLOOKUP(C618,Dictionary!$Y:$Z,2,FALSE)),"_","CT|",(VLOOKUP(D618,Dictionary!$AE:$AF,2,FALSE)),IF(E618="","",CONCATENATE("_U1|",SUBSTITUTE(SUBSTITUTE(E618,"_","-"),"|","-"))),IF(F618="","",CONCATENATE("_U2|",SUBSTITUTE(SUBSTITUTE(F618,"_","-"),"|","-"))),IF(G618="","",CONCATENATE("_U3|",SUBSTITUTE(SUBSTITUTE(G618,"_","-"),"|","-")))))</f>
        <v>#N/A</v>
      </c>
    </row>
    <row r="619" ht="15.75" customHeight="1">
      <c r="D619" s="23"/>
      <c r="H619" s="33" t="str">
        <f>IF(C619="----","#N/A",CONCATENATE("CV|",SUBSTITUTE(SUBSTITUTE(IF(B619="","NONE",B619),"_","-"),"|","-"),"_","CS|",(VLOOKUP(C619,Dictionary!$Y:$Z,2,FALSE)),"_","CT|",(VLOOKUP(D619,Dictionary!$AE:$AF,2,FALSE)),IF(E619="","",CONCATENATE("_U1|",SUBSTITUTE(SUBSTITUTE(E619,"_","-"),"|","-"))),IF(F619="","",CONCATENATE("_U2|",SUBSTITUTE(SUBSTITUTE(F619,"_","-"),"|","-"))),IF(G619="","",CONCATENATE("_U3|",SUBSTITUTE(SUBSTITUTE(G619,"_","-"),"|","-")))))</f>
        <v>#N/A</v>
      </c>
    </row>
    <row r="620" ht="15.75" customHeight="1">
      <c r="D620" s="23"/>
      <c r="H620" s="33" t="str">
        <f>IF(C620="----","#N/A",CONCATENATE("CV|",SUBSTITUTE(SUBSTITUTE(IF(B620="","NONE",B620),"_","-"),"|","-"),"_","CS|",(VLOOKUP(C620,Dictionary!$Y:$Z,2,FALSE)),"_","CT|",(VLOOKUP(D620,Dictionary!$AE:$AF,2,FALSE)),IF(E620="","",CONCATENATE("_U1|",SUBSTITUTE(SUBSTITUTE(E620,"_","-"),"|","-"))),IF(F620="","",CONCATENATE("_U2|",SUBSTITUTE(SUBSTITUTE(F620,"_","-"),"|","-"))),IF(G620="","",CONCATENATE("_U3|",SUBSTITUTE(SUBSTITUTE(G620,"_","-"),"|","-")))))</f>
        <v>#N/A</v>
      </c>
    </row>
    <row r="621" ht="15.75" customHeight="1">
      <c r="D621" s="23"/>
      <c r="H621" s="33" t="str">
        <f>IF(C621="----","#N/A",CONCATENATE("CV|",SUBSTITUTE(SUBSTITUTE(IF(B621="","NONE",B621),"_","-"),"|","-"),"_","CS|",(VLOOKUP(C621,Dictionary!$Y:$Z,2,FALSE)),"_","CT|",(VLOOKUP(D621,Dictionary!$AE:$AF,2,FALSE)),IF(E621="","",CONCATENATE("_U1|",SUBSTITUTE(SUBSTITUTE(E621,"_","-"),"|","-"))),IF(F621="","",CONCATENATE("_U2|",SUBSTITUTE(SUBSTITUTE(F621,"_","-"),"|","-"))),IF(G621="","",CONCATENATE("_U3|",SUBSTITUTE(SUBSTITUTE(G621,"_","-"),"|","-")))))</f>
        <v>#N/A</v>
      </c>
    </row>
    <row r="622" ht="15.75" customHeight="1">
      <c r="D622" s="23"/>
      <c r="H622" s="33" t="str">
        <f>IF(C622="----","#N/A",CONCATENATE("CV|",SUBSTITUTE(SUBSTITUTE(IF(B622="","NONE",B622),"_","-"),"|","-"),"_","CS|",(VLOOKUP(C622,Dictionary!$Y:$Z,2,FALSE)),"_","CT|",(VLOOKUP(D622,Dictionary!$AE:$AF,2,FALSE)),IF(E622="","",CONCATENATE("_U1|",SUBSTITUTE(SUBSTITUTE(E622,"_","-"),"|","-"))),IF(F622="","",CONCATENATE("_U2|",SUBSTITUTE(SUBSTITUTE(F622,"_","-"),"|","-"))),IF(G622="","",CONCATENATE("_U3|",SUBSTITUTE(SUBSTITUTE(G622,"_","-"),"|","-")))))</f>
        <v>#N/A</v>
      </c>
    </row>
    <row r="623" ht="15.75" customHeight="1">
      <c r="D623" s="23"/>
      <c r="H623" s="33" t="str">
        <f>IF(C623="----","#N/A",CONCATENATE("CV|",SUBSTITUTE(SUBSTITUTE(IF(B623="","NONE",B623),"_","-"),"|","-"),"_","CS|",(VLOOKUP(C623,Dictionary!$Y:$Z,2,FALSE)),"_","CT|",(VLOOKUP(D623,Dictionary!$AE:$AF,2,FALSE)),IF(E623="","",CONCATENATE("_U1|",SUBSTITUTE(SUBSTITUTE(E623,"_","-"),"|","-"))),IF(F623="","",CONCATENATE("_U2|",SUBSTITUTE(SUBSTITUTE(F623,"_","-"),"|","-"))),IF(G623="","",CONCATENATE("_U3|",SUBSTITUTE(SUBSTITUTE(G623,"_","-"),"|","-")))))</f>
        <v>#N/A</v>
      </c>
    </row>
    <row r="624" ht="15.75" customHeight="1">
      <c r="D624" s="23"/>
      <c r="H624" s="33" t="str">
        <f>IF(C624="----","#N/A",CONCATENATE("CV|",SUBSTITUTE(SUBSTITUTE(IF(B624="","NONE",B624),"_","-"),"|","-"),"_","CS|",(VLOOKUP(C624,Dictionary!$Y:$Z,2,FALSE)),"_","CT|",(VLOOKUP(D624,Dictionary!$AE:$AF,2,FALSE)),IF(E624="","",CONCATENATE("_U1|",SUBSTITUTE(SUBSTITUTE(E624,"_","-"),"|","-"))),IF(F624="","",CONCATENATE("_U2|",SUBSTITUTE(SUBSTITUTE(F624,"_","-"),"|","-"))),IF(G624="","",CONCATENATE("_U3|",SUBSTITUTE(SUBSTITUTE(G624,"_","-"),"|","-")))))</f>
        <v>#N/A</v>
      </c>
    </row>
    <row r="625" ht="15.75" customHeight="1">
      <c r="D625" s="23"/>
      <c r="H625" s="33" t="str">
        <f>IF(C625="----","#N/A",CONCATENATE("CV|",SUBSTITUTE(SUBSTITUTE(IF(B625="","NONE",B625),"_","-"),"|","-"),"_","CS|",(VLOOKUP(C625,Dictionary!$Y:$Z,2,FALSE)),"_","CT|",(VLOOKUP(D625,Dictionary!$AE:$AF,2,FALSE)),IF(E625="","",CONCATENATE("_U1|",SUBSTITUTE(SUBSTITUTE(E625,"_","-"),"|","-"))),IF(F625="","",CONCATENATE("_U2|",SUBSTITUTE(SUBSTITUTE(F625,"_","-"),"|","-"))),IF(G625="","",CONCATENATE("_U3|",SUBSTITUTE(SUBSTITUTE(G625,"_","-"),"|","-")))))</f>
        <v>#N/A</v>
      </c>
    </row>
    <row r="626" ht="15.75" customHeight="1">
      <c r="D626" s="23"/>
      <c r="H626" s="33" t="str">
        <f>IF(C626="----","#N/A",CONCATENATE("CV|",SUBSTITUTE(SUBSTITUTE(IF(B626="","NONE",B626),"_","-"),"|","-"),"_","CS|",(VLOOKUP(C626,Dictionary!$Y:$Z,2,FALSE)),"_","CT|",(VLOOKUP(D626,Dictionary!$AE:$AF,2,FALSE)),IF(E626="","",CONCATENATE("_U1|",SUBSTITUTE(SUBSTITUTE(E626,"_","-"),"|","-"))),IF(F626="","",CONCATENATE("_U2|",SUBSTITUTE(SUBSTITUTE(F626,"_","-"),"|","-"))),IF(G626="","",CONCATENATE("_U3|",SUBSTITUTE(SUBSTITUTE(G626,"_","-"),"|","-")))))</f>
        <v>#N/A</v>
      </c>
    </row>
    <row r="627" ht="15.75" customHeight="1">
      <c r="D627" s="23"/>
      <c r="H627" s="33" t="str">
        <f>IF(C627="----","#N/A",CONCATENATE("CV|",SUBSTITUTE(SUBSTITUTE(IF(B627="","NONE",B627),"_","-"),"|","-"),"_","CS|",(VLOOKUP(C627,Dictionary!$Y:$Z,2,FALSE)),"_","CT|",(VLOOKUP(D627,Dictionary!$AE:$AF,2,FALSE)),IF(E627="","",CONCATENATE("_U1|",SUBSTITUTE(SUBSTITUTE(E627,"_","-"),"|","-"))),IF(F627="","",CONCATENATE("_U2|",SUBSTITUTE(SUBSTITUTE(F627,"_","-"),"|","-"))),IF(G627="","",CONCATENATE("_U3|",SUBSTITUTE(SUBSTITUTE(G627,"_","-"),"|","-")))))</f>
        <v>#N/A</v>
      </c>
    </row>
    <row r="628" ht="15.75" customHeight="1">
      <c r="D628" s="23"/>
      <c r="H628" s="33" t="str">
        <f>IF(C628="----","#N/A",CONCATENATE("CV|",SUBSTITUTE(SUBSTITUTE(IF(B628="","NONE",B628),"_","-"),"|","-"),"_","CS|",(VLOOKUP(C628,Dictionary!$Y:$Z,2,FALSE)),"_","CT|",(VLOOKUP(D628,Dictionary!$AE:$AF,2,FALSE)),IF(E628="","",CONCATENATE("_U1|",SUBSTITUTE(SUBSTITUTE(E628,"_","-"),"|","-"))),IF(F628="","",CONCATENATE("_U2|",SUBSTITUTE(SUBSTITUTE(F628,"_","-"),"|","-"))),IF(G628="","",CONCATENATE("_U3|",SUBSTITUTE(SUBSTITUTE(G628,"_","-"),"|","-")))))</f>
        <v>#N/A</v>
      </c>
    </row>
    <row r="629" ht="15.75" customHeight="1">
      <c r="D629" s="23"/>
      <c r="H629" s="33" t="str">
        <f>IF(C629="----","#N/A",CONCATENATE("CV|",SUBSTITUTE(SUBSTITUTE(IF(B629="","NONE",B629),"_","-"),"|","-"),"_","CS|",(VLOOKUP(C629,Dictionary!$Y:$Z,2,FALSE)),"_","CT|",(VLOOKUP(D629,Dictionary!$AE:$AF,2,FALSE)),IF(E629="","",CONCATENATE("_U1|",SUBSTITUTE(SUBSTITUTE(E629,"_","-"),"|","-"))),IF(F629="","",CONCATENATE("_U2|",SUBSTITUTE(SUBSTITUTE(F629,"_","-"),"|","-"))),IF(G629="","",CONCATENATE("_U3|",SUBSTITUTE(SUBSTITUTE(G629,"_","-"),"|","-")))))</f>
        <v>#N/A</v>
      </c>
    </row>
    <row r="630" ht="15.75" customHeight="1">
      <c r="D630" s="23"/>
      <c r="H630" s="33" t="str">
        <f>IF(C630="----","#N/A",CONCATENATE("CV|",SUBSTITUTE(SUBSTITUTE(IF(B630="","NONE",B630),"_","-"),"|","-"),"_","CS|",(VLOOKUP(C630,Dictionary!$Y:$Z,2,FALSE)),"_","CT|",(VLOOKUP(D630,Dictionary!$AE:$AF,2,FALSE)),IF(E630="","",CONCATENATE("_U1|",SUBSTITUTE(SUBSTITUTE(E630,"_","-"),"|","-"))),IF(F630="","",CONCATENATE("_U2|",SUBSTITUTE(SUBSTITUTE(F630,"_","-"),"|","-"))),IF(G630="","",CONCATENATE("_U3|",SUBSTITUTE(SUBSTITUTE(G630,"_","-"),"|","-")))))</f>
        <v>#N/A</v>
      </c>
    </row>
    <row r="631" ht="15.75" customHeight="1">
      <c r="D631" s="23"/>
      <c r="H631" s="33" t="str">
        <f>IF(C631="----","#N/A",CONCATENATE("CV|",SUBSTITUTE(SUBSTITUTE(IF(B631="","NONE",B631),"_","-"),"|","-"),"_","CS|",(VLOOKUP(C631,Dictionary!$Y:$Z,2,FALSE)),"_","CT|",(VLOOKUP(D631,Dictionary!$AE:$AF,2,FALSE)),IF(E631="","",CONCATENATE("_U1|",SUBSTITUTE(SUBSTITUTE(E631,"_","-"),"|","-"))),IF(F631="","",CONCATENATE("_U2|",SUBSTITUTE(SUBSTITUTE(F631,"_","-"),"|","-"))),IF(G631="","",CONCATENATE("_U3|",SUBSTITUTE(SUBSTITUTE(G631,"_","-"),"|","-")))))</f>
        <v>#N/A</v>
      </c>
    </row>
    <row r="632" ht="15.75" customHeight="1">
      <c r="D632" s="23"/>
      <c r="H632" s="33" t="str">
        <f>IF(C632="----","#N/A",CONCATENATE("CV|",SUBSTITUTE(SUBSTITUTE(IF(B632="","NONE",B632),"_","-"),"|","-"),"_","CS|",(VLOOKUP(C632,Dictionary!$Y:$Z,2,FALSE)),"_","CT|",(VLOOKUP(D632,Dictionary!$AE:$AF,2,FALSE)),IF(E632="","",CONCATENATE("_U1|",SUBSTITUTE(SUBSTITUTE(E632,"_","-"),"|","-"))),IF(F632="","",CONCATENATE("_U2|",SUBSTITUTE(SUBSTITUTE(F632,"_","-"),"|","-"))),IF(G632="","",CONCATENATE("_U3|",SUBSTITUTE(SUBSTITUTE(G632,"_","-"),"|","-")))))</f>
        <v>#N/A</v>
      </c>
    </row>
    <row r="633" ht="15.75" customHeight="1">
      <c r="D633" s="23"/>
      <c r="H633" s="33" t="str">
        <f>IF(C633="----","#N/A",CONCATENATE("CV|",SUBSTITUTE(SUBSTITUTE(IF(B633="","NONE",B633),"_","-"),"|","-"),"_","CS|",(VLOOKUP(C633,Dictionary!$Y:$Z,2,FALSE)),"_","CT|",(VLOOKUP(D633,Dictionary!$AE:$AF,2,FALSE)),IF(E633="","",CONCATENATE("_U1|",SUBSTITUTE(SUBSTITUTE(E633,"_","-"),"|","-"))),IF(F633="","",CONCATENATE("_U2|",SUBSTITUTE(SUBSTITUTE(F633,"_","-"),"|","-"))),IF(G633="","",CONCATENATE("_U3|",SUBSTITUTE(SUBSTITUTE(G633,"_","-"),"|","-")))))</f>
        <v>#N/A</v>
      </c>
    </row>
    <row r="634" ht="15.75" customHeight="1">
      <c r="D634" s="23"/>
      <c r="H634" s="33" t="str">
        <f>IF(C634="----","#N/A",CONCATENATE("CV|",SUBSTITUTE(SUBSTITUTE(IF(B634="","NONE",B634),"_","-"),"|","-"),"_","CS|",(VLOOKUP(C634,Dictionary!$Y:$Z,2,FALSE)),"_","CT|",(VLOOKUP(D634,Dictionary!$AE:$AF,2,FALSE)),IF(E634="","",CONCATENATE("_U1|",SUBSTITUTE(SUBSTITUTE(E634,"_","-"),"|","-"))),IF(F634="","",CONCATENATE("_U2|",SUBSTITUTE(SUBSTITUTE(F634,"_","-"),"|","-"))),IF(G634="","",CONCATENATE("_U3|",SUBSTITUTE(SUBSTITUTE(G634,"_","-"),"|","-")))))</f>
        <v>#N/A</v>
      </c>
    </row>
    <row r="635" ht="15.75" customHeight="1">
      <c r="D635" s="23"/>
      <c r="H635" s="33" t="str">
        <f>IF(C635="----","#N/A",CONCATENATE("CV|",SUBSTITUTE(SUBSTITUTE(IF(B635="","NONE",B635),"_","-"),"|","-"),"_","CS|",(VLOOKUP(C635,Dictionary!$Y:$Z,2,FALSE)),"_","CT|",(VLOOKUP(D635,Dictionary!$AE:$AF,2,FALSE)),IF(E635="","",CONCATENATE("_U1|",SUBSTITUTE(SUBSTITUTE(E635,"_","-"),"|","-"))),IF(F635="","",CONCATENATE("_U2|",SUBSTITUTE(SUBSTITUTE(F635,"_","-"),"|","-"))),IF(G635="","",CONCATENATE("_U3|",SUBSTITUTE(SUBSTITUTE(G635,"_","-"),"|","-")))))</f>
        <v>#N/A</v>
      </c>
    </row>
    <row r="636" ht="15.75" customHeight="1">
      <c r="D636" s="23"/>
      <c r="H636" s="33" t="str">
        <f>IF(C636="----","#N/A",CONCATENATE("CV|",SUBSTITUTE(SUBSTITUTE(IF(B636="","NONE",B636),"_","-"),"|","-"),"_","CS|",(VLOOKUP(C636,Dictionary!$Y:$Z,2,FALSE)),"_","CT|",(VLOOKUP(D636,Dictionary!$AE:$AF,2,FALSE)),IF(E636="","",CONCATENATE("_U1|",SUBSTITUTE(SUBSTITUTE(E636,"_","-"),"|","-"))),IF(F636="","",CONCATENATE("_U2|",SUBSTITUTE(SUBSTITUTE(F636,"_","-"),"|","-"))),IF(G636="","",CONCATENATE("_U3|",SUBSTITUTE(SUBSTITUTE(G636,"_","-"),"|","-")))))</f>
        <v>#N/A</v>
      </c>
    </row>
    <row r="637" ht="15.75" customHeight="1">
      <c r="D637" s="23"/>
      <c r="H637" s="33" t="str">
        <f>IF(C637="----","#N/A",CONCATENATE("CV|",SUBSTITUTE(SUBSTITUTE(IF(B637="","NONE",B637),"_","-"),"|","-"),"_","CS|",(VLOOKUP(C637,Dictionary!$Y:$Z,2,FALSE)),"_","CT|",(VLOOKUP(D637,Dictionary!$AE:$AF,2,FALSE)),IF(E637="","",CONCATENATE("_U1|",SUBSTITUTE(SUBSTITUTE(E637,"_","-"),"|","-"))),IF(F637="","",CONCATENATE("_U2|",SUBSTITUTE(SUBSTITUTE(F637,"_","-"),"|","-"))),IF(G637="","",CONCATENATE("_U3|",SUBSTITUTE(SUBSTITUTE(G637,"_","-"),"|","-")))))</f>
        <v>#N/A</v>
      </c>
    </row>
    <row r="638" ht="15.75" customHeight="1">
      <c r="D638" s="23"/>
      <c r="H638" s="33" t="str">
        <f>IF(C638="----","#N/A",CONCATENATE("CV|",SUBSTITUTE(SUBSTITUTE(IF(B638="","NONE",B638),"_","-"),"|","-"),"_","CS|",(VLOOKUP(C638,Dictionary!$Y:$Z,2,FALSE)),"_","CT|",(VLOOKUP(D638,Dictionary!$AE:$AF,2,FALSE)),IF(E638="","",CONCATENATE("_U1|",SUBSTITUTE(SUBSTITUTE(E638,"_","-"),"|","-"))),IF(F638="","",CONCATENATE("_U2|",SUBSTITUTE(SUBSTITUTE(F638,"_","-"),"|","-"))),IF(G638="","",CONCATENATE("_U3|",SUBSTITUTE(SUBSTITUTE(G638,"_","-"),"|","-")))))</f>
        <v>#N/A</v>
      </c>
    </row>
    <row r="639" ht="15.75" customHeight="1">
      <c r="D639" s="23"/>
      <c r="H639" s="33" t="str">
        <f>IF(C639="----","#N/A",CONCATENATE("CV|",SUBSTITUTE(SUBSTITUTE(IF(B639="","NONE",B639),"_","-"),"|","-"),"_","CS|",(VLOOKUP(C639,Dictionary!$Y:$Z,2,FALSE)),"_","CT|",(VLOOKUP(D639,Dictionary!$AE:$AF,2,FALSE)),IF(E639="","",CONCATENATE("_U1|",SUBSTITUTE(SUBSTITUTE(E639,"_","-"),"|","-"))),IF(F639="","",CONCATENATE("_U2|",SUBSTITUTE(SUBSTITUTE(F639,"_","-"),"|","-"))),IF(G639="","",CONCATENATE("_U3|",SUBSTITUTE(SUBSTITUTE(G639,"_","-"),"|","-")))))</f>
        <v>#N/A</v>
      </c>
    </row>
    <row r="640" ht="15.75" customHeight="1">
      <c r="D640" s="23"/>
      <c r="H640" s="33" t="str">
        <f>IF(C640="----","#N/A",CONCATENATE("CV|",SUBSTITUTE(SUBSTITUTE(IF(B640="","NONE",B640),"_","-"),"|","-"),"_","CS|",(VLOOKUP(C640,Dictionary!$Y:$Z,2,FALSE)),"_","CT|",(VLOOKUP(D640,Dictionary!$AE:$AF,2,FALSE)),IF(E640="","",CONCATENATE("_U1|",SUBSTITUTE(SUBSTITUTE(E640,"_","-"),"|","-"))),IF(F640="","",CONCATENATE("_U2|",SUBSTITUTE(SUBSTITUTE(F640,"_","-"),"|","-"))),IF(G640="","",CONCATENATE("_U3|",SUBSTITUTE(SUBSTITUTE(G640,"_","-"),"|","-")))))</f>
        <v>#N/A</v>
      </c>
    </row>
    <row r="641" ht="15.75" customHeight="1">
      <c r="D641" s="23"/>
      <c r="H641" s="33" t="str">
        <f>IF(C641="----","#N/A",CONCATENATE("CV|",SUBSTITUTE(SUBSTITUTE(IF(B641="","NONE",B641),"_","-"),"|","-"),"_","CS|",(VLOOKUP(C641,Dictionary!$Y:$Z,2,FALSE)),"_","CT|",(VLOOKUP(D641,Dictionary!$AE:$AF,2,FALSE)),IF(E641="","",CONCATENATE("_U1|",SUBSTITUTE(SUBSTITUTE(E641,"_","-"),"|","-"))),IF(F641="","",CONCATENATE("_U2|",SUBSTITUTE(SUBSTITUTE(F641,"_","-"),"|","-"))),IF(G641="","",CONCATENATE("_U3|",SUBSTITUTE(SUBSTITUTE(G641,"_","-"),"|","-")))))</f>
        <v>#N/A</v>
      </c>
    </row>
    <row r="642" ht="15.75" customHeight="1">
      <c r="D642" s="23"/>
      <c r="H642" s="33" t="str">
        <f>IF(C642="----","#N/A",CONCATENATE("CV|",SUBSTITUTE(SUBSTITUTE(IF(B642="","NONE",B642),"_","-"),"|","-"),"_","CS|",(VLOOKUP(C642,Dictionary!$Y:$Z,2,FALSE)),"_","CT|",(VLOOKUP(D642,Dictionary!$AE:$AF,2,FALSE)),IF(E642="","",CONCATENATE("_U1|",SUBSTITUTE(SUBSTITUTE(E642,"_","-"),"|","-"))),IF(F642="","",CONCATENATE("_U2|",SUBSTITUTE(SUBSTITUTE(F642,"_","-"),"|","-"))),IF(G642="","",CONCATENATE("_U3|",SUBSTITUTE(SUBSTITUTE(G642,"_","-"),"|","-")))))</f>
        <v>#N/A</v>
      </c>
    </row>
    <row r="643" ht="15.75" customHeight="1">
      <c r="D643" s="23"/>
      <c r="H643" s="33" t="str">
        <f>IF(C643="----","#N/A",CONCATENATE("CV|",SUBSTITUTE(SUBSTITUTE(IF(B643="","NONE",B643),"_","-"),"|","-"),"_","CS|",(VLOOKUP(C643,Dictionary!$Y:$Z,2,FALSE)),"_","CT|",(VLOOKUP(D643,Dictionary!$AE:$AF,2,FALSE)),IF(E643="","",CONCATENATE("_U1|",SUBSTITUTE(SUBSTITUTE(E643,"_","-"),"|","-"))),IF(F643="","",CONCATENATE("_U2|",SUBSTITUTE(SUBSTITUTE(F643,"_","-"),"|","-"))),IF(G643="","",CONCATENATE("_U3|",SUBSTITUTE(SUBSTITUTE(G643,"_","-"),"|","-")))))</f>
        <v>#N/A</v>
      </c>
    </row>
    <row r="644" ht="15.75" customHeight="1">
      <c r="D644" s="23"/>
      <c r="H644" s="33" t="str">
        <f>IF(C644="----","#N/A",CONCATENATE("CV|",SUBSTITUTE(SUBSTITUTE(IF(B644="","NONE",B644),"_","-"),"|","-"),"_","CS|",(VLOOKUP(C644,Dictionary!$Y:$Z,2,FALSE)),"_","CT|",(VLOOKUP(D644,Dictionary!$AE:$AF,2,FALSE)),IF(E644="","",CONCATENATE("_U1|",SUBSTITUTE(SUBSTITUTE(E644,"_","-"),"|","-"))),IF(F644="","",CONCATENATE("_U2|",SUBSTITUTE(SUBSTITUTE(F644,"_","-"),"|","-"))),IF(G644="","",CONCATENATE("_U3|",SUBSTITUTE(SUBSTITUTE(G644,"_","-"),"|","-")))))</f>
        <v>#N/A</v>
      </c>
    </row>
    <row r="645" ht="15.75" customHeight="1">
      <c r="D645" s="23"/>
      <c r="H645" s="33" t="str">
        <f>IF(C645="----","#N/A",CONCATENATE("CV|",SUBSTITUTE(SUBSTITUTE(IF(B645="","NONE",B645),"_","-"),"|","-"),"_","CS|",(VLOOKUP(C645,Dictionary!$Y:$Z,2,FALSE)),"_","CT|",(VLOOKUP(D645,Dictionary!$AE:$AF,2,FALSE)),IF(E645="","",CONCATENATE("_U1|",SUBSTITUTE(SUBSTITUTE(E645,"_","-"),"|","-"))),IF(F645="","",CONCATENATE("_U2|",SUBSTITUTE(SUBSTITUTE(F645,"_","-"),"|","-"))),IF(G645="","",CONCATENATE("_U3|",SUBSTITUTE(SUBSTITUTE(G645,"_","-"),"|","-")))))</f>
        <v>#N/A</v>
      </c>
    </row>
    <row r="646" ht="15.75" customHeight="1">
      <c r="D646" s="23"/>
      <c r="H646" s="33" t="str">
        <f>IF(C646="----","#N/A",CONCATENATE("CV|",SUBSTITUTE(SUBSTITUTE(IF(B646="","NONE",B646),"_","-"),"|","-"),"_","CS|",(VLOOKUP(C646,Dictionary!$Y:$Z,2,FALSE)),"_","CT|",(VLOOKUP(D646,Dictionary!$AE:$AF,2,FALSE)),IF(E646="","",CONCATENATE("_U1|",SUBSTITUTE(SUBSTITUTE(E646,"_","-"),"|","-"))),IF(F646="","",CONCATENATE("_U2|",SUBSTITUTE(SUBSTITUTE(F646,"_","-"),"|","-"))),IF(G646="","",CONCATENATE("_U3|",SUBSTITUTE(SUBSTITUTE(G646,"_","-"),"|","-")))))</f>
        <v>#N/A</v>
      </c>
    </row>
    <row r="647" ht="15.75" customHeight="1">
      <c r="D647" s="23"/>
      <c r="H647" s="33" t="str">
        <f>IF(C647="----","#N/A",CONCATENATE("CV|",SUBSTITUTE(SUBSTITUTE(IF(B647="","NONE",B647),"_","-"),"|","-"),"_","CS|",(VLOOKUP(C647,Dictionary!$Y:$Z,2,FALSE)),"_","CT|",(VLOOKUP(D647,Dictionary!$AE:$AF,2,FALSE)),IF(E647="","",CONCATENATE("_U1|",SUBSTITUTE(SUBSTITUTE(E647,"_","-"),"|","-"))),IF(F647="","",CONCATENATE("_U2|",SUBSTITUTE(SUBSTITUTE(F647,"_","-"),"|","-"))),IF(G647="","",CONCATENATE("_U3|",SUBSTITUTE(SUBSTITUTE(G647,"_","-"),"|","-")))))</f>
        <v>#N/A</v>
      </c>
    </row>
    <row r="648" ht="15.75" customHeight="1">
      <c r="D648" s="23"/>
      <c r="H648" s="33" t="str">
        <f>IF(C648="----","#N/A",CONCATENATE("CV|",SUBSTITUTE(SUBSTITUTE(IF(B648="","NONE",B648),"_","-"),"|","-"),"_","CS|",(VLOOKUP(C648,Dictionary!$Y:$Z,2,FALSE)),"_","CT|",(VLOOKUP(D648,Dictionary!$AE:$AF,2,FALSE)),IF(E648="","",CONCATENATE("_U1|",SUBSTITUTE(SUBSTITUTE(E648,"_","-"),"|","-"))),IF(F648="","",CONCATENATE("_U2|",SUBSTITUTE(SUBSTITUTE(F648,"_","-"),"|","-"))),IF(G648="","",CONCATENATE("_U3|",SUBSTITUTE(SUBSTITUTE(G648,"_","-"),"|","-")))))</f>
        <v>#N/A</v>
      </c>
    </row>
    <row r="649" ht="15.75" customHeight="1">
      <c r="D649" s="23"/>
      <c r="H649" s="33" t="str">
        <f>IF(C649="----","#N/A",CONCATENATE("CV|",SUBSTITUTE(SUBSTITUTE(IF(B649="","NONE",B649),"_","-"),"|","-"),"_","CS|",(VLOOKUP(C649,Dictionary!$Y:$Z,2,FALSE)),"_","CT|",(VLOOKUP(D649,Dictionary!$AE:$AF,2,FALSE)),IF(E649="","",CONCATENATE("_U1|",SUBSTITUTE(SUBSTITUTE(E649,"_","-"),"|","-"))),IF(F649="","",CONCATENATE("_U2|",SUBSTITUTE(SUBSTITUTE(F649,"_","-"),"|","-"))),IF(G649="","",CONCATENATE("_U3|",SUBSTITUTE(SUBSTITUTE(G649,"_","-"),"|","-")))))</f>
        <v>#N/A</v>
      </c>
    </row>
    <row r="650" ht="15.75" customHeight="1">
      <c r="D650" s="23"/>
      <c r="H650" s="33" t="str">
        <f>IF(C650="----","#N/A",CONCATENATE("CV|",SUBSTITUTE(SUBSTITUTE(IF(B650="","NONE",B650),"_","-"),"|","-"),"_","CS|",(VLOOKUP(C650,Dictionary!$Y:$Z,2,FALSE)),"_","CT|",(VLOOKUP(D650,Dictionary!$AE:$AF,2,FALSE)),IF(E650="","",CONCATENATE("_U1|",SUBSTITUTE(SUBSTITUTE(E650,"_","-"),"|","-"))),IF(F650="","",CONCATENATE("_U2|",SUBSTITUTE(SUBSTITUTE(F650,"_","-"),"|","-"))),IF(G650="","",CONCATENATE("_U3|",SUBSTITUTE(SUBSTITUTE(G650,"_","-"),"|","-")))))</f>
        <v>#N/A</v>
      </c>
    </row>
    <row r="651" ht="15.75" customHeight="1">
      <c r="D651" s="23"/>
      <c r="H651" s="33" t="str">
        <f>IF(C651="----","#N/A",CONCATENATE("CV|",SUBSTITUTE(SUBSTITUTE(IF(B651="","NONE",B651),"_","-"),"|","-"),"_","CS|",(VLOOKUP(C651,Dictionary!$Y:$Z,2,FALSE)),"_","CT|",(VLOOKUP(D651,Dictionary!$AE:$AF,2,FALSE)),IF(E651="","",CONCATENATE("_U1|",SUBSTITUTE(SUBSTITUTE(E651,"_","-"),"|","-"))),IF(F651="","",CONCATENATE("_U2|",SUBSTITUTE(SUBSTITUTE(F651,"_","-"),"|","-"))),IF(G651="","",CONCATENATE("_U3|",SUBSTITUTE(SUBSTITUTE(G651,"_","-"),"|","-")))))</f>
        <v>#N/A</v>
      </c>
    </row>
    <row r="652" ht="15.75" customHeight="1">
      <c r="D652" s="23"/>
      <c r="H652" s="33" t="str">
        <f>IF(C652="----","#N/A",CONCATENATE("CV|",SUBSTITUTE(SUBSTITUTE(IF(B652="","NONE",B652),"_","-"),"|","-"),"_","CS|",(VLOOKUP(C652,Dictionary!$Y:$Z,2,FALSE)),"_","CT|",(VLOOKUP(D652,Dictionary!$AE:$AF,2,FALSE)),IF(E652="","",CONCATENATE("_U1|",SUBSTITUTE(SUBSTITUTE(E652,"_","-"),"|","-"))),IF(F652="","",CONCATENATE("_U2|",SUBSTITUTE(SUBSTITUTE(F652,"_","-"),"|","-"))),IF(G652="","",CONCATENATE("_U3|",SUBSTITUTE(SUBSTITUTE(G652,"_","-"),"|","-")))))</f>
        <v>#N/A</v>
      </c>
    </row>
    <row r="653" ht="15.75" customHeight="1">
      <c r="D653" s="23"/>
      <c r="H653" s="33" t="str">
        <f>IF(C653="----","#N/A",CONCATENATE("CV|",SUBSTITUTE(SUBSTITUTE(IF(B653="","NONE",B653),"_","-"),"|","-"),"_","CS|",(VLOOKUP(C653,Dictionary!$Y:$Z,2,FALSE)),"_","CT|",(VLOOKUP(D653,Dictionary!$AE:$AF,2,FALSE)),IF(E653="","",CONCATENATE("_U1|",SUBSTITUTE(SUBSTITUTE(E653,"_","-"),"|","-"))),IF(F653="","",CONCATENATE("_U2|",SUBSTITUTE(SUBSTITUTE(F653,"_","-"),"|","-"))),IF(G653="","",CONCATENATE("_U3|",SUBSTITUTE(SUBSTITUTE(G653,"_","-"),"|","-")))))</f>
        <v>#N/A</v>
      </c>
    </row>
    <row r="654" ht="15.75" customHeight="1">
      <c r="D654" s="23"/>
      <c r="H654" s="33" t="str">
        <f>IF(C654="----","#N/A",CONCATENATE("CV|",SUBSTITUTE(SUBSTITUTE(IF(B654="","NONE",B654),"_","-"),"|","-"),"_","CS|",(VLOOKUP(C654,Dictionary!$Y:$Z,2,FALSE)),"_","CT|",(VLOOKUP(D654,Dictionary!$AE:$AF,2,FALSE)),IF(E654="","",CONCATENATE("_U1|",SUBSTITUTE(SUBSTITUTE(E654,"_","-"),"|","-"))),IF(F654="","",CONCATENATE("_U2|",SUBSTITUTE(SUBSTITUTE(F654,"_","-"),"|","-"))),IF(G654="","",CONCATENATE("_U3|",SUBSTITUTE(SUBSTITUTE(G654,"_","-"),"|","-")))))</f>
        <v>#N/A</v>
      </c>
    </row>
    <row r="655" ht="15.75" customHeight="1">
      <c r="D655" s="23"/>
      <c r="H655" s="33" t="str">
        <f>IF(C655="----","#N/A",CONCATENATE("CV|",SUBSTITUTE(SUBSTITUTE(IF(B655="","NONE",B655),"_","-"),"|","-"),"_","CS|",(VLOOKUP(C655,Dictionary!$Y:$Z,2,FALSE)),"_","CT|",(VLOOKUP(D655,Dictionary!$AE:$AF,2,FALSE)),IF(E655="","",CONCATENATE("_U1|",SUBSTITUTE(SUBSTITUTE(E655,"_","-"),"|","-"))),IF(F655="","",CONCATENATE("_U2|",SUBSTITUTE(SUBSTITUTE(F655,"_","-"),"|","-"))),IF(G655="","",CONCATENATE("_U3|",SUBSTITUTE(SUBSTITUTE(G655,"_","-"),"|","-")))))</f>
        <v>#N/A</v>
      </c>
    </row>
    <row r="656" ht="15.75" customHeight="1">
      <c r="D656" s="23"/>
      <c r="H656" s="33" t="str">
        <f>IF(C656="----","#N/A",CONCATENATE("CV|",SUBSTITUTE(SUBSTITUTE(IF(B656="","NONE",B656),"_","-"),"|","-"),"_","CS|",(VLOOKUP(C656,Dictionary!$Y:$Z,2,FALSE)),"_","CT|",(VLOOKUP(D656,Dictionary!$AE:$AF,2,FALSE)),IF(E656="","",CONCATENATE("_U1|",SUBSTITUTE(SUBSTITUTE(E656,"_","-"),"|","-"))),IF(F656="","",CONCATENATE("_U2|",SUBSTITUTE(SUBSTITUTE(F656,"_","-"),"|","-"))),IF(G656="","",CONCATENATE("_U3|",SUBSTITUTE(SUBSTITUTE(G656,"_","-"),"|","-")))))</f>
        <v>#N/A</v>
      </c>
    </row>
    <row r="657" ht="15.75" customHeight="1">
      <c r="D657" s="23"/>
      <c r="H657" s="33" t="str">
        <f>IF(C657="----","#N/A",CONCATENATE("CV|",SUBSTITUTE(SUBSTITUTE(IF(B657="","NONE",B657),"_","-"),"|","-"),"_","CS|",(VLOOKUP(C657,Dictionary!$Y:$Z,2,FALSE)),"_","CT|",(VLOOKUP(D657,Dictionary!$AE:$AF,2,FALSE)),IF(E657="","",CONCATENATE("_U1|",SUBSTITUTE(SUBSTITUTE(E657,"_","-"),"|","-"))),IF(F657="","",CONCATENATE("_U2|",SUBSTITUTE(SUBSTITUTE(F657,"_","-"),"|","-"))),IF(G657="","",CONCATENATE("_U3|",SUBSTITUTE(SUBSTITUTE(G657,"_","-"),"|","-")))))</f>
        <v>#N/A</v>
      </c>
    </row>
    <row r="658" ht="15.75" customHeight="1">
      <c r="D658" s="23"/>
      <c r="H658" s="33" t="str">
        <f>IF(C658="----","#N/A",CONCATENATE("CV|",SUBSTITUTE(SUBSTITUTE(IF(B658="","NONE",B658),"_","-"),"|","-"),"_","CS|",(VLOOKUP(C658,Dictionary!$Y:$Z,2,FALSE)),"_","CT|",(VLOOKUP(D658,Dictionary!$AE:$AF,2,FALSE)),IF(E658="","",CONCATENATE("_U1|",SUBSTITUTE(SUBSTITUTE(E658,"_","-"),"|","-"))),IF(F658="","",CONCATENATE("_U2|",SUBSTITUTE(SUBSTITUTE(F658,"_","-"),"|","-"))),IF(G658="","",CONCATENATE("_U3|",SUBSTITUTE(SUBSTITUTE(G658,"_","-"),"|","-")))))</f>
        <v>#N/A</v>
      </c>
    </row>
    <row r="659" ht="15.75" customHeight="1">
      <c r="D659" s="23"/>
      <c r="H659" s="33" t="str">
        <f>IF(C659="----","#N/A",CONCATENATE("CV|",SUBSTITUTE(SUBSTITUTE(IF(B659="","NONE",B659),"_","-"),"|","-"),"_","CS|",(VLOOKUP(C659,Dictionary!$Y:$Z,2,FALSE)),"_","CT|",(VLOOKUP(D659,Dictionary!$AE:$AF,2,FALSE)),IF(E659="","",CONCATENATE("_U1|",SUBSTITUTE(SUBSTITUTE(E659,"_","-"),"|","-"))),IF(F659="","",CONCATENATE("_U2|",SUBSTITUTE(SUBSTITUTE(F659,"_","-"),"|","-"))),IF(G659="","",CONCATENATE("_U3|",SUBSTITUTE(SUBSTITUTE(G659,"_","-"),"|","-")))))</f>
        <v>#N/A</v>
      </c>
    </row>
    <row r="660" ht="15.75" customHeight="1">
      <c r="D660" s="23"/>
      <c r="H660" s="33" t="str">
        <f>IF(C660="----","#N/A",CONCATENATE("CV|",SUBSTITUTE(SUBSTITUTE(IF(B660="","NONE",B660),"_","-"),"|","-"),"_","CS|",(VLOOKUP(C660,Dictionary!$Y:$Z,2,FALSE)),"_","CT|",(VLOOKUP(D660,Dictionary!$AE:$AF,2,FALSE)),IF(E660="","",CONCATENATE("_U1|",SUBSTITUTE(SUBSTITUTE(E660,"_","-"),"|","-"))),IF(F660="","",CONCATENATE("_U2|",SUBSTITUTE(SUBSTITUTE(F660,"_","-"),"|","-"))),IF(G660="","",CONCATENATE("_U3|",SUBSTITUTE(SUBSTITUTE(G660,"_","-"),"|","-")))))</f>
        <v>#N/A</v>
      </c>
    </row>
    <row r="661" ht="15.75" customHeight="1">
      <c r="D661" s="23"/>
      <c r="H661" s="33" t="str">
        <f>IF(C661="----","#N/A",CONCATENATE("CV|",SUBSTITUTE(SUBSTITUTE(IF(B661="","NONE",B661),"_","-"),"|","-"),"_","CS|",(VLOOKUP(C661,Dictionary!$Y:$Z,2,FALSE)),"_","CT|",(VLOOKUP(D661,Dictionary!$AE:$AF,2,FALSE)),IF(E661="","",CONCATENATE("_U1|",SUBSTITUTE(SUBSTITUTE(E661,"_","-"),"|","-"))),IF(F661="","",CONCATENATE("_U2|",SUBSTITUTE(SUBSTITUTE(F661,"_","-"),"|","-"))),IF(G661="","",CONCATENATE("_U3|",SUBSTITUTE(SUBSTITUTE(G661,"_","-"),"|","-")))))</f>
        <v>#N/A</v>
      </c>
    </row>
    <row r="662" ht="15.75" customHeight="1">
      <c r="D662" s="23"/>
      <c r="H662" s="33" t="str">
        <f>IF(C662="----","#N/A",CONCATENATE("CV|",SUBSTITUTE(SUBSTITUTE(IF(B662="","NONE",B662),"_","-"),"|","-"),"_","CS|",(VLOOKUP(C662,Dictionary!$Y:$Z,2,FALSE)),"_","CT|",(VLOOKUP(D662,Dictionary!$AE:$AF,2,FALSE)),IF(E662="","",CONCATENATE("_U1|",SUBSTITUTE(SUBSTITUTE(E662,"_","-"),"|","-"))),IF(F662="","",CONCATENATE("_U2|",SUBSTITUTE(SUBSTITUTE(F662,"_","-"),"|","-"))),IF(G662="","",CONCATENATE("_U3|",SUBSTITUTE(SUBSTITUTE(G662,"_","-"),"|","-")))))</f>
        <v>#N/A</v>
      </c>
    </row>
    <row r="663" ht="15.75" customHeight="1">
      <c r="D663" s="23"/>
      <c r="H663" s="33" t="str">
        <f>IF(C663="----","#N/A",CONCATENATE("CV|",SUBSTITUTE(SUBSTITUTE(IF(B663="","NONE",B663),"_","-"),"|","-"),"_","CS|",(VLOOKUP(C663,Dictionary!$Y:$Z,2,FALSE)),"_","CT|",(VLOOKUP(D663,Dictionary!$AE:$AF,2,FALSE)),IF(E663="","",CONCATENATE("_U1|",SUBSTITUTE(SUBSTITUTE(E663,"_","-"),"|","-"))),IF(F663="","",CONCATENATE("_U2|",SUBSTITUTE(SUBSTITUTE(F663,"_","-"),"|","-"))),IF(G663="","",CONCATENATE("_U3|",SUBSTITUTE(SUBSTITUTE(G663,"_","-"),"|","-")))))</f>
        <v>#N/A</v>
      </c>
    </row>
    <row r="664" ht="15.75" customHeight="1">
      <c r="D664" s="23"/>
      <c r="H664" s="33" t="str">
        <f>IF(C664="----","#N/A",CONCATENATE("CV|",SUBSTITUTE(SUBSTITUTE(IF(B664="","NONE",B664),"_","-"),"|","-"),"_","CS|",(VLOOKUP(C664,Dictionary!$Y:$Z,2,FALSE)),"_","CT|",(VLOOKUP(D664,Dictionary!$AE:$AF,2,FALSE)),IF(E664="","",CONCATENATE("_U1|",SUBSTITUTE(SUBSTITUTE(E664,"_","-"),"|","-"))),IF(F664="","",CONCATENATE("_U2|",SUBSTITUTE(SUBSTITUTE(F664,"_","-"),"|","-"))),IF(G664="","",CONCATENATE("_U3|",SUBSTITUTE(SUBSTITUTE(G664,"_","-"),"|","-")))))</f>
        <v>#N/A</v>
      </c>
    </row>
    <row r="665" ht="15.75" customHeight="1">
      <c r="D665" s="23"/>
      <c r="H665" s="33" t="str">
        <f>IF(C665="----","#N/A",CONCATENATE("CV|",SUBSTITUTE(SUBSTITUTE(IF(B665="","NONE",B665),"_","-"),"|","-"),"_","CS|",(VLOOKUP(C665,Dictionary!$Y:$Z,2,FALSE)),"_","CT|",(VLOOKUP(D665,Dictionary!$AE:$AF,2,FALSE)),IF(E665="","",CONCATENATE("_U1|",SUBSTITUTE(SUBSTITUTE(E665,"_","-"),"|","-"))),IF(F665="","",CONCATENATE("_U2|",SUBSTITUTE(SUBSTITUTE(F665,"_","-"),"|","-"))),IF(G665="","",CONCATENATE("_U3|",SUBSTITUTE(SUBSTITUTE(G665,"_","-"),"|","-")))))</f>
        <v>#N/A</v>
      </c>
    </row>
    <row r="666" ht="15.75" customHeight="1">
      <c r="D666" s="23"/>
      <c r="H666" s="33" t="str">
        <f>IF(C666="----","#N/A",CONCATENATE("CV|",SUBSTITUTE(SUBSTITUTE(IF(B666="","NONE",B666),"_","-"),"|","-"),"_","CS|",(VLOOKUP(C666,Dictionary!$Y:$Z,2,FALSE)),"_","CT|",(VLOOKUP(D666,Dictionary!$AE:$AF,2,FALSE)),IF(E666="","",CONCATENATE("_U1|",SUBSTITUTE(SUBSTITUTE(E666,"_","-"),"|","-"))),IF(F666="","",CONCATENATE("_U2|",SUBSTITUTE(SUBSTITUTE(F666,"_","-"),"|","-"))),IF(G666="","",CONCATENATE("_U3|",SUBSTITUTE(SUBSTITUTE(G666,"_","-"),"|","-")))))</f>
        <v>#N/A</v>
      </c>
    </row>
    <row r="667" ht="15.75" customHeight="1">
      <c r="D667" s="23"/>
      <c r="H667" s="33" t="str">
        <f>IF(C667="----","#N/A",CONCATENATE("CV|",SUBSTITUTE(SUBSTITUTE(IF(B667="","NONE",B667),"_","-"),"|","-"),"_","CS|",(VLOOKUP(C667,Dictionary!$Y:$Z,2,FALSE)),"_","CT|",(VLOOKUP(D667,Dictionary!$AE:$AF,2,FALSE)),IF(E667="","",CONCATENATE("_U1|",SUBSTITUTE(SUBSTITUTE(E667,"_","-"),"|","-"))),IF(F667="","",CONCATENATE("_U2|",SUBSTITUTE(SUBSTITUTE(F667,"_","-"),"|","-"))),IF(G667="","",CONCATENATE("_U3|",SUBSTITUTE(SUBSTITUTE(G667,"_","-"),"|","-")))))</f>
        <v>#N/A</v>
      </c>
    </row>
    <row r="668" ht="15.75" customHeight="1">
      <c r="D668" s="23"/>
      <c r="H668" s="33" t="str">
        <f>IF(C668="----","#N/A",CONCATENATE("CV|",SUBSTITUTE(SUBSTITUTE(IF(B668="","NONE",B668),"_","-"),"|","-"),"_","CS|",(VLOOKUP(C668,Dictionary!$Y:$Z,2,FALSE)),"_","CT|",(VLOOKUP(D668,Dictionary!$AE:$AF,2,FALSE)),IF(E668="","",CONCATENATE("_U1|",SUBSTITUTE(SUBSTITUTE(E668,"_","-"),"|","-"))),IF(F668="","",CONCATENATE("_U2|",SUBSTITUTE(SUBSTITUTE(F668,"_","-"),"|","-"))),IF(G668="","",CONCATENATE("_U3|",SUBSTITUTE(SUBSTITUTE(G668,"_","-"),"|","-")))))</f>
        <v>#N/A</v>
      </c>
    </row>
    <row r="669" ht="15.75" customHeight="1">
      <c r="D669" s="23"/>
      <c r="H669" s="33" t="str">
        <f>IF(C669="----","#N/A",CONCATENATE("CV|",SUBSTITUTE(SUBSTITUTE(IF(B669="","NONE",B669),"_","-"),"|","-"),"_","CS|",(VLOOKUP(C669,Dictionary!$Y:$Z,2,FALSE)),"_","CT|",(VLOOKUP(D669,Dictionary!$AE:$AF,2,FALSE)),IF(E669="","",CONCATENATE("_U1|",SUBSTITUTE(SUBSTITUTE(E669,"_","-"),"|","-"))),IF(F669="","",CONCATENATE("_U2|",SUBSTITUTE(SUBSTITUTE(F669,"_","-"),"|","-"))),IF(G669="","",CONCATENATE("_U3|",SUBSTITUTE(SUBSTITUTE(G669,"_","-"),"|","-")))))</f>
        <v>#N/A</v>
      </c>
    </row>
    <row r="670" ht="15.75" customHeight="1">
      <c r="D670" s="23"/>
      <c r="H670" s="33" t="str">
        <f>IF(C670="----","#N/A",CONCATENATE("CV|",SUBSTITUTE(SUBSTITUTE(IF(B670="","NONE",B670),"_","-"),"|","-"),"_","CS|",(VLOOKUP(C670,Dictionary!$Y:$Z,2,FALSE)),"_","CT|",(VLOOKUP(D670,Dictionary!$AE:$AF,2,FALSE)),IF(E670="","",CONCATENATE("_U1|",SUBSTITUTE(SUBSTITUTE(E670,"_","-"),"|","-"))),IF(F670="","",CONCATENATE("_U2|",SUBSTITUTE(SUBSTITUTE(F670,"_","-"),"|","-"))),IF(G670="","",CONCATENATE("_U3|",SUBSTITUTE(SUBSTITUTE(G670,"_","-"),"|","-")))))</f>
        <v>#N/A</v>
      </c>
    </row>
    <row r="671" ht="15.75" customHeight="1">
      <c r="D671" s="23"/>
      <c r="H671" s="33" t="str">
        <f>IF(C671="----","#N/A",CONCATENATE("CV|",SUBSTITUTE(SUBSTITUTE(IF(B671="","NONE",B671),"_","-"),"|","-"),"_","CS|",(VLOOKUP(C671,Dictionary!$Y:$Z,2,FALSE)),"_","CT|",(VLOOKUP(D671,Dictionary!$AE:$AF,2,FALSE)),IF(E671="","",CONCATENATE("_U1|",SUBSTITUTE(SUBSTITUTE(E671,"_","-"),"|","-"))),IF(F671="","",CONCATENATE("_U2|",SUBSTITUTE(SUBSTITUTE(F671,"_","-"),"|","-"))),IF(G671="","",CONCATENATE("_U3|",SUBSTITUTE(SUBSTITUTE(G671,"_","-"),"|","-")))))</f>
        <v>#N/A</v>
      </c>
    </row>
    <row r="672" ht="15.75" customHeight="1">
      <c r="D672" s="23"/>
      <c r="H672" s="33" t="str">
        <f>IF(C672="----","#N/A",CONCATENATE("CV|",SUBSTITUTE(SUBSTITUTE(IF(B672="","NONE",B672),"_","-"),"|","-"),"_","CS|",(VLOOKUP(C672,Dictionary!$Y:$Z,2,FALSE)),"_","CT|",(VLOOKUP(D672,Dictionary!$AE:$AF,2,FALSE)),IF(E672="","",CONCATENATE("_U1|",SUBSTITUTE(SUBSTITUTE(E672,"_","-"),"|","-"))),IF(F672="","",CONCATENATE("_U2|",SUBSTITUTE(SUBSTITUTE(F672,"_","-"),"|","-"))),IF(G672="","",CONCATENATE("_U3|",SUBSTITUTE(SUBSTITUTE(G672,"_","-"),"|","-")))))</f>
        <v>#N/A</v>
      </c>
    </row>
    <row r="673" ht="15.75" customHeight="1">
      <c r="D673" s="23"/>
      <c r="H673" s="33" t="str">
        <f>IF(C673="----","#N/A",CONCATENATE("CV|",SUBSTITUTE(SUBSTITUTE(IF(B673="","NONE",B673),"_","-"),"|","-"),"_","CS|",(VLOOKUP(C673,Dictionary!$Y:$Z,2,FALSE)),"_","CT|",(VLOOKUP(D673,Dictionary!$AE:$AF,2,FALSE)),IF(E673="","",CONCATENATE("_U1|",SUBSTITUTE(SUBSTITUTE(E673,"_","-"),"|","-"))),IF(F673="","",CONCATENATE("_U2|",SUBSTITUTE(SUBSTITUTE(F673,"_","-"),"|","-"))),IF(G673="","",CONCATENATE("_U3|",SUBSTITUTE(SUBSTITUTE(G673,"_","-"),"|","-")))))</f>
        <v>#N/A</v>
      </c>
    </row>
    <row r="674" ht="15.75" customHeight="1">
      <c r="D674" s="23"/>
      <c r="H674" s="33" t="str">
        <f>IF(C674="----","#N/A",CONCATENATE("CV|",SUBSTITUTE(SUBSTITUTE(IF(B674="","NONE",B674),"_","-"),"|","-"),"_","CS|",(VLOOKUP(C674,Dictionary!$Y:$Z,2,FALSE)),"_","CT|",(VLOOKUP(D674,Dictionary!$AE:$AF,2,FALSE)),IF(E674="","",CONCATENATE("_U1|",SUBSTITUTE(SUBSTITUTE(E674,"_","-"),"|","-"))),IF(F674="","",CONCATENATE("_U2|",SUBSTITUTE(SUBSTITUTE(F674,"_","-"),"|","-"))),IF(G674="","",CONCATENATE("_U3|",SUBSTITUTE(SUBSTITUTE(G674,"_","-"),"|","-")))))</f>
        <v>#N/A</v>
      </c>
    </row>
    <row r="675" ht="15.75" customHeight="1">
      <c r="D675" s="23"/>
      <c r="H675" s="33" t="str">
        <f>IF(C675="----","#N/A",CONCATENATE("CV|",SUBSTITUTE(SUBSTITUTE(IF(B675="","NONE",B675),"_","-"),"|","-"),"_","CS|",(VLOOKUP(C675,Dictionary!$Y:$Z,2,FALSE)),"_","CT|",(VLOOKUP(D675,Dictionary!$AE:$AF,2,FALSE)),IF(E675="","",CONCATENATE("_U1|",SUBSTITUTE(SUBSTITUTE(E675,"_","-"),"|","-"))),IF(F675="","",CONCATENATE("_U2|",SUBSTITUTE(SUBSTITUTE(F675,"_","-"),"|","-"))),IF(G675="","",CONCATENATE("_U3|",SUBSTITUTE(SUBSTITUTE(G675,"_","-"),"|","-")))))</f>
        <v>#N/A</v>
      </c>
    </row>
    <row r="676" ht="15.75" customHeight="1">
      <c r="D676" s="23"/>
      <c r="H676" s="33" t="str">
        <f>IF(C676="----","#N/A",CONCATENATE("CV|",SUBSTITUTE(SUBSTITUTE(IF(B676="","NONE",B676),"_","-"),"|","-"),"_","CS|",(VLOOKUP(C676,Dictionary!$Y:$Z,2,FALSE)),"_","CT|",(VLOOKUP(D676,Dictionary!$AE:$AF,2,FALSE)),IF(E676="","",CONCATENATE("_U1|",SUBSTITUTE(SUBSTITUTE(E676,"_","-"),"|","-"))),IF(F676="","",CONCATENATE("_U2|",SUBSTITUTE(SUBSTITUTE(F676,"_","-"),"|","-"))),IF(G676="","",CONCATENATE("_U3|",SUBSTITUTE(SUBSTITUTE(G676,"_","-"),"|","-")))))</f>
        <v>#N/A</v>
      </c>
    </row>
    <row r="677" ht="15.75" customHeight="1">
      <c r="D677" s="23"/>
      <c r="H677" s="33" t="str">
        <f>IF(C677="----","#N/A",CONCATENATE("CV|",SUBSTITUTE(SUBSTITUTE(IF(B677="","NONE",B677),"_","-"),"|","-"),"_","CS|",(VLOOKUP(C677,Dictionary!$Y:$Z,2,FALSE)),"_","CT|",(VLOOKUP(D677,Dictionary!$AE:$AF,2,FALSE)),IF(E677="","",CONCATENATE("_U1|",SUBSTITUTE(SUBSTITUTE(E677,"_","-"),"|","-"))),IF(F677="","",CONCATENATE("_U2|",SUBSTITUTE(SUBSTITUTE(F677,"_","-"),"|","-"))),IF(G677="","",CONCATENATE("_U3|",SUBSTITUTE(SUBSTITUTE(G677,"_","-"),"|","-")))))</f>
        <v>#N/A</v>
      </c>
    </row>
    <row r="678" ht="15.75" customHeight="1">
      <c r="D678" s="23"/>
      <c r="H678" s="33" t="str">
        <f>IF(C678="----","#N/A",CONCATENATE("CV|",SUBSTITUTE(SUBSTITUTE(IF(B678="","NONE",B678),"_","-"),"|","-"),"_","CS|",(VLOOKUP(C678,Dictionary!$Y:$Z,2,FALSE)),"_","CT|",(VLOOKUP(D678,Dictionary!$AE:$AF,2,FALSE)),IF(E678="","",CONCATENATE("_U1|",SUBSTITUTE(SUBSTITUTE(E678,"_","-"),"|","-"))),IF(F678="","",CONCATENATE("_U2|",SUBSTITUTE(SUBSTITUTE(F678,"_","-"),"|","-"))),IF(G678="","",CONCATENATE("_U3|",SUBSTITUTE(SUBSTITUTE(G678,"_","-"),"|","-")))))</f>
        <v>#N/A</v>
      </c>
    </row>
    <row r="679" ht="15.75" customHeight="1">
      <c r="D679" s="23"/>
      <c r="H679" s="33" t="str">
        <f>IF(C679="----","#N/A",CONCATENATE("CV|",SUBSTITUTE(SUBSTITUTE(IF(B679="","NONE",B679),"_","-"),"|","-"),"_","CS|",(VLOOKUP(C679,Dictionary!$Y:$Z,2,FALSE)),"_","CT|",(VLOOKUP(D679,Dictionary!$AE:$AF,2,FALSE)),IF(E679="","",CONCATENATE("_U1|",SUBSTITUTE(SUBSTITUTE(E679,"_","-"),"|","-"))),IF(F679="","",CONCATENATE("_U2|",SUBSTITUTE(SUBSTITUTE(F679,"_","-"),"|","-"))),IF(G679="","",CONCATENATE("_U3|",SUBSTITUTE(SUBSTITUTE(G679,"_","-"),"|","-")))))</f>
        <v>#N/A</v>
      </c>
    </row>
    <row r="680" ht="15.75" customHeight="1">
      <c r="D680" s="23"/>
      <c r="H680" s="33" t="str">
        <f>IF(C680="----","#N/A",CONCATENATE("CV|",SUBSTITUTE(SUBSTITUTE(IF(B680="","NONE",B680),"_","-"),"|","-"),"_","CS|",(VLOOKUP(C680,Dictionary!$Y:$Z,2,FALSE)),"_","CT|",(VLOOKUP(D680,Dictionary!$AE:$AF,2,FALSE)),IF(E680="","",CONCATENATE("_U1|",SUBSTITUTE(SUBSTITUTE(E680,"_","-"),"|","-"))),IF(F680="","",CONCATENATE("_U2|",SUBSTITUTE(SUBSTITUTE(F680,"_","-"),"|","-"))),IF(G680="","",CONCATENATE("_U3|",SUBSTITUTE(SUBSTITUTE(G680,"_","-"),"|","-")))))</f>
        <v>#N/A</v>
      </c>
    </row>
    <row r="681" ht="15.75" customHeight="1">
      <c r="D681" s="23"/>
      <c r="H681" s="33" t="str">
        <f>IF(C681="----","#N/A",CONCATENATE("CV|",SUBSTITUTE(SUBSTITUTE(IF(B681="","NONE",B681),"_","-"),"|","-"),"_","CS|",(VLOOKUP(C681,Dictionary!$Y:$Z,2,FALSE)),"_","CT|",(VLOOKUP(D681,Dictionary!$AE:$AF,2,FALSE)),IF(E681="","",CONCATENATE("_U1|",SUBSTITUTE(SUBSTITUTE(E681,"_","-"),"|","-"))),IF(F681="","",CONCATENATE("_U2|",SUBSTITUTE(SUBSTITUTE(F681,"_","-"),"|","-"))),IF(G681="","",CONCATENATE("_U3|",SUBSTITUTE(SUBSTITUTE(G681,"_","-"),"|","-")))))</f>
        <v>#N/A</v>
      </c>
    </row>
    <row r="682" ht="15.75" customHeight="1">
      <c r="D682" s="23"/>
      <c r="H682" s="33" t="str">
        <f>IF(C682="----","#N/A",CONCATENATE("CV|",SUBSTITUTE(SUBSTITUTE(IF(B682="","NONE",B682),"_","-"),"|","-"),"_","CS|",(VLOOKUP(C682,Dictionary!$Y:$Z,2,FALSE)),"_","CT|",(VLOOKUP(D682,Dictionary!$AE:$AF,2,FALSE)),IF(E682="","",CONCATENATE("_U1|",SUBSTITUTE(SUBSTITUTE(E682,"_","-"),"|","-"))),IF(F682="","",CONCATENATE("_U2|",SUBSTITUTE(SUBSTITUTE(F682,"_","-"),"|","-"))),IF(G682="","",CONCATENATE("_U3|",SUBSTITUTE(SUBSTITUTE(G682,"_","-"),"|","-")))))</f>
        <v>#N/A</v>
      </c>
    </row>
    <row r="683" ht="15.75" customHeight="1">
      <c r="D683" s="23"/>
      <c r="H683" s="33" t="str">
        <f>IF(C683="----","#N/A",CONCATENATE("CV|",SUBSTITUTE(SUBSTITUTE(IF(B683="","NONE",B683),"_","-"),"|","-"),"_","CS|",(VLOOKUP(C683,Dictionary!$Y:$Z,2,FALSE)),"_","CT|",(VLOOKUP(D683,Dictionary!$AE:$AF,2,FALSE)),IF(E683="","",CONCATENATE("_U1|",SUBSTITUTE(SUBSTITUTE(E683,"_","-"),"|","-"))),IF(F683="","",CONCATENATE("_U2|",SUBSTITUTE(SUBSTITUTE(F683,"_","-"),"|","-"))),IF(G683="","",CONCATENATE("_U3|",SUBSTITUTE(SUBSTITUTE(G683,"_","-"),"|","-")))))</f>
        <v>#N/A</v>
      </c>
    </row>
    <row r="684" ht="15.75" customHeight="1">
      <c r="D684" s="23"/>
      <c r="H684" s="33" t="str">
        <f>IF(C684="----","#N/A",CONCATENATE("CV|",SUBSTITUTE(SUBSTITUTE(IF(B684="","NONE",B684),"_","-"),"|","-"),"_","CS|",(VLOOKUP(C684,Dictionary!$Y:$Z,2,FALSE)),"_","CT|",(VLOOKUP(D684,Dictionary!$AE:$AF,2,FALSE)),IF(E684="","",CONCATENATE("_U1|",SUBSTITUTE(SUBSTITUTE(E684,"_","-"),"|","-"))),IF(F684="","",CONCATENATE("_U2|",SUBSTITUTE(SUBSTITUTE(F684,"_","-"),"|","-"))),IF(G684="","",CONCATENATE("_U3|",SUBSTITUTE(SUBSTITUTE(G684,"_","-"),"|","-")))))</f>
        <v>#N/A</v>
      </c>
    </row>
    <row r="685" ht="15.75" customHeight="1">
      <c r="D685" s="23"/>
      <c r="H685" s="33" t="str">
        <f>IF(C685="----","#N/A",CONCATENATE("CV|",SUBSTITUTE(SUBSTITUTE(IF(B685="","NONE",B685),"_","-"),"|","-"),"_","CS|",(VLOOKUP(C685,Dictionary!$Y:$Z,2,FALSE)),"_","CT|",(VLOOKUP(D685,Dictionary!$AE:$AF,2,FALSE)),IF(E685="","",CONCATENATE("_U1|",SUBSTITUTE(SUBSTITUTE(E685,"_","-"),"|","-"))),IF(F685="","",CONCATENATE("_U2|",SUBSTITUTE(SUBSTITUTE(F685,"_","-"),"|","-"))),IF(G685="","",CONCATENATE("_U3|",SUBSTITUTE(SUBSTITUTE(G685,"_","-"),"|","-")))))</f>
        <v>#N/A</v>
      </c>
    </row>
    <row r="686" ht="15.75" customHeight="1">
      <c r="D686" s="23"/>
      <c r="H686" s="33" t="str">
        <f>IF(C686="----","#N/A",CONCATENATE("CV|",SUBSTITUTE(SUBSTITUTE(IF(B686="","NONE",B686),"_","-"),"|","-"),"_","CS|",(VLOOKUP(C686,Dictionary!$Y:$Z,2,FALSE)),"_","CT|",(VLOOKUP(D686,Dictionary!$AE:$AF,2,FALSE)),IF(E686="","",CONCATENATE("_U1|",SUBSTITUTE(SUBSTITUTE(E686,"_","-"),"|","-"))),IF(F686="","",CONCATENATE("_U2|",SUBSTITUTE(SUBSTITUTE(F686,"_","-"),"|","-"))),IF(G686="","",CONCATENATE("_U3|",SUBSTITUTE(SUBSTITUTE(G686,"_","-"),"|","-")))))</f>
        <v>#N/A</v>
      </c>
    </row>
    <row r="687" ht="15.75" customHeight="1">
      <c r="D687" s="23"/>
      <c r="H687" s="33" t="str">
        <f>IF(C687="----","#N/A",CONCATENATE("CV|",SUBSTITUTE(SUBSTITUTE(IF(B687="","NONE",B687),"_","-"),"|","-"),"_","CS|",(VLOOKUP(C687,Dictionary!$Y:$Z,2,FALSE)),"_","CT|",(VLOOKUP(D687,Dictionary!$AE:$AF,2,FALSE)),IF(E687="","",CONCATENATE("_U1|",SUBSTITUTE(SUBSTITUTE(E687,"_","-"),"|","-"))),IF(F687="","",CONCATENATE("_U2|",SUBSTITUTE(SUBSTITUTE(F687,"_","-"),"|","-"))),IF(G687="","",CONCATENATE("_U3|",SUBSTITUTE(SUBSTITUTE(G687,"_","-"),"|","-")))))</f>
        <v>#N/A</v>
      </c>
    </row>
    <row r="688" ht="15.75" customHeight="1">
      <c r="D688" s="23"/>
      <c r="H688" s="33" t="str">
        <f>IF(C688="----","#N/A",CONCATENATE("CV|",SUBSTITUTE(SUBSTITUTE(IF(B688="","NONE",B688),"_","-"),"|","-"),"_","CS|",(VLOOKUP(C688,Dictionary!$Y:$Z,2,FALSE)),"_","CT|",(VLOOKUP(D688,Dictionary!$AE:$AF,2,FALSE)),IF(E688="","",CONCATENATE("_U1|",SUBSTITUTE(SUBSTITUTE(E688,"_","-"),"|","-"))),IF(F688="","",CONCATENATE("_U2|",SUBSTITUTE(SUBSTITUTE(F688,"_","-"),"|","-"))),IF(G688="","",CONCATENATE("_U3|",SUBSTITUTE(SUBSTITUTE(G688,"_","-"),"|","-")))))</f>
        <v>#N/A</v>
      </c>
    </row>
    <row r="689" ht="15.75" customHeight="1">
      <c r="D689" s="23"/>
      <c r="H689" s="33" t="str">
        <f>IF(C689="----","#N/A",CONCATENATE("CV|",SUBSTITUTE(SUBSTITUTE(IF(B689="","NONE",B689),"_","-"),"|","-"),"_","CS|",(VLOOKUP(C689,Dictionary!$Y:$Z,2,FALSE)),"_","CT|",(VLOOKUP(D689,Dictionary!$AE:$AF,2,FALSE)),IF(E689="","",CONCATENATE("_U1|",SUBSTITUTE(SUBSTITUTE(E689,"_","-"),"|","-"))),IF(F689="","",CONCATENATE("_U2|",SUBSTITUTE(SUBSTITUTE(F689,"_","-"),"|","-"))),IF(G689="","",CONCATENATE("_U3|",SUBSTITUTE(SUBSTITUTE(G689,"_","-"),"|","-")))))</f>
        <v>#N/A</v>
      </c>
    </row>
    <row r="690" ht="15.75" customHeight="1">
      <c r="D690" s="23"/>
      <c r="H690" s="33" t="str">
        <f>IF(C690="----","#N/A",CONCATENATE("CV|",SUBSTITUTE(SUBSTITUTE(IF(B690="","NONE",B690),"_","-"),"|","-"),"_","CS|",(VLOOKUP(C690,Dictionary!$Y:$Z,2,FALSE)),"_","CT|",(VLOOKUP(D690,Dictionary!$AE:$AF,2,FALSE)),IF(E690="","",CONCATENATE("_U1|",SUBSTITUTE(SUBSTITUTE(E690,"_","-"),"|","-"))),IF(F690="","",CONCATENATE("_U2|",SUBSTITUTE(SUBSTITUTE(F690,"_","-"),"|","-"))),IF(G690="","",CONCATENATE("_U3|",SUBSTITUTE(SUBSTITUTE(G690,"_","-"),"|","-")))))</f>
        <v>#N/A</v>
      </c>
    </row>
    <row r="691" ht="15.75" customHeight="1">
      <c r="D691" s="23"/>
      <c r="H691" s="33" t="str">
        <f>IF(C691="----","#N/A",CONCATENATE("CV|",SUBSTITUTE(SUBSTITUTE(IF(B691="","NONE",B691),"_","-"),"|","-"),"_","CS|",(VLOOKUP(C691,Dictionary!$Y:$Z,2,FALSE)),"_","CT|",(VLOOKUP(D691,Dictionary!$AE:$AF,2,FALSE)),IF(E691="","",CONCATENATE("_U1|",SUBSTITUTE(SUBSTITUTE(E691,"_","-"),"|","-"))),IF(F691="","",CONCATENATE("_U2|",SUBSTITUTE(SUBSTITUTE(F691,"_","-"),"|","-"))),IF(G691="","",CONCATENATE("_U3|",SUBSTITUTE(SUBSTITUTE(G691,"_","-"),"|","-")))))</f>
        <v>#N/A</v>
      </c>
    </row>
    <row r="692" ht="15.75" customHeight="1">
      <c r="D692" s="23"/>
      <c r="H692" s="33" t="str">
        <f>IF(C692="----","#N/A",CONCATENATE("CV|",SUBSTITUTE(SUBSTITUTE(IF(B692="","NONE",B692),"_","-"),"|","-"),"_","CS|",(VLOOKUP(C692,Dictionary!$Y:$Z,2,FALSE)),"_","CT|",(VLOOKUP(D692,Dictionary!$AE:$AF,2,FALSE)),IF(E692="","",CONCATENATE("_U1|",SUBSTITUTE(SUBSTITUTE(E692,"_","-"),"|","-"))),IF(F692="","",CONCATENATE("_U2|",SUBSTITUTE(SUBSTITUTE(F692,"_","-"),"|","-"))),IF(G692="","",CONCATENATE("_U3|",SUBSTITUTE(SUBSTITUTE(G692,"_","-"),"|","-")))))</f>
        <v>#N/A</v>
      </c>
    </row>
    <row r="693" ht="15.75" customHeight="1">
      <c r="D693" s="23"/>
      <c r="H693" s="33" t="str">
        <f>IF(C693="----","#N/A",CONCATENATE("CV|",SUBSTITUTE(SUBSTITUTE(IF(B693="","NONE",B693),"_","-"),"|","-"),"_","CS|",(VLOOKUP(C693,Dictionary!$Y:$Z,2,FALSE)),"_","CT|",(VLOOKUP(D693,Dictionary!$AE:$AF,2,FALSE)),IF(E693="","",CONCATENATE("_U1|",SUBSTITUTE(SUBSTITUTE(E693,"_","-"),"|","-"))),IF(F693="","",CONCATENATE("_U2|",SUBSTITUTE(SUBSTITUTE(F693,"_","-"),"|","-"))),IF(G693="","",CONCATENATE("_U3|",SUBSTITUTE(SUBSTITUTE(G693,"_","-"),"|","-")))))</f>
        <v>#N/A</v>
      </c>
    </row>
    <row r="694" ht="15.75" customHeight="1">
      <c r="D694" s="23"/>
      <c r="H694" s="33" t="str">
        <f>IF(C694="----","#N/A",CONCATENATE("CV|",SUBSTITUTE(SUBSTITUTE(IF(B694="","NONE",B694),"_","-"),"|","-"),"_","CS|",(VLOOKUP(C694,Dictionary!$Y:$Z,2,FALSE)),"_","CT|",(VLOOKUP(D694,Dictionary!$AE:$AF,2,FALSE)),IF(E694="","",CONCATENATE("_U1|",SUBSTITUTE(SUBSTITUTE(E694,"_","-"),"|","-"))),IF(F694="","",CONCATENATE("_U2|",SUBSTITUTE(SUBSTITUTE(F694,"_","-"),"|","-"))),IF(G694="","",CONCATENATE("_U3|",SUBSTITUTE(SUBSTITUTE(G694,"_","-"),"|","-")))))</f>
        <v>#N/A</v>
      </c>
    </row>
    <row r="695" ht="15.75" customHeight="1">
      <c r="D695" s="23"/>
      <c r="H695" s="33" t="str">
        <f>IF(C695="----","#N/A",CONCATENATE("CV|",SUBSTITUTE(SUBSTITUTE(IF(B695="","NONE",B695),"_","-"),"|","-"),"_","CS|",(VLOOKUP(C695,Dictionary!$Y:$Z,2,FALSE)),"_","CT|",(VLOOKUP(D695,Dictionary!$AE:$AF,2,FALSE)),IF(E695="","",CONCATENATE("_U1|",SUBSTITUTE(SUBSTITUTE(E695,"_","-"),"|","-"))),IF(F695="","",CONCATENATE("_U2|",SUBSTITUTE(SUBSTITUTE(F695,"_","-"),"|","-"))),IF(G695="","",CONCATENATE("_U3|",SUBSTITUTE(SUBSTITUTE(G695,"_","-"),"|","-")))))</f>
        <v>#N/A</v>
      </c>
    </row>
    <row r="696" ht="15.75" customHeight="1">
      <c r="D696" s="23"/>
      <c r="H696" s="33" t="str">
        <f>IF(C696="----","#N/A",CONCATENATE("CV|",SUBSTITUTE(SUBSTITUTE(IF(B696="","NONE",B696),"_","-"),"|","-"),"_","CS|",(VLOOKUP(C696,Dictionary!$Y:$Z,2,FALSE)),"_","CT|",(VLOOKUP(D696,Dictionary!$AE:$AF,2,FALSE)),IF(E696="","",CONCATENATE("_U1|",SUBSTITUTE(SUBSTITUTE(E696,"_","-"),"|","-"))),IF(F696="","",CONCATENATE("_U2|",SUBSTITUTE(SUBSTITUTE(F696,"_","-"),"|","-"))),IF(G696="","",CONCATENATE("_U3|",SUBSTITUTE(SUBSTITUTE(G696,"_","-"),"|","-")))))</f>
        <v>#N/A</v>
      </c>
    </row>
    <row r="697" ht="15.75" customHeight="1">
      <c r="D697" s="23"/>
      <c r="H697" s="33" t="str">
        <f>IF(C697="----","#N/A",CONCATENATE("CV|",SUBSTITUTE(SUBSTITUTE(IF(B697="","NONE",B697),"_","-"),"|","-"),"_","CS|",(VLOOKUP(C697,Dictionary!$Y:$Z,2,FALSE)),"_","CT|",(VLOOKUP(D697,Dictionary!$AE:$AF,2,FALSE)),IF(E697="","",CONCATENATE("_U1|",SUBSTITUTE(SUBSTITUTE(E697,"_","-"),"|","-"))),IF(F697="","",CONCATENATE("_U2|",SUBSTITUTE(SUBSTITUTE(F697,"_","-"),"|","-"))),IF(G697="","",CONCATENATE("_U3|",SUBSTITUTE(SUBSTITUTE(G697,"_","-"),"|","-")))))</f>
        <v>#N/A</v>
      </c>
    </row>
    <row r="698" ht="15.75" customHeight="1">
      <c r="D698" s="23"/>
      <c r="H698" s="33" t="str">
        <f>IF(C698="----","#N/A",CONCATENATE("CV|",SUBSTITUTE(SUBSTITUTE(IF(B698="","NONE",B698),"_","-"),"|","-"),"_","CS|",(VLOOKUP(C698,Dictionary!$Y:$Z,2,FALSE)),"_","CT|",(VLOOKUP(D698,Dictionary!$AE:$AF,2,FALSE)),IF(E698="","",CONCATENATE("_U1|",SUBSTITUTE(SUBSTITUTE(E698,"_","-"),"|","-"))),IF(F698="","",CONCATENATE("_U2|",SUBSTITUTE(SUBSTITUTE(F698,"_","-"),"|","-"))),IF(G698="","",CONCATENATE("_U3|",SUBSTITUTE(SUBSTITUTE(G698,"_","-"),"|","-")))))</f>
        <v>#N/A</v>
      </c>
    </row>
    <row r="699" ht="15.75" customHeight="1">
      <c r="D699" s="23"/>
      <c r="H699" s="33" t="str">
        <f>IF(C699="----","#N/A",CONCATENATE("CV|",SUBSTITUTE(SUBSTITUTE(IF(B699="","NONE",B699),"_","-"),"|","-"),"_","CS|",(VLOOKUP(C699,Dictionary!$Y:$Z,2,FALSE)),"_","CT|",(VLOOKUP(D699,Dictionary!$AE:$AF,2,FALSE)),IF(E699="","",CONCATENATE("_U1|",SUBSTITUTE(SUBSTITUTE(E699,"_","-"),"|","-"))),IF(F699="","",CONCATENATE("_U2|",SUBSTITUTE(SUBSTITUTE(F699,"_","-"),"|","-"))),IF(G699="","",CONCATENATE("_U3|",SUBSTITUTE(SUBSTITUTE(G699,"_","-"),"|","-")))))</f>
        <v>#N/A</v>
      </c>
    </row>
    <row r="700" ht="15.75" customHeight="1">
      <c r="D700" s="23"/>
      <c r="H700" s="33" t="str">
        <f>IF(C700="----","#N/A",CONCATENATE("CV|",SUBSTITUTE(SUBSTITUTE(IF(B700="","NONE",B700),"_","-"),"|","-"),"_","CS|",(VLOOKUP(C700,Dictionary!$Y:$Z,2,FALSE)),"_","CT|",(VLOOKUP(D700,Dictionary!$AE:$AF,2,FALSE)),IF(E700="","",CONCATENATE("_U1|",SUBSTITUTE(SUBSTITUTE(E700,"_","-"),"|","-"))),IF(F700="","",CONCATENATE("_U2|",SUBSTITUTE(SUBSTITUTE(F700,"_","-"),"|","-"))),IF(G700="","",CONCATENATE("_U3|",SUBSTITUTE(SUBSTITUTE(G700,"_","-"),"|","-")))))</f>
        <v>#N/A</v>
      </c>
    </row>
    <row r="701" ht="15.75" customHeight="1">
      <c r="D701" s="23"/>
      <c r="H701" s="33" t="str">
        <f>IF(C701="----","#N/A",CONCATENATE("CV|",SUBSTITUTE(SUBSTITUTE(IF(B701="","NONE",B701),"_","-"),"|","-"),"_","CS|",(VLOOKUP(C701,Dictionary!$Y:$Z,2,FALSE)),"_","CT|",(VLOOKUP(D701,Dictionary!$AE:$AF,2,FALSE)),IF(E701="","",CONCATENATE("_U1|",SUBSTITUTE(SUBSTITUTE(E701,"_","-"),"|","-"))),IF(F701="","",CONCATENATE("_U2|",SUBSTITUTE(SUBSTITUTE(F701,"_","-"),"|","-"))),IF(G701="","",CONCATENATE("_U3|",SUBSTITUTE(SUBSTITUTE(G701,"_","-"),"|","-")))))</f>
        <v>#N/A</v>
      </c>
    </row>
    <row r="702" ht="15.75" customHeight="1">
      <c r="D702" s="23"/>
      <c r="H702" s="33" t="str">
        <f>IF(C702="----","#N/A",CONCATENATE("CV|",SUBSTITUTE(SUBSTITUTE(IF(B702="","NONE",B702),"_","-"),"|","-"),"_","CS|",(VLOOKUP(C702,Dictionary!$Y:$Z,2,FALSE)),"_","CT|",(VLOOKUP(D702,Dictionary!$AE:$AF,2,FALSE)),IF(E702="","",CONCATENATE("_U1|",SUBSTITUTE(SUBSTITUTE(E702,"_","-"),"|","-"))),IF(F702="","",CONCATENATE("_U2|",SUBSTITUTE(SUBSTITUTE(F702,"_","-"),"|","-"))),IF(G702="","",CONCATENATE("_U3|",SUBSTITUTE(SUBSTITUTE(G702,"_","-"),"|","-")))))</f>
        <v>#N/A</v>
      </c>
    </row>
    <row r="703" ht="15.75" customHeight="1">
      <c r="D703" s="23"/>
      <c r="H703" s="33" t="str">
        <f>IF(C703="----","#N/A",CONCATENATE("CV|",SUBSTITUTE(SUBSTITUTE(IF(B703="","NONE",B703),"_","-"),"|","-"),"_","CS|",(VLOOKUP(C703,Dictionary!$Y:$Z,2,FALSE)),"_","CT|",(VLOOKUP(D703,Dictionary!$AE:$AF,2,FALSE)),IF(E703="","",CONCATENATE("_U1|",SUBSTITUTE(SUBSTITUTE(E703,"_","-"),"|","-"))),IF(F703="","",CONCATENATE("_U2|",SUBSTITUTE(SUBSTITUTE(F703,"_","-"),"|","-"))),IF(G703="","",CONCATENATE("_U3|",SUBSTITUTE(SUBSTITUTE(G703,"_","-"),"|","-")))))</f>
        <v>#N/A</v>
      </c>
    </row>
    <row r="704" ht="15.75" customHeight="1">
      <c r="D704" s="23"/>
      <c r="H704" s="33" t="str">
        <f>IF(C704="----","#N/A",CONCATENATE("CV|",SUBSTITUTE(SUBSTITUTE(IF(B704="","NONE",B704),"_","-"),"|","-"),"_","CS|",(VLOOKUP(C704,Dictionary!$Y:$Z,2,FALSE)),"_","CT|",(VLOOKUP(D704,Dictionary!$AE:$AF,2,FALSE)),IF(E704="","",CONCATENATE("_U1|",SUBSTITUTE(SUBSTITUTE(E704,"_","-"),"|","-"))),IF(F704="","",CONCATENATE("_U2|",SUBSTITUTE(SUBSTITUTE(F704,"_","-"),"|","-"))),IF(G704="","",CONCATENATE("_U3|",SUBSTITUTE(SUBSTITUTE(G704,"_","-"),"|","-")))))</f>
        <v>#N/A</v>
      </c>
    </row>
    <row r="705" ht="15.75" customHeight="1">
      <c r="D705" s="23"/>
      <c r="H705" s="33" t="str">
        <f>IF(C705="----","#N/A",CONCATENATE("CV|",SUBSTITUTE(SUBSTITUTE(IF(B705="","NONE",B705),"_","-"),"|","-"),"_","CS|",(VLOOKUP(C705,Dictionary!$Y:$Z,2,FALSE)),"_","CT|",(VLOOKUP(D705,Dictionary!$AE:$AF,2,FALSE)),IF(E705="","",CONCATENATE("_U1|",SUBSTITUTE(SUBSTITUTE(E705,"_","-"),"|","-"))),IF(F705="","",CONCATENATE("_U2|",SUBSTITUTE(SUBSTITUTE(F705,"_","-"),"|","-"))),IF(G705="","",CONCATENATE("_U3|",SUBSTITUTE(SUBSTITUTE(G705,"_","-"),"|","-")))))</f>
        <v>#N/A</v>
      </c>
    </row>
    <row r="706" ht="15.75" customHeight="1">
      <c r="D706" s="23"/>
      <c r="H706" s="33" t="str">
        <f>IF(C706="----","#N/A",CONCATENATE("CV|",SUBSTITUTE(SUBSTITUTE(IF(B706="","NONE",B706),"_","-"),"|","-"),"_","CS|",(VLOOKUP(C706,Dictionary!$Y:$Z,2,FALSE)),"_","CT|",(VLOOKUP(D706,Dictionary!$AE:$AF,2,FALSE)),IF(E706="","",CONCATENATE("_U1|",SUBSTITUTE(SUBSTITUTE(E706,"_","-"),"|","-"))),IF(F706="","",CONCATENATE("_U2|",SUBSTITUTE(SUBSTITUTE(F706,"_","-"),"|","-"))),IF(G706="","",CONCATENATE("_U3|",SUBSTITUTE(SUBSTITUTE(G706,"_","-"),"|","-")))))</f>
        <v>#N/A</v>
      </c>
    </row>
    <row r="707" ht="15.75" customHeight="1">
      <c r="D707" s="23"/>
      <c r="H707" s="33" t="str">
        <f>IF(C707="----","#N/A",CONCATENATE("CV|",SUBSTITUTE(SUBSTITUTE(IF(B707="","NONE",B707),"_","-"),"|","-"),"_","CS|",(VLOOKUP(C707,Dictionary!$Y:$Z,2,FALSE)),"_","CT|",(VLOOKUP(D707,Dictionary!$AE:$AF,2,FALSE)),IF(E707="","",CONCATENATE("_U1|",SUBSTITUTE(SUBSTITUTE(E707,"_","-"),"|","-"))),IF(F707="","",CONCATENATE("_U2|",SUBSTITUTE(SUBSTITUTE(F707,"_","-"),"|","-"))),IF(G707="","",CONCATENATE("_U3|",SUBSTITUTE(SUBSTITUTE(G707,"_","-"),"|","-")))))</f>
        <v>#N/A</v>
      </c>
    </row>
    <row r="708" ht="15.75" customHeight="1">
      <c r="D708" s="23"/>
      <c r="H708" s="33" t="str">
        <f>IF(C708="----","#N/A",CONCATENATE("CV|",SUBSTITUTE(SUBSTITUTE(IF(B708="","NONE",B708),"_","-"),"|","-"),"_","CS|",(VLOOKUP(C708,Dictionary!$Y:$Z,2,FALSE)),"_","CT|",(VLOOKUP(D708,Dictionary!$AE:$AF,2,FALSE)),IF(E708="","",CONCATENATE("_U1|",SUBSTITUTE(SUBSTITUTE(E708,"_","-"),"|","-"))),IF(F708="","",CONCATENATE("_U2|",SUBSTITUTE(SUBSTITUTE(F708,"_","-"),"|","-"))),IF(G708="","",CONCATENATE("_U3|",SUBSTITUTE(SUBSTITUTE(G708,"_","-"),"|","-")))))</f>
        <v>#N/A</v>
      </c>
    </row>
    <row r="709" ht="15.75" customHeight="1">
      <c r="D709" s="23"/>
      <c r="H709" s="33" t="str">
        <f>IF(C709="----","#N/A",CONCATENATE("CV|",SUBSTITUTE(SUBSTITUTE(IF(B709="","NONE",B709),"_","-"),"|","-"),"_","CS|",(VLOOKUP(C709,Dictionary!$Y:$Z,2,FALSE)),"_","CT|",(VLOOKUP(D709,Dictionary!$AE:$AF,2,FALSE)),IF(E709="","",CONCATENATE("_U1|",SUBSTITUTE(SUBSTITUTE(E709,"_","-"),"|","-"))),IF(F709="","",CONCATENATE("_U2|",SUBSTITUTE(SUBSTITUTE(F709,"_","-"),"|","-"))),IF(G709="","",CONCATENATE("_U3|",SUBSTITUTE(SUBSTITUTE(G709,"_","-"),"|","-")))))</f>
        <v>#N/A</v>
      </c>
    </row>
    <row r="710" ht="15.75" customHeight="1">
      <c r="D710" s="23"/>
      <c r="H710" s="33" t="str">
        <f>IF(C710="----","#N/A",CONCATENATE("CV|",SUBSTITUTE(SUBSTITUTE(IF(B710="","NONE",B710),"_","-"),"|","-"),"_","CS|",(VLOOKUP(C710,Dictionary!$Y:$Z,2,FALSE)),"_","CT|",(VLOOKUP(D710,Dictionary!$AE:$AF,2,FALSE)),IF(E710="","",CONCATENATE("_U1|",SUBSTITUTE(SUBSTITUTE(E710,"_","-"),"|","-"))),IF(F710="","",CONCATENATE("_U2|",SUBSTITUTE(SUBSTITUTE(F710,"_","-"),"|","-"))),IF(G710="","",CONCATENATE("_U3|",SUBSTITUTE(SUBSTITUTE(G710,"_","-"),"|","-")))))</f>
        <v>#N/A</v>
      </c>
    </row>
    <row r="711" ht="15.75" customHeight="1">
      <c r="D711" s="23"/>
      <c r="H711" s="33" t="str">
        <f>IF(C711="----","#N/A",CONCATENATE("CV|",SUBSTITUTE(SUBSTITUTE(IF(B711="","NONE",B711),"_","-"),"|","-"),"_","CS|",(VLOOKUP(C711,Dictionary!$Y:$Z,2,FALSE)),"_","CT|",(VLOOKUP(D711,Dictionary!$AE:$AF,2,FALSE)),IF(E711="","",CONCATENATE("_U1|",SUBSTITUTE(SUBSTITUTE(E711,"_","-"),"|","-"))),IF(F711="","",CONCATENATE("_U2|",SUBSTITUTE(SUBSTITUTE(F711,"_","-"),"|","-"))),IF(G711="","",CONCATENATE("_U3|",SUBSTITUTE(SUBSTITUTE(G711,"_","-"),"|","-")))))</f>
        <v>#N/A</v>
      </c>
    </row>
    <row r="712" ht="15.75" customHeight="1">
      <c r="D712" s="23"/>
      <c r="H712" s="33" t="str">
        <f>IF(C712="----","#N/A",CONCATENATE("CV|",SUBSTITUTE(SUBSTITUTE(IF(B712="","NONE",B712),"_","-"),"|","-"),"_","CS|",(VLOOKUP(C712,Dictionary!$Y:$Z,2,FALSE)),"_","CT|",(VLOOKUP(D712,Dictionary!$AE:$AF,2,FALSE)),IF(E712="","",CONCATENATE("_U1|",SUBSTITUTE(SUBSTITUTE(E712,"_","-"),"|","-"))),IF(F712="","",CONCATENATE("_U2|",SUBSTITUTE(SUBSTITUTE(F712,"_","-"),"|","-"))),IF(G712="","",CONCATENATE("_U3|",SUBSTITUTE(SUBSTITUTE(G712,"_","-"),"|","-")))))</f>
        <v>#N/A</v>
      </c>
    </row>
    <row r="713" ht="15.75" customHeight="1">
      <c r="D713" s="23"/>
      <c r="H713" s="33" t="str">
        <f>IF(C713="----","#N/A",CONCATENATE("CV|",SUBSTITUTE(SUBSTITUTE(IF(B713="","NONE",B713),"_","-"),"|","-"),"_","CS|",(VLOOKUP(C713,Dictionary!$Y:$Z,2,FALSE)),"_","CT|",(VLOOKUP(D713,Dictionary!$AE:$AF,2,FALSE)),IF(E713="","",CONCATENATE("_U1|",SUBSTITUTE(SUBSTITUTE(E713,"_","-"),"|","-"))),IF(F713="","",CONCATENATE("_U2|",SUBSTITUTE(SUBSTITUTE(F713,"_","-"),"|","-"))),IF(G713="","",CONCATENATE("_U3|",SUBSTITUTE(SUBSTITUTE(G713,"_","-"),"|","-")))))</f>
        <v>#N/A</v>
      </c>
    </row>
    <row r="714" ht="15.75" customHeight="1">
      <c r="D714" s="23"/>
      <c r="H714" s="33" t="str">
        <f>IF(C714="----","#N/A",CONCATENATE("CV|",SUBSTITUTE(SUBSTITUTE(IF(B714="","NONE",B714),"_","-"),"|","-"),"_","CS|",(VLOOKUP(C714,Dictionary!$Y:$Z,2,FALSE)),"_","CT|",(VLOOKUP(D714,Dictionary!$AE:$AF,2,FALSE)),IF(E714="","",CONCATENATE("_U1|",SUBSTITUTE(SUBSTITUTE(E714,"_","-"),"|","-"))),IF(F714="","",CONCATENATE("_U2|",SUBSTITUTE(SUBSTITUTE(F714,"_","-"),"|","-"))),IF(G714="","",CONCATENATE("_U3|",SUBSTITUTE(SUBSTITUTE(G714,"_","-"),"|","-")))))</f>
        <v>#N/A</v>
      </c>
    </row>
    <row r="715" ht="15.75" customHeight="1">
      <c r="D715" s="23"/>
      <c r="H715" s="33" t="str">
        <f>IF(C715="----","#N/A",CONCATENATE("CV|",SUBSTITUTE(SUBSTITUTE(IF(B715="","NONE",B715),"_","-"),"|","-"),"_","CS|",(VLOOKUP(C715,Dictionary!$Y:$Z,2,FALSE)),"_","CT|",(VLOOKUP(D715,Dictionary!$AE:$AF,2,FALSE)),IF(E715="","",CONCATENATE("_U1|",SUBSTITUTE(SUBSTITUTE(E715,"_","-"),"|","-"))),IF(F715="","",CONCATENATE("_U2|",SUBSTITUTE(SUBSTITUTE(F715,"_","-"),"|","-"))),IF(G715="","",CONCATENATE("_U3|",SUBSTITUTE(SUBSTITUTE(G715,"_","-"),"|","-")))))</f>
        <v>#N/A</v>
      </c>
    </row>
    <row r="716" ht="15.75" customHeight="1">
      <c r="D716" s="23"/>
      <c r="H716" s="33" t="str">
        <f>IF(C716="----","#N/A",CONCATENATE("CV|",SUBSTITUTE(SUBSTITUTE(IF(B716="","NONE",B716),"_","-"),"|","-"),"_","CS|",(VLOOKUP(C716,Dictionary!$Y:$Z,2,FALSE)),"_","CT|",(VLOOKUP(D716,Dictionary!$AE:$AF,2,FALSE)),IF(E716="","",CONCATENATE("_U1|",SUBSTITUTE(SUBSTITUTE(E716,"_","-"),"|","-"))),IF(F716="","",CONCATENATE("_U2|",SUBSTITUTE(SUBSTITUTE(F716,"_","-"),"|","-"))),IF(G716="","",CONCATENATE("_U3|",SUBSTITUTE(SUBSTITUTE(G716,"_","-"),"|","-")))))</f>
        <v>#N/A</v>
      </c>
    </row>
    <row r="717" ht="15.75" customHeight="1">
      <c r="D717" s="23"/>
      <c r="H717" s="33" t="str">
        <f>IF(C717="----","#N/A",CONCATENATE("CV|",SUBSTITUTE(SUBSTITUTE(IF(B717="","NONE",B717),"_","-"),"|","-"),"_","CS|",(VLOOKUP(C717,Dictionary!$Y:$Z,2,FALSE)),"_","CT|",(VLOOKUP(D717,Dictionary!$AE:$AF,2,FALSE)),IF(E717="","",CONCATENATE("_U1|",SUBSTITUTE(SUBSTITUTE(E717,"_","-"),"|","-"))),IF(F717="","",CONCATENATE("_U2|",SUBSTITUTE(SUBSTITUTE(F717,"_","-"),"|","-"))),IF(G717="","",CONCATENATE("_U3|",SUBSTITUTE(SUBSTITUTE(G717,"_","-"),"|","-")))))</f>
        <v>#N/A</v>
      </c>
    </row>
    <row r="718" ht="15.75" customHeight="1">
      <c r="D718" s="23"/>
      <c r="H718" s="33" t="str">
        <f>IF(C718="----","#N/A",CONCATENATE("CV|",SUBSTITUTE(SUBSTITUTE(IF(B718="","NONE",B718),"_","-"),"|","-"),"_","CS|",(VLOOKUP(C718,Dictionary!$Y:$Z,2,FALSE)),"_","CT|",(VLOOKUP(D718,Dictionary!$AE:$AF,2,FALSE)),IF(E718="","",CONCATENATE("_U1|",SUBSTITUTE(SUBSTITUTE(E718,"_","-"),"|","-"))),IF(F718="","",CONCATENATE("_U2|",SUBSTITUTE(SUBSTITUTE(F718,"_","-"),"|","-"))),IF(G718="","",CONCATENATE("_U3|",SUBSTITUTE(SUBSTITUTE(G718,"_","-"),"|","-")))))</f>
        <v>#N/A</v>
      </c>
    </row>
    <row r="719" ht="15.75" customHeight="1">
      <c r="D719" s="23"/>
      <c r="H719" s="33" t="str">
        <f>IF(C719="----","#N/A",CONCATENATE("CV|",SUBSTITUTE(SUBSTITUTE(IF(B719="","NONE",B719),"_","-"),"|","-"),"_","CS|",(VLOOKUP(C719,Dictionary!$Y:$Z,2,FALSE)),"_","CT|",(VLOOKUP(D719,Dictionary!$AE:$AF,2,FALSE)),IF(E719="","",CONCATENATE("_U1|",SUBSTITUTE(SUBSTITUTE(E719,"_","-"),"|","-"))),IF(F719="","",CONCATENATE("_U2|",SUBSTITUTE(SUBSTITUTE(F719,"_","-"),"|","-"))),IF(G719="","",CONCATENATE("_U3|",SUBSTITUTE(SUBSTITUTE(G719,"_","-"),"|","-")))))</f>
        <v>#N/A</v>
      </c>
    </row>
    <row r="720" ht="15.75" customHeight="1">
      <c r="D720" s="23"/>
      <c r="H720" s="33" t="str">
        <f>IF(C720="----","#N/A",CONCATENATE("CV|",SUBSTITUTE(SUBSTITUTE(IF(B720="","NONE",B720),"_","-"),"|","-"),"_","CS|",(VLOOKUP(C720,Dictionary!$Y:$Z,2,FALSE)),"_","CT|",(VLOOKUP(D720,Dictionary!$AE:$AF,2,FALSE)),IF(E720="","",CONCATENATE("_U1|",SUBSTITUTE(SUBSTITUTE(E720,"_","-"),"|","-"))),IF(F720="","",CONCATENATE("_U2|",SUBSTITUTE(SUBSTITUTE(F720,"_","-"),"|","-"))),IF(G720="","",CONCATENATE("_U3|",SUBSTITUTE(SUBSTITUTE(G720,"_","-"),"|","-")))))</f>
        <v>#N/A</v>
      </c>
    </row>
    <row r="721" ht="15.75" customHeight="1">
      <c r="D721" s="23"/>
      <c r="H721" s="33" t="str">
        <f>IF(C721="----","#N/A",CONCATENATE("CV|",SUBSTITUTE(SUBSTITUTE(IF(B721="","NONE",B721),"_","-"),"|","-"),"_","CS|",(VLOOKUP(C721,Dictionary!$Y:$Z,2,FALSE)),"_","CT|",(VLOOKUP(D721,Dictionary!$AE:$AF,2,FALSE)),IF(E721="","",CONCATENATE("_U1|",SUBSTITUTE(SUBSTITUTE(E721,"_","-"),"|","-"))),IF(F721="","",CONCATENATE("_U2|",SUBSTITUTE(SUBSTITUTE(F721,"_","-"),"|","-"))),IF(G721="","",CONCATENATE("_U3|",SUBSTITUTE(SUBSTITUTE(G721,"_","-"),"|","-")))))</f>
        <v>#N/A</v>
      </c>
    </row>
    <row r="722" ht="15.75" customHeight="1">
      <c r="D722" s="23"/>
    </row>
    <row r="723" ht="15.75" customHeight="1">
      <c r="D723" s="23"/>
    </row>
    <row r="724" ht="15.75" customHeight="1">
      <c r="D724" s="23"/>
    </row>
    <row r="725" ht="15.75" customHeight="1">
      <c r="D725" s="23"/>
    </row>
    <row r="726" ht="15.75" customHeight="1">
      <c r="D726" s="23"/>
    </row>
    <row r="727" ht="15.75" customHeight="1">
      <c r="D727" s="23"/>
    </row>
    <row r="728" ht="15.75" customHeight="1">
      <c r="D728" s="23"/>
    </row>
    <row r="729" ht="15.75" customHeight="1">
      <c r="D729" s="23"/>
    </row>
    <row r="730" ht="15.75" customHeight="1">
      <c r="D730" s="23"/>
    </row>
    <row r="731" ht="15.75" customHeight="1">
      <c r="D731" s="23"/>
    </row>
    <row r="732" ht="15.75" customHeight="1">
      <c r="D732" s="23"/>
    </row>
    <row r="733" ht="15.75" customHeight="1">
      <c r="D733" s="23"/>
    </row>
    <row r="734" ht="15.75" customHeight="1">
      <c r="D734" s="23"/>
    </row>
    <row r="735" ht="15.75" customHeight="1">
      <c r="D735" s="23"/>
    </row>
    <row r="736" ht="15.75" customHeight="1">
      <c r="D736" s="23"/>
    </row>
    <row r="737" ht="15.75" customHeight="1">
      <c r="D737" s="23"/>
    </row>
    <row r="738" ht="15.75" customHeight="1">
      <c r="D738" s="23"/>
    </row>
    <row r="739" ht="15.75" customHeight="1">
      <c r="D739" s="23"/>
    </row>
    <row r="740" ht="15.75" customHeight="1">
      <c r="D740" s="23"/>
    </row>
    <row r="741" ht="15.75" customHeight="1">
      <c r="D741" s="23"/>
    </row>
    <row r="742" ht="15.75" customHeight="1">
      <c r="D742" s="23"/>
    </row>
    <row r="743" ht="15.75" customHeight="1">
      <c r="D743" s="23"/>
    </row>
    <row r="744" ht="15.75" customHeight="1">
      <c r="D744" s="23"/>
    </row>
    <row r="745" ht="15.75" customHeight="1">
      <c r="D745" s="23"/>
    </row>
    <row r="746" ht="15.75" customHeight="1">
      <c r="D746" s="23"/>
    </row>
    <row r="747" ht="15.75" customHeight="1">
      <c r="D747" s="23"/>
    </row>
    <row r="748" ht="15.75" customHeight="1">
      <c r="D748" s="23"/>
    </row>
    <row r="749" ht="15.75" customHeight="1">
      <c r="D749" s="23"/>
    </row>
    <row r="750" ht="15.75" customHeight="1">
      <c r="D750" s="23"/>
    </row>
    <row r="751" ht="15.75" customHeight="1">
      <c r="D751" s="23"/>
    </row>
    <row r="752" ht="15.75" customHeight="1">
      <c r="D752" s="23"/>
    </row>
    <row r="753" ht="15.75" customHeight="1">
      <c r="D753" s="23"/>
    </row>
    <row r="754" ht="15.75" customHeight="1">
      <c r="D754" s="23"/>
    </row>
    <row r="755" ht="15.75" customHeight="1">
      <c r="D755" s="23"/>
    </row>
    <row r="756" ht="15.75" customHeight="1">
      <c r="D756" s="23"/>
    </row>
    <row r="757" ht="15.75" customHeight="1">
      <c r="D757" s="23"/>
    </row>
    <row r="758" ht="15.75" customHeight="1">
      <c r="D758" s="23"/>
    </row>
    <row r="759" ht="15.75" customHeight="1">
      <c r="D759" s="23"/>
    </row>
    <row r="760" ht="15.75" customHeight="1">
      <c r="D760" s="23"/>
    </row>
    <row r="761" ht="15.75" customHeight="1">
      <c r="D761" s="23"/>
    </row>
    <row r="762" ht="15.75" customHeight="1">
      <c r="D762" s="23"/>
    </row>
    <row r="763" ht="15.75" customHeight="1">
      <c r="D763" s="23"/>
    </row>
    <row r="764" ht="15.75" customHeight="1">
      <c r="D764" s="23"/>
    </row>
    <row r="765" ht="15.75" customHeight="1">
      <c r="D765" s="23"/>
    </row>
    <row r="766" ht="15.75" customHeight="1">
      <c r="D766" s="23"/>
    </row>
    <row r="767" ht="15.75" customHeight="1">
      <c r="D767" s="23"/>
    </row>
    <row r="768" ht="15.75" customHeight="1">
      <c r="D768" s="23"/>
    </row>
    <row r="769" ht="15.75" customHeight="1">
      <c r="D769" s="23"/>
    </row>
    <row r="770" ht="15.75" customHeight="1">
      <c r="D770" s="23"/>
    </row>
    <row r="771" ht="15.75" customHeight="1">
      <c r="D771" s="23"/>
    </row>
    <row r="772" ht="15.75" customHeight="1">
      <c r="D772" s="23"/>
    </row>
    <row r="773" ht="15.75" customHeight="1">
      <c r="D773" s="23"/>
    </row>
    <row r="774" ht="15.75" customHeight="1">
      <c r="D774" s="23"/>
    </row>
    <row r="775" ht="15.75" customHeight="1">
      <c r="D775" s="23"/>
    </row>
    <row r="776" ht="15.75" customHeight="1">
      <c r="D776" s="23"/>
    </row>
    <row r="777" ht="15.75" customHeight="1">
      <c r="D777" s="23"/>
    </row>
    <row r="778" ht="15.75" customHeight="1">
      <c r="D778" s="23"/>
    </row>
    <row r="779" ht="15.75" customHeight="1">
      <c r="D779" s="23"/>
    </row>
    <row r="780" ht="15.75" customHeight="1">
      <c r="D780" s="23"/>
    </row>
    <row r="781" ht="15.75" customHeight="1">
      <c r="D781" s="23"/>
    </row>
    <row r="782" ht="15.75" customHeight="1">
      <c r="D782" s="23"/>
    </row>
    <row r="783" ht="15.75" customHeight="1">
      <c r="D783" s="23"/>
    </row>
    <row r="784" ht="15.75" customHeight="1">
      <c r="D784" s="23"/>
    </row>
    <row r="785" ht="15.75" customHeight="1">
      <c r="D785" s="23"/>
    </row>
    <row r="786" ht="15.75" customHeight="1">
      <c r="D786" s="23"/>
    </row>
    <row r="787" ht="15.75" customHeight="1">
      <c r="D787" s="23"/>
    </row>
    <row r="788" ht="15.75" customHeight="1">
      <c r="D788" s="23"/>
    </row>
    <row r="789" ht="15.75" customHeight="1">
      <c r="D789" s="23"/>
    </row>
    <row r="790" ht="15.75" customHeight="1">
      <c r="D790" s="23"/>
    </row>
    <row r="791" ht="15.75" customHeight="1">
      <c r="D791" s="23"/>
    </row>
    <row r="792" ht="15.75" customHeight="1">
      <c r="D792" s="23"/>
    </row>
    <row r="793" ht="15.75" customHeight="1">
      <c r="D793" s="23"/>
    </row>
    <row r="794" ht="15.75" customHeight="1">
      <c r="D794" s="23"/>
    </row>
    <row r="795" ht="15.75" customHeight="1">
      <c r="D795" s="23"/>
    </row>
    <row r="796" ht="15.75" customHeight="1">
      <c r="D796" s="23"/>
    </row>
    <row r="797" ht="15.75" customHeight="1">
      <c r="D797" s="23"/>
    </row>
    <row r="798" ht="15.75" customHeight="1">
      <c r="D798" s="23"/>
    </row>
    <row r="799" ht="15.75" customHeight="1">
      <c r="D799" s="23"/>
    </row>
    <row r="800" ht="15.75" customHeight="1">
      <c r="D800" s="23"/>
    </row>
    <row r="801" ht="15.75" customHeight="1">
      <c r="D801" s="23"/>
    </row>
    <row r="802" ht="15.75" customHeight="1">
      <c r="D802" s="23"/>
    </row>
    <row r="803" ht="15.75" customHeight="1">
      <c r="D803" s="23"/>
    </row>
    <row r="804" ht="15.75" customHeight="1">
      <c r="D804" s="23"/>
    </row>
    <row r="805" ht="15.75" customHeight="1">
      <c r="D805" s="23"/>
    </row>
    <row r="806" ht="15.75" customHeight="1">
      <c r="D806" s="23"/>
    </row>
    <row r="807" ht="15.75" customHeight="1">
      <c r="D807" s="23"/>
    </row>
    <row r="808" ht="15.75" customHeight="1">
      <c r="D808" s="23"/>
    </row>
    <row r="809" ht="15.75" customHeight="1">
      <c r="D809" s="23"/>
    </row>
    <row r="810" ht="15.75" customHeight="1">
      <c r="D810" s="23"/>
    </row>
    <row r="811" ht="15.75" customHeight="1">
      <c r="D811" s="23"/>
    </row>
    <row r="812" ht="15.75" customHeight="1">
      <c r="D812" s="23"/>
    </row>
    <row r="813" ht="15.75" customHeight="1">
      <c r="D813" s="23"/>
    </row>
    <row r="814" ht="15.75" customHeight="1">
      <c r="D814" s="23"/>
    </row>
    <row r="815" ht="15.75" customHeight="1">
      <c r="D815" s="23"/>
    </row>
    <row r="816" ht="15.75" customHeight="1">
      <c r="D816" s="23"/>
    </row>
    <row r="817" ht="15.75" customHeight="1">
      <c r="D817" s="23"/>
    </row>
    <row r="818" ht="15.75" customHeight="1">
      <c r="D818" s="23"/>
    </row>
    <row r="819" ht="15.75" customHeight="1">
      <c r="D819" s="23"/>
    </row>
    <row r="820" ht="15.75" customHeight="1">
      <c r="D820" s="23"/>
    </row>
    <row r="821" ht="15.75" customHeight="1">
      <c r="D821" s="23"/>
    </row>
    <row r="822" ht="15.75" customHeight="1">
      <c r="D822" s="23"/>
    </row>
    <row r="823" ht="15.75" customHeight="1">
      <c r="D823" s="23"/>
    </row>
    <row r="824" ht="15.75" customHeight="1">
      <c r="D824" s="23"/>
    </row>
    <row r="825" ht="15.75" customHeight="1">
      <c r="D825" s="23"/>
    </row>
    <row r="826" ht="15.75" customHeight="1">
      <c r="D826" s="23"/>
    </row>
    <row r="827" ht="15.75" customHeight="1">
      <c r="D827" s="23"/>
    </row>
    <row r="828" ht="15.75" customHeight="1">
      <c r="D828" s="23"/>
    </row>
    <row r="829" ht="15.75" customHeight="1">
      <c r="D829" s="23"/>
    </row>
    <row r="830" ht="15.75" customHeight="1">
      <c r="D830" s="23"/>
    </row>
    <row r="831" ht="15.75" customHeight="1">
      <c r="D831" s="23"/>
    </row>
    <row r="832" ht="15.75" customHeight="1">
      <c r="D832" s="23"/>
    </row>
    <row r="833" ht="15.75" customHeight="1">
      <c r="D833" s="23"/>
    </row>
    <row r="834" ht="15.75" customHeight="1">
      <c r="D834" s="23"/>
    </row>
    <row r="835" ht="15.75" customHeight="1">
      <c r="D835" s="23"/>
    </row>
    <row r="836" ht="15.75" customHeight="1">
      <c r="D836" s="23"/>
    </row>
    <row r="837" ht="15.75" customHeight="1">
      <c r="D837" s="23"/>
    </row>
    <row r="838" ht="15.75" customHeight="1">
      <c r="D838" s="23"/>
    </row>
    <row r="839" ht="15.75" customHeight="1">
      <c r="D839" s="23"/>
    </row>
    <row r="840" ht="15.75" customHeight="1">
      <c r="D840" s="23"/>
    </row>
    <row r="841" ht="15.75" customHeight="1">
      <c r="D841" s="23"/>
    </row>
    <row r="842" ht="15.75" customHeight="1">
      <c r="D842" s="23"/>
    </row>
    <row r="843" ht="15.75" customHeight="1">
      <c r="D843" s="23"/>
    </row>
    <row r="844" ht="15.75" customHeight="1">
      <c r="D844" s="23"/>
    </row>
    <row r="845" ht="15.75" customHeight="1">
      <c r="D845" s="23"/>
    </row>
    <row r="846" ht="15.75" customHeight="1">
      <c r="D846" s="23"/>
    </row>
    <row r="847" ht="15.75" customHeight="1">
      <c r="D847" s="23"/>
    </row>
    <row r="848" ht="15.75" customHeight="1">
      <c r="D848" s="23"/>
    </row>
    <row r="849" ht="15.75" customHeight="1">
      <c r="D849" s="23"/>
    </row>
    <row r="850" ht="15.75" customHeight="1">
      <c r="D850" s="23"/>
    </row>
    <row r="851" ht="15.75" customHeight="1">
      <c r="D851" s="23"/>
    </row>
    <row r="852" ht="15.75" customHeight="1">
      <c r="D852" s="23"/>
    </row>
    <row r="853" ht="15.75" customHeight="1">
      <c r="D853" s="23"/>
    </row>
    <row r="854" ht="15.75" customHeight="1">
      <c r="D854" s="23"/>
    </row>
    <row r="855" ht="15.75" customHeight="1">
      <c r="D855" s="23"/>
    </row>
    <row r="856" ht="15.75" customHeight="1">
      <c r="D856" s="23"/>
    </row>
    <row r="857" ht="15.75" customHeight="1">
      <c r="D857" s="23"/>
    </row>
    <row r="858" ht="15.75" customHeight="1">
      <c r="D858" s="23"/>
    </row>
    <row r="859" ht="15.75" customHeight="1">
      <c r="D859" s="23"/>
    </row>
    <row r="860" ht="15.75" customHeight="1">
      <c r="D860" s="23"/>
    </row>
    <row r="861" ht="15.75" customHeight="1">
      <c r="D861" s="23"/>
    </row>
    <row r="862" ht="15.75" customHeight="1">
      <c r="D862" s="23"/>
    </row>
    <row r="863" ht="15.75" customHeight="1">
      <c r="D863" s="23"/>
    </row>
    <row r="864" ht="15.75" customHeight="1">
      <c r="D864" s="23"/>
    </row>
    <row r="865" ht="15.75" customHeight="1">
      <c r="D865" s="23"/>
    </row>
    <row r="866" ht="15.75" customHeight="1">
      <c r="D866" s="23"/>
    </row>
    <row r="867" ht="15.75" customHeight="1">
      <c r="D867" s="23"/>
    </row>
    <row r="868" ht="15.75" customHeight="1">
      <c r="D868" s="23"/>
    </row>
    <row r="869" ht="15.75" customHeight="1">
      <c r="D869" s="23"/>
    </row>
    <row r="870" ht="15.75" customHeight="1">
      <c r="D870" s="23"/>
    </row>
    <row r="871" ht="15.75" customHeight="1">
      <c r="D871" s="23"/>
    </row>
    <row r="872" ht="15.75" customHeight="1">
      <c r="D872" s="23"/>
    </row>
    <row r="873" ht="15.75" customHeight="1">
      <c r="D873" s="23"/>
    </row>
    <row r="874" ht="15.75" customHeight="1">
      <c r="D874" s="23"/>
    </row>
    <row r="875" ht="15.75" customHeight="1">
      <c r="D875" s="23"/>
    </row>
    <row r="876" ht="15.75" customHeight="1">
      <c r="D876" s="23"/>
    </row>
    <row r="877" ht="15.75" customHeight="1">
      <c r="D877" s="23"/>
    </row>
    <row r="878" ht="15.75" customHeight="1">
      <c r="D878" s="23"/>
    </row>
    <row r="879" ht="15.75" customHeight="1">
      <c r="D879" s="23"/>
    </row>
    <row r="880" ht="15.75" customHeight="1">
      <c r="D880" s="23"/>
    </row>
    <row r="881" ht="15.75" customHeight="1">
      <c r="D881" s="23"/>
    </row>
    <row r="882" ht="15.75" customHeight="1">
      <c r="D882" s="23"/>
    </row>
    <row r="883" ht="15.75" customHeight="1">
      <c r="D883" s="23"/>
    </row>
    <row r="884" ht="15.75" customHeight="1">
      <c r="D884" s="23"/>
    </row>
    <row r="885" ht="15.75" customHeight="1">
      <c r="D885" s="23"/>
    </row>
    <row r="886" ht="15.75" customHeight="1">
      <c r="D886" s="23"/>
    </row>
    <row r="887" ht="15.75" customHeight="1">
      <c r="D887" s="23"/>
    </row>
    <row r="888" ht="15.75" customHeight="1">
      <c r="D888" s="23"/>
    </row>
    <row r="889" ht="15.75" customHeight="1">
      <c r="D889" s="23"/>
    </row>
    <row r="890" ht="15.75" customHeight="1">
      <c r="D890" s="23"/>
    </row>
    <row r="891" ht="15.75" customHeight="1">
      <c r="D891" s="23"/>
    </row>
    <row r="892" ht="15.75" customHeight="1">
      <c r="D892" s="23"/>
    </row>
    <row r="893" ht="15.75" customHeight="1">
      <c r="D893" s="23"/>
    </row>
    <row r="894" ht="15.75" customHeight="1">
      <c r="D894" s="23"/>
    </row>
    <row r="895" ht="15.75" customHeight="1">
      <c r="D895" s="23"/>
    </row>
    <row r="896" ht="15.75" customHeight="1">
      <c r="D896" s="23"/>
    </row>
    <row r="897" ht="15.75" customHeight="1">
      <c r="D897" s="23"/>
    </row>
    <row r="898" ht="15.75" customHeight="1">
      <c r="D898" s="23"/>
    </row>
    <row r="899" ht="15.75" customHeight="1">
      <c r="D899" s="23"/>
    </row>
    <row r="900" ht="15.75" customHeight="1">
      <c r="D900" s="23"/>
    </row>
    <row r="901" ht="15.75" customHeight="1">
      <c r="D901" s="23"/>
    </row>
    <row r="902" ht="15.75" customHeight="1">
      <c r="D902" s="23"/>
    </row>
    <row r="903" ht="15.75" customHeight="1">
      <c r="D903" s="23"/>
    </row>
    <row r="904" ht="15.75" customHeight="1">
      <c r="D904" s="23"/>
    </row>
    <row r="905" ht="15.75" customHeight="1">
      <c r="D905" s="23"/>
    </row>
    <row r="906" ht="15.75" customHeight="1">
      <c r="D906" s="23"/>
    </row>
    <row r="907" ht="15.75" customHeight="1">
      <c r="D907" s="23"/>
    </row>
    <row r="908" ht="15.75" customHeight="1">
      <c r="D908" s="23"/>
    </row>
    <row r="909" ht="15.75" customHeight="1">
      <c r="D909" s="23"/>
    </row>
    <row r="910" ht="15.75" customHeight="1">
      <c r="D910" s="23"/>
    </row>
    <row r="911" ht="15.75" customHeight="1">
      <c r="D911" s="23"/>
    </row>
    <row r="912" ht="15.75" customHeight="1">
      <c r="D912" s="23"/>
    </row>
    <row r="913" ht="15.75" customHeight="1">
      <c r="D913" s="23"/>
    </row>
    <row r="914" ht="15.75" customHeight="1">
      <c r="D914" s="23"/>
    </row>
    <row r="915" ht="15.75" customHeight="1">
      <c r="D915" s="23"/>
    </row>
    <row r="916" ht="15.75" customHeight="1">
      <c r="D916" s="23"/>
    </row>
    <row r="917" ht="15.75" customHeight="1">
      <c r="D917" s="23"/>
    </row>
    <row r="918" ht="15.75" customHeight="1">
      <c r="D918" s="23"/>
    </row>
    <row r="919" ht="15.75" customHeight="1">
      <c r="D919" s="23"/>
    </row>
    <row r="920" ht="15.75" customHeight="1">
      <c r="D920" s="23"/>
    </row>
    <row r="921" ht="15.75" customHeight="1">
      <c r="D921" s="23"/>
    </row>
    <row r="922" ht="15.75" customHeight="1">
      <c r="D922" s="23"/>
    </row>
    <row r="923" ht="15.75" customHeight="1">
      <c r="D923" s="23"/>
    </row>
    <row r="924" ht="15.75" customHeight="1">
      <c r="D924" s="23"/>
    </row>
    <row r="925" ht="15.75" customHeight="1">
      <c r="D925" s="23"/>
    </row>
    <row r="926" ht="15.75" customHeight="1">
      <c r="D926" s="23"/>
    </row>
    <row r="927" ht="15.75" customHeight="1">
      <c r="D927" s="23"/>
    </row>
    <row r="928" ht="15.75" customHeight="1">
      <c r="D928" s="23"/>
    </row>
    <row r="929" ht="15.75" customHeight="1">
      <c r="D929" s="23"/>
    </row>
    <row r="930" ht="15.75" customHeight="1">
      <c r="D930" s="23"/>
    </row>
    <row r="931" ht="15.75" customHeight="1">
      <c r="D931" s="23"/>
    </row>
    <row r="932" ht="15.75" customHeight="1">
      <c r="D932" s="23"/>
    </row>
    <row r="933" ht="15.75" customHeight="1">
      <c r="D933" s="23"/>
    </row>
    <row r="934" ht="15.75" customHeight="1">
      <c r="D934" s="23"/>
    </row>
    <row r="935" ht="15.75" customHeight="1">
      <c r="D935" s="23"/>
    </row>
    <row r="936" ht="15.75" customHeight="1">
      <c r="D936" s="23"/>
    </row>
    <row r="937" ht="15.75" customHeight="1">
      <c r="D937" s="23"/>
    </row>
    <row r="938" ht="15.75" customHeight="1">
      <c r="D938" s="23"/>
    </row>
    <row r="939" ht="15.75" customHeight="1">
      <c r="D939" s="23"/>
    </row>
    <row r="940" ht="15.75" customHeight="1">
      <c r="D940" s="23"/>
    </row>
    <row r="941" ht="15.75" customHeight="1">
      <c r="D941" s="23"/>
    </row>
    <row r="942" ht="15.75" customHeight="1">
      <c r="D942" s="23"/>
    </row>
    <row r="943" ht="15.75" customHeight="1">
      <c r="D943" s="23"/>
    </row>
    <row r="944" ht="15.75" customHeight="1">
      <c r="D944" s="23"/>
    </row>
    <row r="945" ht="15.75" customHeight="1">
      <c r="D945" s="23"/>
    </row>
    <row r="946" ht="15.75" customHeight="1">
      <c r="D946" s="23"/>
    </row>
    <row r="947" ht="15.75" customHeight="1">
      <c r="D947" s="23"/>
    </row>
    <row r="948" ht="15.75" customHeight="1">
      <c r="D948" s="23"/>
    </row>
    <row r="949" ht="15.75" customHeight="1">
      <c r="D949" s="23"/>
    </row>
    <row r="950" ht="15.75" customHeight="1">
      <c r="D950" s="23"/>
    </row>
    <row r="951" ht="15.75" customHeight="1">
      <c r="D951" s="23"/>
    </row>
    <row r="952" ht="15.75" customHeight="1">
      <c r="D952" s="23"/>
    </row>
    <row r="953" ht="15.75" customHeight="1">
      <c r="D953" s="23"/>
    </row>
    <row r="954" ht="15.75" customHeight="1">
      <c r="D954" s="23"/>
    </row>
    <row r="955" ht="15.75" customHeight="1">
      <c r="D955" s="23"/>
    </row>
    <row r="956" ht="15.75" customHeight="1">
      <c r="D956" s="23"/>
    </row>
    <row r="957" ht="15.75" customHeight="1">
      <c r="D957" s="23"/>
    </row>
    <row r="958" ht="15.75" customHeight="1">
      <c r="D958" s="23"/>
    </row>
    <row r="959" ht="15.75" customHeight="1">
      <c r="D959" s="23"/>
    </row>
    <row r="960" ht="15.75" customHeight="1">
      <c r="D960" s="23"/>
    </row>
    <row r="961" ht="15.75" customHeight="1">
      <c r="D961" s="23"/>
    </row>
    <row r="962" ht="15.75" customHeight="1">
      <c r="D962" s="23"/>
    </row>
    <row r="963" ht="15.75" customHeight="1">
      <c r="D963" s="23"/>
    </row>
    <row r="964" ht="15.75" customHeight="1">
      <c r="D964" s="23"/>
    </row>
    <row r="965" ht="15.75" customHeight="1">
      <c r="D965" s="23"/>
    </row>
    <row r="966" ht="15.75" customHeight="1">
      <c r="D966" s="23"/>
    </row>
    <row r="967" ht="15.75" customHeight="1">
      <c r="D967" s="23"/>
    </row>
    <row r="968" ht="15.75" customHeight="1">
      <c r="D968" s="23"/>
    </row>
    <row r="969" ht="15.75" customHeight="1">
      <c r="D969" s="23"/>
    </row>
    <row r="970" ht="15.75" customHeight="1">
      <c r="D970" s="23"/>
    </row>
    <row r="971" ht="15.75" customHeight="1">
      <c r="D971" s="23"/>
    </row>
    <row r="972" ht="15.75" customHeight="1">
      <c r="D972" s="23"/>
    </row>
    <row r="973" ht="15.75" customHeight="1">
      <c r="D973" s="23"/>
    </row>
    <row r="974" ht="15.75" customHeight="1">
      <c r="D974" s="23"/>
    </row>
    <row r="975" ht="15.75" customHeight="1">
      <c r="D975" s="23"/>
    </row>
    <row r="976" ht="15.75" customHeight="1">
      <c r="D976" s="23"/>
    </row>
    <row r="977" ht="15.75" customHeight="1">
      <c r="D977" s="23"/>
    </row>
    <row r="978" ht="15.75" customHeight="1">
      <c r="D978" s="23"/>
    </row>
    <row r="979" ht="15.75" customHeight="1">
      <c r="D979" s="23"/>
    </row>
    <row r="980" ht="15.75" customHeight="1">
      <c r="D980" s="23"/>
    </row>
    <row r="981" ht="15.75" customHeight="1">
      <c r="D981" s="23"/>
    </row>
    <row r="982" ht="15.75" customHeight="1">
      <c r="D982" s="23"/>
    </row>
    <row r="983" ht="15.75" customHeight="1">
      <c r="D983" s="23"/>
    </row>
    <row r="984" ht="15.75" customHeight="1">
      <c r="D984" s="23"/>
    </row>
    <row r="985" ht="15.75" customHeight="1">
      <c r="D985" s="23"/>
    </row>
    <row r="986" ht="15.75" customHeight="1">
      <c r="D986" s="23"/>
    </row>
    <row r="987" ht="15.75" customHeight="1">
      <c r="D987" s="23"/>
    </row>
    <row r="988" ht="15.75" customHeight="1">
      <c r="D988" s="23"/>
    </row>
    <row r="989" ht="15.75" customHeight="1">
      <c r="D989" s="23"/>
    </row>
    <row r="990" ht="15.75" customHeight="1">
      <c r="D990" s="23"/>
    </row>
    <row r="991" ht="15.75" customHeight="1">
      <c r="D991" s="23"/>
    </row>
    <row r="992" ht="15.75" customHeight="1">
      <c r="D992" s="23"/>
    </row>
    <row r="993" ht="15.75" customHeight="1">
      <c r="D993" s="23"/>
    </row>
    <row r="994" ht="15.75" customHeight="1">
      <c r="D994" s="23"/>
    </row>
    <row r="995" ht="15.75" customHeight="1">
      <c r="D995" s="23"/>
    </row>
    <row r="996" ht="15.75" customHeight="1">
      <c r="D996" s="23"/>
    </row>
    <row r="997" ht="15.75" customHeight="1">
      <c r="D997" s="23"/>
    </row>
    <row r="998" ht="15.75" customHeight="1">
      <c r="D998" s="23"/>
    </row>
    <row r="999" ht="15.75" customHeight="1">
      <c r="D999" s="23"/>
    </row>
    <row r="1000" ht="15.75" customHeight="1">
      <c r="D1000" s="23"/>
    </row>
    <row r="1001" ht="15.75" customHeight="1">
      <c r="D1001" s="23"/>
    </row>
  </sheetData>
  <mergeCells count="2">
    <mergeCell ref="B1:D1"/>
    <mergeCell ref="E1:G1"/>
  </mergeCells>
  <dataValidations>
    <dataValidation type="list" allowBlank="1" sqref="D3:D1001">
      <formula1>Dictionary!$AE$4:$AE$49</formula1>
    </dataValidation>
    <dataValidation type="list" allowBlank="1" showErrorMessage="1" sqref="C3:C485">
      <formula1>Dictionary!$Y$4:$Y$627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71"/>
    <col customWidth="1" min="2" max="2" width="20.86"/>
    <col customWidth="1" min="3" max="3" width="10.14"/>
    <col customWidth="1" min="4" max="4" width="11.71"/>
    <col customWidth="1" min="5" max="5" width="12.86"/>
    <col customWidth="1" hidden="1" min="6" max="6" width="24.29"/>
    <col customWidth="1" min="7" max="7" width="18.43"/>
    <col customWidth="1" min="8" max="8" width="16.0"/>
    <col customWidth="1" min="9" max="9" width="18.0"/>
    <col customWidth="1" min="10" max="10" width="123.14"/>
    <col customWidth="1" min="11" max="11" width="53.71"/>
    <col customWidth="1" min="12" max="12" width="54.0"/>
    <col customWidth="1" min="13" max="13" width="61.86"/>
    <col customWidth="1" min="14" max="14" width="208.71"/>
  </cols>
  <sheetData>
    <row r="1">
      <c r="A1" s="93"/>
      <c r="B1" s="93"/>
      <c r="C1" s="93"/>
      <c r="D1" s="22"/>
      <c r="E1" s="22"/>
      <c r="F1" s="22"/>
      <c r="G1" s="22"/>
      <c r="H1" s="94" t="s">
        <v>212</v>
      </c>
      <c r="I1" s="95"/>
      <c r="J1" s="22"/>
      <c r="K1" s="96"/>
      <c r="L1" s="97"/>
      <c r="M1" s="97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>
      <c r="A2" s="97"/>
      <c r="B2" s="97"/>
      <c r="C2" s="97"/>
      <c r="D2" s="22"/>
      <c r="E2" s="22"/>
      <c r="F2" s="22"/>
      <c r="G2" s="22"/>
      <c r="H2" s="98"/>
      <c r="I2" s="99" t="s">
        <v>213</v>
      </c>
      <c r="J2" s="22"/>
      <c r="K2" s="100"/>
      <c r="L2" s="97"/>
      <c r="M2" s="97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>
      <c r="A3" s="97"/>
      <c r="B3" s="97"/>
      <c r="C3" s="97"/>
      <c r="D3" s="22"/>
      <c r="E3" s="22"/>
      <c r="F3" s="22"/>
      <c r="G3" s="22"/>
      <c r="H3" s="101"/>
      <c r="I3" s="99" t="s">
        <v>214</v>
      </c>
      <c r="J3" s="22"/>
      <c r="K3" s="100"/>
      <c r="L3" s="97"/>
      <c r="M3" s="97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>
      <c r="A4" s="102" t="s">
        <v>215</v>
      </c>
      <c r="B4" s="103" t="s">
        <v>216</v>
      </c>
      <c r="H4" s="104"/>
      <c r="I4" s="105" t="s">
        <v>217</v>
      </c>
      <c r="J4" s="22"/>
      <c r="K4" s="96"/>
      <c r="L4" s="97"/>
      <c r="M4" s="97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>
      <c r="A5" s="102" t="s">
        <v>218</v>
      </c>
      <c r="B5" s="106" t="s">
        <v>219</v>
      </c>
      <c r="H5" s="97"/>
      <c r="I5" s="97"/>
      <c r="J5" s="97"/>
      <c r="K5" s="100"/>
      <c r="L5" s="97"/>
      <c r="M5" s="97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>
      <c r="A6" s="102" t="s">
        <v>220</v>
      </c>
      <c r="B6" s="107" t="s">
        <v>221</v>
      </c>
      <c r="H6" s="96"/>
      <c r="I6" s="96"/>
      <c r="J6" s="96"/>
      <c r="K6" s="96"/>
      <c r="L6" s="96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>
      <c r="A7" s="22"/>
      <c r="B7" s="108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>
      <c r="A8" s="109" t="s">
        <v>222</v>
      </c>
      <c r="B8" s="110" t="s">
        <v>223</v>
      </c>
      <c r="C8" s="109" t="s">
        <v>224</v>
      </c>
      <c r="D8" s="109" t="s">
        <v>225</v>
      </c>
      <c r="E8" s="109" t="s">
        <v>226</v>
      </c>
      <c r="F8" s="109" t="s">
        <v>227</v>
      </c>
      <c r="G8" s="109" t="s">
        <v>228</v>
      </c>
      <c r="H8" s="109" t="s">
        <v>229</v>
      </c>
      <c r="I8" s="109" t="s">
        <v>230</v>
      </c>
      <c r="J8" s="111" t="s">
        <v>231</v>
      </c>
      <c r="K8" s="111" t="s">
        <v>232</v>
      </c>
      <c r="L8" s="109" t="s">
        <v>233</v>
      </c>
      <c r="M8" s="109" t="s">
        <v>234</v>
      </c>
      <c r="N8" s="112" t="s">
        <v>235</v>
      </c>
      <c r="O8" s="113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>
      <c r="A9" s="114" t="s">
        <v>236</v>
      </c>
      <c r="B9" s="114" t="s">
        <v>237</v>
      </c>
      <c r="C9" s="115">
        <v>43536.0</v>
      </c>
      <c r="D9" s="115">
        <v>44105.0</v>
      </c>
      <c r="E9" s="114" t="s">
        <v>238</v>
      </c>
      <c r="F9" s="116"/>
      <c r="G9" s="114" t="s">
        <v>130</v>
      </c>
      <c r="H9" s="114" t="s">
        <v>239</v>
      </c>
      <c r="I9" s="116" t="str">
        <f>'Placement (DCM)'!L3</f>
        <v>627x627</v>
      </c>
      <c r="J9" s="116" t="str">
        <f>'Placement (DCM)'!R3</f>
        <v>MK|BR_CH|PD_DT|MWIA_PB|VER_FM|NAT_RT|CPM_PD|DOTZ-10MIL_TG|NON_ST|NON_TS|NONE_SZ|627x627_AD|CM1_IT|OO</v>
      </c>
      <c r="K9" s="116" t="str">
        <f>'Creative Name'!H3</f>
        <v>CV|DOTZ-10MIL_CS|627x627_CT|NAT</v>
      </c>
      <c r="L9" s="116" t="str">
        <f t="shared" ref="L9:L138" si="1">SUBSTITUTE(K9,"|","^")</f>
        <v>CV^DOTZ-10MIL_CS^627x627_CT^NAT</v>
      </c>
      <c r="M9" s="117" t="s">
        <v>240</v>
      </c>
      <c r="N9" s="118" t="str">
        <f t="shared" ref="N9:N138" si="2">CONCATENATE(M9,"?utm_source=",G9,"&amp;utm_medium=","ADS","&amp;utm_campaign=",J9,"&amp;utm_content=",K9)</f>
        <v>https://cartaodotz.dotz.com.br/?utm_source=VERIZON&amp;utm_medium=ADS&amp;utm_campaign=MK|BR_CH|PD_DT|MWIA_PB|VER_FM|NAT_RT|CPM_PD|DOTZ-10MIL_TG|NON_ST|NON_TS|NONE_SZ|627x627_AD|CM1_IT|OO&amp;utm_content=CV|DOTZ-10MIL_CS|627x627_CT|NAT</v>
      </c>
      <c r="O9" s="113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>
      <c r="A10" s="114" t="s">
        <v>236</v>
      </c>
      <c r="B10" s="114" t="s">
        <v>237</v>
      </c>
      <c r="C10" s="115">
        <v>43536.0</v>
      </c>
      <c r="D10" s="115">
        <v>44105.0</v>
      </c>
      <c r="E10" s="114" t="s">
        <v>238</v>
      </c>
      <c r="F10" s="116"/>
      <c r="G10" s="114" t="s">
        <v>130</v>
      </c>
      <c r="H10" s="114" t="s">
        <v>239</v>
      </c>
      <c r="I10" s="116" t="str">
        <f>'Placement (DCM)'!L4</f>
        <v>627x627</v>
      </c>
      <c r="J10" s="116" t="str">
        <f>'Placement (DCM)'!R4</f>
        <v>MK|BR_CH|PD_DT|CROSS_PB|VER_FM|NAT_RT|CPM_PD|DOTZ-TAXA-ZERO_TG|NON_ST|NON_TS|NONE_SZ|627x627_AD|CM1_IT|OO</v>
      </c>
      <c r="K10" s="116" t="str">
        <f>'Creative Name'!H4</f>
        <v>CV|DOTZ-TAXA-ZERO_CS|627x627_CT|NAT</v>
      </c>
      <c r="L10" s="116" t="str">
        <f t="shared" si="1"/>
        <v>CV^DOTZ-TAXA-ZERO_CS^627x627_CT^NAT</v>
      </c>
      <c r="M10" s="117" t="s">
        <v>240</v>
      </c>
      <c r="N10" s="118" t="str">
        <f t="shared" si="2"/>
        <v>https://cartaodotz.dotz.com.br/?utm_source=VERIZON&amp;utm_medium=ADS&amp;utm_campaign=MK|BR_CH|PD_DT|CROSS_PB|VER_FM|NAT_RT|CPM_PD|DOTZ-TAXA-ZERO_TG|NON_ST|NON_TS|NONE_SZ|627x627_AD|CM1_IT|OO&amp;utm_content=CV|DOTZ-TAXA-ZERO_CS|627x627_CT|NAT</v>
      </c>
      <c r="O10" s="113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</row>
    <row r="11">
      <c r="A11" s="114" t="s">
        <v>236</v>
      </c>
      <c r="B11" s="114" t="s">
        <v>241</v>
      </c>
      <c r="C11" s="115">
        <v>44077.0</v>
      </c>
      <c r="D11" s="115">
        <v>44197.0</v>
      </c>
      <c r="E11" s="114" t="s">
        <v>238</v>
      </c>
      <c r="F11" s="116"/>
      <c r="G11" s="114" t="s">
        <v>242</v>
      </c>
      <c r="H11" s="114" t="s">
        <v>239</v>
      </c>
      <c r="I11" s="116" t="str">
        <f>'Placement (DCM)'!L5</f>
        <v>1X1</v>
      </c>
      <c r="J11" s="116" t="str">
        <f>'Placement (DCM)'!R5</f>
        <v>MK|BR_CH|PSD_DT|CROSS_PB|FCBK_FM|LNK_RT|CPM_PD|DOTZ-10MIL-AZUL_TG|NON_ST|NON_TS|NONE_SZ|1X1_AD|CM1_IT|SOC</v>
      </c>
      <c r="K11" s="116" t="str">
        <f>'Creative Name'!H5</f>
        <v>CV|DOTZ-10MIL-AZUL_CS|1x1_CT|FLA</v>
      </c>
      <c r="L11" s="116" t="str">
        <f t="shared" si="1"/>
        <v>CV^DOTZ-10MIL-AZUL_CS^1x1_CT^FLA</v>
      </c>
      <c r="M11" s="119" t="s">
        <v>243</v>
      </c>
      <c r="N11" s="118" t="str">
        <f t="shared" si="2"/>
        <v>https://cartaodotz.dotz.com.br/dotz-bb?utm_source=FACEBOOK&amp;utm_medium=ADS&amp;utm_campaign=MK|BR_CH|PSD_DT|CROSS_PB|FCBK_FM|LNK_RT|CPM_PD|DOTZ-10MIL-AZUL_TG|NON_ST|NON_TS|NONE_SZ|1X1_AD|CM1_IT|SOC&amp;utm_content=CV|DOTZ-10MIL-AZUL_CS|1x1_CT|FLA</v>
      </c>
      <c r="O11" s="113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>
      <c r="A12" s="114" t="s">
        <v>236</v>
      </c>
      <c r="B12" s="114" t="s">
        <v>241</v>
      </c>
      <c r="C12" s="115">
        <v>44077.0</v>
      </c>
      <c r="D12" s="115">
        <v>44197.0</v>
      </c>
      <c r="E12" s="114" t="s">
        <v>238</v>
      </c>
      <c r="F12" s="116"/>
      <c r="G12" s="114" t="s">
        <v>242</v>
      </c>
      <c r="H12" s="114" t="s">
        <v>239</v>
      </c>
      <c r="I12" s="116" t="str">
        <f>'Placement (DCM)'!L6</f>
        <v>1X1</v>
      </c>
      <c r="J12" s="116" t="str">
        <f>'Placement (DCM)'!R6</f>
        <v>MK|BR_CH|PSD_DT|CROSS_PB|FCBK_FM|LNK_RT|CPM_PD|DOTZ-10MIL-AZUL-QUAD_TG|NON_ST|NON_TS|NONE_SZ|1X1_AD|CM1_IT|SOC</v>
      </c>
      <c r="K12" s="116" t="str">
        <f>'Creative Name'!H6</f>
        <v>CV|DOTZ-10MIL-AZUL-QUAD_CS|1x1_CT|FLA</v>
      </c>
      <c r="L12" s="116" t="str">
        <f t="shared" si="1"/>
        <v>CV^DOTZ-10MIL-AZUL-QUAD_CS^1x1_CT^FLA</v>
      </c>
      <c r="M12" s="119" t="s">
        <v>243</v>
      </c>
      <c r="N12" s="118" t="str">
        <f t="shared" si="2"/>
        <v>https://cartaodotz.dotz.com.br/dotz-bb?utm_source=FACEBOOK&amp;utm_medium=ADS&amp;utm_campaign=MK|BR_CH|PSD_DT|CROSS_PB|FCBK_FM|LNK_RT|CPM_PD|DOTZ-10MIL-AZUL-QUAD_TG|NON_ST|NON_TS|NONE_SZ|1X1_AD|CM1_IT|SOC&amp;utm_content=CV|DOTZ-10MIL-AZUL-QUAD_CS|1x1_CT|FLA</v>
      </c>
      <c r="O12" s="113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>
      <c r="A13" s="114" t="s">
        <v>236</v>
      </c>
      <c r="B13" s="114" t="s">
        <v>241</v>
      </c>
      <c r="C13" s="115">
        <v>44077.0</v>
      </c>
      <c r="D13" s="115">
        <v>44197.0</v>
      </c>
      <c r="E13" s="114" t="s">
        <v>238</v>
      </c>
      <c r="F13" s="116"/>
      <c r="G13" s="114" t="s">
        <v>242</v>
      </c>
      <c r="H13" s="114" t="s">
        <v>239</v>
      </c>
      <c r="I13" s="116" t="str">
        <f>'Placement (DCM)'!L7</f>
        <v>1X1</v>
      </c>
      <c r="J13" s="116" t="str">
        <f>'Placement (DCM)'!R7</f>
        <v>MK|BR_CH|PSD_DT|CROSS_PB|FCBK_FM|GIF_RT|CPM_PD|DOTZ-10MIL-AZUL_TG|NON_ST|NON_TS|NONE_SZ|1X1_AD|CM1_IT|SOC</v>
      </c>
      <c r="K13" s="116" t="str">
        <f>'Creative Name'!H7</f>
        <v>CV|DOTZ-10MIL-AZUL_CS|1x1_CT|FGIF</v>
      </c>
      <c r="L13" s="116" t="str">
        <f t="shared" si="1"/>
        <v>CV^DOTZ-10MIL-AZUL_CS^1x1_CT^FGIF</v>
      </c>
      <c r="M13" s="119" t="s">
        <v>243</v>
      </c>
      <c r="N13" s="118" t="str">
        <f t="shared" si="2"/>
        <v>https://cartaodotz.dotz.com.br/dotz-bb?utm_source=FACEBOOK&amp;utm_medium=ADS&amp;utm_campaign=MK|BR_CH|PSD_DT|CROSS_PB|FCBK_FM|GIF_RT|CPM_PD|DOTZ-10MIL-AZUL_TG|NON_ST|NON_TS|NONE_SZ|1X1_AD|CM1_IT|SOC&amp;utm_content=CV|DOTZ-10MIL-AZUL_CS|1x1_CT|FGIF</v>
      </c>
      <c r="O13" s="113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>
      <c r="A14" s="114" t="s">
        <v>236</v>
      </c>
      <c r="B14" s="114" t="s">
        <v>241</v>
      </c>
      <c r="C14" s="115">
        <v>44077.0</v>
      </c>
      <c r="D14" s="115">
        <v>44197.0</v>
      </c>
      <c r="E14" s="114" t="s">
        <v>238</v>
      </c>
      <c r="F14" s="116"/>
      <c r="G14" s="114" t="s">
        <v>242</v>
      </c>
      <c r="H14" s="114" t="s">
        <v>239</v>
      </c>
      <c r="I14" s="116" t="str">
        <f>'Placement (DCM)'!L8</f>
        <v>1X1</v>
      </c>
      <c r="J14" s="116" t="str">
        <f>'Placement (DCM)'!R8</f>
        <v>MK|BR_CH|PSD_DT|CROSS_PB|FCBK_FM|CAR_RT|CPM_PD|DOTZ-10MIL-AZUL_TG|NON_ST|NON_TS|NONE_SZ|1X1_AD|CM1_IT|SOC</v>
      </c>
      <c r="K14" s="116" t="str">
        <f>'Creative Name'!H8</f>
        <v>CV|DOTZ-10MIL-AZUL_CS|1x1_CT|FCR</v>
      </c>
      <c r="L14" s="116" t="str">
        <f t="shared" si="1"/>
        <v>CV^DOTZ-10MIL-AZUL_CS^1x1_CT^FCR</v>
      </c>
      <c r="M14" s="119" t="s">
        <v>243</v>
      </c>
      <c r="N14" s="118" t="str">
        <f t="shared" si="2"/>
        <v>https://cartaodotz.dotz.com.br/dotz-bb?utm_source=FACEBOOK&amp;utm_medium=ADS&amp;utm_campaign=MK|BR_CH|PSD_DT|CROSS_PB|FCBK_FM|CAR_RT|CPM_PD|DOTZ-10MIL-AZUL_TG|NON_ST|NON_TS|NONE_SZ|1X1_AD|CM1_IT|SOC&amp;utm_content=CV|DOTZ-10MIL-AZUL_CS|1x1_CT|FCR</v>
      </c>
      <c r="O14" s="113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>
      <c r="A15" s="114" t="s">
        <v>236</v>
      </c>
      <c r="B15" s="114" t="s">
        <v>241</v>
      </c>
      <c r="C15" s="115">
        <v>44077.0</v>
      </c>
      <c r="D15" s="115">
        <v>44197.0</v>
      </c>
      <c r="E15" s="114" t="s">
        <v>238</v>
      </c>
      <c r="F15" s="116"/>
      <c r="G15" s="114" t="s">
        <v>242</v>
      </c>
      <c r="H15" s="114" t="s">
        <v>239</v>
      </c>
      <c r="I15" s="116" t="str">
        <f>'Placement (DCM)'!L9</f>
        <v>1X1</v>
      </c>
      <c r="J15" s="116" t="str">
        <f>'Placement (DCM)'!R9</f>
        <v>MK|BR_CH|PSD_DT|CROSS_PB|FCBK_FM|STRY_RT|CPM_PD|DOTZ-10MIL-AZUL-CAR_TG|NON_ST|NON_TS|NONE_SZ|1X1_AD|CM1_IT|SOC</v>
      </c>
      <c r="K15" s="116" t="str">
        <f>'Creative Name'!H9</f>
        <v>CV|DOTZ-10MIL-AZUL-CAR_CS|1x1_CT|INSSTORY</v>
      </c>
      <c r="L15" s="116" t="str">
        <f t="shared" si="1"/>
        <v>CV^DOTZ-10MIL-AZUL-CAR_CS^1x1_CT^INSSTORY</v>
      </c>
      <c r="M15" s="119" t="s">
        <v>243</v>
      </c>
      <c r="N15" s="118" t="str">
        <f t="shared" si="2"/>
        <v>https://cartaodotz.dotz.com.br/dotz-bb?utm_source=FACEBOOK&amp;utm_medium=ADS&amp;utm_campaign=MK|BR_CH|PSD_DT|CROSS_PB|FCBK_FM|STRY_RT|CPM_PD|DOTZ-10MIL-AZUL-CAR_TG|NON_ST|NON_TS|NONE_SZ|1X1_AD|CM1_IT|SOC&amp;utm_content=CV|DOTZ-10MIL-AZUL-CAR_CS|1x1_CT|INSSTORY</v>
      </c>
      <c r="O15" s="113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6">
      <c r="A16" s="114" t="s">
        <v>236</v>
      </c>
      <c r="B16" s="114" t="s">
        <v>241</v>
      </c>
      <c r="C16" s="115">
        <v>44077.0</v>
      </c>
      <c r="D16" s="115">
        <v>44197.0</v>
      </c>
      <c r="E16" s="114" t="s">
        <v>238</v>
      </c>
      <c r="F16" s="116"/>
      <c r="G16" s="114" t="s">
        <v>242</v>
      </c>
      <c r="H16" s="114" t="s">
        <v>239</v>
      </c>
      <c r="I16" s="116" t="str">
        <f>'Placement (DCM)'!L10</f>
        <v>1X1</v>
      </c>
      <c r="J16" s="116" t="str">
        <f>'Placement (DCM)'!R10</f>
        <v>MK|BR_CH|PSD_DT|CROSS_PB|FCBK_FM|LNK_RT|CPM_PD|DOTZ-ZERO-ANUIDADE-AZUL_TG|NON_ST|NON_TS|NONE_SZ|1X1_AD|CM1_IT|SOC</v>
      </c>
      <c r="K16" s="116" t="str">
        <f>'Creative Name'!H10</f>
        <v>CV|DOTZ-ZERO-ANUIDADE-AZUL_CS|1x1_CT|FLA</v>
      </c>
      <c r="L16" s="116" t="str">
        <f t="shared" si="1"/>
        <v>CV^DOTZ-ZERO-ANUIDADE-AZUL_CS^1x1_CT^FLA</v>
      </c>
      <c r="M16" s="119" t="s">
        <v>243</v>
      </c>
      <c r="N16" s="118" t="str">
        <f t="shared" si="2"/>
        <v>https://cartaodotz.dotz.com.br/dotz-bb?utm_source=FACEBOOK&amp;utm_medium=ADS&amp;utm_campaign=MK|BR_CH|PSD_DT|CROSS_PB|FCBK_FM|LNK_RT|CPM_PD|DOTZ-ZERO-ANUIDADE-AZUL_TG|NON_ST|NON_TS|NONE_SZ|1X1_AD|CM1_IT|SOC&amp;utm_content=CV|DOTZ-ZERO-ANUIDADE-AZUL_CS|1x1_CT|FLA</v>
      </c>
      <c r="O16" s="113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</row>
    <row r="17">
      <c r="A17" s="114" t="s">
        <v>236</v>
      </c>
      <c r="B17" s="114" t="s">
        <v>241</v>
      </c>
      <c r="C17" s="115">
        <v>44077.0</v>
      </c>
      <c r="D17" s="115">
        <v>44197.0</v>
      </c>
      <c r="E17" s="114" t="s">
        <v>238</v>
      </c>
      <c r="F17" s="116"/>
      <c r="G17" s="114" t="s">
        <v>242</v>
      </c>
      <c r="H17" s="114" t="s">
        <v>239</v>
      </c>
      <c r="I17" s="116" t="str">
        <f>'Placement (DCM)'!L11</f>
        <v>1X1</v>
      </c>
      <c r="J17" s="116" t="str">
        <f>'Placement (DCM)'!R11</f>
        <v>MK|BR_CH|PSD_DT|CROSS_PB|FCBK_FM|LNK_RT|CPM_PD|DOTZ-ZERO-ANUIDADE-AZUL-QUAD_TG|NON_ST|NON_TS|NONE_SZ|1X1_AD|CM1_IT|SOC</v>
      </c>
      <c r="K17" s="116" t="str">
        <f>'Creative Name'!H11</f>
        <v>CV|DOTZ-ZERO-ANUIDADE-AZUL-QUAD_CS|1x1_CT|FLA</v>
      </c>
      <c r="L17" s="116" t="str">
        <f t="shared" si="1"/>
        <v>CV^DOTZ-ZERO-ANUIDADE-AZUL-QUAD_CS^1x1_CT^FLA</v>
      </c>
      <c r="M17" s="119" t="s">
        <v>243</v>
      </c>
      <c r="N17" s="118" t="str">
        <f t="shared" si="2"/>
        <v>https://cartaodotz.dotz.com.br/dotz-bb?utm_source=FACEBOOK&amp;utm_medium=ADS&amp;utm_campaign=MK|BR_CH|PSD_DT|CROSS_PB|FCBK_FM|LNK_RT|CPM_PD|DOTZ-ZERO-ANUIDADE-AZUL-QUAD_TG|NON_ST|NON_TS|NONE_SZ|1X1_AD|CM1_IT|SOC&amp;utm_content=CV|DOTZ-ZERO-ANUIDADE-AZUL-QUAD_CS|1x1_CT|FLA</v>
      </c>
      <c r="O17" s="113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>
      <c r="A18" s="114" t="s">
        <v>236</v>
      </c>
      <c r="B18" s="114" t="s">
        <v>241</v>
      </c>
      <c r="C18" s="115">
        <v>44077.0</v>
      </c>
      <c r="D18" s="115">
        <v>44197.0</v>
      </c>
      <c r="E18" s="114" t="s">
        <v>238</v>
      </c>
      <c r="F18" s="116"/>
      <c r="G18" s="114" t="s">
        <v>242</v>
      </c>
      <c r="H18" s="114" t="s">
        <v>239</v>
      </c>
      <c r="I18" s="116" t="str">
        <f>'Placement (DCM)'!L12</f>
        <v>1X1</v>
      </c>
      <c r="J18" s="116" t="str">
        <f>'Placement (DCM)'!R12</f>
        <v>MK|BR_CH|PSD_DT|CROSS_PB|FCBK_FM|GIF_RT|CPM_PD|DOTZ-ZERO-ANUIDADE-AZUL_TG|NON_ST|NON_TS|NONE_SZ|1X1_AD|CM1_IT|SOC</v>
      </c>
      <c r="K18" s="116" t="str">
        <f>'Creative Name'!H12</f>
        <v>CV|DOTZ-ZERO-ANUIDADE-AZUL_CS|1x1_CT|FGIF</v>
      </c>
      <c r="L18" s="116" t="str">
        <f t="shared" si="1"/>
        <v>CV^DOTZ-ZERO-ANUIDADE-AZUL_CS^1x1_CT^FGIF</v>
      </c>
      <c r="M18" s="119" t="s">
        <v>243</v>
      </c>
      <c r="N18" s="118" t="str">
        <f t="shared" si="2"/>
        <v>https://cartaodotz.dotz.com.br/dotz-bb?utm_source=FACEBOOK&amp;utm_medium=ADS&amp;utm_campaign=MK|BR_CH|PSD_DT|CROSS_PB|FCBK_FM|GIF_RT|CPM_PD|DOTZ-ZERO-ANUIDADE-AZUL_TG|NON_ST|NON_TS|NONE_SZ|1X1_AD|CM1_IT|SOC&amp;utm_content=CV|DOTZ-ZERO-ANUIDADE-AZUL_CS|1x1_CT|FGIF</v>
      </c>
      <c r="O18" s="113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</row>
    <row r="19">
      <c r="A19" s="114" t="s">
        <v>236</v>
      </c>
      <c r="B19" s="114" t="s">
        <v>241</v>
      </c>
      <c r="C19" s="115">
        <v>44077.0</v>
      </c>
      <c r="D19" s="115">
        <v>44197.0</v>
      </c>
      <c r="E19" s="114" t="s">
        <v>238</v>
      </c>
      <c r="F19" s="116"/>
      <c r="G19" s="114" t="s">
        <v>242</v>
      </c>
      <c r="H19" s="114" t="s">
        <v>239</v>
      </c>
      <c r="I19" s="116" t="str">
        <f>'Placement (DCM)'!L13</f>
        <v>1X1</v>
      </c>
      <c r="J19" s="116" t="str">
        <f>'Placement (DCM)'!R13</f>
        <v>MK|BR_CH|PSD_DT|CROSS_PB|FCBK_FM|CAR_RT|CPM_PD|DOTZ-ZERO-ANUIDADE-AZUL_TG|NON_ST|NON_TS|NONE_SZ|1X1_AD|CM1_IT|SOC</v>
      </c>
      <c r="K19" s="116" t="str">
        <f>'Creative Name'!H13</f>
        <v>CV|DOTZ-ZERO-ANUIDADE-AZUL_CS|1x1_CT|FCR</v>
      </c>
      <c r="L19" s="116" t="str">
        <f t="shared" si="1"/>
        <v>CV^DOTZ-ZERO-ANUIDADE-AZUL_CS^1x1_CT^FCR</v>
      </c>
      <c r="M19" s="119" t="s">
        <v>243</v>
      </c>
      <c r="N19" s="118" t="str">
        <f t="shared" si="2"/>
        <v>https://cartaodotz.dotz.com.br/dotz-bb?utm_source=FACEBOOK&amp;utm_medium=ADS&amp;utm_campaign=MK|BR_CH|PSD_DT|CROSS_PB|FCBK_FM|CAR_RT|CPM_PD|DOTZ-ZERO-ANUIDADE-AZUL_TG|NON_ST|NON_TS|NONE_SZ|1X1_AD|CM1_IT|SOC&amp;utm_content=CV|DOTZ-ZERO-ANUIDADE-AZUL_CS|1x1_CT|FCR</v>
      </c>
      <c r="O19" s="113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>
      <c r="A20" s="114" t="s">
        <v>236</v>
      </c>
      <c r="B20" s="114" t="s">
        <v>241</v>
      </c>
      <c r="C20" s="115">
        <v>44077.0</v>
      </c>
      <c r="D20" s="115">
        <v>44197.0</v>
      </c>
      <c r="E20" s="114" t="s">
        <v>238</v>
      </c>
      <c r="F20" s="116"/>
      <c r="G20" s="114" t="s">
        <v>242</v>
      </c>
      <c r="H20" s="114" t="s">
        <v>239</v>
      </c>
      <c r="I20" s="116" t="str">
        <f>'Placement (DCM)'!L14</f>
        <v>1X1</v>
      </c>
      <c r="J20" s="116" t="str">
        <f>'Placement (DCM)'!R14</f>
        <v>MK|BR_CH|PSD_DT|CROSS_PB|FCBK_FM|STRY_RT|CPM_PD|DOTZ-ZERO-ANUIDADE-AZUL-CAR_TG|NON_ST|NON_TS|NONE_SZ|1X1_AD|CM1_IT|SOC</v>
      </c>
      <c r="K20" s="116" t="str">
        <f>'Creative Name'!H14</f>
        <v>CV|DOTZ-ZERO-ANUIDADE-AZUL-CAR_CS|1x1_CT|INSSTORY</v>
      </c>
      <c r="L20" s="116" t="str">
        <f t="shared" si="1"/>
        <v>CV^DOTZ-ZERO-ANUIDADE-AZUL-CAR_CS^1x1_CT^INSSTORY</v>
      </c>
      <c r="M20" s="119" t="s">
        <v>243</v>
      </c>
      <c r="N20" s="118" t="str">
        <f t="shared" si="2"/>
        <v>https://cartaodotz.dotz.com.br/dotz-bb?utm_source=FACEBOOK&amp;utm_medium=ADS&amp;utm_campaign=MK|BR_CH|PSD_DT|CROSS_PB|FCBK_FM|STRY_RT|CPM_PD|DOTZ-ZERO-ANUIDADE-AZUL-CAR_TG|NON_ST|NON_TS|NONE_SZ|1X1_AD|CM1_IT|SOC&amp;utm_content=CV|DOTZ-ZERO-ANUIDADE-AZUL-CAR_CS|1x1_CT|INSSTORY</v>
      </c>
      <c r="O20" s="113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>
      <c r="A21" s="114" t="s">
        <v>236</v>
      </c>
      <c r="B21" s="114" t="s">
        <v>241</v>
      </c>
      <c r="C21" s="115">
        <v>44077.0</v>
      </c>
      <c r="D21" s="115">
        <v>44197.0</v>
      </c>
      <c r="E21" s="114" t="s">
        <v>238</v>
      </c>
      <c r="F21" s="116"/>
      <c r="G21" s="114" t="s">
        <v>242</v>
      </c>
      <c r="H21" s="114" t="s">
        <v>239</v>
      </c>
      <c r="I21" s="116" t="str">
        <f>'Placement (DCM)'!L15</f>
        <v>1X1</v>
      </c>
      <c r="J21" s="116" t="str">
        <f>'Placement (DCM)'!R15</f>
        <v>MK|BR_CH|PSD_DT|CROSS_PB|FCBK_FM|LNK_RT|CPM_PD|DOTZ-TODOS-BENEFICIOS-AZUL_TG|NON_ST|NON_TS|NONE_SZ|1X1_AD|CM1_IT|SOC</v>
      </c>
      <c r="K21" s="116" t="str">
        <f>'Creative Name'!H15</f>
        <v>CV|DOTZ-TODOS-BENEFICIOS-AZUL_CS|1x1_CT|FLA</v>
      </c>
      <c r="L21" s="116" t="str">
        <f t="shared" si="1"/>
        <v>CV^DOTZ-TODOS-BENEFICIOS-AZUL_CS^1x1_CT^FLA</v>
      </c>
      <c r="M21" s="119" t="s">
        <v>243</v>
      </c>
      <c r="N21" s="118" t="str">
        <f t="shared" si="2"/>
        <v>https://cartaodotz.dotz.com.br/dotz-bb?utm_source=FACEBOOK&amp;utm_medium=ADS&amp;utm_campaign=MK|BR_CH|PSD_DT|CROSS_PB|FCBK_FM|LNK_RT|CPM_PD|DOTZ-TODOS-BENEFICIOS-AZUL_TG|NON_ST|NON_TS|NONE_SZ|1X1_AD|CM1_IT|SOC&amp;utm_content=CV|DOTZ-TODOS-BENEFICIOS-AZUL_CS|1x1_CT|FLA</v>
      </c>
      <c r="O21" s="113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</row>
    <row r="22">
      <c r="A22" s="114" t="s">
        <v>236</v>
      </c>
      <c r="B22" s="114" t="s">
        <v>241</v>
      </c>
      <c r="C22" s="115">
        <v>44077.0</v>
      </c>
      <c r="D22" s="115">
        <v>44197.0</v>
      </c>
      <c r="E22" s="114" t="s">
        <v>238</v>
      </c>
      <c r="F22" s="116"/>
      <c r="G22" s="114" t="s">
        <v>242</v>
      </c>
      <c r="H22" s="114" t="s">
        <v>239</v>
      </c>
      <c r="I22" s="116" t="str">
        <f>'Placement (DCM)'!L16</f>
        <v>1X1</v>
      </c>
      <c r="J22" s="116" t="str">
        <f>'Placement (DCM)'!R16</f>
        <v>MK|BR_CH|PSD_DT|CROSS_PB|FCBK_FM|LNK_RT|CPM_PD|DOTZ-TODOS-BENEFICIOS-AZUL-QUAD_TG|NON_ST|NON_TS|NONE_SZ|1X1_AD|CM1_IT|SOC</v>
      </c>
      <c r="K22" s="116" t="str">
        <f>'Creative Name'!H16</f>
        <v>CV|DOTZ-TODOS-BENEFICIOS-AZUL-QUAD_CS|1x1_CT|FLA</v>
      </c>
      <c r="L22" s="116" t="str">
        <f t="shared" si="1"/>
        <v>CV^DOTZ-TODOS-BENEFICIOS-AZUL-QUAD_CS^1x1_CT^FLA</v>
      </c>
      <c r="M22" s="119" t="s">
        <v>243</v>
      </c>
      <c r="N22" s="118" t="str">
        <f t="shared" si="2"/>
        <v>https://cartaodotz.dotz.com.br/dotz-bb?utm_source=FACEBOOK&amp;utm_medium=ADS&amp;utm_campaign=MK|BR_CH|PSD_DT|CROSS_PB|FCBK_FM|LNK_RT|CPM_PD|DOTZ-TODOS-BENEFICIOS-AZUL-QUAD_TG|NON_ST|NON_TS|NONE_SZ|1X1_AD|CM1_IT|SOC&amp;utm_content=CV|DOTZ-TODOS-BENEFICIOS-AZUL-QUAD_CS|1x1_CT|FLA</v>
      </c>
      <c r="O22" s="113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</row>
    <row r="23">
      <c r="A23" s="114" t="s">
        <v>236</v>
      </c>
      <c r="B23" s="114" t="s">
        <v>241</v>
      </c>
      <c r="C23" s="115">
        <v>44077.0</v>
      </c>
      <c r="D23" s="115">
        <v>44197.0</v>
      </c>
      <c r="E23" s="114" t="s">
        <v>238</v>
      </c>
      <c r="F23" s="116"/>
      <c r="G23" s="114" t="s">
        <v>242</v>
      </c>
      <c r="H23" s="114" t="s">
        <v>239</v>
      </c>
      <c r="I23" s="116" t="str">
        <f>'Placement (DCM)'!L17</f>
        <v>1X1</v>
      </c>
      <c r="J23" s="116" t="str">
        <f>'Placement (DCM)'!R17</f>
        <v>MK|BR_CH|PSD_DT|CROSS_PB|FCBK_FM|GIF_RT|CPM_PD|DOTZ-TODOS-BENEFICIOS-AZUL_TG|NON_ST|NON_TS|NONE_SZ|1X1_AD|CM1_IT|SOC</v>
      </c>
      <c r="K23" s="116" t="str">
        <f>'Creative Name'!H17</f>
        <v>CV|DOTZ-TODOS-BENEFICIOS-AZUL_CS|1x1_CT|FGIF</v>
      </c>
      <c r="L23" s="116" t="str">
        <f t="shared" si="1"/>
        <v>CV^DOTZ-TODOS-BENEFICIOS-AZUL_CS^1x1_CT^FGIF</v>
      </c>
      <c r="M23" s="119" t="s">
        <v>243</v>
      </c>
      <c r="N23" s="118" t="str">
        <f t="shared" si="2"/>
        <v>https://cartaodotz.dotz.com.br/dotz-bb?utm_source=FACEBOOK&amp;utm_medium=ADS&amp;utm_campaign=MK|BR_CH|PSD_DT|CROSS_PB|FCBK_FM|GIF_RT|CPM_PD|DOTZ-TODOS-BENEFICIOS-AZUL_TG|NON_ST|NON_TS|NONE_SZ|1X1_AD|CM1_IT|SOC&amp;utm_content=CV|DOTZ-TODOS-BENEFICIOS-AZUL_CS|1x1_CT|FGIF</v>
      </c>
      <c r="O23" s="113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</row>
    <row r="24">
      <c r="A24" s="114" t="s">
        <v>236</v>
      </c>
      <c r="B24" s="114" t="s">
        <v>241</v>
      </c>
      <c r="C24" s="115">
        <v>44077.0</v>
      </c>
      <c r="D24" s="115">
        <v>44197.0</v>
      </c>
      <c r="E24" s="114" t="s">
        <v>238</v>
      </c>
      <c r="F24" s="116"/>
      <c r="G24" s="114" t="s">
        <v>242</v>
      </c>
      <c r="H24" s="114" t="s">
        <v>239</v>
      </c>
      <c r="I24" s="116" t="str">
        <f>'Placement (DCM)'!L18</f>
        <v>1X1</v>
      </c>
      <c r="J24" s="116" t="str">
        <f>'Placement (DCM)'!R18</f>
        <v>MK|BR_CH|PSD_DT|CROSS_PB|FCBK_FM|CAR_RT|CPM_PD|DOTZ-TODOS-BENEFICIOS-AZUL_TG|NON_ST|NON_TS|NONE_SZ|1X1_AD|CM1_IT|SOC</v>
      </c>
      <c r="K24" s="116" t="str">
        <f>'Creative Name'!H18</f>
        <v>CV|DOTZ-TODOS-BENEFICIOS-AZUL_CS|1x1_CT|FCR</v>
      </c>
      <c r="L24" s="116" t="str">
        <f t="shared" si="1"/>
        <v>CV^DOTZ-TODOS-BENEFICIOS-AZUL_CS^1x1_CT^FCR</v>
      </c>
      <c r="M24" s="119" t="s">
        <v>243</v>
      </c>
      <c r="N24" s="118" t="str">
        <f t="shared" si="2"/>
        <v>https://cartaodotz.dotz.com.br/dotz-bb?utm_source=FACEBOOK&amp;utm_medium=ADS&amp;utm_campaign=MK|BR_CH|PSD_DT|CROSS_PB|FCBK_FM|CAR_RT|CPM_PD|DOTZ-TODOS-BENEFICIOS-AZUL_TG|NON_ST|NON_TS|NONE_SZ|1X1_AD|CM1_IT|SOC&amp;utm_content=CV|DOTZ-TODOS-BENEFICIOS-AZUL_CS|1x1_CT|FCR</v>
      </c>
      <c r="O24" s="113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</row>
    <row r="25">
      <c r="A25" s="114" t="s">
        <v>236</v>
      </c>
      <c r="B25" s="114" t="s">
        <v>241</v>
      </c>
      <c r="C25" s="115">
        <v>44077.0</v>
      </c>
      <c r="D25" s="115">
        <v>44197.0</v>
      </c>
      <c r="E25" s="114" t="s">
        <v>238</v>
      </c>
      <c r="F25" s="116"/>
      <c r="G25" s="114" t="s">
        <v>242</v>
      </c>
      <c r="H25" s="114" t="s">
        <v>239</v>
      </c>
      <c r="I25" s="116" t="str">
        <f>'Placement (DCM)'!L19</f>
        <v>1X1</v>
      </c>
      <c r="J25" s="116" t="str">
        <f>'Placement (DCM)'!R19</f>
        <v>MK|BR_CH|PSD_DT|CROSS_PB|FCBK_FM|STRY_RT|CPM_PD|DOTZ-TODOS-BENEFICIOS-AZUL-CAR_TG|NON_ST|NON_TS|NONE_SZ|1X1_AD|CM1_IT|SOC</v>
      </c>
      <c r="K25" s="116" t="str">
        <f>'Creative Name'!H19</f>
        <v>CV|DOTZ-TODOS-BENEFICIOS-AZUL-CAR_CS|1x1_CT|INSSTORY</v>
      </c>
      <c r="L25" s="116" t="str">
        <f t="shared" si="1"/>
        <v>CV^DOTZ-TODOS-BENEFICIOS-AZUL-CAR_CS^1x1_CT^INSSTORY</v>
      </c>
      <c r="M25" s="119" t="s">
        <v>243</v>
      </c>
      <c r="N25" s="118" t="str">
        <f t="shared" si="2"/>
        <v>https://cartaodotz.dotz.com.br/dotz-bb?utm_source=FACEBOOK&amp;utm_medium=ADS&amp;utm_campaign=MK|BR_CH|PSD_DT|CROSS_PB|FCBK_FM|STRY_RT|CPM_PD|DOTZ-TODOS-BENEFICIOS-AZUL-CAR_TG|NON_ST|NON_TS|NONE_SZ|1X1_AD|CM1_IT|SOC&amp;utm_content=CV|DOTZ-TODOS-BENEFICIOS-AZUL-CAR_CS|1x1_CT|INSSTORY</v>
      </c>
      <c r="O25" s="113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</row>
    <row r="26">
      <c r="A26" s="114" t="s">
        <v>236</v>
      </c>
      <c r="B26" s="114" t="s">
        <v>241</v>
      </c>
      <c r="C26" s="115">
        <v>44077.0</v>
      </c>
      <c r="D26" s="115">
        <v>44197.0</v>
      </c>
      <c r="E26" s="114" t="s">
        <v>238</v>
      </c>
      <c r="F26" s="116"/>
      <c r="G26" s="114" t="s">
        <v>242</v>
      </c>
      <c r="H26" s="114" t="s">
        <v>239</v>
      </c>
      <c r="I26" s="116" t="str">
        <f>'Placement (DCM)'!L20</f>
        <v>1X1</v>
      </c>
      <c r="J26" s="116" t="str">
        <f>'Placement (DCM)'!R20</f>
        <v>MK|BR_CH|PSD_DT|CROSS_PB|FCBK_FM|LNK_RT|CPM_PD|DOTZ-10MIL-AMARELO_TG|NON_ST|NON_TS|NONE_SZ|1X1_AD|CM1_IT|SOC</v>
      </c>
      <c r="K26" s="116" t="str">
        <f>'Creative Name'!H20</f>
        <v>CV|DOTZ-10MIL-AMARELO_CS|1x1_CT|FLA</v>
      </c>
      <c r="L26" s="116" t="str">
        <f t="shared" si="1"/>
        <v>CV^DOTZ-10MIL-AMARELO_CS^1x1_CT^FLA</v>
      </c>
      <c r="M26" s="119" t="s">
        <v>243</v>
      </c>
      <c r="N26" s="118" t="str">
        <f t="shared" si="2"/>
        <v>https://cartaodotz.dotz.com.br/dotz-bb?utm_source=FACEBOOK&amp;utm_medium=ADS&amp;utm_campaign=MK|BR_CH|PSD_DT|CROSS_PB|FCBK_FM|LNK_RT|CPM_PD|DOTZ-10MIL-AMARELO_TG|NON_ST|NON_TS|NONE_SZ|1X1_AD|CM1_IT|SOC&amp;utm_content=CV|DOTZ-10MIL-AMARELO_CS|1x1_CT|FLA</v>
      </c>
      <c r="O26" s="113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</row>
    <row r="27">
      <c r="A27" s="114" t="s">
        <v>236</v>
      </c>
      <c r="B27" s="114" t="s">
        <v>241</v>
      </c>
      <c r="C27" s="115">
        <v>44077.0</v>
      </c>
      <c r="D27" s="115">
        <v>44197.0</v>
      </c>
      <c r="E27" s="114" t="s">
        <v>238</v>
      </c>
      <c r="F27" s="116"/>
      <c r="G27" s="114" t="s">
        <v>242</v>
      </c>
      <c r="H27" s="114" t="s">
        <v>239</v>
      </c>
      <c r="I27" s="116" t="str">
        <f>'Placement (DCM)'!L21</f>
        <v>1X1</v>
      </c>
      <c r="J27" s="116" t="str">
        <f>'Placement (DCM)'!R21</f>
        <v>MK|BR_CH|PSD_DT|CROSS_PB|FCBK_FM|LNK_RT|CPM_PD|DOTZ-10MIL-AMARELO-QUAD_TG|NON_ST|NON_TS|NONE_SZ|1X1_AD|CM1_IT|SOC</v>
      </c>
      <c r="K27" s="116" t="str">
        <f>'Creative Name'!H21</f>
        <v>CV|DOTZ-10MIL-AMARELO-QUAD_CS|1x1_CT|FLA</v>
      </c>
      <c r="L27" s="116" t="str">
        <f t="shared" si="1"/>
        <v>CV^DOTZ-10MIL-AMARELO-QUAD_CS^1x1_CT^FLA</v>
      </c>
      <c r="M27" s="119" t="s">
        <v>243</v>
      </c>
      <c r="N27" s="118" t="str">
        <f t="shared" si="2"/>
        <v>https://cartaodotz.dotz.com.br/dotz-bb?utm_source=FACEBOOK&amp;utm_medium=ADS&amp;utm_campaign=MK|BR_CH|PSD_DT|CROSS_PB|FCBK_FM|LNK_RT|CPM_PD|DOTZ-10MIL-AMARELO-QUAD_TG|NON_ST|NON_TS|NONE_SZ|1X1_AD|CM1_IT|SOC&amp;utm_content=CV|DOTZ-10MIL-AMARELO-QUAD_CS|1x1_CT|FLA</v>
      </c>
      <c r="O27" s="113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</row>
    <row r="28">
      <c r="A28" s="114" t="s">
        <v>236</v>
      </c>
      <c r="B28" s="114" t="s">
        <v>241</v>
      </c>
      <c r="C28" s="115">
        <v>44077.0</v>
      </c>
      <c r="D28" s="115">
        <v>44197.0</v>
      </c>
      <c r="E28" s="114" t="s">
        <v>238</v>
      </c>
      <c r="F28" s="116"/>
      <c r="G28" s="114" t="s">
        <v>242</v>
      </c>
      <c r="H28" s="114" t="s">
        <v>239</v>
      </c>
      <c r="I28" s="116" t="str">
        <f>'Placement (DCM)'!L22</f>
        <v>1X1</v>
      </c>
      <c r="J28" s="116" t="str">
        <f>'Placement (DCM)'!R22</f>
        <v>MK|BR_CH|PSD_DT|CROSS_PB|FCBK_FM|GIF_RT|CPM_PD|DOTZ-10MIL-AMARELO_TG|NON_ST|NON_TS|NONE_SZ|1X1_AD|CM1_IT|SOC</v>
      </c>
      <c r="K28" s="116" t="str">
        <f>'Creative Name'!H22</f>
        <v>CV|DOTZ-10MIL-AMARELO_CS|1x1_CT|FGIF</v>
      </c>
      <c r="L28" s="116" t="str">
        <f t="shared" si="1"/>
        <v>CV^DOTZ-10MIL-AMARELO_CS^1x1_CT^FGIF</v>
      </c>
      <c r="M28" s="119" t="s">
        <v>243</v>
      </c>
      <c r="N28" s="118" t="str">
        <f t="shared" si="2"/>
        <v>https://cartaodotz.dotz.com.br/dotz-bb?utm_source=FACEBOOK&amp;utm_medium=ADS&amp;utm_campaign=MK|BR_CH|PSD_DT|CROSS_PB|FCBK_FM|GIF_RT|CPM_PD|DOTZ-10MIL-AMARELO_TG|NON_ST|NON_TS|NONE_SZ|1X1_AD|CM1_IT|SOC&amp;utm_content=CV|DOTZ-10MIL-AMARELO_CS|1x1_CT|FGIF</v>
      </c>
      <c r="O28" s="113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</row>
    <row r="29">
      <c r="A29" s="114" t="s">
        <v>236</v>
      </c>
      <c r="B29" s="114" t="s">
        <v>241</v>
      </c>
      <c r="C29" s="115">
        <v>44077.0</v>
      </c>
      <c r="D29" s="115">
        <v>44197.0</v>
      </c>
      <c r="E29" s="114" t="s">
        <v>238</v>
      </c>
      <c r="F29" s="116"/>
      <c r="G29" s="114" t="s">
        <v>242</v>
      </c>
      <c r="H29" s="114" t="s">
        <v>239</v>
      </c>
      <c r="I29" s="116" t="str">
        <f>'Placement (DCM)'!L23</f>
        <v>1X1</v>
      </c>
      <c r="J29" s="116" t="str">
        <f>'Placement (DCM)'!R23</f>
        <v>MK|BR_CH|PSD_DT|CROSS_PB|FCBK_FM|CAR_RT|CPM_PD|DOTZ-10MIL-AMARELO_TG|NON_ST|NON_TS|NONE_SZ|1X1_AD|CM1_IT|SOC</v>
      </c>
      <c r="K29" s="116" t="str">
        <f>'Creative Name'!H23</f>
        <v>CV|DOTZ-10MIL-AMARELO_CS|1x1_CT|FCR</v>
      </c>
      <c r="L29" s="116" t="str">
        <f t="shared" si="1"/>
        <v>CV^DOTZ-10MIL-AMARELO_CS^1x1_CT^FCR</v>
      </c>
      <c r="M29" s="119" t="s">
        <v>243</v>
      </c>
      <c r="N29" s="118" t="str">
        <f t="shared" si="2"/>
        <v>https://cartaodotz.dotz.com.br/dotz-bb?utm_source=FACEBOOK&amp;utm_medium=ADS&amp;utm_campaign=MK|BR_CH|PSD_DT|CROSS_PB|FCBK_FM|CAR_RT|CPM_PD|DOTZ-10MIL-AMARELO_TG|NON_ST|NON_TS|NONE_SZ|1X1_AD|CM1_IT|SOC&amp;utm_content=CV|DOTZ-10MIL-AMARELO_CS|1x1_CT|FCR</v>
      </c>
      <c r="O29" s="113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</row>
    <row r="30">
      <c r="A30" s="114" t="s">
        <v>236</v>
      </c>
      <c r="B30" s="114" t="s">
        <v>241</v>
      </c>
      <c r="C30" s="115">
        <v>44077.0</v>
      </c>
      <c r="D30" s="115">
        <v>44197.0</v>
      </c>
      <c r="E30" s="114" t="s">
        <v>238</v>
      </c>
      <c r="F30" s="116"/>
      <c r="G30" s="114" t="s">
        <v>242</v>
      </c>
      <c r="H30" s="114" t="s">
        <v>239</v>
      </c>
      <c r="I30" s="116" t="str">
        <f>'Placement (DCM)'!L24</f>
        <v>1X1</v>
      </c>
      <c r="J30" s="116" t="str">
        <f>'Placement (DCM)'!R24</f>
        <v>MK|BR_CH|PSD_DT|CROSS_PB|FCBK_FM|STRY_RT|CPM_PD|DOTZ-10MIL-AMARELO-CAR_TG|NON_ST|NON_TS|NONE_SZ|1X1_AD|CM1_IT|SOC</v>
      </c>
      <c r="K30" s="116" t="str">
        <f>'Creative Name'!H24</f>
        <v>CV|DOTZ-10MIL-AMARELO-CAR_CS|1x1_CT|INSSTORY</v>
      </c>
      <c r="L30" s="116" t="str">
        <f t="shared" si="1"/>
        <v>CV^DOTZ-10MIL-AMARELO-CAR_CS^1x1_CT^INSSTORY</v>
      </c>
      <c r="M30" s="119" t="s">
        <v>243</v>
      </c>
      <c r="N30" s="118" t="str">
        <f t="shared" si="2"/>
        <v>https://cartaodotz.dotz.com.br/dotz-bb?utm_source=FACEBOOK&amp;utm_medium=ADS&amp;utm_campaign=MK|BR_CH|PSD_DT|CROSS_PB|FCBK_FM|STRY_RT|CPM_PD|DOTZ-10MIL-AMARELO-CAR_TG|NON_ST|NON_TS|NONE_SZ|1X1_AD|CM1_IT|SOC&amp;utm_content=CV|DOTZ-10MIL-AMARELO-CAR_CS|1x1_CT|INSSTORY</v>
      </c>
      <c r="O30" s="113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</row>
    <row r="31">
      <c r="A31" s="114" t="s">
        <v>236</v>
      </c>
      <c r="B31" s="114" t="s">
        <v>241</v>
      </c>
      <c r="C31" s="115">
        <v>44077.0</v>
      </c>
      <c r="D31" s="115">
        <v>44197.0</v>
      </c>
      <c r="E31" s="114" t="s">
        <v>238</v>
      </c>
      <c r="F31" s="116"/>
      <c r="G31" s="114" t="s">
        <v>242</v>
      </c>
      <c r="H31" s="114" t="s">
        <v>239</v>
      </c>
      <c r="I31" s="116" t="str">
        <f>'Placement (DCM)'!L25</f>
        <v>1X1</v>
      </c>
      <c r="J31" s="116" t="str">
        <f>'Placement (DCM)'!R25</f>
        <v>MK|BR_CH|PSD_DT|CROSS_PB|FCBK_FM|LNK_RT|CPM_PD|DOTZ-ZERO-ANUIDADE-AMARELO_TG|NON_ST|NON_TS|NONE_SZ|1X1_AD|CM1_IT|SOC</v>
      </c>
      <c r="K31" s="116" t="str">
        <f>'Creative Name'!H25</f>
        <v>CV|DOTZ-ZERO-ANUIDADE-AMARELO_CS|1x1_CT|FLA</v>
      </c>
      <c r="L31" s="116" t="str">
        <f t="shared" si="1"/>
        <v>CV^DOTZ-ZERO-ANUIDADE-AMARELO_CS^1x1_CT^FLA</v>
      </c>
      <c r="M31" s="119" t="s">
        <v>243</v>
      </c>
      <c r="N31" s="118" t="str">
        <f t="shared" si="2"/>
        <v>https://cartaodotz.dotz.com.br/dotz-bb?utm_source=FACEBOOK&amp;utm_medium=ADS&amp;utm_campaign=MK|BR_CH|PSD_DT|CROSS_PB|FCBK_FM|LNK_RT|CPM_PD|DOTZ-ZERO-ANUIDADE-AMARELO_TG|NON_ST|NON_TS|NONE_SZ|1X1_AD|CM1_IT|SOC&amp;utm_content=CV|DOTZ-ZERO-ANUIDADE-AMARELO_CS|1x1_CT|FLA</v>
      </c>
      <c r="O31" s="113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>
      <c r="A32" s="114" t="s">
        <v>236</v>
      </c>
      <c r="B32" s="114" t="s">
        <v>241</v>
      </c>
      <c r="C32" s="115">
        <v>44077.0</v>
      </c>
      <c r="D32" s="115">
        <v>44197.0</v>
      </c>
      <c r="E32" s="114" t="s">
        <v>238</v>
      </c>
      <c r="F32" s="116"/>
      <c r="G32" s="114" t="s">
        <v>242</v>
      </c>
      <c r="H32" s="114" t="s">
        <v>239</v>
      </c>
      <c r="I32" s="116" t="str">
        <f>'Placement (DCM)'!L26</f>
        <v>1X1</v>
      </c>
      <c r="J32" s="116" t="str">
        <f>'Placement (DCM)'!R26</f>
        <v>MK|BR_CH|PSD_DT|CROSS_PB|FCBK_FM|LNK_RT|CPM_PD|DOTZ-ZERO-ANUIDADE-AMARELO-QUAD_TG|NON_ST|NON_TS|NONE_SZ|1X1_AD|CM1_IT|SOC</v>
      </c>
      <c r="K32" s="116" t="str">
        <f>'Creative Name'!H26</f>
        <v>CV|DOTZ-ZERO-ANUIDADE-AMARELO-QUAD_CS|1x1_CT|FLA</v>
      </c>
      <c r="L32" s="116" t="str">
        <f t="shared" si="1"/>
        <v>CV^DOTZ-ZERO-ANUIDADE-AMARELO-QUAD_CS^1x1_CT^FLA</v>
      </c>
      <c r="M32" s="119" t="s">
        <v>243</v>
      </c>
      <c r="N32" s="118" t="str">
        <f t="shared" si="2"/>
        <v>https://cartaodotz.dotz.com.br/dotz-bb?utm_source=FACEBOOK&amp;utm_medium=ADS&amp;utm_campaign=MK|BR_CH|PSD_DT|CROSS_PB|FCBK_FM|LNK_RT|CPM_PD|DOTZ-ZERO-ANUIDADE-AMARELO-QUAD_TG|NON_ST|NON_TS|NONE_SZ|1X1_AD|CM1_IT|SOC&amp;utm_content=CV|DOTZ-ZERO-ANUIDADE-AMARELO-QUAD_CS|1x1_CT|FLA</v>
      </c>
      <c r="O32" s="113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</row>
    <row r="33">
      <c r="A33" s="114" t="s">
        <v>236</v>
      </c>
      <c r="B33" s="114" t="s">
        <v>241</v>
      </c>
      <c r="C33" s="115">
        <v>44077.0</v>
      </c>
      <c r="D33" s="115">
        <v>44197.0</v>
      </c>
      <c r="E33" s="114" t="s">
        <v>238</v>
      </c>
      <c r="F33" s="116"/>
      <c r="G33" s="114" t="s">
        <v>242</v>
      </c>
      <c r="H33" s="114" t="s">
        <v>239</v>
      </c>
      <c r="I33" s="116" t="str">
        <f>'Placement (DCM)'!L27</f>
        <v>1X1</v>
      </c>
      <c r="J33" s="116" t="str">
        <f>'Placement (DCM)'!R27</f>
        <v>MK|BR_CH|PSD_DT|CROSS_PB|FCBK_FM|GIF_RT|CPM_PD|DOTZ-ZERO-ANUIDADE-AMARELO_TG|NON_ST|NON_TS|NONE_SZ|1X1_AD|CM1_IT|SOC</v>
      </c>
      <c r="K33" s="116" t="str">
        <f>'Creative Name'!H27</f>
        <v>CV|DOTZ-ZERO-ANUIDADE-AMARELO_CS|1x1_CT|FGIF</v>
      </c>
      <c r="L33" s="116" t="str">
        <f t="shared" si="1"/>
        <v>CV^DOTZ-ZERO-ANUIDADE-AMARELO_CS^1x1_CT^FGIF</v>
      </c>
      <c r="M33" s="119" t="s">
        <v>243</v>
      </c>
      <c r="N33" s="118" t="str">
        <f t="shared" si="2"/>
        <v>https://cartaodotz.dotz.com.br/dotz-bb?utm_source=FACEBOOK&amp;utm_medium=ADS&amp;utm_campaign=MK|BR_CH|PSD_DT|CROSS_PB|FCBK_FM|GIF_RT|CPM_PD|DOTZ-ZERO-ANUIDADE-AMARELO_TG|NON_ST|NON_TS|NONE_SZ|1X1_AD|CM1_IT|SOC&amp;utm_content=CV|DOTZ-ZERO-ANUIDADE-AMARELO_CS|1x1_CT|FGIF</v>
      </c>
      <c r="O33" s="113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</row>
    <row r="34">
      <c r="A34" s="114" t="s">
        <v>236</v>
      </c>
      <c r="B34" s="114" t="s">
        <v>241</v>
      </c>
      <c r="C34" s="115">
        <v>44077.0</v>
      </c>
      <c r="D34" s="115">
        <v>44197.0</v>
      </c>
      <c r="E34" s="114" t="s">
        <v>238</v>
      </c>
      <c r="F34" s="116"/>
      <c r="G34" s="114" t="s">
        <v>242</v>
      </c>
      <c r="H34" s="114" t="s">
        <v>239</v>
      </c>
      <c r="I34" s="116" t="str">
        <f>'Placement (DCM)'!L28</f>
        <v>1X1</v>
      </c>
      <c r="J34" s="116" t="str">
        <f>'Placement (DCM)'!R28</f>
        <v>MK|BR_CH|PSD_DT|CROSS_PB|FCBK_FM|CAR_RT|CPM_PD|DOTZ-ZERO-ANUIDADE-AMARELO_TG|NON_ST|NON_TS|NONE_SZ|1X1_AD|CM1_IT|SOC</v>
      </c>
      <c r="K34" s="116" t="str">
        <f>'Creative Name'!H28</f>
        <v>CV|DOTZ-ZERO-ANUIDADE-AMARELO_CS|1x1_CT|FCR</v>
      </c>
      <c r="L34" s="116" t="str">
        <f t="shared" si="1"/>
        <v>CV^DOTZ-ZERO-ANUIDADE-AMARELO_CS^1x1_CT^FCR</v>
      </c>
      <c r="M34" s="119" t="s">
        <v>243</v>
      </c>
      <c r="N34" s="118" t="str">
        <f t="shared" si="2"/>
        <v>https://cartaodotz.dotz.com.br/dotz-bb?utm_source=FACEBOOK&amp;utm_medium=ADS&amp;utm_campaign=MK|BR_CH|PSD_DT|CROSS_PB|FCBK_FM|CAR_RT|CPM_PD|DOTZ-ZERO-ANUIDADE-AMARELO_TG|NON_ST|NON_TS|NONE_SZ|1X1_AD|CM1_IT|SOC&amp;utm_content=CV|DOTZ-ZERO-ANUIDADE-AMARELO_CS|1x1_CT|FCR</v>
      </c>
      <c r="O34" s="113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</row>
    <row r="35">
      <c r="A35" s="114" t="s">
        <v>236</v>
      </c>
      <c r="B35" s="114" t="s">
        <v>241</v>
      </c>
      <c r="C35" s="115">
        <v>44077.0</v>
      </c>
      <c r="D35" s="115">
        <v>44197.0</v>
      </c>
      <c r="E35" s="114" t="s">
        <v>238</v>
      </c>
      <c r="F35" s="116"/>
      <c r="G35" s="114" t="s">
        <v>242</v>
      </c>
      <c r="H35" s="114" t="s">
        <v>239</v>
      </c>
      <c r="I35" s="116" t="str">
        <f>'Placement (DCM)'!L29</f>
        <v>1X1</v>
      </c>
      <c r="J35" s="116" t="str">
        <f>'Placement (DCM)'!R29</f>
        <v>MK|BR_CH|PSD_DT|CROSS_PB|FCBK_FM|STRY_RT|CPM_PD|DOTZ-ZERO-ANUIDADE-AMARELO-CAR_TG|NON_ST|NON_TS|NONE_SZ|1X1_AD|CM1_IT|SOC</v>
      </c>
      <c r="K35" s="116" t="str">
        <f>'Creative Name'!H29</f>
        <v>CV|DOTZ-ZERO-ANUIDADE-AMARELO-CAR_CS|1x1_CT|INSSTORY</v>
      </c>
      <c r="L35" s="116" t="str">
        <f t="shared" si="1"/>
        <v>CV^DOTZ-ZERO-ANUIDADE-AMARELO-CAR_CS^1x1_CT^INSSTORY</v>
      </c>
      <c r="M35" s="119" t="s">
        <v>243</v>
      </c>
      <c r="N35" s="118" t="str">
        <f t="shared" si="2"/>
        <v>https://cartaodotz.dotz.com.br/dotz-bb?utm_source=FACEBOOK&amp;utm_medium=ADS&amp;utm_campaign=MK|BR_CH|PSD_DT|CROSS_PB|FCBK_FM|STRY_RT|CPM_PD|DOTZ-ZERO-ANUIDADE-AMARELO-CAR_TG|NON_ST|NON_TS|NONE_SZ|1X1_AD|CM1_IT|SOC&amp;utm_content=CV|DOTZ-ZERO-ANUIDADE-AMARELO-CAR_CS|1x1_CT|INSSTORY</v>
      </c>
      <c r="O35" s="113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</row>
    <row r="36">
      <c r="A36" s="114" t="s">
        <v>236</v>
      </c>
      <c r="B36" s="114" t="s">
        <v>241</v>
      </c>
      <c r="C36" s="115">
        <v>44077.0</v>
      </c>
      <c r="D36" s="115">
        <v>44197.0</v>
      </c>
      <c r="E36" s="114" t="s">
        <v>238</v>
      </c>
      <c r="F36" s="116"/>
      <c r="G36" s="114" t="s">
        <v>242</v>
      </c>
      <c r="H36" s="114" t="s">
        <v>239</v>
      </c>
      <c r="I36" s="116" t="str">
        <f>'Placement (DCM)'!L30</f>
        <v>1X1</v>
      </c>
      <c r="J36" s="116" t="str">
        <f>'Placement (DCM)'!R30</f>
        <v>MK|BR_CH|PSD_DT|CROSS_PB|FCBK_FM|LNK_RT|CPM_PD|DOTZ-TODOS-BENEFICIOS-AMARELO_TG|NON_ST|NON_TS|NONE_SZ|1X1_AD|CM1_IT|SOC</v>
      </c>
      <c r="K36" s="116" t="str">
        <f>'Creative Name'!H30</f>
        <v>CV|DOTZ-TODOS-BENEFICIOS-AMARELO_CS|1x1_CT|FLA</v>
      </c>
      <c r="L36" s="116" t="str">
        <f t="shared" si="1"/>
        <v>CV^DOTZ-TODOS-BENEFICIOS-AMARELO_CS^1x1_CT^FLA</v>
      </c>
      <c r="M36" s="119" t="s">
        <v>243</v>
      </c>
      <c r="N36" s="118" t="str">
        <f t="shared" si="2"/>
        <v>https://cartaodotz.dotz.com.br/dotz-bb?utm_source=FACEBOOK&amp;utm_medium=ADS&amp;utm_campaign=MK|BR_CH|PSD_DT|CROSS_PB|FCBK_FM|LNK_RT|CPM_PD|DOTZ-TODOS-BENEFICIOS-AMARELO_TG|NON_ST|NON_TS|NONE_SZ|1X1_AD|CM1_IT|SOC&amp;utm_content=CV|DOTZ-TODOS-BENEFICIOS-AMARELO_CS|1x1_CT|FLA</v>
      </c>
      <c r="O36" s="113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</row>
    <row r="37">
      <c r="A37" s="114" t="s">
        <v>236</v>
      </c>
      <c r="B37" s="114" t="s">
        <v>241</v>
      </c>
      <c r="C37" s="115">
        <v>44077.0</v>
      </c>
      <c r="D37" s="115">
        <v>44197.0</v>
      </c>
      <c r="E37" s="114" t="s">
        <v>238</v>
      </c>
      <c r="F37" s="116"/>
      <c r="G37" s="114" t="s">
        <v>242</v>
      </c>
      <c r="H37" s="114" t="s">
        <v>239</v>
      </c>
      <c r="I37" s="116" t="str">
        <f>'Placement (DCM)'!L31</f>
        <v>1X1</v>
      </c>
      <c r="J37" s="116" t="str">
        <f>'Placement (DCM)'!R31</f>
        <v>MK|BR_CH|PSD_DT|CROSS_PB|FCBK_FM|LNK_RT|CPM_PD|DOTZ-TODOS-BENEFICIOS-AMARELO-QUAD_TG|NON_ST|NON_TS|NONE_SZ|1X1_AD|CM1_IT|SOC</v>
      </c>
      <c r="K37" s="116" t="str">
        <f>'Creative Name'!H31</f>
        <v>CV|DOTZ-TODOS-BENEFICIOS-AMARELO-QUAD_CS|1x1_CT|FLA</v>
      </c>
      <c r="L37" s="116" t="str">
        <f t="shared" si="1"/>
        <v>CV^DOTZ-TODOS-BENEFICIOS-AMARELO-QUAD_CS^1x1_CT^FLA</v>
      </c>
      <c r="M37" s="119" t="s">
        <v>243</v>
      </c>
      <c r="N37" s="118" t="str">
        <f t="shared" si="2"/>
        <v>https://cartaodotz.dotz.com.br/dotz-bb?utm_source=FACEBOOK&amp;utm_medium=ADS&amp;utm_campaign=MK|BR_CH|PSD_DT|CROSS_PB|FCBK_FM|LNK_RT|CPM_PD|DOTZ-TODOS-BENEFICIOS-AMARELO-QUAD_TG|NON_ST|NON_TS|NONE_SZ|1X1_AD|CM1_IT|SOC&amp;utm_content=CV|DOTZ-TODOS-BENEFICIOS-AMARELO-QUAD_CS|1x1_CT|FLA</v>
      </c>
      <c r="O37" s="113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8">
      <c r="A38" s="114" t="s">
        <v>236</v>
      </c>
      <c r="B38" s="114" t="s">
        <v>241</v>
      </c>
      <c r="C38" s="115">
        <v>44077.0</v>
      </c>
      <c r="D38" s="115">
        <v>44197.0</v>
      </c>
      <c r="E38" s="114" t="s">
        <v>238</v>
      </c>
      <c r="F38" s="116"/>
      <c r="G38" s="114" t="s">
        <v>242</v>
      </c>
      <c r="H38" s="114" t="s">
        <v>239</v>
      </c>
      <c r="I38" s="116" t="str">
        <f>'Placement (DCM)'!L32</f>
        <v>1X1</v>
      </c>
      <c r="J38" s="116" t="str">
        <f>'Placement (DCM)'!R32</f>
        <v>MK|BR_CH|PSD_DT|CROSS_PB|FCBK_FM|GIF_RT|CPM_PD|DOTZ-TODOS-BENEFICIOS-AMARELO_TG|NON_ST|NON_TS|NONE_SZ|1X1_AD|CM1_IT|SOC</v>
      </c>
      <c r="K38" s="116" t="str">
        <f>'Creative Name'!H32</f>
        <v>CV|DOTZ-TODOS-BENEFICIOS-AMARELO_CS|1x1_CT|FGIF</v>
      </c>
      <c r="L38" s="116" t="str">
        <f t="shared" si="1"/>
        <v>CV^DOTZ-TODOS-BENEFICIOS-AMARELO_CS^1x1_CT^FGIF</v>
      </c>
      <c r="M38" s="119" t="s">
        <v>243</v>
      </c>
      <c r="N38" s="118" t="str">
        <f t="shared" si="2"/>
        <v>https://cartaodotz.dotz.com.br/dotz-bb?utm_source=FACEBOOK&amp;utm_medium=ADS&amp;utm_campaign=MK|BR_CH|PSD_DT|CROSS_PB|FCBK_FM|GIF_RT|CPM_PD|DOTZ-TODOS-BENEFICIOS-AMARELO_TG|NON_ST|NON_TS|NONE_SZ|1X1_AD|CM1_IT|SOC&amp;utm_content=CV|DOTZ-TODOS-BENEFICIOS-AMARELO_CS|1x1_CT|FGIF</v>
      </c>
      <c r="O38" s="113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>
      <c r="A39" s="114" t="s">
        <v>236</v>
      </c>
      <c r="B39" s="114" t="s">
        <v>241</v>
      </c>
      <c r="C39" s="115">
        <v>44077.0</v>
      </c>
      <c r="D39" s="115">
        <v>44197.0</v>
      </c>
      <c r="E39" s="114" t="s">
        <v>238</v>
      </c>
      <c r="F39" s="116"/>
      <c r="G39" s="114" t="s">
        <v>242</v>
      </c>
      <c r="H39" s="114" t="s">
        <v>239</v>
      </c>
      <c r="I39" s="116" t="str">
        <f>'Placement (DCM)'!L33</f>
        <v>1X1</v>
      </c>
      <c r="J39" s="116" t="str">
        <f>'Placement (DCM)'!R33</f>
        <v>MK|BR_CH|PSD_DT|CROSS_PB|FCBK_FM|CAR_RT|CPM_PD|DOTZ-TODOS-BENEFICIOS-AMARELO_TG|NON_ST|NON_TS|NONE_SZ|1X1_AD|CM1_IT|SOC</v>
      </c>
      <c r="K39" s="116" t="str">
        <f>'Creative Name'!H33</f>
        <v>CV|DOTZ-TODOS-BENEFICIOS-AMARELO_CS|1x1_CT|FCR</v>
      </c>
      <c r="L39" s="116" t="str">
        <f t="shared" si="1"/>
        <v>CV^DOTZ-TODOS-BENEFICIOS-AMARELO_CS^1x1_CT^FCR</v>
      </c>
      <c r="M39" s="119" t="s">
        <v>243</v>
      </c>
      <c r="N39" s="118" t="str">
        <f t="shared" si="2"/>
        <v>https://cartaodotz.dotz.com.br/dotz-bb?utm_source=FACEBOOK&amp;utm_medium=ADS&amp;utm_campaign=MK|BR_CH|PSD_DT|CROSS_PB|FCBK_FM|CAR_RT|CPM_PD|DOTZ-TODOS-BENEFICIOS-AMARELO_TG|NON_ST|NON_TS|NONE_SZ|1X1_AD|CM1_IT|SOC&amp;utm_content=CV|DOTZ-TODOS-BENEFICIOS-AMARELO_CS|1x1_CT|FCR</v>
      </c>
      <c r="O39" s="113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</row>
    <row r="40">
      <c r="A40" s="114" t="s">
        <v>236</v>
      </c>
      <c r="B40" s="114" t="s">
        <v>241</v>
      </c>
      <c r="C40" s="115">
        <v>44077.0</v>
      </c>
      <c r="D40" s="115">
        <v>44197.0</v>
      </c>
      <c r="E40" s="114" t="s">
        <v>238</v>
      </c>
      <c r="F40" s="116"/>
      <c r="G40" s="114" t="s">
        <v>242</v>
      </c>
      <c r="H40" s="114" t="s">
        <v>239</v>
      </c>
      <c r="I40" s="116" t="str">
        <f>'Placement (DCM)'!L34</f>
        <v>1X1</v>
      </c>
      <c r="J40" s="116" t="str">
        <f>'Placement (DCM)'!R34</f>
        <v>MK|BR_CH|PSD_DT|CROSS_PB|FCBK_FM|STRY_RT|CPM_PD|DOTZ-TODOS-BENEFICIOS-AMARELO-CAR_TG|NON_ST|NON_TS|NONE_SZ|1X1_AD|CM1_IT|SOC</v>
      </c>
      <c r="K40" s="116" t="str">
        <f>'Creative Name'!H34</f>
        <v>CV|DOTZ-TODOS-BENEFICIOS-AMARELO-CAR_CS|1x1_CT|INSSTORY</v>
      </c>
      <c r="L40" s="116" t="str">
        <f t="shared" si="1"/>
        <v>CV^DOTZ-TODOS-BENEFICIOS-AMARELO-CAR_CS^1x1_CT^INSSTORY</v>
      </c>
      <c r="M40" s="119" t="s">
        <v>243</v>
      </c>
      <c r="N40" s="118" t="str">
        <f t="shared" si="2"/>
        <v>https://cartaodotz.dotz.com.br/dotz-bb?utm_source=FACEBOOK&amp;utm_medium=ADS&amp;utm_campaign=MK|BR_CH|PSD_DT|CROSS_PB|FCBK_FM|STRY_RT|CPM_PD|DOTZ-TODOS-BENEFICIOS-AMARELO-CAR_TG|NON_ST|NON_TS|NONE_SZ|1X1_AD|CM1_IT|SOC&amp;utm_content=CV|DOTZ-TODOS-BENEFICIOS-AMARELO-CAR_CS|1x1_CT|INSSTORY</v>
      </c>
      <c r="O40" s="113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</row>
    <row r="41">
      <c r="A41" s="114" t="s">
        <v>236</v>
      </c>
      <c r="B41" s="120" t="s">
        <v>244</v>
      </c>
      <c r="C41" s="115">
        <v>44107.0</v>
      </c>
      <c r="D41" s="115">
        <v>44197.0</v>
      </c>
      <c r="E41" s="114" t="s">
        <v>238</v>
      </c>
      <c r="F41" s="116"/>
      <c r="G41" s="114" t="s">
        <v>242</v>
      </c>
      <c r="H41" s="114" t="s">
        <v>239</v>
      </c>
      <c r="I41" s="116" t="str">
        <f>'Placement (DCM)'!L35</f>
        <v>1X1</v>
      </c>
      <c r="J41" s="116" t="str">
        <f>'Placement (DCM)'!R35</f>
        <v>MK|BR_CH|PSD_DT|CROSS_PB|FCBK_FM|LNK_RT|CPM_PD|DOTZ-CONVERSAO-AMARELO_TG|NON_ST|NON_TS|NONE_SZ|1X1_AD|CM1_IT|SOC</v>
      </c>
      <c r="K41" s="116" t="str">
        <f>'Creative Name'!H35</f>
        <v>CV|DOTZ-CONVERSAO-AMARELO_CS|1x1_CT|FLA</v>
      </c>
      <c r="L41" s="116" t="str">
        <f t="shared" si="1"/>
        <v>CV^DOTZ-CONVERSAO-AMARELO_CS^1x1_CT^FLA</v>
      </c>
      <c r="M41" s="119" t="s">
        <v>243</v>
      </c>
      <c r="N41" s="118" t="str">
        <f t="shared" si="2"/>
        <v>https://cartaodotz.dotz.com.br/dotz-bb?utm_source=FACEBOOK&amp;utm_medium=ADS&amp;utm_campaign=MK|BR_CH|PSD_DT|CROSS_PB|FCBK_FM|LNK_RT|CPM_PD|DOTZ-CONVERSAO-AMARELO_TG|NON_ST|NON_TS|NONE_SZ|1X1_AD|CM1_IT|SOC&amp;utm_content=CV|DOTZ-CONVERSAO-AMARELO_CS|1x1_CT|FLA</v>
      </c>
      <c r="O41" s="113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</row>
    <row r="42">
      <c r="A42" s="114" t="s">
        <v>236</v>
      </c>
      <c r="B42" s="120" t="s">
        <v>244</v>
      </c>
      <c r="C42" s="115">
        <v>44107.0</v>
      </c>
      <c r="D42" s="115">
        <v>44197.0</v>
      </c>
      <c r="E42" s="114" t="s">
        <v>238</v>
      </c>
      <c r="F42" s="116"/>
      <c r="G42" s="114" t="s">
        <v>242</v>
      </c>
      <c r="H42" s="114" t="s">
        <v>239</v>
      </c>
      <c r="I42" s="116" t="str">
        <f>'Placement (DCM)'!L36</f>
        <v>1X1</v>
      </c>
      <c r="J42" s="116" t="str">
        <f>'Placement (DCM)'!R36</f>
        <v>MK|BR_CH|PSD_DT|CROSS_PB|FCBK_FM|LNK_RT|CPM_PD|DOTZ-CONVERSAO-AMARELO-QUAD_TG|NON_ST|NON_TS|NONE_SZ|1X1_AD|CM1_IT|SOC</v>
      </c>
      <c r="K42" s="116" t="str">
        <f>'Creative Name'!H36</f>
        <v>CV|DOTZ-CONVERSAO-AMARELO-QUAD_CS|1x1_CT|FLA</v>
      </c>
      <c r="L42" s="116" t="str">
        <f t="shared" si="1"/>
        <v>CV^DOTZ-CONVERSAO-AMARELO-QUAD_CS^1x1_CT^FLA</v>
      </c>
      <c r="M42" s="119" t="s">
        <v>243</v>
      </c>
      <c r="N42" s="118" t="str">
        <f t="shared" si="2"/>
        <v>https://cartaodotz.dotz.com.br/dotz-bb?utm_source=FACEBOOK&amp;utm_medium=ADS&amp;utm_campaign=MK|BR_CH|PSD_DT|CROSS_PB|FCBK_FM|LNK_RT|CPM_PD|DOTZ-CONVERSAO-AMARELO-QUAD_TG|NON_ST|NON_TS|NONE_SZ|1X1_AD|CM1_IT|SOC&amp;utm_content=CV|DOTZ-CONVERSAO-AMARELO-QUAD_CS|1x1_CT|FLA</v>
      </c>
      <c r="O42" s="113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>
      <c r="A43" s="114" t="s">
        <v>236</v>
      </c>
      <c r="B43" s="120" t="s">
        <v>244</v>
      </c>
      <c r="C43" s="115">
        <v>44107.0</v>
      </c>
      <c r="D43" s="115">
        <v>44197.0</v>
      </c>
      <c r="E43" s="114" t="s">
        <v>238</v>
      </c>
      <c r="F43" s="116"/>
      <c r="G43" s="114" t="s">
        <v>242</v>
      </c>
      <c r="H43" s="114" t="s">
        <v>239</v>
      </c>
      <c r="I43" s="116" t="str">
        <f>'Placement (DCM)'!L37</f>
        <v>1X1</v>
      </c>
      <c r="J43" s="116" t="str">
        <f>'Placement (DCM)'!R37</f>
        <v>MK|BR_CH|PSD_DT|CROSS_PB|FCBK_FM|GIF_RT|CPM_PD|DOTZ-CONVERSAO-AMARELO_TG|NON_ST|NON_TS|NONE_SZ|1X1_AD|CM1_IT|SOC</v>
      </c>
      <c r="K43" s="116" t="str">
        <f>'Creative Name'!H37</f>
        <v>CV|DOTZ-CONVERSAO-AMARELO_CS|1x1_CT|FGIF</v>
      </c>
      <c r="L43" s="116" t="str">
        <f t="shared" si="1"/>
        <v>CV^DOTZ-CONVERSAO-AMARELO_CS^1x1_CT^FGIF</v>
      </c>
      <c r="M43" s="119" t="s">
        <v>243</v>
      </c>
      <c r="N43" s="118" t="str">
        <f t="shared" si="2"/>
        <v>https://cartaodotz.dotz.com.br/dotz-bb?utm_source=FACEBOOK&amp;utm_medium=ADS&amp;utm_campaign=MK|BR_CH|PSD_DT|CROSS_PB|FCBK_FM|GIF_RT|CPM_PD|DOTZ-CONVERSAO-AMARELO_TG|NON_ST|NON_TS|NONE_SZ|1X1_AD|CM1_IT|SOC&amp;utm_content=CV|DOTZ-CONVERSAO-AMARELO_CS|1x1_CT|FGIF</v>
      </c>
      <c r="O43" s="113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>
      <c r="A44" s="114" t="s">
        <v>236</v>
      </c>
      <c r="B44" s="120" t="s">
        <v>244</v>
      </c>
      <c r="C44" s="115">
        <v>44107.0</v>
      </c>
      <c r="D44" s="115">
        <v>44197.0</v>
      </c>
      <c r="E44" s="114" t="s">
        <v>238</v>
      </c>
      <c r="F44" s="116"/>
      <c r="G44" s="114" t="s">
        <v>242</v>
      </c>
      <c r="H44" s="114" t="s">
        <v>239</v>
      </c>
      <c r="I44" s="116" t="str">
        <f>'Placement (DCM)'!L38</f>
        <v>1X1</v>
      </c>
      <c r="J44" s="116" t="str">
        <f>'Placement (DCM)'!R38</f>
        <v>MK|BR_CH|PSD_DT|CROSS_PB|FCBK_FM|CAR_RT|CPM_PD|DOTZ-CONVERSAO-AMARELO_TG|NON_ST|NON_TS|NONE_SZ|1X1_AD|CM1_IT|SOC</v>
      </c>
      <c r="K44" s="116" t="str">
        <f>'Creative Name'!H38</f>
        <v>CV|DOTZ-CONVERSAO-AMARELO_CS|1x1_CT|FCR</v>
      </c>
      <c r="L44" s="116" t="str">
        <f t="shared" si="1"/>
        <v>CV^DOTZ-CONVERSAO-AMARELO_CS^1x1_CT^FCR</v>
      </c>
      <c r="M44" s="119" t="s">
        <v>243</v>
      </c>
      <c r="N44" s="118" t="str">
        <f t="shared" si="2"/>
        <v>https://cartaodotz.dotz.com.br/dotz-bb?utm_source=FACEBOOK&amp;utm_medium=ADS&amp;utm_campaign=MK|BR_CH|PSD_DT|CROSS_PB|FCBK_FM|CAR_RT|CPM_PD|DOTZ-CONVERSAO-AMARELO_TG|NON_ST|NON_TS|NONE_SZ|1X1_AD|CM1_IT|SOC&amp;utm_content=CV|DOTZ-CONVERSAO-AMARELO_CS|1x1_CT|FCR</v>
      </c>
      <c r="O44" s="113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>
      <c r="A45" s="114" t="s">
        <v>236</v>
      </c>
      <c r="B45" s="120" t="s">
        <v>244</v>
      </c>
      <c r="C45" s="115">
        <v>44107.0</v>
      </c>
      <c r="D45" s="115">
        <v>44197.0</v>
      </c>
      <c r="E45" s="114" t="s">
        <v>238</v>
      </c>
      <c r="F45" s="116"/>
      <c r="G45" s="114" t="s">
        <v>242</v>
      </c>
      <c r="H45" s="114" t="s">
        <v>239</v>
      </c>
      <c r="I45" s="116" t="str">
        <f>'Placement (DCM)'!L39</f>
        <v>1X1</v>
      </c>
      <c r="J45" s="116" t="str">
        <f>'Placement (DCM)'!R39</f>
        <v>MK|BR_CH|PSD_DT|CROSS_PB|FCBK_FM|STRY_RT|CPM_PD|DOTZ-CONVERSAO-AMARELO-CAR_TG|NON_ST|NON_TS|NONE_SZ|1X1_AD|CM1_IT|SOC</v>
      </c>
      <c r="K45" s="116" t="str">
        <f>'Creative Name'!H39</f>
        <v>CV|DOTZ-CONVERSAO-AMARELO-CAR_CS|1x1_CT|INSSTORY</v>
      </c>
      <c r="L45" s="116" t="str">
        <f t="shared" si="1"/>
        <v>CV^DOTZ-CONVERSAO-AMARELO-CAR_CS^1x1_CT^INSSTORY</v>
      </c>
      <c r="M45" s="119" t="s">
        <v>243</v>
      </c>
      <c r="N45" s="118" t="str">
        <f t="shared" si="2"/>
        <v>https://cartaodotz.dotz.com.br/dotz-bb?utm_source=FACEBOOK&amp;utm_medium=ADS&amp;utm_campaign=MK|BR_CH|PSD_DT|CROSS_PB|FCBK_FM|STRY_RT|CPM_PD|DOTZ-CONVERSAO-AMARELO-CAR_TG|NON_ST|NON_TS|NONE_SZ|1X1_AD|CM1_IT|SOC&amp;utm_content=CV|DOTZ-CONVERSAO-AMARELO-CAR_CS|1x1_CT|INSSTORY</v>
      </c>
      <c r="O45" s="113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>
      <c r="A46" s="114" t="s">
        <v>236</v>
      </c>
      <c r="B46" s="120" t="s">
        <v>244</v>
      </c>
      <c r="C46" s="115">
        <v>44107.0</v>
      </c>
      <c r="D46" s="115">
        <v>44197.0</v>
      </c>
      <c r="E46" s="114" t="s">
        <v>238</v>
      </c>
      <c r="F46" s="116"/>
      <c r="G46" s="114" t="s">
        <v>242</v>
      </c>
      <c r="H46" s="114" t="s">
        <v>239</v>
      </c>
      <c r="I46" s="116" t="str">
        <f>'Placement (DCM)'!L40</f>
        <v>1X1</v>
      </c>
      <c r="J46" s="116" t="str">
        <f>'Placement (DCM)'!R40</f>
        <v>MK|BR_CH|PSD_DT|CROSS_PB|FCBK_FM|STRY_RT|CPM_PD|DOTZ-CONVERSAO-AMARELO_TG|NON_ST|NON_TS|NONE_SZ|1X1_AD|CM1_IT|SOC</v>
      </c>
      <c r="K46" s="116" t="str">
        <f>'Creative Name'!H40</f>
        <v>CV|DOTZ-CONVERSAO-AMARELO_CS|1x1_CT|INSSTORY</v>
      </c>
      <c r="L46" s="116" t="str">
        <f t="shared" si="1"/>
        <v>CV^DOTZ-CONVERSAO-AMARELO_CS^1x1_CT^INSSTORY</v>
      </c>
      <c r="M46" s="119" t="s">
        <v>243</v>
      </c>
      <c r="N46" s="118" t="str">
        <f t="shared" si="2"/>
        <v>https://cartaodotz.dotz.com.br/dotz-bb?utm_source=FACEBOOK&amp;utm_medium=ADS&amp;utm_campaign=MK|BR_CH|PSD_DT|CROSS_PB|FCBK_FM|STRY_RT|CPM_PD|DOTZ-CONVERSAO-AMARELO_TG|NON_ST|NON_TS|NONE_SZ|1X1_AD|CM1_IT|SOC&amp;utm_content=CV|DOTZ-CONVERSAO-AMARELO_CS|1x1_CT|INSSTORY</v>
      </c>
      <c r="O46" s="113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</row>
    <row r="47">
      <c r="A47" s="114" t="s">
        <v>236</v>
      </c>
      <c r="B47" s="120" t="s">
        <v>244</v>
      </c>
      <c r="C47" s="115">
        <v>44107.0</v>
      </c>
      <c r="D47" s="115">
        <v>44197.0</v>
      </c>
      <c r="E47" s="114" t="s">
        <v>238</v>
      </c>
      <c r="F47" s="116"/>
      <c r="G47" s="114" t="s">
        <v>242</v>
      </c>
      <c r="H47" s="114" t="s">
        <v>239</v>
      </c>
      <c r="I47" s="116" t="str">
        <f>'Placement (DCM)'!L41</f>
        <v>1X1</v>
      </c>
      <c r="J47" s="116" t="str">
        <f>'Placement (DCM)'!R41</f>
        <v>MK|BR_CH|PSD_DT|CROSS_PB|FCBK_FM|STRY_RT|CPM_PD|DOTZ-TODOS-BENEFICIOS-AMARELO_TG|NON_ST|NON_TS|NONE_SZ|1X1_AD|CM1_IT|SOC</v>
      </c>
      <c r="K47" s="116" t="str">
        <f>'Creative Name'!H41</f>
        <v>CV|DOTZ-TODOS-BENEFICIOS-AMARELO_CS|1x1_CT|INSSTORY</v>
      </c>
      <c r="L47" s="116" t="str">
        <f t="shared" si="1"/>
        <v>CV^DOTZ-TODOS-BENEFICIOS-AMARELO_CS^1x1_CT^INSSTORY</v>
      </c>
      <c r="M47" s="119" t="s">
        <v>243</v>
      </c>
      <c r="N47" s="118" t="str">
        <f t="shared" si="2"/>
        <v>https://cartaodotz.dotz.com.br/dotz-bb?utm_source=FACEBOOK&amp;utm_medium=ADS&amp;utm_campaign=MK|BR_CH|PSD_DT|CROSS_PB|FCBK_FM|STRY_RT|CPM_PD|DOTZ-TODOS-BENEFICIOS-AMARELO_TG|NON_ST|NON_TS|NONE_SZ|1X1_AD|CM1_IT|SOC&amp;utm_content=CV|DOTZ-TODOS-BENEFICIOS-AMARELO_CS|1x1_CT|INSSTORY</v>
      </c>
      <c r="O47" s="113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>
      <c r="A48" s="114" t="s">
        <v>236</v>
      </c>
      <c r="B48" s="120" t="s">
        <v>244</v>
      </c>
      <c r="C48" s="115">
        <v>44107.0</v>
      </c>
      <c r="D48" s="115">
        <v>44197.0</v>
      </c>
      <c r="E48" s="114" t="s">
        <v>238</v>
      </c>
      <c r="F48" s="116"/>
      <c r="G48" s="114" t="s">
        <v>242</v>
      </c>
      <c r="H48" s="114" t="s">
        <v>239</v>
      </c>
      <c r="I48" s="116" t="str">
        <f>'Placement (DCM)'!L42</f>
        <v>1X1</v>
      </c>
      <c r="J48" s="116" t="str">
        <f>'Placement (DCM)'!R42</f>
        <v>MK|BR_CH|PSD_DT|CROSS_PB|FCBK_FM|STRY_RT|CPM_PD|DOTZ-ZERO-ANUIDADE-AMARELO_TG|NON_ST|NON_TS|NONE_SZ|1X1_AD|CM1_IT|SOC</v>
      </c>
      <c r="K48" s="116" t="str">
        <f>'Creative Name'!H42</f>
        <v>CV|DOTZ-ZERO-ANUIDADE-AMARELO_CS|1x1_CT|INSSTORY</v>
      </c>
      <c r="L48" s="116" t="str">
        <f t="shared" si="1"/>
        <v>CV^DOTZ-ZERO-ANUIDADE-AMARELO_CS^1x1_CT^INSSTORY</v>
      </c>
      <c r="M48" s="119" t="s">
        <v>243</v>
      </c>
      <c r="N48" s="118" t="str">
        <f t="shared" si="2"/>
        <v>https://cartaodotz.dotz.com.br/dotz-bb?utm_source=FACEBOOK&amp;utm_medium=ADS&amp;utm_campaign=MK|BR_CH|PSD_DT|CROSS_PB|FCBK_FM|STRY_RT|CPM_PD|DOTZ-ZERO-ANUIDADE-AMARELO_TG|NON_ST|NON_TS|NONE_SZ|1X1_AD|CM1_IT|SOC&amp;utm_content=CV|DOTZ-ZERO-ANUIDADE-AMARELO_CS|1x1_CT|INSSTORY</v>
      </c>
      <c r="O48" s="113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</row>
    <row r="49">
      <c r="A49" s="114" t="s">
        <v>236</v>
      </c>
      <c r="B49" s="120" t="s">
        <v>244</v>
      </c>
      <c r="C49" s="115">
        <v>44107.0</v>
      </c>
      <c r="D49" s="115">
        <v>44197.0</v>
      </c>
      <c r="E49" s="114" t="s">
        <v>238</v>
      </c>
      <c r="F49" s="116"/>
      <c r="G49" s="114" t="s">
        <v>242</v>
      </c>
      <c r="H49" s="114" t="s">
        <v>239</v>
      </c>
      <c r="I49" s="116" t="str">
        <f>'Placement (DCM)'!L43</f>
        <v>1X1</v>
      </c>
      <c r="J49" s="116" t="str">
        <f>'Placement (DCM)'!R43</f>
        <v>MK|BR_CH|PSD_DT|CROSS_PB|FCBK_FM|STRY_RT|CPM_PD|DOTZ-10MIL-AMARELO_TG|NON_ST|NON_TS|NONE_SZ|1X1_AD|CM1_IT|SOC</v>
      </c>
      <c r="K49" s="116" t="str">
        <f>'Creative Name'!H43</f>
        <v>CV|DOTZ-10MIL-AMARELO_CS|1x1_CT|INSSTORY</v>
      </c>
      <c r="L49" s="116" t="str">
        <f t="shared" si="1"/>
        <v>CV^DOTZ-10MIL-AMARELO_CS^1x1_CT^INSSTORY</v>
      </c>
      <c r="M49" s="119" t="s">
        <v>243</v>
      </c>
      <c r="N49" s="118" t="str">
        <f t="shared" si="2"/>
        <v>https://cartaodotz.dotz.com.br/dotz-bb?utm_source=FACEBOOK&amp;utm_medium=ADS&amp;utm_campaign=MK|BR_CH|PSD_DT|CROSS_PB|FCBK_FM|STRY_RT|CPM_PD|DOTZ-10MIL-AMARELO_TG|NON_ST|NON_TS|NONE_SZ|1X1_AD|CM1_IT|SOC&amp;utm_content=CV|DOTZ-10MIL-AMARELO_CS|1x1_CT|INSSTORY</v>
      </c>
      <c r="O49" s="113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>
      <c r="A50" s="114" t="s">
        <v>236</v>
      </c>
      <c r="B50" s="120" t="s">
        <v>244</v>
      </c>
      <c r="C50" s="115">
        <v>44107.0</v>
      </c>
      <c r="D50" s="115">
        <v>44197.0</v>
      </c>
      <c r="E50" s="114" t="s">
        <v>238</v>
      </c>
      <c r="F50" s="116"/>
      <c r="G50" s="114" t="s">
        <v>242</v>
      </c>
      <c r="H50" s="114" t="s">
        <v>239</v>
      </c>
      <c r="I50" s="116" t="str">
        <f>'Placement (DCM)'!L44</f>
        <v>1X1</v>
      </c>
      <c r="J50" s="116" t="str">
        <f>'Placement (DCM)'!R44</f>
        <v>MK|BR_CH|PSD_DT|CROSS_PB|FCBK_FM|STRY_RT|CPM_PD|DOTZ-TODOS-BENEFICIOS-AZUL_TG|NON_ST|NON_TS|NONE_SZ|1X1_AD|CM1_IT|SOC</v>
      </c>
      <c r="K50" s="116" t="str">
        <f>'Creative Name'!H44</f>
        <v>CV|DOTZ-TODOS-BENEFICIOS-AZUL_CS|1x1_CT|INSSTORY</v>
      </c>
      <c r="L50" s="116" t="str">
        <f t="shared" si="1"/>
        <v>CV^DOTZ-TODOS-BENEFICIOS-AZUL_CS^1x1_CT^INSSTORY</v>
      </c>
      <c r="M50" s="119" t="s">
        <v>243</v>
      </c>
      <c r="N50" s="118" t="str">
        <f t="shared" si="2"/>
        <v>https://cartaodotz.dotz.com.br/dotz-bb?utm_source=FACEBOOK&amp;utm_medium=ADS&amp;utm_campaign=MK|BR_CH|PSD_DT|CROSS_PB|FCBK_FM|STRY_RT|CPM_PD|DOTZ-TODOS-BENEFICIOS-AZUL_TG|NON_ST|NON_TS|NONE_SZ|1X1_AD|CM1_IT|SOC&amp;utm_content=CV|DOTZ-TODOS-BENEFICIOS-AZUL_CS|1x1_CT|INSSTORY</v>
      </c>
      <c r="O50" s="113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>
      <c r="A51" s="114" t="s">
        <v>236</v>
      </c>
      <c r="B51" s="120" t="s">
        <v>244</v>
      </c>
      <c r="C51" s="115">
        <v>44107.0</v>
      </c>
      <c r="D51" s="115">
        <v>44197.0</v>
      </c>
      <c r="E51" s="114" t="s">
        <v>238</v>
      </c>
      <c r="F51" s="116"/>
      <c r="G51" s="114" t="s">
        <v>242</v>
      </c>
      <c r="H51" s="114" t="s">
        <v>239</v>
      </c>
      <c r="I51" s="116" t="str">
        <f>'Placement (DCM)'!L45</f>
        <v>1X1</v>
      </c>
      <c r="J51" s="116" t="str">
        <f>'Placement (DCM)'!R45</f>
        <v>MK|BR_CH|PSD_DT|CROSS_PB|FCBK_FM|STRY_RT|CPM_PD|DOTZ-ZERO-ANUIDADE-AZUL_TG|NON_ST|NON_TS|NONE_SZ|1X1_AD|CM1_IT|SOC</v>
      </c>
      <c r="K51" s="116" t="str">
        <f>'Creative Name'!H45</f>
        <v>CV|DOTZ-ZERO-ANUIDADE-AZUL_CS|1x1_CT|INSSTORY</v>
      </c>
      <c r="L51" s="116" t="str">
        <f t="shared" si="1"/>
        <v>CV^DOTZ-ZERO-ANUIDADE-AZUL_CS^1x1_CT^INSSTORY</v>
      </c>
      <c r="M51" s="119" t="s">
        <v>243</v>
      </c>
      <c r="N51" s="118" t="str">
        <f t="shared" si="2"/>
        <v>https://cartaodotz.dotz.com.br/dotz-bb?utm_source=FACEBOOK&amp;utm_medium=ADS&amp;utm_campaign=MK|BR_CH|PSD_DT|CROSS_PB|FCBK_FM|STRY_RT|CPM_PD|DOTZ-ZERO-ANUIDADE-AZUL_TG|NON_ST|NON_TS|NONE_SZ|1X1_AD|CM1_IT|SOC&amp;utm_content=CV|DOTZ-ZERO-ANUIDADE-AZUL_CS|1x1_CT|INSSTORY</v>
      </c>
      <c r="O51" s="113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>
      <c r="A52" s="114" t="s">
        <v>236</v>
      </c>
      <c r="B52" s="120" t="s">
        <v>244</v>
      </c>
      <c r="C52" s="115">
        <v>44107.0</v>
      </c>
      <c r="D52" s="115">
        <v>44197.0</v>
      </c>
      <c r="E52" s="114" t="s">
        <v>238</v>
      </c>
      <c r="F52" s="116"/>
      <c r="G52" s="114" t="s">
        <v>242</v>
      </c>
      <c r="H52" s="114" t="s">
        <v>239</v>
      </c>
      <c r="I52" s="116" t="str">
        <f>'Placement (DCM)'!L46</f>
        <v>1X1</v>
      </c>
      <c r="J52" s="116" t="str">
        <f>'Placement (DCM)'!R46</f>
        <v>MK|BR_CH|PSD_DT|CROSS_PB|FCBK_FM|STRY_RT|CPM_PD|DOTZ-10MIL-AZUL_TG|NON_ST|NON_TS|NONE_SZ|1X1_AD|CM1_IT|SOC</v>
      </c>
      <c r="K52" s="116" t="str">
        <f>'Creative Name'!H46</f>
        <v>CV|DOTZ-10MIL-AZUL_CS|1x1_CT|INSSTORY</v>
      </c>
      <c r="L52" s="116" t="str">
        <f t="shared" si="1"/>
        <v>CV^DOTZ-10MIL-AZUL_CS^1x1_CT^INSSTORY</v>
      </c>
      <c r="M52" s="119" t="s">
        <v>243</v>
      </c>
      <c r="N52" s="118" t="str">
        <f t="shared" si="2"/>
        <v>https://cartaodotz.dotz.com.br/dotz-bb?utm_source=FACEBOOK&amp;utm_medium=ADS&amp;utm_campaign=MK|BR_CH|PSD_DT|CROSS_PB|FCBK_FM|STRY_RT|CPM_PD|DOTZ-10MIL-AZUL_TG|NON_ST|NON_TS|NONE_SZ|1X1_AD|CM1_IT|SOC&amp;utm_content=CV|DOTZ-10MIL-AZUL_CS|1x1_CT|INSSTORY</v>
      </c>
      <c r="O52" s="113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>
      <c r="A53" s="114" t="s">
        <v>236</v>
      </c>
      <c r="B53" s="120" t="s">
        <v>245</v>
      </c>
      <c r="C53" s="114" t="s">
        <v>246</v>
      </c>
      <c r="D53" s="115">
        <v>44197.0</v>
      </c>
      <c r="E53" s="114" t="s">
        <v>238</v>
      </c>
      <c r="F53" s="116"/>
      <c r="G53" s="114" t="s">
        <v>242</v>
      </c>
      <c r="H53" s="114" t="s">
        <v>239</v>
      </c>
      <c r="I53" s="116" t="str">
        <f>'Placement (DCM)'!L47</f>
        <v>1X1</v>
      </c>
      <c r="J53" s="116" t="str">
        <f>'Placement (DCM)'!R47</f>
        <v>MK|BR_CH|PSD_DT|CROSS_PB|FCBK_FM|CAR_RT|CPM_PD|DOTZ-10MIL-AZUL_TG|NON_ST|NON_TS|NONE_SZ|1X1_AD|CM1_IT|SOC_U1|ESTATICO</v>
      </c>
      <c r="K53" s="116" t="str">
        <f>'Creative Name'!H47</f>
        <v>CV|DOTZ-10MIL-AZUL_CS|1x1_CT|FCR_U1|ESTATICO</v>
      </c>
      <c r="L53" s="116" t="str">
        <f t="shared" si="1"/>
        <v>CV^DOTZ-10MIL-AZUL_CS^1x1_CT^FCR_U1^ESTATICO</v>
      </c>
      <c r="M53" s="119" t="s">
        <v>243</v>
      </c>
      <c r="N53" s="118" t="str">
        <f t="shared" si="2"/>
        <v>https://cartaodotz.dotz.com.br/dotz-bb?utm_source=FACEBOOK&amp;utm_medium=ADS&amp;utm_campaign=MK|BR_CH|PSD_DT|CROSS_PB|FCBK_FM|CAR_RT|CPM_PD|DOTZ-10MIL-AZUL_TG|NON_ST|NON_TS|NONE_SZ|1X1_AD|CM1_IT|SOC_U1|ESTATICO&amp;utm_content=CV|DOTZ-10MIL-AZUL_CS|1x1_CT|FCR_U1|ESTATICO</v>
      </c>
      <c r="O53" s="113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>
      <c r="A54" s="114" t="s">
        <v>236</v>
      </c>
      <c r="B54" s="120" t="s">
        <v>245</v>
      </c>
      <c r="C54" s="114" t="s">
        <v>246</v>
      </c>
      <c r="D54" s="115">
        <v>44197.0</v>
      </c>
      <c r="E54" s="114" t="s">
        <v>238</v>
      </c>
      <c r="F54" s="116"/>
      <c r="G54" s="114" t="s">
        <v>242</v>
      </c>
      <c r="H54" s="114" t="s">
        <v>239</v>
      </c>
      <c r="I54" s="116" t="str">
        <f>'Placement (DCM)'!L48</f>
        <v>1X1</v>
      </c>
      <c r="J54" s="116" t="str">
        <f>'Placement (DCM)'!R48</f>
        <v>MK|BR_CH|PSD_DT|CROSS_PB|FCBK_FM|CAR_RT|CPM_PD|DOTZ-ZERO-ANUIDADE-AZUL_TG|NON_ST|NON_TS|NONE_SZ|1X1_AD|CM1_IT|SOC_U1|ESTATICO</v>
      </c>
      <c r="K54" s="116" t="str">
        <f>'Creative Name'!H48</f>
        <v>CV|DOTZ-ZERO-ANUIDADE-AZUL_CS|1x1_CT|FCR_U1|ESTATICO</v>
      </c>
      <c r="L54" s="116" t="str">
        <f t="shared" si="1"/>
        <v>CV^DOTZ-ZERO-ANUIDADE-AZUL_CS^1x1_CT^FCR_U1^ESTATICO</v>
      </c>
      <c r="M54" s="119" t="s">
        <v>243</v>
      </c>
      <c r="N54" s="118" t="str">
        <f t="shared" si="2"/>
        <v>https://cartaodotz.dotz.com.br/dotz-bb?utm_source=FACEBOOK&amp;utm_medium=ADS&amp;utm_campaign=MK|BR_CH|PSD_DT|CROSS_PB|FCBK_FM|CAR_RT|CPM_PD|DOTZ-ZERO-ANUIDADE-AZUL_TG|NON_ST|NON_TS|NONE_SZ|1X1_AD|CM1_IT|SOC_U1|ESTATICO&amp;utm_content=CV|DOTZ-ZERO-ANUIDADE-AZUL_CS|1x1_CT|FCR_U1|ESTATICO</v>
      </c>
      <c r="O54" s="113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>
      <c r="A55" s="114" t="s">
        <v>236</v>
      </c>
      <c r="B55" s="120" t="s">
        <v>245</v>
      </c>
      <c r="C55" s="114" t="s">
        <v>246</v>
      </c>
      <c r="D55" s="115">
        <v>44197.0</v>
      </c>
      <c r="E55" s="114" t="s">
        <v>238</v>
      </c>
      <c r="F55" s="116"/>
      <c r="G55" s="114" t="s">
        <v>242</v>
      </c>
      <c r="H55" s="114" t="s">
        <v>239</v>
      </c>
      <c r="I55" s="116" t="str">
        <f>'Placement (DCM)'!L49</f>
        <v>1X1</v>
      </c>
      <c r="J55" s="116" t="str">
        <f>'Placement (DCM)'!R49</f>
        <v>MK|BR_CH|PSD_DT|CROSS_PB|FCBK_FM|CAR_RT|CPM_PD|DOTZ-TODOS-BENEFICIOS-AZUL_TG|NON_ST|NON_TS|NONE_SZ|1X1_AD|CM1_IT|SOC_U1|ESTATICO</v>
      </c>
      <c r="K55" s="116" t="str">
        <f>'Creative Name'!H49</f>
        <v>CV|DOTZ-TODOS-BENEFICIOS-AZUL_CS|1x1_CT|FCR_U1|ESTATICO</v>
      </c>
      <c r="L55" s="116" t="str">
        <f t="shared" si="1"/>
        <v>CV^DOTZ-TODOS-BENEFICIOS-AZUL_CS^1x1_CT^FCR_U1^ESTATICO</v>
      </c>
      <c r="M55" s="119" t="s">
        <v>243</v>
      </c>
      <c r="N55" s="118" t="str">
        <f t="shared" si="2"/>
        <v>https://cartaodotz.dotz.com.br/dotz-bb?utm_source=FACEBOOK&amp;utm_medium=ADS&amp;utm_campaign=MK|BR_CH|PSD_DT|CROSS_PB|FCBK_FM|CAR_RT|CPM_PD|DOTZ-TODOS-BENEFICIOS-AZUL_TG|NON_ST|NON_TS|NONE_SZ|1X1_AD|CM1_IT|SOC_U1|ESTATICO&amp;utm_content=CV|DOTZ-TODOS-BENEFICIOS-AZUL_CS|1x1_CT|FCR_U1|ESTATICO</v>
      </c>
      <c r="O55" s="113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>
      <c r="A56" s="114" t="s">
        <v>236</v>
      </c>
      <c r="B56" s="120" t="s">
        <v>245</v>
      </c>
      <c r="C56" s="114" t="s">
        <v>246</v>
      </c>
      <c r="D56" s="115">
        <v>44197.0</v>
      </c>
      <c r="E56" s="114" t="s">
        <v>238</v>
      </c>
      <c r="F56" s="116"/>
      <c r="G56" s="114" t="s">
        <v>242</v>
      </c>
      <c r="H56" s="114" t="s">
        <v>239</v>
      </c>
      <c r="I56" s="116" t="str">
        <f>'Placement (DCM)'!L50</f>
        <v>1X1</v>
      </c>
      <c r="J56" s="116" t="str">
        <f>'Placement (DCM)'!R50</f>
        <v>MK|BR_CH|PSD_DT|CROSS_PB|FCBK_FM|CAR_RT|CPM_PD|DOTZ-10MIL-AMARELO_TG|NON_ST|NON_TS|NONE_SZ|1X1_AD|CM1_IT|SOC_U1|ESTATICO</v>
      </c>
      <c r="K56" s="116" t="str">
        <f>'Creative Name'!H50</f>
        <v>CV|DOTZ-10MIL-AMARELO_CS|1x1_CT|FCR_U1|ESTATICO</v>
      </c>
      <c r="L56" s="116" t="str">
        <f t="shared" si="1"/>
        <v>CV^DOTZ-10MIL-AMARELO_CS^1x1_CT^FCR_U1^ESTATICO</v>
      </c>
      <c r="M56" s="119" t="s">
        <v>243</v>
      </c>
      <c r="N56" s="118" t="str">
        <f t="shared" si="2"/>
        <v>https://cartaodotz.dotz.com.br/dotz-bb?utm_source=FACEBOOK&amp;utm_medium=ADS&amp;utm_campaign=MK|BR_CH|PSD_DT|CROSS_PB|FCBK_FM|CAR_RT|CPM_PD|DOTZ-10MIL-AMARELO_TG|NON_ST|NON_TS|NONE_SZ|1X1_AD|CM1_IT|SOC_U1|ESTATICO&amp;utm_content=CV|DOTZ-10MIL-AMARELO_CS|1x1_CT|FCR_U1|ESTATICO</v>
      </c>
      <c r="O56" s="113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>
      <c r="A57" s="114" t="s">
        <v>236</v>
      </c>
      <c r="B57" s="120" t="s">
        <v>245</v>
      </c>
      <c r="C57" s="114" t="s">
        <v>246</v>
      </c>
      <c r="D57" s="115">
        <v>44197.0</v>
      </c>
      <c r="E57" s="114" t="s">
        <v>238</v>
      </c>
      <c r="F57" s="116"/>
      <c r="G57" s="114" t="s">
        <v>242</v>
      </c>
      <c r="H57" s="114" t="s">
        <v>239</v>
      </c>
      <c r="I57" s="116" t="str">
        <f>'Placement (DCM)'!L51</f>
        <v>1X1</v>
      </c>
      <c r="J57" s="116" t="str">
        <f>'Placement (DCM)'!R51</f>
        <v>MK|BR_CH|PSD_DT|CROSS_PB|FCBK_FM|CAR_RT|CPM_PD|DOTZ-ZERO-ANUIDADE-AMARELO_TG|NON_ST|NON_TS|NONE_SZ|1X1_AD|CM1_IT|SOC_U1|ESTATICO</v>
      </c>
      <c r="K57" s="116" t="str">
        <f>'Creative Name'!H51</f>
        <v>CV|DOTZ-ZERO-ANUIDADE-AMARELO_CS|1x1_CT|FCR_U1|ESTATICO</v>
      </c>
      <c r="L57" s="116" t="str">
        <f t="shared" si="1"/>
        <v>CV^DOTZ-ZERO-ANUIDADE-AMARELO_CS^1x1_CT^FCR_U1^ESTATICO</v>
      </c>
      <c r="M57" s="119" t="s">
        <v>243</v>
      </c>
      <c r="N57" s="118" t="str">
        <f t="shared" si="2"/>
        <v>https://cartaodotz.dotz.com.br/dotz-bb?utm_source=FACEBOOK&amp;utm_medium=ADS&amp;utm_campaign=MK|BR_CH|PSD_DT|CROSS_PB|FCBK_FM|CAR_RT|CPM_PD|DOTZ-ZERO-ANUIDADE-AMARELO_TG|NON_ST|NON_TS|NONE_SZ|1X1_AD|CM1_IT|SOC_U1|ESTATICO&amp;utm_content=CV|DOTZ-ZERO-ANUIDADE-AMARELO_CS|1x1_CT|FCR_U1|ESTATICO</v>
      </c>
      <c r="O57" s="113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>
      <c r="A58" s="114" t="s">
        <v>236</v>
      </c>
      <c r="B58" s="120" t="s">
        <v>245</v>
      </c>
      <c r="C58" s="114" t="s">
        <v>246</v>
      </c>
      <c r="D58" s="115">
        <v>44197.0</v>
      </c>
      <c r="E58" s="114" t="s">
        <v>238</v>
      </c>
      <c r="F58" s="116"/>
      <c r="G58" s="114" t="s">
        <v>242</v>
      </c>
      <c r="H58" s="114" t="s">
        <v>239</v>
      </c>
      <c r="I58" s="116" t="str">
        <f>'Placement (DCM)'!L52</f>
        <v>1X1</v>
      </c>
      <c r="J58" s="116" t="str">
        <f>'Placement (DCM)'!R52</f>
        <v>MK|BR_CH|PSD_DT|CROSS_PB|FCBK_FM|CAR_RT|CPM_PD|DOTZ-TODOS-BENEFICIOS-AMARELO_TG|NON_ST|NON_TS|NONE_SZ|1X1_AD|CM1_IT|SOC_U1|ESTATICO</v>
      </c>
      <c r="K58" s="116" t="str">
        <f>'Creative Name'!H52</f>
        <v>CV|DOTZ-TODOS-BENEFICIOS-AMARELO_CS|1x1_CT|FCR_U1|ESTATICO</v>
      </c>
      <c r="L58" s="116" t="str">
        <f t="shared" si="1"/>
        <v>CV^DOTZ-TODOS-BENEFICIOS-AMARELO_CS^1x1_CT^FCR_U1^ESTATICO</v>
      </c>
      <c r="M58" s="119" t="s">
        <v>243</v>
      </c>
      <c r="N58" s="118" t="str">
        <f t="shared" si="2"/>
        <v>https://cartaodotz.dotz.com.br/dotz-bb?utm_source=FACEBOOK&amp;utm_medium=ADS&amp;utm_campaign=MK|BR_CH|PSD_DT|CROSS_PB|FCBK_FM|CAR_RT|CPM_PD|DOTZ-TODOS-BENEFICIOS-AMARELO_TG|NON_ST|NON_TS|NONE_SZ|1X1_AD|CM1_IT|SOC_U1|ESTATICO&amp;utm_content=CV|DOTZ-TODOS-BENEFICIOS-AMARELO_CS|1x1_CT|FCR_U1|ESTATICO</v>
      </c>
      <c r="O58" s="113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>
      <c r="A59" s="114" t="s">
        <v>236</v>
      </c>
      <c r="B59" s="120" t="s">
        <v>245</v>
      </c>
      <c r="C59" s="114" t="s">
        <v>246</v>
      </c>
      <c r="D59" s="115">
        <v>44197.0</v>
      </c>
      <c r="E59" s="114" t="s">
        <v>238</v>
      </c>
      <c r="F59" s="116"/>
      <c r="G59" s="114" t="s">
        <v>242</v>
      </c>
      <c r="H59" s="114" t="s">
        <v>239</v>
      </c>
      <c r="I59" s="116" t="str">
        <f>'Placement (DCM)'!L53</f>
        <v>1X1</v>
      </c>
      <c r="J59" s="116" t="str">
        <f>'Placement (DCM)'!R53</f>
        <v>MK|BR_CH|PSD_DT|CROSS_PB|FCBK_FM|CAR_RT|CPM_PD|DOTZ-CONVERSAO-AMARELO_TG|NON_ST|NON_TS|NONE_SZ|1X1_AD|CM1_IT|SOC_U1|ESTATICO</v>
      </c>
      <c r="K59" s="116" t="str">
        <f>'Creative Name'!H53</f>
        <v>CV|DOTZ-CONVERSAO-AMARELO_CS|1x1_CT|FCR_U1|ESTATICO</v>
      </c>
      <c r="L59" s="116" t="str">
        <f t="shared" si="1"/>
        <v>CV^DOTZ-CONVERSAO-AMARELO_CS^1x1_CT^FCR_U1^ESTATICO</v>
      </c>
      <c r="M59" s="119" t="s">
        <v>243</v>
      </c>
      <c r="N59" s="118" t="str">
        <f t="shared" si="2"/>
        <v>https://cartaodotz.dotz.com.br/dotz-bb?utm_source=FACEBOOK&amp;utm_medium=ADS&amp;utm_campaign=MK|BR_CH|PSD_DT|CROSS_PB|FCBK_FM|CAR_RT|CPM_PD|DOTZ-CONVERSAO-AMARELO_TG|NON_ST|NON_TS|NONE_SZ|1X1_AD|CM1_IT|SOC_U1|ESTATICO&amp;utm_content=CV|DOTZ-CONVERSAO-AMARELO_CS|1x1_CT|FCR_U1|ESTATICO</v>
      </c>
      <c r="O59" s="113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hidden="1">
      <c r="A60" s="116"/>
      <c r="B60" s="116"/>
      <c r="C60" s="116"/>
      <c r="D60" s="116"/>
      <c r="E60" s="116"/>
      <c r="F60" s="116"/>
      <c r="G60" s="116"/>
      <c r="H60" s="116"/>
      <c r="I60" s="116"/>
      <c r="J60" s="116" t="str">
        <f>'Placement (DCM)'!R54</f>
        <v>MK|BR_CH|PD_DT|CROSS_PB|DV36_FM|BAN_RT|CPM_PD|DOTZ-10MIL-AZUL_TG|NON_ST|NON_TS|NONE_SZ|120x600_AD|CM_IT|POE</v>
      </c>
      <c r="K60" s="116" t="str">
        <f>#REF!</f>
        <v>#REF!</v>
      </c>
      <c r="L60" s="116" t="str">
        <f t="shared" si="1"/>
        <v>#REF!</v>
      </c>
      <c r="M60" s="117" t="s">
        <v>240</v>
      </c>
      <c r="N60" s="116" t="str">
        <f t="shared" si="2"/>
        <v>#REF!</v>
      </c>
      <c r="O60" s="113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>
      <c r="A61" s="114" t="s">
        <v>236</v>
      </c>
      <c r="B61" s="121" t="s">
        <v>247</v>
      </c>
      <c r="C61" s="121" t="s">
        <v>248</v>
      </c>
      <c r="D61" s="122">
        <v>44197.0</v>
      </c>
      <c r="E61" s="121" t="s">
        <v>249</v>
      </c>
      <c r="F61" s="123"/>
      <c r="G61" s="121" t="s">
        <v>160</v>
      </c>
      <c r="H61" s="121" t="s">
        <v>239</v>
      </c>
      <c r="I61" s="123" t="str">
        <f>'Placement (DCM)'!L54</f>
        <v>120x600</v>
      </c>
      <c r="J61" s="123" t="str">
        <f>'Placement (DCM)'!R54</f>
        <v>MK|BR_CH|PD_DT|CROSS_PB|DV36_FM|BAN_RT|CPM_PD|DOTZ-10MIL-AZUL_TG|NON_ST|NON_TS|NONE_SZ|120x600_AD|CM_IT|POE</v>
      </c>
      <c r="K61" s="123" t="str">
        <f>'Creative Name'!H54</f>
        <v>CV|DOTZ-10MIL-AZUL_CS|120x600_CT|HTML5</v>
      </c>
      <c r="L61" s="123" t="str">
        <f t="shared" si="1"/>
        <v>CV^DOTZ-10MIL-AZUL_CS^120x600_CT^HTML5</v>
      </c>
      <c r="M61" s="124" t="s">
        <v>243</v>
      </c>
      <c r="N61" s="125" t="str">
        <f t="shared" si="2"/>
        <v>https://cartaodotz.dotz.com.br/dotz-bb?utm_source=DV360&amp;utm_medium=ADS&amp;utm_campaign=MK|BR_CH|PD_DT|CROSS_PB|DV36_FM|BAN_RT|CPM_PD|DOTZ-10MIL-AZUL_TG|NON_ST|NON_TS|NONE_SZ|120x600_AD|CM_IT|POE&amp;utm_content=CV|DOTZ-10MIL-AZUL_CS|120x600_CT|HTML5</v>
      </c>
      <c r="O61" s="126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</row>
    <row r="62">
      <c r="A62" s="114" t="s">
        <v>236</v>
      </c>
      <c r="B62" s="121" t="s">
        <v>247</v>
      </c>
      <c r="C62" s="114" t="s">
        <v>248</v>
      </c>
      <c r="D62" s="115">
        <v>44197.0</v>
      </c>
      <c r="E62" s="114" t="s">
        <v>249</v>
      </c>
      <c r="F62" s="116"/>
      <c r="G62" s="114" t="s">
        <v>160</v>
      </c>
      <c r="H62" s="114" t="s">
        <v>239</v>
      </c>
      <c r="I62" s="116" t="str">
        <f>'Placement (DCM)'!L55</f>
        <v>160x600</v>
      </c>
      <c r="J62" s="116" t="str">
        <f>'Placement (DCM)'!R55</f>
        <v>MK|BR_CH|PD_DT|CROSS_PB|DV36_FM|BAN_RT|CPM_PD|DOTZ-10MIL-AZUL_TG|NON_ST|NON_TS|NONE_SZ|160x600_AD|CM_IT|POE</v>
      </c>
      <c r="K62" s="116" t="str">
        <f>'Creative Name'!H55</f>
        <v>CV|DOTZ-10MIL-AZUL_CS|160x600_CT|HTML5</v>
      </c>
      <c r="L62" s="116" t="str">
        <f t="shared" si="1"/>
        <v>CV^DOTZ-10MIL-AZUL_CS^160x600_CT^HTML5</v>
      </c>
      <c r="M62" s="119" t="s">
        <v>243</v>
      </c>
      <c r="N62" s="118" t="str">
        <f t="shared" si="2"/>
        <v>https://cartaodotz.dotz.com.br/dotz-bb?utm_source=DV360&amp;utm_medium=ADS&amp;utm_campaign=MK|BR_CH|PD_DT|CROSS_PB|DV36_FM|BAN_RT|CPM_PD|DOTZ-10MIL-AZUL_TG|NON_ST|NON_TS|NONE_SZ|160x600_AD|CM_IT|POE&amp;utm_content=CV|DOTZ-10MIL-AZUL_CS|160x600_CT|HTML5</v>
      </c>
      <c r="O62" s="113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>
      <c r="A63" s="114" t="s">
        <v>236</v>
      </c>
      <c r="B63" s="121" t="s">
        <v>247</v>
      </c>
      <c r="C63" s="114" t="s">
        <v>248</v>
      </c>
      <c r="D63" s="115">
        <v>44197.0</v>
      </c>
      <c r="E63" s="114" t="s">
        <v>249</v>
      </c>
      <c r="F63" s="116"/>
      <c r="G63" s="114" t="s">
        <v>160</v>
      </c>
      <c r="H63" s="114" t="s">
        <v>239</v>
      </c>
      <c r="I63" s="116" t="str">
        <f>'Placement (DCM)'!L56</f>
        <v>300x250</v>
      </c>
      <c r="J63" s="116" t="str">
        <f>'Placement (DCM)'!R56</f>
        <v>MK|BR_CH|PD_DT|CROSS_PB|DV36_FM|BAN_RT|CPM_PD|DOTZ-10MIL-AZUL_TG|NON_ST|NON_TS|NONE_SZ|300x250_AD|CM_IT|POE</v>
      </c>
      <c r="K63" s="116" t="str">
        <f>'Creative Name'!H56</f>
        <v>CV|DOTZ-10MIL-AZUL_CS|300x250_CT|HTML5</v>
      </c>
      <c r="L63" s="116" t="str">
        <f t="shared" si="1"/>
        <v>CV^DOTZ-10MIL-AZUL_CS^300x250_CT^HTML5</v>
      </c>
      <c r="M63" s="119" t="s">
        <v>243</v>
      </c>
      <c r="N63" s="118" t="str">
        <f t="shared" si="2"/>
        <v>https://cartaodotz.dotz.com.br/dotz-bb?utm_source=DV360&amp;utm_medium=ADS&amp;utm_campaign=MK|BR_CH|PD_DT|CROSS_PB|DV36_FM|BAN_RT|CPM_PD|DOTZ-10MIL-AZUL_TG|NON_ST|NON_TS|NONE_SZ|300x250_AD|CM_IT|POE&amp;utm_content=CV|DOTZ-10MIL-AZUL_CS|300x250_CT|HTML5</v>
      </c>
      <c r="O63" s="113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>
      <c r="A64" s="114" t="s">
        <v>236</v>
      </c>
      <c r="B64" s="121" t="s">
        <v>247</v>
      </c>
      <c r="C64" s="114" t="s">
        <v>248</v>
      </c>
      <c r="D64" s="115">
        <v>44197.0</v>
      </c>
      <c r="E64" s="114" t="s">
        <v>249</v>
      </c>
      <c r="F64" s="116"/>
      <c r="G64" s="114" t="s">
        <v>160</v>
      </c>
      <c r="H64" s="114" t="s">
        <v>239</v>
      </c>
      <c r="I64" s="116" t="str">
        <f>'Placement (DCM)'!L57</f>
        <v>300x600</v>
      </c>
      <c r="J64" s="116" t="str">
        <f>'Placement (DCM)'!R57</f>
        <v>MK|BR_CH|PD_DT|CROSS_PB|DV36_FM|BAN_RT|CPM_PD|DOTZ-10MIL-AZUL_TG|NON_ST|NON_TS|NONE_SZ|300x600_AD|CM_IT|POE</v>
      </c>
      <c r="K64" s="116" t="str">
        <f>'Creative Name'!H57</f>
        <v>CV|DOTZ-10MIL-AZUL_CS|300x600_CT|HTML5</v>
      </c>
      <c r="L64" s="116" t="str">
        <f t="shared" si="1"/>
        <v>CV^DOTZ-10MIL-AZUL_CS^300x600_CT^HTML5</v>
      </c>
      <c r="M64" s="119" t="s">
        <v>243</v>
      </c>
      <c r="N64" s="118" t="str">
        <f t="shared" si="2"/>
        <v>https://cartaodotz.dotz.com.br/dotz-bb?utm_source=DV360&amp;utm_medium=ADS&amp;utm_campaign=MK|BR_CH|PD_DT|CROSS_PB|DV36_FM|BAN_RT|CPM_PD|DOTZ-10MIL-AZUL_TG|NON_ST|NON_TS|NONE_SZ|300x600_AD|CM_IT|POE&amp;utm_content=CV|DOTZ-10MIL-AZUL_CS|300x600_CT|HTML5</v>
      </c>
      <c r="O64" s="113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>
      <c r="A65" s="114" t="s">
        <v>236</v>
      </c>
      <c r="B65" s="121" t="s">
        <v>247</v>
      </c>
      <c r="C65" s="114" t="s">
        <v>248</v>
      </c>
      <c r="D65" s="115">
        <v>44197.0</v>
      </c>
      <c r="E65" s="114" t="s">
        <v>249</v>
      </c>
      <c r="F65" s="116"/>
      <c r="G65" s="114" t="s">
        <v>160</v>
      </c>
      <c r="H65" s="114" t="s">
        <v>239</v>
      </c>
      <c r="I65" s="116" t="str">
        <f>'Placement (DCM)'!L58</f>
        <v>320x50</v>
      </c>
      <c r="J65" s="116" t="str">
        <f>'Placement (DCM)'!R58</f>
        <v>MK|BR_CH|PMD_DT|CROSS_PB|DV36_FM|BAN_RT|CPM_PD|DOTZ-10MIL-AZUL_TG|NON_ST|NON_TS|NONE_SZ|320x50_AD|CM_IT|POE</v>
      </c>
      <c r="K65" s="116" t="str">
        <f>'Creative Name'!H58</f>
        <v>CV|DOTZ-10MIL-AZUL_CS|320x50_CT|HTML5</v>
      </c>
      <c r="L65" s="116" t="str">
        <f t="shared" si="1"/>
        <v>CV^DOTZ-10MIL-AZUL_CS^320x50_CT^HTML5</v>
      </c>
      <c r="M65" s="119" t="s">
        <v>243</v>
      </c>
      <c r="N65" s="118" t="str">
        <f t="shared" si="2"/>
        <v>https://cartaodotz.dotz.com.br/dotz-bb?utm_source=DV360&amp;utm_medium=ADS&amp;utm_campaign=MK|BR_CH|PMD_DT|CROSS_PB|DV36_FM|BAN_RT|CPM_PD|DOTZ-10MIL-AZUL_TG|NON_ST|NON_TS|NONE_SZ|320x50_AD|CM_IT|POE&amp;utm_content=CV|DOTZ-10MIL-AZUL_CS|320x50_CT|HTML5</v>
      </c>
      <c r="O65" s="113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>
      <c r="A66" s="114" t="s">
        <v>236</v>
      </c>
      <c r="B66" s="121" t="s">
        <v>247</v>
      </c>
      <c r="C66" s="114" t="s">
        <v>248</v>
      </c>
      <c r="D66" s="115">
        <v>44197.0</v>
      </c>
      <c r="E66" s="114" t="s">
        <v>249</v>
      </c>
      <c r="F66" s="116"/>
      <c r="G66" s="114" t="s">
        <v>160</v>
      </c>
      <c r="H66" s="114" t="s">
        <v>239</v>
      </c>
      <c r="I66" s="116" t="str">
        <f>'Placement (DCM)'!L59</f>
        <v>320x100</v>
      </c>
      <c r="J66" s="116" t="str">
        <f>'Placement (DCM)'!R59</f>
        <v>MK|BR_CH|PMD_DT|CROSS_PB|DV36_FM|BAN_RT|CPM_PD|DOTZ-10MIL-AZUL_TG|NON_ST|NON_TS|NONE_SZ|320x100_AD|CM_IT|POE</v>
      </c>
      <c r="K66" s="116" t="str">
        <f>'Creative Name'!H59</f>
        <v>CV|DOTZ-10MIL-AZUL_CS|320x100_CT|HTML5</v>
      </c>
      <c r="L66" s="116" t="str">
        <f t="shared" si="1"/>
        <v>CV^DOTZ-10MIL-AZUL_CS^320x100_CT^HTML5</v>
      </c>
      <c r="M66" s="119" t="s">
        <v>243</v>
      </c>
      <c r="N66" s="118" t="str">
        <f t="shared" si="2"/>
        <v>https://cartaodotz.dotz.com.br/dotz-bb?utm_source=DV360&amp;utm_medium=ADS&amp;utm_campaign=MK|BR_CH|PMD_DT|CROSS_PB|DV36_FM|BAN_RT|CPM_PD|DOTZ-10MIL-AZUL_TG|NON_ST|NON_TS|NONE_SZ|320x100_AD|CM_IT|POE&amp;utm_content=CV|DOTZ-10MIL-AZUL_CS|320x100_CT|HTML5</v>
      </c>
      <c r="O66" s="113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>
      <c r="A67" s="114" t="s">
        <v>236</v>
      </c>
      <c r="B67" s="121" t="s">
        <v>247</v>
      </c>
      <c r="C67" s="114" t="s">
        <v>248</v>
      </c>
      <c r="D67" s="115">
        <v>44197.0</v>
      </c>
      <c r="E67" s="114" t="s">
        <v>249</v>
      </c>
      <c r="F67" s="116"/>
      <c r="G67" s="114" t="s">
        <v>160</v>
      </c>
      <c r="H67" s="114" t="s">
        <v>239</v>
      </c>
      <c r="I67" s="116" t="str">
        <f>'Placement (DCM)'!L60</f>
        <v>728x90</v>
      </c>
      <c r="J67" s="116" t="str">
        <f>'Placement (DCM)'!R60</f>
        <v>MK|BR_CH|PD_DT|CROSS_PB|DV36_FM|BAN_RT|CPM_PD|DOTZ-10MIL-AZUL_TG|NON_ST|NON_TS|NONE_SZ|728x90_AD|CM_IT|POE</v>
      </c>
      <c r="K67" s="116" t="str">
        <f>'Creative Name'!H60</f>
        <v>CV|DOTZ-10MIL-AZUL_CS|728x90_CT|HTML5</v>
      </c>
      <c r="L67" s="116" t="str">
        <f t="shared" si="1"/>
        <v>CV^DOTZ-10MIL-AZUL_CS^728x90_CT^HTML5</v>
      </c>
      <c r="M67" s="119" t="s">
        <v>243</v>
      </c>
      <c r="N67" s="118" t="str">
        <f t="shared" si="2"/>
        <v>https://cartaodotz.dotz.com.br/dotz-bb?utm_source=DV360&amp;utm_medium=ADS&amp;utm_campaign=MK|BR_CH|PD_DT|CROSS_PB|DV36_FM|BAN_RT|CPM_PD|DOTZ-10MIL-AZUL_TG|NON_ST|NON_TS|NONE_SZ|728x90_AD|CM_IT|POE&amp;utm_content=CV|DOTZ-10MIL-AZUL_CS|728x90_CT|HTML5</v>
      </c>
      <c r="O67" s="113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>
      <c r="A68" s="114" t="s">
        <v>236</v>
      </c>
      <c r="B68" s="121" t="s">
        <v>247</v>
      </c>
      <c r="C68" s="114" t="s">
        <v>248</v>
      </c>
      <c r="D68" s="115">
        <v>44197.0</v>
      </c>
      <c r="E68" s="114" t="s">
        <v>249</v>
      </c>
      <c r="F68" s="116"/>
      <c r="G68" s="114" t="s">
        <v>160</v>
      </c>
      <c r="H68" s="114" t="s">
        <v>239</v>
      </c>
      <c r="I68" s="116" t="str">
        <f>'Placement (DCM)'!L61</f>
        <v>120x600</v>
      </c>
      <c r="J68" s="116" t="str">
        <f>'Placement (DCM)'!R61</f>
        <v>MK|BR_CH|PD_DT|CROSS_PB|DV36_FM|BAN_RT|CPM_PD|DOTZ-ZERO-ANUIDADE-AZUL_TG|NON_ST|NON_TS|NONE_SZ|120x600_AD|CM_IT|POE</v>
      </c>
      <c r="K68" s="116" t="str">
        <f>'Creative Name'!H61</f>
        <v>CV|DOTZ-ZERO-ANUIDADE-AZUL_CS|120x600_CT|HTML5</v>
      </c>
      <c r="L68" s="116" t="str">
        <f t="shared" si="1"/>
        <v>CV^DOTZ-ZERO-ANUIDADE-AZUL_CS^120x600_CT^HTML5</v>
      </c>
      <c r="M68" s="119" t="s">
        <v>243</v>
      </c>
      <c r="N68" s="118" t="str">
        <f t="shared" si="2"/>
        <v>https://cartaodotz.dotz.com.br/dotz-bb?utm_source=DV360&amp;utm_medium=ADS&amp;utm_campaign=MK|BR_CH|PD_DT|CROSS_PB|DV36_FM|BAN_RT|CPM_PD|DOTZ-ZERO-ANUIDADE-AZUL_TG|NON_ST|NON_TS|NONE_SZ|120x600_AD|CM_IT|POE&amp;utm_content=CV|DOTZ-ZERO-ANUIDADE-AZUL_CS|120x600_CT|HTML5</v>
      </c>
      <c r="O68" s="113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>
      <c r="A69" s="114" t="s">
        <v>236</v>
      </c>
      <c r="B69" s="121" t="s">
        <v>247</v>
      </c>
      <c r="C69" s="114" t="s">
        <v>248</v>
      </c>
      <c r="D69" s="115">
        <v>44197.0</v>
      </c>
      <c r="E69" s="114" t="s">
        <v>249</v>
      </c>
      <c r="F69" s="116"/>
      <c r="G69" s="114" t="s">
        <v>160</v>
      </c>
      <c r="H69" s="114" t="s">
        <v>239</v>
      </c>
      <c r="I69" s="116" t="str">
        <f>'Placement (DCM)'!L62</f>
        <v>160x600</v>
      </c>
      <c r="J69" s="116" t="str">
        <f>'Placement (DCM)'!R62</f>
        <v>MK|BR_CH|PD_DT|CROSS_PB|DV36_FM|BAN_RT|CPM_PD|DOTZ-ZERO-ANUIDADE-AZUL_TG|NON_ST|NON_TS|NONE_SZ|160x600_AD|CM_IT|POE</v>
      </c>
      <c r="K69" s="116" t="str">
        <f>'Creative Name'!H62</f>
        <v>CV|DOTZ-ZERO-ANUIDADE-AZUL_CS|160x600_CT|HTML5</v>
      </c>
      <c r="L69" s="116" t="str">
        <f t="shared" si="1"/>
        <v>CV^DOTZ-ZERO-ANUIDADE-AZUL_CS^160x600_CT^HTML5</v>
      </c>
      <c r="M69" s="119" t="s">
        <v>243</v>
      </c>
      <c r="N69" s="118" t="str">
        <f t="shared" si="2"/>
        <v>https://cartaodotz.dotz.com.br/dotz-bb?utm_source=DV360&amp;utm_medium=ADS&amp;utm_campaign=MK|BR_CH|PD_DT|CROSS_PB|DV36_FM|BAN_RT|CPM_PD|DOTZ-ZERO-ANUIDADE-AZUL_TG|NON_ST|NON_TS|NONE_SZ|160x600_AD|CM_IT|POE&amp;utm_content=CV|DOTZ-ZERO-ANUIDADE-AZUL_CS|160x600_CT|HTML5</v>
      </c>
      <c r="O69" s="113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>
      <c r="A70" s="114" t="s">
        <v>236</v>
      </c>
      <c r="B70" s="121" t="s">
        <v>247</v>
      </c>
      <c r="C70" s="114" t="s">
        <v>248</v>
      </c>
      <c r="D70" s="115">
        <v>44197.0</v>
      </c>
      <c r="E70" s="114" t="s">
        <v>249</v>
      </c>
      <c r="F70" s="116"/>
      <c r="G70" s="114" t="s">
        <v>160</v>
      </c>
      <c r="H70" s="114" t="s">
        <v>239</v>
      </c>
      <c r="I70" s="116" t="str">
        <f>'Placement (DCM)'!L63</f>
        <v>300x250</v>
      </c>
      <c r="J70" s="116" t="str">
        <f>'Placement (DCM)'!R63</f>
        <v>MK|BR_CH|PD_DT|CROSS_PB|DV36_FM|BAN_RT|CPM_PD|DOTZ-ZERO-ANUIDADE-AZUL_TG|NON_ST|NON_TS|NONE_SZ|300x250_AD|CM_IT|POE</v>
      </c>
      <c r="K70" s="116" t="str">
        <f>'Creative Name'!H63</f>
        <v>CV|DOTZ-ZERO-ANUIDADE-AZUL_CS|300x250_CT|HTML5</v>
      </c>
      <c r="L70" s="116" t="str">
        <f t="shared" si="1"/>
        <v>CV^DOTZ-ZERO-ANUIDADE-AZUL_CS^300x250_CT^HTML5</v>
      </c>
      <c r="M70" s="119" t="s">
        <v>243</v>
      </c>
      <c r="N70" s="118" t="str">
        <f t="shared" si="2"/>
        <v>https://cartaodotz.dotz.com.br/dotz-bb?utm_source=DV360&amp;utm_medium=ADS&amp;utm_campaign=MK|BR_CH|PD_DT|CROSS_PB|DV36_FM|BAN_RT|CPM_PD|DOTZ-ZERO-ANUIDADE-AZUL_TG|NON_ST|NON_TS|NONE_SZ|300x250_AD|CM_IT|POE&amp;utm_content=CV|DOTZ-ZERO-ANUIDADE-AZUL_CS|300x250_CT|HTML5</v>
      </c>
      <c r="O70" s="113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>
      <c r="A71" s="114" t="s">
        <v>236</v>
      </c>
      <c r="B71" s="121" t="s">
        <v>247</v>
      </c>
      <c r="C71" s="114" t="s">
        <v>248</v>
      </c>
      <c r="D71" s="115">
        <v>44197.0</v>
      </c>
      <c r="E71" s="114" t="s">
        <v>249</v>
      </c>
      <c r="F71" s="116"/>
      <c r="G71" s="114" t="s">
        <v>160</v>
      </c>
      <c r="H71" s="114" t="s">
        <v>239</v>
      </c>
      <c r="I71" s="116" t="str">
        <f>'Placement (DCM)'!L64</f>
        <v>300x600</v>
      </c>
      <c r="J71" s="116" t="str">
        <f>'Placement (DCM)'!R64</f>
        <v>MK|BR_CH|PD_DT|CROSS_PB|DV36_FM|BAN_RT|CPM_PD|DOTZ-ZERO-ANUIDADE-AZUL_TG|NON_ST|NON_TS|NONE_SZ|300x600_AD|CM_IT|POE</v>
      </c>
      <c r="K71" s="116" t="str">
        <f>'Creative Name'!H64</f>
        <v>CV|DOTZ-ZERO-ANUIDADE-AZUL_CS|300x600_CT|HTML5</v>
      </c>
      <c r="L71" s="116" t="str">
        <f t="shared" si="1"/>
        <v>CV^DOTZ-ZERO-ANUIDADE-AZUL_CS^300x600_CT^HTML5</v>
      </c>
      <c r="M71" s="119" t="s">
        <v>243</v>
      </c>
      <c r="N71" s="118" t="str">
        <f t="shared" si="2"/>
        <v>https://cartaodotz.dotz.com.br/dotz-bb?utm_source=DV360&amp;utm_medium=ADS&amp;utm_campaign=MK|BR_CH|PD_DT|CROSS_PB|DV36_FM|BAN_RT|CPM_PD|DOTZ-ZERO-ANUIDADE-AZUL_TG|NON_ST|NON_TS|NONE_SZ|300x600_AD|CM_IT|POE&amp;utm_content=CV|DOTZ-ZERO-ANUIDADE-AZUL_CS|300x600_CT|HTML5</v>
      </c>
      <c r="O71" s="113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>
      <c r="A72" s="114" t="s">
        <v>236</v>
      </c>
      <c r="B72" s="121" t="s">
        <v>247</v>
      </c>
      <c r="C72" s="114" t="s">
        <v>248</v>
      </c>
      <c r="D72" s="115">
        <v>44197.0</v>
      </c>
      <c r="E72" s="114" t="s">
        <v>249</v>
      </c>
      <c r="F72" s="116"/>
      <c r="G72" s="114" t="s">
        <v>160</v>
      </c>
      <c r="H72" s="114" t="s">
        <v>239</v>
      </c>
      <c r="I72" s="116" t="str">
        <f>'Placement (DCM)'!L65</f>
        <v>320x50</v>
      </c>
      <c r="J72" s="116" t="str">
        <f>'Placement (DCM)'!R65</f>
        <v>MK|BR_CH|PMD_DT|CROSS_PB|DV36_FM|BAN_RT|CPM_PD|DOTZ-ZERO-ANUIDADE-AZUL_TG|NON_ST|NON_TS|NONE_SZ|320x50_AD|CM_IT|POE</v>
      </c>
      <c r="K72" s="116" t="str">
        <f>'Creative Name'!H65</f>
        <v>CV|DOTZ-ZERO-ANUIDADE-AZUL_CS|320x50_CT|HTML5</v>
      </c>
      <c r="L72" s="116" t="str">
        <f t="shared" si="1"/>
        <v>CV^DOTZ-ZERO-ANUIDADE-AZUL_CS^320x50_CT^HTML5</v>
      </c>
      <c r="M72" s="119" t="s">
        <v>243</v>
      </c>
      <c r="N72" s="118" t="str">
        <f t="shared" si="2"/>
        <v>https://cartaodotz.dotz.com.br/dotz-bb?utm_source=DV360&amp;utm_medium=ADS&amp;utm_campaign=MK|BR_CH|PMD_DT|CROSS_PB|DV36_FM|BAN_RT|CPM_PD|DOTZ-ZERO-ANUIDADE-AZUL_TG|NON_ST|NON_TS|NONE_SZ|320x50_AD|CM_IT|POE&amp;utm_content=CV|DOTZ-ZERO-ANUIDADE-AZUL_CS|320x50_CT|HTML5</v>
      </c>
      <c r="O72" s="113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>
      <c r="A73" s="114" t="s">
        <v>236</v>
      </c>
      <c r="B73" s="121" t="s">
        <v>247</v>
      </c>
      <c r="C73" s="114" t="s">
        <v>248</v>
      </c>
      <c r="D73" s="115">
        <v>44197.0</v>
      </c>
      <c r="E73" s="114" t="s">
        <v>249</v>
      </c>
      <c r="F73" s="116"/>
      <c r="G73" s="114" t="s">
        <v>160</v>
      </c>
      <c r="H73" s="114" t="s">
        <v>239</v>
      </c>
      <c r="I73" s="116" t="str">
        <f>'Placement (DCM)'!L66</f>
        <v>320x100</v>
      </c>
      <c r="J73" s="116" t="str">
        <f>'Placement (DCM)'!R66</f>
        <v>MK|BR_CH|PMD_DT|CROSS_PB|DV36_FM|BAN_RT|CPM_PD|DOTZ-ZERO-ANUIDADE-AZUL_TG|NON_ST|NON_TS|NONE_SZ|320x100_AD|CM_IT|POE</v>
      </c>
      <c r="K73" s="116" t="str">
        <f>'Creative Name'!H66</f>
        <v>CV|DOTZ-ZERO-ANUIDADE-AZUL_CS|320x100_CT|HTML5</v>
      </c>
      <c r="L73" s="116" t="str">
        <f t="shared" si="1"/>
        <v>CV^DOTZ-ZERO-ANUIDADE-AZUL_CS^320x100_CT^HTML5</v>
      </c>
      <c r="M73" s="119" t="s">
        <v>243</v>
      </c>
      <c r="N73" s="118" t="str">
        <f t="shared" si="2"/>
        <v>https://cartaodotz.dotz.com.br/dotz-bb?utm_source=DV360&amp;utm_medium=ADS&amp;utm_campaign=MK|BR_CH|PMD_DT|CROSS_PB|DV36_FM|BAN_RT|CPM_PD|DOTZ-ZERO-ANUIDADE-AZUL_TG|NON_ST|NON_TS|NONE_SZ|320x100_AD|CM_IT|POE&amp;utm_content=CV|DOTZ-ZERO-ANUIDADE-AZUL_CS|320x100_CT|HTML5</v>
      </c>
      <c r="O73" s="113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>
      <c r="A74" s="114" t="s">
        <v>236</v>
      </c>
      <c r="B74" s="121" t="s">
        <v>247</v>
      </c>
      <c r="C74" s="114" t="s">
        <v>248</v>
      </c>
      <c r="D74" s="115">
        <v>44197.0</v>
      </c>
      <c r="E74" s="114" t="s">
        <v>249</v>
      </c>
      <c r="F74" s="116"/>
      <c r="G74" s="114" t="s">
        <v>160</v>
      </c>
      <c r="H74" s="114" t="s">
        <v>239</v>
      </c>
      <c r="I74" s="116" t="str">
        <f>'Placement (DCM)'!L67</f>
        <v>728x90</v>
      </c>
      <c r="J74" s="116" t="str">
        <f>'Placement (DCM)'!R67</f>
        <v>MK|BR_CH|PD_DT|CROSS_PB|DV36_FM|BAN_RT|CPM_PD|DOTZ-ZERO-ANUIDADE-AZUL_TG|NON_ST|NON_TS|NONE_SZ|728x90_AD|CM_IT|POE</v>
      </c>
      <c r="K74" s="116" t="str">
        <f>'Creative Name'!H67</f>
        <v>CV|DOTZ-ZERO-ANUIDADE-AZUL_CS|728x90_CT|HTML5</v>
      </c>
      <c r="L74" s="116" t="str">
        <f t="shared" si="1"/>
        <v>CV^DOTZ-ZERO-ANUIDADE-AZUL_CS^728x90_CT^HTML5</v>
      </c>
      <c r="M74" s="119" t="s">
        <v>243</v>
      </c>
      <c r="N74" s="118" t="str">
        <f t="shared" si="2"/>
        <v>https://cartaodotz.dotz.com.br/dotz-bb?utm_source=DV360&amp;utm_medium=ADS&amp;utm_campaign=MK|BR_CH|PD_DT|CROSS_PB|DV36_FM|BAN_RT|CPM_PD|DOTZ-ZERO-ANUIDADE-AZUL_TG|NON_ST|NON_TS|NONE_SZ|728x90_AD|CM_IT|POE&amp;utm_content=CV|DOTZ-ZERO-ANUIDADE-AZUL_CS|728x90_CT|HTML5</v>
      </c>
      <c r="O74" s="113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>
      <c r="A75" s="114" t="s">
        <v>236</v>
      </c>
      <c r="B75" s="121" t="s">
        <v>247</v>
      </c>
      <c r="C75" s="114" t="s">
        <v>248</v>
      </c>
      <c r="D75" s="115">
        <v>44197.0</v>
      </c>
      <c r="E75" s="114" t="s">
        <v>249</v>
      </c>
      <c r="F75" s="116"/>
      <c r="G75" s="114" t="s">
        <v>160</v>
      </c>
      <c r="H75" s="114" t="s">
        <v>239</v>
      </c>
      <c r="I75" s="116" t="str">
        <f>'Placement (DCM)'!L68</f>
        <v>120x600</v>
      </c>
      <c r="J75" s="116" t="str">
        <f>'Placement (DCM)'!R68</f>
        <v>MK|BR_CH|PD_DT|CROSS_PB|DV36_FM|BAN_RT|CPM_PD|DOTZ-10MIL-HUMANIZADO_TG|NON_ST|NON_TS|NONE_SZ|120x600_AD|CM_IT|POE</v>
      </c>
      <c r="K75" s="116" t="str">
        <f>'Creative Name'!H68</f>
        <v>CV|DOTZ-10MIL-HUMANIZADO_CS|120x600_CT|HTML5</v>
      </c>
      <c r="L75" s="116" t="str">
        <f t="shared" si="1"/>
        <v>CV^DOTZ-10MIL-HUMANIZADO_CS^120x600_CT^HTML5</v>
      </c>
      <c r="M75" s="119" t="s">
        <v>243</v>
      </c>
      <c r="N75" s="118" t="str">
        <f t="shared" si="2"/>
        <v>https://cartaodotz.dotz.com.br/dotz-bb?utm_source=DV360&amp;utm_medium=ADS&amp;utm_campaign=MK|BR_CH|PD_DT|CROSS_PB|DV36_FM|BAN_RT|CPM_PD|DOTZ-10MIL-HUMANIZADO_TG|NON_ST|NON_TS|NONE_SZ|120x600_AD|CM_IT|POE&amp;utm_content=CV|DOTZ-10MIL-HUMANIZADO_CS|120x600_CT|HTML5</v>
      </c>
      <c r="O75" s="113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>
      <c r="A76" s="114" t="s">
        <v>236</v>
      </c>
      <c r="B76" s="121" t="s">
        <v>247</v>
      </c>
      <c r="C76" s="114" t="s">
        <v>248</v>
      </c>
      <c r="D76" s="115">
        <v>44197.0</v>
      </c>
      <c r="E76" s="114" t="s">
        <v>249</v>
      </c>
      <c r="F76" s="116"/>
      <c r="G76" s="114" t="s">
        <v>160</v>
      </c>
      <c r="H76" s="114" t="s">
        <v>239</v>
      </c>
      <c r="I76" s="116" t="str">
        <f>'Placement (DCM)'!L69</f>
        <v>160x600</v>
      </c>
      <c r="J76" s="116" t="str">
        <f>'Placement (DCM)'!R69</f>
        <v>MK|BR_CH|PD_DT|CROSS_PB|DV36_FM|BAN_RT|CPM_PD|DOTZ-10MIL-HUMANIZADO_TG|NON_ST|NON_TS|NONE_SZ|160x600_AD|CM_IT|POE</v>
      </c>
      <c r="K76" s="116" t="str">
        <f>'Creative Name'!H69</f>
        <v>CV|DOTZ-10MIL-HUMANIZADO_CS|160x600_CT|HTML5</v>
      </c>
      <c r="L76" s="116" t="str">
        <f t="shared" si="1"/>
        <v>CV^DOTZ-10MIL-HUMANIZADO_CS^160x600_CT^HTML5</v>
      </c>
      <c r="M76" s="119" t="s">
        <v>243</v>
      </c>
      <c r="N76" s="118" t="str">
        <f t="shared" si="2"/>
        <v>https://cartaodotz.dotz.com.br/dotz-bb?utm_source=DV360&amp;utm_medium=ADS&amp;utm_campaign=MK|BR_CH|PD_DT|CROSS_PB|DV36_FM|BAN_RT|CPM_PD|DOTZ-10MIL-HUMANIZADO_TG|NON_ST|NON_TS|NONE_SZ|160x600_AD|CM_IT|POE&amp;utm_content=CV|DOTZ-10MIL-HUMANIZADO_CS|160x600_CT|HTML5</v>
      </c>
      <c r="O76" s="113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</row>
    <row r="77">
      <c r="A77" s="114" t="s">
        <v>236</v>
      </c>
      <c r="B77" s="121" t="s">
        <v>247</v>
      </c>
      <c r="C77" s="114" t="s">
        <v>248</v>
      </c>
      <c r="D77" s="115">
        <v>44197.0</v>
      </c>
      <c r="E77" s="114" t="s">
        <v>249</v>
      </c>
      <c r="F77" s="116"/>
      <c r="G77" s="114" t="s">
        <v>160</v>
      </c>
      <c r="H77" s="114" t="s">
        <v>239</v>
      </c>
      <c r="I77" s="116" t="str">
        <f>'Placement (DCM)'!L70</f>
        <v>300x250</v>
      </c>
      <c r="J77" s="116" t="str">
        <f>'Placement (DCM)'!R70</f>
        <v>MK|BR_CH|PD_DT|CROSS_PB|DV36_FM|BAN_RT|CPM_PD|DOTZ-10MIL-HUMANIZADO_TG|NON_ST|NON_TS|NONE_SZ|300x250_AD|CM_IT|POE</v>
      </c>
      <c r="K77" s="116" t="str">
        <f>'Creative Name'!H70</f>
        <v>CV|DOTZ-10MIL-HUMANIZADO_CS|300x250_CT|HTML5</v>
      </c>
      <c r="L77" s="116" t="str">
        <f t="shared" si="1"/>
        <v>CV^DOTZ-10MIL-HUMANIZADO_CS^300x250_CT^HTML5</v>
      </c>
      <c r="M77" s="119" t="s">
        <v>243</v>
      </c>
      <c r="N77" s="118" t="str">
        <f t="shared" si="2"/>
        <v>https://cartaodotz.dotz.com.br/dotz-bb?utm_source=DV360&amp;utm_medium=ADS&amp;utm_campaign=MK|BR_CH|PD_DT|CROSS_PB|DV36_FM|BAN_RT|CPM_PD|DOTZ-10MIL-HUMANIZADO_TG|NON_ST|NON_TS|NONE_SZ|300x250_AD|CM_IT|POE&amp;utm_content=CV|DOTZ-10MIL-HUMANIZADO_CS|300x250_CT|HTML5</v>
      </c>
      <c r="O77" s="113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</row>
    <row r="78">
      <c r="A78" s="114" t="s">
        <v>236</v>
      </c>
      <c r="B78" s="121" t="s">
        <v>247</v>
      </c>
      <c r="C78" s="114" t="s">
        <v>248</v>
      </c>
      <c r="D78" s="115">
        <v>44197.0</v>
      </c>
      <c r="E78" s="114" t="s">
        <v>249</v>
      </c>
      <c r="F78" s="116"/>
      <c r="G78" s="114" t="s">
        <v>160</v>
      </c>
      <c r="H78" s="114" t="s">
        <v>239</v>
      </c>
      <c r="I78" s="116" t="str">
        <f>'Placement (DCM)'!L71</f>
        <v>300x600</v>
      </c>
      <c r="J78" s="116" t="str">
        <f>'Placement (DCM)'!R71</f>
        <v>MK|BR_CH|PD_DT|CROSS_PB|DV36_FM|BAN_RT|CPM_PD|DOTZ-10MIL-HUMANIZADO_TG|NON_ST|NON_TS|NONE_SZ|300x600_AD|CM_IT|POE</v>
      </c>
      <c r="K78" s="116" t="str">
        <f>'Creative Name'!H71</f>
        <v>CV|DOTZ-10MIL-HUMANIZADO_CS|300x600_CT|HTML5</v>
      </c>
      <c r="L78" s="116" t="str">
        <f t="shared" si="1"/>
        <v>CV^DOTZ-10MIL-HUMANIZADO_CS^300x600_CT^HTML5</v>
      </c>
      <c r="M78" s="119" t="s">
        <v>243</v>
      </c>
      <c r="N78" s="118" t="str">
        <f t="shared" si="2"/>
        <v>https://cartaodotz.dotz.com.br/dotz-bb?utm_source=DV360&amp;utm_medium=ADS&amp;utm_campaign=MK|BR_CH|PD_DT|CROSS_PB|DV36_FM|BAN_RT|CPM_PD|DOTZ-10MIL-HUMANIZADO_TG|NON_ST|NON_TS|NONE_SZ|300x600_AD|CM_IT|POE&amp;utm_content=CV|DOTZ-10MIL-HUMANIZADO_CS|300x600_CT|HTML5</v>
      </c>
      <c r="O78" s="113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>
      <c r="A79" s="114" t="s">
        <v>236</v>
      </c>
      <c r="B79" s="121" t="s">
        <v>247</v>
      </c>
      <c r="C79" s="114" t="s">
        <v>248</v>
      </c>
      <c r="D79" s="115">
        <v>44197.0</v>
      </c>
      <c r="E79" s="114" t="s">
        <v>249</v>
      </c>
      <c r="F79" s="116"/>
      <c r="G79" s="114" t="s">
        <v>160</v>
      </c>
      <c r="H79" s="114" t="s">
        <v>239</v>
      </c>
      <c r="I79" s="116" t="str">
        <f>'Placement (DCM)'!L72</f>
        <v>320x50</v>
      </c>
      <c r="J79" s="116" t="str">
        <f>'Placement (DCM)'!R72</f>
        <v>MK|BR_CH|PMD_DT|CROSS_PB|DV36_FM|BAN_RT|CPM_PD|DOTZ-10MIL-HUMANIZADO_TG|NON_ST|NON_TS|NONE_SZ|320x50_AD|CM_IT|POE</v>
      </c>
      <c r="K79" s="116" t="str">
        <f>'Creative Name'!H72</f>
        <v>CV|DOTZ-10MIL-HUMANIZADO_CS|320x50_CT|HTML5</v>
      </c>
      <c r="L79" s="116" t="str">
        <f t="shared" si="1"/>
        <v>CV^DOTZ-10MIL-HUMANIZADO_CS^320x50_CT^HTML5</v>
      </c>
      <c r="M79" s="119" t="s">
        <v>243</v>
      </c>
      <c r="N79" s="118" t="str">
        <f t="shared" si="2"/>
        <v>https://cartaodotz.dotz.com.br/dotz-bb?utm_source=DV360&amp;utm_medium=ADS&amp;utm_campaign=MK|BR_CH|PMD_DT|CROSS_PB|DV36_FM|BAN_RT|CPM_PD|DOTZ-10MIL-HUMANIZADO_TG|NON_ST|NON_TS|NONE_SZ|320x50_AD|CM_IT|POE&amp;utm_content=CV|DOTZ-10MIL-HUMANIZADO_CS|320x50_CT|HTML5</v>
      </c>
      <c r="O79" s="113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>
      <c r="A80" s="114" t="s">
        <v>236</v>
      </c>
      <c r="B80" s="121" t="s">
        <v>247</v>
      </c>
      <c r="C80" s="114" t="s">
        <v>248</v>
      </c>
      <c r="D80" s="115">
        <v>44197.0</v>
      </c>
      <c r="E80" s="114" t="s">
        <v>249</v>
      </c>
      <c r="F80" s="116"/>
      <c r="G80" s="114" t="s">
        <v>160</v>
      </c>
      <c r="H80" s="114" t="s">
        <v>239</v>
      </c>
      <c r="I80" s="116" t="str">
        <f>'Placement (DCM)'!L73</f>
        <v>320x100</v>
      </c>
      <c r="J80" s="116" t="str">
        <f>'Placement (DCM)'!R73</f>
        <v>MK|BR_CH|PMD_DT|CROSS_PB|DV36_FM|BAN_RT|CPM_PD|DOTZ-10MIL-HUMANIZADO_TG|NON_ST|NON_TS|NONE_SZ|320x100_AD|CM_IT|POE</v>
      </c>
      <c r="K80" s="116" t="str">
        <f>'Creative Name'!H73</f>
        <v>CV|DOTZ-10MIL-HUMANIZADO_CS|320x100_CT|HTML5</v>
      </c>
      <c r="L80" s="116" t="str">
        <f t="shared" si="1"/>
        <v>CV^DOTZ-10MIL-HUMANIZADO_CS^320x100_CT^HTML5</v>
      </c>
      <c r="M80" s="119" t="s">
        <v>243</v>
      </c>
      <c r="N80" s="118" t="str">
        <f t="shared" si="2"/>
        <v>https://cartaodotz.dotz.com.br/dotz-bb?utm_source=DV360&amp;utm_medium=ADS&amp;utm_campaign=MK|BR_CH|PMD_DT|CROSS_PB|DV36_FM|BAN_RT|CPM_PD|DOTZ-10MIL-HUMANIZADO_TG|NON_ST|NON_TS|NONE_SZ|320x100_AD|CM_IT|POE&amp;utm_content=CV|DOTZ-10MIL-HUMANIZADO_CS|320x100_CT|HTML5</v>
      </c>
      <c r="O80" s="113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>
      <c r="A81" s="114" t="s">
        <v>236</v>
      </c>
      <c r="B81" s="121" t="s">
        <v>247</v>
      </c>
      <c r="C81" s="114" t="s">
        <v>248</v>
      </c>
      <c r="D81" s="115">
        <v>44197.0</v>
      </c>
      <c r="E81" s="114" t="s">
        <v>249</v>
      </c>
      <c r="F81" s="116"/>
      <c r="G81" s="114" t="s">
        <v>160</v>
      </c>
      <c r="H81" s="114" t="s">
        <v>239</v>
      </c>
      <c r="I81" s="116" t="str">
        <f>'Placement (DCM)'!L74</f>
        <v>728x90</v>
      </c>
      <c r="J81" s="116" t="str">
        <f>'Placement (DCM)'!R74</f>
        <v>MK|BR_CH|PD_DT|CROSS_PB|DV36_FM|BAN_RT|CPM_PD|DOTZ-10MIL-HUMANIZADO_TG|NON_ST|NON_TS|NONE_SZ|728x90_AD|CM_IT|POE</v>
      </c>
      <c r="K81" s="116" t="str">
        <f>'Creative Name'!H74</f>
        <v>CV|DOTZ-10MIL-HUMANIZADO_CS|728x90_CT|HTML5</v>
      </c>
      <c r="L81" s="116" t="str">
        <f t="shared" si="1"/>
        <v>CV^DOTZ-10MIL-HUMANIZADO_CS^728x90_CT^HTML5</v>
      </c>
      <c r="M81" s="119" t="s">
        <v>243</v>
      </c>
      <c r="N81" s="118" t="str">
        <f t="shared" si="2"/>
        <v>https://cartaodotz.dotz.com.br/dotz-bb?utm_source=DV360&amp;utm_medium=ADS&amp;utm_campaign=MK|BR_CH|PD_DT|CROSS_PB|DV36_FM|BAN_RT|CPM_PD|DOTZ-10MIL-HUMANIZADO_TG|NON_ST|NON_TS|NONE_SZ|728x90_AD|CM_IT|POE&amp;utm_content=CV|DOTZ-10MIL-HUMANIZADO_CS|728x90_CT|HTML5</v>
      </c>
      <c r="O81" s="113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>
      <c r="A82" s="114" t="s">
        <v>236</v>
      </c>
      <c r="B82" s="121" t="s">
        <v>247</v>
      </c>
      <c r="C82" s="114" t="s">
        <v>248</v>
      </c>
      <c r="D82" s="115">
        <v>44197.0</v>
      </c>
      <c r="E82" s="114" t="s">
        <v>249</v>
      </c>
      <c r="F82" s="116"/>
      <c r="G82" s="114" t="s">
        <v>160</v>
      </c>
      <c r="H82" s="114" t="s">
        <v>239</v>
      </c>
      <c r="I82" s="116" t="str">
        <f>'Placement (DCM)'!L75</f>
        <v>120x600</v>
      </c>
      <c r="J82" s="116" t="str">
        <f>'Placement (DCM)'!R75</f>
        <v>MK|BR_CH|PD_DT|CROSS_PB|DV36_FM|BAN_RT|CPM_PD|DOTZ-ZERO-ANUIDADE-HUMANIZADO_TG|NON_ST|NON_TS|NONE_SZ|120x600_AD|CM_IT|POE</v>
      </c>
      <c r="K82" s="116" t="str">
        <f>'Creative Name'!H75</f>
        <v>CV|DOTZ-ZERO-ANUIDADE-HUMANIZADO_CS|120x600_CT|HTML5</v>
      </c>
      <c r="L82" s="116" t="str">
        <f t="shared" si="1"/>
        <v>CV^DOTZ-ZERO-ANUIDADE-HUMANIZADO_CS^120x600_CT^HTML5</v>
      </c>
      <c r="M82" s="119" t="s">
        <v>243</v>
      </c>
      <c r="N82" s="118" t="str">
        <f t="shared" si="2"/>
        <v>https://cartaodotz.dotz.com.br/dotz-bb?utm_source=DV360&amp;utm_medium=ADS&amp;utm_campaign=MK|BR_CH|PD_DT|CROSS_PB|DV36_FM|BAN_RT|CPM_PD|DOTZ-ZERO-ANUIDADE-HUMANIZADO_TG|NON_ST|NON_TS|NONE_SZ|120x600_AD|CM_IT|POE&amp;utm_content=CV|DOTZ-ZERO-ANUIDADE-HUMANIZADO_CS|120x600_CT|HTML5</v>
      </c>
      <c r="O82" s="113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>
      <c r="A83" s="114" t="s">
        <v>236</v>
      </c>
      <c r="B83" s="121" t="s">
        <v>247</v>
      </c>
      <c r="C83" s="114" t="s">
        <v>248</v>
      </c>
      <c r="D83" s="115">
        <v>44197.0</v>
      </c>
      <c r="E83" s="114" t="s">
        <v>249</v>
      </c>
      <c r="F83" s="116"/>
      <c r="G83" s="114" t="s">
        <v>160</v>
      </c>
      <c r="H83" s="114" t="s">
        <v>239</v>
      </c>
      <c r="I83" s="116" t="str">
        <f>'Placement (DCM)'!L76</f>
        <v>160x600</v>
      </c>
      <c r="J83" s="116" t="str">
        <f>'Placement (DCM)'!R76</f>
        <v>MK|BR_CH|PD_DT|CROSS_PB|DV36_FM|BAN_RT|CPM_PD|DOTZ-ZERO-ANUIDADE-HUMANIZADO_TG|NON_ST|NON_TS|NONE_SZ|160x600_AD|CM_IT|POE</v>
      </c>
      <c r="K83" s="116" t="str">
        <f>'Creative Name'!H76</f>
        <v>CV|DOTZ-ZERO-ANUIDADE-HUMANIZADO_CS|160x600_CT|HTML5</v>
      </c>
      <c r="L83" s="116" t="str">
        <f t="shared" si="1"/>
        <v>CV^DOTZ-ZERO-ANUIDADE-HUMANIZADO_CS^160x600_CT^HTML5</v>
      </c>
      <c r="M83" s="119" t="s">
        <v>243</v>
      </c>
      <c r="N83" s="118" t="str">
        <f t="shared" si="2"/>
        <v>https://cartaodotz.dotz.com.br/dotz-bb?utm_source=DV360&amp;utm_medium=ADS&amp;utm_campaign=MK|BR_CH|PD_DT|CROSS_PB|DV36_FM|BAN_RT|CPM_PD|DOTZ-ZERO-ANUIDADE-HUMANIZADO_TG|NON_ST|NON_TS|NONE_SZ|160x600_AD|CM_IT|POE&amp;utm_content=CV|DOTZ-ZERO-ANUIDADE-HUMANIZADO_CS|160x600_CT|HTML5</v>
      </c>
      <c r="O83" s="113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</row>
    <row r="84">
      <c r="A84" s="114" t="s">
        <v>236</v>
      </c>
      <c r="B84" s="121" t="s">
        <v>247</v>
      </c>
      <c r="C84" s="114" t="s">
        <v>248</v>
      </c>
      <c r="D84" s="115">
        <v>44197.0</v>
      </c>
      <c r="E84" s="114" t="s">
        <v>249</v>
      </c>
      <c r="F84" s="116"/>
      <c r="G84" s="114" t="s">
        <v>160</v>
      </c>
      <c r="H84" s="114" t="s">
        <v>239</v>
      </c>
      <c r="I84" s="116" t="str">
        <f>'Placement (DCM)'!L77</f>
        <v>300x250</v>
      </c>
      <c r="J84" s="116" t="str">
        <f>'Placement (DCM)'!R77</f>
        <v>MK|BR_CH|PD_DT|CROSS_PB|DV36_FM|BAN_RT|CPM_PD|DOTZ-ZERO-ANUIDADE-HUMANIZADO_TG|NON_ST|NON_TS|NONE_SZ|300x250_AD|CM_IT|POE</v>
      </c>
      <c r="K84" s="116" t="str">
        <f>'Creative Name'!H77</f>
        <v>CV|DOTZ-ZERO-ANUIDADE-HUMANIZADO_CS|300x250_CT|HTML5</v>
      </c>
      <c r="L84" s="116" t="str">
        <f t="shared" si="1"/>
        <v>CV^DOTZ-ZERO-ANUIDADE-HUMANIZADO_CS^300x250_CT^HTML5</v>
      </c>
      <c r="M84" s="119" t="s">
        <v>243</v>
      </c>
      <c r="N84" s="118" t="str">
        <f t="shared" si="2"/>
        <v>https://cartaodotz.dotz.com.br/dotz-bb?utm_source=DV360&amp;utm_medium=ADS&amp;utm_campaign=MK|BR_CH|PD_DT|CROSS_PB|DV36_FM|BAN_RT|CPM_PD|DOTZ-ZERO-ANUIDADE-HUMANIZADO_TG|NON_ST|NON_TS|NONE_SZ|300x250_AD|CM_IT|POE&amp;utm_content=CV|DOTZ-ZERO-ANUIDADE-HUMANIZADO_CS|300x250_CT|HTML5</v>
      </c>
      <c r="O84" s="113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</row>
    <row r="85">
      <c r="A85" s="114" t="s">
        <v>236</v>
      </c>
      <c r="B85" s="121" t="s">
        <v>247</v>
      </c>
      <c r="C85" s="114" t="s">
        <v>248</v>
      </c>
      <c r="D85" s="115">
        <v>44197.0</v>
      </c>
      <c r="E85" s="114" t="s">
        <v>249</v>
      </c>
      <c r="F85" s="116"/>
      <c r="G85" s="114" t="s">
        <v>160</v>
      </c>
      <c r="H85" s="114" t="s">
        <v>239</v>
      </c>
      <c r="I85" s="116" t="str">
        <f>'Placement (DCM)'!L78</f>
        <v>300x600</v>
      </c>
      <c r="J85" s="116" t="str">
        <f>'Placement (DCM)'!R78</f>
        <v>MK|BR_CH|PD_DT|CROSS_PB|DV36_FM|BAN_RT|CPM_PD|DOTZ-ZERO-ANUIDADE-HUMANIZADO_TG|NON_ST|NON_TS|NONE_SZ|300x600_AD|CM_IT|POE</v>
      </c>
      <c r="K85" s="116" t="str">
        <f>'Creative Name'!H78</f>
        <v>CV|DOTZ-ZERO-ANUIDADE-HUMANIZADO_CS|300x600_CT|HTML5</v>
      </c>
      <c r="L85" s="116" t="str">
        <f t="shared" si="1"/>
        <v>CV^DOTZ-ZERO-ANUIDADE-HUMANIZADO_CS^300x600_CT^HTML5</v>
      </c>
      <c r="M85" s="119" t="s">
        <v>243</v>
      </c>
      <c r="N85" s="118" t="str">
        <f t="shared" si="2"/>
        <v>https://cartaodotz.dotz.com.br/dotz-bb?utm_source=DV360&amp;utm_medium=ADS&amp;utm_campaign=MK|BR_CH|PD_DT|CROSS_PB|DV36_FM|BAN_RT|CPM_PD|DOTZ-ZERO-ANUIDADE-HUMANIZADO_TG|NON_ST|NON_TS|NONE_SZ|300x600_AD|CM_IT|POE&amp;utm_content=CV|DOTZ-ZERO-ANUIDADE-HUMANIZADO_CS|300x600_CT|HTML5</v>
      </c>
      <c r="O85" s="113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>
      <c r="A86" s="114" t="s">
        <v>236</v>
      </c>
      <c r="B86" s="121" t="s">
        <v>247</v>
      </c>
      <c r="C86" s="114" t="s">
        <v>248</v>
      </c>
      <c r="D86" s="115">
        <v>44197.0</v>
      </c>
      <c r="E86" s="114" t="s">
        <v>249</v>
      </c>
      <c r="F86" s="116"/>
      <c r="G86" s="114" t="s">
        <v>160</v>
      </c>
      <c r="H86" s="114" t="s">
        <v>239</v>
      </c>
      <c r="I86" s="116" t="str">
        <f>'Placement (DCM)'!L79</f>
        <v>320x50</v>
      </c>
      <c r="J86" s="116" t="str">
        <f>'Placement (DCM)'!R79</f>
        <v>MK|BR_CH|PMD_DT|CROSS_PB|DV36_FM|BAN_RT|CPM_PD|DOTZ-ZERO-ANUIDADE-HUMANIZADO_TG|NON_ST|NON_TS|NONE_SZ|320x50_AD|CM_IT|POE</v>
      </c>
      <c r="K86" s="116" t="str">
        <f>'Creative Name'!H79</f>
        <v>CV|DOTZ-ZERO-ANUIDADE-HUMANIZADO_CS|320x50_CT|HTML5</v>
      </c>
      <c r="L86" s="116" t="str">
        <f t="shared" si="1"/>
        <v>CV^DOTZ-ZERO-ANUIDADE-HUMANIZADO_CS^320x50_CT^HTML5</v>
      </c>
      <c r="M86" s="119" t="s">
        <v>243</v>
      </c>
      <c r="N86" s="118" t="str">
        <f t="shared" si="2"/>
        <v>https://cartaodotz.dotz.com.br/dotz-bb?utm_source=DV360&amp;utm_medium=ADS&amp;utm_campaign=MK|BR_CH|PMD_DT|CROSS_PB|DV36_FM|BAN_RT|CPM_PD|DOTZ-ZERO-ANUIDADE-HUMANIZADO_TG|NON_ST|NON_TS|NONE_SZ|320x50_AD|CM_IT|POE&amp;utm_content=CV|DOTZ-ZERO-ANUIDADE-HUMANIZADO_CS|320x50_CT|HTML5</v>
      </c>
      <c r="O86" s="113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>
      <c r="A87" s="114" t="s">
        <v>236</v>
      </c>
      <c r="B87" s="121" t="s">
        <v>247</v>
      </c>
      <c r="C87" s="114" t="s">
        <v>248</v>
      </c>
      <c r="D87" s="115">
        <v>44197.0</v>
      </c>
      <c r="E87" s="114" t="s">
        <v>249</v>
      </c>
      <c r="F87" s="116"/>
      <c r="G87" s="114" t="s">
        <v>160</v>
      </c>
      <c r="H87" s="114" t="s">
        <v>239</v>
      </c>
      <c r="I87" s="116" t="str">
        <f>'Placement (DCM)'!L80</f>
        <v>320x100</v>
      </c>
      <c r="J87" s="116" t="str">
        <f>'Placement (DCM)'!R80</f>
        <v>MK|BR_CH|PMD_DT|CROSS_PB|DV36_FM|BAN_RT|CPM_PD|DOTZ-ZERO-ANUIDADE-HUMANIZADO_TG|NON_ST|NON_TS|NONE_SZ|320x100_AD|CM_IT|POE</v>
      </c>
      <c r="K87" s="116" t="str">
        <f>'Creative Name'!H80</f>
        <v>CV|DOTZ-ZERO-ANUIDADE-HUMANIZADO_CS|320x100_CT|HTML5</v>
      </c>
      <c r="L87" s="116" t="str">
        <f t="shared" si="1"/>
        <v>CV^DOTZ-ZERO-ANUIDADE-HUMANIZADO_CS^320x100_CT^HTML5</v>
      </c>
      <c r="M87" s="119" t="s">
        <v>243</v>
      </c>
      <c r="N87" s="118" t="str">
        <f t="shared" si="2"/>
        <v>https://cartaodotz.dotz.com.br/dotz-bb?utm_source=DV360&amp;utm_medium=ADS&amp;utm_campaign=MK|BR_CH|PMD_DT|CROSS_PB|DV36_FM|BAN_RT|CPM_PD|DOTZ-ZERO-ANUIDADE-HUMANIZADO_TG|NON_ST|NON_TS|NONE_SZ|320x100_AD|CM_IT|POE&amp;utm_content=CV|DOTZ-ZERO-ANUIDADE-HUMANIZADO_CS|320x100_CT|HTML5</v>
      </c>
      <c r="O87" s="113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</row>
    <row r="88">
      <c r="A88" s="114" t="s">
        <v>236</v>
      </c>
      <c r="B88" s="121" t="s">
        <v>247</v>
      </c>
      <c r="C88" s="114" t="s">
        <v>248</v>
      </c>
      <c r="D88" s="115">
        <v>44197.0</v>
      </c>
      <c r="E88" s="114" t="s">
        <v>249</v>
      </c>
      <c r="F88" s="116"/>
      <c r="G88" s="114" t="s">
        <v>160</v>
      </c>
      <c r="H88" s="114" t="s">
        <v>239</v>
      </c>
      <c r="I88" s="116" t="str">
        <f>'Placement (DCM)'!L81</f>
        <v>728x90</v>
      </c>
      <c r="J88" s="116" t="str">
        <f>'Placement (DCM)'!R81</f>
        <v>MK|BR_CH|PD_DT|CROSS_PB|DV36_FM|BAN_RT|CPM_PD|DOTZ-ZERO-ANUIDADE-HUMANIZADO_TG|NON_ST|NON_TS|NONE_SZ|728x90_AD|CM_IT|POE</v>
      </c>
      <c r="K88" s="116" t="str">
        <f>'Creative Name'!H81</f>
        <v>CV|DOTZ-ZERO-ANUIDADE-HUMANIZADO_CS|728x90_CT|HTML5</v>
      </c>
      <c r="L88" s="116" t="str">
        <f t="shared" si="1"/>
        <v>CV^DOTZ-ZERO-ANUIDADE-HUMANIZADO_CS^728x90_CT^HTML5</v>
      </c>
      <c r="M88" s="119" t="s">
        <v>243</v>
      </c>
      <c r="N88" s="118" t="str">
        <f t="shared" si="2"/>
        <v>https://cartaodotz.dotz.com.br/dotz-bb?utm_source=DV360&amp;utm_medium=ADS&amp;utm_campaign=MK|BR_CH|PD_DT|CROSS_PB|DV36_FM|BAN_RT|CPM_PD|DOTZ-ZERO-ANUIDADE-HUMANIZADO_TG|NON_ST|NON_TS|NONE_SZ|728x90_AD|CM_IT|POE&amp;utm_content=CV|DOTZ-ZERO-ANUIDADE-HUMANIZADO_CS|728x90_CT|HTML5</v>
      </c>
      <c r="O88" s="113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</row>
    <row r="89">
      <c r="A89" s="114" t="s">
        <v>236</v>
      </c>
      <c r="B89" s="121" t="s">
        <v>247</v>
      </c>
      <c r="C89" s="114" t="s">
        <v>248</v>
      </c>
      <c r="D89" s="115">
        <v>44197.0</v>
      </c>
      <c r="E89" s="114" t="s">
        <v>249</v>
      </c>
      <c r="F89" s="116"/>
      <c r="G89" s="114" t="s">
        <v>160</v>
      </c>
      <c r="H89" s="114" t="s">
        <v>239</v>
      </c>
      <c r="I89" s="116" t="str">
        <f>'Placement (DCM)'!L82</f>
        <v>120x600</v>
      </c>
      <c r="J89" s="116" t="str">
        <f>'Placement (DCM)'!R82</f>
        <v>MK|BR_CH|PD_DT|CROSS_PB|DV36_FM|BAN_RT|CPM_PD|DOTZ-ZERO-CONVERSAO-AZUL_TG|NON_ST|NON_TS|NONE_SZ|120x600_AD|CM_IT|POE</v>
      </c>
      <c r="K89" s="116" t="str">
        <f>'Creative Name'!H82</f>
        <v>CV|DOTZ-ZERO-CONVERSAO-AZUL_CS|120x600_CT|HTML5</v>
      </c>
      <c r="L89" s="116" t="str">
        <f t="shared" si="1"/>
        <v>CV^DOTZ-ZERO-CONVERSAO-AZUL_CS^120x600_CT^HTML5</v>
      </c>
      <c r="M89" s="119" t="s">
        <v>243</v>
      </c>
      <c r="N89" s="118" t="str">
        <f t="shared" si="2"/>
        <v>https://cartaodotz.dotz.com.br/dotz-bb?utm_source=DV360&amp;utm_medium=ADS&amp;utm_campaign=MK|BR_CH|PD_DT|CROSS_PB|DV36_FM|BAN_RT|CPM_PD|DOTZ-ZERO-CONVERSAO-AZUL_TG|NON_ST|NON_TS|NONE_SZ|120x600_AD|CM_IT|POE&amp;utm_content=CV|DOTZ-ZERO-CONVERSAO-AZUL_CS|120x600_CT|HTML5</v>
      </c>
      <c r="O89" s="113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</row>
    <row r="90">
      <c r="A90" s="114" t="s">
        <v>236</v>
      </c>
      <c r="B90" s="121" t="s">
        <v>247</v>
      </c>
      <c r="C90" s="114" t="s">
        <v>248</v>
      </c>
      <c r="D90" s="115">
        <v>44197.0</v>
      </c>
      <c r="E90" s="114" t="s">
        <v>249</v>
      </c>
      <c r="F90" s="116"/>
      <c r="G90" s="114" t="s">
        <v>160</v>
      </c>
      <c r="H90" s="114" t="s">
        <v>239</v>
      </c>
      <c r="I90" s="116" t="str">
        <f>'Placement (DCM)'!L83</f>
        <v>160x600</v>
      </c>
      <c r="J90" s="116" t="str">
        <f>'Placement (DCM)'!R83</f>
        <v>MK|BR_CH|PD_DT|CROSS_PB|DV36_FM|BAN_RT|CPM_PD|DOTZ-ZERO-CONVERSAO-AZUL_TG|NON_ST|NON_TS|NONE_SZ|160x600_AD|CM_IT|POE</v>
      </c>
      <c r="K90" s="116" t="str">
        <f>'Creative Name'!H83</f>
        <v>CV|DOTZ-ZERO-CONVERSAO-AZUL_CS|160x600_CT|HTML5</v>
      </c>
      <c r="L90" s="116" t="str">
        <f t="shared" si="1"/>
        <v>CV^DOTZ-ZERO-CONVERSAO-AZUL_CS^160x600_CT^HTML5</v>
      </c>
      <c r="M90" s="119" t="s">
        <v>243</v>
      </c>
      <c r="N90" s="118" t="str">
        <f t="shared" si="2"/>
        <v>https://cartaodotz.dotz.com.br/dotz-bb?utm_source=DV360&amp;utm_medium=ADS&amp;utm_campaign=MK|BR_CH|PD_DT|CROSS_PB|DV36_FM|BAN_RT|CPM_PD|DOTZ-ZERO-CONVERSAO-AZUL_TG|NON_ST|NON_TS|NONE_SZ|160x600_AD|CM_IT|POE&amp;utm_content=CV|DOTZ-ZERO-CONVERSAO-AZUL_CS|160x600_CT|HTML5</v>
      </c>
      <c r="O90" s="113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</row>
    <row r="91">
      <c r="A91" s="114" t="s">
        <v>236</v>
      </c>
      <c r="B91" s="121" t="s">
        <v>247</v>
      </c>
      <c r="C91" s="114" t="s">
        <v>248</v>
      </c>
      <c r="D91" s="115">
        <v>44197.0</v>
      </c>
      <c r="E91" s="114" t="s">
        <v>249</v>
      </c>
      <c r="F91" s="116"/>
      <c r="G91" s="114" t="s">
        <v>160</v>
      </c>
      <c r="H91" s="114" t="s">
        <v>239</v>
      </c>
      <c r="I91" s="116" t="str">
        <f>'Placement (DCM)'!L84</f>
        <v>300x250</v>
      </c>
      <c r="J91" s="116" t="str">
        <f>'Placement (DCM)'!R84</f>
        <v>MK|BR_CH|PD_DT|CROSS_PB|DV36_FM|BAN_RT|CPM_PD|DOTZ-ZERO-CONVERSAO-AZUL_TG|NON_ST|NON_TS|NONE_SZ|300x250_AD|CM_IT|POE</v>
      </c>
      <c r="K91" s="116" t="str">
        <f>'Creative Name'!H84</f>
        <v>CV|DOTZ-ZERO-CONVERSAO-AZUL_CS|300x250_CT|HTML5</v>
      </c>
      <c r="L91" s="116" t="str">
        <f t="shared" si="1"/>
        <v>CV^DOTZ-ZERO-CONVERSAO-AZUL_CS^300x250_CT^HTML5</v>
      </c>
      <c r="M91" s="119" t="s">
        <v>243</v>
      </c>
      <c r="N91" s="118" t="str">
        <f t="shared" si="2"/>
        <v>https://cartaodotz.dotz.com.br/dotz-bb?utm_source=DV360&amp;utm_medium=ADS&amp;utm_campaign=MK|BR_CH|PD_DT|CROSS_PB|DV36_FM|BAN_RT|CPM_PD|DOTZ-ZERO-CONVERSAO-AZUL_TG|NON_ST|NON_TS|NONE_SZ|300x250_AD|CM_IT|POE&amp;utm_content=CV|DOTZ-ZERO-CONVERSAO-AZUL_CS|300x250_CT|HTML5</v>
      </c>
      <c r="O91" s="113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</row>
    <row r="92">
      <c r="A92" s="114" t="s">
        <v>236</v>
      </c>
      <c r="B92" s="121" t="s">
        <v>247</v>
      </c>
      <c r="C92" s="114" t="s">
        <v>248</v>
      </c>
      <c r="D92" s="115">
        <v>44197.0</v>
      </c>
      <c r="E92" s="114" t="s">
        <v>249</v>
      </c>
      <c r="F92" s="116"/>
      <c r="G92" s="114" t="s">
        <v>160</v>
      </c>
      <c r="H92" s="114" t="s">
        <v>239</v>
      </c>
      <c r="I92" s="116" t="str">
        <f>'Placement (DCM)'!L85</f>
        <v>300x600</v>
      </c>
      <c r="J92" s="116" t="str">
        <f>'Placement (DCM)'!R85</f>
        <v>MK|BR_CH|PD_DT|CROSS_PB|DV36_FM|BAN_RT|CPM_PD|DOTZ-ZERO-CONVERSAO-AZUL_TG|NON_ST|NON_TS|NONE_SZ|300x600_AD|CM_IT|POE</v>
      </c>
      <c r="K92" s="116" t="str">
        <f>'Creative Name'!H85</f>
        <v>CV|DOTZ-ZERO-CONVERSAO-AZUL_CS|300x600_CT|HTML5</v>
      </c>
      <c r="L92" s="116" t="str">
        <f t="shared" si="1"/>
        <v>CV^DOTZ-ZERO-CONVERSAO-AZUL_CS^300x600_CT^HTML5</v>
      </c>
      <c r="M92" s="119" t="s">
        <v>243</v>
      </c>
      <c r="N92" s="118" t="str">
        <f t="shared" si="2"/>
        <v>https://cartaodotz.dotz.com.br/dotz-bb?utm_source=DV360&amp;utm_medium=ADS&amp;utm_campaign=MK|BR_CH|PD_DT|CROSS_PB|DV36_FM|BAN_RT|CPM_PD|DOTZ-ZERO-CONVERSAO-AZUL_TG|NON_ST|NON_TS|NONE_SZ|300x600_AD|CM_IT|POE&amp;utm_content=CV|DOTZ-ZERO-CONVERSAO-AZUL_CS|300x600_CT|HTML5</v>
      </c>
      <c r="O92" s="113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</row>
    <row r="93">
      <c r="A93" s="114" t="s">
        <v>236</v>
      </c>
      <c r="B93" s="121" t="s">
        <v>247</v>
      </c>
      <c r="C93" s="114" t="s">
        <v>248</v>
      </c>
      <c r="D93" s="115">
        <v>44197.0</v>
      </c>
      <c r="E93" s="114" t="s">
        <v>249</v>
      </c>
      <c r="F93" s="116"/>
      <c r="G93" s="114" t="s">
        <v>160</v>
      </c>
      <c r="H93" s="114" t="s">
        <v>239</v>
      </c>
      <c r="I93" s="116" t="str">
        <f>'Placement (DCM)'!L86</f>
        <v>320x50</v>
      </c>
      <c r="J93" s="116" t="str">
        <f>'Placement (DCM)'!R86</f>
        <v>MK|BR_CH|PMD_DT|CROSS_PB|DV36_FM|BAN_RT|CPM_PD|DOTZ-ZERO-CONVERSAO-AZUL_TG|NON_ST|NON_TS|NONE_SZ|320x50_AD|CM_IT|POE</v>
      </c>
      <c r="K93" s="116" t="str">
        <f>'Creative Name'!H86</f>
        <v>CV|DOTZ-ZERO-CONVERSAO-AZUL_CS|320x50_CT|HTML5</v>
      </c>
      <c r="L93" s="116" t="str">
        <f t="shared" si="1"/>
        <v>CV^DOTZ-ZERO-CONVERSAO-AZUL_CS^320x50_CT^HTML5</v>
      </c>
      <c r="M93" s="119" t="s">
        <v>243</v>
      </c>
      <c r="N93" s="118" t="str">
        <f t="shared" si="2"/>
        <v>https://cartaodotz.dotz.com.br/dotz-bb?utm_source=DV360&amp;utm_medium=ADS&amp;utm_campaign=MK|BR_CH|PMD_DT|CROSS_PB|DV36_FM|BAN_RT|CPM_PD|DOTZ-ZERO-CONVERSAO-AZUL_TG|NON_ST|NON_TS|NONE_SZ|320x50_AD|CM_IT|POE&amp;utm_content=CV|DOTZ-ZERO-CONVERSAO-AZUL_CS|320x50_CT|HTML5</v>
      </c>
      <c r="O93" s="113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>
      <c r="A94" s="114" t="s">
        <v>236</v>
      </c>
      <c r="B94" s="121" t="s">
        <v>247</v>
      </c>
      <c r="C94" s="114" t="s">
        <v>248</v>
      </c>
      <c r="D94" s="115">
        <v>44197.0</v>
      </c>
      <c r="E94" s="114" t="s">
        <v>249</v>
      </c>
      <c r="F94" s="116"/>
      <c r="G94" s="114" t="s">
        <v>160</v>
      </c>
      <c r="H94" s="114" t="s">
        <v>239</v>
      </c>
      <c r="I94" s="116" t="str">
        <f>'Placement (DCM)'!L87</f>
        <v>320x100</v>
      </c>
      <c r="J94" s="116" t="str">
        <f>'Placement (DCM)'!R87</f>
        <v>MK|BR_CH|PMD_DT|CROSS_PB|DV36_FM|BAN_RT|CPM_PD|DOTZ-ZERO-CONVERSAO-AZUL_TG|NON_ST|NON_TS|NONE_SZ|320x100_AD|CM_IT|POE</v>
      </c>
      <c r="K94" s="116" t="str">
        <f>'Creative Name'!H87</f>
        <v>CV|DOTZ-ZERO-CONVERSAO-AZUL_CS|320x100_CT|HTML5</v>
      </c>
      <c r="L94" s="116" t="str">
        <f t="shared" si="1"/>
        <v>CV^DOTZ-ZERO-CONVERSAO-AZUL_CS^320x100_CT^HTML5</v>
      </c>
      <c r="M94" s="119" t="s">
        <v>243</v>
      </c>
      <c r="N94" s="118" t="str">
        <f t="shared" si="2"/>
        <v>https://cartaodotz.dotz.com.br/dotz-bb?utm_source=DV360&amp;utm_medium=ADS&amp;utm_campaign=MK|BR_CH|PMD_DT|CROSS_PB|DV36_FM|BAN_RT|CPM_PD|DOTZ-ZERO-CONVERSAO-AZUL_TG|NON_ST|NON_TS|NONE_SZ|320x100_AD|CM_IT|POE&amp;utm_content=CV|DOTZ-ZERO-CONVERSAO-AZUL_CS|320x100_CT|HTML5</v>
      </c>
      <c r="O94" s="113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>
      <c r="A95" s="114" t="s">
        <v>236</v>
      </c>
      <c r="B95" s="121" t="s">
        <v>247</v>
      </c>
      <c r="C95" s="114" t="s">
        <v>248</v>
      </c>
      <c r="D95" s="115">
        <v>44197.0</v>
      </c>
      <c r="E95" s="114" t="s">
        <v>249</v>
      </c>
      <c r="F95" s="116"/>
      <c r="G95" s="114" t="s">
        <v>160</v>
      </c>
      <c r="H95" s="114" t="s">
        <v>239</v>
      </c>
      <c r="I95" s="116" t="str">
        <f>'Placement (DCM)'!L88</f>
        <v>728x90</v>
      </c>
      <c r="J95" s="116" t="str">
        <f>'Placement (DCM)'!R88</f>
        <v>MK|BR_CH|PD_DT|CROSS_PB|DV36_FM|BAN_RT|CPM_PD|DOTZ-ZERO-CONVERSAO-AZUL_TG|NON_ST|NON_TS|NONE_SZ|728x90_AD|CM_IT|POE</v>
      </c>
      <c r="K95" s="116" t="str">
        <f>'Creative Name'!H88</f>
        <v>CV|DOTZ-ZERO-CONVERSAO-AZUL_CS|728x90_CT|HTML5</v>
      </c>
      <c r="L95" s="116" t="str">
        <f t="shared" si="1"/>
        <v>CV^DOTZ-ZERO-CONVERSAO-AZUL_CS^728x90_CT^HTML5</v>
      </c>
      <c r="M95" s="119" t="s">
        <v>243</v>
      </c>
      <c r="N95" s="118" t="str">
        <f t="shared" si="2"/>
        <v>https://cartaodotz.dotz.com.br/dotz-bb?utm_source=DV360&amp;utm_medium=ADS&amp;utm_campaign=MK|BR_CH|PD_DT|CROSS_PB|DV36_FM|BAN_RT|CPM_PD|DOTZ-ZERO-CONVERSAO-AZUL_TG|NON_ST|NON_TS|NONE_SZ|728x90_AD|CM_IT|POE&amp;utm_content=CV|DOTZ-ZERO-CONVERSAO-AZUL_CS|728x90_CT|HTML5</v>
      </c>
      <c r="O95" s="113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</row>
    <row r="96">
      <c r="A96" s="114" t="s">
        <v>236</v>
      </c>
      <c r="B96" s="121" t="s">
        <v>247</v>
      </c>
      <c r="C96" s="114" t="s">
        <v>248</v>
      </c>
      <c r="D96" s="115">
        <v>44197.0</v>
      </c>
      <c r="E96" s="114" t="s">
        <v>249</v>
      </c>
      <c r="F96" s="116"/>
      <c r="G96" s="114" t="s">
        <v>130</v>
      </c>
      <c r="H96" s="114" t="s">
        <v>239</v>
      </c>
      <c r="I96" s="116" t="str">
        <f>'Placement (DCM)'!L89</f>
        <v>120x600</v>
      </c>
      <c r="J96" s="116" t="str">
        <f>'Placement (DCM)'!R89</f>
        <v>MK|BR_CH|PD_DT|CROSS_PB|VER_FM|BAN_RT|CPM_PD|DOTZ-10MIL-AZUL_TG|NON_ST|NON_TS|NONE_SZ|120x600_AD|CM1_IT|OO</v>
      </c>
      <c r="K96" s="116" t="str">
        <f>'Creative Name'!H89</f>
        <v>CV|DOTZ-10MIL-AZUL_CS|120x600_CT|HTML5</v>
      </c>
      <c r="L96" s="116" t="str">
        <f t="shared" si="1"/>
        <v>CV^DOTZ-10MIL-AZUL_CS^120x600_CT^HTML5</v>
      </c>
      <c r="M96" s="119" t="s">
        <v>243</v>
      </c>
      <c r="N96" s="118" t="str">
        <f t="shared" si="2"/>
        <v>https://cartaodotz.dotz.com.br/dotz-bb?utm_source=VERIZON&amp;utm_medium=ADS&amp;utm_campaign=MK|BR_CH|PD_DT|CROSS_PB|VER_FM|BAN_RT|CPM_PD|DOTZ-10MIL-AZUL_TG|NON_ST|NON_TS|NONE_SZ|120x600_AD|CM1_IT|OO&amp;utm_content=CV|DOTZ-10MIL-AZUL_CS|120x600_CT|HTML5</v>
      </c>
      <c r="O96" s="113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</row>
    <row r="97">
      <c r="A97" s="114" t="s">
        <v>236</v>
      </c>
      <c r="B97" s="121" t="s">
        <v>247</v>
      </c>
      <c r="C97" s="114" t="s">
        <v>248</v>
      </c>
      <c r="D97" s="115">
        <v>44197.0</v>
      </c>
      <c r="E97" s="114" t="s">
        <v>249</v>
      </c>
      <c r="F97" s="116"/>
      <c r="G97" s="114" t="s">
        <v>130</v>
      </c>
      <c r="H97" s="114" t="s">
        <v>239</v>
      </c>
      <c r="I97" s="116" t="str">
        <f>'Placement (DCM)'!L90</f>
        <v>160x600</v>
      </c>
      <c r="J97" s="116" t="str">
        <f>'Placement (DCM)'!R90</f>
        <v>MK|BR_CH|PD_DT|CROSS_PB|VER_FM|BAN_RT|CPM_PD|DOTZ-10MIL-AZUL_TG|NON_ST|NON_TS|NONE_SZ|160x600_AD|CM1_IT|OO</v>
      </c>
      <c r="K97" s="116" t="str">
        <f>'Creative Name'!H90</f>
        <v>CV|DOTZ-10MIL-AZUL_CS|160x600_CT|HTML5</v>
      </c>
      <c r="L97" s="116" t="str">
        <f t="shared" si="1"/>
        <v>CV^DOTZ-10MIL-AZUL_CS^160x600_CT^HTML5</v>
      </c>
      <c r="M97" s="119" t="s">
        <v>243</v>
      </c>
      <c r="N97" s="118" t="str">
        <f t="shared" si="2"/>
        <v>https://cartaodotz.dotz.com.br/dotz-bb?utm_source=VERIZON&amp;utm_medium=ADS&amp;utm_campaign=MK|BR_CH|PD_DT|CROSS_PB|VER_FM|BAN_RT|CPM_PD|DOTZ-10MIL-AZUL_TG|NON_ST|NON_TS|NONE_SZ|160x600_AD|CM1_IT|OO&amp;utm_content=CV|DOTZ-10MIL-AZUL_CS|160x600_CT|HTML5</v>
      </c>
      <c r="O97" s="113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98">
      <c r="A98" s="114" t="s">
        <v>236</v>
      </c>
      <c r="B98" s="121" t="s">
        <v>247</v>
      </c>
      <c r="C98" s="114" t="s">
        <v>248</v>
      </c>
      <c r="D98" s="115">
        <v>44197.0</v>
      </c>
      <c r="E98" s="114" t="s">
        <v>249</v>
      </c>
      <c r="F98" s="116"/>
      <c r="G98" s="114" t="s">
        <v>130</v>
      </c>
      <c r="H98" s="114" t="s">
        <v>239</v>
      </c>
      <c r="I98" s="116" t="str">
        <f>'Placement (DCM)'!L91</f>
        <v>300x250</v>
      </c>
      <c r="J98" s="116" t="str">
        <f>'Placement (DCM)'!R91</f>
        <v>MK|BR_CH|PD_DT|CROSS_PB|VER_FM|BAN_RT|CPM_PD|DOTZ-10MIL-AZUL_TG|NON_ST|NON_TS|NONE_SZ|300x250_AD|CM1_IT|OO</v>
      </c>
      <c r="K98" s="116" t="str">
        <f>'Creative Name'!H91</f>
        <v>CV|DOTZ-10MIL-AZUL_CS|300x250_CT|HTML5</v>
      </c>
      <c r="L98" s="116" t="str">
        <f t="shared" si="1"/>
        <v>CV^DOTZ-10MIL-AZUL_CS^300x250_CT^HTML5</v>
      </c>
      <c r="M98" s="119" t="s">
        <v>243</v>
      </c>
      <c r="N98" s="118" t="str">
        <f t="shared" si="2"/>
        <v>https://cartaodotz.dotz.com.br/dotz-bb?utm_source=VERIZON&amp;utm_medium=ADS&amp;utm_campaign=MK|BR_CH|PD_DT|CROSS_PB|VER_FM|BAN_RT|CPM_PD|DOTZ-10MIL-AZUL_TG|NON_ST|NON_TS|NONE_SZ|300x250_AD|CM1_IT|OO&amp;utm_content=CV|DOTZ-10MIL-AZUL_CS|300x250_CT|HTML5</v>
      </c>
      <c r="O98" s="113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>
      <c r="A99" s="114" t="s">
        <v>236</v>
      </c>
      <c r="B99" s="121" t="s">
        <v>247</v>
      </c>
      <c r="C99" s="114" t="s">
        <v>248</v>
      </c>
      <c r="D99" s="115">
        <v>44197.0</v>
      </c>
      <c r="E99" s="114" t="s">
        <v>249</v>
      </c>
      <c r="F99" s="116"/>
      <c r="G99" s="114" t="s">
        <v>130</v>
      </c>
      <c r="H99" s="114" t="s">
        <v>239</v>
      </c>
      <c r="I99" s="116" t="str">
        <f>'Placement (DCM)'!L92</f>
        <v>300x600</v>
      </c>
      <c r="J99" s="116" t="str">
        <f>'Placement (DCM)'!R92</f>
        <v>MK|BR_CH|PD_DT|CROSS_PB|VER_FM|BAN_RT|CPM_PD|DOTZ-10MIL-AZUL_TG|NON_ST|NON_TS|NONE_SZ|300x600_AD|CM1_IT|OO</v>
      </c>
      <c r="K99" s="116" t="str">
        <f>'Creative Name'!H92</f>
        <v>CV|DOTZ-10MIL-AZUL_CS|300x600_CT|HTML5</v>
      </c>
      <c r="L99" s="116" t="str">
        <f t="shared" si="1"/>
        <v>CV^DOTZ-10MIL-AZUL_CS^300x600_CT^HTML5</v>
      </c>
      <c r="M99" s="119" t="s">
        <v>243</v>
      </c>
      <c r="N99" s="118" t="str">
        <f t="shared" si="2"/>
        <v>https://cartaodotz.dotz.com.br/dotz-bb?utm_source=VERIZON&amp;utm_medium=ADS&amp;utm_campaign=MK|BR_CH|PD_DT|CROSS_PB|VER_FM|BAN_RT|CPM_PD|DOTZ-10MIL-AZUL_TG|NON_ST|NON_TS|NONE_SZ|300x600_AD|CM1_IT|OO&amp;utm_content=CV|DOTZ-10MIL-AZUL_CS|300x600_CT|HTML5</v>
      </c>
      <c r="O99" s="113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>
      <c r="A100" s="114" t="s">
        <v>236</v>
      </c>
      <c r="B100" s="121" t="s">
        <v>247</v>
      </c>
      <c r="C100" s="114" t="s">
        <v>248</v>
      </c>
      <c r="D100" s="115">
        <v>44197.0</v>
      </c>
      <c r="E100" s="114" t="s">
        <v>249</v>
      </c>
      <c r="F100" s="116"/>
      <c r="G100" s="114" t="s">
        <v>130</v>
      </c>
      <c r="H100" s="114" t="s">
        <v>239</v>
      </c>
      <c r="I100" s="116" t="str">
        <f>'Placement (DCM)'!L93</f>
        <v>320x50</v>
      </c>
      <c r="J100" s="116" t="str">
        <f>'Placement (DCM)'!R93</f>
        <v>MK|BR_CH|PMD_DT|CROSS_PB|VER_FM|BAN_RT|CPM_PD|DOTZ-10MIL-AZUL_TG|NON_ST|NON_TS|NONE_SZ|320x50_AD|CM1_IT|OO</v>
      </c>
      <c r="K100" s="116" t="str">
        <f>'Creative Name'!H93</f>
        <v>CV|DOTZ-10MIL-AZUL_CS|320x50_CT|HTML5</v>
      </c>
      <c r="L100" s="116" t="str">
        <f t="shared" si="1"/>
        <v>CV^DOTZ-10MIL-AZUL_CS^320x50_CT^HTML5</v>
      </c>
      <c r="M100" s="119" t="s">
        <v>243</v>
      </c>
      <c r="N100" s="118" t="str">
        <f t="shared" si="2"/>
        <v>https://cartaodotz.dotz.com.br/dotz-bb?utm_source=VERIZON&amp;utm_medium=ADS&amp;utm_campaign=MK|BR_CH|PMD_DT|CROSS_PB|VER_FM|BAN_RT|CPM_PD|DOTZ-10MIL-AZUL_TG|NON_ST|NON_TS|NONE_SZ|320x50_AD|CM1_IT|OO&amp;utm_content=CV|DOTZ-10MIL-AZUL_CS|320x50_CT|HTML5</v>
      </c>
      <c r="O100" s="113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>
      <c r="A101" s="114" t="s">
        <v>236</v>
      </c>
      <c r="B101" s="121" t="s">
        <v>247</v>
      </c>
      <c r="C101" s="114" t="s">
        <v>248</v>
      </c>
      <c r="D101" s="115">
        <v>44197.0</v>
      </c>
      <c r="E101" s="114" t="s">
        <v>249</v>
      </c>
      <c r="F101" s="116"/>
      <c r="G101" s="114" t="s">
        <v>130</v>
      </c>
      <c r="H101" s="114" t="s">
        <v>239</v>
      </c>
      <c r="I101" s="116" t="str">
        <f>'Placement (DCM)'!L94</f>
        <v>320x100</v>
      </c>
      <c r="J101" s="116" t="str">
        <f>'Placement (DCM)'!R94</f>
        <v>MK|BR_CH|PMD_DT|CROSS_PB|VER_FM|BAN_RT|CPM_PD|DOTZ-10MIL-AZUL_TG|NON_ST|NON_TS|NONE_SZ|320x100_AD|CM1_IT|OO</v>
      </c>
      <c r="K101" s="116" t="str">
        <f>'Creative Name'!H94</f>
        <v>CV|DOTZ-10MIL-AZUL_CS|320x100_CT|HTML5</v>
      </c>
      <c r="L101" s="116" t="str">
        <f t="shared" si="1"/>
        <v>CV^DOTZ-10MIL-AZUL_CS^320x100_CT^HTML5</v>
      </c>
      <c r="M101" s="119" t="s">
        <v>243</v>
      </c>
      <c r="N101" s="118" t="str">
        <f t="shared" si="2"/>
        <v>https://cartaodotz.dotz.com.br/dotz-bb?utm_source=VERIZON&amp;utm_medium=ADS&amp;utm_campaign=MK|BR_CH|PMD_DT|CROSS_PB|VER_FM|BAN_RT|CPM_PD|DOTZ-10MIL-AZUL_TG|NON_ST|NON_TS|NONE_SZ|320x100_AD|CM1_IT|OO&amp;utm_content=CV|DOTZ-10MIL-AZUL_CS|320x100_CT|HTML5</v>
      </c>
      <c r="O101" s="113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>
      <c r="A102" s="114" t="s">
        <v>236</v>
      </c>
      <c r="B102" s="121" t="s">
        <v>247</v>
      </c>
      <c r="C102" s="114" t="s">
        <v>248</v>
      </c>
      <c r="D102" s="115">
        <v>44197.0</v>
      </c>
      <c r="E102" s="114" t="s">
        <v>249</v>
      </c>
      <c r="F102" s="116"/>
      <c r="G102" s="114" t="s">
        <v>130</v>
      </c>
      <c r="H102" s="114" t="s">
        <v>239</v>
      </c>
      <c r="I102" s="116" t="str">
        <f>'Placement (DCM)'!L95</f>
        <v>728x90</v>
      </c>
      <c r="J102" s="116" t="str">
        <f>'Placement (DCM)'!R95</f>
        <v>MK|BR_CH|PD_DT|CROSS_PB|VER_FM|BAN_RT|CPM_PD|DOTZ-10MIL-AZUL_TG|NON_ST|NON_TS|NONE_SZ|728x90_AD|CM1_IT|OO</v>
      </c>
      <c r="K102" s="116" t="str">
        <f>'Creative Name'!H95</f>
        <v>CV|DOTZ-10MIL-AZUL_CS|728x90_CT|HTML5</v>
      </c>
      <c r="L102" s="116" t="str">
        <f t="shared" si="1"/>
        <v>CV^DOTZ-10MIL-AZUL_CS^728x90_CT^HTML5</v>
      </c>
      <c r="M102" s="119" t="s">
        <v>243</v>
      </c>
      <c r="N102" s="118" t="str">
        <f t="shared" si="2"/>
        <v>https://cartaodotz.dotz.com.br/dotz-bb?utm_source=VERIZON&amp;utm_medium=ADS&amp;utm_campaign=MK|BR_CH|PD_DT|CROSS_PB|VER_FM|BAN_RT|CPM_PD|DOTZ-10MIL-AZUL_TG|NON_ST|NON_TS|NONE_SZ|728x90_AD|CM1_IT|OO&amp;utm_content=CV|DOTZ-10MIL-AZUL_CS|728x90_CT|HTML5</v>
      </c>
      <c r="O102" s="113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>
      <c r="A103" s="114" t="s">
        <v>236</v>
      </c>
      <c r="B103" s="121" t="s">
        <v>247</v>
      </c>
      <c r="C103" s="114" t="s">
        <v>248</v>
      </c>
      <c r="D103" s="115">
        <v>44197.0</v>
      </c>
      <c r="E103" s="114" t="s">
        <v>249</v>
      </c>
      <c r="F103" s="116"/>
      <c r="G103" s="114" t="s">
        <v>130</v>
      </c>
      <c r="H103" s="114" t="s">
        <v>239</v>
      </c>
      <c r="I103" s="116" t="str">
        <f>'Placement (DCM)'!L96</f>
        <v>120x600</v>
      </c>
      <c r="J103" s="116" t="str">
        <f>'Placement (DCM)'!R96</f>
        <v>MK|BR_CH|PD_DT|CROSS_PB|VER_FM|BAN_RT|CPM_PD|DOTZ-ZERO-ANUIDADE-AZUL_TG|NON_ST|NON_TS|NONE_SZ|120x600_AD|CM1_IT|OO</v>
      </c>
      <c r="K103" s="116" t="str">
        <f>'Creative Name'!H96</f>
        <v>CV|DOTZ-ZERO-ANUIDADE-AZUL_CS|120x600_CT|HTML5</v>
      </c>
      <c r="L103" s="116" t="str">
        <f t="shared" si="1"/>
        <v>CV^DOTZ-ZERO-ANUIDADE-AZUL_CS^120x600_CT^HTML5</v>
      </c>
      <c r="M103" s="119" t="s">
        <v>243</v>
      </c>
      <c r="N103" s="118" t="str">
        <f t="shared" si="2"/>
        <v>https://cartaodotz.dotz.com.br/dotz-bb?utm_source=VERIZON&amp;utm_medium=ADS&amp;utm_campaign=MK|BR_CH|PD_DT|CROSS_PB|VER_FM|BAN_RT|CPM_PD|DOTZ-ZERO-ANUIDADE-AZUL_TG|NON_ST|NON_TS|NONE_SZ|120x600_AD|CM1_IT|OO&amp;utm_content=CV|DOTZ-ZERO-ANUIDADE-AZUL_CS|120x600_CT|HTML5</v>
      </c>
      <c r="O103" s="113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>
      <c r="A104" s="114" t="s">
        <v>236</v>
      </c>
      <c r="B104" s="121" t="s">
        <v>247</v>
      </c>
      <c r="C104" s="114" t="s">
        <v>248</v>
      </c>
      <c r="D104" s="115">
        <v>44197.0</v>
      </c>
      <c r="E104" s="114" t="s">
        <v>249</v>
      </c>
      <c r="F104" s="116"/>
      <c r="G104" s="114" t="s">
        <v>130</v>
      </c>
      <c r="H104" s="114" t="s">
        <v>239</v>
      </c>
      <c r="I104" s="116" t="str">
        <f>'Placement (DCM)'!L97</f>
        <v>160x600</v>
      </c>
      <c r="J104" s="116" t="str">
        <f>'Placement (DCM)'!R97</f>
        <v>MK|BR_CH|PD_DT|CROSS_PB|VER_FM|BAN_RT|CPM_PD|DOTZ-ZERO-ANUIDADE-AZUL_TG|NON_ST|NON_TS|NONE_SZ|160x600_AD|CM1_IT|OO</v>
      </c>
      <c r="K104" s="116" t="str">
        <f>'Creative Name'!H97</f>
        <v>CV|DOTZ-ZERO-ANUIDADE-AZUL_CS|160x600_CT|HTML5</v>
      </c>
      <c r="L104" s="116" t="str">
        <f t="shared" si="1"/>
        <v>CV^DOTZ-ZERO-ANUIDADE-AZUL_CS^160x600_CT^HTML5</v>
      </c>
      <c r="M104" s="119" t="s">
        <v>243</v>
      </c>
      <c r="N104" s="118" t="str">
        <f t="shared" si="2"/>
        <v>https://cartaodotz.dotz.com.br/dotz-bb?utm_source=VERIZON&amp;utm_medium=ADS&amp;utm_campaign=MK|BR_CH|PD_DT|CROSS_PB|VER_FM|BAN_RT|CPM_PD|DOTZ-ZERO-ANUIDADE-AZUL_TG|NON_ST|NON_TS|NONE_SZ|160x600_AD|CM1_IT|OO&amp;utm_content=CV|DOTZ-ZERO-ANUIDADE-AZUL_CS|160x600_CT|HTML5</v>
      </c>
      <c r="O104" s="113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>
      <c r="A105" s="114" t="s">
        <v>236</v>
      </c>
      <c r="B105" s="121" t="s">
        <v>247</v>
      </c>
      <c r="C105" s="114" t="s">
        <v>248</v>
      </c>
      <c r="D105" s="115">
        <v>44197.0</v>
      </c>
      <c r="E105" s="114" t="s">
        <v>249</v>
      </c>
      <c r="F105" s="116"/>
      <c r="G105" s="114" t="s">
        <v>130</v>
      </c>
      <c r="H105" s="114" t="s">
        <v>239</v>
      </c>
      <c r="I105" s="116" t="str">
        <f>'Placement (DCM)'!L98</f>
        <v>300x250</v>
      </c>
      <c r="J105" s="116" t="str">
        <f>'Placement (DCM)'!R98</f>
        <v>MK|BR_CH|PD_DT|CROSS_PB|VER_FM|BAN_RT|CPM_PD|DOTZ-ZERO-ANUIDADE-AZUL_TG|NON_ST|NON_TS|NONE_SZ|300x250_AD|CM1_IT|OO</v>
      </c>
      <c r="K105" s="116" t="str">
        <f>'Creative Name'!H98</f>
        <v>CV|DOTZ-ZERO-ANUIDADE-AZUL_CS|300x250_CT|HTML5</v>
      </c>
      <c r="L105" s="116" t="str">
        <f t="shared" si="1"/>
        <v>CV^DOTZ-ZERO-ANUIDADE-AZUL_CS^300x250_CT^HTML5</v>
      </c>
      <c r="M105" s="119" t="s">
        <v>243</v>
      </c>
      <c r="N105" s="118" t="str">
        <f t="shared" si="2"/>
        <v>https://cartaodotz.dotz.com.br/dotz-bb?utm_source=VERIZON&amp;utm_medium=ADS&amp;utm_campaign=MK|BR_CH|PD_DT|CROSS_PB|VER_FM|BAN_RT|CPM_PD|DOTZ-ZERO-ANUIDADE-AZUL_TG|NON_ST|NON_TS|NONE_SZ|300x250_AD|CM1_IT|OO&amp;utm_content=CV|DOTZ-ZERO-ANUIDADE-AZUL_CS|300x250_CT|HTML5</v>
      </c>
      <c r="O105" s="113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>
      <c r="A106" s="114" t="s">
        <v>236</v>
      </c>
      <c r="B106" s="121" t="s">
        <v>247</v>
      </c>
      <c r="C106" s="114" t="s">
        <v>248</v>
      </c>
      <c r="D106" s="115">
        <v>44197.0</v>
      </c>
      <c r="E106" s="114" t="s">
        <v>249</v>
      </c>
      <c r="F106" s="116"/>
      <c r="G106" s="114" t="s">
        <v>130</v>
      </c>
      <c r="H106" s="114" t="s">
        <v>239</v>
      </c>
      <c r="I106" s="116" t="str">
        <f>'Placement (DCM)'!L99</f>
        <v>300x600</v>
      </c>
      <c r="J106" s="116" t="str">
        <f>'Placement (DCM)'!R99</f>
        <v>MK|BR_CH|PD_DT|CROSS_PB|VER_FM|BAN_RT|CPM_PD|DOTZ-ZERO-ANUIDADE-AZUL_TG|NON_ST|NON_TS|NONE_SZ|300x600_AD|CM1_IT|OO</v>
      </c>
      <c r="K106" s="116" t="str">
        <f>'Creative Name'!H99</f>
        <v>CV|DOTZ-ZERO-ANUIDADE-AZUL_CS|300x600_CT|HTML5</v>
      </c>
      <c r="L106" s="116" t="str">
        <f t="shared" si="1"/>
        <v>CV^DOTZ-ZERO-ANUIDADE-AZUL_CS^300x600_CT^HTML5</v>
      </c>
      <c r="M106" s="119" t="s">
        <v>243</v>
      </c>
      <c r="N106" s="118" t="str">
        <f t="shared" si="2"/>
        <v>https://cartaodotz.dotz.com.br/dotz-bb?utm_source=VERIZON&amp;utm_medium=ADS&amp;utm_campaign=MK|BR_CH|PD_DT|CROSS_PB|VER_FM|BAN_RT|CPM_PD|DOTZ-ZERO-ANUIDADE-AZUL_TG|NON_ST|NON_TS|NONE_SZ|300x600_AD|CM1_IT|OO&amp;utm_content=CV|DOTZ-ZERO-ANUIDADE-AZUL_CS|300x600_CT|HTML5</v>
      </c>
      <c r="O106" s="113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>
      <c r="A107" s="114" t="s">
        <v>236</v>
      </c>
      <c r="B107" s="121" t="s">
        <v>247</v>
      </c>
      <c r="C107" s="114" t="s">
        <v>248</v>
      </c>
      <c r="D107" s="115">
        <v>44197.0</v>
      </c>
      <c r="E107" s="114" t="s">
        <v>249</v>
      </c>
      <c r="F107" s="116"/>
      <c r="G107" s="114" t="s">
        <v>130</v>
      </c>
      <c r="H107" s="114" t="s">
        <v>239</v>
      </c>
      <c r="I107" s="116" t="str">
        <f>'Placement (DCM)'!L100</f>
        <v>320x50</v>
      </c>
      <c r="J107" s="116" t="str">
        <f>'Placement (DCM)'!R100</f>
        <v>MK|BR_CH|PMD_DT|CROSS_PB|VER_FM|BAN_RT|CPM_PD|DOTZ-ZERO-ANUIDADE-AZUL_TG|NON_ST|NON_TS|NONE_SZ|320x50_AD|CM1_IT|OO</v>
      </c>
      <c r="K107" s="116" t="str">
        <f>'Creative Name'!H100</f>
        <v>CV|DOTZ-ZERO-ANUIDADE-AZUL_CS|320x50_CT|HTML5</v>
      </c>
      <c r="L107" s="116" t="str">
        <f t="shared" si="1"/>
        <v>CV^DOTZ-ZERO-ANUIDADE-AZUL_CS^320x50_CT^HTML5</v>
      </c>
      <c r="M107" s="119" t="s">
        <v>243</v>
      </c>
      <c r="N107" s="118" t="str">
        <f t="shared" si="2"/>
        <v>https://cartaodotz.dotz.com.br/dotz-bb?utm_source=VERIZON&amp;utm_medium=ADS&amp;utm_campaign=MK|BR_CH|PMD_DT|CROSS_PB|VER_FM|BAN_RT|CPM_PD|DOTZ-ZERO-ANUIDADE-AZUL_TG|NON_ST|NON_TS|NONE_SZ|320x50_AD|CM1_IT|OO&amp;utm_content=CV|DOTZ-ZERO-ANUIDADE-AZUL_CS|320x50_CT|HTML5</v>
      </c>
      <c r="O107" s="113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>
      <c r="A108" s="114" t="s">
        <v>236</v>
      </c>
      <c r="B108" s="121" t="s">
        <v>247</v>
      </c>
      <c r="C108" s="114" t="s">
        <v>248</v>
      </c>
      <c r="D108" s="115">
        <v>44197.0</v>
      </c>
      <c r="E108" s="114" t="s">
        <v>249</v>
      </c>
      <c r="F108" s="116"/>
      <c r="G108" s="114" t="s">
        <v>130</v>
      </c>
      <c r="H108" s="114" t="s">
        <v>239</v>
      </c>
      <c r="I108" s="116" t="str">
        <f>'Placement (DCM)'!L101</f>
        <v>320x100</v>
      </c>
      <c r="J108" s="116" t="str">
        <f>'Placement (DCM)'!R101</f>
        <v>MK|BR_CH|PMD_DT|CROSS_PB|VER_FM|BAN_RT|CPM_PD|DOTZ-ZERO-ANUIDADE-AZUL_TG|NON_ST|NON_TS|NONE_SZ|320x100_AD|CM1_IT|OO</v>
      </c>
      <c r="K108" s="116" t="str">
        <f>'Creative Name'!H101</f>
        <v>CV|DOTZ-ZERO-ANUIDADE-AZUL_CS|320x100_CT|HTML5</v>
      </c>
      <c r="L108" s="116" t="str">
        <f t="shared" si="1"/>
        <v>CV^DOTZ-ZERO-ANUIDADE-AZUL_CS^320x100_CT^HTML5</v>
      </c>
      <c r="M108" s="119" t="s">
        <v>243</v>
      </c>
      <c r="N108" s="118" t="str">
        <f t="shared" si="2"/>
        <v>https://cartaodotz.dotz.com.br/dotz-bb?utm_source=VERIZON&amp;utm_medium=ADS&amp;utm_campaign=MK|BR_CH|PMD_DT|CROSS_PB|VER_FM|BAN_RT|CPM_PD|DOTZ-ZERO-ANUIDADE-AZUL_TG|NON_ST|NON_TS|NONE_SZ|320x100_AD|CM1_IT|OO&amp;utm_content=CV|DOTZ-ZERO-ANUIDADE-AZUL_CS|320x100_CT|HTML5</v>
      </c>
      <c r="O108" s="113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</row>
    <row r="109">
      <c r="A109" s="114" t="s">
        <v>236</v>
      </c>
      <c r="B109" s="121" t="s">
        <v>247</v>
      </c>
      <c r="C109" s="114" t="s">
        <v>248</v>
      </c>
      <c r="D109" s="115">
        <v>44197.0</v>
      </c>
      <c r="E109" s="114" t="s">
        <v>249</v>
      </c>
      <c r="F109" s="116"/>
      <c r="G109" s="114" t="s">
        <v>130</v>
      </c>
      <c r="H109" s="114" t="s">
        <v>239</v>
      </c>
      <c r="I109" s="116" t="str">
        <f>'Placement (DCM)'!L102</f>
        <v>728x90</v>
      </c>
      <c r="J109" s="116" t="str">
        <f>'Placement (DCM)'!R102</f>
        <v>MK|BR_CH|PD_DT|CROSS_PB|VER_FM|BAN_RT|CPM_PD|DOTZ-ZERO-ANUIDADE-AZUL_TG|NON_ST|NON_TS|NONE_SZ|728x90_AD|CM1_IT|OO</v>
      </c>
      <c r="K109" s="116" t="str">
        <f>'Creative Name'!H102</f>
        <v>CV|DOTZ-ZERO-ANUIDADE-AZUL_CS|728x90_CT|HTML5</v>
      </c>
      <c r="L109" s="116" t="str">
        <f t="shared" si="1"/>
        <v>CV^DOTZ-ZERO-ANUIDADE-AZUL_CS^728x90_CT^HTML5</v>
      </c>
      <c r="M109" s="119" t="s">
        <v>243</v>
      </c>
      <c r="N109" s="118" t="str">
        <f t="shared" si="2"/>
        <v>https://cartaodotz.dotz.com.br/dotz-bb?utm_source=VERIZON&amp;utm_medium=ADS&amp;utm_campaign=MK|BR_CH|PD_DT|CROSS_PB|VER_FM|BAN_RT|CPM_PD|DOTZ-ZERO-ANUIDADE-AZUL_TG|NON_ST|NON_TS|NONE_SZ|728x90_AD|CM1_IT|OO&amp;utm_content=CV|DOTZ-ZERO-ANUIDADE-AZUL_CS|728x90_CT|HTML5</v>
      </c>
      <c r="O109" s="113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</row>
    <row r="110">
      <c r="A110" s="114" t="s">
        <v>236</v>
      </c>
      <c r="B110" s="121" t="s">
        <v>247</v>
      </c>
      <c r="C110" s="114" t="s">
        <v>248</v>
      </c>
      <c r="D110" s="115">
        <v>44197.0</v>
      </c>
      <c r="E110" s="114" t="s">
        <v>249</v>
      </c>
      <c r="F110" s="116"/>
      <c r="G110" s="114" t="s">
        <v>130</v>
      </c>
      <c r="H110" s="114" t="s">
        <v>239</v>
      </c>
      <c r="I110" s="116" t="str">
        <f>'Placement (DCM)'!L103</f>
        <v>120x600</v>
      </c>
      <c r="J110" s="116" t="str">
        <f>'Placement (DCM)'!R103</f>
        <v>MK|BR_CH|PD_DT|CROSS_PB|VER_FM|BAN_RT|CPM_PD|DOTZ-10MIL-HUMANIZADO_TG|NON_ST|NON_TS|NONE_SZ|120x600_AD|CM1_IT|OO</v>
      </c>
      <c r="K110" s="116" t="str">
        <f>'Creative Name'!H103</f>
        <v>CV|DOTZ-10MIL-HUMANIZADO_CS|120x600_CT|HTML5</v>
      </c>
      <c r="L110" s="116" t="str">
        <f t="shared" si="1"/>
        <v>CV^DOTZ-10MIL-HUMANIZADO_CS^120x600_CT^HTML5</v>
      </c>
      <c r="M110" s="119" t="s">
        <v>243</v>
      </c>
      <c r="N110" s="118" t="str">
        <f t="shared" si="2"/>
        <v>https://cartaodotz.dotz.com.br/dotz-bb?utm_source=VERIZON&amp;utm_medium=ADS&amp;utm_campaign=MK|BR_CH|PD_DT|CROSS_PB|VER_FM|BAN_RT|CPM_PD|DOTZ-10MIL-HUMANIZADO_TG|NON_ST|NON_TS|NONE_SZ|120x600_AD|CM1_IT|OO&amp;utm_content=CV|DOTZ-10MIL-HUMANIZADO_CS|120x600_CT|HTML5</v>
      </c>
      <c r="O110" s="113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>
      <c r="A111" s="114" t="s">
        <v>236</v>
      </c>
      <c r="B111" s="121" t="s">
        <v>247</v>
      </c>
      <c r="C111" s="114" t="s">
        <v>248</v>
      </c>
      <c r="D111" s="115">
        <v>44197.0</v>
      </c>
      <c r="E111" s="114" t="s">
        <v>249</v>
      </c>
      <c r="F111" s="116"/>
      <c r="G111" s="114" t="s">
        <v>130</v>
      </c>
      <c r="H111" s="114" t="s">
        <v>239</v>
      </c>
      <c r="I111" s="116" t="str">
        <f>'Placement (DCM)'!L104</f>
        <v>160x600</v>
      </c>
      <c r="J111" s="116" t="str">
        <f>'Placement (DCM)'!R104</f>
        <v>MK|BR_CH|PD_DT|CROSS_PB|VER_FM|BAN_RT|CPM_PD|DOTZ-10MIL-HUMANIZADO_TG|NON_ST|NON_TS|NONE_SZ|160x600_AD|CM1_IT|OO</v>
      </c>
      <c r="K111" s="116" t="str">
        <f>'Creative Name'!H104</f>
        <v>CV|DOTZ-10MIL-HUMANIZADO_CS|160x600_CT|HTML5</v>
      </c>
      <c r="L111" s="116" t="str">
        <f t="shared" si="1"/>
        <v>CV^DOTZ-10MIL-HUMANIZADO_CS^160x600_CT^HTML5</v>
      </c>
      <c r="M111" s="119" t="s">
        <v>243</v>
      </c>
      <c r="N111" s="118" t="str">
        <f t="shared" si="2"/>
        <v>https://cartaodotz.dotz.com.br/dotz-bb?utm_source=VERIZON&amp;utm_medium=ADS&amp;utm_campaign=MK|BR_CH|PD_DT|CROSS_PB|VER_FM|BAN_RT|CPM_PD|DOTZ-10MIL-HUMANIZADO_TG|NON_ST|NON_TS|NONE_SZ|160x600_AD|CM1_IT|OO&amp;utm_content=CV|DOTZ-10MIL-HUMANIZADO_CS|160x600_CT|HTML5</v>
      </c>
      <c r="O111" s="113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</row>
    <row r="112">
      <c r="A112" s="114" t="s">
        <v>236</v>
      </c>
      <c r="B112" s="121" t="s">
        <v>247</v>
      </c>
      <c r="C112" s="114" t="s">
        <v>248</v>
      </c>
      <c r="D112" s="115">
        <v>44197.0</v>
      </c>
      <c r="E112" s="114" t="s">
        <v>249</v>
      </c>
      <c r="F112" s="116"/>
      <c r="G112" s="114" t="s">
        <v>130</v>
      </c>
      <c r="H112" s="114" t="s">
        <v>239</v>
      </c>
      <c r="I112" s="116" t="str">
        <f>'Placement (DCM)'!L105</f>
        <v>300x250</v>
      </c>
      <c r="J112" s="116" t="str">
        <f>'Placement (DCM)'!R105</f>
        <v>MK|BR_CH|PD_DT|CROSS_PB|VER_FM|BAN_RT|CPM_PD|DOTZ-10MIL-HUMANIZADO_TG|NON_ST|NON_TS|NONE_SZ|300x250_AD|CM1_IT|OO</v>
      </c>
      <c r="K112" s="116" t="str">
        <f>'Creative Name'!H105</f>
        <v>CV|DOTZ-10MIL-HUMANIZADO_CS|300x250_CT|HTML5</v>
      </c>
      <c r="L112" s="116" t="str">
        <f t="shared" si="1"/>
        <v>CV^DOTZ-10MIL-HUMANIZADO_CS^300x250_CT^HTML5</v>
      </c>
      <c r="M112" s="119" t="s">
        <v>243</v>
      </c>
      <c r="N112" s="118" t="str">
        <f t="shared" si="2"/>
        <v>https://cartaodotz.dotz.com.br/dotz-bb?utm_source=VERIZON&amp;utm_medium=ADS&amp;utm_campaign=MK|BR_CH|PD_DT|CROSS_PB|VER_FM|BAN_RT|CPM_PD|DOTZ-10MIL-HUMANIZADO_TG|NON_ST|NON_TS|NONE_SZ|300x250_AD|CM1_IT|OO&amp;utm_content=CV|DOTZ-10MIL-HUMANIZADO_CS|300x250_CT|HTML5</v>
      </c>
      <c r="O112" s="113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</row>
    <row r="113">
      <c r="A113" s="114" t="s">
        <v>236</v>
      </c>
      <c r="B113" s="121" t="s">
        <v>247</v>
      </c>
      <c r="C113" s="114" t="s">
        <v>248</v>
      </c>
      <c r="D113" s="115">
        <v>44197.0</v>
      </c>
      <c r="E113" s="114" t="s">
        <v>249</v>
      </c>
      <c r="F113" s="116"/>
      <c r="G113" s="114" t="s">
        <v>130</v>
      </c>
      <c r="H113" s="114" t="s">
        <v>239</v>
      </c>
      <c r="I113" s="116" t="str">
        <f>'Placement (DCM)'!L106</f>
        <v>300x600</v>
      </c>
      <c r="J113" s="116" t="str">
        <f>'Placement (DCM)'!R106</f>
        <v>MK|BR_CH|PD_DT|CROSS_PB|VER_FM|BAN_RT|CPM_PD|DOTZ-10MIL-HUMANIZADO_TG|NON_ST|NON_TS|NONE_SZ|300x600_AD|CM1_IT|OO</v>
      </c>
      <c r="K113" s="116" t="str">
        <f>'Creative Name'!H106</f>
        <v>CV|DOTZ-10MIL-HUMANIZADO_CS|300x600_CT|HTML5</v>
      </c>
      <c r="L113" s="116" t="str">
        <f t="shared" si="1"/>
        <v>CV^DOTZ-10MIL-HUMANIZADO_CS^300x600_CT^HTML5</v>
      </c>
      <c r="M113" s="119" t="s">
        <v>243</v>
      </c>
      <c r="N113" s="118" t="str">
        <f t="shared" si="2"/>
        <v>https://cartaodotz.dotz.com.br/dotz-bb?utm_source=VERIZON&amp;utm_medium=ADS&amp;utm_campaign=MK|BR_CH|PD_DT|CROSS_PB|VER_FM|BAN_RT|CPM_PD|DOTZ-10MIL-HUMANIZADO_TG|NON_ST|NON_TS|NONE_SZ|300x600_AD|CM1_IT|OO&amp;utm_content=CV|DOTZ-10MIL-HUMANIZADO_CS|300x600_CT|HTML5</v>
      </c>
      <c r="O113" s="113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>
      <c r="A114" s="114" t="s">
        <v>236</v>
      </c>
      <c r="B114" s="121" t="s">
        <v>247</v>
      </c>
      <c r="C114" s="114" t="s">
        <v>248</v>
      </c>
      <c r="D114" s="115">
        <v>44197.0</v>
      </c>
      <c r="E114" s="114" t="s">
        <v>249</v>
      </c>
      <c r="F114" s="116"/>
      <c r="G114" s="114" t="s">
        <v>130</v>
      </c>
      <c r="H114" s="114" t="s">
        <v>239</v>
      </c>
      <c r="I114" s="116" t="str">
        <f>'Placement (DCM)'!L107</f>
        <v>320x50</v>
      </c>
      <c r="J114" s="116" t="str">
        <f>'Placement (DCM)'!R107</f>
        <v>MK|BR_CH|PMD_DT|CROSS_PB|VER_FM|BAN_RT|CPM_PD|DOTZ-10MIL-HUMANIZADO_TG|NON_ST|NON_TS|NONE_SZ|320x50_AD|CM1_IT|OO</v>
      </c>
      <c r="K114" s="116" t="str">
        <f>'Creative Name'!H107</f>
        <v>CV|DOTZ-10MIL-HUMANIZADO_CS|320x50_CT|HTML5</v>
      </c>
      <c r="L114" s="116" t="str">
        <f t="shared" si="1"/>
        <v>CV^DOTZ-10MIL-HUMANIZADO_CS^320x50_CT^HTML5</v>
      </c>
      <c r="M114" s="119" t="s">
        <v>243</v>
      </c>
      <c r="N114" s="118" t="str">
        <f t="shared" si="2"/>
        <v>https://cartaodotz.dotz.com.br/dotz-bb?utm_source=VERIZON&amp;utm_medium=ADS&amp;utm_campaign=MK|BR_CH|PMD_DT|CROSS_PB|VER_FM|BAN_RT|CPM_PD|DOTZ-10MIL-HUMANIZADO_TG|NON_ST|NON_TS|NONE_SZ|320x50_AD|CM1_IT|OO&amp;utm_content=CV|DOTZ-10MIL-HUMANIZADO_CS|320x50_CT|HTML5</v>
      </c>
      <c r="O114" s="113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>
      <c r="A115" s="114" t="s">
        <v>236</v>
      </c>
      <c r="B115" s="121" t="s">
        <v>247</v>
      </c>
      <c r="C115" s="114" t="s">
        <v>248</v>
      </c>
      <c r="D115" s="115">
        <v>44197.0</v>
      </c>
      <c r="E115" s="114" t="s">
        <v>249</v>
      </c>
      <c r="F115" s="116"/>
      <c r="G115" s="114" t="s">
        <v>130</v>
      </c>
      <c r="H115" s="114" t="s">
        <v>239</v>
      </c>
      <c r="I115" s="116" t="str">
        <f>'Placement (DCM)'!L108</f>
        <v>320x100</v>
      </c>
      <c r="J115" s="116" t="str">
        <f>'Placement (DCM)'!R108</f>
        <v>MK|BR_CH|PMD_DT|CROSS_PB|VER_FM|BAN_RT|CPM_PD|DOTZ-10MIL-HUMANIZADO_TG|NON_ST|NON_TS|NONE_SZ|320x100_AD|CM1_IT|OO</v>
      </c>
      <c r="K115" s="116" t="str">
        <f>'Creative Name'!H108</f>
        <v>CV|DOTZ-10MIL-HUMANIZADO_CS|320x100_CT|HTML5</v>
      </c>
      <c r="L115" s="116" t="str">
        <f t="shared" si="1"/>
        <v>CV^DOTZ-10MIL-HUMANIZADO_CS^320x100_CT^HTML5</v>
      </c>
      <c r="M115" s="119" t="s">
        <v>243</v>
      </c>
      <c r="N115" s="118" t="str">
        <f t="shared" si="2"/>
        <v>https://cartaodotz.dotz.com.br/dotz-bb?utm_source=VERIZON&amp;utm_medium=ADS&amp;utm_campaign=MK|BR_CH|PMD_DT|CROSS_PB|VER_FM|BAN_RT|CPM_PD|DOTZ-10MIL-HUMANIZADO_TG|NON_ST|NON_TS|NONE_SZ|320x100_AD|CM1_IT|OO&amp;utm_content=CV|DOTZ-10MIL-HUMANIZADO_CS|320x100_CT|HTML5</v>
      </c>
      <c r="O115" s="113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>
      <c r="A116" s="114" t="s">
        <v>236</v>
      </c>
      <c r="B116" s="121" t="s">
        <v>247</v>
      </c>
      <c r="C116" s="114" t="s">
        <v>248</v>
      </c>
      <c r="D116" s="115">
        <v>44197.0</v>
      </c>
      <c r="E116" s="114" t="s">
        <v>249</v>
      </c>
      <c r="F116" s="116"/>
      <c r="G116" s="114" t="s">
        <v>130</v>
      </c>
      <c r="H116" s="114" t="s">
        <v>239</v>
      </c>
      <c r="I116" s="116" t="str">
        <f>'Placement (DCM)'!L109</f>
        <v>728x90</v>
      </c>
      <c r="J116" s="116" t="str">
        <f>'Placement (DCM)'!R109</f>
        <v>MK|BR_CH|PD_DT|CROSS_PB|VER_FM|BAN_RT|CPM_PD|DOTZ-10MIL-HUMANIZADO_TG|NON_ST|NON_TS|NONE_SZ|728x90_AD|CM1_IT|OO</v>
      </c>
      <c r="K116" s="116" t="str">
        <f>'Creative Name'!H109</f>
        <v>CV|DOTZ-10MIL-HUMANIZADO_CS|728x90_CT|HTML5</v>
      </c>
      <c r="L116" s="116" t="str">
        <f t="shared" si="1"/>
        <v>CV^DOTZ-10MIL-HUMANIZADO_CS^728x90_CT^HTML5</v>
      </c>
      <c r="M116" s="119" t="s">
        <v>243</v>
      </c>
      <c r="N116" s="118" t="str">
        <f t="shared" si="2"/>
        <v>https://cartaodotz.dotz.com.br/dotz-bb?utm_source=VERIZON&amp;utm_medium=ADS&amp;utm_campaign=MK|BR_CH|PD_DT|CROSS_PB|VER_FM|BAN_RT|CPM_PD|DOTZ-10MIL-HUMANIZADO_TG|NON_ST|NON_TS|NONE_SZ|728x90_AD|CM1_IT|OO&amp;utm_content=CV|DOTZ-10MIL-HUMANIZADO_CS|728x90_CT|HTML5</v>
      </c>
      <c r="O116" s="113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</row>
    <row r="117">
      <c r="A117" s="114" t="s">
        <v>236</v>
      </c>
      <c r="B117" s="121" t="s">
        <v>247</v>
      </c>
      <c r="C117" s="114" t="s">
        <v>248</v>
      </c>
      <c r="D117" s="115">
        <v>44197.0</v>
      </c>
      <c r="E117" s="114" t="s">
        <v>249</v>
      </c>
      <c r="F117" s="116"/>
      <c r="G117" s="114" t="s">
        <v>130</v>
      </c>
      <c r="H117" s="114" t="s">
        <v>239</v>
      </c>
      <c r="I117" s="116" t="str">
        <f>'Placement (DCM)'!L110</f>
        <v>120x600</v>
      </c>
      <c r="J117" s="116" t="str">
        <f>'Placement (DCM)'!R110</f>
        <v>MK|BR_CH|PD_DT|CROSS_PB|VER_FM|BAN_RT|CPM_PD|DOTZ-ZERO-ANUIDADE-HUMANIZADO_TG|NON_ST|NON_TS|NONE_SZ|120x600_AD|CM1_IT|OO</v>
      </c>
      <c r="K117" s="116" t="str">
        <f>'Creative Name'!H110</f>
        <v>CV|DOTZ-ZERO-ANUIDADE-HUMANIZADO_CS|120x600_CT|HTML5</v>
      </c>
      <c r="L117" s="116" t="str">
        <f t="shared" si="1"/>
        <v>CV^DOTZ-ZERO-ANUIDADE-HUMANIZADO_CS^120x600_CT^HTML5</v>
      </c>
      <c r="M117" s="119" t="s">
        <v>243</v>
      </c>
      <c r="N117" s="118" t="str">
        <f t="shared" si="2"/>
        <v>https://cartaodotz.dotz.com.br/dotz-bb?utm_source=VERIZON&amp;utm_medium=ADS&amp;utm_campaign=MK|BR_CH|PD_DT|CROSS_PB|VER_FM|BAN_RT|CPM_PD|DOTZ-ZERO-ANUIDADE-HUMANIZADO_TG|NON_ST|NON_TS|NONE_SZ|120x600_AD|CM1_IT|OO&amp;utm_content=CV|DOTZ-ZERO-ANUIDADE-HUMANIZADO_CS|120x600_CT|HTML5</v>
      </c>
      <c r="O117" s="113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>
      <c r="A118" s="114" t="s">
        <v>236</v>
      </c>
      <c r="B118" s="121" t="s">
        <v>247</v>
      </c>
      <c r="C118" s="114" t="s">
        <v>248</v>
      </c>
      <c r="D118" s="115">
        <v>44197.0</v>
      </c>
      <c r="E118" s="114" t="s">
        <v>249</v>
      </c>
      <c r="F118" s="116"/>
      <c r="G118" s="114" t="s">
        <v>130</v>
      </c>
      <c r="H118" s="114" t="s">
        <v>239</v>
      </c>
      <c r="I118" s="116" t="str">
        <f>'Placement (DCM)'!L111</f>
        <v>160x600</v>
      </c>
      <c r="J118" s="116" t="str">
        <f>'Placement (DCM)'!R111</f>
        <v>MK|BR_CH|PD_DT|CROSS_PB|VER_FM|BAN_RT|CPM_PD|DOTZ-ZERO-ANUIDADE-HUMANIZADO_TG|NON_ST|NON_TS|NONE_SZ|160x600_AD|CM1_IT|OO</v>
      </c>
      <c r="K118" s="116" t="str">
        <f>'Creative Name'!H111</f>
        <v>CV|DOTZ-ZERO-ANUIDADE-HUMANIZADO_CS|160x600_CT|HTML5</v>
      </c>
      <c r="L118" s="116" t="str">
        <f t="shared" si="1"/>
        <v>CV^DOTZ-ZERO-ANUIDADE-HUMANIZADO_CS^160x600_CT^HTML5</v>
      </c>
      <c r="M118" s="119" t="s">
        <v>243</v>
      </c>
      <c r="N118" s="118" t="str">
        <f t="shared" si="2"/>
        <v>https://cartaodotz.dotz.com.br/dotz-bb?utm_source=VERIZON&amp;utm_medium=ADS&amp;utm_campaign=MK|BR_CH|PD_DT|CROSS_PB|VER_FM|BAN_RT|CPM_PD|DOTZ-ZERO-ANUIDADE-HUMANIZADO_TG|NON_ST|NON_TS|NONE_SZ|160x600_AD|CM1_IT|OO&amp;utm_content=CV|DOTZ-ZERO-ANUIDADE-HUMANIZADO_CS|160x600_CT|HTML5</v>
      </c>
      <c r="O118" s="113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</row>
    <row r="119">
      <c r="A119" s="114" t="s">
        <v>236</v>
      </c>
      <c r="B119" s="121" t="s">
        <v>247</v>
      </c>
      <c r="C119" s="114" t="s">
        <v>248</v>
      </c>
      <c r="D119" s="115">
        <v>44197.0</v>
      </c>
      <c r="E119" s="114" t="s">
        <v>249</v>
      </c>
      <c r="F119" s="116"/>
      <c r="G119" s="114" t="s">
        <v>130</v>
      </c>
      <c r="H119" s="114" t="s">
        <v>239</v>
      </c>
      <c r="I119" s="116" t="str">
        <f>'Placement (DCM)'!L112</f>
        <v>300x250</v>
      </c>
      <c r="J119" s="116" t="str">
        <f>'Placement (DCM)'!R112</f>
        <v>MK|BR_CH|PD_DT|CROSS_PB|VER_FM|BAN_RT|CPM_PD|DOTZ-ZERO-ANUIDADE-HUMANIZADO_TG|NON_ST|NON_TS|NONE_SZ|300x250_AD|CM1_IT|OO</v>
      </c>
      <c r="K119" s="116" t="str">
        <f>'Creative Name'!H112</f>
        <v>CV|DOTZ-ZERO-ANUIDADE-HUMANIZADO_CS|300x250_CT|HTML5</v>
      </c>
      <c r="L119" s="116" t="str">
        <f t="shared" si="1"/>
        <v>CV^DOTZ-ZERO-ANUIDADE-HUMANIZADO_CS^300x250_CT^HTML5</v>
      </c>
      <c r="M119" s="119" t="s">
        <v>243</v>
      </c>
      <c r="N119" s="118" t="str">
        <f t="shared" si="2"/>
        <v>https://cartaodotz.dotz.com.br/dotz-bb?utm_source=VERIZON&amp;utm_medium=ADS&amp;utm_campaign=MK|BR_CH|PD_DT|CROSS_PB|VER_FM|BAN_RT|CPM_PD|DOTZ-ZERO-ANUIDADE-HUMANIZADO_TG|NON_ST|NON_TS|NONE_SZ|300x250_AD|CM1_IT|OO&amp;utm_content=CV|DOTZ-ZERO-ANUIDADE-HUMANIZADO_CS|300x250_CT|HTML5</v>
      </c>
      <c r="O119" s="113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</row>
    <row r="120">
      <c r="A120" s="114" t="s">
        <v>236</v>
      </c>
      <c r="B120" s="121" t="s">
        <v>247</v>
      </c>
      <c r="C120" s="114" t="s">
        <v>248</v>
      </c>
      <c r="D120" s="115">
        <v>44197.0</v>
      </c>
      <c r="E120" s="114" t="s">
        <v>249</v>
      </c>
      <c r="F120" s="116"/>
      <c r="G120" s="114" t="s">
        <v>130</v>
      </c>
      <c r="H120" s="114" t="s">
        <v>239</v>
      </c>
      <c r="I120" s="116" t="str">
        <f>'Placement (DCM)'!L113</f>
        <v>300x600</v>
      </c>
      <c r="J120" s="116" t="str">
        <f>'Placement (DCM)'!R113</f>
        <v>MK|BR_CH|PD_DT|CROSS_PB|VER_FM|BAN_RT|CPM_PD|DOTZ-ZERO-ANUIDADE-HUMANIZADO_TG|NON_ST|NON_TS|NONE_SZ|300x600_AD|CM1_IT|OO</v>
      </c>
      <c r="K120" s="116" t="str">
        <f>'Creative Name'!H113</f>
        <v>CV|DOTZ-ZERO-ANUIDADE-HUMANIZADO_CS|300x600_CT|HTML5</v>
      </c>
      <c r="L120" s="116" t="str">
        <f t="shared" si="1"/>
        <v>CV^DOTZ-ZERO-ANUIDADE-HUMANIZADO_CS^300x600_CT^HTML5</v>
      </c>
      <c r="M120" s="119" t="s">
        <v>243</v>
      </c>
      <c r="N120" s="118" t="str">
        <f t="shared" si="2"/>
        <v>https://cartaodotz.dotz.com.br/dotz-bb?utm_source=VERIZON&amp;utm_medium=ADS&amp;utm_campaign=MK|BR_CH|PD_DT|CROSS_PB|VER_FM|BAN_RT|CPM_PD|DOTZ-ZERO-ANUIDADE-HUMANIZADO_TG|NON_ST|NON_TS|NONE_SZ|300x600_AD|CM1_IT|OO&amp;utm_content=CV|DOTZ-ZERO-ANUIDADE-HUMANIZADO_CS|300x600_CT|HTML5</v>
      </c>
      <c r="O120" s="113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</row>
    <row r="121">
      <c r="A121" s="114" t="s">
        <v>236</v>
      </c>
      <c r="B121" s="121" t="s">
        <v>247</v>
      </c>
      <c r="C121" s="114" t="s">
        <v>248</v>
      </c>
      <c r="D121" s="115">
        <v>44197.0</v>
      </c>
      <c r="E121" s="114" t="s">
        <v>249</v>
      </c>
      <c r="F121" s="116"/>
      <c r="G121" s="114" t="s">
        <v>130</v>
      </c>
      <c r="H121" s="114" t="s">
        <v>239</v>
      </c>
      <c r="I121" s="116" t="str">
        <f>'Placement (DCM)'!L114</f>
        <v>320x50</v>
      </c>
      <c r="J121" s="116" t="str">
        <f>'Placement (DCM)'!R114</f>
        <v>MK|BR_CH|PMD_DT|CROSS_PB|VER_FM|BAN_RT|CPM_PD|DOTZ-ZERO-ANUIDADE-HUMANIZADO_TG|NON_ST|NON_TS|NONE_SZ|320x50_AD|CM1_IT|OO</v>
      </c>
      <c r="K121" s="116" t="str">
        <f>'Creative Name'!H114</f>
        <v>CV|DOTZ-ZERO-ANUIDADE-HUMANIZADO_CS|320x50_CT|HTML5</v>
      </c>
      <c r="L121" s="116" t="str">
        <f t="shared" si="1"/>
        <v>CV^DOTZ-ZERO-ANUIDADE-HUMANIZADO_CS^320x50_CT^HTML5</v>
      </c>
      <c r="M121" s="119" t="s">
        <v>243</v>
      </c>
      <c r="N121" s="118" t="str">
        <f t="shared" si="2"/>
        <v>https://cartaodotz.dotz.com.br/dotz-bb?utm_source=VERIZON&amp;utm_medium=ADS&amp;utm_campaign=MK|BR_CH|PMD_DT|CROSS_PB|VER_FM|BAN_RT|CPM_PD|DOTZ-ZERO-ANUIDADE-HUMANIZADO_TG|NON_ST|NON_TS|NONE_SZ|320x50_AD|CM1_IT|OO&amp;utm_content=CV|DOTZ-ZERO-ANUIDADE-HUMANIZADO_CS|320x50_CT|HTML5</v>
      </c>
      <c r="O121" s="113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>
      <c r="A122" s="114" t="s">
        <v>236</v>
      </c>
      <c r="B122" s="121" t="s">
        <v>247</v>
      </c>
      <c r="C122" s="114" t="s">
        <v>248</v>
      </c>
      <c r="D122" s="115">
        <v>44197.0</v>
      </c>
      <c r="E122" s="114" t="s">
        <v>249</v>
      </c>
      <c r="F122" s="116"/>
      <c r="G122" s="114" t="s">
        <v>130</v>
      </c>
      <c r="H122" s="114" t="s">
        <v>239</v>
      </c>
      <c r="I122" s="116" t="str">
        <f>'Placement (DCM)'!L115</f>
        <v>320x100</v>
      </c>
      <c r="J122" s="116" t="str">
        <f>'Placement (DCM)'!R115</f>
        <v>MK|BR_CH|PMD_DT|CROSS_PB|VER_FM|BAN_RT|CPM_PD|DOTZ-ZERO-ANUIDADE-HUMANIZADO_TG|NON_ST|NON_TS|NONE_SZ|320x100_AD|CM1_IT|OO</v>
      </c>
      <c r="K122" s="116" t="str">
        <f>'Creative Name'!H115</f>
        <v>CV|DOTZ-ZERO-ANUIDADE-HUMANIZADO_CS|320x100_CT|HTML5</v>
      </c>
      <c r="L122" s="116" t="str">
        <f t="shared" si="1"/>
        <v>CV^DOTZ-ZERO-ANUIDADE-HUMANIZADO_CS^320x100_CT^HTML5</v>
      </c>
      <c r="M122" s="119" t="s">
        <v>243</v>
      </c>
      <c r="N122" s="118" t="str">
        <f t="shared" si="2"/>
        <v>https://cartaodotz.dotz.com.br/dotz-bb?utm_source=VERIZON&amp;utm_medium=ADS&amp;utm_campaign=MK|BR_CH|PMD_DT|CROSS_PB|VER_FM|BAN_RT|CPM_PD|DOTZ-ZERO-ANUIDADE-HUMANIZADO_TG|NON_ST|NON_TS|NONE_SZ|320x100_AD|CM1_IT|OO&amp;utm_content=CV|DOTZ-ZERO-ANUIDADE-HUMANIZADO_CS|320x100_CT|HTML5</v>
      </c>
      <c r="O122" s="113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</row>
    <row r="123">
      <c r="A123" s="114" t="s">
        <v>236</v>
      </c>
      <c r="B123" s="121" t="s">
        <v>247</v>
      </c>
      <c r="C123" s="114" t="s">
        <v>248</v>
      </c>
      <c r="D123" s="115">
        <v>44197.0</v>
      </c>
      <c r="E123" s="114" t="s">
        <v>249</v>
      </c>
      <c r="F123" s="116"/>
      <c r="G123" s="114" t="s">
        <v>130</v>
      </c>
      <c r="H123" s="114" t="s">
        <v>239</v>
      </c>
      <c r="I123" s="116" t="str">
        <f>'Placement (DCM)'!L116</f>
        <v>728x90</v>
      </c>
      <c r="J123" s="116" t="str">
        <f>'Placement (DCM)'!R116</f>
        <v>MK|BR_CH|PD_DT|CROSS_PB|VER_FM|BAN_RT|CPM_PD|DOTZ-ZERO-ANUIDADE-HUMANIZADO_TG|NON_ST|NON_TS|NONE_SZ|728x90_AD|CM1_IT|OO</v>
      </c>
      <c r="K123" s="116" t="str">
        <f>'Creative Name'!H116</f>
        <v>CV|DOTZ-ZERO-ANUIDADE-HUMANIZADO_CS|728x90_CT|HTML5</v>
      </c>
      <c r="L123" s="116" t="str">
        <f t="shared" si="1"/>
        <v>CV^DOTZ-ZERO-ANUIDADE-HUMANIZADO_CS^728x90_CT^HTML5</v>
      </c>
      <c r="M123" s="119" t="s">
        <v>243</v>
      </c>
      <c r="N123" s="118" t="str">
        <f t="shared" si="2"/>
        <v>https://cartaodotz.dotz.com.br/dotz-bb?utm_source=VERIZON&amp;utm_medium=ADS&amp;utm_campaign=MK|BR_CH|PD_DT|CROSS_PB|VER_FM|BAN_RT|CPM_PD|DOTZ-ZERO-ANUIDADE-HUMANIZADO_TG|NON_ST|NON_TS|NONE_SZ|728x90_AD|CM1_IT|OO&amp;utm_content=CV|DOTZ-ZERO-ANUIDADE-HUMANIZADO_CS|728x90_CT|HTML5</v>
      </c>
      <c r="O123" s="113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</row>
    <row r="124">
      <c r="A124" s="114" t="s">
        <v>236</v>
      </c>
      <c r="B124" s="121" t="s">
        <v>247</v>
      </c>
      <c r="C124" s="114" t="s">
        <v>248</v>
      </c>
      <c r="D124" s="115">
        <v>44197.0</v>
      </c>
      <c r="E124" s="114" t="s">
        <v>249</v>
      </c>
      <c r="F124" s="116"/>
      <c r="G124" s="114" t="s">
        <v>130</v>
      </c>
      <c r="H124" s="114" t="s">
        <v>239</v>
      </c>
      <c r="I124" s="116" t="str">
        <f>'Placement (DCM)'!L117</f>
        <v>120x600</v>
      </c>
      <c r="J124" s="116" t="str">
        <f>'Placement (DCM)'!R117</f>
        <v>MK|BR_CH|PD_DT|CROSS_PB|VER_FM|BAN_RT|CPM_PD|DOTZ-ZERO-CONVERSAO-AZUL_TG|NON_ST|NON_TS|NONE_SZ|120x600_AD|CM1_IT|OO</v>
      </c>
      <c r="K124" s="116" t="str">
        <f>'Creative Name'!H117</f>
        <v>CV|DOTZ-ZERO-CONVERSAO-AZUL_CS|120x600_CT|HTML5</v>
      </c>
      <c r="L124" s="116" t="str">
        <f t="shared" si="1"/>
        <v>CV^DOTZ-ZERO-CONVERSAO-AZUL_CS^120x600_CT^HTML5</v>
      </c>
      <c r="M124" s="119" t="s">
        <v>243</v>
      </c>
      <c r="N124" s="118" t="str">
        <f t="shared" si="2"/>
        <v>https://cartaodotz.dotz.com.br/dotz-bb?utm_source=VERIZON&amp;utm_medium=ADS&amp;utm_campaign=MK|BR_CH|PD_DT|CROSS_PB|VER_FM|BAN_RT|CPM_PD|DOTZ-ZERO-CONVERSAO-AZUL_TG|NON_ST|NON_TS|NONE_SZ|120x600_AD|CM1_IT|OO&amp;utm_content=CV|DOTZ-ZERO-CONVERSAO-AZUL_CS|120x600_CT|HTML5</v>
      </c>
      <c r="O124" s="113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</row>
    <row r="125">
      <c r="A125" s="114" t="s">
        <v>236</v>
      </c>
      <c r="B125" s="121" t="s">
        <v>247</v>
      </c>
      <c r="C125" s="114" t="s">
        <v>248</v>
      </c>
      <c r="D125" s="115">
        <v>44197.0</v>
      </c>
      <c r="E125" s="114" t="s">
        <v>249</v>
      </c>
      <c r="F125" s="116"/>
      <c r="G125" s="114" t="s">
        <v>130</v>
      </c>
      <c r="H125" s="114" t="s">
        <v>239</v>
      </c>
      <c r="I125" s="116" t="str">
        <f>'Placement (DCM)'!L118</f>
        <v>160x600</v>
      </c>
      <c r="J125" s="116" t="str">
        <f>'Placement (DCM)'!R118</f>
        <v>MK|BR_CH|PD_DT|CROSS_PB|VER_FM|BAN_RT|CPM_PD|DOTZ-ZERO-CONVERSAO-AZUL_TG|NON_ST|NON_TS|NONE_SZ|160x600_AD|CM1_IT|OO</v>
      </c>
      <c r="K125" s="116" t="str">
        <f>'Creative Name'!H118</f>
        <v>CV|DOTZ-ZERO-CONVERSAO-AZUL_CS|160x600_CT|HTML5</v>
      </c>
      <c r="L125" s="116" t="str">
        <f t="shared" si="1"/>
        <v>CV^DOTZ-ZERO-CONVERSAO-AZUL_CS^160x600_CT^HTML5</v>
      </c>
      <c r="M125" s="119" t="s">
        <v>243</v>
      </c>
      <c r="N125" s="118" t="str">
        <f t="shared" si="2"/>
        <v>https://cartaodotz.dotz.com.br/dotz-bb?utm_source=VERIZON&amp;utm_medium=ADS&amp;utm_campaign=MK|BR_CH|PD_DT|CROSS_PB|VER_FM|BAN_RT|CPM_PD|DOTZ-ZERO-CONVERSAO-AZUL_TG|NON_ST|NON_TS|NONE_SZ|160x600_AD|CM1_IT|OO&amp;utm_content=CV|DOTZ-ZERO-CONVERSAO-AZUL_CS|160x600_CT|HTML5</v>
      </c>
      <c r="O125" s="113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>
      <c r="A126" s="114" t="s">
        <v>236</v>
      </c>
      <c r="B126" s="121" t="s">
        <v>247</v>
      </c>
      <c r="C126" s="114" t="s">
        <v>248</v>
      </c>
      <c r="D126" s="115">
        <v>44197.0</v>
      </c>
      <c r="E126" s="114" t="s">
        <v>249</v>
      </c>
      <c r="F126" s="116"/>
      <c r="G126" s="114" t="s">
        <v>130</v>
      </c>
      <c r="H126" s="114" t="s">
        <v>239</v>
      </c>
      <c r="I126" s="116" t="str">
        <f>'Placement (DCM)'!L119</f>
        <v>300x250</v>
      </c>
      <c r="J126" s="116" t="str">
        <f>'Placement (DCM)'!R119</f>
        <v>MK|BR_CH|PD_DT|CROSS_PB|VER_FM|BAN_RT|CPM_PD|DOTZ-ZERO-CONVERSAO-AZUL_TG|NON_ST|NON_TS|NONE_SZ|300x250_AD|CM1_IT|OO</v>
      </c>
      <c r="K126" s="116" t="str">
        <f>'Creative Name'!H119</f>
        <v>CV|DOTZ-ZERO-CONVERSAO-AZUL_CS|300x250_CT|HTML5</v>
      </c>
      <c r="L126" s="116" t="str">
        <f t="shared" si="1"/>
        <v>CV^DOTZ-ZERO-CONVERSAO-AZUL_CS^300x250_CT^HTML5</v>
      </c>
      <c r="M126" s="119" t="s">
        <v>243</v>
      </c>
      <c r="N126" s="118" t="str">
        <f t="shared" si="2"/>
        <v>https://cartaodotz.dotz.com.br/dotz-bb?utm_source=VERIZON&amp;utm_medium=ADS&amp;utm_campaign=MK|BR_CH|PD_DT|CROSS_PB|VER_FM|BAN_RT|CPM_PD|DOTZ-ZERO-CONVERSAO-AZUL_TG|NON_ST|NON_TS|NONE_SZ|300x250_AD|CM1_IT|OO&amp;utm_content=CV|DOTZ-ZERO-CONVERSAO-AZUL_CS|300x250_CT|HTML5</v>
      </c>
      <c r="O126" s="113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</row>
    <row r="127">
      <c r="A127" s="114" t="s">
        <v>236</v>
      </c>
      <c r="B127" s="121" t="s">
        <v>247</v>
      </c>
      <c r="C127" s="114" t="s">
        <v>248</v>
      </c>
      <c r="D127" s="115">
        <v>44197.0</v>
      </c>
      <c r="E127" s="114" t="s">
        <v>249</v>
      </c>
      <c r="F127" s="116"/>
      <c r="G127" s="114" t="s">
        <v>130</v>
      </c>
      <c r="H127" s="114" t="s">
        <v>239</v>
      </c>
      <c r="I127" s="116" t="str">
        <f>'Placement (DCM)'!L120</f>
        <v>300x600</v>
      </c>
      <c r="J127" s="116" t="str">
        <f>'Placement (DCM)'!R120</f>
        <v>MK|BR_CH|PD_DT|CROSS_PB|VER_FM|BAN_RT|CPM_PD|DOTZ-ZERO-CONVERSAO-AZUL_TG|NON_ST|NON_TS|NONE_SZ|300x600_AD|CM1_IT|OO</v>
      </c>
      <c r="K127" s="116" t="str">
        <f>'Creative Name'!H120</f>
        <v>CV|DOTZ-ZERO-CONVERSAO-AZUL_CS|300x600_CT|HTML5</v>
      </c>
      <c r="L127" s="116" t="str">
        <f t="shared" si="1"/>
        <v>CV^DOTZ-ZERO-CONVERSAO-AZUL_CS^300x600_CT^HTML5</v>
      </c>
      <c r="M127" s="119" t="s">
        <v>243</v>
      </c>
      <c r="N127" s="118" t="str">
        <f t="shared" si="2"/>
        <v>https://cartaodotz.dotz.com.br/dotz-bb?utm_source=VERIZON&amp;utm_medium=ADS&amp;utm_campaign=MK|BR_CH|PD_DT|CROSS_PB|VER_FM|BAN_RT|CPM_PD|DOTZ-ZERO-CONVERSAO-AZUL_TG|NON_ST|NON_TS|NONE_SZ|300x600_AD|CM1_IT|OO&amp;utm_content=CV|DOTZ-ZERO-CONVERSAO-AZUL_CS|300x600_CT|HTML5</v>
      </c>
      <c r="O127" s="113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>
      <c r="A128" s="114" t="s">
        <v>236</v>
      </c>
      <c r="B128" s="121" t="s">
        <v>247</v>
      </c>
      <c r="C128" s="114" t="s">
        <v>248</v>
      </c>
      <c r="D128" s="115">
        <v>44197.0</v>
      </c>
      <c r="E128" s="114" t="s">
        <v>249</v>
      </c>
      <c r="F128" s="116"/>
      <c r="G128" s="114" t="s">
        <v>130</v>
      </c>
      <c r="H128" s="114" t="s">
        <v>239</v>
      </c>
      <c r="I128" s="116" t="str">
        <f>'Placement (DCM)'!L121</f>
        <v>320x50</v>
      </c>
      <c r="J128" s="116" t="str">
        <f>'Placement (DCM)'!R121</f>
        <v>MK|BR_CH|PMD_DT|CROSS_PB|VER_FM|BAN_RT|CPM_PD|DOTZ-ZERO-CONVERSAO-AZUL_TG|NON_ST|NON_TS|NONE_SZ|320x50_AD|CM1_IT|OO</v>
      </c>
      <c r="K128" s="116" t="str">
        <f>'Creative Name'!H121</f>
        <v>CV|DOTZ-ZERO-CONVERSAO-AZUL_CS|320x50_CT|HTML5</v>
      </c>
      <c r="L128" s="116" t="str">
        <f t="shared" si="1"/>
        <v>CV^DOTZ-ZERO-CONVERSAO-AZUL_CS^320x50_CT^HTML5</v>
      </c>
      <c r="M128" s="119" t="s">
        <v>243</v>
      </c>
      <c r="N128" s="118" t="str">
        <f t="shared" si="2"/>
        <v>https://cartaodotz.dotz.com.br/dotz-bb?utm_source=VERIZON&amp;utm_medium=ADS&amp;utm_campaign=MK|BR_CH|PMD_DT|CROSS_PB|VER_FM|BAN_RT|CPM_PD|DOTZ-ZERO-CONVERSAO-AZUL_TG|NON_ST|NON_TS|NONE_SZ|320x50_AD|CM1_IT|OO&amp;utm_content=CV|DOTZ-ZERO-CONVERSAO-AZUL_CS|320x50_CT|HTML5</v>
      </c>
      <c r="O128" s="113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>
      <c r="A129" s="114" t="s">
        <v>236</v>
      </c>
      <c r="B129" s="121" t="s">
        <v>247</v>
      </c>
      <c r="C129" s="114" t="s">
        <v>248</v>
      </c>
      <c r="D129" s="115">
        <v>44197.0</v>
      </c>
      <c r="E129" s="114" t="s">
        <v>249</v>
      </c>
      <c r="F129" s="116"/>
      <c r="G129" s="114" t="s">
        <v>130</v>
      </c>
      <c r="H129" s="114" t="s">
        <v>239</v>
      </c>
      <c r="I129" s="116" t="str">
        <f>'Placement (DCM)'!L122</f>
        <v>320x100</v>
      </c>
      <c r="J129" s="116" t="str">
        <f>'Placement (DCM)'!R122</f>
        <v>MK|BR_CH|PMD_DT|CROSS_PB|VER_FM|BAN_RT|CPM_PD|DOTZ-ZERO-CONVERSAO-AZUL_TG|NON_ST|NON_TS|NONE_SZ|320x100_AD|CM1_IT|OO</v>
      </c>
      <c r="K129" s="116" t="str">
        <f>'Creative Name'!H122</f>
        <v>CV|DOTZ-ZERO-CONVERSAO-AZUL_CS|320x100_CT|HTML5</v>
      </c>
      <c r="L129" s="116" t="str">
        <f t="shared" si="1"/>
        <v>CV^DOTZ-ZERO-CONVERSAO-AZUL_CS^320x100_CT^HTML5</v>
      </c>
      <c r="M129" s="119" t="s">
        <v>243</v>
      </c>
      <c r="N129" s="118" t="str">
        <f t="shared" si="2"/>
        <v>https://cartaodotz.dotz.com.br/dotz-bb?utm_source=VERIZON&amp;utm_medium=ADS&amp;utm_campaign=MK|BR_CH|PMD_DT|CROSS_PB|VER_FM|BAN_RT|CPM_PD|DOTZ-ZERO-CONVERSAO-AZUL_TG|NON_ST|NON_TS|NONE_SZ|320x100_AD|CM1_IT|OO&amp;utm_content=CV|DOTZ-ZERO-CONVERSAO-AZUL_CS|320x100_CT|HTML5</v>
      </c>
      <c r="O129" s="113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</row>
    <row r="130">
      <c r="A130" s="114" t="s">
        <v>236</v>
      </c>
      <c r="B130" s="121" t="s">
        <v>247</v>
      </c>
      <c r="C130" s="114" t="s">
        <v>248</v>
      </c>
      <c r="D130" s="115">
        <v>44197.0</v>
      </c>
      <c r="E130" s="114" t="s">
        <v>249</v>
      </c>
      <c r="F130" s="116"/>
      <c r="G130" s="114" t="s">
        <v>130</v>
      </c>
      <c r="H130" s="114" t="s">
        <v>239</v>
      </c>
      <c r="I130" s="116" t="str">
        <f>'Placement (DCM)'!L123</f>
        <v>728x90</v>
      </c>
      <c r="J130" s="116" t="str">
        <f>'Placement (DCM)'!R123</f>
        <v>MK|BR_CH|PD_DT|CROSS_PB|VER_FM|BAN_RT|CPM_PD|DOTZ-ZERO-CONVERSAO-AZUL_TG|NON_ST|NON_TS|NONE_SZ|728x90_AD|CM1_IT|OO</v>
      </c>
      <c r="K130" s="116" t="str">
        <f>'Creative Name'!H123</f>
        <v>CV|DOTZ-ZERO-CONVERSAO-AZUL_CS|728x90_CT|HTML5</v>
      </c>
      <c r="L130" s="116" t="str">
        <f t="shared" si="1"/>
        <v>CV^DOTZ-ZERO-CONVERSAO-AZUL_CS^728x90_CT^HTML5</v>
      </c>
      <c r="M130" s="119" t="s">
        <v>243</v>
      </c>
      <c r="N130" s="118" t="str">
        <f t="shared" si="2"/>
        <v>https://cartaodotz.dotz.com.br/dotz-bb?utm_source=VERIZON&amp;utm_medium=ADS&amp;utm_campaign=MK|BR_CH|PD_DT|CROSS_PB|VER_FM|BAN_RT|CPM_PD|DOTZ-ZERO-CONVERSAO-AZUL_TG|NON_ST|NON_TS|NONE_SZ|728x90_AD|CM1_IT|OO&amp;utm_content=CV|DOTZ-ZERO-CONVERSAO-AZUL_CS|728x90_CT|HTML5</v>
      </c>
      <c r="O130" s="113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</row>
    <row r="131">
      <c r="A131" s="114" t="s">
        <v>236</v>
      </c>
      <c r="B131" s="121" t="s">
        <v>247</v>
      </c>
      <c r="C131" s="114" t="s">
        <v>248</v>
      </c>
      <c r="D131" s="115">
        <v>44197.0</v>
      </c>
      <c r="E131" s="114" t="s">
        <v>238</v>
      </c>
      <c r="F131" s="116"/>
      <c r="G131" s="114" t="s">
        <v>130</v>
      </c>
      <c r="H131" s="114" t="s">
        <v>250</v>
      </c>
      <c r="I131" s="114" t="s">
        <v>58</v>
      </c>
      <c r="J131" s="116" t="str">
        <f>'Placement (DCM)'!R124</f>
        <v>MK|BR_CH|PD_DT|CROSS_PB|VER_FM|NAT_RT|CPC_PD|DOTZ-ZERO-CONVERSAO-AZUL_TG|NON_ST|NON_TS|NONE_SZ|1200x627_AD|CM1_IT|OO</v>
      </c>
      <c r="K131" s="116" t="str">
        <f>'Creative Name'!H124</f>
        <v>CV|DOTZ-ZERO-CONVERSAO-AZUL_CS|1200x627_CT|NAT</v>
      </c>
      <c r="L131" s="116" t="str">
        <f t="shared" si="1"/>
        <v>CV^DOTZ-ZERO-CONVERSAO-AZUL_CS^1200x627_CT^NAT</v>
      </c>
      <c r="M131" s="119" t="s">
        <v>243</v>
      </c>
      <c r="N131" s="118" t="str">
        <f t="shared" si="2"/>
        <v>https://cartaodotz.dotz.com.br/dotz-bb?utm_source=VERIZON&amp;utm_medium=ADS&amp;utm_campaign=MK|BR_CH|PD_DT|CROSS_PB|VER_FM|NAT_RT|CPC_PD|DOTZ-ZERO-CONVERSAO-AZUL_TG|NON_ST|NON_TS|NONE_SZ|1200x627_AD|CM1_IT|OO&amp;utm_content=CV|DOTZ-ZERO-CONVERSAO-AZUL_CS|1200x627_CT|NAT</v>
      </c>
      <c r="O131" s="113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>
      <c r="A132" s="114" t="s">
        <v>236</v>
      </c>
      <c r="B132" s="121" t="s">
        <v>247</v>
      </c>
      <c r="C132" s="114" t="s">
        <v>248</v>
      </c>
      <c r="D132" s="115">
        <v>44197.0</v>
      </c>
      <c r="E132" s="114" t="s">
        <v>238</v>
      </c>
      <c r="F132" s="116"/>
      <c r="G132" s="114" t="s">
        <v>130</v>
      </c>
      <c r="H132" s="114" t="s">
        <v>250</v>
      </c>
      <c r="I132" s="114" t="s">
        <v>58</v>
      </c>
      <c r="J132" s="116" t="str">
        <f>'Placement (DCM)'!R125</f>
        <v>MK|BR_CH|PD_DT|CROSS_PB|VER_FM|NAT_RT|CPC_PD|DOTZ-ZERO-CONVERSAO-AZUL_TG|NON_ST|NON_TS|NONE_SZ|627x627_AD|CM1_IT|OO</v>
      </c>
      <c r="K132" s="116" t="str">
        <f>'Creative Name'!H125</f>
        <v>CV|DOTZ-ZERO-CONVERSAO-AZUL_CS|627x627_CT|NAT</v>
      </c>
      <c r="L132" s="116" t="str">
        <f t="shared" si="1"/>
        <v>CV^DOTZ-ZERO-CONVERSAO-AZUL_CS^627x627_CT^NAT</v>
      </c>
      <c r="M132" s="119" t="s">
        <v>243</v>
      </c>
      <c r="N132" s="118" t="str">
        <f t="shared" si="2"/>
        <v>https://cartaodotz.dotz.com.br/dotz-bb?utm_source=VERIZON&amp;utm_medium=ADS&amp;utm_campaign=MK|BR_CH|PD_DT|CROSS_PB|VER_FM|NAT_RT|CPC_PD|DOTZ-ZERO-CONVERSAO-AZUL_TG|NON_ST|NON_TS|NONE_SZ|627x627_AD|CM1_IT|OO&amp;utm_content=CV|DOTZ-ZERO-CONVERSAO-AZUL_CS|627x627_CT|NAT</v>
      </c>
      <c r="O132" s="113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</row>
    <row r="133">
      <c r="A133" s="114" t="s">
        <v>236</v>
      </c>
      <c r="B133" s="121" t="s">
        <v>247</v>
      </c>
      <c r="C133" s="114" t="s">
        <v>248</v>
      </c>
      <c r="D133" s="115">
        <v>44197.0</v>
      </c>
      <c r="E133" s="114" t="s">
        <v>238</v>
      </c>
      <c r="F133" s="116"/>
      <c r="G133" s="114" t="s">
        <v>130</v>
      </c>
      <c r="H133" s="114" t="s">
        <v>250</v>
      </c>
      <c r="I133" s="114" t="s">
        <v>58</v>
      </c>
      <c r="J133" s="116" t="str">
        <f>'Placement (DCM)'!R126</f>
        <v>MK|BR_CH|PD_DT|CROSS_PB|VER_FM|NAT_RT|CPC_PD|DOTZ-ZERO-ANUIDADE-HUMANIZADO_TG|NON_ST|NON_TS|NONE_SZ|1200x627_AD|CM1_IT|OO</v>
      </c>
      <c r="K133" s="116" t="str">
        <f>'Creative Name'!H126</f>
        <v>CV|DOTZ-ZERO-ANUIDADE-HUMANIZADO_CS|1200x627_CT|NAT</v>
      </c>
      <c r="L133" s="116" t="str">
        <f t="shared" si="1"/>
        <v>CV^DOTZ-ZERO-ANUIDADE-HUMANIZADO_CS^1200x627_CT^NAT</v>
      </c>
      <c r="M133" s="119" t="s">
        <v>243</v>
      </c>
      <c r="N133" s="118" t="str">
        <f t="shared" si="2"/>
        <v>https://cartaodotz.dotz.com.br/dotz-bb?utm_source=VERIZON&amp;utm_medium=ADS&amp;utm_campaign=MK|BR_CH|PD_DT|CROSS_PB|VER_FM|NAT_RT|CPC_PD|DOTZ-ZERO-ANUIDADE-HUMANIZADO_TG|NON_ST|NON_TS|NONE_SZ|1200x627_AD|CM1_IT|OO&amp;utm_content=CV|DOTZ-ZERO-ANUIDADE-HUMANIZADO_CS|1200x627_CT|NAT</v>
      </c>
      <c r="O133" s="113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</row>
    <row r="134">
      <c r="A134" s="114" t="s">
        <v>236</v>
      </c>
      <c r="B134" s="121" t="s">
        <v>247</v>
      </c>
      <c r="C134" s="114" t="s">
        <v>248</v>
      </c>
      <c r="D134" s="115">
        <v>44197.0</v>
      </c>
      <c r="E134" s="114" t="s">
        <v>238</v>
      </c>
      <c r="F134" s="116"/>
      <c r="G134" s="114" t="s">
        <v>130</v>
      </c>
      <c r="H134" s="114" t="s">
        <v>250</v>
      </c>
      <c r="I134" s="114" t="s">
        <v>58</v>
      </c>
      <c r="J134" s="116" t="str">
        <f>'Placement (DCM)'!R127</f>
        <v>MK|BR_CH|PD_DT|CROSS_PB|VER_FM|NAT_RT|CPC_PD|DOTZ-ZERO-ANUIDADE-HUMANIZADO_TG|NON_ST|NON_TS|NONE_SZ|627x627_AD|CM1_IT|OO</v>
      </c>
      <c r="K134" s="116" t="str">
        <f>'Creative Name'!H127</f>
        <v>CV|DOTZ-ZERO-ANUIDADE-HUMANIZADO_CS|627x627_CT|NAT</v>
      </c>
      <c r="L134" s="116" t="str">
        <f t="shared" si="1"/>
        <v>CV^DOTZ-ZERO-ANUIDADE-HUMANIZADO_CS^627x627_CT^NAT</v>
      </c>
      <c r="M134" s="119" t="s">
        <v>243</v>
      </c>
      <c r="N134" s="118" t="str">
        <f t="shared" si="2"/>
        <v>https://cartaodotz.dotz.com.br/dotz-bb?utm_source=VERIZON&amp;utm_medium=ADS&amp;utm_campaign=MK|BR_CH|PD_DT|CROSS_PB|VER_FM|NAT_RT|CPC_PD|DOTZ-ZERO-ANUIDADE-HUMANIZADO_TG|NON_ST|NON_TS|NONE_SZ|627x627_AD|CM1_IT|OO&amp;utm_content=CV|DOTZ-ZERO-ANUIDADE-HUMANIZADO_CS|627x627_CT|NAT</v>
      </c>
      <c r="O134" s="113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>
      <c r="A135" s="114" t="s">
        <v>236</v>
      </c>
      <c r="B135" s="121" t="s">
        <v>247</v>
      </c>
      <c r="C135" s="114" t="s">
        <v>248</v>
      </c>
      <c r="D135" s="115">
        <v>44197.0</v>
      </c>
      <c r="E135" s="114" t="s">
        <v>238</v>
      </c>
      <c r="F135" s="116"/>
      <c r="G135" s="114" t="s">
        <v>130</v>
      </c>
      <c r="H135" s="114" t="s">
        <v>250</v>
      </c>
      <c r="I135" s="114" t="s">
        <v>58</v>
      </c>
      <c r="J135" s="116" t="str">
        <f>'Placement (DCM)'!R128</f>
        <v>MK|BR_CH|PD_DT|CROSS_PB|VER_FM|NAT_RT|CPC_PD|DOTZ-10MIL-HUMANIZADO_TG|NON_ST|NON_TS|NONE_SZ|1200x627_AD|CM1_IT|OO</v>
      </c>
      <c r="K135" s="116" t="str">
        <f>'Creative Name'!H128</f>
        <v>CV|DOTZ-10MIL-HUMANIZADO_CS|1200x627_CT|NAT</v>
      </c>
      <c r="L135" s="116" t="str">
        <f t="shared" si="1"/>
        <v>CV^DOTZ-10MIL-HUMANIZADO_CS^1200x627_CT^NAT</v>
      </c>
      <c r="M135" s="119" t="s">
        <v>243</v>
      </c>
      <c r="N135" s="118" t="str">
        <f t="shared" si="2"/>
        <v>https://cartaodotz.dotz.com.br/dotz-bb?utm_source=VERIZON&amp;utm_medium=ADS&amp;utm_campaign=MK|BR_CH|PD_DT|CROSS_PB|VER_FM|NAT_RT|CPC_PD|DOTZ-10MIL-HUMANIZADO_TG|NON_ST|NON_TS|NONE_SZ|1200x627_AD|CM1_IT|OO&amp;utm_content=CV|DOTZ-10MIL-HUMANIZADO_CS|1200x627_CT|NAT</v>
      </c>
      <c r="O135" s="113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>
      <c r="A136" s="114" t="s">
        <v>236</v>
      </c>
      <c r="B136" s="121" t="s">
        <v>247</v>
      </c>
      <c r="C136" s="114" t="s">
        <v>248</v>
      </c>
      <c r="D136" s="115">
        <v>44197.0</v>
      </c>
      <c r="E136" s="114" t="s">
        <v>238</v>
      </c>
      <c r="F136" s="116"/>
      <c r="G136" s="114" t="s">
        <v>130</v>
      </c>
      <c r="H136" s="114" t="s">
        <v>250</v>
      </c>
      <c r="I136" s="114" t="s">
        <v>58</v>
      </c>
      <c r="J136" s="116" t="str">
        <f>'Placement (DCM)'!R129</f>
        <v>MK|BR_CH|PD_DT|CROSS_PB|VER_FM|NAT_RT|CPC_PD|DOTZ-10MIL-HUMANIZADO_TG|NON_ST|NON_TS|NONE_SZ|627x627_AD|CM1_IT|OO</v>
      </c>
      <c r="K136" s="116" t="str">
        <f>'Creative Name'!H129</f>
        <v>CV|DOTZ-10MIL-HUMANIZADO_CS|627x627_CT|NAT</v>
      </c>
      <c r="L136" s="116" t="str">
        <f t="shared" si="1"/>
        <v>CV^DOTZ-10MIL-HUMANIZADO_CS^627x627_CT^NAT</v>
      </c>
      <c r="M136" s="119" t="s">
        <v>243</v>
      </c>
      <c r="N136" s="118" t="str">
        <f t="shared" si="2"/>
        <v>https://cartaodotz.dotz.com.br/dotz-bb?utm_source=VERIZON&amp;utm_medium=ADS&amp;utm_campaign=MK|BR_CH|PD_DT|CROSS_PB|VER_FM|NAT_RT|CPC_PD|DOTZ-10MIL-HUMANIZADO_TG|NON_ST|NON_TS|NONE_SZ|627x627_AD|CM1_IT|OO&amp;utm_content=CV|DOTZ-10MIL-HUMANIZADO_CS|627x627_CT|NAT</v>
      </c>
      <c r="O136" s="113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>
      <c r="A137" s="114" t="s">
        <v>236</v>
      </c>
      <c r="B137" s="114" t="s">
        <v>251</v>
      </c>
      <c r="C137" s="115">
        <v>43867.0</v>
      </c>
      <c r="D137" s="115">
        <v>44197.0</v>
      </c>
      <c r="E137" s="114" t="s">
        <v>238</v>
      </c>
      <c r="F137" s="116"/>
      <c r="G137" s="114" t="s">
        <v>242</v>
      </c>
      <c r="H137" s="114" t="s">
        <v>239</v>
      </c>
      <c r="I137" s="114" t="s">
        <v>58</v>
      </c>
      <c r="J137" s="116" t="str">
        <f>'Placement (DCM)'!R130</f>
        <v>MK|BR_CH|PSD_DT|CROSS_PB|FCBK_FM|LNK_RT|CPM_PD|DOTZ-DOLAR_TG|NON_ST|NON_TS|NONE_SZ|1X1_AD|CM1_IT|SOC</v>
      </c>
      <c r="K137" s="116" t="str">
        <f>'Creative Name'!H130</f>
        <v>CV|DOTZ-DOLAR_CS|1x1_CT|FLA</v>
      </c>
      <c r="L137" s="116" t="str">
        <f t="shared" si="1"/>
        <v>CV^DOTZ-DOLAR_CS^1x1_CT^FLA</v>
      </c>
      <c r="M137" s="119" t="s">
        <v>243</v>
      </c>
      <c r="N137" s="118" t="str">
        <f t="shared" si="2"/>
        <v>https://cartaodotz.dotz.com.br/dotz-bb?utm_source=FACEBOOK&amp;utm_medium=ADS&amp;utm_campaign=MK|BR_CH|PSD_DT|CROSS_PB|FCBK_FM|LNK_RT|CPM_PD|DOTZ-DOLAR_TG|NON_ST|NON_TS|NONE_SZ|1X1_AD|CM1_IT|SOC&amp;utm_content=CV|DOTZ-DOLAR_CS|1x1_CT|FLA</v>
      </c>
      <c r="O137" s="113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</row>
    <row r="138">
      <c r="A138" s="114" t="s">
        <v>236</v>
      </c>
      <c r="B138" s="114" t="s">
        <v>251</v>
      </c>
      <c r="C138" s="115">
        <v>43867.0</v>
      </c>
      <c r="D138" s="115">
        <v>44197.0</v>
      </c>
      <c r="E138" s="114" t="s">
        <v>238</v>
      </c>
      <c r="F138" s="116"/>
      <c r="G138" s="114" t="s">
        <v>242</v>
      </c>
      <c r="H138" s="114" t="s">
        <v>239</v>
      </c>
      <c r="I138" s="114" t="s">
        <v>58</v>
      </c>
      <c r="J138" s="116" t="str">
        <f>'Placement (DCM)'!R131</f>
        <v>MK|BR_CH|PSD_DT|CROSS_PB|FCBK_FM|STRY_RT|CPM_PD|DOTZ-DOLAR_TG|NON_ST|NON_TS|NONE_SZ|1X1_AD|CM1_IT|SOC</v>
      </c>
      <c r="K138" s="116" t="str">
        <f>'Creative Name'!H131</f>
        <v>CV|DOTZ-DOLAR_CS|1x1_CT|INSSTORY</v>
      </c>
      <c r="L138" s="116" t="str">
        <f t="shared" si="1"/>
        <v>CV^DOTZ-DOLAR_CS^1x1_CT^INSSTORY</v>
      </c>
      <c r="M138" s="119" t="s">
        <v>243</v>
      </c>
      <c r="N138" s="118" t="str">
        <f t="shared" si="2"/>
        <v>https://cartaodotz.dotz.com.br/dotz-bb?utm_source=FACEBOOK&amp;utm_medium=ADS&amp;utm_campaign=MK|BR_CH|PSD_DT|CROSS_PB|FCBK_FM|STRY_RT|CPM_PD|DOTZ-DOLAR_TG|NON_ST|NON_TS|NONE_SZ|1X1_AD|CM1_IT|SOC&amp;utm_content=CV|DOTZ-DOLAR_CS|1x1_CT|INSSTORY</v>
      </c>
      <c r="O138" s="113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>
      <c r="A139" s="114"/>
      <c r="B139" s="116"/>
      <c r="C139" s="116"/>
      <c r="D139" s="115"/>
      <c r="E139" s="116"/>
      <c r="F139" s="116"/>
      <c r="G139" s="116"/>
      <c r="H139" s="116"/>
      <c r="I139" s="116"/>
      <c r="J139" s="116" t="str">
        <f>'Placement (DCM)'!R132</f>
        <v/>
      </c>
      <c r="K139" s="116" t="str">
        <f>'Creative Name'!H132</f>
        <v/>
      </c>
      <c r="L139" s="116"/>
      <c r="M139" s="116"/>
      <c r="N139" s="116"/>
      <c r="O139" s="113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</row>
    <row r="140">
      <c r="A140" s="114"/>
      <c r="B140" s="116"/>
      <c r="C140" s="116"/>
      <c r="D140" s="115"/>
      <c r="E140" s="116"/>
      <c r="F140" s="116"/>
      <c r="G140" s="116"/>
      <c r="H140" s="116"/>
      <c r="I140" s="116"/>
      <c r="J140" s="116" t="str">
        <f>'Placement (DCM)'!R133</f>
        <v/>
      </c>
      <c r="K140" s="116" t="str">
        <f>'Creative Name'!H133</f>
        <v/>
      </c>
      <c r="L140" s="116"/>
      <c r="M140" s="116"/>
      <c r="N140" s="116"/>
      <c r="O140" s="113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</row>
    <row r="141">
      <c r="A141" s="114"/>
      <c r="B141" s="116"/>
      <c r="C141" s="116"/>
      <c r="D141" s="115"/>
      <c r="E141" s="116"/>
      <c r="F141" s="116"/>
      <c r="G141" s="116"/>
      <c r="H141" s="116"/>
      <c r="I141" s="116"/>
      <c r="J141" s="116" t="str">
        <f>'Placement (DCM)'!R134</f>
        <v/>
      </c>
      <c r="K141" s="116" t="str">
        <f>'Creative Name'!H134</f>
        <v/>
      </c>
      <c r="L141" s="116"/>
      <c r="M141" s="116"/>
      <c r="N141" s="116"/>
      <c r="O141" s="113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>
      <c r="A142" s="114"/>
      <c r="B142" s="116"/>
      <c r="C142" s="116"/>
      <c r="D142" s="115"/>
      <c r="E142" s="116"/>
      <c r="F142" s="116"/>
      <c r="G142" s="116"/>
      <c r="H142" s="116"/>
      <c r="I142" s="116"/>
      <c r="J142" s="116" t="str">
        <f>'Placement (DCM)'!R135</f>
        <v/>
      </c>
      <c r="K142" s="116" t="str">
        <f>'Creative Name'!H135</f>
        <v/>
      </c>
      <c r="L142" s="116"/>
      <c r="M142" s="116"/>
      <c r="N142" s="116"/>
      <c r="O142" s="113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>
      <c r="A143" s="114"/>
      <c r="B143" s="116"/>
      <c r="C143" s="116"/>
      <c r="D143" s="115"/>
      <c r="E143" s="116"/>
      <c r="F143" s="116"/>
      <c r="G143" s="116"/>
      <c r="H143" s="116"/>
      <c r="I143" s="116"/>
      <c r="J143" s="116" t="str">
        <f>'Placement (DCM)'!R136</f>
        <v/>
      </c>
      <c r="K143" s="116" t="str">
        <f>'Creative Name'!H136</f>
        <v/>
      </c>
      <c r="L143" s="116"/>
      <c r="M143" s="116"/>
      <c r="N143" s="114"/>
      <c r="O143" s="113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>
      <c r="A144" s="114"/>
      <c r="B144" s="116"/>
      <c r="C144" s="116"/>
      <c r="D144" s="116"/>
      <c r="E144" s="116"/>
      <c r="F144" s="116"/>
      <c r="G144" s="116"/>
      <c r="H144" s="116"/>
      <c r="I144" s="116"/>
      <c r="J144" s="116" t="str">
        <f>'Placement (DCM)'!R137</f>
        <v/>
      </c>
      <c r="K144" s="116" t="str">
        <f>'Creative Name'!H137</f>
        <v/>
      </c>
      <c r="L144" s="116"/>
      <c r="M144" s="116"/>
      <c r="N144" s="116"/>
      <c r="O144" s="113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</row>
    <row r="145">
      <c r="A145" s="114"/>
      <c r="B145" s="116"/>
      <c r="C145" s="116"/>
      <c r="D145" s="116"/>
      <c r="E145" s="116"/>
      <c r="F145" s="116"/>
      <c r="G145" s="116"/>
      <c r="H145" s="116"/>
      <c r="I145" s="116"/>
      <c r="J145" s="116" t="str">
        <f>'Placement (DCM)'!R138</f>
        <v/>
      </c>
      <c r="K145" s="116" t="str">
        <f>'Creative Name'!H138</f>
        <v/>
      </c>
      <c r="L145" s="116"/>
      <c r="M145" s="116"/>
      <c r="N145" s="116"/>
      <c r="O145" s="113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</row>
    <row r="146">
      <c r="A146" s="114"/>
      <c r="B146" s="116"/>
      <c r="C146" s="116"/>
      <c r="D146" s="116"/>
      <c r="E146" s="116"/>
      <c r="F146" s="116"/>
      <c r="G146" s="116"/>
      <c r="H146" s="116"/>
      <c r="I146" s="116"/>
      <c r="J146" s="116" t="str">
        <f>'Placement (DCM)'!R139</f>
        <v/>
      </c>
      <c r="K146" s="116" t="str">
        <f>'Creative Name'!H139</f>
        <v/>
      </c>
      <c r="L146" s="116"/>
      <c r="M146" s="116"/>
      <c r="N146" s="116"/>
      <c r="O146" s="113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</row>
    <row r="147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 t="str">
        <f>'Placement (DCM)'!R140</f>
        <v/>
      </c>
      <c r="K147" s="116" t="str">
        <f>'Creative Name'!H140</f>
        <v/>
      </c>
      <c r="L147" s="116"/>
      <c r="M147" s="116"/>
      <c r="N147" s="116"/>
      <c r="O147" s="113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</row>
    <row r="148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 t="str">
        <f>'Placement (DCM)'!R141</f>
        <v/>
      </c>
      <c r="K148" s="116" t="str">
        <f>'Creative Name'!H141</f>
        <v/>
      </c>
      <c r="L148" s="116"/>
      <c r="M148" s="116"/>
      <c r="N148" s="116"/>
      <c r="O148" s="113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</row>
    <row r="149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 t="str">
        <f>'Placement (DCM)'!R142</f>
        <v/>
      </c>
      <c r="K149" s="116" t="str">
        <f>'Creative Name'!H142</f>
        <v/>
      </c>
      <c r="L149" s="116"/>
      <c r="M149" s="116"/>
      <c r="N149" s="116"/>
      <c r="O149" s="113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</row>
    <row r="150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 t="str">
        <f>'Placement (DCM)'!R143</f>
        <v/>
      </c>
      <c r="K150" s="116" t="str">
        <f>'Creative Name'!H143</f>
        <v/>
      </c>
      <c r="L150" s="116"/>
      <c r="M150" s="116"/>
      <c r="N150" s="116"/>
      <c r="O150" s="113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</row>
    <row r="15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 t="str">
        <f>'Placement (DCM)'!R144</f>
        <v/>
      </c>
      <c r="K151" s="116" t="str">
        <f>'Creative Name'!H144</f>
        <v/>
      </c>
      <c r="L151" s="116"/>
      <c r="M151" s="116"/>
      <c r="N151" s="116"/>
      <c r="O151" s="113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</row>
    <row r="152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 t="str">
        <f>'Placement (DCM)'!R145</f>
        <v/>
      </c>
      <c r="K152" s="116" t="str">
        <f>'Creative Name'!H145</f>
        <v/>
      </c>
      <c r="L152" s="116"/>
      <c r="M152" s="116"/>
      <c r="N152" s="116"/>
      <c r="O152" s="113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</row>
    <row r="153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 t="str">
        <f>'Placement (DCM)'!R146</f>
        <v/>
      </c>
      <c r="K153" s="116" t="str">
        <f>'Creative Name'!H146</f>
        <v/>
      </c>
      <c r="L153" s="116"/>
      <c r="M153" s="116"/>
      <c r="N153" s="116"/>
      <c r="O153" s="113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 t="str">
        <f>'Placement (DCM)'!R147</f>
        <v/>
      </c>
      <c r="K154" s="116" t="str">
        <f>'Creative Name'!H147</f>
        <v/>
      </c>
      <c r="L154" s="116"/>
      <c r="M154" s="116"/>
      <c r="N154" s="116"/>
      <c r="O154" s="113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</row>
    <row r="15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 t="str">
        <f>'Placement (DCM)'!R148</f>
        <v/>
      </c>
      <c r="K155" s="116" t="str">
        <f>'Creative Name'!H148</f>
        <v/>
      </c>
      <c r="L155" s="116"/>
      <c r="M155" s="116"/>
      <c r="N155" s="116"/>
      <c r="O155" s="113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 t="str">
        <f>'Placement (DCM)'!R149</f>
        <v/>
      </c>
      <c r="K156" s="116" t="str">
        <f>'Creative Name'!H149</f>
        <v/>
      </c>
      <c r="L156" s="116"/>
      <c r="M156" s="116"/>
      <c r="N156" s="116"/>
      <c r="O156" s="113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 t="str">
        <f>'Creative Name'!H150</f>
        <v/>
      </c>
      <c r="L157" s="116"/>
      <c r="M157" s="116"/>
      <c r="N157" s="116"/>
      <c r="O157" s="113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 t="str">
        <f>'Creative Name'!H151</f>
        <v/>
      </c>
      <c r="L158" s="116"/>
      <c r="M158" s="116"/>
      <c r="N158" s="116"/>
      <c r="O158" s="113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 t="str">
        <f>'Creative Name'!H152</f>
        <v/>
      </c>
      <c r="L159" s="116"/>
      <c r="M159" s="116"/>
      <c r="N159" s="116"/>
      <c r="O159" s="113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</row>
    <row r="160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 t="str">
        <f>'Creative Name'!H153</f>
        <v/>
      </c>
      <c r="L160" s="116"/>
      <c r="M160" s="116"/>
      <c r="N160" s="116"/>
      <c r="O160" s="113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</row>
    <row r="16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 t="str">
        <f>'Creative Name'!H154</f>
        <v/>
      </c>
      <c r="L161" s="116"/>
      <c r="M161" s="116"/>
      <c r="N161" s="116"/>
      <c r="O161" s="113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</row>
    <row r="162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 t="str">
        <f>'Creative Name'!H155</f>
        <v/>
      </c>
      <c r="L162" s="116"/>
      <c r="M162" s="116"/>
      <c r="N162" s="116"/>
      <c r="O162" s="113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</row>
    <row r="163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 t="str">
        <f>'Creative Name'!H156</f>
        <v/>
      </c>
      <c r="L163" s="116"/>
      <c r="M163" s="116"/>
      <c r="N163" s="116"/>
      <c r="O163" s="113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</row>
    <row r="164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 t="str">
        <f>'Creative Name'!H157</f>
        <v/>
      </c>
      <c r="L164" s="116"/>
      <c r="M164" s="116"/>
      <c r="N164" s="116"/>
      <c r="O164" s="113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</row>
    <row r="16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 t="str">
        <f>'Creative Name'!H158</f>
        <v/>
      </c>
      <c r="L165" s="116"/>
      <c r="M165" s="116"/>
      <c r="N165" s="116"/>
      <c r="O165" s="113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</row>
    <row r="166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 t="str">
        <f>'Creative Name'!H133</f>
        <v/>
      </c>
      <c r="L166" s="116"/>
      <c r="M166" s="116"/>
      <c r="N166" s="116"/>
      <c r="O166" s="113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</row>
    <row r="167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 t="str">
        <f>'Creative Name'!H134</f>
        <v/>
      </c>
      <c r="L167" s="116"/>
      <c r="M167" s="116"/>
      <c r="N167" s="116"/>
      <c r="O167" s="113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</row>
    <row r="168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 t="str">
        <f>'Creative Name'!H135</f>
        <v/>
      </c>
      <c r="L168" s="116"/>
      <c r="M168" s="116"/>
      <c r="N168" s="116"/>
      <c r="O168" s="113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</row>
    <row r="169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 t="str">
        <f>'Creative Name'!H136</f>
        <v/>
      </c>
      <c r="L169" s="116"/>
      <c r="M169" s="116"/>
      <c r="N169" s="116"/>
      <c r="O169" s="113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</row>
    <row r="170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 t="str">
        <f>'Creative Name'!H137</f>
        <v/>
      </c>
      <c r="L170" s="116"/>
      <c r="M170" s="116"/>
      <c r="N170" s="116"/>
      <c r="O170" s="113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</row>
    <row r="17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 t="str">
        <f>'Creative Name'!H138</f>
        <v/>
      </c>
      <c r="L171" s="116"/>
      <c r="M171" s="116"/>
      <c r="N171" s="116"/>
      <c r="O171" s="113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</row>
    <row r="172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 t="str">
        <f>'Creative Name'!H139</f>
        <v/>
      </c>
      <c r="L172" s="116"/>
      <c r="M172" s="116"/>
      <c r="N172" s="116"/>
      <c r="O172" s="113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</row>
    <row r="173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 t="str">
        <f>'Creative Name'!H140</f>
        <v/>
      </c>
      <c r="L173" s="116"/>
      <c r="M173" s="116"/>
      <c r="N173" s="116"/>
      <c r="O173" s="113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</row>
    <row r="174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 t="str">
        <f>'Creative Name'!H141</f>
        <v/>
      </c>
      <c r="L174" s="116"/>
      <c r="M174" s="116"/>
      <c r="N174" s="116"/>
      <c r="O174" s="113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 t="str">
        <f>'Creative Name'!H142</f>
        <v/>
      </c>
      <c r="L175" s="116"/>
      <c r="M175" s="116"/>
      <c r="N175" s="116"/>
      <c r="O175" s="113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 t="str">
        <f>'Creative Name'!H143</f>
        <v/>
      </c>
      <c r="L176" s="116"/>
      <c r="M176" s="116"/>
      <c r="N176" s="116"/>
      <c r="O176" s="113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 t="str">
        <f>'Creative Name'!H144</f>
        <v/>
      </c>
      <c r="L177" s="116"/>
      <c r="M177" s="116"/>
      <c r="N177" s="116"/>
      <c r="O177" s="113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</row>
    <row r="178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 t="str">
        <f>'Creative Name'!H145</f>
        <v/>
      </c>
      <c r="L178" s="116"/>
      <c r="M178" s="116"/>
      <c r="N178" s="116"/>
      <c r="O178" s="113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</row>
    <row r="179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 t="str">
        <f>'Creative Name'!H146</f>
        <v/>
      </c>
      <c r="L179" s="116"/>
      <c r="M179" s="116"/>
      <c r="N179" s="116"/>
      <c r="O179" s="113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</row>
    <row r="180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 t="str">
        <f>'Creative Name'!H147</f>
        <v/>
      </c>
      <c r="L180" s="116"/>
      <c r="M180" s="116"/>
      <c r="N180" s="116"/>
      <c r="O180" s="113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</row>
    <row r="18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 t="str">
        <f>'Creative Name'!H148</f>
        <v/>
      </c>
      <c r="L181" s="116"/>
      <c r="M181" s="116"/>
      <c r="N181" s="116"/>
      <c r="O181" s="113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 t="str">
        <f>'Creative Name'!H149</f>
        <v/>
      </c>
      <c r="L182" s="116"/>
      <c r="M182" s="116"/>
      <c r="N182" s="116"/>
      <c r="O182" s="113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 t="str">
        <f>'Creative Name'!H150</f>
        <v/>
      </c>
      <c r="L183" s="116"/>
      <c r="M183" s="116"/>
      <c r="N183" s="116"/>
      <c r="O183" s="113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</row>
    <row r="184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 t="str">
        <f>'Creative Name'!H151</f>
        <v/>
      </c>
      <c r="L184" s="116"/>
      <c r="M184" s="116"/>
      <c r="N184" s="116"/>
      <c r="O184" s="113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</row>
    <row r="18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 t="str">
        <f>'Creative Name'!H152</f>
        <v/>
      </c>
      <c r="L185" s="116"/>
      <c r="M185" s="116"/>
      <c r="N185" s="116"/>
      <c r="O185" s="113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 t="str">
        <f>'Creative Name'!H153</f>
        <v/>
      </c>
      <c r="L186" s="116"/>
      <c r="M186" s="116"/>
      <c r="N186" s="116"/>
      <c r="O186" s="113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 t="str">
        <f>'Creative Name'!H154</f>
        <v/>
      </c>
      <c r="L187" s="116"/>
      <c r="M187" s="116"/>
      <c r="N187" s="116"/>
      <c r="O187" s="113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 t="str">
        <f>'Creative Name'!H155</f>
        <v/>
      </c>
      <c r="L188" s="116"/>
      <c r="M188" s="116"/>
      <c r="N188" s="116"/>
      <c r="O188" s="113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 t="str">
        <f>'Creative Name'!H156</f>
        <v/>
      </c>
      <c r="L189" s="116"/>
      <c r="M189" s="116"/>
      <c r="N189" s="116"/>
      <c r="O189" s="113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 t="str">
        <f>'Creative Name'!H157</f>
        <v/>
      </c>
      <c r="L190" s="116"/>
      <c r="M190" s="116"/>
      <c r="N190" s="116"/>
      <c r="O190" s="113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</row>
    <row r="19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 t="str">
        <f>'Creative Name'!H158</f>
        <v/>
      </c>
      <c r="L191" s="116"/>
      <c r="M191" s="116"/>
      <c r="N191" s="116"/>
      <c r="O191" s="113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</row>
    <row r="192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 t="str">
        <f>'Creative Name'!H159</f>
        <v/>
      </c>
      <c r="L192" s="116"/>
      <c r="M192" s="116"/>
      <c r="N192" s="116"/>
      <c r="O192" s="113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</row>
    <row r="193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 t="str">
        <f>'Creative Name'!H160</f>
        <v/>
      </c>
      <c r="L193" s="116"/>
      <c r="M193" s="116"/>
      <c r="N193" s="116"/>
      <c r="O193" s="113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</row>
    <row r="194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 t="str">
        <f>'Creative Name'!H161</f>
        <v/>
      </c>
      <c r="L194" s="116"/>
      <c r="M194" s="116"/>
      <c r="N194" s="116"/>
      <c r="O194" s="113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</row>
    <row r="19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 t="str">
        <f>'Creative Name'!H162</f>
        <v/>
      </c>
      <c r="L195" s="116"/>
      <c r="M195" s="116"/>
      <c r="N195" s="116"/>
      <c r="O195" s="113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</row>
    <row r="196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 t="str">
        <f>'Creative Name'!H163</f>
        <v/>
      </c>
      <c r="L196" s="116"/>
      <c r="M196" s="116"/>
      <c r="N196" s="116"/>
      <c r="O196" s="113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</row>
    <row r="197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 t="str">
        <f>'Creative Name'!H164</f>
        <v/>
      </c>
      <c r="L197" s="116"/>
      <c r="M197" s="116"/>
      <c r="N197" s="116"/>
      <c r="O197" s="113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 t="str">
        <f>'Creative Name'!H165</f>
        <v/>
      </c>
      <c r="L198" s="116"/>
      <c r="M198" s="116"/>
      <c r="N198" s="116"/>
      <c r="O198" s="113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</row>
    <row r="199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 t="str">
        <f>'Creative Name'!H166</f>
        <v/>
      </c>
      <c r="L199" s="116"/>
      <c r="M199" s="116"/>
      <c r="N199" s="116"/>
      <c r="O199" s="113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</row>
    <row r="200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 t="str">
        <f>'Creative Name'!H167</f>
        <v/>
      </c>
      <c r="L200" s="116"/>
      <c r="M200" s="116"/>
      <c r="N200" s="116"/>
      <c r="O200" s="113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</row>
    <row r="20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 t="str">
        <f>'Creative Name'!H168</f>
        <v/>
      </c>
      <c r="L201" s="116"/>
      <c r="M201" s="116"/>
      <c r="N201" s="116"/>
      <c r="O201" s="113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</row>
    <row r="202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 t="str">
        <f>'Creative Name'!H169</f>
        <v/>
      </c>
      <c r="L202" s="116"/>
      <c r="M202" s="116"/>
      <c r="N202" s="116"/>
      <c r="O202" s="113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 t="str">
        <f>'Creative Name'!H170</f>
        <v/>
      </c>
      <c r="L203" s="116"/>
      <c r="M203" s="116"/>
      <c r="N203" s="116"/>
      <c r="O203" s="113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</row>
    <row r="204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 t="str">
        <f>'Creative Name'!H171</f>
        <v/>
      </c>
      <c r="L204" s="116"/>
      <c r="M204" s="116"/>
      <c r="N204" s="116"/>
      <c r="O204" s="113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</row>
    <row r="20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 t="str">
        <f>'Creative Name'!H172</f>
        <v/>
      </c>
      <c r="L205" s="116"/>
      <c r="M205" s="116"/>
      <c r="N205" s="116"/>
      <c r="O205" s="113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</row>
    <row r="206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 t="str">
        <f>'Creative Name'!H173</f>
        <v/>
      </c>
      <c r="L206" s="116"/>
      <c r="M206" s="116"/>
      <c r="N206" s="116"/>
      <c r="O206" s="113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</row>
    <row r="207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 t="str">
        <f>'Creative Name'!H174</f>
        <v/>
      </c>
      <c r="L207" s="116"/>
      <c r="M207" s="116"/>
      <c r="N207" s="116"/>
      <c r="O207" s="113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</row>
    <row r="208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 t="str">
        <f>'Creative Name'!H175</f>
        <v/>
      </c>
      <c r="L208" s="116"/>
      <c r="M208" s="116"/>
      <c r="N208" s="116"/>
      <c r="O208" s="113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</row>
    <row r="209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 t="str">
        <f>'Creative Name'!H176</f>
        <v/>
      </c>
      <c r="L209" s="116"/>
      <c r="M209" s="116"/>
      <c r="N209" s="116"/>
      <c r="O209" s="113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</row>
    <row r="210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 t="str">
        <f>'Creative Name'!H177</f>
        <v/>
      </c>
      <c r="L210" s="116"/>
      <c r="M210" s="116"/>
      <c r="N210" s="116"/>
      <c r="O210" s="113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</row>
    <row r="21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 t="str">
        <f>'Creative Name'!H178</f>
        <v/>
      </c>
      <c r="L211" s="116"/>
      <c r="M211" s="116"/>
      <c r="N211" s="116"/>
      <c r="O211" s="113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</row>
    <row r="212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3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</row>
    <row r="213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3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</row>
    <row r="214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3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3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</row>
    <row r="216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3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</row>
    <row r="217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3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</row>
    <row r="218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3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</row>
    <row r="219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3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</row>
    <row r="220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3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</row>
    <row r="22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3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3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3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3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3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3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3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3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3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3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3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3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3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3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3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3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3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3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3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3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3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3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3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3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3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3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3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3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3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3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3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3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3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3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3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3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3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3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3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3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3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3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3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3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3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3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3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3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3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3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3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3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3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3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3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3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3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3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3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3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3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3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3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3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3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3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3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3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3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3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3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3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3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3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3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3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3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3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3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3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3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3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3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3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3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3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3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3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3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3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3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3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3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3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3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3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3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3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3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3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3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3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3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3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3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3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3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3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3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3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3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3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3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3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3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3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3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3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3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3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3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3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3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3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3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3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3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3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3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3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3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3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3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3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3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3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3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3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3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3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3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3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3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3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3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3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3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3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3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3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3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3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3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3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3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3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3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3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3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3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3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3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3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3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3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3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3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3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3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3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3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3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3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3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3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3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3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3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3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3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3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3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3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3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3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3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3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3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3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3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3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3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3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3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3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3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3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3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3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3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3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3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3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3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3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3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3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3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3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3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3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3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3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3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3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3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3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3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3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3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3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3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3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3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3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3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3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3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3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3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3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3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3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3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3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3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3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3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3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3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3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3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3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3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3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3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3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3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3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3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3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3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3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3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3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3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3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3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3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3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3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3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3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3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3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3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3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3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3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3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3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3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3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3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3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3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3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3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3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3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3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3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3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3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3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3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3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3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3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3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3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3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3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3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3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3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3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3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3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3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3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3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3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3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3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3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3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3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3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3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3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3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3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3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3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3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3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3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3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3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3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3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3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3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3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3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3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3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3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3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3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3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3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3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3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3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3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3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3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3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3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3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3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3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3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3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3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3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3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3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3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3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3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3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3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3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3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3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3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3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3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3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3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3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3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3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3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3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3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3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3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3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3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3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3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3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3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3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3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3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3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3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3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3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3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3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3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3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3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3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3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3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3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3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3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3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3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3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3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3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3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3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3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3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3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3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3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3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3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3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3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3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3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3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3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3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3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3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3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3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3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3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3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3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3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3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3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3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3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3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3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3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3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3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3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3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3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3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3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3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3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3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3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3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3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3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3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3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3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3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3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3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3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3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3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3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3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3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3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3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3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3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3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3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3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3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3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3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3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3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3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3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3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3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3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3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3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3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3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3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3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3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3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3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3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3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3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3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3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3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3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3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3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3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3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3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3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3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3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3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3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3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3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3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3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3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3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3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3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3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3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3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3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3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3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3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3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3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3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3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3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3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3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3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3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3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3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3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3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3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3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3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3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3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3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3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3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3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3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3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3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3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3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3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3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3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3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3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3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3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3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3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3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3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3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3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3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3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3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3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3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3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3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3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3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3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3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3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3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3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3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3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3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3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3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3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3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3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3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3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3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3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3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3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3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3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3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3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3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3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3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3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3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3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3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3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3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3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3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3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3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3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3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3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3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3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3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3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3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3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3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3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3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3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3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3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3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3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3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3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3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3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3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3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3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3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3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3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3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3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3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3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3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3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3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3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3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3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3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3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3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3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3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3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3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3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3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3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3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3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3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3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3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3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3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3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3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3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3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3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3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3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3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3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3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3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3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3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3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3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3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3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3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3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3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3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3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3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3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3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3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3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3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3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3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3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3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3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3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3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3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3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3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3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3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3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3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3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3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3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3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3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3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3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3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3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3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3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3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3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3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3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3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3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3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3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3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3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3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3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3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3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3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3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3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3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3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3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3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3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3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3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3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3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3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3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3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3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3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3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3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3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3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3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3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3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3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3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3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3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3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3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3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3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3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3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3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3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3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3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3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</row>
    <row r="982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3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</row>
    <row r="983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3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</row>
    <row r="984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3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</row>
    <row r="98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3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</row>
    <row r="986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3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</row>
    <row r="987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3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</row>
  </sheetData>
  <autoFilter ref="$A$8:$N$138">
    <filterColumn colId="6">
      <filters>
        <filter val="FACEBOOK"/>
        <filter val="DV360"/>
        <filter val="VERIZON"/>
      </filters>
    </filterColumn>
  </autoFilter>
  <customSheetViews>
    <customSheetView guid="{C64F0674-7985-47AF-A24A-BAAE135F2194}" filter="1" showAutoFilter="1">
      <autoFilter ref="$A$8:$N$8"/>
    </customSheetView>
  </customSheetViews>
  <mergeCells count="4">
    <mergeCell ref="H1:I1"/>
    <mergeCell ref="B4:G4"/>
    <mergeCell ref="B5:G5"/>
    <mergeCell ref="B6:G6"/>
  </mergeCells>
  <dataValidations>
    <dataValidation type="list" allowBlank="1" sqref="H9:H987">
      <formula1>"CPM,CPC,CPA,CPL,CPD,Daily,Fixed"</formula1>
    </dataValidation>
    <dataValidation type="list" allowBlank="1" showErrorMessage="1" sqref="I9:I59 I61:I130">
      <formula1>Dictionary!$Y$4:$Y$627</formula1>
    </dataValidation>
    <dataValidation type="list" allowBlank="1" sqref="A9:A987">
      <formula1>"Inativar,Aguardando Material,Aguardando Correção,Manter/No Ar,Inserir,Ativar,Reenviar,Alterar Tipo de Compra,Substituir Criativo,Pausado,Atualizar"</formula1>
    </dataValidation>
    <dataValidation type="list" allowBlank="1" sqref="I131:I138">
      <formula1>Dictionary!$Y$4:$Y$640</formula1>
    </dataValidation>
    <dataValidation type="list" allowBlank="1" sqref="E9:E987">
      <formula1>"adserver,portal,sem_adserver"</formula1>
    </dataValidation>
  </dataValidations>
  <hyperlinks>
    <hyperlink r:id="rId2" ref="M9"/>
    <hyperlink r:id="rId3" ref="M10"/>
    <hyperlink r:id="rId4" ref="M11"/>
    <hyperlink r:id="rId5" ref="M12"/>
    <hyperlink r:id="rId6" ref="M13"/>
    <hyperlink r:id="rId7" ref="M14"/>
    <hyperlink r:id="rId8" ref="M15"/>
    <hyperlink r:id="rId9" ref="M16"/>
    <hyperlink r:id="rId10" ref="M17"/>
    <hyperlink r:id="rId11" ref="M18"/>
    <hyperlink r:id="rId12" ref="M19"/>
    <hyperlink r:id="rId13" ref="M20"/>
    <hyperlink r:id="rId14" ref="M21"/>
    <hyperlink r:id="rId15" ref="M22"/>
    <hyperlink r:id="rId16" ref="M23"/>
    <hyperlink r:id="rId17" ref="M24"/>
    <hyperlink r:id="rId18" ref="M25"/>
    <hyperlink r:id="rId19" ref="M26"/>
    <hyperlink r:id="rId20" ref="M27"/>
    <hyperlink r:id="rId21" ref="M28"/>
    <hyperlink r:id="rId22" ref="M29"/>
    <hyperlink r:id="rId23" ref="M30"/>
    <hyperlink r:id="rId24" ref="M31"/>
    <hyperlink r:id="rId25" ref="M32"/>
    <hyperlink r:id="rId26" ref="M33"/>
    <hyperlink r:id="rId27" ref="M34"/>
    <hyperlink r:id="rId28" ref="M35"/>
    <hyperlink r:id="rId29" ref="M36"/>
    <hyperlink r:id="rId30" ref="M37"/>
    <hyperlink r:id="rId31" ref="M38"/>
    <hyperlink r:id="rId32" ref="M39"/>
    <hyperlink r:id="rId33" ref="M40"/>
    <hyperlink r:id="rId34" ref="M41"/>
    <hyperlink r:id="rId35" ref="M42"/>
    <hyperlink r:id="rId36" ref="M43"/>
    <hyperlink r:id="rId37" ref="M44"/>
    <hyperlink r:id="rId38" ref="M45"/>
    <hyperlink r:id="rId39" ref="M46"/>
    <hyperlink r:id="rId40" ref="M47"/>
    <hyperlink r:id="rId41" ref="M48"/>
    <hyperlink r:id="rId42" ref="M49"/>
    <hyperlink r:id="rId43" ref="M50"/>
    <hyperlink r:id="rId44" ref="M51"/>
    <hyperlink r:id="rId45" ref="M52"/>
    <hyperlink r:id="rId46" ref="M53"/>
    <hyperlink r:id="rId47" ref="M54"/>
    <hyperlink r:id="rId48" ref="M55"/>
    <hyperlink r:id="rId49" ref="M56"/>
    <hyperlink r:id="rId50" ref="M57"/>
    <hyperlink r:id="rId51" ref="M58"/>
    <hyperlink r:id="rId52" ref="M59"/>
    <hyperlink r:id="rId53" ref="M60"/>
    <hyperlink r:id="rId54" ref="M61"/>
    <hyperlink r:id="rId55" ref="M62"/>
    <hyperlink r:id="rId56" ref="M63"/>
    <hyperlink r:id="rId57" ref="M64"/>
    <hyperlink r:id="rId58" ref="M65"/>
    <hyperlink r:id="rId59" ref="M66"/>
    <hyperlink r:id="rId60" ref="M67"/>
    <hyperlink r:id="rId61" ref="M68"/>
    <hyperlink r:id="rId62" ref="M69"/>
    <hyperlink r:id="rId63" ref="M70"/>
    <hyperlink r:id="rId64" ref="M71"/>
    <hyperlink r:id="rId65" ref="M72"/>
    <hyperlink r:id="rId66" ref="M73"/>
    <hyperlink r:id="rId67" ref="M74"/>
    <hyperlink r:id="rId68" ref="M75"/>
    <hyperlink r:id="rId69" ref="M76"/>
    <hyperlink r:id="rId70" ref="M77"/>
    <hyperlink r:id="rId71" ref="M78"/>
    <hyperlink r:id="rId72" ref="M79"/>
    <hyperlink r:id="rId73" ref="M80"/>
    <hyperlink r:id="rId74" ref="M81"/>
    <hyperlink r:id="rId75" ref="M82"/>
    <hyperlink r:id="rId76" ref="M83"/>
    <hyperlink r:id="rId77" ref="M84"/>
    <hyperlink r:id="rId78" ref="M85"/>
    <hyperlink r:id="rId79" ref="M86"/>
    <hyperlink r:id="rId80" ref="M87"/>
    <hyperlink r:id="rId81" ref="M88"/>
    <hyperlink r:id="rId82" ref="M89"/>
    <hyperlink r:id="rId83" ref="M90"/>
    <hyperlink r:id="rId84" ref="M91"/>
    <hyperlink r:id="rId85" ref="M92"/>
    <hyperlink r:id="rId86" ref="M93"/>
    <hyperlink r:id="rId87" ref="M94"/>
    <hyperlink r:id="rId88" ref="M95"/>
    <hyperlink r:id="rId89" ref="M96"/>
    <hyperlink r:id="rId90" ref="M97"/>
    <hyperlink r:id="rId91" ref="M98"/>
    <hyperlink r:id="rId92" ref="M99"/>
    <hyperlink r:id="rId93" ref="M100"/>
    <hyperlink r:id="rId94" ref="M101"/>
    <hyperlink r:id="rId95" ref="M102"/>
    <hyperlink r:id="rId96" ref="M103"/>
    <hyperlink r:id="rId97" ref="M104"/>
    <hyperlink r:id="rId98" ref="M105"/>
    <hyperlink r:id="rId99" ref="M106"/>
    <hyperlink r:id="rId100" ref="M107"/>
    <hyperlink r:id="rId101" ref="M108"/>
    <hyperlink r:id="rId102" ref="M109"/>
    <hyperlink r:id="rId103" ref="M110"/>
    <hyperlink r:id="rId104" ref="M111"/>
    <hyperlink r:id="rId105" ref="M112"/>
    <hyperlink r:id="rId106" ref="M113"/>
    <hyperlink r:id="rId107" ref="M114"/>
    <hyperlink r:id="rId108" ref="M115"/>
    <hyperlink r:id="rId109" ref="M116"/>
    <hyperlink r:id="rId110" ref="M117"/>
    <hyperlink r:id="rId111" ref="M118"/>
    <hyperlink r:id="rId112" ref="M119"/>
    <hyperlink r:id="rId113" ref="M120"/>
    <hyperlink r:id="rId114" ref="M121"/>
    <hyperlink r:id="rId115" ref="M122"/>
    <hyperlink r:id="rId116" ref="M123"/>
    <hyperlink r:id="rId117" ref="M124"/>
    <hyperlink r:id="rId118" ref="M125"/>
    <hyperlink r:id="rId119" ref="M126"/>
    <hyperlink r:id="rId120" ref="M127"/>
    <hyperlink r:id="rId121" ref="M128"/>
    <hyperlink r:id="rId122" ref="M129"/>
    <hyperlink r:id="rId123" ref="M130"/>
    <hyperlink r:id="rId124" ref="M131"/>
    <hyperlink r:id="rId125" ref="M132"/>
    <hyperlink r:id="rId126" ref="M133"/>
    <hyperlink r:id="rId127" ref="M134"/>
    <hyperlink r:id="rId128" ref="M135"/>
    <hyperlink r:id="rId129" ref="M136"/>
    <hyperlink r:id="rId130" ref="M137"/>
    <hyperlink r:id="rId131" ref="M138"/>
  </hyperlinks>
  <drawing r:id="rId132"/>
  <legacyDrawing r:id="rId13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6.43"/>
    <col customWidth="1" min="3" max="3" width="27.0"/>
    <col customWidth="1" min="4" max="4" width="63.29"/>
    <col customWidth="1" min="5" max="5" width="14.0"/>
    <col customWidth="1" min="6" max="6" width="18.29"/>
    <col customWidth="1" min="7" max="7" width="30.86"/>
    <col customWidth="1" min="8" max="8" width="14.0"/>
    <col customWidth="1" min="9" max="9" width="10.71"/>
    <col customWidth="1" min="10" max="10" width="36.14"/>
    <col customWidth="1" min="11" max="11" width="10.29"/>
    <col customWidth="1" min="12" max="12" width="9.43"/>
    <col customWidth="1" min="13" max="13" width="14.43"/>
    <col customWidth="1" min="14" max="14" width="6.57"/>
    <col customWidth="1" min="15" max="15" width="22.57"/>
    <col customWidth="1" min="16" max="16" width="18.71"/>
    <col customWidth="1" min="17" max="17" width="8.0"/>
    <col customWidth="1" min="18" max="18" width="10.71"/>
    <col customWidth="1" min="19" max="19" width="28.43"/>
    <col customWidth="1" min="20" max="20" width="14.71"/>
    <col customWidth="1" min="21" max="21" width="9.43"/>
    <col customWidth="1" min="22" max="22" width="27.0"/>
    <col customWidth="1" min="23" max="23" width="7.86"/>
    <col customWidth="1" min="24" max="24" width="9.43"/>
    <col customWidth="1" min="25" max="25" width="26.14"/>
    <col customWidth="1" min="26" max="26" width="16.14"/>
    <col customWidth="1" min="27" max="27" width="43.86"/>
    <col customWidth="1" min="28" max="28" width="32.14"/>
    <col customWidth="1" min="29" max="29" width="15.57"/>
    <col customWidth="1" min="30" max="30" width="10.57"/>
    <col customWidth="1" min="31" max="31" width="25.57"/>
    <col customWidth="1" min="32" max="32" width="9.57"/>
    <col customWidth="1" min="33" max="33" width="110.29"/>
    <col customWidth="1" min="34" max="34" width="13.29"/>
    <col customWidth="1" min="35" max="35" width="9.14"/>
    <col customWidth="1" min="36" max="36" width="10.71"/>
    <col customWidth="1" min="37" max="37" width="28.14"/>
    <col customWidth="1" min="38" max="38" width="8.0"/>
    <col customWidth="1" min="39" max="39" width="10.71"/>
    <col customWidth="1" min="40" max="40" width="11.43"/>
    <col customWidth="1" min="41" max="41" width="5.86"/>
    <col customWidth="1" min="42" max="42" width="10.71"/>
    <col customWidth="1" min="43" max="43" width="19.0"/>
    <col customWidth="1" min="44" max="44" width="8.14"/>
    <col customWidth="1" min="45" max="45" width="17.43"/>
    <col customWidth="1" min="46" max="46" width="9.14"/>
    <col customWidth="1" min="47" max="47" width="10.71"/>
    <col customWidth="1" min="48" max="48" width="26.57"/>
    <col customWidth="1" min="49" max="49" width="7.86"/>
    <col customWidth="1" min="50" max="50" width="10.71"/>
    <col customWidth="1" min="51" max="51" width="22.43"/>
    <col customWidth="1" min="52" max="52" width="7.43"/>
    <col customWidth="1" min="53" max="53" width="32.29"/>
    <col customWidth="1" min="54" max="54" width="7.0"/>
    <col customWidth="1" min="55" max="55" width="38.29"/>
    <col customWidth="1" min="56" max="56" width="7.57"/>
    <col customWidth="1" min="57" max="57" width="10.71"/>
  </cols>
  <sheetData>
    <row r="1">
      <c r="A1" s="128" t="s">
        <v>252</v>
      </c>
      <c r="B1" s="129"/>
      <c r="C1" s="130"/>
      <c r="D1" s="131" t="s">
        <v>253</v>
      </c>
      <c r="E1" s="132"/>
      <c r="F1" s="133"/>
      <c r="G1" s="131" t="s">
        <v>254</v>
      </c>
      <c r="H1" s="132"/>
      <c r="I1" s="133"/>
      <c r="J1" s="134" t="s">
        <v>255</v>
      </c>
      <c r="K1" s="129"/>
      <c r="L1" s="130"/>
      <c r="M1" s="134" t="s">
        <v>256</v>
      </c>
      <c r="N1" s="129"/>
      <c r="O1" s="130"/>
      <c r="P1" s="134" t="s">
        <v>257</v>
      </c>
      <c r="Q1" s="129"/>
      <c r="R1" s="130"/>
      <c r="S1" s="134" t="s">
        <v>258</v>
      </c>
      <c r="T1" s="129"/>
      <c r="U1" s="130"/>
      <c r="V1" s="128" t="s">
        <v>259</v>
      </c>
      <c r="W1" s="129"/>
      <c r="X1" s="130"/>
      <c r="Y1" s="128" t="s">
        <v>260</v>
      </c>
      <c r="Z1" s="129"/>
      <c r="AA1" s="130"/>
      <c r="AB1" s="135" t="s">
        <v>261</v>
      </c>
      <c r="AC1" s="129"/>
      <c r="AD1" s="130"/>
      <c r="AE1" s="128" t="s">
        <v>262</v>
      </c>
      <c r="AF1" s="129"/>
      <c r="AG1" s="130"/>
      <c r="AH1" s="128" t="s">
        <v>263</v>
      </c>
      <c r="AI1" s="129"/>
      <c r="AJ1" s="130"/>
      <c r="AK1" s="131" t="s">
        <v>264</v>
      </c>
      <c r="AL1" s="132"/>
      <c r="AM1" s="133"/>
      <c r="AN1" s="131" t="s">
        <v>265</v>
      </c>
      <c r="AO1" s="132"/>
      <c r="AP1" s="133"/>
      <c r="AQ1" s="136" t="s">
        <v>266</v>
      </c>
      <c r="AR1" s="136" t="s">
        <v>267</v>
      </c>
      <c r="AS1" s="137" t="s">
        <v>268</v>
      </c>
      <c r="AT1" s="3"/>
      <c r="AU1" s="4"/>
      <c r="AV1" s="138" t="s">
        <v>269</v>
      </c>
      <c r="AW1" s="3"/>
      <c r="AX1" s="4"/>
      <c r="AY1" s="139" t="s">
        <v>9</v>
      </c>
      <c r="AZ1" s="4"/>
      <c r="BA1" s="139" t="s">
        <v>10</v>
      </c>
      <c r="BB1" s="4"/>
      <c r="BC1" s="140" t="s">
        <v>270</v>
      </c>
      <c r="BD1" s="3"/>
      <c r="BE1" s="4"/>
    </row>
    <row r="2">
      <c r="A2" s="141" t="s">
        <v>271</v>
      </c>
      <c r="B2" s="95"/>
      <c r="C2" s="142"/>
      <c r="D2" s="141" t="s">
        <v>272</v>
      </c>
      <c r="E2" s="95"/>
      <c r="F2" s="142"/>
      <c r="G2" s="143" t="s">
        <v>273</v>
      </c>
      <c r="H2" s="95"/>
      <c r="I2" s="142"/>
      <c r="J2" s="143" t="s">
        <v>274</v>
      </c>
      <c r="K2" s="95"/>
      <c r="L2" s="142"/>
      <c r="M2" s="143" t="s">
        <v>275</v>
      </c>
      <c r="N2" s="95"/>
      <c r="O2" s="142"/>
      <c r="P2" s="143" t="s">
        <v>276</v>
      </c>
      <c r="Q2" s="95"/>
      <c r="R2" s="142"/>
      <c r="S2" s="143" t="s">
        <v>277</v>
      </c>
      <c r="T2" s="95"/>
      <c r="U2" s="142"/>
      <c r="V2" s="143" t="s">
        <v>278</v>
      </c>
      <c r="W2" s="95"/>
      <c r="X2" s="142"/>
      <c r="Y2" s="143" t="s">
        <v>279</v>
      </c>
      <c r="Z2" s="95"/>
      <c r="AA2" s="142"/>
      <c r="AB2" s="143" t="s">
        <v>280</v>
      </c>
      <c r="AC2" s="95"/>
      <c r="AD2" s="142"/>
      <c r="AE2" s="144" t="s">
        <v>281</v>
      </c>
      <c r="AF2" s="95"/>
      <c r="AG2" s="142"/>
      <c r="AH2" s="143" t="s">
        <v>282</v>
      </c>
      <c r="AI2" s="95"/>
      <c r="AJ2" s="142"/>
      <c r="AK2" s="145" t="s">
        <v>283</v>
      </c>
      <c r="AL2" s="95"/>
      <c r="AM2" s="142"/>
      <c r="AN2" s="143" t="s">
        <v>284</v>
      </c>
      <c r="AO2" s="95"/>
      <c r="AP2" s="142"/>
      <c r="AQ2" s="146" t="s">
        <v>285</v>
      </c>
      <c r="AR2" s="146" t="s">
        <v>286</v>
      </c>
      <c r="AS2" s="143" t="s">
        <v>287</v>
      </c>
      <c r="AT2" s="95"/>
      <c r="AU2" s="142"/>
      <c r="AV2" s="143" t="s">
        <v>288</v>
      </c>
      <c r="AW2" s="95"/>
      <c r="AX2" s="142"/>
      <c r="AY2" s="143" t="s">
        <v>289</v>
      </c>
      <c r="AZ2" s="142"/>
      <c r="BA2" s="143" t="s">
        <v>290</v>
      </c>
      <c r="BB2" s="142"/>
      <c r="BC2" s="143" t="s">
        <v>291</v>
      </c>
      <c r="BD2" s="95"/>
      <c r="BE2" s="142"/>
    </row>
    <row r="3">
      <c r="A3" s="147" t="s">
        <v>292</v>
      </c>
      <c r="B3" s="147" t="s">
        <v>293</v>
      </c>
      <c r="C3" s="147" t="s">
        <v>294</v>
      </c>
      <c r="D3" s="147" t="s">
        <v>292</v>
      </c>
      <c r="E3" s="147" t="s">
        <v>295</v>
      </c>
      <c r="F3" s="147" t="s">
        <v>294</v>
      </c>
      <c r="G3" s="147" t="s">
        <v>292</v>
      </c>
      <c r="H3" s="147" t="s">
        <v>296</v>
      </c>
      <c r="I3" s="147" t="s">
        <v>294</v>
      </c>
      <c r="J3" s="148" t="s">
        <v>292</v>
      </c>
      <c r="K3" s="148" t="s">
        <v>293</v>
      </c>
      <c r="L3" s="148" t="s">
        <v>294</v>
      </c>
      <c r="M3" s="148" t="s">
        <v>292</v>
      </c>
      <c r="N3" s="148" t="s">
        <v>293</v>
      </c>
      <c r="O3" s="148" t="s">
        <v>294</v>
      </c>
      <c r="P3" s="147" t="s">
        <v>292</v>
      </c>
      <c r="Q3" s="147" t="s">
        <v>293</v>
      </c>
      <c r="R3" s="147" t="s">
        <v>294</v>
      </c>
      <c r="S3" s="149" t="s">
        <v>292</v>
      </c>
      <c r="T3" s="148" t="s">
        <v>293</v>
      </c>
      <c r="U3" s="148" t="s">
        <v>294</v>
      </c>
      <c r="V3" s="148" t="s">
        <v>292</v>
      </c>
      <c r="W3" s="148" t="s">
        <v>293</v>
      </c>
      <c r="X3" s="148" t="s">
        <v>294</v>
      </c>
      <c r="Y3" s="148" t="s">
        <v>292</v>
      </c>
      <c r="Z3" s="148" t="s">
        <v>293</v>
      </c>
      <c r="AA3" s="148" t="s">
        <v>294</v>
      </c>
      <c r="AB3" s="148" t="s">
        <v>292</v>
      </c>
      <c r="AC3" s="148" t="s">
        <v>293</v>
      </c>
      <c r="AD3" s="148" t="s">
        <v>297</v>
      </c>
      <c r="AE3" s="147" t="s">
        <v>292</v>
      </c>
      <c r="AF3" s="147" t="s">
        <v>293</v>
      </c>
      <c r="AG3" s="147" t="s">
        <v>294</v>
      </c>
      <c r="AH3" s="147" t="s">
        <v>292</v>
      </c>
      <c r="AI3" s="147" t="s">
        <v>293</v>
      </c>
      <c r="AJ3" s="147" t="s">
        <v>294</v>
      </c>
      <c r="AK3" s="147" t="s">
        <v>292</v>
      </c>
      <c r="AL3" s="147" t="s">
        <v>293</v>
      </c>
      <c r="AM3" s="147" t="s">
        <v>294</v>
      </c>
      <c r="AN3" s="147" t="s">
        <v>292</v>
      </c>
      <c r="AO3" s="147" t="s">
        <v>293</v>
      </c>
      <c r="AP3" s="147" t="s">
        <v>294</v>
      </c>
      <c r="AQ3" s="147" t="s">
        <v>293</v>
      </c>
      <c r="AR3" s="147" t="s">
        <v>293</v>
      </c>
      <c r="AS3" s="147" t="s">
        <v>292</v>
      </c>
      <c r="AT3" s="147" t="s">
        <v>293</v>
      </c>
      <c r="AU3" s="147" t="s">
        <v>294</v>
      </c>
      <c r="AV3" s="147" t="s">
        <v>292</v>
      </c>
      <c r="AW3" s="147" t="s">
        <v>293</v>
      </c>
      <c r="AX3" s="147" t="s">
        <v>294</v>
      </c>
      <c r="AY3" s="147" t="s">
        <v>292</v>
      </c>
      <c r="AZ3" s="147" t="s">
        <v>293</v>
      </c>
      <c r="BA3" s="147" t="s">
        <v>292</v>
      </c>
      <c r="BB3" s="147" t="s">
        <v>293</v>
      </c>
      <c r="BC3" s="147" t="s">
        <v>292</v>
      </c>
      <c r="BD3" s="147" t="s">
        <v>293</v>
      </c>
      <c r="BE3" s="147" t="s">
        <v>294</v>
      </c>
    </row>
    <row r="4">
      <c r="A4" s="150" t="s">
        <v>15</v>
      </c>
      <c r="B4" s="150" t="s">
        <v>298</v>
      </c>
      <c r="C4" s="151"/>
      <c r="D4" s="151" t="s">
        <v>299</v>
      </c>
      <c r="E4" s="151" t="s">
        <v>300</v>
      </c>
      <c r="F4" s="151"/>
      <c r="G4" s="152" t="s">
        <v>301</v>
      </c>
      <c r="H4" s="152" t="s">
        <v>302</v>
      </c>
      <c r="I4" s="152"/>
      <c r="J4" s="153" t="s">
        <v>56</v>
      </c>
      <c r="K4" s="151" t="s">
        <v>303</v>
      </c>
      <c r="L4" s="151"/>
      <c r="M4" s="153" t="s">
        <v>56</v>
      </c>
      <c r="N4" s="151" t="s">
        <v>303</v>
      </c>
      <c r="O4" s="151"/>
      <c r="P4" s="154" t="s">
        <v>304</v>
      </c>
      <c r="Q4" s="155" t="s">
        <v>305</v>
      </c>
      <c r="R4" s="156"/>
      <c r="S4" s="153" t="s">
        <v>306</v>
      </c>
      <c r="T4" s="151" t="s">
        <v>307</v>
      </c>
      <c r="U4" s="156"/>
      <c r="V4" s="156" t="s">
        <v>308</v>
      </c>
      <c r="W4" s="156" t="s">
        <v>309</v>
      </c>
      <c r="X4" s="151"/>
      <c r="Y4" s="152" t="s">
        <v>102</v>
      </c>
      <c r="Z4" s="157" t="s">
        <v>102</v>
      </c>
      <c r="AA4" s="152"/>
      <c r="AB4" s="158" t="s">
        <v>310</v>
      </c>
      <c r="AC4" s="158" t="s">
        <v>311</v>
      </c>
      <c r="AD4" s="152"/>
      <c r="AE4" s="153" t="s">
        <v>129</v>
      </c>
      <c r="AF4" s="153" t="s">
        <v>312</v>
      </c>
      <c r="AG4" s="154"/>
      <c r="AH4" s="151" t="s">
        <v>313</v>
      </c>
      <c r="AI4" s="159" t="s">
        <v>314</v>
      </c>
      <c r="AJ4" s="151"/>
      <c r="AK4" s="151" t="s">
        <v>315</v>
      </c>
      <c r="AL4" s="159" t="s">
        <v>316</v>
      </c>
      <c r="AM4" s="151"/>
      <c r="AN4" s="151" t="s">
        <v>317</v>
      </c>
      <c r="AO4" s="151" t="s">
        <v>318</v>
      </c>
      <c r="AP4" s="151"/>
      <c r="AQ4" s="151" t="s">
        <v>319</v>
      </c>
      <c r="AR4" s="153" t="s">
        <v>18</v>
      </c>
      <c r="AS4" s="151" t="s">
        <v>24</v>
      </c>
      <c r="AT4" s="151" t="s">
        <v>320</v>
      </c>
      <c r="AU4" s="151"/>
      <c r="AV4" s="160" t="s">
        <v>321</v>
      </c>
      <c r="AW4" s="160" t="s">
        <v>322</v>
      </c>
      <c r="AX4" s="161"/>
      <c r="AY4" s="160" t="s">
        <v>323</v>
      </c>
      <c r="AZ4" s="160" t="s">
        <v>324</v>
      </c>
      <c r="BA4" s="160" t="s">
        <v>325</v>
      </c>
      <c r="BB4" s="160" t="s">
        <v>326</v>
      </c>
      <c r="BC4" s="162" t="s">
        <v>327</v>
      </c>
      <c r="BD4" s="161" t="s">
        <v>328</v>
      </c>
      <c r="BE4" s="161"/>
    </row>
    <row r="5">
      <c r="A5" s="162" t="s">
        <v>329</v>
      </c>
      <c r="B5" s="162" t="s">
        <v>330</v>
      </c>
      <c r="C5" s="152"/>
      <c r="D5" s="152" t="s">
        <v>331</v>
      </c>
      <c r="E5" s="152">
        <v>711.0</v>
      </c>
      <c r="F5" s="152" t="s">
        <v>332</v>
      </c>
      <c r="G5" s="163" t="s">
        <v>333</v>
      </c>
      <c r="H5" s="152" t="s">
        <v>334</v>
      </c>
      <c r="I5" s="152"/>
      <c r="J5" s="153" t="s">
        <v>335</v>
      </c>
      <c r="K5" s="152" t="s">
        <v>336</v>
      </c>
      <c r="L5" s="152"/>
      <c r="M5" s="153" t="s">
        <v>335</v>
      </c>
      <c r="N5" s="152" t="s">
        <v>336</v>
      </c>
      <c r="O5" s="152"/>
      <c r="P5" s="154" t="s">
        <v>43</v>
      </c>
      <c r="Q5" s="155" t="s">
        <v>337</v>
      </c>
      <c r="R5" s="156"/>
      <c r="S5" s="158" t="s">
        <v>338</v>
      </c>
      <c r="T5" s="151" t="s">
        <v>339</v>
      </c>
      <c r="U5" s="156"/>
      <c r="V5" s="156" t="s">
        <v>54</v>
      </c>
      <c r="W5" s="156" t="s">
        <v>340</v>
      </c>
      <c r="X5" s="151"/>
      <c r="Y5" s="152" t="s">
        <v>103</v>
      </c>
      <c r="Z5" s="157" t="s">
        <v>103</v>
      </c>
      <c r="AA5" s="152"/>
      <c r="AB5" s="158" t="s">
        <v>49</v>
      </c>
      <c r="AC5" s="158" t="s">
        <v>341</v>
      </c>
      <c r="AD5" s="152"/>
      <c r="AE5" s="153" t="s">
        <v>342</v>
      </c>
      <c r="AF5" s="153" t="s">
        <v>343</v>
      </c>
      <c r="AG5" s="153"/>
      <c r="AH5" s="151" t="s">
        <v>344</v>
      </c>
      <c r="AI5" s="159" t="s">
        <v>345</v>
      </c>
      <c r="AJ5" s="151"/>
      <c r="AK5" s="151" t="s">
        <v>346</v>
      </c>
      <c r="AL5" s="151" t="s">
        <v>347</v>
      </c>
      <c r="AM5" s="152"/>
      <c r="AN5" s="151" t="s">
        <v>348</v>
      </c>
      <c r="AO5" s="151" t="s">
        <v>349</v>
      </c>
      <c r="AP5" s="151"/>
      <c r="AQ5" s="151" t="s">
        <v>350</v>
      </c>
      <c r="AR5" s="153" t="s">
        <v>351</v>
      </c>
      <c r="AS5" s="151" t="s">
        <v>352</v>
      </c>
      <c r="AT5" s="151" t="s">
        <v>353</v>
      </c>
      <c r="AU5" s="151"/>
      <c r="AV5" s="160" t="s">
        <v>354</v>
      </c>
      <c r="AW5" s="160" t="s">
        <v>355</v>
      </c>
      <c r="AX5" s="161"/>
      <c r="AY5" s="160" t="s">
        <v>356</v>
      </c>
      <c r="AZ5" s="160" t="s">
        <v>357</v>
      </c>
      <c r="BA5" s="160" t="s">
        <v>358</v>
      </c>
      <c r="BB5" s="160" t="s">
        <v>359</v>
      </c>
      <c r="BC5" s="162" t="s">
        <v>74</v>
      </c>
      <c r="BD5" s="161" t="s">
        <v>360</v>
      </c>
      <c r="BE5" s="161"/>
    </row>
    <row r="6">
      <c r="A6" s="162" t="s">
        <v>361</v>
      </c>
      <c r="B6" s="162" t="s">
        <v>362</v>
      </c>
      <c r="C6" s="151"/>
      <c r="D6" s="164">
        <v>43776.0</v>
      </c>
      <c r="E6" s="152">
        <v>711.0</v>
      </c>
      <c r="F6" s="152" t="s">
        <v>363</v>
      </c>
      <c r="G6" s="152" t="s">
        <v>364</v>
      </c>
      <c r="H6" s="152" t="s">
        <v>364</v>
      </c>
      <c r="I6" s="152"/>
      <c r="J6" s="153" t="s">
        <v>55</v>
      </c>
      <c r="K6" s="152" t="s">
        <v>365</v>
      </c>
      <c r="L6" s="152"/>
      <c r="M6" s="153" t="s">
        <v>55</v>
      </c>
      <c r="N6" s="152" t="s">
        <v>365</v>
      </c>
      <c r="O6" s="152"/>
      <c r="P6" s="154" t="s">
        <v>366</v>
      </c>
      <c r="Q6" s="155" t="s">
        <v>367</v>
      </c>
      <c r="R6" s="156"/>
      <c r="S6" s="165" t="s">
        <v>368</v>
      </c>
      <c r="T6" s="151" t="s">
        <v>369</v>
      </c>
      <c r="U6" s="156"/>
      <c r="V6" s="156" t="s">
        <v>46</v>
      </c>
      <c r="W6" s="156" t="s">
        <v>250</v>
      </c>
      <c r="X6" s="151"/>
      <c r="Y6" s="152" t="s">
        <v>370</v>
      </c>
      <c r="Z6" s="157" t="s">
        <v>370</v>
      </c>
      <c r="AA6" s="152"/>
      <c r="AB6" s="158" t="s">
        <v>64</v>
      </c>
      <c r="AC6" s="158" t="s">
        <v>371</v>
      </c>
      <c r="AD6" s="152"/>
      <c r="AE6" s="153" t="s">
        <v>124</v>
      </c>
      <c r="AF6" s="153" t="s">
        <v>372</v>
      </c>
      <c r="AG6" s="153" t="s">
        <v>373</v>
      </c>
      <c r="AH6" s="151" t="s">
        <v>374</v>
      </c>
      <c r="AI6" s="159" t="s">
        <v>375</v>
      </c>
      <c r="AJ6" s="151"/>
      <c r="AK6" s="151" t="s">
        <v>376</v>
      </c>
      <c r="AL6" s="159" t="s">
        <v>377</v>
      </c>
      <c r="AM6" s="151"/>
      <c r="AN6" s="151" t="s">
        <v>378</v>
      </c>
      <c r="AO6" s="151" t="s">
        <v>379</v>
      </c>
      <c r="AP6" s="151"/>
      <c r="AQ6" s="152" t="s">
        <v>380</v>
      </c>
      <c r="AR6" s="153" t="s">
        <v>381</v>
      </c>
      <c r="AS6" s="151" t="s">
        <v>21</v>
      </c>
      <c r="AT6" s="151" t="s">
        <v>365</v>
      </c>
      <c r="AU6" s="151"/>
      <c r="AV6" s="160" t="s">
        <v>382</v>
      </c>
      <c r="AW6" s="160" t="s">
        <v>383</v>
      </c>
      <c r="AX6" s="161"/>
      <c r="AY6" s="160" t="s">
        <v>384</v>
      </c>
      <c r="AZ6" s="160" t="s">
        <v>385</v>
      </c>
      <c r="BA6" s="160" t="s">
        <v>386</v>
      </c>
      <c r="BB6" s="160" t="s">
        <v>387</v>
      </c>
      <c r="BC6" s="162" t="s">
        <v>388</v>
      </c>
      <c r="BD6" s="161" t="s">
        <v>389</v>
      </c>
      <c r="BE6" s="161"/>
    </row>
    <row r="7">
      <c r="A7" s="162" t="s">
        <v>390</v>
      </c>
      <c r="B7" s="162" t="s">
        <v>391</v>
      </c>
      <c r="C7" s="151"/>
      <c r="D7" s="152" t="s">
        <v>392</v>
      </c>
      <c r="E7" s="152" t="s">
        <v>393</v>
      </c>
      <c r="F7" s="152" t="s">
        <v>394</v>
      </c>
      <c r="G7" s="152" t="s">
        <v>395</v>
      </c>
      <c r="H7" s="152" t="s">
        <v>396</v>
      </c>
      <c r="I7" s="152"/>
      <c r="J7" s="153" t="s">
        <v>397</v>
      </c>
      <c r="K7" s="151" t="s">
        <v>398</v>
      </c>
      <c r="L7" s="151"/>
      <c r="M7" s="153" t="s">
        <v>397</v>
      </c>
      <c r="N7" s="151" t="s">
        <v>398</v>
      </c>
      <c r="O7" s="151"/>
      <c r="P7" s="153" t="s">
        <v>399</v>
      </c>
      <c r="Q7" s="156" t="s">
        <v>400</v>
      </c>
      <c r="R7" s="155"/>
      <c r="S7" s="153" t="s">
        <v>63</v>
      </c>
      <c r="T7" s="151" t="s">
        <v>312</v>
      </c>
      <c r="U7" s="156"/>
      <c r="V7" s="156" t="s">
        <v>401</v>
      </c>
      <c r="W7" s="156" t="s">
        <v>402</v>
      </c>
      <c r="X7" s="151"/>
      <c r="Y7" s="152" t="s">
        <v>403</v>
      </c>
      <c r="Z7" s="157" t="s">
        <v>403</v>
      </c>
      <c r="AA7" s="152"/>
      <c r="AB7" s="158" t="s">
        <v>404</v>
      </c>
      <c r="AC7" s="158" t="s">
        <v>405</v>
      </c>
      <c r="AD7" s="152"/>
      <c r="AE7" s="162" t="s">
        <v>406</v>
      </c>
      <c r="AF7" s="162" t="s">
        <v>407</v>
      </c>
      <c r="AG7" s="162"/>
      <c r="AH7" s="151" t="s">
        <v>408</v>
      </c>
      <c r="AI7" s="159" t="s">
        <v>408</v>
      </c>
      <c r="AJ7" s="151"/>
      <c r="AK7" s="151" t="s">
        <v>409</v>
      </c>
      <c r="AL7" s="159" t="s">
        <v>410</v>
      </c>
      <c r="AM7" s="151"/>
      <c r="AN7" s="151"/>
      <c r="AO7" s="159"/>
      <c r="AP7" s="166"/>
      <c r="AQ7" s="151" t="s">
        <v>411</v>
      </c>
      <c r="AR7" s="153" t="s">
        <v>22</v>
      </c>
      <c r="AS7" s="167" t="s">
        <v>412</v>
      </c>
      <c r="AT7" s="167" t="s">
        <v>413</v>
      </c>
      <c r="AU7" s="151"/>
      <c r="AV7" s="160" t="s">
        <v>414</v>
      </c>
      <c r="AW7" s="160" t="s">
        <v>415</v>
      </c>
      <c r="AX7" s="161"/>
      <c r="AY7" s="160" t="s">
        <v>416</v>
      </c>
      <c r="AZ7" s="160" t="s">
        <v>417</v>
      </c>
      <c r="BA7" s="160" t="s">
        <v>28</v>
      </c>
      <c r="BB7" s="160" t="s">
        <v>418</v>
      </c>
      <c r="BC7" s="162" t="s">
        <v>65</v>
      </c>
      <c r="BD7" s="161" t="s">
        <v>419</v>
      </c>
      <c r="BE7" s="161"/>
    </row>
    <row r="8">
      <c r="A8" s="153" t="s">
        <v>420</v>
      </c>
      <c r="B8" s="153" t="s">
        <v>421</v>
      </c>
      <c r="C8" s="152"/>
      <c r="D8" s="152" t="s">
        <v>422</v>
      </c>
      <c r="E8" s="152" t="s">
        <v>422</v>
      </c>
      <c r="F8" s="152" t="s">
        <v>332</v>
      </c>
      <c r="G8" s="152" t="s">
        <v>423</v>
      </c>
      <c r="H8" s="152" t="s">
        <v>424</v>
      </c>
      <c r="I8" s="152"/>
      <c r="J8" s="153" t="s">
        <v>425</v>
      </c>
      <c r="K8" s="151" t="s">
        <v>426</v>
      </c>
      <c r="L8" s="151"/>
      <c r="M8" s="153" t="s">
        <v>425</v>
      </c>
      <c r="N8" s="151" t="s">
        <v>426</v>
      </c>
      <c r="O8" s="151"/>
      <c r="P8" s="154" t="s">
        <v>427</v>
      </c>
      <c r="Q8" s="155" t="s">
        <v>428</v>
      </c>
      <c r="R8" s="156"/>
      <c r="S8" s="165" t="s">
        <v>429</v>
      </c>
      <c r="T8" s="151" t="s">
        <v>430</v>
      </c>
      <c r="U8" s="152"/>
      <c r="V8" s="156" t="s">
        <v>431</v>
      </c>
      <c r="W8" s="156" t="s">
        <v>432</v>
      </c>
      <c r="X8" s="151"/>
      <c r="Y8" s="152" t="s">
        <v>104</v>
      </c>
      <c r="Z8" s="157" t="s">
        <v>104</v>
      </c>
      <c r="AA8" s="152"/>
      <c r="AB8" s="158" t="s">
        <v>59</v>
      </c>
      <c r="AC8" s="158" t="s">
        <v>433</v>
      </c>
      <c r="AD8" s="152"/>
      <c r="AE8" s="162" t="s">
        <v>434</v>
      </c>
      <c r="AF8" s="162" t="s">
        <v>435</v>
      </c>
      <c r="AG8" s="162"/>
      <c r="AH8" s="151" t="s">
        <v>436</v>
      </c>
      <c r="AI8" s="159" t="s">
        <v>436</v>
      </c>
      <c r="AJ8" s="151"/>
      <c r="AK8" s="151" t="s">
        <v>437</v>
      </c>
      <c r="AL8" s="159" t="s">
        <v>438</v>
      </c>
      <c r="AM8" s="151"/>
      <c r="AN8" s="152"/>
      <c r="AO8" s="152"/>
      <c r="AP8" s="152"/>
      <c r="AQ8" s="151" t="s">
        <v>439</v>
      </c>
      <c r="AR8" s="153" t="s">
        <v>440</v>
      </c>
      <c r="AS8" s="151" t="s">
        <v>441</v>
      </c>
      <c r="AT8" s="151" t="s">
        <v>442</v>
      </c>
      <c r="AU8" s="151"/>
      <c r="AV8" s="160" t="s">
        <v>443</v>
      </c>
      <c r="AW8" s="160" t="s">
        <v>444</v>
      </c>
      <c r="AX8" s="161"/>
      <c r="AY8" s="160" t="s">
        <v>445</v>
      </c>
      <c r="AZ8" s="160" t="s">
        <v>445</v>
      </c>
      <c r="BA8" s="160" t="s">
        <v>446</v>
      </c>
      <c r="BB8" s="160" t="s">
        <v>447</v>
      </c>
      <c r="BC8" s="162" t="s">
        <v>448</v>
      </c>
      <c r="BD8" s="161" t="s">
        <v>449</v>
      </c>
      <c r="BE8" s="161"/>
    </row>
    <row r="9">
      <c r="A9" s="153" t="s">
        <v>450</v>
      </c>
      <c r="B9" s="153" t="s">
        <v>451</v>
      </c>
      <c r="C9" s="151"/>
      <c r="D9" s="152" t="s">
        <v>452</v>
      </c>
      <c r="E9" s="152" t="s">
        <v>453</v>
      </c>
      <c r="F9" s="152" t="s">
        <v>332</v>
      </c>
      <c r="G9" s="152" t="s">
        <v>454</v>
      </c>
      <c r="H9" s="152" t="s">
        <v>454</v>
      </c>
      <c r="I9" s="152"/>
      <c r="J9" s="153" t="s">
        <v>455</v>
      </c>
      <c r="K9" s="152" t="s">
        <v>456</v>
      </c>
      <c r="L9" s="152"/>
      <c r="M9" s="153" t="s">
        <v>455</v>
      </c>
      <c r="N9" s="152" t="s">
        <v>456</v>
      </c>
      <c r="O9" s="152"/>
      <c r="P9" s="162" t="s">
        <v>457</v>
      </c>
      <c r="Q9" s="161" t="s">
        <v>458</v>
      </c>
      <c r="R9" s="161"/>
      <c r="S9" s="165" t="s">
        <v>80</v>
      </c>
      <c r="T9" s="151" t="s">
        <v>459</v>
      </c>
      <c r="U9" s="152"/>
      <c r="V9" s="156" t="s">
        <v>460</v>
      </c>
      <c r="W9" s="156" t="s">
        <v>461</v>
      </c>
      <c r="X9" s="151"/>
      <c r="Y9" s="152" t="s">
        <v>105</v>
      </c>
      <c r="Z9" s="157" t="s">
        <v>105</v>
      </c>
      <c r="AA9" s="152"/>
      <c r="AB9" s="158" t="s">
        <v>462</v>
      </c>
      <c r="AC9" s="158" t="s">
        <v>463</v>
      </c>
      <c r="AD9" s="152"/>
      <c r="AE9" s="153" t="s">
        <v>464</v>
      </c>
      <c r="AF9" s="153" t="s">
        <v>371</v>
      </c>
      <c r="AG9" s="153"/>
      <c r="AH9" s="151" t="s">
        <v>465</v>
      </c>
      <c r="AI9" s="159" t="s">
        <v>465</v>
      </c>
      <c r="AJ9" s="151"/>
      <c r="AK9" s="151" t="s">
        <v>466</v>
      </c>
      <c r="AL9" s="159" t="s">
        <v>467</v>
      </c>
      <c r="AM9" s="151"/>
      <c r="AN9" s="152"/>
      <c r="AO9" s="152"/>
      <c r="AP9" s="152"/>
      <c r="AQ9" s="151" t="s">
        <v>468</v>
      </c>
      <c r="AR9" s="153" t="s">
        <v>469</v>
      </c>
      <c r="AS9" s="151" t="s">
        <v>470</v>
      </c>
      <c r="AT9" s="151" t="s">
        <v>471</v>
      </c>
      <c r="AU9" s="151"/>
      <c r="AV9" s="160" t="s">
        <v>472</v>
      </c>
      <c r="AW9" s="160" t="s">
        <v>473</v>
      </c>
      <c r="AX9" s="161"/>
      <c r="AY9" s="160" t="s">
        <v>474</v>
      </c>
      <c r="AZ9" s="160" t="s">
        <v>475</v>
      </c>
      <c r="BA9" s="160" t="s">
        <v>476</v>
      </c>
      <c r="BB9" s="160" t="s">
        <v>477</v>
      </c>
      <c r="BC9" s="162" t="s">
        <v>478</v>
      </c>
      <c r="BD9" s="161" t="s">
        <v>479</v>
      </c>
      <c r="BE9" s="161"/>
    </row>
    <row r="10">
      <c r="A10" s="153" t="s">
        <v>480</v>
      </c>
      <c r="B10" s="153" t="s">
        <v>481</v>
      </c>
      <c r="C10" s="152"/>
      <c r="D10" s="152" t="s">
        <v>482</v>
      </c>
      <c r="E10" s="152" t="s">
        <v>483</v>
      </c>
      <c r="F10" s="152" t="s">
        <v>332</v>
      </c>
      <c r="G10" s="152" t="s">
        <v>484</v>
      </c>
      <c r="H10" s="152" t="s">
        <v>485</v>
      </c>
      <c r="I10" s="152" t="s">
        <v>486</v>
      </c>
      <c r="J10" s="153" t="s">
        <v>487</v>
      </c>
      <c r="K10" s="151" t="s">
        <v>488</v>
      </c>
      <c r="L10" s="151"/>
      <c r="M10" s="153" t="s">
        <v>487</v>
      </c>
      <c r="N10" s="151" t="s">
        <v>488</v>
      </c>
      <c r="O10" s="151"/>
      <c r="P10" s="162" t="s">
        <v>68</v>
      </c>
      <c r="Q10" s="161" t="s">
        <v>489</v>
      </c>
      <c r="R10" s="161"/>
      <c r="S10" s="158" t="s">
        <v>490</v>
      </c>
      <c r="T10" s="151" t="s">
        <v>491</v>
      </c>
      <c r="U10" s="152"/>
      <c r="V10" s="156" t="s">
        <v>71</v>
      </c>
      <c r="W10" s="156" t="s">
        <v>239</v>
      </c>
      <c r="X10" s="151"/>
      <c r="Y10" s="152" t="s">
        <v>107</v>
      </c>
      <c r="Z10" s="157" t="s">
        <v>107</v>
      </c>
      <c r="AA10" s="152"/>
      <c r="AB10" s="152" t="s">
        <v>492</v>
      </c>
      <c r="AC10" s="152" t="s">
        <v>492</v>
      </c>
      <c r="AD10" s="152"/>
      <c r="AE10" s="162" t="s">
        <v>493</v>
      </c>
      <c r="AF10" s="162" t="s">
        <v>494</v>
      </c>
      <c r="AG10" s="162"/>
      <c r="AH10" s="151" t="s">
        <v>495</v>
      </c>
      <c r="AI10" s="159" t="s">
        <v>496</v>
      </c>
      <c r="AJ10" s="151"/>
      <c r="AK10" s="151" t="s">
        <v>497</v>
      </c>
      <c r="AL10" s="159" t="s">
        <v>498</v>
      </c>
      <c r="AM10" s="151"/>
      <c r="AN10" s="152"/>
      <c r="AO10" s="152"/>
      <c r="AP10" s="152"/>
      <c r="AQ10" s="151" t="s">
        <v>499</v>
      </c>
      <c r="AR10" s="153" t="s">
        <v>23</v>
      </c>
      <c r="AS10" s="151" t="s">
        <v>500</v>
      </c>
      <c r="AT10" s="151" t="s">
        <v>501</v>
      </c>
      <c r="AU10" s="151"/>
      <c r="AV10" s="160" t="s">
        <v>502</v>
      </c>
      <c r="AW10" s="160" t="s">
        <v>503</v>
      </c>
      <c r="AX10" s="161"/>
      <c r="AY10" s="160" t="s">
        <v>504</v>
      </c>
      <c r="AZ10" s="160" t="s">
        <v>504</v>
      </c>
      <c r="BA10" s="160" t="s">
        <v>20</v>
      </c>
      <c r="BB10" s="160" t="s">
        <v>505</v>
      </c>
      <c r="BC10" s="162" t="s">
        <v>50</v>
      </c>
      <c r="BD10" s="152" t="s">
        <v>42</v>
      </c>
      <c r="BE10" s="152"/>
    </row>
    <row r="11">
      <c r="A11" s="162" t="s">
        <v>506</v>
      </c>
      <c r="B11" s="162" t="s">
        <v>507</v>
      </c>
      <c r="C11" s="151"/>
      <c r="D11" s="152" t="s">
        <v>508</v>
      </c>
      <c r="E11" s="152" t="s">
        <v>509</v>
      </c>
      <c r="F11" s="152" t="s">
        <v>332</v>
      </c>
      <c r="G11" s="163" t="s">
        <v>510</v>
      </c>
      <c r="H11" s="152" t="s">
        <v>511</v>
      </c>
      <c r="I11" s="152"/>
      <c r="J11" s="153" t="s">
        <v>17</v>
      </c>
      <c r="K11" s="151" t="s">
        <v>512</v>
      </c>
      <c r="L11" s="151"/>
      <c r="M11" s="153" t="s">
        <v>513</v>
      </c>
      <c r="N11" s="152" t="s">
        <v>514</v>
      </c>
      <c r="O11" s="166"/>
      <c r="P11" s="161" t="s">
        <v>515</v>
      </c>
      <c r="Q11" s="161" t="s">
        <v>515</v>
      </c>
      <c r="R11" s="161"/>
      <c r="S11" s="165" t="s">
        <v>516</v>
      </c>
      <c r="T11" s="151" t="s">
        <v>517</v>
      </c>
      <c r="U11" s="152"/>
      <c r="V11" s="156" t="s">
        <v>518</v>
      </c>
      <c r="W11" s="156" t="s">
        <v>519</v>
      </c>
      <c r="X11" s="151"/>
      <c r="Y11" s="152" t="s">
        <v>520</v>
      </c>
      <c r="Z11" s="157" t="s">
        <v>520</v>
      </c>
      <c r="AA11" s="152"/>
      <c r="AB11" s="152" t="s">
        <v>521</v>
      </c>
      <c r="AC11" s="152" t="s">
        <v>522</v>
      </c>
      <c r="AD11" s="152"/>
      <c r="AE11" s="162" t="s">
        <v>523</v>
      </c>
      <c r="AF11" s="162" t="s">
        <v>524</v>
      </c>
      <c r="AG11" s="162"/>
      <c r="AH11" s="151" t="s">
        <v>50</v>
      </c>
      <c r="AI11" s="159" t="s">
        <v>42</v>
      </c>
      <c r="AJ11" s="151"/>
      <c r="AK11" s="151" t="s">
        <v>525</v>
      </c>
      <c r="AL11" s="159" t="s">
        <v>526</v>
      </c>
      <c r="AM11" s="151"/>
      <c r="AN11" s="152"/>
      <c r="AO11" s="152"/>
      <c r="AP11" s="152"/>
      <c r="AQ11" s="151" t="s">
        <v>27</v>
      </c>
      <c r="AR11" s="153" t="s">
        <v>527</v>
      </c>
      <c r="AS11" s="151" t="s">
        <v>528</v>
      </c>
      <c r="AT11" s="151" t="s">
        <v>529</v>
      </c>
      <c r="AU11" s="151"/>
      <c r="AV11" s="160" t="s">
        <v>51</v>
      </c>
      <c r="AW11" s="160" t="s">
        <v>530</v>
      </c>
      <c r="AX11" s="161"/>
      <c r="AY11" s="160" t="s">
        <v>19</v>
      </c>
      <c r="AZ11" s="168" t="s">
        <v>531</v>
      </c>
      <c r="BA11" s="160" t="s">
        <v>532</v>
      </c>
      <c r="BB11" s="160" t="s">
        <v>533</v>
      </c>
      <c r="BC11" s="162" t="s">
        <v>60</v>
      </c>
      <c r="BD11" s="161" t="s">
        <v>534</v>
      </c>
      <c r="BE11" s="161"/>
    </row>
    <row r="12">
      <c r="A12" s="153" t="s">
        <v>535</v>
      </c>
      <c r="B12" s="153" t="s">
        <v>536</v>
      </c>
      <c r="C12" s="151"/>
      <c r="D12" s="152" t="s">
        <v>537</v>
      </c>
      <c r="E12" s="152" t="s">
        <v>538</v>
      </c>
      <c r="F12" s="152" t="s">
        <v>332</v>
      </c>
      <c r="G12" s="152" t="s">
        <v>539</v>
      </c>
      <c r="H12" s="152" t="s">
        <v>540</v>
      </c>
      <c r="I12" s="152"/>
      <c r="J12" s="153" t="s">
        <v>541</v>
      </c>
      <c r="K12" s="152" t="s">
        <v>542</v>
      </c>
      <c r="L12" s="166"/>
      <c r="M12" s="153" t="s">
        <v>17</v>
      </c>
      <c r="N12" s="152" t="s">
        <v>512</v>
      </c>
      <c r="O12" s="152"/>
      <c r="P12" s="156" t="s">
        <v>543</v>
      </c>
      <c r="Q12" s="156" t="s">
        <v>544</v>
      </c>
      <c r="R12" s="161"/>
      <c r="S12" s="153" t="s">
        <v>545</v>
      </c>
      <c r="T12" s="151" t="s">
        <v>546</v>
      </c>
      <c r="U12" s="152"/>
      <c r="V12" s="156" t="s">
        <v>547</v>
      </c>
      <c r="W12" s="156" t="s">
        <v>548</v>
      </c>
      <c r="X12" s="151"/>
      <c r="Y12" s="152" t="s">
        <v>549</v>
      </c>
      <c r="Z12" s="157" t="s">
        <v>549</v>
      </c>
      <c r="AA12" s="152"/>
      <c r="AB12" s="152" t="s">
        <v>550</v>
      </c>
      <c r="AC12" s="152" t="s">
        <v>551</v>
      </c>
      <c r="AD12" s="152"/>
      <c r="AE12" s="162" t="s">
        <v>552</v>
      </c>
      <c r="AF12" s="162" t="s">
        <v>553</v>
      </c>
      <c r="AG12" s="162"/>
      <c r="AH12" s="151" t="s">
        <v>554</v>
      </c>
      <c r="AI12" s="159" t="s">
        <v>555</v>
      </c>
      <c r="AJ12" s="151"/>
      <c r="AK12" s="151" t="s">
        <v>556</v>
      </c>
      <c r="AL12" s="159" t="s">
        <v>557</v>
      </c>
      <c r="AM12" s="151"/>
      <c r="AN12" s="152"/>
      <c r="AO12" s="152"/>
      <c r="AP12" s="152"/>
      <c r="AQ12" s="151" t="s">
        <v>558</v>
      </c>
      <c r="AR12" s="153" t="s">
        <v>559</v>
      </c>
      <c r="AS12" s="151" t="s">
        <v>560</v>
      </c>
      <c r="AT12" s="151" t="s">
        <v>561</v>
      </c>
      <c r="AU12" s="151"/>
      <c r="AV12" s="160" t="s">
        <v>562</v>
      </c>
      <c r="AW12" s="160" t="s">
        <v>563</v>
      </c>
      <c r="AX12" s="161"/>
      <c r="AY12" s="160" t="s">
        <v>564</v>
      </c>
      <c r="AZ12" s="160" t="s">
        <v>565</v>
      </c>
      <c r="BA12" s="160" t="s">
        <v>566</v>
      </c>
      <c r="BB12" s="160" t="s">
        <v>567</v>
      </c>
      <c r="BC12" s="161" t="s">
        <v>568</v>
      </c>
      <c r="BD12" s="161" t="s">
        <v>569</v>
      </c>
      <c r="BE12" s="161"/>
    </row>
    <row r="13">
      <c r="A13" s="153" t="s">
        <v>570</v>
      </c>
      <c r="B13" s="153" t="s">
        <v>571</v>
      </c>
      <c r="C13" s="152"/>
      <c r="D13" s="152" t="s">
        <v>325</v>
      </c>
      <c r="E13" s="152" t="s">
        <v>572</v>
      </c>
      <c r="F13" s="152" t="s">
        <v>332</v>
      </c>
      <c r="G13" s="152" t="s">
        <v>573</v>
      </c>
      <c r="H13" s="152" t="s">
        <v>574</v>
      </c>
      <c r="I13" s="152"/>
      <c r="J13" s="157" t="s">
        <v>575</v>
      </c>
      <c r="K13" s="157" t="s">
        <v>27</v>
      </c>
      <c r="L13" s="152"/>
      <c r="M13" s="153" t="s">
        <v>541</v>
      </c>
      <c r="N13" s="151" t="s">
        <v>542</v>
      </c>
      <c r="O13" s="151"/>
      <c r="P13" s="161" t="s">
        <v>576</v>
      </c>
      <c r="Q13" s="161" t="s">
        <v>577</v>
      </c>
      <c r="R13" s="161"/>
      <c r="S13" s="153" t="s">
        <v>578</v>
      </c>
      <c r="T13" s="151" t="s">
        <v>579</v>
      </c>
      <c r="U13" s="156"/>
      <c r="V13" s="156" t="s">
        <v>580</v>
      </c>
      <c r="W13" s="156" t="s">
        <v>581</v>
      </c>
      <c r="X13" s="151"/>
      <c r="Y13" s="152" t="s">
        <v>109</v>
      </c>
      <c r="Z13" s="157" t="s">
        <v>109</v>
      </c>
      <c r="AA13" s="152"/>
      <c r="AB13" s="152" t="s">
        <v>582</v>
      </c>
      <c r="AC13" s="152" t="s">
        <v>583</v>
      </c>
      <c r="AD13" s="152"/>
      <c r="AE13" s="162" t="s">
        <v>584</v>
      </c>
      <c r="AF13" s="162" t="s">
        <v>585</v>
      </c>
      <c r="AG13" s="162"/>
      <c r="AH13" s="151" t="s">
        <v>60</v>
      </c>
      <c r="AI13" s="159" t="s">
        <v>586</v>
      </c>
      <c r="AJ13" s="151"/>
      <c r="AK13" s="151" t="s">
        <v>587</v>
      </c>
      <c r="AL13" s="159" t="s">
        <v>588</v>
      </c>
      <c r="AM13" s="151"/>
      <c r="AN13" s="152"/>
      <c r="AO13" s="152"/>
      <c r="AP13" s="152"/>
      <c r="AQ13" s="151" t="s">
        <v>589</v>
      </c>
      <c r="AR13" s="153" t="s">
        <v>590</v>
      </c>
      <c r="AS13" s="151" t="s">
        <v>591</v>
      </c>
      <c r="AT13" s="151" t="s">
        <v>592</v>
      </c>
      <c r="AU13" s="151"/>
      <c r="AV13" s="160" t="s">
        <v>593</v>
      </c>
      <c r="AW13" s="160" t="s">
        <v>594</v>
      </c>
      <c r="AX13" s="161"/>
      <c r="AY13" s="160" t="s">
        <v>595</v>
      </c>
      <c r="AZ13" s="160" t="s">
        <v>595</v>
      </c>
      <c r="BA13" s="160" t="s">
        <v>596</v>
      </c>
      <c r="BB13" s="160" t="s">
        <v>365</v>
      </c>
      <c r="BC13" s="152" t="s">
        <v>597</v>
      </c>
      <c r="BD13" s="152" t="s">
        <v>598</v>
      </c>
      <c r="BE13" s="161"/>
    </row>
    <row r="14">
      <c r="A14" s="153" t="s">
        <v>599</v>
      </c>
      <c r="B14" s="153" t="s">
        <v>600</v>
      </c>
      <c r="C14" s="152"/>
      <c r="D14" s="152" t="s">
        <v>601</v>
      </c>
      <c r="E14" s="152" t="s">
        <v>602</v>
      </c>
      <c r="F14" s="152" t="s">
        <v>603</v>
      </c>
      <c r="G14" s="152" t="s">
        <v>604</v>
      </c>
      <c r="H14" s="152" t="s">
        <v>605</v>
      </c>
      <c r="I14" s="152"/>
      <c r="J14" s="151" t="s">
        <v>606</v>
      </c>
      <c r="K14" s="151" t="s">
        <v>607</v>
      </c>
      <c r="L14" s="151"/>
      <c r="M14" s="167" t="s">
        <v>17</v>
      </c>
      <c r="N14" s="167" t="s">
        <v>27</v>
      </c>
      <c r="O14" s="151"/>
      <c r="P14" s="161" t="s">
        <v>608</v>
      </c>
      <c r="Q14" s="161" t="s">
        <v>609</v>
      </c>
      <c r="R14" s="161"/>
      <c r="S14" s="162" t="s">
        <v>610</v>
      </c>
      <c r="T14" s="151" t="s">
        <v>611</v>
      </c>
      <c r="U14" s="161"/>
      <c r="V14" s="156" t="s">
        <v>612</v>
      </c>
      <c r="W14" s="156" t="s">
        <v>613</v>
      </c>
      <c r="X14" s="151"/>
      <c r="Y14" s="152" t="s">
        <v>614</v>
      </c>
      <c r="Z14" s="157" t="s">
        <v>614</v>
      </c>
      <c r="AA14" s="152"/>
      <c r="AB14" s="152" t="s">
        <v>615</v>
      </c>
      <c r="AC14" s="152" t="s">
        <v>616</v>
      </c>
      <c r="AD14" s="152"/>
      <c r="AE14" s="162" t="s">
        <v>617</v>
      </c>
      <c r="AF14" s="162" t="s">
        <v>618</v>
      </c>
      <c r="AG14" s="162"/>
      <c r="AH14" s="151" t="s">
        <v>619</v>
      </c>
      <c r="AI14" s="159" t="s">
        <v>620</v>
      </c>
      <c r="AJ14" s="151"/>
      <c r="AK14" s="151" t="s">
        <v>621</v>
      </c>
      <c r="AL14" s="159" t="s">
        <v>622</v>
      </c>
      <c r="AM14" s="151"/>
      <c r="AN14" s="152"/>
      <c r="AO14" s="152"/>
      <c r="AP14" s="152"/>
      <c r="AQ14" s="151" t="s">
        <v>623</v>
      </c>
      <c r="AR14" s="153" t="s">
        <v>624</v>
      </c>
      <c r="AS14" s="151" t="s">
        <v>625</v>
      </c>
      <c r="AT14" s="151" t="s">
        <v>626</v>
      </c>
      <c r="AU14" s="151"/>
      <c r="AV14" s="160" t="s">
        <v>61</v>
      </c>
      <c r="AW14" s="160" t="s">
        <v>627</v>
      </c>
      <c r="AX14" s="161"/>
      <c r="AY14" s="160" t="s">
        <v>628</v>
      </c>
      <c r="AZ14" s="160" t="s">
        <v>628</v>
      </c>
      <c r="BA14" s="160" t="s">
        <v>629</v>
      </c>
      <c r="BB14" s="160" t="s">
        <v>343</v>
      </c>
      <c r="BC14" s="161" t="s">
        <v>630</v>
      </c>
      <c r="BD14" s="161" t="s">
        <v>631</v>
      </c>
      <c r="BE14" s="161"/>
    </row>
    <row r="15">
      <c r="A15" s="153" t="s">
        <v>632</v>
      </c>
      <c r="B15" s="153" t="s">
        <v>633</v>
      </c>
      <c r="C15" s="152"/>
      <c r="D15" s="152" t="s">
        <v>634</v>
      </c>
      <c r="E15" s="152" t="s">
        <v>635</v>
      </c>
      <c r="F15" s="152" t="s">
        <v>636</v>
      </c>
      <c r="G15" s="163" t="s">
        <v>637</v>
      </c>
      <c r="H15" s="152" t="s">
        <v>638</v>
      </c>
      <c r="I15" s="152"/>
      <c r="J15" s="152" t="s">
        <v>639</v>
      </c>
      <c r="K15" s="152" t="s">
        <v>640</v>
      </c>
      <c r="L15" s="152"/>
      <c r="M15" s="152"/>
      <c r="N15" s="152"/>
      <c r="O15" s="152"/>
      <c r="P15" s="161"/>
      <c r="Q15" s="161"/>
      <c r="R15" s="161"/>
      <c r="S15" s="165" t="s">
        <v>76</v>
      </c>
      <c r="T15" s="152" t="s">
        <v>641</v>
      </c>
      <c r="U15" s="152"/>
      <c r="V15" s="156" t="s">
        <v>642</v>
      </c>
      <c r="W15" s="156" t="s">
        <v>643</v>
      </c>
      <c r="X15" s="151"/>
      <c r="Y15" s="157" t="s">
        <v>17</v>
      </c>
      <c r="Z15" s="157" t="s">
        <v>27</v>
      </c>
      <c r="AA15" s="152"/>
      <c r="AB15" s="152" t="s">
        <v>644</v>
      </c>
      <c r="AC15" s="152" t="s">
        <v>645</v>
      </c>
      <c r="AD15" s="152"/>
      <c r="AE15" s="162" t="s">
        <v>646</v>
      </c>
      <c r="AF15" s="162" t="s">
        <v>647</v>
      </c>
      <c r="AG15" s="162"/>
      <c r="AH15" s="151" t="s">
        <v>648</v>
      </c>
      <c r="AI15" s="159" t="s">
        <v>649</v>
      </c>
      <c r="AJ15" s="151"/>
      <c r="AK15" s="151" t="s">
        <v>650</v>
      </c>
      <c r="AL15" s="159" t="s">
        <v>651</v>
      </c>
      <c r="AM15" s="151"/>
      <c r="AN15" s="152"/>
      <c r="AO15" s="152"/>
      <c r="AP15" s="152"/>
      <c r="AQ15" s="151" t="s">
        <v>652</v>
      </c>
      <c r="AR15" s="153" t="s">
        <v>653</v>
      </c>
      <c r="AS15" s="151" t="s">
        <v>654</v>
      </c>
      <c r="AT15" s="151" t="s">
        <v>655</v>
      </c>
      <c r="AU15" s="151"/>
      <c r="AV15" s="160" t="s">
        <v>106</v>
      </c>
      <c r="AW15" s="160" t="s">
        <v>656</v>
      </c>
      <c r="AX15" s="161"/>
      <c r="AY15" s="160" t="s">
        <v>657</v>
      </c>
      <c r="AZ15" s="160" t="s">
        <v>658</v>
      </c>
      <c r="BA15" s="160" t="s">
        <v>659</v>
      </c>
      <c r="BB15" s="160" t="s">
        <v>660</v>
      </c>
      <c r="BC15" s="161" t="s">
        <v>661</v>
      </c>
      <c r="BD15" s="161" t="s">
        <v>662</v>
      </c>
      <c r="BE15" s="161"/>
    </row>
    <row r="16">
      <c r="A16" s="153" t="s">
        <v>663</v>
      </c>
      <c r="B16" s="153" t="s">
        <v>664</v>
      </c>
      <c r="C16" s="151"/>
      <c r="D16" s="163" t="s">
        <v>665</v>
      </c>
      <c r="E16" s="152" t="s">
        <v>318</v>
      </c>
      <c r="F16" s="152" t="s">
        <v>332</v>
      </c>
      <c r="G16" s="152" t="s">
        <v>666</v>
      </c>
      <c r="H16" s="152" t="s">
        <v>667</v>
      </c>
      <c r="I16" s="152"/>
      <c r="J16" s="152" t="s">
        <v>668</v>
      </c>
      <c r="K16" s="152" t="s">
        <v>669</v>
      </c>
      <c r="L16" s="152"/>
      <c r="M16" s="152"/>
      <c r="N16" s="152"/>
      <c r="O16" s="152"/>
      <c r="P16" s="161"/>
      <c r="Q16" s="161"/>
      <c r="R16" s="161"/>
      <c r="S16" s="165" t="s">
        <v>670</v>
      </c>
      <c r="T16" s="152" t="s">
        <v>671</v>
      </c>
      <c r="U16" s="152"/>
      <c r="V16" s="156" t="s">
        <v>672</v>
      </c>
      <c r="W16" s="156" t="s">
        <v>673</v>
      </c>
      <c r="X16" s="151"/>
      <c r="Y16" s="152" t="s">
        <v>674</v>
      </c>
      <c r="Z16" s="157" t="s">
        <v>674</v>
      </c>
      <c r="AA16" s="152"/>
      <c r="AB16" s="152" t="s">
        <v>64</v>
      </c>
      <c r="AC16" s="152" t="s">
        <v>675</v>
      </c>
      <c r="AD16" s="152"/>
      <c r="AE16" s="162" t="s">
        <v>676</v>
      </c>
      <c r="AF16" s="162" t="s">
        <v>677</v>
      </c>
      <c r="AG16" s="162"/>
      <c r="AH16" s="151"/>
      <c r="AI16" s="159"/>
      <c r="AJ16" s="166"/>
      <c r="AK16" s="152" t="s">
        <v>678</v>
      </c>
      <c r="AL16" s="152" t="s">
        <v>679</v>
      </c>
      <c r="AM16" s="152"/>
      <c r="AN16" s="152"/>
      <c r="AO16" s="152"/>
      <c r="AP16" s="152"/>
      <c r="AQ16" s="151" t="s">
        <v>680</v>
      </c>
      <c r="AR16" s="153" t="s">
        <v>681</v>
      </c>
      <c r="AS16" s="151" t="s">
        <v>495</v>
      </c>
      <c r="AT16" s="151" t="s">
        <v>682</v>
      </c>
      <c r="AU16" s="151"/>
      <c r="AV16" s="160" t="s">
        <v>683</v>
      </c>
      <c r="AW16" s="160" t="s">
        <v>684</v>
      </c>
      <c r="AX16" s="161"/>
      <c r="AY16" s="160" t="s">
        <v>685</v>
      </c>
      <c r="AZ16" s="160" t="s">
        <v>686</v>
      </c>
      <c r="BA16" s="160" t="s">
        <v>687</v>
      </c>
      <c r="BB16" s="160" t="s">
        <v>688</v>
      </c>
      <c r="BC16" s="161" t="s">
        <v>689</v>
      </c>
      <c r="BD16" s="161" t="s">
        <v>690</v>
      </c>
      <c r="BE16" s="161"/>
    </row>
    <row r="17">
      <c r="A17" s="153" t="s">
        <v>691</v>
      </c>
      <c r="B17" s="153" t="s">
        <v>692</v>
      </c>
      <c r="C17" s="151"/>
      <c r="D17" s="152" t="s">
        <v>693</v>
      </c>
      <c r="E17" s="152" t="s">
        <v>694</v>
      </c>
      <c r="F17" s="152" t="s">
        <v>695</v>
      </c>
      <c r="G17" s="152" t="s">
        <v>696</v>
      </c>
      <c r="H17" s="152" t="s">
        <v>697</v>
      </c>
      <c r="I17" s="152"/>
      <c r="J17" s="151" t="s">
        <v>698</v>
      </c>
      <c r="K17" s="151" t="s">
        <v>699</v>
      </c>
      <c r="L17" s="151"/>
      <c r="M17" s="151"/>
      <c r="N17" s="151"/>
      <c r="O17" s="151"/>
      <c r="P17" s="161"/>
      <c r="Q17" s="161"/>
      <c r="R17" s="161"/>
      <c r="S17" s="165" t="s">
        <v>70</v>
      </c>
      <c r="T17" s="152" t="s">
        <v>700</v>
      </c>
      <c r="U17" s="152"/>
      <c r="V17" s="156" t="s">
        <v>701</v>
      </c>
      <c r="W17" s="156" t="s">
        <v>702</v>
      </c>
      <c r="X17" s="151"/>
      <c r="Y17" s="152" t="s">
        <v>703</v>
      </c>
      <c r="Z17" s="157" t="s">
        <v>703</v>
      </c>
      <c r="AA17" s="152"/>
      <c r="AB17" s="152" t="s">
        <v>704</v>
      </c>
      <c r="AC17" s="152" t="s">
        <v>705</v>
      </c>
      <c r="AD17" s="152"/>
      <c r="AE17" s="153" t="s">
        <v>706</v>
      </c>
      <c r="AF17" s="153" t="s">
        <v>707</v>
      </c>
      <c r="AG17" s="153"/>
      <c r="AH17" s="151"/>
      <c r="AI17" s="159"/>
      <c r="AJ17" s="166"/>
      <c r="AK17" s="152" t="s">
        <v>708</v>
      </c>
      <c r="AL17" s="152" t="s">
        <v>709</v>
      </c>
      <c r="AM17" s="152"/>
      <c r="AN17" s="152"/>
      <c r="AO17" s="152"/>
      <c r="AP17" s="152"/>
      <c r="AQ17" s="151" t="s">
        <v>710</v>
      </c>
      <c r="AR17" s="153" t="s">
        <v>26</v>
      </c>
      <c r="AS17" s="151" t="s">
        <v>711</v>
      </c>
      <c r="AT17" s="151" t="s">
        <v>712</v>
      </c>
      <c r="AU17" s="151"/>
      <c r="AV17" s="160" t="s">
        <v>713</v>
      </c>
      <c r="AW17" s="160" t="s">
        <v>714</v>
      </c>
      <c r="AX17" s="161"/>
      <c r="AY17" s="160" t="s">
        <v>715</v>
      </c>
      <c r="AZ17" s="160" t="s">
        <v>716</v>
      </c>
      <c r="BA17" s="160" t="s">
        <v>717</v>
      </c>
      <c r="BB17" s="160" t="s">
        <v>718</v>
      </c>
      <c r="BC17" s="161" t="s">
        <v>719</v>
      </c>
      <c r="BD17" s="161" t="s">
        <v>720</v>
      </c>
      <c r="BE17" s="161"/>
    </row>
    <row r="18">
      <c r="A18" s="153" t="s">
        <v>721</v>
      </c>
      <c r="B18" s="153" t="s">
        <v>722</v>
      </c>
      <c r="C18" s="151"/>
      <c r="D18" s="151" t="s">
        <v>346</v>
      </c>
      <c r="E18" s="151" t="s">
        <v>347</v>
      </c>
      <c r="F18" s="151"/>
      <c r="G18" s="152" t="s">
        <v>723</v>
      </c>
      <c r="H18" s="152" t="s">
        <v>724</v>
      </c>
      <c r="I18" s="152"/>
      <c r="J18" s="152" t="s">
        <v>725</v>
      </c>
      <c r="K18" s="152" t="s">
        <v>726</v>
      </c>
      <c r="L18" s="151"/>
      <c r="M18" s="152"/>
      <c r="N18" s="152"/>
      <c r="O18" s="151"/>
      <c r="P18" s="161"/>
      <c r="Q18" s="161"/>
      <c r="R18" s="161"/>
      <c r="S18" s="153" t="s">
        <v>727</v>
      </c>
      <c r="T18" s="151" t="s">
        <v>728</v>
      </c>
      <c r="U18" s="152"/>
      <c r="V18" s="156" t="s">
        <v>729</v>
      </c>
      <c r="W18" s="156" t="s">
        <v>730</v>
      </c>
      <c r="X18" s="151"/>
      <c r="Y18" s="152" t="s">
        <v>731</v>
      </c>
      <c r="Z18" s="157" t="s">
        <v>731</v>
      </c>
      <c r="AA18" s="152"/>
      <c r="AB18" s="152" t="s">
        <v>404</v>
      </c>
      <c r="AC18" s="152" t="s">
        <v>732</v>
      </c>
      <c r="AD18" s="152"/>
      <c r="AE18" s="162" t="s">
        <v>733</v>
      </c>
      <c r="AF18" s="162" t="s">
        <v>734</v>
      </c>
      <c r="AG18" s="162"/>
      <c r="AH18" s="152"/>
      <c r="AI18" s="152"/>
      <c r="AJ18" s="152"/>
      <c r="AK18" s="151" t="s">
        <v>735</v>
      </c>
      <c r="AL18" s="159" t="s">
        <v>736</v>
      </c>
      <c r="AM18" s="151"/>
      <c r="AN18" s="152"/>
      <c r="AO18" s="152"/>
      <c r="AP18" s="152"/>
      <c r="AQ18" s="151" t="s">
        <v>737</v>
      </c>
      <c r="AR18" s="153" t="s">
        <v>738</v>
      </c>
      <c r="AS18" s="151" t="s">
        <v>739</v>
      </c>
      <c r="AT18" s="151" t="s">
        <v>740</v>
      </c>
      <c r="AU18" s="151"/>
      <c r="AV18" s="160" t="s">
        <v>741</v>
      </c>
      <c r="AW18" s="160" t="s">
        <v>742</v>
      </c>
      <c r="AX18" s="161"/>
      <c r="AY18" s="160" t="s">
        <v>743</v>
      </c>
      <c r="AZ18" s="160" t="s">
        <v>744</v>
      </c>
      <c r="BA18" s="160" t="s">
        <v>745</v>
      </c>
      <c r="BB18" s="160" t="s">
        <v>746</v>
      </c>
      <c r="BC18" s="161" t="s">
        <v>747</v>
      </c>
      <c r="BD18" s="161" t="s">
        <v>748</v>
      </c>
      <c r="BE18" s="161"/>
    </row>
    <row r="19">
      <c r="A19" s="153" t="s">
        <v>749</v>
      </c>
      <c r="B19" s="153" t="s">
        <v>750</v>
      </c>
      <c r="C19" s="152"/>
      <c r="D19" s="152" t="s">
        <v>751</v>
      </c>
      <c r="E19" s="152" t="s">
        <v>752</v>
      </c>
      <c r="F19" s="152" t="s">
        <v>332</v>
      </c>
      <c r="G19" s="152" t="s">
        <v>753</v>
      </c>
      <c r="H19" s="152" t="s">
        <v>754</v>
      </c>
      <c r="I19" s="152"/>
      <c r="J19" s="151" t="s">
        <v>755</v>
      </c>
      <c r="K19" s="151" t="s">
        <v>756</v>
      </c>
      <c r="L19" s="152"/>
      <c r="M19" s="152"/>
      <c r="N19" s="152"/>
      <c r="O19" s="152"/>
      <c r="P19" s="161"/>
      <c r="Q19" s="161"/>
      <c r="R19" s="161"/>
      <c r="S19" s="165" t="s">
        <v>757</v>
      </c>
      <c r="T19" s="152" t="s">
        <v>758</v>
      </c>
      <c r="U19" s="152"/>
      <c r="V19" s="161" t="s">
        <v>759</v>
      </c>
      <c r="W19" s="161" t="s">
        <v>760</v>
      </c>
      <c r="X19" s="151"/>
      <c r="Y19" s="152" t="s">
        <v>761</v>
      </c>
      <c r="Z19" s="157" t="s">
        <v>761</v>
      </c>
      <c r="AA19" s="152"/>
      <c r="AB19" s="152" t="s">
        <v>762</v>
      </c>
      <c r="AC19" s="152" t="s">
        <v>763</v>
      </c>
      <c r="AD19" s="152"/>
      <c r="AE19" s="162" t="s">
        <v>764</v>
      </c>
      <c r="AF19" s="162" t="s">
        <v>765</v>
      </c>
      <c r="AG19" s="162"/>
      <c r="AH19" s="152"/>
      <c r="AI19" s="152"/>
      <c r="AJ19" s="152"/>
      <c r="AK19" s="151" t="s">
        <v>766</v>
      </c>
      <c r="AL19" s="159" t="s">
        <v>767</v>
      </c>
      <c r="AM19" s="152"/>
      <c r="AN19" s="152"/>
      <c r="AO19" s="152"/>
      <c r="AP19" s="152"/>
      <c r="AQ19" s="152"/>
      <c r="AR19" s="153" t="s">
        <v>768</v>
      </c>
      <c r="AS19" s="151" t="s">
        <v>769</v>
      </c>
      <c r="AT19" s="151" t="s">
        <v>770</v>
      </c>
      <c r="AU19" s="151"/>
      <c r="AV19" s="160" t="s">
        <v>42</v>
      </c>
      <c r="AW19" s="160" t="s">
        <v>42</v>
      </c>
      <c r="AX19" s="161"/>
      <c r="AY19" s="160"/>
      <c r="AZ19" s="160"/>
      <c r="BA19" s="160" t="s">
        <v>771</v>
      </c>
      <c r="BB19" s="160" t="s">
        <v>772</v>
      </c>
      <c r="BC19" s="161" t="s">
        <v>773</v>
      </c>
      <c r="BD19" s="161" t="s">
        <v>774</v>
      </c>
      <c r="BE19" s="161"/>
    </row>
    <row r="20">
      <c r="A20" s="153" t="s">
        <v>775</v>
      </c>
      <c r="B20" s="153" t="s">
        <v>776</v>
      </c>
      <c r="C20" s="152"/>
      <c r="D20" s="152" t="s">
        <v>777</v>
      </c>
      <c r="E20" s="152" t="s">
        <v>778</v>
      </c>
      <c r="F20" s="152" t="s">
        <v>779</v>
      </c>
      <c r="G20" s="152" t="s">
        <v>780</v>
      </c>
      <c r="H20" s="152" t="s">
        <v>781</v>
      </c>
      <c r="I20" s="152"/>
      <c r="J20" s="151" t="s">
        <v>782</v>
      </c>
      <c r="K20" s="151" t="s">
        <v>783</v>
      </c>
      <c r="L20" s="151"/>
      <c r="M20" s="151"/>
      <c r="N20" s="151"/>
      <c r="O20" s="151"/>
      <c r="P20" s="161"/>
      <c r="Q20" s="161"/>
      <c r="R20" s="161"/>
      <c r="S20" s="153" t="s">
        <v>784</v>
      </c>
      <c r="T20" s="152" t="s">
        <v>785</v>
      </c>
      <c r="U20" s="156"/>
      <c r="V20" s="156" t="s">
        <v>786</v>
      </c>
      <c r="W20" s="156" t="s">
        <v>787</v>
      </c>
      <c r="X20" s="151"/>
      <c r="Y20" s="152" t="s">
        <v>788</v>
      </c>
      <c r="Z20" s="157" t="s">
        <v>788</v>
      </c>
      <c r="AA20" s="152"/>
      <c r="AB20" s="152" t="s">
        <v>59</v>
      </c>
      <c r="AC20" s="152" t="s">
        <v>789</v>
      </c>
      <c r="AD20" s="152"/>
      <c r="AE20" s="162" t="s">
        <v>790</v>
      </c>
      <c r="AF20" s="162" t="s">
        <v>791</v>
      </c>
      <c r="AG20" s="162"/>
      <c r="AH20" s="152"/>
      <c r="AI20" s="152"/>
      <c r="AJ20" s="152"/>
      <c r="AK20" s="169" t="s">
        <v>792</v>
      </c>
      <c r="AL20" s="152" t="s">
        <v>793</v>
      </c>
      <c r="AM20" s="152"/>
      <c r="AN20" s="152"/>
      <c r="AO20" s="152"/>
      <c r="AP20" s="152"/>
      <c r="AQ20" s="152"/>
      <c r="AR20" s="153" t="s">
        <v>794</v>
      </c>
      <c r="AS20" s="151" t="s">
        <v>795</v>
      </c>
      <c r="AT20" s="151" t="s">
        <v>796</v>
      </c>
      <c r="AU20" s="151"/>
      <c r="AV20" s="160" t="s">
        <v>797</v>
      </c>
      <c r="AW20" s="160" t="s">
        <v>797</v>
      </c>
      <c r="AX20" s="161"/>
      <c r="AY20" s="160"/>
      <c r="AZ20" s="160"/>
      <c r="BA20" s="160" t="s">
        <v>798</v>
      </c>
      <c r="BB20" s="160" t="s">
        <v>799</v>
      </c>
      <c r="BC20" s="161" t="s">
        <v>800</v>
      </c>
      <c r="BD20" s="161" t="s">
        <v>801</v>
      </c>
      <c r="BE20" s="161"/>
    </row>
    <row r="21">
      <c r="A21" s="153" t="s">
        <v>802</v>
      </c>
      <c r="B21" s="153" t="s">
        <v>803</v>
      </c>
      <c r="C21" s="152"/>
      <c r="D21" s="152" t="s">
        <v>804</v>
      </c>
      <c r="E21" s="152" t="s">
        <v>805</v>
      </c>
      <c r="F21" s="152" t="s">
        <v>806</v>
      </c>
      <c r="G21" s="152" t="s">
        <v>807</v>
      </c>
      <c r="H21" s="152" t="s">
        <v>808</v>
      </c>
      <c r="I21" s="152"/>
      <c r="J21" s="152" t="s">
        <v>809</v>
      </c>
      <c r="K21" s="152" t="s">
        <v>810</v>
      </c>
      <c r="L21" s="152"/>
      <c r="M21" s="152"/>
      <c r="N21" s="152"/>
      <c r="O21" s="152"/>
      <c r="P21" s="161"/>
      <c r="Q21" s="161"/>
      <c r="R21" s="161"/>
      <c r="S21" s="165" t="s">
        <v>811</v>
      </c>
      <c r="T21" s="151" t="s">
        <v>811</v>
      </c>
      <c r="U21" s="152"/>
      <c r="V21" s="161"/>
      <c r="W21" s="161"/>
      <c r="X21" s="151"/>
      <c r="Y21" s="152" t="s">
        <v>812</v>
      </c>
      <c r="Z21" s="157" t="s">
        <v>812</v>
      </c>
      <c r="AA21" s="152"/>
      <c r="AB21" s="152" t="s">
        <v>813</v>
      </c>
      <c r="AC21" s="152" t="s">
        <v>814</v>
      </c>
      <c r="AD21" s="152"/>
      <c r="AE21" s="162" t="s">
        <v>815</v>
      </c>
      <c r="AF21" s="162" t="s">
        <v>816</v>
      </c>
      <c r="AG21" s="162"/>
      <c r="AH21" s="152"/>
      <c r="AI21" s="152"/>
      <c r="AJ21" s="152"/>
      <c r="AK21" s="151" t="s">
        <v>715</v>
      </c>
      <c r="AL21" s="159" t="s">
        <v>817</v>
      </c>
      <c r="AM21" s="151"/>
      <c r="AN21" s="152"/>
      <c r="AO21" s="152"/>
      <c r="AP21" s="152"/>
      <c r="AQ21" s="152"/>
      <c r="AR21" s="153" t="s">
        <v>818</v>
      </c>
      <c r="AS21" s="170" t="s">
        <v>819</v>
      </c>
      <c r="AT21" s="170" t="s">
        <v>820</v>
      </c>
      <c r="AU21" s="161"/>
      <c r="AV21" s="152" t="s">
        <v>492</v>
      </c>
      <c r="AW21" s="152" t="s">
        <v>492</v>
      </c>
      <c r="AX21" s="161"/>
      <c r="AY21" s="152"/>
      <c r="AZ21" s="152"/>
      <c r="BA21" s="160" t="s">
        <v>821</v>
      </c>
      <c r="BB21" s="160" t="s">
        <v>822</v>
      </c>
      <c r="BC21" s="161" t="s">
        <v>823</v>
      </c>
      <c r="BD21" s="161" t="s">
        <v>824</v>
      </c>
      <c r="BE21" s="161"/>
    </row>
    <row r="22">
      <c r="A22" s="153" t="s">
        <v>825</v>
      </c>
      <c r="B22" s="153" t="s">
        <v>826</v>
      </c>
      <c r="C22" s="151" t="s">
        <v>827</v>
      </c>
      <c r="D22" s="152" t="s">
        <v>828</v>
      </c>
      <c r="E22" s="152" t="s">
        <v>829</v>
      </c>
      <c r="F22" s="152" t="s">
        <v>830</v>
      </c>
      <c r="G22" s="152" t="s">
        <v>831</v>
      </c>
      <c r="H22" s="152" t="s">
        <v>832</v>
      </c>
      <c r="I22" s="152"/>
      <c r="J22" s="152" t="s">
        <v>833</v>
      </c>
      <c r="K22" s="152" t="s">
        <v>834</v>
      </c>
      <c r="L22" s="152"/>
      <c r="M22" s="152"/>
      <c r="N22" s="152"/>
      <c r="O22" s="152"/>
      <c r="P22" s="161"/>
      <c r="Q22" s="161"/>
      <c r="R22" s="161"/>
      <c r="S22" s="165" t="s">
        <v>835</v>
      </c>
      <c r="T22" s="152" t="s">
        <v>836</v>
      </c>
      <c r="U22" s="152"/>
      <c r="V22" s="161"/>
      <c r="W22" s="161"/>
      <c r="X22" s="151"/>
      <c r="Y22" s="152" t="s">
        <v>837</v>
      </c>
      <c r="Z22" s="157" t="s">
        <v>837</v>
      </c>
      <c r="AA22" s="152"/>
      <c r="AB22" s="152" t="s">
        <v>838</v>
      </c>
      <c r="AC22" s="152" t="s">
        <v>839</v>
      </c>
      <c r="AD22" s="152"/>
      <c r="AE22" s="162" t="s">
        <v>123</v>
      </c>
      <c r="AF22" s="162" t="s">
        <v>840</v>
      </c>
      <c r="AG22" s="162"/>
      <c r="AH22" s="152"/>
      <c r="AI22" s="152"/>
      <c r="AJ22" s="152"/>
      <c r="AK22" s="152" t="s">
        <v>841</v>
      </c>
      <c r="AL22" s="152" t="s">
        <v>842</v>
      </c>
      <c r="AM22" s="152"/>
      <c r="AN22" s="152"/>
      <c r="AO22" s="152"/>
      <c r="AP22" s="152"/>
      <c r="AQ22" s="152"/>
      <c r="AR22" s="153" t="s">
        <v>843</v>
      </c>
      <c r="AS22" s="170" t="s">
        <v>844</v>
      </c>
      <c r="AT22" s="170" t="s">
        <v>845</v>
      </c>
      <c r="AU22" s="161"/>
      <c r="AV22" s="161" t="s">
        <v>368</v>
      </c>
      <c r="AW22" s="161" t="s">
        <v>846</v>
      </c>
      <c r="AX22" s="161"/>
      <c r="AY22" s="152"/>
      <c r="AZ22" s="152"/>
      <c r="BA22" s="160" t="s">
        <v>847</v>
      </c>
      <c r="BB22" s="160" t="s">
        <v>848</v>
      </c>
      <c r="BC22" s="161" t="s">
        <v>849</v>
      </c>
      <c r="BD22" s="161" t="s">
        <v>850</v>
      </c>
      <c r="BE22" s="161"/>
    </row>
    <row r="23">
      <c r="A23" s="153" t="s">
        <v>851</v>
      </c>
      <c r="B23" s="153" t="s">
        <v>852</v>
      </c>
      <c r="C23" s="152"/>
      <c r="D23" s="152" t="s">
        <v>853</v>
      </c>
      <c r="E23" s="152" t="s">
        <v>854</v>
      </c>
      <c r="F23" s="152" t="s">
        <v>855</v>
      </c>
      <c r="G23" s="152" t="s">
        <v>856</v>
      </c>
      <c r="H23" s="152" t="s">
        <v>857</v>
      </c>
      <c r="I23" s="152"/>
      <c r="J23" s="151" t="s">
        <v>858</v>
      </c>
      <c r="K23" s="151" t="s">
        <v>859</v>
      </c>
      <c r="L23" s="151"/>
      <c r="M23" s="151"/>
      <c r="N23" s="151"/>
      <c r="O23" s="151"/>
      <c r="P23" s="161"/>
      <c r="Q23" s="161"/>
      <c r="R23" s="161"/>
      <c r="S23" s="162" t="s">
        <v>860</v>
      </c>
      <c r="T23" s="151" t="s">
        <v>861</v>
      </c>
      <c r="U23" s="156"/>
      <c r="V23" s="161"/>
      <c r="W23" s="161"/>
      <c r="X23" s="151"/>
      <c r="Y23" s="152" t="s">
        <v>862</v>
      </c>
      <c r="Z23" s="157" t="s">
        <v>862</v>
      </c>
      <c r="AA23" s="152"/>
      <c r="AB23" s="152" t="s">
        <v>863</v>
      </c>
      <c r="AC23" s="152" t="s">
        <v>864</v>
      </c>
      <c r="AD23" s="152"/>
      <c r="AE23" s="162" t="s">
        <v>865</v>
      </c>
      <c r="AF23" s="162" t="s">
        <v>866</v>
      </c>
      <c r="AG23" s="162"/>
      <c r="AH23" s="152"/>
      <c r="AI23" s="152"/>
      <c r="AJ23" s="152"/>
      <c r="AK23" s="152" t="s">
        <v>867</v>
      </c>
      <c r="AL23" s="152" t="s">
        <v>868</v>
      </c>
      <c r="AM23" s="152"/>
      <c r="AN23" s="152"/>
      <c r="AO23" s="152"/>
      <c r="AP23" s="152"/>
      <c r="AQ23" s="152"/>
      <c r="AR23" s="153" t="s">
        <v>869</v>
      </c>
      <c r="AS23" s="170" t="s">
        <v>19</v>
      </c>
      <c r="AT23" s="170" t="s">
        <v>19</v>
      </c>
      <c r="AU23" s="161"/>
      <c r="AV23" s="161" t="s">
        <v>354</v>
      </c>
      <c r="AW23" s="161" t="s">
        <v>870</v>
      </c>
      <c r="AX23" s="161"/>
      <c r="AY23" s="152"/>
      <c r="AZ23" s="152"/>
      <c r="BA23" s="160" t="s">
        <v>871</v>
      </c>
      <c r="BB23" s="160" t="s">
        <v>872</v>
      </c>
      <c r="BC23" s="161" t="s">
        <v>873</v>
      </c>
      <c r="BD23" s="161" t="s">
        <v>874</v>
      </c>
      <c r="BE23" s="161"/>
    </row>
    <row r="24">
      <c r="A24" s="153" t="s">
        <v>875</v>
      </c>
      <c r="B24" s="153" t="s">
        <v>876</v>
      </c>
      <c r="C24" s="151"/>
      <c r="D24" s="152" t="s">
        <v>877</v>
      </c>
      <c r="E24" s="152" t="s">
        <v>878</v>
      </c>
      <c r="F24" s="152" t="s">
        <v>332</v>
      </c>
      <c r="G24" s="152" t="s">
        <v>879</v>
      </c>
      <c r="H24" s="152" t="s">
        <v>880</v>
      </c>
      <c r="I24" s="152"/>
      <c r="J24" s="152" t="s">
        <v>881</v>
      </c>
      <c r="K24" s="152" t="s">
        <v>882</v>
      </c>
      <c r="L24" s="152"/>
      <c r="M24" s="152"/>
      <c r="N24" s="152"/>
      <c r="O24" s="152"/>
      <c r="P24" s="161"/>
      <c r="Q24" s="161"/>
      <c r="R24" s="161"/>
      <c r="S24" s="171" t="s">
        <v>883</v>
      </c>
      <c r="T24" s="171" t="s">
        <v>884</v>
      </c>
      <c r="U24" s="152"/>
      <c r="V24" s="161"/>
      <c r="W24" s="161"/>
      <c r="X24" s="151"/>
      <c r="Y24" s="152" t="s">
        <v>885</v>
      </c>
      <c r="Z24" s="157" t="s">
        <v>885</v>
      </c>
      <c r="AA24" s="152"/>
      <c r="AB24" s="152"/>
      <c r="AC24" s="152"/>
      <c r="AD24" s="152"/>
      <c r="AE24" s="162" t="s">
        <v>513</v>
      </c>
      <c r="AF24" s="162" t="s">
        <v>886</v>
      </c>
      <c r="AG24" s="162"/>
      <c r="AH24" s="152"/>
      <c r="AI24" s="152"/>
      <c r="AJ24" s="152"/>
      <c r="AK24" s="152" t="s">
        <v>887</v>
      </c>
      <c r="AL24" s="152" t="s">
        <v>888</v>
      </c>
      <c r="AM24" s="152"/>
      <c r="AN24" s="152"/>
      <c r="AO24" s="152"/>
      <c r="AP24" s="152"/>
      <c r="AQ24" s="152"/>
      <c r="AR24" s="151" t="s">
        <v>889</v>
      </c>
      <c r="AS24" s="161"/>
      <c r="AT24" s="161"/>
      <c r="AU24" s="161"/>
      <c r="AV24" s="161" t="s">
        <v>890</v>
      </c>
      <c r="AW24" s="161" t="s">
        <v>63</v>
      </c>
      <c r="AX24" s="161"/>
      <c r="AY24" s="152"/>
      <c r="AZ24" s="152"/>
      <c r="BA24" s="160" t="s">
        <v>891</v>
      </c>
      <c r="BB24" s="160" t="s">
        <v>892</v>
      </c>
      <c r="BC24" s="161" t="s">
        <v>893</v>
      </c>
      <c r="BD24" s="161" t="s">
        <v>894</v>
      </c>
      <c r="BE24" s="161"/>
    </row>
    <row r="25">
      <c r="A25" s="153" t="s">
        <v>895</v>
      </c>
      <c r="B25" s="153" t="s">
        <v>848</v>
      </c>
      <c r="C25" s="151"/>
      <c r="D25" s="151" t="s">
        <v>896</v>
      </c>
      <c r="E25" s="151" t="s">
        <v>897</v>
      </c>
      <c r="F25" s="151" t="s">
        <v>898</v>
      </c>
      <c r="G25" s="152" t="s">
        <v>899</v>
      </c>
      <c r="H25" s="152" t="s">
        <v>900</v>
      </c>
      <c r="I25" s="152"/>
      <c r="J25" s="152" t="s">
        <v>901</v>
      </c>
      <c r="K25" s="152" t="s">
        <v>902</v>
      </c>
      <c r="L25" s="152"/>
      <c r="M25" s="152"/>
      <c r="N25" s="152"/>
      <c r="O25" s="152"/>
      <c r="P25" s="161"/>
      <c r="Q25" s="161"/>
      <c r="R25" s="161"/>
      <c r="S25" s="151" t="s">
        <v>903</v>
      </c>
      <c r="T25" s="151" t="s">
        <v>904</v>
      </c>
      <c r="U25" s="152"/>
      <c r="V25" s="161"/>
      <c r="W25" s="161"/>
      <c r="X25" s="151"/>
      <c r="Y25" s="152" t="s">
        <v>905</v>
      </c>
      <c r="Z25" s="157" t="s">
        <v>905</v>
      </c>
      <c r="AA25" s="152"/>
      <c r="AB25" s="152"/>
      <c r="AC25" s="152"/>
      <c r="AD25" s="152"/>
      <c r="AE25" s="153" t="s">
        <v>19</v>
      </c>
      <c r="AF25" s="172" t="s">
        <v>27</v>
      </c>
      <c r="AG25" s="153"/>
      <c r="AH25" s="152"/>
      <c r="AI25" s="152"/>
      <c r="AJ25" s="152"/>
      <c r="AK25" s="151" t="s">
        <v>906</v>
      </c>
      <c r="AL25" s="159" t="s">
        <v>907</v>
      </c>
      <c r="AM25" s="152"/>
      <c r="AN25" s="152"/>
      <c r="AO25" s="152"/>
      <c r="AP25" s="152"/>
      <c r="AQ25" s="152"/>
      <c r="AR25" s="173" t="s">
        <v>908</v>
      </c>
      <c r="AS25" s="161"/>
      <c r="AT25" s="161"/>
      <c r="AU25" s="161"/>
      <c r="AV25" s="161" t="s">
        <v>909</v>
      </c>
      <c r="AW25" s="161" t="s">
        <v>910</v>
      </c>
      <c r="AX25" s="161"/>
      <c r="AY25" s="152"/>
      <c r="AZ25" s="152"/>
      <c r="BA25" s="160" t="s">
        <v>911</v>
      </c>
      <c r="BB25" s="160" t="s">
        <v>912</v>
      </c>
      <c r="BC25" s="161" t="s">
        <v>913</v>
      </c>
      <c r="BD25" s="161" t="s">
        <v>914</v>
      </c>
      <c r="BE25" s="161"/>
    </row>
    <row r="26">
      <c r="A26" s="153" t="s">
        <v>915</v>
      </c>
      <c r="B26" s="153" t="s">
        <v>916</v>
      </c>
      <c r="C26" s="152"/>
      <c r="D26" s="152" t="s">
        <v>917</v>
      </c>
      <c r="E26" s="152" t="s">
        <v>918</v>
      </c>
      <c r="F26" s="152" t="s">
        <v>332</v>
      </c>
      <c r="G26" s="152" t="s">
        <v>919</v>
      </c>
      <c r="H26" s="152" t="s">
        <v>920</v>
      </c>
      <c r="I26" s="152"/>
      <c r="J26" s="152" t="s">
        <v>921</v>
      </c>
      <c r="K26" s="152" t="s">
        <v>922</v>
      </c>
      <c r="L26" s="151"/>
      <c r="M26" s="151"/>
      <c r="N26" s="151"/>
      <c r="O26" s="151"/>
      <c r="P26" s="161"/>
      <c r="Q26" s="161"/>
      <c r="R26" s="161"/>
      <c r="S26" s="151" t="s">
        <v>50</v>
      </c>
      <c r="T26" s="151" t="s">
        <v>923</v>
      </c>
      <c r="U26" s="156"/>
      <c r="V26" s="161"/>
      <c r="W26" s="161"/>
      <c r="X26" s="151"/>
      <c r="Y26" s="152" t="s">
        <v>924</v>
      </c>
      <c r="Z26" s="157" t="s">
        <v>924</v>
      </c>
      <c r="AA26" s="152"/>
      <c r="AB26" s="152"/>
      <c r="AC26" s="152"/>
      <c r="AD26" s="152"/>
      <c r="AE26" s="153" t="s">
        <v>925</v>
      </c>
      <c r="AF26" s="153" t="s">
        <v>517</v>
      </c>
      <c r="AG26" s="153" t="s">
        <v>926</v>
      </c>
      <c r="AH26" s="152"/>
      <c r="AI26" s="152"/>
      <c r="AJ26" s="152"/>
      <c r="AK26" s="151" t="s">
        <v>927</v>
      </c>
      <c r="AL26" s="159" t="s">
        <v>928</v>
      </c>
      <c r="AM26" s="151"/>
      <c r="AN26" s="152"/>
      <c r="AO26" s="152"/>
      <c r="AP26" s="152"/>
      <c r="AQ26" s="152"/>
      <c r="AR26" s="173" t="s">
        <v>929</v>
      </c>
      <c r="AS26" s="161"/>
      <c r="AT26" s="161"/>
      <c r="AU26" s="161"/>
      <c r="AV26" s="161" t="s">
        <v>930</v>
      </c>
      <c r="AW26" s="161" t="s">
        <v>931</v>
      </c>
      <c r="AX26" s="161"/>
      <c r="AY26" s="152"/>
      <c r="AZ26" s="152"/>
      <c r="BA26" s="160" t="s">
        <v>932</v>
      </c>
      <c r="BB26" s="160" t="s">
        <v>933</v>
      </c>
      <c r="BC26" s="161" t="s">
        <v>934</v>
      </c>
      <c r="BD26" s="161" t="s">
        <v>935</v>
      </c>
      <c r="BE26" s="161"/>
    </row>
    <row r="27">
      <c r="A27" s="162" t="s">
        <v>936</v>
      </c>
      <c r="B27" s="162" t="s">
        <v>936</v>
      </c>
      <c r="C27" s="151"/>
      <c r="D27" s="152" t="s">
        <v>937</v>
      </c>
      <c r="E27" s="152" t="s">
        <v>938</v>
      </c>
      <c r="F27" s="152" t="s">
        <v>939</v>
      </c>
      <c r="G27" s="152" t="s">
        <v>940</v>
      </c>
      <c r="H27" s="152" t="s">
        <v>941</v>
      </c>
      <c r="I27" s="152"/>
      <c r="J27" s="152" t="s">
        <v>942</v>
      </c>
      <c r="K27" s="152" t="s">
        <v>943</v>
      </c>
      <c r="L27" s="151"/>
      <c r="M27" s="151"/>
      <c r="N27" s="151"/>
      <c r="O27" s="151"/>
      <c r="P27" s="161"/>
      <c r="Q27" s="161"/>
      <c r="R27" s="161"/>
      <c r="S27" s="151" t="s">
        <v>944</v>
      </c>
      <c r="T27" s="151" t="s">
        <v>945</v>
      </c>
      <c r="U27" s="156"/>
      <c r="V27" s="161"/>
      <c r="W27" s="161"/>
      <c r="X27" s="151"/>
      <c r="Y27" s="152" t="s">
        <v>946</v>
      </c>
      <c r="Z27" s="157" t="s">
        <v>946</v>
      </c>
      <c r="AA27" s="152"/>
      <c r="AB27" s="152"/>
      <c r="AC27" s="152"/>
      <c r="AD27" s="152"/>
      <c r="AE27" s="162" t="s">
        <v>947</v>
      </c>
      <c r="AF27" s="162" t="s">
        <v>948</v>
      </c>
      <c r="AG27" s="162"/>
      <c r="AH27" s="152"/>
      <c r="AI27" s="152"/>
      <c r="AJ27" s="152"/>
      <c r="AK27" s="151" t="s">
        <v>949</v>
      </c>
      <c r="AL27" s="159" t="s">
        <v>950</v>
      </c>
      <c r="AM27" s="151"/>
      <c r="AN27" s="152"/>
      <c r="AO27" s="152"/>
      <c r="AP27" s="152"/>
      <c r="AQ27" s="152"/>
      <c r="AR27" s="173" t="s">
        <v>951</v>
      </c>
      <c r="AS27" s="161"/>
      <c r="AT27" s="161"/>
      <c r="AU27" s="161"/>
      <c r="AV27" s="161" t="s">
        <v>952</v>
      </c>
      <c r="AW27" s="161" t="s">
        <v>586</v>
      </c>
      <c r="AX27" s="161"/>
      <c r="AY27" s="152"/>
      <c r="AZ27" s="152"/>
      <c r="BA27" s="160" t="s">
        <v>953</v>
      </c>
      <c r="BB27" s="160" t="s">
        <v>953</v>
      </c>
      <c r="BC27" s="161" t="s">
        <v>954</v>
      </c>
      <c r="BD27" s="161" t="s">
        <v>955</v>
      </c>
      <c r="BE27" s="161"/>
    </row>
    <row r="28">
      <c r="A28" s="162" t="s">
        <v>956</v>
      </c>
      <c r="B28" s="162" t="s">
        <v>688</v>
      </c>
      <c r="C28" s="151"/>
      <c r="D28" s="152" t="s">
        <v>957</v>
      </c>
      <c r="E28" s="152" t="s">
        <v>958</v>
      </c>
      <c r="F28" s="152" t="s">
        <v>959</v>
      </c>
      <c r="G28" s="152" t="s">
        <v>960</v>
      </c>
      <c r="H28" s="152" t="s">
        <v>961</v>
      </c>
      <c r="I28" s="152"/>
      <c r="J28" s="151" t="s">
        <v>962</v>
      </c>
      <c r="K28" s="151" t="s">
        <v>963</v>
      </c>
      <c r="L28" s="152"/>
      <c r="M28" s="152"/>
      <c r="N28" s="152"/>
      <c r="O28" s="152"/>
      <c r="P28" s="161"/>
      <c r="Q28" s="161"/>
      <c r="R28" s="161"/>
      <c r="S28" s="151" t="s">
        <v>964</v>
      </c>
      <c r="T28" s="151" t="s">
        <v>965</v>
      </c>
      <c r="U28" s="161"/>
      <c r="V28" s="161"/>
      <c r="W28" s="161"/>
      <c r="X28" s="151"/>
      <c r="Y28" s="152" t="s">
        <v>966</v>
      </c>
      <c r="Z28" s="157" t="s">
        <v>966</v>
      </c>
      <c r="AA28" s="152"/>
      <c r="AB28" s="152"/>
      <c r="AC28" s="152"/>
      <c r="AD28" s="152"/>
      <c r="AE28" s="162" t="s">
        <v>967</v>
      </c>
      <c r="AF28" s="162" t="s">
        <v>968</v>
      </c>
      <c r="AG28" s="162"/>
      <c r="AH28" s="152"/>
      <c r="AI28" s="152"/>
      <c r="AJ28" s="152"/>
      <c r="AK28" s="152" t="s">
        <v>969</v>
      </c>
      <c r="AL28" s="152" t="s">
        <v>970</v>
      </c>
      <c r="AM28" s="152"/>
      <c r="AN28" s="152"/>
      <c r="AO28" s="152"/>
      <c r="AP28" s="152"/>
      <c r="AQ28" s="152"/>
      <c r="AR28" s="173" t="s">
        <v>971</v>
      </c>
      <c r="AS28" s="161"/>
      <c r="AT28" s="161"/>
      <c r="AU28" s="161"/>
      <c r="AV28" s="161" t="s">
        <v>972</v>
      </c>
      <c r="AW28" s="161" t="s">
        <v>973</v>
      </c>
      <c r="AX28" s="161"/>
      <c r="AY28" s="152"/>
      <c r="AZ28" s="152"/>
      <c r="BA28" s="160" t="s">
        <v>974</v>
      </c>
      <c r="BB28" s="160" t="s">
        <v>975</v>
      </c>
      <c r="BC28" s="161" t="s">
        <v>976</v>
      </c>
      <c r="BD28" s="161" t="s">
        <v>977</v>
      </c>
      <c r="BE28" s="161"/>
    </row>
    <row r="29">
      <c r="A29" s="162" t="s">
        <v>978</v>
      </c>
      <c r="B29" s="162" t="s">
        <v>979</v>
      </c>
      <c r="C29" s="151"/>
      <c r="D29" s="152" t="s">
        <v>980</v>
      </c>
      <c r="E29" s="152" t="s">
        <v>981</v>
      </c>
      <c r="F29" s="152" t="s">
        <v>636</v>
      </c>
      <c r="G29" s="152" t="s">
        <v>982</v>
      </c>
      <c r="H29" s="152" t="s">
        <v>983</v>
      </c>
      <c r="I29" s="152"/>
      <c r="J29" s="152" t="s">
        <v>984</v>
      </c>
      <c r="K29" s="152" t="s">
        <v>985</v>
      </c>
      <c r="L29" s="152"/>
      <c r="M29" s="152"/>
      <c r="N29" s="152"/>
      <c r="O29" s="152"/>
      <c r="P29" s="161"/>
      <c r="Q29" s="161"/>
      <c r="R29" s="161"/>
      <c r="S29" s="151" t="s">
        <v>986</v>
      </c>
      <c r="T29" s="151" t="s">
        <v>987</v>
      </c>
      <c r="U29" s="156"/>
      <c r="V29" s="161"/>
      <c r="W29" s="161"/>
      <c r="X29" s="151"/>
      <c r="Y29" s="152" t="s">
        <v>988</v>
      </c>
      <c r="Z29" s="157" t="s">
        <v>988</v>
      </c>
      <c r="AA29" s="152"/>
      <c r="AB29" s="152"/>
      <c r="AC29" s="152"/>
      <c r="AD29" s="152"/>
      <c r="AE29" s="162" t="s">
        <v>989</v>
      </c>
      <c r="AF29" s="162" t="s">
        <v>990</v>
      </c>
      <c r="AG29" s="162" t="s">
        <v>991</v>
      </c>
      <c r="AH29" s="152"/>
      <c r="AI29" s="152"/>
      <c r="AJ29" s="152"/>
      <c r="AK29" s="152" t="s">
        <v>992</v>
      </c>
      <c r="AL29" s="152" t="s">
        <v>993</v>
      </c>
      <c r="AM29" s="152"/>
      <c r="AN29" s="152"/>
      <c r="AO29" s="152"/>
      <c r="AP29" s="152"/>
      <c r="AQ29" s="152"/>
      <c r="AR29" s="173" t="s">
        <v>994</v>
      </c>
      <c r="AS29" s="161"/>
      <c r="AT29" s="161"/>
      <c r="AU29" s="161"/>
      <c r="AV29" s="152" t="s">
        <v>490</v>
      </c>
      <c r="AW29" s="152" t="s">
        <v>995</v>
      </c>
      <c r="AX29" s="161"/>
      <c r="AY29" s="152"/>
      <c r="AZ29" s="152"/>
      <c r="BA29" s="160" t="s">
        <v>996</v>
      </c>
      <c r="BB29" s="160" t="s">
        <v>997</v>
      </c>
      <c r="BC29" s="161" t="s">
        <v>998</v>
      </c>
      <c r="BD29" s="161" t="s">
        <v>999</v>
      </c>
      <c r="BE29" s="161"/>
    </row>
    <row r="30">
      <c r="A30" s="162" t="s">
        <v>1000</v>
      </c>
      <c r="B30" s="162" t="s">
        <v>1001</v>
      </c>
      <c r="C30" s="151"/>
      <c r="D30" s="152" t="s">
        <v>1002</v>
      </c>
      <c r="E30" s="152" t="s">
        <v>1003</v>
      </c>
      <c r="F30" s="152" t="s">
        <v>1004</v>
      </c>
      <c r="G30" s="152" t="s">
        <v>1005</v>
      </c>
      <c r="H30" s="152" t="s">
        <v>1006</v>
      </c>
      <c r="I30" s="152"/>
      <c r="J30" s="152" t="s">
        <v>1007</v>
      </c>
      <c r="K30" s="152" t="s">
        <v>1008</v>
      </c>
      <c r="L30" s="151"/>
      <c r="M30" s="151"/>
      <c r="N30" s="151"/>
      <c r="O30" s="151"/>
      <c r="P30" s="161"/>
      <c r="Q30" s="161"/>
      <c r="R30" s="161"/>
      <c r="S30" s="151" t="s">
        <v>81</v>
      </c>
      <c r="T30" s="151" t="s">
        <v>1009</v>
      </c>
      <c r="U30" s="156"/>
      <c r="V30" s="161"/>
      <c r="W30" s="161"/>
      <c r="X30" s="151"/>
      <c r="Y30" s="152" t="s">
        <v>1010</v>
      </c>
      <c r="Z30" s="157" t="s">
        <v>1010</v>
      </c>
      <c r="AA30" s="152"/>
      <c r="AB30" s="152"/>
      <c r="AC30" s="152"/>
      <c r="AD30" s="152"/>
      <c r="AE30" s="153" t="s">
        <v>154</v>
      </c>
      <c r="AF30" s="153" t="s">
        <v>1011</v>
      </c>
      <c r="AG30" s="154"/>
      <c r="AH30" s="152"/>
      <c r="AI30" s="152"/>
      <c r="AJ30" s="152"/>
      <c r="AK30" s="152" t="s">
        <v>1012</v>
      </c>
      <c r="AL30" s="152" t="s">
        <v>1013</v>
      </c>
      <c r="AM30" s="152"/>
      <c r="AN30" s="152"/>
      <c r="AO30" s="152"/>
      <c r="AP30" s="152"/>
      <c r="AQ30" s="152"/>
      <c r="AR30" s="173" t="s">
        <v>1014</v>
      </c>
      <c r="AS30" s="161"/>
      <c r="AT30" s="161"/>
      <c r="AU30" s="161"/>
      <c r="AV30" s="152" t="s">
        <v>1015</v>
      </c>
      <c r="AW30" s="152" t="s">
        <v>1016</v>
      </c>
      <c r="AX30" s="161"/>
      <c r="AY30" s="152"/>
      <c r="AZ30" s="152"/>
      <c r="BA30" s="160" t="s">
        <v>1017</v>
      </c>
      <c r="BB30" s="160" t="s">
        <v>1017</v>
      </c>
      <c r="BC30" s="161" t="s">
        <v>1018</v>
      </c>
      <c r="BD30" s="161" t="s">
        <v>1019</v>
      </c>
      <c r="BE30" s="161"/>
    </row>
    <row r="31">
      <c r="A31" s="162" t="s">
        <v>1020</v>
      </c>
      <c r="B31" s="162" t="s">
        <v>1021</v>
      </c>
      <c r="C31" s="151"/>
      <c r="D31" s="152" t="s">
        <v>1022</v>
      </c>
      <c r="E31" s="152" t="s">
        <v>1023</v>
      </c>
      <c r="F31" s="152" t="s">
        <v>1004</v>
      </c>
      <c r="G31" s="163" t="s">
        <v>1024</v>
      </c>
      <c r="H31" s="152" t="s">
        <v>1025</v>
      </c>
      <c r="I31" s="152"/>
      <c r="J31" s="151" t="s">
        <v>1026</v>
      </c>
      <c r="K31" s="151" t="s">
        <v>1027</v>
      </c>
      <c r="L31" s="151"/>
      <c r="M31" s="152"/>
      <c r="N31" s="152"/>
      <c r="O31" s="151"/>
      <c r="P31" s="161"/>
      <c r="Q31" s="161"/>
      <c r="R31" s="161"/>
      <c r="S31" s="151" t="s">
        <v>1028</v>
      </c>
      <c r="T31" s="151" t="s">
        <v>1029</v>
      </c>
      <c r="U31" s="156"/>
      <c r="V31" s="161"/>
      <c r="W31" s="161"/>
      <c r="X31" s="151"/>
      <c r="Y31" s="152" t="s">
        <v>1030</v>
      </c>
      <c r="Z31" s="157" t="s">
        <v>1030</v>
      </c>
      <c r="AA31" s="152"/>
      <c r="AB31" s="152"/>
      <c r="AC31" s="152"/>
      <c r="AD31" s="152"/>
      <c r="AE31" s="162" t="s">
        <v>1031</v>
      </c>
      <c r="AF31" s="162" t="s">
        <v>1032</v>
      </c>
      <c r="AG31" s="162"/>
      <c r="AH31" s="152"/>
      <c r="AI31" s="152"/>
      <c r="AJ31" s="152"/>
      <c r="AK31" s="152" t="s">
        <v>1033</v>
      </c>
      <c r="AL31" s="152" t="s">
        <v>1034</v>
      </c>
      <c r="AM31" s="152"/>
      <c r="AN31" s="152"/>
      <c r="AO31" s="152"/>
      <c r="AP31" s="152"/>
      <c r="AQ31" s="152"/>
      <c r="AR31" s="173" t="s">
        <v>1035</v>
      </c>
      <c r="AS31" s="152"/>
      <c r="AT31" s="152"/>
      <c r="AU31" s="152"/>
      <c r="AV31" s="152" t="s">
        <v>1036</v>
      </c>
      <c r="AW31" s="152" t="s">
        <v>1037</v>
      </c>
      <c r="AX31" s="152"/>
      <c r="AY31" s="152"/>
      <c r="AZ31" s="152"/>
      <c r="BA31" s="160" t="s">
        <v>1038</v>
      </c>
      <c r="BB31" s="160" t="s">
        <v>1039</v>
      </c>
      <c r="BC31" s="161" t="s">
        <v>1040</v>
      </c>
      <c r="BD31" s="161" t="s">
        <v>1041</v>
      </c>
      <c r="BE31" s="161"/>
    </row>
    <row r="32">
      <c r="A32" s="162" t="s">
        <v>1042</v>
      </c>
      <c r="B32" s="162" t="s">
        <v>1043</v>
      </c>
      <c r="C32" s="151"/>
      <c r="D32" s="152" t="s">
        <v>1044</v>
      </c>
      <c r="E32" s="152" t="s">
        <v>1045</v>
      </c>
      <c r="F32" s="152" t="s">
        <v>332</v>
      </c>
      <c r="G32" s="152" t="s">
        <v>1046</v>
      </c>
      <c r="H32" s="152" t="s">
        <v>1047</v>
      </c>
      <c r="I32" s="152"/>
      <c r="J32" s="152" t="s">
        <v>1048</v>
      </c>
      <c r="K32" s="152" t="s">
        <v>1049</v>
      </c>
      <c r="L32" s="152"/>
      <c r="M32" s="152"/>
      <c r="N32" s="152"/>
      <c r="O32" s="152"/>
      <c r="P32" s="161"/>
      <c r="Q32" s="161"/>
      <c r="R32" s="161"/>
      <c r="S32" s="151" t="s">
        <v>153</v>
      </c>
      <c r="T32" s="151" t="s">
        <v>1050</v>
      </c>
      <c r="U32" s="166"/>
      <c r="V32" s="161"/>
      <c r="W32" s="161"/>
      <c r="X32" s="151"/>
      <c r="Y32" s="152" t="s">
        <v>1051</v>
      </c>
      <c r="Z32" s="157" t="s">
        <v>1051</v>
      </c>
      <c r="AA32" s="152"/>
      <c r="AB32" s="152"/>
      <c r="AC32" s="152"/>
      <c r="AD32" s="152"/>
      <c r="AE32" s="162" t="s">
        <v>145</v>
      </c>
      <c r="AF32" s="162" t="s">
        <v>1052</v>
      </c>
      <c r="AG32" s="162"/>
      <c r="AH32" s="152"/>
      <c r="AI32" s="152"/>
      <c r="AJ32" s="152"/>
      <c r="AK32" s="152" t="s">
        <v>1053</v>
      </c>
      <c r="AL32" s="152" t="s">
        <v>1054</v>
      </c>
      <c r="AM32" s="152"/>
      <c r="AN32" s="152"/>
      <c r="AO32" s="152"/>
      <c r="AP32" s="152"/>
      <c r="AQ32" s="152"/>
      <c r="AR32" s="173" t="s">
        <v>1055</v>
      </c>
      <c r="AS32" s="152"/>
      <c r="AT32" s="152"/>
      <c r="AU32" s="152"/>
      <c r="AV32" s="152"/>
      <c r="AW32" s="152"/>
      <c r="AX32" s="152"/>
      <c r="AY32" s="152"/>
      <c r="AZ32" s="152"/>
      <c r="BA32" s="160" t="s">
        <v>1056</v>
      </c>
      <c r="BB32" s="160" t="s">
        <v>1057</v>
      </c>
      <c r="BC32" s="161" t="s">
        <v>1058</v>
      </c>
      <c r="BD32" s="161" t="s">
        <v>1059</v>
      </c>
      <c r="BE32" s="152"/>
    </row>
    <row r="33">
      <c r="A33" s="162" t="s">
        <v>1060</v>
      </c>
      <c r="B33" s="162" t="s">
        <v>1061</v>
      </c>
      <c r="C33" s="151"/>
      <c r="D33" s="152" t="s">
        <v>1062</v>
      </c>
      <c r="E33" s="152" t="s">
        <v>1063</v>
      </c>
      <c r="F33" s="152" t="s">
        <v>363</v>
      </c>
      <c r="G33" s="152" t="s">
        <v>1064</v>
      </c>
      <c r="H33" s="152" t="s">
        <v>1065</v>
      </c>
      <c r="I33" s="152"/>
      <c r="J33" s="152" t="s">
        <v>1066</v>
      </c>
      <c r="K33" s="152" t="s">
        <v>1067</v>
      </c>
      <c r="L33" s="151"/>
      <c r="M33" s="151"/>
      <c r="N33" s="151"/>
      <c r="O33" s="151"/>
      <c r="P33" s="161"/>
      <c r="Q33" s="161"/>
      <c r="R33" s="161"/>
      <c r="S33" s="151" t="s">
        <v>889</v>
      </c>
      <c r="T33" s="151" t="s">
        <v>492</v>
      </c>
      <c r="U33" s="152"/>
      <c r="V33" s="161"/>
      <c r="W33" s="161"/>
      <c r="X33" s="151"/>
      <c r="Y33" s="152" t="s">
        <v>1068</v>
      </c>
      <c r="Z33" s="157" t="s">
        <v>1068</v>
      </c>
      <c r="AA33" s="152"/>
      <c r="AB33" s="152"/>
      <c r="AC33" s="152"/>
      <c r="AD33" s="152"/>
      <c r="AE33" s="162" t="s">
        <v>1069</v>
      </c>
      <c r="AF33" s="162" t="s">
        <v>1070</v>
      </c>
      <c r="AG33" s="162"/>
      <c r="AH33" s="152"/>
      <c r="AI33" s="152"/>
      <c r="AJ33" s="152"/>
      <c r="AK33" s="151"/>
      <c r="AL33" s="159"/>
      <c r="AM33" s="166"/>
      <c r="AN33" s="152"/>
      <c r="AO33" s="152"/>
      <c r="AP33" s="152"/>
      <c r="AQ33" s="152"/>
      <c r="AR33" s="173" t="s">
        <v>1071</v>
      </c>
      <c r="AS33" s="152"/>
      <c r="AT33" s="152"/>
      <c r="AU33" s="152"/>
      <c r="AV33" s="152"/>
      <c r="AW33" s="152"/>
      <c r="AX33" s="152"/>
      <c r="AY33" s="152"/>
      <c r="AZ33" s="152"/>
      <c r="BA33" s="160" t="s">
        <v>1072</v>
      </c>
      <c r="BB33" s="160" t="s">
        <v>1073</v>
      </c>
      <c r="BC33" s="152"/>
      <c r="BD33" s="152"/>
      <c r="BE33" s="152"/>
    </row>
    <row r="34">
      <c r="A34" s="162" t="s">
        <v>1074</v>
      </c>
      <c r="B34" s="162" t="s">
        <v>1075</v>
      </c>
      <c r="C34" s="152"/>
      <c r="D34" s="151" t="s">
        <v>1076</v>
      </c>
      <c r="E34" s="151" t="s">
        <v>1077</v>
      </c>
      <c r="F34" s="151" t="s">
        <v>898</v>
      </c>
      <c r="G34" s="152" t="s">
        <v>1078</v>
      </c>
      <c r="H34" s="152" t="s">
        <v>1079</v>
      </c>
      <c r="I34" s="152"/>
      <c r="J34" s="151" t="s">
        <v>1080</v>
      </c>
      <c r="K34" s="151" t="s">
        <v>1081</v>
      </c>
      <c r="L34" s="151"/>
      <c r="M34" s="152"/>
      <c r="N34" s="152"/>
      <c r="O34" s="151"/>
      <c r="P34" s="161"/>
      <c r="Q34" s="161"/>
      <c r="R34" s="161"/>
      <c r="S34" s="151" t="s">
        <v>1082</v>
      </c>
      <c r="T34" s="151" t="s">
        <v>1083</v>
      </c>
      <c r="U34" s="156"/>
      <c r="V34" s="161"/>
      <c r="W34" s="161"/>
      <c r="X34" s="151"/>
      <c r="Y34" s="152" t="s">
        <v>1084</v>
      </c>
      <c r="Z34" s="157" t="s">
        <v>1084</v>
      </c>
      <c r="AA34" s="152"/>
      <c r="AB34" s="152"/>
      <c r="AC34" s="152"/>
      <c r="AD34" s="152"/>
      <c r="AE34" s="152" t="s">
        <v>1085</v>
      </c>
      <c r="AF34" s="152" t="s">
        <v>1085</v>
      </c>
      <c r="AG34" s="152"/>
      <c r="AH34" s="152"/>
      <c r="AI34" s="152"/>
      <c r="AJ34" s="152"/>
      <c r="AK34" s="151"/>
      <c r="AL34" s="159"/>
      <c r="AM34" s="166"/>
      <c r="AN34" s="152"/>
      <c r="AO34" s="152"/>
      <c r="AP34" s="152"/>
      <c r="AQ34" s="152"/>
      <c r="AR34" s="173" t="s">
        <v>1086</v>
      </c>
      <c r="AS34" s="152"/>
      <c r="AT34" s="152"/>
      <c r="AU34" s="152"/>
      <c r="AV34" s="152"/>
      <c r="AW34" s="152"/>
      <c r="AX34" s="152"/>
      <c r="AY34" s="152"/>
      <c r="AZ34" s="152"/>
      <c r="BA34" s="160" t="s">
        <v>1087</v>
      </c>
      <c r="BB34" s="160" t="s">
        <v>1088</v>
      </c>
      <c r="BC34" s="152"/>
      <c r="BD34" s="152"/>
      <c r="BE34" s="152"/>
    </row>
    <row r="35">
      <c r="A35" s="162" t="s">
        <v>1089</v>
      </c>
      <c r="B35" s="162" t="s">
        <v>3</v>
      </c>
      <c r="C35" s="152"/>
      <c r="D35" s="152" t="s">
        <v>1090</v>
      </c>
      <c r="E35" s="152" t="s">
        <v>1091</v>
      </c>
      <c r="F35" s="152" t="s">
        <v>332</v>
      </c>
      <c r="G35" s="152" t="s">
        <v>1092</v>
      </c>
      <c r="H35" s="152" t="s">
        <v>1093</v>
      </c>
      <c r="I35" s="152"/>
      <c r="J35" s="151" t="s">
        <v>1094</v>
      </c>
      <c r="K35" s="151" t="s">
        <v>1095</v>
      </c>
      <c r="L35" s="152"/>
      <c r="M35" s="152"/>
      <c r="N35" s="152"/>
      <c r="O35" s="152"/>
      <c r="P35" s="161"/>
      <c r="Q35" s="161"/>
      <c r="R35" s="161"/>
      <c r="S35" s="152" t="s">
        <v>1096</v>
      </c>
      <c r="T35" s="152" t="s">
        <v>1097</v>
      </c>
      <c r="U35" s="156"/>
      <c r="V35" s="161"/>
      <c r="W35" s="161"/>
      <c r="X35" s="151"/>
      <c r="Y35" s="152" t="s">
        <v>1098</v>
      </c>
      <c r="Z35" s="157" t="s">
        <v>1098</v>
      </c>
      <c r="AA35" s="152"/>
      <c r="AB35" s="152"/>
      <c r="AC35" s="152"/>
      <c r="AD35" s="152"/>
      <c r="AE35" s="151" t="s">
        <v>1099</v>
      </c>
      <c r="AF35" s="151" t="s">
        <v>1100</v>
      </c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73" t="s">
        <v>1101</v>
      </c>
      <c r="AS35" s="152"/>
      <c r="AT35" s="152"/>
      <c r="AU35" s="152"/>
      <c r="AV35" s="152"/>
      <c r="AW35" s="152"/>
      <c r="AX35" s="152"/>
      <c r="AY35" s="152"/>
      <c r="AZ35" s="152"/>
      <c r="BA35" s="160" t="s">
        <v>1102</v>
      </c>
      <c r="BB35" s="160" t="s">
        <v>1103</v>
      </c>
      <c r="BC35" s="152"/>
      <c r="BD35" s="152"/>
      <c r="BE35" s="152"/>
    </row>
    <row r="36">
      <c r="A36" s="162" t="s">
        <v>1104</v>
      </c>
      <c r="B36" s="162" t="s">
        <v>1105</v>
      </c>
      <c r="C36" s="151"/>
      <c r="D36" s="152" t="s">
        <v>1106</v>
      </c>
      <c r="E36" s="152" t="s">
        <v>1107</v>
      </c>
      <c r="F36" s="152"/>
      <c r="G36" s="152" t="s">
        <v>1108</v>
      </c>
      <c r="H36" s="152" t="s">
        <v>1109</v>
      </c>
      <c r="I36" s="152"/>
      <c r="J36" s="152" t="s">
        <v>1110</v>
      </c>
      <c r="K36" s="152" t="s">
        <v>1111</v>
      </c>
      <c r="L36" s="151"/>
      <c r="M36" s="151"/>
      <c r="N36" s="151"/>
      <c r="O36" s="151"/>
      <c r="P36" s="161"/>
      <c r="Q36" s="161"/>
      <c r="R36" s="161"/>
      <c r="S36" s="151" t="s">
        <v>1112</v>
      </c>
      <c r="T36" s="151" t="s">
        <v>1113</v>
      </c>
      <c r="U36" s="152"/>
      <c r="V36" s="161"/>
      <c r="W36" s="161"/>
      <c r="X36" s="151"/>
      <c r="Y36" s="152" t="s">
        <v>1114</v>
      </c>
      <c r="Z36" s="157" t="s">
        <v>1114</v>
      </c>
      <c r="AA36" s="152"/>
      <c r="AB36" s="152"/>
      <c r="AC36" s="152"/>
      <c r="AD36" s="152"/>
      <c r="AE36" s="151" t="s">
        <v>1115</v>
      </c>
      <c r="AF36" s="151" t="s">
        <v>1116</v>
      </c>
      <c r="AG36" s="152" t="s">
        <v>1117</v>
      </c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73" t="s">
        <v>1118</v>
      </c>
      <c r="AS36" s="152"/>
      <c r="AT36" s="152"/>
      <c r="AU36" s="152"/>
      <c r="AV36" s="152"/>
      <c r="AW36" s="152"/>
      <c r="AX36" s="152"/>
      <c r="AY36" s="152"/>
      <c r="AZ36" s="152"/>
      <c r="BA36" s="160" t="s">
        <v>1119</v>
      </c>
      <c r="BB36" s="160" t="s">
        <v>1120</v>
      </c>
      <c r="BC36" s="152"/>
      <c r="BD36" s="152"/>
      <c r="BE36" s="152"/>
    </row>
    <row r="37">
      <c r="A37" s="162" t="s">
        <v>1121</v>
      </c>
      <c r="B37" s="162" t="s">
        <v>1122</v>
      </c>
      <c r="C37" s="151"/>
      <c r="D37" s="152" t="s">
        <v>1123</v>
      </c>
      <c r="E37" s="152" t="s">
        <v>1124</v>
      </c>
      <c r="F37" s="152" t="s">
        <v>898</v>
      </c>
      <c r="G37" s="152" t="s">
        <v>1125</v>
      </c>
      <c r="H37" s="152" t="s">
        <v>1126</v>
      </c>
      <c r="I37" s="152"/>
      <c r="J37" s="152" t="s">
        <v>1127</v>
      </c>
      <c r="K37" s="152" t="s">
        <v>1128</v>
      </c>
      <c r="L37" s="151"/>
      <c r="M37" s="151"/>
      <c r="N37" s="151"/>
      <c r="O37" s="151"/>
      <c r="P37" s="161"/>
      <c r="Q37" s="161"/>
      <c r="R37" s="161"/>
      <c r="S37" s="151" t="s">
        <v>80</v>
      </c>
      <c r="T37" s="151" t="s">
        <v>1129</v>
      </c>
      <c r="U37" s="156"/>
      <c r="V37" s="161"/>
      <c r="W37" s="161"/>
      <c r="X37" s="151"/>
      <c r="Y37" s="152" t="s">
        <v>1130</v>
      </c>
      <c r="Z37" s="157" t="s">
        <v>1130</v>
      </c>
      <c r="AA37" s="152"/>
      <c r="AB37" s="152"/>
      <c r="AC37" s="152"/>
      <c r="AD37" s="152"/>
      <c r="AE37" s="152" t="s">
        <v>1131</v>
      </c>
      <c r="AF37" s="152" t="s">
        <v>1132</v>
      </c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73" t="s">
        <v>1133</v>
      </c>
      <c r="AS37" s="152"/>
      <c r="AT37" s="152"/>
      <c r="AU37" s="152"/>
      <c r="AV37" s="152"/>
      <c r="AW37" s="152"/>
      <c r="AX37" s="152"/>
      <c r="AY37" s="152"/>
      <c r="AZ37" s="152"/>
      <c r="BA37" s="160" t="s">
        <v>1134</v>
      </c>
      <c r="BB37" s="160" t="s">
        <v>1135</v>
      </c>
      <c r="BC37" s="152"/>
      <c r="BD37" s="152"/>
      <c r="BE37" s="152"/>
    </row>
    <row r="38">
      <c r="A38" s="162" t="s">
        <v>1136</v>
      </c>
      <c r="B38" s="162" t="s">
        <v>1137</v>
      </c>
      <c r="C38" s="152"/>
      <c r="D38" s="152" t="s">
        <v>1138</v>
      </c>
      <c r="E38" s="152" t="s">
        <v>1139</v>
      </c>
      <c r="F38" s="152" t="s">
        <v>898</v>
      </c>
      <c r="G38" s="152" t="s">
        <v>1140</v>
      </c>
      <c r="H38" s="152" t="s">
        <v>1141</v>
      </c>
      <c r="I38" s="152"/>
      <c r="J38" s="152" t="s">
        <v>1142</v>
      </c>
      <c r="K38" s="152" t="s">
        <v>1143</v>
      </c>
      <c r="L38" s="166"/>
      <c r="M38" s="152"/>
      <c r="N38" s="152"/>
      <c r="O38" s="166"/>
      <c r="P38" s="152"/>
      <c r="Q38" s="152"/>
      <c r="R38" s="152"/>
      <c r="S38" s="151" t="s">
        <v>1144</v>
      </c>
      <c r="T38" s="151" t="s">
        <v>1145</v>
      </c>
      <c r="U38" s="156"/>
      <c r="V38" s="152"/>
      <c r="W38" s="152"/>
      <c r="X38" s="151"/>
      <c r="Y38" s="152" t="s">
        <v>1146</v>
      </c>
      <c r="Z38" s="157" t="s">
        <v>1146</v>
      </c>
      <c r="AA38" s="152"/>
      <c r="AB38" s="152"/>
      <c r="AC38" s="152"/>
      <c r="AD38" s="152"/>
      <c r="AE38" s="151" t="s">
        <v>1147</v>
      </c>
      <c r="AF38" s="151" t="s">
        <v>1148</v>
      </c>
      <c r="AG38" s="151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73" t="s">
        <v>1149</v>
      </c>
      <c r="AS38" s="152"/>
      <c r="AT38" s="152"/>
      <c r="AU38" s="152"/>
      <c r="AV38" s="152"/>
      <c r="AW38" s="152"/>
      <c r="AX38" s="152"/>
      <c r="AY38" s="152"/>
      <c r="AZ38" s="152"/>
      <c r="BA38" s="160" t="s">
        <v>1150</v>
      </c>
      <c r="BB38" s="160" t="s">
        <v>1151</v>
      </c>
      <c r="BC38" s="152"/>
      <c r="BD38" s="152"/>
      <c r="BE38" s="152"/>
    </row>
    <row r="39">
      <c r="A39" s="162" t="s">
        <v>1152</v>
      </c>
      <c r="B39" s="162" t="s">
        <v>1153</v>
      </c>
      <c r="C39" s="152"/>
      <c r="D39" s="152" t="s">
        <v>1154</v>
      </c>
      <c r="E39" s="152" t="s">
        <v>1155</v>
      </c>
      <c r="F39" s="152"/>
      <c r="G39" s="152" t="s">
        <v>1156</v>
      </c>
      <c r="H39" s="152" t="s">
        <v>1157</v>
      </c>
      <c r="I39" s="152"/>
      <c r="J39" s="152" t="s">
        <v>1158</v>
      </c>
      <c r="K39" s="152" t="s">
        <v>1159</v>
      </c>
      <c r="L39" s="152"/>
      <c r="M39" s="152"/>
      <c r="N39" s="152"/>
      <c r="O39" s="152"/>
      <c r="P39" s="152"/>
      <c r="Q39" s="152"/>
      <c r="R39" s="152"/>
      <c r="S39" s="151" t="s">
        <v>1160</v>
      </c>
      <c r="T39" s="151" t="s">
        <v>1161</v>
      </c>
      <c r="U39" s="156"/>
      <c r="V39" s="152"/>
      <c r="W39" s="152"/>
      <c r="X39" s="151"/>
      <c r="Y39" s="152" t="s">
        <v>1162</v>
      </c>
      <c r="Z39" s="157" t="s">
        <v>1162</v>
      </c>
      <c r="AA39" s="152"/>
      <c r="AB39" s="152"/>
      <c r="AC39" s="152"/>
      <c r="AD39" s="152"/>
      <c r="AE39" s="151" t="s">
        <v>1163</v>
      </c>
      <c r="AF39" s="151" t="s">
        <v>1164</v>
      </c>
      <c r="AG39" s="151" t="s">
        <v>1165</v>
      </c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73" t="s">
        <v>1166</v>
      </c>
      <c r="AS39" s="152"/>
      <c r="AT39" s="152"/>
      <c r="AU39" s="152"/>
      <c r="AV39" s="152"/>
      <c r="AW39" s="152"/>
      <c r="AX39" s="152"/>
      <c r="AY39" s="152"/>
      <c r="AZ39" s="152"/>
      <c r="BA39" s="160" t="s">
        <v>1167</v>
      </c>
      <c r="BB39" s="160" t="s">
        <v>1168</v>
      </c>
      <c r="BC39" s="152"/>
      <c r="BD39" s="152"/>
      <c r="BE39" s="152"/>
    </row>
    <row r="40">
      <c r="A40" s="162" t="s">
        <v>1169</v>
      </c>
      <c r="B40" s="162" t="s">
        <v>1170</v>
      </c>
      <c r="C40" s="151"/>
      <c r="D40" s="152" t="s">
        <v>1171</v>
      </c>
      <c r="E40" s="152" t="s">
        <v>1172</v>
      </c>
      <c r="F40" s="152" t="s">
        <v>806</v>
      </c>
      <c r="G40" s="152" t="s">
        <v>1173</v>
      </c>
      <c r="H40" s="152" t="s">
        <v>1174</v>
      </c>
      <c r="I40" s="152" t="s">
        <v>486</v>
      </c>
      <c r="J40" s="151" t="s">
        <v>1175</v>
      </c>
      <c r="K40" s="151" t="s">
        <v>1176</v>
      </c>
      <c r="L40" s="151"/>
      <c r="M40" s="151"/>
      <c r="N40" s="151"/>
      <c r="O40" s="151"/>
      <c r="P40" s="152"/>
      <c r="Q40" s="152"/>
      <c r="R40" s="152"/>
      <c r="S40" s="152" t="s">
        <v>995</v>
      </c>
      <c r="T40" s="152" t="s">
        <v>995</v>
      </c>
      <c r="U40" s="156"/>
      <c r="V40" s="152"/>
      <c r="W40" s="152"/>
      <c r="X40" s="151"/>
      <c r="Y40" s="152" t="s">
        <v>1177</v>
      </c>
      <c r="Z40" s="157" t="s">
        <v>1177</v>
      </c>
      <c r="AA40" s="152"/>
      <c r="AB40" s="152"/>
      <c r="AC40" s="152"/>
      <c r="AD40" s="152"/>
      <c r="AE40" s="152" t="s">
        <v>1178</v>
      </c>
      <c r="AF40" s="152" t="s">
        <v>1179</v>
      </c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73" t="s">
        <v>1180</v>
      </c>
      <c r="AS40" s="152"/>
      <c r="AT40" s="152"/>
      <c r="AU40" s="152"/>
      <c r="AV40" s="152"/>
      <c r="AW40" s="152"/>
      <c r="AX40" s="152"/>
      <c r="AY40" s="152"/>
      <c r="AZ40" s="152"/>
      <c r="BA40" s="160" t="s">
        <v>1181</v>
      </c>
      <c r="BB40" s="160" t="s">
        <v>864</v>
      </c>
      <c r="BC40" s="152"/>
      <c r="BD40" s="152"/>
      <c r="BE40" s="152"/>
    </row>
    <row r="41">
      <c r="A41" s="162" t="s">
        <v>1182</v>
      </c>
      <c r="B41" s="162" t="s">
        <v>1183</v>
      </c>
      <c r="C41" s="152"/>
      <c r="D41" s="152" t="s">
        <v>1184</v>
      </c>
      <c r="E41" s="152" t="s">
        <v>1185</v>
      </c>
      <c r="F41" s="152" t="s">
        <v>1186</v>
      </c>
      <c r="G41" s="152" t="s">
        <v>1187</v>
      </c>
      <c r="H41" s="152" t="s">
        <v>1188</v>
      </c>
      <c r="I41" s="152"/>
      <c r="J41" s="152" t="s">
        <v>1189</v>
      </c>
      <c r="K41" s="152" t="s">
        <v>1190</v>
      </c>
      <c r="L41" s="152"/>
      <c r="M41" s="152"/>
      <c r="N41" s="152"/>
      <c r="O41" s="152"/>
      <c r="P41" s="152"/>
      <c r="Q41" s="152"/>
      <c r="R41" s="152"/>
      <c r="S41" s="151" t="s">
        <v>1191</v>
      </c>
      <c r="T41" s="151" t="s">
        <v>1192</v>
      </c>
      <c r="U41" s="151"/>
      <c r="V41" s="152"/>
      <c r="W41" s="152"/>
      <c r="X41" s="151"/>
      <c r="Y41" s="152" t="s">
        <v>1193</v>
      </c>
      <c r="Z41" s="157" t="s">
        <v>1193</v>
      </c>
      <c r="AA41" s="152"/>
      <c r="AB41" s="152"/>
      <c r="AC41" s="152"/>
      <c r="AD41" s="152"/>
      <c r="AE41" s="174" t="s">
        <v>122</v>
      </c>
      <c r="AF41" s="174" t="s">
        <v>1194</v>
      </c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75" t="s">
        <v>1195</v>
      </c>
      <c r="BB41" s="160" t="s">
        <v>1196</v>
      </c>
      <c r="BC41" s="152"/>
      <c r="BD41" s="152"/>
      <c r="BE41" s="152"/>
    </row>
    <row r="42">
      <c r="A42" s="162" t="s">
        <v>1197</v>
      </c>
      <c r="B42" s="162" t="s">
        <v>1198</v>
      </c>
      <c r="C42" s="152"/>
      <c r="D42" s="152" t="s">
        <v>1199</v>
      </c>
      <c r="E42" s="152" t="s">
        <v>1200</v>
      </c>
      <c r="F42" s="152" t="s">
        <v>332</v>
      </c>
      <c r="G42" s="152" t="s">
        <v>1201</v>
      </c>
      <c r="H42" s="152" t="s">
        <v>1202</v>
      </c>
      <c r="I42" s="152"/>
      <c r="J42" s="152" t="s">
        <v>1203</v>
      </c>
      <c r="K42" s="152" t="s">
        <v>1204</v>
      </c>
      <c r="L42" s="166"/>
      <c r="M42" s="152"/>
      <c r="N42" s="152"/>
      <c r="O42" s="166"/>
      <c r="P42" s="152"/>
      <c r="Q42" s="152"/>
      <c r="R42" s="152"/>
      <c r="S42" s="151" t="s">
        <v>1205</v>
      </c>
      <c r="T42" s="151" t="s">
        <v>1206</v>
      </c>
      <c r="U42" s="161"/>
      <c r="V42" s="152"/>
      <c r="W42" s="152"/>
      <c r="X42" s="151"/>
      <c r="Y42" s="152" t="s">
        <v>1207</v>
      </c>
      <c r="Z42" s="157" t="s">
        <v>1207</v>
      </c>
      <c r="AA42" s="152"/>
      <c r="AB42" s="152"/>
      <c r="AC42" s="152"/>
      <c r="AD42" s="152"/>
      <c r="AE42" s="174" t="s">
        <v>1208</v>
      </c>
      <c r="AF42" s="176" t="s">
        <v>1209</v>
      </c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60" t="s">
        <v>1210</v>
      </c>
      <c r="BB42" s="160" t="s">
        <v>1211</v>
      </c>
      <c r="BC42" s="152"/>
      <c r="BD42" s="152"/>
      <c r="BE42" s="152"/>
    </row>
    <row r="43">
      <c r="A43" s="162" t="s">
        <v>1212</v>
      </c>
      <c r="B43" s="162" t="s">
        <v>1213</v>
      </c>
      <c r="C43" s="152"/>
      <c r="D43" s="151" t="s">
        <v>1214</v>
      </c>
      <c r="E43" s="151" t="s">
        <v>1215</v>
      </c>
      <c r="F43" s="151"/>
      <c r="G43" s="152" t="s">
        <v>1216</v>
      </c>
      <c r="H43" s="152" t="s">
        <v>1217</v>
      </c>
      <c r="I43" s="152"/>
      <c r="J43" s="151" t="s">
        <v>1218</v>
      </c>
      <c r="K43" s="151" t="s">
        <v>1219</v>
      </c>
      <c r="L43" s="151"/>
      <c r="M43" s="151"/>
      <c r="N43" s="151"/>
      <c r="O43" s="151"/>
      <c r="P43" s="152"/>
      <c r="Q43" s="152"/>
      <c r="R43" s="152"/>
      <c r="S43" s="151" t="s">
        <v>1220</v>
      </c>
      <c r="T43" s="151" t="s">
        <v>1221</v>
      </c>
      <c r="U43" s="161"/>
      <c r="V43" s="152"/>
      <c r="W43" s="152"/>
      <c r="X43" s="151"/>
      <c r="Y43" s="152" t="s">
        <v>1222</v>
      </c>
      <c r="Z43" s="157" t="s">
        <v>1222</v>
      </c>
      <c r="AA43" s="152"/>
      <c r="AB43" s="152"/>
      <c r="AC43" s="152"/>
      <c r="AD43" s="152"/>
      <c r="AE43" s="174" t="s">
        <v>120</v>
      </c>
      <c r="AF43" s="176" t="s">
        <v>1223</v>
      </c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60" t="s">
        <v>1224</v>
      </c>
      <c r="BB43" s="160" t="s">
        <v>1225</v>
      </c>
      <c r="BC43" s="152"/>
      <c r="BD43" s="152"/>
      <c r="BE43" s="152"/>
    </row>
    <row r="44">
      <c r="A44" s="162" t="s">
        <v>1226</v>
      </c>
      <c r="B44" s="162" t="s">
        <v>1227</v>
      </c>
      <c r="C44" s="151"/>
      <c r="D44" s="152" t="s">
        <v>1228</v>
      </c>
      <c r="E44" s="152" t="s">
        <v>1229</v>
      </c>
      <c r="F44" s="152" t="s">
        <v>855</v>
      </c>
      <c r="G44" s="152" t="s">
        <v>1230</v>
      </c>
      <c r="H44" s="152" t="s">
        <v>1231</v>
      </c>
      <c r="I44" s="152"/>
      <c r="J44" s="151" t="s">
        <v>1232</v>
      </c>
      <c r="K44" s="151" t="s">
        <v>1233</v>
      </c>
      <c r="L44" s="151"/>
      <c r="M44" s="151"/>
      <c r="N44" s="151"/>
      <c r="O44" s="151"/>
      <c r="P44" s="152"/>
      <c r="Q44" s="152"/>
      <c r="R44" s="152"/>
      <c r="S44" s="151" t="s">
        <v>1234</v>
      </c>
      <c r="T44" s="151" t="s">
        <v>1234</v>
      </c>
      <c r="U44" s="156"/>
      <c r="V44" s="152"/>
      <c r="W44" s="152"/>
      <c r="X44" s="151"/>
      <c r="Y44" s="152" t="s">
        <v>1235</v>
      </c>
      <c r="Z44" s="157" t="s">
        <v>1235</v>
      </c>
      <c r="AA44" s="152"/>
      <c r="AB44" s="152"/>
      <c r="AC44" s="152"/>
      <c r="AD44" s="152"/>
      <c r="AE44" s="174" t="s">
        <v>1236</v>
      </c>
      <c r="AF44" s="176" t="s">
        <v>1237</v>
      </c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60"/>
      <c r="BB44" s="160"/>
      <c r="BC44" s="152"/>
      <c r="BD44" s="152"/>
      <c r="BE44" s="152"/>
    </row>
    <row r="45">
      <c r="A45" s="162" t="s">
        <v>1238</v>
      </c>
      <c r="B45" s="162" t="s">
        <v>1239</v>
      </c>
      <c r="C45" s="151"/>
      <c r="D45" s="151" t="s">
        <v>1240</v>
      </c>
      <c r="E45" s="151" t="s">
        <v>1241</v>
      </c>
      <c r="F45" s="151" t="s">
        <v>898</v>
      </c>
      <c r="G45" s="152" t="s">
        <v>1242</v>
      </c>
      <c r="H45" s="152" t="s">
        <v>1243</v>
      </c>
      <c r="I45" s="152"/>
      <c r="J45" s="152" t="s">
        <v>1244</v>
      </c>
      <c r="K45" s="152" t="s">
        <v>1245</v>
      </c>
      <c r="L45" s="151"/>
      <c r="M45" s="151"/>
      <c r="N45" s="151"/>
      <c r="O45" s="151"/>
      <c r="P45" s="152"/>
      <c r="Q45" s="152"/>
      <c r="R45" s="152"/>
      <c r="S45" s="152" t="s">
        <v>1246</v>
      </c>
      <c r="T45" s="152" t="s">
        <v>1247</v>
      </c>
      <c r="U45" s="156"/>
      <c r="V45" s="152"/>
      <c r="W45" s="152"/>
      <c r="X45" s="151"/>
      <c r="Y45" s="152" t="s">
        <v>1248</v>
      </c>
      <c r="Z45" s="157" t="s">
        <v>1248</v>
      </c>
      <c r="AA45" s="152"/>
      <c r="AB45" s="152"/>
      <c r="AC45" s="152"/>
      <c r="AD45" s="152"/>
      <c r="AE45" s="174" t="s">
        <v>121</v>
      </c>
      <c r="AF45" s="176" t="s">
        <v>1249</v>
      </c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60"/>
      <c r="BB45" s="160"/>
      <c r="BC45" s="152"/>
      <c r="BD45" s="152"/>
      <c r="BE45" s="152"/>
    </row>
    <row r="46">
      <c r="A46" s="162" t="s">
        <v>1250</v>
      </c>
      <c r="B46" s="162" t="s">
        <v>1251</v>
      </c>
      <c r="C46" s="152"/>
      <c r="D46" s="152" t="s">
        <v>1252</v>
      </c>
      <c r="E46" s="152" t="s">
        <v>1253</v>
      </c>
      <c r="F46" s="152" t="s">
        <v>855</v>
      </c>
      <c r="G46" s="163" t="s">
        <v>1254</v>
      </c>
      <c r="H46" s="152" t="s">
        <v>1255</v>
      </c>
      <c r="I46" s="152"/>
      <c r="J46" s="152" t="s">
        <v>1256</v>
      </c>
      <c r="K46" s="152" t="s">
        <v>1257</v>
      </c>
      <c r="L46" s="151"/>
      <c r="M46" s="152"/>
      <c r="N46" s="152"/>
      <c r="O46" s="151"/>
      <c r="P46" s="152"/>
      <c r="Q46" s="152"/>
      <c r="R46" s="152"/>
      <c r="S46" s="151" t="s">
        <v>1258</v>
      </c>
      <c r="T46" s="151" t="s">
        <v>1259</v>
      </c>
      <c r="U46" s="152"/>
      <c r="V46" s="152"/>
      <c r="W46" s="152"/>
      <c r="X46" s="151"/>
      <c r="Y46" s="152" t="s">
        <v>1260</v>
      </c>
      <c r="Z46" s="157" t="s">
        <v>1260</v>
      </c>
      <c r="AA46" s="152"/>
      <c r="AB46" s="152"/>
      <c r="AC46" s="152"/>
      <c r="AD46" s="152"/>
      <c r="AE46" s="174" t="s">
        <v>1261</v>
      </c>
      <c r="AF46" s="176" t="s">
        <v>1262</v>
      </c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60"/>
      <c r="BB46" s="160"/>
      <c r="BC46" s="152"/>
      <c r="BD46" s="152"/>
      <c r="BE46" s="152"/>
    </row>
    <row r="47">
      <c r="A47" s="162" t="s">
        <v>1263</v>
      </c>
      <c r="B47" s="162" t="s">
        <v>1264</v>
      </c>
      <c r="C47" s="152"/>
      <c r="D47" s="163" t="s">
        <v>1265</v>
      </c>
      <c r="E47" s="152" t="s">
        <v>1266</v>
      </c>
      <c r="F47" s="152" t="s">
        <v>332</v>
      </c>
      <c r="G47" s="152" t="s">
        <v>1267</v>
      </c>
      <c r="H47" s="152" t="s">
        <v>1268</v>
      </c>
      <c r="I47" s="152"/>
      <c r="J47" s="151" t="s">
        <v>1269</v>
      </c>
      <c r="K47" s="151" t="s">
        <v>1270</v>
      </c>
      <c r="L47" s="152"/>
      <c r="M47" s="152"/>
      <c r="N47" s="152"/>
      <c r="O47" s="152"/>
      <c r="P47" s="152"/>
      <c r="Q47" s="152"/>
      <c r="R47" s="152"/>
      <c r="S47" s="151" t="s">
        <v>1271</v>
      </c>
      <c r="T47" s="151" t="s">
        <v>1272</v>
      </c>
      <c r="U47" s="151"/>
      <c r="V47" s="152"/>
      <c r="W47" s="152"/>
      <c r="X47" s="151"/>
      <c r="Y47" s="152" t="s">
        <v>1273</v>
      </c>
      <c r="Z47" s="157" t="s">
        <v>1273</v>
      </c>
      <c r="AA47" s="152"/>
      <c r="AB47" s="152"/>
      <c r="AC47" s="152"/>
      <c r="AD47" s="152"/>
      <c r="AE47" s="174" t="s">
        <v>1274</v>
      </c>
      <c r="AF47" s="176" t="s">
        <v>1275</v>
      </c>
      <c r="AG47" s="152"/>
      <c r="AH47" s="152"/>
      <c r="AI47" s="152"/>
      <c r="AJ47" s="152"/>
      <c r="AK47" s="152"/>
      <c r="AL47" s="152"/>
      <c r="AM47" s="151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60"/>
      <c r="BB47" s="160"/>
      <c r="BC47" s="152"/>
      <c r="BD47" s="152"/>
      <c r="BE47" s="152"/>
    </row>
    <row r="48">
      <c r="A48" s="162" t="s">
        <v>1276</v>
      </c>
      <c r="B48" s="162" t="s">
        <v>1277</v>
      </c>
      <c r="C48" s="152"/>
      <c r="D48" s="152" t="s">
        <v>1278</v>
      </c>
      <c r="E48" s="152" t="s">
        <v>1279</v>
      </c>
      <c r="F48" s="152" t="s">
        <v>806</v>
      </c>
      <c r="G48" s="152" t="s">
        <v>1280</v>
      </c>
      <c r="H48" s="152" t="s">
        <v>1281</v>
      </c>
      <c r="I48" s="152" t="s">
        <v>486</v>
      </c>
      <c r="J48" s="152" t="s">
        <v>1282</v>
      </c>
      <c r="K48" s="152" t="s">
        <v>1283</v>
      </c>
      <c r="L48" s="151"/>
      <c r="M48" s="151"/>
      <c r="N48" s="151"/>
      <c r="O48" s="151"/>
      <c r="P48" s="152"/>
      <c r="Q48" s="152"/>
      <c r="R48" s="152"/>
      <c r="S48" s="151" t="s">
        <v>70</v>
      </c>
      <c r="T48" s="151" t="s">
        <v>1284</v>
      </c>
      <c r="U48" s="151"/>
      <c r="V48" s="152"/>
      <c r="W48" s="152"/>
      <c r="X48" s="151"/>
      <c r="Y48" s="152" t="s">
        <v>1285</v>
      </c>
      <c r="Z48" s="157" t="s">
        <v>1285</v>
      </c>
      <c r="AA48" s="152"/>
      <c r="AB48" s="152"/>
      <c r="AC48" s="152"/>
      <c r="AD48" s="152"/>
      <c r="AE48" s="174" t="s">
        <v>1286</v>
      </c>
      <c r="AF48" s="176" t="s">
        <v>1287</v>
      </c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60"/>
      <c r="BB48" s="160"/>
      <c r="BC48" s="152"/>
      <c r="BD48" s="152"/>
      <c r="BE48" s="152"/>
    </row>
    <row r="49">
      <c r="A49" s="162" t="s">
        <v>1288</v>
      </c>
      <c r="B49" s="162" t="s">
        <v>1289</v>
      </c>
      <c r="C49" s="152"/>
      <c r="D49" s="152" t="s">
        <v>1290</v>
      </c>
      <c r="E49" s="152" t="s">
        <v>1291</v>
      </c>
      <c r="F49" s="152" t="s">
        <v>898</v>
      </c>
      <c r="G49" s="152" t="s">
        <v>1292</v>
      </c>
      <c r="H49" s="152" t="s">
        <v>1293</v>
      </c>
      <c r="I49" s="152" t="s">
        <v>486</v>
      </c>
      <c r="J49" s="152" t="s">
        <v>1294</v>
      </c>
      <c r="K49" s="152" t="s">
        <v>1295</v>
      </c>
      <c r="L49" s="151"/>
      <c r="M49" s="151"/>
      <c r="N49" s="151"/>
      <c r="O49" s="151"/>
      <c r="P49" s="152"/>
      <c r="Q49" s="152"/>
      <c r="R49" s="152"/>
      <c r="S49" s="151" t="s">
        <v>1296</v>
      </c>
      <c r="T49" s="151" t="s">
        <v>700</v>
      </c>
      <c r="U49" s="151"/>
      <c r="V49" s="152"/>
      <c r="W49" s="152"/>
      <c r="X49" s="151"/>
      <c r="Y49" s="152" t="s">
        <v>1297</v>
      </c>
      <c r="Z49" s="157" t="s">
        <v>1297</v>
      </c>
      <c r="AA49" s="152"/>
      <c r="AB49" s="152"/>
      <c r="AC49" s="152"/>
      <c r="AD49" s="152"/>
      <c r="AE49" s="174" t="s">
        <v>119</v>
      </c>
      <c r="AF49" s="176" t="s">
        <v>700</v>
      </c>
      <c r="AG49" s="152"/>
      <c r="AH49" s="152"/>
      <c r="AI49" s="152"/>
      <c r="AJ49" s="152"/>
      <c r="AK49" s="152"/>
      <c r="AL49" s="152"/>
      <c r="AM49" s="151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</row>
    <row r="50">
      <c r="A50" s="162" t="s">
        <v>1298</v>
      </c>
      <c r="B50" s="162" t="s">
        <v>1299</v>
      </c>
      <c r="C50" s="151"/>
      <c r="D50" s="152" t="s">
        <v>1300</v>
      </c>
      <c r="E50" s="152" t="s">
        <v>1300</v>
      </c>
      <c r="F50" s="152" t="s">
        <v>332</v>
      </c>
      <c r="G50" s="152" t="s">
        <v>1301</v>
      </c>
      <c r="H50" s="152" t="s">
        <v>1302</v>
      </c>
      <c r="I50" s="152"/>
      <c r="J50" s="151" t="s">
        <v>1303</v>
      </c>
      <c r="K50" s="151" t="s">
        <v>1304</v>
      </c>
      <c r="L50" s="152"/>
      <c r="M50" s="152"/>
      <c r="N50" s="152"/>
      <c r="O50" s="152"/>
      <c r="P50" s="152"/>
      <c r="Q50" s="152"/>
      <c r="R50" s="152"/>
      <c r="S50" s="151" t="s">
        <v>1305</v>
      </c>
      <c r="T50" s="151" t="s">
        <v>1306</v>
      </c>
      <c r="U50" s="152"/>
      <c r="V50" s="152"/>
      <c r="W50" s="152"/>
      <c r="X50" s="151"/>
      <c r="Y50" s="152" t="s">
        <v>1307</v>
      </c>
      <c r="Z50" s="157" t="s">
        <v>1307</v>
      </c>
      <c r="AA50" s="152"/>
      <c r="AB50" s="152"/>
      <c r="AC50" s="152"/>
      <c r="AD50" s="152"/>
      <c r="AE50" s="177" t="s">
        <v>1308</v>
      </c>
      <c r="AF50" s="178" t="s">
        <v>1309</v>
      </c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</row>
    <row r="51">
      <c r="A51" s="162" t="s">
        <v>1310</v>
      </c>
      <c r="B51" s="162" t="s">
        <v>594</v>
      </c>
      <c r="C51" s="151"/>
      <c r="D51" s="152" t="s">
        <v>1311</v>
      </c>
      <c r="E51" s="152" t="s">
        <v>1312</v>
      </c>
      <c r="F51" s="152" t="s">
        <v>332</v>
      </c>
      <c r="G51" s="152" t="s">
        <v>1313</v>
      </c>
      <c r="H51" s="152" t="s">
        <v>1314</v>
      </c>
      <c r="I51" s="152"/>
      <c r="J51" s="152" t="s">
        <v>1315</v>
      </c>
      <c r="K51" s="152" t="s">
        <v>1316</v>
      </c>
      <c r="L51" s="152"/>
      <c r="M51" s="152"/>
      <c r="N51" s="152"/>
      <c r="O51" s="152"/>
      <c r="P51" s="152"/>
      <c r="Q51" s="152"/>
      <c r="R51" s="152"/>
      <c r="S51" s="151" t="s">
        <v>1317</v>
      </c>
      <c r="T51" s="151" t="s">
        <v>1318</v>
      </c>
      <c r="U51" s="151"/>
      <c r="V51" s="152"/>
      <c r="W51" s="152"/>
      <c r="X51" s="151"/>
      <c r="Y51" s="152" t="s">
        <v>1319</v>
      </c>
      <c r="Z51" s="157" t="s">
        <v>1319</v>
      </c>
      <c r="AA51" s="152"/>
      <c r="AB51" s="152"/>
      <c r="AC51" s="152"/>
      <c r="AD51" s="152"/>
      <c r="AE51" s="179" t="s">
        <v>861</v>
      </c>
      <c r="AF51" s="180" t="s">
        <v>861</v>
      </c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</row>
    <row r="52">
      <c r="A52" s="162" t="s">
        <v>1320</v>
      </c>
      <c r="B52" s="162" t="s">
        <v>1321</v>
      </c>
      <c r="C52" s="151" t="s">
        <v>1322</v>
      </c>
      <c r="D52" s="152" t="s">
        <v>1323</v>
      </c>
      <c r="E52" s="152" t="s">
        <v>1324</v>
      </c>
      <c r="F52" s="152" t="s">
        <v>332</v>
      </c>
      <c r="G52" s="152" t="s">
        <v>1325</v>
      </c>
      <c r="H52" s="152" t="s">
        <v>1326</v>
      </c>
      <c r="I52" s="152"/>
      <c r="J52" s="152" t="s">
        <v>1327</v>
      </c>
      <c r="K52" s="152" t="s">
        <v>1328</v>
      </c>
      <c r="L52" s="151"/>
      <c r="M52" s="151"/>
      <c r="N52" s="151"/>
      <c r="O52" s="151" t="s">
        <v>1329</v>
      </c>
      <c r="P52" s="152"/>
      <c r="Q52" s="152"/>
      <c r="R52" s="152"/>
      <c r="S52" s="151" t="s">
        <v>1330</v>
      </c>
      <c r="T52" s="151" t="s">
        <v>1331</v>
      </c>
      <c r="U52" s="152"/>
      <c r="V52" s="152"/>
      <c r="W52" s="152"/>
      <c r="X52" s="151"/>
      <c r="Y52" s="152" t="s">
        <v>1332</v>
      </c>
      <c r="Z52" s="157" t="s">
        <v>1332</v>
      </c>
      <c r="AA52" s="152"/>
      <c r="AB52" s="152"/>
      <c r="AC52" s="152"/>
      <c r="AD52" s="152"/>
      <c r="AE52" s="157" t="s">
        <v>1333</v>
      </c>
      <c r="AF52" s="157" t="s">
        <v>1334</v>
      </c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</row>
    <row r="53">
      <c r="A53" s="162" t="s">
        <v>1335</v>
      </c>
      <c r="B53" s="162" t="s">
        <v>1336</v>
      </c>
      <c r="C53" s="152"/>
      <c r="D53" s="152" t="s">
        <v>1337</v>
      </c>
      <c r="E53" s="152" t="s">
        <v>1338</v>
      </c>
      <c r="F53" s="152" t="s">
        <v>332</v>
      </c>
      <c r="G53" s="152" t="s">
        <v>1339</v>
      </c>
      <c r="H53" s="152" t="s">
        <v>1340</v>
      </c>
      <c r="I53" s="152"/>
      <c r="J53" s="151" t="s">
        <v>1341</v>
      </c>
      <c r="K53" s="151" t="s">
        <v>1342</v>
      </c>
      <c r="L53" s="151"/>
      <c r="M53" s="151"/>
      <c r="N53" s="151"/>
      <c r="O53" s="151"/>
      <c r="P53" s="152"/>
      <c r="Q53" s="152"/>
      <c r="R53" s="152"/>
      <c r="S53" s="151" t="s">
        <v>1343</v>
      </c>
      <c r="T53" s="151" t="s">
        <v>1032</v>
      </c>
      <c r="U53" s="166"/>
      <c r="V53" s="152"/>
      <c r="W53" s="152"/>
      <c r="X53" s="151"/>
      <c r="Y53" s="152" t="s">
        <v>1344</v>
      </c>
      <c r="Z53" s="157" t="s">
        <v>1344</v>
      </c>
      <c r="AA53" s="152"/>
      <c r="AB53" s="152"/>
      <c r="AC53" s="152"/>
      <c r="AD53" s="152"/>
      <c r="AE53" s="181" t="s">
        <v>1345</v>
      </c>
      <c r="AF53" s="181" t="s">
        <v>1346</v>
      </c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</row>
    <row r="54">
      <c r="A54" s="162" t="s">
        <v>1347</v>
      </c>
      <c r="B54" s="162" t="s">
        <v>1348</v>
      </c>
      <c r="C54" s="151"/>
      <c r="D54" s="152" t="s">
        <v>1349</v>
      </c>
      <c r="E54" s="152" t="s">
        <v>1350</v>
      </c>
      <c r="F54" s="152"/>
      <c r="G54" s="152" t="s">
        <v>1351</v>
      </c>
      <c r="H54" s="152" t="s">
        <v>1352</v>
      </c>
      <c r="I54" s="152"/>
      <c r="J54" s="151" t="s">
        <v>1353</v>
      </c>
      <c r="K54" s="151" t="s">
        <v>1354</v>
      </c>
      <c r="L54" s="151"/>
      <c r="M54" s="152"/>
      <c r="N54" s="152"/>
      <c r="O54" s="151"/>
      <c r="P54" s="152"/>
      <c r="Q54" s="152"/>
      <c r="R54" s="152"/>
      <c r="S54" s="151" t="s">
        <v>1355</v>
      </c>
      <c r="T54" s="151" t="s">
        <v>1356</v>
      </c>
      <c r="U54" s="166"/>
      <c r="V54" s="152"/>
      <c r="W54" s="152"/>
      <c r="X54" s="151"/>
      <c r="Y54" s="152" t="s">
        <v>1357</v>
      </c>
      <c r="Z54" s="157" t="s">
        <v>1357</v>
      </c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</row>
    <row r="55">
      <c r="A55" s="162" t="s">
        <v>486</v>
      </c>
      <c r="B55" s="162" t="s">
        <v>379</v>
      </c>
      <c r="C55" s="151"/>
      <c r="D55" s="152" t="s">
        <v>1358</v>
      </c>
      <c r="E55" s="152" t="s">
        <v>1359</v>
      </c>
      <c r="F55" s="152" t="s">
        <v>394</v>
      </c>
      <c r="G55" s="152" t="s">
        <v>1360</v>
      </c>
      <c r="H55" s="152" t="s">
        <v>175</v>
      </c>
      <c r="I55" s="152"/>
      <c r="J55" s="152" t="s">
        <v>1361</v>
      </c>
      <c r="K55" s="152" t="s">
        <v>1362</v>
      </c>
      <c r="L55" s="152"/>
      <c r="M55" s="152"/>
      <c r="N55" s="152"/>
      <c r="O55" s="152"/>
      <c r="P55" s="152"/>
      <c r="Q55" s="152"/>
      <c r="R55" s="152"/>
      <c r="S55" s="151" t="s">
        <v>1363</v>
      </c>
      <c r="T55" s="151" t="s">
        <v>1364</v>
      </c>
      <c r="U55" s="152"/>
      <c r="V55" s="152"/>
      <c r="W55" s="152"/>
      <c r="X55" s="151"/>
      <c r="Y55" s="152" t="s">
        <v>1365</v>
      </c>
      <c r="Z55" s="157" t="s">
        <v>1365</v>
      </c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</row>
    <row r="56">
      <c r="A56" s="162" t="s">
        <v>1366</v>
      </c>
      <c r="B56" s="162" t="s">
        <v>884</v>
      </c>
      <c r="C56" s="151"/>
      <c r="D56" s="152" t="s">
        <v>1367</v>
      </c>
      <c r="E56" s="152" t="s">
        <v>1368</v>
      </c>
      <c r="F56" s="152" t="s">
        <v>939</v>
      </c>
      <c r="G56" s="152" t="s">
        <v>1369</v>
      </c>
      <c r="H56" s="152" t="s">
        <v>904</v>
      </c>
      <c r="I56" s="152"/>
      <c r="J56" s="152" t="s">
        <v>1370</v>
      </c>
      <c r="K56" s="152" t="s">
        <v>1371</v>
      </c>
      <c r="L56" s="151"/>
      <c r="M56" s="151"/>
      <c r="N56" s="151"/>
      <c r="O56" s="151"/>
      <c r="P56" s="152"/>
      <c r="Q56" s="152"/>
      <c r="R56" s="152"/>
      <c r="S56" s="151" t="s">
        <v>1372</v>
      </c>
      <c r="T56" s="151" t="s">
        <v>1373</v>
      </c>
      <c r="U56" s="152"/>
      <c r="V56" s="152"/>
      <c r="W56" s="152"/>
      <c r="X56" s="151"/>
      <c r="Y56" s="152" t="s">
        <v>1374</v>
      </c>
      <c r="Z56" s="157" t="s">
        <v>1374</v>
      </c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</row>
    <row r="57">
      <c r="A57" s="162" t="s">
        <v>1375</v>
      </c>
      <c r="B57" s="162" t="s">
        <v>1376</v>
      </c>
      <c r="C57" s="152"/>
      <c r="D57" s="152" t="s">
        <v>1377</v>
      </c>
      <c r="E57" s="152" t="s">
        <v>1378</v>
      </c>
      <c r="F57" s="152"/>
      <c r="G57" s="163" t="s">
        <v>1379</v>
      </c>
      <c r="H57" s="152" t="s">
        <v>1380</v>
      </c>
      <c r="I57" s="152"/>
      <c r="J57" s="151" t="s">
        <v>1381</v>
      </c>
      <c r="K57" s="151" t="s">
        <v>1382</v>
      </c>
      <c r="L57" s="152"/>
      <c r="M57" s="152"/>
      <c r="N57" s="152"/>
      <c r="O57" s="152"/>
      <c r="P57" s="152"/>
      <c r="Q57" s="152"/>
      <c r="R57" s="152"/>
      <c r="S57" s="151" t="s">
        <v>1383</v>
      </c>
      <c r="T57" s="151" t="s">
        <v>1384</v>
      </c>
      <c r="U57" s="152"/>
      <c r="V57" s="152"/>
      <c r="W57" s="152"/>
      <c r="X57" s="151"/>
      <c r="Y57" s="152" t="s">
        <v>1385</v>
      </c>
      <c r="Z57" s="157" t="s">
        <v>1385</v>
      </c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</row>
    <row r="58">
      <c r="A58" s="162" t="s">
        <v>1386</v>
      </c>
      <c r="B58" s="162" t="s">
        <v>1387</v>
      </c>
      <c r="C58" s="151"/>
      <c r="D58" s="152" t="s">
        <v>1388</v>
      </c>
      <c r="E58" s="152" t="s">
        <v>1389</v>
      </c>
      <c r="F58" s="152" t="s">
        <v>363</v>
      </c>
      <c r="G58" s="163" t="s">
        <v>1390</v>
      </c>
      <c r="H58" s="152" t="s">
        <v>1391</v>
      </c>
      <c r="I58" s="152"/>
      <c r="J58" s="151" t="s">
        <v>1392</v>
      </c>
      <c r="K58" s="151" t="s">
        <v>1393</v>
      </c>
      <c r="L58" s="151"/>
      <c r="M58" s="152"/>
      <c r="N58" s="152"/>
      <c r="O58" s="152"/>
      <c r="P58" s="152"/>
      <c r="Q58" s="152"/>
      <c r="R58" s="152"/>
      <c r="S58" s="152" t="s">
        <v>1394</v>
      </c>
      <c r="T58" s="152" t="s">
        <v>1395</v>
      </c>
      <c r="U58" s="152"/>
      <c r="V58" s="152"/>
      <c r="W58" s="152"/>
      <c r="X58" s="151"/>
      <c r="Y58" s="152" t="s">
        <v>1396</v>
      </c>
      <c r="Z58" s="157" t="s">
        <v>1396</v>
      </c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</row>
    <row r="59">
      <c r="A59" s="162" t="s">
        <v>1397</v>
      </c>
      <c r="B59" s="162" t="s">
        <v>555</v>
      </c>
      <c r="C59" s="151"/>
      <c r="D59" s="152" t="s">
        <v>1398</v>
      </c>
      <c r="E59" s="152" t="s">
        <v>1399</v>
      </c>
      <c r="F59" s="152" t="s">
        <v>332</v>
      </c>
      <c r="G59" s="152" t="s">
        <v>1400</v>
      </c>
      <c r="H59" s="152" t="s">
        <v>1401</v>
      </c>
      <c r="I59" s="152"/>
      <c r="J59" s="152" t="s">
        <v>1402</v>
      </c>
      <c r="K59" s="152" t="s">
        <v>1403</v>
      </c>
      <c r="L59" s="152"/>
      <c r="M59" s="151"/>
      <c r="N59" s="151"/>
      <c r="O59" s="151"/>
      <c r="P59" s="152"/>
      <c r="Q59" s="152"/>
      <c r="R59" s="152"/>
      <c r="S59" s="151" t="s">
        <v>1404</v>
      </c>
      <c r="T59" s="151" t="s">
        <v>1405</v>
      </c>
      <c r="U59" s="152"/>
      <c r="V59" s="152"/>
      <c r="W59" s="152"/>
      <c r="X59" s="151"/>
      <c r="Y59" s="152" t="s">
        <v>1406</v>
      </c>
      <c r="Z59" s="157" t="s">
        <v>1406</v>
      </c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</row>
    <row r="60">
      <c r="A60" s="162" t="s">
        <v>1407</v>
      </c>
      <c r="B60" s="162" t="s">
        <v>1408</v>
      </c>
      <c r="C60" s="152"/>
      <c r="D60" s="152" t="s">
        <v>1409</v>
      </c>
      <c r="E60" s="152" t="s">
        <v>1410</v>
      </c>
      <c r="F60" s="152" t="s">
        <v>830</v>
      </c>
      <c r="G60" s="163" t="s">
        <v>1411</v>
      </c>
      <c r="H60" s="152" t="s">
        <v>1412</v>
      </c>
      <c r="I60" s="152"/>
      <c r="J60" s="152" t="s">
        <v>1413</v>
      </c>
      <c r="K60" s="152" t="s">
        <v>1414</v>
      </c>
      <c r="L60" s="151"/>
      <c r="M60" s="151"/>
      <c r="N60" s="151"/>
      <c r="O60" s="152"/>
      <c r="P60" s="152"/>
      <c r="Q60" s="152"/>
      <c r="R60" s="152"/>
      <c r="S60" s="152" t="s">
        <v>1415</v>
      </c>
      <c r="T60" s="152" t="s">
        <v>1416</v>
      </c>
      <c r="U60" s="152"/>
      <c r="V60" s="152"/>
      <c r="W60" s="152"/>
      <c r="X60" s="151"/>
      <c r="Y60" s="152" t="s">
        <v>1417</v>
      </c>
      <c r="Z60" s="157" t="s">
        <v>1417</v>
      </c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</row>
    <row r="61">
      <c r="A61" s="162" t="s">
        <v>1418</v>
      </c>
      <c r="B61" s="162" t="s">
        <v>1419</v>
      </c>
      <c r="C61" s="151"/>
      <c r="D61" s="152" t="s">
        <v>1420</v>
      </c>
      <c r="E61" s="152" t="s">
        <v>1421</v>
      </c>
      <c r="F61" s="152" t="s">
        <v>332</v>
      </c>
      <c r="G61" s="152" t="s">
        <v>1422</v>
      </c>
      <c r="H61" s="152" t="s">
        <v>1423</v>
      </c>
      <c r="I61" s="152" t="s">
        <v>486</v>
      </c>
      <c r="J61" s="151" t="s">
        <v>1424</v>
      </c>
      <c r="K61" s="151" t="s">
        <v>1425</v>
      </c>
      <c r="L61" s="152"/>
      <c r="M61" s="151"/>
      <c r="N61" s="151"/>
      <c r="O61" s="151"/>
      <c r="P61" s="152"/>
      <c r="Q61" s="152"/>
      <c r="R61" s="152"/>
      <c r="S61" s="152" t="s">
        <v>60</v>
      </c>
      <c r="T61" s="152" t="s">
        <v>534</v>
      </c>
      <c r="U61" s="152"/>
      <c r="V61" s="152"/>
      <c r="W61" s="152"/>
      <c r="X61" s="151"/>
      <c r="Y61" s="152" t="s">
        <v>1426</v>
      </c>
      <c r="Z61" s="157" t="s">
        <v>1426</v>
      </c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</row>
    <row r="62">
      <c r="A62" s="162" t="s">
        <v>1427</v>
      </c>
      <c r="B62" s="162" t="s">
        <v>1428</v>
      </c>
      <c r="C62" s="152"/>
      <c r="D62" s="152" t="s">
        <v>1429</v>
      </c>
      <c r="E62" s="152" t="s">
        <v>1430</v>
      </c>
      <c r="F62" s="152"/>
      <c r="G62" s="152" t="s">
        <v>1431</v>
      </c>
      <c r="H62" s="152" t="s">
        <v>1432</v>
      </c>
      <c r="I62" s="152"/>
      <c r="J62" s="152" t="s">
        <v>1433</v>
      </c>
      <c r="K62" s="152" t="s">
        <v>1434</v>
      </c>
      <c r="L62" s="151"/>
      <c r="M62" s="151"/>
      <c r="N62" s="151"/>
      <c r="O62" s="151"/>
      <c r="P62" s="152"/>
      <c r="Q62" s="152"/>
      <c r="R62" s="152"/>
      <c r="S62" s="152" t="s">
        <v>1435</v>
      </c>
      <c r="T62" s="152" t="s">
        <v>1436</v>
      </c>
      <c r="U62" s="152"/>
      <c r="V62" s="152"/>
      <c r="W62" s="152"/>
      <c r="X62" s="151"/>
      <c r="Y62" s="152" t="s">
        <v>1437</v>
      </c>
      <c r="Z62" s="157" t="s">
        <v>1437</v>
      </c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</row>
    <row r="63">
      <c r="A63" s="162" t="s">
        <v>1438</v>
      </c>
      <c r="B63" s="162" t="s">
        <v>1439</v>
      </c>
      <c r="C63" s="151"/>
      <c r="D63" s="152" t="s">
        <v>1440</v>
      </c>
      <c r="E63" s="152" t="s">
        <v>1441</v>
      </c>
      <c r="F63" s="152" t="s">
        <v>332</v>
      </c>
      <c r="G63" s="152" t="s">
        <v>1442</v>
      </c>
      <c r="H63" s="152" t="s">
        <v>1443</v>
      </c>
      <c r="I63" s="152"/>
      <c r="J63" s="152" t="s">
        <v>1444</v>
      </c>
      <c r="K63" s="152" t="s">
        <v>1445</v>
      </c>
      <c r="L63" s="151"/>
      <c r="M63" s="151"/>
      <c r="N63" s="151"/>
      <c r="O63" s="151"/>
      <c r="P63" s="152"/>
      <c r="Q63" s="152"/>
      <c r="R63" s="152"/>
      <c r="S63" s="152" t="s">
        <v>53</v>
      </c>
      <c r="T63" s="152" t="s">
        <v>1446</v>
      </c>
      <c r="U63" s="152"/>
      <c r="V63" s="152"/>
      <c r="W63" s="152"/>
      <c r="X63" s="151"/>
      <c r="Y63" s="152" t="s">
        <v>1447</v>
      </c>
      <c r="Z63" s="157" t="s">
        <v>1447</v>
      </c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</row>
    <row r="64">
      <c r="A64" s="162" t="s">
        <v>1448</v>
      </c>
      <c r="B64" s="162" t="s">
        <v>822</v>
      </c>
      <c r="C64" s="151"/>
      <c r="D64" s="151" t="s">
        <v>410</v>
      </c>
      <c r="E64" s="151" t="s">
        <v>410</v>
      </c>
      <c r="F64" s="151"/>
      <c r="G64" s="163" t="s">
        <v>1449</v>
      </c>
      <c r="H64" s="152" t="s">
        <v>1450</v>
      </c>
      <c r="I64" s="152"/>
      <c r="J64" s="151" t="s">
        <v>1451</v>
      </c>
      <c r="K64" s="151" t="s">
        <v>1452</v>
      </c>
      <c r="L64" s="151"/>
      <c r="M64" s="151"/>
      <c r="N64" s="151"/>
      <c r="O64" s="151"/>
      <c r="P64" s="152"/>
      <c r="Q64" s="152"/>
      <c r="R64" s="152"/>
      <c r="S64" s="152" t="s">
        <v>1453</v>
      </c>
      <c r="T64" s="152" t="s">
        <v>1454</v>
      </c>
      <c r="U64" s="152"/>
      <c r="V64" s="152"/>
      <c r="W64" s="152"/>
      <c r="X64" s="151"/>
      <c r="Y64" s="152" t="s">
        <v>1455</v>
      </c>
      <c r="Z64" s="157" t="s">
        <v>1455</v>
      </c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</row>
    <row r="65">
      <c r="A65" s="162" t="s">
        <v>1456</v>
      </c>
      <c r="B65" s="162" t="s">
        <v>1457</v>
      </c>
      <c r="C65" s="151"/>
      <c r="D65" s="152" t="s">
        <v>1458</v>
      </c>
      <c r="E65" s="152" t="s">
        <v>1459</v>
      </c>
      <c r="F65" s="152" t="s">
        <v>830</v>
      </c>
      <c r="G65" s="152" t="s">
        <v>1240</v>
      </c>
      <c r="H65" s="152" t="s">
        <v>1460</v>
      </c>
      <c r="I65" s="152"/>
      <c r="J65" s="151" t="s">
        <v>1461</v>
      </c>
      <c r="K65" s="151" t="s">
        <v>1462</v>
      </c>
      <c r="L65" s="151"/>
      <c r="M65" s="151"/>
      <c r="N65" s="151"/>
      <c r="O65" s="151"/>
      <c r="P65" s="152"/>
      <c r="Q65" s="152"/>
      <c r="R65" s="152"/>
      <c r="S65" s="152" t="s">
        <v>1463</v>
      </c>
      <c r="T65" s="152" t="s">
        <v>1464</v>
      </c>
      <c r="U65" s="152"/>
      <c r="V65" s="152"/>
      <c r="W65" s="152"/>
      <c r="X65" s="151"/>
      <c r="Y65" s="152" t="s">
        <v>1465</v>
      </c>
      <c r="Z65" s="157" t="s">
        <v>1465</v>
      </c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</row>
    <row r="66">
      <c r="A66" s="162" t="s">
        <v>1466</v>
      </c>
      <c r="B66" s="162" t="s">
        <v>1467</v>
      </c>
      <c r="C66" s="151"/>
      <c r="D66" s="152" t="s">
        <v>1468</v>
      </c>
      <c r="E66" s="152" t="s">
        <v>1469</v>
      </c>
      <c r="F66" s="152" t="s">
        <v>332</v>
      </c>
      <c r="G66" s="152" t="s">
        <v>1470</v>
      </c>
      <c r="H66" s="152" t="s">
        <v>1471</v>
      </c>
      <c r="I66" s="152"/>
      <c r="J66" s="151" t="s">
        <v>1472</v>
      </c>
      <c r="K66" s="151" t="s">
        <v>1473</v>
      </c>
      <c r="L66" s="151"/>
      <c r="M66" s="151"/>
      <c r="N66" s="151"/>
      <c r="O66" s="151"/>
      <c r="P66" s="152"/>
      <c r="Q66" s="152"/>
      <c r="R66" s="152"/>
      <c r="S66" s="152" t="s">
        <v>1474</v>
      </c>
      <c r="T66" s="152" t="s">
        <v>1475</v>
      </c>
      <c r="U66" s="152"/>
      <c r="V66" s="152"/>
      <c r="W66" s="152"/>
      <c r="X66" s="151"/>
      <c r="Y66" s="152" t="s">
        <v>1476</v>
      </c>
      <c r="Z66" s="157" t="s">
        <v>1476</v>
      </c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1"/>
      <c r="AL66" s="159"/>
      <c r="AM66" s="151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</row>
    <row r="67">
      <c r="A67" s="162" t="s">
        <v>1477</v>
      </c>
      <c r="B67" s="162" t="s">
        <v>1478</v>
      </c>
      <c r="C67" s="152"/>
      <c r="D67" s="152" t="s">
        <v>1479</v>
      </c>
      <c r="E67" s="152" t="s">
        <v>1480</v>
      </c>
      <c r="F67" s="152" t="s">
        <v>332</v>
      </c>
      <c r="G67" s="152" t="s">
        <v>1481</v>
      </c>
      <c r="H67" s="152" t="s">
        <v>1482</v>
      </c>
      <c r="I67" s="152"/>
      <c r="J67" s="151" t="s">
        <v>1483</v>
      </c>
      <c r="K67" s="151" t="s">
        <v>1484</v>
      </c>
      <c r="L67" s="151"/>
      <c r="M67" s="151"/>
      <c r="N67" s="151"/>
      <c r="O67" s="151"/>
      <c r="P67" s="152"/>
      <c r="Q67" s="152"/>
      <c r="R67" s="152"/>
      <c r="S67" s="152" t="s">
        <v>1308</v>
      </c>
      <c r="T67" s="152" t="s">
        <v>1309</v>
      </c>
      <c r="U67" s="152"/>
      <c r="V67" s="152"/>
      <c r="W67" s="152"/>
      <c r="X67" s="151"/>
      <c r="Y67" s="152" t="s">
        <v>1485</v>
      </c>
      <c r="Z67" s="157" t="s">
        <v>1485</v>
      </c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1"/>
      <c r="AL67" s="159"/>
      <c r="AM67" s="151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</row>
    <row r="68">
      <c r="A68" s="162" t="s">
        <v>1486</v>
      </c>
      <c r="B68" s="162" t="s">
        <v>1487</v>
      </c>
      <c r="C68" s="151"/>
      <c r="D68" s="152" t="s">
        <v>1488</v>
      </c>
      <c r="E68" s="152" t="s">
        <v>1489</v>
      </c>
      <c r="F68" s="152" t="s">
        <v>394</v>
      </c>
      <c r="G68" s="152" t="s">
        <v>1490</v>
      </c>
      <c r="H68" s="152" t="s">
        <v>1491</v>
      </c>
      <c r="I68" s="152"/>
      <c r="J68" s="151" t="s">
        <v>1492</v>
      </c>
      <c r="K68" s="151" t="s">
        <v>1493</v>
      </c>
      <c r="L68" s="151"/>
      <c r="M68" s="151"/>
      <c r="N68" s="151"/>
      <c r="O68" s="152"/>
      <c r="P68" s="152"/>
      <c r="Q68" s="152"/>
      <c r="R68" s="152"/>
      <c r="S68" s="152" t="s">
        <v>45</v>
      </c>
      <c r="T68" s="152" t="s">
        <v>968</v>
      </c>
      <c r="U68" s="152"/>
      <c r="V68" s="152"/>
      <c r="W68" s="152"/>
      <c r="X68" s="151"/>
      <c r="Y68" s="152" t="s">
        <v>1494</v>
      </c>
      <c r="Z68" s="157" t="s">
        <v>1494</v>
      </c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1"/>
      <c r="AL68" s="159"/>
      <c r="AM68" s="151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</row>
    <row r="69">
      <c r="A69" s="162" t="s">
        <v>1495</v>
      </c>
      <c r="B69" s="162" t="s">
        <v>1496</v>
      </c>
      <c r="C69" s="151"/>
      <c r="D69" s="152" t="s">
        <v>1497</v>
      </c>
      <c r="E69" s="152" t="s">
        <v>1498</v>
      </c>
      <c r="F69" s="152" t="s">
        <v>332</v>
      </c>
      <c r="G69" s="152" t="s">
        <v>1499</v>
      </c>
      <c r="H69" s="152" t="s">
        <v>1499</v>
      </c>
      <c r="I69" s="152"/>
      <c r="J69" s="151" t="s">
        <v>1500</v>
      </c>
      <c r="K69" s="151" t="s">
        <v>1501</v>
      </c>
      <c r="L69" s="152"/>
      <c r="M69" s="151"/>
      <c r="N69" s="151"/>
      <c r="O69" s="152"/>
      <c r="P69" s="152"/>
      <c r="Q69" s="152"/>
      <c r="R69" s="152"/>
      <c r="S69" s="152" t="s">
        <v>1502</v>
      </c>
      <c r="T69" s="152" t="s">
        <v>1503</v>
      </c>
      <c r="U69" s="152"/>
      <c r="V69" s="152"/>
      <c r="W69" s="152"/>
      <c r="X69" s="151"/>
      <c r="Y69" s="152" t="s">
        <v>1504</v>
      </c>
      <c r="Z69" s="157" t="s">
        <v>1504</v>
      </c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1"/>
      <c r="AL69" s="159"/>
      <c r="AM69" s="151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</row>
    <row r="70">
      <c r="A70" s="162" t="s">
        <v>1505</v>
      </c>
      <c r="B70" s="162" t="s">
        <v>1506</v>
      </c>
      <c r="C70" s="152"/>
      <c r="D70" s="152" t="s">
        <v>1507</v>
      </c>
      <c r="E70" s="152" t="s">
        <v>1508</v>
      </c>
      <c r="F70" s="152" t="s">
        <v>394</v>
      </c>
      <c r="G70" s="152" t="s">
        <v>1509</v>
      </c>
      <c r="H70" s="152" t="s">
        <v>1510</v>
      </c>
      <c r="I70" s="152"/>
      <c r="J70" s="152" t="s">
        <v>17</v>
      </c>
      <c r="K70" s="152" t="s">
        <v>1511</v>
      </c>
      <c r="L70" s="152"/>
      <c r="M70" s="151"/>
      <c r="N70" s="151"/>
      <c r="O70" s="152"/>
      <c r="P70" s="152"/>
      <c r="Q70" s="152"/>
      <c r="R70" s="152"/>
      <c r="S70" s="157" t="s">
        <v>79</v>
      </c>
      <c r="T70" s="157" t="s">
        <v>79</v>
      </c>
      <c r="U70" s="152"/>
      <c r="V70" s="152"/>
      <c r="W70" s="152"/>
      <c r="X70" s="151"/>
      <c r="Y70" s="152" t="s">
        <v>113</v>
      </c>
      <c r="Z70" s="157" t="s">
        <v>113</v>
      </c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</row>
    <row r="71">
      <c r="A71" s="162" t="s">
        <v>1512</v>
      </c>
      <c r="B71" s="162" t="s">
        <v>1513</v>
      </c>
      <c r="C71" s="151"/>
      <c r="D71" s="152" t="s">
        <v>1514</v>
      </c>
      <c r="E71" s="152" t="s">
        <v>1515</v>
      </c>
      <c r="F71" s="152" t="s">
        <v>1516</v>
      </c>
      <c r="G71" s="152" t="s">
        <v>1517</v>
      </c>
      <c r="H71" s="152" t="s">
        <v>1517</v>
      </c>
      <c r="I71" s="152"/>
      <c r="J71" s="151" t="s">
        <v>1518</v>
      </c>
      <c r="K71" s="151" t="s">
        <v>1519</v>
      </c>
      <c r="L71" s="152"/>
      <c r="M71" s="151"/>
      <c r="N71" s="151"/>
      <c r="O71" s="152"/>
      <c r="P71" s="152"/>
      <c r="Q71" s="152"/>
      <c r="R71" s="152"/>
      <c r="S71" s="157" t="s">
        <v>1520</v>
      </c>
      <c r="T71" s="157" t="s">
        <v>1521</v>
      </c>
      <c r="U71" s="152"/>
      <c r="V71" s="152"/>
      <c r="W71" s="152"/>
      <c r="X71" s="151"/>
      <c r="Y71" s="152" t="s">
        <v>113</v>
      </c>
      <c r="Z71" s="157" t="s">
        <v>113</v>
      </c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</row>
    <row r="72">
      <c r="A72" s="162" t="s">
        <v>1522</v>
      </c>
      <c r="B72" s="162" t="s">
        <v>1523</v>
      </c>
      <c r="C72" s="151"/>
      <c r="D72" s="152" t="s">
        <v>1524</v>
      </c>
      <c r="E72" s="152" t="s">
        <v>1525</v>
      </c>
      <c r="F72" s="152" t="s">
        <v>830</v>
      </c>
      <c r="G72" s="152" t="s">
        <v>1526</v>
      </c>
      <c r="H72" s="152" t="s">
        <v>1526</v>
      </c>
      <c r="I72" s="152"/>
      <c r="J72" s="151" t="s">
        <v>1527</v>
      </c>
      <c r="K72" s="151" t="s">
        <v>1528</v>
      </c>
      <c r="L72" s="152"/>
      <c r="M72" s="152"/>
      <c r="N72" s="152"/>
      <c r="O72" s="152"/>
      <c r="P72" s="152"/>
      <c r="Q72" s="152"/>
      <c r="R72" s="152"/>
      <c r="U72" s="152"/>
      <c r="V72" s="152"/>
      <c r="W72" s="152"/>
      <c r="X72" s="151"/>
      <c r="Y72" s="152" t="s">
        <v>1529</v>
      </c>
      <c r="Z72" s="157" t="s">
        <v>1529</v>
      </c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</row>
    <row r="73">
      <c r="A73" s="162" t="s">
        <v>1530</v>
      </c>
      <c r="B73" s="162" t="s">
        <v>1531</v>
      </c>
      <c r="C73" s="151"/>
      <c r="D73" s="152" t="s">
        <v>497</v>
      </c>
      <c r="E73" s="152" t="s">
        <v>498</v>
      </c>
      <c r="F73" s="152" t="s">
        <v>959</v>
      </c>
      <c r="G73" s="152" t="s">
        <v>1532</v>
      </c>
      <c r="H73" s="152" t="s">
        <v>1533</v>
      </c>
      <c r="I73" s="152"/>
      <c r="J73" s="151" t="s">
        <v>1534</v>
      </c>
      <c r="K73" s="151" t="s">
        <v>1535</v>
      </c>
      <c r="L73" s="152"/>
      <c r="M73" s="151"/>
      <c r="N73" s="151"/>
      <c r="O73" s="151"/>
      <c r="P73" s="152"/>
      <c r="Q73" s="152"/>
      <c r="R73" s="152"/>
      <c r="U73" s="152"/>
      <c r="V73" s="152"/>
      <c r="W73" s="152"/>
      <c r="X73" s="151"/>
      <c r="Y73" s="152" t="s">
        <v>1536</v>
      </c>
      <c r="Z73" s="157" t="s">
        <v>1536</v>
      </c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</row>
    <row r="74">
      <c r="A74" s="162" t="s">
        <v>1537</v>
      </c>
      <c r="B74" s="162" t="s">
        <v>1538</v>
      </c>
      <c r="C74" s="151"/>
      <c r="D74" s="152" t="s">
        <v>1539</v>
      </c>
      <c r="E74" s="152" t="s">
        <v>1540</v>
      </c>
      <c r="F74" s="152" t="s">
        <v>1541</v>
      </c>
      <c r="G74" s="152" t="s">
        <v>1542</v>
      </c>
      <c r="H74" s="152" t="s">
        <v>1543</v>
      </c>
      <c r="I74" s="152"/>
      <c r="J74" s="151" t="s">
        <v>1544</v>
      </c>
      <c r="K74" s="151" t="s">
        <v>1545</v>
      </c>
      <c r="L74" s="151"/>
      <c r="M74" s="151"/>
      <c r="N74" s="151"/>
      <c r="O74" s="151"/>
      <c r="P74" s="152"/>
      <c r="Q74" s="152"/>
      <c r="R74" s="152"/>
      <c r="S74" s="181"/>
      <c r="T74" s="181"/>
      <c r="U74" s="152"/>
      <c r="V74" s="152"/>
      <c r="W74" s="152"/>
      <c r="X74" s="151"/>
      <c r="Y74" s="152" t="s">
        <v>1546</v>
      </c>
      <c r="Z74" s="157" t="s">
        <v>1546</v>
      </c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</row>
    <row r="75">
      <c r="A75" s="162" t="s">
        <v>1547</v>
      </c>
      <c r="B75" s="162" t="s">
        <v>1548</v>
      </c>
      <c r="C75" s="152"/>
      <c r="D75" s="152" t="s">
        <v>1549</v>
      </c>
      <c r="E75" s="152" t="s">
        <v>1550</v>
      </c>
      <c r="F75" s="152" t="s">
        <v>332</v>
      </c>
      <c r="G75" s="152" t="s">
        <v>1551</v>
      </c>
      <c r="H75" s="152" t="s">
        <v>1552</v>
      </c>
      <c r="I75" s="152"/>
      <c r="J75" s="151" t="s">
        <v>1553</v>
      </c>
      <c r="K75" s="151" t="s">
        <v>1554</v>
      </c>
      <c r="L75" s="151"/>
      <c r="M75" s="151"/>
      <c r="N75" s="151"/>
      <c r="O75" s="151"/>
      <c r="P75" s="152"/>
      <c r="Q75" s="152"/>
      <c r="R75" s="152"/>
      <c r="S75" s="152"/>
      <c r="T75" s="152"/>
      <c r="U75" s="152"/>
      <c r="V75" s="152"/>
      <c r="W75" s="152"/>
      <c r="X75" s="151"/>
      <c r="Y75" s="152" t="s">
        <v>1555</v>
      </c>
      <c r="Z75" s="157" t="s">
        <v>1555</v>
      </c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</row>
    <row r="76">
      <c r="A76" s="162" t="s">
        <v>1556</v>
      </c>
      <c r="B76" s="162" t="s">
        <v>1557</v>
      </c>
      <c r="C76" s="151"/>
      <c r="D76" s="152" t="s">
        <v>1558</v>
      </c>
      <c r="E76" s="152" t="s">
        <v>1559</v>
      </c>
      <c r="F76" s="152" t="s">
        <v>1560</v>
      </c>
      <c r="G76" s="163" t="s">
        <v>1561</v>
      </c>
      <c r="H76" s="152" t="s">
        <v>1562</v>
      </c>
      <c r="I76" s="152"/>
      <c r="J76" s="152" t="s">
        <v>1563</v>
      </c>
      <c r="K76" s="152" t="s">
        <v>1564</v>
      </c>
      <c r="L76" s="151"/>
      <c r="M76" s="151"/>
      <c r="N76" s="151"/>
      <c r="O76" s="151"/>
      <c r="P76" s="152"/>
      <c r="Q76" s="152"/>
      <c r="R76" s="152"/>
      <c r="S76" s="152"/>
      <c r="T76" s="152"/>
      <c r="U76" s="152"/>
      <c r="V76" s="152"/>
      <c r="W76" s="152"/>
      <c r="X76" s="151"/>
      <c r="Y76" s="152" t="s">
        <v>1565</v>
      </c>
      <c r="Z76" s="157" t="s">
        <v>1565</v>
      </c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</row>
    <row r="77">
      <c r="A77" s="162" t="s">
        <v>1566</v>
      </c>
      <c r="B77" s="162" t="s">
        <v>1567</v>
      </c>
      <c r="C77" s="152"/>
      <c r="D77" s="152" t="s">
        <v>1558</v>
      </c>
      <c r="E77" s="152" t="s">
        <v>1568</v>
      </c>
      <c r="F77" s="152" t="s">
        <v>1560</v>
      </c>
      <c r="G77" s="152" t="s">
        <v>1569</v>
      </c>
      <c r="H77" s="152" t="s">
        <v>1570</v>
      </c>
      <c r="I77" s="152"/>
      <c r="J77" s="151" t="s">
        <v>1571</v>
      </c>
      <c r="K77" s="151" t="s">
        <v>1572</v>
      </c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1"/>
      <c r="Y77" s="152" t="s">
        <v>1573</v>
      </c>
      <c r="Z77" s="157" t="s">
        <v>1573</v>
      </c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</row>
    <row r="78">
      <c r="A78" s="152" t="s">
        <v>1574</v>
      </c>
      <c r="B78" s="152" t="s">
        <v>1574</v>
      </c>
      <c r="C78" s="151"/>
      <c r="D78" s="152" t="s">
        <v>1575</v>
      </c>
      <c r="E78" s="152" t="s">
        <v>1576</v>
      </c>
      <c r="F78" s="152" t="s">
        <v>939</v>
      </c>
      <c r="G78" s="163" t="s">
        <v>1577</v>
      </c>
      <c r="H78" s="152" t="s">
        <v>1578</v>
      </c>
      <c r="I78" s="152"/>
      <c r="J78" s="151" t="s">
        <v>1579</v>
      </c>
      <c r="K78" s="151" t="s">
        <v>1580</v>
      </c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1"/>
      <c r="Y78" s="152" t="s">
        <v>1581</v>
      </c>
      <c r="Z78" s="157" t="s">
        <v>1581</v>
      </c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</row>
    <row r="79">
      <c r="A79" s="156" t="s">
        <v>1582</v>
      </c>
      <c r="B79" s="156" t="s">
        <v>1583</v>
      </c>
      <c r="C79" s="151"/>
      <c r="D79" s="152" t="s">
        <v>1584</v>
      </c>
      <c r="E79" s="152" t="s">
        <v>1585</v>
      </c>
      <c r="F79" s="152" t="s">
        <v>855</v>
      </c>
      <c r="G79" s="152" t="s">
        <v>1586</v>
      </c>
      <c r="H79" s="152" t="s">
        <v>1587</v>
      </c>
      <c r="I79" s="152"/>
      <c r="J79" s="152" t="s">
        <v>1588</v>
      </c>
      <c r="K79" s="152" t="s">
        <v>1589</v>
      </c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1"/>
      <c r="Y79" s="152" t="s">
        <v>1590</v>
      </c>
      <c r="Z79" s="157" t="s">
        <v>1590</v>
      </c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</row>
    <row r="80">
      <c r="A80" s="161" t="s">
        <v>1591</v>
      </c>
      <c r="B80" s="161" t="s">
        <v>1592</v>
      </c>
      <c r="C80" s="152"/>
      <c r="D80" s="152" t="s">
        <v>1593</v>
      </c>
      <c r="E80" s="152" t="s">
        <v>1594</v>
      </c>
      <c r="F80" s="152"/>
      <c r="G80" s="152" t="s">
        <v>1595</v>
      </c>
      <c r="H80" s="152" t="s">
        <v>1596</v>
      </c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1"/>
      <c r="Y80" s="152" t="s">
        <v>1597</v>
      </c>
      <c r="Z80" s="157" t="s">
        <v>1597</v>
      </c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</row>
    <row r="81">
      <c r="A81" s="156" t="s">
        <v>1598</v>
      </c>
      <c r="B81" s="156" t="s">
        <v>1599</v>
      </c>
      <c r="C81" s="151"/>
      <c r="D81" s="152" t="s">
        <v>1600</v>
      </c>
      <c r="E81" s="152" t="s">
        <v>1601</v>
      </c>
      <c r="F81" s="152" t="s">
        <v>394</v>
      </c>
      <c r="G81" s="163" t="s">
        <v>1602</v>
      </c>
      <c r="H81" s="152" t="s">
        <v>1603</v>
      </c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1"/>
      <c r="Y81" s="152" t="s">
        <v>1604</v>
      </c>
      <c r="Z81" s="157" t="s">
        <v>1604</v>
      </c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</row>
    <row r="82">
      <c r="A82" s="161" t="s">
        <v>1605</v>
      </c>
      <c r="B82" s="161" t="s">
        <v>1606</v>
      </c>
      <c r="C82" s="152"/>
      <c r="D82" s="152" t="s">
        <v>1607</v>
      </c>
      <c r="E82" s="152" t="s">
        <v>1608</v>
      </c>
      <c r="F82" s="152" t="s">
        <v>332</v>
      </c>
      <c r="G82" s="152" t="s">
        <v>1609</v>
      </c>
      <c r="H82" s="152" t="s">
        <v>1610</v>
      </c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1"/>
      <c r="Y82" s="152" t="s">
        <v>1611</v>
      </c>
      <c r="Z82" s="157" t="s">
        <v>1611</v>
      </c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</row>
    <row r="83">
      <c r="A83" s="156" t="s">
        <v>1612</v>
      </c>
      <c r="B83" s="156" t="s">
        <v>314</v>
      </c>
      <c r="C83" s="152"/>
      <c r="D83" s="152" t="s">
        <v>1613</v>
      </c>
      <c r="E83" s="152" t="s">
        <v>1614</v>
      </c>
      <c r="F83" s="152"/>
      <c r="G83" s="152" t="s">
        <v>1615</v>
      </c>
      <c r="H83" s="152" t="s">
        <v>1616</v>
      </c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1"/>
      <c r="Y83" s="152" t="s">
        <v>1617</v>
      </c>
      <c r="Z83" s="157" t="s">
        <v>1617</v>
      </c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</row>
    <row r="84">
      <c r="A84" s="156" t="s">
        <v>1618</v>
      </c>
      <c r="B84" s="156" t="s">
        <v>345</v>
      </c>
      <c r="C84" s="152"/>
      <c r="D84" s="151" t="s">
        <v>1619</v>
      </c>
      <c r="E84" s="151" t="s">
        <v>1620</v>
      </c>
      <c r="F84" s="151"/>
      <c r="G84" s="152" t="s">
        <v>338</v>
      </c>
      <c r="H84" s="152" t="s">
        <v>339</v>
      </c>
      <c r="I84" s="152" t="s">
        <v>486</v>
      </c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1"/>
      <c r="Y84" s="152" t="s">
        <v>1621</v>
      </c>
      <c r="Z84" s="157" t="s">
        <v>1621</v>
      </c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</row>
    <row r="85">
      <c r="A85" s="161" t="s">
        <v>1622</v>
      </c>
      <c r="B85" s="161" t="s">
        <v>1623</v>
      </c>
      <c r="C85" s="152"/>
      <c r="D85" s="151" t="s">
        <v>1624</v>
      </c>
      <c r="E85" s="151" t="s">
        <v>1625</v>
      </c>
      <c r="F85" s="152"/>
      <c r="G85" s="163" t="s">
        <v>1626</v>
      </c>
      <c r="H85" s="152" t="s">
        <v>1627</v>
      </c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1"/>
      <c r="Y85" s="152" t="s">
        <v>1628</v>
      </c>
      <c r="Z85" s="157" t="s">
        <v>1628</v>
      </c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</row>
    <row r="86">
      <c r="A86" s="161" t="s">
        <v>1629</v>
      </c>
      <c r="B86" s="161" t="s">
        <v>1630</v>
      </c>
      <c r="C86" s="152"/>
      <c r="D86" s="152" t="s">
        <v>1631</v>
      </c>
      <c r="E86" s="152" t="s">
        <v>1632</v>
      </c>
      <c r="F86" s="152"/>
      <c r="G86" s="152" t="s">
        <v>1633</v>
      </c>
      <c r="H86" s="152" t="s">
        <v>1634</v>
      </c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1"/>
      <c r="Y86" s="152" t="s">
        <v>1635</v>
      </c>
      <c r="Z86" s="157" t="s">
        <v>1635</v>
      </c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</row>
    <row r="87">
      <c r="A87" s="156" t="s">
        <v>1636</v>
      </c>
      <c r="B87" s="156" t="s">
        <v>1637</v>
      </c>
      <c r="C87" s="152"/>
      <c r="D87" s="152" t="s">
        <v>1638</v>
      </c>
      <c r="E87" s="152" t="s">
        <v>1639</v>
      </c>
      <c r="F87" s="152"/>
      <c r="G87" s="152" t="s">
        <v>1640</v>
      </c>
      <c r="H87" s="152" t="s">
        <v>1641</v>
      </c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1"/>
      <c r="Y87" s="152" t="s">
        <v>1642</v>
      </c>
      <c r="Z87" s="157" t="s">
        <v>1642</v>
      </c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</row>
    <row r="88">
      <c r="A88" s="161" t="s">
        <v>1643</v>
      </c>
      <c r="B88" s="161" t="s">
        <v>1644</v>
      </c>
      <c r="C88" s="152"/>
      <c r="D88" s="152" t="s">
        <v>1645</v>
      </c>
      <c r="E88" s="152" t="s">
        <v>1646</v>
      </c>
      <c r="F88" s="152" t="s">
        <v>332</v>
      </c>
      <c r="G88" s="152" t="s">
        <v>1647</v>
      </c>
      <c r="H88" s="152" t="s">
        <v>1648</v>
      </c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1"/>
      <c r="Y88" s="152" t="s">
        <v>1649</v>
      </c>
      <c r="Z88" s="157" t="s">
        <v>1649</v>
      </c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</row>
    <row r="89">
      <c r="A89" s="156" t="s">
        <v>1650</v>
      </c>
      <c r="B89" s="156" t="s">
        <v>1651</v>
      </c>
      <c r="C89" s="152"/>
      <c r="D89" s="151" t="s">
        <v>1652</v>
      </c>
      <c r="E89" s="151" t="s">
        <v>1653</v>
      </c>
      <c r="F89" s="152" t="s">
        <v>332</v>
      </c>
      <c r="G89" s="163" t="s">
        <v>1654</v>
      </c>
      <c r="H89" s="152" t="s">
        <v>1655</v>
      </c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1"/>
      <c r="Y89" s="152" t="s">
        <v>1656</v>
      </c>
      <c r="Z89" s="157" t="s">
        <v>1656</v>
      </c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</row>
    <row r="90">
      <c r="A90" s="156" t="s">
        <v>1657</v>
      </c>
      <c r="B90" s="156" t="s">
        <v>1658</v>
      </c>
      <c r="C90" s="152"/>
      <c r="D90" s="152" t="s">
        <v>1659</v>
      </c>
      <c r="E90" s="152" t="s">
        <v>312</v>
      </c>
      <c r="F90" s="152"/>
      <c r="G90" s="152" t="s">
        <v>1660</v>
      </c>
      <c r="H90" s="152" t="s">
        <v>1661</v>
      </c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1"/>
      <c r="Y90" s="152" t="s">
        <v>1662</v>
      </c>
      <c r="Z90" s="157" t="s">
        <v>1662</v>
      </c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</row>
    <row r="91">
      <c r="A91" s="156" t="s">
        <v>1663</v>
      </c>
      <c r="B91" s="156" t="s">
        <v>1664</v>
      </c>
      <c r="C91" s="152"/>
      <c r="D91" s="152" t="s">
        <v>1665</v>
      </c>
      <c r="E91" s="152" t="s">
        <v>1666</v>
      </c>
      <c r="F91" s="152" t="s">
        <v>332</v>
      </c>
      <c r="G91" s="163" t="s">
        <v>1667</v>
      </c>
      <c r="H91" s="152" t="s">
        <v>1668</v>
      </c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1"/>
      <c r="Y91" s="152" t="s">
        <v>1669</v>
      </c>
      <c r="Z91" s="157" t="s">
        <v>1669</v>
      </c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</row>
    <row r="92">
      <c r="A92" s="156" t="s">
        <v>1670</v>
      </c>
      <c r="B92" s="156" t="s">
        <v>1671</v>
      </c>
      <c r="C92" s="152"/>
      <c r="D92" s="152" t="s">
        <v>1672</v>
      </c>
      <c r="E92" s="152" t="s">
        <v>1673</v>
      </c>
      <c r="F92" s="152" t="s">
        <v>939</v>
      </c>
      <c r="G92" s="163" t="s">
        <v>1674</v>
      </c>
      <c r="H92" s="152" t="s">
        <v>1675</v>
      </c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1"/>
      <c r="Y92" s="152" t="s">
        <v>1676</v>
      </c>
      <c r="Z92" s="157" t="s">
        <v>1676</v>
      </c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</row>
    <row r="93">
      <c r="A93" s="156" t="s">
        <v>1677</v>
      </c>
      <c r="B93" s="156" t="s">
        <v>1678</v>
      </c>
      <c r="C93" s="152"/>
      <c r="D93" s="152" t="s">
        <v>1679</v>
      </c>
      <c r="E93" s="152" t="s">
        <v>1680</v>
      </c>
      <c r="F93" s="152" t="s">
        <v>332</v>
      </c>
      <c r="G93" s="152" t="s">
        <v>1681</v>
      </c>
      <c r="H93" s="152" t="s">
        <v>1682</v>
      </c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1"/>
      <c r="Y93" s="152" t="s">
        <v>1683</v>
      </c>
      <c r="Z93" s="157" t="s">
        <v>1683</v>
      </c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</row>
    <row r="94">
      <c r="A94" s="156" t="s">
        <v>1684</v>
      </c>
      <c r="B94" s="156" t="s">
        <v>1685</v>
      </c>
      <c r="C94" s="152"/>
      <c r="D94" s="151" t="s">
        <v>1686</v>
      </c>
      <c r="E94" s="151" t="s">
        <v>1687</v>
      </c>
      <c r="F94" s="152" t="s">
        <v>332</v>
      </c>
      <c r="G94" s="163" t="s">
        <v>1688</v>
      </c>
      <c r="H94" s="152" t="s">
        <v>1689</v>
      </c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1"/>
      <c r="Y94" s="152" t="s">
        <v>1690</v>
      </c>
      <c r="Z94" s="157" t="s">
        <v>1690</v>
      </c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</row>
    <row r="95">
      <c r="A95" s="156" t="s">
        <v>1691</v>
      </c>
      <c r="B95" s="156" t="s">
        <v>1692</v>
      </c>
      <c r="C95" s="152"/>
      <c r="D95" s="152" t="s">
        <v>1693</v>
      </c>
      <c r="E95" s="152" t="s">
        <v>1694</v>
      </c>
      <c r="F95" s="152" t="s">
        <v>332</v>
      </c>
      <c r="G95" s="152" t="s">
        <v>1695</v>
      </c>
      <c r="H95" s="152" t="s">
        <v>1696</v>
      </c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1"/>
      <c r="Y95" s="152" t="s">
        <v>1697</v>
      </c>
      <c r="Z95" s="157" t="s">
        <v>1697</v>
      </c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</row>
    <row r="96">
      <c r="A96" s="156" t="s">
        <v>1698</v>
      </c>
      <c r="B96" s="156" t="s">
        <v>1699</v>
      </c>
      <c r="C96" s="152"/>
      <c r="D96" s="151" t="s">
        <v>1700</v>
      </c>
      <c r="E96" s="151" t="s">
        <v>1701</v>
      </c>
      <c r="F96" s="152" t="s">
        <v>939</v>
      </c>
      <c r="G96" s="152" t="s">
        <v>1702</v>
      </c>
      <c r="H96" s="152" t="s">
        <v>1703</v>
      </c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1"/>
      <c r="Y96" s="152" t="s">
        <v>1704</v>
      </c>
      <c r="Z96" s="157" t="s">
        <v>1704</v>
      </c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</row>
    <row r="97">
      <c r="A97" s="161" t="s">
        <v>1705</v>
      </c>
      <c r="B97" s="161" t="s">
        <v>1706</v>
      </c>
      <c r="C97" s="152"/>
      <c r="D97" s="152" t="s">
        <v>1707</v>
      </c>
      <c r="E97" s="152" t="s">
        <v>1708</v>
      </c>
      <c r="F97" s="152" t="s">
        <v>1709</v>
      </c>
      <c r="G97" s="163" t="s">
        <v>1710</v>
      </c>
      <c r="H97" s="152" t="s">
        <v>1711</v>
      </c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1"/>
      <c r="Y97" s="152" t="s">
        <v>1712</v>
      </c>
      <c r="Z97" s="157" t="s">
        <v>1712</v>
      </c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</row>
    <row r="98">
      <c r="A98" s="156" t="s">
        <v>1713</v>
      </c>
      <c r="B98" s="156" t="s">
        <v>1714</v>
      </c>
      <c r="C98" s="152"/>
      <c r="D98" s="152" t="s">
        <v>1715</v>
      </c>
      <c r="E98" s="152" t="s">
        <v>1716</v>
      </c>
      <c r="F98" s="152"/>
      <c r="G98" s="152" t="s">
        <v>1717</v>
      </c>
      <c r="H98" s="152" t="s">
        <v>1718</v>
      </c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1"/>
      <c r="Y98" s="152" t="s">
        <v>1719</v>
      </c>
      <c r="Z98" s="157" t="s">
        <v>1719</v>
      </c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</row>
    <row r="99">
      <c r="A99" s="156" t="s">
        <v>1720</v>
      </c>
      <c r="B99" s="156" t="s">
        <v>1721</v>
      </c>
      <c r="C99" s="152"/>
      <c r="D99" s="152" t="s">
        <v>1722</v>
      </c>
      <c r="E99" s="152" t="s">
        <v>1723</v>
      </c>
      <c r="F99" s="152" t="s">
        <v>1724</v>
      </c>
      <c r="G99" s="152" t="s">
        <v>1725</v>
      </c>
      <c r="H99" s="152" t="s">
        <v>1726</v>
      </c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1"/>
      <c r="Y99" s="152" t="s">
        <v>1727</v>
      </c>
      <c r="Z99" s="157" t="s">
        <v>1727</v>
      </c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</row>
    <row r="100">
      <c r="A100" s="156" t="s">
        <v>1728</v>
      </c>
      <c r="B100" s="156" t="s">
        <v>1729</v>
      </c>
      <c r="C100" s="152"/>
      <c r="D100" s="152" t="s">
        <v>1730</v>
      </c>
      <c r="E100" s="152" t="s">
        <v>1731</v>
      </c>
      <c r="F100" s="152" t="s">
        <v>332</v>
      </c>
      <c r="G100" s="152" t="s">
        <v>1732</v>
      </c>
      <c r="H100" s="152" t="s">
        <v>1732</v>
      </c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1"/>
      <c r="Y100" s="152" t="s">
        <v>1733</v>
      </c>
      <c r="Z100" s="157" t="s">
        <v>1733</v>
      </c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</row>
    <row r="101">
      <c r="A101" s="161" t="s">
        <v>1734</v>
      </c>
      <c r="B101" s="161" t="s">
        <v>1735</v>
      </c>
      <c r="C101" s="152"/>
      <c r="D101" s="152" t="s">
        <v>1736</v>
      </c>
      <c r="E101" s="152" t="s">
        <v>1737</v>
      </c>
      <c r="F101" s="152" t="s">
        <v>332</v>
      </c>
      <c r="G101" s="152" t="s">
        <v>1738</v>
      </c>
      <c r="H101" s="152" t="s">
        <v>1739</v>
      </c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1"/>
      <c r="Y101" s="152" t="s">
        <v>1740</v>
      </c>
      <c r="Z101" s="157" t="s">
        <v>1740</v>
      </c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</row>
    <row r="102">
      <c r="A102" s="161" t="s">
        <v>1741</v>
      </c>
      <c r="B102" s="161" t="s">
        <v>1742</v>
      </c>
      <c r="C102" s="152"/>
      <c r="D102" s="152" t="s">
        <v>1743</v>
      </c>
      <c r="E102" s="152" t="s">
        <v>1744</v>
      </c>
      <c r="F102" s="152" t="s">
        <v>332</v>
      </c>
      <c r="G102" s="152" t="s">
        <v>1745</v>
      </c>
      <c r="H102" s="152" t="s">
        <v>1746</v>
      </c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1"/>
      <c r="Y102" s="152" t="s">
        <v>1747</v>
      </c>
      <c r="Z102" s="157" t="s">
        <v>1747</v>
      </c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</row>
    <row r="103">
      <c r="A103" s="156" t="s">
        <v>15</v>
      </c>
      <c r="B103" s="156" t="s">
        <v>298</v>
      </c>
      <c r="C103" s="152"/>
      <c r="D103" s="151" t="s">
        <v>1748</v>
      </c>
      <c r="E103" s="151" t="s">
        <v>1749</v>
      </c>
      <c r="F103" s="152" t="s">
        <v>1560</v>
      </c>
      <c r="G103" s="152" t="s">
        <v>1750</v>
      </c>
      <c r="H103" s="152" t="s">
        <v>1751</v>
      </c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1"/>
      <c r="Y103" s="152" t="s">
        <v>1752</v>
      </c>
      <c r="Z103" s="157" t="s">
        <v>1752</v>
      </c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</row>
    <row r="104">
      <c r="A104" s="156" t="s">
        <v>1753</v>
      </c>
      <c r="B104" s="156" t="s">
        <v>1754</v>
      </c>
      <c r="C104" s="152"/>
      <c r="D104" s="152" t="s">
        <v>1755</v>
      </c>
      <c r="E104" s="152" t="s">
        <v>1755</v>
      </c>
      <c r="F104" s="152" t="s">
        <v>332</v>
      </c>
      <c r="G104" s="152" t="s">
        <v>1756</v>
      </c>
      <c r="H104" s="152" t="s">
        <v>1757</v>
      </c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1"/>
      <c r="Y104" s="152" t="s">
        <v>1758</v>
      </c>
      <c r="Z104" s="157" t="s">
        <v>1758</v>
      </c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</row>
    <row r="105">
      <c r="A105" s="161" t="s">
        <v>1759</v>
      </c>
      <c r="B105" s="161" t="s">
        <v>1760</v>
      </c>
      <c r="C105" s="152"/>
      <c r="D105" s="182" t="s">
        <v>1761</v>
      </c>
      <c r="E105" s="183" t="s">
        <v>1762</v>
      </c>
      <c r="F105" s="152"/>
      <c r="G105" s="152" t="s">
        <v>1763</v>
      </c>
      <c r="H105" s="152" t="s">
        <v>1764</v>
      </c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1"/>
      <c r="Y105" s="152" t="s">
        <v>1765</v>
      </c>
      <c r="Z105" s="157" t="s">
        <v>1765</v>
      </c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</row>
    <row r="106">
      <c r="A106" s="156" t="s">
        <v>1766</v>
      </c>
      <c r="B106" s="156" t="s">
        <v>1767</v>
      </c>
      <c r="C106" s="152"/>
      <c r="D106" s="152" t="s">
        <v>1768</v>
      </c>
      <c r="E106" s="152" t="s">
        <v>1769</v>
      </c>
      <c r="F106" s="152" t="s">
        <v>332</v>
      </c>
      <c r="G106" s="152" t="s">
        <v>1770</v>
      </c>
      <c r="H106" s="152" t="s">
        <v>1771</v>
      </c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1"/>
      <c r="Y106" s="152" t="s">
        <v>1772</v>
      </c>
      <c r="Z106" s="157" t="s">
        <v>1772</v>
      </c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</row>
    <row r="107">
      <c r="A107" s="161" t="s">
        <v>1773</v>
      </c>
      <c r="B107" s="161" t="s">
        <v>1774</v>
      </c>
      <c r="C107" s="152"/>
      <c r="D107" s="163" t="s">
        <v>1775</v>
      </c>
      <c r="E107" s="152" t="s">
        <v>1776</v>
      </c>
      <c r="F107" s="152"/>
      <c r="G107" s="152" t="s">
        <v>1777</v>
      </c>
      <c r="H107" s="152" t="s">
        <v>1778</v>
      </c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1"/>
      <c r="Y107" s="152" t="s">
        <v>1779</v>
      </c>
      <c r="Z107" s="157" t="s">
        <v>1779</v>
      </c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</row>
    <row r="108">
      <c r="A108" s="156" t="s">
        <v>1780</v>
      </c>
      <c r="B108" s="156" t="s">
        <v>1781</v>
      </c>
      <c r="C108" s="152"/>
      <c r="D108" s="152" t="s">
        <v>1782</v>
      </c>
      <c r="E108" s="152" t="s">
        <v>1783</v>
      </c>
      <c r="F108" s="152"/>
      <c r="G108" s="163" t="s">
        <v>1784</v>
      </c>
      <c r="H108" s="152" t="s">
        <v>1785</v>
      </c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1"/>
      <c r="Y108" s="152" t="s">
        <v>1786</v>
      </c>
      <c r="Z108" s="157" t="s">
        <v>1786</v>
      </c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</row>
    <row r="109">
      <c r="A109" s="161" t="s">
        <v>1787</v>
      </c>
      <c r="B109" s="161" t="s">
        <v>1788</v>
      </c>
      <c r="C109" s="152"/>
      <c r="D109" s="152" t="s">
        <v>413</v>
      </c>
      <c r="E109" s="152" t="s">
        <v>1789</v>
      </c>
      <c r="F109" s="152" t="s">
        <v>332</v>
      </c>
      <c r="G109" s="152" t="s">
        <v>1790</v>
      </c>
      <c r="H109" s="152" t="s">
        <v>1791</v>
      </c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1"/>
      <c r="Y109" s="152" t="s">
        <v>1792</v>
      </c>
      <c r="Z109" s="157" t="s">
        <v>1793</v>
      </c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</row>
    <row r="110">
      <c r="A110" s="156" t="s">
        <v>1794</v>
      </c>
      <c r="B110" s="156" t="s">
        <v>371</v>
      </c>
      <c r="C110" s="152"/>
      <c r="D110" s="152" t="s">
        <v>1795</v>
      </c>
      <c r="E110" s="152" t="s">
        <v>1796</v>
      </c>
      <c r="F110" s="152" t="s">
        <v>1541</v>
      </c>
      <c r="G110" s="152" t="s">
        <v>1797</v>
      </c>
      <c r="H110" s="152" t="s">
        <v>1797</v>
      </c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1"/>
      <c r="Y110" s="152" t="s">
        <v>1798</v>
      </c>
      <c r="Z110" s="157" t="s">
        <v>1798</v>
      </c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</row>
    <row r="111">
      <c r="A111" s="156" t="s">
        <v>1799</v>
      </c>
      <c r="B111" s="156" t="s">
        <v>1800</v>
      </c>
      <c r="C111" s="152"/>
      <c r="D111" s="151" t="s">
        <v>1801</v>
      </c>
      <c r="E111" s="151" t="s">
        <v>1802</v>
      </c>
      <c r="F111" s="151" t="s">
        <v>1541</v>
      </c>
      <c r="G111" s="152" t="s">
        <v>1803</v>
      </c>
      <c r="H111" s="152" t="s">
        <v>1804</v>
      </c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1"/>
      <c r="Y111" s="152" t="s">
        <v>1805</v>
      </c>
      <c r="Z111" s="157" t="s">
        <v>1805</v>
      </c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</row>
    <row r="112">
      <c r="A112" s="152" t="s">
        <v>1806</v>
      </c>
      <c r="B112" s="152" t="s">
        <v>343</v>
      </c>
      <c r="C112" s="152"/>
      <c r="D112" s="152" t="s">
        <v>1807</v>
      </c>
      <c r="E112" s="152" t="s">
        <v>1808</v>
      </c>
      <c r="F112" s="152" t="s">
        <v>394</v>
      </c>
      <c r="G112" s="152" t="s">
        <v>1809</v>
      </c>
      <c r="H112" s="152" t="s">
        <v>1810</v>
      </c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1"/>
      <c r="Y112" s="152" t="s">
        <v>1811</v>
      </c>
      <c r="Z112" s="157" t="s">
        <v>1811</v>
      </c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</row>
    <row r="113">
      <c r="A113" s="161" t="s">
        <v>1812</v>
      </c>
      <c r="B113" s="161" t="s">
        <v>1813</v>
      </c>
      <c r="C113" s="152"/>
      <c r="D113" s="152" t="s">
        <v>1814</v>
      </c>
      <c r="E113" s="152" t="s">
        <v>1815</v>
      </c>
      <c r="F113" s="152" t="s">
        <v>332</v>
      </c>
      <c r="G113" s="152" t="s">
        <v>1816</v>
      </c>
      <c r="H113" s="152" t="s">
        <v>1817</v>
      </c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1"/>
      <c r="Y113" s="152" t="s">
        <v>1818</v>
      </c>
      <c r="Z113" s="157" t="s">
        <v>1818</v>
      </c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</row>
    <row r="114">
      <c r="A114" s="161" t="s">
        <v>1819</v>
      </c>
      <c r="B114" s="161" t="s">
        <v>1820</v>
      </c>
      <c r="C114" s="152"/>
      <c r="D114" s="152" t="s">
        <v>1821</v>
      </c>
      <c r="E114" s="152" t="s">
        <v>1822</v>
      </c>
      <c r="F114" s="152" t="s">
        <v>332</v>
      </c>
      <c r="G114" s="152" t="s">
        <v>1823</v>
      </c>
      <c r="H114" s="152" t="s">
        <v>1824</v>
      </c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1"/>
      <c r="Y114" s="152" t="s">
        <v>1825</v>
      </c>
      <c r="Z114" s="157" t="s">
        <v>1825</v>
      </c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</row>
    <row r="115">
      <c r="A115" s="161" t="s">
        <v>1826</v>
      </c>
      <c r="B115" s="161" t="s">
        <v>1827</v>
      </c>
      <c r="C115" s="152"/>
      <c r="D115" s="151" t="s">
        <v>1828</v>
      </c>
      <c r="E115" s="152" t="s">
        <v>1829</v>
      </c>
      <c r="F115" s="166"/>
      <c r="G115" s="152" t="s">
        <v>1830</v>
      </c>
      <c r="H115" s="152" t="s">
        <v>1831</v>
      </c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1"/>
      <c r="Y115" s="152" t="s">
        <v>1832</v>
      </c>
      <c r="Z115" s="157" t="s">
        <v>1832</v>
      </c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</row>
    <row r="116">
      <c r="A116" s="156" t="s">
        <v>1833</v>
      </c>
      <c r="B116" s="156" t="s">
        <v>1834</v>
      </c>
      <c r="C116" s="152"/>
      <c r="D116" s="152" t="s">
        <v>1835</v>
      </c>
      <c r="E116" s="152" t="s">
        <v>1836</v>
      </c>
      <c r="F116" s="152" t="s">
        <v>332</v>
      </c>
      <c r="G116" s="163" t="s">
        <v>1837</v>
      </c>
      <c r="H116" s="152" t="s">
        <v>1838</v>
      </c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1"/>
      <c r="Y116" s="152" t="s">
        <v>1839</v>
      </c>
      <c r="Z116" s="157" t="s">
        <v>1839</v>
      </c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</row>
    <row r="117">
      <c r="A117" s="156" t="s">
        <v>1840</v>
      </c>
      <c r="B117" s="156" t="s">
        <v>418</v>
      </c>
      <c r="C117" s="152"/>
      <c r="D117" s="152" t="s">
        <v>1841</v>
      </c>
      <c r="E117" s="152" t="s">
        <v>1842</v>
      </c>
      <c r="F117" s="152" t="s">
        <v>1541</v>
      </c>
      <c r="G117" s="152" t="s">
        <v>1843</v>
      </c>
      <c r="H117" s="152" t="s">
        <v>1844</v>
      </c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1"/>
      <c r="Y117" s="152" t="s">
        <v>1845</v>
      </c>
      <c r="Z117" s="157" t="s">
        <v>1845</v>
      </c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</row>
    <row r="118">
      <c r="A118" s="156" t="s">
        <v>1846</v>
      </c>
      <c r="B118" s="156" t="s">
        <v>1847</v>
      </c>
      <c r="C118" s="152"/>
      <c r="D118" s="152" t="s">
        <v>1848</v>
      </c>
      <c r="E118" s="152" t="s">
        <v>1849</v>
      </c>
      <c r="F118" s="152" t="s">
        <v>332</v>
      </c>
      <c r="G118" s="152" t="s">
        <v>1850</v>
      </c>
      <c r="H118" s="152" t="s">
        <v>1851</v>
      </c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1"/>
      <c r="Y118" s="152" t="s">
        <v>1852</v>
      </c>
      <c r="Z118" s="157" t="s">
        <v>1852</v>
      </c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</row>
    <row r="119">
      <c r="A119" s="161" t="s">
        <v>1853</v>
      </c>
      <c r="B119" s="161" t="s">
        <v>1854</v>
      </c>
      <c r="C119" s="152"/>
      <c r="D119" s="152" t="s">
        <v>1855</v>
      </c>
      <c r="E119" s="152" t="s">
        <v>1856</v>
      </c>
      <c r="F119" s="152" t="s">
        <v>332</v>
      </c>
      <c r="G119" s="152" t="s">
        <v>1857</v>
      </c>
      <c r="H119" s="152" t="s">
        <v>1858</v>
      </c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1"/>
      <c r="Y119" s="152" t="s">
        <v>1859</v>
      </c>
      <c r="Z119" s="157" t="s">
        <v>1859</v>
      </c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</row>
    <row r="120">
      <c r="A120" s="161" t="s">
        <v>1860</v>
      </c>
      <c r="B120" s="161" t="s">
        <v>1861</v>
      </c>
      <c r="C120" s="152"/>
      <c r="D120" s="152" t="s">
        <v>1862</v>
      </c>
      <c r="E120" s="152" t="s">
        <v>1862</v>
      </c>
      <c r="F120" s="152" t="s">
        <v>394</v>
      </c>
      <c r="G120" s="152" t="s">
        <v>1863</v>
      </c>
      <c r="H120" s="152" t="s">
        <v>1864</v>
      </c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1"/>
      <c r="Y120" s="152" t="s">
        <v>1865</v>
      </c>
      <c r="Z120" s="157" t="s">
        <v>1865</v>
      </c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</row>
    <row r="121">
      <c r="A121" s="161" t="s">
        <v>1866</v>
      </c>
      <c r="B121" s="161" t="s">
        <v>1867</v>
      </c>
      <c r="C121" s="152"/>
      <c r="D121" s="152" t="s">
        <v>1868</v>
      </c>
      <c r="E121" s="152" t="s">
        <v>1869</v>
      </c>
      <c r="F121" s="152" t="s">
        <v>332</v>
      </c>
      <c r="G121" s="152" t="s">
        <v>1870</v>
      </c>
      <c r="H121" s="152" t="s">
        <v>1871</v>
      </c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1"/>
      <c r="Y121" s="152" t="s">
        <v>1872</v>
      </c>
      <c r="Z121" s="157" t="s">
        <v>1872</v>
      </c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</row>
    <row r="122">
      <c r="A122" s="156" t="s">
        <v>1873</v>
      </c>
      <c r="B122" s="156" t="s">
        <v>1874</v>
      </c>
      <c r="C122" s="152"/>
      <c r="D122" s="152" t="s">
        <v>1875</v>
      </c>
      <c r="E122" s="152" t="s">
        <v>1876</v>
      </c>
      <c r="F122" s="152" t="s">
        <v>1541</v>
      </c>
      <c r="G122" s="152" t="s">
        <v>1877</v>
      </c>
      <c r="H122" s="152" t="s">
        <v>1878</v>
      </c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1"/>
      <c r="Y122" s="152" t="s">
        <v>1879</v>
      </c>
      <c r="Z122" s="157" t="s">
        <v>1879</v>
      </c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</row>
    <row r="123">
      <c r="A123" s="161" t="s">
        <v>1880</v>
      </c>
      <c r="B123" s="161" t="s">
        <v>1881</v>
      </c>
      <c r="C123" s="152"/>
      <c r="D123" s="152" t="s">
        <v>1882</v>
      </c>
      <c r="E123" s="152" t="s">
        <v>1883</v>
      </c>
      <c r="F123" s="152" t="s">
        <v>332</v>
      </c>
      <c r="G123" s="152" t="s">
        <v>1884</v>
      </c>
      <c r="H123" s="152" t="s">
        <v>1885</v>
      </c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1"/>
      <c r="Y123" s="152" t="s">
        <v>103</v>
      </c>
      <c r="Z123" s="157" t="s">
        <v>103</v>
      </c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</row>
    <row r="124">
      <c r="A124" s="151" t="s">
        <v>1886</v>
      </c>
      <c r="B124" s="156" t="s">
        <v>1887</v>
      </c>
      <c r="C124" s="152"/>
      <c r="D124" s="152" t="s">
        <v>1888</v>
      </c>
      <c r="E124" s="152" t="s">
        <v>1889</v>
      </c>
      <c r="F124" s="152" t="s">
        <v>939</v>
      </c>
      <c r="G124" s="152" t="s">
        <v>1890</v>
      </c>
      <c r="H124" s="152" t="s">
        <v>1891</v>
      </c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1"/>
      <c r="Y124" s="152" t="s">
        <v>1892</v>
      </c>
      <c r="Z124" s="157" t="s">
        <v>1892</v>
      </c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</row>
    <row r="125">
      <c r="A125" s="161" t="s">
        <v>1893</v>
      </c>
      <c r="B125" s="161" t="s">
        <v>1894</v>
      </c>
      <c r="C125" s="152"/>
      <c r="D125" s="152" t="s">
        <v>1895</v>
      </c>
      <c r="E125" s="152" t="s">
        <v>1896</v>
      </c>
      <c r="F125" s="152" t="s">
        <v>332</v>
      </c>
      <c r="G125" s="163" t="s">
        <v>1897</v>
      </c>
      <c r="H125" s="152" t="s">
        <v>1898</v>
      </c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1"/>
      <c r="Y125" s="152" t="s">
        <v>1899</v>
      </c>
      <c r="Z125" s="157" t="s">
        <v>1899</v>
      </c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</row>
    <row r="126">
      <c r="A126" s="156" t="s">
        <v>1900</v>
      </c>
      <c r="B126" s="156" t="s">
        <v>1901</v>
      </c>
      <c r="C126" s="152"/>
      <c r="D126" s="152" t="s">
        <v>1902</v>
      </c>
      <c r="E126" s="152" t="s">
        <v>1903</v>
      </c>
      <c r="F126" s="152" t="s">
        <v>1904</v>
      </c>
      <c r="G126" s="163" t="s">
        <v>1905</v>
      </c>
      <c r="H126" s="152" t="s">
        <v>1906</v>
      </c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1"/>
      <c r="Y126" s="152" t="s">
        <v>1907</v>
      </c>
      <c r="Z126" s="157" t="s">
        <v>1907</v>
      </c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</row>
    <row r="127">
      <c r="A127" s="156" t="s">
        <v>1908</v>
      </c>
      <c r="B127" s="156" t="s">
        <v>1909</v>
      </c>
      <c r="C127" s="152"/>
      <c r="D127" s="152" t="s">
        <v>1910</v>
      </c>
      <c r="E127" s="152" t="s">
        <v>1911</v>
      </c>
      <c r="F127" s="152" t="s">
        <v>603</v>
      </c>
      <c r="G127" s="163" t="s">
        <v>1912</v>
      </c>
      <c r="H127" s="152" t="s">
        <v>1913</v>
      </c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1"/>
      <c r="Y127" s="152" t="s">
        <v>1914</v>
      </c>
      <c r="Z127" s="157" t="s">
        <v>1914</v>
      </c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</row>
    <row r="128">
      <c r="A128" s="156" t="s">
        <v>1915</v>
      </c>
      <c r="B128" s="156" t="s">
        <v>1916</v>
      </c>
      <c r="C128" s="152"/>
      <c r="D128" s="152" t="s">
        <v>1917</v>
      </c>
      <c r="E128" s="152" t="s">
        <v>1918</v>
      </c>
      <c r="F128" s="152" t="s">
        <v>332</v>
      </c>
      <c r="G128" s="152" t="s">
        <v>1919</v>
      </c>
      <c r="H128" s="152" t="s">
        <v>1920</v>
      </c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1"/>
      <c r="Y128" s="152" t="s">
        <v>1921</v>
      </c>
      <c r="Z128" s="157" t="s">
        <v>1921</v>
      </c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</row>
    <row r="129">
      <c r="A129" s="156" t="s">
        <v>1922</v>
      </c>
      <c r="B129" s="156" t="s">
        <v>1923</v>
      </c>
      <c r="C129" s="152"/>
      <c r="D129" s="152" t="s">
        <v>1924</v>
      </c>
      <c r="E129" s="152" t="s">
        <v>1925</v>
      </c>
      <c r="F129" s="152" t="s">
        <v>1516</v>
      </c>
      <c r="G129" s="163" t="s">
        <v>1926</v>
      </c>
      <c r="H129" s="152" t="s">
        <v>1927</v>
      </c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1"/>
      <c r="Y129" s="152" t="s">
        <v>1928</v>
      </c>
      <c r="Z129" s="157" t="s">
        <v>1928</v>
      </c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</row>
    <row r="130">
      <c r="A130" s="156" t="s">
        <v>1929</v>
      </c>
      <c r="B130" s="156" t="s">
        <v>1930</v>
      </c>
      <c r="C130" s="152"/>
      <c r="D130" s="152" t="s">
        <v>1931</v>
      </c>
      <c r="E130" s="152" t="s">
        <v>1932</v>
      </c>
      <c r="F130" s="152" t="s">
        <v>394</v>
      </c>
      <c r="G130" s="152" t="s">
        <v>1933</v>
      </c>
      <c r="H130" s="152" t="s">
        <v>1934</v>
      </c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1"/>
      <c r="Y130" s="152" t="s">
        <v>1935</v>
      </c>
      <c r="Z130" s="157" t="s">
        <v>1935</v>
      </c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</row>
    <row r="131">
      <c r="A131" s="156" t="s">
        <v>1936</v>
      </c>
      <c r="B131" s="156" t="s">
        <v>1937</v>
      </c>
      <c r="C131" s="152"/>
      <c r="D131" s="152" t="s">
        <v>1938</v>
      </c>
      <c r="E131" s="152" t="s">
        <v>1939</v>
      </c>
      <c r="F131" s="152" t="s">
        <v>636</v>
      </c>
      <c r="G131" s="152" t="s">
        <v>1940</v>
      </c>
      <c r="H131" s="152" t="s">
        <v>1941</v>
      </c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1"/>
      <c r="Y131" s="152" t="s">
        <v>1942</v>
      </c>
      <c r="Z131" s="157" t="s">
        <v>1942</v>
      </c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</row>
    <row r="132">
      <c r="A132" s="156" t="s">
        <v>1943</v>
      </c>
      <c r="B132" s="156" t="s">
        <v>1944</v>
      </c>
      <c r="C132" s="152"/>
      <c r="D132" s="152" t="s">
        <v>1945</v>
      </c>
      <c r="E132" s="152" t="s">
        <v>1946</v>
      </c>
      <c r="F132" s="152" t="s">
        <v>332</v>
      </c>
      <c r="G132" s="152" t="s">
        <v>1947</v>
      </c>
      <c r="H132" s="152" t="s">
        <v>1948</v>
      </c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1"/>
      <c r="Y132" s="152" t="s">
        <v>1949</v>
      </c>
      <c r="Z132" s="157" t="s">
        <v>1949</v>
      </c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</row>
    <row r="133">
      <c r="A133" s="161" t="s">
        <v>1950</v>
      </c>
      <c r="B133" s="161" t="s">
        <v>1951</v>
      </c>
      <c r="C133" s="152"/>
      <c r="D133" s="152" t="s">
        <v>1952</v>
      </c>
      <c r="E133" s="152" t="s">
        <v>1953</v>
      </c>
      <c r="F133" s="152"/>
      <c r="G133" s="152" t="s">
        <v>1954</v>
      </c>
      <c r="H133" s="152" t="s">
        <v>1955</v>
      </c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1"/>
      <c r="Y133" s="152" t="s">
        <v>1956</v>
      </c>
      <c r="Z133" s="157" t="s">
        <v>1956</v>
      </c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</row>
    <row r="134">
      <c r="A134" s="156" t="s">
        <v>1957</v>
      </c>
      <c r="B134" s="156" t="s">
        <v>1958</v>
      </c>
      <c r="C134" s="152"/>
      <c r="D134" s="152" t="s">
        <v>1959</v>
      </c>
      <c r="E134" s="152" t="s">
        <v>1960</v>
      </c>
      <c r="F134" s="152" t="s">
        <v>394</v>
      </c>
      <c r="G134" s="152" t="s">
        <v>1961</v>
      </c>
      <c r="H134" s="152" t="s">
        <v>1962</v>
      </c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1"/>
      <c r="Y134" s="152" t="s">
        <v>1963</v>
      </c>
      <c r="Z134" s="157" t="s">
        <v>1963</v>
      </c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</row>
    <row r="135">
      <c r="A135" s="161" t="s">
        <v>1964</v>
      </c>
      <c r="B135" s="161" t="s">
        <v>1965</v>
      </c>
      <c r="C135" s="152"/>
      <c r="D135" s="152" t="s">
        <v>1966</v>
      </c>
      <c r="E135" s="152" t="s">
        <v>1967</v>
      </c>
      <c r="F135" s="152" t="s">
        <v>332</v>
      </c>
      <c r="G135" s="163" t="s">
        <v>1968</v>
      </c>
      <c r="H135" s="152" t="s">
        <v>1969</v>
      </c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1"/>
      <c r="Y135" s="152" t="s">
        <v>1970</v>
      </c>
      <c r="Z135" s="157" t="s">
        <v>1970</v>
      </c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</row>
    <row r="136">
      <c r="A136" s="161" t="s">
        <v>1971</v>
      </c>
      <c r="B136" s="161" t="s">
        <v>1972</v>
      </c>
      <c r="C136" s="152"/>
      <c r="D136" s="152" t="s">
        <v>1973</v>
      </c>
      <c r="E136" s="152" t="s">
        <v>1974</v>
      </c>
      <c r="F136" s="152"/>
      <c r="G136" s="152" t="s">
        <v>1975</v>
      </c>
      <c r="H136" s="152" t="s">
        <v>1976</v>
      </c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1"/>
      <c r="Y136" s="152" t="s">
        <v>1977</v>
      </c>
      <c r="Z136" s="157" t="s">
        <v>1977</v>
      </c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</row>
    <row r="137">
      <c r="A137" s="161" t="s">
        <v>1978</v>
      </c>
      <c r="B137" s="161" t="s">
        <v>975</v>
      </c>
      <c r="C137" s="152"/>
      <c r="D137" s="152" t="s">
        <v>1979</v>
      </c>
      <c r="E137" s="152" t="s">
        <v>1980</v>
      </c>
      <c r="F137" s="152" t="s">
        <v>830</v>
      </c>
      <c r="G137" s="152" t="s">
        <v>1981</v>
      </c>
      <c r="H137" s="152" t="s">
        <v>1982</v>
      </c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1"/>
      <c r="Y137" s="152" t="s">
        <v>1983</v>
      </c>
      <c r="Z137" s="157" t="s">
        <v>1983</v>
      </c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</row>
    <row r="138">
      <c r="A138" s="161" t="s">
        <v>1984</v>
      </c>
      <c r="B138" s="161" t="s">
        <v>1985</v>
      </c>
      <c r="C138" s="152"/>
      <c r="D138" s="152" t="s">
        <v>1986</v>
      </c>
      <c r="E138" s="152" t="s">
        <v>1987</v>
      </c>
      <c r="F138" s="152" t="s">
        <v>1988</v>
      </c>
      <c r="G138" s="152" t="s">
        <v>1989</v>
      </c>
      <c r="H138" s="152" t="s">
        <v>1990</v>
      </c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1"/>
      <c r="Y138" s="152" t="s">
        <v>1991</v>
      </c>
      <c r="Z138" s="157" t="s">
        <v>1991</v>
      </c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</row>
    <row r="139">
      <c r="A139" s="161" t="s">
        <v>1992</v>
      </c>
      <c r="B139" s="161" t="s">
        <v>651</v>
      </c>
      <c r="C139" s="152"/>
      <c r="D139" s="152" t="s">
        <v>1993</v>
      </c>
      <c r="E139" s="152" t="s">
        <v>1994</v>
      </c>
      <c r="F139" s="152" t="s">
        <v>332</v>
      </c>
      <c r="G139" s="152" t="s">
        <v>1995</v>
      </c>
      <c r="H139" s="152" t="s">
        <v>1996</v>
      </c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1"/>
      <c r="Y139" s="152" t="s">
        <v>1997</v>
      </c>
      <c r="Z139" s="152" t="s">
        <v>1997</v>
      </c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</row>
    <row r="140">
      <c r="A140" s="161" t="s">
        <v>1998</v>
      </c>
      <c r="B140" s="161" t="s">
        <v>1999</v>
      </c>
      <c r="C140" s="152"/>
      <c r="D140" s="152" t="s">
        <v>2000</v>
      </c>
      <c r="E140" s="152" t="s">
        <v>2001</v>
      </c>
      <c r="F140" s="152" t="s">
        <v>2002</v>
      </c>
      <c r="G140" s="163" t="s">
        <v>2003</v>
      </c>
      <c r="H140" s="152" t="s">
        <v>2004</v>
      </c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1"/>
      <c r="Y140" s="152" t="s">
        <v>2005</v>
      </c>
      <c r="Z140" s="157" t="s">
        <v>2005</v>
      </c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</row>
    <row r="141">
      <c r="A141" s="161" t="s">
        <v>2006</v>
      </c>
      <c r="B141" s="161" t="s">
        <v>2007</v>
      </c>
      <c r="C141" s="152"/>
      <c r="D141" s="152" t="s">
        <v>2008</v>
      </c>
      <c r="E141" s="152" t="s">
        <v>2009</v>
      </c>
      <c r="F141" s="152" t="s">
        <v>1560</v>
      </c>
      <c r="G141" s="163" t="s">
        <v>2010</v>
      </c>
      <c r="H141" s="152" t="s">
        <v>2011</v>
      </c>
      <c r="I141" s="152" t="s">
        <v>486</v>
      </c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1"/>
      <c r="Y141" s="152" t="s">
        <v>2012</v>
      </c>
      <c r="Z141" s="157" t="s">
        <v>2012</v>
      </c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</row>
    <row r="142">
      <c r="A142" s="161" t="s">
        <v>2013</v>
      </c>
      <c r="B142" s="161" t="s">
        <v>2014</v>
      </c>
      <c r="C142" s="152"/>
      <c r="D142" s="152" t="s">
        <v>2015</v>
      </c>
      <c r="E142" s="151" t="s">
        <v>2016</v>
      </c>
      <c r="F142" s="152"/>
      <c r="G142" s="152" t="s">
        <v>2017</v>
      </c>
      <c r="H142" s="152" t="s">
        <v>2018</v>
      </c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1"/>
      <c r="Y142" s="152" t="s">
        <v>2019</v>
      </c>
      <c r="Z142" s="157" t="s">
        <v>2019</v>
      </c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</row>
    <row r="143">
      <c r="A143" s="152" t="s">
        <v>2020</v>
      </c>
      <c r="B143" s="152" t="s">
        <v>2021</v>
      </c>
      <c r="C143" s="152"/>
      <c r="D143" s="152" t="s">
        <v>2022</v>
      </c>
      <c r="E143" s="152" t="s">
        <v>2023</v>
      </c>
      <c r="F143" s="152"/>
      <c r="G143" s="163" t="s">
        <v>2024</v>
      </c>
      <c r="H143" s="152" t="s">
        <v>2025</v>
      </c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1"/>
      <c r="Y143" s="152" t="s">
        <v>2026</v>
      </c>
      <c r="Z143" s="157" t="s">
        <v>2026</v>
      </c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</row>
    <row r="144">
      <c r="A144" s="161" t="s">
        <v>2027</v>
      </c>
      <c r="B144" s="161" t="s">
        <v>2028</v>
      </c>
      <c r="C144" s="152"/>
      <c r="D144" s="151" t="s">
        <v>2029</v>
      </c>
      <c r="E144" s="151" t="s">
        <v>2030</v>
      </c>
      <c r="F144" s="166"/>
      <c r="G144" s="152" t="s">
        <v>2031</v>
      </c>
      <c r="H144" s="152" t="s">
        <v>2032</v>
      </c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1"/>
      <c r="Y144" s="152" t="s">
        <v>2033</v>
      </c>
      <c r="Z144" s="157" t="s">
        <v>2033</v>
      </c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</row>
    <row r="145">
      <c r="A145" s="161" t="s">
        <v>2034</v>
      </c>
      <c r="B145" s="161" t="s">
        <v>2035</v>
      </c>
      <c r="C145" s="152"/>
      <c r="D145" s="152" t="s">
        <v>2036</v>
      </c>
      <c r="E145" s="152" t="s">
        <v>2037</v>
      </c>
      <c r="F145" s="152" t="s">
        <v>332</v>
      </c>
      <c r="G145" s="152" t="s">
        <v>2038</v>
      </c>
      <c r="H145" s="152" t="s">
        <v>2039</v>
      </c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1"/>
      <c r="Y145" s="152" t="s">
        <v>2040</v>
      </c>
      <c r="Z145" s="157" t="s">
        <v>2040</v>
      </c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</row>
    <row r="146">
      <c r="A146" s="161" t="s">
        <v>2041</v>
      </c>
      <c r="B146" s="161" t="s">
        <v>2042</v>
      </c>
      <c r="C146" s="152"/>
      <c r="D146" s="152" t="s">
        <v>2043</v>
      </c>
      <c r="E146" s="152" t="s">
        <v>2044</v>
      </c>
      <c r="F146" s="152" t="s">
        <v>332</v>
      </c>
      <c r="G146" s="152" t="s">
        <v>2045</v>
      </c>
      <c r="H146" s="152" t="s">
        <v>2046</v>
      </c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1"/>
      <c r="Y146" s="152" t="s">
        <v>2047</v>
      </c>
      <c r="Z146" s="157" t="s">
        <v>2047</v>
      </c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</row>
    <row r="147">
      <c r="A147" s="161" t="s">
        <v>2048</v>
      </c>
      <c r="B147" s="161" t="s">
        <v>2049</v>
      </c>
      <c r="C147" s="152"/>
      <c r="D147" s="152" t="s">
        <v>2050</v>
      </c>
      <c r="E147" s="152" t="s">
        <v>2051</v>
      </c>
      <c r="F147" s="152" t="s">
        <v>332</v>
      </c>
      <c r="G147" s="152" t="s">
        <v>2052</v>
      </c>
      <c r="H147" s="152" t="s">
        <v>2053</v>
      </c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1"/>
      <c r="Y147" s="152" t="s">
        <v>2054</v>
      </c>
      <c r="Z147" s="157" t="s">
        <v>2054</v>
      </c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</row>
    <row r="148">
      <c r="A148" s="161" t="s">
        <v>2055</v>
      </c>
      <c r="B148" s="161" t="s">
        <v>2056</v>
      </c>
      <c r="C148" s="152"/>
      <c r="D148" s="152" t="s">
        <v>2057</v>
      </c>
      <c r="E148" s="152" t="s">
        <v>2058</v>
      </c>
      <c r="F148" s="152" t="s">
        <v>332</v>
      </c>
      <c r="G148" s="163" t="s">
        <v>2059</v>
      </c>
      <c r="H148" s="152" t="s">
        <v>2060</v>
      </c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1"/>
      <c r="Y148" s="152" t="s">
        <v>58</v>
      </c>
      <c r="Z148" s="157" t="s">
        <v>307</v>
      </c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</row>
    <row r="149">
      <c r="A149" s="161" t="s">
        <v>2061</v>
      </c>
      <c r="B149" s="161" t="s">
        <v>2062</v>
      </c>
      <c r="C149" s="152"/>
      <c r="D149" s="152" t="s">
        <v>2063</v>
      </c>
      <c r="E149" s="151" t="s">
        <v>2064</v>
      </c>
      <c r="F149" s="166"/>
      <c r="G149" s="163" t="s">
        <v>2065</v>
      </c>
      <c r="H149" s="152" t="s">
        <v>2066</v>
      </c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1"/>
      <c r="Y149" s="184" t="s">
        <v>2067</v>
      </c>
      <c r="Z149" s="157" t="s">
        <v>2067</v>
      </c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</row>
    <row r="150">
      <c r="A150" s="161" t="s">
        <v>2068</v>
      </c>
      <c r="B150" s="161" t="s">
        <v>2069</v>
      </c>
      <c r="C150" s="152"/>
      <c r="D150" s="152" t="s">
        <v>2070</v>
      </c>
      <c r="E150" s="152" t="s">
        <v>2071</v>
      </c>
      <c r="F150" s="152" t="s">
        <v>855</v>
      </c>
      <c r="G150" s="152" t="s">
        <v>2072</v>
      </c>
      <c r="H150" s="152" t="s">
        <v>2073</v>
      </c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 t="s">
        <v>2074</v>
      </c>
      <c r="Z150" s="157" t="s">
        <v>2074</v>
      </c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</row>
    <row r="151">
      <c r="A151" s="161" t="s">
        <v>2075</v>
      </c>
      <c r="B151" s="161" t="s">
        <v>2076</v>
      </c>
      <c r="C151" s="152"/>
      <c r="D151" s="152" t="s">
        <v>2077</v>
      </c>
      <c r="E151" s="152" t="s">
        <v>2078</v>
      </c>
      <c r="F151" s="152"/>
      <c r="G151" s="152" t="s">
        <v>2079</v>
      </c>
      <c r="H151" s="152" t="s">
        <v>2080</v>
      </c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 t="s">
        <v>2081</v>
      </c>
      <c r="Z151" s="157" t="s">
        <v>2081</v>
      </c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</row>
    <row r="152">
      <c r="A152" s="161" t="s">
        <v>2082</v>
      </c>
      <c r="B152" s="161" t="s">
        <v>2083</v>
      </c>
      <c r="C152" s="152"/>
      <c r="D152" s="152" t="s">
        <v>2084</v>
      </c>
      <c r="E152" s="152" t="s">
        <v>2085</v>
      </c>
      <c r="F152" s="152" t="s">
        <v>332</v>
      </c>
      <c r="G152" s="152" t="s">
        <v>2086</v>
      </c>
      <c r="H152" s="152" t="s">
        <v>2087</v>
      </c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 t="s">
        <v>2088</v>
      </c>
      <c r="Z152" s="157" t="s">
        <v>2088</v>
      </c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</row>
    <row r="153">
      <c r="A153" s="161" t="s">
        <v>2089</v>
      </c>
      <c r="B153" s="161" t="s">
        <v>2090</v>
      </c>
      <c r="C153" s="152"/>
      <c r="D153" s="152" t="s">
        <v>2091</v>
      </c>
      <c r="E153" s="152" t="s">
        <v>2092</v>
      </c>
      <c r="F153" s="152" t="s">
        <v>332</v>
      </c>
      <c r="G153" s="152" t="s">
        <v>2093</v>
      </c>
      <c r="H153" s="152" t="s">
        <v>2094</v>
      </c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 t="s">
        <v>2095</v>
      </c>
      <c r="Z153" s="157" t="s">
        <v>2095</v>
      </c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</row>
    <row r="154">
      <c r="A154" s="161" t="s">
        <v>2096</v>
      </c>
      <c r="B154" s="161" t="s">
        <v>2097</v>
      </c>
      <c r="C154" s="152"/>
      <c r="D154" s="152" t="s">
        <v>2098</v>
      </c>
      <c r="E154" s="152" t="s">
        <v>2099</v>
      </c>
      <c r="F154" s="152"/>
      <c r="G154" s="152" t="s">
        <v>2100</v>
      </c>
      <c r="H154" s="152" t="s">
        <v>2101</v>
      </c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 t="s">
        <v>2102</v>
      </c>
      <c r="Z154" s="157" t="s">
        <v>2102</v>
      </c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</row>
    <row r="155">
      <c r="A155" s="161" t="s">
        <v>2103</v>
      </c>
      <c r="B155" s="161" t="s">
        <v>2104</v>
      </c>
      <c r="C155" s="152"/>
      <c r="D155" s="152" t="s">
        <v>2105</v>
      </c>
      <c r="E155" s="152" t="s">
        <v>2106</v>
      </c>
      <c r="F155" s="152"/>
      <c r="G155" s="152" t="s">
        <v>2107</v>
      </c>
      <c r="H155" s="152" t="s">
        <v>2108</v>
      </c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 t="s">
        <v>2109</v>
      </c>
      <c r="Z155" s="157" t="s">
        <v>2109</v>
      </c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</row>
    <row r="156">
      <c r="A156" s="161" t="s">
        <v>2110</v>
      </c>
      <c r="B156" s="161" t="s">
        <v>2111</v>
      </c>
      <c r="C156" s="152"/>
      <c r="D156" s="152" t="s">
        <v>2072</v>
      </c>
      <c r="E156" s="152" t="s">
        <v>2112</v>
      </c>
      <c r="F156" s="152" t="s">
        <v>939</v>
      </c>
      <c r="G156" s="152" t="s">
        <v>2113</v>
      </c>
      <c r="H156" s="152" t="s">
        <v>2114</v>
      </c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 t="s">
        <v>2115</v>
      </c>
      <c r="Z156" s="157" t="s">
        <v>2115</v>
      </c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</row>
    <row r="157">
      <c r="A157" s="161" t="s">
        <v>2116</v>
      </c>
      <c r="B157" s="161" t="s">
        <v>2117</v>
      </c>
      <c r="C157" s="152"/>
      <c r="D157" s="152" t="s">
        <v>2118</v>
      </c>
      <c r="E157" s="152" t="s">
        <v>2119</v>
      </c>
      <c r="F157" s="152" t="s">
        <v>332</v>
      </c>
      <c r="G157" s="152" t="s">
        <v>2120</v>
      </c>
      <c r="H157" s="152" t="s">
        <v>2121</v>
      </c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 t="s">
        <v>2122</v>
      </c>
      <c r="Z157" s="157" t="s">
        <v>2122</v>
      </c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</row>
    <row r="158">
      <c r="A158" s="161" t="s">
        <v>2123</v>
      </c>
      <c r="B158" s="161" t="s">
        <v>2124</v>
      </c>
      <c r="C158" s="152"/>
      <c r="D158" s="152" t="s">
        <v>2125</v>
      </c>
      <c r="E158" s="152" t="s">
        <v>2125</v>
      </c>
      <c r="F158" s="152"/>
      <c r="G158" s="163" t="s">
        <v>2126</v>
      </c>
      <c r="H158" s="152" t="s">
        <v>2127</v>
      </c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 t="s">
        <v>2128</v>
      </c>
      <c r="Z158" s="157" t="s">
        <v>2128</v>
      </c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</row>
    <row r="159">
      <c r="A159" s="161" t="s">
        <v>2129</v>
      </c>
      <c r="B159" s="161" t="s">
        <v>2130</v>
      </c>
      <c r="C159" s="152"/>
      <c r="D159" s="152" t="s">
        <v>2131</v>
      </c>
      <c r="E159" s="152" t="s">
        <v>2132</v>
      </c>
      <c r="F159" s="152" t="s">
        <v>939</v>
      </c>
      <c r="G159" s="152" t="s">
        <v>2133</v>
      </c>
      <c r="H159" s="152" t="s">
        <v>2133</v>
      </c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 t="s">
        <v>2134</v>
      </c>
      <c r="Z159" s="157" t="s">
        <v>2134</v>
      </c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</row>
    <row r="160">
      <c r="A160" s="161" t="s">
        <v>2135</v>
      </c>
      <c r="B160" s="161" t="s">
        <v>2136</v>
      </c>
      <c r="C160" s="152"/>
      <c r="D160" s="152" t="s">
        <v>2137</v>
      </c>
      <c r="E160" s="152" t="s">
        <v>2138</v>
      </c>
      <c r="F160" s="152" t="s">
        <v>394</v>
      </c>
      <c r="G160" s="163" t="s">
        <v>2139</v>
      </c>
      <c r="H160" s="152" t="s">
        <v>2140</v>
      </c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 t="s">
        <v>2141</v>
      </c>
      <c r="Z160" s="157" t="s">
        <v>2141</v>
      </c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</row>
    <row r="161">
      <c r="A161" s="161" t="s">
        <v>2142</v>
      </c>
      <c r="B161" s="161" t="s">
        <v>2143</v>
      </c>
      <c r="C161" s="152"/>
      <c r="D161" s="152" t="s">
        <v>2144</v>
      </c>
      <c r="E161" s="152" t="s">
        <v>2145</v>
      </c>
      <c r="F161" s="152" t="s">
        <v>394</v>
      </c>
      <c r="G161" s="152" t="s">
        <v>2146</v>
      </c>
      <c r="H161" s="152" t="s">
        <v>2147</v>
      </c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 t="s">
        <v>2148</v>
      </c>
      <c r="Z161" s="157" t="s">
        <v>2148</v>
      </c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</row>
    <row r="162">
      <c r="A162" s="161" t="s">
        <v>2149</v>
      </c>
      <c r="B162" s="161" t="s">
        <v>2150</v>
      </c>
      <c r="C162" s="152"/>
      <c r="D162" s="152" t="s">
        <v>2151</v>
      </c>
      <c r="E162" s="152" t="s">
        <v>2152</v>
      </c>
      <c r="F162" s="152"/>
      <c r="G162" s="152" t="s">
        <v>2153</v>
      </c>
      <c r="H162" s="152" t="s">
        <v>2154</v>
      </c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 t="s">
        <v>2155</v>
      </c>
      <c r="Z162" s="157" t="s">
        <v>2155</v>
      </c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</row>
    <row r="163">
      <c r="A163" s="161" t="s">
        <v>2156</v>
      </c>
      <c r="B163" s="161" t="s">
        <v>2157</v>
      </c>
      <c r="C163" s="152"/>
      <c r="D163" s="152" t="s">
        <v>2158</v>
      </c>
      <c r="E163" s="152" t="s">
        <v>2159</v>
      </c>
      <c r="F163" s="152" t="s">
        <v>332</v>
      </c>
      <c r="G163" s="163" t="s">
        <v>2160</v>
      </c>
      <c r="H163" s="152" t="s">
        <v>2161</v>
      </c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 t="s">
        <v>2162</v>
      </c>
      <c r="Z163" s="157" t="s">
        <v>2162</v>
      </c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</row>
    <row r="164">
      <c r="A164" s="161" t="s">
        <v>2163</v>
      </c>
      <c r="B164" s="161" t="s">
        <v>2164</v>
      </c>
      <c r="C164" s="152"/>
      <c r="D164" s="152" t="s">
        <v>2165</v>
      </c>
      <c r="E164" s="152" t="s">
        <v>2166</v>
      </c>
      <c r="F164" s="152"/>
      <c r="G164" s="152" t="s">
        <v>2167</v>
      </c>
      <c r="H164" s="152" t="s">
        <v>2168</v>
      </c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 t="s">
        <v>2169</v>
      </c>
      <c r="Z164" s="157" t="s">
        <v>2169</v>
      </c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</row>
    <row r="165">
      <c r="A165" s="161" t="s">
        <v>2170</v>
      </c>
      <c r="B165" s="161" t="s">
        <v>2171</v>
      </c>
      <c r="C165" s="152"/>
      <c r="D165" s="152" t="s">
        <v>2172</v>
      </c>
      <c r="E165" s="152" t="s">
        <v>2173</v>
      </c>
      <c r="F165" s="152"/>
      <c r="G165" s="152" t="s">
        <v>2174</v>
      </c>
      <c r="H165" s="152" t="s">
        <v>2175</v>
      </c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 t="s">
        <v>2176</v>
      </c>
      <c r="Z165" s="157" t="s">
        <v>2176</v>
      </c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</row>
    <row r="166">
      <c r="A166" s="161" t="s">
        <v>2177</v>
      </c>
      <c r="B166" s="161" t="s">
        <v>2178</v>
      </c>
      <c r="C166" s="152"/>
      <c r="D166" s="152" t="s">
        <v>2179</v>
      </c>
      <c r="E166" s="152" t="s">
        <v>2180</v>
      </c>
      <c r="F166" s="152" t="s">
        <v>329</v>
      </c>
      <c r="G166" s="152" t="s">
        <v>2181</v>
      </c>
      <c r="H166" s="152" t="s">
        <v>2182</v>
      </c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 t="s">
        <v>2183</v>
      </c>
      <c r="Z166" s="157" t="s">
        <v>2183</v>
      </c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</row>
    <row r="167">
      <c r="A167" s="161" t="s">
        <v>2184</v>
      </c>
      <c r="B167" s="161" t="s">
        <v>2185</v>
      </c>
      <c r="C167" s="152"/>
      <c r="D167" s="152" t="s">
        <v>2186</v>
      </c>
      <c r="E167" s="152" t="s">
        <v>365</v>
      </c>
      <c r="F167" s="152"/>
      <c r="G167" s="152" t="s">
        <v>2187</v>
      </c>
      <c r="H167" s="152" t="s">
        <v>2188</v>
      </c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 t="s">
        <v>2189</v>
      </c>
      <c r="Z167" s="157" t="s">
        <v>2189</v>
      </c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</row>
    <row r="168">
      <c r="A168" s="161" t="s">
        <v>2190</v>
      </c>
      <c r="B168" s="161" t="s">
        <v>2191</v>
      </c>
      <c r="C168" s="152"/>
      <c r="D168" s="152" t="s">
        <v>2192</v>
      </c>
      <c r="E168" s="152" t="s">
        <v>2193</v>
      </c>
      <c r="F168" s="152" t="s">
        <v>332</v>
      </c>
      <c r="G168" s="163" t="s">
        <v>2194</v>
      </c>
      <c r="H168" s="152" t="s">
        <v>2195</v>
      </c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 t="s">
        <v>2196</v>
      </c>
      <c r="Z168" s="157" t="s">
        <v>2196</v>
      </c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</row>
    <row r="169">
      <c r="A169" s="161" t="s">
        <v>2197</v>
      </c>
      <c r="B169" s="161" t="s">
        <v>2198</v>
      </c>
      <c r="C169" s="152"/>
      <c r="D169" s="152" t="s">
        <v>2199</v>
      </c>
      <c r="E169" s="152" t="s">
        <v>2200</v>
      </c>
      <c r="F169" s="152" t="s">
        <v>2201</v>
      </c>
      <c r="G169" s="152" t="s">
        <v>2202</v>
      </c>
      <c r="H169" s="152" t="s">
        <v>2203</v>
      </c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 t="s">
        <v>2204</v>
      </c>
      <c r="Z169" s="157" t="s">
        <v>2204</v>
      </c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</row>
    <row r="170">
      <c r="A170" s="161" t="s">
        <v>2205</v>
      </c>
      <c r="B170" s="161" t="s">
        <v>2206</v>
      </c>
      <c r="C170" s="152"/>
      <c r="D170" s="152" t="s">
        <v>2207</v>
      </c>
      <c r="E170" s="152" t="s">
        <v>2208</v>
      </c>
      <c r="F170" s="152" t="s">
        <v>332</v>
      </c>
      <c r="G170" s="152" t="s">
        <v>2209</v>
      </c>
      <c r="H170" s="152" t="s">
        <v>2210</v>
      </c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 t="s">
        <v>2211</v>
      </c>
      <c r="Z170" s="157" t="s">
        <v>2211</v>
      </c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</row>
    <row r="171">
      <c r="A171" s="161" t="s">
        <v>2212</v>
      </c>
      <c r="B171" s="161" t="s">
        <v>2213</v>
      </c>
      <c r="C171" s="152"/>
      <c r="D171" s="152" t="s">
        <v>2214</v>
      </c>
      <c r="E171" s="152" t="s">
        <v>2215</v>
      </c>
      <c r="F171" s="152" t="s">
        <v>332</v>
      </c>
      <c r="G171" s="152" t="s">
        <v>2216</v>
      </c>
      <c r="H171" s="152" t="s">
        <v>2217</v>
      </c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 t="s">
        <v>2218</v>
      </c>
      <c r="Z171" s="157" t="s">
        <v>2218</v>
      </c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</row>
    <row r="172">
      <c r="A172" s="161" t="s">
        <v>2219</v>
      </c>
      <c r="B172" s="161" t="s">
        <v>2220</v>
      </c>
      <c r="C172" s="152"/>
      <c r="D172" s="152" t="s">
        <v>2221</v>
      </c>
      <c r="E172" s="152" t="s">
        <v>2221</v>
      </c>
      <c r="F172" s="152"/>
      <c r="G172" s="152" t="s">
        <v>2222</v>
      </c>
      <c r="H172" s="152" t="s">
        <v>2223</v>
      </c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 t="s">
        <v>2224</v>
      </c>
      <c r="Z172" s="157" t="s">
        <v>2224</v>
      </c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</row>
    <row r="173">
      <c r="A173" s="161" t="s">
        <v>2225</v>
      </c>
      <c r="B173" s="161" t="s">
        <v>2226</v>
      </c>
      <c r="C173" s="152"/>
      <c r="D173" s="152" t="s">
        <v>2227</v>
      </c>
      <c r="E173" s="152" t="s">
        <v>2228</v>
      </c>
      <c r="F173" s="152" t="s">
        <v>332</v>
      </c>
      <c r="G173" s="152" t="s">
        <v>2229</v>
      </c>
      <c r="H173" s="152" t="s">
        <v>2229</v>
      </c>
      <c r="I173" s="152" t="s">
        <v>486</v>
      </c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 t="s">
        <v>2230</v>
      </c>
      <c r="Z173" s="157" t="s">
        <v>2230</v>
      </c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</row>
    <row r="174">
      <c r="A174" s="161" t="s">
        <v>2231</v>
      </c>
      <c r="B174" s="161" t="s">
        <v>2232</v>
      </c>
      <c r="C174" s="152"/>
      <c r="D174" s="152" t="s">
        <v>2233</v>
      </c>
      <c r="E174" s="152" t="s">
        <v>2234</v>
      </c>
      <c r="F174" s="152"/>
      <c r="G174" s="152" t="s">
        <v>2235</v>
      </c>
      <c r="H174" s="152" t="s">
        <v>2236</v>
      </c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 t="s">
        <v>2237</v>
      </c>
      <c r="Z174" s="157" t="s">
        <v>2237</v>
      </c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</row>
    <row r="175">
      <c r="A175" s="161" t="s">
        <v>2238</v>
      </c>
      <c r="B175" s="161" t="s">
        <v>2239</v>
      </c>
      <c r="C175" s="152"/>
      <c r="D175" s="183" t="s">
        <v>2240</v>
      </c>
      <c r="E175" s="183" t="s">
        <v>2241</v>
      </c>
      <c r="F175" s="152"/>
      <c r="G175" s="152" t="s">
        <v>2242</v>
      </c>
      <c r="H175" s="152" t="s">
        <v>2243</v>
      </c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 t="s">
        <v>2244</v>
      </c>
      <c r="Z175" s="157" t="s">
        <v>2244</v>
      </c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</row>
    <row r="176">
      <c r="A176" s="161" t="s">
        <v>2245</v>
      </c>
      <c r="B176" s="161" t="s">
        <v>577</v>
      </c>
      <c r="C176" s="152"/>
      <c r="D176" s="152" t="s">
        <v>2246</v>
      </c>
      <c r="E176" s="152" t="s">
        <v>2247</v>
      </c>
      <c r="F176" s="152"/>
      <c r="G176" s="152" t="s">
        <v>2248</v>
      </c>
      <c r="H176" s="152" t="s">
        <v>2248</v>
      </c>
      <c r="I176" s="152" t="s">
        <v>486</v>
      </c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 t="s">
        <v>2249</v>
      </c>
      <c r="Z176" s="157" t="s">
        <v>2249</v>
      </c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</row>
    <row r="177">
      <c r="A177" s="161" t="s">
        <v>2250</v>
      </c>
      <c r="B177" s="161" t="s">
        <v>2251</v>
      </c>
      <c r="C177" s="152"/>
      <c r="D177" s="152" t="s">
        <v>2252</v>
      </c>
      <c r="E177" s="152" t="s">
        <v>2253</v>
      </c>
      <c r="F177" s="152" t="s">
        <v>332</v>
      </c>
      <c r="G177" s="152" t="s">
        <v>2254</v>
      </c>
      <c r="H177" s="152" t="s">
        <v>2255</v>
      </c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 t="s">
        <v>2256</v>
      </c>
      <c r="Z177" s="157" t="s">
        <v>2256</v>
      </c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</row>
    <row r="178">
      <c r="A178" s="161" t="s">
        <v>2257</v>
      </c>
      <c r="B178" s="161" t="s">
        <v>2258</v>
      </c>
      <c r="C178" s="152"/>
      <c r="D178" s="152" t="s">
        <v>2259</v>
      </c>
      <c r="E178" s="152" t="s">
        <v>2260</v>
      </c>
      <c r="F178" s="152" t="s">
        <v>806</v>
      </c>
      <c r="G178" s="152" t="s">
        <v>2261</v>
      </c>
      <c r="H178" s="152" t="s">
        <v>2262</v>
      </c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 t="s">
        <v>2263</v>
      </c>
      <c r="Z178" s="157" t="s">
        <v>2263</v>
      </c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</row>
    <row r="179">
      <c r="A179" s="161" t="s">
        <v>2264</v>
      </c>
      <c r="B179" s="161" t="s">
        <v>458</v>
      </c>
      <c r="C179" s="152"/>
      <c r="D179" s="152" t="s">
        <v>2265</v>
      </c>
      <c r="E179" s="152" t="s">
        <v>2266</v>
      </c>
      <c r="F179" s="152" t="s">
        <v>1988</v>
      </c>
      <c r="G179" s="152" t="s">
        <v>2267</v>
      </c>
      <c r="H179" s="152" t="s">
        <v>2268</v>
      </c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 t="s">
        <v>2269</v>
      </c>
      <c r="Z179" s="157" t="s">
        <v>2269</v>
      </c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</row>
    <row r="180">
      <c r="A180" s="161" t="s">
        <v>2270</v>
      </c>
      <c r="B180" s="161" t="s">
        <v>473</v>
      </c>
      <c r="C180" s="152"/>
      <c r="D180" s="152" t="s">
        <v>2271</v>
      </c>
      <c r="E180" s="152" t="s">
        <v>2272</v>
      </c>
      <c r="F180" s="152" t="s">
        <v>332</v>
      </c>
      <c r="G180" s="152" t="s">
        <v>2273</v>
      </c>
      <c r="H180" s="152" t="s">
        <v>2274</v>
      </c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 t="s">
        <v>2275</v>
      </c>
      <c r="Z180" s="157" t="s">
        <v>2275</v>
      </c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</row>
    <row r="181">
      <c r="A181" s="161" t="s">
        <v>2276</v>
      </c>
      <c r="B181" s="161" t="s">
        <v>2277</v>
      </c>
      <c r="C181" s="152"/>
      <c r="D181" s="152" t="s">
        <v>2278</v>
      </c>
      <c r="E181" s="152" t="s">
        <v>2279</v>
      </c>
      <c r="F181" s="152" t="s">
        <v>332</v>
      </c>
      <c r="G181" s="163" t="s">
        <v>2280</v>
      </c>
      <c r="H181" s="152" t="s">
        <v>2281</v>
      </c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 t="s">
        <v>2282</v>
      </c>
      <c r="Z181" s="157" t="s">
        <v>2282</v>
      </c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</row>
    <row r="182">
      <c r="A182" s="161" t="s">
        <v>2283</v>
      </c>
      <c r="B182" s="161" t="s">
        <v>2284</v>
      </c>
      <c r="C182" s="152"/>
      <c r="D182" s="152" t="s">
        <v>2285</v>
      </c>
      <c r="E182" s="152" t="s">
        <v>2286</v>
      </c>
      <c r="F182" s="152"/>
      <c r="G182" s="152" t="s">
        <v>2287</v>
      </c>
      <c r="H182" s="152" t="s">
        <v>2288</v>
      </c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 t="s">
        <v>2289</v>
      </c>
      <c r="Z182" s="157" t="s">
        <v>2289</v>
      </c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</row>
    <row r="183">
      <c r="A183" s="161" t="s">
        <v>2290</v>
      </c>
      <c r="B183" s="161" t="s">
        <v>2291</v>
      </c>
      <c r="C183" s="152"/>
      <c r="D183" s="152" t="s">
        <v>2292</v>
      </c>
      <c r="E183" s="152" t="s">
        <v>2293</v>
      </c>
      <c r="F183" s="152" t="s">
        <v>394</v>
      </c>
      <c r="G183" s="152" t="s">
        <v>2294</v>
      </c>
      <c r="H183" s="152" t="s">
        <v>2295</v>
      </c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 t="s">
        <v>2296</v>
      </c>
      <c r="Z183" s="157" t="s">
        <v>2296</v>
      </c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</row>
    <row r="184">
      <c r="A184" s="161" t="s">
        <v>2297</v>
      </c>
      <c r="B184" s="161" t="s">
        <v>2298</v>
      </c>
      <c r="C184" s="152"/>
      <c r="D184" s="152" t="s">
        <v>2299</v>
      </c>
      <c r="E184" s="152" t="s">
        <v>2300</v>
      </c>
      <c r="F184" s="152" t="s">
        <v>332</v>
      </c>
      <c r="G184" s="152" t="s">
        <v>2301</v>
      </c>
      <c r="H184" s="152" t="s">
        <v>2302</v>
      </c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 t="s">
        <v>2303</v>
      </c>
      <c r="Z184" s="157" t="s">
        <v>2303</v>
      </c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</row>
    <row r="185">
      <c r="A185" s="161" t="s">
        <v>2304</v>
      </c>
      <c r="B185" s="161" t="s">
        <v>2305</v>
      </c>
      <c r="C185" s="152"/>
      <c r="D185" s="152" t="s">
        <v>2306</v>
      </c>
      <c r="E185" s="152" t="s">
        <v>2307</v>
      </c>
      <c r="F185" s="152" t="s">
        <v>332</v>
      </c>
      <c r="G185" s="163" t="s">
        <v>2308</v>
      </c>
      <c r="H185" s="152" t="s">
        <v>2309</v>
      </c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 t="s">
        <v>2310</v>
      </c>
      <c r="Z185" s="157" t="s">
        <v>2310</v>
      </c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</row>
    <row r="186">
      <c r="A186" s="161" t="s">
        <v>2311</v>
      </c>
      <c r="B186" s="161" t="s">
        <v>2312</v>
      </c>
      <c r="C186" s="152"/>
      <c r="D186" s="152" t="s">
        <v>2313</v>
      </c>
      <c r="E186" s="152" t="s">
        <v>2314</v>
      </c>
      <c r="F186" s="152"/>
      <c r="G186" s="163" t="s">
        <v>2315</v>
      </c>
      <c r="H186" s="152" t="s">
        <v>2316</v>
      </c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 t="s">
        <v>2317</v>
      </c>
      <c r="Z186" s="157" t="s">
        <v>2317</v>
      </c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</row>
    <row r="187">
      <c r="A187" s="161" t="s">
        <v>2318</v>
      </c>
      <c r="B187" s="161" t="s">
        <v>2319</v>
      </c>
      <c r="C187" s="152"/>
      <c r="D187" s="163" t="s">
        <v>2320</v>
      </c>
      <c r="E187" s="152" t="s">
        <v>2321</v>
      </c>
      <c r="F187" s="152"/>
      <c r="G187" s="152" t="s">
        <v>2322</v>
      </c>
      <c r="H187" s="152" t="s">
        <v>2323</v>
      </c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 t="s">
        <v>2324</v>
      </c>
      <c r="Z187" s="157" t="s">
        <v>2324</v>
      </c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</row>
    <row r="188">
      <c r="A188" s="161" t="s">
        <v>2325</v>
      </c>
      <c r="B188" s="161" t="s">
        <v>2326</v>
      </c>
      <c r="C188" s="152"/>
      <c r="D188" s="152" t="s">
        <v>2327</v>
      </c>
      <c r="E188" s="152" t="s">
        <v>2328</v>
      </c>
      <c r="F188" s="152" t="s">
        <v>332</v>
      </c>
      <c r="G188" s="152" t="s">
        <v>2329</v>
      </c>
      <c r="H188" s="152" t="s">
        <v>2330</v>
      </c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 t="s">
        <v>2331</v>
      </c>
      <c r="Z188" s="157" t="s">
        <v>2331</v>
      </c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</row>
    <row r="189">
      <c r="A189" s="152" t="s">
        <v>2332</v>
      </c>
      <c r="B189" s="152" t="s">
        <v>2333</v>
      </c>
      <c r="C189" s="152"/>
      <c r="D189" s="152" t="s">
        <v>2334</v>
      </c>
      <c r="E189" s="152" t="s">
        <v>2335</v>
      </c>
      <c r="F189" s="152" t="s">
        <v>855</v>
      </c>
      <c r="G189" s="152" t="s">
        <v>2336</v>
      </c>
      <c r="H189" s="152" t="s">
        <v>2337</v>
      </c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 t="s">
        <v>2338</v>
      </c>
      <c r="Z189" s="157" t="s">
        <v>2338</v>
      </c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</row>
    <row r="190">
      <c r="A190" s="161" t="s">
        <v>2339</v>
      </c>
      <c r="B190" s="161" t="s">
        <v>2340</v>
      </c>
      <c r="C190" s="152"/>
      <c r="D190" s="152" t="s">
        <v>2341</v>
      </c>
      <c r="E190" s="152" t="s">
        <v>426</v>
      </c>
      <c r="F190" s="152"/>
      <c r="G190" s="163" t="s">
        <v>2342</v>
      </c>
      <c r="H190" s="152" t="s">
        <v>2343</v>
      </c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 t="s">
        <v>2344</v>
      </c>
      <c r="Z190" s="157" t="s">
        <v>2344</v>
      </c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</row>
    <row r="191">
      <c r="A191" s="161" t="s">
        <v>2345</v>
      </c>
      <c r="B191" s="161" t="s">
        <v>2346</v>
      </c>
      <c r="C191" s="152"/>
      <c r="D191" s="152" t="s">
        <v>2347</v>
      </c>
      <c r="E191" s="152" t="s">
        <v>2348</v>
      </c>
      <c r="F191" s="152" t="s">
        <v>332</v>
      </c>
      <c r="G191" s="152" t="s">
        <v>2349</v>
      </c>
      <c r="H191" s="152" t="s">
        <v>2350</v>
      </c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 t="s">
        <v>2351</v>
      </c>
      <c r="Z191" s="157" t="s">
        <v>2351</v>
      </c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</row>
    <row r="192">
      <c r="A192" s="161" t="s">
        <v>2352</v>
      </c>
      <c r="B192" s="161" t="s">
        <v>2353</v>
      </c>
      <c r="C192" s="152"/>
      <c r="D192" s="152" t="s">
        <v>2354</v>
      </c>
      <c r="E192" s="152" t="s">
        <v>2355</v>
      </c>
      <c r="F192" s="152" t="s">
        <v>332</v>
      </c>
      <c r="G192" s="163" t="s">
        <v>2356</v>
      </c>
      <c r="H192" s="152" t="s">
        <v>2357</v>
      </c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 t="s">
        <v>2358</v>
      </c>
      <c r="Z192" s="157" t="s">
        <v>2358</v>
      </c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</row>
    <row r="193">
      <c r="A193" s="161" t="s">
        <v>2359</v>
      </c>
      <c r="B193" s="161" t="s">
        <v>2360</v>
      </c>
      <c r="C193" s="152"/>
      <c r="D193" s="152" t="s">
        <v>2361</v>
      </c>
      <c r="E193" s="152" t="s">
        <v>2362</v>
      </c>
      <c r="F193" s="152" t="s">
        <v>1988</v>
      </c>
      <c r="G193" s="152" t="s">
        <v>2363</v>
      </c>
      <c r="H193" s="152" t="s">
        <v>2364</v>
      </c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 t="s">
        <v>2365</v>
      </c>
      <c r="Z193" s="157" t="s">
        <v>2365</v>
      </c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</row>
    <row r="194">
      <c r="A194" s="161" t="s">
        <v>2366</v>
      </c>
      <c r="B194" s="161" t="s">
        <v>763</v>
      </c>
      <c r="C194" s="152"/>
      <c r="D194" s="152" t="s">
        <v>2367</v>
      </c>
      <c r="E194" s="152" t="s">
        <v>2368</v>
      </c>
      <c r="F194" s="152" t="s">
        <v>332</v>
      </c>
      <c r="G194" s="152" t="s">
        <v>2369</v>
      </c>
      <c r="H194" s="152" t="s">
        <v>2370</v>
      </c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 t="s">
        <v>2371</v>
      </c>
      <c r="Z194" s="157" t="s">
        <v>2371</v>
      </c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</row>
    <row r="195">
      <c r="A195" s="161" t="s">
        <v>2372</v>
      </c>
      <c r="B195" s="161" t="s">
        <v>2373</v>
      </c>
      <c r="C195" s="152"/>
      <c r="D195" s="152" t="s">
        <v>2374</v>
      </c>
      <c r="E195" s="152" t="s">
        <v>2375</v>
      </c>
      <c r="F195" s="152" t="s">
        <v>332</v>
      </c>
      <c r="G195" s="152" t="s">
        <v>2376</v>
      </c>
      <c r="H195" s="152" t="s">
        <v>2377</v>
      </c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 t="s">
        <v>2378</v>
      </c>
      <c r="Z195" s="157" t="s">
        <v>2378</v>
      </c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</row>
    <row r="196">
      <c r="A196" s="161" t="s">
        <v>2379</v>
      </c>
      <c r="B196" s="161" t="s">
        <v>2380</v>
      </c>
      <c r="C196" s="152"/>
      <c r="D196" s="152" t="s">
        <v>2381</v>
      </c>
      <c r="E196" s="152" t="s">
        <v>2382</v>
      </c>
      <c r="F196" s="152"/>
      <c r="G196" s="152" t="s">
        <v>2383</v>
      </c>
      <c r="H196" s="152" t="s">
        <v>2384</v>
      </c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 t="s">
        <v>2385</v>
      </c>
      <c r="Z196" s="157" t="s">
        <v>2385</v>
      </c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</row>
    <row r="197">
      <c r="A197" s="161" t="s">
        <v>2386</v>
      </c>
      <c r="B197" s="161" t="s">
        <v>531</v>
      </c>
      <c r="C197" s="152"/>
      <c r="D197" s="152" t="s">
        <v>2387</v>
      </c>
      <c r="E197" s="152" t="s">
        <v>2388</v>
      </c>
      <c r="F197" s="152" t="s">
        <v>332</v>
      </c>
      <c r="G197" s="152" t="s">
        <v>2389</v>
      </c>
      <c r="H197" s="152" t="s">
        <v>2390</v>
      </c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 t="s">
        <v>2391</v>
      </c>
      <c r="Z197" s="157" t="s">
        <v>2391</v>
      </c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</row>
    <row r="198">
      <c r="A198" s="161" t="s">
        <v>2392</v>
      </c>
      <c r="B198" s="161" t="s">
        <v>2393</v>
      </c>
      <c r="C198" s="152"/>
      <c r="D198" s="152" t="s">
        <v>2394</v>
      </c>
      <c r="E198" s="152" t="s">
        <v>2395</v>
      </c>
      <c r="F198" s="152"/>
      <c r="G198" s="152" t="s">
        <v>2396</v>
      </c>
      <c r="H198" s="152" t="s">
        <v>2397</v>
      </c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 t="s">
        <v>2398</v>
      </c>
      <c r="Z198" s="157" t="s">
        <v>2398</v>
      </c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</row>
    <row r="199">
      <c r="A199" s="161" t="s">
        <v>2399</v>
      </c>
      <c r="B199" s="161" t="s">
        <v>2400</v>
      </c>
      <c r="C199" s="152"/>
      <c r="D199" s="152" t="s">
        <v>2401</v>
      </c>
      <c r="E199" s="152" t="s">
        <v>2402</v>
      </c>
      <c r="F199" s="152" t="s">
        <v>332</v>
      </c>
      <c r="G199" s="152" t="s">
        <v>2403</v>
      </c>
      <c r="H199" s="152" t="s">
        <v>2404</v>
      </c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 t="s">
        <v>104</v>
      </c>
      <c r="Z199" s="157" t="s">
        <v>104</v>
      </c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</row>
    <row r="200">
      <c r="A200" s="161" t="s">
        <v>2405</v>
      </c>
      <c r="B200" s="161" t="s">
        <v>2406</v>
      </c>
      <c r="C200" s="152"/>
      <c r="D200" s="152" t="s">
        <v>2407</v>
      </c>
      <c r="E200" s="152" t="s">
        <v>2408</v>
      </c>
      <c r="F200" s="152" t="s">
        <v>332</v>
      </c>
      <c r="G200" s="152" t="s">
        <v>2409</v>
      </c>
      <c r="H200" s="152" t="s">
        <v>2410</v>
      </c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 t="s">
        <v>2411</v>
      </c>
      <c r="Z200" s="157" t="s">
        <v>2411</v>
      </c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</row>
    <row r="201">
      <c r="A201" s="161" t="s">
        <v>2412</v>
      </c>
      <c r="B201" s="161" t="s">
        <v>2413</v>
      </c>
      <c r="C201" s="152"/>
      <c r="D201" s="152" t="s">
        <v>2414</v>
      </c>
      <c r="E201" s="152" t="s">
        <v>2415</v>
      </c>
      <c r="F201" s="152"/>
      <c r="G201" s="152" t="s">
        <v>2416</v>
      </c>
      <c r="H201" s="152" t="s">
        <v>2417</v>
      </c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 t="s">
        <v>2418</v>
      </c>
      <c r="Z201" s="157" t="s">
        <v>2418</v>
      </c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</row>
    <row r="202">
      <c r="A202" s="161" t="s">
        <v>2419</v>
      </c>
      <c r="B202" s="161" t="s">
        <v>328</v>
      </c>
      <c r="C202" s="152"/>
      <c r="D202" s="152" t="s">
        <v>2420</v>
      </c>
      <c r="E202" s="152" t="s">
        <v>2421</v>
      </c>
      <c r="F202" s="152" t="s">
        <v>332</v>
      </c>
      <c r="G202" s="163" t="s">
        <v>2422</v>
      </c>
      <c r="H202" s="152" t="s">
        <v>2423</v>
      </c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 t="s">
        <v>2424</v>
      </c>
      <c r="Z202" s="157" t="s">
        <v>2424</v>
      </c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</row>
    <row r="203">
      <c r="A203" s="161" t="s">
        <v>2425</v>
      </c>
      <c r="B203" s="161" t="s">
        <v>2426</v>
      </c>
      <c r="C203" s="152"/>
      <c r="D203" s="152" t="s">
        <v>2427</v>
      </c>
      <c r="E203" s="152" t="s">
        <v>2428</v>
      </c>
      <c r="F203" s="152" t="s">
        <v>332</v>
      </c>
      <c r="G203" s="152" t="s">
        <v>2414</v>
      </c>
      <c r="H203" s="152" t="s">
        <v>2429</v>
      </c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 t="s">
        <v>2430</v>
      </c>
      <c r="Z203" s="157" t="s">
        <v>2430</v>
      </c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</row>
    <row r="204">
      <c r="A204" s="161" t="s">
        <v>2431</v>
      </c>
      <c r="B204" s="161" t="s">
        <v>2432</v>
      </c>
      <c r="C204" s="152"/>
      <c r="D204" s="152" t="s">
        <v>2433</v>
      </c>
      <c r="E204" s="152" t="s">
        <v>2434</v>
      </c>
      <c r="F204" s="152" t="s">
        <v>332</v>
      </c>
      <c r="G204" s="163" t="s">
        <v>2435</v>
      </c>
      <c r="H204" s="152" t="s">
        <v>2436</v>
      </c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 t="s">
        <v>2437</v>
      </c>
      <c r="Z204" s="157" t="s">
        <v>2437</v>
      </c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</row>
    <row r="205">
      <c r="A205" s="161" t="s">
        <v>2438</v>
      </c>
      <c r="B205" s="161" t="s">
        <v>933</v>
      </c>
      <c r="C205" s="152"/>
      <c r="D205" s="152" t="s">
        <v>2439</v>
      </c>
      <c r="E205" s="152" t="s">
        <v>2440</v>
      </c>
      <c r="F205" s="152"/>
      <c r="G205" s="163" t="s">
        <v>2441</v>
      </c>
      <c r="H205" s="152" t="s">
        <v>2442</v>
      </c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 t="s">
        <v>2443</v>
      </c>
      <c r="Z205" s="157" t="s">
        <v>2443</v>
      </c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</row>
    <row r="206">
      <c r="A206" s="161" t="s">
        <v>2444</v>
      </c>
      <c r="B206" s="161" t="s">
        <v>2445</v>
      </c>
      <c r="C206" s="152"/>
      <c r="D206" s="152" t="s">
        <v>2446</v>
      </c>
      <c r="E206" s="152" t="s">
        <v>2447</v>
      </c>
      <c r="F206" s="152" t="s">
        <v>332</v>
      </c>
      <c r="G206" s="163" t="s">
        <v>2448</v>
      </c>
      <c r="H206" s="152" t="s">
        <v>2449</v>
      </c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 t="s">
        <v>2450</v>
      </c>
      <c r="Z206" s="157" t="s">
        <v>2450</v>
      </c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</row>
    <row r="207">
      <c r="A207" s="161" t="s">
        <v>2451</v>
      </c>
      <c r="B207" s="161" t="s">
        <v>2452</v>
      </c>
      <c r="C207" s="152"/>
      <c r="D207" s="152" t="s">
        <v>2453</v>
      </c>
      <c r="E207" s="152" t="s">
        <v>436</v>
      </c>
      <c r="F207" s="152" t="s">
        <v>394</v>
      </c>
      <c r="G207" s="163" t="s">
        <v>2454</v>
      </c>
      <c r="H207" s="152" t="s">
        <v>2455</v>
      </c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 t="s">
        <v>2456</v>
      </c>
      <c r="Z207" s="157" t="s">
        <v>2456</v>
      </c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</row>
    <row r="208">
      <c r="A208" s="161" t="s">
        <v>2457</v>
      </c>
      <c r="B208" s="161" t="s">
        <v>997</v>
      </c>
      <c r="C208" s="152"/>
      <c r="D208" s="152" t="s">
        <v>2458</v>
      </c>
      <c r="E208" s="152" t="s">
        <v>2459</v>
      </c>
      <c r="F208" s="152" t="s">
        <v>1516</v>
      </c>
      <c r="G208" s="163" t="s">
        <v>2460</v>
      </c>
      <c r="H208" s="152" t="s">
        <v>2461</v>
      </c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 t="s">
        <v>2462</v>
      </c>
      <c r="Z208" s="157" t="s">
        <v>2462</v>
      </c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</row>
    <row r="209">
      <c r="A209" s="161" t="s">
        <v>2463</v>
      </c>
      <c r="B209" s="161" t="s">
        <v>2464</v>
      </c>
      <c r="C209" s="152"/>
      <c r="D209" s="152" t="s">
        <v>2465</v>
      </c>
      <c r="E209" s="152" t="s">
        <v>2466</v>
      </c>
      <c r="F209" s="152" t="s">
        <v>332</v>
      </c>
      <c r="G209" s="152" t="s">
        <v>2467</v>
      </c>
      <c r="H209" s="152" t="s">
        <v>2468</v>
      </c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 t="s">
        <v>2462</v>
      </c>
      <c r="Z209" s="157" t="s">
        <v>2462</v>
      </c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</row>
    <row r="210">
      <c r="A210" s="161" t="s">
        <v>2469</v>
      </c>
      <c r="B210" s="161" t="s">
        <v>389</v>
      </c>
      <c r="C210" s="152"/>
      <c r="D210" s="152" t="s">
        <v>2470</v>
      </c>
      <c r="E210" s="152" t="s">
        <v>2471</v>
      </c>
      <c r="F210" s="152" t="s">
        <v>332</v>
      </c>
      <c r="G210" s="163" t="s">
        <v>2472</v>
      </c>
      <c r="H210" s="152" t="s">
        <v>2473</v>
      </c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 t="s">
        <v>2474</v>
      </c>
      <c r="Z210" s="157" t="s">
        <v>2474</v>
      </c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</row>
    <row r="211">
      <c r="A211" s="161" t="s">
        <v>2475</v>
      </c>
      <c r="B211" s="161" t="s">
        <v>2476</v>
      </c>
      <c r="C211" s="152"/>
      <c r="D211" s="152" t="s">
        <v>2477</v>
      </c>
      <c r="E211" s="152" t="s">
        <v>2478</v>
      </c>
      <c r="F211" s="152" t="s">
        <v>394</v>
      </c>
      <c r="G211" s="152" t="s">
        <v>2479</v>
      </c>
      <c r="H211" s="152" t="s">
        <v>2480</v>
      </c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 t="s">
        <v>2481</v>
      </c>
      <c r="Z211" s="157" t="s">
        <v>2481</v>
      </c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</row>
    <row r="212">
      <c r="A212" s="161" t="s">
        <v>2482</v>
      </c>
      <c r="B212" s="161" t="s">
        <v>626</v>
      </c>
      <c r="C212" s="152"/>
      <c r="D212" s="152" t="s">
        <v>2483</v>
      </c>
      <c r="E212" s="152" t="s">
        <v>2484</v>
      </c>
      <c r="F212" s="152"/>
      <c r="G212" s="152" t="s">
        <v>2485</v>
      </c>
      <c r="H212" s="152" t="s">
        <v>2486</v>
      </c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 t="s">
        <v>2487</v>
      </c>
      <c r="Z212" s="157" t="s">
        <v>2487</v>
      </c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</row>
    <row r="213">
      <c r="A213" s="161" t="s">
        <v>2488</v>
      </c>
      <c r="B213" s="161" t="s">
        <v>2489</v>
      </c>
      <c r="C213" s="152"/>
      <c r="D213" s="152" t="s">
        <v>2480</v>
      </c>
      <c r="E213" s="152" t="s">
        <v>2490</v>
      </c>
      <c r="F213" s="152" t="s">
        <v>939</v>
      </c>
      <c r="G213" s="163" t="s">
        <v>2491</v>
      </c>
      <c r="H213" s="152" t="s">
        <v>2492</v>
      </c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 t="s">
        <v>2493</v>
      </c>
      <c r="Z213" s="157" t="s">
        <v>2493</v>
      </c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</row>
    <row r="214">
      <c r="A214" s="161" t="s">
        <v>2494</v>
      </c>
      <c r="B214" s="161" t="s">
        <v>2495</v>
      </c>
      <c r="C214" s="152"/>
      <c r="D214" s="152" t="s">
        <v>2496</v>
      </c>
      <c r="E214" s="152" t="s">
        <v>2497</v>
      </c>
      <c r="F214" s="152" t="s">
        <v>2498</v>
      </c>
      <c r="G214" s="163" t="s">
        <v>2499</v>
      </c>
      <c r="H214" s="152" t="s">
        <v>2500</v>
      </c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 t="s">
        <v>105</v>
      </c>
      <c r="Z214" s="157" t="s">
        <v>105</v>
      </c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</row>
    <row r="215">
      <c r="A215" s="161" t="s">
        <v>2501</v>
      </c>
      <c r="B215" s="161" t="s">
        <v>2502</v>
      </c>
      <c r="C215" s="152"/>
      <c r="D215" s="152" t="s">
        <v>2503</v>
      </c>
      <c r="E215" s="152" t="s">
        <v>2504</v>
      </c>
      <c r="F215" s="152" t="s">
        <v>898</v>
      </c>
      <c r="G215" s="152" t="s">
        <v>2505</v>
      </c>
      <c r="H215" s="152" t="s">
        <v>2506</v>
      </c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 t="s">
        <v>2507</v>
      </c>
      <c r="Z215" s="157" t="s">
        <v>2507</v>
      </c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</row>
    <row r="216">
      <c r="A216" s="161" t="s">
        <v>2508</v>
      </c>
      <c r="B216" s="161" t="s">
        <v>2509</v>
      </c>
      <c r="C216" s="152"/>
      <c r="D216" s="152" t="s">
        <v>2510</v>
      </c>
      <c r="E216" s="152" t="s">
        <v>2511</v>
      </c>
      <c r="F216" s="152" t="s">
        <v>2512</v>
      </c>
      <c r="G216" s="152" t="s">
        <v>2513</v>
      </c>
      <c r="H216" s="152" t="s">
        <v>2514</v>
      </c>
      <c r="I216" s="152" t="s">
        <v>486</v>
      </c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 t="s">
        <v>2515</v>
      </c>
      <c r="Z216" s="157" t="s">
        <v>2515</v>
      </c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</row>
    <row r="217">
      <c r="A217" s="161" t="s">
        <v>2516</v>
      </c>
      <c r="B217" s="161" t="s">
        <v>2517</v>
      </c>
      <c r="C217" s="152"/>
      <c r="D217" s="152" t="s">
        <v>2518</v>
      </c>
      <c r="E217" s="152" t="s">
        <v>2519</v>
      </c>
      <c r="F217" s="152" t="s">
        <v>1541</v>
      </c>
      <c r="G217" s="152" t="s">
        <v>2520</v>
      </c>
      <c r="H217" s="152" t="s">
        <v>2521</v>
      </c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 t="s">
        <v>2522</v>
      </c>
      <c r="Z217" s="157" t="s">
        <v>2522</v>
      </c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</row>
    <row r="218">
      <c r="A218" s="161" t="s">
        <v>2523</v>
      </c>
      <c r="B218" s="161" t="s">
        <v>2524</v>
      </c>
      <c r="C218" s="152"/>
      <c r="D218" s="152" t="s">
        <v>2525</v>
      </c>
      <c r="E218" s="152" t="s">
        <v>2519</v>
      </c>
      <c r="F218" s="152" t="s">
        <v>1516</v>
      </c>
      <c r="G218" s="163" t="s">
        <v>2526</v>
      </c>
      <c r="H218" s="152" t="s">
        <v>2527</v>
      </c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 t="s">
        <v>2528</v>
      </c>
      <c r="Z218" s="157" t="s">
        <v>2528</v>
      </c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</row>
    <row r="219">
      <c r="A219" s="161" t="s">
        <v>2529</v>
      </c>
      <c r="B219" s="161" t="s">
        <v>2530</v>
      </c>
      <c r="C219" s="152"/>
      <c r="D219" s="152" t="s">
        <v>2531</v>
      </c>
      <c r="E219" s="152" t="s">
        <v>2532</v>
      </c>
      <c r="F219" s="152" t="s">
        <v>1186</v>
      </c>
      <c r="G219" s="152" t="s">
        <v>2533</v>
      </c>
      <c r="H219" s="152" t="s">
        <v>2534</v>
      </c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 t="s">
        <v>2535</v>
      </c>
      <c r="Z219" s="157" t="s">
        <v>2535</v>
      </c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</row>
    <row r="220">
      <c r="A220" s="161" t="s">
        <v>2536</v>
      </c>
      <c r="B220" s="161" t="s">
        <v>2537</v>
      </c>
      <c r="C220" s="152"/>
      <c r="D220" s="152" t="s">
        <v>2538</v>
      </c>
      <c r="E220" s="152" t="s">
        <v>2538</v>
      </c>
      <c r="F220" s="152"/>
      <c r="G220" s="152" t="s">
        <v>2539</v>
      </c>
      <c r="H220" s="152" t="s">
        <v>2540</v>
      </c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 t="s">
        <v>108</v>
      </c>
      <c r="Z220" s="157" t="s">
        <v>108</v>
      </c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</row>
    <row r="221">
      <c r="A221" s="161" t="s">
        <v>2541</v>
      </c>
      <c r="B221" s="161" t="s">
        <v>2542</v>
      </c>
      <c r="C221" s="152"/>
      <c r="D221" s="152" t="s">
        <v>2543</v>
      </c>
      <c r="E221" s="152" t="s">
        <v>2544</v>
      </c>
      <c r="F221" s="152" t="s">
        <v>806</v>
      </c>
      <c r="G221" s="152" t="s">
        <v>2545</v>
      </c>
      <c r="H221" s="152" t="s">
        <v>2546</v>
      </c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 t="s">
        <v>2547</v>
      </c>
      <c r="Z221" s="157" t="s">
        <v>2547</v>
      </c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</row>
    <row r="222">
      <c r="A222" s="161" t="s">
        <v>2548</v>
      </c>
      <c r="B222" s="161" t="s">
        <v>2549</v>
      </c>
      <c r="C222" s="152"/>
      <c r="D222" s="152" t="s">
        <v>2550</v>
      </c>
      <c r="E222" s="152" t="s">
        <v>2551</v>
      </c>
      <c r="F222" s="152" t="s">
        <v>332</v>
      </c>
      <c r="G222" s="152" t="s">
        <v>2552</v>
      </c>
      <c r="H222" s="152" t="s">
        <v>2553</v>
      </c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 t="s">
        <v>2554</v>
      </c>
      <c r="Z222" s="157" t="s">
        <v>2554</v>
      </c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</row>
    <row r="223">
      <c r="A223" s="161" t="s">
        <v>2555</v>
      </c>
      <c r="B223" s="161" t="s">
        <v>2556</v>
      </c>
      <c r="C223" s="152"/>
      <c r="D223" s="152" t="s">
        <v>2557</v>
      </c>
      <c r="E223" s="152" t="s">
        <v>2557</v>
      </c>
      <c r="F223" s="152" t="s">
        <v>806</v>
      </c>
      <c r="G223" s="152" t="s">
        <v>2558</v>
      </c>
      <c r="H223" s="152" t="s">
        <v>2559</v>
      </c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 t="s">
        <v>2554</v>
      </c>
      <c r="Z223" s="157" t="s">
        <v>2554</v>
      </c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</row>
    <row r="224">
      <c r="A224" s="161" t="s">
        <v>2560</v>
      </c>
      <c r="B224" s="161" t="s">
        <v>2561</v>
      </c>
      <c r="C224" s="152"/>
      <c r="D224" s="152" t="s">
        <v>2562</v>
      </c>
      <c r="E224" s="152" t="s">
        <v>2563</v>
      </c>
      <c r="F224" s="152" t="s">
        <v>1516</v>
      </c>
      <c r="G224" s="152" t="s">
        <v>2564</v>
      </c>
      <c r="H224" s="152" t="s">
        <v>2565</v>
      </c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 t="s">
        <v>2566</v>
      </c>
      <c r="Z224" s="157" t="s">
        <v>2566</v>
      </c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</row>
    <row r="225">
      <c r="A225" s="161" t="s">
        <v>2567</v>
      </c>
      <c r="B225" s="161" t="s">
        <v>2568</v>
      </c>
      <c r="C225" s="152"/>
      <c r="D225" s="152" t="s">
        <v>2569</v>
      </c>
      <c r="E225" s="152" t="s">
        <v>2570</v>
      </c>
      <c r="F225" s="152" t="s">
        <v>332</v>
      </c>
      <c r="G225" s="152" t="s">
        <v>2571</v>
      </c>
      <c r="H225" s="152" t="s">
        <v>2572</v>
      </c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 t="s">
        <v>2573</v>
      </c>
      <c r="Z225" s="157" t="s">
        <v>2573</v>
      </c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</row>
    <row r="226">
      <c r="A226" s="161" t="s">
        <v>2574</v>
      </c>
      <c r="B226" s="161" t="s">
        <v>2575</v>
      </c>
      <c r="C226" s="152"/>
      <c r="D226" s="152" t="s">
        <v>2576</v>
      </c>
      <c r="E226" s="152" t="s">
        <v>2577</v>
      </c>
      <c r="F226" s="152" t="s">
        <v>1186</v>
      </c>
      <c r="G226" s="152" t="s">
        <v>2578</v>
      </c>
      <c r="H226" s="152" t="s">
        <v>2579</v>
      </c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 t="s">
        <v>2580</v>
      </c>
      <c r="Z226" s="157" t="s">
        <v>2580</v>
      </c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</row>
    <row r="227">
      <c r="A227" s="161" t="s">
        <v>2581</v>
      </c>
      <c r="B227" s="161" t="s">
        <v>907</v>
      </c>
      <c r="C227" s="152"/>
      <c r="D227" s="152" t="s">
        <v>2582</v>
      </c>
      <c r="E227" s="152" t="s">
        <v>2583</v>
      </c>
      <c r="F227" s="152"/>
      <c r="G227" s="152" t="s">
        <v>2584</v>
      </c>
      <c r="H227" s="152" t="s">
        <v>2585</v>
      </c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 t="s">
        <v>2586</v>
      </c>
      <c r="Z227" s="157" t="s">
        <v>2586</v>
      </c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</row>
    <row r="228">
      <c r="A228" s="161" t="s">
        <v>2587</v>
      </c>
      <c r="B228" s="161" t="s">
        <v>2588</v>
      </c>
      <c r="C228" s="152"/>
      <c r="D228" s="183" t="s">
        <v>2589</v>
      </c>
      <c r="E228" s="183" t="s">
        <v>2590</v>
      </c>
      <c r="F228" s="152"/>
      <c r="G228" s="152" t="s">
        <v>2591</v>
      </c>
      <c r="H228" s="152" t="s">
        <v>2592</v>
      </c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 t="s">
        <v>2593</v>
      </c>
      <c r="Z228" s="157" t="s">
        <v>2593</v>
      </c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</row>
    <row r="229">
      <c r="A229" s="161" t="s">
        <v>2594</v>
      </c>
      <c r="B229" s="161" t="s">
        <v>2595</v>
      </c>
      <c r="C229" s="152"/>
      <c r="D229" s="152" t="s">
        <v>2596</v>
      </c>
      <c r="E229" s="152" t="s">
        <v>2597</v>
      </c>
      <c r="F229" s="152"/>
      <c r="G229" s="152" t="s">
        <v>2598</v>
      </c>
      <c r="H229" s="152" t="s">
        <v>2599</v>
      </c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 t="s">
        <v>2600</v>
      </c>
      <c r="Z229" s="157" t="s">
        <v>2600</v>
      </c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</row>
    <row r="230">
      <c r="A230" s="161" t="s">
        <v>2601</v>
      </c>
      <c r="B230" s="161" t="s">
        <v>1073</v>
      </c>
      <c r="C230" s="152"/>
      <c r="D230" s="152" t="s">
        <v>2602</v>
      </c>
      <c r="E230" s="152" t="s">
        <v>2603</v>
      </c>
      <c r="F230" s="152" t="s">
        <v>603</v>
      </c>
      <c r="G230" s="152" t="s">
        <v>2604</v>
      </c>
      <c r="H230" s="152" t="s">
        <v>2605</v>
      </c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 t="s">
        <v>2606</v>
      </c>
      <c r="Z230" s="157" t="s">
        <v>2606</v>
      </c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</row>
    <row r="231">
      <c r="A231" s="161" t="s">
        <v>2607</v>
      </c>
      <c r="B231" s="161" t="s">
        <v>2608</v>
      </c>
      <c r="C231" s="152"/>
      <c r="D231" s="152" t="s">
        <v>2609</v>
      </c>
      <c r="E231" s="152" t="s">
        <v>1206</v>
      </c>
      <c r="F231" s="152" t="s">
        <v>1560</v>
      </c>
      <c r="G231" s="152" t="s">
        <v>2610</v>
      </c>
      <c r="H231" s="152" t="s">
        <v>2611</v>
      </c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 t="s">
        <v>2612</v>
      </c>
      <c r="Z231" s="157" t="s">
        <v>2612</v>
      </c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</row>
    <row r="232">
      <c r="A232" s="161" t="s">
        <v>2613</v>
      </c>
      <c r="B232" s="161" t="s">
        <v>2614</v>
      </c>
      <c r="C232" s="152"/>
      <c r="D232" s="152" t="s">
        <v>2615</v>
      </c>
      <c r="E232" s="152" t="s">
        <v>1206</v>
      </c>
      <c r="F232" s="152"/>
      <c r="G232" s="163" t="s">
        <v>2616</v>
      </c>
      <c r="H232" s="152" t="s">
        <v>2617</v>
      </c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 t="s">
        <v>2618</v>
      </c>
      <c r="Z232" s="157" t="s">
        <v>2618</v>
      </c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</row>
    <row r="233">
      <c r="A233" s="161" t="s">
        <v>2619</v>
      </c>
      <c r="B233" s="161" t="s">
        <v>2620</v>
      </c>
      <c r="C233" s="152"/>
      <c r="D233" s="152" t="s">
        <v>2621</v>
      </c>
      <c r="E233" s="152" t="s">
        <v>2622</v>
      </c>
      <c r="F233" s="152" t="s">
        <v>332</v>
      </c>
      <c r="G233" s="152" t="s">
        <v>2623</v>
      </c>
      <c r="H233" s="152" t="s">
        <v>2624</v>
      </c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 t="s">
        <v>2625</v>
      </c>
      <c r="Z233" s="157" t="s">
        <v>2625</v>
      </c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</row>
    <row r="234">
      <c r="A234" s="161" t="s">
        <v>2626</v>
      </c>
      <c r="B234" s="161" t="s">
        <v>463</v>
      </c>
      <c r="C234" s="152"/>
      <c r="D234" s="152" t="s">
        <v>2627</v>
      </c>
      <c r="E234" s="152" t="s">
        <v>2628</v>
      </c>
      <c r="F234" s="152" t="s">
        <v>394</v>
      </c>
      <c r="G234" s="152" t="s">
        <v>2629</v>
      </c>
      <c r="H234" s="152" t="s">
        <v>2630</v>
      </c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 t="s">
        <v>2631</v>
      </c>
      <c r="Z234" s="157" t="s">
        <v>2631</v>
      </c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</row>
    <row r="235">
      <c r="A235" s="161" t="s">
        <v>2632</v>
      </c>
      <c r="B235" s="161" t="s">
        <v>2633</v>
      </c>
      <c r="C235" s="152"/>
      <c r="D235" s="152" t="s">
        <v>2634</v>
      </c>
      <c r="E235" s="152" t="s">
        <v>2635</v>
      </c>
      <c r="F235" s="152" t="s">
        <v>939</v>
      </c>
      <c r="G235" s="152" t="s">
        <v>2636</v>
      </c>
      <c r="H235" s="152" t="s">
        <v>2637</v>
      </c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 t="s">
        <v>2638</v>
      </c>
      <c r="Z235" s="157" t="s">
        <v>2638</v>
      </c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</row>
    <row r="236">
      <c r="A236" s="161" t="s">
        <v>2639</v>
      </c>
      <c r="B236" s="161" t="s">
        <v>2640</v>
      </c>
      <c r="C236" s="152"/>
      <c r="D236" s="152" t="s">
        <v>52</v>
      </c>
      <c r="E236" s="152" t="s">
        <v>2641</v>
      </c>
      <c r="F236" s="152" t="s">
        <v>394</v>
      </c>
      <c r="G236" s="152" t="s">
        <v>2642</v>
      </c>
      <c r="H236" s="152" t="s">
        <v>2643</v>
      </c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 t="s">
        <v>107</v>
      </c>
      <c r="Z236" s="157" t="s">
        <v>107</v>
      </c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</row>
    <row r="237">
      <c r="A237" s="161" t="s">
        <v>2644</v>
      </c>
      <c r="B237" s="161" t="s">
        <v>2645</v>
      </c>
      <c r="C237" s="152"/>
      <c r="D237" s="152" t="s">
        <v>2646</v>
      </c>
      <c r="E237" s="152" t="s">
        <v>2647</v>
      </c>
      <c r="F237" s="152"/>
      <c r="G237" s="152" t="s">
        <v>2648</v>
      </c>
      <c r="H237" s="152" t="s">
        <v>2649</v>
      </c>
      <c r="I237" s="152" t="s">
        <v>486</v>
      </c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 t="s">
        <v>2650</v>
      </c>
      <c r="Z237" s="157" t="s">
        <v>2650</v>
      </c>
      <c r="AA237" s="152"/>
      <c r="AB237" s="152"/>
      <c r="AC237" s="152"/>
      <c r="AD237" s="152"/>
      <c r="AE237" s="185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185"/>
      <c r="BE237" s="185"/>
    </row>
    <row r="238">
      <c r="A238" s="161" t="s">
        <v>2651</v>
      </c>
      <c r="B238" s="161" t="s">
        <v>2652</v>
      </c>
      <c r="C238" s="152"/>
      <c r="D238" s="152" t="s">
        <v>2653</v>
      </c>
      <c r="E238" s="152" t="s">
        <v>2654</v>
      </c>
      <c r="F238" s="152"/>
      <c r="G238" s="152" t="s">
        <v>2655</v>
      </c>
      <c r="H238" s="152" t="s">
        <v>2655</v>
      </c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 t="s">
        <v>2656</v>
      </c>
      <c r="Z238" s="157" t="s">
        <v>2656</v>
      </c>
      <c r="AA238" s="152"/>
      <c r="AB238" s="152"/>
      <c r="AC238" s="152"/>
      <c r="AD238" s="152"/>
      <c r="AE238" s="185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185"/>
      <c r="BE238" s="185"/>
    </row>
    <row r="239">
      <c r="A239" s="161" t="s">
        <v>2657</v>
      </c>
      <c r="B239" s="161" t="s">
        <v>2658</v>
      </c>
      <c r="C239" s="152"/>
      <c r="D239" s="152" t="s">
        <v>2659</v>
      </c>
      <c r="E239" s="152" t="s">
        <v>2660</v>
      </c>
      <c r="F239" s="152" t="s">
        <v>363</v>
      </c>
      <c r="G239" s="152" t="s">
        <v>2661</v>
      </c>
      <c r="H239" s="152" t="s">
        <v>2662</v>
      </c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 t="s">
        <v>2663</v>
      </c>
      <c r="Z239" s="157" t="s">
        <v>2663</v>
      </c>
      <c r="AA239" s="152"/>
      <c r="AB239" s="152"/>
      <c r="AC239" s="152"/>
      <c r="AD239" s="152"/>
      <c r="AE239" s="185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185"/>
      <c r="BE239" s="185"/>
    </row>
    <row r="240">
      <c r="A240" s="161" t="s">
        <v>2664</v>
      </c>
      <c r="B240" s="161" t="s">
        <v>2665</v>
      </c>
      <c r="C240" s="152"/>
      <c r="D240" s="152" t="s">
        <v>2666</v>
      </c>
      <c r="E240" s="152" t="s">
        <v>2667</v>
      </c>
      <c r="F240" s="152"/>
      <c r="G240" s="152" t="s">
        <v>2668</v>
      </c>
      <c r="H240" s="152" t="s">
        <v>2669</v>
      </c>
      <c r="I240" s="152" t="s">
        <v>486</v>
      </c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 t="s">
        <v>2670</v>
      </c>
      <c r="Z240" s="157" t="s">
        <v>2670</v>
      </c>
      <c r="AA240" s="152"/>
      <c r="AB240" s="152"/>
      <c r="AC240" s="152"/>
      <c r="AD240" s="152"/>
      <c r="AE240" s="185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185"/>
      <c r="BE240" s="185"/>
    </row>
    <row r="241">
      <c r="A241" s="161" t="s">
        <v>2671</v>
      </c>
      <c r="B241" s="161" t="s">
        <v>2672</v>
      </c>
      <c r="C241" s="152"/>
      <c r="D241" s="152" t="s">
        <v>2673</v>
      </c>
      <c r="E241" s="152" t="s">
        <v>2674</v>
      </c>
      <c r="F241" s="152" t="s">
        <v>2675</v>
      </c>
      <c r="G241" s="152" t="s">
        <v>2676</v>
      </c>
      <c r="H241" s="152" t="s">
        <v>2677</v>
      </c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 t="s">
        <v>2678</v>
      </c>
      <c r="Z241" s="157" t="s">
        <v>2678</v>
      </c>
      <c r="AA241" s="152"/>
      <c r="AB241" s="152"/>
      <c r="AC241" s="152"/>
      <c r="AD241" s="152"/>
      <c r="AE241" s="185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185"/>
      <c r="BE241" s="185"/>
    </row>
    <row r="242">
      <c r="A242" s="161" t="s">
        <v>2679</v>
      </c>
      <c r="B242" s="161" t="s">
        <v>2680</v>
      </c>
      <c r="C242" s="152"/>
      <c r="D242" s="152" t="s">
        <v>2681</v>
      </c>
      <c r="E242" s="152" t="s">
        <v>2682</v>
      </c>
      <c r="F242" s="152" t="s">
        <v>332</v>
      </c>
      <c r="G242" s="163" t="s">
        <v>2683</v>
      </c>
      <c r="H242" s="152" t="s">
        <v>2684</v>
      </c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 t="s">
        <v>2685</v>
      </c>
      <c r="Z242" s="157" t="s">
        <v>2686</v>
      </c>
      <c r="AA242" s="152"/>
      <c r="AB242" s="152"/>
      <c r="AC242" s="152"/>
      <c r="AD242" s="152"/>
      <c r="AE242" s="185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185"/>
      <c r="BE242" s="185"/>
    </row>
    <row r="243">
      <c r="A243" s="161" t="s">
        <v>2687</v>
      </c>
      <c r="B243" s="161" t="s">
        <v>2688</v>
      </c>
      <c r="C243" s="152"/>
      <c r="D243" s="152" t="s">
        <v>2689</v>
      </c>
      <c r="E243" s="152" t="s">
        <v>2690</v>
      </c>
      <c r="F243" s="152" t="s">
        <v>394</v>
      </c>
      <c r="G243" s="152" t="s">
        <v>2691</v>
      </c>
      <c r="H243" s="152" t="s">
        <v>2692</v>
      </c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 t="s">
        <v>2693</v>
      </c>
      <c r="Z243" s="157" t="s">
        <v>2693</v>
      </c>
      <c r="AA243" s="152"/>
      <c r="AB243" s="152"/>
      <c r="AC243" s="152"/>
      <c r="AD243" s="152"/>
      <c r="AE243" s="185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185"/>
      <c r="BE243" s="185"/>
    </row>
    <row r="244">
      <c r="A244" s="161" t="s">
        <v>2694</v>
      </c>
      <c r="B244" s="161" t="s">
        <v>2695</v>
      </c>
      <c r="C244" s="152"/>
      <c r="D244" s="152" t="s">
        <v>2696</v>
      </c>
      <c r="E244" s="152" t="s">
        <v>2697</v>
      </c>
      <c r="F244" s="152"/>
      <c r="G244" s="152" t="s">
        <v>2698</v>
      </c>
      <c r="H244" s="152" t="s">
        <v>2699</v>
      </c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 t="s">
        <v>2700</v>
      </c>
      <c r="Z244" s="157" t="s">
        <v>2700</v>
      </c>
      <c r="AA244" s="152"/>
      <c r="AB244" s="152"/>
      <c r="AC244" s="152"/>
      <c r="AD244" s="152"/>
      <c r="AE244" s="185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185"/>
      <c r="BE244" s="185"/>
    </row>
    <row r="245">
      <c r="A245" s="161" t="s">
        <v>2701</v>
      </c>
      <c r="B245" s="161" t="s">
        <v>2702</v>
      </c>
      <c r="C245" s="152"/>
      <c r="D245" s="152" t="s">
        <v>2703</v>
      </c>
      <c r="E245" s="152" t="s">
        <v>2704</v>
      </c>
      <c r="F245" s="152" t="s">
        <v>332</v>
      </c>
      <c r="G245" s="152" t="s">
        <v>2705</v>
      </c>
      <c r="H245" s="152" t="s">
        <v>2705</v>
      </c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 t="s">
        <v>520</v>
      </c>
      <c r="Z245" s="157" t="s">
        <v>520</v>
      </c>
      <c r="AA245" s="152"/>
      <c r="AB245" s="152"/>
      <c r="AC245" s="152"/>
      <c r="AD245" s="152"/>
      <c r="AE245" s="185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185"/>
      <c r="BE245" s="185"/>
    </row>
    <row r="246">
      <c r="A246" s="161" t="s">
        <v>2706</v>
      </c>
      <c r="B246" s="161" t="s">
        <v>2707</v>
      </c>
      <c r="C246" s="152"/>
      <c r="D246" s="152" t="s">
        <v>2708</v>
      </c>
      <c r="E246" s="152" t="s">
        <v>2709</v>
      </c>
      <c r="F246" s="152" t="s">
        <v>332</v>
      </c>
      <c r="G246" s="163" t="s">
        <v>2710</v>
      </c>
      <c r="H246" s="152" t="s">
        <v>2711</v>
      </c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 t="s">
        <v>2712</v>
      </c>
      <c r="Z246" s="157" t="s">
        <v>2712</v>
      </c>
      <c r="AA246" s="152"/>
      <c r="AB246" s="152"/>
      <c r="AC246" s="152"/>
      <c r="AD246" s="152"/>
      <c r="AE246" s="185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</row>
    <row r="247">
      <c r="A247" s="161" t="s">
        <v>2713</v>
      </c>
      <c r="B247" s="161" t="s">
        <v>2714</v>
      </c>
      <c r="C247" s="152"/>
      <c r="D247" s="152" t="s">
        <v>445</v>
      </c>
      <c r="E247" s="152" t="s">
        <v>445</v>
      </c>
      <c r="F247" s="152"/>
      <c r="G247" s="152" t="s">
        <v>2715</v>
      </c>
      <c r="H247" s="152" t="s">
        <v>2716</v>
      </c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 t="s">
        <v>2717</v>
      </c>
      <c r="Z247" s="157" t="s">
        <v>2717</v>
      </c>
      <c r="AA247" s="152"/>
      <c r="AB247" s="152"/>
      <c r="AC247" s="152"/>
      <c r="AD247" s="152"/>
      <c r="AE247" s="185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185"/>
      <c r="BE247" s="185"/>
    </row>
    <row r="248">
      <c r="A248" s="161" t="s">
        <v>2718</v>
      </c>
      <c r="B248" s="161" t="s">
        <v>2719</v>
      </c>
      <c r="C248" s="152"/>
      <c r="D248" s="152" t="s">
        <v>2720</v>
      </c>
      <c r="E248" s="152" t="s">
        <v>2721</v>
      </c>
      <c r="F248" s="152" t="s">
        <v>1541</v>
      </c>
      <c r="G248" s="152" t="s">
        <v>2722</v>
      </c>
      <c r="H248" s="152" t="s">
        <v>2723</v>
      </c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 t="s">
        <v>2724</v>
      </c>
      <c r="Z248" s="157" t="s">
        <v>2724</v>
      </c>
      <c r="AA248" s="152"/>
      <c r="AB248" s="152"/>
      <c r="AC248" s="152"/>
      <c r="AD248" s="152"/>
      <c r="AE248" s="185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185"/>
      <c r="BE248" s="185"/>
    </row>
    <row r="249">
      <c r="A249" s="161" t="s">
        <v>2725</v>
      </c>
      <c r="B249" s="161" t="s">
        <v>1037</v>
      </c>
      <c r="C249" s="152"/>
      <c r="D249" s="152" t="s">
        <v>2726</v>
      </c>
      <c r="E249" s="152" t="s">
        <v>2727</v>
      </c>
      <c r="F249" s="152" t="s">
        <v>1516</v>
      </c>
      <c r="G249" s="163" t="s">
        <v>2728</v>
      </c>
      <c r="H249" s="152" t="s">
        <v>2729</v>
      </c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 t="s">
        <v>2730</v>
      </c>
      <c r="Z249" s="157" t="s">
        <v>2730</v>
      </c>
      <c r="AA249" s="152"/>
      <c r="AB249" s="152"/>
      <c r="AC249" s="152"/>
      <c r="AD249" s="152"/>
      <c r="AE249" s="185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185"/>
      <c r="BE249" s="185"/>
    </row>
    <row r="250">
      <c r="A250" s="161" t="s">
        <v>2731</v>
      </c>
      <c r="B250" s="161" t="s">
        <v>2732</v>
      </c>
      <c r="C250" s="152"/>
      <c r="D250" s="152" t="s">
        <v>2733</v>
      </c>
      <c r="E250" s="152" t="s">
        <v>2734</v>
      </c>
      <c r="F250" s="152" t="s">
        <v>332</v>
      </c>
      <c r="G250" s="163" t="s">
        <v>2735</v>
      </c>
      <c r="H250" s="152" t="s">
        <v>2736</v>
      </c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 t="s">
        <v>2737</v>
      </c>
      <c r="Z250" s="157" t="s">
        <v>2737</v>
      </c>
      <c r="AA250" s="152"/>
      <c r="AB250" s="152"/>
      <c r="AC250" s="152"/>
      <c r="AD250" s="152"/>
      <c r="AE250" s="185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185"/>
      <c r="BE250" s="185"/>
    </row>
    <row r="251">
      <c r="A251" s="161" t="s">
        <v>2738</v>
      </c>
      <c r="B251" s="161" t="s">
        <v>2739</v>
      </c>
      <c r="C251" s="152"/>
      <c r="D251" s="152" t="s">
        <v>2740</v>
      </c>
      <c r="E251" s="152" t="s">
        <v>2741</v>
      </c>
      <c r="F251" s="152"/>
      <c r="G251" s="152" t="s">
        <v>2742</v>
      </c>
      <c r="H251" s="152" t="s">
        <v>2622</v>
      </c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 t="s">
        <v>2743</v>
      </c>
      <c r="Z251" s="157" t="s">
        <v>2743</v>
      </c>
      <c r="AA251" s="152"/>
      <c r="AB251" s="152"/>
      <c r="AC251" s="152"/>
      <c r="AD251" s="152"/>
      <c r="AE251" s="185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185"/>
      <c r="BE251" s="185"/>
    </row>
    <row r="252">
      <c r="A252" s="161" t="s">
        <v>2744</v>
      </c>
      <c r="B252" s="161" t="s">
        <v>2745</v>
      </c>
      <c r="C252" s="152"/>
      <c r="D252" s="152" t="s">
        <v>2746</v>
      </c>
      <c r="E252" s="152" t="s">
        <v>2747</v>
      </c>
      <c r="F252" s="152" t="s">
        <v>959</v>
      </c>
      <c r="G252" s="152" t="s">
        <v>2748</v>
      </c>
      <c r="H252" s="152" t="s">
        <v>2749</v>
      </c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 t="s">
        <v>2750</v>
      </c>
      <c r="Z252" s="157" t="s">
        <v>2750</v>
      </c>
      <c r="AA252" s="152"/>
      <c r="AB252" s="152"/>
      <c r="AC252" s="152"/>
      <c r="AD252" s="152"/>
      <c r="AE252" s="185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</row>
    <row r="253">
      <c r="A253" s="161" t="s">
        <v>2751</v>
      </c>
      <c r="B253" s="161" t="s">
        <v>2752</v>
      </c>
      <c r="C253" s="152"/>
      <c r="D253" s="152" t="s">
        <v>2753</v>
      </c>
      <c r="E253" s="152" t="s">
        <v>2754</v>
      </c>
      <c r="F253" s="152" t="s">
        <v>332</v>
      </c>
      <c r="G253" s="152" t="s">
        <v>2755</v>
      </c>
      <c r="H253" s="152" t="s">
        <v>2756</v>
      </c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 t="s">
        <v>2757</v>
      </c>
      <c r="Z253" s="157" t="s">
        <v>2757</v>
      </c>
      <c r="AA253" s="152"/>
      <c r="AB253" s="152"/>
      <c r="AC253" s="152"/>
      <c r="AD253" s="152"/>
      <c r="AE253" s="185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185"/>
      <c r="BE253" s="185"/>
    </row>
    <row r="254">
      <c r="A254" s="161" t="s">
        <v>2758</v>
      </c>
      <c r="B254" s="161" t="s">
        <v>2759</v>
      </c>
      <c r="C254" s="152"/>
      <c r="D254" s="152" t="s">
        <v>2760</v>
      </c>
      <c r="E254" s="152" t="s">
        <v>2761</v>
      </c>
      <c r="F254" s="152" t="s">
        <v>332</v>
      </c>
      <c r="G254" s="152" t="s">
        <v>52</v>
      </c>
      <c r="H254" s="152" t="s">
        <v>2762</v>
      </c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 t="s">
        <v>2763</v>
      </c>
      <c r="Z254" s="157" t="s">
        <v>2763</v>
      </c>
      <c r="AA254" s="152"/>
      <c r="AB254" s="152"/>
      <c r="AC254" s="152"/>
      <c r="AD254" s="152"/>
      <c r="AE254" s="185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</row>
    <row r="255">
      <c r="A255" s="161" t="s">
        <v>2764</v>
      </c>
      <c r="B255" s="161" t="s">
        <v>2765</v>
      </c>
      <c r="C255" s="152"/>
      <c r="D255" s="152" t="s">
        <v>2766</v>
      </c>
      <c r="E255" s="152" t="s">
        <v>2767</v>
      </c>
      <c r="F255" s="152" t="s">
        <v>939</v>
      </c>
      <c r="G255" s="152" t="s">
        <v>2768</v>
      </c>
      <c r="H255" s="152" t="s">
        <v>2769</v>
      </c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 t="s">
        <v>2770</v>
      </c>
      <c r="Z255" s="157" t="s">
        <v>2770</v>
      </c>
      <c r="AA255" s="152"/>
      <c r="AB255" s="152"/>
      <c r="AC255" s="152"/>
      <c r="AD255" s="152"/>
      <c r="AE255" s="185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185"/>
      <c r="BE255" s="185"/>
    </row>
    <row r="256">
      <c r="A256" s="161" t="s">
        <v>2771</v>
      </c>
      <c r="B256" s="161" t="s">
        <v>2772</v>
      </c>
      <c r="C256" s="152"/>
      <c r="D256" s="152" t="s">
        <v>2773</v>
      </c>
      <c r="E256" s="152" t="s">
        <v>2774</v>
      </c>
      <c r="F256" s="152" t="s">
        <v>1709</v>
      </c>
      <c r="G256" s="152" t="s">
        <v>2775</v>
      </c>
      <c r="H256" s="152" t="s">
        <v>2682</v>
      </c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 t="s">
        <v>2776</v>
      </c>
      <c r="Z256" s="157" t="s">
        <v>2776</v>
      </c>
      <c r="AA256" s="152"/>
      <c r="AB256" s="152"/>
      <c r="AC256" s="152"/>
      <c r="AD256" s="152"/>
      <c r="AE256" s="185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185"/>
      <c r="BE256" s="185"/>
    </row>
    <row r="257">
      <c r="A257" s="161" t="s">
        <v>2777</v>
      </c>
      <c r="B257" s="161" t="s">
        <v>2778</v>
      </c>
      <c r="C257" s="152"/>
      <c r="D257" s="152" t="s">
        <v>2779</v>
      </c>
      <c r="E257" s="152" t="s">
        <v>2780</v>
      </c>
      <c r="F257" s="152" t="s">
        <v>1516</v>
      </c>
      <c r="G257" s="152" t="s">
        <v>2781</v>
      </c>
      <c r="H257" s="152" t="s">
        <v>2782</v>
      </c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 t="s">
        <v>2783</v>
      </c>
      <c r="Z257" s="157" t="s">
        <v>2783</v>
      </c>
      <c r="AA257" s="152"/>
      <c r="AB257" s="152"/>
      <c r="AC257" s="152"/>
      <c r="AD257" s="152"/>
      <c r="AE257" s="185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185"/>
      <c r="BE257" s="185"/>
    </row>
    <row r="258">
      <c r="A258" s="161" t="s">
        <v>2784</v>
      </c>
      <c r="B258" s="161" t="s">
        <v>2785</v>
      </c>
      <c r="C258" s="152"/>
      <c r="D258" s="152" t="s">
        <v>2786</v>
      </c>
      <c r="E258" s="152" t="s">
        <v>2787</v>
      </c>
      <c r="F258" s="152"/>
      <c r="G258" s="152" t="s">
        <v>445</v>
      </c>
      <c r="H258" s="152" t="s">
        <v>445</v>
      </c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 t="s">
        <v>2788</v>
      </c>
      <c r="Z258" s="157" t="s">
        <v>2788</v>
      </c>
      <c r="AA258" s="152"/>
      <c r="AB258" s="152"/>
      <c r="AC258" s="152"/>
      <c r="AD258" s="152"/>
      <c r="AE258" s="185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185"/>
      <c r="BE258" s="185"/>
    </row>
    <row r="259">
      <c r="A259" s="161" t="s">
        <v>2789</v>
      </c>
      <c r="B259" s="161" t="s">
        <v>2790</v>
      </c>
      <c r="C259" s="152"/>
      <c r="D259" s="152" t="s">
        <v>2791</v>
      </c>
      <c r="E259" s="152" t="s">
        <v>2792</v>
      </c>
      <c r="F259" s="152" t="s">
        <v>1709</v>
      </c>
      <c r="G259" s="152" t="s">
        <v>2793</v>
      </c>
      <c r="H259" s="152" t="s">
        <v>2794</v>
      </c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 t="s">
        <v>2795</v>
      </c>
      <c r="Z259" s="157" t="s">
        <v>2795</v>
      </c>
      <c r="AA259" s="152"/>
      <c r="AB259" s="152"/>
      <c r="AC259" s="152"/>
      <c r="AD259" s="152"/>
      <c r="AE259" s="185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185"/>
      <c r="BE259" s="185"/>
    </row>
    <row r="260">
      <c r="A260" s="161" t="s">
        <v>2796</v>
      </c>
      <c r="B260" s="161" t="s">
        <v>2797</v>
      </c>
      <c r="C260" s="152"/>
      <c r="D260" s="152" t="s">
        <v>2798</v>
      </c>
      <c r="E260" s="152" t="s">
        <v>2799</v>
      </c>
      <c r="F260" s="152" t="s">
        <v>830</v>
      </c>
      <c r="G260" s="152" t="s">
        <v>2800</v>
      </c>
      <c r="H260" s="152" t="s">
        <v>2801</v>
      </c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 t="s">
        <v>2802</v>
      </c>
      <c r="Z260" s="157" t="s">
        <v>2802</v>
      </c>
      <c r="AA260" s="152"/>
      <c r="AB260" s="152"/>
      <c r="AC260" s="152"/>
      <c r="AD260" s="152"/>
      <c r="AE260" s="185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185"/>
      <c r="BE260" s="185"/>
    </row>
    <row r="261">
      <c r="A261" s="152"/>
      <c r="B261" s="152"/>
      <c r="C261" s="152"/>
      <c r="D261" s="152" t="s">
        <v>2803</v>
      </c>
      <c r="E261" s="152" t="s">
        <v>2804</v>
      </c>
      <c r="F261" s="152" t="s">
        <v>332</v>
      </c>
      <c r="G261" s="152" t="s">
        <v>2805</v>
      </c>
      <c r="H261" s="152" t="s">
        <v>2806</v>
      </c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 t="s">
        <v>2807</v>
      </c>
      <c r="Z261" s="157" t="s">
        <v>2807</v>
      </c>
      <c r="AA261" s="152"/>
      <c r="AB261" s="152"/>
      <c r="AC261" s="152"/>
      <c r="AD261" s="152"/>
      <c r="AE261" s="185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185"/>
      <c r="BE261" s="185"/>
    </row>
    <row r="262">
      <c r="A262" s="152"/>
      <c r="B262" s="152"/>
      <c r="C262" s="152"/>
      <c r="D262" s="152" t="s">
        <v>2808</v>
      </c>
      <c r="E262" s="152" t="s">
        <v>2808</v>
      </c>
      <c r="F262" s="152"/>
      <c r="G262" s="163" t="s">
        <v>2809</v>
      </c>
      <c r="H262" s="152" t="s">
        <v>2810</v>
      </c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 t="s">
        <v>2811</v>
      </c>
      <c r="Z262" s="157" t="s">
        <v>2811</v>
      </c>
      <c r="AA262" s="152"/>
      <c r="AB262" s="152"/>
      <c r="AC262" s="152"/>
      <c r="AD262" s="152"/>
      <c r="AE262" s="185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185"/>
      <c r="BE262" s="185"/>
    </row>
    <row r="263">
      <c r="A263" s="152"/>
      <c r="B263" s="152"/>
      <c r="C263" s="152"/>
      <c r="D263" s="152" t="s">
        <v>2812</v>
      </c>
      <c r="E263" s="152" t="s">
        <v>2813</v>
      </c>
      <c r="F263" s="152" t="s">
        <v>332</v>
      </c>
      <c r="G263" s="152" t="s">
        <v>2814</v>
      </c>
      <c r="H263" s="152" t="s">
        <v>2815</v>
      </c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 t="s">
        <v>2816</v>
      </c>
      <c r="Z263" s="157" t="s">
        <v>2816</v>
      </c>
      <c r="AA263" s="152"/>
      <c r="AB263" s="152"/>
      <c r="AC263" s="152"/>
      <c r="AD263" s="152"/>
      <c r="AE263" s="185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185"/>
      <c r="BE263" s="185"/>
    </row>
    <row r="264">
      <c r="A264" s="152"/>
      <c r="B264" s="152"/>
      <c r="C264" s="152"/>
      <c r="D264" s="152" t="s">
        <v>2817</v>
      </c>
      <c r="E264" s="152" t="s">
        <v>2818</v>
      </c>
      <c r="F264" s="152" t="s">
        <v>636</v>
      </c>
      <c r="G264" s="152" t="s">
        <v>2819</v>
      </c>
      <c r="H264" s="152" t="s">
        <v>2820</v>
      </c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 t="s">
        <v>2821</v>
      </c>
      <c r="Z264" s="157" t="s">
        <v>2821</v>
      </c>
      <c r="AA264" s="152"/>
      <c r="AB264" s="152"/>
      <c r="AC264" s="152"/>
      <c r="AD264" s="152"/>
      <c r="AE264" s="185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185"/>
      <c r="BE264" s="185"/>
    </row>
    <row r="265">
      <c r="A265" s="152"/>
      <c r="B265" s="152"/>
      <c r="C265" s="152"/>
      <c r="D265" s="152" t="s">
        <v>2822</v>
      </c>
      <c r="E265" s="152" t="s">
        <v>2823</v>
      </c>
      <c r="F265" s="152" t="s">
        <v>332</v>
      </c>
      <c r="G265" s="152" t="s">
        <v>2824</v>
      </c>
      <c r="H265" s="152" t="s">
        <v>2825</v>
      </c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 t="s">
        <v>2826</v>
      </c>
      <c r="Z265" s="157" t="s">
        <v>2826</v>
      </c>
      <c r="AA265" s="152"/>
      <c r="AB265" s="152"/>
      <c r="AC265" s="152"/>
      <c r="AD265" s="152"/>
      <c r="AE265" s="185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185"/>
      <c r="BE265" s="185"/>
    </row>
    <row r="266">
      <c r="A266" s="152"/>
      <c r="B266" s="152"/>
      <c r="C266" s="152"/>
      <c r="D266" s="152" t="s">
        <v>2827</v>
      </c>
      <c r="E266" s="152" t="s">
        <v>2828</v>
      </c>
      <c r="F266" s="152" t="s">
        <v>332</v>
      </c>
      <c r="G266" s="152" t="s">
        <v>2829</v>
      </c>
      <c r="H266" s="152" t="s">
        <v>2830</v>
      </c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 t="s">
        <v>2831</v>
      </c>
      <c r="Z266" s="157" t="s">
        <v>2831</v>
      </c>
      <c r="AA266" s="152"/>
      <c r="AB266" s="152"/>
      <c r="AC266" s="152"/>
      <c r="AD266" s="152"/>
      <c r="AE266" s="185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185"/>
      <c r="BE266" s="185"/>
    </row>
    <row r="267">
      <c r="A267" s="152"/>
      <c r="B267" s="152"/>
      <c r="C267" s="152"/>
      <c r="D267" s="152" t="s">
        <v>2832</v>
      </c>
      <c r="E267" s="152" t="s">
        <v>2833</v>
      </c>
      <c r="F267" s="152" t="s">
        <v>1004</v>
      </c>
      <c r="G267" s="163" t="s">
        <v>2834</v>
      </c>
      <c r="H267" s="152" t="s">
        <v>2835</v>
      </c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 t="s">
        <v>2836</v>
      </c>
      <c r="Z267" s="157" t="s">
        <v>2836</v>
      </c>
      <c r="AA267" s="152"/>
      <c r="AB267" s="152"/>
      <c r="AC267" s="152"/>
      <c r="AD267" s="152"/>
      <c r="AE267" s="185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185"/>
      <c r="BE267" s="185"/>
    </row>
    <row r="268">
      <c r="A268" s="152"/>
      <c r="B268" s="152"/>
      <c r="C268" s="152"/>
      <c r="D268" s="152" t="s">
        <v>2837</v>
      </c>
      <c r="E268" s="152" t="s">
        <v>2838</v>
      </c>
      <c r="F268" s="152" t="s">
        <v>332</v>
      </c>
      <c r="G268" s="163" t="s">
        <v>2839</v>
      </c>
      <c r="H268" s="152" t="s">
        <v>2840</v>
      </c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 t="s">
        <v>2841</v>
      </c>
      <c r="Z268" s="157" t="s">
        <v>2841</v>
      </c>
      <c r="AA268" s="152"/>
      <c r="AB268" s="152"/>
      <c r="AC268" s="152"/>
      <c r="AD268" s="152"/>
      <c r="AE268" s="185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</row>
    <row r="269">
      <c r="A269" s="152"/>
      <c r="B269" s="152"/>
      <c r="C269" s="152"/>
      <c r="D269" s="152" t="s">
        <v>2842</v>
      </c>
      <c r="E269" s="152" t="s">
        <v>2843</v>
      </c>
      <c r="F269" s="152"/>
      <c r="G269" s="152" t="s">
        <v>2844</v>
      </c>
      <c r="H269" s="152" t="s">
        <v>2845</v>
      </c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 t="s">
        <v>2846</v>
      </c>
      <c r="Z269" s="157" t="s">
        <v>2846</v>
      </c>
      <c r="AA269" s="152"/>
      <c r="AB269" s="152"/>
      <c r="AC269" s="152"/>
      <c r="AD269" s="152"/>
      <c r="AE269" s="185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185"/>
      <c r="BE269" s="185"/>
    </row>
    <row r="270">
      <c r="A270" s="152"/>
      <c r="B270" s="152"/>
      <c r="C270" s="152"/>
      <c r="D270" s="163" t="s">
        <v>2847</v>
      </c>
      <c r="E270" s="152" t="s">
        <v>2848</v>
      </c>
      <c r="F270" s="152" t="s">
        <v>332</v>
      </c>
      <c r="G270" s="152" t="s">
        <v>2849</v>
      </c>
      <c r="H270" s="152" t="s">
        <v>2850</v>
      </c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 t="s">
        <v>2851</v>
      </c>
      <c r="Z270" s="157" t="s">
        <v>2851</v>
      </c>
      <c r="AA270" s="152"/>
      <c r="AB270" s="152"/>
      <c r="AC270" s="152"/>
      <c r="AD270" s="152"/>
      <c r="AE270" s="185"/>
      <c r="AF270" s="185"/>
      <c r="AG270" s="185"/>
      <c r="AH270" s="185"/>
      <c r="AI270" s="185"/>
      <c r="AJ270" s="185"/>
      <c r="AK270" s="185"/>
      <c r="AL270" s="185"/>
      <c r="AM270" s="185"/>
      <c r="AN270" s="185"/>
      <c r="AO270" s="185"/>
      <c r="AP270" s="185"/>
      <c r="AQ270" s="185"/>
      <c r="AR270" s="185"/>
      <c r="AS270" s="185"/>
      <c r="AT270" s="185"/>
      <c r="AU270" s="185"/>
      <c r="AV270" s="185"/>
      <c r="AW270" s="185"/>
      <c r="AX270" s="185"/>
      <c r="AY270" s="185"/>
      <c r="AZ270" s="185"/>
      <c r="BA270" s="185"/>
      <c r="BB270" s="185"/>
      <c r="BC270" s="185"/>
      <c r="BD270" s="185"/>
      <c r="BE270" s="185"/>
    </row>
    <row r="271">
      <c r="A271" s="152"/>
      <c r="B271" s="152"/>
      <c r="C271" s="152"/>
      <c r="D271" s="152" t="s">
        <v>2852</v>
      </c>
      <c r="E271" s="152" t="s">
        <v>2853</v>
      </c>
      <c r="F271" s="152" t="s">
        <v>394</v>
      </c>
      <c r="G271" s="152" t="s">
        <v>2854</v>
      </c>
      <c r="H271" s="152" t="s">
        <v>2855</v>
      </c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 t="s">
        <v>2856</v>
      </c>
      <c r="Z271" s="157" t="s">
        <v>2856</v>
      </c>
      <c r="AA271" s="152"/>
      <c r="AB271" s="152"/>
      <c r="AC271" s="152"/>
      <c r="AD271" s="152"/>
      <c r="AE271" s="185"/>
      <c r="AF271" s="185"/>
      <c r="AG271" s="185"/>
      <c r="AH271" s="185"/>
      <c r="AI271" s="185"/>
      <c r="AJ271" s="185"/>
      <c r="AK271" s="185"/>
      <c r="AL271" s="185"/>
      <c r="AM271" s="185"/>
      <c r="AN271" s="185"/>
      <c r="AO271" s="185"/>
      <c r="AP271" s="185"/>
      <c r="AQ271" s="185"/>
      <c r="AR271" s="185"/>
      <c r="AS271" s="185"/>
      <c r="AT271" s="185"/>
      <c r="AU271" s="185"/>
      <c r="AV271" s="185"/>
      <c r="AW271" s="185"/>
      <c r="AX271" s="185"/>
      <c r="AY271" s="185"/>
      <c r="AZ271" s="185"/>
      <c r="BA271" s="185"/>
      <c r="BB271" s="185"/>
      <c r="BC271" s="185"/>
      <c r="BD271" s="185"/>
      <c r="BE271" s="185"/>
    </row>
    <row r="272">
      <c r="A272" s="152"/>
      <c r="B272" s="152"/>
      <c r="C272" s="152"/>
      <c r="D272" s="152" t="s">
        <v>2857</v>
      </c>
      <c r="E272" s="152" t="s">
        <v>2858</v>
      </c>
      <c r="F272" s="152" t="s">
        <v>332</v>
      </c>
      <c r="G272" s="152" t="s">
        <v>2859</v>
      </c>
      <c r="H272" s="152" t="s">
        <v>2860</v>
      </c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 t="s">
        <v>2861</v>
      </c>
      <c r="Z272" s="157" t="s">
        <v>2861</v>
      </c>
      <c r="AA272" s="152"/>
      <c r="AB272" s="152"/>
      <c r="AC272" s="152"/>
      <c r="AD272" s="152"/>
      <c r="AE272" s="185"/>
      <c r="AF272" s="185"/>
      <c r="AG272" s="185"/>
      <c r="AH272" s="185"/>
      <c r="AI272" s="185"/>
      <c r="AJ272" s="185"/>
      <c r="AK272" s="185"/>
      <c r="AL272" s="185"/>
      <c r="AM272" s="185"/>
      <c r="AN272" s="185"/>
      <c r="AO272" s="185"/>
      <c r="AP272" s="185"/>
      <c r="AQ272" s="185"/>
      <c r="AR272" s="185"/>
      <c r="AS272" s="185"/>
      <c r="AT272" s="185"/>
      <c r="AU272" s="185"/>
      <c r="AV272" s="185"/>
      <c r="AW272" s="185"/>
      <c r="AX272" s="185"/>
      <c r="AY272" s="185"/>
      <c r="AZ272" s="185"/>
      <c r="BA272" s="185"/>
      <c r="BB272" s="185"/>
      <c r="BC272" s="185"/>
      <c r="BD272" s="185"/>
      <c r="BE272" s="185"/>
    </row>
    <row r="273">
      <c r="A273" s="152"/>
      <c r="B273" s="152"/>
      <c r="C273" s="152"/>
      <c r="D273" s="152" t="s">
        <v>2862</v>
      </c>
      <c r="E273" s="152" t="s">
        <v>2863</v>
      </c>
      <c r="F273" s="152"/>
      <c r="G273" s="152" t="s">
        <v>2864</v>
      </c>
      <c r="H273" s="152" t="s">
        <v>2865</v>
      </c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 t="s">
        <v>2866</v>
      </c>
      <c r="Z273" s="157" t="s">
        <v>2866</v>
      </c>
      <c r="AA273" s="152"/>
      <c r="AB273" s="152"/>
      <c r="AC273" s="152"/>
      <c r="AD273" s="152"/>
      <c r="AE273" s="185"/>
      <c r="AF273" s="185"/>
      <c r="AG273" s="185"/>
      <c r="AH273" s="185"/>
      <c r="AI273" s="185"/>
      <c r="AJ273" s="185"/>
      <c r="AK273" s="185"/>
      <c r="AL273" s="185"/>
      <c r="AM273" s="185"/>
      <c r="AN273" s="185"/>
      <c r="AO273" s="185"/>
      <c r="AP273" s="185"/>
      <c r="AQ273" s="185"/>
      <c r="AR273" s="185"/>
      <c r="AS273" s="185"/>
      <c r="AT273" s="185"/>
      <c r="AU273" s="185"/>
      <c r="AV273" s="185"/>
      <c r="AW273" s="185"/>
      <c r="AX273" s="185"/>
      <c r="AY273" s="185"/>
      <c r="AZ273" s="185"/>
      <c r="BA273" s="185"/>
      <c r="BB273" s="185"/>
      <c r="BC273" s="185"/>
      <c r="BD273" s="185"/>
      <c r="BE273" s="185"/>
    </row>
    <row r="274">
      <c r="A274" s="152"/>
      <c r="B274" s="152"/>
      <c r="C274" s="152"/>
      <c r="D274" s="152" t="s">
        <v>2867</v>
      </c>
      <c r="E274" s="152" t="s">
        <v>2868</v>
      </c>
      <c r="F274" s="152" t="s">
        <v>1004</v>
      </c>
      <c r="G274" s="152" t="s">
        <v>2869</v>
      </c>
      <c r="H274" s="152" t="s">
        <v>2870</v>
      </c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 t="s">
        <v>2871</v>
      </c>
      <c r="Z274" s="157" t="s">
        <v>2871</v>
      </c>
      <c r="AA274" s="152"/>
      <c r="AB274" s="152"/>
      <c r="AC274" s="152"/>
      <c r="AD274" s="152"/>
      <c r="AE274" s="185"/>
      <c r="AF274" s="185"/>
      <c r="AG274" s="185"/>
      <c r="AH274" s="185"/>
      <c r="AI274" s="185"/>
      <c r="AJ274" s="185"/>
      <c r="AK274" s="185"/>
      <c r="AL274" s="185"/>
      <c r="AM274" s="185"/>
      <c r="AN274" s="185"/>
      <c r="AO274" s="185"/>
      <c r="AP274" s="185"/>
      <c r="AQ274" s="185"/>
      <c r="AR274" s="185"/>
      <c r="AS274" s="185"/>
      <c r="AT274" s="185"/>
      <c r="AU274" s="185"/>
      <c r="AV274" s="185"/>
      <c r="AW274" s="185"/>
      <c r="AX274" s="185"/>
      <c r="AY274" s="185"/>
      <c r="AZ274" s="185"/>
      <c r="BA274" s="185"/>
      <c r="BB274" s="185"/>
      <c r="BC274" s="185"/>
      <c r="BD274" s="185"/>
      <c r="BE274" s="185"/>
    </row>
    <row r="275">
      <c r="A275" s="152"/>
      <c r="B275" s="152"/>
      <c r="C275" s="152"/>
      <c r="D275" s="152" t="s">
        <v>2872</v>
      </c>
      <c r="E275" s="152" t="s">
        <v>2799</v>
      </c>
      <c r="F275" s="152" t="s">
        <v>830</v>
      </c>
      <c r="G275" s="152" t="s">
        <v>2873</v>
      </c>
      <c r="H275" s="152" t="s">
        <v>2874</v>
      </c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 t="s">
        <v>2875</v>
      </c>
      <c r="Z275" s="157" t="s">
        <v>2875</v>
      </c>
      <c r="AA275" s="152"/>
      <c r="AB275" s="152"/>
      <c r="AC275" s="152"/>
      <c r="AD275" s="152"/>
      <c r="AE275" s="185"/>
      <c r="AF275" s="185"/>
      <c r="AG275" s="185"/>
      <c r="AH275" s="185"/>
      <c r="AI275" s="185"/>
      <c r="AJ275" s="185"/>
      <c r="AK275" s="185"/>
      <c r="AL275" s="185"/>
      <c r="AM275" s="185"/>
      <c r="AN275" s="185"/>
      <c r="AO275" s="185"/>
      <c r="AP275" s="185"/>
      <c r="AQ275" s="185"/>
      <c r="AR275" s="185"/>
      <c r="AS275" s="185"/>
      <c r="AT275" s="185"/>
      <c r="AU275" s="185"/>
      <c r="AV275" s="185"/>
      <c r="AW275" s="185"/>
      <c r="AX275" s="185"/>
      <c r="AY275" s="185"/>
      <c r="AZ275" s="185"/>
      <c r="BA275" s="185"/>
      <c r="BB275" s="185"/>
      <c r="BC275" s="185"/>
      <c r="BD275" s="185"/>
      <c r="BE275" s="185"/>
    </row>
    <row r="276">
      <c r="A276" s="152"/>
      <c r="B276" s="152"/>
      <c r="C276" s="152"/>
      <c r="D276" s="152" t="s">
        <v>2876</v>
      </c>
      <c r="E276" s="152" t="s">
        <v>2877</v>
      </c>
      <c r="F276" s="152" t="s">
        <v>332</v>
      </c>
      <c r="G276" s="152" t="s">
        <v>2878</v>
      </c>
      <c r="H276" s="152" t="s">
        <v>2879</v>
      </c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 t="s">
        <v>2880</v>
      </c>
      <c r="Z276" s="157" t="s">
        <v>2880</v>
      </c>
      <c r="AA276" s="152"/>
      <c r="AB276" s="152"/>
      <c r="AC276" s="152"/>
      <c r="AD276" s="152"/>
      <c r="AE276" s="185"/>
      <c r="AF276" s="185"/>
      <c r="AG276" s="185"/>
      <c r="AH276" s="185"/>
      <c r="AI276" s="185"/>
      <c r="AJ276" s="185"/>
      <c r="AK276" s="185"/>
      <c r="AL276" s="185"/>
      <c r="AM276" s="185"/>
      <c r="AN276" s="185"/>
      <c r="AO276" s="185"/>
      <c r="AP276" s="185"/>
      <c r="AQ276" s="185"/>
      <c r="AR276" s="185"/>
      <c r="AS276" s="185"/>
      <c r="AT276" s="185"/>
      <c r="AU276" s="185"/>
      <c r="AV276" s="185"/>
      <c r="AW276" s="185"/>
      <c r="AX276" s="185"/>
      <c r="AY276" s="185"/>
      <c r="AZ276" s="185"/>
      <c r="BA276" s="185"/>
      <c r="BB276" s="185"/>
      <c r="BC276" s="185"/>
      <c r="BD276" s="185"/>
      <c r="BE276" s="185"/>
    </row>
    <row r="277">
      <c r="A277" s="152"/>
      <c r="B277" s="152"/>
      <c r="C277" s="152"/>
      <c r="D277" s="152" t="s">
        <v>2881</v>
      </c>
      <c r="E277" s="152" t="s">
        <v>2882</v>
      </c>
      <c r="F277" s="152" t="s">
        <v>363</v>
      </c>
      <c r="G277" s="152" t="s">
        <v>2883</v>
      </c>
      <c r="H277" s="152" t="s">
        <v>2884</v>
      </c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 t="s">
        <v>2885</v>
      </c>
      <c r="Z277" s="157" t="s">
        <v>2885</v>
      </c>
      <c r="AA277" s="152"/>
      <c r="AB277" s="152"/>
      <c r="AC277" s="152"/>
      <c r="AD277" s="152"/>
      <c r="AE277" s="185"/>
      <c r="AF277" s="185"/>
      <c r="AG277" s="185"/>
      <c r="AH277" s="185"/>
      <c r="AI277" s="185"/>
      <c r="AJ277" s="185"/>
      <c r="AK277" s="185"/>
      <c r="AL277" s="185"/>
      <c r="AM277" s="185"/>
      <c r="AN277" s="185"/>
      <c r="AO277" s="185"/>
      <c r="AP277" s="185"/>
      <c r="AQ277" s="185"/>
      <c r="AR277" s="185"/>
      <c r="AS277" s="185"/>
      <c r="AT277" s="185"/>
      <c r="AU277" s="185"/>
      <c r="AV277" s="185"/>
      <c r="AW277" s="185"/>
      <c r="AX277" s="185"/>
      <c r="AY277" s="185"/>
      <c r="AZ277" s="185"/>
      <c r="BA277" s="185"/>
      <c r="BB277" s="185"/>
      <c r="BC277" s="185"/>
      <c r="BD277" s="185"/>
      <c r="BE277" s="185"/>
    </row>
    <row r="278">
      <c r="A278" s="152"/>
      <c r="B278" s="152"/>
      <c r="C278" s="152"/>
      <c r="D278" s="152" t="s">
        <v>2886</v>
      </c>
      <c r="E278" s="152" t="s">
        <v>2887</v>
      </c>
      <c r="F278" s="152" t="s">
        <v>939</v>
      </c>
      <c r="G278" s="152" t="s">
        <v>2786</v>
      </c>
      <c r="H278" s="152" t="s">
        <v>2888</v>
      </c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 t="s">
        <v>2889</v>
      </c>
      <c r="Z278" s="157" t="s">
        <v>2889</v>
      </c>
      <c r="AA278" s="152"/>
      <c r="AB278" s="152"/>
      <c r="AC278" s="152"/>
      <c r="AD278" s="152"/>
      <c r="AE278" s="185"/>
      <c r="AF278" s="185"/>
      <c r="AG278" s="185"/>
      <c r="AH278" s="185"/>
      <c r="AI278" s="185"/>
      <c r="AJ278" s="185"/>
      <c r="AK278" s="185"/>
      <c r="AL278" s="185"/>
      <c r="AM278" s="185"/>
      <c r="AN278" s="185"/>
      <c r="AO278" s="185"/>
      <c r="AP278" s="185"/>
      <c r="AQ278" s="185"/>
      <c r="AR278" s="185"/>
      <c r="AS278" s="185"/>
      <c r="AT278" s="185"/>
      <c r="AU278" s="185"/>
      <c r="AV278" s="185"/>
      <c r="AW278" s="185"/>
      <c r="AX278" s="185"/>
      <c r="AY278" s="185"/>
      <c r="AZ278" s="185"/>
      <c r="BA278" s="185"/>
      <c r="BB278" s="185"/>
      <c r="BC278" s="185"/>
      <c r="BD278" s="185"/>
      <c r="BE278" s="185"/>
    </row>
    <row r="279">
      <c r="A279" s="152"/>
      <c r="B279" s="152"/>
      <c r="C279" s="152"/>
      <c r="D279" s="152" t="s">
        <v>2890</v>
      </c>
      <c r="E279" s="152" t="s">
        <v>2891</v>
      </c>
      <c r="F279" s="152" t="s">
        <v>939</v>
      </c>
      <c r="G279" s="152" t="s">
        <v>2892</v>
      </c>
      <c r="H279" s="152" t="s">
        <v>2893</v>
      </c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 t="s">
        <v>2894</v>
      </c>
      <c r="Z279" s="157" t="s">
        <v>2894</v>
      </c>
      <c r="AA279" s="152"/>
      <c r="AB279" s="152"/>
      <c r="AC279" s="152"/>
      <c r="AD279" s="152"/>
      <c r="AE279" s="185"/>
      <c r="AF279" s="185"/>
      <c r="AG279" s="185"/>
      <c r="AH279" s="185"/>
      <c r="AI279" s="185"/>
      <c r="AJ279" s="185"/>
      <c r="AK279" s="185"/>
      <c r="AL279" s="185"/>
      <c r="AM279" s="185"/>
      <c r="AN279" s="185"/>
      <c r="AO279" s="185"/>
      <c r="AP279" s="185"/>
      <c r="AQ279" s="185"/>
      <c r="AR279" s="185"/>
      <c r="AS279" s="185"/>
      <c r="AT279" s="185"/>
      <c r="AU279" s="185"/>
      <c r="AV279" s="185"/>
      <c r="AW279" s="185"/>
      <c r="AX279" s="185"/>
      <c r="AY279" s="185"/>
      <c r="AZ279" s="185"/>
      <c r="BA279" s="185"/>
      <c r="BB279" s="185"/>
      <c r="BC279" s="185"/>
      <c r="BD279" s="185"/>
      <c r="BE279" s="185"/>
    </row>
    <row r="280">
      <c r="A280" s="152"/>
      <c r="B280" s="152"/>
      <c r="C280" s="152"/>
      <c r="D280" s="152" t="s">
        <v>2895</v>
      </c>
      <c r="E280" s="152" t="s">
        <v>2896</v>
      </c>
      <c r="F280" s="152" t="s">
        <v>1004</v>
      </c>
      <c r="G280" s="152" t="s">
        <v>2897</v>
      </c>
      <c r="H280" s="152" t="s">
        <v>2898</v>
      </c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 t="s">
        <v>2899</v>
      </c>
      <c r="Z280" s="157" t="s">
        <v>2899</v>
      </c>
      <c r="AA280" s="152"/>
      <c r="AB280" s="152"/>
      <c r="AC280" s="152"/>
      <c r="AD280" s="152"/>
      <c r="AE280" s="185"/>
      <c r="AF280" s="185"/>
      <c r="AG280" s="185"/>
      <c r="AH280" s="185"/>
      <c r="AI280" s="185"/>
      <c r="AJ280" s="185"/>
      <c r="AK280" s="185"/>
      <c r="AL280" s="185"/>
      <c r="AM280" s="185"/>
      <c r="AN280" s="185"/>
      <c r="AO280" s="185"/>
      <c r="AP280" s="185"/>
      <c r="AQ280" s="185"/>
      <c r="AR280" s="185"/>
      <c r="AS280" s="185"/>
      <c r="AT280" s="185"/>
      <c r="AU280" s="185"/>
      <c r="AV280" s="185"/>
      <c r="AW280" s="185"/>
      <c r="AX280" s="185"/>
      <c r="AY280" s="185"/>
      <c r="AZ280" s="185"/>
      <c r="BA280" s="185"/>
      <c r="BB280" s="185"/>
      <c r="BC280" s="185"/>
      <c r="BD280" s="185"/>
      <c r="BE280" s="185"/>
    </row>
    <row r="281">
      <c r="A281" s="152"/>
      <c r="B281" s="152"/>
      <c r="C281" s="152"/>
      <c r="D281" s="152" t="s">
        <v>2900</v>
      </c>
      <c r="E281" s="152" t="s">
        <v>2901</v>
      </c>
      <c r="F281" s="152"/>
      <c r="G281" s="152" t="s">
        <v>2902</v>
      </c>
      <c r="H281" s="152" t="s">
        <v>2903</v>
      </c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 t="s">
        <v>2904</v>
      </c>
      <c r="Z281" s="157" t="s">
        <v>2904</v>
      </c>
      <c r="AA281" s="152"/>
      <c r="AB281" s="152"/>
      <c r="AC281" s="152"/>
      <c r="AD281" s="152"/>
      <c r="AE281" s="185"/>
      <c r="AF281" s="185"/>
      <c r="AG281" s="185"/>
      <c r="AH281" s="185"/>
      <c r="AI281" s="185"/>
      <c r="AJ281" s="185"/>
      <c r="AK281" s="185"/>
      <c r="AL281" s="185"/>
      <c r="AM281" s="185"/>
      <c r="AN281" s="185"/>
      <c r="AO281" s="185"/>
      <c r="AP281" s="185"/>
      <c r="AQ281" s="185"/>
      <c r="AR281" s="185"/>
      <c r="AS281" s="185"/>
      <c r="AT281" s="185"/>
      <c r="AU281" s="185"/>
      <c r="AV281" s="185"/>
      <c r="AW281" s="185"/>
      <c r="AX281" s="185"/>
      <c r="AY281" s="185"/>
      <c r="AZ281" s="185"/>
      <c r="BA281" s="185"/>
      <c r="BB281" s="185"/>
      <c r="BC281" s="185"/>
      <c r="BD281" s="185"/>
      <c r="BE281" s="185"/>
    </row>
    <row r="282">
      <c r="A282" s="152"/>
      <c r="B282" s="152"/>
      <c r="C282" s="152"/>
      <c r="D282" s="152" t="s">
        <v>2905</v>
      </c>
      <c r="E282" s="152" t="s">
        <v>2906</v>
      </c>
      <c r="F282" s="152"/>
      <c r="G282" s="163" t="s">
        <v>2907</v>
      </c>
      <c r="H282" s="152" t="s">
        <v>2908</v>
      </c>
      <c r="I282" s="152" t="s">
        <v>486</v>
      </c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 t="s">
        <v>2909</v>
      </c>
      <c r="Z282" s="157" t="s">
        <v>2909</v>
      </c>
      <c r="AA282" s="152"/>
      <c r="AB282" s="152"/>
      <c r="AC282" s="152"/>
      <c r="AD282" s="152"/>
      <c r="AE282" s="185"/>
      <c r="AF282" s="185"/>
      <c r="AG282" s="185"/>
      <c r="AH282" s="185"/>
      <c r="AI282" s="185"/>
      <c r="AJ282" s="185"/>
      <c r="AK282" s="185"/>
      <c r="AL282" s="185"/>
      <c r="AM282" s="185"/>
      <c r="AN282" s="185"/>
      <c r="AO282" s="185"/>
      <c r="AP282" s="185"/>
      <c r="AQ282" s="185"/>
      <c r="AR282" s="185"/>
      <c r="AS282" s="185"/>
      <c r="AT282" s="185"/>
      <c r="AU282" s="185"/>
      <c r="AV282" s="185"/>
      <c r="AW282" s="185"/>
      <c r="AX282" s="185"/>
      <c r="AY282" s="185"/>
      <c r="AZ282" s="185"/>
      <c r="BA282" s="185"/>
      <c r="BB282" s="185"/>
      <c r="BC282" s="185"/>
      <c r="BD282" s="185"/>
      <c r="BE282" s="185"/>
    </row>
    <row r="283">
      <c r="A283" s="152"/>
      <c r="B283" s="152"/>
      <c r="C283" s="152"/>
      <c r="D283" s="152" t="s">
        <v>2910</v>
      </c>
      <c r="E283" s="152" t="s">
        <v>2911</v>
      </c>
      <c r="F283" s="152"/>
      <c r="G283" s="152" t="s">
        <v>2912</v>
      </c>
      <c r="H283" s="152" t="s">
        <v>2913</v>
      </c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 t="s">
        <v>2914</v>
      </c>
      <c r="Z283" s="157" t="s">
        <v>2914</v>
      </c>
      <c r="AA283" s="152"/>
      <c r="AB283" s="152"/>
      <c r="AC283" s="152"/>
      <c r="AD283" s="152"/>
      <c r="AE283" s="185"/>
      <c r="AF283" s="185"/>
      <c r="AG283" s="185"/>
      <c r="AH283" s="185"/>
      <c r="AI283" s="185"/>
      <c r="AJ283" s="185"/>
      <c r="AK283" s="185"/>
      <c r="AL283" s="185"/>
      <c r="AM283" s="185"/>
      <c r="AN283" s="185"/>
      <c r="AO283" s="185"/>
      <c r="AP283" s="185"/>
      <c r="AQ283" s="185"/>
      <c r="AR283" s="185"/>
      <c r="AS283" s="185"/>
      <c r="AT283" s="185"/>
      <c r="AU283" s="185"/>
      <c r="AV283" s="185"/>
      <c r="AW283" s="185"/>
      <c r="AX283" s="185"/>
      <c r="AY283" s="185"/>
      <c r="AZ283" s="185"/>
      <c r="BA283" s="185"/>
      <c r="BB283" s="185"/>
      <c r="BC283" s="185"/>
      <c r="BD283" s="185"/>
      <c r="BE283" s="185"/>
    </row>
    <row r="284">
      <c r="A284" s="152"/>
      <c r="B284" s="152"/>
      <c r="C284" s="152"/>
      <c r="D284" s="152" t="s">
        <v>2915</v>
      </c>
      <c r="E284" s="152" t="s">
        <v>2916</v>
      </c>
      <c r="F284" s="152"/>
      <c r="G284" s="152" t="s">
        <v>2917</v>
      </c>
      <c r="H284" s="152" t="s">
        <v>2917</v>
      </c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 t="s">
        <v>2918</v>
      </c>
      <c r="Z284" s="157" t="s">
        <v>2918</v>
      </c>
      <c r="AA284" s="152"/>
      <c r="AB284" s="152"/>
      <c r="AC284" s="152"/>
      <c r="AD284" s="152"/>
      <c r="AE284" s="185"/>
      <c r="AF284" s="185"/>
      <c r="AG284" s="185"/>
      <c r="AH284" s="185"/>
      <c r="AI284" s="185"/>
      <c r="AJ284" s="185"/>
      <c r="AK284" s="185"/>
      <c r="AL284" s="185"/>
      <c r="AM284" s="185"/>
      <c r="AN284" s="185"/>
      <c r="AO284" s="185"/>
      <c r="AP284" s="185"/>
      <c r="AQ284" s="185"/>
      <c r="AR284" s="185"/>
      <c r="AS284" s="185"/>
      <c r="AT284" s="185"/>
      <c r="AU284" s="185"/>
      <c r="AV284" s="185"/>
      <c r="AW284" s="185"/>
      <c r="AX284" s="185"/>
      <c r="AY284" s="185"/>
      <c r="AZ284" s="185"/>
      <c r="BA284" s="185"/>
      <c r="BB284" s="185"/>
      <c r="BC284" s="185"/>
      <c r="BD284" s="185"/>
      <c r="BE284" s="185"/>
    </row>
    <row r="285">
      <c r="A285" s="152"/>
      <c r="B285" s="152"/>
      <c r="C285" s="152"/>
      <c r="D285" s="152" t="s">
        <v>2919</v>
      </c>
      <c r="E285" s="152" t="s">
        <v>2920</v>
      </c>
      <c r="F285" s="152" t="s">
        <v>332</v>
      </c>
      <c r="G285" s="163" t="s">
        <v>2921</v>
      </c>
      <c r="H285" s="152" t="s">
        <v>2922</v>
      </c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 t="s">
        <v>2923</v>
      </c>
      <c r="Z285" s="157" t="s">
        <v>2923</v>
      </c>
      <c r="AA285" s="152"/>
      <c r="AB285" s="152"/>
      <c r="AC285" s="152"/>
      <c r="AD285" s="152"/>
      <c r="AE285" s="185"/>
      <c r="AF285" s="185"/>
      <c r="AG285" s="185"/>
      <c r="AH285" s="185"/>
      <c r="AI285" s="185"/>
      <c r="AJ285" s="185"/>
      <c r="AK285" s="185"/>
      <c r="AL285" s="185"/>
      <c r="AM285" s="185"/>
      <c r="AN285" s="185"/>
      <c r="AO285" s="185"/>
      <c r="AP285" s="185"/>
      <c r="AQ285" s="185"/>
      <c r="AR285" s="185"/>
      <c r="AS285" s="185"/>
      <c r="AT285" s="185"/>
      <c r="AU285" s="185"/>
      <c r="AV285" s="185"/>
      <c r="AW285" s="185"/>
      <c r="AX285" s="185"/>
      <c r="AY285" s="185"/>
      <c r="AZ285" s="185"/>
      <c r="BA285" s="185"/>
      <c r="BB285" s="185"/>
      <c r="BC285" s="185"/>
      <c r="BD285" s="185"/>
      <c r="BE285" s="185"/>
    </row>
    <row r="286">
      <c r="A286" s="152"/>
      <c r="B286" s="152"/>
      <c r="C286" s="152"/>
      <c r="D286" s="152" t="s">
        <v>2924</v>
      </c>
      <c r="E286" s="152" t="s">
        <v>2925</v>
      </c>
      <c r="F286" s="152" t="s">
        <v>1560</v>
      </c>
      <c r="G286" s="152" t="s">
        <v>2926</v>
      </c>
      <c r="H286" s="152" t="s">
        <v>2927</v>
      </c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 t="s">
        <v>2928</v>
      </c>
      <c r="Z286" s="157" t="s">
        <v>2928</v>
      </c>
      <c r="AA286" s="152"/>
      <c r="AB286" s="152"/>
      <c r="AC286" s="152"/>
      <c r="AD286" s="152"/>
      <c r="AE286" s="185"/>
      <c r="AF286" s="185"/>
      <c r="AG286" s="185"/>
      <c r="AH286" s="185"/>
      <c r="AI286" s="185"/>
      <c r="AJ286" s="185"/>
      <c r="AK286" s="185"/>
      <c r="AL286" s="185"/>
      <c r="AM286" s="185"/>
      <c r="AN286" s="185"/>
      <c r="AO286" s="185"/>
      <c r="AP286" s="185"/>
      <c r="AQ286" s="185"/>
      <c r="AR286" s="185"/>
      <c r="AS286" s="185"/>
      <c r="AT286" s="185"/>
      <c r="AU286" s="185"/>
      <c r="AV286" s="185"/>
      <c r="AW286" s="185"/>
      <c r="AX286" s="185"/>
      <c r="AY286" s="185"/>
      <c r="AZ286" s="185"/>
      <c r="BA286" s="185"/>
      <c r="BB286" s="185"/>
      <c r="BC286" s="185"/>
      <c r="BD286" s="185"/>
      <c r="BE286" s="185"/>
    </row>
    <row r="287">
      <c r="A287" s="152"/>
      <c r="B287" s="152"/>
      <c r="C287" s="152"/>
      <c r="D287" s="152" t="s">
        <v>2929</v>
      </c>
      <c r="E287" s="152" t="s">
        <v>2930</v>
      </c>
      <c r="F287" s="152"/>
      <c r="G287" s="152" t="s">
        <v>2931</v>
      </c>
      <c r="H287" s="152" t="s">
        <v>2932</v>
      </c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 t="s">
        <v>2933</v>
      </c>
      <c r="Z287" s="157" t="s">
        <v>2933</v>
      </c>
      <c r="AA287" s="152"/>
      <c r="AB287" s="152"/>
      <c r="AC287" s="152"/>
      <c r="AD287" s="152"/>
      <c r="AE287" s="185"/>
      <c r="AF287" s="185"/>
      <c r="AG287" s="185"/>
      <c r="AH287" s="185"/>
      <c r="AI287" s="185"/>
      <c r="AJ287" s="185"/>
      <c r="AK287" s="185"/>
      <c r="AL287" s="185"/>
      <c r="AM287" s="185"/>
      <c r="AN287" s="185"/>
      <c r="AO287" s="185"/>
      <c r="AP287" s="185"/>
      <c r="AQ287" s="185"/>
      <c r="AR287" s="185"/>
      <c r="AS287" s="185"/>
      <c r="AT287" s="185"/>
      <c r="AU287" s="185"/>
      <c r="AV287" s="185"/>
      <c r="AW287" s="185"/>
      <c r="AX287" s="185"/>
      <c r="AY287" s="185"/>
      <c r="AZ287" s="185"/>
      <c r="BA287" s="185"/>
      <c r="BB287" s="185"/>
      <c r="BC287" s="185"/>
      <c r="BD287" s="185"/>
      <c r="BE287" s="185"/>
    </row>
    <row r="288">
      <c r="A288" s="152"/>
      <c r="B288" s="152"/>
      <c r="C288" s="152"/>
      <c r="D288" s="152" t="s">
        <v>2934</v>
      </c>
      <c r="E288" s="152" t="s">
        <v>2935</v>
      </c>
      <c r="F288" s="152" t="s">
        <v>332</v>
      </c>
      <c r="G288" s="152" t="s">
        <v>2936</v>
      </c>
      <c r="H288" s="152" t="s">
        <v>2937</v>
      </c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 t="s">
        <v>2938</v>
      </c>
      <c r="Z288" s="157" t="s">
        <v>2938</v>
      </c>
      <c r="AA288" s="152"/>
      <c r="AB288" s="152"/>
      <c r="AC288" s="152"/>
      <c r="AD288" s="152"/>
      <c r="AE288" s="185"/>
      <c r="AF288" s="185"/>
      <c r="AG288" s="185"/>
      <c r="AH288" s="185"/>
      <c r="AI288" s="185"/>
      <c r="AJ288" s="185"/>
      <c r="AK288" s="185"/>
      <c r="AL288" s="185"/>
      <c r="AM288" s="185"/>
      <c r="AN288" s="185"/>
      <c r="AO288" s="185"/>
      <c r="AP288" s="185"/>
      <c r="AQ288" s="185"/>
      <c r="AR288" s="185"/>
      <c r="AS288" s="185"/>
      <c r="AT288" s="185"/>
      <c r="AU288" s="185"/>
      <c r="AV288" s="185"/>
      <c r="AW288" s="185"/>
      <c r="AX288" s="185"/>
      <c r="AY288" s="185"/>
      <c r="AZ288" s="185"/>
      <c r="BA288" s="185"/>
      <c r="BB288" s="185"/>
      <c r="BC288" s="185"/>
      <c r="BD288" s="185"/>
      <c r="BE288" s="185"/>
    </row>
    <row r="289">
      <c r="A289" s="152"/>
      <c r="B289" s="152"/>
      <c r="C289" s="152"/>
      <c r="D289" s="152" t="s">
        <v>2939</v>
      </c>
      <c r="E289" s="152" t="s">
        <v>2940</v>
      </c>
      <c r="F289" s="152"/>
      <c r="G289" s="152" t="s">
        <v>2941</v>
      </c>
      <c r="H289" s="152" t="s">
        <v>2942</v>
      </c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 t="s">
        <v>2943</v>
      </c>
      <c r="Z289" s="157" t="s">
        <v>2943</v>
      </c>
      <c r="AA289" s="152"/>
      <c r="AB289" s="152"/>
      <c r="AC289" s="152"/>
      <c r="AD289" s="152"/>
      <c r="AE289" s="185"/>
      <c r="AF289" s="185"/>
      <c r="AG289" s="185"/>
      <c r="AH289" s="185"/>
      <c r="AI289" s="185"/>
      <c r="AJ289" s="185"/>
      <c r="AK289" s="185"/>
      <c r="AL289" s="185"/>
      <c r="AM289" s="185"/>
      <c r="AN289" s="185"/>
      <c r="AO289" s="185"/>
      <c r="AP289" s="185"/>
      <c r="AQ289" s="185"/>
      <c r="AR289" s="185"/>
      <c r="AS289" s="185"/>
      <c r="AT289" s="185"/>
      <c r="AU289" s="185"/>
      <c r="AV289" s="185"/>
      <c r="AW289" s="185"/>
      <c r="AX289" s="185"/>
      <c r="AY289" s="185"/>
      <c r="AZ289" s="185"/>
      <c r="BA289" s="185"/>
      <c r="BB289" s="185"/>
      <c r="BC289" s="185"/>
      <c r="BD289" s="185"/>
      <c r="BE289" s="185"/>
    </row>
    <row r="290">
      <c r="A290" s="152"/>
      <c r="B290" s="152"/>
      <c r="C290" s="152"/>
      <c r="D290" s="152" t="s">
        <v>2944</v>
      </c>
      <c r="E290" s="152" t="s">
        <v>2945</v>
      </c>
      <c r="F290" s="152" t="s">
        <v>332</v>
      </c>
      <c r="G290" s="163" t="s">
        <v>2946</v>
      </c>
      <c r="H290" s="152" t="s">
        <v>2947</v>
      </c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 t="s">
        <v>2948</v>
      </c>
      <c r="Z290" s="157" t="s">
        <v>2948</v>
      </c>
      <c r="AA290" s="152"/>
      <c r="AB290" s="152"/>
      <c r="AC290" s="152"/>
      <c r="AD290" s="152"/>
      <c r="AE290" s="185"/>
      <c r="AF290" s="185"/>
      <c r="AG290" s="185"/>
      <c r="AH290" s="185"/>
      <c r="AI290" s="185"/>
      <c r="AJ290" s="185"/>
      <c r="AK290" s="185"/>
      <c r="AL290" s="185"/>
      <c r="AM290" s="185"/>
      <c r="AN290" s="185"/>
      <c r="AO290" s="185"/>
      <c r="AP290" s="185"/>
      <c r="AQ290" s="185"/>
      <c r="AR290" s="185"/>
      <c r="AS290" s="185"/>
      <c r="AT290" s="185"/>
      <c r="AU290" s="185"/>
      <c r="AV290" s="185"/>
      <c r="AW290" s="185"/>
      <c r="AX290" s="185"/>
      <c r="AY290" s="185"/>
      <c r="AZ290" s="185"/>
      <c r="BA290" s="185"/>
      <c r="BB290" s="185"/>
      <c r="BC290" s="185"/>
      <c r="BD290" s="185"/>
      <c r="BE290" s="185"/>
    </row>
    <row r="291">
      <c r="A291" s="152"/>
      <c r="B291" s="152"/>
      <c r="C291" s="152"/>
      <c r="D291" s="152" t="s">
        <v>2949</v>
      </c>
      <c r="E291" s="152" t="s">
        <v>2950</v>
      </c>
      <c r="F291" s="152" t="s">
        <v>332</v>
      </c>
      <c r="G291" s="152" t="s">
        <v>2951</v>
      </c>
      <c r="H291" s="152" t="s">
        <v>2952</v>
      </c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 t="s">
        <v>2953</v>
      </c>
      <c r="Z291" s="157" t="s">
        <v>2953</v>
      </c>
      <c r="AA291" s="152"/>
      <c r="AB291" s="152"/>
      <c r="AC291" s="152"/>
      <c r="AD291" s="152"/>
      <c r="AE291" s="185"/>
      <c r="AF291" s="185"/>
      <c r="AG291" s="185"/>
      <c r="AH291" s="185"/>
      <c r="AI291" s="185"/>
      <c r="AJ291" s="185"/>
      <c r="AK291" s="185"/>
      <c r="AL291" s="185"/>
      <c r="AM291" s="185"/>
      <c r="AN291" s="185"/>
      <c r="AO291" s="185"/>
      <c r="AP291" s="185"/>
      <c r="AQ291" s="185"/>
      <c r="AR291" s="185"/>
      <c r="AS291" s="185"/>
      <c r="AT291" s="185"/>
      <c r="AU291" s="185"/>
      <c r="AV291" s="185"/>
      <c r="AW291" s="185"/>
      <c r="AX291" s="185"/>
      <c r="AY291" s="185"/>
      <c r="AZ291" s="185"/>
      <c r="BA291" s="185"/>
      <c r="BB291" s="185"/>
      <c r="BC291" s="185"/>
      <c r="BD291" s="185"/>
      <c r="BE291" s="185"/>
    </row>
    <row r="292">
      <c r="A292" s="152"/>
      <c r="B292" s="152"/>
      <c r="C292" s="152"/>
      <c r="D292" s="152" t="s">
        <v>2954</v>
      </c>
      <c r="E292" s="152" t="s">
        <v>2955</v>
      </c>
      <c r="F292" s="152" t="s">
        <v>394</v>
      </c>
      <c r="G292" s="152" t="s">
        <v>62</v>
      </c>
      <c r="H292" s="152" t="s">
        <v>2956</v>
      </c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 t="s">
        <v>2957</v>
      </c>
      <c r="Z292" s="157" t="s">
        <v>2957</v>
      </c>
      <c r="AA292" s="152"/>
      <c r="AB292" s="152"/>
      <c r="AC292" s="152"/>
      <c r="AD292" s="152"/>
      <c r="AE292" s="185"/>
      <c r="AF292" s="185"/>
      <c r="AG292" s="185"/>
      <c r="AH292" s="185"/>
      <c r="AI292" s="185"/>
      <c r="AJ292" s="185"/>
      <c r="AK292" s="185"/>
      <c r="AL292" s="185"/>
      <c r="AM292" s="185"/>
      <c r="AN292" s="185"/>
      <c r="AO292" s="185"/>
      <c r="AP292" s="185"/>
      <c r="AQ292" s="185"/>
      <c r="AR292" s="185"/>
      <c r="AS292" s="185"/>
      <c r="AT292" s="185"/>
      <c r="AU292" s="185"/>
      <c r="AV292" s="185"/>
      <c r="AW292" s="185"/>
      <c r="AX292" s="185"/>
      <c r="AY292" s="185"/>
      <c r="AZ292" s="185"/>
      <c r="BA292" s="185"/>
      <c r="BB292" s="185"/>
      <c r="BC292" s="185"/>
      <c r="BD292" s="185"/>
      <c r="BE292" s="185"/>
    </row>
    <row r="293">
      <c r="A293" s="152"/>
      <c r="B293" s="152"/>
      <c r="C293" s="152"/>
      <c r="D293" s="152" t="s">
        <v>2958</v>
      </c>
      <c r="E293" s="152" t="s">
        <v>2959</v>
      </c>
      <c r="F293" s="152" t="s">
        <v>806</v>
      </c>
      <c r="G293" s="152" t="s">
        <v>2960</v>
      </c>
      <c r="H293" s="152" t="s">
        <v>2961</v>
      </c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 t="s">
        <v>2962</v>
      </c>
      <c r="Z293" s="157" t="s">
        <v>2962</v>
      </c>
      <c r="AA293" s="152"/>
      <c r="AB293" s="152"/>
      <c r="AC293" s="152"/>
      <c r="AD293" s="152"/>
      <c r="AE293" s="185"/>
      <c r="AF293" s="185"/>
      <c r="AG293" s="185"/>
      <c r="AH293" s="185"/>
      <c r="AI293" s="185"/>
      <c r="AJ293" s="185"/>
      <c r="AK293" s="185"/>
      <c r="AL293" s="185"/>
      <c r="AM293" s="185"/>
      <c r="AN293" s="185"/>
      <c r="AO293" s="185"/>
      <c r="AP293" s="185"/>
      <c r="AQ293" s="185"/>
      <c r="AR293" s="185"/>
      <c r="AS293" s="185"/>
      <c r="AT293" s="185"/>
      <c r="AU293" s="185"/>
      <c r="AV293" s="185"/>
      <c r="AW293" s="185"/>
      <c r="AX293" s="185"/>
      <c r="AY293" s="185"/>
      <c r="AZ293" s="185"/>
      <c r="BA293" s="185"/>
      <c r="BB293" s="185"/>
      <c r="BC293" s="185"/>
      <c r="BD293" s="185"/>
      <c r="BE293" s="185"/>
    </row>
    <row r="294">
      <c r="A294" s="152"/>
      <c r="B294" s="152"/>
      <c r="C294" s="152"/>
      <c r="D294" s="152" t="s">
        <v>2963</v>
      </c>
      <c r="E294" s="152" t="s">
        <v>2964</v>
      </c>
      <c r="F294" s="152" t="s">
        <v>332</v>
      </c>
      <c r="G294" s="152" t="s">
        <v>2965</v>
      </c>
      <c r="H294" s="152" t="s">
        <v>2965</v>
      </c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 t="s">
        <v>2966</v>
      </c>
      <c r="Z294" s="157" t="s">
        <v>2966</v>
      </c>
      <c r="AA294" s="152"/>
      <c r="AB294" s="152"/>
      <c r="AC294" s="152"/>
      <c r="AD294" s="152"/>
      <c r="AE294" s="185"/>
      <c r="AF294" s="185"/>
      <c r="AG294" s="185"/>
      <c r="AH294" s="185"/>
      <c r="AI294" s="185"/>
      <c r="AJ294" s="185"/>
      <c r="AK294" s="185"/>
      <c r="AL294" s="185"/>
      <c r="AM294" s="185"/>
      <c r="AN294" s="185"/>
      <c r="AO294" s="185"/>
      <c r="AP294" s="185"/>
      <c r="AQ294" s="185"/>
      <c r="AR294" s="185"/>
      <c r="AS294" s="185"/>
      <c r="AT294" s="185"/>
      <c r="AU294" s="185"/>
      <c r="AV294" s="185"/>
      <c r="AW294" s="185"/>
      <c r="AX294" s="185"/>
      <c r="AY294" s="185"/>
      <c r="AZ294" s="185"/>
      <c r="BA294" s="185"/>
      <c r="BB294" s="185"/>
      <c r="BC294" s="185"/>
      <c r="BD294" s="185"/>
      <c r="BE294" s="185"/>
    </row>
    <row r="295">
      <c r="A295" s="152"/>
      <c r="B295" s="152"/>
      <c r="C295" s="152"/>
      <c r="D295" s="152" t="s">
        <v>2967</v>
      </c>
      <c r="E295" s="152" t="s">
        <v>2968</v>
      </c>
      <c r="F295" s="152" t="s">
        <v>1541</v>
      </c>
      <c r="G295" s="152" t="s">
        <v>1923</v>
      </c>
      <c r="H295" s="152" t="s">
        <v>2969</v>
      </c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 t="s">
        <v>2970</v>
      </c>
      <c r="Z295" s="157" t="s">
        <v>2970</v>
      </c>
      <c r="AA295" s="152"/>
      <c r="AB295" s="152"/>
      <c r="AC295" s="152"/>
      <c r="AD295" s="152"/>
      <c r="AE295" s="185"/>
      <c r="AF295" s="185"/>
      <c r="AG295" s="185"/>
      <c r="AH295" s="185"/>
      <c r="AI295" s="185"/>
      <c r="AJ295" s="185"/>
      <c r="AK295" s="185"/>
      <c r="AL295" s="185"/>
      <c r="AM295" s="185"/>
      <c r="AN295" s="185"/>
      <c r="AO295" s="185"/>
      <c r="AP295" s="185"/>
      <c r="AQ295" s="185"/>
      <c r="AR295" s="185"/>
      <c r="AS295" s="185"/>
      <c r="AT295" s="185"/>
      <c r="AU295" s="185"/>
      <c r="AV295" s="185"/>
      <c r="AW295" s="185"/>
      <c r="AX295" s="185"/>
      <c r="AY295" s="185"/>
      <c r="AZ295" s="185"/>
      <c r="BA295" s="185"/>
      <c r="BB295" s="185"/>
      <c r="BC295" s="185"/>
      <c r="BD295" s="185"/>
      <c r="BE295" s="185"/>
    </row>
    <row r="296">
      <c r="A296" s="152"/>
      <c r="B296" s="152"/>
      <c r="C296" s="152"/>
      <c r="D296" s="152" t="s">
        <v>2971</v>
      </c>
      <c r="E296" s="152" t="s">
        <v>2972</v>
      </c>
      <c r="F296" s="152" t="s">
        <v>332</v>
      </c>
      <c r="G296" s="163" t="s">
        <v>2973</v>
      </c>
      <c r="H296" s="152" t="s">
        <v>2974</v>
      </c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 t="s">
        <v>2975</v>
      </c>
      <c r="Z296" s="157" t="s">
        <v>2975</v>
      </c>
      <c r="AA296" s="152"/>
      <c r="AB296" s="152"/>
      <c r="AC296" s="152"/>
      <c r="AD296" s="152"/>
      <c r="AE296" s="185"/>
      <c r="AF296" s="185"/>
      <c r="AG296" s="185"/>
      <c r="AH296" s="185"/>
      <c r="AI296" s="185"/>
      <c r="AJ296" s="185"/>
      <c r="AK296" s="185"/>
      <c r="AL296" s="185"/>
      <c r="AM296" s="185"/>
      <c r="AN296" s="185"/>
      <c r="AO296" s="185"/>
      <c r="AP296" s="185"/>
      <c r="AQ296" s="185"/>
      <c r="AR296" s="185"/>
      <c r="AS296" s="185"/>
      <c r="AT296" s="185"/>
      <c r="AU296" s="185"/>
      <c r="AV296" s="185"/>
      <c r="AW296" s="185"/>
      <c r="AX296" s="185"/>
      <c r="AY296" s="185"/>
      <c r="AZ296" s="185"/>
      <c r="BA296" s="185"/>
      <c r="BB296" s="185"/>
      <c r="BC296" s="185"/>
      <c r="BD296" s="185"/>
      <c r="BE296" s="185"/>
    </row>
    <row r="297">
      <c r="A297" s="152"/>
      <c r="B297" s="152"/>
      <c r="C297" s="152"/>
      <c r="D297" s="152" t="s">
        <v>2976</v>
      </c>
      <c r="E297" s="152" t="s">
        <v>2977</v>
      </c>
      <c r="F297" s="152"/>
      <c r="G297" s="152" t="s">
        <v>2978</v>
      </c>
      <c r="H297" s="152" t="s">
        <v>2979</v>
      </c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 t="s">
        <v>2980</v>
      </c>
      <c r="Z297" s="157" t="s">
        <v>2980</v>
      </c>
      <c r="AA297" s="152"/>
      <c r="AB297" s="152"/>
      <c r="AC297" s="152"/>
      <c r="AD297" s="152"/>
      <c r="AE297" s="185"/>
      <c r="AF297" s="185"/>
      <c r="AG297" s="185"/>
      <c r="AH297" s="185"/>
      <c r="AI297" s="185"/>
      <c r="AJ297" s="185"/>
      <c r="AK297" s="185"/>
      <c r="AL297" s="185"/>
      <c r="AM297" s="185"/>
      <c r="AN297" s="185"/>
      <c r="AO297" s="185"/>
      <c r="AP297" s="185"/>
      <c r="AQ297" s="185"/>
      <c r="AR297" s="185"/>
      <c r="AS297" s="185"/>
      <c r="AT297" s="185"/>
      <c r="AU297" s="185"/>
      <c r="AV297" s="185"/>
      <c r="AW297" s="185"/>
      <c r="AX297" s="185"/>
      <c r="AY297" s="185"/>
      <c r="AZ297" s="185"/>
      <c r="BA297" s="185"/>
      <c r="BB297" s="185"/>
      <c r="BC297" s="185"/>
      <c r="BD297" s="185"/>
      <c r="BE297" s="185"/>
    </row>
    <row r="298">
      <c r="A298" s="152"/>
      <c r="B298" s="152"/>
      <c r="C298" s="152"/>
      <c r="D298" s="152" t="s">
        <v>2981</v>
      </c>
      <c r="E298" s="152" t="s">
        <v>2982</v>
      </c>
      <c r="F298" s="152" t="s">
        <v>332</v>
      </c>
      <c r="G298" s="152" t="s">
        <v>2983</v>
      </c>
      <c r="H298" s="152" t="s">
        <v>2984</v>
      </c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 t="s">
        <v>2985</v>
      </c>
      <c r="Z298" s="157" t="s">
        <v>2985</v>
      </c>
      <c r="AA298" s="152"/>
      <c r="AB298" s="152"/>
      <c r="AC298" s="152"/>
      <c r="AD298" s="152"/>
      <c r="AE298" s="185"/>
      <c r="AF298" s="185"/>
      <c r="AG298" s="185"/>
      <c r="AH298" s="185"/>
      <c r="AI298" s="185"/>
      <c r="AJ298" s="185"/>
      <c r="AK298" s="185"/>
      <c r="AL298" s="185"/>
      <c r="AM298" s="185"/>
      <c r="AN298" s="185"/>
      <c r="AO298" s="185"/>
      <c r="AP298" s="185"/>
      <c r="AQ298" s="185"/>
      <c r="AR298" s="185"/>
      <c r="AS298" s="185"/>
      <c r="AT298" s="185"/>
      <c r="AU298" s="185"/>
      <c r="AV298" s="185"/>
      <c r="AW298" s="185"/>
      <c r="AX298" s="185"/>
      <c r="AY298" s="185"/>
      <c r="AZ298" s="185"/>
      <c r="BA298" s="185"/>
      <c r="BB298" s="185"/>
      <c r="BC298" s="185"/>
      <c r="BD298" s="185"/>
      <c r="BE298" s="185"/>
    </row>
    <row r="299">
      <c r="A299" s="152"/>
      <c r="B299" s="152"/>
      <c r="C299" s="152"/>
      <c r="D299" s="152" t="s">
        <v>2986</v>
      </c>
      <c r="E299" s="152" t="s">
        <v>2987</v>
      </c>
      <c r="F299" s="152"/>
      <c r="G299" s="152" t="s">
        <v>2988</v>
      </c>
      <c r="H299" s="152" t="s">
        <v>2989</v>
      </c>
      <c r="I299" s="152" t="s">
        <v>486</v>
      </c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 t="s">
        <v>2990</v>
      </c>
      <c r="Z299" s="157" t="s">
        <v>2990</v>
      </c>
      <c r="AA299" s="152"/>
      <c r="AB299" s="152"/>
      <c r="AC299" s="152"/>
      <c r="AD299" s="152"/>
      <c r="AE299" s="185"/>
      <c r="AF299" s="185"/>
      <c r="AG299" s="185"/>
      <c r="AH299" s="185"/>
      <c r="AI299" s="185"/>
      <c r="AJ299" s="185"/>
      <c r="AK299" s="185"/>
      <c r="AL299" s="185"/>
      <c r="AM299" s="185"/>
      <c r="AN299" s="185"/>
      <c r="AO299" s="185"/>
      <c r="AP299" s="185"/>
      <c r="AQ299" s="185"/>
      <c r="AR299" s="185"/>
      <c r="AS299" s="185"/>
      <c r="AT299" s="185"/>
      <c r="AU299" s="185"/>
      <c r="AV299" s="185"/>
      <c r="AW299" s="185"/>
      <c r="AX299" s="185"/>
      <c r="AY299" s="185"/>
      <c r="AZ299" s="185"/>
      <c r="BA299" s="185"/>
      <c r="BB299" s="185"/>
      <c r="BC299" s="185"/>
      <c r="BD299" s="185"/>
      <c r="BE299" s="185"/>
    </row>
    <row r="300">
      <c r="A300" s="152"/>
      <c r="B300" s="152"/>
      <c r="C300" s="152"/>
      <c r="D300" s="152" t="s">
        <v>2991</v>
      </c>
      <c r="E300" s="152" t="s">
        <v>2992</v>
      </c>
      <c r="F300" s="152" t="s">
        <v>939</v>
      </c>
      <c r="G300" s="152" t="s">
        <v>2993</v>
      </c>
      <c r="H300" s="152" t="s">
        <v>2994</v>
      </c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 t="s">
        <v>2995</v>
      </c>
      <c r="Z300" s="157" t="s">
        <v>2995</v>
      </c>
      <c r="AA300" s="152"/>
      <c r="AB300" s="152"/>
      <c r="AC300" s="152"/>
      <c r="AD300" s="152"/>
      <c r="AE300" s="185"/>
      <c r="AF300" s="185"/>
      <c r="AG300" s="185"/>
      <c r="AH300" s="185"/>
      <c r="AI300" s="185"/>
      <c r="AJ300" s="185"/>
      <c r="AK300" s="185"/>
      <c r="AL300" s="185"/>
      <c r="AM300" s="185"/>
      <c r="AN300" s="185"/>
      <c r="AO300" s="185"/>
      <c r="AP300" s="185"/>
      <c r="AQ300" s="185"/>
      <c r="AR300" s="185"/>
      <c r="AS300" s="185"/>
      <c r="AT300" s="185"/>
      <c r="AU300" s="185"/>
      <c r="AV300" s="185"/>
      <c r="AW300" s="185"/>
      <c r="AX300" s="185"/>
      <c r="AY300" s="185"/>
      <c r="AZ300" s="185"/>
      <c r="BA300" s="185"/>
      <c r="BB300" s="185"/>
      <c r="BC300" s="185"/>
      <c r="BD300" s="185"/>
      <c r="BE300" s="185"/>
    </row>
    <row r="301">
      <c r="A301" s="152"/>
      <c r="B301" s="152"/>
      <c r="C301" s="152"/>
      <c r="D301" s="152" t="s">
        <v>2991</v>
      </c>
      <c r="E301" s="152" t="s">
        <v>2992</v>
      </c>
      <c r="F301" s="152" t="s">
        <v>1516</v>
      </c>
      <c r="G301" s="152" t="s">
        <v>2996</v>
      </c>
      <c r="H301" s="152" t="s">
        <v>2997</v>
      </c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 t="s">
        <v>2998</v>
      </c>
      <c r="Z301" s="157" t="s">
        <v>2998</v>
      </c>
      <c r="AA301" s="152"/>
      <c r="AB301" s="152"/>
      <c r="AC301" s="152"/>
      <c r="AD301" s="152"/>
      <c r="AE301" s="185"/>
      <c r="AF301" s="185"/>
      <c r="AG301" s="185"/>
      <c r="AH301" s="185"/>
      <c r="AI301" s="185"/>
      <c r="AJ301" s="185"/>
      <c r="AK301" s="185"/>
      <c r="AL301" s="185"/>
      <c r="AM301" s="185"/>
      <c r="AN301" s="185"/>
      <c r="AO301" s="185"/>
      <c r="AP301" s="185"/>
      <c r="AQ301" s="185"/>
      <c r="AR301" s="185"/>
      <c r="AS301" s="185"/>
      <c r="AT301" s="185"/>
      <c r="AU301" s="185"/>
      <c r="AV301" s="185"/>
      <c r="AW301" s="185"/>
      <c r="AX301" s="185"/>
      <c r="AY301" s="185"/>
      <c r="AZ301" s="185"/>
      <c r="BA301" s="185"/>
      <c r="BB301" s="185"/>
      <c r="BC301" s="185"/>
      <c r="BD301" s="185"/>
      <c r="BE301" s="185"/>
    </row>
    <row r="302">
      <c r="A302" s="152"/>
      <c r="B302" s="152"/>
      <c r="C302" s="152"/>
      <c r="D302" s="152" t="s">
        <v>2999</v>
      </c>
      <c r="E302" s="152" t="s">
        <v>3000</v>
      </c>
      <c r="F302" s="152" t="s">
        <v>3001</v>
      </c>
      <c r="G302" s="163" t="s">
        <v>3002</v>
      </c>
      <c r="H302" s="152" t="s">
        <v>3003</v>
      </c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 t="s">
        <v>3004</v>
      </c>
      <c r="Z302" s="157" t="s">
        <v>3004</v>
      </c>
      <c r="AA302" s="152"/>
      <c r="AB302" s="152"/>
      <c r="AC302" s="152"/>
      <c r="AD302" s="152"/>
      <c r="AE302" s="185"/>
      <c r="AF302" s="185"/>
      <c r="AG302" s="185"/>
      <c r="AH302" s="185"/>
      <c r="AI302" s="185"/>
      <c r="AJ302" s="185"/>
      <c r="AK302" s="185"/>
      <c r="AL302" s="185"/>
      <c r="AM302" s="185"/>
      <c r="AN302" s="185"/>
      <c r="AO302" s="185"/>
      <c r="AP302" s="185"/>
      <c r="AQ302" s="185"/>
      <c r="AR302" s="185"/>
      <c r="AS302" s="185"/>
      <c r="AT302" s="185"/>
      <c r="AU302" s="185"/>
      <c r="AV302" s="185"/>
      <c r="AW302" s="185"/>
      <c r="AX302" s="185"/>
      <c r="AY302" s="185"/>
      <c r="AZ302" s="185"/>
      <c r="BA302" s="185"/>
      <c r="BB302" s="185"/>
      <c r="BC302" s="185"/>
      <c r="BD302" s="185"/>
      <c r="BE302" s="185"/>
    </row>
    <row r="303">
      <c r="A303" s="152"/>
      <c r="B303" s="152"/>
      <c r="C303" s="152"/>
      <c r="D303" s="152" t="s">
        <v>3005</v>
      </c>
      <c r="E303" s="152" t="s">
        <v>3006</v>
      </c>
      <c r="F303" s="152"/>
      <c r="G303" s="152" t="s">
        <v>3007</v>
      </c>
      <c r="H303" s="152" t="s">
        <v>3008</v>
      </c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 t="s">
        <v>3009</v>
      </c>
      <c r="Z303" s="157" t="s">
        <v>3009</v>
      </c>
      <c r="AA303" s="152"/>
      <c r="AB303" s="152"/>
      <c r="AC303" s="152"/>
      <c r="AD303" s="152"/>
      <c r="AE303" s="185"/>
      <c r="AF303" s="185"/>
      <c r="AG303" s="185"/>
      <c r="AH303" s="185"/>
      <c r="AI303" s="185"/>
      <c r="AJ303" s="185"/>
      <c r="AK303" s="185"/>
      <c r="AL303" s="185"/>
      <c r="AM303" s="185"/>
      <c r="AN303" s="185"/>
      <c r="AO303" s="185"/>
      <c r="AP303" s="185"/>
      <c r="AQ303" s="185"/>
      <c r="AR303" s="185"/>
      <c r="AS303" s="185"/>
      <c r="AT303" s="185"/>
      <c r="AU303" s="185"/>
      <c r="AV303" s="185"/>
      <c r="AW303" s="185"/>
      <c r="AX303" s="185"/>
      <c r="AY303" s="185"/>
      <c r="AZ303" s="185"/>
      <c r="BA303" s="185"/>
      <c r="BB303" s="185"/>
      <c r="BC303" s="185"/>
      <c r="BD303" s="185"/>
      <c r="BE303" s="185"/>
    </row>
    <row r="304">
      <c r="A304" s="152"/>
      <c r="B304" s="152"/>
      <c r="C304" s="152"/>
      <c r="D304" s="152" t="s">
        <v>3010</v>
      </c>
      <c r="E304" s="152" t="s">
        <v>3011</v>
      </c>
      <c r="F304" s="152" t="s">
        <v>332</v>
      </c>
      <c r="G304" s="152" t="s">
        <v>3012</v>
      </c>
      <c r="H304" s="152" t="s">
        <v>3013</v>
      </c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 t="s">
        <v>3014</v>
      </c>
      <c r="Z304" s="157" t="s">
        <v>3014</v>
      </c>
      <c r="AA304" s="152"/>
      <c r="AB304" s="152"/>
      <c r="AC304" s="152"/>
      <c r="AD304" s="152"/>
      <c r="AE304" s="185"/>
      <c r="AF304" s="185"/>
      <c r="AG304" s="185"/>
      <c r="AH304" s="185"/>
      <c r="AI304" s="185"/>
      <c r="AJ304" s="185"/>
      <c r="AK304" s="185"/>
      <c r="AL304" s="185"/>
      <c r="AM304" s="185"/>
      <c r="AN304" s="185"/>
      <c r="AO304" s="185"/>
      <c r="AP304" s="185"/>
      <c r="AQ304" s="185"/>
      <c r="AR304" s="185"/>
      <c r="AS304" s="185"/>
      <c r="AT304" s="185"/>
      <c r="AU304" s="185"/>
      <c r="AV304" s="185"/>
      <c r="AW304" s="185"/>
      <c r="AX304" s="185"/>
      <c r="AY304" s="185"/>
      <c r="AZ304" s="185"/>
      <c r="BA304" s="185"/>
      <c r="BB304" s="185"/>
      <c r="BC304" s="185"/>
      <c r="BD304" s="185"/>
      <c r="BE304" s="185"/>
    </row>
    <row r="305">
      <c r="A305" s="152"/>
      <c r="B305" s="152"/>
      <c r="C305" s="152"/>
      <c r="D305" s="152" t="s">
        <v>3015</v>
      </c>
      <c r="E305" s="152" t="s">
        <v>3016</v>
      </c>
      <c r="F305" s="152" t="s">
        <v>332</v>
      </c>
      <c r="G305" s="152" t="s">
        <v>3017</v>
      </c>
      <c r="H305" s="152" t="s">
        <v>3018</v>
      </c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 t="s">
        <v>3019</v>
      </c>
      <c r="Z305" s="157" t="s">
        <v>3019</v>
      </c>
      <c r="AA305" s="152"/>
      <c r="AB305" s="152"/>
      <c r="AC305" s="152"/>
      <c r="AD305" s="152"/>
      <c r="AE305" s="185"/>
      <c r="AF305" s="185"/>
      <c r="AG305" s="185"/>
      <c r="AH305" s="185"/>
      <c r="AI305" s="185"/>
      <c r="AJ305" s="185"/>
      <c r="AK305" s="185"/>
      <c r="AL305" s="185"/>
      <c r="AM305" s="185"/>
      <c r="AN305" s="185"/>
      <c r="AO305" s="185"/>
      <c r="AP305" s="185"/>
      <c r="AQ305" s="185"/>
      <c r="AR305" s="185"/>
      <c r="AS305" s="185"/>
      <c r="AT305" s="185"/>
      <c r="AU305" s="185"/>
      <c r="AV305" s="185"/>
      <c r="AW305" s="185"/>
      <c r="AX305" s="185"/>
      <c r="AY305" s="185"/>
      <c r="AZ305" s="185"/>
      <c r="BA305" s="185"/>
      <c r="BB305" s="185"/>
      <c r="BC305" s="185"/>
      <c r="BD305" s="185"/>
      <c r="BE305" s="185"/>
    </row>
    <row r="306">
      <c r="A306" s="152"/>
      <c r="B306" s="152"/>
      <c r="C306" s="152"/>
      <c r="D306" s="152" t="s">
        <v>3020</v>
      </c>
      <c r="E306" s="152" t="s">
        <v>3021</v>
      </c>
      <c r="F306" s="152" t="s">
        <v>939</v>
      </c>
      <c r="G306" s="163" t="s">
        <v>3022</v>
      </c>
      <c r="H306" s="152" t="s">
        <v>3023</v>
      </c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 t="s">
        <v>3024</v>
      </c>
      <c r="Z306" s="157" t="s">
        <v>3024</v>
      </c>
      <c r="AA306" s="152"/>
      <c r="AB306" s="152"/>
      <c r="AC306" s="152"/>
      <c r="AD306" s="152"/>
      <c r="AE306" s="185"/>
      <c r="AF306" s="185"/>
      <c r="AG306" s="185"/>
      <c r="AH306" s="185"/>
      <c r="AI306" s="185"/>
      <c r="AJ306" s="185"/>
      <c r="AK306" s="185"/>
      <c r="AL306" s="185"/>
      <c r="AM306" s="185"/>
      <c r="AN306" s="185"/>
      <c r="AO306" s="185"/>
      <c r="AP306" s="185"/>
      <c r="AQ306" s="185"/>
      <c r="AR306" s="185"/>
      <c r="AS306" s="185"/>
      <c r="AT306" s="185"/>
      <c r="AU306" s="185"/>
      <c r="AV306" s="185"/>
      <c r="AW306" s="185"/>
      <c r="AX306" s="185"/>
      <c r="AY306" s="185"/>
      <c r="AZ306" s="185"/>
      <c r="BA306" s="185"/>
      <c r="BB306" s="185"/>
      <c r="BC306" s="185"/>
      <c r="BD306" s="185"/>
      <c r="BE306" s="185"/>
    </row>
    <row r="307">
      <c r="A307" s="152"/>
      <c r="B307" s="152"/>
      <c r="C307" s="152"/>
      <c r="D307" s="152" t="s">
        <v>3025</v>
      </c>
      <c r="E307" s="152" t="s">
        <v>3026</v>
      </c>
      <c r="F307" s="152" t="s">
        <v>939</v>
      </c>
      <c r="G307" s="152" t="s">
        <v>3027</v>
      </c>
      <c r="H307" s="152" t="s">
        <v>3028</v>
      </c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 t="s">
        <v>3029</v>
      </c>
      <c r="Z307" s="157" t="s">
        <v>3029</v>
      </c>
      <c r="AA307" s="152"/>
      <c r="AB307" s="152"/>
      <c r="AC307" s="152"/>
      <c r="AD307" s="152"/>
      <c r="AE307" s="185"/>
      <c r="AF307" s="185"/>
      <c r="AG307" s="185"/>
      <c r="AH307" s="185"/>
      <c r="AI307" s="185"/>
      <c r="AJ307" s="185"/>
      <c r="AK307" s="185"/>
      <c r="AL307" s="185"/>
      <c r="AM307" s="185"/>
      <c r="AN307" s="185"/>
      <c r="AO307" s="185"/>
      <c r="AP307" s="185"/>
      <c r="AQ307" s="185"/>
      <c r="AR307" s="185"/>
      <c r="AS307" s="185"/>
      <c r="AT307" s="185"/>
      <c r="AU307" s="185"/>
      <c r="AV307" s="185"/>
      <c r="AW307" s="185"/>
      <c r="AX307" s="185"/>
      <c r="AY307" s="185"/>
      <c r="AZ307" s="185"/>
      <c r="BA307" s="185"/>
      <c r="BB307" s="185"/>
      <c r="BC307" s="185"/>
      <c r="BD307" s="185"/>
      <c r="BE307" s="185"/>
    </row>
    <row r="308">
      <c r="A308" s="152"/>
      <c r="B308" s="152"/>
      <c r="C308" s="152"/>
      <c r="D308" s="152" t="s">
        <v>3030</v>
      </c>
      <c r="E308" s="152" t="s">
        <v>3031</v>
      </c>
      <c r="F308" s="152" t="s">
        <v>332</v>
      </c>
      <c r="G308" s="152" t="s">
        <v>3032</v>
      </c>
      <c r="H308" s="152" t="s">
        <v>3033</v>
      </c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 t="s">
        <v>3034</v>
      </c>
      <c r="Z308" s="157" t="s">
        <v>3034</v>
      </c>
      <c r="AA308" s="152"/>
      <c r="AB308" s="152"/>
      <c r="AC308" s="152"/>
      <c r="AD308" s="152"/>
      <c r="AE308" s="185"/>
      <c r="AF308" s="185"/>
      <c r="AG308" s="185"/>
      <c r="AH308" s="185"/>
      <c r="AI308" s="185"/>
      <c r="AJ308" s="185"/>
      <c r="AK308" s="185"/>
      <c r="AL308" s="185"/>
      <c r="AM308" s="185"/>
      <c r="AN308" s="185"/>
      <c r="AO308" s="185"/>
      <c r="AP308" s="185"/>
      <c r="AQ308" s="185"/>
      <c r="AR308" s="185"/>
      <c r="AS308" s="185"/>
      <c r="AT308" s="185"/>
      <c r="AU308" s="185"/>
      <c r="AV308" s="185"/>
      <c r="AW308" s="185"/>
      <c r="AX308" s="185"/>
      <c r="AY308" s="185"/>
      <c r="AZ308" s="185"/>
      <c r="BA308" s="185"/>
      <c r="BB308" s="185"/>
      <c r="BC308" s="185"/>
      <c r="BD308" s="185"/>
      <c r="BE308" s="185"/>
    </row>
    <row r="309">
      <c r="A309" s="152"/>
      <c r="B309" s="152"/>
      <c r="C309" s="152"/>
      <c r="D309" s="152" t="s">
        <v>3035</v>
      </c>
      <c r="E309" s="152" t="s">
        <v>3031</v>
      </c>
      <c r="F309" s="152" t="s">
        <v>332</v>
      </c>
      <c r="G309" s="152" t="s">
        <v>3036</v>
      </c>
      <c r="H309" s="152" t="s">
        <v>3036</v>
      </c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 t="s">
        <v>3037</v>
      </c>
      <c r="Z309" s="157" t="s">
        <v>3037</v>
      </c>
      <c r="AA309" s="152"/>
      <c r="AB309" s="152"/>
      <c r="AC309" s="152"/>
      <c r="AD309" s="152"/>
      <c r="AE309" s="185"/>
      <c r="AF309" s="185"/>
      <c r="AG309" s="185"/>
      <c r="AH309" s="185"/>
      <c r="AI309" s="185"/>
      <c r="AJ309" s="185"/>
      <c r="AK309" s="185"/>
      <c r="AL309" s="185"/>
      <c r="AM309" s="185"/>
      <c r="AN309" s="185"/>
      <c r="AO309" s="185"/>
      <c r="AP309" s="185"/>
      <c r="AQ309" s="185"/>
      <c r="AR309" s="185"/>
      <c r="AS309" s="185"/>
      <c r="AT309" s="185"/>
      <c r="AU309" s="185"/>
      <c r="AV309" s="185"/>
      <c r="AW309" s="185"/>
      <c r="AX309" s="185"/>
      <c r="AY309" s="185"/>
      <c r="AZ309" s="185"/>
      <c r="BA309" s="185"/>
      <c r="BB309" s="185"/>
      <c r="BC309" s="185"/>
      <c r="BD309" s="185"/>
      <c r="BE309" s="185"/>
    </row>
    <row r="310">
      <c r="A310" s="152"/>
      <c r="B310" s="152"/>
      <c r="C310" s="152"/>
      <c r="D310" s="163" t="s">
        <v>3038</v>
      </c>
      <c r="E310" s="152" t="s">
        <v>3039</v>
      </c>
      <c r="F310" s="152" t="s">
        <v>2002</v>
      </c>
      <c r="G310" s="163" t="s">
        <v>3040</v>
      </c>
      <c r="H310" s="152" t="s">
        <v>3041</v>
      </c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 t="s">
        <v>3042</v>
      </c>
      <c r="Z310" s="157" t="s">
        <v>3042</v>
      </c>
      <c r="AA310" s="152"/>
      <c r="AB310" s="152"/>
      <c r="AC310" s="152"/>
      <c r="AD310" s="152"/>
      <c r="AE310" s="185"/>
      <c r="AF310" s="185"/>
      <c r="AG310" s="185"/>
      <c r="AH310" s="185"/>
      <c r="AI310" s="185"/>
      <c r="AJ310" s="185"/>
      <c r="AK310" s="185"/>
      <c r="AL310" s="185"/>
      <c r="AM310" s="185"/>
      <c r="AN310" s="185"/>
      <c r="AO310" s="185"/>
      <c r="AP310" s="185"/>
      <c r="AQ310" s="185"/>
      <c r="AR310" s="185"/>
      <c r="AS310" s="185"/>
      <c r="AT310" s="185"/>
      <c r="AU310" s="185"/>
      <c r="AV310" s="185"/>
      <c r="AW310" s="185"/>
      <c r="AX310" s="185"/>
      <c r="AY310" s="185"/>
      <c r="AZ310" s="185"/>
      <c r="BA310" s="185"/>
      <c r="BB310" s="185"/>
      <c r="BC310" s="185"/>
      <c r="BD310" s="185"/>
      <c r="BE310" s="185"/>
    </row>
    <row r="311">
      <c r="A311" s="152"/>
      <c r="B311" s="152"/>
      <c r="C311" s="152"/>
      <c r="D311" s="152" t="s">
        <v>3043</v>
      </c>
      <c r="E311" s="152" t="s">
        <v>3044</v>
      </c>
      <c r="F311" s="152" t="s">
        <v>1541</v>
      </c>
      <c r="G311" s="152" t="s">
        <v>3045</v>
      </c>
      <c r="H311" s="152" t="s">
        <v>3046</v>
      </c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 t="s">
        <v>3047</v>
      </c>
      <c r="Z311" s="157" t="s">
        <v>3047</v>
      </c>
      <c r="AA311" s="152"/>
      <c r="AB311" s="152"/>
      <c r="AC311" s="152"/>
      <c r="AD311" s="152"/>
      <c r="AE311" s="185"/>
      <c r="AF311" s="185"/>
      <c r="AG311" s="185"/>
      <c r="AH311" s="185"/>
      <c r="AI311" s="185"/>
      <c r="AJ311" s="185"/>
      <c r="AK311" s="185"/>
      <c r="AL311" s="185"/>
      <c r="AM311" s="185"/>
      <c r="AN311" s="185"/>
      <c r="AO311" s="185"/>
      <c r="AP311" s="185"/>
      <c r="AQ311" s="185"/>
      <c r="AR311" s="185"/>
      <c r="AS311" s="185"/>
      <c r="AT311" s="185"/>
      <c r="AU311" s="185"/>
      <c r="AV311" s="185"/>
      <c r="AW311" s="185"/>
      <c r="AX311" s="185"/>
      <c r="AY311" s="185"/>
      <c r="AZ311" s="185"/>
      <c r="BA311" s="185"/>
      <c r="BB311" s="185"/>
      <c r="BC311" s="185"/>
      <c r="BD311" s="185"/>
      <c r="BE311" s="185"/>
    </row>
    <row r="312">
      <c r="A312" s="152"/>
      <c r="B312" s="152"/>
      <c r="C312" s="152"/>
      <c r="D312" s="152" t="s">
        <v>3048</v>
      </c>
      <c r="E312" s="152" t="s">
        <v>3049</v>
      </c>
      <c r="F312" s="152" t="s">
        <v>939</v>
      </c>
      <c r="G312" s="163" t="s">
        <v>3050</v>
      </c>
      <c r="H312" s="152" t="s">
        <v>3051</v>
      </c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 t="s">
        <v>3052</v>
      </c>
      <c r="Z312" s="157" t="s">
        <v>3052</v>
      </c>
      <c r="AA312" s="152"/>
      <c r="AB312" s="152"/>
      <c r="AC312" s="152"/>
      <c r="AD312" s="152"/>
      <c r="AE312" s="185"/>
      <c r="AF312" s="185"/>
      <c r="AG312" s="185"/>
      <c r="AH312" s="185"/>
      <c r="AI312" s="185"/>
      <c r="AJ312" s="185"/>
      <c r="AK312" s="185"/>
      <c r="AL312" s="185"/>
      <c r="AM312" s="185"/>
      <c r="AN312" s="185"/>
      <c r="AO312" s="185"/>
      <c r="AP312" s="185"/>
      <c r="AQ312" s="185"/>
      <c r="AR312" s="185"/>
      <c r="AS312" s="185"/>
      <c r="AT312" s="185"/>
      <c r="AU312" s="185"/>
      <c r="AV312" s="185"/>
      <c r="AW312" s="185"/>
      <c r="AX312" s="185"/>
      <c r="AY312" s="185"/>
      <c r="AZ312" s="185"/>
      <c r="BA312" s="185"/>
      <c r="BB312" s="185"/>
      <c r="BC312" s="185"/>
      <c r="BD312" s="185"/>
      <c r="BE312" s="185"/>
    </row>
    <row r="313">
      <c r="A313" s="152"/>
      <c r="B313" s="152"/>
      <c r="C313" s="152"/>
      <c r="D313" s="152" t="s">
        <v>3053</v>
      </c>
      <c r="E313" s="152" t="s">
        <v>3054</v>
      </c>
      <c r="F313" s="152" t="s">
        <v>332</v>
      </c>
      <c r="G313" s="152" t="s">
        <v>3055</v>
      </c>
      <c r="H313" s="152" t="s">
        <v>3056</v>
      </c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 t="s">
        <v>3057</v>
      </c>
      <c r="Z313" s="157" t="s">
        <v>3057</v>
      </c>
      <c r="AA313" s="152"/>
      <c r="AB313" s="152"/>
      <c r="AC313" s="152"/>
      <c r="AD313" s="152"/>
      <c r="AE313" s="185"/>
      <c r="AF313" s="185"/>
      <c r="AG313" s="185"/>
      <c r="AH313" s="185"/>
      <c r="AI313" s="185"/>
      <c r="AJ313" s="185"/>
      <c r="AK313" s="185"/>
      <c r="AL313" s="185"/>
      <c r="AM313" s="185"/>
      <c r="AN313" s="185"/>
      <c r="AO313" s="185"/>
      <c r="AP313" s="185"/>
      <c r="AQ313" s="185"/>
      <c r="AR313" s="185"/>
      <c r="AS313" s="185"/>
      <c r="AT313" s="185"/>
      <c r="AU313" s="185"/>
      <c r="AV313" s="185"/>
      <c r="AW313" s="185"/>
      <c r="AX313" s="185"/>
      <c r="AY313" s="185"/>
      <c r="AZ313" s="185"/>
      <c r="BA313" s="185"/>
      <c r="BB313" s="185"/>
      <c r="BC313" s="185"/>
      <c r="BD313" s="185"/>
      <c r="BE313" s="185"/>
    </row>
    <row r="314">
      <c r="A314" s="152"/>
      <c r="B314" s="152"/>
      <c r="C314" s="152"/>
      <c r="D314" s="152" t="s">
        <v>3053</v>
      </c>
      <c r="E314" s="152" t="s">
        <v>3054</v>
      </c>
      <c r="F314" s="152" t="s">
        <v>603</v>
      </c>
      <c r="G314" s="163" t="s">
        <v>3038</v>
      </c>
      <c r="H314" s="152" t="s">
        <v>3058</v>
      </c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 t="s">
        <v>3059</v>
      </c>
      <c r="Z314" s="157" t="s">
        <v>3059</v>
      </c>
      <c r="AA314" s="152"/>
      <c r="AB314" s="152"/>
      <c r="AC314" s="152"/>
      <c r="AD314" s="152"/>
      <c r="AE314" s="185"/>
      <c r="AF314" s="185"/>
      <c r="AG314" s="185"/>
      <c r="AH314" s="185"/>
      <c r="AI314" s="185"/>
      <c r="AJ314" s="185"/>
      <c r="AK314" s="185"/>
      <c r="AL314" s="185"/>
      <c r="AM314" s="185"/>
      <c r="AN314" s="185"/>
      <c r="AO314" s="185"/>
      <c r="AP314" s="185"/>
      <c r="AQ314" s="185"/>
      <c r="AR314" s="185"/>
      <c r="AS314" s="185"/>
      <c r="AT314" s="185"/>
      <c r="AU314" s="185"/>
      <c r="AV314" s="185"/>
      <c r="AW314" s="185"/>
      <c r="AX314" s="185"/>
      <c r="AY314" s="185"/>
      <c r="AZ314" s="185"/>
      <c r="BA314" s="185"/>
      <c r="BB314" s="185"/>
      <c r="BC314" s="185"/>
      <c r="BD314" s="185"/>
      <c r="BE314" s="185"/>
    </row>
    <row r="315">
      <c r="A315" s="152"/>
      <c r="B315" s="152"/>
      <c r="C315" s="152"/>
      <c r="D315" s="152" t="s">
        <v>3060</v>
      </c>
      <c r="E315" s="152" t="s">
        <v>3061</v>
      </c>
      <c r="F315" s="152" t="s">
        <v>332</v>
      </c>
      <c r="G315" s="152" t="s">
        <v>3062</v>
      </c>
      <c r="H315" s="152" t="s">
        <v>3063</v>
      </c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 t="s">
        <v>3064</v>
      </c>
      <c r="Z315" s="157" t="s">
        <v>3064</v>
      </c>
      <c r="AA315" s="152"/>
      <c r="AB315" s="152"/>
      <c r="AC315" s="152"/>
      <c r="AD315" s="152"/>
      <c r="AE315" s="185"/>
      <c r="AF315" s="185"/>
      <c r="AG315" s="185"/>
      <c r="AH315" s="185"/>
      <c r="AI315" s="185"/>
      <c r="AJ315" s="185"/>
      <c r="AK315" s="185"/>
      <c r="AL315" s="185"/>
      <c r="AM315" s="185"/>
      <c r="AN315" s="185"/>
      <c r="AO315" s="185"/>
      <c r="AP315" s="185"/>
      <c r="AQ315" s="185"/>
      <c r="AR315" s="185"/>
      <c r="AS315" s="185"/>
      <c r="AT315" s="185"/>
      <c r="AU315" s="185"/>
      <c r="AV315" s="185"/>
      <c r="AW315" s="185"/>
      <c r="AX315" s="185"/>
      <c r="AY315" s="185"/>
      <c r="AZ315" s="185"/>
      <c r="BA315" s="185"/>
      <c r="BB315" s="185"/>
      <c r="BC315" s="185"/>
      <c r="BD315" s="185"/>
      <c r="BE315" s="185"/>
    </row>
    <row r="316">
      <c r="A316" s="152"/>
      <c r="B316" s="152"/>
      <c r="C316" s="152"/>
      <c r="D316" s="152" t="s">
        <v>3065</v>
      </c>
      <c r="E316" s="152" t="s">
        <v>3066</v>
      </c>
      <c r="F316" s="152"/>
      <c r="G316" s="152" t="s">
        <v>3067</v>
      </c>
      <c r="H316" s="152" t="s">
        <v>3067</v>
      </c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 t="s">
        <v>3068</v>
      </c>
      <c r="Z316" s="157" t="s">
        <v>3068</v>
      </c>
      <c r="AA316" s="152"/>
      <c r="AB316" s="152"/>
      <c r="AC316" s="152"/>
      <c r="AD316" s="152"/>
      <c r="AE316" s="185"/>
      <c r="AF316" s="185"/>
      <c r="AG316" s="185"/>
      <c r="AH316" s="185"/>
      <c r="AI316" s="185"/>
      <c r="AJ316" s="185"/>
      <c r="AK316" s="185"/>
      <c r="AL316" s="185"/>
      <c r="AM316" s="185"/>
      <c r="AN316" s="185"/>
      <c r="AO316" s="185"/>
      <c r="AP316" s="185"/>
      <c r="AQ316" s="185"/>
      <c r="AR316" s="185"/>
      <c r="AS316" s="185"/>
      <c r="AT316" s="185"/>
      <c r="AU316" s="185"/>
      <c r="AV316" s="185"/>
      <c r="AW316" s="185"/>
      <c r="AX316" s="185"/>
      <c r="AY316" s="185"/>
      <c r="AZ316" s="185"/>
      <c r="BA316" s="185"/>
      <c r="BB316" s="185"/>
      <c r="BC316" s="185"/>
      <c r="BD316" s="185"/>
      <c r="BE316" s="185"/>
    </row>
    <row r="317">
      <c r="A317" s="152"/>
      <c r="B317" s="152"/>
      <c r="C317" s="152"/>
      <c r="D317" s="152" t="s">
        <v>3069</v>
      </c>
      <c r="E317" s="152" t="s">
        <v>3070</v>
      </c>
      <c r="F317" s="152" t="s">
        <v>1709</v>
      </c>
      <c r="G317" s="152" t="s">
        <v>3071</v>
      </c>
      <c r="H317" s="152" t="s">
        <v>3072</v>
      </c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 t="s">
        <v>3073</v>
      </c>
      <c r="Z317" s="157" t="s">
        <v>3073</v>
      </c>
      <c r="AA317" s="152"/>
      <c r="AB317" s="152"/>
      <c r="AC317" s="152"/>
      <c r="AD317" s="152"/>
      <c r="AE317" s="185"/>
      <c r="AF317" s="185"/>
      <c r="AG317" s="185"/>
      <c r="AH317" s="185"/>
      <c r="AI317" s="185"/>
      <c r="AJ317" s="185"/>
      <c r="AK317" s="185"/>
      <c r="AL317" s="185"/>
      <c r="AM317" s="185"/>
      <c r="AN317" s="185"/>
      <c r="AO317" s="185"/>
      <c r="AP317" s="185"/>
      <c r="AQ317" s="185"/>
      <c r="AR317" s="185"/>
      <c r="AS317" s="185"/>
      <c r="AT317" s="185"/>
      <c r="AU317" s="185"/>
      <c r="AV317" s="185"/>
      <c r="AW317" s="185"/>
      <c r="AX317" s="185"/>
      <c r="AY317" s="185"/>
      <c r="AZ317" s="185"/>
      <c r="BA317" s="185"/>
      <c r="BB317" s="185"/>
      <c r="BC317" s="185"/>
      <c r="BD317" s="185"/>
      <c r="BE317" s="185"/>
    </row>
    <row r="318">
      <c r="A318" s="152"/>
      <c r="B318" s="152"/>
      <c r="C318" s="152"/>
      <c r="D318" s="152" t="s">
        <v>3074</v>
      </c>
      <c r="E318" s="152" t="s">
        <v>3075</v>
      </c>
      <c r="F318" s="152" t="s">
        <v>1004</v>
      </c>
      <c r="G318" s="152" t="s">
        <v>3076</v>
      </c>
      <c r="H318" s="152" t="s">
        <v>3077</v>
      </c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 t="s">
        <v>3078</v>
      </c>
      <c r="Z318" s="157" t="s">
        <v>3078</v>
      </c>
      <c r="AA318" s="152"/>
      <c r="AB318" s="152"/>
      <c r="AC318" s="152"/>
      <c r="AD318" s="152"/>
      <c r="AE318" s="185"/>
      <c r="AF318" s="185"/>
      <c r="AG318" s="185"/>
      <c r="AH318" s="185"/>
      <c r="AI318" s="185"/>
      <c r="AJ318" s="185"/>
      <c r="AK318" s="185"/>
      <c r="AL318" s="185"/>
      <c r="AM318" s="185"/>
      <c r="AN318" s="185"/>
      <c r="AO318" s="185"/>
      <c r="AP318" s="185"/>
      <c r="AQ318" s="185"/>
      <c r="AR318" s="185"/>
      <c r="AS318" s="185"/>
      <c r="AT318" s="185"/>
      <c r="AU318" s="185"/>
      <c r="AV318" s="185"/>
      <c r="AW318" s="185"/>
      <c r="AX318" s="185"/>
      <c r="AY318" s="185"/>
      <c r="AZ318" s="185"/>
      <c r="BA318" s="185"/>
      <c r="BB318" s="185"/>
      <c r="BC318" s="185"/>
      <c r="BD318" s="185"/>
      <c r="BE318" s="185"/>
    </row>
    <row r="319">
      <c r="A319" s="152"/>
      <c r="B319" s="152"/>
      <c r="C319" s="152"/>
      <c r="D319" s="152" t="s">
        <v>3079</v>
      </c>
      <c r="E319" s="152" t="s">
        <v>3080</v>
      </c>
      <c r="F319" s="152" t="s">
        <v>806</v>
      </c>
      <c r="G319" s="163" t="s">
        <v>3081</v>
      </c>
      <c r="H319" s="152" t="s">
        <v>3082</v>
      </c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 t="s">
        <v>3083</v>
      </c>
      <c r="Z319" s="157" t="s">
        <v>3083</v>
      </c>
      <c r="AA319" s="152"/>
      <c r="AB319" s="152"/>
      <c r="AC319" s="152"/>
      <c r="AD319" s="152"/>
      <c r="AE319" s="185"/>
      <c r="AF319" s="185"/>
      <c r="AG319" s="185"/>
      <c r="AH319" s="185"/>
      <c r="AI319" s="185"/>
      <c r="AJ319" s="185"/>
      <c r="AK319" s="185"/>
      <c r="AL319" s="185"/>
      <c r="AM319" s="185"/>
      <c r="AN319" s="185"/>
      <c r="AO319" s="185"/>
      <c r="AP319" s="185"/>
      <c r="AQ319" s="185"/>
      <c r="AR319" s="185"/>
      <c r="AS319" s="185"/>
      <c r="AT319" s="185"/>
      <c r="AU319" s="185"/>
      <c r="AV319" s="185"/>
      <c r="AW319" s="185"/>
      <c r="AX319" s="185"/>
      <c r="AY319" s="185"/>
      <c r="AZ319" s="185"/>
      <c r="BA319" s="185"/>
      <c r="BB319" s="185"/>
      <c r="BC319" s="185"/>
      <c r="BD319" s="185"/>
      <c r="BE319" s="185"/>
    </row>
    <row r="320">
      <c r="A320" s="152"/>
      <c r="B320" s="152"/>
      <c r="C320" s="152"/>
      <c r="D320" s="152" t="s">
        <v>3084</v>
      </c>
      <c r="E320" s="152" t="s">
        <v>3085</v>
      </c>
      <c r="F320" s="152" t="s">
        <v>1541</v>
      </c>
      <c r="G320" s="152" t="s">
        <v>3086</v>
      </c>
      <c r="H320" s="152" t="s">
        <v>3087</v>
      </c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 t="s">
        <v>3088</v>
      </c>
      <c r="Z320" s="157" t="s">
        <v>3088</v>
      </c>
      <c r="AA320" s="152"/>
      <c r="AB320" s="152"/>
      <c r="AC320" s="152"/>
      <c r="AD320" s="152"/>
      <c r="AE320" s="185"/>
      <c r="AF320" s="185"/>
      <c r="AG320" s="185"/>
      <c r="AH320" s="185"/>
      <c r="AI320" s="185"/>
      <c r="AJ320" s="185"/>
      <c r="AK320" s="185"/>
      <c r="AL320" s="185"/>
      <c r="AM320" s="185"/>
      <c r="AN320" s="185"/>
      <c r="AO320" s="185"/>
      <c r="AP320" s="185"/>
      <c r="AQ320" s="185"/>
      <c r="AR320" s="185"/>
      <c r="AS320" s="185"/>
      <c r="AT320" s="185"/>
      <c r="AU320" s="185"/>
      <c r="AV320" s="185"/>
      <c r="AW320" s="185"/>
      <c r="AX320" s="185"/>
      <c r="AY320" s="185"/>
      <c r="AZ320" s="185"/>
      <c r="BA320" s="185"/>
      <c r="BB320" s="185"/>
      <c r="BC320" s="185"/>
      <c r="BD320" s="185"/>
      <c r="BE320" s="185"/>
    </row>
    <row r="321">
      <c r="A321" s="152"/>
      <c r="B321" s="152"/>
      <c r="C321" s="152"/>
      <c r="D321" s="152" t="s">
        <v>3089</v>
      </c>
      <c r="E321" s="152" t="s">
        <v>3090</v>
      </c>
      <c r="F321" s="152"/>
      <c r="G321" s="163" t="s">
        <v>3091</v>
      </c>
      <c r="H321" s="152" t="s">
        <v>3092</v>
      </c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 t="s">
        <v>3093</v>
      </c>
      <c r="Z321" s="157" t="s">
        <v>3093</v>
      </c>
      <c r="AA321" s="152"/>
      <c r="AB321" s="152"/>
      <c r="AC321" s="152"/>
      <c r="AD321" s="152"/>
      <c r="AE321" s="185"/>
      <c r="AF321" s="185"/>
      <c r="AG321" s="185"/>
      <c r="AH321" s="185"/>
      <c r="AI321" s="185"/>
      <c r="AJ321" s="185"/>
      <c r="AK321" s="185"/>
      <c r="AL321" s="185"/>
      <c r="AM321" s="185"/>
      <c r="AN321" s="185"/>
      <c r="AO321" s="185"/>
      <c r="AP321" s="185"/>
      <c r="AQ321" s="185"/>
      <c r="AR321" s="185"/>
      <c r="AS321" s="185"/>
      <c r="AT321" s="185"/>
      <c r="AU321" s="185"/>
      <c r="AV321" s="185"/>
      <c r="AW321" s="185"/>
      <c r="AX321" s="185"/>
      <c r="AY321" s="185"/>
      <c r="AZ321" s="185"/>
      <c r="BA321" s="185"/>
      <c r="BB321" s="185"/>
      <c r="BC321" s="185"/>
      <c r="BD321" s="185"/>
      <c r="BE321" s="185"/>
    </row>
    <row r="322">
      <c r="A322" s="152"/>
      <c r="B322" s="152"/>
      <c r="C322" s="152"/>
      <c r="D322" s="163" t="s">
        <v>3094</v>
      </c>
      <c r="E322" s="152" t="s">
        <v>3095</v>
      </c>
      <c r="F322" s="152" t="s">
        <v>332</v>
      </c>
      <c r="G322" s="163" t="s">
        <v>3096</v>
      </c>
      <c r="H322" s="152" t="s">
        <v>3097</v>
      </c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 t="s">
        <v>3098</v>
      </c>
      <c r="Z322" s="157" t="s">
        <v>3098</v>
      </c>
      <c r="AA322" s="152"/>
      <c r="AB322" s="152"/>
      <c r="AC322" s="152"/>
      <c r="AD322" s="152"/>
      <c r="AE322" s="185"/>
      <c r="AF322" s="185"/>
      <c r="AG322" s="185"/>
      <c r="AH322" s="185"/>
      <c r="AI322" s="185"/>
      <c r="AJ322" s="185"/>
      <c r="AK322" s="185"/>
      <c r="AL322" s="185"/>
      <c r="AM322" s="185"/>
      <c r="AN322" s="185"/>
      <c r="AO322" s="185"/>
      <c r="AP322" s="185"/>
      <c r="AQ322" s="185"/>
      <c r="AR322" s="185"/>
      <c r="AS322" s="185"/>
      <c r="AT322" s="185"/>
      <c r="AU322" s="185"/>
      <c r="AV322" s="185"/>
      <c r="AW322" s="185"/>
      <c r="AX322" s="185"/>
      <c r="AY322" s="185"/>
      <c r="AZ322" s="185"/>
      <c r="BA322" s="185"/>
      <c r="BB322" s="185"/>
      <c r="BC322" s="185"/>
      <c r="BD322" s="185"/>
      <c r="BE322" s="185"/>
    </row>
    <row r="323">
      <c r="A323" s="152"/>
      <c r="B323" s="152"/>
      <c r="C323" s="152"/>
      <c r="D323" s="152" t="s">
        <v>3099</v>
      </c>
      <c r="E323" s="152" t="s">
        <v>3100</v>
      </c>
      <c r="F323" s="152" t="s">
        <v>603</v>
      </c>
      <c r="G323" s="152" t="s">
        <v>3101</v>
      </c>
      <c r="H323" s="152" t="s">
        <v>3102</v>
      </c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 t="s">
        <v>3103</v>
      </c>
      <c r="Z323" s="157" t="s">
        <v>3103</v>
      </c>
      <c r="AA323" s="152"/>
      <c r="AB323" s="152"/>
      <c r="AC323" s="152"/>
      <c r="AD323" s="152"/>
      <c r="AE323" s="185"/>
      <c r="AF323" s="185"/>
      <c r="AG323" s="185"/>
      <c r="AH323" s="185"/>
      <c r="AI323" s="185"/>
      <c r="AJ323" s="185"/>
      <c r="AK323" s="185"/>
      <c r="AL323" s="185"/>
      <c r="AM323" s="185"/>
      <c r="AN323" s="185"/>
      <c r="AO323" s="185"/>
      <c r="AP323" s="185"/>
      <c r="AQ323" s="185"/>
      <c r="AR323" s="185"/>
      <c r="AS323" s="185"/>
      <c r="AT323" s="185"/>
      <c r="AU323" s="185"/>
      <c r="AV323" s="185"/>
      <c r="AW323" s="185"/>
      <c r="AX323" s="185"/>
      <c r="AY323" s="185"/>
      <c r="AZ323" s="185"/>
      <c r="BA323" s="185"/>
      <c r="BB323" s="185"/>
      <c r="BC323" s="185"/>
      <c r="BD323" s="185"/>
      <c r="BE323" s="185"/>
    </row>
    <row r="324">
      <c r="A324" s="152"/>
      <c r="B324" s="152"/>
      <c r="C324" s="152"/>
      <c r="D324" s="152" t="s">
        <v>3104</v>
      </c>
      <c r="E324" s="152" t="s">
        <v>3105</v>
      </c>
      <c r="F324" s="152" t="s">
        <v>332</v>
      </c>
      <c r="G324" s="163" t="s">
        <v>3106</v>
      </c>
      <c r="H324" s="152" t="s">
        <v>3107</v>
      </c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 t="s">
        <v>3108</v>
      </c>
      <c r="Z324" s="157" t="s">
        <v>3108</v>
      </c>
      <c r="AA324" s="152"/>
      <c r="AB324" s="152"/>
      <c r="AC324" s="152"/>
      <c r="AD324" s="152"/>
      <c r="AE324" s="185"/>
      <c r="AF324" s="185"/>
      <c r="AG324" s="185"/>
      <c r="AH324" s="185"/>
      <c r="AI324" s="185"/>
      <c r="AJ324" s="185"/>
      <c r="AK324" s="185"/>
      <c r="AL324" s="185"/>
      <c r="AM324" s="185"/>
      <c r="AN324" s="185"/>
      <c r="AO324" s="185"/>
      <c r="AP324" s="185"/>
      <c r="AQ324" s="185"/>
      <c r="AR324" s="185"/>
      <c r="AS324" s="185"/>
      <c r="AT324" s="185"/>
      <c r="AU324" s="185"/>
      <c r="AV324" s="185"/>
      <c r="AW324" s="185"/>
      <c r="AX324" s="185"/>
      <c r="AY324" s="185"/>
      <c r="AZ324" s="185"/>
      <c r="BA324" s="185"/>
      <c r="BB324" s="185"/>
      <c r="BC324" s="185"/>
      <c r="BD324" s="185"/>
      <c r="BE324" s="185"/>
    </row>
    <row r="325">
      <c r="A325" s="152"/>
      <c r="B325" s="152"/>
      <c r="C325" s="152"/>
      <c r="D325" s="152" t="s">
        <v>3104</v>
      </c>
      <c r="E325" s="152" t="s">
        <v>3105</v>
      </c>
      <c r="F325" s="152" t="s">
        <v>830</v>
      </c>
      <c r="G325" s="163" t="s">
        <v>3109</v>
      </c>
      <c r="H325" s="152" t="s">
        <v>3110</v>
      </c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 t="s">
        <v>3111</v>
      </c>
      <c r="Z325" s="157" t="s">
        <v>3111</v>
      </c>
      <c r="AA325" s="152"/>
      <c r="AB325" s="152"/>
      <c r="AC325" s="152"/>
      <c r="AD325" s="152"/>
      <c r="AE325" s="185"/>
      <c r="AF325" s="185"/>
      <c r="AG325" s="185"/>
      <c r="AH325" s="185"/>
      <c r="AI325" s="185"/>
      <c r="AJ325" s="185"/>
      <c r="AK325" s="185"/>
      <c r="AL325" s="185"/>
      <c r="AM325" s="185"/>
      <c r="AN325" s="185"/>
      <c r="AO325" s="185"/>
      <c r="AP325" s="185"/>
      <c r="AQ325" s="185"/>
      <c r="AR325" s="185"/>
      <c r="AS325" s="185"/>
      <c r="AT325" s="185"/>
      <c r="AU325" s="185"/>
      <c r="AV325" s="185"/>
      <c r="AW325" s="185"/>
      <c r="AX325" s="185"/>
      <c r="AY325" s="185"/>
      <c r="AZ325" s="185"/>
      <c r="BA325" s="185"/>
      <c r="BB325" s="185"/>
      <c r="BC325" s="185"/>
      <c r="BD325" s="185"/>
      <c r="BE325" s="185"/>
    </row>
    <row r="326">
      <c r="A326" s="152"/>
      <c r="B326" s="152"/>
      <c r="C326" s="152"/>
      <c r="D326" s="152" t="s">
        <v>3112</v>
      </c>
      <c r="E326" s="152" t="s">
        <v>3113</v>
      </c>
      <c r="F326" s="152"/>
      <c r="G326" s="152" t="s">
        <v>3114</v>
      </c>
      <c r="H326" s="152" t="s">
        <v>3115</v>
      </c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 t="s">
        <v>3116</v>
      </c>
      <c r="Z326" s="157" t="s">
        <v>3116</v>
      </c>
      <c r="AA326" s="152"/>
      <c r="AB326" s="152"/>
      <c r="AC326" s="152"/>
      <c r="AD326" s="152"/>
      <c r="AE326" s="185"/>
      <c r="AF326" s="185"/>
      <c r="AG326" s="185"/>
      <c r="AH326" s="185"/>
      <c r="AI326" s="185"/>
      <c r="AJ326" s="185"/>
      <c r="AK326" s="185"/>
      <c r="AL326" s="185"/>
      <c r="AM326" s="185"/>
      <c r="AN326" s="185"/>
      <c r="AO326" s="185"/>
      <c r="AP326" s="185"/>
      <c r="AQ326" s="185"/>
      <c r="AR326" s="185"/>
      <c r="AS326" s="185"/>
      <c r="AT326" s="185"/>
      <c r="AU326" s="185"/>
      <c r="AV326" s="185"/>
      <c r="AW326" s="185"/>
      <c r="AX326" s="185"/>
      <c r="AY326" s="185"/>
      <c r="AZ326" s="185"/>
      <c r="BA326" s="185"/>
      <c r="BB326" s="185"/>
      <c r="BC326" s="185"/>
      <c r="BD326" s="185"/>
      <c r="BE326" s="185"/>
    </row>
    <row r="327">
      <c r="A327" s="152"/>
      <c r="B327" s="152"/>
      <c r="C327" s="152"/>
      <c r="D327" s="152" t="s">
        <v>3117</v>
      </c>
      <c r="E327" s="152" t="s">
        <v>2799</v>
      </c>
      <c r="F327" s="152" t="s">
        <v>830</v>
      </c>
      <c r="G327" s="152" t="s">
        <v>3089</v>
      </c>
      <c r="H327" s="152" t="s">
        <v>3090</v>
      </c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 t="s">
        <v>3118</v>
      </c>
      <c r="Z327" s="157" t="s">
        <v>3118</v>
      </c>
      <c r="AA327" s="152"/>
      <c r="AB327" s="152"/>
      <c r="AC327" s="152"/>
      <c r="AD327" s="152"/>
      <c r="AE327" s="185"/>
      <c r="AF327" s="185"/>
      <c r="AG327" s="185"/>
      <c r="AH327" s="185"/>
      <c r="AI327" s="185"/>
      <c r="AJ327" s="185"/>
      <c r="AK327" s="185"/>
      <c r="AL327" s="185"/>
      <c r="AM327" s="185"/>
      <c r="AN327" s="185"/>
      <c r="AO327" s="185"/>
      <c r="AP327" s="185"/>
      <c r="AQ327" s="185"/>
      <c r="AR327" s="185"/>
      <c r="AS327" s="185"/>
      <c r="AT327" s="185"/>
      <c r="AU327" s="185"/>
      <c r="AV327" s="185"/>
      <c r="AW327" s="185"/>
      <c r="AX327" s="185"/>
      <c r="AY327" s="185"/>
      <c r="AZ327" s="185"/>
      <c r="BA327" s="185"/>
      <c r="BB327" s="185"/>
      <c r="BC327" s="185"/>
      <c r="BD327" s="185"/>
      <c r="BE327" s="185"/>
    </row>
    <row r="328">
      <c r="A328" s="152"/>
      <c r="B328" s="152"/>
      <c r="C328" s="152"/>
      <c r="D328" s="152" t="s">
        <v>3119</v>
      </c>
      <c r="E328" s="152" t="s">
        <v>3120</v>
      </c>
      <c r="F328" s="152" t="s">
        <v>1709</v>
      </c>
      <c r="G328" s="163" t="s">
        <v>3121</v>
      </c>
      <c r="H328" s="152" t="s">
        <v>3122</v>
      </c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 t="s">
        <v>3123</v>
      </c>
      <c r="Z328" s="157" t="s">
        <v>3123</v>
      </c>
      <c r="AA328" s="152"/>
      <c r="AB328" s="152"/>
      <c r="AC328" s="152"/>
      <c r="AD328" s="152"/>
      <c r="AE328" s="185"/>
      <c r="AF328" s="185"/>
      <c r="AG328" s="185"/>
      <c r="AH328" s="185"/>
      <c r="AI328" s="185"/>
      <c r="AJ328" s="185"/>
      <c r="AK328" s="185"/>
      <c r="AL328" s="185"/>
      <c r="AM328" s="185"/>
      <c r="AN328" s="185"/>
      <c r="AO328" s="185"/>
      <c r="AP328" s="185"/>
      <c r="AQ328" s="185"/>
      <c r="AR328" s="185"/>
      <c r="AS328" s="185"/>
      <c r="AT328" s="185"/>
      <c r="AU328" s="185"/>
      <c r="AV328" s="185"/>
      <c r="AW328" s="185"/>
      <c r="AX328" s="185"/>
      <c r="AY328" s="185"/>
      <c r="AZ328" s="185"/>
      <c r="BA328" s="185"/>
      <c r="BB328" s="185"/>
      <c r="BC328" s="185"/>
      <c r="BD328" s="185"/>
      <c r="BE328" s="185"/>
    </row>
    <row r="329">
      <c r="A329" s="152"/>
      <c r="B329" s="152"/>
      <c r="C329" s="152"/>
      <c r="D329" s="152" t="s">
        <v>3124</v>
      </c>
      <c r="E329" s="152" t="s">
        <v>3125</v>
      </c>
      <c r="F329" s="152" t="s">
        <v>1709</v>
      </c>
      <c r="G329" s="152" t="s">
        <v>3126</v>
      </c>
      <c r="H329" s="152" t="s">
        <v>3127</v>
      </c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 t="s">
        <v>3128</v>
      </c>
      <c r="Z329" s="157" t="s">
        <v>3128</v>
      </c>
      <c r="AA329" s="152"/>
      <c r="AB329" s="152"/>
      <c r="AC329" s="152"/>
      <c r="AD329" s="152"/>
      <c r="AE329" s="185"/>
      <c r="AF329" s="185"/>
      <c r="AG329" s="185"/>
      <c r="AH329" s="185"/>
      <c r="AI329" s="185"/>
      <c r="AJ329" s="185"/>
      <c r="AK329" s="185"/>
      <c r="AL329" s="185"/>
      <c r="AM329" s="185"/>
      <c r="AN329" s="185"/>
      <c r="AO329" s="185"/>
      <c r="AP329" s="185"/>
      <c r="AQ329" s="185"/>
      <c r="AR329" s="185"/>
      <c r="AS329" s="185"/>
      <c r="AT329" s="185"/>
      <c r="AU329" s="185"/>
      <c r="AV329" s="185"/>
      <c r="AW329" s="185"/>
      <c r="AX329" s="185"/>
      <c r="AY329" s="185"/>
      <c r="AZ329" s="185"/>
      <c r="BA329" s="185"/>
      <c r="BB329" s="185"/>
      <c r="BC329" s="185"/>
      <c r="BD329" s="185"/>
      <c r="BE329" s="185"/>
    </row>
    <row r="330">
      <c r="A330" s="152"/>
      <c r="B330" s="152"/>
      <c r="C330" s="152"/>
      <c r="D330" s="163" t="s">
        <v>3129</v>
      </c>
      <c r="E330" s="152" t="s">
        <v>3130</v>
      </c>
      <c r="F330" s="152" t="s">
        <v>394</v>
      </c>
      <c r="G330" s="152" t="s">
        <v>3131</v>
      </c>
      <c r="H330" s="152" t="s">
        <v>3132</v>
      </c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 t="s">
        <v>3133</v>
      </c>
      <c r="Z330" s="157" t="s">
        <v>3133</v>
      </c>
      <c r="AA330" s="152"/>
      <c r="AB330" s="152"/>
      <c r="AC330" s="152"/>
      <c r="AD330" s="152"/>
      <c r="AE330" s="185"/>
      <c r="AF330" s="185"/>
      <c r="AG330" s="185"/>
      <c r="AH330" s="185"/>
      <c r="AI330" s="185"/>
      <c r="AJ330" s="185"/>
      <c r="AK330" s="185"/>
      <c r="AL330" s="185"/>
      <c r="AM330" s="185"/>
      <c r="AN330" s="185"/>
      <c r="AO330" s="185"/>
      <c r="AP330" s="185"/>
      <c r="AQ330" s="185"/>
      <c r="AR330" s="185"/>
      <c r="AS330" s="185"/>
      <c r="AT330" s="185"/>
      <c r="AU330" s="185"/>
      <c r="AV330" s="185"/>
      <c r="AW330" s="185"/>
      <c r="AX330" s="185"/>
      <c r="AY330" s="185"/>
      <c r="AZ330" s="185"/>
      <c r="BA330" s="185"/>
      <c r="BB330" s="185"/>
      <c r="BC330" s="185"/>
      <c r="BD330" s="185"/>
      <c r="BE330" s="185"/>
    </row>
    <row r="331">
      <c r="A331" s="152"/>
      <c r="B331" s="152"/>
      <c r="C331" s="152"/>
      <c r="D331" s="152" t="s">
        <v>3134</v>
      </c>
      <c r="E331" s="152" t="s">
        <v>3135</v>
      </c>
      <c r="F331" s="152" t="s">
        <v>332</v>
      </c>
      <c r="G331" s="152" t="s">
        <v>3136</v>
      </c>
      <c r="H331" s="152" t="s">
        <v>3137</v>
      </c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 t="s">
        <v>3138</v>
      </c>
      <c r="Z331" s="157" t="s">
        <v>3138</v>
      </c>
      <c r="AA331" s="152"/>
      <c r="AB331" s="152"/>
      <c r="AC331" s="152"/>
      <c r="AD331" s="152"/>
      <c r="AE331" s="185"/>
      <c r="AF331" s="185"/>
      <c r="AG331" s="185"/>
      <c r="AH331" s="185"/>
      <c r="AI331" s="185"/>
      <c r="AJ331" s="185"/>
      <c r="AK331" s="185"/>
      <c r="AL331" s="185"/>
      <c r="AM331" s="185"/>
      <c r="AN331" s="185"/>
      <c r="AO331" s="185"/>
      <c r="AP331" s="185"/>
      <c r="AQ331" s="185"/>
      <c r="AR331" s="185"/>
      <c r="AS331" s="185"/>
      <c r="AT331" s="185"/>
      <c r="AU331" s="185"/>
      <c r="AV331" s="185"/>
      <c r="AW331" s="185"/>
      <c r="AX331" s="185"/>
      <c r="AY331" s="185"/>
      <c r="AZ331" s="185"/>
      <c r="BA331" s="185"/>
      <c r="BB331" s="185"/>
      <c r="BC331" s="185"/>
      <c r="BD331" s="185"/>
      <c r="BE331" s="185"/>
    </row>
    <row r="332">
      <c r="A332" s="152"/>
      <c r="B332" s="152"/>
      <c r="C332" s="152"/>
      <c r="D332" s="152" t="s">
        <v>3139</v>
      </c>
      <c r="E332" s="152" t="s">
        <v>3140</v>
      </c>
      <c r="F332" s="152"/>
      <c r="G332" s="152" t="s">
        <v>3141</v>
      </c>
      <c r="H332" s="152" t="s">
        <v>3142</v>
      </c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 t="s">
        <v>73</v>
      </c>
      <c r="Z332" s="157" t="s">
        <v>73</v>
      </c>
      <c r="AA332" s="152"/>
      <c r="AB332" s="152"/>
      <c r="AC332" s="152"/>
      <c r="AD332" s="152"/>
      <c r="AE332" s="185"/>
      <c r="AF332" s="185"/>
      <c r="AG332" s="185"/>
      <c r="AH332" s="185"/>
      <c r="AI332" s="185"/>
      <c r="AJ332" s="185"/>
      <c r="AK332" s="185"/>
      <c r="AL332" s="185"/>
      <c r="AM332" s="185"/>
      <c r="AN332" s="185"/>
      <c r="AO332" s="185"/>
      <c r="AP332" s="185"/>
      <c r="AQ332" s="185"/>
      <c r="AR332" s="185"/>
      <c r="AS332" s="185"/>
      <c r="AT332" s="185"/>
      <c r="AU332" s="185"/>
      <c r="AV332" s="185"/>
      <c r="AW332" s="185"/>
      <c r="AX332" s="185"/>
      <c r="AY332" s="185"/>
      <c r="AZ332" s="185"/>
      <c r="BA332" s="185"/>
      <c r="BB332" s="185"/>
      <c r="BC332" s="185"/>
      <c r="BD332" s="185"/>
      <c r="BE332" s="185"/>
    </row>
    <row r="333">
      <c r="A333" s="152"/>
      <c r="B333" s="152"/>
      <c r="C333" s="152"/>
      <c r="D333" s="152" t="s">
        <v>3143</v>
      </c>
      <c r="E333" s="152" t="s">
        <v>3144</v>
      </c>
      <c r="F333" s="152" t="s">
        <v>939</v>
      </c>
      <c r="G333" s="152" t="s">
        <v>3145</v>
      </c>
      <c r="H333" s="152" t="s">
        <v>3146</v>
      </c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 t="s">
        <v>3147</v>
      </c>
      <c r="Z333" s="157" t="s">
        <v>3147</v>
      </c>
      <c r="AA333" s="152"/>
      <c r="AB333" s="152"/>
      <c r="AC333" s="152"/>
      <c r="AD333" s="152"/>
      <c r="AE333" s="185"/>
      <c r="AF333" s="185"/>
      <c r="AG333" s="185"/>
      <c r="AH333" s="185"/>
      <c r="AI333" s="185"/>
      <c r="AJ333" s="185"/>
      <c r="AK333" s="185"/>
      <c r="AL333" s="185"/>
      <c r="AM333" s="185"/>
      <c r="AN333" s="185"/>
      <c r="AO333" s="185"/>
      <c r="AP333" s="185"/>
      <c r="AQ333" s="185"/>
      <c r="AR333" s="185"/>
      <c r="AS333" s="185"/>
      <c r="AT333" s="185"/>
      <c r="AU333" s="185"/>
      <c r="AV333" s="185"/>
      <c r="AW333" s="185"/>
      <c r="AX333" s="185"/>
      <c r="AY333" s="185"/>
      <c r="AZ333" s="185"/>
      <c r="BA333" s="185"/>
      <c r="BB333" s="185"/>
      <c r="BC333" s="185"/>
      <c r="BD333" s="185"/>
      <c r="BE333" s="185"/>
    </row>
    <row r="334">
      <c r="A334" s="152"/>
      <c r="B334" s="152"/>
      <c r="C334" s="152"/>
      <c r="D334" s="152" t="s">
        <v>3148</v>
      </c>
      <c r="E334" s="152" t="s">
        <v>3100</v>
      </c>
      <c r="F334" s="152" t="s">
        <v>939</v>
      </c>
      <c r="G334" s="163" t="s">
        <v>3149</v>
      </c>
      <c r="H334" s="152" t="s">
        <v>3150</v>
      </c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 t="s">
        <v>3151</v>
      </c>
      <c r="Z334" s="157" t="s">
        <v>3151</v>
      </c>
      <c r="AA334" s="152"/>
      <c r="AB334" s="152"/>
      <c r="AC334" s="152"/>
      <c r="AD334" s="152"/>
      <c r="AE334" s="185"/>
      <c r="AF334" s="185"/>
      <c r="AG334" s="185"/>
      <c r="AH334" s="185"/>
      <c r="AI334" s="185"/>
      <c r="AJ334" s="185"/>
      <c r="AK334" s="185"/>
      <c r="AL334" s="185"/>
      <c r="AM334" s="185"/>
      <c r="AN334" s="185"/>
      <c r="AO334" s="185"/>
      <c r="AP334" s="185"/>
      <c r="AQ334" s="185"/>
      <c r="AR334" s="185"/>
      <c r="AS334" s="185"/>
      <c r="AT334" s="185"/>
      <c r="AU334" s="185"/>
      <c r="AV334" s="185"/>
      <c r="AW334" s="185"/>
      <c r="AX334" s="185"/>
      <c r="AY334" s="185"/>
      <c r="AZ334" s="185"/>
      <c r="BA334" s="185"/>
      <c r="BB334" s="185"/>
      <c r="BC334" s="185"/>
      <c r="BD334" s="185"/>
      <c r="BE334" s="185"/>
    </row>
    <row r="335">
      <c r="A335" s="152"/>
      <c r="B335" s="152"/>
      <c r="C335" s="152"/>
      <c r="D335" s="152" t="s">
        <v>3152</v>
      </c>
      <c r="E335" s="152" t="s">
        <v>3153</v>
      </c>
      <c r="F335" s="152" t="s">
        <v>855</v>
      </c>
      <c r="G335" s="152" t="s">
        <v>3154</v>
      </c>
      <c r="H335" s="152" t="s">
        <v>3155</v>
      </c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 t="s">
        <v>3156</v>
      </c>
      <c r="Z335" s="157" t="s">
        <v>3156</v>
      </c>
      <c r="AA335" s="152"/>
      <c r="AB335" s="152"/>
      <c r="AC335" s="152"/>
      <c r="AD335" s="152"/>
      <c r="AE335" s="185"/>
      <c r="AF335" s="185"/>
      <c r="AG335" s="185"/>
      <c r="AH335" s="185"/>
      <c r="AI335" s="185"/>
      <c r="AJ335" s="185"/>
      <c r="AK335" s="185"/>
      <c r="AL335" s="185"/>
      <c r="AM335" s="185"/>
      <c r="AN335" s="185"/>
      <c r="AO335" s="185"/>
      <c r="AP335" s="185"/>
      <c r="AQ335" s="185"/>
      <c r="AR335" s="185"/>
      <c r="AS335" s="185"/>
      <c r="AT335" s="185"/>
      <c r="AU335" s="185"/>
      <c r="AV335" s="185"/>
      <c r="AW335" s="185"/>
      <c r="AX335" s="185"/>
      <c r="AY335" s="185"/>
      <c r="AZ335" s="185"/>
      <c r="BA335" s="185"/>
      <c r="BB335" s="185"/>
      <c r="BC335" s="185"/>
      <c r="BD335" s="185"/>
      <c r="BE335" s="185"/>
    </row>
    <row r="336">
      <c r="A336" s="152"/>
      <c r="B336" s="152"/>
      <c r="C336" s="152"/>
      <c r="D336" s="152" t="s">
        <v>3157</v>
      </c>
      <c r="E336" s="152" t="s">
        <v>3158</v>
      </c>
      <c r="F336" s="152" t="s">
        <v>332</v>
      </c>
      <c r="G336" s="152" t="s">
        <v>3159</v>
      </c>
      <c r="H336" s="152" t="s">
        <v>3160</v>
      </c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 t="s">
        <v>3161</v>
      </c>
      <c r="Z336" s="157" t="s">
        <v>3161</v>
      </c>
      <c r="AA336" s="152"/>
      <c r="AB336" s="152"/>
      <c r="AC336" s="152"/>
      <c r="AD336" s="152"/>
      <c r="AE336" s="185"/>
      <c r="AF336" s="185"/>
      <c r="AG336" s="185"/>
      <c r="AH336" s="185"/>
      <c r="AI336" s="185"/>
      <c r="AJ336" s="185"/>
      <c r="AK336" s="185"/>
      <c r="AL336" s="185"/>
      <c r="AM336" s="185"/>
      <c r="AN336" s="185"/>
      <c r="AO336" s="185"/>
      <c r="AP336" s="185"/>
      <c r="AQ336" s="185"/>
      <c r="AR336" s="185"/>
      <c r="AS336" s="185"/>
      <c r="AT336" s="185"/>
      <c r="AU336" s="185"/>
      <c r="AV336" s="185"/>
      <c r="AW336" s="185"/>
      <c r="AX336" s="185"/>
      <c r="AY336" s="185"/>
      <c r="AZ336" s="185"/>
      <c r="BA336" s="185"/>
      <c r="BB336" s="185"/>
      <c r="BC336" s="185"/>
      <c r="BD336" s="185"/>
      <c r="BE336" s="185"/>
    </row>
    <row r="337">
      <c r="A337" s="152"/>
      <c r="B337" s="152"/>
      <c r="C337" s="152"/>
      <c r="D337" s="152" t="s">
        <v>3162</v>
      </c>
      <c r="E337" s="152" t="s">
        <v>611</v>
      </c>
      <c r="F337" s="152" t="s">
        <v>332</v>
      </c>
      <c r="G337" s="152" t="s">
        <v>3163</v>
      </c>
      <c r="H337" s="152" t="s">
        <v>3164</v>
      </c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 t="s">
        <v>3165</v>
      </c>
      <c r="Z337" s="157" t="s">
        <v>3165</v>
      </c>
      <c r="AA337" s="152"/>
      <c r="AB337" s="152"/>
      <c r="AC337" s="152"/>
      <c r="AD337" s="152"/>
      <c r="AE337" s="185"/>
      <c r="AF337" s="185"/>
      <c r="AG337" s="185"/>
      <c r="AH337" s="185"/>
      <c r="AI337" s="185"/>
      <c r="AJ337" s="185"/>
      <c r="AK337" s="185"/>
      <c r="AL337" s="185"/>
      <c r="AM337" s="185"/>
      <c r="AN337" s="185"/>
      <c r="AO337" s="185"/>
      <c r="AP337" s="185"/>
      <c r="AQ337" s="185"/>
      <c r="AR337" s="185"/>
      <c r="AS337" s="185"/>
      <c r="AT337" s="185"/>
      <c r="AU337" s="185"/>
      <c r="AV337" s="185"/>
      <c r="AW337" s="185"/>
      <c r="AX337" s="185"/>
      <c r="AY337" s="185"/>
      <c r="AZ337" s="185"/>
      <c r="BA337" s="185"/>
      <c r="BB337" s="185"/>
      <c r="BC337" s="185"/>
      <c r="BD337" s="185"/>
      <c r="BE337" s="185"/>
    </row>
    <row r="338">
      <c r="A338" s="152"/>
      <c r="B338" s="152"/>
      <c r="C338" s="152"/>
      <c r="D338" s="152" t="s">
        <v>3166</v>
      </c>
      <c r="E338" s="152" t="s">
        <v>3167</v>
      </c>
      <c r="F338" s="152" t="s">
        <v>394</v>
      </c>
      <c r="G338" s="152" t="s">
        <v>3168</v>
      </c>
      <c r="H338" s="152" t="s">
        <v>3169</v>
      </c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 t="s">
        <v>3170</v>
      </c>
      <c r="Z338" s="157" t="s">
        <v>3170</v>
      </c>
      <c r="AA338" s="152"/>
      <c r="AB338" s="152"/>
      <c r="AC338" s="152"/>
      <c r="AD338" s="152"/>
      <c r="AE338" s="185"/>
      <c r="AF338" s="185"/>
      <c r="AG338" s="185"/>
      <c r="AH338" s="185"/>
      <c r="AI338" s="185"/>
      <c r="AJ338" s="185"/>
      <c r="AK338" s="185"/>
      <c r="AL338" s="185"/>
      <c r="AM338" s="185"/>
      <c r="AN338" s="185"/>
      <c r="AO338" s="185"/>
      <c r="AP338" s="185"/>
      <c r="AQ338" s="185"/>
      <c r="AR338" s="185"/>
      <c r="AS338" s="185"/>
      <c r="AT338" s="185"/>
      <c r="AU338" s="185"/>
      <c r="AV338" s="185"/>
      <c r="AW338" s="185"/>
      <c r="AX338" s="185"/>
      <c r="AY338" s="185"/>
      <c r="AZ338" s="185"/>
      <c r="BA338" s="185"/>
      <c r="BB338" s="185"/>
      <c r="BC338" s="185"/>
      <c r="BD338" s="185"/>
      <c r="BE338" s="185"/>
    </row>
    <row r="339">
      <c r="A339" s="152"/>
      <c r="B339" s="152"/>
      <c r="C339" s="152"/>
      <c r="D339" s="152" t="s">
        <v>3171</v>
      </c>
      <c r="E339" s="152" t="s">
        <v>3172</v>
      </c>
      <c r="F339" s="152" t="s">
        <v>1004</v>
      </c>
      <c r="G339" s="152" t="s">
        <v>3173</v>
      </c>
      <c r="H339" s="152" t="s">
        <v>3174</v>
      </c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 t="s">
        <v>3175</v>
      </c>
      <c r="Z339" s="157" t="s">
        <v>3175</v>
      </c>
      <c r="AA339" s="152"/>
      <c r="AB339" s="152"/>
      <c r="AC339" s="152"/>
      <c r="AD339" s="152"/>
      <c r="AE339" s="185"/>
      <c r="AF339" s="185"/>
      <c r="AG339" s="185"/>
      <c r="AH339" s="185"/>
      <c r="AI339" s="185"/>
      <c r="AJ339" s="185"/>
      <c r="AK339" s="185"/>
      <c r="AL339" s="185"/>
      <c r="AM339" s="185"/>
      <c r="AN339" s="185"/>
      <c r="AO339" s="185"/>
      <c r="AP339" s="185"/>
      <c r="AQ339" s="185"/>
      <c r="AR339" s="185"/>
      <c r="AS339" s="185"/>
      <c r="AT339" s="185"/>
      <c r="AU339" s="185"/>
      <c r="AV339" s="185"/>
      <c r="AW339" s="185"/>
      <c r="AX339" s="185"/>
      <c r="AY339" s="185"/>
      <c r="AZ339" s="185"/>
      <c r="BA339" s="185"/>
      <c r="BB339" s="185"/>
      <c r="BC339" s="185"/>
      <c r="BD339" s="185"/>
      <c r="BE339" s="185"/>
    </row>
    <row r="340">
      <c r="A340" s="152"/>
      <c r="B340" s="152"/>
      <c r="C340" s="152"/>
      <c r="D340" s="152" t="s">
        <v>3176</v>
      </c>
      <c r="E340" s="152" t="s">
        <v>3177</v>
      </c>
      <c r="F340" s="152" t="s">
        <v>1541</v>
      </c>
      <c r="G340" s="152" t="s">
        <v>3178</v>
      </c>
      <c r="H340" s="152" t="s">
        <v>3179</v>
      </c>
      <c r="I340" s="152" t="s">
        <v>486</v>
      </c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 t="s">
        <v>3180</v>
      </c>
      <c r="Z340" s="157" t="s">
        <v>3180</v>
      </c>
      <c r="AA340" s="152"/>
      <c r="AB340" s="152"/>
      <c r="AC340" s="152"/>
      <c r="AD340" s="152"/>
      <c r="AE340" s="185"/>
      <c r="AF340" s="185"/>
      <c r="AG340" s="185"/>
      <c r="AH340" s="185"/>
      <c r="AI340" s="185"/>
      <c r="AJ340" s="185"/>
      <c r="AK340" s="185"/>
      <c r="AL340" s="185"/>
      <c r="AM340" s="185"/>
      <c r="AN340" s="185"/>
      <c r="AO340" s="185"/>
      <c r="AP340" s="185"/>
      <c r="AQ340" s="185"/>
      <c r="AR340" s="185"/>
      <c r="AS340" s="185"/>
      <c r="AT340" s="185"/>
      <c r="AU340" s="185"/>
      <c r="AV340" s="185"/>
      <c r="AW340" s="185"/>
      <c r="AX340" s="185"/>
      <c r="AY340" s="185"/>
      <c r="AZ340" s="185"/>
      <c r="BA340" s="185"/>
      <c r="BB340" s="185"/>
      <c r="BC340" s="185"/>
      <c r="BD340" s="185"/>
      <c r="BE340" s="185"/>
    </row>
    <row r="341">
      <c r="A341" s="152"/>
      <c r="B341" s="152"/>
      <c r="C341" s="152"/>
      <c r="D341" s="152" t="s">
        <v>3181</v>
      </c>
      <c r="E341" s="152" t="s">
        <v>3182</v>
      </c>
      <c r="F341" s="152" t="s">
        <v>806</v>
      </c>
      <c r="G341" s="152" t="s">
        <v>3183</v>
      </c>
      <c r="H341" s="152" t="s">
        <v>3183</v>
      </c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 t="s">
        <v>3184</v>
      </c>
      <c r="Z341" s="157" t="s">
        <v>3184</v>
      </c>
      <c r="AA341" s="152"/>
      <c r="AB341" s="152"/>
      <c r="AC341" s="152"/>
      <c r="AD341" s="152"/>
      <c r="AE341" s="185"/>
      <c r="AF341" s="185"/>
      <c r="AG341" s="185"/>
      <c r="AH341" s="185"/>
      <c r="AI341" s="185"/>
      <c r="AJ341" s="185"/>
      <c r="AK341" s="185"/>
      <c r="AL341" s="185"/>
      <c r="AM341" s="185"/>
      <c r="AN341" s="185"/>
      <c r="AO341" s="185"/>
      <c r="AP341" s="185"/>
      <c r="AQ341" s="185"/>
      <c r="AR341" s="185"/>
      <c r="AS341" s="185"/>
      <c r="AT341" s="185"/>
      <c r="AU341" s="185"/>
      <c r="AV341" s="185"/>
      <c r="AW341" s="185"/>
      <c r="AX341" s="185"/>
      <c r="AY341" s="185"/>
      <c r="AZ341" s="185"/>
      <c r="BA341" s="185"/>
      <c r="BB341" s="185"/>
      <c r="BC341" s="185"/>
      <c r="BD341" s="185"/>
      <c r="BE341" s="185"/>
    </row>
    <row r="342">
      <c r="A342" s="152"/>
      <c r="B342" s="152"/>
      <c r="C342" s="152"/>
      <c r="D342" s="152" t="s">
        <v>3185</v>
      </c>
      <c r="E342" s="152" t="s">
        <v>3186</v>
      </c>
      <c r="F342" s="152" t="s">
        <v>332</v>
      </c>
      <c r="G342" s="152" t="s">
        <v>3187</v>
      </c>
      <c r="H342" s="152" t="s">
        <v>3188</v>
      </c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 t="s">
        <v>3189</v>
      </c>
      <c r="Z342" s="157" t="s">
        <v>3189</v>
      </c>
      <c r="AA342" s="152"/>
      <c r="AB342" s="152"/>
      <c r="AC342" s="152"/>
      <c r="AD342" s="152"/>
      <c r="AE342" s="185"/>
      <c r="AF342" s="185"/>
      <c r="AG342" s="185"/>
      <c r="AH342" s="185"/>
      <c r="AI342" s="185"/>
      <c r="AJ342" s="185"/>
      <c r="AK342" s="185"/>
      <c r="AL342" s="185"/>
      <c r="AM342" s="185"/>
      <c r="AN342" s="185"/>
      <c r="AO342" s="185"/>
      <c r="AP342" s="185"/>
      <c r="AQ342" s="185"/>
      <c r="AR342" s="185"/>
      <c r="AS342" s="185"/>
      <c r="AT342" s="185"/>
      <c r="AU342" s="185"/>
      <c r="AV342" s="185"/>
      <c r="AW342" s="185"/>
      <c r="AX342" s="185"/>
      <c r="AY342" s="185"/>
      <c r="AZ342" s="185"/>
      <c r="BA342" s="185"/>
      <c r="BB342" s="185"/>
      <c r="BC342" s="185"/>
      <c r="BD342" s="185"/>
      <c r="BE342" s="185"/>
    </row>
    <row r="343">
      <c r="A343" s="152"/>
      <c r="B343" s="152"/>
      <c r="C343" s="152"/>
      <c r="D343" s="152" t="s">
        <v>3190</v>
      </c>
      <c r="E343" s="152" t="s">
        <v>3191</v>
      </c>
      <c r="F343" s="152" t="s">
        <v>806</v>
      </c>
      <c r="G343" s="152" t="s">
        <v>3192</v>
      </c>
      <c r="H343" s="152" t="s">
        <v>3193</v>
      </c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 t="s">
        <v>3194</v>
      </c>
      <c r="Z343" s="157" t="s">
        <v>3194</v>
      </c>
      <c r="AA343" s="152"/>
      <c r="AB343" s="152"/>
      <c r="AC343" s="152"/>
      <c r="AD343" s="152"/>
      <c r="AE343" s="185"/>
      <c r="AF343" s="185"/>
      <c r="AG343" s="185"/>
      <c r="AH343" s="185"/>
      <c r="AI343" s="185"/>
      <c r="AJ343" s="185"/>
      <c r="AK343" s="185"/>
      <c r="AL343" s="185"/>
      <c r="AM343" s="185"/>
      <c r="AN343" s="185"/>
      <c r="AO343" s="185"/>
      <c r="AP343" s="185"/>
      <c r="AQ343" s="185"/>
      <c r="AR343" s="185"/>
      <c r="AS343" s="185"/>
      <c r="AT343" s="185"/>
      <c r="AU343" s="185"/>
      <c r="AV343" s="185"/>
      <c r="AW343" s="185"/>
      <c r="AX343" s="185"/>
      <c r="AY343" s="185"/>
      <c r="AZ343" s="185"/>
      <c r="BA343" s="185"/>
      <c r="BB343" s="185"/>
      <c r="BC343" s="185"/>
      <c r="BD343" s="185"/>
      <c r="BE343" s="185"/>
    </row>
    <row r="344">
      <c r="A344" s="152"/>
      <c r="B344" s="152"/>
      <c r="C344" s="152"/>
      <c r="D344" s="152" t="s">
        <v>3195</v>
      </c>
      <c r="E344" s="152" t="s">
        <v>3196</v>
      </c>
      <c r="F344" s="152" t="s">
        <v>332</v>
      </c>
      <c r="G344" s="152" t="s">
        <v>3197</v>
      </c>
      <c r="H344" s="152" t="s">
        <v>3198</v>
      </c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 t="s">
        <v>3199</v>
      </c>
      <c r="Z344" s="157" t="s">
        <v>3199</v>
      </c>
      <c r="AA344" s="152"/>
      <c r="AB344" s="152"/>
      <c r="AC344" s="152"/>
      <c r="AD344" s="152"/>
      <c r="AE344" s="185"/>
      <c r="AF344" s="185"/>
      <c r="AG344" s="185"/>
      <c r="AH344" s="185"/>
      <c r="AI344" s="185"/>
      <c r="AJ344" s="185"/>
      <c r="AK344" s="185"/>
      <c r="AL344" s="185"/>
      <c r="AM344" s="185"/>
      <c r="AN344" s="185"/>
      <c r="AO344" s="185"/>
      <c r="AP344" s="185"/>
      <c r="AQ344" s="185"/>
      <c r="AR344" s="185"/>
      <c r="AS344" s="185"/>
      <c r="AT344" s="185"/>
      <c r="AU344" s="185"/>
      <c r="AV344" s="185"/>
      <c r="AW344" s="185"/>
      <c r="AX344" s="185"/>
      <c r="AY344" s="185"/>
      <c r="AZ344" s="185"/>
      <c r="BA344" s="185"/>
      <c r="BB344" s="185"/>
      <c r="BC344" s="185"/>
      <c r="BD344" s="185"/>
      <c r="BE344" s="185"/>
    </row>
    <row r="345">
      <c r="A345" s="152"/>
      <c r="B345" s="152"/>
      <c r="C345" s="152"/>
      <c r="D345" s="152" t="s">
        <v>3200</v>
      </c>
      <c r="E345" s="152" t="s">
        <v>3201</v>
      </c>
      <c r="F345" s="152"/>
      <c r="G345" s="163" t="s">
        <v>3202</v>
      </c>
      <c r="H345" s="152" t="s">
        <v>3203</v>
      </c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 t="s">
        <v>3204</v>
      </c>
      <c r="Z345" s="157" t="s">
        <v>3204</v>
      </c>
      <c r="AA345" s="152"/>
      <c r="AB345" s="152"/>
      <c r="AC345" s="152"/>
      <c r="AD345" s="152"/>
      <c r="AE345" s="185"/>
      <c r="AF345" s="185"/>
      <c r="AG345" s="185"/>
      <c r="AH345" s="185"/>
      <c r="AI345" s="185"/>
      <c r="AJ345" s="185"/>
      <c r="AK345" s="185"/>
      <c r="AL345" s="185"/>
      <c r="AM345" s="185"/>
      <c r="AN345" s="185"/>
      <c r="AO345" s="185"/>
      <c r="AP345" s="185"/>
      <c r="AQ345" s="185"/>
      <c r="AR345" s="185"/>
      <c r="AS345" s="185"/>
      <c r="AT345" s="185"/>
      <c r="AU345" s="185"/>
      <c r="AV345" s="185"/>
      <c r="AW345" s="185"/>
      <c r="AX345" s="185"/>
      <c r="AY345" s="185"/>
      <c r="AZ345" s="185"/>
      <c r="BA345" s="185"/>
      <c r="BB345" s="185"/>
      <c r="BC345" s="185"/>
      <c r="BD345" s="185"/>
      <c r="BE345" s="185"/>
    </row>
    <row r="346">
      <c r="A346" s="152"/>
      <c r="B346" s="152"/>
      <c r="C346" s="152"/>
      <c r="D346" s="152" t="s">
        <v>3205</v>
      </c>
      <c r="E346" s="152" t="s">
        <v>3206</v>
      </c>
      <c r="F346" s="152" t="s">
        <v>806</v>
      </c>
      <c r="G346" s="152" t="s">
        <v>3207</v>
      </c>
      <c r="H346" s="152" t="s">
        <v>3208</v>
      </c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 t="s">
        <v>3209</v>
      </c>
      <c r="Z346" s="157" t="s">
        <v>3209</v>
      </c>
      <c r="AA346" s="152"/>
      <c r="AB346" s="152"/>
      <c r="AC346" s="152"/>
      <c r="AD346" s="152"/>
      <c r="AE346" s="185"/>
      <c r="AF346" s="185"/>
      <c r="AG346" s="185"/>
      <c r="AH346" s="185"/>
      <c r="AI346" s="185"/>
      <c r="AJ346" s="185"/>
      <c r="AK346" s="185"/>
      <c r="AL346" s="185"/>
      <c r="AM346" s="185"/>
      <c r="AN346" s="185"/>
      <c r="AO346" s="185"/>
      <c r="AP346" s="185"/>
      <c r="AQ346" s="185"/>
      <c r="AR346" s="185"/>
      <c r="AS346" s="185"/>
      <c r="AT346" s="185"/>
      <c r="AU346" s="185"/>
      <c r="AV346" s="185"/>
      <c r="AW346" s="185"/>
      <c r="AX346" s="185"/>
      <c r="AY346" s="185"/>
      <c r="AZ346" s="185"/>
      <c r="BA346" s="185"/>
      <c r="BB346" s="185"/>
      <c r="BC346" s="185"/>
      <c r="BD346" s="185"/>
      <c r="BE346" s="185"/>
    </row>
    <row r="347">
      <c r="A347" s="152"/>
      <c r="B347" s="152"/>
      <c r="C347" s="152"/>
      <c r="D347" s="152" t="s">
        <v>3210</v>
      </c>
      <c r="E347" s="152" t="s">
        <v>3211</v>
      </c>
      <c r="F347" s="152" t="s">
        <v>806</v>
      </c>
      <c r="G347" s="152" t="s">
        <v>3139</v>
      </c>
      <c r="H347" s="152" t="s">
        <v>3212</v>
      </c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 t="s">
        <v>3213</v>
      </c>
      <c r="Z347" s="157" t="s">
        <v>3213</v>
      </c>
      <c r="AA347" s="152"/>
      <c r="AB347" s="152"/>
      <c r="AC347" s="152"/>
      <c r="AD347" s="152"/>
      <c r="AE347" s="185"/>
      <c r="AF347" s="185"/>
      <c r="AG347" s="185"/>
      <c r="AH347" s="185"/>
      <c r="AI347" s="185"/>
      <c r="AJ347" s="185"/>
      <c r="AK347" s="185"/>
      <c r="AL347" s="185"/>
      <c r="AM347" s="185"/>
      <c r="AN347" s="185"/>
      <c r="AO347" s="185"/>
      <c r="AP347" s="185"/>
      <c r="AQ347" s="185"/>
      <c r="AR347" s="185"/>
      <c r="AS347" s="185"/>
      <c r="AT347" s="185"/>
      <c r="AU347" s="185"/>
      <c r="AV347" s="185"/>
      <c r="AW347" s="185"/>
      <c r="AX347" s="185"/>
      <c r="AY347" s="185"/>
      <c r="AZ347" s="185"/>
      <c r="BA347" s="185"/>
      <c r="BB347" s="185"/>
      <c r="BC347" s="185"/>
      <c r="BD347" s="185"/>
      <c r="BE347" s="185"/>
    </row>
    <row r="348">
      <c r="A348" s="152"/>
      <c r="B348" s="152"/>
      <c r="C348" s="152"/>
      <c r="D348" s="152" t="s">
        <v>3214</v>
      </c>
      <c r="E348" s="152" t="s">
        <v>3215</v>
      </c>
      <c r="F348" s="152" t="s">
        <v>1186</v>
      </c>
      <c r="G348" s="152" t="s">
        <v>3216</v>
      </c>
      <c r="H348" s="152" t="s">
        <v>3217</v>
      </c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 t="s">
        <v>3218</v>
      </c>
      <c r="Z348" s="157" t="s">
        <v>3218</v>
      </c>
      <c r="AA348" s="152"/>
      <c r="AB348" s="152"/>
      <c r="AC348" s="152"/>
      <c r="AD348" s="152"/>
      <c r="AE348" s="185"/>
      <c r="AF348" s="185"/>
      <c r="AG348" s="185"/>
      <c r="AH348" s="185"/>
      <c r="AI348" s="185"/>
      <c r="AJ348" s="185"/>
      <c r="AK348" s="185"/>
      <c r="AL348" s="185"/>
      <c r="AM348" s="185"/>
      <c r="AN348" s="185"/>
      <c r="AO348" s="185"/>
      <c r="AP348" s="185"/>
      <c r="AQ348" s="185"/>
      <c r="AR348" s="185"/>
      <c r="AS348" s="185"/>
      <c r="AT348" s="185"/>
      <c r="AU348" s="185"/>
      <c r="AV348" s="185"/>
      <c r="AW348" s="185"/>
      <c r="AX348" s="185"/>
      <c r="AY348" s="185"/>
      <c r="AZ348" s="185"/>
      <c r="BA348" s="185"/>
      <c r="BB348" s="185"/>
      <c r="BC348" s="185"/>
      <c r="BD348" s="185"/>
      <c r="BE348" s="185"/>
    </row>
    <row r="349">
      <c r="A349" s="152"/>
      <c r="B349" s="152"/>
      <c r="C349" s="152"/>
      <c r="D349" s="152" t="s">
        <v>3219</v>
      </c>
      <c r="E349" s="152" t="s">
        <v>3220</v>
      </c>
      <c r="F349" s="152" t="s">
        <v>1541</v>
      </c>
      <c r="G349" s="152" t="s">
        <v>3221</v>
      </c>
      <c r="H349" s="152" t="s">
        <v>3222</v>
      </c>
      <c r="I349" s="152" t="s">
        <v>486</v>
      </c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 t="s">
        <v>3223</v>
      </c>
      <c r="Z349" s="157" t="s">
        <v>3223</v>
      </c>
      <c r="AA349" s="152"/>
      <c r="AB349" s="152"/>
      <c r="AC349" s="152"/>
      <c r="AD349" s="152"/>
      <c r="AE349" s="185"/>
      <c r="AF349" s="185"/>
      <c r="AG349" s="185"/>
      <c r="AH349" s="185"/>
      <c r="AI349" s="185"/>
      <c r="AJ349" s="185"/>
      <c r="AK349" s="185"/>
      <c r="AL349" s="185"/>
      <c r="AM349" s="185"/>
      <c r="AN349" s="185"/>
      <c r="AO349" s="185"/>
      <c r="AP349" s="185"/>
      <c r="AQ349" s="185"/>
      <c r="AR349" s="185"/>
      <c r="AS349" s="185"/>
      <c r="AT349" s="185"/>
      <c r="AU349" s="185"/>
      <c r="AV349" s="185"/>
      <c r="AW349" s="185"/>
      <c r="AX349" s="185"/>
      <c r="AY349" s="185"/>
      <c r="AZ349" s="185"/>
      <c r="BA349" s="185"/>
      <c r="BB349" s="185"/>
      <c r="BC349" s="185"/>
      <c r="BD349" s="185"/>
      <c r="BE349" s="185"/>
    </row>
    <row r="350">
      <c r="A350" s="152"/>
      <c r="B350" s="152"/>
      <c r="C350" s="152"/>
      <c r="D350" s="152" t="s">
        <v>3224</v>
      </c>
      <c r="E350" s="152" t="s">
        <v>3225</v>
      </c>
      <c r="F350" s="152" t="s">
        <v>332</v>
      </c>
      <c r="G350" s="152" t="s">
        <v>3226</v>
      </c>
      <c r="H350" s="152" t="s">
        <v>3153</v>
      </c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 t="s">
        <v>3227</v>
      </c>
      <c r="Z350" s="157" t="s">
        <v>3227</v>
      </c>
      <c r="AA350" s="152"/>
      <c r="AB350" s="152"/>
      <c r="AC350" s="152"/>
      <c r="AD350" s="152"/>
      <c r="AE350" s="185"/>
      <c r="AF350" s="185"/>
      <c r="AG350" s="185"/>
      <c r="AH350" s="185"/>
      <c r="AI350" s="185"/>
      <c r="AJ350" s="185"/>
      <c r="AK350" s="185"/>
      <c r="AL350" s="185"/>
      <c r="AM350" s="185"/>
      <c r="AN350" s="185"/>
      <c r="AO350" s="185"/>
      <c r="AP350" s="185"/>
      <c r="AQ350" s="185"/>
      <c r="AR350" s="185"/>
      <c r="AS350" s="185"/>
      <c r="AT350" s="185"/>
      <c r="AU350" s="185"/>
      <c r="AV350" s="185"/>
      <c r="AW350" s="185"/>
      <c r="AX350" s="185"/>
      <c r="AY350" s="185"/>
      <c r="AZ350" s="185"/>
      <c r="BA350" s="185"/>
      <c r="BB350" s="185"/>
      <c r="BC350" s="185"/>
      <c r="BD350" s="185"/>
      <c r="BE350" s="185"/>
    </row>
    <row r="351">
      <c r="A351" s="152"/>
      <c r="B351" s="152"/>
      <c r="C351" s="152"/>
      <c r="D351" s="152" t="s">
        <v>3228</v>
      </c>
      <c r="E351" s="152" t="s">
        <v>3229</v>
      </c>
      <c r="F351" s="152" t="s">
        <v>1709</v>
      </c>
      <c r="G351" s="163" t="s">
        <v>3230</v>
      </c>
      <c r="H351" s="152" t="s">
        <v>3231</v>
      </c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 t="s">
        <v>3232</v>
      </c>
      <c r="Z351" s="157" t="s">
        <v>3232</v>
      </c>
      <c r="AA351" s="152"/>
      <c r="AB351" s="152"/>
      <c r="AC351" s="152"/>
      <c r="AD351" s="152"/>
      <c r="AE351" s="185"/>
      <c r="AF351" s="185"/>
      <c r="AG351" s="185"/>
      <c r="AH351" s="185"/>
      <c r="AI351" s="185"/>
      <c r="AJ351" s="185"/>
      <c r="AK351" s="185"/>
      <c r="AL351" s="185"/>
      <c r="AM351" s="185"/>
      <c r="AN351" s="185"/>
      <c r="AO351" s="185"/>
      <c r="AP351" s="185"/>
      <c r="AQ351" s="185"/>
      <c r="AR351" s="185"/>
      <c r="AS351" s="185"/>
      <c r="AT351" s="185"/>
      <c r="AU351" s="185"/>
      <c r="AV351" s="185"/>
      <c r="AW351" s="185"/>
      <c r="AX351" s="185"/>
      <c r="AY351" s="185"/>
      <c r="AZ351" s="185"/>
      <c r="BA351" s="185"/>
      <c r="BB351" s="185"/>
      <c r="BC351" s="185"/>
      <c r="BD351" s="185"/>
      <c r="BE351" s="185"/>
    </row>
    <row r="352">
      <c r="A352" s="152"/>
      <c r="B352" s="152"/>
      <c r="C352" s="152"/>
      <c r="D352" s="152" t="s">
        <v>3233</v>
      </c>
      <c r="E352" s="152" t="s">
        <v>3234</v>
      </c>
      <c r="F352" s="152" t="s">
        <v>332</v>
      </c>
      <c r="G352" s="163" t="s">
        <v>3235</v>
      </c>
      <c r="H352" s="152" t="s">
        <v>3236</v>
      </c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 t="s">
        <v>3237</v>
      </c>
      <c r="Z352" s="157" t="s">
        <v>3237</v>
      </c>
      <c r="AA352" s="152"/>
      <c r="AB352" s="152"/>
      <c r="AC352" s="152"/>
      <c r="AD352" s="152"/>
      <c r="AE352" s="185"/>
      <c r="AF352" s="185"/>
      <c r="AG352" s="185"/>
      <c r="AH352" s="185"/>
      <c r="AI352" s="185"/>
      <c r="AJ352" s="185"/>
      <c r="AK352" s="185"/>
      <c r="AL352" s="185"/>
      <c r="AM352" s="185"/>
      <c r="AN352" s="185"/>
      <c r="AO352" s="185"/>
      <c r="AP352" s="185"/>
      <c r="AQ352" s="185"/>
      <c r="AR352" s="185"/>
      <c r="AS352" s="185"/>
      <c r="AT352" s="185"/>
      <c r="AU352" s="185"/>
      <c r="AV352" s="185"/>
      <c r="AW352" s="185"/>
      <c r="AX352" s="185"/>
      <c r="AY352" s="185"/>
      <c r="AZ352" s="185"/>
      <c r="BA352" s="185"/>
      <c r="BB352" s="185"/>
      <c r="BC352" s="185"/>
      <c r="BD352" s="185"/>
      <c r="BE352" s="185"/>
    </row>
    <row r="353">
      <c r="A353" s="152"/>
      <c r="B353" s="152"/>
      <c r="C353" s="152"/>
      <c r="D353" s="152" t="s">
        <v>3238</v>
      </c>
      <c r="E353" s="152" t="s">
        <v>3239</v>
      </c>
      <c r="F353" s="152" t="s">
        <v>1541</v>
      </c>
      <c r="G353" s="152" t="s">
        <v>3240</v>
      </c>
      <c r="H353" s="152" t="s">
        <v>3241</v>
      </c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 t="s">
        <v>3242</v>
      </c>
      <c r="Z353" s="157" t="s">
        <v>3242</v>
      </c>
      <c r="AA353" s="152"/>
      <c r="AB353" s="152"/>
      <c r="AC353" s="152"/>
      <c r="AD353" s="152"/>
      <c r="AE353" s="185"/>
      <c r="AF353" s="185"/>
      <c r="AG353" s="185"/>
      <c r="AH353" s="185"/>
      <c r="AI353" s="185"/>
      <c r="AJ353" s="185"/>
      <c r="AK353" s="185"/>
      <c r="AL353" s="185"/>
      <c r="AM353" s="185"/>
      <c r="AN353" s="185"/>
      <c r="AO353" s="185"/>
      <c r="AP353" s="185"/>
      <c r="AQ353" s="185"/>
      <c r="AR353" s="185"/>
      <c r="AS353" s="185"/>
      <c r="AT353" s="185"/>
      <c r="AU353" s="185"/>
      <c r="AV353" s="185"/>
      <c r="AW353" s="185"/>
      <c r="AX353" s="185"/>
      <c r="AY353" s="185"/>
      <c r="AZ353" s="185"/>
      <c r="BA353" s="185"/>
      <c r="BB353" s="185"/>
      <c r="BC353" s="185"/>
      <c r="BD353" s="185"/>
      <c r="BE353" s="185"/>
    </row>
    <row r="354">
      <c r="A354" s="152"/>
      <c r="B354" s="152"/>
      <c r="C354" s="152"/>
      <c r="D354" s="152" t="s">
        <v>3243</v>
      </c>
      <c r="E354" s="152" t="s">
        <v>3244</v>
      </c>
      <c r="F354" s="152" t="s">
        <v>332</v>
      </c>
      <c r="G354" s="152" t="s">
        <v>3245</v>
      </c>
      <c r="H354" s="152" t="s">
        <v>3245</v>
      </c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 t="s">
        <v>3246</v>
      </c>
      <c r="Z354" s="157" t="s">
        <v>3246</v>
      </c>
      <c r="AA354" s="152"/>
      <c r="AB354" s="152"/>
      <c r="AC354" s="152"/>
      <c r="AD354" s="152"/>
      <c r="AE354" s="185"/>
      <c r="AF354" s="185"/>
      <c r="AG354" s="185"/>
      <c r="AH354" s="185"/>
      <c r="AI354" s="185"/>
      <c r="AJ354" s="185"/>
      <c r="AK354" s="185"/>
      <c r="AL354" s="185"/>
      <c r="AM354" s="185"/>
      <c r="AN354" s="185"/>
      <c r="AO354" s="185"/>
      <c r="AP354" s="185"/>
      <c r="AQ354" s="185"/>
      <c r="AR354" s="185"/>
      <c r="AS354" s="185"/>
      <c r="AT354" s="185"/>
      <c r="AU354" s="185"/>
      <c r="AV354" s="185"/>
      <c r="AW354" s="185"/>
      <c r="AX354" s="185"/>
      <c r="AY354" s="185"/>
      <c r="AZ354" s="185"/>
      <c r="BA354" s="185"/>
      <c r="BB354" s="185"/>
      <c r="BC354" s="185"/>
      <c r="BD354" s="185"/>
      <c r="BE354" s="185"/>
    </row>
    <row r="355">
      <c r="A355" s="152"/>
      <c r="B355" s="152"/>
      <c r="C355" s="152"/>
      <c r="D355" s="152" t="s">
        <v>3247</v>
      </c>
      <c r="E355" s="152" t="s">
        <v>3248</v>
      </c>
      <c r="F355" s="152" t="s">
        <v>806</v>
      </c>
      <c r="G355" s="163" t="s">
        <v>3249</v>
      </c>
      <c r="H355" s="152" t="s">
        <v>3250</v>
      </c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 t="s">
        <v>3251</v>
      </c>
      <c r="Z355" s="157" t="s">
        <v>3251</v>
      </c>
      <c r="AA355" s="152"/>
      <c r="AB355" s="152"/>
      <c r="AC355" s="152"/>
      <c r="AD355" s="152"/>
      <c r="AE355" s="185"/>
      <c r="AF355" s="185"/>
      <c r="AG355" s="185"/>
      <c r="AH355" s="185"/>
      <c r="AI355" s="185"/>
      <c r="AJ355" s="185"/>
      <c r="AK355" s="185"/>
      <c r="AL355" s="185"/>
      <c r="AM355" s="185"/>
      <c r="AN355" s="185"/>
      <c r="AO355" s="185"/>
      <c r="AP355" s="185"/>
      <c r="AQ355" s="185"/>
      <c r="AR355" s="185"/>
      <c r="AS355" s="185"/>
      <c r="AT355" s="185"/>
      <c r="AU355" s="185"/>
      <c r="AV355" s="185"/>
      <c r="AW355" s="185"/>
      <c r="AX355" s="185"/>
      <c r="AY355" s="185"/>
      <c r="AZ355" s="185"/>
      <c r="BA355" s="185"/>
      <c r="BB355" s="185"/>
      <c r="BC355" s="185"/>
      <c r="BD355" s="185"/>
      <c r="BE355" s="185"/>
    </row>
    <row r="356">
      <c r="A356" s="152"/>
      <c r="B356" s="152"/>
      <c r="C356" s="152"/>
      <c r="D356" s="152" t="s">
        <v>3252</v>
      </c>
      <c r="E356" s="152" t="s">
        <v>3253</v>
      </c>
      <c r="F356" s="152" t="s">
        <v>1560</v>
      </c>
      <c r="G356" s="152" t="s">
        <v>3254</v>
      </c>
      <c r="H356" s="152" t="s">
        <v>3255</v>
      </c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 t="s">
        <v>3256</v>
      </c>
      <c r="Z356" s="157" t="s">
        <v>3256</v>
      </c>
      <c r="AA356" s="152"/>
      <c r="AB356" s="152"/>
      <c r="AC356" s="152"/>
      <c r="AD356" s="152"/>
      <c r="AE356" s="185"/>
      <c r="AF356" s="185"/>
      <c r="AG356" s="185"/>
      <c r="AH356" s="185"/>
      <c r="AI356" s="185"/>
      <c r="AJ356" s="185"/>
      <c r="AK356" s="185"/>
      <c r="AL356" s="185"/>
      <c r="AM356" s="185"/>
      <c r="AN356" s="185"/>
      <c r="AO356" s="185"/>
      <c r="AP356" s="185"/>
      <c r="AQ356" s="185"/>
      <c r="AR356" s="185"/>
      <c r="AS356" s="185"/>
      <c r="AT356" s="185"/>
      <c r="AU356" s="185"/>
      <c r="AV356" s="185"/>
      <c r="AW356" s="185"/>
      <c r="AX356" s="185"/>
      <c r="AY356" s="185"/>
      <c r="AZ356" s="185"/>
      <c r="BA356" s="185"/>
      <c r="BB356" s="185"/>
      <c r="BC356" s="185"/>
      <c r="BD356" s="185"/>
      <c r="BE356" s="185"/>
    </row>
    <row r="357">
      <c r="A357" s="152"/>
      <c r="B357" s="152"/>
      <c r="C357" s="152"/>
      <c r="D357" s="152" t="s">
        <v>3257</v>
      </c>
      <c r="E357" s="152" t="s">
        <v>3258</v>
      </c>
      <c r="F357" s="152" t="s">
        <v>3259</v>
      </c>
      <c r="G357" s="152" t="s">
        <v>3260</v>
      </c>
      <c r="H357" s="152" t="s">
        <v>3261</v>
      </c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 t="s">
        <v>3262</v>
      </c>
      <c r="Z357" s="157" t="s">
        <v>3262</v>
      </c>
      <c r="AA357" s="152"/>
      <c r="AB357" s="152"/>
      <c r="AC357" s="152"/>
      <c r="AD357" s="152"/>
      <c r="AE357" s="185"/>
      <c r="AF357" s="185"/>
      <c r="AG357" s="185"/>
      <c r="AH357" s="185"/>
      <c r="AI357" s="185"/>
      <c r="AJ357" s="185"/>
      <c r="AK357" s="185"/>
      <c r="AL357" s="185"/>
      <c r="AM357" s="185"/>
      <c r="AN357" s="185"/>
      <c r="AO357" s="185"/>
      <c r="AP357" s="185"/>
      <c r="AQ357" s="185"/>
      <c r="AR357" s="185"/>
      <c r="AS357" s="185"/>
      <c r="AT357" s="185"/>
      <c r="AU357" s="185"/>
      <c r="AV357" s="185"/>
      <c r="AW357" s="185"/>
      <c r="AX357" s="185"/>
      <c r="AY357" s="185"/>
      <c r="AZ357" s="185"/>
      <c r="BA357" s="185"/>
      <c r="BB357" s="185"/>
      <c r="BC357" s="185"/>
      <c r="BD357" s="185"/>
      <c r="BE357" s="185"/>
    </row>
    <row r="358">
      <c r="A358" s="152"/>
      <c r="B358" s="152"/>
      <c r="C358" s="152"/>
      <c r="D358" s="152" t="s">
        <v>3263</v>
      </c>
      <c r="E358" s="152" t="s">
        <v>3264</v>
      </c>
      <c r="F358" s="152" t="s">
        <v>332</v>
      </c>
      <c r="G358" s="152" t="s">
        <v>3265</v>
      </c>
      <c r="H358" s="152" t="s">
        <v>3266</v>
      </c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 t="s">
        <v>3267</v>
      </c>
      <c r="Z358" s="157" t="s">
        <v>3267</v>
      </c>
      <c r="AA358" s="152"/>
      <c r="AB358" s="152"/>
      <c r="AC358" s="152"/>
      <c r="AD358" s="152"/>
      <c r="AE358" s="185"/>
      <c r="AF358" s="185"/>
      <c r="AG358" s="185"/>
      <c r="AH358" s="185"/>
      <c r="AI358" s="185"/>
      <c r="AJ358" s="185"/>
      <c r="AK358" s="185"/>
      <c r="AL358" s="185"/>
      <c r="AM358" s="185"/>
      <c r="AN358" s="185"/>
      <c r="AO358" s="185"/>
      <c r="AP358" s="185"/>
      <c r="AQ358" s="185"/>
      <c r="AR358" s="185"/>
      <c r="AS358" s="185"/>
      <c r="AT358" s="185"/>
      <c r="AU358" s="185"/>
      <c r="AV358" s="185"/>
      <c r="AW358" s="185"/>
      <c r="AX358" s="185"/>
      <c r="AY358" s="185"/>
      <c r="AZ358" s="185"/>
      <c r="BA358" s="185"/>
      <c r="BB358" s="185"/>
      <c r="BC358" s="185"/>
      <c r="BD358" s="185"/>
      <c r="BE358" s="185"/>
    </row>
    <row r="359">
      <c r="A359" s="152"/>
      <c r="B359" s="152"/>
      <c r="C359" s="152"/>
      <c r="D359" s="152" t="s">
        <v>3268</v>
      </c>
      <c r="E359" s="152" t="s">
        <v>3269</v>
      </c>
      <c r="F359" s="152" t="s">
        <v>806</v>
      </c>
      <c r="G359" s="152" t="s">
        <v>3270</v>
      </c>
      <c r="H359" s="152" t="s">
        <v>3271</v>
      </c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 t="s">
        <v>3272</v>
      </c>
      <c r="Z359" s="157" t="s">
        <v>3272</v>
      </c>
      <c r="AA359" s="152"/>
      <c r="AB359" s="152"/>
      <c r="AC359" s="152"/>
      <c r="AD359" s="152"/>
      <c r="AE359" s="185"/>
      <c r="AF359" s="185"/>
      <c r="AG359" s="185"/>
      <c r="AH359" s="185"/>
      <c r="AI359" s="185"/>
      <c r="AJ359" s="185"/>
      <c r="AK359" s="185"/>
      <c r="AL359" s="185"/>
      <c r="AM359" s="185"/>
      <c r="AN359" s="185"/>
      <c r="AO359" s="185"/>
      <c r="AP359" s="185"/>
      <c r="AQ359" s="185"/>
      <c r="AR359" s="185"/>
      <c r="AS359" s="185"/>
      <c r="AT359" s="185"/>
      <c r="AU359" s="185"/>
      <c r="AV359" s="185"/>
      <c r="AW359" s="185"/>
      <c r="AX359" s="185"/>
      <c r="AY359" s="185"/>
      <c r="AZ359" s="185"/>
      <c r="BA359" s="185"/>
      <c r="BB359" s="185"/>
      <c r="BC359" s="185"/>
      <c r="BD359" s="185"/>
      <c r="BE359" s="185"/>
    </row>
    <row r="360">
      <c r="A360" s="152"/>
      <c r="B360" s="152"/>
      <c r="C360" s="152"/>
      <c r="D360" s="152" t="s">
        <v>3273</v>
      </c>
      <c r="E360" s="152" t="s">
        <v>3274</v>
      </c>
      <c r="F360" s="152"/>
      <c r="G360" s="152" t="s">
        <v>3275</v>
      </c>
      <c r="H360" s="152" t="s">
        <v>3275</v>
      </c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 t="s">
        <v>3276</v>
      </c>
      <c r="Z360" s="157" t="s">
        <v>3276</v>
      </c>
      <c r="AA360" s="152"/>
      <c r="AB360" s="152"/>
      <c r="AC360" s="152"/>
      <c r="AD360" s="152"/>
      <c r="AE360" s="185"/>
      <c r="AF360" s="185"/>
      <c r="AG360" s="185"/>
      <c r="AH360" s="185"/>
      <c r="AI360" s="185"/>
      <c r="AJ360" s="185"/>
      <c r="AK360" s="185"/>
      <c r="AL360" s="185"/>
      <c r="AM360" s="185"/>
      <c r="AN360" s="185"/>
      <c r="AO360" s="185"/>
      <c r="AP360" s="185"/>
      <c r="AQ360" s="185"/>
      <c r="AR360" s="185"/>
      <c r="AS360" s="185"/>
      <c r="AT360" s="185"/>
      <c r="AU360" s="185"/>
      <c r="AV360" s="185"/>
      <c r="AW360" s="185"/>
      <c r="AX360" s="185"/>
      <c r="AY360" s="185"/>
      <c r="AZ360" s="185"/>
      <c r="BA360" s="185"/>
      <c r="BB360" s="185"/>
      <c r="BC360" s="185"/>
      <c r="BD360" s="185"/>
      <c r="BE360" s="185"/>
    </row>
    <row r="361">
      <c r="A361" s="152"/>
      <c r="B361" s="152"/>
      <c r="C361" s="152"/>
      <c r="D361" s="152" t="s">
        <v>3277</v>
      </c>
      <c r="E361" s="152" t="s">
        <v>3278</v>
      </c>
      <c r="F361" s="152" t="s">
        <v>1004</v>
      </c>
      <c r="G361" s="152" t="s">
        <v>3279</v>
      </c>
      <c r="H361" s="152" t="s">
        <v>3279</v>
      </c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 t="s">
        <v>3280</v>
      </c>
      <c r="Z361" s="157" t="s">
        <v>3280</v>
      </c>
      <c r="AA361" s="152"/>
      <c r="AB361" s="152"/>
      <c r="AC361" s="152"/>
      <c r="AD361" s="152"/>
      <c r="AE361" s="185"/>
      <c r="AF361" s="185"/>
      <c r="AG361" s="185"/>
      <c r="AH361" s="185"/>
      <c r="AI361" s="185"/>
      <c r="AJ361" s="185"/>
      <c r="AK361" s="185"/>
      <c r="AL361" s="185"/>
      <c r="AM361" s="185"/>
      <c r="AN361" s="185"/>
      <c r="AO361" s="185"/>
      <c r="AP361" s="185"/>
      <c r="AQ361" s="185"/>
      <c r="AR361" s="185"/>
      <c r="AS361" s="185"/>
      <c r="AT361" s="185"/>
      <c r="AU361" s="185"/>
      <c r="AV361" s="185"/>
      <c r="AW361" s="185"/>
      <c r="AX361" s="185"/>
      <c r="AY361" s="185"/>
      <c r="AZ361" s="185"/>
      <c r="BA361" s="185"/>
      <c r="BB361" s="185"/>
      <c r="BC361" s="185"/>
      <c r="BD361" s="185"/>
      <c r="BE361" s="185"/>
    </row>
    <row r="362">
      <c r="A362" s="152"/>
      <c r="B362" s="152"/>
      <c r="C362" s="152"/>
      <c r="D362" s="152" t="s">
        <v>3281</v>
      </c>
      <c r="E362" s="152" t="s">
        <v>3282</v>
      </c>
      <c r="F362" s="152"/>
      <c r="G362" s="152" t="s">
        <v>3283</v>
      </c>
      <c r="H362" s="152" t="s">
        <v>3284</v>
      </c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 t="s">
        <v>3285</v>
      </c>
      <c r="Z362" s="157" t="s">
        <v>3285</v>
      </c>
      <c r="AA362" s="152"/>
      <c r="AB362" s="152"/>
      <c r="AC362" s="152"/>
      <c r="AD362" s="152"/>
      <c r="AE362" s="185"/>
      <c r="AF362" s="185"/>
      <c r="AG362" s="185"/>
      <c r="AH362" s="185"/>
      <c r="AI362" s="185"/>
      <c r="AJ362" s="185"/>
      <c r="AK362" s="185"/>
      <c r="AL362" s="185"/>
      <c r="AM362" s="185"/>
      <c r="AN362" s="185"/>
      <c r="AO362" s="185"/>
      <c r="AP362" s="185"/>
      <c r="AQ362" s="185"/>
      <c r="AR362" s="185"/>
      <c r="AS362" s="185"/>
      <c r="AT362" s="185"/>
      <c r="AU362" s="185"/>
      <c r="AV362" s="185"/>
      <c r="AW362" s="185"/>
      <c r="AX362" s="185"/>
      <c r="AY362" s="185"/>
      <c r="AZ362" s="185"/>
      <c r="BA362" s="185"/>
      <c r="BB362" s="185"/>
      <c r="BC362" s="185"/>
      <c r="BD362" s="185"/>
      <c r="BE362" s="185"/>
    </row>
    <row r="363">
      <c r="A363" s="152"/>
      <c r="B363" s="152"/>
      <c r="C363" s="152"/>
      <c r="D363" s="152" t="s">
        <v>3286</v>
      </c>
      <c r="E363" s="152" t="s">
        <v>3287</v>
      </c>
      <c r="F363" s="152" t="s">
        <v>1541</v>
      </c>
      <c r="G363" s="152" t="s">
        <v>3288</v>
      </c>
      <c r="H363" s="152" t="s">
        <v>3289</v>
      </c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 t="s">
        <v>3290</v>
      </c>
      <c r="Z363" s="157" t="s">
        <v>3290</v>
      </c>
      <c r="AA363" s="152"/>
      <c r="AB363" s="152"/>
      <c r="AC363" s="152"/>
      <c r="AD363" s="152"/>
      <c r="AE363" s="185"/>
      <c r="AF363" s="185"/>
      <c r="AG363" s="185"/>
      <c r="AH363" s="185"/>
      <c r="AI363" s="185"/>
      <c r="AJ363" s="185"/>
      <c r="AK363" s="185"/>
      <c r="AL363" s="185"/>
      <c r="AM363" s="185"/>
      <c r="AN363" s="185"/>
      <c r="AO363" s="185"/>
      <c r="AP363" s="185"/>
      <c r="AQ363" s="185"/>
      <c r="AR363" s="185"/>
      <c r="AS363" s="185"/>
      <c r="AT363" s="185"/>
      <c r="AU363" s="185"/>
      <c r="AV363" s="185"/>
      <c r="AW363" s="185"/>
      <c r="AX363" s="185"/>
      <c r="AY363" s="185"/>
      <c r="AZ363" s="185"/>
      <c r="BA363" s="185"/>
      <c r="BB363" s="185"/>
      <c r="BC363" s="185"/>
      <c r="BD363" s="185"/>
      <c r="BE363" s="185"/>
    </row>
    <row r="364">
      <c r="A364" s="152"/>
      <c r="B364" s="152"/>
      <c r="C364" s="152"/>
      <c r="D364" s="152" t="s">
        <v>3291</v>
      </c>
      <c r="E364" s="152" t="s">
        <v>3292</v>
      </c>
      <c r="F364" s="152" t="s">
        <v>332</v>
      </c>
      <c r="G364" s="152" t="s">
        <v>3293</v>
      </c>
      <c r="H364" s="152" t="s">
        <v>3294</v>
      </c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 t="s">
        <v>3295</v>
      </c>
      <c r="Z364" s="157" t="s">
        <v>3295</v>
      </c>
      <c r="AA364" s="152"/>
      <c r="AB364" s="152"/>
      <c r="AC364" s="152"/>
      <c r="AD364" s="152"/>
      <c r="AE364" s="185"/>
      <c r="AF364" s="185"/>
      <c r="AG364" s="185"/>
      <c r="AH364" s="185"/>
      <c r="AI364" s="185"/>
      <c r="AJ364" s="185"/>
      <c r="AK364" s="185"/>
      <c r="AL364" s="185"/>
      <c r="AM364" s="185"/>
      <c r="AN364" s="185"/>
      <c r="AO364" s="185"/>
      <c r="AP364" s="185"/>
      <c r="AQ364" s="185"/>
      <c r="AR364" s="185"/>
      <c r="AS364" s="185"/>
      <c r="AT364" s="185"/>
      <c r="AU364" s="185"/>
      <c r="AV364" s="185"/>
      <c r="AW364" s="185"/>
      <c r="AX364" s="185"/>
      <c r="AY364" s="185"/>
      <c r="AZ364" s="185"/>
      <c r="BA364" s="185"/>
      <c r="BB364" s="185"/>
      <c r="BC364" s="185"/>
      <c r="BD364" s="185"/>
      <c r="BE364" s="185"/>
    </row>
    <row r="365">
      <c r="A365" s="152"/>
      <c r="B365" s="152"/>
      <c r="C365" s="152"/>
      <c r="D365" s="152" t="s">
        <v>3296</v>
      </c>
      <c r="E365" s="152" t="s">
        <v>3297</v>
      </c>
      <c r="F365" s="152" t="s">
        <v>394</v>
      </c>
      <c r="G365" s="163" t="s">
        <v>3298</v>
      </c>
      <c r="H365" s="152" t="s">
        <v>3299</v>
      </c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 t="s">
        <v>3300</v>
      </c>
      <c r="Z365" s="157" t="s">
        <v>3300</v>
      </c>
      <c r="AA365" s="152"/>
      <c r="AB365" s="152"/>
      <c r="AC365" s="152"/>
      <c r="AD365" s="152"/>
      <c r="AE365" s="185"/>
      <c r="AF365" s="185"/>
      <c r="AG365" s="185"/>
      <c r="AH365" s="185"/>
      <c r="AI365" s="185"/>
      <c r="AJ365" s="185"/>
      <c r="AK365" s="185"/>
      <c r="AL365" s="185"/>
      <c r="AM365" s="185"/>
      <c r="AN365" s="185"/>
      <c r="AO365" s="185"/>
      <c r="AP365" s="185"/>
      <c r="AQ365" s="185"/>
      <c r="AR365" s="185"/>
      <c r="AS365" s="185"/>
      <c r="AT365" s="185"/>
      <c r="AU365" s="185"/>
      <c r="AV365" s="185"/>
      <c r="AW365" s="185"/>
      <c r="AX365" s="185"/>
      <c r="AY365" s="185"/>
      <c r="AZ365" s="185"/>
      <c r="BA365" s="185"/>
      <c r="BB365" s="185"/>
      <c r="BC365" s="185"/>
      <c r="BD365" s="185"/>
      <c r="BE365" s="185"/>
    </row>
    <row r="366">
      <c r="A366" s="152"/>
      <c r="B366" s="152"/>
      <c r="C366" s="152"/>
      <c r="D366" s="152" t="s">
        <v>3301</v>
      </c>
      <c r="E366" s="152" t="s">
        <v>3302</v>
      </c>
      <c r="F366" s="152" t="s">
        <v>332</v>
      </c>
      <c r="G366" s="152" t="s">
        <v>3303</v>
      </c>
      <c r="H366" s="152" t="s">
        <v>3304</v>
      </c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 t="s">
        <v>3305</v>
      </c>
      <c r="Z366" s="157" t="s">
        <v>3305</v>
      </c>
      <c r="AA366" s="152"/>
      <c r="AB366" s="152"/>
      <c r="AC366" s="152"/>
      <c r="AD366" s="152"/>
      <c r="AE366" s="185"/>
      <c r="AF366" s="185"/>
      <c r="AG366" s="185"/>
      <c r="AH366" s="185"/>
      <c r="AI366" s="185"/>
      <c r="AJ366" s="185"/>
      <c r="AK366" s="185"/>
      <c r="AL366" s="185"/>
      <c r="AM366" s="185"/>
      <c r="AN366" s="185"/>
      <c r="AO366" s="185"/>
      <c r="AP366" s="185"/>
      <c r="AQ366" s="185"/>
      <c r="AR366" s="185"/>
      <c r="AS366" s="185"/>
      <c r="AT366" s="185"/>
      <c r="AU366" s="185"/>
      <c r="AV366" s="185"/>
      <c r="AW366" s="185"/>
      <c r="AX366" s="185"/>
      <c r="AY366" s="185"/>
      <c r="AZ366" s="185"/>
      <c r="BA366" s="185"/>
      <c r="BB366" s="185"/>
      <c r="BC366" s="185"/>
      <c r="BD366" s="185"/>
      <c r="BE366" s="185"/>
    </row>
    <row r="367">
      <c r="A367" s="152"/>
      <c r="B367" s="152"/>
      <c r="C367" s="152"/>
      <c r="D367" s="152" t="s">
        <v>3306</v>
      </c>
      <c r="E367" s="152" t="s">
        <v>3307</v>
      </c>
      <c r="F367" s="152" t="s">
        <v>332</v>
      </c>
      <c r="G367" s="152" t="s">
        <v>3308</v>
      </c>
      <c r="H367" s="152" t="s">
        <v>3309</v>
      </c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 t="s">
        <v>3310</v>
      </c>
      <c r="Z367" s="157" t="s">
        <v>3310</v>
      </c>
      <c r="AA367" s="152"/>
      <c r="AB367" s="152"/>
      <c r="AC367" s="152"/>
      <c r="AD367" s="152"/>
      <c r="AE367" s="185"/>
      <c r="AF367" s="185"/>
      <c r="AG367" s="185"/>
      <c r="AH367" s="185"/>
      <c r="AI367" s="185"/>
      <c r="AJ367" s="185"/>
      <c r="AK367" s="185"/>
      <c r="AL367" s="185"/>
      <c r="AM367" s="185"/>
      <c r="AN367" s="185"/>
      <c r="AO367" s="185"/>
      <c r="AP367" s="185"/>
      <c r="AQ367" s="185"/>
      <c r="AR367" s="185"/>
      <c r="AS367" s="185"/>
      <c r="AT367" s="185"/>
      <c r="AU367" s="185"/>
      <c r="AV367" s="185"/>
      <c r="AW367" s="185"/>
      <c r="AX367" s="185"/>
      <c r="AY367" s="185"/>
      <c r="AZ367" s="185"/>
      <c r="BA367" s="185"/>
      <c r="BB367" s="185"/>
      <c r="BC367" s="185"/>
      <c r="BD367" s="185"/>
      <c r="BE367" s="185"/>
    </row>
    <row r="368">
      <c r="A368" s="152"/>
      <c r="B368" s="152"/>
      <c r="C368" s="152"/>
      <c r="D368" s="152" t="s">
        <v>3311</v>
      </c>
      <c r="E368" s="152" t="s">
        <v>3312</v>
      </c>
      <c r="F368" s="152" t="s">
        <v>332</v>
      </c>
      <c r="G368" s="163" t="s">
        <v>3313</v>
      </c>
      <c r="H368" s="152" t="s">
        <v>3314</v>
      </c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 t="s">
        <v>3315</v>
      </c>
      <c r="Z368" s="157" t="s">
        <v>3315</v>
      </c>
      <c r="AA368" s="152"/>
      <c r="AB368" s="152"/>
      <c r="AC368" s="152"/>
      <c r="AD368" s="152"/>
      <c r="AE368" s="185"/>
      <c r="AF368" s="185"/>
      <c r="AG368" s="185"/>
      <c r="AH368" s="185"/>
      <c r="AI368" s="185"/>
      <c r="AJ368" s="185"/>
      <c r="AK368" s="185"/>
      <c r="AL368" s="185"/>
      <c r="AM368" s="185"/>
      <c r="AN368" s="185"/>
      <c r="AO368" s="185"/>
      <c r="AP368" s="185"/>
      <c r="AQ368" s="185"/>
      <c r="AR368" s="185"/>
      <c r="AS368" s="185"/>
      <c r="AT368" s="185"/>
      <c r="AU368" s="185"/>
      <c r="AV368" s="185"/>
      <c r="AW368" s="185"/>
      <c r="AX368" s="185"/>
      <c r="AY368" s="185"/>
      <c r="AZ368" s="185"/>
      <c r="BA368" s="185"/>
      <c r="BB368" s="185"/>
      <c r="BC368" s="185"/>
      <c r="BD368" s="185"/>
      <c r="BE368" s="185"/>
    </row>
    <row r="369">
      <c r="A369" s="152"/>
      <c r="B369" s="152"/>
      <c r="C369" s="152"/>
      <c r="D369" s="152" t="s">
        <v>3316</v>
      </c>
      <c r="E369" s="152" t="s">
        <v>3317</v>
      </c>
      <c r="F369" s="152" t="s">
        <v>2675</v>
      </c>
      <c r="G369" s="152" t="s">
        <v>1170</v>
      </c>
      <c r="H369" s="152" t="s">
        <v>1170</v>
      </c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 t="s">
        <v>3318</v>
      </c>
      <c r="Z369" s="157" t="s">
        <v>3318</v>
      </c>
      <c r="AA369" s="152"/>
      <c r="AB369" s="152"/>
      <c r="AC369" s="152"/>
      <c r="AD369" s="152"/>
      <c r="AE369" s="185"/>
      <c r="AF369" s="185"/>
      <c r="AG369" s="185"/>
      <c r="AH369" s="185"/>
      <c r="AI369" s="185"/>
      <c r="AJ369" s="185"/>
      <c r="AK369" s="185"/>
      <c r="AL369" s="185"/>
      <c r="AM369" s="185"/>
      <c r="AN369" s="185"/>
      <c r="AO369" s="185"/>
      <c r="AP369" s="185"/>
      <c r="AQ369" s="185"/>
      <c r="AR369" s="185"/>
      <c r="AS369" s="185"/>
      <c r="AT369" s="185"/>
      <c r="AU369" s="185"/>
      <c r="AV369" s="185"/>
      <c r="AW369" s="185"/>
      <c r="AX369" s="185"/>
      <c r="AY369" s="185"/>
      <c r="AZ369" s="185"/>
      <c r="BA369" s="185"/>
      <c r="BB369" s="185"/>
      <c r="BC369" s="185"/>
      <c r="BD369" s="185"/>
      <c r="BE369" s="185"/>
    </row>
    <row r="370">
      <c r="A370" s="152"/>
      <c r="B370" s="152"/>
      <c r="C370" s="152"/>
      <c r="D370" s="152" t="s">
        <v>3319</v>
      </c>
      <c r="E370" s="152" t="s">
        <v>3317</v>
      </c>
      <c r="F370" s="152" t="s">
        <v>1560</v>
      </c>
      <c r="G370" s="152" t="s">
        <v>3320</v>
      </c>
      <c r="H370" s="152" t="s">
        <v>3321</v>
      </c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 t="s">
        <v>3322</v>
      </c>
      <c r="Z370" s="157" t="s">
        <v>3322</v>
      </c>
      <c r="AA370" s="152"/>
      <c r="AB370" s="152"/>
      <c r="AC370" s="152"/>
      <c r="AD370" s="152"/>
      <c r="AE370" s="185"/>
      <c r="AF370" s="185"/>
      <c r="AG370" s="185"/>
      <c r="AH370" s="185"/>
      <c r="AI370" s="185"/>
      <c r="AJ370" s="185"/>
      <c r="AK370" s="185"/>
      <c r="AL370" s="185"/>
      <c r="AM370" s="185"/>
      <c r="AN370" s="185"/>
      <c r="AO370" s="185"/>
      <c r="AP370" s="185"/>
      <c r="AQ370" s="185"/>
      <c r="AR370" s="185"/>
      <c r="AS370" s="185"/>
      <c r="AT370" s="185"/>
      <c r="AU370" s="185"/>
      <c r="AV370" s="185"/>
      <c r="AW370" s="185"/>
      <c r="AX370" s="185"/>
      <c r="AY370" s="185"/>
      <c r="AZ370" s="185"/>
      <c r="BA370" s="185"/>
      <c r="BB370" s="185"/>
      <c r="BC370" s="185"/>
      <c r="BD370" s="185"/>
      <c r="BE370" s="185"/>
    </row>
    <row r="371">
      <c r="A371" s="152"/>
      <c r="B371" s="152"/>
      <c r="C371" s="152"/>
      <c r="D371" s="152" t="s">
        <v>3323</v>
      </c>
      <c r="E371" s="152" t="s">
        <v>3316</v>
      </c>
      <c r="F371" s="152" t="s">
        <v>332</v>
      </c>
      <c r="G371" s="152" t="s">
        <v>3324</v>
      </c>
      <c r="H371" s="152" t="s">
        <v>3325</v>
      </c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 t="s">
        <v>3326</v>
      </c>
      <c r="Z371" s="157" t="s">
        <v>3326</v>
      </c>
      <c r="AA371" s="152"/>
      <c r="AB371" s="152"/>
      <c r="AC371" s="152"/>
      <c r="AD371" s="152"/>
      <c r="AE371" s="185"/>
      <c r="AF371" s="185"/>
      <c r="AG371" s="185"/>
      <c r="AH371" s="185"/>
      <c r="AI371" s="185"/>
      <c r="AJ371" s="185"/>
      <c r="AK371" s="185"/>
      <c r="AL371" s="185"/>
      <c r="AM371" s="185"/>
      <c r="AN371" s="185"/>
      <c r="AO371" s="185"/>
      <c r="AP371" s="185"/>
      <c r="AQ371" s="185"/>
      <c r="AR371" s="185"/>
      <c r="AS371" s="185"/>
      <c r="AT371" s="185"/>
      <c r="AU371" s="185"/>
      <c r="AV371" s="185"/>
      <c r="AW371" s="185"/>
      <c r="AX371" s="185"/>
      <c r="AY371" s="185"/>
      <c r="AZ371" s="185"/>
      <c r="BA371" s="185"/>
      <c r="BB371" s="185"/>
      <c r="BC371" s="185"/>
      <c r="BD371" s="185"/>
      <c r="BE371" s="185"/>
    </row>
    <row r="372">
      <c r="A372" s="152"/>
      <c r="B372" s="152"/>
      <c r="C372" s="152"/>
      <c r="D372" s="152" t="s">
        <v>3327</v>
      </c>
      <c r="E372" s="152" t="s">
        <v>3328</v>
      </c>
      <c r="F372" s="152" t="s">
        <v>939</v>
      </c>
      <c r="G372" s="152" t="s">
        <v>3329</v>
      </c>
      <c r="H372" s="152" t="s">
        <v>3330</v>
      </c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 t="s">
        <v>3331</v>
      </c>
      <c r="Z372" s="157" t="s">
        <v>3331</v>
      </c>
      <c r="AA372" s="152"/>
      <c r="AB372" s="152"/>
      <c r="AC372" s="152"/>
      <c r="AD372" s="152"/>
      <c r="AE372" s="185"/>
      <c r="AF372" s="185"/>
      <c r="AG372" s="185"/>
      <c r="AH372" s="185"/>
      <c r="AI372" s="185"/>
      <c r="AJ372" s="185"/>
      <c r="AK372" s="185"/>
      <c r="AL372" s="185"/>
      <c r="AM372" s="185"/>
      <c r="AN372" s="185"/>
      <c r="AO372" s="185"/>
      <c r="AP372" s="185"/>
      <c r="AQ372" s="185"/>
      <c r="AR372" s="185"/>
      <c r="AS372" s="185"/>
      <c r="AT372" s="185"/>
      <c r="AU372" s="185"/>
      <c r="AV372" s="185"/>
      <c r="AW372" s="185"/>
      <c r="AX372" s="185"/>
      <c r="AY372" s="185"/>
      <c r="AZ372" s="185"/>
      <c r="BA372" s="185"/>
      <c r="BB372" s="185"/>
      <c r="BC372" s="185"/>
      <c r="BD372" s="185"/>
      <c r="BE372" s="185"/>
    </row>
    <row r="373">
      <c r="A373" s="152"/>
      <c r="B373" s="152"/>
      <c r="C373" s="152"/>
      <c r="D373" s="152" t="s">
        <v>3332</v>
      </c>
      <c r="E373" s="152" t="s">
        <v>3333</v>
      </c>
      <c r="F373" s="152" t="s">
        <v>394</v>
      </c>
      <c r="G373" s="152" t="s">
        <v>3334</v>
      </c>
      <c r="H373" s="152" t="s">
        <v>3335</v>
      </c>
      <c r="I373" s="152" t="s">
        <v>486</v>
      </c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 t="s">
        <v>3336</v>
      </c>
      <c r="Z373" s="157" t="s">
        <v>3336</v>
      </c>
      <c r="AA373" s="152"/>
      <c r="AB373" s="152"/>
      <c r="AC373" s="152"/>
      <c r="AD373" s="152"/>
      <c r="AE373" s="185"/>
      <c r="AF373" s="185"/>
      <c r="AG373" s="185"/>
      <c r="AH373" s="185"/>
      <c r="AI373" s="185"/>
      <c r="AJ373" s="185"/>
      <c r="AK373" s="185"/>
      <c r="AL373" s="185"/>
      <c r="AM373" s="185"/>
      <c r="AN373" s="185"/>
      <c r="AO373" s="185"/>
      <c r="AP373" s="185"/>
      <c r="AQ373" s="185"/>
      <c r="AR373" s="185"/>
      <c r="AS373" s="185"/>
      <c r="AT373" s="185"/>
      <c r="AU373" s="185"/>
      <c r="AV373" s="185"/>
      <c r="AW373" s="185"/>
      <c r="AX373" s="185"/>
      <c r="AY373" s="185"/>
      <c r="AZ373" s="185"/>
      <c r="BA373" s="185"/>
      <c r="BB373" s="185"/>
      <c r="BC373" s="185"/>
      <c r="BD373" s="185"/>
      <c r="BE373" s="185"/>
    </row>
    <row r="374">
      <c r="A374" s="152"/>
      <c r="B374" s="152"/>
      <c r="C374" s="152"/>
      <c r="D374" s="152" t="s">
        <v>3337</v>
      </c>
      <c r="E374" s="152" t="s">
        <v>3338</v>
      </c>
      <c r="F374" s="152"/>
      <c r="G374" s="152" t="s">
        <v>3339</v>
      </c>
      <c r="H374" s="152" t="s">
        <v>3340</v>
      </c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 t="s">
        <v>3341</v>
      </c>
      <c r="Z374" s="157" t="s">
        <v>3341</v>
      </c>
      <c r="AA374" s="152"/>
      <c r="AB374" s="152"/>
      <c r="AC374" s="152"/>
      <c r="AD374" s="152"/>
      <c r="AE374" s="185"/>
      <c r="AF374" s="185"/>
      <c r="AG374" s="185"/>
      <c r="AH374" s="185"/>
      <c r="AI374" s="185"/>
      <c r="AJ374" s="185"/>
      <c r="AK374" s="185"/>
      <c r="AL374" s="185"/>
      <c r="AM374" s="185"/>
      <c r="AN374" s="185"/>
      <c r="AO374" s="185"/>
      <c r="AP374" s="185"/>
      <c r="AQ374" s="185"/>
      <c r="AR374" s="185"/>
      <c r="AS374" s="185"/>
      <c r="AT374" s="185"/>
      <c r="AU374" s="185"/>
      <c r="AV374" s="185"/>
      <c r="AW374" s="185"/>
      <c r="AX374" s="185"/>
      <c r="AY374" s="185"/>
      <c r="AZ374" s="185"/>
      <c r="BA374" s="185"/>
      <c r="BB374" s="185"/>
      <c r="BC374" s="185"/>
      <c r="BD374" s="185"/>
      <c r="BE374" s="185"/>
    </row>
    <row r="375">
      <c r="A375" s="152"/>
      <c r="B375" s="152"/>
      <c r="C375" s="152"/>
      <c r="D375" s="152" t="s">
        <v>3342</v>
      </c>
      <c r="E375" s="152" t="s">
        <v>3343</v>
      </c>
      <c r="F375" s="152"/>
      <c r="G375" s="152" t="s">
        <v>3344</v>
      </c>
      <c r="H375" s="152" t="s">
        <v>3345</v>
      </c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 t="s">
        <v>3346</v>
      </c>
      <c r="Z375" s="157" t="s">
        <v>3346</v>
      </c>
      <c r="AA375" s="152"/>
      <c r="AB375" s="152"/>
      <c r="AC375" s="152"/>
      <c r="AD375" s="152"/>
      <c r="AE375" s="185"/>
      <c r="AF375" s="185"/>
      <c r="AG375" s="185"/>
      <c r="AH375" s="185"/>
      <c r="AI375" s="185"/>
      <c r="AJ375" s="185"/>
      <c r="AK375" s="185"/>
      <c r="AL375" s="185"/>
      <c r="AM375" s="185"/>
      <c r="AN375" s="185"/>
      <c r="AO375" s="185"/>
      <c r="AP375" s="185"/>
      <c r="AQ375" s="185"/>
      <c r="AR375" s="185"/>
      <c r="AS375" s="185"/>
      <c r="AT375" s="185"/>
      <c r="AU375" s="185"/>
      <c r="AV375" s="185"/>
      <c r="AW375" s="185"/>
      <c r="AX375" s="185"/>
      <c r="AY375" s="185"/>
      <c r="AZ375" s="185"/>
      <c r="BA375" s="185"/>
      <c r="BB375" s="185"/>
      <c r="BC375" s="185"/>
      <c r="BD375" s="185"/>
      <c r="BE375" s="185"/>
    </row>
    <row r="376">
      <c r="A376" s="152"/>
      <c r="B376" s="152"/>
      <c r="C376" s="152"/>
      <c r="D376" s="152" t="s">
        <v>3347</v>
      </c>
      <c r="E376" s="152" t="s">
        <v>3348</v>
      </c>
      <c r="F376" s="152" t="s">
        <v>3349</v>
      </c>
      <c r="G376" s="152" t="s">
        <v>3350</v>
      </c>
      <c r="H376" s="152" t="s">
        <v>3351</v>
      </c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 t="s">
        <v>3352</v>
      </c>
      <c r="Z376" s="157" t="s">
        <v>3352</v>
      </c>
      <c r="AA376" s="152"/>
      <c r="AB376" s="152"/>
      <c r="AC376" s="152"/>
      <c r="AD376" s="152"/>
      <c r="AE376" s="185"/>
      <c r="AF376" s="185"/>
      <c r="AG376" s="185"/>
      <c r="AH376" s="185"/>
      <c r="AI376" s="185"/>
      <c r="AJ376" s="185"/>
      <c r="AK376" s="185"/>
      <c r="AL376" s="185"/>
      <c r="AM376" s="185"/>
      <c r="AN376" s="185"/>
      <c r="AO376" s="185"/>
      <c r="AP376" s="185"/>
      <c r="AQ376" s="185"/>
      <c r="AR376" s="185"/>
      <c r="AS376" s="185"/>
      <c r="AT376" s="185"/>
      <c r="AU376" s="185"/>
      <c r="AV376" s="185"/>
      <c r="AW376" s="185"/>
      <c r="AX376" s="185"/>
      <c r="AY376" s="185"/>
      <c r="AZ376" s="185"/>
      <c r="BA376" s="185"/>
      <c r="BB376" s="185"/>
      <c r="BC376" s="185"/>
      <c r="BD376" s="185"/>
      <c r="BE376" s="185"/>
    </row>
    <row r="377">
      <c r="A377" s="152"/>
      <c r="B377" s="152"/>
      <c r="C377" s="152"/>
      <c r="D377" s="152" t="s">
        <v>3353</v>
      </c>
      <c r="E377" s="152" t="s">
        <v>3354</v>
      </c>
      <c r="F377" s="152"/>
      <c r="G377" s="152" t="s">
        <v>3273</v>
      </c>
      <c r="H377" s="152" t="s">
        <v>3355</v>
      </c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 t="s">
        <v>3356</v>
      </c>
      <c r="Z377" s="157" t="s">
        <v>3356</v>
      </c>
      <c r="AA377" s="152"/>
      <c r="AB377" s="152"/>
      <c r="AC377" s="152"/>
      <c r="AD377" s="152"/>
      <c r="AE377" s="185"/>
      <c r="AF377" s="185"/>
      <c r="AG377" s="185"/>
      <c r="AH377" s="185"/>
      <c r="AI377" s="185"/>
      <c r="AJ377" s="185"/>
      <c r="AK377" s="185"/>
      <c r="AL377" s="185"/>
      <c r="AM377" s="185"/>
      <c r="AN377" s="185"/>
      <c r="AO377" s="185"/>
      <c r="AP377" s="185"/>
      <c r="AQ377" s="185"/>
      <c r="AR377" s="185"/>
      <c r="AS377" s="185"/>
      <c r="AT377" s="185"/>
      <c r="AU377" s="185"/>
      <c r="AV377" s="185"/>
      <c r="AW377" s="185"/>
      <c r="AX377" s="185"/>
      <c r="AY377" s="185"/>
      <c r="AZ377" s="185"/>
      <c r="BA377" s="185"/>
      <c r="BB377" s="185"/>
      <c r="BC377" s="185"/>
      <c r="BD377" s="185"/>
      <c r="BE377" s="185"/>
    </row>
    <row r="378">
      <c r="A378" s="152"/>
      <c r="B378" s="152"/>
      <c r="C378" s="152"/>
      <c r="D378" s="152" t="s">
        <v>3357</v>
      </c>
      <c r="E378" s="152" t="s">
        <v>3358</v>
      </c>
      <c r="F378" s="152" t="s">
        <v>332</v>
      </c>
      <c r="G378" s="152" t="s">
        <v>3359</v>
      </c>
      <c r="H378" s="152" t="s">
        <v>3360</v>
      </c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 t="s">
        <v>3361</v>
      </c>
      <c r="Z378" s="157" t="s">
        <v>3361</v>
      </c>
      <c r="AA378" s="152"/>
      <c r="AB378" s="152"/>
      <c r="AC378" s="152"/>
      <c r="AD378" s="152"/>
      <c r="AE378" s="185"/>
      <c r="AF378" s="185"/>
      <c r="AG378" s="185"/>
      <c r="AH378" s="185"/>
      <c r="AI378" s="185"/>
      <c r="AJ378" s="185"/>
      <c r="AK378" s="185"/>
      <c r="AL378" s="185"/>
      <c r="AM378" s="185"/>
      <c r="AN378" s="185"/>
      <c r="AO378" s="185"/>
      <c r="AP378" s="185"/>
      <c r="AQ378" s="185"/>
      <c r="AR378" s="185"/>
      <c r="AS378" s="185"/>
      <c r="AT378" s="185"/>
      <c r="AU378" s="185"/>
      <c r="AV378" s="185"/>
      <c r="AW378" s="185"/>
      <c r="AX378" s="185"/>
      <c r="AY378" s="185"/>
      <c r="AZ378" s="185"/>
      <c r="BA378" s="185"/>
      <c r="BB378" s="185"/>
      <c r="BC378" s="185"/>
      <c r="BD378" s="185"/>
      <c r="BE378" s="185"/>
    </row>
    <row r="379">
      <c r="A379" s="152"/>
      <c r="B379" s="152"/>
      <c r="C379" s="152"/>
      <c r="D379" s="152" t="s">
        <v>3362</v>
      </c>
      <c r="E379" s="152" t="s">
        <v>3363</v>
      </c>
      <c r="F379" s="152" t="s">
        <v>855</v>
      </c>
      <c r="G379" s="163" t="s">
        <v>3364</v>
      </c>
      <c r="H379" s="152" t="s">
        <v>3365</v>
      </c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 t="s">
        <v>204</v>
      </c>
      <c r="Z379" s="157" t="s">
        <v>204</v>
      </c>
      <c r="AA379" s="152"/>
      <c r="AB379" s="152"/>
      <c r="AC379" s="152"/>
      <c r="AD379" s="152"/>
      <c r="AE379" s="185"/>
      <c r="AF379" s="185"/>
      <c r="AG379" s="185"/>
      <c r="AH379" s="185"/>
      <c r="AI379" s="185"/>
      <c r="AJ379" s="185"/>
      <c r="AK379" s="185"/>
      <c r="AL379" s="185"/>
      <c r="AM379" s="185"/>
      <c r="AN379" s="185"/>
      <c r="AO379" s="185"/>
      <c r="AP379" s="185"/>
      <c r="AQ379" s="185"/>
      <c r="AR379" s="185"/>
      <c r="AS379" s="185"/>
      <c r="AT379" s="185"/>
      <c r="AU379" s="185"/>
      <c r="AV379" s="185"/>
      <c r="AW379" s="185"/>
      <c r="AX379" s="185"/>
      <c r="AY379" s="185"/>
      <c r="AZ379" s="185"/>
      <c r="BA379" s="185"/>
      <c r="BB379" s="185"/>
      <c r="BC379" s="185"/>
      <c r="BD379" s="185"/>
      <c r="BE379" s="185"/>
    </row>
    <row r="380">
      <c r="A380" s="152"/>
      <c r="B380" s="152"/>
      <c r="C380" s="152"/>
      <c r="D380" s="152" t="s">
        <v>3366</v>
      </c>
      <c r="E380" s="152" t="s">
        <v>3367</v>
      </c>
      <c r="F380" s="152" t="s">
        <v>332</v>
      </c>
      <c r="G380" s="152" t="s">
        <v>3368</v>
      </c>
      <c r="H380" s="152" t="s">
        <v>3369</v>
      </c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 t="s">
        <v>3370</v>
      </c>
      <c r="Z380" s="157" t="s">
        <v>3370</v>
      </c>
      <c r="AA380" s="152"/>
      <c r="AB380" s="152"/>
      <c r="AC380" s="152"/>
      <c r="AD380" s="152"/>
      <c r="AE380" s="185"/>
      <c r="AF380" s="185"/>
      <c r="AG380" s="185"/>
      <c r="AH380" s="185"/>
      <c r="AI380" s="185"/>
      <c r="AJ380" s="185"/>
      <c r="AK380" s="185"/>
      <c r="AL380" s="185"/>
      <c r="AM380" s="185"/>
      <c r="AN380" s="185"/>
      <c r="AO380" s="185"/>
      <c r="AP380" s="185"/>
      <c r="AQ380" s="185"/>
      <c r="AR380" s="185"/>
      <c r="AS380" s="185"/>
      <c r="AT380" s="185"/>
      <c r="AU380" s="185"/>
      <c r="AV380" s="185"/>
      <c r="AW380" s="185"/>
      <c r="AX380" s="185"/>
      <c r="AY380" s="185"/>
      <c r="AZ380" s="185"/>
      <c r="BA380" s="185"/>
      <c r="BB380" s="185"/>
      <c r="BC380" s="185"/>
      <c r="BD380" s="185"/>
      <c r="BE380" s="185"/>
    </row>
    <row r="381">
      <c r="A381" s="152"/>
      <c r="B381" s="152"/>
      <c r="C381" s="152"/>
      <c r="D381" s="152" t="s">
        <v>3371</v>
      </c>
      <c r="E381" s="152" t="s">
        <v>3372</v>
      </c>
      <c r="F381" s="152" t="s">
        <v>939</v>
      </c>
      <c r="G381" s="163" t="s">
        <v>3373</v>
      </c>
      <c r="H381" s="152" t="s">
        <v>3374</v>
      </c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 t="s">
        <v>3375</v>
      </c>
      <c r="Z381" s="157" t="s">
        <v>3375</v>
      </c>
      <c r="AA381" s="152"/>
      <c r="AB381" s="152"/>
      <c r="AC381" s="152"/>
      <c r="AD381" s="152"/>
      <c r="AE381" s="185"/>
      <c r="AF381" s="185"/>
      <c r="AG381" s="185"/>
      <c r="AH381" s="185"/>
      <c r="AI381" s="185"/>
      <c r="AJ381" s="185"/>
      <c r="AK381" s="185"/>
      <c r="AL381" s="185"/>
      <c r="AM381" s="185"/>
      <c r="AN381" s="185"/>
      <c r="AO381" s="185"/>
      <c r="AP381" s="185"/>
      <c r="AQ381" s="185"/>
      <c r="AR381" s="185"/>
      <c r="AS381" s="185"/>
      <c r="AT381" s="185"/>
      <c r="AU381" s="185"/>
      <c r="AV381" s="185"/>
      <c r="AW381" s="185"/>
      <c r="AX381" s="185"/>
      <c r="AY381" s="185"/>
      <c r="AZ381" s="185"/>
      <c r="BA381" s="185"/>
      <c r="BB381" s="185"/>
      <c r="BC381" s="185"/>
      <c r="BD381" s="185"/>
      <c r="BE381" s="185"/>
    </row>
    <row r="382">
      <c r="A382" s="152"/>
      <c r="B382" s="152"/>
      <c r="C382" s="152"/>
      <c r="D382" s="152" t="s">
        <v>3376</v>
      </c>
      <c r="E382" s="152" t="s">
        <v>3377</v>
      </c>
      <c r="F382" s="152" t="s">
        <v>394</v>
      </c>
      <c r="G382" s="152" t="s">
        <v>3378</v>
      </c>
      <c r="H382" s="152" t="s">
        <v>3379</v>
      </c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 t="s">
        <v>3380</v>
      </c>
      <c r="Z382" s="157" t="s">
        <v>3380</v>
      </c>
      <c r="AA382" s="152"/>
      <c r="AB382" s="152"/>
      <c r="AC382" s="152"/>
      <c r="AD382" s="152"/>
      <c r="AE382" s="185"/>
      <c r="AF382" s="185"/>
      <c r="AG382" s="185"/>
      <c r="AH382" s="185"/>
      <c r="AI382" s="185"/>
      <c r="AJ382" s="185"/>
      <c r="AK382" s="185"/>
      <c r="AL382" s="185"/>
      <c r="AM382" s="185"/>
      <c r="AN382" s="185"/>
      <c r="AO382" s="185"/>
      <c r="AP382" s="185"/>
      <c r="AQ382" s="185"/>
      <c r="AR382" s="185"/>
      <c r="AS382" s="185"/>
      <c r="AT382" s="185"/>
      <c r="AU382" s="185"/>
      <c r="AV382" s="185"/>
      <c r="AW382" s="185"/>
      <c r="AX382" s="185"/>
      <c r="AY382" s="185"/>
      <c r="AZ382" s="185"/>
      <c r="BA382" s="185"/>
      <c r="BB382" s="185"/>
      <c r="BC382" s="185"/>
      <c r="BD382" s="185"/>
      <c r="BE382" s="185"/>
    </row>
    <row r="383">
      <c r="A383" s="152"/>
      <c r="B383" s="152"/>
      <c r="C383" s="152"/>
      <c r="D383" s="152" t="s">
        <v>3381</v>
      </c>
      <c r="E383" s="152" t="s">
        <v>3382</v>
      </c>
      <c r="F383" s="152" t="s">
        <v>394</v>
      </c>
      <c r="G383" s="152" t="s">
        <v>3383</v>
      </c>
      <c r="H383" s="152" t="s">
        <v>3384</v>
      </c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 t="s">
        <v>3385</v>
      </c>
      <c r="Z383" s="157" t="s">
        <v>3385</v>
      </c>
      <c r="AA383" s="152"/>
      <c r="AB383" s="152"/>
      <c r="AC383" s="152"/>
      <c r="AD383" s="152"/>
      <c r="AE383" s="185"/>
      <c r="AF383" s="185"/>
      <c r="AG383" s="185"/>
      <c r="AH383" s="185"/>
      <c r="AI383" s="185"/>
      <c r="AJ383" s="185"/>
      <c r="AK383" s="185"/>
      <c r="AL383" s="185"/>
      <c r="AM383" s="185"/>
      <c r="AN383" s="185"/>
      <c r="AO383" s="185"/>
      <c r="AP383" s="185"/>
      <c r="AQ383" s="185"/>
      <c r="AR383" s="185"/>
      <c r="AS383" s="185"/>
      <c r="AT383" s="185"/>
      <c r="AU383" s="185"/>
      <c r="AV383" s="185"/>
      <c r="AW383" s="185"/>
      <c r="AX383" s="185"/>
      <c r="AY383" s="185"/>
      <c r="AZ383" s="185"/>
      <c r="BA383" s="185"/>
      <c r="BB383" s="185"/>
      <c r="BC383" s="185"/>
      <c r="BD383" s="185"/>
      <c r="BE383" s="185"/>
    </row>
    <row r="384">
      <c r="A384" s="152"/>
      <c r="B384" s="152"/>
      <c r="C384" s="152"/>
      <c r="D384" s="152" t="s">
        <v>3386</v>
      </c>
      <c r="E384" s="152" t="s">
        <v>3387</v>
      </c>
      <c r="F384" s="152" t="s">
        <v>2512</v>
      </c>
      <c r="G384" s="152" t="s">
        <v>3388</v>
      </c>
      <c r="H384" s="152" t="s">
        <v>3389</v>
      </c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 t="s">
        <v>3390</v>
      </c>
      <c r="Z384" s="157" t="s">
        <v>3390</v>
      </c>
      <c r="AA384" s="152"/>
      <c r="AB384" s="152"/>
      <c r="AC384" s="152"/>
      <c r="AD384" s="152"/>
      <c r="AE384" s="185"/>
      <c r="AF384" s="185"/>
      <c r="AG384" s="185"/>
      <c r="AH384" s="185"/>
      <c r="AI384" s="185"/>
      <c r="AJ384" s="185"/>
      <c r="AK384" s="185"/>
      <c r="AL384" s="185"/>
      <c r="AM384" s="185"/>
      <c r="AN384" s="185"/>
      <c r="AO384" s="185"/>
      <c r="AP384" s="185"/>
      <c r="AQ384" s="185"/>
      <c r="AR384" s="185"/>
      <c r="AS384" s="185"/>
      <c r="AT384" s="185"/>
      <c r="AU384" s="185"/>
      <c r="AV384" s="185"/>
      <c r="AW384" s="185"/>
      <c r="AX384" s="185"/>
      <c r="AY384" s="185"/>
      <c r="AZ384" s="185"/>
      <c r="BA384" s="185"/>
      <c r="BB384" s="185"/>
      <c r="BC384" s="185"/>
      <c r="BD384" s="185"/>
      <c r="BE384" s="185"/>
    </row>
    <row r="385">
      <c r="A385" s="152"/>
      <c r="B385" s="152"/>
      <c r="C385" s="152"/>
      <c r="D385" s="152" t="s">
        <v>3391</v>
      </c>
      <c r="E385" s="152" t="s">
        <v>3392</v>
      </c>
      <c r="F385" s="152" t="s">
        <v>332</v>
      </c>
      <c r="G385" s="163" t="s">
        <v>3393</v>
      </c>
      <c r="H385" s="152" t="s">
        <v>3394</v>
      </c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 t="s">
        <v>3395</v>
      </c>
      <c r="Z385" s="157" t="s">
        <v>3395</v>
      </c>
      <c r="AA385" s="152"/>
      <c r="AB385" s="152"/>
      <c r="AC385" s="152"/>
      <c r="AD385" s="152"/>
      <c r="AE385" s="185"/>
      <c r="AF385" s="185"/>
      <c r="AG385" s="185"/>
      <c r="AH385" s="185"/>
      <c r="AI385" s="185"/>
      <c r="AJ385" s="185"/>
      <c r="AK385" s="185"/>
      <c r="AL385" s="185"/>
      <c r="AM385" s="185"/>
      <c r="AN385" s="185"/>
      <c r="AO385" s="185"/>
      <c r="AP385" s="185"/>
      <c r="AQ385" s="185"/>
      <c r="AR385" s="185"/>
      <c r="AS385" s="185"/>
      <c r="AT385" s="185"/>
      <c r="AU385" s="185"/>
      <c r="AV385" s="185"/>
      <c r="AW385" s="185"/>
      <c r="AX385" s="185"/>
      <c r="AY385" s="185"/>
      <c r="AZ385" s="185"/>
      <c r="BA385" s="185"/>
      <c r="BB385" s="185"/>
      <c r="BC385" s="185"/>
      <c r="BD385" s="185"/>
      <c r="BE385" s="185"/>
    </row>
    <row r="386">
      <c r="A386" s="152"/>
      <c r="B386" s="152"/>
      <c r="C386" s="152"/>
      <c r="D386" s="152" t="s">
        <v>3396</v>
      </c>
      <c r="E386" s="152" t="s">
        <v>3397</v>
      </c>
      <c r="F386" s="152" t="s">
        <v>332</v>
      </c>
      <c r="G386" s="152" t="s">
        <v>3398</v>
      </c>
      <c r="H386" s="152" t="s">
        <v>3399</v>
      </c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 t="s">
        <v>3400</v>
      </c>
      <c r="Z386" s="157" t="s">
        <v>3400</v>
      </c>
      <c r="AA386" s="152"/>
      <c r="AB386" s="152"/>
      <c r="AC386" s="152"/>
      <c r="AD386" s="152"/>
      <c r="AE386" s="185"/>
      <c r="AF386" s="185"/>
      <c r="AG386" s="185"/>
      <c r="AH386" s="185"/>
      <c r="AI386" s="185"/>
      <c r="AJ386" s="185"/>
      <c r="AK386" s="185"/>
      <c r="AL386" s="185"/>
      <c r="AM386" s="185"/>
      <c r="AN386" s="185"/>
      <c r="AO386" s="185"/>
      <c r="AP386" s="185"/>
      <c r="AQ386" s="185"/>
      <c r="AR386" s="185"/>
      <c r="AS386" s="185"/>
      <c r="AT386" s="185"/>
      <c r="AU386" s="185"/>
      <c r="AV386" s="185"/>
      <c r="AW386" s="185"/>
      <c r="AX386" s="185"/>
      <c r="AY386" s="185"/>
      <c r="AZ386" s="185"/>
      <c r="BA386" s="185"/>
      <c r="BB386" s="185"/>
      <c r="BC386" s="185"/>
      <c r="BD386" s="185"/>
      <c r="BE386" s="185"/>
    </row>
    <row r="387">
      <c r="A387" s="152"/>
      <c r="B387" s="152"/>
      <c r="C387" s="152"/>
      <c r="D387" s="152" t="s">
        <v>3401</v>
      </c>
      <c r="E387" s="152" t="s">
        <v>3402</v>
      </c>
      <c r="F387" s="152" t="s">
        <v>830</v>
      </c>
      <c r="G387" s="152" t="s">
        <v>3403</v>
      </c>
      <c r="H387" s="152" t="s">
        <v>3404</v>
      </c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 t="s">
        <v>3405</v>
      </c>
      <c r="Z387" s="157" t="s">
        <v>3405</v>
      </c>
      <c r="AA387" s="152"/>
      <c r="AB387" s="152"/>
      <c r="AC387" s="152"/>
      <c r="AD387" s="152"/>
      <c r="AE387" s="185"/>
      <c r="AF387" s="185"/>
      <c r="AG387" s="185"/>
      <c r="AH387" s="185"/>
      <c r="AI387" s="185"/>
      <c r="AJ387" s="185"/>
      <c r="AK387" s="185"/>
      <c r="AL387" s="185"/>
      <c r="AM387" s="185"/>
      <c r="AN387" s="185"/>
      <c r="AO387" s="185"/>
      <c r="AP387" s="185"/>
      <c r="AQ387" s="185"/>
      <c r="AR387" s="185"/>
      <c r="AS387" s="185"/>
      <c r="AT387" s="185"/>
      <c r="AU387" s="185"/>
      <c r="AV387" s="185"/>
      <c r="AW387" s="185"/>
      <c r="AX387" s="185"/>
      <c r="AY387" s="185"/>
      <c r="AZ387" s="185"/>
      <c r="BA387" s="185"/>
      <c r="BB387" s="185"/>
      <c r="BC387" s="185"/>
      <c r="BD387" s="185"/>
      <c r="BE387" s="185"/>
    </row>
    <row r="388">
      <c r="A388" s="152"/>
      <c r="B388" s="152"/>
      <c r="C388" s="152"/>
      <c r="D388" s="152" t="s">
        <v>3406</v>
      </c>
      <c r="E388" s="152" t="s">
        <v>3407</v>
      </c>
      <c r="F388" s="152" t="s">
        <v>830</v>
      </c>
      <c r="G388" s="152" t="s">
        <v>3408</v>
      </c>
      <c r="H388" s="152" t="s">
        <v>3409</v>
      </c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 t="s">
        <v>3410</v>
      </c>
      <c r="Z388" s="157" t="s">
        <v>3410</v>
      </c>
      <c r="AA388" s="152"/>
      <c r="AB388" s="152"/>
      <c r="AC388" s="152"/>
      <c r="AD388" s="152"/>
      <c r="AE388" s="185"/>
      <c r="AF388" s="185"/>
      <c r="AG388" s="185"/>
      <c r="AH388" s="185"/>
      <c r="AI388" s="185"/>
      <c r="AJ388" s="185"/>
      <c r="AK388" s="185"/>
      <c r="AL388" s="185"/>
      <c r="AM388" s="185"/>
      <c r="AN388" s="185"/>
      <c r="AO388" s="185"/>
      <c r="AP388" s="185"/>
      <c r="AQ388" s="185"/>
      <c r="AR388" s="185"/>
      <c r="AS388" s="185"/>
      <c r="AT388" s="185"/>
      <c r="AU388" s="185"/>
      <c r="AV388" s="185"/>
      <c r="AW388" s="185"/>
      <c r="AX388" s="185"/>
      <c r="AY388" s="185"/>
      <c r="AZ388" s="185"/>
      <c r="BA388" s="185"/>
      <c r="BB388" s="185"/>
      <c r="BC388" s="185"/>
      <c r="BD388" s="185"/>
      <c r="BE388" s="185"/>
    </row>
    <row r="389">
      <c r="A389" s="152"/>
      <c r="B389" s="152"/>
      <c r="C389" s="152"/>
      <c r="D389" s="152" t="s">
        <v>3411</v>
      </c>
      <c r="E389" s="152" t="s">
        <v>3412</v>
      </c>
      <c r="F389" s="152"/>
      <c r="G389" s="152" t="s">
        <v>3413</v>
      </c>
      <c r="H389" s="152" t="s">
        <v>3414</v>
      </c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 t="s">
        <v>3415</v>
      </c>
      <c r="Z389" s="157" t="s">
        <v>3415</v>
      </c>
      <c r="AA389" s="152"/>
      <c r="AB389" s="152"/>
      <c r="AC389" s="152"/>
      <c r="AD389" s="152"/>
      <c r="AE389" s="185"/>
      <c r="AF389" s="185"/>
      <c r="AG389" s="185"/>
      <c r="AH389" s="185"/>
      <c r="AI389" s="185"/>
      <c r="AJ389" s="185"/>
      <c r="AK389" s="185"/>
      <c r="AL389" s="185"/>
      <c r="AM389" s="185"/>
      <c r="AN389" s="185"/>
      <c r="AO389" s="185"/>
      <c r="AP389" s="185"/>
      <c r="AQ389" s="185"/>
      <c r="AR389" s="185"/>
      <c r="AS389" s="185"/>
      <c r="AT389" s="185"/>
      <c r="AU389" s="185"/>
      <c r="AV389" s="185"/>
      <c r="AW389" s="185"/>
      <c r="AX389" s="185"/>
      <c r="AY389" s="185"/>
      <c r="AZ389" s="185"/>
      <c r="BA389" s="185"/>
      <c r="BB389" s="185"/>
      <c r="BC389" s="185"/>
      <c r="BD389" s="185"/>
      <c r="BE389" s="185"/>
    </row>
    <row r="390">
      <c r="A390" s="152"/>
      <c r="B390" s="152"/>
      <c r="C390" s="152"/>
      <c r="D390" s="152" t="s">
        <v>3416</v>
      </c>
      <c r="E390" s="152" t="s">
        <v>3417</v>
      </c>
      <c r="F390" s="152" t="s">
        <v>394</v>
      </c>
      <c r="G390" s="152" t="s">
        <v>3418</v>
      </c>
      <c r="H390" s="152" t="s">
        <v>3419</v>
      </c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 t="s">
        <v>3420</v>
      </c>
      <c r="Z390" s="157" t="s">
        <v>3420</v>
      </c>
      <c r="AA390" s="152"/>
      <c r="AB390" s="152"/>
      <c r="AC390" s="152"/>
      <c r="AD390" s="152"/>
      <c r="AE390" s="185"/>
      <c r="AF390" s="185"/>
      <c r="AG390" s="185"/>
      <c r="AH390" s="185"/>
      <c r="AI390" s="185"/>
      <c r="AJ390" s="185"/>
      <c r="AK390" s="185"/>
      <c r="AL390" s="185"/>
      <c r="AM390" s="185"/>
      <c r="AN390" s="185"/>
      <c r="AO390" s="185"/>
      <c r="AP390" s="185"/>
      <c r="AQ390" s="185"/>
      <c r="AR390" s="185"/>
      <c r="AS390" s="185"/>
      <c r="AT390" s="185"/>
      <c r="AU390" s="185"/>
      <c r="AV390" s="185"/>
      <c r="AW390" s="185"/>
      <c r="AX390" s="185"/>
      <c r="AY390" s="185"/>
      <c r="AZ390" s="185"/>
      <c r="BA390" s="185"/>
      <c r="BB390" s="185"/>
      <c r="BC390" s="185"/>
      <c r="BD390" s="185"/>
      <c r="BE390" s="185"/>
    </row>
    <row r="391">
      <c r="A391" s="152"/>
      <c r="B391" s="152"/>
      <c r="C391" s="152"/>
      <c r="D391" s="152" t="s">
        <v>3421</v>
      </c>
      <c r="E391" s="152" t="s">
        <v>3422</v>
      </c>
      <c r="F391" s="152" t="s">
        <v>332</v>
      </c>
      <c r="G391" s="152" t="s">
        <v>3423</v>
      </c>
      <c r="H391" s="152" t="s">
        <v>3424</v>
      </c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 t="s">
        <v>3425</v>
      </c>
      <c r="Z391" s="157" t="s">
        <v>3425</v>
      </c>
      <c r="AA391" s="152"/>
      <c r="AB391" s="152"/>
      <c r="AC391" s="152"/>
      <c r="AD391" s="152"/>
      <c r="AE391" s="185"/>
      <c r="AF391" s="185"/>
      <c r="AG391" s="185"/>
      <c r="AH391" s="185"/>
      <c r="AI391" s="185"/>
      <c r="AJ391" s="185"/>
      <c r="AK391" s="185"/>
      <c r="AL391" s="185"/>
      <c r="AM391" s="185"/>
      <c r="AN391" s="185"/>
      <c r="AO391" s="185"/>
      <c r="AP391" s="185"/>
      <c r="AQ391" s="185"/>
      <c r="AR391" s="185"/>
      <c r="AS391" s="185"/>
      <c r="AT391" s="185"/>
      <c r="AU391" s="185"/>
      <c r="AV391" s="185"/>
      <c r="AW391" s="185"/>
      <c r="AX391" s="185"/>
      <c r="AY391" s="185"/>
      <c r="AZ391" s="185"/>
      <c r="BA391" s="185"/>
      <c r="BB391" s="185"/>
      <c r="BC391" s="185"/>
      <c r="BD391" s="185"/>
      <c r="BE391" s="185"/>
    </row>
    <row r="392">
      <c r="A392" s="152"/>
      <c r="B392" s="152"/>
      <c r="C392" s="152"/>
      <c r="D392" s="152" t="s">
        <v>3426</v>
      </c>
      <c r="E392" s="152" t="s">
        <v>3427</v>
      </c>
      <c r="F392" s="152"/>
      <c r="G392" s="152" t="s">
        <v>3428</v>
      </c>
      <c r="H392" s="152" t="s">
        <v>3429</v>
      </c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 t="s">
        <v>109</v>
      </c>
      <c r="Z392" s="157" t="s">
        <v>109</v>
      </c>
      <c r="AA392" s="152"/>
      <c r="AB392" s="152"/>
      <c r="AC392" s="152"/>
      <c r="AD392" s="152"/>
      <c r="AE392" s="185"/>
      <c r="AF392" s="185"/>
      <c r="AG392" s="185"/>
      <c r="AH392" s="185"/>
      <c r="AI392" s="185"/>
      <c r="AJ392" s="185"/>
      <c r="AK392" s="185"/>
      <c r="AL392" s="185"/>
      <c r="AM392" s="185"/>
      <c r="AN392" s="185"/>
      <c r="AO392" s="185"/>
      <c r="AP392" s="185"/>
      <c r="AQ392" s="185"/>
      <c r="AR392" s="185"/>
      <c r="AS392" s="185"/>
      <c r="AT392" s="185"/>
      <c r="AU392" s="185"/>
      <c r="AV392" s="185"/>
      <c r="AW392" s="185"/>
      <c r="AX392" s="185"/>
      <c r="AY392" s="185"/>
      <c r="AZ392" s="185"/>
      <c r="BA392" s="185"/>
      <c r="BB392" s="185"/>
      <c r="BC392" s="185"/>
      <c r="BD392" s="185"/>
      <c r="BE392" s="185"/>
    </row>
    <row r="393">
      <c r="A393" s="152"/>
      <c r="B393" s="152"/>
      <c r="C393" s="152"/>
      <c r="D393" s="152" t="s">
        <v>3430</v>
      </c>
      <c r="E393" s="152" t="s">
        <v>3431</v>
      </c>
      <c r="F393" s="152" t="s">
        <v>394</v>
      </c>
      <c r="G393" s="152" t="s">
        <v>3432</v>
      </c>
      <c r="H393" s="152" t="s">
        <v>3433</v>
      </c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 t="s">
        <v>3434</v>
      </c>
      <c r="Z393" s="157" t="s">
        <v>3434</v>
      </c>
      <c r="AA393" s="152"/>
      <c r="AB393" s="152"/>
      <c r="AC393" s="152"/>
      <c r="AD393" s="152"/>
      <c r="AE393" s="185"/>
      <c r="AF393" s="185"/>
      <c r="AG393" s="185"/>
      <c r="AH393" s="185"/>
      <c r="AI393" s="185"/>
      <c r="AJ393" s="185"/>
      <c r="AK393" s="185"/>
      <c r="AL393" s="185"/>
      <c r="AM393" s="185"/>
      <c r="AN393" s="185"/>
      <c r="AO393" s="185"/>
      <c r="AP393" s="185"/>
      <c r="AQ393" s="185"/>
      <c r="AR393" s="185"/>
      <c r="AS393" s="185"/>
      <c r="AT393" s="185"/>
      <c r="AU393" s="185"/>
      <c r="AV393" s="185"/>
      <c r="AW393" s="185"/>
      <c r="AX393" s="185"/>
      <c r="AY393" s="185"/>
      <c r="AZ393" s="185"/>
      <c r="BA393" s="185"/>
      <c r="BB393" s="185"/>
      <c r="BC393" s="185"/>
      <c r="BD393" s="185"/>
      <c r="BE393" s="185"/>
    </row>
    <row r="394">
      <c r="A394" s="152"/>
      <c r="B394" s="152"/>
      <c r="C394" s="152"/>
      <c r="D394" s="152" t="s">
        <v>3435</v>
      </c>
      <c r="E394" s="152" t="s">
        <v>3436</v>
      </c>
      <c r="F394" s="152" t="s">
        <v>1709</v>
      </c>
      <c r="G394" s="163" t="s">
        <v>3437</v>
      </c>
      <c r="H394" s="152" t="s">
        <v>3438</v>
      </c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 t="s">
        <v>3439</v>
      </c>
      <c r="Z394" s="157" t="s">
        <v>3439</v>
      </c>
      <c r="AA394" s="152"/>
      <c r="AB394" s="152"/>
      <c r="AC394" s="152"/>
      <c r="AD394" s="152"/>
      <c r="AE394" s="185"/>
      <c r="AF394" s="185"/>
      <c r="AG394" s="185"/>
      <c r="AH394" s="185"/>
      <c r="AI394" s="185"/>
      <c r="AJ394" s="185"/>
      <c r="AK394" s="185"/>
      <c r="AL394" s="185"/>
      <c r="AM394" s="185"/>
      <c r="AN394" s="185"/>
      <c r="AO394" s="185"/>
      <c r="AP394" s="185"/>
      <c r="AQ394" s="185"/>
      <c r="AR394" s="185"/>
      <c r="AS394" s="185"/>
      <c r="AT394" s="185"/>
      <c r="AU394" s="185"/>
      <c r="AV394" s="185"/>
      <c r="AW394" s="185"/>
      <c r="AX394" s="185"/>
      <c r="AY394" s="185"/>
      <c r="AZ394" s="185"/>
      <c r="BA394" s="185"/>
      <c r="BB394" s="185"/>
      <c r="BC394" s="185"/>
      <c r="BD394" s="185"/>
      <c r="BE394" s="185"/>
    </row>
    <row r="395">
      <c r="A395" s="152"/>
      <c r="B395" s="152"/>
      <c r="C395" s="152"/>
      <c r="D395" s="152" t="s">
        <v>3440</v>
      </c>
      <c r="E395" s="152" t="s">
        <v>3441</v>
      </c>
      <c r="F395" s="152"/>
      <c r="G395" s="152" t="s">
        <v>3442</v>
      </c>
      <c r="H395" s="152" t="s">
        <v>3443</v>
      </c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 t="s">
        <v>3444</v>
      </c>
      <c r="Z395" s="157" t="s">
        <v>3444</v>
      </c>
      <c r="AA395" s="152"/>
      <c r="AB395" s="152"/>
      <c r="AC395" s="152"/>
      <c r="AD395" s="152"/>
      <c r="AE395" s="185"/>
      <c r="AF395" s="185"/>
      <c r="AG395" s="185"/>
      <c r="AH395" s="185"/>
      <c r="AI395" s="185"/>
      <c r="AJ395" s="185"/>
      <c r="AK395" s="185"/>
      <c r="AL395" s="185"/>
      <c r="AM395" s="185"/>
      <c r="AN395" s="185"/>
      <c r="AO395" s="185"/>
      <c r="AP395" s="185"/>
      <c r="AQ395" s="185"/>
      <c r="AR395" s="185"/>
      <c r="AS395" s="185"/>
      <c r="AT395" s="185"/>
      <c r="AU395" s="185"/>
      <c r="AV395" s="185"/>
      <c r="AW395" s="185"/>
      <c r="AX395" s="185"/>
      <c r="AY395" s="185"/>
      <c r="AZ395" s="185"/>
      <c r="BA395" s="185"/>
      <c r="BB395" s="185"/>
      <c r="BC395" s="185"/>
      <c r="BD395" s="185"/>
      <c r="BE395" s="185"/>
    </row>
    <row r="396">
      <c r="A396" s="152"/>
      <c r="B396" s="152"/>
      <c r="C396" s="152"/>
      <c r="D396" s="152" t="s">
        <v>3445</v>
      </c>
      <c r="E396" s="152" t="s">
        <v>3446</v>
      </c>
      <c r="F396" s="152" t="s">
        <v>1004</v>
      </c>
      <c r="G396" s="152" t="s">
        <v>3447</v>
      </c>
      <c r="H396" s="152" t="s">
        <v>3448</v>
      </c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 t="s">
        <v>3449</v>
      </c>
      <c r="Z396" s="157" t="s">
        <v>3449</v>
      </c>
      <c r="AA396" s="152"/>
      <c r="AB396" s="152"/>
      <c r="AC396" s="152"/>
      <c r="AD396" s="152"/>
      <c r="AE396" s="185"/>
      <c r="AF396" s="185"/>
      <c r="AG396" s="185"/>
      <c r="AH396" s="185"/>
      <c r="AI396" s="185"/>
      <c r="AJ396" s="185"/>
      <c r="AK396" s="185"/>
      <c r="AL396" s="185"/>
      <c r="AM396" s="185"/>
      <c r="AN396" s="185"/>
      <c r="AO396" s="185"/>
      <c r="AP396" s="185"/>
      <c r="AQ396" s="185"/>
      <c r="AR396" s="185"/>
      <c r="AS396" s="185"/>
      <c r="AT396" s="185"/>
      <c r="AU396" s="185"/>
      <c r="AV396" s="185"/>
      <c r="AW396" s="185"/>
      <c r="AX396" s="185"/>
      <c r="AY396" s="185"/>
      <c r="AZ396" s="185"/>
      <c r="BA396" s="185"/>
      <c r="BB396" s="185"/>
      <c r="BC396" s="185"/>
      <c r="BD396" s="185"/>
      <c r="BE396" s="185"/>
    </row>
    <row r="397">
      <c r="A397" s="152"/>
      <c r="B397" s="152"/>
      <c r="C397" s="152"/>
      <c r="D397" s="152" t="s">
        <v>3450</v>
      </c>
      <c r="E397" s="152" t="s">
        <v>135</v>
      </c>
      <c r="F397" s="152" t="s">
        <v>332</v>
      </c>
      <c r="G397" s="152" t="s">
        <v>3451</v>
      </c>
      <c r="H397" s="152" t="s">
        <v>3452</v>
      </c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 t="s">
        <v>3453</v>
      </c>
      <c r="Z397" s="157" t="s">
        <v>3453</v>
      </c>
      <c r="AA397" s="152"/>
      <c r="AB397" s="152"/>
      <c r="AC397" s="152"/>
      <c r="AD397" s="152"/>
      <c r="AE397" s="185"/>
      <c r="AF397" s="185"/>
      <c r="AG397" s="185"/>
      <c r="AH397" s="185"/>
      <c r="AI397" s="185"/>
      <c r="AJ397" s="185"/>
      <c r="AK397" s="185"/>
      <c r="AL397" s="185"/>
      <c r="AM397" s="185"/>
      <c r="AN397" s="185"/>
      <c r="AO397" s="185"/>
      <c r="AP397" s="185"/>
      <c r="AQ397" s="185"/>
      <c r="AR397" s="185"/>
      <c r="AS397" s="185"/>
      <c r="AT397" s="185"/>
      <c r="AU397" s="185"/>
      <c r="AV397" s="185"/>
      <c r="AW397" s="185"/>
      <c r="AX397" s="185"/>
      <c r="AY397" s="185"/>
      <c r="AZ397" s="185"/>
      <c r="BA397" s="185"/>
      <c r="BB397" s="185"/>
      <c r="BC397" s="185"/>
      <c r="BD397" s="185"/>
      <c r="BE397" s="185"/>
    </row>
    <row r="398">
      <c r="A398" s="152"/>
      <c r="B398" s="152"/>
      <c r="C398" s="152"/>
      <c r="D398" s="152" t="s">
        <v>3454</v>
      </c>
      <c r="E398" s="152" t="s">
        <v>3455</v>
      </c>
      <c r="F398" s="152" t="s">
        <v>363</v>
      </c>
      <c r="G398" s="152" t="s">
        <v>3456</v>
      </c>
      <c r="H398" s="152" t="s">
        <v>3457</v>
      </c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 t="s">
        <v>3458</v>
      </c>
      <c r="Z398" s="157" t="s">
        <v>3458</v>
      </c>
      <c r="AA398" s="152"/>
      <c r="AB398" s="152"/>
      <c r="AC398" s="152"/>
      <c r="AD398" s="152"/>
      <c r="AE398" s="185"/>
      <c r="AF398" s="185"/>
      <c r="AG398" s="185"/>
      <c r="AH398" s="185"/>
      <c r="AI398" s="185"/>
      <c r="AJ398" s="185"/>
      <c r="AK398" s="185"/>
      <c r="AL398" s="185"/>
      <c r="AM398" s="185"/>
      <c r="AN398" s="185"/>
      <c r="AO398" s="185"/>
      <c r="AP398" s="185"/>
      <c r="AQ398" s="185"/>
      <c r="AR398" s="185"/>
      <c r="AS398" s="185"/>
      <c r="AT398" s="185"/>
      <c r="AU398" s="185"/>
      <c r="AV398" s="185"/>
      <c r="AW398" s="185"/>
      <c r="AX398" s="185"/>
      <c r="AY398" s="185"/>
      <c r="AZ398" s="185"/>
      <c r="BA398" s="185"/>
      <c r="BB398" s="185"/>
      <c r="BC398" s="185"/>
      <c r="BD398" s="185"/>
      <c r="BE398" s="185"/>
    </row>
    <row r="399">
      <c r="A399" s="152"/>
      <c r="B399" s="152"/>
      <c r="C399" s="152"/>
      <c r="D399" s="152" t="s">
        <v>3459</v>
      </c>
      <c r="E399" s="152" t="s">
        <v>3460</v>
      </c>
      <c r="F399" s="152" t="s">
        <v>1516</v>
      </c>
      <c r="G399" s="152" t="s">
        <v>3461</v>
      </c>
      <c r="H399" s="152" t="s">
        <v>3462</v>
      </c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 t="s">
        <v>3463</v>
      </c>
      <c r="Z399" s="157" t="s">
        <v>3463</v>
      </c>
      <c r="AA399" s="152"/>
      <c r="AB399" s="152"/>
      <c r="AC399" s="152"/>
      <c r="AD399" s="152"/>
      <c r="AE399" s="185"/>
      <c r="AF399" s="185"/>
      <c r="AG399" s="185"/>
      <c r="AH399" s="185"/>
      <c r="AI399" s="185"/>
      <c r="AJ399" s="185"/>
      <c r="AK399" s="185"/>
      <c r="AL399" s="185"/>
      <c r="AM399" s="185"/>
      <c r="AN399" s="185"/>
      <c r="AO399" s="185"/>
      <c r="AP399" s="185"/>
      <c r="AQ399" s="185"/>
      <c r="AR399" s="185"/>
      <c r="AS399" s="185"/>
      <c r="AT399" s="185"/>
      <c r="AU399" s="185"/>
      <c r="AV399" s="185"/>
      <c r="AW399" s="185"/>
      <c r="AX399" s="185"/>
      <c r="AY399" s="185"/>
      <c r="AZ399" s="185"/>
      <c r="BA399" s="185"/>
      <c r="BB399" s="185"/>
      <c r="BC399" s="185"/>
      <c r="BD399" s="185"/>
      <c r="BE399" s="185"/>
    </row>
    <row r="400">
      <c r="A400" s="152"/>
      <c r="B400" s="152"/>
      <c r="C400" s="152"/>
      <c r="D400" s="152" t="s">
        <v>3464</v>
      </c>
      <c r="E400" s="152" t="s">
        <v>3465</v>
      </c>
      <c r="F400" s="152" t="s">
        <v>603</v>
      </c>
      <c r="G400" s="186" t="s">
        <v>3466</v>
      </c>
      <c r="H400" s="152" t="s">
        <v>3467</v>
      </c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 t="s">
        <v>3468</v>
      </c>
      <c r="Z400" s="157" t="s">
        <v>3468</v>
      </c>
      <c r="AA400" s="152"/>
      <c r="AB400" s="152"/>
      <c r="AC400" s="152"/>
      <c r="AD400" s="152"/>
      <c r="AE400" s="185"/>
      <c r="AF400" s="185"/>
      <c r="AG400" s="185"/>
      <c r="AH400" s="185"/>
      <c r="AI400" s="185"/>
      <c r="AJ400" s="185"/>
      <c r="AK400" s="185"/>
      <c r="AL400" s="185"/>
      <c r="AM400" s="185"/>
      <c r="AN400" s="185"/>
      <c r="AO400" s="185"/>
      <c r="AP400" s="185"/>
      <c r="AQ400" s="185"/>
      <c r="AR400" s="185"/>
      <c r="AS400" s="185"/>
      <c r="AT400" s="185"/>
      <c r="AU400" s="185"/>
      <c r="AV400" s="185"/>
      <c r="AW400" s="185"/>
      <c r="AX400" s="185"/>
      <c r="AY400" s="185"/>
      <c r="AZ400" s="185"/>
      <c r="BA400" s="185"/>
      <c r="BB400" s="185"/>
      <c r="BC400" s="185"/>
      <c r="BD400" s="185"/>
      <c r="BE400" s="185"/>
    </row>
    <row r="401">
      <c r="A401" s="152"/>
      <c r="B401" s="152"/>
      <c r="C401" s="152"/>
      <c r="D401" s="152" t="s">
        <v>3469</v>
      </c>
      <c r="E401" s="152" t="s">
        <v>3465</v>
      </c>
      <c r="F401" s="152" t="s">
        <v>939</v>
      </c>
      <c r="G401" s="152" t="s">
        <v>3470</v>
      </c>
      <c r="H401" s="152" t="s">
        <v>3471</v>
      </c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 t="s">
        <v>3472</v>
      </c>
      <c r="Z401" s="157" t="s">
        <v>3472</v>
      </c>
      <c r="AA401" s="152"/>
      <c r="AB401" s="152"/>
      <c r="AC401" s="152"/>
      <c r="AD401" s="152"/>
      <c r="AE401" s="185"/>
      <c r="AF401" s="185"/>
      <c r="AG401" s="185"/>
      <c r="AH401" s="185"/>
      <c r="AI401" s="185"/>
      <c r="AJ401" s="185"/>
      <c r="AK401" s="185"/>
      <c r="AL401" s="185"/>
      <c r="AM401" s="185"/>
      <c r="AN401" s="185"/>
      <c r="AO401" s="185"/>
      <c r="AP401" s="185"/>
      <c r="AQ401" s="185"/>
      <c r="AR401" s="185"/>
      <c r="AS401" s="185"/>
      <c r="AT401" s="185"/>
      <c r="AU401" s="185"/>
      <c r="AV401" s="185"/>
      <c r="AW401" s="185"/>
      <c r="AX401" s="185"/>
      <c r="AY401" s="185"/>
      <c r="AZ401" s="185"/>
      <c r="BA401" s="185"/>
      <c r="BB401" s="185"/>
      <c r="BC401" s="185"/>
      <c r="BD401" s="185"/>
      <c r="BE401" s="185"/>
    </row>
    <row r="402">
      <c r="A402" s="152"/>
      <c r="B402" s="152"/>
      <c r="C402" s="152"/>
      <c r="D402" s="152" t="s">
        <v>3469</v>
      </c>
      <c r="E402" s="152" t="s">
        <v>3465</v>
      </c>
      <c r="F402" s="152" t="s">
        <v>603</v>
      </c>
      <c r="G402" s="163" t="s">
        <v>3473</v>
      </c>
      <c r="H402" s="152" t="s">
        <v>3474</v>
      </c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 t="s">
        <v>3475</v>
      </c>
      <c r="Z402" s="157" t="s">
        <v>3475</v>
      </c>
      <c r="AA402" s="152"/>
      <c r="AB402" s="152"/>
      <c r="AC402" s="152"/>
      <c r="AD402" s="152"/>
      <c r="AE402" s="185"/>
      <c r="AF402" s="185"/>
      <c r="AG402" s="185"/>
      <c r="AH402" s="185"/>
      <c r="AI402" s="185"/>
      <c r="AJ402" s="185"/>
      <c r="AK402" s="185"/>
      <c r="AL402" s="185"/>
      <c r="AM402" s="185"/>
      <c r="AN402" s="185"/>
      <c r="AO402" s="185"/>
      <c r="AP402" s="185"/>
      <c r="AQ402" s="185"/>
      <c r="AR402" s="185"/>
      <c r="AS402" s="185"/>
      <c r="AT402" s="185"/>
      <c r="AU402" s="185"/>
      <c r="AV402" s="185"/>
      <c r="AW402" s="185"/>
      <c r="AX402" s="185"/>
      <c r="AY402" s="185"/>
      <c r="AZ402" s="185"/>
      <c r="BA402" s="185"/>
      <c r="BB402" s="185"/>
      <c r="BC402" s="185"/>
      <c r="BD402" s="185"/>
      <c r="BE402" s="185"/>
    </row>
    <row r="403">
      <c r="A403" s="152"/>
      <c r="B403" s="152"/>
      <c r="C403" s="152"/>
      <c r="D403" s="152" t="s">
        <v>3476</v>
      </c>
      <c r="E403" s="152" t="s">
        <v>1501</v>
      </c>
      <c r="F403" s="152" t="s">
        <v>855</v>
      </c>
      <c r="G403" s="152" t="s">
        <v>3477</v>
      </c>
      <c r="H403" s="152" t="s">
        <v>3478</v>
      </c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 t="s">
        <v>3479</v>
      </c>
      <c r="Z403" s="157" t="s">
        <v>3479</v>
      </c>
      <c r="AA403" s="152"/>
      <c r="AB403" s="152"/>
      <c r="AC403" s="152"/>
      <c r="AD403" s="152"/>
      <c r="AE403" s="185"/>
      <c r="AF403" s="185"/>
      <c r="AG403" s="185"/>
      <c r="AH403" s="185"/>
      <c r="AI403" s="185"/>
      <c r="AJ403" s="185"/>
      <c r="AK403" s="185"/>
      <c r="AL403" s="185"/>
      <c r="AM403" s="185"/>
      <c r="AN403" s="185"/>
      <c r="AO403" s="185"/>
      <c r="AP403" s="185"/>
      <c r="AQ403" s="185"/>
      <c r="AR403" s="185"/>
      <c r="AS403" s="185"/>
      <c r="AT403" s="185"/>
      <c r="AU403" s="185"/>
      <c r="AV403" s="185"/>
      <c r="AW403" s="185"/>
      <c r="AX403" s="185"/>
      <c r="AY403" s="185"/>
      <c r="AZ403" s="185"/>
      <c r="BA403" s="185"/>
      <c r="BB403" s="185"/>
      <c r="BC403" s="185"/>
      <c r="BD403" s="185"/>
      <c r="BE403" s="185"/>
    </row>
    <row r="404">
      <c r="A404" s="152"/>
      <c r="B404" s="152"/>
      <c r="C404" s="152"/>
      <c r="D404" s="152" t="s">
        <v>3480</v>
      </c>
      <c r="E404" s="152" t="s">
        <v>3481</v>
      </c>
      <c r="F404" s="152" t="s">
        <v>806</v>
      </c>
      <c r="G404" s="163" t="s">
        <v>3482</v>
      </c>
      <c r="H404" s="152" t="s">
        <v>3483</v>
      </c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 t="s">
        <v>3484</v>
      </c>
      <c r="Z404" s="157" t="s">
        <v>3484</v>
      </c>
      <c r="AA404" s="152"/>
      <c r="AB404" s="152"/>
      <c r="AC404" s="152"/>
      <c r="AD404" s="152"/>
      <c r="AE404" s="185"/>
      <c r="AF404" s="185"/>
      <c r="AG404" s="185"/>
      <c r="AH404" s="185"/>
      <c r="AI404" s="185"/>
      <c r="AJ404" s="185"/>
      <c r="AK404" s="185"/>
      <c r="AL404" s="185"/>
      <c r="AM404" s="185"/>
      <c r="AN404" s="185"/>
      <c r="AO404" s="185"/>
      <c r="AP404" s="185"/>
      <c r="AQ404" s="185"/>
      <c r="AR404" s="185"/>
      <c r="AS404" s="185"/>
      <c r="AT404" s="185"/>
      <c r="AU404" s="185"/>
      <c r="AV404" s="185"/>
      <c r="AW404" s="185"/>
      <c r="AX404" s="185"/>
      <c r="AY404" s="185"/>
      <c r="AZ404" s="185"/>
      <c r="BA404" s="185"/>
      <c r="BB404" s="185"/>
      <c r="BC404" s="185"/>
      <c r="BD404" s="185"/>
      <c r="BE404" s="185"/>
    </row>
    <row r="405">
      <c r="A405" s="152"/>
      <c r="B405" s="152"/>
      <c r="C405" s="152"/>
      <c r="D405" s="152" t="s">
        <v>3485</v>
      </c>
      <c r="E405" s="152" t="s">
        <v>3486</v>
      </c>
      <c r="F405" s="152" t="s">
        <v>636</v>
      </c>
      <c r="G405" s="152" t="s">
        <v>3487</v>
      </c>
      <c r="H405" s="152" t="s">
        <v>3488</v>
      </c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 t="s">
        <v>3489</v>
      </c>
      <c r="Z405" s="157" t="s">
        <v>3489</v>
      </c>
      <c r="AA405" s="152"/>
      <c r="AB405" s="152"/>
      <c r="AC405" s="152"/>
      <c r="AD405" s="152"/>
      <c r="AE405" s="185"/>
      <c r="AF405" s="185"/>
      <c r="AG405" s="185"/>
      <c r="AH405" s="185"/>
      <c r="AI405" s="185"/>
      <c r="AJ405" s="185"/>
      <c r="AK405" s="185"/>
      <c r="AL405" s="185"/>
      <c r="AM405" s="185"/>
      <c r="AN405" s="185"/>
      <c r="AO405" s="185"/>
      <c r="AP405" s="185"/>
      <c r="AQ405" s="185"/>
      <c r="AR405" s="185"/>
      <c r="AS405" s="185"/>
      <c r="AT405" s="185"/>
      <c r="AU405" s="185"/>
      <c r="AV405" s="185"/>
      <c r="AW405" s="185"/>
      <c r="AX405" s="185"/>
      <c r="AY405" s="185"/>
      <c r="AZ405" s="185"/>
      <c r="BA405" s="185"/>
      <c r="BB405" s="185"/>
      <c r="BC405" s="185"/>
      <c r="BD405" s="185"/>
      <c r="BE405" s="185"/>
    </row>
    <row r="406">
      <c r="A406" s="152"/>
      <c r="B406" s="152"/>
      <c r="C406" s="152"/>
      <c r="D406" s="152" t="s">
        <v>3490</v>
      </c>
      <c r="E406" s="152" t="s">
        <v>3491</v>
      </c>
      <c r="F406" s="152"/>
      <c r="G406" s="152" t="s">
        <v>3492</v>
      </c>
      <c r="H406" s="152" t="s">
        <v>3493</v>
      </c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 t="s">
        <v>3494</v>
      </c>
      <c r="Z406" s="157" t="s">
        <v>3494</v>
      </c>
      <c r="AA406" s="152"/>
      <c r="AB406" s="152"/>
      <c r="AC406" s="152"/>
      <c r="AD406" s="152"/>
      <c r="AE406" s="185"/>
      <c r="AF406" s="185"/>
      <c r="AG406" s="185"/>
      <c r="AH406" s="185"/>
      <c r="AI406" s="185"/>
      <c r="AJ406" s="185"/>
      <c r="AK406" s="185"/>
      <c r="AL406" s="185"/>
      <c r="AM406" s="185"/>
      <c r="AN406" s="185"/>
      <c r="AO406" s="185"/>
      <c r="AP406" s="185"/>
      <c r="AQ406" s="185"/>
      <c r="AR406" s="185"/>
      <c r="AS406" s="185"/>
      <c r="AT406" s="185"/>
      <c r="AU406" s="185"/>
      <c r="AV406" s="185"/>
      <c r="AW406" s="185"/>
      <c r="AX406" s="185"/>
      <c r="AY406" s="185"/>
      <c r="AZ406" s="185"/>
      <c r="BA406" s="185"/>
      <c r="BB406" s="185"/>
      <c r="BC406" s="185"/>
      <c r="BD406" s="185"/>
      <c r="BE406" s="185"/>
    </row>
    <row r="407">
      <c r="A407" s="152"/>
      <c r="B407" s="152"/>
      <c r="C407" s="152"/>
      <c r="D407" s="163" t="s">
        <v>3495</v>
      </c>
      <c r="E407" s="152" t="s">
        <v>3496</v>
      </c>
      <c r="F407" s="152" t="s">
        <v>332</v>
      </c>
      <c r="G407" s="163" t="s">
        <v>3497</v>
      </c>
      <c r="H407" s="152" t="s">
        <v>3498</v>
      </c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 t="s">
        <v>3499</v>
      </c>
      <c r="Z407" s="157" t="s">
        <v>3499</v>
      </c>
      <c r="AA407" s="152"/>
      <c r="AB407" s="152"/>
      <c r="AC407" s="152"/>
      <c r="AD407" s="152"/>
      <c r="AE407" s="185"/>
      <c r="AF407" s="185"/>
      <c r="AG407" s="185"/>
      <c r="AH407" s="185"/>
      <c r="AI407" s="185"/>
      <c r="AJ407" s="185"/>
      <c r="AK407" s="185"/>
      <c r="AL407" s="185"/>
      <c r="AM407" s="185"/>
      <c r="AN407" s="185"/>
      <c r="AO407" s="185"/>
      <c r="AP407" s="185"/>
      <c r="AQ407" s="185"/>
      <c r="AR407" s="185"/>
      <c r="AS407" s="185"/>
      <c r="AT407" s="185"/>
      <c r="AU407" s="185"/>
      <c r="AV407" s="185"/>
      <c r="AW407" s="185"/>
      <c r="AX407" s="185"/>
      <c r="AY407" s="185"/>
      <c r="AZ407" s="185"/>
      <c r="BA407" s="185"/>
      <c r="BB407" s="185"/>
      <c r="BC407" s="185"/>
      <c r="BD407" s="185"/>
      <c r="BE407" s="185"/>
    </row>
    <row r="408">
      <c r="A408" s="152"/>
      <c r="B408" s="152"/>
      <c r="C408" s="152"/>
      <c r="D408" s="152" t="s">
        <v>3500</v>
      </c>
      <c r="E408" s="152" t="s">
        <v>3501</v>
      </c>
      <c r="F408" s="152" t="s">
        <v>394</v>
      </c>
      <c r="G408" s="152" t="s">
        <v>3502</v>
      </c>
      <c r="H408" s="152" t="s">
        <v>3503</v>
      </c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 t="s">
        <v>3504</v>
      </c>
      <c r="Z408" s="157" t="s">
        <v>3504</v>
      </c>
      <c r="AA408" s="152"/>
      <c r="AB408" s="152"/>
      <c r="AC408" s="152"/>
      <c r="AD408" s="152"/>
      <c r="AE408" s="185"/>
      <c r="AF408" s="185"/>
      <c r="AG408" s="185"/>
      <c r="AH408" s="185"/>
      <c r="AI408" s="185"/>
      <c r="AJ408" s="185"/>
      <c r="AK408" s="185"/>
      <c r="AL408" s="185"/>
      <c r="AM408" s="185"/>
      <c r="AN408" s="185"/>
      <c r="AO408" s="185"/>
      <c r="AP408" s="185"/>
      <c r="AQ408" s="185"/>
      <c r="AR408" s="185"/>
      <c r="AS408" s="185"/>
      <c r="AT408" s="185"/>
      <c r="AU408" s="185"/>
      <c r="AV408" s="185"/>
      <c r="AW408" s="185"/>
      <c r="AX408" s="185"/>
      <c r="AY408" s="185"/>
      <c r="AZ408" s="185"/>
      <c r="BA408" s="185"/>
      <c r="BB408" s="185"/>
      <c r="BC408" s="185"/>
      <c r="BD408" s="185"/>
      <c r="BE408" s="185"/>
    </row>
    <row r="409">
      <c r="A409" s="152"/>
      <c r="B409" s="152"/>
      <c r="C409" s="152"/>
      <c r="D409" s="152" t="s">
        <v>3505</v>
      </c>
      <c r="E409" s="152" t="s">
        <v>3501</v>
      </c>
      <c r="F409" s="152" t="s">
        <v>855</v>
      </c>
      <c r="G409" s="152" t="s">
        <v>3506</v>
      </c>
      <c r="H409" s="152" t="s">
        <v>3507</v>
      </c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 t="s">
        <v>3508</v>
      </c>
      <c r="Z409" s="157" t="s">
        <v>3508</v>
      </c>
      <c r="AA409" s="152"/>
      <c r="AB409" s="152"/>
      <c r="AC409" s="152"/>
      <c r="AD409" s="152"/>
      <c r="AE409" s="185"/>
      <c r="AF409" s="185"/>
      <c r="AG409" s="185"/>
      <c r="AH409" s="185"/>
      <c r="AI409" s="185"/>
      <c r="AJ409" s="185"/>
      <c r="AK409" s="185"/>
      <c r="AL409" s="185"/>
      <c r="AM409" s="185"/>
      <c r="AN409" s="185"/>
      <c r="AO409" s="185"/>
      <c r="AP409" s="185"/>
      <c r="AQ409" s="185"/>
      <c r="AR409" s="185"/>
      <c r="AS409" s="185"/>
      <c r="AT409" s="185"/>
      <c r="AU409" s="185"/>
      <c r="AV409" s="185"/>
      <c r="AW409" s="185"/>
      <c r="AX409" s="185"/>
      <c r="AY409" s="185"/>
      <c r="AZ409" s="185"/>
      <c r="BA409" s="185"/>
      <c r="BB409" s="185"/>
      <c r="BC409" s="185"/>
      <c r="BD409" s="185"/>
      <c r="BE409" s="185"/>
    </row>
    <row r="410">
      <c r="A410" s="152"/>
      <c r="B410" s="152"/>
      <c r="C410" s="152"/>
      <c r="D410" s="152" t="s">
        <v>3509</v>
      </c>
      <c r="E410" s="152" t="s">
        <v>3501</v>
      </c>
      <c r="F410" s="152" t="s">
        <v>1541</v>
      </c>
      <c r="G410" s="152" t="s">
        <v>3510</v>
      </c>
      <c r="H410" s="152" t="s">
        <v>3511</v>
      </c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 t="s">
        <v>3512</v>
      </c>
      <c r="Z410" s="157" t="s">
        <v>3512</v>
      </c>
      <c r="AA410" s="152"/>
      <c r="AB410" s="152"/>
      <c r="AC410" s="152"/>
      <c r="AD410" s="152"/>
      <c r="AE410" s="185"/>
      <c r="AF410" s="185"/>
      <c r="AG410" s="185"/>
      <c r="AH410" s="185"/>
      <c r="AI410" s="185"/>
      <c r="AJ410" s="185"/>
      <c r="AK410" s="185"/>
      <c r="AL410" s="185"/>
      <c r="AM410" s="185"/>
      <c r="AN410" s="185"/>
      <c r="AO410" s="185"/>
      <c r="AP410" s="185"/>
      <c r="AQ410" s="185"/>
      <c r="AR410" s="185"/>
      <c r="AS410" s="185"/>
      <c r="AT410" s="185"/>
      <c r="AU410" s="185"/>
      <c r="AV410" s="185"/>
      <c r="AW410" s="185"/>
      <c r="AX410" s="185"/>
      <c r="AY410" s="185"/>
      <c r="AZ410" s="185"/>
      <c r="BA410" s="185"/>
      <c r="BB410" s="185"/>
      <c r="BC410" s="185"/>
      <c r="BD410" s="185"/>
      <c r="BE410" s="185"/>
    </row>
    <row r="411">
      <c r="A411" s="152"/>
      <c r="B411" s="152"/>
      <c r="C411" s="152"/>
      <c r="D411" s="152" t="s">
        <v>3513</v>
      </c>
      <c r="E411" s="152" t="s">
        <v>3501</v>
      </c>
      <c r="F411" s="152" t="s">
        <v>1988</v>
      </c>
      <c r="G411" s="152" t="s">
        <v>3514</v>
      </c>
      <c r="H411" s="152" t="s">
        <v>3515</v>
      </c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 t="s">
        <v>3516</v>
      </c>
      <c r="Z411" s="157" t="s">
        <v>3516</v>
      </c>
      <c r="AA411" s="152"/>
      <c r="AB411" s="152"/>
      <c r="AC411" s="152"/>
      <c r="AD411" s="152"/>
      <c r="AE411" s="185"/>
      <c r="AF411" s="185"/>
      <c r="AG411" s="185"/>
      <c r="AH411" s="185"/>
      <c r="AI411" s="185"/>
      <c r="AJ411" s="185"/>
      <c r="AK411" s="185"/>
      <c r="AL411" s="185"/>
      <c r="AM411" s="185"/>
      <c r="AN411" s="185"/>
      <c r="AO411" s="185"/>
      <c r="AP411" s="185"/>
      <c r="AQ411" s="185"/>
      <c r="AR411" s="185"/>
      <c r="AS411" s="185"/>
      <c r="AT411" s="185"/>
      <c r="AU411" s="185"/>
      <c r="AV411" s="185"/>
      <c r="AW411" s="185"/>
      <c r="AX411" s="185"/>
      <c r="AY411" s="185"/>
      <c r="AZ411" s="185"/>
      <c r="BA411" s="185"/>
      <c r="BB411" s="185"/>
      <c r="BC411" s="185"/>
      <c r="BD411" s="185"/>
      <c r="BE411" s="185"/>
    </row>
    <row r="412">
      <c r="A412" s="152"/>
      <c r="B412" s="152"/>
      <c r="C412" s="152"/>
      <c r="D412" s="152" t="s">
        <v>3517</v>
      </c>
      <c r="E412" s="152" t="s">
        <v>3501</v>
      </c>
      <c r="F412" s="152" t="s">
        <v>636</v>
      </c>
      <c r="G412" s="152" t="s">
        <v>3518</v>
      </c>
      <c r="H412" s="152" t="s">
        <v>3519</v>
      </c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 t="s">
        <v>3520</v>
      </c>
      <c r="Z412" s="157" t="s">
        <v>3520</v>
      </c>
      <c r="AA412" s="152"/>
      <c r="AB412" s="152"/>
      <c r="AC412" s="152"/>
      <c r="AD412" s="152"/>
      <c r="AE412" s="185"/>
      <c r="AF412" s="185"/>
      <c r="AG412" s="185"/>
      <c r="AH412" s="185"/>
      <c r="AI412" s="185"/>
      <c r="AJ412" s="185"/>
      <c r="AK412" s="185"/>
      <c r="AL412" s="185"/>
      <c r="AM412" s="185"/>
      <c r="AN412" s="185"/>
      <c r="AO412" s="185"/>
      <c r="AP412" s="185"/>
      <c r="AQ412" s="185"/>
      <c r="AR412" s="185"/>
      <c r="AS412" s="185"/>
      <c r="AT412" s="185"/>
      <c r="AU412" s="185"/>
      <c r="AV412" s="185"/>
      <c r="AW412" s="185"/>
      <c r="AX412" s="185"/>
      <c r="AY412" s="185"/>
      <c r="AZ412" s="185"/>
      <c r="BA412" s="185"/>
      <c r="BB412" s="185"/>
      <c r="BC412" s="185"/>
      <c r="BD412" s="185"/>
      <c r="BE412" s="185"/>
    </row>
    <row r="413">
      <c r="A413" s="152"/>
      <c r="B413" s="152"/>
      <c r="C413" s="152"/>
      <c r="D413" s="152" t="s">
        <v>3521</v>
      </c>
      <c r="E413" s="152" t="s">
        <v>3501</v>
      </c>
      <c r="F413" s="152" t="s">
        <v>806</v>
      </c>
      <c r="G413" s="152" t="s">
        <v>3522</v>
      </c>
      <c r="H413" s="152" t="s">
        <v>3523</v>
      </c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 t="s">
        <v>3524</v>
      </c>
      <c r="Z413" s="157" t="s">
        <v>3524</v>
      </c>
      <c r="AA413" s="152"/>
      <c r="AB413" s="152"/>
      <c r="AC413" s="152"/>
      <c r="AD413" s="152"/>
      <c r="AE413" s="185"/>
      <c r="AF413" s="185"/>
      <c r="AG413" s="185"/>
      <c r="AH413" s="185"/>
      <c r="AI413" s="185"/>
      <c r="AJ413" s="185"/>
      <c r="AK413" s="185"/>
      <c r="AL413" s="185"/>
      <c r="AM413" s="185"/>
      <c r="AN413" s="185"/>
      <c r="AO413" s="185"/>
      <c r="AP413" s="185"/>
      <c r="AQ413" s="185"/>
      <c r="AR413" s="185"/>
      <c r="AS413" s="185"/>
      <c r="AT413" s="185"/>
      <c r="AU413" s="185"/>
      <c r="AV413" s="185"/>
      <c r="AW413" s="185"/>
      <c r="AX413" s="185"/>
      <c r="AY413" s="185"/>
      <c r="AZ413" s="185"/>
      <c r="BA413" s="185"/>
      <c r="BB413" s="185"/>
      <c r="BC413" s="185"/>
      <c r="BD413" s="185"/>
      <c r="BE413" s="185"/>
    </row>
    <row r="414">
      <c r="A414" s="152"/>
      <c r="B414" s="152"/>
      <c r="C414" s="152"/>
      <c r="D414" s="152" t="s">
        <v>3525</v>
      </c>
      <c r="E414" s="152" t="s">
        <v>3501</v>
      </c>
      <c r="F414" s="152" t="s">
        <v>1004</v>
      </c>
      <c r="G414" s="152" t="s">
        <v>3526</v>
      </c>
      <c r="H414" s="152" t="s">
        <v>3527</v>
      </c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 t="s">
        <v>3528</v>
      </c>
      <c r="Z414" s="157" t="s">
        <v>3528</v>
      </c>
      <c r="AA414" s="152"/>
      <c r="AB414" s="152"/>
      <c r="AC414" s="152"/>
      <c r="AD414" s="152"/>
      <c r="AE414" s="185"/>
      <c r="AF414" s="185"/>
      <c r="AG414" s="185"/>
      <c r="AH414" s="185"/>
      <c r="AI414" s="185"/>
      <c r="AJ414" s="185"/>
      <c r="AK414" s="185"/>
      <c r="AL414" s="185"/>
      <c r="AM414" s="185"/>
      <c r="AN414" s="185"/>
      <c r="AO414" s="185"/>
      <c r="AP414" s="185"/>
      <c r="AQ414" s="185"/>
      <c r="AR414" s="185"/>
      <c r="AS414" s="185"/>
      <c r="AT414" s="185"/>
      <c r="AU414" s="185"/>
      <c r="AV414" s="185"/>
      <c r="AW414" s="185"/>
      <c r="AX414" s="185"/>
      <c r="AY414" s="185"/>
      <c r="AZ414" s="185"/>
      <c r="BA414" s="185"/>
      <c r="BB414" s="185"/>
      <c r="BC414" s="185"/>
      <c r="BD414" s="185"/>
      <c r="BE414" s="185"/>
    </row>
    <row r="415">
      <c r="A415" s="152"/>
      <c r="B415" s="152"/>
      <c r="C415" s="152"/>
      <c r="D415" s="152" t="s">
        <v>3529</v>
      </c>
      <c r="E415" s="152" t="s">
        <v>3501</v>
      </c>
      <c r="F415" s="152" t="s">
        <v>959</v>
      </c>
      <c r="G415" s="163" t="s">
        <v>3530</v>
      </c>
      <c r="H415" s="152" t="s">
        <v>3531</v>
      </c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 t="s">
        <v>3532</v>
      </c>
      <c r="Z415" s="157" t="s">
        <v>3532</v>
      </c>
      <c r="AA415" s="152"/>
      <c r="AB415" s="152"/>
      <c r="AC415" s="152"/>
      <c r="AD415" s="152"/>
      <c r="AE415" s="185"/>
      <c r="AF415" s="185"/>
      <c r="AG415" s="185"/>
      <c r="AH415" s="185"/>
      <c r="AI415" s="185"/>
      <c r="AJ415" s="185"/>
      <c r="AK415" s="185"/>
      <c r="AL415" s="185"/>
      <c r="AM415" s="185"/>
      <c r="AN415" s="185"/>
      <c r="AO415" s="185"/>
      <c r="AP415" s="185"/>
      <c r="AQ415" s="185"/>
      <c r="AR415" s="185"/>
      <c r="AS415" s="185"/>
      <c r="AT415" s="185"/>
      <c r="AU415" s="185"/>
      <c r="AV415" s="185"/>
      <c r="AW415" s="185"/>
      <c r="AX415" s="185"/>
      <c r="AY415" s="185"/>
      <c r="AZ415" s="185"/>
      <c r="BA415" s="185"/>
      <c r="BB415" s="185"/>
      <c r="BC415" s="185"/>
      <c r="BD415" s="185"/>
      <c r="BE415" s="185"/>
    </row>
    <row r="416">
      <c r="A416" s="152"/>
      <c r="B416" s="152"/>
      <c r="C416" s="152"/>
      <c r="D416" s="152" t="s">
        <v>3533</v>
      </c>
      <c r="E416" s="152" t="s">
        <v>3501</v>
      </c>
      <c r="F416" s="152" t="s">
        <v>2002</v>
      </c>
      <c r="G416" s="152" t="s">
        <v>3534</v>
      </c>
      <c r="H416" s="152" t="s">
        <v>3535</v>
      </c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 t="s">
        <v>3536</v>
      </c>
      <c r="Z416" s="157" t="s">
        <v>3536</v>
      </c>
      <c r="AA416" s="152"/>
      <c r="AB416" s="152"/>
      <c r="AC416" s="152"/>
      <c r="AD416" s="152"/>
      <c r="AE416" s="185"/>
      <c r="AF416" s="185"/>
      <c r="AG416" s="185"/>
      <c r="AH416" s="185"/>
      <c r="AI416" s="185"/>
      <c r="AJ416" s="185"/>
      <c r="AK416" s="185"/>
      <c r="AL416" s="185"/>
      <c r="AM416" s="185"/>
      <c r="AN416" s="185"/>
      <c r="AO416" s="185"/>
      <c r="AP416" s="185"/>
      <c r="AQ416" s="185"/>
      <c r="AR416" s="185"/>
      <c r="AS416" s="185"/>
      <c r="AT416" s="185"/>
      <c r="AU416" s="185"/>
      <c r="AV416" s="185"/>
      <c r="AW416" s="185"/>
      <c r="AX416" s="185"/>
      <c r="AY416" s="185"/>
      <c r="AZ416" s="185"/>
      <c r="BA416" s="185"/>
      <c r="BB416" s="185"/>
      <c r="BC416" s="185"/>
      <c r="BD416" s="185"/>
      <c r="BE416" s="185"/>
    </row>
    <row r="417">
      <c r="A417" s="152"/>
      <c r="B417" s="152"/>
      <c r="C417" s="152"/>
      <c r="D417" s="152" t="s">
        <v>3537</v>
      </c>
      <c r="E417" s="152" t="s">
        <v>3501</v>
      </c>
      <c r="F417" s="152" t="s">
        <v>363</v>
      </c>
      <c r="G417" s="152" t="s">
        <v>3538</v>
      </c>
      <c r="H417" s="152" t="s">
        <v>3539</v>
      </c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 t="s">
        <v>3540</v>
      </c>
      <c r="Z417" s="157" t="s">
        <v>3540</v>
      </c>
      <c r="AA417" s="152"/>
      <c r="AB417" s="152"/>
      <c r="AC417" s="152"/>
      <c r="AD417" s="152"/>
      <c r="AE417" s="185"/>
      <c r="AF417" s="185"/>
      <c r="AG417" s="185"/>
      <c r="AH417" s="185"/>
      <c r="AI417" s="185"/>
      <c r="AJ417" s="185"/>
      <c r="AK417" s="185"/>
      <c r="AL417" s="185"/>
      <c r="AM417" s="185"/>
      <c r="AN417" s="185"/>
      <c r="AO417" s="185"/>
      <c r="AP417" s="185"/>
      <c r="AQ417" s="185"/>
      <c r="AR417" s="185"/>
      <c r="AS417" s="185"/>
      <c r="AT417" s="185"/>
      <c r="AU417" s="185"/>
      <c r="AV417" s="185"/>
      <c r="AW417" s="185"/>
      <c r="AX417" s="185"/>
      <c r="AY417" s="185"/>
      <c r="AZ417" s="185"/>
      <c r="BA417" s="185"/>
      <c r="BB417" s="185"/>
      <c r="BC417" s="185"/>
      <c r="BD417" s="185"/>
      <c r="BE417" s="185"/>
    </row>
    <row r="418">
      <c r="A418" s="152"/>
      <c r="B418" s="152"/>
      <c r="C418" s="152"/>
      <c r="D418" s="152" t="s">
        <v>3541</v>
      </c>
      <c r="E418" s="152" t="s">
        <v>3501</v>
      </c>
      <c r="F418" s="152" t="s">
        <v>363</v>
      </c>
      <c r="G418" s="163" t="s">
        <v>3542</v>
      </c>
      <c r="H418" s="152" t="s">
        <v>3543</v>
      </c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 t="s">
        <v>3544</v>
      </c>
      <c r="Z418" s="157" t="s">
        <v>3544</v>
      </c>
      <c r="AA418" s="152"/>
      <c r="AB418" s="152"/>
      <c r="AC418" s="152"/>
      <c r="AD418" s="152"/>
      <c r="AE418" s="185"/>
      <c r="AF418" s="185"/>
      <c r="AG418" s="185"/>
      <c r="AH418" s="185"/>
      <c r="AI418" s="185"/>
      <c r="AJ418" s="185"/>
      <c r="AK418" s="185"/>
      <c r="AL418" s="185"/>
      <c r="AM418" s="185"/>
      <c r="AN418" s="185"/>
      <c r="AO418" s="185"/>
      <c r="AP418" s="185"/>
      <c r="AQ418" s="185"/>
      <c r="AR418" s="185"/>
      <c r="AS418" s="185"/>
      <c r="AT418" s="185"/>
      <c r="AU418" s="185"/>
      <c r="AV418" s="185"/>
      <c r="AW418" s="185"/>
      <c r="AX418" s="185"/>
      <c r="AY418" s="185"/>
      <c r="AZ418" s="185"/>
      <c r="BA418" s="185"/>
      <c r="BB418" s="185"/>
      <c r="BC418" s="185"/>
      <c r="BD418" s="185"/>
      <c r="BE418" s="185"/>
    </row>
    <row r="419">
      <c r="A419" s="152"/>
      <c r="B419" s="152"/>
      <c r="C419" s="152"/>
      <c r="D419" s="152" t="s">
        <v>3545</v>
      </c>
      <c r="E419" s="152" t="s">
        <v>3501</v>
      </c>
      <c r="F419" s="152" t="s">
        <v>1724</v>
      </c>
      <c r="G419" s="152" t="s">
        <v>3546</v>
      </c>
      <c r="H419" s="152" t="s">
        <v>3547</v>
      </c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 t="s">
        <v>3548</v>
      </c>
      <c r="Z419" s="157" t="s">
        <v>3548</v>
      </c>
      <c r="AA419" s="152"/>
      <c r="AB419" s="152"/>
      <c r="AC419" s="152"/>
      <c r="AD419" s="152"/>
      <c r="AE419" s="185"/>
      <c r="AF419" s="185"/>
      <c r="AG419" s="185"/>
      <c r="AH419" s="185"/>
      <c r="AI419" s="185"/>
      <c r="AJ419" s="185"/>
      <c r="AK419" s="185"/>
      <c r="AL419" s="185"/>
      <c r="AM419" s="185"/>
      <c r="AN419" s="185"/>
      <c r="AO419" s="185"/>
      <c r="AP419" s="185"/>
      <c r="AQ419" s="185"/>
      <c r="AR419" s="185"/>
      <c r="AS419" s="185"/>
      <c r="AT419" s="185"/>
      <c r="AU419" s="185"/>
      <c r="AV419" s="185"/>
      <c r="AW419" s="185"/>
      <c r="AX419" s="185"/>
      <c r="AY419" s="185"/>
      <c r="AZ419" s="185"/>
      <c r="BA419" s="185"/>
      <c r="BB419" s="185"/>
      <c r="BC419" s="185"/>
      <c r="BD419" s="185"/>
      <c r="BE419" s="185"/>
    </row>
    <row r="420">
      <c r="A420" s="152"/>
      <c r="B420" s="152"/>
      <c r="C420" s="152"/>
      <c r="D420" s="152" t="s">
        <v>3549</v>
      </c>
      <c r="E420" s="152" t="s">
        <v>3501</v>
      </c>
      <c r="F420" s="152" t="s">
        <v>695</v>
      </c>
      <c r="G420" s="152" t="s">
        <v>3550</v>
      </c>
      <c r="H420" s="152" t="s">
        <v>3550</v>
      </c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 t="s">
        <v>3551</v>
      </c>
      <c r="Z420" s="157" t="s">
        <v>3551</v>
      </c>
      <c r="AA420" s="152"/>
      <c r="AB420" s="152"/>
      <c r="AC420" s="152"/>
      <c r="AD420" s="152"/>
      <c r="AE420" s="185"/>
      <c r="AF420" s="185"/>
      <c r="AG420" s="185"/>
      <c r="AH420" s="185"/>
      <c r="AI420" s="185"/>
      <c r="AJ420" s="185"/>
      <c r="AK420" s="185"/>
      <c r="AL420" s="185"/>
      <c r="AM420" s="185"/>
      <c r="AN420" s="185"/>
      <c r="AO420" s="185"/>
      <c r="AP420" s="185"/>
      <c r="AQ420" s="185"/>
      <c r="AR420" s="185"/>
      <c r="AS420" s="185"/>
      <c r="AT420" s="185"/>
      <c r="AU420" s="185"/>
      <c r="AV420" s="185"/>
      <c r="AW420" s="185"/>
      <c r="AX420" s="185"/>
      <c r="AY420" s="185"/>
      <c r="AZ420" s="185"/>
      <c r="BA420" s="185"/>
      <c r="BB420" s="185"/>
      <c r="BC420" s="185"/>
      <c r="BD420" s="185"/>
      <c r="BE420" s="185"/>
    </row>
    <row r="421">
      <c r="A421" s="152"/>
      <c r="B421" s="152"/>
      <c r="C421" s="152"/>
      <c r="D421" s="152" t="s">
        <v>3552</v>
      </c>
      <c r="E421" s="152" t="s">
        <v>3553</v>
      </c>
      <c r="F421" s="152" t="s">
        <v>830</v>
      </c>
      <c r="G421" s="152" t="s">
        <v>3554</v>
      </c>
      <c r="H421" s="152" t="s">
        <v>3555</v>
      </c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 t="s">
        <v>3556</v>
      </c>
      <c r="Z421" s="157" t="s">
        <v>3556</v>
      </c>
      <c r="AA421" s="152"/>
      <c r="AB421" s="152"/>
      <c r="AC421" s="152"/>
      <c r="AD421" s="152"/>
      <c r="AE421" s="185"/>
      <c r="AF421" s="185"/>
      <c r="AG421" s="185"/>
      <c r="AH421" s="185"/>
      <c r="AI421" s="185"/>
      <c r="AJ421" s="185"/>
      <c r="AK421" s="185"/>
      <c r="AL421" s="185"/>
      <c r="AM421" s="185"/>
      <c r="AN421" s="185"/>
      <c r="AO421" s="185"/>
      <c r="AP421" s="185"/>
      <c r="AQ421" s="185"/>
      <c r="AR421" s="185"/>
      <c r="AS421" s="185"/>
      <c r="AT421" s="185"/>
      <c r="AU421" s="185"/>
      <c r="AV421" s="185"/>
      <c r="AW421" s="185"/>
      <c r="AX421" s="185"/>
      <c r="AY421" s="185"/>
      <c r="AZ421" s="185"/>
      <c r="BA421" s="185"/>
      <c r="BB421" s="185"/>
      <c r="BC421" s="185"/>
      <c r="BD421" s="185"/>
      <c r="BE421" s="185"/>
    </row>
    <row r="422">
      <c r="A422" s="152"/>
      <c r="B422" s="152"/>
      <c r="C422" s="152"/>
      <c r="D422" s="152" t="s">
        <v>3557</v>
      </c>
      <c r="E422" s="152" t="s">
        <v>3558</v>
      </c>
      <c r="F422" s="152" t="s">
        <v>332</v>
      </c>
      <c r="G422" s="152" t="s">
        <v>3559</v>
      </c>
      <c r="H422" s="152" t="s">
        <v>3560</v>
      </c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 t="s">
        <v>3561</v>
      </c>
      <c r="Z422" s="157" t="s">
        <v>3561</v>
      </c>
      <c r="AA422" s="152"/>
      <c r="AB422" s="152"/>
      <c r="AC422" s="152"/>
      <c r="AD422" s="152"/>
      <c r="AE422" s="185"/>
      <c r="AF422" s="185"/>
      <c r="AG422" s="185"/>
      <c r="AH422" s="185"/>
      <c r="AI422" s="185"/>
      <c r="AJ422" s="185"/>
      <c r="AK422" s="185"/>
      <c r="AL422" s="185"/>
      <c r="AM422" s="185"/>
      <c r="AN422" s="185"/>
      <c r="AO422" s="185"/>
      <c r="AP422" s="185"/>
      <c r="AQ422" s="185"/>
      <c r="AR422" s="185"/>
      <c r="AS422" s="185"/>
      <c r="AT422" s="185"/>
      <c r="AU422" s="185"/>
      <c r="AV422" s="185"/>
      <c r="AW422" s="185"/>
      <c r="AX422" s="185"/>
      <c r="AY422" s="185"/>
      <c r="AZ422" s="185"/>
      <c r="BA422" s="185"/>
      <c r="BB422" s="185"/>
      <c r="BC422" s="185"/>
      <c r="BD422" s="185"/>
      <c r="BE422" s="185"/>
    </row>
    <row r="423">
      <c r="A423" s="152"/>
      <c r="B423" s="152"/>
      <c r="C423" s="152"/>
      <c r="D423" s="152" t="s">
        <v>3562</v>
      </c>
      <c r="E423" s="152" t="s">
        <v>3563</v>
      </c>
      <c r="F423" s="152" t="s">
        <v>332</v>
      </c>
      <c r="G423" s="152" t="s">
        <v>3564</v>
      </c>
      <c r="H423" s="152" t="s">
        <v>3565</v>
      </c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 t="s">
        <v>3566</v>
      </c>
      <c r="Z423" s="157" t="s">
        <v>3566</v>
      </c>
      <c r="AA423" s="152"/>
      <c r="AB423" s="152"/>
      <c r="AC423" s="152"/>
      <c r="AD423" s="152"/>
      <c r="AE423" s="185"/>
      <c r="AF423" s="185"/>
      <c r="AG423" s="185"/>
      <c r="AH423" s="185"/>
      <c r="AI423" s="185"/>
      <c r="AJ423" s="185"/>
      <c r="AK423" s="185"/>
      <c r="AL423" s="185"/>
      <c r="AM423" s="185"/>
      <c r="AN423" s="185"/>
      <c r="AO423" s="185"/>
      <c r="AP423" s="185"/>
      <c r="AQ423" s="185"/>
      <c r="AR423" s="185"/>
      <c r="AS423" s="185"/>
      <c r="AT423" s="185"/>
      <c r="AU423" s="185"/>
      <c r="AV423" s="185"/>
      <c r="AW423" s="185"/>
      <c r="AX423" s="185"/>
      <c r="AY423" s="185"/>
      <c r="AZ423" s="185"/>
      <c r="BA423" s="185"/>
      <c r="BB423" s="185"/>
      <c r="BC423" s="185"/>
      <c r="BD423" s="185"/>
      <c r="BE423" s="185"/>
    </row>
    <row r="424">
      <c r="A424" s="152"/>
      <c r="B424" s="152"/>
      <c r="C424" s="152"/>
      <c r="D424" s="152" t="s">
        <v>3567</v>
      </c>
      <c r="E424" s="152" t="s">
        <v>3568</v>
      </c>
      <c r="F424" s="152" t="s">
        <v>394</v>
      </c>
      <c r="G424" s="152" t="s">
        <v>3569</v>
      </c>
      <c r="H424" s="152" t="s">
        <v>3570</v>
      </c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 t="s">
        <v>3571</v>
      </c>
      <c r="Z424" s="157" t="s">
        <v>3571</v>
      </c>
      <c r="AA424" s="152"/>
      <c r="AB424" s="152"/>
      <c r="AC424" s="152"/>
      <c r="AD424" s="152"/>
      <c r="AE424" s="185"/>
      <c r="AF424" s="185"/>
      <c r="AG424" s="185"/>
      <c r="AH424" s="185"/>
      <c r="AI424" s="185"/>
      <c r="AJ424" s="185"/>
      <c r="AK424" s="185"/>
      <c r="AL424" s="185"/>
      <c r="AM424" s="185"/>
      <c r="AN424" s="185"/>
      <c r="AO424" s="185"/>
      <c r="AP424" s="185"/>
      <c r="AQ424" s="185"/>
      <c r="AR424" s="185"/>
      <c r="AS424" s="185"/>
      <c r="AT424" s="185"/>
      <c r="AU424" s="185"/>
      <c r="AV424" s="185"/>
      <c r="AW424" s="185"/>
      <c r="AX424" s="185"/>
      <c r="AY424" s="185"/>
      <c r="AZ424" s="185"/>
      <c r="BA424" s="185"/>
      <c r="BB424" s="185"/>
      <c r="BC424" s="185"/>
      <c r="BD424" s="185"/>
      <c r="BE424" s="185"/>
    </row>
    <row r="425">
      <c r="A425" s="152"/>
      <c r="B425" s="152"/>
      <c r="C425" s="152"/>
      <c r="D425" s="152" t="s">
        <v>3572</v>
      </c>
      <c r="E425" s="152" t="s">
        <v>3573</v>
      </c>
      <c r="F425" s="152"/>
      <c r="G425" s="152" t="s">
        <v>3574</v>
      </c>
      <c r="H425" s="152" t="s">
        <v>3575</v>
      </c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 t="s">
        <v>3576</v>
      </c>
      <c r="Z425" s="157" t="s">
        <v>3576</v>
      </c>
      <c r="AA425" s="152"/>
      <c r="AB425" s="152"/>
      <c r="AC425" s="152"/>
      <c r="AD425" s="152"/>
      <c r="AE425" s="185"/>
      <c r="AF425" s="185"/>
      <c r="AG425" s="185"/>
      <c r="AH425" s="185"/>
      <c r="AI425" s="185"/>
      <c r="AJ425" s="185"/>
      <c r="AK425" s="185"/>
      <c r="AL425" s="185"/>
      <c r="AM425" s="185"/>
      <c r="AN425" s="185"/>
      <c r="AO425" s="185"/>
      <c r="AP425" s="185"/>
      <c r="AQ425" s="185"/>
      <c r="AR425" s="185"/>
      <c r="AS425" s="185"/>
      <c r="AT425" s="185"/>
      <c r="AU425" s="185"/>
      <c r="AV425" s="185"/>
      <c r="AW425" s="185"/>
      <c r="AX425" s="185"/>
      <c r="AY425" s="185"/>
      <c r="AZ425" s="185"/>
      <c r="BA425" s="185"/>
      <c r="BB425" s="185"/>
      <c r="BC425" s="185"/>
      <c r="BD425" s="185"/>
      <c r="BE425" s="185"/>
    </row>
    <row r="426">
      <c r="A426" s="152"/>
      <c r="B426" s="152"/>
      <c r="C426" s="152"/>
      <c r="D426" s="152" t="s">
        <v>3577</v>
      </c>
      <c r="E426" s="152" t="s">
        <v>27</v>
      </c>
      <c r="F426" s="152"/>
      <c r="G426" s="152" t="s">
        <v>3578</v>
      </c>
      <c r="H426" s="152" t="s">
        <v>3579</v>
      </c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 t="s">
        <v>3580</v>
      </c>
      <c r="Z426" s="157" t="s">
        <v>3580</v>
      </c>
      <c r="AA426" s="152"/>
      <c r="AB426" s="152"/>
      <c r="AC426" s="152"/>
      <c r="AD426" s="152"/>
      <c r="AE426" s="185"/>
      <c r="AF426" s="185"/>
      <c r="AG426" s="185"/>
      <c r="AH426" s="185"/>
      <c r="AI426" s="185"/>
      <c r="AJ426" s="185"/>
      <c r="AK426" s="185"/>
      <c r="AL426" s="185"/>
      <c r="AM426" s="185"/>
      <c r="AN426" s="185"/>
      <c r="AO426" s="185"/>
      <c r="AP426" s="185"/>
      <c r="AQ426" s="185"/>
      <c r="AR426" s="185"/>
      <c r="AS426" s="185"/>
      <c r="AT426" s="185"/>
      <c r="AU426" s="185"/>
      <c r="AV426" s="185"/>
      <c r="AW426" s="185"/>
      <c r="AX426" s="185"/>
      <c r="AY426" s="185"/>
      <c r="AZ426" s="185"/>
      <c r="BA426" s="185"/>
      <c r="BB426" s="185"/>
      <c r="BC426" s="185"/>
      <c r="BD426" s="185"/>
      <c r="BE426" s="185"/>
    </row>
    <row r="427">
      <c r="A427" s="152"/>
      <c r="B427" s="152"/>
      <c r="C427" s="152"/>
      <c r="D427" s="152" t="s">
        <v>3581</v>
      </c>
      <c r="E427" s="152" t="s">
        <v>3582</v>
      </c>
      <c r="F427" s="152" t="s">
        <v>332</v>
      </c>
      <c r="G427" s="152" t="s">
        <v>3583</v>
      </c>
      <c r="H427" s="152" t="s">
        <v>3584</v>
      </c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 t="s">
        <v>3585</v>
      </c>
      <c r="Z427" s="157" t="s">
        <v>3585</v>
      </c>
      <c r="AA427" s="152"/>
      <c r="AB427" s="152"/>
      <c r="AC427" s="152"/>
      <c r="AD427" s="152"/>
      <c r="AE427" s="185"/>
      <c r="AF427" s="185"/>
      <c r="AG427" s="185"/>
      <c r="AH427" s="185"/>
      <c r="AI427" s="185"/>
      <c r="AJ427" s="185"/>
      <c r="AK427" s="185"/>
      <c r="AL427" s="185"/>
      <c r="AM427" s="185"/>
      <c r="AN427" s="185"/>
      <c r="AO427" s="185"/>
      <c r="AP427" s="185"/>
      <c r="AQ427" s="185"/>
      <c r="AR427" s="185"/>
      <c r="AS427" s="185"/>
      <c r="AT427" s="185"/>
      <c r="AU427" s="185"/>
      <c r="AV427" s="185"/>
      <c r="AW427" s="185"/>
      <c r="AX427" s="185"/>
      <c r="AY427" s="185"/>
      <c r="AZ427" s="185"/>
      <c r="BA427" s="185"/>
      <c r="BB427" s="185"/>
      <c r="BC427" s="185"/>
      <c r="BD427" s="185"/>
      <c r="BE427" s="185"/>
    </row>
    <row r="428">
      <c r="A428" s="152"/>
      <c r="B428" s="152"/>
      <c r="C428" s="152"/>
      <c r="D428" s="152" t="s">
        <v>3586</v>
      </c>
      <c r="E428" s="152" t="s">
        <v>3587</v>
      </c>
      <c r="F428" s="152" t="s">
        <v>332</v>
      </c>
      <c r="G428" s="163" t="s">
        <v>3588</v>
      </c>
      <c r="H428" s="152" t="s">
        <v>3589</v>
      </c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 t="s">
        <v>3590</v>
      </c>
      <c r="Z428" s="157" t="s">
        <v>3590</v>
      </c>
      <c r="AA428" s="152"/>
      <c r="AB428" s="152"/>
      <c r="AC428" s="152"/>
      <c r="AD428" s="152"/>
      <c r="AE428" s="185"/>
      <c r="AF428" s="185"/>
      <c r="AG428" s="185"/>
      <c r="AH428" s="185"/>
      <c r="AI428" s="185"/>
      <c r="AJ428" s="185"/>
      <c r="AK428" s="185"/>
      <c r="AL428" s="185"/>
      <c r="AM428" s="185"/>
      <c r="AN428" s="185"/>
      <c r="AO428" s="185"/>
      <c r="AP428" s="185"/>
      <c r="AQ428" s="185"/>
      <c r="AR428" s="185"/>
      <c r="AS428" s="185"/>
      <c r="AT428" s="185"/>
      <c r="AU428" s="185"/>
      <c r="AV428" s="185"/>
      <c r="AW428" s="185"/>
      <c r="AX428" s="185"/>
      <c r="AY428" s="185"/>
      <c r="AZ428" s="185"/>
      <c r="BA428" s="185"/>
      <c r="BB428" s="185"/>
      <c r="BC428" s="185"/>
      <c r="BD428" s="185"/>
      <c r="BE428" s="185"/>
    </row>
    <row r="429">
      <c r="A429" s="152"/>
      <c r="B429" s="152"/>
      <c r="C429" s="152"/>
      <c r="D429" s="152" t="s">
        <v>3591</v>
      </c>
      <c r="E429" s="152" t="s">
        <v>3592</v>
      </c>
      <c r="F429" s="152" t="s">
        <v>332</v>
      </c>
      <c r="G429" s="163" t="s">
        <v>3593</v>
      </c>
      <c r="H429" s="152" t="s">
        <v>3594</v>
      </c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 t="s">
        <v>3595</v>
      </c>
      <c r="Z429" s="157" t="s">
        <v>3595</v>
      </c>
      <c r="AA429" s="152"/>
      <c r="AB429" s="152"/>
      <c r="AC429" s="152"/>
      <c r="AD429" s="152"/>
      <c r="AE429" s="185"/>
      <c r="AF429" s="185"/>
      <c r="AG429" s="185"/>
      <c r="AH429" s="185"/>
      <c r="AI429" s="185"/>
      <c r="AJ429" s="185"/>
      <c r="AK429" s="185"/>
      <c r="AL429" s="185"/>
      <c r="AM429" s="185"/>
      <c r="AN429" s="185"/>
      <c r="AO429" s="185"/>
      <c r="AP429" s="185"/>
      <c r="AQ429" s="185"/>
      <c r="AR429" s="185"/>
      <c r="AS429" s="185"/>
      <c r="AT429" s="185"/>
      <c r="AU429" s="185"/>
      <c r="AV429" s="185"/>
      <c r="AW429" s="185"/>
      <c r="AX429" s="185"/>
      <c r="AY429" s="185"/>
      <c r="AZ429" s="185"/>
      <c r="BA429" s="185"/>
      <c r="BB429" s="185"/>
      <c r="BC429" s="185"/>
      <c r="BD429" s="185"/>
      <c r="BE429" s="185"/>
    </row>
    <row r="430">
      <c r="A430" s="152"/>
      <c r="B430" s="152"/>
      <c r="C430" s="152"/>
      <c r="D430" s="152" t="s">
        <v>3596</v>
      </c>
      <c r="E430" s="152" t="s">
        <v>3597</v>
      </c>
      <c r="F430" s="152" t="s">
        <v>332</v>
      </c>
      <c r="G430" s="163" t="s">
        <v>3598</v>
      </c>
      <c r="H430" s="152" t="s">
        <v>3599</v>
      </c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 t="s">
        <v>3600</v>
      </c>
      <c r="Z430" s="157" t="s">
        <v>3600</v>
      </c>
      <c r="AA430" s="152"/>
      <c r="AB430" s="152"/>
      <c r="AC430" s="152"/>
      <c r="AD430" s="152"/>
      <c r="AE430" s="185"/>
      <c r="AF430" s="185"/>
      <c r="AG430" s="185"/>
      <c r="AH430" s="185"/>
      <c r="AI430" s="185"/>
      <c r="AJ430" s="185"/>
      <c r="AK430" s="185"/>
      <c r="AL430" s="185"/>
      <c r="AM430" s="185"/>
      <c r="AN430" s="185"/>
      <c r="AO430" s="185"/>
      <c r="AP430" s="185"/>
      <c r="AQ430" s="185"/>
      <c r="AR430" s="185"/>
      <c r="AS430" s="185"/>
      <c r="AT430" s="185"/>
      <c r="AU430" s="185"/>
      <c r="AV430" s="185"/>
      <c r="AW430" s="185"/>
      <c r="AX430" s="185"/>
      <c r="AY430" s="185"/>
      <c r="AZ430" s="185"/>
      <c r="BA430" s="185"/>
      <c r="BB430" s="185"/>
      <c r="BC430" s="185"/>
      <c r="BD430" s="185"/>
      <c r="BE430" s="185"/>
    </row>
    <row r="431">
      <c r="A431" s="152"/>
      <c r="B431" s="152"/>
      <c r="C431" s="152"/>
      <c r="D431" s="152" t="s">
        <v>3601</v>
      </c>
      <c r="E431" s="152" t="s">
        <v>3602</v>
      </c>
      <c r="F431" s="152" t="s">
        <v>332</v>
      </c>
      <c r="G431" s="163" t="s">
        <v>3603</v>
      </c>
      <c r="H431" s="152" t="s">
        <v>3604</v>
      </c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 t="s">
        <v>3605</v>
      </c>
      <c r="Z431" s="157" t="s">
        <v>3605</v>
      </c>
      <c r="AA431" s="152"/>
      <c r="AB431" s="152"/>
      <c r="AC431" s="152"/>
      <c r="AD431" s="152"/>
      <c r="AE431" s="185"/>
      <c r="AF431" s="185"/>
      <c r="AG431" s="185"/>
      <c r="AH431" s="185"/>
      <c r="AI431" s="185"/>
      <c r="AJ431" s="185"/>
      <c r="AK431" s="185"/>
      <c r="AL431" s="185"/>
      <c r="AM431" s="185"/>
      <c r="AN431" s="185"/>
      <c r="AO431" s="185"/>
      <c r="AP431" s="185"/>
      <c r="AQ431" s="185"/>
      <c r="AR431" s="185"/>
      <c r="AS431" s="185"/>
      <c r="AT431" s="185"/>
      <c r="AU431" s="185"/>
      <c r="AV431" s="185"/>
      <c r="AW431" s="185"/>
      <c r="AX431" s="185"/>
      <c r="AY431" s="185"/>
      <c r="AZ431" s="185"/>
      <c r="BA431" s="185"/>
      <c r="BB431" s="185"/>
      <c r="BC431" s="185"/>
      <c r="BD431" s="185"/>
      <c r="BE431" s="185"/>
    </row>
    <row r="432">
      <c r="A432" s="152"/>
      <c r="B432" s="152"/>
      <c r="C432" s="152"/>
      <c r="D432" s="152" t="s">
        <v>3606</v>
      </c>
      <c r="E432" s="152" t="s">
        <v>3607</v>
      </c>
      <c r="F432" s="152" t="s">
        <v>806</v>
      </c>
      <c r="G432" s="152" t="s">
        <v>3608</v>
      </c>
      <c r="H432" s="152" t="s">
        <v>3609</v>
      </c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 t="s">
        <v>3610</v>
      </c>
      <c r="Z432" s="157" t="s">
        <v>3610</v>
      </c>
      <c r="AA432" s="152"/>
      <c r="AB432" s="152"/>
      <c r="AC432" s="152"/>
      <c r="AD432" s="152"/>
      <c r="AE432" s="185"/>
      <c r="AF432" s="185"/>
      <c r="AG432" s="185"/>
      <c r="AH432" s="185"/>
      <c r="AI432" s="185"/>
      <c r="AJ432" s="185"/>
      <c r="AK432" s="185"/>
      <c r="AL432" s="185"/>
      <c r="AM432" s="185"/>
      <c r="AN432" s="185"/>
      <c r="AO432" s="185"/>
      <c r="AP432" s="185"/>
      <c r="AQ432" s="185"/>
      <c r="AR432" s="185"/>
      <c r="AS432" s="185"/>
      <c r="AT432" s="185"/>
      <c r="AU432" s="185"/>
      <c r="AV432" s="185"/>
      <c r="AW432" s="185"/>
      <c r="AX432" s="185"/>
      <c r="AY432" s="185"/>
      <c r="AZ432" s="185"/>
      <c r="BA432" s="185"/>
      <c r="BB432" s="185"/>
      <c r="BC432" s="185"/>
      <c r="BD432" s="185"/>
      <c r="BE432" s="185"/>
    </row>
    <row r="433">
      <c r="A433" s="152"/>
      <c r="B433" s="152"/>
      <c r="C433" s="152"/>
      <c r="D433" s="152" t="s">
        <v>3611</v>
      </c>
      <c r="E433" s="152" t="s">
        <v>3612</v>
      </c>
      <c r="F433" s="152" t="s">
        <v>332</v>
      </c>
      <c r="G433" s="152" t="s">
        <v>3613</v>
      </c>
      <c r="H433" s="152" t="s">
        <v>3614</v>
      </c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 t="s">
        <v>3615</v>
      </c>
      <c r="Z433" s="157" t="s">
        <v>3615</v>
      </c>
      <c r="AA433" s="152"/>
      <c r="AB433" s="152"/>
      <c r="AC433" s="152"/>
      <c r="AD433" s="152"/>
      <c r="AE433" s="185"/>
      <c r="AF433" s="185"/>
      <c r="AG433" s="185"/>
      <c r="AH433" s="185"/>
      <c r="AI433" s="185"/>
      <c r="AJ433" s="185"/>
      <c r="AK433" s="185"/>
      <c r="AL433" s="185"/>
      <c r="AM433" s="185"/>
      <c r="AN433" s="185"/>
      <c r="AO433" s="185"/>
      <c r="AP433" s="185"/>
      <c r="AQ433" s="185"/>
      <c r="AR433" s="185"/>
      <c r="AS433" s="185"/>
      <c r="AT433" s="185"/>
      <c r="AU433" s="185"/>
      <c r="AV433" s="185"/>
      <c r="AW433" s="185"/>
      <c r="AX433" s="185"/>
      <c r="AY433" s="185"/>
      <c r="AZ433" s="185"/>
      <c r="BA433" s="185"/>
      <c r="BB433" s="185"/>
      <c r="BC433" s="185"/>
      <c r="BD433" s="185"/>
      <c r="BE433" s="185"/>
    </row>
    <row r="434">
      <c r="A434" s="152"/>
      <c r="B434" s="152"/>
      <c r="C434" s="152"/>
      <c r="D434" s="152" t="s">
        <v>3616</v>
      </c>
      <c r="E434" s="152" t="s">
        <v>3617</v>
      </c>
      <c r="F434" s="152"/>
      <c r="G434" s="152" t="s">
        <v>3618</v>
      </c>
      <c r="H434" s="152" t="s">
        <v>3619</v>
      </c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 t="s">
        <v>3620</v>
      </c>
      <c r="Z434" s="157" t="s">
        <v>3620</v>
      </c>
      <c r="AA434" s="152"/>
      <c r="AB434" s="152"/>
      <c r="AC434" s="152"/>
      <c r="AD434" s="152"/>
      <c r="AE434" s="185"/>
      <c r="AF434" s="185"/>
      <c r="AG434" s="185"/>
      <c r="AH434" s="185"/>
      <c r="AI434" s="185"/>
      <c r="AJ434" s="185"/>
      <c r="AK434" s="185"/>
      <c r="AL434" s="185"/>
      <c r="AM434" s="185"/>
      <c r="AN434" s="185"/>
      <c r="AO434" s="185"/>
      <c r="AP434" s="185"/>
      <c r="AQ434" s="185"/>
      <c r="AR434" s="185"/>
      <c r="AS434" s="185"/>
      <c r="AT434" s="185"/>
      <c r="AU434" s="185"/>
      <c r="AV434" s="185"/>
      <c r="AW434" s="185"/>
      <c r="AX434" s="185"/>
      <c r="AY434" s="185"/>
      <c r="AZ434" s="185"/>
      <c r="BA434" s="185"/>
      <c r="BB434" s="185"/>
      <c r="BC434" s="185"/>
      <c r="BD434" s="185"/>
      <c r="BE434" s="185"/>
    </row>
    <row r="435">
      <c r="A435" s="152"/>
      <c r="B435" s="152"/>
      <c r="C435" s="152"/>
      <c r="D435" s="152" t="s">
        <v>3621</v>
      </c>
      <c r="E435" s="152" t="s">
        <v>3622</v>
      </c>
      <c r="F435" s="152"/>
      <c r="G435" s="152" t="s">
        <v>3623</v>
      </c>
      <c r="H435" s="152" t="s">
        <v>3624</v>
      </c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 t="s">
        <v>3625</v>
      </c>
      <c r="Z435" s="157" t="s">
        <v>3625</v>
      </c>
      <c r="AA435" s="152"/>
      <c r="AB435" s="152"/>
      <c r="AC435" s="152"/>
      <c r="AD435" s="152"/>
      <c r="AE435" s="185"/>
      <c r="AF435" s="185"/>
      <c r="AG435" s="185"/>
      <c r="AH435" s="185"/>
      <c r="AI435" s="185"/>
      <c r="AJ435" s="185"/>
      <c r="AK435" s="185"/>
      <c r="AL435" s="185"/>
      <c r="AM435" s="185"/>
      <c r="AN435" s="185"/>
      <c r="AO435" s="185"/>
      <c r="AP435" s="185"/>
      <c r="AQ435" s="185"/>
      <c r="AR435" s="185"/>
      <c r="AS435" s="185"/>
      <c r="AT435" s="185"/>
      <c r="AU435" s="185"/>
      <c r="AV435" s="185"/>
      <c r="AW435" s="185"/>
      <c r="AX435" s="185"/>
      <c r="AY435" s="185"/>
      <c r="AZ435" s="185"/>
      <c r="BA435" s="185"/>
      <c r="BB435" s="185"/>
      <c r="BC435" s="185"/>
      <c r="BD435" s="185"/>
      <c r="BE435" s="185"/>
    </row>
    <row r="436">
      <c r="A436" s="152"/>
      <c r="B436" s="152"/>
      <c r="C436" s="152"/>
      <c r="D436" s="152" t="s">
        <v>3626</v>
      </c>
      <c r="E436" s="152" t="s">
        <v>3626</v>
      </c>
      <c r="F436" s="152"/>
      <c r="G436" s="152" t="s">
        <v>3627</v>
      </c>
      <c r="H436" s="152" t="s">
        <v>3628</v>
      </c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 t="s">
        <v>3629</v>
      </c>
      <c r="Z436" s="157" t="s">
        <v>3629</v>
      </c>
      <c r="AA436" s="152"/>
      <c r="AB436" s="152"/>
      <c r="AC436" s="152"/>
      <c r="AD436" s="152"/>
      <c r="AE436" s="185"/>
      <c r="AF436" s="185"/>
      <c r="AG436" s="185"/>
      <c r="AH436" s="185"/>
      <c r="AI436" s="185"/>
      <c r="AJ436" s="185"/>
      <c r="AK436" s="185"/>
      <c r="AL436" s="185"/>
      <c r="AM436" s="185"/>
      <c r="AN436" s="185"/>
      <c r="AO436" s="185"/>
      <c r="AP436" s="185"/>
      <c r="AQ436" s="185"/>
      <c r="AR436" s="185"/>
      <c r="AS436" s="185"/>
      <c r="AT436" s="185"/>
      <c r="AU436" s="185"/>
      <c r="AV436" s="185"/>
      <c r="AW436" s="185"/>
      <c r="AX436" s="185"/>
      <c r="AY436" s="185"/>
      <c r="AZ436" s="185"/>
      <c r="BA436" s="185"/>
      <c r="BB436" s="185"/>
      <c r="BC436" s="185"/>
      <c r="BD436" s="185"/>
      <c r="BE436" s="185"/>
    </row>
    <row r="437">
      <c r="A437" s="152"/>
      <c r="B437" s="152"/>
      <c r="C437" s="152"/>
      <c r="D437" s="152" t="s">
        <v>3630</v>
      </c>
      <c r="E437" s="152" t="s">
        <v>3631</v>
      </c>
      <c r="F437" s="152" t="s">
        <v>332</v>
      </c>
      <c r="G437" s="163" t="s">
        <v>3632</v>
      </c>
      <c r="H437" s="152" t="s">
        <v>3633</v>
      </c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 t="s">
        <v>3634</v>
      </c>
      <c r="Z437" s="157" t="s">
        <v>3634</v>
      </c>
      <c r="AA437" s="152"/>
      <c r="AB437" s="152"/>
      <c r="AC437" s="152"/>
      <c r="AD437" s="152"/>
      <c r="AE437" s="185"/>
      <c r="AF437" s="185"/>
      <c r="AG437" s="185"/>
      <c r="AH437" s="185"/>
      <c r="AI437" s="185"/>
      <c r="AJ437" s="185"/>
      <c r="AK437" s="185"/>
      <c r="AL437" s="185"/>
      <c r="AM437" s="185"/>
      <c r="AN437" s="185"/>
      <c r="AO437" s="185"/>
      <c r="AP437" s="185"/>
      <c r="AQ437" s="185"/>
      <c r="AR437" s="185"/>
      <c r="AS437" s="185"/>
      <c r="AT437" s="185"/>
      <c r="AU437" s="185"/>
      <c r="AV437" s="185"/>
      <c r="AW437" s="185"/>
      <c r="AX437" s="185"/>
      <c r="AY437" s="185"/>
      <c r="AZ437" s="185"/>
      <c r="BA437" s="185"/>
      <c r="BB437" s="185"/>
      <c r="BC437" s="185"/>
      <c r="BD437" s="185"/>
      <c r="BE437" s="185"/>
    </row>
    <row r="438">
      <c r="A438" s="152"/>
      <c r="B438" s="152"/>
      <c r="C438" s="152"/>
      <c r="D438" s="152" t="s">
        <v>3635</v>
      </c>
      <c r="E438" s="152" t="s">
        <v>3636</v>
      </c>
      <c r="F438" s="152" t="s">
        <v>830</v>
      </c>
      <c r="G438" s="163" t="s">
        <v>3637</v>
      </c>
      <c r="H438" s="152" t="s">
        <v>970</v>
      </c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 t="s">
        <v>3638</v>
      </c>
      <c r="Z438" s="157" t="s">
        <v>3638</v>
      </c>
      <c r="AA438" s="152"/>
      <c r="AB438" s="152"/>
      <c r="AC438" s="152"/>
      <c r="AD438" s="152"/>
      <c r="AE438" s="185"/>
      <c r="AF438" s="185"/>
      <c r="AG438" s="185"/>
      <c r="AH438" s="185"/>
      <c r="AI438" s="185"/>
      <c r="AJ438" s="185"/>
      <c r="AK438" s="185"/>
      <c r="AL438" s="185"/>
      <c r="AM438" s="185"/>
      <c r="AN438" s="185"/>
      <c r="AO438" s="185"/>
      <c r="AP438" s="185"/>
      <c r="AQ438" s="185"/>
      <c r="AR438" s="185"/>
      <c r="AS438" s="185"/>
      <c r="AT438" s="185"/>
      <c r="AU438" s="185"/>
      <c r="AV438" s="185"/>
      <c r="AW438" s="185"/>
      <c r="AX438" s="185"/>
      <c r="AY438" s="185"/>
      <c r="AZ438" s="185"/>
      <c r="BA438" s="185"/>
      <c r="BB438" s="185"/>
      <c r="BC438" s="185"/>
      <c r="BD438" s="185"/>
      <c r="BE438" s="185"/>
    </row>
    <row r="439">
      <c r="A439" s="152"/>
      <c r="B439" s="152"/>
      <c r="C439" s="152"/>
      <c r="D439" s="152" t="s">
        <v>3639</v>
      </c>
      <c r="E439" s="152" t="s">
        <v>3640</v>
      </c>
      <c r="F439" s="152" t="s">
        <v>3641</v>
      </c>
      <c r="G439" s="152" t="s">
        <v>3642</v>
      </c>
      <c r="H439" s="152" t="s">
        <v>3643</v>
      </c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 t="s">
        <v>3644</v>
      </c>
      <c r="Z439" s="157" t="s">
        <v>3644</v>
      </c>
      <c r="AA439" s="152"/>
      <c r="AB439" s="152"/>
      <c r="AC439" s="152"/>
      <c r="AD439" s="152"/>
      <c r="AE439" s="185"/>
      <c r="AF439" s="185"/>
      <c r="AG439" s="185"/>
      <c r="AH439" s="185"/>
      <c r="AI439" s="185"/>
      <c r="AJ439" s="185"/>
      <c r="AK439" s="185"/>
      <c r="AL439" s="185"/>
      <c r="AM439" s="185"/>
      <c r="AN439" s="185"/>
      <c r="AO439" s="185"/>
      <c r="AP439" s="185"/>
      <c r="AQ439" s="185"/>
      <c r="AR439" s="185"/>
      <c r="AS439" s="185"/>
      <c r="AT439" s="185"/>
      <c r="AU439" s="185"/>
      <c r="AV439" s="185"/>
      <c r="AW439" s="185"/>
      <c r="AX439" s="185"/>
      <c r="AY439" s="185"/>
      <c r="AZ439" s="185"/>
      <c r="BA439" s="185"/>
      <c r="BB439" s="185"/>
      <c r="BC439" s="185"/>
      <c r="BD439" s="185"/>
      <c r="BE439" s="185"/>
    </row>
    <row r="440">
      <c r="A440" s="152"/>
      <c r="B440" s="152"/>
      <c r="C440" s="152"/>
      <c r="D440" s="152" t="s">
        <v>3645</v>
      </c>
      <c r="E440" s="152" t="s">
        <v>3646</v>
      </c>
      <c r="F440" s="152" t="s">
        <v>1186</v>
      </c>
      <c r="G440" s="152" t="s">
        <v>3647</v>
      </c>
      <c r="H440" s="152" t="s">
        <v>3648</v>
      </c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 t="s">
        <v>3649</v>
      </c>
      <c r="Z440" s="157" t="s">
        <v>3649</v>
      </c>
      <c r="AA440" s="152"/>
      <c r="AB440" s="152"/>
      <c r="AC440" s="152"/>
      <c r="AD440" s="152"/>
      <c r="AE440" s="185"/>
      <c r="AF440" s="185"/>
      <c r="AG440" s="185"/>
      <c r="AH440" s="185"/>
      <c r="AI440" s="185"/>
      <c r="AJ440" s="185"/>
      <c r="AK440" s="185"/>
      <c r="AL440" s="185"/>
      <c r="AM440" s="185"/>
      <c r="AN440" s="185"/>
      <c r="AO440" s="185"/>
      <c r="AP440" s="185"/>
      <c r="AQ440" s="185"/>
      <c r="AR440" s="185"/>
      <c r="AS440" s="185"/>
      <c r="AT440" s="185"/>
      <c r="AU440" s="185"/>
      <c r="AV440" s="185"/>
      <c r="AW440" s="185"/>
      <c r="AX440" s="185"/>
      <c r="AY440" s="185"/>
      <c r="AZ440" s="185"/>
      <c r="BA440" s="185"/>
      <c r="BB440" s="185"/>
      <c r="BC440" s="185"/>
      <c r="BD440" s="185"/>
      <c r="BE440" s="185"/>
    </row>
    <row r="441">
      <c r="A441" s="152"/>
      <c r="B441" s="152"/>
      <c r="C441" s="152"/>
      <c r="D441" s="152" t="s">
        <v>3650</v>
      </c>
      <c r="E441" s="152" t="s">
        <v>3651</v>
      </c>
      <c r="F441" s="152" t="s">
        <v>332</v>
      </c>
      <c r="G441" s="163" t="s">
        <v>3652</v>
      </c>
      <c r="H441" s="152" t="s">
        <v>3653</v>
      </c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 t="s">
        <v>3654</v>
      </c>
      <c r="Z441" s="157" t="s">
        <v>3654</v>
      </c>
      <c r="AA441" s="152"/>
      <c r="AB441" s="152"/>
      <c r="AC441" s="152"/>
      <c r="AD441" s="152"/>
      <c r="AE441" s="185"/>
      <c r="AF441" s="185"/>
      <c r="AG441" s="185"/>
      <c r="AH441" s="185"/>
      <c r="AI441" s="185"/>
      <c r="AJ441" s="185"/>
      <c r="AK441" s="185"/>
      <c r="AL441" s="185"/>
      <c r="AM441" s="185"/>
      <c r="AN441" s="185"/>
      <c r="AO441" s="185"/>
      <c r="AP441" s="185"/>
      <c r="AQ441" s="185"/>
      <c r="AR441" s="185"/>
      <c r="AS441" s="185"/>
      <c r="AT441" s="185"/>
      <c r="AU441" s="185"/>
      <c r="AV441" s="185"/>
      <c r="AW441" s="185"/>
      <c r="AX441" s="185"/>
      <c r="AY441" s="185"/>
      <c r="AZ441" s="185"/>
      <c r="BA441" s="185"/>
      <c r="BB441" s="185"/>
      <c r="BC441" s="185"/>
      <c r="BD441" s="185"/>
      <c r="BE441" s="185"/>
    </row>
    <row r="442">
      <c r="A442" s="152"/>
      <c r="B442" s="152"/>
      <c r="C442" s="152"/>
      <c r="D442" s="152" t="s">
        <v>3655</v>
      </c>
      <c r="E442" s="152" t="s">
        <v>3656</v>
      </c>
      <c r="F442" s="152" t="s">
        <v>830</v>
      </c>
      <c r="G442" s="163" t="s">
        <v>3657</v>
      </c>
      <c r="H442" s="152" t="s">
        <v>3658</v>
      </c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 t="s">
        <v>3659</v>
      </c>
      <c r="Z442" s="157" t="s">
        <v>3659</v>
      </c>
      <c r="AA442" s="152"/>
      <c r="AB442" s="152"/>
      <c r="AC442" s="152"/>
      <c r="AD442" s="152"/>
      <c r="AE442" s="185"/>
      <c r="AF442" s="185"/>
      <c r="AG442" s="185"/>
      <c r="AH442" s="185"/>
      <c r="AI442" s="185"/>
      <c r="AJ442" s="185"/>
      <c r="AK442" s="185"/>
      <c r="AL442" s="185"/>
      <c r="AM442" s="185"/>
      <c r="AN442" s="185"/>
      <c r="AO442" s="185"/>
      <c r="AP442" s="185"/>
      <c r="AQ442" s="185"/>
      <c r="AR442" s="185"/>
      <c r="AS442" s="185"/>
      <c r="AT442" s="185"/>
      <c r="AU442" s="185"/>
      <c r="AV442" s="185"/>
      <c r="AW442" s="185"/>
      <c r="AX442" s="185"/>
      <c r="AY442" s="185"/>
      <c r="AZ442" s="185"/>
      <c r="BA442" s="185"/>
      <c r="BB442" s="185"/>
      <c r="BC442" s="185"/>
      <c r="BD442" s="185"/>
      <c r="BE442" s="185"/>
    </row>
    <row r="443">
      <c r="A443" s="152"/>
      <c r="B443" s="152"/>
      <c r="C443" s="152"/>
      <c r="D443" s="152" t="s">
        <v>3660</v>
      </c>
      <c r="E443" s="152" t="s">
        <v>3661</v>
      </c>
      <c r="F443" s="152" t="s">
        <v>1541</v>
      </c>
      <c r="G443" s="152" t="s">
        <v>3662</v>
      </c>
      <c r="H443" s="152" t="s">
        <v>3663</v>
      </c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 t="s">
        <v>3664</v>
      </c>
      <c r="Z443" s="157" t="s">
        <v>3664</v>
      </c>
      <c r="AA443" s="152"/>
      <c r="AB443" s="152"/>
      <c r="AC443" s="152"/>
      <c r="AD443" s="152"/>
      <c r="AE443" s="185"/>
      <c r="AF443" s="185"/>
      <c r="AG443" s="185"/>
      <c r="AH443" s="185"/>
      <c r="AI443" s="185"/>
      <c r="AJ443" s="185"/>
      <c r="AK443" s="185"/>
      <c r="AL443" s="185"/>
      <c r="AM443" s="185"/>
      <c r="AN443" s="185"/>
      <c r="AO443" s="185"/>
      <c r="AP443" s="185"/>
      <c r="AQ443" s="185"/>
      <c r="AR443" s="185"/>
      <c r="AS443" s="185"/>
      <c r="AT443" s="185"/>
      <c r="AU443" s="185"/>
      <c r="AV443" s="185"/>
      <c r="AW443" s="185"/>
      <c r="AX443" s="185"/>
      <c r="AY443" s="185"/>
      <c r="AZ443" s="185"/>
      <c r="BA443" s="185"/>
      <c r="BB443" s="185"/>
      <c r="BC443" s="185"/>
      <c r="BD443" s="185"/>
      <c r="BE443" s="185"/>
    </row>
    <row r="444">
      <c r="A444" s="152"/>
      <c r="B444" s="152"/>
      <c r="C444" s="152"/>
      <c r="D444" s="152" t="s">
        <v>3665</v>
      </c>
      <c r="E444" s="152" t="s">
        <v>3666</v>
      </c>
      <c r="F444" s="152" t="s">
        <v>1186</v>
      </c>
      <c r="G444" s="163" t="s">
        <v>3667</v>
      </c>
      <c r="H444" s="152" t="s">
        <v>3668</v>
      </c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 t="s">
        <v>3669</v>
      </c>
      <c r="Z444" s="157" t="s">
        <v>3669</v>
      </c>
      <c r="AA444" s="152"/>
      <c r="AB444" s="152"/>
      <c r="AC444" s="152"/>
      <c r="AD444" s="152"/>
      <c r="AE444" s="185"/>
      <c r="AF444" s="185"/>
      <c r="AG444" s="185"/>
      <c r="AH444" s="185"/>
      <c r="AI444" s="185"/>
      <c r="AJ444" s="185"/>
      <c r="AK444" s="185"/>
      <c r="AL444" s="185"/>
      <c r="AM444" s="185"/>
      <c r="AN444" s="185"/>
      <c r="AO444" s="185"/>
      <c r="AP444" s="185"/>
      <c r="AQ444" s="185"/>
      <c r="AR444" s="185"/>
      <c r="AS444" s="185"/>
      <c r="AT444" s="185"/>
      <c r="AU444" s="185"/>
      <c r="AV444" s="185"/>
      <c r="AW444" s="185"/>
      <c r="AX444" s="185"/>
      <c r="AY444" s="185"/>
      <c r="AZ444" s="185"/>
      <c r="BA444" s="185"/>
      <c r="BB444" s="185"/>
      <c r="BC444" s="185"/>
      <c r="BD444" s="185"/>
      <c r="BE444" s="185"/>
    </row>
    <row r="445">
      <c r="A445" s="152"/>
      <c r="B445" s="152"/>
      <c r="C445" s="152"/>
      <c r="D445" s="152" t="s">
        <v>3670</v>
      </c>
      <c r="E445" s="152" t="s">
        <v>3671</v>
      </c>
      <c r="F445" s="152" t="s">
        <v>603</v>
      </c>
      <c r="G445" s="152" t="s">
        <v>3672</v>
      </c>
      <c r="H445" s="152" t="s">
        <v>3673</v>
      </c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 t="s">
        <v>3674</v>
      </c>
      <c r="Z445" s="157" t="s">
        <v>3674</v>
      </c>
      <c r="AA445" s="152"/>
      <c r="AB445" s="152"/>
      <c r="AC445" s="152"/>
      <c r="AD445" s="152"/>
      <c r="AE445" s="185"/>
      <c r="AF445" s="185"/>
      <c r="AG445" s="185"/>
      <c r="AH445" s="185"/>
      <c r="AI445" s="185"/>
      <c r="AJ445" s="185"/>
      <c r="AK445" s="185"/>
      <c r="AL445" s="185"/>
      <c r="AM445" s="185"/>
      <c r="AN445" s="185"/>
      <c r="AO445" s="185"/>
      <c r="AP445" s="185"/>
      <c r="AQ445" s="185"/>
      <c r="AR445" s="185"/>
      <c r="AS445" s="185"/>
      <c r="AT445" s="185"/>
      <c r="AU445" s="185"/>
      <c r="AV445" s="185"/>
      <c r="AW445" s="185"/>
      <c r="AX445" s="185"/>
      <c r="AY445" s="185"/>
      <c r="AZ445" s="185"/>
      <c r="BA445" s="185"/>
      <c r="BB445" s="185"/>
      <c r="BC445" s="185"/>
      <c r="BD445" s="185"/>
      <c r="BE445" s="185"/>
    </row>
    <row r="446">
      <c r="A446" s="152"/>
      <c r="B446" s="152"/>
      <c r="C446" s="152"/>
      <c r="D446" s="152" t="s">
        <v>3675</v>
      </c>
      <c r="E446" s="152" t="s">
        <v>3676</v>
      </c>
      <c r="F446" s="152" t="s">
        <v>806</v>
      </c>
      <c r="G446" s="152" t="s">
        <v>3677</v>
      </c>
      <c r="H446" s="152" t="s">
        <v>3678</v>
      </c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 t="s">
        <v>3679</v>
      </c>
      <c r="Z446" s="157" t="s">
        <v>3679</v>
      </c>
      <c r="AA446" s="152"/>
      <c r="AB446" s="152"/>
      <c r="AC446" s="152"/>
      <c r="AD446" s="152"/>
      <c r="AE446" s="185"/>
      <c r="AF446" s="185"/>
      <c r="AG446" s="185"/>
      <c r="AH446" s="185"/>
      <c r="AI446" s="185"/>
      <c r="AJ446" s="185"/>
      <c r="AK446" s="185"/>
      <c r="AL446" s="185"/>
      <c r="AM446" s="185"/>
      <c r="AN446" s="185"/>
      <c r="AO446" s="185"/>
      <c r="AP446" s="185"/>
      <c r="AQ446" s="185"/>
      <c r="AR446" s="185"/>
      <c r="AS446" s="185"/>
      <c r="AT446" s="185"/>
      <c r="AU446" s="185"/>
      <c r="AV446" s="185"/>
      <c r="AW446" s="185"/>
      <c r="AX446" s="185"/>
      <c r="AY446" s="185"/>
      <c r="AZ446" s="185"/>
      <c r="BA446" s="185"/>
      <c r="BB446" s="185"/>
      <c r="BC446" s="185"/>
      <c r="BD446" s="185"/>
      <c r="BE446" s="185"/>
    </row>
    <row r="447">
      <c r="A447" s="152"/>
      <c r="B447" s="152"/>
      <c r="C447" s="152"/>
      <c r="D447" s="152" t="s">
        <v>3680</v>
      </c>
      <c r="E447" s="152" t="s">
        <v>3681</v>
      </c>
      <c r="F447" s="152"/>
      <c r="G447" s="152" t="s">
        <v>3682</v>
      </c>
      <c r="H447" s="152" t="s">
        <v>3683</v>
      </c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 t="s">
        <v>3684</v>
      </c>
      <c r="Z447" s="157" t="s">
        <v>3684</v>
      </c>
      <c r="AA447" s="152"/>
      <c r="AB447" s="152"/>
      <c r="AC447" s="152"/>
      <c r="AD447" s="152"/>
      <c r="AE447" s="185"/>
      <c r="AF447" s="185"/>
      <c r="AG447" s="185"/>
      <c r="AH447" s="185"/>
      <c r="AI447" s="185"/>
      <c r="AJ447" s="185"/>
      <c r="AK447" s="185"/>
      <c r="AL447" s="185"/>
      <c r="AM447" s="185"/>
      <c r="AN447" s="185"/>
      <c r="AO447" s="185"/>
      <c r="AP447" s="185"/>
      <c r="AQ447" s="185"/>
      <c r="AR447" s="185"/>
      <c r="AS447" s="185"/>
      <c r="AT447" s="185"/>
      <c r="AU447" s="185"/>
      <c r="AV447" s="185"/>
      <c r="AW447" s="185"/>
      <c r="AX447" s="185"/>
      <c r="AY447" s="185"/>
      <c r="AZ447" s="185"/>
      <c r="BA447" s="185"/>
      <c r="BB447" s="185"/>
      <c r="BC447" s="185"/>
      <c r="BD447" s="185"/>
      <c r="BE447" s="185"/>
    </row>
    <row r="448">
      <c r="A448" s="152"/>
      <c r="B448" s="152"/>
      <c r="C448" s="152"/>
      <c r="D448" s="152" t="s">
        <v>3685</v>
      </c>
      <c r="E448" s="152" t="s">
        <v>3686</v>
      </c>
      <c r="F448" s="152" t="s">
        <v>332</v>
      </c>
      <c r="G448" s="152" t="s">
        <v>3485</v>
      </c>
      <c r="H448" s="152" t="s">
        <v>3687</v>
      </c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 t="s">
        <v>3688</v>
      </c>
      <c r="Z448" s="157" t="s">
        <v>3688</v>
      </c>
      <c r="AA448" s="152"/>
      <c r="AB448" s="152"/>
      <c r="AC448" s="152"/>
      <c r="AD448" s="152"/>
      <c r="AE448" s="185"/>
      <c r="AF448" s="185"/>
      <c r="AG448" s="185"/>
      <c r="AH448" s="185"/>
      <c r="AI448" s="185"/>
      <c r="AJ448" s="185"/>
      <c r="AK448" s="185"/>
      <c r="AL448" s="185"/>
      <c r="AM448" s="185"/>
      <c r="AN448" s="185"/>
      <c r="AO448" s="185"/>
      <c r="AP448" s="185"/>
      <c r="AQ448" s="185"/>
      <c r="AR448" s="185"/>
      <c r="AS448" s="185"/>
      <c r="AT448" s="185"/>
      <c r="AU448" s="185"/>
      <c r="AV448" s="185"/>
      <c r="AW448" s="185"/>
      <c r="AX448" s="185"/>
      <c r="AY448" s="185"/>
      <c r="AZ448" s="185"/>
      <c r="BA448" s="185"/>
      <c r="BB448" s="185"/>
      <c r="BC448" s="185"/>
      <c r="BD448" s="185"/>
      <c r="BE448" s="185"/>
    </row>
    <row r="449">
      <c r="A449" s="152"/>
      <c r="B449" s="152"/>
      <c r="C449" s="152"/>
      <c r="D449" s="152" t="s">
        <v>3689</v>
      </c>
      <c r="E449" s="152" t="s">
        <v>3690</v>
      </c>
      <c r="F449" s="152" t="s">
        <v>1541</v>
      </c>
      <c r="G449" s="152" t="s">
        <v>3691</v>
      </c>
      <c r="H449" s="152" t="s">
        <v>3692</v>
      </c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 t="s">
        <v>3693</v>
      </c>
      <c r="Z449" s="157" t="s">
        <v>3693</v>
      </c>
      <c r="AA449" s="152"/>
      <c r="AB449" s="152"/>
      <c r="AC449" s="152"/>
      <c r="AD449" s="152"/>
      <c r="AE449" s="185"/>
      <c r="AF449" s="185"/>
      <c r="AG449" s="185"/>
      <c r="AH449" s="185"/>
      <c r="AI449" s="185"/>
      <c r="AJ449" s="185"/>
      <c r="AK449" s="185"/>
      <c r="AL449" s="185"/>
      <c r="AM449" s="185"/>
      <c r="AN449" s="185"/>
      <c r="AO449" s="185"/>
      <c r="AP449" s="185"/>
      <c r="AQ449" s="185"/>
      <c r="AR449" s="185"/>
      <c r="AS449" s="185"/>
      <c r="AT449" s="185"/>
      <c r="AU449" s="185"/>
      <c r="AV449" s="185"/>
      <c r="AW449" s="185"/>
      <c r="AX449" s="185"/>
      <c r="AY449" s="185"/>
      <c r="AZ449" s="185"/>
      <c r="BA449" s="185"/>
      <c r="BB449" s="185"/>
      <c r="BC449" s="185"/>
      <c r="BD449" s="185"/>
      <c r="BE449" s="185"/>
    </row>
    <row r="450">
      <c r="A450" s="152"/>
      <c r="B450" s="152"/>
      <c r="C450" s="152"/>
      <c r="D450" s="152" t="s">
        <v>3694</v>
      </c>
      <c r="E450" s="152" t="s">
        <v>3695</v>
      </c>
      <c r="F450" s="152"/>
      <c r="G450" s="163" t="s">
        <v>3495</v>
      </c>
      <c r="H450" s="152" t="s">
        <v>3696</v>
      </c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 t="s">
        <v>3697</v>
      </c>
      <c r="Z450" s="157" t="s">
        <v>3697</v>
      </c>
      <c r="AA450" s="152"/>
      <c r="AB450" s="152"/>
      <c r="AC450" s="152"/>
      <c r="AD450" s="152"/>
      <c r="AE450" s="185"/>
      <c r="AF450" s="185"/>
      <c r="AG450" s="185"/>
      <c r="AH450" s="185"/>
      <c r="AI450" s="185"/>
      <c r="AJ450" s="185"/>
      <c r="AK450" s="185"/>
      <c r="AL450" s="185"/>
      <c r="AM450" s="185"/>
      <c r="AN450" s="185"/>
      <c r="AO450" s="185"/>
      <c r="AP450" s="185"/>
      <c r="AQ450" s="185"/>
      <c r="AR450" s="185"/>
      <c r="AS450" s="185"/>
      <c r="AT450" s="185"/>
      <c r="AU450" s="185"/>
      <c r="AV450" s="185"/>
      <c r="AW450" s="185"/>
      <c r="AX450" s="185"/>
      <c r="AY450" s="185"/>
      <c r="AZ450" s="185"/>
      <c r="BA450" s="185"/>
      <c r="BB450" s="185"/>
      <c r="BC450" s="185"/>
      <c r="BD450" s="185"/>
      <c r="BE450" s="185"/>
    </row>
    <row r="451">
      <c r="A451" s="152"/>
      <c r="B451" s="152"/>
      <c r="C451" s="152"/>
      <c r="D451" s="152" t="s">
        <v>3698</v>
      </c>
      <c r="E451" s="152" t="s">
        <v>3699</v>
      </c>
      <c r="F451" s="152" t="s">
        <v>332</v>
      </c>
      <c r="G451" s="152" t="s">
        <v>3700</v>
      </c>
      <c r="H451" s="152" t="s">
        <v>3701</v>
      </c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 t="s">
        <v>3702</v>
      </c>
      <c r="Z451" s="157" t="s">
        <v>3702</v>
      </c>
      <c r="AA451" s="152"/>
      <c r="AB451" s="152"/>
      <c r="AC451" s="152"/>
      <c r="AD451" s="152"/>
      <c r="AE451" s="185"/>
      <c r="AF451" s="185"/>
      <c r="AG451" s="185"/>
      <c r="AH451" s="185"/>
      <c r="AI451" s="185"/>
      <c r="AJ451" s="185"/>
      <c r="AK451" s="185"/>
      <c r="AL451" s="185"/>
      <c r="AM451" s="185"/>
      <c r="AN451" s="185"/>
      <c r="AO451" s="185"/>
      <c r="AP451" s="185"/>
      <c r="AQ451" s="185"/>
      <c r="AR451" s="185"/>
      <c r="AS451" s="185"/>
      <c r="AT451" s="185"/>
      <c r="AU451" s="185"/>
      <c r="AV451" s="185"/>
      <c r="AW451" s="185"/>
      <c r="AX451" s="185"/>
      <c r="AY451" s="185"/>
      <c r="AZ451" s="185"/>
      <c r="BA451" s="185"/>
      <c r="BB451" s="185"/>
      <c r="BC451" s="185"/>
      <c r="BD451" s="185"/>
      <c r="BE451" s="185"/>
    </row>
    <row r="452">
      <c r="A452" s="152"/>
      <c r="B452" s="152"/>
      <c r="C452" s="152"/>
      <c r="D452" s="152" t="s">
        <v>3703</v>
      </c>
      <c r="E452" s="152" t="s">
        <v>3704</v>
      </c>
      <c r="F452" s="152" t="s">
        <v>898</v>
      </c>
      <c r="G452" s="152" t="s">
        <v>3705</v>
      </c>
      <c r="H452" s="152" t="s">
        <v>3706</v>
      </c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 t="s">
        <v>3707</v>
      </c>
      <c r="Z452" s="157" t="s">
        <v>3707</v>
      </c>
      <c r="AA452" s="152"/>
      <c r="AB452" s="152"/>
      <c r="AC452" s="152"/>
      <c r="AD452" s="152"/>
      <c r="AE452" s="185"/>
      <c r="AF452" s="185"/>
      <c r="AG452" s="185"/>
      <c r="AH452" s="185"/>
      <c r="AI452" s="185"/>
      <c r="AJ452" s="185"/>
      <c r="AK452" s="185"/>
      <c r="AL452" s="185"/>
      <c r="AM452" s="185"/>
      <c r="AN452" s="185"/>
      <c r="AO452" s="185"/>
      <c r="AP452" s="185"/>
      <c r="AQ452" s="185"/>
      <c r="AR452" s="185"/>
      <c r="AS452" s="185"/>
      <c r="AT452" s="185"/>
      <c r="AU452" s="185"/>
      <c r="AV452" s="185"/>
      <c r="AW452" s="185"/>
      <c r="AX452" s="185"/>
      <c r="AY452" s="185"/>
      <c r="AZ452" s="185"/>
      <c r="BA452" s="185"/>
      <c r="BB452" s="185"/>
      <c r="BC452" s="185"/>
      <c r="BD452" s="185"/>
      <c r="BE452" s="185"/>
    </row>
    <row r="453">
      <c r="A453" s="152"/>
      <c r="B453" s="152"/>
      <c r="C453" s="152"/>
      <c r="D453" s="152" t="s">
        <v>3708</v>
      </c>
      <c r="E453" s="152" t="s">
        <v>3709</v>
      </c>
      <c r="F453" s="152" t="s">
        <v>332</v>
      </c>
      <c r="G453" s="152" t="s">
        <v>3710</v>
      </c>
      <c r="H453" s="152" t="s">
        <v>3711</v>
      </c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 t="s">
        <v>3712</v>
      </c>
      <c r="Z453" s="157" t="s">
        <v>3712</v>
      </c>
      <c r="AA453" s="152"/>
      <c r="AB453" s="152"/>
      <c r="AC453" s="152"/>
      <c r="AD453" s="152"/>
      <c r="AE453" s="185"/>
      <c r="AF453" s="185"/>
      <c r="AG453" s="185"/>
      <c r="AH453" s="185"/>
      <c r="AI453" s="185"/>
      <c r="AJ453" s="185"/>
      <c r="AK453" s="185"/>
      <c r="AL453" s="185"/>
      <c r="AM453" s="185"/>
      <c r="AN453" s="185"/>
      <c r="AO453" s="185"/>
      <c r="AP453" s="185"/>
      <c r="AQ453" s="185"/>
      <c r="AR453" s="185"/>
      <c r="AS453" s="185"/>
      <c r="AT453" s="185"/>
      <c r="AU453" s="185"/>
      <c r="AV453" s="185"/>
      <c r="AW453" s="185"/>
      <c r="AX453" s="185"/>
      <c r="AY453" s="185"/>
      <c r="AZ453" s="185"/>
      <c r="BA453" s="185"/>
      <c r="BB453" s="185"/>
      <c r="BC453" s="185"/>
      <c r="BD453" s="185"/>
      <c r="BE453" s="185"/>
    </row>
    <row r="454">
      <c r="A454" s="152"/>
      <c r="B454" s="152"/>
      <c r="C454" s="152"/>
      <c r="D454" s="152" t="s">
        <v>3713</v>
      </c>
      <c r="E454" s="152" t="s">
        <v>1306</v>
      </c>
      <c r="F454" s="152"/>
      <c r="G454" s="152" t="s">
        <v>3714</v>
      </c>
      <c r="H454" s="152" t="s">
        <v>3715</v>
      </c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 t="s">
        <v>3716</v>
      </c>
      <c r="Z454" s="157" t="s">
        <v>3716</v>
      </c>
      <c r="AA454" s="152"/>
      <c r="AB454" s="152"/>
      <c r="AC454" s="152"/>
      <c r="AD454" s="152"/>
      <c r="AE454" s="185"/>
      <c r="AF454" s="185"/>
      <c r="AG454" s="185"/>
      <c r="AH454" s="185"/>
      <c r="AI454" s="185"/>
      <c r="AJ454" s="185"/>
      <c r="AK454" s="185"/>
      <c r="AL454" s="185"/>
      <c r="AM454" s="185"/>
      <c r="AN454" s="185"/>
      <c r="AO454" s="185"/>
      <c r="AP454" s="185"/>
      <c r="AQ454" s="185"/>
      <c r="AR454" s="185"/>
      <c r="AS454" s="185"/>
      <c r="AT454" s="185"/>
      <c r="AU454" s="185"/>
      <c r="AV454" s="185"/>
      <c r="AW454" s="185"/>
      <c r="AX454" s="185"/>
      <c r="AY454" s="185"/>
      <c r="AZ454" s="185"/>
      <c r="BA454" s="185"/>
      <c r="BB454" s="185"/>
      <c r="BC454" s="185"/>
      <c r="BD454" s="185"/>
      <c r="BE454" s="185"/>
    </row>
    <row r="455">
      <c r="A455" s="152"/>
      <c r="B455" s="152"/>
      <c r="C455" s="152"/>
      <c r="D455" s="152" t="s">
        <v>595</v>
      </c>
      <c r="E455" s="152" t="s">
        <v>595</v>
      </c>
      <c r="F455" s="152" t="s">
        <v>939</v>
      </c>
      <c r="G455" s="152" t="s">
        <v>3717</v>
      </c>
      <c r="H455" s="152" t="s">
        <v>3718</v>
      </c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 t="s">
        <v>3719</v>
      </c>
      <c r="Z455" s="157" t="s">
        <v>3719</v>
      </c>
      <c r="AA455" s="152"/>
      <c r="AB455" s="152"/>
      <c r="AC455" s="152"/>
      <c r="AD455" s="152"/>
      <c r="AE455" s="185"/>
      <c r="AF455" s="185"/>
      <c r="AG455" s="185"/>
      <c r="AH455" s="185"/>
      <c r="AI455" s="185"/>
      <c r="AJ455" s="185"/>
      <c r="AK455" s="185"/>
      <c r="AL455" s="185"/>
      <c r="AM455" s="185"/>
      <c r="AN455" s="185"/>
      <c r="AO455" s="185"/>
      <c r="AP455" s="185"/>
      <c r="AQ455" s="185"/>
      <c r="AR455" s="185"/>
      <c r="AS455" s="185"/>
      <c r="AT455" s="185"/>
      <c r="AU455" s="185"/>
      <c r="AV455" s="185"/>
      <c r="AW455" s="185"/>
      <c r="AX455" s="185"/>
      <c r="AY455" s="185"/>
      <c r="AZ455" s="185"/>
      <c r="BA455" s="185"/>
      <c r="BB455" s="185"/>
      <c r="BC455" s="185"/>
      <c r="BD455" s="185"/>
      <c r="BE455" s="185"/>
    </row>
    <row r="456">
      <c r="A456" s="152"/>
      <c r="B456" s="152"/>
      <c r="C456" s="152"/>
      <c r="D456" s="152" t="s">
        <v>3720</v>
      </c>
      <c r="E456" s="152" t="s">
        <v>3721</v>
      </c>
      <c r="F456" s="152"/>
      <c r="G456" s="152" t="s">
        <v>3722</v>
      </c>
      <c r="H456" s="152" t="s">
        <v>3723</v>
      </c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 t="s">
        <v>3724</v>
      </c>
      <c r="Z456" s="157" t="s">
        <v>3724</v>
      </c>
      <c r="AA456" s="152"/>
      <c r="AB456" s="152"/>
      <c r="AC456" s="152"/>
      <c r="AD456" s="152"/>
      <c r="AE456" s="185"/>
      <c r="AF456" s="185"/>
      <c r="AG456" s="185"/>
      <c r="AH456" s="185"/>
      <c r="AI456" s="185"/>
      <c r="AJ456" s="185"/>
      <c r="AK456" s="185"/>
      <c r="AL456" s="185"/>
      <c r="AM456" s="185"/>
      <c r="AN456" s="185"/>
      <c r="AO456" s="185"/>
      <c r="AP456" s="185"/>
      <c r="AQ456" s="185"/>
      <c r="AR456" s="185"/>
      <c r="AS456" s="185"/>
      <c r="AT456" s="185"/>
      <c r="AU456" s="185"/>
      <c r="AV456" s="185"/>
      <c r="AW456" s="185"/>
      <c r="AX456" s="185"/>
      <c r="AY456" s="185"/>
      <c r="AZ456" s="185"/>
      <c r="BA456" s="185"/>
      <c r="BB456" s="185"/>
      <c r="BC456" s="185"/>
      <c r="BD456" s="185"/>
      <c r="BE456" s="185"/>
    </row>
    <row r="457">
      <c r="A457" s="152"/>
      <c r="B457" s="152"/>
      <c r="C457" s="152"/>
      <c r="D457" s="152" t="s">
        <v>628</v>
      </c>
      <c r="E457" s="152" t="s">
        <v>628</v>
      </c>
      <c r="F457" s="152"/>
      <c r="G457" s="152" t="s">
        <v>3725</v>
      </c>
      <c r="H457" s="152" t="s">
        <v>3726</v>
      </c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 t="s">
        <v>3727</v>
      </c>
      <c r="Z457" s="157" t="s">
        <v>3727</v>
      </c>
      <c r="AA457" s="152"/>
      <c r="AB457" s="152"/>
      <c r="AC457" s="152"/>
      <c r="AD457" s="152"/>
      <c r="AE457" s="185"/>
      <c r="AF457" s="185"/>
      <c r="AG457" s="185"/>
      <c r="AH457" s="185"/>
      <c r="AI457" s="185"/>
      <c r="AJ457" s="185"/>
      <c r="AK457" s="185"/>
      <c r="AL457" s="185"/>
      <c r="AM457" s="185"/>
      <c r="AN457" s="185"/>
      <c r="AO457" s="185"/>
      <c r="AP457" s="185"/>
      <c r="AQ457" s="185"/>
      <c r="AR457" s="185"/>
      <c r="AS457" s="185"/>
      <c r="AT457" s="185"/>
      <c r="AU457" s="185"/>
      <c r="AV457" s="185"/>
      <c r="AW457" s="185"/>
      <c r="AX457" s="185"/>
      <c r="AY457" s="185"/>
      <c r="AZ457" s="185"/>
      <c r="BA457" s="185"/>
      <c r="BB457" s="185"/>
      <c r="BC457" s="185"/>
      <c r="BD457" s="185"/>
      <c r="BE457" s="185"/>
    </row>
    <row r="458">
      <c r="A458" s="152"/>
      <c r="B458" s="152"/>
      <c r="C458" s="152"/>
      <c r="D458" s="152" t="s">
        <v>3728</v>
      </c>
      <c r="E458" s="152" t="s">
        <v>3729</v>
      </c>
      <c r="F458" s="152" t="s">
        <v>332</v>
      </c>
      <c r="G458" s="152" t="s">
        <v>3730</v>
      </c>
      <c r="H458" s="152" t="s">
        <v>3731</v>
      </c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 t="s">
        <v>3732</v>
      </c>
      <c r="Z458" s="157" t="s">
        <v>3732</v>
      </c>
      <c r="AA458" s="152"/>
      <c r="AB458" s="152"/>
      <c r="AC458" s="152"/>
      <c r="AD458" s="152"/>
      <c r="AE458" s="185"/>
      <c r="AF458" s="185"/>
      <c r="AG458" s="185"/>
      <c r="AH458" s="185"/>
      <c r="AI458" s="185"/>
      <c r="AJ458" s="185"/>
      <c r="AK458" s="185"/>
      <c r="AL458" s="185"/>
      <c r="AM458" s="185"/>
      <c r="AN458" s="185"/>
      <c r="AO458" s="185"/>
      <c r="AP458" s="185"/>
      <c r="AQ458" s="185"/>
      <c r="AR458" s="185"/>
      <c r="AS458" s="185"/>
      <c r="AT458" s="185"/>
      <c r="AU458" s="185"/>
      <c r="AV458" s="185"/>
      <c r="AW458" s="185"/>
      <c r="AX458" s="185"/>
      <c r="AY458" s="185"/>
      <c r="AZ458" s="185"/>
      <c r="BA458" s="185"/>
      <c r="BB458" s="185"/>
      <c r="BC458" s="185"/>
      <c r="BD458" s="185"/>
      <c r="BE458" s="185"/>
    </row>
    <row r="459">
      <c r="A459" s="152"/>
      <c r="B459" s="152"/>
      <c r="C459" s="152"/>
      <c r="D459" s="152" t="s">
        <v>17</v>
      </c>
      <c r="E459" s="152" t="s">
        <v>27</v>
      </c>
      <c r="F459" s="152"/>
      <c r="G459" s="152" t="s">
        <v>3733</v>
      </c>
      <c r="H459" s="152" t="s">
        <v>3734</v>
      </c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 t="s">
        <v>3735</v>
      </c>
      <c r="Z459" s="157" t="s">
        <v>3735</v>
      </c>
      <c r="AA459" s="152"/>
      <c r="AB459" s="152"/>
      <c r="AC459" s="152"/>
      <c r="AD459" s="152"/>
      <c r="AE459" s="185"/>
      <c r="AF459" s="185"/>
      <c r="AG459" s="185"/>
      <c r="AH459" s="185"/>
      <c r="AI459" s="185"/>
      <c r="AJ459" s="185"/>
      <c r="AK459" s="185"/>
      <c r="AL459" s="185"/>
      <c r="AM459" s="185"/>
      <c r="AN459" s="185"/>
      <c r="AO459" s="185"/>
      <c r="AP459" s="185"/>
      <c r="AQ459" s="185"/>
      <c r="AR459" s="185"/>
      <c r="AS459" s="185"/>
      <c r="AT459" s="185"/>
      <c r="AU459" s="185"/>
      <c r="AV459" s="185"/>
      <c r="AW459" s="185"/>
      <c r="AX459" s="185"/>
      <c r="AY459" s="185"/>
      <c r="AZ459" s="185"/>
      <c r="BA459" s="185"/>
      <c r="BB459" s="185"/>
      <c r="BC459" s="185"/>
      <c r="BD459" s="185"/>
      <c r="BE459" s="185"/>
    </row>
    <row r="460">
      <c r="A460" s="152"/>
      <c r="B460" s="152"/>
      <c r="C460" s="152"/>
      <c r="D460" s="152" t="s">
        <v>3736</v>
      </c>
      <c r="E460" s="152" t="s">
        <v>3737</v>
      </c>
      <c r="F460" s="152"/>
      <c r="G460" s="152" t="s">
        <v>3738</v>
      </c>
      <c r="H460" s="152" t="s">
        <v>3739</v>
      </c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 t="s">
        <v>3740</v>
      </c>
      <c r="Z460" s="157" t="s">
        <v>3740</v>
      </c>
      <c r="AA460" s="152"/>
      <c r="AB460" s="152"/>
      <c r="AC460" s="152"/>
      <c r="AD460" s="152"/>
      <c r="AE460" s="185"/>
      <c r="AF460" s="185"/>
      <c r="AG460" s="185"/>
      <c r="AH460" s="185"/>
      <c r="AI460" s="185"/>
      <c r="AJ460" s="185"/>
      <c r="AK460" s="185"/>
      <c r="AL460" s="185"/>
      <c r="AM460" s="185"/>
      <c r="AN460" s="185"/>
      <c r="AO460" s="185"/>
      <c r="AP460" s="185"/>
      <c r="AQ460" s="185"/>
      <c r="AR460" s="185"/>
      <c r="AS460" s="185"/>
      <c r="AT460" s="185"/>
      <c r="AU460" s="185"/>
      <c r="AV460" s="185"/>
      <c r="AW460" s="185"/>
      <c r="AX460" s="185"/>
      <c r="AY460" s="185"/>
      <c r="AZ460" s="185"/>
      <c r="BA460" s="185"/>
      <c r="BB460" s="185"/>
      <c r="BC460" s="185"/>
      <c r="BD460" s="185"/>
      <c r="BE460" s="185"/>
    </row>
    <row r="461">
      <c r="A461" s="152"/>
      <c r="B461" s="152"/>
      <c r="C461" s="152"/>
      <c r="D461" s="152" t="s">
        <v>3741</v>
      </c>
      <c r="E461" s="152" t="s">
        <v>3742</v>
      </c>
      <c r="F461" s="152" t="s">
        <v>332</v>
      </c>
      <c r="G461" s="152" t="s">
        <v>3743</v>
      </c>
      <c r="H461" s="152" t="s">
        <v>3744</v>
      </c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 t="s">
        <v>3745</v>
      </c>
      <c r="Z461" s="157" t="s">
        <v>3745</v>
      </c>
      <c r="AA461" s="152"/>
      <c r="AB461" s="152"/>
      <c r="AC461" s="152"/>
      <c r="AD461" s="152"/>
      <c r="AE461" s="185"/>
      <c r="AF461" s="185"/>
      <c r="AG461" s="185"/>
      <c r="AH461" s="185"/>
      <c r="AI461" s="185"/>
      <c r="AJ461" s="185"/>
      <c r="AK461" s="185"/>
      <c r="AL461" s="185"/>
      <c r="AM461" s="185"/>
      <c r="AN461" s="185"/>
      <c r="AO461" s="185"/>
      <c r="AP461" s="185"/>
      <c r="AQ461" s="185"/>
      <c r="AR461" s="185"/>
      <c r="AS461" s="185"/>
      <c r="AT461" s="185"/>
      <c r="AU461" s="185"/>
      <c r="AV461" s="185"/>
      <c r="AW461" s="185"/>
      <c r="AX461" s="185"/>
      <c r="AY461" s="185"/>
      <c r="AZ461" s="185"/>
      <c r="BA461" s="185"/>
      <c r="BB461" s="185"/>
      <c r="BC461" s="185"/>
      <c r="BD461" s="185"/>
      <c r="BE461" s="185"/>
    </row>
    <row r="462">
      <c r="A462" s="152"/>
      <c r="B462" s="152"/>
      <c r="C462" s="152"/>
      <c r="D462" s="152" t="s">
        <v>3746</v>
      </c>
      <c r="E462" s="152" t="s">
        <v>700</v>
      </c>
      <c r="F462" s="152" t="s">
        <v>898</v>
      </c>
      <c r="G462" s="152" t="s">
        <v>3747</v>
      </c>
      <c r="H462" s="152" t="s">
        <v>3748</v>
      </c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 t="s">
        <v>3749</v>
      </c>
      <c r="Z462" s="157" t="s">
        <v>3749</v>
      </c>
      <c r="AA462" s="152"/>
      <c r="AB462" s="152"/>
      <c r="AC462" s="152"/>
      <c r="AD462" s="152"/>
      <c r="AE462" s="185"/>
      <c r="AF462" s="185"/>
      <c r="AG462" s="185"/>
      <c r="AH462" s="185"/>
      <c r="AI462" s="185"/>
      <c r="AJ462" s="185"/>
      <c r="AK462" s="185"/>
      <c r="AL462" s="185"/>
      <c r="AM462" s="185"/>
      <c r="AN462" s="185"/>
      <c r="AO462" s="185"/>
      <c r="AP462" s="185"/>
      <c r="AQ462" s="185"/>
      <c r="AR462" s="185"/>
      <c r="AS462" s="185"/>
      <c r="AT462" s="185"/>
      <c r="AU462" s="185"/>
      <c r="AV462" s="185"/>
      <c r="AW462" s="185"/>
      <c r="AX462" s="185"/>
      <c r="AY462" s="185"/>
      <c r="AZ462" s="185"/>
      <c r="BA462" s="185"/>
      <c r="BB462" s="185"/>
      <c r="BC462" s="185"/>
      <c r="BD462" s="185"/>
      <c r="BE462" s="185"/>
    </row>
    <row r="463">
      <c r="A463" s="152"/>
      <c r="B463" s="152"/>
      <c r="C463" s="152"/>
      <c r="D463" s="152" t="s">
        <v>3750</v>
      </c>
      <c r="E463" s="152" t="s">
        <v>3751</v>
      </c>
      <c r="F463" s="152"/>
      <c r="G463" s="152" t="s">
        <v>3752</v>
      </c>
      <c r="H463" s="152" t="s">
        <v>3753</v>
      </c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 t="s">
        <v>3754</v>
      </c>
      <c r="Z463" s="157" t="s">
        <v>3754</v>
      </c>
      <c r="AA463" s="152"/>
      <c r="AB463" s="152"/>
      <c r="AC463" s="152"/>
      <c r="AD463" s="152"/>
      <c r="AE463" s="185"/>
      <c r="AF463" s="185"/>
      <c r="AG463" s="185"/>
      <c r="AH463" s="185"/>
      <c r="AI463" s="185"/>
      <c r="AJ463" s="185"/>
      <c r="AK463" s="185"/>
      <c r="AL463" s="185"/>
      <c r="AM463" s="185"/>
      <c r="AN463" s="185"/>
      <c r="AO463" s="185"/>
      <c r="AP463" s="185"/>
      <c r="AQ463" s="185"/>
      <c r="AR463" s="185"/>
      <c r="AS463" s="185"/>
      <c r="AT463" s="185"/>
      <c r="AU463" s="185"/>
      <c r="AV463" s="185"/>
      <c r="AW463" s="185"/>
      <c r="AX463" s="185"/>
      <c r="AY463" s="185"/>
      <c r="AZ463" s="185"/>
      <c r="BA463" s="185"/>
      <c r="BB463" s="185"/>
      <c r="BC463" s="185"/>
      <c r="BD463" s="185"/>
      <c r="BE463" s="185"/>
    </row>
    <row r="464">
      <c r="A464" s="152"/>
      <c r="B464" s="152"/>
      <c r="C464" s="152"/>
      <c r="D464" s="152" t="s">
        <v>3755</v>
      </c>
      <c r="E464" s="152" t="s">
        <v>3756</v>
      </c>
      <c r="F464" s="152" t="s">
        <v>806</v>
      </c>
      <c r="G464" s="152" t="s">
        <v>3757</v>
      </c>
      <c r="H464" s="152" t="s">
        <v>3758</v>
      </c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 t="s">
        <v>3759</v>
      </c>
      <c r="Z464" s="157" t="s">
        <v>3759</v>
      </c>
      <c r="AA464" s="152"/>
      <c r="AB464" s="152"/>
      <c r="AC464" s="152"/>
      <c r="AD464" s="152"/>
      <c r="AE464" s="185"/>
      <c r="AF464" s="185"/>
      <c r="AG464" s="185"/>
      <c r="AH464" s="185"/>
      <c r="AI464" s="185"/>
      <c r="AJ464" s="185"/>
      <c r="AK464" s="185"/>
      <c r="AL464" s="185"/>
      <c r="AM464" s="185"/>
      <c r="AN464" s="185"/>
      <c r="AO464" s="185"/>
      <c r="AP464" s="185"/>
      <c r="AQ464" s="185"/>
      <c r="AR464" s="185"/>
      <c r="AS464" s="185"/>
      <c r="AT464" s="185"/>
      <c r="AU464" s="185"/>
      <c r="AV464" s="185"/>
      <c r="AW464" s="185"/>
      <c r="AX464" s="185"/>
      <c r="AY464" s="185"/>
      <c r="AZ464" s="185"/>
      <c r="BA464" s="185"/>
      <c r="BB464" s="185"/>
      <c r="BC464" s="185"/>
      <c r="BD464" s="185"/>
      <c r="BE464" s="185"/>
    </row>
    <row r="465">
      <c r="A465" s="152"/>
      <c r="B465" s="152"/>
      <c r="C465" s="152"/>
      <c r="D465" s="152" t="s">
        <v>3760</v>
      </c>
      <c r="E465" s="152" t="s">
        <v>3760</v>
      </c>
      <c r="F465" s="152"/>
      <c r="G465" s="152" t="s">
        <v>3761</v>
      </c>
      <c r="H465" s="152" t="s">
        <v>3762</v>
      </c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 t="s">
        <v>3763</v>
      </c>
      <c r="Z465" s="157" t="s">
        <v>3763</v>
      </c>
      <c r="AA465" s="152"/>
      <c r="AB465" s="152"/>
      <c r="AC465" s="152"/>
      <c r="AD465" s="152"/>
      <c r="AE465" s="185"/>
      <c r="AF465" s="185"/>
      <c r="AG465" s="185"/>
      <c r="AH465" s="185"/>
      <c r="AI465" s="185"/>
      <c r="AJ465" s="185"/>
      <c r="AK465" s="185"/>
      <c r="AL465" s="185"/>
      <c r="AM465" s="185"/>
      <c r="AN465" s="185"/>
      <c r="AO465" s="185"/>
      <c r="AP465" s="185"/>
      <c r="AQ465" s="185"/>
      <c r="AR465" s="185"/>
      <c r="AS465" s="185"/>
      <c r="AT465" s="185"/>
      <c r="AU465" s="185"/>
      <c r="AV465" s="185"/>
      <c r="AW465" s="185"/>
      <c r="AX465" s="185"/>
      <c r="AY465" s="185"/>
      <c r="AZ465" s="185"/>
      <c r="BA465" s="185"/>
      <c r="BB465" s="185"/>
      <c r="BC465" s="185"/>
      <c r="BD465" s="185"/>
      <c r="BE465" s="185"/>
    </row>
    <row r="466">
      <c r="A466" s="152"/>
      <c r="B466" s="152"/>
      <c r="C466" s="152"/>
      <c r="D466" s="152" t="s">
        <v>3764</v>
      </c>
      <c r="E466" s="152" t="s">
        <v>3765</v>
      </c>
      <c r="F466" s="152" t="s">
        <v>332</v>
      </c>
      <c r="G466" s="163" t="s">
        <v>3766</v>
      </c>
      <c r="H466" s="152" t="s">
        <v>3767</v>
      </c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 t="s">
        <v>3768</v>
      </c>
      <c r="Z466" s="157" t="s">
        <v>3768</v>
      </c>
      <c r="AA466" s="152"/>
      <c r="AB466" s="152"/>
      <c r="AC466" s="152"/>
      <c r="AD466" s="152"/>
      <c r="AE466" s="185"/>
      <c r="AF466" s="185"/>
      <c r="AG466" s="185"/>
      <c r="AH466" s="185"/>
      <c r="AI466" s="185"/>
      <c r="AJ466" s="185"/>
      <c r="AK466" s="185"/>
      <c r="AL466" s="185"/>
      <c r="AM466" s="185"/>
      <c r="AN466" s="185"/>
      <c r="AO466" s="185"/>
      <c r="AP466" s="185"/>
      <c r="AQ466" s="185"/>
      <c r="AR466" s="185"/>
      <c r="AS466" s="185"/>
      <c r="AT466" s="185"/>
      <c r="AU466" s="185"/>
      <c r="AV466" s="185"/>
      <c r="AW466" s="185"/>
      <c r="AX466" s="185"/>
      <c r="AY466" s="185"/>
      <c r="AZ466" s="185"/>
      <c r="BA466" s="185"/>
      <c r="BB466" s="185"/>
      <c r="BC466" s="185"/>
      <c r="BD466" s="185"/>
      <c r="BE466" s="185"/>
    </row>
    <row r="467">
      <c r="A467" s="152"/>
      <c r="B467" s="152"/>
      <c r="C467" s="152"/>
      <c r="D467" s="152" t="s">
        <v>3769</v>
      </c>
      <c r="E467" s="152" t="s">
        <v>3770</v>
      </c>
      <c r="F467" s="152"/>
      <c r="G467" s="163" t="s">
        <v>3771</v>
      </c>
      <c r="H467" s="152" t="s">
        <v>3772</v>
      </c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 t="s">
        <v>3773</v>
      </c>
      <c r="Z467" s="157" t="s">
        <v>3773</v>
      </c>
      <c r="AA467" s="152"/>
      <c r="AB467" s="152"/>
      <c r="AC467" s="152"/>
      <c r="AD467" s="152"/>
      <c r="AE467" s="185"/>
      <c r="AF467" s="185"/>
      <c r="AG467" s="185"/>
      <c r="AH467" s="185"/>
      <c r="AI467" s="185"/>
      <c r="AJ467" s="185"/>
      <c r="AK467" s="185"/>
      <c r="AL467" s="185"/>
      <c r="AM467" s="185"/>
      <c r="AN467" s="185"/>
      <c r="AO467" s="185"/>
      <c r="AP467" s="185"/>
      <c r="AQ467" s="185"/>
      <c r="AR467" s="185"/>
      <c r="AS467" s="185"/>
      <c r="AT467" s="185"/>
      <c r="AU467" s="185"/>
      <c r="AV467" s="185"/>
      <c r="AW467" s="185"/>
      <c r="AX467" s="185"/>
      <c r="AY467" s="185"/>
      <c r="AZ467" s="185"/>
      <c r="BA467" s="185"/>
      <c r="BB467" s="185"/>
      <c r="BC467" s="185"/>
      <c r="BD467" s="185"/>
      <c r="BE467" s="185"/>
    </row>
    <row r="468">
      <c r="A468" s="152"/>
      <c r="B468" s="152"/>
      <c r="C468" s="152"/>
      <c r="D468" s="152" t="s">
        <v>3774</v>
      </c>
      <c r="E468" s="152" t="s">
        <v>3775</v>
      </c>
      <c r="F468" s="152" t="s">
        <v>394</v>
      </c>
      <c r="G468" s="163" t="s">
        <v>3776</v>
      </c>
      <c r="H468" s="152" t="s">
        <v>3777</v>
      </c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 t="s">
        <v>3778</v>
      </c>
      <c r="Z468" s="157" t="s">
        <v>3778</v>
      </c>
      <c r="AA468" s="152"/>
      <c r="AB468" s="152"/>
      <c r="AC468" s="152"/>
      <c r="AD468" s="152"/>
      <c r="AE468" s="185"/>
      <c r="AF468" s="185"/>
      <c r="AG468" s="185"/>
      <c r="AH468" s="185"/>
      <c r="AI468" s="185"/>
      <c r="AJ468" s="185"/>
      <c r="AK468" s="185"/>
      <c r="AL468" s="185"/>
      <c r="AM468" s="185"/>
      <c r="AN468" s="185"/>
      <c r="AO468" s="185"/>
      <c r="AP468" s="185"/>
      <c r="AQ468" s="185"/>
      <c r="AR468" s="185"/>
      <c r="AS468" s="185"/>
      <c r="AT468" s="185"/>
      <c r="AU468" s="185"/>
      <c r="AV468" s="185"/>
      <c r="AW468" s="185"/>
      <c r="AX468" s="185"/>
      <c r="AY468" s="185"/>
      <c r="AZ468" s="185"/>
      <c r="BA468" s="185"/>
      <c r="BB468" s="185"/>
      <c r="BC468" s="185"/>
      <c r="BD468" s="185"/>
      <c r="BE468" s="185"/>
    </row>
    <row r="469">
      <c r="A469" s="152"/>
      <c r="B469" s="152"/>
      <c r="C469" s="152"/>
      <c r="D469" s="152" t="s">
        <v>3779</v>
      </c>
      <c r="E469" s="152" t="s">
        <v>3780</v>
      </c>
      <c r="F469" s="152" t="s">
        <v>332</v>
      </c>
      <c r="G469" s="163" t="s">
        <v>3781</v>
      </c>
      <c r="H469" s="152" t="s">
        <v>3563</v>
      </c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 t="s">
        <v>3782</v>
      </c>
      <c r="Z469" s="157" t="s">
        <v>3782</v>
      </c>
      <c r="AA469" s="152"/>
      <c r="AB469" s="152"/>
      <c r="AC469" s="152"/>
      <c r="AD469" s="152"/>
      <c r="AE469" s="185"/>
      <c r="AF469" s="185"/>
      <c r="AG469" s="185"/>
      <c r="AH469" s="185"/>
      <c r="AI469" s="185"/>
      <c r="AJ469" s="185"/>
      <c r="AK469" s="185"/>
      <c r="AL469" s="185"/>
      <c r="AM469" s="185"/>
      <c r="AN469" s="185"/>
      <c r="AO469" s="185"/>
      <c r="AP469" s="185"/>
      <c r="AQ469" s="185"/>
      <c r="AR469" s="185"/>
      <c r="AS469" s="185"/>
      <c r="AT469" s="185"/>
      <c r="AU469" s="185"/>
      <c r="AV469" s="185"/>
      <c r="AW469" s="185"/>
      <c r="AX469" s="185"/>
      <c r="AY469" s="185"/>
      <c r="AZ469" s="185"/>
      <c r="BA469" s="185"/>
      <c r="BB469" s="185"/>
      <c r="BC469" s="185"/>
      <c r="BD469" s="185"/>
      <c r="BE469" s="185"/>
    </row>
    <row r="470">
      <c r="A470" s="152"/>
      <c r="B470" s="152"/>
      <c r="C470" s="152"/>
      <c r="D470" s="152" t="s">
        <v>3783</v>
      </c>
      <c r="E470" s="152" t="s">
        <v>3784</v>
      </c>
      <c r="F470" s="152" t="s">
        <v>1186</v>
      </c>
      <c r="G470" s="152" t="s">
        <v>3785</v>
      </c>
      <c r="H470" s="152" t="s">
        <v>3786</v>
      </c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 t="s">
        <v>3787</v>
      </c>
      <c r="Z470" s="157" t="s">
        <v>3787</v>
      </c>
      <c r="AA470" s="152"/>
      <c r="AB470" s="152"/>
      <c r="AC470" s="152"/>
      <c r="AD470" s="152"/>
      <c r="AE470" s="185"/>
      <c r="AF470" s="185"/>
      <c r="AG470" s="185"/>
      <c r="AH470" s="185"/>
      <c r="AI470" s="185"/>
      <c r="AJ470" s="185"/>
      <c r="AK470" s="185"/>
      <c r="AL470" s="185"/>
      <c r="AM470" s="185"/>
      <c r="AN470" s="185"/>
      <c r="AO470" s="185"/>
      <c r="AP470" s="185"/>
      <c r="AQ470" s="185"/>
      <c r="AR470" s="185"/>
      <c r="AS470" s="185"/>
      <c r="AT470" s="185"/>
      <c r="AU470" s="185"/>
      <c r="AV470" s="185"/>
      <c r="AW470" s="185"/>
      <c r="AX470" s="185"/>
      <c r="AY470" s="185"/>
      <c r="AZ470" s="185"/>
      <c r="BA470" s="185"/>
      <c r="BB470" s="185"/>
      <c r="BC470" s="185"/>
      <c r="BD470" s="185"/>
      <c r="BE470" s="185"/>
    </row>
    <row r="471">
      <c r="A471" s="152"/>
      <c r="B471" s="152"/>
      <c r="C471" s="152"/>
      <c r="D471" s="152" t="s">
        <v>3788</v>
      </c>
      <c r="E471" s="152" t="s">
        <v>3789</v>
      </c>
      <c r="F471" s="152" t="s">
        <v>1004</v>
      </c>
      <c r="G471" s="152" t="s">
        <v>3572</v>
      </c>
      <c r="H471" s="152" t="s">
        <v>3790</v>
      </c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 t="s">
        <v>3791</v>
      </c>
      <c r="Z471" s="157" t="s">
        <v>3791</v>
      </c>
      <c r="AA471" s="152"/>
      <c r="AB471" s="152"/>
      <c r="AC471" s="152"/>
      <c r="AD471" s="152"/>
      <c r="AE471" s="185"/>
      <c r="AF471" s="185"/>
      <c r="AG471" s="185"/>
      <c r="AH471" s="185"/>
      <c r="AI471" s="185"/>
      <c r="AJ471" s="185"/>
      <c r="AK471" s="185"/>
      <c r="AL471" s="185"/>
      <c r="AM471" s="185"/>
      <c r="AN471" s="185"/>
      <c r="AO471" s="185"/>
      <c r="AP471" s="185"/>
      <c r="AQ471" s="185"/>
      <c r="AR471" s="185"/>
      <c r="AS471" s="185"/>
      <c r="AT471" s="185"/>
      <c r="AU471" s="185"/>
      <c r="AV471" s="185"/>
      <c r="AW471" s="185"/>
      <c r="AX471" s="185"/>
      <c r="AY471" s="185"/>
      <c r="AZ471" s="185"/>
      <c r="BA471" s="185"/>
      <c r="BB471" s="185"/>
      <c r="BC471" s="185"/>
      <c r="BD471" s="185"/>
      <c r="BE471" s="185"/>
    </row>
    <row r="472">
      <c r="A472" s="152"/>
      <c r="B472" s="152"/>
      <c r="C472" s="152"/>
      <c r="D472" s="152" t="s">
        <v>3792</v>
      </c>
      <c r="E472" s="152" t="s">
        <v>3793</v>
      </c>
      <c r="F472" s="152" t="s">
        <v>332</v>
      </c>
      <c r="G472" s="152" t="s">
        <v>3794</v>
      </c>
      <c r="H472" s="152" t="s">
        <v>3795</v>
      </c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 t="s">
        <v>3796</v>
      </c>
      <c r="Z472" s="157" t="s">
        <v>3796</v>
      </c>
      <c r="AA472" s="152"/>
      <c r="AB472" s="152"/>
      <c r="AC472" s="152"/>
      <c r="AD472" s="152"/>
      <c r="AE472" s="185"/>
      <c r="AF472" s="185"/>
      <c r="AG472" s="185"/>
      <c r="AH472" s="185"/>
      <c r="AI472" s="185"/>
      <c r="AJ472" s="185"/>
      <c r="AK472" s="185"/>
      <c r="AL472" s="185"/>
      <c r="AM472" s="185"/>
      <c r="AN472" s="185"/>
      <c r="AO472" s="185"/>
      <c r="AP472" s="185"/>
      <c r="AQ472" s="185"/>
      <c r="AR472" s="185"/>
      <c r="AS472" s="185"/>
      <c r="AT472" s="185"/>
      <c r="AU472" s="185"/>
      <c r="AV472" s="185"/>
      <c r="AW472" s="185"/>
      <c r="AX472" s="185"/>
      <c r="AY472" s="185"/>
      <c r="AZ472" s="185"/>
      <c r="BA472" s="185"/>
      <c r="BB472" s="185"/>
      <c r="BC472" s="185"/>
      <c r="BD472" s="185"/>
      <c r="BE472" s="185"/>
    </row>
    <row r="473">
      <c r="A473" s="152"/>
      <c r="B473" s="152"/>
      <c r="C473" s="152"/>
      <c r="D473" s="152" t="s">
        <v>3797</v>
      </c>
      <c r="E473" s="152" t="s">
        <v>3798</v>
      </c>
      <c r="F473" s="152" t="s">
        <v>1541</v>
      </c>
      <c r="G473" s="152" t="s">
        <v>3799</v>
      </c>
      <c r="H473" s="152" t="s">
        <v>3800</v>
      </c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 t="s">
        <v>3801</v>
      </c>
      <c r="Z473" s="157" t="s">
        <v>3801</v>
      </c>
      <c r="AA473" s="152"/>
      <c r="AB473" s="152"/>
      <c r="AC473" s="152"/>
      <c r="AD473" s="152"/>
      <c r="AE473" s="185"/>
      <c r="AF473" s="185"/>
      <c r="AG473" s="185"/>
      <c r="AH473" s="185"/>
      <c r="AI473" s="185"/>
      <c r="AJ473" s="185"/>
      <c r="AK473" s="185"/>
      <c r="AL473" s="185"/>
      <c r="AM473" s="185"/>
      <c r="AN473" s="185"/>
      <c r="AO473" s="185"/>
      <c r="AP473" s="185"/>
      <c r="AQ473" s="185"/>
      <c r="AR473" s="185"/>
      <c r="AS473" s="185"/>
      <c r="AT473" s="185"/>
      <c r="AU473" s="185"/>
      <c r="AV473" s="185"/>
      <c r="AW473" s="185"/>
      <c r="AX473" s="185"/>
      <c r="AY473" s="185"/>
      <c r="AZ473" s="185"/>
      <c r="BA473" s="185"/>
      <c r="BB473" s="185"/>
      <c r="BC473" s="185"/>
      <c r="BD473" s="185"/>
      <c r="BE473" s="185"/>
    </row>
    <row r="474">
      <c r="A474" s="152"/>
      <c r="B474" s="152"/>
      <c r="C474" s="152"/>
      <c r="D474" s="152" t="s">
        <v>3802</v>
      </c>
      <c r="E474" s="152" t="s">
        <v>3803</v>
      </c>
      <c r="F474" s="152"/>
      <c r="G474" s="152" t="s">
        <v>3804</v>
      </c>
      <c r="H474" s="152" t="s">
        <v>3805</v>
      </c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 t="s">
        <v>3806</v>
      </c>
      <c r="Z474" s="157" t="s">
        <v>3806</v>
      </c>
      <c r="AA474" s="152"/>
      <c r="AB474" s="152"/>
      <c r="AC474" s="152"/>
      <c r="AD474" s="152"/>
      <c r="AE474" s="185"/>
      <c r="AF474" s="185"/>
      <c r="AG474" s="185"/>
      <c r="AH474" s="185"/>
      <c r="AI474" s="185"/>
      <c r="AJ474" s="185"/>
      <c r="AK474" s="185"/>
      <c r="AL474" s="185"/>
      <c r="AM474" s="185"/>
      <c r="AN474" s="185"/>
      <c r="AO474" s="185"/>
      <c r="AP474" s="185"/>
      <c r="AQ474" s="185"/>
      <c r="AR474" s="185"/>
      <c r="AS474" s="185"/>
      <c r="AT474" s="185"/>
      <c r="AU474" s="185"/>
      <c r="AV474" s="185"/>
      <c r="AW474" s="185"/>
      <c r="AX474" s="185"/>
      <c r="AY474" s="185"/>
      <c r="AZ474" s="185"/>
      <c r="BA474" s="185"/>
      <c r="BB474" s="185"/>
      <c r="BC474" s="185"/>
      <c r="BD474" s="185"/>
      <c r="BE474" s="185"/>
    </row>
    <row r="475">
      <c r="A475" s="152"/>
      <c r="B475" s="152"/>
      <c r="C475" s="152"/>
      <c r="D475" s="152" t="s">
        <v>3807</v>
      </c>
      <c r="E475" s="152" t="s">
        <v>3808</v>
      </c>
      <c r="F475" s="152" t="s">
        <v>1516</v>
      </c>
      <c r="G475" s="152" t="s">
        <v>3809</v>
      </c>
      <c r="H475" s="152" t="s">
        <v>3810</v>
      </c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 t="s">
        <v>3811</v>
      </c>
      <c r="Z475" s="157" t="s">
        <v>3811</v>
      </c>
      <c r="AA475" s="152"/>
      <c r="AB475" s="152"/>
      <c r="AC475" s="152"/>
      <c r="AD475" s="152"/>
      <c r="AE475" s="185"/>
      <c r="AF475" s="185"/>
      <c r="AG475" s="185"/>
      <c r="AH475" s="185"/>
      <c r="AI475" s="185"/>
      <c r="AJ475" s="185"/>
      <c r="AK475" s="185"/>
      <c r="AL475" s="185"/>
      <c r="AM475" s="185"/>
      <c r="AN475" s="185"/>
      <c r="AO475" s="185"/>
      <c r="AP475" s="185"/>
      <c r="AQ475" s="185"/>
      <c r="AR475" s="185"/>
      <c r="AS475" s="185"/>
      <c r="AT475" s="185"/>
      <c r="AU475" s="185"/>
      <c r="AV475" s="185"/>
      <c r="AW475" s="185"/>
      <c r="AX475" s="185"/>
      <c r="AY475" s="185"/>
      <c r="AZ475" s="185"/>
      <c r="BA475" s="185"/>
      <c r="BB475" s="185"/>
      <c r="BC475" s="185"/>
      <c r="BD475" s="185"/>
      <c r="BE475" s="185"/>
    </row>
    <row r="476">
      <c r="A476" s="152"/>
      <c r="B476" s="152"/>
      <c r="C476" s="152"/>
      <c r="D476" s="152" t="s">
        <v>3812</v>
      </c>
      <c r="E476" s="152" t="s">
        <v>3813</v>
      </c>
      <c r="F476" s="152" t="s">
        <v>332</v>
      </c>
      <c r="G476" s="152" t="s">
        <v>3814</v>
      </c>
      <c r="H476" s="152" t="s">
        <v>3815</v>
      </c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 t="s">
        <v>3816</v>
      </c>
      <c r="Z476" s="157" t="s">
        <v>3816</v>
      </c>
      <c r="AA476" s="152"/>
      <c r="AB476" s="152"/>
      <c r="AC476" s="152"/>
      <c r="AD476" s="152"/>
      <c r="AE476" s="185"/>
      <c r="AF476" s="185"/>
      <c r="AG476" s="185"/>
      <c r="AH476" s="185"/>
      <c r="AI476" s="185"/>
      <c r="AJ476" s="185"/>
      <c r="AK476" s="185"/>
      <c r="AL476" s="185"/>
      <c r="AM476" s="185"/>
      <c r="AN476" s="185"/>
      <c r="AO476" s="185"/>
      <c r="AP476" s="185"/>
      <c r="AQ476" s="185"/>
      <c r="AR476" s="185"/>
      <c r="AS476" s="185"/>
      <c r="AT476" s="185"/>
      <c r="AU476" s="185"/>
      <c r="AV476" s="185"/>
      <c r="AW476" s="185"/>
      <c r="AX476" s="185"/>
      <c r="AY476" s="185"/>
      <c r="AZ476" s="185"/>
      <c r="BA476" s="185"/>
      <c r="BB476" s="185"/>
      <c r="BC476" s="185"/>
      <c r="BD476" s="185"/>
      <c r="BE476" s="185"/>
    </row>
    <row r="477">
      <c r="A477" s="152"/>
      <c r="B477" s="152"/>
      <c r="C477" s="152"/>
      <c r="D477" s="152" t="s">
        <v>3817</v>
      </c>
      <c r="E477" s="152" t="s">
        <v>3818</v>
      </c>
      <c r="F477" s="152" t="s">
        <v>332</v>
      </c>
      <c r="G477" s="152" t="s">
        <v>3819</v>
      </c>
      <c r="H477" s="152" t="s">
        <v>3819</v>
      </c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 t="s">
        <v>163</v>
      </c>
      <c r="Z477" s="157" t="s">
        <v>163</v>
      </c>
      <c r="AA477" s="152"/>
      <c r="AB477" s="152"/>
      <c r="AC477" s="152"/>
      <c r="AD477" s="152"/>
      <c r="AE477" s="185"/>
      <c r="AF477" s="185"/>
      <c r="AG477" s="185"/>
      <c r="AH477" s="185"/>
      <c r="AI477" s="185"/>
      <c r="AJ477" s="185"/>
      <c r="AK477" s="185"/>
      <c r="AL477" s="185"/>
      <c r="AM477" s="185"/>
      <c r="AN477" s="185"/>
      <c r="AO477" s="185"/>
      <c r="AP477" s="185"/>
      <c r="AQ477" s="185"/>
      <c r="AR477" s="185"/>
      <c r="AS477" s="185"/>
      <c r="AT477" s="185"/>
      <c r="AU477" s="185"/>
      <c r="AV477" s="185"/>
      <c r="AW477" s="185"/>
      <c r="AX477" s="185"/>
      <c r="AY477" s="185"/>
      <c r="AZ477" s="185"/>
      <c r="BA477" s="185"/>
      <c r="BB477" s="185"/>
      <c r="BC477" s="185"/>
      <c r="BD477" s="185"/>
      <c r="BE477" s="185"/>
    </row>
    <row r="478">
      <c r="A478" s="152"/>
      <c r="B478" s="152"/>
      <c r="C478" s="152"/>
      <c r="D478" s="152" t="s">
        <v>3820</v>
      </c>
      <c r="E478" s="152" t="s">
        <v>3821</v>
      </c>
      <c r="F478" s="152" t="s">
        <v>939</v>
      </c>
      <c r="G478" s="152" t="s">
        <v>3822</v>
      </c>
      <c r="H478" s="152" t="s">
        <v>3823</v>
      </c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 t="s">
        <v>163</v>
      </c>
      <c r="Z478" s="157" t="s">
        <v>163</v>
      </c>
      <c r="AA478" s="152"/>
      <c r="AB478" s="152"/>
      <c r="AC478" s="152"/>
      <c r="AD478" s="152"/>
      <c r="AE478" s="185"/>
      <c r="AF478" s="185"/>
      <c r="AG478" s="185"/>
      <c r="AH478" s="185"/>
      <c r="AI478" s="185"/>
      <c r="AJ478" s="185"/>
      <c r="AK478" s="185"/>
      <c r="AL478" s="185"/>
      <c r="AM478" s="185"/>
      <c r="AN478" s="185"/>
      <c r="AO478" s="185"/>
      <c r="AP478" s="185"/>
      <c r="AQ478" s="185"/>
      <c r="AR478" s="185"/>
      <c r="AS478" s="185"/>
      <c r="AT478" s="185"/>
      <c r="AU478" s="185"/>
      <c r="AV478" s="185"/>
      <c r="AW478" s="185"/>
      <c r="AX478" s="185"/>
      <c r="AY478" s="185"/>
      <c r="AZ478" s="185"/>
      <c r="BA478" s="185"/>
      <c r="BB478" s="185"/>
      <c r="BC478" s="185"/>
      <c r="BD478" s="185"/>
      <c r="BE478" s="185"/>
    </row>
    <row r="479">
      <c r="A479" s="152"/>
      <c r="B479" s="152"/>
      <c r="C479" s="152"/>
      <c r="D479" s="152" t="s">
        <v>3824</v>
      </c>
      <c r="E479" s="152" t="s">
        <v>3825</v>
      </c>
      <c r="F479" s="152" t="s">
        <v>855</v>
      </c>
      <c r="G479" s="152" t="s">
        <v>3826</v>
      </c>
      <c r="H479" s="152" t="s">
        <v>3827</v>
      </c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 t="s">
        <v>3828</v>
      </c>
      <c r="Z479" s="157" t="s">
        <v>3828</v>
      </c>
      <c r="AA479" s="152"/>
      <c r="AB479" s="152"/>
      <c r="AC479" s="152"/>
      <c r="AD479" s="152"/>
      <c r="AE479" s="185"/>
      <c r="AF479" s="185"/>
      <c r="AG479" s="185"/>
      <c r="AH479" s="185"/>
      <c r="AI479" s="185"/>
      <c r="AJ479" s="185"/>
      <c r="AK479" s="185"/>
      <c r="AL479" s="185"/>
      <c r="AM479" s="185"/>
      <c r="AN479" s="185"/>
      <c r="AO479" s="185"/>
      <c r="AP479" s="185"/>
      <c r="AQ479" s="185"/>
      <c r="AR479" s="185"/>
      <c r="AS479" s="185"/>
      <c r="AT479" s="185"/>
      <c r="AU479" s="185"/>
      <c r="AV479" s="185"/>
      <c r="AW479" s="185"/>
      <c r="AX479" s="185"/>
      <c r="AY479" s="185"/>
      <c r="AZ479" s="185"/>
      <c r="BA479" s="185"/>
      <c r="BB479" s="185"/>
      <c r="BC479" s="185"/>
      <c r="BD479" s="185"/>
      <c r="BE479" s="185"/>
    </row>
    <row r="480">
      <c r="A480" s="152"/>
      <c r="B480" s="152"/>
      <c r="C480" s="152"/>
      <c r="D480" s="152" t="s">
        <v>3829</v>
      </c>
      <c r="E480" s="152" t="s">
        <v>3830</v>
      </c>
      <c r="F480" s="152" t="s">
        <v>332</v>
      </c>
      <c r="G480" s="152" t="s">
        <v>3831</v>
      </c>
      <c r="H480" s="152" t="s">
        <v>3832</v>
      </c>
      <c r="I480" s="152" t="s">
        <v>486</v>
      </c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 t="s">
        <v>3833</v>
      </c>
      <c r="Z480" s="157" t="s">
        <v>3833</v>
      </c>
      <c r="AA480" s="152"/>
      <c r="AB480" s="152"/>
      <c r="AC480" s="152"/>
      <c r="AD480" s="152"/>
      <c r="AE480" s="185"/>
      <c r="AF480" s="185"/>
      <c r="AG480" s="185"/>
      <c r="AH480" s="185"/>
      <c r="AI480" s="185"/>
      <c r="AJ480" s="185"/>
      <c r="AK480" s="185"/>
      <c r="AL480" s="185"/>
      <c r="AM480" s="185"/>
      <c r="AN480" s="185"/>
      <c r="AO480" s="185"/>
      <c r="AP480" s="185"/>
      <c r="AQ480" s="185"/>
      <c r="AR480" s="185"/>
      <c r="AS480" s="185"/>
      <c r="AT480" s="185"/>
      <c r="AU480" s="185"/>
      <c r="AV480" s="185"/>
      <c r="AW480" s="185"/>
      <c r="AX480" s="185"/>
      <c r="AY480" s="185"/>
      <c r="AZ480" s="185"/>
      <c r="BA480" s="185"/>
      <c r="BB480" s="185"/>
      <c r="BC480" s="185"/>
      <c r="BD480" s="185"/>
      <c r="BE480" s="185"/>
    </row>
    <row r="481">
      <c r="A481" s="152"/>
      <c r="B481" s="152"/>
      <c r="C481" s="152"/>
      <c r="D481" s="152" t="s">
        <v>3834</v>
      </c>
      <c r="E481" s="152" t="s">
        <v>3835</v>
      </c>
      <c r="F481" s="152" t="s">
        <v>332</v>
      </c>
      <c r="G481" s="152" t="s">
        <v>3836</v>
      </c>
      <c r="H481" s="152" t="s">
        <v>3837</v>
      </c>
      <c r="I481" s="152" t="s">
        <v>486</v>
      </c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 t="s">
        <v>3838</v>
      </c>
      <c r="Z481" s="157" t="s">
        <v>3838</v>
      </c>
      <c r="AA481" s="152"/>
      <c r="AB481" s="152"/>
      <c r="AC481" s="152"/>
      <c r="AD481" s="152"/>
      <c r="AE481" s="185"/>
      <c r="AF481" s="185"/>
      <c r="AG481" s="185"/>
      <c r="AH481" s="185"/>
      <c r="AI481" s="185"/>
      <c r="AJ481" s="185"/>
      <c r="AK481" s="185"/>
      <c r="AL481" s="185"/>
      <c r="AM481" s="185"/>
      <c r="AN481" s="185"/>
      <c r="AO481" s="185"/>
      <c r="AP481" s="185"/>
      <c r="AQ481" s="185"/>
      <c r="AR481" s="185"/>
      <c r="AS481" s="185"/>
      <c r="AT481" s="185"/>
      <c r="AU481" s="185"/>
      <c r="AV481" s="185"/>
      <c r="AW481" s="185"/>
      <c r="AX481" s="185"/>
      <c r="AY481" s="185"/>
      <c r="AZ481" s="185"/>
      <c r="BA481" s="185"/>
      <c r="BB481" s="185"/>
      <c r="BC481" s="185"/>
      <c r="BD481" s="185"/>
      <c r="BE481" s="185"/>
    </row>
    <row r="482">
      <c r="A482" s="152"/>
      <c r="B482" s="152"/>
      <c r="C482" s="152"/>
      <c r="D482" s="152" t="s">
        <v>3839</v>
      </c>
      <c r="E482" s="152" t="s">
        <v>3840</v>
      </c>
      <c r="F482" s="152" t="s">
        <v>394</v>
      </c>
      <c r="G482" s="152" t="s">
        <v>3841</v>
      </c>
      <c r="H482" s="152" t="s">
        <v>3842</v>
      </c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 t="s">
        <v>3843</v>
      </c>
      <c r="Z482" s="157" t="s">
        <v>3843</v>
      </c>
      <c r="AA482" s="152"/>
      <c r="AB482" s="152"/>
      <c r="AC482" s="152"/>
      <c r="AD482" s="152"/>
      <c r="AE482" s="185"/>
      <c r="AF482" s="185"/>
      <c r="AG482" s="185"/>
      <c r="AH482" s="185"/>
      <c r="AI482" s="185"/>
      <c r="AJ482" s="185"/>
      <c r="AK482" s="185"/>
      <c r="AL482" s="185"/>
      <c r="AM482" s="185"/>
      <c r="AN482" s="185"/>
      <c r="AO482" s="185"/>
      <c r="AP482" s="185"/>
      <c r="AQ482" s="185"/>
      <c r="AR482" s="185"/>
      <c r="AS482" s="185"/>
      <c r="AT482" s="185"/>
      <c r="AU482" s="185"/>
      <c r="AV482" s="185"/>
      <c r="AW482" s="185"/>
      <c r="AX482" s="185"/>
      <c r="AY482" s="185"/>
      <c r="AZ482" s="185"/>
      <c r="BA482" s="185"/>
      <c r="BB482" s="185"/>
      <c r="BC482" s="185"/>
      <c r="BD482" s="185"/>
      <c r="BE482" s="185"/>
    </row>
    <row r="483">
      <c r="A483" s="152"/>
      <c r="B483" s="152"/>
      <c r="C483" s="152"/>
      <c r="D483" s="152" t="s">
        <v>3844</v>
      </c>
      <c r="E483" s="152" t="s">
        <v>3845</v>
      </c>
      <c r="F483" s="152" t="s">
        <v>332</v>
      </c>
      <c r="G483" s="152" t="s">
        <v>3846</v>
      </c>
      <c r="H483" s="152" t="s">
        <v>3847</v>
      </c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 t="s">
        <v>3848</v>
      </c>
      <c r="Z483" s="157" t="s">
        <v>3848</v>
      </c>
      <c r="AA483" s="152"/>
      <c r="AB483" s="152"/>
      <c r="AC483" s="152"/>
      <c r="AD483" s="152"/>
      <c r="AE483" s="185"/>
      <c r="AF483" s="185"/>
      <c r="AG483" s="185"/>
      <c r="AH483" s="185"/>
      <c r="AI483" s="185"/>
      <c r="AJ483" s="185"/>
      <c r="AK483" s="185"/>
      <c r="AL483" s="185"/>
      <c r="AM483" s="185"/>
      <c r="AN483" s="185"/>
      <c r="AO483" s="185"/>
      <c r="AP483" s="185"/>
      <c r="AQ483" s="185"/>
      <c r="AR483" s="185"/>
      <c r="AS483" s="185"/>
      <c r="AT483" s="185"/>
      <c r="AU483" s="185"/>
      <c r="AV483" s="185"/>
      <c r="AW483" s="185"/>
      <c r="AX483" s="185"/>
      <c r="AY483" s="185"/>
      <c r="AZ483" s="185"/>
      <c r="BA483" s="185"/>
      <c r="BB483" s="185"/>
      <c r="BC483" s="185"/>
      <c r="BD483" s="185"/>
      <c r="BE483" s="185"/>
    </row>
    <row r="484">
      <c r="A484" s="152"/>
      <c r="B484" s="152"/>
      <c r="C484" s="152"/>
      <c r="D484" s="152" t="s">
        <v>3849</v>
      </c>
      <c r="E484" s="152" t="s">
        <v>3850</v>
      </c>
      <c r="F484" s="152" t="s">
        <v>363</v>
      </c>
      <c r="G484" s="152" t="s">
        <v>3851</v>
      </c>
      <c r="H484" s="152" t="s">
        <v>3852</v>
      </c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 t="s">
        <v>3853</v>
      </c>
      <c r="Z484" s="157" t="s">
        <v>3853</v>
      </c>
      <c r="AA484" s="152" t="s">
        <v>3854</v>
      </c>
      <c r="AB484" s="152"/>
      <c r="AC484" s="152"/>
      <c r="AD484" s="152"/>
      <c r="AE484" s="185"/>
      <c r="AF484" s="185"/>
      <c r="AG484" s="185"/>
      <c r="AH484" s="185"/>
      <c r="AI484" s="185"/>
      <c r="AJ484" s="185"/>
      <c r="AK484" s="185"/>
      <c r="AL484" s="185"/>
      <c r="AM484" s="185"/>
      <c r="AN484" s="185"/>
      <c r="AO484" s="185"/>
      <c r="AP484" s="185"/>
      <c r="AQ484" s="185"/>
      <c r="AR484" s="185"/>
      <c r="AS484" s="185"/>
      <c r="AT484" s="185"/>
      <c r="AU484" s="185"/>
      <c r="AV484" s="185"/>
      <c r="AW484" s="185"/>
      <c r="AX484" s="185"/>
      <c r="AY484" s="185"/>
      <c r="AZ484" s="185"/>
      <c r="BA484" s="185"/>
      <c r="BB484" s="185"/>
      <c r="BC484" s="185"/>
      <c r="BD484" s="185"/>
      <c r="BE484" s="185"/>
    </row>
    <row r="485">
      <c r="A485" s="152"/>
      <c r="B485" s="152"/>
      <c r="C485" s="152"/>
      <c r="D485" s="152" t="s">
        <v>3855</v>
      </c>
      <c r="E485" s="152" t="s">
        <v>3856</v>
      </c>
      <c r="F485" s="152"/>
      <c r="G485" s="152" t="s">
        <v>3857</v>
      </c>
      <c r="H485" s="152" t="s">
        <v>3858</v>
      </c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 t="s">
        <v>3859</v>
      </c>
      <c r="Z485" s="157" t="s">
        <v>3859</v>
      </c>
      <c r="AA485" s="152"/>
      <c r="AB485" s="152"/>
      <c r="AC485" s="152"/>
      <c r="AD485" s="152"/>
      <c r="AE485" s="185"/>
      <c r="AF485" s="185"/>
      <c r="AG485" s="185"/>
      <c r="AH485" s="185"/>
      <c r="AI485" s="185"/>
      <c r="AJ485" s="185"/>
      <c r="AK485" s="185"/>
      <c r="AL485" s="185"/>
      <c r="AM485" s="185"/>
      <c r="AN485" s="185"/>
      <c r="AO485" s="185"/>
      <c r="AP485" s="185"/>
      <c r="AQ485" s="185"/>
      <c r="AR485" s="185"/>
      <c r="AS485" s="185"/>
      <c r="AT485" s="185"/>
      <c r="AU485" s="185"/>
      <c r="AV485" s="185"/>
      <c r="AW485" s="185"/>
      <c r="AX485" s="185"/>
      <c r="AY485" s="185"/>
      <c r="AZ485" s="185"/>
      <c r="BA485" s="185"/>
      <c r="BB485" s="185"/>
      <c r="BC485" s="185"/>
      <c r="BD485" s="185"/>
      <c r="BE485" s="185"/>
    </row>
    <row r="486">
      <c r="A486" s="152"/>
      <c r="B486" s="152"/>
      <c r="C486" s="152"/>
      <c r="D486" s="152" t="s">
        <v>3860</v>
      </c>
      <c r="E486" s="152" t="s">
        <v>3861</v>
      </c>
      <c r="F486" s="152"/>
      <c r="G486" s="163" t="s">
        <v>3862</v>
      </c>
      <c r="H486" s="152" t="s">
        <v>3863</v>
      </c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 t="s">
        <v>3864</v>
      </c>
      <c r="Z486" s="157" t="s">
        <v>3864</v>
      </c>
      <c r="AA486" s="152"/>
      <c r="AB486" s="152"/>
      <c r="AC486" s="152"/>
      <c r="AD486" s="152"/>
      <c r="AE486" s="185"/>
      <c r="AF486" s="185"/>
      <c r="AG486" s="185"/>
      <c r="AH486" s="185"/>
      <c r="AI486" s="185"/>
      <c r="AJ486" s="185"/>
      <c r="AK486" s="185"/>
      <c r="AL486" s="185"/>
      <c r="AM486" s="185"/>
      <c r="AN486" s="185"/>
      <c r="AO486" s="185"/>
      <c r="AP486" s="185"/>
      <c r="AQ486" s="185"/>
      <c r="AR486" s="185"/>
      <c r="AS486" s="185"/>
      <c r="AT486" s="185"/>
      <c r="AU486" s="185"/>
      <c r="AV486" s="185"/>
      <c r="AW486" s="185"/>
      <c r="AX486" s="185"/>
      <c r="AY486" s="185"/>
      <c r="AZ486" s="185"/>
      <c r="BA486" s="185"/>
      <c r="BB486" s="185"/>
      <c r="BC486" s="185"/>
      <c r="BD486" s="185"/>
      <c r="BE486" s="185"/>
    </row>
    <row r="487">
      <c r="A487" s="152"/>
      <c r="B487" s="152"/>
      <c r="C487" s="152"/>
      <c r="D487" s="152" t="s">
        <v>3865</v>
      </c>
      <c r="E487" s="152" t="s">
        <v>3866</v>
      </c>
      <c r="F487" s="152" t="s">
        <v>332</v>
      </c>
      <c r="G487" s="152" t="s">
        <v>3867</v>
      </c>
      <c r="H487" s="152" t="s">
        <v>3868</v>
      </c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 t="s">
        <v>3869</v>
      </c>
      <c r="Z487" s="157" t="s">
        <v>3869</v>
      </c>
      <c r="AA487" s="152"/>
      <c r="AB487" s="152"/>
      <c r="AC487" s="152"/>
      <c r="AD487" s="152"/>
      <c r="AE487" s="185"/>
      <c r="AF487" s="185"/>
      <c r="AG487" s="185"/>
      <c r="AH487" s="185"/>
      <c r="AI487" s="185"/>
      <c r="AJ487" s="185"/>
      <c r="AK487" s="185"/>
      <c r="AL487" s="185"/>
      <c r="AM487" s="185"/>
      <c r="AN487" s="185"/>
      <c r="AO487" s="185"/>
      <c r="AP487" s="185"/>
      <c r="AQ487" s="185"/>
      <c r="AR487" s="185"/>
      <c r="AS487" s="185"/>
      <c r="AT487" s="185"/>
      <c r="AU487" s="185"/>
      <c r="AV487" s="185"/>
      <c r="AW487" s="185"/>
      <c r="AX487" s="185"/>
      <c r="AY487" s="185"/>
      <c r="AZ487" s="185"/>
      <c r="BA487" s="185"/>
      <c r="BB487" s="185"/>
      <c r="BC487" s="185"/>
      <c r="BD487" s="185"/>
      <c r="BE487" s="185"/>
    </row>
    <row r="488">
      <c r="A488" s="152"/>
      <c r="B488" s="152"/>
      <c r="C488" s="152"/>
      <c r="D488" s="152" t="s">
        <v>3870</v>
      </c>
      <c r="E488" s="152" t="s">
        <v>3871</v>
      </c>
      <c r="F488" s="152" t="s">
        <v>363</v>
      </c>
      <c r="G488" s="163" t="s">
        <v>3872</v>
      </c>
      <c r="H488" s="152" t="s">
        <v>3873</v>
      </c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 t="s">
        <v>3874</v>
      </c>
      <c r="Z488" s="157" t="s">
        <v>3874</v>
      </c>
      <c r="AA488" s="152"/>
      <c r="AB488" s="152"/>
      <c r="AC488" s="152"/>
      <c r="AD488" s="152"/>
      <c r="AE488" s="185"/>
      <c r="AF488" s="185"/>
      <c r="AG488" s="185"/>
      <c r="AH488" s="185"/>
      <c r="AI488" s="185"/>
      <c r="AJ488" s="185"/>
      <c r="AK488" s="185"/>
      <c r="AL488" s="185"/>
      <c r="AM488" s="185"/>
      <c r="AN488" s="185"/>
      <c r="AO488" s="185"/>
      <c r="AP488" s="185"/>
      <c r="AQ488" s="185"/>
      <c r="AR488" s="185"/>
      <c r="AS488" s="185"/>
      <c r="AT488" s="185"/>
      <c r="AU488" s="185"/>
      <c r="AV488" s="185"/>
      <c r="AW488" s="185"/>
      <c r="AX488" s="185"/>
      <c r="AY488" s="185"/>
      <c r="AZ488" s="185"/>
      <c r="BA488" s="185"/>
      <c r="BB488" s="185"/>
      <c r="BC488" s="185"/>
      <c r="BD488" s="185"/>
      <c r="BE488" s="185"/>
    </row>
    <row r="489">
      <c r="A489" s="152"/>
      <c r="B489" s="152"/>
      <c r="C489" s="152"/>
      <c r="D489" s="152" t="s">
        <v>3875</v>
      </c>
      <c r="E489" s="152" t="s">
        <v>3876</v>
      </c>
      <c r="F489" s="152" t="s">
        <v>332</v>
      </c>
      <c r="G489" s="152" t="s">
        <v>3877</v>
      </c>
      <c r="H489" s="152" t="s">
        <v>3878</v>
      </c>
      <c r="I489" s="152" t="s">
        <v>486</v>
      </c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 t="s">
        <v>3879</v>
      </c>
      <c r="Z489" s="157" t="s">
        <v>3879</v>
      </c>
      <c r="AA489" s="152"/>
      <c r="AB489" s="152"/>
      <c r="AC489" s="152"/>
      <c r="AD489" s="152"/>
      <c r="AE489" s="185"/>
      <c r="AF489" s="185"/>
      <c r="AG489" s="185"/>
      <c r="AH489" s="185"/>
      <c r="AI489" s="185"/>
      <c r="AJ489" s="185"/>
      <c r="AK489" s="185"/>
      <c r="AL489" s="185"/>
      <c r="AM489" s="185"/>
      <c r="AN489" s="185"/>
      <c r="AO489" s="185"/>
      <c r="AP489" s="185"/>
      <c r="AQ489" s="185"/>
      <c r="AR489" s="185"/>
      <c r="AS489" s="185"/>
      <c r="AT489" s="185"/>
      <c r="AU489" s="185"/>
      <c r="AV489" s="185"/>
      <c r="AW489" s="185"/>
      <c r="AX489" s="185"/>
      <c r="AY489" s="185"/>
      <c r="AZ489" s="185"/>
      <c r="BA489" s="185"/>
      <c r="BB489" s="185"/>
      <c r="BC489" s="185"/>
      <c r="BD489" s="185"/>
      <c r="BE489" s="185"/>
    </row>
    <row r="490">
      <c r="A490" s="152"/>
      <c r="B490" s="152"/>
      <c r="C490" s="152"/>
      <c r="D490" s="152" t="s">
        <v>3880</v>
      </c>
      <c r="E490" s="152" t="s">
        <v>3881</v>
      </c>
      <c r="F490" s="152" t="s">
        <v>1004</v>
      </c>
      <c r="G490" s="152" t="s">
        <v>3882</v>
      </c>
      <c r="H490" s="152" t="s">
        <v>3883</v>
      </c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 t="s">
        <v>3884</v>
      </c>
      <c r="Z490" s="157" t="s">
        <v>3884</v>
      </c>
      <c r="AA490" s="152"/>
      <c r="AB490" s="152"/>
      <c r="AC490" s="152"/>
      <c r="AD490" s="152"/>
      <c r="AE490" s="185"/>
      <c r="AF490" s="185"/>
      <c r="AG490" s="185"/>
      <c r="AH490" s="185"/>
      <c r="AI490" s="185"/>
      <c r="AJ490" s="185"/>
      <c r="AK490" s="185"/>
      <c r="AL490" s="185"/>
      <c r="AM490" s="185"/>
      <c r="AN490" s="185"/>
      <c r="AO490" s="185"/>
      <c r="AP490" s="185"/>
      <c r="AQ490" s="185"/>
      <c r="AR490" s="185"/>
      <c r="AS490" s="185"/>
      <c r="AT490" s="185"/>
      <c r="AU490" s="185"/>
      <c r="AV490" s="185"/>
      <c r="AW490" s="185"/>
      <c r="AX490" s="185"/>
      <c r="AY490" s="185"/>
      <c r="AZ490" s="185"/>
      <c r="BA490" s="185"/>
      <c r="BB490" s="185"/>
      <c r="BC490" s="185"/>
      <c r="BD490" s="185"/>
      <c r="BE490" s="185"/>
    </row>
    <row r="491">
      <c r="A491" s="152"/>
      <c r="B491" s="152"/>
      <c r="C491" s="152"/>
      <c r="D491" s="152" t="s">
        <v>3885</v>
      </c>
      <c r="E491" s="152" t="s">
        <v>3886</v>
      </c>
      <c r="F491" s="152" t="s">
        <v>394</v>
      </c>
      <c r="G491" s="163" t="s">
        <v>3887</v>
      </c>
      <c r="H491" s="152" t="s">
        <v>3888</v>
      </c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 t="s">
        <v>3889</v>
      </c>
      <c r="Z491" s="157" t="s">
        <v>3889</v>
      </c>
      <c r="AA491" s="152"/>
      <c r="AB491" s="152"/>
      <c r="AC491" s="152"/>
      <c r="AD491" s="152"/>
      <c r="AE491" s="185"/>
      <c r="AF491" s="185"/>
      <c r="AG491" s="185"/>
      <c r="AH491" s="185"/>
      <c r="AI491" s="185"/>
      <c r="AJ491" s="185"/>
      <c r="AK491" s="185"/>
      <c r="AL491" s="185"/>
      <c r="AM491" s="185"/>
      <c r="AN491" s="185"/>
      <c r="AO491" s="185"/>
      <c r="AP491" s="185"/>
      <c r="AQ491" s="185"/>
      <c r="AR491" s="185"/>
      <c r="AS491" s="185"/>
      <c r="AT491" s="185"/>
      <c r="AU491" s="185"/>
      <c r="AV491" s="185"/>
      <c r="AW491" s="185"/>
      <c r="AX491" s="185"/>
      <c r="AY491" s="185"/>
      <c r="AZ491" s="185"/>
      <c r="BA491" s="185"/>
      <c r="BB491" s="185"/>
      <c r="BC491" s="185"/>
      <c r="BD491" s="185"/>
      <c r="BE491" s="185"/>
    </row>
    <row r="492">
      <c r="A492" s="152"/>
      <c r="B492" s="152"/>
      <c r="C492" s="152"/>
      <c r="D492" s="152" t="s">
        <v>3890</v>
      </c>
      <c r="E492" s="152" t="s">
        <v>3891</v>
      </c>
      <c r="F492" s="152" t="s">
        <v>332</v>
      </c>
      <c r="G492" s="152" t="s">
        <v>3892</v>
      </c>
      <c r="H492" s="152" t="s">
        <v>3893</v>
      </c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 t="s">
        <v>3894</v>
      </c>
      <c r="Z492" s="157" t="s">
        <v>3894</v>
      </c>
      <c r="AA492" s="152"/>
      <c r="AB492" s="152"/>
      <c r="AC492" s="152"/>
      <c r="AD492" s="152"/>
      <c r="AE492" s="185"/>
      <c r="AF492" s="185"/>
      <c r="AG492" s="185"/>
      <c r="AH492" s="185"/>
      <c r="AI492" s="185"/>
      <c r="AJ492" s="185"/>
      <c r="AK492" s="185"/>
      <c r="AL492" s="185"/>
      <c r="AM492" s="185"/>
      <c r="AN492" s="185"/>
      <c r="AO492" s="185"/>
      <c r="AP492" s="185"/>
      <c r="AQ492" s="185"/>
      <c r="AR492" s="185"/>
      <c r="AS492" s="185"/>
      <c r="AT492" s="185"/>
      <c r="AU492" s="185"/>
      <c r="AV492" s="185"/>
      <c r="AW492" s="185"/>
      <c r="AX492" s="185"/>
      <c r="AY492" s="185"/>
      <c r="AZ492" s="185"/>
      <c r="BA492" s="185"/>
      <c r="BB492" s="185"/>
      <c r="BC492" s="185"/>
      <c r="BD492" s="185"/>
      <c r="BE492" s="185"/>
    </row>
    <row r="493">
      <c r="A493" s="152"/>
      <c r="B493" s="152"/>
      <c r="C493" s="152"/>
      <c r="D493" s="152" t="s">
        <v>3895</v>
      </c>
      <c r="E493" s="152" t="s">
        <v>3896</v>
      </c>
      <c r="F493" s="152" t="s">
        <v>939</v>
      </c>
      <c r="G493" s="152" t="s">
        <v>3897</v>
      </c>
      <c r="H493" s="152" t="s">
        <v>3898</v>
      </c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 t="s">
        <v>3899</v>
      </c>
      <c r="Z493" s="157" t="s">
        <v>3899</v>
      </c>
      <c r="AA493" s="152"/>
      <c r="AB493" s="152"/>
      <c r="AC493" s="152"/>
      <c r="AD493" s="152"/>
      <c r="AE493" s="185"/>
      <c r="AF493" s="185"/>
      <c r="AG493" s="185"/>
      <c r="AH493" s="185"/>
      <c r="AI493" s="185"/>
      <c r="AJ493" s="185"/>
      <c r="AK493" s="185"/>
      <c r="AL493" s="185"/>
      <c r="AM493" s="185"/>
      <c r="AN493" s="185"/>
      <c r="AO493" s="185"/>
      <c r="AP493" s="185"/>
      <c r="AQ493" s="185"/>
      <c r="AR493" s="185"/>
      <c r="AS493" s="185"/>
      <c r="AT493" s="185"/>
      <c r="AU493" s="185"/>
      <c r="AV493" s="185"/>
      <c r="AW493" s="185"/>
      <c r="AX493" s="185"/>
      <c r="AY493" s="185"/>
      <c r="AZ493" s="185"/>
      <c r="BA493" s="185"/>
      <c r="BB493" s="185"/>
      <c r="BC493" s="185"/>
      <c r="BD493" s="185"/>
      <c r="BE493" s="185"/>
    </row>
    <row r="494">
      <c r="A494" s="152"/>
      <c r="B494" s="152"/>
      <c r="C494" s="152"/>
      <c r="D494" s="152" t="s">
        <v>3900</v>
      </c>
      <c r="E494" s="152" t="s">
        <v>3901</v>
      </c>
      <c r="F494" s="152" t="s">
        <v>394</v>
      </c>
      <c r="G494" s="152" t="s">
        <v>3626</v>
      </c>
      <c r="H494" s="152" t="s">
        <v>3626</v>
      </c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 t="s">
        <v>3902</v>
      </c>
      <c r="Z494" s="157" t="s">
        <v>3902</v>
      </c>
      <c r="AA494" s="152"/>
      <c r="AB494" s="152"/>
      <c r="AC494" s="152"/>
      <c r="AD494" s="152"/>
      <c r="AE494" s="185"/>
      <c r="AF494" s="185"/>
      <c r="AG494" s="185"/>
      <c r="AH494" s="185"/>
      <c r="AI494" s="185"/>
      <c r="AJ494" s="185"/>
      <c r="AK494" s="185"/>
      <c r="AL494" s="185"/>
      <c r="AM494" s="185"/>
      <c r="AN494" s="185"/>
      <c r="AO494" s="185"/>
      <c r="AP494" s="185"/>
      <c r="AQ494" s="185"/>
      <c r="AR494" s="185"/>
      <c r="AS494" s="185"/>
      <c r="AT494" s="185"/>
      <c r="AU494" s="185"/>
      <c r="AV494" s="185"/>
      <c r="AW494" s="185"/>
      <c r="AX494" s="185"/>
      <c r="AY494" s="185"/>
      <c r="AZ494" s="185"/>
      <c r="BA494" s="185"/>
      <c r="BB494" s="185"/>
      <c r="BC494" s="185"/>
      <c r="BD494" s="185"/>
      <c r="BE494" s="185"/>
    </row>
    <row r="495">
      <c r="A495" s="152"/>
      <c r="B495" s="152"/>
      <c r="C495" s="152"/>
      <c r="D495" s="152" t="s">
        <v>3903</v>
      </c>
      <c r="E495" s="152" t="s">
        <v>3904</v>
      </c>
      <c r="F495" s="152" t="s">
        <v>1004</v>
      </c>
      <c r="G495" s="152" t="s">
        <v>3905</v>
      </c>
      <c r="H495" s="152" t="s">
        <v>3905</v>
      </c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 t="s">
        <v>3906</v>
      </c>
      <c r="Z495" s="157" t="s">
        <v>3906</v>
      </c>
      <c r="AA495" s="152"/>
      <c r="AB495" s="152"/>
      <c r="AC495" s="152"/>
      <c r="AD495" s="152"/>
      <c r="AE495" s="185"/>
      <c r="AF495" s="185"/>
      <c r="AG495" s="185"/>
      <c r="AH495" s="185"/>
      <c r="AI495" s="185"/>
      <c r="AJ495" s="185"/>
      <c r="AK495" s="185"/>
      <c r="AL495" s="185"/>
      <c r="AM495" s="185"/>
      <c r="AN495" s="185"/>
      <c r="AO495" s="185"/>
      <c r="AP495" s="185"/>
      <c r="AQ495" s="185"/>
      <c r="AR495" s="185"/>
      <c r="AS495" s="185"/>
      <c r="AT495" s="185"/>
      <c r="AU495" s="185"/>
      <c r="AV495" s="185"/>
      <c r="AW495" s="185"/>
      <c r="AX495" s="185"/>
      <c r="AY495" s="185"/>
      <c r="AZ495" s="185"/>
      <c r="BA495" s="185"/>
      <c r="BB495" s="185"/>
      <c r="BC495" s="185"/>
      <c r="BD495" s="185"/>
      <c r="BE495" s="185"/>
    </row>
    <row r="496">
      <c r="A496" s="152"/>
      <c r="B496" s="152"/>
      <c r="C496" s="152"/>
      <c r="D496" s="152" t="s">
        <v>3907</v>
      </c>
      <c r="E496" s="152" t="s">
        <v>3908</v>
      </c>
      <c r="F496" s="152" t="s">
        <v>332</v>
      </c>
      <c r="G496" s="152" t="s">
        <v>3909</v>
      </c>
      <c r="H496" s="152" t="s">
        <v>3910</v>
      </c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 t="s">
        <v>3911</v>
      </c>
      <c r="Z496" s="157" t="s">
        <v>3911</v>
      </c>
      <c r="AA496" s="152"/>
      <c r="AB496" s="152"/>
      <c r="AC496" s="152"/>
      <c r="AD496" s="152"/>
      <c r="AE496" s="185"/>
      <c r="AF496" s="185"/>
      <c r="AG496" s="185"/>
      <c r="AH496" s="185"/>
      <c r="AI496" s="185"/>
      <c r="AJ496" s="185"/>
      <c r="AK496" s="185"/>
      <c r="AL496" s="185"/>
      <c r="AM496" s="185"/>
      <c r="AN496" s="185"/>
      <c r="AO496" s="185"/>
      <c r="AP496" s="185"/>
      <c r="AQ496" s="185"/>
      <c r="AR496" s="185"/>
      <c r="AS496" s="185"/>
      <c r="AT496" s="185"/>
      <c r="AU496" s="185"/>
      <c r="AV496" s="185"/>
      <c r="AW496" s="185"/>
      <c r="AX496" s="185"/>
      <c r="AY496" s="185"/>
      <c r="AZ496" s="185"/>
      <c r="BA496" s="185"/>
      <c r="BB496" s="185"/>
      <c r="BC496" s="185"/>
      <c r="BD496" s="185"/>
      <c r="BE496" s="185"/>
    </row>
    <row r="497">
      <c r="A497" s="152"/>
      <c r="B497" s="152"/>
      <c r="C497" s="152"/>
      <c r="D497" s="152" t="s">
        <v>3912</v>
      </c>
      <c r="E497" s="152" t="s">
        <v>3913</v>
      </c>
      <c r="F497" s="152" t="s">
        <v>332</v>
      </c>
      <c r="G497" s="152" t="s">
        <v>3645</v>
      </c>
      <c r="H497" s="152" t="s">
        <v>3914</v>
      </c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 t="s">
        <v>3915</v>
      </c>
      <c r="Z497" s="157" t="s">
        <v>3915</v>
      </c>
      <c r="AA497" s="152"/>
      <c r="AB497" s="152"/>
      <c r="AC497" s="152"/>
      <c r="AD497" s="152"/>
      <c r="AE497" s="185"/>
      <c r="AF497" s="185"/>
      <c r="AG497" s="185"/>
      <c r="AH497" s="185"/>
      <c r="AI497" s="185"/>
      <c r="AJ497" s="185"/>
      <c r="AK497" s="185"/>
      <c r="AL497" s="185"/>
      <c r="AM497" s="185"/>
      <c r="AN497" s="185"/>
      <c r="AO497" s="185"/>
      <c r="AP497" s="185"/>
      <c r="AQ497" s="185"/>
      <c r="AR497" s="185"/>
      <c r="AS497" s="185"/>
      <c r="AT497" s="185"/>
      <c r="AU497" s="185"/>
      <c r="AV497" s="185"/>
      <c r="AW497" s="185"/>
      <c r="AX497" s="185"/>
      <c r="AY497" s="185"/>
      <c r="AZ497" s="185"/>
      <c r="BA497" s="185"/>
      <c r="BB497" s="185"/>
      <c r="BC497" s="185"/>
      <c r="BD497" s="185"/>
      <c r="BE497" s="185"/>
    </row>
    <row r="498">
      <c r="A498" s="152"/>
      <c r="B498" s="152"/>
      <c r="C498" s="152"/>
      <c r="D498" s="152" t="s">
        <v>3916</v>
      </c>
      <c r="E498" s="152" t="s">
        <v>3917</v>
      </c>
      <c r="F498" s="152" t="s">
        <v>332</v>
      </c>
      <c r="G498" s="163" t="s">
        <v>3918</v>
      </c>
      <c r="H498" s="152" t="s">
        <v>3919</v>
      </c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 t="s">
        <v>3920</v>
      </c>
      <c r="Z498" s="157" t="s">
        <v>3920</v>
      </c>
      <c r="AA498" s="152"/>
      <c r="AB498" s="152"/>
      <c r="AC498" s="152"/>
      <c r="AD498" s="152"/>
      <c r="AE498" s="185"/>
      <c r="AF498" s="185"/>
      <c r="AG498" s="185"/>
      <c r="AH498" s="185"/>
      <c r="AI498" s="185"/>
      <c r="AJ498" s="185"/>
      <c r="AK498" s="185"/>
      <c r="AL498" s="185"/>
      <c r="AM498" s="185"/>
      <c r="AN498" s="185"/>
      <c r="AO498" s="185"/>
      <c r="AP498" s="185"/>
      <c r="AQ498" s="185"/>
      <c r="AR498" s="185"/>
      <c r="AS498" s="185"/>
      <c r="AT498" s="185"/>
      <c r="AU498" s="185"/>
      <c r="AV498" s="185"/>
      <c r="AW498" s="185"/>
      <c r="AX498" s="185"/>
      <c r="AY498" s="185"/>
      <c r="AZ498" s="185"/>
      <c r="BA498" s="185"/>
      <c r="BB498" s="185"/>
      <c r="BC498" s="185"/>
      <c r="BD498" s="185"/>
      <c r="BE498" s="185"/>
    </row>
    <row r="499">
      <c r="A499" s="152"/>
      <c r="B499" s="152"/>
      <c r="C499" s="152"/>
      <c r="D499" s="152" t="s">
        <v>3921</v>
      </c>
      <c r="E499" s="152" t="s">
        <v>3922</v>
      </c>
      <c r="F499" s="152" t="s">
        <v>3923</v>
      </c>
      <c r="G499" s="152" t="s">
        <v>513</v>
      </c>
      <c r="H499" s="152" t="s">
        <v>886</v>
      </c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 t="s">
        <v>3924</v>
      </c>
      <c r="Z499" s="157" t="s">
        <v>3924</v>
      </c>
      <c r="AA499" s="152"/>
      <c r="AB499" s="152"/>
      <c r="AC499" s="152"/>
      <c r="AD499" s="152"/>
      <c r="AE499" s="185"/>
      <c r="AF499" s="185"/>
      <c r="AG499" s="185"/>
      <c r="AH499" s="185"/>
      <c r="AI499" s="185"/>
      <c r="AJ499" s="185"/>
      <c r="AK499" s="185"/>
      <c r="AL499" s="185"/>
      <c r="AM499" s="185"/>
      <c r="AN499" s="185"/>
      <c r="AO499" s="185"/>
      <c r="AP499" s="185"/>
      <c r="AQ499" s="185"/>
      <c r="AR499" s="185"/>
      <c r="AS499" s="185"/>
      <c r="AT499" s="185"/>
      <c r="AU499" s="185"/>
      <c r="AV499" s="185"/>
      <c r="AW499" s="185"/>
      <c r="AX499" s="185"/>
      <c r="AY499" s="185"/>
      <c r="AZ499" s="185"/>
      <c r="BA499" s="185"/>
      <c r="BB499" s="185"/>
      <c r="BC499" s="185"/>
      <c r="BD499" s="185"/>
      <c r="BE499" s="185"/>
    </row>
    <row r="500">
      <c r="A500" s="152"/>
      <c r="B500" s="152"/>
      <c r="C500" s="152"/>
      <c r="D500" s="152" t="s">
        <v>3925</v>
      </c>
      <c r="E500" s="152" t="s">
        <v>3926</v>
      </c>
      <c r="F500" s="152"/>
      <c r="G500" s="152" t="s">
        <v>3927</v>
      </c>
      <c r="H500" s="152" t="s">
        <v>3928</v>
      </c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 t="s">
        <v>3929</v>
      </c>
      <c r="Z500" s="157" t="s">
        <v>3929</v>
      </c>
      <c r="AA500" s="152"/>
      <c r="AB500" s="152"/>
      <c r="AC500" s="152"/>
      <c r="AD500" s="152"/>
      <c r="AE500" s="185"/>
      <c r="AF500" s="185"/>
      <c r="AG500" s="185"/>
      <c r="AH500" s="185"/>
      <c r="AI500" s="185"/>
      <c r="AJ500" s="185"/>
      <c r="AK500" s="185"/>
      <c r="AL500" s="185"/>
      <c r="AM500" s="185"/>
      <c r="AN500" s="185"/>
      <c r="AO500" s="185"/>
      <c r="AP500" s="185"/>
      <c r="AQ500" s="185"/>
      <c r="AR500" s="185"/>
      <c r="AS500" s="185"/>
      <c r="AT500" s="185"/>
      <c r="AU500" s="185"/>
      <c r="AV500" s="185"/>
      <c r="AW500" s="185"/>
      <c r="AX500" s="185"/>
      <c r="AY500" s="185"/>
      <c r="AZ500" s="185"/>
      <c r="BA500" s="185"/>
      <c r="BB500" s="185"/>
      <c r="BC500" s="185"/>
      <c r="BD500" s="185"/>
      <c r="BE500" s="185"/>
    </row>
    <row r="501">
      <c r="A501" s="152"/>
      <c r="B501" s="152"/>
      <c r="C501" s="152"/>
      <c r="D501" s="152" t="s">
        <v>3930</v>
      </c>
      <c r="E501" s="152" t="s">
        <v>3931</v>
      </c>
      <c r="F501" s="152" t="s">
        <v>332</v>
      </c>
      <c r="G501" s="152" t="s">
        <v>3932</v>
      </c>
      <c r="H501" s="152" t="s">
        <v>3933</v>
      </c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 t="s">
        <v>3934</v>
      </c>
      <c r="Z501" s="157" t="s">
        <v>3934</v>
      </c>
      <c r="AA501" s="152"/>
      <c r="AB501" s="152"/>
      <c r="AC501" s="152"/>
      <c r="AD501" s="152"/>
      <c r="AE501" s="185"/>
      <c r="AF501" s="185"/>
      <c r="AG501" s="185"/>
      <c r="AH501" s="185"/>
      <c r="AI501" s="185"/>
      <c r="AJ501" s="185"/>
      <c r="AK501" s="185"/>
      <c r="AL501" s="185"/>
      <c r="AM501" s="185"/>
      <c r="AN501" s="185"/>
      <c r="AO501" s="185"/>
      <c r="AP501" s="185"/>
      <c r="AQ501" s="185"/>
      <c r="AR501" s="185"/>
      <c r="AS501" s="185"/>
      <c r="AT501" s="185"/>
      <c r="AU501" s="185"/>
      <c r="AV501" s="185"/>
      <c r="AW501" s="185"/>
      <c r="AX501" s="185"/>
      <c r="AY501" s="185"/>
      <c r="AZ501" s="185"/>
      <c r="BA501" s="185"/>
      <c r="BB501" s="185"/>
      <c r="BC501" s="185"/>
      <c r="BD501" s="185"/>
      <c r="BE501" s="185"/>
    </row>
    <row r="502">
      <c r="A502" s="152"/>
      <c r="B502" s="152"/>
      <c r="C502" s="152"/>
      <c r="D502" s="152" t="s">
        <v>3935</v>
      </c>
      <c r="E502" s="152" t="s">
        <v>3936</v>
      </c>
      <c r="F502" s="152" t="s">
        <v>1709</v>
      </c>
      <c r="G502" s="152" t="s">
        <v>3937</v>
      </c>
      <c r="H502" s="152" t="s">
        <v>3938</v>
      </c>
      <c r="I502" s="152" t="s">
        <v>486</v>
      </c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 t="s">
        <v>3939</v>
      </c>
      <c r="Z502" s="157" t="s">
        <v>3939</v>
      </c>
      <c r="AA502" s="152"/>
      <c r="AB502" s="152"/>
      <c r="AC502" s="152"/>
      <c r="AD502" s="152"/>
      <c r="AE502" s="185"/>
      <c r="AF502" s="185"/>
      <c r="AG502" s="185"/>
      <c r="AH502" s="185"/>
      <c r="AI502" s="185"/>
      <c r="AJ502" s="185"/>
      <c r="AK502" s="185"/>
      <c r="AL502" s="185"/>
      <c r="AM502" s="185"/>
      <c r="AN502" s="185"/>
      <c r="AO502" s="185"/>
      <c r="AP502" s="185"/>
      <c r="AQ502" s="185"/>
      <c r="AR502" s="185"/>
      <c r="AS502" s="185"/>
      <c r="AT502" s="185"/>
      <c r="AU502" s="185"/>
      <c r="AV502" s="185"/>
      <c r="AW502" s="185"/>
      <c r="AX502" s="185"/>
      <c r="AY502" s="185"/>
      <c r="AZ502" s="185"/>
      <c r="BA502" s="185"/>
      <c r="BB502" s="185"/>
      <c r="BC502" s="185"/>
      <c r="BD502" s="185"/>
      <c r="BE502" s="185"/>
    </row>
    <row r="503">
      <c r="A503" s="152"/>
      <c r="B503" s="152"/>
      <c r="C503" s="152"/>
      <c r="D503" s="152" t="s">
        <v>3940</v>
      </c>
      <c r="E503" s="152" t="s">
        <v>3941</v>
      </c>
      <c r="F503" s="152"/>
      <c r="G503" s="152" t="s">
        <v>3942</v>
      </c>
      <c r="H503" s="152" t="s">
        <v>3943</v>
      </c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 t="s">
        <v>3944</v>
      </c>
      <c r="Z503" s="157" t="s">
        <v>3944</v>
      </c>
      <c r="AA503" s="152"/>
      <c r="AB503" s="152"/>
      <c r="AC503" s="152"/>
      <c r="AD503" s="152"/>
      <c r="AE503" s="185"/>
      <c r="AF503" s="185"/>
      <c r="AG503" s="185"/>
      <c r="AH503" s="185"/>
      <c r="AI503" s="185"/>
      <c r="AJ503" s="185"/>
      <c r="AK503" s="185"/>
      <c r="AL503" s="185"/>
      <c r="AM503" s="185"/>
      <c r="AN503" s="185"/>
      <c r="AO503" s="185"/>
      <c r="AP503" s="185"/>
      <c r="AQ503" s="185"/>
      <c r="AR503" s="185"/>
      <c r="AS503" s="185"/>
      <c r="AT503" s="185"/>
      <c r="AU503" s="185"/>
      <c r="AV503" s="185"/>
      <c r="AW503" s="185"/>
      <c r="AX503" s="185"/>
      <c r="AY503" s="185"/>
      <c r="AZ503" s="185"/>
      <c r="BA503" s="185"/>
      <c r="BB503" s="185"/>
      <c r="BC503" s="185"/>
      <c r="BD503" s="185"/>
      <c r="BE503" s="185"/>
    </row>
    <row r="504">
      <c r="A504" s="152"/>
      <c r="B504" s="152"/>
      <c r="C504" s="152"/>
      <c r="D504" s="152" t="s">
        <v>3945</v>
      </c>
      <c r="E504" s="152" t="s">
        <v>3946</v>
      </c>
      <c r="F504" s="152" t="s">
        <v>1186</v>
      </c>
      <c r="G504" s="152" t="s">
        <v>3947</v>
      </c>
      <c r="H504" s="152" t="s">
        <v>3948</v>
      </c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 t="s">
        <v>3949</v>
      </c>
      <c r="Z504" s="157" t="s">
        <v>3949</v>
      </c>
      <c r="AA504" s="152"/>
      <c r="AB504" s="152"/>
      <c r="AC504" s="152"/>
      <c r="AD504" s="152"/>
      <c r="AE504" s="185"/>
      <c r="AF504" s="185"/>
      <c r="AG504" s="185"/>
      <c r="AH504" s="185"/>
      <c r="AI504" s="185"/>
      <c r="AJ504" s="185"/>
      <c r="AK504" s="185"/>
      <c r="AL504" s="185"/>
      <c r="AM504" s="185"/>
      <c r="AN504" s="185"/>
      <c r="AO504" s="185"/>
      <c r="AP504" s="185"/>
      <c r="AQ504" s="185"/>
      <c r="AR504" s="185"/>
      <c r="AS504" s="185"/>
      <c r="AT504" s="185"/>
      <c r="AU504" s="185"/>
      <c r="AV504" s="185"/>
      <c r="AW504" s="185"/>
      <c r="AX504" s="185"/>
      <c r="AY504" s="185"/>
      <c r="AZ504" s="185"/>
      <c r="BA504" s="185"/>
      <c r="BB504" s="185"/>
      <c r="BC504" s="185"/>
      <c r="BD504" s="185"/>
      <c r="BE504" s="185"/>
    </row>
    <row r="505">
      <c r="A505" s="152"/>
      <c r="B505" s="152"/>
      <c r="C505" s="152"/>
      <c r="D505" s="152" t="s">
        <v>3950</v>
      </c>
      <c r="E505" s="152" t="s">
        <v>3951</v>
      </c>
      <c r="F505" s="152"/>
      <c r="G505" s="152" t="s">
        <v>3952</v>
      </c>
      <c r="H505" s="152" t="s">
        <v>3953</v>
      </c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 t="s">
        <v>3954</v>
      </c>
      <c r="Z505" s="157" t="s">
        <v>3954</v>
      </c>
      <c r="AA505" s="152"/>
      <c r="AB505" s="152"/>
      <c r="AC505" s="152"/>
      <c r="AD505" s="152"/>
      <c r="AE505" s="185"/>
      <c r="AF505" s="185"/>
      <c r="AG505" s="185"/>
      <c r="AH505" s="185"/>
      <c r="AI505" s="185"/>
      <c r="AJ505" s="185"/>
      <c r="AK505" s="185"/>
      <c r="AL505" s="185"/>
      <c r="AM505" s="185"/>
      <c r="AN505" s="185"/>
      <c r="AO505" s="185"/>
      <c r="AP505" s="185"/>
      <c r="AQ505" s="185"/>
      <c r="AR505" s="185"/>
      <c r="AS505" s="185"/>
      <c r="AT505" s="185"/>
      <c r="AU505" s="185"/>
      <c r="AV505" s="185"/>
      <c r="AW505" s="185"/>
      <c r="AX505" s="185"/>
      <c r="AY505" s="185"/>
      <c r="AZ505" s="185"/>
      <c r="BA505" s="185"/>
      <c r="BB505" s="185"/>
      <c r="BC505" s="185"/>
      <c r="BD505" s="185"/>
      <c r="BE505" s="185"/>
    </row>
    <row r="506">
      <c r="A506" s="152"/>
      <c r="B506" s="152"/>
      <c r="C506" s="152"/>
      <c r="D506" s="152" t="s">
        <v>3955</v>
      </c>
      <c r="E506" s="152" t="s">
        <v>3956</v>
      </c>
      <c r="F506" s="152" t="s">
        <v>394</v>
      </c>
      <c r="G506" s="152" t="s">
        <v>3957</v>
      </c>
      <c r="H506" s="152" t="s">
        <v>3957</v>
      </c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 t="s">
        <v>3958</v>
      </c>
      <c r="Z506" s="152" t="s">
        <v>3958</v>
      </c>
      <c r="AA506" s="152"/>
      <c r="AB506" s="152"/>
      <c r="AC506" s="152"/>
      <c r="AD506" s="152"/>
      <c r="AE506" s="185"/>
      <c r="AF506" s="185"/>
      <c r="AG506" s="185"/>
      <c r="AH506" s="185"/>
      <c r="AI506" s="185"/>
      <c r="AJ506" s="185"/>
      <c r="AK506" s="185"/>
      <c r="AL506" s="185"/>
      <c r="AM506" s="185"/>
      <c r="AN506" s="185"/>
      <c r="AO506" s="185"/>
      <c r="AP506" s="185"/>
      <c r="AQ506" s="185"/>
      <c r="AR506" s="185"/>
      <c r="AS506" s="185"/>
      <c r="AT506" s="185"/>
      <c r="AU506" s="185"/>
      <c r="AV506" s="185"/>
      <c r="AW506" s="185"/>
      <c r="AX506" s="185"/>
      <c r="AY506" s="185"/>
      <c r="AZ506" s="185"/>
      <c r="BA506" s="185"/>
      <c r="BB506" s="185"/>
      <c r="BC506" s="185"/>
      <c r="BD506" s="185"/>
      <c r="BE506" s="185"/>
    </row>
    <row r="507">
      <c r="A507" s="152"/>
      <c r="B507" s="152"/>
      <c r="C507" s="152"/>
      <c r="D507" s="152" t="s">
        <v>3959</v>
      </c>
      <c r="E507" s="152" t="s">
        <v>3960</v>
      </c>
      <c r="F507" s="152" t="s">
        <v>332</v>
      </c>
      <c r="G507" s="152" t="s">
        <v>3961</v>
      </c>
      <c r="H507" s="152" t="s">
        <v>3962</v>
      </c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 t="s">
        <v>3963</v>
      </c>
      <c r="Z507" s="157" t="s">
        <v>3964</v>
      </c>
      <c r="AA507" s="152"/>
      <c r="AB507" s="152"/>
      <c r="AC507" s="152"/>
      <c r="AD507" s="152"/>
      <c r="AE507" s="185"/>
      <c r="AF507" s="185"/>
      <c r="AG507" s="185"/>
      <c r="AH507" s="185"/>
      <c r="AI507" s="185"/>
      <c r="AJ507" s="185"/>
      <c r="AK507" s="185"/>
      <c r="AL507" s="185"/>
      <c r="AM507" s="185"/>
      <c r="AN507" s="185"/>
      <c r="AO507" s="185"/>
      <c r="AP507" s="185"/>
      <c r="AQ507" s="185"/>
      <c r="AR507" s="185"/>
      <c r="AS507" s="185"/>
      <c r="AT507" s="185"/>
      <c r="AU507" s="185"/>
      <c r="AV507" s="185"/>
      <c r="AW507" s="185"/>
      <c r="AX507" s="185"/>
      <c r="AY507" s="185"/>
      <c r="AZ507" s="185"/>
      <c r="BA507" s="185"/>
      <c r="BB507" s="185"/>
      <c r="BC507" s="185"/>
      <c r="BD507" s="185"/>
      <c r="BE507" s="185"/>
    </row>
    <row r="508">
      <c r="A508" s="152"/>
      <c r="B508" s="152"/>
      <c r="C508" s="152"/>
      <c r="D508" s="152" t="s">
        <v>3965</v>
      </c>
      <c r="E508" s="152" t="s">
        <v>1017</v>
      </c>
      <c r="F508" s="152" t="s">
        <v>394</v>
      </c>
      <c r="G508" s="152" t="s">
        <v>3966</v>
      </c>
      <c r="H508" s="152" t="s">
        <v>3967</v>
      </c>
      <c r="I508" s="152" t="s">
        <v>486</v>
      </c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 t="s">
        <v>3968</v>
      </c>
      <c r="Z508" s="157" t="s">
        <v>3969</v>
      </c>
      <c r="AA508" s="152"/>
      <c r="AB508" s="152"/>
      <c r="AC508" s="152"/>
      <c r="AD508" s="152"/>
      <c r="AE508" s="185"/>
      <c r="AF508" s="185"/>
      <c r="AG508" s="185"/>
      <c r="AH508" s="185"/>
      <c r="AI508" s="185"/>
      <c r="AJ508" s="185"/>
      <c r="AK508" s="185"/>
      <c r="AL508" s="185"/>
      <c r="AM508" s="185"/>
      <c r="AN508" s="185"/>
      <c r="AO508" s="185"/>
      <c r="AP508" s="185"/>
      <c r="AQ508" s="185"/>
      <c r="AR508" s="185"/>
      <c r="AS508" s="185"/>
      <c r="AT508" s="185"/>
      <c r="AU508" s="185"/>
      <c r="AV508" s="185"/>
      <c r="AW508" s="185"/>
      <c r="AX508" s="185"/>
      <c r="AY508" s="185"/>
      <c r="AZ508" s="185"/>
      <c r="BA508" s="185"/>
      <c r="BB508" s="185"/>
      <c r="BC508" s="185"/>
      <c r="BD508" s="185"/>
      <c r="BE508" s="185"/>
    </row>
    <row r="509">
      <c r="A509" s="152"/>
      <c r="B509" s="152"/>
      <c r="C509" s="152"/>
      <c r="D509" s="152" t="s">
        <v>3970</v>
      </c>
      <c r="E509" s="152" t="s">
        <v>3971</v>
      </c>
      <c r="F509" s="152"/>
      <c r="G509" s="152" t="s">
        <v>3972</v>
      </c>
      <c r="H509" s="152" t="s">
        <v>3973</v>
      </c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 t="s">
        <v>27</v>
      </c>
      <c r="Z509" s="152" t="s">
        <v>27</v>
      </c>
      <c r="AA509" s="152"/>
      <c r="AB509" s="152"/>
      <c r="AC509" s="152"/>
      <c r="AD509" s="152"/>
      <c r="AE509" s="185"/>
      <c r="AF509" s="185"/>
      <c r="AG509" s="185"/>
      <c r="AH509" s="185"/>
      <c r="AI509" s="185"/>
      <c r="AJ509" s="185"/>
      <c r="AK509" s="185"/>
      <c r="AL509" s="185"/>
      <c r="AM509" s="185"/>
      <c r="AN509" s="185"/>
      <c r="AO509" s="185"/>
      <c r="AP509" s="185"/>
      <c r="AQ509" s="185"/>
      <c r="AR509" s="185"/>
      <c r="AS509" s="185"/>
      <c r="AT509" s="185"/>
      <c r="AU509" s="185"/>
      <c r="AV509" s="185"/>
      <c r="AW509" s="185"/>
      <c r="AX509" s="185"/>
      <c r="AY509" s="185"/>
      <c r="AZ509" s="185"/>
      <c r="BA509" s="185"/>
      <c r="BB509" s="185"/>
      <c r="BC509" s="185"/>
      <c r="BD509" s="185"/>
      <c r="BE509" s="185"/>
    </row>
    <row r="510">
      <c r="A510" s="152"/>
      <c r="B510" s="152"/>
      <c r="C510" s="152"/>
      <c r="D510" s="152" t="s">
        <v>3974</v>
      </c>
      <c r="E510" s="152" t="s">
        <v>3975</v>
      </c>
      <c r="F510" s="152" t="s">
        <v>332</v>
      </c>
      <c r="G510" s="152" t="s">
        <v>3976</v>
      </c>
      <c r="H510" s="152" t="s">
        <v>3977</v>
      </c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 t="s">
        <v>3978</v>
      </c>
      <c r="Z510" s="152" t="s">
        <v>3979</v>
      </c>
      <c r="AA510" s="152"/>
      <c r="AB510" s="152"/>
      <c r="AC510" s="152"/>
      <c r="AD510" s="152"/>
      <c r="AE510" s="185"/>
      <c r="AF510" s="185"/>
      <c r="AG510" s="185"/>
      <c r="AH510" s="185"/>
      <c r="AI510" s="185"/>
      <c r="AJ510" s="185"/>
      <c r="AK510" s="185"/>
      <c r="AL510" s="185"/>
      <c r="AM510" s="185"/>
      <c r="AN510" s="185"/>
      <c r="AO510" s="185"/>
      <c r="AP510" s="185"/>
      <c r="AQ510" s="185"/>
      <c r="AR510" s="185"/>
      <c r="AS510" s="185"/>
      <c r="AT510" s="185"/>
      <c r="AU510" s="185"/>
      <c r="AV510" s="185"/>
      <c r="AW510" s="185"/>
      <c r="AX510" s="185"/>
      <c r="AY510" s="185"/>
      <c r="AZ510" s="185"/>
      <c r="BA510" s="185"/>
      <c r="BB510" s="185"/>
      <c r="BC510" s="185"/>
      <c r="BD510" s="185"/>
      <c r="BE510" s="185"/>
    </row>
    <row r="511">
      <c r="A511" s="152"/>
      <c r="B511" s="152"/>
      <c r="C511" s="152"/>
      <c r="D511" s="152" t="s">
        <v>3980</v>
      </c>
      <c r="E511" s="152" t="s">
        <v>655</v>
      </c>
      <c r="F511" s="152" t="s">
        <v>3349</v>
      </c>
      <c r="G511" s="152" t="s">
        <v>3981</v>
      </c>
      <c r="H511" s="152" t="s">
        <v>3982</v>
      </c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 t="s">
        <v>3978</v>
      </c>
      <c r="Z511" s="152" t="s">
        <v>3979</v>
      </c>
      <c r="AA511" s="152"/>
      <c r="AB511" s="152"/>
      <c r="AC511" s="152"/>
      <c r="AD511" s="152"/>
      <c r="AE511" s="185"/>
      <c r="AF511" s="185"/>
      <c r="AG511" s="185"/>
      <c r="AH511" s="185"/>
      <c r="AI511" s="185"/>
      <c r="AJ511" s="185"/>
      <c r="AK511" s="185"/>
      <c r="AL511" s="185"/>
      <c r="AM511" s="185"/>
      <c r="AN511" s="185"/>
      <c r="AO511" s="185"/>
      <c r="AP511" s="185"/>
      <c r="AQ511" s="185"/>
      <c r="AR511" s="185"/>
      <c r="AS511" s="185"/>
      <c r="AT511" s="185"/>
      <c r="AU511" s="185"/>
      <c r="AV511" s="185"/>
      <c r="AW511" s="185"/>
      <c r="AX511" s="185"/>
      <c r="AY511" s="185"/>
      <c r="AZ511" s="185"/>
      <c r="BA511" s="185"/>
      <c r="BB511" s="185"/>
      <c r="BC511" s="185"/>
      <c r="BD511" s="185"/>
      <c r="BE511" s="185"/>
    </row>
    <row r="512">
      <c r="A512" s="152"/>
      <c r="B512" s="152"/>
      <c r="C512" s="152"/>
      <c r="D512" s="152" t="s">
        <v>3983</v>
      </c>
      <c r="E512" s="152" t="s">
        <v>3984</v>
      </c>
      <c r="F512" s="152" t="s">
        <v>332</v>
      </c>
      <c r="G512" s="152" t="s">
        <v>3985</v>
      </c>
      <c r="H512" s="152" t="s">
        <v>3986</v>
      </c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 t="s">
        <v>48</v>
      </c>
      <c r="Z512" s="157" t="s">
        <v>3987</v>
      </c>
      <c r="AA512" s="152"/>
      <c r="AB512" s="152"/>
      <c r="AC512" s="152"/>
      <c r="AD512" s="152"/>
      <c r="AE512" s="185"/>
      <c r="AF512" s="185"/>
      <c r="AG512" s="185"/>
      <c r="AH512" s="185"/>
      <c r="AI512" s="185"/>
      <c r="AJ512" s="185"/>
      <c r="AK512" s="185"/>
      <c r="AL512" s="185"/>
      <c r="AM512" s="185"/>
      <c r="AN512" s="185"/>
      <c r="AO512" s="185"/>
      <c r="AP512" s="185"/>
      <c r="AQ512" s="185"/>
      <c r="AR512" s="185"/>
      <c r="AS512" s="185"/>
      <c r="AT512" s="185"/>
      <c r="AU512" s="185"/>
      <c r="AV512" s="185"/>
      <c r="AW512" s="185"/>
      <c r="AX512" s="185"/>
      <c r="AY512" s="185"/>
      <c r="AZ512" s="185"/>
      <c r="BA512" s="185"/>
      <c r="BB512" s="185"/>
      <c r="BC512" s="185"/>
      <c r="BD512" s="185"/>
      <c r="BE512" s="185"/>
    </row>
    <row r="513">
      <c r="A513" s="152"/>
      <c r="B513" s="152"/>
      <c r="C513" s="152"/>
      <c r="D513" s="152" t="s">
        <v>3988</v>
      </c>
      <c r="E513" s="152" t="s">
        <v>3989</v>
      </c>
      <c r="F513" s="152" t="s">
        <v>959</v>
      </c>
      <c r="G513" s="152" t="s">
        <v>3990</v>
      </c>
      <c r="H513" s="152" t="s">
        <v>3990</v>
      </c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7" t="s">
        <v>3991</v>
      </c>
      <c r="Z513" s="157" t="s">
        <v>307</v>
      </c>
      <c r="AA513" s="152"/>
      <c r="AB513" s="152"/>
      <c r="AC513" s="152"/>
      <c r="AD513" s="152"/>
      <c r="AE513" s="185"/>
      <c r="AF513" s="185"/>
      <c r="AG513" s="185"/>
      <c r="AH513" s="185"/>
      <c r="AI513" s="185"/>
      <c r="AJ513" s="185"/>
      <c r="AK513" s="185"/>
      <c r="AL513" s="185"/>
      <c r="AM513" s="185"/>
      <c r="AN513" s="185"/>
      <c r="AO513" s="185"/>
      <c r="AP513" s="185"/>
      <c r="AQ513" s="185"/>
      <c r="AR513" s="185"/>
      <c r="AS513" s="185"/>
      <c r="AT513" s="185"/>
      <c r="AU513" s="185"/>
      <c r="AV513" s="185"/>
      <c r="AW513" s="185"/>
      <c r="AX513" s="185"/>
      <c r="AY513" s="185"/>
      <c r="AZ513" s="185"/>
      <c r="BA513" s="185"/>
      <c r="BB513" s="185"/>
      <c r="BC513" s="185"/>
      <c r="BD513" s="185"/>
      <c r="BE513" s="185"/>
    </row>
    <row r="514">
      <c r="A514" s="152"/>
      <c r="B514" s="152"/>
      <c r="C514" s="152"/>
      <c r="D514" s="152" t="s">
        <v>3992</v>
      </c>
      <c r="E514" s="152" t="s">
        <v>3984</v>
      </c>
      <c r="F514" s="152" t="s">
        <v>332</v>
      </c>
      <c r="G514" s="152" t="s">
        <v>3993</v>
      </c>
      <c r="H514" s="152" t="s">
        <v>3993</v>
      </c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 t="s">
        <v>153</v>
      </c>
      <c r="Z514" s="152" t="s">
        <v>1050</v>
      </c>
      <c r="AA514" s="152"/>
      <c r="AB514" s="152"/>
      <c r="AC514" s="152"/>
      <c r="AD514" s="152"/>
      <c r="AE514" s="185"/>
      <c r="AF514" s="185"/>
      <c r="AG514" s="185"/>
      <c r="AH514" s="185"/>
      <c r="AI514" s="185"/>
      <c r="AJ514" s="185"/>
      <c r="AK514" s="185"/>
      <c r="AL514" s="185"/>
      <c r="AM514" s="185"/>
      <c r="AN514" s="185"/>
      <c r="AO514" s="185"/>
      <c r="AP514" s="185"/>
      <c r="AQ514" s="185"/>
      <c r="AR514" s="185"/>
      <c r="AS514" s="185"/>
      <c r="AT514" s="185"/>
      <c r="AU514" s="185"/>
      <c r="AV514" s="185"/>
      <c r="AW514" s="185"/>
      <c r="AX514" s="185"/>
      <c r="AY514" s="185"/>
      <c r="AZ514" s="185"/>
      <c r="BA514" s="185"/>
      <c r="BB514" s="185"/>
      <c r="BC514" s="185"/>
      <c r="BD514" s="185"/>
      <c r="BE514" s="185"/>
    </row>
    <row r="515">
      <c r="A515" s="152"/>
      <c r="B515" s="152"/>
      <c r="C515" s="152"/>
      <c r="D515" s="152" t="s">
        <v>3994</v>
      </c>
      <c r="E515" s="152" t="s">
        <v>3994</v>
      </c>
      <c r="F515" s="152" t="s">
        <v>1724</v>
      </c>
      <c r="G515" s="152" t="s">
        <v>3995</v>
      </c>
      <c r="H515" s="152" t="s">
        <v>3996</v>
      </c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7" t="s">
        <v>3997</v>
      </c>
      <c r="Z515" s="157" t="s">
        <v>3998</v>
      </c>
      <c r="AA515" s="152"/>
      <c r="AB515" s="152"/>
      <c r="AC515" s="152"/>
      <c r="AD515" s="152"/>
      <c r="AE515" s="185"/>
      <c r="AF515" s="185"/>
      <c r="AG515" s="185"/>
      <c r="AH515" s="185"/>
      <c r="AI515" s="185"/>
      <c r="AJ515" s="185"/>
      <c r="AK515" s="185"/>
      <c r="AL515" s="185"/>
      <c r="AM515" s="185"/>
      <c r="AN515" s="185"/>
      <c r="AO515" s="185"/>
      <c r="AP515" s="185"/>
      <c r="AQ515" s="185"/>
      <c r="AR515" s="185"/>
      <c r="AS515" s="185"/>
      <c r="AT515" s="185"/>
      <c r="AU515" s="185"/>
      <c r="AV515" s="185"/>
      <c r="AW515" s="185"/>
      <c r="AX515" s="185"/>
      <c r="AY515" s="185"/>
      <c r="AZ515" s="185"/>
      <c r="BA515" s="185"/>
      <c r="BB515" s="185"/>
      <c r="BC515" s="185"/>
      <c r="BD515" s="185"/>
      <c r="BE515" s="185"/>
    </row>
    <row r="516">
      <c r="A516" s="152"/>
      <c r="B516" s="152"/>
      <c r="C516" s="152"/>
      <c r="D516" s="152" t="s">
        <v>3999</v>
      </c>
      <c r="E516" s="152" t="s">
        <v>4000</v>
      </c>
      <c r="F516" s="152" t="s">
        <v>332</v>
      </c>
      <c r="G516" s="152" t="s">
        <v>4001</v>
      </c>
      <c r="H516" s="152" t="s">
        <v>4002</v>
      </c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7" t="s">
        <v>4003</v>
      </c>
      <c r="Z516" s="157" t="s">
        <v>4004</v>
      </c>
      <c r="AA516" s="152"/>
      <c r="AB516" s="152"/>
      <c r="AC516" s="152"/>
      <c r="AD516" s="152"/>
      <c r="AE516" s="185"/>
      <c r="AF516" s="185"/>
      <c r="AG516" s="185"/>
      <c r="AH516" s="185"/>
      <c r="AI516" s="185"/>
      <c r="AJ516" s="185"/>
      <c r="AK516" s="185"/>
      <c r="AL516" s="185"/>
      <c r="AM516" s="185"/>
      <c r="AN516" s="185"/>
      <c r="AO516" s="185"/>
      <c r="AP516" s="185"/>
      <c r="AQ516" s="185"/>
      <c r="AR516" s="185"/>
      <c r="AS516" s="185"/>
      <c r="AT516" s="185"/>
      <c r="AU516" s="185"/>
      <c r="AV516" s="185"/>
      <c r="AW516" s="185"/>
      <c r="AX516" s="185"/>
      <c r="AY516" s="185"/>
      <c r="AZ516" s="185"/>
      <c r="BA516" s="185"/>
      <c r="BB516" s="185"/>
      <c r="BC516" s="185"/>
      <c r="BD516" s="185"/>
      <c r="BE516" s="185"/>
    </row>
    <row r="517">
      <c r="A517" s="152"/>
      <c r="B517" s="152"/>
      <c r="C517" s="152"/>
      <c r="D517" s="152" t="s">
        <v>4005</v>
      </c>
      <c r="E517" s="152" t="s">
        <v>4006</v>
      </c>
      <c r="F517" s="152" t="s">
        <v>1541</v>
      </c>
      <c r="G517" s="152" t="s">
        <v>4007</v>
      </c>
      <c r="H517" s="152" t="s">
        <v>4008</v>
      </c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7" t="s">
        <v>4009</v>
      </c>
      <c r="Z517" s="157" t="s">
        <v>4010</v>
      </c>
      <c r="AA517" s="152"/>
      <c r="AB517" s="152"/>
      <c r="AC517" s="152"/>
      <c r="AD517" s="152"/>
      <c r="AE517" s="185"/>
      <c r="AF517" s="185"/>
      <c r="AG517" s="185"/>
      <c r="AH517" s="185"/>
      <c r="AI517" s="185"/>
      <c r="AJ517" s="185"/>
      <c r="AK517" s="185"/>
      <c r="AL517" s="185"/>
      <c r="AM517" s="185"/>
      <c r="AN517" s="185"/>
      <c r="AO517" s="185"/>
      <c r="AP517" s="185"/>
      <c r="AQ517" s="185"/>
      <c r="AR517" s="185"/>
      <c r="AS517" s="185"/>
      <c r="AT517" s="185"/>
      <c r="AU517" s="185"/>
      <c r="AV517" s="185"/>
      <c r="AW517" s="185"/>
      <c r="AX517" s="185"/>
      <c r="AY517" s="185"/>
      <c r="AZ517" s="185"/>
      <c r="BA517" s="185"/>
      <c r="BB517" s="185"/>
      <c r="BC517" s="185"/>
      <c r="BD517" s="185"/>
      <c r="BE517" s="185"/>
    </row>
    <row r="518">
      <c r="A518" s="152"/>
      <c r="B518" s="152"/>
      <c r="C518" s="152"/>
      <c r="D518" s="152" t="s">
        <v>4011</v>
      </c>
      <c r="E518" s="152" t="s">
        <v>4012</v>
      </c>
      <c r="F518" s="152" t="s">
        <v>363</v>
      </c>
      <c r="G518" s="152" t="s">
        <v>4013</v>
      </c>
      <c r="H518" s="152" t="s">
        <v>4014</v>
      </c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7" t="s">
        <v>4015</v>
      </c>
      <c r="Z518" s="157" t="s">
        <v>4016</v>
      </c>
      <c r="AA518" s="152"/>
      <c r="AB518" s="152"/>
      <c r="AC518" s="152"/>
      <c r="AD518" s="152"/>
      <c r="AE518" s="185"/>
      <c r="AF518" s="185"/>
      <c r="AG518" s="185"/>
      <c r="AH518" s="185"/>
      <c r="AI518" s="185"/>
      <c r="AJ518" s="185"/>
      <c r="AK518" s="185"/>
      <c r="AL518" s="185"/>
      <c r="AM518" s="185"/>
      <c r="AN518" s="185"/>
      <c r="AO518" s="185"/>
      <c r="AP518" s="185"/>
      <c r="AQ518" s="185"/>
      <c r="AR518" s="185"/>
      <c r="AS518" s="185"/>
      <c r="AT518" s="185"/>
      <c r="AU518" s="185"/>
      <c r="AV518" s="185"/>
      <c r="AW518" s="185"/>
      <c r="AX518" s="185"/>
      <c r="AY518" s="185"/>
      <c r="AZ518" s="185"/>
      <c r="BA518" s="185"/>
      <c r="BB518" s="185"/>
      <c r="BC518" s="185"/>
      <c r="BD518" s="185"/>
      <c r="BE518" s="185"/>
    </row>
    <row r="519">
      <c r="A519" s="152"/>
      <c r="B519" s="152"/>
      <c r="C519" s="152"/>
      <c r="D519" s="152" t="s">
        <v>4017</v>
      </c>
      <c r="E519" s="152" t="s">
        <v>4018</v>
      </c>
      <c r="F519" s="152" t="s">
        <v>332</v>
      </c>
      <c r="G519" s="152" t="s">
        <v>4019</v>
      </c>
      <c r="H519" s="152" t="s">
        <v>4020</v>
      </c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7" t="s">
        <v>4021</v>
      </c>
      <c r="Z519" s="157" t="s">
        <v>4022</v>
      </c>
      <c r="AA519" s="152"/>
      <c r="AB519" s="152"/>
      <c r="AC519" s="152"/>
      <c r="AD519" s="152"/>
      <c r="AE519" s="185"/>
      <c r="AF519" s="185"/>
      <c r="AG519" s="185"/>
      <c r="AH519" s="185"/>
      <c r="AI519" s="185"/>
      <c r="AJ519" s="185"/>
      <c r="AK519" s="185"/>
      <c r="AL519" s="185"/>
      <c r="AM519" s="185"/>
      <c r="AN519" s="185"/>
      <c r="AO519" s="185"/>
      <c r="AP519" s="185"/>
      <c r="AQ519" s="185"/>
      <c r="AR519" s="185"/>
      <c r="AS519" s="185"/>
      <c r="AT519" s="185"/>
      <c r="AU519" s="185"/>
      <c r="AV519" s="185"/>
      <c r="AW519" s="185"/>
      <c r="AX519" s="185"/>
      <c r="AY519" s="185"/>
      <c r="AZ519" s="185"/>
      <c r="BA519" s="185"/>
      <c r="BB519" s="185"/>
      <c r="BC519" s="185"/>
      <c r="BD519" s="185"/>
      <c r="BE519" s="185"/>
    </row>
    <row r="520">
      <c r="A520" s="152"/>
      <c r="B520" s="152"/>
      <c r="C520" s="152"/>
      <c r="D520" s="163" t="s">
        <v>4023</v>
      </c>
      <c r="E520" s="152" t="s">
        <v>4024</v>
      </c>
      <c r="F520" s="152" t="s">
        <v>898</v>
      </c>
      <c r="G520" s="152" t="s">
        <v>4025</v>
      </c>
      <c r="H520" s="152" t="s">
        <v>4026</v>
      </c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7" t="s">
        <v>4027</v>
      </c>
      <c r="Z520" s="157" t="s">
        <v>4028</v>
      </c>
      <c r="AA520" s="152"/>
      <c r="AB520" s="152"/>
      <c r="AC520" s="152"/>
      <c r="AD520" s="152"/>
      <c r="AE520" s="185"/>
      <c r="AF520" s="185"/>
      <c r="AG520" s="185"/>
      <c r="AH520" s="185"/>
      <c r="AI520" s="185"/>
      <c r="AJ520" s="185"/>
      <c r="AK520" s="185"/>
      <c r="AL520" s="185"/>
      <c r="AM520" s="185"/>
      <c r="AN520" s="185"/>
      <c r="AO520" s="185"/>
      <c r="AP520" s="185"/>
      <c r="AQ520" s="185"/>
      <c r="AR520" s="185"/>
      <c r="AS520" s="185"/>
      <c r="AT520" s="185"/>
      <c r="AU520" s="185"/>
      <c r="AV520" s="185"/>
      <c r="AW520" s="185"/>
      <c r="AX520" s="185"/>
      <c r="AY520" s="185"/>
      <c r="AZ520" s="185"/>
      <c r="BA520" s="185"/>
      <c r="BB520" s="185"/>
      <c r="BC520" s="185"/>
      <c r="BD520" s="185"/>
      <c r="BE520" s="185"/>
    </row>
    <row r="521">
      <c r="A521" s="152"/>
      <c r="B521" s="152"/>
      <c r="C521" s="152"/>
      <c r="D521" s="152" t="s">
        <v>4029</v>
      </c>
      <c r="E521" s="152" t="s">
        <v>4029</v>
      </c>
      <c r="F521" s="152" t="s">
        <v>332</v>
      </c>
      <c r="G521" s="152" t="s">
        <v>4030</v>
      </c>
      <c r="H521" s="152" t="s">
        <v>4031</v>
      </c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 t="s">
        <v>4032</v>
      </c>
      <c r="Z521" s="152" t="s">
        <v>4033</v>
      </c>
      <c r="AA521" s="152"/>
      <c r="AB521" s="152"/>
      <c r="AC521" s="152"/>
      <c r="AD521" s="152"/>
      <c r="AE521" s="185"/>
      <c r="AF521" s="185"/>
      <c r="AG521" s="185"/>
      <c r="AH521" s="185"/>
      <c r="AI521" s="185"/>
      <c r="AJ521" s="185"/>
      <c r="AK521" s="185"/>
      <c r="AL521" s="185"/>
      <c r="AM521" s="185"/>
      <c r="AN521" s="185"/>
      <c r="AO521" s="185"/>
      <c r="AP521" s="185"/>
      <c r="AQ521" s="185"/>
      <c r="AR521" s="185"/>
      <c r="AS521" s="185"/>
      <c r="AT521" s="185"/>
      <c r="AU521" s="185"/>
      <c r="AV521" s="185"/>
      <c r="AW521" s="185"/>
      <c r="AX521" s="185"/>
      <c r="AY521" s="185"/>
      <c r="AZ521" s="185"/>
      <c r="BA521" s="185"/>
      <c r="BB521" s="185"/>
      <c r="BC521" s="185"/>
      <c r="BD521" s="185"/>
      <c r="BE521" s="185"/>
    </row>
    <row r="522">
      <c r="A522" s="152"/>
      <c r="B522" s="152"/>
      <c r="C522" s="152"/>
      <c r="D522" s="152" t="s">
        <v>4034</v>
      </c>
      <c r="E522" s="152" t="s">
        <v>4035</v>
      </c>
      <c r="F522" s="152" t="s">
        <v>332</v>
      </c>
      <c r="G522" s="152" t="s">
        <v>4036</v>
      </c>
      <c r="H522" s="152" t="s">
        <v>4037</v>
      </c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7" t="s">
        <v>4038</v>
      </c>
      <c r="Z522" s="152" t="s">
        <v>4039</v>
      </c>
      <c r="AA522" s="152"/>
      <c r="AB522" s="152"/>
      <c r="AC522" s="152"/>
      <c r="AD522" s="152"/>
      <c r="AE522" s="185"/>
      <c r="AF522" s="185"/>
      <c r="AG522" s="185"/>
      <c r="AH522" s="185"/>
      <c r="AI522" s="185"/>
      <c r="AJ522" s="185"/>
      <c r="AK522" s="185"/>
      <c r="AL522" s="185"/>
      <c r="AM522" s="185"/>
      <c r="AN522" s="185"/>
      <c r="AO522" s="185"/>
      <c r="AP522" s="185"/>
      <c r="AQ522" s="185"/>
      <c r="AR522" s="185"/>
      <c r="AS522" s="185"/>
      <c r="AT522" s="185"/>
      <c r="AU522" s="185"/>
      <c r="AV522" s="185"/>
      <c r="AW522" s="185"/>
      <c r="AX522" s="185"/>
      <c r="AY522" s="185"/>
      <c r="AZ522" s="185"/>
      <c r="BA522" s="185"/>
      <c r="BB522" s="185"/>
      <c r="BC522" s="185"/>
      <c r="BD522" s="185"/>
      <c r="BE522" s="185"/>
    </row>
    <row r="523">
      <c r="A523" s="152"/>
      <c r="B523" s="152"/>
      <c r="C523" s="152"/>
      <c r="D523" s="152" t="s">
        <v>4040</v>
      </c>
      <c r="E523" s="152" t="s">
        <v>4041</v>
      </c>
      <c r="F523" s="152" t="s">
        <v>394</v>
      </c>
      <c r="G523" s="152" t="s">
        <v>4042</v>
      </c>
      <c r="H523" s="152" t="s">
        <v>4043</v>
      </c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7" t="s">
        <v>4044</v>
      </c>
      <c r="Z523" s="157" t="s">
        <v>4045</v>
      </c>
      <c r="AA523" s="152"/>
      <c r="AB523" s="152"/>
      <c r="AC523" s="152"/>
      <c r="AD523" s="152"/>
      <c r="AE523" s="185"/>
      <c r="AF523" s="185"/>
      <c r="AG523" s="185"/>
      <c r="AH523" s="185"/>
      <c r="AI523" s="185"/>
      <c r="AJ523" s="185"/>
      <c r="AK523" s="185"/>
      <c r="AL523" s="185"/>
      <c r="AM523" s="185"/>
      <c r="AN523" s="185"/>
      <c r="AO523" s="185"/>
      <c r="AP523" s="185"/>
      <c r="AQ523" s="185"/>
      <c r="AR523" s="185"/>
      <c r="AS523" s="185"/>
      <c r="AT523" s="185"/>
      <c r="AU523" s="185"/>
      <c r="AV523" s="185"/>
      <c r="AW523" s="185"/>
      <c r="AX523" s="185"/>
      <c r="AY523" s="185"/>
      <c r="AZ523" s="185"/>
      <c r="BA523" s="185"/>
      <c r="BB523" s="185"/>
      <c r="BC523" s="185"/>
      <c r="BD523" s="185"/>
      <c r="BE523" s="185"/>
    </row>
    <row r="524">
      <c r="A524" s="152"/>
      <c r="B524" s="152"/>
      <c r="C524" s="152"/>
      <c r="D524" s="152" t="s">
        <v>4046</v>
      </c>
      <c r="E524" s="152" t="s">
        <v>4047</v>
      </c>
      <c r="F524" s="152" t="s">
        <v>806</v>
      </c>
      <c r="G524" s="152" t="s">
        <v>4048</v>
      </c>
      <c r="H524" s="152" t="s">
        <v>4049</v>
      </c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7" t="s">
        <v>4050</v>
      </c>
      <c r="Z524" s="157" t="s">
        <v>4051</v>
      </c>
      <c r="AA524" s="152"/>
      <c r="AB524" s="152"/>
      <c r="AC524" s="152"/>
      <c r="AD524" s="152"/>
      <c r="AE524" s="185"/>
      <c r="AF524" s="185"/>
      <c r="AG524" s="185"/>
      <c r="AH524" s="185"/>
      <c r="AI524" s="185"/>
      <c r="AJ524" s="185"/>
      <c r="AK524" s="185"/>
      <c r="AL524" s="185"/>
      <c r="AM524" s="185"/>
      <c r="AN524" s="185"/>
      <c r="AO524" s="185"/>
      <c r="AP524" s="185"/>
      <c r="AQ524" s="185"/>
      <c r="AR524" s="185"/>
      <c r="AS524" s="185"/>
      <c r="AT524" s="185"/>
      <c r="AU524" s="185"/>
      <c r="AV524" s="185"/>
      <c r="AW524" s="185"/>
      <c r="AX524" s="185"/>
      <c r="AY524" s="185"/>
      <c r="AZ524" s="185"/>
      <c r="BA524" s="185"/>
      <c r="BB524" s="185"/>
      <c r="BC524" s="185"/>
      <c r="BD524" s="185"/>
      <c r="BE524" s="185"/>
    </row>
    <row r="525">
      <c r="A525" s="152"/>
      <c r="B525" s="152"/>
      <c r="C525" s="152"/>
      <c r="D525" s="152" t="s">
        <v>4052</v>
      </c>
      <c r="E525" s="152" t="s">
        <v>4053</v>
      </c>
      <c r="F525" s="152" t="s">
        <v>332</v>
      </c>
      <c r="G525" s="163" t="s">
        <v>4054</v>
      </c>
      <c r="H525" s="152" t="s">
        <v>4055</v>
      </c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 t="s">
        <v>4056</v>
      </c>
      <c r="Z525" s="152" t="s">
        <v>4057</v>
      </c>
      <c r="AA525" s="152"/>
      <c r="AB525" s="152"/>
      <c r="AC525" s="152"/>
      <c r="AD525" s="152"/>
      <c r="AE525" s="185"/>
      <c r="AF525" s="185"/>
      <c r="AG525" s="185"/>
      <c r="AH525" s="185"/>
      <c r="AI525" s="185"/>
      <c r="AJ525" s="185"/>
      <c r="AK525" s="185"/>
      <c r="AL525" s="185"/>
      <c r="AM525" s="185"/>
      <c r="AN525" s="185"/>
      <c r="AO525" s="185"/>
      <c r="AP525" s="185"/>
      <c r="AQ525" s="185"/>
      <c r="AR525" s="185"/>
      <c r="AS525" s="185"/>
      <c r="AT525" s="185"/>
      <c r="AU525" s="185"/>
      <c r="AV525" s="185"/>
      <c r="AW525" s="185"/>
      <c r="AX525" s="185"/>
      <c r="AY525" s="185"/>
      <c r="AZ525" s="185"/>
      <c r="BA525" s="185"/>
      <c r="BB525" s="185"/>
      <c r="BC525" s="185"/>
      <c r="BD525" s="185"/>
      <c r="BE525" s="185"/>
    </row>
    <row r="526">
      <c r="A526" s="152"/>
      <c r="B526" s="152"/>
      <c r="C526" s="152"/>
      <c r="D526" s="152" t="s">
        <v>4058</v>
      </c>
      <c r="E526" s="152" t="s">
        <v>4059</v>
      </c>
      <c r="F526" s="152"/>
      <c r="G526" s="152" t="s">
        <v>4060</v>
      </c>
      <c r="H526" s="152" t="s">
        <v>4061</v>
      </c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 t="s">
        <v>4009</v>
      </c>
      <c r="Z526" s="152" t="s">
        <v>4062</v>
      </c>
      <c r="AA526" s="152"/>
      <c r="AB526" s="152"/>
      <c r="AC526" s="152"/>
      <c r="AD526" s="152"/>
      <c r="AE526" s="185"/>
      <c r="AF526" s="185"/>
      <c r="AG526" s="185"/>
      <c r="AH526" s="185"/>
      <c r="AI526" s="185"/>
      <c r="AJ526" s="185"/>
      <c r="AK526" s="185"/>
      <c r="AL526" s="185"/>
      <c r="AM526" s="185"/>
      <c r="AN526" s="185"/>
      <c r="AO526" s="185"/>
      <c r="AP526" s="185"/>
      <c r="AQ526" s="185"/>
      <c r="AR526" s="185"/>
      <c r="AS526" s="185"/>
      <c r="AT526" s="185"/>
      <c r="AU526" s="185"/>
      <c r="AV526" s="185"/>
      <c r="AW526" s="185"/>
      <c r="AX526" s="185"/>
      <c r="AY526" s="185"/>
      <c r="AZ526" s="185"/>
      <c r="BA526" s="185"/>
      <c r="BB526" s="185"/>
      <c r="BC526" s="185"/>
      <c r="BD526" s="185"/>
      <c r="BE526" s="185"/>
    </row>
    <row r="527">
      <c r="A527" s="152"/>
      <c r="B527" s="152"/>
      <c r="C527" s="152"/>
      <c r="D527" s="152" t="s">
        <v>4063</v>
      </c>
      <c r="E527" s="152" t="s">
        <v>4064</v>
      </c>
      <c r="F527" s="152" t="s">
        <v>332</v>
      </c>
      <c r="G527" s="152" t="s">
        <v>4065</v>
      </c>
      <c r="H527" s="152" t="s">
        <v>4066</v>
      </c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 t="s">
        <v>4015</v>
      </c>
      <c r="Z527" s="152" t="s">
        <v>4067</v>
      </c>
      <c r="AA527" s="152"/>
      <c r="AB527" s="152"/>
      <c r="AC527" s="152"/>
      <c r="AD527" s="152"/>
      <c r="AE527" s="185"/>
      <c r="AF527" s="185"/>
      <c r="AG527" s="185"/>
      <c r="AH527" s="185"/>
      <c r="AI527" s="185"/>
      <c r="AJ527" s="185"/>
      <c r="AK527" s="185"/>
      <c r="AL527" s="185"/>
      <c r="AM527" s="185"/>
      <c r="AN527" s="185"/>
      <c r="AO527" s="185"/>
      <c r="AP527" s="185"/>
      <c r="AQ527" s="185"/>
      <c r="AR527" s="185"/>
      <c r="AS527" s="185"/>
      <c r="AT527" s="185"/>
      <c r="AU527" s="185"/>
      <c r="AV527" s="185"/>
      <c r="AW527" s="185"/>
      <c r="AX527" s="185"/>
      <c r="AY527" s="185"/>
      <c r="AZ527" s="185"/>
      <c r="BA527" s="185"/>
      <c r="BB527" s="185"/>
      <c r="BC527" s="185"/>
      <c r="BD527" s="185"/>
      <c r="BE527" s="185"/>
    </row>
    <row r="528">
      <c r="A528" s="152"/>
      <c r="B528" s="152"/>
      <c r="C528" s="152"/>
      <c r="D528" s="152" t="s">
        <v>4068</v>
      </c>
      <c r="E528" s="152" t="s">
        <v>4069</v>
      </c>
      <c r="F528" s="152" t="s">
        <v>1516</v>
      </c>
      <c r="G528" s="152" t="s">
        <v>4070</v>
      </c>
      <c r="H528" s="152" t="s">
        <v>4071</v>
      </c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 t="s">
        <v>4072</v>
      </c>
      <c r="Z528" s="152" t="s">
        <v>4073</v>
      </c>
      <c r="AA528" s="152"/>
      <c r="AB528" s="152"/>
      <c r="AC528" s="152"/>
      <c r="AD528" s="152"/>
      <c r="AE528" s="185"/>
      <c r="AF528" s="185"/>
      <c r="AG528" s="185"/>
      <c r="AH528" s="185"/>
      <c r="AI528" s="185"/>
      <c r="AJ528" s="185"/>
      <c r="AK528" s="185"/>
      <c r="AL528" s="185"/>
      <c r="AM528" s="185"/>
      <c r="AN528" s="185"/>
      <c r="AO528" s="185"/>
      <c r="AP528" s="185"/>
      <c r="AQ528" s="185"/>
      <c r="AR528" s="185"/>
      <c r="AS528" s="185"/>
      <c r="AT528" s="185"/>
      <c r="AU528" s="185"/>
      <c r="AV528" s="185"/>
      <c r="AW528" s="185"/>
      <c r="AX528" s="185"/>
      <c r="AY528" s="185"/>
      <c r="AZ528" s="185"/>
      <c r="BA528" s="185"/>
      <c r="BB528" s="185"/>
      <c r="BC528" s="185"/>
      <c r="BD528" s="185"/>
      <c r="BE528" s="185"/>
    </row>
    <row r="529">
      <c r="A529" s="152"/>
      <c r="B529" s="152"/>
      <c r="C529" s="152"/>
      <c r="D529" s="152" t="s">
        <v>4074</v>
      </c>
      <c r="E529" s="152" t="s">
        <v>4075</v>
      </c>
      <c r="F529" s="152" t="s">
        <v>332</v>
      </c>
      <c r="G529" s="152" t="s">
        <v>595</v>
      </c>
      <c r="H529" s="152" t="s">
        <v>595</v>
      </c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 t="s">
        <v>4076</v>
      </c>
      <c r="Z529" s="152" t="s">
        <v>4077</v>
      </c>
      <c r="AA529" s="152"/>
      <c r="AB529" s="152"/>
      <c r="AC529" s="152"/>
      <c r="AD529" s="152"/>
      <c r="AE529" s="185"/>
      <c r="AF529" s="185"/>
      <c r="AG529" s="185"/>
      <c r="AH529" s="185"/>
      <c r="AI529" s="185"/>
      <c r="AJ529" s="185"/>
      <c r="AK529" s="185"/>
      <c r="AL529" s="185"/>
      <c r="AM529" s="185"/>
      <c r="AN529" s="185"/>
      <c r="AO529" s="185"/>
      <c r="AP529" s="185"/>
      <c r="AQ529" s="185"/>
      <c r="AR529" s="185"/>
      <c r="AS529" s="185"/>
      <c r="AT529" s="185"/>
      <c r="AU529" s="185"/>
      <c r="AV529" s="185"/>
      <c r="AW529" s="185"/>
      <c r="AX529" s="185"/>
      <c r="AY529" s="185"/>
      <c r="AZ529" s="185"/>
      <c r="BA529" s="185"/>
      <c r="BB529" s="185"/>
      <c r="BC529" s="185"/>
      <c r="BD529" s="185"/>
      <c r="BE529" s="185"/>
    </row>
    <row r="530">
      <c r="A530" s="152"/>
      <c r="B530" s="152"/>
      <c r="C530" s="152"/>
      <c r="D530" s="152" t="s">
        <v>4078</v>
      </c>
      <c r="E530" s="152" t="s">
        <v>4079</v>
      </c>
      <c r="F530" s="152" t="s">
        <v>332</v>
      </c>
      <c r="G530" s="152" t="s">
        <v>628</v>
      </c>
      <c r="H530" s="152" t="s">
        <v>628</v>
      </c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 t="s">
        <v>4080</v>
      </c>
      <c r="Z530" s="157" t="s">
        <v>4081</v>
      </c>
      <c r="AA530" s="152"/>
      <c r="AB530" s="152"/>
      <c r="AC530" s="152"/>
      <c r="AD530" s="152"/>
      <c r="AE530" s="185"/>
      <c r="AF530" s="185"/>
      <c r="AG530" s="185"/>
      <c r="AH530" s="185"/>
      <c r="AI530" s="185"/>
      <c r="AJ530" s="185"/>
      <c r="AK530" s="185"/>
      <c r="AL530" s="185"/>
      <c r="AM530" s="185"/>
      <c r="AN530" s="185"/>
      <c r="AO530" s="185"/>
      <c r="AP530" s="185"/>
      <c r="AQ530" s="185"/>
      <c r="AR530" s="185"/>
      <c r="AS530" s="185"/>
      <c r="AT530" s="185"/>
      <c r="AU530" s="185"/>
      <c r="AV530" s="185"/>
      <c r="AW530" s="185"/>
      <c r="AX530" s="185"/>
      <c r="AY530" s="185"/>
      <c r="AZ530" s="185"/>
      <c r="BA530" s="185"/>
      <c r="BB530" s="185"/>
      <c r="BC530" s="185"/>
      <c r="BD530" s="185"/>
      <c r="BE530" s="185"/>
    </row>
    <row r="531">
      <c r="A531" s="152"/>
      <c r="B531" s="152"/>
      <c r="C531" s="152"/>
      <c r="D531" s="152" t="s">
        <v>4082</v>
      </c>
      <c r="E531" s="152" t="s">
        <v>4083</v>
      </c>
      <c r="F531" s="152" t="s">
        <v>332</v>
      </c>
      <c r="G531" s="152" t="s">
        <v>4084</v>
      </c>
      <c r="H531" s="152" t="s">
        <v>4085</v>
      </c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 t="s">
        <v>4086</v>
      </c>
      <c r="Z531" s="157" t="s">
        <v>4087</v>
      </c>
      <c r="AA531" s="152"/>
      <c r="AB531" s="152"/>
      <c r="AC531" s="152"/>
      <c r="AD531" s="152"/>
      <c r="AE531" s="185"/>
      <c r="AF531" s="185"/>
      <c r="AG531" s="185"/>
      <c r="AH531" s="185"/>
      <c r="AI531" s="185"/>
      <c r="AJ531" s="185"/>
      <c r="AK531" s="185"/>
      <c r="AL531" s="185"/>
      <c r="AM531" s="185"/>
      <c r="AN531" s="185"/>
      <c r="AO531" s="185"/>
      <c r="AP531" s="185"/>
      <c r="AQ531" s="185"/>
      <c r="AR531" s="185"/>
      <c r="AS531" s="185"/>
      <c r="AT531" s="185"/>
      <c r="AU531" s="185"/>
      <c r="AV531" s="185"/>
      <c r="AW531" s="185"/>
      <c r="AX531" s="185"/>
      <c r="AY531" s="185"/>
      <c r="AZ531" s="185"/>
      <c r="BA531" s="185"/>
      <c r="BB531" s="185"/>
      <c r="BC531" s="185"/>
      <c r="BD531" s="185"/>
      <c r="BE531" s="185"/>
    </row>
    <row r="532">
      <c r="A532" s="152"/>
      <c r="B532" s="152"/>
      <c r="C532" s="152"/>
      <c r="D532" s="152" t="s">
        <v>4088</v>
      </c>
      <c r="E532" s="152" t="s">
        <v>4089</v>
      </c>
      <c r="F532" s="152" t="s">
        <v>394</v>
      </c>
      <c r="G532" s="152" t="s">
        <v>4090</v>
      </c>
      <c r="H532" s="152" t="s">
        <v>4091</v>
      </c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 t="s">
        <v>4092</v>
      </c>
      <c r="Z532" s="157" t="s">
        <v>4093</v>
      </c>
      <c r="AA532" s="152"/>
      <c r="AB532" s="152"/>
      <c r="AC532" s="152"/>
      <c r="AD532" s="152"/>
      <c r="AE532" s="185"/>
      <c r="AF532" s="185"/>
      <c r="AG532" s="185"/>
      <c r="AH532" s="185"/>
      <c r="AI532" s="185"/>
      <c r="AJ532" s="185"/>
      <c r="AK532" s="185"/>
      <c r="AL532" s="185"/>
      <c r="AM532" s="185"/>
      <c r="AN532" s="185"/>
      <c r="AO532" s="185"/>
      <c r="AP532" s="185"/>
      <c r="AQ532" s="185"/>
      <c r="AR532" s="185"/>
      <c r="AS532" s="185"/>
      <c r="AT532" s="185"/>
      <c r="AU532" s="185"/>
      <c r="AV532" s="185"/>
      <c r="AW532" s="185"/>
      <c r="AX532" s="185"/>
      <c r="AY532" s="185"/>
      <c r="AZ532" s="185"/>
      <c r="BA532" s="185"/>
      <c r="BB532" s="185"/>
      <c r="BC532" s="185"/>
      <c r="BD532" s="185"/>
      <c r="BE532" s="185"/>
    </row>
    <row r="533">
      <c r="A533" s="152"/>
      <c r="B533" s="152"/>
      <c r="C533" s="152"/>
      <c r="D533" s="152" t="s">
        <v>4094</v>
      </c>
      <c r="E533" s="152" t="s">
        <v>4095</v>
      </c>
      <c r="F533" s="152" t="s">
        <v>394</v>
      </c>
      <c r="G533" s="152" t="s">
        <v>4096</v>
      </c>
      <c r="H533" s="152" t="s">
        <v>4097</v>
      </c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 t="s">
        <v>4098</v>
      </c>
      <c r="Z533" s="157" t="s">
        <v>4099</v>
      </c>
      <c r="AA533" s="152"/>
      <c r="AB533" s="152"/>
      <c r="AC533" s="152"/>
      <c r="AD533" s="152"/>
      <c r="AE533" s="185"/>
      <c r="AF533" s="185"/>
      <c r="AG533" s="185"/>
      <c r="AH533" s="185"/>
      <c r="AI533" s="185"/>
      <c r="AJ533" s="185"/>
      <c r="AK533" s="185"/>
      <c r="AL533" s="185"/>
      <c r="AM533" s="185"/>
      <c r="AN533" s="185"/>
      <c r="AO533" s="185"/>
      <c r="AP533" s="185"/>
      <c r="AQ533" s="185"/>
      <c r="AR533" s="185"/>
      <c r="AS533" s="185"/>
      <c r="AT533" s="185"/>
      <c r="AU533" s="185"/>
      <c r="AV533" s="185"/>
      <c r="AW533" s="185"/>
      <c r="AX533" s="185"/>
      <c r="AY533" s="185"/>
      <c r="AZ533" s="185"/>
      <c r="BA533" s="185"/>
      <c r="BB533" s="185"/>
      <c r="BC533" s="185"/>
      <c r="BD533" s="185"/>
      <c r="BE533" s="185"/>
    </row>
    <row r="534">
      <c r="A534" s="152"/>
      <c r="B534" s="152"/>
      <c r="C534" s="152"/>
      <c r="D534" s="152" t="s">
        <v>4100</v>
      </c>
      <c r="E534" s="152" t="s">
        <v>4101</v>
      </c>
      <c r="F534" s="152" t="s">
        <v>394</v>
      </c>
      <c r="G534" s="163" t="s">
        <v>4102</v>
      </c>
      <c r="H534" s="152" t="s">
        <v>4103</v>
      </c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 t="s">
        <v>4104</v>
      </c>
      <c r="Z534" s="152" t="s">
        <v>4105</v>
      </c>
      <c r="AA534" s="152"/>
      <c r="AB534" s="152"/>
      <c r="AC534" s="152"/>
      <c r="AD534" s="152"/>
      <c r="AE534" s="185"/>
      <c r="AF534" s="185"/>
      <c r="AG534" s="185"/>
      <c r="AH534" s="185"/>
      <c r="AI534" s="185"/>
      <c r="AJ534" s="185"/>
      <c r="AK534" s="185"/>
      <c r="AL534" s="185"/>
      <c r="AM534" s="185"/>
      <c r="AN534" s="185"/>
      <c r="AO534" s="185"/>
      <c r="AP534" s="185"/>
      <c r="AQ534" s="185"/>
      <c r="AR534" s="185"/>
      <c r="AS534" s="185"/>
      <c r="AT534" s="185"/>
      <c r="AU534" s="185"/>
      <c r="AV534" s="185"/>
      <c r="AW534" s="185"/>
      <c r="AX534" s="185"/>
      <c r="AY534" s="185"/>
      <c r="AZ534" s="185"/>
      <c r="BA534" s="185"/>
      <c r="BB534" s="185"/>
      <c r="BC534" s="185"/>
      <c r="BD534" s="185"/>
      <c r="BE534" s="185"/>
    </row>
    <row r="535">
      <c r="A535" s="152"/>
      <c r="B535" s="152"/>
      <c r="C535" s="152"/>
      <c r="D535" s="152" t="s">
        <v>4106</v>
      </c>
      <c r="E535" s="152" t="s">
        <v>4107</v>
      </c>
      <c r="F535" s="152" t="s">
        <v>3001</v>
      </c>
      <c r="G535" s="163" t="s">
        <v>4108</v>
      </c>
      <c r="H535" s="152" t="s">
        <v>4109</v>
      </c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 t="s">
        <v>4110</v>
      </c>
      <c r="Z535" s="157" t="s">
        <v>4111</v>
      </c>
      <c r="AA535" s="152"/>
      <c r="AB535" s="152"/>
      <c r="AC535" s="152"/>
      <c r="AD535" s="152"/>
      <c r="AE535" s="185"/>
      <c r="AF535" s="185"/>
      <c r="AG535" s="185"/>
      <c r="AH535" s="185"/>
      <c r="AI535" s="185"/>
      <c r="AJ535" s="185"/>
      <c r="AK535" s="185"/>
      <c r="AL535" s="185"/>
      <c r="AM535" s="185"/>
      <c r="AN535" s="185"/>
      <c r="AO535" s="185"/>
      <c r="AP535" s="185"/>
      <c r="AQ535" s="185"/>
      <c r="AR535" s="185"/>
      <c r="AS535" s="185"/>
      <c r="AT535" s="185"/>
      <c r="AU535" s="185"/>
      <c r="AV535" s="185"/>
      <c r="AW535" s="185"/>
      <c r="AX535" s="185"/>
      <c r="AY535" s="185"/>
      <c r="AZ535" s="185"/>
      <c r="BA535" s="185"/>
      <c r="BB535" s="185"/>
      <c r="BC535" s="185"/>
      <c r="BD535" s="185"/>
      <c r="BE535" s="185"/>
    </row>
    <row r="536">
      <c r="A536" s="152"/>
      <c r="B536" s="152"/>
      <c r="C536" s="152"/>
      <c r="D536" s="152" t="s">
        <v>4112</v>
      </c>
      <c r="E536" s="152" t="s">
        <v>4113</v>
      </c>
      <c r="F536" s="152" t="s">
        <v>2675</v>
      </c>
      <c r="G536" s="152" t="s">
        <v>4114</v>
      </c>
      <c r="H536" s="152" t="s">
        <v>4115</v>
      </c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 t="s">
        <v>4116</v>
      </c>
      <c r="Z536" s="157" t="s">
        <v>4117</v>
      </c>
      <c r="AA536" s="152"/>
      <c r="AB536" s="152"/>
      <c r="AC536" s="152"/>
      <c r="AD536" s="152"/>
      <c r="AE536" s="185"/>
      <c r="AF536" s="185"/>
      <c r="AG536" s="185"/>
      <c r="AH536" s="185"/>
      <c r="AI536" s="185"/>
      <c r="AJ536" s="185"/>
      <c r="AK536" s="185"/>
      <c r="AL536" s="185"/>
      <c r="AM536" s="185"/>
      <c r="AN536" s="185"/>
      <c r="AO536" s="185"/>
      <c r="AP536" s="185"/>
      <c r="AQ536" s="185"/>
      <c r="AR536" s="185"/>
      <c r="AS536" s="185"/>
      <c r="AT536" s="185"/>
      <c r="AU536" s="185"/>
      <c r="AV536" s="185"/>
      <c r="AW536" s="185"/>
      <c r="AX536" s="185"/>
      <c r="AY536" s="185"/>
      <c r="AZ536" s="185"/>
      <c r="BA536" s="185"/>
      <c r="BB536" s="185"/>
      <c r="BC536" s="185"/>
      <c r="BD536" s="185"/>
      <c r="BE536" s="185"/>
    </row>
    <row r="537">
      <c r="A537" s="152"/>
      <c r="B537" s="152"/>
      <c r="C537" s="152"/>
      <c r="D537" s="152" t="s">
        <v>4118</v>
      </c>
      <c r="E537" s="152" t="s">
        <v>4119</v>
      </c>
      <c r="F537" s="152" t="s">
        <v>332</v>
      </c>
      <c r="G537" s="163" t="s">
        <v>4120</v>
      </c>
      <c r="H537" s="152" t="s">
        <v>4121</v>
      </c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 t="s">
        <v>4122</v>
      </c>
      <c r="Z537" s="152" t="s">
        <v>4123</v>
      </c>
      <c r="AA537" s="152"/>
      <c r="AB537" s="152"/>
      <c r="AC537" s="152"/>
      <c r="AD537" s="152"/>
      <c r="AE537" s="185"/>
      <c r="AF537" s="185"/>
      <c r="AG537" s="185"/>
      <c r="AH537" s="185"/>
      <c r="AI537" s="185"/>
      <c r="AJ537" s="185"/>
      <c r="AK537" s="185"/>
      <c r="AL537" s="185"/>
      <c r="AM537" s="185"/>
      <c r="AN537" s="185"/>
      <c r="AO537" s="185"/>
      <c r="AP537" s="185"/>
      <c r="AQ537" s="185"/>
      <c r="AR537" s="185"/>
      <c r="AS537" s="185"/>
      <c r="AT537" s="185"/>
      <c r="AU537" s="185"/>
      <c r="AV537" s="185"/>
      <c r="AW537" s="185"/>
      <c r="AX537" s="185"/>
      <c r="AY537" s="185"/>
      <c r="AZ537" s="185"/>
      <c r="BA537" s="185"/>
      <c r="BB537" s="185"/>
      <c r="BC537" s="185"/>
      <c r="BD537" s="185"/>
      <c r="BE537" s="185"/>
    </row>
    <row r="538">
      <c r="A538" s="152"/>
      <c r="B538" s="152"/>
      <c r="C538" s="152"/>
      <c r="D538" s="152" t="s">
        <v>4124</v>
      </c>
      <c r="E538" s="152" t="s">
        <v>4125</v>
      </c>
      <c r="F538" s="152" t="s">
        <v>1004</v>
      </c>
      <c r="G538" s="152" t="s">
        <v>4126</v>
      </c>
      <c r="H538" s="152" t="s">
        <v>4127</v>
      </c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7" t="s">
        <v>4128</v>
      </c>
      <c r="Z538" s="152" t="s">
        <v>4129</v>
      </c>
      <c r="AA538" s="152"/>
      <c r="AB538" s="152"/>
      <c r="AC538" s="152"/>
      <c r="AD538" s="152"/>
      <c r="AE538" s="185"/>
      <c r="AF538" s="185"/>
      <c r="AG538" s="185"/>
      <c r="AH538" s="185"/>
      <c r="AI538" s="185"/>
      <c r="AJ538" s="185"/>
      <c r="AK538" s="185"/>
      <c r="AL538" s="185"/>
      <c r="AM538" s="185"/>
      <c r="AN538" s="185"/>
      <c r="AO538" s="185"/>
      <c r="AP538" s="185"/>
      <c r="AQ538" s="185"/>
      <c r="AR538" s="185"/>
      <c r="AS538" s="185"/>
      <c r="AT538" s="185"/>
      <c r="AU538" s="185"/>
      <c r="AV538" s="185"/>
      <c r="AW538" s="185"/>
      <c r="AX538" s="185"/>
      <c r="AY538" s="185"/>
      <c r="AZ538" s="185"/>
      <c r="BA538" s="185"/>
      <c r="BB538" s="185"/>
      <c r="BC538" s="185"/>
      <c r="BD538" s="185"/>
      <c r="BE538" s="185"/>
    </row>
    <row r="539">
      <c r="A539" s="152"/>
      <c r="B539" s="152"/>
      <c r="C539" s="152"/>
      <c r="D539" s="152" t="s">
        <v>4130</v>
      </c>
      <c r="E539" s="152" t="s">
        <v>4131</v>
      </c>
      <c r="F539" s="152" t="s">
        <v>939</v>
      </c>
      <c r="G539" s="152" t="s">
        <v>4132</v>
      </c>
      <c r="H539" s="152" t="s">
        <v>4133</v>
      </c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7" t="s">
        <v>4134</v>
      </c>
      <c r="Z539" s="157" t="s">
        <v>4135</v>
      </c>
      <c r="AA539" s="152"/>
      <c r="AB539" s="152"/>
      <c r="AC539" s="152"/>
      <c r="AD539" s="152"/>
      <c r="AE539" s="185"/>
      <c r="AF539" s="185"/>
      <c r="AG539" s="185"/>
      <c r="AH539" s="185"/>
      <c r="AI539" s="185"/>
      <c r="AJ539" s="185"/>
      <c r="AK539" s="185"/>
      <c r="AL539" s="185"/>
      <c r="AM539" s="185"/>
      <c r="AN539" s="185"/>
      <c r="AO539" s="185"/>
      <c r="AP539" s="185"/>
      <c r="AQ539" s="185"/>
      <c r="AR539" s="185"/>
      <c r="AS539" s="185"/>
      <c r="AT539" s="185"/>
      <c r="AU539" s="185"/>
      <c r="AV539" s="185"/>
      <c r="AW539" s="185"/>
      <c r="AX539" s="185"/>
      <c r="AY539" s="185"/>
      <c r="AZ539" s="185"/>
      <c r="BA539" s="185"/>
      <c r="BB539" s="185"/>
      <c r="BC539" s="185"/>
      <c r="BD539" s="185"/>
      <c r="BE539" s="185"/>
    </row>
    <row r="540">
      <c r="A540" s="152"/>
      <c r="B540" s="152"/>
      <c r="C540" s="152"/>
      <c r="D540" s="152" t="s">
        <v>4136</v>
      </c>
      <c r="E540" s="152" t="s">
        <v>4137</v>
      </c>
      <c r="F540" s="152" t="s">
        <v>939</v>
      </c>
      <c r="G540" s="152" t="s">
        <v>4138</v>
      </c>
      <c r="H540" s="152" t="s">
        <v>4138</v>
      </c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7" t="s">
        <v>4139</v>
      </c>
      <c r="Z540" s="157" t="s">
        <v>4140</v>
      </c>
      <c r="AA540" s="152"/>
      <c r="AB540" s="152"/>
      <c r="AC540" s="152"/>
      <c r="AD540" s="152"/>
      <c r="AE540" s="185"/>
      <c r="AF540" s="185"/>
      <c r="AG540" s="185"/>
      <c r="AH540" s="185"/>
      <c r="AI540" s="185"/>
      <c r="AJ540" s="185"/>
      <c r="AK540" s="185"/>
      <c r="AL540" s="185"/>
      <c r="AM540" s="185"/>
      <c r="AN540" s="185"/>
      <c r="AO540" s="185"/>
      <c r="AP540" s="185"/>
      <c r="AQ540" s="185"/>
      <c r="AR540" s="185"/>
      <c r="AS540" s="185"/>
      <c r="AT540" s="185"/>
      <c r="AU540" s="185"/>
      <c r="AV540" s="185"/>
      <c r="AW540" s="185"/>
      <c r="AX540" s="185"/>
      <c r="AY540" s="185"/>
      <c r="AZ540" s="185"/>
      <c r="BA540" s="185"/>
      <c r="BB540" s="185"/>
      <c r="BC540" s="185"/>
      <c r="BD540" s="185"/>
      <c r="BE540" s="185"/>
    </row>
    <row r="541">
      <c r="A541" s="152"/>
      <c r="B541" s="152"/>
      <c r="C541" s="152"/>
      <c r="D541" s="152" t="s">
        <v>4141</v>
      </c>
      <c r="E541" s="152" t="s">
        <v>4142</v>
      </c>
      <c r="F541" s="152"/>
      <c r="G541" s="152" t="s">
        <v>4143</v>
      </c>
      <c r="H541" s="152" t="s">
        <v>4143</v>
      </c>
      <c r="I541" s="152" t="s">
        <v>486</v>
      </c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7" t="s">
        <v>4144</v>
      </c>
      <c r="Z541" s="152" t="s">
        <v>4145</v>
      </c>
      <c r="AA541" s="152"/>
      <c r="AB541" s="152"/>
      <c r="AC541" s="152"/>
      <c r="AD541" s="152"/>
      <c r="AE541" s="185"/>
      <c r="AF541" s="185"/>
      <c r="AG541" s="185"/>
      <c r="AH541" s="185"/>
      <c r="AI541" s="185"/>
      <c r="AJ541" s="185"/>
      <c r="AK541" s="185"/>
      <c r="AL541" s="185"/>
      <c r="AM541" s="185"/>
      <c r="AN541" s="185"/>
      <c r="AO541" s="185"/>
      <c r="AP541" s="185"/>
      <c r="AQ541" s="185"/>
      <c r="AR541" s="185"/>
      <c r="AS541" s="185"/>
      <c r="AT541" s="185"/>
      <c r="AU541" s="185"/>
      <c r="AV541" s="185"/>
      <c r="AW541" s="185"/>
      <c r="AX541" s="185"/>
      <c r="AY541" s="185"/>
      <c r="AZ541" s="185"/>
      <c r="BA541" s="185"/>
      <c r="BB541" s="185"/>
      <c r="BC541" s="185"/>
      <c r="BD541" s="185"/>
      <c r="BE541" s="185"/>
    </row>
    <row r="542">
      <c r="A542" s="152"/>
      <c r="B542" s="152"/>
      <c r="C542" s="152"/>
      <c r="D542" s="152" t="s">
        <v>4146</v>
      </c>
      <c r="E542" s="152" t="s">
        <v>4147</v>
      </c>
      <c r="F542" s="152" t="s">
        <v>830</v>
      </c>
      <c r="G542" s="152" t="s">
        <v>4148</v>
      </c>
      <c r="H542" s="152" t="s">
        <v>4149</v>
      </c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7" t="s">
        <v>4150</v>
      </c>
      <c r="Z542" s="157" t="s">
        <v>4151</v>
      </c>
      <c r="AA542" s="152"/>
      <c r="AB542" s="152"/>
      <c r="AC542" s="152"/>
      <c r="AD542" s="152"/>
      <c r="AE542" s="185"/>
      <c r="AF542" s="185"/>
      <c r="AG542" s="185"/>
      <c r="AH542" s="185"/>
      <c r="AI542" s="185"/>
      <c r="AJ542" s="185"/>
      <c r="AK542" s="185"/>
      <c r="AL542" s="185"/>
      <c r="AM542" s="185"/>
      <c r="AN542" s="185"/>
      <c r="AO542" s="185"/>
      <c r="AP542" s="185"/>
      <c r="AQ542" s="185"/>
      <c r="AR542" s="185"/>
      <c r="AS542" s="185"/>
      <c r="AT542" s="185"/>
      <c r="AU542" s="185"/>
      <c r="AV542" s="185"/>
      <c r="AW542" s="185"/>
      <c r="AX542" s="185"/>
      <c r="AY542" s="185"/>
      <c r="AZ542" s="185"/>
      <c r="BA542" s="185"/>
      <c r="BB542" s="185"/>
      <c r="BC542" s="185"/>
      <c r="BD542" s="185"/>
      <c r="BE542" s="185"/>
    </row>
    <row r="543">
      <c r="A543" s="152"/>
      <c r="B543" s="152"/>
      <c r="C543" s="152"/>
      <c r="D543" s="152" t="s">
        <v>4152</v>
      </c>
      <c r="E543" s="152" t="s">
        <v>4153</v>
      </c>
      <c r="F543" s="152" t="s">
        <v>332</v>
      </c>
      <c r="G543" s="152" t="s">
        <v>4154</v>
      </c>
      <c r="H543" s="152" t="s">
        <v>4155</v>
      </c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7" t="s">
        <v>4156</v>
      </c>
      <c r="Z543" s="157" t="s">
        <v>4157</v>
      </c>
      <c r="AA543" s="152"/>
      <c r="AB543" s="152"/>
      <c r="AC543" s="152"/>
      <c r="AD543" s="152"/>
      <c r="AE543" s="185"/>
      <c r="AF543" s="185"/>
      <c r="AG543" s="185"/>
      <c r="AH543" s="185"/>
      <c r="AI543" s="185"/>
      <c r="AJ543" s="185"/>
      <c r="AK543" s="185"/>
      <c r="AL543" s="185"/>
      <c r="AM543" s="185"/>
      <c r="AN543" s="185"/>
      <c r="AO543" s="185"/>
      <c r="AP543" s="185"/>
      <c r="AQ543" s="185"/>
      <c r="AR543" s="185"/>
      <c r="AS543" s="185"/>
      <c r="AT543" s="185"/>
      <c r="AU543" s="185"/>
      <c r="AV543" s="185"/>
      <c r="AW543" s="185"/>
      <c r="AX543" s="185"/>
      <c r="AY543" s="185"/>
      <c r="AZ543" s="185"/>
      <c r="BA543" s="185"/>
      <c r="BB543" s="185"/>
      <c r="BC543" s="185"/>
      <c r="BD543" s="185"/>
      <c r="BE543" s="185"/>
    </row>
    <row r="544">
      <c r="A544" s="152"/>
      <c r="B544" s="152"/>
      <c r="C544" s="152"/>
      <c r="D544" s="152" t="s">
        <v>4158</v>
      </c>
      <c r="E544" s="152" t="s">
        <v>4159</v>
      </c>
      <c r="F544" s="152" t="s">
        <v>332</v>
      </c>
      <c r="G544" s="152" t="s">
        <v>4160</v>
      </c>
      <c r="H544" s="152" t="s">
        <v>4161</v>
      </c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 t="s">
        <v>4162</v>
      </c>
      <c r="Z544" s="152" t="s">
        <v>4163</v>
      </c>
      <c r="AA544" s="152"/>
      <c r="AB544" s="152"/>
      <c r="AC544" s="152"/>
      <c r="AD544" s="152"/>
      <c r="AE544" s="185"/>
      <c r="AF544" s="185"/>
      <c r="AG544" s="185"/>
      <c r="AH544" s="185"/>
      <c r="AI544" s="185"/>
      <c r="AJ544" s="185"/>
      <c r="AK544" s="185"/>
      <c r="AL544" s="185"/>
      <c r="AM544" s="185"/>
      <c r="AN544" s="185"/>
      <c r="AO544" s="185"/>
      <c r="AP544" s="185"/>
      <c r="AQ544" s="185"/>
      <c r="AR544" s="185"/>
      <c r="AS544" s="185"/>
      <c r="AT544" s="185"/>
      <c r="AU544" s="185"/>
      <c r="AV544" s="185"/>
      <c r="AW544" s="185"/>
      <c r="AX544" s="185"/>
      <c r="AY544" s="185"/>
      <c r="AZ544" s="185"/>
      <c r="BA544" s="185"/>
      <c r="BB544" s="185"/>
      <c r="BC544" s="185"/>
      <c r="BD544" s="185"/>
      <c r="BE544" s="185"/>
    </row>
    <row r="545">
      <c r="A545" s="152"/>
      <c r="B545" s="152"/>
      <c r="C545" s="152"/>
      <c r="D545" s="152" t="s">
        <v>4164</v>
      </c>
      <c r="E545" s="152" t="s">
        <v>4165</v>
      </c>
      <c r="F545" s="152"/>
      <c r="G545" s="152" t="s">
        <v>4166</v>
      </c>
      <c r="H545" s="152" t="s">
        <v>4167</v>
      </c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 t="s">
        <v>4168</v>
      </c>
      <c r="Z545" s="152" t="s">
        <v>4169</v>
      </c>
      <c r="AA545" s="152"/>
      <c r="AB545" s="152"/>
      <c r="AC545" s="152"/>
      <c r="AD545" s="152"/>
      <c r="AE545" s="185"/>
      <c r="AF545" s="185"/>
      <c r="AG545" s="185"/>
      <c r="AH545" s="185"/>
      <c r="AI545" s="185"/>
      <c r="AJ545" s="185"/>
      <c r="AK545" s="185"/>
      <c r="AL545" s="185"/>
      <c r="AM545" s="185"/>
      <c r="AN545" s="185"/>
      <c r="AO545" s="185"/>
      <c r="AP545" s="185"/>
      <c r="AQ545" s="185"/>
      <c r="AR545" s="185"/>
      <c r="AS545" s="185"/>
      <c r="AT545" s="185"/>
      <c r="AU545" s="185"/>
      <c r="AV545" s="185"/>
      <c r="AW545" s="185"/>
      <c r="AX545" s="185"/>
      <c r="AY545" s="185"/>
      <c r="AZ545" s="185"/>
      <c r="BA545" s="185"/>
      <c r="BB545" s="185"/>
      <c r="BC545" s="185"/>
      <c r="BD545" s="185"/>
      <c r="BE545" s="185"/>
    </row>
    <row r="546">
      <c r="A546" s="152"/>
      <c r="B546" s="152"/>
      <c r="C546" s="152"/>
      <c r="D546" s="152" t="s">
        <v>4170</v>
      </c>
      <c r="E546" s="152" t="s">
        <v>4171</v>
      </c>
      <c r="F546" s="152" t="s">
        <v>939</v>
      </c>
      <c r="G546" s="163" t="s">
        <v>4172</v>
      </c>
      <c r="H546" s="152" t="s">
        <v>4173</v>
      </c>
      <c r="I546" s="152" t="s">
        <v>486</v>
      </c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7" t="s">
        <v>4174</v>
      </c>
      <c r="Z546" s="152" t="s">
        <v>4175</v>
      </c>
      <c r="AA546" s="152"/>
      <c r="AB546" s="152"/>
      <c r="AC546" s="152"/>
      <c r="AD546" s="152"/>
      <c r="AE546" s="185"/>
      <c r="AF546" s="185"/>
      <c r="AG546" s="185"/>
      <c r="AH546" s="185"/>
      <c r="AI546" s="185"/>
      <c r="AJ546" s="185"/>
      <c r="AK546" s="185"/>
      <c r="AL546" s="185"/>
      <c r="AM546" s="185"/>
      <c r="AN546" s="185"/>
      <c r="AO546" s="185"/>
      <c r="AP546" s="185"/>
      <c r="AQ546" s="185"/>
      <c r="AR546" s="185"/>
      <c r="AS546" s="185"/>
      <c r="AT546" s="185"/>
      <c r="AU546" s="185"/>
      <c r="AV546" s="185"/>
      <c r="AW546" s="185"/>
      <c r="AX546" s="185"/>
      <c r="AY546" s="185"/>
      <c r="AZ546" s="185"/>
      <c r="BA546" s="185"/>
      <c r="BB546" s="185"/>
      <c r="BC546" s="185"/>
      <c r="BD546" s="185"/>
      <c r="BE546" s="185"/>
    </row>
    <row r="547">
      <c r="A547" s="152"/>
      <c r="B547" s="152"/>
      <c r="C547" s="152"/>
      <c r="D547" s="152" t="s">
        <v>4176</v>
      </c>
      <c r="E547" s="152" t="s">
        <v>4177</v>
      </c>
      <c r="F547" s="152"/>
      <c r="G547" s="152" t="s">
        <v>4178</v>
      </c>
      <c r="H547" s="152" t="s">
        <v>4179</v>
      </c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7" t="s">
        <v>4180</v>
      </c>
      <c r="Z547" s="157" t="s">
        <v>4181</v>
      </c>
      <c r="AA547" s="152"/>
      <c r="AB547" s="152"/>
      <c r="AC547" s="152"/>
      <c r="AD547" s="152"/>
      <c r="AE547" s="185"/>
      <c r="AF547" s="185"/>
      <c r="AG547" s="185"/>
      <c r="AH547" s="185"/>
      <c r="AI547" s="185"/>
      <c r="AJ547" s="185"/>
      <c r="AK547" s="185"/>
      <c r="AL547" s="185"/>
      <c r="AM547" s="185"/>
      <c r="AN547" s="185"/>
      <c r="AO547" s="185"/>
      <c r="AP547" s="185"/>
      <c r="AQ547" s="185"/>
      <c r="AR547" s="185"/>
      <c r="AS547" s="185"/>
      <c r="AT547" s="185"/>
      <c r="AU547" s="185"/>
      <c r="AV547" s="185"/>
      <c r="AW547" s="185"/>
      <c r="AX547" s="185"/>
      <c r="AY547" s="185"/>
      <c r="AZ547" s="185"/>
      <c r="BA547" s="185"/>
      <c r="BB547" s="185"/>
      <c r="BC547" s="185"/>
      <c r="BD547" s="185"/>
      <c r="BE547" s="185"/>
    </row>
    <row r="548">
      <c r="A548" s="152"/>
      <c r="B548" s="152"/>
      <c r="C548" s="152"/>
      <c r="D548" s="152" t="s">
        <v>4182</v>
      </c>
      <c r="E548" s="152" t="s">
        <v>4183</v>
      </c>
      <c r="F548" s="152" t="s">
        <v>806</v>
      </c>
      <c r="G548" s="163" t="s">
        <v>4184</v>
      </c>
      <c r="H548" s="152" t="s">
        <v>4185</v>
      </c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7" t="s">
        <v>4186</v>
      </c>
      <c r="Z548" s="157" t="s">
        <v>4187</v>
      </c>
      <c r="AA548" s="152"/>
      <c r="AB548" s="152"/>
      <c r="AC548" s="152"/>
      <c r="AD548" s="152"/>
      <c r="AE548" s="185"/>
      <c r="AF548" s="185"/>
      <c r="AG548" s="185"/>
      <c r="AH548" s="185"/>
      <c r="AI548" s="185"/>
      <c r="AJ548" s="185"/>
      <c r="AK548" s="185"/>
      <c r="AL548" s="185"/>
      <c r="AM548" s="185"/>
      <c r="AN548" s="185"/>
      <c r="AO548" s="185"/>
      <c r="AP548" s="185"/>
      <c r="AQ548" s="185"/>
      <c r="AR548" s="185"/>
      <c r="AS548" s="185"/>
      <c r="AT548" s="185"/>
      <c r="AU548" s="185"/>
      <c r="AV548" s="185"/>
      <c r="AW548" s="185"/>
      <c r="AX548" s="185"/>
      <c r="AY548" s="185"/>
      <c r="AZ548" s="185"/>
      <c r="BA548" s="185"/>
      <c r="BB548" s="185"/>
      <c r="BC548" s="185"/>
      <c r="BD548" s="185"/>
      <c r="BE548" s="185"/>
    </row>
    <row r="549">
      <c r="A549" s="152"/>
      <c r="B549" s="152"/>
      <c r="C549" s="152"/>
      <c r="D549" s="152" t="s">
        <v>4188</v>
      </c>
      <c r="E549" s="152" t="s">
        <v>4189</v>
      </c>
      <c r="F549" s="152" t="s">
        <v>830</v>
      </c>
      <c r="G549" s="163" t="s">
        <v>4190</v>
      </c>
      <c r="H549" s="152" t="s">
        <v>4191</v>
      </c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 t="s">
        <v>196</v>
      </c>
      <c r="Z549" s="152" t="s">
        <v>4192</v>
      </c>
      <c r="AA549" s="152"/>
      <c r="AB549" s="152"/>
      <c r="AC549" s="152"/>
      <c r="AD549" s="152"/>
      <c r="AE549" s="185"/>
      <c r="AF549" s="185"/>
      <c r="AG549" s="185"/>
      <c r="AH549" s="185"/>
      <c r="AI549" s="185"/>
      <c r="AJ549" s="185"/>
      <c r="AK549" s="185"/>
      <c r="AL549" s="185"/>
      <c r="AM549" s="185"/>
      <c r="AN549" s="185"/>
      <c r="AO549" s="185"/>
      <c r="AP549" s="185"/>
      <c r="AQ549" s="185"/>
      <c r="AR549" s="185"/>
      <c r="AS549" s="185"/>
      <c r="AT549" s="185"/>
      <c r="AU549" s="185"/>
      <c r="AV549" s="185"/>
      <c r="AW549" s="185"/>
      <c r="AX549" s="185"/>
      <c r="AY549" s="185"/>
      <c r="AZ549" s="185"/>
      <c r="BA549" s="185"/>
      <c r="BB549" s="185"/>
      <c r="BC549" s="185"/>
      <c r="BD549" s="185"/>
      <c r="BE549" s="185"/>
    </row>
    <row r="550">
      <c r="A550" s="152"/>
      <c r="B550" s="152"/>
      <c r="C550" s="152"/>
      <c r="D550" s="152" t="s">
        <v>4193</v>
      </c>
      <c r="E550" s="152" t="s">
        <v>4194</v>
      </c>
      <c r="F550" s="152" t="s">
        <v>939</v>
      </c>
      <c r="G550" s="163" t="s">
        <v>4195</v>
      </c>
      <c r="H550" s="152" t="s">
        <v>4196</v>
      </c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7" t="s">
        <v>4197</v>
      </c>
      <c r="Z550" s="152" t="s">
        <v>4198</v>
      </c>
      <c r="AA550" s="152"/>
      <c r="AB550" s="152"/>
      <c r="AC550" s="152"/>
      <c r="AD550" s="152"/>
      <c r="AE550" s="185"/>
      <c r="AF550" s="185"/>
      <c r="AG550" s="185"/>
      <c r="AH550" s="185"/>
      <c r="AI550" s="185"/>
      <c r="AJ550" s="185"/>
      <c r="AK550" s="185"/>
      <c r="AL550" s="185"/>
      <c r="AM550" s="185"/>
      <c r="AN550" s="185"/>
      <c r="AO550" s="185"/>
      <c r="AP550" s="185"/>
      <c r="AQ550" s="185"/>
      <c r="AR550" s="185"/>
      <c r="AS550" s="185"/>
      <c r="AT550" s="185"/>
      <c r="AU550" s="185"/>
      <c r="AV550" s="185"/>
      <c r="AW550" s="185"/>
      <c r="AX550" s="185"/>
      <c r="AY550" s="185"/>
      <c r="AZ550" s="185"/>
      <c r="BA550" s="185"/>
      <c r="BB550" s="185"/>
      <c r="BC550" s="185"/>
      <c r="BD550" s="185"/>
      <c r="BE550" s="185"/>
    </row>
    <row r="551">
      <c r="A551" s="152"/>
      <c r="B551" s="152"/>
      <c r="C551" s="152"/>
      <c r="D551" s="152" t="s">
        <v>4199</v>
      </c>
      <c r="E551" s="152" t="s">
        <v>4200</v>
      </c>
      <c r="F551" s="152" t="s">
        <v>332</v>
      </c>
      <c r="G551" s="152" t="s">
        <v>4201</v>
      </c>
      <c r="H551" s="152" t="s">
        <v>4202</v>
      </c>
      <c r="I551" s="152" t="s">
        <v>486</v>
      </c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7" t="s">
        <v>4203</v>
      </c>
      <c r="Z551" s="157" t="s">
        <v>4204</v>
      </c>
      <c r="AA551" s="152"/>
      <c r="AB551" s="152"/>
      <c r="AC551" s="152"/>
      <c r="AD551" s="152"/>
      <c r="AE551" s="185"/>
      <c r="AF551" s="185"/>
      <c r="AG551" s="185"/>
      <c r="AH551" s="185"/>
      <c r="AI551" s="185"/>
      <c r="AJ551" s="185"/>
      <c r="AK551" s="185"/>
      <c r="AL551" s="185"/>
      <c r="AM551" s="185"/>
      <c r="AN551" s="185"/>
      <c r="AO551" s="185"/>
      <c r="AP551" s="185"/>
      <c r="AQ551" s="185"/>
      <c r="AR551" s="185"/>
      <c r="AS551" s="185"/>
      <c r="AT551" s="185"/>
      <c r="AU551" s="185"/>
      <c r="AV551" s="185"/>
      <c r="AW551" s="185"/>
      <c r="AX551" s="185"/>
      <c r="AY551" s="185"/>
      <c r="AZ551" s="185"/>
      <c r="BA551" s="185"/>
      <c r="BB551" s="185"/>
      <c r="BC551" s="185"/>
      <c r="BD551" s="185"/>
      <c r="BE551" s="185"/>
    </row>
    <row r="552">
      <c r="A552" s="152"/>
      <c r="B552" s="152"/>
      <c r="C552" s="152"/>
      <c r="D552" s="152" t="s">
        <v>4205</v>
      </c>
      <c r="E552" s="152" t="s">
        <v>4206</v>
      </c>
      <c r="F552" s="152" t="s">
        <v>332</v>
      </c>
      <c r="G552" s="152" t="s">
        <v>4207</v>
      </c>
      <c r="H552" s="152" t="s">
        <v>4208</v>
      </c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7" t="s">
        <v>4209</v>
      </c>
      <c r="Z552" s="157" t="s">
        <v>4210</v>
      </c>
      <c r="AA552" s="152"/>
      <c r="AB552" s="152"/>
      <c r="AC552" s="152"/>
      <c r="AD552" s="152"/>
      <c r="AE552" s="185"/>
      <c r="AF552" s="185"/>
      <c r="AG552" s="185"/>
      <c r="AH552" s="185"/>
      <c r="AI552" s="185"/>
      <c r="AJ552" s="185"/>
      <c r="AK552" s="185"/>
      <c r="AL552" s="185"/>
      <c r="AM552" s="185"/>
      <c r="AN552" s="185"/>
      <c r="AO552" s="185"/>
      <c r="AP552" s="185"/>
      <c r="AQ552" s="185"/>
      <c r="AR552" s="185"/>
      <c r="AS552" s="185"/>
      <c r="AT552" s="185"/>
      <c r="AU552" s="185"/>
      <c r="AV552" s="185"/>
      <c r="AW552" s="185"/>
      <c r="AX552" s="185"/>
      <c r="AY552" s="185"/>
      <c r="AZ552" s="185"/>
      <c r="BA552" s="185"/>
      <c r="BB552" s="185"/>
      <c r="BC552" s="185"/>
      <c r="BD552" s="185"/>
      <c r="BE552" s="185"/>
    </row>
    <row r="553">
      <c r="A553" s="152"/>
      <c r="B553" s="152"/>
      <c r="C553" s="152"/>
      <c r="D553" s="152" t="s">
        <v>4211</v>
      </c>
      <c r="E553" s="152" t="s">
        <v>4212</v>
      </c>
      <c r="F553" s="152" t="s">
        <v>394</v>
      </c>
      <c r="G553" s="152" t="s">
        <v>4213</v>
      </c>
      <c r="H553" s="152" t="s">
        <v>4214</v>
      </c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7" t="s">
        <v>4215</v>
      </c>
      <c r="Z553" s="152" t="s">
        <v>4216</v>
      </c>
      <c r="AA553" s="152"/>
      <c r="AB553" s="152"/>
      <c r="AC553" s="152"/>
      <c r="AD553" s="152"/>
      <c r="AE553" s="185"/>
      <c r="AF553" s="185"/>
      <c r="AG553" s="185"/>
      <c r="AH553" s="185"/>
      <c r="AI553" s="185"/>
      <c r="AJ553" s="185"/>
      <c r="AK553" s="185"/>
      <c r="AL553" s="185"/>
      <c r="AM553" s="185"/>
      <c r="AN553" s="185"/>
      <c r="AO553" s="185"/>
      <c r="AP553" s="185"/>
      <c r="AQ553" s="185"/>
      <c r="AR553" s="185"/>
      <c r="AS553" s="185"/>
      <c r="AT553" s="185"/>
      <c r="AU553" s="185"/>
      <c r="AV553" s="185"/>
      <c r="AW553" s="185"/>
      <c r="AX553" s="185"/>
      <c r="AY553" s="185"/>
      <c r="AZ553" s="185"/>
      <c r="BA553" s="185"/>
      <c r="BB553" s="185"/>
      <c r="BC553" s="185"/>
      <c r="BD553" s="185"/>
      <c r="BE553" s="185"/>
    </row>
    <row r="554">
      <c r="A554" s="152"/>
      <c r="B554" s="152"/>
      <c r="C554" s="152"/>
      <c r="D554" s="152" t="s">
        <v>4217</v>
      </c>
      <c r="E554" s="152" t="s">
        <v>4218</v>
      </c>
      <c r="F554" s="152" t="s">
        <v>4219</v>
      </c>
      <c r="G554" s="152" t="s">
        <v>4220</v>
      </c>
      <c r="H554" s="152" t="s">
        <v>4221</v>
      </c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7" t="s">
        <v>4222</v>
      </c>
      <c r="Z554" s="157" t="s">
        <v>4223</v>
      </c>
      <c r="AA554" s="152"/>
      <c r="AB554" s="152"/>
      <c r="AC554" s="152"/>
      <c r="AD554" s="152"/>
      <c r="AE554" s="185"/>
      <c r="AF554" s="185"/>
      <c r="AG554" s="185"/>
      <c r="AH554" s="185"/>
      <c r="AI554" s="185"/>
      <c r="AJ554" s="185"/>
      <c r="AK554" s="185"/>
      <c r="AL554" s="185"/>
      <c r="AM554" s="185"/>
      <c r="AN554" s="185"/>
      <c r="AO554" s="185"/>
      <c r="AP554" s="185"/>
      <c r="AQ554" s="185"/>
      <c r="AR554" s="185"/>
      <c r="AS554" s="185"/>
      <c r="AT554" s="185"/>
      <c r="AU554" s="185"/>
      <c r="AV554" s="185"/>
      <c r="AW554" s="185"/>
      <c r="AX554" s="185"/>
      <c r="AY554" s="185"/>
      <c r="AZ554" s="185"/>
      <c r="BA554" s="185"/>
      <c r="BB554" s="185"/>
      <c r="BC554" s="185"/>
      <c r="BD554" s="185"/>
      <c r="BE554" s="185"/>
    </row>
    <row r="555">
      <c r="A555" s="152"/>
      <c r="B555" s="152"/>
      <c r="C555" s="152"/>
      <c r="D555" s="152" t="s">
        <v>4224</v>
      </c>
      <c r="E555" s="152" t="s">
        <v>4225</v>
      </c>
      <c r="F555" s="152" t="s">
        <v>332</v>
      </c>
      <c r="G555" s="152" t="s">
        <v>4226</v>
      </c>
      <c r="H555" s="152" t="s">
        <v>4227</v>
      </c>
      <c r="I555" s="152" t="s">
        <v>486</v>
      </c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7" t="s">
        <v>4228</v>
      </c>
      <c r="Z555" s="157" t="s">
        <v>4229</v>
      </c>
      <c r="AA555" s="152"/>
      <c r="AB555" s="152"/>
      <c r="AC555" s="152"/>
      <c r="AD555" s="152"/>
      <c r="AE555" s="185"/>
      <c r="AF555" s="185"/>
      <c r="AG555" s="185"/>
      <c r="AH555" s="185"/>
      <c r="AI555" s="185"/>
      <c r="AJ555" s="185"/>
      <c r="AK555" s="185"/>
      <c r="AL555" s="185"/>
      <c r="AM555" s="185"/>
      <c r="AN555" s="185"/>
      <c r="AO555" s="185"/>
      <c r="AP555" s="185"/>
      <c r="AQ555" s="185"/>
      <c r="AR555" s="185"/>
      <c r="AS555" s="185"/>
      <c r="AT555" s="185"/>
      <c r="AU555" s="185"/>
      <c r="AV555" s="185"/>
      <c r="AW555" s="185"/>
      <c r="AX555" s="185"/>
      <c r="AY555" s="185"/>
      <c r="AZ555" s="185"/>
      <c r="BA555" s="185"/>
      <c r="BB555" s="185"/>
      <c r="BC555" s="185"/>
      <c r="BD555" s="185"/>
      <c r="BE555" s="185"/>
    </row>
    <row r="556">
      <c r="A556" s="152"/>
      <c r="B556" s="152"/>
      <c r="C556" s="152"/>
      <c r="D556" s="152" t="s">
        <v>4230</v>
      </c>
      <c r="E556" s="152" t="s">
        <v>4231</v>
      </c>
      <c r="F556" s="152" t="s">
        <v>363</v>
      </c>
      <c r="G556" s="152" t="s">
        <v>4232</v>
      </c>
      <c r="H556" s="152" t="s">
        <v>4232</v>
      </c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 t="s">
        <v>4233</v>
      </c>
      <c r="Z556" s="152" t="s">
        <v>4234</v>
      </c>
      <c r="AA556" s="152"/>
      <c r="AB556" s="152"/>
      <c r="AC556" s="152"/>
      <c r="AD556" s="152"/>
      <c r="AE556" s="185"/>
      <c r="AF556" s="185"/>
      <c r="AG556" s="185"/>
      <c r="AH556" s="185"/>
      <c r="AI556" s="185"/>
      <c r="AJ556" s="185"/>
      <c r="AK556" s="185"/>
      <c r="AL556" s="185"/>
      <c r="AM556" s="185"/>
      <c r="AN556" s="185"/>
      <c r="AO556" s="185"/>
      <c r="AP556" s="185"/>
      <c r="AQ556" s="185"/>
      <c r="AR556" s="185"/>
      <c r="AS556" s="185"/>
      <c r="AT556" s="185"/>
      <c r="AU556" s="185"/>
      <c r="AV556" s="185"/>
      <c r="AW556" s="185"/>
      <c r="AX556" s="185"/>
      <c r="AY556" s="185"/>
      <c r="AZ556" s="185"/>
      <c r="BA556" s="185"/>
      <c r="BB556" s="185"/>
      <c r="BC556" s="185"/>
      <c r="BD556" s="185"/>
      <c r="BE556" s="185"/>
    </row>
    <row r="557">
      <c r="A557" s="152"/>
      <c r="B557" s="152"/>
      <c r="C557" s="152"/>
      <c r="D557" s="152" t="s">
        <v>4235</v>
      </c>
      <c r="E557" s="152" t="s">
        <v>4236</v>
      </c>
      <c r="F557" s="152" t="s">
        <v>394</v>
      </c>
      <c r="G557" s="152" t="s">
        <v>4237</v>
      </c>
      <c r="H557" s="152" t="s">
        <v>4238</v>
      </c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 t="s">
        <v>4239</v>
      </c>
      <c r="Z557" s="152" t="s">
        <v>4240</v>
      </c>
      <c r="AA557" s="152"/>
      <c r="AB557" s="152"/>
      <c r="AC557" s="152"/>
      <c r="AD557" s="152"/>
      <c r="AE557" s="185"/>
      <c r="AF557" s="185"/>
      <c r="AG557" s="185"/>
      <c r="AH557" s="185"/>
      <c r="AI557" s="185"/>
      <c r="AJ557" s="185"/>
      <c r="AK557" s="185"/>
      <c r="AL557" s="185"/>
      <c r="AM557" s="185"/>
      <c r="AN557" s="185"/>
      <c r="AO557" s="185"/>
      <c r="AP557" s="185"/>
      <c r="AQ557" s="185"/>
      <c r="AR557" s="185"/>
      <c r="AS557" s="185"/>
      <c r="AT557" s="185"/>
      <c r="AU557" s="185"/>
      <c r="AV557" s="185"/>
      <c r="AW557" s="185"/>
      <c r="AX557" s="185"/>
      <c r="AY557" s="185"/>
      <c r="AZ557" s="185"/>
      <c r="BA557" s="185"/>
      <c r="BB557" s="185"/>
      <c r="BC557" s="185"/>
      <c r="BD557" s="185"/>
      <c r="BE557" s="185"/>
    </row>
    <row r="558">
      <c r="A558" s="152"/>
      <c r="B558" s="152"/>
      <c r="C558" s="152"/>
      <c r="D558" s="152" t="s">
        <v>4241</v>
      </c>
      <c r="E558" s="152" t="s">
        <v>4242</v>
      </c>
      <c r="F558" s="152" t="s">
        <v>332</v>
      </c>
      <c r="G558" s="152" t="s">
        <v>4243</v>
      </c>
      <c r="H558" s="152" t="s">
        <v>4244</v>
      </c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7" t="s">
        <v>4245</v>
      </c>
      <c r="Z558" s="152" t="s">
        <v>4246</v>
      </c>
      <c r="AA558" s="152"/>
      <c r="AB558" s="152"/>
      <c r="AC558" s="152"/>
      <c r="AD558" s="152"/>
      <c r="AE558" s="185"/>
      <c r="AF558" s="185"/>
      <c r="AG558" s="185"/>
      <c r="AH558" s="185"/>
      <c r="AI558" s="185"/>
      <c r="AJ558" s="185"/>
      <c r="AK558" s="185"/>
      <c r="AL558" s="185"/>
      <c r="AM558" s="185"/>
      <c r="AN558" s="185"/>
      <c r="AO558" s="185"/>
      <c r="AP558" s="185"/>
      <c r="AQ558" s="185"/>
      <c r="AR558" s="185"/>
      <c r="AS558" s="185"/>
      <c r="AT558" s="185"/>
      <c r="AU558" s="185"/>
      <c r="AV558" s="185"/>
      <c r="AW558" s="185"/>
      <c r="AX558" s="185"/>
      <c r="AY558" s="185"/>
      <c r="AZ558" s="185"/>
      <c r="BA558" s="185"/>
      <c r="BB558" s="185"/>
      <c r="BC558" s="185"/>
      <c r="BD558" s="185"/>
      <c r="BE558" s="185"/>
    </row>
    <row r="559">
      <c r="A559" s="152"/>
      <c r="B559" s="152"/>
      <c r="C559" s="152"/>
      <c r="D559" s="152" t="s">
        <v>4247</v>
      </c>
      <c r="E559" s="152" t="s">
        <v>4248</v>
      </c>
      <c r="F559" s="152"/>
      <c r="G559" s="152" t="s">
        <v>4249</v>
      </c>
      <c r="H559" s="152" t="s">
        <v>4250</v>
      </c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7" t="s">
        <v>4251</v>
      </c>
      <c r="Z559" s="152" t="s">
        <v>4252</v>
      </c>
      <c r="AA559" s="152"/>
      <c r="AB559" s="152"/>
      <c r="AC559" s="152"/>
      <c r="AD559" s="152"/>
      <c r="AE559" s="185"/>
      <c r="AF559" s="185"/>
      <c r="AG559" s="185"/>
      <c r="AH559" s="185"/>
      <c r="AI559" s="185"/>
      <c r="AJ559" s="185"/>
      <c r="AK559" s="185"/>
      <c r="AL559" s="185"/>
      <c r="AM559" s="185"/>
      <c r="AN559" s="185"/>
      <c r="AO559" s="185"/>
      <c r="AP559" s="185"/>
      <c r="AQ559" s="185"/>
      <c r="AR559" s="185"/>
      <c r="AS559" s="185"/>
      <c r="AT559" s="185"/>
      <c r="AU559" s="185"/>
      <c r="AV559" s="185"/>
      <c r="AW559" s="185"/>
      <c r="AX559" s="185"/>
      <c r="AY559" s="185"/>
      <c r="AZ559" s="185"/>
      <c r="BA559" s="185"/>
      <c r="BB559" s="185"/>
      <c r="BC559" s="185"/>
      <c r="BD559" s="185"/>
      <c r="BE559" s="185"/>
    </row>
    <row r="560">
      <c r="A560" s="152"/>
      <c r="B560" s="152"/>
      <c r="C560" s="152"/>
      <c r="D560" s="152" t="s">
        <v>4253</v>
      </c>
      <c r="E560" s="152" t="s">
        <v>4254</v>
      </c>
      <c r="F560" s="152" t="s">
        <v>332</v>
      </c>
      <c r="G560" s="152" t="s">
        <v>4255</v>
      </c>
      <c r="H560" s="152" t="s">
        <v>4256</v>
      </c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7" t="s">
        <v>4257</v>
      </c>
      <c r="Z560" s="157" t="s">
        <v>4258</v>
      </c>
      <c r="AA560" s="152"/>
      <c r="AB560" s="152"/>
      <c r="AC560" s="152"/>
      <c r="AD560" s="152"/>
      <c r="AE560" s="185"/>
      <c r="AF560" s="185"/>
      <c r="AG560" s="185"/>
      <c r="AH560" s="185"/>
      <c r="AI560" s="185"/>
      <c r="AJ560" s="185"/>
      <c r="AK560" s="185"/>
      <c r="AL560" s="185"/>
      <c r="AM560" s="185"/>
      <c r="AN560" s="185"/>
      <c r="AO560" s="185"/>
      <c r="AP560" s="185"/>
      <c r="AQ560" s="185"/>
      <c r="AR560" s="185"/>
      <c r="AS560" s="185"/>
      <c r="AT560" s="185"/>
      <c r="AU560" s="185"/>
      <c r="AV560" s="185"/>
      <c r="AW560" s="185"/>
      <c r="AX560" s="185"/>
      <c r="AY560" s="185"/>
      <c r="AZ560" s="185"/>
      <c r="BA560" s="185"/>
      <c r="BB560" s="185"/>
      <c r="BC560" s="185"/>
      <c r="BD560" s="185"/>
      <c r="BE560" s="185"/>
    </row>
    <row r="561">
      <c r="A561" s="152"/>
      <c r="B561" s="152"/>
      <c r="C561" s="152"/>
      <c r="D561" s="152" t="s">
        <v>4259</v>
      </c>
      <c r="E561" s="152" t="s">
        <v>923</v>
      </c>
      <c r="F561" s="152" t="s">
        <v>939</v>
      </c>
      <c r="G561" s="163" t="s">
        <v>4260</v>
      </c>
      <c r="H561" s="152" t="s">
        <v>4261</v>
      </c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7" t="s">
        <v>4262</v>
      </c>
      <c r="Z561" s="157" t="s">
        <v>4263</v>
      </c>
      <c r="AA561" s="152"/>
      <c r="AB561" s="152"/>
      <c r="AC561" s="152"/>
      <c r="AD561" s="152"/>
      <c r="AE561" s="185"/>
      <c r="AF561" s="185"/>
      <c r="AG561" s="185"/>
      <c r="AH561" s="185"/>
      <c r="AI561" s="185"/>
      <c r="AJ561" s="185"/>
      <c r="AK561" s="185"/>
      <c r="AL561" s="185"/>
      <c r="AM561" s="185"/>
      <c r="AN561" s="185"/>
      <c r="AO561" s="185"/>
      <c r="AP561" s="185"/>
      <c r="AQ561" s="185"/>
      <c r="AR561" s="185"/>
      <c r="AS561" s="185"/>
      <c r="AT561" s="185"/>
      <c r="AU561" s="185"/>
      <c r="AV561" s="185"/>
      <c r="AW561" s="185"/>
      <c r="AX561" s="185"/>
      <c r="AY561" s="185"/>
      <c r="AZ561" s="185"/>
      <c r="BA561" s="185"/>
      <c r="BB561" s="185"/>
      <c r="BC561" s="185"/>
      <c r="BD561" s="185"/>
      <c r="BE561" s="185"/>
    </row>
    <row r="562">
      <c r="A562" s="152"/>
      <c r="B562" s="152"/>
      <c r="C562" s="152"/>
      <c r="D562" s="152" t="s">
        <v>4264</v>
      </c>
      <c r="E562" s="152" t="s">
        <v>923</v>
      </c>
      <c r="F562" s="152" t="s">
        <v>332</v>
      </c>
      <c r="G562" s="152" t="s">
        <v>4265</v>
      </c>
      <c r="H562" s="152" t="s">
        <v>4266</v>
      </c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7" t="s">
        <v>4267</v>
      </c>
      <c r="Z562" s="157" t="s">
        <v>4268</v>
      </c>
      <c r="AA562" s="152"/>
      <c r="AB562" s="152"/>
      <c r="AC562" s="152"/>
      <c r="AD562" s="152"/>
      <c r="AE562" s="185"/>
      <c r="AF562" s="185"/>
      <c r="AG562" s="185"/>
      <c r="AH562" s="185"/>
      <c r="AI562" s="185"/>
      <c r="AJ562" s="185"/>
      <c r="AK562" s="185"/>
      <c r="AL562" s="185"/>
      <c r="AM562" s="185"/>
      <c r="AN562" s="185"/>
      <c r="AO562" s="185"/>
      <c r="AP562" s="185"/>
      <c r="AQ562" s="185"/>
      <c r="AR562" s="185"/>
      <c r="AS562" s="185"/>
      <c r="AT562" s="185"/>
      <c r="AU562" s="185"/>
      <c r="AV562" s="185"/>
      <c r="AW562" s="185"/>
      <c r="AX562" s="185"/>
      <c r="AY562" s="185"/>
      <c r="AZ562" s="185"/>
      <c r="BA562" s="185"/>
      <c r="BB562" s="185"/>
      <c r="BC562" s="185"/>
      <c r="BD562" s="185"/>
      <c r="BE562" s="185"/>
    </row>
    <row r="563">
      <c r="A563" s="152"/>
      <c r="B563" s="152"/>
      <c r="C563" s="152"/>
      <c r="D563" s="152" t="s">
        <v>4269</v>
      </c>
      <c r="E563" s="152" t="s">
        <v>4270</v>
      </c>
      <c r="F563" s="152" t="s">
        <v>806</v>
      </c>
      <c r="G563" s="163" t="s">
        <v>4271</v>
      </c>
      <c r="H563" s="152" t="s">
        <v>4272</v>
      </c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7" t="s">
        <v>4273</v>
      </c>
      <c r="Z563" s="157" t="s">
        <v>4274</v>
      </c>
      <c r="AA563" s="152"/>
      <c r="AB563" s="152"/>
      <c r="AC563" s="152"/>
      <c r="AD563" s="152"/>
      <c r="AE563" s="185"/>
      <c r="AF563" s="185"/>
      <c r="AG563" s="185"/>
      <c r="AH563" s="185"/>
      <c r="AI563" s="185"/>
      <c r="AJ563" s="185"/>
      <c r="AK563" s="185"/>
      <c r="AL563" s="185"/>
      <c r="AM563" s="185"/>
      <c r="AN563" s="185"/>
      <c r="AO563" s="185"/>
      <c r="AP563" s="185"/>
      <c r="AQ563" s="185"/>
      <c r="AR563" s="185"/>
      <c r="AS563" s="185"/>
      <c r="AT563" s="185"/>
      <c r="AU563" s="185"/>
      <c r="AV563" s="185"/>
      <c r="AW563" s="185"/>
      <c r="AX563" s="185"/>
      <c r="AY563" s="185"/>
      <c r="AZ563" s="185"/>
      <c r="BA563" s="185"/>
      <c r="BB563" s="185"/>
      <c r="BC563" s="185"/>
      <c r="BD563" s="185"/>
      <c r="BE563" s="185"/>
    </row>
    <row r="564">
      <c r="A564" s="152"/>
      <c r="B564" s="152"/>
      <c r="C564" s="152"/>
      <c r="D564" s="152" t="s">
        <v>4275</v>
      </c>
      <c r="E564" s="152" t="s">
        <v>4276</v>
      </c>
      <c r="F564" s="152" t="s">
        <v>1988</v>
      </c>
      <c r="G564" s="163" t="s">
        <v>4277</v>
      </c>
      <c r="H564" s="152" t="s">
        <v>4278</v>
      </c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7" t="s">
        <v>4279</v>
      </c>
      <c r="Z564" s="157" t="s">
        <v>4280</v>
      </c>
      <c r="AA564" s="152"/>
      <c r="AB564" s="152"/>
      <c r="AC564" s="152"/>
      <c r="AD564" s="152"/>
      <c r="AE564" s="185"/>
      <c r="AF564" s="185"/>
      <c r="AG564" s="185"/>
      <c r="AH564" s="185"/>
      <c r="AI564" s="185"/>
      <c r="AJ564" s="185"/>
      <c r="AK564" s="185"/>
      <c r="AL564" s="185"/>
      <c r="AM564" s="185"/>
      <c r="AN564" s="185"/>
      <c r="AO564" s="185"/>
      <c r="AP564" s="185"/>
      <c r="AQ564" s="185"/>
      <c r="AR564" s="185"/>
      <c r="AS564" s="185"/>
      <c r="AT564" s="185"/>
      <c r="AU564" s="185"/>
      <c r="AV564" s="185"/>
      <c r="AW564" s="185"/>
      <c r="AX564" s="185"/>
      <c r="AY564" s="185"/>
      <c r="AZ564" s="185"/>
      <c r="BA564" s="185"/>
      <c r="BB564" s="185"/>
      <c r="BC564" s="185"/>
      <c r="BD564" s="185"/>
      <c r="BE564" s="185"/>
    </row>
    <row r="565">
      <c r="A565" s="152"/>
      <c r="B565" s="152"/>
      <c r="C565" s="152"/>
      <c r="D565" s="152" t="s">
        <v>4281</v>
      </c>
      <c r="E565" s="152" t="s">
        <v>4282</v>
      </c>
      <c r="F565" s="152" t="s">
        <v>332</v>
      </c>
      <c r="G565" s="152" t="s">
        <v>4283</v>
      </c>
      <c r="H565" s="152" t="s">
        <v>4284</v>
      </c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7" t="s">
        <v>4285</v>
      </c>
      <c r="Z565" s="152" t="s">
        <v>4286</v>
      </c>
      <c r="AA565" s="152"/>
      <c r="AB565" s="152"/>
      <c r="AC565" s="152"/>
      <c r="AD565" s="152"/>
      <c r="AE565" s="185"/>
      <c r="AF565" s="185"/>
      <c r="AG565" s="185"/>
      <c r="AH565" s="185"/>
      <c r="AI565" s="185"/>
      <c r="AJ565" s="185"/>
      <c r="AK565" s="185"/>
      <c r="AL565" s="185"/>
      <c r="AM565" s="185"/>
      <c r="AN565" s="185"/>
      <c r="AO565" s="185"/>
      <c r="AP565" s="185"/>
      <c r="AQ565" s="185"/>
      <c r="AR565" s="185"/>
      <c r="AS565" s="185"/>
      <c r="AT565" s="185"/>
      <c r="AU565" s="185"/>
      <c r="AV565" s="185"/>
      <c r="AW565" s="185"/>
      <c r="AX565" s="185"/>
      <c r="AY565" s="185"/>
      <c r="AZ565" s="185"/>
      <c r="BA565" s="185"/>
      <c r="BB565" s="185"/>
      <c r="BC565" s="185"/>
      <c r="BD565" s="185"/>
      <c r="BE565" s="185"/>
    </row>
    <row r="566">
      <c r="A566" s="152"/>
      <c r="B566" s="152"/>
      <c r="C566" s="152"/>
      <c r="D566" s="152" t="s">
        <v>4287</v>
      </c>
      <c r="E566" s="152" t="s">
        <v>4288</v>
      </c>
      <c r="F566" s="152" t="s">
        <v>332</v>
      </c>
      <c r="G566" s="152" t="s">
        <v>4289</v>
      </c>
      <c r="H566" s="152" t="s">
        <v>4290</v>
      </c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7" t="s">
        <v>4291</v>
      </c>
      <c r="Z566" s="157" t="s">
        <v>4292</v>
      </c>
      <c r="AA566" s="152"/>
      <c r="AB566" s="152"/>
      <c r="AC566" s="152"/>
      <c r="AD566" s="152"/>
      <c r="AE566" s="185"/>
      <c r="AF566" s="185"/>
      <c r="AG566" s="185"/>
      <c r="AH566" s="185"/>
      <c r="AI566" s="185"/>
      <c r="AJ566" s="185"/>
      <c r="AK566" s="185"/>
      <c r="AL566" s="185"/>
      <c r="AM566" s="185"/>
      <c r="AN566" s="185"/>
      <c r="AO566" s="185"/>
      <c r="AP566" s="185"/>
      <c r="AQ566" s="185"/>
      <c r="AR566" s="185"/>
      <c r="AS566" s="185"/>
      <c r="AT566" s="185"/>
      <c r="AU566" s="185"/>
      <c r="AV566" s="185"/>
      <c r="AW566" s="185"/>
      <c r="AX566" s="185"/>
      <c r="AY566" s="185"/>
      <c r="AZ566" s="185"/>
      <c r="BA566" s="185"/>
      <c r="BB566" s="185"/>
      <c r="BC566" s="185"/>
      <c r="BD566" s="185"/>
      <c r="BE566" s="185"/>
    </row>
    <row r="567">
      <c r="A567" s="152"/>
      <c r="B567" s="152"/>
      <c r="C567" s="152"/>
      <c r="D567" s="152" t="s">
        <v>4293</v>
      </c>
      <c r="E567" s="152" t="s">
        <v>4294</v>
      </c>
      <c r="F567" s="152" t="s">
        <v>1004</v>
      </c>
      <c r="G567" s="152" t="s">
        <v>4295</v>
      </c>
      <c r="H567" s="152" t="s">
        <v>4296</v>
      </c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7" t="s">
        <v>4297</v>
      </c>
      <c r="Z567" s="157" t="s">
        <v>4298</v>
      </c>
      <c r="AA567" s="152"/>
      <c r="AB567" s="152"/>
      <c r="AC567" s="152"/>
      <c r="AD567" s="152"/>
      <c r="AE567" s="185"/>
      <c r="AF567" s="185"/>
      <c r="AG567" s="185"/>
      <c r="AH567" s="185"/>
      <c r="AI567" s="185"/>
      <c r="AJ567" s="185"/>
      <c r="AK567" s="185"/>
      <c r="AL567" s="185"/>
      <c r="AM567" s="185"/>
      <c r="AN567" s="185"/>
      <c r="AO567" s="185"/>
      <c r="AP567" s="185"/>
      <c r="AQ567" s="185"/>
      <c r="AR567" s="185"/>
      <c r="AS567" s="185"/>
      <c r="AT567" s="185"/>
      <c r="AU567" s="185"/>
      <c r="AV567" s="185"/>
      <c r="AW567" s="185"/>
      <c r="AX567" s="185"/>
      <c r="AY567" s="185"/>
      <c r="AZ567" s="185"/>
      <c r="BA567" s="185"/>
      <c r="BB567" s="185"/>
      <c r="BC567" s="185"/>
      <c r="BD567" s="185"/>
      <c r="BE567" s="185"/>
    </row>
    <row r="568">
      <c r="A568" s="152"/>
      <c r="B568" s="152"/>
      <c r="C568" s="152"/>
      <c r="D568" s="152" t="s">
        <v>4299</v>
      </c>
      <c r="E568" s="152" t="s">
        <v>4300</v>
      </c>
      <c r="F568" s="152" t="s">
        <v>2002</v>
      </c>
      <c r="G568" s="152" t="s">
        <v>4301</v>
      </c>
      <c r="H568" s="152" t="s">
        <v>4302</v>
      </c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 t="s">
        <v>4303</v>
      </c>
      <c r="Z568" s="157" t="s">
        <v>4304</v>
      </c>
      <c r="AA568" s="152"/>
      <c r="AB568" s="152"/>
      <c r="AC568" s="152"/>
      <c r="AD568" s="152"/>
      <c r="AE568" s="185"/>
      <c r="AF568" s="185"/>
      <c r="AG568" s="185"/>
      <c r="AH568" s="185"/>
      <c r="AI568" s="185"/>
      <c r="AJ568" s="185"/>
      <c r="AK568" s="185"/>
      <c r="AL568" s="185"/>
      <c r="AM568" s="185"/>
      <c r="AN568" s="185"/>
      <c r="AO568" s="185"/>
      <c r="AP568" s="185"/>
      <c r="AQ568" s="185"/>
      <c r="AR568" s="185"/>
      <c r="AS568" s="185"/>
      <c r="AT568" s="185"/>
      <c r="AU568" s="185"/>
      <c r="AV568" s="185"/>
      <c r="AW568" s="185"/>
      <c r="AX568" s="185"/>
      <c r="AY568" s="185"/>
      <c r="AZ568" s="185"/>
      <c r="BA568" s="185"/>
      <c r="BB568" s="185"/>
      <c r="BC568" s="185"/>
      <c r="BD568" s="185"/>
      <c r="BE568" s="185"/>
    </row>
    <row r="569">
      <c r="A569" s="152"/>
      <c r="B569" s="152"/>
      <c r="C569" s="152"/>
      <c r="D569" s="152" t="s">
        <v>4305</v>
      </c>
      <c r="E569" s="152" t="s">
        <v>4306</v>
      </c>
      <c r="F569" s="152" t="s">
        <v>363</v>
      </c>
      <c r="G569" s="163" t="s">
        <v>4307</v>
      </c>
      <c r="H569" s="152" t="s">
        <v>4308</v>
      </c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 t="s">
        <v>4309</v>
      </c>
      <c r="Z569" s="157" t="s">
        <v>4310</v>
      </c>
      <c r="AA569" s="152"/>
      <c r="AB569" s="152"/>
      <c r="AC569" s="152"/>
      <c r="AD569" s="152"/>
      <c r="AE569" s="185"/>
      <c r="AF569" s="185"/>
      <c r="AG569" s="185"/>
      <c r="AH569" s="185"/>
      <c r="AI569" s="185"/>
      <c r="AJ569" s="185"/>
      <c r="AK569" s="185"/>
      <c r="AL569" s="185"/>
      <c r="AM569" s="185"/>
      <c r="AN569" s="185"/>
      <c r="AO569" s="185"/>
      <c r="AP569" s="185"/>
      <c r="AQ569" s="185"/>
      <c r="AR569" s="185"/>
      <c r="AS569" s="185"/>
      <c r="AT569" s="185"/>
      <c r="AU569" s="185"/>
      <c r="AV569" s="185"/>
      <c r="AW569" s="185"/>
      <c r="AX569" s="185"/>
      <c r="AY569" s="185"/>
      <c r="AZ569" s="185"/>
      <c r="BA569" s="185"/>
      <c r="BB569" s="185"/>
      <c r="BC569" s="185"/>
      <c r="BD569" s="185"/>
      <c r="BE569" s="185"/>
    </row>
    <row r="570">
      <c r="A570" s="152"/>
      <c r="B570" s="152"/>
      <c r="C570" s="152"/>
      <c r="D570" s="152" t="s">
        <v>4311</v>
      </c>
      <c r="E570" s="152" t="s">
        <v>4312</v>
      </c>
      <c r="F570" s="152" t="s">
        <v>332</v>
      </c>
      <c r="G570" s="152" t="s">
        <v>4313</v>
      </c>
      <c r="H570" s="152" t="s">
        <v>4314</v>
      </c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 t="s">
        <v>4315</v>
      </c>
      <c r="Z570" s="152" t="s">
        <v>4039</v>
      </c>
      <c r="AA570" s="152"/>
      <c r="AB570" s="152"/>
      <c r="AC570" s="152"/>
      <c r="AD570" s="152"/>
      <c r="AE570" s="185"/>
      <c r="AF570" s="185"/>
      <c r="AG570" s="185"/>
      <c r="AH570" s="185"/>
      <c r="AI570" s="185"/>
      <c r="AJ570" s="185"/>
      <c r="AK570" s="185"/>
      <c r="AL570" s="185"/>
      <c r="AM570" s="185"/>
      <c r="AN570" s="185"/>
      <c r="AO570" s="185"/>
      <c r="AP570" s="185"/>
      <c r="AQ570" s="185"/>
      <c r="AR570" s="185"/>
      <c r="AS570" s="185"/>
      <c r="AT570" s="185"/>
      <c r="AU570" s="185"/>
      <c r="AV570" s="185"/>
      <c r="AW570" s="185"/>
      <c r="AX570" s="185"/>
      <c r="AY570" s="185"/>
      <c r="AZ570" s="185"/>
      <c r="BA570" s="185"/>
      <c r="BB570" s="185"/>
      <c r="BC570" s="185"/>
      <c r="BD570" s="185"/>
      <c r="BE570" s="185"/>
    </row>
    <row r="571">
      <c r="A571" s="152"/>
      <c r="B571" s="152"/>
      <c r="C571" s="152"/>
      <c r="D571" s="152" t="s">
        <v>4316</v>
      </c>
      <c r="E571" s="152" t="s">
        <v>4317</v>
      </c>
      <c r="F571" s="152" t="s">
        <v>2201</v>
      </c>
      <c r="G571" s="152" t="s">
        <v>4318</v>
      </c>
      <c r="H571" s="152" t="s">
        <v>4319</v>
      </c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 t="s">
        <v>4320</v>
      </c>
      <c r="Z571" s="157" t="s">
        <v>4045</v>
      </c>
      <c r="AA571" s="152"/>
      <c r="AB571" s="152"/>
      <c r="AC571" s="152"/>
      <c r="AD571" s="152"/>
      <c r="AE571" s="185"/>
      <c r="AF571" s="185"/>
      <c r="AG571" s="185"/>
      <c r="AH571" s="185"/>
      <c r="AI571" s="185"/>
      <c r="AJ571" s="185"/>
      <c r="AK571" s="185"/>
      <c r="AL571" s="185"/>
      <c r="AM571" s="185"/>
      <c r="AN571" s="185"/>
      <c r="AO571" s="185"/>
      <c r="AP571" s="185"/>
      <c r="AQ571" s="185"/>
      <c r="AR571" s="185"/>
      <c r="AS571" s="185"/>
      <c r="AT571" s="185"/>
      <c r="AU571" s="185"/>
      <c r="AV571" s="185"/>
      <c r="AW571" s="185"/>
      <c r="AX571" s="185"/>
      <c r="AY571" s="185"/>
      <c r="AZ571" s="185"/>
      <c r="BA571" s="185"/>
      <c r="BB571" s="185"/>
      <c r="BC571" s="185"/>
      <c r="BD571" s="185"/>
      <c r="BE571" s="185"/>
    </row>
    <row r="572">
      <c r="A572" s="152"/>
      <c r="B572" s="152"/>
      <c r="C572" s="152"/>
      <c r="D572" s="152" t="s">
        <v>4321</v>
      </c>
      <c r="E572" s="152" t="s">
        <v>4322</v>
      </c>
      <c r="F572" s="152"/>
      <c r="G572" s="152" t="s">
        <v>4323</v>
      </c>
      <c r="H572" s="152" t="s">
        <v>4324</v>
      </c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 t="s">
        <v>4325</v>
      </c>
      <c r="Z572" s="157" t="s">
        <v>4326</v>
      </c>
      <c r="AA572" s="152"/>
      <c r="AB572" s="152"/>
      <c r="AC572" s="152"/>
      <c r="AD572" s="152"/>
      <c r="AE572" s="185"/>
      <c r="AF572" s="185"/>
      <c r="AG572" s="185"/>
      <c r="AH572" s="185"/>
      <c r="AI572" s="185"/>
      <c r="AJ572" s="185"/>
      <c r="AK572" s="185"/>
      <c r="AL572" s="185"/>
      <c r="AM572" s="185"/>
      <c r="AN572" s="185"/>
      <c r="AO572" s="185"/>
      <c r="AP572" s="185"/>
      <c r="AQ572" s="185"/>
      <c r="AR572" s="185"/>
      <c r="AS572" s="185"/>
      <c r="AT572" s="185"/>
      <c r="AU572" s="185"/>
      <c r="AV572" s="185"/>
      <c r="AW572" s="185"/>
      <c r="AX572" s="185"/>
      <c r="AY572" s="185"/>
      <c r="AZ572" s="185"/>
      <c r="BA572" s="185"/>
      <c r="BB572" s="185"/>
      <c r="BC572" s="185"/>
      <c r="BD572" s="185"/>
      <c r="BE572" s="185"/>
    </row>
    <row r="573">
      <c r="A573" s="152"/>
      <c r="B573" s="152"/>
      <c r="C573" s="152"/>
      <c r="D573" s="152" t="s">
        <v>4327</v>
      </c>
      <c r="E573" s="152" t="s">
        <v>4328</v>
      </c>
      <c r="F573" s="152" t="s">
        <v>1004</v>
      </c>
      <c r="G573" s="152" t="s">
        <v>4329</v>
      </c>
      <c r="H573" s="152" t="s">
        <v>4330</v>
      </c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 t="s">
        <v>4331</v>
      </c>
      <c r="Z573" s="157" t="s">
        <v>4051</v>
      </c>
      <c r="AA573" s="152"/>
      <c r="AB573" s="152"/>
      <c r="AC573" s="152"/>
      <c r="AD573" s="152"/>
      <c r="AE573" s="185"/>
      <c r="AF573" s="185"/>
      <c r="AG573" s="185"/>
      <c r="AH573" s="185"/>
      <c r="AI573" s="185"/>
      <c r="AJ573" s="185"/>
      <c r="AK573" s="185"/>
      <c r="AL573" s="185"/>
      <c r="AM573" s="185"/>
      <c r="AN573" s="185"/>
      <c r="AO573" s="185"/>
      <c r="AP573" s="185"/>
      <c r="AQ573" s="185"/>
      <c r="AR573" s="185"/>
      <c r="AS573" s="185"/>
      <c r="AT573" s="185"/>
      <c r="AU573" s="185"/>
      <c r="AV573" s="185"/>
      <c r="AW573" s="185"/>
      <c r="AX573" s="185"/>
      <c r="AY573" s="185"/>
      <c r="AZ573" s="185"/>
      <c r="BA573" s="185"/>
      <c r="BB573" s="185"/>
      <c r="BC573" s="185"/>
      <c r="BD573" s="185"/>
      <c r="BE573" s="185"/>
    </row>
    <row r="574">
      <c r="A574" s="152"/>
      <c r="B574" s="152"/>
      <c r="C574" s="152"/>
      <c r="D574" s="152" t="s">
        <v>4332</v>
      </c>
      <c r="E574" s="152" t="s">
        <v>4333</v>
      </c>
      <c r="F574" s="152" t="s">
        <v>939</v>
      </c>
      <c r="G574" s="152" t="s">
        <v>4334</v>
      </c>
      <c r="H574" s="152" t="s">
        <v>4335</v>
      </c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 t="s">
        <v>4336</v>
      </c>
      <c r="Z574" s="157" t="s">
        <v>4062</v>
      </c>
      <c r="AA574" s="152"/>
      <c r="AB574" s="152"/>
      <c r="AC574" s="152"/>
      <c r="AD574" s="152"/>
      <c r="AE574" s="185"/>
      <c r="AF574" s="185"/>
      <c r="AG574" s="185"/>
      <c r="AH574" s="185"/>
      <c r="AI574" s="185"/>
      <c r="AJ574" s="185"/>
      <c r="AK574" s="185"/>
      <c r="AL574" s="185"/>
      <c r="AM574" s="185"/>
      <c r="AN574" s="185"/>
      <c r="AO574" s="185"/>
      <c r="AP574" s="185"/>
      <c r="AQ574" s="185"/>
      <c r="AR574" s="185"/>
      <c r="AS574" s="185"/>
      <c r="AT574" s="185"/>
      <c r="AU574" s="185"/>
      <c r="AV574" s="185"/>
      <c r="AW574" s="185"/>
      <c r="AX574" s="185"/>
      <c r="AY574" s="185"/>
      <c r="AZ574" s="185"/>
      <c r="BA574" s="185"/>
      <c r="BB574" s="185"/>
      <c r="BC574" s="185"/>
      <c r="BD574" s="185"/>
      <c r="BE574" s="185"/>
    </row>
    <row r="575">
      <c r="A575" s="152"/>
      <c r="B575" s="152"/>
      <c r="C575" s="152"/>
      <c r="D575" s="152" t="s">
        <v>4337</v>
      </c>
      <c r="E575" s="152" t="s">
        <v>4338</v>
      </c>
      <c r="F575" s="152" t="s">
        <v>332</v>
      </c>
      <c r="G575" s="152" t="s">
        <v>4339</v>
      </c>
      <c r="H575" s="152" t="s">
        <v>4340</v>
      </c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 t="s">
        <v>4341</v>
      </c>
      <c r="Z575" s="157" t="s">
        <v>4067</v>
      </c>
      <c r="AA575" s="152"/>
      <c r="AB575" s="152"/>
      <c r="AC575" s="152"/>
      <c r="AD575" s="152"/>
      <c r="AE575" s="185"/>
      <c r="AF575" s="185"/>
      <c r="AG575" s="185"/>
      <c r="AH575" s="185"/>
      <c r="AI575" s="185"/>
      <c r="AJ575" s="185"/>
      <c r="AK575" s="185"/>
      <c r="AL575" s="185"/>
      <c r="AM575" s="185"/>
      <c r="AN575" s="185"/>
      <c r="AO575" s="185"/>
      <c r="AP575" s="185"/>
      <c r="AQ575" s="185"/>
      <c r="AR575" s="185"/>
      <c r="AS575" s="185"/>
      <c r="AT575" s="185"/>
      <c r="AU575" s="185"/>
      <c r="AV575" s="185"/>
      <c r="AW575" s="185"/>
      <c r="AX575" s="185"/>
      <c r="AY575" s="185"/>
      <c r="AZ575" s="185"/>
      <c r="BA575" s="185"/>
      <c r="BB575" s="185"/>
      <c r="BC575" s="185"/>
      <c r="BD575" s="185"/>
      <c r="BE575" s="185"/>
    </row>
    <row r="576">
      <c r="A576" s="152"/>
      <c r="B576" s="152"/>
      <c r="C576" s="152"/>
      <c r="D576" s="152" t="s">
        <v>4342</v>
      </c>
      <c r="E576" s="152" t="s">
        <v>3850</v>
      </c>
      <c r="F576" s="152"/>
      <c r="G576" s="152" t="s">
        <v>3925</v>
      </c>
      <c r="H576" s="152" t="s">
        <v>3926</v>
      </c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 t="s">
        <v>4343</v>
      </c>
      <c r="Z576" s="157" t="s">
        <v>4073</v>
      </c>
      <c r="AA576" s="152"/>
      <c r="AB576" s="152"/>
      <c r="AC576" s="152"/>
      <c r="AD576" s="152"/>
      <c r="AE576" s="185"/>
      <c r="AF576" s="185"/>
      <c r="AG576" s="185"/>
      <c r="AH576" s="185"/>
      <c r="AI576" s="185"/>
      <c r="AJ576" s="185"/>
      <c r="AK576" s="185"/>
      <c r="AL576" s="185"/>
      <c r="AM576" s="185"/>
      <c r="AN576" s="185"/>
      <c r="AO576" s="185"/>
      <c r="AP576" s="185"/>
      <c r="AQ576" s="185"/>
      <c r="AR576" s="185"/>
      <c r="AS576" s="185"/>
      <c r="AT576" s="185"/>
      <c r="AU576" s="185"/>
      <c r="AV576" s="185"/>
      <c r="AW576" s="185"/>
      <c r="AX576" s="185"/>
      <c r="AY576" s="185"/>
      <c r="AZ576" s="185"/>
      <c r="BA576" s="185"/>
      <c r="BB576" s="185"/>
      <c r="BC576" s="185"/>
      <c r="BD576" s="185"/>
      <c r="BE576" s="185"/>
    </row>
    <row r="577">
      <c r="A577" s="152"/>
      <c r="B577" s="152"/>
      <c r="C577" s="152"/>
      <c r="D577" s="152" t="s">
        <v>4344</v>
      </c>
      <c r="E577" s="152" t="s">
        <v>4345</v>
      </c>
      <c r="F577" s="152"/>
      <c r="G577" s="152" t="s">
        <v>4346</v>
      </c>
      <c r="H577" s="152" t="s">
        <v>4347</v>
      </c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 t="s">
        <v>4076</v>
      </c>
      <c r="Z577" s="157" t="s">
        <v>4077</v>
      </c>
      <c r="AA577" s="152"/>
      <c r="AB577" s="152"/>
      <c r="AC577" s="152"/>
      <c r="AD577" s="152"/>
      <c r="AE577" s="185"/>
      <c r="AF577" s="185"/>
      <c r="AG577" s="185"/>
      <c r="AH577" s="185"/>
      <c r="AI577" s="185"/>
      <c r="AJ577" s="185"/>
      <c r="AK577" s="185"/>
      <c r="AL577" s="185"/>
      <c r="AM577" s="185"/>
      <c r="AN577" s="185"/>
      <c r="AO577" s="185"/>
      <c r="AP577" s="185"/>
      <c r="AQ577" s="185"/>
      <c r="AR577" s="185"/>
      <c r="AS577" s="185"/>
      <c r="AT577" s="185"/>
      <c r="AU577" s="185"/>
      <c r="AV577" s="185"/>
      <c r="AW577" s="185"/>
      <c r="AX577" s="185"/>
      <c r="AY577" s="185"/>
      <c r="AZ577" s="185"/>
      <c r="BA577" s="185"/>
      <c r="BB577" s="185"/>
      <c r="BC577" s="185"/>
      <c r="BD577" s="185"/>
      <c r="BE577" s="185"/>
    </row>
    <row r="578">
      <c r="A578" s="152"/>
      <c r="B578" s="152"/>
      <c r="C578" s="152"/>
      <c r="D578" s="152" t="s">
        <v>4348</v>
      </c>
      <c r="E578" s="152" t="s">
        <v>4349</v>
      </c>
      <c r="F578" s="152"/>
      <c r="G578" s="152" t="s">
        <v>4350</v>
      </c>
      <c r="H578" s="152" t="s">
        <v>4351</v>
      </c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 t="s">
        <v>4080</v>
      </c>
      <c r="Z578" s="157" t="s">
        <v>4081</v>
      </c>
      <c r="AA578" s="152"/>
      <c r="AB578" s="152"/>
      <c r="AC578" s="152"/>
      <c r="AD578" s="152"/>
      <c r="AE578" s="185"/>
      <c r="AF578" s="185"/>
      <c r="AG578" s="185"/>
      <c r="AH578" s="185"/>
      <c r="AI578" s="185"/>
      <c r="AJ578" s="185"/>
      <c r="AK578" s="185"/>
      <c r="AL578" s="185"/>
      <c r="AM578" s="185"/>
      <c r="AN578" s="185"/>
      <c r="AO578" s="185"/>
      <c r="AP578" s="185"/>
      <c r="AQ578" s="185"/>
      <c r="AR578" s="185"/>
      <c r="AS578" s="185"/>
      <c r="AT578" s="185"/>
      <c r="AU578" s="185"/>
      <c r="AV578" s="185"/>
      <c r="AW578" s="185"/>
      <c r="AX578" s="185"/>
      <c r="AY578" s="185"/>
      <c r="AZ578" s="185"/>
      <c r="BA578" s="185"/>
      <c r="BB578" s="185"/>
      <c r="BC578" s="185"/>
      <c r="BD578" s="185"/>
      <c r="BE578" s="185"/>
    </row>
    <row r="579">
      <c r="A579" s="152"/>
      <c r="B579" s="152"/>
      <c r="C579" s="152"/>
      <c r="D579" s="152" t="s">
        <v>4352</v>
      </c>
      <c r="E579" s="152" t="s">
        <v>4353</v>
      </c>
      <c r="F579" s="152"/>
      <c r="G579" s="152" t="s">
        <v>4354</v>
      </c>
      <c r="H579" s="152" t="s">
        <v>4355</v>
      </c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 t="s">
        <v>4092</v>
      </c>
      <c r="Z579" s="157" t="s">
        <v>4093</v>
      </c>
      <c r="AA579" s="152"/>
      <c r="AB579" s="152"/>
      <c r="AC579" s="152"/>
      <c r="AD579" s="152"/>
      <c r="AE579" s="185"/>
      <c r="AF579" s="185"/>
      <c r="AG579" s="185"/>
      <c r="AH579" s="185"/>
      <c r="AI579" s="185"/>
      <c r="AJ579" s="185"/>
      <c r="AK579" s="185"/>
      <c r="AL579" s="185"/>
      <c r="AM579" s="185"/>
      <c r="AN579" s="185"/>
      <c r="AO579" s="185"/>
      <c r="AP579" s="185"/>
      <c r="AQ579" s="185"/>
      <c r="AR579" s="185"/>
      <c r="AS579" s="185"/>
      <c r="AT579" s="185"/>
      <c r="AU579" s="185"/>
      <c r="AV579" s="185"/>
      <c r="AW579" s="185"/>
      <c r="AX579" s="185"/>
      <c r="AY579" s="185"/>
      <c r="AZ579" s="185"/>
      <c r="BA579" s="185"/>
      <c r="BB579" s="185"/>
      <c r="BC579" s="185"/>
      <c r="BD579" s="185"/>
      <c r="BE579" s="185"/>
    </row>
    <row r="580">
      <c r="A580" s="152"/>
      <c r="B580" s="152"/>
      <c r="C580" s="152"/>
      <c r="D580" s="152" t="s">
        <v>4356</v>
      </c>
      <c r="E580" s="152" t="s">
        <v>4357</v>
      </c>
      <c r="F580" s="152" t="s">
        <v>332</v>
      </c>
      <c r="G580" s="152" t="s">
        <v>3935</v>
      </c>
      <c r="H580" s="152" t="s">
        <v>3936</v>
      </c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 t="s">
        <v>4104</v>
      </c>
      <c r="Z580" s="157" t="s">
        <v>4105</v>
      </c>
      <c r="AA580" s="152"/>
      <c r="AB580" s="152"/>
      <c r="AC580" s="152"/>
      <c r="AD580" s="152"/>
      <c r="AE580" s="185"/>
      <c r="AF580" s="185"/>
      <c r="AG580" s="185"/>
      <c r="AH580" s="185"/>
      <c r="AI580" s="185"/>
      <c r="AJ580" s="185"/>
      <c r="AK580" s="185"/>
      <c r="AL580" s="185"/>
      <c r="AM580" s="185"/>
      <c r="AN580" s="185"/>
      <c r="AO580" s="185"/>
      <c r="AP580" s="185"/>
      <c r="AQ580" s="185"/>
      <c r="AR580" s="185"/>
      <c r="AS580" s="185"/>
      <c r="AT580" s="185"/>
      <c r="AU580" s="185"/>
      <c r="AV580" s="185"/>
      <c r="AW580" s="185"/>
      <c r="AX580" s="185"/>
      <c r="AY580" s="185"/>
      <c r="AZ580" s="185"/>
      <c r="BA580" s="185"/>
      <c r="BB580" s="185"/>
      <c r="BC580" s="185"/>
      <c r="BD580" s="185"/>
      <c r="BE580" s="185"/>
    </row>
    <row r="581">
      <c r="A581" s="152"/>
      <c r="B581" s="152"/>
      <c r="C581" s="152"/>
      <c r="D581" s="152" t="s">
        <v>4358</v>
      </c>
      <c r="E581" s="152" t="s">
        <v>4359</v>
      </c>
      <c r="F581" s="152"/>
      <c r="G581" s="152" t="s">
        <v>4360</v>
      </c>
      <c r="H581" s="152" t="s">
        <v>4361</v>
      </c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 t="s">
        <v>4110</v>
      </c>
      <c r="Z581" s="157" t="s">
        <v>4111</v>
      </c>
      <c r="AA581" s="152"/>
      <c r="AB581" s="152"/>
      <c r="AC581" s="152"/>
      <c r="AD581" s="152"/>
      <c r="AE581" s="185"/>
      <c r="AF581" s="185"/>
      <c r="AG581" s="185"/>
      <c r="AH581" s="185"/>
      <c r="AI581" s="185"/>
      <c r="AJ581" s="185"/>
      <c r="AK581" s="185"/>
      <c r="AL581" s="185"/>
      <c r="AM581" s="185"/>
      <c r="AN581" s="185"/>
      <c r="AO581" s="185"/>
      <c r="AP581" s="185"/>
      <c r="AQ581" s="185"/>
      <c r="AR581" s="185"/>
      <c r="AS581" s="185"/>
      <c r="AT581" s="185"/>
      <c r="AU581" s="185"/>
      <c r="AV581" s="185"/>
      <c r="AW581" s="185"/>
      <c r="AX581" s="185"/>
      <c r="AY581" s="185"/>
      <c r="AZ581" s="185"/>
      <c r="BA581" s="185"/>
      <c r="BB581" s="185"/>
      <c r="BC581" s="185"/>
      <c r="BD581" s="185"/>
      <c r="BE581" s="185"/>
    </row>
    <row r="582">
      <c r="A582" s="152"/>
      <c r="B582" s="152"/>
      <c r="C582" s="152"/>
      <c r="D582" s="152" t="s">
        <v>4362</v>
      </c>
      <c r="E582" s="152" t="s">
        <v>4363</v>
      </c>
      <c r="F582" s="152" t="s">
        <v>394</v>
      </c>
      <c r="G582" s="163" t="s">
        <v>4364</v>
      </c>
      <c r="H582" s="152" t="s">
        <v>4365</v>
      </c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 t="s">
        <v>4116</v>
      </c>
      <c r="Z582" s="157" t="s">
        <v>4117</v>
      </c>
      <c r="AA582" s="152"/>
      <c r="AB582" s="152"/>
      <c r="AC582" s="152"/>
      <c r="AD582" s="152"/>
      <c r="AE582" s="185"/>
      <c r="AF582" s="185"/>
      <c r="AG582" s="185"/>
      <c r="AH582" s="185"/>
      <c r="AI582" s="185"/>
      <c r="AJ582" s="185"/>
      <c r="AK582" s="185"/>
      <c r="AL582" s="185"/>
      <c r="AM582" s="185"/>
      <c r="AN582" s="185"/>
      <c r="AO582" s="185"/>
      <c r="AP582" s="185"/>
      <c r="AQ582" s="185"/>
      <c r="AR582" s="185"/>
      <c r="AS582" s="185"/>
      <c r="AT582" s="185"/>
      <c r="AU582" s="185"/>
      <c r="AV582" s="185"/>
      <c r="AW582" s="185"/>
      <c r="AX582" s="185"/>
      <c r="AY582" s="185"/>
      <c r="AZ582" s="185"/>
      <c r="BA582" s="185"/>
      <c r="BB582" s="185"/>
      <c r="BC582" s="185"/>
      <c r="BD582" s="185"/>
      <c r="BE582" s="185"/>
    </row>
    <row r="583">
      <c r="A583" s="152"/>
      <c r="B583" s="152"/>
      <c r="C583" s="152"/>
      <c r="D583" s="152" t="s">
        <v>4366</v>
      </c>
      <c r="E583" s="152" t="s">
        <v>4367</v>
      </c>
      <c r="F583" s="152" t="s">
        <v>2002</v>
      </c>
      <c r="G583" s="163" t="s">
        <v>4368</v>
      </c>
      <c r="H583" s="152" t="s">
        <v>4369</v>
      </c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 t="s">
        <v>4370</v>
      </c>
      <c r="Z583" s="157" t="s">
        <v>4129</v>
      </c>
      <c r="AA583" s="152"/>
      <c r="AB583" s="152"/>
      <c r="AC583" s="152"/>
      <c r="AD583" s="152"/>
      <c r="AE583" s="185"/>
      <c r="AF583" s="185"/>
      <c r="AG583" s="185"/>
      <c r="AH583" s="185"/>
      <c r="AI583" s="185"/>
      <c r="AJ583" s="185"/>
      <c r="AK583" s="185"/>
      <c r="AL583" s="185"/>
      <c r="AM583" s="185"/>
      <c r="AN583" s="185"/>
      <c r="AO583" s="185"/>
      <c r="AP583" s="185"/>
      <c r="AQ583" s="185"/>
      <c r="AR583" s="185"/>
      <c r="AS583" s="185"/>
      <c r="AT583" s="185"/>
      <c r="AU583" s="185"/>
      <c r="AV583" s="185"/>
      <c r="AW583" s="185"/>
      <c r="AX583" s="185"/>
      <c r="AY583" s="185"/>
      <c r="AZ583" s="185"/>
      <c r="BA583" s="185"/>
      <c r="BB583" s="185"/>
      <c r="BC583" s="185"/>
      <c r="BD583" s="185"/>
      <c r="BE583" s="185"/>
    </row>
    <row r="584">
      <c r="A584" s="152"/>
      <c r="B584" s="152"/>
      <c r="C584" s="152"/>
      <c r="D584" s="152" t="s">
        <v>4371</v>
      </c>
      <c r="E584" s="152" t="s">
        <v>4372</v>
      </c>
      <c r="F584" s="152" t="s">
        <v>2002</v>
      </c>
      <c r="G584" s="152" t="s">
        <v>4373</v>
      </c>
      <c r="H584" s="152" t="s">
        <v>4374</v>
      </c>
      <c r="I584" s="152" t="s">
        <v>486</v>
      </c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 t="s">
        <v>4375</v>
      </c>
      <c r="Z584" s="157" t="s">
        <v>4135</v>
      </c>
      <c r="AA584" s="152"/>
      <c r="AB584" s="152"/>
      <c r="AC584" s="152"/>
      <c r="AD584" s="152"/>
      <c r="AE584" s="185"/>
      <c r="AF584" s="185"/>
      <c r="AG584" s="185"/>
      <c r="AH584" s="185"/>
      <c r="AI584" s="185"/>
      <c r="AJ584" s="185"/>
      <c r="AK584" s="185"/>
      <c r="AL584" s="185"/>
      <c r="AM584" s="185"/>
      <c r="AN584" s="185"/>
      <c r="AO584" s="185"/>
      <c r="AP584" s="185"/>
      <c r="AQ584" s="185"/>
      <c r="AR584" s="185"/>
      <c r="AS584" s="185"/>
      <c r="AT584" s="185"/>
      <c r="AU584" s="185"/>
      <c r="AV584" s="185"/>
      <c r="AW584" s="185"/>
      <c r="AX584" s="185"/>
      <c r="AY584" s="185"/>
      <c r="AZ584" s="185"/>
      <c r="BA584" s="185"/>
      <c r="BB584" s="185"/>
      <c r="BC584" s="185"/>
      <c r="BD584" s="185"/>
      <c r="BE584" s="185"/>
    </row>
    <row r="585">
      <c r="A585" s="152"/>
      <c r="B585" s="152"/>
      <c r="C585" s="152"/>
      <c r="D585" s="152" t="s">
        <v>4376</v>
      </c>
      <c r="E585" s="152" t="s">
        <v>4377</v>
      </c>
      <c r="F585" s="152" t="s">
        <v>2002</v>
      </c>
      <c r="G585" s="152" t="s">
        <v>4378</v>
      </c>
      <c r="H585" s="152" t="s">
        <v>4379</v>
      </c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 t="s">
        <v>4380</v>
      </c>
      <c r="Z585" s="157" t="s">
        <v>4140</v>
      </c>
      <c r="AA585" s="152"/>
      <c r="AB585" s="152"/>
      <c r="AC585" s="152"/>
      <c r="AD585" s="152"/>
      <c r="AE585" s="185"/>
      <c r="AF585" s="185"/>
      <c r="AG585" s="185"/>
      <c r="AH585" s="185"/>
      <c r="AI585" s="185"/>
      <c r="AJ585" s="185"/>
      <c r="AK585" s="185"/>
      <c r="AL585" s="185"/>
      <c r="AM585" s="185"/>
      <c r="AN585" s="185"/>
      <c r="AO585" s="185"/>
      <c r="AP585" s="185"/>
      <c r="AQ585" s="185"/>
      <c r="AR585" s="185"/>
      <c r="AS585" s="185"/>
      <c r="AT585" s="185"/>
      <c r="AU585" s="185"/>
      <c r="AV585" s="185"/>
      <c r="AW585" s="185"/>
      <c r="AX585" s="185"/>
      <c r="AY585" s="185"/>
      <c r="AZ585" s="185"/>
      <c r="BA585" s="185"/>
      <c r="BB585" s="185"/>
      <c r="BC585" s="185"/>
      <c r="BD585" s="185"/>
      <c r="BE585" s="185"/>
    </row>
    <row r="586">
      <c r="A586" s="152"/>
      <c r="B586" s="152"/>
      <c r="C586" s="152"/>
      <c r="D586" s="152" t="s">
        <v>4381</v>
      </c>
      <c r="E586" s="152" t="s">
        <v>4382</v>
      </c>
      <c r="F586" s="152"/>
      <c r="G586" s="152" t="s">
        <v>4383</v>
      </c>
      <c r="H586" s="152" t="s">
        <v>4384</v>
      </c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 t="s">
        <v>4385</v>
      </c>
      <c r="Z586" s="157" t="s">
        <v>4145</v>
      </c>
      <c r="AA586" s="152"/>
      <c r="AB586" s="152"/>
      <c r="AC586" s="152"/>
      <c r="AD586" s="152"/>
      <c r="AE586" s="185"/>
      <c r="AF586" s="185"/>
      <c r="AG586" s="185"/>
      <c r="AH586" s="185"/>
      <c r="AI586" s="185"/>
      <c r="AJ586" s="185"/>
      <c r="AK586" s="185"/>
      <c r="AL586" s="185"/>
      <c r="AM586" s="185"/>
      <c r="AN586" s="185"/>
      <c r="AO586" s="185"/>
      <c r="AP586" s="185"/>
      <c r="AQ586" s="185"/>
      <c r="AR586" s="185"/>
      <c r="AS586" s="185"/>
      <c r="AT586" s="185"/>
      <c r="AU586" s="185"/>
      <c r="AV586" s="185"/>
      <c r="AW586" s="185"/>
      <c r="AX586" s="185"/>
      <c r="AY586" s="185"/>
      <c r="AZ586" s="185"/>
      <c r="BA586" s="185"/>
      <c r="BB586" s="185"/>
      <c r="BC586" s="185"/>
      <c r="BD586" s="185"/>
      <c r="BE586" s="185"/>
    </row>
    <row r="587">
      <c r="A587" s="152"/>
      <c r="B587" s="152"/>
      <c r="C587" s="152"/>
      <c r="D587" s="152" t="s">
        <v>4386</v>
      </c>
      <c r="E587" s="152" t="s">
        <v>4387</v>
      </c>
      <c r="F587" s="152" t="s">
        <v>939</v>
      </c>
      <c r="G587" s="152" t="s">
        <v>4388</v>
      </c>
      <c r="H587" s="152" t="s">
        <v>4389</v>
      </c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 t="s">
        <v>4390</v>
      </c>
      <c r="Z587" s="157" t="s">
        <v>4151</v>
      </c>
      <c r="AA587" s="152"/>
      <c r="AB587" s="152"/>
      <c r="AC587" s="152"/>
      <c r="AD587" s="152"/>
      <c r="AE587" s="185"/>
      <c r="AF587" s="185"/>
      <c r="AG587" s="185"/>
      <c r="AH587" s="185"/>
      <c r="AI587" s="185"/>
      <c r="AJ587" s="185"/>
      <c r="AK587" s="185"/>
      <c r="AL587" s="185"/>
      <c r="AM587" s="185"/>
      <c r="AN587" s="185"/>
      <c r="AO587" s="185"/>
      <c r="AP587" s="185"/>
      <c r="AQ587" s="185"/>
      <c r="AR587" s="185"/>
      <c r="AS587" s="185"/>
      <c r="AT587" s="185"/>
      <c r="AU587" s="185"/>
      <c r="AV587" s="185"/>
      <c r="AW587" s="185"/>
      <c r="AX587" s="185"/>
      <c r="AY587" s="185"/>
      <c r="AZ587" s="185"/>
      <c r="BA587" s="185"/>
      <c r="BB587" s="185"/>
      <c r="BC587" s="185"/>
      <c r="BD587" s="185"/>
      <c r="BE587" s="185"/>
    </row>
    <row r="588">
      <c r="A588" s="152"/>
      <c r="B588" s="152"/>
      <c r="C588" s="152"/>
      <c r="D588" s="152" t="s">
        <v>4391</v>
      </c>
      <c r="E588" s="152" t="s">
        <v>4392</v>
      </c>
      <c r="F588" s="152"/>
      <c r="G588" s="152" t="s">
        <v>4393</v>
      </c>
      <c r="H588" s="152" t="s">
        <v>4394</v>
      </c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 t="s">
        <v>4395</v>
      </c>
      <c r="Z588" s="157" t="s">
        <v>4396</v>
      </c>
      <c r="AA588" s="152"/>
      <c r="AB588" s="152"/>
      <c r="AC588" s="152"/>
      <c r="AD588" s="152"/>
      <c r="AE588" s="185"/>
      <c r="AF588" s="185"/>
      <c r="AG588" s="185"/>
      <c r="AH588" s="185"/>
      <c r="AI588" s="185"/>
      <c r="AJ588" s="185"/>
      <c r="AK588" s="185"/>
      <c r="AL588" s="185"/>
      <c r="AM588" s="185"/>
      <c r="AN588" s="185"/>
      <c r="AO588" s="185"/>
      <c r="AP588" s="185"/>
      <c r="AQ588" s="185"/>
      <c r="AR588" s="185"/>
      <c r="AS588" s="185"/>
      <c r="AT588" s="185"/>
      <c r="AU588" s="185"/>
      <c r="AV588" s="185"/>
      <c r="AW588" s="185"/>
      <c r="AX588" s="185"/>
      <c r="AY588" s="185"/>
      <c r="AZ588" s="185"/>
      <c r="BA588" s="185"/>
      <c r="BB588" s="185"/>
      <c r="BC588" s="185"/>
      <c r="BD588" s="185"/>
      <c r="BE588" s="185"/>
    </row>
    <row r="589">
      <c r="A589" s="152"/>
      <c r="B589" s="152"/>
      <c r="C589" s="152"/>
      <c r="D589" s="152" t="s">
        <v>4397</v>
      </c>
      <c r="E589" s="152" t="s">
        <v>4398</v>
      </c>
      <c r="F589" s="152"/>
      <c r="G589" s="152" t="s">
        <v>4399</v>
      </c>
      <c r="H589" s="152" t="s">
        <v>4400</v>
      </c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 t="s">
        <v>4401</v>
      </c>
      <c r="Z589" s="157" t="s">
        <v>4157</v>
      </c>
      <c r="AA589" s="152"/>
      <c r="AB589" s="152"/>
      <c r="AC589" s="152"/>
      <c r="AD589" s="152"/>
      <c r="AE589" s="185"/>
      <c r="AF589" s="185"/>
      <c r="AG589" s="185"/>
      <c r="AH589" s="185"/>
      <c r="AI589" s="185"/>
      <c r="AJ589" s="185"/>
      <c r="AK589" s="185"/>
      <c r="AL589" s="185"/>
      <c r="AM589" s="185"/>
      <c r="AN589" s="185"/>
      <c r="AO589" s="185"/>
      <c r="AP589" s="185"/>
      <c r="AQ589" s="185"/>
      <c r="AR589" s="185"/>
      <c r="AS589" s="185"/>
      <c r="AT589" s="185"/>
      <c r="AU589" s="185"/>
      <c r="AV589" s="185"/>
      <c r="AW589" s="185"/>
      <c r="AX589" s="185"/>
      <c r="AY589" s="185"/>
      <c r="AZ589" s="185"/>
      <c r="BA589" s="185"/>
      <c r="BB589" s="185"/>
      <c r="BC589" s="185"/>
      <c r="BD589" s="185"/>
      <c r="BE589" s="185"/>
    </row>
    <row r="590">
      <c r="A590" s="152"/>
      <c r="B590" s="152"/>
      <c r="C590" s="152"/>
      <c r="D590" s="152" t="s">
        <v>4402</v>
      </c>
      <c r="E590" s="152" t="s">
        <v>4403</v>
      </c>
      <c r="F590" s="152" t="s">
        <v>806</v>
      </c>
      <c r="G590" s="152" t="s">
        <v>4404</v>
      </c>
      <c r="H590" s="152" t="s">
        <v>4405</v>
      </c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 t="s">
        <v>4406</v>
      </c>
      <c r="Z590" s="157" t="s">
        <v>4175</v>
      </c>
      <c r="AA590" s="152"/>
      <c r="AB590" s="152"/>
      <c r="AC590" s="152"/>
      <c r="AD590" s="152"/>
      <c r="AE590" s="185"/>
      <c r="AF590" s="185"/>
      <c r="AG590" s="185"/>
      <c r="AH590" s="185"/>
      <c r="AI590" s="185"/>
      <c r="AJ590" s="185"/>
      <c r="AK590" s="185"/>
      <c r="AL590" s="185"/>
      <c r="AM590" s="185"/>
      <c r="AN590" s="185"/>
      <c r="AO590" s="185"/>
      <c r="AP590" s="185"/>
      <c r="AQ590" s="185"/>
      <c r="AR590" s="185"/>
      <c r="AS590" s="185"/>
      <c r="AT590" s="185"/>
      <c r="AU590" s="185"/>
      <c r="AV590" s="185"/>
      <c r="AW590" s="185"/>
      <c r="AX590" s="185"/>
      <c r="AY590" s="185"/>
      <c r="AZ590" s="185"/>
      <c r="BA590" s="185"/>
      <c r="BB590" s="185"/>
      <c r="BC590" s="185"/>
      <c r="BD590" s="185"/>
      <c r="BE590" s="185"/>
    </row>
    <row r="591">
      <c r="A591" s="152"/>
      <c r="B591" s="152"/>
      <c r="C591" s="152"/>
      <c r="D591" s="152" t="s">
        <v>4407</v>
      </c>
      <c r="E591" s="152" t="s">
        <v>4408</v>
      </c>
      <c r="F591" s="152" t="s">
        <v>332</v>
      </c>
      <c r="G591" s="152" t="s">
        <v>4409</v>
      </c>
      <c r="H591" s="152" t="s">
        <v>3975</v>
      </c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 t="s">
        <v>4410</v>
      </c>
      <c r="Z591" s="157" t="s">
        <v>4181</v>
      </c>
      <c r="AA591" s="152"/>
      <c r="AB591" s="152"/>
      <c r="AC591" s="152"/>
      <c r="AD591" s="152"/>
      <c r="AE591" s="185"/>
      <c r="AF591" s="185"/>
      <c r="AG591" s="185"/>
      <c r="AH591" s="185"/>
      <c r="AI591" s="185"/>
      <c r="AJ591" s="185"/>
      <c r="AK591" s="185"/>
      <c r="AL591" s="185"/>
      <c r="AM591" s="185"/>
      <c r="AN591" s="185"/>
      <c r="AO591" s="185"/>
      <c r="AP591" s="185"/>
      <c r="AQ591" s="185"/>
      <c r="AR591" s="185"/>
      <c r="AS591" s="185"/>
      <c r="AT591" s="185"/>
      <c r="AU591" s="185"/>
      <c r="AV591" s="185"/>
      <c r="AW591" s="185"/>
      <c r="AX591" s="185"/>
      <c r="AY591" s="185"/>
      <c r="AZ591" s="185"/>
      <c r="BA591" s="185"/>
      <c r="BB591" s="185"/>
      <c r="BC591" s="185"/>
      <c r="BD591" s="185"/>
      <c r="BE591" s="185"/>
    </row>
    <row r="592">
      <c r="A592" s="152"/>
      <c r="B592" s="152"/>
      <c r="C592" s="152"/>
      <c r="D592" s="152" t="s">
        <v>4411</v>
      </c>
      <c r="E592" s="152" t="s">
        <v>534</v>
      </c>
      <c r="F592" s="152" t="s">
        <v>332</v>
      </c>
      <c r="G592" s="152" t="s">
        <v>4412</v>
      </c>
      <c r="H592" s="152" t="s">
        <v>4413</v>
      </c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 t="s">
        <v>4414</v>
      </c>
      <c r="Z592" s="157" t="s">
        <v>4187</v>
      </c>
      <c r="AA592" s="152"/>
      <c r="AB592" s="152"/>
      <c r="AC592" s="152"/>
      <c r="AD592" s="152"/>
      <c r="AE592" s="185"/>
      <c r="AF592" s="185"/>
      <c r="AG592" s="185"/>
      <c r="AH592" s="185"/>
      <c r="AI592" s="185"/>
      <c r="AJ592" s="185"/>
      <c r="AK592" s="185"/>
      <c r="AL592" s="185"/>
      <c r="AM592" s="185"/>
      <c r="AN592" s="185"/>
      <c r="AO592" s="185"/>
      <c r="AP592" s="185"/>
      <c r="AQ592" s="185"/>
      <c r="AR592" s="185"/>
      <c r="AS592" s="185"/>
      <c r="AT592" s="185"/>
      <c r="AU592" s="185"/>
      <c r="AV592" s="185"/>
      <c r="AW592" s="185"/>
      <c r="AX592" s="185"/>
      <c r="AY592" s="185"/>
      <c r="AZ592" s="185"/>
      <c r="BA592" s="185"/>
      <c r="BB592" s="185"/>
      <c r="BC592" s="185"/>
      <c r="BD592" s="185"/>
      <c r="BE592" s="185"/>
    </row>
    <row r="593">
      <c r="A593" s="152"/>
      <c r="B593" s="152"/>
      <c r="C593" s="152"/>
      <c r="D593" s="152" t="s">
        <v>4415</v>
      </c>
      <c r="E593" s="152" t="s">
        <v>4416</v>
      </c>
      <c r="F593" s="152" t="s">
        <v>855</v>
      </c>
      <c r="G593" s="152" t="s">
        <v>4417</v>
      </c>
      <c r="H593" s="152" t="s">
        <v>4418</v>
      </c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 t="s">
        <v>4419</v>
      </c>
      <c r="Z593" s="157" t="s">
        <v>4420</v>
      </c>
      <c r="AA593" s="152"/>
      <c r="AB593" s="152"/>
      <c r="AC593" s="152"/>
      <c r="AD593" s="152"/>
      <c r="AE593" s="185"/>
      <c r="AF593" s="185"/>
      <c r="AG593" s="185"/>
      <c r="AH593" s="185"/>
      <c r="AI593" s="185"/>
      <c r="AJ593" s="185"/>
      <c r="AK593" s="185"/>
      <c r="AL593" s="185"/>
      <c r="AM593" s="185"/>
      <c r="AN593" s="185"/>
      <c r="AO593" s="185"/>
      <c r="AP593" s="185"/>
      <c r="AQ593" s="185"/>
      <c r="AR593" s="185"/>
      <c r="AS593" s="185"/>
      <c r="AT593" s="185"/>
      <c r="AU593" s="185"/>
      <c r="AV593" s="185"/>
      <c r="AW593" s="185"/>
      <c r="AX593" s="185"/>
      <c r="AY593" s="185"/>
      <c r="AZ593" s="185"/>
      <c r="BA593" s="185"/>
      <c r="BB593" s="185"/>
      <c r="BC593" s="185"/>
      <c r="BD593" s="185"/>
      <c r="BE593" s="185"/>
    </row>
    <row r="594">
      <c r="A594" s="152"/>
      <c r="B594" s="152"/>
      <c r="C594" s="152"/>
      <c r="D594" s="152" t="s">
        <v>4421</v>
      </c>
      <c r="E594" s="152" t="s">
        <v>4422</v>
      </c>
      <c r="F594" s="152" t="s">
        <v>603</v>
      </c>
      <c r="G594" s="163" t="s">
        <v>4423</v>
      </c>
      <c r="H594" s="152" t="s">
        <v>4424</v>
      </c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 t="s">
        <v>4425</v>
      </c>
      <c r="Z594" s="157" t="s">
        <v>4198</v>
      </c>
      <c r="AA594" s="152"/>
      <c r="AB594" s="152"/>
      <c r="AC594" s="152"/>
      <c r="AD594" s="152"/>
      <c r="AE594" s="185"/>
      <c r="AF594" s="185"/>
      <c r="AG594" s="185"/>
      <c r="AH594" s="185"/>
      <c r="AI594" s="185"/>
      <c r="AJ594" s="185"/>
      <c r="AK594" s="185"/>
      <c r="AL594" s="185"/>
      <c r="AM594" s="185"/>
      <c r="AN594" s="185"/>
      <c r="AO594" s="185"/>
      <c r="AP594" s="185"/>
      <c r="AQ594" s="185"/>
      <c r="AR594" s="185"/>
      <c r="AS594" s="185"/>
      <c r="AT594" s="185"/>
      <c r="AU594" s="185"/>
      <c r="AV594" s="185"/>
      <c r="AW594" s="185"/>
      <c r="AX594" s="185"/>
      <c r="AY594" s="185"/>
      <c r="AZ594" s="185"/>
      <c r="BA594" s="185"/>
      <c r="BB594" s="185"/>
      <c r="BC594" s="185"/>
      <c r="BD594" s="185"/>
      <c r="BE594" s="185"/>
    </row>
    <row r="595">
      <c r="A595" s="152"/>
      <c r="B595" s="152"/>
      <c r="C595" s="152"/>
      <c r="D595" s="152" t="s">
        <v>4426</v>
      </c>
      <c r="E595" s="152" t="s">
        <v>4427</v>
      </c>
      <c r="F595" s="152" t="s">
        <v>332</v>
      </c>
      <c r="G595" s="152" t="s">
        <v>4428</v>
      </c>
      <c r="H595" s="152" t="s">
        <v>4429</v>
      </c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 t="s">
        <v>4430</v>
      </c>
      <c r="Z595" s="157" t="s">
        <v>4204</v>
      </c>
      <c r="AA595" s="152"/>
      <c r="AB595" s="152"/>
      <c r="AC595" s="152"/>
      <c r="AD595" s="152"/>
      <c r="AE595" s="185"/>
      <c r="AF595" s="185"/>
      <c r="AG595" s="185"/>
      <c r="AH595" s="185"/>
      <c r="AI595" s="185"/>
      <c r="AJ595" s="185"/>
      <c r="AK595" s="185"/>
      <c r="AL595" s="185"/>
      <c r="AM595" s="185"/>
      <c r="AN595" s="185"/>
      <c r="AO595" s="185"/>
      <c r="AP595" s="185"/>
      <c r="AQ595" s="185"/>
      <c r="AR595" s="185"/>
      <c r="AS595" s="185"/>
      <c r="AT595" s="185"/>
      <c r="AU595" s="185"/>
      <c r="AV595" s="185"/>
      <c r="AW595" s="185"/>
      <c r="AX595" s="185"/>
      <c r="AY595" s="185"/>
      <c r="AZ595" s="185"/>
      <c r="BA595" s="185"/>
      <c r="BB595" s="185"/>
      <c r="BC595" s="185"/>
      <c r="BD595" s="185"/>
      <c r="BE595" s="185"/>
    </row>
    <row r="596">
      <c r="A596" s="152"/>
      <c r="B596" s="152"/>
      <c r="C596" s="152"/>
      <c r="D596" s="152" t="s">
        <v>4431</v>
      </c>
      <c r="E596" s="152" t="s">
        <v>4432</v>
      </c>
      <c r="F596" s="152" t="s">
        <v>332</v>
      </c>
      <c r="G596" s="152" t="s">
        <v>4433</v>
      </c>
      <c r="H596" s="152" t="s">
        <v>4434</v>
      </c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 t="s">
        <v>4435</v>
      </c>
      <c r="Z596" s="157" t="s">
        <v>4436</v>
      </c>
      <c r="AA596" s="152"/>
      <c r="AB596" s="152"/>
      <c r="AC596" s="152"/>
      <c r="AD596" s="152"/>
      <c r="AE596" s="185"/>
      <c r="AF596" s="185"/>
      <c r="AG596" s="185"/>
      <c r="AH596" s="185"/>
      <c r="AI596" s="185"/>
      <c r="AJ596" s="185"/>
      <c r="AK596" s="185"/>
      <c r="AL596" s="185"/>
      <c r="AM596" s="185"/>
      <c r="AN596" s="185"/>
      <c r="AO596" s="185"/>
      <c r="AP596" s="185"/>
      <c r="AQ596" s="185"/>
      <c r="AR596" s="185"/>
      <c r="AS596" s="185"/>
      <c r="AT596" s="185"/>
      <c r="AU596" s="185"/>
      <c r="AV596" s="185"/>
      <c r="AW596" s="185"/>
      <c r="AX596" s="185"/>
      <c r="AY596" s="185"/>
      <c r="AZ596" s="185"/>
      <c r="BA596" s="185"/>
      <c r="BB596" s="185"/>
      <c r="BC596" s="185"/>
      <c r="BD596" s="185"/>
      <c r="BE596" s="185"/>
    </row>
    <row r="597">
      <c r="A597" s="152"/>
      <c r="B597" s="152"/>
      <c r="C597" s="152"/>
      <c r="D597" s="152" t="s">
        <v>4437</v>
      </c>
      <c r="E597" s="152" t="s">
        <v>4438</v>
      </c>
      <c r="F597" s="152" t="s">
        <v>332</v>
      </c>
      <c r="G597" s="152" t="s">
        <v>4439</v>
      </c>
      <c r="H597" s="152" t="s">
        <v>4440</v>
      </c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 t="s">
        <v>4441</v>
      </c>
      <c r="Z597" s="157" t="s">
        <v>4210</v>
      </c>
      <c r="AA597" s="152"/>
      <c r="AB597" s="152"/>
      <c r="AC597" s="152"/>
      <c r="AD597" s="152"/>
      <c r="AE597" s="185"/>
      <c r="AF597" s="185"/>
      <c r="AG597" s="185"/>
      <c r="AH597" s="185"/>
      <c r="AI597" s="185"/>
      <c r="AJ597" s="185"/>
      <c r="AK597" s="185"/>
      <c r="AL597" s="185"/>
      <c r="AM597" s="185"/>
      <c r="AN597" s="185"/>
      <c r="AO597" s="185"/>
      <c r="AP597" s="185"/>
      <c r="AQ597" s="185"/>
      <c r="AR597" s="185"/>
      <c r="AS597" s="185"/>
      <c r="AT597" s="185"/>
      <c r="AU597" s="185"/>
      <c r="AV597" s="185"/>
      <c r="AW597" s="185"/>
      <c r="AX597" s="185"/>
      <c r="AY597" s="185"/>
      <c r="AZ597" s="185"/>
      <c r="BA597" s="185"/>
      <c r="BB597" s="185"/>
      <c r="BC597" s="185"/>
      <c r="BD597" s="185"/>
      <c r="BE597" s="185"/>
    </row>
    <row r="598">
      <c r="A598" s="152"/>
      <c r="B598" s="152"/>
      <c r="C598" s="152"/>
      <c r="D598" s="152" t="s">
        <v>4442</v>
      </c>
      <c r="E598" s="152" t="s">
        <v>4443</v>
      </c>
      <c r="F598" s="152" t="s">
        <v>332</v>
      </c>
      <c r="G598" s="152" t="s">
        <v>4444</v>
      </c>
      <c r="H598" s="152" t="s">
        <v>4445</v>
      </c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 t="s">
        <v>4446</v>
      </c>
      <c r="Z598" s="157" t="s">
        <v>4216</v>
      </c>
      <c r="AA598" s="152"/>
      <c r="AB598" s="152"/>
      <c r="AC598" s="152"/>
      <c r="AD598" s="152"/>
      <c r="AE598" s="185"/>
      <c r="AF598" s="185"/>
      <c r="AG598" s="185"/>
      <c r="AH598" s="185"/>
      <c r="AI598" s="185"/>
      <c r="AJ598" s="185"/>
      <c r="AK598" s="185"/>
      <c r="AL598" s="185"/>
      <c r="AM598" s="185"/>
      <c r="AN598" s="185"/>
      <c r="AO598" s="185"/>
      <c r="AP598" s="185"/>
      <c r="AQ598" s="185"/>
      <c r="AR598" s="185"/>
      <c r="AS598" s="185"/>
      <c r="AT598" s="185"/>
      <c r="AU598" s="185"/>
      <c r="AV598" s="185"/>
      <c r="AW598" s="185"/>
      <c r="AX598" s="185"/>
      <c r="AY598" s="185"/>
      <c r="AZ598" s="185"/>
      <c r="BA598" s="185"/>
      <c r="BB598" s="185"/>
      <c r="BC598" s="185"/>
      <c r="BD598" s="185"/>
      <c r="BE598" s="185"/>
    </row>
    <row r="599">
      <c r="A599" s="152"/>
      <c r="B599" s="152"/>
      <c r="C599" s="152"/>
      <c r="D599" s="152" t="s">
        <v>4447</v>
      </c>
      <c r="E599" s="152" t="s">
        <v>4448</v>
      </c>
      <c r="F599" s="152" t="s">
        <v>332</v>
      </c>
      <c r="G599" s="152" t="s">
        <v>4449</v>
      </c>
      <c r="H599" s="152" t="s">
        <v>4450</v>
      </c>
      <c r="I599" s="152" t="s">
        <v>486</v>
      </c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 t="s">
        <v>4451</v>
      </c>
      <c r="Z599" s="157" t="s">
        <v>4223</v>
      </c>
      <c r="AA599" s="152"/>
      <c r="AB599" s="152"/>
      <c r="AC599" s="152"/>
      <c r="AD599" s="152"/>
      <c r="AE599" s="185"/>
      <c r="AF599" s="185"/>
      <c r="AG599" s="185"/>
      <c r="AH599" s="185"/>
      <c r="AI599" s="185"/>
      <c r="AJ599" s="185"/>
      <c r="AK599" s="185"/>
      <c r="AL599" s="185"/>
      <c r="AM599" s="185"/>
      <c r="AN599" s="185"/>
      <c r="AO599" s="185"/>
      <c r="AP599" s="185"/>
      <c r="AQ599" s="185"/>
      <c r="AR599" s="185"/>
      <c r="AS599" s="185"/>
      <c r="AT599" s="185"/>
      <c r="AU599" s="185"/>
      <c r="AV599" s="185"/>
      <c r="AW599" s="185"/>
      <c r="AX599" s="185"/>
      <c r="AY599" s="185"/>
      <c r="AZ599" s="185"/>
      <c r="BA599" s="185"/>
      <c r="BB599" s="185"/>
      <c r="BC599" s="185"/>
      <c r="BD599" s="185"/>
      <c r="BE599" s="185"/>
    </row>
    <row r="600">
      <c r="A600" s="152"/>
      <c r="B600" s="152"/>
      <c r="C600" s="152"/>
      <c r="D600" s="152" t="s">
        <v>4452</v>
      </c>
      <c r="E600" s="152" t="s">
        <v>4453</v>
      </c>
      <c r="F600" s="152"/>
      <c r="G600" s="152" t="s">
        <v>4454</v>
      </c>
      <c r="H600" s="152" t="s">
        <v>4455</v>
      </c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 t="s">
        <v>4456</v>
      </c>
      <c r="Z600" s="157" t="s">
        <v>4229</v>
      </c>
      <c r="AA600" s="152"/>
      <c r="AB600" s="152"/>
      <c r="AC600" s="152"/>
      <c r="AD600" s="152"/>
      <c r="AE600" s="185"/>
      <c r="AF600" s="185"/>
      <c r="AG600" s="185"/>
      <c r="AH600" s="185"/>
      <c r="AI600" s="185"/>
      <c r="AJ600" s="185"/>
      <c r="AK600" s="185"/>
      <c r="AL600" s="185"/>
      <c r="AM600" s="185"/>
      <c r="AN600" s="185"/>
      <c r="AO600" s="185"/>
      <c r="AP600" s="185"/>
      <c r="AQ600" s="185"/>
      <c r="AR600" s="185"/>
      <c r="AS600" s="185"/>
      <c r="AT600" s="185"/>
      <c r="AU600" s="185"/>
      <c r="AV600" s="185"/>
      <c r="AW600" s="185"/>
      <c r="AX600" s="185"/>
      <c r="AY600" s="185"/>
      <c r="AZ600" s="185"/>
      <c r="BA600" s="185"/>
      <c r="BB600" s="185"/>
      <c r="BC600" s="185"/>
      <c r="BD600" s="185"/>
      <c r="BE600" s="185"/>
    </row>
    <row r="601">
      <c r="A601" s="152"/>
      <c r="B601" s="152"/>
      <c r="C601" s="152"/>
      <c r="D601" s="152" t="s">
        <v>4457</v>
      </c>
      <c r="E601" s="152" t="s">
        <v>4458</v>
      </c>
      <c r="F601" s="152" t="s">
        <v>332</v>
      </c>
      <c r="G601" s="152" t="s">
        <v>4459</v>
      </c>
      <c r="H601" s="152" t="s">
        <v>4460</v>
      </c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 t="s">
        <v>144</v>
      </c>
      <c r="Z601" s="157" t="s">
        <v>4246</v>
      </c>
      <c r="AA601" s="152"/>
      <c r="AB601" s="152"/>
      <c r="AC601" s="152"/>
      <c r="AD601" s="152"/>
      <c r="AE601" s="185"/>
      <c r="AF601" s="185"/>
      <c r="AG601" s="185"/>
      <c r="AH601" s="185"/>
      <c r="AI601" s="185"/>
      <c r="AJ601" s="185"/>
      <c r="AK601" s="185"/>
      <c r="AL601" s="185"/>
      <c r="AM601" s="185"/>
      <c r="AN601" s="185"/>
      <c r="AO601" s="185"/>
      <c r="AP601" s="185"/>
      <c r="AQ601" s="185"/>
      <c r="AR601" s="185"/>
      <c r="AS601" s="185"/>
      <c r="AT601" s="185"/>
      <c r="AU601" s="185"/>
      <c r="AV601" s="185"/>
      <c r="AW601" s="185"/>
      <c r="AX601" s="185"/>
      <c r="AY601" s="185"/>
      <c r="AZ601" s="185"/>
      <c r="BA601" s="185"/>
      <c r="BB601" s="185"/>
      <c r="BC601" s="185"/>
      <c r="BD601" s="185"/>
      <c r="BE601" s="185"/>
    </row>
    <row r="602">
      <c r="A602" s="152"/>
      <c r="B602" s="152"/>
      <c r="C602" s="152"/>
      <c r="D602" s="152" t="s">
        <v>4461</v>
      </c>
      <c r="E602" s="152" t="s">
        <v>4462</v>
      </c>
      <c r="F602" s="152" t="s">
        <v>332</v>
      </c>
      <c r="G602" s="152" t="s">
        <v>4463</v>
      </c>
      <c r="H602" s="152" t="s">
        <v>4464</v>
      </c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 t="s">
        <v>4465</v>
      </c>
      <c r="Z602" s="157" t="s">
        <v>4268</v>
      </c>
      <c r="AA602" s="152"/>
      <c r="AB602" s="152"/>
      <c r="AC602" s="152"/>
      <c r="AD602" s="152"/>
      <c r="AE602" s="185"/>
      <c r="AF602" s="185"/>
      <c r="AG602" s="185"/>
      <c r="AH602" s="185"/>
      <c r="AI602" s="185"/>
      <c r="AJ602" s="185"/>
      <c r="AK602" s="185"/>
      <c r="AL602" s="185"/>
      <c r="AM602" s="185"/>
      <c r="AN602" s="185"/>
      <c r="AO602" s="185"/>
      <c r="AP602" s="185"/>
      <c r="AQ602" s="185"/>
      <c r="AR602" s="185"/>
      <c r="AS602" s="185"/>
      <c r="AT602" s="185"/>
      <c r="AU602" s="185"/>
      <c r="AV602" s="185"/>
      <c r="AW602" s="185"/>
      <c r="AX602" s="185"/>
      <c r="AY602" s="185"/>
      <c r="AZ602" s="185"/>
      <c r="BA602" s="185"/>
      <c r="BB602" s="185"/>
      <c r="BC602" s="185"/>
      <c r="BD602" s="185"/>
      <c r="BE602" s="185"/>
    </row>
    <row r="603">
      <c r="A603" s="152"/>
      <c r="B603" s="152"/>
      <c r="C603" s="152"/>
      <c r="D603" s="152" t="s">
        <v>4466</v>
      </c>
      <c r="E603" s="152" t="s">
        <v>4467</v>
      </c>
      <c r="F603" s="152" t="s">
        <v>939</v>
      </c>
      <c r="G603" s="152" t="s">
        <v>4468</v>
      </c>
      <c r="H603" s="152" t="s">
        <v>4469</v>
      </c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 t="s">
        <v>4470</v>
      </c>
      <c r="Z603" s="157" t="s">
        <v>4274</v>
      </c>
      <c r="AA603" s="152"/>
      <c r="AB603" s="152"/>
      <c r="AC603" s="152"/>
      <c r="AD603" s="152"/>
      <c r="AE603" s="185"/>
      <c r="AF603" s="185"/>
      <c r="AG603" s="185"/>
      <c r="AH603" s="185"/>
      <c r="AI603" s="185"/>
      <c r="AJ603" s="185"/>
      <c r="AK603" s="185"/>
      <c r="AL603" s="185"/>
      <c r="AM603" s="185"/>
      <c r="AN603" s="185"/>
      <c r="AO603" s="185"/>
      <c r="AP603" s="185"/>
      <c r="AQ603" s="185"/>
      <c r="AR603" s="185"/>
      <c r="AS603" s="185"/>
      <c r="AT603" s="185"/>
      <c r="AU603" s="185"/>
      <c r="AV603" s="185"/>
      <c r="AW603" s="185"/>
      <c r="AX603" s="185"/>
      <c r="AY603" s="185"/>
      <c r="AZ603" s="185"/>
      <c r="BA603" s="185"/>
      <c r="BB603" s="185"/>
      <c r="BC603" s="185"/>
      <c r="BD603" s="185"/>
      <c r="BE603" s="185"/>
    </row>
    <row r="604">
      <c r="A604" s="152"/>
      <c r="B604" s="152"/>
      <c r="C604" s="152"/>
      <c r="D604" s="152" t="s">
        <v>4466</v>
      </c>
      <c r="E604" s="152" t="s">
        <v>4467</v>
      </c>
      <c r="F604" s="152" t="s">
        <v>603</v>
      </c>
      <c r="G604" s="152" t="s">
        <v>4471</v>
      </c>
      <c r="H604" s="152" t="s">
        <v>4472</v>
      </c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 t="s">
        <v>4473</v>
      </c>
      <c r="Z604" s="157" t="s">
        <v>4280</v>
      </c>
      <c r="AA604" s="152"/>
      <c r="AB604" s="152"/>
      <c r="AC604" s="152"/>
      <c r="AD604" s="152"/>
      <c r="AE604" s="185"/>
      <c r="AF604" s="185"/>
      <c r="AG604" s="185"/>
      <c r="AH604" s="185"/>
      <c r="AI604" s="185"/>
      <c r="AJ604" s="185"/>
      <c r="AK604" s="185"/>
      <c r="AL604" s="185"/>
      <c r="AM604" s="185"/>
      <c r="AN604" s="185"/>
      <c r="AO604" s="185"/>
      <c r="AP604" s="185"/>
      <c r="AQ604" s="185"/>
      <c r="AR604" s="185"/>
      <c r="AS604" s="185"/>
      <c r="AT604" s="185"/>
      <c r="AU604" s="185"/>
      <c r="AV604" s="185"/>
      <c r="AW604" s="185"/>
      <c r="AX604" s="185"/>
      <c r="AY604" s="185"/>
      <c r="AZ604" s="185"/>
      <c r="BA604" s="185"/>
      <c r="BB604" s="185"/>
      <c r="BC604" s="185"/>
      <c r="BD604" s="185"/>
      <c r="BE604" s="185"/>
    </row>
    <row r="605">
      <c r="A605" s="152"/>
      <c r="B605" s="152"/>
      <c r="C605" s="152"/>
      <c r="D605" s="152" t="s">
        <v>4474</v>
      </c>
      <c r="E605" s="152" t="s">
        <v>4475</v>
      </c>
      <c r="F605" s="152" t="s">
        <v>332</v>
      </c>
      <c r="G605" s="152" t="s">
        <v>4476</v>
      </c>
      <c r="H605" s="152" t="s">
        <v>4477</v>
      </c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 t="s">
        <v>4478</v>
      </c>
      <c r="Z605" s="157" t="s">
        <v>4252</v>
      </c>
      <c r="AA605" s="152"/>
      <c r="AB605" s="152"/>
      <c r="AC605" s="152"/>
      <c r="AD605" s="152"/>
      <c r="AE605" s="185"/>
      <c r="AF605" s="185"/>
      <c r="AG605" s="185"/>
      <c r="AH605" s="185"/>
      <c r="AI605" s="185"/>
      <c r="AJ605" s="185"/>
      <c r="AK605" s="185"/>
      <c r="AL605" s="185"/>
      <c r="AM605" s="185"/>
      <c r="AN605" s="185"/>
      <c r="AO605" s="185"/>
      <c r="AP605" s="185"/>
      <c r="AQ605" s="185"/>
      <c r="AR605" s="185"/>
      <c r="AS605" s="185"/>
      <c r="AT605" s="185"/>
      <c r="AU605" s="185"/>
      <c r="AV605" s="185"/>
      <c r="AW605" s="185"/>
      <c r="AX605" s="185"/>
      <c r="AY605" s="185"/>
      <c r="AZ605" s="185"/>
      <c r="BA605" s="185"/>
      <c r="BB605" s="185"/>
      <c r="BC605" s="185"/>
      <c r="BD605" s="185"/>
      <c r="BE605" s="185"/>
    </row>
    <row r="606">
      <c r="A606" s="152"/>
      <c r="B606" s="152"/>
      <c r="C606" s="152"/>
      <c r="D606" s="152" t="s">
        <v>4479</v>
      </c>
      <c r="E606" s="152" t="s">
        <v>4480</v>
      </c>
      <c r="F606" s="152" t="s">
        <v>332</v>
      </c>
      <c r="G606" s="152" t="s">
        <v>4481</v>
      </c>
      <c r="H606" s="152" t="s">
        <v>4482</v>
      </c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 t="s">
        <v>4483</v>
      </c>
      <c r="Z606" s="157" t="s">
        <v>4258</v>
      </c>
      <c r="AA606" s="152"/>
      <c r="AB606" s="152"/>
      <c r="AC606" s="152"/>
      <c r="AD606" s="152"/>
      <c r="AE606" s="185"/>
      <c r="AF606" s="185"/>
      <c r="AG606" s="185"/>
      <c r="AH606" s="185"/>
      <c r="AI606" s="185"/>
      <c r="AJ606" s="185"/>
      <c r="AK606" s="185"/>
      <c r="AL606" s="185"/>
      <c r="AM606" s="185"/>
      <c r="AN606" s="185"/>
      <c r="AO606" s="185"/>
      <c r="AP606" s="185"/>
      <c r="AQ606" s="185"/>
      <c r="AR606" s="185"/>
      <c r="AS606" s="185"/>
      <c r="AT606" s="185"/>
      <c r="AU606" s="185"/>
      <c r="AV606" s="185"/>
      <c r="AW606" s="185"/>
      <c r="AX606" s="185"/>
      <c r="AY606" s="185"/>
      <c r="AZ606" s="185"/>
      <c r="BA606" s="185"/>
      <c r="BB606" s="185"/>
      <c r="BC606" s="185"/>
      <c r="BD606" s="185"/>
      <c r="BE606" s="185"/>
    </row>
    <row r="607">
      <c r="A607" s="152"/>
      <c r="B607" s="152"/>
      <c r="C607" s="152"/>
      <c r="D607" s="152" t="s">
        <v>4484</v>
      </c>
      <c r="E607" s="152" t="s">
        <v>4485</v>
      </c>
      <c r="F607" s="152" t="s">
        <v>363</v>
      </c>
      <c r="G607" s="152" t="s">
        <v>4486</v>
      </c>
      <c r="H607" s="152" t="s">
        <v>4487</v>
      </c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 t="s">
        <v>4488</v>
      </c>
      <c r="Z607" s="157" t="s">
        <v>4263</v>
      </c>
      <c r="AA607" s="152"/>
      <c r="AB607" s="152"/>
      <c r="AC607" s="152"/>
      <c r="AD607" s="152"/>
      <c r="AE607" s="185"/>
      <c r="AF607" s="185"/>
      <c r="AG607" s="185"/>
      <c r="AH607" s="185"/>
      <c r="AI607" s="185"/>
      <c r="AJ607" s="185"/>
      <c r="AK607" s="185"/>
      <c r="AL607" s="185"/>
      <c r="AM607" s="185"/>
      <c r="AN607" s="185"/>
      <c r="AO607" s="185"/>
      <c r="AP607" s="185"/>
      <c r="AQ607" s="185"/>
      <c r="AR607" s="185"/>
      <c r="AS607" s="185"/>
      <c r="AT607" s="185"/>
      <c r="AU607" s="185"/>
      <c r="AV607" s="185"/>
      <c r="AW607" s="185"/>
      <c r="AX607" s="185"/>
      <c r="AY607" s="185"/>
      <c r="AZ607" s="185"/>
      <c r="BA607" s="185"/>
      <c r="BB607" s="185"/>
      <c r="BC607" s="185"/>
      <c r="BD607" s="185"/>
      <c r="BE607" s="185"/>
    </row>
    <row r="608">
      <c r="A608" s="152"/>
      <c r="B608" s="152"/>
      <c r="C608" s="152"/>
      <c r="D608" s="152" t="s">
        <v>4489</v>
      </c>
      <c r="E608" s="152" t="s">
        <v>4490</v>
      </c>
      <c r="F608" s="152" t="s">
        <v>363</v>
      </c>
      <c r="G608" s="152" t="s">
        <v>4491</v>
      </c>
      <c r="H608" s="152" t="s">
        <v>4492</v>
      </c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 t="s">
        <v>4493</v>
      </c>
      <c r="Z608" s="157" t="s">
        <v>4494</v>
      </c>
      <c r="AA608" s="152"/>
      <c r="AB608" s="152"/>
      <c r="AC608" s="152"/>
      <c r="AD608" s="152"/>
      <c r="AE608" s="185"/>
      <c r="AF608" s="185"/>
      <c r="AG608" s="185"/>
      <c r="AH608" s="185"/>
      <c r="AI608" s="185"/>
      <c r="AJ608" s="185"/>
      <c r="AK608" s="185"/>
      <c r="AL608" s="185"/>
      <c r="AM608" s="185"/>
      <c r="AN608" s="185"/>
      <c r="AO608" s="185"/>
      <c r="AP608" s="185"/>
      <c r="AQ608" s="185"/>
      <c r="AR608" s="185"/>
      <c r="AS608" s="185"/>
      <c r="AT608" s="185"/>
      <c r="AU608" s="185"/>
      <c r="AV608" s="185"/>
      <c r="AW608" s="185"/>
      <c r="AX608" s="185"/>
      <c r="AY608" s="185"/>
      <c r="AZ608" s="185"/>
      <c r="BA608" s="185"/>
      <c r="BB608" s="185"/>
      <c r="BC608" s="185"/>
      <c r="BD608" s="185"/>
      <c r="BE608" s="185"/>
    </row>
    <row r="609">
      <c r="A609" s="152"/>
      <c r="B609" s="152"/>
      <c r="C609" s="152"/>
      <c r="D609" s="152" t="s">
        <v>4495</v>
      </c>
      <c r="E609" s="152" t="s">
        <v>4496</v>
      </c>
      <c r="F609" s="152" t="s">
        <v>1541</v>
      </c>
      <c r="G609" s="163" t="s">
        <v>4497</v>
      </c>
      <c r="H609" s="152" t="s">
        <v>4498</v>
      </c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 t="s">
        <v>4499</v>
      </c>
      <c r="Z609" s="157" t="s">
        <v>4286</v>
      </c>
      <c r="AA609" s="152"/>
      <c r="AB609" s="152"/>
      <c r="AC609" s="152"/>
      <c r="AD609" s="152"/>
      <c r="AE609" s="185"/>
      <c r="AF609" s="185"/>
      <c r="AG609" s="185"/>
      <c r="AH609" s="185"/>
      <c r="AI609" s="185"/>
      <c r="AJ609" s="185"/>
      <c r="AK609" s="185"/>
      <c r="AL609" s="185"/>
      <c r="AM609" s="185"/>
      <c r="AN609" s="185"/>
      <c r="AO609" s="185"/>
      <c r="AP609" s="185"/>
      <c r="AQ609" s="185"/>
      <c r="AR609" s="185"/>
      <c r="AS609" s="185"/>
      <c r="AT609" s="185"/>
      <c r="AU609" s="185"/>
      <c r="AV609" s="185"/>
      <c r="AW609" s="185"/>
      <c r="AX609" s="185"/>
      <c r="AY609" s="185"/>
      <c r="AZ609" s="185"/>
      <c r="BA609" s="185"/>
      <c r="BB609" s="185"/>
      <c r="BC609" s="185"/>
      <c r="BD609" s="185"/>
      <c r="BE609" s="185"/>
    </row>
    <row r="610">
      <c r="A610" s="152"/>
      <c r="B610" s="152"/>
      <c r="C610" s="152"/>
      <c r="D610" s="152" t="s">
        <v>4500</v>
      </c>
      <c r="E610" s="152" t="s">
        <v>4501</v>
      </c>
      <c r="F610" s="152" t="s">
        <v>332</v>
      </c>
      <c r="G610" s="152" t="s">
        <v>4502</v>
      </c>
      <c r="H610" s="152" t="s">
        <v>4503</v>
      </c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 t="s">
        <v>4504</v>
      </c>
      <c r="Z610" s="157" t="s">
        <v>4292</v>
      </c>
      <c r="AA610" s="152"/>
      <c r="AB610" s="152"/>
      <c r="AC610" s="152"/>
      <c r="AD610" s="152"/>
      <c r="AE610" s="185"/>
      <c r="AF610" s="185"/>
      <c r="AG610" s="185"/>
      <c r="AH610" s="185"/>
      <c r="AI610" s="185"/>
      <c r="AJ610" s="185"/>
      <c r="AK610" s="185"/>
      <c r="AL610" s="185"/>
      <c r="AM610" s="185"/>
      <c r="AN610" s="185"/>
      <c r="AO610" s="185"/>
      <c r="AP610" s="185"/>
      <c r="AQ610" s="185"/>
      <c r="AR610" s="185"/>
      <c r="AS610" s="185"/>
      <c r="AT610" s="185"/>
      <c r="AU610" s="185"/>
      <c r="AV610" s="185"/>
      <c r="AW610" s="185"/>
      <c r="AX610" s="185"/>
      <c r="AY610" s="185"/>
      <c r="AZ610" s="185"/>
      <c r="BA610" s="185"/>
      <c r="BB610" s="185"/>
      <c r="BC610" s="185"/>
      <c r="BD610" s="185"/>
      <c r="BE610" s="185"/>
    </row>
    <row r="611">
      <c r="A611" s="152"/>
      <c r="B611" s="152"/>
      <c r="C611" s="152"/>
      <c r="D611" s="152" t="s">
        <v>4505</v>
      </c>
      <c r="E611" s="152" t="s">
        <v>4506</v>
      </c>
      <c r="F611" s="152" t="s">
        <v>939</v>
      </c>
      <c r="G611" s="152" t="s">
        <v>4507</v>
      </c>
      <c r="H611" s="152" t="s">
        <v>4508</v>
      </c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 t="s">
        <v>4509</v>
      </c>
      <c r="Z611" s="157" t="s">
        <v>4298</v>
      </c>
      <c r="AA611" s="152"/>
      <c r="AB611" s="152"/>
      <c r="AC611" s="152"/>
      <c r="AD611" s="152"/>
      <c r="AE611" s="185"/>
      <c r="AF611" s="185"/>
      <c r="AG611" s="185"/>
      <c r="AH611" s="185"/>
      <c r="AI611" s="185"/>
      <c r="AJ611" s="185"/>
      <c r="AK611" s="185"/>
      <c r="AL611" s="185"/>
      <c r="AM611" s="185"/>
      <c r="AN611" s="185"/>
      <c r="AO611" s="185"/>
      <c r="AP611" s="185"/>
      <c r="AQ611" s="185"/>
      <c r="AR611" s="185"/>
      <c r="AS611" s="185"/>
      <c r="AT611" s="185"/>
      <c r="AU611" s="185"/>
      <c r="AV611" s="185"/>
      <c r="AW611" s="185"/>
      <c r="AX611" s="185"/>
      <c r="AY611" s="185"/>
      <c r="AZ611" s="185"/>
      <c r="BA611" s="185"/>
      <c r="BB611" s="185"/>
      <c r="BC611" s="185"/>
      <c r="BD611" s="185"/>
      <c r="BE611" s="185"/>
    </row>
    <row r="612">
      <c r="A612" s="152"/>
      <c r="B612" s="152"/>
      <c r="C612" s="152"/>
      <c r="D612" s="152" t="s">
        <v>4510</v>
      </c>
      <c r="E612" s="152" t="s">
        <v>4511</v>
      </c>
      <c r="F612" s="152" t="s">
        <v>332</v>
      </c>
      <c r="G612" s="152" t="s">
        <v>4512</v>
      </c>
      <c r="H612" s="152" t="s">
        <v>4512</v>
      </c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 t="s">
        <v>4513</v>
      </c>
      <c r="Z612" s="157" t="s">
        <v>4514</v>
      </c>
      <c r="AA612" s="152"/>
      <c r="AB612" s="152"/>
      <c r="AC612" s="152"/>
      <c r="AD612" s="152"/>
      <c r="AE612" s="185"/>
      <c r="AF612" s="185"/>
      <c r="AG612" s="185"/>
      <c r="AH612" s="185"/>
      <c r="AI612" s="185"/>
      <c r="AJ612" s="185"/>
      <c r="AK612" s="185"/>
      <c r="AL612" s="185"/>
      <c r="AM612" s="185"/>
      <c r="AN612" s="185"/>
      <c r="AO612" s="185"/>
      <c r="AP612" s="185"/>
      <c r="AQ612" s="185"/>
      <c r="AR612" s="185"/>
      <c r="AS612" s="185"/>
      <c r="AT612" s="185"/>
      <c r="AU612" s="185"/>
      <c r="AV612" s="185"/>
      <c r="AW612" s="185"/>
      <c r="AX612" s="185"/>
      <c r="AY612" s="185"/>
      <c r="AZ612" s="185"/>
      <c r="BA612" s="185"/>
      <c r="BB612" s="185"/>
      <c r="BC612" s="185"/>
      <c r="BD612" s="185"/>
      <c r="BE612" s="185"/>
    </row>
    <row r="613">
      <c r="A613" s="152"/>
      <c r="B613" s="152"/>
      <c r="C613" s="152"/>
      <c r="D613" s="152" t="s">
        <v>4515</v>
      </c>
      <c r="E613" s="152" t="s">
        <v>4516</v>
      </c>
      <c r="F613" s="152" t="s">
        <v>332</v>
      </c>
      <c r="G613" s="152" t="s">
        <v>4517</v>
      </c>
      <c r="H613" s="152" t="s">
        <v>4518</v>
      </c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 t="s">
        <v>4519</v>
      </c>
      <c r="Z613" s="157" t="s">
        <v>4520</v>
      </c>
      <c r="AA613" s="152"/>
      <c r="AB613" s="152"/>
      <c r="AC613" s="152"/>
      <c r="AD613" s="152"/>
      <c r="AE613" s="185"/>
      <c r="AF613" s="185"/>
      <c r="AG613" s="185"/>
      <c r="AH613" s="185"/>
      <c r="AI613" s="185"/>
      <c r="AJ613" s="185"/>
      <c r="AK613" s="185"/>
      <c r="AL613" s="185"/>
      <c r="AM613" s="185"/>
      <c r="AN613" s="185"/>
      <c r="AO613" s="185"/>
      <c r="AP613" s="185"/>
      <c r="AQ613" s="185"/>
      <c r="AR613" s="185"/>
      <c r="AS613" s="185"/>
      <c r="AT613" s="185"/>
      <c r="AU613" s="185"/>
      <c r="AV613" s="185"/>
      <c r="AW613" s="185"/>
      <c r="AX613" s="185"/>
      <c r="AY613" s="185"/>
      <c r="AZ613" s="185"/>
      <c r="BA613" s="185"/>
      <c r="BB613" s="185"/>
      <c r="BC613" s="185"/>
      <c r="BD613" s="185"/>
      <c r="BE613" s="185"/>
    </row>
    <row r="614">
      <c r="A614" s="152"/>
      <c r="B614" s="152"/>
      <c r="C614" s="152"/>
      <c r="D614" s="152" t="s">
        <v>4521</v>
      </c>
      <c r="E614" s="152" t="s">
        <v>4522</v>
      </c>
      <c r="F614" s="152" t="s">
        <v>332</v>
      </c>
      <c r="G614" s="152" t="s">
        <v>4523</v>
      </c>
      <c r="H614" s="152" t="s">
        <v>4524</v>
      </c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 t="s">
        <v>4032</v>
      </c>
      <c r="Z614" s="157" t="s">
        <v>4033</v>
      </c>
      <c r="AA614" s="152"/>
      <c r="AB614" s="152"/>
      <c r="AC614" s="152"/>
      <c r="AD614" s="152"/>
      <c r="AE614" s="185"/>
      <c r="AF614" s="185"/>
      <c r="AG614" s="185"/>
      <c r="AH614" s="185"/>
      <c r="AI614" s="185"/>
      <c r="AJ614" s="185"/>
      <c r="AK614" s="185"/>
      <c r="AL614" s="185"/>
      <c r="AM614" s="185"/>
      <c r="AN614" s="185"/>
      <c r="AO614" s="185"/>
      <c r="AP614" s="185"/>
      <c r="AQ614" s="185"/>
      <c r="AR614" s="185"/>
      <c r="AS614" s="185"/>
      <c r="AT614" s="185"/>
      <c r="AU614" s="185"/>
      <c r="AV614" s="185"/>
      <c r="AW614" s="185"/>
      <c r="AX614" s="185"/>
      <c r="AY614" s="185"/>
      <c r="AZ614" s="185"/>
      <c r="BA614" s="185"/>
      <c r="BB614" s="185"/>
      <c r="BC614" s="185"/>
      <c r="BD614" s="185"/>
      <c r="BE614" s="185"/>
    </row>
    <row r="615">
      <c r="A615" s="152"/>
      <c r="B615" s="152"/>
      <c r="C615" s="152"/>
      <c r="D615" s="152" t="s">
        <v>4525</v>
      </c>
      <c r="E615" s="152" t="s">
        <v>4526</v>
      </c>
      <c r="F615" s="152" t="s">
        <v>806</v>
      </c>
      <c r="G615" s="152" t="s">
        <v>4527</v>
      </c>
      <c r="H615" s="152" t="s">
        <v>4528</v>
      </c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 t="s">
        <v>4056</v>
      </c>
      <c r="Z615" s="157" t="s">
        <v>4057</v>
      </c>
      <c r="AA615" s="152"/>
      <c r="AB615" s="152"/>
      <c r="AC615" s="152"/>
      <c r="AD615" s="152"/>
      <c r="AE615" s="185"/>
      <c r="AF615" s="185"/>
      <c r="AG615" s="185"/>
      <c r="AH615" s="185"/>
      <c r="AI615" s="185"/>
      <c r="AJ615" s="185"/>
      <c r="AK615" s="185"/>
      <c r="AL615" s="185"/>
      <c r="AM615" s="185"/>
      <c r="AN615" s="185"/>
      <c r="AO615" s="185"/>
      <c r="AP615" s="185"/>
      <c r="AQ615" s="185"/>
      <c r="AR615" s="185"/>
      <c r="AS615" s="185"/>
      <c r="AT615" s="185"/>
      <c r="AU615" s="185"/>
      <c r="AV615" s="185"/>
      <c r="AW615" s="185"/>
      <c r="AX615" s="185"/>
      <c r="AY615" s="185"/>
      <c r="AZ615" s="185"/>
      <c r="BA615" s="185"/>
      <c r="BB615" s="185"/>
      <c r="BC615" s="185"/>
      <c r="BD615" s="185"/>
      <c r="BE615" s="185"/>
    </row>
    <row r="616">
      <c r="A616" s="152"/>
      <c r="B616" s="152"/>
      <c r="C616" s="152"/>
      <c r="D616" s="152" t="s">
        <v>4529</v>
      </c>
      <c r="E616" s="152" t="s">
        <v>4530</v>
      </c>
      <c r="F616" s="152" t="s">
        <v>394</v>
      </c>
      <c r="G616" s="152" t="s">
        <v>4531</v>
      </c>
      <c r="H616" s="152" t="s">
        <v>4532</v>
      </c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 t="s">
        <v>4009</v>
      </c>
      <c r="Z616" s="157" t="s">
        <v>4062</v>
      </c>
      <c r="AA616" s="152"/>
      <c r="AB616" s="152"/>
      <c r="AC616" s="152"/>
      <c r="AD616" s="152"/>
      <c r="AE616" s="185"/>
      <c r="AF616" s="185"/>
      <c r="AG616" s="185"/>
      <c r="AH616" s="185"/>
      <c r="AI616" s="185"/>
      <c r="AJ616" s="185"/>
      <c r="AK616" s="185"/>
      <c r="AL616" s="185"/>
      <c r="AM616" s="185"/>
      <c r="AN616" s="185"/>
      <c r="AO616" s="185"/>
      <c r="AP616" s="185"/>
      <c r="AQ616" s="185"/>
      <c r="AR616" s="185"/>
      <c r="AS616" s="185"/>
      <c r="AT616" s="185"/>
      <c r="AU616" s="185"/>
      <c r="AV616" s="185"/>
      <c r="AW616" s="185"/>
      <c r="AX616" s="185"/>
      <c r="AY616" s="185"/>
      <c r="AZ616" s="185"/>
      <c r="BA616" s="185"/>
      <c r="BB616" s="185"/>
      <c r="BC616" s="185"/>
      <c r="BD616" s="185"/>
      <c r="BE616" s="185"/>
    </row>
    <row r="617">
      <c r="A617" s="152"/>
      <c r="B617" s="152"/>
      <c r="C617" s="152"/>
      <c r="D617" s="152" t="s">
        <v>4533</v>
      </c>
      <c r="E617" s="152" t="s">
        <v>4534</v>
      </c>
      <c r="F617" s="152"/>
      <c r="G617" s="152" t="s">
        <v>4535</v>
      </c>
      <c r="H617" s="152" t="s">
        <v>4536</v>
      </c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 t="s">
        <v>4015</v>
      </c>
      <c r="Z617" s="157" t="s">
        <v>4067</v>
      </c>
      <c r="AA617" s="152"/>
      <c r="AB617" s="152"/>
      <c r="AC617" s="152"/>
      <c r="AD617" s="152"/>
      <c r="AE617" s="185"/>
      <c r="AF617" s="185"/>
      <c r="AG617" s="185"/>
      <c r="AH617" s="185"/>
      <c r="AI617" s="185"/>
      <c r="AJ617" s="185"/>
      <c r="AK617" s="185"/>
      <c r="AL617" s="185"/>
      <c r="AM617" s="185"/>
      <c r="AN617" s="185"/>
      <c r="AO617" s="185"/>
      <c r="AP617" s="185"/>
      <c r="AQ617" s="185"/>
      <c r="AR617" s="185"/>
      <c r="AS617" s="185"/>
      <c r="AT617" s="185"/>
      <c r="AU617" s="185"/>
      <c r="AV617" s="185"/>
      <c r="AW617" s="185"/>
      <c r="AX617" s="185"/>
      <c r="AY617" s="185"/>
      <c r="AZ617" s="185"/>
      <c r="BA617" s="185"/>
      <c r="BB617" s="185"/>
      <c r="BC617" s="185"/>
      <c r="BD617" s="185"/>
      <c r="BE617" s="185"/>
    </row>
    <row r="618">
      <c r="A618" s="152"/>
      <c r="B618" s="152"/>
      <c r="C618" s="152"/>
      <c r="D618" s="152" t="s">
        <v>4537</v>
      </c>
      <c r="E618" s="152" t="s">
        <v>4538</v>
      </c>
      <c r="F618" s="152" t="s">
        <v>1541</v>
      </c>
      <c r="G618" s="152" t="s">
        <v>4539</v>
      </c>
      <c r="H618" s="152" t="s">
        <v>4540</v>
      </c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 t="s">
        <v>4086</v>
      </c>
      <c r="Z618" s="157" t="s">
        <v>4087</v>
      </c>
      <c r="AA618" s="152"/>
      <c r="AB618" s="152"/>
      <c r="AC618" s="152"/>
      <c r="AD618" s="152"/>
      <c r="AE618" s="185"/>
      <c r="AF618" s="185"/>
      <c r="AG618" s="185"/>
      <c r="AH618" s="185"/>
      <c r="AI618" s="185"/>
      <c r="AJ618" s="185"/>
      <c r="AK618" s="185"/>
      <c r="AL618" s="185"/>
      <c r="AM618" s="185"/>
      <c r="AN618" s="185"/>
      <c r="AO618" s="185"/>
      <c r="AP618" s="185"/>
      <c r="AQ618" s="185"/>
      <c r="AR618" s="185"/>
      <c r="AS618" s="185"/>
      <c r="AT618" s="185"/>
      <c r="AU618" s="185"/>
      <c r="AV618" s="185"/>
      <c r="AW618" s="185"/>
      <c r="AX618" s="185"/>
      <c r="AY618" s="185"/>
      <c r="AZ618" s="185"/>
      <c r="BA618" s="185"/>
      <c r="BB618" s="185"/>
      <c r="BC618" s="185"/>
      <c r="BD618" s="185"/>
      <c r="BE618" s="185"/>
    </row>
    <row r="619">
      <c r="A619" s="152"/>
      <c r="B619" s="152"/>
      <c r="C619" s="152"/>
      <c r="D619" s="152" t="s">
        <v>4541</v>
      </c>
      <c r="E619" s="152" t="s">
        <v>4542</v>
      </c>
      <c r="F619" s="152" t="s">
        <v>332</v>
      </c>
      <c r="G619" s="152" t="s">
        <v>4543</v>
      </c>
      <c r="H619" s="152" t="s">
        <v>4544</v>
      </c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 t="s">
        <v>4098</v>
      </c>
      <c r="Z619" s="157" t="s">
        <v>4545</v>
      </c>
      <c r="AA619" s="152"/>
      <c r="AB619" s="152"/>
      <c r="AC619" s="152"/>
      <c r="AD619" s="152"/>
      <c r="AE619" s="185"/>
      <c r="AF619" s="185"/>
      <c r="AG619" s="185"/>
      <c r="AH619" s="185"/>
      <c r="AI619" s="185"/>
      <c r="AJ619" s="185"/>
      <c r="AK619" s="185"/>
      <c r="AL619" s="185"/>
      <c r="AM619" s="185"/>
      <c r="AN619" s="185"/>
      <c r="AO619" s="185"/>
      <c r="AP619" s="185"/>
      <c r="AQ619" s="185"/>
      <c r="AR619" s="185"/>
      <c r="AS619" s="185"/>
      <c r="AT619" s="185"/>
      <c r="AU619" s="185"/>
      <c r="AV619" s="185"/>
      <c r="AW619" s="185"/>
      <c r="AX619" s="185"/>
      <c r="AY619" s="185"/>
      <c r="AZ619" s="185"/>
      <c r="BA619" s="185"/>
      <c r="BB619" s="185"/>
      <c r="BC619" s="185"/>
      <c r="BD619" s="185"/>
      <c r="BE619" s="185"/>
    </row>
    <row r="620">
      <c r="A620" s="152"/>
      <c r="B620" s="152"/>
      <c r="C620" s="152"/>
      <c r="D620" s="152" t="s">
        <v>4546</v>
      </c>
      <c r="E620" s="152" t="s">
        <v>4547</v>
      </c>
      <c r="F620" s="152" t="s">
        <v>1709</v>
      </c>
      <c r="G620" s="152" t="s">
        <v>4548</v>
      </c>
      <c r="H620" s="152" t="s">
        <v>4549</v>
      </c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 t="s">
        <v>4122</v>
      </c>
      <c r="Z620" s="157" t="s">
        <v>4123</v>
      </c>
      <c r="AA620" s="152"/>
      <c r="AB620" s="152"/>
      <c r="AC620" s="152"/>
      <c r="AD620" s="152"/>
      <c r="AE620" s="185"/>
      <c r="AF620" s="185"/>
      <c r="AG620" s="185"/>
      <c r="AH620" s="185"/>
      <c r="AI620" s="185"/>
      <c r="AJ620" s="185"/>
      <c r="AK620" s="185"/>
      <c r="AL620" s="185"/>
      <c r="AM620" s="185"/>
      <c r="AN620" s="185"/>
      <c r="AO620" s="185"/>
      <c r="AP620" s="185"/>
      <c r="AQ620" s="185"/>
      <c r="AR620" s="185"/>
      <c r="AS620" s="185"/>
      <c r="AT620" s="185"/>
      <c r="AU620" s="185"/>
      <c r="AV620" s="185"/>
      <c r="AW620" s="185"/>
      <c r="AX620" s="185"/>
      <c r="AY620" s="185"/>
      <c r="AZ620" s="185"/>
      <c r="BA620" s="185"/>
      <c r="BB620" s="185"/>
      <c r="BC620" s="185"/>
      <c r="BD620" s="185"/>
      <c r="BE620" s="185"/>
    </row>
    <row r="621">
      <c r="A621" s="152"/>
      <c r="B621" s="152"/>
      <c r="C621" s="152"/>
      <c r="D621" s="152" t="s">
        <v>4550</v>
      </c>
      <c r="E621" s="152" t="s">
        <v>4551</v>
      </c>
      <c r="F621" s="152" t="s">
        <v>1560</v>
      </c>
      <c r="G621" s="152" t="s">
        <v>4552</v>
      </c>
      <c r="H621" s="152" t="s">
        <v>4553</v>
      </c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 t="s">
        <v>4162</v>
      </c>
      <c r="Z621" s="157" t="s">
        <v>4163</v>
      </c>
      <c r="AA621" s="152"/>
      <c r="AB621" s="152"/>
      <c r="AC621" s="152"/>
      <c r="AD621" s="152"/>
      <c r="AE621" s="185"/>
      <c r="AF621" s="185"/>
      <c r="AG621" s="185"/>
      <c r="AH621" s="185"/>
      <c r="AI621" s="185"/>
      <c r="AJ621" s="185"/>
      <c r="AK621" s="185"/>
      <c r="AL621" s="185"/>
      <c r="AM621" s="185"/>
      <c r="AN621" s="185"/>
      <c r="AO621" s="185"/>
      <c r="AP621" s="185"/>
      <c r="AQ621" s="185"/>
      <c r="AR621" s="185"/>
      <c r="AS621" s="185"/>
      <c r="AT621" s="185"/>
      <c r="AU621" s="185"/>
      <c r="AV621" s="185"/>
      <c r="AW621" s="185"/>
      <c r="AX621" s="185"/>
      <c r="AY621" s="185"/>
      <c r="AZ621" s="185"/>
      <c r="BA621" s="185"/>
      <c r="BB621" s="185"/>
      <c r="BC621" s="185"/>
      <c r="BD621" s="185"/>
      <c r="BE621" s="185"/>
    </row>
    <row r="622">
      <c r="A622" s="152"/>
      <c r="B622" s="152"/>
      <c r="C622" s="152"/>
      <c r="D622" s="152" t="s">
        <v>4554</v>
      </c>
      <c r="E622" s="152" t="s">
        <v>4555</v>
      </c>
      <c r="F622" s="152"/>
      <c r="G622" s="152" t="s">
        <v>4556</v>
      </c>
      <c r="H622" s="152" t="s">
        <v>4557</v>
      </c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 t="s">
        <v>4168</v>
      </c>
      <c r="Z622" s="157" t="s">
        <v>4169</v>
      </c>
      <c r="AA622" s="152"/>
      <c r="AB622" s="152"/>
      <c r="AC622" s="152"/>
      <c r="AD622" s="152"/>
      <c r="AE622" s="185"/>
      <c r="AF622" s="185"/>
      <c r="AG622" s="185"/>
      <c r="AH622" s="185"/>
      <c r="AI622" s="185"/>
      <c r="AJ622" s="185"/>
      <c r="AK622" s="185"/>
      <c r="AL622" s="185"/>
      <c r="AM622" s="185"/>
      <c r="AN622" s="185"/>
      <c r="AO622" s="185"/>
      <c r="AP622" s="185"/>
      <c r="AQ622" s="185"/>
      <c r="AR622" s="185"/>
      <c r="AS622" s="185"/>
      <c r="AT622" s="185"/>
      <c r="AU622" s="185"/>
      <c r="AV622" s="185"/>
      <c r="AW622" s="185"/>
      <c r="AX622" s="185"/>
      <c r="AY622" s="185"/>
      <c r="AZ622" s="185"/>
      <c r="BA622" s="185"/>
      <c r="BB622" s="185"/>
      <c r="BC622" s="185"/>
      <c r="BD622" s="185"/>
      <c r="BE622" s="185"/>
    </row>
    <row r="623">
      <c r="A623" s="152"/>
      <c r="B623" s="152"/>
      <c r="C623" s="152"/>
      <c r="D623" s="152" t="s">
        <v>4558</v>
      </c>
      <c r="E623" s="152" t="s">
        <v>4559</v>
      </c>
      <c r="F623" s="152" t="s">
        <v>1186</v>
      </c>
      <c r="G623" s="152" t="s">
        <v>4560</v>
      </c>
      <c r="H623" s="152" t="s">
        <v>4561</v>
      </c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 t="s">
        <v>196</v>
      </c>
      <c r="Z623" s="157" t="s">
        <v>4192</v>
      </c>
      <c r="AA623" s="152"/>
      <c r="AB623" s="152"/>
      <c r="AC623" s="152"/>
      <c r="AD623" s="152"/>
      <c r="AE623" s="185"/>
      <c r="AF623" s="185"/>
      <c r="AG623" s="185"/>
      <c r="AH623" s="185"/>
      <c r="AI623" s="185"/>
      <c r="AJ623" s="185"/>
      <c r="AK623" s="185"/>
      <c r="AL623" s="185"/>
      <c r="AM623" s="185"/>
      <c r="AN623" s="185"/>
      <c r="AO623" s="185"/>
      <c r="AP623" s="185"/>
      <c r="AQ623" s="185"/>
      <c r="AR623" s="185"/>
      <c r="AS623" s="185"/>
      <c r="AT623" s="185"/>
      <c r="AU623" s="185"/>
      <c r="AV623" s="185"/>
      <c r="AW623" s="185"/>
      <c r="AX623" s="185"/>
      <c r="AY623" s="185"/>
      <c r="AZ623" s="185"/>
      <c r="BA623" s="185"/>
      <c r="BB623" s="185"/>
      <c r="BC623" s="185"/>
      <c r="BD623" s="185"/>
      <c r="BE623" s="185"/>
    </row>
    <row r="624">
      <c r="A624" s="152"/>
      <c r="B624" s="152"/>
      <c r="C624" s="152"/>
      <c r="D624" s="152" t="s">
        <v>4562</v>
      </c>
      <c r="E624" s="152" t="s">
        <v>4563</v>
      </c>
      <c r="F624" s="152" t="s">
        <v>394</v>
      </c>
      <c r="G624" s="152" t="s">
        <v>4564</v>
      </c>
      <c r="H624" s="152" t="s">
        <v>4565</v>
      </c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 t="s">
        <v>4233</v>
      </c>
      <c r="Z624" s="157" t="s">
        <v>4234</v>
      </c>
      <c r="AA624" s="152"/>
      <c r="AB624" s="152"/>
      <c r="AC624" s="152"/>
      <c r="AD624" s="152"/>
      <c r="AE624" s="185"/>
      <c r="AF624" s="185"/>
      <c r="AG624" s="185"/>
      <c r="AH624" s="185"/>
      <c r="AI624" s="185"/>
      <c r="AJ624" s="185"/>
      <c r="AK624" s="185"/>
      <c r="AL624" s="185"/>
      <c r="AM624" s="185"/>
      <c r="AN624" s="185"/>
      <c r="AO624" s="185"/>
      <c r="AP624" s="185"/>
      <c r="AQ624" s="185"/>
      <c r="AR624" s="185"/>
      <c r="AS624" s="185"/>
      <c r="AT624" s="185"/>
      <c r="AU624" s="185"/>
      <c r="AV624" s="185"/>
      <c r="AW624" s="185"/>
      <c r="AX624" s="185"/>
      <c r="AY624" s="185"/>
      <c r="AZ624" s="185"/>
      <c r="BA624" s="185"/>
      <c r="BB624" s="185"/>
      <c r="BC624" s="185"/>
      <c r="BD624" s="185"/>
      <c r="BE624" s="185"/>
    </row>
    <row r="625">
      <c r="A625" s="152"/>
      <c r="B625" s="152"/>
      <c r="C625" s="152"/>
      <c r="D625" s="152" t="s">
        <v>4566</v>
      </c>
      <c r="E625" s="152" t="s">
        <v>4567</v>
      </c>
      <c r="F625" s="152" t="s">
        <v>1541</v>
      </c>
      <c r="G625" s="152" t="s">
        <v>4568</v>
      </c>
      <c r="H625" s="152" t="s">
        <v>4569</v>
      </c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 t="s">
        <v>4239</v>
      </c>
      <c r="Z625" s="157" t="s">
        <v>4240</v>
      </c>
      <c r="AA625" s="152"/>
      <c r="AB625" s="152"/>
      <c r="AC625" s="152"/>
      <c r="AD625" s="152"/>
      <c r="AE625" s="185"/>
      <c r="AF625" s="185"/>
      <c r="AG625" s="185"/>
      <c r="AH625" s="185"/>
      <c r="AI625" s="185"/>
      <c r="AJ625" s="185"/>
      <c r="AK625" s="185"/>
      <c r="AL625" s="185"/>
      <c r="AM625" s="185"/>
      <c r="AN625" s="185"/>
      <c r="AO625" s="185"/>
      <c r="AP625" s="185"/>
      <c r="AQ625" s="185"/>
      <c r="AR625" s="185"/>
      <c r="AS625" s="185"/>
      <c r="AT625" s="185"/>
      <c r="AU625" s="185"/>
      <c r="AV625" s="185"/>
      <c r="AW625" s="185"/>
      <c r="AX625" s="185"/>
      <c r="AY625" s="185"/>
      <c r="AZ625" s="185"/>
      <c r="BA625" s="185"/>
      <c r="BB625" s="185"/>
      <c r="BC625" s="185"/>
      <c r="BD625" s="185"/>
      <c r="BE625" s="185"/>
    </row>
    <row r="626">
      <c r="A626" s="152"/>
      <c r="B626" s="152"/>
      <c r="C626" s="152"/>
      <c r="D626" s="152" t="s">
        <v>4570</v>
      </c>
      <c r="E626" s="152" t="s">
        <v>4571</v>
      </c>
      <c r="F626" s="152"/>
      <c r="G626" s="152" t="s">
        <v>4572</v>
      </c>
      <c r="H626" s="152" t="s">
        <v>4573</v>
      </c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7" t="s">
        <v>4574</v>
      </c>
      <c r="Z626" s="157" t="s">
        <v>4514</v>
      </c>
      <c r="AA626" s="152"/>
      <c r="AB626" s="152"/>
      <c r="AC626" s="152"/>
      <c r="AD626" s="152"/>
      <c r="AE626" s="185"/>
      <c r="AF626" s="185"/>
      <c r="AG626" s="185"/>
      <c r="AH626" s="185"/>
      <c r="AI626" s="185"/>
      <c r="AJ626" s="185"/>
      <c r="AK626" s="185"/>
      <c r="AL626" s="185"/>
      <c r="AM626" s="185"/>
      <c r="AN626" s="185"/>
      <c r="AO626" s="185"/>
      <c r="AP626" s="185"/>
      <c r="AQ626" s="185"/>
      <c r="AR626" s="185"/>
      <c r="AS626" s="185"/>
      <c r="AT626" s="185"/>
      <c r="AU626" s="185"/>
      <c r="AV626" s="185"/>
      <c r="AW626" s="185"/>
      <c r="AX626" s="185"/>
      <c r="AY626" s="185"/>
      <c r="AZ626" s="185"/>
      <c r="BA626" s="185"/>
      <c r="BB626" s="185"/>
      <c r="BC626" s="185"/>
      <c r="BD626" s="185"/>
      <c r="BE626" s="185"/>
    </row>
    <row r="627">
      <c r="A627" s="152"/>
      <c r="B627" s="152"/>
      <c r="C627" s="152"/>
      <c r="D627" s="152" t="s">
        <v>4575</v>
      </c>
      <c r="E627" s="152" t="s">
        <v>4576</v>
      </c>
      <c r="F627" s="152" t="s">
        <v>939</v>
      </c>
      <c r="G627" s="152" t="s">
        <v>4577</v>
      </c>
      <c r="H627" s="152" t="s">
        <v>4578</v>
      </c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7" t="s">
        <v>4579</v>
      </c>
      <c r="Z627" s="157" t="s">
        <v>4520</v>
      </c>
      <c r="AA627" s="152"/>
      <c r="AB627" s="152"/>
      <c r="AC627" s="152"/>
      <c r="AD627" s="152"/>
      <c r="AE627" s="185"/>
      <c r="AF627" s="185"/>
      <c r="AG627" s="185"/>
      <c r="AH627" s="185"/>
      <c r="AI627" s="185"/>
      <c r="AJ627" s="185"/>
      <c r="AK627" s="185"/>
      <c r="AL627" s="185"/>
      <c r="AM627" s="185"/>
      <c r="AN627" s="185"/>
      <c r="AO627" s="185"/>
      <c r="AP627" s="185"/>
      <c r="AQ627" s="185"/>
      <c r="AR627" s="185"/>
      <c r="AS627" s="185"/>
      <c r="AT627" s="185"/>
      <c r="AU627" s="185"/>
      <c r="AV627" s="185"/>
      <c r="AW627" s="185"/>
      <c r="AX627" s="185"/>
      <c r="AY627" s="185"/>
      <c r="AZ627" s="185"/>
      <c r="BA627" s="185"/>
      <c r="BB627" s="185"/>
      <c r="BC627" s="185"/>
      <c r="BD627" s="185"/>
      <c r="BE627" s="185"/>
    </row>
    <row r="628">
      <c r="A628" s="152"/>
      <c r="B628" s="152"/>
      <c r="C628" s="152"/>
      <c r="D628" s="152" t="s">
        <v>4580</v>
      </c>
      <c r="E628" s="152" t="s">
        <v>4581</v>
      </c>
      <c r="F628" s="152"/>
      <c r="G628" s="152" t="s">
        <v>4582</v>
      </c>
      <c r="H628" s="152" t="s">
        <v>4583</v>
      </c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7" t="s">
        <v>4584</v>
      </c>
      <c r="Z628" s="157" t="s">
        <v>4585</v>
      </c>
      <c r="AA628" s="152"/>
      <c r="AB628" s="152"/>
      <c r="AC628" s="152"/>
      <c r="AD628" s="152"/>
      <c r="AE628" s="185"/>
      <c r="AF628" s="185"/>
      <c r="AG628" s="185"/>
      <c r="AH628" s="185"/>
      <c r="AI628" s="185"/>
      <c r="AJ628" s="185"/>
      <c r="AK628" s="185"/>
      <c r="AL628" s="185"/>
      <c r="AM628" s="185"/>
      <c r="AN628" s="185"/>
      <c r="AO628" s="185"/>
      <c r="AP628" s="185"/>
      <c r="AQ628" s="185"/>
      <c r="AR628" s="185"/>
      <c r="AS628" s="185"/>
      <c r="AT628" s="185"/>
      <c r="AU628" s="185"/>
      <c r="AV628" s="185"/>
      <c r="AW628" s="185"/>
      <c r="AX628" s="185"/>
      <c r="AY628" s="185"/>
      <c r="AZ628" s="185"/>
      <c r="BA628" s="185"/>
      <c r="BB628" s="185"/>
      <c r="BC628" s="185"/>
      <c r="BD628" s="185"/>
      <c r="BE628" s="185"/>
    </row>
    <row r="629">
      <c r="A629" s="152"/>
      <c r="B629" s="152"/>
      <c r="C629" s="152"/>
      <c r="D629" s="152" t="s">
        <v>4586</v>
      </c>
      <c r="E629" s="152" t="s">
        <v>4587</v>
      </c>
      <c r="F629" s="152" t="s">
        <v>1724</v>
      </c>
      <c r="G629" s="152" t="s">
        <v>4588</v>
      </c>
      <c r="H629" s="152" t="s">
        <v>4589</v>
      </c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87" t="s">
        <v>2631</v>
      </c>
      <c r="Z629" s="188" t="s">
        <v>2631</v>
      </c>
      <c r="AA629" s="157"/>
      <c r="AB629" s="152"/>
      <c r="AC629" s="152"/>
      <c r="AD629" s="152"/>
      <c r="AE629" s="185"/>
      <c r="AF629" s="185"/>
      <c r="AG629" s="185"/>
      <c r="AH629" s="185"/>
      <c r="AI629" s="185"/>
      <c r="AJ629" s="185"/>
      <c r="AK629" s="185"/>
      <c r="AL629" s="185"/>
      <c r="AM629" s="185"/>
      <c r="AN629" s="185"/>
      <c r="AO629" s="185"/>
      <c r="AP629" s="185"/>
      <c r="AQ629" s="185"/>
      <c r="AR629" s="185"/>
      <c r="AS629" s="185"/>
      <c r="AT629" s="185"/>
      <c r="AU629" s="185"/>
      <c r="AV629" s="185"/>
      <c r="AW629" s="185"/>
      <c r="AX629" s="185"/>
      <c r="AY629" s="185"/>
      <c r="AZ629" s="185"/>
      <c r="BA629" s="185"/>
      <c r="BB629" s="185"/>
      <c r="BC629" s="185"/>
      <c r="BD629" s="185"/>
      <c r="BE629" s="185"/>
    </row>
    <row r="630">
      <c r="A630" s="152"/>
      <c r="B630" s="152"/>
      <c r="C630" s="152"/>
      <c r="D630" s="152" t="s">
        <v>4590</v>
      </c>
      <c r="E630" s="152" t="s">
        <v>4591</v>
      </c>
      <c r="F630" s="152" t="s">
        <v>1724</v>
      </c>
      <c r="G630" s="152" t="s">
        <v>4592</v>
      </c>
      <c r="H630" s="152" t="s">
        <v>4593</v>
      </c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7" t="s">
        <v>4594</v>
      </c>
      <c r="Z630" s="157" t="s">
        <v>4594</v>
      </c>
      <c r="AA630" s="187"/>
      <c r="AB630" s="152"/>
      <c r="AC630" s="152"/>
      <c r="AD630" s="152"/>
      <c r="AE630" s="185"/>
      <c r="AF630" s="185"/>
      <c r="AG630" s="185"/>
      <c r="AH630" s="185"/>
      <c r="AI630" s="185"/>
      <c r="AJ630" s="185"/>
      <c r="AK630" s="185"/>
      <c r="AL630" s="185"/>
      <c r="AM630" s="185"/>
      <c r="AN630" s="185"/>
      <c r="AO630" s="185"/>
      <c r="AP630" s="185"/>
      <c r="AQ630" s="185"/>
      <c r="AR630" s="185"/>
      <c r="AS630" s="185"/>
      <c r="AT630" s="185"/>
      <c r="AU630" s="185"/>
      <c r="AV630" s="185"/>
      <c r="AW630" s="185"/>
      <c r="AX630" s="185"/>
      <c r="AY630" s="185"/>
      <c r="AZ630" s="185"/>
      <c r="BA630" s="185"/>
      <c r="BB630" s="185"/>
      <c r="BC630" s="185"/>
      <c r="BD630" s="185"/>
      <c r="BE630" s="185"/>
    </row>
    <row r="631">
      <c r="A631" s="152"/>
      <c r="B631" s="152"/>
      <c r="C631" s="152"/>
      <c r="D631" s="152" t="s">
        <v>4595</v>
      </c>
      <c r="E631" s="152" t="s">
        <v>4596</v>
      </c>
      <c r="F631" s="152" t="s">
        <v>332</v>
      </c>
      <c r="G631" s="152" t="s">
        <v>4597</v>
      </c>
      <c r="H631" s="152" t="s">
        <v>4597</v>
      </c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7" t="s">
        <v>4598</v>
      </c>
      <c r="Z631" s="157" t="s">
        <v>4598</v>
      </c>
      <c r="AA631" s="157"/>
      <c r="AB631" s="152"/>
      <c r="AC631" s="152"/>
      <c r="AD631" s="152"/>
      <c r="AE631" s="185"/>
      <c r="AF631" s="185"/>
      <c r="AG631" s="185"/>
      <c r="AH631" s="185"/>
      <c r="AI631" s="185"/>
      <c r="AJ631" s="185"/>
      <c r="AK631" s="185"/>
      <c r="AL631" s="185"/>
      <c r="AM631" s="185"/>
      <c r="AN631" s="185"/>
      <c r="AO631" s="185"/>
      <c r="AP631" s="185"/>
      <c r="AQ631" s="185"/>
      <c r="AR631" s="185"/>
      <c r="AS631" s="185"/>
      <c r="AT631" s="185"/>
      <c r="AU631" s="185"/>
      <c r="AV631" s="185"/>
      <c r="AW631" s="185"/>
      <c r="AX631" s="185"/>
      <c r="AY631" s="185"/>
      <c r="AZ631" s="185"/>
      <c r="BA631" s="185"/>
      <c r="BB631" s="185"/>
      <c r="BC631" s="185"/>
      <c r="BD631" s="185"/>
      <c r="BE631" s="185"/>
    </row>
    <row r="632">
      <c r="A632" s="152"/>
      <c r="B632" s="152"/>
      <c r="C632" s="152"/>
      <c r="D632" s="152" t="s">
        <v>4599</v>
      </c>
      <c r="E632" s="152" t="s">
        <v>4600</v>
      </c>
      <c r="F632" s="152" t="s">
        <v>332</v>
      </c>
      <c r="G632" s="152" t="s">
        <v>4601</v>
      </c>
      <c r="H632" s="152" t="s">
        <v>4131</v>
      </c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81" t="s">
        <v>4602</v>
      </c>
      <c r="Z632" s="181" t="s">
        <v>4603</v>
      </c>
      <c r="AA632" s="157"/>
      <c r="AB632" s="152"/>
      <c r="AC632" s="152"/>
      <c r="AD632" s="152"/>
      <c r="AE632" s="185"/>
      <c r="AF632" s="185"/>
      <c r="AG632" s="185"/>
      <c r="AH632" s="185"/>
      <c r="AI632" s="185"/>
      <c r="AJ632" s="185"/>
      <c r="AK632" s="185"/>
      <c r="AL632" s="185"/>
      <c r="AM632" s="185"/>
      <c r="AN632" s="185"/>
      <c r="AO632" s="185"/>
      <c r="AP632" s="185"/>
      <c r="AQ632" s="185"/>
      <c r="AR632" s="185"/>
      <c r="AS632" s="185"/>
      <c r="AT632" s="185"/>
      <c r="AU632" s="185"/>
      <c r="AV632" s="185"/>
      <c r="AW632" s="185"/>
      <c r="AX632" s="185"/>
      <c r="AY632" s="185"/>
      <c r="AZ632" s="185"/>
      <c r="BA632" s="185"/>
      <c r="BB632" s="185"/>
      <c r="BC632" s="185"/>
      <c r="BD632" s="185"/>
      <c r="BE632" s="185"/>
    </row>
    <row r="633">
      <c r="A633" s="152"/>
      <c r="B633" s="152"/>
      <c r="C633" s="152"/>
      <c r="D633" s="152" t="s">
        <v>4604</v>
      </c>
      <c r="E633" s="152" t="s">
        <v>4605</v>
      </c>
      <c r="F633" s="152" t="s">
        <v>332</v>
      </c>
      <c r="G633" s="152" t="s">
        <v>4606</v>
      </c>
      <c r="H633" s="152" t="s">
        <v>4606</v>
      </c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7" t="s">
        <v>4607</v>
      </c>
      <c r="Z633" s="157" t="s">
        <v>4607</v>
      </c>
      <c r="AA633" s="54"/>
      <c r="AB633" s="152"/>
      <c r="AC633" s="152"/>
      <c r="AD633" s="152"/>
      <c r="AE633" s="185"/>
      <c r="AF633" s="185"/>
      <c r="AG633" s="185"/>
      <c r="AH633" s="185"/>
      <c r="AI633" s="185"/>
      <c r="AJ633" s="185"/>
      <c r="AK633" s="185"/>
      <c r="AL633" s="185"/>
      <c r="AM633" s="185"/>
      <c r="AN633" s="185"/>
      <c r="AO633" s="185"/>
      <c r="AP633" s="185"/>
      <c r="AQ633" s="185"/>
      <c r="AR633" s="185"/>
      <c r="AS633" s="185"/>
      <c r="AT633" s="185"/>
      <c r="AU633" s="185"/>
      <c r="AV633" s="185"/>
      <c r="AW633" s="185"/>
      <c r="AX633" s="185"/>
      <c r="AY633" s="185"/>
      <c r="AZ633" s="185"/>
      <c r="BA633" s="185"/>
      <c r="BB633" s="185"/>
      <c r="BC633" s="185"/>
      <c r="BD633" s="185"/>
      <c r="BE633" s="185"/>
    </row>
    <row r="634">
      <c r="A634" s="152"/>
      <c r="B634" s="152"/>
      <c r="C634" s="152"/>
      <c r="D634" s="152" t="s">
        <v>4608</v>
      </c>
      <c r="E634" s="152" t="s">
        <v>4609</v>
      </c>
      <c r="F634" s="152" t="s">
        <v>332</v>
      </c>
      <c r="G634" s="152" t="s">
        <v>4610</v>
      </c>
      <c r="H634" s="152" t="s">
        <v>4611</v>
      </c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7" t="s">
        <v>4612</v>
      </c>
      <c r="Z634" s="157" t="s">
        <v>4612</v>
      </c>
      <c r="AA634" s="157"/>
      <c r="AB634" s="152"/>
      <c r="AC634" s="152"/>
      <c r="AD634" s="152"/>
      <c r="AE634" s="185"/>
      <c r="AF634" s="185"/>
      <c r="AG634" s="185"/>
      <c r="AH634" s="185"/>
      <c r="AI634" s="185"/>
      <c r="AJ634" s="185"/>
      <c r="AK634" s="185"/>
      <c r="AL634" s="185"/>
      <c r="AM634" s="185"/>
      <c r="AN634" s="185"/>
      <c r="AO634" s="185"/>
      <c r="AP634" s="185"/>
      <c r="AQ634" s="185"/>
      <c r="AR634" s="185"/>
      <c r="AS634" s="185"/>
      <c r="AT634" s="185"/>
      <c r="AU634" s="185"/>
      <c r="AV634" s="185"/>
      <c r="AW634" s="185"/>
      <c r="AX634" s="185"/>
      <c r="AY634" s="185"/>
      <c r="AZ634" s="185"/>
      <c r="BA634" s="185"/>
      <c r="BB634" s="185"/>
      <c r="BC634" s="185"/>
      <c r="BD634" s="185"/>
      <c r="BE634" s="185"/>
    </row>
    <row r="635">
      <c r="A635" s="152"/>
      <c r="B635" s="152"/>
      <c r="C635" s="152"/>
      <c r="D635" s="152" t="s">
        <v>4613</v>
      </c>
      <c r="E635" s="152" t="s">
        <v>4614</v>
      </c>
      <c r="F635" s="152" t="s">
        <v>332</v>
      </c>
      <c r="G635" s="152" t="s">
        <v>4615</v>
      </c>
      <c r="H635" s="152" t="s">
        <v>4616</v>
      </c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89"/>
      <c r="Z635" s="189"/>
      <c r="AA635" s="157"/>
      <c r="AB635" s="152"/>
      <c r="AC635" s="152"/>
      <c r="AD635" s="152"/>
      <c r="AE635" s="185"/>
      <c r="AF635" s="185"/>
      <c r="AG635" s="185"/>
      <c r="AH635" s="185"/>
      <c r="AI635" s="185"/>
      <c r="AJ635" s="185"/>
      <c r="AK635" s="185"/>
      <c r="AL635" s="185"/>
      <c r="AM635" s="185"/>
      <c r="AN635" s="185"/>
      <c r="AO635" s="185"/>
      <c r="AP635" s="185"/>
      <c r="AQ635" s="185"/>
      <c r="AR635" s="185"/>
      <c r="AS635" s="185"/>
      <c r="AT635" s="185"/>
      <c r="AU635" s="185"/>
      <c r="AV635" s="185"/>
      <c r="AW635" s="185"/>
      <c r="AX635" s="185"/>
      <c r="AY635" s="185"/>
      <c r="AZ635" s="185"/>
      <c r="BA635" s="185"/>
      <c r="BB635" s="185"/>
      <c r="BC635" s="185"/>
      <c r="BD635" s="185"/>
      <c r="BE635" s="185"/>
    </row>
    <row r="636">
      <c r="A636" s="152"/>
      <c r="B636" s="152"/>
      <c r="C636" s="152"/>
      <c r="D636" s="152" t="s">
        <v>4617</v>
      </c>
      <c r="E636" s="152" t="s">
        <v>4618</v>
      </c>
      <c r="F636" s="152" t="s">
        <v>2002</v>
      </c>
      <c r="G636" s="152" t="s">
        <v>4619</v>
      </c>
      <c r="H636" s="152" t="s">
        <v>4620</v>
      </c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89"/>
      <c r="Z636" s="189"/>
      <c r="AA636" s="152"/>
      <c r="AB636" s="152"/>
      <c r="AC636" s="152"/>
      <c r="AD636" s="152"/>
      <c r="AE636" s="185"/>
      <c r="AF636" s="185"/>
      <c r="AG636" s="185"/>
      <c r="AH636" s="185"/>
      <c r="AI636" s="185"/>
      <c r="AJ636" s="185"/>
      <c r="AK636" s="185"/>
      <c r="AL636" s="185"/>
      <c r="AM636" s="185"/>
      <c r="AN636" s="185"/>
      <c r="AO636" s="185"/>
      <c r="AP636" s="185"/>
      <c r="AQ636" s="185"/>
      <c r="AR636" s="185"/>
      <c r="AS636" s="185"/>
      <c r="AT636" s="185"/>
      <c r="AU636" s="185"/>
      <c r="AV636" s="185"/>
      <c r="AW636" s="185"/>
      <c r="AX636" s="185"/>
      <c r="AY636" s="185"/>
      <c r="AZ636" s="185"/>
      <c r="BA636" s="185"/>
      <c r="BB636" s="185"/>
      <c r="BC636" s="185"/>
      <c r="BD636" s="185"/>
      <c r="BE636" s="185"/>
    </row>
    <row r="637">
      <c r="A637" s="152"/>
      <c r="B637" s="152"/>
      <c r="C637" s="152"/>
      <c r="D637" s="152" t="s">
        <v>4621</v>
      </c>
      <c r="E637" s="152" t="s">
        <v>4622</v>
      </c>
      <c r="F637" s="152" t="s">
        <v>332</v>
      </c>
      <c r="G637" s="152" t="s">
        <v>4623</v>
      </c>
      <c r="H637" s="152" t="s">
        <v>4623</v>
      </c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85"/>
      <c r="AF637" s="185"/>
      <c r="AG637" s="185"/>
      <c r="AH637" s="185"/>
      <c r="AI637" s="185"/>
      <c r="AJ637" s="185"/>
      <c r="AK637" s="185"/>
      <c r="AL637" s="185"/>
      <c r="AM637" s="185"/>
      <c r="AN637" s="185"/>
      <c r="AO637" s="185"/>
      <c r="AP637" s="185"/>
      <c r="AQ637" s="185"/>
      <c r="AR637" s="185"/>
      <c r="AS637" s="185"/>
      <c r="AT637" s="185"/>
      <c r="AU637" s="185"/>
      <c r="AV637" s="185"/>
      <c r="AW637" s="185"/>
      <c r="AX637" s="185"/>
      <c r="AY637" s="185"/>
      <c r="AZ637" s="185"/>
      <c r="BA637" s="185"/>
      <c r="BB637" s="185"/>
      <c r="BC637" s="185"/>
      <c r="BD637" s="185"/>
      <c r="BE637" s="185"/>
    </row>
    <row r="638">
      <c r="A638" s="152"/>
      <c r="B638" s="152"/>
      <c r="C638" s="152"/>
      <c r="D638" s="152" t="s">
        <v>4624</v>
      </c>
      <c r="E638" s="152" t="s">
        <v>4625</v>
      </c>
      <c r="F638" s="152" t="s">
        <v>332</v>
      </c>
      <c r="G638" s="152" t="s">
        <v>4626</v>
      </c>
      <c r="H638" s="152" t="s">
        <v>4627</v>
      </c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85"/>
      <c r="AF638" s="185"/>
      <c r="AG638" s="185"/>
      <c r="AH638" s="185"/>
      <c r="AI638" s="185"/>
      <c r="AJ638" s="185"/>
      <c r="AK638" s="185"/>
      <c r="AL638" s="185"/>
      <c r="AM638" s="185"/>
      <c r="AN638" s="185"/>
      <c r="AO638" s="185"/>
      <c r="AP638" s="185"/>
      <c r="AQ638" s="185"/>
      <c r="AR638" s="185"/>
      <c r="AS638" s="185"/>
      <c r="AT638" s="185"/>
      <c r="AU638" s="185"/>
      <c r="AV638" s="185"/>
      <c r="AW638" s="185"/>
      <c r="AX638" s="185"/>
      <c r="AY638" s="185"/>
      <c r="AZ638" s="185"/>
      <c r="BA638" s="185"/>
      <c r="BB638" s="185"/>
      <c r="BC638" s="185"/>
      <c r="BD638" s="185"/>
      <c r="BE638" s="185"/>
    </row>
    <row r="639">
      <c r="A639" s="152"/>
      <c r="B639" s="152"/>
      <c r="C639" s="152"/>
      <c r="D639" s="152" t="s">
        <v>4628</v>
      </c>
      <c r="E639" s="152" t="s">
        <v>4629</v>
      </c>
      <c r="F639" s="152"/>
      <c r="G639" s="152" t="s">
        <v>4177</v>
      </c>
      <c r="H639" s="152" t="s">
        <v>4630</v>
      </c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85"/>
      <c r="AF639" s="185"/>
      <c r="AG639" s="185"/>
      <c r="AH639" s="185"/>
      <c r="AI639" s="185"/>
      <c r="AJ639" s="185"/>
      <c r="AK639" s="185"/>
      <c r="AL639" s="185"/>
      <c r="AM639" s="185"/>
      <c r="AN639" s="185"/>
      <c r="AO639" s="185"/>
      <c r="AP639" s="185"/>
      <c r="AQ639" s="185"/>
      <c r="AR639" s="185"/>
      <c r="AS639" s="185"/>
      <c r="AT639" s="185"/>
      <c r="AU639" s="185"/>
      <c r="AV639" s="185"/>
      <c r="AW639" s="185"/>
      <c r="AX639" s="185"/>
      <c r="AY639" s="185"/>
      <c r="AZ639" s="185"/>
      <c r="BA639" s="185"/>
      <c r="BB639" s="185"/>
      <c r="BC639" s="185"/>
      <c r="BD639" s="185"/>
      <c r="BE639" s="185"/>
    </row>
    <row r="640">
      <c r="A640" s="152"/>
      <c r="B640" s="152"/>
      <c r="C640" s="152"/>
      <c r="D640" s="152" t="s">
        <v>4631</v>
      </c>
      <c r="E640" s="152" t="s">
        <v>4622</v>
      </c>
      <c r="F640" s="152" t="s">
        <v>332</v>
      </c>
      <c r="G640" s="152" t="s">
        <v>4632</v>
      </c>
      <c r="H640" s="152" t="s">
        <v>4633</v>
      </c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85"/>
      <c r="AF640" s="185"/>
      <c r="AG640" s="185"/>
      <c r="AH640" s="185"/>
      <c r="AI640" s="185"/>
      <c r="AJ640" s="185"/>
      <c r="AK640" s="185"/>
      <c r="AL640" s="185"/>
      <c r="AM640" s="185"/>
      <c r="AN640" s="185"/>
      <c r="AO640" s="185"/>
      <c r="AP640" s="185"/>
      <c r="AQ640" s="185"/>
      <c r="AR640" s="185"/>
      <c r="AS640" s="185"/>
      <c r="AT640" s="185"/>
      <c r="AU640" s="185"/>
      <c r="AV640" s="185"/>
      <c r="AW640" s="185"/>
      <c r="AX640" s="185"/>
      <c r="AY640" s="185"/>
      <c r="AZ640" s="185"/>
      <c r="BA640" s="185"/>
      <c r="BB640" s="185"/>
      <c r="BC640" s="185"/>
      <c r="BD640" s="185"/>
      <c r="BE640" s="185"/>
    </row>
    <row r="641">
      <c r="A641" s="152"/>
      <c r="B641" s="152"/>
      <c r="C641" s="152"/>
      <c r="D641" s="152" t="s">
        <v>4634</v>
      </c>
      <c r="E641" s="152" t="s">
        <v>4635</v>
      </c>
      <c r="F641" s="152" t="s">
        <v>363</v>
      </c>
      <c r="G641" s="163" t="s">
        <v>4636</v>
      </c>
      <c r="H641" s="152" t="s">
        <v>4637</v>
      </c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85"/>
      <c r="AF641" s="185"/>
      <c r="AG641" s="185"/>
      <c r="AH641" s="185"/>
      <c r="AI641" s="185"/>
      <c r="AJ641" s="185"/>
      <c r="AK641" s="185"/>
      <c r="AL641" s="185"/>
      <c r="AM641" s="185"/>
      <c r="AN641" s="185"/>
      <c r="AO641" s="185"/>
      <c r="AP641" s="185"/>
      <c r="AQ641" s="185"/>
      <c r="AR641" s="185"/>
      <c r="AS641" s="185"/>
      <c r="AT641" s="185"/>
      <c r="AU641" s="185"/>
      <c r="AV641" s="185"/>
      <c r="AW641" s="185"/>
      <c r="AX641" s="185"/>
      <c r="AY641" s="185"/>
      <c r="AZ641" s="185"/>
      <c r="BA641" s="185"/>
      <c r="BB641" s="185"/>
      <c r="BC641" s="185"/>
      <c r="BD641" s="185"/>
      <c r="BE641" s="185"/>
    </row>
    <row r="642">
      <c r="A642" s="152"/>
      <c r="B642" s="152"/>
      <c r="C642" s="152"/>
      <c r="D642" s="152" t="s">
        <v>4638</v>
      </c>
      <c r="E642" s="152" t="s">
        <v>4639</v>
      </c>
      <c r="F642" s="152" t="s">
        <v>332</v>
      </c>
      <c r="G642" s="152" t="s">
        <v>4640</v>
      </c>
      <c r="H642" s="152" t="s">
        <v>4641</v>
      </c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85"/>
      <c r="AF642" s="185"/>
      <c r="AG642" s="185"/>
      <c r="AH642" s="185"/>
      <c r="AI642" s="185"/>
      <c r="AJ642" s="185"/>
      <c r="AK642" s="185"/>
      <c r="AL642" s="185"/>
      <c r="AM642" s="185"/>
      <c r="AN642" s="185"/>
      <c r="AO642" s="185"/>
      <c r="AP642" s="185"/>
      <c r="AQ642" s="185"/>
      <c r="AR642" s="185"/>
      <c r="AS642" s="185"/>
      <c r="AT642" s="185"/>
      <c r="AU642" s="185"/>
      <c r="AV642" s="185"/>
      <c r="AW642" s="185"/>
      <c r="AX642" s="185"/>
      <c r="AY642" s="185"/>
      <c r="AZ642" s="185"/>
      <c r="BA642" s="185"/>
      <c r="BB642" s="185"/>
      <c r="BC642" s="185"/>
      <c r="BD642" s="185"/>
      <c r="BE642" s="185"/>
    </row>
    <row r="643">
      <c r="A643" s="152"/>
      <c r="B643" s="152"/>
      <c r="C643" s="152"/>
      <c r="D643" s="152" t="s">
        <v>4642</v>
      </c>
      <c r="E643" s="152" t="s">
        <v>4643</v>
      </c>
      <c r="F643" s="152" t="s">
        <v>939</v>
      </c>
      <c r="G643" s="152" t="s">
        <v>4644</v>
      </c>
      <c r="H643" s="152" t="s">
        <v>4645</v>
      </c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85"/>
      <c r="AF643" s="185"/>
      <c r="AG643" s="185"/>
      <c r="AH643" s="185"/>
      <c r="AI643" s="185"/>
      <c r="AJ643" s="185"/>
      <c r="AK643" s="185"/>
      <c r="AL643" s="185"/>
      <c r="AM643" s="185"/>
      <c r="AN643" s="185"/>
      <c r="AO643" s="185"/>
      <c r="AP643" s="185"/>
      <c r="AQ643" s="185"/>
      <c r="AR643" s="185"/>
      <c r="AS643" s="185"/>
      <c r="AT643" s="185"/>
      <c r="AU643" s="185"/>
      <c r="AV643" s="185"/>
      <c r="AW643" s="185"/>
      <c r="AX643" s="185"/>
      <c r="AY643" s="185"/>
      <c r="AZ643" s="185"/>
      <c r="BA643" s="185"/>
      <c r="BB643" s="185"/>
      <c r="BC643" s="185"/>
      <c r="BD643" s="185"/>
      <c r="BE643" s="185"/>
    </row>
    <row r="644">
      <c r="A644" s="152"/>
      <c r="B644" s="152"/>
      <c r="C644" s="152"/>
      <c r="D644" s="152" t="s">
        <v>4646</v>
      </c>
      <c r="E644" s="152" t="s">
        <v>4647</v>
      </c>
      <c r="F644" s="152" t="s">
        <v>363</v>
      </c>
      <c r="G644" s="152" t="s">
        <v>4648</v>
      </c>
      <c r="H644" s="152" t="s">
        <v>4648</v>
      </c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85"/>
      <c r="AF644" s="185"/>
      <c r="AG644" s="185"/>
      <c r="AH644" s="185"/>
      <c r="AI644" s="185"/>
      <c r="AJ644" s="185"/>
      <c r="AK644" s="185"/>
      <c r="AL644" s="185"/>
      <c r="AM644" s="185"/>
      <c r="AN644" s="185"/>
      <c r="AO644" s="185"/>
      <c r="AP644" s="185"/>
      <c r="AQ644" s="185"/>
      <c r="AR644" s="185"/>
      <c r="AS644" s="185"/>
      <c r="AT644" s="185"/>
      <c r="AU644" s="185"/>
      <c r="AV644" s="185"/>
      <c r="AW644" s="185"/>
      <c r="AX644" s="185"/>
      <c r="AY644" s="185"/>
      <c r="AZ644" s="185"/>
      <c r="BA644" s="185"/>
      <c r="BB644" s="185"/>
      <c r="BC644" s="185"/>
      <c r="BD644" s="185"/>
      <c r="BE644" s="185"/>
    </row>
    <row r="645">
      <c r="A645" s="152"/>
      <c r="B645" s="152"/>
      <c r="C645" s="152"/>
      <c r="D645" s="152" t="s">
        <v>4649</v>
      </c>
      <c r="E645" s="152" t="s">
        <v>4650</v>
      </c>
      <c r="F645" s="152" t="s">
        <v>806</v>
      </c>
      <c r="G645" s="163" t="s">
        <v>4651</v>
      </c>
      <c r="H645" s="152" t="s">
        <v>4652</v>
      </c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85"/>
      <c r="AF645" s="185"/>
      <c r="AG645" s="185"/>
      <c r="AH645" s="185"/>
      <c r="AI645" s="185"/>
      <c r="AJ645" s="185"/>
      <c r="AK645" s="185"/>
      <c r="AL645" s="185"/>
      <c r="AM645" s="185"/>
      <c r="AN645" s="185"/>
      <c r="AO645" s="185"/>
      <c r="AP645" s="185"/>
      <c r="AQ645" s="185"/>
      <c r="AR645" s="185"/>
      <c r="AS645" s="185"/>
      <c r="AT645" s="185"/>
      <c r="AU645" s="185"/>
      <c r="AV645" s="185"/>
      <c r="AW645" s="185"/>
      <c r="AX645" s="185"/>
      <c r="AY645" s="185"/>
      <c r="AZ645" s="185"/>
      <c r="BA645" s="185"/>
      <c r="BB645" s="185"/>
      <c r="BC645" s="185"/>
      <c r="BD645" s="185"/>
      <c r="BE645" s="185"/>
    </row>
    <row r="646">
      <c r="A646" s="152"/>
      <c r="B646" s="152"/>
      <c r="C646" s="152"/>
      <c r="D646" s="152" t="s">
        <v>4653</v>
      </c>
      <c r="E646" s="152" t="s">
        <v>4654</v>
      </c>
      <c r="F646" s="152" t="s">
        <v>332</v>
      </c>
      <c r="G646" s="152" t="s">
        <v>4655</v>
      </c>
      <c r="H646" s="152" t="s">
        <v>4656</v>
      </c>
      <c r="I646" s="152" t="s">
        <v>486</v>
      </c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85"/>
      <c r="AF646" s="185"/>
      <c r="AG646" s="185"/>
      <c r="AH646" s="185"/>
      <c r="AI646" s="185"/>
      <c r="AJ646" s="185"/>
      <c r="AK646" s="185"/>
      <c r="AL646" s="185"/>
      <c r="AM646" s="185"/>
      <c r="AN646" s="185"/>
      <c r="AO646" s="185"/>
      <c r="AP646" s="185"/>
      <c r="AQ646" s="185"/>
      <c r="AR646" s="185"/>
      <c r="AS646" s="185"/>
      <c r="AT646" s="185"/>
      <c r="AU646" s="185"/>
      <c r="AV646" s="185"/>
      <c r="AW646" s="185"/>
      <c r="AX646" s="185"/>
      <c r="AY646" s="185"/>
      <c r="AZ646" s="185"/>
      <c r="BA646" s="185"/>
      <c r="BB646" s="185"/>
      <c r="BC646" s="185"/>
      <c r="BD646" s="185"/>
      <c r="BE646" s="185"/>
    </row>
    <row r="647">
      <c r="A647" s="152"/>
      <c r="B647" s="152"/>
      <c r="C647" s="152"/>
      <c r="D647" s="152" t="s">
        <v>4657</v>
      </c>
      <c r="E647" s="152" t="s">
        <v>4658</v>
      </c>
      <c r="F647" s="152" t="s">
        <v>332</v>
      </c>
      <c r="G647" s="152" t="s">
        <v>4659</v>
      </c>
      <c r="H647" s="152" t="s">
        <v>4660</v>
      </c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85"/>
      <c r="AF647" s="185"/>
      <c r="AG647" s="185"/>
      <c r="AH647" s="185"/>
      <c r="AI647" s="185"/>
      <c r="AJ647" s="185"/>
      <c r="AK647" s="185"/>
      <c r="AL647" s="185"/>
      <c r="AM647" s="185"/>
      <c r="AN647" s="185"/>
      <c r="AO647" s="185"/>
      <c r="AP647" s="185"/>
      <c r="AQ647" s="185"/>
      <c r="AR647" s="185"/>
      <c r="AS647" s="185"/>
      <c r="AT647" s="185"/>
      <c r="AU647" s="185"/>
      <c r="AV647" s="185"/>
      <c r="AW647" s="185"/>
      <c r="AX647" s="185"/>
      <c r="AY647" s="185"/>
      <c r="AZ647" s="185"/>
      <c r="BA647" s="185"/>
      <c r="BB647" s="185"/>
      <c r="BC647" s="185"/>
      <c r="BD647" s="185"/>
      <c r="BE647" s="185"/>
    </row>
    <row r="648">
      <c r="A648" s="152"/>
      <c r="B648" s="152"/>
      <c r="C648" s="152"/>
      <c r="D648" s="152" t="s">
        <v>4661</v>
      </c>
      <c r="E648" s="152" t="s">
        <v>4662</v>
      </c>
      <c r="F648" s="152"/>
      <c r="G648" s="152" t="s">
        <v>4663</v>
      </c>
      <c r="H648" s="152" t="s">
        <v>4664</v>
      </c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85"/>
      <c r="AF648" s="185"/>
      <c r="AG648" s="185"/>
      <c r="AH648" s="185"/>
      <c r="AI648" s="185"/>
      <c r="AJ648" s="185"/>
      <c r="AK648" s="185"/>
      <c r="AL648" s="185"/>
      <c r="AM648" s="185"/>
      <c r="AN648" s="185"/>
      <c r="AO648" s="185"/>
      <c r="AP648" s="185"/>
      <c r="AQ648" s="185"/>
      <c r="AR648" s="185"/>
      <c r="AS648" s="185"/>
      <c r="AT648" s="185"/>
      <c r="AU648" s="185"/>
      <c r="AV648" s="185"/>
      <c r="AW648" s="185"/>
      <c r="AX648" s="185"/>
      <c r="AY648" s="185"/>
      <c r="AZ648" s="185"/>
      <c r="BA648" s="185"/>
      <c r="BB648" s="185"/>
      <c r="BC648" s="185"/>
      <c r="BD648" s="185"/>
      <c r="BE648" s="185"/>
    </row>
    <row r="649">
      <c r="A649" s="152"/>
      <c r="B649" s="152"/>
      <c r="C649" s="152"/>
      <c r="D649" s="152" t="s">
        <v>4665</v>
      </c>
      <c r="E649" s="152" t="s">
        <v>4666</v>
      </c>
      <c r="F649" s="152" t="s">
        <v>332</v>
      </c>
      <c r="G649" s="152" t="s">
        <v>4667</v>
      </c>
      <c r="H649" s="152" t="s">
        <v>4668</v>
      </c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85"/>
      <c r="AF649" s="185"/>
      <c r="AG649" s="185"/>
      <c r="AH649" s="185"/>
      <c r="AI649" s="185"/>
      <c r="AJ649" s="185"/>
      <c r="AK649" s="185"/>
      <c r="AL649" s="185"/>
      <c r="AM649" s="185"/>
      <c r="AN649" s="185"/>
      <c r="AO649" s="185"/>
      <c r="AP649" s="185"/>
      <c r="AQ649" s="185"/>
      <c r="AR649" s="185"/>
      <c r="AS649" s="185"/>
      <c r="AT649" s="185"/>
      <c r="AU649" s="185"/>
      <c r="AV649" s="185"/>
      <c r="AW649" s="185"/>
      <c r="AX649" s="185"/>
      <c r="AY649" s="185"/>
      <c r="AZ649" s="185"/>
      <c r="BA649" s="185"/>
      <c r="BB649" s="185"/>
      <c r="BC649" s="185"/>
      <c r="BD649" s="185"/>
      <c r="BE649" s="185"/>
    </row>
    <row r="650">
      <c r="A650" s="152"/>
      <c r="B650" s="152"/>
      <c r="C650" s="152"/>
      <c r="D650" s="152" t="s">
        <v>4669</v>
      </c>
      <c r="E650" s="152" t="s">
        <v>4670</v>
      </c>
      <c r="F650" s="152" t="s">
        <v>332</v>
      </c>
      <c r="G650" s="152" t="s">
        <v>4671</v>
      </c>
      <c r="H650" s="152" t="s">
        <v>4672</v>
      </c>
      <c r="I650" s="152" t="s">
        <v>486</v>
      </c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85"/>
      <c r="AF650" s="185"/>
      <c r="AG650" s="185"/>
      <c r="AH650" s="185"/>
      <c r="AI650" s="185"/>
      <c r="AJ650" s="185"/>
      <c r="AK650" s="185"/>
      <c r="AL650" s="185"/>
      <c r="AM650" s="185"/>
      <c r="AN650" s="185"/>
      <c r="AO650" s="185"/>
      <c r="AP650" s="185"/>
      <c r="AQ650" s="185"/>
      <c r="AR650" s="185"/>
      <c r="AS650" s="185"/>
      <c r="AT650" s="185"/>
      <c r="AU650" s="185"/>
      <c r="AV650" s="185"/>
      <c r="AW650" s="185"/>
      <c r="AX650" s="185"/>
      <c r="AY650" s="185"/>
      <c r="AZ650" s="185"/>
      <c r="BA650" s="185"/>
      <c r="BB650" s="185"/>
      <c r="BC650" s="185"/>
      <c r="BD650" s="185"/>
      <c r="BE650" s="185"/>
    </row>
    <row r="651">
      <c r="A651" s="152"/>
      <c r="B651" s="152"/>
      <c r="C651" s="152"/>
      <c r="D651" s="152" t="s">
        <v>4673</v>
      </c>
      <c r="E651" s="152" t="s">
        <v>4674</v>
      </c>
      <c r="F651" s="152"/>
      <c r="G651" s="163" t="s">
        <v>4675</v>
      </c>
      <c r="H651" s="152" t="s">
        <v>4676</v>
      </c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85"/>
      <c r="AF651" s="185"/>
      <c r="AG651" s="185"/>
      <c r="AH651" s="185"/>
      <c r="AI651" s="185"/>
      <c r="AJ651" s="185"/>
      <c r="AK651" s="185"/>
      <c r="AL651" s="185"/>
      <c r="AM651" s="185"/>
      <c r="AN651" s="185"/>
      <c r="AO651" s="185"/>
      <c r="AP651" s="185"/>
      <c r="AQ651" s="185"/>
      <c r="AR651" s="185"/>
      <c r="AS651" s="185"/>
      <c r="AT651" s="185"/>
      <c r="AU651" s="185"/>
      <c r="AV651" s="185"/>
      <c r="AW651" s="185"/>
      <c r="AX651" s="185"/>
      <c r="AY651" s="185"/>
      <c r="AZ651" s="185"/>
      <c r="BA651" s="185"/>
      <c r="BB651" s="185"/>
      <c r="BC651" s="185"/>
      <c r="BD651" s="185"/>
      <c r="BE651" s="185"/>
    </row>
    <row r="652">
      <c r="A652" s="152"/>
      <c r="B652" s="152"/>
      <c r="C652" s="152"/>
      <c r="D652" s="163" t="s">
        <v>4677</v>
      </c>
      <c r="E652" s="152" t="s">
        <v>4678</v>
      </c>
      <c r="F652" s="152" t="s">
        <v>1516</v>
      </c>
      <c r="G652" s="163" t="s">
        <v>4679</v>
      </c>
      <c r="H652" s="152" t="s">
        <v>4680</v>
      </c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85"/>
      <c r="AF652" s="185"/>
      <c r="AG652" s="185"/>
      <c r="AH652" s="185"/>
      <c r="AI652" s="185"/>
      <c r="AJ652" s="185"/>
      <c r="AK652" s="185"/>
      <c r="AL652" s="185"/>
      <c r="AM652" s="185"/>
      <c r="AN652" s="185"/>
      <c r="AO652" s="185"/>
      <c r="AP652" s="185"/>
      <c r="AQ652" s="185"/>
      <c r="AR652" s="185"/>
      <c r="AS652" s="185"/>
      <c r="AT652" s="185"/>
      <c r="AU652" s="185"/>
      <c r="AV652" s="185"/>
      <c r="AW652" s="185"/>
      <c r="AX652" s="185"/>
      <c r="AY652" s="185"/>
      <c r="AZ652" s="185"/>
      <c r="BA652" s="185"/>
      <c r="BB652" s="185"/>
      <c r="BC652" s="185"/>
      <c r="BD652" s="185"/>
      <c r="BE652" s="185"/>
    </row>
    <row r="653">
      <c r="A653" s="152"/>
      <c r="B653" s="152"/>
      <c r="C653" s="152"/>
      <c r="D653" s="152" t="s">
        <v>4681</v>
      </c>
      <c r="E653" s="152" t="s">
        <v>4682</v>
      </c>
      <c r="F653" s="152" t="s">
        <v>332</v>
      </c>
      <c r="G653" s="152" t="s">
        <v>4683</v>
      </c>
      <c r="H653" s="152" t="s">
        <v>4683</v>
      </c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85"/>
      <c r="AF653" s="185"/>
      <c r="AG653" s="185"/>
      <c r="AH653" s="185"/>
      <c r="AI653" s="185"/>
      <c r="AJ653" s="185"/>
      <c r="AK653" s="185"/>
      <c r="AL653" s="185"/>
      <c r="AM653" s="185"/>
      <c r="AN653" s="185"/>
      <c r="AO653" s="185"/>
      <c r="AP653" s="185"/>
      <c r="AQ653" s="185"/>
      <c r="AR653" s="185"/>
      <c r="AS653" s="185"/>
      <c r="AT653" s="185"/>
      <c r="AU653" s="185"/>
      <c r="AV653" s="185"/>
      <c r="AW653" s="185"/>
      <c r="AX653" s="185"/>
      <c r="AY653" s="185"/>
      <c r="AZ653" s="185"/>
      <c r="BA653" s="185"/>
      <c r="BB653" s="185"/>
      <c r="BC653" s="185"/>
      <c r="BD653" s="185"/>
      <c r="BE653" s="185"/>
    </row>
    <row r="654">
      <c r="A654" s="152"/>
      <c r="B654" s="152"/>
      <c r="C654" s="152"/>
      <c r="D654" s="152" t="s">
        <v>4684</v>
      </c>
      <c r="E654" s="152" t="s">
        <v>4685</v>
      </c>
      <c r="F654" s="152"/>
      <c r="G654" s="152" t="s">
        <v>4686</v>
      </c>
      <c r="H654" s="152" t="s">
        <v>4687</v>
      </c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85"/>
      <c r="AF654" s="185"/>
      <c r="AG654" s="185"/>
      <c r="AH654" s="185"/>
      <c r="AI654" s="185"/>
      <c r="AJ654" s="185"/>
      <c r="AK654" s="185"/>
      <c r="AL654" s="185"/>
      <c r="AM654" s="185"/>
      <c r="AN654" s="185"/>
      <c r="AO654" s="185"/>
      <c r="AP654" s="185"/>
      <c r="AQ654" s="185"/>
      <c r="AR654" s="185"/>
      <c r="AS654" s="185"/>
      <c r="AT654" s="185"/>
      <c r="AU654" s="185"/>
      <c r="AV654" s="185"/>
      <c r="AW654" s="185"/>
      <c r="AX654" s="185"/>
      <c r="AY654" s="185"/>
      <c r="AZ654" s="185"/>
      <c r="BA654" s="185"/>
      <c r="BB654" s="185"/>
      <c r="BC654" s="185"/>
      <c r="BD654" s="185"/>
      <c r="BE654" s="185"/>
    </row>
    <row r="655">
      <c r="A655" s="152"/>
      <c r="B655" s="152"/>
      <c r="C655" s="152"/>
      <c r="D655" s="152" t="s">
        <v>4688</v>
      </c>
      <c r="E655" s="152" t="s">
        <v>4689</v>
      </c>
      <c r="F655" s="152"/>
      <c r="G655" s="152" t="s">
        <v>4690</v>
      </c>
      <c r="H655" s="152" t="s">
        <v>4691</v>
      </c>
      <c r="I655" s="152" t="s">
        <v>486</v>
      </c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85"/>
      <c r="AF655" s="185"/>
      <c r="AG655" s="185"/>
      <c r="AH655" s="185"/>
      <c r="AI655" s="185"/>
      <c r="AJ655" s="185"/>
      <c r="AK655" s="185"/>
      <c r="AL655" s="185"/>
      <c r="AM655" s="185"/>
      <c r="AN655" s="185"/>
      <c r="AO655" s="185"/>
      <c r="AP655" s="185"/>
      <c r="AQ655" s="185"/>
      <c r="AR655" s="185"/>
      <c r="AS655" s="185"/>
      <c r="AT655" s="185"/>
      <c r="AU655" s="185"/>
      <c r="AV655" s="185"/>
      <c r="AW655" s="185"/>
      <c r="AX655" s="185"/>
      <c r="AY655" s="185"/>
      <c r="AZ655" s="185"/>
      <c r="BA655" s="185"/>
      <c r="BB655" s="185"/>
      <c r="BC655" s="185"/>
      <c r="BD655" s="185"/>
      <c r="BE655" s="185"/>
    </row>
    <row r="656">
      <c r="A656" s="152"/>
      <c r="B656" s="152"/>
      <c r="C656" s="152"/>
      <c r="D656" s="152" t="s">
        <v>4692</v>
      </c>
      <c r="E656" s="152" t="s">
        <v>4693</v>
      </c>
      <c r="F656" s="152" t="s">
        <v>332</v>
      </c>
      <c r="G656" s="163" t="s">
        <v>4694</v>
      </c>
      <c r="H656" s="152" t="s">
        <v>4695</v>
      </c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85"/>
      <c r="AF656" s="185"/>
      <c r="AG656" s="185"/>
      <c r="AH656" s="185"/>
      <c r="AI656" s="185"/>
      <c r="AJ656" s="185"/>
      <c r="AK656" s="185"/>
      <c r="AL656" s="185"/>
      <c r="AM656" s="185"/>
      <c r="AN656" s="185"/>
      <c r="AO656" s="185"/>
      <c r="AP656" s="185"/>
      <c r="AQ656" s="185"/>
      <c r="AR656" s="185"/>
      <c r="AS656" s="185"/>
      <c r="AT656" s="185"/>
      <c r="AU656" s="185"/>
      <c r="AV656" s="185"/>
      <c r="AW656" s="185"/>
      <c r="AX656" s="185"/>
      <c r="AY656" s="185"/>
      <c r="AZ656" s="185"/>
      <c r="BA656" s="185"/>
      <c r="BB656" s="185"/>
      <c r="BC656" s="185"/>
      <c r="BD656" s="185"/>
      <c r="BE656" s="185"/>
    </row>
    <row r="657">
      <c r="A657" s="152"/>
      <c r="B657" s="152"/>
      <c r="C657" s="152"/>
      <c r="D657" s="152" t="s">
        <v>4696</v>
      </c>
      <c r="E657" s="152" t="s">
        <v>4697</v>
      </c>
      <c r="F657" s="152" t="s">
        <v>2675</v>
      </c>
      <c r="G657" s="152" t="s">
        <v>4698</v>
      </c>
      <c r="H657" s="152" t="s">
        <v>4698</v>
      </c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85"/>
      <c r="AF657" s="185"/>
      <c r="AG657" s="185"/>
      <c r="AH657" s="185"/>
      <c r="AI657" s="185"/>
      <c r="AJ657" s="185"/>
      <c r="AK657" s="185"/>
      <c r="AL657" s="185"/>
      <c r="AM657" s="185"/>
      <c r="AN657" s="185"/>
      <c r="AO657" s="185"/>
      <c r="AP657" s="185"/>
      <c r="AQ657" s="185"/>
      <c r="AR657" s="185"/>
      <c r="AS657" s="185"/>
      <c r="AT657" s="185"/>
      <c r="AU657" s="185"/>
      <c r="AV657" s="185"/>
      <c r="AW657" s="185"/>
      <c r="AX657" s="185"/>
      <c r="AY657" s="185"/>
      <c r="AZ657" s="185"/>
      <c r="BA657" s="185"/>
      <c r="BB657" s="185"/>
      <c r="BC657" s="185"/>
      <c r="BD657" s="185"/>
      <c r="BE657" s="185"/>
    </row>
    <row r="658">
      <c r="A658" s="152"/>
      <c r="B658" s="152"/>
      <c r="C658" s="152"/>
      <c r="D658" s="152" t="s">
        <v>4699</v>
      </c>
      <c r="E658" s="152" t="s">
        <v>4700</v>
      </c>
      <c r="F658" s="152" t="s">
        <v>363</v>
      </c>
      <c r="G658" s="152" t="s">
        <v>4701</v>
      </c>
      <c r="H658" s="152" t="s">
        <v>4702</v>
      </c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85"/>
      <c r="AF658" s="185"/>
      <c r="AG658" s="185"/>
      <c r="AH658" s="185"/>
      <c r="AI658" s="185"/>
      <c r="AJ658" s="185"/>
      <c r="AK658" s="185"/>
      <c r="AL658" s="185"/>
      <c r="AM658" s="185"/>
      <c r="AN658" s="185"/>
      <c r="AO658" s="185"/>
      <c r="AP658" s="185"/>
      <c r="AQ658" s="185"/>
      <c r="AR658" s="185"/>
      <c r="AS658" s="185"/>
      <c r="AT658" s="185"/>
      <c r="AU658" s="185"/>
      <c r="AV658" s="185"/>
      <c r="AW658" s="185"/>
      <c r="AX658" s="185"/>
      <c r="AY658" s="185"/>
      <c r="AZ658" s="185"/>
      <c r="BA658" s="185"/>
      <c r="BB658" s="185"/>
      <c r="BC658" s="185"/>
      <c r="BD658" s="185"/>
      <c r="BE658" s="185"/>
    </row>
    <row r="659">
      <c r="A659" s="152"/>
      <c r="B659" s="152"/>
      <c r="C659" s="152"/>
      <c r="D659" s="152" t="s">
        <v>4703</v>
      </c>
      <c r="E659" s="152" t="s">
        <v>4704</v>
      </c>
      <c r="F659" s="152" t="s">
        <v>332</v>
      </c>
      <c r="G659" s="152" t="s">
        <v>4705</v>
      </c>
      <c r="H659" s="152" t="s">
        <v>4706</v>
      </c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85"/>
      <c r="AF659" s="185"/>
      <c r="AG659" s="185"/>
      <c r="AH659" s="185"/>
      <c r="AI659" s="185"/>
      <c r="AJ659" s="185"/>
      <c r="AK659" s="185"/>
      <c r="AL659" s="185"/>
      <c r="AM659" s="185"/>
      <c r="AN659" s="185"/>
      <c r="AO659" s="185"/>
      <c r="AP659" s="185"/>
      <c r="AQ659" s="185"/>
      <c r="AR659" s="185"/>
      <c r="AS659" s="185"/>
      <c r="AT659" s="185"/>
      <c r="AU659" s="185"/>
      <c r="AV659" s="185"/>
      <c r="AW659" s="185"/>
      <c r="AX659" s="185"/>
      <c r="AY659" s="185"/>
      <c r="AZ659" s="185"/>
      <c r="BA659" s="185"/>
      <c r="BB659" s="185"/>
      <c r="BC659" s="185"/>
      <c r="BD659" s="185"/>
      <c r="BE659" s="185"/>
    </row>
    <row r="660">
      <c r="A660" s="152"/>
      <c r="B660" s="152"/>
      <c r="C660" s="152"/>
      <c r="D660" s="152" t="s">
        <v>4707</v>
      </c>
      <c r="E660" s="152" t="s">
        <v>4708</v>
      </c>
      <c r="F660" s="152" t="s">
        <v>332</v>
      </c>
      <c r="G660" s="152" t="s">
        <v>4709</v>
      </c>
      <c r="H660" s="152" t="s">
        <v>4710</v>
      </c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85"/>
      <c r="AF660" s="185"/>
      <c r="AG660" s="185"/>
      <c r="AH660" s="185"/>
      <c r="AI660" s="185"/>
      <c r="AJ660" s="185"/>
      <c r="AK660" s="185"/>
      <c r="AL660" s="185"/>
      <c r="AM660" s="185"/>
      <c r="AN660" s="185"/>
      <c r="AO660" s="185"/>
      <c r="AP660" s="185"/>
      <c r="AQ660" s="185"/>
      <c r="AR660" s="185"/>
      <c r="AS660" s="185"/>
      <c r="AT660" s="185"/>
      <c r="AU660" s="185"/>
      <c r="AV660" s="185"/>
      <c r="AW660" s="185"/>
      <c r="AX660" s="185"/>
      <c r="AY660" s="185"/>
      <c r="AZ660" s="185"/>
      <c r="BA660" s="185"/>
      <c r="BB660" s="185"/>
      <c r="BC660" s="185"/>
      <c r="BD660" s="185"/>
      <c r="BE660" s="185"/>
    </row>
    <row r="661">
      <c r="A661" s="152"/>
      <c r="B661" s="152"/>
      <c r="C661" s="152"/>
      <c r="D661" s="152" t="s">
        <v>4711</v>
      </c>
      <c r="E661" s="152" t="s">
        <v>4712</v>
      </c>
      <c r="F661" s="152" t="s">
        <v>332</v>
      </c>
      <c r="G661" s="152" t="s">
        <v>4713</v>
      </c>
      <c r="H661" s="152" t="s">
        <v>4714</v>
      </c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85"/>
      <c r="AF661" s="185"/>
      <c r="AG661" s="185"/>
      <c r="AH661" s="185"/>
      <c r="AI661" s="185"/>
      <c r="AJ661" s="185"/>
      <c r="AK661" s="185"/>
      <c r="AL661" s="185"/>
      <c r="AM661" s="185"/>
      <c r="AN661" s="185"/>
      <c r="AO661" s="185"/>
      <c r="AP661" s="185"/>
      <c r="AQ661" s="185"/>
      <c r="AR661" s="185"/>
      <c r="AS661" s="185"/>
      <c r="AT661" s="185"/>
      <c r="AU661" s="185"/>
      <c r="AV661" s="185"/>
      <c r="AW661" s="185"/>
      <c r="AX661" s="185"/>
      <c r="AY661" s="185"/>
      <c r="AZ661" s="185"/>
      <c r="BA661" s="185"/>
      <c r="BB661" s="185"/>
      <c r="BC661" s="185"/>
      <c r="BD661" s="185"/>
      <c r="BE661" s="185"/>
    </row>
    <row r="662">
      <c r="A662" s="152"/>
      <c r="B662" s="152"/>
      <c r="C662" s="152"/>
      <c r="D662" s="152" t="s">
        <v>4715</v>
      </c>
      <c r="E662" s="152" t="s">
        <v>4716</v>
      </c>
      <c r="F662" s="152" t="s">
        <v>806</v>
      </c>
      <c r="G662" s="152" t="s">
        <v>4717</v>
      </c>
      <c r="H662" s="152" t="s">
        <v>4718</v>
      </c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85"/>
      <c r="AF662" s="185"/>
      <c r="AG662" s="185"/>
      <c r="AH662" s="185"/>
      <c r="AI662" s="185"/>
      <c r="AJ662" s="185"/>
      <c r="AK662" s="185"/>
      <c r="AL662" s="185"/>
      <c r="AM662" s="185"/>
      <c r="AN662" s="185"/>
      <c r="AO662" s="185"/>
      <c r="AP662" s="185"/>
      <c r="AQ662" s="185"/>
      <c r="AR662" s="185"/>
      <c r="AS662" s="185"/>
      <c r="AT662" s="185"/>
      <c r="AU662" s="185"/>
      <c r="AV662" s="185"/>
      <c r="AW662" s="185"/>
      <c r="AX662" s="185"/>
      <c r="AY662" s="185"/>
      <c r="AZ662" s="185"/>
      <c r="BA662" s="185"/>
      <c r="BB662" s="185"/>
      <c r="BC662" s="185"/>
      <c r="BD662" s="185"/>
      <c r="BE662" s="185"/>
    </row>
    <row r="663">
      <c r="A663" s="152"/>
      <c r="B663" s="152"/>
      <c r="C663" s="152"/>
      <c r="D663" s="152" t="s">
        <v>4719</v>
      </c>
      <c r="E663" s="152" t="s">
        <v>4720</v>
      </c>
      <c r="F663" s="152" t="s">
        <v>332</v>
      </c>
      <c r="G663" s="152" t="s">
        <v>4721</v>
      </c>
      <c r="H663" s="152" t="s">
        <v>4722</v>
      </c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85"/>
      <c r="AF663" s="185"/>
      <c r="AG663" s="185"/>
      <c r="AH663" s="185"/>
      <c r="AI663" s="185"/>
      <c r="AJ663" s="185"/>
      <c r="AK663" s="185"/>
      <c r="AL663" s="185"/>
      <c r="AM663" s="185"/>
      <c r="AN663" s="185"/>
      <c r="AO663" s="185"/>
      <c r="AP663" s="185"/>
      <c r="AQ663" s="185"/>
      <c r="AR663" s="185"/>
      <c r="AS663" s="185"/>
      <c r="AT663" s="185"/>
      <c r="AU663" s="185"/>
      <c r="AV663" s="185"/>
      <c r="AW663" s="185"/>
      <c r="AX663" s="185"/>
      <c r="AY663" s="185"/>
      <c r="AZ663" s="185"/>
      <c r="BA663" s="185"/>
      <c r="BB663" s="185"/>
      <c r="BC663" s="185"/>
      <c r="BD663" s="185"/>
      <c r="BE663" s="185"/>
    </row>
    <row r="664">
      <c r="A664" s="152"/>
      <c r="B664" s="152"/>
      <c r="C664" s="152"/>
      <c r="D664" s="152" t="s">
        <v>4723</v>
      </c>
      <c r="E664" s="152" t="s">
        <v>4723</v>
      </c>
      <c r="F664" s="152" t="s">
        <v>332</v>
      </c>
      <c r="G664" s="152" t="s">
        <v>4724</v>
      </c>
      <c r="H664" s="152" t="s">
        <v>4725</v>
      </c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85"/>
      <c r="AF664" s="185"/>
      <c r="AG664" s="185"/>
      <c r="AH664" s="185"/>
      <c r="AI664" s="185"/>
      <c r="AJ664" s="185"/>
      <c r="AK664" s="185"/>
      <c r="AL664" s="185"/>
      <c r="AM664" s="185"/>
      <c r="AN664" s="185"/>
      <c r="AO664" s="185"/>
      <c r="AP664" s="185"/>
      <c r="AQ664" s="185"/>
      <c r="AR664" s="185"/>
      <c r="AS664" s="185"/>
      <c r="AT664" s="185"/>
      <c r="AU664" s="185"/>
      <c r="AV664" s="185"/>
      <c r="AW664" s="185"/>
      <c r="AX664" s="185"/>
      <c r="AY664" s="185"/>
      <c r="AZ664" s="185"/>
      <c r="BA664" s="185"/>
      <c r="BB664" s="185"/>
      <c r="BC664" s="185"/>
      <c r="BD664" s="185"/>
      <c r="BE664" s="185"/>
    </row>
    <row r="665">
      <c r="A665" s="152"/>
      <c r="B665" s="152"/>
      <c r="C665" s="152"/>
      <c r="D665" s="152" t="s">
        <v>4726</v>
      </c>
      <c r="E665" s="152" t="s">
        <v>4727</v>
      </c>
      <c r="F665" s="152" t="s">
        <v>332</v>
      </c>
      <c r="G665" s="152" t="s">
        <v>4728</v>
      </c>
      <c r="H665" s="152" t="s">
        <v>4729</v>
      </c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85"/>
      <c r="AF665" s="185"/>
      <c r="AG665" s="185"/>
      <c r="AH665" s="185"/>
      <c r="AI665" s="185"/>
      <c r="AJ665" s="185"/>
      <c r="AK665" s="185"/>
      <c r="AL665" s="185"/>
      <c r="AM665" s="185"/>
      <c r="AN665" s="185"/>
      <c r="AO665" s="185"/>
      <c r="AP665" s="185"/>
      <c r="AQ665" s="185"/>
      <c r="AR665" s="185"/>
      <c r="AS665" s="185"/>
      <c r="AT665" s="185"/>
      <c r="AU665" s="185"/>
      <c r="AV665" s="185"/>
      <c r="AW665" s="185"/>
      <c r="AX665" s="185"/>
      <c r="AY665" s="185"/>
      <c r="AZ665" s="185"/>
      <c r="BA665" s="185"/>
      <c r="BB665" s="185"/>
      <c r="BC665" s="185"/>
      <c r="BD665" s="185"/>
      <c r="BE665" s="185"/>
    </row>
    <row r="666">
      <c r="A666" s="152"/>
      <c r="B666" s="152"/>
      <c r="C666" s="152"/>
      <c r="D666" s="152" t="s">
        <v>4730</v>
      </c>
      <c r="E666" s="152" t="s">
        <v>4731</v>
      </c>
      <c r="F666" s="152"/>
      <c r="G666" s="152" t="s">
        <v>4732</v>
      </c>
      <c r="H666" s="152" t="s">
        <v>4733</v>
      </c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85"/>
      <c r="AF666" s="185"/>
      <c r="AG666" s="185"/>
      <c r="AH666" s="185"/>
      <c r="AI666" s="185"/>
      <c r="AJ666" s="185"/>
      <c r="AK666" s="185"/>
      <c r="AL666" s="185"/>
      <c r="AM666" s="185"/>
      <c r="AN666" s="185"/>
      <c r="AO666" s="185"/>
      <c r="AP666" s="185"/>
      <c r="AQ666" s="185"/>
      <c r="AR666" s="185"/>
      <c r="AS666" s="185"/>
      <c r="AT666" s="185"/>
      <c r="AU666" s="185"/>
      <c r="AV666" s="185"/>
      <c r="AW666" s="185"/>
      <c r="AX666" s="185"/>
      <c r="AY666" s="185"/>
      <c r="AZ666" s="185"/>
      <c r="BA666" s="185"/>
      <c r="BB666" s="185"/>
      <c r="BC666" s="185"/>
      <c r="BD666" s="185"/>
      <c r="BE666" s="185"/>
    </row>
    <row r="667">
      <c r="A667" s="152"/>
      <c r="B667" s="152"/>
      <c r="C667" s="152"/>
      <c r="D667" s="152" t="s">
        <v>4734</v>
      </c>
      <c r="E667" s="152" t="s">
        <v>4735</v>
      </c>
      <c r="F667" s="152" t="s">
        <v>332</v>
      </c>
      <c r="G667" s="152" t="s">
        <v>4736</v>
      </c>
      <c r="H667" s="152" t="s">
        <v>4737</v>
      </c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85"/>
      <c r="AF667" s="185"/>
      <c r="AG667" s="185"/>
      <c r="AH667" s="185"/>
      <c r="AI667" s="185"/>
      <c r="AJ667" s="185"/>
      <c r="AK667" s="185"/>
      <c r="AL667" s="185"/>
      <c r="AM667" s="185"/>
      <c r="AN667" s="185"/>
      <c r="AO667" s="185"/>
      <c r="AP667" s="185"/>
      <c r="AQ667" s="185"/>
      <c r="AR667" s="185"/>
      <c r="AS667" s="185"/>
      <c r="AT667" s="185"/>
      <c r="AU667" s="185"/>
      <c r="AV667" s="185"/>
      <c r="AW667" s="185"/>
      <c r="AX667" s="185"/>
      <c r="AY667" s="185"/>
      <c r="AZ667" s="185"/>
      <c r="BA667" s="185"/>
      <c r="BB667" s="185"/>
      <c r="BC667" s="185"/>
      <c r="BD667" s="185"/>
      <c r="BE667" s="185"/>
    </row>
    <row r="668">
      <c r="A668" s="152"/>
      <c r="B668" s="152"/>
      <c r="C668" s="152"/>
      <c r="D668" s="152" t="s">
        <v>4738</v>
      </c>
      <c r="E668" s="152" t="s">
        <v>4739</v>
      </c>
      <c r="F668" s="152" t="s">
        <v>332</v>
      </c>
      <c r="G668" s="152" t="s">
        <v>4337</v>
      </c>
      <c r="H668" s="152" t="s">
        <v>4740</v>
      </c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85"/>
      <c r="AF668" s="185"/>
      <c r="AG668" s="185"/>
      <c r="AH668" s="185"/>
      <c r="AI668" s="185"/>
      <c r="AJ668" s="185"/>
      <c r="AK668" s="185"/>
      <c r="AL668" s="185"/>
      <c r="AM668" s="185"/>
      <c r="AN668" s="185"/>
      <c r="AO668" s="185"/>
      <c r="AP668" s="185"/>
      <c r="AQ668" s="185"/>
      <c r="AR668" s="185"/>
      <c r="AS668" s="185"/>
      <c r="AT668" s="185"/>
      <c r="AU668" s="185"/>
      <c r="AV668" s="185"/>
      <c r="AW668" s="185"/>
      <c r="AX668" s="185"/>
      <c r="AY668" s="185"/>
      <c r="AZ668" s="185"/>
      <c r="BA668" s="185"/>
      <c r="BB668" s="185"/>
      <c r="BC668" s="185"/>
      <c r="BD668" s="185"/>
      <c r="BE668" s="185"/>
    </row>
    <row r="669">
      <c r="A669" s="152"/>
      <c r="B669" s="152"/>
      <c r="C669" s="152"/>
      <c r="D669" s="152" t="s">
        <v>4741</v>
      </c>
      <c r="E669" s="152" t="s">
        <v>4742</v>
      </c>
      <c r="F669" s="152" t="s">
        <v>332</v>
      </c>
      <c r="G669" s="152" t="s">
        <v>4743</v>
      </c>
      <c r="H669" s="152" t="s">
        <v>4744</v>
      </c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85"/>
      <c r="AF669" s="185"/>
      <c r="AG669" s="185"/>
      <c r="AH669" s="185"/>
      <c r="AI669" s="185"/>
      <c r="AJ669" s="185"/>
      <c r="AK669" s="185"/>
      <c r="AL669" s="185"/>
      <c r="AM669" s="185"/>
      <c r="AN669" s="185"/>
      <c r="AO669" s="185"/>
      <c r="AP669" s="185"/>
      <c r="AQ669" s="185"/>
      <c r="AR669" s="185"/>
      <c r="AS669" s="185"/>
      <c r="AT669" s="185"/>
      <c r="AU669" s="185"/>
      <c r="AV669" s="185"/>
      <c r="AW669" s="185"/>
      <c r="AX669" s="185"/>
      <c r="AY669" s="185"/>
      <c r="AZ669" s="185"/>
      <c r="BA669" s="185"/>
      <c r="BB669" s="185"/>
      <c r="BC669" s="185"/>
      <c r="BD669" s="185"/>
      <c r="BE669" s="185"/>
    </row>
    <row r="670">
      <c r="A670" s="152" t="s">
        <v>4745</v>
      </c>
      <c r="B670" s="152"/>
      <c r="C670" s="152"/>
      <c r="D670" s="152" t="s">
        <v>4746</v>
      </c>
      <c r="E670" s="152" t="s">
        <v>4747</v>
      </c>
      <c r="F670" s="152" t="s">
        <v>332</v>
      </c>
      <c r="G670" s="163" t="s">
        <v>4748</v>
      </c>
      <c r="H670" s="152" t="s">
        <v>3599</v>
      </c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85"/>
      <c r="AF670" s="185"/>
      <c r="AG670" s="185"/>
      <c r="AH670" s="185"/>
      <c r="AI670" s="185"/>
      <c r="AJ670" s="185"/>
      <c r="AK670" s="185"/>
      <c r="AL670" s="185"/>
      <c r="AM670" s="185"/>
      <c r="AN670" s="185"/>
      <c r="AO670" s="185"/>
      <c r="AP670" s="185"/>
      <c r="AQ670" s="185"/>
      <c r="AR670" s="185"/>
      <c r="AS670" s="185"/>
      <c r="AT670" s="185"/>
      <c r="AU670" s="185"/>
      <c r="AV670" s="185"/>
      <c r="AW670" s="185"/>
      <c r="AX670" s="185"/>
      <c r="AY670" s="185"/>
      <c r="AZ670" s="185"/>
      <c r="BA670" s="185"/>
      <c r="BB670" s="185"/>
      <c r="BC670" s="185"/>
      <c r="BD670" s="185"/>
      <c r="BE670" s="185"/>
    </row>
    <row r="671">
      <c r="A671" s="152"/>
      <c r="B671" s="152"/>
      <c r="C671" s="152"/>
      <c r="D671" s="152" t="s">
        <v>4749</v>
      </c>
      <c r="E671" s="152" t="s">
        <v>4750</v>
      </c>
      <c r="F671" s="152"/>
      <c r="G671" s="152" t="s">
        <v>4751</v>
      </c>
      <c r="H671" s="152" t="s">
        <v>4752</v>
      </c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85"/>
      <c r="AF671" s="185"/>
      <c r="AG671" s="185"/>
      <c r="AH671" s="185"/>
      <c r="AI671" s="185"/>
      <c r="AJ671" s="185"/>
      <c r="AK671" s="185"/>
      <c r="AL671" s="185"/>
      <c r="AM671" s="185"/>
      <c r="AN671" s="185"/>
      <c r="AO671" s="185"/>
      <c r="AP671" s="185"/>
      <c r="AQ671" s="185"/>
      <c r="AR671" s="185"/>
      <c r="AS671" s="185"/>
      <c r="AT671" s="185"/>
      <c r="AU671" s="185"/>
      <c r="AV671" s="185"/>
      <c r="AW671" s="185"/>
      <c r="AX671" s="185"/>
      <c r="AY671" s="185"/>
      <c r="AZ671" s="185"/>
      <c r="BA671" s="185"/>
      <c r="BB671" s="185"/>
      <c r="BC671" s="185"/>
      <c r="BD671" s="185"/>
      <c r="BE671" s="185"/>
    </row>
    <row r="672">
      <c r="A672" s="152"/>
      <c r="B672" s="152"/>
      <c r="C672" s="152"/>
      <c r="D672" s="152" t="s">
        <v>4753</v>
      </c>
      <c r="E672" s="152" t="s">
        <v>4754</v>
      </c>
      <c r="F672" s="152" t="s">
        <v>332</v>
      </c>
      <c r="G672" s="163" t="s">
        <v>4755</v>
      </c>
      <c r="H672" s="152" t="s">
        <v>4756</v>
      </c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85"/>
      <c r="AF672" s="185"/>
      <c r="AG672" s="185"/>
      <c r="AH672" s="185"/>
      <c r="AI672" s="185"/>
      <c r="AJ672" s="185"/>
      <c r="AK672" s="185"/>
      <c r="AL672" s="185"/>
      <c r="AM672" s="185"/>
      <c r="AN672" s="185"/>
      <c r="AO672" s="185"/>
      <c r="AP672" s="185"/>
      <c r="AQ672" s="185"/>
      <c r="AR672" s="185"/>
      <c r="AS672" s="185"/>
      <c r="AT672" s="185"/>
      <c r="AU672" s="185"/>
      <c r="AV672" s="185"/>
      <c r="AW672" s="185"/>
      <c r="AX672" s="185"/>
      <c r="AY672" s="185"/>
      <c r="AZ672" s="185"/>
      <c r="BA672" s="185"/>
      <c r="BB672" s="185"/>
      <c r="BC672" s="185"/>
      <c r="BD672" s="185"/>
      <c r="BE672" s="185"/>
    </row>
    <row r="673">
      <c r="A673" s="152"/>
      <c r="B673" s="152"/>
      <c r="C673" s="152"/>
      <c r="D673" s="152" t="s">
        <v>4757</v>
      </c>
      <c r="E673" s="152" t="s">
        <v>3687</v>
      </c>
      <c r="F673" s="152"/>
      <c r="G673" s="163" t="s">
        <v>4758</v>
      </c>
      <c r="H673" s="152" t="s">
        <v>4759</v>
      </c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85"/>
      <c r="AF673" s="185"/>
      <c r="AG673" s="185"/>
      <c r="AH673" s="185"/>
      <c r="AI673" s="185"/>
      <c r="AJ673" s="185"/>
      <c r="AK673" s="185"/>
      <c r="AL673" s="185"/>
      <c r="AM673" s="185"/>
      <c r="AN673" s="185"/>
      <c r="AO673" s="185"/>
      <c r="AP673" s="185"/>
      <c r="AQ673" s="185"/>
      <c r="AR673" s="185"/>
      <c r="AS673" s="185"/>
      <c r="AT673" s="185"/>
      <c r="AU673" s="185"/>
      <c r="AV673" s="185"/>
      <c r="AW673" s="185"/>
      <c r="AX673" s="185"/>
      <c r="AY673" s="185"/>
      <c r="AZ673" s="185"/>
      <c r="BA673" s="185"/>
      <c r="BB673" s="185"/>
      <c r="BC673" s="185"/>
      <c r="BD673" s="185"/>
      <c r="BE673" s="185"/>
    </row>
    <row r="674">
      <c r="A674" s="152"/>
      <c r="B674" s="152"/>
      <c r="C674" s="152"/>
      <c r="D674" s="152" t="s">
        <v>4760</v>
      </c>
      <c r="E674" s="152" t="s">
        <v>4761</v>
      </c>
      <c r="F674" s="152" t="s">
        <v>332</v>
      </c>
      <c r="G674" s="152" t="s">
        <v>4762</v>
      </c>
      <c r="H674" s="152" t="s">
        <v>4763</v>
      </c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85"/>
      <c r="AF674" s="185"/>
      <c r="AG674" s="185"/>
      <c r="AH674" s="185"/>
      <c r="AI674" s="185"/>
      <c r="AJ674" s="185"/>
      <c r="AK674" s="185"/>
      <c r="AL674" s="185"/>
      <c r="AM674" s="185"/>
      <c r="AN674" s="185"/>
      <c r="AO674" s="185"/>
      <c r="AP674" s="185"/>
      <c r="AQ674" s="185"/>
      <c r="AR674" s="185"/>
      <c r="AS674" s="185"/>
      <c r="AT674" s="185"/>
      <c r="AU674" s="185"/>
      <c r="AV674" s="185"/>
      <c r="AW674" s="185"/>
      <c r="AX674" s="185"/>
      <c r="AY674" s="185"/>
      <c r="AZ674" s="185"/>
      <c r="BA674" s="185"/>
      <c r="BB674" s="185"/>
      <c r="BC674" s="185"/>
      <c r="BD674" s="185"/>
      <c r="BE674" s="185"/>
    </row>
    <row r="675">
      <c r="A675" s="152"/>
      <c r="B675" s="152"/>
      <c r="C675" s="152"/>
      <c r="D675" s="152" t="s">
        <v>4764</v>
      </c>
      <c r="E675" s="152" t="s">
        <v>4765</v>
      </c>
      <c r="F675" s="152"/>
      <c r="G675" s="152" t="s">
        <v>4766</v>
      </c>
      <c r="H675" s="152" t="s">
        <v>4763</v>
      </c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85"/>
      <c r="AF675" s="185"/>
      <c r="AG675" s="185"/>
      <c r="AH675" s="185"/>
      <c r="AI675" s="185"/>
      <c r="AJ675" s="185"/>
      <c r="AK675" s="185"/>
      <c r="AL675" s="185"/>
      <c r="AM675" s="185"/>
      <c r="AN675" s="185"/>
      <c r="AO675" s="185"/>
      <c r="AP675" s="185"/>
      <c r="AQ675" s="185"/>
      <c r="AR675" s="185"/>
      <c r="AS675" s="185"/>
      <c r="AT675" s="185"/>
      <c r="AU675" s="185"/>
      <c r="AV675" s="185"/>
      <c r="AW675" s="185"/>
      <c r="AX675" s="185"/>
      <c r="AY675" s="185"/>
      <c r="AZ675" s="185"/>
      <c r="BA675" s="185"/>
      <c r="BB675" s="185"/>
      <c r="BC675" s="185"/>
      <c r="BD675" s="185"/>
      <c r="BE675" s="185"/>
    </row>
    <row r="676">
      <c r="A676" s="152"/>
      <c r="B676" s="152"/>
      <c r="C676" s="152"/>
      <c r="D676" s="152" t="s">
        <v>4767</v>
      </c>
      <c r="E676" s="152" t="s">
        <v>4768</v>
      </c>
      <c r="F676" s="152" t="s">
        <v>1541</v>
      </c>
      <c r="G676" s="152" t="s">
        <v>4769</v>
      </c>
      <c r="H676" s="152" t="s">
        <v>4770</v>
      </c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85"/>
      <c r="AF676" s="185"/>
      <c r="AG676" s="185"/>
      <c r="AH676" s="185"/>
      <c r="AI676" s="185"/>
      <c r="AJ676" s="185"/>
      <c r="AK676" s="185"/>
      <c r="AL676" s="185"/>
      <c r="AM676" s="185"/>
      <c r="AN676" s="185"/>
      <c r="AO676" s="185"/>
      <c r="AP676" s="185"/>
      <c r="AQ676" s="185"/>
      <c r="AR676" s="185"/>
      <c r="AS676" s="185"/>
      <c r="AT676" s="185"/>
      <c r="AU676" s="185"/>
      <c r="AV676" s="185"/>
      <c r="AW676" s="185"/>
      <c r="AX676" s="185"/>
      <c r="AY676" s="185"/>
      <c r="AZ676" s="185"/>
      <c r="BA676" s="185"/>
      <c r="BB676" s="185"/>
      <c r="BC676" s="185"/>
      <c r="BD676" s="185"/>
      <c r="BE676" s="185"/>
    </row>
    <row r="677">
      <c r="A677" s="152"/>
      <c r="B677" s="152"/>
      <c r="C677" s="152"/>
      <c r="D677" s="152" t="s">
        <v>4771</v>
      </c>
      <c r="E677" s="152" t="s">
        <v>1151</v>
      </c>
      <c r="F677" s="152" t="s">
        <v>332</v>
      </c>
      <c r="G677" s="152" t="s">
        <v>4772</v>
      </c>
      <c r="H677" s="152" t="s">
        <v>4773</v>
      </c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85"/>
      <c r="AF677" s="185"/>
      <c r="AG677" s="185"/>
      <c r="AH677" s="185"/>
      <c r="AI677" s="185"/>
      <c r="AJ677" s="185"/>
      <c r="AK677" s="185"/>
      <c r="AL677" s="185"/>
      <c r="AM677" s="185"/>
      <c r="AN677" s="185"/>
      <c r="AO677" s="185"/>
      <c r="AP677" s="185"/>
      <c r="AQ677" s="185"/>
      <c r="AR677" s="185"/>
      <c r="AS677" s="185"/>
      <c r="AT677" s="185"/>
      <c r="AU677" s="185"/>
      <c r="AV677" s="185"/>
      <c r="AW677" s="185"/>
      <c r="AX677" s="185"/>
      <c r="AY677" s="185"/>
      <c r="AZ677" s="185"/>
      <c r="BA677" s="185"/>
      <c r="BB677" s="185"/>
      <c r="BC677" s="185"/>
      <c r="BD677" s="185"/>
      <c r="BE677" s="185"/>
    </row>
    <row r="678">
      <c r="A678" s="152"/>
      <c r="B678" s="152"/>
      <c r="C678" s="152"/>
      <c r="D678" s="152" t="s">
        <v>4774</v>
      </c>
      <c r="E678" s="152" t="s">
        <v>4775</v>
      </c>
      <c r="F678" s="152"/>
      <c r="G678" s="152" t="s">
        <v>4776</v>
      </c>
      <c r="H678" s="152" t="s">
        <v>4777</v>
      </c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85"/>
      <c r="AF678" s="185"/>
      <c r="AG678" s="185"/>
      <c r="AH678" s="185"/>
      <c r="AI678" s="185"/>
      <c r="AJ678" s="185"/>
      <c r="AK678" s="185"/>
      <c r="AL678" s="185"/>
      <c r="AM678" s="185"/>
      <c r="AN678" s="185"/>
      <c r="AO678" s="185"/>
      <c r="AP678" s="185"/>
      <c r="AQ678" s="185"/>
      <c r="AR678" s="185"/>
      <c r="AS678" s="185"/>
      <c r="AT678" s="185"/>
      <c r="AU678" s="185"/>
      <c r="AV678" s="185"/>
      <c r="AW678" s="185"/>
      <c r="AX678" s="185"/>
      <c r="AY678" s="185"/>
      <c r="AZ678" s="185"/>
      <c r="BA678" s="185"/>
      <c r="BB678" s="185"/>
      <c r="BC678" s="185"/>
      <c r="BD678" s="185"/>
      <c r="BE678" s="185"/>
    </row>
    <row r="679">
      <c r="A679" s="152"/>
      <c r="B679" s="152"/>
      <c r="C679" s="152"/>
      <c r="D679" s="152" t="s">
        <v>4778</v>
      </c>
      <c r="E679" s="152" t="s">
        <v>4779</v>
      </c>
      <c r="F679" s="152" t="s">
        <v>332</v>
      </c>
      <c r="G679" s="152" t="s">
        <v>4780</v>
      </c>
      <c r="H679" s="152" t="s">
        <v>4781</v>
      </c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85"/>
      <c r="AF679" s="185"/>
      <c r="AG679" s="185"/>
      <c r="AH679" s="185"/>
      <c r="AI679" s="185"/>
      <c r="AJ679" s="185"/>
      <c r="AK679" s="185"/>
      <c r="AL679" s="185"/>
      <c r="AM679" s="185"/>
      <c r="AN679" s="185"/>
      <c r="AO679" s="185"/>
      <c r="AP679" s="185"/>
      <c r="AQ679" s="185"/>
      <c r="AR679" s="185"/>
      <c r="AS679" s="185"/>
      <c r="AT679" s="185"/>
      <c r="AU679" s="185"/>
      <c r="AV679" s="185"/>
      <c r="AW679" s="185"/>
      <c r="AX679" s="185"/>
      <c r="AY679" s="185"/>
      <c r="AZ679" s="185"/>
      <c r="BA679" s="185"/>
      <c r="BB679" s="185"/>
      <c r="BC679" s="185"/>
      <c r="BD679" s="185"/>
      <c r="BE679" s="185"/>
    </row>
    <row r="680">
      <c r="A680" s="152"/>
      <c r="B680" s="152"/>
      <c r="C680" s="152"/>
      <c r="D680" s="152" t="s">
        <v>4782</v>
      </c>
      <c r="E680" s="152" t="s">
        <v>4783</v>
      </c>
      <c r="F680" s="152"/>
      <c r="G680" s="152" t="s">
        <v>4784</v>
      </c>
      <c r="H680" s="152" t="s">
        <v>4785</v>
      </c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85"/>
      <c r="AF680" s="185"/>
      <c r="AG680" s="185"/>
      <c r="AH680" s="185"/>
      <c r="AI680" s="185"/>
      <c r="AJ680" s="185"/>
      <c r="AK680" s="185"/>
      <c r="AL680" s="185"/>
      <c r="AM680" s="185"/>
      <c r="AN680" s="185"/>
      <c r="AO680" s="185"/>
      <c r="AP680" s="185"/>
      <c r="AQ680" s="185"/>
      <c r="AR680" s="185"/>
      <c r="AS680" s="185"/>
      <c r="AT680" s="185"/>
      <c r="AU680" s="185"/>
      <c r="AV680" s="185"/>
      <c r="AW680" s="185"/>
      <c r="AX680" s="185"/>
      <c r="AY680" s="185"/>
      <c r="AZ680" s="185"/>
      <c r="BA680" s="185"/>
      <c r="BB680" s="185"/>
      <c r="BC680" s="185"/>
      <c r="BD680" s="185"/>
      <c r="BE680" s="185"/>
    </row>
    <row r="681">
      <c r="A681" s="152"/>
      <c r="B681" s="152"/>
      <c r="C681" s="152"/>
      <c r="D681" s="152" t="s">
        <v>4786</v>
      </c>
      <c r="E681" s="152" t="s">
        <v>4787</v>
      </c>
      <c r="F681" s="152"/>
      <c r="G681" s="163" t="s">
        <v>4788</v>
      </c>
      <c r="H681" s="152" t="s">
        <v>42</v>
      </c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85"/>
      <c r="AF681" s="185"/>
      <c r="AG681" s="185"/>
      <c r="AH681" s="185"/>
      <c r="AI681" s="185"/>
      <c r="AJ681" s="185"/>
      <c r="AK681" s="185"/>
      <c r="AL681" s="185"/>
      <c r="AM681" s="185"/>
      <c r="AN681" s="185"/>
      <c r="AO681" s="185"/>
      <c r="AP681" s="185"/>
      <c r="AQ681" s="185"/>
      <c r="AR681" s="185"/>
      <c r="AS681" s="185"/>
      <c r="AT681" s="185"/>
      <c r="AU681" s="185"/>
      <c r="AV681" s="185"/>
      <c r="AW681" s="185"/>
      <c r="AX681" s="185"/>
      <c r="AY681" s="185"/>
      <c r="AZ681" s="185"/>
      <c r="BA681" s="185"/>
      <c r="BB681" s="185"/>
      <c r="BC681" s="185"/>
      <c r="BD681" s="185"/>
      <c r="BE681" s="185"/>
    </row>
    <row r="682">
      <c r="A682" s="152"/>
      <c r="B682" s="152"/>
      <c r="C682" s="152"/>
      <c r="D682" s="152" t="s">
        <v>4789</v>
      </c>
      <c r="E682" s="152" t="s">
        <v>4790</v>
      </c>
      <c r="F682" s="152" t="s">
        <v>1541</v>
      </c>
      <c r="G682" s="152" t="s">
        <v>4791</v>
      </c>
      <c r="H682" s="152" t="s">
        <v>4792</v>
      </c>
      <c r="I682" s="152" t="s">
        <v>486</v>
      </c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85"/>
      <c r="AF682" s="185"/>
      <c r="AG682" s="185"/>
      <c r="AH682" s="185"/>
      <c r="AI682" s="185"/>
      <c r="AJ682" s="185"/>
      <c r="AK682" s="185"/>
      <c r="AL682" s="185"/>
      <c r="AM682" s="185"/>
      <c r="AN682" s="185"/>
      <c r="AO682" s="185"/>
      <c r="AP682" s="185"/>
      <c r="AQ682" s="185"/>
      <c r="AR682" s="185"/>
      <c r="AS682" s="185"/>
      <c r="AT682" s="185"/>
      <c r="AU682" s="185"/>
      <c r="AV682" s="185"/>
      <c r="AW682" s="185"/>
      <c r="AX682" s="185"/>
      <c r="AY682" s="185"/>
      <c r="AZ682" s="185"/>
      <c r="BA682" s="185"/>
      <c r="BB682" s="185"/>
      <c r="BC682" s="185"/>
      <c r="BD682" s="185"/>
      <c r="BE682" s="185"/>
    </row>
    <row r="683">
      <c r="A683" s="152"/>
      <c r="B683" s="152"/>
      <c r="C683" s="152"/>
      <c r="D683" s="152" t="s">
        <v>4793</v>
      </c>
      <c r="E683" s="152" t="s">
        <v>4794</v>
      </c>
      <c r="F683" s="152" t="s">
        <v>830</v>
      </c>
      <c r="G683" s="152" t="s">
        <v>965</v>
      </c>
      <c r="H683" s="152" t="s">
        <v>965</v>
      </c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85"/>
      <c r="AF683" s="185"/>
      <c r="AG683" s="185"/>
      <c r="AH683" s="185"/>
      <c r="AI683" s="185"/>
      <c r="AJ683" s="185"/>
      <c r="AK683" s="185"/>
      <c r="AL683" s="185"/>
      <c r="AM683" s="185"/>
      <c r="AN683" s="185"/>
      <c r="AO683" s="185"/>
      <c r="AP683" s="185"/>
      <c r="AQ683" s="185"/>
      <c r="AR683" s="185"/>
      <c r="AS683" s="185"/>
      <c r="AT683" s="185"/>
      <c r="AU683" s="185"/>
      <c r="AV683" s="185"/>
      <c r="AW683" s="185"/>
      <c r="AX683" s="185"/>
      <c r="AY683" s="185"/>
      <c r="AZ683" s="185"/>
      <c r="BA683" s="185"/>
      <c r="BB683" s="185"/>
      <c r="BC683" s="185"/>
      <c r="BD683" s="185"/>
      <c r="BE683" s="185"/>
    </row>
    <row r="684">
      <c r="A684" s="152"/>
      <c r="B684" s="152"/>
      <c r="C684" s="152"/>
      <c r="D684" s="152" t="s">
        <v>4795</v>
      </c>
      <c r="E684" s="152" t="s">
        <v>4796</v>
      </c>
      <c r="F684" s="152" t="s">
        <v>332</v>
      </c>
      <c r="G684" s="152" t="s">
        <v>4797</v>
      </c>
      <c r="H684" s="152" t="s">
        <v>948</v>
      </c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85"/>
      <c r="AF684" s="185"/>
      <c r="AG684" s="185"/>
      <c r="AH684" s="185"/>
      <c r="AI684" s="185"/>
      <c r="AJ684" s="185"/>
      <c r="AK684" s="185"/>
      <c r="AL684" s="185"/>
      <c r="AM684" s="185"/>
      <c r="AN684" s="185"/>
      <c r="AO684" s="185"/>
      <c r="AP684" s="185"/>
      <c r="AQ684" s="185"/>
      <c r="AR684" s="185"/>
      <c r="AS684" s="185"/>
      <c r="AT684" s="185"/>
      <c r="AU684" s="185"/>
      <c r="AV684" s="185"/>
      <c r="AW684" s="185"/>
      <c r="AX684" s="185"/>
      <c r="AY684" s="185"/>
      <c r="AZ684" s="185"/>
      <c r="BA684" s="185"/>
      <c r="BB684" s="185"/>
      <c r="BC684" s="185"/>
      <c r="BD684" s="185"/>
      <c r="BE684" s="185"/>
    </row>
    <row r="685">
      <c r="A685" s="152"/>
      <c r="B685" s="152"/>
      <c r="C685" s="152"/>
      <c r="D685" s="152" t="s">
        <v>4798</v>
      </c>
      <c r="E685" s="152" t="s">
        <v>4799</v>
      </c>
      <c r="F685" s="152"/>
      <c r="G685" s="152" t="s">
        <v>4381</v>
      </c>
      <c r="H685" s="152" t="s">
        <v>4382</v>
      </c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85"/>
      <c r="AF685" s="185"/>
      <c r="AG685" s="185"/>
      <c r="AH685" s="185"/>
      <c r="AI685" s="185"/>
      <c r="AJ685" s="185"/>
      <c r="AK685" s="185"/>
      <c r="AL685" s="185"/>
      <c r="AM685" s="185"/>
      <c r="AN685" s="185"/>
      <c r="AO685" s="185"/>
      <c r="AP685" s="185"/>
      <c r="AQ685" s="185"/>
      <c r="AR685" s="185"/>
      <c r="AS685" s="185"/>
      <c r="AT685" s="185"/>
      <c r="AU685" s="185"/>
      <c r="AV685" s="185"/>
      <c r="AW685" s="185"/>
      <c r="AX685" s="185"/>
      <c r="AY685" s="185"/>
      <c r="AZ685" s="185"/>
      <c r="BA685" s="185"/>
      <c r="BB685" s="185"/>
      <c r="BC685" s="185"/>
      <c r="BD685" s="185"/>
      <c r="BE685" s="185"/>
    </row>
    <row r="686">
      <c r="A686" s="152"/>
      <c r="B686" s="152"/>
      <c r="C686" s="152"/>
      <c r="D686" s="152" t="s">
        <v>4800</v>
      </c>
      <c r="E686" s="152" t="s">
        <v>4801</v>
      </c>
      <c r="F686" s="152" t="s">
        <v>332</v>
      </c>
      <c r="G686" s="152" t="s">
        <v>4802</v>
      </c>
      <c r="H686" s="152" t="s">
        <v>4803</v>
      </c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85"/>
      <c r="AF686" s="185"/>
      <c r="AG686" s="185"/>
      <c r="AH686" s="185"/>
      <c r="AI686" s="185"/>
      <c r="AJ686" s="185"/>
      <c r="AK686" s="185"/>
      <c r="AL686" s="185"/>
      <c r="AM686" s="185"/>
      <c r="AN686" s="185"/>
      <c r="AO686" s="185"/>
      <c r="AP686" s="185"/>
      <c r="AQ686" s="185"/>
      <c r="AR686" s="185"/>
      <c r="AS686" s="185"/>
      <c r="AT686" s="185"/>
      <c r="AU686" s="185"/>
      <c r="AV686" s="185"/>
      <c r="AW686" s="185"/>
      <c r="AX686" s="185"/>
      <c r="AY686" s="185"/>
      <c r="AZ686" s="185"/>
      <c r="BA686" s="185"/>
      <c r="BB686" s="185"/>
      <c r="BC686" s="185"/>
      <c r="BD686" s="185"/>
      <c r="BE686" s="185"/>
    </row>
    <row r="687">
      <c r="A687" s="152"/>
      <c r="B687" s="152"/>
      <c r="C687" s="152"/>
      <c r="D687" s="152" t="s">
        <v>4804</v>
      </c>
      <c r="E687" s="152" t="s">
        <v>359</v>
      </c>
      <c r="F687" s="152" t="s">
        <v>1004</v>
      </c>
      <c r="G687" s="152" t="s">
        <v>4805</v>
      </c>
      <c r="H687" s="152" t="s">
        <v>4806</v>
      </c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85"/>
      <c r="AF687" s="185"/>
      <c r="AG687" s="185"/>
      <c r="AH687" s="185"/>
      <c r="AI687" s="185"/>
      <c r="AJ687" s="185"/>
      <c r="AK687" s="185"/>
      <c r="AL687" s="185"/>
      <c r="AM687" s="185"/>
      <c r="AN687" s="185"/>
      <c r="AO687" s="185"/>
      <c r="AP687" s="185"/>
      <c r="AQ687" s="185"/>
      <c r="AR687" s="185"/>
      <c r="AS687" s="185"/>
      <c r="AT687" s="185"/>
      <c r="AU687" s="185"/>
      <c r="AV687" s="185"/>
      <c r="AW687" s="185"/>
      <c r="AX687" s="185"/>
      <c r="AY687" s="185"/>
      <c r="AZ687" s="185"/>
      <c r="BA687" s="185"/>
      <c r="BB687" s="185"/>
      <c r="BC687" s="185"/>
      <c r="BD687" s="185"/>
      <c r="BE687" s="185"/>
    </row>
    <row r="688">
      <c r="A688" s="152"/>
      <c r="B688" s="152"/>
      <c r="C688" s="152"/>
      <c r="D688" s="152" t="s">
        <v>4807</v>
      </c>
      <c r="E688" s="152" t="s">
        <v>4808</v>
      </c>
      <c r="F688" s="152" t="s">
        <v>332</v>
      </c>
      <c r="G688" s="152" t="s">
        <v>4809</v>
      </c>
      <c r="H688" s="152" t="s">
        <v>4810</v>
      </c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85"/>
      <c r="AF688" s="185"/>
      <c r="AG688" s="185"/>
      <c r="AH688" s="185"/>
      <c r="AI688" s="185"/>
      <c r="AJ688" s="185"/>
      <c r="AK688" s="185"/>
      <c r="AL688" s="185"/>
      <c r="AM688" s="185"/>
      <c r="AN688" s="185"/>
      <c r="AO688" s="185"/>
      <c r="AP688" s="185"/>
      <c r="AQ688" s="185"/>
      <c r="AR688" s="185"/>
      <c r="AS688" s="185"/>
      <c r="AT688" s="185"/>
      <c r="AU688" s="185"/>
      <c r="AV688" s="185"/>
      <c r="AW688" s="185"/>
      <c r="AX688" s="185"/>
      <c r="AY688" s="185"/>
      <c r="AZ688" s="185"/>
      <c r="BA688" s="185"/>
      <c r="BB688" s="185"/>
      <c r="BC688" s="185"/>
      <c r="BD688" s="185"/>
      <c r="BE688" s="185"/>
    </row>
    <row r="689">
      <c r="A689" s="152"/>
      <c r="B689" s="152"/>
      <c r="C689" s="152"/>
      <c r="D689" s="152" t="s">
        <v>4811</v>
      </c>
      <c r="E689" s="152" t="s">
        <v>4812</v>
      </c>
      <c r="F689" s="152"/>
      <c r="G689" s="152" t="s">
        <v>4813</v>
      </c>
      <c r="H689" s="152" t="s">
        <v>4814</v>
      </c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85"/>
      <c r="AF689" s="185"/>
      <c r="AG689" s="185"/>
      <c r="AH689" s="185"/>
      <c r="AI689" s="185"/>
      <c r="AJ689" s="185"/>
      <c r="AK689" s="185"/>
      <c r="AL689" s="185"/>
      <c r="AM689" s="185"/>
      <c r="AN689" s="185"/>
      <c r="AO689" s="185"/>
      <c r="AP689" s="185"/>
      <c r="AQ689" s="185"/>
      <c r="AR689" s="185"/>
      <c r="AS689" s="185"/>
      <c r="AT689" s="185"/>
      <c r="AU689" s="185"/>
      <c r="AV689" s="185"/>
      <c r="AW689" s="185"/>
      <c r="AX689" s="185"/>
      <c r="AY689" s="185"/>
      <c r="AZ689" s="185"/>
      <c r="BA689" s="185"/>
      <c r="BB689" s="185"/>
      <c r="BC689" s="185"/>
      <c r="BD689" s="185"/>
      <c r="BE689" s="185"/>
    </row>
    <row r="690">
      <c r="A690" s="152"/>
      <c r="B690" s="152"/>
      <c r="C690" s="152"/>
      <c r="D690" s="152" t="s">
        <v>4815</v>
      </c>
      <c r="E690" s="152" t="s">
        <v>4816</v>
      </c>
      <c r="F690" s="152"/>
      <c r="G690" s="152" t="s">
        <v>4817</v>
      </c>
      <c r="H690" s="152" t="s">
        <v>4818</v>
      </c>
      <c r="I690" s="152" t="s">
        <v>486</v>
      </c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85"/>
      <c r="AF690" s="185"/>
      <c r="AG690" s="185"/>
      <c r="AH690" s="185"/>
      <c r="AI690" s="185"/>
      <c r="AJ690" s="185"/>
      <c r="AK690" s="185"/>
      <c r="AL690" s="185"/>
      <c r="AM690" s="185"/>
      <c r="AN690" s="185"/>
      <c r="AO690" s="185"/>
      <c r="AP690" s="185"/>
      <c r="AQ690" s="185"/>
      <c r="AR690" s="185"/>
      <c r="AS690" s="185"/>
      <c r="AT690" s="185"/>
      <c r="AU690" s="185"/>
      <c r="AV690" s="185"/>
      <c r="AW690" s="185"/>
      <c r="AX690" s="185"/>
      <c r="AY690" s="185"/>
      <c r="AZ690" s="185"/>
      <c r="BA690" s="185"/>
      <c r="BB690" s="185"/>
      <c r="BC690" s="185"/>
      <c r="BD690" s="185"/>
      <c r="BE690" s="185"/>
    </row>
    <row r="691">
      <c r="A691" s="152"/>
      <c r="B691" s="152"/>
      <c r="C691" s="152"/>
      <c r="D691" s="152" t="s">
        <v>1119</v>
      </c>
      <c r="E691" s="152" t="s">
        <v>4819</v>
      </c>
      <c r="F691" s="152" t="s">
        <v>830</v>
      </c>
      <c r="G691" s="152" t="s">
        <v>4820</v>
      </c>
      <c r="H691" s="152" t="s">
        <v>4821</v>
      </c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85"/>
      <c r="AF691" s="185"/>
      <c r="AG691" s="185"/>
      <c r="AH691" s="185"/>
      <c r="AI691" s="185"/>
      <c r="AJ691" s="185"/>
      <c r="AK691" s="185"/>
      <c r="AL691" s="185"/>
      <c r="AM691" s="185"/>
      <c r="AN691" s="185"/>
      <c r="AO691" s="185"/>
      <c r="AP691" s="185"/>
      <c r="AQ691" s="185"/>
      <c r="AR691" s="185"/>
      <c r="AS691" s="185"/>
      <c r="AT691" s="185"/>
      <c r="AU691" s="185"/>
      <c r="AV691" s="185"/>
      <c r="AW691" s="185"/>
      <c r="AX691" s="185"/>
      <c r="AY691" s="185"/>
      <c r="AZ691" s="185"/>
      <c r="BA691" s="185"/>
      <c r="BB691" s="185"/>
      <c r="BC691" s="185"/>
      <c r="BD691" s="185"/>
      <c r="BE691" s="185"/>
    </row>
    <row r="692">
      <c r="A692" s="152"/>
      <c r="B692" s="152"/>
      <c r="C692" s="152"/>
      <c r="D692" s="152" t="s">
        <v>4822</v>
      </c>
      <c r="E692" s="152" t="s">
        <v>4823</v>
      </c>
      <c r="F692" s="152"/>
      <c r="G692" s="163" t="s">
        <v>4824</v>
      </c>
      <c r="H692" s="152" t="s">
        <v>4825</v>
      </c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85"/>
      <c r="AF692" s="185"/>
      <c r="AG692" s="185"/>
      <c r="AH692" s="185"/>
      <c r="AI692" s="185"/>
      <c r="AJ692" s="185"/>
      <c r="AK692" s="185"/>
      <c r="AL692" s="185"/>
      <c r="AM692" s="185"/>
      <c r="AN692" s="185"/>
      <c r="AO692" s="185"/>
      <c r="AP692" s="185"/>
      <c r="AQ692" s="185"/>
      <c r="AR692" s="185"/>
      <c r="AS692" s="185"/>
      <c r="AT692" s="185"/>
      <c r="AU692" s="185"/>
      <c r="AV692" s="185"/>
      <c r="AW692" s="185"/>
      <c r="AX692" s="185"/>
      <c r="AY692" s="185"/>
      <c r="AZ692" s="185"/>
      <c r="BA692" s="185"/>
      <c r="BB692" s="185"/>
      <c r="BC692" s="185"/>
      <c r="BD692" s="185"/>
      <c r="BE692" s="185"/>
    </row>
    <row r="693">
      <c r="A693" s="152"/>
      <c r="B693" s="152"/>
      <c r="C693" s="152"/>
      <c r="D693" s="152" t="s">
        <v>4826</v>
      </c>
      <c r="E693" s="152" t="s">
        <v>4827</v>
      </c>
      <c r="F693" s="152" t="s">
        <v>939</v>
      </c>
      <c r="G693" s="152" t="s">
        <v>4828</v>
      </c>
      <c r="H693" s="152" t="s">
        <v>4829</v>
      </c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85"/>
      <c r="AF693" s="185"/>
      <c r="AG693" s="185"/>
      <c r="AH693" s="185"/>
      <c r="AI693" s="185"/>
      <c r="AJ693" s="185"/>
      <c r="AK693" s="185"/>
      <c r="AL693" s="185"/>
      <c r="AM693" s="185"/>
      <c r="AN693" s="185"/>
      <c r="AO693" s="185"/>
      <c r="AP693" s="185"/>
      <c r="AQ693" s="185"/>
      <c r="AR693" s="185"/>
      <c r="AS693" s="185"/>
      <c r="AT693" s="185"/>
      <c r="AU693" s="185"/>
      <c r="AV693" s="185"/>
      <c r="AW693" s="185"/>
      <c r="AX693" s="185"/>
      <c r="AY693" s="185"/>
      <c r="AZ693" s="185"/>
      <c r="BA693" s="185"/>
      <c r="BB693" s="185"/>
      <c r="BC693" s="185"/>
      <c r="BD693" s="185"/>
      <c r="BE693" s="185"/>
    </row>
    <row r="694">
      <c r="A694" s="152"/>
      <c r="B694" s="152"/>
      <c r="C694" s="152"/>
      <c r="D694" s="152" t="s">
        <v>4830</v>
      </c>
      <c r="E694" s="152" t="s">
        <v>4831</v>
      </c>
      <c r="F694" s="152"/>
      <c r="G694" s="152" t="s">
        <v>4832</v>
      </c>
      <c r="H694" s="152" t="s">
        <v>4833</v>
      </c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85"/>
      <c r="AF694" s="185"/>
      <c r="AG694" s="185"/>
      <c r="AH694" s="185"/>
      <c r="AI694" s="185"/>
      <c r="AJ694" s="185"/>
      <c r="AK694" s="185"/>
      <c r="AL694" s="185"/>
      <c r="AM694" s="185"/>
      <c r="AN694" s="185"/>
      <c r="AO694" s="185"/>
      <c r="AP694" s="185"/>
      <c r="AQ694" s="185"/>
      <c r="AR694" s="185"/>
      <c r="AS694" s="185"/>
      <c r="AT694" s="185"/>
      <c r="AU694" s="185"/>
      <c r="AV694" s="185"/>
      <c r="AW694" s="185"/>
      <c r="AX694" s="185"/>
      <c r="AY694" s="185"/>
      <c r="AZ694" s="185"/>
      <c r="BA694" s="185"/>
      <c r="BB694" s="185"/>
      <c r="BC694" s="185"/>
      <c r="BD694" s="185"/>
      <c r="BE694" s="185"/>
    </row>
    <row r="695">
      <c r="A695" s="152"/>
      <c r="B695" s="152"/>
      <c r="C695" s="152"/>
      <c r="D695" s="152" t="s">
        <v>4834</v>
      </c>
      <c r="E695" s="152" t="s">
        <v>4835</v>
      </c>
      <c r="F695" s="152"/>
      <c r="G695" s="152" t="s">
        <v>4836</v>
      </c>
      <c r="H695" s="152" t="s">
        <v>4837</v>
      </c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85"/>
      <c r="AF695" s="185"/>
      <c r="AG695" s="185"/>
      <c r="AH695" s="185"/>
      <c r="AI695" s="185"/>
      <c r="AJ695" s="185"/>
      <c r="AK695" s="185"/>
      <c r="AL695" s="185"/>
      <c r="AM695" s="185"/>
      <c r="AN695" s="185"/>
      <c r="AO695" s="185"/>
      <c r="AP695" s="185"/>
      <c r="AQ695" s="185"/>
      <c r="AR695" s="185"/>
      <c r="AS695" s="185"/>
      <c r="AT695" s="185"/>
      <c r="AU695" s="185"/>
      <c r="AV695" s="185"/>
      <c r="AW695" s="185"/>
      <c r="AX695" s="185"/>
      <c r="AY695" s="185"/>
      <c r="AZ695" s="185"/>
      <c r="BA695" s="185"/>
      <c r="BB695" s="185"/>
      <c r="BC695" s="185"/>
      <c r="BD695" s="185"/>
      <c r="BE695" s="185"/>
    </row>
    <row r="696">
      <c r="A696" s="152"/>
      <c r="B696" s="152"/>
      <c r="C696" s="152"/>
      <c r="D696" s="152" t="s">
        <v>4838</v>
      </c>
      <c r="E696" s="152" t="s">
        <v>4839</v>
      </c>
      <c r="F696" s="152" t="s">
        <v>332</v>
      </c>
      <c r="G696" s="152" t="s">
        <v>4840</v>
      </c>
      <c r="H696" s="152" t="s">
        <v>4841</v>
      </c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85"/>
      <c r="AF696" s="185"/>
      <c r="AG696" s="185"/>
      <c r="AH696" s="185"/>
      <c r="AI696" s="185"/>
      <c r="AJ696" s="185"/>
      <c r="AK696" s="185"/>
      <c r="AL696" s="185"/>
      <c r="AM696" s="185"/>
      <c r="AN696" s="185"/>
      <c r="AO696" s="185"/>
      <c r="AP696" s="185"/>
      <c r="AQ696" s="185"/>
      <c r="AR696" s="185"/>
      <c r="AS696" s="185"/>
      <c r="AT696" s="185"/>
      <c r="AU696" s="185"/>
      <c r="AV696" s="185"/>
      <c r="AW696" s="185"/>
      <c r="AX696" s="185"/>
      <c r="AY696" s="185"/>
      <c r="AZ696" s="185"/>
      <c r="BA696" s="185"/>
      <c r="BB696" s="185"/>
      <c r="BC696" s="185"/>
      <c r="BD696" s="185"/>
      <c r="BE696" s="185"/>
    </row>
    <row r="697">
      <c r="A697" s="152"/>
      <c r="B697" s="152"/>
      <c r="C697" s="152"/>
      <c r="D697" s="152" t="s">
        <v>4842</v>
      </c>
      <c r="E697" s="152" t="s">
        <v>4843</v>
      </c>
      <c r="F697" s="152" t="s">
        <v>332</v>
      </c>
      <c r="G697" s="152" t="s">
        <v>4844</v>
      </c>
      <c r="H697" s="152" t="s">
        <v>4845</v>
      </c>
      <c r="I697" s="152" t="s">
        <v>486</v>
      </c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85"/>
      <c r="AF697" s="185"/>
      <c r="AG697" s="185"/>
      <c r="AH697" s="185"/>
      <c r="AI697" s="185"/>
      <c r="AJ697" s="185"/>
      <c r="AK697" s="185"/>
      <c r="AL697" s="185"/>
      <c r="AM697" s="185"/>
      <c r="AN697" s="185"/>
      <c r="AO697" s="185"/>
      <c r="AP697" s="185"/>
      <c r="AQ697" s="185"/>
      <c r="AR697" s="185"/>
      <c r="AS697" s="185"/>
      <c r="AT697" s="185"/>
      <c r="AU697" s="185"/>
      <c r="AV697" s="185"/>
      <c r="AW697" s="185"/>
      <c r="AX697" s="185"/>
      <c r="AY697" s="185"/>
      <c r="AZ697" s="185"/>
      <c r="BA697" s="185"/>
      <c r="BB697" s="185"/>
      <c r="BC697" s="185"/>
      <c r="BD697" s="185"/>
      <c r="BE697" s="185"/>
    </row>
    <row r="698">
      <c r="A698" s="152"/>
      <c r="B698" s="152"/>
      <c r="C698" s="152"/>
      <c r="D698" s="152" t="s">
        <v>4846</v>
      </c>
      <c r="E698" s="152" t="s">
        <v>4847</v>
      </c>
      <c r="F698" s="152" t="s">
        <v>830</v>
      </c>
      <c r="G698" s="152" t="s">
        <v>4848</v>
      </c>
      <c r="H698" s="152" t="s">
        <v>4849</v>
      </c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85"/>
      <c r="AF698" s="185"/>
      <c r="AG698" s="185"/>
      <c r="AH698" s="185"/>
      <c r="AI698" s="185"/>
      <c r="AJ698" s="185"/>
      <c r="AK698" s="185"/>
      <c r="AL698" s="185"/>
      <c r="AM698" s="185"/>
      <c r="AN698" s="185"/>
      <c r="AO698" s="185"/>
      <c r="AP698" s="185"/>
      <c r="AQ698" s="185"/>
      <c r="AR698" s="185"/>
      <c r="AS698" s="185"/>
      <c r="AT698" s="185"/>
      <c r="AU698" s="185"/>
      <c r="AV698" s="185"/>
      <c r="AW698" s="185"/>
      <c r="AX698" s="185"/>
      <c r="AY698" s="185"/>
      <c r="AZ698" s="185"/>
      <c r="BA698" s="185"/>
      <c r="BB698" s="185"/>
      <c r="BC698" s="185"/>
      <c r="BD698" s="185"/>
      <c r="BE698" s="185"/>
    </row>
    <row r="699">
      <c r="A699" s="152"/>
      <c r="B699" s="152"/>
      <c r="C699" s="152"/>
      <c r="D699" s="152" t="s">
        <v>4850</v>
      </c>
      <c r="E699" s="152" t="s">
        <v>4851</v>
      </c>
      <c r="F699" s="152" t="s">
        <v>332</v>
      </c>
      <c r="G699" s="152" t="s">
        <v>4852</v>
      </c>
      <c r="H699" s="152" t="s">
        <v>4853</v>
      </c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85"/>
      <c r="AF699" s="185"/>
      <c r="AG699" s="185"/>
      <c r="AH699" s="185"/>
      <c r="AI699" s="185"/>
      <c r="AJ699" s="185"/>
      <c r="AK699" s="185"/>
      <c r="AL699" s="185"/>
      <c r="AM699" s="185"/>
      <c r="AN699" s="185"/>
      <c r="AO699" s="185"/>
      <c r="AP699" s="185"/>
      <c r="AQ699" s="185"/>
      <c r="AR699" s="185"/>
      <c r="AS699" s="185"/>
      <c r="AT699" s="185"/>
      <c r="AU699" s="185"/>
      <c r="AV699" s="185"/>
      <c r="AW699" s="185"/>
      <c r="AX699" s="185"/>
      <c r="AY699" s="185"/>
      <c r="AZ699" s="185"/>
      <c r="BA699" s="185"/>
      <c r="BB699" s="185"/>
      <c r="BC699" s="185"/>
      <c r="BD699" s="185"/>
      <c r="BE699" s="185"/>
    </row>
    <row r="700">
      <c r="A700" s="152"/>
      <c r="B700" s="152"/>
      <c r="C700" s="152"/>
      <c r="D700" s="152" t="s">
        <v>4854</v>
      </c>
      <c r="E700" s="152" t="s">
        <v>4855</v>
      </c>
      <c r="F700" s="152"/>
      <c r="G700" s="152" t="s">
        <v>4856</v>
      </c>
      <c r="H700" s="152" t="s">
        <v>4857</v>
      </c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85"/>
      <c r="AF700" s="185"/>
      <c r="AG700" s="185"/>
      <c r="AH700" s="185"/>
      <c r="AI700" s="185"/>
      <c r="AJ700" s="185"/>
      <c r="AK700" s="185"/>
      <c r="AL700" s="185"/>
      <c r="AM700" s="185"/>
      <c r="AN700" s="185"/>
      <c r="AO700" s="185"/>
      <c r="AP700" s="185"/>
      <c r="AQ700" s="185"/>
      <c r="AR700" s="185"/>
      <c r="AS700" s="185"/>
      <c r="AT700" s="185"/>
      <c r="AU700" s="185"/>
      <c r="AV700" s="185"/>
      <c r="AW700" s="185"/>
      <c r="AX700" s="185"/>
      <c r="AY700" s="185"/>
      <c r="AZ700" s="185"/>
      <c r="BA700" s="185"/>
      <c r="BB700" s="185"/>
      <c r="BC700" s="185"/>
      <c r="BD700" s="185"/>
      <c r="BE700" s="185"/>
    </row>
    <row r="701">
      <c r="A701" s="152"/>
      <c r="B701" s="152"/>
      <c r="C701" s="152"/>
      <c r="D701" s="152" t="s">
        <v>4858</v>
      </c>
      <c r="E701" s="152" t="s">
        <v>4859</v>
      </c>
      <c r="F701" s="152"/>
      <c r="G701" s="163" t="s">
        <v>4860</v>
      </c>
      <c r="H701" s="152" t="s">
        <v>4861</v>
      </c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85"/>
      <c r="AF701" s="185"/>
      <c r="AG701" s="185"/>
      <c r="AH701" s="185"/>
      <c r="AI701" s="185"/>
      <c r="AJ701" s="185"/>
      <c r="AK701" s="185"/>
      <c r="AL701" s="185"/>
      <c r="AM701" s="185"/>
      <c r="AN701" s="185"/>
      <c r="AO701" s="185"/>
      <c r="AP701" s="185"/>
      <c r="AQ701" s="185"/>
      <c r="AR701" s="185"/>
      <c r="AS701" s="185"/>
      <c r="AT701" s="185"/>
      <c r="AU701" s="185"/>
      <c r="AV701" s="185"/>
      <c r="AW701" s="185"/>
      <c r="AX701" s="185"/>
      <c r="AY701" s="185"/>
      <c r="AZ701" s="185"/>
      <c r="BA701" s="185"/>
      <c r="BB701" s="185"/>
      <c r="BC701" s="185"/>
      <c r="BD701" s="185"/>
      <c r="BE701" s="185"/>
    </row>
    <row r="702">
      <c r="A702" s="152"/>
      <c r="B702" s="152"/>
      <c r="C702" s="152"/>
      <c r="D702" s="152" t="s">
        <v>4862</v>
      </c>
      <c r="E702" s="152" t="s">
        <v>4863</v>
      </c>
      <c r="F702" s="152"/>
      <c r="G702" s="163" t="s">
        <v>4864</v>
      </c>
      <c r="H702" s="152" t="s">
        <v>4865</v>
      </c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85"/>
      <c r="AF702" s="185"/>
      <c r="AG702" s="185"/>
      <c r="AH702" s="185"/>
      <c r="AI702" s="185"/>
      <c r="AJ702" s="185"/>
      <c r="AK702" s="185"/>
      <c r="AL702" s="185"/>
      <c r="AM702" s="185"/>
      <c r="AN702" s="185"/>
      <c r="AO702" s="185"/>
      <c r="AP702" s="185"/>
      <c r="AQ702" s="185"/>
      <c r="AR702" s="185"/>
      <c r="AS702" s="185"/>
      <c r="AT702" s="185"/>
      <c r="AU702" s="185"/>
      <c r="AV702" s="185"/>
      <c r="AW702" s="185"/>
      <c r="AX702" s="185"/>
      <c r="AY702" s="185"/>
      <c r="AZ702" s="185"/>
      <c r="BA702" s="185"/>
      <c r="BB702" s="185"/>
      <c r="BC702" s="185"/>
      <c r="BD702" s="185"/>
      <c r="BE702" s="185"/>
    </row>
    <row r="703">
      <c r="A703" s="152"/>
      <c r="B703" s="152"/>
      <c r="C703" s="152"/>
      <c r="D703" s="152" t="s">
        <v>4866</v>
      </c>
      <c r="E703" s="152" t="s">
        <v>4867</v>
      </c>
      <c r="F703" s="152" t="s">
        <v>691</v>
      </c>
      <c r="G703" s="163" t="s">
        <v>4868</v>
      </c>
      <c r="H703" s="152" t="s">
        <v>4869</v>
      </c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85"/>
      <c r="AF703" s="185"/>
      <c r="AG703" s="185"/>
      <c r="AH703" s="185"/>
      <c r="AI703" s="185"/>
      <c r="AJ703" s="185"/>
      <c r="AK703" s="185"/>
      <c r="AL703" s="185"/>
      <c r="AM703" s="185"/>
      <c r="AN703" s="185"/>
      <c r="AO703" s="185"/>
      <c r="AP703" s="185"/>
      <c r="AQ703" s="185"/>
      <c r="AR703" s="185"/>
      <c r="AS703" s="185"/>
      <c r="AT703" s="185"/>
      <c r="AU703" s="185"/>
      <c r="AV703" s="185"/>
      <c r="AW703" s="185"/>
      <c r="AX703" s="185"/>
      <c r="AY703" s="185"/>
      <c r="AZ703" s="185"/>
      <c r="BA703" s="185"/>
      <c r="BB703" s="185"/>
      <c r="BC703" s="185"/>
      <c r="BD703" s="185"/>
      <c r="BE703" s="185"/>
    </row>
    <row r="704">
      <c r="A704" s="152"/>
      <c r="B704" s="152"/>
      <c r="C704" s="152"/>
      <c r="D704" s="152" t="s">
        <v>4870</v>
      </c>
      <c r="E704" s="152" t="s">
        <v>4871</v>
      </c>
      <c r="F704" s="152" t="s">
        <v>830</v>
      </c>
      <c r="G704" s="152" t="s">
        <v>4872</v>
      </c>
      <c r="H704" s="152" t="s">
        <v>4873</v>
      </c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85"/>
      <c r="AF704" s="185"/>
      <c r="AG704" s="185"/>
      <c r="AH704" s="185"/>
      <c r="AI704" s="185"/>
      <c r="AJ704" s="185"/>
      <c r="AK704" s="185"/>
      <c r="AL704" s="185"/>
      <c r="AM704" s="185"/>
      <c r="AN704" s="185"/>
      <c r="AO704" s="185"/>
      <c r="AP704" s="185"/>
      <c r="AQ704" s="185"/>
      <c r="AR704" s="185"/>
      <c r="AS704" s="185"/>
      <c r="AT704" s="185"/>
      <c r="AU704" s="185"/>
      <c r="AV704" s="185"/>
      <c r="AW704" s="185"/>
      <c r="AX704" s="185"/>
      <c r="AY704" s="185"/>
      <c r="AZ704" s="185"/>
      <c r="BA704" s="185"/>
      <c r="BB704" s="185"/>
      <c r="BC704" s="185"/>
      <c r="BD704" s="185"/>
      <c r="BE704" s="185"/>
    </row>
    <row r="705">
      <c r="A705" s="152"/>
      <c r="B705" s="152"/>
      <c r="C705" s="152"/>
      <c r="D705" s="152" t="s">
        <v>4874</v>
      </c>
      <c r="E705" s="152" t="s">
        <v>4875</v>
      </c>
      <c r="F705" s="152" t="s">
        <v>332</v>
      </c>
      <c r="G705" s="163" t="s">
        <v>4876</v>
      </c>
      <c r="H705" s="152" t="s">
        <v>4877</v>
      </c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85"/>
      <c r="AF705" s="185"/>
      <c r="AG705" s="185"/>
      <c r="AH705" s="185"/>
      <c r="AI705" s="185"/>
      <c r="AJ705" s="185"/>
      <c r="AK705" s="185"/>
      <c r="AL705" s="185"/>
      <c r="AM705" s="185"/>
      <c r="AN705" s="185"/>
      <c r="AO705" s="185"/>
      <c r="AP705" s="185"/>
      <c r="AQ705" s="185"/>
      <c r="AR705" s="185"/>
      <c r="AS705" s="185"/>
      <c r="AT705" s="185"/>
      <c r="AU705" s="185"/>
      <c r="AV705" s="185"/>
      <c r="AW705" s="185"/>
      <c r="AX705" s="185"/>
      <c r="AY705" s="185"/>
      <c r="AZ705" s="185"/>
      <c r="BA705" s="185"/>
      <c r="BB705" s="185"/>
      <c r="BC705" s="185"/>
      <c r="BD705" s="185"/>
      <c r="BE705" s="185"/>
    </row>
    <row r="706">
      <c r="A706" s="152"/>
      <c r="B706" s="152"/>
      <c r="C706" s="152"/>
      <c r="D706" s="152" t="s">
        <v>4878</v>
      </c>
      <c r="E706" s="152" t="s">
        <v>4879</v>
      </c>
      <c r="F706" s="152" t="s">
        <v>830</v>
      </c>
      <c r="G706" s="152" t="s">
        <v>4880</v>
      </c>
      <c r="H706" s="152" t="s">
        <v>4881</v>
      </c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85"/>
      <c r="AF706" s="185"/>
      <c r="AG706" s="185"/>
      <c r="AH706" s="185"/>
      <c r="AI706" s="185"/>
      <c r="AJ706" s="185"/>
      <c r="AK706" s="185"/>
      <c r="AL706" s="185"/>
      <c r="AM706" s="185"/>
      <c r="AN706" s="185"/>
      <c r="AO706" s="185"/>
      <c r="AP706" s="185"/>
      <c r="AQ706" s="185"/>
      <c r="AR706" s="185"/>
      <c r="AS706" s="185"/>
      <c r="AT706" s="185"/>
      <c r="AU706" s="185"/>
      <c r="AV706" s="185"/>
      <c r="AW706" s="185"/>
      <c r="AX706" s="185"/>
      <c r="AY706" s="185"/>
      <c r="AZ706" s="185"/>
      <c r="BA706" s="185"/>
      <c r="BB706" s="185"/>
      <c r="BC706" s="185"/>
      <c r="BD706" s="185"/>
      <c r="BE706" s="185"/>
    </row>
    <row r="707">
      <c r="A707" s="152"/>
      <c r="B707" s="152"/>
      <c r="C707" s="152"/>
      <c r="D707" s="152" t="s">
        <v>4882</v>
      </c>
      <c r="E707" s="152" t="s">
        <v>4827</v>
      </c>
      <c r="F707" s="152" t="s">
        <v>332</v>
      </c>
      <c r="G707" s="152" t="s">
        <v>4883</v>
      </c>
      <c r="H707" s="152" t="s">
        <v>4884</v>
      </c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85"/>
      <c r="AF707" s="185"/>
      <c r="AG707" s="185"/>
      <c r="AH707" s="185"/>
      <c r="AI707" s="185"/>
      <c r="AJ707" s="185"/>
      <c r="AK707" s="185"/>
      <c r="AL707" s="185"/>
      <c r="AM707" s="185"/>
      <c r="AN707" s="185"/>
      <c r="AO707" s="185"/>
      <c r="AP707" s="185"/>
      <c r="AQ707" s="185"/>
      <c r="AR707" s="185"/>
      <c r="AS707" s="185"/>
      <c r="AT707" s="185"/>
      <c r="AU707" s="185"/>
      <c r="AV707" s="185"/>
      <c r="AW707" s="185"/>
      <c r="AX707" s="185"/>
      <c r="AY707" s="185"/>
      <c r="AZ707" s="185"/>
      <c r="BA707" s="185"/>
      <c r="BB707" s="185"/>
      <c r="BC707" s="185"/>
      <c r="BD707" s="185"/>
      <c r="BE707" s="185"/>
    </row>
    <row r="708">
      <c r="A708" s="152"/>
      <c r="B708" s="152"/>
      <c r="C708" s="152"/>
      <c r="D708" s="152" t="s">
        <v>4885</v>
      </c>
      <c r="E708" s="152" t="s">
        <v>4886</v>
      </c>
      <c r="F708" s="152"/>
      <c r="G708" s="163" t="s">
        <v>4887</v>
      </c>
      <c r="H708" s="152" t="s">
        <v>4888</v>
      </c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85"/>
      <c r="AF708" s="185"/>
      <c r="AG708" s="185"/>
      <c r="AH708" s="185"/>
      <c r="AI708" s="185"/>
      <c r="AJ708" s="185"/>
      <c r="AK708" s="185"/>
      <c r="AL708" s="185"/>
      <c r="AM708" s="185"/>
      <c r="AN708" s="185"/>
      <c r="AO708" s="185"/>
      <c r="AP708" s="185"/>
      <c r="AQ708" s="185"/>
      <c r="AR708" s="185"/>
      <c r="AS708" s="185"/>
      <c r="AT708" s="185"/>
      <c r="AU708" s="185"/>
      <c r="AV708" s="185"/>
      <c r="AW708" s="185"/>
      <c r="AX708" s="185"/>
      <c r="AY708" s="185"/>
      <c r="AZ708" s="185"/>
      <c r="BA708" s="185"/>
      <c r="BB708" s="185"/>
      <c r="BC708" s="185"/>
      <c r="BD708" s="185"/>
      <c r="BE708" s="185"/>
    </row>
    <row r="709">
      <c r="A709" s="152"/>
      <c r="B709" s="152"/>
      <c r="C709" s="152"/>
      <c r="D709" s="152" t="s">
        <v>4889</v>
      </c>
      <c r="E709" s="152" t="s">
        <v>4890</v>
      </c>
      <c r="F709" s="152" t="s">
        <v>332</v>
      </c>
      <c r="G709" s="152" t="s">
        <v>4891</v>
      </c>
      <c r="H709" s="152" t="s">
        <v>4892</v>
      </c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85"/>
      <c r="AF709" s="185"/>
      <c r="AG709" s="185"/>
      <c r="AH709" s="185"/>
      <c r="AI709" s="185"/>
      <c r="AJ709" s="185"/>
      <c r="AK709" s="185"/>
      <c r="AL709" s="185"/>
      <c r="AM709" s="185"/>
      <c r="AN709" s="185"/>
      <c r="AO709" s="185"/>
      <c r="AP709" s="185"/>
      <c r="AQ709" s="185"/>
      <c r="AR709" s="185"/>
      <c r="AS709" s="185"/>
      <c r="AT709" s="185"/>
      <c r="AU709" s="185"/>
      <c r="AV709" s="185"/>
      <c r="AW709" s="185"/>
      <c r="AX709" s="185"/>
      <c r="AY709" s="185"/>
      <c r="AZ709" s="185"/>
      <c r="BA709" s="185"/>
      <c r="BB709" s="185"/>
      <c r="BC709" s="185"/>
      <c r="BD709" s="185"/>
      <c r="BE709" s="185"/>
    </row>
    <row r="710">
      <c r="A710" s="152"/>
      <c r="B710" s="152"/>
      <c r="C710" s="152"/>
      <c r="D710" s="152" t="s">
        <v>4893</v>
      </c>
      <c r="E710" s="152" t="s">
        <v>4894</v>
      </c>
      <c r="F710" s="152" t="s">
        <v>332</v>
      </c>
      <c r="G710" s="152" t="s">
        <v>4895</v>
      </c>
      <c r="H710" s="152" t="s">
        <v>4896</v>
      </c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85"/>
      <c r="AF710" s="185"/>
      <c r="AG710" s="185"/>
      <c r="AH710" s="185"/>
      <c r="AI710" s="185"/>
      <c r="AJ710" s="185"/>
      <c r="AK710" s="185"/>
      <c r="AL710" s="185"/>
      <c r="AM710" s="185"/>
      <c r="AN710" s="185"/>
      <c r="AO710" s="185"/>
      <c r="AP710" s="185"/>
      <c r="AQ710" s="185"/>
      <c r="AR710" s="185"/>
      <c r="AS710" s="185"/>
      <c r="AT710" s="185"/>
      <c r="AU710" s="185"/>
      <c r="AV710" s="185"/>
      <c r="AW710" s="185"/>
      <c r="AX710" s="185"/>
      <c r="AY710" s="185"/>
      <c r="AZ710" s="185"/>
      <c r="BA710" s="185"/>
      <c r="BB710" s="185"/>
      <c r="BC710" s="185"/>
      <c r="BD710" s="185"/>
      <c r="BE710" s="185"/>
    </row>
    <row r="711">
      <c r="A711" s="152"/>
      <c r="B711" s="152"/>
      <c r="C711" s="152"/>
      <c r="D711" s="152" t="s">
        <v>4897</v>
      </c>
      <c r="E711" s="152" t="s">
        <v>4898</v>
      </c>
      <c r="F711" s="152" t="s">
        <v>939</v>
      </c>
      <c r="G711" s="163" t="s">
        <v>4899</v>
      </c>
      <c r="H711" s="152" t="s">
        <v>4900</v>
      </c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85"/>
      <c r="AF711" s="185"/>
      <c r="AG711" s="185"/>
      <c r="AH711" s="185"/>
      <c r="AI711" s="185"/>
      <c r="AJ711" s="185"/>
      <c r="AK711" s="185"/>
      <c r="AL711" s="185"/>
      <c r="AM711" s="185"/>
      <c r="AN711" s="185"/>
      <c r="AO711" s="185"/>
      <c r="AP711" s="185"/>
      <c r="AQ711" s="185"/>
      <c r="AR711" s="185"/>
      <c r="AS711" s="185"/>
      <c r="AT711" s="185"/>
      <c r="AU711" s="185"/>
      <c r="AV711" s="185"/>
      <c r="AW711" s="185"/>
      <c r="AX711" s="185"/>
      <c r="AY711" s="185"/>
      <c r="AZ711" s="185"/>
      <c r="BA711" s="185"/>
      <c r="BB711" s="185"/>
      <c r="BC711" s="185"/>
      <c r="BD711" s="185"/>
      <c r="BE711" s="185"/>
    </row>
    <row r="712">
      <c r="A712" s="152"/>
      <c r="B712" s="152"/>
      <c r="C712" s="152"/>
      <c r="D712" s="152" t="s">
        <v>4901</v>
      </c>
      <c r="E712" s="152" t="s">
        <v>4902</v>
      </c>
      <c r="F712" s="152" t="s">
        <v>394</v>
      </c>
      <c r="G712" s="163" t="s">
        <v>4903</v>
      </c>
      <c r="H712" s="152" t="s">
        <v>4904</v>
      </c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85"/>
      <c r="AF712" s="185"/>
      <c r="AG712" s="185"/>
      <c r="AH712" s="185"/>
      <c r="AI712" s="185"/>
      <c r="AJ712" s="185"/>
      <c r="AK712" s="185"/>
      <c r="AL712" s="185"/>
      <c r="AM712" s="185"/>
      <c r="AN712" s="185"/>
      <c r="AO712" s="185"/>
      <c r="AP712" s="185"/>
      <c r="AQ712" s="185"/>
      <c r="AR712" s="185"/>
      <c r="AS712" s="185"/>
      <c r="AT712" s="185"/>
      <c r="AU712" s="185"/>
      <c r="AV712" s="185"/>
      <c r="AW712" s="185"/>
      <c r="AX712" s="185"/>
      <c r="AY712" s="185"/>
      <c r="AZ712" s="185"/>
      <c r="BA712" s="185"/>
      <c r="BB712" s="185"/>
      <c r="BC712" s="185"/>
      <c r="BD712" s="185"/>
      <c r="BE712" s="185"/>
    </row>
    <row r="713">
      <c r="A713" s="152"/>
      <c r="B713" s="152"/>
      <c r="C713" s="152"/>
      <c r="D713" s="152" t="s">
        <v>4905</v>
      </c>
      <c r="E713" s="152" t="s">
        <v>4906</v>
      </c>
      <c r="F713" s="152" t="s">
        <v>855</v>
      </c>
      <c r="G713" s="152" t="s">
        <v>4907</v>
      </c>
      <c r="H713" s="152" t="s">
        <v>4908</v>
      </c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85"/>
      <c r="AF713" s="185"/>
      <c r="AG713" s="185"/>
      <c r="AH713" s="185"/>
      <c r="AI713" s="185"/>
      <c r="AJ713" s="185"/>
      <c r="AK713" s="185"/>
      <c r="AL713" s="185"/>
      <c r="AM713" s="185"/>
      <c r="AN713" s="185"/>
      <c r="AO713" s="185"/>
      <c r="AP713" s="185"/>
      <c r="AQ713" s="185"/>
      <c r="AR713" s="185"/>
      <c r="AS713" s="185"/>
      <c r="AT713" s="185"/>
      <c r="AU713" s="185"/>
      <c r="AV713" s="185"/>
      <c r="AW713" s="185"/>
      <c r="AX713" s="185"/>
      <c r="AY713" s="185"/>
      <c r="AZ713" s="185"/>
      <c r="BA713" s="185"/>
      <c r="BB713" s="185"/>
      <c r="BC713" s="185"/>
      <c r="BD713" s="185"/>
      <c r="BE713" s="185"/>
    </row>
    <row r="714">
      <c r="A714" s="152"/>
      <c r="B714" s="152"/>
      <c r="C714" s="152"/>
      <c r="D714" s="163" t="s">
        <v>4909</v>
      </c>
      <c r="E714" s="152" t="s">
        <v>4910</v>
      </c>
      <c r="F714" s="152" t="s">
        <v>394</v>
      </c>
      <c r="G714" s="163" t="s">
        <v>4911</v>
      </c>
      <c r="H714" s="152" t="s">
        <v>4912</v>
      </c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85"/>
      <c r="AF714" s="185"/>
      <c r="AG714" s="185"/>
      <c r="AH714" s="185"/>
      <c r="AI714" s="185"/>
      <c r="AJ714" s="185"/>
      <c r="AK714" s="185"/>
      <c r="AL714" s="185"/>
      <c r="AM714" s="185"/>
      <c r="AN714" s="185"/>
      <c r="AO714" s="185"/>
      <c r="AP714" s="185"/>
      <c r="AQ714" s="185"/>
      <c r="AR714" s="185"/>
      <c r="AS714" s="185"/>
      <c r="AT714" s="185"/>
      <c r="AU714" s="185"/>
      <c r="AV714" s="185"/>
      <c r="AW714" s="185"/>
      <c r="AX714" s="185"/>
      <c r="AY714" s="185"/>
      <c r="AZ714" s="185"/>
      <c r="BA714" s="185"/>
      <c r="BB714" s="185"/>
      <c r="BC714" s="185"/>
      <c r="BD714" s="185"/>
      <c r="BE714" s="185"/>
    </row>
    <row r="715">
      <c r="A715" s="152"/>
      <c r="B715" s="152"/>
      <c r="C715" s="152"/>
      <c r="D715" s="152" t="s">
        <v>4913</v>
      </c>
      <c r="E715" s="152" t="s">
        <v>4914</v>
      </c>
      <c r="F715" s="152" t="s">
        <v>1988</v>
      </c>
      <c r="G715" s="152" t="s">
        <v>4915</v>
      </c>
      <c r="H715" s="152" t="s">
        <v>4916</v>
      </c>
      <c r="I715" s="152" t="s">
        <v>486</v>
      </c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85"/>
      <c r="AF715" s="185"/>
      <c r="AG715" s="185"/>
      <c r="AH715" s="185"/>
      <c r="AI715" s="185"/>
      <c r="AJ715" s="185"/>
      <c r="AK715" s="185"/>
      <c r="AL715" s="185"/>
      <c r="AM715" s="185"/>
      <c r="AN715" s="185"/>
      <c r="AO715" s="185"/>
      <c r="AP715" s="185"/>
      <c r="AQ715" s="185"/>
      <c r="AR715" s="185"/>
      <c r="AS715" s="185"/>
      <c r="AT715" s="185"/>
      <c r="AU715" s="185"/>
      <c r="AV715" s="185"/>
      <c r="AW715" s="185"/>
      <c r="AX715" s="185"/>
      <c r="AY715" s="185"/>
      <c r="AZ715" s="185"/>
      <c r="BA715" s="185"/>
      <c r="BB715" s="185"/>
      <c r="BC715" s="185"/>
      <c r="BD715" s="185"/>
      <c r="BE715" s="185"/>
    </row>
    <row r="716">
      <c r="A716" s="152"/>
      <c r="B716" s="152"/>
      <c r="C716" s="152"/>
      <c r="D716" s="152" t="s">
        <v>4917</v>
      </c>
      <c r="E716" s="152" t="s">
        <v>4918</v>
      </c>
      <c r="F716" s="152" t="s">
        <v>332</v>
      </c>
      <c r="G716" s="152" t="s">
        <v>4919</v>
      </c>
      <c r="H716" s="152" t="s">
        <v>4920</v>
      </c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85"/>
      <c r="AF716" s="185"/>
      <c r="AG716" s="185"/>
      <c r="AH716" s="185"/>
      <c r="AI716" s="185"/>
      <c r="AJ716" s="185"/>
      <c r="AK716" s="185"/>
      <c r="AL716" s="185"/>
      <c r="AM716" s="185"/>
      <c r="AN716" s="185"/>
      <c r="AO716" s="185"/>
      <c r="AP716" s="185"/>
      <c r="AQ716" s="185"/>
      <c r="AR716" s="185"/>
      <c r="AS716" s="185"/>
      <c r="AT716" s="185"/>
      <c r="AU716" s="185"/>
      <c r="AV716" s="185"/>
      <c r="AW716" s="185"/>
      <c r="AX716" s="185"/>
      <c r="AY716" s="185"/>
      <c r="AZ716" s="185"/>
      <c r="BA716" s="185"/>
      <c r="BB716" s="185"/>
      <c r="BC716" s="185"/>
      <c r="BD716" s="185"/>
      <c r="BE716" s="185"/>
    </row>
    <row r="717">
      <c r="A717" s="152"/>
      <c r="B717" s="152"/>
      <c r="C717" s="152"/>
      <c r="D717" s="152" t="s">
        <v>4921</v>
      </c>
      <c r="E717" s="152" t="s">
        <v>4922</v>
      </c>
      <c r="F717" s="152" t="s">
        <v>332</v>
      </c>
      <c r="G717" s="152" t="s">
        <v>4923</v>
      </c>
      <c r="H717" s="152" t="s">
        <v>4924</v>
      </c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85"/>
      <c r="AF717" s="185"/>
      <c r="AG717" s="185"/>
      <c r="AH717" s="185"/>
      <c r="AI717" s="185"/>
      <c r="AJ717" s="185"/>
      <c r="AK717" s="185"/>
      <c r="AL717" s="185"/>
      <c r="AM717" s="185"/>
      <c r="AN717" s="185"/>
      <c r="AO717" s="185"/>
      <c r="AP717" s="185"/>
      <c r="AQ717" s="185"/>
      <c r="AR717" s="185"/>
      <c r="AS717" s="185"/>
      <c r="AT717" s="185"/>
      <c r="AU717" s="185"/>
      <c r="AV717" s="185"/>
      <c r="AW717" s="185"/>
      <c r="AX717" s="185"/>
      <c r="AY717" s="185"/>
      <c r="AZ717" s="185"/>
      <c r="BA717" s="185"/>
      <c r="BB717" s="185"/>
      <c r="BC717" s="185"/>
      <c r="BD717" s="185"/>
      <c r="BE717" s="185"/>
    </row>
    <row r="718">
      <c r="A718" s="152"/>
      <c r="B718" s="152"/>
      <c r="C718" s="152"/>
      <c r="D718" s="163" t="s">
        <v>4925</v>
      </c>
      <c r="E718" s="152" t="s">
        <v>4926</v>
      </c>
      <c r="F718" s="152" t="s">
        <v>332</v>
      </c>
      <c r="G718" s="163" t="s">
        <v>4927</v>
      </c>
      <c r="H718" s="152" t="s">
        <v>4928</v>
      </c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85"/>
      <c r="AF718" s="185"/>
      <c r="AG718" s="185"/>
      <c r="AH718" s="185"/>
      <c r="AI718" s="185"/>
      <c r="AJ718" s="185"/>
      <c r="AK718" s="185"/>
      <c r="AL718" s="185"/>
      <c r="AM718" s="185"/>
      <c r="AN718" s="185"/>
      <c r="AO718" s="185"/>
      <c r="AP718" s="185"/>
      <c r="AQ718" s="185"/>
      <c r="AR718" s="185"/>
      <c r="AS718" s="185"/>
      <c r="AT718" s="185"/>
      <c r="AU718" s="185"/>
      <c r="AV718" s="185"/>
      <c r="AW718" s="185"/>
      <c r="AX718" s="185"/>
      <c r="AY718" s="185"/>
      <c r="AZ718" s="185"/>
      <c r="BA718" s="185"/>
      <c r="BB718" s="185"/>
      <c r="BC718" s="185"/>
      <c r="BD718" s="185"/>
      <c r="BE718" s="185"/>
    </row>
    <row r="719">
      <c r="A719" s="152"/>
      <c r="B719" s="152"/>
      <c r="C719" s="152"/>
      <c r="D719" s="152" t="s">
        <v>4929</v>
      </c>
      <c r="E719" s="152" t="s">
        <v>4930</v>
      </c>
      <c r="F719" s="152" t="s">
        <v>1541</v>
      </c>
      <c r="G719" s="152" t="s">
        <v>4931</v>
      </c>
      <c r="H719" s="152" t="s">
        <v>4931</v>
      </c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85"/>
      <c r="AF719" s="185"/>
      <c r="AG719" s="185"/>
      <c r="AH719" s="185"/>
      <c r="AI719" s="185"/>
      <c r="AJ719" s="185"/>
      <c r="AK719" s="185"/>
      <c r="AL719" s="185"/>
      <c r="AM719" s="185"/>
      <c r="AN719" s="185"/>
      <c r="AO719" s="185"/>
      <c r="AP719" s="185"/>
      <c r="AQ719" s="185"/>
      <c r="AR719" s="185"/>
      <c r="AS719" s="185"/>
      <c r="AT719" s="185"/>
      <c r="AU719" s="185"/>
      <c r="AV719" s="185"/>
      <c r="AW719" s="185"/>
      <c r="AX719" s="185"/>
      <c r="AY719" s="185"/>
      <c r="AZ719" s="185"/>
      <c r="BA719" s="185"/>
      <c r="BB719" s="185"/>
      <c r="BC719" s="185"/>
      <c r="BD719" s="185"/>
      <c r="BE719" s="185"/>
    </row>
    <row r="720">
      <c r="A720" s="152"/>
      <c r="B720" s="152"/>
      <c r="C720" s="152"/>
      <c r="D720" s="152" t="s">
        <v>4932</v>
      </c>
      <c r="E720" s="152" t="s">
        <v>4933</v>
      </c>
      <c r="F720" s="152" t="s">
        <v>332</v>
      </c>
      <c r="G720" s="152" t="s">
        <v>4934</v>
      </c>
      <c r="H720" s="152" t="s">
        <v>4935</v>
      </c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85"/>
      <c r="AF720" s="185"/>
      <c r="AG720" s="185"/>
      <c r="AH720" s="185"/>
      <c r="AI720" s="185"/>
      <c r="AJ720" s="185"/>
      <c r="AK720" s="185"/>
      <c r="AL720" s="185"/>
      <c r="AM720" s="185"/>
      <c r="AN720" s="185"/>
      <c r="AO720" s="185"/>
      <c r="AP720" s="185"/>
      <c r="AQ720" s="185"/>
      <c r="AR720" s="185"/>
      <c r="AS720" s="185"/>
      <c r="AT720" s="185"/>
      <c r="AU720" s="185"/>
      <c r="AV720" s="185"/>
      <c r="AW720" s="185"/>
      <c r="AX720" s="185"/>
      <c r="AY720" s="185"/>
      <c r="AZ720" s="185"/>
      <c r="BA720" s="185"/>
      <c r="BB720" s="185"/>
      <c r="BC720" s="185"/>
      <c r="BD720" s="185"/>
      <c r="BE720" s="185"/>
    </row>
    <row r="721">
      <c r="A721" s="152"/>
      <c r="B721" s="152"/>
      <c r="C721" s="152"/>
      <c r="D721" s="152" t="s">
        <v>4936</v>
      </c>
      <c r="E721" s="152" t="s">
        <v>4937</v>
      </c>
      <c r="F721" s="152" t="s">
        <v>332</v>
      </c>
      <c r="G721" s="152" t="s">
        <v>4938</v>
      </c>
      <c r="H721" s="152" t="s">
        <v>4939</v>
      </c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85"/>
      <c r="AF721" s="185"/>
      <c r="AG721" s="185"/>
      <c r="AH721" s="185"/>
      <c r="AI721" s="185"/>
      <c r="AJ721" s="185"/>
      <c r="AK721" s="185"/>
      <c r="AL721" s="185"/>
      <c r="AM721" s="185"/>
      <c r="AN721" s="185"/>
      <c r="AO721" s="185"/>
      <c r="AP721" s="185"/>
      <c r="AQ721" s="185"/>
      <c r="AR721" s="185"/>
      <c r="AS721" s="185"/>
      <c r="AT721" s="185"/>
      <c r="AU721" s="185"/>
      <c r="AV721" s="185"/>
      <c r="AW721" s="185"/>
      <c r="AX721" s="185"/>
      <c r="AY721" s="185"/>
      <c r="AZ721" s="185"/>
      <c r="BA721" s="185"/>
      <c r="BB721" s="185"/>
      <c r="BC721" s="185"/>
      <c r="BD721" s="185"/>
      <c r="BE721" s="185"/>
    </row>
    <row r="722">
      <c r="A722" s="152"/>
      <c r="B722" s="152"/>
      <c r="C722" s="152"/>
      <c r="D722" s="152" t="s">
        <v>4940</v>
      </c>
      <c r="E722" s="152" t="s">
        <v>4941</v>
      </c>
      <c r="F722" s="152" t="s">
        <v>1541</v>
      </c>
      <c r="G722" s="152" t="s">
        <v>4942</v>
      </c>
      <c r="H722" s="152" t="s">
        <v>1415</v>
      </c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85"/>
      <c r="AF722" s="185"/>
      <c r="AG722" s="185"/>
      <c r="AH722" s="185"/>
      <c r="AI722" s="185"/>
      <c r="AJ722" s="185"/>
      <c r="AK722" s="185"/>
      <c r="AL722" s="185"/>
      <c r="AM722" s="185"/>
      <c r="AN722" s="185"/>
      <c r="AO722" s="185"/>
      <c r="AP722" s="185"/>
      <c r="AQ722" s="185"/>
      <c r="AR722" s="185"/>
      <c r="AS722" s="185"/>
      <c r="AT722" s="185"/>
      <c r="AU722" s="185"/>
      <c r="AV722" s="185"/>
      <c r="AW722" s="185"/>
      <c r="AX722" s="185"/>
      <c r="AY722" s="185"/>
      <c r="AZ722" s="185"/>
      <c r="BA722" s="185"/>
      <c r="BB722" s="185"/>
      <c r="BC722" s="185"/>
      <c r="BD722" s="185"/>
      <c r="BE722" s="185"/>
    </row>
    <row r="723">
      <c r="A723" s="152"/>
      <c r="B723" s="152"/>
      <c r="C723" s="152"/>
      <c r="D723" s="152" t="s">
        <v>4943</v>
      </c>
      <c r="E723" s="152" t="s">
        <v>4944</v>
      </c>
      <c r="F723" s="152" t="s">
        <v>939</v>
      </c>
      <c r="G723" s="152" t="s">
        <v>4945</v>
      </c>
      <c r="H723" s="152" t="s">
        <v>4946</v>
      </c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85"/>
      <c r="AF723" s="185"/>
      <c r="AG723" s="185"/>
      <c r="AH723" s="185"/>
      <c r="AI723" s="185"/>
      <c r="AJ723" s="185"/>
      <c r="AK723" s="185"/>
      <c r="AL723" s="185"/>
      <c r="AM723" s="185"/>
      <c r="AN723" s="185"/>
      <c r="AO723" s="185"/>
      <c r="AP723" s="185"/>
      <c r="AQ723" s="185"/>
      <c r="AR723" s="185"/>
      <c r="AS723" s="185"/>
      <c r="AT723" s="185"/>
      <c r="AU723" s="185"/>
      <c r="AV723" s="185"/>
      <c r="AW723" s="185"/>
      <c r="AX723" s="185"/>
      <c r="AY723" s="185"/>
      <c r="AZ723" s="185"/>
      <c r="BA723" s="185"/>
      <c r="BB723" s="185"/>
      <c r="BC723" s="185"/>
      <c r="BD723" s="185"/>
      <c r="BE723" s="185"/>
    </row>
    <row r="724">
      <c r="A724" s="152" t="s">
        <v>4745</v>
      </c>
      <c r="B724" s="152"/>
      <c r="C724" s="152"/>
      <c r="D724" s="152" t="s">
        <v>4947</v>
      </c>
      <c r="E724" s="152" t="s">
        <v>4948</v>
      </c>
      <c r="F724" s="152" t="s">
        <v>332</v>
      </c>
      <c r="G724" s="163" t="s">
        <v>4949</v>
      </c>
      <c r="H724" s="152" t="s">
        <v>4950</v>
      </c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85"/>
      <c r="AF724" s="185"/>
      <c r="AG724" s="185"/>
      <c r="AH724" s="185"/>
      <c r="AI724" s="185"/>
      <c r="AJ724" s="185"/>
      <c r="AK724" s="185"/>
      <c r="AL724" s="185"/>
      <c r="AM724" s="185"/>
      <c r="AN724" s="185"/>
      <c r="AO724" s="185"/>
      <c r="AP724" s="185"/>
      <c r="AQ724" s="185"/>
      <c r="AR724" s="185"/>
      <c r="AS724" s="185"/>
      <c r="AT724" s="185"/>
      <c r="AU724" s="185"/>
      <c r="AV724" s="185"/>
      <c r="AW724" s="185"/>
      <c r="AX724" s="185"/>
      <c r="AY724" s="185"/>
      <c r="AZ724" s="185"/>
      <c r="BA724" s="185"/>
      <c r="BB724" s="185"/>
      <c r="BC724" s="185"/>
      <c r="BD724" s="185"/>
      <c r="BE724" s="185"/>
    </row>
    <row r="725">
      <c r="A725" s="152"/>
      <c r="B725" s="152"/>
      <c r="C725" s="152"/>
      <c r="D725" s="152" t="s">
        <v>4951</v>
      </c>
      <c r="E725" s="152" t="s">
        <v>4952</v>
      </c>
      <c r="F725" s="152" t="s">
        <v>332</v>
      </c>
      <c r="G725" s="152" t="s">
        <v>4953</v>
      </c>
      <c r="H725" s="152" t="s">
        <v>4954</v>
      </c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85"/>
      <c r="AF725" s="185"/>
      <c r="AG725" s="185"/>
      <c r="AH725" s="185"/>
      <c r="AI725" s="185"/>
      <c r="AJ725" s="185"/>
      <c r="AK725" s="185"/>
      <c r="AL725" s="185"/>
      <c r="AM725" s="185"/>
      <c r="AN725" s="185"/>
      <c r="AO725" s="185"/>
      <c r="AP725" s="185"/>
      <c r="AQ725" s="185"/>
      <c r="AR725" s="185"/>
      <c r="AS725" s="185"/>
      <c r="AT725" s="185"/>
      <c r="AU725" s="185"/>
      <c r="AV725" s="185"/>
      <c r="AW725" s="185"/>
      <c r="AX725" s="185"/>
      <c r="AY725" s="185"/>
      <c r="AZ725" s="185"/>
      <c r="BA725" s="185"/>
      <c r="BB725" s="185"/>
      <c r="BC725" s="185"/>
      <c r="BD725" s="185"/>
      <c r="BE725" s="185"/>
    </row>
    <row r="726">
      <c r="A726" s="152"/>
      <c r="B726" s="152"/>
      <c r="C726" s="152"/>
      <c r="D726" s="152" t="s">
        <v>4955</v>
      </c>
      <c r="E726" s="152" t="s">
        <v>4956</v>
      </c>
      <c r="F726" s="152"/>
      <c r="G726" s="152" t="s">
        <v>4957</v>
      </c>
      <c r="H726" s="152" t="s">
        <v>4958</v>
      </c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85"/>
      <c r="AF726" s="185"/>
      <c r="AG726" s="185"/>
      <c r="AH726" s="185"/>
      <c r="AI726" s="185"/>
      <c r="AJ726" s="185"/>
      <c r="AK726" s="185"/>
      <c r="AL726" s="185"/>
      <c r="AM726" s="185"/>
      <c r="AN726" s="185"/>
      <c r="AO726" s="185"/>
      <c r="AP726" s="185"/>
      <c r="AQ726" s="185"/>
      <c r="AR726" s="185"/>
      <c r="AS726" s="185"/>
      <c r="AT726" s="185"/>
      <c r="AU726" s="185"/>
      <c r="AV726" s="185"/>
      <c r="AW726" s="185"/>
      <c r="AX726" s="185"/>
      <c r="AY726" s="185"/>
      <c r="AZ726" s="185"/>
      <c r="BA726" s="185"/>
      <c r="BB726" s="185"/>
      <c r="BC726" s="185"/>
      <c r="BD726" s="185"/>
      <c r="BE726" s="185"/>
    </row>
    <row r="727">
      <c r="A727" s="152"/>
      <c r="B727" s="152"/>
      <c r="C727" s="152"/>
      <c r="D727" s="152" t="s">
        <v>4959</v>
      </c>
      <c r="E727" s="152" t="s">
        <v>4960</v>
      </c>
      <c r="F727" s="152" t="s">
        <v>332</v>
      </c>
      <c r="G727" s="152" t="s">
        <v>4961</v>
      </c>
      <c r="H727" s="152" t="s">
        <v>4961</v>
      </c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85"/>
      <c r="AF727" s="185"/>
      <c r="AG727" s="185"/>
      <c r="AH727" s="185"/>
      <c r="AI727" s="185"/>
      <c r="AJ727" s="185"/>
      <c r="AK727" s="185"/>
      <c r="AL727" s="185"/>
      <c r="AM727" s="185"/>
      <c r="AN727" s="185"/>
      <c r="AO727" s="185"/>
      <c r="AP727" s="185"/>
      <c r="AQ727" s="185"/>
      <c r="AR727" s="185"/>
      <c r="AS727" s="185"/>
      <c r="AT727" s="185"/>
      <c r="AU727" s="185"/>
      <c r="AV727" s="185"/>
      <c r="AW727" s="185"/>
      <c r="AX727" s="185"/>
      <c r="AY727" s="185"/>
      <c r="AZ727" s="185"/>
      <c r="BA727" s="185"/>
      <c r="BB727" s="185"/>
      <c r="BC727" s="185"/>
      <c r="BD727" s="185"/>
      <c r="BE727" s="185"/>
    </row>
    <row r="728">
      <c r="A728" s="152"/>
      <c r="B728" s="152"/>
      <c r="C728" s="152"/>
      <c r="D728" s="152" t="s">
        <v>4962</v>
      </c>
      <c r="E728" s="152" t="s">
        <v>4963</v>
      </c>
      <c r="F728" s="152" t="s">
        <v>332</v>
      </c>
      <c r="G728" s="152" t="s">
        <v>4964</v>
      </c>
      <c r="H728" s="152" t="s">
        <v>4965</v>
      </c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85"/>
      <c r="AF728" s="185"/>
      <c r="AG728" s="185"/>
      <c r="AH728" s="185"/>
      <c r="AI728" s="185"/>
      <c r="AJ728" s="185"/>
      <c r="AK728" s="185"/>
      <c r="AL728" s="185"/>
      <c r="AM728" s="185"/>
      <c r="AN728" s="185"/>
      <c r="AO728" s="185"/>
      <c r="AP728" s="185"/>
      <c r="AQ728" s="185"/>
      <c r="AR728" s="185"/>
      <c r="AS728" s="185"/>
      <c r="AT728" s="185"/>
      <c r="AU728" s="185"/>
      <c r="AV728" s="185"/>
      <c r="AW728" s="185"/>
      <c r="AX728" s="185"/>
      <c r="AY728" s="185"/>
      <c r="AZ728" s="185"/>
      <c r="BA728" s="185"/>
      <c r="BB728" s="185"/>
      <c r="BC728" s="185"/>
      <c r="BD728" s="185"/>
      <c r="BE728" s="185"/>
    </row>
    <row r="729">
      <c r="A729" s="152"/>
      <c r="B729" s="152"/>
      <c r="C729" s="152"/>
      <c r="D729" s="152" t="s">
        <v>4966</v>
      </c>
      <c r="E729" s="152" t="s">
        <v>4967</v>
      </c>
      <c r="F729" s="152" t="s">
        <v>1541</v>
      </c>
      <c r="G729" s="152" t="s">
        <v>4968</v>
      </c>
      <c r="H729" s="152" t="s">
        <v>4969</v>
      </c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85"/>
      <c r="AF729" s="185"/>
      <c r="AG729" s="185"/>
      <c r="AH729" s="185"/>
      <c r="AI729" s="185"/>
      <c r="AJ729" s="185"/>
      <c r="AK729" s="185"/>
      <c r="AL729" s="185"/>
      <c r="AM729" s="185"/>
      <c r="AN729" s="185"/>
      <c r="AO729" s="185"/>
      <c r="AP729" s="185"/>
      <c r="AQ729" s="185"/>
      <c r="AR729" s="185"/>
      <c r="AS729" s="185"/>
      <c r="AT729" s="185"/>
      <c r="AU729" s="185"/>
      <c r="AV729" s="185"/>
      <c r="AW729" s="185"/>
      <c r="AX729" s="185"/>
      <c r="AY729" s="185"/>
      <c r="AZ729" s="185"/>
      <c r="BA729" s="185"/>
      <c r="BB729" s="185"/>
      <c r="BC729" s="185"/>
      <c r="BD729" s="185"/>
      <c r="BE729" s="185"/>
    </row>
    <row r="730">
      <c r="A730" s="152"/>
      <c r="B730" s="152"/>
      <c r="C730" s="152"/>
      <c r="D730" s="152" t="s">
        <v>4970</v>
      </c>
      <c r="E730" s="152" t="s">
        <v>4971</v>
      </c>
      <c r="F730" s="152" t="s">
        <v>3923</v>
      </c>
      <c r="G730" s="152" t="s">
        <v>4972</v>
      </c>
      <c r="H730" s="152" t="s">
        <v>4973</v>
      </c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85"/>
      <c r="AF730" s="185"/>
      <c r="AG730" s="185"/>
      <c r="AH730" s="185"/>
      <c r="AI730" s="185"/>
      <c r="AJ730" s="185"/>
      <c r="AK730" s="185"/>
      <c r="AL730" s="185"/>
      <c r="AM730" s="185"/>
      <c r="AN730" s="185"/>
      <c r="AO730" s="185"/>
      <c r="AP730" s="185"/>
      <c r="AQ730" s="185"/>
      <c r="AR730" s="185"/>
      <c r="AS730" s="185"/>
      <c r="AT730" s="185"/>
      <c r="AU730" s="185"/>
      <c r="AV730" s="185"/>
      <c r="AW730" s="185"/>
      <c r="AX730" s="185"/>
      <c r="AY730" s="185"/>
      <c r="AZ730" s="185"/>
      <c r="BA730" s="185"/>
      <c r="BB730" s="185"/>
      <c r="BC730" s="185"/>
      <c r="BD730" s="185"/>
      <c r="BE730" s="185"/>
    </row>
    <row r="731">
      <c r="A731" s="152"/>
      <c r="B731" s="152"/>
      <c r="C731" s="152"/>
      <c r="D731" s="163" t="s">
        <v>4974</v>
      </c>
      <c r="E731" s="152" t="s">
        <v>4975</v>
      </c>
      <c r="F731" s="152" t="s">
        <v>1541</v>
      </c>
      <c r="G731" s="152" t="s">
        <v>4976</v>
      </c>
      <c r="H731" s="152" t="s">
        <v>4977</v>
      </c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85"/>
      <c r="AF731" s="185"/>
      <c r="AG731" s="185"/>
      <c r="AH731" s="185"/>
      <c r="AI731" s="185"/>
      <c r="AJ731" s="185"/>
      <c r="AK731" s="185"/>
      <c r="AL731" s="185"/>
      <c r="AM731" s="185"/>
      <c r="AN731" s="185"/>
      <c r="AO731" s="185"/>
      <c r="AP731" s="185"/>
      <c r="AQ731" s="185"/>
      <c r="AR731" s="185"/>
      <c r="AS731" s="185"/>
      <c r="AT731" s="185"/>
      <c r="AU731" s="185"/>
      <c r="AV731" s="185"/>
      <c r="AW731" s="185"/>
      <c r="AX731" s="185"/>
      <c r="AY731" s="185"/>
      <c r="AZ731" s="185"/>
      <c r="BA731" s="185"/>
      <c r="BB731" s="185"/>
      <c r="BC731" s="185"/>
      <c r="BD731" s="185"/>
      <c r="BE731" s="185"/>
    </row>
    <row r="732">
      <c r="A732" s="152"/>
      <c r="B732" s="152"/>
      <c r="C732" s="152"/>
      <c r="D732" s="152" t="s">
        <v>4978</v>
      </c>
      <c r="E732" s="152" t="s">
        <v>4979</v>
      </c>
      <c r="F732" s="152" t="s">
        <v>332</v>
      </c>
      <c r="G732" s="152" t="s">
        <v>4980</v>
      </c>
      <c r="H732" s="152" t="s">
        <v>4981</v>
      </c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85"/>
      <c r="AF732" s="185"/>
      <c r="AG732" s="185"/>
      <c r="AH732" s="185"/>
      <c r="AI732" s="185"/>
      <c r="AJ732" s="185"/>
      <c r="AK732" s="185"/>
      <c r="AL732" s="185"/>
      <c r="AM732" s="185"/>
      <c r="AN732" s="185"/>
      <c r="AO732" s="185"/>
      <c r="AP732" s="185"/>
      <c r="AQ732" s="185"/>
      <c r="AR732" s="185"/>
      <c r="AS732" s="185"/>
      <c r="AT732" s="185"/>
      <c r="AU732" s="185"/>
      <c r="AV732" s="185"/>
      <c r="AW732" s="185"/>
      <c r="AX732" s="185"/>
      <c r="AY732" s="185"/>
      <c r="AZ732" s="185"/>
      <c r="BA732" s="185"/>
      <c r="BB732" s="185"/>
      <c r="BC732" s="185"/>
      <c r="BD732" s="185"/>
      <c r="BE732" s="185"/>
    </row>
    <row r="733">
      <c r="A733" s="152"/>
      <c r="B733" s="152"/>
      <c r="C733" s="152"/>
      <c r="D733" s="152" t="s">
        <v>4982</v>
      </c>
      <c r="E733" s="152" t="s">
        <v>4983</v>
      </c>
      <c r="F733" s="152" t="s">
        <v>830</v>
      </c>
      <c r="G733" s="152" t="s">
        <v>4984</v>
      </c>
      <c r="H733" s="152" t="s">
        <v>4985</v>
      </c>
      <c r="I733" s="152" t="s">
        <v>486</v>
      </c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85"/>
      <c r="AF733" s="185"/>
      <c r="AG733" s="185"/>
      <c r="AH733" s="185"/>
      <c r="AI733" s="185"/>
      <c r="AJ733" s="185"/>
      <c r="AK733" s="185"/>
      <c r="AL733" s="185"/>
      <c r="AM733" s="185"/>
      <c r="AN733" s="185"/>
      <c r="AO733" s="185"/>
      <c r="AP733" s="185"/>
      <c r="AQ733" s="185"/>
      <c r="AR733" s="185"/>
      <c r="AS733" s="185"/>
      <c r="AT733" s="185"/>
      <c r="AU733" s="185"/>
      <c r="AV733" s="185"/>
      <c r="AW733" s="185"/>
      <c r="AX733" s="185"/>
      <c r="AY733" s="185"/>
      <c r="AZ733" s="185"/>
      <c r="BA733" s="185"/>
      <c r="BB733" s="185"/>
      <c r="BC733" s="185"/>
      <c r="BD733" s="185"/>
      <c r="BE733" s="185"/>
    </row>
    <row r="734">
      <c r="A734" s="152"/>
      <c r="B734" s="152"/>
      <c r="C734" s="152"/>
      <c r="D734" s="152" t="s">
        <v>4986</v>
      </c>
      <c r="E734" s="152" t="s">
        <v>4987</v>
      </c>
      <c r="F734" s="152" t="s">
        <v>806</v>
      </c>
      <c r="G734" s="152" t="s">
        <v>4988</v>
      </c>
      <c r="H734" s="152" t="s">
        <v>4989</v>
      </c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85"/>
      <c r="AF734" s="185"/>
      <c r="AG734" s="185"/>
      <c r="AH734" s="185"/>
      <c r="AI734" s="185"/>
      <c r="AJ734" s="185"/>
      <c r="AK734" s="185"/>
      <c r="AL734" s="185"/>
      <c r="AM734" s="185"/>
      <c r="AN734" s="185"/>
      <c r="AO734" s="185"/>
      <c r="AP734" s="185"/>
      <c r="AQ734" s="185"/>
      <c r="AR734" s="185"/>
      <c r="AS734" s="185"/>
      <c r="AT734" s="185"/>
      <c r="AU734" s="185"/>
      <c r="AV734" s="185"/>
      <c r="AW734" s="185"/>
      <c r="AX734" s="185"/>
      <c r="AY734" s="185"/>
      <c r="AZ734" s="185"/>
      <c r="BA734" s="185"/>
      <c r="BB734" s="185"/>
      <c r="BC734" s="185"/>
      <c r="BD734" s="185"/>
      <c r="BE734" s="185"/>
    </row>
    <row r="735">
      <c r="A735" s="152"/>
      <c r="B735" s="152"/>
      <c r="C735" s="152"/>
      <c r="D735" s="152" t="s">
        <v>4990</v>
      </c>
      <c r="E735" s="152" t="s">
        <v>4991</v>
      </c>
      <c r="F735" s="152"/>
      <c r="G735" s="152" t="s">
        <v>4992</v>
      </c>
      <c r="H735" s="152" t="s">
        <v>4993</v>
      </c>
      <c r="I735" s="152" t="s">
        <v>486</v>
      </c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85"/>
      <c r="AF735" s="185"/>
      <c r="AG735" s="185"/>
      <c r="AH735" s="185"/>
      <c r="AI735" s="185"/>
      <c r="AJ735" s="185"/>
      <c r="AK735" s="185"/>
      <c r="AL735" s="185"/>
      <c r="AM735" s="185"/>
      <c r="AN735" s="185"/>
      <c r="AO735" s="185"/>
      <c r="AP735" s="185"/>
      <c r="AQ735" s="185"/>
      <c r="AR735" s="185"/>
      <c r="AS735" s="185"/>
      <c r="AT735" s="185"/>
      <c r="AU735" s="185"/>
      <c r="AV735" s="185"/>
      <c r="AW735" s="185"/>
      <c r="AX735" s="185"/>
      <c r="AY735" s="185"/>
      <c r="AZ735" s="185"/>
      <c r="BA735" s="185"/>
      <c r="BB735" s="185"/>
      <c r="BC735" s="185"/>
      <c r="BD735" s="185"/>
      <c r="BE735" s="185"/>
    </row>
    <row r="736">
      <c r="A736" s="152"/>
      <c r="B736" s="152"/>
      <c r="C736" s="152"/>
      <c r="D736" s="152" t="s">
        <v>4994</v>
      </c>
      <c r="E736" s="152" t="s">
        <v>4995</v>
      </c>
      <c r="F736" s="152" t="s">
        <v>806</v>
      </c>
      <c r="G736" s="152" t="s">
        <v>4996</v>
      </c>
      <c r="H736" s="152" t="s">
        <v>4997</v>
      </c>
      <c r="I736" s="152" t="s">
        <v>486</v>
      </c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85"/>
      <c r="AF736" s="185"/>
      <c r="AG736" s="185"/>
      <c r="AH736" s="185"/>
      <c r="AI736" s="185"/>
      <c r="AJ736" s="185"/>
      <c r="AK736" s="185"/>
      <c r="AL736" s="185"/>
      <c r="AM736" s="185"/>
      <c r="AN736" s="185"/>
      <c r="AO736" s="185"/>
      <c r="AP736" s="185"/>
      <c r="AQ736" s="185"/>
      <c r="AR736" s="185"/>
      <c r="AS736" s="185"/>
      <c r="AT736" s="185"/>
      <c r="AU736" s="185"/>
      <c r="AV736" s="185"/>
      <c r="AW736" s="185"/>
      <c r="AX736" s="185"/>
      <c r="AY736" s="185"/>
      <c r="AZ736" s="185"/>
      <c r="BA736" s="185"/>
      <c r="BB736" s="185"/>
      <c r="BC736" s="185"/>
      <c r="BD736" s="185"/>
      <c r="BE736" s="185"/>
    </row>
    <row r="737">
      <c r="A737" s="152"/>
      <c r="B737" s="152"/>
      <c r="C737" s="152"/>
      <c r="D737" s="152" t="s">
        <v>4998</v>
      </c>
      <c r="E737" s="152" t="s">
        <v>4999</v>
      </c>
      <c r="F737" s="152" t="s">
        <v>2002</v>
      </c>
      <c r="G737" s="152" t="s">
        <v>4554</v>
      </c>
      <c r="H737" s="152" t="s">
        <v>5000</v>
      </c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85"/>
      <c r="AF737" s="185"/>
      <c r="AG737" s="185"/>
      <c r="AH737" s="185"/>
      <c r="AI737" s="185"/>
      <c r="AJ737" s="185"/>
      <c r="AK737" s="185"/>
      <c r="AL737" s="185"/>
      <c r="AM737" s="185"/>
      <c r="AN737" s="185"/>
      <c r="AO737" s="185"/>
      <c r="AP737" s="185"/>
      <c r="AQ737" s="185"/>
      <c r="AR737" s="185"/>
      <c r="AS737" s="185"/>
      <c r="AT737" s="185"/>
      <c r="AU737" s="185"/>
      <c r="AV737" s="185"/>
      <c r="AW737" s="185"/>
      <c r="AX737" s="185"/>
      <c r="AY737" s="185"/>
      <c r="AZ737" s="185"/>
      <c r="BA737" s="185"/>
      <c r="BB737" s="185"/>
      <c r="BC737" s="185"/>
      <c r="BD737" s="185"/>
      <c r="BE737" s="185"/>
    </row>
    <row r="738">
      <c r="A738" s="152"/>
      <c r="B738" s="152"/>
      <c r="C738" s="152"/>
      <c r="D738" s="152" t="s">
        <v>5001</v>
      </c>
      <c r="E738" s="152" t="s">
        <v>5002</v>
      </c>
      <c r="F738" s="152" t="s">
        <v>332</v>
      </c>
      <c r="G738" s="152" t="s">
        <v>5003</v>
      </c>
      <c r="H738" s="152" t="s">
        <v>5004</v>
      </c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85"/>
      <c r="AF738" s="185"/>
      <c r="AG738" s="185"/>
      <c r="AH738" s="185"/>
      <c r="AI738" s="185"/>
      <c r="AJ738" s="185"/>
      <c r="AK738" s="185"/>
      <c r="AL738" s="185"/>
      <c r="AM738" s="185"/>
      <c r="AN738" s="185"/>
      <c r="AO738" s="185"/>
      <c r="AP738" s="185"/>
      <c r="AQ738" s="185"/>
      <c r="AR738" s="185"/>
      <c r="AS738" s="185"/>
      <c r="AT738" s="185"/>
      <c r="AU738" s="185"/>
      <c r="AV738" s="185"/>
      <c r="AW738" s="185"/>
      <c r="AX738" s="185"/>
      <c r="AY738" s="185"/>
      <c r="AZ738" s="185"/>
      <c r="BA738" s="185"/>
      <c r="BB738" s="185"/>
      <c r="BC738" s="185"/>
      <c r="BD738" s="185"/>
      <c r="BE738" s="185"/>
    </row>
    <row r="739">
      <c r="A739" s="152"/>
      <c r="B739" s="152"/>
      <c r="C739" s="152"/>
      <c r="D739" s="152" t="s">
        <v>5005</v>
      </c>
      <c r="E739" s="152" t="s">
        <v>5006</v>
      </c>
      <c r="F739" s="152" t="s">
        <v>1186</v>
      </c>
      <c r="G739" s="152" t="s">
        <v>5007</v>
      </c>
      <c r="H739" s="152" t="s">
        <v>5008</v>
      </c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85"/>
      <c r="AF739" s="185"/>
      <c r="AG739" s="185"/>
      <c r="AH739" s="185"/>
      <c r="AI739" s="185"/>
      <c r="AJ739" s="185"/>
      <c r="AK739" s="185"/>
      <c r="AL739" s="185"/>
      <c r="AM739" s="185"/>
      <c r="AN739" s="185"/>
      <c r="AO739" s="185"/>
      <c r="AP739" s="185"/>
      <c r="AQ739" s="185"/>
      <c r="AR739" s="185"/>
      <c r="AS739" s="185"/>
      <c r="AT739" s="185"/>
      <c r="AU739" s="185"/>
      <c r="AV739" s="185"/>
      <c r="AW739" s="185"/>
      <c r="AX739" s="185"/>
      <c r="AY739" s="185"/>
      <c r="AZ739" s="185"/>
      <c r="BA739" s="185"/>
      <c r="BB739" s="185"/>
      <c r="BC739" s="185"/>
      <c r="BD739" s="185"/>
      <c r="BE739" s="185"/>
    </row>
    <row r="740">
      <c r="A740" s="152"/>
      <c r="B740" s="152"/>
      <c r="C740" s="152"/>
      <c r="D740" s="152" t="s">
        <v>5009</v>
      </c>
      <c r="E740" s="152" t="s">
        <v>5010</v>
      </c>
      <c r="F740" s="152" t="s">
        <v>363</v>
      </c>
      <c r="G740" s="152" t="s">
        <v>5011</v>
      </c>
      <c r="H740" s="152" t="s">
        <v>5012</v>
      </c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85"/>
      <c r="AF740" s="185"/>
      <c r="AG740" s="185"/>
      <c r="AH740" s="185"/>
      <c r="AI740" s="185"/>
      <c r="AJ740" s="185"/>
      <c r="AK740" s="185"/>
      <c r="AL740" s="185"/>
      <c r="AM740" s="185"/>
      <c r="AN740" s="185"/>
      <c r="AO740" s="185"/>
      <c r="AP740" s="185"/>
      <c r="AQ740" s="185"/>
      <c r="AR740" s="185"/>
      <c r="AS740" s="185"/>
      <c r="AT740" s="185"/>
      <c r="AU740" s="185"/>
      <c r="AV740" s="185"/>
      <c r="AW740" s="185"/>
      <c r="AX740" s="185"/>
      <c r="AY740" s="185"/>
      <c r="AZ740" s="185"/>
      <c r="BA740" s="185"/>
      <c r="BB740" s="185"/>
      <c r="BC740" s="185"/>
      <c r="BD740" s="185"/>
      <c r="BE740" s="185"/>
    </row>
    <row r="741">
      <c r="A741" s="152"/>
      <c r="B741" s="152"/>
      <c r="C741" s="152"/>
      <c r="D741" s="152" t="s">
        <v>5013</v>
      </c>
      <c r="E741" s="152" t="s">
        <v>5014</v>
      </c>
      <c r="F741" s="152"/>
      <c r="G741" s="152" t="s">
        <v>5015</v>
      </c>
      <c r="H741" s="152" t="s">
        <v>5016</v>
      </c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85"/>
      <c r="AF741" s="185"/>
      <c r="AG741" s="185"/>
      <c r="AH741" s="185"/>
      <c r="AI741" s="185"/>
      <c r="AJ741" s="185"/>
      <c r="AK741" s="185"/>
      <c r="AL741" s="185"/>
      <c r="AM741" s="185"/>
      <c r="AN741" s="185"/>
      <c r="AO741" s="185"/>
      <c r="AP741" s="185"/>
      <c r="AQ741" s="185"/>
      <c r="AR741" s="185"/>
      <c r="AS741" s="185"/>
      <c r="AT741" s="185"/>
      <c r="AU741" s="185"/>
      <c r="AV741" s="185"/>
      <c r="AW741" s="185"/>
      <c r="AX741" s="185"/>
      <c r="AY741" s="185"/>
      <c r="AZ741" s="185"/>
      <c r="BA741" s="185"/>
      <c r="BB741" s="185"/>
      <c r="BC741" s="185"/>
      <c r="BD741" s="185"/>
      <c r="BE741" s="185"/>
    </row>
    <row r="742">
      <c r="A742" s="152"/>
      <c r="B742" s="152"/>
      <c r="C742" s="152"/>
      <c r="D742" s="152" t="s">
        <v>5017</v>
      </c>
      <c r="E742" s="152" t="s">
        <v>5018</v>
      </c>
      <c r="F742" s="152"/>
      <c r="G742" s="152" t="s">
        <v>5019</v>
      </c>
      <c r="H742" s="152" t="s">
        <v>5020</v>
      </c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85"/>
      <c r="AF742" s="185"/>
      <c r="AG742" s="185"/>
      <c r="AH742" s="185"/>
      <c r="AI742" s="185"/>
      <c r="AJ742" s="185"/>
      <c r="AK742" s="185"/>
      <c r="AL742" s="185"/>
      <c r="AM742" s="185"/>
      <c r="AN742" s="185"/>
      <c r="AO742" s="185"/>
      <c r="AP742" s="185"/>
      <c r="AQ742" s="185"/>
      <c r="AR742" s="185"/>
      <c r="AS742" s="185"/>
      <c r="AT742" s="185"/>
      <c r="AU742" s="185"/>
      <c r="AV742" s="185"/>
      <c r="AW742" s="185"/>
      <c r="AX742" s="185"/>
      <c r="AY742" s="185"/>
      <c r="AZ742" s="185"/>
      <c r="BA742" s="185"/>
      <c r="BB742" s="185"/>
      <c r="BC742" s="185"/>
      <c r="BD742" s="185"/>
      <c r="BE742" s="185"/>
    </row>
    <row r="743">
      <c r="A743" s="152"/>
      <c r="B743" s="152"/>
      <c r="C743" s="152"/>
      <c r="D743" s="152" t="s">
        <v>5021</v>
      </c>
      <c r="E743" s="152" t="s">
        <v>700</v>
      </c>
      <c r="F743" s="152"/>
      <c r="G743" s="152" t="s">
        <v>5022</v>
      </c>
      <c r="H743" s="152" t="s">
        <v>5023</v>
      </c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85"/>
      <c r="AF743" s="185"/>
      <c r="AG743" s="185"/>
      <c r="AH743" s="185"/>
      <c r="AI743" s="185"/>
      <c r="AJ743" s="185"/>
      <c r="AK743" s="185"/>
      <c r="AL743" s="185"/>
      <c r="AM743" s="185"/>
      <c r="AN743" s="185"/>
      <c r="AO743" s="185"/>
      <c r="AP743" s="185"/>
      <c r="AQ743" s="185"/>
      <c r="AR743" s="185"/>
      <c r="AS743" s="185"/>
      <c r="AT743" s="185"/>
      <c r="AU743" s="185"/>
      <c r="AV743" s="185"/>
      <c r="AW743" s="185"/>
      <c r="AX743" s="185"/>
      <c r="AY743" s="185"/>
      <c r="AZ743" s="185"/>
      <c r="BA743" s="185"/>
      <c r="BB743" s="185"/>
      <c r="BC743" s="185"/>
      <c r="BD743" s="185"/>
      <c r="BE743" s="185"/>
    </row>
    <row r="744">
      <c r="A744" s="152"/>
      <c r="B744" s="152"/>
      <c r="C744" s="152"/>
      <c r="D744" s="152" t="s">
        <v>2248</v>
      </c>
      <c r="E744" s="152" t="s">
        <v>2248</v>
      </c>
      <c r="F744" s="152"/>
      <c r="G744" s="152" t="s">
        <v>5024</v>
      </c>
      <c r="H744" s="152" t="s">
        <v>5025</v>
      </c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85"/>
      <c r="AF744" s="185"/>
      <c r="AG744" s="185"/>
      <c r="AH744" s="185"/>
      <c r="AI744" s="185"/>
      <c r="AJ744" s="185"/>
      <c r="AK744" s="185"/>
      <c r="AL744" s="185"/>
      <c r="AM744" s="185"/>
      <c r="AN744" s="185"/>
      <c r="AO744" s="185"/>
      <c r="AP744" s="185"/>
      <c r="AQ744" s="185"/>
      <c r="AR744" s="185"/>
      <c r="AS744" s="185"/>
      <c r="AT744" s="185"/>
      <c r="AU744" s="185"/>
      <c r="AV744" s="185"/>
      <c r="AW744" s="185"/>
      <c r="AX744" s="185"/>
      <c r="AY744" s="185"/>
      <c r="AZ744" s="185"/>
      <c r="BA744" s="185"/>
      <c r="BB744" s="185"/>
      <c r="BC744" s="185"/>
      <c r="BD744" s="185"/>
      <c r="BE744" s="185"/>
    </row>
    <row r="745">
      <c r="A745" s="152"/>
      <c r="B745" s="152"/>
      <c r="C745" s="152"/>
      <c r="D745" s="152" t="s">
        <v>5026</v>
      </c>
      <c r="E745" s="152" t="s">
        <v>5027</v>
      </c>
      <c r="F745" s="152"/>
      <c r="G745" s="163" t="s">
        <v>5028</v>
      </c>
      <c r="H745" s="152" t="s">
        <v>5029</v>
      </c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85"/>
      <c r="AF745" s="185"/>
      <c r="AG745" s="185"/>
      <c r="AH745" s="185"/>
      <c r="AI745" s="185"/>
      <c r="AJ745" s="185"/>
      <c r="AK745" s="185"/>
      <c r="AL745" s="185"/>
      <c r="AM745" s="185"/>
      <c r="AN745" s="185"/>
      <c r="AO745" s="185"/>
      <c r="AP745" s="185"/>
      <c r="AQ745" s="185"/>
      <c r="AR745" s="185"/>
      <c r="AS745" s="185"/>
      <c r="AT745" s="185"/>
      <c r="AU745" s="185"/>
      <c r="AV745" s="185"/>
      <c r="AW745" s="185"/>
      <c r="AX745" s="185"/>
      <c r="AY745" s="185"/>
      <c r="AZ745" s="185"/>
      <c r="BA745" s="185"/>
      <c r="BB745" s="185"/>
      <c r="BC745" s="185"/>
      <c r="BD745" s="185"/>
      <c r="BE745" s="185"/>
    </row>
    <row r="746">
      <c r="A746" s="152"/>
      <c r="B746" s="152"/>
      <c r="C746" s="152"/>
      <c r="D746" s="152" t="s">
        <v>5030</v>
      </c>
      <c r="E746" s="152" t="s">
        <v>5031</v>
      </c>
      <c r="F746" s="152"/>
      <c r="G746" s="152" t="s">
        <v>5032</v>
      </c>
      <c r="H746" s="152" t="s">
        <v>5033</v>
      </c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85"/>
      <c r="AF746" s="185"/>
      <c r="AG746" s="185"/>
      <c r="AH746" s="185"/>
      <c r="AI746" s="185"/>
      <c r="AJ746" s="185"/>
      <c r="AK746" s="185"/>
      <c r="AL746" s="185"/>
      <c r="AM746" s="185"/>
      <c r="AN746" s="185"/>
      <c r="AO746" s="185"/>
      <c r="AP746" s="185"/>
      <c r="AQ746" s="185"/>
      <c r="AR746" s="185"/>
      <c r="AS746" s="185"/>
      <c r="AT746" s="185"/>
      <c r="AU746" s="185"/>
      <c r="AV746" s="185"/>
      <c r="AW746" s="185"/>
      <c r="AX746" s="185"/>
      <c r="AY746" s="185"/>
      <c r="AZ746" s="185"/>
      <c r="BA746" s="185"/>
      <c r="BB746" s="185"/>
      <c r="BC746" s="185"/>
      <c r="BD746" s="185"/>
      <c r="BE746" s="185"/>
    </row>
    <row r="747">
      <c r="A747" s="152"/>
      <c r="B747" s="152"/>
      <c r="C747" s="152"/>
      <c r="D747" s="152" t="s">
        <v>5034</v>
      </c>
      <c r="E747" s="152" t="s">
        <v>3622</v>
      </c>
      <c r="F747" s="152"/>
      <c r="G747" s="152" t="s">
        <v>5035</v>
      </c>
      <c r="H747" s="152" t="s">
        <v>5035</v>
      </c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85"/>
      <c r="AF747" s="185"/>
      <c r="AG747" s="185"/>
      <c r="AH747" s="185"/>
      <c r="AI747" s="185"/>
      <c r="AJ747" s="185"/>
      <c r="AK747" s="185"/>
      <c r="AL747" s="185"/>
      <c r="AM747" s="185"/>
      <c r="AN747" s="185"/>
      <c r="AO747" s="185"/>
      <c r="AP747" s="185"/>
      <c r="AQ747" s="185"/>
      <c r="AR747" s="185"/>
      <c r="AS747" s="185"/>
      <c r="AT747" s="185"/>
      <c r="AU747" s="185"/>
      <c r="AV747" s="185"/>
      <c r="AW747" s="185"/>
      <c r="AX747" s="185"/>
      <c r="AY747" s="185"/>
      <c r="AZ747" s="185"/>
      <c r="BA747" s="185"/>
      <c r="BB747" s="185"/>
      <c r="BC747" s="185"/>
      <c r="BD747" s="185"/>
      <c r="BE747" s="185"/>
    </row>
    <row r="748">
      <c r="A748" s="152"/>
      <c r="B748" s="152"/>
      <c r="C748" s="152"/>
      <c r="D748" s="152" t="s">
        <v>5036</v>
      </c>
      <c r="E748" s="152" t="s">
        <v>3709</v>
      </c>
      <c r="F748" s="152"/>
      <c r="G748" s="152" t="s">
        <v>5037</v>
      </c>
      <c r="H748" s="152" t="s">
        <v>5038</v>
      </c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85"/>
      <c r="AF748" s="185"/>
      <c r="AG748" s="185"/>
      <c r="AH748" s="185"/>
      <c r="AI748" s="185"/>
      <c r="AJ748" s="185"/>
      <c r="AK748" s="185"/>
      <c r="AL748" s="185"/>
      <c r="AM748" s="185"/>
      <c r="AN748" s="185"/>
      <c r="AO748" s="185"/>
      <c r="AP748" s="185"/>
      <c r="AQ748" s="185"/>
      <c r="AR748" s="185"/>
      <c r="AS748" s="185"/>
      <c r="AT748" s="185"/>
      <c r="AU748" s="185"/>
      <c r="AV748" s="185"/>
      <c r="AW748" s="185"/>
      <c r="AX748" s="185"/>
      <c r="AY748" s="185"/>
      <c r="AZ748" s="185"/>
      <c r="BA748" s="185"/>
      <c r="BB748" s="185"/>
      <c r="BC748" s="185"/>
      <c r="BD748" s="185"/>
      <c r="BE748" s="185"/>
    </row>
    <row r="749">
      <c r="A749" s="152"/>
      <c r="B749" s="152"/>
      <c r="C749" s="152"/>
      <c r="D749" s="152" t="s">
        <v>5039</v>
      </c>
      <c r="E749" s="152" t="s">
        <v>5040</v>
      </c>
      <c r="F749" s="152"/>
      <c r="G749" s="152" t="s">
        <v>5041</v>
      </c>
      <c r="H749" s="152" t="s">
        <v>5042</v>
      </c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85"/>
      <c r="AF749" s="185"/>
      <c r="AG749" s="185"/>
      <c r="AH749" s="185"/>
      <c r="AI749" s="185"/>
      <c r="AJ749" s="185"/>
      <c r="AK749" s="185"/>
      <c r="AL749" s="185"/>
      <c r="AM749" s="185"/>
      <c r="AN749" s="185"/>
      <c r="AO749" s="185"/>
      <c r="AP749" s="185"/>
      <c r="AQ749" s="185"/>
      <c r="AR749" s="185"/>
      <c r="AS749" s="185"/>
      <c r="AT749" s="185"/>
      <c r="AU749" s="185"/>
      <c r="AV749" s="185"/>
      <c r="AW749" s="185"/>
      <c r="AX749" s="185"/>
      <c r="AY749" s="185"/>
      <c r="AZ749" s="185"/>
      <c r="BA749" s="185"/>
      <c r="BB749" s="185"/>
      <c r="BC749" s="185"/>
      <c r="BD749" s="185"/>
      <c r="BE749" s="185"/>
    </row>
    <row r="750">
      <c r="A750" s="152"/>
      <c r="B750" s="152"/>
      <c r="C750" s="152"/>
      <c r="D750" s="152" t="s">
        <v>5043</v>
      </c>
      <c r="E750" s="152" t="s">
        <v>5044</v>
      </c>
      <c r="F750" s="152"/>
      <c r="G750" s="152" t="s">
        <v>5045</v>
      </c>
      <c r="H750" s="152" t="s">
        <v>5046</v>
      </c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85"/>
      <c r="AF750" s="185"/>
      <c r="AG750" s="185"/>
      <c r="AH750" s="185"/>
      <c r="AI750" s="185"/>
      <c r="AJ750" s="185"/>
      <c r="AK750" s="185"/>
      <c r="AL750" s="185"/>
      <c r="AM750" s="185"/>
      <c r="AN750" s="185"/>
      <c r="AO750" s="185"/>
      <c r="AP750" s="185"/>
      <c r="AQ750" s="185"/>
      <c r="AR750" s="185"/>
      <c r="AS750" s="185"/>
      <c r="AT750" s="185"/>
      <c r="AU750" s="185"/>
      <c r="AV750" s="185"/>
      <c r="AW750" s="185"/>
      <c r="AX750" s="185"/>
      <c r="AY750" s="185"/>
      <c r="AZ750" s="185"/>
      <c r="BA750" s="185"/>
      <c r="BB750" s="185"/>
      <c r="BC750" s="185"/>
      <c r="BD750" s="185"/>
      <c r="BE750" s="185"/>
    </row>
    <row r="751">
      <c r="A751" s="152"/>
      <c r="B751" s="152"/>
      <c r="C751" s="152"/>
      <c r="D751" s="152" t="s">
        <v>5047</v>
      </c>
      <c r="E751" s="152" t="s">
        <v>1869</v>
      </c>
      <c r="F751" s="152"/>
      <c r="G751" s="152" t="s">
        <v>5048</v>
      </c>
      <c r="H751" s="152" t="s">
        <v>5049</v>
      </c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85"/>
      <c r="AF751" s="185"/>
      <c r="AG751" s="185"/>
      <c r="AH751" s="185"/>
      <c r="AI751" s="185"/>
      <c r="AJ751" s="185"/>
      <c r="AK751" s="185"/>
      <c r="AL751" s="185"/>
      <c r="AM751" s="185"/>
      <c r="AN751" s="185"/>
      <c r="AO751" s="185"/>
      <c r="AP751" s="185"/>
      <c r="AQ751" s="185"/>
      <c r="AR751" s="185"/>
      <c r="AS751" s="185"/>
      <c r="AT751" s="185"/>
      <c r="AU751" s="185"/>
      <c r="AV751" s="185"/>
      <c r="AW751" s="185"/>
      <c r="AX751" s="185"/>
      <c r="AY751" s="185"/>
      <c r="AZ751" s="185"/>
      <c r="BA751" s="185"/>
      <c r="BB751" s="185"/>
      <c r="BC751" s="185"/>
      <c r="BD751" s="185"/>
      <c r="BE751" s="185"/>
    </row>
    <row r="752">
      <c r="A752" s="152"/>
      <c r="B752" s="152"/>
      <c r="C752" s="152"/>
      <c r="D752" s="152" t="s">
        <v>5050</v>
      </c>
      <c r="E752" s="152" t="s">
        <v>5051</v>
      </c>
      <c r="F752" s="152"/>
      <c r="G752" s="152" t="s">
        <v>5052</v>
      </c>
      <c r="H752" s="152" t="s">
        <v>5053</v>
      </c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85"/>
      <c r="AF752" s="185"/>
      <c r="AG752" s="185"/>
      <c r="AH752" s="185"/>
      <c r="AI752" s="185"/>
      <c r="AJ752" s="185"/>
      <c r="AK752" s="185"/>
      <c r="AL752" s="185"/>
      <c r="AM752" s="185"/>
      <c r="AN752" s="185"/>
      <c r="AO752" s="185"/>
      <c r="AP752" s="185"/>
      <c r="AQ752" s="185"/>
      <c r="AR752" s="185"/>
      <c r="AS752" s="185"/>
      <c r="AT752" s="185"/>
      <c r="AU752" s="185"/>
      <c r="AV752" s="185"/>
      <c r="AW752" s="185"/>
      <c r="AX752" s="185"/>
      <c r="AY752" s="185"/>
      <c r="AZ752" s="185"/>
      <c r="BA752" s="185"/>
      <c r="BB752" s="185"/>
      <c r="BC752" s="185"/>
      <c r="BD752" s="185"/>
      <c r="BE752" s="185"/>
    </row>
    <row r="753">
      <c r="A753" s="152"/>
      <c r="B753" s="152"/>
      <c r="C753" s="152"/>
      <c r="D753" s="152" t="s">
        <v>5054</v>
      </c>
      <c r="E753" s="152" t="s">
        <v>5055</v>
      </c>
      <c r="F753" s="152"/>
      <c r="G753" s="152" t="s">
        <v>5056</v>
      </c>
      <c r="H753" s="152" t="s">
        <v>5057</v>
      </c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85"/>
      <c r="AF753" s="185"/>
      <c r="AG753" s="185"/>
      <c r="AH753" s="185"/>
      <c r="AI753" s="185"/>
      <c r="AJ753" s="185"/>
      <c r="AK753" s="185"/>
      <c r="AL753" s="185"/>
      <c r="AM753" s="185"/>
      <c r="AN753" s="185"/>
      <c r="AO753" s="185"/>
      <c r="AP753" s="185"/>
      <c r="AQ753" s="185"/>
      <c r="AR753" s="185"/>
      <c r="AS753" s="185"/>
      <c r="AT753" s="185"/>
      <c r="AU753" s="185"/>
      <c r="AV753" s="185"/>
      <c r="AW753" s="185"/>
      <c r="AX753" s="185"/>
      <c r="AY753" s="185"/>
      <c r="AZ753" s="185"/>
      <c r="BA753" s="185"/>
      <c r="BB753" s="185"/>
      <c r="BC753" s="185"/>
      <c r="BD753" s="185"/>
      <c r="BE753" s="185"/>
    </row>
    <row r="754">
      <c r="A754" s="152"/>
      <c r="B754" s="152"/>
      <c r="C754" s="152"/>
      <c r="D754" s="152"/>
      <c r="E754" s="152"/>
      <c r="F754" s="152"/>
      <c r="G754" s="152" t="s">
        <v>5058</v>
      </c>
      <c r="H754" s="152" t="s">
        <v>5059</v>
      </c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85"/>
      <c r="AF754" s="185"/>
      <c r="AG754" s="185"/>
      <c r="AH754" s="185"/>
      <c r="AI754" s="185"/>
      <c r="AJ754" s="185"/>
      <c r="AK754" s="185"/>
      <c r="AL754" s="185"/>
      <c r="AM754" s="185"/>
      <c r="AN754" s="185"/>
      <c r="AO754" s="185"/>
      <c r="AP754" s="185"/>
      <c r="AQ754" s="185"/>
      <c r="AR754" s="185"/>
      <c r="AS754" s="185"/>
      <c r="AT754" s="185"/>
      <c r="AU754" s="185"/>
      <c r="AV754" s="185"/>
      <c r="AW754" s="185"/>
      <c r="AX754" s="185"/>
      <c r="AY754" s="185"/>
      <c r="AZ754" s="185"/>
      <c r="BA754" s="185"/>
      <c r="BB754" s="185"/>
      <c r="BC754" s="185"/>
      <c r="BD754" s="185"/>
      <c r="BE754" s="185"/>
    </row>
    <row r="755">
      <c r="A755" s="152"/>
      <c r="B755" s="152"/>
      <c r="C755" s="152"/>
      <c r="D755" s="152"/>
      <c r="E755" s="152"/>
      <c r="F755" s="152"/>
      <c r="G755" s="152" t="s">
        <v>5060</v>
      </c>
      <c r="H755" s="152" t="s">
        <v>5061</v>
      </c>
      <c r="I755" s="152" t="s">
        <v>486</v>
      </c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85"/>
      <c r="AF755" s="185"/>
      <c r="AG755" s="185"/>
      <c r="AH755" s="185"/>
      <c r="AI755" s="185"/>
      <c r="AJ755" s="185"/>
      <c r="AK755" s="185"/>
      <c r="AL755" s="185"/>
      <c r="AM755" s="185"/>
      <c r="AN755" s="185"/>
      <c r="AO755" s="185"/>
      <c r="AP755" s="185"/>
      <c r="AQ755" s="185"/>
      <c r="AR755" s="185"/>
      <c r="AS755" s="185"/>
      <c r="AT755" s="185"/>
      <c r="AU755" s="185"/>
      <c r="AV755" s="185"/>
      <c r="AW755" s="185"/>
      <c r="AX755" s="185"/>
      <c r="AY755" s="185"/>
      <c r="AZ755" s="185"/>
      <c r="BA755" s="185"/>
      <c r="BB755" s="185"/>
      <c r="BC755" s="185"/>
      <c r="BD755" s="185"/>
      <c r="BE755" s="185"/>
    </row>
    <row r="756">
      <c r="A756" s="152"/>
      <c r="B756" s="152"/>
      <c r="C756" s="152"/>
      <c r="D756" s="152"/>
      <c r="E756" s="152"/>
      <c r="F756" s="152"/>
      <c r="G756" s="152" t="s">
        <v>5062</v>
      </c>
      <c r="H756" s="152" t="s">
        <v>5063</v>
      </c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85"/>
      <c r="AF756" s="185"/>
      <c r="AG756" s="185"/>
      <c r="AH756" s="185"/>
      <c r="AI756" s="185"/>
      <c r="AJ756" s="185"/>
      <c r="AK756" s="185"/>
      <c r="AL756" s="185"/>
      <c r="AM756" s="185"/>
      <c r="AN756" s="185"/>
      <c r="AO756" s="185"/>
      <c r="AP756" s="185"/>
      <c r="AQ756" s="185"/>
      <c r="AR756" s="185"/>
      <c r="AS756" s="185"/>
      <c r="AT756" s="185"/>
      <c r="AU756" s="185"/>
      <c r="AV756" s="185"/>
      <c r="AW756" s="185"/>
      <c r="AX756" s="185"/>
      <c r="AY756" s="185"/>
      <c r="AZ756" s="185"/>
      <c r="BA756" s="185"/>
      <c r="BB756" s="185"/>
      <c r="BC756" s="185"/>
      <c r="BD756" s="185"/>
      <c r="BE756" s="185"/>
    </row>
    <row r="757">
      <c r="A757" s="152"/>
      <c r="B757" s="152"/>
      <c r="C757" s="152"/>
      <c r="D757" s="152"/>
      <c r="E757" s="152"/>
      <c r="F757" s="152"/>
      <c r="G757" s="152" t="s">
        <v>5064</v>
      </c>
      <c r="H757" s="152" t="s">
        <v>5065</v>
      </c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85"/>
      <c r="AF757" s="185"/>
      <c r="AG757" s="185"/>
      <c r="AH757" s="185"/>
      <c r="AI757" s="185"/>
      <c r="AJ757" s="185"/>
      <c r="AK757" s="185"/>
      <c r="AL757" s="185"/>
      <c r="AM757" s="185"/>
      <c r="AN757" s="185"/>
      <c r="AO757" s="185"/>
      <c r="AP757" s="185"/>
      <c r="AQ757" s="185"/>
      <c r="AR757" s="185"/>
      <c r="AS757" s="185"/>
      <c r="AT757" s="185"/>
      <c r="AU757" s="185"/>
      <c r="AV757" s="185"/>
      <c r="AW757" s="185"/>
      <c r="AX757" s="185"/>
      <c r="AY757" s="185"/>
      <c r="AZ757" s="185"/>
      <c r="BA757" s="185"/>
      <c r="BB757" s="185"/>
      <c r="BC757" s="185"/>
      <c r="BD757" s="185"/>
      <c r="BE757" s="185"/>
    </row>
    <row r="758">
      <c r="A758" s="152"/>
      <c r="B758" s="152"/>
      <c r="C758" s="152"/>
      <c r="D758" s="152"/>
      <c r="E758" s="152"/>
      <c r="F758" s="152"/>
      <c r="G758" s="152" t="s">
        <v>5066</v>
      </c>
      <c r="H758" s="152" t="s">
        <v>5067</v>
      </c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85"/>
      <c r="AF758" s="185"/>
      <c r="AG758" s="185"/>
      <c r="AH758" s="185"/>
      <c r="AI758" s="185"/>
      <c r="AJ758" s="185"/>
      <c r="AK758" s="185"/>
      <c r="AL758" s="185"/>
      <c r="AM758" s="185"/>
      <c r="AN758" s="185"/>
      <c r="AO758" s="185"/>
      <c r="AP758" s="185"/>
      <c r="AQ758" s="185"/>
      <c r="AR758" s="185"/>
      <c r="AS758" s="185"/>
      <c r="AT758" s="185"/>
      <c r="AU758" s="185"/>
      <c r="AV758" s="185"/>
      <c r="AW758" s="185"/>
      <c r="AX758" s="185"/>
      <c r="AY758" s="185"/>
      <c r="AZ758" s="185"/>
      <c r="BA758" s="185"/>
      <c r="BB758" s="185"/>
      <c r="BC758" s="185"/>
      <c r="BD758" s="185"/>
      <c r="BE758" s="185"/>
    </row>
    <row r="759">
      <c r="A759" s="152"/>
      <c r="B759" s="152"/>
      <c r="C759" s="152"/>
      <c r="D759" s="152"/>
      <c r="E759" s="152"/>
      <c r="F759" s="152"/>
      <c r="G759" s="152" t="s">
        <v>5068</v>
      </c>
      <c r="H759" s="152" t="s">
        <v>5069</v>
      </c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85"/>
      <c r="AF759" s="185"/>
      <c r="AG759" s="185"/>
      <c r="AH759" s="185"/>
      <c r="AI759" s="185"/>
      <c r="AJ759" s="185"/>
      <c r="AK759" s="185"/>
      <c r="AL759" s="185"/>
      <c r="AM759" s="185"/>
      <c r="AN759" s="185"/>
      <c r="AO759" s="185"/>
      <c r="AP759" s="185"/>
      <c r="AQ759" s="185"/>
      <c r="AR759" s="185"/>
      <c r="AS759" s="185"/>
      <c r="AT759" s="185"/>
      <c r="AU759" s="185"/>
      <c r="AV759" s="185"/>
      <c r="AW759" s="185"/>
      <c r="AX759" s="185"/>
      <c r="AY759" s="185"/>
      <c r="AZ759" s="185"/>
      <c r="BA759" s="185"/>
      <c r="BB759" s="185"/>
      <c r="BC759" s="185"/>
      <c r="BD759" s="185"/>
      <c r="BE759" s="185"/>
    </row>
    <row r="760">
      <c r="A760" s="152"/>
      <c r="B760" s="152"/>
      <c r="C760" s="152"/>
      <c r="D760" s="152"/>
      <c r="E760" s="152"/>
      <c r="F760" s="152"/>
      <c r="G760" s="152" t="s">
        <v>5070</v>
      </c>
      <c r="H760" s="152" t="s">
        <v>5071</v>
      </c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85"/>
      <c r="AF760" s="185"/>
      <c r="AG760" s="185"/>
      <c r="AH760" s="185"/>
      <c r="AI760" s="185"/>
      <c r="AJ760" s="185"/>
      <c r="AK760" s="185"/>
      <c r="AL760" s="185"/>
      <c r="AM760" s="185"/>
      <c r="AN760" s="185"/>
      <c r="AO760" s="185"/>
      <c r="AP760" s="185"/>
      <c r="AQ760" s="185"/>
      <c r="AR760" s="185"/>
      <c r="AS760" s="185"/>
      <c r="AT760" s="185"/>
      <c r="AU760" s="185"/>
      <c r="AV760" s="185"/>
      <c r="AW760" s="185"/>
      <c r="AX760" s="185"/>
      <c r="AY760" s="185"/>
      <c r="AZ760" s="185"/>
      <c r="BA760" s="185"/>
      <c r="BB760" s="185"/>
      <c r="BC760" s="185"/>
      <c r="BD760" s="185"/>
      <c r="BE760" s="185"/>
    </row>
    <row r="761">
      <c r="A761" s="152"/>
      <c r="B761" s="152"/>
      <c r="C761" s="152"/>
      <c r="D761" s="152"/>
      <c r="E761" s="152"/>
      <c r="F761" s="152"/>
      <c r="G761" s="152" t="s">
        <v>5072</v>
      </c>
      <c r="H761" s="152" t="s">
        <v>5073</v>
      </c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85"/>
      <c r="AF761" s="185"/>
      <c r="AG761" s="185"/>
      <c r="AH761" s="185"/>
      <c r="AI761" s="185"/>
      <c r="AJ761" s="185"/>
      <c r="AK761" s="185"/>
      <c r="AL761" s="185"/>
      <c r="AM761" s="185"/>
      <c r="AN761" s="185"/>
      <c r="AO761" s="185"/>
      <c r="AP761" s="185"/>
      <c r="AQ761" s="185"/>
      <c r="AR761" s="185"/>
      <c r="AS761" s="185"/>
      <c r="AT761" s="185"/>
      <c r="AU761" s="185"/>
      <c r="AV761" s="185"/>
      <c r="AW761" s="185"/>
      <c r="AX761" s="185"/>
      <c r="AY761" s="185"/>
      <c r="AZ761" s="185"/>
      <c r="BA761" s="185"/>
      <c r="BB761" s="185"/>
      <c r="BC761" s="185"/>
      <c r="BD761" s="185"/>
      <c r="BE761" s="185"/>
    </row>
    <row r="762">
      <c r="A762" s="152"/>
      <c r="B762" s="152"/>
      <c r="C762" s="152"/>
      <c r="D762" s="152"/>
      <c r="E762" s="152"/>
      <c r="F762" s="152"/>
      <c r="G762" s="152" t="s">
        <v>5074</v>
      </c>
      <c r="H762" s="152" t="s">
        <v>5075</v>
      </c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85"/>
      <c r="AF762" s="185"/>
      <c r="AG762" s="185"/>
      <c r="AH762" s="185"/>
      <c r="AI762" s="185"/>
      <c r="AJ762" s="185"/>
      <c r="AK762" s="185"/>
      <c r="AL762" s="185"/>
      <c r="AM762" s="185"/>
      <c r="AN762" s="185"/>
      <c r="AO762" s="185"/>
      <c r="AP762" s="185"/>
      <c r="AQ762" s="185"/>
      <c r="AR762" s="185"/>
      <c r="AS762" s="185"/>
      <c r="AT762" s="185"/>
      <c r="AU762" s="185"/>
      <c r="AV762" s="185"/>
      <c r="AW762" s="185"/>
      <c r="AX762" s="185"/>
      <c r="AY762" s="185"/>
      <c r="AZ762" s="185"/>
      <c r="BA762" s="185"/>
      <c r="BB762" s="185"/>
      <c r="BC762" s="185"/>
      <c r="BD762" s="185"/>
      <c r="BE762" s="185"/>
    </row>
    <row r="763">
      <c r="A763" s="152"/>
      <c r="B763" s="152"/>
      <c r="C763" s="152"/>
      <c r="D763" s="152"/>
      <c r="E763" s="152"/>
      <c r="F763" s="152"/>
      <c r="G763" s="152" t="s">
        <v>5076</v>
      </c>
      <c r="H763" s="152" t="s">
        <v>5077</v>
      </c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85"/>
      <c r="AF763" s="185"/>
      <c r="AG763" s="185"/>
      <c r="AH763" s="185"/>
      <c r="AI763" s="185"/>
      <c r="AJ763" s="185"/>
      <c r="AK763" s="185"/>
      <c r="AL763" s="185"/>
      <c r="AM763" s="185"/>
      <c r="AN763" s="185"/>
      <c r="AO763" s="185"/>
      <c r="AP763" s="185"/>
      <c r="AQ763" s="185"/>
      <c r="AR763" s="185"/>
      <c r="AS763" s="185"/>
      <c r="AT763" s="185"/>
      <c r="AU763" s="185"/>
      <c r="AV763" s="185"/>
      <c r="AW763" s="185"/>
      <c r="AX763" s="185"/>
      <c r="AY763" s="185"/>
      <c r="AZ763" s="185"/>
      <c r="BA763" s="185"/>
      <c r="BB763" s="185"/>
      <c r="BC763" s="185"/>
      <c r="BD763" s="185"/>
      <c r="BE763" s="185"/>
    </row>
    <row r="764">
      <c r="A764" s="152"/>
      <c r="B764" s="152"/>
      <c r="C764" s="152"/>
      <c r="D764" s="152"/>
      <c r="E764" s="152"/>
      <c r="F764" s="152"/>
      <c r="G764" s="163" t="s">
        <v>5078</v>
      </c>
      <c r="H764" s="152" t="s">
        <v>5079</v>
      </c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85"/>
      <c r="AF764" s="185"/>
      <c r="AG764" s="185"/>
      <c r="AH764" s="185"/>
      <c r="AI764" s="185"/>
      <c r="AJ764" s="185"/>
      <c r="AK764" s="185"/>
      <c r="AL764" s="185"/>
      <c r="AM764" s="185"/>
      <c r="AN764" s="185"/>
      <c r="AO764" s="185"/>
      <c r="AP764" s="185"/>
      <c r="AQ764" s="185"/>
      <c r="AR764" s="185"/>
      <c r="AS764" s="185"/>
      <c r="AT764" s="185"/>
      <c r="AU764" s="185"/>
      <c r="AV764" s="185"/>
      <c r="AW764" s="185"/>
      <c r="AX764" s="185"/>
      <c r="AY764" s="185"/>
      <c r="AZ764" s="185"/>
      <c r="BA764" s="185"/>
      <c r="BB764" s="185"/>
      <c r="BC764" s="185"/>
      <c r="BD764" s="185"/>
      <c r="BE764" s="185"/>
    </row>
    <row r="765">
      <c r="A765" s="152"/>
      <c r="B765" s="152"/>
      <c r="C765" s="152"/>
      <c r="D765" s="152"/>
      <c r="E765" s="152"/>
      <c r="F765" s="152"/>
      <c r="G765" s="152" t="s">
        <v>5080</v>
      </c>
      <c r="H765" s="152" t="s">
        <v>5081</v>
      </c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85"/>
      <c r="AF765" s="185"/>
      <c r="AG765" s="185"/>
      <c r="AH765" s="185"/>
      <c r="AI765" s="185"/>
      <c r="AJ765" s="185"/>
      <c r="AK765" s="185"/>
      <c r="AL765" s="185"/>
      <c r="AM765" s="185"/>
      <c r="AN765" s="185"/>
      <c r="AO765" s="185"/>
      <c r="AP765" s="185"/>
      <c r="AQ765" s="185"/>
      <c r="AR765" s="185"/>
      <c r="AS765" s="185"/>
      <c r="AT765" s="185"/>
      <c r="AU765" s="185"/>
      <c r="AV765" s="185"/>
      <c r="AW765" s="185"/>
      <c r="AX765" s="185"/>
      <c r="AY765" s="185"/>
      <c r="AZ765" s="185"/>
      <c r="BA765" s="185"/>
      <c r="BB765" s="185"/>
      <c r="BC765" s="185"/>
      <c r="BD765" s="185"/>
      <c r="BE765" s="185"/>
    </row>
    <row r="766">
      <c r="A766" s="152"/>
      <c r="B766" s="152"/>
      <c r="C766" s="152"/>
      <c r="D766" s="152"/>
      <c r="E766" s="152"/>
      <c r="F766" s="152"/>
      <c r="G766" s="163" t="s">
        <v>5082</v>
      </c>
      <c r="H766" s="152" t="s">
        <v>5083</v>
      </c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85"/>
      <c r="AF766" s="185"/>
      <c r="AG766" s="185"/>
      <c r="AH766" s="185"/>
      <c r="AI766" s="185"/>
      <c r="AJ766" s="185"/>
      <c r="AK766" s="185"/>
      <c r="AL766" s="185"/>
      <c r="AM766" s="185"/>
      <c r="AN766" s="185"/>
      <c r="AO766" s="185"/>
      <c r="AP766" s="185"/>
      <c r="AQ766" s="185"/>
      <c r="AR766" s="185"/>
      <c r="AS766" s="185"/>
      <c r="AT766" s="185"/>
      <c r="AU766" s="185"/>
      <c r="AV766" s="185"/>
      <c r="AW766" s="185"/>
      <c r="AX766" s="185"/>
      <c r="AY766" s="185"/>
      <c r="AZ766" s="185"/>
      <c r="BA766" s="185"/>
      <c r="BB766" s="185"/>
      <c r="BC766" s="185"/>
      <c r="BD766" s="185"/>
      <c r="BE766" s="185"/>
    </row>
    <row r="767">
      <c r="A767" s="152"/>
      <c r="B767" s="152"/>
      <c r="C767" s="152"/>
      <c r="D767" s="152"/>
      <c r="E767" s="152"/>
      <c r="F767" s="152"/>
      <c r="G767" s="152" t="s">
        <v>5084</v>
      </c>
      <c r="H767" s="152" t="s">
        <v>5085</v>
      </c>
      <c r="I767" s="152" t="s">
        <v>486</v>
      </c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85"/>
      <c r="AF767" s="185"/>
      <c r="AG767" s="185"/>
      <c r="AH767" s="185"/>
      <c r="AI767" s="185"/>
      <c r="AJ767" s="185"/>
      <c r="AK767" s="185"/>
      <c r="AL767" s="185"/>
      <c r="AM767" s="185"/>
      <c r="AN767" s="185"/>
      <c r="AO767" s="185"/>
      <c r="AP767" s="185"/>
      <c r="AQ767" s="185"/>
      <c r="AR767" s="185"/>
      <c r="AS767" s="185"/>
      <c r="AT767" s="185"/>
      <c r="AU767" s="185"/>
      <c r="AV767" s="185"/>
      <c r="AW767" s="185"/>
      <c r="AX767" s="185"/>
      <c r="AY767" s="185"/>
      <c r="AZ767" s="185"/>
      <c r="BA767" s="185"/>
      <c r="BB767" s="185"/>
      <c r="BC767" s="185"/>
      <c r="BD767" s="185"/>
      <c r="BE767" s="185"/>
    </row>
    <row r="768">
      <c r="A768" s="152"/>
      <c r="B768" s="152"/>
      <c r="C768" s="152"/>
      <c r="D768" s="152"/>
      <c r="E768" s="152"/>
      <c r="F768" s="152"/>
      <c r="G768" s="152" t="s">
        <v>5086</v>
      </c>
      <c r="H768" s="152" t="s">
        <v>5087</v>
      </c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85"/>
      <c r="AF768" s="185"/>
      <c r="AG768" s="185"/>
      <c r="AH768" s="185"/>
      <c r="AI768" s="185"/>
      <c r="AJ768" s="185"/>
      <c r="AK768" s="185"/>
      <c r="AL768" s="185"/>
      <c r="AM768" s="185"/>
      <c r="AN768" s="185"/>
      <c r="AO768" s="185"/>
      <c r="AP768" s="185"/>
      <c r="AQ768" s="185"/>
      <c r="AR768" s="185"/>
      <c r="AS768" s="185"/>
      <c r="AT768" s="185"/>
      <c r="AU768" s="185"/>
      <c r="AV768" s="185"/>
      <c r="AW768" s="185"/>
      <c r="AX768" s="185"/>
      <c r="AY768" s="185"/>
      <c r="AZ768" s="185"/>
      <c r="BA768" s="185"/>
      <c r="BB768" s="185"/>
      <c r="BC768" s="185"/>
      <c r="BD768" s="185"/>
      <c r="BE768" s="185"/>
    </row>
    <row r="769">
      <c r="A769" s="152"/>
      <c r="B769" s="152"/>
      <c r="C769" s="152"/>
      <c r="D769" s="152"/>
      <c r="E769" s="152"/>
      <c r="F769" s="152"/>
      <c r="G769" s="152" t="s">
        <v>5088</v>
      </c>
      <c r="H769" s="152" t="s">
        <v>5089</v>
      </c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85"/>
      <c r="AF769" s="185"/>
      <c r="AG769" s="185"/>
      <c r="AH769" s="185"/>
      <c r="AI769" s="185"/>
      <c r="AJ769" s="185"/>
      <c r="AK769" s="185"/>
      <c r="AL769" s="185"/>
      <c r="AM769" s="185"/>
      <c r="AN769" s="185"/>
      <c r="AO769" s="185"/>
      <c r="AP769" s="185"/>
      <c r="AQ769" s="185"/>
      <c r="AR769" s="185"/>
      <c r="AS769" s="185"/>
      <c r="AT769" s="185"/>
      <c r="AU769" s="185"/>
      <c r="AV769" s="185"/>
      <c r="AW769" s="185"/>
      <c r="AX769" s="185"/>
      <c r="AY769" s="185"/>
      <c r="AZ769" s="185"/>
      <c r="BA769" s="185"/>
      <c r="BB769" s="185"/>
      <c r="BC769" s="185"/>
      <c r="BD769" s="185"/>
      <c r="BE769" s="185"/>
    </row>
    <row r="770">
      <c r="A770" s="152"/>
      <c r="B770" s="152"/>
      <c r="C770" s="152"/>
      <c r="D770" s="152"/>
      <c r="E770" s="152"/>
      <c r="F770" s="152"/>
      <c r="G770" s="152" t="s">
        <v>5090</v>
      </c>
      <c r="H770" s="152" t="s">
        <v>5091</v>
      </c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85"/>
      <c r="AF770" s="185"/>
      <c r="AG770" s="185"/>
      <c r="AH770" s="185"/>
      <c r="AI770" s="185"/>
      <c r="AJ770" s="185"/>
      <c r="AK770" s="185"/>
      <c r="AL770" s="185"/>
      <c r="AM770" s="185"/>
      <c r="AN770" s="185"/>
      <c r="AO770" s="185"/>
      <c r="AP770" s="185"/>
      <c r="AQ770" s="185"/>
      <c r="AR770" s="185"/>
      <c r="AS770" s="185"/>
      <c r="AT770" s="185"/>
      <c r="AU770" s="185"/>
      <c r="AV770" s="185"/>
      <c r="AW770" s="185"/>
      <c r="AX770" s="185"/>
      <c r="AY770" s="185"/>
      <c r="AZ770" s="185"/>
      <c r="BA770" s="185"/>
      <c r="BB770" s="185"/>
      <c r="BC770" s="185"/>
      <c r="BD770" s="185"/>
      <c r="BE770" s="185"/>
    </row>
    <row r="771">
      <c r="A771" s="152"/>
      <c r="B771" s="152"/>
      <c r="C771" s="152"/>
      <c r="D771" s="152"/>
      <c r="E771" s="152"/>
      <c r="F771" s="152"/>
      <c r="G771" s="163" t="s">
        <v>5092</v>
      </c>
      <c r="H771" s="152" t="s">
        <v>5093</v>
      </c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85"/>
      <c r="AF771" s="185"/>
      <c r="AG771" s="185"/>
      <c r="AH771" s="185"/>
      <c r="AI771" s="185"/>
      <c r="AJ771" s="185"/>
      <c r="AK771" s="185"/>
      <c r="AL771" s="185"/>
      <c r="AM771" s="185"/>
      <c r="AN771" s="185"/>
      <c r="AO771" s="185"/>
      <c r="AP771" s="185"/>
      <c r="AQ771" s="185"/>
      <c r="AR771" s="185"/>
      <c r="AS771" s="185"/>
      <c r="AT771" s="185"/>
      <c r="AU771" s="185"/>
      <c r="AV771" s="185"/>
      <c r="AW771" s="185"/>
      <c r="AX771" s="185"/>
      <c r="AY771" s="185"/>
      <c r="AZ771" s="185"/>
      <c r="BA771" s="185"/>
      <c r="BB771" s="185"/>
      <c r="BC771" s="185"/>
      <c r="BD771" s="185"/>
      <c r="BE771" s="185"/>
    </row>
    <row r="772">
      <c r="A772" s="152"/>
      <c r="B772" s="152"/>
      <c r="C772" s="152"/>
      <c r="D772" s="152"/>
      <c r="E772" s="152"/>
      <c r="F772" s="152"/>
      <c r="G772" s="152" t="s">
        <v>5094</v>
      </c>
      <c r="H772" s="152" t="s">
        <v>5095</v>
      </c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85"/>
      <c r="AF772" s="185"/>
      <c r="AG772" s="185"/>
      <c r="AH772" s="185"/>
      <c r="AI772" s="185"/>
      <c r="AJ772" s="185"/>
      <c r="AK772" s="185"/>
      <c r="AL772" s="185"/>
      <c r="AM772" s="185"/>
      <c r="AN772" s="185"/>
      <c r="AO772" s="185"/>
      <c r="AP772" s="185"/>
      <c r="AQ772" s="185"/>
      <c r="AR772" s="185"/>
      <c r="AS772" s="185"/>
      <c r="AT772" s="185"/>
      <c r="AU772" s="185"/>
      <c r="AV772" s="185"/>
      <c r="AW772" s="185"/>
      <c r="AX772" s="185"/>
      <c r="AY772" s="185"/>
      <c r="AZ772" s="185"/>
      <c r="BA772" s="185"/>
      <c r="BB772" s="185"/>
      <c r="BC772" s="185"/>
      <c r="BD772" s="185"/>
      <c r="BE772" s="185"/>
    </row>
    <row r="773">
      <c r="A773" s="152"/>
      <c r="B773" s="152"/>
      <c r="C773" s="152"/>
      <c r="D773" s="152"/>
      <c r="E773" s="152"/>
      <c r="F773" s="152"/>
      <c r="G773" s="152" t="s">
        <v>5096</v>
      </c>
      <c r="H773" s="152" t="s">
        <v>5097</v>
      </c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85"/>
      <c r="AF773" s="185"/>
      <c r="AG773" s="185"/>
      <c r="AH773" s="185"/>
      <c r="AI773" s="185"/>
      <c r="AJ773" s="185"/>
      <c r="AK773" s="185"/>
      <c r="AL773" s="185"/>
      <c r="AM773" s="185"/>
      <c r="AN773" s="185"/>
      <c r="AO773" s="185"/>
      <c r="AP773" s="185"/>
      <c r="AQ773" s="185"/>
      <c r="AR773" s="185"/>
      <c r="AS773" s="185"/>
      <c r="AT773" s="185"/>
      <c r="AU773" s="185"/>
      <c r="AV773" s="185"/>
      <c r="AW773" s="185"/>
      <c r="AX773" s="185"/>
      <c r="AY773" s="185"/>
      <c r="AZ773" s="185"/>
      <c r="BA773" s="185"/>
      <c r="BB773" s="185"/>
      <c r="BC773" s="185"/>
      <c r="BD773" s="185"/>
      <c r="BE773" s="185"/>
    </row>
    <row r="774">
      <c r="A774" s="152"/>
      <c r="B774" s="152"/>
      <c r="C774" s="152"/>
      <c r="D774" s="152"/>
      <c r="E774" s="152"/>
      <c r="F774" s="152"/>
      <c r="G774" s="152" t="s">
        <v>4673</v>
      </c>
      <c r="H774" s="152" t="s">
        <v>5098</v>
      </c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85"/>
      <c r="AF774" s="185"/>
      <c r="AG774" s="185"/>
      <c r="AH774" s="185"/>
      <c r="AI774" s="185"/>
      <c r="AJ774" s="185"/>
      <c r="AK774" s="185"/>
      <c r="AL774" s="185"/>
      <c r="AM774" s="185"/>
      <c r="AN774" s="185"/>
      <c r="AO774" s="185"/>
      <c r="AP774" s="185"/>
      <c r="AQ774" s="185"/>
      <c r="AR774" s="185"/>
      <c r="AS774" s="185"/>
      <c r="AT774" s="185"/>
      <c r="AU774" s="185"/>
      <c r="AV774" s="185"/>
      <c r="AW774" s="185"/>
      <c r="AX774" s="185"/>
      <c r="AY774" s="185"/>
      <c r="AZ774" s="185"/>
      <c r="BA774" s="185"/>
      <c r="BB774" s="185"/>
      <c r="BC774" s="185"/>
      <c r="BD774" s="185"/>
      <c r="BE774" s="185"/>
    </row>
    <row r="775">
      <c r="A775" s="152"/>
      <c r="B775" s="152"/>
      <c r="C775" s="152"/>
      <c r="D775" s="152"/>
      <c r="E775" s="152"/>
      <c r="F775" s="152"/>
      <c r="G775" s="152" t="s">
        <v>5099</v>
      </c>
      <c r="H775" s="152" t="s">
        <v>5100</v>
      </c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85"/>
      <c r="AF775" s="185"/>
      <c r="AG775" s="185"/>
      <c r="AH775" s="185"/>
      <c r="AI775" s="185"/>
      <c r="AJ775" s="185"/>
      <c r="AK775" s="185"/>
      <c r="AL775" s="185"/>
      <c r="AM775" s="185"/>
      <c r="AN775" s="185"/>
      <c r="AO775" s="185"/>
      <c r="AP775" s="185"/>
      <c r="AQ775" s="185"/>
      <c r="AR775" s="185"/>
      <c r="AS775" s="185"/>
      <c r="AT775" s="185"/>
      <c r="AU775" s="185"/>
      <c r="AV775" s="185"/>
      <c r="AW775" s="185"/>
      <c r="AX775" s="185"/>
      <c r="AY775" s="185"/>
      <c r="AZ775" s="185"/>
      <c r="BA775" s="185"/>
      <c r="BB775" s="185"/>
      <c r="BC775" s="185"/>
      <c r="BD775" s="185"/>
      <c r="BE775" s="185"/>
    </row>
    <row r="776">
      <c r="A776" s="152"/>
      <c r="B776" s="152"/>
      <c r="C776" s="152"/>
      <c r="D776" s="152"/>
      <c r="E776" s="152"/>
      <c r="F776" s="152"/>
      <c r="G776" s="152" t="s">
        <v>5101</v>
      </c>
      <c r="H776" s="152" t="s">
        <v>5102</v>
      </c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85"/>
      <c r="AF776" s="185"/>
      <c r="AG776" s="185"/>
      <c r="AH776" s="185"/>
      <c r="AI776" s="185"/>
      <c r="AJ776" s="185"/>
      <c r="AK776" s="185"/>
      <c r="AL776" s="185"/>
      <c r="AM776" s="185"/>
      <c r="AN776" s="185"/>
      <c r="AO776" s="185"/>
      <c r="AP776" s="185"/>
      <c r="AQ776" s="185"/>
      <c r="AR776" s="185"/>
      <c r="AS776" s="185"/>
      <c r="AT776" s="185"/>
      <c r="AU776" s="185"/>
      <c r="AV776" s="185"/>
      <c r="AW776" s="185"/>
      <c r="AX776" s="185"/>
      <c r="AY776" s="185"/>
      <c r="AZ776" s="185"/>
      <c r="BA776" s="185"/>
      <c r="BB776" s="185"/>
      <c r="BC776" s="185"/>
      <c r="BD776" s="185"/>
      <c r="BE776" s="185"/>
    </row>
    <row r="777">
      <c r="A777" s="152"/>
      <c r="B777" s="152"/>
      <c r="C777" s="152"/>
      <c r="D777" s="152"/>
      <c r="E777" s="152"/>
      <c r="F777" s="152"/>
      <c r="G777" s="152" t="s">
        <v>5103</v>
      </c>
      <c r="H777" s="152" t="s">
        <v>5104</v>
      </c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85"/>
      <c r="AF777" s="185"/>
      <c r="AG777" s="185"/>
      <c r="AH777" s="185"/>
      <c r="AI777" s="185"/>
      <c r="AJ777" s="185"/>
      <c r="AK777" s="185"/>
      <c r="AL777" s="185"/>
      <c r="AM777" s="185"/>
      <c r="AN777" s="185"/>
      <c r="AO777" s="185"/>
      <c r="AP777" s="185"/>
      <c r="AQ777" s="185"/>
      <c r="AR777" s="185"/>
      <c r="AS777" s="185"/>
      <c r="AT777" s="185"/>
      <c r="AU777" s="185"/>
      <c r="AV777" s="185"/>
      <c r="AW777" s="185"/>
      <c r="AX777" s="185"/>
      <c r="AY777" s="185"/>
      <c r="AZ777" s="185"/>
      <c r="BA777" s="185"/>
      <c r="BB777" s="185"/>
      <c r="BC777" s="185"/>
      <c r="BD777" s="185"/>
      <c r="BE777" s="185"/>
    </row>
    <row r="778">
      <c r="A778" s="152"/>
      <c r="B778" s="152"/>
      <c r="C778" s="152"/>
      <c r="D778" s="152"/>
      <c r="E778" s="152"/>
      <c r="F778" s="152"/>
      <c r="G778" s="152" t="s">
        <v>5105</v>
      </c>
      <c r="H778" s="152" t="s">
        <v>5106</v>
      </c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85"/>
      <c r="AF778" s="185"/>
      <c r="AG778" s="185"/>
      <c r="AH778" s="185"/>
      <c r="AI778" s="185"/>
      <c r="AJ778" s="185"/>
      <c r="AK778" s="185"/>
      <c r="AL778" s="185"/>
      <c r="AM778" s="185"/>
      <c r="AN778" s="185"/>
      <c r="AO778" s="185"/>
      <c r="AP778" s="185"/>
      <c r="AQ778" s="185"/>
      <c r="AR778" s="185"/>
      <c r="AS778" s="185"/>
      <c r="AT778" s="185"/>
      <c r="AU778" s="185"/>
      <c r="AV778" s="185"/>
      <c r="AW778" s="185"/>
      <c r="AX778" s="185"/>
      <c r="AY778" s="185"/>
      <c r="AZ778" s="185"/>
      <c r="BA778" s="185"/>
      <c r="BB778" s="185"/>
      <c r="BC778" s="185"/>
      <c r="BD778" s="185"/>
      <c r="BE778" s="185"/>
    </row>
    <row r="779">
      <c r="A779" s="152"/>
      <c r="B779" s="152"/>
      <c r="C779" s="152"/>
      <c r="D779" s="152"/>
      <c r="E779" s="152"/>
      <c r="F779" s="152"/>
      <c r="G779" s="152" t="s">
        <v>5107</v>
      </c>
      <c r="H779" s="152" t="s">
        <v>5107</v>
      </c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85"/>
      <c r="AF779" s="185"/>
      <c r="AG779" s="185"/>
      <c r="AH779" s="185"/>
      <c r="AI779" s="185"/>
      <c r="AJ779" s="185"/>
      <c r="AK779" s="185"/>
      <c r="AL779" s="185"/>
      <c r="AM779" s="185"/>
      <c r="AN779" s="185"/>
      <c r="AO779" s="185"/>
      <c r="AP779" s="185"/>
      <c r="AQ779" s="185"/>
      <c r="AR779" s="185"/>
      <c r="AS779" s="185"/>
      <c r="AT779" s="185"/>
      <c r="AU779" s="185"/>
      <c r="AV779" s="185"/>
      <c r="AW779" s="185"/>
      <c r="AX779" s="185"/>
      <c r="AY779" s="185"/>
      <c r="AZ779" s="185"/>
      <c r="BA779" s="185"/>
      <c r="BB779" s="185"/>
      <c r="BC779" s="185"/>
      <c r="BD779" s="185"/>
      <c r="BE779" s="185"/>
    </row>
    <row r="780">
      <c r="A780" s="152"/>
      <c r="B780" s="152"/>
      <c r="C780" s="152"/>
      <c r="D780" s="152"/>
      <c r="E780" s="152"/>
      <c r="F780" s="152"/>
      <c r="G780" s="152" t="s">
        <v>5108</v>
      </c>
      <c r="H780" s="152" t="s">
        <v>5109</v>
      </c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85"/>
      <c r="AF780" s="185"/>
      <c r="AG780" s="185"/>
      <c r="AH780" s="185"/>
      <c r="AI780" s="185"/>
      <c r="AJ780" s="185"/>
      <c r="AK780" s="185"/>
      <c r="AL780" s="185"/>
      <c r="AM780" s="185"/>
      <c r="AN780" s="185"/>
      <c r="AO780" s="185"/>
      <c r="AP780" s="185"/>
      <c r="AQ780" s="185"/>
      <c r="AR780" s="185"/>
      <c r="AS780" s="185"/>
      <c r="AT780" s="185"/>
      <c r="AU780" s="185"/>
      <c r="AV780" s="185"/>
      <c r="AW780" s="185"/>
      <c r="AX780" s="185"/>
      <c r="AY780" s="185"/>
      <c r="AZ780" s="185"/>
      <c r="BA780" s="185"/>
      <c r="BB780" s="185"/>
      <c r="BC780" s="185"/>
      <c r="BD780" s="185"/>
      <c r="BE780" s="185"/>
    </row>
    <row r="781">
      <c r="A781" s="152"/>
      <c r="B781" s="152"/>
      <c r="C781" s="152"/>
      <c r="D781" s="152"/>
      <c r="E781" s="152"/>
      <c r="F781" s="152"/>
      <c r="G781" s="152" t="s">
        <v>5110</v>
      </c>
      <c r="H781" s="152" t="s">
        <v>5110</v>
      </c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85"/>
      <c r="AF781" s="185"/>
      <c r="AG781" s="185"/>
      <c r="AH781" s="185"/>
      <c r="AI781" s="185"/>
      <c r="AJ781" s="185"/>
      <c r="AK781" s="185"/>
      <c r="AL781" s="185"/>
      <c r="AM781" s="185"/>
      <c r="AN781" s="185"/>
      <c r="AO781" s="185"/>
      <c r="AP781" s="185"/>
      <c r="AQ781" s="185"/>
      <c r="AR781" s="185"/>
      <c r="AS781" s="185"/>
      <c r="AT781" s="185"/>
      <c r="AU781" s="185"/>
      <c r="AV781" s="185"/>
      <c r="AW781" s="185"/>
      <c r="AX781" s="185"/>
      <c r="AY781" s="185"/>
      <c r="AZ781" s="185"/>
      <c r="BA781" s="185"/>
      <c r="BB781" s="185"/>
      <c r="BC781" s="185"/>
      <c r="BD781" s="185"/>
      <c r="BE781" s="185"/>
    </row>
    <row r="782">
      <c r="A782" s="152"/>
      <c r="B782" s="152"/>
      <c r="C782" s="152"/>
      <c r="D782" s="152"/>
      <c r="E782" s="152"/>
      <c r="F782" s="152"/>
      <c r="G782" s="152" t="s">
        <v>5111</v>
      </c>
      <c r="H782" s="152" t="s">
        <v>5112</v>
      </c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85"/>
      <c r="AF782" s="185"/>
      <c r="AG782" s="185"/>
      <c r="AH782" s="185"/>
      <c r="AI782" s="185"/>
      <c r="AJ782" s="185"/>
      <c r="AK782" s="185"/>
      <c r="AL782" s="185"/>
      <c r="AM782" s="185"/>
      <c r="AN782" s="185"/>
      <c r="AO782" s="185"/>
      <c r="AP782" s="185"/>
      <c r="AQ782" s="185"/>
      <c r="AR782" s="185"/>
      <c r="AS782" s="185"/>
      <c r="AT782" s="185"/>
      <c r="AU782" s="185"/>
      <c r="AV782" s="185"/>
      <c r="AW782" s="185"/>
      <c r="AX782" s="185"/>
      <c r="AY782" s="185"/>
      <c r="AZ782" s="185"/>
      <c r="BA782" s="185"/>
      <c r="BB782" s="185"/>
      <c r="BC782" s="185"/>
      <c r="BD782" s="185"/>
      <c r="BE782" s="185"/>
    </row>
    <row r="783">
      <c r="A783" s="152"/>
      <c r="B783" s="152"/>
      <c r="C783" s="152"/>
      <c r="D783" s="152"/>
      <c r="E783" s="152"/>
      <c r="F783" s="152"/>
      <c r="G783" s="152" t="s">
        <v>5113</v>
      </c>
      <c r="H783" s="152" t="s">
        <v>5113</v>
      </c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85"/>
      <c r="AF783" s="185"/>
      <c r="AG783" s="185"/>
      <c r="AH783" s="185"/>
      <c r="AI783" s="185"/>
      <c r="AJ783" s="185"/>
      <c r="AK783" s="185"/>
      <c r="AL783" s="185"/>
      <c r="AM783" s="185"/>
      <c r="AN783" s="185"/>
      <c r="AO783" s="185"/>
      <c r="AP783" s="185"/>
      <c r="AQ783" s="185"/>
      <c r="AR783" s="185"/>
      <c r="AS783" s="185"/>
      <c r="AT783" s="185"/>
      <c r="AU783" s="185"/>
      <c r="AV783" s="185"/>
      <c r="AW783" s="185"/>
      <c r="AX783" s="185"/>
      <c r="AY783" s="185"/>
      <c r="AZ783" s="185"/>
      <c r="BA783" s="185"/>
      <c r="BB783" s="185"/>
      <c r="BC783" s="185"/>
      <c r="BD783" s="185"/>
      <c r="BE783" s="185"/>
    </row>
    <row r="784">
      <c r="A784" s="152"/>
      <c r="B784" s="152"/>
      <c r="C784" s="152"/>
      <c r="D784" s="152"/>
      <c r="E784" s="152"/>
      <c r="F784" s="152"/>
      <c r="G784" s="152" t="s">
        <v>5114</v>
      </c>
      <c r="H784" s="152" t="s">
        <v>5115</v>
      </c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85"/>
      <c r="AF784" s="185"/>
      <c r="AG784" s="185"/>
      <c r="AH784" s="185"/>
      <c r="AI784" s="185"/>
      <c r="AJ784" s="185"/>
      <c r="AK784" s="185"/>
      <c r="AL784" s="185"/>
      <c r="AM784" s="185"/>
      <c r="AN784" s="185"/>
      <c r="AO784" s="185"/>
      <c r="AP784" s="185"/>
      <c r="AQ784" s="185"/>
      <c r="AR784" s="185"/>
      <c r="AS784" s="185"/>
      <c r="AT784" s="185"/>
      <c r="AU784" s="185"/>
      <c r="AV784" s="185"/>
      <c r="AW784" s="185"/>
      <c r="AX784" s="185"/>
      <c r="AY784" s="185"/>
      <c r="AZ784" s="185"/>
      <c r="BA784" s="185"/>
      <c r="BB784" s="185"/>
      <c r="BC784" s="185"/>
      <c r="BD784" s="185"/>
      <c r="BE784" s="185"/>
    </row>
    <row r="785">
      <c r="A785" s="152"/>
      <c r="B785" s="152"/>
      <c r="C785" s="152"/>
      <c r="D785" s="152"/>
      <c r="E785" s="152"/>
      <c r="F785" s="152"/>
      <c r="G785" s="152" t="s">
        <v>4688</v>
      </c>
      <c r="H785" s="152" t="s">
        <v>5116</v>
      </c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85"/>
      <c r="AF785" s="185"/>
      <c r="AG785" s="185"/>
      <c r="AH785" s="185"/>
      <c r="AI785" s="185"/>
      <c r="AJ785" s="185"/>
      <c r="AK785" s="185"/>
      <c r="AL785" s="185"/>
      <c r="AM785" s="185"/>
      <c r="AN785" s="185"/>
      <c r="AO785" s="185"/>
      <c r="AP785" s="185"/>
      <c r="AQ785" s="185"/>
      <c r="AR785" s="185"/>
      <c r="AS785" s="185"/>
      <c r="AT785" s="185"/>
      <c r="AU785" s="185"/>
      <c r="AV785" s="185"/>
      <c r="AW785" s="185"/>
      <c r="AX785" s="185"/>
      <c r="AY785" s="185"/>
      <c r="AZ785" s="185"/>
      <c r="BA785" s="185"/>
      <c r="BB785" s="185"/>
      <c r="BC785" s="185"/>
      <c r="BD785" s="185"/>
      <c r="BE785" s="185"/>
    </row>
    <row r="786">
      <c r="A786" s="152"/>
      <c r="B786" s="152"/>
      <c r="C786" s="152"/>
      <c r="D786" s="152"/>
      <c r="E786" s="152"/>
      <c r="F786" s="152"/>
      <c r="G786" s="152" t="s">
        <v>5117</v>
      </c>
      <c r="H786" s="152" t="s">
        <v>5118</v>
      </c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85"/>
      <c r="AF786" s="185"/>
      <c r="AG786" s="185"/>
      <c r="AH786" s="185"/>
      <c r="AI786" s="185"/>
      <c r="AJ786" s="185"/>
      <c r="AK786" s="185"/>
      <c r="AL786" s="185"/>
      <c r="AM786" s="185"/>
      <c r="AN786" s="185"/>
      <c r="AO786" s="185"/>
      <c r="AP786" s="185"/>
      <c r="AQ786" s="185"/>
      <c r="AR786" s="185"/>
      <c r="AS786" s="185"/>
      <c r="AT786" s="185"/>
      <c r="AU786" s="185"/>
      <c r="AV786" s="185"/>
      <c r="AW786" s="185"/>
      <c r="AX786" s="185"/>
      <c r="AY786" s="185"/>
      <c r="AZ786" s="185"/>
      <c r="BA786" s="185"/>
      <c r="BB786" s="185"/>
      <c r="BC786" s="185"/>
      <c r="BD786" s="185"/>
      <c r="BE786" s="185"/>
    </row>
    <row r="787">
      <c r="A787" s="152"/>
      <c r="B787" s="152"/>
      <c r="C787" s="152"/>
      <c r="D787" s="152"/>
      <c r="E787" s="152"/>
      <c r="F787" s="152"/>
      <c r="G787" s="152" t="s">
        <v>5119</v>
      </c>
      <c r="H787" s="152" t="s">
        <v>5120</v>
      </c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85"/>
      <c r="AF787" s="185"/>
      <c r="AG787" s="185"/>
      <c r="AH787" s="185"/>
      <c r="AI787" s="185"/>
      <c r="AJ787" s="185"/>
      <c r="AK787" s="185"/>
      <c r="AL787" s="185"/>
      <c r="AM787" s="185"/>
      <c r="AN787" s="185"/>
      <c r="AO787" s="185"/>
      <c r="AP787" s="185"/>
      <c r="AQ787" s="185"/>
      <c r="AR787" s="185"/>
      <c r="AS787" s="185"/>
      <c r="AT787" s="185"/>
      <c r="AU787" s="185"/>
      <c r="AV787" s="185"/>
      <c r="AW787" s="185"/>
      <c r="AX787" s="185"/>
      <c r="AY787" s="185"/>
      <c r="AZ787" s="185"/>
      <c r="BA787" s="185"/>
      <c r="BB787" s="185"/>
      <c r="BC787" s="185"/>
      <c r="BD787" s="185"/>
      <c r="BE787" s="185"/>
    </row>
    <row r="788">
      <c r="A788" s="152"/>
      <c r="B788" s="152"/>
      <c r="C788" s="152"/>
      <c r="D788" s="152"/>
      <c r="E788" s="152"/>
      <c r="F788" s="152"/>
      <c r="G788" s="152" t="s">
        <v>5121</v>
      </c>
      <c r="H788" s="152" t="s">
        <v>5121</v>
      </c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85"/>
      <c r="AF788" s="185"/>
      <c r="AG788" s="185"/>
      <c r="AH788" s="185"/>
      <c r="AI788" s="185"/>
      <c r="AJ788" s="185"/>
      <c r="AK788" s="185"/>
      <c r="AL788" s="185"/>
      <c r="AM788" s="185"/>
      <c r="AN788" s="185"/>
      <c r="AO788" s="185"/>
      <c r="AP788" s="185"/>
      <c r="AQ788" s="185"/>
      <c r="AR788" s="185"/>
      <c r="AS788" s="185"/>
      <c r="AT788" s="185"/>
      <c r="AU788" s="185"/>
      <c r="AV788" s="185"/>
      <c r="AW788" s="185"/>
      <c r="AX788" s="185"/>
      <c r="AY788" s="185"/>
      <c r="AZ788" s="185"/>
      <c r="BA788" s="185"/>
      <c r="BB788" s="185"/>
      <c r="BC788" s="185"/>
      <c r="BD788" s="185"/>
      <c r="BE788" s="185"/>
    </row>
    <row r="789">
      <c r="A789" s="152"/>
      <c r="B789" s="152"/>
      <c r="C789" s="152"/>
      <c r="D789" s="152"/>
      <c r="E789" s="152"/>
      <c r="F789" s="152"/>
      <c r="G789" s="152" t="s">
        <v>5122</v>
      </c>
      <c r="H789" s="152" t="s">
        <v>5123</v>
      </c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85"/>
      <c r="AF789" s="185"/>
      <c r="AG789" s="185"/>
      <c r="AH789" s="185"/>
      <c r="AI789" s="185"/>
      <c r="AJ789" s="185"/>
      <c r="AK789" s="185"/>
      <c r="AL789" s="185"/>
      <c r="AM789" s="185"/>
      <c r="AN789" s="185"/>
      <c r="AO789" s="185"/>
      <c r="AP789" s="185"/>
      <c r="AQ789" s="185"/>
      <c r="AR789" s="185"/>
      <c r="AS789" s="185"/>
      <c r="AT789" s="185"/>
      <c r="AU789" s="185"/>
      <c r="AV789" s="185"/>
      <c r="AW789" s="185"/>
      <c r="AX789" s="185"/>
      <c r="AY789" s="185"/>
      <c r="AZ789" s="185"/>
      <c r="BA789" s="185"/>
      <c r="BB789" s="185"/>
      <c r="BC789" s="185"/>
      <c r="BD789" s="185"/>
      <c r="BE789" s="185"/>
    </row>
    <row r="790">
      <c r="A790" s="152"/>
      <c r="B790" s="152"/>
      <c r="C790" s="152"/>
      <c r="D790" s="152"/>
      <c r="E790" s="152"/>
      <c r="F790" s="152"/>
      <c r="G790" s="152" t="s">
        <v>4711</v>
      </c>
      <c r="H790" s="152" t="s">
        <v>4712</v>
      </c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85"/>
      <c r="AF790" s="185"/>
      <c r="AG790" s="185"/>
      <c r="AH790" s="185"/>
      <c r="AI790" s="185"/>
      <c r="AJ790" s="185"/>
      <c r="AK790" s="185"/>
      <c r="AL790" s="185"/>
      <c r="AM790" s="185"/>
      <c r="AN790" s="185"/>
      <c r="AO790" s="185"/>
      <c r="AP790" s="185"/>
      <c r="AQ790" s="185"/>
      <c r="AR790" s="185"/>
      <c r="AS790" s="185"/>
      <c r="AT790" s="185"/>
      <c r="AU790" s="185"/>
      <c r="AV790" s="185"/>
      <c r="AW790" s="185"/>
      <c r="AX790" s="185"/>
      <c r="AY790" s="185"/>
      <c r="AZ790" s="185"/>
      <c r="BA790" s="185"/>
      <c r="BB790" s="185"/>
      <c r="BC790" s="185"/>
      <c r="BD790" s="185"/>
      <c r="BE790" s="185"/>
    </row>
    <row r="791">
      <c r="A791" s="152"/>
      <c r="B791" s="152"/>
      <c r="C791" s="152"/>
      <c r="D791" s="152"/>
      <c r="E791" s="152"/>
      <c r="F791" s="152"/>
      <c r="G791" s="152" t="s">
        <v>5124</v>
      </c>
      <c r="H791" s="152" t="s">
        <v>5125</v>
      </c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85"/>
      <c r="AF791" s="185"/>
      <c r="AG791" s="185"/>
      <c r="AH791" s="185"/>
      <c r="AI791" s="185"/>
      <c r="AJ791" s="185"/>
      <c r="AK791" s="185"/>
      <c r="AL791" s="185"/>
      <c r="AM791" s="185"/>
      <c r="AN791" s="185"/>
      <c r="AO791" s="185"/>
      <c r="AP791" s="185"/>
      <c r="AQ791" s="185"/>
      <c r="AR791" s="185"/>
      <c r="AS791" s="185"/>
      <c r="AT791" s="185"/>
      <c r="AU791" s="185"/>
      <c r="AV791" s="185"/>
      <c r="AW791" s="185"/>
      <c r="AX791" s="185"/>
      <c r="AY791" s="185"/>
      <c r="AZ791" s="185"/>
      <c r="BA791" s="185"/>
      <c r="BB791" s="185"/>
      <c r="BC791" s="185"/>
      <c r="BD791" s="185"/>
      <c r="BE791" s="185"/>
    </row>
    <row r="792">
      <c r="A792" s="152"/>
      <c r="B792" s="152"/>
      <c r="C792" s="152"/>
      <c r="D792" s="152"/>
      <c r="E792" s="152"/>
      <c r="F792" s="152"/>
      <c r="G792" s="152" t="s">
        <v>5126</v>
      </c>
      <c r="H792" s="152" t="s">
        <v>5127</v>
      </c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85"/>
      <c r="AF792" s="185"/>
      <c r="AG792" s="185"/>
      <c r="AH792" s="185"/>
      <c r="AI792" s="185"/>
      <c r="AJ792" s="185"/>
      <c r="AK792" s="185"/>
      <c r="AL792" s="185"/>
      <c r="AM792" s="185"/>
      <c r="AN792" s="185"/>
      <c r="AO792" s="185"/>
      <c r="AP792" s="185"/>
      <c r="AQ792" s="185"/>
      <c r="AR792" s="185"/>
      <c r="AS792" s="185"/>
      <c r="AT792" s="185"/>
      <c r="AU792" s="185"/>
      <c r="AV792" s="185"/>
      <c r="AW792" s="185"/>
      <c r="AX792" s="185"/>
      <c r="AY792" s="185"/>
      <c r="AZ792" s="185"/>
      <c r="BA792" s="185"/>
      <c r="BB792" s="185"/>
      <c r="BC792" s="185"/>
      <c r="BD792" s="185"/>
      <c r="BE792" s="185"/>
    </row>
    <row r="793">
      <c r="A793" s="152"/>
      <c r="B793" s="152"/>
      <c r="C793" s="152"/>
      <c r="D793" s="152"/>
      <c r="E793" s="152"/>
      <c r="F793" s="152"/>
      <c r="G793" s="152" t="s">
        <v>5128</v>
      </c>
      <c r="H793" s="152" t="s">
        <v>5129</v>
      </c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85"/>
      <c r="AF793" s="185"/>
      <c r="AG793" s="185"/>
      <c r="AH793" s="185"/>
      <c r="AI793" s="185"/>
      <c r="AJ793" s="185"/>
      <c r="AK793" s="185"/>
      <c r="AL793" s="185"/>
      <c r="AM793" s="185"/>
      <c r="AN793" s="185"/>
      <c r="AO793" s="185"/>
      <c r="AP793" s="185"/>
      <c r="AQ793" s="185"/>
      <c r="AR793" s="185"/>
      <c r="AS793" s="185"/>
      <c r="AT793" s="185"/>
      <c r="AU793" s="185"/>
      <c r="AV793" s="185"/>
      <c r="AW793" s="185"/>
      <c r="AX793" s="185"/>
      <c r="AY793" s="185"/>
      <c r="AZ793" s="185"/>
      <c r="BA793" s="185"/>
      <c r="BB793" s="185"/>
      <c r="BC793" s="185"/>
      <c r="BD793" s="185"/>
      <c r="BE793" s="185"/>
    </row>
    <row r="794">
      <c r="A794" s="152"/>
      <c r="B794" s="152"/>
      <c r="C794" s="152"/>
      <c r="D794" s="152"/>
      <c r="E794" s="152"/>
      <c r="F794" s="152"/>
      <c r="G794" s="152" t="s">
        <v>4719</v>
      </c>
      <c r="H794" s="152" t="s">
        <v>5130</v>
      </c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85"/>
      <c r="AF794" s="185"/>
      <c r="AG794" s="185"/>
      <c r="AH794" s="185"/>
      <c r="AI794" s="185"/>
      <c r="AJ794" s="185"/>
      <c r="AK794" s="185"/>
      <c r="AL794" s="185"/>
      <c r="AM794" s="185"/>
      <c r="AN794" s="185"/>
      <c r="AO794" s="185"/>
      <c r="AP794" s="185"/>
      <c r="AQ794" s="185"/>
      <c r="AR794" s="185"/>
      <c r="AS794" s="185"/>
      <c r="AT794" s="185"/>
      <c r="AU794" s="185"/>
      <c r="AV794" s="185"/>
      <c r="AW794" s="185"/>
      <c r="AX794" s="185"/>
      <c r="AY794" s="185"/>
      <c r="AZ794" s="185"/>
      <c r="BA794" s="185"/>
      <c r="BB794" s="185"/>
      <c r="BC794" s="185"/>
      <c r="BD794" s="185"/>
      <c r="BE794" s="185"/>
    </row>
    <row r="795">
      <c r="A795" s="152"/>
      <c r="B795" s="152"/>
      <c r="C795" s="152"/>
      <c r="D795" s="152"/>
      <c r="E795" s="152"/>
      <c r="F795" s="152"/>
      <c r="G795" s="152" t="s">
        <v>5131</v>
      </c>
      <c r="H795" s="152" t="s">
        <v>5132</v>
      </c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85"/>
      <c r="AF795" s="185"/>
      <c r="AG795" s="185"/>
      <c r="AH795" s="185"/>
      <c r="AI795" s="185"/>
      <c r="AJ795" s="185"/>
      <c r="AK795" s="185"/>
      <c r="AL795" s="185"/>
      <c r="AM795" s="185"/>
      <c r="AN795" s="185"/>
      <c r="AO795" s="185"/>
      <c r="AP795" s="185"/>
      <c r="AQ795" s="185"/>
      <c r="AR795" s="185"/>
      <c r="AS795" s="185"/>
      <c r="AT795" s="185"/>
      <c r="AU795" s="185"/>
      <c r="AV795" s="185"/>
      <c r="AW795" s="185"/>
      <c r="AX795" s="185"/>
      <c r="AY795" s="185"/>
      <c r="AZ795" s="185"/>
      <c r="BA795" s="185"/>
      <c r="BB795" s="185"/>
      <c r="BC795" s="185"/>
      <c r="BD795" s="185"/>
      <c r="BE795" s="185"/>
    </row>
    <row r="796">
      <c r="A796" s="152"/>
      <c r="B796" s="152"/>
      <c r="C796" s="152"/>
      <c r="D796" s="152"/>
      <c r="E796" s="152"/>
      <c r="F796" s="152"/>
      <c r="G796" s="152" t="s">
        <v>5133</v>
      </c>
      <c r="H796" s="152" t="s">
        <v>5134</v>
      </c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85"/>
      <c r="AF796" s="185"/>
      <c r="AG796" s="185"/>
      <c r="AH796" s="185"/>
      <c r="AI796" s="185"/>
      <c r="AJ796" s="185"/>
      <c r="AK796" s="185"/>
      <c r="AL796" s="185"/>
      <c r="AM796" s="185"/>
      <c r="AN796" s="185"/>
      <c r="AO796" s="185"/>
      <c r="AP796" s="185"/>
      <c r="AQ796" s="185"/>
      <c r="AR796" s="185"/>
      <c r="AS796" s="185"/>
      <c r="AT796" s="185"/>
      <c r="AU796" s="185"/>
      <c r="AV796" s="185"/>
      <c r="AW796" s="185"/>
      <c r="AX796" s="185"/>
      <c r="AY796" s="185"/>
      <c r="AZ796" s="185"/>
      <c r="BA796" s="185"/>
      <c r="BB796" s="185"/>
      <c r="BC796" s="185"/>
      <c r="BD796" s="185"/>
      <c r="BE796" s="185"/>
    </row>
    <row r="797">
      <c r="A797" s="152"/>
      <c r="B797" s="152"/>
      <c r="C797" s="152"/>
      <c r="D797" s="152"/>
      <c r="E797" s="152"/>
      <c r="F797" s="152"/>
      <c r="G797" s="163" t="s">
        <v>5135</v>
      </c>
      <c r="H797" s="152" t="s">
        <v>5136</v>
      </c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85"/>
      <c r="AF797" s="185"/>
      <c r="AG797" s="185"/>
      <c r="AH797" s="185"/>
      <c r="AI797" s="185"/>
      <c r="AJ797" s="185"/>
      <c r="AK797" s="185"/>
      <c r="AL797" s="185"/>
      <c r="AM797" s="185"/>
      <c r="AN797" s="185"/>
      <c r="AO797" s="185"/>
      <c r="AP797" s="185"/>
      <c r="AQ797" s="185"/>
      <c r="AR797" s="185"/>
      <c r="AS797" s="185"/>
      <c r="AT797" s="185"/>
      <c r="AU797" s="185"/>
      <c r="AV797" s="185"/>
      <c r="AW797" s="185"/>
      <c r="AX797" s="185"/>
      <c r="AY797" s="185"/>
      <c r="AZ797" s="185"/>
      <c r="BA797" s="185"/>
      <c r="BB797" s="185"/>
      <c r="BC797" s="185"/>
      <c r="BD797" s="185"/>
      <c r="BE797" s="185"/>
    </row>
    <row r="798">
      <c r="A798" s="152"/>
      <c r="B798" s="152"/>
      <c r="C798" s="152"/>
      <c r="D798" s="152"/>
      <c r="E798" s="152"/>
      <c r="F798" s="152"/>
      <c r="G798" s="152" t="s">
        <v>5137</v>
      </c>
      <c r="H798" s="152" t="s">
        <v>5138</v>
      </c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85"/>
      <c r="AF798" s="185"/>
      <c r="AG798" s="185"/>
      <c r="AH798" s="185"/>
      <c r="AI798" s="185"/>
      <c r="AJ798" s="185"/>
      <c r="AK798" s="185"/>
      <c r="AL798" s="185"/>
      <c r="AM798" s="185"/>
      <c r="AN798" s="185"/>
      <c r="AO798" s="185"/>
      <c r="AP798" s="185"/>
      <c r="AQ798" s="185"/>
      <c r="AR798" s="185"/>
      <c r="AS798" s="185"/>
      <c r="AT798" s="185"/>
      <c r="AU798" s="185"/>
      <c r="AV798" s="185"/>
      <c r="AW798" s="185"/>
      <c r="AX798" s="185"/>
      <c r="AY798" s="185"/>
      <c r="AZ798" s="185"/>
      <c r="BA798" s="185"/>
      <c r="BB798" s="185"/>
      <c r="BC798" s="185"/>
      <c r="BD798" s="185"/>
      <c r="BE798" s="185"/>
    </row>
    <row r="799">
      <c r="A799" s="152"/>
      <c r="B799" s="152"/>
      <c r="C799" s="152"/>
      <c r="D799" s="152"/>
      <c r="E799" s="152"/>
      <c r="F799" s="152"/>
      <c r="G799" s="152" t="s">
        <v>5139</v>
      </c>
      <c r="H799" s="152" t="s">
        <v>5140</v>
      </c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85"/>
      <c r="AF799" s="185"/>
      <c r="AG799" s="185"/>
      <c r="AH799" s="185"/>
      <c r="AI799" s="185"/>
      <c r="AJ799" s="185"/>
      <c r="AK799" s="185"/>
      <c r="AL799" s="185"/>
      <c r="AM799" s="185"/>
      <c r="AN799" s="185"/>
      <c r="AO799" s="185"/>
      <c r="AP799" s="185"/>
      <c r="AQ799" s="185"/>
      <c r="AR799" s="185"/>
      <c r="AS799" s="185"/>
      <c r="AT799" s="185"/>
      <c r="AU799" s="185"/>
      <c r="AV799" s="185"/>
      <c r="AW799" s="185"/>
      <c r="AX799" s="185"/>
      <c r="AY799" s="185"/>
      <c r="AZ799" s="185"/>
      <c r="BA799" s="185"/>
      <c r="BB799" s="185"/>
      <c r="BC799" s="185"/>
      <c r="BD799" s="185"/>
      <c r="BE799" s="185"/>
    </row>
    <row r="800">
      <c r="A800" s="152"/>
      <c r="B800" s="152"/>
      <c r="C800" s="152"/>
      <c r="D800" s="152"/>
      <c r="E800" s="152"/>
      <c r="F800" s="152"/>
      <c r="G800" s="163" t="s">
        <v>5141</v>
      </c>
      <c r="H800" s="152" t="s">
        <v>5142</v>
      </c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85"/>
      <c r="AF800" s="185"/>
      <c r="AG800" s="185"/>
      <c r="AH800" s="185"/>
      <c r="AI800" s="185"/>
      <c r="AJ800" s="185"/>
      <c r="AK800" s="185"/>
      <c r="AL800" s="185"/>
      <c r="AM800" s="185"/>
      <c r="AN800" s="185"/>
      <c r="AO800" s="185"/>
      <c r="AP800" s="185"/>
      <c r="AQ800" s="185"/>
      <c r="AR800" s="185"/>
      <c r="AS800" s="185"/>
      <c r="AT800" s="185"/>
      <c r="AU800" s="185"/>
      <c r="AV800" s="185"/>
      <c r="AW800" s="185"/>
      <c r="AX800" s="185"/>
      <c r="AY800" s="185"/>
      <c r="AZ800" s="185"/>
      <c r="BA800" s="185"/>
      <c r="BB800" s="185"/>
      <c r="BC800" s="185"/>
      <c r="BD800" s="185"/>
      <c r="BE800" s="185"/>
    </row>
    <row r="801">
      <c r="A801" s="152"/>
      <c r="B801" s="152"/>
      <c r="C801" s="152"/>
      <c r="D801" s="152"/>
      <c r="E801" s="152"/>
      <c r="F801" s="152"/>
      <c r="G801" s="152" t="s">
        <v>5143</v>
      </c>
      <c r="H801" s="152" t="s">
        <v>5144</v>
      </c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85"/>
      <c r="AF801" s="185"/>
      <c r="AG801" s="185"/>
      <c r="AH801" s="185"/>
      <c r="AI801" s="185"/>
      <c r="AJ801" s="185"/>
      <c r="AK801" s="185"/>
      <c r="AL801" s="185"/>
      <c r="AM801" s="185"/>
      <c r="AN801" s="185"/>
      <c r="AO801" s="185"/>
      <c r="AP801" s="185"/>
      <c r="AQ801" s="185"/>
      <c r="AR801" s="185"/>
      <c r="AS801" s="185"/>
      <c r="AT801" s="185"/>
      <c r="AU801" s="185"/>
      <c r="AV801" s="185"/>
      <c r="AW801" s="185"/>
      <c r="AX801" s="185"/>
      <c r="AY801" s="185"/>
      <c r="AZ801" s="185"/>
      <c r="BA801" s="185"/>
      <c r="BB801" s="185"/>
      <c r="BC801" s="185"/>
      <c r="BD801" s="185"/>
      <c r="BE801" s="185"/>
    </row>
    <row r="802">
      <c r="A802" s="152"/>
      <c r="B802" s="152"/>
      <c r="C802" s="152"/>
      <c r="D802" s="152"/>
      <c r="E802" s="152"/>
      <c r="F802" s="152"/>
      <c r="G802" s="152" t="s">
        <v>5145</v>
      </c>
      <c r="H802" s="152" t="s">
        <v>5146</v>
      </c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85"/>
      <c r="AF802" s="185"/>
      <c r="AG802" s="185"/>
      <c r="AH802" s="185"/>
      <c r="AI802" s="185"/>
      <c r="AJ802" s="185"/>
      <c r="AK802" s="185"/>
      <c r="AL802" s="185"/>
      <c r="AM802" s="185"/>
      <c r="AN802" s="185"/>
      <c r="AO802" s="185"/>
      <c r="AP802" s="185"/>
      <c r="AQ802" s="185"/>
      <c r="AR802" s="185"/>
      <c r="AS802" s="185"/>
      <c r="AT802" s="185"/>
      <c r="AU802" s="185"/>
      <c r="AV802" s="185"/>
      <c r="AW802" s="185"/>
      <c r="AX802" s="185"/>
      <c r="AY802" s="185"/>
      <c r="AZ802" s="185"/>
      <c r="BA802" s="185"/>
      <c r="BB802" s="185"/>
      <c r="BC802" s="185"/>
      <c r="BD802" s="185"/>
      <c r="BE802" s="185"/>
    </row>
    <row r="803">
      <c r="A803" s="152"/>
      <c r="B803" s="152"/>
      <c r="C803" s="152"/>
      <c r="D803" s="152"/>
      <c r="E803" s="152"/>
      <c r="F803" s="152"/>
      <c r="G803" s="152" t="s">
        <v>5147</v>
      </c>
      <c r="H803" s="152" t="s">
        <v>5148</v>
      </c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85"/>
      <c r="AF803" s="185"/>
      <c r="AG803" s="185"/>
      <c r="AH803" s="185"/>
      <c r="AI803" s="185"/>
      <c r="AJ803" s="185"/>
      <c r="AK803" s="185"/>
      <c r="AL803" s="185"/>
      <c r="AM803" s="185"/>
      <c r="AN803" s="185"/>
      <c r="AO803" s="185"/>
      <c r="AP803" s="185"/>
      <c r="AQ803" s="185"/>
      <c r="AR803" s="185"/>
      <c r="AS803" s="185"/>
      <c r="AT803" s="185"/>
      <c r="AU803" s="185"/>
      <c r="AV803" s="185"/>
      <c r="AW803" s="185"/>
      <c r="AX803" s="185"/>
      <c r="AY803" s="185"/>
      <c r="AZ803" s="185"/>
      <c r="BA803" s="185"/>
      <c r="BB803" s="185"/>
      <c r="BC803" s="185"/>
      <c r="BD803" s="185"/>
      <c r="BE803" s="185"/>
    </row>
    <row r="804">
      <c r="A804" s="152"/>
      <c r="B804" s="152"/>
      <c r="C804" s="152"/>
      <c r="D804" s="152"/>
      <c r="E804" s="152"/>
      <c r="F804" s="152"/>
      <c r="G804" s="152" t="s">
        <v>5149</v>
      </c>
      <c r="H804" s="152" t="s">
        <v>5150</v>
      </c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85"/>
      <c r="AF804" s="185"/>
      <c r="AG804" s="185"/>
      <c r="AH804" s="185"/>
      <c r="AI804" s="185"/>
      <c r="AJ804" s="185"/>
      <c r="AK804" s="185"/>
      <c r="AL804" s="185"/>
      <c r="AM804" s="185"/>
      <c r="AN804" s="185"/>
      <c r="AO804" s="185"/>
      <c r="AP804" s="185"/>
      <c r="AQ804" s="185"/>
      <c r="AR804" s="185"/>
      <c r="AS804" s="185"/>
      <c r="AT804" s="185"/>
      <c r="AU804" s="185"/>
      <c r="AV804" s="185"/>
      <c r="AW804" s="185"/>
      <c r="AX804" s="185"/>
      <c r="AY804" s="185"/>
      <c r="AZ804" s="185"/>
      <c r="BA804" s="185"/>
      <c r="BB804" s="185"/>
      <c r="BC804" s="185"/>
      <c r="BD804" s="185"/>
      <c r="BE804" s="185"/>
    </row>
    <row r="805">
      <c r="A805" s="152"/>
      <c r="B805" s="152"/>
      <c r="C805" s="152"/>
      <c r="D805" s="152"/>
      <c r="E805" s="152"/>
      <c r="F805" s="152"/>
      <c r="G805" s="152" t="s">
        <v>69</v>
      </c>
      <c r="H805" s="152" t="s">
        <v>1151</v>
      </c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85"/>
      <c r="AF805" s="185"/>
      <c r="AG805" s="185"/>
      <c r="AH805" s="185"/>
      <c r="AI805" s="185"/>
      <c r="AJ805" s="185"/>
      <c r="AK805" s="185"/>
      <c r="AL805" s="185"/>
      <c r="AM805" s="185"/>
      <c r="AN805" s="185"/>
      <c r="AO805" s="185"/>
      <c r="AP805" s="185"/>
      <c r="AQ805" s="185"/>
      <c r="AR805" s="185"/>
      <c r="AS805" s="185"/>
      <c r="AT805" s="185"/>
      <c r="AU805" s="185"/>
      <c r="AV805" s="185"/>
      <c r="AW805" s="185"/>
      <c r="AX805" s="185"/>
      <c r="AY805" s="185"/>
      <c r="AZ805" s="185"/>
      <c r="BA805" s="185"/>
      <c r="BB805" s="185"/>
      <c r="BC805" s="185"/>
      <c r="BD805" s="185"/>
      <c r="BE805" s="185"/>
    </row>
    <row r="806">
      <c r="A806" s="152"/>
      <c r="B806" s="152"/>
      <c r="C806" s="152"/>
      <c r="D806" s="152"/>
      <c r="E806" s="152"/>
      <c r="F806" s="152"/>
      <c r="G806" s="163" t="s">
        <v>5151</v>
      </c>
      <c r="H806" s="152" t="s">
        <v>5152</v>
      </c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85"/>
      <c r="AF806" s="185"/>
      <c r="AG806" s="185"/>
      <c r="AH806" s="185"/>
      <c r="AI806" s="185"/>
      <c r="AJ806" s="185"/>
      <c r="AK806" s="185"/>
      <c r="AL806" s="185"/>
      <c r="AM806" s="185"/>
      <c r="AN806" s="185"/>
      <c r="AO806" s="185"/>
      <c r="AP806" s="185"/>
      <c r="AQ806" s="185"/>
      <c r="AR806" s="185"/>
      <c r="AS806" s="185"/>
      <c r="AT806" s="185"/>
      <c r="AU806" s="185"/>
      <c r="AV806" s="185"/>
      <c r="AW806" s="185"/>
      <c r="AX806" s="185"/>
      <c r="AY806" s="185"/>
      <c r="AZ806" s="185"/>
      <c r="BA806" s="185"/>
      <c r="BB806" s="185"/>
      <c r="BC806" s="185"/>
      <c r="BD806" s="185"/>
      <c r="BE806" s="185"/>
    </row>
    <row r="807">
      <c r="A807" s="152"/>
      <c r="B807" s="152"/>
      <c r="C807" s="152"/>
      <c r="D807" s="152"/>
      <c r="E807" s="152"/>
      <c r="F807" s="152"/>
      <c r="G807" s="152" t="s">
        <v>5153</v>
      </c>
      <c r="H807" s="152" t="s">
        <v>5153</v>
      </c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85"/>
      <c r="AF807" s="185"/>
      <c r="AG807" s="185"/>
      <c r="AH807" s="185"/>
      <c r="AI807" s="185"/>
      <c r="AJ807" s="185"/>
      <c r="AK807" s="185"/>
      <c r="AL807" s="185"/>
      <c r="AM807" s="185"/>
      <c r="AN807" s="185"/>
      <c r="AO807" s="185"/>
      <c r="AP807" s="185"/>
      <c r="AQ807" s="185"/>
      <c r="AR807" s="185"/>
      <c r="AS807" s="185"/>
      <c r="AT807" s="185"/>
      <c r="AU807" s="185"/>
      <c r="AV807" s="185"/>
      <c r="AW807" s="185"/>
      <c r="AX807" s="185"/>
      <c r="AY807" s="185"/>
      <c r="AZ807" s="185"/>
      <c r="BA807" s="185"/>
      <c r="BB807" s="185"/>
      <c r="BC807" s="185"/>
      <c r="BD807" s="185"/>
      <c r="BE807" s="185"/>
    </row>
    <row r="808">
      <c r="A808" s="152"/>
      <c r="B808" s="152"/>
      <c r="C808" s="152"/>
      <c r="D808" s="152"/>
      <c r="E808" s="152"/>
      <c r="F808" s="152"/>
      <c r="G808" s="152" t="s">
        <v>5154</v>
      </c>
      <c r="H808" s="152" t="s">
        <v>5154</v>
      </c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85"/>
      <c r="AF808" s="185"/>
      <c r="AG808" s="185"/>
      <c r="AH808" s="185"/>
      <c r="AI808" s="185"/>
      <c r="AJ808" s="185"/>
      <c r="AK808" s="185"/>
      <c r="AL808" s="185"/>
      <c r="AM808" s="185"/>
      <c r="AN808" s="185"/>
      <c r="AO808" s="185"/>
      <c r="AP808" s="185"/>
      <c r="AQ808" s="185"/>
      <c r="AR808" s="185"/>
      <c r="AS808" s="185"/>
      <c r="AT808" s="185"/>
      <c r="AU808" s="185"/>
      <c r="AV808" s="185"/>
      <c r="AW808" s="185"/>
      <c r="AX808" s="185"/>
      <c r="AY808" s="185"/>
      <c r="AZ808" s="185"/>
      <c r="BA808" s="185"/>
      <c r="BB808" s="185"/>
      <c r="BC808" s="185"/>
      <c r="BD808" s="185"/>
      <c r="BE808" s="185"/>
    </row>
    <row r="809">
      <c r="A809" s="152"/>
      <c r="B809" s="152"/>
      <c r="C809" s="152"/>
      <c r="D809" s="152"/>
      <c r="E809" s="152"/>
      <c r="F809" s="152"/>
      <c r="G809" s="152" t="s">
        <v>5155</v>
      </c>
      <c r="H809" s="152" t="s">
        <v>5156</v>
      </c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85"/>
      <c r="AF809" s="185"/>
      <c r="AG809" s="185"/>
      <c r="AH809" s="185"/>
      <c r="AI809" s="185"/>
      <c r="AJ809" s="185"/>
      <c r="AK809" s="185"/>
      <c r="AL809" s="185"/>
      <c r="AM809" s="185"/>
      <c r="AN809" s="185"/>
      <c r="AO809" s="185"/>
      <c r="AP809" s="185"/>
      <c r="AQ809" s="185"/>
      <c r="AR809" s="185"/>
      <c r="AS809" s="185"/>
      <c r="AT809" s="185"/>
      <c r="AU809" s="185"/>
      <c r="AV809" s="185"/>
      <c r="AW809" s="185"/>
      <c r="AX809" s="185"/>
      <c r="AY809" s="185"/>
      <c r="AZ809" s="185"/>
      <c r="BA809" s="185"/>
      <c r="BB809" s="185"/>
      <c r="BC809" s="185"/>
      <c r="BD809" s="185"/>
      <c r="BE809" s="185"/>
    </row>
    <row r="810">
      <c r="A810" s="152"/>
      <c r="B810" s="152"/>
      <c r="C810" s="152"/>
      <c r="D810" s="152"/>
      <c r="E810" s="152"/>
      <c r="F810" s="152"/>
      <c r="G810" s="152" t="s">
        <v>5157</v>
      </c>
      <c r="H810" s="152" t="s">
        <v>5158</v>
      </c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85"/>
      <c r="AF810" s="185"/>
      <c r="AG810" s="185"/>
      <c r="AH810" s="185"/>
      <c r="AI810" s="185"/>
      <c r="AJ810" s="185"/>
      <c r="AK810" s="185"/>
      <c r="AL810" s="185"/>
      <c r="AM810" s="185"/>
      <c r="AN810" s="185"/>
      <c r="AO810" s="185"/>
      <c r="AP810" s="185"/>
      <c r="AQ810" s="185"/>
      <c r="AR810" s="185"/>
      <c r="AS810" s="185"/>
      <c r="AT810" s="185"/>
      <c r="AU810" s="185"/>
      <c r="AV810" s="185"/>
      <c r="AW810" s="185"/>
      <c r="AX810" s="185"/>
      <c r="AY810" s="185"/>
      <c r="AZ810" s="185"/>
      <c r="BA810" s="185"/>
      <c r="BB810" s="185"/>
      <c r="BC810" s="185"/>
      <c r="BD810" s="185"/>
      <c r="BE810" s="185"/>
    </row>
    <row r="811">
      <c r="A811" s="152"/>
      <c r="B811" s="152"/>
      <c r="C811" s="152"/>
      <c r="D811" s="152"/>
      <c r="E811" s="152"/>
      <c r="F811" s="152"/>
      <c r="G811" s="152" t="s">
        <v>5159</v>
      </c>
      <c r="H811" s="152" t="s">
        <v>5159</v>
      </c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85"/>
      <c r="AF811" s="185"/>
      <c r="AG811" s="185"/>
      <c r="AH811" s="185"/>
      <c r="AI811" s="185"/>
      <c r="AJ811" s="185"/>
      <c r="AK811" s="185"/>
      <c r="AL811" s="185"/>
      <c r="AM811" s="185"/>
      <c r="AN811" s="185"/>
      <c r="AO811" s="185"/>
      <c r="AP811" s="185"/>
      <c r="AQ811" s="185"/>
      <c r="AR811" s="185"/>
      <c r="AS811" s="185"/>
      <c r="AT811" s="185"/>
      <c r="AU811" s="185"/>
      <c r="AV811" s="185"/>
      <c r="AW811" s="185"/>
      <c r="AX811" s="185"/>
      <c r="AY811" s="185"/>
      <c r="AZ811" s="185"/>
      <c r="BA811" s="185"/>
      <c r="BB811" s="185"/>
      <c r="BC811" s="185"/>
      <c r="BD811" s="185"/>
      <c r="BE811" s="185"/>
    </row>
    <row r="812">
      <c r="A812" s="152"/>
      <c r="B812" s="152"/>
      <c r="C812" s="152"/>
      <c r="D812" s="152"/>
      <c r="E812" s="152"/>
      <c r="F812" s="152"/>
      <c r="G812" s="152" t="s">
        <v>5160</v>
      </c>
      <c r="H812" s="152" t="s">
        <v>5161</v>
      </c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85"/>
      <c r="AF812" s="185"/>
      <c r="AG812" s="185"/>
      <c r="AH812" s="185"/>
      <c r="AI812" s="185"/>
      <c r="AJ812" s="185"/>
      <c r="AK812" s="185"/>
      <c r="AL812" s="185"/>
      <c r="AM812" s="185"/>
      <c r="AN812" s="185"/>
      <c r="AO812" s="185"/>
      <c r="AP812" s="185"/>
      <c r="AQ812" s="185"/>
      <c r="AR812" s="185"/>
      <c r="AS812" s="185"/>
      <c r="AT812" s="185"/>
      <c r="AU812" s="185"/>
      <c r="AV812" s="185"/>
      <c r="AW812" s="185"/>
      <c r="AX812" s="185"/>
      <c r="AY812" s="185"/>
      <c r="AZ812" s="185"/>
      <c r="BA812" s="185"/>
      <c r="BB812" s="185"/>
      <c r="BC812" s="185"/>
      <c r="BD812" s="185"/>
      <c r="BE812" s="185"/>
    </row>
    <row r="813">
      <c r="A813" s="152"/>
      <c r="B813" s="152"/>
      <c r="C813" s="152"/>
      <c r="D813" s="152"/>
      <c r="E813" s="152"/>
      <c r="F813" s="152"/>
      <c r="G813" s="152" t="s">
        <v>5162</v>
      </c>
      <c r="H813" s="152" t="s">
        <v>5163</v>
      </c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85"/>
      <c r="AF813" s="185"/>
      <c r="AG813" s="185"/>
      <c r="AH813" s="185"/>
      <c r="AI813" s="185"/>
      <c r="AJ813" s="185"/>
      <c r="AK813" s="185"/>
      <c r="AL813" s="185"/>
      <c r="AM813" s="185"/>
      <c r="AN813" s="185"/>
      <c r="AO813" s="185"/>
      <c r="AP813" s="185"/>
      <c r="AQ813" s="185"/>
      <c r="AR813" s="185"/>
      <c r="AS813" s="185"/>
      <c r="AT813" s="185"/>
      <c r="AU813" s="185"/>
      <c r="AV813" s="185"/>
      <c r="AW813" s="185"/>
      <c r="AX813" s="185"/>
      <c r="AY813" s="185"/>
      <c r="AZ813" s="185"/>
      <c r="BA813" s="185"/>
      <c r="BB813" s="185"/>
      <c r="BC813" s="185"/>
      <c r="BD813" s="185"/>
      <c r="BE813" s="185"/>
    </row>
    <row r="814">
      <c r="A814" s="152"/>
      <c r="B814" s="152"/>
      <c r="C814" s="152"/>
      <c r="D814" s="152"/>
      <c r="E814" s="152"/>
      <c r="F814" s="152"/>
      <c r="G814" s="152" t="s">
        <v>5164</v>
      </c>
      <c r="H814" s="152" t="s">
        <v>5165</v>
      </c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85"/>
      <c r="AF814" s="185"/>
      <c r="AG814" s="185"/>
      <c r="AH814" s="185"/>
      <c r="AI814" s="185"/>
      <c r="AJ814" s="185"/>
      <c r="AK814" s="185"/>
      <c r="AL814" s="185"/>
      <c r="AM814" s="185"/>
      <c r="AN814" s="185"/>
      <c r="AO814" s="185"/>
      <c r="AP814" s="185"/>
      <c r="AQ814" s="185"/>
      <c r="AR814" s="185"/>
      <c r="AS814" s="185"/>
      <c r="AT814" s="185"/>
      <c r="AU814" s="185"/>
      <c r="AV814" s="185"/>
      <c r="AW814" s="185"/>
      <c r="AX814" s="185"/>
      <c r="AY814" s="185"/>
      <c r="AZ814" s="185"/>
      <c r="BA814" s="185"/>
      <c r="BB814" s="185"/>
      <c r="BC814" s="185"/>
      <c r="BD814" s="185"/>
      <c r="BE814" s="185"/>
    </row>
    <row r="815">
      <c r="A815" s="152"/>
      <c r="B815" s="152"/>
      <c r="C815" s="152"/>
      <c r="D815" s="152"/>
      <c r="E815" s="152"/>
      <c r="F815" s="152"/>
      <c r="G815" s="152" t="s">
        <v>5166</v>
      </c>
      <c r="H815" s="152" t="s">
        <v>5167</v>
      </c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85"/>
      <c r="AF815" s="185"/>
      <c r="AG815" s="185"/>
      <c r="AH815" s="185"/>
      <c r="AI815" s="185"/>
      <c r="AJ815" s="185"/>
      <c r="AK815" s="185"/>
      <c r="AL815" s="185"/>
      <c r="AM815" s="185"/>
      <c r="AN815" s="185"/>
      <c r="AO815" s="185"/>
      <c r="AP815" s="185"/>
      <c r="AQ815" s="185"/>
      <c r="AR815" s="185"/>
      <c r="AS815" s="185"/>
      <c r="AT815" s="185"/>
      <c r="AU815" s="185"/>
      <c r="AV815" s="185"/>
      <c r="AW815" s="185"/>
      <c r="AX815" s="185"/>
      <c r="AY815" s="185"/>
      <c r="AZ815" s="185"/>
      <c r="BA815" s="185"/>
      <c r="BB815" s="185"/>
      <c r="BC815" s="185"/>
      <c r="BD815" s="185"/>
      <c r="BE815" s="185"/>
    </row>
    <row r="816">
      <c r="A816" s="152"/>
      <c r="B816" s="152"/>
      <c r="C816" s="152"/>
      <c r="D816" s="152"/>
      <c r="E816" s="152"/>
      <c r="F816" s="152"/>
      <c r="G816" s="152" t="s">
        <v>5168</v>
      </c>
      <c r="H816" s="152" t="s">
        <v>5169</v>
      </c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85"/>
      <c r="AF816" s="185"/>
      <c r="AG816" s="185"/>
      <c r="AH816" s="185"/>
      <c r="AI816" s="185"/>
      <c r="AJ816" s="185"/>
      <c r="AK816" s="185"/>
      <c r="AL816" s="185"/>
      <c r="AM816" s="185"/>
      <c r="AN816" s="185"/>
      <c r="AO816" s="185"/>
      <c r="AP816" s="185"/>
      <c r="AQ816" s="185"/>
      <c r="AR816" s="185"/>
      <c r="AS816" s="185"/>
      <c r="AT816" s="185"/>
      <c r="AU816" s="185"/>
      <c r="AV816" s="185"/>
      <c r="AW816" s="185"/>
      <c r="AX816" s="185"/>
      <c r="AY816" s="185"/>
      <c r="AZ816" s="185"/>
      <c r="BA816" s="185"/>
      <c r="BB816" s="185"/>
      <c r="BC816" s="185"/>
      <c r="BD816" s="185"/>
      <c r="BE816" s="185"/>
    </row>
    <row r="817">
      <c r="A817" s="152"/>
      <c r="B817" s="152"/>
      <c r="C817" s="152"/>
      <c r="D817" s="152"/>
      <c r="E817" s="152"/>
      <c r="F817" s="152"/>
      <c r="G817" s="152" t="s">
        <v>5170</v>
      </c>
      <c r="H817" s="152" t="s">
        <v>5171</v>
      </c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85"/>
      <c r="AF817" s="185"/>
      <c r="AG817" s="185"/>
      <c r="AH817" s="185"/>
      <c r="AI817" s="185"/>
      <c r="AJ817" s="185"/>
      <c r="AK817" s="185"/>
      <c r="AL817" s="185"/>
      <c r="AM817" s="185"/>
      <c r="AN817" s="185"/>
      <c r="AO817" s="185"/>
      <c r="AP817" s="185"/>
      <c r="AQ817" s="185"/>
      <c r="AR817" s="185"/>
      <c r="AS817" s="185"/>
      <c r="AT817" s="185"/>
      <c r="AU817" s="185"/>
      <c r="AV817" s="185"/>
      <c r="AW817" s="185"/>
      <c r="AX817" s="185"/>
      <c r="AY817" s="185"/>
      <c r="AZ817" s="185"/>
      <c r="BA817" s="185"/>
      <c r="BB817" s="185"/>
      <c r="BC817" s="185"/>
      <c r="BD817" s="185"/>
      <c r="BE817" s="185"/>
    </row>
    <row r="818">
      <c r="A818" s="152"/>
      <c r="B818" s="152"/>
      <c r="C818" s="152"/>
      <c r="D818" s="152"/>
      <c r="E818" s="152"/>
      <c r="F818" s="152"/>
      <c r="G818" s="163" t="s">
        <v>1195</v>
      </c>
      <c r="H818" s="152" t="s">
        <v>5172</v>
      </c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85"/>
      <c r="AF818" s="185"/>
      <c r="AG818" s="185"/>
      <c r="AH818" s="185"/>
      <c r="AI818" s="185"/>
      <c r="AJ818" s="185"/>
      <c r="AK818" s="185"/>
      <c r="AL818" s="185"/>
      <c r="AM818" s="185"/>
      <c r="AN818" s="185"/>
      <c r="AO818" s="185"/>
      <c r="AP818" s="185"/>
      <c r="AQ818" s="185"/>
      <c r="AR818" s="185"/>
      <c r="AS818" s="185"/>
      <c r="AT818" s="185"/>
      <c r="AU818" s="185"/>
      <c r="AV818" s="185"/>
      <c r="AW818" s="185"/>
      <c r="AX818" s="185"/>
      <c r="AY818" s="185"/>
      <c r="AZ818" s="185"/>
      <c r="BA818" s="185"/>
      <c r="BB818" s="185"/>
      <c r="BC818" s="185"/>
      <c r="BD818" s="185"/>
      <c r="BE818" s="185"/>
    </row>
    <row r="819">
      <c r="A819" s="152"/>
      <c r="B819" s="152"/>
      <c r="C819" s="152"/>
      <c r="D819" s="152"/>
      <c r="E819" s="152"/>
      <c r="F819" s="152"/>
      <c r="G819" s="152" t="s">
        <v>5173</v>
      </c>
      <c r="H819" s="152" t="s">
        <v>5174</v>
      </c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85"/>
      <c r="AF819" s="185"/>
      <c r="AG819" s="185"/>
      <c r="AH819" s="185"/>
      <c r="AI819" s="185"/>
      <c r="AJ819" s="185"/>
      <c r="AK819" s="185"/>
      <c r="AL819" s="185"/>
      <c r="AM819" s="185"/>
      <c r="AN819" s="185"/>
      <c r="AO819" s="185"/>
      <c r="AP819" s="185"/>
      <c r="AQ819" s="185"/>
      <c r="AR819" s="185"/>
      <c r="AS819" s="185"/>
      <c r="AT819" s="185"/>
      <c r="AU819" s="185"/>
      <c r="AV819" s="185"/>
      <c r="AW819" s="185"/>
      <c r="AX819" s="185"/>
      <c r="AY819" s="185"/>
      <c r="AZ819" s="185"/>
      <c r="BA819" s="185"/>
      <c r="BB819" s="185"/>
      <c r="BC819" s="185"/>
      <c r="BD819" s="185"/>
      <c r="BE819" s="185"/>
    </row>
    <row r="820">
      <c r="A820" s="152"/>
      <c r="B820" s="152"/>
      <c r="C820" s="152"/>
      <c r="D820" s="152"/>
      <c r="E820" s="152"/>
      <c r="F820" s="152"/>
      <c r="G820" s="152" t="s">
        <v>5175</v>
      </c>
      <c r="H820" s="152" t="s">
        <v>5176</v>
      </c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85"/>
      <c r="AF820" s="185"/>
      <c r="AG820" s="185"/>
      <c r="AH820" s="185"/>
      <c r="AI820" s="185"/>
      <c r="AJ820" s="185"/>
      <c r="AK820" s="185"/>
      <c r="AL820" s="185"/>
      <c r="AM820" s="185"/>
      <c r="AN820" s="185"/>
      <c r="AO820" s="185"/>
      <c r="AP820" s="185"/>
      <c r="AQ820" s="185"/>
      <c r="AR820" s="185"/>
      <c r="AS820" s="185"/>
      <c r="AT820" s="185"/>
      <c r="AU820" s="185"/>
      <c r="AV820" s="185"/>
      <c r="AW820" s="185"/>
      <c r="AX820" s="185"/>
      <c r="AY820" s="185"/>
      <c r="AZ820" s="185"/>
      <c r="BA820" s="185"/>
      <c r="BB820" s="185"/>
      <c r="BC820" s="185"/>
      <c r="BD820" s="185"/>
      <c r="BE820" s="185"/>
    </row>
    <row r="821">
      <c r="A821" s="152"/>
      <c r="B821" s="152"/>
      <c r="C821" s="152"/>
      <c r="D821" s="152"/>
      <c r="E821" s="152"/>
      <c r="F821" s="152"/>
      <c r="G821" s="152" t="s">
        <v>5177</v>
      </c>
      <c r="H821" s="152" t="s">
        <v>5178</v>
      </c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85"/>
      <c r="AF821" s="185"/>
      <c r="AG821" s="185"/>
      <c r="AH821" s="185"/>
      <c r="AI821" s="185"/>
      <c r="AJ821" s="185"/>
      <c r="AK821" s="185"/>
      <c r="AL821" s="185"/>
      <c r="AM821" s="185"/>
      <c r="AN821" s="185"/>
      <c r="AO821" s="185"/>
      <c r="AP821" s="185"/>
      <c r="AQ821" s="185"/>
      <c r="AR821" s="185"/>
      <c r="AS821" s="185"/>
      <c r="AT821" s="185"/>
      <c r="AU821" s="185"/>
      <c r="AV821" s="185"/>
      <c r="AW821" s="185"/>
      <c r="AX821" s="185"/>
      <c r="AY821" s="185"/>
      <c r="AZ821" s="185"/>
      <c r="BA821" s="185"/>
      <c r="BB821" s="185"/>
      <c r="BC821" s="185"/>
      <c r="BD821" s="185"/>
      <c r="BE821" s="185"/>
    </row>
    <row r="822">
      <c r="A822" s="152"/>
      <c r="B822" s="152"/>
      <c r="C822" s="152"/>
      <c r="D822" s="152"/>
      <c r="E822" s="152"/>
      <c r="F822" s="152"/>
      <c r="G822" s="152" t="s">
        <v>5179</v>
      </c>
      <c r="H822" s="152" t="s">
        <v>5180</v>
      </c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85"/>
      <c r="AF822" s="185"/>
      <c r="AG822" s="185"/>
      <c r="AH822" s="185"/>
      <c r="AI822" s="185"/>
      <c r="AJ822" s="185"/>
      <c r="AK822" s="185"/>
      <c r="AL822" s="185"/>
      <c r="AM822" s="185"/>
      <c r="AN822" s="185"/>
      <c r="AO822" s="185"/>
      <c r="AP822" s="185"/>
      <c r="AQ822" s="185"/>
      <c r="AR822" s="185"/>
      <c r="AS822" s="185"/>
      <c r="AT822" s="185"/>
      <c r="AU822" s="185"/>
      <c r="AV822" s="185"/>
      <c r="AW822" s="185"/>
      <c r="AX822" s="185"/>
      <c r="AY822" s="185"/>
      <c r="AZ822" s="185"/>
      <c r="BA822" s="185"/>
      <c r="BB822" s="185"/>
      <c r="BC822" s="185"/>
      <c r="BD822" s="185"/>
      <c r="BE822" s="185"/>
    </row>
    <row r="823">
      <c r="A823" s="152"/>
      <c r="B823" s="152"/>
      <c r="C823" s="152"/>
      <c r="D823" s="152"/>
      <c r="E823" s="152"/>
      <c r="F823" s="152"/>
      <c r="G823" s="152" t="s">
        <v>5181</v>
      </c>
      <c r="H823" s="152" t="s">
        <v>5182</v>
      </c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85"/>
      <c r="AF823" s="185"/>
      <c r="AG823" s="185"/>
      <c r="AH823" s="185"/>
      <c r="AI823" s="185"/>
      <c r="AJ823" s="185"/>
      <c r="AK823" s="185"/>
      <c r="AL823" s="185"/>
      <c r="AM823" s="185"/>
      <c r="AN823" s="185"/>
      <c r="AO823" s="185"/>
      <c r="AP823" s="185"/>
      <c r="AQ823" s="185"/>
      <c r="AR823" s="185"/>
      <c r="AS823" s="185"/>
      <c r="AT823" s="185"/>
      <c r="AU823" s="185"/>
      <c r="AV823" s="185"/>
      <c r="AW823" s="185"/>
      <c r="AX823" s="185"/>
      <c r="AY823" s="185"/>
      <c r="AZ823" s="185"/>
      <c r="BA823" s="185"/>
      <c r="BB823" s="185"/>
      <c r="BC823" s="185"/>
      <c r="BD823" s="185"/>
      <c r="BE823" s="185"/>
    </row>
    <row r="824">
      <c r="A824" s="152"/>
      <c r="B824" s="152"/>
      <c r="C824" s="152"/>
      <c r="D824" s="152"/>
      <c r="E824" s="152"/>
      <c r="F824" s="152"/>
      <c r="G824" s="152" t="s">
        <v>5183</v>
      </c>
      <c r="H824" s="152" t="s">
        <v>5184</v>
      </c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85"/>
      <c r="AF824" s="185"/>
      <c r="AG824" s="185"/>
      <c r="AH824" s="185"/>
      <c r="AI824" s="185"/>
      <c r="AJ824" s="185"/>
      <c r="AK824" s="185"/>
      <c r="AL824" s="185"/>
      <c r="AM824" s="185"/>
      <c r="AN824" s="185"/>
      <c r="AO824" s="185"/>
      <c r="AP824" s="185"/>
      <c r="AQ824" s="185"/>
      <c r="AR824" s="185"/>
      <c r="AS824" s="185"/>
      <c r="AT824" s="185"/>
      <c r="AU824" s="185"/>
      <c r="AV824" s="185"/>
      <c r="AW824" s="185"/>
      <c r="AX824" s="185"/>
      <c r="AY824" s="185"/>
      <c r="AZ824" s="185"/>
      <c r="BA824" s="185"/>
      <c r="BB824" s="185"/>
      <c r="BC824" s="185"/>
      <c r="BD824" s="185"/>
      <c r="BE824" s="185"/>
    </row>
    <row r="825">
      <c r="A825" s="152"/>
      <c r="B825" s="152"/>
      <c r="C825" s="152"/>
      <c r="D825" s="152"/>
      <c r="E825" s="152"/>
      <c r="F825" s="152"/>
      <c r="G825" s="163" t="s">
        <v>5185</v>
      </c>
      <c r="H825" s="152" t="s">
        <v>5186</v>
      </c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85"/>
      <c r="AF825" s="185"/>
      <c r="AG825" s="185"/>
      <c r="AH825" s="185"/>
      <c r="AI825" s="185"/>
      <c r="AJ825" s="185"/>
      <c r="AK825" s="185"/>
      <c r="AL825" s="185"/>
      <c r="AM825" s="185"/>
      <c r="AN825" s="185"/>
      <c r="AO825" s="185"/>
      <c r="AP825" s="185"/>
      <c r="AQ825" s="185"/>
      <c r="AR825" s="185"/>
      <c r="AS825" s="185"/>
      <c r="AT825" s="185"/>
      <c r="AU825" s="185"/>
      <c r="AV825" s="185"/>
      <c r="AW825" s="185"/>
      <c r="AX825" s="185"/>
      <c r="AY825" s="185"/>
      <c r="AZ825" s="185"/>
      <c r="BA825" s="185"/>
      <c r="BB825" s="185"/>
      <c r="BC825" s="185"/>
      <c r="BD825" s="185"/>
      <c r="BE825" s="185"/>
    </row>
    <row r="826">
      <c r="A826" s="152"/>
      <c r="B826" s="152"/>
      <c r="C826" s="152"/>
      <c r="D826" s="152"/>
      <c r="E826" s="152"/>
      <c r="F826" s="152"/>
      <c r="G826" s="152" t="s">
        <v>5187</v>
      </c>
      <c r="H826" s="152" t="s">
        <v>5188</v>
      </c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85"/>
      <c r="AF826" s="185"/>
      <c r="AG826" s="185"/>
      <c r="AH826" s="185"/>
      <c r="AI826" s="185"/>
      <c r="AJ826" s="185"/>
      <c r="AK826" s="185"/>
      <c r="AL826" s="185"/>
      <c r="AM826" s="185"/>
      <c r="AN826" s="185"/>
      <c r="AO826" s="185"/>
      <c r="AP826" s="185"/>
      <c r="AQ826" s="185"/>
      <c r="AR826" s="185"/>
      <c r="AS826" s="185"/>
      <c r="AT826" s="185"/>
      <c r="AU826" s="185"/>
      <c r="AV826" s="185"/>
      <c r="AW826" s="185"/>
      <c r="AX826" s="185"/>
      <c r="AY826" s="185"/>
      <c r="AZ826" s="185"/>
      <c r="BA826" s="185"/>
      <c r="BB826" s="185"/>
      <c r="BC826" s="185"/>
      <c r="BD826" s="185"/>
      <c r="BE826" s="185"/>
    </row>
    <row r="827">
      <c r="A827" s="152"/>
      <c r="B827" s="152"/>
      <c r="C827" s="152"/>
      <c r="D827" s="152"/>
      <c r="E827" s="152"/>
      <c r="F827" s="152"/>
      <c r="G827" s="152" t="s">
        <v>5189</v>
      </c>
      <c r="H827" s="152" t="s">
        <v>5189</v>
      </c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85"/>
      <c r="AF827" s="185"/>
      <c r="AG827" s="185"/>
      <c r="AH827" s="185"/>
      <c r="AI827" s="185"/>
      <c r="AJ827" s="185"/>
      <c r="AK827" s="185"/>
      <c r="AL827" s="185"/>
      <c r="AM827" s="185"/>
      <c r="AN827" s="185"/>
      <c r="AO827" s="185"/>
      <c r="AP827" s="185"/>
      <c r="AQ827" s="185"/>
      <c r="AR827" s="185"/>
      <c r="AS827" s="185"/>
      <c r="AT827" s="185"/>
      <c r="AU827" s="185"/>
      <c r="AV827" s="185"/>
      <c r="AW827" s="185"/>
      <c r="AX827" s="185"/>
      <c r="AY827" s="185"/>
      <c r="AZ827" s="185"/>
      <c r="BA827" s="185"/>
      <c r="BB827" s="185"/>
      <c r="BC827" s="185"/>
      <c r="BD827" s="185"/>
      <c r="BE827" s="185"/>
    </row>
    <row r="828">
      <c r="A828" s="152"/>
      <c r="B828" s="152"/>
      <c r="C828" s="152"/>
      <c r="D828" s="152"/>
      <c r="E828" s="152"/>
      <c r="F828" s="152"/>
      <c r="G828" s="152" t="s">
        <v>5190</v>
      </c>
      <c r="H828" s="152" t="s">
        <v>5191</v>
      </c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85"/>
      <c r="AF828" s="185"/>
      <c r="AG828" s="185"/>
      <c r="AH828" s="185"/>
      <c r="AI828" s="185"/>
      <c r="AJ828" s="185"/>
      <c r="AK828" s="185"/>
      <c r="AL828" s="185"/>
      <c r="AM828" s="185"/>
      <c r="AN828" s="185"/>
      <c r="AO828" s="185"/>
      <c r="AP828" s="185"/>
      <c r="AQ828" s="185"/>
      <c r="AR828" s="185"/>
      <c r="AS828" s="185"/>
      <c r="AT828" s="185"/>
      <c r="AU828" s="185"/>
      <c r="AV828" s="185"/>
      <c r="AW828" s="185"/>
      <c r="AX828" s="185"/>
      <c r="AY828" s="185"/>
      <c r="AZ828" s="185"/>
      <c r="BA828" s="185"/>
      <c r="BB828" s="185"/>
      <c r="BC828" s="185"/>
      <c r="BD828" s="185"/>
      <c r="BE828" s="185"/>
    </row>
    <row r="829">
      <c r="A829" s="152"/>
      <c r="B829" s="152"/>
      <c r="C829" s="152"/>
      <c r="D829" s="152"/>
      <c r="E829" s="152"/>
      <c r="F829" s="152"/>
      <c r="G829" s="152" t="s">
        <v>5192</v>
      </c>
      <c r="H829" s="152" t="s">
        <v>5192</v>
      </c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85"/>
      <c r="AF829" s="185"/>
      <c r="AG829" s="185"/>
      <c r="AH829" s="185"/>
      <c r="AI829" s="185"/>
      <c r="AJ829" s="185"/>
      <c r="AK829" s="185"/>
      <c r="AL829" s="185"/>
      <c r="AM829" s="185"/>
      <c r="AN829" s="185"/>
      <c r="AO829" s="185"/>
      <c r="AP829" s="185"/>
      <c r="AQ829" s="185"/>
      <c r="AR829" s="185"/>
      <c r="AS829" s="185"/>
      <c r="AT829" s="185"/>
      <c r="AU829" s="185"/>
      <c r="AV829" s="185"/>
      <c r="AW829" s="185"/>
      <c r="AX829" s="185"/>
      <c r="AY829" s="185"/>
      <c r="AZ829" s="185"/>
      <c r="BA829" s="185"/>
      <c r="BB829" s="185"/>
      <c r="BC829" s="185"/>
      <c r="BD829" s="185"/>
      <c r="BE829" s="185"/>
    </row>
    <row r="830">
      <c r="A830" s="152"/>
      <c r="B830" s="152"/>
      <c r="C830" s="152"/>
      <c r="D830" s="152"/>
      <c r="E830" s="152"/>
      <c r="F830" s="152"/>
      <c r="G830" s="152" t="s">
        <v>5193</v>
      </c>
      <c r="H830" s="152" t="s">
        <v>5193</v>
      </c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85"/>
      <c r="AF830" s="185"/>
      <c r="AG830" s="185"/>
      <c r="AH830" s="185"/>
      <c r="AI830" s="185"/>
      <c r="AJ830" s="185"/>
      <c r="AK830" s="185"/>
      <c r="AL830" s="185"/>
      <c r="AM830" s="185"/>
      <c r="AN830" s="185"/>
      <c r="AO830" s="185"/>
      <c r="AP830" s="185"/>
      <c r="AQ830" s="185"/>
      <c r="AR830" s="185"/>
      <c r="AS830" s="185"/>
      <c r="AT830" s="185"/>
      <c r="AU830" s="185"/>
      <c r="AV830" s="185"/>
      <c r="AW830" s="185"/>
      <c r="AX830" s="185"/>
      <c r="AY830" s="185"/>
      <c r="AZ830" s="185"/>
      <c r="BA830" s="185"/>
      <c r="BB830" s="185"/>
      <c r="BC830" s="185"/>
      <c r="BD830" s="185"/>
      <c r="BE830" s="185"/>
    </row>
    <row r="831">
      <c r="A831" s="152"/>
      <c r="B831" s="152"/>
      <c r="C831" s="152"/>
      <c r="D831" s="152"/>
      <c r="E831" s="152"/>
      <c r="F831" s="152"/>
      <c r="G831" s="152" t="s">
        <v>5194</v>
      </c>
      <c r="H831" s="152" t="s">
        <v>5194</v>
      </c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85"/>
      <c r="AF831" s="185"/>
      <c r="AG831" s="185"/>
      <c r="AH831" s="185"/>
      <c r="AI831" s="185"/>
      <c r="AJ831" s="185"/>
      <c r="AK831" s="185"/>
      <c r="AL831" s="185"/>
      <c r="AM831" s="185"/>
      <c r="AN831" s="185"/>
      <c r="AO831" s="185"/>
      <c r="AP831" s="185"/>
      <c r="AQ831" s="185"/>
      <c r="AR831" s="185"/>
      <c r="AS831" s="185"/>
      <c r="AT831" s="185"/>
      <c r="AU831" s="185"/>
      <c r="AV831" s="185"/>
      <c r="AW831" s="185"/>
      <c r="AX831" s="185"/>
      <c r="AY831" s="185"/>
      <c r="AZ831" s="185"/>
      <c r="BA831" s="185"/>
      <c r="BB831" s="185"/>
      <c r="BC831" s="185"/>
      <c r="BD831" s="185"/>
      <c r="BE831" s="185"/>
    </row>
    <row r="832">
      <c r="A832" s="152"/>
      <c r="B832" s="152"/>
      <c r="C832" s="152"/>
      <c r="D832" s="152"/>
      <c r="E832" s="152"/>
      <c r="F832" s="152"/>
      <c r="G832" s="152" t="s">
        <v>5195</v>
      </c>
      <c r="H832" s="152" t="s">
        <v>5196</v>
      </c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85"/>
      <c r="AF832" s="185"/>
      <c r="AG832" s="185"/>
      <c r="AH832" s="185"/>
      <c r="AI832" s="185"/>
      <c r="AJ832" s="185"/>
      <c r="AK832" s="185"/>
      <c r="AL832" s="185"/>
      <c r="AM832" s="185"/>
      <c r="AN832" s="185"/>
      <c r="AO832" s="185"/>
      <c r="AP832" s="185"/>
      <c r="AQ832" s="185"/>
      <c r="AR832" s="185"/>
      <c r="AS832" s="185"/>
      <c r="AT832" s="185"/>
      <c r="AU832" s="185"/>
      <c r="AV832" s="185"/>
      <c r="AW832" s="185"/>
      <c r="AX832" s="185"/>
      <c r="AY832" s="185"/>
      <c r="AZ832" s="185"/>
      <c r="BA832" s="185"/>
      <c r="BB832" s="185"/>
      <c r="BC832" s="185"/>
      <c r="BD832" s="185"/>
      <c r="BE832" s="185"/>
    </row>
    <row r="833">
      <c r="A833" s="152"/>
      <c r="B833" s="152"/>
      <c r="C833" s="152"/>
      <c r="D833" s="152"/>
      <c r="E833" s="152"/>
      <c r="F833" s="152"/>
      <c r="G833" s="152" t="s">
        <v>5197</v>
      </c>
      <c r="H833" s="152" t="s">
        <v>5198</v>
      </c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85"/>
      <c r="AF833" s="185"/>
      <c r="AG833" s="185"/>
      <c r="AH833" s="185"/>
      <c r="AI833" s="185"/>
      <c r="AJ833" s="185"/>
      <c r="AK833" s="185"/>
      <c r="AL833" s="185"/>
      <c r="AM833" s="185"/>
      <c r="AN833" s="185"/>
      <c r="AO833" s="185"/>
      <c r="AP833" s="185"/>
      <c r="AQ833" s="185"/>
      <c r="AR833" s="185"/>
      <c r="AS833" s="185"/>
      <c r="AT833" s="185"/>
      <c r="AU833" s="185"/>
      <c r="AV833" s="185"/>
      <c r="AW833" s="185"/>
      <c r="AX833" s="185"/>
      <c r="AY833" s="185"/>
      <c r="AZ833" s="185"/>
      <c r="BA833" s="185"/>
      <c r="BB833" s="185"/>
      <c r="BC833" s="185"/>
      <c r="BD833" s="185"/>
      <c r="BE833" s="185"/>
    </row>
    <row r="834">
      <c r="A834" s="152"/>
      <c r="B834" s="152"/>
      <c r="C834" s="152"/>
      <c r="D834" s="152"/>
      <c r="E834" s="152"/>
      <c r="F834" s="152"/>
      <c r="G834" s="152" t="s">
        <v>5199</v>
      </c>
      <c r="H834" s="152" t="s">
        <v>5200</v>
      </c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85"/>
      <c r="AF834" s="185"/>
      <c r="AG834" s="185"/>
      <c r="AH834" s="185"/>
      <c r="AI834" s="185"/>
      <c r="AJ834" s="185"/>
      <c r="AK834" s="185"/>
      <c r="AL834" s="185"/>
      <c r="AM834" s="185"/>
      <c r="AN834" s="185"/>
      <c r="AO834" s="185"/>
      <c r="AP834" s="185"/>
      <c r="AQ834" s="185"/>
      <c r="AR834" s="185"/>
      <c r="AS834" s="185"/>
      <c r="AT834" s="185"/>
      <c r="AU834" s="185"/>
      <c r="AV834" s="185"/>
      <c r="AW834" s="185"/>
      <c r="AX834" s="185"/>
      <c r="AY834" s="185"/>
      <c r="AZ834" s="185"/>
      <c r="BA834" s="185"/>
      <c r="BB834" s="185"/>
      <c r="BC834" s="185"/>
      <c r="BD834" s="185"/>
      <c r="BE834" s="185"/>
    </row>
    <row r="835">
      <c r="A835" s="152"/>
      <c r="B835" s="152"/>
      <c r="C835" s="152"/>
      <c r="D835" s="152"/>
      <c r="E835" s="152"/>
      <c r="F835" s="152"/>
      <c r="G835" s="163" t="s">
        <v>5201</v>
      </c>
      <c r="H835" s="152" t="s">
        <v>5202</v>
      </c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85"/>
      <c r="AF835" s="185"/>
      <c r="AG835" s="185"/>
      <c r="AH835" s="185"/>
      <c r="AI835" s="185"/>
      <c r="AJ835" s="185"/>
      <c r="AK835" s="185"/>
      <c r="AL835" s="185"/>
      <c r="AM835" s="185"/>
      <c r="AN835" s="185"/>
      <c r="AO835" s="185"/>
      <c r="AP835" s="185"/>
      <c r="AQ835" s="185"/>
      <c r="AR835" s="185"/>
      <c r="AS835" s="185"/>
      <c r="AT835" s="185"/>
      <c r="AU835" s="185"/>
      <c r="AV835" s="185"/>
      <c r="AW835" s="185"/>
      <c r="AX835" s="185"/>
      <c r="AY835" s="185"/>
      <c r="AZ835" s="185"/>
      <c r="BA835" s="185"/>
      <c r="BB835" s="185"/>
      <c r="BC835" s="185"/>
      <c r="BD835" s="185"/>
      <c r="BE835" s="185"/>
    </row>
    <row r="836">
      <c r="A836" s="152"/>
      <c r="B836" s="152"/>
      <c r="C836" s="152"/>
      <c r="D836" s="152"/>
      <c r="E836" s="152"/>
      <c r="F836" s="152"/>
      <c r="G836" s="152" t="s">
        <v>5203</v>
      </c>
      <c r="H836" s="152" t="s">
        <v>5204</v>
      </c>
      <c r="I836" s="152" t="s">
        <v>486</v>
      </c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85"/>
      <c r="AF836" s="185"/>
      <c r="AG836" s="185"/>
      <c r="AH836" s="185"/>
      <c r="AI836" s="185"/>
      <c r="AJ836" s="185"/>
      <c r="AK836" s="185"/>
      <c r="AL836" s="185"/>
      <c r="AM836" s="185"/>
      <c r="AN836" s="185"/>
      <c r="AO836" s="185"/>
      <c r="AP836" s="185"/>
      <c r="AQ836" s="185"/>
      <c r="AR836" s="185"/>
      <c r="AS836" s="185"/>
      <c r="AT836" s="185"/>
      <c r="AU836" s="185"/>
      <c r="AV836" s="185"/>
      <c r="AW836" s="185"/>
      <c r="AX836" s="185"/>
      <c r="AY836" s="185"/>
      <c r="AZ836" s="185"/>
      <c r="BA836" s="185"/>
      <c r="BB836" s="185"/>
      <c r="BC836" s="185"/>
      <c r="BD836" s="185"/>
      <c r="BE836" s="185"/>
    </row>
    <row r="837">
      <c r="A837" s="152"/>
      <c r="B837" s="152"/>
      <c r="C837" s="152"/>
      <c r="D837" s="152"/>
      <c r="E837" s="152"/>
      <c r="F837" s="152"/>
      <c r="G837" s="152" t="s">
        <v>5205</v>
      </c>
      <c r="H837" s="152" t="s">
        <v>5206</v>
      </c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85"/>
      <c r="AF837" s="185"/>
      <c r="AG837" s="185"/>
      <c r="AH837" s="185"/>
      <c r="AI837" s="185"/>
      <c r="AJ837" s="185"/>
      <c r="AK837" s="185"/>
      <c r="AL837" s="185"/>
      <c r="AM837" s="185"/>
      <c r="AN837" s="185"/>
      <c r="AO837" s="185"/>
      <c r="AP837" s="185"/>
      <c r="AQ837" s="185"/>
      <c r="AR837" s="185"/>
      <c r="AS837" s="185"/>
      <c r="AT837" s="185"/>
      <c r="AU837" s="185"/>
      <c r="AV837" s="185"/>
      <c r="AW837" s="185"/>
      <c r="AX837" s="185"/>
      <c r="AY837" s="185"/>
      <c r="AZ837" s="185"/>
      <c r="BA837" s="185"/>
      <c r="BB837" s="185"/>
      <c r="BC837" s="185"/>
      <c r="BD837" s="185"/>
      <c r="BE837" s="185"/>
    </row>
    <row r="838">
      <c r="A838" s="152"/>
      <c r="B838" s="152"/>
      <c r="C838" s="152"/>
      <c r="D838" s="152"/>
      <c r="E838" s="152"/>
      <c r="F838" s="152"/>
      <c r="G838" s="152" t="s">
        <v>5207</v>
      </c>
      <c r="H838" s="152" t="s">
        <v>5208</v>
      </c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85"/>
      <c r="AF838" s="185"/>
      <c r="AG838" s="185"/>
      <c r="AH838" s="185"/>
      <c r="AI838" s="185"/>
      <c r="AJ838" s="185"/>
      <c r="AK838" s="185"/>
      <c r="AL838" s="185"/>
      <c r="AM838" s="185"/>
      <c r="AN838" s="185"/>
      <c r="AO838" s="185"/>
      <c r="AP838" s="185"/>
      <c r="AQ838" s="185"/>
      <c r="AR838" s="185"/>
      <c r="AS838" s="185"/>
      <c r="AT838" s="185"/>
      <c r="AU838" s="185"/>
      <c r="AV838" s="185"/>
      <c r="AW838" s="185"/>
      <c r="AX838" s="185"/>
      <c r="AY838" s="185"/>
      <c r="AZ838" s="185"/>
      <c r="BA838" s="185"/>
      <c r="BB838" s="185"/>
      <c r="BC838" s="185"/>
      <c r="BD838" s="185"/>
      <c r="BE838" s="185"/>
    </row>
    <row r="839">
      <c r="A839" s="152"/>
      <c r="B839" s="152"/>
      <c r="C839" s="152"/>
      <c r="D839" s="152"/>
      <c r="E839" s="152"/>
      <c r="F839" s="152"/>
      <c r="G839" s="152" t="s">
        <v>5209</v>
      </c>
      <c r="H839" s="152" t="s">
        <v>5210</v>
      </c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85"/>
      <c r="AF839" s="185"/>
      <c r="AG839" s="185"/>
      <c r="AH839" s="185"/>
      <c r="AI839" s="185"/>
      <c r="AJ839" s="185"/>
      <c r="AK839" s="185"/>
      <c r="AL839" s="185"/>
      <c r="AM839" s="185"/>
      <c r="AN839" s="185"/>
      <c r="AO839" s="185"/>
      <c r="AP839" s="185"/>
      <c r="AQ839" s="185"/>
      <c r="AR839" s="185"/>
      <c r="AS839" s="185"/>
      <c r="AT839" s="185"/>
      <c r="AU839" s="185"/>
      <c r="AV839" s="185"/>
      <c r="AW839" s="185"/>
      <c r="AX839" s="185"/>
      <c r="AY839" s="185"/>
      <c r="AZ839" s="185"/>
      <c r="BA839" s="185"/>
      <c r="BB839" s="185"/>
      <c r="BC839" s="185"/>
      <c r="BD839" s="185"/>
      <c r="BE839" s="185"/>
    </row>
    <row r="840">
      <c r="A840" s="152"/>
      <c r="B840" s="152"/>
      <c r="C840" s="152"/>
      <c r="D840" s="152"/>
      <c r="E840" s="152"/>
      <c r="F840" s="152"/>
      <c r="G840" s="163" t="s">
        <v>5211</v>
      </c>
      <c r="H840" s="152" t="s">
        <v>5212</v>
      </c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85"/>
      <c r="AF840" s="185"/>
      <c r="AG840" s="185"/>
      <c r="AH840" s="185"/>
      <c r="AI840" s="185"/>
      <c r="AJ840" s="185"/>
      <c r="AK840" s="185"/>
      <c r="AL840" s="185"/>
      <c r="AM840" s="185"/>
      <c r="AN840" s="185"/>
      <c r="AO840" s="185"/>
      <c r="AP840" s="185"/>
      <c r="AQ840" s="185"/>
      <c r="AR840" s="185"/>
      <c r="AS840" s="185"/>
      <c r="AT840" s="185"/>
      <c r="AU840" s="185"/>
      <c r="AV840" s="185"/>
      <c r="AW840" s="185"/>
      <c r="AX840" s="185"/>
      <c r="AY840" s="185"/>
      <c r="AZ840" s="185"/>
      <c r="BA840" s="185"/>
      <c r="BB840" s="185"/>
      <c r="BC840" s="185"/>
      <c r="BD840" s="185"/>
      <c r="BE840" s="185"/>
    </row>
    <row r="841">
      <c r="A841" s="152"/>
      <c r="B841" s="152"/>
      <c r="C841" s="152"/>
      <c r="D841" s="152"/>
      <c r="E841" s="152"/>
      <c r="F841" s="152"/>
      <c r="G841" s="152" t="s">
        <v>5213</v>
      </c>
      <c r="H841" s="152" t="s">
        <v>5214</v>
      </c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85"/>
      <c r="AF841" s="185"/>
      <c r="AG841" s="185"/>
      <c r="AH841" s="185"/>
      <c r="AI841" s="185"/>
      <c r="AJ841" s="185"/>
      <c r="AK841" s="185"/>
      <c r="AL841" s="185"/>
      <c r="AM841" s="185"/>
      <c r="AN841" s="185"/>
      <c r="AO841" s="185"/>
      <c r="AP841" s="185"/>
      <c r="AQ841" s="185"/>
      <c r="AR841" s="185"/>
      <c r="AS841" s="185"/>
      <c r="AT841" s="185"/>
      <c r="AU841" s="185"/>
      <c r="AV841" s="185"/>
      <c r="AW841" s="185"/>
      <c r="AX841" s="185"/>
      <c r="AY841" s="185"/>
      <c r="AZ841" s="185"/>
      <c r="BA841" s="185"/>
      <c r="BB841" s="185"/>
      <c r="BC841" s="185"/>
      <c r="BD841" s="185"/>
      <c r="BE841" s="185"/>
    </row>
    <row r="842">
      <c r="A842" s="152"/>
      <c r="B842" s="152"/>
      <c r="C842" s="152"/>
      <c r="D842" s="152"/>
      <c r="E842" s="152"/>
      <c r="F842" s="152"/>
      <c r="G842" s="152" t="s">
        <v>5215</v>
      </c>
      <c r="H842" s="152" t="s">
        <v>5216</v>
      </c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85"/>
      <c r="AF842" s="185"/>
      <c r="AG842" s="185"/>
      <c r="AH842" s="185"/>
      <c r="AI842" s="185"/>
      <c r="AJ842" s="185"/>
      <c r="AK842" s="185"/>
      <c r="AL842" s="185"/>
      <c r="AM842" s="185"/>
      <c r="AN842" s="185"/>
      <c r="AO842" s="185"/>
      <c r="AP842" s="185"/>
      <c r="AQ842" s="185"/>
      <c r="AR842" s="185"/>
      <c r="AS842" s="185"/>
      <c r="AT842" s="185"/>
      <c r="AU842" s="185"/>
      <c r="AV842" s="185"/>
      <c r="AW842" s="185"/>
      <c r="AX842" s="185"/>
      <c r="AY842" s="185"/>
      <c r="AZ842" s="185"/>
      <c r="BA842" s="185"/>
      <c r="BB842" s="185"/>
      <c r="BC842" s="185"/>
      <c r="BD842" s="185"/>
      <c r="BE842" s="185"/>
    </row>
    <row r="843">
      <c r="A843" s="152"/>
      <c r="B843" s="152"/>
      <c r="C843" s="152"/>
      <c r="D843" s="152"/>
      <c r="E843" s="152"/>
      <c r="F843" s="152"/>
      <c r="G843" s="152" t="s">
        <v>5217</v>
      </c>
      <c r="H843" s="152" t="s">
        <v>5218</v>
      </c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85"/>
      <c r="AF843" s="185"/>
      <c r="AG843" s="185"/>
      <c r="AH843" s="185"/>
      <c r="AI843" s="185"/>
      <c r="AJ843" s="185"/>
      <c r="AK843" s="185"/>
      <c r="AL843" s="185"/>
      <c r="AM843" s="185"/>
      <c r="AN843" s="185"/>
      <c r="AO843" s="185"/>
      <c r="AP843" s="185"/>
      <c r="AQ843" s="185"/>
      <c r="AR843" s="185"/>
      <c r="AS843" s="185"/>
      <c r="AT843" s="185"/>
      <c r="AU843" s="185"/>
      <c r="AV843" s="185"/>
      <c r="AW843" s="185"/>
      <c r="AX843" s="185"/>
      <c r="AY843" s="185"/>
      <c r="AZ843" s="185"/>
      <c r="BA843" s="185"/>
      <c r="BB843" s="185"/>
      <c r="BC843" s="185"/>
      <c r="BD843" s="185"/>
      <c r="BE843" s="185"/>
    </row>
    <row r="844">
      <c r="A844" s="152"/>
      <c r="B844" s="152"/>
      <c r="C844" s="152"/>
      <c r="D844" s="152"/>
      <c r="E844" s="152"/>
      <c r="F844" s="152"/>
      <c r="G844" s="152" t="s">
        <v>5219</v>
      </c>
      <c r="H844" s="152" t="s">
        <v>5220</v>
      </c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85"/>
      <c r="AF844" s="185"/>
      <c r="AG844" s="185"/>
      <c r="AH844" s="185"/>
      <c r="AI844" s="185"/>
      <c r="AJ844" s="185"/>
      <c r="AK844" s="185"/>
      <c r="AL844" s="185"/>
      <c r="AM844" s="185"/>
      <c r="AN844" s="185"/>
      <c r="AO844" s="185"/>
      <c r="AP844" s="185"/>
      <c r="AQ844" s="185"/>
      <c r="AR844" s="185"/>
      <c r="AS844" s="185"/>
      <c r="AT844" s="185"/>
      <c r="AU844" s="185"/>
      <c r="AV844" s="185"/>
      <c r="AW844" s="185"/>
      <c r="AX844" s="185"/>
      <c r="AY844" s="185"/>
      <c r="AZ844" s="185"/>
      <c r="BA844" s="185"/>
      <c r="BB844" s="185"/>
      <c r="BC844" s="185"/>
      <c r="BD844" s="185"/>
      <c r="BE844" s="185"/>
    </row>
    <row r="845">
      <c r="A845" s="152"/>
      <c r="B845" s="152"/>
      <c r="C845" s="152"/>
      <c r="D845" s="152"/>
      <c r="E845" s="152"/>
      <c r="F845" s="152"/>
      <c r="G845" s="152" t="s">
        <v>5221</v>
      </c>
      <c r="H845" s="152" t="s">
        <v>5222</v>
      </c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85"/>
      <c r="AF845" s="185"/>
      <c r="AG845" s="185"/>
      <c r="AH845" s="185"/>
      <c r="AI845" s="185"/>
      <c r="AJ845" s="185"/>
      <c r="AK845" s="185"/>
      <c r="AL845" s="185"/>
      <c r="AM845" s="185"/>
      <c r="AN845" s="185"/>
      <c r="AO845" s="185"/>
      <c r="AP845" s="185"/>
      <c r="AQ845" s="185"/>
      <c r="AR845" s="185"/>
      <c r="AS845" s="185"/>
      <c r="AT845" s="185"/>
      <c r="AU845" s="185"/>
      <c r="AV845" s="185"/>
      <c r="AW845" s="185"/>
      <c r="AX845" s="185"/>
      <c r="AY845" s="185"/>
      <c r="AZ845" s="185"/>
      <c r="BA845" s="185"/>
      <c r="BB845" s="185"/>
      <c r="BC845" s="185"/>
      <c r="BD845" s="185"/>
      <c r="BE845" s="185"/>
    </row>
    <row r="846">
      <c r="A846" s="152"/>
      <c r="B846" s="152"/>
      <c r="C846" s="152"/>
      <c r="D846" s="152"/>
      <c r="E846" s="152"/>
      <c r="F846" s="152"/>
      <c r="G846" s="152" t="s">
        <v>5223</v>
      </c>
      <c r="H846" s="152" t="s">
        <v>5224</v>
      </c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85"/>
      <c r="AF846" s="185"/>
      <c r="AG846" s="185"/>
      <c r="AH846" s="185"/>
      <c r="AI846" s="185"/>
      <c r="AJ846" s="185"/>
      <c r="AK846" s="185"/>
      <c r="AL846" s="185"/>
      <c r="AM846" s="185"/>
      <c r="AN846" s="185"/>
      <c r="AO846" s="185"/>
      <c r="AP846" s="185"/>
      <c r="AQ846" s="185"/>
      <c r="AR846" s="185"/>
      <c r="AS846" s="185"/>
      <c r="AT846" s="185"/>
      <c r="AU846" s="185"/>
      <c r="AV846" s="185"/>
      <c r="AW846" s="185"/>
      <c r="AX846" s="185"/>
      <c r="AY846" s="185"/>
      <c r="AZ846" s="185"/>
      <c r="BA846" s="185"/>
      <c r="BB846" s="185"/>
      <c r="BC846" s="185"/>
      <c r="BD846" s="185"/>
      <c r="BE846" s="185"/>
    </row>
    <row r="847">
      <c r="A847" s="152"/>
      <c r="B847" s="152"/>
      <c r="C847" s="152"/>
      <c r="D847" s="152"/>
      <c r="E847" s="152"/>
      <c r="F847" s="152"/>
      <c r="G847" s="152" t="s">
        <v>5225</v>
      </c>
      <c r="H847" s="152" t="s">
        <v>5226</v>
      </c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85"/>
      <c r="AF847" s="185"/>
      <c r="AG847" s="185"/>
      <c r="AH847" s="185"/>
      <c r="AI847" s="185"/>
      <c r="AJ847" s="185"/>
      <c r="AK847" s="185"/>
      <c r="AL847" s="185"/>
      <c r="AM847" s="185"/>
      <c r="AN847" s="185"/>
      <c r="AO847" s="185"/>
      <c r="AP847" s="185"/>
      <c r="AQ847" s="185"/>
      <c r="AR847" s="185"/>
      <c r="AS847" s="185"/>
      <c r="AT847" s="185"/>
      <c r="AU847" s="185"/>
      <c r="AV847" s="185"/>
      <c r="AW847" s="185"/>
      <c r="AX847" s="185"/>
      <c r="AY847" s="185"/>
      <c r="AZ847" s="185"/>
      <c r="BA847" s="185"/>
      <c r="BB847" s="185"/>
      <c r="BC847" s="185"/>
      <c r="BD847" s="185"/>
      <c r="BE847" s="185"/>
    </row>
    <row r="848">
      <c r="A848" s="152"/>
      <c r="B848" s="152"/>
      <c r="C848" s="152"/>
      <c r="D848" s="152"/>
      <c r="E848" s="152"/>
      <c r="F848" s="152"/>
      <c r="G848" s="152" t="s">
        <v>5227</v>
      </c>
      <c r="H848" s="152" t="s">
        <v>5228</v>
      </c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85"/>
      <c r="AF848" s="185"/>
      <c r="AG848" s="185"/>
      <c r="AH848" s="185"/>
      <c r="AI848" s="185"/>
      <c r="AJ848" s="185"/>
      <c r="AK848" s="185"/>
      <c r="AL848" s="185"/>
      <c r="AM848" s="185"/>
      <c r="AN848" s="185"/>
      <c r="AO848" s="185"/>
      <c r="AP848" s="185"/>
      <c r="AQ848" s="185"/>
      <c r="AR848" s="185"/>
      <c r="AS848" s="185"/>
      <c r="AT848" s="185"/>
      <c r="AU848" s="185"/>
      <c r="AV848" s="185"/>
      <c r="AW848" s="185"/>
      <c r="AX848" s="185"/>
      <c r="AY848" s="185"/>
      <c r="AZ848" s="185"/>
      <c r="BA848" s="185"/>
      <c r="BB848" s="185"/>
      <c r="BC848" s="185"/>
      <c r="BD848" s="185"/>
      <c r="BE848" s="185"/>
    </row>
    <row r="849">
      <c r="A849" s="152"/>
      <c r="B849" s="152"/>
      <c r="C849" s="152"/>
      <c r="D849" s="152"/>
      <c r="E849" s="152"/>
      <c r="F849" s="152"/>
      <c r="G849" s="152" t="s">
        <v>5229</v>
      </c>
      <c r="H849" s="152" t="s">
        <v>5230</v>
      </c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85"/>
      <c r="AF849" s="185"/>
      <c r="AG849" s="185"/>
      <c r="AH849" s="185"/>
      <c r="AI849" s="185"/>
      <c r="AJ849" s="185"/>
      <c r="AK849" s="185"/>
      <c r="AL849" s="185"/>
      <c r="AM849" s="185"/>
      <c r="AN849" s="185"/>
      <c r="AO849" s="185"/>
      <c r="AP849" s="185"/>
      <c r="AQ849" s="185"/>
      <c r="AR849" s="185"/>
      <c r="AS849" s="185"/>
      <c r="AT849" s="185"/>
      <c r="AU849" s="185"/>
      <c r="AV849" s="185"/>
      <c r="AW849" s="185"/>
      <c r="AX849" s="185"/>
      <c r="AY849" s="185"/>
      <c r="AZ849" s="185"/>
      <c r="BA849" s="185"/>
      <c r="BB849" s="185"/>
      <c r="BC849" s="185"/>
      <c r="BD849" s="185"/>
      <c r="BE849" s="185"/>
    </row>
    <row r="850">
      <c r="A850" s="152"/>
      <c r="B850" s="152"/>
      <c r="C850" s="152"/>
      <c r="D850" s="152"/>
      <c r="E850" s="152"/>
      <c r="F850" s="152"/>
      <c r="G850" s="152" t="s">
        <v>5231</v>
      </c>
      <c r="H850" s="152" t="s">
        <v>5232</v>
      </c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85"/>
      <c r="AF850" s="185"/>
      <c r="AG850" s="185"/>
      <c r="AH850" s="185"/>
      <c r="AI850" s="185"/>
      <c r="AJ850" s="185"/>
      <c r="AK850" s="185"/>
      <c r="AL850" s="185"/>
      <c r="AM850" s="185"/>
      <c r="AN850" s="185"/>
      <c r="AO850" s="185"/>
      <c r="AP850" s="185"/>
      <c r="AQ850" s="185"/>
      <c r="AR850" s="185"/>
      <c r="AS850" s="185"/>
      <c r="AT850" s="185"/>
      <c r="AU850" s="185"/>
      <c r="AV850" s="185"/>
      <c r="AW850" s="185"/>
      <c r="AX850" s="185"/>
      <c r="AY850" s="185"/>
      <c r="AZ850" s="185"/>
      <c r="BA850" s="185"/>
      <c r="BB850" s="185"/>
      <c r="BC850" s="185"/>
      <c r="BD850" s="185"/>
      <c r="BE850" s="185"/>
    </row>
    <row r="851">
      <c r="A851" s="152"/>
      <c r="B851" s="152"/>
      <c r="C851" s="152"/>
      <c r="D851" s="152"/>
      <c r="E851" s="152"/>
      <c r="F851" s="152"/>
      <c r="G851" s="152" t="s">
        <v>5233</v>
      </c>
      <c r="H851" s="152" t="s">
        <v>5226</v>
      </c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85"/>
      <c r="AF851" s="185"/>
      <c r="AG851" s="185"/>
      <c r="AH851" s="185"/>
      <c r="AI851" s="185"/>
      <c r="AJ851" s="185"/>
      <c r="AK851" s="185"/>
      <c r="AL851" s="185"/>
      <c r="AM851" s="185"/>
      <c r="AN851" s="185"/>
      <c r="AO851" s="185"/>
      <c r="AP851" s="185"/>
      <c r="AQ851" s="185"/>
      <c r="AR851" s="185"/>
      <c r="AS851" s="185"/>
      <c r="AT851" s="185"/>
      <c r="AU851" s="185"/>
      <c r="AV851" s="185"/>
      <c r="AW851" s="185"/>
      <c r="AX851" s="185"/>
      <c r="AY851" s="185"/>
      <c r="AZ851" s="185"/>
      <c r="BA851" s="185"/>
      <c r="BB851" s="185"/>
      <c r="BC851" s="185"/>
      <c r="BD851" s="185"/>
      <c r="BE851" s="185"/>
    </row>
    <row r="852">
      <c r="A852" s="152"/>
      <c r="B852" s="152"/>
      <c r="C852" s="152"/>
      <c r="D852" s="152"/>
      <c r="E852" s="152"/>
      <c r="F852" s="152"/>
      <c r="G852" s="152" t="s">
        <v>5234</v>
      </c>
      <c r="H852" s="152" t="s">
        <v>5235</v>
      </c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85"/>
      <c r="AF852" s="185"/>
      <c r="AG852" s="185"/>
      <c r="AH852" s="185"/>
      <c r="AI852" s="185"/>
      <c r="AJ852" s="185"/>
      <c r="AK852" s="185"/>
      <c r="AL852" s="185"/>
      <c r="AM852" s="185"/>
      <c r="AN852" s="185"/>
      <c r="AO852" s="185"/>
      <c r="AP852" s="185"/>
      <c r="AQ852" s="185"/>
      <c r="AR852" s="185"/>
      <c r="AS852" s="185"/>
      <c r="AT852" s="185"/>
      <c r="AU852" s="185"/>
      <c r="AV852" s="185"/>
      <c r="AW852" s="185"/>
      <c r="AX852" s="185"/>
      <c r="AY852" s="185"/>
      <c r="AZ852" s="185"/>
      <c r="BA852" s="185"/>
      <c r="BB852" s="185"/>
      <c r="BC852" s="185"/>
      <c r="BD852" s="185"/>
      <c r="BE852" s="185"/>
    </row>
    <row r="853">
      <c r="A853" s="152"/>
      <c r="B853" s="152"/>
      <c r="C853" s="152"/>
      <c r="D853" s="152"/>
      <c r="E853" s="152"/>
      <c r="F853" s="152"/>
      <c r="G853" s="152" t="s">
        <v>5236</v>
      </c>
      <c r="H853" s="152" t="s">
        <v>4963</v>
      </c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85"/>
      <c r="AF853" s="185"/>
      <c r="AG853" s="185"/>
      <c r="AH853" s="185"/>
      <c r="AI853" s="185"/>
      <c r="AJ853" s="185"/>
      <c r="AK853" s="185"/>
      <c r="AL853" s="185"/>
      <c r="AM853" s="185"/>
      <c r="AN853" s="185"/>
      <c r="AO853" s="185"/>
      <c r="AP853" s="185"/>
      <c r="AQ853" s="185"/>
      <c r="AR853" s="185"/>
      <c r="AS853" s="185"/>
      <c r="AT853" s="185"/>
      <c r="AU853" s="185"/>
      <c r="AV853" s="185"/>
      <c r="AW853" s="185"/>
      <c r="AX853" s="185"/>
      <c r="AY853" s="185"/>
      <c r="AZ853" s="185"/>
      <c r="BA853" s="185"/>
      <c r="BB853" s="185"/>
      <c r="BC853" s="185"/>
      <c r="BD853" s="185"/>
      <c r="BE853" s="185"/>
    </row>
    <row r="854">
      <c r="A854" s="152"/>
      <c r="B854" s="152"/>
      <c r="C854" s="152"/>
      <c r="D854" s="152"/>
      <c r="E854" s="152"/>
      <c r="F854" s="152"/>
      <c r="G854" s="152" t="s">
        <v>5237</v>
      </c>
      <c r="H854" s="152" t="s">
        <v>5238</v>
      </c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85"/>
      <c r="AF854" s="185"/>
      <c r="AG854" s="185"/>
      <c r="AH854" s="185"/>
      <c r="AI854" s="185"/>
      <c r="AJ854" s="185"/>
      <c r="AK854" s="185"/>
      <c r="AL854" s="185"/>
      <c r="AM854" s="185"/>
      <c r="AN854" s="185"/>
      <c r="AO854" s="185"/>
      <c r="AP854" s="185"/>
      <c r="AQ854" s="185"/>
      <c r="AR854" s="185"/>
      <c r="AS854" s="185"/>
      <c r="AT854" s="185"/>
      <c r="AU854" s="185"/>
      <c r="AV854" s="185"/>
      <c r="AW854" s="185"/>
      <c r="AX854" s="185"/>
      <c r="AY854" s="185"/>
      <c r="AZ854" s="185"/>
      <c r="BA854" s="185"/>
      <c r="BB854" s="185"/>
      <c r="BC854" s="185"/>
      <c r="BD854" s="185"/>
      <c r="BE854" s="185"/>
    </row>
    <row r="855">
      <c r="A855" s="152"/>
      <c r="B855" s="152"/>
      <c r="C855" s="152"/>
      <c r="D855" s="152"/>
      <c r="E855" s="152"/>
      <c r="F855" s="152"/>
      <c r="G855" s="152" t="s">
        <v>5239</v>
      </c>
      <c r="H855" s="152" t="s">
        <v>5240</v>
      </c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85"/>
      <c r="AF855" s="185"/>
      <c r="AG855" s="185"/>
      <c r="AH855" s="185"/>
      <c r="AI855" s="185"/>
      <c r="AJ855" s="185"/>
      <c r="AK855" s="185"/>
      <c r="AL855" s="185"/>
      <c r="AM855" s="185"/>
      <c r="AN855" s="185"/>
      <c r="AO855" s="185"/>
      <c r="AP855" s="185"/>
      <c r="AQ855" s="185"/>
      <c r="AR855" s="185"/>
      <c r="AS855" s="185"/>
      <c r="AT855" s="185"/>
      <c r="AU855" s="185"/>
      <c r="AV855" s="185"/>
      <c r="AW855" s="185"/>
      <c r="AX855" s="185"/>
      <c r="AY855" s="185"/>
      <c r="AZ855" s="185"/>
      <c r="BA855" s="185"/>
      <c r="BB855" s="185"/>
      <c r="BC855" s="185"/>
      <c r="BD855" s="185"/>
      <c r="BE855" s="185"/>
    </row>
    <row r="856">
      <c r="A856" s="152"/>
      <c r="B856" s="152"/>
      <c r="C856" s="152"/>
      <c r="D856" s="152"/>
      <c r="E856" s="152"/>
      <c r="F856" s="152"/>
      <c r="G856" s="152" t="s">
        <v>5241</v>
      </c>
      <c r="H856" s="152" t="s">
        <v>5242</v>
      </c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85"/>
      <c r="AF856" s="185"/>
      <c r="AG856" s="185"/>
      <c r="AH856" s="185"/>
      <c r="AI856" s="185"/>
      <c r="AJ856" s="185"/>
      <c r="AK856" s="185"/>
      <c r="AL856" s="185"/>
      <c r="AM856" s="185"/>
      <c r="AN856" s="185"/>
      <c r="AO856" s="185"/>
      <c r="AP856" s="185"/>
      <c r="AQ856" s="185"/>
      <c r="AR856" s="185"/>
      <c r="AS856" s="185"/>
      <c r="AT856" s="185"/>
      <c r="AU856" s="185"/>
      <c r="AV856" s="185"/>
      <c r="AW856" s="185"/>
      <c r="AX856" s="185"/>
      <c r="AY856" s="185"/>
      <c r="AZ856" s="185"/>
      <c r="BA856" s="185"/>
      <c r="BB856" s="185"/>
      <c r="BC856" s="185"/>
      <c r="BD856" s="185"/>
      <c r="BE856" s="185"/>
    </row>
    <row r="857">
      <c r="A857" s="152"/>
      <c r="B857" s="152"/>
      <c r="C857" s="152"/>
      <c r="D857" s="152"/>
      <c r="E857" s="152"/>
      <c r="F857" s="152"/>
      <c r="G857" s="152" t="s">
        <v>5243</v>
      </c>
      <c r="H857" s="152" t="s">
        <v>5244</v>
      </c>
      <c r="I857" s="152" t="s">
        <v>486</v>
      </c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85"/>
      <c r="AF857" s="185"/>
      <c r="AG857" s="185"/>
      <c r="AH857" s="185"/>
      <c r="AI857" s="185"/>
      <c r="AJ857" s="185"/>
      <c r="AK857" s="185"/>
      <c r="AL857" s="185"/>
      <c r="AM857" s="185"/>
      <c r="AN857" s="185"/>
      <c r="AO857" s="185"/>
      <c r="AP857" s="185"/>
      <c r="AQ857" s="185"/>
      <c r="AR857" s="185"/>
      <c r="AS857" s="185"/>
      <c r="AT857" s="185"/>
      <c r="AU857" s="185"/>
      <c r="AV857" s="185"/>
      <c r="AW857" s="185"/>
      <c r="AX857" s="185"/>
      <c r="AY857" s="185"/>
      <c r="AZ857" s="185"/>
      <c r="BA857" s="185"/>
      <c r="BB857" s="185"/>
      <c r="BC857" s="185"/>
      <c r="BD857" s="185"/>
      <c r="BE857" s="185"/>
    </row>
    <row r="858">
      <c r="A858" s="152"/>
      <c r="B858" s="152"/>
      <c r="C858" s="152"/>
      <c r="D858" s="152"/>
      <c r="E858" s="152"/>
      <c r="F858" s="152"/>
      <c r="G858" s="152" t="s">
        <v>5245</v>
      </c>
      <c r="H858" s="152" t="s">
        <v>5246</v>
      </c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85"/>
      <c r="AF858" s="185"/>
      <c r="AG858" s="185"/>
      <c r="AH858" s="185"/>
      <c r="AI858" s="185"/>
      <c r="AJ858" s="185"/>
      <c r="AK858" s="185"/>
      <c r="AL858" s="185"/>
      <c r="AM858" s="185"/>
      <c r="AN858" s="185"/>
      <c r="AO858" s="185"/>
      <c r="AP858" s="185"/>
      <c r="AQ858" s="185"/>
      <c r="AR858" s="185"/>
      <c r="AS858" s="185"/>
      <c r="AT858" s="185"/>
      <c r="AU858" s="185"/>
      <c r="AV858" s="185"/>
      <c r="AW858" s="185"/>
      <c r="AX858" s="185"/>
      <c r="AY858" s="185"/>
      <c r="AZ858" s="185"/>
      <c r="BA858" s="185"/>
      <c r="BB858" s="185"/>
      <c r="BC858" s="185"/>
      <c r="BD858" s="185"/>
      <c r="BE858" s="185"/>
    </row>
    <row r="859">
      <c r="A859" s="152"/>
      <c r="B859" s="152"/>
      <c r="C859" s="152"/>
      <c r="D859" s="152"/>
      <c r="E859" s="152"/>
      <c r="F859" s="152"/>
      <c r="G859" s="152" t="s">
        <v>5247</v>
      </c>
      <c r="H859" s="152" t="s">
        <v>5248</v>
      </c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85"/>
      <c r="AF859" s="185"/>
      <c r="AG859" s="185"/>
      <c r="AH859" s="185"/>
      <c r="AI859" s="185"/>
      <c r="AJ859" s="185"/>
      <c r="AK859" s="185"/>
      <c r="AL859" s="185"/>
      <c r="AM859" s="185"/>
      <c r="AN859" s="185"/>
      <c r="AO859" s="185"/>
      <c r="AP859" s="185"/>
      <c r="AQ859" s="185"/>
      <c r="AR859" s="185"/>
      <c r="AS859" s="185"/>
      <c r="AT859" s="185"/>
      <c r="AU859" s="185"/>
      <c r="AV859" s="185"/>
      <c r="AW859" s="185"/>
      <c r="AX859" s="185"/>
      <c r="AY859" s="185"/>
      <c r="AZ859" s="185"/>
      <c r="BA859" s="185"/>
      <c r="BB859" s="185"/>
      <c r="BC859" s="185"/>
      <c r="BD859" s="185"/>
      <c r="BE859" s="185"/>
    </row>
    <row r="860">
      <c r="A860" s="152"/>
      <c r="B860" s="152"/>
      <c r="C860" s="152"/>
      <c r="D860" s="152"/>
      <c r="E860" s="152"/>
      <c r="F860" s="152"/>
      <c r="G860" s="163" t="s">
        <v>5249</v>
      </c>
      <c r="H860" s="152" t="s">
        <v>5250</v>
      </c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85"/>
      <c r="AF860" s="185"/>
      <c r="AG860" s="185"/>
      <c r="AH860" s="185"/>
      <c r="AI860" s="185"/>
      <c r="AJ860" s="185"/>
      <c r="AK860" s="185"/>
      <c r="AL860" s="185"/>
      <c r="AM860" s="185"/>
      <c r="AN860" s="185"/>
      <c r="AO860" s="185"/>
      <c r="AP860" s="185"/>
      <c r="AQ860" s="185"/>
      <c r="AR860" s="185"/>
      <c r="AS860" s="185"/>
      <c r="AT860" s="185"/>
      <c r="AU860" s="185"/>
      <c r="AV860" s="185"/>
      <c r="AW860" s="185"/>
      <c r="AX860" s="185"/>
      <c r="AY860" s="185"/>
      <c r="AZ860" s="185"/>
      <c r="BA860" s="185"/>
      <c r="BB860" s="185"/>
      <c r="BC860" s="185"/>
      <c r="BD860" s="185"/>
      <c r="BE860" s="185"/>
    </row>
    <row r="861">
      <c r="A861" s="152"/>
      <c r="B861" s="152"/>
      <c r="C861" s="152"/>
      <c r="D861" s="152"/>
      <c r="E861" s="152"/>
      <c r="F861" s="152"/>
      <c r="G861" s="152" t="s">
        <v>5251</v>
      </c>
      <c r="H861" s="152" t="s">
        <v>5252</v>
      </c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85"/>
      <c r="AF861" s="185"/>
      <c r="AG861" s="185"/>
      <c r="AH861" s="185"/>
      <c r="AI861" s="185"/>
      <c r="AJ861" s="185"/>
      <c r="AK861" s="185"/>
      <c r="AL861" s="185"/>
      <c r="AM861" s="185"/>
      <c r="AN861" s="185"/>
      <c r="AO861" s="185"/>
      <c r="AP861" s="185"/>
      <c r="AQ861" s="185"/>
      <c r="AR861" s="185"/>
      <c r="AS861" s="185"/>
      <c r="AT861" s="185"/>
      <c r="AU861" s="185"/>
      <c r="AV861" s="185"/>
      <c r="AW861" s="185"/>
      <c r="AX861" s="185"/>
      <c r="AY861" s="185"/>
      <c r="AZ861" s="185"/>
      <c r="BA861" s="185"/>
      <c r="BB861" s="185"/>
      <c r="BC861" s="185"/>
      <c r="BD861" s="185"/>
      <c r="BE861" s="185"/>
    </row>
    <row r="862">
      <c r="A862" s="152"/>
      <c r="B862" s="152"/>
      <c r="C862" s="152"/>
      <c r="D862" s="152"/>
      <c r="E862" s="152"/>
      <c r="F862" s="152"/>
      <c r="G862" s="163" t="s">
        <v>5253</v>
      </c>
      <c r="H862" s="152" t="s">
        <v>5254</v>
      </c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85"/>
      <c r="AF862" s="185"/>
      <c r="AG862" s="185"/>
      <c r="AH862" s="185"/>
      <c r="AI862" s="185"/>
      <c r="AJ862" s="185"/>
      <c r="AK862" s="185"/>
      <c r="AL862" s="185"/>
      <c r="AM862" s="185"/>
      <c r="AN862" s="185"/>
      <c r="AO862" s="185"/>
      <c r="AP862" s="185"/>
      <c r="AQ862" s="185"/>
      <c r="AR862" s="185"/>
      <c r="AS862" s="185"/>
      <c r="AT862" s="185"/>
      <c r="AU862" s="185"/>
      <c r="AV862" s="185"/>
      <c r="AW862" s="185"/>
      <c r="AX862" s="185"/>
      <c r="AY862" s="185"/>
      <c r="AZ862" s="185"/>
      <c r="BA862" s="185"/>
      <c r="BB862" s="185"/>
      <c r="BC862" s="185"/>
      <c r="BD862" s="185"/>
      <c r="BE862" s="185"/>
    </row>
    <row r="863">
      <c r="A863" s="152"/>
      <c r="B863" s="152"/>
      <c r="C863" s="152"/>
      <c r="D863" s="152"/>
      <c r="E863" s="152"/>
      <c r="F863" s="152"/>
      <c r="G863" s="163" t="s">
        <v>5255</v>
      </c>
      <c r="H863" s="152" t="s">
        <v>5256</v>
      </c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85"/>
      <c r="AF863" s="185"/>
      <c r="AG863" s="185"/>
      <c r="AH863" s="185"/>
      <c r="AI863" s="185"/>
      <c r="AJ863" s="185"/>
      <c r="AK863" s="185"/>
      <c r="AL863" s="185"/>
      <c r="AM863" s="185"/>
      <c r="AN863" s="185"/>
      <c r="AO863" s="185"/>
      <c r="AP863" s="185"/>
      <c r="AQ863" s="185"/>
      <c r="AR863" s="185"/>
      <c r="AS863" s="185"/>
      <c r="AT863" s="185"/>
      <c r="AU863" s="185"/>
      <c r="AV863" s="185"/>
      <c r="AW863" s="185"/>
      <c r="AX863" s="185"/>
      <c r="AY863" s="185"/>
      <c r="AZ863" s="185"/>
      <c r="BA863" s="185"/>
      <c r="BB863" s="185"/>
      <c r="BC863" s="185"/>
      <c r="BD863" s="185"/>
      <c r="BE863" s="185"/>
    </row>
    <row r="864">
      <c r="A864" s="152"/>
      <c r="B864" s="152"/>
      <c r="C864" s="152"/>
      <c r="D864" s="152"/>
      <c r="E864" s="152"/>
      <c r="F864" s="152"/>
      <c r="G864" s="163" t="s">
        <v>5257</v>
      </c>
      <c r="H864" s="152" t="s">
        <v>5258</v>
      </c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85"/>
      <c r="AF864" s="185"/>
      <c r="AG864" s="185"/>
      <c r="AH864" s="185"/>
      <c r="AI864" s="185"/>
      <c r="AJ864" s="185"/>
      <c r="AK864" s="185"/>
      <c r="AL864" s="185"/>
      <c r="AM864" s="185"/>
      <c r="AN864" s="185"/>
      <c r="AO864" s="185"/>
      <c r="AP864" s="185"/>
      <c r="AQ864" s="185"/>
      <c r="AR864" s="185"/>
      <c r="AS864" s="185"/>
      <c r="AT864" s="185"/>
      <c r="AU864" s="185"/>
      <c r="AV864" s="185"/>
      <c r="AW864" s="185"/>
      <c r="AX864" s="185"/>
      <c r="AY864" s="185"/>
      <c r="AZ864" s="185"/>
      <c r="BA864" s="185"/>
      <c r="BB864" s="185"/>
      <c r="BC864" s="185"/>
      <c r="BD864" s="185"/>
      <c r="BE864" s="185"/>
    </row>
    <row r="865">
      <c r="A865" s="152"/>
      <c r="B865" s="152"/>
      <c r="C865" s="152"/>
      <c r="D865" s="152"/>
      <c r="E865" s="152"/>
      <c r="F865" s="152"/>
      <c r="G865" s="163" t="s">
        <v>5259</v>
      </c>
      <c r="H865" s="152" t="s">
        <v>5260</v>
      </c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85"/>
      <c r="AF865" s="185"/>
      <c r="AG865" s="185"/>
      <c r="AH865" s="185"/>
      <c r="AI865" s="185"/>
      <c r="AJ865" s="185"/>
      <c r="AK865" s="185"/>
      <c r="AL865" s="185"/>
      <c r="AM865" s="185"/>
      <c r="AN865" s="185"/>
      <c r="AO865" s="185"/>
      <c r="AP865" s="185"/>
      <c r="AQ865" s="185"/>
      <c r="AR865" s="185"/>
      <c r="AS865" s="185"/>
      <c r="AT865" s="185"/>
      <c r="AU865" s="185"/>
      <c r="AV865" s="185"/>
      <c r="AW865" s="185"/>
      <c r="AX865" s="185"/>
      <c r="AY865" s="185"/>
      <c r="AZ865" s="185"/>
      <c r="BA865" s="185"/>
      <c r="BB865" s="185"/>
      <c r="BC865" s="185"/>
      <c r="BD865" s="185"/>
      <c r="BE865" s="185"/>
    </row>
    <row r="866">
      <c r="A866" s="152"/>
      <c r="B866" s="152"/>
      <c r="C866" s="152"/>
      <c r="D866" s="152"/>
      <c r="E866" s="152"/>
      <c r="F866" s="152"/>
      <c r="G866" s="163" t="s">
        <v>5261</v>
      </c>
      <c r="H866" s="152" t="s">
        <v>5262</v>
      </c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85"/>
      <c r="AF866" s="185"/>
      <c r="AG866" s="185"/>
      <c r="AH866" s="185"/>
      <c r="AI866" s="185"/>
      <c r="AJ866" s="185"/>
      <c r="AK866" s="185"/>
      <c r="AL866" s="185"/>
      <c r="AM866" s="185"/>
      <c r="AN866" s="185"/>
      <c r="AO866" s="185"/>
      <c r="AP866" s="185"/>
      <c r="AQ866" s="185"/>
      <c r="AR866" s="185"/>
      <c r="AS866" s="185"/>
      <c r="AT866" s="185"/>
      <c r="AU866" s="185"/>
      <c r="AV866" s="185"/>
      <c r="AW866" s="185"/>
      <c r="AX866" s="185"/>
      <c r="AY866" s="185"/>
      <c r="AZ866" s="185"/>
      <c r="BA866" s="185"/>
      <c r="BB866" s="185"/>
      <c r="BC866" s="185"/>
      <c r="BD866" s="185"/>
      <c r="BE866" s="185"/>
    </row>
    <row r="867">
      <c r="A867" s="152"/>
      <c r="B867" s="152"/>
      <c r="C867" s="152"/>
      <c r="D867" s="152"/>
      <c r="E867" s="152"/>
      <c r="F867" s="152"/>
      <c r="G867" s="163" t="s">
        <v>5263</v>
      </c>
      <c r="H867" s="152" t="s">
        <v>5264</v>
      </c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85"/>
      <c r="AF867" s="185"/>
      <c r="AG867" s="185"/>
      <c r="AH867" s="185"/>
      <c r="AI867" s="185"/>
      <c r="AJ867" s="185"/>
      <c r="AK867" s="185"/>
      <c r="AL867" s="185"/>
      <c r="AM867" s="185"/>
      <c r="AN867" s="185"/>
      <c r="AO867" s="185"/>
      <c r="AP867" s="185"/>
      <c r="AQ867" s="185"/>
      <c r="AR867" s="185"/>
      <c r="AS867" s="185"/>
      <c r="AT867" s="185"/>
      <c r="AU867" s="185"/>
      <c r="AV867" s="185"/>
      <c r="AW867" s="185"/>
      <c r="AX867" s="185"/>
      <c r="AY867" s="185"/>
      <c r="AZ867" s="185"/>
      <c r="BA867" s="185"/>
      <c r="BB867" s="185"/>
      <c r="BC867" s="185"/>
      <c r="BD867" s="185"/>
      <c r="BE867" s="185"/>
    </row>
    <row r="868">
      <c r="A868" s="152"/>
      <c r="B868" s="152"/>
      <c r="C868" s="152"/>
      <c r="D868" s="152"/>
      <c r="E868" s="152"/>
      <c r="F868" s="152"/>
      <c r="G868" s="163" t="s">
        <v>5265</v>
      </c>
      <c r="H868" s="152" t="s">
        <v>5266</v>
      </c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85"/>
      <c r="AF868" s="185"/>
      <c r="AG868" s="185"/>
      <c r="AH868" s="185"/>
      <c r="AI868" s="185"/>
      <c r="AJ868" s="185"/>
      <c r="AK868" s="185"/>
      <c r="AL868" s="185"/>
      <c r="AM868" s="185"/>
      <c r="AN868" s="185"/>
      <c r="AO868" s="185"/>
      <c r="AP868" s="185"/>
      <c r="AQ868" s="185"/>
      <c r="AR868" s="185"/>
      <c r="AS868" s="185"/>
      <c r="AT868" s="185"/>
      <c r="AU868" s="185"/>
      <c r="AV868" s="185"/>
      <c r="AW868" s="185"/>
      <c r="AX868" s="185"/>
      <c r="AY868" s="185"/>
      <c r="AZ868" s="185"/>
      <c r="BA868" s="185"/>
      <c r="BB868" s="185"/>
      <c r="BC868" s="185"/>
      <c r="BD868" s="185"/>
      <c r="BE868" s="185"/>
    </row>
    <row r="869">
      <c r="A869" s="152"/>
      <c r="B869" s="152"/>
      <c r="C869" s="152"/>
      <c r="D869" s="152"/>
      <c r="E869" s="152"/>
      <c r="F869" s="152"/>
      <c r="G869" s="163" t="s">
        <v>5267</v>
      </c>
      <c r="H869" s="152" t="s">
        <v>5268</v>
      </c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85"/>
      <c r="AF869" s="185"/>
      <c r="AG869" s="185"/>
      <c r="AH869" s="185"/>
      <c r="AI869" s="185"/>
      <c r="AJ869" s="185"/>
      <c r="AK869" s="185"/>
      <c r="AL869" s="185"/>
      <c r="AM869" s="185"/>
      <c r="AN869" s="185"/>
      <c r="AO869" s="185"/>
      <c r="AP869" s="185"/>
      <c r="AQ869" s="185"/>
      <c r="AR869" s="185"/>
      <c r="AS869" s="185"/>
      <c r="AT869" s="185"/>
      <c r="AU869" s="185"/>
      <c r="AV869" s="185"/>
      <c r="AW869" s="185"/>
      <c r="AX869" s="185"/>
      <c r="AY869" s="185"/>
      <c r="AZ869" s="185"/>
      <c r="BA869" s="185"/>
      <c r="BB869" s="185"/>
      <c r="BC869" s="185"/>
      <c r="BD869" s="185"/>
      <c r="BE869" s="185"/>
    </row>
    <row r="870">
      <c r="A870" s="152"/>
      <c r="B870" s="152"/>
      <c r="C870" s="152"/>
      <c r="D870" s="152"/>
      <c r="E870" s="152"/>
      <c r="F870" s="152"/>
      <c r="G870" s="163" t="s">
        <v>5269</v>
      </c>
      <c r="H870" s="152" t="s">
        <v>5270</v>
      </c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85"/>
      <c r="AF870" s="185"/>
      <c r="AG870" s="185"/>
      <c r="AH870" s="185"/>
      <c r="AI870" s="185"/>
      <c r="AJ870" s="185"/>
      <c r="AK870" s="185"/>
      <c r="AL870" s="185"/>
      <c r="AM870" s="185"/>
      <c r="AN870" s="185"/>
      <c r="AO870" s="185"/>
      <c r="AP870" s="185"/>
      <c r="AQ870" s="185"/>
      <c r="AR870" s="185"/>
      <c r="AS870" s="185"/>
      <c r="AT870" s="185"/>
      <c r="AU870" s="185"/>
      <c r="AV870" s="185"/>
      <c r="AW870" s="185"/>
      <c r="AX870" s="185"/>
      <c r="AY870" s="185"/>
      <c r="AZ870" s="185"/>
      <c r="BA870" s="185"/>
      <c r="BB870" s="185"/>
      <c r="BC870" s="185"/>
      <c r="BD870" s="185"/>
      <c r="BE870" s="185"/>
    </row>
    <row r="871">
      <c r="A871" s="152"/>
      <c r="B871" s="152"/>
      <c r="C871" s="152"/>
      <c r="D871" s="152"/>
      <c r="E871" s="152"/>
      <c r="F871" s="152"/>
      <c r="G871" s="163" t="s">
        <v>5271</v>
      </c>
      <c r="H871" s="152" t="s">
        <v>3619</v>
      </c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85"/>
      <c r="AF871" s="185"/>
      <c r="AG871" s="185"/>
      <c r="AH871" s="185"/>
      <c r="AI871" s="185"/>
      <c r="AJ871" s="185"/>
      <c r="AK871" s="185"/>
      <c r="AL871" s="185"/>
      <c r="AM871" s="185"/>
      <c r="AN871" s="185"/>
      <c r="AO871" s="185"/>
      <c r="AP871" s="185"/>
      <c r="AQ871" s="185"/>
      <c r="AR871" s="185"/>
      <c r="AS871" s="185"/>
      <c r="AT871" s="185"/>
      <c r="AU871" s="185"/>
      <c r="AV871" s="185"/>
      <c r="AW871" s="185"/>
      <c r="AX871" s="185"/>
      <c r="AY871" s="185"/>
      <c r="AZ871" s="185"/>
      <c r="BA871" s="185"/>
      <c r="BB871" s="185"/>
      <c r="BC871" s="185"/>
      <c r="BD871" s="185"/>
      <c r="BE871" s="185"/>
    </row>
    <row r="872">
      <c r="A872" s="152"/>
      <c r="B872" s="152"/>
      <c r="C872" s="152"/>
      <c r="D872" s="152"/>
      <c r="E872" s="152"/>
      <c r="F872" s="152"/>
      <c r="G872" s="163" t="s">
        <v>5272</v>
      </c>
      <c r="H872" s="152" t="s">
        <v>5273</v>
      </c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85"/>
      <c r="AF872" s="185"/>
      <c r="AG872" s="185"/>
      <c r="AH872" s="185"/>
      <c r="AI872" s="185"/>
      <c r="AJ872" s="185"/>
      <c r="AK872" s="185"/>
      <c r="AL872" s="185"/>
      <c r="AM872" s="185"/>
      <c r="AN872" s="185"/>
      <c r="AO872" s="185"/>
      <c r="AP872" s="185"/>
      <c r="AQ872" s="185"/>
      <c r="AR872" s="185"/>
      <c r="AS872" s="185"/>
      <c r="AT872" s="185"/>
      <c r="AU872" s="185"/>
      <c r="AV872" s="185"/>
      <c r="AW872" s="185"/>
      <c r="AX872" s="185"/>
      <c r="AY872" s="185"/>
      <c r="AZ872" s="185"/>
      <c r="BA872" s="185"/>
      <c r="BB872" s="185"/>
      <c r="BC872" s="185"/>
      <c r="BD872" s="185"/>
      <c r="BE872" s="185"/>
    </row>
    <row r="873">
      <c r="A873" s="152"/>
      <c r="B873" s="152"/>
      <c r="C873" s="152"/>
      <c r="D873" s="152"/>
      <c r="E873" s="152"/>
      <c r="F873" s="152"/>
      <c r="G873" s="163" t="s">
        <v>5274</v>
      </c>
      <c r="H873" s="152" t="s">
        <v>5275</v>
      </c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85"/>
      <c r="AF873" s="185"/>
      <c r="AG873" s="185"/>
      <c r="AH873" s="185"/>
      <c r="AI873" s="185"/>
      <c r="AJ873" s="185"/>
      <c r="AK873" s="185"/>
      <c r="AL873" s="185"/>
      <c r="AM873" s="185"/>
      <c r="AN873" s="185"/>
      <c r="AO873" s="185"/>
      <c r="AP873" s="185"/>
      <c r="AQ873" s="185"/>
      <c r="AR873" s="185"/>
      <c r="AS873" s="185"/>
      <c r="AT873" s="185"/>
      <c r="AU873" s="185"/>
      <c r="AV873" s="185"/>
      <c r="AW873" s="185"/>
      <c r="AX873" s="185"/>
      <c r="AY873" s="185"/>
      <c r="AZ873" s="185"/>
      <c r="BA873" s="185"/>
      <c r="BB873" s="185"/>
      <c r="BC873" s="185"/>
      <c r="BD873" s="185"/>
      <c r="BE873" s="185"/>
    </row>
    <row r="874">
      <c r="A874" s="152"/>
      <c r="B874" s="152"/>
      <c r="C874" s="152"/>
      <c r="D874" s="152"/>
      <c r="E874" s="152"/>
      <c r="F874" s="152"/>
      <c r="G874" s="163" t="s">
        <v>5276</v>
      </c>
      <c r="H874" s="152" t="s">
        <v>5277</v>
      </c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85"/>
      <c r="AF874" s="185"/>
      <c r="AG874" s="185"/>
      <c r="AH874" s="185"/>
      <c r="AI874" s="185"/>
      <c r="AJ874" s="185"/>
      <c r="AK874" s="185"/>
      <c r="AL874" s="185"/>
      <c r="AM874" s="185"/>
      <c r="AN874" s="185"/>
      <c r="AO874" s="185"/>
      <c r="AP874" s="185"/>
      <c r="AQ874" s="185"/>
      <c r="AR874" s="185"/>
      <c r="AS874" s="185"/>
      <c r="AT874" s="185"/>
      <c r="AU874" s="185"/>
      <c r="AV874" s="185"/>
      <c r="AW874" s="185"/>
      <c r="AX874" s="185"/>
      <c r="AY874" s="185"/>
      <c r="AZ874" s="185"/>
      <c r="BA874" s="185"/>
      <c r="BB874" s="185"/>
      <c r="BC874" s="185"/>
      <c r="BD874" s="185"/>
      <c r="BE874" s="185"/>
    </row>
    <row r="875">
      <c r="A875" s="152"/>
      <c r="B875" s="152"/>
      <c r="C875" s="152"/>
      <c r="D875" s="152"/>
      <c r="E875" s="152"/>
      <c r="F875" s="152"/>
      <c r="G875" s="163" t="s">
        <v>5278</v>
      </c>
      <c r="H875" s="152" t="s">
        <v>5279</v>
      </c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85"/>
      <c r="AF875" s="185"/>
      <c r="AG875" s="185"/>
      <c r="AH875" s="185"/>
      <c r="AI875" s="185"/>
      <c r="AJ875" s="185"/>
      <c r="AK875" s="185"/>
      <c r="AL875" s="185"/>
      <c r="AM875" s="185"/>
      <c r="AN875" s="185"/>
      <c r="AO875" s="185"/>
      <c r="AP875" s="185"/>
      <c r="AQ875" s="185"/>
      <c r="AR875" s="185"/>
      <c r="AS875" s="185"/>
      <c r="AT875" s="185"/>
      <c r="AU875" s="185"/>
      <c r="AV875" s="185"/>
      <c r="AW875" s="185"/>
      <c r="AX875" s="185"/>
      <c r="AY875" s="185"/>
      <c r="AZ875" s="185"/>
      <c r="BA875" s="185"/>
      <c r="BB875" s="185"/>
      <c r="BC875" s="185"/>
      <c r="BD875" s="185"/>
      <c r="BE875" s="185"/>
    </row>
    <row r="876">
      <c r="A876" s="152"/>
      <c r="B876" s="152"/>
      <c r="C876" s="152"/>
      <c r="D876" s="152"/>
      <c r="E876" s="152"/>
      <c r="F876" s="152"/>
      <c r="G876" s="163" t="s">
        <v>5280</v>
      </c>
      <c r="H876" s="152" t="s">
        <v>5281</v>
      </c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85"/>
      <c r="AF876" s="185"/>
      <c r="AG876" s="185"/>
      <c r="AH876" s="185"/>
      <c r="AI876" s="185"/>
      <c r="AJ876" s="185"/>
      <c r="AK876" s="185"/>
      <c r="AL876" s="185"/>
      <c r="AM876" s="185"/>
      <c r="AN876" s="185"/>
      <c r="AO876" s="185"/>
      <c r="AP876" s="185"/>
      <c r="AQ876" s="185"/>
      <c r="AR876" s="185"/>
      <c r="AS876" s="185"/>
      <c r="AT876" s="185"/>
      <c r="AU876" s="185"/>
      <c r="AV876" s="185"/>
      <c r="AW876" s="185"/>
      <c r="AX876" s="185"/>
      <c r="AY876" s="185"/>
      <c r="AZ876" s="185"/>
      <c r="BA876" s="185"/>
      <c r="BB876" s="185"/>
      <c r="BC876" s="185"/>
      <c r="BD876" s="185"/>
      <c r="BE876" s="185"/>
    </row>
    <row r="877">
      <c r="A877" s="152"/>
      <c r="B877" s="152"/>
      <c r="C877" s="152"/>
      <c r="D877" s="152"/>
      <c r="E877" s="152"/>
      <c r="F877" s="152"/>
      <c r="G877" s="163" t="s">
        <v>5282</v>
      </c>
      <c r="H877" s="152" t="s">
        <v>5283</v>
      </c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85"/>
      <c r="AF877" s="185"/>
      <c r="AG877" s="185"/>
      <c r="AH877" s="185"/>
      <c r="AI877" s="185"/>
      <c r="AJ877" s="185"/>
      <c r="AK877" s="185"/>
      <c r="AL877" s="185"/>
      <c r="AM877" s="185"/>
      <c r="AN877" s="185"/>
      <c r="AO877" s="185"/>
      <c r="AP877" s="185"/>
      <c r="AQ877" s="185"/>
      <c r="AR877" s="185"/>
      <c r="AS877" s="185"/>
      <c r="AT877" s="185"/>
      <c r="AU877" s="185"/>
      <c r="AV877" s="185"/>
      <c r="AW877" s="185"/>
      <c r="AX877" s="185"/>
      <c r="AY877" s="185"/>
      <c r="AZ877" s="185"/>
      <c r="BA877" s="185"/>
      <c r="BB877" s="185"/>
      <c r="BC877" s="185"/>
      <c r="BD877" s="185"/>
      <c r="BE877" s="185"/>
    </row>
    <row r="878">
      <c r="A878" s="152"/>
      <c r="B878" s="152"/>
      <c r="C878" s="152"/>
      <c r="D878" s="152"/>
      <c r="E878" s="152"/>
      <c r="F878" s="152"/>
      <c r="G878" s="163" t="s">
        <v>5284</v>
      </c>
      <c r="H878" s="152" t="s">
        <v>5285</v>
      </c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85"/>
      <c r="AF878" s="185"/>
      <c r="AG878" s="185"/>
      <c r="AH878" s="185"/>
      <c r="AI878" s="185"/>
      <c r="AJ878" s="185"/>
      <c r="AK878" s="185"/>
      <c r="AL878" s="185"/>
      <c r="AM878" s="185"/>
      <c r="AN878" s="185"/>
      <c r="AO878" s="185"/>
      <c r="AP878" s="185"/>
      <c r="AQ878" s="185"/>
      <c r="AR878" s="185"/>
      <c r="AS878" s="185"/>
      <c r="AT878" s="185"/>
      <c r="AU878" s="185"/>
      <c r="AV878" s="185"/>
      <c r="AW878" s="185"/>
      <c r="AX878" s="185"/>
      <c r="AY878" s="185"/>
      <c r="AZ878" s="185"/>
      <c r="BA878" s="185"/>
      <c r="BB878" s="185"/>
      <c r="BC878" s="185"/>
      <c r="BD878" s="185"/>
      <c r="BE878" s="185"/>
    </row>
    <row r="879">
      <c r="A879" s="152"/>
      <c r="B879" s="152"/>
      <c r="C879" s="152"/>
      <c r="D879" s="152"/>
      <c r="E879" s="152"/>
      <c r="F879" s="152"/>
      <c r="G879" s="163" t="s">
        <v>5286</v>
      </c>
      <c r="H879" s="152" t="s">
        <v>5287</v>
      </c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85"/>
      <c r="AF879" s="185"/>
      <c r="AG879" s="185"/>
      <c r="AH879" s="185"/>
      <c r="AI879" s="185"/>
      <c r="AJ879" s="185"/>
      <c r="AK879" s="185"/>
      <c r="AL879" s="185"/>
      <c r="AM879" s="185"/>
      <c r="AN879" s="185"/>
      <c r="AO879" s="185"/>
      <c r="AP879" s="185"/>
      <c r="AQ879" s="185"/>
      <c r="AR879" s="185"/>
      <c r="AS879" s="185"/>
      <c r="AT879" s="185"/>
      <c r="AU879" s="185"/>
      <c r="AV879" s="185"/>
      <c r="AW879" s="185"/>
      <c r="AX879" s="185"/>
      <c r="AY879" s="185"/>
      <c r="AZ879" s="185"/>
      <c r="BA879" s="185"/>
      <c r="BB879" s="185"/>
      <c r="BC879" s="185"/>
      <c r="BD879" s="185"/>
      <c r="BE879" s="185"/>
    </row>
    <row r="880">
      <c r="A880" s="152"/>
      <c r="B880" s="152"/>
      <c r="C880" s="152"/>
      <c r="D880" s="152"/>
      <c r="E880" s="152"/>
      <c r="F880" s="152"/>
      <c r="G880" s="163" t="s">
        <v>5288</v>
      </c>
      <c r="H880" s="152" t="s">
        <v>5289</v>
      </c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85"/>
      <c r="AF880" s="185"/>
      <c r="AG880" s="185"/>
      <c r="AH880" s="185"/>
      <c r="AI880" s="185"/>
      <c r="AJ880" s="185"/>
      <c r="AK880" s="185"/>
      <c r="AL880" s="185"/>
      <c r="AM880" s="185"/>
      <c r="AN880" s="185"/>
      <c r="AO880" s="185"/>
      <c r="AP880" s="185"/>
      <c r="AQ880" s="185"/>
      <c r="AR880" s="185"/>
      <c r="AS880" s="185"/>
      <c r="AT880" s="185"/>
      <c r="AU880" s="185"/>
      <c r="AV880" s="185"/>
      <c r="AW880" s="185"/>
      <c r="AX880" s="185"/>
      <c r="AY880" s="185"/>
      <c r="AZ880" s="185"/>
      <c r="BA880" s="185"/>
      <c r="BB880" s="185"/>
      <c r="BC880" s="185"/>
      <c r="BD880" s="185"/>
      <c r="BE880" s="185"/>
    </row>
    <row r="881">
      <c r="A881" s="152"/>
      <c r="B881" s="152"/>
      <c r="C881" s="152"/>
      <c r="D881" s="152"/>
      <c r="E881" s="152"/>
      <c r="F881" s="152"/>
      <c r="G881" s="163" t="s">
        <v>5290</v>
      </c>
      <c r="H881" s="152" t="s">
        <v>5291</v>
      </c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85"/>
      <c r="AF881" s="185"/>
      <c r="AG881" s="185"/>
      <c r="AH881" s="185"/>
      <c r="AI881" s="185"/>
      <c r="AJ881" s="185"/>
      <c r="AK881" s="185"/>
      <c r="AL881" s="185"/>
      <c r="AM881" s="185"/>
      <c r="AN881" s="185"/>
      <c r="AO881" s="185"/>
      <c r="AP881" s="185"/>
      <c r="AQ881" s="185"/>
      <c r="AR881" s="185"/>
      <c r="AS881" s="185"/>
      <c r="AT881" s="185"/>
      <c r="AU881" s="185"/>
      <c r="AV881" s="185"/>
      <c r="AW881" s="185"/>
      <c r="AX881" s="185"/>
      <c r="AY881" s="185"/>
      <c r="AZ881" s="185"/>
      <c r="BA881" s="185"/>
      <c r="BB881" s="185"/>
      <c r="BC881" s="185"/>
      <c r="BD881" s="185"/>
      <c r="BE881" s="185"/>
    </row>
    <row r="882">
      <c r="A882" s="152"/>
      <c r="B882" s="152"/>
      <c r="C882" s="152"/>
      <c r="D882" s="152"/>
      <c r="E882" s="152"/>
      <c r="F882" s="152"/>
      <c r="G882" s="163" t="s">
        <v>5292</v>
      </c>
      <c r="H882" s="152" t="s">
        <v>5293</v>
      </c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85"/>
      <c r="AF882" s="185"/>
      <c r="AG882" s="185"/>
      <c r="AH882" s="185"/>
      <c r="AI882" s="185"/>
      <c r="AJ882" s="185"/>
      <c r="AK882" s="185"/>
      <c r="AL882" s="185"/>
      <c r="AM882" s="185"/>
      <c r="AN882" s="185"/>
      <c r="AO882" s="185"/>
      <c r="AP882" s="185"/>
      <c r="AQ882" s="185"/>
      <c r="AR882" s="185"/>
      <c r="AS882" s="185"/>
      <c r="AT882" s="185"/>
      <c r="AU882" s="185"/>
      <c r="AV882" s="185"/>
      <c r="AW882" s="185"/>
      <c r="AX882" s="185"/>
      <c r="AY882" s="185"/>
      <c r="AZ882" s="185"/>
      <c r="BA882" s="185"/>
      <c r="BB882" s="185"/>
      <c r="BC882" s="185"/>
      <c r="BD882" s="185"/>
      <c r="BE882" s="185"/>
    </row>
    <row r="883">
      <c r="A883" s="152"/>
      <c r="B883" s="152"/>
      <c r="C883" s="152"/>
      <c r="D883" s="152"/>
      <c r="E883" s="152"/>
      <c r="F883" s="152"/>
      <c r="G883" s="163" t="s">
        <v>5294</v>
      </c>
      <c r="H883" s="152" t="s">
        <v>5295</v>
      </c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85"/>
      <c r="AF883" s="185"/>
      <c r="AG883" s="185"/>
      <c r="AH883" s="185"/>
      <c r="AI883" s="185"/>
      <c r="AJ883" s="185"/>
      <c r="AK883" s="185"/>
      <c r="AL883" s="185"/>
      <c r="AM883" s="185"/>
      <c r="AN883" s="185"/>
      <c r="AO883" s="185"/>
      <c r="AP883" s="185"/>
      <c r="AQ883" s="185"/>
      <c r="AR883" s="185"/>
      <c r="AS883" s="185"/>
      <c r="AT883" s="185"/>
      <c r="AU883" s="185"/>
      <c r="AV883" s="185"/>
      <c r="AW883" s="185"/>
      <c r="AX883" s="185"/>
      <c r="AY883" s="185"/>
      <c r="AZ883" s="185"/>
      <c r="BA883" s="185"/>
      <c r="BB883" s="185"/>
      <c r="BC883" s="185"/>
      <c r="BD883" s="185"/>
      <c r="BE883" s="185"/>
    </row>
    <row r="884">
      <c r="A884" s="152"/>
      <c r="B884" s="152"/>
      <c r="C884" s="152"/>
      <c r="D884" s="152"/>
      <c r="E884" s="152"/>
      <c r="F884" s="152"/>
      <c r="G884" s="152" t="s">
        <v>5296</v>
      </c>
      <c r="H884" s="152" t="s">
        <v>5297</v>
      </c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85"/>
      <c r="AF884" s="185"/>
      <c r="AG884" s="185"/>
      <c r="AH884" s="185"/>
      <c r="AI884" s="185"/>
      <c r="AJ884" s="185"/>
      <c r="AK884" s="185"/>
      <c r="AL884" s="185"/>
      <c r="AM884" s="185"/>
      <c r="AN884" s="185"/>
      <c r="AO884" s="185"/>
      <c r="AP884" s="185"/>
      <c r="AQ884" s="185"/>
      <c r="AR884" s="185"/>
      <c r="AS884" s="185"/>
      <c r="AT884" s="185"/>
      <c r="AU884" s="185"/>
      <c r="AV884" s="185"/>
      <c r="AW884" s="185"/>
      <c r="AX884" s="185"/>
      <c r="AY884" s="185"/>
      <c r="AZ884" s="185"/>
      <c r="BA884" s="185"/>
      <c r="BB884" s="185"/>
      <c r="BC884" s="185"/>
      <c r="BD884" s="185"/>
      <c r="BE884" s="185"/>
    </row>
    <row r="885">
      <c r="A885" s="152"/>
      <c r="B885" s="152"/>
      <c r="C885" s="152"/>
      <c r="D885" s="152"/>
      <c r="E885" s="152"/>
      <c r="F885" s="152"/>
      <c r="G885" s="152" t="s">
        <v>5298</v>
      </c>
      <c r="H885" s="152" t="s">
        <v>5299</v>
      </c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85"/>
      <c r="AF885" s="185"/>
      <c r="AG885" s="185"/>
      <c r="AH885" s="185"/>
      <c r="AI885" s="185"/>
      <c r="AJ885" s="185"/>
      <c r="AK885" s="185"/>
      <c r="AL885" s="185"/>
      <c r="AM885" s="185"/>
      <c r="AN885" s="185"/>
      <c r="AO885" s="185"/>
      <c r="AP885" s="185"/>
      <c r="AQ885" s="185"/>
      <c r="AR885" s="185"/>
      <c r="AS885" s="185"/>
      <c r="AT885" s="185"/>
      <c r="AU885" s="185"/>
      <c r="AV885" s="185"/>
      <c r="AW885" s="185"/>
      <c r="AX885" s="185"/>
      <c r="AY885" s="185"/>
      <c r="AZ885" s="185"/>
      <c r="BA885" s="185"/>
      <c r="BB885" s="185"/>
      <c r="BC885" s="185"/>
      <c r="BD885" s="185"/>
      <c r="BE885" s="185"/>
    </row>
    <row r="886">
      <c r="A886" s="152"/>
      <c r="B886" s="152"/>
      <c r="C886" s="152"/>
      <c r="D886" s="152"/>
      <c r="E886" s="152"/>
      <c r="F886" s="152"/>
      <c r="G886" s="163" t="s">
        <v>5300</v>
      </c>
      <c r="H886" s="152" t="s">
        <v>5301</v>
      </c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85"/>
      <c r="AF886" s="185"/>
      <c r="AG886" s="185"/>
      <c r="AH886" s="185"/>
      <c r="AI886" s="185"/>
      <c r="AJ886" s="185"/>
      <c r="AK886" s="185"/>
      <c r="AL886" s="185"/>
      <c r="AM886" s="185"/>
      <c r="AN886" s="185"/>
      <c r="AO886" s="185"/>
      <c r="AP886" s="185"/>
      <c r="AQ886" s="185"/>
      <c r="AR886" s="185"/>
      <c r="AS886" s="185"/>
      <c r="AT886" s="185"/>
      <c r="AU886" s="185"/>
      <c r="AV886" s="185"/>
      <c r="AW886" s="185"/>
      <c r="AX886" s="185"/>
      <c r="AY886" s="185"/>
      <c r="AZ886" s="185"/>
      <c r="BA886" s="185"/>
      <c r="BB886" s="185"/>
      <c r="BC886" s="185"/>
      <c r="BD886" s="185"/>
      <c r="BE886" s="185"/>
    </row>
    <row r="887">
      <c r="A887" s="152"/>
      <c r="B887" s="152"/>
      <c r="C887" s="152"/>
      <c r="D887" s="152"/>
      <c r="E887" s="152"/>
      <c r="F887" s="152"/>
      <c r="G887" s="152" t="s">
        <v>4986</v>
      </c>
      <c r="H887" s="152" t="s">
        <v>5302</v>
      </c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85"/>
      <c r="AF887" s="185"/>
      <c r="AG887" s="185"/>
      <c r="AH887" s="185"/>
      <c r="AI887" s="185"/>
      <c r="AJ887" s="185"/>
      <c r="AK887" s="185"/>
      <c r="AL887" s="185"/>
      <c r="AM887" s="185"/>
      <c r="AN887" s="185"/>
      <c r="AO887" s="185"/>
      <c r="AP887" s="185"/>
      <c r="AQ887" s="185"/>
      <c r="AR887" s="185"/>
      <c r="AS887" s="185"/>
      <c r="AT887" s="185"/>
      <c r="AU887" s="185"/>
      <c r="AV887" s="185"/>
      <c r="AW887" s="185"/>
      <c r="AX887" s="185"/>
      <c r="AY887" s="185"/>
      <c r="AZ887" s="185"/>
      <c r="BA887" s="185"/>
      <c r="BB887" s="185"/>
      <c r="BC887" s="185"/>
      <c r="BD887" s="185"/>
      <c r="BE887" s="185"/>
    </row>
    <row r="888">
      <c r="A888" s="152"/>
      <c r="B888" s="152"/>
      <c r="C888" s="152"/>
      <c r="D888" s="152"/>
      <c r="E888" s="152"/>
      <c r="F888" s="152"/>
      <c r="G888" s="152" t="s">
        <v>5303</v>
      </c>
      <c r="H888" s="152" t="s">
        <v>5304</v>
      </c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85"/>
      <c r="AF888" s="185"/>
      <c r="AG888" s="185"/>
      <c r="AH888" s="185"/>
      <c r="AI888" s="185"/>
      <c r="AJ888" s="185"/>
      <c r="AK888" s="185"/>
      <c r="AL888" s="185"/>
      <c r="AM888" s="185"/>
      <c r="AN888" s="185"/>
      <c r="AO888" s="185"/>
      <c r="AP888" s="185"/>
      <c r="AQ888" s="185"/>
      <c r="AR888" s="185"/>
      <c r="AS888" s="185"/>
      <c r="AT888" s="185"/>
      <c r="AU888" s="185"/>
      <c r="AV888" s="185"/>
      <c r="AW888" s="185"/>
      <c r="AX888" s="185"/>
      <c r="AY888" s="185"/>
      <c r="AZ888" s="185"/>
      <c r="BA888" s="185"/>
      <c r="BB888" s="185"/>
      <c r="BC888" s="185"/>
      <c r="BD888" s="185"/>
      <c r="BE888" s="185"/>
    </row>
    <row r="889">
      <c r="A889" s="152"/>
      <c r="B889" s="152"/>
      <c r="C889" s="152"/>
      <c r="D889" s="152"/>
      <c r="E889" s="152"/>
      <c r="F889" s="152"/>
      <c r="G889" s="152" t="s">
        <v>5305</v>
      </c>
      <c r="H889" s="152" t="s">
        <v>5306</v>
      </c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85"/>
      <c r="AF889" s="185"/>
      <c r="AG889" s="185"/>
      <c r="AH889" s="185"/>
      <c r="AI889" s="185"/>
      <c r="AJ889" s="185"/>
      <c r="AK889" s="185"/>
      <c r="AL889" s="185"/>
      <c r="AM889" s="185"/>
      <c r="AN889" s="185"/>
      <c r="AO889" s="185"/>
      <c r="AP889" s="185"/>
      <c r="AQ889" s="185"/>
      <c r="AR889" s="185"/>
      <c r="AS889" s="185"/>
      <c r="AT889" s="185"/>
      <c r="AU889" s="185"/>
      <c r="AV889" s="185"/>
      <c r="AW889" s="185"/>
      <c r="AX889" s="185"/>
      <c r="AY889" s="185"/>
      <c r="AZ889" s="185"/>
      <c r="BA889" s="185"/>
      <c r="BB889" s="185"/>
      <c r="BC889" s="185"/>
      <c r="BD889" s="185"/>
      <c r="BE889" s="185"/>
    </row>
    <row r="890">
      <c r="A890" s="152"/>
      <c r="B890" s="152"/>
      <c r="C890" s="152"/>
      <c r="D890" s="152"/>
      <c r="E890" s="152"/>
      <c r="F890" s="152"/>
      <c r="G890" s="152" t="s">
        <v>5307</v>
      </c>
      <c r="H890" s="152" t="s">
        <v>5308</v>
      </c>
      <c r="I890" s="152" t="s">
        <v>486</v>
      </c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85"/>
      <c r="AF890" s="185"/>
      <c r="AG890" s="185"/>
      <c r="AH890" s="185"/>
      <c r="AI890" s="185"/>
      <c r="AJ890" s="185"/>
      <c r="AK890" s="185"/>
      <c r="AL890" s="185"/>
      <c r="AM890" s="185"/>
      <c r="AN890" s="185"/>
      <c r="AO890" s="185"/>
      <c r="AP890" s="185"/>
      <c r="AQ890" s="185"/>
      <c r="AR890" s="185"/>
      <c r="AS890" s="185"/>
      <c r="AT890" s="185"/>
      <c r="AU890" s="185"/>
      <c r="AV890" s="185"/>
      <c r="AW890" s="185"/>
      <c r="AX890" s="185"/>
      <c r="AY890" s="185"/>
      <c r="AZ890" s="185"/>
      <c r="BA890" s="185"/>
      <c r="BB890" s="185"/>
      <c r="BC890" s="185"/>
      <c r="BD890" s="185"/>
      <c r="BE890" s="185"/>
    </row>
    <row r="891">
      <c r="A891" s="152"/>
      <c r="B891" s="152"/>
      <c r="C891" s="152"/>
      <c r="D891" s="152"/>
      <c r="E891" s="152"/>
      <c r="F891" s="152"/>
      <c r="G891" s="152" t="s">
        <v>4995</v>
      </c>
      <c r="H891" s="152" t="s">
        <v>4995</v>
      </c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85"/>
      <c r="AF891" s="185"/>
      <c r="AG891" s="185"/>
      <c r="AH891" s="185"/>
      <c r="AI891" s="185"/>
      <c r="AJ891" s="185"/>
      <c r="AK891" s="185"/>
      <c r="AL891" s="185"/>
      <c r="AM891" s="185"/>
      <c r="AN891" s="185"/>
      <c r="AO891" s="185"/>
      <c r="AP891" s="185"/>
      <c r="AQ891" s="185"/>
      <c r="AR891" s="185"/>
      <c r="AS891" s="185"/>
      <c r="AT891" s="185"/>
      <c r="AU891" s="185"/>
      <c r="AV891" s="185"/>
      <c r="AW891" s="185"/>
      <c r="AX891" s="185"/>
      <c r="AY891" s="185"/>
      <c r="AZ891" s="185"/>
      <c r="BA891" s="185"/>
      <c r="BB891" s="185"/>
      <c r="BC891" s="185"/>
      <c r="BD891" s="185"/>
      <c r="BE891" s="185"/>
    </row>
    <row r="892">
      <c r="A892" s="152"/>
      <c r="B892" s="152"/>
      <c r="C892" s="152"/>
      <c r="D892" s="152"/>
      <c r="E892" s="152"/>
      <c r="F892" s="152"/>
      <c r="G892" s="152" t="s">
        <v>5309</v>
      </c>
      <c r="H892" s="152" t="s">
        <v>5310</v>
      </c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85"/>
      <c r="AF892" s="185"/>
      <c r="AG892" s="185"/>
      <c r="AH892" s="185"/>
      <c r="AI892" s="185"/>
      <c r="AJ892" s="185"/>
      <c r="AK892" s="185"/>
      <c r="AL892" s="185"/>
      <c r="AM892" s="185"/>
      <c r="AN892" s="185"/>
      <c r="AO892" s="185"/>
      <c r="AP892" s="185"/>
      <c r="AQ892" s="185"/>
      <c r="AR892" s="185"/>
      <c r="AS892" s="185"/>
      <c r="AT892" s="185"/>
      <c r="AU892" s="185"/>
      <c r="AV892" s="185"/>
      <c r="AW892" s="185"/>
      <c r="AX892" s="185"/>
      <c r="AY892" s="185"/>
      <c r="AZ892" s="185"/>
      <c r="BA892" s="185"/>
      <c r="BB892" s="185"/>
      <c r="BC892" s="185"/>
      <c r="BD892" s="185"/>
      <c r="BE892" s="185"/>
    </row>
    <row r="893">
      <c r="A893" s="152"/>
      <c r="B893" s="152"/>
      <c r="C893" s="152"/>
      <c r="D893" s="152"/>
      <c r="E893" s="152"/>
      <c r="F893" s="152"/>
      <c r="G893" s="152" t="s">
        <v>5311</v>
      </c>
      <c r="H893" s="152" t="s">
        <v>5312</v>
      </c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85"/>
      <c r="AF893" s="185"/>
      <c r="AG893" s="185"/>
      <c r="AH893" s="185"/>
      <c r="AI893" s="185"/>
      <c r="AJ893" s="185"/>
      <c r="AK893" s="185"/>
      <c r="AL893" s="185"/>
      <c r="AM893" s="185"/>
      <c r="AN893" s="185"/>
      <c r="AO893" s="185"/>
      <c r="AP893" s="185"/>
      <c r="AQ893" s="185"/>
      <c r="AR893" s="185"/>
      <c r="AS893" s="185"/>
      <c r="AT893" s="185"/>
      <c r="AU893" s="185"/>
      <c r="AV893" s="185"/>
      <c r="AW893" s="185"/>
      <c r="AX893" s="185"/>
      <c r="AY893" s="185"/>
      <c r="AZ893" s="185"/>
      <c r="BA893" s="185"/>
      <c r="BB893" s="185"/>
      <c r="BC893" s="185"/>
      <c r="BD893" s="185"/>
      <c r="BE893" s="185"/>
    </row>
    <row r="894">
      <c r="A894" s="152"/>
      <c r="B894" s="152"/>
      <c r="C894" s="152"/>
      <c r="D894" s="152"/>
      <c r="E894" s="152"/>
      <c r="F894" s="152"/>
      <c r="G894" s="152" t="s">
        <v>5313</v>
      </c>
      <c r="H894" s="152" t="s">
        <v>5314</v>
      </c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85"/>
      <c r="AF894" s="185"/>
      <c r="AG894" s="185"/>
      <c r="AH894" s="185"/>
      <c r="AI894" s="185"/>
      <c r="AJ894" s="185"/>
      <c r="AK894" s="185"/>
      <c r="AL894" s="185"/>
      <c r="AM894" s="185"/>
      <c r="AN894" s="185"/>
      <c r="AO894" s="185"/>
      <c r="AP894" s="185"/>
      <c r="AQ894" s="185"/>
      <c r="AR894" s="185"/>
      <c r="AS894" s="185"/>
      <c r="AT894" s="185"/>
      <c r="AU894" s="185"/>
      <c r="AV894" s="185"/>
      <c r="AW894" s="185"/>
      <c r="AX894" s="185"/>
      <c r="AY894" s="185"/>
      <c r="AZ894" s="185"/>
      <c r="BA894" s="185"/>
      <c r="BB894" s="185"/>
      <c r="BC894" s="185"/>
      <c r="BD894" s="185"/>
      <c r="BE894" s="185"/>
    </row>
    <row r="895">
      <c r="A895" s="152"/>
      <c r="B895" s="152"/>
      <c r="C895" s="152"/>
      <c r="D895" s="152"/>
      <c r="E895" s="152"/>
      <c r="F895" s="152"/>
      <c r="G895" s="163" t="s">
        <v>5315</v>
      </c>
      <c r="H895" s="152" t="s">
        <v>5316</v>
      </c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85"/>
      <c r="AF895" s="185"/>
      <c r="AG895" s="185"/>
      <c r="AH895" s="185"/>
      <c r="AI895" s="185"/>
      <c r="AJ895" s="185"/>
      <c r="AK895" s="185"/>
      <c r="AL895" s="185"/>
      <c r="AM895" s="185"/>
      <c r="AN895" s="185"/>
      <c r="AO895" s="185"/>
      <c r="AP895" s="185"/>
      <c r="AQ895" s="185"/>
      <c r="AR895" s="185"/>
      <c r="AS895" s="185"/>
      <c r="AT895" s="185"/>
      <c r="AU895" s="185"/>
      <c r="AV895" s="185"/>
      <c r="AW895" s="185"/>
      <c r="AX895" s="185"/>
      <c r="AY895" s="185"/>
      <c r="AZ895" s="185"/>
      <c r="BA895" s="185"/>
      <c r="BB895" s="185"/>
      <c r="BC895" s="185"/>
      <c r="BD895" s="185"/>
      <c r="BE895" s="185"/>
    </row>
    <row r="896">
      <c r="A896" s="152"/>
      <c r="B896" s="152"/>
      <c r="C896" s="152"/>
      <c r="D896" s="152"/>
      <c r="E896" s="152"/>
      <c r="F896" s="152"/>
      <c r="G896" s="152" t="s">
        <v>5317</v>
      </c>
      <c r="H896" s="152" t="s">
        <v>5318</v>
      </c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85"/>
      <c r="AF896" s="185"/>
      <c r="AG896" s="185"/>
      <c r="AH896" s="185"/>
      <c r="AI896" s="185"/>
      <c r="AJ896" s="185"/>
      <c r="AK896" s="185"/>
      <c r="AL896" s="185"/>
      <c r="AM896" s="185"/>
      <c r="AN896" s="185"/>
      <c r="AO896" s="185"/>
      <c r="AP896" s="185"/>
      <c r="AQ896" s="185"/>
      <c r="AR896" s="185"/>
      <c r="AS896" s="185"/>
      <c r="AT896" s="185"/>
      <c r="AU896" s="185"/>
      <c r="AV896" s="185"/>
      <c r="AW896" s="185"/>
      <c r="AX896" s="185"/>
      <c r="AY896" s="185"/>
      <c r="AZ896" s="185"/>
      <c r="BA896" s="185"/>
      <c r="BB896" s="185"/>
      <c r="BC896" s="185"/>
      <c r="BD896" s="185"/>
      <c r="BE896" s="185"/>
    </row>
    <row r="897">
      <c r="A897" s="152"/>
      <c r="B897" s="152"/>
      <c r="C897" s="152"/>
      <c r="D897" s="152"/>
      <c r="E897" s="152"/>
      <c r="F897" s="152"/>
      <c r="G897" s="163" t="s">
        <v>5319</v>
      </c>
      <c r="H897" s="152" t="s">
        <v>5320</v>
      </c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85"/>
      <c r="AF897" s="185"/>
      <c r="AG897" s="185"/>
      <c r="AH897" s="185"/>
      <c r="AI897" s="185"/>
      <c r="AJ897" s="185"/>
      <c r="AK897" s="185"/>
      <c r="AL897" s="185"/>
      <c r="AM897" s="185"/>
      <c r="AN897" s="185"/>
      <c r="AO897" s="185"/>
      <c r="AP897" s="185"/>
      <c r="AQ897" s="185"/>
      <c r="AR897" s="185"/>
      <c r="AS897" s="185"/>
      <c r="AT897" s="185"/>
      <c r="AU897" s="185"/>
      <c r="AV897" s="185"/>
      <c r="AW897" s="185"/>
      <c r="AX897" s="185"/>
      <c r="AY897" s="185"/>
      <c r="AZ897" s="185"/>
      <c r="BA897" s="185"/>
      <c r="BB897" s="185"/>
      <c r="BC897" s="185"/>
      <c r="BD897" s="185"/>
      <c r="BE897" s="185"/>
    </row>
    <row r="898">
      <c r="A898" s="152"/>
      <c r="B898" s="152"/>
      <c r="C898" s="152"/>
      <c r="D898" s="152"/>
      <c r="E898" s="152"/>
      <c r="F898" s="152"/>
      <c r="G898" s="152" t="s">
        <v>5321</v>
      </c>
      <c r="H898" s="152" t="s">
        <v>5322</v>
      </c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85"/>
      <c r="AF898" s="185"/>
      <c r="AG898" s="185"/>
      <c r="AH898" s="185"/>
      <c r="AI898" s="185"/>
      <c r="AJ898" s="185"/>
      <c r="AK898" s="185"/>
      <c r="AL898" s="185"/>
      <c r="AM898" s="185"/>
      <c r="AN898" s="185"/>
      <c r="AO898" s="185"/>
      <c r="AP898" s="185"/>
      <c r="AQ898" s="185"/>
      <c r="AR898" s="185"/>
      <c r="AS898" s="185"/>
      <c r="AT898" s="185"/>
      <c r="AU898" s="185"/>
      <c r="AV898" s="185"/>
      <c r="AW898" s="185"/>
      <c r="AX898" s="185"/>
      <c r="AY898" s="185"/>
      <c r="AZ898" s="185"/>
      <c r="BA898" s="185"/>
      <c r="BB898" s="185"/>
      <c r="BC898" s="185"/>
      <c r="BD898" s="185"/>
      <c r="BE898" s="185"/>
    </row>
    <row r="899">
      <c r="A899" s="152"/>
      <c r="B899" s="152"/>
      <c r="C899" s="152"/>
      <c r="D899" s="152"/>
      <c r="E899" s="152"/>
      <c r="F899" s="152"/>
      <c r="G899" s="152" t="s">
        <v>5323</v>
      </c>
      <c r="H899" s="152" t="s">
        <v>5324</v>
      </c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85"/>
      <c r="AF899" s="185"/>
      <c r="AG899" s="185"/>
      <c r="AH899" s="185"/>
      <c r="AI899" s="185"/>
      <c r="AJ899" s="185"/>
      <c r="AK899" s="185"/>
      <c r="AL899" s="185"/>
      <c r="AM899" s="185"/>
      <c r="AN899" s="185"/>
      <c r="AO899" s="185"/>
      <c r="AP899" s="185"/>
      <c r="AQ899" s="185"/>
      <c r="AR899" s="185"/>
      <c r="AS899" s="185"/>
      <c r="AT899" s="185"/>
      <c r="AU899" s="185"/>
      <c r="AV899" s="185"/>
      <c r="AW899" s="185"/>
      <c r="AX899" s="185"/>
      <c r="AY899" s="185"/>
      <c r="AZ899" s="185"/>
      <c r="BA899" s="185"/>
      <c r="BB899" s="185"/>
      <c r="BC899" s="185"/>
      <c r="BD899" s="185"/>
      <c r="BE899" s="185"/>
    </row>
    <row r="900">
      <c r="A900" s="152"/>
      <c r="B900" s="152"/>
      <c r="C900" s="152"/>
      <c r="D900" s="152"/>
      <c r="E900" s="152"/>
      <c r="F900" s="152"/>
      <c r="G900" s="152" t="s">
        <v>5325</v>
      </c>
      <c r="H900" s="152" t="s">
        <v>2790</v>
      </c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85"/>
      <c r="AF900" s="185"/>
      <c r="AG900" s="185"/>
      <c r="AH900" s="185"/>
      <c r="AI900" s="185"/>
      <c r="AJ900" s="185"/>
      <c r="AK900" s="185"/>
      <c r="AL900" s="185"/>
      <c r="AM900" s="185"/>
      <c r="AN900" s="185"/>
      <c r="AO900" s="185"/>
      <c r="AP900" s="185"/>
      <c r="AQ900" s="185"/>
      <c r="AR900" s="185"/>
      <c r="AS900" s="185"/>
      <c r="AT900" s="185"/>
      <c r="AU900" s="185"/>
      <c r="AV900" s="185"/>
      <c r="AW900" s="185"/>
      <c r="AX900" s="185"/>
      <c r="AY900" s="185"/>
      <c r="AZ900" s="185"/>
      <c r="BA900" s="185"/>
      <c r="BB900" s="185"/>
      <c r="BC900" s="185"/>
      <c r="BD900" s="185"/>
      <c r="BE900" s="185"/>
    </row>
    <row r="901">
      <c r="A901" s="152"/>
      <c r="B901" s="152"/>
      <c r="C901" s="152"/>
      <c r="D901" s="152"/>
      <c r="E901" s="152"/>
      <c r="F901" s="152"/>
      <c r="G901" s="152" t="s">
        <v>5326</v>
      </c>
      <c r="H901" s="152" t="s">
        <v>5327</v>
      </c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85"/>
      <c r="AF901" s="185"/>
      <c r="AG901" s="185"/>
      <c r="AH901" s="185"/>
      <c r="AI901" s="185"/>
      <c r="AJ901" s="185"/>
      <c r="AK901" s="185"/>
      <c r="AL901" s="185"/>
      <c r="AM901" s="185"/>
      <c r="AN901" s="185"/>
      <c r="AO901" s="185"/>
      <c r="AP901" s="185"/>
      <c r="AQ901" s="185"/>
      <c r="AR901" s="185"/>
      <c r="AS901" s="185"/>
      <c r="AT901" s="185"/>
      <c r="AU901" s="185"/>
      <c r="AV901" s="185"/>
      <c r="AW901" s="185"/>
      <c r="AX901" s="185"/>
      <c r="AY901" s="185"/>
      <c r="AZ901" s="185"/>
      <c r="BA901" s="185"/>
      <c r="BB901" s="185"/>
      <c r="BC901" s="185"/>
      <c r="BD901" s="185"/>
      <c r="BE901" s="185"/>
    </row>
    <row r="902">
      <c r="A902" s="152"/>
      <c r="B902" s="152"/>
      <c r="C902" s="152"/>
      <c r="D902" s="152"/>
      <c r="E902" s="152"/>
      <c r="F902" s="152"/>
      <c r="G902" s="152" t="s">
        <v>5328</v>
      </c>
      <c r="H902" s="152" t="s">
        <v>5329</v>
      </c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85"/>
      <c r="AF902" s="185"/>
      <c r="AG902" s="185"/>
      <c r="AH902" s="185"/>
      <c r="AI902" s="185"/>
      <c r="AJ902" s="185"/>
      <c r="AK902" s="185"/>
      <c r="AL902" s="185"/>
      <c r="AM902" s="185"/>
      <c r="AN902" s="185"/>
      <c r="AO902" s="185"/>
      <c r="AP902" s="185"/>
      <c r="AQ902" s="185"/>
      <c r="AR902" s="185"/>
      <c r="AS902" s="185"/>
      <c r="AT902" s="185"/>
      <c r="AU902" s="185"/>
      <c r="AV902" s="185"/>
      <c r="AW902" s="185"/>
      <c r="AX902" s="185"/>
      <c r="AY902" s="185"/>
      <c r="AZ902" s="185"/>
      <c r="BA902" s="185"/>
      <c r="BB902" s="185"/>
      <c r="BC902" s="185"/>
      <c r="BD902" s="185"/>
      <c r="BE902" s="185"/>
    </row>
    <row r="903">
      <c r="A903" s="152"/>
      <c r="B903" s="152"/>
      <c r="C903" s="152"/>
      <c r="D903" s="152"/>
      <c r="E903" s="152"/>
      <c r="F903" s="152"/>
      <c r="G903" s="152" t="s">
        <v>5330</v>
      </c>
      <c r="H903" s="152" t="s">
        <v>5330</v>
      </c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85"/>
      <c r="AF903" s="185"/>
      <c r="AG903" s="185"/>
      <c r="AH903" s="185"/>
      <c r="AI903" s="185"/>
      <c r="AJ903" s="185"/>
      <c r="AK903" s="185"/>
      <c r="AL903" s="185"/>
      <c r="AM903" s="185"/>
      <c r="AN903" s="185"/>
      <c r="AO903" s="185"/>
      <c r="AP903" s="185"/>
      <c r="AQ903" s="185"/>
      <c r="AR903" s="185"/>
      <c r="AS903" s="185"/>
      <c r="AT903" s="185"/>
      <c r="AU903" s="185"/>
      <c r="AV903" s="185"/>
      <c r="AW903" s="185"/>
      <c r="AX903" s="185"/>
      <c r="AY903" s="185"/>
      <c r="AZ903" s="185"/>
      <c r="BA903" s="185"/>
      <c r="BB903" s="185"/>
      <c r="BC903" s="185"/>
      <c r="BD903" s="185"/>
      <c r="BE903" s="185"/>
    </row>
    <row r="904">
      <c r="A904" s="152"/>
      <c r="B904" s="152"/>
      <c r="C904" s="152"/>
      <c r="D904" s="152"/>
      <c r="E904" s="152"/>
      <c r="F904" s="152"/>
      <c r="G904" s="152" t="s">
        <v>498</v>
      </c>
      <c r="H904" s="152" t="s">
        <v>5331</v>
      </c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85"/>
      <c r="AF904" s="185"/>
      <c r="AG904" s="185"/>
      <c r="AH904" s="185"/>
      <c r="AI904" s="185"/>
      <c r="AJ904" s="185"/>
      <c r="AK904" s="185"/>
      <c r="AL904" s="185"/>
      <c r="AM904" s="185"/>
      <c r="AN904" s="185"/>
      <c r="AO904" s="185"/>
      <c r="AP904" s="185"/>
      <c r="AQ904" s="185"/>
      <c r="AR904" s="185"/>
      <c r="AS904" s="185"/>
      <c r="AT904" s="185"/>
      <c r="AU904" s="185"/>
      <c r="AV904" s="185"/>
      <c r="AW904" s="185"/>
      <c r="AX904" s="185"/>
      <c r="AY904" s="185"/>
      <c r="AZ904" s="185"/>
      <c r="BA904" s="185"/>
      <c r="BB904" s="185"/>
      <c r="BC904" s="185"/>
      <c r="BD904" s="185"/>
      <c r="BE904" s="185"/>
    </row>
    <row r="905">
      <c r="A905" s="152"/>
      <c r="B905" s="152"/>
      <c r="C905" s="152"/>
      <c r="D905" s="152"/>
      <c r="E905" s="152"/>
      <c r="F905" s="152"/>
      <c r="G905" s="152" t="s">
        <v>5332</v>
      </c>
      <c r="H905" s="152" t="s">
        <v>5333</v>
      </c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85"/>
      <c r="AF905" s="185"/>
      <c r="AG905" s="185"/>
      <c r="AH905" s="185"/>
      <c r="AI905" s="185"/>
      <c r="AJ905" s="185"/>
      <c r="AK905" s="185"/>
      <c r="AL905" s="185"/>
      <c r="AM905" s="185"/>
      <c r="AN905" s="185"/>
      <c r="AO905" s="185"/>
      <c r="AP905" s="185"/>
      <c r="AQ905" s="185"/>
      <c r="AR905" s="185"/>
      <c r="AS905" s="185"/>
      <c r="AT905" s="185"/>
      <c r="AU905" s="185"/>
      <c r="AV905" s="185"/>
      <c r="AW905" s="185"/>
      <c r="AX905" s="185"/>
      <c r="AY905" s="185"/>
      <c r="AZ905" s="185"/>
      <c r="BA905" s="185"/>
      <c r="BB905" s="185"/>
      <c r="BC905" s="185"/>
      <c r="BD905" s="185"/>
      <c r="BE905" s="185"/>
    </row>
    <row r="906">
      <c r="A906" s="152"/>
      <c r="B906" s="152"/>
      <c r="C906" s="152"/>
      <c r="D906" s="152"/>
      <c r="E906" s="152"/>
      <c r="F906" s="152"/>
      <c r="G906" s="152" t="s">
        <v>5334</v>
      </c>
      <c r="H906" s="152" t="s">
        <v>5335</v>
      </c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85"/>
      <c r="AF906" s="185"/>
      <c r="AG906" s="185"/>
      <c r="AH906" s="185"/>
      <c r="AI906" s="185"/>
      <c r="AJ906" s="185"/>
      <c r="AK906" s="185"/>
      <c r="AL906" s="185"/>
      <c r="AM906" s="185"/>
      <c r="AN906" s="185"/>
      <c r="AO906" s="185"/>
      <c r="AP906" s="185"/>
      <c r="AQ906" s="185"/>
      <c r="AR906" s="185"/>
      <c r="AS906" s="185"/>
      <c r="AT906" s="185"/>
      <c r="AU906" s="185"/>
      <c r="AV906" s="185"/>
      <c r="AW906" s="185"/>
      <c r="AX906" s="185"/>
      <c r="AY906" s="185"/>
      <c r="AZ906" s="185"/>
      <c r="BA906" s="185"/>
      <c r="BB906" s="185"/>
      <c r="BC906" s="185"/>
      <c r="BD906" s="185"/>
      <c r="BE906" s="185"/>
    </row>
    <row r="907">
      <c r="A907" s="152"/>
      <c r="B907" s="152"/>
      <c r="C907" s="152"/>
      <c r="D907" s="152"/>
      <c r="E907" s="152"/>
      <c r="F907" s="152"/>
      <c r="G907" s="152" t="s">
        <v>497</v>
      </c>
      <c r="H907" s="152" t="s">
        <v>498</v>
      </c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85"/>
      <c r="AF907" s="185"/>
      <c r="AG907" s="185"/>
      <c r="AH907" s="185"/>
      <c r="AI907" s="185"/>
      <c r="AJ907" s="185"/>
      <c r="AK907" s="185"/>
      <c r="AL907" s="185"/>
      <c r="AM907" s="185"/>
      <c r="AN907" s="185"/>
      <c r="AO907" s="185"/>
      <c r="AP907" s="185"/>
      <c r="AQ907" s="185"/>
      <c r="AR907" s="185"/>
      <c r="AS907" s="185"/>
      <c r="AT907" s="185"/>
      <c r="AU907" s="185"/>
      <c r="AV907" s="185"/>
      <c r="AW907" s="185"/>
      <c r="AX907" s="185"/>
      <c r="AY907" s="185"/>
      <c r="AZ907" s="185"/>
      <c r="BA907" s="185"/>
      <c r="BB907" s="185"/>
      <c r="BC907" s="185"/>
      <c r="BD907" s="185"/>
      <c r="BE907" s="185"/>
    </row>
    <row r="908">
      <c r="A908" s="152"/>
      <c r="B908" s="152"/>
      <c r="C908" s="152"/>
      <c r="D908" s="152"/>
      <c r="E908" s="152"/>
      <c r="F908" s="152"/>
      <c r="G908" s="152" t="s">
        <v>5336</v>
      </c>
      <c r="H908" s="152" t="s">
        <v>5336</v>
      </c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85"/>
      <c r="AF908" s="185"/>
      <c r="AG908" s="185"/>
      <c r="AH908" s="185"/>
      <c r="AI908" s="185"/>
      <c r="AJ908" s="185"/>
      <c r="AK908" s="185"/>
      <c r="AL908" s="185"/>
      <c r="AM908" s="185"/>
      <c r="AN908" s="185"/>
      <c r="AO908" s="185"/>
      <c r="AP908" s="185"/>
      <c r="AQ908" s="185"/>
      <c r="AR908" s="185"/>
      <c r="AS908" s="185"/>
      <c r="AT908" s="185"/>
      <c r="AU908" s="185"/>
      <c r="AV908" s="185"/>
      <c r="AW908" s="185"/>
      <c r="AX908" s="185"/>
      <c r="AY908" s="185"/>
      <c r="AZ908" s="185"/>
      <c r="BA908" s="185"/>
      <c r="BB908" s="185"/>
      <c r="BC908" s="185"/>
      <c r="BD908" s="185"/>
      <c r="BE908" s="185"/>
    </row>
    <row r="909">
      <c r="A909" s="152"/>
      <c r="B909" s="152"/>
      <c r="C909" s="152"/>
      <c r="D909" s="152"/>
      <c r="E909" s="152"/>
      <c r="F909" s="152"/>
      <c r="G909" s="152" t="s">
        <v>5337</v>
      </c>
      <c r="H909" s="152" t="s">
        <v>5338</v>
      </c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85"/>
      <c r="AF909" s="185"/>
      <c r="AG909" s="185"/>
      <c r="AH909" s="185"/>
      <c r="AI909" s="185"/>
      <c r="AJ909" s="185"/>
      <c r="AK909" s="185"/>
      <c r="AL909" s="185"/>
      <c r="AM909" s="185"/>
      <c r="AN909" s="185"/>
      <c r="AO909" s="185"/>
      <c r="AP909" s="185"/>
      <c r="AQ909" s="185"/>
      <c r="AR909" s="185"/>
      <c r="AS909" s="185"/>
      <c r="AT909" s="185"/>
      <c r="AU909" s="185"/>
      <c r="AV909" s="185"/>
      <c r="AW909" s="185"/>
      <c r="AX909" s="185"/>
      <c r="AY909" s="185"/>
      <c r="AZ909" s="185"/>
      <c r="BA909" s="185"/>
      <c r="BB909" s="185"/>
      <c r="BC909" s="185"/>
      <c r="BD909" s="185"/>
      <c r="BE909" s="185"/>
    </row>
    <row r="910">
      <c r="A910" s="152"/>
      <c r="B910" s="152"/>
      <c r="C910" s="152"/>
      <c r="D910" s="152"/>
      <c r="E910" s="152"/>
      <c r="F910" s="152"/>
      <c r="G910" s="152" t="s">
        <v>5339</v>
      </c>
      <c r="H910" s="152" t="s">
        <v>5340</v>
      </c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85"/>
      <c r="AF910" s="185"/>
      <c r="AG910" s="185"/>
      <c r="AH910" s="185"/>
      <c r="AI910" s="185"/>
      <c r="AJ910" s="185"/>
      <c r="AK910" s="185"/>
      <c r="AL910" s="185"/>
      <c r="AM910" s="185"/>
      <c r="AN910" s="185"/>
      <c r="AO910" s="185"/>
      <c r="AP910" s="185"/>
      <c r="AQ910" s="185"/>
      <c r="AR910" s="185"/>
      <c r="AS910" s="185"/>
      <c r="AT910" s="185"/>
      <c r="AU910" s="185"/>
      <c r="AV910" s="185"/>
      <c r="AW910" s="185"/>
      <c r="AX910" s="185"/>
      <c r="AY910" s="185"/>
      <c r="AZ910" s="185"/>
      <c r="BA910" s="185"/>
      <c r="BB910" s="185"/>
      <c r="BC910" s="185"/>
      <c r="BD910" s="185"/>
      <c r="BE910" s="185"/>
    </row>
    <row r="911">
      <c r="A911" s="152"/>
      <c r="B911" s="152"/>
      <c r="C911" s="152"/>
      <c r="D911" s="152"/>
      <c r="E911" s="152"/>
      <c r="F911" s="152"/>
      <c r="G911" s="152" t="s">
        <v>5341</v>
      </c>
      <c r="H911" s="152" t="s">
        <v>5342</v>
      </c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85"/>
      <c r="AF911" s="185"/>
      <c r="AG911" s="185"/>
      <c r="AH911" s="185"/>
      <c r="AI911" s="185"/>
      <c r="AJ911" s="185"/>
      <c r="AK911" s="185"/>
      <c r="AL911" s="185"/>
      <c r="AM911" s="185"/>
      <c r="AN911" s="185"/>
      <c r="AO911" s="185"/>
      <c r="AP911" s="185"/>
      <c r="AQ911" s="185"/>
      <c r="AR911" s="185"/>
      <c r="AS911" s="185"/>
      <c r="AT911" s="185"/>
      <c r="AU911" s="185"/>
      <c r="AV911" s="185"/>
      <c r="AW911" s="185"/>
      <c r="AX911" s="185"/>
      <c r="AY911" s="185"/>
      <c r="AZ911" s="185"/>
      <c r="BA911" s="185"/>
      <c r="BB911" s="185"/>
      <c r="BC911" s="185"/>
      <c r="BD911" s="185"/>
      <c r="BE911" s="185"/>
    </row>
    <row r="912">
      <c r="A912" s="152"/>
      <c r="B912" s="152"/>
      <c r="C912" s="152"/>
      <c r="D912" s="152"/>
      <c r="E912" s="152"/>
      <c r="F912" s="152"/>
      <c r="G912" s="152" t="s">
        <v>5343</v>
      </c>
      <c r="H912" s="152" t="s">
        <v>5344</v>
      </c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85"/>
      <c r="AF912" s="185"/>
      <c r="AG912" s="185"/>
      <c r="AH912" s="185"/>
      <c r="AI912" s="185"/>
      <c r="AJ912" s="185"/>
      <c r="AK912" s="185"/>
      <c r="AL912" s="185"/>
      <c r="AM912" s="185"/>
      <c r="AN912" s="185"/>
      <c r="AO912" s="185"/>
      <c r="AP912" s="185"/>
      <c r="AQ912" s="185"/>
      <c r="AR912" s="185"/>
      <c r="AS912" s="185"/>
      <c r="AT912" s="185"/>
      <c r="AU912" s="185"/>
      <c r="AV912" s="185"/>
      <c r="AW912" s="185"/>
      <c r="AX912" s="185"/>
      <c r="AY912" s="185"/>
      <c r="AZ912" s="185"/>
      <c r="BA912" s="185"/>
      <c r="BB912" s="185"/>
      <c r="BC912" s="185"/>
      <c r="BD912" s="185"/>
      <c r="BE912" s="185"/>
    </row>
    <row r="913">
      <c r="A913" s="152"/>
      <c r="B913" s="152"/>
      <c r="C913" s="152"/>
      <c r="D913" s="152"/>
      <c r="E913" s="152"/>
      <c r="F913" s="152"/>
      <c r="G913" s="152" t="s">
        <v>44</v>
      </c>
      <c r="H913" s="152" t="s">
        <v>5345</v>
      </c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85"/>
      <c r="AF913" s="185"/>
      <c r="AG913" s="185"/>
      <c r="AH913" s="185"/>
      <c r="AI913" s="185"/>
      <c r="AJ913" s="185"/>
      <c r="AK913" s="185"/>
      <c r="AL913" s="185"/>
      <c r="AM913" s="185"/>
      <c r="AN913" s="185"/>
      <c r="AO913" s="185"/>
      <c r="AP913" s="185"/>
      <c r="AQ913" s="185"/>
      <c r="AR913" s="185"/>
      <c r="AS913" s="185"/>
      <c r="AT913" s="185"/>
      <c r="AU913" s="185"/>
      <c r="AV913" s="185"/>
      <c r="AW913" s="185"/>
      <c r="AX913" s="185"/>
      <c r="AY913" s="185"/>
      <c r="AZ913" s="185"/>
      <c r="BA913" s="185"/>
      <c r="BB913" s="185"/>
      <c r="BC913" s="185"/>
      <c r="BD913" s="185"/>
      <c r="BE913" s="185"/>
    </row>
    <row r="914">
      <c r="A914" s="152"/>
      <c r="B914" s="152"/>
      <c r="C914" s="152"/>
      <c r="D914" s="152"/>
      <c r="E914" s="152"/>
      <c r="F914" s="152"/>
      <c r="G914" s="152" t="s">
        <v>5346</v>
      </c>
      <c r="H914" s="152" t="s">
        <v>5347</v>
      </c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85"/>
      <c r="AF914" s="185"/>
      <c r="AG914" s="185"/>
      <c r="AH914" s="185"/>
      <c r="AI914" s="185"/>
      <c r="AJ914" s="185"/>
      <c r="AK914" s="185"/>
      <c r="AL914" s="185"/>
      <c r="AM914" s="185"/>
      <c r="AN914" s="185"/>
      <c r="AO914" s="185"/>
      <c r="AP914" s="185"/>
      <c r="AQ914" s="185"/>
      <c r="AR914" s="185"/>
      <c r="AS914" s="185"/>
      <c r="AT914" s="185"/>
      <c r="AU914" s="185"/>
      <c r="AV914" s="185"/>
      <c r="AW914" s="185"/>
      <c r="AX914" s="185"/>
      <c r="AY914" s="185"/>
      <c r="AZ914" s="185"/>
      <c r="BA914" s="185"/>
      <c r="BB914" s="185"/>
      <c r="BC914" s="185"/>
      <c r="BD914" s="185"/>
      <c r="BE914" s="185"/>
    </row>
    <row r="915">
      <c r="A915" s="152"/>
      <c r="B915" s="152"/>
      <c r="C915" s="152"/>
      <c r="D915" s="152"/>
      <c r="E915" s="152"/>
      <c r="F915" s="152"/>
      <c r="G915" s="152" t="s">
        <v>5348</v>
      </c>
      <c r="H915" s="152" t="s">
        <v>5349</v>
      </c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85"/>
      <c r="AF915" s="185"/>
      <c r="AG915" s="185"/>
      <c r="AH915" s="185"/>
      <c r="AI915" s="185"/>
      <c r="AJ915" s="185"/>
      <c r="AK915" s="185"/>
      <c r="AL915" s="185"/>
      <c r="AM915" s="185"/>
      <c r="AN915" s="185"/>
      <c r="AO915" s="185"/>
      <c r="AP915" s="185"/>
      <c r="AQ915" s="185"/>
      <c r="AR915" s="185"/>
      <c r="AS915" s="185"/>
      <c r="AT915" s="185"/>
      <c r="AU915" s="185"/>
      <c r="AV915" s="185"/>
      <c r="AW915" s="185"/>
      <c r="AX915" s="185"/>
      <c r="AY915" s="185"/>
      <c r="AZ915" s="185"/>
      <c r="BA915" s="185"/>
      <c r="BB915" s="185"/>
      <c r="BC915" s="185"/>
      <c r="BD915" s="185"/>
      <c r="BE915" s="185"/>
    </row>
    <row r="916">
      <c r="A916" s="152"/>
      <c r="B916" s="152"/>
      <c r="C916" s="152"/>
      <c r="D916" s="152"/>
      <c r="E916" s="152"/>
      <c r="F916" s="152"/>
      <c r="G916" s="152" t="s">
        <v>5350</v>
      </c>
      <c r="H916" s="152" t="s">
        <v>5351</v>
      </c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85"/>
      <c r="AF916" s="185"/>
      <c r="AG916" s="185"/>
      <c r="AH916" s="185"/>
      <c r="AI916" s="185"/>
      <c r="AJ916" s="185"/>
      <c r="AK916" s="185"/>
      <c r="AL916" s="185"/>
      <c r="AM916" s="185"/>
      <c r="AN916" s="185"/>
      <c r="AO916" s="185"/>
      <c r="AP916" s="185"/>
      <c r="AQ916" s="185"/>
      <c r="AR916" s="185"/>
      <c r="AS916" s="185"/>
      <c r="AT916" s="185"/>
      <c r="AU916" s="185"/>
      <c r="AV916" s="185"/>
      <c r="AW916" s="185"/>
      <c r="AX916" s="185"/>
      <c r="AY916" s="185"/>
      <c r="AZ916" s="185"/>
      <c r="BA916" s="185"/>
      <c r="BB916" s="185"/>
      <c r="BC916" s="185"/>
      <c r="BD916" s="185"/>
      <c r="BE916" s="185"/>
    </row>
    <row r="917">
      <c r="A917" s="152"/>
      <c r="B917" s="152"/>
      <c r="C917" s="152"/>
      <c r="D917" s="152"/>
      <c r="E917" s="152"/>
      <c r="F917" s="152"/>
      <c r="G917" s="152" t="s">
        <v>5352</v>
      </c>
      <c r="H917" s="152" t="s">
        <v>5353</v>
      </c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85"/>
      <c r="AF917" s="185"/>
      <c r="AG917" s="185"/>
      <c r="AH917" s="185"/>
      <c r="AI917" s="185"/>
      <c r="AJ917" s="185"/>
      <c r="AK917" s="185"/>
      <c r="AL917" s="185"/>
      <c r="AM917" s="185"/>
      <c r="AN917" s="185"/>
      <c r="AO917" s="185"/>
      <c r="AP917" s="185"/>
      <c r="AQ917" s="185"/>
      <c r="AR917" s="185"/>
      <c r="AS917" s="185"/>
      <c r="AT917" s="185"/>
      <c r="AU917" s="185"/>
      <c r="AV917" s="185"/>
      <c r="AW917" s="185"/>
      <c r="AX917" s="185"/>
      <c r="AY917" s="185"/>
      <c r="AZ917" s="185"/>
      <c r="BA917" s="185"/>
      <c r="BB917" s="185"/>
      <c r="BC917" s="185"/>
      <c r="BD917" s="185"/>
      <c r="BE917" s="185"/>
    </row>
    <row r="918">
      <c r="A918" s="152"/>
      <c r="B918" s="152"/>
      <c r="C918" s="152"/>
      <c r="D918" s="152"/>
      <c r="E918" s="152"/>
      <c r="F918" s="152"/>
      <c r="G918" s="152" t="s">
        <v>5354</v>
      </c>
      <c r="H918" s="152" t="s">
        <v>5355</v>
      </c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85"/>
      <c r="AF918" s="185"/>
      <c r="AG918" s="185"/>
      <c r="AH918" s="185"/>
      <c r="AI918" s="185"/>
      <c r="AJ918" s="185"/>
      <c r="AK918" s="185"/>
      <c r="AL918" s="185"/>
      <c r="AM918" s="185"/>
      <c r="AN918" s="185"/>
      <c r="AO918" s="185"/>
      <c r="AP918" s="185"/>
      <c r="AQ918" s="185"/>
      <c r="AR918" s="185"/>
      <c r="AS918" s="185"/>
      <c r="AT918" s="185"/>
      <c r="AU918" s="185"/>
      <c r="AV918" s="185"/>
      <c r="AW918" s="185"/>
      <c r="AX918" s="185"/>
      <c r="AY918" s="185"/>
      <c r="AZ918" s="185"/>
      <c r="BA918" s="185"/>
      <c r="BB918" s="185"/>
      <c r="BC918" s="185"/>
      <c r="BD918" s="185"/>
      <c r="BE918" s="185"/>
    </row>
    <row r="919">
      <c r="A919" s="152"/>
      <c r="B919" s="152"/>
      <c r="C919" s="152"/>
      <c r="D919" s="152"/>
      <c r="E919" s="152"/>
      <c r="F919" s="152"/>
      <c r="G919" s="152" t="s">
        <v>5356</v>
      </c>
      <c r="H919" s="152" t="s">
        <v>5357</v>
      </c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85"/>
      <c r="AF919" s="185"/>
      <c r="AG919" s="185"/>
      <c r="AH919" s="185"/>
      <c r="AI919" s="185"/>
      <c r="AJ919" s="185"/>
      <c r="AK919" s="185"/>
      <c r="AL919" s="185"/>
      <c r="AM919" s="185"/>
      <c r="AN919" s="185"/>
      <c r="AO919" s="185"/>
      <c r="AP919" s="185"/>
      <c r="AQ919" s="185"/>
      <c r="AR919" s="185"/>
      <c r="AS919" s="185"/>
      <c r="AT919" s="185"/>
      <c r="AU919" s="185"/>
      <c r="AV919" s="185"/>
      <c r="AW919" s="185"/>
      <c r="AX919" s="185"/>
      <c r="AY919" s="185"/>
      <c r="AZ919" s="185"/>
      <c r="BA919" s="185"/>
      <c r="BB919" s="185"/>
      <c r="BC919" s="185"/>
      <c r="BD919" s="185"/>
      <c r="BE919" s="185"/>
    </row>
    <row r="920">
      <c r="A920" s="152"/>
      <c r="B920" s="152"/>
      <c r="C920" s="152"/>
      <c r="D920" s="152"/>
      <c r="E920" s="152"/>
      <c r="F920" s="152"/>
      <c r="G920" s="152" t="s">
        <v>5358</v>
      </c>
      <c r="H920" s="152" t="s">
        <v>5359</v>
      </c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85"/>
      <c r="AF920" s="185"/>
      <c r="AG920" s="185"/>
      <c r="AH920" s="185"/>
      <c r="AI920" s="185"/>
      <c r="AJ920" s="185"/>
      <c r="AK920" s="185"/>
      <c r="AL920" s="185"/>
      <c r="AM920" s="185"/>
      <c r="AN920" s="185"/>
      <c r="AO920" s="185"/>
      <c r="AP920" s="185"/>
      <c r="AQ920" s="185"/>
      <c r="AR920" s="185"/>
      <c r="AS920" s="185"/>
      <c r="AT920" s="185"/>
      <c r="AU920" s="185"/>
      <c r="AV920" s="185"/>
      <c r="AW920" s="185"/>
      <c r="AX920" s="185"/>
      <c r="AY920" s="185"/>
      <c r="AZ920" s="185"/>
      <c r="BA920" s="185"/>
      <c r="BB920" s="185"/>
      <c r="BC920" s="185"/>
      <c r="BD920" s="185"/>
      <c r="BE920" s="185"/>
    </row>
    <row r="921">
      <c r="A921" s="152"/>
      <c r="B921" s="152"/>
      <c r="C921" s="152"/>
      <c r="D921" s="152"/>
      <c r="E921" s="152"/>
      <c r="F921" s="152"/>
      <c r="G921" s="163" t="s">
        <v>5360</v>
      </c>
      <c r="H921" s="152" t="s">
        <v>534</v>
      </c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85"/>
      <c r="AF921" s="185"/>
      <c r="AG921" s="185"/>
      <c r="AH921" s="185"/>
      <c r="AI921" s="185"/>
      <c r="AJ921" s="185"/>
      <c r="AK921" s="185"/>
      <c r="AL921" s="185"/>
      <c r="AM921" s="185"/>
      <c r="AN921" s="185"/>
      <c r="AO921" s="185"/>
      <c r="AP921" s="185"/>
      <c r="AQ921" s="185"/>
      <c r="AR921" s="185"/>
      <c r="AS921" s="185"/>
      <c r="AT921" s="185"/>
      <c r="AU921" s="185"/>
      <c r="AV921" s="185"/>
      <c r="AW921" s="185"/>
      <c r="AX921" s="185"/>
      <c r="AY921" s="185"/>
      <c r="AZ921" s="185"/>
      <c r="BA921" s="185"/>
      <c r="BB921" s="185"/>
      <c r="BC921" s="185"/>
      <c r="BD921" s="185"/>
      <c r="BE921" s="185"/>
    </row>
    <row r="922">
      <c r="A922" s="152"/>
      <c r="B922" s="152"/>
      <c r="C922" s="152"/>
      <c r="D922" s="152"/>
      <c r="E922" s="152"/>
      <c r="F922" s="152"/>
      <c r="G922" s="152" t="s">
        <v>5361</v>
      </c>
      <c r="H922" s="152" t="s">
        <v>5362</v>
      </c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85"/>
      <c r="AF922" s="185"/>
      <c r="AG922" s="185"/>
      <c r="AH922" s="185"/>
      <c r="AI922" s="185"/>
      <c r="AJ922" s="185"/>
      <c r="AK922" s="185"/>
      <c r="AL922" s="185"/>
      <c r="AM922" s="185"/>
      <c r="AN922" s="185"/>
      <c r="AO922" s="185"/>
      <c r="AP922" s="185"/>
      <c r="AQ922" s="185"/>
      <c r="AR922" s="185"/>
      <c r="AS922" s="185"/>
      <c r="AT922" s="185"/>
      <c r="AU922" s="185"/>
      <c r="AV922" s="185"/>
      <c r="AW922" s="185"/>
      <c r="AX922" s="185"/>
      <c r="AY922" s="185"/>
      <c r="AZ922" s="185"/>
      <c r="BA922" s="185"/>
      <c r="BB922" s="185"/>
      <c r="BC922" s="185"/>
      <c r="BD922" s="185"/>
      <c r="BE922" s="185"/>
    </row>
    <row r="923">
      <c r="A923" s="152"/>
      <c r="B923" s="152"/>
      <c r="C923" s="152"/>
      <c r="D923" s="152"/>
      <c r="E923" s="152"/>
      <c r="F923" s="152"/>
      <c r="G923" s="152" t="s">
        <v>5363</v>
      </c>
      <c r="H923" s="152" t="s">
        <v>5364</v>
      </c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85"/>
      <c r="AF923" s="185"/>
      <c r="AG923" s="185"/>
      <c r="AH923" s="185"/>
      <c r="AI923" s="185"/>
      <c r="AJ923" s="185"/>
      <c r="AK923" s="185"/>
      <c r="AL923" s="185"/>
      <c r="AM923" s="185"/>
      <c r="AN923" s="185"/>
      <c r="AO923" s="185"/>
      <c r="AP923" s="185"/>
      <c r="AQ923" s="185"/>
      <c r="AR923" s="185"/>
      <c r="AS923" s="185"/>
      <c r="AT923" s="185"/>
      <c r="AU923" s="185"/>
      <c r="AV923" s="185"/>
      <c r="AW923" s="185"/>
      <c r="AX923" s="185"/>
      <c r="AY923" s="185"/>
      <c r="AZ923" s="185"/>
      <c r="BA923" s="185"/>
      <c r="BB923" s="185"/>
      <c r="BC923" s="185"/>
      <c r="BD923" s="185"/>
      <c r="BE923" s="185"/>
    </row>
    <row r="924">
      <c r="A924" s="152"/>
      <c r="B924" s="152"/>
      <c r="C924" s="152"/>
      <c r="D924" s="152"/>
      <c r="E924" s="152"/>
      <c r="F924" s="152"/>
      <c r="G924" s="152" t="s">
        <v>5365</v>
      </c>
      <c r="H924" s="152" t="s">
        <v>5366</v>
      </c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85"/>
      <c r="AF924" s="185"/>
      <c r="AG924" s="185"/>
      <c r="AH924" s="185"/>
      <c r="AI924" s="185"/>
      <c r="AJ924" s="185"/>
      <c r="AK924" s="185"/>
      <c r="AL924" s="185"/>
      <c r="AM924" s="185"/>
      <c r="AN924" s="185"/>
      <c r="AO924" s="185"/>
      <c r="AP924" s="185"/>
      <c r="AQ924" s="185"/>
      <c r="AR924" s="185"/>
      <c r="AS924" s="185"/>
      <c r="AT924" s="185"/>
      <c r="AU924" s="185"/>
      <c r="AV924" s="185"/>
      <c r="AW924" s="185"/>
      <c r="AX924" s="185"/>
      <c r="AY924" s="185"/>
      <c r="AZ924" s="185"/>
      <c r="BA924" s="185"/>
      <c r="BB924" s="185"/>
      <c r="BC924" s="185"/>
      <c r="BD924" s="185"/>
      <c r="BE924" s="185"/>
    </row>
    <row r="925">
      <c r="A925" s="152"/>
      <c r="B925" s="152"/>
      <c r="C925" s="152"/>
      <c r="D925" s="152"/>
      <c r="E925" s="152"/>
      <c r="F925" s="152"/>
      <c r="G925" s="152" t="s">
        <v>5367</v>
      </c>
      <c r="H925" s="152" t="s">
        <v>5368</v>
      </c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85"/>
      <c r="AF925" s="185"/>
      <c r="AG925" s="185"/>
      <c r="AH925" s="185"/>
      <c r="AI925" s="185"/>
      <c r="AJ925" s="185"/>
      <c r="AK925" s="185"/>
      <c r="AL925" s="185"/>
      <c r="AM925" s="185"/>
      <c r="AN925" s="185"/>
      <c r="AO925" s="185"/>
      <c r="AP925" s="185"/>
      <c r="AQ925" s="185"/>
      <c r="AR925" s="185"/>
      <c r="AS925" s="185"/>
      <c r="AT925" s="185"/>
      <c r="AU925" s="185"/>
      <c r="AV925" s="185"/>
      <c r="AW925" s="185"/>
      <c r="AX925" s="185"/>
      <c r="AY925" s="185"/>
      <c r="AZ925" s="185"/>
      <c r="BA925" s="185"/>
      <c r="BB925" s="185"/>
      <c r="BC925" s="185"/>
      <c r="BD925" s="185"/>
      <c r="BE925" s="185"/>
    </row>
    <row r="926">
      <c r="A926" s="152"/>
      <c r="B926" s="152"/>
      <c r="C926" s="152"/>
      <c r="D926" s="152"/>
      <c r="E926" s="152"/>
      <c r="F926" s="152"/>
      <c r="G926" s="152" t="s">
        <v>5369</v>
      </c>
      <c r="H926" s="152" t="s">
        <v>5370</v>
      </c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85"/>
      <c r="AF926" s="185"/>
      <c r="AG926" s="185"/>
      <c r="AH926" s="185"/>
      <c r="AI926" s="185"/>
      <c r="AJ926" s="185"/>
      <c r="AK926" s="185"/>
      <c r="AL926" s="185"/>
      <c r="AM926" s="185"/>
      <c r="AN926" s="185"/>
      <c r="AO926" s="185"/>
      <c r="AP926" s="185"/>
      <c r="AQ926" s="185"/>
      <c r="AR926" s="185"/>
      <c r="AS926" s="185"/>
      <c r="AT926" s="185"/>
      <c r="AU926" s="185"/>
      <c r="AV926" s="185"/>
      <c r="AW926" s="185"/>
      <c r="AX926" s="185"/>
      <c r="AY926" s="185"/>
      <c r="AZ926" s="185"/>
      <c r="BA926" s="185"/>
      <c r="BB926" s="185"/>
      <c r="BC926" s="185"/>
      <c r="BD926" s="185"/>
      <c r="BE926" s="185"/>
    </row>
    <row r="927">
      <c r="A927" s="152"/>
      <c r="B927" s="152"/>
      <c r="C927" s="152"/>
      <c r="D927" s="152"/>
      <c r="E927" s="152"/>
      <c r="F927" s="152"/>
      <c r="G927" s="163" t="s">
        <v>5371</v>
      </c>
      <c r="H927" s="152" t="s">
        <v>5372</v>
      </c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85"/>
      <c r="AF927" s="185"/>
      <c r="AG927" s="185"/>
      <c r="AH927" s="185"/>
      <c r="AI927" s="185"/>
      <c r="AJ927" s="185"/>
      <c r="AK927" s="185"/>
      <c r="AL927" s="185"/>
      <c r="AM927" s="185"/>
      <c r="AN927" s="185"/>
      <c r="AO927" s="185"/>
      <c r="AP927" s="185"/>
      <c r="AQ927" s="185"/>
      <c r="AR927" s="185"/>
      <c r="AS927" s="185"/>
      <c r="AT927" s="185"/>
      <c r="AU927" s="185"/>
      <c r="AV927" s="185"/>
      <c r="AW927" s="185"/>
      <c r="AX927" s="185"/>
      <c r="AY927" s="185"/>
      <c r="AZ927" s="185"/>
      <c r="BA927" s="185"/>
      <c r="BB927" s="185"/>
      <c r="BC927" s="185"/>
      <c r="BD927" s="185"/>
      <c r="BE927" s="185"/>
    </row>
    <row r="928">
      <c r="A928" s="152"/>
      <c r="B928" s="152"/>
      <c r="C928" s="152"/>
      <c r="D928" s="152"/>
      <c r="E928" s="152"/>
      <c r="F928" s="152"/>
      <c r="G928" s="152" t="s">
        <v>5373</v>
      </c>
      <c r="H928" s="152" t="s">
        <v>5374</v>
      </c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85"/>
      <c r="AF928" s="185"/>
      <c r="AG928" s="185"/>
      <c r="AH928" s="185"/>
      <c r="AI928" s="185"/>
      <c r="AJ928" s="185"/>
      <c r="AK928" s="185"/>
      <c r="AL928" s="185"/>
      <c r="AM928" s="185"/>
      <c r="AN928" s="185"/>
      <c r="AO928" s="185"/>
      <c r="AP928" s="185"/>
      <c r="AQ928" s="185"/>
      <c r="AR928" s="185"/>
      <c r="AS928" s="185"/>
      <c r="AT928" s="185"/>
      <c r="AU928" s="185"/>
      <c r="AV928" s="185"/>
      <c r="AW928" s="185"/>
      <c r="AX928" s="185"/>
      <c r="AY928" s="185"/>
      <c r="AZ928" s="185"/>
      <c r="BA928" s="185"/>
      <c r="BB928" s="185"/>
      <c r="BC928" s="185"/>
      <c r="BD928" s="185"/>
      <c r="BE928" s="185"/>
    </row>
    <row r="929">
      <c r="A929" s="152"/>
      <c r="B929" s="152"/>
      <c r="C929" s="152"/>
      <c r="D929" s="152"/>
      <c r="E929" s="152"/>
      <c r="F929" s="152"/>
      <c r="G929" s="152" t="s">
        <v>5375</v>
      </c>
      <c r="H929" s="152" t="s">
        <v>5376</v>
      </c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85"/>
      <c r="AF929" s="185"/>
      <c r="AG929" s="185"/>
      <c r="AH929" s="185"/>
      <c r="AI929" s="185"/>
      <c r="AJ929" s="185"/>
      <c r="AK929" s="185"/>
      <c r="AL929" s="185"/>
      <c r="AM929" s="185"/>
      <c r="AN929" s="185"/>
      <c r="AO929" s="185"/>
      <c r="AP929" s="185"/>
      <c r="AQ929" s="185"/>
      <c r="AR929" s="185"/>
      <c r="AS929" s="185"/>
      <c r="AT929" s="185"/>
      <c r="AU929" s="185"/>
      <c r="AV929" s="185"/>
      <c r="AW929" s="185"/>
      <c r="AX929" s="185"/>
      <c r="AY929" s="185"/>
      <c r="AZ929" s="185"/>
      <c r="BA929" s="185"/>
      <c r="BB929" s="185"/>
      <c r="BC929" s="185"/>
      <c r="BD929" s="185"/>
      <c r="BE929" s="185"/>
    </row>
    <row r="930">
      <c r="A930" s="152"/>
      <c r="B930" s="152"/>
      <c r="C930" s="152"/>
      <c r="D930" s="152"/>
      <c r="E930" s="152"/>
      <c r="F930" s="152"/>
      <c r="G930" s="152" t="s">
        <v>5377</v>
      </c>
      <c r="H930" s="152" t="s">
        <v>5378</v>
      </c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85"/>
      <c r="AF930" s="185"/>
      <c r="AG930" s="185"/>
      <c r="AH930" s="185"/>
      <c r="AI930" s="185"/>
      <c r="AJ930" s="185"/>
      <c r="AK930" s="185"/>
      <c r="AL930" s="185"/>
      <c r="AM930" s="185"/>
      <c r="AN930" s="185"/>
      <c r="AO930" s="185"/>
      <c r="AP930" s="185"/>
      <c r="AQ930" s="185"/>
      <c r="AR930" s="185"/>
      <c r="AS930" s="185"/>
      <c r="AT930" s="185"/>
      <c r="AU930" s="185"/>
      <c r="AV930" s="185"/>
      <c r="AW930" s="185"/>
      <c r="AX930" s="185"/>
      <c r="AY930" s="185"/>
      <c r="AZ930" s="185"/>
      <c r="BA930" s="185"/>
      <c r="BB930" s="185"/>
      <c r="BC930" s="185"/>
      <c r="BD930" s="185"/>
      <c r="BE930" s="185"/>
    </row>
    <row r="931">
      <c r="A931" s="152"/>
      <c r="B931" s="152"/>
      <c r="C931" s="152"/>
      <c r="D931" s="152"/>
      <c r="E931" s="152"/>
      <c r="F931" s="152"/>
      <c r="G931" s="152" t="s">
        <v>5379</v>
      </c>
      <c r="H931" s="152" t="s">
        <v>5380</v>
      </c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85"/>
      <c r="AF931" s="185"/>
      <c r="AG931" s="185"/>
      <c r="AH931" s="185"/>
      <c r="AI931" s="185"/>
      <c r="AJ931" s="185"/>
      <c r="AK931" s="185"/>
      <c r="AL931" s="185"/>
      <c r="AM931" s="185"/>
      <c r="AN931" s="185"/>
      <c r="AO931" s="185"/>
      <c r="AP931" s="185"/>
      <c r="AQ931" s="185"/>
      <c r="AR931" s="185"/>
      <c r="AS931" s="185"/>
      <c r="AT931" s="185"/>
      <c r="AU931" s="185"/>
      <c r="AV931" s="185"/>
      <c r="AW931" s="185"/>
      <c r="AX931" s="185"/>
      <c r="AY931" s="185"/>
      <c r="AZ931" s="185"/>
      <c r="BA931" s="185"/>
      <c r="BB931" s="185"/>
      <c r="BC931" s="185"/>
      <c r="BD931" s="185"/>
      <c r="BE931" s="185"/>
    </row>
    <row r="932">
      <c r="A932" s="152"/>
      <c r="B932" s="152"/>
      <c r="C932" s="152"/>
      <c r="D932" s="152"/>
      <c r="E932" s="152"/>
      <c r="F932" s="152"/>
      <c r="G932" s="152" t="s">
        <v>5381</v>
      </c>
      <c r="H932" s="152" t="s">
        <v>5382</v>
      </c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85"/>
      <c r="AF932" s="185"/>
      <c r="AG932" s="185"/>
      <c r="AH932" s="185"/>
      <c r="AI932" s="185"/>
      <c r="AJ932" s="185"/>
      <c r="AK932" s="185"/>
      <c r="AL932" s="185"/>
      <c r="AM932" s="185"/>
      <c r="AN932" s="185"/>
      <c r="AO932" s="185"/>
      <c r="AP932" s="185"/>
      <c r="AQ932" s="185"/>
      <c r="AR932" s="185"/>
      <c r="AS932" s="185"/>
      <c r="AT932" s="185"/>
      <c r="AU932" s="185"/>
      <c r="AV932" s="185"/>
      <c r="AW932" s="185"/>
      <c r="AX932" s="185"/>
      <c r="AY932" s="185"/>
      <c r="AZ932" s="185"/>
      <c r="BA932" s="185"/>
      <c r="BB932" s="185"/>
      <c r="BC932" s="185"/>
      <c r="BD932" s="185"/>
      <c r="BE932" s="185"/>
    </row>
    <row r="933">
      <c r="A933" s="152"/>
      <c r="B933" s="152"/>
      <c r="C933" s="152"/>
      <c r="D933" s="152"/>
      <c r="E933" s="152"/>
      <c r="F933" s="152"/>
      <c r="G933" s="157" t="s">
        <v>5383</v>
      </c>
      <c r="H933" s="157" t="s">
        <v>1243</v>
      </c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85"/>
      <c r="AF933" s="185"/>
      <c r="AG933" s="185"/>
      <c r="AH933" s="185"/>
      <c r="AI933" s="185"/>
      <c r="AJ933" s="185"/>
      <c r="AK933" s="185"/>
      <c r="AL933" s="185"/>
      <c r="AM933" s="185"/>
      <c r="AN933" s="185"/>
      <c r="AO933" s="185"/>
      <c r="AP933" s="185"/>
      <c r="AQ933" s="185"/>
      <c r="AR933" s="185"/>
      <c r="AS933" s="185"/>
      <c r="AT933" s="185"/>
      <c r="AU933" s="185"/>
      <c r="AV933" s="185"/>
      <c r="AW933" s="185"/>
      <c r="AX933" s="185"/>
      <c r="AY933" s="185"/>
      <c r="AZ933" s="185"/>
      <c r="BA933" s="185"/>
      <c r="BB933" s="185"/>
      <c r="BC933" s="185"/>
      <c r="BD933" s="185"/>
      <c r="BE933" s="185"/>
    </row>
    <row r="934">
      <c r="A934" s="152"/>
      <c r="B934" s="152"/>
      <c r="C934" s="152"/>
      <c r="D934" s="152"/>
      <c r="E934" s="152"/>
      <c r="F934" s="152"/>
      <c r="G934" s="152" t="s">
        <v>5384</v>
      </c>
      <c r="H934" s="152" t="s">
        <v>5385</v>
      </c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85"/>
      <c r="AF934" s="185"/>
      <c r="AG934" s="185"/>
      <c r="AH934" s="185"/>
      <c r="AI934" s="185"/>
      <c r="AJ934" s="185"/>
      <c r="AK934" s="185"/>
      <c r="AL934" s="185"/>
      <c r="AM934" s="185"/>
      <c r="AN934" s="185"/>
      <c r="AO934" s="185"/>
      <c r="AP934" s="185"/>
      <c r="AQ934" s="185"/>
      <c r="AR934" s="185"/>
      <c r="AS934" s="185"/>
      <c r="AT934" s="185"/>
      <c r="AU934" s="185"/>
      <c r="AV934" s="185"/>
      <c r="AW934" s="185"/>
      <c r="AX934" s="185"/>
      <c r="AY934" s="185"/>
      <c r="AZ934" s="185"/>
      <c r="BA934" s="185"/>
      <c r="BB934" s="185"/>
      <c r="BC934" s="185"/>
      <c r="BD934" s="185"/>
      <c r="BE934" s="185"/>
    </row>
    <row r="935">
      <c r="A935" s="152"/>
      <c r="B935" s="152"/>
      <c r="G935" s="83" t="s">
        <v>5386</v>
      </c>
      <c r="H935" s="83" t="s">
        <v>5386</v>
      </c>
    </row>
    <row r="936">
      <c r="A936" s="185"/>
      <c r="B936" s="185"/>
      <c r="G936" s="83" t="s">
        <v>5387</v>
      </c>
      <c r="H936" s="83" t="s">
        <v>5388</v>
      </c>
    </row>
    <row r="937">
      <c r="A937" s="185"/>
      <c r="B937" s="185"/>
      <c r="G937" s="190" t="s">
        <v>5389</v>
      </c>
      <c r="H937" s="190" t="s">
        <v>5389</v>
      </c>
    </row>
    <row r="938">
      <c r="A938" s="185"/>
      <c r="B938" s="185"/>
    </row>
    <row r="939">
      <c r="A939" s="185"/>
      <c r="B939" s="185"/>
    </row>
    <row r="940">
      <c r="A940" s="185"/>
      <c r="B940" s="185"/>
    </row>
    <row r="941">
      <c r="A941" s="185"/>
      <c r="B941" s="185"/>
    </row>
    <row r="942">
      <c r="A942" s="185"/>
      <c r="B942" s="185"/>
    </row>
    <row r="943">
      <c r="A943" s="185"/>
      <c r="B943" s="185"/>
    </row>
    <row r="944">
      <c r="A944" s="185"/>
      <c r="B944" s="185"/>
    </row>
    <row r="945">
      <c r="A945" s="185"/>
      <c r="B945" s="185"/>
    </row>
  </sheetData>
  <mergeCells count="38">
    <mergeCell ref="AS1:AU1"/>
    <mergeCell ref="AV1:AX1"/>
    <mergeCell ref="AY1:AZ1"/>
    <mergeCell ref="BA1:BB1"/>
    <mergeCell ref="BC1:BE1"/>
    <mergeCell ref="V1:X1"/>
    <mergeCell ref="Y1:AA1"/>
    <mergeCell ref="AB1:AD1"/>
    <mergeCell ref="AE1:AG1"/>
    <mergeCell ref="AH1:AJ1"/>
    <mergeCell ref="AK1:AM1"/>
    <mergeCell ref="AN1:AP1"/>
    <mergeCell ref="A1:C1"/>
    <mergeCell ref="D1:F1"/>
    <mergeCell ref="G1:I1"/>
    <mergeCell ref="J1:L1"/>
    <mergeCell ref="M1:O1"/>
    <mergeCell ref="P1:R1"/>
    <mergeCell ref="S1:U1"/>
    <mergeCell ref="A2:C2"/>
    <mergeCell ref="D2:F2"/>
    <mergeCell ref="G2:I2"/>
    <mergeCell ref="J2:L2"/>
    <mergeCell ref="M2:O2"/>
    <mergeCell ref="P2:R2"/>
    <mergeCell ref="S2:U2"/>
    <mergeCell ref="AS2:AU2"/>
    <mergeCell ref="AV2:AX2"/>
    <mergeCell ref="AY2:AZ2"/>
    <mergeCell ref="BA2:BB2"/>
    <mergeCell ref="BC2:BE2"/>
    <mergeCell ref="V2:X2"/>
    <mergeCell ref="Y2:AA2"/>
    <mergeCell ref="AB2:AD2"/>
    <mergeCell ref="AE2:AG2"/>
    <mergeCell ref="AH2:AJ2"/>
    <mergeCell ref="AK2:AM2"/>
    <mergeCell ref="AN2:AP2"/>
  </mergeCells>
  <hyperlinks>
    <hyperlink r:id="rId1" ref="G5"/>
    <hyperlink r:id="rId2" ref="G11"/>
    <hyperlink r:id="rId3" ref="G15"/>
    <hyperlink r:id="rId4" ref="D16"/>
    <hyperlink r:id="rId5" ref="G31"/>
    <hyperlink r:id="rId6" ref="BA41"/>
    <hyperlink r:id="rId7" ref="G46"/>
    <hyperlink r:id="rId8" ref="D47"/>
    <hyperlink r:id="rId9" ref="G57"/>
    <hyperlink r:id="rId10" ref="G58"/>
    <hyperlink r:id="rId11" ref="G60"/>
    <hyperlink r:id="rId12" ref="G64"/>
    <hyperlink r:id="rId13" ref="G76"/>
    <hyperlink r:id="rId14" ref="G78"/>
    <hyperlink r:id="rId15" ref="G81"/>
    <hyperlink r:id="rId16" ref="G85"/>
    <hyperlink r:id="rId17" ref="G89"/>
    <hyperlink r:id="rId18" ref="G91"/>
    <hyperlink r:id="rId19" ref="G92"/>
    <hyperlink r:id="rId20" ref="G94"/>
    <hyperlink r:id="rId21" ref="G97"/>
    <hyperlink r:id="rId22" ref="D105"/>
    <hyperlink r:id="rId23" ref="D107"/>
    <hyperlink r:id="rId24" ref="G108"/>
    <hyperlink r:id="rId25" ref="G116"/>
    <hyperlink r:id="rId26" ref="G125"/>
    <hyperlink r:id="rId27" ref="G126"/>
    <hyperlink r:id="rId28" ref="G127"/>
    <hyperlink r:id="rId29" ref="G129"/>
    <hyperlink r:id="rId30" ref="G135"/>
    <hyperlink r:id="rId31" ref="G140"/>
    <hyperlink r:id="rId32" ref="G141"/>
    <hyperlink r:id="rId33" ref="G143"/>
    <hyperlink r:id="rId34" ref="G148"/>
    <hyperlink r:id="rId35" ref="G149"/>
    <hyperlink r:id="rId36" ref="G158"/>
    <hyperlink r:id="rId37" ref="G160"/>
    <hyperlink r:id="rId38" ref="G163"/>
    <hyperlink r:id="rId39" ref="G168"/>
    <hyperlink r:id="rId40" ref="G181"/>
    <hyperlink r:id="rId41" ref="G185"/>
    <hyperlink r:id="rId42" ref="G186"/>
    <hyperlink r:id="rId43" ref="D187"/>
    <hyperlink r:id="rId44" ref="G190"/>
    <hyperlink r:id="rId45" ref="G192"/>
    <hyperlink r:id="rId46" ref="G202"/>
    <hyperlink r:id="rId47" ref="G204"/>
    <hyperlink r:id="rId48" ref="G205"/>
    <hyperlink r:id="rId49" ref="G206"/>
    <hyperlink r:id="rId50" ref="G207"/>
    <hyperlink r:id="rId51" ref="G208"/>
    <hyperlink r:id="rId52" ref="G210"/>
    <hyperlink r:id="rId53" ref="G213"/>
    <hyperlink r:id="rId54" ref="G214"/>
    <hyperlink r:id="rId55" ref="G218"/>
    <hyperlink r:id="rId56" ref="G232"/>
    <hyperlink r:id="rId57" ref="G242"/>
    <hyperlink r:id="rId58" ref="G246"/>
    <hyperlink r:id="rId59" ref="G249"/>
    <hyperlink r:id="rId60" ref="G250"/>
    <hyperlink r:id="rId61" ref="G262"/>
    <hyperlink r:id="rId62" ref="G267"/>
    <hyperlink r:id="rId63" ref="G268"/>
    <hyperlink r:id="rId64" ref="D270"/>
    <hyperlink r:id="rId65" ref="G282"/>
    <hyperlink r:id="rId66" ref="G285"/>
    <hyperlink r:id="rId67" ref="G290"/>
    <hyperlink r:id="rId68" ref="G296"/>
    <hyperlink r:id="rId69" ref="G302"/>
    <hyperlink r:id="rId70" ref="G306"/>
    <hyperlink r:id="rId71" ref="D310"/>
    <hyperlink r:id="rId72" ref="G310"/>
    <hyperlink r:id="rId73" ref="G312"/>
    <hyperlink r:id="rId74" ref="G314"/>
    <hyperlink r:id="rId75" ref="G319"/>
    <hyperlink r:id="rId76" ref="G321"/>
    <hyperlink r:id="rId77" ref="D322"/>
    <hyperlink r:id="rId78" ref="G322"/>
    <hyperlink r:id="rId79" ref="G324"/>
    <hyperlink r:id="rId80" ref="G325"/>
    <hyperlink r:id="rId81" ref="G328"/>
    <hyperlink r:id="rId82" ref="D330"/>
    <hyperlink r:id="rId83" ref="G334"/>
    <hyperlink r:id="rId84" ref="G345"/>
    <hyperlink r:id="rId85" ref="G351"/>
    <hyperlink r:id="rId86" ref="G352"/>
    <hyperlink r:id="rId87" ref="G355"/>
    <hyperlink r:id="rId88" ref="G365"/>
    <hyperlink r:id="rId89" ref="G368"/>
    <hyperlink r:id="rId90" ref="G379"/>
    <hyperlink r:id="rId91" ref="G381"/>
    <hyperlink r:id="rId92" ref="G385"/>
    <hyperlink r:id="rId93" ref="G394"/>
    <hyperlink r:id="rId94" ref="G402"/>
    <hyperlink r:id="rId95" ref="G404"/>
    <hyperlink r:id="rId96" ref="D407"/>
    <hyperlink r:id="rId97" ref="G407"/>
    <hyperlink r:id="rId98" ref="G415"/>
    <hyperlink r:id="rId99" ref="G418"/>
    <hyperlink r:id="rId100" ref="G428"/>
    <hyperlink r:id="rId101" ref="G429"/>
    <hyperlink r:id="rId102" ref="G430"/>
    <hyperlink r:id="rId103" ref="G431"/>
    <hyperlink r:id="rId104" ref="G437"/>
    <hyperlink r:id="rId105" ref="G438"/>
    <hyperlink r:id="rId106" ref="G441"/>
    <hyperlink r:id="rId107" ref="G442"/>
    <hyperlink r:id="rId108" ref="G444"/>
    <hyperlink r:id="rId109" ref="G450"/>
    <hyperlink r:id="rId110" ref="G466"/>
    <hyperlink r:id="rId111" ref="G467"/>
    <hyperlink r:id="rId112" ref="G468"/>
    <hyperlink r:id="rId113" ref="G469"/>
    <hyperlink r:id="rId114" ref="G486"/>
    <hyperlink r:id="rId115" ref="G488"/>
    <hyperlink r:id="rId116" ref="G491"/>
    <hyperlink r:id="rId117" ref="G498"/>
    <hyperlink r:id="rId118" ref="D520"/>
    <hyperlink r:id="rId119" ref="G525"/>
    <hyperlink r:id="rId120" ref="G534"/>
    <hyperlink r:id="rId121" ref="G535"/>
    <hyperlink r:id="rId122" ref="G537"/>
    <hyperlink r:id="rId123" ref="G546"/>
    <hyperlink r:id="rId124" ref="G548"/>
    <hyperlink r:id="rId125" ref="G549"/>
    <hyperlink r:id="rId126" ref="G550"/>
    <hyperlink r:id="rId127" ref="G561"/>
    <hyperlink r:id="rId128" ref="G563"/>
    <hyperlink r:id="rId129" ref="G564"/>
    <hyperlink r:id="rId130" ref="G569"/>
    <hyperlink r:id="rId131" ref="G582"/>
    <hyperlink r:id="rId132" ref="G583"/>
    <hyperlink r:id="rId133" ref="G594"/>
    <hyperlink r:id="rId134" ref="G609"/>
    <hyperlink r:id="rId135" ref="G641"/>
    <hyperlink r:id="rId136" ref="G645"/>
    <hyperlink r:id="rId137" ref="G651"/>
    <hyperlink r:id="rId138" ref="D652"/>
    <hyperlink r:id="rId139" ref="G652"/>
    <hyperlink r:id="rId140" ref="G656"/>
    <hyperlink r:id="rId141" ref="G670"/>
    <hyperlink r:id="rId142" ref="G672"/>
    <hyperlink r:id="rId143" ref="G673"/>
    <hyperlink r:id="rId144" ref="G681"/>
    <hyperlink r:id="rId145" ref="G692"/>
    <hyperlink r:id="rId146" ref="G701"/>
    <hyperlink r:id="rId147" ref="G702"/>
    <hyperlink r:id="rId148" ref="G703"/>
    <hyperlink r:id="rId149" ref="G705"/>
    <hyperlink r:id="rId150" ref="G708"/>
    <hyperlink r:id="rId151" ref="G711"/>
    <hyperlink r:id="rId152" ref="G712"/>
    <hyperlink r:id="rId153" ref="D714"/>
    <hyperlink r:id="rId154" ref="G714"/>
    <hyperlink r:id="rId155" ref="D718"/>
    <hyperlink r:id="rId156" ref="G718"/>
    <hyperlink r:id="rId157" ref="G724"/>
    <hyperlink r:id="rId158" ref="D731"/>
    <hyperlink r:id="rId159" ref="G745"/>
    <hyperlink r:id="rId160" ref="G764"/>
    <hyperlink r:id="rId161" ref="G766"/>
    <hyperlink r:id="rId162" ref="G771"/>
    <hyperlink r:id="rId163" ref="G797"/>
    <hyperlink r:id="rId164" ref="G800"/>
    <hyperlink r:id="rId165" ref="G806"/>
    <hyperlink r:id="rId166" ref="G818"/>
    <hyperlink r:id="rId167" ref="G825"/>
    <hyperlink r:id="rId168" ref="G835"/>
    <hyperlink r:id="rId169" ref="G840"/>
    <hyperlink r:id="rId170" ref="G860"/>
    <hyperlink r:id="rId171" ref="G862"/>
    <hyperlink r:id="rId172" ref="G863"/>
    <hyperlink r:id="rId173" ref="G864"/>
    <hyperlink r:id="rId174" ref="G865"/>
    <hyperlink r:id="rId175" ref="G866"/>
    <hyperlink r:id="rId176" ref="G867"/>
    <hyperlink r:id="rId177" ref="G868"/>
    <hyperlink r:id="rId178" ref="G869"/>
    <hyperlink r:id="rId179" ref="G870"/>
    <hyperlink r:id="rId180" ref="G871"/>
    <hyperlink r:id="rId181" ref="G872"/>
    <hyperlink r:id="rId182" ref="G873"/>
    <hyperlink r:id="rId183" ref="G874"/>
    <hyperlink r:id="rId184" ref="G875"/>
    <hyperlink r:id="rId185" ref="G876"/>
    <hyperlink r:id="rId186" ref="G877"/>
    <hyperlink r:id="rId187" ref="G878"/>
    <hyperlink r:id="rId188" ref="G879"/>
    <hyperlink r:id="rId189" ref="G880"/>
    <hyperlink r:id="rId190" ref="G881"/>
    <hyperlink r:id="rId191" ref="G882"/>
    <hyperlink r:id="rId192" ref="G883"/>
    <hyperlink r:id="rId193" ref="G886"/>
    <hyperlink r:id="rId194" ref="G895"/>
    <hyperlink r:id="rId195" ref="G897"/>
    <hyperlink r:id="rId196" ref="G921"/>
    <hyperlink r:id="rId197" ref="G927"/>
  </hyperlinks>
  <printOptions/>
  <pageMargins bottom="0.787401575" footer="0.0" header="0.0" left="0.511811024" right="0.511811024" top="0.787401575"/>
  <pageSetup orientation="landscape"/>
  <drawing r:id="rId198"/>
</worksheet>
</file>