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J:\MIDIA\2020 Planning\Pós Vendas\02_ADP\Oficina de Clássicos\"/>
    </mc:Choice>
  </mc:AlternateContent>
  <xr:revisionPtr revIDLastSave="0" documentId="13_ncr:1_{CE147AB9-3152-4BD6-A5F4-E082A5F914A1}" xr6:coauthVersionLast="45" xr6:coauthVersionMax="45" xr10:uidLastSave="{00000000-0000-0000-0000-000000000000}"/>
  <bookViews>
    <workbookView xWindow="-120" yWindow="-120" windowWidth="20730" windowHeight="11160" activeTab="1" xr2:uid="{5C905383-3BE9-4CDF-A385-B91C6C7CBA37}"/>
  </bookViews>
  <sheets>
    <sheet name="Campanha" sheetId="1" r:id="rId1"/>
    <sheet name="ADP " sheetId="2" r:id="rId2"/>
    <sheet name="Placement" sheetId="6" r:id="rId3"/>
    <sheet name="Contadores" sheetId="5" r:id="rId4"/>
    <sheet name="All Codes" sheetId="4" r:id="rId5"/>
  </sheets>
  <functionGroups builtInGroupCount="19"/>
  <definedNames>
    <definedName name="_xlnm._FilterDatabase" localSheetId="1" hidden="1">'ADP '!$A$2:$AN$628</definedName>
    <definedName name="_xlnm._FilterDatabase" localSheetId="4" hidden="1">'All Codes'!$AR$1:$AS$258</definedName>
    <definedName name="_xlnm._FilterDatabase" localSheetId="3" hidden="1">Contadores!$A$1:$B$1</definedName>
    <definedName name="_xlnm._FilterDatabase" localSheetId="2" hidden="1">Placement!$A$1:$B$1</definedName>
    <definedName name="_Key1" localSheetId="2" hidden="1">#REF!</definedName>
    <definedName name="_Key1" hidden="1">#REF!</definedName>
    <definedName name="_Key2" localSheetId="2" hidden="1">#REF!</definedName>
    <definedName name="_Key2" hidden="1">#REF!</definedName>
    <definedName name="_Order1" hidden="1">255</definedName>
    <definedName name="_Order2" hidden="1">0</definedName>
    <definedName name="_Sort" localSheetId="2" hidden="1">#REF!</definedName>
    <definedName name="_Sort" hidden="1">#REF!</definedName>
    <definedName name="cel_campaing">Campanha!$B$13</definedName>
    <definedName name="cel_country">Campanha!$B$5</definedName>
    <definedName name="cel_mediachannel">Campanha!$B$7</definedName>
    <definedName name="cel_modelvariant">Campanha!$B$12</definedName>
    <definedName name="cel_planningprinciple">Campanha!$B$6</definedName>
    <definedName name="col_adname">'ADP '!$AF:$AF</definedName>
    <definedName name="col_buyingmetric">'ADP '!$K:$K</definedName>
    <definedName name="col_buyingtype">'ADP '!$J:$J</definedName>
    <definedName name="col_device">'ADP '!$O:$O</definedName>
    <definedName name="col_keyword">'ADP '!$AN:$AN</definedName>
    <definedName name="col_localfreetype">'ADP '!$P:$P</definedName>
    <definedName name="col_paidvsav">'ADP '!$S:$S</definedName>
    <definedName name="col_placement">'ADP '!$AE:$AE</definedName>
    <definedName name="col_segmentacao">'ADP '!$Q:$Q</definedName>
    <definedName name="col_servidopor">'ADP '!$G:$G</definedName>
    <definedName name="col_sitesection">'ADP '!$N:$N</definedName>
    <definedName name="col_size">'ADP '!$T:$T</definedName>
    <definedName name="col_submediachannel">'ADP '!$I:$I</definedName>
    <definedName name="col_supplier">'ADP '!$H:$H</definedName>
    <definedName name="col_trackingtype">'ADP '!$L:$L</definedName>
    <definedName name="col_unitname">'ADP '!$M:$M</definedName>
    <definedName name="col_url">'ADP '!$AC:$AC</definedName>
    <definedName name="col_utmcampaign">'ADP '!$AL:$AL</definedName>
    <definedName name="col_utmcontent">'ADP '!$AM:$AM</definedName>
    <definedName name="col_utmmedium">'ADP '!$AK:$AK</definedName>
    <definedName name="col_utmsource">'ADP '!$AJ:$AJ</definedName>
    <definedName name="id_placement">Placement!$A:$B</definedName>
    <definedName name="list_brand">'All Codes'!$B$3:$B$4</definedName>
    <definedName name="list_buyingmetric">'All Codes'!$E$3:$E$9</definedName>
    <definedName name="list_buyingtype">'All Codes'!$H$3:$H$5</definedName>
    <definedName name="list_campaigncategory">'All Codes'!$K$3:$K$7</definedName>
    <definedName name="list_campaigntype">'All Codes'!$N$3:$N$6</definedName>
    <definedName name="list_country">'All Codes'!$Q$3:$Q$34</definedName>
    <definedName name="list_date">'All Codes'!$T$3:$T$27</definedName>
    <definedName name="list_device">'All Codes'!$W$3:$W$7</definedName>
    <definedName name="list_mediachannel">'All Codes'!$Z$3:$Z$8</definedName>
    <definedName name="list_model">'All Codes'!$AC$3:$AC$51</definedName>
    <definedName name="list_modelvariant">'All Codes'!$AF$3:$AF$96</definedName>
    <definedName name="list_paidvsav">'All Codes'!$AI$3:$AI$7</definedName>
    <definedName name="list_planningprinciple">'All Codes'!$AL$3:$AL$6</definedName>
    <definedName name="list_servidopor">'All Codes'!$AO$3:$AO$7</definedName>
    <definedName name="list_site">'All Codes'!$AR$3:$AR$80</definedName>
    <definedName name="list_sitesection">'All Codes'!$AU$3:$AU$7</definedName>
    <definedName name="list_size">'All Codes'!$AX$3:$AX$279</definedName>
    <definedName name="list_strategyphase">'All Codes'!$BA$3:$BA$11</definedName>
    <definedName name="list_submediachannel">'All Codes'!$BD$3:$BD$10</definedName>
    <definedName name="list_trackingtype">'All Codes'!$BG$3:$BG$10</definedName>
    <definedName name="list_type">'All Codes'!$BJ$3:$BJ$5</definedName>
    <definedName name="list_unitname">'All Codes'!$BM$3:$BM$10</definedName>
    <definedName name="tab_buyingmetric">'All Codes'!$E:$F</definedName>
    <definedName name="tab_buyingtype">'All Codes'!$H:$I</definedName>
    <definedName name="tab_campaigncategory">'All Codes'!$K:$L</definedName>
    <definedName name="tab_campaigntype">'All Codes'!$N:$O</definedName>
    <definedName name="tab_contadores" localSheetId="2">Placement!$A:$B</definedName>
    <definedName name="tab_contadores">Contadores!$A:$B</definedName>
    <definedName name="tab_country">'All Codes'!$Q:$R</definedName>
    <definedName name="tab_date">'All Codes'!$T:$U</definedName>
    <definedName name="tab_device">'All Codes'!$W:$X</definedName>
    <definedName name="tab_mediachannel">'All Codes'!$Z:$AA</definedName>
    <definedName name="tab_model">'All Codes'!$AC:$AD</definedName>
    <definedName name="tab_modelvariant">'All Codes'!$AF:$AG</definedName>
    <definedName name="tab_paidvsav">'All Codes'!$AI:$AJ</definedName>
    <definedName name="tab_planningprinciple">'All Codes'!$AL:$AM</definedName>
    <definedName name="tab_sitesection">'All Codes'!$AU:$AV</definedName>
    <definedName name="tab_strategyphase">'All Codes'!$BA:$BB</definedName>
    <definedName name="tab_submediachannel">'All Codes'!$BD:$BE</definedName>
    <definedName name="tab_trackingtype">'All Codes'!$BG:$BH</definedName>
    <definedName name="tab_type">'All Codes'!$BJ:$BK</definedName>
    <definedName name="tab_unitname">'All Codes'!$BM:$BN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L568" i="2" l="1"/>
  <c r="AK568" i="2"/>
  <c r="AJ568" i="2"/>
  <c r="AI568" i="2"/>
  <c r="AG568" i="2"/>
  <c r="AL567" i="2"/>
  <c r="AK567" i="2"/>
  <c r="AJ567" i="2"/>
  <c r="AI567" i="2"/>
  <c r="AG567" i="2"/>
  <c r="AL566" i="2"/>
  <c r="AK566" i="2"/>
  <c r="AJ566" i="2"/>
  <c r="AI566" i="2"/>
  <c r="AG566" i="2"/>
  <c r="AL565" i="2"/>
  <c r="AK565" i="2"/>
  <c r="AJ565" i="2"/>
  <c r="AI565" i="2"/>
  <c r="AG565" i="2"/>
  <c r="AL564" i="2"/>
  <c r="AK564" i="2"/>
  <c r="AJ564" i="2"/>
  <c r="AI564" i="2"/>
  <c r="AG564" i="2"/>
  <c r="AL563" i="2"/>
  <c r="AK563" i="2"/>
  <c r="AJ563" i="2"/>
  <c r="AI563" i="2"/>
  <c r="AG563" i="2"/>
  <c r="AL562" i="2"/>
  <c r="AK562" i="2"/>
  <c r="AJ562" i="2"/>
  <c r="AI562" i="2"/>
  <c r="AG562" i="2"/>
  <c r="AL561" i="2"/>
  <c r="AK561" i="2"/>
  <c r="AJ561" i="2"/>
  <c r="AI561" i="2"/>
  <c r="AG561" i="2"/>
  <c r="AL560" i="2"/>
  <c r="AK560" i="2"/>
  <c r="AJ560" i="2"/>
  <c r="AI560" i="2"/>
  <c r="AG560" i="2"/>
  <c r="AL559" i="2"/>
  <c r="AK559" i="2"/>
  <c r="AJ559" i="2"/>
  <c r="AI559" i="2"/>
  <c r="AG559" i="2"/>
  <c r="AE568" i="2"/>
  <c r="AE567" i="2"/>
  <c r="AF566" i="2"/>
  <c r="AE566" i="2"/>
  <c r="AF565" i="2"/>
  <c r="AE565" i="2"/>
  <c r="AF564" i="2"/>
  <c r="AE564" i="2"/>
  <c r="AF568" i="2"/>
  <c r="AF567" i="2"/>
  <c r="AE563" i="2"/>
  <c r="AF562" i="2"/>
  <c r="AE562" i="2"/>
  <c r="AF561" i="2"/>
  <c r="AE561" i="2"/>
  <c r="AF560" i="2"/>
  <c r="AE560" i="2"/>
  <c r="AF559" i="2"/>
  <c r="AE559" i="2"/>
  <c r="AF563" i="2"/>
  <c r="AM567" i="2" l="1"/>
  <c r="AM568" i="2"/>
  <c r="AM564" i="2"/>
  <c r="AM565" i="2"/>
  <c r="AM566" i="2"/>
  <c r="AM563" i="2"/>
  <c r="AM559" i="2"/>
  <c r="AM560" i="2"/>
  <c r="AM561" i="2"/>
  <c r="AM562" i="2"/>
  <c r="AK557" i="2"/>
  <c r="AJ557" i="2"/>
  <c r="AI557" i="2"/>
  <c r="AG557" i="2"/>
  <c r="AK556" i="2"/>
  <c r="AJ556" i="2"/>
  <c r="AI556" i="2"/>
  <c r="AG556" i="2"/>
  <c r="AK555" i="2"/>
  <c r="AJ555" i="2"/>
  <c r="AI555" i="2"/>
  <c r="AG555" i="2"/>
  <c r="AK554" i="2"/>
  <c r="AJ554" i="2"/>
  <c r="AI554" i="2"/>
  <c r="AG554" i="2"/>
  <c r="AK553" i="2"/>
  <c r="AJ553" i="2"/>
  <c r="AI553" i="2"/>
  <c r="AG553" i="2"/>
  <c r="AK552" i="2"/>
  <c r="AJ552" i="2"/>
  <c r="AI552" i="2"/>
  <c r="AG552" i="2"/>
  <c r="AK551" i="2"/>
  <c r="AJ551" i="2"/>
  <c r="AI551" i="2"/>
  <c r="AG551" i="2"/>
  <c r="AK550" i="2"/>
  <c r="AJ550" i="2"/>
  <c r="AI550" i="2"/>
  <c r="AG550" i="2"/>
  <c r="AK549" i="2"/>
  <c r="AJ549" i="2"/>
  <c r="AI549" i="2"/>
  <c r="AG549" i="2"/>
  <c r="AK548" i="2"/>
  <c r="AJ548" i="2"/>
  <c r="AI548" i="2"/>
  <c r="AG548" i="2"/>
  <c r="AK547" i="2"/>
  <c r="AJ547" i="2"/>
  <c r="AI547" i="2"/>
  <c r="AG547" i="2"/>
  <c r="AK546" i="2"/>
  <c r="AJ546" i="2"/>
  <c r="AI546" i="2"/>
  <c r="AG546" i="2"/>
  <c r="AK545" i="2"/>
  <c r="AJ545" i="2"/>
  <c r="AI545" i="2"/>
  <c r="AG545" i="2"/>
  <c r="AK544" i="2"/>
  <c r="AJ544" i="2"/>
  <c r="AI544" i="2"/>
  <c r="AG544" i="2"/>
  <c r="AK543" i="2"/>
  <c r="AJ543" i="2"/>
  <c r="AI543" i="2"/>
  <c r="AG543" i="2"/>
  <c r="AK542" i="2"/>
  <c r="AJ542" i="2"/>
  <c r="AI542" i="2"/>
  <c r="AG542" i="2"/>
  <c r="AK541" i="2"/>
  <c r="AJ541" i="2"/>
  <c r="AI541" i="2"/>
  <c r="AG541" i="2"/>
  <c r="AK540" i="2"/>
  <c r="AJ540" i="2"/>
  <c r="AI540" i="2"/>
  <c r="AG540" i="2"/>
  <c r="AK539" i="2"/>
  <c r="AJ539" i="2"/>
  <c r="AI539" i="2"/>
  <c r="AG539" i="2"/>
  <c r="AK538" i="2"/>
  <c r="AJ538" i="2"/>
  <c r="AI538" i="2"/>
  <c r="AG538" i="2"/>
  <c r="AK537" i="2"/>
  <c r="AJ537" i="2"/>
  <c r="AI537" i="2"/>
  <c r="AG537" i="2"/>
  <c r="AK536" i="2"/>
  <c r="AJ536" i="2"/>
  <c r="AI536" i="2"/>
  <c r="AG536" i="2"/>
  <c r="AK535" i="2"/>
  <c r="AJ535" i="2"/>
  <c r="AI535" i="2"/>
  <c r="AG535" i="2"/>
  <c r="AK534" i="2"/>
  <c r="AJ534" i="2"/>
  <c r="AI534" i="2"/>
  <c r="AG534" i="2"/>
  <c r="AK533" i="2"/>
  <c r="AJ533" i="2"/>
  <c r="AI533" i="2"/>
  <c r="AG533" i="2"/>
  <c r="AK532" i="2"/>
  <c r="AJ532" i="2"/>
  <c r="AI532" i="2"/>
  <c r="AG532" i="2"/>
  <c r="AK531" i="2"/>
  <c r="AJ531" i="2"/>
  <c r="AI531" i="2"/>
  <c r="AG531" i="2"/>
  <c r="AK530" i="2"/>
  <c r="AJ530" i="2"/>
  <c r="AI530" i="2"/>
  <c r="AG530" i="2"/>
  <c r="AK529" i="2"/>
  <c r="AJ529" i="2"/>
  <c r="AI529" i="2"/>
  <c r="AG529" i="2"/>
  <c r="AK528" i="2"/>
  <c r="AJ528" i="2"/>
  <c r="AI528" i="2"/>
  <c r="AG528" i="2"/>
  <c r="AK527" i="2"/>
  <c r="AJ527" i="2"/>
  <c r="AI527" i="2"/>
  <c r="AG527" i="2"/>
  <c r="AK526" i="2"/>
  <c r="AJ526" i="2"/>
  <c r="AI526" i="2"/>
  <c r="AG526" i="2"/>
  <c r="AK525" i="2"/>
  <c r="AJ525" i="2"/>
  <c r="AI525" i="2"/>
  <c r="AG525" i="2"/>
  <c r="AK524" i="2"/>
  <c r="AJ524" i="2"/>
  <c r="AI524" i="2"/>
  <c r="AG524" i="2"/>
  <c r="AK523" i="2"/>
  <c r="AJ523" i="2"/>
  <c r="AI523" i="2"/>
  <c r="AG523" i="2"/>
  <c r="AK522" i="2"/>
  <c r="AJ522" i="2"/>
  <c r="AI522" i="2"/>
  <c r="AG522" i="2"/>
  <c r="AK521" i="2"/>
  <c r="AJ521" i="2"/>
  <c r="AI521" i="2"/>
  <c r="AG521" i="2"/>
  <c r="AK520" i="2"/>
  <c r="AJ520" i="2"/>
  <c r="AI520" i="2"/>
  <c r="AG520" i="2"/>
  <c r="AK519" i="2"/>
  <c r="AJ519" i="2"/>
  <c r="AI519" i="2"/>
  <c r="AG519" i="2"/>
  <c r="AK518" i="2"/>
  <c r="AJ518" i="2"/>
  <c r="AI518" i="2"/>
  <c r="AG518" i="2"/>
  <c r="AK517" i="2"/>
  <c r="AJ517" i="2"/>
  <c r="AI517" i="2"/>
  <c r="AG517" i="2"/>
  <c r="AK516" i="2"/>
  <c r="AJ516" i="2"/>
  <c r="AI516" i="2"/>
  <c r="AG516" i="2"/>
  <c r="AK515" i="2"/>
  <c r="AJ515" i="2"/>
  <c r="AI515" i="2"/>
  <c r="AG515" i="2"/>
  <c r="AK514" i="2"/>
  <c r="AJ514" i="2"/>
  <c r="AI514" i="2"/>
  <c r="AG514" i="2"/>
  <c r="AK513" i="2"/>
  <c r="AJ513" i="2"/>
  <c r="AI513" i="2"/>
  <c r="AG513" i="2"/>
  <c r="AK512" i="2"/>
  <c r="AJ512" i="2"/>
  <c r="AI512" i="2"/>
  <c r="AG512" i="2"/>
  <c r="AK511" i="2"/>
  <c r="AJ511" i="2"/>
  <c r="AI511" i="2"/>
  <c r="AG511" i="2"/>
  <c r="AK510" i="2"/>
  <c r="AJ510" i="2"/>
  <c r="AI510" i="2"/>
  <c r="AG510" i="2"/>
  <c r="AK509" i="2"/>
  <c r="AJ509" i="2"/>
  <c r="AI509" i="2"/>
  <c r="AG509" i="2"/>
  <c r="AK508" i="2"/>
  <c r="AJ508" i="2"/>
  <c r="AI508" i="2"/>
  <c r="AG508" i="2"/>
  <c r="AK507" i="2"/>
  <c r="AJ507" i="2"/>
  <c r="AI507" i="2"/>
  <c r="AG507" i="2"/>
  <c r="AK506" i="2"/>
  <c r="AJ506" i="2"/>
  <c r="AI506" i="2"/>
  <c r="AG506" i="2"/>
  <c r="AK505" i="2"/>
  <c r="AJ505" i="2"/>
  <c r="AI505" i="2"/>
  <c r="AG505" i="2"/>
  <c r="AK504" i="2"/>
  <c r="AJ504" i="2"/>
  <c r="AI504" i="2"/>
  <c r="AG504" i="2"/>
  <c r="AK503" i="2"/>
  <c r="AJ503" i="2"/>
  <c r="AI503" i="2"/>
  <c r="AG503" i="2"/>
  <c r="AK502" i="2"/>
  <c r="AJ502" i="2"/>
  <c r="AI502" i="2"/>
  <c r="AG502" i="2"/>
  <c r="AK501" i="2"/>
  <c r="AJ501" i="2"/>
  <c r="AI501" i="2"/>
  <c r="AG501" i="2"/>
  <c r="AK500" i="2"/>
  <c r="AJ500" i="2"/>
  <c r="AI500" i="2"/>
  <c r="AG500" i="2"/>
  <c r="AK499" i="2"/>
  <c r="AJ499" i="2"/>
  <c r="AI499" i="2"/>
  <c r="AG499" i="2"/>
  <c r="AK498" i="2"/>
  <c r="AJ498" i="2"/>
  <c r="AI498" i="2"/>
  <c r="AG498" i="2"/>
  <c r="AK497" i="2"/>
  <c r="AJ497" i="2"/>
  <c r="AI497" i="2"/>
  <c r="AG497" i="2"/>
  <c r="AK496" i="2"/>
  <c r="AJ496" i="2"/>
  <c r="AI496" i="2"/>
  <c r="AG496" i="2"/>
  <c r="AK495" i="2"/>
  <c r="AJ495" i="2"/>
  <c r="AI495" i="2"/>
  <c r="AG495" i="2"/>
  <c r="AK494" i="2"/>
  <c r="AJ494" i="2"/>
  <c r="AI494" i="2"/>
  <c r="AG494" i="2"/>
  <c r="AK493" i="2"/>
  <c r="AJ493" i="2"/>
  <c r="AI493" i="2"/>
  <c r="AG493" i="2"/>
  <c r="AK492" i="2"/>
  <c r="AJ492" i="2"/>
  <c r="AI492" i="2"/>
  <c r="AG492" i="2"/>
  <c r="AK491" i="2"/>
  <c r="AJ491" i="2"/>
  <c r="AI491" i="2"/>
  <c r="AG491" i="2"/>
  <c r="AK490" i="2"/>
  <c r="AJ490" i="2"/>
  <c r="AI490" i="2"/>
  <c r="AG490" i="2"/>
  <c r="AK489" i="2"/>
  <c r="AJ489" i="2"/>
  <c r="AI489" i="2"/>
  <c r="AG489" i="2"/>
  <c r="AK488" i="2"/>
  <c r="AJ488" i="2"/>
  <c r="AI488" i="2"/>
  <c r="AG488" i="2"/>
  <c r="AK487" i="2"/>
  <c r="AJ487" i="2"/>
  <c r="AI487" i="2"/>
  <c r="AG487" i="2"/>
  <c r="AK486" i="2"/>
  <c r="AJ486" i="2"/>
  <c r="AI486" i="2"/>
  <c r="AG486" i="2"/>
  <c r="AK485" i="2"/>
  <c r="AJ485" i="2"/>
  <c r="AI485" i="2"/>
  <c r="AG485" i="2"/>
  <c r="AK484" i="2"/>
  <c r="AJ484" i="2"/>
  <c r="AI484" i="2"/>
  <c r="AG484" i="2"/>
  <c r="AK483" i="2"/>
  <c r="AJ483" i="2"/>
  <c r="AI483" i="2"/>
  <c r="AG483" i="2"/>
  <c r="AK482" i="2"/>
  <c r="AJ482" i="2"/>
  <c r="AI482" i="2"/>
  <c r="AG482" i="2"/>
  <c r="AK481" i="2"/>
  <c r="AJ481" i="2"/>
  <c r="AI481" i="2"/>
  <c r="AG481" i="2"/>
  <c r="AK480" i="2"/>
  <c r="AJ480" i="2"/>
  <c r="AI480" i="2"/>
  <c r="AG480" i="2"/>
  <c r="AK479" i="2"/>
  <c r="AJ479" i="2"/>
  <c r="AI479" i="2"/>
  <c r="AG479" i="2"/>
  <c r="AK478" i="2"/>
  <c r="AJ478" i="2"/>
  <c r="AI478" i="2"/>
  <c r="AG478" i="2"/>
  <c r="AK477" i="2"/>
  <c r="AJ477" i="2"/>
  <c r="AI477" i="2"/>
  <c r="AG477" i="2"/>
  <c r="AK476" i="2"/>
  <c r="AJ476" i="2"/>
  <c r="AI476" i="2"/>
  <c r="AG476" i="2"/>
  <c r="AK475" i="2"/>
  <c r="AJ475" i="2"/>
  <c r="AI475" i="2"/>
  <c r="AG475" i="2"/>
  <c r="AK474" i="2"/>
  <c r="AJ474" i="2"/>
  <c r="AI474" i="2"/>
  <c r="AG474" i="2"/>
  <c r="AK473" i="2"/>
  <c r="AJ473" i="2"/>
  <c r="AI473" i="2"/>
  <c r="AG473" i="2"/>
  <c r="AK472" i="2"/>
  <c r="AJ472" i="2"/>
  <c r="AI472" i="2"/>
  <c r="AG472" i="2"/>
  <c r="AK471" i="2"/>
  <c r="AJ471" i="2"/>
  <c r="AI471" i="2"/>
  <c r="AG471" i="2"/>
  <c r="AK470" i="2"/>
  <c r="AJ470" i="2"/>
  <c r="AI470" i="2"/>
  <c r="AG470" i="2"/>
  <c r="AK469" i="2"/>
  <c r="AJ469" i="2"/>
  <c r="AI469" i="2"/>
  <c r="AG469" i="2"/>
  <c r="AK468" i="2"/>
  <c r="AJ468" i="2"/>
  <c r="AI468" i="2"/>
  <c r="AG468" i="2"/>
  <c r="AK467" i="2"/>
  <c r="AJ467" i="2"/>
  <c r="AI467" i="2"/>
  <c r="AG467" i="2"/>
  <c r="AK466" i="2"/>
  <c r="AJ466" i="2"/>
  <c r="AI466" i="2"/>
  <c r="AG466" i="2"/>
  <c r="AK465" i="2"/>
  <c r="AJ465" i="2"/>
  <c r="AI465" i="2"/>
  <c r="AG465" i="2"/>
  <c r="AK464" i="2"/>
  <c r="AJ464" i="2"/>
  <c r="AI464" i="2"/>
  <c r="AG464" i="2"/>
  <c r="AK463" i="2"/>
  <c r="AJ463" i="2"/>
  <c r="AI463" i="2"/>
  <c r="AG463" i="2"/>
  <c r="AK462" i="2"/>
  <c r="AJ462" i="2"/>
  <c r="AI462" i="2"/>
  <c r="AG462" i="2"/>
  <c r="AK461" i="2"/>
  <c r="AJ461" i="2"/>
  <c r="AI461" i="2"/>
  <c r="AG461" i="2"/>
  <c r="AK460" i="2"/>
  <c r="AJ460" i="2"/>
  <c r="AI460" i="2"/>
  <c r="AG460" i="2"/>
  <c r="AK459" i="2"/>
  <c r="AJ459" i="2"/>
  <c r="AI459" i="2"/>
  <c r="AG459" i="2"/>
  <c r="AK458" i="2"/>
  <c r="AJ458" i="2"/>
  <c r="AI458" i="2"/>
  <c r="AG458" i="2"/>
  <c r="AK457" i="2"/>
  <c r="AJ457" i="2"/>
  <c r="AI457" i="2"/>
  <c r="AG457" i="2"/>
  <c r="AK456" i="2"/>
  <c r="AJ456" i="2"/>
  <c r="AI456" i="2"/>
  <c r="AG456" i="2"/>
  <c r="AK455" i="2"/>
  <c r="AJ455" i="2"/>
  <c r="AI455" i="2"/>
  <c r="AG455" i="2"/>
  <c r="AK454" i="2"/>
  <c r="AJ454" i="2"/>
  <c r="AI454" i="2"/>
  <c r="AG454" i="2"/>
  <c r="AK453" i="2"/>
  <c r="AJ453" i="2"/>
  <c r="AI453" i="2"/>
  <c r="AG453" i="2"/>
  <c r="AK452" i="2"/>
  <c r="AJ452" i="2"/>
  <c r="AI452" i="2"/>
  <c r="AG452" i="2"/>
  <c r="AK451" i="2"/>
  <c r="AJ451" i="2"/>
  <c r="AI451" i="2"/>
  <c r="AG451" i="2"/>
  <c r="AK450" i="2"/>
  <c r="AJ450" i="2"/>
  <c r="AI450" i="2"/>
  <c r="AG450" i="2"/>
  <c r="AK449" i="2"/>
  <c r="AJ449" i="2"/>
  <c r="AI449" i="2"/>
  <c r="AG449" i="2"/>
  <c r="AK448" i="2"/>
  <c r="AJ448" i="2"/>
  <c r="AI448" i="2"/>
  <c r="AG448" i="2"/>
  <c r="AK447" i="2"/>
  <c r="AJ447" i="2"/>
  <c r="AI447" i="2"/>
  <c r="AG447" i="2"/>
  <c r="AK446" i="2"/>
  <c r="AJ446" i="2"/>
  <c r="AI446" i="2"/>
  <c r="AG446" i="2"/>
  <c r="AK445" i="2"/>
  <c r="AJ445" i="2"/>
  <c r="AI445" i="2"/>
  <c r="AG445" i="2"/>
  <c r="AK444" i="2"/>
  <c r="AJ444" i="2"/>
  <c r="AI444" i="2"/>
  <c r="AG444" i="2"/>
  <c r="AK443" i="2"/>
  <c r="AJ443" i="2"/>
  <c r="AI443" i="2"/>
  <c r="AG443" i="2"/>
  <c r="AK442" i="2"/>
  <c r="AJ442" i="2"/>
  <c r="AI442" i="2"/>
  <c r="AG442" i="2"/>
  <c r="AK441" i="2"/>
  <c r="AJ441" i="2"/>
  <c r="AI441" i="2"/>
  <c r="AG441" i="2"/>
  <c r="AK440" i="2"/>
  <c r="AJ440" i="2"/>
  <c r="AI440" i="2"/>
  <c r="AG440" i="2"/>
  <c r="AK439" i="2"/>
  <c r="AJ439" i="2"/>
  <c r="AI439" i="2"/>
  <c r="AG439" i="2"/>
  <c r="AK438" i="2"/>
  <c r="AJ438" i="2"/>
  <c r="AI438" i="2"/>
  <c r="AG438" i="2"/>
  <c r="AK437" i="2"/>
  <c r="AJ437" i="2"/>
  <c r="AI437" i="2"/>
  <c r="AG437" i="2"/>
  <c r="AK436" i="2"/>
  <c r="AJ436" i="2"/>
  <c r="AI436" i="2"/>
  <c r="AG436" i="2"/>
  <c r="AK435" i="2"/>
  <c r="AJ435" i="2"/>
  <c r="AI435" i="2"/>
  <c r="AG435" i="2"/>
  <c r="AK434" i="2"/>
  <c r="AJ434" i="2"/>
  <c r="AI434" i="2"/>
  <c r="AG434" i="2"/>
  <c r="AK433" i="2"/>
  <c r="AJ433" i="2"/>
  <c r="AI433" i="2"/>
  <c r="AG433" i="2"/>
  <c r="AK432" i="2"/>
  <c r="AJ432" i="2"/>
  <c r="AI432" i="2"/>
  <c r="AG432" i="2"/>
  <c r="AK431" i="2"/>
  <c r="AJ431" i="2"/>
  <c r="AI431" i="2"/>
  <c r="AG431" i="2"/>
  <c r="AK430" i="2"/>
  <c r="AJ430" i="2"/>
  <c r="AI430" i="2"/>
  <c r="AG430" i="2"/>
  <c r="AK429" i="2"/>
  <c r="AJ429" i="2"/>
  <c r="AI429" i="2"/>
  <c r="AG429" i="2"/>
  <c r="AK428" i="2"/>
  <c r="AJ428" i="2"/>
  <c r="AI428" i="2"/>
  <c r="AG428" i="2"/>
  <c r="AK427" i="2"/>
  <c r="AJ427" i="2"/>
  <c r="AI427" i="2"/>
  <c r="AG427" i="2"/>
  <c r="AK426" i="2"/>
  <c r="AJ426" i="2"/>
  <c r="AI426" i="2"/>
  <c r="AG426" i="2"/>
  <c r="AK425" i="2"/>
  <c r="AJ425" i="2"/>
  <c r="AI425" i="2"/>
  <c r="AG425" i="2"/>
  <c r="AK424" i="2"/>
  <c r="AJ424" i="2"/>
  <c r="AI424" i="2"/>
  <c r="AG424" i="2"/>
  <c r="AK423" i="2"/>
  <c r="AJ423" i="2"/>
  <c r="AI423" i="2"/>
  <c r="AG423" i="2"/>
  <c r="AK422" i="2"/>
  <c r="AJ422" i="2"/>
  <c r="AI422" i="2"/>
  <c r="AG422" i="2"/>
  <c r="AK421" i="2"/>
  <c r="AJ421" i="2"/>
  <c r="AI421" i="2"/>
  <c r="AG421" i="2"/>
  <c r="AK420" i="2"/>
  <c r="AJ420" i="2"/>
  <c r="AI420" i="2"/>
  <c r="AG420" i="2"/>
  <c r="AK419" i="2"/>
  <c r="AJ419" i="2"/>
  <c r="AI419" i="2"/>
  <c r="AG419" i="2"/>
  <c r="AK418" i="2"/>
  <c r="AJ418" i="2"/>
  <c r="AI418" i="2"/>
  <c r="AG418" i="2"/>
  <c r="AK417" i="2"/>
  <c r="AJ417" i="2"/>
  <c r="AI417" i="2"/>
  <c r="AG417" i="2"/>
  <c r="AK416" i="2"/>
  <c r="AJ416" i="2"/>
  <c r="AI416" i="2"/>
  <c r="AG416" i="2"/>
  <c r="AK415" i="2"/>
  <c r="AJ415" i="2"/>
  <c r="AI415" i="2"/>
  <c r="AG415" i="2"/>
  <c r="AK414" i="2"/>
  <c r="AJ414" i="2"/>
  <c r="AI414" i="2"/>
  <c r="AG414" i="2"/>
  <c r="AK413" i="2"/>
  <c r="AJ413" i="2"/>
  <c r="AI413" i="2"/>
  <c r="AG413" i="2"/>
  <c r="AK412" i="2"/>
  <c r="AJ412" i="2"/>
  <c r="AI412" i="2"/>
  <c r="AG412" i="2"/>
  <c r="AK411" i="2"/>
  <c r="AJ411" i="2"/>
  <c r="AI411" i="2"/>
  <c r="AG411" i="2"/>
  <c r="AK410" i="2"/>
  <c r="AJ410" i="2"/>
  <c r="AI410" i="2"/>
  <c r="AG410" i="2"/>
  <c r="AK409" i="2"/>
  <c r="AJ409" i="2"/>
  <c r="AI409" i="2"/>
  <c r="AG409" i="2"/>
  <c r="AK408" i="2"/>
  <c r="AJ408" i="2"/>
  <c r="AI408" i="2"/>
  <c r="AG408" i="2"/>
  <c r="AK407" i="2"/>
  <c r="AJ407" i="2"/>
  <c r="AI407" i="2"/>
  <c r="AG407" i="2"/>
  <c r="AK406" i="2"/>
  <c r="AJ406" i="2"/>
  <c r="AI406" i="2"/>
  <c r="AG406" i="2"/>
  <c r="AK405" i="2"/>
  <c r="AJ405" i="2"/>
  <c r="AI405" i="2"/>
  <c r="AG405" i="2"/>
  <c r="AK404" i="2"/>
  <c r="AJ404" i="2"/>
  <c r="AI404" i="2"/>
  <c r="AG404" i="2"/>
  <c r="AK403" i="2"/>
  <c r="AJ403" i="2"/>
  <c r="AI403" i="2"/>
  <c r="AG403" i="2"/>
  <c r="AK402" i="2"/>
  <c r="AJ402" i="2"/>
  <c r="AI402" i="2"/>
  <c r="AG402" i="2"/>
  <c r="AK401" i="2"/>
  <c r="AJ401" i="2"/>
  <c r="AI401" i="2"/>
  <c r="AG401" i="2"/>
  <c r="AK400" i="2"/>
  <c r="AJ400" i="2"/>
  <c r="AI400" i="2"/>
  <c r="AG400" i="2"/>
  <c r="AK399" i="2"/>
  <c r="AJ399" i="2"/>
  <c r="AI399" i="2"/>
  <c r="AG399" i="2"/>
  <c r="AK398" i="2"/>
  <c r="AJ398" i="2"/>
  <c r="AI398" i="2"/>
  <c r="AG398" i="2"/>
  <c r="AK397" i="2"/>
  <c r="AJ397" i="2"/>
  <c r="AI397" i="2"/>
  <c r="AG397" i="2"/>
  <c r="AK396" i="2"/>
  <c r="AJ396" i="2"/>
  <c r="AI396" i="2"/>
  <c r="AG396" i="2"/>
  <c r="AK395" i="2"/>
  <c r="AJ395" i="2"/>
  <c r="AI395" i="2"/>
  <c r="AG395" i="2"/>
  <c r="AK394" i="2"/>
  <c r="AJ394" i="2"/>
  <c r="AI394" i="2"/>
  <c r="AG394" i="2"/>
  <c r="AK393" i="2"/>
  <c r="AJ393" i="2"/>
  <c r="AI393" i="2"/>
  <c r="AG393" i="2"/>
  <c r="AK392" i="2"/>
  <c r="AJ392" i="2"/>
  <c r="AI392" i="2"/>
  <c r="AG392" i="2"/>
  <c r="AK391" i="2"/>
  <c r="AJ391" i="2"/>
  <c r="AI391" i="2"/>
  <c r="AG391" i="2"/>
  <c r="AK390" i="2"/>
  <c r="AJ390" i="2"/>
  <c r="AI390" i="2"/>
  <c r="AG390" i="2"/>
  <c r="AK389" i="2"/>
  <c r="AJ389" i="2"/>
  <c r="AI389" i="2"/>
  <c r="AG389" i="2"/>
  <c r="AK388" i="2"/>
  <c r="AJ388" i="2"/>
  <c r="AI388" i="2"/>
  <c r="AG388" i="2"/>
  <c r="AK387" i="2"/>
  <c r="AJ387" i="2"/>
  <c r="AI387" i="2"/>
  <c r="AG387" i="2"/>
  <c r="AK386" i="2"/>
  <c r="AJ386" i="2"/>
  <c r="AI386" i="2"/>
  <c r="AG386" i="2"/>
  <c r="AK385" i="2"/>
  <c r="AJ385" i="2"/>
  <c r="AI385" i="2"/>
  <c r="AG385" i="2"/>
  <c r="AK384" i="2"/>
  <c r="AJ384" i="2"/>
  <c r="AI384" i="2"/>
  <c r="AG384" i="2"/>
  <c r="AK383" i="2"/>
  <c r="AJ383" i="2"/>
  <c r="AI383" i="2"/>
  <c r="AG383" i="2"/>
  <c r="AK382" i="2"/>
  <c r="AJ382" i="2"/>
  <c r="AI382" i="2"/>
  <c r="AG382" i="2"/>
  <c r="AK381" i="2"/>
  <c r="AJ381" i="2"/>
  <c r="AI381" i="2"/>
  <c r="AG381" i="2"/>
  <c r="AK380" i="2"/>
  <c r="AJ380" i="2"/>
  <c r="AI380" i="2"/>
  <c r="AG380" i="2"/>
  <c r="AK379" i="2"/>
  <c r="AJ379" i="2"/>
  <c r="AI379" i="2"/>
  <c r="AG379" i="2"/>
  <c r="AK378" i="2"/>
  <c r="AJ378" i="2"/>
  <c r="AI378" i="2"/>
  <c r="AG378" i="2"/>
  <c r="AK377" i="2"/>
  <c r="AJ377" i="2"/>
  <c r="AI377" i="2"/>
  <c r="AG377" i="2"/>
  <c r="AK376" i="2"/>
  <c r="AJ376" i="2"/>
  <c r="AI376" i="2"/>
  <c r="AG376" i="2"/>
  <c r="AK375" i="2"/>
  <c r="AJ375" i="2"/>
  <c r="AI375" i="2"/>
  <c r="AG375" i="2"/>
  <c r="AK374" i="2"/>
  <c r="AJ374" i="2"/>
  <c r="AI374" i="2"/>
  <c r="AG374" i="2"/>
  <c r="AK373" i="2"/>
  <c r="AJ373" i="2"/>
  <c r="AI373" i="2"/>
  <c r="AG373" i="2"/>
  <c r="AK372" i="2"/>
  <c r="AJ372" i="2"/>
  <c r="AI372" i="2"/>
  <c r="AG372" i="2"/>
  <c r="AK371" i="2"/>
  <c r="AJ371" i="2"/>
  <c r="AI371" i="2"/>
  <c r="AG371" i="2"/>
  <c r="AK370" i="2"/>
  <c r="AJ370" i="2"/>
  <c r="AI370" i="2"/>
  <c r="AG370" i="2"/>
  <c r="AK369" i="2"/>
  <c r="AJ369" i="2"/>
  <c r="AI369" i="2"/>
  <c r="AG369" i="2"/>
  <c r="AK368" i="2"/>
  <c r="AJ368" i="2"/>
  <c r="AI368" i="2"/>
  <c r="AG368" i="2"/>
  <c r="AK367" i="2"/>
  <c r="AJ367" i="2"/>
  <c r="AI367" i="2"/>
  <c r="AG367" i="2"/>
  <c r="AK366" i="2"/>
  <c r="AJ366" i="2"/>
  <c r="AI366" i="2"/>
  <c r="AG366" i="2"/>
  <c r="AK365" i="2"/>
  <c r="AJ365" i="2"/>
  <c r="AI365" i="2"/>
  <c r="AG365" i="2"/>
  <c r="AK364" i="2"/>
  <c r="AJ364" i="2"/>
  <c r="AI364" i="2"/>
  <c r="AG364" i="2"/>
  <c r="AK363" i="2"/>
  <c r="AJ363" i="2"/>
  <c r="AI363" i="2"/>
  <c r="AG363" i="2"/>
  <c r="AK362" i="2"/>
  <c r="AJ362" i="2"/>
  <c r="AI362" i="2"/>
  <c r="AG362" i="2"/>
  <c r="AK361" i="2"/>
  <c r="AJ361" i="2"/>
  <c r="AI361" i="2"/>
  <c r="AG361" i="2"/>
  <c r="AK360" i="2"/>
  <c r="AJ360" i="2"/>
  <c r="AI360" i="2"/>
  <c r="AG360" i="2"/>
  <c r="AK359" i="2"/>
  <c r="AJ359" i="2"/>
  <c r="AI359" i="2"/>
  <c r="AG359" i="2"/>
  <c r="AK358" i="2"/>
  <c r="AJ358" i="2"/>
  <c r="AI358" i="2"/>
  <c r="AG358" i="2"/>
  <c r="AK357" i="2"/>
  <c r="AJ357" i="2"/>
  <c r="AI357" i="2"/>
  <c r="AG357" i="2"/>
  <c r="AK356" i="2"/>
  <c r="AJ356" i="2"/>
  <c r="AI356" i="2"/>
  <c r="AG356" i="2"/>
  <c r="AK355" i="2"/>
  <c r="AJ355" i="2"/>
  <c r="AI355" i="2"/>
  <c r="AG355" i="2"/>
  <c r="AK354" i="2"/>
  <c r="AJ354" i="2"/>
  <c r="AI354" i="2"/>
  <c r="AG354" i="2"/>
  <c r="AK353" i="2"/>
  <c r="AJ353" i="2"/>
  <c r="AI353" i="2"/>
  <c r="AG353" i="2"/>
  <c r="AK352" i="2"/>
  <c r="AJ352" i="2"/>
  <c r="AI352" i="2"/>
  <c r="AG352" i="2"/>
  <c r="AK351" i="2"/>
  <c r="AJ351" i="2"/>
  <c r="AI351" i="2"/>
  <c r="AG351" i="2"/>
  <c r="AK350" i="2"/>
  <c r="AJ350" i="2"/>
  <c r="AI350" i="2"/>
  <c r="AG350" i="2"/>
  <c r="AK349" i="2"/>
  <c r="AJ349" i="2"/>
  <c r="AI349" i="2"/>
  <c r="AG349" i="2"/>
  <c r="AK348" i="2"/>
  <c r="AJ348" i="2"/>
  <c r="AI348" i="2"/>
  <c r="AG348" i="2"/>
  <c r="AK347" i="2"/>
  <c r="AJ347" i="2"/>
  <c r="AI347" i="2"/>
  <c r="AG347" i="2"/>
  <c r="AK346" i="2"/>
  <c r="AJ346" i="2"/>
  <c r="AI346" i="2"/>
  <c r="AG346" i="2"/>
  <c r="AK345" i="2"/>
  <c r="AJ345" i="2"/>
  <c r="AI345" i="2"/>
  <c r="AG345" i="2"/>
  <c r="AK344" i="2"/>
  <c r="AJ344" i="2"/>
  <c r="AI344" i="2"/>
  <c r="AG344" i="2"/>
  <c r="AK343" i="2"/>
  <c r="AJ343" i="2"/>
  <c r="AI343" i="2"/>
  <c r="AG343" i="2"/>
  <c r="AK342" i="2"/>
  <c r="AJ342" i="2"/>
  <c r="AI342" i="2"/>
  <c r="AG342" i="2"/>
  <c r="AK341" i="2"/>
  <c r="AJ341" i="2"/>
  <c r="AI341" i="2"/>
  <c r="AG341" i="2"/>
  <c r="AK340" i="2"/>
  <c r="AJ340" i="2"/>
  <c r="AI340" i="2"/>
  <c r="AG340" i="2"/>
  <c r="AK339" i="2"/>
  <c r="AJ339" i="2"/>
  <c r="AI339" i="2"/>
  <c r="AG339" i="2"/>
  <c r="AK338" i="2"/>
  <c r="AJ338" i="2"/>
  <c r="AI338" i="2"/>
  <c r="AG338" i="2"/>
  <c r="AK337" i="2"/>
  <c r="AJ337" i="2"/>
  <c r="AI337" i="2"/>
  <c r="AG337" i="2"/>
  <c r="AK336" i="2"/>
  <c r="AJ336" i="2"/>
  <c r="AI336" i="2"/>
  <c r="AG336" i="2"/>
  <c r="AK335" i="2"/>
  <c r="AJ335" i="2"/>
  <c r="AI335" i="2"/>
  <c r="AG335" i="2"/>
  <c r="AK334" i="2"/>
  <c r="AJ334" i="2"/>
  <c r="AI334" i="2"/>
  <c r="AG334" i="2"/>
  <c r="AK333" i="2"/>
  <c r="AJ333" i="2"/>
  <c r="AI333" i="2"/>
  <c r="AG333" i="2"/>
  <c r="AK332" i="2"/>
  <c r="AJ332" i="2"/>
  <c r="AI332" i="2"/>
  <c r="AG332" i="2"/>
  <c r="AK331" i="2"/>
  <c r="AJ331" i="2"/>
  <c r="AI331" i="2"/>
  <c r="AG331" i="2"/>
  <c r="AK330" i="2"/>
  <c r="AJ330" i="2"/>
  <c r="AI330" i="2"/>
  <c r="AG330" i="2"/>
  <c r="AK329" i="2"/>
  <c r="AJ329" i="2"/>
  <c r="AI329" i="2"/>
  <c r="AG329" i="2"/>
  <c r="AK328" i="2"/>
  <c r="AJ328" i="2"/>
  <c r="AI328" i="2"/>
  <c r="AG328" i="2"/>
  <c r="AK327" i="2"/>
  <c r="AJ327" i="2"/>
  <c r="AI327" i="2"/>
  <c r="AG327" i="2"/>
  <c r="AK326" i="2"/>
  <c r="AJ326" i="2"/>
  <c r="AI326" i="2"/>
  <c r="AG326" i="2"/>
  <c r="AK325" i="2"/>
  <c r="AJ325" i="2"/>
  <c r="AI325" i="2"/>
  <c r="AG325" i="2"/>
  <c r="AK324" i="2"/>
  <c r="AJ324" i="2"/>
  <c r="AI324" i="2"/>
  <c r="AG324" i="2"/>
  <c r="AK323" i="2"/>
  <c r="AJ323" i="2"/>
  <c r="AI323" i="2"/>
  <c r="AG323" i="2"/>
  <c r="AK322" i="2"/>
  <c r="AJ322" i="2"/>
  <c r="AI322" i="2"/>
  <c r="AG322" i="2"/>
  <c r="AK321" i="2"/>
  <c r="AJ321" i="2"/>
  <c r="AI321" i="2"/>
  <c r="AG321" i="2"/>
  <c r="AK320" i="2"/>
  <c r="AJ320" i="2"/>
  <c r="AI320" i="2"/>
  <c r="AG320" i="2"/>
  <c r="AK319" i="2"/>
  <c r="AJ319" i="2"/>
  <c r="AI319" i="2"/>
  <c r="AG319" i="2"/>
  <c r="AK318" i="2"/>
  <c r="AJ318" i="2"/>
  <c r="AI318" i="2"/>
  <c r="AG318" i="2"/>
  <c r="AK317" i="2"/>
  <c r="AJ317" i="2"/>
  <c r="AI317" i="2"/>
  <c r="AG317" i="2"/>
  <c r="AK316" i="2"/>
  <c r="AJ316" i="2"/>
  <c r="AI316" i="2"/>
  <c r="AG316" i="2"/>
  <c r="AK315" i="2"/>
  <c r="AJ315" i="2"/>
  <c r="AI315" i="2"/>
  <c r="AG315" i="2"/>
  <c r="AK314" i="2"/>
  <c r="AJ314" i="2"/>
  <c r="AI314" i="2"/>
  <c r="AG314" i="2"/>
  <c r="AK313" i="2"/>
  <c r="AJ313" i="2"/>
  <c r="AI313" i="2"/>
  <c r="AG313" i="2"/>
  <c r="AK312" i="2"/>
  <c r="AJ312" i="2"/>
  <c r="AI312" i="2"/>
  <c r="AG312" i="2"/>
  <c r="AK311" i="2"/>
  <c r="AJ311" i="2"/>
  <c r="AI311" i="2"/>
  <c r="AG311" i="2"/>
  <c r="AK310" i="2"/>
  <c r="AJ310" i="2"/>
  <c r="AI310" i="2"/>
  <c r="AG310" i="2"/>
  <c r="AK309" i="2"/>
  <c r="AJ309" i="2"/>
  <c r="AI309" i="2"/>
  <c r="AG309" i="2"/>
  <c r="AK308" i="2"/>
  <c r="AJ308" i="2"/>
  <c r="AI308" i="2"/>
  <c r="AG308" i="2"/>
  <c r="AK307" i="2"/>
  <c r="AJ307" i="2"/>
  <c r="AI307" i="2"/>
  <c r="AG307" i="2"/>
  <c r="AK306" i="2"/>
  <c r="AJ306" i="2"/>
  <c r="AI306" i="2"/>
  <c r="AG306" i="2"/>
  <c r="AK305" i="2"/>
  <c r="AJ305" i="2"/>
  <c r="AI305" i="2"/>
  <c r="AG305" i="2"/>
  <c r="AK304" i="2"/>
  <c r="AJ304" i="2"/>
  <c r="AI304" i="2"/>
  <c r="AG304" i="2"/>
  <c r="AK303" i="2"/>
  <c r="AJ303" i="2"/>
  <c r="AI303" i="2"/>
  <c r="AG303" i="2"/>
  <c r="AK302" i="2"/>
  <c r="AJ302" i="2"/>
  <c r="AI302" i="2"/>
  <c r="AG302" i="2"/>
  <c r="AK301" i="2"/>
  <c r="AJ301" i="2"/>
  <c r="AI301" i="2"/>
  <c r="AG301" i="2"/>
  <c r="AK300" i="2"/>
  <c r="AJ300" i="2"/>
  <c r="AI300" i="2"/>
  <c r="AG300" i="2"/>
  <c r="AK299" i="2"/>
  <c r="AJ299" i="2"/>
  <c r="AI299" i="2"/>
  <c r="AG299" i="2"/>
  <c r="AK298" i="2"/>
  <c r="AJ298" i="2"/>
  <c r="AI298" i="2"/>
  <c r="AG298" i="2"/>
  <c r="AK297" i="2"/>
  <c r="AJ297" i="2"/>
  <c r="AI297" i="2"/>
  <c r="AG297" i="2"/>
  <c r="AK296" i="2"/>
  <c r="AJ296" i="2"/>
  <c r="AI296" i="2"/>
  <c r="AG296" i="2"/>
  <c r="AK295" i="2"/>
  <c r="AJ295" i="2"/>
  <c r="AI295" i="2"/>
  <c r="AG295" i="2"/>
  <c r="AK294" i="2"/>
  <c r="AJ294" i="2"/>
  <c r="AI294" i="2"/>
  <c r="AG294" i="2"/>
  <c r="AK293" i="2"/>
  <c r="AJ293" i="2"/>
  <c r="AI293" i="2"/>
  <c r="AG293" i="2"/>
  <c r="AK292" i="2"/>
  <c r="AJ292" i="2"/>
  <c r="AI292" i="2"/>
  <c r="AG292" i="2"/>
  <c r="AK291" i="2"/>
  <c r="AJ291" i="2"/>
  <c r="AI291" i="2"/>
  <c r="AG291" i="2"/>
  <c r="AK290" i="2"/>
  <c r="AJ290" i="2"/>
  <c r="AI290" i="2"/>
  <c r="AG290" i="2"/>
  <c r="AK289" i="2"/>
  <c r="AJ289" i="2"/>
  <c r="AI289" i="2"/>
  <c r="AG289" i="2"/>
  <c r="AK288" i="2"/>
  <c r="AJ288" i="2"/>
  <c r="AI288" i="2"/>
  <c r="AG288" i="2"/>
  <c r="AK287" i="2"/>
  <c r="AJ287" i="2"/>
  <c r="AI287" i="2"/>
  <c r="AG287" i="2"/>
  <c r="AK286" i="2"/>
  <c r="AJ286" i="2"/>
  <c r="AI286" i="2"/>
  <c r="AG286" i="2"/>
  <c r="AK285" i="2"/>
  <c r="AJ285" i="2"/>
  <c r="AI285" i="2"/>
  <c r="AG285" i="2"/>
  <c r="AK284" i="2"/>
  <c r="AJ284" i="2"/>
  <c r="AI284" i="2"/>
  <c r="AG284" i="2"/>
  <c r="AK283" i="2"/>
  <c r="AJ283" i="2"/>
  <c r="AI283" i="2"/>
  <c r="AG283" i="2"/>
  <c r="AK282" i="2"/>
  <c r="AJ282" i="2"/>
  <c r="AI282" i="2"/>
  <c r="AG282" i="2"/>
  <c r="AK281" i="2"/>
  <c r="AJ281" i="2"/>
  <c r="AI281" i="2"/>
  <c r="AG281" i="2"/>
  <c r="AK280" i="2"/>
  <c r="AJ280" i="2"/>
  <c r="AI280" i="2"/>
  <c r="AG280" i="2"/>
  <c r="AK279" i="2"/>
  <c r="AJ279" i="2"/>
  <c r="AI279" i="2"/>
  <c r="AG279" i="2"/>
  <c r="AK278" i="2"/>
  <c r="AJ278" i="2"/>
  <c r="AI278" i="2"/>
  <c r="AG278" i="2"/>
  <c r="AK277" i="2"/>
  <c r="AJ277" i="2"/>
  <c r="AI277" i="2"/>
  <c r="AG277" i="2"/>
  <c r="AK276" i="2"/>
  <c r="AJ276" i="2"/>
  <c r="AI276" i="2"/>
  <c r="AG276" i="2"/>
  <c r="AK275" i="2"/>
  <c r="AJ275" i="2"/>
  <c r="AI275" i="2"/>
  <c r="AG275" i="2"/>
  <c r="AK274" i="2"/>
  <c r="AJ274" i="2"/>
  <c r="AI274" i="2"/>
  <c r="AG274" i="2"/>
  <c r="AK273" i="2"/>
  <c r="AJ273" i="2"/>
  <c r="AI273" i="2"/>
  <c r="AG273" i="2"/>
  <c r="AK272" i="2"/>
  <c r="AJ272" i="2"/>
  <c r="AI272" i="2"/>
  <c r="AG272" i="2"/>
  <c r="AK271" i="2"/>
  <c r="AJ271" i="2"/>
  <c r="AI271" i="2"/>
  <c r="AG271" i="2"/>
  <c r="AK270" i="2"/>
  <c r="AJ270" i="2"/>
  <c r="AI270" i="2"/>
  <c r="AG270" i="2"/>
  <c r="AK269" i="2"/>
  <c r="AJ269" i="2"/>
  <c r="AI269" i="2"/>
  <c r="AG269" i="2"/>
  <c r="AK268" i="2"/>
  <c r="AJ268" i="2"/>
  <c r="AI268" i="2"/>
  <c r="AG268" i="2"/>
  <c r="AK267" i="2"/>
  <c r="AJ267" i="2"/>
  <c r="AI267" i="2"/>
  <c r="AG267" i="2"/>
  <c r="AK266" i="2"/>
  <c r="AJ266" i="2"/>
  <c r="AI266" i="2"/>
  <c r="AG266" i="2"/>
  <c r="AK265" i="2"/>
  <c r="AJ265" i="2"/>
  <c r="AI265" i="2"/>
  <c r="AG265" i="2"/>
  <c r="AK264" i="2"/>
  <c r="AJ264" i="2"/>
  <c r="AI264" i="2"/>
  <c r="AG264" i="2"/>
  <c r="AK263" i="2"/>
  <c r="AJ263" i="2"/>
  <c r="AI263" i="2"/>
  <c r="AG263" i="2"/>
  <c r="AK262" i="2"/>
  <c r="AJ262" i="2"/>
  <c r="AI262" i="2"/>
  <c r="AG262" i="2"/>
  <c r="AK261" i="2"/>
  <c r="AJ261" i="2"/>
  <c r="AI261" i="2"/>
  <c r="AG261" i="2"/>
  <c r="AK260" i="2"/>
  <c r="AJ260" i="2"/>
  <c r="AI260" i="2"/>
  <c r="AG260" i="2"/>
  <c r="AK259" i="2"/>
  <c r="AJ259" i="2"/>
  <c r="AI259" i="2"/>
  <c r="AG259" i="2"/>
  <c r="AK258" i="2"/>
  <c r="AJ258" i="2"/>
  <c r="AI258" i="2"/>
  <c r="AG258" i="2"/>
  <c r="AK257" i="2"/>
  <c r="AJ257" i="2"/>
  <c r="AI257" i="2"/>
  <c r="AG257" i="2"/>
  <c r="AK256" i="2"/>
  <c r="AJ256" i="2"/>
  <c r="AI256" i="2"/>
  <c r="AG256" i="2"/>
  <c r="AK255" i="2"/>
  <c r="AJ255" i="2"/>
  <c r="AI255" i="2"/>
  <c r="AG255" i="2"/>
  <c r="AK254" i="2"/>
  <c r="AJ254" i="2"/>
  <c r="AI254" i="2"/>
  <c r="AG254" i="2"/>
  <c r="AK253" i="2"/>
  <c r="AJ253" i="2"/>
  <c r="AI253" i="2"/>
  <c r="AG253" i="2"/>
  <c r="AK252" i="2"/>
  <c r="AJ252" i="2"/>
  <c r="AI252" i="2"/>
  <c r="AG252" i="2"/>
  <c r="AK251" i="2"/>
  <c r="AJ251" i="2"/>
  <c r="AI251" i="2"/>
  <c r="AG251" i="2"/>
  <c r="AK250" i="2"/>
  <c r="AJ250" i="2"/>
  <c r="AI250" i="2"/>
  <c r="AG250" i="2"/>
  <c r="AK249" i="2"/>
  <c r="AJ249" i="2"/>
  <c r="AI249" i="2"/>
  <c r="AG249" i="2"/>
  <c r="AK248" i="2"/>
  <c r="AJ248" i="2"/>
  <c r="AI248" i="2"/>
  <c r="AG248" i="2"/>
  <c r="AK247" i="2"/>
  <c r="AJ247" i="2"/>
  <c r="AI247" i="2"/>
  <c r="AG247" i="2"/>
  <c r="AK246" i="2"/>
  <c r="AJ246" i="2"/>
  <c r="AI246" i="2"/>
  <c r="AG246" i="2"/>
  <c r="AK245" i="2"/>
  <c r="AJ245" i="2"/>
  <c r="AI245" i="2"/>
  <c r="AG245" i="2"/>
  <c r="AK244" i="2"/>
  <c r="AJ244" i="2"/>
  <c r="AI244" i="2"/>
  <c r="AG244" i="2"/>
  <c r="AK243" i="2"/>
  <c r="AJ243" i="2"/>
  <c r="AI243" i="2"/>
  <c r="AG243" i="2"/>
  <c r="AK242" i="2"/>
  <c r="AJ242" i="2"/>
  <c r="AI242" i="2"/>
  <c r="AG242" i="2"/>
  <c r="AK241" i="2"/>
  <c r="AJ241" i="2"/>
  <c r="AI241" i="2"/>
  <c r="AG241" i="2"/>
  <c r="AK240" i="2"/>
  <c r="AJ240" i="2"/>
  <c r="AI240" i="2"/>
  <c r="AG240" i="2"/>
  <c r="AK239" i="2"/>
  <c r="AJ239" i="2"/>
  <c r="AI239" i="2"/>
  <c r="AG239" i="2"/>
  <c r="AK238" i="2"/>
  <c r="AJ238" i="2"/>
  <c r="AI238" i="2"/>
  <c r="AG238" i="2"/>
  <c r="AK237" i="2"/>
  <c r="AJ237" i="2"/>
  <c r="AI237" i="2"/>
  <c r="AG237" i="2"/>
  <c r="AK236" i="2"/>
  <c r="AJ236" i="2"/>
  <c r="AI236" i="2"/>
  <c r="AG236" i="2"/>
  <c r="AK235" i="2"/>
  <c r="AJ235" i="2"/>
  <c r="AI235" i="2"/>
  <c r="AG235" i="2"/>
  <c r="AK234" i="2"/>
  <c r="AJ234" i="2"/>
  <c r="AI234" i="2"/>
  <c r="AG234" i="2"/>
  <c r="AK233" i="2"/>
  <c r="AJ233" i="2"/>
  <c r="AI233" i="2"/>
  <c r="AG233" i="2"/>
  <c r="AK232" i="2"/>
  <c r="AJ232" i="2"/>
  <c r="AI232" i="2"/>
  <c r="AG232" i="2"/>
  <c r="AK231" i="2"/>
  <c r="AJ231" i="2"/>
  <c r="AI231" i="2"/>
  <c r="AG231" i="2"/>
  <c r="AK230" i="2"/>
  <c r="AJ230" i="2"/>
  <c r="AI230" i="2"/>
  <c r="AG230" i="2"/>
  <c r="AK229" i="2"/>
  <c r="AJ229" i="2"/>
  <c r="AI229" i="2"/>
  <c r="AG229" i="2"/>
  <c r="AK228" i="2"/>
  <c r="AJ228" i="2"/>
  <c r="AI228" i="2"/>
  <c r="AG228" i="2"/>
  <c r="AK227" i="2"/>
  <c r="AJ227" i="2"/>
  <c r="AI227" i="2"/>
  <c r="AG227" i="2"/>
  <c r="AK226" i="2"/>
  <c r="AJ226" i="2"/>
  <c r="AI226" i="2"/>
  <c r="AG226" i="2"/>
  <c r="AK225" i="2"/>
  <c r="AJ225" i="2"/>
  <c r="AI225" i="2"/>
  <c r="AG225" i="2"/>
  <c r="AK224" i="2"/>
  <c r="AJ224" i="2"/>
  <c r="AI224" i="2"/>
  <c r="AG224" i="2"/>
  <c r="AK223" i="2"/>
  <c r="AJ223" i="2"/>
  <c r="AI223" i="2"/>
  <c r="AG223" i="2"/>
  <c r="AK222" i="2"/>
  <c r="AJ222" i="2"/>
  <c r="AI222" i="2"/>
  <c r="AG222" i="2"/>
  <c r="AK221" i="2"/>
  <c r="AJ221" i="2"/>
  <c r="AI221" i="2"/>
  <c r="AG221" i="2"/>
  <c r="AK220" i="2"/>
  <c r="AJ220" i="2"/>
  <c r="AI220" i="2"/>
  <c r="AG220" i="2"/>
  <c r="AK219" i="2"/>
  <c r="AJ219" i="2"/>
  <c r="AI219" i="2"/>
  <c r="AG219" i="2"/>
  <c r="AK218" i="2"/>
  <c r="AJ218" i="2"/>
  <c r="AI218" i="2"/>
  <c r="AG218" i="2"/>
  <c r="AK217" i="2"/>
  <c r="AJ217" i="2"/>
  <c r="AI217" i="2"/>
  <c r="AG217" i="2"/>
  <c r="AK216" i="2"/>
  <c r="AJ216" i="2"/>
  <c r="AI216" i="2"/>
  <c r="AG216" i="2"/>
  <c r="AK215" i="2"/>
  <c r="AJ215" i="2"/>
  <c r="AI215" i="2"/>
  <c r="AG215" i="2"/>
  <c r="AK214" i="2"/>
  <c r="AJ214" i="2"/>
  <c r="AI214" i="2"/>
  <c r="AG214" i="2"/>
  <c r="AK213" i="2"/>
  <c r="AJ213" i="2"/>
  <c r="AI213" i="2"/>
  <c r="AG213" i="2"/>
  <c r="AK212" i="2"/>
  <c r="AJ212" i="2"/>
  <c r="AI212" i="2"/>
  <c r="AG212" i="2"/>
  <c r="AK211" i="2"/>
  <c r="AJ211" i="2"/>
  <c r="AI211" i="2"/>
  <c r="AG211" i="2"/>
  <c r="AK210" i="2"/>
  <c r="AJ210" i="2"/>
  <c r="AI210" i="2"/>
  <c r="AG210" i="2"/>
  <c r="AK209" i="2"/>
  <c r="AJ209" i="2"/>
  <c r="AI209" i="2"/>
  <c r="AG209" i="2"/>
  <c r="AK208" i="2"/>
  <c r="AJ208" i="2"/>
  <c r="AI208" i="2"/>
  <c r="AG208" i="2"/>
  <c r="AK207" i="2"/>
  <c r="AJ207" i="2"/>
  <c r="AI207" i="2"/>
  <c r="AG207" i="2"/>
  <c r="AK206" i="2"/>
  <c r="AJ206" i="2"/>
  <c r="AI206" i="2"/>
  <c r="AG206" i="2"/>
  <c r="AK205" i="2"/>
  <c r="AJ205" i="2"/>
  <c r="AI205" i="2"/>
  <c r="AG205" i="2"/>
  <c r="AK204" i="2"/>
  <c r="AJ204" i="2"/>
  <c r="AI204" i="2"/>
  <c r="AG204" i="2"/>
  <c r="AK203" i="2"/>
  <c r="AJ203" i="2"/>
  <c r="AI203" i="2"/>
  <c r="AG203" i="2"/>
  <c r="AK202" i="2"/>
  <c r="AJ202" i="2"/>
  <c r="AI202" i="2"/>
  <c r="AG202" i="2"/>
  <c r="AK201" i="2"/>
  <c r="AJ201" i="2"/>
  <c r="AI201" i="2"/>
  <c r="AG201" i="2"/>
  <c r="AK200" i="2"/>
  <c r="AJ200" i="2"/>
  <c r="AI200" i="2"/>
  <c r="AG200" i="2"/>
  <c r="AK199" i="2"/>
  <c r="AJ199" i="2"/>
  <c r="AI199" i="2"/>
  <c r="AG199" i="2"/>
  <c r="AK198" i="2"/>
  <c r="AJ198" i="2"/>
  <c r="AI198" i="2"/>
  <c r="AG198" i="2"/>
  <c r="AK197" i="2"/>
  <c r="AJ197" i="2"/>
  <c r="AI197" i="2"/>
  <c r="AG197" i="2"/>
  <c r="AK196" i="2"/>
  <c r="AJ196" i="2"/>
  <c r="AI196" i="2"/>
  <c r="AG196" i="2"/>
  <c r="AK195" i="2"/>
  <c r="AJ195" i="2"/>
  <c r="AI195" i="2"/>
  <c r="AG195" i="2"/>
  <c r="AK194" i="2"/>
  <c r="AJ194" i="2"/>
  <c r="AI194" i="2"/>
  <c r="AG194" i="2"/>
  <c r="AK193" i="2"/>
  <c r="AJ193" i="2"/>
  <c r="AI193" i="2"/>
  <c r="AG193" i="2"/>
  <c r="AK192" i="2"/>
  <c r="AJ192" i="2"/>
  <c r="AI192" i="2"/>
  <c r="AG192" i="2"/>
  <c r="AK191" i="2"/>
  <c r="AJ191" i="2"/>
  <c r="AI191" i="2"/>
  <c r="AG191" i="2"/>
  <c r="AK190" i="2"/>
  <c r="AJ190" i="2"/>
  <c r="AI190" i="2"/>
  <c r="AG190" i="2"/>
  <c r="AK189" i="2"/>
  <c r="AJ189" i="2"/>
  <c r="AI189" i="2"/>
  <c r="AG189" i="2"/>
  <c r="AK188" i="2"/>
  <c r="AJ188" i="2"/>
  <c r="AI188" i="2"/>
  <c r="AG188" i="2"/>
  <c r="AK187" i="2"/>
  <c r="AJ187" i="2"/>
  <c r="AI187" i="2"/>
  <c r="AG187" i="2"/>
  <c r="AK186" i="2"/>
  <c r="AJ186" i="2"/>
  <c r="AI186" i="2"/>
  <c r="AG186" i="2"/>
  <c r="AK185" i="2"/>
  <c r="AJ185" i="2"/>
  <c r="AI185" i="2"/>
  <c r="AG185" i="2"/>
  <c r="AK184" i="2"/>
  <c r="AJ184" i="2"/>
  <c r="AI184" i="2"/>
  <c r="AG184" i="2"/>
  <c r="AK183" i="2"/>
  <c r="AJ183" i="2"/>
  <c r="AI183" i="2"/>
  <c r="AG183" i="2"/>
  <c r="AK182" i="2"/>
  <c r="AJ182" i="2"/>
  <c r="AI182" i="2"/>
  <c r="AG182" i="2"/>
  <c r="AK181" i="2"/>
  <c r="AJ181" i="2"/>
  <c r="AI181" i="2"/>
  <c r="AG181" i="2"/>
  <c r="AK180" i="2"/>
  <c r="AJ180" i="2"/>
  <c r="AI180" i="2"/>
  <c r="AG180" i="2"/>
  <c r="AK179" i="2"/>
  <c r="AJ179" i="2"/>
  <c r="AI179" i="2"/>
  <c r="AG179" i="2"/>
  <c r="AK178" i="2"/>
  <c r="AJ178" i="2"/>
  <c r="AI178" i="2"/>
  <c r="AG178" i="2"/>
  <c r="AK177" i="2"/>
  <c r="AJ177" i="2"/>
  <c r="AI177" i="2"/>
  <c r="AG177" i="2"/>
  <c r="AK176" i="2"/>
  <c r="AJ176" i="2"/>
  <c r="AI176" i="2"/>
  <c r="AG176" i="2"/>
  <c r="AK175" i="2"/>
  <c r="AJ175" i="2"/>
  <c r="AI175" i="2"/>
  <c r="AG175" i="2"/>
  <c r="AK174" i="2"/>
  <c r="AJ174" i="2"/>
  <c r="AI174" i="2"/>
  <c r="AG174" i="2"/>
  <c r="AK173" i="2"/>
  <c r="AJ173" i="2"/>
  <c r="AI173" i="2"/>
  <c r="AG173" i="2"/>
  <c r="AK172" i="2"/>
  <c r="AJ172" i="2"/>
  <c r="AI172" i="2"/>
  <c r="AG172" i="2"/>
  <c r="AK171" i="2"/>
  <c r="AJ171" i="2"/>
  <c r="AI171" i="2"/>
  <c r="AG171" i="2"/>
  <c r="AK170" i="2"/>
  <c r="AJ170" i="2"/>
  <c r="AI170" i="2"/>
  <c r="AG170" i="2"/>
  <c r="AK169" i="2"/>
  <c r="AJ169" i="2"/>
  <c r="AI169" i="2"/>
  <c r="AG169" i="2"/>
  <c r="AK168" i="2"/>
  <c r="AJ168" i="2"/>
  <c r="AI168" i="2"/>
  <c r="AG168" i="2"/>
  <c r="AK167" i="2"/>
  <c r="AJ167" i="2"/>
  <c r="AI167" i="2"/>
  <c r="AG167" i="2"/>
  <c r="AK166" i="2"/>
  <c r="AJ166" i="2"/>
  <c r="AI166" i="2"/>
  <c r="AG166" i="2"/>
  <c r="AK165" i="2"/>
  <c r="AJ165" i="2"/>
  <c r="AI165" i="2"/>
  <c r="AG165" i="2"/>
  <c r="AK164" i="2"/>
  <c r="AJ164" i="2"/>
  <c r="AI164" i="2"/>
  <c r="AG164" i="2"/>
  <c r="AK163" i="2"/>
  <c r="AJ163" i="2"/>
  <c r="AI163" i="2"/>
  <c r="AG163" i="2"/>
  <c r="AK162" i="2"/>
  <c r="AJ162" i="2"/>
  <c r="AI162" i="2"/>
  <c r="AG162" i="2"/>
  <c r="AK161" i="2"/>
  <c r="AJ161" i="2"/>
  <c r="AI161" i="2"/>
  <c r="AG161" i="2"/>
  <c r="AK160" i="2"/>
  <c r="AJ160" i="2"/>
  <c r="AI160" i="2"/>
  <c r="AG160" i="2"/>
  <c r="AK159" i="2"/>
  <c r="AJ159" i="2"/>
  <c r="AI159" i="2"/>
  <c r="AG159" i="2"/>
  <c r="AK158" i="2"/>
  <c r="AJ158" i="2"/>
  <c r="AI158" i="2"/>
  <c r="AG158" i="2"/>
  <c r="AK157" i="2"/>
  <c r="AJ157" i="2"/>
  <c r="AI157" i="2"/>
  <c r="AG157" i="2"/>
  <c r="AK156" i="2"/>
  <c r="AJ156" i="2"/>
  <c r="AI156" i="2"/>
  <c r="AG156" i="2"/>
  <c r="AK155" i="2"/>
  <c r="AJ155" i="2"/>
  <c r="AI155" i="2"/>
  <c r="AG155" i="2"/>
  <c r="AK154" i="2"/>
  <c r="AJ154" i="2"/>
  <c r="AI154" i="2"/>
  <c r="AG154" i="2"/>
  <c r="AK153" i="2"/>
  <c r="AJ153" i="2"/>
  <c r="AI153" i="2"/>
  <c r="AG153" i="2"/>
  <c r="AK152" i="2"/>
  <c r="AJ152" i="2"/>
  <c r="AI152" i="2"/>
  <c r="AG152" i="2"/>
  <c r="AK151" i="2"/>
  <c r="AJ151" i="2"/>
  <c r="AI151" i="2"/>
  <c r="AG151" i="2"/>
  <c r="AK150" i="2"/>
  <c r="AJ150" i="2"/>
  <c r="AI150" i="2"/>
  <c r="AG150" i="2"/>
  <c r="AK149" i="2"/>
  <c r="AJ149" i="2"/>
  <c r="AI149" i="2"/>
  <c r="AG149" i="2"/>
  <c r="AK148" i="2"/>
  <c r="AJ148" i="2"/>
  <c r="AI148" i="2"/>
  <c r="AG148" i="2"/>
  <c r="AK147" i="2"/>
  <c r="AJ147" i="2"/>
  <c r="AI147" i="2"/>
  <c r="AG147" i="2"/>
  <c r="AK146" i="2"/>
  <c r="AJ146" i="2"/>
  <c r="AI146" i="2"/>
  <c r="AG146" i="2"/>
  <c r="AK145" i="2"/>
  <c r="AJ145" i="2"/>
  <c r="AI145" i="2"/>
  <c r="AG145" i="2"/>
  <c r="AK144" i="2"/>
  <c r="AJ144" i="2"/>
  <c r="AI144" i="2"/>
  <c r="AG144" i="2"/>
  <c r="AK143" i="2"/>
  <c r="AJ143" i="2"/>
  <c r="AI143" i="2"/>
  <c r="AG143" i="2"/>
  <c r="AK142" i="2"/>
  <c r="AJ142" i="2"/>
  <c r="AI142" i="2"/>
  <c r="AG142" i="2"/>
  <c r="AK141" i="2"/>
  <c r="AJ141" i="2"/>
  <c r="AI141" i="2"/>
  <c r="AG141" i="2"/>
  <c r="AK140" i="2"/>
  <c r="AJ140" i="2"/>
  <c r="AI140" i="2"/>
  <c r="AG140" i="2"/>
  <c r="AK139" i="2"/>
  <c r="AJ139" i="2"/>
  <c r="AI139" i="2"/>
  <c r="AG139" i="2"/>
  <c r="AK558" i="2"/>
  <c r="AJ558" i="2"/>
  <c r="AI558" i="2"/>
  <c r="AG558" i="2"/>
  <c r="AH567" i="2"/>
  <c r="AH568" i="2"/>
  <c r="AH564" i="2"/>
  <c r="AH565" i="2"/>
  <c r="AH566" i="2"/>
  <c r="AH563" i="2"/>
  <c r="AH559" i="2"/>
  <c r="AH562" i="2"/>
  <c r="AH560" i="2"/>
  <c r="AH561" i="2"/>
  <c r="AK138" i="2" l="1"/>
  <c r="AJ138" i="2"/>
  <c r="AG138" i="2"/>
  <c r="AK137" i="2"/>
  <c r="AJ137" i="2"/>
  <c r="AG137" i="2"/>
  <c r="AK136" i="2"/>
  <c r="AJ136" i="2"/>
  <c r="AG136" i="2"/>
  <c r="AK135" i="2" l="1"/>
  <c r="AJ135" i="2"/>
  <c r="AG135" i="2"/>
  <c r="AK134" i="2"/>
  <c r="AJ134" i="2"/>
  <c r="AG134" i="2"/>
  <c r="AK133" i="2"/>
  <c r="AJ133" i="2"/>
  <c r="AG133" i="2"/>
  <c r="AK132" i="2"/>
  <c r="AJ132" i="2"/>
  <c r="AG132" i="2"/>
  <c r="AK131" i="2"/>
  <c r="AJ131" i="2"/>
  <c r="AG131" i="2"/>
  <c r="AK130" i="2"/>
  <c r="AJ130" i="2"/>
  <c r="AG130" i="2"/>
  <c r="AK129" i="2"/>
  <c r="AJ129" i="2"/>
  <c r="AG129" i="2"/>
  <c r="AK128" i="2"/>
  <c r="AJ128" i="2"/>
  <c r="AG128" i="2"/>
  <c r="AK127" i="2"/>
  <c r="AJ127" i="2"/>
  <c r="AG127" i="2"/>
  <c r="AK126" i="2"/>
  <c r="AJ126" i="2"/>
  <c r="AG126" i="2"/>
  <c r="AK125" i="2" l="1"/>
  <c r="AJ125" i="2"/>
  <c r="AG125" i="2"/>
  <c r="AK124" i="2"/>
  <c r="AJ124" i="2"/>
  <c r="AG124" i="2"/>
  <c r="AK123" i="2"/>
  <c r="AJ123" i="2"/>
  <c r="AG123" i="2"/>
  <c r="AK122" i="2"/>
  <c r="AJ122" i="2"/>
  <c r="AG122" i="2"/>
  <c r="AK121" i="2"/>
  <c r="AJ121" i="2"/>
  <c r="AG121" i="2"/>
  <c r="AK120" i="2"/>
  <c r="AJ120" i="2"/>
  <c r="AG120" i="2"/>
  <c r="AK119" i="2"/>
  <c r="AJ119" i="2"/>
  <c r="AG119" i="2"/>
  <c r="AK118" i="2"/>
  <c r="AJ118" i="2"/>
  <c r="AG118" i="2"/>
  <c r="AK117" i="2"/>
  <c r="AJ117" i="2"/>
  <c r="AG117" i="2"/>
  <c r="AK116" i="2"/>
  <c r="AJ116" i="2"/>
  <c r="AG116" i="2"/>
  <c r="AK115" i="2"/>
  <c r="AJ115" i="2"/>
  <c r="AG115" i="2"/>
  <c r="AK114" i="2"/>
  <c r="AJ114" i="2"/>
  <c r="AG114" i="2"/>
  <c r="AK113" i="2"/>
  <c r="AJ113" i="2"/>
  <c r="AG113" i="2"/>
  <c r="AK112" i="2"/>
  <c r="AJ112" i="2"/>
  <c r="AG112" i="2"/>
  <c r="AK111" i="2"/>
  <c r="AJ111" i="2"/>
  <c r="AG111" i="2"/>
  <c r="AK110" i="2"/>
  <c r="AJ110" i="2"/>
  <c r="AG110" i="2"/>
  <c r="AK109" i="2"/>
  <c r="AJ109" i="2"/>
  <c r="AG109" i="2"/>
  <c r="AK108" i="2"/>
  <c r="AJ108" i="2"/>
  <c r="AG108" i="2"/>
  <c r="AK107" i="2"/>
  <c r="AJ107" i="2"/>
  <c r="AG107" i="2"/>
  <c r="AK106" i="2"/>
  <c r="AJ106" i="2"/>
  <c r="AG106" i="2"/>
  <c r="AK105" i="2"/>
  <c r="AJ105" i="2"/>
  <c r="AG105" i="2"/>
  <c r="AK104" i="2"/>
  <c r="AJ104" i="2"/>
  <c r="AG104" i="2"/>
  <c r="AK103" i="2"/>
  <c r="AJ103" i="2"/>
  <c r="AG103" i="2"/>
  <c r="AK102" i="2"/>
  <c r="AJ102" i="2"/>
  <c r="AG102" i="2"/>
  <c r="AK101" i="2"/>
  <c r="AJ101" i="2"/>
  <c r="AG101" i="2"/>
  <c r="AK100" i="2"/>
  <c r="AJ100" i="2"/>
  <c r="AG100" i="2"/>
  <c r="AK99" i="2"/>
  <c r="AJ99" i="2"/>
  <c r="AG99" i="2"/>
  <c r="AK98" i="2"/>
  <c r="AJ98" i="2"/>
  <c r="AG98" i="2"/>
  <c r="AK97" i="2"/>
  <c r="AJ97" i="2"/>
  <c r="AG97" i="2"/>
  <c r="AK96" i="2"/>
  <c r="AJ96" i="2"/>
  <c r="AG96" i="2"/>
  <c r="AK95" i="2"/>
  <c r="AJ95" i="2"/>
  <c r="AG95" i="2"/>
  <c r="AK94" i="2"/>
  <c r="AJ94" i="2"/>
  <c r="AG94" i="2"/>
  <c r="AF473" i="2"/>
  <c r="AF205" i="2"/>
  <c r="AF519" i="2"/>
  <c r="AE219" i="2"/>
  <c r="AE480" i="2"/>
  <c r="AE283" i="2"/>
  <c r="AF547" i="2"/>
  <c r="AE209" i="2"/>
  <c r="AF394" i="2"/>
  <c r="AE166" i="2"/>
  <c r="AE355" i="2"/>
  <c r="AE340" i="2"/>
  <c r="AF517" i="2"/>
  <c r="AE171" i="2"/>
  <c r="AE367" i="2"/>
  <c r="AF315" i="2"/>
  <c r="AF258" i="2"/>
  <c r="AF286" i="2"/>
  <c r="AE375" i="2"/>
  <c r="AE137" i="2"/>
  <c r="AE269" i="2"/>
  <c r="AE452" i="2"/>
  <c r="AE459" i="2"/>
  <c r="AF198" i="2"/>
  <c r="AE505" i="2"/>
  <c r="AF146" i="2"/>
  <c r="AF472" i="2"/>
  <c r="AF169" i="2"/>
  <c r="AE470" i="2"/>
  <c r="AE371" i="2"/>
  <c r="AF354" i="2"/>
  <c r="AF363" i="2"/>
  <c r="AE257" i="2"/>
  <c r="AF495" i="2"/>
  <c r="AF170" i="2"/>
  <c r="AF349" i="2"/>
  <c r="AE274" i="2"/>
  <c r="AE290" i="2"/>
  <c r="AF320" i="2"/>
  <c r="AE360" i="2"/>
  <c r="AE184" i="2"/>
  <c r="AF334" i="2"/>
  <c r="AE554" i="2"/>
  <c r="AE333" i="2"/>
  <c r="AF521" i="2"/>
  <c r="AE276" i="2"/>
  <c r="AE418" i="2"/>
  <c r="AE248" i="2"/>
  <c r="AF196" i="2"/>
  <c r="AF297" i="2"/>
  <c r="AE534" i="2"/>
  <c r="AF204" i="2"/>
  <c r="AF339" i="2"/>
  <c r="AE336" i="2"/>
  <c r="AF404" i="2"/>
  <c r="AE261" i="2"/>
  <c r="AE365" i="2"/>
  <c r="AE231" i="2"/>
  <c r="AE465" i="2"/>
  <c r="AE220" i="2"/>
  <c r="AF432" i="2"/>
  <c r="AF187" i="2"/>
  <c r="AF416" i="2"/>
  <c r="AF171" i="2"/>
  <c r="AF549" i="2"/>
  <c r="AF558" i="2"/>
  <c r="AE382" i="2"/>
  <c r="AF556" i="2"/>
  <c r="AE491" i="2"/>
  <c r="AF276" i="2"/>
  <c r="AE537" i="2"/>
  <c r="AE149" i="2"/>
  <c r="AF504" i="2"/>
  <c r="AF186" i="2"/>
  <c r="AF281" i="2"/>
  <c r="AE467" i="2"/>
  <c r="AE454" i="2"/>
  <c r="AF523" i="2"/>
  <c r="AE289" i="2"/>
  <c r="AE545" i="2"/>
  <c r="AE285" i="2"/>
  <c r="AE206" i="2"/>
  <c r="AE484" i="2"/>
  <c r="AF314" i="2"/>
  <c r="AF409" i="2"/>
  <c r="AF220" i="2"/>
  <c r="AF455" i="2"/>
  <c r="AE139" i="2"/>
  <c r="AE416" i="2"/>
  <c r="AF389" i="2"/>
  <c r="AF327" i="2"/>
  <c r="AE376" i="2"/>
  <c r="AE391" i="2"/>
  <c r="AE185" i="2"/>
  <c r="AE287" i="2"/>
  <c r="AF283" i="2"/>
  <c r="AE163" i="2"/>
  <c r="AF421" i="2"/>
  <c r="AF155" i="2"/>
  <c r="AF374" i="2"/>
  <c r="AF436" i="2"/>
  <c r="AE230" i="2"/>
  <c r="AE397" i="2"/>
  <c r="AE260" i="2"/>
  <c r="AE497" i="2"/>
  <c r="AE510" i="2"/>
  <c r="AF464" i="2"/>
  <c r="AF219" i="2"/>
  <c r="AE361" i="2"/>
  <c r="AE413" i="2"/>
  <c r="AF231" i="2"/>
  <c r="AE414" i="2"/>
  <c r="AF149" i="2"/>
  <c r="AE396" i="2"/>
  <c r="AE501" i="2"/>
  <c r="AF301" i="2"/>
  <c r="AF554" i="2"/>
  <c r="AF143" i="2"/>
  <c r="AE515" i="2"/>
  <c r="AF324" i="2"/>
  <c r="AF415" i="2"/>
  <c r="AF260" i="2"/>
  <c r="AF542" i="2"/>
  <c r="AF145" i="2"/>
  <c r="AE439" i="2"/>
  <c r="AE309" i="2"/>
  <c r="AE325" i="2"/>
  <c r="AF419" i="2"/>
  <c r="AE208" i="2"/>
  <c r="AE466" i="2"/>
  <c r="AE198" i="2"/>
  <c r="AF433" i="2"/>
  <c r="AF180" i="2"/>
  <c r="AF266" i="2"/>
  <c r="AE381" i="2"/>
  <c r="AF437" i="2"/>
  <c r="AF235" i="2"/>
  <c r="AF273" i="2"/>
  <c r="AE324" i="2"/>
  <c r="AE189" i="2"/>
  <c r="AF136" i="2"/>
  <c r="AE398" i="2"/>
  <c r="AE307" i="2"/>
  <c r="AE154" i="2"/>
  <c r="AE438" i="2"/>
  <c r="AE298" i="2"/>
  <c r="AE399" i="2"/>
  <c r="AF514" i="2"/>
  <c r="AF319" i="2"/>
  <c r="AE475" i="2"/>
  <c r="AF214" i="2"/>
  <c r="AF378" i="2"/>
  <c r="AE462" i="2"/>
  <c r="AE306" i="2"/>
  <c r="AE504" i="2"/>
  <c r="AF312" i="2"/>
  <c r="AF263" i="2"/>
  <c r="AE359" i="2"/>
  <c r="AE525" i="2"/>
  <c r="AF325" i="2"/>
  <c r="AE426" i="2"/>
  <c r="AE264" i="2"/>
  <c r="AF393" i="2"/>
  <c r="AE531" i="2"/>
  <c r="AE415" i="2"/>
  <c r="AF348" i="2"/>
  <c r="AE270" i="2"/>
  <c r="AF407" i="2"/>
  <c r="AF130" i="2"/>
  <c r="AE126" i="2"/>
  <c r="AF366" i="2"/>
  <c r="AF300" i="2"/>
  <c r="AF501" i="2"/>
  <c r="AF399" i="2"/>
  <c r="AF152" i="2"/>
  <c r="AE132" i="2"/>
  <c r="AE405" i="2"/>
  <c r="AF458" i="2"/>
  <c r="AE419" i="2"/>
  <c r="AF161" i="2"/>
  <c r="AF210" i="2"/>
  <c r="AE403" i="2"/>
  <c r="AE133" i="2"/>
  <c r="AF163" i="2"/>
  <c r="AE357" i="2"/>
  <c r="AF243" i="2"/>
  <c r="AF237" i="2"/>
  <c r="AE451" i="2"/>
  <c r="AE511" i="2"/>
  <c r="AF526" i="2"/>
  <c r="AE218" i="2"/>
  <c r="AF289" i="2"/>
  <c r="AE170" i="2"/>
  <c r="AE486" i="2"/>
  <c r="AE500" i="2"/>
  <c r="AF441" i="2"/>
  <c r="AE304" i="2"/>
  <c r="AF487" i="2"/>
  <c r="AE187" i="2"/>
  <c r="AE448" i="2"/>
  <c r="AF430" i="2"/>
  <c r="AE354" i="2"/>
  <c r="AF256" i="2"/>
  <c r="AF557" i="2"/>
  <c r="AF254" i="2"/>
  <c r="AE319" i="2"/>
  <c r="AE221" i="2"/>
  <c r="AF375" i="2"/>
  <c r="AE238" i="2"/>
  <c r="AF147" i="2"/>
  <c r="AE320" i="2"/>
  <c r="AE552" i="2"/>
  <c r="AE266" i="2"/>
  <c r="AF338" i="2"/>
  <c r="AF212" i="2"/>
  <c r="AE299" i="2"/>
  <c r="AF492" i="2"/>
  <c r="AE286" i="2"/>
  <c r="AE453" i="2"/>
  <c r="AF253" i="2"/>
  <c r="AE556" i="2"/>
  <c r="AF226" i="2"/>
  <c r="AE442" i="2"/>
  <c r="AF211" i="2"/>
  <c r="AF353" i="2"/>
  <c r="AE533" i="2"/>
  <c r="AF333" i="2"/>
  <c r="AE380" i="2"/>
  <c r="AF175" i="2"/>
  <c r="AE547" i="2"/>
  <c r="AE182" i="2"/>
  <c r="AF447" i="2"/>
  <c r="AF241" i="2"/>
  <c r="AE408" i="2"/>
  <c r="AE242" i="2"/>
  <c r="AE471" i="2"/>
  <c r="AF392" i="2"/>
  <c r="AE388" i="2"/>
  <c r="AF239" i="2"/>
  <c r="AE538" i="2"/>
  <c r="AE246" i="2"/>
  <c r="AF451" i="2"/>
  <c r="AF291" i="2"/>
  <c r="AE498" i="2"/>
  <c r="AE224" i="2"/>
  <c r="AF465" i="2"/>
  <c r="AE272" i="2"/>
  <c r="AF298" i="2"/>
  <c r="AE477" i="2"/>
  <c r="AE259" i="2"/>
  <c r="AF139" i="2"/>
  <c r="AF305" i="2"/>
  <c r="AE527" i="2"/>
  <c r="AF279" i="2"/>
  <c r="AE363" i="2"/>
  <c r="AE348" i="2"/>
  <c r="AE409" i="2"/>
  <c r="AE164" i="2"/>
  <c r="AF376" i="2"/>
  <c r="AF424" i="2"/>
  <c r="AE297" i="2"/>
  <c r="AE496" i="2"/>
  <c r="AF264" i="2"/>
  <c r="AF456" i="2"/>
  <c r="AF351" i="2"/>
  <c r="AF343" i="2"/>
  <c r="AE548" i="2"/>
  <c r="AF530" i="2"/>
  <c r="AE517" i="2"/>
  <c r="AF344" i="2"/>
  <c r="AE216" i="2"/>
  <c r="AE271" i="2"/>
  <c r="AE557" i="2"/>
  <c r="AE358" i="2"/>
  <c r="AE458" i="2"/>
  <c r="AF189" i="2"/>
  <c r="AF425" i="2"/>
  <c r="AE256" i="2"/>
  <c r="AE521" i="2"/>
  <c r="AF284" i="2"/>
  <c r="AE232" i="2"/>
  <c r="AF172" i="2"/>
  <c r="AF342" i="2"/>
  <c r="AE508" i="2"/>
  <c r="AF176" i="2"/>
  <c r="AF475" i="2"/>
  <c r="AE369" i="2"/>
  <c r="AF391" i="2"/>
  <c r="AE351" i="2"/>
  <c r="AE495" i="2"/>
  <c r="AF128" i="2"/>
  <c r="AE546" i="2"/>
  <c r="AE191" i="2"/>
  <c r="AE479" i="2"/>
  <c r="AE190" i="2"/>
  <c r="AF290" i="2"/>
  <c r="AE155" i="2"/>
  <c r="AE253" i="2"/>
  <c r="AF331" i="2"/>
  <c r="AE199" i="2"/>
  <c r="AE225" i="2"/>
  <c r="AF177" i="2"/>
  <c r="AE243" i="2"/>
  <c r="AF360" i="2"/>
  <c r="AF373" i="2"/>
  <c r="AF525" i="2"/>
  <c r="AE328" i="2"/>
  <c r="AF450" i="2"/>
  <c r="AF384" i="2"/>
  <c r="AF365" i="2"/>
  <c r="AE383" i="2"/>
  <c r="AF197" i="2"/>
  <c r="AE331" i="2"/>
  <c r="AF524" i="2"/>
  <c r="AE318" i="2"/>
  <c r="AE485" i="2"/>
  <c r="AF285" i="2"/>
  <c r="AF388" i="2"/>
  <c r="AF244" i="2"/>
  <c r="AE195" i="2"/>
  <c r="AF282" i="2"/>
  <c r="AF299" i="2"/>
  <c r="AF255" i="2"/>
  <c r="AE183" i="2"/>
  <c r="AF462" i="2"/>
  <c r="AE301" i="2"/>
  <c r="AF406" i="2"/>
  <c r="AF520" i="2"/>
  <c r="AF336" i="2"/>
  <c r="AE436" i="2"/>
  <c r="AE244" i="2"/>
  <c r="AF403" i="2"/>
  <c r="AE192" i="2"/>
  <c r="AF506" i="2"/>
  <c r="AF303" i="2"/>
  <c r="AF370" i="2"/>
  <c r="AE157" i="2"/>
  <c r="AF352" i="2"/>
  <c r="AF483" i="2"/>
  <c r="AE542" i="2"/>
  <c r="AE530" i="2"/>
  <c r="AE293" i="2"/>
  <c r="AF497" i="2"/>
  <c r="AF223" i="2"/>
  <c r="AF330" i="2"/>
  <c r="AF228" i="2"/>
  <c r="AE291" i="2"/>
  <c r="AE180" i="2"/>
  <c r="AF337" i="2"/>
  <c r="AF323" i="2"/>
  <c r="AF183" i="2"/>
  <c r="AE138" i="2"/>
  <c r="AF412" i="2"/>
  <c r="AF307" i="2"/>
  <c r="AE395" i="2"/>
  <c r="AF181" i="2"/>
  <c r="AE441" i="2"/>
  <c r="AE196" i="2"/>
  <c r="AF408" i="2"/>
  <c r="AF417" i="2"/>
  <c r="AE329" i="2"/>
  <c r="AF488" i="2"/>
  <c r="AF296" i="2"/>
  <c r="AF481" i="2"/>
  <c r="AE342" i="2"/>
  <c r="AF137" i="2"/>
  <c r="AF216" i="2"/>
  <c r="AF512" i="2"/>
  <c r="AF162" i="2"/>
  <c r="AE519" i="2"/>
  <c r="AE202" i="2"/>
  <c r="AF486" i="2"/>
  <c r="AE153" i="2"/>
  <c r="AE327" i="2"/>
  <c r="AE152" i="2"/>
  <c r="AF294" i="2"/>
  <c r="AF516" i="2"/>
  <c r="AE310" i="2"/>
  <c r="AF209" i="2"/>
  <c r="AE356" i="2"/>
  <c r="AE204" i="2"/>
  <c r="AF150" i="2"/>
  <c r="AE374" i="2"/>
  <c r="AE540" i="2"/>
  <c r="AF208" i="2"/>
  <c r="AF507" i="2"/>
  <c r="AE169" i="2"/>
  <c r="AE401" i="2"/>
  <c r="AE156" i="2"/>
  <c r="AF368" i="2"/>
  <c r="AF295" i="2"/>
  <c r="AF471" i="2"/>
  <c r="AF395" i="2"/>
  <c r="AE268" i="2"/>
  <c r="AF158" i="2"/>
  <c r="AE317" i="2"/>
  <c r="AF476" i="2"/>
  <c r="AF134" i="2"/>
  <c r="AE346" i="2"/>
  <c r="AE227" i="2"/>
  <c r="AE437" i="2"/>
  <c r="AF190" i="2"/>
  <c r="AE284" i="2"/>
  <c r="AF280" i="2"/>
  <c r="AF532" i="2"/>
  <c r="AE326" i="2"/>
  <c r="AE493" i="2"/>
  <c r="AF293" i="2"/>
  <c r="AE394" i="2"/>
  <c r="AF494" i="2"/>
  <c r="AF227" i="2"/>
  <c r="AE502" i="2"/>
  <c r="AF513" i="2"/>
  <c r="AF398" i="2"/>
  <c r="AE468" i="2"/>
  <c r="AF347" i="2"/>
  <c r="AF435" i="2"/>
  <c r="AE226" i="2"/>
  <c r="AF538" i="2"/>
  <c r="AE150" i="2"/>
  <c r="AE420" i="2"/>
  <c r="AF202" i="2"/>
  <c r="AE316" i="2"/>
  <c r="AE136" i="2"/>
  <c r="AF467" i="2"/>
  <c r="AE322" i="2"/>
  <c r="AE251" i="2"/>
  <c r="AF477" i="2"/>
  <c r="AE241" i="2"/>
  <c r="AF359" i="2"/>
  <c r="AF386" i="2"/>
  <c r="AE142" i="2"/>
  <c r="AF553" i="2"/>
  <c r="AE332" i="2"/>
  <c r="AE450" i="2"/>
  <c r="AE158" i="2"/>
  <c r="AE349" i="2"/>
  <c r="AE223" i="2"/>
  <c r="AF193" i="2"/>
  <c r="AE427" i="2"/>
  <c r="AF166" i="2"/>
  <c r="AE473" i="2"/>
  <c r="AF257" i="2"/>
  <c r="AF440" i="2"/>
  <c r="AF240" i="2"/>
  <c r="AF355" i="2"/>
  <c r="AF449" i="2"/>
  <c r="AF328" i="2"/>
  <c r="AE435" i="2"/>
  <c r="AE422" i="2"/>
  <c r="AF453" i="2"/>
  <c r="AE240" i="2"/>
  <c r="AF390" i="2"/>
  <c r="AE247" i="2"/>
  <c r="AF527" i="2"/>
  <c r="AF544" i="2"/>
  <c r="AF156" i="2"/>
  <c r="AE551" i="2"/>
  <c r="AF185" i="2"/>
  <c r="AF518" i="2"/>
  <c r="AF277" i="2"/>
  <c r="AF358" i="2"/>
  <c r="AE217" i="2"/>
  <c r="AF326" i="2"/>
  <c r="AF548" i="2"/>
  <c r="AE175" i="2"/>
  <c r="AF431" i="2"/>
  <c r="AF382" i="2"/>
  <c r="AE456" i="2"/>
  <c r="AF242" i="2"/>
  <c r="AF396" i="2"/>
  <c r="AE460" i="2"/>
  <c r="AF151" i="2"/>
  <c r="AF490" i="2"/>
  <c r="AF478" i="2"/>
  <c r="AF310" i="2"/>
  <c r="AE476" i="2"/>
  <c r="AE478" i="2"/>
  <c r="AF443" i="2"/>
  <c r="AE245" i="2"/>
  <c r="AF543" i="2"/>
  <c r="AF405" i="2"/>
  <c r="AF470" i="2"/>
  <c r="AF335" i="2"/>
  <c r="AF341" i="2"/>
  <c r="AF461" i="2"/>
  <c r="AF418" i="2"/>
  <c r="AE151" i="2"/>
  <c r="AE379" i="2"/>
  <c r="AE526" i="2"/>
  <c r="AE482" i="2"/>
  <c r="AE214" i="2"/>
  <c r="AF215" i="2"/>
  <c r="AF287" i="2"/>
  <c r="AF329" i="2"/>
  <c r="AE161" i="2"/>
  <c r="AE352" i="2"/>
  <c r="AE407" i="2"/>
  <c r="AF468" i="2"/>
  <c r="AE262" i="2"/>
  <c r="AE429" i="2"/>
  <c r="AF229" i="2"/>
  <c r="AE529" i="2"/>
  <c r="AE141" i="2"/>
  <c r="AF496" i="2"/>
  <c r="AE446" i="2"/>
  <c r="AE393" i="2"/>
  <c r="AE509" i="2"/>
  <c r="AF444" i="2"/>
  <c r="AE334" i="2"/>
  <c r="AF498" i="2"/>
  <c r="AF377" i="2"/>
  <c r="AF188" i="2"/>
  <c r="AF423" i="2"/>
  <c r="AE178" i="2"/>
  <c r="AF550" i="2"/>
  <c r="AF318" i="2"/>
  <c r="AF445" i="2"/>
  <c r="AF309" i="2"/>
  <c r="AF357" i="2"/>
  <c r="AF174" i="2"/>
  <c r="AE255" i="2"/>
  <c r="AF267" i="2"/>
  <c r="AE300" i="2"/>
  <c r="AF160" i="2"/>
  <c r="AF230" i="2"/>
  <c r="AE410" i="2"/>
  <c r="AE488" i="2"/>
  <c r="AF194" i="2"/>
  <c r="AF274" i="2"/>
  <c r="AF249" i="2"/>
  <c r="AE235" i="2"/>
  <c r="AF428" i="2"/>
  <c r="AE222" i="2"/>
  <c r="AE389" i="2"/>
  <c r="AE252" i="2"/>
  <c r="AE492" i="2"/>
  <c r="AF555" i="2"/>
  <c r="AF466" i="2"/>
  <c r="AF251" i="2"/>
  <c r="AE339" i="2"/>
  <c r="AF268" i="2"/>
  <c r="AE273" i="2"/>
  <c r="AE347" i="2"/>
  <c r="AE431" i="2"/>
  <c r="AF546" i="2"/>
  <c r="AE174" i="2"/>
  <c r="AE507" i="2"/>
  <c r="AF308" i="2"/>
  <c r="AF410" i="2"/>
  <c r="AE143" i="2"/>
  <c r="AF346" i="2"/>
  <c r="AE311" i="2"/>
  <c r="AF182" i="2"/>
  <c r="AF387" i="2"/>
  <c r="AE176" i="2"/>
  <c r="AE434" i="2"/>
  <c r="AE288" i="2"/>
  <c r="AF401" i="2"/>
  <c r="AE494" i="2"/>
  <c r="AF234" i="2"/>
  <c r="AF491" i="2"/>
  <c r="AE338" i="2"/>
  <c r="AE233" i="2"/>
  <c r="AF438" i="2"/>
  <c r="AF508" i="2"/>
  <c r="AF250" i="2"/>
  <c r="AF505" i="2"/>
  <c r="AF247" i="2"/>
  <c r="AF551" i="2"/>
  <c r="AF259" i="2"/>
  <c r="AE512" i="2"/>
  <c r="AF383" i="2"/>
  <c r="AE430" i="2"/>
  <c r="AE315" i="2"/>
  <c r="AE203" i="2"/>
  <c r="AE321" i="2"/>
  <c r="AF179" i="2"/>
  <c r="AE364" i="2"/>
  <c r="AE457" i="2"/>
  <c r="AE127" i="2"/>
  <c r="AE128" i="2"/>
  <c r="AF135" i="2"/>
  <c r="AF448" i="2"/>
  <c r="AE455" i="2"/>
  <c r="AE145" i="2"/>
  <c r="AF367" i="2"/>
  <c r="AE549" i="2"/>
  <c r="AF402" i="2"/>
  <c r="AF159" i="2"/>
  <c r="AE129" i="2"/>
  <c r="AF127" i="2"/>
  <c r="AE370" i="2"/>
  <c r="AF536" i="2"/>
  <c r="AF311" i="2"/>
  <c r="AF278" i="2"/>
  <c r="AF275" i="2"/>
  <c r="AE200" i="2"/>
  <c r="AE211" i="2"/>
  <c r="AF178" i="2"/>
  <c r="AF545" i="2"/>
  <c r="AE147" i="2"/>
  <c r="AE373" i="2"/>
  <c r="AE239" i="2"/>
  <c r="AF426" i="2"/>
  <c r="AE159" i="2"/>
  <c r="AE387" i="2"/>
  <c r="AF157" i="2"/>
  <c r="AE447" i="2"/>
  <c r="AF248" i="2"/>
  <c r="AF500" i="2"/>
  <c r="AE294" i="2"/>
  <c r="AE461" i="2"/>
  <c r="AF261" i="2"/>
  <c r="AE362" i="2"/>
  <c r="AE173" i="2"/>
  <c r="AF528" i="2"/>
  <c r="AF140" i="2"/>
  <c r="AE425" i="2"/>
  <c r="AF252" i="2"/>
  <c r="AE281" i="2"/>
  <c r="AE463" i="2"/>
  <c r="AF138" i="2"/>
  <c r="AF452" i="2"/>
  <c r="AF540" i="2"/>
  <c r="AF246" i="2"/>
  <c r="AE412" i="2"/>
  <c r="AF207" i="2"/>
  <c r="AF379" i="2"/>
  <c r="AE168" i="2"/>
  <c r="AF479" i="2"/>
  <c r="AE179" i="2"/>
  <c r="AE440" i="2"/>
  <c r="AE237" i="2"/>
  <c r="AE503" i="2"/>
  <c r="AF552" i="2"/>
  <c r="AE417" i="2"/>
  <c r="AF413" i="2"/>
  <c r="AF168" i="2"/>
  <c r="AE520" i="2"/>
  <c r="AF232" i="2"/>
  <c r="AF306" i="2"/>
  <c r="AF148" i="2"/>
  <c r="AE267" i="2"/>
  <c r="AF460" i="2"/>
  <c r="AE254" i="2"/>
  <c r="AE421" i="2"/>
  <c r="AE312" i="2"/>
  <c r="AE524" i="2"/>
  <c r="AF192" i="2"/>
  <c r="AE249" i="2"/>
  <c r="AE343" i="2"/>
  <c r="AE197" i="2"/>
  <c r="AE172" i="2"/>
  <c r="AE205" i="2"/>
  <c r="AE384" i="2"/>
  <c r="AE258" i="2"/>
  <c r="AE305" i="2"/>
  <c r="AE400" i="2"/>
  <c r="AF272" i="2"/>
  <c r="AE372" i="2"/>
  <c r="AF167" i="2"/>
  <c r="AE539" i="2"/>
  <c r="AF165" i="2"/>
  <c r="AF442" i="2"/>
  <c r="AF292" i="2"/>
  <c r="AE536" i="2"/>
  <c r="AF361" i="2"/>
  <c r="AF414" i="2"/>
  <c r="AF245" i="2"/>
  <c r="AE303" i="2"/>
  <c r="AF213" i="2"/>
  <c r="AF270" i="2"/>
  <c r="AE490" i="2"/>
  <c r="AF222" i="2"/>
  <c r="AF457" i="2"/>
  <c r="AF173" i="2"/>
  <c r="AE553" i="2"/>
  <c r="AE165" i="2"/>
  <c r="AE234" i="2"/>
  <c r="AE516" i="2"/>
  <c r="AF439" i="2"/>
  <c r="AF537" i="2"/>
  <c r="AE308" i="2"/>
  <c r="AE377" i="2"/>
  <c r="AF316" i="2"/>
  <c r="AE544" i="2"/>
  <c r="AE464" i="2"/>
  <c r="AE265" i="2"/>
  <c r="AF502" i="2"/>
  <c r="AE423" i="2"/>
  <c r="AF534" i="2"/>
  <c r="AF541" i="2"/>
  <c r="AE302" i="2"/>
  <c r="AE449" i="2"/>
  <c r="AF203" i="2"/>
  <c r="AF533" i="2"/>
  <c r="AE263" i="2"/>
  <c r="AF509" i="2"/>
  <c r="AE345" i="2"/>
  <c r="AF238" i="2"/>
  <c r="AE134" i="2"/>
  <c r="AF340" i="2"/>
  <c r="AE181" i="2"/>
  <c r="AE541" i="2"/>
  <c r="AE444" i="2"/>
  <c r="AF411" i="2"/>
  <c r="AF511" i="2"/>
  <c r="AE472" i="2"/>
  <c r="AE535" i="2"/>
  <c r="AE229" i="2"/>
  <c r="AE523" i="2"/>
  <c r="AE385" i="2"/>
  <c r="AE368" i="2"/>
  <c r="AE550" i="2"/>
  <c r="AF371" i="2"/>
  <c r="AE411" i="2"/>
  <c r="AF489" i="2"/>
  <c r="AF317" i="2"/>
  <c r="AF539" i="2"/>
  <c r="AF400" i="2"/>
  <c r="AE279" i="2"/>
  <c r="AF265" i="2"/>
  <c r="AF141" i="2"/>
  <c r="AF484" i="2"/>
  <c r="AF191" i="2"/>
  <c r="AF385" i="2"/>
  <c r="AE282" i="2"/>
  <c r="AF427" i="2"/>
  <c r="AE344" i="2"/>
  <c r="AE474" i="2"/>
  <c r="AF133" i="2"/>
  <c r="AE337" i="2"/>
  <c r="AF535" i="2"/>
  <c r="AF144" i="2"/>
  <c r="AE228" i="2"/>
  <c r="AE406" i="2"/>
  <c r="AE296" i="2"/>
  <c r="AF454" i="2"/>
  <c r="AE144" i="2"/>
  <c r="AE292" i="2"/>
  <c r="AE489" i="2"/>
  <c r="AE424" i="2"/>
  <c r="AF369" i="2"/>
  <c r="AF129" i="2"/>
  <c r="AE390" i="2"/>
  <c r="AE146" i="2"/>
  <c r="AF381" i="2"/>
  <c r="AE160" i="2"/>
  <c r="AE518" i="2"/>
  <c r="AF221" i="2"/>
  <c r="AE469" i="2"/>
  <c r="AE483" i="2"/>
  <c r="AF510" i="2"/>
  <c r="AE481" i="2"/>
  <c r="AE194" i="2"/>
  <c r="AF364" i="2"/>
  <c r="AE428" i="2"/>
  <c r="AF313" i="2"/>
  <c r="AE402" i="2"/>
  <c r="AF356" i="2"/>
  <c r="AF499" i="2"/>
  <c r="AF154" i="2"/>
  <c r="AE353" i="2"/>
  <c r="AF132" i="2"/>
  <c r="AE212" i="2"/>
  <c r="AE335" i="2"/>
  <c r="AF224" i="2"/>
  <c r="AF397" i="2"/>
  <c r="AE555" i="2"/>
  <c r="AF322" i="2"/>
  <c r="AE188" i="2"/>
  <c r="AF422" i="2"/>
  <c r="AF271" i="2"/>
  <c r="AF199" i="2"/>
  <c r="AF332" i="2"/>
  <c r="AE193" i="2"/>
  <c r="AE215" i="2"/>
  <c r="AF515" i="2"/>
  <c r="AE323" i="2"/>
  <c r="AE558" i="2"/>
  <c r="AF474" i="2"/>
  <c r="AF350" i="2"/>
  <c r="AE386" i="2"/>
  <c r="AF493" i="2"/>
  <c r="AE201" i="2"/>
  <c r="AE148" i="2"/>
  <c r="AF184" i="2"/>
  <c r="AE487" i="2"/>
  <c r="AE295" i="2"/>
  <c r="AE366" i="2"/>
  <c r="AF236" i="2"/>
  <c r="AF321" i="2"/>
  <c r="AF195" i="2"/>
  <c r="AE443" i="2"/>
  <c r="AF420" i="2"/>
  <c r="AF126" i="2"/>
  <c r="AE177" i="2"/>
  <c r="AE207" i="2"/>
  <c r="AF269" i="2"/>
  <c r="AF434" i="2"/>
  <c r="AE278" i="2"/>
  <c r="AE532" i="2"/>
  <c r="AE135" i="2"/>
  <c r="AF480" i="2"/>
  <c r="AF288" i="2"/>
  <c r="AF131" i="2"/>
  <c r="AE277" i="2"/>
  <c r="AF469" i="2"/>
  <c r="AF201" i="2"/>
  <c r="AE140" i="2"/>
  <c r="AF362" i="2"/>
  <c r="AF429" i="2"/>
  <c r="AE528" i="2"/>
  <c r="AE513" i="2"/>
  <c r="AF206" i="2"/>
  <c r="AE210" i="2"/>
  <c r="AF372" i="2"/>
  <c r="AE433" i="2"/>
  <c r="AF503" i="2"/>
  <c r="AE499" i="2"/>
  <c r="AE186" i="2"/>
  <c r="AF142" i="2"/>
  <c r="AF225" i="2"/>
  <c r="AE392" i="2"/>
  <c r="AE213" i="2"/>
  <c r="AF482" i="2"/>
  <c r="AF164" i="2"/>
  <c r="AE167" i="2"/>
  <c r="AE131" i="2"/>
  <c r="AF200" i="2"/>
  <c r="AF446" i="2"/>
  <c r="AE314" i="2"/>
  <c r="AE341" i="2"/>
  <c r="AE280" i="2"/>
  <c r="AF304" i="2"/>
  <c r="AF380" i="2"/>
  <c r="AF302" i="2"/>
  <c r="AF463" i="2"/>
  <c r="AF522" i="2"/>
  <c r="AE543" i="2"/>
  <c r="AF485" i="2"/>
  <c r="AF233" i="2"/>
  <c r="AF218" i="2"/>
  <c r="AF531" i="2"/>
  <c r="AE330" i="2"/>
  <c r="AE275" i="2"/>
  <c r="AE162" i="2"/>
  <c r="AF345" i="2"/>
  <c r="AE350" i="2"/>
  <c r="AE514" i="2"/>
  <c r="AE130" i="2"/>
  <c r="AF529" i="2"/>
  <c r="AE313" i="2"/>
  <c r="AE404" i="2"/>
  <c r="AE432" i="2"/>
  <c r="AE522" i="2"/>
  <c r="AE250" i="2"/>
  <c r="AE236" i="2"/>
  <c r="AF459" i="2"/>
  <c r="AF262" i="2"/>
  <c r="AE445" i="2"/>
  <c r="AE378" i="2"/>
  <c r="AF153" i="2"/>
  <c r="AE506" i="2"/>
  <c r="AF217" i="2"/>
  <c r="AE124" i="2"/>
  <c r="AF98" i="2"/>
  <c r="AE119" i="2"/>
  <c r="AE123" i="2"/>
  <c r="AE97" i="2"/>
  <c r="AF120" i="2"/>
  <c r="AF100" i="2"/>
  <c r="AE101" i="2"/>
  <c r="AE113" i="2"/>
  <c r="AE100" i="2"/>
  <c r="AF124" i="2"/>
  <c r="AF116" i="2"/>
  <c r="AE106" i="2"/>
  <c r="AF115" i="2"/>
  <c r="AE121" i="2"/>
  <c r="AE122" i="2"/>
  <c r="AF125" i="2"/>
  <c r="AF96" i="2"/>
  <c r="AE103" i="2"/>
  <c r="AF105" i="2"/>
  <c r="AE95" i="2"/>
  <c r="AE110" i="2"/>
  <c r="AF99" i="2"/>
  <c r="AE105" i="2"/>
  <c r="AF110" i="2"/>
  <c r="AF101" i="2"/>
  <c r="AF102" i="2"/>
  <c r="AE125" i="2"/>
  <c r="AF106" i="2"/>
  <c r="AF109" i="2"/>
  <c r="AE98" i="2"/>
  <c r="AE99" i="2"/>
  <c r="AF112" i="2"/>
  <c r="AE114" i="2"/>
  <c r="AE102" i="2"/>
  <c r="AE111" i="2"/>
  <c r="AF117" i="2"/>
  <c r="AE112" i="2"/>
  <c r="AE94" i="2"/>
  <c r="AE96" i="2"/>
  <c r="AF113" i="2"/>
  <c r="AF123" i="2"/>
  <c r="AE118" i="2"/>
  <c r="AF104" i="2"/>
  <c r="AF103" i="2"/>
  <c r="AE120" i="2"/>
  <c r="AF95" i="2"/>
  <c r="AF114" i="2"/>
  <c r="AF94" i="2"/>
  <c r="AE109" i="2"/>
  <c r="AE108" i="2"/>
  <c r="AF111" i="2"/>
  <c r="AE104" i="2"/>
  <c r="AE115" i="2"/>
  <c r="AF107" i="2"/>
  <c r="AE116" i="2"/>
  <c r="AF118" i="2"/>
  <c r="AE117" i="2"/>
  <c r="AF122" i="2"/>
  <c r="AF97" i="2"/>
  <c r="AF121" i="2"/>
  <c r="AE107" i="2"/>
  <c r="AF119" i="2"/>
  <c r="AF108" i="2"/>
  <c r="AM217" i="2" l="1"/>
  <c r="AD506" i="2"/>
  <c r="AM153" i="2"/>
  <c r="AD378" i="2"/>
  <c r="AD445" i="2"/>
  <c r="AM262" i="2"/>
  <c r="AM459" i="2"/>
  <c r="AD236" i="2"/>
  <c r="AD250" i="2"/>
  <c r="AD522" i="2"/>
  <c r="AD432" i="2"/>
  <c r="AD404" i="2"/>
  <c r="AD313" i="2"/>
  <c r="AM529" i="2"/>
  <c r="AD130" i="2"/>
  <c r="AI130" i="2"/>
  <c r="AD514" i="2"/>
  <c r="AD350" i="2"/>
  <c r="AM345" i="2"/>
  <c r="AD162" i="2"/>
  <c r="AD275" i="2"/>
  <c r="AD330" i="2"/>
  <c r="AM531" i="2"/>
  <c r="AM218" i="2"/>
  <c r="AM233" i="2"/>
  <c r="AM485" i="2"/>
  <c r="AD543" i="2"/>
  <c r="AM522" i="2"/>
  <c r="AM463" i="2"/>
  <c r="AM302" i="2"/>
  <c r="AM380" i="2"/>
  <c r="AM304" i="2"/>
  <c r="AD280" i="2"/>
  <c r="AD341" i="2"/>
  <c r="AD314" i="2"/>
  <c r="AM446" i="2"/>
  <c r="AM200" i="2"/>
  <c r="AD131" i="2"/>
  <c r="AI131" i="2"/>
  <c r="AD167" i="2"/>
  <c r="AM164" i="2"/>
  <c r="AM482" i="2"/>
  <c r="AD213" i="2"/>
  <c r="AD392" i="2"/>
  <c r="AM225" i="2"/>
  <c r="AM142" i="2"/>
  <c r="AD186" i="2"/>
  <c r="AD499" i="2"/>
  <c r="AM503" i="2"/>
  <c r="AD433" i="2"/>
  <c r="AM372" i="2"/>
  <c r="AD210" i="2"/>
  <c r="AM206" i="2"/>
  <c r="AD513" i="2"/>
  <c r="AD528" i="2"/>
  <c r="AM429" i="2"/>
  <c r="AM362" i="2"/>
  <c r="AD140" i="2"/>
  <c r="AM201" i="2"/>
  <c r="AM469" i="2"/>
  <c r="AD277" i="2"/>
  <c r="AM131" i="2"/>
  <c r="AM288" i="2"/>
  <c r="AM480" i="2"/>
  <c r="AD135" i="2"/>
  <c r="AI135" i="2"/>
  <c r="AD532" i="2"/>
  <c r="AD278" i="2"/>
  <c r="AM434" i="2"/>
  <c r="AM269" i="2"/>
  <c r="AD207" i="2"/>
  <c r="AD177" i="2"/>
  <c r="AM126" i="2"/>
  <c r="AM420" i="2"/>
  <c r="AD443" i="2"/>
  <c r="AM195" i="2"/>
  <c r="AM321" i="2"/>
  <c r="AM236" i="2"/>
  <c r="AD366" i="2"/>
  <c r="AD295" i="2"/>
  <c r="AD487" i="2"/>
  <c r="AM184" i="2"/>
  <c r="AD148" i="2"/>
  <c r="AD201" i="2"/>
  <c r="AM493" i="2"/>
  <c r="AD386" i="2"/>
  <c r="AM350" i="2"/>
  <c r="AM474" i="2"/>
  <c r="AD558" i="2"/>
  <c r="AD323" i="2"/>
  <c r="AM515" i="2"/>
  <c r="AD215" i="2"/>
  <c r="AD193" i="2"/>
  <c r="AM332" i="2"/>
  <c r="AM199" i="2"/>
  <c r="AM271" i="2"/>
  <c r="AM422" i="2"/>
  <c r="AD188" i="2"/>
  <c r="AM322" i="2"/>
  <c r="AD555" i="2"/>
  <c r="AM397" i="2"/>
  <c r="AM224" i="2"/>
  <c r="AD335" i="2"/>
  <c r="AD212" i="2"/>
  <c r="AM132" i="2"/>
  <c r="AD353" i="2"/>
  <c r="AM154" i="2"/>
  <c r="AM499" i="2"/>
  <c r="AM356" i="2"/>
  <c r="AD402" i="2"/>
  <c r="AM313" i="2"/>
  <c r="AD428" i="2"/>
  <c r="AM364" i="2"/>
  <c r="AD194" i="2"/>
  <c r="AD481" i="2"/>
  <c r="AM510" i="2"/>
  <c r="AD483" i="2"/>
  <c r="AD469" i="2"/>
  <c r="AM221" i="2"/>
  <c r="AD518" i="2"/>
  <c r="AD160" i="2"/>
  <c r="AM381" i="2"/>
  <c r="AD146" i="2"/>
  <c r="AD390" i="2"/>
  <c r="AM129" i="2"/>
  <c r="AM369" i="2"/>
  <c r="AD424" i="2"/>
  <c r="AD489" i="2"/>
  <c r="AD292" i="2"/>
  <c r="AD144" i="2"/>
  <c r="AM454" i="2"/>
  <c r="AD296" i="2"/>
  <c r="AD406" i="2"/>
  <c r="AD228" i="2"/>
  <c r="AM144" i="2"/>
  <c r="AM535" i="2"/>
  <c r="AD337" i="2"/>
  <c r="AM133" i="2"/>
  <c r="AD474" i="2"/>
  <c r="AD344" i="2"/>
  <c r="AM427" i="2"/>
  <c r="AD282" i="2"/>
  <c r="AM385" i="2"/>
  <c r="AM191" i="2"/>
  <c r="AM484" i="2"/>
  <c r="AM141" i="2"/>
  <c r="AM265" i="2"/>
  <c r="AD279" i="2"/>
  <c r="AM400" i="2"/>
  <c r="AM539" i="2"/>
  <c r="AM317" i="2"/>
  <c r="AM489" i="2"/>
  <c r="AD411" i="2"/>
  <c r="AM371" i="2"/>
  <c r="AD550" i="2"/>
  <c r="AD368" i="2"/>
  <c r="AD385" i="2"/>
  <c r="AD523" i="2"/>
  <c r="AD229" i="2"/>
  <c r="AD535" i="2"/>
  <c r="AD472" i="2"/>
  <c r="AM511" i="2"/>
  <c r="AM411" i="2"/>
  <c r="AD444" i="2"/>
  <c r="AD541" i="2"/>
  <c r="AD181" i="2"/>
  <c r="AM340" i="2"/>
  <c r="AI134" i="2"/>
  <c r="AD134" i="2"/>
  <c r="AM238" i="2"/>
  <c r="AD345" i="2"/>
  <c r="AM509" i="2"/>
  <c r="AD263" i="2"/>
  <c r="AM533" i="2"/>
  <c r="AM203" i="2"/>
  <c r="AD449" i="2"/>
  <c r="AD302" i="2"/>
  <c r="AM541" i="2"/>
  <c r="AM534" i="2"/>
  <c r="AD423" i="2"/>
  <c r="AM502" i="2"/>
  <c r="AD265" i="2"/>
  <c r="AD464" i="2"/>
  <c r="AD544" i="2"/>
  <c r="AM316" i="2"/>
  <c r="AD377" i="2"/>
  <c r="AD308" i="2"/>
  <c r="AM537" i="2"/>
  <c r="AM439" i="2"/>
  <c r="AD516" i="2"/>
  <c r="AD234" i="2"/>
  <c r="AD165" i="2"/>
  <c r="AD553" i="2"/>
  <c r="AM173" i="2"/>
  <c r="AM457" i="2"/>
  <c r="AM222" i="2"/>
  <c r="AD490" i="2"/>
  <c r="AM270" i="2"/>
  <c r="AM213" i="2"/>
  <c r="AD303" i="2"/>
  <c r="AM245" i="2"/>
  <c r="AM414" i="2"/>
  <c r="AM361" i="2"/>
  <c r="AD536" i="2"/>
  <c r="AM292" i="2"/>
  <c r="AM442" i="2"/>
  <c r="AM165" i="2"/>
  <c r="AD539" i="2"/>
  <c r="AM167" i="2"/>
  <c r="AD372" i="2"/>
  <c r="AM272" i="2"/>
  <c r="AD400" i="2"/>
  <c r="AD305" i="2"/>
  <c r="AD258" i="2"/>
  <c r="AD384" i="2"/>
  <c r="AD205" i="2"/>
  <c r="AD172" i="2"/>
  <c r="AD197" i="2"/>
  <c r="AD343" i="2"/>
  <c r="AD249" i="2"/>
  <c r="AM192" i="2"/>
  <c r="AD524" i="2"/>
  <c r="AD312" i="2"/>
  <c r="AD421" i="2"/>
  <c r="AD254" i="2"/>
  <c r="AM460" i="2"/>
  <c r="AD267" i="2"/>
  <c r="AM148" i="2"/>
  <c r="AM306" i="2"/>
  <c r="AM232" i="2"/>
  <c r="AD520" i="2"/>
  <c r="AM168" i="2"/>
  <c r="AM413" i="2"/>
  <c r="AD417" i="2"/>
  <c r="AM552" i="2"/>
  <c r="AD503" i="2"/>
  <c r="AD237" i="2"/>
  <c r="AD440" i="2"/>
  <c r="AD179" i="2"/>
  <c r="AM479" i="2"/>
  <c r="AD168" i="2"/>
  <c r="AM379" i="2"/>
  <c r="AM207" i="2"/>
  <c r="AD412" i="2"/>
  <c r="AM246" i="2"/>
  <c r="AM540" i="2"/>
  <c r="AM452" i="2"/>
  <c r="AM138" i="2"/>
  <c r="AD463" i="2"/>
  <c r="AD281" i="2"/>
  <c r="AM252" i="2"/>
  <c r="AD425" i="2"/>
  <c r="AM140" i="2"/>
  <c r="AM528" i="2"/>
  <c r="AD173" i="2"/>
  <c r="AD362" i="2"/>
  <c r="AM261" i="2"/>
  <c r="AD461" i="2"/>
  <c r="AD294" i="2"/>
  <c r="AM500" i="2"/>
  <c r="AM248" i="2"/>
  <c r="AD447" i="2"/>
  <c r="AM157" i="2"/>
  <c r="AD387" i="2"/>
  <c r="AD159" i="2"/>
  <c r="AM426" i="2"/>
  <c r="AD239" i="2"/>
  <c r="AD373" i="2"/>
  <c r="AD147" i="2"/>
  <c r="AM545" i="2"/>
  <c r="AM178" i="2"/>
  <c r="AD211" i="2"/>
  <c r="AD200" i="2"/>
  <c r="AM275" i="2"/>
  <c r="AM278" i="2"/>
  <c r="AM311" i="2"/>
  <c r="AM536" i="2"/>
  <c r="AD370" i="2"/>
  <c r="AM127" i="2"/>
  <c r="AD129" i="2"/>
  <c r="AI129" i="2"/>
  <c r="AM159" i="2"/>
  <c r="AM402" i="2"/>
  <c r="AD549" i="2"/>
  <c r="AM367" i="2"/>
  <c r="AD145" i="2"/>
  <c r="AD455" i="2"/>
  <c r="AM448" i="2"/>
  <c r="AM135" i="2"/>
  <c r="AD128" i="2"/>
  <c r="AI128" i="2"/>
  <c r="AI127" i="2"/>
  <c r="AD127" i="2"/>
  <c r="AD457" i="2"/>
  <c r="AD364" i="2"/>
  <c r="AM179" i="2"/>
  <c r="AD321" i="2"/>
  <c r="AD203" i="2"/>
  <c r="AD315" i="2"/>
  <c r="AD430" i="2"/>
  <c r="AM383" i="2"/>
  <c r="AD512" i="2"/>
  <c r="AM259" i="2"/>
  <c r="AM551" i="2"/>
  <c r="AM247" i="2"/>
  <c r="AM505" i="2"/>
  <c r="AM250" i="2"/>
  <c r="AM508" i="2"/>
  <c r="AM438" i="2"/>
  <c r="AD233" i="2"/>
  <c r="AD338" i="2"/>
  <c r="AM491" i="2"/>
  <c r="AM234" i="2"/>
  <c r="AD494" i="2"/>
  <c r="AM401" i="2"/>
  <c r="AD288" i="2"/>
  <c r="AD434" i="2"/>
  <c r="AD176" i="2"/>
  <c r="AM387" i="2"/>
  <c r="AM182" i="2"/>
  <c r="AD311" i="2"/>
  <c r="AM346" i="2"/>
  <c r="AD143" i="2"/>
  <c r="AM410" i="2"/>
  <c r="AM308" i="2"/>
  <c r="AD507" i="2"/>
  <c r="AD174" i="2"/>
  <c r="AM546" i="2"/>
  <c r="AD431" i="2"/>
  <c r="AD347" i="2"/>
  <c r="AD273" i="2"/>
  <c r="AM268" i="2"/>
  <c r="AD339" i="2"/>
  <c r="AM251" i="2"/>
  <c r="AM466" i="2"/>
  <c r="AM555" i="2"/>
  <c r="AD492" i="2"/>
  <c r="AD252" i="2"/>
  <c r="AD389" i="2"/>
  <c r="AD222" i="2"/>
  <c r="AM428" i="2"/>
  <c r="AD235" i="2"/>
  <c r="AM249" i="2"/>
  <c r="AM274" i="2"/>
  <c r="AM194" i="2"/>
  <c r="AD488" i="2"/>
  <c r="AD410" i="2"/>
  <c r="AM230" i="2"/>
  <c r="AM160" i="2"/>
  <c r="AD300" i="2"/>
  <c r="AM267" i="2"/>
  <c r="AD255" i="2"/>
  <c r="AM174" i="2"/>
  <c r="AM357" i="2"/>
  <c r="AM309" i="2"/>
  <c r="AM445" i="2"/>
  <c r="AM318" i="2"/>
  <c r="AM550" i="2"/>
  <c r="AD178" i="2"/>
  <c r="AM423" i="2"/>
  <c r="AM188" i="2"/>
  <c r="AM377" i="2"/>
  <c r="AM498" i="2"/>
  <c r="AD334" i="2"/>
  <c r="AM444" i="2"/>
  <c r="AD509" i="2"/>
  <c r="AD393" i="2"/>
  <c r="AD446" i="2"/>
  <c r="AM496" i="2"/>
  <c r="AD141" i="2"/>
  <c r="AD529" i="2"/>
  <c r="AM229" i="2"/>
  <c r="AD429" i="2"/>
  <c r="AD262" i="2"/>
  <c r="AM468" i="2"/>
  <c r="AD407" i="2"/>
  <c r="AD352" i="2"/>
  <c r="AD161" i="2"/>
  <c r="AM329" i="2"/>
  <c r="AM287" i="2"/>
  <c r="AM215" i="2"/>
  <c r="AD214" i="2"/>
  <c r="AD482" i="2"/>
  <c r="AD526" i="2"/>
  <c r="AD379" i="2"/>
  <c r="AD151" i="2"/>
  <c r="AM418" i="2"/>
  <c r="AM461" i="2"/>
  <c r="AM341" i="2"/>
  <c r="AM335" i="2"/>
  <c r="AM470" i="2"/>
  <c r="AM405" i="2"/>
  <c r="AM543" i="2"/>
  <c r="AD245" i="2"/>
  <c r="AM443" i="2"/>
  <c r="AD478" i="2"/>
  <c r="AD476" i="2"/>
  <c r="AM310" i="2"/>
  <c r="AM478" i="2"/>
  <c r="AM490" i="2"/>
  <c r="AM151" i="2"/>
  <c r="AD460" i="2"/>
  <c r="AM396" i="2"/>
  <c r="AM242" i="2"/>
  <c r="AD456" i="2"/>
  <c r="AM382" i="2"/>
  <c r="AM431" i="2"/>
  <c r="AD175" i="2"/>
  <c r="AM548" i="2"/>
  <c r="AM326" i="2"/>
  <c r="AD217" i="2"/>
  <c r="AM358" i="2"/>
  <c r="AM277" i="2"/>
  <c r="AM518" i="2"/>
  <c r="AM185" i="2"/>
  <c r="AD551" i="2"/>
  <c r="AM156" i="2"/>
  <c r="AM544" i="2"/>
  <c r="AM527" i="2"/>
  <c r="AD247" i="2"/>
  <c r="AM390" i="2"/>
  <c r="AD240" i="2"/>
  <c r="AM453" i="2"/>
  <c r="AD422" i="2"/>
  <c r="AD435" i="2"/>
  <c r="AM328" i="2"/>
  <c r="AM449" i="2"/>
  <c r="AM355" i="2"/>
  <c r="AM240" i="2"/>
  <c r="AM440" i="2"/>
  <c r="AM257" i="2"/>
  <c r="AD473" i="2"/>
  <c r="AM166" i="2"/>
  <c r="AD427" i="2"/>
  <c r="AM193" i="2"/>
  <c r="AD223" i="2"/>
  <c r="AD349" i="2"/>
  <c r="AD158" i="2"/>
  <c r="AD450" i="2"/>
  <c r="AD332" i="2"/>
  <c r="AM553" i="2"/>
  <c r="AD142" i="2"/>
  <c r="AM386" i="2"/>
  <c r="AM359" i="2"/>
  <c r="AD241" i="2"/>
  <c r="AM477" i="2"/>
  <c r="AD251" i="2"/>
  <c r="AD322" i="2"/>
  <c r="AM467" i="2"/>
  <c r="AD136" i="2"/>
  <c r="AI136" i="2"/>
  <c r="AD316" i="2"/>
  <c r="AM202" i="2"/>
  <c r="AD420" i="2"/>
  <c r="AD150" i="2"/>
  <c r="AM538" i="2"/>
  <c r="AD226" i="2"/>
  <c r="AM435" i="2"/>
  <c r="AM347" i="2"/>
  <c r="AD468" i="2"/>
  <c r="AM398" i="2"/>
  <c r="AM513" i="2"/>
  <c r="AD502" i="2"/>
  <c r="AM227" i="2"/>
  <c r="AM494" i="2"/>
  <c r="AD394" i="2"/>
  <c r="AM293" i="2"/>
  <c r="AD493" i="2"/>
  <c r="AD326" i="2"/>
  <c r="AM532" i="2"/>
  <c r="AM280" i="2"/>
  <c r="AD284" i="2"/>
  <c r="AM190" i="2"/>
  <c r="AD437" i="2"/>
  <c r="AD227" i="2"/>
  <c r="AD346" i="2"/>
  <c r="AM134" i="2"/>
  <c r="AM476" i="2"/>
  <c r="AD317" i="2"/>
  <c r="AM158" i="2"/>
  <c r="AD268" i="2"/>
  <c r="AM395" i="2"/>
  <c r="AM471" i="2"/>
  <c r="AM295" i="2"/>
  <c r="AM368" i="2"/>
  <c r="AD156" i="2"/>
  <c r="AD401" i="2"/>
  <c r="AD169" i="2"/>
  <c r="AM507" i="2"/>
  <c r="AM208" i="2"/>
  <c r="AD540" i="2"/>
  <c r="AD374" i="2"/>
  <c r="AM150" i="2"/>
  <c r="AD204" i="2"/>
  <c r="AD356" i="2"/>
  <c r="AM209" i="2"/>
  <c r="AD310" i="2"/>
  <c r="AM516" i="2"/>
  <c r="AM294" i="2"/>
  <c r="AD152" i="2"/>
  <c r="AD327" i="2"/>
  <c r="AD153" i="2"/>
  <c r="AM486" i="2"/>
  <c r="AD202" i="2"/>
  <c r="AD519" i="2"/>
  <c r="AM162" i="2"/>
  <c r="AM512" i="2"/>
  <c r="AM216" i="2"/>
  <c r="AM137" i="2"/>
  <c r="AD342" i="2"/>
  <c r="AM481" i="2"/>
  <c r="AM296" i="2"/>
  <c r="AM488" i="2"/>
  <c r="AD329" i="2"/>
  <c r="AM417" i="2"/>
  <c r="AM408" i="2"/>
  <c r="AD196" i="2"/>
  <c r="AD441" i="2"/>
  <c r="AM181" i="2"/>
  <c r="AD395" i="2"/>
  <c r="AM307" i="2"/>
  <c r="AM412" i="2"/>
  <c r="AD138" i="2"/>
  <c r="AI138" i="2"/>
  <c r="AM183" i="2"/>
  <c r="AM323" i="2"/>
  <c r="AM337" i="2"/>
  <c r="AD180" i="2"/>
  <c r="AD291" i="2"/>
  <c r="AM228" i="2"/>
  <c r="AM330" i="2"/>
  <c r="AM223" i="2"/>
  <c r="AM497" i="2"/>
  <c r="AD293" i="2"/>
  <c r="AD530" i="2"/>
  <c r="AD542" i="2"/>
  <c r="AM483" i="2"/>
  <c r="AM352" i="2"/>
  <c r="AD157" i="2"/>
  <c r="AM370" i="2"/>
  <c r="AM303" i="2"/>
  <c r="AM506" i="2"/>
  <c r="AD192" i="2"/>
  <c r="AM403" i="2"/>
  <c r="AD244" i="2"/>
  <c r="AD436" i="2"/>
  <c r="AM336" i="2"/>
  <c r="AM520" i="2"/>
  <c r="AM406" i="2"/>
  <c r="AD301" i="2"/>
  <c r="AM462" i="2"/>
  <c r="AD183" i="2"/>
  <c r="AM255" i="2"/>
  <c r="AM299" i="2"/>
  <c r="AM282" i="2"/>
  <c r="AD195" i="2"/>
  <c r="AM244" i="2"/>
  <c r="AM388" i="2"/>
  <c r="AM285" i="2"/>
  <c r="AD485" i="2"/>
  <c r="AD318" i="2"/>
  <c r="AM524" i="2"/>
  <c r="AD331" i="2"/>
  <c r="AM197" i="2"/>
  <c r="AD383" i="2"/>
  <c r="AM365" i="2"/>
  <c r="AM384" i="2"/>
  <c r="AM450" i="2"/>
  <c r="AD328" i="2"/>
  <c r="AM525" i="2"/>
  <c r="AM373" i="2"/>
  <c r="AM360" i="2"/>
  <c r="AD243" i="2"/>
  <c r="AM177" i="2"/>
  <c r="AD225" i="2"/>
  <c r="AD199" i="2"/>
  <c r="AM331" i="2"/>
  <c r="AD253" i="2"/>
  <c r="AD155" i="2"/>
  <c r="AM290" i="2"/>
  <c r="AD190" i="2"/>
  <c r="AD479" i="2"/>
  <c r="AD191" i="2"/>
  <c r="AD546" i="2"/>
  <c r="AM128" i="2"/>
  <c r="AD495" i="2"/>
  <c r="AD351" i="2"/>
  <c r="AM391" i="2"/>
  <c r="AD369" i="2"/>
  <c r="AM475" i="2"/>
  <c r="AM176" i="2"/>
  <c r="AD508" i="2"/>
  <c r="AM342" i="2"/>
  <c r="AM172" i="2"/>
  <c r="AD232" i="2"/>
  <c r="AM284" i="2"/>
  <c r="AD521" i="2"/>
  <c r="AD256" i="2"/>
  <c r="AM425" i="2"/>
  <c r="AM189" i="2"/>
  <c r="AD458" i="2"/>
  <c r="AD358" i="2"/>
  <c r="AD557" i="2"/>
  <c r="AD271" i="2"/>
  <c r="AD216" i="2"/>
  <c r="AM344" i="2"/>
  <c r="AD517" i="2"/>
  <c r="AM530" i="2"/>
  <c r="AD548" i="2"/>
  <c r="AM343" i="2"/>
  <c r="AM351" i="2"/>
  <c r="AM456" i="2"/>
  <c r="AM264" i="2"/>
  <c r="AD496" i="2"/>
  <c r="AD297" i="2"/>
  <c r="AM424" i="2"/>
  <c r="AM376" i="2"/>
  <c r="AD164" i="2"/>
  <c r="AD409" i="2"/>
  <c r="AD348" i="2"/>
  <c r="AD363" i="2"/>
  <c r="AM279" i="2"/>
  <c r="AD527" i="2"/>
  <c r="AM305" i="2"/>
  <c r="AM139" i="2"/>
  <c r="AD259" i="2"/>
  <c r="AD477" i="2"/>
  <c r="AM298" i="2"/>
  <c r="AD272" i="2"/>
  <c r="AM465" i="2"/>
  <c r="AD224" i="2"/>
  <c r="AD498" i="2"/>
  <c r="AM291" i="2"/>
  <c r="AM451" i="2"/>
  <c r="AD246" i="2"/>
  <c r="AD538" i="2"/>
  <c r="AM239" i="2"/>
  <c r="AD388" i="2"/>
  <c r="AM392" i="2"/>
  <c r="AD471" i="2"/>
  <c r="AD242" i="2"/>
  <c r="AD408" i="2"/>
  <c r="AM241" i="2"/>
  <c r="AM447" i="2"/>
  <c r="AD182" i="2"/>
  <c r="AD547" i="2"/>
  <c r="AM175" i="2"/>
  <c r="AD380" i="2"/>
  <c r="AM333" i="2"/>
  <c r="AD533" i="2"/>
  <c r="AM353" i="2"/>
  <c r="AM211" i="2"/>
  <c r="AD442" i="2"/>
  <c r="AM226" i="2"/>
  <c r="AD556" i="2"/>
  <c r="AM253" i="2"/>
  <c r="AD453" i="2"/>
  <c r="AD286" i="2"/>
  <c r="AM492" i="2"/>
  <c r="AD299" i="2"/>
  <c r="AM212" i="2"/>
  <c r="AM338" i="2"/>
  <c r="AD266" i="2"/>
  <c r="AD552" i="2"/>
  <c r="AD320" i="2"/>
  <c r="AM147" i="2"/>
  <c r="AD238" i="2"/>
  <c r="AM375" i="2"/>
  <c r="AD221" i="2"/>
  <c r="AD319" i="2"/>
  <c r="AM254" i="2"/>
  <c r="AM557" i="2"/>
  <c r="AM256" i="2"/>
  <c r="AD354" i="2"/>
  <c r="AM430" i="2"/>
  <c r="AD448" i="2"/>
  <c r="AD187" i="2"/>
  <c r="AM487" i="2"/>
  <c r="AD304" i="2"/>
  <c r="AM441" i="2"/>
  <c r="AD500" i="2"/>
  <c r="AD486" i="2"/>
  <c r="AD170" i="2"/>
  <c r="AM289" i="2"/>
  <c r="AD218" i="2"/>
  <c r="AM526" i="2"/>
  <c r="AD511" i="2"/>
  <c r="AD451" i="2"/>
  <c r="AM237" i="2"/>
  <c r="AM243" i="2"/>
  <c r="AD357" i="2"/>
  <c r="AM163" i="2"/>
  <c r="AD133" i="2"/>
  <c r="AI133" i="2"/>
  <c r="AD403" i="2"/>
  <c r="AM210" i="2"/>
  <c r="AM161" i="2"/>
  <c r="AD419" i="2"/>
  <c r="AM458" i="2"/>
  <c r="AD405" i="2"/>
  <c r="AI132" i="2"/>
  <c r="AD132" i="2"/>
  <c r="AM152" i="2"/>
  <c r="AM399" i="2"/>
  <c r="AM501" i="2"/>
  <c r="AM300" i="2"/>
  <c r="AM366" i="2"/>
  <c r="AI126" i="2"/>
  <c r="AD126" i="2"/>
  <c r="AM130" i="2"/>
  <c r="AM407" i="2"/>
  <c r="AD270" i="2"/>
  <c r="AM348" i="2"/>
  <c r="AD415" i="2"/>
  <c r="AD531" i="2"/>
  <c r="AM393" i="2"/>
  <c r="AD264" i="2"/>
  <c r="AD426" i="2"/>
  <c r="AM325" i="2"/>
  <c r="AD525" i="2"/>
  <c r="AD359" i="2"/>
  <c r="AM263" i="2"/>
  <c r="AM312" i="2"/>
  <c r="AD504" i="2"/>
  <c r="AD306" i="2"/>
  <c r="AD462" i="2"/>
  <c r="AM378" i="2"/>
  <c r="AM214" i="2"/>
  <c r="AD475" i="2"/>
  <c r="AM319" i="2"/>
  <c r="AM514" i="2"/>
  <c r="AD399" i="2"/>
  <c r="AD298" i="2"/>
  <c r="AD438" i="2"/>
  <c r="AD154" i="2"/>
  <c r="AD307" i="2"/>
  <c r="AD398" i="2"/>
  <c r="AM136" i="2"/>
  <c r="AD189" i="2"/>
  <c r="AD324" i="2"/>
  <c r="AM273" i="2"/>
  <c r="AM235" i="2"/>
  <c r="AM437" i="2"/>
  <c r="AD381" i="2"/>
  <c r="AM266" i="2"/>
  <c r="AM180" i="2"/>
  <c r="AM433" i="2"/>
  <c r="AD198" i="2"/>
  <c r="AD466" i="2"/>
  <c r="AD208" i="2"/>
  <c r="AM419" i="2"/>
  <c r="AD325" i="2"/>
  <c r="AD309" i="2"/>
  <c r="AD439" i="2"/>
  <c r="AM145" i="2"/>
  <c r="AM542" i="2"/>
  <c r="AM260" i="2"/>
  <c r="AM415" i="2"/>
  <c r="AM324" i="2"/>
  <c r="AD515" i="2"/>
  <c r="AM143" i="2"/>
  <c r="AM554" i="2"/>
  <c r="AM301" i="2"/>
  <c r="AD501" i="2"/>
  <c r="AD396" i="2"/>
  <c r="AM149" i="2"/>
  <c r="AD414" i="2"/>
  <c r="AM231" i="2"/>
  <c r="AD413" i="2"/>
  <c r="AD361" i="2"/>
  <c r="AM219" i="2"/>
  <c r="AM464" i="2"/>
  <c r="AD510" i="2"/>
  <c r="AD497" i="2"/>
  <c r="AD260" i="2"/>
  <c r="AD397" i="2"/>
  <c r="AD230" i="2"/>
  <c r="AM436" i="2"/>
  <c r="AM374" i="2"/>
  <c r="AM155" i="2"/>
  <c r="AM421" i="2"/>
  <c r="AD163" i="2"/>
  <c r="AM283" i="2"/>
  <c r="AD287" i="2"/>
  <c r="AD185" i="2"/>
  <c r="AD391" i="2"/>
  <c r="AD376" i="2"/>
  <c r="AM327" i="2"/>
  <c r="AM389" i="2"/>
  <c r="AD416" i="2"/>
  <c r="AD139" i="2"/>
  <c r="AM455" i="2"/>
  <c r="AM220" i="2"/>
  <c r="AM409" i="2"/>
  <c r="AM314" i="2"/>
  <c r="AD484" i="2"/>
  <c r="AD206" i="2"/>
  <c r="AD285" i="2"/>
  <c r="AD545" i="2"/>
  <c r="AD289" i="2"/>
  <c r="AM523" i="2"/>
  <c r="AD454" i="2"/>
  <c r="AD467" i="2"/>
  <c r="AM281" i="2"/>
  <c r="AM186" i="2"/>
  <c r="AM504" i="2"/>
  <c r="AD149" i="2"/>
  <c r="AD537" i="2"/>
  <c r="AM276" i="2"/>
  <c r="AD491" i="2"/>
  <c r="AM556" i="2"/>
  <c r="AD382" i="2"/>
  <c r="AM558" i="2"/>
  <c r="AM549" i="2"/>
  <c r="AM171" i="2"/>
  <c r="AM416" i="2"/>
  <c r="AM187" i="2"/>
  <c r="AM432" i="2"/>
  <c r="AD220" i="2"/>
  <c r="AD465" i="2"/>
  <c r="AD231" i="2"/>
  <c r="AD365" i="2"/>
  <c r="AD261" i="2"/>
  <c r="AM404" i="2"/>
  <c r="AD336" i="2"/>
  <c r="AM339" i="2"/>
  <c r="AM204" i="2"/>
  <c r="AD534" i="2"/>
  <c r="AM297" i="2"/>
  <c r="AM196" i="2"/>
  <c r="AD248" i="2"/>
  <c r="AD418" i="2"/>
  <c r="AD276" i="2"/>
  <c r="AM521" i="2"/>
  <c r="AD333" i="2"/>
  <c r="AD554" i="2"/>
  <c r="AM334" i="2"/>
  <c r="AD184" i="2"/>
  <c r="AD360" i="2"/>
  <c r="AM320" i="2"/>
  <c r="AD290" i="2"/>
  <c r="AD274" i="2"/>
  <c r="AM349" i="2"/>
  <c r="AM170" i="2"/>
  <c r="AM495" i="2"/>
  <c r="AD257" i="2"/>
  <c r="AM363" i="2"/>
  <c r="AM354" i="2"/>
  <c r="AD371" i="2"/>
  <c r="AD470" i="2"/>
  <c r="AM169" i="2"/>
  <c r="AM472" i="2"/>
  <c r="AM146" i="2"/>
  <c r="AD505" i="2"/>
  <c r="AM198" i="2"/>
  <c r="AD459" i="2"/>
  <c r="AD452" i="2"/>
  <c r="AD269" i="2"/>
  <c r="AD137" i="2"/>
  <c r="AI137" i="2"/>
  <c r="AD375" i="2"/>
  <c r="AM286" i="2"/>
  <c r="AM258" i="2"/>
  <c r="AM315" i="2"/>
  <c r="AD367" i="2"/>
  <c r="AD171" i="2"/>
  <c r="AM517" i="2"/>
  <c r="AD340" i="2"/>
  <c r="AD355" i="2"/>
  <c r="AD166" i="2"/>
  <c r="AM394" i="2"/>
  <c r="AD209" i="2"/>
  <c r="AM547" i="2"/>
  <c r="AD283" i="2"/>
  <c r="AD480" i="2"/>
  <c r="AD219" i="2"/>
  <c r="AM519" i="2"/>
  <c r="AM205" i="2"/>
  <c r="AM473" i="2"/>
  <c r="AD110" i="2"/>
  <c r="AD111" i="2"/>
  <c r="AD115" i="2"/>
  <c r="AD108" i="2"/>
  <c r="AD101" i="2"/>
  <c r="AD98" i="2"/>
  <c r="AD119" i="2"/>
  <c r="AD123" i="2"/>
  <c r="AD116" i="2"/>
  <c r="AD113" i="2"/>
  <c r="AD106" i="2"/>
  <c r="AD109" i="2"/>
  <c r="AD105" i="2"/>
  <c r="AD95" i="2"/>
  <c r="AD96" i="2"/>
  <c r="AD99" i="2"/>
  <c r="AD112" i="2"/>
  <c r="AD124" i="2"/>
  <c r="AD118" i="2"/>
  <c r="AD121" i="2"/>
  <c r="AD114" i="2"/>
  <c r="AD94" i="2"/>
  <c r="AD117" i="2"/>
  <c r="AD103" i="2"/>
  <c r="AD102" i="2"/>
  <c r="AD107" i="2"/>
  <c r="AD100" i="2"/>
  <c r="AD97" i="2"/>
  <c r="AD104" i="2"/>
  <c r="AD122" i="2"/>
  <c r="AD120" i="2"/>
  <c r="AD125" i="2"/>
  <c r="AI110" i="2"/>
  <c r="AI118" i="2"/>
  <c r="AM125" i="2"/>
  <c r="AM94" i="2"/>
  <c r="AI95" i="2"/>
  <c r="AM102" i="2"/>
  <c r="AI103" i="2"/>
  <c r="AM110" i="2"/>
  <c r="AI111" i="2"/>
  <c r="AM118" i="2"/>
  <c r="AI119" i="2"/>
  <c r="AM101" i="2"/>
  <c r="AI96" i="2"/>
  <c r="AM111" i="2"/>
  <c r="AM96" i="2"/>
  <c r="AI97" i="2"/>
  <c r="AM104" i="2"/>
  <c r="AI105" i="2"/>
  <c r="AM112" i="2"/>
  <c r="AI113" i="2"/>
  <c r="AM120" i="2"/>
  <c r="AI121" i="2"/>
  <c r="AI102" i="2"/>
  <c r="AI104" i="2"/>
  <c r="AM97" i="2"/>
  <c r="AI98" i="2"/>
  <c r="AM105" i="2"/>
  <c r="AI106" i="2"/>
  <c r="AM113" i="2"/>
  <c r="AI114" i="2"/>
  <c r="AM121" i="2"/>
  <c r="AI122" i="2"/>
  <c r="AM109" i="2"/>
  <c r="AM103" i="2"/>
  <c r="AM119" i="2"/>
  <c r="AM98" i="2"/>
  <c r="AI99" i="2"/>
  <c r="AM106" i="2"/>
  <c r="AI107" i="2"/>
  <c r="AM114" i="2"/>
  <c r="AI115" i="2"/>
  <c r="AM122" i="2"/>
  <c r="AI123" i="2"/>
  <c r="AM117" i="2"/>
  <c r="AI112" i="2"/>
  <c r="AM99" i="2"/>
  <c r="AI100" i="2"/>
  <c r="AM107" i="2"/>
  <c r="AI108" i="2"/>
  <c r="AM115" i="2"/>
  <c r="AI116" i="2"/>
  <c r="AM123" i="2"/>
  <c r="AI124" i="2"/>
  <c r="AI94" i="2"/>
  <c r="AM95" i="2"/>
  <c r="AI120" i="2"/>
  <c r="AM100" i="2"/>
  <c r="AI101" i="2"/>
  <c r="AM108" i="2"/>
  <c r="AI109" i="2"/>
  <c r="AM116" i="2"/>
  <c r="AI117" i="2"/>
  <c r="AM124" i="2"/>
  <c r="AI125" i="2"/>
  <c r="AK47" i="2"/>
  <c r="AJ47" i="2"/>
  <c r="AI47" i="2"/>
  <c r="AG47" i="2"/>
  <c r="AK46" i="2"/>
  <c r="AJ46" i="2"/>
  <c r="AI46" i="2"/>
  <c r="AG46" i="2"/>
  <c r="AK45" i="2"/>
  <c r="AJ45" i="2"/>
  <c r="AI45" i="2"/>
  <c r="AG45" i="2"/>
  <c r="AK44" i="2"/>
  <c r="AJ44" i="2"/>
  <c r="AI44" i="2"/>
  <c r="AG44" i="2"/>
  <c r="AK43" i="2"/>
  <c r="AJ43" i="2"/>
  <c r="AI43" i="2"/>
  <c r="AG43" i="2"/>
  <c r="AK42" i="2"/>
  <c r="AJ42" i="2"/>
  <c r="AI42" i="2"/>
  <c r="AG42" i="2"/>
  <c r="AK41" i="2"/>
  <c r="AJ41" i="2"/>
  <c r="AI41" i="2"/>
  <c r="AG41" i="2"/>
  <c r="AK40" i="2"/>
  <c r="AJ40" i="2"/>
  <c r="AI40" i="2"/>
  <c r="AG40" i="2"/>
  <c r="AK39" i="2"/>
  <c r="AJ39" i="2"/>
  <c r="AI39" i="2"/>
  <c r="AG39" i="2"/>
  <c r="AK38" i="2"/>
  <c r="AJ38" i="2"/>
  <c r="AI38" i="2"/>
  <c r="AG38" i="2"/>
  <c r="AK37" i="2"/>
  <c r="AJ37" i="2"/>
  <c r="AI37" i="2"/>
  <c r="AG37" i="2"/>
  <c r="AK36" i="2"/>
  <c r="AJ36" i="2"/>
  <c r="AI36" i="2"/>
  <c r="AG36" i="2"/>
  <c r="AK35" i="2"/>
  <c r="AJ35" i="2"/>
  <c r="AI35" i="2"/>
  <c r="AG35" i="2"/>
  <c r="AK34" i="2"/>
  <c r="AJ34" i="2"/>
  <c r="AI34" i="2"/>
  <c r="AG34" i="2"/>
  <c r="AK33" i="2"/>
  <c r="AJ33" i="2"/>
  <c r="AI33" i="2"/>
  <c r="AG33" i="2"/>
  <c r="AK32" i="2"/>
  <c r="AJ32" i="2"/>
  <c r="AI32" i="2"/>
  <c r="AG32" i="2"/>
  <c r="AK31" i="2"/>
  <c r="AJ31" i="2"/>
  <c r="AI31" i="2"/>
  <c r="AG31" i="2"/>
  <c r="AK30" i="2"/>
  <c r="AJ30" i="2"/>
  <c r="AI30" i="2"/>
  <c r="AG30" i="2"/>
  <c r="AK29" i="2"/>
  <c r="AJ29" i="2"/>
  <c r="AI29" i="2"/>
  <c r="AG29" i="2"/>
  <c r="AK28" i="2"/>
  <c r="AJ28" i="2"/>
  <c r="AI28" i="2"/>
  <c r="AG28" i="2"/>
  <c r="AK27" i="2"/>
  <c r="AJ27" i="2"/>
  <c r="AI27" i="2"/>
  <c r="AG27" i="2"/>
  <c r="AK26" i="2"/>
  <c r="AJ26" i="2"/>
  <c r="AI26" i="2"/>
  <c r="AG26" i="2"/>
  <c r="AK25" i="2"/>
  <c r="AJ25" i="2"/>
  <c r="AI25" i="2"/>
  <c r="AG25" i="2"/>
  <c r="AK24" i="2"/>
  <c r="AJ24" i="2"/>
  <c r="AI24" i="2"/>
  <c r="AG24" i="2"/>
  <c r="AK23" i="2"/>
  <c r="AJ23" i="2"/>
  <c r="AI23" i="2"/>
  <c r="AG23" i="2"/>
  <c r="AK93" i="2"/>
  <c r="AJ93" i="2"/>
  <c r="AG93" i="2"/>
  <c r="AK92" i="2"/>
  <c r="AJ92" i="2"/>
  <c r="AG92" i="2"/>
  <c r="AK91" i="2"/>
  <c r="AJ91" i="2"/>
  <c r="AG91" i="2"/>
  <c r="AK90" i="2"/>
  <c r="AJ90" i="2"/>
  <c r="AG90" i="2"/>
  <c r="AK89" i="2"/>
  <c r="AJ89" i="2"/>
  <c r="AG89" i="2"/>
  <c r="AK88" i="2"/>
  <c r="AJ88" i="2"/>
  <c r="AG88" i="2"/>
  <c r="AK87" i="2"/>
  <c r="AJ87" i="2"/>
  <c r="AG87" i="2"/>
  <c r="AK86" i="2"/>
  <c r="AJ86" i="2"/>
  <c r="AG86" i="2"/>
  <c r="AK85" i="2"/>
  <c r="AJ85" i="2"/>
  <c r="AG85" i="2"/>
  <c r="AK84" i="2"/>
  <c r="AJ84" i="2"/>
  <c r="AG84" i="2"/>
  <c r="AK83" i="2"/>
  <c r="AJ83" i="2"/>
  <c r="AG83" i="2"/>
  <c r="AK82" i="2"/>
  <c r="AJ82" i="2"/>
  <c r="AG82" i="2"/>
  <c r="AK81" i="2"/>
  <c r="AJ81" i="2"/>
  <c r="AG81" i="2"/>
  <c r="AE89" i="2"/>
  <c r="AF45" i="2"/>
  <c r="AF36" i="2"/>
  <c r="AE24" i="2"/>
  <c r="AF91" i="2"/>
  <c r="AE87" i="2"/>
  <c r="AE91" i="2"/>
  <c r="AF86" i="2"/>
  <c r="AF33" i="2"/>
  <c r="AF29" i="2"/>
  <c r="AF32" i="2"/>
  <c r="AE37" i="2"/>
  <c r="AF30" i="2"/>
  <c r="AF28" i="2"/>
  <c r="AE40" i="2"/>
  <c r="AE88" i="2"/>
  <c r="AE31" i="2"/>
  <c r="AE27" i="2"/>
  <c r="AE30" i="2"/>
  <c r="AF87" i="2"/>
  <c r="AF39" i="2"/>
  <c r="AF47" i="2"/>
  <c r="AE26" i="2"/>
  <c r="AE23" i="2"/>
  <c r="AE90" i="2"/>
  <c r="AE42" i="2"/>
  <c r="AF44" i="2"/>
  <c r="AE93" i="2"/>
  <c r="AE43" i="2"/>
  <c r="AE45" i="2"/>
  <c r="AF84" i="2"/>
  <c r="AF85" i="2"/>
  <c r="AE32" i="2"/>
  <c r="AE36" i="2"/>
  <c r="AE38" i="2"/>
  <c r="AE81" i="2"/>
  <c r="AF89" i="2"/>
  <c r="AE92" i="2"/>
  <c r="AF82" i="2"/>
  <c r="AF34" i="2"/>
  <c r="AF24" i="2"/>
  <c r="AE28" i="2"/>
  <c r="AF93" i="2"/>
  <c r="AE85" i="2"/>
  <c r="AF38" i="2"/>
  <c r="AF46" i="2"/>
  <c r="AF41" i="2"/>
  <c r="AF40" i="2"/>
  <c r="AE34" i="2"/>
  <c r="AF92" i="2"/>
  <c r="AF43" i="2"/>
  <c r="AE33" i="2"/>
  <c r="AF23" i="2"/>
  <c r="AE86" i="2"/>
  <c r="AF35" i="2"/>
  <c r="AF88" i="2"/>
  <c r="AF42" i="2"/>
  <c r="AE83" i="2"/>
  <c r="AE39" i="2"/>
  <c r="AF37" i="2"/>
  <c r="AF25" i="2"/>
  <c r="AE29" i="2"/>
  <c r="AF27" i="2"/>
  <c r="AF26" i="2"/>
  <c r="AF90" i="2"/>
  <c r="AE47" i="2"/>
  <c r="AE41" i="2"/>
  <c r="AE84" i="2"/>
  <c r="AF83" i="2"/>
  <c r="AF81" i="2"/>
  <c r="AF31" i="2"/>
  <c r="AE82" i="2"/>
  <c r="AE25" i="2"/>
  <c r="AE44" i="2"/>
  <c r="AE46" i="2"/>
  <c r="AE35" i="2"/>
  <c r="AD34" i="2" l="1"/>
  <c r="AD31" i="2"/>
  <c r="AD24" i="2"/>
  <c r="AD43" i="2"/>
  <c r="AD32" i="2"/>
  <c r="AD45" i="2"/>
  <c r="AD42" i="2"/>
  <c r="AD26" i="2"/>
  <c r="AD39" i="2"/>
  <c r="AD33" i="2"/>
  <c r="AD27" i="2"/>
  <c r="AD47" i="2"/>
  <c r="AD25" i="2"/>
  <c r="AD41" i="2"/>
  <c r="AD23" i="2"/>
  <c r="AD28" i="2"/>
  <c r="AD35" i="2"/>
  <c r="AD30" i="2"/>
  <c r="AD40" i="2"/>
  <c r="AD36" i="2"/>
  <c r="AD46" i="2"/>
  <c r="AD29" i="2"/>
  <c r="AD44" i="2"/>
  <c r="AD37" i="2"/>
  <c r="AD38" i="2"/>
  <c r="AD87" i="2"/>
  <c r="AD83" i="2"/>
  <c r="AD88" i="2"/>
  <c r="AD86" i="2"/>
  <c r="AD85" i="2"/>
  <c r="AD89" i="2"/>
  <c r="AD84" i="2"/>
  <c r="AD90" i="2"/>
  <c r="AD93" i="2"/>
  <c r="AD92" i="2"/>
  <c r="AD81" i="2"/>
  <c r="AD82" i="2"/>
  <c r="AD91" i="2"/>
  <c r="AM47" i="2"/>
  <c r="AM24" i="2"/>
  <c r="AM32" i="2"/>
  <c r="AM40" i="2"/>
  <c r="AM31" i="2"/>
  <c r="AM25" i="2"/>
  <c r="AM33" i="2"/>
  <c r="AM41" i="2"/>
  <c r="AM26" i="2"/>
  <c r="AM34" i="2"/>
  <c r="AM42" i="2"/>
  <c r="AM23" i="2"/>
  <c r="AM39" i="2"/>
  <c r="AM27" i="2"/>
  <c r="AM35" i="2"/>
  <c r="AM43" i="2"/>
  <c r="AM28" i="2"/>
  <c r="AM36" i="2"/>
  <c r="AM44" i="2"/>
  <c r="AM29" i="2"/>
  <c r="AM37" i="2"/>
  <c r="AM45" i="2"/>
  <c r="AM30" i="2"/>
  <c r="AM38" i="2"/>
  <c r="AM46" i="2"/>
  <c r="AI86" i="2"/>
  <c r="AM93" i="2"/>
  <c r="AM86" i="2"/>
  <c r="AI87" i="2"/>
  <c r="AM82" i="2"/>
  <c r="AM85" i="2"/>
  <c r="AM87" i="2"/>
  <c r="AI88" i="2"/>
  <c r="AM83" i="2"/>
  <c r="AI81" i="2"/>
  <c r="AM88" i="2"/>
  <c r="AI89" i="2"/>
  <c r="AM81" i="2"/>
  <c r="AI82" i="2"/>
  <c r="AM89" i="2"/>
  <c r="AI90" i="2"/>
  <c r="AI83" i="2"/>
  <c r="AM90" i="2"/>
  <c r="AI91" i="2"/>
  <c r="AI84" i="2"/>
  <c r="AM91" i="2"/>
  <c r="AI92" i="2"/>
  <c r="AM84" i="2"/>
  <c r="AI85" i="2"/>
  <c r="AM92" i="2"/>
  <c r="AI93" i="2"/>
  <c r="AK79" i="2" l="1"/>
  <c r="AJ79" i="2"/>
  <c r="AG79" i="2"/>
  <c r="AK78" i="2"/>
  <c r="AJ78" i="2"/>
  <c r="AG78" i="2"/>
  <c r="AK77" i="2"/>
  <c r="AJ77" i="2"/>
  <c r="AG77" i="2"/>
  <c r="AK76" i="2"/>
  <c r="AJ76" i="2"/>
  <c r="AG76" i="2"/>
  <c r="AK75" i="2"/>
  <c r="AJ75" i="2"/>
  <c r="AG75" i="2"/>
  <c r="AK74" i="2"/>
  <c r="AJ74" i="2"/>
  <c r="AG74" i="2"/>
  <c r="AK73" i="2"/>
  <c r="AJ73" i="2"/>
  <c r="AG73" i="2"/>
  <c r="AK80" i="2"/>
  <c r="AJ80" i="2"/>
  <c r="AG80" i="2"/>
  <c r="AK72" i="2"/>
  <c r="AJ72" i="2"/>
  <c r="AI72" i="2"/>
  <c r="AG72" i="2"/>
  <c r="AK71" i="2"/>
  <c r="AJ71" i="2"/>
  <c r="AI71" i="2"/>
  <c r="AG71" i="2"/>
  <c r="AK70" i="2"/>
  <c r="AJ70" i="2"/>
  <c r="AI70" i="2"/>
  <c r="AG70" i="2"/>
  <c r="AK69" i="2"/>
  <c r="AJ69" i="2"/>
  <c r="AI69" i="2"/>
  <c r="AG69" i="2"/>
  <c r="AK68" i="2"/>
  <c r="AJ68" i="2"/>
  <c r="AI68" i="2"/>
  <c r="AG68" i="2"/>
  <c r="AK67" i="2"/>
  <c r="AJ67" i="2"/>
  <c r="AI67" i="2"/>
  <c r="AG67" i="2"/>
  <c r="AK66" i="2"/>
  <c r="AJ66" i="2"/>
  <c r="AI66" i="2"/>
  <c r="AG66" i="2"/>
  <c r="AK65" i="2"/>
  <c r="AJ65" i="2"/>
  <c r="AI65" i="2"/>
  <c r="AG65" i="2"/>
  <c r="AK64" i="2"/>
  <c r="AJ64" i="2"/>
  <c r="AI64" i="2"/>
  <c r="AG64" i="2"/>
  <c r="AK63" i="2"/>
  <c r="AJ63" i="2"/>
  <c r="AI63" i="2"/>
  <c r="AG63" i="2"/>
  <c r="AE79" i="2"/>
  <c r="AE69" i="2"/>
  <c r="AE75" i="2"/>
  <c r="AF74" i="2"/>
  <c r="AE67" i="2"/>
  <c r="AE78" i="2"/>
  <c r="AF63" i="2"/>
  <c r="AE63" i="2"/>
  <c r="AF73" i="2"/>
  <c r="AF80" i="2"/>
  <c r="AF65" i="2"/>
  <c r="AF72" i="2"/>
  <c r="AF71" i="2"/>
  <c r="AE66" i="2"/>
  <c r="AE73" i="2"/>
  <c r="AF67" i="2"/>
  <c r="AF75" i="2"/>
  <c r="AF69" i="2"/>
  <c r="AE71" i="2"/>
  <c r="AE77" i="2"/>
  <c r="AF70" i="2"/>
  <c r="AF77" i="2"/>
  <c r="AE65" i="2"/>
  <c r="AF64" i="2"/>
  <c r="AE70" i="2"/>
  <c r="AE74" i="2"/>
  <c r="AF76" i="2"/>
  <c r="AE72" i="2"/>
  <c r="AF78" i="2"/>
  <c r="AE64" i="2"/>
  <c r="AF79" i="2"/>
  <c r="AE68" i="2"/>
  <c r="AF66" i="2"/>
  <c r="AE80" i="2"/>
  <c r="AF68" i="2"/>
  <c r="AE76" i="2"/>
  <c r="AD69" i="2" l="1"/>
  <c r="AD67" i="2"/>
  <c r="AD64" i="2"/>
  <c r="AD66" i="2"/>
  <c r="AD73" i="2"/>
  <c r="AD72" i="2"/>
  <c r="AD65" i="2"/>
  <c r="AD70" i="2"/>
  <c r="AD71" i="2"/>
  <c r="AD68" i="2"/>
  <c r="AD63" i="2"/>
  <c r="AD80" i="2"/>
  <c r="AD75" i="2"/>
  <c r="AD76" i="2"/>
  <c r="AD74" i="2"/>
  <c r="AD77" i="2"/>
  <c r="AD78" i="2"/>
  <c r="AD79" i="2"/>
  <c r="AI80" i="2"/>
  <c r="AI74" i="2"/>
  <c r="AI75" i="2"/>
  <c r="AI76" i="2"/>
  <c r="AI77" i="2"/>
  <c r="AI78" i="2"/>
  <c r="AI79" i="2"/>
  <c r="AI73" i="2"/>
  <c r="AM79" i="2"/>
  <c r="AM74" i="2"/>
  <c r="AM75" i="2"/>
  <c r="AM76" i="2"/>
  <c r="AM73" i="2"/>
  <c r="AM77" i="2"/>
  <c r="AM78" i="2"/>
  <c r="AM80" i="2"/>
  <c r="AM65" i="2"/>
  <c r="AM72" i="2"/>
  <c r="AM64" i="2"/>
  <c r="AM71" i="2"/>
  <c r="AM63" i="2"/>
  <c r="AM70" i="2"/>
  <c r="AM69" i="2"/>
  <c r="AM68" i="2"/>
  <c r="AM67" i="2"/>
  <c r="AM66" i="2"/>
  <c r="AK62" i="2" l="1"/>
  <c r="AJ62" i="2"/>
  <c r="AI62" i="2"/>
  <c r="AG62" i="2"/>
  <c r="AK61" i="2"/>
  <c r="AJ61" i="2"/>
  <c r="AI61" i="2"/>
  <c r="AG61" i="2"/>
  <c r="AK60" i="2"/>
  <c r="AJ60" i="2"/>
  <c r="AI60" i="2"/>
  <c r="AG60" i="2"/>
  <c r="AK59" i="2"/>
  <c r="AJ59" i="2"/>
  <c r="AI59" i="2"/>
  <c r="AG59" i="2"/>
  <c r="AK58" i="2"/>
  <c r="AJ58" i="2"/>
  <c r="AI58" i="2"/>
  <c r="AG58" i="2"/>
  <c r="AK57" i="2"/>
  <c r="AJ57" i="2"/>
  <c r="AI57" i="2"/>
  <c r="AG57" i="2"/>
  <c r="AK56" i="2"/>
  <c r="AJ56" i="2"/>
  <c r="AI56" i="2"/>
  <c r="AG56" i="2"/>
  <c r="AK55" i="2"/>
  <c r="AJ55" i="2"/>
  <c r="AI55" i="2"/>
  <c r="AG55" i="2"/>
  <c r="AK54" i="2"/>
  <c r="AJ54" i="2"/>
  <c r="AI54" i="2"/>
  <c r="AG54" i="2"/>
  <c r="AK53" i="2"/>
  <c r="AJ53" i="2"/>
  <c r="AI53" i="2"/>
  <c r="AG53" i="2"/>
  <c r="AK52" i="2"/>
  <c r="AJ52" i="2"/>
  <c r="AI52" i="2"/>
  <c r="AG52" i="2"/>
  <c r="AK51" i="2"/>
  <c r="AJ51" i="2"/>
  <c r="AI51" i="2"/>
  <c r="AG51" i="2"/>
  <c r="AK50" i="2"/>
  <c r="AJ50" i="2"/>
  <c r="AI50" i="2"/>
  <c r="AG50" i="2"/>
  <c r="AK49" i="2"/>
  <c r="AJ49" i="2"/>
  <c r="AI49" i="2"/>
  <c r="AG49" i="2"/>
  <c r="AK48" i="2"/>
  <c r="AJ48" i="2"/>
  <c r="AI48" i="2"/>
  <c r="AG48" i="2"/>
  <c r="AE53" i="2"/>
  <c r="AF54" i="2"/>
  <c r="AE59" i="2"/>
  <c r="AF61" i="2"/>
  <c r="AE61" i="2"/>
  <c r="AE58" i="2"/>
  <c r="AF62" i="2"/>
  <c r="AF50" i="2"/>
  <c r="AE48" i="2"/>
  <c r="AE50" i="2"/>
  <c r="AE54" i="2"/>
  <c r="AF60" i="2"/>
  <c r="AF51" i="2"/>
  <c r="AE49" i="2"/>
  <c r="AE51" i="2"/>
  <c r="AF53" i="2"/>
  <c r="AF55" i="2"/>
  <c r="AF59" i="2"/>
  <c r="AF52" i="2"/>
  <c r="AE62" i="2"/>
  <c r="AF56" i="2"/>
  <c r="AF49" i="2"/>
  <c r="AF57" i="2"/>
  <c r="AF58" i="2"/>
  <c r="AF48" i="2"/>
  <c r="AE60" i="2"/>
  <c r="AE55" i="2"/>
  <c r="AE56" i="2"/>
  <c r="AE57" i="2"/>
  <c r="AE52" i="2"/>
  <c r="AD60" i="2" l="1"/>
  <c r="AD54" i="2"/>
  <c r="AD53" i="2"/>
  <c r="AD57" i="2"/>
  <c r="AD51" i="2"/>
  <c r="AD55" i="2"/>
  <c r="AD49" i="2"/>
  <c r="AD50" i="2"/>
  <c r="AD52" i="2"/>
  <c r="AD59" i="2"/>
  <c r="AD56" i="2"/>
  <c r="AD58" i="2"/>
  <c r="AD62" i="2"/>
  <c r="AD48" i="2"/>
  <c r="AD61" i="2"/>
  <c r="AM48" i="2"/>
  <c r="AM53" i="2"/>
  <c r="AM54" i="2"/>
  <c r="AM62" i="2"/>
  <c r="AM56" i="2"/>
  <c r="AM55" i="2"/>
  <c r="AM49" i="2"/>
  <c r="AM57" i="2"/>
  <c r="AM58" i="2"/>
  <c r="AM50" i="2"/>
  <c r="AM51" i="2"/>
  <c r="AM59" i="2"/>
  <c r="AM52" i="2"/>
  <c r="AM60" i="2"/>
  <c r="AM61" i="2"/>
  <c r="AK22" i="2" l="1"/>
  <c r="AJ22" i="2"/>
  <c r="AI22" i="2"/>
  <c r="AG22" i="2"/>
  <c r="AK21" i="2"/>
  <c r="AJ21" i="2"/>
  <c r="AI21" i="2"/>
  <c r="AG21" i="2"/>
  <c r="AK20" i="2"/>
  <c r="AJ20" i="2"/>
  <c r="AI20" i="2"/>
  <c r="AG20" i="2"/>
  <c r="AK19" i="2"/>
  <c r="AJ19" i="2"/>
  <c r="AI19" i="2"/>
  <c r="AG19" i="2"/>
  <c r="AK18" i="2"/>
  <c r="AJ18" i="2"/>
  <c r="AI18" i="2"/>
  <c r="AG18" i="2"/>
  <c r="AF21" i="2"/>
  <c r="AE18" i="2"/>
  <c r="AF20" i="2"/>
  <c r="AF18" i="2"/>
  <c r="AE22" i="2"/>
  <c r="AE19" i="2"/>
  <c r="AF22" i="2"/>
  <c r="AF19" i="2"/>
  <c r="AE21" i="2"/>
  <c r="AE20" i="2"/>
  <c r="AD21" i="2" l="1"/>
  <c r="AD20" i="2"/>
  <c r="AD18" i="2"/>
  <c r="AD19" i="2"/>
  <c r="AD22" i="2"/>
  <c r="AM20" i="2"/>
  <c r="AM21" i="2"/>
  <c r="AM22" i="2"/>
  <c r="AM19" i="2"/>
  <c r="AM18" i="2"/>
  <c r="AK17" i="2" l="1"/>
  <c r="AJ17" i="2"/>
  <c r="AI17" i="2"/>
  <c r="AG17" i="2"/>
  <c r="AK16" i="2"/>
  <c r="AJ16" i="2"/>
  <c r="AI16" i="2"/>
  <c r="AG16" i="2"/>
  <c r="AK15" i="2"/>
  <c r="AJ15" i="2"/>
  <c r="AI15" i="2"/>
  <c r="AG15" i="2"/>
  <c r="AK14" i="2"/>
  <c r="AJ14" i="2"/>
  <c r="AI14" i="2"/>
  <c r="AG14" i="2"/>
  <c r="AK13" i="2"/>
  <c r="AJ13" i="2"/>
  <c r="AI13" i="2"/>
  <c r="AG13" i="2"/>
  <c r="AK12" i="2"/>
  <c r="AJ12" i="2"/>
  <c r="AI12" i="2"/>
  <c r="AG12" i="2"/>
  <c r="AK11" i="2"/>
  <c r="AJ11" i="2"/>
  <c r="AI11" i="2"/>
  <c r="AG11" i="2"/>
  <c r="AK10" i="2"/>
  <c r="AJ10" i="2"/>
  <c r="AI10" i="2"/>
  <c r="AG10" i="2"/>
  <c r="AK9" i="2"/>
  <c r="AJ9" i="2"/>
  <c r="AI9" i="2"/>
  <c r="AG9" i="2"/>
  <c r="AK8" i="2"/>
  <c r="AJ8" i="2"/>
  <c r="AI8" i="2"/>
  <c r="AG8" i="2"/>
  <c r="AK7" i="2"/>
  <c r="AJ7" i="2"/>
  <c r="AI7" i="2"/>
  <c r="AG7" i="2"/>
  <c r="AK6" i="2"/>
  <c r="AJ6" i="2"/>
  <c r="AI6" i="2"/>
  <c r="AG6" i="2"/>
  <c r="AK5" i="2"/>
  <c r="AJ5" i="2"/>
  <c r="AI5" i="2"/>
  <c r="AG5" i="2"/>
  <c r="AK4" i="2"/>
  <c r="AJ4" i="2"/>
  <c r="AI4" i="2"/>
  <c r="AG4" i="2"/>
  <c r="AK3" i="2"/>
  <c r="AJ3" i="2"/>
  <c r="AI3" i="2"/>
  <c r="AG3" i="2"/>
  <c r="AE9" i="2"/>
  <c r="AE5" i="2"/>
  <c r="AF17" i="2"/>
  <c r="AF3" i="2"/>
  <c r="AF11" i="2"/>
  <c r="AE17" i="2"/>
  <c r="AF10" i="2"/>
  <c r="AE12" i="2"/>
  <c r="AE4" i="2"/>
  <c r="AE7" i="2"/>
  <c r="AF16" i="2"/>
  <c r="AF6" i="2"/>
  <c r="AF9" i="2"/>
  <c r="AF13" i="2"/>
  <c r="AF5" i="2"/>
  <c r="AF7" i="2"/>
  <c r="AE11" i="2"/>
  <c r="AE3" i="2"/>
  <c r="AF15" i="2"/>
  <c r="AF12" i="2"/>
  <c r="AE16" i="2"/>
  <c r="AF4" i="2"/>
  <c r="AF8" i="2"/>
  <c r="AE13" i="2"/>
  <c r="AE15" i="2"/>
  <c r="AE10" i="2"/>
  <c r="AE6" i="2"/>
  <c r="AF14" i="2"/>
  <c r="AE8" i="2"/>
  <c r="AE14" i="2"/>
  <c r="AD14" i="2" l="1"/>
  <c r="AD16" i="2"/>
  <c r="AD15" i="2"/>
  <c r="AD6" i="2"/>
  <c r="AD4" i="2"/>
  <c r="AD10" i="2"/>
  <c r="AD5" i="2"/>
  <c r="AD12" i="2"/>
  <c r="AD7" i="2"/>
  <c r="AD13" i="2"/>
  <c r="AD8" i="2"/>
  <c r="AD9" i="2"/>
  <c r="AD11" i="2"/>
  <c r="AD3" i="2"/>
  <c r="AD17" i="2"/>
  <c r="AM4" i="2"/>
  <c r="AM8" i="2"/>
  <c r="AM12" i="2"/>
  <c r="AM16" i="2"/>
  <c r="AM5" i="2"/>
  <c r="AM9" i="2"/>
  <c r="AM13" i="2"/>
  <c r="AM17" i="2"/>
  <c r="AM6" i="2"/>
  <c r="AM10" i="2"/>
  <c r="AM14" i="2"/>
  <c r="AM3" i="2"/>
  <c r="AM7" i="2"/>
  <c r="AM11" i="2"/>
  <c r="AM15" i="2"/>
  <c r="B3" i="1" l="1"/>
  <c r="AL557" i="2" l="1"/>
  <c r="AL549" i="2"/>
  <c r="AL541" i="2"/>
  <c r="AL533" i="2"/>
  <c r="AL525" i="2"/>
  <c r="AL517" i="2"/>
  <c r="AL509" i="2"/>
  <c r="AL501" i="2"/>
  <c r="AL493" i="2"/>
  <c r="AL485" i="2"/>
  <c r="AL477" i="2"/>
  <c r="AL469" i="2"/>
  <c r="AL461" i="2"/>
  <c r="AL453" i="2"/>
  <c r="AL445" i="2"/>
  <c r="AL437" i="2"/>
  <c r="AL429" i="2"/>
  <c r="AL421" i="2"/>
  <c r="AL413" i="2"/>
  <c r="AL405" i="2"/>
  <c r="AL397" i="2"/>
  <c r="AL389" i="2"/>
  <c r="AL381" i="2"/>
  <c r="AL373" i="2"/>
  <c r="AL365" i="2"/>
  <c r="AL357" i="2"/>
  <c r="AL349" i="2"/>
  <c r="AL341" i="2"/>
  <c r="AL333" i="2"/>
  <c r="AL325" i="2"/>
  <c r="AL317" i="2"/>
  <c r="AL309" i="2"/>
  <c r="AL301" i="2"/>
  <c r="AL293" i="2"/>
  <c r="AL285" i="2"/>
  <c r="AL277" i="2"/>
  <c r="AL269" i="2"/>
  <c r="AL261" i="2"/>
  <c r="AL253" i="2"/>
  <c r="AL245" i="2"/>
  <c r="AL237" i="2"/>
  <c r="AL229" i="2"/>
  <c r="AL221" i="2"/>
  <c r="AL213" i="2"/>
  <c r="AL205" i="2"/>
  <c r="AL197" i="2"/>
  <c r="AL189" i="2"/>
  <c r="AL181" i="2"/>
  <c r="AL173" i="2"/>
  <c r="AL165" i="2"/>
  <c r="AL157" i="2"/>
  <c r="AL149" i="2"/>
  <c r="AL141" i="2"/>
  <c r="AL378" i="2"/>
  <c r="AL250" i="2"/>
  <c r="AL552" i="2"/>
  <c r="AL544" i="2"/>
  <c r="AL536" i="2"/>
  <c r="AL528" i="2"/>
  <c r="AL520" i="2"/>
  <c r="AL512" i="2"/>
  <c r="AL504" i="2"/>
  <c r="AL496" i="2"/>
  <c r="AL488" i="2"/>
  <c r="AL480" i="2"/>
  <c r="AL472" i="2"/>
  <c r="AL464" i="2"/>
  <c r="AL456" i="2"/>
  <c r="AL448" i="2"/>
  <c r="AL440" i="2"/>
  <c r="AL432" i="2"/>
  <c r="AL424" i="2"/>
  <c r="AL416" i="2"/>
  <c r="AL408" i="2"/>
  <c r="AL400" i="2"/>
  <c r="AL392" i="2"/>
  <c r="AL384" i="2"/>
  <c r="AL376" i="2"/>
  <c r="AL368" i="2"/>
  <c r="AL360" i="2"/>
  <c r="AL352" i="2"/>
  <c r="AL344" i="2"/>
  <c r="AL336" i="2"/>
  <c r="AL328" i="2"/>
  <c r="AL320" i="2"/>
  <c r="AL312" i="2"/>
  <c r="AL304" i="2"/>
  <c r="AL296" i="2"/>
  <c r="AL288" i="2"/>
  <c r="AL280" i="2"/>
  <c r="AL272" i="2"/>
  <c r="AL264" i="2"/>
  <c r="AL256" i="2"/>
  <c r="AL248" i="2"/>
  <c r="AL240" i="2"/>
  <c r="AL232" i="2"/>
  <c r="AL224" i="2"/>
  <c r="AL216" i="2"/>
  <c r="AL208" i="2"/>
  <c r="AL200" i="2"/>
  <c r="AL192" i="2"/>
  <c r="AL184" i="2"/>
  <c r="AL176" i="2"/>
  <c r="AL168" i="2"/>
  <c r="AL160" i="2"/>
  <c r="AL152" i="2"/>
  <c r="AL144" i="2"/>
  <c r="AL482" i="2"/>
  <c r="AL466" i="2"/>
  <c r="AL442" i="2"/>
  <c r="AL410" i="2"/>
  <c r="AL346" i="2"/>
  <c r="AL338" i="2"/>
  <c r="AL306" i="2"/>
  <c r="AL282" i="2"/>
  <c r="AL274" i="2"/>
  <c r="AL555" i="2"/>
  <c r="AL547" i="2"/>
  <c r="AL539" i="2"/>
  <c r="AL531" i="2"/>
  <c r="AL523" i="2"/>
  <c r="AL515" i="2"/>
  <c r="AL507" i="2"/>
  <c r="AL499" i="2"/>
  <c r="AL491" i="2"/>
  <c r="AL483" i="2"/>
  <c r="AL475" i="2"/>
  <c r="AL467" i="2"/>
  <c r="AL459" i="2"/>
  <c r="AL451" i="2"/>
  <c r="AL443" i="2"/>
  <c r="AL435" i="2"/>
  <c r="AL427" i="2"/>
  <c r="AL419" i="2"/>
  <c r="AL411" i="2"/>
  <c r="AL403" i="2"/>
  <c r="AL395" i="2"/>
  <c r="AL387" i="2"/>
  <c r="AL379" i="2"/>
  <c r="AL371" i="2"/>
  <c r="AL363" i="2"/>
  <c r="AL355" i="2"/>
  <c r="AL347" i="2"/>
  <c r="AL339" i="2"/>
  <c r="AL331" i="2"/>
  <c r="AL323" i="2"/>
  <c r="AL315" i="2"/>
  <c r="AL307" i="2"/>
  <c r="AL299" i="2"/>
  <c r="AL291" i="2"/>
  <c r="AL283" i="2"/>
  <c r="AL275" i="2"/>
  <c r="AL267" i="2"/>
  <c r="AL259" i="2"/>
  <c r="AL251" i="2"/>
  <c r="AL243" i="2"/>
  <c r="AL235" i="2"/>
  <c r="AL227" i="2"/>
  <c r="AL219" i="2"/>
  <c r="AL211" i="2"/>
  <c r="AL203" i="2"/>
  <c r="AL195" i="2"/>
  <c r="AL187" i="2"/>
  <c r="AL179" i="2"/>
  <c r="AL171" i="2"/>
  <c r="AL163" i="2"/>
  <c r="AL155" i="2"/>
  <c r="AL147" i="2"/>
  <c r="AL139" i="2"/>
  <c r="AL158" i="2"/>
  <c r="AL142" i="2"/>
  <c r="AL156" i="2"/>
  <c r="AL546" i="2"/>
  <c r="AL522" i="2"/>
  <c r="AL458" i="2"/>
  <c r="AL450" i="2"/>
  <c r="AL266" i="2"/>
  <c r="AL194" i="2"/>
  <c r="AL186" i="2"/>
  <c r="AL550" i="2"/>
  <c r="AL542" i="2"/>
  <c r="AL534" i="2"/>
  <c r="AL526" i="2"/>
  <c r="AL518" i="2"/>
  <c r="AL510" i="2"/>
  <c r="AL502" i="2"/>
  <c r="AL494" i="2"/>
  <c r="AL486" i="2"/>
  <c r="AL478" i="2"/>
  <c r="AL470" i="2"/>
  <c r="AL462" i="2"/>
  <c r="AL454" i="2"/>
  <c r="AL446" i="2"/>
  <c r="AL438" i="2"/>
  <c r="AL430" i="2"/>
  <c r="AL422" i="2"/>
  <c r="AL414" i="2"/>
  <c r="AL406" i="2"/>
  <c r="AL398" i="2"/>
  <c r="AL390" i="2"/>
  <c r="AL382" i="2"/>
  <c r="AL374" i="2"/>
  <c r="AL366" i="2"/>
  <c r="AL358" i="2"/>
  <c r="AL350" i="2"/>
  <c r="AL342" i="2"/>
  <c r="AL334" i="2"/>
  <c r="AL326" i="2"/>
  <c r="AL318" i="2"/>
  <c r="AL310" i="2"/>
  <c r="AL302" i="2"/>
  <c r="AL294" i="2"/>
  <c r="AL286" i="2"/>
  <c r="AL278" i="2"/>
  <c r="AL270" i="2"/>
  <c r="AL262" i="2"/>
  <c r="AL254" i="2"/>
  <c r="AL246" i="2"/>
  <c r="AL238" i="2"/>
  <c r="AL230" i="2"/>
  <c r="AL222" i="2"/>
  <c r="AL214" i="2"/>
  <c r="AL206" i="2"/>
  <c r="AL198" i="2"/>
  <c r="AL190" i="2"/>
  <c r="AL182" i="2"/>
  <c r="AL174" i="2"/>
  <c r="AL166" i="2"/>
  <c r="AL150" i="2"/>
  <c r="AL153" i="2"/>
  <c r="AL164" i="2"/>
  <c r="AL514" i="2"/>
  <c r="AL506" i="2"/>
  <c r="AL498" i="2"/>
  <c r="AL370" i="2"/>
  <c r="AL314" i="2"/>
  <c r="AL298" i="2"/>
  <c r="AL226" i="2"/>
  <c r="AL218" i="2"/>
  <c r="AL210" i="2"/>
  <c r="AL154" i="2"/>
  <c r="AL553" i="2"/>
  <c r="AL545" i="2"/>
  <c r="AL537" i="2"/>
  <c r="AL529" i="2"/>
  <c r="AL521" i="2"/>
  <c r="AL513" i="2"/>
  <c r="AL505" i="2"/>
  <c r="AL497" i="2"/>
  <c r="AL489" i="2"/>
  <c r="AL481" i="2"/>
  <c r="AL473" i="2"/>
  <c r="AL465" i="2"/>
  <c r="AL457" i="2"/>
  <c r="AL449" i="2"/>
  <c r="AL441" i="2"/>
  <c r="AL433" i="2"/>
  <c r="AL425" i="2"/>
  <c r="AL417" i="2"/>
  <c r="AL409" i="2"/>
  <c r="AL401" i="2"/>
  <c r="AL393" i="2"/>
  <c r="AL385" i="2"/>
  <c r="AL377" i="2"/>
  <c r="AL369" i="2"/>
  <c r="AL361" i="2"/>
  <c r="AL353" i="2"/>
  <c r="AL345" i="2"/>
  <c r="AL337" i="2"/>
  <c r="AL329" i="2"/>
  <c r="AL321" i="2"/>
  <c r="AL313" i="2"/>
  <c r="AL305" i="2"/>
  <c r="AL297" i="2"/>
  <c r="AL289" i="2"/>
  <c r="AL281" i="2"/>
  <c r="AL273" i="2"/>
  <c r="AL265" i="2"/>
  <c r="AL257" i="2"/>
  <c r="AL249" i="2"/>
  <c r="AL241" i="2"/>
  <c r="AL233" i="2"/>
  <c r="AL225" i="2"/>
  <c r="AL217" i="2"/>
  <c r="AL209" i="2"/>
  <c r="AL201" i="2"/>
  <c r="AL193" i="2"/>
  <c r="AL185" i="2"/>
  <c r="AL177" i="2"/>
  <c r="AL169" i="2"/>
  <c r="AL161" i="2"/>
  <c r="AL145" i="2"/>
  <c r="AL148" i="2"/>
  <c r="AL474" i="2"/>
  <c r="AL434" i="2"/>
  <c r="AL394" i="2"/>
  <c r="AL290" i="2"/>
  <c r="AL242" i="2"/>
  <c r="AL202" i="2"/>
  <c r="AL556" i="2"/>
  <c r="AL548" i="2"/>
  <c r="AL540" i="2"/>
  <c r="AL532" i="2"/>
  <c r="AL524" i="2"/>
  <c r="AL516" i="2"/>
  <c r="AL508" i="2"/>
  <c r="AL500" i="2"/>
  <c r="AL492" i="2"/>
  <c r="AL484" i="2"/>
  <c r="AL476" i="2"/>
  <c r="AL468" i="2"/>
  <c r="AL460" i="2"/>
  <c r="AL452" i="2"/>
  <c r="AL444" i="2"/>
  <c r="AL436" i="2"/>
  <c r="AL428" i="2"/>
  <c r="AL420" i="2"/>
  <c r="AL412" i="2"/>
  <c r="AL404" i="2"/>
  <c r="AL396" i="2"/>
  <c r="AL388" i="2"/>
  <c r="AL380" i="2"/>
  <c r="AL372" i="2"/>
  <c r="AL364" i="2"/>
  <c r="AL356" i="2"/>
  <c r="AL348" i="2"/>
  <c r="AL340" i="2"/>
  <c r="AL332" i="2"/>
  <c r="AL324" i="2"/>
  <c r="AL316" i="2"/>
  <c r="AL308" i="2"/>
  <c r="AL300" i="2"/>
  <c r="AL292" i="2"/>
  <c r="AL284" i="2"/>
  <c r="AL276" i="2"/>
  <c r="AL268" i="2"/>
  <c r="AL260" i="2"/>
  <c r="AL252" i="2"/>
  <c r="AL244" i="2"/>
  <c r="AL236" i="2"/>
  <c r="AL228" i="2"/>
  <c r="AL220" i="2"/>
  <c r="AL212" i="2"/>
  <c r="AL204" i="2"/>
  <c r="AL196" i="2"/>
  <c r="AL188" i="2"/>
  <c r="AL180" i="2"/>
  <c r="AL172" i="2"/>
  <c r="AL140" i="2"/>
  <c r="AL490" i="2"/>
  <c r="AL402" i="2"/>
  <c r="AL258" i="2"/>
  <c r="AL551" i="2"/>
  <c r="AL543" i="2"/>
  <c r="AL535" i="2"/>
  <c r="AL527" i="2"/>
  <c r="AL519" i="2"/>
  <c r="AL511" i="2"/>
  <c r="AL503" i="2"/>
  <c r="AL495" i="2"/>
  <c r="AL487" i="2"/>
  <c r="AL479" i="2"/>
  <c r="AL471" i="2"/>
  <c r="AL463" i="2"/>
  <c r="AL455" i="2"/>
  <c r="AL447" i="2"/>
  <c r="AL439" i="2"/>
  <c r="AL431" i="2"/>
  <c r="AL423" i="2"/>
  <c r="AL415" i="2"/>
  <c r="AL407" i="2"/>
  <c r="AL399" i="2"/>
  <c r="AL391" i="2"/>
  <c r="AL383" i="2"/>
  <c r="AL375" i="2"/>
  <c r="AL367" i="2"/>
  <c r="AL359" i="2"/>
  <c r="AL351" i="2"/>
  <c r="AL343" i="2"/>
  <c r="AL335" i="2"/>
  <c r="AL327" i="2"/>
  <c r="AL319" i="2"/>
  <c r="AL311" i="2"/>
  <c r="AL303" i="2"/>
  <c r="AL295" i="2"/>
  <c r="AL287" i="2"/>
  <c r="AL279" i="2"/>
  <c r="AL271" i="2"/>
  <c r="AL263" i="2"/>
  <c r="AL255" i="2"/>
  <c r="AL247" i="2"/>
  <c r="AL239" i="2"/>
  <c r="AL231" i="2"/>
  <c r="AL223" i="2"/>
  <c r="AL215" i="2"/>
  <c r="AL207" i="2"/>
  <c r="AL199" i="2"/>
  <c r="AL191" i="2"/>
  <c r="AL183" i="2"/>
  <c r="AL175" i="2"/>
  <c r="AL167" i="2"/>
  <c r="AL159" i="2"/>
  <c r="AL151" i="2"/>
  <c r="AL143" i="2"/>
  <c r="AL538" i="2"/>
  <c r="AL530" i="2"/>
  <c r="AL426" i="2"/>
  <c r="AL418" i="2"/>
  <c r="AL386" i="2"/>
  <c r="AL362" i="2"/>
  <c r="AL354" i="2"/>
  <c r="AL330" i="2"/>
  <c r="AL322" i="2"/>
  <c r="AL234" i="2"/>
  <c r="AL178" i="2"/>
  <c r="AL170" i="2"/>
  <c r="AL162" i="2"/>
  <c r="AL146" i="2"/>
  <c r="AL558" i="2"/>
  <c r="AL554" i="2"/>
  <c r="AL138" i="2"/>
  <c r="AL136" i="2"/>
  <c r="AL137" i="2"/>
  <c r="AL135" i="2"/>
  <c r="AL133" i="2"/>
  <c r="AL131" i="2"/>
  <c r="AL129" i="2"/>
  <c r="AL127" i="2"/>
  <c r="AL134" i="2"/>
  <c r="AL132" i="2"/>
  <c r="AL130" i="2"/>
  <c r="AL128" i="2"/>
  <c r="AL126" i="2"/>
  <c r="AL125" i="2"/>
  <c r="AL123" i="2"/>
  <c r="AL121" i="2"/>
  <c r="AL119" i="2"/>
  <c r="AL117" i="2"/>
  <c r="AL115" i="2"/>
  <c r="AL113" i="2"/>
  <c r="AL111" i="2"/>
  <c r="AL109" i="2"/>
  <c r="AL107" i="2"/>
  <c r="AL105" i="2"/>
  <c r="AL103" i="2"/>
  <c r="AL101" i="2"/>
  <c r="AL99" i="2"/>
  <c r="AL97" i="2"/>
  <c r="AL95" i="2"/>
  <c r="AL124" i="2"/>
  <c r="AL122" i="2"/>
  <c r="AL120" i="2"/>
  <c r="AL118" i="2"/>
  <c r="AL116" i="2"/>
  <c r="AL114" i="2"/>
  <c r="AL112" i="2"/>
  <c r="AL110" i="2"/>
  <c r="AL108" i="2"/>
  <c r="AL106" i="2"/>
  <c r="AL104" i="2"/>
  <c r="AL102" i="2"/>
  <c r="AL100" i="2"/>
  <c r="AL98" i="2"/>
  <c r="AL96" i="2"/>
  <c r="AL94" i="2"/>
  <c r="AL47" i="2"/>
  <c r="AL39" i="2"/>
  <c r="AL31" i="2"/>
  <c r="AL23" i="2"/>
  <c r="AL42" i="2"/>
  <c r="AL34" i="2"/>
  <c r="AL26" i="2"/>
  <c r="AL45" i="2"/>
  <c r="AL37" i="2"/>
  <c r="AL29" i="2"/>
  <c r="AL40" i="2"/>
  <c r="AL32" i="2"/>
  <c r="AL24" i="2"/>
  <c r="AL92" i="2"/>
  <c r="AL90" i="2"/>
  <c r="AL88" i="2"/>
  <c r="AL86" i="2"/>
  <c r="AL84" i="2"/>
  <c r="AL82" i="2"/>
  <c r="AL43" i="2"/>
  <c r="AL35" i="2"/>
  <c r="AL27" i="2"/>
  <c r="AL46" i="2"/>
  <c r="AL38" i="2"/>
  <c r="AL30" i="2"/>
  <c r="AL41" i="2"/>
  <c r="AL33" i="2"/>
  <c r="AL25" i="2"/>
  <c r="AL44" i="2"/>
  <c r="AL36" i="2"/>
  <c r="AL28" i="2"/>
  <c r="AL93" i="2"/>
  <c r="AL91" i="2"/>
  <c r="AL89" i="2"/>
  <c r="AL87" i="2"/>
  <c r="AL85" i="2"/>
  <c r="AL83" i="2"/>
  <c r="AL81" i="2"/>
  <c r="AL79" i="2"/>
  <c r="AL77" i="2"/>
  <c r="AL75" i="2"/>
  <c r="AL73" i="2"/>
  <c r="AL78" i="2"/>
  <c r="AL76" i="2"/>
  <c r="AL74" i="2"/>
  <c r="AL80" i="2"/>
  <c r="AL70" i="2"/>
  <c r="AL65" i="2"/>
  <c r="AL68" i="2"/>
  <c r="AL71" i="2"/>
  <c r="AL63" i="2"/>
  <c r="AL66" i="2"/>
  <c r="AL69" i="2"/>
  <c r="AL72" i="2"/>
  <c r="AL64" i="2"/>
  <c r="AL67" i="2"/>
  <c r="AL62" i="2"/>
  <c r="AL54" i="2"/>
  <c r="AL57" i="2"/>
  <c r="AL49" i="2"/>
  <c r="AL60" i="2"/>
  <c r="AL52" i="2"/>
  <c r="AL55" i="2"/>
  <c r="AL58" i="2"/>
  <c r="AL50" i="2"/>
  <c r="AL61" i="2"/>
  <c r="AL53" i="2"/>
  <c r="AL56" i="2"/>
  <c r="AL48" i="2"/>
  <c r="AL59" i="2"/>
  <c r="AL51" i="2"/>
  <c r="AL21" i="2"/>
  <c r="AL19" i="2"/>
  <c r="AL22" i="2"/>
  <c r="AL20" i="2"/>
  <c r="AL18" i="2"/>
  <c r="AL16" i="2"/>
  <c r="AL8" i="2"/>
  <c r="AL11" i="2"/>
  <c r="AL3" i="2"/>
  <c r="AL14" i="2"/>
  <c r="AL6" i="2"/>
  <c r="AL9" i="2"/>
  <c r="AL17" i="2"/>
  <c r="AL12" i="2"/>
  <c r="AL4" i="2"/>
  <c r="AL10" i="2"/>
  <c r="AL13" i="2"/>
  <c r="AL5" i="2"/>
  <c r="AL15" i="2"/>
  <c r="AL7" i="2"/>
  <c r="AH557" i="2"/>
  <c r="AH493" i="2"/>
  <c r="AH429" i="2"/>
  <c r="AH365" i="2"/>
  <c r="AH301" i="2"/>
  <c r="AH237" i="2"/>
  <c r="AH173" i="2"/>
  <c r="AH544" i="2"/>
  <c r="AH480" i="2"/>
  <c r="AH416" i="2"/>
  <c r="AH352" i="2"/>
  <c r="AH288" i="2"/>
  <c r="AH224" i="2"/>
  <c r="AH160" i="2"/>
  <c r="AH338" i="2"/>
  <c r="AH523" i="2"/>
  <c r="AH459" i="2"/>
  <c r="AH395" i="2"/>
  <c r="AH331" i="2"/>
  <c r="AH267" i="2"/>
  <c r="AH203" i="2"/>
  <c r="AH139" i="2"/>
  <c r="AH266" i="2"/>
  <c r="AH510" i="2"/>
  <c r="AH446" i="2"/>
  <c r="AH382" i="2"/>
  <c r="AH318" i="2"/>
  <c r="AH254" i="2"/>
  <c r="AH190" i="2"/>
  <c r="AH506" i="2"/>
  <c r="AH154" i="2"/>
  <c r="AH497" i="2"/>
  <c r="AH433" i="2"/>
  <c r="AH369" i="2"/>
  <c r="AH305" i="2"/>
  <c r="AH241" i="2"/>
  <c r="AH177" i="2"/>
  <c r="AH290" i="2"/>
  <c r="AH516" i="2"/>
  <c r="AH452" i="2"/>
  <c r="AH388" i="2"/>
  <c r="AH324" i="2"/>
  <c r="AH260" i="2"/>
  <c r="AH196" i="2"/>
  <c r="AH551" i="2"/>
  <c r="AH487" i="2"/>
  <c r="AH423" i="2"/>
  <c r="AH359" i="2"/>
  <c r="AH295" i="2"/>
  <c r="AH231" i="2"/>
  <c r="AH167" i="2"/>
  <c r="AH386" i="2"/>
  <c r="AH162" i="2"/>
  <c r="AH35" i="2"/>
  <c r="AH60" i="2"/>
  <c r="AH82" i="2"/>
  <c r="AH119" i="2"/>
  <c r="AH18" i="2"/>
  <c r="AH121" i="2"/>
  <c r="AH61" i="2"/>
  <c r="AH38" i="2"/>
  <c r="AH79" i="2"/>
  <c r="AH106" i="2"/>
  <c r="AH77" i="2"/>
  <c r="AH68" i="2"/>
  <c r="AH47" i="2"/>
  <c r="AH78" i="2"/>
  <c r="AH103" i="2"/>
  <c r="AH86" i="2"/>
  <c r="AH13" i="2"/>
  <c r="AH102" i="2"/>
  <c r="AH462" i="2"/>
  <c r="AH321" i="2"/>
  <c r="AH340" i="2"/>
  <c r="AH375" i="2"/>
  <c r="AH91" i="2"/>
  <c r="AH53" i="2"/>
  <c r="AH48" i="2"/>
  <c r="AH245" i="2"/>
  <c r="AH168" i="2"/>
  <c r="AH275" i="2"/>
  <c r="AH326" i="2"/>
  <c r="AH441" i="2"/>
  <c r="AH460" i="2"/>
  <c r="AH367" i="2"/>
  <c r="AH135" i="2"/>
  <c r="AH28" i="2"/>
  <c r="AH42" i="2"/>
  <c r="AH50" i="2"/>
  <c r="AH36" i="2"/>
  <c r="AH549" i="2"/>
  <c r="AH485" i="2"/>
  <c r="AH421" i="2"/>
  <c r="AH357" i="2"/>
  <c r="AH293" i="2"/>
  <c r="AH229" i="2"/>
  <c r="AH165" i="2"/>
  <c r="AH536" i="2"/>
  <c r="AH472" i="2"/>
  <c r="AH408" i="2"/>
  <c r="AH344" i="2"/>
  <c r="AH280" i="2"/>
  <c r="AH216" i="2"/>
  <c r="AH152" i="2"/>
  <c r="AH306" i="2"/>
  <c r="AH515" i="2"/>
  <c r="AH451" i="2"/>
  <c r="AH387" i="2"/>
  <c r="AH323" i="2"/>
  <c r="AH259" i="2"/>
  <c r="AH195" i="2"/>
  <c r="AH158" i="2"/>
  <c r="AH194" i="2"/>
  <c r="AH502" i="2"/>
  <c r="AH438" i="2"/>
  <c r="AH374" i="2"/>
  <c r="AH310" i="2"/>
  <c r="AH246" i="2"/>
  <c r="AH182" i="2"/>
  <c r="AH498" i="2"/>
  <c r="AH553" i="2"/>
  <c r="AH489" i="2"/>
  <c r="AH425" i="2"/>
  <c r="AH361" i="2"/>
  <c r="AH297" i="2"/>
  <c r="AH233" i="2"/>
  <c r="AH169" i="2"/>
  <c r="AH242" i="2"/>
  <c r="AH508" i="2"/>
  <c r="AH444" i="2"/>
  <c r="AH380" i="2"/>
  <c r="AH316" i="2"/>
  <c r="AH252" i="2"/>
  <c r="AH188" i="2"/>
  <c r="AH543" i="2"/>
  <c r="AH479" i="2"/>
  <c r="AH415" i="2"/>
  <c r="AH351" i="2"/>
  <c r="AH287" i="2"/>
  <c r="AH223" i="2"/>
  <c r="AH159" i="2"/>
  <c r="AH362" i="2"/>
  <c r="AH146" i="2"/>
  <c r="AH54" i="2"/>
  <c r="AH22" i="2"/>
  <c r="AH12" i="2"/>
  <c r="AH67" i="2"/>
  <c r="AH43" i="2"/>
  <c r="AH5" i="2"/>
  <c r="AH123" i="2"/>
  <c r="AH27" i="2"/>
  <c r="AH72" i="2"/>
  <c r="AH80" i="2"/>
  <c r="AH73" i="2"/>
  <c r="AH32" i="2"/>
  <c r="AH69" i="2"/>
  <c r="AH132" i="2"/>
  <c r="AH93" i="2"/>
  <c r="AH14" i="2"/>
  <c r="AH62" i="2"/>
  <c r="AH124" i="2"/>
  <c r="AH19" i="2"/>
  <c r="AH164" i="2"/>
  <c r="AH257" i="2"/>
  <c r="AH276" i="2"/>
  <c r="AH247" i="2"/>
  <c r="AH20" i="2"/>
  <c r="AH134" i="2"/>
  <c r="AH501" i="2"/>
  <c r="AH488" i="2"/>
  <c r="AH531" i="2"/>
  <c r="AH450" i="2"/>
  <c r="AH514" i="2"/>
  <c r="AH249" i="2"/>
  <c r="AH204" i="2"/>
  <c r="AH175" i="2"/>
  <c r="AH113" i="2"/>
  <c r="AH55" i="2"/>
  <c r="AH127" i="2"/>
  <c r="AH117" i="2"/>
  <c r="AH541" i="2"/>
  <c r="AH477" i="2"/>
  <c r="AH413" i="2"/>
  <c r="AH349" i="2"/>
  <c r="AH285" i="2"/>
  <c r="AH221" i="2"/>
  <c r="AH157" i="2"/>
  <c r="AH528" i="2"/>
  <c r="AH464" i="2"/>
  <c r="AH400" i="2"/>
  <c r="AH336" i="2"/>
  <c r="AH272" i="2"/>
  <c r="AH208" i="2"/>
  <c r="AH144" i="2"/>
  <c r="AH282" i="2"/>
  <c r="AH507" i="2"/>
  <c r="AH443" i="2"/>
  <c r="AH379" i="2"/>
  <c r="AH315" i="2"/>
  <c r="AH251" i="2"/>
  <c r="AH187" i="2"/>
  <c r="AH142" i="2"/>
  <c r="AH186" i="2"/>
  <c r="AH494" i="2"/>
  <c r="AH430" i="2"/>
  <c r="AH366" i="2"/>
  <c r="AH302" i="2"/>
  <c r="AH238" i="2"/>
  <c r="AH174" i="2"/>
  <c r="AH370" i="2"/>
  <c r="AH545" i="2"/>
  <c r="AH481" i="2"/>
  <c r="AH417" i="2"/>
  <c r="AH353" i="2"/>
  <c r="AH289" i="2"/>
  <c r="AH225" i="2"/>
  <c r="AH161" i="2"/>
  <c r="AH202" i="2"/>
  <c r="AH500" i="2"/>
  <c r="AH436" i="2"/>
  <c r="AH372" i="2"/>
  <c r="AH308" i="2"/>
  <c r="AH244" i="2"/>
  <c r="AH180" i="2"/>
  <c r="AH535" i="2"/>
  <c r="AH471" i="2"/>
  <c r="AH407" i="2"/>
  <c r="AH343" i="2"/>
  <c r="AH279" i="2"/>
  <c r="AH215" i="2"/>
  <c r="AH151" i="2"/>
  <c r="AH354" i="2"/>
  <c r="AH558" i="2"/>
  <c r="AH49" i="2"/>
  <c r="AH111" i="2"/>
  <c r="AH81" i="2"/>
  <c r="AH37" i="2"/>
  <c r="AH104" i="2"/>
  <c r="AH8" i="2"/>
  <c r="AH71" i="2"/>
  <c r="AH44" i="2"/>
  <c r="AH133" i="2"/>
  <c r="AH85" i="2"/>
  <c r="AH59" i="2"/>
  <c r="AH39" i="2"/>
  <c r="AH116" i="2"/>
  <c r="AH21" i="2"/>
  <c r="AH58" i="2"/>
  <c r="AH7" i="2"/>
  <c r="AH25" i="2"/>
  <c r="AH89" i="2"/>
  <c r="AH526" i="2"/>
  <c r="AH385" i="2"/>
  <c r="AH404" i="2"/>
  <c r="AH311" i="2"/>
  <c r="AH110" i="2"/>
  <c r="AH4" i="2"/>
  <c r="AH74" i="2"/>
  <c r="AH181" i="2"/>
  <c r="AH232" i="2"/>
  <c r="AH211" i="2"/>
  <c r="AH262" i="2"/>
  <c r="AH377" i="2"/>
  <c r="AH396" i="2"/>
  <c r="AH431" i="2"/>
  <c r="AH170" i="2"/>
  <c r="AH46" i="2"/>
  <c r="AH10" i="2"/>
  <c r="AH98" i="2"/>
  <c r="AH108" i="2"/>
  <c r="AH533" i="2"/>
  <c r="AH469" i="2"/>
  <c r="AH405" i="2"/>
  <c r="AH341" i="2"/>
  <c r="AH277" i="2"/>
  <c r="AH213" i="2"/>
  <c r="AH149" i="2"/>
  <c r="AH520" i="2"/>
  <c r="AH456" i="2"/>
  <c r="AH392" i="2"/>
  <c r="AH328" i="2"/>
  <c r="AH264" i="2"/>
  <c r="AH200" i="2"/>
  <c r="AH482" i="2"/>
  <c r="AH274" i="2"/>
  <c r="AH499" i="2"/>
  <c r="AH435" i="2"/>
  <c r="AH371" i="2"/>
  <c r="AH307" i="2"/>
  <c r="AH243" i="2"/>
  <c r="AH179" i="2"/>
  <c r="AH156" i="2"/>
  <c r="AH550" i="2"/>
  <c r="AH486" i="2"/>
  <c r="AH422" i="2"/>
  <c r="AH358" i="2"/>
  <c r="AH294" i="2"/>
  <c r="AH230" i="2"/>
  <c r="AH166" i="2"/>
  <c r="AH314" i="2"/>
  <c r="AH537" i="2"/>
  <c r="AH473" i="2"/>
  <c r="AH409" i="2"/>
  <c r="AH345" i="2"/>
  <c r="AH281" i="2"/>
  <c r="AH217" i="2"/>
  <c r="AH145" i="2"/>
  <c r="AH556" i="2"/>
  <c r="AH492" i="2"/>
  <c r="AH428" i="2"/>
  <c r="AH364" i="2"/>
  <c r="AH300" i="2"/>
  <c r="AH236" i="2"/>
  <c r="AH172" i="2"/>
  <c r="AH527" i="2"/>
  <c r="AH463" i="2"/>
  <c r="AH399" i="2"/>
  <c r="AH335" i="2"/>
  <c r="AH271" i="2"/>
  <c r="AH207" i="2"/>
  <c r="AH143" i="2"/>
  <c r="AH330" i="2"/>
  <c r="AH554" i="2"/>
  <c r="AH6" i="2"/>
  <c r="AH120" i="2"/>
  <c r="AH112" i="2"/>
  <c r="AH95" i="2"/>
  <c r="AH41" i="2"/>
  <c r="AH31" i="2"/>
  <c r="AH398" i="2"/>
  <c r="AH513" i="2"/>
  <c r="AH468" i="2"/>
  <c r="AH503" i="2"/>
  <c r="AH178" i="2"/>
  <c r="AH76" i="2"/>
  <c r="AH88" i="2"/>
  <c r="AH373" i="2"/>
  <c r="AH360" i="2"/>
  <c r="AH339" i="2"/>
  <c r="AH454" i="2"/>
  <c r="AH505" i="2"/>
  <c r="AH524" i="2"/>
  <c r="AH495" i="2"/>
  <c r="AH418" i="2"/>
  <c r="AH96" i="2"/>
  <c r="AH11" i="2"/>
  <c r="AH122" i="2"/>
  <c r="AH33" i="2"/>
  <c r="AH525" i="2"/>
  <c r="AH461" i="2"/>
  <c r="AH397" i="2"/>
  <c r="AH333" i="2"/>
  <c r="AH269" i="2"/>
  <c r="AH205" i="2"/>
  <c r="AH141" i="2"/>
  <c r="AH512" i="2"/>
  <c r="AH448" i="2"/>
  <c r="AH384" i="2"/>
  <c r="AH320" i="2"/>
  <c r="AH256" i="2"/>
  <c r="AH192" i="2"/>
  <c r="AH466" i="2"/>
  <c r="AH555" i="2"/>
  <c r="AH491" i="2"/>
  <c r="AH427" i="2"/>
  <c r="AH363" i="2"/>
  <c r="AH299" i="2"/>
  <c r="AH235" i="2"/>
  <c r="AH171" i="2"/>
  <c r="AH546" i="2"/>
  <c r="AH542" i="2"/>
  <c r="AH478" i="2"/>
  <c r="AH414" i="2"/>
  <c r="AH350" i="2"/>
  <c r="AH286" i="2"/>
  <c r="AH222" i="2"/>
  <c r="AH150" i="2"/>
  <c r="AH298" i="2"/>
  <c r="AH529" i="2"/>
  <c r="AH465" i="2"/>
  <c r="AH401" i="2"/>
  <c r="AH337" i="2"/>
  <c r="AH273" i="2"/>
  <c r="AH209" i="2"/>
  <c r="AH148" i="2"/>
  <c r="AH548" i="2"/>
  <c r="AH484" i="2"/>
  <c r="AH420" i="2"/>
  <c r="AH356" i="2"/>
  <c r="AH292" i="2"/>
  <c r="AH228" i="2"/>
  <c r="AH140" i="2"/>
  <c r="AH519" i="2"/>
  <c r="AH455" i="2"/>
  <c r="AH391" i="2"/>
  <c r="AH327" i="2"/>
  <c r="AH263" i="2"/>
  <c r="AH199" i="2"/>
  <c r="AH538" i="2"/>
  <c r="AH322" i="2"/>
  <c r="AH138" i="2"/>
  <c r="AH75" i="2"/>
  <c r="AH26" i="2"/>
  <c r="AH131" i="2"/>
  <c r="AH34" i="2"/>
  <c r="AH115" i="2"/>
  <c r="AH9" i="2"/>
  <c r="AH52" i="2"/>
  <c r="AH136" i="2"/>
  <c r="AH17" i="2"/>
  <c r="AH29" i="2"/>
  <c r="AH130" i="2"/>
  <c r="AH3" i="2"/>
  <c r="AH109" i="2"/>
  <c r="AH66" i="2"/>
  <c r="AH334" i="2"/>
  <c r="AH434" i="2"/>
  <c r="AH439" i="2"/>
  <c r="AH15" i="2"/>
  <c r="AH45" i="2"/>
  <c r="AH552" i="2"/>
  <c r="AH467" i="2"/>
  <c r="AH390" i="2"/>
  <c r="AH313" i="2"/>
  <c r="AH258" i="2"/>
  <c r="AH90" i="2"/>
  <c r="AH16" i="2"/>
  <c r="AH114" i="2"/>
  <c r="AH517" i="2"/>
  <c r="AH453" i="2"/>
  <c r="AH389" i="2"/>
  <c r="AH325" i="2"/>
  <c r="AH261" i="2"/>
  <c r="AH197" i="2"/>
  <c r="AH378" i="2"/>
  <c r="AH504" i="2"/>
  <c r="AH440" i="2"/>
  <c r="AH376" i="2"/>
  <c r="AH312" i="2"/>
  <c r="AH248" i="2"/>
  <c r="AH184" i="2"/>
  <c r="AH442" i="2"/>
  <c r="AH547" i="2"/>
  <c r="AH483" i="2"/>
  <c r="AH419" i="2"/>
  <c r="AH355" i="2"/>
  <c r="AH291" i="2"/>
  <c r="AH227" i="2"/>
  <c r="AH163" i="2"/>
  <c r="AH522" i="2"/>
  <c r="AH534" i="2"/>
  <c r="AH470" i="2"/>
  <c r="AH406" i="2"/>
  <c r="AH342" i="2"/>
  <c r="AH278" i="2"/>
  <c r="AH214" i="2"/>
  <c r="AH153" i="2"/>
  <c r="AH226" i="2"/>
  <c r="AH521" i="2"/>
  <c r="AH457" i="2"/>
  <c r="AH393" i="2"/>
  <c r="AH329" i="2"/>
  <c r="AH265" i="2"/>
  <c r="AH201" i="2"/>
  <c r="AH474" i="2"/>
  <c r="AH540" i="2"/>
  <c r="AH476" i="2"/>
  <c r="AH412" i="2"/>
  <c r="AH348" i="2"/>
  <c r="AH284" i="2"/>
  <c r="AH220" i="2"/>
  <c r="AH490" i="2"/>
  <c r="AH511" i="2"/>
  <c r="AH447" i="2"/>
  <c r="AH383" i="2"/>
  <c r="AH319" i="2"/>
  <c r="AH255" i="2"/>
  <c r="AH191" i="2"/>
  <c r="AH530" i="2"/>
  <c r="AH234" i="2"/>
  <c r="AH118" i="2"/>
  <c r="AH51" i="2"/>
  <c r="AH101" i="2"/>
  <c r="AH126" i="2"/>
  <c r="AH94" i="2"/>
  <c r="AH40" i="2"/>
  <c r="AH24" i="2"/>
  <c r="AH100" i="2"/>
  <c r="AH56" i="2"/>
  <c r="AH99" i="2"/>
  <c r="AH23" i="2"/>
  <c r="AH63" i="2"/>
  <c r="AH137" i="2"/>
  <c r="AH87" i="2"/>
  <c r="AH84" i="2"/>
  <c r="AH107" i="2"/>
  <c r="AH347" i="2"/>
  <c r="AH458" i="2"/>
  <c r="AH206" i="2"/>
  <c r="AH449" i="2"/>
  <c r="AH532" i="2"/>
  <c r="AH402" i="2"/>
  <c r="AH426" i="2"/>
  <c r="AH83" i="2"/>
  <c r="AH30" i="2"/>
  <c r="AH309" i="2"/>
  <c r="AH424" i="2"/>
  <c r="AH346" i="2"/>
  <c r="AH147" i="2"/>
  <c r="AH198" i="2"/>
  <c r="AH394" i="2"/>
  <c r="AH268" i="2"/>
  <c r="AH239" i="2"/>
  <c r="AH97" i="2"/>
  <c r="AH64" i="2"/>
  <c r="AH57" i="2"/>
  <c r="AH125" i="2"/>
  <c r="AH509" i="2"/>
  <c r="AH445" i="2"/>
  <c r="AH381" i="2"/>
  <c r="AH317" i="2"/>
  <c r="AH253" i="2"/>
  <c r="AH189" i="2"/>
  <c r="AH250" i="2"/>
  <c r="AH496" i="2"/>
  <c r="AH432" i="2"/>
  <c r="AH368" i="2"/>
  <c r="AH304" i="2"/>
  <c r="AH240" i="2"/>
  <c r="AH176" i="2"/>
  <c r="AH410" i="2"/>
  <c r="AH539" i="2"/>
  <c r="AH475" i="2"/>
  <c r="AH411" i="2"/>
  <c r="AH283" i="2"/>
  <c r="AH219" i="2"/>
  <c r="AH155" i="2"/>
  <c r="AH270" i="2"/>
  <c r="AH218" i="2"/>
  <c r="AH193" i="2"/>
  <c r="AH212" i="2"/>
  <c r="AH183" i="2"/>
  <c r="AH105" i="2"/>
  <c r="AH92" i="2"/>
  <c r="AH437" i="2"/>
  <c r="AH296" i="2"/>
  <c r="AH403" i="2"/>
  <c r="AH518" i="2"/>
  <c r="AH210" i="2"/>
  <c r="AH185" i="2"/>
  <c r="AH332" i="2"/>
  <c r="AH303" i="2"/>
  <c r="AH128" i="2"/>
  <c r="AH70" i="2"/>
  <c r="AH129" i="2"/>
  <c r="AH65" i="2"/>
</calcChain>
</file>

<file path=xl/sharedStrings.xml><?xml version="1.0" encoding="utf-8"?>
<sst xmlns="http://schemas.openxmlformats.org/spreadsheetml/2006/main" count="13294" uniqueCount="1349">
  <si>
    <t>Strategy Phase</t>
  </si>
  <si>
    <t>Type</t>
  </si>
  <si>
    <t>Campaign Category</t>
  </si>
  <si>
    <t>Date</t>
  </si>
  <si>
    <t>Model Variant</t>
  </si>
  <si>
    <t>Campaign Name</t>
  </si>
  <si>
    <t>Name</t>
  </si>
  <si>
    <t>Country</t>
  </si>
  <si>
    <t>Media Channel</t>
  </si>
  <si>
    <t>AE</t>
  </si>
  <si>
    <t>UAE</t>
  </si>
  <si>
    <t>AAF</t>
  </si>
  <si>
    <t>AFF</t>
  </si>
  <si>
    <t>Affiliate</t>
  </si>
  <si>
    <t>COMPR</t>
  </si>
  <si>
    <t>DL</t>
  </si>
  <si>
    <t>Dealer</t>
  </si>
  <si>
    <t>AS</t>
  </si>
  <si>
    <t>2018Q1FEB</t>
  </si>
  <si>
    <t>AFS</t>
  </si>
  <si>
    <t>AR</t>
  </si>
  <si>
    <t>Argentina</t>
  </si>
  <si>
    <t>IMC</t>
  </si>
  <si>
    <t>DSY</t>
  </si>
  <si>
    <t>Display</t>
  </si>
  <si>
    <t>LANCH</t>
  </si>
  <si>
    <t>Launch</t>
  </si>
  <si>
    <t>ND</t>
  </si>
  <si>
    <t>Non-Dealer</t>
  </si>
  <si>
    <t>2018Q1JAN</t>
  </si>
  <si>
    <t>ALS</t>
  </si>
  <si>
    <t>Atlas</t>
  </si>
  <si>
    <t>AU</t>
  </si>
  <si>
    <t>Australia</t>
  </si>
  <si>
    <t>TAT</t>
  </si>
  <si>
    <t>SEA</t>
  </si>
  <si>
    <t>Search</t>
  </si>
  <si>
    <t>MODNN</t>
  </si>
  <si>
    <t>NC</t>
  </si>
  <si>
    <t>2018Q1MAR</t>
  </si>
  <si>
    <t>ALT</t>
  </si>
  <si>
    <t>Alltrack</t>
  </si>
  <si>
    <t>BE</t>
  </si>
  <si>
    <t>Belgium</t>
  </si>
  <si>
    <t>SOC</t>
  </si>
  <si>
    <t>Social</t>
  </si>
  <si>
    <t>MTRSW</t>
  </si>
  <si>
    <t>UC</t>
  </si>
  <si>
    <t>2018Q2APR</t>
  </si>
  <si>
    <t>AMK</t>
  </si>
  <si>
    <t>Amarok</t>
  </si>
  <si>
    <t>BR</t>
  </si>
  <si>
    <t>Brazil</t>
  </si>
  <si>
    <t>VID</t>
  </si>
  <si>
    <t>Video</t>
  </si>
  <si>
    <t>NONMS</t>
  </si>
  <si>
    <t>2018Q2JUN</t>
  </si>
  <si>
    <t>AMO</t>
  </si>
  <si>
    <t>Ameo</t>
  </si>
  <si>
    <t>CA</t>
  </si>
  <si>
    <t>Canada</t>
  </si>
  <si>
    <t>PRESA</t>
  </si>
  <si>
    <t>Pre-Sales</t>
  </si>
  <si>
    <t>2018Q2MAY</t>
  </si>
  <si>
    <t>AMV</t>
  </si>
  <si>
    <t>CH</t>
  </si>
  <si>
    <t>Switzerland</t>
  </si>
  <si>
    <t>RUNOT</t>
  </si>
  <si>
    <t>2018Q3AUG</t>
  </si>
  <si>
    <t>ATN</t>
  </si>
  <si>
    <t>Arteon</t>
  </si>
  <si>
    <t>CN</t>
  </si>
  <si>
    <t>China</t>
  </si>
  <si>
    <t>SUSTN</t>
  </si>
  <si>
    <t>Sustain</t>
  </si>
  <si>
    <t>2018Q3JUL</t>
  </si>
  <si>
    <t>BEE</t>
  </si>
  <si>
    <t>Beetle</t>
  </si>
  <si>
    <t>DE</t>
  </si>
  <si>
    <t>Germany</t>
  </si>
  <si>
    <t>2018Q3SEP</t>
  </si>
  <si>
    <t>BRO</t>
  </si>
  <si>
    <t>DK</t>
  </si>
  <si>
    <t>Denmark</t>
  </si>
  <si>
    <t>2018Q4DEC</t>
  </si>
  <si>
    <t>BSE</t>
  </si>
  <si>
    <t>B7</t>
  </si>
  <si>
    <t>ES</t>
  </si>
  <si>
    <t>Spain</t>
  </si>
  <si>
    <t>2018Q4NOV</t>
  </si>
  <si>
    <t>BTS</t>
  </si>
  <si>
    <t>Beats</t>
  </si>
  <si>
    <t>FR</t>
  </si>
  <si>
    <t>France</t>
  </si>
  <si>
    <t>2018Q4OCT</t>
  </si>
  <si>
    <t>CAB</t>
  </si>
  <si>
    <t>Cabriolet</t>
  </si>
  <si>
    <t>GB</t>
  </si>
  <si>
    <t>2019Q1FEB</t>
  </si>
  <si>
    <t>CAL</t>
  </si>
  <si>
    <t>California</t>
  </si>
  <si>
    <t>HK</t>
  </si>
  <si>
    <t>2019Q1JAN</t>
  </si>
  <si>
    <t>CAR</t>
  </si>
  <si>
    <t>Caravelle</t>
  </si>
  <si>
    <t>IE</t>
  </si>
  <si>
    <t>Ireland</t>
  </si>
  <si>
    <t>2019Q1MAR</t>
  </si>
  <si>
    <t>CCC</t>
  </si>
  <si>
    <t>CC</t>
  </si>
  <si>
    <t>IN</t>
  </si>
  <si>
    <t>India</t>
  </si>
  <si>
    <t>2019Q2APR</t>
  </si>
  <si>
    <t>CCL</t>
  </si>
  <si>
    <t>IT</t>
  </si>
  <si>
    <t>Italy</t>
  </si>
  <si>
    <t>2019Q2JUN</t>
  </si>
  <si>
    <t>CDV</t>
  </si>
  <si>
    <t>JP</t>
  </si>
  <si>
    <t>Japan</t>
  </si>
  <si>
    <t>2019Q2MAY</t>
  </si>
  <si>
    <t>CDY</t>
  </si>
  <si>
    <t>Caddy</t>
  </si>
  <si>
    <t>KR</t>
  </si>
  <si>
    <t>Korea</t>
  </si>
  <si>
    <t>2019Q3AUG</t>
  </si>
  <si>
    <t>CPO</t>
  </si>
  <si>
    <t>MX</t>
  </si>
  <si>
    <t>Mexico</t>
  </si>
  <si>
    <t>2019Q3JUL</t>
  </si>
  <si>
    <t>CRA</t>
  </si>
  <si>
    <t>Crafter</t>
  </si>
  <si>
    <t>MY</t>
  </si>
  <si>
    <t>Malaysia</t>
  </si>
  <si>
    <t>2019Q3SEP</t>
  </si>
  <si>
    <t>CUP</t>
  </si>
  <si>
    <t>NL</t>
  </si>
  <si>
    <t>Netherlands</t>
  </si>
  <si>
    <t>2019Q4DEC</t>
  </si>
  <si>
    <t>DAD</t>
  </si>
  <si>
    <t>NO</t>
  </si>
  <si>
    <t>Norway</t>
  </si>
  <si>
    <t>2019Q4NOV</t>
  </si>
  <si>
    <t>DMA</t>
  </si>
  <si>
    <t>PL</t>
  </si>
  <si>
    <t>Poland</t>
  </si>
  <si>
    <t>2019Q4OCT</t>
  </si>
  <si>
    <t>DSA</t>
  </si>
  <si>
    <t>PT</t>
  </si>
  <si>
    <t>Portugal</t>
  </si>
  <si>
    <t>DWA</t>
  </si>
  <si>
    <t>RU</t>
  </si>
  <si>
    <t>Russia</t>
  </si>
  <si>
    <t>EDT</t>
  </si>
  <si>
    <t>Edition</t>
  </si>
  <si>
    <t>SE</t>
  </si>
  <si>
    <t>Sweden</t>
  </si>
  <si>
    <t>EGF</t>
  </si>
  <si>
    <t>E-Golf</t>
  </si>
  <si>
    <t>SG</t>
  </si>
  <si>
    <t>Singapore</t>
  </si>
  <si>
    <t>EUP</t>
  </si>
  <si>
    <t>E-Up!</t>
  </si>
  <si>
    <t>SK</t>
  </si>
  <si>
    <t>Slovakia</t>
  </si>
  <si>
    <t>EVS</t>
  </si>
  <si>
    <t>TW</t>
  </si>
  <si>
    <t>Taiwan</t>
  </si>
  <si>
    <t>FLT</t>
  </si>
  <si>
    <t>Fleet</t>
  </si>
  <si>
    <t>US</t>
  </si>
  <si>
    <t>FOX</t>
  </si>
  <si>
    <t>Fox</t>
  </si>
  <si>
    <t>ZA</t>
  </si>
  <si>
    <t>GLA</t>
  </si>
  <si>
    <t>GLF</t>
  </si>
  <si>
    <t>Golf</t>
  </si>
  <si>
    <t>GLG</t>
  </si>
  <si>
    <t>GLR</t>
  </si>
  <si>
    <t>GLW</t>
  </si>
  <si>
    <t>GOL</t>
  </si>
  <si>
    <t>Gol</t>
  </si>
  <si>
    <t>GTE</t>
  </si>
  <si>
    <t>GTI</t>
  </si>
  <si>
    <t>HCD</t>
  </si>
  <si>
    <t>HYB</t>
  </si>
  <si>
    <t>Hybrid</t>
  </si>
  <si>
    <t>IDC</t>
  </si>
  <si>
    <t>IDI</t>
  </si>
  <si>
    <t>ID</t>
  </si>
  <si>
    <t>IMG</t>
  </si>
  <si>
    <t>Image</t>
  </si>
  <si>
    <t>INC</t>
  </si>
  <si>
    <t>IST</t>
  </si>
  <si>
    <t>Institutional</t>
  </si>
  <si>
    <t>JET</t>
  </si>
  <si>
    <t>Jetta</t>
  </si>
  <si>
    <t>LAV</t>
  </si>
  <si>
    <t>Lavida</t>
  </si>
  <si>
    <t>MLV</t>
  </si>
  <si>
    <t>Multivan</t>
  </si>
  <si>
    <t>NMC</t>
  </si>
  <si>
    <t>OTH</t>
  </si>
  <si>
    <t>Other</t>
  </si>
  <si>
    <t>PAS</t>
  </si>
  <si>
    <t>PFM</t>
  </si>
  <si>
    <t>Performance</t>
  </si>
  <si>
    <t>PHT</t>
  </si>
  <si>
    <t>Phaeton</t>
  </si>
  <si>
    <t>POG</t>
  </si>
  <si>
    <t>POL</t>
  </si>
  <si>
    <t>Polo</t>
  </si>
  <si>
    <t>PRR</t>
  </si>
  <si>
    <t>PR</t>
  </si>
  <si>
    <t>PSA</t>
  </si>
  <si>
    <t>PST</t>
  </si>
  <si>
    <t>Passat</t>
  </si>
  <si>
    <t>PSW</t>
  </si>
  <si>
    <t>RBT</t>
  </si>
  <si>
    <t>RNG</t>
  </si>
  <si>
    <t>Range</t>
  </si>
  <si>
    <t>RRR</t>
  </si>
  <si>
    <t>R</t>
  </si>
  <si>
    <t>SAV</t>
  </si>
  <si>
    <t>Saveiro</t>
  </si>
  <si>
    <t>SBC</t>
  </si>
  <si>
    <t>SBUC</t>
  </si>
  <si>
    <t>SBE</t>
  </si>
  <si>
    <t>SBUE</t>
  </si>
  <si>
    <t>SBN</t>
  </si>
  <si>
    <t>SBUN</t>
  </si>
  <si>
    <t>SBS</t>
  </si>
  <si>
    <t>SBUS</t>
  </si>
  <si>
    <t>SBW</t>
  </si>
  <si>
    <t>SBUW</t>
  </si>
  <si>
    <t>SCR</t>
  </si>
  <si>
    <t>Scirocco</t>
  </si>
  <si>
    <t>SED</t>
  </si>
  <si>
    <t>Sedan</t>
  </si>
  <si>
    <t>SEV</t>
  </si>
  <si>
    <t>SHR</t>
  </si>
  <si>
    <t>Sharan</t>
  </si>
  <si>
    <t>SNT</t>
  </si>
  <si>
    <t>Santana</t>
  </si>
  <si>
    <t>SUR</t>
  </si>
  <si>
    <t>Suran</t>
  </si>
  <si>
    <t>SVC</t>
  </si>
  <si>
    <t>Service</t>
  </si>
  <si>
    <t>SWG</t>
  </si>
  <si>
    <t>Sportwagen</t>
  </si>
  <si>
    <t>TCC</t>
  </si>
  <si>
    <t>TCR</t>
  </si>
  <si>
    <t>T-Cross</t>
  </si>
  <si>
    <t>TER</t>
  </si>
  <si>
    <t>Teramont</t>
  </si>
  <si>
    <t>THB</t>
  </si>
  <si>
    <t>TIG</t>
  </si>
  <si>
    <t>Tiguan</t>
  </si>
  <si>
    <t>TRC</t>
  </si>
  <si>
    <t>T-Roc</t>
  </si>
  <si>
    <t>TRG</t>
  </si>
  <si>
    <t>Touareg</t>
  </si>
  <si>
    <t>TRN</t>
  </si>
  <si>
    <t>Touran</t>
  </si>
  <si>
    <t>TSP</t>
  </si>
  <si>
    <t>Transporter</t>
  </si>
  <si>
    <t>UPP</t>
  </si>
  <si>
    <t>Up!</t>
  </si>
  <si>
    <t>VAR</t>
  </si>
  <si>
    <t>Variant</t>
  </si>
  <si>
    <t>VIV</t>
  </si>
  <si>
    <t>Vivo</t>
  </si>
  <si>
    <t>VNT</t>
  </si>
  <si>
    <t>Vento</t>
  </si>
  <si>
    <t>VOY</t>
  </si>
  <si>
    <t>Voyage</t>
  </si>
  <si>
    <t>VWB</t>
  </si>
  <si>
    <t>WRC</t>
  </si>
  <si>
    <t>*Ação</t>
  </si>
  <si>
    <t>Status AdOps</t>
  </si>
  <si>
    <t>Status Midia</t>
  </si>
  <si>
    <t>*Data_Inicial</t>
  </si>
  <si>
    <t>*Data_Final</t>
  </si>
  <si>
    <t>*Servido Por</t>
  </si>
  <si>
    <t>Veiculo</t>
  </si>
  <si>
    <t>Canal</t>
  </si>
  <si>
    <t>Tipo Midia</t>
  </si>
  <si>
    <t>Buying Type</t>
  </si>
  <si>
    <t>Buying Metric</t>
  </si>
  <si>
    <t>Tracking Type</t>
  </si>
  <si>
    <t>Unit Name</t>
  </si>
  <si>
    <t>Device</t>
  </si>
  <si>
    <t>Paid vs AV</t>
  </si>
  <si>
    <t>Size</t>
  </si>
  <si>
    <t>tipo de peça</t>
  </si>
  <si>
    <t>Categoria de Peça</t>
  </si>
  <si>
    <t>ID Pacote</t>
  </si>
  <si>
    <t>Nome Pacote</t>
  </si>
  <si>
    <t>*Impressões/cliques_Período</t>
  </si>
  <si>
    <t>*Cliques_Período</t>
  </si>
  <si>
    <t>Custo_Unitário_Liquido</t>
  </si>
  <si>
    <t>*Valor_Negociado_Total</t>
  </si>
  <si>
    <t>utm_source</t>
  </si>
  <si>
    <t>utm_medium</t>
  </si>
  <si>
    <t>utm_campaign</t>
  </si>
  <si>
    <t>utm_content</t>
  </si>
  <si>
    <t>keyword</t>
  </si>
  <si>
    <t>Brand</t>
  </si>
  <si>
    <t>Model</t>
  </si>
  <si>
    <t>VW</t>
  </si>
  <si>
    <t>Volkswagen</t>
  </si>
  <si>
    <t>CPA</t>
  </si>
  <si>
    <t>DRCT</t>
  </si>
  <si>
    <t>Direct</t>
  </si>
  <si>
    <t>ALL</t>
  </si>
  <si>
    <t>All</t>
  </si>
  <si>
    <t>CXD</t>
  </si>
  <si>
    <t>AV</t>
  </si>
  <si>
    <t>HTO</t>
  </si>
  <si>
    <t>DGA</t>
  </si>
  <si>
    <t>1X1</t>
  </si>
  <si>
    <t>LDR</t>
  </si>
  <si>
    <t>Leaderboard</t>
  </si>
  <si>
    <t>CPC</t>
  </si>
  <si>
    <t>PROG</t>
  </si>
  <si>
    <t>Programmatic</t>
  </si>
  <si>
    <t>BRD</t>
  </si>
  <si>
    <t>DSK</t>
  </si>
  <si>
    <t>Desktop</t>
  </si>
  <si>
    <t>DC</t>
  </si>
  <si>
    <t>OTR</t>
  </si>
  <si>
    <t>DIS</t>
  </si>
  <si>
    <t>CAI</t>
  </si>
  <si>
    <t>MBR</t>
  </si>
  <si>
    <t>CPM</t>
  </si>
  <si>
    <t>TCT</t>
  </si>
  <si>
    <t>Tactical</t>
  </si>
  <si>
    <t>MOB</t>
  </si>
  <si>
    <t>Mobile</t>
  </si>
  <si>
    <t>MG</t>
  </si>
  <si>
    <t>RON</t>
  </si>
  <si>
    <t>CLK</t>
  </si>
  <si>
    <t>Click</t>
  </si>
  <si>
    <t>MMP</t>
  </si>
  <si>
    <t>CPV</t>
  </si>
  <si>
    <t>TAB</t>
  </si>
  <si>
    <t>Tablet</t>
  </si>
  <si>
    <t>PD</t>
  </si>
  <si>
    <t>Paid</t>
  </si>
  <si>
    <t>ROS</t>
  </si>
  <si>
    <t>IMP</t>
  </si>
  <si>
    <t>Impression</t>
  </si>
  <si>
    <t>MPU</t>
  </si>
  <si>
    <t>MXD</t>
  </si>
  <si>
    <t>Mixed</t>
  </si>
  <si>
    <t>SPR</t>
  </si>
  <si>
    <t>Sponsorship</t>
  </si>
  <si>
    <t>STD</t>
  </si>
  <si>
    <t>Standard</t>
  </si>
  <si>
    <t>SKY</t>
  </si>
  <si>
    <t>Skyscraper</t>
  </si>
  <si>
    <t>iVideo</t>
  </si>
  <si>
    <t>TPE</t>
  </si>
  <si>
    <t>SRB</t>
  </si>
  <si>
    <t>EGL</t>
  </si>
  <si>
    <t>Plannig Principle</t>
  </si>
  <si>
    <t>Placement Name</t>
  </si>
  <si>
    <t>Site</t>
  </si>
  <si>
    <t>4x4-brasil</t>
  </si>
  <si>
    <t>agrishow</t>
  </si>
  <si>
    <t>aol</t>
  </si>
  <si>
    <t>aol-dbm</t>
  </si>
  <si>
    <t>auto-esporte</t>
  </si>
  <si>
    <t>auto-informe</t>
  </si>
  <si>
    <t>autopapo</t>
  </si>
  <si>
    <t>autopista</t>
  </si>
  <si>
    <t>buzzfeed</t>
  </si>
  <si>
    <t>campinas.com.br</t>
  </si>
  <si>
    <t>canaltech-auto</t>
  </si>
  <si>
    <t>cazamba</t>
  </si>
  <si>
    <t>cinemad</t>
  </si>
  <si>
    <t>cm</t>
  </si>
  <si>
    <t>comprecar</t>
  </si>
  <si>
    <t>decolar</t>
  </si>
  <si>
    <t>epoca</t>
  </si>
  <si>
    <t>estadao</t>
  </si>
  <si>
    <t>facebook</t>
  </si>
  <si>
    <t>faceinsta</t>
  </si>
  <si>
    <t>fullpower</t>
  </si>
  <si>
    <t>gdn</t>
  </si>
  <si>
    <t>gdn-youtube</t>
  </si>
  <si>
    <t>globo</t>
  </si>
  <si>
    <t>globo-dbm</t>
  </si>
  <si>
    <t>google</t>
  </si>
  <si>
    <t>hands</t>
  </si>
  <si>
    <t>huffpost</t>
  </si>
  <si>
    <t>icarros</t>
  </si>
  <si>
    <t>inloco</t>
  </si>
  <si>
    <t>instagram</t>
  </si>
  <si>
    <t>istoe-dbm</t>
  </si>
  <si>
    <t>linkedin</t>
  </si>
  <si>
    <t>logan</t>
  </si>
  <si>
    <t>msn</t>
  </si>
  <si>
    <t>oath</t>
  </si>
  <si>
    <t>olx</t>
  </si>
  <si>
    <t>opera</t>
  </si>
  <si>
    <t>outlook</t>
  </si>
  <si>
    <t>planeta-offroad</t>
  </si>
  <si>
    <t>psafe</t>
  </si>
  <si>
    <t>r7</t>
  </si>
  <si>
    <t>sindloc</t>
  </si>
  <si>
    <t>spotify</t>
  </si>
  <si>
    <t>teads</t>
  </si>
  <si>
    <t>terra</t>
  </si>
  <si>
    <t>tvxtender</t>
  </si>
  <si>
    <t>twitter</t>
  </si>
  <si>
    <t>uol</t>
  </si>
  <si>
    <t>veja-exame</t>
  </si>
  <si>
    <t>waze</t>
  </si>
  <si>
    <t>webmotors</t>
  </si>
  <si>
    <t>wetransfer</t>
  </si>
  <si>
    <t>yahoo</t>
  </si>
  <si>
    <t>youtube</t>
  </si>
  <si>
    <t>1000x100</t>
  </si>
  <si>
    <t>video</t>
  </si>
  <si>
    <t>1000x250</t>
  </si>
  <si>
    <t>1000x300</t>
  </si>
  <si>
    <t>1000x600</t>
  </si>
  <si>
    <t>100x100</t>
  </si>
  <si>
    <t>100x13</t>
  </si>
  <si>
    <t>1024x768</t>
  </si>
  <si>
    <t>1050x250</t>
  </si>
  <si>
    <t>1080x1080</t>
  </si>
  <si>
    <t>1100x140</t>
  </si>
  <si>
    <t>1100x600</t>
  </si>
  <si>
    <t>1122x215</t>
  </si>
  <si>
    <t>1160x300</t>
  </si>
  <si>
    <t>1190x330</t>
  </si>
  <si>
    <t>1200x627</t>
  </si>
  <si>
    <t>1200x628</t>
  </si>
  <si>
    <t>1200x675</t>
  </si>
  <si>
    <t>1200x800</t>
  </si>
  <si>
    <t>120x120</t>
  </si>
  <si>
    <t>120x225</t>
  </si>
  <si>
    <t>120x240</t>
  </si>
  <si>
    <t>120x245</t>
  </si>
  <si>
    <t>120x60</t>
  </si>
  <si>
    <t>120x600</t>
  </si>
  <si>
    <t>120x90</t>
  </si>
  <si>
    <t>1280x752</t>
  </si>
  <si>
    <t>130x186</t>
  </si>
  <si>
    <t>135x102</t>
  </si>
  <si>
    <t>150x150</t>
  </si>
  <si>
    <t>152x112</t>
  </si>
  <si>
    <t>160x150</t>
  </si>
  <si>
    <t>160x185</t>
  </si>
  <si>
    <t>160x300</t>
  </si>
  <si>
    <t>160x600</t>
  </si>
  <si>
    <t>180x150</t>
  </si>
  <si>
    <t>1x1</t>
  </si>
  <si>
    <t>200x120</t>
  </si>
  <si>
    <t>200x200</t>
  </si>
  <si>
    <t>230x350</t>
  </si>
  <si>
    <t>234x60</t>
  </si>
  <si>
    <t>240x240</t>
  </si>
  <si>
    <t>240x400</t>
  </si>
  <si>
    <t>240x600</t>
  </si>
  <si>
    <t>250x250</t>
  </si>
  <si>
    <t>250x360</t>
  </si>
  <si>
    <t>250x600</t>
  </si>
  <si>
    <t>260x260</t>
  </si>
  <si>
    <t>278x95</t>
  </si>
  <si>
    <t>280x80</t>
  </si>
  <si>
    <t>300x100</t>
  </si>
  <si>
    <t>300x1000</t>
  </si>
  <si>
    <t>300x1050</t>
  </si>
  <si>
    <t>300x130</t>
  </si>
  <si>
    <t>300x150</t>
  </si>
  <si>
    <t>300x250</t>
  </si>
  <si>
    <t>300x300</t>
  </si>
  <si>
    <t>300x395</t>
  </si>
  <si>
    <t>300x400</t>
  </si>
  <si>
    <t>300x443</t>
  </si>
  <si>
    <t>300x460</t>
  </si>
  <si>
    <t>300x50</t>
  </si>
  <si>
    <t>300x520</t>
  </si>
  <si>
    <t>300x60</t>
  </si>
  <si>
    <t>300x600</t>
  </si>
  <si>
    <t>300x75</t>
  </si>
  <si>
    <t>300x800</t>
  </si>
  <si>
    <t>300x815</t>
  </si>
  <si>
    <t>300x90</t>
  </si>
  <si>
    <t>300x926</t>
  </si>
  <si>
    <t>320x100</t>
  </si>
  <si>
    <t>320x160</t>
  </si>
  <si>
    <t>320x165</t>
  </si>
  <si>
    <t>320x176</t>
  </si>
  <si>
    <t>320x250</t>
  </si>
  <si>
    <t>320x260</t>
  </si>
  <si>
    <t>320x265</t>
  </si>
  <si>
    <t>320x320</t>
  </si>
  <si>
    <t>320x480</t>
  </si>
  <si>
    <t>320x50</t>
  </si>
  <si>
    <t>320x568</t>
  </si>
  <si>
    <t>320x600</t>
  </si>
  <si>
    <t>320x70</t>
  </si>
  <si>
    <t>336x280</t>
  </si>
  <si>
    <t>336x400</t>
  </si>
  <si>
    <t>336x50</t>
  </si>
  <si>
    <t>336x600</t>
  </si>
  <si>
    <t>348x208</t>
  </si>
  <si>
    <t>360x640</t>
  </si>
  <si>
    <t>400x300</t>
  </si>
  <si>
    <t>430x343</t>
  </si>
  <si>
    <t>450x75</t>
  </si>
  <si>
    <t>460x175</t>
  </si>
  <si>
    <t>468x60</t>
  </si>
  <si>
    <t>475x300</t>
  </si>
  <si>
    <t>480x320</t>
  </si>
  <si>
    <t>480x70</t>
  </si>
  <si>
    <t>500x100</t>
  </si>
  <si>
    <t>510x500</t>
  </si>
  <si>
    <t>525x80</t>
  </si>
  <si>
    <t>530x300</t>
  </si>
  <si>
    <t>540x544</t>
  </si>
  <si>
    <t>550x100</t>
  </si>
  <si>
    <t>550x220</t>
  </si>
  <si>
    <t>550x480</t>
  </si>
  <si>
    <t>550x90</t>
  </si>
  <si>
    <t>553x220</t>
  </si>
  <si>
    <t>555x240</t>
  </si>
  <si>
    <t>560x400</t>
  </si>
  <si>
    <t>578x60</t>
  </si>
  <si>
    <t>580x220</t>
  </si>
  <si>
    <t>590x147</t>
  </si>
  <si>
    <t>590x250</t>
  </si>
  <si>
    <t>600x100</t>
  </si>
  <si>
    <t>600x125</t>
  </si>
  <si>
    <t>600x150</t>
  </si>
  <si>
    <t>600x195</t>
  </si>
  <si>
    <t>600x200</t>
  </si>
  <si>
    <t>600x220</t>
  </si>
  <si>
    <t>600x250</t>
  </si>
  <si>
    <t>600x300</t>
  </si>
  <si>
    <t>600x335</t>
  </si>
  <si>
    <t>600x500</t>
  </si>
  <si>
    <t>600x80</t>
  </si>
  <si>
    <t>600x90</t>
  </si>
  <si>
    <t>608x220</t>
  </si>
  <si>
    <t>608x240</t>
  </si>
  <si>
    <t>610x220</t>
  </si>
  <si>
    <t>610x240</t>
  </si>
  <si>
    <t>610x270</t>
  </si>
  <si>
    <t>620x200</t>
  </si>
  <si>
    <t>620x250</t>
  </si>
  <si>
    <t>620x90</t>
  </si>
  <si>
    <t>630x180</t>
  </si>
  <si>
    <t>630x220</t>
  </si>
  <si>
    <t>630x242</t>
  </si>
  <si>
    <t>630x500</t>
  </si>
  <si>
    <t>635x210</t>
  </si>
  <si>
    <t>640x107</t>
  </si>
  <si>
    <t>640x200</t>
  </si>
  <si>
    <t>640x220</t>
  </si>
  <si>
    <t>640x250</t>
  </si>
  <si>
    <t>640x300</t>
  </si>
  <si>
    <t>640x332</t>
  </si>
  <si>
    <t>640x360</t>
  </si>
  <si>
    <t>640x480</t>
  </si>
  <si>
    <t>640x90</t>
  </si>
  <si>
    <t>640x960</t>
  </si>
  <si>
    <t>643x200</t>
  </si>
  <si>
    <t>643x220</t>
  </si>
  <si>
    <t>645x120</t>
  </si>
  <si>
    <t>645x75</t>
  </si>
  <si>
    <t>646x193</t>
  </si>
  <si>
    <t>648x140</t>
  </si>
  <si>
    <t>650x1100</t>
  </si>
  <si>
    <t>650x140</t>
  </si>
  <si>
    <t>650x200</t>
  </si>
  <si>
    <t>650x220</t>
  </si>
  <si>
    <t>650x240</t>
  </si>
  <si>
    <t>650x650</t>
  </si>
  <si>
    <t>652x200</t>
  </si>
  <si>
    <t>660x200</t>
  </si>
  <si>
    <t>660x230</t>
  </si>
  <si>
    <t>660x300</t>
  </si>
  <si>
    <t>660x370</t>
  </si>
  <si>
    <t>660x500</t>
  </si>
  <si>
    <t>670x200</t>
  </si>
  <si>
    <t>680x100</t>
  </si>
  <si>
    <t>680x220</t>
  </si>
  <si>
    <t>680x230</t>
  </si>
  <si>
    <t>680x360</t>
  </si>
  <si>
    <t>690x200</t>
  </si>
  <si>
    <t>690x380</t>
  </si>
  <si>
    <t>690x80</t>
  </si>
  <si>
    <t>695x200</t>
  </si>
  <si>
    <t>700x100</t>
  </si>
  <si>
    <t>700x150</t>
  </si>
  <si>
    <t>700x300</t>
  </si>
  <si>
    <t>700x40</t>
  </si>
  <si>
    <t>700x60</t>
  </si>
  <si>
    <t>710x95</t>
  </si>
  <si>
    <t>720x190</t>
  </si>
  <si>
    <t>720x300</t>
  </si>
  <si>
    <t>720x480</t>
  </si>
  <si>
    <t>720x540</t>
  </si>
  <si>
    <t>728x175</t>
  </si>
  <si>
    <t>728x195</t>
  </si>
  <si>
    <t>728x250</t>
  </si>
  <si>
    <t>728x280</t>
  </si>
  <si>
    <t>728x300</t>
  </si>
  <si>
    <t>728x600</t>
  </si>
  <si>
    <t>728x90</t>
  </si>
  <si>
    <t>730x100-1000x600</t>
  </si>
  <si>
    <t>730x50</t>
  </si>
  <si>
    <t>730x510</t>
  </si>
  <si>
    <t>735x180</t>
  </si>
  <si>
    <t>735x250</t>
  </si>
  <si>
    <t>744x666</t>
  </si>
  <si>
    <t>750x200</t>
  </si>
  <si>
    <t>750x280</t>
  </si>
  <si>
    <t>768x1024</t>
  </si>
  <si>
    <t>788x240</t>
  </si>
  <si>
    <t>800x120</t>
  </si>
  <si>
    <t>800x250</t>
  </si>
  <si>
    <t>800x300</t>
  </si>
  <si>
    <t>800x400</t>
  </si>
  <si>
    <t>800x418</t>
  </si>
  <si>
    <t>800x573</t>
  </si>
  <si>
    <t>800x600</t>
  </si>
  <si>
    <t>80x80</t>
  </si>
  <si>
    <t>820x385</t>
  </si>
  <si>
    <t>830x500</t>
  </si>
  <si>
    <t>840x150</t>
  </si>
  <si>
    <t>840x180</t>
  </si>
  <si>
    <t>850x175</t>
  </si>
  <si>
    <t>850x290</t>
  </si>
  <si>
    <t>870x250</t>
  </si>
  <si>
    <t>88x31</t>
  </si>
  <si>
    <t>900x600</t>
  </si>
  <si>
    <t>920x135</t>
  </si>
  <si>
    <t>930x120</t>
  </si>
  <si>
    <t>930x180</t>
  </si>
  <si>
    <t>930x95</t>
  </si>
  <si>
    <t>950x90</t>
  </si>
  <si>
    <t>960x1440</t>
  </si>
  <si>
    <t>960x150</t>
  </si>
  <si>
    <t>970x125</t>
  </si>
  <si>
    <t>970x150</t>
  </si>
  <si>
    <t>970x180</t>
  </si>
  <si>
    <t>970x250</t>
  </si>
  <si>
    <t>970x300</t>
  </si>
  <si>
    <t>970x500</t>
  </si>
  <si>
    <t>970x600</t>
  </si>
  <si>
    <t>970x90</t>
  </si>
  <si>
    <t>980x120</t>
  </si>
  <si>
    <t>980x240</t>
  </si>
  <si>
    <t>980x250</t>
  </si>
  <si>
    <t>988x60</t>
  </si>
  <si>
    <t>booking-bubble</t>
  </si>
  <si>
    <t>compare-to</t>
  </si>
  <si>
    <t>core</t>
  </si>
  <si>
    <t>featured-results</t>
  </si>
  <si>
    <t>front-door-check</t>
  </si>
  <si>
    <t>front-door-uncheck</t>
  </si>
  <si>
    <t>fullscreen</t>
  </si>
  <si>
    <t>in-line</t>
  </si>
  <si>
    <t>meta-search</t>
  </si>
  <si>
    <t>nativeads</t>
  </si>
  <si>
    <t>pagepost</t>
  </si>
  <si>
    <t>portal</t>
  </si>
  <si>
    <t>adserver-rotacionar</t>
  </si>
  <si>
    <t>adserver-única</t>
  </si>
  <si>
    <t>sem-adserver</t>
  </si>
  <si>
    <t>Awareness-Familiarity</t>
  </si>
  <si>
    <t>Trigger-Tactical</t>
  </si>
  <si>
    <t>Buying-Metric</t>
  </si>
  <si>
    <t>Buying-Type</t>
  </si>
  <si>
    <t>Campaign-Category</t>
  </si>
  <si>
    <t>Campaign-Type</t>
  </si>
  <si>
    <t>Media-Channel</t>
  </si>
  <si>
    <t>Model-Variant</t>
  </si>
  <si>
    <t>Paid-vs-AV</t>
  </si>
  <si>
    <t>Planning-Principle</t>
  </si>
  <si>
    <t>Servido-Por</t>
  </si>
  <si>
    <t>Site-Section</t>
  </si>
  <si>
    <t>Strategy-Phase</t>
  </si>
  <si>
    <t>Sub-Media-Channel</t>
  </si>
  <si>
    <t>Tracking-Type</t>
  </si>
  <si>
    <t>Unit-Name</t>
  </si>
  <si>
    <t>After-Sales</t>
  </si>
  <si>
    <t>2018-02-Feb</t>
  </si>
  <si>
    <t>Cross-device</t>
  </si>
  <si>
    <t>Added-Value</t>
  </si>
  <si>
    <t>Homepage-Takeover</t>
  </si>
  <si>
    <t>Competitor-Response</t>
  </si>
  <si>
    <t>Digital-Audio</t>
  </si>
  <si>
    <t>2018-01-Jan</t>
  </si>
  <si>
    <t>Delete-&amp;-Charge</t>
  </si>
  <si>
    <t>In-Market-Consideration</t>
  </si>
  <si>
    <t>Paid-Display</t>
  </si>
  <si>
    <t>Click-&amp;-Impression</t>
  </si>
  <si>
    <t>Mobile-Banner</t>
  </si>
  <si>
    <t>New-Car</t>
  </si>
  <si>
    <t>2018-03-Mar</t>
  </si>
  <si>
    <t>Make-Good</t>
  </si>
  <si>
    <t>Run-of-Network</t>
  </si>
  <si>
    <t>Model-New-News</t>
  </si>
  <si>
    <t>Paid-Mobile</t>
  </si>
  <si>
    <t>Mobile-MPU</t>
  </si>
  <si>
    <t>Used-Car</t>
  </si>
  <si>
    <t>2018-04-Apr</t>
  </si>
  <si>
    <t>Run-of-Site</t>
  </si>
  <si>
    <t>Motor-Show</t>
  </si>
  <si>
    <t>Other-(Online)</t>
  </si>
  <si>
    <t>2018-06-Jun</t>
  </si>
  <si>
    <t>Non-Model-Specific</t>
  </si>
  <si>
    <t>Paid-Search</t>
  </si>
  <si>
    <t>2018-05-May</t>
  </si>
  <si>
    <t>Amarok-V6</t>
  </si>
  <si>
    <t>Paid-Social</t>
  </si>
  <si>
    <t>2018-08-Aug</t>
  </si>
  <si>
    <t>Run-Out</t>
  </si>
  <si>
    <t>3rd-Party-Engagement</t>
  </si>
  <si>
    <t>Standard-Roadblock</t>
  </si>
  <si>
    <t>2018-07-Jul</t>
  </si>
  <si>
    <t>2018-09-Sep</t>
  </si>
  <si>
    <t>Branch-Opening</t>
  </si>
  <si>
    <t>2018-12-Dec</t>
  </si>
  <si>
    <t>C-Class</t>
  </si>
  <si>
    <t>2018-11-Nov</t>
  </si>
  <si>
    <t>2018-10-Oct</t>
  </si>
  <si>
    <t>United-Kingdom</t>
  </si>
  <si>
    <t>2019-02-Feb</t>
  </si>
  <si>
    <t>Dealers-Advertisement</t>
  </si>
  <si>
    <t>Hong-Kong</t>
  </si>
  <si>
    <t>2019-01-Jan</t>
  </si>
  <si>
    <t>2019-03-Mar</t>
  </si>
  <si>
    <t>2019-04-Apr</t>
  </si>
  <si>
    <t>Golf-Alltrack</t>
  </si>
  <si>
    <t>2019-06-Jun</t>
  </si>
  <si>
    <t>Caddy-Van</t>
  </si>
  <si>
    <t>2019-05-May</t>
  </si>
  <si>
    <t>2019-08-Aug</t>
  </si>
  <si>
    <t>ID-Crozz</t>
  </si>
  <si>
    <t>Certified-Pre-Owned</t>
  </si>
  <si>
    <t>2019-07-Jul</t>
  </si>
  <si>
    <t>2019-09-Sep</t>
  </si>
  <si>
    <t>Cross-Up!</t>
  </si>
  <si>
    <t>2019-12-Dec</t>
  </si>
  <si>
    <t>2019-11-Nov</t>
  </si>
  <si>
    <t>Dealer-Marketing-Association</t>
  </si>
  <si>
    <t>2019-10-Oct</t>
  </si>
  <si>
    <t>Das-Auto</t>
  </si>
  <si>
    <t>Das-WeltAuto</t>
  </si>
  <si>
    <t>Passat-Alltrack</t>
  </si>
  <si>
    <t>Events-Sponsorship</t>
  </si>
  <si>
    <t>United-States</t>
  </si>
  <si>
    <t>South-Africa</t>
  </si>
  <si>
    <t>Golf-GTI</t>
  </si>
  <si>
    <t>Golf-R</t>
  </si>
  <si>
    <t>Golf-Wagon</t>
  </si>
  <si>
    <t>dinheiro-rural</t>
  </si>
  <si>
    <t>editora-globo</t>
  </si>
  <si>
    <t>Hatchback-CKD</t>
  </si>
  <si>
    <t>folha-de-sao-paulo</t>
  </si>
  <si>
    <t>Innovation-Campaign</t>
  </si>
  <si>
    <t>VW-Brand</t>
  </si>
  <si>
    <t>Parts-and-Service</t>
  </si>
  <si>
    <t>Polo-GTI</t>
  </si>
  <si>
    <t>Passat-Wagon</t>
  </si>
  <si>
    <t>ReBuild-Trust</t>
  </si>
  <si>
    <t>Sales-Event</t>
  </si>
  <si>
    <t>Transporter-Cab-Chassis</t>
  </si>
  <si>
    <t>Think-Blue</t>
  </si>
  <si>
    <t>scroller-square-</t>
  </si>
  <si>
    <t>scroller-landscape-</t>
  </si>
  <si>
    <t>carrossel-landscape-</t>
  </si>
  <si>
    <t>País</t>
  </si>
  <si>
    <t>Agrupamento da campanha, 3 grandes grupos de acordo com a estratégia. Pensem no objetivo e como ativam no usuário para fazer a classificaçaão</t>
  </si>
  <si>
    <t>Agrupamento de canais de midia. Video é apenas para plataforma de video, Teads e youtube por exemplo, entrega de video em facebook/instagram eles consideram como social</t>
  </si>
  <si>
    <t xml:space="preserve">Estrategia dessa campanha, para campanhas de always on podem usar Non Model Specific </t>
  </si>
  <si>
    <t>Aqui para indicar se é campanha de Dealers, no nosso caso em geral vai ser non-Dealer</t>
  </si>
  <si>
    <t>Definição de qual foco iremos ter na campanha, carros novos ou pós-venda é o nosso foco em geral</t>
  </si>
  <si>
    <t>Data de início da campanha. Para campanhas que rodam o ano inteiro pode ser quando subiu a estrutura no adserver</t>
  </si>
  <si>
    <t>modelo da campanha, quando não tiver apenas um modelo indicar como Range</t>
  </si>
  <si>
    <t>campo disponível para preencher com alguma outra info, tipo walk-around. NÃO USAR "_"</t>
  </si>
  <si>
    <t>Indicação de como a peça vai ser veiculada</t>
  </si>
  <si>
    <t>Nome de veiculo, tentem seguir o mesmo nome do plano</t>
  </si>
  <si>
    <t>Modelo de compra</t>
  </si>
  <si>
    <t>tipo de veiculação, se tiverem dúvida consultem o Dodo para explicar as diferenças</t>
  </si>
  <si>
    <t>local onde os anúncios vão rodar</t>
  </si>
  <si>
    <t>indicação se é compra em algum device</t>
  </si>
  <si>
    <t>indicação das dimensões da peça</t>
  </si>
  <si>
    <t>Sem definição do global, inserir como Paid</t>
  </si>
  <si>
    <t>Nome do criativo, dar preferencia para o nome encaminhado para o ORCA</t>
  </si>
  <si>
    <t>Mpu</t>
  </si>
  <si>
    <t>Automatico</t>
  </si>
  <si>
    <t>Segmentação</t>
  </si>
  <si>
    <t>Linha Criativa</t>
  </si>
  <si>
    <t>Tipo de compra, direto ou programatica. Compra na plataforma de Facebook, Twitter e etc são consideradas como Direct</t>
  </si>
  <si>
    <t>Classificação de midia, novamente, video em facebook é social, o mesmo vale para instagram. Se entrega para mobile e desktop em mobile utilizar Paid-Display</t>
  </si>
  <si>
    <t>Indicar a segmentação utilizada para a entrega de midia, ideal é não ser generico</t>
  </si>
  <si>
    <t>AD Name</t>
  </si>
  <si>
    <t>Criative Name</t>
  </si>
  <si>
    <t>url</t>
  </si>
  <si>
    <t>Url Parametrizada</t>
  </si>
  <si>
    <t>%epid!_%ecid!_%eaid!</t>
  </si>
  <si>
    <t>Contadores</t>
  </si>
  <si>
    <t>dv360</t>
  </si>
  <si>
    <t>dv360-aol</t>
  </si>
  <si>
    <t>dv360-estadao</t>
  </si>
  <si>
    <t>dv360-exame</t>
  </si>
  <si>
    <t>dv360-folha</t>
  </si>
  <si>
    <t>dv360-g1</t>
  </si>
  <si>
    <t>dv360-ge</t>
  </si>
  <si>
    <t>dv360-globo</t>
  </si>
  <si>
    <t>dv360-icarros</t>
  </si>
  <si>
    <t>dv360-msn</t>
  </si>
  <si>
    <t>dv360-olx</t>
  </si>
  <si>
    <t>dv360-r7</t>
  </si>
  <si>
    <t>dv360-terra</t>
  </si>
  <si>
    <t>dv360-uol</t>
  </si>
  <si>
    <t>dv360-valor</t>
  </si>
  <si>
    <t>dv360-valoreconomico</t>
  </si>
  <si>
    <t>dv360-veja</t>
  </si>
  <si>
    <t>dv360-webmotors</t>
  </si>
  <si>
    <t>dv360-youtube</t>
  </si>
  <si>
    <t>email</t>
  </si>
  <si>
    <t>gsp</t>
  </si>
  <si>
    <t>gsd</t>
  </si>
  <si>
    <t>google-discovery</t>
  </si>
  <si>
    <t>AD</t>
  </si>
  <si>
    <t>Ad01</t>
  </si>
  <si>
    <t>460x300</t>
  </si>
  <si>
    <t>mercado-livre</t>
  </si>
  <si>
    <t>1180x250</t>
  </si>
  <si>
    <t>ID Placement</t>
  </si>
  <si>
    <t>TAG</t>
  </si>
  <si>
    <t>https://posvendas.vw.com.br/</t>
  </si>
  <si>
    <t>KWs</t>
  </si>
  <si>
    <t>Categories</t>
  </si>
  <si>
    <t>BR_VW_AFS_dv360_DIS_PROG_CPM_STD_LDR_AAF_RON_CXD_3rdparty_PD_970x250</t>
  </si>
  <si>
    <t>BR_VW_AFS_dv360_DIS_PROG_CPM_STD_LDR_AAF_RON_CXD_3rdparty_PD_728x90</t>
  </si>
  <si>
    <t>BR_VW_AFS_dv360_DIS_PROG_CPM_STD_LDR_AAF_RON_CXD_3rdparty_PD_300x250</t>
  </si>
  <si>
    <t>BR_VW_AFS_dv360_DIS_PROG_CPM_STD_LDR_AAF_RON_CXD_3rdparty_PD_300x50</t>
  </si>
  <si>
    <t>BR_VW_AFS_dv360_DIS_PROG_CPM_STD_LDR_AAF_RON_CXD_3rdparty_PD_160x600</t>
  </si>
  <si>
    <t>277015286</t>
  </si>
  <si>
    <t>277015292</t>
  </si>
  <si>
    <t>277015298</t>
  </si>
  <si>
    <t>277015304</t>
  </si>
  <si>
    <t>277015310</t>
  </si>
  <si>
    <t>native</t>
  </si>
  <si>
    <t>verizon</t>
  </si>
  <si>
    <t>BR_VW_AFS_dv360_DIS_PROG_CPM_STD_LDR_AAF_RON_CXD_After-Sales-3rdparty_PD_160x600</t>
  </si>
  <si>
    <t>VW_After-Sales-3rdparty_160x600_After-Sales-adserver</t>
  </si>
  <si>
    <t>https://posvendas.vw.com.br/?utm_source=dv360&amp;utm_medium=Programmatic&amp;utm_content=BR_VW_AFS_dv360_DIS_PROG_CPM_STD_LDR_AAF_RON_CXD_After-Sales-3rdparty_PD_160x600&amp;utm_campaign=BR_AAF_DSY_NONMS_ND_AS_2019Q2APR_AFS_After-Sales&amp;utm_term=%epid!_%ecid!_%eaid!</t>
  </si>
  <si>
    <t>BR_VW_AFS_dv360_DIS_PROG_CPM_STD_LDR_AAF_RON_CXD_After-Sales-3rdparty_PD_300x50</t>
  </si>
  <si>
    <t>VW_After-Sales-3rdparty_300x50_After-Sales-adserver</t>
  </si>
  <si>
    <t>https://posvendas.vw.com.br/?utm_source=dv360&amp;utm_medium=Programmatic&amp;utm_content=BR_VW_AFS_dv360_DIS_PROG_CPM_STD_LDR_AAF_RON_CXD_After-Sales-3rdparty_PD_300x50&amp;utm_campaign=BR_AAF_DSY_NONMS_ND_AS_2019Q2APR_AFS_After-Sales&amp;utm_term=%epid!_%ecid!_%eaid!</t>
  </si>
  <si>
    <t>BR_VW_AFS_dv360_DIS_PROG_CPM_STD_LDR_AAF_RON_CXD_After-Sales-3rdparty_PD_300x250</t>
  </si>
  <si>
    <t>VW_After-Sales-3rdparty_300x250_After-Sales-adserver</t>
  </si>
  <si>
    <t>https://posvendas.vw.com.br/?utm_source=dv360&amp;utm_medium=Programmatic&amp;utm_content=BR_VW_AFS_dv360_DIS_PROG_CPM_STD_LDR_AAF_RON_CXD_After-Sales-3rdparty_PD_300x250&amp;utm_campaign=BR_AAF_DSY_NONMS_ND_AS_2019Q2APR_AFS_After-Sales&amp;utm_term=%epid!_%ecid!_%eaid!</t>
  </si>
  <si>
    <t>BR_VW_AFS_dv360_DIS_PROG_CPM_STD_LDR_AAF_RON_CXD_After-Sales-3rdparty_PD_728x90</t>
  </si>
  <si>
    <t>VW_After-Sales-3rdparty_728x90_After-Sales-adserver</t>
  </si>
  <si>
    <t>https://posvendas.vw.com.br/?utm_source=dv360&amp;utm_medium=Programmatic&amp;utm_content=BR_VW_AFS_dv360_DIS_PROG_CPM_STD_LDR_AAF_RON_CXD_After-Sales-3rdparty_PD_728x90&amp;utm_campaign=BR_AAF_DSY_NONMS_ND_AS_2019Q2APR_AFS_After-Sales&amp;utm_term=%epid!_%ecid!_%eaid!</t>
  </si>
  <si>
    <t>BR_VW_AFS_dv360_DIS_PROG_CPM_STD_LDR_AAF_RON_CXD_After-Sales-3rdparty_PD_970x250</t>
  </si>
  <si>
    <t>VW_After-Sales-3rdparty_970x250_After-Sales-adserver</t>
  </si>
  <si>
    <t>https://posvendas.vw.com.br/?utm_source=dv360&amp;utm_medium=Programmatic&amp;utm_content=BR_VW_AFS_dv360_DIS_PROG_CPM_STD_LDR_AAF_RON_CXD_After-Sales-3rdparty_PD_970x250&amp;utm_campaign=BR_AAF_DSY_NONMS_ND_AS_2019Q2APR_AFS_After-Sales&amp;utm_term=%epid!_%ecid!_%eaid!</t>
  </si>
  <si>
    <t>In-Market</t>
  </si>
  <si>
    <t>Aguardando Material</t>
  </si>
  <si>
    <t>Solicitado-17-11-2020</t>
  </si>
  <si>
    <t>rmkt-visita-home-ofertas</t>
  </si>
  <si>
    <t>lal-visita-home-ofertas</t>
  </si>
  <si>
    <t>lal-add-to-cart-ofertas</t>
  </si>
  <si>
    <t>rmkt-add-to-cart-ofertas</t>
  </si>
  <si>
    <t>rmkt-visita-home-oficina</t>
  </si>
  <si>
    <t>lal-visita-home-oficina</t>
  </si>
  <si>
    <t>lal-add-to-cart-oficina</t>
  </si>
  <si>
    <t>rmkt-add-to-cart-oficina</t>
  </si>
  <si>
    <t>carrossel</t>
  </si>
  <si>
    <t>interesses</t>
  </si>
  <si>
    <t>link-ad</t>
  </si>
  <si>
    <t>https://www.oficinadeclassicos.com.br/index.aspx</t>
  </si>
  <si>
    <t>After-Sales-Oficina-Classicos</t>
  </si>
  <si>
    <t>lal-lead-oficina</t>
  </si>
  <si>
    <t>lal-home-oficina</t>
  </si>
  <si>
    <t>lal-lead-ofertas</t>
  </si>
  <si>
    <t>lal-home-ofertas</t>
  </si>
  <si>
    <t>BR_VW_AFS_faceinsta_SOC_DRCT_CPM_CLK_LDR_AAF_RON_CXD_After-Sales-Oficina-Classicos-lal-add-to-cart-ofertas_PD_carrossel</t>
  </si>
  <si>
    <t>BR_VW_AFS_faceinsta_SOC_DRCT_CPM_CLK_LDR_AAF_RON_CXD_After-Sales-Oficina-Classicos-lal-visita-home-ofertas_PD_carrossel</t>
  </si>
  <si>
    <t>BR_VW_AFS_faceinsta_SOC_DRCT_CPM_CLK_LDR_AAF_RON_CXD_After-Sales-Oficina-Classicos-rmkt-visita-home-ofertas_PD_link-ad</t>
  </si>
  <si>
    <t>BR_VW_AFS_faceinsta_SOC_DRCT_CPM_CLK_LDR_AAF_RON_CXD_After-Sales-Oficina-Classicos-rmkt-add-to-cart-oficina_PD_link-ad</t>
  </si>
  <si>
    <t>BR_VW_AFS_faceinsta_SOC_DRCT_CPM_CLK_LDR_AAF_RON_CXD_After-Sales-Oficina-Classicos-lal-add-to-cart-oficina_PD_carrossel</t>
  </si>
  <si>
    <t>BR_VW_AFS_faceinsta_SOC_DRCT_CPM_CLK_LDR_AAF_RON_CXD_After-Sales-Oficina-Classicos-lal-visita-home-oficina_PD_carrossel</t>
  </si>
  <si>
    <t>BR_VW_AFS_faceinsta_SOC_DRCT_CPM_CLK_LDR_AAF_RON_CXD_After-Sales-Oficina-Classicos-rmkt-visita-home-oficina_PD_link-ad</t>
  </si>
  <si>
    <t>BR_VW_AFS_faceinsta_SOC_DRCT_CPM_CLK_LDR_AAF_RON_CXD_After-Sales-Oficina-Classicos-interesses_PD_carrossel</t>
  </si>
  <si>
    <t>BR_VW_AFS_faceinsta_SOC_DRCT_CPM_CLK_LDR_AAF_RON_CXD_After-Sales-Oficina-Classicos-lal-add-to-cart-ofertas_PD_link-ad</t>
  </si>
  <si>
    <t>BR_VW_AFS_faceinsta_SOC_DRCT_CPM_CLK_LDR_AAF_RON_CXD_After-Sales-Oficina-Classicos-lal-visita-home-ofertas_PD_link-ad</t>
  </si>
  <si>
    <t>BR_VW_AFS_faceinsta_SOC_DRCT_CPM_CLK_LDR_AAF_RON_CXD_After-Sales-Oficina-Classicos-lal-add-to-cart-oficina_PD_link-ad</t>
  </si>
  <si>
    <t>BR_VW_AFS_faceinsta_SOC_DRCT_CPM_CLK_LDR_AAF_RON_CXD_After-Sales-Oficina-Classicos-lal-visita-home-oficina_PD_link-ad</t>
  </si>
  <si>
    <t>BR_VW_AFS_faceinsta_SOC_DRCT_CPM_CLK_LDR_AAF_RON_CXD_After-Sales-Oficina-Classicos-rmkt-add-to-cart-ofertas_PD_link-ad</t>
  </si>
  <si>
    <t>BR_VW_AFS_verizon_DIS_DRCT_CPC_STD_LDR_AAF_RON_CXD_After-Sales-Oficina-Classicos-rmkt-add-to-cart-ofertas_PD_native</t>
  </si>
  <si>
    <t>BR_VW_AFS_verizon_DIS_DRCT_CPC_STD_LDR_AAF_RON_CXD_After-Sales-Oficina-Classicos-lal-add-to-cart-ofertas_PD_native</t>
  </si>
  <si>
    <t>BR_VW_AFS_verizon_DIS_DRCT_CPC_STD_LDR_AAF_RON_CXD_After-Sales-Oficina-Classicos-lal-visita-home-ofertas_PD_native</t>
  </si>
  <si>
    <t>BR_VW_AFS_verizon_DIS_DRCT_CPC_STD_LDR_AAF_RON_CXD_After-Sales-Oficina-Classicos-rmkt-visita-home-ofertas_PD_native</t>
  </si>
  <si>
    <t>BR_VW_AFS_verizon_DIS_DRCT_CPC_STD_LDR_AAF_RON_CXD_After-Sales-Oficina-Classicos-rmkt-add-to-cart-oficina_PD_native</t>
  </si>
  <si>
    <t>BR_VW_AFS_verizon_DIS_DRCT_CPC_STD_LDR_AAF_RON_CXD_After-Sales-Oficina-Classicos-lal-add-to-cart-oficina_PD_native</t>
  </si>
  <si>
    <t>BR_VW_AFS_verizon_DIS_DRCT_CPC_STD_LDR_AAF_RON_CXD_After-Sales-Oficina-Classicos-lal-visita-home-oficina_PD_native</t>
  </si>
  <si>
    <t>BR_VW_AFS_verizon_DIS_DRCT_CPC_STD_LDR_AAF_RON_CXD_After-Sales-Oficina-Classicos-rmkt-visita-home-oficina_PD_native</t>
  </si>
  <si>
    <t>https://ad.doubleclick.net/ddm/trackclk/N9487.3165544FACEINSTA/B22646029.288239772;dc_trk_aid=481706302;dc_trk_cid=121930624;dc_lat=;dc_rdid=;tag_for_child_directed_treatment=;tfua=</t>
  </si>
  <si>
    <t>https://ad.doubleclick.net/ddm/trackclk/N9487.3165544FACEINSTA/B22646029.288239775;dc_trk_aid=481706305;dc_trk_cid=121930624;dc_lat=;dc_rdid=;tag_for_child_directed_treatment=;tfua=</t>
  </si>
  <si>
    <t>https://ad.doubleclick.net/ddm/trackclk/N9487.3165544FACEINSTA/B22646029.288239778;dc_trk_aid=481706308;dc_trk_cid=121930624;dc_lat=;dc_rdid=;tag_for_child_directed_treatment=;tfua=</t>
  </si>
  <si>
    <t>https://ad.doubleclick.net/ddm/trackclk/N9487.3165544FACEINSTA/B22646029.288239781;dc_trk_aid=481706311;dc_trk_cid=121930624;dc_lat=;dc_rdid=;tag_for_child_directed_treatment=;tfua=</t>
  </si>
  <si>
    <t>https://ad.doubleclick.net/ddm/trackclk/N9487.3165544FACEINSTA/B22646029.288239784;dc_trk_aid=481706314;dc_trk_cid=121930624;dc_lat=;dc_rdid=;tag_for_child_directed_treatment=;tfua=</t>
  </si>
  <si>
    <t>https://ad.doubleclick.net/ddm/trackclk/N9487.3165544FACEINSTA/B22646029.288239787;dc_trk_aid=481706317;dc_trk_cid=121930624;dc_lat=;dc_rdid=;tag_for_child_directed_treatment=;tfua=</t>
  </si>
  <si>
    <t>https://ad.doubleclick.net/ddm/trackclk/N9487.3165544FACEINSTA/B22646029.288239790;dc_trk_aid=481706320;dc_trk_cid=121930624;dc_lat=;dc_rdid=;tag_for_child_directed_treatment=;tfua=</t>
  </si>
  <si>
    <t>https://ad.doubleclick.net/ddm/trackclk/N9487.3165544FACEINSTA/B22646029.288239793;dc_trk_aid=481706323;dc_trk_cid=121930624;dc_lat=;dc_rdid=;tag_for_child_directed_treatment=;tfua=</t>
  </si>
  <si>
    <t>https://ad.doubleclick.net/ddm/trackclk/N9487.3165544FACEINSTA/B22646029.288239805;dc_trk_aid=481706335;dc_trk_cid=121930624;dc_lat=;dc_rdid=;tag_for_child_directed_treatment=;tfua=</t>
  </si>
  <si>
    <t>https://ad.doubleclick.net/ddm/trackclk/N9487.3165544FACEINSTA/B22646029.288239811;dc_trk_aid=481706341;dc_trk_cid=121930624;dc_lat=;dc_rdid=;tag_for_child_directed_treatment=;tfua=</t>
  </si>
  <si>
    <t>https://ad.doubleclick.net/ddm/trackclk/N9487.3165544FACEINSTA/B22646029.288239817;dc_trk_aid=481853475;dc_trk_cid=121930624;dc_lat=;dc_rdid=;tag_for_child_directed_treatment=;tfua=</t>
  </si>
  <si>
    <t>https://ad.doubleclick.net/ddm/trackclk/N9487.3165544FACEINSTA/B22646029.288239823;dc_trk_aid=481853481;dc_trk_cid=121930624;dc_lat=;dc_rdid=;tag_for_child_directed_treatment=;tfua=</t>
  </si>
  <si>
    <t>https://ad.doubleclick.net/ddm/trackclk/N9487.3165544FACEINSTA/B22646029.288239829;dc_trk_aid=481853487;dc_trk_cid=121930624;dc_lat=;dc_rdid=;tag_for_child_directed_treatment=;tfua=</t>
  </si>
  <si>
    <t>https://ad.doubleclick.net/ddm/trackclk/N9487.3646218VERIZONBR/B22646029.288239796;dc_trk_aid=481706326;dc_trk_cid=121930624;dc_lat=;dc_rdid=;tag_for_child_directed_treatment=;tfua=</t>
  </si>
  <si>
    <t>https://ad.doubleclick.net/ddm/trackclk/N9487.3646218VERIZONBR/B22646029.288239799;dc_trk_aid=481706329;dc_trk_cid=121930624;dc_lat=;dc_rdid=;tag_for_child_directed_treatment=;tfua=</t>
  </si>
  <si>
    <t>https://ad.doubleclick.net/ddm/trackclk/N9487.3646218VERIZONBR/B22646029.288239802;dc_trk_aid=481706332;dc_trk_cid=121930624;dc_lat=;dc_rdid=;tag_for_child_directed_treatment=;tfua=</t>
  </si>
  <si>
    <t>https://ad.doubleclick.net/ddm/trackclk/N9487.3646218VERIZONBR/B22646029.288239808;dc_trk_aid=481706338;dc_trk_cid=121930624;dc_lat=;dc_rdid=;tag_for_child_directed_treatment=;tfua=</t>
  </si>
  <si>
    <t>https://ad.doubleclick.net/ddm/trackclk/N9487.3646218VERIZONBR/B22646029.288239814;dc_trk_aid=481706344;dc_trk_cid=121930624;dc_lat=;dc_rdid=;tag_for_child_directed_treatment=;tfua=</t>
  </si>
  <si>
    <t>https://ad.doubleclick.net/ddm/trackclk/N9487.3646218VERIZONBR/B22646029.288239820;dc_trk_aid=481853478;dc_trk_cid=121930624;dc_lat=;dc_rdid=;tag_for_child_directed_treatment=;tfua=</t>
  </si>
  <si>
    <t>https://ad.doubleclick.net/ddm/trackclk/N9487.3646218VERIZONBR/B22646029.288239826;dc_trk_aid=481853484;dc_trk_cid=121930624;dc_lat=;dc_rdid=;tag_for_child_directed_treatment=;tfua=</t>
  </si>
  <si>
    <t>https://ad.doubleclick.net/ddm/trackclk/N9487.3646218VERIZONBR/B22646029.288239832;dc_trk_aid=481853490;dc_trk_cid=121930624;dc_lat=;dc_rdid=;tag_for_child_directed_treatment=;tfua=</t>
  </si>
  <si>
    <t>Manter / No Ar</t>
  </si>
  <si>
    <t>Enviado 17/11</t>
  </si>
  <si>
    <t>After-Sales-Oficina-Classicos-kit2</t>
  </si>
  <si>
    <t>After-Sales-Oficina-Classicos-kit3</t>
  </si>
  <si>
    <t>https://ad.doubleclick.net/ddm/trackclk/N9487.3165544FACEINSTA/B22646029.288639310;dc_trk_aid=481983691;dc_trk_cid=121930624;dc_lat=;dc_rdid=;tag_for_child_directed_treatment=;tfua=</t>
  </si>
  <si>
    <t>https://ad.doubleclick.net/ddm/trackclk/N9487.3165544FACEINSTA/B22646029.288639313;dc_trk_aid=481983694;dc_trk_cid=121930624;dc_lat=;dc_rdid=;tag_for_child_directed_treatment=;tfua=</t>
  </si>
  <si>
    <t>https://ad.doubleclick.net/ddm/trackclk/N9487.3165544FACEINSTA/B22646029.288639316;dc_trk_aid=481983697;dc_trk_cid=121930624;dc_lat=;dc_rdid=;tag_for_child_directed_treatment=;tfua=</t>
  </si>
  <si>
    <t>https://ad.doubleclick.net/ddm/trackclk/N9487.3165544FACEINSTA/B22646029.288639319;dc_trk_aid=481983700;dc_trk_cid=121930624;dc_lat=;dc_rdid=;tag_for_child_directed_treatment=;tfua=</t>
  </si>
  <si>
    <t>https://ad.doubleclick.net/ddm/trackclk/N9487.3165544FACEINSTA/B22646029.288639322;dc_trk_aid=481983703;dc_trk_cid=121930624;dc_lat=;dc_rdid=;tag_for_child_directed_treatment=;tfua=</t>
  </si>
  <si>
    <t>https://ad.doubleclick.net/ddm/trackclk/N9487.3165544FACEINSTA/B22646029.288639325;dc_trk_aid=481983706;dc_trk_cid=121930624;dc_lat=;dc_rdid=;tag_for_child_directed_treatment=;tfua=</t>
  </si>
  <si>
    <t>https://ad.doubleclick.net/ddm/trackclk/N9487.3165544FACEINSTA/B22646029.288639328;dc_trk_aid=481983709;dc_trk_cid=121930624;dc_lat=;dc_rdid=;tag_for_child_directed_treatment=;tfua=</t>
  </si>
  <si>
    <t>https://ad.doubleclick.net/ddm/trackclk/N9487.3165544FACEINSTA/B22646029.288639331;dc_trk_aid=481983712;dc_trk_cid=121930624;dc_lat=;dc_rdid=;tag_for_child_directed_treatment=;tfua=</t>
  </si>
  <si>
    <t>https://ad.doubleclick.net/ddm/trackclk/N9487.3165544FACEINSTA/B22646029.288639334;dc_trk_aid=481983715;dc_trk_cid=121930624;dc_lat=;dc_rdid=;tag_for_child_directed_treatment=;tfua=</t>
  </si>
  <si>
    <t>https://ad.doubleclick.net/ddm/trackclk/N9487.3165544FACEINSTA/B22646029.288639337;dc_trk_aid=481983718;dc_trk_cid=121930624;dc_lat=;dc_rdid=;tag_for_child_directed_treatment=;tfua=</t>
  </si>
  <si>
    <t>https://ad.doubleclick.net/ddm/trackclk/N9487.3165544FACEINSTA/B22646029.288639340;dc_trk_aid=481983721;dc_trk_cid=121930624;dc_lat=;dc_rdid=;tag_for_child_directed_treatment=;tfua=</t>
  </si>
  <si>
    <t>https://ad.doubleclick.net/ddm/trackclk/N9487.3165544FACEINSTA/B22646029.288639343;dc_trk_aid=481983724;dc_trk_cid=121930624;dc_lat=;dc_rdid=;tag_for_child_directed_treatment=;tfua=</t>
  </si>
  <si>
    <t>https://ad.doubleclick.net/ddm/trackclk/N9487.3165544FACEINSTA/B22646029.288639346;dc_trk_aid=481983727;dc_trk_cid=121930624;dc_lat=;dc_rdid=;tag_for_child_directed_treatment=;tfua=</t>
  </si>
  <si>
    <t>https://ad.doubleclick.net/ddm/trackclk/N9487.3165544FACEINSTA/B22646029.288639349;dc_trk_aid=481983730;dc_trk_cid=121930624;dc_lat=;dc_rdid=;tag_for_child_directed_treatment=;tfua=</t>
  </si>
  <si>
    <t>https://ad.doubleclick.net/ddm/trackclk/N9487.3165544FACEINSTA/B22646029.288639352;dc_trk_aid=481983733;dc_trk_cid=121930624;dc_lat=;dc_rdid=;tag_for_child_directed_treatment=;tfua=</t>
  </si>
  <si>
    <t>https://ad.doubleclick.net/ddm/trackclk/N9487.3165544FACEINSTA/B22646029.288639355;dc_trk_aid=481983736;dc_trk_cid=121930624;dc_lat=;dc_rdid=;tag_for_child_directed_treatment=;tfua=</t>
  </si>
  <si>
    <t>https://ad.doubleclick.net/ddm/trackclk/N9487.3646218VERIZONBR/B22646029.288639262;dc_trk_aid=481983643;dc_trk_cid=121930624;dc_lat=;dc_rdid=;tag_for_child_directed_treatment=;tfua=</t>
  </si>
  <si>
    <t>https://ad.doubleclick.net/ddm/trackclk/N9487.3646218VERIZONBR/B22646029.288639265;dc_trk_aid=481983646;dc_trk_cid=121930624;dc_lat=;dc_rdid=;tag_for_child_directed_treatment=;tfua=</t>
  </si>
  <si>
    <t>https://ad.doubleclick.net/ddm/trackclk/N9487.3646218VERIZONBR/B22646029.288639268;dc_trk_aid=481983649;dc_trk_cid=121930624;dc_lat=;dc_rdid=;tag_for_child_directed_treatment=;tfua=</t>
  </si>
  <si>
    <t>https://ad.doubleclick.net/ddm/trackclk/N9487.3646218VERIZONBR/B22646029.288639271;dc_trk_aid=481983652;dc_trk_cid=121930624;dc_lat=;dc_rdid=;tag_for_child_directed_treatment=;tfua=</t>
  </si>
  <si>
    <t>https://ad.doubleclick.net/ddm/trackclk/N9487.3646218VERIZONBR/B22646029.288639274;dc_trk_aid=481983655;dc_trk_cid=121930624;dc_lat=;dc_rdid=;tag_for_child_directed_treatment=;tfua=</t>
  </si>
  <si>
    <t>https://ad.doubleclick.net/ddm/trackclk/N9487.3646218VERIZONBR/B22646029.288639277;dc_trk_aid=481983658;dc_trk_cid=121930624;dc_lat=;dc_rdid=;tag_for_child_directed_treatment=;tfua=</t>
  </si>
  <si>
    <t>https://ad.doubleclick.net/ddm/trackclk/N9487.3646218VERIZONBR/B22646029.288639280;dc_trk_aid=481983661;dc_trk_cid=121930624;dc_lat=;dc_rdid=;tag_for_child_directed_treatment=;tfua=</t>
  </si>
  <si>
    <t>https://ad.doubleclick.net/ddm/trackclk/N9487.3646218VERIZONBR/B22646029.288639283;dc_trk_aid=481983664;dc_trk_cid=121930624;dc_lat=;dc_rdid=;tag_for_child_directed_treatment=;tfua=</t>
  </si>
  <si>
    <t>https://ad.doubleclick.net/ddm/trackclk/N9487.3646218VERIZONBR/B22646029.288639286;dc_trk_aid=481983667;dc_trk_cid=121930624;dc_lat=;dc_rdid=;tag_for_child_directed_treatment=;tfua=</t>
  </si>
  <si>
    <t>https://ad.doubleclick.net/ddm/trackclk/N9487.3646218VERIZONBR/B22646029.288639289;dc_trk_aid=481983670;dc_trk_cid=121930624;dc_lat=;dc_rdid=;tag_for_child_directed_treatment=;tfua=</t>
  </si>
  <si>
    <t>https://ad.doubleclick.net/ddm/trackclk/N9487.3646218VERIZONBR/B22646029.288639292;dc_trk_aid=481983673;dc_trk_cid=121930624;dc_lat=;dc_rdid=;tag_for_child_directed_treatment=;tfua=</t>
  </si>
  <si>
    <t>https://ad.doubleclick.net/ddm/trackclk/N9487.3646218VERIZONBR/B22646029.288639295;dc_trk_aid=481983676;dc_trk_cid=121930624;dc_lat=;dc_rdid=;tag_for_child_directed_treatment=;tfua=</t>
  </si>
  <si>
    <t>https://ad.doubleclick.net/ddm/trackclk/N9487.3646218VERIZONBR/B22646029.288639298;dc_trk_aid=481983679;dc_trk_cid=121930624;dc_lat=;dc_rdid=;tag_for_child_directed_treatment=;tfua=</t>
  </si>
  <si>
    <t>https://ad.doubleclick.net/ddm/trackclk/N9487.3646218VERIZONBR/B22646029.288639301;dc_trk_aid=481983682;dc_trk_cid=121930624;dc_lat=;dc_rdid=;tag_for_child_directed_treatment=;tfua=</t>
  </si>
  <si>
    <t>https://ad.doubleclick.net/ddm/trackclk/N9487.3646218VERIZONBR/B22646029.288639304;dc_trk_aid=481983685;dc_trk_cid=121930624;dc_lat=;dc_rdid=;tag_for_child_directed_treatment=;tfua=</t>
  </si>
  <si>
    <t>https://ad.doubleclick.net/ddm/trackclk/N9487.3646218VERIZONBR/B22646029.288639307;dc_trk_aid=481983688;dc_trk_cid=121930624;dc_lat=;dc_rdid=;tag_for_child_directed_treatment=;tfua=</t>
  </si>
  <si>
    <t>BR_VW_AFS_faceinsta_SOC_DRCT_CPM_CLK_LDR_AAF_RON_CXD_After-Sales-Oficina-Classicos-kit3-lal-add-to-cart-ofertas_PD_link-ad</t>
  </si>
  <si>
    <t>BR_VW_AFS_faceinsta_SOC_DRCT_CPM_CLK_LDR_AAF_RON_CXD_After-Sales-Oficina-Classicos-kit3-lal-visita-home-ofertas_PD_link-ad</t>
  </si>
  <si>
    <t>BR_VW_AFS_faceinsta_SOC_DRCT_CPM_CLK_LDR_AAF_RON_CXD_After-Sales-Oficina-Classicos-kit3-lal-add-to-cart-oficina_PD_link-ad</t>
  </si>
  <si>
    <t>BR_VW_AFS_faceinsta_SOC_DRCT_CPM_CLK_LDR_AAF_RON_CXD_After-Sales-Oficina-Classicos-kit3-lal-visita-home-oficina_PD_link-ad</t>
  </si>
  <si>
    <t>BR_VW_AFS_faceinsta_SOC_DRCT_CPM_CLK_LDR_AAF_RON_CXD_After-Sales-Oficina-Classicos-kit3-rmkt-add-to-cart-ofertas_PD_link-ad</t>
  </si>
  <si>
    <t>BR_VW_AFS_faceinsta_SOC_DRCT_CPM_CLK_LDR_AAF_RON_CXD_After-Sales-Oficina-Classicos-kit3-rmkt-visita-home-ofertas_PD_link-ad</t>
  </si>
  <si>
    <t>BR_VW_AFS_faceinsta_SOC_DRCT_CPM_CLK_LDR_AAF_RON_CXD_After-Sales-Oficina-Classicos-kit3-rmkt-add-to-cart-oficina_PD_link-ad</t>
  </si>
  <si>
    <t>BR_VW_AFS_faceinsta_SOC_DRCT_CPM_CLK_LDR_AAF_RON_CXD_After-Sales-Oficina-Classicos-kit3-rmkt-visita-home-oficina_PD_link-ad</t>
  </si>
  <si>
    <t>BR_VW_AFS_faceinsta_SOC_DRCT_CPM_CLK_LDR_AAF_RON_CXD_After-Sales-Oficina-Classicos-kit2-lal-add-to-cart-ofertas_PD_link-ad</t>
  </si>
  <si>
    <t>BR_VW_AFS_faceinsta_SOC_DRCT_CPM_CLK_LDR_AAF_RON_CXD_After-Sales-Oficina-Classicos-kit2-lal-visita-home-ofertas_PD_link-ad</t>
  </si>
  <si>
    <t>BR_VW_AFS_faceinsta_SOC_DRCT_CPM_CLK_LDR_AAF_RON_CXD_After-Sales-Oficina-Classicos-kit2-lal-add-to-cart-oficina_PD_link-ad</t>
  </si>
  <si>
    <t>BR_VW_AFS_faceinsta_SOC_DRCT_CPM_CLK_LDR_AAF_RON_CXD_After-Sales-Oficina-Classicos-kit2-lal-visita-home-oficina_PD_link-ad</t>
  </si>
  <si>
    <t>BR_VW_AFS_faceinsta_SOC_DRCT_CPM_CLK_LDR_AAF_RON_CXD_After-Sales-Oficina-Classicos-kit2-rmkt-add-to-cart-ofertas_PD_link-ad</t>
  </si>
  <si>
    <t>BR_VW_AFS_faceinsta_SOC_DRCT_CPM_CLK_LDR_AAF_RON_CXD_After-Sales-Oficina-Classicos-kit2-rmkt-visita-home-ofertas_PD_link-ad</t>
  </si>
  <si>
    <t>BR_VW_AFS_faceinsta_SOC_DRCT_CPM_CLK_LDR_AAF_RON_CXD_After-Sales-Oficina-Classicos-kit2-rmkt-add-to-cart-oficina_PD_link-ad</t>
  </si>
  <si>
    <t>BR_VW_AFS_faceinsta_SOC_DRCT_CPM_CLK_LDR_AAF_RON_CXD_After-Sales-Oficina-Classicos-kit2-rmkt-visita-home-oficina_PD_link-ad</t>
  </si>
  <si>
    <t>BR_VW_AFS_verizon_DIS_DRCT_CPC_STD_LDR_AAF_RON_CXD_After-Sales-Oficina-Classicos-kit3-rmkt-add-to-cart-ofertas_PD_native</t>
  </si>
  <si>
    <t>BR_VW_AFS_verizon_DIS_DRCT_CPC_STD_LDR_AAF_RON_CXD_After-Sales-Oficina-Classicos-kit3-lal-add-to-cart-ofertas_PD_native</t>
  </si>
  <si>
    <t>BR_VW_AFS_verizon_DIS_DRCT_CPC_STD_LDR_AAF_RON_CXD_After-Sales-Oficina-Classicos-kit3-lal-visita-home-ofertas_PD_native</t>
  </si>
  <si>
    <t>BR_VW_AFS_verizon_DIS_DRCT_CPC_STD_LDR_AAF_RON_CXD_After-Sales-Oficina-Classicos-kit3-rmkt-visita-home-ofertas_PD_native</t>
  </si>
  <si>
    <t>BR_VW_AFS_verizon_DIS_DRCT_CPC_STD_LDR_AAF_RON_CXD_After-Sales-Oficina-Classicos-kit3-rmkt-add-to-cart-oficina_PD_native</t>
  </si>
  <si>
    <t>BR_VW_AFS_verizon_DIS_DRCT_CPC_STD_LDR_AAF_RON_CXD_After-Sales-Oficina-Classicos-kit3-lal-add-to-cart-oficina_PD_native</t>
  </si>
  <si>
    <t>BR_VW_AFS_verizon_DIS_DRCT_CPC_STD_LDR_AAF_RON_CXD_After-Sales-Oficina-Classicos-kit3-lal-visita-home-oficina_PD_native</t>
  </si>
  <si>
    <t>BR_VW_AFS_verizon_DIS_DRCT_CPC_STD_LDR_AAF_RON_CXD_After-Sales-Oficina-Classicos-kit3-rmkt-visita-home-oficina_PD_native</t>
  </si>
  <si>
    <t>BR_VW_AFS_verizon_DIS_DRCT_CPC_STD_LDR_AAF_RON_CXD_After-Sales-Oficina-Classicos-kit2-rmkt-add-to-cart-ofertas_PD_native</t>
  </si>
  <si>
    <t>BR_VW_AFS_verizon_DIS_DRCT_CPC_STD_LDR_AAF_RON_CXD_After-Sales-Oficina-Classicos-kit2-lal-add-to-cart-ofertas_PD_native</t>
  </si>
  <si>
    <t>BR_VW_AFS_verizon_DIS_DRCT_CPC_STD_LDR_AAF_RON_CXD_After-Sales-Oficina-Classicos-kit2-lal-visita-home-ofertas_PD_native</t>
  </si>
  <si>
    <t>BR_VW_AFS_verizon_DIS_DRCT_CPC_STD_LDR_AAF_RON_CXD_After-Sales-Oficina-Classicos-kit2-rmkt-visita-home-ofertas_PD_native</t>
  </si>
  <si>
    <t>BR_VW_AFS_verizon_DIS_DRCT_CPC_STD_LDR_AAF_RON_CXD_After-Sales-Oficina-Classicos-kit2-rmkt-add-to-cart-oficina_PD_native</t>
  </si>
  <si>
    <t>BR_VW_AFS_verizon_DIS_DRCT_CPC_STD_LDR_AAF_RON_CXD_After-Sales-Oficina-Classicos-kit2-lal-add-to-cart-oficina_PD_native</t>
  </si>
  <si>
    <t>BR_VW_AFS_verizon_DIS_DRCT_CPC_STD_LDR_AAF_RON_CXD_After-Sales-Oficina-Classicos-kit2-lal-visita-home-oficina_PD_native</t>
  </si>
  <si>
    <t>BR_VW_AFS_verizon_DIS_DRCT_CPC_STD_LDR_AAF_RON_CXD_After-Sales-Oficina-Classicos-kit2-rmkt-visita-home-oficina_PD_native</t>
  </si>
  <si>
    <t>Enviado 19/11</t>
  </si>
  <si>
    <t>After-Sales-Oficina-Classicos-reg01</t>
  </si>
  <si>
    <t>After-Sales-Oficina-Classicos-reg02</t>
  </si>
  <si>
    <t>After-Sales-Oficina-Classicos-reg04</t>
  </si>
  <si>
    <t>After-Sales-Oficina-Classicos-reg05</t>
  </si>
  <si>
    <t>After-Sales-Oficina-Classicos-reg06</t>
  </si>
  <si>
    <t>After-Sales-Oficina-Classicos-reg07</t>
  </si>
  <si>
    <t>https://ad.doubleclick.net/ddm/trackclk/N9487.3165544FACEINSTA/B22646029.288794499;dc_trk_aid=482398110;dc_trk_cid=121930624;dc_lat=;dc_rdid=;tag_for_child_directed_treatment=;tfua=</t>
  </si>
  <si>
    <t>https://ad.doubleclick.net/ddm/trackclk/N9487.3165544FACEINSTA/B22646029.288794502;dc_trk_aid=482398113;dc_trk_cid=121930624;dc_lat=;dc_rdid=;tag_for_child_directed_treatment=;tfua=</t>
  </si>
  <si>
    <t>https://ad.doubleclick.net/ddm/trackclk/N9487.3165544FACEINSTA/B22646029.288794505;dc_trk_aid=482398116;dc_trk_cid=121930624;dc_lat=;dc_rdid=;tag_for_child_directed_treatment=;tfua=</t>
  </si>
  <si>
    <t>https://ad.doubleclick.net/ddm/trackclk/N9487.3165544FACEINSTA/B22646029.288794508;dc_trk_aid=482398119;dc_trk_cid=121930624;dc_lat=;dc_rdid=;tag_for_child_directed_treatment=;tfua=</t>
  </si>
  <si>
    <t>https://ad.doubleclick.net/ddm/trackclk/N9487.3165544FACEINSTA/B22646029.288794511;dc_trk_aid=482398122;dc_trk_cid=121930624;dc_lat=;dc_rdid=;tag_for_child_directed_treatment=;tfua=</t>
  </si>
  <si>
    <t>https://ad.doubleclick.net/ddm/trackclk/N9487.3165544FACEINSTA/B22646029.288794514;dc_trk_aid=482398125;dc_trk_cid=121930624;dc_lat=;dc_rdid=;tag_for_child_directed_treatment=;tfua=</t>
  </si>
  <si>
    <t>https://ad.doubleclick.net/ddm/trackclk/N9487.3165544FACEINSTA/B22646029.288794517;dc_trk_aid=482398128;dc_trk_cid=121930624;dc_lat=;dc_rdid=;tag_for_child_directed_treatment=;tfua=</t>
  </si>
  <si>
    <t>https://ad.doubleclick.net/ddm/trackclk/N9487.3165544FACEINSTA/B22646029.288794520;dc_trk_aid=482398131;dc_trk_cid=121930624;dc_lat=;dc_rdid=;tag_for_child_directed_treatment=;tfua=</t>
  </si>
  <si>
    <t>https://ad.doubleclick.net/ddm/trackclk/N9487.3165544FACEINSTA/B22646029.288794523;dc_trk_aid=482398134;dc_trk_cid=121930624;dc_lat=;dc_rdid=;tag_for_child_directed_treatment=;tfua=</t>
  </si>
  <si>
    <t>https://ad.doubleclick.net/ddm/trackclk/N9487.3165544FACEINSTA/B22646029.288794526;dc_trk_aid=482398137;dc_trk_cid=121930624;dc_lat=;dc_rdid=;tag_for_child_directed_treatment=;tfua=</t>
  </si>
  <si>
    <t>BR_VW_AFS_faceinsta_SOC_DRCT_CPM_CLK_LDR_AAF_RON_CXD_After-Sales-Oficina-Classicos-reg05-interesses_PD_carrossel</t>
  </si>
  <si>
    <t>BR_VW_AFS_faceinsta_SOC_DRCT_CPM_CLK_LDR_AAF_RON_CXD_After-Sales-Oficina-Classicos-reg04-interesses_PD_carrossel</t>
  </si>
  <si>
    <t>BR_VW_AFS_faceinsta_SOC_DRCT_CPM_CLK_LDR_AAF_RON_CXD_After-Sales-Oficina-Classicos-reg013-interesses_PD_carrossel</t>
  </si>
  <si>
    <t>BR_VW_AFS_faceinsta_SOC_DRCT_CPM_CLK_LDR_AAF_RON_CXD_After-Sales-Oficina-Classicos-reg02-interesses_PD_carrossel</t>
  </si>
  <si>
    <t>BR_VW_AFS_faceinsta_SOC_DRCT_CPM_CLK_LDR_AAF_RON_CXD_After-Sales-Oficina-Classicos-reg01-interesses_PD_carrossel</t>
  </si>
  <si>
    <t>BR_VW_AFS_faceinsta_SOC_DRCT_CPM_CLK_LDR_AAF_RON_CXD_After-Sales-Oficina-Classicos-kit3-interesses_PD_link-ad</t>
  </si>
  <si>
    <t>BR_VW_AFS_faceinsta_SOC_DRCT_CPM_CLK_LDR_AAF_RON_CXD_After-Sales-Oficina-Classicos-reg07-interesses_PD_carrossel</t>
  </si>
  <si>
    <t>BR_VW_AFS_faceinsta_SOC_DRCT_CPM_CLK_LDR_AAF_RON_CXD_After-Sales-Oficina-Classicos-kit2-interesses_PD_link-ad</t>
  </si>
  <si>
    <t>BR_VW_AFS_faceinsta_SOC_DRCT_CPM_CLK_LDR_AAF_RON_CXD_After-Sales-Oficina-Classicos-reg06-interesses_PD_carrossel</t>
  </si>
  <si>
    <t>BR_VW_AFS_faceinsta_SOC_DRCT_CPM_CLK_LDR_AAF_RON_CXD_After-Sales-Oficina-Classicos-interesses_PD_link-ad</t>
  </si>
  <si>
    <t>Criado 23/11</t>
  </si>
  <si>
    <t>After-Sales-Oficina-Classicos-reg03</t>
  </si>
  <si>
    <t>Criado 23/11 | Atualizado 24/11</t>
  </si>
  <si>
    <t>Solicitado-25-11-2020</t>
  </si>
  <si>
    <t>Enviado 25/11</t>
  </si>
  <si>
    <t>BR_VW_AFS_faceinsta_SOC_DRCT_CPM_CLK_LDR_AAF_RON_CXD_After-Sales-Oficina-Classicos-kit3-lal-lead-oficina_PD_link-ad</t>
  </si>
  <si>
    <t>BR_VW_AFS_faceinsta_SOC_DRCT_CPM_CLK_LDR_AAF_RON_CXD_After-Sales-Oficina-Classicos-kit2-lal-lead-oficina_PD_link-ad</t>
  </si>
  <si>
    <t>BR_VW_AFS_faceinsta_SOC_DRCT_CPM_CLK_LDR_AAF_RON_CXD_After-Sales-Oficina-Classicos-lal-lead-oficina_PD_link-ad</t>
  </si>
  <si>
    <t>https://ad.doubleclick.net/ddm/trackclk/N9487.3165544FACEINSTA/B22646029.288929816;dc_trk_aid=482405507;dc_trk_cid=121930624;dc_lat=;dc_rdid=;tag_for_child_directed_treatment=;tfua=</t>
  </si>
  <si>
    <t>https://ad.doubleclick.net/ddm/trackclk/N9487.3165544FACEINSTA/B22646029.288929819;dc_trk_aid=482405510;dc_trk_cid=121930624;dc_lat=;dc_rdid=;tag_for_child_directed_treatment=;tfua=</t>
  </si>
  <si>
    <t>https://ad.doubleclick.net/ddm/trackclk/N9487.3165544FACEINSTA/B22646029.288929822;dc_trk_aid=482405513;dc_trk_cid=121930624;dc_lat=;dc_rdid=;tag_for_child_directed_treatment=;tfua=</t>
  </si>
  <si>
    <t>3rdparty</t>
  </si>
  <si>
    <t>After-Sales-Oficina-Classicos-REG01</t>
  </si>
  <si>
    <t>After-Sales-Oficina-Classicos-REG02</t>
  </si>
  <si>
    <t>After-Sales-Oficina-Classicos-REG03</t>
  </si>
  <si>
    <t>After-Sales-Oficina-Classicos-REG04</t>
  </si>
  <si>
    <t>After-Sales-Oficina-Classicos-REG05</t>
  </si>
  <si>
    <t>After-Sales-Oficina-Classicos-REG06</t>
  </si>
  <si>
    <t>After-Sales-Oficina-Classicos-REG07</t>
  </si>
  <si>
    <t>BR_VW_AFS_dv360_DIS_PROG_CPM_STD_LDR_AAF_RON_CXD_In-Market_PD_970x250</t>
  </si>
  <si>
    <t>BR_VW_AFS_dv360_DIS_PROG_CPM_STD_LDR_AAF_RON_CXD_In-Market_PD_300x250</t>
  </si>
  <si>
    <t>BR_VW_AFS_dv360_DIS_PROG_CPM_STD_LDR_AAF_RON_CXD_In-Market_PD_300x50</t>
  </si>
  <si>
    <t>BR_VW_AFS_dv360_DIS_PROG_CPM_STD_LDR_AAF_RON_CXD_In-Market_PD_160x600</t>
  </si>
  <si>
    <t>BR_VW_AFS_dv360_DIS_PROG_CPM_STD_LDR_AAF_RON_CXD_Categories_PD_970x250</t>
  </si>
  <si>
    <t>BR_VW_AFS_dv360_DIS_PROG_CPM_STD_LDR_AAF_RON_CXD_Categories_PD_300x250</t>
  </si>
  <si>
    <t>BR_VW_AFS_dv360_DIS_PROG_CPM_STD_LDR_AAF_RON_CXD_Categories_PD_300x50</t>
  </si>
  <si>
    <t>BR_VW_AFS_dv360_DIS_PROG_CPM_STD_LDR_AAF_RON_CXD_Categories_PD_160x600</t>
  </si>
  <si>
    <t>BR_VW_AFS_dv360_DIS_PROG_CPM_STD_LDR_AAF_RON_CXD_KWs_PD_970x250</t>
  </si>
  <si>
    <t>BR_VW_AFS_dv360_DIS_PROG_CPM_STD_LDR_AAF_RON_CXD_KWs_PD_300x250</t>
  </si>
  <si>
    <t>BR_VW_AFS_dv360_DIS_PROG_CPM_STD_LDR_AAF_RON_CXD_KWs_PD_300x50</t>
  </si>
  <si>
    <t>BR_VW_AFS_dv360_DIS_PROG_CPM_STD_LDR_AAF_RON_CXD_KWs_PD_160x600</t>
  </si>
  <si>
    <t>289178016</t>
  </si>
  <si>
    <t>289178019</t>
  </si>
  <si>
    <t>289178022</t>
  </si>
  <si>
    <t>289178025</t>
  </si>
  <si>
    <t>289178028</t>
  </si>
  <si>
    <t>289178031</t>
  </si>
  <si>
    <t>289178034</t>
  </si>
  <si>
    <t>289178037</t>
  </si>
  <si>
    <t>289178040</t>
  </si>
  <si>
    <t>289178043</t>
  </si>
  <si>
    <t>289178046</t>
  </si>
  <si>
    <t>289178049</t>
  </si>
  <si>
    <t>289178052</t>
  </si>
  <si>
    <t>289178055</t>
  </si>
  <si>
    <t>289178058</t>
  </si>
  <si>
    <t>289178061</t>
  </si>
  <si>
    <t>289178064</t>
  </si>
  <si>
    <t>289178067</t>
  </si>
  <si>
    <t>289178070</t>
  </si>
  <si>
    <t>289178073</t>
  </si>
  <si>
    <t>289178076</t>
  </si>
  <si>
    <t>289178079</t>
  </si>
  <si>
    <t>289178082</t>
  </si>
  <si>
    <t>289178085</t>
  </si>
  <si>
    <t>289282573</t>
  </si>
  <si>
    <t>289282576</t>
  </si>
  <si>
    <t>289282579</t>
  </si>
  <si>
    <t>289282582</t>
  </si>
  <si>
    <t>289282585</t>
  </si>
  <si>
    <t>289282588</t>
  </si>
  <si>
    <t>289282591</t>
  </si>
  <si>
    <t>289282594</t>
  </si>
  <si>
    <t>289282597</t>
  </si>
  <si>
    <t>289282600</t>
  </si>
  <si>
    <t>289282603</t>
  </si>
  <si>
    <t>289282606</t>
  </si>
  <si>
    <t>289282609</t>
  </si>
  <si>
    <t>289282612</t>
  </si>
  <si>
    <t>289282615</t>
  </si>
  <si>
    <t>289282618</t>
  </si>
  <si>
    <t>289282621</t>
  </si>
  <si>
    <t>289282624</t>
  </si>
  <si>
    <t>289282627</t>
  </si>
  <si>
    <t>289282630</t>
  </si>
  <si>
    <t>289282633</t>
  </si>
  <si>
    <t>289282636</t>
  </si>
  <si>
    <t>289282639</t>
  </si>
  <si>
    <t>289282642</t>
  </si>
  <si>
    <t>289282645</t>
  </si>
  <si>
    <t>289282648</t>
  </si>
  <si>
    <t>289282651</t>
  </si>
  <si>
    <t>289282654</t>
  </si>
  <si>
    <t>289282657</t>
  </si>
  <si>
    <t>289282660</t>
  </si>
  <si>
    <t>289282663</t>
  </si>
  <si>
    <t>289282666</t>
  </si>
  <si>
    <t>289282669</t>
  </si>
  <si>
    <t>289282672</t>
  </si>
  <si>
    <t>289282675</t>
  </si>
  <si>
    <t>289282678</t>
  </si>
  <si>
    <t>289282681</t>
  </si>
  <si>
    <t>289282684</t>
  </si>
  <si>
    <t>289282687</t>
  </si>
  <si>
    <t>289282690</t>
  </si>
  <si>
    <t>289282693</t>
  </si>
  <si>
    <t>289282696</t>
  </si>
  <si>
    <t>289282699</t>
  </si>
  <si>
    <t>289282702</t>
  </si>
  <si>
    <t>289282705</t>
  </si>
  <si>
    <t>289282708</t>
  </si>
  <si>
    <t>289282711</t>
  </si>
  <si>
    <t>289282714</t>
  </si>
  <si>
    <t>289282717</t>
  </si>
  <si>
    <t>289282720</t>
  </si>
  <si>
    <t>289282723</t>
  </si>
  <si>
    <t>289282726</t>
  </si>
  <si>
    <t>289282729</t>
  </si>
  <si>
    <t>289282732</t>
  </si>
  <si>
    <t>289282735</t>
  </si>
  <si>
    <t>289282738</t>
  </si>
  <si>
    <t>289282741</t>
  </si>
  <si>
    <t>289282744</t>
  </si>
  <si>
    <t>289282747</t>
  </si>
  <si>
    <t>289282750</t>
  </si>
  <si>
    <t>289282753</t>
  </si>
  <si>
    <t>289282756</t>
  </si>
  <si>
    <t>289282759</t>
  </si>
  <si>
    <t>289282762</t>
  </si>
  <si>
    <t>289282765</t>
  </si>
  <si>
    <t>289282768</t>
  </si>
  <si>
    <t>289282771</t>
  </si>
  <si>
    <t>289282774</t>
  </si>
  <si>
    <t>289282777</t>
  </si>
  <si>
    <t>289282780</t>
  </si>
  <si>
    <t>289282783</t>
  </si>
  <si>
    <t>289282786</t>
  </si>
  <si>
    <t>289282789</t>
  </si>
  <si>
    <t>289282792</t>
  </si>
  <si>
    <t>289282795</t>
  </si>
  <si>
    <t>289282798</t>
  </si>
  <si>
    <t>289282801</t>
  </si>
  <si>
    <t>289282804</t>
  </si>
  <si>
    <t>289282807</t>
  </si>
  <si>
    <t>289282810</t>
  </si>
  <si>
    <t>289282813</t>
  </si>
  <si>
    <t>289282816</t>
  </si>
  <si>
    <t>289282819</t>
  </si>
  <si>
    <t>289282822</t>
  </si>
  <si>
    <t>289282825</t>
  </si>
  <si>
    <t>289282828</t>
  </si>
  <si>
    <t>289282831</t>
  </si>
  <si>
    <t>289282834</t>
  </si>
  <si>
    <t>Enviado 26/11 | Atualizado 27/11</t>
  </si>
  <si>
    <t>Enviado 27/11</t>
  </si>
  <si>
    <t>BR_VW_AFS_dv360_DIS_PROG_CPM_STD_LDR_AAF_RON_CXD_After-Sales-Oficina-Classicos-REG07-3rdparty_PD_970x250</t>
  </si>
  <si>
    <t>BR_VW_AFS_dv360_DIS_PROG_CPM_STD_LDR_AAF_RON_CXD_After-Sales-Oficina-Classicos-REG07-3rdparty_PD_300x250</t>
  </si>
  <si>
    <t>BR_VW_AFS_dv360_DIS_PROG_CPM_STD_LDR_AAF_RON_CXD_After-Sales-Oficina-Classicos-REG07-3rdparty_PD_300x50</t>
  </si>
  <si>
    <t>BR_VW_AFS_dv360_DIS_PROG_CPM_STD_LDR_AAF_RON_CXD_After-Sales-Oficina-Classicos-REG07-3rdparty_PD_160x600</t>
  </si>
  <si>
    <t>BR_VW_AFS_dv360_DIS_PROG_CPM_STD_LDR_AAF_RON_CXD_After-Sales-Oficina-Classicos-REG07-In-Market_PD_970x250</t>
  </si>
  <si>
    <t>BR_VW_AFS_dv360_DIS_PROG_CPM_STD_LDR_AAF_RON_CXD_After-Sales-Oficina-Classicos-REG07-In-Market_PD_300x250</t>
  </si>
  <si>
    <t>BR_VW_AFS_dv360_DIS_PROG_CPM_STD_LDR_AAF_RON_CXD_After-Sales-Oficina-Classicos-REG07-In-Market_PD_300x50</t>
  </si>
  <si>
    <t>BR_VW_AFS_dv360_DIS_PROG_CPM_STD_LDR_AAF_RON_CXD_After-Sales-Oficina-Classicos-REG07-In-Market_PD_160x600</t>
  </si>
  <si>
    <t>BR_VW_AFS_dv360_DIS_PROG_CPM_STD_LDR_AAF_RON_CXD_After-Sales-Oficina-Classicos-REG07-Categories_PD_970x250</t>
  </si>
  <si>
    <t>BR_VW_AFS_dv360_DIS_PROG_CPM_STD_LDR_AAF_RON_CXD_After-Sales-Oficina-Classicos-REG07-Categories_PD_300x250</t>
  </si>
  <si>
    <t>BR_VW_AFS_dv360_DIS_PROG_CPM_STD_LDR_AAF_RON_CXD_After-Sales-Oficina-Classicos-REG07-Categories_PD_300x50</t>
  </si>
  <si>
    <t>BR_VW_AFS_dv360_DIS_PROG_CPM_STD_LDR_AAF_RON_CXD_After-Sales-Oficina-Classicos-REG07-Categories_PD_160x600</t>
  </si>
  <si>
    <t>BR_VW_AFS_dv360_DIS_PROG_CPM_STD_LDR_AAF_RON_CXD_After-Sales-Oficina-Classicos-REG07-KWs_PD_970x250</t>
  </si>
  <si>
    <t>BR_VW_AFS_dv360_DIS_PROG_CPM_STD_LDR_AAF_RON_CXD_After-Sales-Oficina-Classicos-REG07-KWs_PD_300x250</t>
  </si>
  <si>
    <t>BR_VW_AFS_dv360_DIS_PROG_CPM_STD_LDR_AAF_RON_CXD_After-Sales-Oficina-Classicos-REG07-KWs_PD_300x50</t>
  </si>
  <si>
    <t>BR_VW_AFS_dv360_DIS_PROG_CPM_STD_LDR_AAF_RON_CXD_After-Sales-Oficina-Classicos-REG07-KWs_PD_160x600</t>
  </si>
  <si>
    <t>BR_VW_AFS_dv360_DIS_PROG_CPM_STD_LDR_AAF_RON_CXD_After-Sales-Oficina-Classicos-REG06-3rdparty_PD_970x250</t>
  </si>
  <si>
    <t>BR_VW_AFS_dv360_DIS_PROG_CPM_STD_LDR_AAF_RON_CXD_After-Sales-Oficina-Classicos-REG06-3rdparty_PD_300x250</t>
  </si>
  <si>
    <t>BR_VW_AFS_dv360_DIS_PROG_CPM_STD_LDR_AAF_RON_CXD_After-Sales-Oficina-Classicos-REG06-3rdparty_PD_300x50</t>
  </si>
  <si>
    <t>BR_VW_AFS_dv360_DIS_PROG_CPM_STD_LDR_AAF_RON_CXD_After-Sales-Oficina-Classicos-REG06-3rdparty_PD_160x600</t>
  </si>
  <si>
    <t>BR_VW_AFS_dv360_DIS_PROG_CPM_STD_LDR_AAF_RON_CXD_After-Sales-Oficina-Classicos-REG06-In-Market_PD_970x250</t>
  </si>
  <si>
    <t>BR_VW_AFS_dv360_DIS_PROG_CPM_STD_LDR_AAF_RON_CXD_After-Sales-Oficina-Classicos-REG06-In-Market_PD_300x250</t>
  </si>
  <si>
    <t>BR_VW_AFS_dv360_DIS_PROG_CPM_STD_LDR_AAF_RON_CXD_After-Sales-Oficina-Classicos-REG06-In-Market_PD_300x50</t>
  </si>
  <si>
    <t>BR_VW_AFS_dv360_DIS_PROG_CPM_STD_LDR_AAF_RON_CXD_After-Sales-Oficina-Classicos-REG06-In-Market_PD_160x600</t>
  </si>
  <si>
    <t>BR_VW_AFS_dv360_DIS_PROG_CPM_STD_LDR_AAF_RON_CXD_After-Sales-Oficina-Classicos-REG07-3rdparty_PD_728x90</t>
  </si>
  <si>
    <t>BR_VW_AFS_dv360_DIS_PROG_CPM_STD_LDR_AAF_RON_CXD_After-Sales-Oficina-Classicos-REG07-In-Market_PD_728x90</t>
  </si>
  <si>
    <t>BR_VW_AFS_dv360_DIS_PROG_CPM_STD_LDR_AAF_RON_CXD_After-Sales-Oficina-Classicos-REG07-Categories_PD_728x90</t>
  </si>
  <si>
    <t>BR_VW_AFS_dv360_DIS_PROG_CPM_STD_LDR_AAF_RON_CXD_After-Sales-Oficina-Classicos-REG07-KWs_PD_728x90</t>
  </si>
  <si>
    <t>BR_VW_AFS_dv360_DIS_PROG_CPM_STD_LDR_AAF_RON_CXD_After-Sales-Oficina-Classicos-REG06-3rdparty_PD_728x90</t>
  </si>
  <si>
    <t>BR_VW_AFS_dv360_DIS_PROG_CPM_STD_LDR_AAF_RON_CXD_After-Sales-Oficina-Classicos-REG06-In-Market_PD_728x90</t>
  </si>
  <si>
    <t>BR_VW_AFS_dv360_DIS_PROG_CPM_STD_LDR_AAF_RON_CXD_After-Sales-Oficina-Classicos-REG06-Categories_PD_728x90</t>
  </si>
  <si>
    <t>BR_VW_AFS_dv360_DIS_PROG_CPM_STD_LDR_AAF_RON_CXD_After-Sales-Oficina-Classicos-REG06-KWs_PD_728x90</t>
  </si>
  <si>
    <t>BR_VW_AFS_dv360_DIS_PROG_CPM_STD_LDR_AAF_RON_CXD_After-Sales-Oficina-Classicos-REG05-3rdparty_PD_728x90</t>
  </si>
  <si>
    <t>BR_VW_AFS_dv360_DIS_PROG_CPM_STD_LDR_AAF_RON_CXD_After-Sales-Oficina-Classicos-REG05-In-Market_PD_728x90</t>
  </si>
  <si>
    <t>BR_VW_AFS_dv360_DIS_PROG_CPM_STD_LDR_AAF_RON_CXD_After-Sales-Oficina-Classicos-REG05-Categories_PD_728x90</t>
  </si>
  <si>
    <t>BR_VW_AFS_dv360_DIS_PROG_CPM_STD_LDR_AAF_RON_CXD_After-Sales-Oficina-Classicos-REG05-KWs_PD_728x90</t>
  </si>
  <si>
    <t>BR_VW_AFS_dv360_DIS_PROG_CPM_STD_LDR_AAF_RON_CXD_After-Sales-Oficina-Classicos-REG04-3rdparty_PD_728x90</t>
  </si>
  <si>
    <t>BR_VW_AFS_dv360_DIS_PROG_CPM_STD_LDR_AAF_RON_CXD_After-Sales-Oficina-Classicos-REG04-In-Market_PD_728x90</t>
  </si>
  <si>
    <t>BR_VW_AFS_dv360_DIS_PROG_CPM_STD_LDR_AAF_RON_CXD_After-Sales-Oficina-Classicos-REG04-Categories_PD_728x90</t>
  </si>
  <si>
    <t>BR_VW_AFS_dv360_DIS_PROG_CPM_STD_LDR_AAF_RON_CXD_After-Sales-Oficina-Classicos-REG04-KWs_PD_728x90</t>
  </si>
  <si>
    <t>BR_VW_AFS_dv360_DIS_PROG_CPM_STD_LDR_AAF_RON_CXD_After-Sales-Oficina-Classicos-REG03-3rdparty_PD_728x90</t>
  </si>
  <si>
    <t>BR_VW_AFS_dv360_DIS_PROG_CPM_STD_LDR_AAF_RON_CXD_After-Sales-Oficina-Classicos-REG03-In-Market_PD_728x90</t>
  </si>
  <si>
    <t>BR_VW_AFS_dv360_DIS_PROG_CPM_STD_LDR_AAF_RON_CXD_After-Sales-Oficina-Classicos-REG03-Categories_PD_728x90</t>
  </si>
  <si>
    <t>BR_VW_AFS_dv360_DIS_PROG_CPM_STD_LDR_AAF_RON_CXD_After-Sales-Oficina-Classicos-REG03-KWs_PD_728x90</t>
  </si>
  <si>
    <t>BR_VW_AFS_dv360_DIS_PROG_CPM_STD_LDR_AAF_RON_CXD_After-Sales-Oficina-Classicos-REG02-3rdparty_PD_728x90</t>
  </si>
  <si>
    <t>BR_VW_AFS_dv360_DIS_PROG_CPM_STD_LDR_AAF_RON_CXD_After-Sales-Oficina-Classicos-REG02-In-Market_PD_728x90</t>
  </si>
  <si>
    <t>BR_VW_AFS_dv360_DIS_PROG_CPM_STD_LDR_AAF_RON_CXD_After-Sales-Oficina-Classicos-REG02-Categories_PD_728x90</t>
  </si>
  <si>
    <t>BR_VW_AFS_dv360_DIS_PROG_CPM_STD_LDR_AAF_RON_CXD_After-Sales-Oficina-Classicos-REG02-KWs_PD_728x90</t>
  </si>
  <si>
    <t>BR_VW_AFS_dv360_DIS_PROG_CPM_STD_LDR_AAF_RON_CXD_After-Sales-Oficina-Classicos-REG01-3rdparty_PD_728x90</t>
  </si>
  <si>
    <t>BR_VW_AFS_dv360_DIS_PROG_CPM_STD_LDR_AAF_RON_CXD_After-Sales-Oficina-Classicos-REG01-In-Market_PD_728x90</t>
  </si>
  <si>
    <t>BR_VW_AFS_dv360_DIS_PROG_CPM_STD_LDR_AAF_RON_CXD_After-Sales-Oficina-Classicos-REG01-Categories_PD_728x90</t>
  </si>
  <si>
    <t>BR_VW_AFS_dv360_DIS_PROG_CPM_STD_LDR_AAF_RON_CXD_After-Sales-Oficina-Classicos-REG01-KWs_PD_728x90</t>
  </si>
  <si>
    <t>BR_VW_AFS_dv360_DIS_PROG_CPM_STD_LDR_AAF_RON_CXD_After-Sales-Oficina-Classicos-REG06-Categories_PD_970x250</t>
  </si>
  <si>
    <t>BR_VW_AFS_dv360_DIS_PROG_CPM_STD_LDR_AAF_RON_CXD_After-Sales-Oficina-Classicos-REG06-Categories_PD_300x250</t>
  </si>
  <si>
    <t>BR_VW_AFS_dv360_DIS_PROG_CPM_STD_LDR_AAF_RON_CXD_After-Sales-Oficina-Classicos-REG06-Categories_PD_300x50</t>
  </si>
  <si>
    <t>BR_VW_AFS_dv360_DIS_PROG_CPM_STD_LDR_AAF_RON_CXD_After-Sales-Oficina-Classicos-REG06-Categories_PD_160x600</t>
  </si>
  <si>
    <t>BR_VW_AFS_dv360_DIS_PROG_CPM_STD_LDR_AAF_RON_CXD_After-Sales-Oficina-Classicos-REG06-KWs_PD_970x250</t>
  </si>
  <si>
    <t>BR_VW_AFS_dv360_DIS_PROG_CPM_STD_LDR_AAF_RON_CXD_After-Sales-Oficina-Classicos-REG06-KWs_PD_300x250</t>
  </si>
  <si>
    <t>BR_VW_AFS_dv360_DIS_PROG_CPM_STD_LDR_AAF_RON_CXD_After-Sales-Oficina-Classicos-REG06-KWs_PD_300x50</t>
  </si>
  <si>
    <t>BR_VW_AFS_dv360_DIS_PROG_CPM_STD_LDR_AAF_RON_CXD_After-Sales-Oficina-Classicos-REG06-KWs_PD_160x600</t>
  </si>
  <si>
    <t>BR_VW_AFS_dv360_DIS_PROG_CPM_STD_LDR_AAF_RON_CXD_After-Sales-Oficina-Classicos-REG05-3rdparty_PD_970x250</t>
  </si>
  <si>
    <t>BR_VW_AFS_dv360_DIS_PROG_CPM_STD_LDR_AAF_RON_CXD_After-Sales-Oficina-Classicos-REG05-3rdparty_PD_300x250</t>
  </si>
  <si>
    <t>BR_VW_AFS_dv360_DIS_PROG_CPM_STD_LDR_AAF_RON_CXD_After-Sales-Oficina-Classicos-REG05-3rdparty_PD_300x50</t>
  </si>
  <si>
    <t>BR_VW_AFS_dv360_DIS_PROG_CPM_STD_LDR_AAF_RON_CXD_After-Sales-Oficina-Classicos-REG05-3rdparty_PD_160x600</t>
  </si>
  <si>
    <t>BR_VW_AFS_dv360_DIS_PROG_CPM_STD_LDR_AAF_RON_CXD_After-Sales-Oficina-Classicos-REG05-In-Market_PD_970x250</t>
  </si>
  <si>
    <t>BR_VW_AFS_dv360_DIS_PROG_CPM_STD_LDR_AAF_RON_CXD_After-Sales-Oficina-Classicos-REG05-In-Market_PD_300x250</t>
  </si>
  <si>
    <t>BR_VW_AFS_dv360_DIS_PROG_CPM_STD_LDR_AAF_RON_CXD_After-Sales-Oficina-Classicos-REG05-In-Market_PD_300x50</t>
  </si>
  <si>
    <t>BR_VW_AFS_dv360_DIS_PROG_CPM_STD_LDR_AAF_RON_CXD_After-Sales-Oficina-Classicos-REG05-In-Market_PD_160x600</t>
  </si>
  <si>
    <t>BR_VW_AFS_dv360_DIS_PROG_CPM_STD_LDR_AAF_RON_CXD_After-Sales-Oficina-Classicos-REG05-Categories_PD_970x250</t>
  </si>
  <si>
    <t>BR_VW_AFS_dv360_DIS_PROG_CPM_STD_LDR_AAF_RON_CXD_After-Sales-Oficina-Classicos-REG05-Categories_PD_300x250</t>
  </si>
  <si>
    <t>BR_VW_AFS_dv360_DIS_PROG_CPM_STD_LDR_AAF_RON_CXD_After-Sales-Oficina-Classicos-REG05-Categories_PD_300x50</t>
  </si>
  <si>
    <t>BR_VW_AFS_dv360_DIS_PROG_CPM_STD_LDR_AAF_RON_CXD_After-Sales-Oficina-Classicos-REG05-Categories_PD_160x600</t>
  </si>
  <si>
    <t>BR_VW_AFS_dv360_DIS_PROG_CPM_STD_LDR_AAF_RON_CXD_After-Sales-Oficina-Classicos-REG05-KWs_PD_970x250</t>
  </si>
  <si>
    <t>BR_VW_AFS_dv360_DIS_PROG_CPM_STD_LDR_AAF_RON_CXD_After-Sales-Oficina-Classicos-REG05-KWs_PD_300x250</t>
  </si>
  <si>
    <t>BR_VW_AFS_dv360_DIS_PROG_CPM_STD_LDR_AAF_RON_CXD_After-Sales-Oficina-Classicos-REG05-KWs_PD_300x50</t>
  </si>
  <si>
    <t>BR_VW_AFS_dv360_DIS_PROG_CPM_STD_LDR_AAF_RON_CXD_After-Sales-Oficina-Classicos-REG05-KWs_PD_160x600</t>
  </si>
  <si>
    <t>BR_VW_AFS_dv360_DIS_PROG_CPM_STD_LDR_AAF_RON_CXD_After-Sales-Oficina-Classicos-REG04-3rdparty_PD_970x250</t>
  </si>
  <si>
    <t>BR_VW_AFS_dv360_DIS_PROG_CPM_STD_LDR_AAF_RON_CXD_After-Sales-Oficina-Classicos-REG04-3rdparty_PD_300x250</t>
  </si>
  <si>
    <t>BR_VW_AFS_dv360_DIS_PROG_CPM_STD_LDR_AAF_RON_CXD_After-Sales-Oficina-Classicos-REG04-3rdparty_PD_300x50</t>
  </si>
  <si>
    <t>BR_VW_AFS_dv360_DIS_PROG_CPM_STD_LDR_AAF_RON_CXD_After-Sales-Oficina-Classicos-REG04-3rdparty_PD_160x600</t>
  </si>
  <si>
    <t>BR_VW_AFS_dv360_DIS_PROG_CPM_STD_LDR_AAF_RON_CXD_After-Sales-Oficina-Classicos-REG04-In-Market_PD_970x250</t>
  </si>
  <si>
    <t>BR_VW_AFS_dv360_DIS_PROG_CPM_STD_LDR_AAF_RON_CXD_After-Sales-Oficina-Classicos-REG04-In-Market_PD_300x250</t>
  </si>
  <si>
    <t>BR_VW_AFS_dv360_DIS_PROG_CPM_STD_LDR_AAF_RON_CXD_After-Sales-Oficina-Classicos-REG04-In-Market_PD_300x50</t>
  </si>
  <si>
    <t>BR_VW_AFS_dv360_DIS_PROG_CPM_STD_LDR_AAF_RON_CXD_After-Sales-Oficina-Classicos-REG04-In-Market_PD_160x600</t>
  </si>
  <si>
    <t>BR_VW_AFS_dv360_DIS_PROG_CPM_STD_LDR_AAF_RON_CXD_After-Sales-Oficina-Classicos-REG04-Categories_PD_970x250</t>
  </si>
  <si>
    <t>BR_VW_AFS_dv360_DIS_PROG_CPM_STD_LDR_AAF_RON_CXD_After-Sales-Oficina-Classicos-REG04-Categories_PD_300x250</t>
  </si>
  <si>
    <t>BR_VW_AFS_dv360_DIS_PROG_CPM_STD_LDR_AAF_RON_CXD_After-Sales-Oficina-Classicos-REG04-Categories_PD_300x50</t>
  </si>
  <si>
    <t>BR_VW_AFS_dv360_DIS_PROG_CPM_STD_LDR_AAF_RON_CXD_After-Sales-Oficina-Classicos-REG04-Categories_PD_160x600</t>
  </si>
  <si>
    <t>BR_VW_AFS_dv360_DIS_PROG_CPM_STD_LDR_AAF_RON_CXD_After-Sales-Oficina-Classicos-REG04-KWs_PD_970x250</t>
  </si>
  <si>
    <t>BR_VW_AFS_dv360_DIS_PROG_CPM_STD_LDR_AAF_RON_CXD_After-Sales-Oficina-Classicos-REG04-KWs_PD_300x250</t>
  </si>
  <si>
    <t>BR_VW_AFS_dv360_DIS_PROG_CPM_STD_LDR_AAF_RON_CXD_After-Sales-Oficina-Classicos-REG04-KWs_PD_300x50</t>
  </si>
  <si>
    <t>BR_VW_AFS_dv360_DIS_PROG_CPM_STD_LDR_AAF_RON_CXD_After-Sales-Oficina-Classicos-REG04-KWs_PD_160x600</t>
  </si>
  <si>
    <t>BR_VW_AFS_dv360_DIS_PROG_CPM_STD_LDR_AAF_RON_CXD_After-Sales-Oficina-Classicos-REG03-3rdparty_PD_970x250</t>
  </si>
  <si>
    <t>BR_VW_AFS_dv360_DIS_PROG_CPM_STD_LDR_AAF_RON_CXD_After-Sales-Oficina-Classicos-REG03-3rdparty_PD_300x250</t>
  </si>
  <si>
    <t>BR_VW_AFS_dv360_DIS_PROG_CPM_STD_LDR_AAF_RON_CXD_After-Sales-Oficina-Classicos-REG03-3rdparty_PD_300x50</t>
  </si>
  <si>
    <t>BR_VW_AFS_dv360_DIS_PROG_CPM_STD_LDR_AAF_RON_CXD_After-Sales-Oficina-Classicos-REG03-3rdparty_PD_160x600</t>
  </si>
  <si>
    <t>BR_VW_AFS_dv360_DIS_PROG_CPM_STD_LDR_AAF_RON_CXD_After-Sales-Oficina-Classicos-REG03-In-Market_PD_970x250</t>
  </si>
  <si>
    <t>BR_VW_AFS_dv360_DIS_PROG_CPM_STD_LDR_AAF_RON_CXD_After-Sales-Oficina-Classicos-REG03-In-Market_PD_300x250</t>
  </si>
  <si>
    <t>BR_VW_AFS_dv360_DIS_PROG_CPM_STD_LDR_AAF_RON_CXD_After-Sales-Oficina-Classicos-REG03-In-Market_PD_300x50</t>
  </si>
  <si>
    <t>BR_VW_AFS_dv360_DIS_PROG_CPM_STD_LDR_AAF_RON_CXD_After-Sales-Oficina-Classicos-REG03-In-Market_PD_160x600</t>
  </si>
  <si>
    <t>BR_VW_AFS_dv360_DIS_PROG_CPM_STD_LDR_AAF_RON_CXD_After-Sales-Oficina-Classicos-REG03-Categories_PD_970x250</t>
  </si>
  <si>
    <t>BR_VW_AFS_dv360_DIS_PROG_CPM_STD_LDR_AAF_RON_CXD_After-Sales-Oficina-Classicos-REG03-Categories_PD_300x250</t>
  </si>
  <si>
    <t>BR_VW_AFS_dv360_DIS_PROG_CPM_STD_LDR_AAF_RON_CXD_After-Sales-Oficina-Classicos-REG03-Categories_PD_300x50</t>
  </si>
  <si>
    <t>BR_VW_AFS_dv360_DIS_PROG_CPM_STD_LDR_AAF_RON_CXD_After-Sales-Oficina-Classicos-REG03-Categories_PD_160x600</t>
  </si>
  <si>
    <t>BR_VW_AFS_dv360_DIS_PROG_CPM_STD_LDR_AAF_RON_CXD_After-Sales-Oficina-Classicos-REG03-KWs_PD_970x250</t>
  </si>
  <si>
    <t>BR_VW_AFS_dv360_DIS_PROG_CPM_STD_LDR_AAF_RON_CXD_After-Sales-Oficina-Classicos-REG03-KWs_PD_300x250</t>
  </si>
  <si>
    <t>BR_VW_AFS_dv360_DIS_PROG_CPM_STD_LDR_AAF_RON_CXD_After-Sales-Oficina-Classicos-REG03-KWs_PD_300x50</t>
  </si>
  <si>
    <t>BR_VW_AFS_dv360_DIS_PROG_CPM_STD_LDR_AAF_RON_CXD_After-Sales-Oficina-Classicos-REG03-KWs_PD_160x600</t>
  </si>
  <si>
    <t>BR_VW_AFS_dv360_DIS_PROG_CPM_STD_LDR_AAF_RON_CXD_After-Sales-Oficina-Classicos-REG02-3rdparty_PD_970x250</t>
  </si>
  <si>
    <t>BR_VW_AFS_dv360_DIS_PROG_CPM_STD_LDR_AAF_RON_CXD_After-Sales-Oficina-Classicos-REG02-3rdparty_PD_300x250</t>
  </si>
  <si>
    <t>BR_VW_AFS_dv360_DIS_PROG_CPM_STD_LDR_AAF_RON_CXD_After-Sales-Oficina-Classicos-REG02-3rdparty_PD_300x50</t>
  </si>
  <si>
    <t>BR_VW_AFS_dv360_DIS_PROG_CPM_STD_LDR_AAF_RON_CXD_After-Sales-Oficina-Classicos-REG02-3rdparty_PD_160x600</t>
  </si>
  <si>
    <t>BR_VW_AFS_dv360_DIS_PROG_CPM_STD_LDR_AAF_RON_CXD_After-Sales-Oficina-Classicos-REG02-In-Market_PD_970x250</t>
  </si>
  <si>
    <t>BR_VW_AFS_dv360_DIS_PROG_CPM_STD_LDR_AAF_RON_CXD_After-Sales-Oficina-Classicos-REG02-In-Market_PD_300x250</t>
  </si>
  <si>
    <t>BR_VW_AFS_dv360_DIS_PROG_CPM_STD_LDR_AAF_RON_CXD_After-Sales-Oficina-Classicos-REG02-In-Market_PD_300x50</t>
  </si>
  <si>
    <t>BR_VW_AFS_dv360_DIS_PROG_CPM_STD_LDR_AAF_RON_CXD_After-Sales-Oficina-Classicos-REG02-In-Market_PD_160x600</t>
  </si>
  <si>
    <t>BR_VW_AFS_dv360_DIS_PROG_CPM_STD_LDR_AAF_RON_CXD_After-Sales-Oficina-Classicos-REG02-Categories_PD_970x250</t>
  </si>
  <si>
    <t>BR_VW_AFS_dv360_DIS_PROG_CPM_STD_LDR_AAF_RON_CXD_After-Sales-Oficina-Classicos-REG02-Categories_PD_300x250</t>
  </si>
  <si>
    <t>BR_VW_AFS_dv360_DIS_PROG_CPM_STD_LDR_AAF_RON_CXD_After-Sales-Oficina-Classicos-REG02-Categories_PD_300x50</t>
  </si>
  <si>
    <t>BR_VW_AFS_dv360_DIS_PROG_CPM_STD_LDR_AAF_RON_CXD_After-Sales-Oficina-Classicos-REG02-Categories_PD_160x600</t>
  </si>
  <si>
    <t>BR_VW_AFS_dv360_DIS_PROG_CPM_STD_LDR_AAF_RON_CXD_After-Sales-Oficina-Classicos-REG02-KWs_PD_970x250</t>
  </si>
  <si>
    <t>BR_VW_AFS_dv360_DIS_PROG_CPM_STD_LDR_AAF_RON_CXD_After-Sales-Oficina-Classicos-REG02-KWs_PD_300x250</t>
  </si>
  <si>
    <t>BR_VW_AFS_dv360_DIS_PROG_CPM_STD_LDR_AAF_RON_CXD_After-Sales-Oficina-Classicos-REG02-KWs_PD_300x50</t>
  </si>
  <si>
    <t>BR_VW_AFS_dv360_DIS_PROG_CPM_STD_LDR_AAF_RON_CXD_After-Sales-Oficina-Classicos-REG02-KWs_PD_160x600</t>
  </si>
  <si>
    <t>BR_VW_AFS_dv360_DIS_PROG_CPM_STD_LDR_AAF_RON_CXD_After-Sales-Oficina-Classicos-REG01-3rdparty_PD_970x250</t>
  </si>
  <si>
    <t>BR_VW_AFS_dv360_DIS_PROG_CPM_STD_LDR_AAF_RON_CXD_After-Sales-Oficina-Classicos-REG01-3rdparty_PD_300x250</t>
  </si>
  <si>
    <t>BR_VW_AFS_dv360_DIS_PROG_CPM_STD_LDR_AAF_RON_CXD_After-Sales-Oficina-Classicos-REG01-3rdparty_PD_300x50</t>
  </si>
  <si>
    <t>BR_VW_AFS_dv360_DIS_PROG_CPM_STD_LDR_AAF_RON_CXD_After-Sales-Oficina-Classicos-REG01-3rdparty_PD_160x600</t>
  </si>
  <si>
    <t>BR_VW_AFS_dv360_DIS_PROG_CPM_STD_LDR_AAF_RON_CXD_After-Sales-Oficina-Classicos-REG01-In-Market_PD_970x250</t>
  </si>
  <si>
    <t>BR_VW_AFS_dv360_DIS_PROG_CPM_STD_LDR_AAF_RON_CXD_After-Sales-Oficina-Classicos-REG01-In-Market_PD_300x250</t>
  </si>
  <si>
    <t>BR_VW_AFS_dv360_DIS_PROG_CPM_STD_LDR_AAF_RON_CXD_After-Sales-Oficina-Classicos-REG01-In-Market_PD_300x50</t>
  </si>
  <si>
    <t>BR_VW_AFS_dv360_DIS_PROG_CPM_STD_LDR_AAF_RON_CXD_After-Sales-Oficina-Classicos-REG01-In-Market_PD_160x600</t>
  </si>
  <si>
    <t>BR_VW_AFS_dv360_DIS_PROG_CPM_STD_LDR_AAF_RON_CXD_After-Sales-Oficina-Classicos-REG01-Categories_PD_970x250</t>
  </si>
  <si>
    <t>BR_VW_AFS_dv360_DIS_PROG_CPM_STD_LDR_AAF_RON_CXD_After-Sales-Oficina-Classicos-REG01-Categories_PD_300x250</t>
  </si>
  <si>
    <t>BR_VW_AFS_dv360_DIS_PROG_CPM_STD_LDR_AAF_RON_CXD_After-Sales-Oficina-Classicos-REG01-Categories_PD_300x50</t>
  </si>
  <si>
    <t>BR_VW_AFS_dv360_DIS_PROG_CPM_STD_LDR_AAF_RON_CXD_After-Sales-Oficina-Classicos-REG01-Categories_PD_160x600</t>
  </si>
  <si>
    <t>BR_VW_AFS_dv360_DIS_PROG_CPM_STD_LDR_AAF_RON_CXD_After-Sales-Oficina-Classicos-REG01-KWs_PD_970x250</t>
  </si>
  <si>
    <t>BR_VW_AFS_dv360_DIS_PROG_CPM_STD_LDR_AAF_RON_CXD_After-Sales-Oficina-Classicos-REG01-KWs_PD_300x250</t>
  </si>
  <si>
    <t>BR_VW_AFS_dv360_DIS_PROG_CPM_STD_LDR_AAF_RON_CXD_After-Sales-Oficina-Classicos-REG01-KWs_PD_300x50</t>
  </si>
  <si>
    <t>BR_VW_AFS_dv360_DIS_PROG_CPM_STD_LDR_AAF_RON_CXD_After-Sales-Oficina-Classicos-REG01-KWs_PD_160x600</t>
  </si>
  <si>
    <t>289239864</t>
  </si>
  <si>
    <t>289239867</t>
  </si>
  <si>
    <t>289239870</t>
  </si>
  <si>
    <t>289239873</t>
  </si>
  <si>
    <t>289239876</t>
  </si>
  <si>
    <t>289239879</t>
  </si>
  <si>
    <t>289239882</t>
  </si>
  <si>
    <t>289239885</t>
  </si>
  <si>
    <t>289250988</t>
  </si>
  <si>
    <t>289250991</t>
  </si>
  <si>
    <t>289250994</t>
  </si>
  <si>
    <t>289250997</t>
  </si>
  <si>
    <t>289251000</t>
  </si>
  <si>
    <t>289251003</t>
  </si>
  <si>
    <t>289251006</t>
  </si>
  <si>
    <t>289251009</t>
  </si>
  <si>
    <t>289251012</t>
  </si>
  <si>
    <t>289251015</t>
  </si>
  <si>
    <t>289251018</t>
  </si>
  <si>
    <t>289251021</t>
  </si>
  <si>
    <t>289251024</t>
  </si>
  <si>
    <t>289251027</t>
  </si>
  <si>
    <t>289251030</t>
  </si>
  <si>
    <t>289251033</t>
  </si>
  <si>
    <t>289251036</t>
  </si>
  <si>
    <t>289251039</t>
  </si>
  <si>
    <t>289251042</t>
  </si>
  <si>
    <t>289251045</t>
  </si>
  <si>
    <t>BR_VW_AFS_faceinsta_SOC_DRCT_CPM_CLK_LDR_AAF_RON_CXD_After-Sales-Oficina-Classicos-reg03-interesses_PD_carrossel</t>
  </si>
  <si>
    <t>Inserir</t>
  </si>
  <si>
    <t>Solicitado-01-12-2020</t>
  </si>
  <si>
    <t>OLX</t>
  </si>
  <si>
    <t>After-Sales-Oficina-Classicos-kit2-reg01</t>
  </si>
  <si>
    <t>After-Sales-Oficina-Classicos-kit3-reg01</t>
  </si>
  <si>
    <t>After-Sales-Oficina-Classicos-kit2-reg02</t>
  </si>
  <si>
    <t>After-Sales-Oficina-Classicos-kit3-reg02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</si>
</sst>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3" borderId="3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1" fillId="4" borderId="6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0" fillId="0" borderId="10" xfId="0" applyBorder="1"/>
    <xf numFmtId="0" fontId="0" fillId="0" borderId="11" xfId="0" applyBorder="1"/>
    <xf numFmtId="0" fontId="4" fillId="0" borderId="3" xfId="0" applyFont="1" applyFill="1" applyBorder="1" applyAlignment="1">
      <alignment horizontal="center" vertical="center"/>
    </xf>
    <xf numFmtId="0" fontId="5" fillId="0" borderId="0" xfId="0" applyFont="1" applyAlignment="1">
      <alignment vertical="top" wrapText="1"/>
    </xf>
    <xf numFmtId="0" fontId="1" fillId="0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vertical="center"/>
    </xf>
    <xf numFmtId="0" fontId="2" fillId="4" borderId="5" xfId="0" applyFont="1" applyFill="1" applyBorder="1" applyAlignment="1">
      <alignment horizontal="center" vertical="center" wrapText="1"/>
    </xf>
    <xf numFmtId="0" fontId="2" fillId="4" borderId="5" xfId="0" quotePrefix="1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left" vertical="center"/>
    </xf>
    <xf numFmtId="14" fontId="4" fillId="0" borderId="3" xfId="0" applyNumberFormat="1" applyFont="1" applyFill="1" applyBorder="1" applyAlignment="1">
      <alignment horizontal="center" vertical="center"/>
    </xf>
    <xf numFmtId="0" fontId="0" fillId="0" borderId="0" xfId="0" applyFill="1"/>
    <xf numFmtId="0" fontId="6" fillId="4" borderId="12" xfId="0" quotePrefix="1" applyFont="1" applyFill="1" applyBorder="1" applyAlignment="1">
      <alignment horizontal="center" vertical="center" wrapText="1"/>
    </xf>
    <xf numFmtId="0" fontId="0" fillId="0" borderId="12" xfId="0" applyBorder="1"/>
    <xf numFmtId="0" fontId="5" fillId="0" borderId="0" xfId="0" applyFont="1" applyAlignment="1">
      <alignment horizontal="center" vertical="top" wrapText="1"/>
    </xf>
    <xf numFmtId="0" fontId="0" fillId="0" borderId="0" xfId="0" applyFill="1" applyAlignment="1">
      <alignment horizontal="center"/>
    </xf>
    <xf numFmtId="0" fontId="5" fillId="6" borderId="0" xfId="0" applyFont="1" applyFill="1" applyAlignment="1">
      <alignment vertical="top" wrapText="1"/>
    </xf>
    <xf numFmtId="0" fontId="0" fillId="6" borderId="0" xfId="0" applyFill="1"/>
    <xf numFmtId="0" fontId="4" fillId="6" borderId="3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3" xfId="0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posvendas.vw.com.br/" TargetMode="External"/><Relationship Id="rId1" Type="http://schemas.openxmlformats.org/officeDocument/2006/relationships/hyperlink" Target="https://posvendas.vw.com.br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957FB-7196-4E06-A4D9-175195763223}">
  <sheetPr codeName="Planilha1"/>
  <dimension ref="A1:G13"/>
  <sheetViews>
    <sheetView showGridLines="0" workbookViewId="0">
      <selection activeCell="B3" sqref="B3"/>
    </sheetView>
  </sheetViews>
  <sheetFormatPr defaultRowHeight="15" x14ac:dyDescent="0.25"/>
  <cols>
    <col min="1" max="1" width="18.7109375" customWidth="1"/>
    <col min="2" max="2" width="54.85546875" bestFit="1" customWidth="1"/>
    <col min="7" max="7" width="13.140625" customWidth="1"/>
  </cols>
  <sheetData>
    <row r="1" spans="1:7" x14ac:dyDescent="0.25">
      <c r="A1" s="13"/>
      <c r="B1" s="14"/>
      <c r="C1" s="14"/>
      <c r="D1" s="14"/>
      <c r="E1" s="14"/>
      <c r="F1" s="14"/>
      <c r="G1" s="14"/>
    </row>
    <row r="2" spans="1:7" ht="15.75" thickBot="1" x14ac:dyDescent="0.3"/>
    <row r="3" spans="1:7" ht="15.75" thickBot="1" x14ac:dyDescent="0.3">
      <c r="A3" s="7" t="s">
        <v>6</v>
      </c>
      <c r="B3" s="12" t="str">
        <f>CONCATENATE(VLOOKUP(B5,tab_country,2,FALSE),"_",VLOOKUP(B6,tab_planningprinciple,2,FALSE),"_",VLOOKUP(B7,tab_mediachannel,2,FALSE),"_",VLOOKUP(B8,tab_strategyphase,2,FALSE),"_",VLOOKUP(B9,tab_type,2,FALSE),"_",VLOOKUP(B10,tab_campaigncategory,2,FALSE),"_",VLOOKUP(B11,tab_date,2,FALSE),"_",VLOOKUP(B12,tab_modelvariant,2,FALSE),"_",B13)</f>
        <v>BR_AAF_DSY_NONMS_ND_AS_2019Q2APR_AFS_After-Sales</v>
      </c>
    </row>
    <row r="4" spans="1:7" ht="15.75" thickBot="1" x14ac:dyDescent="0.3"/>
    <row r="5" spans="1:7" ht="15.75" thickBot="1" x14ac:dyDescent="0.3">
      <c r="A5" s="8" t="s">
        <v>7</v>
      </c>
      <c r="B5" s="9" t="s">
        <v>52</v>
      </c>
      <c r="C5" t="s">
        <v>780</v>
      </c>
    </row>
    <row r="6" spans="1:7" ht="15.75" thickBot="1" x14ac:dyDescent="0.3">
      <c r="A6" s="8" t="s">
        <v>365</v>
      </c>
      <c r="B6" s="10" t="s">
        <v>676</v>
      </c>
      <c r="C6" t="s">
        <v>781</v>
      </c>
    </row>
    <row r="7" spans="1:7" ht="15.75" thickBot="1" x14ac:dyDescent="0.3">
      <c r="A7" s="8" t="s">
        <v>8</v>
      </c>
      <c r="B7" s="10" t="s">
        <v>24</v>
      </c>
      <c r="C7" t="s">
        <v>782</v>
      </c>
    </row>
    <row r="8" spans="1:7" ht="15.75" thickBot="1" x14ac:dyDescent="0.3">
      <c r="A8" s="8" t="s">
        <v>0</v>
      </c>
      <c r="B8" s="10" t="s">
        <v>718</v>
      </c>
      <c r="C8" t="s">
        <v>783</v>
      </c>
    </row>
    <row r="9" spans="1:7" ht="15.75" thickBot="1" x14ac:dyDescent="0.3">
      <c r="A9" s="8" t="s">
        <v>1</v>
      </c>
      <c r="B9" s="10" t="s">
        <v>28</v>
      </c>
      <c r="C9" t="s">
        <v>784</v>
      </c>
    </row>
    <row r="10" spans="1:7" ht="15.75" thickBot="1" x14ac:dyDescent="0.3">
      <c r="A10" s="8" t="s">
        <v>2</v>
      </c>
      <c r="B10" s="10" t="s">
        <v>692</v>
      </c>
      <c r="C10" t="s">
        <v>785</v>
      </c>
    </row>
    <row r="11" spans="1:7" ht="15.75" thickBot="1" x14ac:dyDescent="0.3">
      <c r="A11" s="8" t="s">
        <v>3</v>
      </c>
      <c r="B11" s="10" t="s">
        <v>740</v>
      </c>
      <c r="C11" t="s">
        <v>786</v>
      </c>
    </row>
    <row r="12" spans="1:7" ht="15.75" thickBot="1" x14ac:dyDescent="0.3">
      <c r="A12" s="8" t="s">
        <v>4</v>
      </c>
      <c r="B12" s="10" t="s">
        <v>692</v>
      </c>
      <c r="C12" t="s">
        <v>787</v>
      </c>
    </row>
    <row r="13" spans="1:7" ht="15.75" thickBot="1" x14ac:dyDescent="0.3">
      <c r="A13" s="8" t="s">
        <v>5</v>
      </c>
      <c r="B13" s="11" t="s">
        <v>692</v>
      </c>
      <c r="C13" t="s">
        <v>788</v>
      </c>
    </row>
  </sheetData>
  <dataConsolidate/>
  <dataValidations count="8">
    <dataValidation type="list" allowBlank="1" showInputMessage="1" showErrorMessage="1" sqref="B5" xr:uid="{2484C9F9-215F-451D-BBF9-D650B0257667}">
      <formula1>list_country</formula1>
    </dataValidation>
    <dataValidation type="list" allowBlank="1" showInputMessage="1" showErrorMessage="1" sqref="B6" xr:uid="{6606435C-7903-4499-BF69-F3C78B1A60FF}">
      <formula1>list_planningprinciple</formula1>
    </dataValidation>
    <dataValidation type="list" allowBlank="1" showInputMessage="1" showErrorMessage="1" sqref="B7" xr:uid="{B9B5561E-E221-47D9-8AFD-8309D01B2FD0}">
      <formula1>list_mediachannel</formula1>
    </dataValidation>
    <dataValidation type="list" allowBlank="1" showInputMessage="1" showErrorMessage="1" sqref="B8" xr:uid="{A3BEC352-BC69-4F87-ABE8-AE3475F6A09B}">
      <formula1>list_strategyphase</formula1>
    </dataValidation>
    <dataValidation type="list" allowBlank="1" showInputMessage="1" showErrorMessage="1" sqref="B9" xr:uid="{F4B7E40E-D9BE-4D83-A655-4F158B57713D}">
      <formula1>list_type</formula1>
    </dataValidation>
    <dataValidation type="list" allowBlank="1" showInputMessage="1" showErrorMessage="1" sqref="B10" xr:uid="{C81A4306-4304-4643-85BF-73268B49E00E}">
      <formula1>list_campaigncategory</formula1>
    </dataValidation>
    <dataValidation type="list" allowBlank="1" showInputMessage="1" showErrorMessage="1" sqref="B11" xr:uid="{20B6B3D0-4B1F-4A69-928A-BA9EAE25BEA5}">
      <formula1>list_date</formula1>
    </dataValidation>
    <dataValidation type="list" allowBlank="1" showInputMessage="1" showErrorMessage="1" sqref="B12" xr:uid="{DD9A9470-E534-4186-A7EB-AB744D0179DD}">
      <formula1>list_modelvariant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066DC-E7C3-46F6-84DB-B38FB5736D92}">
  <sheetPr codeName="Planilha2" filterMode="1"/>
  <dimension ref="B1:AN628"/>
  <sheetViews>
    <sheetView showGridLines="0" tabSelected="1" zoomScale="80" zoomScaleNormal="80" workbookViewId="0">
      <pane xSplit="1" ySplit="2" topLeftCell="B126" activePane="bottomRight" state="frozen"/>
      <selection pane="topRight" activeCell="B1" sqref="B1"/>
      <selection pane="bottomLeft" activeCell="A3" sqref="A3"/>
      <selection pane="bottomRight" activeCell="K582" sqref="A127:K582"/>
    </sheetView>
  </sheetViews>
  <sheetFormatPr defaultRowHeight="15" x14ac:dyDescent="0.25"/>
  <cols>
    <col min="1" max="1" width="2.28515625" style="29" customWidth="1"/>
    <col min="2" max="2" width="19.42578125" style="23" bestFit="1" customWidth="1"/>
    <col min="3" max="3" width="16.7109375" style="23" customWidth="1"/>
    <col min="4" max="4" width="20.140625" style="23" bestFit="1" customWidth="1"/>
    <col min="5" max="6" width="14.140625" style="23" customWidth="1"/>
    <col min="7" max="7" width="17.85546875" style="23" customWidth="1"/>
    <col min="8" max="8" width="19.28515625" style="23" bestFit="1" customWidth="1"/>
    <col min="9" max="9" width="15" style="23" customWidth="1"/>
    <col min="10" max="10" width="22.140625" style="23" customWidth="1"/>
    <col min="11" max="11" width="21.42578125" style="23" customWidth="1"/>
    <col min="12" max="12" width="16.28515625" style="23" customWidth="1"/>
    <col min="13" max="13" width="15.85546875" style="23" bestFit="1" customWidth="1"/>
    <col min="14" max="14" width="17.7109375" style="23" customWidth="1"/>
    <col min="15" max="15" width="16.7109375" style="23" customWidth="1"/>
    <col min="16" max="16" width="32.42578125" style="23" bestFit="1" customWidth="1"/>
    <col min="17" max="17" width="26" style="23" bestFit="1" customWidth="1"/>
    <col min="18" max="18" width="8.28515625" style="23" customWidth="1"/>
    <col min="19" max="19" width="10.140625" style="23" customWidth="1"/>
    <col min="20" max="20" width="11.85546875" style="23" bestFit="1" customWidth="1"/>
    <col min="21" max="28" width="9.140625" hidden="1" customWidth="1"/>
    <col min="29" max="29" width="52" style="23" bestFit="1" customWidth="1"/>
    <col min="30" max="30" width="18.140625" style="27" bestFit="1" customWidth="1"/>
    <col min="31" max="31" width="118.5703125" style="23" bestFit="1" customWidth="1"/>
    <col min="32" max="32" width="109.7109375" style="23" customWidth="1"/>
    <col min="33" max="33" width="75.28515625" style="23" customWidth="1"/>
    <col min="34" max="34" width="100.7109375" style="23" customWidth="1"/>
    <col min="35" max="35" width="96.42578125" style="23" customWidth="1"/>
    <col min="36" max="36" width="15.42578125" style="23" customWidth="1"/>
    <col min="37" max="37" width="19.28515625" style="23" customWidth="1"/>
    <col min="38" max="38" width="47.42578125" style="23" bestFit="1" customWidth="1"/>
    <col min="39" max="39" width="112.28515625" style="23" customWidth="1"/>
    <col min="40" max="40" width="25.28515625" style="23" customWidth="1"/>
    <col min="41" max="16384" width="9.140625" style="29"/>
  </cols>
  <sheetData>
    <row r="1" spans="2:40" s="28" customFormat="1" ht="45" customHeight="1" x14ac:dyDescent="0.25">
      <c r="B1" s="16"/>
      <c r="C1" s="16"/>
      <c r="D1" s="16"/>
      <c r="E1" s="16"/>
      <c r="F1" s="16"/>
      <c r="G1" s="16" t="s">
        <v>789</v>
      </c>
      <c r="H1" s="16" t="s">
        <v>790</v>
      </c>
      <c r="I1" s="16" t="s">
        <v>803</v>
      </c>
      <c r="J1" s="16" t="s">
        <v>802</v>
      </c>
      <c r="K1" s="16" t="s">
        <v>791</v>
      </c>
      <c r="L1" s="16" t="s">
        <v>792</v>
      </c>
      <c r="M1" s="16" t="s">
        <v>799</v>
      </c>
      <c r="N1" s="16" t="s">
        <v>793</v>
      </c>
      <c r="O1" s="16" t="s">
        <v>794</v>
      </c>
      <c r="P1" s="16" t="s">
        <v>797</v>
      </c>
      <c r="Q1" s="16" t="s">
        <v>804</v>
      </c>
      <c r="R1" s="16"/>
      <c r="S1" s="16" t="s">
        <v>796</v>
      </c>
      <c r="T1" s="16" t="s">
        <v>795</v>
      </c>
      <c r="U1" s="16"/>
      <c r="V1" s="16"/>
      <c r="W1" s="16"/>
      <c r="X1" s="16"/>
      <c r="Y1" s="16"/>
      <c r="Z1" s="16"/>
      <c r="AA1" s="16"/>
      <c r="AB1" s="16"/>
      <c r="AC1" s="16"/>
      <c r="AD1" s="26"/>
      <c r="AE1" s="16"/>
      <c r="AF1" s="16"/>
      <c r="AG1" s="16"/>
      <c r="AH1" s="16"/>
      <c r="AI1" s="16"/>
      <c r="AJ1" s="16"/>
      <c r="AK1" s="16"/>
      <c r="AL1" s="16"/>
      <c r="AM1" s="16"/>
      <c r="AN1" s="16"/>
    </row>
    <row r="2" spans="2:40" ht="38.25" x14ac:dyDescent="0.25">
      <c r="B2" s="1" t="s">
        <v>278</v>
      </c>
      <c r="C2" s="2" t="s">
        <v>279</v>
      </c>
      <c r="D2" s="3" t="s">
        <v>280</v>
      </c>
      <c r="E2" s="1" t="s">
        <v>281</v>
      </c>
      <c r="F2" s="1" t="s">
        <v>282</v>
      </c>
      <c r="G2" s="4" t="s">
        <v>283</v>
      </c>
      <c r="H2" s="5" t="s">
        <v>284</v>
      </c>
      <c r="I2" s="5" t="s">
        <v>286</v>
      </c>
      <c r="J2" s="5" t="s">
        <v>287</v>
      </c>
      <c r="K2" s="5" t="s">
        <v>288</v>
      </c>
      <c r="L2" s="5" t="s">
        <v>289</v>
      </c>
      <c r="M2" s="19" t="s">
        <v>290</v>
      </c>
      <c r="N2" s="5" t="s">
        <v>285</v>
      </c>
      <c r="O2" s="5" t="s">
        <v>291</v>
      </c>
      <c r="P2" s="5" t="s">
        <v>801</v>
      </c>
      <c r="Q2" s="5" t="s">
        <v>800</v>
      </c>
      <c r="R2" s="5" t="s">
        <v>834</v>
      </c>
      <c r="S2" s="5" t="s">
        <v>292</v>
      </c>
      <c r="T2" s="5" t="s">
        <v>293</v>
      </c>
      <c r="U2" s="5" t="s">
        <v>294</v>
      </c>
      <c r="V2" s="5" t="s">
        <v>295</v>
      </c>
      <c r="W2" s="5" t="s">
        <v>296</v>
      </c>
      <c r="X2" s="5" t="s">
        <v>297</v>
      </c>
      <c r="Y2" s="5" t="s">
        <v>298</v>
      </c>
      <c r="Z2" s="5" t="s">
        <v>299</v>
      </c>
      <c r="AA2" s="5" t="s">
        <v>300</v>
      </c>
      <c r="AB2" s="5" t="s">
        <v>301</v>
      </c>
      <c r="AC2" s="5" t="s">
        <v>807</v>
      </c>
      <c r="AD2" s="20" t="s">
        <v>839</v>
      </c>
      <c r="AE2" s="20" t="s">
        <v>366</v>
      </c>
      <c r="AF2" s="20" t="s">
        <v>805</v>
      </c>
      <c r="AG2" s="20" t="s">
        <v>806</v>
      </c>
      <c r="AH2" s="19" t="s">
        <v>808</v>
      </c>
      <c r="AI2" s="19" t="s">
        <v>810</v>
      </c>
      <c r="AJ2" s="19" t="s">
        <v>302</v>
      </c>
      <c r="AK2" s="19" t="s">
        <v>303</v>
      </c>
      <c r="AL2" s="19" t="s">
        <v>304</v>
      </c>
      <c r="AM2" s="19" t="s">
        <v>305</v>
      </c>
      <c r="AN2" s="19" t="s">
        <v>306</v>
      </c>
    </row>
    <row r="3" spans="2:40" hidden="1" x14ac:dyDescent="0.25">
      <c r="B3" s="15" t="s">
        <v>933</v>
      </c>
      <c r="C3" s="15" t="s">
        <v>1171</v>
      </c>
      <c r="D3" s="30" t="s">
        <v>873</v>
      </c>
      <c r="E3" s="22">
        <v>44155</v>
      </c>
      <c r="F3" s="22">
        <v>44196</v>
      </c>
      <c r="G3" s="15" t="s">
        <v>674</v>
      </c>
      <c r="H3" s="15" t="s">
        <v>811</v>
      </c>
      <c r="I3" s="15" t="s">
        <v>702</v>
      </c>
      <c r="J3" s="15" t="s">
        <v>325</v>
      </c>
      <c r="K3" s="15" t="s">
        <v>334</v>
      </c>
      <c r="L3" s="15" t="s">
        <v>358</v>
      </c>
      <c r="M3" s="15" t="s">
        <v>322</v>
      </c>
      <c r="N3" s="15" t="s">
        <v>708</v>
      </c>
      <c r="O3" s="15" t="s">
        <v>694</v>
      </c>
      <c r="P3" s="15" t="s">
        <v>1040</v>
      </c>
      <c r="Q3" s="15" t="s">
        <v>842</v>
      </c>
      <c r="R3" s="15" t="s">
        <v>835</v>
      </c>
      <c r="S3" s="15" t="s">
        <v>348</v>
      </c>
      <c r="T3" s="15" t="s">
        <v>457</v>
      </c>
      <c r="U3" s="23"/>
      <c r="V3" s="23"/>
      <c r="W3" s="23"/>
      <c r="X3" s="23"/>
      <c r="Y3" s="23"/>
      <c r="Z3" s="23"/>
      <c r="AA3" s="23"/>
      <c r="AB3" s="23"/>
      <c r="AC3" s="32" t="s">
        <v>885</v>
      </c>
      <c r="AD3" s="33" t="str">
        <f t="shared" ref="AD3:AD34" si="0">VLOOKUP(AE3,id_placement,2,FALSE)</f>
        <v>289282834</v>
      </c>
      <c r="AE3" s="21" t="str">
        <f t="shared" ref="AE3:AE15" si="1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IF(col_servidopor="adserver-rotacionar",col_segmentacao,CONCATENATE(col_localfreetype,"-",col_segmentacao)),"_",VLOOKUP(col_paidvsav,tab_paidvsav,2,FALSE),"_",col_size))</f>
        <v>BR_VW_AFS_dv360_DIS_PROG_CPM_STD_LDR_AAF_RON_CXD_After-Sales-Oficina-Classicos-REG01-KWs_PD_160x600</v>
      </c>
      <c r="AF3" s="21" t="str">
        <f t="shared" ref="AF3:AF15" si="2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col_localfreetype,"-",col_segmentacao,"_",VLOOKUP(col_paidvsav,tab_paidvsav,2,FALSE),"_",col_size))</f>
        <v>BR_VW_AFS_dv360_DIS_PROG_CPM_STD_LDR_AAF_RON_CXD_After-Sales-Oficina-Classicos-REG01-KWs_PD_160x600</v>
      </c>
      <c r="AG3" s="21" t="str">
        <f t="shared" ref="AG3:AG15" si="3">CONCATENATE("VW","_",cel_modelvariant,"-",col_segmentacao,"_",col_size,"_",col_localfreetype,"-",IF(col_servidopor="portal",col_supplier,"adserver"))</f>
        <v>VW_After-Sales-KWs_160x600_After-Sales-Oficina-Classicos-REG01-adserver</v>
      </c>
      <c r="AH3" s="21" t="str">
        <f t="shared" ref="AH3:AH15" si="4">faxineiro(CONCATENATE(col_url,IF(ISNUMBER(FIND("?",col_url)),"&amp;","?"),"utm_source=",col_utmsource,"&amp;utm_medium=",col_utmmedium,"&amp;utm_content=",col_utmcontent,"&amp;utm_campaign=",col_utmcampaign,"&amp;utm_term=",col_keyword))</f>
        <v>https://www.oficinadeclassicos.com.br/index.aspx?utm_source=dv360&amp;utm_medium=Programmatic&amp;utm_content=BR_VW_AFS_dv360_DIS_PROG_CPM_STD_LDR_AAF_RON_CXD_After-Sales-Oficina-Classicos-REG01-KWs_PD_160x600&amp;utm_campaign=BR_AAF_DSY_NONMS_ND_AS_2019Q2APR_AFS_After-Sales&amp;utm_term=%epid!_%ecid!_%eaid!</v>
      </c>
      <c r="AI3" s="21" t="str">
        <f t="shared" ref="AI3:AI15" si="5">IFERROR(IF(col_servidopor="portal",VLOOKUP(col_placement,tab_contadores,2,FALSE),"TAG"),"Contador")</f>
        <v>TAG</v>
      </c>
      <c r="AJ3" s="15" t="str">
        <f t="shared" ref="AJ3:AJ17" si="6">H3</f>
        <v>dv360</v>
      </c>
      <c r="AK3" s="15" t="str">
        <f t="shared" ref="AK3:AK17" si="7">J3</f>
        <v>Programmatic</v>
      </c>
      <c r="AL3" s="21" t="str">
        <f>Campanha!$B$3</f>
        <v>BR_AAF_DSY_NONMS_ND_AS_2019Q2APR_AFS_After-Sales</v>
      </c>
      <c r="AM3" s="21" t="str">
        <f t="shared" ref="AM3:AM15" si="8">col_adname</f>
        <v>BR_VW_AFS_dv360_DIS_PROG_CPM_STD_LDR_AAF_RON_CXD_After-Sales-Oficina-Classicos-REG01-KWs_PD_160x600</v>
      </c>
      <c r="AN3" s="15" t="s">
        <v>809</v>
      </c>
    </row>
    <row r="4" spans="2:40" hidden="1" x14ac:dyDescent="0.25">
      <c r="B4" s="15" t="s">
        <v>933</v>
      </c>
      <c r="C4" s="15" t="s">
        <v>1171</v>
      </c>
      <c r="D4" s="30" t="s">
        <v>873</v>
      </c>
      <c r="E4" s="22">
        <v>44155</v>
      </c>
      <c r="F4" s="22">
        <v>44196</v>
      </c>
      <c r="G4" s="15" t="s">
        <v>674</v>
      </c>
      <c r="H4" s="15" t="s">
        <v>811</v>
      </c>
      <c r="I4" s="15" t="s">
        <v>702</v>
      </c>
      <c r="J4" s="15" t="s">
        <v>325</v>
      </c>
      <c r="K4" s="15" t="s">
        <v>334</v>
      </c>
      <c r="L4" s="15" t="s">
        <v>358</v>
      </c>
      <c r="M4" s="15" t="s">
        <v>322</v>
      </c>
      <c r="N4" s="15" t="s">
        <v>708</v>
      </c>
      <c r="O4" s="15" t="s">
        <v>694</v>
      </c>
      <c r="P4" s="15" t="s">
        <v>1040</v>
      </c>
      <c r="Q4" s="15" t="s">
        <v>842</v>
      </c>
      <c r="R4" s="15" t="s">
        <v>835</v>
      </c>
      <c r="S4" s="15" t="s">
        <v>348</v>
      </c>
      <c r="T4" s="15" t="s">
        <v>484</v>
      </c>
      <c r="U4" s="23"/>
      <c r="V4" s="23"/>
      <c r="W4" s="23"/>
      <c r="X4" s="23"/>
      <c r="Y4" s="23"/>
      <c r="Z4" s="23"/>
      <c r="AA4" s="23"/>
      <c r="AB4" s="23"/>
      <c r="AC4" s="32" t="s">
        <v>885</v>
      </c>
      <c r="AD4" s="33" t="str">
        <f t="shared" si="0"/>
        <v>289282831</v>
      </c>
      <c r="AE4" s="21" t="str">
        <f t="shared" si="1"/>
        <v>BR_VW_AFS_dv360_DIS_PROG_CPM_STD_LDR_AAF_RON_CXD_After-Sales-Oficina-Classicos-REG01-KWs_PD_300x50</v>
      </c>
      <c r="AF4" s="21" t="str">
        <f t="shared" si="2"/>
        <v>BR_VW_AFS_dv360_DIS_PROG_CPM_STD_LDR_AAF_RON_CXD_After-Sales-Oficina-Classicos-REG01-KWs_PD_300x50</v>
      </c>
      <c r="AG4" s="21" t="str">
        <f t="shared" si="3"/>
        <v>VW_After-Sales-KWs_300x50_After-Sales-Oficina-Classicos-REG01-adserver</v>
      </c>
      <c r="AH4" s="21" t="str">
        <f t="shared" si="4"/>
        <v>https://www.oficinadeclassicos.com.br/index.aspx?utm_source=dv360&amp;utm_medium=Programmatic&amp;utm_content=BR_VW_AFS_dv360_DIS_PROG_CPM_STD_LDR_AAF_RON_CXD_After-Sales-Oficina-Classicos-REG01-KWs_PD_300x50&amp;utm_campaign=BR_AAF_DSY_NONMS_ND_AS_2019Q2APR_AFS_After-Sales&amp;utm_term=%epid!_%ecid!_%eaid!</v>
      </c>
      <c r="AI4" s="21" t="str">
        <f t="shared" si="5"/>
        <v>TAG</v>
      </c>
      <c r="AJ4" s="15" t="str">
        <f t="shared" si="6"/>
        <v>dv360</v>
      </c>
      <c r="AK4" s="15" t="str">
        <f t="shared" si="7"/>
        <v>Programmatic</v>
      </c>
      <c r="AL4" s="21" t="str">
        <f>Campanha!$B$3</f>
        <v>BR_AAF_DSY_NONMS_ND_AS_2019Q2APR_AFS_After-Sales</v>
      </c>
      <c r="AM4" s="21" t="str">
        <f t="shared" si="8"/>
        <v>BR_VW_AFS_dv360_DIS_PROG_CPM_STD_LDR_AAF_RON_CXD_After-Sales-Oficina-Classicos-REG01-KWs_PD_300x50</v>
      </c>
      <c r="AN4" s="15" t="s">
        <v>809</v>
      </c>
    </row>
    <row r="5" spans="2:40" hidden="1" x14ac:dyDescent="0.25">
      <c r="B5" s="15" t="s">
        <v>933</v>
      </c>
      <c r="C5" s="15" t="s">
        <v>1171</v>
      </c>
      <c r="D5" s="30" t="s">
        <v>873</v>
      </c>
      <c r="E5" s="22">
        <v>44155</v>
      </c>
      <c r="F5" s="22">
        <v>44196</v>
      </c>
      <c r="G5" s="15" t="s">
        <v>674</v>
      </c>
      <c r="H5" s="15" t="s">
        <v>811</v>
      </c>
      <c r="I5" s="15" t="s">
        <v>702</v>
      </c>
      <c r="J5" s="15" t="s">
        <v>325</v>
      </c>
      <c r="K5" s="15" t="s">
        <v>334</v>
      </c>
      <c r="L5" s="15" t="s">
        <v>358</v>
      </c>
      <c r="M5" s="15" t="s">
        <v>322</v>
      </c>
      <c r="N5" s="15" t="s">
        <v>708</v>
      </c>
      <c r="O5" s="15" t="s">
        <v>694</v>
      </c>
      <c r="P5" s="15" t="s">
        <v>1040</v>
      </c>
      <c r="Q5" s="15" t="s">
        <v>842</v>
      </c>
      <c r="R5" s="15" t="s">
        <v>835</v>
      </c>
      <c r="S5" s="15" t="s">
        <v>348</v>
      </c>
      <c r="T5" s="15" t="s">
        <v>478</v>
      </c>
      <c r="U5" s="23"/>
      <c r="V5" s="23"/>
      <c r="W5" s="23"/>
      <c r="X5" s="23"/>
      <c r="Y5" s="23"/>
      <c r="Z5" s="23"/>
      <c r="AA5" s="23"/>
      <c r="AB5" s="23"/>
      <c r="AC5" s="32" t="s">
        <v>885</v>
      </c>
      <c r="AD5" s="33" t="str">
        <f t="shared" si="0"/>
        <v>289282828</v>
      </c>
      <c r="AE5" s="21" t="str">
        <f t="shared" si="1"/>
        <v>BR_VW_AFS_dv360_DIS_PROG_CPM_STD_LDR_AAF_RON_CXD_After-Sales-Oficina-Classicos-REG01-KWs_PD_300x250</v>
      </c>
      <c r="AF5" s="21" t="str">
        <f t="shared" si="2"/>
        <v>BR_VW_AFS_dv360_DIS_PROG_CPM_STD_LDR_AAF_RON_CXD_After-Sales-Oficina-Classicos-REG01-KWs_PD_300x250</v>
      </c>
      <c r="AG5" s="21" t="str">
        <f t="shared" si="3"/>
        <v>VW_After-Sales-KWs_300x250_After-Sales-Oficina-Classicos-REG01-adserver</v>
      </c>
      <c r="AH5" s="21" t="str">
        <f t="shared" si="4"/>
        <v>https://www.oficinadeclassicos.com.br/index.aspx?utm_source=dv360&amp;utm_medium=Programmatic&amp;utm_content=BR_VW_AFS_dv360_DIS_PROG_CPM_STD_LDR_AAF_RON_CXD_After-Sales-Oficina-Classicos-REG01-KWs_PD_300x250&amp;utm_campaign=BR_AAF_DSY_NONMS_ND_AS_2019Q2APR_AFS_After-Sales&amp;utm_term=%epid!_%ecid!_%eaid!</v>
      </c>
      <c r="AI5" s="21" t="str">
        <f t="shared" si="5"/>
        <v>TAG</v>
      </c>
      <c r="AJ5" s="15" t="str">
        <f t="shared" si="6"/>
        <v>dv360</v>
      </c>
      <c r="AK5" s="15" t="str">
        <f t="shared" si="7"/>
        <v>Programmatic</v>
      </c>
      <c r="AL5" s="21" t="str">
        <f>Campanha!$B$3</f>
        <v>BR_AAF_DSY_NONMS_ND_AS_2019Q2APR_AFS_After-Sales</v>
      </c>
      <c r="AM5" s="21" t="str">
        <f t="shared" si="8"/>
        <v>BR_VW_AFS_dv360_DIS_PROG_CPM_STD_LDR_AAF_RON_CXD_After-Sales-Oficina-Classicos-REG01-KWs_PD_300x250</v>
      </c>
      <c r="AN5" s="15" t="s">
        <v>809</v>
      </c>
    </row>
    <row r="6" spans="2:40" hidden="1" x14ac:dyDescent="0.25">
      <c r="B6" s="15" t="s">
        <v>933</v>
      </c>
      <c r="C6" s="15" t="s">
        <v>1172</v>
      </c>
      <c r="D6" s="30" t="s">
        <v>873</v>
      </c>
      <c r="E6" s="22">
        <v>44155</v>
      </c>
      <c r="F6" s="22">
        <v>44196</v>
      </c>
      <c r="G6" s="15" t="s">
        <v>674</v>
      </c>
      <c r="H6" s="15" t="s">
        <v>811</v>
      </c>
      <c r="I6" s="15" t="s">
        <v>702</v>
      </c>
      <c r="J6" s="15" t="s">
        <v>325</v>
      </c>
      <c r="K6" s="15" t="s">
        <v>334</v>
      </c>
      <c r="L6" s="15" t="s">
        <v>358</v>
      </c>
      <c r="M6" s="15" t="s">
        <v>322</v>
      </c>
      <c r="N6" s="15" t="s">
        <v>708</v>
      </c>
      <c r="O6" s="15" t="s">
        <v>694</v>
      </c>
      <c r="P6" s="15" t="s">
        <v>1040</v>
      </c>
      <c r="Q6" s="15" t="s">
        <v>842</v>
      </c>
      <c r="R6" s="15" t="s">
        <v>835</v>
      </c>
      <c r="S6" s="15" t="s">
        <v>348</v>
      </c>
      <c r="T6" s="15" t="s">
        <v>614</v>
      </c>
      <c r="U6" s="23"/>
      <c r="V6" s="23"/>
      <c r="W6" s="23"/>
      <c r="X6" s="23"/>
      <c r="Y6" s="23"/>
      <c r="Z6" s="23"/>
      <c r="AA6" s="23"/>
      <c r="AB6" s="23"/>
      <c r="AC6" s="32" t="s">
        <v>885</v>
      </c>
      <c r="AD6" s="33" t="str">
        <f t="shared" si="0"/>
        <v>289251045</v>
      </c>
      <c r="AE6" s="21" t="str">
        <f t="shared" si="1"/>
        <v>BR_VW_AFS_dv360_DIS_PROG_CPM_STD_LDR_AAF_RON_CXD_After-Sales-Oficina-Classicos-REG01-KWs_PD_728x90</v>
      </c>
      <c r="AF6" s="21" t="str">
        <f t="shared" si="2"/>
        <v>BR_VW_AFS_dv360_DIS_PROG_CPM_STD_LDR_AAF_RON_CXD_After-Sales-Oficina-Classicos-REG01-KWs_PD_728x90</v>
      </c>
      <c r="AG6" s="21" t="str">
        <f t="shared" si="3"/>
        <v>VW_After-Sales-KWs_728x90_After-Sales-Oficina-Classicos-REG01-adserver</v>
      </c>
      <c r="AH6" s="21" t="str">
        <f t="shared" si="4"/>
        <v>https://www.oficinadeclassicos.com.br/index.aspx?utm_source=dv360&amp;utm_medium=Programmatic&amp;utm_content=BR_VW_AFS_dv360_DIS_PROG_CPM_STD_LDR_AAF_RON_CXD_After-Sales-Oficina-Classicos-REG01-KWs_PD_728x90&amp;utm_campaign=BR_AAF_DSY_NONMS_ND_AS_2019Q2APR_AFS_After-Sales&amp;utm_term=%epid!_%ecid!_%eaid!</v>
      </c>
      <c r="AI6" s="21" t="str">
        <f t="shared" si="5"/>
        <v>TAG</v>
      </c>
      <c r="AJ6" s="15" t="str">
        <f t="shared" si="6"/>
        <v>dv360</v>
      </c>
      <c r="AK6" s="15" t="str">
        <f t="shared" si="7"/>
        <v>Programmatic</v>
      </c>
      <c r="AL6" s="21" t="str">
        <f>Campanha!$B$3</f>
        <v>BR_AAF_DSY_NONMS_ND_AS_2019Q2APR_AFS_After-Sales</v>
      </c>
      <c r="AM6" s="21" t="str">
        <f t="shared" si="8"/>
        <v>BR_VW_AFS_dv360_DIS_PROG_CPM_STD_LDR_AAF_RON_CXD_After-Sales-Oficina-Classicos-REG01-KWs_PD_728x90</v>
      </c>
      <c r="AN6" s="15" t="s">
        <v>809</v>
      </c>
    </row>
    <row r="7" spans="2:40" hidden="1" x14ac:dyDescent="0.25">
      <c r="B7" s="15" t="s">
        <v>933</v>
      </c>
      <c r="C7" s="15" t="s">
        <v>1171</v>
      </c>
      <c r="D7" s="30" t="s">
        <v>873</v>
      </c>
      <c r="E7" s="22">
        <v>44155</v>
      </c>
      <c r="F7" s="22">
        <v>44196</v>
      </c>
      <c r="G7" s="15" t="s">
        <v>674</v>
      </c>
      <c r="H7" s="15" t="s">
        <v>811</v>
      </c>
      <c r="I7" s="15" t="s">
        <v>702</v>
      </c>
      <c r="J7" s="15" t="s">
        <v>325</v>
      </c>
      <c r="K7" s="15" t="s">
        <v>334</v>
      </c>
      <c r="L7" s="15" t="s">
        <v>358</v>
      </c>
      <c r="M7" s="15" t="s">
        <v>322</v>
      </c>
      <c r="N7" s="15" t="s">
        <v>708</v>
      </c>
      <c r="O7" s="15" t="s">
        <v>694</v>
      </c>
      <c r="P7" s="15" t="s">
        <v>1040</v>
      </c>
      <c r="Q7" s="15" t="s">
        <v>842</v>
      </c>
      <c r="R7" s="15" t="s">
        <v>835</v>
      </c>
      <c r="S7" s="15" t="s">
        <v>348</v>
      </c>
      <c r="T7" s="15" t="s">
        <v>652</v>
      </c>
      <c r="U7" s="23"/>
      <c r="V7" s="23"/>
      <c r="W7" s="23"/>
      <c r="X7" s="23"/>
      <c r="Y7" s="23"/>
      <c r="Z7" s="23"/>
      <c r="AA7" s="23"/>
      <c r="AB7" s="23"/>
      <c r="AC7" s="32" t="s">
        <v>885</v>
      </c>
      <c r="AD7" s="33" t="str">
        <f t="shared" si="0"/>
        <v>289282825</v>
      </c>
      <c r="AE7" s="21" t="str">
        <f t="shared" si="1"/>
        <v>BR_VW_AFS_dv360_DIS_PROG_CPM_STD_LDR_AAF_RON_CXD_After-Sales-Oficina-Classicos-REG01-KWs_PD_970x250</v>
      </c>
      <c r="AF7" s="21" t="str">
        <f t="shared" si="2"/>
        <v>BR_VW_AFS_dv360_DIS_PROG_CPM_STD_LDR_AAF_RON_CXD_After-Sales-Oficina-Classicos-REG01-KWs_PD_970x250</v>
      </c>
      <c r="AG7" s="21" t="str">
        <f t="shared" si="3"/>
        <v>VW_After-Sales-KWs_970x250_After-Sales-Oficina-Classicos-REG01-adserver</v>
      </c>
      <c r="AH7" s="21" t="str">
        <f t="shared" si="4"/>
        <v>https://www.oficinadeclassicos.com.br/index.aspx?utm_source=dv360&amp;utm_medium=Programmatic&amp;utm_content=BR_VW_AFS_dv360_DIS_PROG_CPM_STD_LDR_AAF_RON_CXD_After-Sales-Oficina-Classicos-REG01-KWs_PD_970x250&amp;utm_campaign=BR_AAF_DSY_NONMS_ND_AS_2019Q2APR_AFS_After-Sales&amp;utm_term=%epid!_%ecid!_%eaid!</v>
      </c>
      <c r="AI7" s="21" t="str">
        <f t="shared" si="5"/>
        <v>TAG</v>
      </c>
      <c r="AJ7" s="15" t="str">
        <f t="shared" si="6"/>
        <v>dv360</v>
      </c>
      <c r="AK7" s="15" t="str">
        <f t="shared" si="7"/>
        <v>Programmatic</v>
      </c>
      <c r="AL7" s="21" t="str">
        <f>Campanha!$B$3</f>
        <v>BR_AAF_DSY_NONMS_ND_AS_2019Q2APR_AFS_After-Sales</v>
      </c>
      <c r="AM7" s="21" t="str">
        <f t="shared" si="8"/>
        <v>BR_VW_AFS_dv360_DIS_PROG_CPM_STD_LDR_AAF_RON_CXD_After-Sales-Oficina-Classicos-REG01-KWs_PD_970x250</v>
      </c>
      <c r="AN7" s="15" t="s">
        <v>809</v>
      </c>
    </row>
    <row r="8" spans="2:40" hidden="1" x14ac:dyDescent="0.25">
      <c r="B8" s="15" t="s">
        <v>933</v>
      </c>
      <c r="C8" s="15" t="s">
        <v>1171</v>
      </c>
      <c r="D8" s="30" t="s">
        <v>873</v>
      </c>
      <c r="E8" s="22">
        <v>44155</v>
      </c>
      <c r="F8" s="22">
        <v>44196</v>
      </c>
      <c r="G8" s="15" t="s">
        <v>674</v>
      </c>
      <c r="H8" s="15" t="s">
        <v>811</v>
      </c>
      <c r="I8" s="15" t="s">
        <v>702</v>
      </c>
      <c r="J8" s="15" t="s">
        <v>325</v>
      </c>
      <c r="K8" s="15" t="s">
        <v>334</v>
      </c>
      <c r="L8" s="15" t="s">
        <v>358</v>
      </c>
      <c r="M8" s="15" t="s">
        <v>322</v>
      </c>
      <c r="N8" s="15" t="s">
        <v>708</v>
      </c>
      <c r="O8" s="15" t="s">
        <v>694</v>
      </c>
      <c r="P8" s="15" t="s">
        <v>1040</v>
      </c>
      <c r="Q8" s="15" t="s">
        <v>843</v>
      </c>
      <c r="R8" s="15" t="s">
        <v>835</v>
      </c>
      <c r="S8" s="15" t="s">
        <v>348</v>
      </c>
      <c r="T8" s="15" t="s">
        <v>457</v>
      </c>
      <c r="U8" s="23"/>
      <c r="V8" s="23"/>
      <c r="W8" s="23"/>
      <c r="X8" s="23"/>
      <c r="Y8" s="23"/>
      <c r="Z8" s="23"/>
      <c r="AA8" s="23"/>
      <c r="AB8" s="23"/>
      <c r="AC8" s="32" t="s">
        <v>885</v>
      </c>
      <c r="AD8" s="33" t="str">
        <f t="shared" si="0"/>
        <v>289282822</v>
      </c>
      <c r="AE8" s="21" t="str">
        <f t="shared" si="1"/>
        <v>BR_VW_AFS_dv360_DIS_PROG_CPM_STD_LDR_AAF_RON_CXD_After-Sales-Oficina-Classicos-REG01-Categories_PD_160x600</v>
      </c>
      <c r="AF8" s="21" t="str">
        <f t="shared" si="2"/>
        <v>BR_VW_AFS_dv360_DIS_PROG_CPM_STD_LDR_AAF_RON_CXD_After-Sales-Oficina-Classicos-REG01-Categories_PD_160x600</v>
      </c>
      <c r="AG8" s="21" t="str">
        <f t="shared" si="3"/>
        <v>VW_After-Sales-Categories_160x600_After-Sales-Oficina-Classicos-REG01-adserver</v>
      </c>
      <c r="AH8" s="21" t="str">
        <f t="shared" si="4"/>
        <v>https://www.oficinadeclassicos.com.br/index.aspx?utm_source=dv360&amp;utm_medium=Programmatic&amp;utm_content=BR_VW_AFS_dv360_DIS_PROG_CPM_STD_LDR_AAF_RON_CXD_After-Sales-Oficina-Classicos-REG01-Categories_PD_160x600&amp;utm_campaign=BR_AAF_DSY_NONMS_ND_AS_2019Q2APR_AFS_After-Sales&amp;utm_term=%epid!_%ecid!_%eaid!</v>
      </c>
      <c r="AI8" s="21" t="str">
        <f t="shared" si="5"/>
        <v>TAG</v>
      </c>
      <c r="AJ8" s="15" t="str">
        <f t="shared" si="6"/>
        <v>dv360</v>
      </c>
      <c r="AK8" s="15" t="str">
        <f t="shared" si="7"/>
        <v>Programmatic</v>
      </c>
      <c r="AL8" s="21" t="str">
        <f>Campanha!$B$3</f>
        <v>BR_AAF_DSY_NONMS_ND_AS_2019Q2APR_AFS_After-Sales</v>
      </c>
      <c r="AM8" s="21" t="str">
        <f t="shared" si="8"/>
        <v>BR_VW_AFS_dv360_DIS_PROG_CPM_STD_LDR_AAF_RON_CXD_After-Sales-Oficina-Classicos-REG01-Categories_PD_160x600</v>
      </c>
      <c r="AN8" s="15" t="s">
        <v>809</v>
      </c>
    </row>
    <row r="9" spans="2:40" hidden="1" x14ac:dyDescent="0.25">
      <c r="B9" s="15" t="s">
        <v>933</v>
      </c>
      <c r="C9" s="15" t="s">
        <v>1171</v>
      </c>
      <c r="D9" s="30" t="s">
        <v>873</v>
      </c>
      <c r="E9" s="22">
        <v>44155</v>
      </c>
      <c r="F9" s="22">
        <v>44196</v>
      </c>
      <c r="G9" s="15" t="s">
        <v>674</v>
      </c>
      <c r="H9" s="15" t="s">
        <v>811</v>
      </c>
      <c r="I9" s="15" t="s">
        <v>702</v>
      </c>
      <c r="J9" s="15" t="s">
        <v>325</v>
      </c>
      <c r="K9" s="15" t="s">
        <v>334</v>
      </c>
      <c r="L9" s="15" t="s">
        <v>358</v>
      </c>
      <c r="M9" s="15" t="s">
        <v>322</v>
      </c>
      <c r="N9" s="15" t="s">
        <v>708</v>
      </c>
      <c r="O9" s="15" t="s">
        <v>694</v>
      </c>
      <c r="P9" s="15" t="s">
        <v>1040</v>
      </c>
      <c r="Q9" s="15" t="s">
        <v>843</v>
      </c>
      <c r="R9" s="15" t="s">
        <v>835</v>
      </c>
      <c r="S9" s="15" t="s">
        <v>348</v>
      </c>
      <c r="T9" s="15" t="s">
        <v>484</v>
      </c>
      <c r="U9" s="23"/>
      <c r="V9" s="23"/>
      <c r="W9" s="23"/>
      <c r="X9" s="23"/>
      <c r="Y9" s="23"/>
      <c r="Z9" s="23"/>
      <c r="AA9" s="23"/>
      <c r="AB9" s="23"/>
      <c r="AC9" s="32" t="s">
        <v>885</v>
      </c>
      <c r="AD9" s="33" t="str">
        <f t="shared" si="0"/>
        <v>289282819</v>
      </c>
      <c r="AE9" s="21" t="str">
        <f t="shared" si="1"/>
        <v>BR_VW_AFS_dv360_DIS_PROG_CPM_STD_LDR_AAF_RON_CXD_After-Sales-Oficina-Classicos-REG01-Categories_PD_300x50</v>
      </c>
      <c r="AF9" s="21" t="str">
        <f t="shared" si="2"/>
        <v>BR_VW_AFS_dv360_DIS_PROG_CPM_STD_LDR_AAF_RON_CXD_After-Sales-Oficina-Classicos-REG01-Categories_PD_300x50</v>
      </c>
      <c r="AG9" s="21" t="str">
        <f t="shared" si="3"/>
        <v>VW_After-Sales-Categories_300x50_After-Sales-Oficina-Classicos-REG01-adserver</v>
      </c>
      <c r="AH9" s="21" t="str">
        <f t="shared" si="4"/>
        <v>https://www.oficinadeclassicos.com.br/index.aspx?utm_source=dv360&amp;utm_medium=Programmatic&amp;utm_content=BR_VW_AFS_dv360_DIS_PROG_CPM_STD_LDR_AAF_RON_CXD_After-Sales-Oficina-Classicos-REG01-Categories_PD_300x50&amp;utm_campaign=BR_AAF_DSY_NONMS_ND_AS_2019Q2APR_AFS_After-Sales&amp;utm_term=%epid!_%ecid!_%eaid!</v>
      </c>
      <c r="AI9" s="21" t="str">
        <f t="shared" si="5"/>
        <v>TAG</v>
      </c>
      <c r="AJ9" s="15" t="str">
        <f t="shared" si="6"/>
        <v>dv360</v>
      </c>
      <c r="AK9" s="15" t="str">
        <f t="shared" si="7"/>
        <v>Programmatic</v>
      </c>
      <c r="AL9" s="21" t="str">
        <f>Campanha!$B$3</f>
        <v>BR_AAF_DSY_NONMS_ND_AS_2019Q2APR_AFS_After-Sales</v>
      </c>
      <c r="AM9" s="21" t="str">
        <f t="shared" si="8"/>
        <v>BR_VW_AFS_dv360_DIS_PROG_CPM_STD_LDR_AAF_RON_CXD_After-Sales-Oficina-Classicos-REG01-Categories_PD_300x50</v>
      </c>
      <c r="AN9" s="15" t="s">
        <v>809</v>
      </c>
    </row>
    <row r="10" spans="2:40" hidden="1" x14ac:dyDescent="0.25">
      <c r="B10" s="15" t="s">
        <v>933</v>
      </c>
      <c r="C10" s="15" t="s">
        <v>1171</v>
      </c>
      <c r="D10" s="30" t="s">
        <v>873</v>
      </c>
      <c r="E10" s="22">
        <v>44155</v>
      </c>
      <c r="F10" s="22">
        <v>44196</v>
      </c>
      <c r="G10" s="15" t="s">
        <v>674</v>
      </c>
      <c r="H10" s="15" t="s">
        <v>811</v>
      </c>
      <c r="I10" s="15" t="s">
        <v>702</v>
      </c>
      <c r="J10" s="15" t="s">
        <v>325</v>
      </c>
      <c r="K10" s="15" t="s">
        <v>334</v>
      </c>
      <c r="L10" s="15" t="s">
        <v>358</v>
      </c>
      <c r="M10" s="15" t="s">
        <v>322</v>
      </c>
      <c r="N10" s="15" t="s">
        <v>708</v>
      </c>
      <c r="O10" s="15" t="s">
        <v>694</v>
      </c>
      <c r="P10" s="15" t="s">
        <v>1040</v>
      </c>
      <c r="Q10" s="15" t="s">
        <v>843</v>
      </c>
      <c r="R10" s="15" t="s">
        <v>835</v>
      </c>
      <c r="S10" s="15" t="s">
        <v>348</v>
      </c>
      <c r="T10" s="15" t="s">
        <v>478</v>
      </c>
      <c r="U10" s="23"/>
      <c r="V10" s="23"/>
      <c r="W10" s="23"/>
      <c r="X10" s="23"/>
      <c r="Y10" s="23"/>
      <c r="Z10" s="23"/>
      <c r="AA10" s="23"/>
      <c r="AB10" s="23"/>
      <c r="AC10" s="32" t="s">
        <v>885</v>
      </c>
      <c r="AD10" s="33" t="str">
        <f t="shared" si="0"/>
        <v>289282816</v>
      </c>
      <c r="AE10" s="21" t="str">
        <f t="shared" si="1"/>
        <v>BR_VW_AFS_dv360_DIS_PROG_CPM_STD_LDR_AAF_RON_CXD_After-Sales-Oficina-Classicos-REG01-Categories_PD_300x250</v>
      </c>
      <c r="AF10" s="21" t="str">
        <f t="shared" si="2"/>
        <v>BR_VW_AFS_dv360_DIS_PROG_CPM_STD_LDR_AAF_RON_CXD_After-Sales-Oficina-Classicos-REG01-Categories_PD_300x250</v>
      </c>
      <c r="AG10" s="21" t="str">
        <f t="shared" si="3"/>
        <v>VW_After-Sales-Categories_300x250_After-Sales-Oficina-Classicos-REG01-adserver</v>
      </c>
      <c r="AH10" s="21" t="str">
        <f t="shared" si="4"/>
        <v>https://www.oficinadeclassicos.com.br/index.aspx?utm_source=dv360&amp;utm_medium=Programmatic&amp;utm_content=BR_VW_AFS_dv360_DIS_PROG_CPM_STD_LDR_AAF_RON_CXD_After-Sales-Oficina-Classicos-REG01-Categories_PD_300x250&amp;utm_campaign=BR_AAF_DSY_NONMS_ND_AS_2019Q2APR_AFS_After-Sales&amp;utm_term=%epid!_%ecid!_%eaid!</v>
      </c>
      <c r="AI10" s="21" t="str">
        <f t="shared" si="5"/>
        <v>TAG</v>
      </c>
      <c r="AJ10" s="15" t="str">
        <f t="shared" si="6"/>
        <v>dv360</v>
      </c>
      <c r="AK10" s="15" t="str">
        <f t="shared" si="7"/>
        <v>Programmatic</v>
      </c>
      <c r="AL10" s="21" t="str">
        <f>Campanha!$B$3</f>
        <v>BR_AAF_DSY_NONMS_ND_AS_2019Q2APR_AFS_After-Sales</v>
      </c>
      <c r="AM10" s="21" t="str">
        <f t="shared" si="8"/>
        <v>BR_VW_AFS_dv360_DIS_PROG_CPM_STD_LDR_AAF_RON_CXD_After-Sales-Oficina-Classicos-REG01-Categories_PD_300x250</v>
      </c>
      <c r="AN10" s="15" t="s">
        <v>809</v>
      </c>
    </row>
    <row r="11" spans="2:40" hidden="1" x14ac:dyDescent="0.25">
      <c r="B11" s="15" t="s">
        <v>933</v>
      </c>
      <c r="C11" s="15" t="s">
        <v>1172</v>
      </c>
      <c r="D11" s="30" t="s">
        <v>873</v>
      </c>
      <c r="E11" s="22">
        <v>44155</v>
      </c>
      <c r="F11" s="22">
        <v>44196</v>
      </c>
      <c r="G11" s="15" t="s">
        <v>674</v>
      </c>
      <c r="H11" s="15" t="s">
        <v>811</v>
      </c>
      <c r="I11" s="15" t="s">
        <v>702</v>
      </c>
      <c r="J11" s="15" t="s">
        <v>325</v>
      </c>
      <c r="K11" s="15" t="s">
        <v>334</v>
      </c>
      <c r="L11" s="15" t="s">
        <v>358</v>
      </c>
      <c r="M11" s="15" t="s">
        <v>322</v>
      </c>
      <c r="N11" s="15" t="s">
        <v>708</v>
      </c>
      <c r="O11" s="15" t="s">
        <v>694</v>
      </c>
      <c r="P11" s="15" t="s">
        <v>1040</v>
      </c>
      <c r="Q11" s="15" t="s">
        <v>843</v>
      </c>
      <c r="R11" s="15" t="s">
        <v>835</v>
      </c>
      <c r="S11" s="15" t="s">
        <v>348</v>
      </c>
      <c r="T11" s="15" t="s">
        <v>614</v>
      </c>
      <c r="U11" s="23"/>
      <c r="V11" s="23"/>
      <c r="W11" s="23"/>
      <c r="X11" s="23"/>
      <c r="Y11" s="23"/>
      <c r="Z11" s="23"/>
      <c r="AA11" s="23"/>
      <c r="AB11" s="23"/>
      <c r="AC11" s="32" t="s">
        <v>885</v>
      </c>
      <c r="AD11" s="33" t="str">
        <f t="shared" si="0"/>
        <v>289251042</v>
      </c>
      <c r="AE11" s="21" t="str">
        <f t="shared" si="1"/>
        <v>BR_VW_AFS_dv360_DIS_PROG_CPM_STD_LDR_AAF_RON_CXD_After-Sales-Oficina-Classicos-REG01-Categories_PD_728x90</v>
      </c>
      <c r="AF11" s="21" t="str">
        <f t="shared" si="2"/>
        <v>BR_VW_AFS_dv360_DIS_PROG_CPM_STD_LDR_AAF_RON_CXD_After-Sales-Oficina-Classicos-REG01-Categories_PD_728x90</v>
      </c>
      <c r="AG11" s="21" t="str">
        <f t="shared" si="3"/>
        <v>VW_After-Sales-Categories_728x90_After-Sales-Oficina-Classicos-REG01-adserver</v>
      </c>
      <c r="AH11" s="21" t="str">
        <f t="shared" si="4"/>
        <v>https://www.oficinadeclassicos.com.br/index.aspx?utm_source=dv360&amp;utm_medium=Programmatic&amp;utm_content=BR_VW_AFS_dv360_DIS_PROG_CPM_STD_LDR_AAF_RON_CXD_After-Sales-Oficina-Classicos-REG01-Categories_PD_728x90&amp;utm_campaign=BR_AAF_DSY_NONMS_ND_AS_2019Q2APR_AFS_After-Sales&amp;utm_term=%epid!_%ecid!_%eaid!</v>
      </c>
      <c r="AI11" s="21" t="str">
        <f t="shared" si="5"/>
        <v>TAG</v>
      </c>
      <c r="AJ11" s="15" t="str">
        <f t="shared" si="6"/>
        <v>dv360</v>
      </c>
      <c r="AK11" s="15" t="str">
        <f t="shared" si="7"/>
        <v>Programmatic</v>
      </c>
      <c r="AL11" s="21" t="str">
        <f>Campanha!$B$3</f>
        <v>BR_AAF_DSY_NONMS_ND_AS_2019Q2APR_AFS_After-Sales</v>
      </c>
      <c r="AM11" s="21" t="str">
        <f t="shared" si="8"/>
        <v>BR_VW_AFS_dv360_DIS_PROG_CPM_STD_LDR_AAF_RON_CXD_After-Sales-Oficina-Classicos-REG01-Categories_PD_728x90</v>
      </c>
      <c r="AN11" s="15" t="s">
        <v>809</v>
      </c>
    </row>
    <row r="12" spans="2:40" hidden="1" x14ac:dyDescent="0.25">
      <c r="B12" s="15" t="s">
        <v>933</v>
      </c>
      <c r="C12" s="15" t="s">
        <v>1171</v>
      </c>
      <c r="D12" s="30" t="s">
        <v>873</v>
      </c>
      <c r="E12" s="22">
        <v>44155</v>
      </c>
      <c r="F12" s="22">
        <v>44196</v>
      </c>
      <c r="G12" s="15" t="s">
        <v>674</v>
      </c>
      <c r="H12" s="15" t="s">
        <v>811</v>
      </c>
      <c r="I12" s="15" t="s">
        <v>702</v>
      </c>
      <c r="J12" s="15" t="s">
        <v>325</v>
      </c>
      <c r="K12" s="15" t="s">
        <v>334</v>
      </c>
      <c r="L12" s="15" t="s">
        <v>358</v>
      </c>
      <c r="M12" s="15" t="s">
        <v>322</v>
      </c>
      <c r="N12" s="15" t="s">
        <v>708</v>
      </c>
      <c r="O12" s="15" t="s">
        <v>694</v>
      </c>
      <c r="P12" s="15" t="s">
        <v>1040</v>
      </c>
      <c r="Q12" s="15" t="s">
        <v>843</v>
      </c>
      <c r="R12" s="15" t="s">
        <v>835</v>
      </c>
      <c r="S12" s="15" t="s">
        <v>348</v>
      </c>
      <c r="T12" s="15" t="s">
        <v>652</v>
      </c>
      <c r="U12" s="23"/>
      <c r="V12" s="23"/>
      <c r="W12" s="23"/>
      <c r="X12" s="23"/>
      <c r="Y12" s="23"/>
      <c r="Z12" s="23"/>
      <c r="AA12" s="23"/>
      <c r="AB12" s="23"/>
      <c r="AC12" s="32" t="s">
        <v>885</v>
      </c>
      <c r="AD12" s="33" t="str">
        <f t="shared" si="0"/>
        <v>289282813</v>
      </c>
      <c r="AE12" s="21" t="str">
        <f t="shared" si="1"/>
        <v>BR_VW_AFS_dv360_DIS_PROG_CPM_STD_LDR_AAF_RON_CXD_After-Sales-Oficina-Classicos-REG01-Categories_PD_970x250</v>
      </c>
      <c r="AF12" s="21" t="str">
        <f t="shared" si="2"/>
        <v>BR_VW_AFS_dv360_DIS_PROG_CPM_STD_LDR_AAF_RON_CXD_After-Sales-Oficina-Classicos-REG01-Categories_PD_970x250</v>
      </c>
      <c r="AG12" s="21" t="str">
        <f t="shared" si="3"/>
        <v>VW_After-Sales-Categories_970x250_After-Sales-Oficina-Classicos-REG01-adserver</v>
      </c>
      <c r="AH12" s="21" t="str">
        <f t="shared" si="4"/>
        <v>https://www.oficinadeclassicos.com.br/index.aspx?utm_source=dv360&amp;utm_medium=Programmatic&amp;utm_content=BR_VW_AFS_dv360_DIS_PROG_CPM_STD_LDR_AAF_RON_CXD_After-Sales-Oficina-Classicos-REG01-Categories_PD_970x250&amp;utm_campaign=BR_AAF_DSY_NONMS_ND_AS_2019Q2APR_AFS_After-Sales&amp;utm_term=%epid!_%ecid!_%eaid!</v>
      </c>
      <c r="AI12" s="21" t="str">
        <f t="shared" si="5"/>
        <v>TAG</v>
      </c>
      <c r="AJ12" s="15" t="str">
        <f t="shared" si="6"/>
        <v>dv360</v>
      </c>
      <c r="AK12" s="15" t="str">
        <f t="shared" si="7"/>
        <v>Programmatic</v>
      </c>
      <c r="AL12" s="21" t="str">
        <f>Campanha!$B$3</f>
        <v>BR_AAF_DSY_NONMS_ND_AS_2019Q2APR_AFS_After-Sales</v>
      </c>
      <c r="AM12" s="21" t="str">
        <f t="shared" si="8"/>
        <v>BR_VW_AFS_dv360_DIS_PROG_CPM_STD_LDR_AAF_RON_CXD_After-Sales-Oficina-Classicos-REG01-Categories_PD_970x250</v>
      </c>
      <c r="AN12" s="15" t="s">
        <v>809</v>
      </c>
    </row>
    <row r="13" spans="2:40" hidden="1" x14ac:dyDescent="0.25">
      <c r="B13" s="15" t="s">
        <v>933</v>
      </c>
      <c r="C13" s="15" t="s">
        <v>1171</v>
      </c>
      <c r="D13" s="30" t="s">
        <v>873</v>
      </c>
      <c r="E13" s="22">
        <v>44155</v>
      </c>
      <c r="F13" s="22">
        <v>44196</v>
      </c>
      <c r="G13" s="15" t="s">
        <v>674</v>
      </c>
      <c r="H13" s="15" t="s">
        <v>811</v>
      </c>
      <c r="I13" s="15" t="s">
        <v>702</v>
      </c>
      <c r="J13" s="15" t="s">
        <v>325</v>
      </c>
      <c r="K13" s="15" t="s">
        <v>334</v>
      </c>
      <c r="L13" s="15" t="s">
        <v>358</v>
      </c>
      <c r="M13" s="15" t="s">
        <v>322</v>
      </c>
      <c r="N13" s="15" t="s">
        <v>708</v>
      </c>
      <c r="O13" s="15" t="s">
        <v>694</v>
      </c>
      <c r="P13" s="15" t="s">
        <v>1040</v>
      </c>
      <c r="Q13" s="15" t="s">
        <v>871</v>
      </c>
      <c r="R13" s="15" t="s">
        <v>835</v>
      </c>
      <c r="S13" s="15" t="s">
        <v>348</v>
      </c>
      <c r="T13" s="15" t="s">
        <v>457</v>
      </c>
      <c r="U13" s="23"/>
      <c r="V13" s="23"/>
      <c r="W13" s="23"/>
      <c r="X13" s="23"/>
      <c r="Y13" s="23"/>
      <c r="Z13" s="23"/>
      <c r="AA13" s="23"/>
      <c r="AB13" s="23"/>
      <c r="AC13" s="32" t="s">
        <v>885</v>
      </c>
      <c r="AD13" s="33" t="str">
        <f t="shared" si="0"/>
        <v>289282810</v>
      </c>
      <c r="AE13" s="21" t="str">
        <f t="shared" si="1"/>
        <v>BR_VW_AFS_dv360_DIS_PROG_CPM_STD_LDR_AAF_RON_CXD_After-Sales-Oficina-Classicos-REG01-In-Market_PD_160x600</v>
      </c>
      <c r="AF13" s="21" t="str">
        <f t="shared" si="2"/>
        <v>BR_VW_AFS_dv360_DIS_PROG_CPM_STD_LDR_AAF_RON_CXD_After-Sales-Oficina-Classicos-REG01-In-Market_PD_160x600</v>
      </c>
      <c r="AG13" s="21" t="str">
        <f t="shared" si="3"/>
        <v>VW_After-Sales-In-Market_160x600_After-Sales-Oficina-Classicos-REG01-adserver</v>
      </c>
      <c r="AH13" s="21" t="str">
        <f t="shared" si="4"/>
        <v>https://www.oficinadeclassicos.com.br/index.aspx?utm_source=dv360&amp;utm_medium=Programmatic&amp;utm_content=BR_VW_AFS_dv360_DIS_PROG_CPM_STD_LDR_AAF_RON_CXD_After-Sales-Oficina-Classicos-REG01-In-Market_PD_160x600&amp;utm_campaign=BR_AAF_DSY_NONMS_ND_AS_2019Q2APR_AFS_After-Sales&amp;utm_term=%epid!_%ecid!_%eaid!</v>
      </c>
      <c r="AI13" s="21" t="str">
        <f t="shared" si="5"/>
        <v>TAG</v>
      </c>
      <c r="AJ13" s="15" t="str">
        <f t="shared" si="6"/>
        <v>dv360</v>
      </c>
      <c r="AK13" s="15" t="str">
        <f t="shared" si="7"/>
        <v>Programmatic</v>
      </c>
      <c r="AL13" s="21" t="str">
        <f>Campanha!$B$3</f>
        <v>BR_AAF_DSY_NONMS_ND_AS_2019Q2APR_AFS_After-Sales</v>
      </c>
      <c r="AM13" s="21" t="str">
        <f t="shared" si="8"/>
        <v>BR_VW_AFS_dv360_DIS_PROG_CPM_STD_LDR_AAF_RON_CXD_After-Sales-Oficina-Classicos-REG01-In-Market_PD_160x600</v>
      </c>
      <c r="AN13" s="15" t="s">
        <v>809</v>
      </c>
    </row>
    <row r="14" spans="2:40" hidden="1" x14ac:dyDescent="0.25">
      <c r="B14" s="15" t="s">
        <v>933</v>
      </c>
      <c r="C14" s="15" t="s">
        <v>1171</v>
      </c>
      <c r="D14" s="30" t="s">
        <v>873</v>
      </c>
      <c r="E14" s="22">
        <v>44155</v>
      </c>
      <c r="F14" s="22">
        <v>44196</v>
      </c>
      <c r="G14" s="15" t="s">
        <v>674</v>
      </c>
      <c r="H14" s="15" t="s">
        <v>811</v>
      </c>
      <c r="I14" s="15" t="s">
        <v>702</v>
      </c>
      <c r="J14" s="15" t="s">
        <v>325</v>
      </c>
      <c r="K14" s="15" t="s">
        <v>334</v>
      </c>
      <c r="L14" s="15" t="s">
        <v>358</v>
      </c>
      <c r="M14" s="15" t="s">
        <v>322</v>
      </c>
      <c r="N14" s="15" t="s">
        <v>708</v>
      </c>
      <c r="O14" s="15" t="s">
        <v>694</v>
      </c>
      <c r="P14" s="15" t="s">
        <v>1040</v>
      </c>
      <c r="Q14" s="15" t="s">
        <v>871</v>
      </c>
      <c r="R14" s="15" t="s">
        <v>835</v>
      </c>
      <c r="S14" s="15" t="s">
        <v>348</v>
      </c>
      <c r="T14" s="15" t="s">
        <v>484</v>
      </c>
      <c r="U14" s="23"/>
      <c r="V14" s="23"/>
      <c r="W14" s="23"/>
      <c r="X14" s="23"/>
      <c r="Y14" s="23"/>
      <c r="Z14" s="23"/>
      <c r="AA14" s="23"/>
      <c r="AB14" s="23"/>
      <c r="AC14" s="32" t="s">
        <v>885</v>
      </c>
      <c r="AD14" s="33" t="str">
        <f t="shared" si="0"/>
        <v>289282807</v>
      </c>
      <c r="AE14" s="21" t="str">
        <f t="shared" si="1"/>
        <v>BR_VW_AFS_dv360_DIS_PROG_CPM_STD_LDR_AAF_RON_CXD_After-Sales-Oficina-Classicos-REG01-In-Market_PD_300x50</v>
      </c>
      <c r="AF14" s="21" t="str">
        <f t="shared" si="2"/>
        <v>BR_VW_AFS_dv360_DIS_PROG_CPM_STD_LDR_AAF_RON_CXD_After-Sales-Oficina-Classicos-REG01-In-Market_PD_300x50</v>
      </c>
      <c r="AG14" s="21" t="str">
        <f t="shared" si="3"/>
        <v>VW_After-Sales-In-Market_300x50_After-Sales-Oficina-Classicos-REG01-adserver</v>
      </c>
      <c r="AH14" s="21" t="str">
        <f t="shared" si="4"/>
        <v>https://www.oficinadeclassicos.com.br/index.aspx?utm_source=dv360&amp;utm_medium=Programmatic&amp;utm_content=BR_VW_AFS_dv360_DIS_PROG_CPM_STD_LDR_AAF_RON_CXD_After-Sales-Oficina-Classicos-REG01-In-Market_PD_300x50&amp;utm_campaign=BR_AAF_DSY_NONMS_ND_AS_2019Q2APR_AFS_After-Sales&amp;utm_term=%epid!_%ecid!_%eaid!</v>
      </c>
      <c r="AI14" s="21" t="str">
        <f t="shared" si="5"/>
        <v>TAG</v>
      </c>
      <c r="AJ14" s="15" t="str">
        <f t="shared" si="6"/>
        <v>dv360</v>
      </c>
      <c r="AK14" s="15" t="str">
        <f t="shared" si="7"/>
        <v>Programmatic</v>
      </c>
      <c r="AL14" s="21" t="str">
        <f>Campanha!$B$3</f>
        <v>BR_AAF_DSY_NONMS_ND_AS_2019Q2APR_AFS_After-Sales</v>
      </c>
      <c r="AM14" s="21" t="str">
        <f t="shared" si="8"/>
        <v>BR_VW_AFS_dv360_DIS_PROG_CPM_STD_LDR_AAF_RON_CXD_After-Sales-Oficina-Classicos-REG01-In-Market_PD_300x50</v>
      </c>
      <c r="AN14" s="15" t="s">
        <v>809</v>
      </c>
    </row>
    <row r="15" spans="2:40" hidden="1" x14ac:dyDescent="0.25">
      <c r="B15" s="15" t="s">
        <v>933</v>
      </c>
      <c r="C15" s="15" t="s">
        <v>1171</v>
      </c>
      <c r="D15" s="30" t="s">
        <v>873</v>
      </c>
      <c r="E15" s="22">
        <v>44155</v>
      </c>
      <c r="F15" s="22">
        <v>44196</v>
      </c>
      <c r="G15" s="15" t="s">
        <v>674</v>
      </c>
      <c r="H15" s="15" t="s">
        <v>811</v>
      </c>
      <c r="I15" s="15" t="s">
        <v>702</v>
      </c>
      <c r="J15" s="15" t="s">
        <v>325</v>
      </c>
      <c r="K15" s="15" t="s">
        <v>334</v>
      </c>
      <c r="L15" s="15" t="s">
        <v>358</v>
      </c>
      <c r="M15" s="15" t="s">
        <v>322</v>
      </c>
      <c r="N15" s="15" t="s">
        <v>708</v>
      </c>
      <c r="O15" s="15" t="s">
        <v>694</v>
      </c>
      <c r="P15" s="15" t="s">
        <v>1040</v>
      </c>
      <c r="Q15" s="15" t="s">
        <v>871</v>
      </c>
      <c r="R15" s="15" t="s">
        <v>835</v>
      </c>
      <c r="S15" s="15" t="s">
        <v>348</v>
      </c>
      <c r="T15" s="15" t="s">
        <v>478</v>
      </c>
      <c r="U15" s="23"/>
      <c r="V15" s="23"/>
      <c r="W15" s="23"/>
      <c r="X15" s="23"/>
      <c r="Y15" s="23"/>
      <c r="Z15" s="23"/>
      <c r="AA15" s="23"/>
      <c r="AB15" s="23"/>
      <c r="AC15" s="32" t="s">
        <v>885</v>
      </c>
      <c r="AD15" s="33" t="str">
        <f t="shared" si="0"/>
        <v>289282804</v>
      </c>
      <c r="AE15" s="21" t="str">
        <f t="shared" si="1"/>
        <v>BR_VW_AFS_dv360_DIS_PROG_CPM_STD_LDR_AAF_RON_CXD_After-Sales-Oficina-Classicos-REG01-In-Market_PD_300x250</v>
      </c>
      <c r="AF15" s="21" t="str">
        <f t="shared" si="2"/>
        <v>BR_VW_AFS_dv360_DIS_PROG_CPM_STD_LDR_AAF_RON_CXD_After-Sales-Oficina-Classicos-REG01-In-Market_PD_300x250</v>
      </c>
      <c r="AG15" s="21" t="str">
        <f t="shared" si="3"/>
        <v>VW_After-Sales-In-Market_300x250_After-Sales-Oficina-Classicos-REG01-adserver</v>
      </c>
      <c r="AH15" s="21" t="str">
        <f t="shared" si="4"/>
        <v>https://www.oficinadeclassicos.com.br/index.aspx?utm_source=dv360&amp;utm_medium=Programmatic&amp;utm_content=BR_VW_AFS_dv360_DIS_PROG_CPM_STD_LDR_AAF_RON_CXD_After-Sales-Oficina-Classicos-REG01-In-Market_PD_300x250&amp;utm_campaign=BR_AAF_DSY_NONMS_ND_AS_2019Q2APR_AFS_After-Sales&amp;utm_term=%epid!_%ecid!_%eaid!</v>
      </c>
      <c r="AI15" s="21" t="str">
        <f t="shared" si="5"/>
        <v>TAG</v>
      </c>
      <c r="AJ15" s="15" t="str">
        <f t="shared" si="6"/>
        <v>dv360</v>
      </c>
      <c r="AK15" s="15" t="str">
        <f t="shared" si="7"/>
        <v>Programmatic</v>
      </c>
      <c r="AL15" s="21" t="str">
        <f>Campanha!$B$3</f>
        <v>BR_AAF_DSY_NONMS_ND_AS_2019Q2APR_AFS_After-Sales</v>
      </c>
      <c r="AM15" s="21" t="str">
        <f t="shared" si="8"/>
        <v>BR_VW_AFS_dv360_DIS_PROG_CPM_STD_LDR_AAF_RON_CXD_After-Sales-Oficina-Classicos-REG01-In-Market_PD_300x250</v>
      </c>
      <c r="AN15" s="15" t="s">
        <v>809</v>
      </c>
    </row>
    <row r="16" spans="2:40" hidden="1" x14ac:dyDescent="0.25">
      <c r="B16" s="15" t="s">
        <v>933</v>
      </c>
      <c r="C16" s="15" t="s">
        <v>1172</v>
      </c>
      <c r="D16" s="30" t="s">
        <v>873</v>
      </c>
      <c r="E16" s="22">
        <v>44155</v>
      </c>
      <c r="F16" s="22">
        <v>44196</v>
      </c>
      <c r="G16" s="15" t="s">
        <v>674</v>
      </c>
      <c r="H16" s="15" t="s">
        <v>811</v>
      </c>
      <c r="I16" s="15" t="s">
        <v>702</v>
      </c>
      <c r="J16" s="15" t="s">
        <v>325</v>
      </c>
      <c r="K16" s="15" t="s">
        <v>334</v>
      </c>
      <c r="L16" s="15" t="s">
        <v>358</v>
      </c>
      <c r="M16" s="15" t="s">
        <v>322</v>
      </c>
      <c r="N16" s="15" t="s">
        <v>708</v>
      </c>
      <c r="O16" s="15" t="s">
        <v>694</v>
      </c>
      <c r="P16" s="15" t="s">
        <v>1040</v>
      </c>
      <c r="Q16" s="15" t="s">
        <v>871</v>
      </c>
      <c r="R16" s="15" t="s">
        <v>835</v>
      </c>
      <c r="S16" s="15" t="s">
        <v>348</v>
      </c>
      <c r="T16" s="15" t="s">
        <v>614</v>
      </c>
      <c r="U16" s="23"/>
      <c r="V16" s="23"/>
      <c r="W16" s="23"/>
      <c r="X16" s="23"/>
      <c r="Y16" s="23"/>
      <c r="Z16" s="23"/>
      <c r="AA16" s="23"/>
      <c r="AB16" s="23"/>
      <c r="AC16" s="32" t="s">
        <v>885</v>
      </c>
      <c r="AD16" s="33" t="str">
        <f t="shared" si="0"/>
        <v>289251039</v>
      </c>
      <c r="AE16" s="21" t="str">
        <f t="shared" ref="AE16:AE17" si="9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IF(col_servidopor="adserver-rotacionar",col_segmentacao,CONCATENATE(col_localfreetype,"-",col_segmentacao)),"_",VLOOKUP(col_paidvsav,tab_paidvsav,2,FALSE),"_",col_size))</f>
        <v>BR_VW_AFS_dv360_DIS_PROG_CPM_STD_LDR_AAF_RON_CXD_After-Sales-Oficina-Classicos-REG01-In-Market_PD_728x90</v>
      </c>
      <c r="AF16" s="21" t="str">
        <f t="shared" ref="AF16:AF17" si="10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col_localfreetype,"-",col_segmentacao,"_",VLOOKUP(col_paidvsav,tab_paidvsav,2,FALSE),"_",col_size))</f>
        <v>BR_VW_AFS_dv360_DIS_PROG_CPM_STD_LDR_AAF_RON_CXD_After-Sales-Oficina-Classicos-REG01-In-Market_PD_728x90</v>
      </c>
      <c r="AG16" s="21" t="str">
        <f t="shared" ref="AG16:AG17" si="11">CONCATENATE("VW","_",cel_modelvariant,"-",col_segmentacao,"_",col_size,"_",col_localfreetype,"-",IF(col_servidopor="portal",col_supplier,"adserver"))</f>
        <v>VW_After-Sales-In-Market_728x90_After-Sales-Oficina-Classicos-REG01-adserver</v>
      </c>
      <c r="AH16" s="21" t="str">
        <f t="shared" ref="AH16:AH17" si="12">faxineiro(CONCATENATE(col_url,IF(ISNUMBER(FIND("?",col_url)),"&amp;","?"),"utm_source=",col_utmsource,"&amp;utm_medium=",col_utmmedium,"&amp;utm_content=",col_utmcontent,"&amp;utm_campaign=",col_utmcampaign,"&amp;utm_term=",col_keyword))</f>
        <v>https://www.oficinadeclassicos.com.br/index.aspx?utm_source=dv360&amp;utm_medium=Programmatic&amp;utm_content=BR_VW_AFS_dv360_DIS_PROG_CPM_STD_LDR_AAF_RON_CXD_After-Sales-Oficina-Classicos-REG01-In-Market_PD_728x90&amp;utm_campaign=BR_AAF_DSY_NONMS_ND_AS_2019Q2APR_AFS_After-Sales&amp;utm_term=%epid!_%ecid!_%eaid!</v>
      </c>
      <c r="AI16" s="21" t="str">
        <f t="shared" ref="AI16:AI17" si="13">IFERROR(IF(col_servidopor="portal",VLOOKUP(col_placement,tab_contadores,2,FALSE),"TAG"),"Contador")</f>
        <v>TAG</v>
      </c>
      <c r="AJ16" s="15" t="str">
        <f t="shared" si="6"/>
        <v>dv360</v>
      </c>
      <c r="AK16" s="15" t="str">
        <f t="shared" si="7"/>
        <v>Programmatic</v>
      </c>
      <c r="AL16" s="21" t="str">
        <f>Campanha!$B$3</f>
        <v>BR_AAF_DSY_NONMS_ND_AS_2019Q2APR_AFS_After-Sales</v>
      </c>
      <c r="AM16" s="21" t="str">
        <f t="shared" ref="AM16:AM17" si="14">col_adname</f>
        <v>BR_VW_AFS_dv360_DIS_PROG_CPM_STD_LDR_AAF_RON_CXD_After-Sales-Oficina-Classicos-REG01-In-Market_PD_728x90</v>
      </c>
      <c r="AN16" s="15" t="s">
        <v>809</v>
      </c>
    </row>
    <row r="17" spans="2:40" hidden="1" x14ac:dyDescent="0.25">
      <c r="B17" s="15" t="s">
        <v>933</v>
      </c>
      <c r="C17" s="15" t="s">
        <v>1171</v>
      </c>
      <c r="D17" s="30" t="s">
        <v>873</v>
      </c>
      <c r="E17" s="22">
        <v>44155</v>
      </c>
      <c r="F17" s="22">
        <v>44196</v>
      </c>
      <c r="G17" s="15" t="s">
        <v>674</v>
      </c>
      <c r="H17" s="15" t="s">
        <v>811</v>
      </c>
      <c r="I17" s="15" t="s">
        <v>702</v>
      </c>
      <c r="J17" s="15" t="s">
        <v>325</v>
      </c>
      <c r="K17" s="15" t="s">
        <v>334</v>
      </c>
      <c r="L17" s="15" t="s">
        <v>358</v>
      </c>
      <c r="M17" s="15" t="s">
        <v>322</v>
      </c>
      <c r="N17" s="15" t="s">
        <v>708</v>
      </c>
      <c r="O17" s="15" t="s">
        <v>694</v>
      </c>
      <c r="P17" s="15" t="s">
        <v>1040</v>
      </c>
      <c r="Q17" s="15" t="s">
        <v>871</v>
      </c>
      <c r="R17" s="15" t="s">
        <v>835</v>
      </c>
      <c r="S17" s="15" t="s">
        <v>348</v>
      </c>
      <c r="T17" s="15" t="s">
        <v>652</v>
      </c>
      <c r="U17" s="23"/>
      <c r="V17" s="23"/>
      <c r="W17" s="23"/>
      <c r="X17" s="23"/>
      <c r="Y17" s="23"/>
      <c r="Z17" s="23"/>
      <c r="AA17" s="23"/>
      <c r="AB17" s="23"/>
      <c r="AC17" s="32" t="s">
        <v>885</v>
      </c>
      <c r="AD17" s="33" t="str">
        <f t="shared" si="0"/>
        <v>289282801</v>
      </c>
      <c r="AE17" s="21" t="str">
        <f t="shared" si="9"/>
        <v>BR_VW_AFS_dv360_DIS_PROG_CPM_STD_LDR_AAF_RON_CXD_After-Sales-Oficina-Classicos-REG01-In-Market_PD_970x250</v>
      </c>
      <c r="AF17" s="21" t="str">
        <f t="shared" si="10"/>
        <v>BR_VW_AFS_dv360_DIS_PROG_CPM_STD_LDR_AAF_RON_CXD_After-Sales-Oficina-Classicos-REG01-In-Market_PD_970x250</v>
      </c>
      <c r="AG17" s="21" t="str">
        <f t="shared" si="11"/>
        <v>VW_After-Sales-In-Market_970x250_After-Sales-Oficina-Classicos-REG01-adserver</v>
      </c>
      <c r="AH17" s="21" t="str">
        <f t="shared" si="12"/>
        <v>https://www.oficinadeclassicos.com.br/index.aspx?utm_source=dv360&amp;utm_medium=Programmatic&amp;utm_content=BR_VW_AFS_dv360_DIS_PROG_CPM_STD_LDR_AAF_RON_CXD_After-Sales-Oficina-Classicos-REG01-In-Market_PD_970x250&amp;utm_campaign=BR_AAF_DSY_NONMS_ND_AS_2019Q2APR_AFS_After-Sales&amp;utm_term=%epid!_%ecid!_%eaid!</v>
      </c>
      <c r="AI17" s="21" t="str">
        <f t="shared" si="13"/>
        <v>TAG</v>
      </c>
      <c r="AJ17" s="15" t="str">
        <f t="shared" si="6"/>
        <v>dv360</v>
      </c>
      <c r="AK17" s="15" t="str">
        <f t="shared" si="7"/>
        <v>Programmatic</v>
      </c>
      <c r="AL17" s="21" t="str">
        <f>Campanha!$B$3</f>
        <v>BR_AAF_DSY_NONMS_ND_AS_2019Q2APR_AFS_After-Sales</v>
      </c>
      <c r="AM17" s="21" t="str">
        <f t="shared" si="14"/>
        <v>BR_VW_AFS_dv360_DIS_PROG_CPM_STD_LDR_AAF_RON_CXD_After-Sales-Oficina-Classicos-REG01-In-Market_PD_970x250</v>
      </c>
      <c r="AN17" s="15" t="s">
        <v>809</v>
      </c>
    </row>
    <row r="18" spans="2:40" hidden="1" x14ac:dyDescent="0.25">
      <c r="B18" s="15" t="s">
        <v>933</v>
      </c>
      <c r="C18" s="15" t="s">
        <v>1171</v>
      </c>
      <c r="D18" s="30" t="s">
        <v>873</v>
      </c>
      <c r="E18" s="22">
        <v>44155</v>
      </c>
      <c r="F18" s="22">
        <v>44196</v>
      </c>
      <c r="G18" s="15" t="s">
        <v>674</v>
      </c>
      <c r="H18" s="15" t="s">
        <v>811</v>
      </c>
      <c r="I18" s="15" t="s">
        <v>702</v>
      </c>
      <c r="J18" s="15" t="s">
        <v>325</v>
      </c>
      <c r="K18" s="15" t="s">
        <v>334</v>
      </c>
      <c r="L18" s="15" t="s">
        <v>358</v>
      </c>
      <c r="M18" s="15" t="s">
        <v>322</v>
      </c>
      <c r="N18" s="15" t="s">
        <v>708</v>
      </c>
      <c r="O18" s="15" t="s">
        <v>694</v>
      </c>
      <c r="P18" s="15" t="s">
        <v>1040</v>
      </c>
      <c r="Q18" s="15" t="s">
        <v>1039</v>
      </c>
      <c r="R18" s="15" t="s">
        <v>835</v>
      </c>
      <c r="S18" s="15" t="s">
        <v>348</v>
      </c>
      <c r="T18" s="15" t="s">
        <v>457</v>
      </c>
      <c r="U18" s="23" t="s">
        <v>841</v>
      </c>
      <c r="V18" s="23" t="s">
        <v>853</v>
      </c>
      <c r="W18" s="23" t="s">
        <v>848</v>
      </c>
      <c r="X18" s="23" t="s">
        <v>856</v>
      </c>
      <c r="Y18" s="23" t="s">
        <v>857</v>
      </c>
      <c r="Z18" s="23" t="s">
        <v>858</v>
      </c>
      <c r="AA18" s="23" t="s">
        <v>840</v>
      </c>
      <c r="AB18" s="23" t="s">
        <v>811</v>
      </c>
      <c r="AC18" s="32" t="s">
        <v>885</v>
      </c>
      <c r="AD18" s="33" t="str">
        <f t="shared" si="0"/>
        <v>289282798</v>
      </c>
      <c r="AE18" s="21" t="str">
        <f t="shared" ref="AE18:AE55" si="15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IF(col_servidopor="adserver-rotacionar",col_segmentacao,CONCATENATE(col_localfreetype,"-",col_segmentacao)),"_",VLOOKUP(col_paidvsav,tab_paidvsav,2,FALSE),"_",col_size))</f>
        <v>BR_VW_AFS_dv360_DIS_PROG_CPM_STD_LDR_AAF_RON_CXD_After-Sales-Oficina-Classicos-REG01-3rdparty_PD_160x600</v>
      </c>
      <c r="AF18" s="21" t="str">
        <f t="shared" ref="AF18:AF55" si="16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col_localfreetype,"-",col_segmentacao,"_",VLOOKUP(col_paidvsav,tab_paidvsav,2,FALSE),"_",col_size))</f>
        <v>BR_VW_AFS_dv360_DIS_PROG_CPM_STD_LDR_AAF_RON_CXD_After-Sales-Oficina-Classicos-REG01-3rdparty_PD_160x600</v>
      </c>
      <c r="AG18" s="21" t="str">
        <f t="shared" ref="AG18:AG55" si="17">CONCATENATE("VW","_",cel_modelvariant,"-",col_segmentacao,"_",col_size,"_",col_localfreetype,"-",IF(col_servidopor="portal",col_supplier,"adserver"))</f>
        <v>VW_After-Sales-3rdparty_160x600_After-Sales-Oficina-Classicos-REG01-adserver</v>
      </c>
      <c r="AH18" s="21" t="str">
        <f t="shared" ref="AH18:AH55" si="18">faxineiro(CONCATENATE(col_url,IF(ISNUMBER(FIND("?",col_url)),"&amp;","?"),"utm_source=",col_utmsource,"&amp;utm_medium=",col_utmmedium,"&amp;utm_content=",col_utmcontent,"&amp;utm_campaign=",col_utmcampaign,"&amp;utm_term=",col_keyword))</f>
        <v>https://www.oficinadeclassicos.com.br/index.aspx?utm_source=dv360&amp;utm_medium=Programmatic&amp;utm_content=BR_VW_AFS_dv360_DIS_PROG_CPM_STD_LDR_AAF_RON_CXD_After-Sales-Oficina-Classicos-REG01-3rdparty_PD_160x600&amp;utm_campaign=BR_AAF_DSY_NONMS_ND_AS_2019Q2APR_AFS_After-Sales&amp;utm_term=%epid!_%ecid!_%eaid!</v>
      </c>
      <c r="AI18" s="21" t="str">
        <f t="shared" ref="AI18:AI55" si="19">IFERROR(IF(col_servidopor="portal",VLOOKUP(col_placement,tab_contadores,2,FALSE),"TAG"),"Contador")</f>
        <v>TAG</v>
      </c>
      <c r="AJ18" s="15" t="str">
        <f t="shared" ref="AJ18:AJ47" si="20">H18</f>
        <v>dv360</v>
      </c>
      <c r="AK18" s="15" t="str">
        <f t="shared" ref="AK18:AK47" si="21">J18</f>
        <v>Programmatic</v>
      </c>
      <c r="AL18" s="21" t="str">
        <f>Campanha!$B$3</f>
        <v>BR_AAF_DSY_NONMS_ND_AS_2019Q2APR_AFS_After-Sales</v>
      </c>
      <c r="AM18" s="21" t="str">
        <f t="shared" ref="AM18:AM55" si="22">col_adname</f>
        <v>BR_VW_AFS_dv360_DIS_PROG_CPM_STD_LDR_AAF_RON_CXD_After-Sales-Oficina-Classicos-REG01-3rdparty_PD_160x600</v>
      </c>
      <c r="AN18" s="15" t="s">
        <v>809</v>
      </c>
    </row>
    <row r="19" spans="2:40" hidden="1" x14ac:dyDescent="0.25">
      <c r="B19" s="15" t="s">
        <v>933</v>
      </c>
      <c r="C19" s="15" t="s">
        <v>1171</v>
      </c>
      <c r="D19" s="30" t="s">
        <v>873</v>
      </c>
      <c r="E19" s="22">
        <v>44155</v>
      </c>
      <c r="F19" s="22">
        <v>44196</v>
      </c>
      <c r="G19" s="15" t="s">
        <v>674</v>
      </c>
      <c r="H19" s="15" t="s">
        <v>811</v>
      </c>
      <c r="I19" s="15" t="s">
        <v>702</v>
      </c>
      <c r="J19" s="15" t="s">
        <v>325</v>
      </c>
      <c r="K19" s="15" t="s">
        <v>334</v>
      </c>
      <c r="L19" s="15" t="s">
        <v>358</v>
      </c>
      <c r="M19" s="15" t="s">
        <v>322</v>
      </c>
      <c r="N19" s="15" t="s">
        <v>708</v>
      </c>
      <c r="O19" s="15" t="s">
        <v>694</v>
      </c>
      <c r="P19" s="15" t="s">
        <v>1040</v>
      </c>
      <c r="Q19" s="15" t="s">
        <v>1039</v>
      </c>
      <c r="R19" s="15" t="s">
        <v>835</v>
      </c>
      <c r="S19" s="15" t="s">
        <v>348</v>
      </c>
      <c r="T19" s="15" t="s">
        <v>484</v>
      </c>
      <c r="U19" s="23" t="s">
        <v>841</v>
      </c>
      <c r="V19" s="23" t="s">
        <v>852</v>
      </c>
      <c r="W19" s="23" t="s">
        <v>847</v>
      </c>
      <c r="X19" s="23" t="s">
        <v>859</v>
      </c>
      <c r="Y19" s="23" t="s">
        <v>860</v>
      </c>
      <c r="Z19" s="23" t="s">
        <v>861</v>
      </c>
      <c r="AA19" s="23" t="s">
        <v>840</v>
      </c>
      <c r="AB19" s="23" t="s">
        <v>811</v>
      </c>
      <c r="AC19" s="32" t="s">
        <v>885</v>
      </c>
      <c r="AD19" s="33" t="str">
        <f t="shared" si="0"/>
        <v>289282795</v>
      </c>
      <c r="AE19" s="21" t="str">
        <f t="shared" si="15"/>
        <v>BR_VW_AFS_dv360_DIS_PROG_CPM_STD_LDR_AAF_RON_CXD_After-Sales-Oficina-Classicos-REG01-3rdparty_PD_300x50</v>
      </c>
      <c r="AF19" s="21" t="str">
        <f t="shared" si="16"/>
        <v>BR_VW_AFS_dv360_DIS_PROG_CPM_STD_LDR_AAF_RON_CXD_After-Sales-Oficina-Classicos-REG01-3rdparty_PD_300x50</v>
      </c>
      <c r="AG19" s="21" t="str">
        <f t="shared" si="17"/>
        <v>VW_After-Sales-3rdparty_300x50_After-Sales-Oficina-Classicos-REG01-adserver</v>
      </c>
      <c r="AH19" s="21" t="str">
        <f t="shared" si="18"/>
        <v>https://www.oficinadeclassicos.com.br/index.aspx?utm_source=dv360&amp;utm_medium=Programmatic&amp;utm_content=BR_VW_AFS_dv360_DIS_PROG_CPM_STD_LDR_AAF_RON_CXD_After-Sales-Oficina-Classicos-REG01-3rdparty_PD_300x50&amp;utm_campaign=BR_AAF_DSY_NONMS_ND_AS_2019Q2APR_AFS_After-Sales&amp;utm_term=%epid!_%ecid!_%eaid!</v>
      </c>
      <c r="AI19" s="21" t="str">
        <f t="shared" si="19"/>
        <v>TAG</v>
      </c>
      <c r="AJ19" s="15" t="str">
        <f t="shared" si="20"/>
        <v>dv360</v>
      </c>
      <c r="AK19" s="15" t="str">
        <f t="shared" si="21"/>
        <v>Programmatic</v>
      </c>
      <c r="AL19" s="21" t="str">
        <f>Campanha!$B$3</f>
        <v>BR_AAF_DSY_NONMS_ND_AS_2019Q2APR_AFS_After-Sales</v>
      </c>
      <c r="AM19" s="21" t="str">
        <f t="shared" si="22"/>
        <v>BR_VW_AFS_dv360_DIS_PROG_CPM_STD_LDR_AAF_RON_CXD_After-Sales-Oficina-Classicos-REG01-3rdparty_PD_300x50</v>
      </c>
      <c r="AN19" s="15" t="s">
        <v>809</v>
      </c>
    </row>
    <row r="20" spans="2:40" hidden="1" x14ac:dyDescent="0.25">
      <c r="B20" s="15" t="s">
        <v>933</v>
      </c>
      <c r="C20" s="15" t="s">
        <v>1171</v>
      </c>
      <c r="D20" s="30" t="s">
        <v>873</v>
      </c>
      <c r="E20" s="22">
        <v>44155</v>
      </c>
      <c r="F20" s="22">
        <v>44196</v>
      </c>
      <c r="G20" s="15" t="s">
        <v>674</v>
      </c>
      <c r="H20" s="15" t="s">
        <v>811</v>
      </c>
      <c r="I20" s="15" t="s">
        <v>702</v>
      </c>
      <c r="J20" s="15" t="s">
        <v>325</v>
      </c>
      <c r="K20" s="15" t="s">
        <v>334</v>
      </c>
      <c r="L20" s="15" t="s">
        <v>358</v>
      </c>
      <c r="M20" s="15" t="s">
        <v>322</v>
      </c>
      <c r="N20" s="15" t="s">
        <v>708</v>
      </c>
      <c r="O20" s="15" t="s">
        <v>694</v>
      </c>
      <c r="P20" s="15" t="s">
        <v>1040</v>
      </c>
      <c r="Q20" s="15" t="s">
        <v>1039</v>
      </c>
      <c r="R20" s="15" t="s">
        <v>835</v>
      </c>
      <c r="S20" s="15" t="s">
        <v>348</v>
      </c>
      <c r="T20" s="15" t="s">
        <v>478</v>
      </c>
      <c r="U20" s="23" t="s">
        <v>841</v>
      </c>
      <c r="V20" s="23" t="s">
        <v>851</v>
      </c>
      <c r="W20" s="23" t="s">
        <v>846</v>
      </c>
      <c r="X20" s="23" t="s">
        <v>862</v>
      </c>
      <c r="Y20" s="23" t="s">
        <v>863</v>
      </c>
      <c r="Z20" s="23" t="s">
        <v>864</v>
      </c>
      <c r="AA20" s="23" t="s">
        <v>840</v>
      </c>
      <c r="AB20" s="23" t="s">
        <v>811</v>
      </c>
      <c r="AC20" s="32" t="s">
        <v>885</v>
      </c>
      <c r="AD20" s="33" t="str">
        <f t="shared" si="0"/>
        <v>289282792</v>
      </c>
      <c r="AE20" s="21" t="str">
        <f t="shared" si="15"/>
        <v>BR_VW_AFS_dv360_DIS_PROG_CPM_STD_LDR_AAF_RON_CXD_After-Sales-Oficina-Classicos-REG01-3rdparty_PD_300x250</v>
      </c>
      <c r="AF20" s="21" t="str">
        <f t="shared" si="16"/>
        <v>BR_VW_AFS_dv360_DIS_PROG_CPM_STD_LDR_AAF_RON_CXD_After-Sales-Oficina-Classicos-REG01-3rdparty_PD_300x250</v>
      </c>
      <c r="AG20" s="21" t="str">
        <f t="shared" si="17"/>
        <v>VW_After-Sales-3rdparty_300x250_After-Sales-Oficina-Classicos-REG01-adserver</v>
      </c>
      <c r="AH20" s="21" t="str">
        <f t="shared" si="18"/>
        <v>https://www.oficinadeclassicos.com.br/index.aspx?utm_source=dv360&amp;utm_medium=Programmatic&amp;utm_content=BR_VW_AFS_dv360_DIS_PROG_CPM_STD_LDR_AAF_RON_CXD_After-Sales-Oficina-Classicos-REG01-3rdparty_PD_300x250&amp;utm_campaign=BR_AAF_DSY_NONMS_ND_AS_2019Q2APR_AFS_After-Sales&amp;utm_term=%epid!_%ecid!_%eaid!</v>
      </c>
      <c r="AI20" s="21" t="str">
        <f t="shared" si="19"/>
        <v>TAG</v>
      </c>
      <c r="AJ20" s="15" t="str">
        <f t="shared" si="20"/>
        <v>dv360</v>
      </c>
      <c r="AK20" s="15" t="str">
        <f t="shared" si="21"/>
        <v>Programmatic</v>
      </c>
      <c r="AL20" s="21" t="str">
        <f>Campanha!$B$3</f>
        <v>BR_AAF_DSY_NONMS_ND_AS_2019Q2APR_AFS_After-Sales</v>
      </c>
      <c r="AM20" s="21" t="str">
        <f t="shared" si="22"/>
        <v>BR_VW_AFS_dv360_DIS_PROG_CPM_STD_LDR_AAF_RON_CXD_After-Sales-Oficina-Classicos-REG01-3rdparty_PD_300x250</v>
      </c>
      <c r="AN20" s="15" t="s">
        <v>809</v>
      </c>
    </row>
    <row r="21" spans="2:40" hidden="1" x14ac:dyDescent="0.25">
      <c r="B21" s="15" t="s">
        <v>933</v>
      </c>
      <c r="C21" s="15" t="s">
        <v>1172</v>
      </c>
      <c r="D21" s="30" t="s">
        <v>873</v>
      </c>
      <c r="E21" s="22">
        <v>44155</v>
      </c>
      <c r="F21" s="22">
        <v>44196</v>
      </c>
      <c r="G21" s="15" t="s">
        <v>674</v>
      </c>
      <c r="H21" s="15" t="s">
        <v>811</v>
      </c>
      <c r="I21" s="15" t="s">
        <v>702</v>
      </c>
      <c r="J21" s="15" t="s">
        <v>325</v>
      </c>
      <c r="K21" s="15" t="s">
        <v>334</v>
      </c>
      <c r="L21" s="15" t="s">
        <v>358</v>
      </c>
      <c r="M21" s="15" t="s">
        <v>322</v>
      </c>
      <c r="N21" s="15" t="s">
        <v>708</v>
      </c>
      <c r="O21" s="15" t="s">
        <v>694</v>
      </c>
      <c r="P21" s="15" t="s">
        <v>1040</v>
      </c>
      <c r="Q21" s="15" t="s">
        <v>1039</v>
      </c>
      <c r="R21" s="15" t="s">
        <v>835</v>
      </c>
      <c r="S21" s="15" t="s">
        <v>348</v>
      </c>
      <c r="T21" s="15" t="s">
        <v>614</v>
      </c>
      <c r="U21" s="23" t="s">
        <v>841</v>
      </c>
      <c r="V21" s="23" t="s">
        <v>850</v>
      </c>
      <c r="W21" s="23" t="s">
        <v>845</v>
      </c>
      <c r="X21" s="23" t="s">
        <v>865</v>
      </c>
      <c r="Y21" s="23" t="s">
        <v>866</v>
      </c>
      <c r="Z21" s="23" t="s">
        <v>867</v>
      </c>
      <c r="AA21" s="23" t="s">
        <v>840</v>
      </c>
      <c r="AB21" s="23" t="s">
        <v>811</v>
      </c>
      <c r="AC21" s="32" t="s">
        <v>885</v>
      </c>
      <c r="AD21" s="33" t="str">
        <f t="shared" si="0"/>
        <v>289251036</v>
      </c>
      <c r="AE21" s="21" t="str">
        <f t="shared" si="15"/>
        <v>BR_VW_AFS_dv360_DIS_PROG_CPM_STD_LDR_AAF_RON_CXD_After-Sales-Oficina-Classicos-REG01-3rdparty_PD_728x90</v>
      </c>
      <c r="AF21" s="21" t="str">
        <f t="shared" si="16"/>
        <v>BR_VW_AFS_dv360_DIS_PROG_CPM_STD_LDR_AAF_RON_CXD_After-Sales-Oficina-Classicos-REG01-3rdparty_PD_728x90</v>
      </c>
      <c r="AG21" s="21" t="str">
        <f t="shared" si="17"/>
        <v>VW_After-Sales-3rdparty_728x90_After-Sales-Oficina-Classicos-REG01-adserver</v>
      </c>
      <c r="AH21" s="21" t="str">
        <f t="shared" si="18"/>
        <v>https://www.oficinadeclassicos.com.br/index.aspx?utm_source=dv360&amp;utm_medium=Programmatic&amp;utm_content=BR_VW_AFS_dv360_DIS_PROG_CPM_STD_LDR_AAF_RON_CXD_After-Sales-Oficina-Classicos-REG01-3rdparty_PD_728x90&amp;utm_campaign=BR_AAF_DSY_NONMS_ND_AS_2019Q2APR_AFS_After-Sales&amp;utm_term=%epid!_%ecid!_%eaid!</v>
      </c>
      <c r="AI21" s="21" t="str">
        <f t="shared" si="19"/>
        <v>TAG</v>
      </c>
      <c r="AJ21" s="15" t="str">
        <f t="shared" si="20"/>
        <v>dv360</v>
      </c>
      <c r="AK21" s="15" t="str">
        <f t="shared" si="21"/>
        <v>Programmatic</v>
      </c>
      <c r="AL21" s="21" t="str">
        <f>Campanha!$B$3</f>
        <v>BR_AAF_DSY_NONMS_ND_AS_2019Q2APR_AFS_After-Sales</v>
      </c>
      <c r="AM21" s="21" t="str">
        <f t="shared" si="22"/>
        <v>BR_VW_AFS_dv360_DIS_PROG_CPM_STD_LDR_AAF_RON_CXD_After-Sales-Oficina-Classicos-REG01-3rdparty_PD_728x90</v>
      </c>
      <c r="AN21" s="15" t="s">
        <v>809</v>
      </c>
    </row>
    <row r="22" spans="2:40" hidden="1" x14ac:dyDescent="0.25">
      <c r="B22" s="15" t="s">
        <v>933</v>
      </c>
      <c r="C22" s="15" t="s">
        <v>1171</v>
      </c>
      <c r="D22" s="30" t="s">
        <v>873</v>
      </c>
      <c r="E22" s="22">
        <v>44155</v>
      </c>
      <c r="F22" s="22">
        <v>44196</v>
      </c>
      <c r="G22" s="15" t="s">
        <v>674</v>
      </c>
      <c r="H22" s="15" t="s">
        <v>811</v>
      </c>
      <c r="I22" s="15" t="s">
        <v>702</v>
      </c>
      <c r="J22" s="15" t="s">
        <v>325</v>
      </c>
      <c r="K22" s="15" t="s">
        <v>334</v>
      </c>
      <c r="L22" s="15" t="s">
        <v>358</v>
      </c>
      <c r="M22" s="15" t="s">
        <v>322</v>
      </c>
      <c r="N22" s="15" t="s">
        <v>708</v>
      </c>
      <c r="O22" s="15" t="s">
        <v>694</v>
      </c>
      <c r="P22" s="15" t="s">
        <v>1040</v>
      </c>
      <c r="Q22" s="15" t="s">
        <v>1039</v>
      </c>
      <c r="R22" s="15" t="s">
        <v>835</v>
      </c>
      <c r="S22" s="15" t="s">
        <v>348</v>
      </c>
      <c r="T22" s="15" t="s">
        <v>652</v>
      </c>
      <c r="U22" s="23" t="s">
        <v>841</v>
      </c>
      <c r="V22" s="23" t="s">
        <v>849</v>
      </c>
      <c r="W22" s="23" t="s">
        <v>844</v>
      </c>
      <c r="X22" s="23" t="s">
        <v>868</v>
      </c>
      <c r="Y22" s="23" t="s">
        <v>869</v>
      </c>
      <c r="Z22" s="23" t="s">
        <v>870</v>
      </c>
      <c r="AA22" s="23" t="s">
        <v>840</v>
      </c>
      <c r="AB22" s="23" t="s">
        <v>811</v>
      </c>
      <c r="AC22" s="32" t="s">
        <v>885</v>
      </c>
      <c r="AD22" s="33" t="str">
        <f t="shared" si="0"/>
        <v>289282789</v>
      </c>
      <c r="AE22" s="21" t="str">
        <f t="shared" si="15"/>
        <v>BR_VW_AFS_dv360_DIS_PROG_CPM_STD_LDR_AAF_RON_CXD_After-Sales-Oficina-Classicos-REG01-3rdparty_PD_970x250</v>
      </c>
      <c r="AF22" s="21" t="str">
        <f t="shared" si="16"/>
        <v>BR_VW_AFS_dv360_DIS_PROG_CPM_STD_LDR_AAF_RON_CXD_After-Sales-Oficina-Classicos-REG01-3rdparty_PD_970x250</v>
      </c>
      <c r="AG22" s="21" t="str">
        <f t="shared" si="17"/>
        <v>VW_After-Sales-3rdparty_970x250_After-Sales-Oficina-Classicos-REG01-adserver</v>
      </c>
      <c r="AH22" s="21" t="str">
        <f t="shared" si="18"/>
        <v>https://www.oficinadeclassicos.com.br/index.aspx?utm_source=dv360&amp;utm_medium=Programmatic&amp;utm_content=BR_VW_AFS_dv360_DIS_PROG_CPM_STD_LDR_AAF_RON_CXD_After-Sales-Oficina-Classicos-REG01-3rdparty_PD_970x250&amp;utm_campaign=BR_AAF_DSY_NONMS_ND_AS_2019Q2APR_AFS_After-Sales&amp;utm_term=%epid!_%ecid!_%eaid!</v>
      </c>
      <c r="AI22" s="21" t="str">
        <f t="shared" si="19"/>
        <v>TAG</v>
      </c>
      <c r="AJ22" s="15" t="str">
        <f t="shared" si="20"/>
        <v>dv360</v>
      </c>
      <c r="AK22" s="15" t="str">
        <f t="shared" si="21"/>
        <v>Programmatic</v>
      </c>
      <c r="AL22" s="21" t="str">
        <f>Campanha!$B$3</f>
        <v>BR_AAF_DSY_NONMS_ND_AS_2019Q2APR_AFS_After-Sales</v>
      </c>
      <c r="AM22" s="21" t="str">
        <f t="shared" si="22"/>
        <v>BR_VW_AFS_dv360_DIS_PROG_CPM_STD_LDR_AAF_RON_CXD_After-Sales-Oficina-Classicos-REG01-3rdparty_PD_970x250</v>
      </c>
      <c r="AN22" s="15" t="s">
        <v>809</v>
      </c>
    </row>
    <row r="23" spans="2:40" hidden="1" x14ac:dyDescent="0.25">
      <c r="B23" s="15" t="s">
        <v>872</v>
      </c>
      <c r="C23" s="15"/>
      <c r="D23" s="30" t="s">
        <v>873</v>
      </c>
      <c r="E23" s="22">
        <v>44155</v>
      </c>
      <c r="F23" s="22">
        <v>44196</v>
      </c>
      <c r="G23" s="15" t="s">
        <v>674</v>
      </c>
      <c r="H23" s="15" t="s">
        <v>811</v>
      </c>
      <c r="I23" s="15" t="s">
        <v>702</v>
      </c>
      <c r="J23" s="15" t="s">
        <v>325</v>
      </c>
      <c r="K23" s="15" t="s">
        <v>334</v>
      </c>
      <c r="L23" s="15" t="s">
        <v>358</v>
      </c>
      <c r="M23" s="15" t="s">
        <v>322</v>
      </c>
      <c r="N23" s="15" t="s">
        <v>708</v>
      </c>
      <c r="O23" s="15" t="s">
        <v>694</v>
      </c>
      <c r="P23" s="15" t="s">
        <v>1040</v>
      </c>
      <c r="Q23" s="15" t="s">
        <v>889</v>
      </c>
      <c r="R23" s="15" t="s">
        <v>835</v>
      </c>
      <c r="S23" s="15" t="s">
        <v>348</v>
      </c>
      <c r="T23" s="15" t="s">
        <v>457</v>
      </c>
      <c r="U23" s="23"/>
      <c r="V23" s="23"/>
      <c r="W23" s="23"/>
      <c r="X23" s="23"/>
      <c r="Y23" s="23"/>
      <c r="Z23" s="23"/>
      <c r="AA23" s="23"/>
      <c r="AB23" s="23"/>
      <c r="AC23" s="32" t="s">
        <v>885</v>
      </c>
      <c r="AD23" s="33" t="e">
        <f t="shared" si="0"/>
        <v>#N/A</v>
      </c>
      <c r="AE23" s="21" t="str">
        <f t="shared" si="15"/>
        <v>BR_VW_AFS_dv360_DIS_PROG_CPM_STD_LDR_AAF_RON_CXD_After-Sales-Oficina-Classicos-REG01-lal-lead-ofertas_PD_160x600</v>
      </c>
      <c r="AF23" s="21" t="str">
        <f t="shared" si="16"/>
        <v>BR_VW_AFS_dv360_DIS_PROG_CPM_STD_LDR_AAF_RON_CXD_After-Sales-Oficina-Classicos-REG01-lal-lead-ofertas_PD_160x600</v>
      </c>
      <c r="AG23" s="21" t="str">
        <f t="shared" si="17"/>
        <v>VW_After-Sales-lal-lead-ofertas_160x600_After-Sales-Oficina-Classicos-REG01-adserver</v>
      </c>
      <c r="AH23" s="21" t="str">
        <f t="shared" si="18"/>
        <v>https://www.oficinadeclassicos.com.br/index.aspx?utm_source=dv360&amp;utm_medium=Programmatic&amp;utm_content=BR_VW_AFS_dv360_DIS_PROG_CPM_STD_LDR_AAF_RON_CXD_After-Sales-Oficina-Classicos-REG01-lal-lead-ofertas_PD_160x600&amp;utm_campaign=BR_AAF_DSY_NONMS_ND_AS_2019Q2APR_AFS_After-Sales&amp;utm_term=%epid!_%ecid!_%eaid!</v>
      </c>
      <c r="AI23" s="21" t="str">
        <f t="shared" si="19"/>
        <v>TAG</v>
      </c>
      <c r="AJ23" s="15" t="str">
        <f t="shared" si="20"/>
        <v>dv360</v>
      </c>
      <c r="AK23" s="15" t="str">
        <f t="shared" si="21"/>
        <v>Programmatic</v>
      </c>
      <c r="AL23" s="21" t="str">
        <f>Campanha!$B$3</f>
        <v>BR_AAF_DSY_NONMS_ND_AS_2019Q2APR_AFS_After-Sales</v>
      </c>
      <c r="AM23" s="21" t="str">
        <f t="shared" si="22"/>
        <v>BR_VW_AFS_dv360_DIS_PROG_CPM_STD_LDR_AAF_RON_CXD_After-Sales-Oficina-Classicos-REG01-lal-lead-ofertas_PD_160x600</v>
      </c>
      <c r="AN23" s="15" t="s">
        <v>809</v>
      </c>
    </row>
    <row r="24" spans="2:40" hidden="1" x14ac:dyDescent="0.25">
      <c r="B24" s="15" t="s">
        <v>872</v>
      </c>
      <c r="C24" s="15"/>
      <c r="D24" s="30" t="s">
        <v>873</v>
      </c>
      <c r="E24" s="22">
        <v>44155</v>
      </c>
      <c r="F24" s="22">
        <v>44196</v>
      </c>
      <c r="G24" s="15" t="s">
        <v>674</v>
      </c>
      <c r="H24" s="15" t="s">
        <v>811</v>
      </c>
      <c r="I24" s="15" t="s">
        <v>702</v>
      </c>
      <c r="J24" s="15" t="s">
        <v>325</v>
      </c>
      <c r="K24" s="15" t="s">
        <v>334</v>
      </c>
      <c r="L24" s="15" t="s">
        <v>358</v>
      </c>
      <c r="M24" s="15" t="s">
        <v>322</v>
      </c>
      <c r="N24" s="15" t="s">
        <v>708</v>
      </c>
      <c r="O24" s="15" t="s">
        <v>694</v>
      </c>
      <c r="P24" s="15" t="s">
        <v>1040</v>
      </c>
      <c r="Q24" s="15" t="s">
        <v>889</v>
      </c>
      <c r="R24" s="15" t="s">
        <v>835</v>
      </c>
      <c r="S24" s="15" t="s">
        <v>348</v>
      </c>
      <c r="T24" s="15" t="s">
        <v>484</v>
      </c>
      <c r="U24" s="23"/>
      <c r="V24" s="23"/>
      <c r="W24" s="23"/>
      <c r="X24" s="23"/>
      <c r="Y24" s="23"/>
      <c r="Z24" s="23"/>
      <c r="AA24" s="23"/>
      <c r="AB24" s="23"/>
      <c r="AC24" s="32" t="s">
        <v>885</v>
      </c>
      <c r="AD24" s="33" t="e">
        <f t="shared" si="0"/>
        <v>#N/A</v>
      </c>
      <c r="AE24" s="21" t="str">
        <f t="shared" si="15"/>
        <v>BR_VW_AFS_dv360_DIS_PROG_CPM_STD_LDR_AAF_RON_CXD_After-Sales-Oficina-Classicos-REG01-lal-lead-ofertas_PD_300x50</v>
      </c>
      <c r="AF24" s="21" t="str">
        <f t="shared" si="16"/>
        <v>BR_VW_AFS_dv360_DIS_PROG_CPM_STD_LDR_AAF_RON_CXD_After-Sales-Oficina-Classicos-REG01-lal-lead-ofertas_PD_300x50</v>
      </c>
      <c r="AG24" s="21" t="str">
        <f t="shared" si="17"/>
        <v>VW_After-Sales-lal-lead-ofertas_300x50_After-Sales-Oficina-Classicos-REG01-adserver</v>
      </c>
      <c r="AH24" s="21" t="str">
        <f t="shared" si="18"/>
        <v>https://www.oficinadeclassicos.com.br/index.aspx?utm_source=dv360&amp;utm_medium=Programmatic&amp;utm_content=BR_VW_AFS_dv360_DIS_PROG_CPM_STD_LDR_AAF_RON_CXD_After-Sales-Oficina-Classicos-REG01-lal-lead-ofertas_PD_300x50&amp;utm_campaign=BR_AAF_DSY_NONMS_ND_AS_2019Q2APR_AFS_After-Sales&amp;utm_term=%epid!_%ecid!_%eaid!</v>
      </c>
      <c r="AI24" s="21" t="str">
        <f t="shared" si="19"/>
        <v>TAG</v>
      </c>
      <c r="AJ24" s="15" t="str">
        <f t="shared" si="20"/>
        <v>dv360</v>
      </c>
      <c r="AK24" s="15" t="str">
        <f t="shared" si="21"/>
        <v>Programmatic</v>
      </c>
      <c r="AL24" s="21" t="str">
        <f>Campanha!$B$3</f>
        <v>BR_AAF_DSY_NONMS_ND_AS_2019Q2APR_AFS_After-Sales</v>
      </c>
      <c r="AM24" s="21" t="str">
        <f t="shared" si="22"/>
        <v>BR_VW_AFS_dv360_DIS_PROG_CPM_STD_LDR_AAF_RON_CXD_After-Sales-Oficina-Classicos-REG01-lal-lead-ofertas_PD_300x50</v>
      </c>
      <c r="AN24" s="15" t="s">
        <v>809</v>
      </c>
    </row>
    <row r="25" spans="2:40" hidden="1" x14ac:dyDescent="0.25">
      <c r="B25" s="15" t="s">
        <v>872</v>
      </c>
      <c r="C25" s="15"/>
      <c r="D25" s="30" t="s">
        <v>873</v>
      </c>
      <c r="E25" s="22">
        <v>44155</v>
      </c>
      <c r="F25" s="22">
        <v>44196</v>
      </c>
      <c r="G25" s="15" t="s">
        <v>674</v>
      </c>
      <c r="H25" s="15" t="s">
        <v>811</v>
      </c>
      <c r="I25" s="15" t="s">
        <v>702</v>
      </c>
      <c r="J25" s="15" t="s">
        <v>325</v>
      </c>
      <c r="K25" s="15" t="s">
        <v>334</v>
      </c>
      <c r="L25" s="15" t="s">
        <v>358</v>
      </c>
      <c r="M25" s="15" t="s">
        <v>322</v>
      </c>
      <c r="N25" s="15" t="s">
        <v>708</v>
      </c>
      <c r="O25" s="15" t="s">
        <v>694</v>
      </c>
      <c r="P25" s="15" t="s">
        <v>1040</v>
      </c>
      <c r="Q25" s="15" t="s">
        <v>889</v>
      </c>
      <c r="R25" s="15" t="s">
        <v>835</v>
      </c>
      <c r="S25" s="15" t="s">
        <v>348</v>
      </c>
      <c r="T25" s="15" t="s">
        <v>478</v>
      </c>
      <c r="U25" s="23"/>
      <c r="V25" s="23"/>
      <c r="W25" s="23"/>
      <c r="X25" s="23"/>
      <c r="Y25" s="23"/>
      <c r="Z25" s="23"/>
      <c r="AA25" s="23"/>
      <c r="AB25" s="23"/>
      <c r="AC25" s="32" t="s">
        <v>885</v>
      </c>
      <c r="AD25" s="33" t="e">
        <f t="shared" si="0"/>
        <v>#N/A</v>
      </c>
      <c r="AE25" s="21" t="str">
        <f t="shared" si="15"/>
        <v>BR_VW_AFS_dv360_DIS_PROG_CPM_STD_LDR_AAF_RON_CXD_After-Sales-Oficina-Classicos-REG01-lal-lead-ofertas_PD_300x250</v>
      </c>
      <c r="AF25" s="21" t="str">
        <f t="shared" si="16"/>
        <v>BR_VW_AFS_dv360_DIS_PROG_CPM_STD_LDR_AAF_RON_CXD_After-Sales-Oficina-Classicos-REG01-lal-lead-ofertas_PD_300x250</v>
      </c>
      <c r="AG25" s="21" t="str">
        <f t="shared" si="17"/>
        <v>VW_After-Sales-lal-lead-ofertas_300x250_After-Sales-Oficina-Classicos-REG01-adserver</v>
      </c>
      <c r="AH25" s="21" t="str">
        <f t="shared" si="18"/>
        <v>https://www.oficinadeclassicos.com.br/index.aspx?utm_source=dv360&amp;utm_medium=Programmatic&amp;utm_content=BR_VW_AFS_dv360_DIS_PROG_CPM_STD_LDR_AAF_RON_CXD_After-Sales-Oficina-Classicos-REG01-lal-lead-ofertas_PD_300x250&amp;utm_campaign=BR_AAF_DSY_NONMS_ND_AS_2019Q2APR_AFS_After-Sales&amp;utm_term=%epid!_%ecid!_%eaid!</v>
      </c>
      <c r="AI25" s="21" t="str">
        <f t="shared" si="19"/>
        <v>TAG</v>
      </c>
      <c r="AJ25" s="15" t="str">
        <f t="shared" si="20"/>
        <v>dv360</v>
      </c>
      <c r="AK25" s="15" t="str">
        <f t="shared" si="21"/>
        <v>Programmatic</v>
      </c>
      <c r="AL25" s="21" t="str">
        <f>Campanha!$B$3</f>
        <v>BR_AAF_DSY_NONMS_ND_AS_2019Q2APR_AFS_After-Sales</v>
      </c>
      <c r="AM25" s="21" t="str">
        <f t="shared" si="22"/>
        <v>BR_VW_AFS_dv360_DIS_PROG_CPM_STD_LDR_AAF_RON_CXD_After-Sales-Oficina-Classicos-REG01-lal-lead-ofertas_PD_300x250</v>
      </c>
      <c r="AN25" s="15" t="s">
        <v>809</v>
      </c>
    </row>
    <row r="26" spans="2:40" hidden="1" x14ac:dyDescent="0.25">
      <c r="B26" s="15" t="s">
        <v>872</v>
      </c>
      <c r="C26" s="15"/>
      <c r="D26" s="30" t="s">
        <v>873</v>
      </c>
      <c r="E26" s="22">
        <v>44155</v>
      </c>
      <c r="F26" s="22">
        <v>44196</v>
      </c>
      <c r="G26" s="15" t="s">
        <v>674</v>
      </c>
      <c r="H26" s="15" t="s">
        <v>811</v>
      </c>
      <c r="I26" s="15" t="s">
        <v>702</v>
      </c>
      <c r="J26" s="15" t="s">
        <v>325</v>
      </c>
      <c r="K26" s="15" t="s">
        <v>334</v>
      </c>
      <c r="L26" s="15" t="s">
        <v>358</v>
      </c>
      <c r="M26" s="15" t="s">
        <v>322</v>
      </c>
      <c r="N26" s="15" t="s">
        <v>708</v>
      </c>
      <c r="O26" s="15" t="s">
        <v>694</v>
      </c>
      <c r="P26" s="15" t="s">
        <v>1040</v>
      </c>
      <c r="Q26" s="15" t="s">
        <v>889</v>
      </c>
      <c r="R26" s="15" t="s">
        <v>835</v>
      </c>
      <c r="S26" s="15" t="s">
        <v>348</v>
      </c>
      <c r="T26" s="15" t="s">
        <v>614</v>
      </c>
      <c r="U26" s="23"/>
      <c r="V26" s="23"/>
      <c r="W26" s="23"/>
      <c r="X26" s="23"/>
      <c r="Y26" s="23"/>
      <c r="Z26" s="23"/>
      <c r="AA26" s="23"/>
      <c r="AB26" s="23"/>
      <c r="AC26" s="32" t="s">
        <v>885</v>
      </c>
      <c r="AD26" s="33" t="e">
        <f t="shared" si="0"/>
        <v>#N/A</v>
      </c>
      <c r="AE26" s="21" t="str">
        <f t="shared" si="15"/>
        <v>BR_VW_AFS_dv360_DIS_PROG_CPM_STD_LDR_AAF_RON_CXD_After-Sales-Oficina-Classicos-REG01-lal-lead-ofertas_PD_728x90</v>
      </c>
      <c r="AF26" s="21" t="str">
        <f t="shared" si="16"/>
        <v>BR_VW_AFS_dv360_DIS_PROG_CPM_STD_LDR_AAF_RON_CXD_After-Sales-Oficina-Classicos-REG01-lal-lead-ofertas_PD_728x90</v>
      </c>
      <c r="AG26" s="21" t="str">
        <f t="shared" si="17"/>
        <v>VW_After-Sales-lal-lead-ofertas_728x90_After-Sales-Oficina-Classicos-REG01-adserver</v>
      </c>
      <c r="AH26" s="21" t="str">
        <f t="shared" si="18"/>
        <v>https://www.oficinadeclassicos.com.br/index.aspx?utm_source=dv360&amp;utm_medium=Programmatic&amp;utm_content=BR_VW_AFS_dv360_DIS_PROG_CPM_STD_LDR_AAF_RON_CXD_After-Sales-Oficina-Classicos-REG01-lal-lead-ofertas_PD_728x90&amp;utm_campaign=BR_AAF_DSY_NONMS_ND_AS_2019Q2APR_AFS_After-Sales&amp;utm_term=%epid!_%ecid!_%eaid!</v>
      </c>
      <c r="AI26" s="21" t="str">
        <f t="shared" si="19"/>
        <v>TAG</v>
      </c>
      <c r="AJ26" s="15" t="str">
        <f t="shared" si="20"/>
        <v>dv360</v>
      </c>
      <c r="AK26" s="15" t="str">
        <f t="shared" si="21"/>
        <v>Programmatic</v>
      </c>
      <c r="AL26" s="21" t="str">
        <f>Campanha!$B$3</f>
        <v>BR_AAF_DSY_NONMS_ND_AS_2019Q2APR_AFS_After-Sales</v>
      </c>
      <c r="AM26" s="21" t="str">
        <f t="shared" si="22"/>
        <v>BR_VW_AFS_dv360_DIS_PROG_CPM_STD_LDR_AAF_RON_CXD_After-Sales-Oficina-Classicos-REG01-lal-lead-ofertas_PD_728x90</v>
      </c>
      <c r="AN26" s="15" t="s">
        <v>809</v>
      </c>
    </row>
    <row r="27" spans="2:40" hidden="1" x14ac:dyDescent="0.25">
      <c r="B27" s="15" t="s">
        <v>872</v>
      </c>
      <c r="C27" s="15"/>
      <c r="D27" s="30" t="s">
        <v>873</v>
      </c>
      <c r="E27" s="22">
        <v>44155</v>
      </c>
      <c r="F27" s="22">
        <v>44196</v>
      </c>
      <c r="G27" s="15" t="s">
        <v>674</v>
      </c>
      <c r="H27" s="15" t="s">
        <v>811</v>
      </c>
      <c r="I27" s="15" t="s">
        <v>702</v>
      </c>
      <c r="J27" s="15" t="s">
        <v>325</v>
      </c>
      <c r="K27" s="15" t="s">
        <v>334</v>
      </c>
      <c r="L27" s="15" t="s">
        <v>358</v>
      </c>
      <c r="M27" s="15" t="s">
        <v>322</v>
      </c>
      <c r="N27" s="15" t="s">
        <v>708</v>
      </c>
      <c r="O27" s="15" t="s">
        <v>694</v>
      </c>
      <c r="P27" s="15" t="s">
        <v>1040</v>
      </c>
      <c r="Q27" s="15" t="s">
        <v>889</v>
      </c>
      <c r="R27" s="15" t="s">
        <v>835</v>
      </c>
      <c r="S27" s="15" t="s">
        <v>348</v>
      </c>
      <c r="T27" s="15" t="s">
        <v>652</v>
      </c>
      <c r="U27" s="23"/>
      <c r="V27" s="23"/>
      <c r="W27" s="23"/>
      <c r="X27" s="23"/>
      <c r="Y27" s="23"/>
      <c r="Z27" s="23"/>
      <c r="AA27" s="23"/>
      <c r="AB27" s="23"/>
      <c r="AC27" s="32" t="s">
        <v>885</v>
      </c>
      <c r="AD27" s="33" t="e">
        <f t="shared" si="0"/>
        <v>#N/A</v>
      </c>
      <c r="AE27" s="21" t="str">
        <f t="shared" si="15"/>
        <v>BR_VW_AFS_dv360_DIS_PROG_CPM_STD_LDR_AAF_RON_CXD_After-Sales-Oficina-Classicos-REG01-lal-lead-ofertas_PD_970x250</v>
      </c>
      <c r="AF27" s="21" t="str">
        <f t="shared" si="16"/>
        <v>BR_VW_AFS_dv360_DIS_PROG_CPM_STD_LDR_AAF_RON_CXD_After-Sales-Oficina-Classicos-REG01-lal-lead-ofertas_PD_970x250</v>
      </c>
      <c r="AG27" s="21" t="str">
        <f t="shared" si="17"/>
        <v>VW_After-Sales-lal-lead-ofertas_970x250_After-Sales-Oficina-Classicos-REG01-adserver</v>
      </c>
      <c r="AH27" s="21" t="str">
        <f t="shared" si="18"/>
        <v>https://www.oficinadeclassicos.com.br/index.aspx?utm_source=dv360&amp;utm_medium=Programmatic&amp;utm_content=BR_VW_AFS_dv360_DIS_PROG_CPM_STD_LDR_AAF_RON_CXD_After-Sales-Oficina-Classicos-REG01-lal-lead-ofertas_PD_970x250&amp;utm_campaign=BR_AAF_DSY_NONMS_ND_AS_2019Q2APR_AFS_After-Sales&amp;utm_term=%epid!_%ecid!_%eaid!</v>
      </c>
      <c r="AI27" s="21" t="str">
        <f t="shared" si="19"/>
        <v>TAG</v>
      </c>
      <c r="AJ27" s="15" t="str">
        <f t="shared" si="20"/>
        <v>dv360</v>
      </c>
      <c r="AK27" s="15" t="str">
        <f t="shared" si="21"/>
        <v>Programmatic</v>
      </c>
      <c r="AL27" s="21" t="str">
        <f>Campanha!$B$3</f>
        <v>BR_AAF_DSY_NONMS_ND_AS_2019Q2APR_AFS_After-Sales</v>
      </c>
      <c r="AM27" s="21" t="str">
        <f t="shared" si="22"/>
        <v>BR_VW_AFS_dv360_DIS_PROG_CPM_STD_LDR_AAF_RON_CXD_After-Sales-Oficina-Classicos-REG01-lal-lead-ofertas_PD_970x250</v>
      </c>
      <c r="AN27" s="15" t="s">
        <v>809</v>
      </c>
    </row>
    <row r="28" spans="2:40" hidden="1" x14ac:dyDescent="0.25">
      <c r="B28" s="15" t="s">
        <v>872</v>
      </c>
      <c r="C28" s="15"/>
      <c r="D28" s="30" t="s">
        <v>873</v>
      </c>
      <c r="E28" s="22">
        <v>44155</v>
      </c>
      <c r="F28" s="22">
        <v>44196</v>
      </c>
      <c r="G28" s="15" t="s">
        <v>674</v>
      </c>
      <c r="H28" s="15" t="s">
        <v>811</v>
      </c>
      <c r="I28" s="15" t="s">
        <v>702</v>
      </c>
      <c r="J28" s="15" t="s">
        <v>325</v>
      </c>
      <c r="K28" s="15" t="s">
        <v>334</v>
      </c>
      <c r="L28" s="15" t="s">
        <v>358</v>
      </c>
      <c r="M28" s="15" t="s">
        <v>322</v>
      </c>
      <c r="N28" s="15" t="s">
        <v>708</v>
      </c>
      <c r="O28" s="15" t="s">
        <v>694</v>
      </c>
      <c r="P28" s="15" t="s">
        <v>1040</v>
      </c>
      <c r="Q28" s="15" t="s">
        <v>876</v>
      </c>
      <c r="R28" s="15" t="s">
        <v>835</v>
      </c>
      <c r="S28" s="15" t="s">
        <v>348</v>
      </c>
      <c r="T28" s="15" t="s">
        <v>457</v>
      </c>
      <c r="U28" s="23"/>
      <c r="V28" s="23"/>
      <c r="W28" s="23"/>
      <c r="X28" s="23"/>
      <c r="Y28" s="23"/>
      <c r="Z28" s="23"/>
      <c r="AA28" s="23"/>
      <c r="AB28" s="23"/>
      <c r="AC28" s="32" t="s">
        <v>885</v>
      </c>
      <c r="AD28" s="33" t="e">
        <f t="shared" si="0"/>
        <v>#N/A</v>
      </c>
      <c r="AE28" s="21" t="str">
        <f t="shared" si="15"/>
        <v>BR_VW_AFS_dv360_DIS_PROG_CPM_STD_LDR_AAF_RON_CXD_After-Sales-Oficina-Classicos-REG01-lal-add-to-cart-ofertas_PD_160x600</v>
      </c>
      <c r="AF28" s="21" t="str">
        <f t="shared" si="16"/>
        <v>BR_VW_AFS_dv360_DIS_PROG_CPM_STD_LDR_AAF_RON_CXD_After-Sales-Oficina-Classicos-REG01-lal-add-to-cart-ofertas_PD_160x600</v>
      </c>
      <c r="AG28" s="21" t="str">
        <f t="shared" si="17"/>
        <v>VW_After-Sales-lal-add-to-cart-ofertas_160x600_After-Sales-Oficina-Classicos-REG01-adserver</v>
      </c>
      <c r="AH28" s="21" t="str">
        <f t="shared" si="18"/>
        <v>https://www.oficinadeclassicos.com.br/index.aspx?utm_source=dv360&amp;utm_medium=Programmatic&amp;utm_content=BR_VW_AFS_dv360_DIS_PROG_CPM_STD_LDR_AAF_RON_CXD_After-Sales-Oficina-Classicos-REG01-lal-add-to-cart-ofertas_PD_160x600&amp;utm_campaign=BR_AAF_DSY_NONMS_ND_AS_2019Q2APR_AFS_After-Sales&amp;utm_term=%epid!_%ecid!_%eaid!</v>
      </c>
      <c r="AI28" s="21" t="str">
        <f t="shared" si="19"/>
        <v>TAG</v>
      </c>
      <c r="AJ28" s="15" t="str">
        <f t="shared" si="20"/>
        <v>dv360</v>
      </c>
      <c r="AK28" s="15" t="str">
        <f t="shared" si="21"/>
        <v>Programmatic</v>
      </c>
      <c r="AL28" s="21" t="str">
        <f>Campanha!$B$3</f>
        <v>BR_AAF_DSY_NONMS_ND_AS_2019Q2APR_AFS_After-Sales</v>
      </c>
      <c r="AM28" s="21" t="str">
        <f t="shared" si="22"/>
        <v>BR_VW_AFS_dv360_DIS_PROG_CPM_STD_LDR_AAF_RON_CXD_After-Sales-Oficina-Classicos-REG01-lal-add-to-cart-ofertas_PD_160x600</v>
      </c>
      <c r="AN28" s="15" t="s">
        <v>809</v>
      </c>
    </row>
    <row r="29" spans="2:40" hidden="1" x14ac:dyDescent="0.25">
      <c r="B29" s="15" t="s">
        <v>872</v>
      </c>
      <c r="C29" s="15"/>
      <c r="D29" s="30" t="s">
        <v>873</v>
      </c>
      <c r="E29" s="22">
        <v>44155</v>
      </c>
      <c r="F29" s="22">
        <v>44196</v>
      </c>
      <c r="G29" s="15" t="s">
        <v>674</v>
      </c>
      <c r="H29" s="15" t="s">
        <v>811</v>
      </c>
      <c r="I29" s="15" t="s">
        <v>702</v>
      </c>
      <c r="J29" s="15" t="s">
        <v>325</v>
      </c>
      <c r="K29" s="15" t="s">
        <v>334</v>
      </c>
      <c r="L29" s="15" t="s">
        <v>358</v>
      </c>
      <c r="M29" s="15" t="s">
        <v>322</v>
      </c>
      <c r="N29" s="15" t="s">
        <v>708</v>
      </c>
      <c r="O29" s="15" t="s">
        <v>694</v>
      </c>
      <c r="P29" s="15" t="s">
        <v>1040</v>
      </c>
      <c r="Q29" s="15" t="s">
        <v>876</v>
      </c>
      <c r="R29" s="15" t="s">
        <v>835</v>
      </c>
      <c r="S29" s="15" t="s">
        <v>348</v>
      </c>
      <c r="T29" s="15" t="s">
        <v>484</v>
      </c>
      <c r="U29" s="23"/>
      <c r="V29" s="23"/>
      <c r="W29" s="23"/>
      <c r="X29" s="23"/>
      <c r="Y29" s="23"/>
      <c r="Z29" s="23"/>
      <c r="AA29" s="23"/>
      <c r="AB29" s="23"/>
      <c r="AC29" s="32" t="s">
        <v>885</v>
      </c>
      <c r="AD29" s="33" t="e">
        <f t="shared" si="0"/>
        <v>#N/A</v>
      </c>
      <c r="AE29" s="21" t="str">
        <f t="shared" si="15"/>
        <v>BR_VW_AFS_dv360_DIS_PROG_CPM_STD_LDR_AAF_RON_CXD_After-Sales-Oficina-Classicos-REG01-lal-add-to-cart-ofertas_PD_300x50</v>
      </c>
      <c r="AF29" s="21" t="str">
        <f t="shared" si="16"/>
        <v>BR_VW_AFS_dv360_DIS_PROG_CPM_STD_LDR_AAF_RON_CXD_After-Sales-Oficina-Classicos-REG01-lal-add-to-cart-ofertas_PD_300x50</v>
      </c>
      <c r="AG29" s="21" t="str">
        <f t="shared" si="17"/>
        <v>VW_After-Sales-lal-add-to-cart-ofertas_300x50_After-Sales-Oficina-Classicos-REG01-adserver</v>
      </c>
      <c r="AH29" s="21" t="str">
        <f t="shared" si="18"/>
        <v>https://www.oficinadeclassicos.com.br/index.aspx?utm_source=dv360&amp;utm_medium=Programmatic&amp;utm_content=BR_VW_AFS_dv360_DIS_PROG_CPM_STD_LDR_AAF_RON_CXD_After-Sales-Oficina-Classicos-REG01-lal-add-to-cart-ofertas_PD_300x50&amp;utm_campaign=BR_AAF_DSY_NONMS_ND_AS_2019Q2APR_AFS_After-Sales&amp;utm_term=%epid!_%ecid!_%eaid!</v>
      </c>
      <c r="AI29" s="21" t="str">
        <f t="shared" si="19"/>
        <v>TAG</v>
      </c>
      <c r="AJ29" s="15" t="str">
        <f t="shared" si="20"/>
        <v>dv360</v>
      </c>
      <c r="AK29" s="15" t="str">
        <f t="shared" si="21"/>
        <v>Programmatic</v>
      </c>
      <c r="AL29" s="21" t="str">
        <f>Campanha!$B$3</f>
        <v>BR_AAF_DSY_NONMS_ND_AS_2019Q2APR_AFS_After-Sales</v>
      </c>
      <c r="AM29" s="21" t="str">
        <f t="shared" si="22"/>
        <v>BR_VW_AFS_dv360_DIS_PROG_CPM_STD_LDR_AAF_RON_CXD_After-Sales-Oficina-Classicos-REG01-lal-add-to-cart-ofertas_PD_300x50</v>
      </c>
      <c r="AN29" s="15" t="s">
        <v>809</v>
      </c>
    </row>
    <row r="30" spans="2:40" hidden="1" x14ac:dyDescent="0.25">
      <c r="B30" s="15" t="s">
        <v>872</v>
      </c>
      <c r="C30" s="15"/>
      <c r="D30" s="30" t="s">
        <v>873</v>
      </c>
      <c r="E30" s="22">
        <v>44155</v>
      </c>
      <c r="F30" s="22">
        <v>44196</v>
      </c>
      <c r="G30" s="15" t="s">
        <v>674</v>
      </c>
      <c r="H30" s="15" t="s">
        <v>811</v>
      </c>
      <c r="I30" s="15" t="s">
        <v>702</v>
      </c>
      <c r="J30" s="15" t="s">
        <v>325</v>
      </c>
      <c r="K30" s="15" t="s">
        <v>334</v>
      </c>
      <c r="L30" s="15" t="s">
        <v>358</v>
      </c>
      <c r="M30" s="15" t="s">
        <v>322</v>
      </c>
      <c r="N30" s="15" t="s">
        <v>708</v>
      </c>
      <c r="O30" s="15" t="s">
        <v>694</v>
      </c>
      <c r="P30" s="15" t="s">
        <v>1040</v>
      </c>
      <c r="Q30" s="15" t="s">
        <v>876</v>
      </c>
      <c r="R30" s="15" t="s">
        <v>835</v>
      </c>
      <c r="S30" s="15" t="s">
        <v>348</v>
      </c>
      <c r="T30" s="15" t="s">
        <v>478</v>
      </c>
      <c r="U30" s="23"/>
      <c r="V30" s="23"/>
      <c r="W30" s="23"/>
      <c r="X30" s="23"/>
      <c r="Y30" s="23"/>
      <c r="Z30" s="23"/>
      <c r="AA30" s="23"/>
      <c r="AB30" s="23"/>
      <c r="AC30" s="32" t="s">
        <v>885</v>
      </c>
      <c r="AD30" s="33" t="e">
        <f t="shared" si="0"/>
        <v>#N/A</v>
      </c>
      <c r="AE30" s="21" t="str">
        <f t="shared" si="15"/>
        <v>BR_VW_AFS_dv360_DIS_PROG_CPM_STD_LDR_AAF_RON_CXD_After-Sales-Oficina-Classicos-REG01-lal-add-to-cart-ofertas_PD_300x250</v>
      </c>
      <c r="AF30" s="21" t="str">
        <f t="shared" si="16"/>
        <v>BR_VW_AFS_dv360_DIS_PROG_CPM_STD_LDR_AAF_RON_CXD_After-Sales-Oficina-Classicos-REG01-lal-add-to-cart-ofertas_PD_300x250</v>
      </c>
      <c r="AG30" s="21" t="str">
        <f t="shared" si="17"/>
        <v>VW_After-Sales-lal-add-to-cart-ofertas_300x250_After-Sales-Oficina-Classicos-REG01-adserver</v>
      </c>
      <c r="AH30" s="21" t="str">
        <f t="shared" si="18"/>
        <v>https://www.oficinadeclassicos.com.br/index.aspx?utm_source=dv360&amp;utm_medium=Programmatic&amp;utm_content=BR_VW_AFS_dv360_DIS_PROG_CPM_STD_LDR_AAF_RON_CXD_After-Sales-Oficina-Classicos-REG01-lal-add-to-cart-ofertas_PD_300x250&amp;utm_campaign=BR_AAF_DSY_NONMS_ND_AS_2019Q2APR_AFS_After-Sales&amp;utm_term=%epid!_%ecid!_%eaid!</v>
      </c>
      <c r="AI30" s="21" t="str">
        <f t="shared" si="19"/>
        <v>TAG</v>
      </c>
      <c r="AJ30" s="15" t="str">
        <f t="shared" si="20"/>
        <v>dv360</v>
      </c>
      <c r="AK30" s="15" t="str">
        <f t="shared" si="21"/>
        <v>Programmatic</v>
      </c>
      <c r="AL30" s="21" t="str">
        <f>Campanha!$B$3</f>
        <v>BR_AAF_DSY_NONMS_ND_AS_2019Q2APR_AFS_After-Sales</v>
      </c>
      <c r="AM30" s="21" t="str">
        <f t="shared" si="22"/>
        <v>BR_VW_AFS_dv360_DIS_PROG_CPM_STD_LDR_AAF_RON_CXD_After-Sales-Oficina-Classicos-REG01-lal-add-to-cart-ofertas_PD_300x250</v>
      </c>
      <c r="AN30" s="15" t="s">
        <v>809</v>
      </c>
    </row>
    <row r="31" spans="2:40" hidden="1" x14ac:dyDescent="0.25">
      <c r="B31" s="15" t="s">
        <v>872</v>
      </c>
      <c r="C31" s="15"/>
      <c r="D31" s="30" t="s">
        <v>873</v>
      </c>
      <c r="E31" s="22">
        <v>44155</v>
      </c>
      <c r="F31" s="22">
        <v>44196</v>
      </c>
      <c r="G31" s="15" t="s">
        <v>674</v>
      </c>
      <c r="H31" s="15" t="s">
        <v>811</v>
      </c>
      <c r="I31" s="15" t="s">
        <v>702</v>
      </c>
      <c r="J31" s="15" t="s">
        <v>325</v>
      </c>
      <c r="K31" s="15" t="s">
        <v>334</v>
      </c>
      <c r="L31" s="15" t="s">
        <v>358</v>
      </c>
      <c r="M31" s="15" t="s">
        <v>322</v>
      </c>
      <c r="N31" s="15" t="s">
        <v>708</v>
      </c>
      <c r="O31" s="15" t="s">
        <v>694</v>
      </c>
      <c r="P31" s="15" t="s">
        <v>1040</v>
      </c>
      <c r="Q31" s="15" t="s">
        <v>876</v>
      </c>
      <c r="R31" s="15" t="s">
        <v>835</v>
      </c>
      <c r="S31" s="15" t="s">
        <v>348</v>
      </c>
      <c r="T31" s="15" t="s">
        <v>614</v>
      </c>
      <c r="U31" s="23"/>
      <c r="V31" s="23"/>
      <c r="W31" s="23"/>
      <c r="X31" s="23"/>
      <c r="Y31" s="23"/>
      <c r="Z31" s="23"/>
      <c r="AA31" s="23"/>
      <c r="AB31" s="23"/>
      <c r="AC31" s="32" t="s">
        <v>885</v>
      </c>
      <c r="AD31" s="33" t="e">
        <f t="shared" si="0"/>
        <v>#N/A</v>
      </c>
      <c r="AE31" s="21" t="str">
        <f t="shared" si="15"/>
        <v>BR_VW_AFS_dv360_DIS_PROG_CPM_STD_LDR_AAF_RON_CXD_After-Sales-Oficina-Classicos-REG01-lal-add-to-cart-ofertas_PD_728x90</v>
      </c>
      <c r="AF31" s="21" t="str">
        <f t="shared" si="16"/>
        <v>BR_VW_AFS_dv360_DIS_PROG_CPM_STD_LDR_AAF_RON_CXD_After-Sales-Oficina-Classicos-REG01-lal-add-to-cart-ofertas_PD_728x90</v>
      </c>
      <c r="AG31" s="21" t="str">
        <f t="shared" si="17"/>
        <v>VW_After-Sales-lal-add-to-cart-ofertas_728x90_After-Sales-Oficina-Classicos-REG01-adserver</v>
      </c>
      <c r="AH31" s="21" t="str">
        <f t="shared" si="18"/>
        <v>https://www.oficinadeclassicos.com.br/index.aspx?utm_source=dv360&amp;utm_medium=Programmatic&amp;utm_content=BR_VW_AFS_dv360_DIS_PROG_CPM_STD_LDR_AAF_RON_CXD_After-Sales-Oficina-Classicos-REG01-lal-add-to-cart-ofertas_PD_728x90&amp;utm_campaign=BR_AAF_DSY_NONMS_ND_AS_2019Q2APR_AFS_After-Sales&amp;utm_term=%epid!_%ecid!_%eaid!</v>
      </c>
      <c r="AI31" s="21" t="str">
        <f t="shared" si="19"/>
        <v>TAG</v>
      </c>
      <c r="AJ31" s="15" t="str">
        <f t="shared" si="20"/>
        <v>dv360</v>
      </c>
      <c r="AK31" s="15" t="str">
        <f t="shared" si="21"/>
        <v>Programmatic</v>
      </c>
      <c r="AL31" s="21" t="str">
        <f>Campanha!$B$3</f>
        <v>BR_AAF_DSY_NONMS_ND_AS_2019Q2APR_AFS_After-Sales</v>
      </c>
      <c r="AM31" s="21" t="str">
        <f t="shared" si="22"/>
        <v>BR_VW_AFS_dv360_DIS_PROG_CPM_STD_LDR_AAF_RON_CXD_After-Sales-Oficina-Classicos-REG01-lal-add-to-cart-ofertas_PD_728x90</v>
      </c>
      <c r="AN31" s="15" t="s">
        <v>809</v>
      </c>
    </row>
    <row r="32" spans="2:40" hidden="1" x14ac:dyDescent="0.25">
      <c r="B32" s="15" t="s">
        <v>872</v>
      </c>
      <c r="C32" s="15"/>
      <c r="D32" s="30" t="s">
        <v>873</v>
      </c>
      <c r="E32" s="22">
        <v>44155</v>
      </c>
      <c r="F32" s="22">
        <v>44196</v>
      </c>
      <c r="G32" s="15" t="s">
        <v>674</v>
      </c>
      <c r="H32" s="15" t="s">
        <v>811</v>
      </c>
      <c r="I32" s="15" t="s">
        <v>702</v>
      </c>
      <c r="J32" s="15" t="s">
        <v>325</v>
      </c>
      <c r="K32" s="15" t="s">
        <v>334</v>
      </c>
      <c r="L32" s="15" t="s">
        <v>358</v>
      </c>
      <c r="M32" s="15" t="s">
        <v>322</v>
      </c>
      <c r="N32" s="15" t="s">
        <v>708</v>
      </c>
      <c r="O32" s="15" t="s">
        <v>694</v>
      </c>
      <c r="P32" s="15" t="s">
        <v>1040</v>
      </c>
      <c r="Q32" s="15" t="s">
        <v>876</v>
      </c>
      <c r="R32" s="15" t="s">
        <v>835</v>
      </c>
      <c r="S32" s="15" t="s">
        <v>348</v>
      </c>
      <c r="T32" s="15" t="s">
        <v>652</v>
      </c>
      <c r="U32" s="23"/>
      <c r="V32" s="23"/>
      <c r="W32" s="23"/>
      <c r="X32" s="23"/>
      <c r="Y32" s="23"/>
      <c r="Z32" s="23"/>
      <c r="AA32" s="23"/>
      <c r="AB32" s="23"/>
      <c r="AC32" s="32" t="s">
        <v>885</v>
      </c>
      <c r="AD32" s="33" t="e">
        <f t="shared" si="0"/>
        <v>#N/A</v>
      </c>
      <c r="AE32" s="21" t="str">
        <f t="shared" si="15"/>
        <v>BR_VW_AFS_dv360_DIS_PROG_CPM_STD_LDR_AAF_RON_CXD_After-Sales-Oficina-Classicos-REG01-lal-add-to-cart-ofertas_PD_970x250</v>
      </c>
      <c r="AF32" s="21" t="str">
        <f t="shared" si="16"/>
        <v>BR_VW_AFS_dv360_DIS_PROG_CPM_STD_LDR_AAF_RON_CXD_After-Sales-Oficina-Classicos-REG01-lal-add-to-cart-ofertas_PD_970x250</v>
      </c>
      <c r="AG32" s="21" t="str">
        <f t="shared" si="17"/>
        <v>VW_After-Sales-lal-add-to-cart-ofertas_970x250_After-Sales-Oficina-Classicos-REG01-adserver</v>
      </c>
      <c r="AH32" s="21" t="str">
        <f t="shared" si="18"/>
        <v>https://www.oficinadeclassicos.com.br/index.aspx?utm_source=dv360&amp;utm_medium=Programmatic&amp;utm_content=BR_VW_AFS_dv360_DIS_PROG_CPM_STD_LDR_AAF_RON_CXD_After-Sales-Oficina-Classicos-REG01-lal-add-to-cart-ofertas_PD_970x250&amp;utm_campaign=BR_AAF_DSY_NONMS_ND_AS_2019Q2APR_AFS_After-Sales&amp;utm_term=%epid!_%ecid!_%eaid!</v>
      </c>
      <c r="AI32" s="21" t="str">
        <f t="shared" si="19"/>
        <v>TAG</v>
      </c>
      <c r="AJ32" s="15" t="str">
        <f t="shared" si="20"/>
        <v>dv360</v>
      </c>
      <c r="AK32" s="15" t="str">
        <f t="shared" si="21"/>
        <v>Programmatic</v>
      </c>
      <c r="AL32" s="21" t="str">
        <f>Campanha!$B$3</f>
        <v>BR_AAF_DSY_NONMS_ND_AS_2019Q2APR_AFS_After-Sales</v>
      </c>
      <c r="AM32" s="21" t="str">
        <f t="shared" si="22"/>
        <v>BR_VW_AFS_dv360_DIS_PROG_CPM_STD_LDR_AAF_RON_CXD_After-Sales-Oficina-Classicos-REG01-lal-add-to-cart-ofertas_PD_970x250</v>
      </c>
      <c r="AN32" s="15" t="s">
        <v>809</v>
      </c>
    </row>
    <row r="33" spans="2:40" hidden="1" x14ac:dyDescent="0.25">
      <c r="B33" s="15" t="s">
        <v>872</v>
      </c>
      <c r="C33" s="15"/>
      <c r="D33" s="30" t="s">
        <v>873</v>
      </c>
      <c r="E33" s="22">
        <v>44155</v>
      </c>
      <c r="F33" s="22">
        <v>44196</v>
      </c>
      <c r="G33" s="15" t="s">
        <v>674</v>
      </c>
      <c r="H33" s="15" t="s">
        <v>811</v>
      </c>
      <c r="I33" s="15" t="s">
        <v>702</v>
      </c>
      <c r="J33" s="15" t="s">
        <v>325</v>
      </c>
      <c r="K33" s="15" t="s">
        <v>334</v>
      </c>
      <c r="L33" s="15" t="s">
        <v>358</v>
      </c>
      <c r="M33" s="15" t="s">
        <v>322</v>
      </c>
      <c r="N33" s="15" t="s">
        <v>708</v>
      </c>
      <c r="O33" s="15" t="s">
        <v>694</v>
      </c>
      <c r="P33" s="15" t="s">
        <v>1040</v>
      </c>
      <c r="Q33" s="15" t="s">
        <v>890</v>
      </c>
      <c r="R33" s="15" t="s">
        <v>835</v>
      </c>
      <c r="S33" s="15" t="s">
        <v>348</v>
      </c>
      <c r="T33" s="15" t="s">
        <v>457</v>
      </c>
      <c r="U33" s="23"/>
      <c r="V33" s="23"/>
      <c r="W33" s="23"/>
      <c r="X33" s="23"/>
      <c r="Y33" s="23"/>
      <c r="Z33" s="23"/>
      <c r="AA33" s="23"/>
      <c r="AB33" s="23"/>
      <c r="AC33" s="32" t="s">
        <v>885</v>
      </c>
      <c r="AD33" s="33" t="e">
        <f t="shared" si="0"/>
        <v>#N/A</v>
      </c>
      <c r="AE33" s="21" t="str">
        <f t="shared" si="15"/>
        <v>BR_VW_AFS_dv360_DIS_PROG_CPM_STD_LDR_AAF_RON_CXD_After-Sales-Oficina-Classicos-REG01-lal-home-ofertas_PD_160x600</v>
      </c>
      <c r="AF33" s="21" t="str">
        <f t="shared" si="16"/>
        <v>BR_VW_AFS_dv360_DIS_PROG_CPM_STD_LDR_AAF_RON_CXD_After-Sales-Oficina-Classicos-REG01-lal-home-ofertas_PD_160x600</v>
      </c>
      <c r="AG33" s="21" t="str">
        <f t="shared" si="17"/>
        <v>VW_After-Sales-lal-home-ofertas_160x600_After-Sales-Oficina-Classicos-REG01-adserver</v>
      </c>
      <c r="AH33" s="21" t="str">
        <f t="shared" si="18"/>
        <v>https://www.oficinadeclassicos.com.br/index.aspx?utm_source=dv360&amp;utm_medium=Programmatic&amp;utm_content=BR_VW_AFS_dv360_DIS_PROG_CPM_STD_LDR_AAF_RON_CXD_After-Sales-Oficina-Classicos-REG01-lal-home-ofertas_PD_160x600&amp;utm_campaign=BR_AAF_DSY_NONMS_ND_AS_2019Q2APR_AFS_After-Sales&amp;utm_term=%epid!_%ecid!_%eaid!</v>
      </c>
      <c r="AI33" s="21" t="str">
        <f t="shared" si="19"/>
        <v>TAG</v>
      </c>
      <c r="AJ33" s="15" t="str">
        <f t="shared" si="20"/>
        <v>dv360</v>
      </c>
      <c r="AK33" s="15" t="str">
        <f t="shared" si="21"/>
        <v>Programmatic</v>
      </c>
      <c r="AL33" s="21" t="str">
        <f>Campanha!$B$3</f>
        <v>BR_AAF_DSY_NONMS_ND_AS_2019Q2APR_AFS_After-Sales</v>
      </c>
      <c r="AM33" s="21" t="str">
        <f t="shared" si="22"/>
        <v>BR_VW_AFS_dv360_DIS_PROG_CPM_STD_LDR_AAF_RON_CXD_After-Sales-Oficina-Classicos-REG01-lal-home-ofertas_PD_160x600</v>
      </c>
      <c r="AN33" s="15" t="s">
        <v>809</v>
      </c>
    </row>
    <row r="34" spans="2:40" hidden="1" x14ac:dyDescent="0.25">
      <c r="B34" s="15" t="s">
        <v>872</v>
      </c>
      <c r="C34" s="15"/>
      <c r="D34" s="30" t="s">
        <v>873</v>
      </c>
      <c r="E34" s="22">
        <v>44155</v>
      </c>
      <c r="F34" s="22">
        <v>44196</v>
      </c>
      <c r="G34" s="15" t="s">
        <v>674</v>
      </c>
      <c r="H34" s="15" t="s">
        <v>811</v>
      </c>
      <c r="I34" s="15" t="s">
        <v>702</v>
      </c>
      <c r="J34" s="15" t="s">
        <v>325</v>
      </c>
      <c r="K34" s="15" t="s">
        <v>334</v>
      </c>
      <c r="L34" s="15" t="s">
        <v>358</v>
      </c>
      <c r="M34" s="15" t="s">
        <v>322</v>
      </c>
      <c r="N34" s="15" t="s">
        <v>708</v>
      </c>
      <c r="O34" s="15" t="s">
        <v>694</v>
      </c>
      <c r="P34" s="15" t="s">
        <v>1040</v>
      </c>
      <c r="Q34" s="15" t="s">
        <v>890</v>
      </c>
      <c r="R34" s="15" t="s">
        <v>835</v>
      </c>
      <c r="S34" s="15" t="s">
        <v>348</v>
      </c>
      <c r="T34" s="15" t="s">
        <v>484</v>
      </c>
      <c r="U34" s="23"/>
      <c r="V34" s="23"/>
      <c r="W34" s="23"/>
      <c r="X34" s="23"/>
      <c r="Y34" s="23"/>
      <c r="Z34" s="23"/>
      <c r="AA34" s="23"/>
      <c r="AB34" s="23"/>
      <c r="AC34" s="32" t="s">
        <v>885</v>
      </c>
      <c r="AD34" s="33" t="e">
        <f t="shared" si="0"/>
        <v>#N/A</v>
      </c>
      <c r="AE34" s="21" t="str">
        <f t="shared" si="15"/>
        <v>BR_VW_AFS_dv360_DIS_PROG_CPM_STD_LDR_AAF_RON_CXD_After-Sales-Oficina-Classicos-REG01-lal-home-ofertas_PD_300x50</v>
      </c>
      <c r="AF34" s="21" t="str">
        <f t="shared" si="16"/>
        <v>BR_VW_AFS_dv360_DIS_PROG_CPM_STD_LDR_AAF_RON_CXD_After-Sales-Oficina-Classicos-REG01-lal-home-ofertas_PD_300x50</v>
      </c>
      <c r="AG34" s="21" t="str">
        <f t="shared" si="17"/>
        <v>VW_After-Sales-lal-home-ofertas_300x50_After-Sales-Oficina-Classicos-REG01-adserver</v>
      </c>
      <c r="AH34" s="21" t="str">
        <f t="shared" si="18"/>
        <v>https://www.oficinadeclassicos.com.br/index.aspx?utm_source=dv360&amp;utm_medium=Programmatic&amp;utm_content=BR_VW_AFS_dv360_DIS_PROG_CPM_STD_LDR_AAF_RON_CXD_After-Sales-Oficina-Classicos-REG01-lal-home-ofertas_PD_300x50&amp;utm_campaign=BR_AAF_DSY_NONMS_ND_AS_2019Q2APR_AFS_After-Sales&amp;utm_term=%epid!_%ecid!_%eaid!</v>
      </c>
      <c r="AI34" s="21" t="str">
        <f t="shared" si="19"/>
        <v>TAG</v>
      </c>
      <c r="AJ34" s="15" t="str">
        <f t="shared" si="20"/>
        <v>dv360</v>
      </c>
      <c r="AK34" s="15" t="str">
        <f t="shared" si="21"/>
        <v>Programmatic</v>
      </c>
      <c r="AL34" s="21" t="str">
        <f>Campanha!$B$3</f>
        <v>BR_AAF_DSY_NONMS_ND_AS_2019Q2APR_AFS_After-Sales</v>
      </c>
      <c r="AM34" s="21" t="str">
        <f t="shared" si="22"/>
        <v>BR_VW_AFS_dv360_DIS_PROG_CPM_STD_LDR_AAF_RON_CXD_After-Sales-Oficina-Classicos-REG01-lal-home-ofertas_PD_300x50</v>
      </c>
      <c r="AN34" s="15" t="s">
        <v>809</v>
      </c>
    </row>
    <row r="35" spans="2:40" hidden="1" x14ac:dyDescent="0.25">
      <c r="B35" s="15" t="s">
        <v>872</v>
      </c>
      <c r="C35" s="15"/>
      <c r="D35" s="30" t="s">
        <v>873</v>
      </c>
      <c r="E35" s="22">
        <v>44155</v>
      </c>
      <c r="F35" s="22">
        <v>44196</v>
      </c>
      <c r="G35" s="15" t="s">
        <v>674</v>
      </c>
      <c r="H35" s="15" t="s">
        <v>811</v>
      </c>
      <c r="I35" s="15" t="s">
        <v>702</v>
      </c>
      <c r="J35" s="15" t="s">
        <v>325</v>
      </c>
      <c r="K35" s="15" t="s">
        <v>334</v>
      </c>
      <c r="L35" s="15" t="s">
        <v>358</v>
      </c>
      <c r="M35" s="15" t="s">
        <v>322</v>
      </c>
      <c r="N35" s="15" t="s">
        <v>708</v>
      </c>
      <c r="O35" s="15" t="s">
        <v>694</v>
      </c>
      <c r="P35" s="15" t="s">
        <v>1040</v>
      </c>
      <c r="Q35" s="15" t="s">
        <v>890</v>
      </c>
      <c r="R35" s="15" t="s">
        <v>835</v>
      </c>
      <c r="S35" s="15" t="s">
        <v>348</v>
      </c>
      <c r="T35" s="15" t="s">
        <v>478</v>
      </c>
      <c r="U35" s="23"/>
      <c r="V35" s="23"/>
      <c r="W35" s="23"/>
      <c r="X35" s="23"/>
      <c r="Y35" s="23"/>
      <c r="Z35" s="23"/>
      <c r="AA35" s="23"/>
      <c r="AB35" s="23"/>
      <c r="AC35" s="32" t="s">
        <v>885</v>
      </c>
      <c r="AD35" s="33" t="e">
        <f t="shared" ref="AD35:AD66" si="23">VLOOKUP(AE35,id_placement,2,FALSE)</f>
        <v>#N/A</v>
      </c>
      <c r="AE35" s="21" t="str">
        <f t="shared" si="15"/>
        <v>BR_VW_AFS_dv360_DIS_PROG_CPM_STD_LDR_AAF_RON_CXD_After-Sales-Oficina-Classicos-REG01-lal-home-ofertas_PD_300x250</v>
      </c>
      <c r="AF35" s="21" t="str">
        <f t="shared" si="16"/>
        <v>BR_VW_AFS_dv360_DIS_PROG_CPM_STD_LDR_AAF_RON_CXD_After-Sales-Oficina-Classicos-REG01-lal-home-ofertas_PD_300x250</v>
      </c>
      <c r="AG35" s="21" t="str">
        <f t="shared" si="17"/>
        <v>VW_After-Sales-lal-home-ofertas_300x250_After-Sales-Oficina-Classicos-REG01-adserver</v>
      </c>
      <c r="AH35" s="21" t="str">
        <f t="shared" si="18"/>
        <v>https://www.oficinadeclassicos.com.br/index.aspx?utm_source=dv360&amp;utm_medium=Programmatic&amp;utm_content=BR_VW_AFS_dv360_DIS_PROG_CPM_STD_LDR_AAF_RON_CXD_After-Sales-Oficina-Classicos-REG01-lal-home-ofertas_PD_300x250&amp;utm_campaign=BR_AAF_DSY_NONMS_ND_AS_2019Q2APR_AFS_After-Sales&amp;utm_term=%epid!_%ecid!_%eaid!</v>
      </c>
      <c r="AI35" s="21" t="str">
        <f t="shared" si="19"/>
        <v>TAG</v>
      </c>
      <c r="AJ35" s="15" t="str">
        <f t="shared" si="20"/>
        <v>dv360</v>
      </c>
      <c r="AK35" s="15" t="str">
        <f t="shared" si="21"/>
        <v>Programmatic</v>
      </c>
      <c r="AL35" s="21" t="str">
        <f>Campanha!$B$3</f>
        <v>BR_AAF_DSY_NONMS_ND_AS_2019Q2APR_AFS_After-Sales</v>
      </c>
      <c r="AM35" s="21" t="str">
        <f t="shared" si="22"/>
        <v>BR_VW_AFS_dv360_DIS_PROG_CPM_STD_LDR_AAF_RON_CXD_After-Sales-Oficina-Classicos-REG01-lal-home-ofertas_PD_300x250</v>
      </c>
      <c r="AN35" s="15" t="s">
        <v>809</v>
      </c>
    </row>
    <row r="36" spans="2:40" hidden="1" x14ac:dyDescent="0.25">
      <c r="B36" s="15" t="s">
        <v>872</v>
      </c>
      <c r="C36" s="15"/>
      <c r="D36" s="30" t="s">
        <v>873</v>
      </c>
      <c r="E36" s="22">
        <v>44155</v>
      </c>
      <c r="F36" s="22">
        <v>44196</v>
      </c>
      <c r="G36" s="15" t="s">
        <v>674</v>
      </c>
      <c r="H36" s="15" t="s">
        <v>811</v>
      </c>
      <c r="I36" s="15" t="s">
        <v>702</v>
      </c>
      <c r="J36" s="15" t="s">
        <v>325</v>
      </c>
      <c r="K36" s="15" t="s">
        <v>334</v>
      </c>
      <c r="L36" s="15" t="s">
        <v>358</v>
      </c>
      <c r="M36" s="15" t="s">
        <v>322</v>
      </c>
      <c r="N36" s="15" t="s">
        <v>708</v>
      </c>
      <c r="O36" s="15" t="s">
        <v>694</v>
      </c>
      <c r="P36" s="15" t="s">
        <v>1040</v>
      </c>
      <c r="Q36" s="15" t="s">
        <v>890</v>
      </c>
      <c r="R36" s="15" t="s">
        <v>835</v>
      </c>
      <c r="S36" s="15" t="s">
        <v>348</v>
      </c>
      <c r="T36" s="15" t="s">
        <v>614</v>
      </c>
      <c r="U36" s="23"/>
      <c r="V36" s="23"/>
      <c r="W36" s="23"/>
      <c r="X36" s="23"/>
      <c r="Y36" s="23"/>
      <c r="Z36" s="23"/>
      <c r="AA36" s="23"/>
      <c r="AB36" s="23"/>
      <c r="AC36" s="32" t="s">
        <v>885</v>
      </c>
      <c r="AD36" s="33" t="e">
        <f t="shared" si="23"/>
        <v>#N/A</v>
      </c>
      <c r="AE36" s="21" t="str">
        <f t="shared" si="15"/>
        <v>BR_VW_AFS_dv360_DIS_PROG_CPM_STD_LDR_AAF_RON_CXD_After-Sales-Oficina-Classicos-REG01-lal-home-ofertas_PD_728x90</v>
      </c>
      <c r="AF36" s="21" t="str">
        <f t="shared" si="16"/>
        <v>BR_VW_AFS_dv360_DIS_PROG_CPM_STD_LDR_AAF_RON_CXD_After-Sales-Oficina-Classicos-REG01-lal-home-ofertas_PD_728x90</v>
      </c>
      <c r="AG36" s="21" t="str">
        <f t="shared" si="17"/>
        <v>VW_After-Sales-lal-home-ofertas_728x90_After-Sales-Oficina-Classicos-REG01-adserver</v>
      </c>
      <c r="AH36" s="21" t="str">
        <f t="shared" si="18"/>
        <v>https://www.oficinadeclassicos.com.br/index.aspx?utm_source=dv360&amp;utm_medium=Programmatic&amp;utm_content=BR_VW_AFS_dv360_DIS_PROG_CPM_STD_LDR_AAF_RON_CXD_After-Sales-Oficina-Classicos-REG01-lal-home-ofertas_PD_728x90&amp;utm_campaign=BR_AAF_DSY_NONMS_ND_AS_2019Q2APR_AFS_After-Sales&amp;utm_term=%epid!_%ecid!_%eaid!</v>
      </c>
      <c r="AI36" s="21" t="str">
        <f t="shared" si="19"/>
        <v>TAG</v>
      </c>
      <c r="AJ36" s="15" t="str">
        <f t="shared" si="20"/>
        <v>dv360</v>
      </c>
      <c r="AK36" s="15" t="str">
        <f t="shared" si="21"/>
        <v>Programmatic</v>
      </c>
      <c r="AL36" s="21" t="str">
        <f>Campanha!$B$3</f>
        <v>BR_AAF_DSY_NONMS_ND_AS_2019Q2APR_AFS_After-Sales</v>
      </c>
      <c r="AM36" s="21" t="str">
        <f t="shared" si="22"/>
        <v>BR_VW_AFS_dv360_DIS_PROG_CPM_STD_LDR_AAF_RON_CXD_After-Sales-Oficina-Classicos-REG01-lal-home-ofertas_PD_728x90</v>
      </c>
      <c r="AN36" s="15" t="s">
        <v>809</v>
      </c>
    </row>
    <row r="37" spans="2:40" hidden="1" x14ac:dyDescent="0.25">
      <c r="B37" s="15" t="s">
        <v>872</v>
      </c>
      <c r="C37" s="15"/>
      <c r="D37" s="30" t="s">
        <v>873</v>
      </c>
      <c r="E37" s="22">
        <v>44155</v>
      </c>
      <c r="F37" s="22">
        <v>44196</v>
      </c>
      <c r="G37" s="15" t="s">
        <v>674</v>
      </c>
      <c r="H37" s="15" t="s">
        <v>811</v>
      </c>
      <c r="I37" s="15" t="s">
        <v>702</v>
      </c>
      <c r="J37" s="15" t="s">
        <v>325</v>
      </c>
      <c r="K37" s="15" t="s">
        <v>334</v>
      </c>
      <c r="L37" s="15" t="s">
        <v>358</v>
      </c>
      <c r="M37" s="15" t="s">
        <v>322</v>
      </c>
      <c r="N37" s="15" t="s">
        <v>708</v>
      </c>
      <c r="O37" s="15" t="s">
        <v>694</v>
      </c>
      <c r="P37" s="15" t="s">
        <v>1040</v>
      </c>
      <c r="Q37" s="15" t="s">
        <v>890</v>
      </c>
      <c r="R37" s="15" t="s">
        <v>835</v>
      </c>
      <c r="S37" s="15" t="s">
        <v>348</v>
      </c>
      <c r="T37" s="15" t="s">
        <v>652</v>
      </c>
      <c r="U37" s="23"/>
      <c r="V37" s="23"/>
      <c r="W37" s="23"/>
      <c r="X37" s="23"/>
      <c r="Y37" s="23"/>
      <c r="Z37" s="23"/>
      <c r="AA37" s="23"/>
      <c r="AB37" s="23"/>
      <c r="AC37" s="32" t="s">
        <v>885</v>
      </c>
      <c r="AD37" s="33" t="e">
        <f t="shared" si="23"/>
        <v>#N/A</v>
      </c>
      <c r="AE37" s="21" t="str">
        <f t="shared" si="15"/>
        <v>BR_VW_AFS_dv360_DIS_PROG_CPM_STD_LDR_AAF_RON_CXD_After-Sales-Oficina-Classicos-REG01-lal-home-ofertas_PD_970x250</v>
      </c>
      <c r="AF37" s="21" t="str">
        <f t="shared" si="16"/>
        <v>BR_VW_AFS_dv360_DIS_PROG_CPM_STD_LDR_AAF_RON_CXD_After-Sales-Oficina-Classicos-REG01-lal-home-ofertas_PD_970x250</v>
      </c>
      <c r="AG37" s="21" t="str">
        <f t="shared" si="17"/>
        <v>VW_After-Sales-lal-home-ofertas_970x250_After-Sales-Oficina-Classicos-REG01-adserver</v>
      </c>
      <c r="AH37" s="21" t="str">
        <f t="shared" si="18"/>
        <v>https://www.oficinadeclassicos.com.br/index.aspx?utm_source=dv360&amp;utm_medium=Programmatic&amp;utm_content=BR_VW_AFS_dv360_DIS_PROG_CPM_STD_LDR_AAF_RON_CXD_After-Sales-Oficina-Classicos-REG01-lal-home-ofertas_PD_970x250&amp;utm_campaign=BR_AAF_DSY_NONMS_ND_AS_2019Q2APR_AFS_After-Sales&amp;utm_term=%epid!_%ecid!_%eaid!</v>
      </c>
      <c r="AI37" s="21" t="str">
        <f t="shared" si="19"/>
        <v>TAG</v>
      </c>
      <c r="AJ37" s="15" t="str">
        <f t="shared" si="20"/>
        <v>dv360</v>
      </c>
      <c r="AK37" s="15" t="str">
        <f t="shared" si="21"/>
        <v>Programmatic</v>
      </c>
      <c r="AL37" s="21" t="str">
        <f>Campanha!$B$3</f>
        <v>BR_AAF_DSY_NONMS_ND_AS_2019Q2APR_AFS_After-Sales</v>
      </c>
      <c r="AM37" s="21" t="str">
        <f t="shared" si="22"/>
        <v>BR_VW_AFS_dv360_DIS_PROG_CPM_STD_LDR_AAF_RON_CXD_After-Sales-Oficina-Classicos-REG01-lal-home-ofertas_PD_970x250</v>
      </c>
      <c r="AN37" s="15" t="s">
        <v>809</v>
      </c>
    </row>
    <row r="38" spans="2:40" hidden="1" x14ac:dyDescent="0.25">
      <c r="B38" s="15" t="s">
        <v>872</v>
      </c>
      <c r="C38" s="15"/>
      <c r="D38" s="30" t="s">
        <v>873</v>
      </c>
      <c r="E38" s="22">
        <v>44155</v>
      </c>
      <c r="F38" s="22">
        <v>44196</v>
      </c>
      <c r="G38" s="15" t="s">
        <v>674</v>
      </c>
      <c r="H38" s="15" t="s">
        <v>811</v>
      </c>
      <c r="I38" s="15" t="s">
        <v>702</v>
      </c>
      <c r="J38" s="15" t="s">
        <v>325</v>
      </c>
      <c r="K38" s="15" t="s">
        <v>334</v>
      </c>
      <c r="L38" s="15" t="s">
        <v>358</v>
      </c>
      <c r="M38" s="15" t="s">
        <v>322</v>
      </c>
      <c r="N38" s="15" t="s">
        <v>708</v>
      </c>
      <c r="O38" s="15" t="s">
        <v>694</v>
      </c>
      <c r="P38" s="15" t="s">
        <v>1040</v>
      </c>
      <c r="Q38" s="15" t="s">
        <v>874</v>
      </c>
      <c r="R38" s="15" t="s">
        <v>835</v>
      </c>
      <c r="S38" s="15" t="s">
        <v>348</v>
      </c>
      <c r="T38" s="15" t="s">
        <v>457</v>
      </c>
      <c r="U38" s="23"/>
      <c r="V38" s="23"/>
      <c r="W38" s="23"/>
      <c r="X38" s="23"/>
      <c r="Y38" s="23"/>
      <c r="Z38" s="23"/>
      <c r="AA38" s="23"/>
      <c r="AB38" s="23"/>
      <c r="AC38" s="32" t="s">
        <v>885</v>
      </c>
      <c r="AD38" s="33" t="e">
        <f t="shared" si="23"/>
        <v>#N/A</v>
      </c>
      <c r="AE38" s="21" t="str">
        <f t="shared" si="15"/>
        <v>BR_VW_AFS_dv360_DIS_PROG_CPM_STD_LDR_AAF_RON_CXD_After-Sales-Oficina-Classicos-REG01-rmkt-visita-home-ofertas_PD_160x600</v>
      </c>
      <c r="AF38" s="21" t="str">
        <f t="shared" si="16"/>
        <v>BR_VW_AFS_dv360_DIS_PROG_CPM_STD_LDR_AAF_RON_CXD_After-Sales-Oficina-Classicos-REG01-rmkt-visita-home-ofertas_PD_160x600</v>
      </c>
      <c r="AG38" s="21" t="str">
        <f t="shared" si="17"/>
        <v>VW_After-Sales-rmkt-visita-home-ofertas_160x600_After-Sales-Oficina-Classicos-REG01-adserver</v>
      </c>
      <c r="AH38" s="21" t="str">
        <f t="shared" si="18"/>
        <v>https://www.oficinadeclassicos.com.br/index.aspx?utm_source=dv360&amp;utm_medium=Programmatic&amp;utm_content=BR_VW_AFS_dv360_DIS_PROG_CPM_STD_LDR_AAF_RON_CXD_After-Sales-Oficina-Classicos-REG01-rmkt-visita-home-ofertas_PD_160x600&amp;utm_campaign=BR_AAF_DSY_NONMS_ND_AS_2019Q2APR_AFS_After-Sales&amp;utm_term=%epid!_%ecid!_%eaid!</v>
      </c>
      <c r="AI38" s="21" t="str">
        <f t="shared" si="19"/>
        <v>TAG</v>
      </c>
      <c r="AJ38" s="15" t="str">
        <f t="shared" si="20"/>
        <v>dv360</v>
      </c>
      <c r="AK38" s="15" t="str">
        <f t="shared" si="21"/>
        <v>Programmatic</v>
      </c>
      <c r="AL38" s="21" t="str">
        <f>Campanha!$B$3</f>
        <v>BR_AAF_DSY_NONMS_ND_AS_2019Q2APR_AFS_After-Sales</v>
      </c>
      <c r="AM38" s="21" t="str">
        <f t="shared" si="22"/>
        <v>BR_VW_AFS_dv360_DIS_PROG_CPM_STD_LDR_AAF_RON_CXD_After-Sales-Oficina-Classicos-REG01-rmkt-visita-home-ofertas_PD_160x600</v>
      </c>
      <c r="AN38" s="15" t="s">
        <v>809</v>
      </c>
    </row>
    <row r="39" spans="2:40" hidden="1" x14ac:dyDescent="0.25">
      <c r="B39" s="15" t="s">
        <v>872</v>
      </c>
      <c r="C39" s="15"/>
      <c r="D39" s="30" t="s">
        <v>873</v>
      </c>
      <c r="E39" s="22">
        <v>44155</v>
      </c>
      <c r="F39" s="22">
        <v>44196</v>
      </c>
      <c r="G39" s="15" t="s">
        <v>674</v>
      </c>
      <c r="H39" s="15" t="s">
        <v>811</v>
      </c>
      <c r="I39" s="15" t="s">
        <v>702</v>
      </c>
      <c r="J39" s="15" t="s">
        <v>325</v>
      </c>
      <c r="K39" s="15" t="s">
        <v>334</v>
      </c>
      <c r="L39" s="15" t="s">
        <v>358</v>
      </c>
      <c r="M39" s="15" t="s">
        <v>322</v>
      </c>
      <c r="N39" s="15" t="s">
        <v>708</v>
      </c>
      <c r="O39" s="15" t="s">
        <v>694</v>
      </c>
      <c r="P39" s="15" t="s">
        <v>1040</v>
      </c>
      <c r="Q39" s="15" t="s">
        <v>874</v>
      </c>
      <c r="R39" s="15" t="s">
        <v>835</v>
      </c>
      <c r="S39" s="15" t="s">
        <v>348</v>
      </c>
      <c r="T39" s="15" t="s">
        <v>484</v>
      </c>
      <c r="U39" s="23"/>
      <c r="V39" s="23"/>
      <c r="W39" s="23"/>
      <c r="X39" s="23"/>
      <c r="Y39" s="23"/>
      <c r="Z39" s="23"/>
      <c r="AA39" s="23"/>
      <c r="AB39" s="23"/>
      <c r="AC39" s="32" t="s">
        <v>885</v>
      </c>
      <c r="AD39" s="33" t="e">
        <f t="shared" si="23"/>
        <v>#N/A</v>
      </c>
      <c r="AE39" s="21" t="str">
        <f t="shared" si="15"/>
        <v>BR_VW_AFS_dv360_DIS_PROG_CPM_STD_LDR_AAF_RON_CXD_After-Sales-Oficina-Classicos-REG01-rmkt-visita-home-ofertas_PD_300x50</v>
      </c>
      <c r="AF39" s="21" t="str">
        <f t="shared" si="16"/>
        <v>BR_VW_AFS_dv360_DIS_PROG_CPM_STD_LDR_AAF_RON_CXD_After-Sales-Oficina-Classicos-REG01-rmkt-visita-home-ofertas_PD_300x50</v>
      </c>
      <c r="AG39" s="21" t="str">
        <f t="shared" si="17"/>
        <v>VW_After-Sales-rmkt-visita-home-ofertas_300x50_After-Sales-Oficina-Classicos-REG01-adserver</v>
      </c>
      <c r="AH39" s="21" t="str">
        <f t="shared" si="18"/>
        <v>https://www.oficinadeclassicos.com.br/index.aspx?utm_source=dv360&amp;utm_medium=Programmatic&amp;utm_content=BR_VW_AFS_dv360_DIS_PROG_CPM_STD_LDR_AAF_RON_CXD_After-Sales-Oficina-Classicos-REG01-rmkt-visita-home-ofertas_PD_300x50&amp;utm_campaign=BR_AAF_DSY_NONMS_ND_AS_2019Q2APR_AFS_After-Sales&amp;utm_term=%epid!_%ecid!_%eaid!</v>
      </c>
      <c r="AI39" s="21" t="str">
        <f t="shared" si="19"/>
        <v>TAG</v>
      </c>
      <c r="AJ39" s="15" t="str">
        <f t="shared" si="20"/>
        <v>dv360</v>
      </c>
      <c r="AK39" s="15" t="str">
        <f t="shared" si="21"/>
        <v>Programmatic</v>
      </c>
      <c r="AL39" s="21" t="str">
        <f>Campanha!$B$3</f>
        <v>BR_AAF_DSY_NONMS_ND_AS_2019Q2APR_AFS_After-Sales</v>
      </c>
      <c r="AM39" s="21" t="str">
        <f t="shared" si="22"/>
        <v>BR_VW_AFS_dv360_DIS_PROG_CPM_STD_LDR_AAF_RON_CXD_After-Sales-Oficina-Classicos-REG01-rmkt-visita-home-ofertas_PD_300x50</v>
      </c>
      <c r="AN39" s="15" t="s">
        <v>809</v>
      </c>
    </row>
    <row r="40" spans="2:40" hidden="1" x14ac:dyDescent="0.25">
      <c r="B40" s="15" t="s">
        <v>872</v>
      </c>
      <c r="C40" s="15"/>
      <c r="D40" s="30" t="s">
        <v>873</v>
      </c>
      <c r="E40" s="22">
        <v>44155</v>
      </c>
      <c r="F40" s="22">
        <v>44196</v>
      </c>
      <c r="G40" s="15" t="s">
        <v>674</v>
      </c>
      <c r="H40" s="15" t="s">
        <v>811</v>
      </c>
      <c r="I40" s="15" t="s">
        <v>702</v>
      </c>
      <c r="J40" s="15" t="s">
        <v>325</v>
      </c>
      <c r="K40" s="15" t="s">
        <v>334</v>
      </c>
      <c r="L40" s="15" t="s">
        <v>358</v>
      </c>
      <c r="M40" s="15" t="s">
        <v>322</v>
      </c>
      <c r="N40" s="15" t="s">
        <v>708</v>
      </c>
      <c r="O40" s="15" t="s">
        <v>694</v>
      </c>
      <c r="P40" s="15" t="s">
        <v>1040</v>
      </c>
      <c r="Q40" s="15" t="s">
        <v>874</v>
      </c>
      <c r="R40" s="15" t="s">
        <v>835</v>
      </c>
      <c r="S40" s="15" t="s">
        <v>348</v>
      </c>
      <c r="T40" s="15" t="s">
        <v>478</v>
      </c>
      <c r="U40" s="23"/>
      <c r="V40" s="23"/>
      <c r="W40" s="23"/>
      <c r="X40" s="23"/>
      <c r="Y40" s="23"/>
      <c r="Z40" s="23"/>
      <c r="AA40" s="23"/>
      <c r="AB40" s="23"/>
      <c r="AC40" s="32" t="s">
        <v>885</v>
      </c>
      <c r="AD40" s="33" t="e">
        <f t="shared" si="23"/>
        <v>#N/A</v>
      </c>
      <c r="AE40" s="21" t="str">
        <f t="shared" si="15"/>
        <v>BR_VW_AFS_dv360_DIS_PROG_CPM_STD_LDR_AAF_RON_CXD_After-Sales-Oficina-Classicos-REG01-rmkt-visita-home-ofertas_PD_300x250</v>
      </c>
      <c r="AF40" s="21" t="str">
        <f t="shared" si="16"/>
        <v>BR_VW_AFS_dv360_DIS_PROG_CPM_STD_LDR_AAF_RON_CXD_After-Sales-Oficina-Classicos-REG01-rmkt-visita-home-ofertas_PD_300x250</v>
      </c>
      <c r="AG40" s="21" t="str">
        <f t="shared" si="17"/>
        <v>VW_After-Sales-rmkt-visita-home-ofertas_300x250_After-Sales-Oficina-Classicos-REG01-adserver</v>
      </c>
      <c r="AH40" s="21" t="str">
        <f t="shared" si="18"/>
        <v>https://www.oficinadeclassicos.com.br/index.aspx?utm_source=dv360&amp;utm_medium=Programmatic&amp;utm_content=BR_VW_AFS_dv360_DIS_PROG_CPM_STD_LDR_AAF_RON_CXD_After-Sales-Oficina-Classicos-REG01-rmkt-visita-home-ofertas_PD_300x250&amp;utm_campaign=BR_AAF_DSY_NONMS_ND_AS_2019Q2APR_AFS_After-Sales&amp;utm_term=%epid!_%ecid!_%eaid!</v>
      </c>
      <c r="AI40" s="21" t="str">
        <f t="shared" si="19"/>
        <v>TAG</v>
      </c>
      <c r="AJ40" s="15" t="str">
        <f t="shared" si="20"/>
        <v>dv360</v>
      </c>
      <c r="AK40" s="15" t="str">
        <f t="shared" si="21"/>
        <v>Programmatic</v>
      </c>
      <c r="AL40" s="21" t="str">
        <f>Campanha!$B$3</f>
        <v>BR_AAF_DSY_NONMS_ND_AS_2019Q2APR_AFS_After-Sales</v>
      </c>
      <c r="AM40" s="21" t="str">
        <f t="shared" si="22"/>
        <v>BR_VW_AFS_dv360_DIS_PROG_CPM_STD_LDR_AAF_RON_CXD_After-Sales-Oficina-Classicos-REG01-rmkt-visita-home-ofertas_PD_300x250</v>
      </c>
      <c r="AN40" s="15" t="s">
        <v>809</v>
      </c>
    </row>
    <row r="41" spans="2:40" hidden="1" x14ac:dyDescent="0.25">
      <c r="B41" s="15" t="s">
        <v>872</v>
      </c>
      <c r="C41" s="15"/>
      <c r="D41" s="30" t="s">
        <v>873</v>
      </c>
      <c r="E41" s="22">
        <v>44155</v>
      </c>
      <c r="F41" s="22">
        <v>44196</v>
      </c>
      <c r="G41" s="15" t="s">
        <v>674</v>
      </c>
      <c r="H41" s="15" t="s">
        <v>811</v>
      </c>
      <c r="I41" s="15" t="s">
        <v>702</v>
      </c>
      <c r="J41" s="15" t="s">
        <v>325</v>
      </c>
      <c r="K41" s="15" t="s">
        <v>334</v>
      </c>
      <c r="L41" s="15" t="s">
        <v>358</v>
      </c>
      <c r="M41" s="15" t="s">
        <v>322</v>
      </c>
      <c r="N41" s="15" t="s">
        <v>708</v>
      </c>
      <c r="O41" s="15" t="s">
        <v>694</v>
      </c>
      <c r="P41" s="15" t="s">
        <v>1040</v>
      </c>
      <c r="Q41" s="15" t="s">
        <v>874</v>
      </c>
      <c r="R41" s="15" t="s">
        <v>835</v>
      </c>
      <c r="S41" s="15" t="s">
        <v>348</v>
      </c>
      <c r="T41" s="15" t="s">
        <v>614</v>
      </c>
      <c r="U41" s="23"/>
      <c r="V41" s="23"/>
      <c r="W41" s="23"/>
      <c r="X41" s="23"/>
      <c r="Y41" s="23"/>
      <c r="Z41" s="23"/>
      <c r="AA41" s="23"/>
      <c r="AB41" s="23"/>
      <c r="AC41" s="32" t="s">
        <v>885</v>
      </c>
      <c r="AD41" s="33" t="e">
        <f t="shared" si="23"/>
        <v>#N/A</v>
      </c>
      <c r="AE41" s="21" t="str">
        <f t="shared" si="15"/>
        <v>BR_VW_AFS_dv360_DIS_PROG_CPM_STD_LDR_AAF_RON_CXD_After-Sales-Oficina-Classicos-REG01-rmkt-visita-home-ofertas_PD_728x90</v>
      </c>
      <c r="AF41" s="21" t="str">
        <f t="shared" si="16"/>
        <v>BR_VW_AFS_dv360_DIS_PROG_CPM_STD_LDR_AAF_RON_CXD_After-Sales-Oficina-Classicos-REG01-rmkt-visita-home-ofertas_PD_728x90</v>
      </c>
      <c r="AG41" s="21" t="str">
        <f t="shared" si="17"/>
        <v>VW_After-Sales-rmkt-visita-home-ofertas_728x90_After-Sales-Oficina-Classicos-REG01-adserver</v>
      </c>
      <c r="AH41" s="21" t="str">
        <f t="shared" si="18"/>
        <v>https://www.oficinadeclassicos.com.br/index.aspx?utm_source=dv360&amp;utm_medium=Programmatic&amp;utm_content=BR_VW_AFS_dv360_DIS_PROG_CPM_STD_LDR_AAF_RON_CXD_After-Sales-Oficina-Classicos-REG01-rmkt-visita-home-ofertas_PD_728x90&amp;utm_campaign=BR_AAF_DSY_NONMS_ND_AS_2019Q2APR_AFS_After-Sales&amp;utm_term=%epid!_%ecid!_%eaid!</v>
      </c>
      <c r="AI41" s="21" t="str">
        <f t="shared" si="19"/>
        <v>TAG</v>
      </c>
      <c r="AJ41" s="15" t="str">
        <f t="shared" si="20"/>
        <v>dv360</v>
      </c>
      <c r="AK41" s="15" t="str">
        <f t="shared" si="21"/>
        <v>Programmatic</v>
      </c>
      <c r="AL41" s="21" t="str">
        <f>Campanha!$B$3</f>
        <v>BR_AAF_DSY_NONMS_ND_AS_2019Q2APR_AFS_After-Sales</v>
      </c>
      <c r="AM41" s="21" t="str">
        <f t="shared" si="22"/>
        <v>BR_VW_AFS_dv360_DIS_PROG_CPM_STD_LDR_AAF_RON_CXD_After-Sales-Oficina-Classicos-REG01-rmkt-visita-home-ofertas_PD_728x90</v>
      </c>
      <c r="AN41" s="15" t="s">
        <v>809</v>
      </c>
    </row>
    <row r="42" spans="2:40" hidden="1" x14ac:dyDescent="0.25">
      <c r="B42" s="15" t="s">
        <v>872</v>
      </c>
      <c r="C42" s="15"/>
      <c r="D42" s="30" t="s">
        <v>873</v>
      </c>
      <c r="E42" s="22">
        <v>44155</v>
      </c>
      <c r="F42" s="22">
        <v>44196</v>
      </c>
      <c r="G42" s="15" t="s">
        <v>674</v>
      </c>
      <c r="H42" s="15" t="s">
        <v>811</v>
      </c>
      <c r="I42" s="15" t="s">
        <v>702</v>
      </c>
      <c r="J42" s="15" t="s">
        <v>325</v>
      </c>
      <c r="K42" s="15" t="s">
        <v>334</v>
      </c>
      <c r="L42" s="15" t="s">
        <v>358</v>
      </c>
      <c r="M42" s="15" t="s">
        <v>322</v>
      </c>
      <c r="N42" s="15" t="s">
        <v>708</v>
      </c>
      <c r="O42" s="15" t="s">
        <v>694</v>
      </c>
      <c r="P42" s="15" t="s">
        <v>1040</v>
      </c>
      <c r="Q42" s="15" t="s">
        <v>874</v>
      </c>
      <c r="R42" s="15" t="s">
        <v>835</v>
      </c>
      <c r="S42" s="15" t="s">
        <v>348</v>
      </c>
      <c r="T42" s="15" t="s">
        <v>652</v>
      </c>
      <c r="U42" s="23"/>
      <c r="V42" s="23"/>
      <c r="W42" s="23"/>
      <c r="X42" s="23"/>
      <c r="Y42" s="23"/>
      <c r="Z42" s="23"/>
      <c r="AA42" s="23"/>
      <c r="AB42" s="23"/>
      <c r="AC42" s="32" t="s">
        <v>885</v>
      </c>
      <c r="AD42" s="33" t="e">
        <f t="shared" si="23"/>
        <v>#N/A</v>
      </c>
      <c r="AE42" s="21" t="str">
        <f t="shared" si="15"/>
        <v>BR_VW_AFS_dv360_DIS_PROG_CPM_STD_LDR_AAF_RON_CXD_After-Sales-Oficina-Classicos-REG01-rmkt-visita-home-ofertas_PD_970x250</v>
      </c>
      <c r="AF42" s="21" t="str">
        <f t="shared" si="16"/>
        <v>BR_VW_AFS_dv360_DIS_PROG_CPM_STD_LDR_AAF_RON_CXD_After-Sales-Oficina-Classicos-REG01-rmkt-visita-home-ofertas_PD_970x250</v>
      </c>
      <c r="AG42" s="21" t="str">
        <f t="shared" si="17"/>
        <v>VW_After-Sales-rmkt-visita-home-ofertas_970x250_After-Sales-Oficina-Classicos-REG01-adserver</v>
      </c>
      <c r="AH42" s="21" t="str">
        <f t="shared" si="18"/>
        <v>https://www.oficinadeclassicos.com.br/index.aspx?utm_source=dv360&amp;utm_medium=Programmatic&amp;utm_content=BR_VW_AFS_dv360_DIS_PROG_CPM_STD_LDR_AAF_RON_CXD_After-Sales-Oficina-Classicos-REG01-rmkt-visita-home-ofertas_PD_970x250&amp;utm_campaign=BR_AAF_DSY_NONMS_ND_AS_2019Q2APR_AFS_After-Sales&amp;utm_term=%epid!_%ecid!_%eaid!</v>
      </c>
      <c r="AI42" s="21" t="str">
        <f t="shared" si="19"/>
        <v>TAG</v>
      </c>
      <c r="AJ42" s="15" t="str">
        <f t="shared" si="20"/>
        <v>dv360</v>
      </c>
      <c r="AK42" s="15" t="str">
        <f t="shared" si="21"/>
        <v>Programmatic</v>
      </c>
      <c r="AL42" s="21" t="str">
        <f>Campanha!$B$3</f>
        <v>BR_AAF_DSY_NONMS_ND_AS_2019Q2APR_AFS_After-Sales</v>
      </c>
      <c r="AM42" s="21" t="str">
        <f t="shared" si="22"/>
        <v>BR_VW_AFS_dv360_DIS_PROG_CPM_STD_LDR_AAF_RON_CXD_After-Sales-Oficina-Classicos-REG01-rmkt-visita-home-ofertas_PD_970x250</v>
      </c>
      <c r="AN42" s="15" t="s">
        <v>809</v>
      </c>
    </row>
    <row r="43" spans="2:40" hidden="1" x14ac:dyDescent="0.25">
      <c r="B43" s="15" t="s">
        <v>872</v>
      </c>
      <c r="C43" s="15"/>
      <c r="D43" s="30" t="s">
        <v>873</v>
      </c>
      <c r="E43" s="22">
        <v>44155</v>
      </c>
      <c r="F43" s="22">
        <v>44196</v>
      </c>
      <c r="G43" s="15" t="s">
        <v>674</v>
      </c>
      <c r="H43" s="15" t="s">
        <v>811</v>
      </c>
      <c r="I43" s="15" t="s">
        <v>702</v>
      </c>
      <c r="J43" s="15" t="s">
        <v>325</v>
      </c>
      <c r="K43" s="15" t="s">
        <v>334</v>
      </c>
      <c r="L43" s="15" t="s">
        <v>358</v>
      </c>
      <c r="M43" s="15" t="s">
        <v>322</v>
      </c>
      <c r="N43" s="15" t="s">
        <v>708</v>
      </c>
      <c r="O43" s="15" t="s">
        <v>694</v>
      </c>
      <c r="P43" s="15" t="s">
        <v>1040</v>
      </c>
      <c r="Q43" s="15" t="s">
        <v>877</v>
      </c>
      <c r="R43" s="15" t="s">
        <v>835</v>
      </c>
      <c r="S43" s="15" t="s">
        <v>348</v>
      </c>
      <c r="T43" s="15" t="s">
        <v>457</v>
      </c>
      <c r="U43" s="23"/>
      <c r="V43" s="23"/>
      <c r="W43" s="23"/>
      <c r="X43" s="23"/>
      <c r="Y43" s="23"/>
      <c r="Z43" s="23"/>
      <c r="AA43" s="23"/>
      <c r="AB43" s="23"/>
      <c r="AC43" s="32" t="s">
        <v>885</v>
      </c>
      <c r="AD43" s="33" t="e">
        <f t="shared" si="23"/>
        <v>#N/A</v>
      </c>
      <c r="AE43" s="21" t="str">
        <f t="shared" si="15"/>
        <v>BR_VW_AFS_dv360_DIS_PROG_CPM_STD_LDR_AAF_RON_CXD_After-Sales-Oficina-Classicos-REG01-rmkt-add-to-cart-ofertas_PD_160x600</v>
      </c>
      <c r="AF43" s="21" t="str">
        <f t="shared" si="16"/>
        <v>BR_VW_AFS_dv360_DIS_PROG_CPM_STD_LDR_AAF_RON_CXD_After-Sales-Oficina-Classicos-REG01-rmkt-add-to-cart-ofertas_PD_160x600</v>
      </c>
      <c r="AG43" s="21" t="str">
        <f t="shared" si="17"/>
        <v>VW_After-Sales-rmkt-add-to-cart-ofertas_160x600_After-Sales-Oficina-Classicos-REG01-adserver</v>
      </c>
      <c r="AH43" s="21" t="str">
        <f t="shared" si="18"/>
        <v>https://www.oficinadeclassicos.com.br/index.aspx?utm_source=dv360&amp;utm_medium=Programmatic&amp;utm_content=BR_VW_AFS_dv360_DIS_PROG_CPM_STD_LDR_AAF_RON_CXD_After-Sales-Oficina-Classicos-REG01-rmkt-add-to-cart-ofertas_PD_160x600&amp;utm_campaign=BR_AAF_DSY_NONMS_ND_AS_2019Q2APR_AFS_After-Sales&amp;utm_term=%epid!_%ecid!_%eaid!</v>
      </c>
      <c r="AI43" s="21" t="str">
        <f t="shared" si="19"/>
        <v>TAG</v>
      </c>
      <c r="AJ43" s="15" t="str">
        <f t="shared" si="20"/>
        <v>dv360</v>
      </c>
      <c r="AK43" s="15" t="str">
        <f t="shared" si="21"/>
        <v>Programmatic</v>
      </c>
      <c r="AL43" s="21" t="str">
        <f>Campanha!$B$3</f>
        <v>BR_AAF_DSY_NONMS_ND_AS_2019Q2APR_AFS_After-Sales</v>
      </c>
      <c r="AM43" s="21" t="str">
        <f t="shared" si="22"/>
        <v>BR_VW_AFS_dv360_DIS_PROG_CPM_STD_LDR_AAF_RON_CXD_After-Sales-Oficina-Classicos-REG01-rmkt-add-to-cart-ofertas_PD_160x600</v>
      </c>
      <c r="AN43" s="15" t="s">
        <v>809</v>
      </c>
    </row>
    <row r="44" spans="2:40" hidden="1" x14ac:dyDescent="0.25">
      <c r="B44" s="15" t="s">
        <v>872</v>
      </c>
      <c r="C44" s="15"/>
      <c r="D44" s="30" t="s">
        <v>873</v>
      </c>
      <c r="E44" s="22">
        <v>44155</v>
      </c>
      <c r="F44" s="22">
        <v>44196</v>
      </c>
      <c r="G44" s="15" t="s">
        <v>674</v>
      </c>
      <c r="H44" s="15" t="s">
        <v>811</v>
      </c>
      <c r="I44" s="15" t="s">
        <v>702</v>
      </c>
      <c r="J44" s="15" t="s">
        <v>325</v>
      </c>
      <c r="K44" s="15" t="s">
        <v>334</v>
      </c>
      <c r="L44" s="15" t="s">
        <v>358</v>
      </c>
      <c r="M44" s="15" t="s">
        <v>322</v>
      </c>
      <c r="N44" s="15" t="s">
        <v>708</v>
      </c>
      <c r="O44" s="15" t="s">
        <v>694</v>
      </c>
      <c r="P44" s="15" t="s">
        <v>1040</v>
      </c>
      <c r="Q44" s="15" t="s">
        <v>877</v>
      </c>
      <c r="R44" s="15" t="s">
        <v>835</v>
      </c>
      <c r="S44" s="15" t="s">
        <v>348</v>
      </c>
      <c r="T44" s="15" t="s">
        <v>484</v>
      </c>
      <c r="U44" s="23"/>
      <c r="V44" s="23"/>
      <c r="W44" s="23"/>
      <c r="X44" s="23"/>
      <c r="Y44" s="23"/>
      <c r="Z44" s="23"/>
      <c r="AA44" s="23"/>
      <c r="AB44" s="23"/>
      <c r="AC44" s="32" t="s">
        <v>885</v>
      </c>
      <c r="AD44" s="33" t="e">
        <f t="shared" si="23"/>
        <v>#N/A</v>
      </c>
      <c r="AE44" s="21" t="str">
        <f t="shared" si="15"/>
        <v>BR_VW_AFS_dv360_DIS_PROG_CPM_STD_LDR_AAF_RON_CXD_After-Sales-Oficina-Classicos-REG01-rmkt-add-to-cart-ofertas_PD_300x50</v>
      </c>
      <c r="AF44" s="21" t="str">
        <f t="shared" si="16"/>
        <v>BR_VW_AFS_dv360_DIS_PROG_CPM_STD_LDR_AAF_RON_CXD_After-Sales-Oficina-Classicos-REG01-rmkt-add-to-cart-ofertas_PD_300x50</v>
      </c>
      <c r="AG44" s="21" t="str">
        <f t="shared" si="17"/>
        <v>VW_After-Sales-rmkt-add-to-cart-ofertas_300x50_After-Sales-Oficina-Classicos-REG01-adserver</v>
      </c>
      <c r="AH44" s="21" t="str">
        <f t="shared" si="18"/>
        <v>https://www.oficinadeclassicos.com.br/index.aspx?utm_source=dv360&amp;utm_medium=Programmatic&amp;utm_content=BR_VW_AFS_dv360_DIS_PROG_CPM_STD_LDR_AAF_RON_CXD_After-Sales-Oficina-Classicos-REG01-rmkt-add-to-cart-ofertas_PD_300x50&amp;utm_campaign=BR_AAF_DSY_NONMS_ND_AS_2019Q2APR_AFS_After-Sales&amp;utm_term=%epid!_%ecid!_%eaid!</v>
      </c>
      <c r="AI44" s="21" t="str">
        <f t="shared" si="19"/>
        <v>TAG</v>
      </c>
      <c r="AJ44" s="15" t="str">
        <f t="shared" si="20"/>
        <v>dv360</v>
      </c>
      <c r="AK44" s="15" t="str">
        <f t="shared" si="21"/>
        <v>Programmatic</v>
      </c>
      <c r="AL44" s="21" t="str">
        <f>Campanha!$B$3</f>
        <v>BR_AAF_DSY_NONMS_ND_AS_2019Q2APR_AFS_After-Sales</v>
      </c>
      <c r="AM44" s="21" t="str">
        <f t="shared" si="22"/>
        <v>BR_VW_AFS_dv360_DIS_PROG_CPM_STD_LDR_AAF_RON_CXD_After-Sales-Oficina-Classicos-REG01-rmkt-add-to-cart-ofertas_PD_300x50</v>
      </c>
      <c r="AN44" s="15" t="s">
        <v>809</v>
      </c>
    </row>
    <row r="45" spans="2:40" hidden="1" x14ac:dyDescent="0.25">
      <c r="B45" s="15" t="s">
        <v>872</v>
      </c>
      <c r="C45" s="15"/>
      <c r="D45" s="30" t="s">
        <v>873</v>
      </c>
      <c r="E45" s="22">
        <v>44155</v>
      </c>
      <c r="F45" s="22">
        <v>44196</v>
      </c>
      <c r="G45" s="15" t="s">
        <v>674</v>
      </c>
      <c r="H45" s="15" t="s">
        <v>811</v>
      </c>
      <c r="I45" s="15" t="s">
        <v>702</v>
      </c>
      <c r="J45" s="15" t="s">
        <v>325</v>
      </c>
      <c r="K45" s="15" t="s">
        <v>334</v>
      </c>
      <c r="L45" s="15" t="s">
        <v>358</v>
      </c>
      <c r="M45" s="15" t="s">
        <v>322</v>
      </c>
      <c r="N45" s="15" t="s">
        <v>708</v>
      </c>
      <c r="O45" s="15" t="s">
        <v>694</v>
      </c>
      <c r="P45" s="15" t="s">
        <v>1040</v>
      </c>
      <c r="Q45" s="15" t="s">
        <v>877</v>
      </c>
      <c r="R45" s="15" t="s">
        <v>835</v>
      </c>
      <c r="S45" s="15" t="s">
        <v>348</v>
      </c>
      <c r="T45" s="15" t="s">
        <v>478</v>
      </c>
      <c r="U45" s="23"/>
      <c r="V45" s="23"/>
      <c r="W45" s="23"/>
      <c r="X45" s="23"/>
      <c r="Y45" s="23"/>
      <c r="Z45" s="23"/>
      <c r="AA45" s="23"/>
      <c r="AB45" s="23"/>
      <c r="AC45" s="32" t="s">
        <v>885</v>
      </c>
      <c r="AD45" s="33" t="e">
        <f t="shared" si="23"/>
        <v>#N/A</v>
      </c>
      <c r="AE45" s="21" t="str">
        <f t="shared" si="15"/>
        <v>BR_VW_AFS_dv360_DIS_PROG_CPM_STD_LDR_AAF_RON_CXD_After-Sales-Oficina-Classicos-REG01-rmkt-add-to-cart-ofertas_PD_300x250</v>
      </c>
      <c r="AF45" s="21" t="str">
        <f t="shared" si="16"/>
        <v>BR_VW_AFS_dv360_DIS_PROG_CPM_STD_LDR_AAF_RON_CXD_After-Sales-Oficina-Classicos-REG01-rmkt-add-to-cart-ofertas_PD_300x250</v>
      </c>
      <c r="AG45" s="21" t="str">
        <f t="shared" si="17"/>
        <v>VW_After-Sales-rmkt-add-to-cart-ofertas_300x250_After-Sales-Oficina-Classicos-REG01-adserver</v>
      </c>
      <c r="AH45" s="21" t="str">
        <f t="shared" si="18"/>
        <v>https://www.oficinadeclassicos.com.br/index.aspx?utm_source=dv360&amp;utm_medium=Programmatic&amp;utm_content=BR_VW_AFS_dv360_DIS_PROG_CPM_STD_LDR_AAF_RON_CXD_After-Sales-Oficina-Classicos-REG01-rmkt-add-to-cart-ofertas_PD_300x250&amp;utm_campaign=BR_AAF_DSY_NONMS_ND_AS_2019Q2APR_AFS_After-Sales&amp;utm_term=%epid!_%ecid!_%eaid!</v>
      </c>
      <c r="AI45" s="21" t="str">
        <f t="shared" si="19"/>
        <v>TAG</v>
      </c>
      <c r="AJ45" s="15" t="str">
        <f t="shared" si="20"/>
        <v>dv360</v>
      </c>
      <c r="AK45" s="15" t="str">
        <f t="shared" si="21"/>
        <v>Programmatic</v>
      </c>
      <c r="AL45" s="21" t="str">
        <f>Campanha!$B$3</f>
        <v>BR_AAF_DSY_NONMS_ND_AS_2019Q2APR_AFS_After-Sales</v>
      </c>
      <c r="AM45" s="21" t="str">
        <f t="shared" si="22"/>
        <v>BR_VW_AFS_dv360_DIS_PROG_CPM_STD_LDR_AAF_RON_CXD_After-Sales-Oficina-Classicos-REG01-rmkt-add-to-cart-ofertas_PD_300x250</v>
      </c>
      <c r="AN45" s="15" t="s">
        <v>809</v>
      </c>
    </row>
    <row r="46" spans="2:40" hidden="1" x14ac:dyDescent="0.25">
      <c r="B46" s="15" t="s">
        <v>872</v>
      </c>
      <c r="C46" s="15"/>
      <c r="D46" s="30" t="s">
        <v>873</v>
      </c>
      <c r="E46" s="22">
        <v>44155</v>
      </c>
      <c r="F46" s="22">
        <v>44196</v>
      </c>
      <c r="G46" s="15" t="s">
        <v>674</v>
      </c>
      <c r="H46" s="15" t="s">
        <v>811</v>
      </c>
      <c r="I46" s="15" t="s">
        <v>702</v>
      </c>
      <c r="J46" s="15" t="s">
        <v>325</v>
      </c>
      <c r="K46" s="15" t="s">
        <v>334</v>
      </c>
      <c r="L46" s="15" t="s">
        <v>358</v>
      </c>
      <c r="M46" s="15" t="s">
        <v>322</v>
      </c>
      <c r="N46" s="15" t="s">
        <v>708</v>
      </c>
      <c r="O46" s="15" t="s">
        <v>694</v>
      </c>
      <c r="P46" s="15" t="s">
        <v>1040</v>
      </c>
      <c r="Q46" s="15" t="s">
        <v>877</v>
      </c>
      <c r="R46" s="15" t="s">
        <v>835</v>
      </c>
      <c r="S46" s="15" t="s">
        <v>348</v>
      </c>
      <c r="T46" s="15" t="s">
        <v>614</v>
      </c>
      <c r="U46" s="23"/>
      <c r="V46" s="23"/>
      <c r="W46" s="23"/>
      <c r="X46" s="23"/>
      <c r="Y46" s="23"/>
      <c r="Z46" s="23"/>
      <c r="AA46" s="23"/>
      <c r="AB46" s="23"/>
      <c r="AC46" s="32" t="s">
        <v>885</v>
      </c>
      <c r="AD46" s="33" t="e">
        <f t="shared" si="23"/>
        <v>#N/A</v>
      </c>
      <c r="AE46" s="21" t="str">
        <f t="shared" si="15"/>
        <v>BR_VW_AFS_dv360_DIS_PROG_CPM_STD_LDR_AAF_RON_CXD_After-Sales-Oficina-Classicos-REG01-rmkt-add-to-cart-ofertas_PD_728x90</v>
      </c>
      <c r="AF46" s="21" t="str">
        <f t="shared" si="16"/>
        <v>BR_VW_AFS_dv360_DIS_PROG_CPM_STD_LDR_AAF_RON_CXD_After-Sales-Oficina-Classicos-REG01-rmkt-add-to-cart-ofertas_PD_728x90</v>
      </c>
      <c r="AG46" s="21" t="str">
        <f t="shared" si="17"/>
        <v>VW_After-Sales-rmkt-add-to-cart-ofertas_728x90_After-Sales-Oficina-Classicos-REG01-adserver</v>
      </c>
      <c r="AH46" s="21" t="str">
        <f t="shared" si="18"/>
        <v>https://www.oficinadeclassicos.com.br/index.aspx?utm_source=dv360&amp;utm_medium=Programmatic&amp;utm_content=BR_VW_AFS_dv360_DIS_PROG_CPM_STD_LDR_AAF_RON_CXD_After-Sales-Oficina-Classicos-REG01-rmkt-add-to-cart-ofertas_PD_728x90&amp;utm_campaign=BR_AAF_DSY_NONMS_ND_AS_2019Q2APR_AFS_After-Sales&amp;utm_term=%epid!_%ecid!_%eaid!</v>
      </c>
      <c r="AI46" s="21" t="str">
        <f t="shared" si="19"/>
        <v>TAG</v>
      </c>
      <c r="AJ46" s="15" t="str">
        <f t="shared" si="20"/>
        <v>dv360</v>
      </c>
      <c r="AK46" s="15" t="str">
        <f t="shared" si="21"/>
        <v>Programmatic</v>
      </c>
      <c r="AL46" s="21" t="str">
        <f>Campanha!$B$3</f>
        <v>BR_AAF_DSY_NONMS_ND_AS_2019Q2APR_AFS_After-Sales</v>
      </c>
      <c r="AM46" s="21" t="str">
        <f t="shared" si="22"/>
        <v>BR_VW_AFS_dv360_DIS_PROG_CPM_STD_LDR_AAF_RON_CXD_After-Sales-Oficina-Classicos-REG01-rmkt-add-to-cart-ofertas_PD_728x90</v>
      </c>
      <c r="AN46" s="15" t="s">
        <v>809</v>
      </c>
    </row>
    <row r="47" spans="2:40" hidden="1" x14ac:dyDescent="0.25">
      <c r="B47" s="15" t="s">
        <v>872</v>
      </c>
      <c r="C47" s="15"/>
      <c r="D47" s="30" t="s">
        <v>873</v>
      </c>
      <c r="E47" s="22">
        <v>44155</v>
      </c>
      <c r="F47" s="22">
        <v>44196</v>
      </c>
      <c r="G47" s="15" t="s">
        <v>674</v>
      </c>
      <c r="H47" s="15" t="s">
        <v>811</v>
      </c>
      <c r="I47" s="15" t="s">
        <v>702</v>
      </c>
      <c r="J47" s="15" t="s">
        <v>325</v>
      </c>
      <c r="K47" s="15" t="s">
        <v>334</v>
      </c>
      <c r="L47" s="15" t="s">
        <v>358</v>
      </c>
      <c r="M47" s="15" t="s">
        <v>322</v>
      </c>
      <c r="N47" s="15" t="s">
        <v>708</v>
      </c>
      <c r="O47" s="15" t="s">
        <v>694</v>
      </c>
      <c r="P47" s="15" t="s">
        <v>1040</v>
      </c>
      <c r="Q47" s="15" t="s">
        <v>877</v>
      </c>
      <c r="R47" s="15" t="s">
        <v>835</v>
      </c>
      <c r="S47" s="15" t="s">
        <v>348</v>
      </c>
      <c r="T47" s="15" t="s">
        <v>652</v>
      </c>
      <c r="U47" s="23"/>
      <c r="V47" s="23"/>
      <c r="W47" s="23"/>
      <c r="X47" s="23"/>
      <c r="Y47" s="23"/>
      <c r="Z47" s="23"/>
      <c r="AA47" s="23"/>
      <c r="AB47" s="23"/>
      <c r="AC47" s="32" t="s">
        <v>885</v>
      </c>
      <c r="AD47" s="33" t="e">
        <f t="shared" si="23"/>
        <v>#N/A</v>
      </c>
      <c r="AE47" s="21" t="str">
        <f t="shared" si="15"/>
        <v>BR_VW_AFS_dv360_DIS_PROG_CPM_STD_LDR_AAF_RON_CXD_After-Sales-Oficina-Classicos-REG01-rmkt-add-to-cart-ofertas_PD_970x250</v>
      </c>
      <c r="AF47" s="21" t="str">
        <f t="shared" si="16"/>
        <v>BR_VW_AFS_dv360_DIS_PROG_CPM_STD_LDR_AAF_RON_CXD_After-Sales-Oficina-Classicos-REG01-rmkt-add-to-cart-ofertas_PD_970x250</v>
      </c>
      <c r="AG47" s="21" t="str">
        <f t="shared" si="17"/>
        <v>VW_After-Sales-rmkt-add-to-cart-ofertas_970x250_After-Sales-Oficina-Classicos-REG01-adserver</v>
      </c>
      <c r="AH47" s="21" t="str">
        <f t="shared" si="18"/>
        <v>https://www.oficinadeclassicos.com.br/index.aspx?utm_source=dv360&amp;utm_medium=Programmatic&amp;utm_content=BR_VW_AFS_dv360_DIS_PROG_CPM_STD_LDR_AAF_RON_CXD_After-Sales-Oficina-Classicos-REG01-rmkt-add-to-cart-ofertas_PD_970x250&amp;utm_campaign=BR_AAF_DSY_NONMS_ND_AS_2019Q2APR_AFS_After-Sales&amp;utm_term=%epid!_%ecid!_%eaid!</v>
      </c>
      <c r="AI47" s="21" t="str">
        <f t="shared" si="19"/>
        <v>TAG</v>
      </c>
      <c r="AJ47" s="15" t="str">
        <f t="shared" si="20"/>
        <v>dv360</v>
      </c>
      <c r="AK47" s="15" t="str">
        <f t="shared" si="21"/>
        <v>Programmatic</v>
      </c>
      <c r="AL47" s="21" t="str">
        <f>Campanha!$B$3</f>
        <v>BR_AAF_DSY_NONMS_ND_AS_2019Q2APR_AFS_After-Sales</v>
      </c>
      <c r="AM47" s="21" t="str">
        <f t="shared" si="22"/>
        <v>BR_VW_AFS_dv360_DIS_PROG_CPM_STD_LDR_AAF_RON_CXD_After-Sales-Oficina-Classicos-REG01-rmkt-add-to-cart-ofertas_PD_970x250</v>
      </c>
      <c r="AN47" s="15" t="s">
        <v>809</v>
      </c>
    </row>
    <row r="48" spans="2:40" hidden="1" x14ac:dyDescent="0.25">
      <c r="B48" s="15" t="s">
        <v>872</v>
      </c>
      <c r="C48" s="15"/>
      <c r="D48" s="30" t="s">
        <v>873</v>
      </c>
      <c r="E48" s="22">
        <v>44155</v>
      </c>
      <c r="F48" s="22">
        <v>44196</v>
      </c>
      <c r="G48" s="15" t="s">
        <v>674</v>
      </c>
      <c r="H48" s="15" t="s">
        <v>811</v>
      </c>
      <c r="I48" s="15" t="s">
        <v>702</v>
      </c>
      <c r="J48" s="15" t="s">
        <v>325</v>
      </c>
      <c r="K48" s="15" t="s">
        <v>334</v>
      </c>
      <c r="L48" s="15" t="s">
        <v>358</v>
      </c>
      <c r="M48" s="15" t="s">
        <v>322</v>
      </c>
      <c r="N48" s="15" t="s">
        <v>708</v>
      </c>
      <c r="O48" s="15" t="s">
        <v>694</v>
      </c>
      <c r="P48" s="15" t="s">
        <v>1040</v>
      </c>
      <c r="Q48" s="15" t="s">
        <v>887</v>
      </c>
      <c r="R48" s="15" t="s">
        <v>835</v>
      </c>
      <c r="S48" s="15" t="s">
        <v>348</v>
      </c>
      <c r="T48" s="15" t="s">
        <v>457</v>
      </c>
      <c r="U48" s="23" t="s">
        <v>841</v>
      </c>
      <c r="V48" s="23" t="e">
        <v>#NAME?</v>
      </c>
      <c r="W48" s="23" t="e">
        <v>#NAME?</v>
      </c>
      <c r="X48" s="23" t="s">
        <v>856</v>
      </c>
      <c r="Y48" s="23" t="s">
        <v>857</v>
      </c>
      <c r="Z48" s="23" t="s">
        <v>858</v>
      </c>
      <c r="AA48" s="23" t="s">
        <v>840</v>
      </c>
      <c r="AB48" s="23" t="s">
        <v>811</v>
      </c>
      <c r="AC48" s="32" t="s">
        <v>885</v>
      </c>
      <c r="AD48" s="33" t="e">
        <f t="shared" si="23"/>
        <v>#N/A</v>
      </c>
      <c r="AE48" s="21" t="str">
        <f t="shared" si="15"/>
        <v>BR_VW_AFS_dv360_DIS_PROG_CPM_STD_LDR_AAF_RON_CXD_After-Sales-Oficina-Classicos-REG01-lal-lead-oficina_PD_160x600</v>
      </c>
      <c r="AF48" s="21" t="str">
        <f t="shared" si="16"/>
        <v>BR_VW_AFS_dv360_DIS_PROG_CPM_STD_LDR_AAF_RON_CXD_After-Sales-Oficina-Classicos-REG01-lal-lead-oficina_PD_160x600</v>
      </c>
      <c r="AG48" s="21" t="str">
        <f t="shared" si="17"/>
        <v>VW_After-Sales-lal-lead-oficina_160x600_After-Sales-Oficina-Classicos-REG01-adserver</v>
      </c>
      <c r="AH48" s="21" t="str">
        <f t="shared" si="18"/>
        <v>https://www.oficinadeclassicos.com.br/index.aspx?utm_source=dv360&amp;utm_medium=Programmatic&amp;utm_content=BR_VW_AFS_dv360_DIS_PROG_CPM_STD_LDR_AAF_RON_CXD_After-Sales-Oficina-Classicos-REG01-lal-lead-oficina_PD_160x600&amp;utm_campaign=BR_AAF_DSY_NONMS_ND_AS_2019Q2APR_AFS_After-Sales&amp;utm_term=%epid!_%ecid!_%eaid!</v>
      </c>
      <c r="AI48" s="21" t="str">
        <f t="shared" si="19"/>
        <v>TAG</v>
      </c>
      <c r="AJ48" s="15" t="str">
        <f t="shared" ref="AJ48:AJ62" si="24">H48</f>
        <v>dv360</v>
      </c>
      <c r="AK48" s="15" t="str">
        <f t="shared" ref="AK48:AK62" si="25">J48</f>
        <v>Programmatic</v>
      </c>
      <c r="AL48" s="21" t="str">
        <f>Campanha!$B$3</f>
        <v>BR_AAF_DSY_NONMS_ND_AS_2019Q2APR_AFS_After-Sales</v>
      </c>
      <c r="AM48" s="21" t="str">
        <f t="shared" si="22"/>
        <v>BR_VW_AFS_dv360_DIS_PROG_CPM_STD_LDR_AAF_RON_CXD_After-Sales-Oficina-Classicos-REG01-lal-lead-oficina_PD_160x600</v>
      </c>
      <c r="AN48" s="15" t="s">
        <v>809</v>
      </c>
    </row>
    <row r="49" spans="2:40" hidden="1" x14ac:dyDescent="0.25">
      <c r="B49" s="15" t="s">
        <v>872</v>
      </c>
      <c r="C49" s="15"/>
      <c r="D49" s="30" t="s">
        <v>873</v>
      </c>
      <c r="E49" s="22">
        <v>44155</v>
      </c>
      <c r="F49" s="22">
        <v>44196</v>
      </c>
      <c r="G49" s="15" t="s">
        <v>674</v>
      </c>
      <c r="H49" s="15" t="s">
        <v>811</v>
      </c>
      <c r="I49" s="15" t="s">
        <v>702</v>
      </c>
      <c r="J49" s="15" t="s">
        <v>325</v>
      </c>
      <c r="K49" s="15" t="s">
        <v>334</v>
      </c>
      <c r="L49" s="15" t="s">
        <v>358</v>
      </c>
      <c r="M49" s="15" t="s">
        <v>322</v>
      </c>
      <c r="N49" s="15" t="s">
        <v>708</v>
      </c>
      <c r="O49" s="15" t="s">
        <v>694</v>
      </c>
      <c r="P49" s="15" t="s">
        <v>1040</v>
      </c>
      <c r="Q49" s="15" t="s">
        <v>887</v>
      </c>
      <c r="R49" s="15" t="s">
        <v>835</v>
      </c>
      <c r="S49" s="15" t="s">
        <v>348</v>
      </c>
      <c r="T49" s="15" t="s">
        <v>484</v>
      </c>
      <c r="U49" s="23" t="s">
        <v>841</v>
      </c>
      <c r="V49" s="23" t="e">
        <v>#NAME?</v>
      </c>
      <c r="W49" s="23" t="e">
        <v>#NAME?</v>
      </c>
      <c r="X49" s="23" t="s">
        <v>859</v>
      </c>
      <c r="Y49" s="23" t="s">
        <v>860</v>
      </c>
      <c r="Z49" s="23" t="s">
        <v>861</v>
      </c>
      <c r="AA49" s="23" t="s">
        <v>840</v>
      </c>
      <c r="AB49" s="23" t="s">
        <v>811</v>
      </c>
      <c r="AC49" s="32" t="s">
        <v>885</v>
      </c>
      <c r="AD49" s="33" t="e">
        <f t="shared" si="23"/>
        <v>#N/A</v>
      </c>
      <c r="AE49" s="21" t="str">
        <f t="shared" si="15"/>
        <v>BR_VW_AFS_dv360_DIS_PROG_CPM_STD_LDR_AAF_RON_CXD_After-Sales-Oficina-Classicos-REG01-lal-lead-oficina_PD_300x50</v>
      </c>
      <c r="AF49" s="21" t="str">
        <f t="shared" si="16"/>
        <v>BR_VW_AFS_dv360_DIS_PROG_CPM_STD_LDR_AAF_RON_CXD_After-Sales-Oficina-Classicos-REG01-lal-lead-oficina_PD_300x50</v>
      </c>
      <c r="AG49" s="21" t="str">
        <f t="shared" si="17"/>
        <v>VW_After-Sales-lal-lead-oficina_300x50_After-Sales-Oficina-Classicos-REG01-adserver</v>
      </c>
      <c r="AH49" s="21" t="str">
        <f t="shared" si="18"/>
        <v>https://www.oficinadeclassicos.com.br/index.aspx?utm_source=dv360&amp;utm_medium=Programmatic&amp;utm_content=BR_VW_AFS_dv360_DIS_PROG_CPM_STD_LDR_AAF_RON_CXD_After-Sales-Oficina-Classicos-REG01-lal-lead-oficina_PD_300x50&amp;utm_campaign=BR_AAF_DSY_NONMS_ND_AS_2019Q2APR_AFS_After-Sales&amp;utm_term=%epid!_%ecid!_%eaid!</v>
      </c>
      <c r="AI49" s="21" t="str">
        <f t="shared" si="19"/>
        <v>TAG</v>
      </c>
      <c r="AJ49" s="15" t="str">
        <f t="shared" si="24"/>
        <v>dv360</v>
      </c>
      <c r="AK49" s="15" t="str">
        <f t="shared" si="25"/>
        <v>Programmatic</v>
      </c>
      <c r="AL49" s="21" t="str">
        <f>Campanha!$B$3</f>
        <v>BR_AAF_DSY_NONMS_ND_AS_2019Q2APR_AFS_After-Sales</v>
      </c>
      <c r="AM49" s="21" t="str">
        <f t="shared" si="22"/>
        <v>BR_VW_AFS_dv360_DIS_PROG_CPM_STD_LDR_AAF_RON_CXD_After-Sales-Oficina-Classicos-REG01-lal-lead-oficina_PD_300x50</v>
      </c>
      <c r="AN49" s="15" t="s">
        <v>809</v>
      </c>
    </row>
    <row r="50" spans="2:40" hidden="1" x14ac:dyDescent="0.25">
      <c r="B50" s="15" t="s">
        <v>872</v>
      </c>
      <c r="C50" s="15"/>
      <c r="D50" s="30" t="s">
        <v>873</v>
      </c>
      <c r="E50" s="22">
        <v>44155</v>
      </c>
      <c r="F50" s="22">
        <v>44196</v>
      </c>
      <c r="G50" s="15" t="s">
        <v>674</v>
      </c>
      <c r="H50" s="15" t="s">
        <v>811</v>
      </c>
      <c r="I50" s="15" t="s">
        <v>702</v>
      </c>
      <c r="J50" s="15" t="s">
        <v>325</v>
      </c>
      <c r="K50" s="15" t="s">
        <v>334</v>
      </c>
      <c r="L50" s="15" t="s">
        <v>358</v>
      </c>
      <c r="M50" s="15" t="s">
        <v>322</v>
      </c>
      <c r="N50" s="15" t="s">
        <v>708</v>
      </c>
      <c r="O50" s="15" t="s">
        <v>694</v>
      </c>
      <c r="P50" s="15" t="s">
        <v>1040</v>
      </c>
      <c r="Q50" s="15" t="s">
        <v>887</v>
      </c>
      <c r="R50" s="15" t="s">
        <v>835</v>
      </c>
      <c r="S50" s="15" t="s">
        <v>348</v>
      </c>
      <c r="T50" s="15" t="s">
        <v>478</v>
      </c>
      <c r="U50" s="23" t="s">
        <v>841</v>
      </c>
      <c r="V50" s="23" t="e">
        <v>#NAME?</v>
      </c>
      <c r="W50" s="23" t="e">
        <v>#NAME?</v>
      </c>
      <c r="X50" s="23" t="s">
        <v>862</v>
      </c>
      <c r="Y50" s="23" t="s">
        <v>863</v>
      </c>
      <c r="Z50" s="23" t="s">
        <v>864</v>
      </c>
      <c r="AA50" s="23" t="s">
        <v>840</v>
      </c>
      <c r="AB50" s="23" t="s">
        <v>811</v>
      </c>
      <c r="AC50" s="32" t="s">
        <v>885</v>
      </c>
      <c r="AD50" s="33" t="e">
        <f t="shared" si="23"/>
        <v>#N/A</v>
      </c>
      <c r="AE50" s="21" t="str">
        <f t="shared" si="15"/>
        <v>BR_VW_AFS_dv360_DIS_PROG_CPM_STD_LDR_AAF_RON_CXD_After-Sales-Oficina-Classicos-REG01-lal-lead-oficina_PD_300x250</v>
      </c>
      <c r="AF50" s="21" t="str">
        <f t="shared" si="16"/>
        <v>BR_VW_AFS_dv360_DIS_PROG_CPM_STD_LDR_AAF_RON_CXD_After-Sales-Oficina-Classicos-REG01-lal-lead-oficina_PD_300x250</v>
      </c>
      <c r="AG50" s="21" t="str">
        <f t="shared" si="17"/>
        <v>VW_After-Sales-lal-lead-oficina_300x250_After-Sales-Oficina-Classicos-REG01-adserver</v>
      </c>
      <c r="AH50" s="21" t="str">
        <f t="shared" si="18"/>
        <v>https://www.oficinadeclassicos.com.br/index.aspx?utm_source=dv360&amp;utm_medium=Programmatic&amp;utm_content=BR_VW_AFS_dv360_DIS_PROG_CPM_STD_LDR_AAF_RON_CXD_After-Sales-Oficina-Classicos-REG01-lal-lead-oficina_PD_300x250&amp;utm_campaign=BR_AAF_DSY_NONMS_ND_AS_2019Q2APR_AFS_After-Sales&amp;utm_term=%epid!_%ecid!_%eaid!</v>
      </c>
      <c r="AI50" s="21" t="str">
        <f t="shared" si="19"/>
        <v>TAG</v>
      </c>
      <c r="AJ50" s="15" t="str">
        <f t="shared" si="24"/>
        <v>dv360</v>
      </c>
      <c r="AK50" s="15" t="str">
        <f t="shared" si="25"/>
        <v>Programmatic</v>
      </c>
      <c r="AL50" s="21" t="str">
        <f>Campanha!$B$3</f>
        <v>BR_AAF_DSY_NONMS_ND_AS_2019Q2APR_AFS_After-Sales</v>
      </c>
      <c r="AM50" s="21" t="str">
        <f t="shared" si="22"/>
        <v>BR_VW_AFS_dv360_DIS_PROG_CPM_STD_LDR_AAF_RON_CXD_After-Sales-Oficina-Classicos-REG01-lal-lead-oficina_PD_300x250</v>
      </c>
      <c r="AN50" s="15" t="s">
        <v>809</v>
      </c>
    </row>
    <row r="51" spans="2:40" hidden="1" x14ac:dyDescent="0.25">
      <c r="B51" s="15" t="s">
        <v>872</v>
      </c>
      <c r="C51" s="15"/>
      <c r="D51" s="30" t="s">
        <v>873</v>
      </c>
      <c r="E51" s="22">
        <v>44155</v>
      </c>
      <c r="F51" s="22">
        <v>44196</v>
      </c>
      <c r="G51" s="15" t="s">
        <v>674</v>
      </c>
      <c r="H51" s="15" t="s">
        <v>811</v>
      </c>
      <c r="I51" s="15" t="s">
        <v>702</v>
      </c>
      <c r="J51" s="15" t="s">
        <v>325</v>
      </c>
      <c r="K51" s="15" t="s">
        <v>334</v>
      </c>
      <c r="L51" s="15" t="s">
        <v>358</v>
      </c>
      <c r="M51" s="15" t="s">
        <v>322</v>
      </c>
      <c r="N51" s="15" t="s">
        <v>708</v>
      </c>
      <c r="O51" s="15" t="s">
        <v>694</v>
      </c>
      <c r="P51" s="15" t="s">
        <v>1040</v>
      </c>
      <c r="Q51" s="15" t="s">
        <v>887</v>
      </c>
      <c r="R51" s="15" t="s">
        <v>835</v>
      </c>
      <c r="S51" s="15" t="s">
        <v>348</v>
      </c>
      <c r="T51" s="15" t="s">
        <v>614</v>
      </c>
      <c r="U51" s="23" t="s">
        <v>841</v>
      </c>
      <c r="V51" s="23" t="e">
        <v>#NAME?</v>
      </c>
      <c r="W51" s="23" t="e">
        <v>#NAME?</v>
      </c>
      <c r="X51" s="23" t="s">
        <v>865</v>
      </c>
      <c r="Y51" s="23" t="s">
        <v>866</v>
      </c>
      <c r="Z51" s="23" t="s">
        <v>867</v>
      </c>
      <c r="AA51" s="23" t="s">
        <v>840</v>
      </c>
      <c r="AB51" s="23" t="s">
        <v>811</v>
      </c>
      <c r="AC51" s="32" t="s">
        <v>885</v>
      </c>
      <c r="AD51" s="33" t="e">
        <f t="shared" si="23"/>
        <v>#N/A</v>
      </c>
      <c r="AE51" s="21" t="str">
        <f t="shared" si="15"/>
        <v>BR_VW_AFS_dv360_DIS_PROG_CPM_STD_LDR_AAF_RON_CXD_After-Sales-Oficina-Classicos-REG01-lal-lead-oficina_PD_728x90</v>
      </c>
      <c r="AF51" s="21" t="str">
        <f t="shared" si="16"/>
        <v>BR_VW_AFS_dv360_DIS_PROG_CPM_STD_LDR_AAF_RON_CXD_After-Sales-Oficina-Classicos-REG01-lal-lead-oficina_PD_728x90</v>
      </c>
      <c r="AG51" s="21" t="str">
        <f t="shared" si="17"/>
        <v>VW_After-Sales-lal-lead-oficina_728x90_After-Sales-Oficina-Classicos-REG01-adserver</v>
      </c>
      <c r="AH51" s="21" t="str">
        <f t="shared" si="18"/>
        <v>https://www.oficinadeclassicos.com.br/index.aspx?utm_source=dv360&amp;utm_medium=Programmatic&amp;utm_content=BR_VW_AFS_dv360_DIS_PROG_CPM_STD_LDR_AAF_RON_CXD_After-Sales-Oficina-Classicos-REG01-lal-lead-oficina_PD_728x90&amp;utm_campaign=BR_AAF_DSY_NONMS_ND_AS_2019Q2APR_AFS_After-Sales&amp;utm_term=%epid!_%ecid!_%eaid!</v>
      </c>
      <c r="AI51" s="21" t="str">
        <f t="shared" si="19"/>
        <v>TAG</v>
      </c>
      <c r="AJ51" s="15" t="str">
        <f t="shared" si="24"/>
        <v>dv360</v>
      </c>
      <c r="AK51" s="15" t="str">
        <f t="shared" si="25"/>
        <v>Programmatic</v>
      </c>
      <c r="AL51" s="21" t="str">
        <f>Campanha!$B$3</f>
        <v>BR_AAF_DSY_NONMS_ND_AS_2019Q2APR_AFS_After-Sales</v>
      </c>
      <c r="AM51" s="21" t="str">
        <f t="shared" si="22"/>
        <v>BR_VW_AFS_dv360_DIS_PROG_CPM_STD_LDR_AAF_RON_CXD_After-Sales-Oficina-Classicos-REG01-lal-lead-oficina_PD_728x90</v>
      </c>
      <c r="AN51" s="15" t="s">
        <v>809</v>
      </c>
    </row>
    <row r="52" spans="2:40" hidden="1" x14ac:dyDescent="0.25">
      <c r="B52" s="15" t="s">
        <v>872</v>
      </c>
      <c r="C52" s="15"/>
      <c r="D52" s="30" t="s">
        <v>873</v>
      </c>
      <c r="E52" s="22">
        <v>44155</v>
      </c>
      <c r="F52" s="22">
        <v>44196</v>
      </c>
      <c r="G52" s="15" t="s">
        <v>674</v>
      </c>
      <c r="H52" s="15" t="s">
        <v>811</v>
      </c>
      <c r="I52" s="15" t="s">
        <v>702</v>
      </c>
      <c r="J52" s="15" t="s">
        <v>325</v>
      </c>
      <c r="K52" s="15" t="s">
        <v>334</v>
      </c>
      <c r="L52" s="15" t="s">
        <v>358</v>
      </c>
      <c r="M52" s="15" t="s">
        <v>322</v>
      </c>
      <c r="N52" s="15" t="s">
        <v>708</v>
      </c>
      <c r="O52" s="15" t="s">
        <v>694</v>
      </c>
      <c r="P52" s="15" t="s">
        <v>1040</v>
      </c>
      <c r="Q52" s="15" t="s">
        <v>887</v>
      </c>
      <c r="R52" s="15" t="s">
        <v>835</v>
      </c>
      <c r="S52" s="15" t="s">
        <v>348</v>
      </c>
      <c r="T52" s="15" t="s">
        <v>652</v>
      </c>
      <c r="U52" s="23" t="s">
        <v>841</v>
      </c>
      <c r="V52" s="23" t="e">
        <v>#NAME?</v>
      </c>
      <c r="W52" s="23" t="e">
        <v>#NAME?</v>
      </c>
      <c r="X52" s="23" t="s">
        <v>868</v>
      </c>
      <c r="Y52" s="23" t="s">
        <v>869</v>
      </c>
      <c r="Z52" s="23" t="s">
        <v>870</v>
      </c>
      <c r="AA52" s="23" t="s">
        <v>840</v>
      </c>
      <c r="AB52" s="23" t="s">
        <v>811</v>
      </c>
      <c r="AC52" s="32" t="s">
        <v>885</v>
      </c>
      <c r="AD52" s="33" t="e">
        <f t="shared" si="23"/>
        <v>#N/A</v>
      </c>
      <c r="AE52" s="21" t="str">
        <f t="shared" si="15"/>
        <v>BR_VW_AFS_dv360_DIS_PROG_CPM_STD_LDR_AAF_RON_CXD_After-Sales-Oficina-Classicos-REG01-lal-lead-oficina_PD_970x250</v>
      </c>
      <c r="AF52" s="21" t="str">
        <f t="shared" si="16"/>
        <v>BR_VW_AFS_dv360_DIS_PROG_CPM_STD_LDR_AAF_RON_CXD_After-Sales-Oficina-Classicos-REG01-lal-lead-oficina_PD_970x250</v>
      </c>
      <c r="AG52" s="21" t="str">
        <f t="shared" si="17"/>
        <v>VW_After-Sales-lal-lead-oficina_970x250_After-Sales-Oficina-Classicos-REG01-adserver</v>
      </c>
      <c r="AH52" s="21" t="str">
        <f t="shared" si="18"/>
        <v>https://www.oficinadeclassicos.com.br/index.aspx?utm_source=dv360&amp;utm_medium=Programmatic&amp;utm_content=BR_VW_AFS_dv360_DIS_PROG_CPM_STD_LDR_AAF_RON_CXD_After-Sales-Oficina-Classicos-REG01-lal-lead-oficina_PD_970x250&amp;utm_campaign=BR_AAF_DSY_NONMS_ND_AS_2019Q2APR_AFS_After-Sales&amp;utm_term=%epid!_%ecid!_%eaid!</v>
      </c>
      <c r="AI52" s="21" t="str">
        <f t="shared" si="19"/>
        <v>TAG</v>
      </c>
      <c r="AJ52" s="15" t="str">
        <f t="shared" si="24"/>
        <v>dv360</v>
      </c>
      <c r="AK52" s="15" t="str">
        <f t="shared" si="25"/>
        <v>Programmatic</v>
      </c>
      <c r="AL52" s="21" t="str">
        <f>Campanha!$B$3</f>
        <v>BR_AAF_DSY_NONMS_ND_AS_2019Q2APR_AFS_After-Sales</v>
      </c>
      <c r="AM52" s="21" t="str">
        <f t="shared" si="22"/>
        <v>BR_VW_AFS_dv360_DIS_PROG_CPM_STD_LDR_AAF_RON_CXD_After-Sales-Oficina-Classicos-REG01-lal-lead-oficina_PD_970x250</v>
      </c>
      <c r="AN52" s="15" t="s">
        <v>809</v>
      </c>
    </row>
    <row r="53" spans="2:40" hidden="1" x14ac:dyDescent="0.25">
      <c r="B53" s="15" t="s">
        <v>872</v>
      </c>
      <c r="C53" s="15"/>
      <c r="D53" s="30" t="s">
        <v>873</v>
      </c>
      <c r="E53" s="22">
        <v>44155</v>
      </c>
      <c r="F53" s="22">
        <v>44196</v>
      </c>
      <c r="G53" s="15" t="s">
        <v>674</v>
      </c>
      <c r="H53" s="15" t="s">
        <v>811</v>
      </c>
      <c r="I53" s="15" t="s">
        <v>702</v>
      </c>
      <c r="J53" s="15" t="s">
        <v>325</v>
      </c>
      <c r="K53" s="15" t="s">
        <v>334</v>
      </c>
      <c r="L53" s="15" t="s">
        <v>358</v>
      </c>
      <c r="M53" s="15" t="s">
        <v>322</v>
      </c>
      <c r="N53" s="15" t="s">
        <v>708</v>
      </c>
      <c r="O53" s="15" t="s">
        <v>694</v>
      </c>
      <c r="P53" s="15" t="s">
        <v>1040</v>
      </c>
      <c r="Q53" s="15" t="s">
        <v>880</v>
      </c>
      <c r="R53" s="15" t="s">
        <v>835</v>
      </c>
      <c r="S53" s="15" t="s">
        <v>348</v>
      </c>
      <c r="T53" s="15" t="s">
        <v>457</v>
      </c>
      <c r="U53" s="23"/>
      <c r="V53" s="23"/>
      <c r="W53" s="23"/>
      <c r="X53" s="23"/>
      <c r="Y53" s="23"/>
      <c r="Z53" s="23"/>
      <c r="AA53" s="23"/>
      <c r="AB53" s="23"/>
      <c r="AC53" s="32" t="s">
        <v>885</v>
      </c>
      <c r="AD53" s="33" t="e">
        <f t="shared" si="23"/>
        <v>#N/A</v>
      </c>
      <c r="AE53" s="21" t="str">
        <f t="shared" si="15"/>
        <v>BR_VW_AFS_dv360_DIS_PROG_CPM_STD_LDR_AAF_RON_CXD_After-Sales-Oficina-Classicos-REG01-lal-add-to-cart-oficina_PD_160x600</v>
      </c>
      <c r="AF53" s="21" t="str">
        <f t="shared" si="16"/>
        <v>BR_VW_AFS_dv360_DIS_PROG_CPM_STD_LDR_AAF_RON_CXD_After-Sales-Oficina-Classicos-REG01-lal-add-to-cart-oficina_PD_160x600</v>
      </c>
      <c r="AG53" s="21" t="str">
        <f t="shared" si="17"/>
        <v>VW_After-Sales-lal-add-to-cart-oficina_160x600_After-Sales-Oficina-Classicos-REG01-adserver</v>
      </c>
      <c r="AH53" s="21" t="str">
        <f t="shared" si="18"/>
        <v>https://www.oficinadeclassicos.com.br/index.aspx?utm_source=dv360&amp;utm_medium=Programmatic&amp;utm_content=BR_VW_AFS_dv360_DIS_PROG_CPM_STD_LDR_AAF_RON_CXD_After-Sales-Oficina-Classicos-REG01-lal-add-to-cart-oficina_PD_160x600&amp;utm_campaign=BR_AAF_DSY_NONMS_ND_AS_2019Q2APR_AFS_After-Sales&amp;utm_term=%epid!_%ecid!_%eaid!</v>
      </c>
      <c r="AI53" s="21" t="str">
        <f t="shared" si="19"/>
        <v>TAG</v>
      </c>
      <c r="AJ53" s="15" t="str">
        <f t="shared" si="24"/>
        <v>dv360</v>
      </c>
      <c r="AK53" s="15" t="str">
        <f t="shared" si="25"/>
        <v>Programmatic</v>
      </c>
      <c r="AL53" s="21" t="str">
        <f>Campanha!$B$3</f>
        <v>BR_AAF_DSY_NONMS_ND_AS_2019Q2APR_AFS_After-Sales</v>
      </c>
      <c r="AM53" s="21" t="str">
        <f t="shared" si="22"/>
        <v>BR_VW_AFS_dv360_DIS_PROG_CPM_STD_LDR_AAF_RON_CXD_After-Sales-Oficina-Classicos-REG01-lal-add-to-cart-oficina_PD_160x600</v>
      </c>
      <c r="AN53" s="15" t="s">
        <v>809</v>
      </c>
    </row>
    <row r="54" spans="2:40" hidden="1" x14ac:dyDescent="0.25">
      <c r="B54" s="15" t="s">
        <v>872</v>
      </c>
      <c r="C54" s="15"/>
      <c r="D54" s="30" t="s">
        <v>873</v>
      </c>
      <c r="E54" s="22">
        <v>44155</v>
      </c>
      <c r="F54" s="22">
        <v>44196</v>
      </c>
      <c r="G54" s="15" t="s">
        <v>674</v>
      </c>
      <c r="H54" s="15" t="s">
        <v>811</v>
      </c>
      <c r="I54" s="15" t="s">
        <v>702</v>
      </c>
      <c r="J54" s="15" t="s">
        <v>325</v>
      </c>
      <c r="K54" s="15" t="s">
        <v>334</v>
      </c>
      <c r="L54" s="15" t="s">
        <v>358</v>
      </c>
      <c r="M54" s="15" t="s">
        <v>322</v>
      </c>
      <c r="N54" s="15" t="s">
        <v>708</v>
      </c>
      <c r="O54" s="15" t="s">
        <v>694</v>
      </c>
      <c r="P54" s="15" t="s">
        <v>1040</v>
      </c>
      <c r="Q54" s="15" t="s">
        <v>880</v>
      </c>
      <c r="R54" s="15" t="s">
        <v>835</v>
      </c>
      <c r="S54" s="15" t="s">
        <v>348</v>
      </c>
      <c r="T54" s="15" t="s">
        <v>484</v>
      </c>
      <c r="U54" s="23"/>
      <c r="V54" s="23"/>
      <c r="W54" s="23"/>
      <c r="X54" s="23"/>
      <c r="Y54" s="23"/>
      <c r="Z54" s="23"/>
      <c r="AA54" s="23"/>
      <c r="AB54" s="23"/>
      <c r="AC54" s="32" t="s">
        <v>885</v>
      </c>
      <c r="AD54" s="33" t="e">
        <f t="shared" si="23"/>
        <v>#N/A</v>
      </c>
      <c r="AE54" s="21" t="str">
        <f t="shared" si="15"/>
        <v>BR_VW_AFS_dv360_DIS_PROG_CPM_STD_LDR_AAF_RON_CXD_After-Sales-Oficina-Classicos-REG01-lal-add-to-cart-oficina_PD_300x50</v>
      </c>
      <c r="AF54" s="21" t="str">
        <f t="shared" si="16"/>
        <v>BR_VW_AFS_dv360_DIS_PROG_CPM_STD_LDR_AAF_RON_CXD_After-Sales-Oficina-Classicos-REG01-lal-add-to-cart-oficina_PD_300x50</v>
      </c>
      <c r="AG54" s="21" t="str">
        <f t="shared" si="17"/>
        <v>VW_After-Sales-lal-add-to-cart-oficina_300x50_After-Sales-Oficina-Classicos-REG01-adserver</v>
      </c>
      <c r="AH54" s="21" t="str">
        <f t="shared" si="18"/>
        <v>https://www.oficinadeclassicos.com.br/index.aspx?utm_source=dv360&amp;utm_medium=Programmatic&amp;utm_content=BR_VW_AFS_dv360_DIS_PROG_CPM_STD_LDR_AAF_RON_CXD_After-Sales-Oficina-Classicos-REG01-lal-add-to-cart-oficina_PD_300x50&amp;utm_campaign=BR_AAF_DSY_NONMS_ND_AS_2019Q2APR_AFS_After-Sales&amp;utm_term=%epid!_%ecid!_%eaid!</v>
      </c>
      <c r="AI54" s="21" t="str">
        <f t="shared" si="19"/>
        <v>TAG</v>
      </c>
      <c r="AJ54" s="15" t="str">
        <f t="shared" si="24"/>
        <v>dv360</v>
      </c>
      <c r="AK54" s="15" t="str">
        <f t="shared" si="25"/>
        <v>Programmatic</v>
      </c>
      <c r="AL54" s="21" t="str">
        <f>Campanha!$B$3</f>
        <v>BR_AAF_DSY_NONMS_ND_AS_2019Q2APR_AFS_After-Sales</v>
      </c>
      <c r="AM54" s="21" t="str">
        <f t="shared" si="22"/>
        <v>BR_VW_AFS_dv360_DIS_PROG_CPM_STD_LDR_AAF_RON_CXD_After-Sales-Oficina-Classicos-REG01-lal-add-to-cart-oficina_PD_300x50</v>
      </c>
      <c r="AN54" s="15" t="s">
        <v>809</v>
      </c>
    </row>
    <row r="55" spans="2:40" hidden="1" x14ac:dyDescent="0.25">
      <c r="B55" s="15" t="s">
        <v>872</v>
      </c>
      <c r="C55" s="15"/>
      <c r="D55" s="30" t="s">
        <v>873</v>
      </c>
      <c r="E55" s="22">
        <v>44155</v>
      </c>
      <c r="F55" s="22">
        <v>44196</v>
      </c>
      <c r="G55" s="15" t="s">
        <v>674</v>
      </c>
      <c r="H55" s="15" t="s">
        <v>811</v>
      </c>
      <c r="I55" s="15" t="s">
        <v>702</v>
      </c>
      <c r="J55" s="15" t="s">
        <v>325</v>
      </c>
      <c r="K55" s="15" t="s">
        <v>334</v>
      </c>
      <c r="L55" s="15" t="s">
        <v>358</v>
      </c>
      <c r="M55" s="15" t="s">
        <v>322</v>
      </c>
      <c r="N55" s="15" t="s">
        <v>708</v>
      </c>
      <c r="O55" s="15" t="s">
        <v>694</v>
      </c>
      <c r="P55" s="15" t="s">
        <v>1040</v>
      </c>
      <c r="Q55" s="15" t="s">
        <v>880</v>
      </c>
      <c r="R55" s="15" t="s">
        <v>835</v>
      </c>
      <c r="S55" s="15" t="s">
        <v>348</v>
      </c>
      <c r="T55" s="15" t="s">
        <v>478</v>
      </c>
      <c r="U55" s="23"/>
      <c r="V55" s="23"/>
      <c r="W55" s="23"/>
      <c r="X55" s="23"/>
      <c r="Y55" s="23"/>
      <c r="Z55" s="23"/>
      <c r="AA55" s="23"/>
      <c r="AB55" s="23"/>
      <c r="AC55" s="32" t="s">
        <v>885</v>
      </c>
      <c r="AD55" s="33" t="e">
        <f t="shared" si="23"/>
        <v>#N/A</v>
      </c>
      <c r="AE55" s="21" t="str">
        <f t="shared" si="15"/>
        <v>BR_VW_AFS_dv360_DIS_PROG_CPM_STD_LDR_AAF_RON_CXD_After-Sales-Oficina-Classicos-REG01-lal-add-to-cart-oficina_PD_300x250</v>
      </c>
      <c r="AF55" s="21" t="str">
        <f t="shared" si="16"/>
        <v>BR_VW_AFS_dv360_DIS_PROG_CPM_STD_LDR_AAF_RON_CXD_After-Sales-Oficina-Classicos-REG01-lal-add-to-cart-oficina_PD_300x250</v>
      </c>
      <c r="AG55" s="21" t="str">
        <f t="shared" si="17"/>
        <v>VW_After-Sales-lal-add-to-cart-oficina_300x250_After-Sales-Oficina-Classicos-REG01-adserver</v>
      </c>
      <c r="AH55" s="21" t="str">
        <f t="shared" si="18"/>
        <v>https://www.oficinadeclassicos.com.br/index.aspx?utm_source=dv360&amp;utm_medium=Programmatic&amp;utm_content=BR_VW_AFS_dv360_DIS_PROG_CPM_STD_LDR_AAF_RON_CXD_After-Sales-Oficina-Classicos-REG01-lal-add-to-cart-oficina_PD_300x250&amp;utm_campaign=BR_AAF_DSY_NONMS_ND_AS_2019Q2APR_AFS_After-Sales&amp;utm_term=%epid!_%ecid!_%eaid!</v>
      </c>
      <c r="AI55" s="21" t="str">
        <f t="shared" si="19"/>
        <v>TAG</v>
      </c>
      <c r="AJ55" s="15" t="str">
        <f t="shared" si="24"/>
        <v>dv360</v>
      </c>
      <c r="AK55" s="15" t="str">
        <f t="shared" si="25"/>
        <v>Programmatic</v>
      </c>
      <c r="AL55" s="21" t="str">
        <f>Campanha!$B$3</f>
        <v>BR_AAF_DSY_NONMS_ND_AS_2019Q2APR_AFS_After-Sales</v>
      </c>
      <c r="AM55" s="21" t="str">
        <f t="shared" si="22"/>
        <v>BR_VW_AFS_dv360_DIS_PROG_CPM_STD_LDR_AAF_RON_CXD_After-Sales-Oficina-Classicos-REG01-lal-add-to-cart-oficina_PD_300x250</v>
      </c>
      <c r="AN55" s="15" t="s">
        <v>809</v>
      </c>
    </row>
    <row r="56" spans="2:40" hidden="1" x14ac:dyDescent="0.25">
      <c r="B56" s="15" t="s">
        <v>872</v>
      </c>
      <c r="C56" s="15"/>
      <c r="D56" s="30" t="s">
        <v>873</v>
      </c>
      <c r="E56" s="22">
        <v>44155</v>
      </c>
      <c r="F56" s="22">
        <v>44196</v>
      </c>
      <c r="G56" s="15" t="s">
        <v>674</v>
      </c>
      <c r="H56" s="15" t="s">
        <v>811</v>
      </c>
      <c r="I56" s="15" t="s">
        <v>702</v>
      </c>
      <c r="J56" s="15" t="s">
        <v>325</v>
      </c>
      <c r="K56" s="15" t="s">
        <v>334</v>
      </c>
      <c r="L56" s="15" t="s">
        <v>358</v>
      </c>
      <c r="M56" s="15" t="s">
        <v>322</v>
      </c>
      <c r="N56" s="15" t="s">
        <v>708</v>
      </c>
      <c r="O56" s="15" t="s">
        <v>694</v>
      </c>
      <c r="P56" s="15" t="s">
        <v>1040</v>
      </c>
      <c r="Q56" s="15" t="s">
        <v>880</v>
      </c>
      <c r="R56" s="15" t="s">
        <v>835</v>
      </c>
      <c r="S56" s="15" t="s">
        <v>348</v>
      </c>
      <c r="T56" s="15" t="s">
        <v>614</v>
      </c>
      <c r="U56" s="23"/>
      <c r="V56" s="23"/>
      <c r="W56" s="23"/>
      <c r="X56" s="23"/>
      <c r="Y56" s="23"/>
      <c r="Z56" s="23"/>
      <c r="AA56" s="23"/>
      <c r="AB56" s="23"/>
      <c r="AC56" s="32" t="s">
        <v>885</v>
      </c>
      <c r="AD56" s="33" t="e">
        <f t="shared" si="23"/>
        <v>#N/A</v>
      </c>
      <c r="AE56" s="21" t="str">
        <f t="shared" ref="AE56:AE79" si="26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IF(col_servidopor="adserver-rotacionar",col_segmentacao,CONCATENATE(col_localfreetype,"-",col_segmentacao)),"_",VLOOKUP(col_paidvsav,tab_paidvsav,2,FALSE),"_",col_size))</f>
        <v>BR_VW_AFS_dv360_DIS_PROG_CPM_STD_LDR_AAF_RON_CXD_After-Sales-Oficina-Classicos-REG01-lal-add-to-cart-oficina_PD_728x90</v>
      </c>
      <c r="AF56" s="21" t="str">
        <f t="shared" ref="AF56:AF79" si="27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col_localfreetype,"-",col_segmentacao,"_",VLOOKUP(col_paidvsav,tab_paidvsav,2,FALSE),"_",col_size))</f>
        <v>BR_VW_AFS_dv360_DIS_PROG_CPM_STD_LDR_AAF_RON_CXD_After-Sales-Oficina-Classicos-REG01-lal-add-to-cart-oficina_PD_728x90</v>
      </c>
      <c r="AG56" s="21" t="str">
        <f t="shared" ref="AG56:AG79" si="28">CONCATENATE("VW","_",cel_modelvariant,"-",col_segmentacao,"_",col_size,"_",col_localfreetype,"-",IF(col_servidopor="portal",col_supplier,"adserver"))</f>
        <v>VW_After-Sales-lal-add-to-cart-oficina_728x90_After-Sales-Oficina-Classicos-REG01-adserver</v>
      </c>
      <c r="AH56" s="21" t="str">
        <f t="shared" ref="AH56:AH79" si="29">faxineiro(CONCATENATE(col_url,IF(ISNUMBER(FIND("?",col_url)),"&amp;","?"),"utm_source=",col_utmsource,"&amp;utm_medium=",col_utmmedium,"&amp;utm_content=",col_utmcontent,"&amp;utm_campaign=",col_utmcampaign,"&amp;utm_term=",col_keyword))</f>
        <v>https://www.oficinadeclassicos.com.br/index.aspx?utm_source=dv360&amp;utm_medium=Programmatic&amp;utm_content=BR_VW_AFS_dv360_DIS_PROG_CPM_STD_LDR_AAF_RON_CXD_After-Sales-Oficina-Classicos-REG01-lal-add-to-cart-oficina_PD_728x90&amp;utm_campaign=BR_AAF_DSY_NONMS_ND_AS_2019Q2APR_AFS_After-Sales&amp;utm_term=%epid!_%ecid!_%eaid!</v>
      </c>
      <c r="AI56" s="21" t="str">
        <f t="shared" ref="AI56:AI79" si="30">IFERROR(IF(col_servidopor="portal",VLOOKUP(col_placement,tab_contadores,2,FALSE),"TAG"),"Contador")</f>
        <v>TAG</v>
      </c>
      <c r="AJ56" s="15" t="str">
        <f t="shared" si="24"/>
        <v>dv360</v>
      </c>
      <c r="AK56" s="15" t="str">
        <f t="shared" si="25"/>
        <v>Programmatic</v>
      </c>
      <c r="AL56" s="21" t="str">
        <f>Campanha!$B$3</f>
        <v>BR_AAF_DSY_NONMS_ND_AS_2019Q2APR_AFS_After-Sales</v>
      </c>
      <c r="AM56" s="21" t="str">
        <f t="shared" ref="AM56:AM79" si="31">col_adname</f>
        <v>BR_VW_AFS_dv360_DIS_PROG_CPM_STD_LDR_AAF_RON_CXD_After-Sales-Oficina-Classicos-REG01-lal-add-to-cart-oficina_PD_728x90</v>
      </c>
      <c r="AN56" s="15" t="s">
        <v>809</v>
      </c>
    </row>
    <row r="57" spans="2:40" hidden="1" x14ac:dyDescent="0.25">
      <c r="B57" s="15" t="s">
        <v>872</v>
      </c>
      <c r="C57" s="15"/>
      <c r="D57" s="30" t="s">
        <v>873</v>
      </c>
      <c r="E57" s="22">
        <v>44155</v>
      </c>
      <c r="F57" s="22">
        <v>44196</v>
      </c>
      <c r="G57" s="15" t="s">
        <v>674</v>
      </c>
      <c r="H57" s="15" t="s">
        <v>811</v>
      </c>
      <c r="I57" s="15" t="s">
        <v>702</v>
      </c>
      <c r="J57" s="15" t="s">
        <v>325</v>
      </c>
      <c r="K57" s="15" t="s">
        <v>334</v>
      </c>
      <c r="L57" s="15" t="s">
        <v>358</v>
      </c>
      <c r="M57" s="15" t="s">
        <v>322</v>
      </c>
      <c r="N57" s="15" t="s">
        <v>708</v>
      </c>
      <c r="O57" s="15" t="s">
        <v>694</v>
      </c>
      <c r="P57" s="15" t="s">
        <v>1040</v>
      </c>
      <c r="Q57" s="15" t="s">
        <v>880</v>
      </c>
      <c r="R57" s="15" t="s">
        <v>835</v>
      </c>
      <c r="S57" s="15" t="s">
        <v>348</v>
      </c>
      <c r="T57" s="15" t="s">
        <v>652</v>
      </c>
      <c r="U57" s="23"/>
      <c r="V57" s="23"/>
      <c r="W57" s="23"/>
      <c r="X57" s="23"/>
      <c r="Y57" s="23"/>
      <c r="Z57" s="23"/>
      <c r="AA57" s="23"/>
      <c r="AB57" s="23"/>
      <c r="AC57" s="32" t="s">
        <v>885</v>
      </c>
      <c r="AD57" s="33" t="e">
        <f t="shared" si="23"/>
        <v>#N/A</v>
      </c>
      <c r="AE57" s="21" t="str">
        <f t="shared" si="26"/>
        <v>BR_VW_AFS_dv360_DIS_PROG_CPM_STD_LDR_AAF_RON_CXD_After-Sales-Oficina-Classicos-REG01-lal-add-to-cart-oficina_PD_970x250</v>
      </c>
      <c r="AF57" s="21" t="str">
        <f t="shared" si="27"/>
        <v>BR_VW_AFS_dv360_DIS_PROG_CPM_STD_LDR_AAF_RON_CXD_After-Sales-Oficina-Classicos-REG01-lal-add-to-cart-oficina_PD_970x250</v>
      </c>
      <c r="AG57" s="21" t="str">
        <f t="shared" si="28"/>
        <v>VW_After-Sales-lal-add-to-cart-oficina_970x250_After-Sales-Oficina-Classicos-REG01-adserver</v>
      </c>
      <c r="AH57" s="21" t="str">
        <f t="shared" si="29"/>
        <v>https://www.oficinadeclassicos.com.br/index.aspx?utm_source=dv360&amp;utm_medium=Programmatic&amp;utm_content=BR_VW_AFS_dv360_DIS_PROG_CPM_STD_LDR_AAF_RON_CXD_After-Sales-Oficina-Classicos-REG01-lal-add-to-cart-oficina_PD_970x250&amp;utm_campaign=BR_AAF_DSY_NONMS_ND_AS_2019Q2APR_AFS_After-Sales&amp;utm_term=%epid!_%ecid!_%eaid!</v>
      </c>
      <c r="AI57" s="21" t="str">
        <f t="shared" si="30"/>
        <v>TAG</v>
      </c>
      <c r="AJ57" s="15" t="str">
        <f t="shared" si="24"/>
        <v>dv360</v>
      </c>
      <c r="AK57" s="15" t="str">
        <f t="shared" si="25"/>
        <v>Programmatic</v>
      </c>
      <c r="AL57" s="21" t="str">
        <f>Campanha!$B$3</f>
        <v>BR_AAF_DSY_NONMS_ND_AS_2019Q2APR_AFS_After-Sales</v>
      </c>
      <c r="AM57" s="21" t="str">
        <f t="shared" si="31"/>
        <v>BR_VW_AFS_dv360_DIS_PROG_CPM_STD_LDR_AAF_RON_CXD_After-Sales-Oficina-Classicos-REG01-lal-add-to-cart-oficina_PD_970x250</v>
      </c>
      <c r="AN57" s="15" t="s">
        <v>809</v>
      </c>
    </row>
    <row r="58" spans="2:40" hidden="1" x14ac:dyDescent="0.25">
      <c r="B58" s="15" t="s">
        <v>872</v>
      </c>
      <c r="C58" s="15"/>
      <c r="D58" s="30" t="s">
        <v>873</v>
      </c>
      <c r="E58" s="22">
        <v>44155</v>
      </c>
      <c r="F58" s="22">
        <v>44196</v>
      </c>
      <c r="G58" s="15" t="s">
        <v>674</v>
      </c>
      <c r="H58" s="15" t="s">
        <v>811</v>
      </c>
      <c r="I58" s="15" t="s">
        <v>702</v>
      </c>
      <c r="J58" s="15" t="s">
        <v>325</v>
      </c>
      <c r="K58" s="15" t="s">
        <v>334</v>
      </c>
      <c r="L58" s="15" t="s">
        <v>358</v>
      </c>
      <c r="M58" s="15" t="s">
        <v>322</v>
      </c>
      <c r="N58" s="15" t="s">
        <v>708</v>
      </c>
      <c r="O58" s="15" t="s">
        <v>694</v>
      </c>
      <c r="P58" s="15" t="s">
        <v>1040</v>
      </c>
      <c r="Q58" s="15" t="s">
        <v>888</v>
      </c>
      <c r="R58" s="15" t="s">
        <v>835</v>
      </c>
      <c r="S58" s="15" t="s">
        <v>348</v>
      </c>
      <c r="T58" s="15" t="s">
        <v>457</v>
      </c>
      <c r="U58" s="23"/>
      <c r="V58" s="23"/>
      <c r="W58" s="23"/>
      <c r="X58" s="23"/>
      <c r="Y58" s="23"/>
      <c r="Z58" s="23"/>
      <c r="AA58" s="23"/>
      <c r="AB58" s="23"/>
      <c r="AC58" s="32" t="s">
        <v>885</v>
      </c>
      <c r="AD58" s="33" t="e">
        <f t="shared" si="23"/>
        <v>#N/A</v>
      </c>
      <c r="AE58" s="21" t="str">
        <f t="shared" si="26"/>
        <v>BR_VW_AFS_dv360_DIS_PROG_CPM_STD_LDR_AAF_RON_CXD_After-Sales-Oficina-Classicos-REG01-lal-home-oficina_PD_160x600</v>
      </c>
      <c r="AF58" s="21" t="str">
        <f t="shared" si="27"/>
        <v>BR_VW_AFS_dv360_DIS_PROG_CPM_STD_LDR_AAF_RON_CXD_After-Sales-Oficina-Classicos-REG01-lal-home-oficina_PD_160x600</v>
      </c>
      <c r="AG58" s="21" t="str">
        <f t="shared" si="28"/>
        <v>VW_After-Sales-lal-home-oficina_160x600_After-Sales-Oficina-Classicos-REG01-adserver</v>
      </c>
      <c r="AH58" s="21" t="str">
        <f t="shared" si="29"/>
        <v>https://www.oficinadeclassicos.com.br/index.aspx?utm_source=dv360&amp;utm_medium=Programmatic&amp;utm_content=BR_VW_AFS_dv360_DIS_PROG_CPM_STD_LDR_AAF_RON_CXD_After-Sales-Oficina-Classicos-REG01-lal-home-oficina_PD_160x600&amp;utm_campaign=BR_AAF_DSY_NONMS_ND_AS_2019Q2APR_AFS_After-Sales&amp;utm_term=%epid!_%ecid!_%eaid!</v>
      </c>
      <c r="AI58" s="21" t="str">
        <f t="shared" si="30"/>
        <v>TAG</v>
      </c>
      <c r="AJ58" s="15" t="str">
        <f t="shared" si="24"/>
        <v>dv360</v>
      </c>
      <c r="AK58" s="15" t="str">
        <f t="shared" si="25"/>
        <v>Programmatic</v>
      </c>
      <c r="AL58" s="21" t="str">
        <f>Campanha!$B$3</f>
        <v>BR_AAF_DSY_NONMS_ND_AS_2019Q2APR_AFS_After-Sales</v>
      </c>
      <c r="AM58" s="21" t="str">
        <f t="shared" si="31"/>
        <v>BR_VW_AFS_dv360_DIS_PROG_CPM_STD_LDR_AAF_RON_CXD_After-Sales-Oficina-Classicos-REG01-lal-home-oficina_PD_160x600</v>
      </c>
      <c r="AN58" s="15" t="s">
        <v>809</v>
      </c>
    </row>
    <row r="59" spans="2:40" hidden="1" x14ac:dyDescent="0.25">
      <c r="B59" s="15" t="s">
        <v>872</v>
      </c>
      <c r="C59" s="15"/>
      <c r="D59" s="30" t="s">
        <v>873</v>
      </c>
      <c r="E59" s="22">
        <v>44155</v>
      </c>
      <c r="F59" s="22">
        <v>44196</v>
      </c>
      <c r="G59" s="15" t="s">
        <v>674</v>
      </c>
      <c r="H59" s="15" t="s">
        <v>811</v>
      </c>
      <c r="I59" s="15" t="s">
        <v>702</v>
      </c>
      <c r="J59" s="15" t="s">
        <v>325</v>
      </c>
      <c r="K59" s="15" t="s">
        <v>334</v>
      </c>
      <c r="L59" s="15" t="s">
        <v>358</v>
      </c>
      <c r="M59" s="15" t="s">
        <v>322</v>
      </c>
      <c r="N59" s="15" t="s">
        <v>708</v>
      </c>
      <c r="O59" s="15" t="s">
        <v>694</v>
      </c>
      <c r="P59" s="15" t="s">
        <v>1040</v>
      </c>
      <c r="Q59" s="15" t="s">
        <v>888</v>
      </c>
      <c r="R59" s="15" t="s">
        <v>835</v>
      </c>
      <c r="S59" s="15" t="s">
        <v>348</v>
      </c>
      <c r="T59" s="15" t="s">
        <v>484</v>
      </c>
      <c r="U59" s="23"/>
      <c r="V59" s="23"/>
      <c r="W59" s="23"/>
      <c r="X59" s="23"/>
      <c r="Y59" s="23"/>
      <c r="Z59" s="23"/>
      <c r="AA59" s="23"/>
      <c r="AB59" s="23"/>
      <c r="AC59" s="32" t="s">
        <v>885</v>
      </c>
      <c r="AD59" s="33" t="e">
        <f t="shared" si="23"/>
        <v>#N/A</v>
      </c>
      <c r="AE59" s="21" t="str">
        <f t="shared" si="26"/>
        <v>BR_VW_AFS_dv360_DIS_PROG_CPM_STD_LDR_AAF_RON_CXD_After-Sales-Oficina-Classicos-REG01-lal-home-oficina_PD_300x50</v>
      </c>
      <c r="AF59" s="21" t="str">
        <f t="shared" si="27"/>
        <v>BR_VW_AFS_dv360_DIS_PROG_CPM_STD_LDR_AAF_RON_CXD_After-Sales-Oficina-Classicos-REG01-lal-home-oficina_PD_300x50</v>
      </c>
      <c r="AG59" s="21" t="str">
        <f t="shared" si="28"/>
        <v>VW_After-Sales-lal-home-oficina_300x50_After-Sales-Oficina-Classicos-REG01-adserver</v>
      </c>
      <c r="AH59" s="21" t="str">
        <f t="shared" si="29"/>
        <v>https://www.oficinadeclassicos.com.br/index.aspx?utm_source=dv360&amp;utm_medium=Programmatic&amp;utm_content=BR_VW_AFS_dv360_DIS_PROG_CPM_STD_LDR_AAF_RON_CXD_After-Sales-Oficina-Classicos-REG01-lal-home-oficina_PD_300x50&amp;utm_campaign=BR_AAF_DSY_NONMS_ND_AS_2019Q2APR_AFS_After-Sales&amp;utm_term=%epid!_%ecid!_%eaid!</v>
      </c>
      <c r="AI59" s="21" t="str">
        <f t="shared" si="30"/>
        <v>TAG</v>
      </c>
      <c r="AJ59" s="15" t="str">
        <f t="shared" si="24"/>
        <v>dv360</v>
      </c>
      <c r="AK59" s="15" t="str">
        <f t="shared" si="25"/>
        <v>Programmatic</v>
      </c>
      <c r="AL59" s="21" t="str">
        <f>Campanha!$B$3</f>
        <v>BR_AAF_DSY_NONMS_ND_AS_2019Q2APR_AFS_After-Sales</v>
      </c>
      <c r="AM59" s="21" t="str">
        <f t="shared" si="31"/>
        <v>BR_VW_AFS_dv360_DIS_PROG_CPM_STD_LDR_AAF_RON_CXD_After-Sales-Oficina-Classicos-REG01-lal-home-oficina_PD_300x50</v>
      </c>
      <c r="AN59" s="15" t="s">
        <v>809</v>
      </c>
    </row>
    <row r="60" spans="2:40" hidden="1" x14ac:dyDescent="0.25">
      <c r="B60" s="15" t="s">
        <v>872</v>
      </c>
      <c r="C60" s="15"/>
      <c r="D60" s="30" t="s">
        <v>873</v>
      </c>
      <c r="E60" s="22">
        <v>44155</v>
      </c>
      <c r="F60" s="22">
        <v>44196</v>
      </c>
      <c r="G60" s="15" t="s">
        <v>674</v>
      </c>
      <c r="H60" s="15" t="s">
        <v>811</v>
      </c>
      <c r="I60" s="15" t="s">
        <v>702</v>
      </c>
      <c r="J60" s="15" t="s">
        <v>325</v>
      </c>
      <c r="K60" s="15" t="s">
        <v>334</v>
      </c>
      <c r="L60" s="15" t="s">
        <v>358</v>
      </c>
      <c r="M60" s="15" t="s">
        <v>322</v>
      </c>
      <c r="N60" s="15" t="s">
        <v>708</v>
      </c>
      <c r="O60" s="15" t="s">
        <v>694</v>
      </c>
      <c r="P60" s="15" t="s">
        <v>1040</v>
      </c>
      <c r="Q60" s="15" t="s">
        <v>888</v>
      </c>
      <c r="R60" s="15" t="s">
        <v>835</v>
      </c>
      <c r="S60" s="15" t="s">
        <v>348</v>
      </c>
      <c r="T60" s="15" t="s">
        <v>478</v>
      </c>
      <c r="U60" s="23"/>
      <c r="V60" s="23"/>
      <c r="W60" s="23"/>
      <c r="X60" s="23"/>
      <c r="Y60" s="23"/>
      <c r="Z60" s="23"/>
      <c r="AA60" s="23"/>
      <c r="AB60" s="23"/>
      <c r="AC60" s="32" t="s">
        <v>885</v>
      </c>
      <c r="AD60" s="33" t="e">
        <f t="shared" si="23"/>
        <v>#N/A</v>
      </c>
      <c r="AE60" s="21" t="str">
        <f t="shared" si="26"/>
        <v>BR_VW_AFS_dv360_DIS_PROG_CPM_STD_LDR_AAF_RON_CXD_After-Sales-Oficina-Classicos-REG01-lal-home-oficina_PD_300x250</v>
      </c>
      <c r="AF60" s="21" t="str">
        <f t="shared" si="27"/>
        <v>BR_VW_AFS_dv360_DIS_PROG_CPM_STD_LDR_AAF_RON_CXD_After-Sales-Oficina-Classicos-REG01-lal-home-oficina_PD_300x250</v>
      </c>
      <c r="AG60" s="21" t="str">
        <f t="shared" si="28"/>
        <v>VW_After-Sales-lal-home-oficina_300x250_After-Sales-Oficina-Classicos-REG01-adserver</v>
      </c>
      <c r="AH60" s="21" t="str">
        <f t="shared" si="29"/>
        <v>https://www.oficinadeclassicos.com.br/index.aspx?utm_source=dv360&amp;utm_medium=Programmatic&amp;utm_content=BR_VW_AFS_dv360_DIS_PROG_CPM_STD_LDR_AAF_RON_CXD_After-Sales-Oficina-Classicos-REG01-lal-home-oficina_PD_300x250&amp;utm_campaign=BR_AAF_DSY_NONMS_ND_AS_2019Q2APR_AFS_After-Sales&amp;utm_term=%epid!_%ecid!_%eaid!</v>
      </c>
      <c r="AI60" s="21" t="str">
        <f t="shared" si="30"/>
        <v>TAG</v>
      </c>
      <c r="AJ60" s="15" t="str">
        <f t="shared" si="24"/>
        <v>dv360</v>
      </c>
      <c r="AK60" s="15" t="str">
        <f t="shared" si="25"/>
        <v>Programmatic</v>
      </c>
      <c r="AL60" s="21" t="str">
        <f>Campanha!$B$3</f>
        <v>BR_AAF_DSY_NONMS_ND_AS_2019Q2APR_AFS_After-Sales</v>
      </c>
      <c r="AM60" s="21" t="str">
        <f t="shared" si="31"/>
        <v>BR_VW_AFS_dv360_DIS_PROG_CPM_STD_LDR_AAF_RON_CXD_After-Sales-Oficina-Classicos-REG01-lal-home-oficina_PD_300x250</v>
      </c>
      <c r="AN60" s="15" t="s">
        <v>809</v>
      </c>
    </row>
    <row r="61" spans="2:40" hidden="1" x14ac:dyDescent="0.25">
      <c r="B61" s="15" t="s">
        <v>872</v>
      </c>
      <c r="C61" s="15"/>
      <c r="D61" s="30" t="s">
        <v>873</v>
      </c>
      <c r="E61" s="22">
        <v>44155</v>
      </c>
      <c r="F61" s="22">
        <v>44196</v>
      </c>
      <c r="G61" s="15" t="s">
        <v>674</v>
      </c>
      <c r="H61" s="15" t="s">
        <v>811</v>
      </c>
      <c r="I61" s="15" t="s">
        <v>702</v>
      </c>
      <c r="J61" s="15" t="s">
        <v>325</v>
      </c>
      <c r="K61" s="15" t="s">
        <v>334</v>
      </c>
      <c r="L61" s="15" t="s">
        <v>358</v>
      </c>
      <c r="M61" s="15" t="s">
        <v>322</v>
      </c>
      <c r="N61" s="15" t="s">
        <v>708</v>
      </c>
      <c r="O61" s="15" t="s">
        <v>694</v>
      </c>
      <c r="P61" s="15" t="s">
        <v>1040</v>
      </c>
      <c r="Q61" s="15" t="s">
        <v>888</v>
      </c>
      <c r="R61" s="15" t="s">
        <v>835</v>
      </c>
      <c r="S61" s="15" t="s">
        <v>348</v>
      </c>
      <c r="T61" s="15" t="s">
        <v>614</v>
      </c>
      <c r="U61" s="23"/>
      <c r="V61" s="23"/>
      <c r="W61" s="23"/>
      <c r="X61" s="23"/>
      <c r="Y61" s="23"/>
      <c r="Z61" s="23"/>
      <c r="AA61" s="23"/>
      <c r="AB61" s="23"/>
      <c r="AC61" s="32" t="s">
        <v>885</v>
      </c>
      <c r="AD61" s="33" t="e">
        <f t="shared" si="23"/>
        <v>#N/A</v>
      </c>
      <c r="AE61" s="21" t="str">
        <f t="shared" si="26"/>
        <v>BR_VW_AFS_dv360_DIS_PROG_CPM_STD_LDR_AAF_RON_CXD_After-Sales-Oficina-Classicos-REG01-lal-home-oficina_PD_728x90</v>
      </c>
      <c r="AF61" s="21" t="str">
        <f t="shared" si="27"/>
        <v>BR_VW_AFS_dv360_DIS_PROG_CPM_STD_LDR_AAF_RON_CXD_After-Sales-Oficina-Classicos-REG01-lal-home-oficina_PD_728x90</v>
      </c>
      <c r="AG61" s="21" t="str">
        <f t="shared" si="28"/>
        <v>VW_After-Sales-lal-home-oficina_728x90_After-Sales-Oficina-Classicos-REG01-adserver</v>
      </c>
      <c r="AH61" s="21" t="str">
        <f t="shared" si="29"/>
        <v>https://www.oficinadeclassicos.com.br/index.aspx?utm_source=dv360&amp;utm_medium=Programmatic&amp;utm_content=BR_VW_AFS_dv360_DIS_PROG_CPM_STD_LDR_AAF_RON_CXD_After-Sales-Oficina-Classicos-REG01-lal-home-oficina_PD_728x90&amp;utm_campaign=BR_AAF_DSY_NONMS_ND_AS_2019Q2APR_AFS_After-Sales&amp;utm_term=%epid!_%ecid!_%eaid!</v>
      </c>
      <c r="AI61" s="21" t="str">
        <f t="shared" si="30"/>
        <v>TAG</v>
      </c>
      <c r="AJ61" s="15" t="str">
        <f t="shared" si="24"/>
        <v>dv360</v>
      </c>
      <c r="AK61" s="15" t="str">
        <f t="shared" si="25"/>
        <v>Programmatic</v>
      </c>
      <c r="AL61" s="21" t="str">
        <f>Campanha!$B$3</f>
        <v>BR_AAF_DSY_NONMS_ND_AS_2019Q2APR_AFS_After-Sales</v>
      </c>
      <c r="AM61" s="21" t="str">
        <f t="shared" si="31"/>
        <v>BR_VW_AFS_dv360_DIS_PROG_CPM_STD_LDR_AAF_RON_CXD_After-Sales-Oficina-Classicos-REG01-lal-home-oficina_PD_728x90</v>
      </c>
      <c r="AN61" s="15" t="s">
        <v>809</v>
      </c>
    </row>
    <row r="62" spans="2:40" hidden="1" x14ac:dyDescent="0.25">
      <c r="B62" s="15" t="s">
        <v>872</v>
      </c>
      <c r="C62" s="15"/>
      <c r="D62" s="30" t="s">
        <v>873</v>
      </c>
      <c r="E62" s="22">
        <v>44155</v>
      </c>
      <c r="F62" s="22">
        <v>44196</v>
      </c>
      <c r="G62" s="15" t="s">
        <v>674</v>
      </c>
      <c r="H62" s="15" t="s">
        <v>811</v>
      </c>
      <c r="I62" s="15" t="s">
        <v>702</v>
      </c>
      <c r="J62" s="15" t="s">
        <v>325</v>
      </c>
      <c r="K62" s="15" t="s">
        <v>334</v>
      </c>
      <c r="L62" s="15" t="s">
        <v>358</v>
      </c>
      <c r="M62" s="15" t="s">
        <v>322</v>
      </c>
      <c r="N62" s="15" t="s">
        <v>708</v>
      </c>
      <c r="O62" s="15" t="s">
        <v>694</v>
      </c>
      <c r="P62" s="15" t="s">
        <v>1040</v>
      </c>
      <c r="Q62" s="15" t="s">
        <v>888</v>
      </c>
      <c r="R62" s="15" t="s">
        <v>835</v>
      </c>
      <c r="S62" s="15" t="s">
        <v>348</v>
      </c>
      <c r="T62" s="15" t="s">
        <v>652</v>
      </c>
      <c r="U62" s="23"/>
      <c r="V62" s="23"/>
      <c r="W62" s="23"/>
      <c r="X62" s="23"/>
      <c r="Y62" s="23"/>
      <c r="Z62" s="23"/>
      <c r="AA62" s="23"/>
      <c r="AB62" s="23"/>
      <c r="AC62" s="32" t="s">
        <v>885</v>
      </c>
      <c r="AD62" s="33" t="e">
        <f t="shared" si="23"/>
        <v>#N/A</v>
      </c>
      <c r="AE62" s="21" t="str">
        <f t="shared" si="26"/>
        <v>BR_VW_AFS_dv360_DIS_PROG_CPM_STD_LDR_AAF_RON_CXD_After-Sales-Oficina-Classicos-REG01-lal-home-oficina_PD_970x250</v>
      </c>
      <c r="AF62" s="21" t="str">
        <f t="shared" si="27"/>
        <v>BR_VW_AFS_dv360_DIS_PROG_CPM_STD_LDR_AAF_RON_CXD_After-Sales-Oficina-Classicos-REG01-lal-home-oficina_PD_970x250</v>
      </c>
      <c r="AG62" s="21" t="str">
        <f t="shared" si="28"/>
        <v>VW_After-Sales-lal-home-oficina_970x250_After-Sales-Oficina-Classicos-REG01-adserver</v>
      </c>
      <c r="AH62" s="21" t="str">
        <f t="shared" si="29"/>
        <v>https://www.oficinadeclassicos.com.br/index.aspx?utm_source=dv360&amp;utm_medium=Programmatic&amp;utm_content=BR_VW_AFS_dv360_DIS_PROG_CPM_STD_LDR_AAF_RON_CXD_After-Sales-Oficina-Classicos-REG01-lal-home-oficina_PD_970x250&amp;utm_campaign=BR_AAF_DSY_NONMS_ND_AS_2019Q2APR_AFS_After-Sales&amp;utm_term=%epid!_%ecid!_%eaid!</v>
      </c>
      <c r="AI62" s="21" t="str">
        <f t="shared" si="30"/>
        <v>TAG</v>
      </c>
      <c r="AJ62" s="15" t="str">
        <f t="shared" si="24"/>
        <v>dv360</v>
      </c>
      <c r="AK62" s="15" t="str">
        <f t="shared" si="25"/>
        <v>Programmatic</v>
      </c>
      <c r="AL62" s="21" t="str">
        <f>Campanha!$B$3</f>
        <v>BR_AAF_DSY_NONMS_ND_AS_2019Q2APR_AFS_After-Sales</v>
      </c>
      <c r="AM62" s="21" t="str">
        <f t="shared" si="31"/>
        <v>BR_VW_AFS_dv360_DIS_PROG_CPM_STD_LDR_AAF_RON_CXD_After-Sales-Oficina-Classicos-REG01-lal-home-oficina_PD_970x250</v>
      </c>
      <c r="AN62" s="15" t="s">
        <v>809</v>
      </c>
    </row>
    <row r="63" spans="2:40" hidden="1" x14ac:dyDescent="0.25">
      <c r="B63" s="15" t="s">
        <v>872</v>
      </c>
      <c r="C63" s="15"/>
      <c r="D63" s="30" t="s">
        <v>873</v>
      </c>
      <c r="E63" s="22">
        <v>44155</v>
      </c>
      <c r="F63" s="22">
        <v>44196</v>
      </c>
      <c r="G63" s="15" t="s">
        <v>674</v>
      </c>
      <c r="H63" s="15" t="s">
        <v>811</v>
      </c>
      <c r="I63" s="15" t="s">
        <v>702</v>
      </c>
      <c r="J63" s="15" t="s">
        <v>325</v>
      </c>
      <c r="K63" s="15" t="s">
        <v>334</v>
      </c>
      <c r="L63" s="15" t="s">
        <v>358</v>
      </c>
      <c r="M63" s="15" t="s">
        <v>322</v>
      </c>
      <c r="N63" s="15" t="s">
        <v>708</v>
      </c>
      <c r="O63" s="15" t="s">
        <v>694</v>
      </c>
      <c r="P63" s="15" t="s">
        <v>1040</v>
      </c>
      <c r="Q63" s="15" t="s">
        <v>878</v>
      </c>
      <c r="R63" s="15" t="s">
        <v>835</v>
      </c>
      <c r="S63" s="15" t="s">
        <v>348</v>
      </c>
      <c r="T63" s="15" t="s">
        <v>457</v>
      </c>
      <c r="U63" s="23"/>
      <c r="V63" s="23"/>
      <c r="W63" s="23"/>
      <c r="X63" s="23"/>
      <c r="Y63" s="23"/>
      <c r="Z63" s="23"/>
      <c r="AA63" s="23"/>
      <c r="AB63" s="23"/>
      <c r="AC63" s="32" t="s">
        <v>885</v>
      </c>
      <c r="AD63" s="33" t="e">
        <f t="shared" si="23"/>
        <v>#N/A</v>
      </c>
      <c r="AE63" s="21" t="str">
        <f t="shared" si="26"/>
        <v>BR_VW_AFS_dv360_DIS_PROG_CPM_STD_LDR_AAF_RON_CXD_After-Sales-Oficina-Classicos-REG01-rmkt-visita-home-oficina_PD_160x600</v>
      </c>
      <c r="AF63" s="21" t="str">
        <f t="shared" si="27"/>
        <v>BR_VW_AFS_dv360_DIS_PROG_CPM_STD_LDR_AAF_RON_CXD_After-Sales-Oficina-Classicos-REG01-rmkt-visita-home-oficina_PD_160x600</v>
      </c>
      <c r="AG63" s="21" t="str">
        <f t="shared" si="28"/>
        <v>VW_After-Sales-rmkt-visita-home-oficina_160x600_After-Sales-Oficina-Classicos-REG01-adserver</v>
      </c>
      <c r="AH63" s="21" t="str">
        <f t="shared" si="29"/>
        <v>https://www.oficinadeclassicos.com.br/index.aspx?utm_source=dv360&amp;utm_medium=Programmatic&amp;utm_content=BR_VW_AFS_dv360_DIS_PROG_CPM_STD_LDR_AAF_RON_CXD_After-Sales-Oficina-Classicos-REG01-rmkt-visita-home-oficina_PD_160x600&amp;utm_campaign=BR_AAF_DSY_NONMS_ND_AS_2019Q2APR_AFS_After-Sales&amp;utm_term=%epid!_%ecid!_%eaid!</v>
      </c>
      <c r="AI63" s="21" t="str">
        <f t="shared" si="30"/>
        <v>TAG</v>
      </c>
      <c r="AJ63" s="15" t="str">
        <f t="shared" ref="AJ63:AJ72" si="32">H63</f>
        <v>dv360</v>
      </c>
      <c r="AK63" s="15" t="str">
        <f t="shared" ref="AK63:AK72" si="33">J63</f>
        <v>Programmatic</v>
      </c>
      <c r="AL63" s="21" t="str">
        <f>Campanha!$B$3</f>
        <v>BR_AAF_DSY_NONMS_ND_AS_2019Q2APR_AFS_After-Sales</v>
      </c>
      <c r="AM63" s="21" t="str">
        <f t="shared" si="31"/>
        <v>BR_VW_AFS_dv360_DIS_PROG_CPM_STD_LDR_AAF_RON_CXD_After-Sales-Oficina-Classicos-REG01-rmkt-visita-home-oficina_PD_160x600</v>
      </c>
      <c r="AN63" s="15" t="s">
        <v>809</v>
      </c>
    </row>
    <row r="64" spans="2:40" hidden="1" x14ac:dyDescent="0.25">
      <c r="B64" s="15" t="s">
        <v>872</v>
      </c>
      <c r="C64" s="15"/>
      <c r="D64" s="30" t="s">
        <v>873</v>
      </c>
      <c r="E64" s="22">
        <v>44155</v>
      </c>
      <c r="F64" s="22">
        <v>44196</v>
      </c>
      <c r="G64" s="15" t="s">
        <v>674</v>
      </c>
      <c r="H64" s="15" t="s">
        <v>811</v>
      </c>
      <c r="I64" s="15" t="s">
        <v>702</v>
      </c>
      <c r="J64" s="15" t="s">
        <v>325</v>
      </c>
      <c r="K64" s="15" t="s">
        <v>334</v>
      </c>
      <c r="L64" s="15" t="s">
        <v>358</v>
      </c>
      <c r="M64" s="15" t="s">
        <v>322</v>
      </c>
      <c r="N64" s="15" t="s">
        <v>708</v>
      </c>
      <c r="O64" s="15" t="s">
        <v>694</v>
      </c>
      <c r="P64" s="15" t="s">
        <v>1040</v>
      </c>
      <c r="Q64" s="15" t="s">
        <v>878</v>
      </c>
      <c r="R64" s="15" t="s">
        <v>835</v>
      </c>
      <c r="S64" s="15" t="s">
        <v>348</v>
      </c>
      <c r="T64" s="15" t="s">
        <v>484</v>
      </c>
      <c r="U64" s="23"/>
      <c r="V64" s="23"/>
      <c r="W64" s="23"/>
      <c r="X64" s="23"/>
      <c r="Y64" s="23"/>
      <c r="Z64" s="23"/>
      <c r="AA64" s="23"/>
      <c r="AB64" s="23"/>
      <c r="AC64" s="32" t="s">
        <v>885</v>
      </c>
      <c r="AD64" s="33" t="e">
        <f t="shared" si="23"/>
        <v>#N/A</v>
      </c>
      <c r="AE64" s="21" t="str">
        <f t="shared" si="26"/>
        <v>BR_VW_AFS_dv360_DIS_PROG_CPM_STD_LDR_AAF_RON_CXD_After-Sales-Oficina-Classicos-REG01-rmkt-visita-home-oficina_PD_300x50</v>
      </c>
      <c r="AF64" s="21" t="str">
        <f t="shared" si="27"/>
        <v>BR_VW_AFS_dv360_DIS_PROG_CPM_STD_LDR_AAF_RON_CXD_After-Sales-Oficina-Classicos-REG01-rmkt-visita-home-oficina_PD_300x50</v>
      </c>
      <c r="AG64" s="21" t="str">
        <f t="shared" si="28"/>
        <v>VW_After-Sales-rmkt-visita-home-oficina_300x50_After-Sales-Oficina-Classicos-REG01-adserver</v>
      </c>
      <c r="AH64" s="21" t="str">
        <f t="shared" si="29"/>
        <v>https://www.oficinadeclassicos.com.br/index.aspx?utm_source=dv360&amp;utm_medium=Programmatic&amp;utm_content=BR_VW_AFS_dv360_DIS_PROG_CPM_STD_LDR_AAF_RON_CXD_After-Sales-Oficina-Classicos-REG01-rmkt-visita-home-oficina_PD_300x50&amp;utm_campaign=BR_AAF_DSY_NONMS_ND_AS_2019Q2APR_AFS_After-Sales&amp;utm_term=%epid!_%ecid!_%eaid!</v>
      </c>
      <c r="AI64" s="21" t="str">
        <f t="shared" si="30"/>
        <v>TAG</v>
      </c>
      <c r="AJ64" s="15" t="str">
        <f t="shared" si="32"/>
        <v>dv360</v>
      </c>
      <c r="AK64" s="15" t="str">
        <f t="shared" si="33"/>
        <v>Programmatic</v>
      </c>
      <c r="AL64" s="21" t="str">
        <f>Campanha!$B$3</f>
        <v>BR_AAF_DSY_NONMS_ND_AS_2019Q2APR_AFS_After-Sales</v>
      </c>
      <c r="AM64" s="21" t="str">
        <f t="shared" si="31"/>
        <v>BR_VW_AFS_dv360_DIS_PROG_CPM_STD_LDR_AAF_RON_CXD_After-Sales-Oficina-Classicos-REG01-rmkt-visita-home-oficina_PD_300x50</v>
      </c>
      <c r="AN64" s="15" t="s">
        <v>809</v>
      </c>
    </row>
    <row r="65" spans="2:40" hidden="1" x14ac:dyDescent="0.25">
      <c r="B65" s="15" t="s">
        <v>872</v>
      </c>
      <c r="C65" s="15"/>
      <c r="D65" s="30" t="s">
        <v>873</v>
      </c>
      <c r="E65" s="22">
        <v>44155</v>
      </c>
      <c r="F65" s="22">
        <v>44196</v>
      </c>
      <c r="G65" s="15" t="s">
        <v>674</v>
      </c>
      <c r="H65" s="15" t="s">
        <v>811</v>
      </c>
      <c r="I65" s="15" t="s">
        <v>702</v>
      </c>
      <c r="J65" s="15" t="s">
        <v>325</v>
      </c>
      <c r="K65" s="15" t="s">
        <v>334</v>
      </c>
      <c r="L65" s="15" t="s">
        <v>358</v>
      </c>
      <c r="M65" s="15" t="s">
        <v>322</v>
      </c>
      <c r="N65" s="15" t="s">
        <v>708</v>
      </c>
      <c r="O65" s="15" t="s">
        <v>694</v>
      </c>
      <c r="P65" s="15" t="s">
        <v>1040</v>
      </c>
      <c r="Q65" s="15" t="s">
        <v>878</v>
      </c>
      <c r="R65" s="15" t="s">
        <v>835</v>
      </c>
      <c r="S65" s="15" t="s">
        <v>348</v>
      </c>
      <c r="T65" s="15" t="s">
        <v>478</v>
      </c>
      <c r="U65" s="23"/>
      <c r="V65" s="23"/>
      <c r="W65" s="23"/>
      <c r="X65" s="23"/>
      <c r="Y65" s="23"/>
      <c r="Z65" s="23"/>
      <c r="AA65" s="23"/>
      <c r="AB65" s="23"/>
      <c r="AC65" s="32" t="s">
        <v>885</v>
      </c>
      <c r="AD65" s="33" t="e">
        <f t="shared" si="23"/>
        <v>#N/A</v>
      </c>
      <c r="AE65" s="21" t="str">
        <f t="shared" si="26"/>
        <v>BR_VW_AFS_dv360_DIS_PROG_CPM_STD_LDR_AAF_RON_CXD_After-Sales-Oficina-Classicos-REG01-rmkt-visita-home-oficina_PD_300x250</v>
      </c>
      <c r="AF65" s="21" t="str">
        <f t="shared" si="27"/>
        <v>BR_VW_AFS_dv360_DIS_PROG_CPM_STD_LDR_AAF_RON_CXD_After-Sales-Oficina-Classicos-REG01-rmkt-visita-home-oficina_PD_300x250</v>
      </c>
      <c r="AG65" s="21" t="str">
        <f t="shared" si="28"/>
        <v>VW_After-Sales-rmkt-visita-home-oficina_300x250_After-Sales-Oficina-Classicos-REG01-adserver</v>
      </c>
      <c r="AH65" s="21" t="str">
        <f t="shared" si="29"/>
        <v>https://www.oficinadeclassicos.com.br/index.aspx?utm_source=dv360&amp;utm_medium=Programmatic&amp;utm_content=BR_VW_AFS_dv360_DIS_PROG_CPM_STD_LDR_AAF_RON_CXD_After-Sales-Oficina-Classicos-REG01-rmkt-visita-home-oficina_PD_300x250&amp;utm_campaign=BR_AAF_DSY_NONMS_ND_AS_2019Q2APR_AFS_After-Sales&amp;utm_term=%epid!_%ecid!_%eaid!</v>
      </c>
      <c r="AI65" s="21" t="str">
        <f t="shared" si="30"/>
        <v>TAG</v>
      </c>
      <c r="AJ65" s="15" t="str">
        <f t="shared" si="32"/>
        <v>dv360</v>
      </c>
      <c r="AK65" s="15" t="str">
        <f t="shared" si="33"/>
        <v>Programmatic</v>
      </c>
      <c r="AL65" s="21" t="str">
        <f>Campanha!$B$3</f>
        <v>BR_AAF_DSY_NONMS_ND_AS_2019Q2APR_AFS_After-Sales</v>
      </c>
      <c r="AM65" s="21" t="str">
        <f t="shared" si="31"/>
        <v>BR_VW_AFS_dv360_DIS_PROG_CPM_STD_LDR_AAF_RON_CXD_After-Sales-Oficina-Classicos-REG01-rmkt-visita-home-oficina_PD_300x250</v>
      </c>
      <c r="AN65" s="15" t="s">
        <v>809</v>
      </c>
    </row>
    <row r="66" spans="2:40" hidden="1" x14ac:dyDescent="0.25">
      <c r="B66" s="15" t="s">
        <v>872</v>
      </c>
      <c r="C66" s="15"/>
      <c r="D66" s="30" t="s">
        <v>873</v>
      </c>
      <c r="E66" s="22">
        <v>44155</v>
      </c>
      <c r="F66" s="22">
        <v>44196</v>
      </c>
      <c r="G66" s="15" t="s">
        <v>674</v>
      </c>
      <c r="H66" s="15" t="s">
        <v>811</v>
      </c>
      <c r="I66" s="15" t="s">
        <v>702</v>
      </c>
      <c r="J66" s="15" t="s">
        <v>325</v>
      </c>
      <c r="K66" s="15" t="s">
        <v>334</v>
      </c>
      <c r="L66" s="15" t="s">
        <v>358</v>
      </c>
      <c r="M66" s="15" t="s">
        <v>322</v>
      </c>
      <c r="N66" s="15" t="s">
        <v>708</v>
      </c>
      <c r="O66" s="15" t="s">
        <v>694</v>
      </c>
      <c r="P66" s="15" t="s">
        <v>1040</v>
      </c>
      <c r="Q66" s="15" t="s">
        <v>878</v>
      </c>
      <c r="R66" s="15" t="s">
        <v>835</v>
      </c>
      <c r="S66" s="15" t="s">
        <v>348</v>
      </c>
      <c r="T66" s="15" t="s">
        <v>614</v>
      </c>
      <c r="U66" s="23"/>
      <c r="V66" s="23"/>
      <c r="W66" s="23"/>
      <c r="X66" s="23"/>
      <c r="Y66" s="23"/>
      <c r="Z66" s="23"/>
      <c r="AA66" s="23"/>
      <c r="AB66" s="23"/>
      <c r="AC66" s="32" t="s">
        <v>885</v>
      </c>
      <c r="AD66" s="33" t="e">
        <f t="shared" si="23"/>
        <v>#N/A</v>
      </c>
      <c r="AE66" s="21" t="str">
        <f t="shared" si="26"/>
        <v>BR_VW_AFS_dv360_DIS_PROG_CPM_STD_LDR_AAF_RON_CXD_After-Sales-Oficina-Classicos-REG01-rmkt-visita-home-oficina_PD_728x90</v>
      </c>
      <c r="AF66" s="21" t="str">
        <f t="shared" si="27"/>
        <v>BR_VW_AFS_dv360_DIS_PROG_CPM_STD_LDR_AAF_RON_CXD_After-Sales-Oficina-Classicos-REG01-rmkt-visita-home-oficina_PD_728x90</v>
      </c>
      <c r="AG66" s="21" t="str">
        <f t="shared" si="28"/>
        <v>VW_After-Sales-rmkt-visita-home-oficina_728x90_After-Sales-Oficina-Classicos-REG01-adserver</v>
      </c>
      <c r="AH66" s="21" t="str">
        <f t="shared" si="29"/>
        <v>https://www.oficinadeclassicos.com.br/index.aspx?utm_source=dv360&amp;utm_medium=Programmatic&amp;utm_content=BR_VW_AFS_dv360_DIS_PROG_CPM_STD_LDR_AAF_RON_CXD_After-Sales-Oficina-Classicos-REG01-rmkt-visita-home-oficina_PD_728x90&amp;utm_campaign=BR_AAF_DSY_NONMS_ND_AS_2019Q2APR_AFS_After-Sales&amp;utm_term=%epid!_%ecid!_%eaid!</v>
      </c>
      <c r="AI66" s="21" t="str">
        <f t="shared" si="30"/>
        <v>TAG</v>
      </c>
      <c r="AJ66" s="15" t="str">
        <f t="shared" si="32"/>
        <v>dv360</v>
      </c>
      <c r="AK66" s="15" t="str">
        <f t="shared" si="33"/>
        <v>Programmatic</v>
      </c>
      <c r="AL66" s="21" t="str">
        <f>Campanha!$B$3</f>
        <v>BR_AAF_DSY_NONMS_ND_AS_2019Q2APR_AFS_After-Sales</v>
      </c>
      <c r="AM66" s="21" t="str">
        <f t="shared" si="31"/>
        <v>BR_VW_AFS_dv360_DIS_PROG_CPM_STD_LDR_AAF_RON_CXD_After-Sales-Oficina-Classicos-REG01-rmkt-visita-home-oficina_PD_728x90</v>
      </c>
      <c r="AN66" s="15" t="s">
        <v>809</v>
      </c>
    </row>
    <row r="67" spans="2:40" hidden="1" x14ac:dyDescent="0.25">
      <c r="B67" s="15" t="s">
        <v>872</v>
      </c>
      <c r="C67" s="15"/>
      <c r="D67" s="30" t="s">
        <v>873</v>
      </c>
      <c r="E67" s="22">
        <v>44155</v>
      </c>
      <c r="F67" s="22">
        <v>44196</v>
      </c>
      <c r="G67" s="15" t="s">
        <v>674</v>
      </c>
      <c r="H67" s="15" t="s">
        <v>811</v>
      </c>
      <c r="I67" s="15" t="s">
        <v>702</v>
      </c>
      <c r="J67" s="15" t="s">
        <v>325</v>
      </c>
      <c r="K67" s="15" t="s">
        <v>334</v>
      </c>
      <c r="L67" s="15" t="s">
        <v>358</v>
      </c>
      <c r="M67" s="15" t="s">
        <v>322</v>
      </c>
      <c r="N67" s="15" t="s">
        <v>708</v>
      </c>
      <c r="O67" s="15" t="s">
        <v>694</v>
      </c>
      <c r="P67" s="15" t="s">
        <v>1040</v>
      </c>
      <c r="Q67" s="15" t="s">
        <v>878</v>
      </c>
      <c r="R67" s="15" t="s">
        <v>835</v>
      </c>
      <c r="S67" s="15" t="s">
        <v>348</v>
      </c>
      <c r="T67" s="15" t="s">
        <v>652</v>
      </c>
      <c r="U67" s="23"/>
      <c r="V67" s="23"/>
      <c r="W67" s="23"/>
      <c r="X67" s="23"/>
      <c r="Y67" s="23"/>
      <c r="Z67" s="23"/>
      <c r="AA67" s="23"/>
      <c r="AB67" s="23"/>
      <c r="AC67" s="32" t="s">
        <v>885</v>
      </c>
      <c r="AD67" s="33" t="e">
        <f t="shared" ref="AD67:AD73" si="34">VLOOKUP(AE67,id_placement,2,FALSE)</f>
        <v>#N/A</v>
      </c>
      <c r="AE67" s="21" t="str">
        <f t="shared" si="26"/>
        <v>BR_VW_AFS_dv360_DIS_PROG_CPM_STD_LDR_AAF_RON_CXD_After-Sales-Oficina-Classicos-REG01-rmkt-visita-home-oficina_PD_970x250</v>
      </c>
      <c r="AF67" s="21" t="str">
        <f t="shared" si="27"/>
        <v>BR_VW_AFS_dv360_DIS_PROG_CPM_STD_LDR_AAF_RON_CXD_After-Sales-Oficina-Classicos-REG01-rmkt-visita-home-oficina_PD_970x250</v>
      </c>
      <c r="AG67" s="21" t="str">
        <f t="shared" si="28"/>
        <v>VW_After-Sales-rmkt-visita-home-oficina_970x250_After-Sales-Oficina-Classicos-REG01-adserver</v>
      </c>
      <c r="AH67" s="21" t="str">
        <f t="shared" si="29"/>
        <v>https://www.oficinadeclassicos.com.br/index.aspx?utm_source=dv360&amp;utm_medium=Programmatic&amp;utm_content=BR_VW_AFS_dv360_DIS_PROG_CPM_STD_LDR_AAF_RON_CXD_After-Sales-Oficina-Classicos-REG01-rmkt-visita-home-oficina_PD_970x250&amp;utm_campaign=BR_AAF_DSY_NONMS_ND_AS_2019Q2APR_AFS_After-Sales&amp;utm_term=%epid!_%ecid!_%eaid!</v>
      </c>
      <c r="AI67" s="21" t="str">
        <f t="shared" si="30"/>
        <v>TAG</v>
      </c>
      <c r="AJ67" s="15" t="str">
        <f t="shared" si="32"/>
        <v>dv360</v>
      </c>
      <c r="AK67" s="15" t="str">
        <f t="shared" si="33"/>
        <v>Programmatic</v>
      </c>
      <c r="AL67" s="21" t="str">
        <f>Campanha!$B$3</f>
        <v>BR_AAF_DSY_NONMS_ND_AS_2019Q2APR_AFS_After-Sales</v>
      </c>
      <c r="AM67" s="21" t="str">
        <f t="shared" si="31"/>
        <v>BR_VW_AFS_dv360_DIS_PROG_CPM_STD_LDR_AAF_RON_CXD_After-Sales-Oficina-Classicos-REG01-rmkt-visita-home-oficina_PD_970x250</v>
      </c>
      <c r="AN67" s="15" t="s">
        <v>809</v>
      </c>
    </row>
    <row r="68" spans="2:40" hidden="1" x14ac:dyDescent="0.25">
      <c r="B68" s="15" t="s">
        <v>872</v>
      </c>
      <c r="C68" s="15"/>
      <c r="D68" s="30" t="s">
        <v>873</v>
      </c>
      <c r="E68" s="22">
        <v>44155</v>
      </c>
      <c r="F68" s="22">
        <v>44196</v>
      </c>
      <c r="G68" s="15" t="s">
        <v>674</v>
      </c>
      <c r="H68" s="15" t="s">
        <v>811</v>
      </c>
      <c r="I68" s="15" t="s">
        <v>702</v>
      </c>
      <c r="J68" s="15" t="s">
        <v>325</v>
      </c>
      <c r="K68" s="15" t="s">
        <v>334</v>
      </c>
      <c r="L68" s="15" t="s">
        <v>358</v>
      </c>
      <c r="M68" s="15" t="s">
        <v>322</v>
      </c>
      <c r="N68" s="15" t="s">
        <v>708</v>
      </c>
      <c r="O68" s="15" t="s">
        <v>694</v>
      </c>
      <c r="P68" s="15" t="s">
        <v>1040</v>
      </c>
      <c r="Q68" s="15" t="s">
        <v>881</v>
      </c>
      <c r="R68" s="15" t="s">
        <v>835</v>
      </c>
      <c r="S68" s="15" t="s">
        <v>348</v>
      </c>
      <c r="T68" s="15" t="s">
        <v>457</v>
      </c>
      <c r="U68" s="23"/>
      <c r="V68" s="23"/>
      <c r="W68" s="23"/>
      <c r="X68" s="23"/>
      <c r="Y68" s="23"/>
      <c r="Z68" s="23"/>
      <c r="AA68" s="23"/>
      <c r="AB68" s="23"/>
      <c r="AC68" s="32" t="s">
        <v>885</v>
      </c>
      <c r="AD68" s="33" t="e">
        <f t="shared" si="34"/>
        <v>#N/A</v>
      </c>
      <c r="AE68" s="21" t="str">
        <f t="shared" si="26"/>
        <v>BR_VW_AFS_dv360_DIS_PROG_CPM_STD_LDR_AAF_RON_CXD_After-Sales-Oficina-Classicos-REG01-rmkt-add-to-cart-oficina_PD_160x600</v>
      </c>
      <c r="AF68" s="21" t="str">
        <f t="shared" si="27"/>
        <v>BR_VW_AFS_dv360_DIS_PROG_CPM_STD_LDR_AAF_RON_CXD_After-Sales-Oficina-Classicos-REG01-rmkt-add-to-cart-oficina_PD_160x600</v>
      </c>
      <c r="AG68" s="21" t="str">
        <f t="shared" si="28"/>
        <v>VW_After-Sales-rmkt-add-to-cart-oficina_160x600_After-Sales-Oficina-Classicos-REG01-adserver</v>
      </c>
      <c r="AH68" s="21" t="str">
        <f t="shared" si="29"/>
        <v>https://www.oficinadeclassicos.com.br/index.aspx?utm_source=dv360&amp;utm_medium=Programmatic&amp;utm_content=BR_VW_AFS_dv360_DIS_PROG_CPM_STD_LDR_AAF_RON_CXD_After-Sales-Oficina-Classicos-REG01-rmkt-add-to-cart-oficina_PD_160x600&amp;utm_campaign=BR_AAF_DSY_NONMS_ND_AS_2019Q2APR_AFS_After-Sales&amp;utm_term=%epid!_%ecid!_%eaid!</v>
      </c>
      <c r="AI68" s="21" t="str">
        <f t="shared" si="30"/>
        <v>TAG</v>
      </c>
      <c r="AJ68" s="15" t="str">
        <f t="shared" si="32"/>
        <v>dv360</v>
      </c>
      <c r="AK68" s="15" t="str">
        <f t="shared" si="33"/>
        <v>Programmatic</v>
      </c>
      <c r="AL68" s="21" t="str">
        <f>Campanha!$B$3</f>
        <v>BR_AAF_DSY_NONMS_ND_AS_2019Q2APR_AFS_After-Sales</v>
      </c>
      <c r="AM68" s="21" t="str">
        <f t="shared" si="31"/>
        <v>BR_VW_AFS_dv360_DIS_PROG_CPM_STD_LDR_AAF_RON_CXD_After-Sales-Oficina-Classicos-REG01-rmkt-add-to-cart-oficina_PD_160x600</v>
      </c>
      <c r="AN68" s="15" t="s">
        <v>809</v>
      </c>
    </row>
    <row r="69" spans="2:40" hidden="1" x14ac:dyDescent="0.25">
      <c r="B69" s="15" t="s">
        <v>872</v>
      </c>
      <c r="C69" s="15"/>
      <c r="D69" s="30" t="s">
        <v>873</v>
      </c>
      <c r="E69" s="22">
        <v>44155</v>
      </c>
      <c r="F69" s="22">
        <v>44196</v>
      </c>
      <c r="G69" s="15" t="s">
        <v>674</v>
      </c>
      <c r="H69" s="15" t="s">
        <v>811</v>
      </c>
      <c r="I69" s="15" t="s">
        <v>702</v>
      </c>
      <c r="J69" s="15" t="s">
        <v>325</v>
      </c>
      <c r="K69" s="15" t="s">
        <v>334</v>
      </c>
      <c r="L69" s="15" t="s">
        <v>358</v>
      </c>
      <c r="M69" s="15" t="s">
        <v>322</v>
      </c>
      <c r="N69" s="15" t="s">
        <v>708</v>
      </c>
      <c r="O69" s="15" t="s">
        <v>694</v>
      </c>
      <c r="P69" s="15" t="s">
        <v>1040</v>
      </c>
      <c r="Q69" s="15" t="s">
        <v>881</v>
      </c>
      <c r="R69" s="15" t="s">
        <v>835</v>
      </c>
      <c r="S69" s="15" t="s">
        <v>348</v>
      </c>
      <c r="T69" s="15" t="s">
        <v>484</v>
      </c>
      <c r="U69" s="23"/>
      <c r="V69" s="23"/>
      <c r="W69" s="23"/>
      <c r="X69" s="23"/>
      <c r="Y69" s="23"/>
      <c r="Z69" s="23"/>
      <c r="AA69" s="23"/>
      <c r="AB69" s="23"/>
      <c r="AC69" s="32" t="s">
        <v>885</v>
      </c>
      <c r="AD69" s="33" t="e">
        <f t="shared" si="34"/>
        <v>#N/A</v>
      </c>
      <c r="AE69" s="21" t="str">
        <f t="shared" si="26"/>
        <v>BR_VW_AFS_dv360_DIS_PROG_CPM_STD_LDR_AAF_RON_CXD_After-Sales-Oficina-Classicos-REG01-rmkt-add-to-cart-oficina_PD_300x50</v>
      </c>
      <c r="AF69" s="21" t="str">
        <f t="shared" si="27"/>
        <v>BR_VW_AFS_dv360_DIS_PROG_CPM_STD_LDR_AAF_RON_CXD_After-Sales-Oficina-Classicos-REG01-rmkt-add-to-cart-oficina_PD_300x50</v>
      </c>
      <c r="AG69" s="21" t="str">
        <f t="shared" si="28"/>
        <v>VW_After-Sales-rmkt-add-to-cart-oficina_300x50_After-Sales-Oficina-Classicos-REG01-adserver</v>
      </c>
      <c r="AH69" s="21" t="str">
        <f t="shared" si="29"/>
        <v>https://www.oficinadeclassicos.com.br/index.aspx?utm_source=dv360&amp;utm_medium=Programmatic&amp;utm_content=BR_VW_AFS_dv360_DIS_PROG_CPM_STD_LDR_AAF_RON_CXD_After-Sales-Oficina-Classicos-REG01-rmkt-add-to-cart-oficina_PD_300x50&amp;utm_campaign=BR_AAF_DSY_NONMS_ND_AS_2019Q2APR_AFS_After-Sales&amp;utm_term=%epid!_%ecid!_%eaid!</v>
      </c>
      <c r="AI69" s="21" t="str">
        <f t="shared" si="30"/>
        <v>TAG</v>
      </c>
      <c r="AJ69" s="15" t="str">
        <f t="shared" si="32"/>
        <v>dv360</v>
      </c>
      <c r="AK69" s="15" t="str">
        <f t="shared" si="33"/>
        <v>Programmatic</v>
      </c>
      <c r="AL69" s="21" t="str">
        <f>Campanha!$B$3</f>
        <v>BR_AAF_DSY_NONMS_ND_AS_2019Q2APR_AFS_After-Sales</v>
      </c>
      <c r="AM69" s="21" t="str">
        <f t="shared" si="31"/>
        <v>BR_VW_AFS_dv360_DIS_PROG_CPM_STD_LDR_AAF_RON_CXD_After-Sales-Oficina-Classicos-REG01-rmkt-add-to-cart-oficina_PD_300x50</v>
      </c>
      <c r="AN69" s="15" t="s">
        <v>809</v>
      </c>
    </row>
    <row r="70" spans="2:40" hidden="1" x14ac:dyDescent="0.25">
      <c r="B70" s="15" t="s">
        <v>872</v>
      </c>
      <c r="C70" s="15"/>
      <c r="D70" s="30" t="s">
        <v>873</v>
      </c>
      <c r="E70" s="22">
        <v>44155</v>
      </c>
      <c r="F70" s="22">
        <v>44196</v>
      </c>
      <c r="G70" s="15" t="s">
        <v>674</v>
      </c>
      <c r="H70" s="15" t="s">
        <v>811</v>
      </c>
      <c r="I70" s="15" t="s">
        <v>702</v>
      </c>
      <c r="J70" s="15" t="s">
        <v>325</v>
      </c>
      <c r="K70" s="15" t="s">
        <v>334</v>
      </c>
      <c r="L70" s="15" t="s">
        <v>358</v>
      </c>
      <c r="M70" s="15" t="s">
        <v>322</v>
      </c>
      <c r="N70" s="15" t="s">
        <v>708</v>
      </c>
      <c r="O70" s="15" t="s">
        <v>694</v>
      </c>
      <c r="P70" s="15" t="s">
        <v>1040</v>
      </c>
      <c r="Q70" s="15" t="s">
        <v>881</v>
      </c>
      <c r="R70" s="15" t="s">
        <v>835</v>
      </c>
      <c r="S70" s="15" t="s">
        <v>348</v>
      </c>
      <c r="T70" s="15" t="s">
        <v>478</v>
      </c>
      <c r="U70" s="23"/>
      <c r="V70" s="23"/>
      <c r="W70" s="23"/>
      <c r="X70" s="23"/>
      <c r="Y70" s="23"/>
      <c r="Z70" s="23"/>
      <c r="AA70" s="23"/>
      <c r="AB70" s="23"/>
      <c r="AC70" s="32" t="s">
        <v>885</v>
      </c>
      <c r="AD70" s="33" t="e">
        <f t="shared" si="34"/>
        <v>#N/A</v>
      </c>
      <c r="AE70" s="21" t="str">
        <f t="shared" si="26"/>
        <v>BR_VW_AFS_dv360_DIS_PROG_CPM_STD_LDR_AAF_RON_CXD_After-Sales-Oficina-Classicos-REG01-rmkt-add-to-cart-oficina_PD_300x250</v>
      </c>
      <c r="AF70" s="21" t="str">
        <f t="shared" si="27"/>
        <v>BR_VW_AFS_dv360_DIS_PROG_CPM_STD_LDR_AAF_RON_CXD_After-Sales-Oficina-Classicos-REG01-rmkt-add-to-cart-oficina_PD_300x250</v>
      </c>
      <c r="AG70" s="21" t="str">
        <f t="shared" si="28"/>
        <v>VW_After-Sales-rmkt-add-to-cart-oficina_300x250_After-Sales-Oficina-Classicos-REG01-adserver</v>
      </c>
      <c r="AH70" s="21" t="str">
        <f t="shared" si="29"/>
        <v>https://www.oficinadeclassicos.com.br/index.aspx?utm_source=dv360&amp;utm_medium=Programmatic&amp;utm_content=BR_VW_AFS_dv360_DIS_PROG_CPM_STD_LDR_AAF_RON_CXD_After-Sales-Oficina-Classicos-REG01-rmkt-add-to-cart-oficina_PD_300x250&amp;utm_campaign=BR_AAF_DSY_NONMS_ND_AS_2019Q2APR_AFS_After-Sales&amp;utm_term=%epid!_%ecid!_%eaid!</v>
      </c>
      <c r="AI70" s="21" t="str">
        <f t="shared" si="30"/>
        <v>TAG</v>
      </c>
      <c r="AJ70" s="15" t="str">
        <f t="shared" si="32"/>
        <v>dv360</v>
      </c>
      <c r="AK70" s="15" t="str">
        <f t="shared" si="33"/>
        <v>Programmatic</v>
      </c>
      <c r="AL70" s="21" t="str">
        <f>Campanha!$B$3</f>
        <v>BR_AAF_DSY_NONMS_ND_AS_2019Q2APR_AFS_After-Sales</v>
      </c>
      <c r="AM70" s="21" t="str">
        <f t="shared" si="31"/>
        <v>BR_VW_AFS_dv360_DIS_PROG_CPM_STD_LDR_AAF_RON_CXD_After-Sales-Oficina-Classicos-REG01-rmkt-add-to-cart-oficina_PD_300x250</v>
      </c>
      <c r="AN70" s="15" t="s">
        <v>809</v>
      </c>
    </row>
    <row r="71" spans="2:40" hidden="1" x14ac:dyDescent="0.25">
      <c r="B71" s="15" t="s">
        <v>872</v>
      </c>
      <c r="C71" s="15"/>
      <c r="D71" s="30" t="s">
        <v>873</v>
      </c>
      <c r="E71" s="22">
        <v>44155</v>
      </c>
      <c r="F71" s="22">
        <v>44196</v>
      </c>
      <c r="G71" s="15" t="s">
        <v>674</v>
      </c>
      <c r="H71" s="15" t="s">
        <v>811</v>
      </c>
      <c r="I71" s="15" t="s">
        <v>702</v>
      </c>
      <c r="J71" s="15" t="s">
        <v>325</v>
      </c>
      <c r="K71" s="15" t="s">
        <v>334</v>
      </c>
      <c r="L71" s="15" t="s">
        <v>358</v>
      </c>
      <c r="M71" s="15" t="s">
        <v>322</v>
      </c>
      <c r="N71" s="15" t="s">
        <v>708</v>
      </c>
      <c r="O71" s="15" t="s">
        <v>694</v>
      </c>
      <c r="P71" s="15" t="s">
        <v>1040</v>
      </c>
      <c r="Q71" s="15" t="s">
        <v>881</v>
      </c>
      <c r="R71" s="15" t="s">
        <v>835</v>
      </c>
      <c r="S71" s="15" t="s">
        <v>348</v>
      </c>
      <c r="T71" s="15" t="s">
        <v>614</v>
      </c>
      <c r="U71" s="23"/>
      <c r="V71" s="23"/>
      <c r="W71" s="23"/>
      <c r="X71" s="23"/>
      <c r="Y71" s="23"/>
      <c r="Z71" s="23"/>
      <c r="AA71" s="23"/>
      <c r="AB71" s="23"/>
      <c r="AC71" s="32" t="s">
        <v>885</v>
      </c>
      <c r="AD71" s="33" t="e">
        <f t="shared" si="34"/>
        <v>#N/A</v>
      </c>
      <c r="AE71" s="21" t="str">
        <f t="shared" si="26"/>
        <v>BR_VW_AFS_dv360_DIS_PROG_CPM_STD_LDR_AAF_RON_CXD_After-Sales-Oficina-Classicos-REG01-rmkt-add-to-cart-oficina_PD_728x90</v>
      </c>
      <c r="AF71" s="21" t="str">
        <f t="shared" si="27"/>
        <v>BR_VW_AFS_dv360_DIS_PROG_CPM_STD_LDR_AAF_RON_CXD_After-Sales-Oficina-Classicos-REG01-rmkt-add-to-cart-oficina_PD_728x90</v>
      </c>
      <c r="AG71" s="21" t="str">
        <f t="shared" si="28"/>
        <v>VW_After-Sales-rmkt-add-to-cart-oficina_728x90_After-Sales-Oficina-Classicos-REG01-adserver</v>
      </c>
      <c r="AH71" s="21" t="str">
        <f t="shared" si="29"/>
        <v>https://www.oficinadeclassicos.com.br/index.aspx?utm_source=dv360&amp;utm_medium=Programmatic&amp;utm_content=BR_VW_AFS_dv360_DIS_PROG_CPM_STD_LDR_AAF_RON_CXD_After-Sales-Oficina-Classicos-REG01-rmkt-add-to-cart-oficina_PD_728x90&amp;utm_campaign=BR_AAF_DSY_NONMS_ND_AS_2019Q2APR_AFS_After-Sales&amp;utm_term=%epid!_%ecid!_%eaid!</v>
      </c>
      <c r="AI71" s="21" t="str">
        <f t="shared" si="30"/>
        <v>TAG</v>
      </c>
      <c r="AJ71" s="15" t="str">
        <f t="shared" si="32"/>
        <v>dv360</v>
      </c>
      <c r="AK71" s="15" t="str">
        <f t="shared" si="33"/>
        <v>Programmatic</v>
      </c>
      <c r="AL71" s="21" t="str">
        <f>Campanha!$B$3</f>
        <v>BR_AAF_DSY_NONMS_ND_AS_2019Q2APR_AFS_After-Sales</v>
      </c>
      <c r="AM71" s="21" t="str">
        <f t="shared" si="31"/>
        <v>BR_VW_AFS_dv360_DIS_PROG_CPM_STD_LDR_AAF_RON_CXD_After-Sales-Oficina-Classicos-REG01-rmkt-add-to-cart-oficina_PD_728x90</v>
      </c>
      <c r="AN71" s="15" t="s">
        <v>809</v>
      </c>
    </row>
    <row r="72" spans="2:40" hidden="1" x14ac:dyDescent="0.25">
      <c r="B72" s="15" t="s">
        <v>872</v>
      </c>
      <c r="C72" s="15"/>
      <c r="D72" s="30" t="s">
        <v>873</v>
      </c>
      <c r="E72" s="22">
        <v>44155</v>
      </c>
      <c r="F72" s="22">
        <v>44196</v>
      </c>
      <c r="G72" s="15" t="s">
        <v>674</v>
      </c>
      <c r="H72" s="15" t="s">
        <v>811</v>
      </c>
      <c r="I72" s="15" t="s">
        <v>702</v>
      </c>
      <c r="J72" s="15" t="s">
        <v>325</v>
      </c>
      <c r="K72" s="15" t="s">
        <v>334</v>
      </c>
      <c r="L72" s="15" t="s">
        <v>358</v>
      </c>
      <c r="M72" s="15" t="s">
        <v>322</v>
      </c>
      <c r="N72" s="15" t="s">
        <v>708</v>
      </c>
      <c r="O72" s="15" t="s">
        <v>694</v>
      </c>
      <c r="P72" s="15" t="s">
        <v>1040</v>
      </c>
      <c r="Q72" s="15" t="s">
        <v>881</v>
      </c>
      <c r="R72" s="15" t="s">
        <v>835</v>
      </c>
      <c r="S72" s="15" t="s">
        <v>348</v>
      </c>
      <c r="T72" s="15" t="s">
        <v>652</v>
      </c>
      <c r="U72" s="23"/>
      <c r="V72" s="23"/>
      <c r="W72" s="23"/>
      <c r="X72" s="23"/>
      <c r="Y72" s="23"/>
      <c r="Z72" s="23"/>
      <c r="AA72" s="23"/>
      <c r="AB72" s="23"/>
      <c r="AC72" s="32" t="s">
        <v>885</v>
      </c>
      <c r="AD72" s="33" t="e">
        <f t="shared" si="34"/>
        <v>#N/A</v>
      </c>
      <c r="AE72" s="21" t="str">
        <f t="shared" si="26"/>
        <v>BR_VW_AFS_dv360_DIS_PROG_CPM_STD_LDR_AAF_RON_CXD_After-Sales-Oficina-Classicos-REG01-rmkt-add-to-cart-oficina_PD_970x250</v>
      </c>
      <c r="AF72" s="21" t="str">
        <f t="shared" si="27"/>
        <v>BR_VW_AFS_dv360_DIS_PROG_CPM_STD_LDR_AAF_RON_CXD_After-Sales-Oficina-Classicos-REG01-rmkt-add-to-cart-oficina_PD_970x250</v>
      </c>
      <c r="AG72" s="21" t="str">
        <f t="shared" si="28"/>
        <v>VW_After-Sales-rmkt-add-to-cart-oficina_970x250_After-Sales-Oficina-Classicos-REG01-adserver</v>
      </c>
      <c r="AH72" s="21" t="str">
        <f t="shared" si="29"/>
        <v>https://www.oficinadeclassicos.com.br/index.aspx?utm_source=dv360&amp;utm_medium=Programmatic&amp;utm_content=BR_VW_AFS_dv360_DIS_PROG_CPM_STD_LDR_AAF_RON_CXD_After-Sales-Oficina-Classicos-REG01-rmkt-add-to-cart-oficina_PD_970x250&amp;utm_campaign=BR_AAF_DSY_NONMS_ND_AS_2019Q2APR_AFS_After-Sales&amp;utm_term=%epid!_%ecid!_%eaid!</v>
      </c>
      <c r="AI72" s="21" t="str">
        <f t="shared" si="30"/>
        <v>TAG</v>
      </c>
      <c r="AJ72" s="15" t="str">
        <f t="shared" si="32"/>
        <v>dv360</v>
      </c>
      <c r="AK72" s="15" t="str">
        <f t="shared" si="33"/>
        <v>Programmatic</v>
      </c>
      <c r="AL72" s="21" t="str">
        <f>Campanha!$B$3</f>
        <v>BR_AAF_DSY_NONMS_ND_AS_2019Q2APR_AFS_After-Sales</v>
      </c>
      <c r="AM72" s="21" t="str">
        <f t="shared" si="31"/>
        <v>BR_VW_AFS_dv360_DIS_PROG_CPM_STD_LDR_AAF_RON_CXD_After-Sales-Oficina-Classicos-REG01-rmkt-add-to-cart-oficina_PD_970x250</v>
      </c>
      <c r="AN72" s="15" t="s">
        <v>809</v>
      </c>
    </row>
    <row r="73" spans="2:40" hidden="1" x14ac:dyDescent="0.25">
      <c r="B73" s="15" t="s">
        <v>933</v>
      </c>
      <c r="C73" s="15" t="s">
        <v>934</v>
      </c>
      <c r="D73" s="30" t="s">
        <v>873</v>
      </c>
      <c r="E73" s="22">
        <v>44155</v>
      </c>
      <c r="F73" s="22">
        <v>44196</v>
      </c>
      <c r="G73" s="15" t="s">
        <v>672</v>
      </c>
      <c r="H73" s="15" t="s">
        <v>855</v>
      </c>
      <c r="I73" s="15" t="s">
        <v>702</v>
      </c>
      <c r="J73" s="15" t="s">
        <v>313</v>
      </c>
      <c r="K73" s="15" t="s">
        <v>323</v>
      </c>
      <c r="L73" s="15" t="s">
        <v>358</v>
      </c>
      <c r="M73" s="15" t="s">
        <v>322</v>
      </c>
      <c r="N73" s="15" t="s">
        <v>708</v>
      </c>
      <c r="O73" s="15" t="s">
        <v>694</v>
      </c>
      <c r="P73" s="15" t="s">
        <v>886</v>
      </c>
      <c r="Q73" s="15" t="s">
        <v>878</v>
      </c>
      <c r="R73" s="15" t="s">
        <v>835</v>
      </c>
      <c r="S73" s="15" t="s">
        <v>348</v>
      </c>
      <c r="T73" s="15" t="s">
        <v>854</v>
      </c>
      <c r="AC73" s="32" t="s">
        <v>885</v>
      </c>
      <c r="AD73" s="33" t="e">
        <f t="shared" si="34"/>
        <v>#N/A</v>
      </c>
      <c r="AE73" s="21" t="str">
        <f t="shared" si="26"/>
        <v>BR_VW_AFS_verizon_DIS_DRCT_CPC_STD_LDR_AAF_RON_CXD_After-Sales-Oficina-Classicos-rmkt-visita-home-oficina_PD_native</v>
      </c>
      <c r="AF73" s="21" t="str">
        <f t="shared" si="27"/>
        <v>BR_VW_AFS_verizon_DIS_DRCT_CPC_STD_LDR_AAF_RON_CXD_After-Sales-Oficina-Classicos-rmkt-visita-home-oficina_PD_native</v>
      </c>
      <c r="AG73" s="21" t="str">
        <f t="shared" si="28"/>
        <v>VW_After-Sales-rmkt-visita-home-oficina_native_After-Sales-Oficina-Classicos-verizon</v>
      </c>
      <c r="AH73" s="21" t="str">
        <f t="shared" si="29"/>
        <v>https://www.oficinadeclassicos.com.br/index.aspx?utm_source=verizon&amp;utm_medium=Direct&amp;utm_content=BR_VW_AFS_verizon_DIS_DRCT_CPC_STD_LDR_AAF_RON_CXD_After-Sales-Oficina-Classicos-rmkt-visita-home-oficina_PD_native&amp;utm_campaign=BR_AAF_DSY_NONMS_ND_AS_2019Q2APR_AFS_After-Sales&amp;utm_term=%epid!_%ecid!_%eaid!</v>
      </c>
      <c r="AI73" s="21" t="str">
        <f t="shared" si="30"/>
        <v>https://ad.doubleclick.net/ddm/trackclk/N9487.3646218VERIZONBR/B22646029.288239832;dc_trk_aid=481853490;dc_trk_cid=121930624;dc_lat=;dc_rdid=;tag_for_child_directed_treatment=;tfua=</v>
      </c>
      <c r="AJ73" s="15" t="str">
        <f t="shared" ref="AJ73:AJ79" si="35">H73</f>
        <v>verizon</v>
      </c>
      <c r="AK73" s="15" t="str">
        <f t="shared" ref="AK73:AK79" si="36">J73</f>
        <v>Direct</v>
      </c>
      <c r="AL73" s="21" t="str">
        <f>Campanha!$B$3</f>
        <v>BR_AAF_DSY_NONMS_ND_AS_2019Q2APR_AFS_After-Sales</v>
      </c>
      <c r="AM73" s="21" t="str">
        <f t="shared" si="31"/>
        <v>BR_VW_AFS_verizon_DIS_DRCT_CPC_STD_LDR_AAF_RON_CXD_After-Sales-Oficina-Classicos-rmkt-visita-home-oficina_PD_native</v>
      </c>
      <c r="AN73" s="15" t="s">
        <v>809</v>
      </c>
    </row>
    <row r="74" spans="2:40" hidden="1" x14ac:dyDescent="0.25">
      <c r="B74" s="15" t="s">
        <v>933</v>
      </c>
      <c r="C74" s="15" t="s">
        <v>934</v>
      </c>
      <c r="D74" s="30" t="s">
        <v>873</v>
      </c>
      <c r="E74" s="22">
        <v>44155</v>
      </c>
      <c r="F74" s="22">
        <v>44196</v>
      </c>
      <c r="G74" s="15" t="s">
        <v>672</v>
      </c>
      <c r="H74" s="15" t="s">
        <v>855</v>
      </c>
      <c r="I74" s="15" t="s">
        <v>702</v>
      </c>
      <c r="J74" s="15" t="s">
        <v>313</v>
      </c>
      <c r="K74" s="15" t="s">
        <v>323</v>
      </c>
      <c r="L74" s="15" t="s">
        <v>358</v>
      </c>
      <c r="M74" s="15" t="s">
        <v>322</v>
      </c>
      <c r="N74" s="15" t="s">
        <v>708</v>
      </c>
      <c r="O74" s="15" t="s">
        <v>694</v>
      </c>
      <c r="P74" s="15" t="s">
        <v>886</v>
      </c>
      <c r="Q74" s="15" t="s">
        <v>879</v>
      </c>
      <c r="R74" s="15" t="s">
        <v>835</v>
      </c>
      <c r="S74" s="15" t="s">
        <v>348</v>
      </c>
      <c r="T74" s="15" t="s">
        <v>854</v>
      </c>
      <c r="AC74" s="32" t="s">
        <v>885</v>
      </c>
      <c r="AD74" s="33" t="e">
        <f t="shared" ref="AD74:AD85" si="37">VLOOKUP(AE74,id_placement,2,FALSE)</f>
        <v>#N/A</v>
      </c>
      <c r="AE74" s="21" t="str">
        <f t="shared" si="26"/>
        <v>BR_VW_AFS_verizon_DIS_DRCT_CPC_STD_LDR_AAF_RON_CXD_After-Sales-Oficina-Classicos-lal-visita-home-oficina_PD_native</v>
      </c>
      <c r="AF74" s="21" t="str">
        <f t="shared" si="27"/>
        <v>BR_VW_AFS_verizon_DIS_DRCT_CPC_STD_LDR_AAF_RON_CXD_After-Sales-Oficina-Classicos-lal-visita-home-oficina_PD_native</v>
      </c>
      <c r="AG74" s="21" t="str">
        <f t="shared" si="28"/>
        <v>VW_After-Sales-lal-visita-home-oficina_native_After-Sales-Oficina-Classicos-verizon</v>
      </c>
      <c r="AH74" s="21" t="str">
        <f t="shared" si="29"/>
        <v>https://www.oficinadeclassicos.com.br/index.aspx?utm_source=verizon&amp;utm_medium=Direct&amp;utm_content=BR_VW_AFS_verizon_DIS_DRCT_CPC_STD_LDR_AAF_RON_CXD_After-Sales-Oficina-Classicos-lal-visita-home-oficina_PD_native&amp;utm_campaign=BR_AAF_DSY_NONMS_ND_AS_2019Q2APR_AFS_After-Sales&amp;utm_term=%epid!_%ecid!_%eaid!</v>
      </c>
      <c r="AI74" s="21" t="str">
        <f t="shared" si="30"/>
        <v>https://ad.doubleclick.net/ddm/trackclk/N9487.3646218VERIZONBR/B22646029.288239826;dc_trk_aid=481853484;dc_trk_cid=121930624;dc_lat=;dc_rdid=;tag_for_child_directed_treatment=;tfua=</v>
      </c>
      <c r="AJ74" s="15" t="str">
        <f t="shared" si="35"/>
        <v>verizon</v>
      </c>
      <c r="AK74" s="15" t="str">
        <f t="shared" si="36"/>
        <v>Direct</v>
      </c>
      <c r="AL74" s="21" t="str">
        <f>Campanha!$B$3</f>
        <v>BR_AAF_DSY_NONMS_ND_AS_2019Q2APR_AFS_After-Sales</v>
      </c>
      <c r="AM74" s="21" t="str">
        <f t="shared" si="31"/>
        <v>BR_VW_AFS_verizon_DIS_DRCT_CPC_STD_LDR_AAF_RON_CXD_After-Sales-Oficina-Classicos-lal-visita-home-oficina_PD_native</v>
      </c>
      <c r="AN74" s="15" t="s">
        <v>809</v>
      </c>
    </row>
    <row r="75" spans="2:40" hidden="1" x14ac:dyDescent="0.25">
      <c r="B75" s="15" t="s">
        <v>933</v>
      </c>
      <c r="C75" s="15" t="s">
        <v>934</v>
      </c>
      <c r="D75" s="30" t="s">
        <v>873</v>
      </c>
      <c r="E75" s="22">
        <v>44155</v>
      </c>
      <c r="F75" s="22">
        <v>44196</v>
      </c>
      <c r="G75" s="15" t="s">
        <v>672</v>
      </c>
      <c r="H75" s="15" t="s">
        <v>855</v>
      </c>
      <c r="I75" s="15" t="s">
        <v>702</v>
      </c>
      <c r="J75" s="15" t="s">
        <v>313</v>
      </c>
      <c r="K75" s="15" t="s">
        <v>323</v>
      </c>
      <c r="L75" s="15" t="s">
        <v>358</v>
      </c>
      <c r="M75" s="15" t="s">
        <v>322</v>
      </c>
      <c r="N75" s="15" t="s">
        <v>708</v>
      </c>
      <c r="O75" s="15" t="s">
        <v>694</v>
      </c>
      <c r="P75" s="15" t="s">
        <v>886</v>
      </c>
      <c r="Q75" s="15" t="s">
        <v>880</v>
      </c>
      <c r="R75" s="15" t="s">
        <v>835</v>
      </c>
      <c r="S75" s="15" t="s">
        <v>348</v>
      </c>
      <c r="T75" s="15" t="s">
        <v>854</v>
      </c>
      <c r="AC75" s="32" t="s">
        <v>885</v>
      </c>
      <c r="AD75" s="33" t="e">
        <f t="shared" si="37"/>
        <v>#N/A</v>
      </c>
      <c r="AE75" s="21" t="str">
        <f t="shared" si="26"/>
        <v>BR_VW_AFS_verizon_DIS_DRCT_CPC_STD_LDR_AAF_RON_CXD_After-Sales-Oficina-Classicos-lal-add-to-cart-oficina_PD_native</v>
      </c>
      <c r="AF75" s="21" t="str">
        <f t="shared" si="27"/>
        <v>BR_VW_AFS_verizon_DIS_DRCT_CPC_STD_LDR_AAF_RON_CXD_After-Sales-Oficina-Classicos-lal-add-to-cart-oficina_PD_native</v>
      </c>
      <c r="AG75" s="21" t="str">
        <f t="shared" si="28"/>
        <v>VW_After-Sales-lal-add-to-cart-oficina_native_After-Sales-Oficina-Classicos-verizon</v>
      </c>
      <c r="AH75" s="21" t="str">
        <f t="shared" si="29"/>
        <v>https://www.oficinadeclassicos.com.br/index.aspx?utm_source=verizon&amp;utm_medium=Direct&amp;utm_content=BR_VW_AFS_verizon_DIS_DRCT_CPC_STD_LDR_AAF_RON_CXD_After-Sales-Oficina-Classicos-lal-add-to-cart-oficina_PD_native&amp;utm_campaign=BR_AAF_DSY_NONMS_ND_AS_2019Q2APR_AFS_After-Sales&amp;utm_term=%epid!_%ecid!_%eaid!</v>
      </c>
      <c r="AI75" s="21" t="str">
        <f t="shared" si="30"/>
        <v>https://ad.doubleclick.net/ddm/trackclk/N9487.3646218VERIZONBR/B22646029.288239820;dc_trk_aid=481853478;dc_trk_cid=121930624;dc_lat=;dc_rdid=;tag_for_child_directed_treatment=;tfua=</v>
      </c>
      <c r="AJ75" s="15" t="str">
        <f t="shared" si="35"/>
        <v>verizon</v>
      </c>
      <c r="AK75" s="15" t="str">
        <f t="shared" si="36"/>
        <v>Direct</v>
      </c>
      <c r="AL75" s="21" t="str">
        <f>Campanha!$B$3</f>
        <v>BR_AAF_DSY_NONMS_ND_AS_2019Q2APR_AFS_After-Sales</v>
      </c>
      <c r="AM75" s="21" t="str">
        <f t="shared" si="31"/>
        <v>BR_VW_AFS_verizon_DIS_DRCT_CPC_STD_LDR_AAF_RON_CXD_After-Sales-Oficina-Classicos-lal-add-to-cart-oficina_PD_native</v>
      </c>
      <c r="AN75" s="15" t="s">
        <v>809</v>
      </c>
    </row>
    <row r="76" spans="2:40" hidden="1" x14ac:dyDescent="0.25">
      <c r="B76" s="15" t="s">
        <v>933</v>
      </c>
      <c r="C76" s="15" t="s">
        <v>934</v>
      </c>
      <c r="D76" s="30" t="s">
        <v>873</v>
      </c>
      <c r="E76" s="22">
        <v>44155</v>
      </c>
      <c r="F76" s="22">
        <v>44196</v>
      </c>
      <c r="G76" s="15" t="s">
        <v>672</v>
      </c>
      <c r="H76" s="15" t="s">
        <v>855</v>
      </c>
      <c r="I76" s="15" t="s">
        <v>702</v>
      </c>
      <c r="J76" s="15" t="s">
        <v>313</v>
      </c>
      <c r="K76" s="15" t="s">
        <v>323</v>
      </c>
      <c r="L76" s="15" t="s">
        <v>358</v>
      </c>
      <c r="M76" s="15" t="s">
        <v>322</v>
      </c>
      <c r="N76" s="15" t="s">
        <v>708</v>
      </c>
      <c r="O76" s="15" t="s">
        <v>694</v>
      </c>
      <c r="P76" s="15" t="s">
        <v>886</v>
      </c>
      <c r="Q76" s="15" t="s">
        <v>881</v>
      </c>
      <c r="R76" s="15" t="s">
        <v>835</v>
      </c>
      <c r="S76" s="15" t="s">
        <v>348</v>
      </c>
      <c r="T76" s="15" t="s">
        <v>854</v>
      </c>
      <c r="AC76" s="32" t="s">
        <v>885</v>
      </c>
      <c r="AD76" s="33" t="e">
        <f t="shared" si="37"/>
        <v>#N/A</v>
      </c>
      <c r="AE76" s="21" t="str">
        <f t="shared" si="26"/>
        <v>BR_VW_AFS_verizon_DIS_DRCT_CPC_STD_LDR_AAF_RON_CXD_After-Sales-Oficina-Classicos-rmkt-add-to-cart-oficina_PD_native</v>
      </c>
      <c r="AF76" s="21" t="str">
        <f t="shared" si="27"/>
        <v>BR_VW_AFS_verizon_DIS_DRCT_CPC_STD_LDR_AAF_RON_CXD_After-Sales-Oficina-Classicos-rmkt-add-to-cart-oficina_PD_native</v>
      </c>
      <c r="AG76" s="21" t="str">
        <f t="shared" si="28"/>
        <v>VW_After-Sales-rmkt-add-to-cart-oficina_native_After-Sales-Oficina-Classicos-verizon</v>
      </c>
      <c r="AH76" s="21" t="str">
        <f t="shared" si="29"/>
        <v>https://www.oficinadeclassicos.com.br/index.aspx?utm_source=verizon&amp;utm_medium=Direct&amp;utm_content=BR_VW_AFS_verizon_DIS_DRCT_CPC_STD_LDR_AAF_RON_CXD_After-Sales-Oficina-Classicos-rmkt-add-to-cart-oficina_PD_native&amp;utm_campaign=BR_AAF_DSY_NONMS_ND_AS_2019Q2APR_AFS_After-Sales&amp;utm_term=%epid!_%ecid!_%eaid!</v>
      </c>
      <c r="AI76" s="21" t="str">
        <f t="shared" si="30"/>
        <v>https://ad.doubleclick.net/ddm/trackclk/N9487.3646218VERIZONBR/B22646029.288239814;dc_trk_aid=481706344;dc_trk_cid=121930624;dc_lat=;dc_rdid=;tag_for_child_directed_treatment=;tfua=</v>
      </c>
      <c r="AJ76" s="15" t="str">
        <f t="shared" si="35"/>
        <v>verizon</v>
      </c>
      <c r="AK76" s="15" t="str">
        <f t="shared" si="36"/>
        <v>Direct</v>
      </c>
      <c r="AL76" s="21" t="str">
        <f>Campanha!$B$3</f>
        <v>BR_AAF_DSY_NONMS_ND_AS_2019Q2APR_AFS_After-Sales</v>
      </c>
      <c r="AM76" s="21" t="str">
        <f t="shared" si="31"/>
        <v>BR_VW_AFS_verizon_DIS_DRCT_CPC_STD_LDR_AAF_RON_CXD_After-Sales-Oficina-Classicos-rmkt-add-to-cart-oficina_PD_native</v>
      </c>
      <c r="AN76" s="15" t="s">
        <v>809</v>
      </c>
    </row>
    <row r="77" spans="2:40" hidden="1" x14ac:dyDescent="0.25">
      <c r="B77" s="15" t="s">
        <v>933</v>
      </c>
      <c r="C77" s="15" t="s">
        <v>934</v>
      </c>
      <c r="D77" s="30" t="s">
        <v>873</v>
      </c>
      <c r="E77" s="22">
        <v>44155</v>
      </c>
      <c r="F77" s="22">
        <v>44196</v>
      </c>
      <c r="G77" s="15" t="s">
        <v>672</v>
      </c>
      <c r="H77" s="15" t="s">
        <v>855</v>
      </c>
      <c r="I77" s="15" t="s">
        <v>702</v>
      </c>
      <c r="J77" s="15" t="s">
        <v>313</v>
      </c>
      <c r="K77" s="15" t="s">
        <v>323</v>
      </c>
      <c r="L77" s="15" t="s">
        <v>358</v>
      </c>
      <c r="M77" s="15" t="s">
        <v>322</v>
      </c>
      <c r="N77" s="15" t="s">
        <v>708</v>
      </c>
      <c r="O77" s="15" t="s">
        <v>694</v>
      </c>
      <c r="P77" s="15" t="s">
        <v>886</v>
      </c>
      <c r="Q77" s="15" t="s">
        <v>874</v>
      </c>
      <c r="R77" s="15" t="s">
        <v>835</v>
      </c>
      <c r="S77" s="15" t="s">
        <v>348</v>
      </c>
      <c r="T77" s="15" t="s">
        <v>854</v>
      </c>
      <c r="AC77" s="32" t="s">
        <v>885</v>
      </c>
      <c r="AD77" s="33" t="e">
        <f t="shared" si="37"/>
        <v>#N/A</v>
      </c>
      <c r="AE77" s="21" t="str">
        <f t="shared" si="26"/>
        <v>BR_VW_AFS_verizon_DIS_DRCT_CPC_STD_LDR_AAF_RON_CXD_After-Sales-Oficina-Classicos-rmkt-visita-home-ofertas_PD_native</v>
      </c>
      <c r="AF77" s="21" t="str">
        <f t="shared" si="27"/>
        <v>BR_VW_AFS_verizon_DIS_DRCT_CPC_STD_LDR_AAF_RON_CXD_After-Sales-Oficina-Classicos-rmkt-visita-home-ofertas_PD_native</v>
      </c>
      <c r="AG77" s="21" t="str">
        <f t="shared" si="28"/>
        <v>VW_After-Sales-rmkt-visita-home-ofertas_native_After-Sales-Oficina-Classicos-verizon</v>
      </c>
      <c r="AH77" s="21" t="str">
        <f t="shared" si="29"/>
        <v>https://www.oficinadeclassicos.com.br/index.aspx?utm_source=verizon&amp;utm_medium=Direct&amp;utm_content=BR_VW_AFS_verizon_DIS_DRCT_CPC_STD_LDR_AAF_RON_CXD_After-Sales-Oficina-Classicos-rmkt-visita-home-ofertas_PD_native&amp;utm_campaign=BR_AAF_DSY_NONMS_ND_AS_2019Q2APR_AFS_After-Sales&amp;utm_term=%epid!_%ecid!_%eaid!</v>
      </c>
      <c r="AI77" s="21" t="str">
        <f t="shared" si="30"/>
        <v>https://ad.doubleclick.net/ddm/trackclk/N9487.3646218VERIZONBR/B22646029.288239808;dc_trk_aid=481706338;dc_trk_cid=121930624;dc_lat=;dc_rdid=;tag_for_child_directed_treatment=;tfua=</v>
      </c>
      <c r="AJ77" s="15" t="str">
        <f t="shared" si="35"/>
        <v>verizon</v>
      </c>
      <c r="AK77" s="15" t="str">
        <f t="shared" si="36"/>
        <v>Direct</v>
      </c>
      <c r="AL77" s="21" t="str">
        <f>Campanha!$B$3</f>
        <v>BR_AAF_DSY_NONMS_ND_AS_2019Q2APR_AFS_After-Sales</v>
      </c>
      <c r="AM77" s="21" t="str">
        <f t="shared" si="31"/>
        <v>BR_VW_AFS_verizon_DIS_DRCT_CPC_STD_LDR_AAF_RON_CXD_After-Sales-Oficina-Classicos-rmkt-visita-home-ofertas_PD_native</v>
      </c>
      <c r="AN77" s="15" t="s">
        <v>809</v>
      </c>
    </row>
    <row r="78" spans="2:40" hidden="1" x14ac:dyDescent="0.25">
      <c r="B78" s="15" t="s">
        <v>933</v>
      </c>
      <c r="C78" s="15" t="s">
        <v>934</v>
      </c>
      <c r="D78" s="30" t="s">
        <v>873</v>
      </c>
      <c r="E78" s="22">
        <v>44155</v>
      </c>
      <c r="F78" s="22">
        <v>44196</v>
      </c>
      <c r="G78" s="15" t="s">
        <v>672</v>
      </c>
      <c r="H78" s="15" t="s">
        <v>855</v>
      </c>
      <c r="I78" s="15" t="s">
        <v>702</v>
      </c>
      <c r="J78" s="15" t="s">
        <v>313</v>
      </c>
      <c r="K78" s="15" t="s">
        <v>323</v>
      </c>
      <c r="L78" s="15" t="s">
        <v>358</v>
      </c>
      <c r="M78" s="15" t="s">
        <v>322</v>
      </c>
      <c r="N78" s="15" t="s">
        <v>708</v>
      </c>
      <c r="O78" s="15" t="s">
        <v>694</v>
      </c>
      <c r="P78" s="15" t="s">
        <v>886</v>
      </c>
      <c r="Q78" s="15" t="s">
        <v>875</v>
      </c>
      <c r="R78" s="15" t="s">
        <v>835</v>
      </c>
      <c r="S78" s="15" t="s">
        <v>348</v>
      </c>
      <c r="T78" s="15" t="s">
        <v>854</v>
      </c>
      <c r="AC78" s="32" t="s">
        <v>885</v>
      </c>
      <c r="AD78" s="33" t="e">
        <f t="shared" si="37"/>
        <v>#N/A</v>
      </c>
      <c r="AE78" s="21" t="str">
        <f t="shared" si="26"/>
        <v>BR_VW_AFS_verizon_DIS_DRCT_CPC_STD_LDR_AAF_RON_CXD_After-Sales-Oficina-Classicos-lal-visita-home-ofertas_PD_native</v>
      </c>
      <c r="AF78" s="21" t="str">
        <f t="shared" si="27"/>
        <v>BR_VW_AFS_verizon_DIS_DRCT_CPC_STD_LDR_AAF_RON_CXD_After-Sales-Oficina-Classicos-lal-visita-home-ofertas_PD_native</v>
      </c>
      <c r="AG78" s="21" t="str">
        <f t="shared" si="28"/>
        <v>VW_After-Sales-lal-visita-home-ofertas_native_After-Sales-Oficina-Classicos-verizon</v>
      </c>
      <c r="AH78" s="21" t="str">
        <f t="shared" si="29"/>
        <v>https://www.oficinadeclassicos.com.br/index.aspx?utm_source=verizon&amp;utm_medium=Direct&amp;utm_content=BR_VW_AFS_verizon_DIS_DRCT_CPC_STD_LDR_AAF_RON_CXD_After-Sales-Oficina-Classicos-lal-visita-home-ofertas_PD_native&amp;utm_campaign=BR_AAF_DSY_NONMS_ND_AS_2019Q2APR_AFS_After-Sales&amp;utm_term=%epid!_%ecid!_%eaid!</v>
      </c>
      <c r="AI78" s="21" t="str">
        <f t="shared" si="30"/>
        <v>https://ad.doubleclick.net/ddm/trackclk/N9487.3646218VERIZONBR/B22646029.288239802;dc_trk_aid=481706332;dc_trk_cid=121930624;dc_lat=;dc_rdid=;tag_for_child_directed_treatment=;tfua=</v>
      </c>
      <c r="AJ78" s="15" t="str">
        <f t="shared" si="35"/>
        <v>verizon</v>
      </c>
      <c r="AK78" s="15" t="str">
        <f t="shared" si="36"/>
        <v>Direct</v>
      </c>
      <c r="AL78" s="21" t="str">
        <f>Campanha!$B$3</f>
        <v>BR_AAF_DSY_NONMS_ND_AS_2019Q2APR_AFS_After-Sales</v>
      </c>
      <c r="AM78" s="21" t="str">
        <f t="shared" si="31"/>
        <v>BR_VW_AFS_verizon_DIS_DRCT_CPC_STD_LDR_AAF_RON_CXD_After-Sales-Oficina-Classicos-lal-visita-home-ofertas_PD_native</v>
      </c>
      <c r="AN78" s="15" t="s">
        <v>809</v>
      </c>
    </row>
    <row r="79" spans="2:40" hidden="1" x14ac:dyDescent="0.25">
      <c r="B79" s="15" t="s">
        <v>933</v>
      </c>
      <c r="C79" s="15" t="s">
        <v>934</v>
      </c>
      <c r="D79" s="30" t="s">
        <v>873</v>
      </c>
      <c r="E79" s="22">
        <v>44155</v>
      </c>
      <c r="F79" s="22">
        <v>44196</v>
      </c>
      <c r="G79" s="15" t="s">
        <v>672</v>
      </c>
      <c r="H79" s="15" t="s">
        <v>855</v>
      </c>
      <c r="I79" s="15" t="s">
        <v>702</v>
      </c>
      <c r="J79" s="15" t="s">
        <v>313</v>
      </c>
      <c r="K79" s="15" t="s">
        <v>323</v>
      </c>
      <c r="L79" s="15" t="s">
        <v>358</v>
      </c>
      <c r="M79" s="15" t="s">
        <v>322</v>
      </c>
      <c r="N79" s="15" t="s">
        <v>708</v>
      </c>
      <c r="O79" s="15" t="s">
        <v>694</v>
      </c>
      <c r="P79" s="15" t="s">
        <v>886</v>
      </c>
      <c r="Q79" s="15" t="s">
        <v>876</v>
      </c>
      <c r="R79" s="15" t="s">
        <v>835</v>
      </c>
      <c r="S79" s="15" t="s">
        <v>348</v>
      </c>
      <c r="T79" s="15" t="s">
        <v>854</v>
      </c>
      <c r="AC79" s="32" t="s">
        <v>885</v>
      </c>
      <c r="AD79" s="33" t="e">
        <f t="shared" si="37"/>
        <v>#N/A</v>
      </c>
      <c r="AE79" s="21" t="str">
        <f t="shared" si="26"/>
        <v>BR_VW_AFS_verizon_DIS_DRCT_CPC_STD_LDR_AAF_RON_CXD_After-Sales-Oficina-Classicos-lal-add-to-cart-ofertas_PD_native</v>
      </c>
      <c r="AF79" s="21" t="str">
        <f t="shared" si="27"/>
        <v>BR_VW_AFS_verizon_DIS_DRCT_CPC_STD_LDR_AAF_RON_CXD_After-Sales-Oficina-Classicos-lal-add-to-cart-ofertas_PD_native</v>
      </c>
      <c r="AG79" s="21" t="str">
        <f t="shared" si="28"/>
        <v>VW_After-Sales-lal-add-to-cart-ofertas_native_After-Sales-Oficina-Classicos-verizon</v>
      </c>
      <c r="AH79" s="21" t="str">
        <f t="shared" si="29"/>
        <v>https://www.oficinadeclassicos.com.br/index.aspx?utm_source=verizon&amp;utm_medium=Direct&amp;utm_content=BR_VW_AFS_verizon_DIS_DRCT_CPC_STD_LDR_AAF_RON_CXD_After-Sales-Oficina-Classicos-lal-add-to-cart-ofertas_PD_native&amp;utm_campaign=BR_AAF_DSY_NONMS_ND_AS_2019Q2APR_AFS_After-Sales&amp;utm_term=%epid!_%ecid!_%eaid!</v>
      </c>
      <c r="AI79" s="21" t="str">
        <f t="shared" si="30"/>
        <v>https://ad.doubleclick.net/ddm/trackclk/N9487.3646218VERIZONBR/B22646029.288239799;dc_trk_aid=481706329;dc_trk_cid=121930624;dc_lat=;dc_rdid=;tag_for_child_directed_treatment=;tfua=</v>
      </c>
      <c r="AJ79" s="15" t="str">
        <f t="shared" si="35"/>
        <v>verizon</v>
      </c>
      <c r="AK79" s="15" t="str">
        <f t="shared" si="36"/>
        <v>Direct</v>
      </c>
      <c r="AL79" s="21" t="str">
        <f>Campanha!$B$3</f>
        <v>BR_AAF_DSY_NONMS_ND_AS_2019Q2APR_AFS_After-Sales</v>
      </c>
      <c r="AM79" s="21" t="str">
        <f t="shared" si="31"/>
        <v>BR_VW_AFS_verizon_DIS_DRCT_CPC_STD_LDR_AAF_RON_CXD_After-Sales-Oficina-Classicos-lal-add-to-cart-ofertas_PD_native</v>
      </c>
      <c r="AN79" s="15" t="s">
        <v>809</v>
      </c>
    </row>
    <row r="80" spans="2:40" hidden="1" x14ac:dyDescent="0.25">
      <c r="B80" s="15" t="s">
        <v>933</v>
      </c>
      <c r="C80" s="15" t="s">
        <v>934</v>
      </c>
      <c r="D80" s="30" t="s">
        <v>873</v>
      </c>
      <c r="E80" s="22">
        <v>44155</v>
      </c>
      <c r="F80" s="22">
        <v>44196</v>
      </c>
      <c r="G80" s="15" t="s">
        <v>672</v>
      </c>
      <c r="H80" s="15" t="s">
        <v>855</v>
      </c>
      <c r="I80" s="15" t="s">
        <v>702</v>
      </c>
      <c r="J80" s="15" t="s">
        <v>313</v>
      </c>
      <c r="K80" s="15" t="s">
        <v>323</v>
      </c>
      <c r="L80" s="15" t="s">
        <v>358</v>
      </c>
      <c r="M80" s="15" t="s">
        <v>322</v>
      </c>
      <c r="N80" s="15" t="s">
        <v>708</v>
      </c>
      <c r="O80" s="15" t="s">
        <v>694</v>
      </c>
      <c r="P80" s="15" t="s">
        <v>886</v>
      </c>
      <c r="Q80" s="15" t="s">
        <v>877</v>
      </c>
      <c r="R80" s="15" t="s">
        <v>835</v>
      </c>
      <c r="S80" s="15" t="s">
        <v>348</v>
      </c>
      <c r="T80" s="15" t="s">
        <v>854</v>
      </c>
      <c r="AC80" s="32" t="s">
        <v>885</v>
      </c>
      <c r="AD80" s="33" t="e">
        <f t="shared" si="37"/>
        <v>#N/A</v>
      </c>
      <c r="AE80" s="21" t="str">
        <f t="shared" ref="AE80:AE143" si="38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IF(col_servidopor="adserver-rotacionar",col_segmentacao,CONCATENATE(col_localfreetype,"-",col_segmentacao)),"_",VLOOKUP(col_paidvsav,tab_paidvsav,2,FALSE),"_",col_size))</f>
        <v>BR_VW_AFS_verizon_DIS_DRCT_CPC_STD_LDR_AAF_RON_CXD_After-Sales-Oficina-Classicos-rmkt-add-to-cart-ofertas_PD_native</v>
      </c>
      <c r="AF80" s="21" t="str">
        <f t="shared" ref="AF80:AF143" si="39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col_localfreetype,"-",col_segmentacao,"_",VLOOKUP(col_paidvsav,tab_paidvsav,2,FALSE),"_",col_size))</f>
        <v>BR_VW_AFS_verizon_DIS_DRCT_CPC_STD_LDR_AAF_RON_CXD_After-Sales-Oficina-Classicos-rmkt-add-to-cart-ofertas_PD_native</v>
      </c>
      <c r="AG80" s="21" t="str">
        <f t="shared" ref="AG80:AG143" si="40">CONCATENATE("VW","_",cel_modelvariant,"-",col_segmentacao,"_",col_size,"_",col_localfreetype,"-",IF(col_servidopor="portal",col_supplier,"adserver"))</f>
        <v>VW_After-Sales-rmkt-add-to-cart-ofertas_native_After-Sales-Oficina-Classicos-verizon</v>
      </c>
      <c r="AH80" s="21" t="str">
        <f t="shared" ref="AH80:AH143" si="41">faxineiro(CONCATENATE(col_url,IF(ISNUMBER(FIND("?",col_url)),"&amp;","?"),"utm_source=",col_utmsource,"&amp;utm_medium=",col_utmmedium,"&amp;utm_content=",col_utmcontent,"&amp;utm_campaign=",col_utmcampaign,"&amp;utm_term=",col_keyword))</f>
        <v>https://www.oficinadeclassicos.com.br/index.aspx?utm_source=verizon&amp;utm_medium=Direct&amp;utm_content=BR_VW_AFS_verizon_DIS_DRCT_CPC_STD_LDR_AAF_RON_CXD_After-Sales-Oficina-Classicos-rmkt-add-to-cart-ofertas_PD_native&amp;utm_campaign=BR_AAF_DSY_NONMS_ND_AS_2019Q2APR_AFS_After-Sales&amp;utm_term=%epid!_%ecid!_%eaid!</v>
      </c>
      <c r="AI80" s="21" t="str">
        <f t="shared" ref="AI80:AI143" si="42">IFERROR(IF(col_servidopor="portal",VLOOKUP(col_placement,tab_contadores,2,FALSE),"TAG"),"Contador")</f>
        <v>https://ad.doubleclick.net/ddm/trackclk/N9487.3646218VERIZONBR/B22646029.288239796;dc_trk_aid=481706326;dc_trk_cid=121930624;dc_lat=;dc_rdid=;tag_for_child_directed_treatment=;tfua=</v>
      </c>
      <c r="AJ80" s="15" t="str">
        <f t="shared" ref="AJ80" si="43">H80</f>
        <v>verizon</v>
      </c>
      <c r="AK80" s="15" t="str">
        <f t="shared" ref="AK80" si="44">J80</f>
        <v>Direct</v>
      </c>
      <c r="AL80" s="21" t="str">
        <f>Campanha!$B$3</f>
        <v>BR_AAF_DSY_NONMS_ND_AS_2019Q2APR_AFS_After-Sales</v>
      </c>
      <c r="AM80" s="21" t="str">
        <f t="shared" ref="AM80:AM143" si="45">col_adname</f>
        <v>BR_VW_AFS_verizon_DIS_DRCT_CPC_STD_LDR_AAF_RON_CXD_After-Sales-Oficina-Classicos-rmkt-add-to-cart-ofertas_PD_native</v>
      </c>
      <c r="AN80" s="15" t="s">
        <v>809</v>
      </c>
    </row>
    <row r="81" spans="2:40" hidden="1" x14ac:dyDescent="0.25">
      <c r="B81" s="15" t="s">
        <v>933</v>
      </c>
      <c r="C81" s="15" t="s">
        <v>934</v>
      </c>
      <c r="D81" s="30" t="s">
        <v>873</v>
      </c>
      <c r="E81" s="22">
        <v>44155</v>
      </c>
      <c r="F81" s="22">
        <v>44196</v>
      </c>
      <c r="G81" s="15" t="s">
        <v>672</v>
      </c>
      <c r="H81" s="15" t="s">
        <v>387</v>
      </c>
      <c r="I81" s="15" t="s">
        <v>722</v>
      </c>
      <c r="J81" s="15" t="s">
        <v>313</v>
      </c>
      <c r="K81" s="15" t="s">
        <v>334</v>
      </c>
      <c r="L81" s="30" t="s">
        <v>342</v>
      </c>
      <c r="M81" s="30" t="s">
        <v>322</v>
      </c>
      <c r="N81" s="15" t="s">
        <v>708</v>
      </c>
      <c r="O81" s="15" t="s">
        <v>694</v>
      </c>
      <c r="P81" s="15" t="s">
        <v>886</v>
      </c>
      <c r="Q81" s="31" t="s">
        <v>883</v>
      </c>
      <c r="R81" s="15" t="s">
        <v>835</v>
      </c>
      <c r="S81" s="15" t="s">
        <v>348</v>
      </c>
      <c r="T81" s="15" t="s">
        <v>882</v>
      </c>
      <c r="AC81" s="32" t="s">
        <v>885</v>
      </c>
      <c r="AD81" s="33" t="e">
        <f t="shared" si="37"/>
        <v>#N/A</v>
      </c>
      <c r="AE81" s="21" t="str">
        <f t="shared" si="38"/>
        <v>BR_VW_AFS_faceinsta_SOC_DRCT_CPM_CLK_LDR_AAF_RON_CXD_After-Sales-Oficina-Classicos-interesses_PD_carrossel</v>
      </c>
      <c r="AF81" s="21" t="str">
        <f t="shared" si="39"/>
        <v>BR_VW_AFS_faceinsta_SOC_DRCT_CPM_CLK_LDR_AAF_RON_CXD_After-Sales-Oficina-Classicos-interesses_PD_carrossel</v>
      </c>
      <c r="AG81" s="21" t="str">
        <f t="shared" si="40"/>
        <v>VW_After-Sales-interesses_carrossel_After-Sales-Oficina-Classicos-faceinsta</v>
      </c>
      <c r="AH81" s="21" t="str">
        <f t="shared" si="41"/>
        <v>https://www.oficinadeclassicos.com.br/index.aspx?utm_source=faceinsta&amp;utm_medium=Direct&amp;utm_content=BR_VW_AFS_faceinsta_SOC_DRCT_CPM_CLK_LDR_AAF_RON_CXD_After-Sales-Oficina-Classicos-interesses_PD_carrossel&amp;utm_campaign=BR_AAF_DSY_NONMS_ND_AS_2019Q2APR_AFS_After-Sales&amp;utm_term=%epid!_%ecid!_%eaid!</v>
      </c>
      <c r="AI81" s="21" t="str">
        <f t="shared" si="42"/>
        <v>https://ad.doubleclick.net/ddm/trackclk/N9487.3165544FACEINSTA/B22646029.288239793;dc_trk_aid=481706323;dc_trk_cid=121930624;dc_lat=;dc_rdid=;tag_for_child_directed_treatment=;tfua=</v>
      </c>
      <c r="AJ81" s="15" t="str">
        <f t="shared" ref="AJ81:AJ93" si="46">H81</f>
        <v>faceinsta</v>
      </c>
      <c r="AK81" s="15" t="str">
        <f t="shared" ref="AK81:AK93" si="47">J81</f>
        <v>Direct</v>
      </c>
      <c r="AL81" s="21" t="str">
        <f>Campanha!$B$3</f>
        <v>BR_AAF_DSY_NONMS_ND_AS_2019Q2APR_AFS_After-Sales</v>
      </c>
      <c r="AM81" s="21" t="str">
        <f t="shared" si="45"/>
        <v>BR_VW_AFS_faceinsta_SOC_DRCT_CPM_CLK_LDR_AAF_RON_CXD_After-Sales-Oficina-Classicos-interesses_PD_carrossel</v>
      </c>
      <c r="AN81" s="15" t="s">
        <v>809</v>
      </c>
    </row>
    <row r="82" spans="2:40" x14ac:dyDescent="0.25">
      <c r="B82" s="15" t="s">
        <v>933</v>
      </c>
      <c r="C82" s="15" t="s">
        <v>934</v>
      </c>
      <c r="D82" s="30" t="s">
        <v>873</v>
      </c>
      <c r="E82" s="22">
        <v>44155</v>
      </c>
      <c r="F82" s="22">
        <v>44196</v>
      </c>
      <c r="G82" s="30" t="s">
        <v>672</v>
      </c>
      <c r="H82" s="30" t="s">
        <v>387</v>
      </c>
      <c r="I82" s="30" t="s">
        <v>722</v>
      </c>
      <c r="J82" s="30" t="s">
        <v>313</v>
      </c>
      <c r="K82" s="30" t="s">
        <v>334</v>
      </c>
      <c r="L82" s="30" t="s">
        <v>342</v>
      </c>
      <c r="M82" s="30" t="s">
        <v>322</v>
      </c>
      <c r="N82" s="15" t="s">
        <v>708</v>
      </c>
      <c r="O82" s="15" t="s">
        <v>694</v>
      </c>
      <c r="P82" s="15" t="s">
        <v>886</v>
      </c>
      <c r="Q82" s="15" t="s">
        <v>878</v>
      </c>
      <c r="R82" s="15" t="s">
        <v>835</v>
      </c>
      <c r="S82" s="15" t="s">
        <v>348</v>
      </c>
      <c r="T82" s="15" t="s">
        <v>884</v>
      </c>
      <c r="AC82" s="32" t="s">
        <v>885</v>
      </c>
      <c r="AD82" s="33" t="e">
        <f t="shared" si="37"/>
        <v>#N/A</v>
      </c>
      <c r="AE82" s="21" t="str">
        <f t="shared" si="38"/>
        <v>BR_VW_AFS_faceinsta_SOC_DRCT_CPM_CLK_LDR_AAF_RON_CXD_After-Sales-Oficina-Classicos-rmkt-visita-home-oficina_PD_link-ad</v>
      </c>
      <c r="AF82" s="21" t="str">
        <f t="shared" si="39"/>
        <v>BR_VW_AFS_faceinsta_SOC_DRCT_CPM_CLK_LDR_AAF_RON_CXD_After-Sales-Oficina-Classicos-rmkt-visita-home-oficina_PD_link-ad</v>
      </c>
      <c r="AG82" s="21" t="str">
        <f t="shared" si="40"/>
        <v>VW_After-Sales-rmkt-visita-home-oficina_link-ad_After-Sales-Oficina-Classicos-faceinsta</v>
      </c>
      <c r="AH82" s="21" t="str">
        <f t="shared" si="41"/>
        <v>https://www.oficinadeclassicos.com.br/index.aspx?utm_source=faceinsta&amp;utm_medium=Direct&amp;utm_content=BR_VW_AFS_faceinsta_SOC_DRCT_CPM_CLK_LDR_AAF_RON_CXD_After-Sales-Oficina-Classicos-rmkt-visita-home-oficina_PD_link-ad&amp;utm_campaign=BR_AAF_DSY_NONMS_ND_AS_2019Q2APR_AFS_After-Sales&amp;utm_term=%epid!_%ecid!_%eaid!</v>
      </c>
      <c r="AI82" s="21" t="str">
        <f t="shared" si="42"/>
        <v>https://ad.doubleclick.net/ddm/trackclk/N9487.3165544FACEINSTA/B22646029.288239790;dc_trk_aid=481706320;dc_trk_cid=121930624;dc_lat=;dc_rdid=;tag_for_child_directed_treatment=;tfua=</v>
      </c>
      <c r="AJ82" s="15" t="str">
        <f t="shared" si="46"/>
        <v>faceinsta</v>
      </c>
      <c r="AK82" s="15" t="str">
        <f t="shared" si="47"/>
        <v>Direct</v>
      </c>
      <c r="AL82" s="21" t="str">
        <f>Campanha!$B$3</f>
        <v>BR_AAF_DSY_NONMS_ND_AS_2019Q2APR_AFS_After-Sales</v>
      </c>
      <c r="AM82" s="21" t="str">
        <f t="shared" si="45"/>
        <v>BR_VW_AFS_faceinsta_SOC_DRCT_CPM_CLK_LDR_AAF_RON_CXD_After-Sales-Oficina-Classicos-rmkt-visita-home-oficina_PD_link-ad</v>
      </c>
      <c r="AN82" s="15" t="s">
        <v>809</v>
      </c>
    </row>
    <row r="83" spans="2:40" hidden="1" x14ac:dyDescent="0.25">
      <c r="B83" s="15" t="s">
        <v>933</v>
      </c>
      <c r="C83" s="15" t="s">
        <v>934</v>
      </c>
      <c r="D83" s="30" t="s">
        <v>873</v>
      </c>
      <c r="E83" s="22">
        <v>44155</v>
      </c>
      <c r="F83" s="22">
        <v>44196</v>
      </c>
      <c r="G83" s="30" t="s">
        <v>672</v>
      </c>
      <c r="H83" s="30" t="s">
        <v>387</v>
      </c>
      <c r="I83" s="30" t="s">
        <v>722</v>
      </c>
      <c r="J83" s="30" t="s">
        <v>313</v>
      </c>
      <c r="K83" s="30" t="s">
        <v>334</v>
      </c>
      <c r="L83" s="30" t="s">
        <v>342</v>
      </c>
      <c r="M83" s="30" t="s">
        <v>322</v>
      </c>
      <c r="N83" s="15" t="s">
        <v>708</v>
      </c>
      <c r="O83" s="15" t="s">
        <v>694</v>
      </c>
      <c r="P83" s="15" t="s">
        <v>886</v>
      </c>
      <c r="Q83" s="15" t="s">
        <v>879</v>
      </c>
      <c r="R83" s="15" t="s">
        <v>835</v>
      </c>
      <c r="S83" s="15" t="s">
        <v>348</v>
      </c>
      <c r="T83" s="15" t="s">
        <v>882</v>
      </c>
      <c r="AC83" s="32" t="s">
        <v>885</v>
      </c>
      <c r="AD83" s="33" t="e">
        <f t="shared" si="37"/>
        <v>#N/A</v>
      </c>
      <c r="AE83" s="21" t="str">
        <f t="shared" si="38"/>
        <v>BR_VW_AFS_faceinsta_SOC_DRCT_CPM_CLK_LDR_AAF_RON_CXD_After-Sales-Oficina-Classicos-lal-visita-home-oficina_PD_carrossel</v>
      </c>
      <c r="AF83" s="21" t="str">
        <f t="shared" si="39"/>
        <v>BR_VW_AFS_faceinsta_SOC_DRCT_CPM_CLK_LDR_AAF_RON_CXD_After-Sales-Oficina-Classicos-lal-visita-home-oficina_PD_carrossel</v>
      </c>
      <c r="AG83" s="21" t="str">
        <f t="shared" si="40"/>
        <v>VW_After-Sales-lal-visita-home-oficina_carrossel_After-Sales-Oficina-Classicos-faceinsta</v>
      </c>
      <c r="AH83" s="21" t="str">
        <f t="shared" si="41"/>
        <v>https://www.oficinadeclassicos.com.br/index.aspx?utm_source=faceinsta&amp;utm_medium=Direct&amp;utm_content=BR_VW_AFS_faceinsta_SOC_DRCT_CPM_CLK_LDR_AAF_RON_CXD_After-Sales-Oficina-Classicos-lal-visita-home-oficina_PD_carrossel&amp;utm_campaign=BR_AAF_DSY_NONMS_ND_AS_2019Q2APR_AFS_After-Sales&amp;utm_term=%epid!_%ecid!_%eaid!</v>
      </c>
      <c r="AI83" s="21" t="str">
        <f t="shared" si="42"/>
        <v>https://ad.doubleclick.net/ddm/trackclk/N9487.3165544FACEINSTA/B22646029.288239787;dc_trk_aid=481706317;dc_trk_cid=121930624;dc_lat=;dc_rdid=;tag_for_child_directed_treatment=;tfua=</v>
      </c>
      <c r="AJ83" s="15" t="str">
        <f t="shared" si="46"/>
        <v>faceinsta</v>
      </c>
      <c r="AK83" s="15" t="str">
        <f t="shared" si="47"/>
        <v>Direct</v>
      </c>
      <c r="AL83" s="21" t="str">
        <f>Campanha!$B$3</f>
        <v>BR_AAF_DSY_NONMS_ND_AS_2019Q2APR_AFS_After-Sales</v>
      </c>
      <c r="AM83" s="21" t="str">
        <f t="shared" si="45"/>
        <v>BR_VW_AFS_faceinsta_SOC_DRCT_CPM_CLK_LDR_AAF_RON_CXD_After-Sales-Oficina-Classicos-lal-visita-home-oficina_PD_carrossel</v>
      </c>
      <c r="AN83" s="15" t="s">
        <v>809</v>
      </c>
    </row>
    <row r="84" spans="2:40" hidden="1" x14ac:dyDescent="0.25">
      <c r="B84" s="15" t="s">
        <v>933</v>
      </c>
      <c r="C84" s="15" t="s">
        <v>934</v>
      </c>
      <c r="D84" s="30" t="s">
        <v>873</v>
      </c>
      <c r="E84" s="22">
        <v>44155</v>
      </c>
      <c r="F84" s="22">
        <v>44196</v>
      </c>
      <c r="G84" s="30" t="s">
        <v>672</v>
      </c>
      <c r="H84" s="30" t="s">
        <v>387</v>
      </c>
      <c r="I84" s="30" t="s">
        <v>722</v>
      </c>
      <c r="J84" s="30" t="s">
        <v>313</v>
      </c>
      <c r="K84" s="30" t="s">
        <v>334</v>
      </c>
      <c r="L84" s="30" t="s">
        <v>342</v>
      </c>
      <c r="M84" s="30" t="s">
        <v>322</v>
      </c>
      <c r="N84" s="15" t="s">
        <v>708</v>
      </c>
      <c r="O84" s="15" t="s">
        <v>694</v>
      </c>
      <c r="P84" s="15" t="s">
        <v>886</v>
      </c>
      <c r="Q84" s="15" t="s">
        <v>880</v>
      </c>
      <c r="R84" s="15" t="s">
        <v>835</v>
      </c>
      <c r="S84" s="15" t="s">
        <v>348</v>
      </c>
      <c r="T84" s="15" t="s">
        <v>882</v>
      </c>
      <c r="AC84" s="32" t="s">
        <v>885</v>
      </c>
      <c r="AD84" s="33" t="e">
        <f t="shared" si="37"/>
        <v>#N/A</v>
      </c>
      <c r="AE84" s="21" t="str">
        <f t="shared" si="38"/>
        <v>BR_VW_AFS_faceinsta_SOC_DRCT_CPM_CLK_LDR_AAF_RON_CXD_After-Sales-Oficina-Classicos-lal-add-to-cart-oficina_PD_carrossel</v>
      </c>
      <c r="AF84" s="21" t="str">
        <f t="shared" si="39"/>
        <v>BR_VW_AFS_faceinsta_SOC_DRCT_CPM_CLK_LDR_AAF_RON_CXD_After-Sales-Oficina-Classicos-lal-add-to-cart-oficina_PD_carrossel</v>
      </c>
      <c r="AG84" s="21" t="str">
        <f t="shared" si="40"/>
        <v>VW_After-Sales-lal-add-to-cart-oficina_carrossel_After-Sales-Oficina-Classicos-faceinsta</v>
      </c>
      <c r="AH84" s="21" t="str">
        <f t="shared" si="41"/>
        <v>https://www.oficinadeclassicos.com.br/index.aspx?utm_source=faceinsta&amp;utm_medium=Direct&amp;utm_content=BR_VW_AFS_faceinsta_SOC_DRCT_CPM_CLK_LDR_AAF_RON_CXD_After-Sales-Oficina-Classicos-lal-add-to-cart-oficina_PD_carrossel&amp;utm_campaign=BR_AAF_DSY_NONMS_ND_AS_2019Q2APR_AFS_After-Sales&amp;utm_term=%epid!_%ecid!_%eaid!</v>
      </c>
      <c r="AI84" s="21" t="str">
        <f t="shared" si="42"/>
        <v>https://ad.doubleclick.net/ddm/trackclk/N9487.3165544FACEINSTA/B22646029.288239784;dc_trk_aid=481706314;dc_trk_cid=121930624;dc_lat=;dc_rdid=;tag_for_child_directed_treatment=;tfua=</v>
      </c>
      <c r="AJ84" s="15" t="str">
        <f t="shared" si="46"/>
        <v>faceinsta</v>
      </c>
      <c r="AK84" s="15" t="str">
        <f t="shared" si="47"/>
        <v>Direct</v>
      </c>
      <c r="AL84" s="21" t="str">
        <f>Campanha!$B$3</f>
        <v>BR_AAF_DSY_NONMS_ND_AS_2019Q2APR_AFS_After-Sales</v>
      </c>
      <c r="AM84" s="21" t="str">
        <f t="shared" si="45"/>
        <v>BR_VW_AFS_faceinsta_SOC_DRCT_CPM_CLK_LDR_AAF_RON_CXD_After-Sales-Oficina-Classicos-lal-add-to-cart-oficina_PD_carrossel</v>
      </c>
      <c r="AN84" s="15" t="s">
        <v>809</v>
      </c>
    </row>
    <row r="85" spans="2:40" x14ac:dyDescent="0.25">
      <c r="B85" s="15" t="s">
        <v>933</v>
      </c>
      <c r="C85" s="15" t="s">
        <v>934</v>
      </c>
      <c r="D85" s="30" t="s">
        <v>873</v>
      </c>
      <c r="E85" s="22">
        <v>44155</v>
      </c>
      <c r="F85" s="22">
        <v>44196</v>
      </c>
      <c r="G85" s="30" t="s">
        <v>672</v>
      </c>
      <c r="H85" s="30" t="s">
        <v>387</v>
      </c>
      <c r="I85" s="30" t="s">
        <v>722</v>
      </c>
      <c r="J85" s="30" t="s">
        <v>313</v>
      </c>
      <c r="K85" s="30" t="s">
        <v>334</v>
      </c>
      <c r="L85" s="30" t="s">
        <v>342</v>
      </c>
      <c r="M85" s="30" t="s">
        <v>322</v>
      </c>
      <c r="N85" s="15" t="s">
        <v>708</v>
      </c>
      <c r="O85" s="15" t="s">
        <v>694</v>
      </c>
      <c r="P85" s="15" t="s">
        <v>886</v>
      </c>
      <c r="Q85" s="15" t="s">
        <v>881</v>
      </c>
      <c r="R85" s="15" t="s">
        <v>835</v>
      </c>
      <c r="S85" s="15" t="s">
        <v>348</v>
      </c>
      <c r="T85" s="15" t="s">
        <v>884</v>
      </c>
      <c r="AC85" s="32" t="s">
        <v>885</v>
      </c>
      <c r="AD85" s="33" t="e">
        <f t="shared" si="37"/>
        <v>#N/A</v>
      </c>
      <c r="AE85" s="21" t="str">
        <f t="shared" si="38"/>
        <v>BR_VW_AFS_faceinsta_SOC_DRCT_CPM_CLK_LDR_AAF_RON_CXD_After-Sales-Oficina-Classicos-rmkt-add-to-cart-oficina_PD_link-ad</v>
      </c>
      <c r="AF85" s="21" t="str">
        <f t="shared" si="39"/>
        <v>BR_VW_AFS_faceinsta_SOC_DRCT_CPM_CLK_LDR_AAF_RON_CXD_After-Sales-Oficina-Classicos-rmkt-add-to-cart-oficina_PD_link-ad</v>
      </c>
      <c r="AG85" s="21" t="str">
        <f t="shared" si="40"/>
        <v>VW_After-Sales-rmkt-add-to-cart-oficina_link-ad_After-Sales-Oficina-Classicos-faceinsta</v>
      </c>
      <c r="AH85" s="21" t="str">
        <f t="shared" si="41"/>
        <v>https://www.oficinadeclassicos.com.br/index.aspx?utm_source=faceinsta&amp;utm_medium=Direct&amp;utm_content=BR_VW_AFS_faceinsta_SOC_DRCT_CPM_CLK_LDR_AAF_RON_CXD_After-Sales-Oficina-Classicos-rmkt-add-to-cart-oficina_PD_link-ad&amp;utm_campaign=BR_AAF_DSY_NONMS_ND_AS_2019Q2APR_AFS_After-Sales&amp;utm_term=%epid!_%ecid!_%eaid!</v>
      </c>
      <c r="AI85" s="21" t="str">
        <f t="shared" si="42"/>
        <v>https://ad.doubleclick.net/ddm/trackclk/N9487.3165544FACEINSTA/B22646029.288239781;dc_trk_aid=481706311;dc_trk_cid=121930624;dc_lat=;dc_rdid=;tag_for_child_directed_treatment=;tfua=</v>
      </c>
      <c r="AJ85" s="15" t="str">
        <f t="shared" si="46"/>
        <v>faceinsta</v>
      </c>
      <c r="AK85" s="15" t="str">
        <f t="shared" si="47"/>
        <v>Direct</v>
      </c>
      <c r="AL85" s="21" t="str">
        <f>Campanha!$B$3</f>
        <v>BR_AAF_DSY_NONMS_ND_AS_2019Q2APR_AFS_After-Sales</v>
      </c>
      <c r="AM85" s="21" t="str">
        <f t="shared" si="45"/>
        <v>BR_VW_AFS_faceinsta_SOC_DRCT_CPM_CLK_LDR_AAF_RON_CXD_After-Sales-Oficina-Classicos-rmkt-add-to-cart-oficina_PD_link-ad</v>
      </c>
      <c r="AN85" s="15" t="s">
        <v>809</v>
      </c>
    </row>
    <row r="86" spans="2:40" x14ac:dyDescent="0.25">
      <c r="B86" s="15" t="s">
        <v>933</v>
      </c>
      <c r="C86" s="15" t="s">
        <v>934</v>
      </c>
      <c r="D86" s="30" t="s">
        <v>873</v>
      </c>
      <c r="E86" s="22">
        <v>44155</v>
      </c>
      <c r="F86" s="22">
        <v>44196</v>
      </c>
      <c r="G86" s="30" t="s">
        <v>672</v>
      </c>
      <c r="H86" s="30" t="s">
        <v>387</v>
      </c>
      <c r="I86" s="30" t="s">
        <v>722</v>
      </c>
      <c r="J86" s="30" t="s">
        <v>313</v>
      </c>
      <c r="K86" s="30" t="s">
        <v>334</v>
      </c>
      <c r="L86" s="30" t="s">
        <v>342</v>
      </c>
      <c r="M86" s="30" t="s">
        <v>322</v>
      </c>
      <c r="N86" s="15" t="s">
        <v>708</v>
      </c>
      <c r="O86" s="15" t="s">
        <v>694</v>
      </c>
      <c r="P86" s="15" t="s">
        <v>886</v>
      </c>
      <c r="Q86" s="15" t="s">
        <v>874</v>
      </c>
      <c r="R86" s="15" t="s">
        <v>835</v>
      </c>
      <c r="S86" s="15" t="s">
        <v>348</v>
      </c>
      <c r="T86" s="15" t="s">
        <v>884</v>
      </c>
      <c r="AC86" s="32" t="s">
        <v>885</v>
      </c>
      <c r="AD86" s="33" t="e">
        <f t="shared" ref="AD86:AD117" si="48">VLOOKUP(AE86,id_placement,2,FALSE)</f>
        <v>#N/A</v>
      </c>
      <c r="AE86" s="21" t="str">
        <f t="shared" si="38"/>
        <v>BR_VW_AFS_faceinsta_SOC_DRCT_CPM_CLK_LDR_AAF_RON_CXD_After-Sales-Oficina-Classicos-rmkt-visita-home-ofertas_PD_link-ad</v>
      </c>
      <c r="AF86" s="21" t="str">
        <f t="shared" si="39"/>
        <v>BR_VW_AFS_faceinsta_SOC_DRCT_CPM_CLK_LDR_AAF_RON_CXD_After-Sales-Oficina-Classicos-rmkt-visita-home-ofertas_PD_link-ad</v>
      </c>
      <c r="AG86" s="21" t="str">
        <f t="shared" si="40"/>
        <v>VW_After-Sales-rmkt-visita-home-ofertas_link-ad_After-Sales-Oficina-Classicos-faceinsta</v>
      </c>
      <c r="AH86" s="21" t="str">
        <f t="shared" si="41"/>
        <v>https://www.oficinadeclassicos.com.br/index.aspx?utm_source=faceinsta&amp;utm_medium=Direct&amp;utm_content=BR_VW_AFS_faceinsta_SOC_DRCT_CPM_CLK_LDR_AAF_RON_CXD_After-Sales-Oficina-Classicos-rmkt-visita-home-ofertas_PD_link-ad&amp;utm_campaign=BR_AAF_DSY_NONMS_ND_AS_2019Q2APR_AFS_After-Sales&amp;utm_term=%epid!_%ecid!_%eaid!</v>
      </c>
      <c r="AI86" s="21" t="str">
        <f t="shared" si="42"/>
        <v>https://ad.doubleclick.net/ddm/trackclk/N9487.3165544FACEINSTA/B22646029.288239778;dc_trk_aid=481706308;dc_trk_cid=121930624;dc_lat=;dc_rdid=;tag_for_child_directed_treatment=;tfua=</v>
      </c>
      <c r="AJ86" s="15" t="str">
        <f t="shared" si="46"/>
        <v>faceinsta</v>
      </c>
      <c r="AK86" s="15" t="str">
        <f t="shared" si="47"/>
        <v>Direct</v>
      </c>
      <c r="AL86" s="21" t="str">
        <f>Campanha!$B$3</f>
        <v>BR_AAF_DSY_NONMS_ND_AS_2019Q2APR_AFS_After-Sales</v>
      </c>
      <c r="AM86" s="21" t="str">
        <f t="shared" si="45"/>
        <v>BR_VW_AFS_faceinsta_SOC_DRCT_CPM_CLK_LDR_AAF_RON_CXD_After-Sales-Oficina-Classicos-rmkt-visita-home-ofertas_PD_link-ad</v>
      </c>
      <c r="AN86" s="15" t="s">
        <v>809</v>
      </c>
    </row>
    <row r="87" spans="2:40" hidden="1" x14ac:dyDescent="0.25">
      <c r="B87" s="15" t="s">
        <v>933</v>
      </c>
      <c r="C87" s="15" t="s">
        <v>934</v>
      </c>
      <c r="D87" s="30" t="s">
        <v>873</v>
      </c>
      <c r="E87" s="22">
        <v>44155</v>
      </c>
      <c r="F87" s="22">
        <v>44196</v>
      </c>
      <c r="G87" s="30" t="s">
        <v>672</v>
      </c>
      <c r="H87" s="30" t="s">
        <v>387</v>
      </c>
      <c r="I87" s="30" t="s">
        <v>722</v>
      </c>
      <c r="J87" s="30" t="s">
        <v>313</v>
      </c>
      <c r="K87" s="30" t="s">
        <v>334</v>
      </c>
      <c r="L87" s="30" t="s">
        <v>342</v>
      </c>
      <c r="M87" s="30" t="s">
        <v>322</v>
      </c>
      <c r="N87" s="15" t="s">
        <v>708</v>
      </c>
      <c r="O87" s="15" t="s">
        <v>694</v>
      </c>
      <c r="P87" s="15" t="s">
        <v>886</v>
      </c>
      <c r="Q87" s="15" t="s">
        <v>875</v>
      </c>
      <c r="R87" s="15" t="s">
        <v>835</v>
      </c>
      <c r="S87" s="15" t="s">
        <v>348</v>
      </c>
      <c r="T87" s="15" t="s">
        <v>882</v>
      </c>
      <c r="AC87" s="32" t="s">
        <v>885</v>
      </c>
      <c r="AD87" s="33" t="e">
        <f t="shared" si="48"/>
        <v>#N/A</v>
      </c>
      <c r="AE87" s="21" t="str">
        <f t="shared" si="38"/>
        <v>BR_VW_AFS_faceinsta_SOC_DRCT_CPM_CLK_LDR_AAF_RON_CXD_After-Sales-Oficina-Classicos-lal-visita-home-ofertas_PD_carrossel</v>
      </c>
      <c r="AF87" s="21" t="str">
        <f t="shared" si="39"/>
        <v>BR_VW_AFS_faceinsta_SOC_DRCT_CPM_CLK_LDR_AAF_RON_CXD_After-Sales-Oficina-Classicos-lal-visita-home-ofertas_PD_carrossel</v>
      </c>
      <c r="AG87" s="21" t="str">
        <f t="shared" si="40"/>
        <v>VW_After-Sales-lal-visita-home-ofertas_carrossel_After-Sales-Oficina-Classicos-faceinsta</v>
      </c>
      <c r="AH87" s="21" t="str">
        <f t="shared" si="41"/>
        <v>https://www.oficinadeclassicos.com.br/index.aspx?utm_source=faceinsta&amp;utm_medium=Direct&amp;utm_content=BR_VW_AFS_faceinsta_SOC_DRCT_CPM_CLK_LDR_AAF_RON_CXD_After-Sales-Oficina-Classicos-lal-visita-home-ofertas_PD_carrossel&amp;utm_campaign=BR_AAF_DSY_NONMS_ND_AS_2019Q2APR_AFS_After-Sales&amp;utm_term=%epid!_%ecid!_%eaid!</v>
      </c>
      <c r="AI87" s="21" t="str">
        <f t="shared" si="42"/>
        <v>https://ad.doubleclick.net/ddm/trackclk/N9487.3165544FACEINSTA/B22646029.288239775;dc_trk_aid=481706305;dc_trk_cid=121930624;dc_lat=;dc_rdid=;tag_for_child_directed_treatment=;tfua=</v>
      </c>
      <c r="AJ87" s="15" t="str">
        <f t="shared" si="46"/>
        <v>faceinsta</v>
      </c>
      <c r="AK87" s="15" t="str">
        <f t="shared" si="47"/>
        <v>Direct</v>
      </c>
      <c r="AL87" s="21" t="str">
        <f>Campanha!$B$3</f>
        <v>BR_AAF_DSY_NONMS_ND_AS_2019Q2APR_AFS_After-Sales</v>
      </c>
      <c r="AM87" s="21" t="str">
        <f t="shared" si="45"/>
        <v>BR_VW_AFS_faceinsta_SOC_DRCT_CPM_CLK_LDR_AAF_RON_CXD_After-Sales-Oficina-Classicos-lal-visita-home-ofertas_PD_carrossel</v>
      </c>
      <c r="AN87" s="15" t="s">
        <v>809</v>
      </c>
    </row>
    <row r="88" spans="2:40" hidden="1" x14ac:dyDescent="0.25">
      <c r="B88" s="15" t="s">
        <v>933</v>
      </c>
      <c r="C88" s="15" t="s">
        <v>934</v>
      </c>
      <c r="D88" s="30" t="s">
        <v>873</v>
      </c>
      <c r="E88" s="22">
        <v>44155</v>
      </c>
      <c r="F88" s="22">
        <v>44196</v>
      </c>
      <c r="G88" s="30" t="s">
        <v>672</v>
      </c>
      <c r="H88" s="30" t="s">
        <v>387</v>
      </c>
      <c r="I88" s="30" t="s">
        <v>722</v>
      </c>
      <c r="J88" s="30" t="s">
        <v>313</v>
      </c>
      <c r="K88" s="30" t="s">
        <v>334</v>
      </c>
      <c r="L88" s="30" t="s">
        <v>342</v>
      </c>
      <c r="M88" s="30" t="s">
        <v>322</v>
      </c>
      <c r="N88" s="15" t="s">
        <v>708</v>
      </c>
      <c r="O88" s="15" t="s">
        <v>694</v>
      </c>
      <c r="P88" s="15" t="s">
        <v>886</v>
      </c>
      <c r="Q88" s="15" t="s">
        <v>876</v>
      </c>
      <c r="R88" s="15" t="s">
        <v>835</v>
      </c>
      <c r="S88" s="15" t="s">
        <v>348</v>
      </c>
      <c r="T88" s="15" t="s">
        <v>882</v>
      </c>
      <c r="AC88" s="32" t="s">
        <v>885</v>
      </c>
      <c r="AD88" s="33" t="e">
        <f t="shared" si="48"/>
        <v>#N/A</v>
      </c>
      <c r="AE88" s="21" t="str">
        <f t="shared" si="38"/>
        <v>BR_VW_AFS_faceinsta_SOC_DRCT_CPM_CLK_LDR_AAF_RON_CXD_After-Sales-Oficina-Classicos-lal-add-to-cart-ofertas_PD_carrossel</v>
      </c>
      <c r="AF88" s="21" t="str">
        <f t="shared" si="39"/>
        <v>BR_VW_AFS_faceinsta_SOC_DRCT_CPM_CLK_LDR_AAF_RON_CXD_After-Sales-Oficina-Classicos-lal-add-to-cart-ofertas_PD_carrossel</v>
      </c>
      <c r="AG88" s="21" t="str">
        <f t="shared" si="40"/>
        <v>VW_After-Sales-lal-add-to-cart-ofertas_carrossel_After-Sales-Oficina-Classicos-faceinsta</v>
      </c>
      <c r="AH88" s="21" t="str">
        <f t="shared" si="41"/>
        <v>https://www.oficinadeclassicos.com.br/index.aspx?utm_source=faceinsta&amp;utm_medium=Direct&amp;utm_content=BR_VW_AFS_faceinsta_SOC_DRCT_CPM_CLK_LDR_AAF_RON_CXD_After-Sales-Oficina-Classicos-lal-add-to-cart-ofertas_PD_carrossel&amp;utm_campaign=BR_AAF_DSY_NONMS_ND_AS_2019Q2APR_AFS_After-Sales&amp;utm_term=%epid!_%ecid!_%eaid!</v>
      </c>
      <c r="AI88" s="21" t="str">
        <f t="shared" si="42"/>
        <v>https://ad.doubleclick.net/ddm/trackclk/N9487.3165544FACEINSTA/B22646029.288239772;dc_trk_aid=481706302;dc_trk_cid=121930624;dc_lat=;dc_rdid=;tag_for_child_directed_treatment=;tfua=</v>
      </c>
      <c r="AJ88" s="15" t="str">
        <f t="shared" si="46"/>
        <v>faceinsta</v>
      </c>
      <c r="AK88" s="15" t="str">
        <f t="shared" si="47"/>
        <v>Direct</v>
      </c>
      <c r="AL88" s="21" t="str">
        <f>Campanha!$B$3</f>
        <v>BR_AAF_DSY_NONMS_ND_AS_2019Q2APR_AFS_After-Sales</v>
      </c>
      <c r="AM88" s="21" t="str">
        <f t="shared" si="45"/>
        <v>BR_VW_AFS_faceinsta_SOC_DRCT_CPM_CLK_LDR_AAF_RON_CXD_After-Sales-Oficina-Classicos-lal-add-to-cart-ofertas_PD_carrossel</v>
      </c>
      <c r="AN88" s="15" t="s">
        <v>809</v>
      </c>
    </row>
    <row r="89" spans="2:40" x14ac:dyDescent="0.25">
      <c r="B89" s="15" t="s">
        <v>933</v>
      </c>
      <c r="C89" s="15" t="s">
        <v>934</v>
      </c>
      <c r="D89" s="30" t="s">
        <v>873</v>
      </c>
      <c r="E89" s="22">
        <v>44155</v>
      </c>
      <c r="F89" s="22">
        <v>44196</v>
      </c>
      <c r="G89" s="30" t="s">
        <v>672</v>
      </c>
      <c r="H89" s="30" t="s">
        <v>387</v>
      </c>
      <c r="I89" s="30" t="s">
        <v>722</v>
      </c>
      <c r="J89" s="30" t="s">
        <v>313</v>
      </c>
      <c r="K89" s="30" t="s">
        <v>334</v>
      </c>
      <c r="L89" s="30" t="s">
        <v>342</v>
      </c>
      <c r="M89" s="30" t="s">
        <v>322</v>
      </c>
      <c r="N89" s="15" t="s">
        <v>708</v>
      </c>
      <c r="O89" s="15" t="s">
        <v>694</v>
      </c>
      <c r="P89" s="15" t="s">
        <v>886</v>
      </c>
      <c r="Q89" s="15" t="s">
        <v>877</v>
      </c>
      <c r="R89" s="15" t="s">
        <v>835</v>
      </c>
      <c r="S89" s="15" t="s">
        <v>348</v>
      </c>
      <c r="T89" s="15" t="s">
        <v>884</v>
      </c>
      <c r="AC89" s="32" t="s">
        <v>885</v>
      </c>
      <c r="AD89" s="33" t="e">
        <f t="shared" si="48"/>
        <v>#N/A</v>
      </c>
      <c r="AE89" s="21" t="str">
        <f t="shared" si="38"/>
        <v>BR_VW_AFS_faceinsta_SOC_DRCT_CPM_CLK_LDR_AAF_RON_CXD_After-Sales-Oficina-Classicos-rmkt-add-to-cart-ofertas_PD_link-ad</v>
      </c>
      <c r="AF89" s="21" t="str">
        <f t="shared" si="39"/>
        <v>BR_VW_AFS_faceinsta_SOC_DRCT_CPM_CLK_LDR_AAF_RON_CXD_After-Sales-Oficina-Classicos-rmkt-add-to-cart-ofertas_PD_link-ad</v>
      </c>
      <c r="AG89" s="21" t="str">
        <f t="shared" si="40"/>
        <v>VW_After-Sales-rmkt-add-to-cart-ofertas_link-ad_After-Sales-Oficina-Classicos-faceinsta</v>
      </c>
      <c r="AH89" s="21" t="str">
        <f t="shared" si="41"/>
        <v>https://www.oficinadeclassicos.com.br/index.aspx?utm_source=faceinsta&amp;utm_medium=Direct&amp;utm_content=BR_VW_AFS_faceinsta_SOC_DRCT_CPM_CLK_LDR_AAF_RON_CXD_After-Sales-Oficina-Classicos-rmkt-add-to-cart-ofertas_PD_link-ad&amp;utm_campaign=BR_AAF_DSY_NONMS_ND_AS_2019Q2APR_AFS_After-Sales&amp;utm_term=%epid!_%ecid!_%eaid!</v>
      </c>
      <c r="AI89" s="21" t="str">
        <f t="shared" si="42"/>
        <v>https://ad.doubleclick.net/ddm/trackclk/N9487.3165544FACEINSTA/B22646029.288239829;dc_trk_aid=481853487;dc_trk_cid=121930624;dc_lat=;dc_rdid=;tag_for_child_directed_treatment=;tfua=</v>
      </c>
      <c r="AJ89" s="15" t="str">
        <f t="shared" si="46"/>
        <v>faceinsta</v>
      </c>
      <c r="AK89" s="15" t="str">
        <f t="shared" si="47"/>
        <v>Direct</v>
      </c>
      <c r="AL89" s="21" t="str">
        <f>Campanha!$B$3</f>
        <v>BR_AAF_DSY_NONMS_ND_AS_2019Q2APR_AFS_After-Sales</v>
      </c>
      <c r="AM89" s="21" t="str">
        <f t="shared" si="45"/>
        <v>BR_VW_AFS_faceinsta_SOC_DRCT_CPM_CLK_LDR_AAF_RON_CXD_After-Sales-Oficina-Classicos-rmkt-add-to-cart-ofertas_PD_link-ad</v>
      </c>
      <c r="AN89" s="15" t="s">
        <v>809</v>
      </c>
    </row>
    <row r="90" spans="2:40" x14ac:dyDescent="0.25">
      <c r="B90" s="15" t="s">
        <v>933</v>
      </c>
      <c r="C90" s="15" t="s">
        <v>934</v>
      </c>
      <c r="D90" s="30" t="s">
        <v>873</v>
      </c>
      <c r="E90" s="22">
        <v>44155</v>
      </c>
      <c r="F90" s="22">
        <v>44196</v>
      </c>
      <c r="G90" s="30" t="s">
        <v>672</v>
      </c>
      <c r="H90" s="30" t="s">
        <v>387</v>
      </c>
      <c r="I90" s="30" t="s">
        <v>722</v>
      </c>
      <c r="J90" s="30" t="s">
        <v>313</v>
      </c>
      <c r="K90" s="30" t="s">
        <v>334</v>
      </c>
      <c r="L90" s="30" t="s">
        <v>342</v>
      </c>
      <c r="M90" s="30" t="s">
        <v>322</v>
      </c>
      <c r="N90" s="15" t="s">
        <v>708</v>
      </c>
      <c r="O90" s="15" t="s">
        <v>694</v>
      </c>
      <c r="P90" s="15" t="s">
        <v>886</v>
      </c>
      <c r="Q90" s="15" t="s">
        <v>879</v>
      </c>
      <c r="R90" s="15" t="s">
        <v>835</v>
      </c>
      <c r="S90" s="15" t="s">
        <v>348</v>
      </c>
      <c r="T90" s="15" t="s">
        <v>884</v>
      </c>
      <c r="AC90" s="32" t="s">
        <v>885</v>
      </c>
      <c r="AD90" s="33" t="e">
        <f t="shared" si="48"/>
        <v>#N/A</v>
      </c>
      <c r="AE90" s="21" t="str">
        <f t="shared" si="38"/>
        <v>BR_VW_AFS_faceinsta_SOC_DRCT_CPM_CLK_LDR_AAF_RON_CXD_After-Sales-Oficina-Classicos-lal-visita-home-oficina_PD_link-ad</v>
      </c>
      <c r="AF90" s="21" t="str">
        <f t="shared" si="39"/>
        <v>BR_VW_AFS_faceinsta_SOC_DRCT_CPM_CLK_LDR_AAF_RON_CXD_After-Sales-Oficina-Classicos-lal-visita-home-oficina_PD_link-ad</v>
      </c>
      <c r="AG90" s="21" t="str">
        <f t="shared" si="40"/>
        <v>VW_After-Sales-lal-visita-home-oficina_link-ad_After-Sales-Oficina-Classicos-faceinsta</v>
      </c>
      <c r="AH90" s="21" t="str">
        <f t="shared" si="41"/>
        <v>https://www.oficinadeclassicos.com.br/index.aspx?utm_source=faceinsta&amp;utm_medium=Direct&amp;utm_content=BR_VW_AFS_faceinsta_SOC_DRCT_CPM_CLK_LDR_AAF_RON_CXD_After-Sales-Oficina-Classicos-lal-visita-home-oficina_PD_link-ad&amp;utm_campaign=BR_AAF_DSY_NONMS_ND_AS_2019Q2APR_AFS_After-Sales&amp;utm_term=%epid!_%ecid!_%eaid!</v>
      </c>
      <c r="AI90" s="21" t="str">
        <f t="shared" si="42"/>
        <v>https://ad.doubleclick.net/ddm/trackclk/N9487.3165544FACEINSTA/B22646029.288239823;dc_trk_aid=481853481;dc_trk_cid=121930624;dc_lat=;dc_rdid=;tag_for_child_directed_treatment=;tfua=</v>
      </c>
      <c r="AJ90" s="15" t="str">
        <f t="shared" si="46"/>
        <v>faceinsta</v>
      </c>
      <c r="AK90" s="15" t="str">
        <f t="shared" si="47"/>
        <v>Direct</v>
      </c>
      <c r="AL90" s="21" t="str">
        <f>Campanha!$B$3</f>
        <v>BR_AAF_DSY_NONMS_ND_AS_2019Q2APR_AFS_After-Sales</v>
      </c>
      <c r="AM90" s="21" t="str">
        <f t="shared" si="45"/>
        <v>BR_VW_AFS_faceinsta_SOC_DRCT_CPM_CLK_LDR_AAF_RON_CXD_After-Sales-Oficina-Classicos-lal-visita-home-oficina_PD_link-ad</v>
      </c>
      <c r="AN90" s="15" t="s">
        <v>809</v>
      </c>
    </row>
    <row r="91" spans="2:40" x14ac:dyDescent="0.25">
      <c r="B91" s="15" t="s">
        <v>933</v>
      </c>
      <c r="C91" s="15" t="s">
        <v>934</v>
      </c>
      <c r="D91" s="30" t="s">
        <v>873</v>
      </c>
      <c r="E91" s="22">
        <v>44155</v>
      </c>
      <c r="F91" s="22">
        <v>44196</v>
      </c>
      <c r="G91" s="30" t="s">
        <v>672</v>
      </c>
      <c r="H91" s="30" t="s">
        <v>387</v>
      </c>
      <c r="I91" s="30" t="s">
        <v>722</v>
      </c>
      <c r="J91" s="30" t="s">
        <v>313</v>
      </c>
      <c r="K91" s="30" t="s">
        <v>334</v>
      </c>
      <c r="L91" s="30" t="s">
        <v>342</v>
      </c>
      <c r="M91" s="30" t="s">
        <v>322</v>
      </c>
      <c r="N91" s="15" t="s">
        <v>708</v>
      </c>
      <c r="O91" s="15" t="s">
        <v>694</v>
      </c>
      <c r="P91" s="15" t="s">
        <v>886</v>
      </c>
      <c r="Q91" s="15" t="s">
        <v>880</v>
      </c>
      <c r="R91" s="15" t="s">
        <v>835</v>
      </c>
      <c r="S91" s="15" t="s">
        <v>348</v>
      </c>
      <c r="T91" s="15" t="s">
        <v>884</v>
      </c>
      <c r="AC91" s="32" t="s">
        <v>885</v>
      </c>
      <c r="AD91" s="33" t="e">
        <f t="shared" si="48"/>
        <v>#N/A</v>
      </c>
      <c r="AE91" s="21" t="str">
        <f t="shared" si="38"/>
        <v>BR_VW_AFS_faceinsta_SOC_DRCT_CPM_CLK_LDR_AAF_RON_CXD_After-Sales-Oficina-Classicos-lal-add-to-cart-oficina_PD_link-ad</v>
      </c>
      <c r="AF91" s="21" t="str">
        <f t="shared" si="39"/>
        <v>BR_VW_AFS_faceinsta_SOC_DRCT_CPM_CLK_LDR_AAF_RON_CXD_After-Sales-Oficina-Classicos-lal-add-to-cart-oficina_PD_link-ad</v>
      </c>
      <c r="AG91" s="21" t="str">
        <f t="shared" si="40"/>
        <v>VW_After-Sales-lal-add-to-cart-oficina_link-ad_After-Sales-Oficina-Classicos-faceinsta</v>
      </c>
      <c r="AH91" s="21" t="str">
        <f t="shared" si="41"/>
        <v>https://www.oficinadeclassicos.com.br/index.aspx?utm_source=faceinsta&amp;utm_medium=Direct&amp;utm_content=BR_VW_AFS_faceinsta_SOC_DRCT_CPM_CLK_LDR_AAF_RON_CXD_After-Sales-Oficina-Classicos-lal-add-to-cart-oficina_PD_link-ad&amp;utm_campaign=BR_AAF_DSY_NONMS_ND_AS_2019Q2APR_AFS_After-Sales&amp;utm_term=%epid!_%ecid!_%eaid!</v>
      </c>
      <c r="AI91" s="21" t="str">
        <f t="shared" si="42"/>
        <v>https://ad.doubleclick.net/ddm/trackclk/N9487.3165544FACEINSTA/B22646029.288239817;dc_trk_aid=481853475;dc_trk_cid=121930624;dc_lat=;dc_rdid=;tag_for_child_directed_treatment=;tfua=</v>
      </c>
      <c r="AJ91" s="15" t="str">
        <f t="shared" si="46"/>
        <v>faceinsta</v>
      </c>
      <c r="AK91" s="15" t="str">
        <f t="shared" si="47"/>
        <v>Direct</v>
      </c>
      <c r="AL91" s="21" t="str">
        <f>Campanha!$B$3</f>
        <v>BR_AAF_DSY_NONMS_ND_AS_2019Q2APR_AFS_After-Sales</v>
      </c>
      <c r="AM91" s="21" t="str">
        <f t="shared" si="45"/>
        <v>BR_VW_AFS_faceinsta_SOC_DRCT_CPM_CLK_LDR_AAF_RON_CXD_After-Sales-Oficina-Classicos-lal-add-to-cart-oficina_PD_link-ad</v>
      </c>
      <c r="AN91" s="15" t="s">
        <v>809</v>
      </c>
    </row>
    <row r="92" spans="2:40" x14ac:dyDescent="0.25">
      <c r="B92" s="15" t="s">
        <v>933</v>
      </c>
      <c r="C92" s="15" t="s">
        <v>934</v>
      </c>
      <c r="D92" s="30" t="s">
        <v>873</v>
      </c>
      <c r="E92" s="22">
        <v>44155</v>
      </c>
      <c r="F92" s="22">
        <v>44196</v>
      </c>
      <c r="G92" s="30" t="s">
        <v>672</v>
      </c>
      <c r="H92" s="30" t="s">
        <v>387</v>
      </c>
      <c r="I92" s="30" t="s">
        <v>722</v>
      </c>
      <c r="J92" s="30" t="s">
        <v>313</v>
      </c>
      <c r="K92" s="30" t="s">
        <v>334</v>
      </c>
      <c r="L92" s="30" t="s">
        <v>342</v>
      </c>
      <c r="M92" s="30" t="s">
        <v>322</v>
      </c>
      <c r="N92" s="15" t="s">
        <v>708</v>
      </c>
      <c r="O92" s="15" t="s">
        <v>694</v>
      </c>
      <c r="P92" s="15" t="s">
        <v>886</v>
      </c>
      <c r="Q92" s="15" t="s">
        <v>875</v>
      </c>
      <c r="R92" s="15" t="s">
        <v>835</v>
      </c>
      <c r="S92" s="15" t="s">
        <v>348</v>
      </c>
      <c r="T92" s="15" t="s">
        <v>884</v>
      </c>
      <c r="AC92" s="32" t="s">
        <v>885</v>
      </c>
      <c r="AD92" s="33" t="e">
        <f t="shared" si="48"/>
        <v>#N/A</v>
      </c>
      <c r="AE92" s="21" t="str">
        <f t="shared" si="38"/>
        <v>BR_VW_AFS_faceinsta_SOC_DRCT_CPM_CLK_LDR_AAF_RON_CXD_After-Sales-Oficina-Classicos-lal-visita-home-ofertas_PD_link-ad</v>
      </c>
      <c r="AF92" s="21" t="str">
        <f t="shared" si="39"/>
        <v>BR_VW_AFS_faceinsta_SOC_DRCT_CPM_CLK_LDR_AAF_RON_CXD_After-Sales-Oficina-Classicos-lal-visita-home-ofertas_PD_link-ad</v>
      </c>
      <c r="AG92" s="21" t="str">
        <f t="shared" si="40"/>
        <v>VW_After-Sales-lal-visita-home-ofertas_link-ad_After-Sales-Oficina-Classicos-faceinsta</v>
      </c>
      <c r="AH92" s="21" t="str">
        <f t="shared" si="41"/>
        <v>https://www.oficinadeclassicos.com.br/index.aspx?utm_source=faceinsta&amp;utm_medium=Direct&amp;utm_content=BR_VW_AFS_faceinsta_SOC_DRCT_CPM_CLK_LDR_AAF_RON_CXD_After-Sales-Oficina-Classicos-lal-visita-home-ofertas_PD_link-ad&amp;utm_campaign=BR_AAF_DSY_NONMS_ND_AS_2019Q2APR_AFS_After-Sales&amp;utm_term=%epid!_%ecid!_%eaid!</v>
      </c>
      <c r="AI92" s="21" t="str">
        <f t="shared" si="42"/>
        <v>https://ad.doubleclick.net/ddm/trackclk/N9487.3165544FACEINSTA/B22646029.288239811;dc_trk_aid=481706341;dc_trk_cid=121930624;dc_lat=;dc_rdid=;tag_for_child_directed_treatment=;tfua=</v>
      </c>
      <c r="AJ92" s="15" t="str">
        <f t="shared" si="46"/>
        <v>faceinsta</v>
      </c>
      <c r="AK92" s="15" t="str">
        <f t="shared" si="47"/>
        <v>Direct</v>
      </c>
      <c r="AL92" s="21" t="str">
        <f>Campanha!$B$3</f>
        <v>BR_AAF_DSY_NONMS_ND_AS_2019Q2APR_AFS_After-Sales</v>
      </c>
      <c r="AM92" s="21" t="str">
        <f t="shared" si="45"/>
        <v>BR_VW_AFS_faceinsta_SOC_DRCT_CPM_CLK_LDR_AAF_RON_CXD_After-Sales-Oficina-Classicos-lal-visita-home-ofertas_PD_link-ad</v>
      </c>
      <c r="AN92" s="15" t="s">
        <v>809</v>
      </c>
    </row>
    <row r="93" spans="2:40" x14ac:dyDescent="0.25">
      <c r="B93" s="15" t="s">
        <v>933</v>
      </c>
      <c r="C93" s="15" t="s">
        <v>934</v>
      </c>
      <c r="D93" s="30" t="s">
        <v>873</v>
      </c>
      <c r="E93" s="22">
        <v>44155</v>
      </c>
      <c r="F93" s="22">
        <v>44196</v>
      </c>
      <c r="G93" s="30" t="s">
        <v>672</v>
      </c>
      <c r="H93" s="30" t="s">
        <v>387</v>
      </c>
      <c r="I93" s="30" t="s">
        <v>722</v>
      </c>
      <c r="J93" s="30" t="s">
        <v>313</v>
      </c>
      <c r="K93" s="30" t="s">
        <v>334</v>
      </c>
      <c r="L93" s="30" t="s">
        <v>342</v>
      </c>
      <c r="M93" s="30" t="s">
        <v>322</v>
      </c>
      <c r="N93" s="15" t="s">
        <v>708</v>
      </c>
      <c r="O93" s="15" t="s">
        <v>694</v>
      </c>
      <c r="P93" s="15" t="s">
        <v>886</v>
      </c>
      <c r="Q93" s="15" t="s">
        <v>876</v>
      </c>
      <c r="R93" s="15" t="s">
        <v>835</v>
      </c>
      <c r="S93" s="15" t="s">
        <v>348</v>
      </c>
      <c r="T93" s="15" t="s">
        <v>884</v>
      </c>
      <c r="AC93" s="32" t="s">
        <v>885</v>
      </c>
      <c r="AD93" s="33" t="e">
        <f t="shared" si="48"/>
        <v>#N/A</v>
      </c>
      <c r="AE93" s="21" t="str">
        <f t="shared" si="38"/>
        <v>BR_VW_AFS_faceinsta_SOC_DRCT_CPM_CLK_LDR_AAF_RON_CXD_After-Sales-Oficina-Classicos-lal-add-to-cart-ofertas_PD_link-ad</v>
      </c>
      <c r="AF93" s="21" t="str">
        <f t="shared" si="39"/>
        <v>BR_VW_AFS_faceinsta_SOC_DRCT_CPM_CLK_LDR_AAF_RON_CXD_After-Sales-Oficina-Classicos-lal-add-to-cart-ofertas_PD_link-ad</v>
      </c>
      <c r="AG93" s="21" t="str">
        <f t="shared" si="40"/>
        <v>VW_After-Sales-lal-add-to-cart-ofertas_link-ad_After-Sales-Oficina-Classicos-faceinsta</v>
      </c>
      <c r="AH93" s="21" t="str">
        <f t="shared" si="41"/>
        <v>https://www.oficinadeclassicos.com.br/index.aspx?utm_source=faceinsta&amp;utm_medium=Direct&amp;utm_content=BR_VW_AFS_faceinsta_SOC_DRCT_CPM_CLK_LDR_AAF_RON_CXD_After-Sales-Oficina-Classicos-lal-add-to-cart-ofertas_PD_link-ad&amp;utm_campaign=BR_AAF_DSY_NONMS_ND_AS_2019Q2APR_AFS_After-Sales&amp;utm_term=%epid!_%ecid!_%eaid!</v>
      </c>
      <c r="AI93" s="21" t="str">
        <f t="shared" si="42"/>
        <v>https://ad.doubleclick.net/ddm/trackclk/N9487.3165544FACEINSTA/B22646029.288239805;dc_trk_aid=481706335;dc_trk_cid=121930624;dc_lat=;dc_rdid=;tag_for_child_directed_treatment=;tfua=</v>
      </c>
      <c r="AJ93" s="15" t="str">
        <f t="shared" si="46"/>
        <v>faceinsta</v>
      </c>
      <c r="AK93" s="15" t="str">
        <f t="shared" si="47"/>
        <v>Direct</v>
      </c>
      <c r="AL93" s="21" t="str">
        <f>Campanha!$B$3</f>
        <v>BR_AAF_DSY_NONMS_ND_AS_2019Q2APR_AFS_After-Sales</v>
      </c>
      <c r="AM93" s="21" t="str">
        <f t="shared" si="45"/>
        <v>BR_VW_AFS_faceinsta_SOC_DRCT_CPM_CLK_LDR_AAF_RON_CXD_After-Sales-Oficina-Classicos-lal-add-to-cart-ofertas_PD_link-ad</v>
      </c>
      <c r="AN93" s="15" t="s">
        <v>809</v>
      </c>
    </row>
    <row r="94" spans="2:40" x14ac:dyDescent="0.25">
      <c r="B94" s="15" t="s">
        <v>933</v>
      </c>
      <c r="C94" s="15" t="s">
        <v>1001</v>
      </c>
      <c r="D94" s="30" t="s">
        <v>873</v>
      </c>
      <c r="E94" s="22">
        <v>44155</v>
      </c>
      <c r="F94" s="22">
        <v>44196</v>
      </c>
      <c r="G94" s="30" t="s">
        <v>672</v>
      </c>
      <c r="H94" s="30" t="s">
        <v>387</v>
      </c>
      <c r="I94" s="30" t="s">
        <v>722</v>
      </c>
      <c r="J94" s="30" t="s">
        <v>313</v>
      </c>
      <c r="K94" s="30" t="s">
        <v>334</v>
      </c>
      <c r="L94" s="30" t="s">
        <v>342</v>
      </c>
      <c r="M94" s="30" t="s">
        <v>322</v>
      </c>
      <c r="N94" s="15" t="s">
        <v>708</v>
      </c>
      <c r="O94" s="15" t="s">
        <v>694</v>
      </c>
      <c r="P94" s="15" t="s">
        <v>935</v>
      </c>
      <c r="Q94" s="15" t="s">
        <v>878</v>
      </c>
      <c r="R94" s="15" t="s">
        <v>835</v>
      </c>
      <c r="S94" s="15" t="s">
        <v>348</v>
      </c>
      <c r="T94" s="15" t="s">
        <v>884</v>
      </c>
      <c r="AC94" s="32" t="s">
        <v>885</v>
      </c>
      <c r="AD94" s="33" t="e">
        <f t="shared" si="48"/>
        <v>#N/A</v>
      </c>
      <c r="AE94" s="21" t="str">
        <f t="shared" si="38"/>
        <v>BR_VW_AFS_faceinsta_SOC_DRCT_CPM_CLK_LDR_AAF_RON_CXD_After-Sales-Oficina-Classicos-kit2-rmkt-visita-home-oficina_PD_link-ad</v>
      </c>
      <c r="AF94" s="21" t="str">
        <f t="shared" si="39"/>
        <v>BR_VW_AFS_faceinsta_SOC_DRCT_CPM_CLK_LDR_AAF_RON_CXD_After-Sales-Oficina-Classicos-kit2-rmkt-visita-home-oficina_PD_link-ad</v>
      </c>
      <c r="AG94" s="21" t="str">
        <f t="shared" si="40"/>
        <v>VW_After-Sales-rmkt-visita-home-oficina_link-ad_After-Sales-Oficina-Classicos-kit2-faceinsta</v>
      </c>
      <c r="AH94" s="21" t="str">
        <f t="shared" si="41"/>
        <v>https://www.oficinadeclassicos.com.br/index.aspx?utm_source=faceinsta&amp;utm_medium=Direct&amp;utm_content=BR_VW_AFS_faceinsta_SOC_DRCT_CPM_CLK_LDR_AAF_RON_CXD_After-Sales-Oficina-Classicos-kit2-rmkt-visita-home-oficina_PD_link-ad&amp;utm_campaign=BR_AAF_DSY_NONMS_ND_AS_2019Q2APR_AFS_After-Sales&amp;utm_term=%epid!_%ecid!_%eaid!</v>
      </c>
      <c r="AI94" s="21" t="str">
        <f t="shared" si="42"/>
        <v>https://ad.doubleclick.net/ddm/trackclk/N9487.3165544FACEINSTA/B22646029.288639355;dc_trk_aid=481983736;dc_trk_cid=121930624;dc_lat=;dc_rdid=;tag_for_child_directed_treatment=;tfua=</v>
      </c>
      <c r="AJ94" s="15" t="str">
        <f t="shared" ref="AJ94:AJ125" si="49">H94</f>
        <v>faceinsta</v>
      </c>
      <c r="AK94" s="15" t="str">
        <f t="shared" ref="AK94:AK125" si="50">J94</f>
        <v>Direct</v>
      </c>
      <c r="AL94" s="21" t="str">
        <f>Campanha!$B$3</f>
        <v>BR_AAF_DSY_NONMS_ND_AS_2019Q2APR_AFS_After-Sales</v>
      </c>
      <c r="AM94" s="21" t="str">
        <f t="shared" si="45"/>
        <v>BR_VW_AFS_faceinsta_SOC_DRCT_CPM_CLK_LDR_AAF_RON_CXD_After-Sales-Oficina-Classicos-kit2-rmkt-visita-home-oficina_PD_link-ad</v>
      </c>
      <c r="AN94" s="15" t="s">
        <v>809</v>
      </c>
    </row>
    <row r="95" spans="2:40" x14ac:dyDescent="0.25">
      <c r="B95" s="15" t="s">
        <v>933</v>
      </c>
      <c r="C95" s="15" t="s">
        <v>1001</v>
      </c>
      <c r="D95" s="30" t="s">
        <v>873</v>
      </c>
      <c r="E95" s="22">
        <v>44155</v>
      </c>
      <c r="F95" s="22">
        <v>44196</v>
      </c>
      <c r="G95" s="30" t="s">
        <v>672</v>
      </c>
      <c r="H95" s="30" t="s">
        <v>387</v>
      </c>
      <c r="I95" s="30" t="s">
        <v>722</v>
      </c>
      <c r="J95" s="30" t="s">
        <v>313</v>
      </c>
      <c r="K95" s="30" t="s">
        <v>334</v>
      </c>
      <c r="L95" s="30" t="s">
        <v>342</v>
      </c>
      <c r="M95" s="30" t="s">
        <v>322</v>
      </c>
      <c r="N95" s="15" t="s">
        <v>708</v>
      </c>
      <c r="O95" s="15" t="s">
        <v>694</v>
      </c>
      <c r="P95" s="15" t="s">
        <v>935</v>
      </c>
      <c r="Q95" s="15" t="s">
        <v>881</v>
      </c>
      <c r="R95" s="15" t="s">
        <v>835</v>
      </c>
      <c r="S95" s="15" t="s">
        <v>348</v>
      </c>
      <c r="T95" s="15" t="s">
        <v>884</v>
      </c>
      <c r="AC95" s="32" t="s">
        <v>885</v>
      </c>
      <c r="AD95" s="33" t="e">
        <f t="shared" si="48"/>
        <v>#N/A</v>
      </c>
      <c r="AE95" s="21" t="str">
        <f t="shared" si="38"/>
        <v>BR_VW_AFS_faceinsta_SOC_DRCT_CPM_CLK_LDR_AAF_RON_CXD_After-Sales-Oficina-Classicos-kit2-rmkt-add-to-cart-oficina_PD_link-ad</v>
      </c>
      <c r="AF95" s="21" t="str">
        <f t="shared" si="39"/>
        <v>BR_VW_AFS_faceinsta_SOC_DRCT_CPM_CLK_LDR_AAF_RON_CXD_After-Sales-Oficina-Classicos-kit2-rmkt-add-to-cart-oficina_PD_link-ad</v>
      </c>
      <c r="AG95" s="21" t="str">
        <f t="shared" si="40"/>
        <v>VW_After-Sales-rmkt-add-to-cart-oficina_link-ad_After-Sales-Oficina-Classicos-kit2-faceinsta</v>
      </c>
      <c r="AH95" s="21" t="str">
        <f t="shared" si="41"/>
        <v>https://www.oficinadeclassicos.com.br/index.aspx?utm_source=faceinsta&amp;utm_medium=Direct&amp;utm_content=BR_VW_AFS_faceinsta_SOC_DRCT_CPM_CLK_LDR_AAF_RON_CXD_After-Sales-Oficina-Classicos-kit2-rmkt-add-to-cart-oficina_PD_link-ad&amp;utm_campaign=BR_AAF_DSY_NONMS_ND_AS_2019Q2APR_AFS_After-Sales&amp;utm_term=%epid!_%ecid!_%eaid!</v>
      </c>
      <c r="AI95" s="21" t="str">
        <f t="shared" si="42"/>
        <v>https://ad.doubleclick.net/ddm/trackclk/N9487.3165544FACEINSTA/B22646029.288639352;dc_trk_aid=481983733;dc_trk_cid=121930624;dc_lat=;dc_rdid=;tag_for_child_directed_treatment=;tfua=</v>
      </c>
      <c r="AJ95" s="15" t="str">
        <f t="shared" si="49"/>
        <v>faceinsta</v>
      </c>
      <c r="AK95" s="15" t="str">
        <f t="shared" si="50"/>
        <v>Direct</v>
      </c>
      <c r="AL95" s="21" t="str">
        <f>Campanha!$B$3</f>
        <v>BR_AAF_DSY_NONMS_ND_AS_2019Q2APR_AFS_After-Sales</v>
      </c>
      <c r="AM95" s="21" t="str">
        <f t="shared" si="45"/>
        <v>BR_VW_AFS_faceinsta_SOC_DRCT_CPM_CLK_LDR_AAF_RON_CXD_After-Sales-Oficina-Classicos-kit2-rmkt-add-to-cart-oficina_PD_link-ad</v>
      </c>
      <c r="AN95" s="15" t="s">
        <v>809</v>
      </c>
    </row>
    <row r="96" spans="2:40" x14ac:dyDescent="0.25">
      <c r="B96" s="15" t="s">
        <v>933</v>
      </c>
      <c r="C96" s="15" t="s">
        <v>1001</v>
      </c>
      <c r="D96" s="30" t="s">
        <v>873</v>
      </c>
      <c r="E96" s="22">
        <v>44155</v>
      </c>
      <c r="F96" s="22">
        <v>44196</v>
      </c>
      <c r="G96" s="30" t="s">
        <v>672</v>
      </c>
      <c r="H96" s="30" t="s">
        <v>387</v>
      </c>
      <c r="I96" s="30" t="s">
        <v>722</v>
      </c>
      <c r="J96" s="30" t="s">
        <v>313</v>
      </c>
      <c r="K96" s="30" t="s">
        <v>334</v>
      </c>
      <c r="L96" s="30" t="s">
        <v>342</v>
      </c>
      <c r="M96" s="30" t="s">
        <v>322</v>
      </c>
      <c r="N96" s="15" t="s">
        <v>708</v>
      </c>
      <c r="O96" s="15" t="s">
        <v>694</v>
      </c>
      <c r="P96" s="15" t="s">
        <v>935</v>
      </c>
      <c r="Q96" s="15" t="s">
        <v>874</v>
      </c>
      <c r="R96" s="15" t="s">
        <v>835</v>
      </c>
      <c r="S96" s="15" t="s">
        <v>348</v>
      </c>
      <c r="T96" s="15" t="s">
        <v>884</v>
      </c>
      <c r="AC96" s="32" t="s">
        <v>885</v>
      </c>
      <c r="AD96" s="33" t="e">
        <f t="shared" si="48"/>
        <v>#N/A</v>
      </c>
      <c r="AE96" s="21" t="str">
        <f t="shared" si="38"/>
        <v>BR_VW_AFS_faceinsta_SOC_DRCT_CPM_CLK_LDR_AAF_RON_CXD_After-Sales-Oficina-Classicos-kit2-rmkt-visita-home-ofertas_PD_link-ad</v>
      </c>
      <c r="AF96" s="21" t="str">
        <f t="shared" si="39"/>
        <v>BR_VW_AFS_faceinsta_SOC_DRCT_CPM_CLK_LDR_AAF_RON_CXD_After-Sales-Oficina-Classicos-kit2-rmkt-visita-home-ofertas_PD_link-ad</v>
      </c>
      <c r="AG96" s="21" t="str">
        <f t="shared" si="40"/>
        <v>VW_After-Sales-rmkt-visita-home-ofertas_link-ad_After-Sales-Oficina-Classicos-kit2-faceinsta</v>
      </c>
      <c r="AH96" s="21" t="str">
        <f t="shared" si="41"/>
        <v>https://www.oficinadeclassicos.com.br/index.aspx?utm_source=faceinsta&amp;utm_medium=Direct&amp;utm_content=BR_VW_AFS_faceinsta_SOC_DRCT_CPM_CLK_LDR_AAF_RON_CXD_After-Sales-Oficina-Classicos-kit2-rmkt-visita-home-ofertas_PD_link-ad&amp;utm_campaign=BR_AAF_DSY_NONMS_ND_AS_2019Q2APR_AFS_After-Sales&amp;utm_term=%epid!_%ecid!_%eaid!</v>
      </c>
      <c r="AI96" s="21" t="str">
        <f t="shared" si="42"/>
        <v>https://ad.doubleclick.net/ddm/trackclk/N9487.3165544FACEINSTA/B22646029.288639349;dc_trk_aid=481983730;dc_trk_cid=121930624;dc_lat=;dc_rdid=;tag_for_child_directed_treatment=;tfua=</v>
      </c>
      <c r="AJ96" s="15" t="str">
        <f t="shared" si="49"/>
        <v>faceinsta</v>
      </c>
      <c r="AK96" s="15" t="str">
        <f t="shared" si="50"/>
        <v>Direct</v>
      </c>
      <c r="AL96" s="21" t="str">
        <f>Campanha!$B$3</f>
        <v>BR_AAF_DSY_NONMS_ND_AS_2019Q2APR_AFS_After-Sales</v>
      </c>
      <c r="AM96" s="21" t="str">
        <f t="shared" si="45"/>
        <v>BR_VW_AFS_faceinsta_SOC_DRCT_CPM_CLK_LDR_AAF_RON_CXD_After-Sales-Oficina-Classicos-kit2-rmkt-visita-home-ofertas_PD_link-ad</v>
      </c>
      <c r="AN96" s="15" t="s">
        <v>809</v>
      </c>
    </row>
    <row r="97" spans="2:40" x14ac:dyDescent="0.25">
      <c r="B97" s="15" t="s">
        <v>933</v>
      </c>
      <c r="C97" s="15" t="s">
        <v>1001</v>
      </c>
      <c r="D97" s="30" t="s">
        <v>873</v>
      </c>
      <c r="E97" s="22">
        <v>44155</v>
      </c>
      <c r="F97" s="22">
        <v>44196</v>
      </c>
      <c r="G97" s="30" t="s">
        <v>672</v>
      </c>
      <c r="H97" s="30" t="s">
        <v>387</v>
      </c>
      <c r="I97" s="30" t="s">
        <v>722</v>
      </c>
      <c r="J97" s="30" t="s">
        <v>313</v>
      </c>
      <c r="K97" s="30" t="s">
        <v>334</v>
      </c>
      <c r="L97" s="30" t="s">
        <v>342</v>
      </c>
      <c r="M97" s="30" t="s">
        <v>322</v>
      </c>
      <c r="N97" s="15" t="s">
        <v>708</v>
      </c>
      <c r="O97" s="15" t="s">
        <v>694</v>
      </c>
      <c r="P97" s="15" t="s">
        <v>935</v>
      </c>
      <c r="Q97" s="15" t="s">
        <v>877</v>
      </c>
      <c r="R97" s="15" t="s">
        <v>835</v>
      </c>
      <c r="S97" s="15" t="s">
        <v>348</v>
      </c>
      <c r="T97" s="15" t="s">
        <v>884</v>
      </c>
      <c r="AC97" s="32" t="s">
        <v>885</v>
      </c>
      <c r="AD97" s="33" t="e">
        <f t="shared" si="48"/>
        <v>#N/A</v>
      </c>
      <c r="AE97" s="21" t="str">
        <f t="shared" si="38"/>
        <v>BR_VW_AFS_faceinsta_SOC_DRCT_CPM_CLK_LDR_AAF_RON_CXD_After-Sales-Oficina-Classicos-kit2-rmkt-add-to-cart-ofertas_PD_link-ad</v>
      </c>
      <c r="AF97" s="21" t="str">
        <f t="shared" si="39"/>
        <v>BR_VW_AFS_faceinsta_SOC_DRCT_CPM_CLK_LDR_AAF_RON_CXD_After-Sales-Oficina-Classicos-kit2-rmkt-add-to-cart-ofertas_PD_link-ad</v>
      </c>
      <c r="AG97" s="21" t="str">
        <f t="shared" si="40"/>
        <v>VW_After-Sales-rmkt-add-to-cart-ofertas_link-ad_After-Sales-Oficina-Classicos-kit2-faceinsta</v>
      </c>
      <c r="AH97" s="21" t="str">
        <f t="shared" si="41"/>
        <v>https://www.oficinadeclassicos.com.br/index.aspx?utm_source=faceinsta&amp;utm_medium=Direct&amp;utm_content=BR_VW_AFS_faceinsta_SOC_DRCT_CPM_CLK_LDR_AAF_RON_CXD_After-Sales-Oficina-Classicos-kit2-rmkt-add-to-cart-ofertas_PD_link-ad&amp;utm_campaign=BR_AAF_DSY_NONMS_ND_AS_2019Q2APR_AFS_After-Sales&amp;utm_term=%epid!_%ecid!_%eaid!</v>
      </c>
      <c r="AI97" s="21" t="str">
        <f t="shared" si="42"/>
        <v>https://ad.doubleclick.net/ddm/trackclk/N9487.3165544FACEINSTA/B22646029.288639346;dc_trk_aid=481983727;dc_trk_cid=121930624;dc_lat=;dc_rdid=;tag_for_child_directed_treatment=;tfua=</v>
      </c>
      <c r="AJ97" s="15" t="str">
        <f t="shared" si="49"/>
        <v>faceinsta</v>
      </c>
      <c r="AK97" s="15" t="str">
        <f t="shared" si="50"/>
        <v>Direct</v>
      </c>
      <c r="AL97" s="21" t="str">
        <f>Campanha!$B$3</f>
        <v>BR_AAF_DSY_NONMS_ND_AS_2019Q2APR_AFS_After-Sales</v>
      </c>
      <c r="AM97" s="21" t="str">
        <f t="shared" si="45"/>
        <v>BR_VW_AFS_faceinsta_SOC_DRCT_CPM_CLK_LDR_AAF_RON_CXD_After-Sales-Oficina-Classicos-kit2-rmkt-add-to-cart-ofertas_PD_link-ad</v>
      </c>
      <c r="AN97" s="15" t="s">
        <v>809</v>
      </c>
    </row>
    <row r="98" spans="2:40" x14ac:dyDescent="0.25">
      <c r="B98" s="15" t="s">
        <v>933</v>
      </c>
      <c r="C98" s="15" t="s">
        <v>1001</v>
      </c>
      <c r="D98" s="30" t="s">
        <v>873</v>
      </c>
      <c r="E98" s="22">
        <v>44155</v>
      </c>
      <c r="F98" s="22">
        <v>44196</v>
      </c>
      <c r="G98" s="30" t="s">
        <v>672</v>
      </c>
      <c r="H98" s="30" t="s">
        <v>387</v>
      </c>
      <c r="I98" s="30" t="s">
        <v>722</v>
      </c>
      <c r="J98" s="30" t="s">
        <v>313</v>
      </c>
      <c r="K98" s="30" t="s">
        <v>334</v>
      </c>
      <c r="L98" s="30" t="s">
        <v>342</v>
      </c>
      <c r="M98" s="30" t="s">
        <v>322</v>
      </c>
      <c r="N98" s="15" t="s">
        <v>708</v>
      </c>
      <c r="O98" s="15" t="s">
        <v>694</v>
      </c>
      <c r="P98" s="15" t="s">
        <v>935</v>
      </c>
      <c r="Q98" s="15" t="s">
        <v>879</v>
      </c>
      <c r="R98" s="15" t="s">
        <v>835</v>
      </c>
      <c r="S98" s="15" t="s">
        <v>348</v>
      </c>
      <c r="T98" s="15" t="s">
        <v>884</v>
      </c>
      <c r="AC98" s="32" t="s">
        <v>885</v>
      </c>
      <c r="AD98" s="33" t="e">
        <f t="shared" si="48"/>
        <v>#N/A</v>
      </c>
      <c r="AE98" s="21" t="str">
        <f t="shared" si="38"/>
        <v>BR_VW_AFS_faceinsta_SOC_DRCT_CPM_CLK_LDR_AAF_RON_CXD_After-Sales-Oficina-Classicos-kit2-lal-visita-home-oficina_PD_link-ad</v>
      </c>
      <c r="AF98" s="21" t="str">
        <f t="shared" si="39"/>
        <v>BR_VW_AFS_faceinsta_SOC_DRCT_CPM_CLK_LDR_AAF_RON_CXD_After-Sales-Oficina-Classicos-kit2-lal-visita-home-oficina_PD_link-ad</v>
      </c>
      <c r="AG98" s="21" t="str">
        <f t="shared" si="40"/>
        <v>VW_After-Sales-lal-visita-home-oficina_link-ad_After-Sales-Oficina-Classicos-kit2-faceinsta</v>
      </c>
      <c r="AH98" s="21" t="str">
        <f t="shared" si="41"/>
        <v>https://www.oficinadeclassicos.com.br/index.aspx?utm_source=faceinsta&amp;utm_medium=Direct&amp;utm_content=BR_VW_AFS_faceinsta_SOC_DRCT_CPM_CLK_LDR_AAF_RON_CXD_After-Sales-Oficina-Classicos-kit2-lal-visita-home-oficina_PD_link-ad&amp;utm_campaign=BR_AAF_DSY_NONMS_ND_AS_2019Q2APR_AFS_After-Sales&amp;utm_term=%epid!_%ecid!_%eaid!</v>
      </c>
      <c r="AI98" s="21" t="str">
        <f t="shared" si="42"/>
        <v>https://ad.doubleclick.net/ddm/trackclk/N9487.3165544FACEINSTA/B22646029.288639343;dc_trk_aid=481983724;dc_trk_cid=121930624;dc_lat=;dc_rdid=;tag_for_child_directed_treatment=;tfua=</v>
      </c>
      <c r="AJ98" s="15" t="str">
        <f t="shared" si="49"/>
        <v>faceinsta</v>
      </c>
      <c r="AK98" s="15" t="str">
        <f t="shared" si="50"/>
        <v>Direct</v>
      </c>
      <c r="AL98" s="21" t="str">
        <f>Campanha!$B$3</f>
        <v>BR_AAF_DSY_NONMS_ND_AS_2019Q2APR_AFS_After-Sales</v>
      </c>
      <c r="AM98" s="21" t="str">
        <f t="shared" si="45"/>
        <v>BR_VW_AFS_faceinsta_SOC_DRCT_CPM_CLK_LDR_AAF_RON_CXD_After-Sales-Oficina-Classicos-kit2-lal-visita-home-oficina_PD_link-ad</v>
      </c>
      <c r="AN98" s="15" t="s">
        <v>809</v>
      </c>
    </row>
    <row r="99" spans="2:40" x14ac:dyDescent="0.25">
      <c r="B99" s="15" t="s">
        <v>933</v>
      </c>
      <c r="C99" s="15" t="s">
        <v>1001</v>
      </c>
      <c r="D99" s="30" t="s">
        <v>873</v>
      </c>
      <c r="E99" s="22">
        <v>44155</v>
      </c>
      <c r="F99" s="22">
        <v>44196</v>
      </c>
      <c r="G99" s="30" t="s">
        <v>672</v>
      </c>
      <c r="H99" s="30" t="s">
        <v>387</v>
      </c>
      <c r="I99" s="30" t="s">
        <v>722</v>
      </c>
      <c r="J99" s="30" t="s">
        <v>313</v>
      </c>
      <c r="K99" s="30" t="s">
        <v>334</v>
      </c>
      <c r="L99" s="30" t="s">
        <v>342</v>
      </c>
      <c r="M99" s="30" t="s">
        <v>322</v>
      </c>
      <c r="N99" s="15" t="s">
        <v>708</v>
      </c>
      <c r="O99" s="15" t="s">
        <v>694</v>
      </c>
      <c r="P99" s="15" t="s">
        <v>935</v>
      </c>
      <c r="Q99" s="15" t="s">
        <v>880</v>
      </c>
      <c r="R99" s="15" t="s">
        <v>835</v>
      </c>
      <c r="S99" s="15" t="s">
        <v>348</v>
      </c>
      <c r="T99" s="15" t="s">
        <v>884</v>
      </c>
      <c r="AC99" s="32" t="s">
        <v>885</v>
      </c>
      <c r="AD99" s="33" t="e">
        <f t="shared" si="48"/>
        <v>#N/A</v>
      </c>
      <c r="AE99" s="21" t="str">
        <f t="shared" si="38"/>
        <v>BR_VW_AFS_faceinsta_SOC_DRCT_CPM_CLK_LDR_AAF_RON_CXD_After-Sales-Oficina-Classicos-kit2-lal-add-to-cart-oficina_PD_link-ad</v>
      </c>
      <c r="AF99" s="21" t="str">
        <f t="shared" si="39"/>
        <v>BR_VW_AFS_faceinsta_SOC_DRCT_CPM_CLK_LDR_AAF_RON_CXD_After-Sales-Oficina-Classicos-kit2-lal-add-to-cart-oficina_PD_link-ad</v>
      </c>
      <c r="AG99" s="21" t="str">
        <f t="shared" si="40"/>
        <v>VW_After-Sales-lal-add-to-cart-oficina_link-ad_After-Sales-Oficina-Classicos-kit2-faceinsta</v>
      </c>
      <c r="AH99" s="21" t="str">
        <f t="shared" si="41"/>
        <v>https://www.oficinadeclassicos.com.br/index.aspx?utm_source=faceinsta&amp;utm_medium=Direct&amp;utm_content=BR_VW_AFS_faceinsta_SOC_DRCT_CPM_CLK_LDR_AAF_RON_CXD_After-Sales-Oficina-Classicos-kit2-lal-add-to-cart-oficina_PD_link-ad&amp;utm_campaign=BR_AAF_DSY_NONMS_ND_AS_2019Q2APR_AFS_After-Sales&amp;utm_term=%epid!_%ecid!_%eaid!</v>
      </c>
      <c r="AI99" s="21" t="str">
        <f t="shared" si="42"/>
        <v>https://ad.doubleclick.net/ddm/trackclk/N9487.3165544FACEINSTA/B22646029.288639340;dc_trk_aid=481983721;dc_trk_cid=121930624;dc_lat=;dc_rdid=;tag_for_child_directed_treatment=;tfua=</v>
      </c>
      <c r="AJ99" s="15" t="str">
        <f t="shared" si="49"/>
        <v>faceinsta</v>
      </c>
      <c r="AK99" s="15" t="str">
        <f t="shared" si="50"/>
        <v>Direct</v>
      </c>
      <c r="AL99" s="21" t="str">
        <f>Campanha!$B$3</f>
        <v>BR_AAF_DSY_NONMS_ND_AS_2019Q2APR_AFS_After-Sales</v>
      </c>
      <c r="AM99" s="21" t="str">
        <f t="shared" si="45"/>
        <v>BR_VW_AFS_faceinsta_SOC_DRCT_CPM_CLK_LDR_AAF_RON_CXD_After-Sales-Oficina-Classicos-kit2-lal-add-to-cart-oficina_PD_link-ad</v>
      </c>
      <c r="AN99" s="15" t="s">
        <v>809</v>
      </c>
    </row>
    <row r="100" spans="2:40" x14ac:dyDescent="0.25">
      <c r="B100" s="15" t="s">
        <v>933</v>
      </c>
      <c r="C100" s="15" t="s">
        <v>1001</v>
      </c>
      <c r="D100" s="30" t="s">
        <v>873</v>
      </c>
      <c r="E100" s="22">
        <v>44155</v>
      </c>
      <c r="F100" s="22">
        <v>44196</v>
      </c>
      <c r="G100" s="30" t="s">
        <v>672</v>
      </c>
      <c r="H100" s="30" t="s">
        <v>387</v>
      </c>
      <c r="I100" s="30" t="s">
        <v>722</v>
      </c>
      <c r="J100" s="30" t="s">
        <v>313</v>
      </c>
      <c r="K100" s="30" t="s">
        <v>334</v>
      </c>
      <c r="L100" s="30" t="s">
        <v>342</v>
      </c>
      <c r="M100" s="30" t="s">
        <v>322</v>
      </c>
      <c r="N100" s="15" t="s">
        <v>708</v>
      </c>
      <c r="O100" s="15" t="s">
        <v>694</v>
      </c>
      <c r="P100" s="15" t="s">
        <v>935</v>
      </c>
      <c r="Q100" s="15" t="s">
        <v>875</v>
      </c>
      <c r="R100" s="15" t="s">
        <v>835</v>
      </c>
      <c r="S100" s="15" t="s">
        <v>348</v>
      </c>
      <c r="T100" s="15" t="s">
        <v>884</v>
      </c>
      <c r="AC100" s="32" t="s">
        <v>885</v>
      </c>
      <c r="AD100" s="33" t="e">
        <f t="shared" si="48"/>
        <v>#N/A</v>
      </c>
      <c r="AE100" s="21" t="str">
        <f t="shared" si="38"/>
        <v>BR_VW_AFS_faceinsta_SOC_DRCT_CPM_CLK_LDR_AAF_RON_CXD_After-Sales-Oficina-Classicos-kit2-lal-visita-home-ofertas_PD_link-ad</v>
      </c>
      <c r="AF100" s="21" t="str">
        <f t="shared" si="39"/>
        <v>BR_VW_AFS_faceinsta_SOC_DRCT_CPM_CLK_LDR_AAF_RON_CXD_After-Sales-Oficina-Classicos-kit2-lal-visita-home-ofertas_PD_link-ad</v>
      </c>
      <c r="AG100" s="21" t="str">
        <f t="shared" si="40"/>
        <v>VW_After-Sales-lal-visita-home-ofertas_link-ad_After-Sales-Oficina-Classicos-kit2-faceinsta</v>
      </c>
      <c r="AH100" s="21" t="str">
        <f t="shared" si="41"/>
        <v>https://www.oficinadeclassicos.com.br/index.aspx?utm_source=faceinsta&amp;utm_medium=Direct&amp;utm_content=BR_VW_AFS_faceinsta_SOC_DRCT_CPM_CLK_LDR_AAF_RON_CXD_After-Sales-Oficina-Classicos-kit2-lal-visita-home-ofertas_PD_link-ad&amp;utm_campaign=BR_AAF_DSY_NONMS_ND_AS_2019Q2APR_AFS_After-Sales&amp;utm_term=%epid!_%ecid!_%eaid!</v>
      </c>
      <c r="AI100" s="21" t="str">
        <f t="shared" si="42"/>
        <v>https://ad.doubleclick.net/ddm/trackclk/N9487.3165544FACEINSTA/B22646029.288639337;dc_trk_aid=481983718;dc_trk_cid=121930624;dc_lat=;dc_rdid=;tag_for_child_directed_treatment=;tfua=</v>
      </c>
      <c r="AJ100" s="15" t="str">
        <f t="shared" si="49"/>
        <v>faceinsta</v>
      </c>
      <c r="AK100" s="15" t="str">
        <f t="shared" si="50"/>
        <v>Direct</v>
      </c>
      <c r="AL100" s="21" t="str">
        <f>Campanha!$B$3</f>
        <v>BR_AAF_DSY_NONMS_ND_AS_2019Q2APR_AFS_After-Sales</v>
      </c>
      <c r="AM100" s="21" t="str">
        <f t="shared" si="45"/>
        <v>BR_VW_AFS_faceinsta_SOC_DRCT_CPM_CLK_LDR_AAF_RON_CXD_After-Sales-Oficina-Classicos-kit2-lal-visita-home-ofertas_PD_link-ad</v>
      </c>
      <c r="AN100" s="15" t="s">
        <v>809</v>
      </c>
    </row>
    <row r="101" spans="2:40" x14ac:dyDescent="0.25">
      <c r="B101" s="15" t="s">
        <v>933</v>
      </c>
      <c r="C101" s="15" t="s">
        <v>1001</v>
      </c>
      <c r="D101" s="30" t="s">
        <v>873</v>
      </c>
      <c r="E101" s="22">
        <v>44155</v>
      </c>
      <c r="F101" s="22">
        <v>44196</v>
      </c>
      <c r="G101" s="30" t="s">
        <v>672</v>
      </c>
      <c r="H101" s="30" t="s">
        <v>387</v>
      </c>
      <c r="I101" s="30" t="s">
        <v>722</v>
      </c>
      <c r="J101" s="30" t="s">
        <v>313</v>
      </c>
      <c r="K101" s="30" t="s">
        <v>334</v>
      </c>
      <c r="L101" s="30" t="s">
        <v>342</v>
      </c>
      <c r="M101" s="30" t="s">
        <v>322</v>
      </c>
      <c r="N101" s="15" t="s">
        <v>708</v>
      </c>
      <c r="O101" s="15" t="s">
        <v>694</v>
      </c>
      <c r="P101" s="15" t="s">
        <v>935</v>
      </c>
      <c r="Q101" s="15" t="s">
        <v>876</v>
      </c>
      <c r="R101" s="15" t="s">
        <v>835</v>
      </c>
      <c r="S101" s="15" t="s">
        <v>348</v>
      </c>
      <c r="T101" s="15" t="s">
        <v>884</v>
      </c>
      <c r="AC101" s="32" t="s">
        <v>885</v>
      </c>
      <c r="AD101" s="33" t="e">
        <f t="shared" si="48"/>
        <v>#N/A</v>
      </c>
      <c r="AE101" s="21" t="str">
        <f t="shared" si="38"/>
        <v>BR_VW_AFS_faceinsta_SOC_DRCT_CPM_CLK_LDR_AAF_RON_CXD_After-Sales-Oficina-Classicos-kit2-lal-add-to-cart-ofertas_PD_link-ad</v>
      </c>
      <c r="AF101" s="21" t="str">
        <f t="shared" si="39"/>
        <v>BR_VW_AFS_faceinsta_SOC_DRCT_CPM_CLK_LDR_AAF_RON_CXD_After-Sales-Oficina-Classicos-kit2-lal-add-to-cart-ofertas_PD_link-ad</v>
      </c>
      <c r="AG101" s="21" t="str">
        <f t="shared" si="40"/>
        <v>VW_After-Sales-lal-add-to-cart-ofertas_link-ad_After-Sales-Oficina-Classicos-kit2-faceinsta</v>
      </c>
      <c r="AH101" s="21" t="str">
        <f t="shared" si="41"/>
        <v>https://www.oficinadeclassicos.com.br/index.aspx?utm_source=faceinsta&amp;utm_medium=Direct&amp;utm_content=BR_VW_AFS_faceinsta_SOC_DRCT_CPM_CLK_LDR_AAF_RON_CXD_After-Sales-Oficina-Classicos-kit2-lal-add-to-cart-ofertas_PD_link-ad&amp;utm_campaign=BR_AAF_DSY_NONMS_ND_AS_2019Q2APR_AFS_After-Sales&amp;utm_term=%epid!_%ecid!_%eaid!</v>
      </c>
      <c r="AI101" s="21" t="str">
        <f t="shared" si="42"/>
        <v>https://ad.doubleclick.net/ddm/trackclk/N9487.3165544FACEINSTA/B22646029.288639334;dc_trk_aid=481983715;dc_trk_cid=121930624;dc_lat=;dc_rdid=;tag_for_child_directed_treatment=;tfua=</v>
      </c>
      <c r="AJ101" s="15" t="str">
        <f t="shared" si="49"/>
        <v>faceinsta</v>
      </c>
      <c r="AK101" s="15" t="str">
        <f t="shared" si="50"/>
        <v>Direct</v>
      </c>
      <c r="AL101" s="21" t="str">
        <f>Campanha!$B$3</f>
        <v>BR_AAF_DSY_NONMS_ND_AS_2019Q2APR_AFS_After-Sales</v>
      </c>
      <c r="AM101" s="21" t="str">
        <f t="shared" si="45"/>
        <v>BR_VW_AFS_faceinsta_SOC_DRCT_CPM_CLK_LDR_AAF_RON_CXD_After-Sales-Oficina-Classicos-kit2-lal-add-to-cart-ofertas_PD_link-ad</v>
      </c>
      <c r="AN101" s="15" t="s">
        <v>809</v>
      </c>
    </row>
    <row r="102" spans="2:40" x14ac:dyDescent="0.25">
      <c r="B102" s="15" t="s">
        <v>933</v>
      </c>
      <c r="C102" s="15" t="s">
        <v>1001</v>
      </c>
      <c r="D102" s="30" t="s">
        <v>873</v>
      </c>
      <c r="E102" s="22">
        <v>44155</v>
      </c>
      <c r="F102" s="22">
        <v>44196</v>
      </c>
      <c r="G102" s="30" t="s">
        <v>672</v>
      </c>
      <c r="H102" s="30" t="s">
        <v>387</v>
      </c>
      <c r="I102" s="30" t="s">
        <v>722</v>
      </c>
      <c r="J102" s="30" t="s">
        <v>313</v>
      </c>
      <c r="K102" s="30" t="s">
        <v>334</v>
      </c>
      <c r="L102" s="30" t="s">
        <v>342</v>
      </c>
      <c r="M102" s="30" t="s">
        <v>322</v>
      </c>
      <c r="N102" s="15" t="s">
        <v>708</v>
      </c>
      <c r="O102" s="15" t="s">
        <v>694</v>
      </c>
      <c r="P102" s="15" t="s">
        <v>936</v>
      </c>
      <c r="Q102" s="15" t="s">
        <v>878</v>
      </c>
      <c r="R102" s="15" t="s">
        <v>835</v>
      </c>
      <c r="S102" s="15" t="s">
        <v>348</v>
      </c>
      <c r="T102" s="15" t="s">
        <v>884</v>
      </c>
      <c r="AC102" s="32" t="s">
        <v>885</v>
      </c>
      <c r="AD102" s="33" t="e">
        <f t="shared" si="48"/>
        <v>#N/A</v>
      </c>
      <c r="AE102" s="21" t="str">
        <f t="shared" si="38"/>
        <v>BR_VW_AFS_faceinsta_SOC_DRCT_CPM_CLK_LDR_AAF_RON_CXD_After-Sales-Oficina-Classicos-kit3-rmkt-visita-home-oficina_PD_link-ad</v>
      </c>
      <c r="AF102" s="21" t="str">
        <f t="shared" si="39"/>
        <v>BR_VW_AFS_faceinsta_SOC_DRCT_CPM_CLK_LDR_AAF_RON_CXD_After-Sales-Oficina-Classicos-kit3-rmkt-visita-home-oficina_PD_link-ad</v>
      </c>
      <c r="AG102" s="21" t="str">
        <f t="shared" si="40"/>
        <v>VW_After-Sales-rmkt-visita-home-oficina_link-ad_After-Sales-Oficina-Classicos-kit3-faceinsta</v>
      </c>
      <c r="AH102" s="21" t="str">
        <f t="shared" si="41"/>
        <v>https://www.oficinadeclassicos.com.br/index.aspx?utm_source=faceinsta&amp;utm_medium=Direct&amp;utm_content=BR_VW_AFS_faceinsta_SOC_DRCT_CPM_CLK_LDR_AAF_RON_CXD_After-Sales-Oficina-Classicos-kit3-rmkt-visita-home-oficina_PD_link-ad&amp;utm_campaign=BR_AAF_DSY_NONMS_ND_AS_2019Q2APR_AFS_After-Sales&amp;utm_term=%epid!_%ecid!_%eaid!</v>
      </c>
      <c r="AI102" s="21" t="str">
        <f t="shared" si="42"/>
        <v>https://ad.doubleclick.net/ddm/trackclk/N9487.3165544FACEINSTA/B22646029.288639331;dc_trk_aid=481983712;dc_trk_cid=121930624;dc_lat=;dc_rdid=;tag_for_child_directed_treatment=;tfua=</v>
      </c>
      <c r="AJ102" s="15" t="str">
        <f t="shared" si="49"/>
        <v>faceinsta</v>
      </c>
      <c r="AK102" s="15" t="str">
        <f t="shared" si="50"/>
        <v>Direct</v>
      </c>
      <c r="AL102" s="21" t="str">
        <f>Campanha!$B$3</f>
        <v>BR_AAF_DSY_NONMS_ND_AS_2019Q2APR_AFS_After-Sales</v>
      </c>
      <c r="AM102" s="21" t="str">
        <f t="shared" si="45"/>
        <v>BR_VW_AFS_faceinsta_SOC_DRCT_CPM_CLK_LDR_AAF_RON_CXD_After-Sales-Oficina-Classicos-kit3-rmkt-visita-home-oficina_PD_link-ad</v>
      </c>
      <c r="AN102" s="15" t="s">
        <v>809</v>
      </c>
    </row>
    <row r="103" spans="2:40" x14ac:dyDescent="0.25">
      <c r="B103" s="15" t="s">
        <v>933</v>
      </c>
      <c r="C103" s="15" t="s">
        <v>1001</v>
      </c>
      <c r="D103" s="30" t="s">
        <v>873</v>
      </c>
      <c r="E103" s="22">
        <v>44155</v>
      </c>
      <c r="F103" s="22">
        <v>44196</v>
      </c>
      <c r="G103" s="30" t="s">
        <v>672</v>
      </c>
      <c r="H103" s="30" t="s">
        <v>387</v>
      </c>
      <c r="I103" s="30" t="s">
        <v>722</v>
      </c>
      <c r="J103" s="30" t="s">
        <v>313</v>
      </c>
      <c r="K103" s="30" t="s">
        <v>334</v>
      </c>
      <c r="L103" s="30" t="s">
        <v>342</v>
      </c>
      <c r="M103" s="30" t="s">
        <v>322</v>
      </c>
      <c r="N103" s="15" t="s">
        <v>708</v>
      </c>
      <c r="O103" s="15" t="s">
        <v>694</v>
      </c>
      <c r="P103" s="15" t="s">
        <v>936</v>
      </c>
      <c r="Q103" s="15" t="s">
        <v>881</v>
      </c>
      <c r="R103" s="15" t="s">
        <v>835</v>
      </c>
      <c r="S103" s="15" t="s">
        <v>348</v>
      </c>
      <c r="T103" s="15" t="s">
        <v>884</v>
      </c>
      <c r="AC103" s="32" t="s">
        <v>885</v>
      </c>
      <c r="AD103" s="33" t="e">
        <f t="shared" si="48"/>
        <v>#N/A</v>
      </c>
      <c r="AE103" s="21" t="str">
        <f t="shared" si="38"/>
        <v>BR_VW_AFS_faceinsta_SOC_DRCT_CPM_CLK_LDR_AAF_RON_CXD_After-Sales-Oficina-Classicos-kit3-rmkt-add-to-cart-oficina_PD_link-ad</v>
      </c>
      <c r="AF103" s="21" t="str">
        <f t="shared" si="39"/>
        <v>BR_VW_AFS_faceinsta_SOC_DRCT_CPM_CLK_LDR_AAF_RON_CXD_After-Sales-Oficina-Classicos-kit3-rmkt-add-to-cart-oficina_PD_link-ad</v>
      </c>
      <c r="AG103" s="21" t="str">
        <f t="shared" si="40"/>
        <v>VW_After-Sales-rmkt-add-to-cart-oficina_link-ad_After-Sales-Oficina-Classicos-kit3-faceinsta</v>
      </c>
      <c r="AH103" s="21" t="str">
        <f t="shared" si="41"/>
        <v>https://www.oficinadeclassicos.com.br/index.aspx?utm_source=faceinsta&amp;utm_medium=Direct&amp;utm_content=BR_VW_AFS_faceinsta_SOC_DRCT_CPM_CLK_LDR_AAF_RON_CXD_After-Sales-Oficina-Classicos-kit3-rmkt-add-to-cart-oficina_PD_link-ad&amp;utm_campaign=BR_AAF_DSY_NONMS_ND_AS_2019Q2APR_AFS_After-Sales&amp;utm_term=%epid!_%ecid!_%eaid!</v>
      </c>
      <c r="AI103" s="21" t="str">
        <f t="shared" si="42"/>
        <v>https://ad.doubleclick.net/ddm/trackclk/N9487.3165544FACEINSTA/B22646029.288639328;dc_trk_aid=481983709;dc_trk_cid=121930624;dc_lat=;dc_rdid=;tag_for_child_directed_treatment=;tfua=</v>
      </c>
      <c r="AJ103" s="15" t="str">
        <f t="shared" si="49"/>
        <v>faceinsta</v>
      </c>
      <c r="AK103" s="15" t="str">
        <f t="shared" si="50"/>
        <v>Direct</v>
      </c>
      <c r="AL103" s="21" t="str">
        <f>Campanha!$B$3</f>
        <v>BR_AAF_DSY_NONMS_ND_AS_2019Q2APR_AFS_After-Sales</v>
      </c>
      <c r="AM103" s="21" t="str">
        <f t="shared" si="45"/>
        <v>BR_VW_AFS_faceinsta_SOC_DRCT_CPM_CLK_LDR_AAF_RON_CXD_After-Sales-Oficina-Classicos-kit3-rmkt-add-to-cart-oficina_PD_link-ad</v>
      </c>
      <c r="AN103" s="15" t="s">
        <v>809</v>
      </c>
    </row>
    <row r="104" spans="2:40" x14ac:dyDescent="0.25">
      <c r="B104" s="15" t="s">
        <v>933</v>
      </c>
      <c r="C104" s="15" t="s">
        <v>1001</v>
      </c>
      <c r="D104" s="30" t="s">
        <v>873</v>
      </c>
      <c r="E104" s="22">
        <v>44155</v>
      </c>
      <c r="F104" s="22">
        <v>44196</v>
      </c>
      <c r="G104" s="30" t="s">
        <v>672</v>
      </c>
      <c r="H104" s="30" t="s">
        <v>387</v>
      </c>
      <c r="I104" s="30" t="s">
        <v>722</v>
      </c>
      <c r="J104" s="30" t="s">
        <v>313</v>
      </c>
      <c r="K104" s="30" t="s">
        <v>334</v>
      </c>
      <c r="L104" s="30" t="s">
        <v>342</v>
      </c>
      <c r="M104" s="30" t="s">
        <v>322</v>
      </c>
      <c r="N104" s="15" t="s">
        <v>708</v>
      </c>
      <c r="O104" s="15" t="s">
        <v>694</v>
      </c>
      <c r="P104" s="15" t="s">
        <v>936</v>
      </c>
      <c r="Q104" s="15" t="s">
        <v>874</v>
      </c>
      <c r="R104" s="15" t="s">
        <v>835</v>
      </c>
      <c r="S104" s="15" t="s">
        <v>348</v>
      </c>
      <c r="T104" s="15" t="s">
        <v>884</v>
      </c>
      <c r="AC104" s="32" t="s">
        <v>885</v>
      </c>
      <c r="AD104" s="33" t="e">
        <f t="shared" si="48"/>
        <v>#N/A</v>
      </c>
      <c r="AE104" s="21" t="str">
        <f t="shared" si="38"/>
        <v>BR_VW_AFS_faceinsta_SOC_DRCT_CPM_CLK_LDR_AAF_RON_CXD_After-Sales-Oficina-Classicos-kit3-rmkt-visita-home-ofertas_PD_link-ad</v>
      </c>
      <c r="AF104" s="21" t="str">
        <f t="shared" si="39"/>
        <v>BR_VW_AFS_faceinsta_SOC_DRCT_CPM_CLK_LDR_AAF_RON_CXD_After-Sales-Oficina-Classicos-kit3-rmkt-visita-home-ofertas_PD_link-ad</v>
      </c>
      <c r="AG104" s="21" t="str">
        <f t="shared" si="40"/>
        <v>VW_After-Sales-rmkt-visita-home-ofertas_link-ad_After-Sales-Oficina-Classicos-kit3-faceinsta</v>
      </c>
      <c r="AH104" s="21" t="str">
        <f t="shared" si="41"/>
        <v>https://www.oficinadeclassicos.com.br/index.aspx?utm_source=faceinsta&amp;utm_medium=Direct&amp;utm_content=BR_VW_AFS_faceinsta_SOC_DRCT_CPM_CLK_LDR_AAF_RON_CXD_After-Sales-Oficina-Classicos-kit3-rmkt-visita-home-ofertas_PD_link-ad&amp;utm_campaign=BR_AAF_DSY_NONMS_ND_AS_2019Q2APR_AFS_After-Sales&amp;utm_term=%epid!_%ecid!_%eaid!</v>
      </c>
      <c r="AI104" s="21" t="str">
        <f t="shared" si="42"/>
        <v>https://ad.doubleclick.net/ddm/trackclk/N9487.3165544FACEINSTA/B22646029.288639325;dc_trk_aid=481983706;dc_trk_cid=121930624;dc_lat=;dc_rdid=;tag_for_child_directed_treatment=;tfua=</v>
      </c>
      <c r="AJ104" s="15" t="str">
        <f t="shared" si="49"/>
        <v>faceinsta</v>
      </c>
      <c r="AK104" s="15" t="str">
        <f t="shared" si="50"/>
        <v>Direct</v>
      </c>
      <c r="AL104" s="21" t="str">
        <f>Campanha!$B$3</f>
        <v>BR_AAF_DSY_NONMS_ND_AS_2019Q2APR_AFS_After-Sales</v>
      </c>
      <c r="AM104" s="21" t="str">
        <f t="shared" si="45"/>
        <v>BR_VW_AFS_faceinsta_SOC_DRCT_CPM_CLK_LDR_AAF_RON_CXD_After-Sales-Oficina-Classicos-kit3-rmkt-visita-home-ofertas_PD_link-ad</v>
      </c>
      <c r="AN104" s="15" t="s">
        <v>809</v>
      </c>
    </row>
    <row r="105" spans="2:40" x14ac:dyDescent="0.25">
      <c r="B105" s="15" t="s">
        <v>933</v>
      </c>
      <c r="C105" s="15" t="s">
        <v>1001</v>
      </c>
      <c r="D105" s="30" t="s">
        <v>873</v>
      </c>
      <c r="E105" s="22">
        <v>44155</v>
      </c>
      <c r="F105" s="22">
        <v>44196</v>
      </c>
      <c r="G105" s="30" t="s">
        <v>672</v>
      </c>
      <c r="H105" s="30" t="s">
        <v>387</v>
      </c>
      <c r="I105" s="30" t="s">
        <v>722</v>
      </c>
      <c r="J105" s="30" t="s">
        <v>313</v>
      </c>
      <c r="K105" s="30" t="s">
        <v>334</v>
      </c>
      <c r="L105" s="30" t="s">
        <v>342</v>
      </c>
      <c r="M105" s="30" t="s">
        <v>322</v>
      </c>
      <c r="N105" s="15" t="s">
        <v>708</v>
      </c>
      <c r="O105" s="15" t="s">
        <v>694</v>
      </c>
      <c r="P105" s="15" t="s">
        <v>936</v>
      </c>
      <c r="Q105" s="15" t="s">
        <v>877</v>
      </c>
      <c r="R105" s="15" t="s">
        <v>835</v>
      </c>
      <c r="S105" s="15" t="s">
        <v>348</v>
      </c>
      <c r="T105" s="15" t="s">
        <v>884</v>
      </c>
      <c r="AC105" s="32" t="s">
        <v>885</v>
      </c>
      <c r="AD105" s="33" t="e">
        <f t="shared" si="48"/>
        <v>#N/A</v>
      </c>
      <c r="AE105" s="21" t="str">
        <f t="shared" si="38"/>
        <v>BR_VW_AFS_faceinsta_SOC_DRCT_CPM_CLK_LDR_AAF_RON_CXD_After-Sales-Oficina-Classicos-kit3-rmkt-add-to-cart-ofertas_PD_link-ad</v>
      </c>
      <c r="AF105" s="21" t="str">
        <f t="shared" si="39"/>
        <v>BR_VW_AFS_faceinsta_SOC_DRCT_CPM_CLK_LDR_AAF_RON_CXD_After-Sales-Oficina-Classicos-kit3-rmkt-add-to-cart-ofertas_PD_link-ad</v>
      </c>
      <c r="AG105" s="21" t="str">
        <f t="shared" si="40"/>
        <v>VW_After-Sales-rmkt-add-to-cart-ofertas_link-ad_After-Sales-Oficina-Classicos-kit3-faceinsta</v>
      </c>
      <c r="AH105" s="21" t="str">
        <f t="shared" si="41"/>
        <v>https://www.oficinadeclassicos.com.br/index.aspx?utm_source=faceinsta&amp;utm_medium=Direct&amp;utm_content=BR_VW_AFS_faceinsta_SOC_DRCT_CPM_CLK_LDR_AAF_RON_CXD_After-Sales-Oficina-Classicos-kit3-rmkt-add-to-cart-ofertas_PD_link-ad&amp;utm_campaign=BR_AAF_DSY_NONMS_ND_AS_2019Q2APR_AFS_After-Sales&amp;utm_term=%epid!_%ecid!_%eaid!</v>
      </c>
      <c r="AI105" s="21" t="str">
        <f t="shared" si="42"/>
        <v>https://ad.doubleclick.net/ddm/trackclk/N9487.3165544FACEINSTA/B22646029.288639322;dc_trk_aid=481983703;dc_trk_cid=121930624;dc_lat=;dc_rdid=;tag_for_child_directed_treatment=;tfua=</v>
      </c>
      <c r="AJ105" s="15" t="str">
        <f t="shared" si="49"/>
        <v>faceinsta</v>
      </c>
      <c r="AK105" s="15" t="str">
        <f t="shared" si="50"/>
        <v>Direct</v>
      </c>
      <c r="AL105" s="21" t="str">
        <f>Campanha!$B$3</f>
        <v>BR_AAF_DSY_NONMS_ND_AS_2019Q2APR_AFS_After-Sales</v>
      </c>
      <c r="AM105" s="21" t="str">
        <f t="shared" si="45"/>
        <v>BR_VW_AFS_faceinsta_SOC_DRCT_CPM_CLK_LDR_AAF_RON_CXD_After-Sales-Oficina-Classicos-kit3-rmkt-add-to-cart-ofertas_PD_link-ad</v>
      </c>
      <c r="AN105" s="15" t="s">
        <v>809</v>
      </c>
    </row>
    <row r="106" spans="2:40" x14ac:dyDescent="0.25">
      <c r="B106" s="15" t="s">
        <v>933</v>
      </c>
      <c r="C106" s="15" t="s">
        <v>1001</v>
      </c>
      <c r="D106" s="30" t="s">
        <v>873</v>
      </c>
      <c r="E106" s="22">
        <v>44155</v>
      </c>
      <c r="F106" s="22">
        <v>44196</v>
      </c>
      <c r="G106" s="30" t="s">
        <v>672</v>
      </c>
      <c r="H106" s="30" t="s">
        <v>387</v>
      </c>
      <c r="I106" s="30" t="s">
        <v>722</v>
      </c>
      <c r="J106" s="30" t="s">
        <v>313</v>
      </c>
      <c r="K106" s="30" t="s">
        <v>334</v>
      </c>
      <c r="L106" s="30" t="s">
        <v>342</v>
      </c>
      <c r="M106" s="30" t="s">
        <v>322</v>
      </c>
      <c r="N106" s="15" t="s">
        <v>708</v>
      </c>
      <c r="O106" s="15" t="s">
        <v>694</v>
      </c>
      <c r="P106" s="15" t="s">
        <v>936</v>
      </c>
      <c r="Q106" s="15" t="s">
        <v>879</v>
      </c>
      <c r="R106" s="15" t="s">
        <v>835</v>
      </c>
      <c r="S106" s="15" t="s">
        <v>348</v>
      </c>
      <c r="T106" s="15" t="s">
        <v>884</v>
      </c>
      <c r="AC106" s="32" t="s">
        <v>885</v>
      </c>
      <c r="AD106" s="33" t="e">
        <f t="shared" si="48"/>
        <v>#N/A</v>
      </c>
      <c r="AE106" s="21" t="str">
        <f t="shared" si="38"/>
        <v>BR_VW_AFS_faceinsta_SOC_DRCT_CPM_CLK_LDR_AAF_RON_CXD_After-Sales-Oficina-Classicos-kit3-lal-visita-home-oficina_PD_link-ad</v>
      </c>
      <c r="AF106" s="21" t="str">
        <f t="shared" si="39"/>
        <v>BR_VW_AFS_faceinsta_SOC_DRCT_CPM_CLK_LDR_AAF_RON_CXD_After-Sales-Oficina-Classicos-kit3-lal-visita-home-oficina_PD_link-ad</v>
      </c>
      <c r="AG106" s="21" t="str">
        <f t="shared" si="40"/>
        <v>VW_After-Sales-lal-visita-home-oficina_link-ad_After-Sales-Oficina-Classicos-kit3-faceinsta</v>
      </c>
      <c r="AH106" s="21" t="str">
        <f t="shared" si="41"/>
        <v>https://www.oficinadeclassicos.com.br/index.aspx?utm_source=faceinsta&amp;utm_medium=Direct&amp;utm_content=BR_VW_AFS_faceinsta_SOC_DRCT_CPM_CLK_LDR_AAF_RON_CXD_After-Sales-Oficina-Classicos-kit3-lal-visita-home-oficina_PD_link-ad&amp;utm_campaign=BR_AAF_DSY_NONMS_ND_AS_2019Q2APR_AFS_After-Sales&amp;utm_term=%epid!_%ecid!_%eaid!</v>
      </c>
      <c r="AI106" s="21" t="str">
        <f t="shared" si="42"/>
        <v>https://ad.doubleclick.net/ddm/trackclk/N9487.3165544FACEINSTA/B22646029.288639319;dc_trk_aid=481983700;dc_trk_cid=121930624;dc_lat=;dc_rdid=;tag_for_child_directed_treatment=;tfua=</v>
      </c>
      <c r="AJ106" s="15" t="str">
        <f t="shared" si="49"/>
        <v>faceinsta</v>
      </c>
      <c r="AK106" s="15" t="str">
        <f t="shared" si="50"/>
        <v>Direct</v>
      </c>
      <c r="AL106" s="21" t="str">
        <f>Campanha!$B$3</f>
        <v>BR_AAF_DSY_NONMS_ND_AS_2019Q2APR_AFS_After-Sales</v>
      </c>
      <c r="AM106" s="21" t="str">
        <f t="shared" si="45"/>
        <v>BR_VW_AFS_faceinsta_SOC_DRCT_CPM_CLK_LDR_AAF_RON_CXD_After-Sales-Oficina-Classicos-kit3-lal-visita-home-oficina_PD_link-ad</v>
      </c>
      <c r="AN106" s="15" t="s">
        <v>809</v>
      </c>
    </row>
    <row r="107" spans="2:40" x14ac:dyDescent="0.25">
      <c r="B107" s="15" t="s">
        <v>933</v>
      </c>
      <c r="C107" s="15" t="s">
        <v>1001</v>
      </c>
      <c r="D107" s="30" t="s">
        <v>873</v>
      </c>
      <c r="E107" s="22">
        <v>44155</v>
      </c>
      <c r="F107" s="22">
        <v>44196</v>
      </c>
      <c r="G107" s="30" t="s">
        <v>672</v>
      </c>
      <c r="H107" s="30" t="s">
        <v>387</v>
      </c>
      <c r="I107" s="30" t="s">
        <v>722</v>
      </c>
      <c r="J107" s="30" t="s">
        <v>313</v>
      </c>
      <c r="K107" s="30" t="s">
        <v>334</v>
      </c>
      <c r="L107" s="30" t="s">
        <v>342</v>
      </c>
      <c r="M107" s="30" t="s">
        <v>322</v>
      </c>
      <c r="N107" s="15" t="s">
        <v>708</v>
      </c>
      <c r="O107" s="15" t="s">
        <v>694</v>
      </c>
      <c r="P107" s="15" t="s">
        <v>936</v>
      </c>
      <c r="Q107" s="15" t="s">
        <v>880</v>
      </c>
      <c r="R107" s="15" t="s">
        <v>835</v>
      </c>
      <c r="S107" s="15" t="s">
        <v>348</v>
      </c>
      <c r="T107" s="15" t="s">
        <v>884</v>
      </c>
      <c r="AC107" s="32" t="s">
        <v>885</v>
      </c>
      <c r="AD107" s="33" t="e">
        <f t="shared" si="48"/>
        <v>#N/A</v>
      </c>
      <c r="AE107" s="21" t="str">
        <f t="shared" si="38"/>
        <v>BR_VW_AFS_faceinsta_SOC_DRCT_CPM_CLK_LDR_AAF_RON_CXD_After-Sales-Oficina-Classicos-kit3-lal-add-to-cart-oficina_PD_link-ad</v>
      </c>
      <c r="AF107" s="21" t="str">
        <f t="shared" si="39"/>
        <v>BR_VW_AFS_faceinsta_SOC_DRCT_CPM_CLK_LDR_AAF_RON_CXD_After-Sales-Oficina-Classicos-kit3-lal-add-to-cart-oficina_PD_link-ad</v>
      </c>
      <c r="AG107" s="21" t="str">
        <f t="shared" si="40"/>
        <v>VW_After-Sales-lal-add-to-cart-oficina_link-ad_After-Sales-Oficina-Classicos-kit3-faceinsta</v>
      </c>
      <c r="AH107" s="21" t="str">
        <f t="shared" si="41"/>
        <v>https://www.oficinadeclassicos.com.br/index.aspx?utm_source=faceinsta&amp;utm_medium=Direct&amp;utm_content=BR_VW_AFS_faceinsta_SOC_DRCT_CPM_CLK_LDR_AAF_RON_CXD_After-Sales-Oficina-Classicos-kit3-lal-add-to-cart-oficina_PD_link-ad&amp;utm_campaign=BR_AAF_DSY_NONMS_ND_AS_2019Q2APR_AFS_After-Sales&amp;utm_term=%epid!_%ecid!_%eaid!</v>
      </c>
      <c r="AI107" s="21" t="str">
        <f t="shared" si="42"/>
        <v>https://ad.doubleclick.net/ddm/trackclk/N9487.3165544FACEINSTA/B22646029.288639316;dc_trk_aid=481983697;dc_trk_cid=121930624;dc_lat=;dc_rdid=;tag_for_child_directed_treatment=;tfua=</v>
      </c>
      <c r="AJ107" s="15" t="str">
        <f t="shared" si="49"/>
        <v>faceinsta</v>
      </c>
      <c r="AK107" s="15" t="str">
        <f t="shared" si="50"/>
        <v>Direct</v>
      </c>
      <c r="AL107" s="21" t="str">
        <f>Campanha!$B$3</f>
        <v>BR_AAF_DSY_NONMS_ND_AS_2019Q2APR_AFS_After-Sales</v>
      </c>
      <c r="AM107" s="21" t="str">
        <f t="shared" si="45"/>
        <v>BR_VW_AFS_faceinsta_SOC_DRCT_CPM_CLK_LDR_AAF_RON_CXD_After-Sales-Oficina-Classicos-kit3-lal-add-to-cart-oficina_PD_link-ad</v>
      </c>
      <c r="AN107" s="15" t="s">
        <v>809</v>
      </c>
    </row>
    <row r="108" spans="2:40" x14ac:dyDescent="0.25">
      <c r="B108" s="15" t="s">
        <v>933</v>
      </c>
      <c r="C108" s="15" t="s">
        <v>1001</v>
      </c>
      <c r="D108" s="30" t="s">
        <v>873</v>
      </c>
      <c r="E108" s="22">
        <v>44155</v>
      </c>
      <c r="F108" s="22">
        <v>44196</v>
      </c>
      <c r="G108" s="30" t="s">
        <v>672</v>
      </c>
      <c r="H108" s="30" t="s">
        <v>387</v>
      </c>
      <c r="I108" s="30" t="s">
        <v>722</v>
      </c>
      <c r="J108" s="30" t="s">
        <v>313</v>
      </c>
      <c r="K108" s="30" t="s">
        <v>334</v>
      </c>
      <c r="L108" s="30" t="s">
        <v>342</v>
      </c>
      <c r="M108" s="30" t="s">
        <v>322</v>
      </c>
      <c r="N108" s="15" t="s">
        <v>708</v>
      </c>
      <c r="O108" s="15" t="s">
        <v>694</v>
      </c>
      <c r="P108" s="15" t="s">
        <v>936</v>
      </c>
      <c r="Q108" s="15" t="s">
        <v>875</v>
      </c>
      <c r="R108" s="15" t="s">
        <v>835</v>
      </c>
      <c r="S108" s="15" t="s">
        <v>348</v>
      </c>
      <c r="T108" s="15" t="s">
        <v>884</v>
      </c>
      <c r="AC108" s="32" t="s">
        <v>885</v>
      </c>
      <c r="AD108" s="33" t="e">
        <f t="shared" si="48"/>
        <v>#N/A</v>
      </c>
      <c r="AE108" s="21" t="str">
        <f t="shared" si="38"/>
        <v>BR_VW_AFS_faceinsta_SOC_DRCT_CPM_CLK_LDR_AAF_RON_CXD_After-Sales-Oficina-Classicos-kit3-lal-visita-home-ofertas_PD_link-ad</v>
      </c>
      <c r="AF108" s="21" t="str">
        <f t="shared" si="39"/>
        <v>BR_VW_AFS_faceinsta_SOC_DRCT_CPM_CLK_LDR_AAF_RON_CXD_After-Sales-Oficina-Classicos-kit3-lal-visita-home-ofertas_PD_link-ad</v>
      </c>
      <c r="AG108" s="21" t="str">
        <f t="shared" si="40"/>
        <v>VW_After-Sales-lal-visita-home-ofertas_link-ad_After-Sales-Oficina-Classicos-kit3-faceinsta</v>
      </c>
      <c r="AH108" s="21" t="str">
        <f t="shared" si="41"/>
        <v>https://www.oficinadeclassicos.com.br/index.aspx?utm_source=faceinsta&amp;utm_medium=Direct&amp;utm_content=BR_VW_AFS_faceinsta_SOC_DRCT_CPM_CLK_LDR_AAF_RON_CXD_After-Sales-Oficina-Classicos-kit3-lal-visita-home-ofertas_PD_link-ad&amp;utm_campaign=BR_AAF_DSY_NONMS_ND_AS_2019Q2APR_AFS_After-Sales&amp;utm_term=%epid!_%ecid!_%eaid!</v>
      </c>
      <c r="AI108" s="21" t="str">
        <f t="shared" si="42"/>
        <v>https://ad.doubleclick.net/ddm/trackclk/N9487.3165544FACEINSTA/B22646029.288639313;dc_trk_aid=481983694;dc_trk_cid=121930624;dc_lat=;dc_rdid=;tag_for_child_directed_treatment=;tfua=</v>
      </c>
      <c r="AJ108" s="15" t="str">
        <f t="shared" si="49"/>
        <v>faceinsta</v>
      </c>
      <c r="AK108" s="15" t="str">
        <f t="shared" si="50"/>
        <v>Direct</v>
      </c>
      <c r="AL108" s="21" t="str">
        <f>Campanha!$B$3</f>
        <v>BR_AAF_DSY_NONMS_ND_AS_2019Q2APR_AFS_After-Sales</v>
      </c>
      <c r="AM108" s="21" t="str">
        <f t="shared" si="45"/>
        <v>BR_VW_AFS_faceinsta_SOC_DRCT_CPM_CLK_LDR_AAF_RON_CXD_After-Sales-Oficina-Classicos-kit3-lal-visita-home-ofertas_PD_link-ad</v>
      </c>
      <c r="AN108" s="15" t="s">
        <v>809</v>
      </c>
    </row>
    <row r="109" spans="2:40" x14ac:dyDescent="0.25">
      <c r="B109" s="15" t="s">
        <v>933</v>
      </c>
      <c r="C109" s="15" t="s">
        <v>1001</v>
      </c>
      <c r="D109" s="30" t="s">
        <v>873</v>
      </c>
      <c r="E109" s="22">
        <v>44155</v>
      </c>
      <c r="F109" s="22">
        <v>44196</v>
      </c>
      <c r="G109" s="30" t="s">
        <v>672</v>
      </c>
      <c r="H109" s="30" t="s">
        <v>387</v>
      </c>
      <c r="I109" s="30" t="s">
        <v>722</v>
      </c>
      <c r="J109" s="30" t="s">
        <v>313</v>
      </c>
      <c r="K109" s="30" t="s">
        <v>334</v>
      </c>
      <c r="L109" s="30" t="s">
        <v>342</v>
      </c>
      <c r="M109" s="30" t="s">
        <v>322</v>
      </c>
      <c r="N109" s="15" t="s">
        <v>708</v>
      </c>
      <c r="O109" s="15" t="s">
        <v>694</v>
      </c>
      <c r="P109" s="15" t="s">
        <v>936</v>
      </c>
      <c r="Q109" s="15" t="s">
        <v>876</v>
      </c>
      <c r="R109" s="15" t="s">
        <v>835</v>
      </c>
      <c r="S109" s="15" t="s">
        <v>348</v>
      </c>
      <c r="T109" s="15" t="s">
        <v>884</v>
      </c>
      <c r="AC109" s="32" t="s">
        <v>885</v>
      </c>
      <c r="AD109" s="33" t="e">
        <f t="shared" si="48"/>
        <v>#N/A</v>
      </c>
      <c r="AE109" s="21" t="str">
        <f t="shared" si="38"/>
        <v>BR_VW_AFS_faceinsta_SOC_DRCT_CPM_CLK_LDR_AAF_RON_CXD_After-Sales-Oficina-Classicos-kit3-lal-add-to-cart-ofertas_PD_link-ad</v>
      </c>
      <c r="AF109" s="21" t="str">
        <f t="shared" si="39"/>
        <v>BR_VW_AFS_faceinsta_SOC_DRCT_CPM_CLK_LDR_AAF_RON_CXD_After-Sales-Oficina-Classicos-kit3-lal-add-to-cart-ofertas_PD_link-ad</v>
      </c>
      <c r="AG109" s="21" t="str">
        <f t="shared" si="40"/>
        <v>VW_After-Sales-lal-add-to-cart-ofertas_link-ad_After-Sales-Oficina-Classicos-kit3-faceinsta</v>
      </c>
      <c r="AH109" s="21" t="str">
        <f t="shared" si="41"/>
        <v>https://www.oficinadeclassicos.com.br/index.aspx?utm_source=faceinsta&amp;utm_medium=Direct&amp;utm_content=BR_VW_AFS_faceinsta_SOC_DRCT_CPM_CLK_LDR_AAF_RON_CXD_After-Sales-Oficina-Classicos-kit3-lal-add-to-cart-ofertas_PD_link-ad&amp;utm_campaign=BR_AAF_DSY_NONMS_ND_AS_2019Q2APR_AFS_After-Sales&amp;utm_term=%epid!_%ecid!_%eaid!</v>
      </c>
      <c r="AI109" s="21" t="str">
        <f t="shared" si="42"/>
        <v>https://ad.doubleclick.net/ddm/trackclk/N9487.3165544FACEINSTA/B22646029.288639310;dc_trk_aid=481983691;dc_trk_cid=121930624;dc_lat=;dc_rdid=;tag_for_child_directed_treatment=;tfua=</v>
      </c>
      <c r="AJ109" s="15" t="str">
        <f t="shared" si="49"/>
        <v>faceinsta</v>
      </c>
      <c r="AK109" s="15" t="str">
        <f t="shared" si="50"/>
        <v>Direct</v>
      </c>
      <c r="AL109" s="21" t="str">
        <f>Campanha!$B$3</f>
        <v>BR_AAF_DSY_NONMS_ND_AS_2019Q2APR_AFS_After-Sales</v>
      </c>
      <c r="AM109" s="21" t="str">
        <f t="shared" si="45"/>
        <v>BR_VW_AFS_faceinsta_SOC_DRCT_CPM_CLK_LDR_AAF_RON_CXD_After-Sales-Oficina-Classicos-kit3-lal-add-to-cart-ofertas_PD_link-ad</v>
      </c>
      <c r="AN109" s="15" t="s">
        <v>809</v>
      </c>
    </row>
    <row r="110" spans="2:40" hidden="1" x14ac:dyDescent="0.25">
      <c r="B110" s="15" t="s">
        <v>933</v>
      </c>
      <c r="C110" s="15" t="s">
        <v>1001</v>
      </c>
      <c r="D110" s="30" t="s">
        <v>873</v>
      </c>
      <c r="E110" s="22">
        <v>44155</v>
      </c>
      <c r="F110" s="22">
        <v>44196</v>
      </c>
      <c r="G110" s="15" t="s">
        <v>672</v>
      </c>
      <c r="H110" s="15" t="s">
        <v>855</v>
      </c>
      <c r="I110" s="15" t="s">
        <v>702</v>
      </c>
      <c r="J110" s="15" t="s">
        <v>313</v>
      </c>
      <c r="K110" s="15" t="s">
        <v>323</v>
      </c>
      <c r="L110" s="15" t="s">
        <v>358</v>
      </c>
      <c r="M110" s="15" t="s">
        <v>322</v>
      </c>
      <c r="N110" s="15" t="s">
        <v>708</v>
      </c>
      <c r="O110" s="15" t="s">
        <v>694</v>
      </c>
      <c r="P110" s="15" t="s">
        <v>935</v>
      </c>
      <c r="Q110" s="15" t="s">
        <v>878</v>
      </c>
      <c r="R110" s="15" t="s">
        <v>835</v>
      </c>
      <c r="S110" s="15" t="s">
        <v>348</v>
      </c>
      <c r="T110" s="15" t="s">
        <v>854</v>
      </c>
      <c r="AC110" s="32" t="s">
        <v>885</v>
      </c>
      <c r="AD110" s="33" t="e">
        <f t="shared" si="48"/>
        <v>#N/A</v>
      </c>
      <c r="AE110" s="21" t="str">
        <f t="shared" si="38"/>
        <v>BR_VW_AFS_verizon_DIS_DRCT_CPC_STD_LDR_AAF_RON_CXD_After-Sales-Oficina-Classicos-kit2-rmkt-visita-home-oficina_PD_native</v>
      </c>
      <c r="AF110" s="21" t="str">
        <f t="shared" si="39"/>
        <v>BR_VW_AFS_verizon_DIS_DRCT_CPC_STD_LDR_AAF_RON_CXD_After-Sales-Oficina-Classicos-kit2-rmkt-visita-home-oficina_PD_native</v>
      </c>
      <c r="AG110" s="21" t="str">
        <f t="shared" si="40"/>
        <v>VW_After-Sales-rmkt-visita-home-oficina_native_After-Sales-Oficina-Classicos-kit2-verizon</v>
      </c>
      <c r="AH110" s="21" t="str">
        <f t="shared" si="41"/>
        <v>https://www.oficinadeclassicos.com.br/index.aspx?utm_source=verizon&amp;utm_medium=Direct&amp;utm_content=BR_VW_AFS_verizon_DIS_DRCT_CPC_STD_LDR_AAF_RON_CXD_After-Sales-Oficina-Classicos-kit2-rmkt-visita-home-oficina_PD_native&amp;utm_campaign=BR_AAF_DSY_NONMS_ND_AS_2019Q2APR_AFS_After-Sales&amp;utm_term=%epid!_%ecid!_%eaid!</v>
      </c>
      <c r="AI110" s="21" t="str">
        <f t="shared" si="42"/>
        <v>https://ad.doubleclick.net/ddm/trackclk/N9487.3646218VERIZONBR/B22646029.288639307;dc_trk_aid=481983688;dc_trk_cid=121930624;dc_lat=;dc_rdid=;tag_for_child_directed_treatment=;tfua=</v>
      </c>
      <c r="AJ110" s="15" t="str">
        <f t="shared" si="49"/>
        <v>verizon</v>
      </c>
      <c r="AK110" s="15" t="str">
        <f t="shared" si="50"/>
        <v>Direct</v>
      </c>
      <c r="AL110" s="21" t="str">
        <f>Campanha!$B$3</f>
        <v>BR_AAF_DSY_NONMS_ND_AS_2019Q2APR_AFS_After-Sales</v>
      </c>
      <c r="AM110" s="21" t="str">
        <f t="shared" si="45"/>
        <v>BR_VW_AFS_verizon_DIS_DRCT_CPC_STD_LDR_AAF_RON_CXD_After-Sales-Oficina-Classicos-kit2-rmkt-visita-home-oficina_PD_native</v>
      </c>
      <c r="AN110" s="15" t="s">
        <v>809</v>
      </c>
    </row>
    <row r="111" spans="2:40" hidden="1" x14ac:dyDescent="0.25">
      <c r="B111" s="15" t="s">
        <v>933</v>
      </c>
      <c r="C111" s="15" t="s">
        <v>1001</v>
      </c>
      <c r="D111" s="30" t="s">
        <v>873</v>
      </c>
      <c r="E111" s="22">
        <v>44155</v>
      </c>
      <c r="F111" s="22">
        <v>44196</v>
      </c>
      <c r="G111" s="15" t="s">
        <v>672</v>
      </c>
      <c r="H111" s="15" t="s">
        <v>855</v>
      </c>
      <c r="I111" s="15" t="s">
        <v>702</v>
      </c>
      <c r="J111" s="15" t="s">
        <v>313</v>
      </c>
      <c r="K111" s="15" t="s">
        <v>323</v>
      </c>
      <c r="L111" s="15" t="s">
        <v>358</v>
      </c>
      <c r="M111" s="15" t="s">
        <v>322</v>
      </c>
      <c r="N111" s="15" t="s">
        <v>708</v>
      </c>
      <c r="O111" s="15" t="s">
        <v>694</v>
      </c>
      <c r="P111" s="15" t="s">
        <v>935</v>
      </c>
      <c r="Q111" s="15" t="s">
        <v>879</v>
      </c>
      <c r="R111" s="15" t="s">
        <v>835</v>
      </c>
      <c r="S111" s="15" t="s">
        <v>348</v>
      </c>
      <c r="T111" s="15" t="s">
        <v>854</v>
      </c>
      <c r="AC111" s="32" t="s">
        <v>885</v>
      </c>
      <c r="AD111" s="33" t="e">
        <f t="shared" si="48"/>
        <v>#N/A</v>
      </c>
      <c r="AE111" s="21" t="str">
        <f t="shared" si="38"/>
        <v>BR_VW_AFS_verizon_DIS_DRCT_CPC_STD_LDR_AAF_RON_CXD_After-Sales-Oficina-Classicos-kit2-lal-visita-home-oficina_PD_native</v>
      </c>
      <c r="AF111" s="21" t="str">
        <f t="shared" si="39"/>
        <v>BR_VW_AFS_verizon_DIS_DRCT_CPC_STD_LDR_AAF_RON_CXD_After-Sales-Oficina-Classicos-kit2-lal-visita-home-oficina_PD_native</v>
      </c>
      <c r="AG111" s="21" t="str">
        <f t="shared" si="40"/>
        <v>VW_After-Sales-lal-visita-home-oficina_native_After-Sales-Oficina-Classicos-kit2-verizon</v>
      </c>
      <c r="AH111" s="21" t="str">
        <f t="shared" si="41"/>
        <v>https://www.oficinadeclassicos.com.br/index.aspx?utm_source=verizon&amp;utm_medium=Direct&amp;utm_content=BR_VW_AFS_verizon_DIS_DRCT_CPC_STD_LDR_AAF_RON_CXD_After-Sales-Oficina-Classicos-kit2-lal-visita-home-oficina_PD_native&amp;utm_campaign=BR_AAF_DSY_NONMS_ND_AS_2019Q2APR_AFS_After-Sales&amp;utm_term=%epid!_%ecid!_%eaid!</v>
      </c>
      <c r="AI111" s="21" t="str">
        <f t="shared" si="42"/>
        <v>https://ad.doubleclick.net/ddm/trackclk/N9487.3646218VERIZONBR/B22646029.288639304;dc_trk_aid=481983685;dc_trk_cid=121930624;dc_lat=;dc_rdid=;tag_for_child_directed_treatment=;tfua=</v>
      </c>
      <c r="AJ111" s="15" t="str">
        <f t="shared" si="49"/>
        <v>verizon</v>
      </c>
      <c r="AK111" s="15" t="str">
        <f t="shared" si="50"/>
        <v>Direct</v>
      </c>
      <c r="AL111" s="21" t="str">
        <f>Campanha!$B$3</f>
        <v>BR_AAF_DSY_NONMS_ND_AS_2019Q2APR_AFS_After-Sales</v>
      </c>
      <c r="AM111" s="21" t="str">
        <f t="shared" si="45"/>
        <v>BR_VW_AFS_verizon_DIS_DRCT_CPC_STD_LDR_AAF_RON_CXD_After-Sales-Oficina-Classicos-kit2-lal-visita-home-oficina_PD_native</v>
      </c>
      <c r="AN111" s="15" t="s">
        <v>809</v>
      </c>
    </row>
    <row r="112" spans="2:40" hidden="1" x14ac:dyDescent="0.25">
      <c r="B112" s="15" t="s">
        <v>933</v>
      </c>
      <c r="C112" s="15" t="s">
        <v>1001</v>
      </c>
      <c r="D112" s="30" t="s">
        <v>873</v>
      </c>
      <c r="E112" s="22">
        <v>44155</v>
      </c>
      <c r="F112" s="22">
        <v>44196</v>
      </c>
      <c r="G112" s="15" t="s">
        <v>672</v>
      </c>
      <c r="H112" s="15" t="s">
        <v>855</v>
      </c>
      <c r="I112" s="15" t="s">
        <v>702</v>
      </c>
      <c r="J112" s="15" t="s">
        <v>313</v>
      </c>
      <c r="K112" s="15" t="s">
        <v>323</v>
      </c>
      <c r="L112" s="15" t="s">
        <v>358</v>
      </c>
      <c r="M112" s="15" t="s">
        <v>322</v>
      </c>
      <c r="N112" s="15" t="s">
        <v>708</v>
      </c>
      <c r="O112" s="15" t="s">
        <v>694</v>
      </c>
      <c r="P112" s="15" t="s">
        <v>935</v>
      </c>
      <c r="Q112" s="15" t="s">
        <v>880</v>
      </c>
      <c r="R112" s="15" t="s">
        <v>835</v>
      </c>
      <c r="S112" s="15" t="s">
        <v>348</v>
      </c>
      <c r="T112" s="15" t="s">
        <v>854</v>
      </c>
      <c r="AC112" s="32" t="s">
        <v>885</v>
      </c>
      <c r="AD112" s="33" t="e">
        <f t="shared" si="48"/>
        <v>#N/A</v>
      </c>
      <c r="AE112" s="21" t="str">
        <f t="shared" si="38"/>
        <v>BR_VW_AFS_verizon_DIS_DRCT_CPC_STD_LDR_AAF_RON_CXD_After-Sales-Oficina-Classicos-kit2-lal-add-to-cart-oficina_PD_native</v>
      </c>
      <c r="AF112" s="21" t="str">
        <f t="shared" si="39"/>
        <v>BR_VW_AFS_verizon_DIS_DRCT_CPC_STD_LDR_AAF_RON_CXD_After-Sales-Oficina-Classicos-kit2-lal-add-to-cart-oficina_PD_native</v>
      </c>
      <c r="AG112" s="21" t="str">
        <f t="shared" si="40"/>
        <v>VW_After-Sales-lal-add-to-cart-oficina_native_After-Sales-Oficina-Classicos-kit2-verizon</v>
      </c>
      <c r="AH112" s="21" t="str">
        <f t="shared" si="41"/>
        <v>https://www.oficinadeclassicos.com.br/index.aspx?utm_source=verizon&amp;utm_medium=Direct&amp;utm_content=BR_VW_AFS_verizon_DIS_DRCT_CPC_STD_LDR_AAF_RON_CXD_After-Sales-Oficina-Classicos-kit2-lal-add-to-cart-oficina_PD_native&amp;utm_campaign=BR_AAF_DSY_NONMS_ND_AS_2019Q2APR_AFS_After-Sales&amp;utm_term=%epid!_%ecid!_%eaid!</v>
      </c>
      <c r="AI112" s="21" t="str">
        <f t="shared" si="42"/>
        <v>https://ad.doubleclick.net/ddm/trackclk/N9487.3646218VERIZONBR/B22646029.288639301;dc_trk_aid=481983682;dc_trk_cid=121930624;dc_lat=;dc_rdid=;tag_for_child_directed_treatment=;tfua=</v>
      </c>
      <c r="AJ112" s="15" t="str">
        <f t="shared" si="49"/>
        <v>verizon</v>
      </c>
      <c r="AK112" s="15" t="str">
        <f t="shared" si="50"/>
        <v>Direct</v>
      </c>
      <c r="AL112" s="21" t="str">
        <f>Campanha!$B$3</f>
        <v>BR_AAF_DSY_NONMS_ND_AS_2019Q2APR_AFS_After-Sales</v>
      </c>
      <c r="AM112" s="21" t="str">
        <f t="shared" si="45"/>
        <v>BR_VW_AFS_verizon_DIS_DRCT_CPC_STD_LDR_AAF_RON_CXD_After-Sales-Oficina-Classicos-kit2-lal-add-to-cart-oficina_PD_native</v>
      </c>
      <c r="AN112" s="15" t="s">
        <v>809</v>
      </c>
    </row>
    <row r="113" spans="2:40" hidden="1" x14ac:dyDescent="0.25">
      <c r="B113" s="15" t="s">
        <v>933</v>
      </c>
      <c r="C113" s="15" t="s">
        <v>1001</v>
      </c>
      <c r="D113" s="30" t="s">
        <v>873</v>
      </c>
      <c r="E113" s="22">
        <v>44155</v>
      </c>
      <c r="F113" s="22">
        <v>44196</v>
      </c>
      <c r="G113" s="15" t="s">
        <v>672</v>
      </c>
      <c r="H113" s="15" t="s">
        <v>855</v>
      </c>
      <c r="I113" s="15" t="s">
        <v>702</v>
      </c>
      <c r="J113" s="15" t="s">
        <v>313</v>
      </c>
      <c r="K113" s="15" t="s">
        <v>323</v>
      </c>
      <c r="L113" s="15" t="s">
        <v>358</v>
      </c>
      <c r="M113" s="15" t="s">
        <v>322</v>
      </c>
      <c r="N113" s="15" t="s">
        <v>708</v>
      </c>
      <c r="O113" s="15" t="s">
        <v>694</v>
      </c>
      <c r="P113" s="15" t="s">
        <v>935</v>
      </c>
      <c r="Q113" s="15" t="s">
        <v>881</v>
      </c>
      <c r="R113" s="15" t="s">
        <v>835</v>
      </c>
      <c r="S113" s="15" t="s">
        <v>348</v>
      </c>
      <c r="T113" s="15" t="s">
        <v>854</v>
      </c>
      <c r="AC113" s="32" t="s">
        <v>885</v>
      </c>
      <c r="AD113" s="33" t="e">
        <f t="shared" si="48"/>
        <v>#N/A</v>
      </c>
      <c r="AE113" s="21" t="str">
        <f t="shared" si="38"/>
        <v>BR_VW_AFS_verizon_DIS_DRCT_CPC_STD_LDR_AAF_RON_CXD_After-Sales-Oficina-Classicos-kit2-rmkt-add-to-cart-oficina_PD_native</v>
      </c>
      <c r="AF113" s="21" t="str">
        <f t="shared" si="39"/>
        <v>BR_VW_AFS_verizon_DIS_DRCT_CPC_STD_LDR_AAF_RON_CXD_After-Sales-Oficina-Classicos-kit2-rmkt-add-to-cart-oficina_PD_native</v>
      </c>
      <c r="AG113" s="21" t="str">
        <f t="shared" si="40"/>
        <v>VW_After-Sales-rmkt-add-to-cart-oficina_native_After-Sales-Oficina-Classicos-kit2-verizon</v>
      </c>
      <c r="AH113" s="21" t="str">
        <f t="shared" si="41"/>
        <v>https://www.oficinadeclassicos.com.br/index.aspx?utm_source=verizon&amp;utm_medium=Direct&amp;utm_content=BR_VW_AFS_verizon_DIS_DRCT_CPC_STD_LDR_AAF_RON_CXD_After-Sales-Oficina-Classicos-kit2-rmkt-add-to-cart-oficina_PD_native&amp;utm_campaign=BR_AAF_DSY_NONMS_ND_AS_2019Q2APR_AFS_After-Sales&amp;utm_term=%epid!_%ecid!_%eaid!</v>
      </c>
      <c r="AI113" s="21" t="str">
        <f t="shared" si="42"/>
        <v>https://ad.doubleclick.net/ddm/trackclk/N9487.3646218VERIZONBR/B22646029.288639298;dc_trk_aid=481983679;dc_trk_cid=121930624;dc_lat=;dc_rdid=;tag_for_child_directed_treatment=;tfua=</v>
      </c>
      <c r="AJ113" s="15" t="str">
        <f t="shared" si="49"/>
        <v>verizon</v>
      </c>
      <c r="AK113" s="15" t="str">
        <f t="shared" si="50"/>
        <v>Direct</v>
      </c>
      <c r="AL113" s="21" t="str">
        <f>Campanha!$B$3</f>
        <v>BR_AAF_DSY_NONMS_ND_AS_2019Q2APR_AFS_After-Sales</v>
      </c>
      <c r="AM113" s="21" t="str">
        <f t="shared" si="45"/>
        <v>BR_VW_AFS_verizon_DIS_DRCT_CPC_STD_LDR_AAF_RON_CXD_After-Sales-Oficina-Classicos-kit2-rmkt-add-to-cart-oficina_PD_native</v>
      </c>
      <c r="AN113" s="15" t="s">
        <v>809</v>
      </c>
    </row>
    <row r="114" spans="2:40" hidden="1" x14ac:dyDescent="0.25">
      <c r="B114" s="15" t="s">
        <v>933</v>
      </c>
      <c r="C114" s="15" t="s">
        <v>1001</v>
      </c>
      <c r="D114" s="30" t="s">
        <v>873</v>
      </c>
      <c r="E114" s="22">
        <v>44155</v>
      </c>
      <c r="F114" s="22">
        <v>44196</v>
      </c>
      <c r="G114" s="15" t="s">
        <v>672</v>
      </c>
      <c r="H114" s="15" t="s">
        <v>855</v>
      </c>
      <c r="I114" s="15" t="s">
        <v>702</v>
      </c>
      <c r="J114" s="15" t="s">
        <v>313</v>
      </c>
      <c r="K114" s="15" t="s">
        <v>323</v>
      </c>
      <c r="L114" s="15" t="s">
        <v>358</v>
      </c>
      <c r="M114" s="15" t="s">
        <v>322</v>
      </c>
      <c r="N114" s="15" t="s">
        <v>708</v>
      </c>
      <c r="O114" s="15" t="s">
        <v>694</v>
      </c>
      <c r="P114" s="15" t="s">
        <v>935</v>
      </c>
      <c r="Q114" s="15" t="s">
        <v>874</v>
      </c>
      <c r="R114" s="15" t="s">
        <v>835</v>
      </c>
      <c r="S114" s="15" t="s">
        <v>348</v>
      </c>
      <c r="T114" s="15" t="s">
        <v>854</v>
      </c>
      <c r="AC114" s="32" t="s">
        <v>885</v>
      </c>
      <c r="AD114" s="33" t="e">
        <f t="shared" si="48"/>
        <v>#N/A</v>
      </c>
      <c r="AE114" s="21" t="str">
        <f t="shared" si="38"/>
        <v>BR_VW_AFS_verizon_DIS_DRCT_CPC_STD_LDR_AAF_RON_CXD_After-Sales-Oficina-Classicos-kit2-rmkt-visita-home-ofertas_PD_native</v>
      </c>
      <c r="AF114" s="21" t="str">
        <f t="shared" si="39"/>
        <v>BR_VW_AFS_verizon_DIS_DRCT_CPC_STD_LDR_AAF_RON_CXD_After-Sales-Oficina-Classicos-kit2-rmkt-visita-home-ofertas_PD_native</v>
      </c>
      <c r="AG114" s="21" t="str">
        <f t="shared" si="40"/>
        <v>VW_After-Sales-rmkt-visita-home-ofertas_native_After-Sales-Oficina-Classicos-kit2-verizon</v>
      </c>
      <c r="AH114" s="21" t="str">
        <f t="shared" si="41"/>
        <v>https://www.oficinadeclassicos.com.br/index.aspx?utm_source=verizon&amp;utm_medium=Direct&amp;utm_content=BR_VW_AFS_verizon_DIS_DRCT_CPC_STD_LDR_AAF_RON_CXD_After-Sales-Oficina-Classicos-kit2-rmkt-visita-home-ofertas_PD_native&amp;utm_campaign=BR_AAF_DSY_NONMS_ND_AS_2019Q2APR_AFS_After-Sales&amp;utm_term=%epid!_%ecid!_%eaid!</v>
      </c>
      <c r="AI114" s="21" t="str">
        <f t="shared" si="42"/>
        <v>https://ad.doubleclick.net/ddm/trackclk/N9487.3646218VERIZONBR/B22646029.288639295;dc_trk_aid=481983676;dc_trk_cid=121930624;dc_lat=;dc_rdid=;tag_for_child_directed_treatment=;tfua=</v>
      </c>
      <c r="AJ114" s="15" t="str">
        <f t="shared" si="49"/>
        <v>verizon</v>
      </c>
      <c r="AK114" s="15" t="str">
        <f t="shared" si="50"/>
        <v>Direct</v>
      </c>
      <c r="AL114" s="21" t="str">
        <f>Campanha!$B$3</f>
        <v>BR_AAF_DSY_NONMS_ND_AS_2019Q2APR_AFS_After-Sales</v>
      </c>
      <c r="AM114" s="21" t="str">
        <f t="shared" si="45"/>
        <v>BR_VW_AFS_verizon_DIS_DRCT_CPC_STD_LDR_AAF_RON_CXD_After-Sales-Oficina-Classicos-kit2-rmkt-visita-home-ofertas_PD_native</v>
      </c>
      <c r="AN114" s="15" t="s">
        <v>809</v>
      </c>
    </row>
    <row r="115" spans="2:40" hidden="1" x14ac:dyDescent="0.25">
      <c r="B115" s="15" t="s">
        <v>933</v>
      </c>
      <c r="C115" s="15" t="s">
        <v>1001</v>
      </c>
      <c r="D115" s="30" t="s">
        <v>873</v>
      </c>
      <c r="E115" s="22">
        <v>44155</v>
      </c>
      <c r="F115" s="22">
        <v>44196</v>
      </c>
      <c r="G115" s="15" t="s">
        <v>672</v>
      </c>
      <c r="H115" s="15" t="s">
        <v>855</v>
      </c>
      <c r="I115" s="15" t="s">
        <v>702</v>
      </c>
      <c r="J115" s="15" t="s">
        <v>313</v>
      </c>
      <c r="K115" s="15" t="s">
        <v>323</v>
      </c>
      <c r="L115" s="15" t="s">
        <v>358</v>
      </c>
      <c r="M115" s="15" t="s">
        <v>322</v>
      </c>
      <c r="N115" s="15" t="s">
        <v>708</v>
      </c>
      <c r="O115" s="15" t="s">
        <v>694</v>
      </c>
      <c r="P115" s="15" t="s">
        <v>935</v>
      </c>
      <c r="Q115" s="15" t="s">
        <v>875</v>
      </c>
      <c r="R115" s="15" t="s">
        <v>835</v>
      </c>
      <c r="S115" s="15" t="s">
        <v>348</v>
      </c>
      <c r="T115" s="15" t="s">
        <v>854</v>
      </c>
      <c r="AC115" s="32" t="s">
        <v>885</v>
      </c>
      <c r="AD115" s="33" t="e">
        <f t="shared" si="48"/>
        <v>#N/A</v>
      </c>
      <c r="AE115" s="21" t="str">
        <f t="shared" si="38"/>
        <v>BR_VW_AFS_verizon_DIS_DRCT_CPC_STD_LDR_AAF_RON_CXD_After-Sales-Oficina-Classicos-kit2-lal-visita-home-ofertas_PD_native</v>
      </c>
      <c r="AF115" s="21" t="str">
        <f t="shared" si="39"/>
        <v>BR_VW_AFS_verizon_DIS_DRCT_CPC_STD_LDR_AAF_RON_CXD_After-Sales-Oficina-Classicos-kit2-lal-visita-home-ofertas_PD_native</v>
      </c>
      <c r="AG115" s="21" t="str">
        <f t="shared" si="40"/>
        <v>VW_After-Sales-lal-visita-home-ofertas_native_After-Sales-Oficina-Classicos-kit2-verizon</v>
      </c>
      <c r="AH115" s="21" t="str">
        <f t="shared" si="41"/>
        <v>https://www.oficinadeclassicos.com.br/index.aspx?utm_source=verizon&amp;utm_medium=Direct&amp;utm_content=BR_VW_AFS_verizon_DIS_DRCT_CPC_STD_LDR_AAF_RON_CXD_After-Sales-Oficina-Classicos-kit2-lal-visita-home-ofertas_PD_native&amp;utm_campaign=BR_AAF_DSY_NONMS_ND_AS_2019Q2APR_AFS_After-Sales&amp;utm_term=%epid!_%ecid!_%eaid!</v>
      </c>
      <c r="AI115" s="21" t="str">
        <f t="shared" si="42"/>
        <v>https://ad.doubleclick.net/ddm/trackclk/N9487.3646218VERIZONBR/B22646029.288639292;dc_trk_aid=481983673;dc_trk_cid=121930624;dc_lat=;dc_rdid=;tag_for_child_directed_treatment=;tfua=</v>
      </c>
      <c r="AJ115" s="15" t="str">
        <f t="shared" si="49"/>
        <v>verizon</v>
      </c>
      <c r="AK115" s="15" t="str">
        <f t="shared" si="50"/>
        <v>Direct</v>
      </c>
      <c r="AL115" s="21" t="str">
        <f>Campanha!$B$3</f>
        <v>BR_AAF_DSY_NONMS_ND_AS_2019Q2APR_AFS_After-Sales</v>
      </c>
      <c r="AM115" s="21" t="str">
        <f t="shared" si="45"/>
        <v>BR_VW_AFS_verizon_DIS_DRCT_CPC_STD_LDR_AAF_RON_CXD_After-Sales-Oficina-Classicos-kit2-lal-visita-home-ofertas_PD_native</v>
      </c>
      <c r="AN115" s="15" t="s">
        <v>809</v>
      </c>
    </row>
    <row r="116" spans="2:40" hidden="1" x14ac:dyDescent="0.25">
      <c r="B116" s="15" t="s">
        <v>933</v>
      </c>
      <c r="C116" s="15" t="s">
        <v>1001</v>
      </c>
      <c r="D116" s="30" t="s">
        <v>873</v>
      </c>
      <c r="E116" s="22">
        <v>44155</v>
      </c>
      <c r="F116" s="22">
        <v>44196</v>
      </c>
      <c r="G116" s="15" t="s">
        <v>672</v>
      </c>
      <c r="H116" s="15" t="s">
        <v>855</v>
      </c>
      <c r="I116" s="15" t="s">
        <v>702</v>
      </c>
      <c r="J116" s="15" t="s">
        <v>313</v>
      </c>
      <c r="K116" s="15" t="s">
        <v>323</v>
      </c>
      <c r="L116" s="15" t="s">
        <v>358</v>
      </c>
      <c r="M116" s="15" t="s">
        <v>322</v>
      </c>
      <c r="N116" s="15" t="s">
        <v>708</v>
      </c>
      <c r="O116" s="15" t="s">
        <v>694</v>
      </c>
      <c r="P116" s="15" t="s">
        <v>935</v>
      </c>
      <c r="Q116" s="15" t="s">
        <v>876</v>
      </c>
      <c r="R116" s="15" t="s">
        <v>835</v>
      </c>
      <c r="S116" s="15" t="s">
        <v>348</v>
      </c>
      <c r="T116" s="15" t="s">
        <v>854</v>
      </c>
      <c r="AC116" s="32" t="s">
        <v>885</v>
      </c>
      <c r="AD116" s="33" t="e">
        <f t="shared" si="48"/>
        <v>#N/A</v>
      </c>
      <c r="AE116" s="21" t="str">
        <f t="shared" si="38"/>
        <v>BR_VW_AFS_verizon_DIS_DRCT_CPC_STD_LDR_AAF_RON_CXD_After-Sales-Oficina-Classicos-kit2-lal-add-to-cart-ofertas_PD_native</v>
      </c>
      <c r="AF116" s="21" t="str">
        <f t="shared" si="39"/>
        <v>BR_VW_AFS_verizon_DIS_DRCT_CPC_STD_LDR_AAF_RON_CXD_After-Sales-Oficina-Classicos-kit2-lal-add-to-cart-ofertas_PD_native</v>
      </c>
      <c r="AG116" s="21" t="str">
        <f t="shared" si="40"/>
        <v>VW_After-Sales-lal-add-to-cart-ofertas_native_After-Sales-Oficina-Classicos-kit2-verizon</v>
      </c>
      <c r="AH116" s="21" t="str">
        <f t="shared" si="41"/>
        <v>https://www.oficinadeclassicos.com.br/index.aspx?utm_source=verizon&amp;utm_medium=Direct&amp;utm_content=BR_VW_AFS_verizon_DIS_DRCT_CPC_STD_LDR_AAF_RON_CXD_After-Sales-Oficina-Classicos-kit2-lal-add-to-cart-ofertas_PD_native&amp;utm_campaign=BR_AAF_DSY_NONMS_ND_AS_2019Q2APR_AFS_After-Sales&amp;utm_term=%epid!_%ecid!_%eaid!</v>
      </c>
      <c r="AI116" s="21" t="str">
        <f t="shared" si="42"/>
        <v>https://ad.doubleclick.net/ddm/trackclk/N9487.3646218VERIZONBR/B22646029.288639289;dc_trk_aid=481983670;dc_trk_cid=121930624;dc_lat=;dc_rdid=;tag_for_child_directed_treatment=;tfua=</v>
      </c>
      <c r="AJ116" s="15" t="str">
        <f t="shared" si="49"/>
        <v>verizon</v>
      </c>
      <c r="AK116" s="15" t="str">
        <f t="shared" si="50"/>
        <v>Direct</v>
      </c>
      <c r="AL116" s="21" t="str">
        <f>Campanha!$B$3</f>
        <v>BR_AAF_DSY_NONMS_ND_AS_2019Q2APR_AFS_After-Sales</v>
      </c>
      <c r="AM116" s="21" t="str">
        <f t="shared" si="45"/>
        <v>BR_VW_AFS_verizon_DIS_DRCT_CPC_STD_LDR_AAF_RON_CXD_After-Sales-Oficina-Classicos-kit2-lal-add-to-cart-ofertas_PD_native</v>
      </c>
      <c r="AN116" s="15" t="s">
        <v>809</v>
      </c>
    </row>
    <row r="117" spans="2:40" hidden="1" x14ac:dyDescent="0.25">
      <c r="B117" s="15" t="s">
        <v>933</v>
      </c>
      <c r="C117" s="15" t="s">
        <v>1001</v>
      </c>
      <c r="D117" s="30" t="s">
        <v>873</v>
      </c>
      <c r="E117" s="22">
        <v>44155</v>
      </c>
      <c r="F117" s="22">
        <v>44196</v>
      </c>
      <c r="G117" s="15" t="s">
        <v>672</v>
      </c>
      <c r="H117" s="15" t="s">
        <v>855</v>
      </c>
      <c r="I117" s="15" t="s">
        <v>702</v>
      </c>
      <c r="J117" s="15" t="s">
        <v>313</v>
      </c>
      <c r="K117" s="15" t="s">
        <v>323</v>
      </c>
      <c r="L117" s="15" t="s">
        <v>358</v>
      </c>
      <c r="M117" s="15" t="s">
        <v>322</v>
      </c>
      <c r="N117" s="15" t="s">
        <v>708</v>
      </c>
      <c r="O117" s="15" t="s">
        <v>694</v>
      </c>
      <c r="P117" s="15" t="s">
        <v>935</v>
      </c>
      <c r="Q117" s="15" t="s">
        <v>877</v>
      </c>
      <c r="R117" s="15" t="s">
        <v>835</v>
      </c>
      <c r="S117" s="15" t="s">
        <v>348</v>
      </c>
      <c r="T117" s="15" t="s">
        <v>854</v>
      </c>
      <c r="AC117" s="32" t="s">
        <v>885</v>
      </c>
      <c r="AD117" s="33" t="e">
        <f t="shared" si="48"/>
        <v>#N/A</v>
      </c>
      <c r="AE117" s="21" t="str">
        <f t="shared" si="38"/>
        <v>BR_VW_AFS_verizon_DIS_DRCT_CPC_STD_LDR_AAF_RON_CXD_After-Sales-Oficina-Classicos-kit2-rmkt-add-to-cart-ofertas_PD_native</v>
      </c>
      <c r="AF117" s="21" t="str">
        <f t="shared" si="39"/>
        <v>BR_VW_AFS_verizon_DIS_DRCT_CPC_STD_LDR_AAF_RON_CXD_After-Sales-Oficina-Classicos-kit2-rmkt-add-to-cart-ofertas_PD_native</v>
      </c>
      <c r="AG117" s="21" t="str">
        <f t="shared" si="40"/>
        <v>VW_After-Sales-rmkt-add-to-cart-ofertas_native_After-Sales-Oficina-Classicos-kit2-verizon</v>
      </c>
      <c r="AH117" s="21" t="str">
        <f t="shared" si="41"/>
        <v>https://www.oficinadeclassicos.com.br/index.aspx?utm_source=verizon&amp;utm_medium=Direct&amp;utm_content=BR_VW_AFS_verizon_DIS_DRCT_CPC_STD_LDR_AAF_RON_CXD_After-Sales-Oficina-Classicos-kit2-rmkt-add-to-cart-ofertas_PD_native&amp;utm_campaign=BR_AAF_DSY_NONMS_ND_AS_2019Q2APR_AFS_After-Sales&amp;utm_term=%epid!_%ecid!_%eaid!</v>
      </c>
      <c r="AI117" s="21" t="str">
        <f t="shared" si="42"/>
        <v>https://ad.doubleclick.net/ddm/trackclk/N9487.3646218VERIZONBR/B22646029.288639286;dc_trk_aid=481983667;dc_trk_cid=121930624;dc_lat=;dc_rdid=;tag_for_child_directed_treatment=;tfua=</v>
      </c>
      <c r="AJ117" s="15" t="str">
        <f t="shared" si="49"/>
        <v>verizon</v>
      </c>
      <c r="AK117" s="15" t="str">
        <f t="shared" si="50"/>
        <v>Direct</v>
      </c>
      <c r="AL117" s="21" t="str">
        <f>Campanha!$B$3</f>
        <v>BR_AAF_DSY_NONMS_ND_AS_2019Q2APR_AFS_After-Sales</v>
      </c>
      <c r="AM117" s="21" t="str">
        <f t="shared" si="45"/>
        <v>BR_VW_AFS_verizon_DIS_DRCT_CPC_STD_LDR_AAF_RON_CXD_After-Sales-Oficina-Classicos-kit2-rmkt-add-to-cart-ofertas_PD_native</v>
      </c>
      <c r="AN117" s="15" t="s">
        <v>809</v>
      </c>
    </row>
    <row r="118" spans="2:40" hidden="1" x14ac:dyDescent="0.25">
      <c r="B118" s="15" t="s">
        <v>933</v>
      </c>
      <c r="C118" s="15" t="s">
        <v>1001</v>
      </c>
      <c r="D118" s="30" t="s">
        <v>873</v>
      </c>
      <c r="E118" s="22">
        <v>44155</v>
      </c>
      <c r="F118" s="22">
        <v>44196</v>
      </c>
      <c r="G118" s="15" t="s">
        <v>672</v>
      </c>
      <c r="H118" s="15" t="s">
        <v>855</v>
      </c>
      <c r="I118" s="15" t="s">
        <v>702</v>
      </c>
      <c r="J118" s="15" t="s">
        <v>313</v>
      </c>
      <c r="K118" s="15" t="s">
        <v>323</v>
      </c>
      <c r="L118" s="15" t="s">
        <v>358</v>
      </c>
      <c r="M118" s="15" t="s">
        <v>322</v>
      </c>
      <c r="N118" s="15" t="s">
        <v>708</v>
      </c>
      <c r="O118" s="15" t="s">
        <v>694</v>
      </c>
      <c r="P118" s="15" t="s">
        <v>936</v>
      </c>
      <c r="Q118" s="15" t="s">
        <v>878</v>
      </c>
      <c r="R118" s="15" t="s">
        <v>835</v>
      </c>
      <c r="S118" s="15" t="s">
        <v>348</v>
      </c>
      <c r="T118" s="15" t="s">
        <v>854</v>
      </c>
      <c r="AC118" s="32" t="s">
        <v>885</v>
      </c>
      <c r="AD118" s="33" t="e">
        <f t="shared" ref="AD118:AD181" si="51">VLOOKUP(AE118,id_placement,2,FALSE)</f>
        <v>#N/A</v>
      </c>
      <c r="AE118" s="21" t="str">
        <f t="shared" si="38"/>
        <v>BR_VW_AFS_verizon_DIS_DRCT_CPC_STD_LDR_AAF_RON_CXD_After-Sales-Oficina-Classicos-kit3-rmkt-visita-home-oficina_PD_native</v>
      </c>
      <c r="AF118" s="21" t="str">
        <f t="shared" si="39"/>
        <v>BR_VW_AFS_verizon_DIS_DRCT_CPC_STD_LDR_AAF_RON_CXD_After-Sales-Oficina-Classicos-kit3-rmkt-visita-home-oficina_PD_native</v>
      </c>
      <c r="AG118" s="21" t="str">
        <f t="shared" si="40"/>
        <v>VW_After-Sales-rmkt-visita-home-oficina_native_After-Sales-Oficina-Classicos-kit3-verizon</v>
      </c>
      <c r="AH118" s="21" t="str">
        <f t="shared" si="41"/>
        <v>https://www.oficinadeclassicos.com.br/index.aspx?utm_source=verizon&amp;utm_medium=Direct&amp;utm_content=BR_VW_AFS_verizon_DIS_DRCT_CPC_STD_LDR_AAF_RON_CXD_After-Sales-Oficina-Classicos-kit3-rmkt-visita-home-oficina_PD_native&amp;utm_campaign=BR_AAF_DSY_NONMS_ND_AS_2019Q2APR_AFS_After-Sales&amp;utm_term=%epid!_%ecid!_%eaid!</v>
      </c>
      <c r="AI118" s="21" t="str">
        <f t="shared" si="42"/>
        <v>https://ad.doubleclick.net/ddm/trackclk/N9487.3646218VERIZONBR/B22646029.288639283;dc_trk_aid=481983664;dc_trk_cid=121930624;dc_lat=;dc_rdid=;tag_for_child_directed_treatment=;tfua=</v>
      </c>
      <c r="AJ118" s="15" t="str">
        <f t="shared" si="49"/>
        <v>verizon</v>
      </c>
      <c r="AK118" s="15" t="str">
        <f t="shared" si="50"/>
        <v>Direct</v>
      </c>
      <c r="AL118" s="21" t="str">
        <f>Campanha!$B$3</f>
        <v>BR_AAF_DSY_NONMS_ND_AS_2019Q2APR_AFS_After-Sales</v>
      </c>
      <c r="AM118" s="21" t="str">
        <f t="shared" si="45"/>
        <v>BR_VW_AFS_verizon_DIS_DRCT_CPC_STD_LDR_AAF_RON_CXD_After-Sales-Oficina-Classicos-kit3-rmkt-visita-home-oficina_PD_native</v>
      </c>
      <c r="AN118" s="15" t="s">
        <v>809</v>
      </c>
    </row>
    <row r="119" spans="2:40" hidden="1" x14ac:dyDescent="0.25">
      <c r="B119" s="15" t="s">
        <v>933</v>
      </c>
      <c r="C119" s="15" t="s">
        <v>1001</v>
      </c>
      <c r="D119" s="30" t="s">
        <v>873</v>
      </c>
      <c r="E119" s="22">
        <v>44155</v>
      </c>
      <c r="F119" s="22">
        <v>44196</v>
      </c>
      <c r="G119" s="15" t="s">
        <v>672</v>
      </c>
      <c r="H119" s="15" t="s">
        <v>855</v>
      </c>
      <c r="I119" s="15" t="s">
        <v>702</v>
      </c>
      <c r="J119" s="15" t="s">
        <v>313</v>
      </c>
      <c r="K119" s="15" t="s">
        <v>323</v>
      </c>
      <c r="L119" s="15" t="s">
        <v>358</v>
      </c>
      <c r="M119" s="15" t="s">
        <v>322</v>
      </c>
      <c r="N119" s="15" t="s">
        <v>708</v>
      </c>
      <c r="O119" s="15" t="s">
        <v>694</v>
      </c>
      <c r="P119" s="15" t="s">
        <v>936</v>
      </c>
      <c r="Q119" s="15" t="s">
        <v>879</v>
      </c>
      <c r="R119" s="15" t="s">
        <v>835</v>
      </c>
      <c r="S119" s="15" t="s">
        <v>348</v>
      </c>
      <c r="T119" s="15" t="s">
        <v>854</v>
      </c>
      <c r="AC119" s="32" t="s">
        <v>885</v>
      </c>
      <c r="AD119" s="33" t="e">
        <f t="shared" si="51"/>
        <v>#N/A</v>
      </c>
      <c r="AE119" s="21" t="str">
        <f t="shared" si="38"/>
        <v>BR_VW_AFS_verizon_DIS_DRCT_CPC_STD_LDR_AAF_RON_CXD_After-Sales-Oficina-Classicos-kit3-lal-visita-home-oficina_PD_native</v>
      </c>
      <c r="AF119" s="21" t="str">
        <f t="shared" si="39"/>
        <v>BR_VW_AFS_verizon_DIS_DRCT_CPC_STD_LDR_AAF_RON_CXD_After-Sales-Oficina-Classicos-kit3-lal-visita-home-oficina_PD_native</v>
      </c>
      <c r="AG119" s="21" t="str">
        <f t="shared" si="40"/>
        <v>VW_After-Sales-lal-visita-home-oficina_native_After-Sales-Oficina-Classicos-kit3-verizon</v>
      </c>
      <c r="AH119" s="21" t="str">
        <f t="shared" si="41"/>
        <v>https://www.oficinadeclassicos.com.br/index.aspx?utm_source=verizon&amp;utm_medium=Direct&amp;utm_content=BR_VW_AFS_verizon_DIS_DRCT_CPC_STD_LDR_AAF_RON_CXD_After-Sales-Oficina-Classicos-kit3-lal-visita-home-oficina_PD_native&amp;utm_campaign=BR_AAF_DSY_NONMS_ND_AS_2019Q2APR_AFS_After-Sales&amp;utm_term=%epid!_%ecid!_%eaid!</v>
      </c>
      <c r="AI119" s="21" t="str">
        <f t="shared" si="42"/>
        <v>https://ad.doubleclick.net/ddm/trackclk/N9487.3646218VERIZONBR/B22646029.288639280;dc_trk_aid=481983661;dc_trk_cid=121930624;dc_lat=;dc_rdid=;tag_for_child_directed_treatment=;tfua=</v>
      </c>
      <c r="AJ119" s="15" t="str">
        <f t="shared" si="49"/>
        <v>verizon</v>
      </c>
      <c r="AK119" s="15" t="str">
        <f t="shared" si="50"/>
        <v>Direct</v>
      </c>
      <c r="AL119" s="21" t="str">
        <f>Campanha!$B$3</f>
        <v>BR_AAF_DSY_NONMS_ND_AS_2019Q2APR_AFS_After-Sales</v>
      </c>
      <c r="AM119" s="21" t="str">
        <f t="shared" si="45"/>
        <v>BR_VW_AFS_verizon_DIS_DRCT_CPC_STD_LDR_AAF_RON_CXD_After-Sales-Oficina-Classicos-kit3-lal-visita-home-oficina_PD_native</v>
      </c>
      <c r="AN119" s="15" t="s">
        <v>809</v>
      </c>
    </row>
    <row r="120" spans="2:40" hidden="1" x14ac:dyDescent="0.25">
      <c r="B120" s="15" t="s">
        <v>933</v>
      </c>
      <c r="C120" s="15" t="s">
        <v>1001</v>
      </c>
      <c r="D120" s="30" t="s">
        <v>873</v>
      </c>
      <c r="E120" s="22">
        <v>44155</v>
      </c>
      <c r="F120" s="22">
        <v>44196</v>
      </c>
      <c r="G120" s="15" t="s">
        <v>672</v>
      </c>
      <c r="H120" s="15" t="s">
        <v>855</v>
      </c>
      <c r="I120" s="15" t="s">
        <v>702</v>
      </c>
      <c r="J120" s="15" t="s">
        <v>313</v>
      </c>
      <c r="K120" s="15" t="s">
        <v>323</v>
      </c>
      <c r="L120" s="15" t="s">
        <v>358</v>
      </c>
      <c r="M120" s="15" t="s">
        <v>322</v>
      </c>
      <c r="N120" s="15" t="s">
        <v>708</v>
      </c>
      <c r="O120" s="15" t="s">
        <v>694</v>
      </c>
      <c r="P120" s="15" t="s">
        <v>936</v>
      </c>
      <c r="Q120" s="15" t="s">
        <v>880</v>
      </c>
      <c r="R120" s="15" t="s">
        <v>835</v>
      </c>
      <c r="S120" s="15" t="s">
        <v>348</v>
      </c>
      <c r="T120" s="15" t="s">
        <v>854</v>
      </c>
      <c r="AC120" s="32" t="s">
        <v>885</v>
      </c>
      <c r="AD120" s="33" t="e">
        <f t="shared" si="51"/>
        <v>#N/A</v>
      </c>
      <c r="AE120" s="21" t="str">
        <f t="shared" si="38"/>
        <v>BR_VW_AFS_verizon_DIS_DRCT_CPC_STD_LDR_AAF_RON_CXD_After-Sales-Oficina-Classicos-kit3-lal-add-to-cart-oficina_PD_native</v>
      </c>
      <c r="AF120" s="21" t="str">
        <f t="shared" si="39"/>
        <v>BR_VW_AFS_verizon_DIS_DRCT_CPC_STD_LDR_AAF_RON_CXD_After-Sales-Oficina-Classicos-kit3-lal-add-to-cart-oficina_PD_native</v>
      </c>
      <c r="AG120" s="21" t="str">
        <f t="shared" si="40"/>
        <v>VW_After-Sales-lal-add-to-cart-oficina_native_After-Sales-Oficina-Classicos-kit3-verizon</v>
      </c>
      <c r="AH120" s="21" t="str">
        <f t="shared" si="41"/>
        <v>https://www.oficinadeclassicos.com.br/index.aspx?utm_source=verizon&amp;utm_medium=Direct&amp;utm_content=BR_VW_AFS_verizon_DIS_DRCT_CPC_STD_LDR_AAF_RON_CXD_After-Sales-Oficina-Classicos-kit3-lal-add-to-cart-oficina_PD_native&amp;utm_campaign=BR_AAF_DSY_NONMS_ND_AS_2019Q2APR_AFS_After-Sales&amp;utm_term=%epid!_%ecid!_%eaid!</v>
      </c>
      <c r="AI120" s="21" t="str">
        <f t="shared" si="42"/>
        <v>https://ad.doubleclick.net/ddm/trackclk/N9487.3646218VERIZONBR/B22646029.288639277;dc_trk_aid=481983658;dc_trk_cid=121930624;dc_lat=;dc_rdid=;tag_for_child_directed_treatment=;tfua=</v>
      </c>
      <c r="AJ120" s="15" t="str">
        <f t="shared" si="49"/>
        <v>verizon</v>
      </c>
      <c r="AK120" s="15" t="str">
        <f t="shared" si="50"/>
        <v>Direct</v>
      </c>
      <c r="AL120" s="21" t="str">
        <f>Campanha!$B$3</f>
        <v>BR_AAF_DSY_NONMS_ND_AS_2019Q2APR_AFS_After-Sales</v>
      </c>
      <c r="AM120" s="21" t="str">
        <f t="shared" si="45"/>
        <v>BR_VW_AFS_verizon_DIS_DRCT_CPC_STD_LDR_AAF_RON_CXD_After-Sales-Oficina-Classicos-kit3-lal-add-to-cart-oficina_PD_native</v>
      </c>
      <c r="AN120" s="15" t="s">
        <v>809</v>
      </c>
    </row>
    <row r="121" spans="2:40" hidden="1" x14ac:dyDescent="0.25">
      <c r="B121" s="15" t="s">
        <v>933</v>
      </c>
      <c r="C121" s="15" t="s">
        <v>1001</v>
      </c>
      <c r="D121" s="30" t="s">
        <v>873</v>
      </c>
      <c r="E121" s="22">
        <v>44155</v>
      </c>
      <c r="F121" s="22">
        <v>44196</v>
      </c>
      <c r="G121" s="15" t="s">
        <v>672</v>
      </c>
      <c r="H121" s="15" t="s">
        <v>855</v>
      </c>
      <c r="I121" s="15" t="s">
        <v>702</v>
      </c>
      <c r="J121" s="15" t="s">
        <v>313</v>
      </c>
      <c r="K121" s="15" t="s">
        <v>323</v>
      </c>
      <c r="L121" s="15" t="s">
        <v>358</v>
      </c>
      <c r="M121" s="15" t="s">
        <v>322</v>
      </c>
      <c r="N121" s="15" t="s">
        <v>708</v>
      </c>
      <c r="O121" s="15" t="s">
        <v>694</v>
      </c>
      <c r="P121" s="15" t="s">
        <v>936</v>
      </c>
      <c r="Q121" s="15" t="s">
        <v>881</v>
      </c>
      <c r="R121" s="15" t="s">
        <v>835</v>
      </c>
      <c r="S121" s="15" t="s">
        <v>348</v>
      </c>
      <c r="T121" s="15" t="s">
        <v>854</v>
      </c>
      <c r="AC121" s="32" t="s">
        <v>885</v>
      </c>
      <c r="AD121" s="33" t="e">
        <f t="shared" si="51"/>
        <v>#N/A</v>
      </c>
      <c r="AE121" s="21" t="str">
        <f t="shared" si="38"/>
        <v>BR_VW_AFS_verizon_DIS_DRCT_CPC_STD_LDR_AAF_RON_CXD_After-Sales-Oficina-Classicos-kit3-rmkt-add-to-cart-oficina_PD_native</v>
      </c>
      <c r="AF121" s="21" t="str">
        <f t="shared" si="39"/>
        <v>BR_VW_AFS_verizon_DIS_DRCT_CPC_STD_LDR_AAF_RON_CXD_After-Sales-Oficina-Classicos-kit3-rmkt-add-to-cart-oficina_PD_native</v>
      </c>
      <c r="AG121" s="21" t="str">
        <f t="shared" si="40"/>
        <v>VW_After-Sales-rmkt-add-to-cart-oficina_native_After-Sales-Oficina-Classicos-kit3-verizon</v>
      </c>
      <c r="AH121" s="21" t="str">
        <f t="shared" si="41"/>
        <v>https://www.oficinadeclassicos.com.br/index.aspx?utm_source=verizon&amp;utm_medium=Direct&amp;utm_content=BR_VW_AFS_verizon_DIS_DRCT_CPC_STD_LDR_AAF_RON_CXD_After-Sales-Oficina-Classicos-kit3-rmkt-add-to-cart-oficina_PD_native&amp;utm_campaign=BR_AAF_DSY_NONMS_ND_AS_2019Q2APR_AFS_After-Sales&amp;utm_term=%epid!_%ecid!_%eaid!</v>
      </c>
      <c r="AI121" s="21" t="str">
        <f t="shared" si="42"/>
        <v>https://ad.doubleclick.net/ddm/trackclk/N9487.3646218VERIZONBR/B22646029.288639274;dc_trk_aid=481983655;dc_trk_cid=121930624;dc_lat=;dc_rdid=;tag_for_child_directed_treatment=;tfua=</v>
      </c>
      <c r="AJ121" s="15" t="str">
        <f t="shared" si="49"/>
        <v>verizon</v>
      </c>
      <c r="AK121" s="15" t="str">
        <f t="shared" si="50"/>
        <v>Direct</v>
      </c>
      <c r="AL121" s="21" t="str">
        <f>Campanha!$B$3</f>
        <v>BR_AAF_DSY_NONMS_ND_AS_2019Q2APR_AFS_After-Sales</v>
      </c>
      <c r="AM121" s="21" t="str">
        <f t="shared" si="45"/>
        <v>BR_VW_AFS_verizon_DIS_DRCT_CPC_STD_LDR_AAF_RON_CXD_After-Sales-Oficina-Classicos-kit3-rmkt-add-to-cart-oficina_PD_native</v>
      </c>
      <c r="AN121" s="15" t="s">
        <v>809</v>
      </c>
    </row>
    <row r="122" spans="2:40" hidden="1" x14ac:dyDescent="0.25">
      <c r="B122" s="15" t="s">
        <v>933</v>
      </c>
      <c r="C122" s="15" t="s">
        <v>1001</v>
      </c>
      <c r="D122" s="30" t="s">
        <v>873</v>
      </c>
      <c r="E122" s="22">
        <v>44155</v>
      </c>
      <c r="F122" s="22">
        <v>44196</v>
      </c>
      <c r="G122" s="15" t="s">
        <v>672</v>
      </c>
      <c r="H122" s="15" t="s">
        <v>855</v>
      </c>
      <c r="I122" s="15" t="s">
        <v>702</v>
      </c>
      <c r="J122" s="15" t="s">
        <v>313</v>
      </c>
      <c r="K122" s="15" t="s">
        <v>323</v>
      </c>
      <c r="L122" s="15" t="s">
        <v>358</v>
      </c>
      <c r="M122" s="15" t="s">
        <v>322</v>
      </c>
      <c r="N122" s="15" t="s">
        <v>708</v>
      </c>
      <c r="O122" s="15" t="s">
        <v>694</v>
      </c>
      <c r="P122" s="15" t="s">
        <v>936</v>
      </c>
      <c r="Q122" s="15" t="s">
        <v>874</v>
      </c>
      <c r="R122" s="15" t="s">
        <v>835</v>
      </c>
      <c r="S122" s="15" t="s">
        <v>348</v>
      </c>
      <c r="T122" s="15" t="s">
        <v>854</v>
      </c>
      <c r="AC122" s="32" t="s">
        <v>885</v>
      </c>
      <c r="AD122" s="33" t="e">
        <f t="shared" si="51"/>
        <v>#N/A</v>
      </c>
      <c r="AE122" s="21" t="str">
        <f t="shared" si="38"/>
        <v>BR_VW_AFS_verizon_DIS_DRCT_CPC_STD_LDR_AAF_RON_CXD_After-Sales-Oficina-Classicos-kit3-rmkt-visita-home-ofertas_PD_native</v>
      </c>
      <c r="AF122" s="21" t="str">
        <f t="shared" si="39"/>
        <v>BR_VW_AFS_verizon_DIS_DRCT_CPC_STD_LDR_AAF_RON_CXD_After-Sales-Oficina-Classicos-kit3-rmkt-visita-home-ofertas_PD_native</v>
      </c>
      <c r="AG122" s="21" t="str">
        <f t="shared" si="40"/>
        <v>VW_After-Sales-rmkt-visita-home-ofertas_native_After-Sales-Oficina-Classicos-kit3-verizon</v>
      </c>
      <c r="AH122" s="21" t="str">
        <f t="shared" si="41"/>
        <v>https://www.oficinadeclassicos.com.br/index.aspx?utm_source=verizon&amp;utm_medium=Direct&amp;utm_content=BR_VW_AFS_verizon_DIS_DRCT_CPC_STD_LDR_AAF_RON_CXD_After-Sales-Oficina-Classicos-kit3-rmkt-visita-home-ofertas_PD_native&amp;utm_campaign=BR_AAF_DSY_NONMS_ND_AS_2019Q2APR_AFS_After-Sales&amp;utm_term=%epid!_%ecid!_%eaid!</v>
      </c>
      <c r="AI122" s="21" t="str">
        <f t="shared" si="42"/>
        <v>https://ad.doubleclick.net/ddm/trackclk/N9487.3646218VERIZONBR/B22646029.288639271;dc_trk_aid=481983652;dc_trk_cid=121930624;dc_lat=;dc_rdid=;tag_for_child_directed_treatment=;tfua=</v>
      </c>
      <c r="AJ122" s="15" t="str">
        <f t="shared" si="49"/>
        <v>verizon</v>
      </c>
      <c r="AK122" s="15" t="str">
        <f t="shared" si="50"/>
        <v>Direct</v>
      </c>
      <c r="AL122" s="21" t="str">
        <f>Campanha!$B$3</f>
        <v>BR_AAF_DSY_NONMS_ND_AS_2019Q2APR_AFS_After-Sales</v>
      </c>
      <c r="AM122" s="21" t="str">
        <f t="shared" si="45"/>
        <v>BR_VW_AFS_verizon_DIS_DRCT_CPC_STD_LDR_AAF_RON_CXD_After-Sales-Oficina-Classicos-kit3-rmkt-visita-home-ofertas_PD_native</v>
      </c>
      <c r="AN122" s="15" t="s">
        <v>809</v>
      </c>
    </row>
    <row r="123" spans="2:40" hidden="1" x14ac:dyDescent="0.25">
      <c r="B123" s="15" t="s">
        <v>933</v>
      </c>
      <c r="C123" s="15" t="s">
        <v>1001</v>
      </c>
      <c r="D123" s="30" t="s">
        <v>873</v>
      </c>
      <c r="E123" s="22">
        <v>44155</v>
      </c>
      <c r="F123" s="22">
        <v>44196</v>
      </c>
      <c r="G123" s="15" t="s">
        <v>672</v>
      </c>
      <c r="H123" s="15" t="s">
        <v>855</v>
      </c>
      <c r="I123" s="15" t="s">
        <v>702</v>
      </c>
      <c r="J123" s="15" t="s">
        <v>313</v>
      </c>
      <c r="K123" s="15" t="s">
        <v>323</v>
      </c>
      <c r="L123" s="15" t="s">
        <v>358</v>
      </c>
      <c r="M123" s="15" t="s">
        <v>322</v>
      </c>
      <c r="N123" s="15" t="s">
        <v>708</v>
      </c>
      <c r="O123" s="15" t="s">
        <v>694</v>
      </c>
      <c r="P123" s="15" t="s">
        <v>936</v>
      </c>
      <c r="Q123" s="15" t="s">
        <v>875</v>
      </c>
      <c r="R123" s="15" t="s">
        <v>835</v>
      </c>
      <c r="S123" s="15" t="s">
        <v>348</v>
      </c>
      <c r="T123" s="15" t="s">
        <v>854</v>
      </c>
      <c r="AC123" s="32" t="s">
        <v>885</v>
      </c>
      <c r="AD123" s="33" t="e">
        <f t="shared" si="51"/>
        <v>#N/A</v>
      </c>
      <c r="AE123" s="21" t="str">
        <f t="shared" si="38"/>
        <v>BR_VW_AFS_verizon_DIS_DRCT_CPC_STD_LDR_AAF_RON_CXD_After-Sales-Oficina-Classicos-kit3-lal-visita-home-ofertas_PD_native</v>
      </c>
      <c r="AF123" s="21" t="str">
        <f t="shared" si="39"/>
        <v>BR_VW_AFS_verizon_DIS_DRCT_CPC_STD_LDR_AAF_RON_CXD_After-Sales-Oficina-Classicos-kit3-lal-visita-home-ofertas_PD_native</v>
      </c>
      <c r="AG123" s="21" t="str">
        <f t="shared" si="40"/>
        <v>VW_After-Sales-lal-visita-home-ofertas_native_After-Sales-Oficina-Classicos-kit3-verizon</v>
      </c>
      <c r="AH123" s="21" t="str">
        <f t="shared" si="41"/>
        <v>https://www.oficinadeclassicos.com.br/index.aspx?utm_source=verizon&amp;utm_medium=Direct&amp;utm_content=BR_VW_AFS_verizon_DIS_DRCT_CPC_STD_LDR_AAF_RON_CXD_After-Sales-Oficina-Classicos-kit3-lal-visita-home-ofertas_PD_native&amp;utm_campaign=BR_AAF_DSY_NONMS_ND_AS_2019Q2APR_AFS_After-Sales&amp;utm_term=%epid!_%ecid!_%eaid!</v>
      </c>
      <c r="AI123" s="21" t="str">
        <f t="shared" si="42"/>
        <v>https://ad.doubleclick.net/ddm/trackclk/N9487.3646218VERIZONBR/B22646029.288639268;dc_trk_aid=481983649;dc_trk_cid=121930624;dc_lat=;dc_rdid=;tag_for_child_directed_treatment=;tfua=</v>
      </c>
      <c r="AJ123" s="15" t="str">
        <f t="shared" si="49"/>
        <v>verizon</v>
      </c>
      <c r="AK123" s="15" t="str">
        <f t="shared" si="50"/>
        <v>Direct</v>
      </c>
      <c r="AL123" s="21" t="str">
        <f>Campanha!$B$3</f>
        <v>BR_AAF_DSY_NONMS_ND_AS_2019Q2APR_AFS_After-Sales</v>
      </c>
      <c r="AM123" s="21" t="str">
        <f t="shared" si="45"/>
        <v>BR_VW_AFS_verizon_DIS_DRCT_CPC_STD_LDR_AAF_RON_CXD_After-Sales-Oficina-Classicos-kit3-lal-visita-home-ofertas_PD_native</v>
      </c>
      <c r="AN123" s="15" t="s">
        <v>809</v>
      </c>
    </row>
    <row r="124" spans="2:40" hidden="1" x14ac:dyDescent="0.25">
      <c r="B124" s="15" t="s">
        <v>933</v>
      </c>
      <c r="C124" s="15" t="s">
        <v>1001</v>
      </c>
      <c r="D124" s="30" t="s">
        <v>873</v>
      </c>
      <c r="E124" s="22">
        <v>44155</v>
      </c>
      <c r="F124" s="22">
        <v>44196</v>
      </c>
      <c r="G124" s="15" t="s">
        <v>672</v>
      </c>
      <c r="H124" s="15" t="s">
        <v>855</v>
      </c>
      <c r="I124" s="15" t="s">
        <v>702</v>
      </c>
      <c r="J124" s="15" t="s">
        <v>313</v>
      </c>
      <c r="K124" s="15" t="s">
        <v>323</v>
      </c>
      <c r="L124" s="15" t="s">
        <v>358</v>
      </c>
      <c r="M124" s="15" t="s">
        <v>322</v>
      </c>
      <c r="N124" s="15" t="s">
        <v>708</v>
      </c>
      <c r="O124" s="15" t="s">
        <v>694</v>
      </c>
      <c r="P124" s="15" t="s">
        <v>936</v>
      </c>
      <c r="Q124" s="15" t="s">
        <v>876</v>
      </c>
      <c r="R124" s="15" t="s">
        <v>835</v>
      </c>
      <c r="S124" s="15" t="s">
        <v>348</v>
      </c>
      <c r="T124" s="15" t="s">
        <v>854</v>
      </c>
      <c r="AC124" s="32" t="s">
        <v>885</v>
      </c>
      <c r="AD124" s="33" t="e">
        <f t="shared" si="51"/>
        <v>#N/A</v>
      </c>
      <c r="AE124" s="21" t="str">
        <f t="shared" si="38"/>
        <v>BR_VW_AFS_verizon_DIS_DRCT_CPC_STD_LDR_AAF_RON_CXD_After-Sales-Oficina-Classicos-kit3-lal-add-to-cart-ofertas_PD_native</v>
      </c>
      <c r="AF124" s="21" t="str">
        <f t="shared" si="39"/>
        <v>BR_VW_AFS_verizon_DIS_DRCT_CPC_STD_LDR_AAF_RON_CXD_After-Sales-Oficina-Classicos-kit3-lal-add-to-cart-ofertas_PD_native</v>
      </c>
      <c r="AG124" s="21" t="str">
        <f t="shared" si="40"/>
        <v>VW_After-Sales-lal-add-to-cart-ofertas_native_After-Sales-Oficina-Classicos-kit3-verizon</v>
      </c>
      <c r="AH124" s="21" t="str">
        <f t="shared" si="41"/>
        <v>https://www.oficinadeclassicos.com.br/index.aspx?utm_source=verizon&amp;utm_medium=Direct&amp;utm_content=BR_VW_AFS_verizon_DIS_DRCT_CPC_STD_LDR_AAF_RON_CXD_After-Sales-Oficina-Classicos-kit3-lal-add-to-cart-ofertas_PD_native&amp;utm_campaign=BR_AAF_DSY_NONMS_ND_AS_2019Q2APR_AFS_After-Sales&amp;utm_term=%epid!_%ecid!_%eaid!</v>
      </c>
      <c r="AI124" s="21" t="str">
        <f t="shared" si="42"/>
        <v>https://ad.doubleclick.net/ddm/trackclk/N9487.3646218VERIZONBR/B22646029.288639265;dc_trk_aid=481983646;dc_trk_cid=121930624;dc_lat=;dc_rdid=;tag_for_child_directed_treatment=;tfua=</v>
      </c>
      <c r="AJ124" s="15" t="str">
        <f t="shared" si="49"/>
        <v>verizon</v>
      </c>
      <c r="AK124" s="15" t="str">
        <f t="shared" si="50"/>
        <v>Direct</v>
      </c>
      <c r="AL124" s="21" t="str">
        <f>Campanha!$B$3</f>
        <v>BR_AAF_DSY_NONMS_ND_AS_2019Q2APR_AFS_After-Sales</v>
      </c>
      <c r="AM124" s="21" t="str">
        <f t="shared" si="45"/>
        <v>BR_VW_AFS_verizon_DIS_DRCT_CPC_STD_LDR_AAF_RON_CXD_After-Sales-Oficina-Classicos-kit3-lal-add-to-cart-ofertas_PD_native</v>
      </c>
      <c r="AN124" s="15" t="s">
        <v>809</v>
      </c>
    </row>
    <row r="125" spans="2:40" hidden="1" x14ac:dyDescent="0.25">
      <c r="B125" s="15" t="s">
        <v>933</v>
      </c>
      <c r="C125" s="15" t="s">
        <v>1001</v>
      </c>
      <c r="D125" s="30" t="s">
        <v>873</v>
      </c>
      <c r="E125" s="22">
        <v>44155</v>
      </c>
      <c r="F125" s="22">
        <v>44196</v>
      </c>
      <c r="G125" s="15" t="s">
        <v>672</v>
      </c>
      <c r="H125" s="15" t="s">
        <v>855</v>
      </c>
      <c r="I125" s="15" t="s">
        <v>702</v>
      </c>
      <c r="J125" s="15" t="s">
        <v>313</v>
      </c>
      <c r="K125" s="15" t="s">
        <v>323</v>
      </c>
      <c r="L125" s="15" t="s">
        <v>358</v>
      </c>
      <c r="M125" s="15" t="s">
        <v>322</v>
      </c>
      <c r="N125" s="15" t="s">
        <v>708</v>
      </c>
      <c r="O125" s="15" t="s">
        <v>694</v>
      </c>
      <c r="P125" s="15" t="s">
        <v>936</v>
      </c>
      <c r="Q125" s="15" t="s">
        <v>877</v>
      </c>
      <c r="R125" s="15" t="s">
        <v>835</v>
      </c>
      <c r="S125" s="15" t="s">
        <v>348</v>
      </c>
      <c r="T125" s="15" t="s">
        <v>854</v>
      </c>
      <c r="AC125" s="32" t="s">
        <v>885</v>
      </c>
      <c r="AD125" s="33" t="e">
        <f t="shared" si="51"/>
        <v>#N/A</v>
      </c>
      <c r="AE125" s="21" t="str">
        <f t="shared" si="38"/>
        <v>BR_VW_AFS_verizon_DIS_DRCT_CPC_STD_LDR_AAF_RON_CXD_After-Sales-Oficina-Classicos-kit3-rmkt-add-to-cart-ofertas_PD_native</v>
      </c>
      <c r="AF125" s="21" t="str">
        <f t="shared" si="39"/>
        <v>BR_VW_AFS_verizon_DIS_DRCT_CPC_STD_LDR_AAF_RON_CXD_After-Sales-Oficina-Classicos-kit3-rmkt-add-to-cart-ofertas_PD_native</v>
      </c>
      <c r="AG125" s="21" t="str">
        <f t="shared" si="40"/>
        <v>VW_After-Sales-rmkt-add-to-cart-ofertas_native_After-Sales-Oficina-Classicos-kit3-verizon</v>
      </c>
      <c r="AH125" s="21" t="str">
        <f t="shared" si="41"/>
        <v>https://www.oficinadeclassicos.com.br/index.aspx?utm_source=verizon&amp;utm_medium=Direct&amp;utm_content=BR_VW_AFS_verizon_DIS_DRCT_CPC_STD_LDR_AAF_RON_CXD_After-Sales-Oficina-Classicos-kit3-rmkt-add-to-cart-ofertas_PD_native&amp;utm_campaign=BR_AAF_DSY_NONMS_ND_AS_2019Q2APR_AFS_After-Sales&amp;utm_term=%epid!_%ecid!_%eaid!</v>
      </c>
      <c r="AI125" s="21" t="str">
        <f t="shared" si="42"/>
        <v>https://ad.doubleclick.net/ddm/trackclk/N9487.3646218VERIZONBR/B22646029.288639262;dc_trk_aid=481983643;dc_trk_cid=121930624;dc_lat=;dc_rdid=;tag_for_child_directed_treatment=;tfua=</v>
      </c>
      <c r="AJ125" s="15" t="str">
        <f t="shared" si="49"/>
        <v>verizon</v>
      </c>
      <c r="AK125" s="15" t="str">
        <f t="shared" si="50"/>
        <v>Direct</v>
      </c>
      <c r="AL125" s="21" t="str">
        <f>Campanha!$B$3</f>
        <v>BR_AAF_DSY_NONMS_ND_AS_2019Q2APR_AFS_After-Sales</v>
      </c>
      <c r="AM125" s="21" t="str">
        <f t="shared" si="45"/>
        <v>BR_VW_AFS_verizon_DIS_DRCT_CPC_STD_LDR_AAF_RON_CXD_After-Sales-Oficina-Classicos-kit3-rmkt-add-to-cart-ofertas_PD_native</v>
      </c>
      <c r="AN125" s="15" t="s">
        <v>809</v>
      </c>
    </row>
    <row r="126" spans="2:40" x14ac:dyDescent="0.25">
      <c r="B126" s="15" t="s">
        <v>933</v>
      </c>
      <c r="C126" s="15" t="s">
        <v>1028</v>
      </c>
      <c r="D126" s="30" t="s">
        <v>873</v>
      </c>
      <c r="E126" s="22">
        <v>44155</v>
      </c>
      <c r="F126" s="22">
        <v>44196</v>
      </c>
      <c r="G126" s="15" t="s">
        <v>672</v>
      </c>
      <c r="H126" s="15" t="s">
        <v>387</v>
      </c>
      <c r="I126" s="15" t="s">
        <v>722</v>
      </c>
      <c r="J126" s="15" t="s">
        <v>313</v>
      </c>
      <c r="K126" s="15" t="s">
        <v>334</v>
      </c>
      <c r="L126" s="30" t="s">
        <v>342</v>
      </c>
      <c r="M126" s="30" t="s">
        <v>322</v>
      </c>
      <c r="N126" s="15" t="s">
        <v>708</v>
      </c>
      <c r="O126" s="15" t="s">
        <v>694</v>
      </c>
      <c r="P126" s="15" t="s">
        <v>886</v>
      </c>
      <c r="Q126" s="15" t="s">
        <v>883</v>
      </c>
      <c r="R126" s="15" t="s">
        <v>835</v>
      </c>
      <c r="S126" s="15" t="s">
        <v>348</v>
      </c>
      <c r="T126" s="15" t="s">
        <v>884</v>
      </c>
      <c r="AC126" s="32" t="s">
        <v>885</v>
      </c>
      <c r="AD126" s="33" t="e">
        <f t="shared" si="51"/>
        <v>#N/A</v>
      </c>
      <c r="AE126" s="21" t="str">
        <f t="shared" si="38"/>
        <v>BR_VW_AFS_faceinsta_SOC_DRCT_CPM_CLK_LDR_AAF_RON_CXD_After-Sales-Oficina-Classicos-interesses_PD_link-ad</v>
      </c>
      <c r="AF126" s="21" t="str">
        <f t="shared" si="39"/>
        <v>BR_VW_AFS_faceinsta_SOC_DRCT_CPM_CLK_LDR_AAF_RON_CXD_After-Sales-Oficina-Classicos-interesses_PD_link-ad</v>
      </c>
      <c r="AG126" s="21" t="str">
        <f t="shared" si="40"/>
        <v>VW_After-Sales-interesses_link-ad_After-Sales-Oficina-Classicos-faceinsta</v>
      </c>
      <c r="AH126" s="21" t="str">
        <f t="shared" si="41"/>
        <v>https://www.oficinadeclassicos.com.br/index.aspx?utm_source=faceinsta&amp;utm_medium=Direct&amp;utm_content=BR_VW_AFS_faceinsta_SOC_DRCT_CPM_CLK_LDR_AAF_RON_CXD_After-Sales-Oficina-Classicos-interesses_PD_link-ad&amp;utm_campaign=BR_AAF_DSY_NONMS_ND_AS_2019Q2APR_AFS_After-Sales&amp;utm_term=%epid!_%ecid!_%eaid!</v>
      </c>
      <c r="AI126" s="21" t="str">
        <f t="shared" si="42"/>
        <v>https://ad.doubleclick.net/ddm/trackclk/N9487.3165544FACEINSTA/B22646029.288794526;dc_trk_aid=482398137;dc_trk_cid=121930624;dc_lat=;dc_rdid=;tag_for_child_directed_treatment=;tfua=</v>
      </c>
      <c r="AJ126" s="15" t="str">
        <f t="shared" ref="AJ126:AJ189" si="52">H126</f>
        <v>faceinsta</v>
      </c>
      <c r="AK126" s="15" t="str">
        <f t="shared" ref="AK126:AK189" si="53">J126</f>
        <v>Direct</v>
      </c>
      <c r="AL126" s="21" t="str">
        <f>Campanha!$B$3</f>
        <v>BR_AAF_DSY_NONMS_ND_AS_2019Q2APR_AFS_After-Sales</v>
      </c>
      <c r="AM126" s="21" t="str">
        <f t="shared" si="45"/>
        <v>BR_VW_AFS_faceinsta_SOC_DRCT_CPM_CLK_LDR_AAF_RON_CXD_After-Sales-Oficina-Classicos-interesses_PD_link-ad</v>
      </c>
      <c r="AN126" s="15" t="s">
        <v>809</v>
      </c>
    </row>
    <row r="127" spans="2:40" x14ac:dyDescent="0.25">
      <c r="B127" s="15" t="s">
        <v>933</v>
      </c>
      <c r="C127" s="15" t="s">
        <v>1028</v>
      </c>
      <c r="D127" s="30" t="s">
        <v>873</v>
      </c>
      <c r="E127" s="22">
        <v>44155</v>
      </c>
      <c r="F127" s="22">
        <v>44196</v>
      </c>
      <c r="G127" s="15" t="s">
        <v>672</v>
      </c>
      <c r="H127" s="15" t="s">
        <v>387</v>
      </c>
      <c r="I127" s="15" t="s">
        <v>722</v>
      </c>
      <c r="J127" s="15" t="s">
        <v>313</v>
      </c>
      <c r="K127" s="15" t="s">
        <v>334</v>
      </c>
      <c r="L127" s="30" t="s">
        <v>342</v>
      </c>
      <c r="M127" s="30" t="s">
        <v>322</v>
      </c>
      <c r="N127" s="15" t="s">
        <v>708</v>
      </c>
      <c r="O127" s="15" t="s">
        <v>694</v>
      </c>
      <c r="P127" s="15" t="s">
        <v>935</v>
      </c>
      <c r="Q127" s="15" t="s">
        <v>883</v>
      </c>
      <c r="R127" s="15" t="s">
        <v>835</v>
      </c>
      <c r="S127" s="15" t="s">
        <v>348</v>
      </c>
      <c r="T127" s="15" t="s">
        <v>884</v>
      </c>
      <c r="AC127" s="32" t="s">
        <v>885</v>
      </c>
      <c r="AD127" s="33" t="e">
        <f t="shared" si="51"/>
        <v>#N/A</v>
      </c>
      <c r="AE127" s="21" t="str">
        <f t="shared" si="38"/>
        <v>BR_VW_AFS_faceinsta_SOC_DRCT_CPM_CLK_LDR_AAF_RON_CXD_After-Sales-Oficina-Classicos-kit2-interesses_PD_link-ad</v>
      </c>
      <c r="AF127" s="21" t="str">
        <f t="shared" si="39"/>
        <v>BR_VW_AFS_faceinsta_SOC_DRCT_CPM_CLK_LDR_AAF_RON_CXD_After-Sales-Oficina-Classicos-kit2-interesses_PD_link-ad</v>
      </c>
      <c r="AG127" s="21" t="str">
        <f t="shared" si="40"/>
        <v>VW_After-Sales-interesses_link-ad_After-Sales-Oficina-Classicos-kit2-faceinsta</v>
      </c>
      <c r="AH127" s="21" t="str">
        <f t="shared" si="41"/>
        <v>https://www.oficinadeclassicos.com.br/index.aspx?utm_source=faceinsta&amp;utm_medium=Direct&amp;utm_content=BR_VW_AFS_faceinsta_SOC_DRCT_CPM_CLK_LDR_AAF_RON_CXD_After-Sales-Oficina-Classicos-kit2-interesses_PD_link-ad&amp;utm_campaign=BR_AAF_DSY_NONMS_ND_AS_2019Q2APR_AFS_After-Sales&amp;utm_term=%epid!_%ecid!_%eaid!</v>
      </c>
      <c r="AI127" s="21" t="str">
        <f t="shared" si="42"/>
        <v>https://ad.doubleclick.net/ddm/trackclk/N9487.3165544FACEINSTA/B22646029.288794520;dc_trk_aid=482398131;dc_trk_cid=121930624;dc_lat=;dc_rdid=;tag_for_child_directed_treatment=;tfua=</v>
      </c>
      <c r="AJ127" s="15" t="str">
        <f t="shared" si="52"/>
        <v>faceinsta</v>
      </c>
      <c r="AK127" s="15" t="str">
        <f t="shared" si="53"/>
        <v>Direct</v>
      </c>
      <c r="AL127" s="21" t="str">
        <f>Campanha!$B$3</f>
        <v>BR_AAF_DSY_NONMS_ND_AS_2019Q2APR_AFS_After-Sales</v>
      </c>
      <c r="AM127" s="21" t="str">
        <f t="shared" si="45"/>
        <v>BR_VW_AFS_faceinsta_SOC_DRCT_CPM_CLK_LDR_AAF_RON_CXD_After-Sales-Oficina-Classicos-kit2-interesses_PD_link-ad</v>
      </c>
      <c r="AN127" s="15" t="s">
        <v>809</v>
      </c>
    </row>
    <row r="128" spans="2:40" x14ac:dyDescent="0.25">
      <c r="B128" s="15" t="s">
        <v>933</v>
      </c>
      <c r="C128" s="15" t="s">
        <v>1028</v>
      </c>
      <c r="D128" s="30" t="s">
        <v>873</v>
      </c>
      <c r="E128" s="22">
        <v>44155</v>
      </c>
      <c r="F128" s="22">
        <v>44196</v>
      </c>
      <c r="G128" s="15" t="s">
        <v>672</v>
      </c>
      <c r="H128" s="15" t="s">
        <v>387</v>
      </c>
      <c r="I128" s="15" t="s">
        <v>722</v>
      </c>
      <c r="J128" s="15" t="s">
        <v>313</v>
      </c>
      <c r="K128" s="15" t="s">
        <v>334</v>
      </c>
      <c r="L128" s="30" t="s">
        <v>342</v>
      </c>
      <c r="M128" s="30" t="s">
        <v>322</v>
      </c>
      <c r="N128" s="15" t="s">
        <v>708</v>
      </c>
      <c r="O128" s="15" t="s">
        <v>694</v>
      </c>
      <c r="P128" s="15" t="s">
        <v>936</v>
      </c>
      <c r="Q128" s="15" t="s">
        <v>883</v>
      </c>
      <c r="R128" s="15" t="s">
        <v>835</v>
      </c>
      <c r="S128" s="15" t="s">
        <v>348</v>
      </c>
      <c r="T128" s="15" t="s">
        <v>884</v>
      </c>
      <c r="AC128" s="32" t="s">
        <v>885</v>
      </c>
      <c r="AD128" s="33" t="e">
        <f t="shared" si="51"/>
        <v>#N/A</v>
      </c>
      <c r="AE128" s="21" t="str">
        <f t="shared" si="38"/>
        <v>BR_VW_AFS_faceinsta_SOC_DRCT_CPM_CLK_LDR_AAF_RON_CXD_After-Sales-Oficina-Classicos-kit3-interesses_PD_link-ad</v>
      </c>
      <c r="AF128" s="21" t="str">
        <f t="shared" si="39"/>
        <v>BR_VW_AFS_faceinsta_SOC_DRCT_CPM_CLK_LDR_AAF_RON_CXD_After-Sales-Oficina-Classicos-kit3-interesses_PD_link-ad</v>
      </c>
      <c r="AG128" s="21" t="str">
        <f t="shared" si="40"/>
        <v>VW_After-Sales-interesses_link-ad_After-Sales-Oficina-Classicos-kit3-faceinsta</v>
      </c>
      <c r="AH128" s="21" t="str">
        <f t="shared" si="41"/>
        <v>https://www.oficinadeclassicos.com.br/index.aspx?utm_source=faceinsta&amp;utm_medium=Direct&amp;utm_content=BR_VW_AFS_faceinsta_SOC_DRCT_CPM_CLK_LDR_AAF_RON_CXD_After-Sales-Oficina-Classicos-kit3-interesses_PD_link-ad&amp;utm_campaign=BR_AAF_DSY_NONMS_ND_AS_2019Q2APR_AFS_After-Sales&amp;utm_term=%epid!_%ecid!_%eaid!</v>
      </c>
      <c r="AI128" s="21" t="str">
        <f t="shared" si="42"/>
        <v>https://ad.doubleclick.net/ddm/trackclk/N9487.3165544FACEINSTA/B22646029.288794514;dc_trk_aid=482398125;dc_trk_cid=121930624;dc_lat=;dc_rdid=;tag_for_child_directed_treatment=;tfua=</v>
      </c>
      <c r="AJ128" s="15" t="str">
        <f t="shared" si="52"/>
        <v>faceinsta</v>
      </c>
      <c r="AK128" s="15" t="str">
        <f t="shared" si="53"/>
        <v>Direct</v>
      </c>
      <c r="AL128" s="21" t="str">
        <f>Campanha!$B$3</f>
        <v>BR_AAF_DSY_NONMS_ND_AS_2019Q2APR_AFS_After-Sales</v>
      </c>
      <c r="AM128" s="21" t="str">
        <f t="shared" si="45"/>
        <v>BR_VW_AFS_faceinsta_SOC_DRCT_CPM_CLK_LDR_AAF_RON_CXD_After-Sales-Oficina-Classicos-kit3-interesses_PD_link-ad</v>
      </c>
      <c r="AN128" s="15" t="s">
        <v>809</v>
      </c>
    </row>
    <row r="129" spans="2:40" hidden="1" x14ac:dyDescent="0.25">
      <c r="B129" s="15" t="s">
        <v>933</v>
      </c>
      <c r="C129" s="15" t="s">
        <v>1028</v>
      </c>
      <c r="D129" s="30" t="s">
        <v>873</v>
      </c>
      <c r="E129" s="22">
        <v>44155</v>
      </c>
      <c r="F129" s="22">
        <v>44196</v>
      </c>
      <c r="G129" s="15" t="s">
        <v>672</v>
      </c>
      <c r="H129" s="15" t="s">
        <v>387</v>
      </c>
      <c r="I129" s="15" t="s">
        <v>722</v>
      </c>
      <c r="J129" s="15" t="s">
        <v>313</v>
      </c>
      <c r="K129" s="15" t="s">
        <v>334</v>
      </c>
      <c r="L129" s="30" t="s">
        <v>342</v>
      </c>
      <c r="M129" s="30" t="s">
        <v>322</v>
      </c>
      <c r="N129" s="15" t="s">
        <v>708</v>
      </c>
      <c r="O129" s="15" t="s">
        <v>694</v>
      </c>
      <c r="P129" s="15" t="s">
        <v>1002</v>
      </c>
      <c r="Q129" s="15" t="s">
        <v>883</v>
      </c>
      <c r="R129" s="15" t="s">
        <v>835</v>
      </c>
      <c r="S129" s="15" t="s">
        <v>348</v>
      </c>
      <c r="T129" s="15" t="s">
        <v>882</v>
      </c>
      <c r="AC129" s="32" t="s">
        <v>885</v>
      </c>
      <c r="AD129" s="33" t="e">
        <f t="shared" si="51"/>
        <v>#N/A</v>
      </c>
      <c r="AE129" s="21" t="str">
        <f t="shared" si="38"/>
        <v>BR_VW_AFS_faceinsta_SOC_DRCT_CPM_CLK_LDR_AAF_RON_CXD_After-Sales-Oficina-Classicos-reg01-interesses_PD_carrossel</v>
      </c>
      <c r="AF129" s="21" t="str">
        <f t="shared" si="39"/>
        <v>BR_VW_AFS_faceinsta_SOC_DRCT_CPM_CLK_LDR_AAF_RON_CXD_After-Sales-Oficina-Classicos-reg01-interesses_PD_carrossel</v>
      </c>
      <c r="AG129" s="21" t="str">
        <f t="shared" si="40"/>
        <v>VW_After-Sales-interesses_carrossel_After-Sales-Oficina-Classicos-reg01-faceinsta</v>
      </c>
      <c r="AH129" s="21" t="str">
        <f t="shared" si="41"/>
        <v>https://www.oficinadeclassicos.com.br/index.aspx?utm_source=faceinsta&amp;utm_medium=Direct&amp;utm_content=BR_VW_AFS_faceinsta_SOC_DRCT_CPM_CLK_LDR_AAF_RON_CXD_After-Sales-Oficina-Classicos-reg01-interesses_PD_carrossel&amp;utm_campaign=BR_AAF_DSY_NONMS_ND_AS_2019Q2APR_AFS_After-Sales&amp;utm_term=%epid!_%ecid!_%eaid!</v>
      </c>
      <c r="AI129" s="21" t="str">
        <f t="shared" si="42"/>
        <v>https://ad.doubleclick.net/ddm/trackclk/N9487.3165544FACEINSTA/B22646029.288794511;dc_trk_aid=482398122;dc_trk_cid=121930624;dc_lat=;dc_rdid=;tag_for_child_directed_treatment=;tfua=</v>
      </c>
      <c r="AJ129" s="15" t="str">
        <f t="shared" si="52"/>
        <v>faceinsta</v>
      </c>
      <c r="AK129" s="15" t="str">
        <f t="shared" si="53"/>
        <v>Direct</v>
      </c>
      <c r="AL129" s="21" t="str">
        <f>Campanha!$B$3</f>
        <v>BR_AAF_DSY_NONMS_ND_AS_2019Q2APR_AFS_After-Sales</v>
      </c>
      <c r="AM129" s="21" t="str">
        <f t="shared" si="45"/>
        <v>BR_VW_AFS_faceinsta_SOC_DRCT_CPM_CLK_LDR_AAF_RON_CXD_After-Sales-Oficina-Classicos-reg01-interesses_PD_carrossel</v>
      </c>
      <c r="AN129" s="15" t="s">
        <v>809</v>
      </c>
    </row>
    <row r="130" spans="2:40" hidden="1" x14ac:dyDescent="0.25">
      <c r="B130" s="15" t="s">
        <v>933</v>
      </c>
      <c r="C130" s="15" t="s">
        <v>1028</v>
      </c>
      <c r="D130" s="30" t="s">
        <v>873</v>
      </c>
      <c r="E130" s="22">
        <v>44155</v>
      </c>
      <c r="F130" s="22">
        <v>44196</v>
      </c>
      <c r="G130" s="15" t="s">
        <v>672</v>
      </c>
      <c r="H130" s="15" t="s">
        <v>387</v>
      </c>
      <c r="I130" s="15" t="s">
        <v>722</v>
      </c>
      <c r="J130" s="15" t="s">
        <v>313</v>
      </c>
      <c r="K130" s="15" t="s">
        <v>334</v>
      </c>
      <c r="L130" s="30" t="s">
        <v>342</v>
      </c>
      <c r="M130" s="30" t="s">
        <v>322</v>
      </c>
      <c r="N130" s="15" t="s">
        <v>708</v>
      </c>
      <c r="O130" s="15" t="s">
        <v>694</v>
      </c>
      <c r="P130" s="15" t="s">
        <v>1003</v>
      </c>
      <c r="Q130" s="15" t="s">
        <v>883</v>
      </c>
      <c r="R130" s="15" t="s">
        <v>835</v>
      </c>
      <c r="S130" s="15" t="s">
        <v>348</v>
      </c>
      <c r="T130" s="15" t="s">
        <v>882</v>
      </c>
      <c r="AC130" s="32" t="s">
        <v>885</v>
      </c>
      <c r="AD130" s="33" t="e">
        <f t="shared" si="51"/>
        <v>#N/A</v>
      </c>
      <c r="AE130" s="21" t="str">
        <f t="shared" si="38"/>
        <v>BR_VW_AFS_faceinsta_SOC_DRCT_CPM_CLK_LDR_AAF_RON_CXD_After-Sales-Oficina-Classicos-reg02-interesses_PD_carrossel</v>
      </c>
      <c r="AF130" s="21" t="str">
        <f t="shared" si="39"/>
        <v>BR_VW_AFS_faceinsta_SOC_DRCT_CPM_CLK_LDR_AAF_RON_CXD_After-Sales-Oficina-Classicos-reg02-interesses_PD_carrossel</v>
      </c>
      <c r="AG130" s="21" t="str">
        <f t="shared" si="40"/>
        <v>VW_After-Sales-interesses_carrossel_After-Sales-Oficina-Classicos-reg02-faceinsta</v>
      </c>
      <c r="AH130" s="21" t="str">
        <f t="shared" si="41"/>
        <v>https://www.oficinadeclassicos.com.br/index.aspx?utm_source=faceinsta&amp;utm_medium=Direct&amp;utm_content=BR_VW_AFS_faceinsta_SOC_DRCT_CPM_CLK_LDR_AAF_RON_CXD_After-Sales-Oficina-Classicos-reg02-interesses_PD_carrossel&amp;utm_campaign=BR_AAF_DSY_NONMS_ND_AS_2019Q2APR_AFS_After-Sales&amp;utm_term=%epid!_%ecid!_%eaid!</v>
      </c>
      <c r="AI130" s="21" t="str">
        <f t="shared" si="42"/>
        <v>https://ad.doubleclick.net/ddm/trackclk/N9487.3165544FACEINSTA/B22646029.288794508;dc_trk_aid=482398119;dc_trk_cid=121930624;dc_lat=;dc_rdid=;tag_for_child_directed_treatment=;tfua=</v>
      </c>
      <c r="AJ130" s="15" t="str">
        <f t="shared" si="52"/>
        <v>faceinsta</v>
      </c>
      <c r="AK130" s="15" t="str">
        <f t="shared" si="53"/>
        <v>Direct</v>
      </c>
      <c r="AL130" s="21" t="str">
        <f>Campanha!$B$3</f>
        <v>BR_AAF_DSY_NONMS_ND_AS_2019Q2APR_AFS_After-Sales</v>
      </c>
      <c r="AM130" s="21" t="str">
        <f t="shared" si="45"/>
        <v>BR_VW_AFS_faceinsta_SOC_DRCT_CPM_CLK_LDR_AAF_RON_CXD_After-Sales-Oficina-Classicos-reg02-interesses_PD_carrossel</v>
      </c>
      <c r="AN130" s="15" t="s">
        <v>809</v>
      </c>
    </row>
    <row r="131" spans="2:40" hidden="1" x14ac:dyDescent="0.25">
      <c r="B131" s="15" t="s">
        <v>933</v>
      </c>
      <c r="C131" s="15" t="s">
        <v>1030</v>
      </c>
      <c r="D131" s="30" t="s">
        <v>873</v>
      </c>
      <c r="E131" s="22">
        <v>44155</v>
      </c>
      <c r="F131" s="22">
        <v>44196</v>
      </c>
      <c r="G131" s="15" t="s">
        <v>672</v>
      </c>
      <c r="H131" s="15" t="s">
        <v>387</v>
      </c>
      <c r="I131" s="15" t="s">
        <v>722</v>
      </c>
      <c r="J131" s="15" t="s">
        <v>313</v>
      </c>
      <c r="K131" s="15" t="s">
        <v>334</v>
      </c>
      <c r="L131" s="30" t="s">
        <v>342</v>
      </c>
      <c r="M131" s="30" t="s">
        <v>322</v>
      </c>
      <c r="N131" s="15" t="s">
        <v>708</v>
      </c>
      <c r="O131" s="15" t="s">
        <v>694</v>
      </c>
      <c r="P131" s="15" t="s">
        <v>1029</v>
      </c>
      <c r="Q131" s="15" t="s">
        <v>883</v>
      </c>
      <c r="R131" s="15" t="s">
        <v>835</v>
      </c>
      <c r="S131" s="15" t="s">
        <v>348</v>
      </c>
      <c r="T131" s="15" t="s">
        <v>882</v>
      </c>
      <c r="AC131" s="32" t="s">
        <v>885</v>
      </c>
      <c r="AD131" s="33" t="e">
        <f t="shared" si="51"/>
        <v>#N/A</v>
      </c>
      <c r="AE131" s="21" t="str">
        <f t="shared" si="38"/>
        <v>BR_VW_AFS_faceinsta_SOC_DRCT_CPM_CLK_LDR_AAF_RON_CXD_After-Sales-Oficina-Classicos-reg03-interesses_PD_carrossel</v>
      </c>
      <c r="AF131" s="21" t="str">
        <f t="shared" si="39"/>
        <v>BR_VW_AFS_faceinsta_SOC_DRCT_CPM_CLK_LDR_AAF_RON_CXD_After-Sales-Oficina-Classicos-reg03-interesses_PD_carrossel</v>
      </c>
      <c r="AG131" s="21" t="str">
        <f t="shared" si="40"/>
        <v>VW_After-Sales-interesses_carrossel_After-Sales-Oficina-Classicos-reg03-faceinsta</v>
      </c>
      <c r="AH131" s="21" t="str">
        <f t="shared" si="41"/>
        <v>https://www.oficinadeclassicos.com.br/index.aspx?utm_source=faceinsta&amp;utm_medium=Direct&amp;utm_content=BR_VW_AFS_faceinsta_SOC_DRCT_CPM_CLK_LDR_AAF_RON_CXD_After-Sales-Oficina-Classicos-reg03-interesses_PD_carrossel&amp;utm_campaign=BR_AAF_DSY_NONMS_ND_AS_2019Q2APR_AFS_After-Sales&amp;utm_term=%epid!_%ecid!_%eaid!</v>
      </c>
      <c r="AI131" s="21" t="str">
        <f t="shared" si="42"/>
        <v>https://ad.doubleclick.net/ddm/trackclk/N9487.3165544FACEINSTA/B22646029.288794505;dc_trk_aid=482398116;dc_trk_cid=121930624;dc_lat=;dc_rdid=;tag_for_child_directed_treatment=;tfua=</v>
      </c>
      <c r="AJ131" s="15" t="str">
        <f t="shared" si="52"/>
        <v>faceinsta</v>
      </c>
      <c r="AK131" s="15" t="str">
        <f t="shared" si="53"/>
        <v>Direct</v>
      </c>
      <c r="AL131" s="21" t="str">
        <f>Campanha!$B$3</f>
        <v>BR_AAF_DSY_NONMS_ND_AS_2019Q2APR_AFS_After-Sales</v>
      </c>
      <c r="AM131" s="21" t="str">
        <f t="shared" si="45"/>
        <v>BR_VW_AFS_faceinsta_SOC_DRCT_CPM_CLK_LDR_AAF_RON_CXD_After-Sales-Oficina-Classicos-reg03-interesses_PD_carrossel</v>
      </c>
      <c r="AN131" s="15" t="s">
        <v>809</v>
      </c>
    </row>
    <row r="132" spans="2:40" hidden="1" x14ac:dyDescent="0.25">
      <c r="B132" s="15" t="s">
        <v>933</v>
      </c>
      <c r="C132" s="15" t="s">
        <v>1028</v>
      </c>
      <c r="D132" s="30" t="s">
        <v>873</v>
      </c>
      <c r="E132" s="22">
        <v>44155</v>
      </c>
      <c r="F132" s="22">
        <v>44196</v>
      </c>
      <c r="G132" s="15" t="s">
        <v>672</v>
      </c>
      <c r="H132" s="15" t="s">
        <v>387</v>
      </c>
      <c r="I132" s="15" t="s">
        <v>722</v>
      </c>
      <c r="J132" s="15" t="s">
        <v>313</v>
      </c>
      <c r="K132" s="15" t="s">
        <v>334</v>
      </c>
      <c r="L132" s="30" t="s">
        <v>342</v>
      </c>
      <c r="M132" s="30" t="s">
        <v>322</v>
      </c>
      <c r="N132" s="15" t="s">
        <v>708</v>
      </c>
      <c r="O132" s="15" t="s">
        <v>694</v>
      </c>
      <c r="P132" s="15" t="s">
        <v>1004</v>
      </c>
      <c r="Q132" s="15" t="s">
        <v>883</v>
      </c>
      <c r="R132" s="15" t="s">
        <v>835</v>
      </c>
      <c r="S132" s="15" t="s">
        <v>348</v>
      </c>
      <c r="T132" s="15" t="s">
        <v>882</v>
      </c>
      <c r="AC132" s="32" t="s">
        <v>885</v>
      </c>
      <c r="AD132" s="33" t="e">
        <f t="shared" si="51"/>
        <v>#N/A</v>
      </c>
      <c r="AE132" s="21" t="str">
        <f t="shared" si="38"/>
        <v>BR_VW_AFS_faceinsta_SOC_DRCT_CPM_CLK_LDR_AAF_RON_CXD_After-Sales-Oficina-Classicos-reg04-interesses_PD_carrossel</v>
      </c>
      <c r="AF132" s="21" t="str">
        <f t="shared" si="39"/>
        <v>BR_VW_AFS_faceinsta_SOC_DRCT_CPM_CLK_LDR_AAF_RON_CXD_After-Sales-Oficina-Classicos-reg04-interesses_PD_carrossel</v>
      </c>
      <c r="AG132" s="21" t="str">
        <f t="shared" si="40"/>
        <v>VW_After-Sales-interesses_carrossel_After-Sales-Oficina-Classicos-reg04-faceinsta</v>
      </c>
      <c r="AH132" s="21" t="str">
        <f t="shared" si="41"/>
        <v>https://www.oficinadeclassicos.com.br/index.aspx?utm_source=faceinsta&amp;utm_medium=Direct&amp;utm_content=BR_VW_AFS_faceinsta_SOC_DRCT_CPM_CLK_LDR_AAF_RON_CXD_After-Sales-Oficina-Classicos-reg04-interesses_PD_carrossel&amp;utm_campaign=BR_AAF_DSY_NONMS_ND_AS_2019Q2APR_AFS_After-Sales&amp;utm_term=%epid!_%ecid!_%eaid!</v>
      </c>
      <c r="AI132" s="21" t="str">
        <f t="shared" si="42"/>
        <v>https://ad.doubleclick.net/ddm/trackclk/N9487.3165544FACEINSTA/B22646029.288794502;dc_trk_aid=482398113;dc_trk_cid=121930624;dc_lat=;dc_rdid=;tag_for_child_directed_treatment=;tfua=</v>
      </c>
      <c r="AJ132" s="15" t="str">
        <f t="shared" si="52"/>
        <v>faceinsta</v>
      </c>
      <c r="AK132" s="15" t="str">
        <f t="shared" si="53"/>
        <v>Direct</v>
      </c>
      <c r="AL132" s="21" t="str">
        <f>Campanha!$B$3</f>
        <v>BR_AAF_DSY_NONMS_ND_AS_2019Q2APR_AFS_After-Sales</v>
      </c>
      <c r="AM132" s="21" t="str">
        <f t="shared" si="45"/>
        <v>BR_VW_AFS_faceinsta_SOC_DRCT_CPM_CLK_LDR_AAF_RON_CXD_After-Sales-Oficina-Classicos-reg04-interesses_PD_carrossel</v>
      </c>
      <c r="AN132" s="15" t="s">
        <v>809</v>
      </c>
    </row>
    <row r="133" spans="2:40" hidden="1" x14ac:dyDescent="0.25">
      <c r="B133" s="15" t="s">
        <v>933</v>
      </c>
      <c r="C133" s="15" t="s">
        <v>1028</v>
      </c>
      <c r="D133" s="30" t="s">
        <v>873</v>
      </c>
      <c r="E133" s="22">
        <v>44155</v>
      </c>
      <c r="F133" s="22">
        <v>44196</v>
      </c>
      <c r="G133" s="15" t="s">
        <v>672</v>
      </c>
      <c r="H133" s="15" t="s">
        <v>387</v>
      </c>
      <c r="I133" s="15" t="s">
        <v>722</v>
      </c>
      <c r="J133" s="15" t="s">
        <v>313</v>
      </c>
      <c r="K133" s="15" t="s">
        <v>334</v>
      </c>
      <c r="L133" s="30" t="s">
        <v>342</v>
      </c>
      <c r="M133" s="30" t="s">
        <v>322</v>
      </c>
      <c r="N133" s="15" t="s">
        <v>708</v>
      </c>
      <c r="O133" s="15" t="s">
        <v>694</v>
      </c>
      <c r="P133" s="15" t="s">
        <v>1005</v>
      </c>
      <c r="Q133" s="15" t="s">
        <v>883</v>
      </c>
      <c r="R133" s="15" t="s">
        <v>835</v>
      </c>
      <c r="S133" s="15" t="s">
        <v>348</v>
      </c>
      <c r="T133" s="15" t="s">
        <v>882</v>
      </c>
      <c r="AC133" s="32" t="s">
        <v>885</v>
      </c>
      <c r="AD133" s="33" t="e">
        <f t="shared" si="51"/>
        <v>#N/A</v>
      </c>
      <c r="AE133" s="21" t="str">
        <f t="shared" si="38"/>
        <v>BR_VW_AFS_faceinsta_SOC_DRCT_CPM_CLK_LDR_AAF_RON_CXD_After-Sales-Oficina-Classicos-reg05-interesses_PD_carrossel</v>
      </c>
      <c r="AF133" s="21" t="str">
        <f t="shared" si="39"/>
        <v>BR_VW_AFS_faceinsta_SOC_DRCT_CPM_CLK_LDR_AAF_RON_CXD_After-Sales-Oficina-Classicos-reg05-interesses_PD_carrossel</v>
      </c>
      <c r="AG133" s="21" t="str">
        <f t="shared" si="40"/>
        <v>VW_After-Sales-interesses_carrossel_After-Sales-Oficina-Classicos-reg05-faceinsta</v>
      </c>
      <c r="AH133" s="21" t="str">
        <f t="shared" si="41"/>
        <v>https://www.oficinadeclassicos.com.br/index.aspx?utm_source=faceinsta&amp;utm_medium=Direct&amp;utm_content=BR_VW_AFS_faceinsta_SOC_DRCT_CPM_CLK_LDR_AAF_RON_CXD_After-Sales-Oficina-Classicos-reg05-interesses_PD_carrossel&amp;utm_campaign=BR_AAF_DSY_NONMS_ND_AS_2019Q2APR_AFS_After-Sales&amp;utm_term=%epid!_%ecid!_%eaid!</v>
      </c>
      <c r="AI133" s="21" t="str">
        <f t="shared" si="42"/>
        <v>https://ad.doubleclick.net/ddm/trackclk/N9487.3165544FACEINSTA/B22646029.288794499;dc_trk_aid=482398110;dc_trk_cid=121930624;dc_lat=;dc_rdid=;tag_for_child_directed_treatment=;tfua=</v>
      </c>
      <c r="AJ133" s="15" t="str">
        <f t="shared" si="52"/>
        <v>faceinsta</v>
      </c>
      <c r="AK133" s="15" t="str">
        <f t="shared" si="53"/>
        <v>Direct</v>
      </c>
      <c r="AL133" s="21" t="str">
        <f>Campanha!$B$3</f>
        <v>BR_AAF_DSY_NONMS_ND_AS_2019Q2APR_AFS_After-Sales</v>
      </c>
      <c r="AM133" s="21" t="str">
        <f t="shared" si="45"/>
        <v>BR_VW_AFS_faceinsta_SOC_DRCT_CPM_CLK_LDR_AAF_RON_CXD_After-Sales-Oficina-Classicos-reg05-interesses_PD_carrossel</v>
      </c>
      <c r="AN133" s="15" t="s">
        <v>809</v>
      </c>
    </row>
    <row r="134" spans="2:40" hidden="1" x14ac:dyDescent="0.25">
      <c r="B134" s="15" t="s">
        <v>933</v>
      </c>
      <c r="C134" s="15" t="s">
        <v>1028</v>
      </c>
      <c r="D134" s="30" t="s">
        <v>873</v>
      </c>
      <c r="E134" s="22">
        <v>44155</v>
      </c>
      <c r="F134" s="22">
        <v>44196</v>
      </c>
      <c r="G134" s="15" t="s">
        <v>672</v>
      </c>
      <c r="H134" s="15" t="s">
        <v>387</v>
      </c>
      <c r="I134" s="15" t="s">
        <v>722</v>
      </c>
      <c r="J134" s="15" t="s">
        <v>313</v>
      </c>
      <c r="K134" s="15" t="s">
        <v>334</v>
      </c>
      <c r="L134" s="30" t="s">
        <v>342</v>
      </c>
      <c r="M134" s="30" t="s">
        <v>322</v>
      </c>
      <c r="N134" s="15" t="s">
        <v>708</v>
      </c>
      <c r="O134" s="15" t="s">
        <v>694</v>
      </c>
      <c r="P134" s="15" t="s">
        <v>1006</v>
      </c>
      <c r="Q134" s="15" t="s">
        <v>883</v>
      </c>
      <c r="R134" s="15" t="s">
        <v>835</v>
      </c>
      <c r="S134" s="15" t="s">
        <v>348</v>
      </c>
      <c r="T134" s="15" t="s">
        <v>882</v>
      </c>
      <c r="AC134" s="32" t="s">
        <v>885</v>
      </c>
      <c r="AD134" s="33" t="e">
        <f t="shared" si="51"/>
        <v>#N/A</v>
      </c>
      <c r="AE134" s="21" t="str">
        <f t="shared" si="38"/>
        <v>BR_VW_AFS_faceinsta_SOC_DRCT_CPM_CLK_LDR_AAF_RON_CXD_After-Sales-Oficina-Classicos-reg06-interesses_PD_carrossel</v>
      </c>
      <c r="AF134" s="21" t="str">
        <f t="shared" si="39"/>
        <v>BR_VW_AFS_faceinsta_SOC_DRCT_CPM_CLK_LDR_AAF_RON_CXD_After-Sales-Oficina-Classicos-reg06-interesses_PD_carrossel</v>
      </c>
      <c r="AG134" s="21" t="str">
        <f t="shared" si="40"/>
        <v>VW_After-Sales-interesses_carrossel_After-Sales-Oficina-Classicos-reg06-faceinsta</v>
      </c>
      <c r="AH134" s="21" t="str">
        <f t="shared" si="41"/>
        <v>https://www.oficinadeclassicos.com.br/index.aspx?utm_source=faceinsta&amp;utm_medium=Direct&amp;utm_content=BR_VW_AFS_faceinsta_SOC_DRCT_CPM_CLK_LDR_AAF_RON_CXD_After-Sales-Oficina-Classicos-reg06-interesses_PD_carrossel&amp;utm_campaign=BR_AAF_DSY_NONMS_ND_AS_2019Q2APR_AFS_After-Sales&amp;utm_term=%epid!_%ecid!_%eaid!</v>
      </c>
      <c r="AI134" s="21" t="str">
        <f t="shared" si="42"/>
        <v>https://ad.doubleclick.net/ddm/trackclk/N9487.3165544FACEINSTA/B22646029.288794523;dc_trk_aid=482398134;dc_trk_cid=121930624;dc_lat=;dc_rdid=;tag_for_child_directed_treatment=;tfua=</v>
      </c>
      <c r="AJ134" s="15" t="str">
        <f t="shared" si="52"/>
        <v>faceinsta</v>
      </c>
      <c r="AK134" s="15" t="str">
        <f t="shared" si="53"/>
        <v>Direct</v>
      </c>
      <c r="AL134" s="21" t="str">
        <f>Campanha!$B$3</f>
        <v>BR_AAF_DSY_NONMS_ND_AS_2019Q2APR_AFS_After-Sales</v>
      </c>
      <c r="AM134" s="21" t="str">
        <f t="shared" si="45"/>
        <v>BR_VW_AFS_faceinsta_SOC_DRCT_CPM_CLK_LDR_AAF_RON_CXD_After-Sales-Oficina-Classicos-reg06-interesses_PD_carrossel</v>
      </c>
      <c r="AN134" s="15" t="s">
        <v>809</v>
      </c>
    </row>
    <row r="135" spans="2:40" hidden="1" x14ac:dyDescent="0.25">
      <c r="B135" s="15" t="s">
        <v>933</v>
      </c>
      <c r="C135" s="15" t="s">
        <v>1028</v>
      </c>
      <c r="D135" s="30" t="s">
        <v>873</v>
      </c>
      <c r="E135" s="22">
        <v>44155</v>
      </c>
      <c r="F135" s="22">
        <v>44196</v>
      </c>
      <c r="G135" s="15" t="s">
        <v>672</v>
      </c>
      <c r="H135" s="15" t="s">
        <v>387</v>
      </c>
      <c r="I135" s="15" t="s">
        <v>722</v>
      </c>
      <c r="J135" s="15" t="s">
        <v>313</v>
      </c>
      <c r="K135" s="15" t="s">
        <v>334</v>
      </c>
      <c r="L135" s="30" t="s">
        <v>342</v>
      </c>
      <c r="M135" s="30" t="s">
        <v>322</v>
      </c>
      <c r="N135" s="15" t="s">
        <v>708</v>
      </c>
      <c r="O135" s="15" t="s">
        <v>694</v>
      </c>
      <c r="P135" s="15" t="s">
        <v>1007</v>
      </c>
      <c r="Q135" s="15" t="s">
        <v>883</v>
      </c>
      <c r="R135" s="15" t="s">
        <v>835</v>
      </c>
      <c r="S135" s="15" t="s">
        <v>348</v>
      </c>
      <c r="T135" s="15" t="s">
        <v>882</v>
      </c>
      <c r="AC135" s="32" t="s">
        <v>885</v>
      </c>
      <c r="AD135" s="33" t="e">
        <f t="shared" si="51"/>
        <v>#N/A</v>
      </c>
      <c r="AE135" s="21" t="str">
        <f t="shared" si="38"/>
        <v>BR_VW_AFS_faceinsta_SOC_DRCT_CPM_CLK_LDR_AAF_RON_CXD_After-Sales-Oficina-Classicos-reg07-interesses_PD_carrossel</v>
      </c>
      <c r="AF135" s="21" t="str">
        <f t="shared" si="39"/>
        <v>BR_VW_AFS_faceinsta_SOC_DRCT_CPM_CLK_LDR_AAF_RON_CXD_After-Sales-Oficina-Classicos-reg07-interesses_PD_carrossel</v>
      </c>
      <c r="AG135" s="21" t="str">
        <f t="shared" si="40"/>
        <v>VW_After-Sales-interesses_carrossel_After-Sales-Oficina-Classicos-reg07-faceinsta</v>
      </c>
      <c r="AH135" s="21" t="str">
        <f t="shared" si="41"/>
        <v>https://www.oficinadeclassicos.com.br/index.aspx?utm_source=faceinsta&amp;utm_medium=Direct&amp;utm_content=BR_VW_AFS_faceinsta_SOC_DRCT_CPM_CLK_LDR_AAF_RON_CXD_After-Sales-Oficina-Classicos-reg07-interesses_PD_carrossel&amp;utm_campaign=BR_AAF_DSY_NONMS_ND_AS_2019Q2APR_AFS_After-Sales&amp;utm_term=%epid!_%ecid!_%eaid!</v>
      </c>
      <c r="AI135" s="21" t="str">
        <f t="shared" si="42"/>
        <v>https://ad.doubleclick.net/ddm/trackclk/N9487.3165544FACEINSTA/B22646029.288794517;dc_trk_aid=482398128;dc_trk_cid=121930624;dc_lat=;dc_rdid=;tag_for_child_directed_treatment=;tfua=</v>
      </c>
      <c r="AJ135" s="15" t="str">
        <f t="shared" si="52"/>
        <v>faceinsta</v>
      </c>
      <c r="AK135" s="15" t="str">
        <f t="shared" si="53"/>
        <v>Direct</v>
      </c>
      <c r="AL135" s="21" t="str">
        <f>Campanha!$B$3</f>
        <v>BR_AAF_DSY_NONMS_ND_AS_2019Q2APR_AFS_After-Sales</v>
      </c>
      <c r="AM135" s="21" t="str">
        <f t="shared" si="45"/>
        <v>BR_VW_AFS_faceinsta_SOC_DRCT_CPM_CLK_LDR_AAF_RON_CXD_After-Sales-Oficina-Classicos-reg07-interesses_PD_carrossel</v>
      </c>
      <c r="AN135" s="15" t="s">
        <v>809</v>
      </c>
    </row>
    <row r="136" spans="2:40" x14ac:dyDescent="0.25">
      <c r="B136" s="15" t="s">
        <v>933</v>
      </c>
      <c r="C136" s="15" t="s">
        <v>1032</v>
      </c>
      <c r="D136" s="30" t="s">
        <v>1031</v>
      </c>
      <c r="E136" s="22">
        <v>44160</v>
      </c>
      <c r="F136" s="22">
        <v>44196</v>
      </c>
      <c r="G136" s="30" t="s">
        <v>672</v>
      </c>
      <c r="H136" s="30" t="s">
        <v>387</v>
      </c>
      <c r="I136" s="30" t="s">
        <v>722</v>
      </c>
      <c r="J136" s="30" t="s">
        <v>313</v>
      </c>
      <c r="K136" s="30" t="s">
        <v>334</v>
      </c>
      <c r="L136" s="30" t="s">
        <v>342</v>
      </c>
      <c r="M136" s="30" t="s">
        <v>322</v>
      </c>
      <c r="N136" s="15" t="s">
        <v>708</v>
      </c>
      <c r="O136" s="15" t="s">
        <v>694</v>
      </c>
      <c r="P136" s="15" t="s">
        <v>886</v>
      </c>
      <c r="Q136" s="15" t="s">
        <v>887</v>
      </c>
      <c r="R136" s="15" t="s">
        <v>835</v>
      </c>
      <c r="S136" s="15" t="s">
        <v>348</v>
      </c>
      <c r="T136" s="15" t="s">
        <v>884</v>
      </c>
      <c r="AC136" s="32" t="s">
        <v>885</v>
      </c>
      <c r="AD136" s="33" t="e">
        <f t="shared" si="51"/>
        <v>#N/A</v>
      </c>
      <c r="AE136" s="21" t="str">
        <f t="shared" si="38"/>
        <v>BR_VW_AFS_faceinsta_SOC_DRCT_CPM_CLK_LDR_AAF_RON_CXD_After-Sales-Oficina-Classicos-lal-lead-oficina_PD_link-ad</v>
      </c>
      <c r="AF136" s="21" t="str">
        <f t="shared" si="39"/>
        <v>BR_VW_AFS_faceinsta_SOC_DRCT_CPM_CLK_LDR_AAF_RON_CXD_After-Sales-Oficina-Classicos-lal-lead-oficina_PD_link-ad</v>
      </c>
      <c r="AG136" s="21" t="str">
        <f t="shared" si="40"/>
        <v>VW_After-Sales-lal-lead-oficina_link-ad_After-Sales-Oficina-Classicos-faceinsta</v>
      </c>
      <c r="AH136" s="21" t="str">
        <f t="shared" si="41"/>
        <v>https://www.oficinadeclassicos.com.br/index.aspx?utm_source=faceinsta&amp;utm_medium=Direct&amp;utm_content=BR_VW_AFS_faceinsta_SOC_DRCT_CPM_CLK_LDR_AAF_RON_CXD_After-Sales-Oficina-Classicos-lal-lead-oficina_PD_link-ad&amp;utm_campaign=BR_AAF_DSY_NONMS_ND_AS_2019Q2APR_AFS_After-Sales&amp;utm_term=%epid!_%ecid!_%eaid!</v>
      </c>
      <c r="AI136" s="21" t="str">
        <f t="shared" si="42"/>
        <v>https://ad.doubleclick.net/ddm/trackclk/N9487.3165544FACEINSTA/B22646029.288929822;dc_trk_aid=482405513;dc_trk_cid=121930624;dc_lat=;dc_rdid=;tag_for_child_directed_treatment=;tfua=</v>
      </c>
      <c r="AJ136" s="15" t="str">
        <f t="shared" si="52"/>
        <v>faceinsta</v>
      </c>
      <c r="AK136" s="15" t="str">
        <f t="shared" si="53"/>
        <v>Direct</v>
      </c>
      <c r="AL136" s="21" t="str">
        <f>Campanha!$B$3</f>
        <v>BR_AAF_DSY_NONMS_ND_AS_2019Q2APR_AFS_After-Sales</v>
      </c>
      <c r="AM136" s="21" t="str">
        <f t="shared" si="45"/>
        <v>BR_VW_AFS_faceinsta_SOC_DRCT_CPM_CLK_LDR_AAF_RON_CXD_After-Sales-Oficina-Classicos-lal-lead-oficina_PD_link-ad</v>
      </c>
      <c r="AN136" s="15" t="s">
        <v>809</v>
      </c>
    </row>
    <row r="137" spans="2:40" x14ac:dyDescent="0.25">
      <c r="B137" s="15" t="s">
        <v>933</v>
      </c>
      <c r="C137" s="15" t="s">
        <v>1032</v>
      </c>
      <c r="D137" s="30" t="s">
        <v>1031</v>
      </c>
      <c r="E137" s="22">
        <v>44160</v>
      </c>
      <c r="F137" s="22">
        <v>44196</v>
      </c>
      <c r="G137" s="30" t="s">
        <v>672</v>
      </c>
      <c r="H137" s="30" t="s">
        <v>387</v>
      </c>
      <c r="I137" s="30" t="s">
        <v>722</v>
      </c>
      <c r="J137" s="30" t="s">
        <v>313</v>
      </c>
      <c r="K137" s="30" t="s">
        <v>334</v>
      </c>
      <c r="L137" s="30" t="s">
        <v>342</v>
      </c>
      <c r="M137" s="30" t="s">
        <v>322</v>
      </c>
      <c r="N137" s="15" t="s">
        <v>708</v>
      </c>
      <c r="O137" s="15" t="s">
        <v>694</v>
      </c>
      <c r="P137" s="15" t="s">
        <v>935</v>
      </c>
      <c r="Q137" s="15" t="s">
        <v>887</v>
      </c>
      <c r="R137" s="15" t="s">
        <v>835</v>
      </c>
      <c r="S137" s="15" t="s">
        <v>348</v>
      </c>
      <c r="T137" s="15" t="s">
        <v>884</v>
      </c>
      <c r="AC137" s="32" t="s">
        <v>885</v>
      </c>
      <c r="AD137" s="33" t="e">
        <f t="shared" si="51"/>
        <v>#N/A</v>
      </c>
      <c r="AE137" s="21" t="str">
        <f t="shared" si="38"/>
        <v>BR_VW_AFS_faceinsta_SOC_DRCT_CPM_CLK_LDR_AAF_RON_CXD_After-Sales-Oficina-Classicos-kit2-lal-lead-oficina_PD_link-ad</v>
      </c>
      <c r="AF137" s="21" t="str">
        <f t="shared" si="39"/>
        <v>BR_VW_AFS_faceinsta_SOC_DRCT_CPM_CLK_LDR_AAF_RON_CXD_After-Sales-Oficina-Classicos-kit2-lal-lead-oficina_PD_link-ad</v>
      </c>
      <c r="AG137" s="21" t="str">
        <f t="shared" si="40"/>
        <v>VW_After-Sales-lal-lead-oficina_link-ad_After-Sales-Oficina-Classicos-kit2-faceinsta</v>
      </c>
      <c r="AH137" s="21" t="str">
        <f t="shared" si="41"/>
        <v>https://www.oficinadeclassicos.com.br/index.aspx?utm_source=faceinsta&amp;utm_medium=Direct&amp;utm_content=BR_VW_AFS_faceinsta_SOC_DRCT_CPM_CLK_LDR_AAF_RON_CXD_After-Sales-Oficina-Classicos-kit2-lal-lead-oficina_PD_link-ad&amp;utm_campaign=BR_AAF_DSY_NONMS_ND_AS_2019Q2APR_AFS_After-Sales&amp;utm_term=%epid!_%ecid!_%eaid!</v>
      </c>
      <c r="AI137" s="21" t="str">
        <f t="shared" si="42"/>
        <v>https://ad.doubleclick.net/ddm/trackclk/N9487.3165544FACEINSTA/B22646029.288929819;dc_trk_aid=482405510;dc_trk_cid=121930624;dc_lat=;dc_rdid=;tag_for_child_directed_treatment=;tfua=</v>
      </c>
      <c r="AJ137" s="15" t="str">
        <f t="shared" si="52"/>
        <v>faceinsta</v>
      </c>
      <c r="AK137" s="15" t="str">
        <f t="shared" si="53"/>
        <v>Direct</v>
      </c>
      <c r="AL137" s="21" t="str">
        <f>Campanha!$B$3</f>
        <v>BR_AAF_DSY_NONMS_ND_AS_2019Q2APR_AFS_After-Sales</v>
      </c>
      <c r="AM137" s="21" t="str">
        <f t="shared" si="45"/>
        <v>BR_VW_AFS_faceinsta_SOC_DRCT_CPM_CLK_LDR_AAF_RON_CXD_After-Sales-Oficina-Classicos-kit2-lal-lead-oficina_PD_link-ad</v>
      </c>
      <c r="AN137" s="15" t="s">
        <v>809</v>
      </c>
    </row>
    <row r="138" spans="2:40" x14ac:dyDescent="0.25">
      <c r="B138" s="15" t="s">
        <v>933</v>
      </c>
      <c r="C138" s="15" t="s">
        <v>1032</v>
      </c>
      <c r="D138" s="30" t="s">
        <v>1031</v>
      </c>
      <c r="E138" s="22">
        <v>44160</v>
      </c>
      <c r="F138" s="22">
        <v>44196</v>
      </c>
      <c r="G138" s="30" t="s">
        <v>672</v>
      </c>
      <c r="H138" s="30" t="s">
        <v>387</v>
      </c>
      <c r="I138" s="30" t="s">
        <v>722</v>
      </c>
      <c r="J138" s="30" t="s">
        <v>313</v>
      </c>
      <c r="K138" s="30" t="s">
        <v>334</v>
      </c>
      <c r="L138" s="30" t="s">
        <v>342</v>
      </c>
      <c r="M138" s="30" t="s">
        <v>322</v>
      </c>
      <c r="N138" s="15" t="s">
        <v>708</v>
      </c>
      <c r="O138" s="15" t="s">
        <v>694</v>
      </c>
      <c r="P138" s="15" t="s">
        <v>936</v>
      </c>
      <c r="Q138" s="15" t="s">
        <v>887</v>
      </c>
      <c r="R138" s="15" t="s">
        <v>835</v>
      </c>
      <c r="S138" s="15" t="s">
        <v>348</v>
      </c>
      <c r="T138" s="15" t="s">
        <v>884</v>
      </c>
      <c r="AC138" s="32" t="s">
        <v>885</v>
      </c>
      <c r="AD138" s="33" t="e">
        <f t="shared" si="51"/>
        <v>#N/A</v>
      </c>
      <c r="AE138" s="21" t="str">
        <f t="shared" si="38"/>
        <v>BR_VW_AFS_faceinsta_SOC_DRCT_CPM_CLK_LDR_AAF_RON_CXD_After-Sales-Oficina-Classicos-kit3-lal-lead-oficina_PD_link-ad</v>
      </c>
      <c r="AF138" s="21" t="str">
        <f t="shared" si="39"/>
        <v>BR_VW_AFS_faceinsta_SOC_DRCT_CPM_CLK_LDR_AAF_RON_CXD_After-Sales-Oficina-Classicos-kit3-lal-lead-oficina_PD_link-ad</v>
      </c>
      <c r="AG138" s="21" t="str">
        <f t="shared" si="40"/>
        <v>VW_After-Sales-lal-lead-oficina_link-ad_After-Sales-Oficina-Classicos-kit3-faceinsta</v>
      </c>
      <c r="AH138" s="21" t="str">
        <f t="shared" si="41"/>
        <v>https://www.oficinadeclassicos.com.br/index.aspx?utm_source=faceinsta&amp;utm_medium=Direct&amp;utm_content=BR_VW_AFS_faceinsta_SOC_DRCT_CPM_CLK_LDR_AAF_RON_CXD_After-Sales-Oficina-Classicos-kit3-lal-lead-oficina_PD_link-ad&amp;utm_campaign=BR_AAF_DSY_NONMS_ND_AS_2019Q2APR_AFS_After-Sales&amp;utm_term=%epid!_%ecid!_%eaid!</v>
      </c>
      <c r="AI138" s="21" t="str">
        <f t="shared" si="42"/>
        <v>https://ad.doubleclick.net/ddm/trackclk/N9487.3165544FACEINSTA/B22646029.288929816;dc_trk_aid=482405507;dc_trk_cid=121930624;dc_lat=;dc_rdid=;tag_for_child_directed_treatment=;tfua=</v>
      </c>
      <c r="AJ138" s="15" t="str">
        <f t="shared" si="52"/>
        <v>faceinsta</v>
      </c>
      <c r="AK138" s="15" t="str">
        <f t="shared" si="53"/>
        <v>Direct</v>
      </c>
      <c r="AL138" s="21" t="str">
        <f>Campanha!$B$3</f>
        <v>BR_AAF_DSY_NONMS_ND_AS_2019Q2APR_AFS_After-Sales</v>
      </c>
      <c r="AM138" s="21" t="str">
        <f t="shared" si="45"/>
        <v>BR_VW_AFS_faceinsta_SOC_DRCT_CPM_CLK_LDR_AAF_RON_CXD_After-Sales-Oficina-Classicos-kit3-lal-lead-oficina_PD_link-ad</v>
      </c>
      <c r="AN138" s="15" t="s">
        <v>809</v>
      </c>
    </row>
    <row r="139" spans="2:40" hidden="1" x14ac:dyDescent="0.25">
      <c r="B139" s="15" t="s">
        <v>933</v>
      </c>
      <c r="C139" s="15" t="s">
        <v>1171</v>
      </c>
      <c r="D139" s="30" t="s">
        <v>873</v>
      </c>
      <c r="E139" s="22">
        <v>44155</v>
      </c>
      <c r="F139" s="22">
        <v>44196</v>
      </c>
      <c r="G139" s="15" t="s">
        <v>674</v>
      </c>
      <c r="H139" s="15" t="s">
        <v>811</v>
      </c>
      <c r="I139" s="15" t="s">
        <v>702</v>
      </c>
      <c r="J139" s="15" t="s">
        <v>325</v>
      </c>
      <c r="K139" s="15" t="s">
        <v>334</v>
      </c>
      <c r="L139" s="15" t="s">
        <v>358</v>
      </c>
      <c r="M139" s="15" t="s">
        <v>322</v>
      </c>
      <c r="N139" s="15" t="s">
        <v>708</v>
      </c>
      <c r="O139" s="15" t="s">
        <v>694</v>
      </c>
      <c r="P139" s="15" t="s">
        <v>1041</v>
      </c>
      <c r="Q139" s="15" t="s">
        <v>842</v>
      </c>
      <c r="R139" s="15" t="s">
        <v>835</v>
      </c>
      <c r="S139" s="15" t="s">
        <v>348</v>
      </c>
      <c r="T139" s="15" t="s">
        <v>457</v>
      </c>
      <c r="AC139" s="32" t="s">
        <v>885</v>
      </c>
      <c r="AD139" s="33" t="str">
        <f t="shared" si="51"/>
        <v>289282786</v>
      </c>
      <c r="AE139" s="21" t="str">
        <f t="shared" si="38"/>
        <v>BR_VW_AFS_dv360_DIS_PROG_CPM_STD_LDR_AAF_RON_CXD_After-Sales-Oficina-Classicos-REG02-KWs_PD_160x600</v>
      </c>
      <c r="AF139" s="21" t="str">
        <f t="shared" si="39"/>
        <v>BR_VW_AFS_dv360_DIS_PROG_CPM_STD_LDR_AAF_RON_CXD_After-Sales-Oficina-Classicos-REG02-KWs_PD_160x600</v>
      </c>
      <c r="AG139" s="21" t="str">
        <f t="shared" si="40"/>
        <v>VW_After-Sales-KWs_160x600_After-Sales-Oficina-Classicos-REG02-adserver</v>
      </c>
      <c r="AH139" s="21" t="str">
        <f t="shared" si="41"/>
        <v>https://www.oficinadeclassicos.com.br/index.aspx?utm_source=dv360&amp;utm_medium=Programmatic&amp;utm_content=BR_VW_AFS_dv360_DIS_PROG_CPM_STD_LDR_AAF_RON_CXD_After-Sales-Oficina-Classicos-REG02-KWs_PD_160x600&amp;utm_campaign=BR_AAF_DSY_NONMS_ND_AS_2019Q2APR_AFS_After-Sales&amp;utm_term=%epid!_%ecid!_%eaid!</v>
      </c>
      <c r="AI139" s="21" t="str">
        <f t="shared" si="42"/>
        <v>TAG</v>
      </c>
      <c r="AJ139" s="15" t="str">
        <f t="shared" si="52"/>
        <v>dv360</v>
      </c>
      <c r="AK139" s="15" t="str">
        <f t="shared" si="53"/>
        <v>Programmatic</v>
      </c>
      <c r="AL139" s="21" t="str">
        <f>Campanha!$B$3</f>
        <v>BR_AAF_DSY_NONMS_ND_AS_2019Q2APR_AFS_After-Sales</v>
      </c>
      <c r="AM139" s="21" t="str">
        <f t="shared" si="45"/>
        <v>BR_VW_AFS_dv360_DIS_PROG_CPM_STD_LDR_AAF_RON_CXD_After-Sales-Oficina-Classicos-REG02-KWs_PD_160x600</v>
      </c>
      <c r="AN139" s="15" t="s">
        <v>809</v>
      </c>
    </row>
    <row r="140" spans="2:40" hidden="1" x14ac:dyDescent="0.25">
      <c r="B140" s="15" t="s">
        <v>933</v>
      </c>
      <c r="C140" s="15" t="s">
        <v>1171</v>
      </c>
      <c r="D140" s="30" t="s">
        <v>873</v>
      </c>
      <c r="E140" s="22">
        <v>44155</v>
      </c>
      <c r="F140" s="22">
        <v>44196</v>
      </c>
      <c r="G140" s="15" t="s">
        <v>674</v>
      </c>
      <c r="H140" s="15" t="s">
        <v>811</v>
      </c>
      <c r="I140" s="15" t="s">
        <v>702</v>
      </c>
      <c r="J140" s="15" t="s">
        <v>325</v>
      </c>
      <c r="K140" s="15" t="s">
        <v>334</v>
      </c>
      <c r="L140" s="15" t="s">
        <v>358</v>
      </c>
      <c r="M140" s="15" t="s">
        <v>322</v>
      </c>
      <c r="N140" s="15" t="s">
        <v>708</v>
      </c>
      <c r="O140" s="15" t="s">
        <v>694</v>
      </c>
      <c r="P140" s="15" t="s">
        <v>1041</v>
      </c>
      <c r="Q140" s="15" t="s">
        <v>842</v>
      </c>
      <c r="R140" s="15" t="s">
        <v>835</v>
      </c>
      <c r="S140" s="15" t="s">
        <v>348</v>
      </c>
      <c r="T140" s="15" t="s">
        <v>484</v>
      </c>
      <c r="AC140" s="32" t="s">
        <v>885</v>
      </c>
      <c r="AD140" s="33" t="str">
        <f t="shared" si="51"/>
        <v>289282783</v>
      </c>
      <c r="AE140" s="21" t="str">
        <f t="shared" si="38"/>
        <v>BR_VW_AFS_dv360_DIS_PROG_CPM_STD_LDR_AAF_RON_CXD_After-Sales-Oficina-Classicos-REG02-KWs_PD_300x50</v>
      </c>
      <c r="AF140" s="21" t="str">
        <f t="shared" si="39"/>
        <v>BR_VW_AFS_dv360_DIS_PROG_CPM_STD_LDR_AAF_RON_CXD_After-Sales-Oficina-Classicos-REG02-KWs_PD_300x50</v>
      </c>
      <c r="AG140" s="21" t="str">
        <f t="shared" si="40"/>
        <v>VW_After-Sales-KWs_300x50_After-Sales-Oficina-Classicos-REG02-adserver</v>
      </c>
      <c r="AH140" s="21" t="str">
        <f t="shared" si="41"/>
        <v>https://www.oficinadeclassicos.com.br/index.aspx?utm_source=dv360&amp;utm_medium=Programmatic&amp;utm_content=BR_VW_AFS_dv360_DIS_PROG_CPM_STD_LDR_AAF_RON_CXD_After-Sales-Oficina-Classicos-REG02-KWs_PD_300x50&amp;utm_campaign=BR_AAF_DSY_NONMS_ND_AS_2019Q2APR_AFS_After-Sales&amp;utm_term=%epid!_%ecid!_%eaid!</v>
      </c>
      <c r="AI140" s="21" t="str">
        <f t="shared" si="42"/>
        <v>TAG</v>
      </c>
      <c r="AJ140" s="15" t="str">
        <f t="shared" si="52"/>
        <v>dv360</v>
      </c>
      <c r="AK140" s="15" t="str">
        <f t="shared" si="53"/>
        <v>Programmatic</v>
      </c>
      <c r="AL140" s="21" t="str">
        <f>Campanha!$B$3</f>
        <v>BR_AAF_DSY_NONMS_ND_AS_2019Q2APR_AFS_After-Sales</v>
      </c>
      <c r="AM140" s="21" t="str">
        <f t="shared" si="45"/>
        <v>BR_VW_AFS_dv360_DIS_PROG_CPM_STD_LDR_AAF_RON_CXD_After-Sales-Oficina-Classicos-REG02-KWs_PD_300x50</v>
      </c>
      <c r="AN140" s="15" t="s">
        <v>809</v>
      </c>
    </row>
    <row r="141" spans="2:40" hidden="1" x14ac:dyDescent="0.25">
      <c r="B141" s="15" t="s">
        <v>933</v>
      </c>
      <c r="C141" s="15" t="s">
        <v>1171</v>
      </c>
      <c r="D141" s="30" t="s">
        <v>873</v>
      </c>
      <c r="E141" s="22">
        <v>44155</v>
      </c>
      <c r="F141" s="22">
        <v>44196</v>
      </c>
      <c r="G141" s="15" t="s">
        <v>674</v>
      </c>
      <c r="H141" s="15" t="s">
        <v>811</v>
      </c>
      <c r="I141" s="15" t="s">
        <v>702</v>
      </c>
      <c r="J141" s="15" t="s">
        <v>325</v>
      </c>
      <c r="K141" s="15" t="s">
        <v>334</v>
      </c>
      <c r="L141" s="15" t="s">
        <v>358</v>
      </c>
      <c r="M141" s="15" t="s">
        <v>322</v>
      </c>
      <c r="N141" s="15" t="s">
        <v>708</v>
      </c>
      <c r="O141" s="15" t="s">
        <v>694</v>
      </c>
      <c r="P141" s="15" t="s">
        <v>1041</v>
      </c>
      <c r="Q141" s="15" t="s">
        <v>842</v>
      </c>
      <c r="R141" s="15" t="s">
        <v>835</v>
      </c>
      <c r="S141" s="15" t="s">
        <v>348</v>
      </c>
      <c r="T141" s="15" t="s">
        <v>478</v>
      </c>
      <c r="AC141" s="32" t="s">
        <v>885</v>
      </c>
      <c r="AD141" s="33" t="str">
        <f t="shared" si="51"/>
        <v>289282780</v>
      </c>
      <c r="AE141" s="21" t="str">
        <f t="shared" si="38"/>
        <v>BR_VW_AFS_dv360_DIS_PROG_CPM_STD_LDR_AAF_RON_CXD_After-Sales-Oficina-Classicos-REG02-KWs_PD_300x250</v>
      </c>
      <c r="AF141" s="21" t="str">
        <f t="shared" si="39"/>
        <v>BR_VW_AFS_dv360_DIS_PROG_CPM_STD_LDR_AAF_RON_CXD_After-Sales-Oficina-Classicos-REG02-KWs_PD_300x250</v>
      </c>
      <c r="AG141" s="21" t="str">
        <f t="shared" si="40"/>
        <v>VW_After-Sales-KWs_300x250_After-Sales-Oficina-Classicos-REG02-adserver</v>
      </c>
      <c r="AH141" s="21" t="str">
        <f t="shared" si="41"/>
        <v>https://www.oficinadeclassicos.com.br/index.aspx?utm_source=dv360&amp;utm_medium=Programmatic&amp;utm_content=BR_VW_AFS_dv360_DIS_PROG_CPM_STD_LDR_AAF_RON_CXD_After-Sales-Oficina-Classicos-REG02-KWs_PD_300x250&amp;utm_campaign=BR_AAF_DSY_NONMS_ND_AS_2019Q2APR_AFS_After-Sales&amp;utm_term=%epid!_%ecid!_%eaid!</v>
      </c>
      <c r="AI141" s="21" t="str">
        <f t="shared" si="42"/>
        <v>TAG</v>
      </c>
      <c r="AJ141" s="15" t="str">
        <f t="shared" si="52"/>
        <v>dv360</v>
      </c>
      <c r="AK141" s="15" t="str">
        <f t="shared" si="53"/>
        <v>Programmatic</v>
      </c>
      <c r="AL141" s="21" t="str">
        <f>Campanha!$B$3</f>
        <v>BR_AAF_DSY_NONMS_ND_AS_2019Q2APR_AFS_After-Sales</v>
      </c>
      <c r="AM141" s="21" t="str">
        <f t="shared" si="45"/>
        <v>BR_VW_AFS_dv360_DIS_PROG_CPM_STD_LDR_AAF_RON_CXD_After-Sales-Oficina-Classicos-REG02-KWs_PD_300x250</v>
      </c>
      <c r="AN141" s="15" t="s">
        <v>809</v>
      </c>
    </row>
    <row r="142" spans="2:40" hidden="1" x14ac:dyDescent="0.25">
      <c r="B142" s="15" t="s">
        <v>933</v>
      </c>
      <c r="C142" s="15" t="s">
        <v>1172</v>
      </c>
      <c r="D142" s="30" t="s">
        <v>873</v>
      </c>
      <c r="E142" s="22">
        <v>44155</v>
      </c>
      <c r="F142" s="22">
        <v>44196</v>
      </c>
      <c r="G142" s="15" t="s">
        <v>674</v>
      </c>
      <c r="H142" s="15" t="s">
        <v>811</v>
      </c>
      <c r="I142" s="15" t="s">
        <v>702</v>
      </c>
      <c r="J142" s="15" t="s">
        <v>325</v>
      </c>
      <c r="K142" s="15" t="s">
        <v>334</v>
      </c>
      <c r="L142" s="15" t="s">
        <v>358</v>
      </c>
      <c r="M142" s="15" t="s">
        <v>322</v>
      </c>
      <c r="N142" s="15" t="s">
        <v>708</v>
      </c>
      <c r="O142" s="15" t="s">
        <v>694</v>
      </c>
      <c r="P142" s="15" t="s">
        <v>1041</v>
      </c>
      <c r="Q142" s="15" t="s">
        <v>842</v>
      </c>
      <c r="R142" s="15" t="s">
        <v>835</v>
      </c>
      <c r="S142" s="15" t="s">
        <v>348</v>
      </c>
      <c r="T142" s="15" t="s">
        <v>614</v>
      </c>
      <c r="AC142" s="32" t="s">
        <v>885</v>
      </c>
      <c r="AD142" s="33" t="str">
        <f t="shared" si="51"/>
        <v>289251033</v>
      </c>
      <c r="AE142" s="21" t="str">
        <f t="shared" si="38"/>
        <v>BR_VW_AFS_dv360_DIS_PROG_CPM_STD_LDR_AAF_RON_CXD_After-Sales-Oficina-Classicos-REG02-KWs_PD_728x90</v>
      </c>
      <c r="AF142" s="21" t="str">
        <f t="shared" si="39"/>
        <v>BR_VW_AFS_dv360_DIS_PROG_CPM_STD_LDR_AAF_RON_CXD_After-Sales-Oficina-Classicos-REG02-KWs_PD_728x90</v>
      </c>
      <c r="AG142" s="21" t="str">
        <f t="shared" si="40"/>
        <v>VW_After-Sales-KWs_728x90_After-Sales-Oficina-Classicos-REG02-adserver</v>
      </c>
      <c r="AH142" s="21" t="str">
        <f t="shared" si="41"/>
        <v>https://www.oficinadeclassicos.com.br/index.aspx?utm_source=dv360&amp;utm_medium=Programmatic&amp;utm_content=BR_VW_AFS_dv360_DIS_PROG_CPM_STD_LDR_AAF_RON_CXD_After-Sales-Oficina-Classicos-REG02-KWs_PD_728x90&amp;utm_campaign=BR_AAF_DSY_NONMS_ND_AS_2019Q2APR_AFS_After-Sales&amp;utm_term=%epid!_%ecid!_%eaid!</v>
      </c>
      <c r="AI142" s="21" t="str">
        <f t="shared" si="42"/>
        <v>TAG</v>
      </c>
      <c r="AJ142" s="15" t="str">
        <f t="shared" si="52"/>
        <v>dv360</v>
      </c>
      <c r="AK142" s="15" t="str">
        <f t="shared" si="53"/>
        <v>Programmatic</v>
      </c>
      <c r="AL142" s="21" t="str">
        <f>Campanha!$B$3</f>
        <v>BR_AAF_DSY_NONMS_ND_AS_2019Q2APR_AFS_After-Sales</v>
      </c>
      <c r="AM142" s="21" t="str">
        <f t="shared" si="45"/>
        <v>BR_VW_AFS_dv360_DIS_PROG_CPM_STD_LDR_AAF_RON_CXD_After-Sales-Oficina-Classicos-REG02-KWs_PD_728x90</v>
      </c>
      <c r="AN142" s="15" t="s">
        <v>809</v>
      </c>
    </row>
    <row r="143" spans="2:40" hidden="1" x14ac:dyDescent="0.25">
      <c r="B143" s="15" t="s">
        <v>933</v>
      </c>
      <c r="C143" s="15" t="s">
        <v>1171</v>
      </c>
      <c r="D143" s="30" t="s">
        <v>873</v>
      </c>
      <c r="E143" s="22">
        <v>44155</v>
      </c>
      <c r="F143" s="22">
        <v>44196</v>
      </c>
      <c r="G143" s="15" t="s">
        <v>674</v>
      </c>
      <c r="H143" s="15" t="s">
        <v>811</v>
      </c>
      <c r="I143" s="15" t="s">
        <v>702</v>
      </c>
      <c r="J143" s="15" t="s">
        <v>325</v>
      </c>
      <c r="K143" s="15" t="s">
        <v>334</v>
      </c>
      <c r="L143" s="15" t="s">
        <v>358</v>
      </c>
      <c r="M143" s="15" t="s">
        <v>322</v>
      </c>
      <c r="N143" s="15" t="s">
        <v>708</v>
      </c>
      <c r="O143" s="15" t="s">
        <v>694</v>
      </c>
      <c r="P143" s="15" t="s">
        <v>1041</v>
      </c>
      <c r="Q143" s="15" t="s">
        <v>842</v>
      </c>
      <c r="R143" s="15" t="s">
        <v>835</v>
      </c>
      <c r="S143" s="15" t="s">
        <v>348</v>
      </c>
      <c r="T143" s="15" t="s">
        <v>652</v>
      </c>
      <c r="AC143" s="32" t="s">
        <v>885</v>
      </c>
      <c r="AD143" s="33" t="str">
        <f t="shared" si="51"/>
        <v>289282777</v>
      </c>
      <c r="AE143" s="21" t="str">
        <f t="shared" si="38"/>
        <v>BR_VW_AFS_dv360_DIS_PROG_CPM_STD_LDR_AAF_RON_CXD_After-Sales-Oficina-Classicos-REG02-KWs_PD_970x250</v>
      </c>
      <c r="AF143" s="21" t="str">
        <f t="shared" si="39"/>
        <v>BR_VW_AFS_dv360_DIS_PROG_CPM_STD_LDR_AAF_RON_CXD_After-Sales-Oficina-Classicos-REG02-KWs_PD_970x250</v>
      </c>
      <c r="AG143" s="21" t="str">
        <f t="shared" si="40"/>
        <v>VW_After-Sales-KWs_970x250_After-Sales-Oficina-Classicos-REG02-adserver</v>
      </c>
      <c r="AH143" s="21" t="str">
        <f t="shared" si="41"/>
        <v>https://www.oficinadeclassicos.com.br/index.aspx?utm_source=dv360&amp;utm_medium=Programmatic&amp;utm_content=BR_VW_AFS_dv360_DIS_PROG_CPM_STD_LDR_AAF_RON_CXD_After-Sales-Oficina-Classicos-REG02-KWs_PD_970x250&amp;utm_campaign=BR_AAF_DSY_NONMS_ND_AS_2019Q2APR_AFS_After-Sales&amp;utm_term=%epid!_%ecid!_%eaid!</v>
      </c>
      <c r="AI143" s="21" t="str">
        <f t="shared" si="42"/>
        <v>TAG</v>
      </c>
      <c r="AJ143" s="15" t="str">
        <f t="shared" si="52"/>
        <v>dv360</v>
      </c>
      <c r="AK143" s="15" t="str">
        <f t="shared" si="53"/>
        <v>Programmatic</v>
      </c>
      <c r="AL143" s="21" t="str">
        <f>Campanha!$B$3</f>
        <v>BR_AAF_DSY_NONMS_ND_AS_2019Q2APR_AFS_After-Sales</v>
      </c>
      <c r="AM143" s="21" t="str">
        <f t="shared" si="45"/>
        <v>BR_VW_AFS_dv360_DIS_PROG_CPM_STD_LDR_AAF_RON_CXD_After-Sales-Oficina-Classicos-REG02-KWs_PD_970x250</v>
      </c>
      <c r="AN143" s="15" t="s">
        <v>809</v>
      </c>
    </row>
    <row r="144" spans="2:40" hidden="1" x14ac:dyDescent="0.25">
      <c r="B144" s="15" t="s">
        <v>933</v>
      </c>
      <c r="C144" s="15" t="s">
        <v>1171</v>
      </c>
      <c r="D144" s="30" t="s">
        <v>873</v>
      </c>
      <c r="E144" s="22">
        <v>44155</v>
      </c>
      <c r="F144" s="22">
        <v>44196</v>
      </c>
      <c r="G144" s="15" t="s">
        <v>674</v>
      </c>
      <c r="H144" s="15" t="s">
        <v>811</v>
      </c>
      <c r="I144" s="15" t="s">
        <v>702</v>
      </c>
      <c r="J144" s="15" t="s">
        <v>325</v>
      </c>
      <c r="K144" s="15" t="s">
        <v>334</v>
      </c>
      <c r="L144" s="15" t="s">
        <v>358</v>
      </c>
      <c r="M144" s="15" t="s">
        <v>322</v>
      </c>
      <c r="N144" s="15" t="s">
        <v>708</v>
      </c>
      <c r="O144" s="15" t="s">
        <v>694</v>
      </c>
      <c r="P144" s="15" t="s">
        <v>1041</v>
      </c>
      <c r="Q144" s="15" t="s">
        <v>843</v>
      </c>
      <c r="R144" s="15" t="s">
        <v>835</v>
      </c>
      <c r="S144" s="15" t="s">
        <v>348</v>
      </c>
      <c r="T144" s="15" t="s">
        <v>457</v>
      </c>
      <c r="AC144" s="32" t="s">
        <v>885</v>
      </c>
      <c r="AD144" s="33" t="str">
        <f t="shared" si="51"/>
        <v>289282774</v>
      </c>
      <c r="AE144" s="21" t="str">
        <f t="shared" ref="AE144:AE207" si="54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IF(col_servidopor="adserver-rotacionar",col_segmentacao,CONCATENATE(col_localfreetype,"-",col_segmentacao)),"_",VLOOKUP(col_paidvsav,tab_paidvsav,2,FALSE),"_",col_size))</f>
        <v>BR_VW_AFS_dv360_DIS_PROG_CPM_STD_LDR_AAF_RON_CXD_After-Sales-Oficina-Classicos-REG02-Categories_PD_160x600</v>
      </c>
      <c r="AF144" s="21" t="str">
        <f t="shared" ref="AF144:AF207" si="55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col_localfreetype,"-",col_segmentacao,"_",VLOOKUP(col_paidvsav,tab_paidvsav,2,FALSE),"_",col_size))</f>
        <v>BR_VW_AFS_dv360_DIS_PROG_CPM_STD_LDR_AAF_RON_CXD_After-Sales-Oficina-Classicos-REG02-Categories_PD_160x600</v>
      </c>
      <c r="AG144" s="21" t="str">
        <f t="shared" ref="AG144:AG207" si="56">CONCATENATE("VW","_",cel_modelvariant,"-",col_segmentacao,"_",col_size,"_",col_localfreetype,"-",IF(col_servidopor="portal",col_supplier,"adserver"))</f>
        <v>VW_After-Sales-Categories_160x600_After-Sales-Oficina-Classicos-REG02-adserver</v>
      </c>
      <c r="AH144" s="21" t="str">
        <f t="shared" ref="AH144:AH207" si="57">faxineiro(CONCATENATE(col_url,IF(ISNUMBER(FIND("?",col_url)),"&amp;","?"),"utm_source=",col_utmsource,"&amp;utm_medium=",col_utmmedium,"&amp;utm_content=",col_utmcontent,"&amp;utm_campaign=",col_utmcampaign,"&amp;utm_term=",col_keyword))</f>
        <v>https://www.oficinadeclassicos.com.br/index.aspx?utm_source=dv360&amp;utm_medium=Programmatic&amp;utm_content=BR_VW_AFS_dv360_DIS_PROG_CPM_STD_LDR_AAF_RON_CXD_After-Sales-Oficina-Classicos-REG02-Categories_PD_160x600&amp;utm_campaign=BR_AAF_DSY_NONMS_ND_AS_2019Q2APR_AFS_After-Sales&amp;utm_term=%epid!_%ecid!_%eaid!</v>
      </c>
      <c r="AI144" s="21" t="str">
        <f t="shared" ref="AI144:AI207" si="58">IFERROR(IF(col_servidopor="portal",VLOOKUP(col_placement,tab_contadores,2,FALSE),"TAG"),"Contador")</f>
        <v>TAG</v>
      </c>
      <c r="AJ144" s="15" t="str">
        <f t="shared" si="52"/>
        <v>dv360</v>
      </c>
      <c r="AK144" s="15" t="str">
        <f t="shared" si="53"/>
        <v>Programmatic</v>
      </c>
      <c r="AL144" s="21" t="str">
        <f>Campanha!$B$3</f>
        <v>BR_AAF_DSY_NONMS_ND_AS_2019Q2APR_AFS_After-Sales</v>
      </c>
      <c r="AM144" s="21" t="str">
        <f t="shared" ref="AM144:AM207" si="59">col_adname</f>
        <v>BR_VW_AFS_dv360_DIS_PROG_CPM_STD_LDR_AAF_RON_CXD_After-Sales-Oficina-Classicos-REG02-Categories_PD_160x600</v>
      </c>
      <c r="AN144" s="15" t="s">
        <v>809</v>
      </c>
    </row>
    <row r="145" spans="2:40" hidden="1" x14ac:dyDescent="0.25">
      <c r="B145" s="15" t="s">
        <v>933</v>
      </c>
      <c r="C145" s="15" t="s">
        <v>1171</v>
      </c>
      <c r="D145" s="30" t="s">
        <v>873</v>
      </c>
      <c r="E145" s="22">
        <v>44155</v>
      </c>
      <c r="F145" s="22">
        <v>44196</v>
      </c>
      <c r="G145" s="15" t="s">
        <v>674</v>
      </c>
      <c r="H145" s="15" t="s">
        <v>811</v>
      </c>
      <c r="I145" s="15" t="s">
        <v>702</v>
      </c>
      <c r="J145" s="15" t="s">
        <v>325</v>
      </c>
      <c r="K145" s="15" t="s">
        <v>334</v>
      </c>
      <c r="L145" s="15" t="s">
        <v>358</v>
      </c>
      <c r="M145" s="15" t="s">
        <v>322</v>
      </c>
      <c r="N145" s="15" t="s">
        <v>708</v>
      </c>
      <c r="O145" s="15" t="s">
        <v>694</v>
      </c>
      <c r="P145" s="15" t="s">
        <v>1041</v>
      </c>
      <c r="Q145" s="15" t="s">
        <v>843</v>
      </c>
      <c r="R145" s="15" t="s">
        <v>835</v>
      </c>
      <c r="S145" s="15" t="s">
        <v>348</v>
      </c>
      <c r="T145" s="15" t="s">
        <v>484</v>
      </c>
      <c r="AC145" s="32" t="s">
        <v>885</v>
      </c>
      <c r="AD145" s="33" t="str">
        <f t="shared" si="51"/>
        <v>289282771</v>
      </c>
      <c r="AE145" s="21" t="str">
        <f t="shared" si="54"/>
        <v>BR_VW_AFS_dv360_DIS_PROG_CPM_STD_LDR_AAF_RON_CXD_After-Sales-Oficina-Classicos-REG02-Categories_PD_300x50</v>
      </c>
      <c r="AF145" s="21" t="str">
        <f t="shared" si="55"/>
        <v>BR_VW_AFS_dv360_DIS_PROG_CPM_STD_LDR_AAF_RON_CXD_After-Sales-Oficina-Classicos-REG02-Categories_PD_300x50</v>
      </c>
      <c r="AG145" s="21" t="str">
        <f t="shared" si="56"/>
        <v>VW_After-Sales-Categories_300x50_After-Sales-Oficina-Classicos-REG02-adserver</v>
      </c>
      <c r="AH145" s="21" t="str">
        <f t="shared" si="57"/>
        <v>https://www.oficinadeclassicos.com.br/index.aspx?utm_source=dv360&amp;utm_medium=Programmatic&amp;utm_content=BR_VW_AFS_dv360_DIS_PROG_CPM_STD_LDR_AAF_RON_CXD_After-Sales-Oficina-Classicos-REG02-Categories_PD_300x50&amp;utm_campaign=BR_AAF_DSY_NONMS_ND_AS_2019Q2APR_AFS_After-Sales&amp;utm_term=%epid!_%ecid!_%eaid!</v>
      </c>
      <c r="AI145" s="21" t="str">
        <f t="shared" si="58"/>
        <v>TAG</v>
      </c>
      <c r="AJ145" s="15" t="str">
        <f t="shared" si="52"/>
        <v>dv360</v>
      </c>
      <c r="AK145" s="15" t="str">
        <f t="shared" si="53"/>
        <v>Programmatic</v>
      </c>
      <c r="AL145" s="21" t="str">
        <f>Campanha!$B$3</f>
        <v>BR_AAF_DSY_NONMS_ND_AS_2019Q2APR_AFS_After-Sales</v>
      </c>
      <c r="AM145" s="21" t="str">
        <f t="shared" si="59"/>
        <v>BR_VW_AFS_dv360_DIS_PROG_CPM_STD_LDR_AAF_RON_CXD_After-Sales-Oficina-Classicos-REG02-Categories_PD_300x50</v>
      </c>
      <c r="AN145" s="15" t="s">
        <v>809</v>
      </c>
    </row>
    <row r="146" spans="2:40" hidden="1" x14ac:dyDescent="0.25">
      <c r="B146" s="15" t="s">
        <v>933</v>
      </c>
      <c r="C146" s="15" t="s">
        <v>1171</v>
      </c>
      <c r="D146" s="30" t="s">
        <v>873</v>
      </c>
      <c r="E146" s="22">
        <v>44155</v>
      </c>
      <c r="F146" s="22">
        <v>44196</v>
      </c>
      <c r="G146" s="15" t="s">
        <v>674</v>
      </c>
      <c r="H146" s="15" t="s">
        <v>811</v>
      </c>
      <c r="I146" s="15" t="s">
        <v>702</v>
      </c>
      <c r="J146" s="15" t="s">
        <v>325</v>
      </c>
      <c r="K146" s="15" t="s">
        <v>334</v>
      </c>
      <c r="L146" s="15" t="s">
        <v>358</v>
      </c>
      <c r="M146" s="15" t="s">
        <v>322</v>
      </c>
      <c r="N146" s="15" t="s">
        <v>708</v>
      </c>
      <c r="O146" s="15" t="s">
        <v>694</v>
      </c>
      <c r="P146" s="15" t="s">
        <v>1041</v>
      </c>
      <c r="Q146" s="15" t="s">
        <v>843</v>
      </c>
      <c r="R146" s="15" t="s">
        <v>835</v>
      </c>
      <c r="S146" s="15" t="s">
        <v>348</v>
      </c>
      <c r="T146" s="15" t="s">
        <v>478</v>
      </c>
      <c r="AC146" s="32" t="s">
        <v>885</v>
      </c>
      <c r="AD146" s="33" t="str">
        <f t="shared" si="51"/>
        <v>289282768</v>
      </c>
      <c r="AE146" s="21" t="str">
        <f t="shared" si="54"/>
        <v>BR_VW_AFS_dv360_DIS_PROG_CPM_STD_LDR_AAF_RON_CXD_After-Sales-Oficina-Classicos-REG02-Categories_PD_300x250</v>
      </c>
      <c r="AF146" s="21" t="str">
        <f t="shared" si="55"/>
        <v>BR_VW_AFS_dv360_DIS_PROG_CPM_STD_LDR_AAF_RON_CXD_After-Sales-Oficina-Classicos-REG02-Categories_PD_300x250</v>
      </c>
      <c r="AG146" s="21" t="str">
        <f t="shared" si="56"/>
        <v>VW_After-Sales-Categories_300x250_After-Sales-Oficina-Classicos-REG02-adserver</v>
      </c>
      <c r="AH146" s="21" t="str">
        <f t="shared" si="57"/>
        <v>https://www.oficinadeclassicos.com.br/index.aspx?utm_source=dv360&amp;utm_medium=Programmatic&amp;utm_content=BR_VW_AFS_dv360_DIS_PROG_CPM_STD_LDR_AAF_RON_CXD_After-Sales-Oficina-Classicos-REG02-Categories_PD_300x250&amp;utm_campaign=BR_AAF_DSY_NONMS_ND_AS_2019Q2APR_AFS_After-Sales&amp;utm_term=%epid!_%ecid!_%eaid!</v>
      </c>
      <c r="AI146" s="21" t="str">
        <f t="shared" si="58"/>
        <v>TAG</v>
      </c>
      <c r="AJ146" s="15" t="str">
        <f t="shared" si="52"/>
        <v>dv360</v>
      </c>
      <c r="AK146" s="15" t="str">
        <f t="shared" si="53"/>
        <v>Programmatic</v>
      </c>
      <c r="AL146" s="21" t="str">
        <f>Campanha!$B$3</f>
        <v>BR_AAF_DSY_NONMS_ND_AS_2019Q2APR_AFS_After-Sales</v>
      </c>
      <c r="AM146" s="21" t="str">
        <f t="shared" si="59"/>
        <v>BR_VW_AFS_dv360_DIS_PROG_CPM_STD_LDR_AAF_RON_CXD_After-Sales-Oficina-Classicos-REG02-Categories_PD_300x250</v>
      </c>
      <c r="AN146" s="15" t="s">
        <v>809</v>
      </c>
    </row>
    <row r="147" spans="2:40" hidden="1" x14ac:dyDescent="0.25">
      <c r="B147" s="15" t="s">
        <v>933</v>
      </c>
      <c r="C147" s="15" t="s">
        <v>1172</v>
      </c>
      <c r="D147" s="30" t="s">
        <v>873</v>
      </c>
      <c r="E147" s="22">
        <v>44155</v>
      </c>
      <c r="F147" s="22">
        <v>44196</v>
      </c>
      <c r="G147" s="15" t="s">
        <v>674</v>
      </c>
      <c r="H147" s="15" t="s">
        <v>811</v>
      </c>
      <c r="I147" s="15" t="s">
        <v>702</v>
      </c>
      <c r="J147" s="15" t="s">
        <v>325</v>
      </c>
      <c r="K147" s="15" t="s">
        <v>334</v>
      </c>
      <c r="L147" s="15" t="s">
        <v>358</v>
      </c>
      <c r="M147" s="15" t="s">
        <v>322</v>
      </c>
      <c r="N147" s="15" t="s">
        <v>708</v>
      </c>
      <c r="O147" s="15" t="s">
        <v>694</v>
      </c>
      <c r="P147" s="15" t="s">
        <v>1041</v>
      </c>
      <c r="Q147" s="15" t="s">
        <v>843</v>
      </c>
      <c r="R147" s="15" t="s">
        <v>835</v>
      </c>
      <c r="S147" s="15" t="s">
        <v>348</v>
      </c>
      <c r="T147" s="15" t="s">
        <v>614</v>
      </c>
      <c r="AC147" s="32" t="s">
        <v>885</v>
      </c>
      <c r="AD147" s="33" t="str">
        <f t="shared" si="51"/>
        <v>289251030</v>
      </c>
      <c r="AE147" s="21" t="str">
        <f t="shared" si="54"/>
        <v>BR_VW_AFS_dv360_DIS_PROG_CPM_STD_LDR_AAF_RON_CXD_After-Sales-Oficina-Classicos-REG02-Categories_PD_728x90</v>
      </c>
      <c r="AF147" s="21" t="str">
        <f t="shared" si="55"/>
        <v>BR_VW_AFS_dv360_DIS_PROG_CPM_STD_LDR_AAF_RON_CXD_After-Sales-Oficina-Classicos-REG02-Categories_PD_728x90</v>
      </c>
      <c r="AG147" s="21" t="str">
        <f t="shared" si="56"/>
        <v>VW_After-Sales-Categories_728x90_After-Sales-Oficina-Classicos-REG02-adserver</v>
      </c>
      <c r="AH147" s="21" t="str">
        <f t="shared" si="57"/>
        <v>https://www.oficinadeclassicos.com.br/index.aspx?utm_source=dv360&amp;utm_medium=Programmatic&amp;utm_content=BR_VW_AFS_dv360_DIS_PROG_CPM_STD_LDR_AAF_RON_CXD_After-Sales-Oficina-Classicos-REG02-Categories_PD_728x90&amp;utm_campaign=BR_AAF_DSY_NONMS_ND_AS_2019Q2APR_AFS_After-Sales&amp;utm_term=%epid!_%ecid!_%eaid!</v>
      </c>
      <c r="AI147" s="21" t="str">
        <f t="shared" si="58"/>
        <v>TAG</v>
      </c>
      <c r="AJ147" s="15" t="str">
        <f t="shared" si="52"/>
        <v>dv360</v>
      </c>
      <c r="AK147" s="15" t="str">
        <f t="shared" si="53"/>
        <v>Programmatic</v>
      </c>
      <c r="AL147" s="21" t="str">
        <f>Campanha!$B$3</f>
        <v>BR_AAF_DSY_NONMS_ND_AS_2019Q2APR_AFS_After-Sales</v>
      </c>
      <c r="AM147" s="21" t="str">
        <f t="shared" si="59"/>
        <v>BR_VW_AFS_dv360_DIS_PROG_CPM_STD_LDR_AAF_RON_CXD_After-Sales-Oficina-Classicos-REG02-Categories_PD_728x90</v>
      </c>
      <c r="AN147" s="15" t="s">
        <v>809</v>
      </c>
    </row>
    <row r="148" spans="2:40" hidden="1" x14ac:dyDescent="0.25">
      <c r="B148" s="15" t="s">
        <v>933</v>
      </c>
      <c r="C148" s="15" t="s">
        <v>1171</v>
      </c>
      <c r="D148" s="30" t="s">
        <v>873</v>
      </c>
      <c r="E148" s="22">
        <v>44155</v>
      </c>
      <c r="F148" s="22">
        <v>44196</v>
      </c>
      <c r="G148" s="15" t="s">
        <v>674</v>
      </c>
      <c r="H148" s="15" t="s">
        <v>811</v>
      </c>
      <c r="I148" s="15" t="s">
        <v>702</v>
      </c>
      <c r="J148" s="15" t="s">
        <v>325</v>
      </c>
      <c r="K148" s="15" t="s">
        <v>334</v>
      </c>
      <c r="L148" s="15" t="s">
        <v>358</v>
      </c>
      <c r="M148" s="15" t="s">
        <v>322</v>
      </c>
      <c r="N148" s="15" t="s">
        <v>708</v>
      </c>
      <c r="O148" s="15" t="s">
        <v>694</v>
      </c>
      <c r="P148" s="15" t="s">
        <v>1041</v>
      </c>
      <c r="Q148" s="15" t="s">
        <v>843</v>
      </c>
      <c r="R148" s="15" t="s">
        <v>835</v>
      </c>
      <c r="S148" s="15" t="s">
        <v>348</v>
      </c>
      <c r="T148" s="15" t="s">
        <v>652</v>
      </c>
      <c r="AC148" s="32" t="s">
        <v>885</v>
      </c>
      <c r="AD148" s="33" t="str">
        <f t="shared" si="51"/>
        <v>289282765</v>
      </c>
      <c r="AE148" s="21" t="str">
        <f t="shared" si="54"/>
        <v>BR_VW_AFS_dv360_DIS_PROG_CPM_STD_LDR_AAF_RON_CXD_After-Sales-Oficina-Classicos-REG02-Categories_PD_970x250</v>
      </c>
      <c r="AF148" s="21" t="str">
        <f t="shared" si="55"/>
        <v>BR_VW_AFS_dv360_DIS_PROG_CPM_STD_LDR_AAF_RON_CXD_After-Sales-Oficina-Classicos-REG02-Categories_PD_970x250</v>
      </c>
      <c r="AG148" s="21" t="str">
        <f t="shared" si="56"/>
        <v>VW_After-Sales-Categories_970x250_After-Sales-Oficina-Classicos-REG02-adserver</v>
      </c>
      <c r="AH148" s="21" t="str">
        <f t="shared" si="57"/>
        <v>https://www.oficinadeclassicos.com.br/index.aspx?utm_source=dv360&amp;utm_medium=Programmatic&amp;utm_content=BR_VW_AFS_dv360_DIS_PROG_CPM_STD_LDR_AAF_RON_CXD_After-Sales-Oficina-Classicos-REG02-Categories_PD_970x250&amp;utm_campaign=BR_AAF_DSY_NONMS_ND_AS_2019Q2APR_AFS_After-Sales&amp;utm_term=%epid!_%ecid!_%eaid!</v>
      </c>
      <c r="AI148" s="21" t="str">
        <f t="shared" si="58"/>
        <v>TAG</v>
      </c>
      <c r="AJ148" s="15" t="str">
        <f t="shared" si="52"/>
        <v>dv360</v>
      </c>
      <c r="AK148" s="15" t="str">
        <f t="shared" si="53"/>
        <v>Programmatic</v>
      </c>
      <c r="AL148" s="21" t="str">
        <f>Campanha!$B$3</f>
        <v>BR_AAF_DSY_NONMS_ND_AS_2019Q2APR_AFS_After-Sales</v>
      </c>
      <c r="AM148" s="21" t="str">
        <f t="shared" si="59"/>
        <v>BR_VW_AFS_dv360_DIS_PROG_CPM_STD_LDR_AAF_RON_CXD_After-Sales-Oficina-Classicos-REG02-Categories_PD_970x250</v>
      </c>
      <c r="AN148" s="15" t="s">
        <v>809</v>
      </c>
    </row>
    <row r="149" spans="2:40" hidden="1" x14ac:dyDescent="0.25">
      <c r="B149" s="15" t="s">
        <v>933</v>
      </c>
      <c r="C149" s="15" t="s">
        <v>1171</v>
      </c>
      <c r="D149" s="30" t="s">
        <v>873</v>
      </c>
      <c r="E149" s="22">
        <v>44155</v>
      </c>
      <c r="F149" s="22">
        <v>44196</v>
      </c>
      <c r="G149" s="15" t="s">
        <v>674</v>
      </c>
      <c r="H149" s="15" t="s">
        <v>811</v>
      </c>
      <c r="I149" s="15" t="s">
        <v>702</v>
      </c>
      <c r="J149" s="15" t="s">
        <v>325</v>
      </c>
      <c r="K149" s="15" t="s">
        <v>334</v>
      </c>
      <c r="L149" s="15" t="s">
        <v>358</v>
      </c>
      <c r="M149" s="15" t="s">
        <v>322</v>
      </c>
      <c r="N149" s="15" t="s">
        <v>708</v>
      </c>
      <c r="O149" s="15" t="s">
        <v>694</v>
      </c>
      <c r="P149" s="15" t="s">
        <v>1041</v>
      </c>
      <c r="Q149" s="15" t="s">
        <v>871</v>
      </c>
      <c r="R149" s="15" t="s">
        <v>835</v>
      </c>
      <c r="S149" s="15" t="s">
        <v>348</v>
      </c>
      <c r="T149" s="15" t="s">
        <v>457</v>
      </c>
      <c r="AC149" s="32" t="s">
        <v>885</v>
      </c>
      <c r="AD149" s="33" t="str">
        <f t="shared" si="51"/>
        <v>289282762</v>
      </c>
      <c r="AE149" s="21" t="str">
        <f t="shared" si="54"/>
        <v>BR_VW_AFS_dv360_DIS_PROG_CPM_STD_LDR_AAF_RON_CXD_After-Sales-Oficina-Classicos-REG02-In-Market_PD_160x600</v>
      </c>
      <c r="AF149" s="21" t="str">
        <f t="shared" si="55"/>
        <v>BR_VW_AFS_dv360_DIS_PROG_CPM_STD_LDR_AAF_RON_CXD_After-Sales-Oficina-Classicos-REG02-In-Market_PD_160x600</v>
      </c>
      <c r="AG149" s="21" t="str">
        <f t="shared" si="56"/>
        <v>VW_After-Sales-In-Market_160x600_After-Sales-Oficina-Classicos-REG02-adserver</v>
      </c>
      <c r="AH149" s="21" t="str">
        <f t="shared" si="57"/>
        <v>https://www.oficinadeclassicos.com.br/index.aspx?utm_source=dv360&amp;utm_medium=Programmatic&amp;utm_content=BR_VW_AFS_dv360_DIS_PROG_CPM_STD_LDR_AAF_RON_CXD_After-Sales-Oficina-Classicos-REG02-In-Market_PD_160x600&amp;utm_campaign=BR_AAF_DSY_NONMS_ND_AS_2019Q2APR_AFS_After-Sales&amp;utm_term=%epid!_%ecid!_%eaid!</v>
      </c>
      <c r="AI149" s="21" t="str">
        <f t="shared" si="58"/>
        <v>TAG</v>
      </c>
      <c r="AJ149" s="15" t="str">
        <f t="shared" si="52"/>
        <v>dv360</v>
      </c>
      <c r="AK149" s="15" t="str">
        <f t="shared" si="53"/>
        <v>Programmatic</v>
      </c>
      <c r="AL149" s="21" t="str">
        <f>Campanha!$B$3</f>
        <v>BR_AAF_DSY_NONMS_ND_AS_2019Q2APR_AFS_After-Sales</v>
      </c>
      <c r="AM149" s="21" t="str">
        <f t="shared" si="59"/>
        <v>BR_VW_AFS_dv360_DIS_PROG_CPM_STD_LDR_AAF_RON_CXD_After-Sales-Oficina-Classicos-REG02-In-Market_PD_160x600</v>
      </c>
      <c r="AN149" s="15" t="s">
        <v>809</v>
      </c>
    </row>
    <row r="150" spans="2:40" hidden="1" x14ac:dyDescent="0.25">
      <c r="B150" s="15" t="s">
        <v>933</v>
      </c>
      <c r="C150" s="15" t="s">
        <v>1171</v>
      </c>
      <c r="D150" s="30" t="s">
        <v>873</v>
      </c>
      <c r="E150" s="22">
        <v>44155</v>
      </c>
      <c r="F150" s="22">
        <v>44196</v>
      </c>
      <c r="G150" s="15" t="s">
        <v>674</v>
      </c>
      <c r="H150" s="15" t="s">
        <v>811</v>
      </c>
      <c r="I150" s="15" t="s">
        <v>702</v>
      </c>
      <c r="J150" s="15" t="s">
        <v>325</v>
      </c>
      <c r="K150" s="15" t="s">
        <v>334</v>
      </c>
      <c r="L150" s="15" t="s">
        <v>358</v>
      </c>
      <c r="M150" s="15" t="s">
        <v>322</v>
      </c>
      <c r="N150" s="15" t="s">
        <v>708</v>
      </c>
      <c r="O150" s="15" t="s">
        <v>694</v>
      </c>
      <c r="P150" s="15" t="s">
        <v>1041</v>
      </c>
      <c r="Q150" s="15" t="s">
        <v>871</v>
      </c>
      <c r="R150" s="15" t="s">
        <v>835</v>
      </c>
      <c r="S150" s="15" t="s">
        <v>348</v>
      </c>
      <c r="T150" s="15" t="s">
        <v>484</v>
      </c>
      <c r="AC150" s="32" t="s">
        <v>885</v>
      </c>
      <c r="AD150" s="33" t="str">
        <f t="shared" si="51"/>
        <v>289282759</v>
      </c>
      <c r="AE150" s="21" t="str">
        <f t="shared" si="54"/>
        <v>BR_VW_AFS_dv360_DIS_PROG_CPM_STD_LDR_AAF_RON_CXD_After-Sales-Oficina-Classicos-REG02-In-Market_PD_300x50</v>
      </c>
      <c r="AF150" s="21" t="str">
        <f t="shared" si="55"/>
        <v>BR_VW_AFS_dv360_DIS_PROG_CPM_STD_LDR_AAF_RON_CXD_After-Sales-Oficina-Classicos-REG02-In-Market_PD_300x50</v>
      </c>
      <c r="AG150" s="21" t="str">
        <f t="shared" si="56"/>
        <v>VW_After-Sales-In-Market_300x50_After-Sales-Oficina-Classicos-REG02-adserver</v>
      </c>
      <c r="AH150" s="21" t="str">
        <f t="shared" si="57"/>
        <v>https://www.oficinadeclassicos.com.br/index.aspx?utm_source=dv360&amp;utm_medium=Programmatic&amp;utm_content=BR_VW_AFS_dv360_DIS_PROG_CPM_STD_LDR_AAF_RON_CXD_After-Sales-Oficina-Classicos-REG02-In-Market_PD_300x50&amp;utm_campaign=BR_AAF_DSY_NONMS_ND_AS_2019Q2APR_AFS_After-Sales&amp;utm_term=%epid!_%ecid!_%eaid!</v>
      </c>
      <c r="AI150" s="21" t="str">
        <f t="shared" si="58"/>
        <v>TAG</v>
      </c>
      <c r="AJ150" s="15" t="str">
        <f t="shared" si="52"/>
        <v>dv360</v>
      </c>
      <c r="AK150" s="15" t="str">
        <f t="shared" si="53"/>
        <v>Programmatic</v>
      </c>
      <c r="AL150" s="21" t="str">
        <f>Campanha!$B$3</f>
        <v>BR_AAF_DSY_NONMS_ND_AS_2019Q2APR_AFS_After-Sales</v>
      </c>
      <c r="AM150" s="21" t="str">
        <f t="shared" si="59"/>
        <v>BR_VW_AFS_dv360_DIS_PROG_CPM_STD_LDR_AAF_RON_CXD_After-Sales-Oficina-Classicos-REG02-In-Market_PD_300x50</v>
      </c>
      <c r="AN150" s="15" t="s">
        <v>809</v>
      </c>
    </row>
    <row r="151" spans="2:40" hidden="1" x14ac:dyDescent="0.25">
      <c r="B151" s="15" t="s">
        <v>933</v>
      </c>
      <c r="C151" s="15" t="s">
        <v>1171</v>
      </c>
      <c r="D151" s="30" t="s">
        <v>873</v>
      </c>
      <c r="E151" s="22">
        <v>44155</v>
      </c>
      <c r="F151" s="22">
        <v>44196</v>
      </c>
      <c r="G151" s="15" t="s">
        <v>674</v>
      </c>
      <c r="H151" s="15" t="s">
        <v>811</v>
      </c>
      <c r="I151" s="15" t="s">
        <v>702</v>
      </c>
      <c r="J151" s="15" t="s">
        <v>325</v>
      </c>
      <c r="K151" s="15" t="s">
        <v>334</v>
      </c>
      <c r="L151" s="15" t="s">
        <v>358</v>
      </c>
      <c r="M151" s="15" t="s">
        <v>322</v>
      </c>
      <c r="N151" s="15" t="s">
        <v>708</v>
      </c>
      <c r="O151" s="15" t="s">
        <v>694</v>
      </c>
      <c r="P151" s="15" t="s">
        <v>1041</v>
      </c>
      <c r="Q151" s="15" t="s">
        <v>871</v>
      </c>
      <c r="R151" s="15" t="s">
        <v>835</v>
      </c>
      <c r="S151" s="15" t="s">
        <v>348</v>
      </c>
      <c r="T151" s="15" t="s">
        <v>478</v>
      </c>
      <c r="AC151" s="32" t="s">
        <v>885</v>
      </c>
      <c r="AD151" s="33" t="str">
        <f t="shared" si="51"/>
        <v>289282756</v>
      </c>
      <c r="AE151" s="21" t="str">
        <f t="shared" si="54"/>
        <v>BR_VW_AFS_dv360_DIS_PROG_CPM_STD_LDR_AAF_RON_CXD_After-Sales-Oficina-Classicos-REG02-In-Market_PD_300x250</v>
      </c>
      <c r="AF151" s="21" t="str">
        <f t="shared" si="55"/>
        <v>BR_VW_AFS_dv360_DIS_PROG_CPM_STD_LDR_AAF_RON_CXD_After-Sales-Oficina-Classicos-REG02-In-Market_PD_300x250</v>
      </c>
      <c r="AG151" s="21" t="str">
        <f t="shared" si="56"/>
        <v>VW_After-Sales-In-Market_300x250_After-Sales-Oficina-Classicos-REG02-adserver</v>
      </c>
      <c r="AH151" s="21" t="str">
        <f t="shared" si="57"/>
        <v>https://www.oficinadeclassicos.com.br/index.aspx?utm_source=dv360&amp;utm_medium=Programmatic&amp;utm_content=BR_VW_AFS_dv360_DIS_PROG_CPM_STD_LDR_AAF_RON_CXD_After-Sales-Oficina-Classicos-REG02-In-Market_PD_300x250&amp;utm_campaign=BR_AAF_DSY_NONMS_ND_AS_2019Q2APR_AFS_After-Sales&amp;utm_term=%epid!_%ecid!_%eaid!</v>
      </c>
      <c r="AI151" s="21" t="str">
        <f t="shared" si="58"/>
        <v>TAG</v>
      </c>
      <c r="AJ151" s="15" t="str">
        <f t="shared" si="52"/>
        <v>dv360</v>
      </c>
      <c r="AK151" s="15" t="str">
        <f t="shared" si="53"/>
        <v>Programmatic</v>
      </c>
      <c r="AL151" s="21" t="str">
        <f>Campanha!$B$3</f>
        <v>BR_AAF_DSY_NONMS_ND_AS_2019Q2APR_AFS_After-Sales</v>
      </c>
      <c r="AM151" s="21" t="str">
        <f t="shared" si="59"/>
        <v>BR_VW_AFS_dv360_DIS_PROG_CPM_STD_LDR_AAF_RON_CXD_After-Sales-Oficina-Classicos-REG02-In-Market_PD_300x250</v>
      </c>
      <c r="AN151" s="15" t="s">
        <v>809</v>
      </c>
    </row>
    <row r="152" spans="2:40" hidden="1" x14ac:dyDescent="0.25">
      <c r="B152" s="15" t="s">
        <v>933</v>
      </c>
      <c r="C152" s="15" t="s">
        <v>1172</v>
      </c>
      <c r="D152" s="30" t="s">
        <v>873</v>
      </c>
      <c r="E152" s="22">
        <v>44155</v>
      </c>
      <c r="F152" s="22">
        <v>44196</v>
      </c>
      <c r="G152" s="15" t="s">
        <v>674</v>
      </c>
      <c r="H152" s="15" t="s">
        <v>811</v>
      </c>
      <c r="I152" s="15" t="s">
        <v>702</v>
      </c>
      <c r="J152" s="15" t="s">
        <v>325</v>
      </c>
      <c r="K152" s="15" t="s">
        <v>334</v>
      </c>
      <c r="L152" s="15" t="s">
        <v>358</v>
      </c>
      <c r="M152" s="15" t="s">
        <v>322</v>
      </c>
      <c r="N152" s="15" t="s">
        <v>708</v>
      </c>
      <c r="O152" s="15" t="s">
        <v>694</v>
      </c>
      <c r="P152" s="15" t="s">
        <v>1041</v>
      </c>
      <c r="Q152" s="15" t="s">
        <v>871</v>
      </c>
      <c r="R152" s="15" t="s">
        <v>835</v>
      </c>
      <c r="S152" s="15" t="s">
        <v>348</v>
      </c>
      <c r="T152" s="15" t="s">
        <v>614</v>
      </c>
      <c r="AC152" s="32" t="s">
        <v>885</v>
      </c>
      <c r="AD152" s="33" t="str">
        <f t="shared" si="51"/>
        <v>289251027</v>
      </c>
      <c r="AE152" s="21" t="str">
        <f t="shared" si="54"/>
        <v>BR_VW_AFS_dv360_DIS_PROG_CPM_STD_LDR_AAF_RON_CXD_After-Sales-Oficina-Classicos-REG02-In-Market_PD_728x90</v>
      </c>
      <c r="AF152" s="21" t="str">
        <f t="shared" si="55"/>
        <v>BR_VW_AFS_dv360_DIS_PROG_CPM_STD_LDR_AAF_RON_CXD_After-Sales-Oficina-Classicos-REG02-In-Market_PD_728x90</v>
      </c>
      <c r="AG152" s="21" t="str">
        <f t="shared" si="56"/>
        <v>VW_After-Sales-In-Market_728x90_After-Sales-Oficina-Classicos-REG02-adserver</v>
      </c>
      <c r="AH152" s="21" t="str">
        <f t="shared" si="57"/>
        <v>https://www.oficinadeclassicos.com.br/index.aspx?utm_source=dv360&amp;utm_medium=Programmatic&amp;utm_content=BR_VW_AFS_dv360_DIS_PROG_CPM_STD_LDR_AAF_RON_CXD_After-Sales-Oficina-Classicos-REG02-In-Market_PD_728x90&amp;utm_campaign=BR_AAF_DSY_NONMS_ND_AS_2019Q2APR_AFS_After-Sales&amp;utm_term=%epid!_%ecid!_%eaid!</v>
      </c>
      <c r="AI152" s="21" t="str">
        <f t="shared" si="58"/>
        <v>TAG</v>
      </c>
      <c r="AJ152" s="15" t="str">
        <f t="shared" si="52"/>
        <v>dv360</v>
      </c>
      <c r="AK152" s="15" t="str">
        <f t="shared" si="53"/>
        <v>Programmatic</v>
      </c>
      <c r="AL152" s="21" t="str">
        <f>Campanha!$B$3</f>
        <v>BR_AAF_DSY_NONMS_ND_AS_2019Q2APR_AFS_After-Sales</v>
      </c>
      <c r="AM152" s="21" t="str">
        <f t="shared" si="59"/>
        <v>BR_VW_AFS_dv360_DIS_PROG_CPM_STD_LDR_AAF_RON_CXD_After-Sales-Oficina-Classicos-REG02-In-Market_PD_728x90</v>
      </c>
      <c r="AN152" s="15" t="s">
        <v>809</v>
      </c>
    </row>
    <row r="153" spans="2:40" hidden="1" x14ac:dyDescent="0.25">
      <c r="B153" s="15" t="s">
        <v>933</v>
      </c>
      <c r="C153" s="15" t="s">
        <v>1171</v>
      </c>
      <c r="D153" s="30" t="s">
        <v>873</v>
      </c>
      <c r="E153" s="22">
        <v>44155</v>
      </c>
      <c r="F153" s="22">
        <v>44196</v>
      </c>
      <c r="G153" s="15" t="s">
        <v>674</v>
      </c>
      <c r="H153" s="15" t="s">
        <v>811</v>
      </c>
      <c r="I153" s="15" t="s">
        <v>702</v>
      </c>
      <c r="J153" s="15" t="s">
        <v>325</v>
      </c>
      <c r="K153" s="15" t="s">
        <v>334</v>
      </c>
      <c r="L153" s="15" t="s">
        <v>358</v>
      </c>
      <c r="M153" s="15" t="s">
        <v>322</v>
      </c>
      <c r="N153" s="15" t="s">
        <v>708</v>
      </c>
      <c r="O153" s="15" t="s">
        <v>694</v>
      </c>
      <c r="P153" s="15" t="s">
        <v>1041</v>
      </c>
      <c r="Q153" s="15" t="s">
        <v>871</v>
      </c>
      <c r="R153" s="15" t="s">
        <v>835</v>
      </c>
      <c r="S153" s="15" t="s">
        <v>348</v>
      </c>
      <c r="T153" s="15" t="s">
        <v>652</v>
      </c>
      <c r="AC153" s="32" t="s">
        <v>885</v>
      </c>
      <c r="AD153" s="33" t="str">
        <f t="shared" si="51"/>
        <v>289282753</v>
      </c>
      <c r="AE153" s="21" t="str">
        <f t="shared" si="54"/>
        <v>BR_VW_AFS_dv360_DIS_PROG_CPM_STD_LDR_AAF_RON_CXD_After-Sales-Oficina-Classicos-REG02-In-Market_PD_970x250</v>
      </c>
      <c r="AF153" s="21" t="str">
        <f t="shared" si="55"/>
        <v>BR_VW_AFS_dv360_DIS_PROG_CPM_STD_LDR_AAF_RON_CXD_After-Sales-Oficina-Classicos-REG02-In-Market_PD_970x250</v>
      </c>
      <c r="AG153" s="21" t="str">
        <f t="shared" si="56"/>
        <v>VW_After-Sales-In-Market_970x250_After-Sales-Oficina-Classicos-REG02-adserver</v>
      </c>
      <c r="AH153" s="21" t="str">
        <f t="shared" si="57"/>
        <v>https://www.oficinadeclassicos.com.br/index.aspx?utm_source=dv360&amp;utm_medium=Programmatic&amp;utm_content=BR_VW_AFS_dv360_DIS_PROG_CPM_STD_LDR_AAF_RON_CXD_After-Sales-Oficina-Classicos-REG02-In-Market_PD_970x250&amp;utm_campaign=BR_AAF_DSY_NONMS_ND_AS_2019Q2APR_AFS_After-Sales&amp;utm_term=%epid!_%ecid!_%eaid!</v>
      </c>
      <c r="AI153" s="21" t="str">
        <f t="shared" si="58"/>
        <v>TAG</v>
      </c>
      <c r="AJ153" s="15" t="str">
        <f t="shared" si="52"/>
        <v>dv360</v>
      </c>
      <c r="AK153" s="15" t="str">
        <f t="shared" si="53"/>
        <v>Programmatic</v>
      </c>
      <c r="AL153" s="21" t="str">
        <f>Campanha!$B$3</f>
        <v>BR_AAF_DSY_NONMS_ND_AS_2019Q2APR_AFS_After-Sales</v>
      </c>
      <c r="AM153" s="21" t="str">
        <f t="shared" si="59"/>
        <v>BR_VW_AFS_dv360_DIS_PROG_CPM_STD_LDR_AAF_RON_CXD_After-Sales-Oficina-Classicos-REG02-In-Market_PD_970x250</v>
      </c>
      <c r="AN153" s="15" t="s">
        <v>809</v>
      </c>
    </row>
    <row r="154" spans="2:40" hidden="1" x14ac:dyDescent="0.25">
      <c r="B154" s="15" t="s">
        <v>933</v>
      </c>
      <c r="C154" s="15" t="s">
        <v>1171</v>
      </c>
      <c r="D154" s="30" t="s">
        <v>873</v>
      </c>
      <c r="E154" s="22">
        <v>44155</v>
      </c>
      <c r="F154" s="22">
        <v>44196</v>
      </c>
      <c r="G154" s="15" t="s">
        <v>674</v>
      </c>
      <c r="H154" s="15" t="s">
        <v>811</v>
      </c>
      <c r="I154" s="15" t="s">
        <v>702</v>
      </c>
      <c r="J154" s="15" t="s">
        <v>325</v>
      </c>
      <c r="K154" s="15" t="s">
        <v>334</v>
      </c>
      <c r="L154" s="15" t="s">
        <v>358</v>
      </c>
      <c r="M154" s="15" t="s">
        <v>322</v>
      </c>
      <c r="N154" s="15" t="s">
        <v>708</v>
      </c>
      <c r="O154" s="15" t="s">
        <v>694</v>
      </c>
      <c r="P154" s="15" t="s">
        <v>1041</v>
      </c>
      <c r="Q154" s="15" t="s">
        <v>1039</v>
      </c>
      <c r="R154" s="15" t="s">
        <v>835</v>
      </c>
      <c r="S154" s="15" t="s">
        <v>348</v>
      </c>
      <c r="T154" s="15" t="s">
        <v>457</v>
      </c>
      <c r="AC154" s="32" t="s">
        <v>885</v>
      </c>
      <c r="AD154" s="33" t="str">
        <f t="shared" si="51"/>
        <v>289282750</v>
      </c>
      <c r="AE154" s="21" t="str">
        <f t="shared" si="54"/>
        <v>BR_VW_AFS_dv360_DIS_PROG_CPM_STD_LDR_AAF_RON_CXD_After-Sales-Oficina-Classicos-REG02-3rdparty_PD_160x600</v>
      </c>
      <c r="AF154" s="21" t="str">
        <f t="shared" si="55"/>
        <v>BR_VW_AFS_dv360_DIS_PROG_CPM_STD_LDR_AAF_RON_CXD_After-Sales-Oficina-Classicos-REG02-3rdparty_PD_160x600</v>
      </c>
      <c r="AG154" s="21" t="str">
        <f t="shared" si="56"/>
        <v>VW_After-Sales-3rdparty_160x600_After-Sales-Oficina-Classicos-REG02-adserver</v>
      </c>
      <c r="AH154" s="21" t="str">
        <f t="shared" si="57"/>
        <v>https://www.oficinadeclassicos.com.br/index.aspx?utm_source=dv360&amp;utm_medium=Programmatic&amp;utm_content=BR_VW_AFS_dv360_DIS_PROG_CPM_STD_LDR_AAF_RON_CXD_After-Sales-Oficina-Classicos-REG02-3rdparty_PD_160x600&amp;utm_campaign=BR_AAF_DSY_NONMS_ND_AS_2019Q2APR_AFS_After-Sales&amp;utm_term=%epid!_%ecid!_%eaid!</v>
      </c>
      <c r="AI154" s="21" t="str">
        <f t="shared" si="58"/>
        <v>TAG</v>
      </c>
      <c r="AJ154" s="15" t="str">
        <f t="shared" si="52"/>
        <v>dv360</v>
      </c>
      <c r="AK154" s="15" t="str">
        <f t="shared" si="53"/>
        <v>Programmatic</v>
      </c>
      <c r="AL154" s="21" t="str">
        <f>Campanha!$B$3</f>
        <v>BR_AAF_DSY_NONMS_ND_AS_2019Q2APR_AFS_After-Sales</v>
      </c>
      <c r="AM154" s="21" t="str">
        <f t="shared" si="59"/>
        <v>BR_VW_AFS_dv360_DIS_PROG_CPM_STD_LDR_AAF_RON_CXD_After-Sales-Oficina-Classicos-REG02-3rdparty_PD_160x600</v>
      </c>
      <c r="AN154" s="15" t="s">
        <v>809</v>
      </c>
    </row>
    <row r="155" spans="2:40" hidden="1" x14ac:dyDescent="0.25">
      <c r="B155" s="15" t="s">
        <v>933</v>
      </c>
      <c r="C155" s="15" t="s">
        <v>1171</v>
      </c>
      <c r="D155" s="30" t="s">
        <v>873</v>
      </c>
      <c r="E155" s="22">
        <v>44155</v>
      </c>
      <c r="F155" s="22">
        <v>44196</v>
      </c>
      <c r="G155" s="15" t="s">
        <v>674</v>
      </c>
      <c r="H155" s="15" t="s">
        <v>811</v>
      </c>
      <c r="I155" s="15" t="s">
        <v>702</v>
      </c>
      <c r="J155" s="15" t="s">
        <v>325</v>
      </c>
      <c r="K155" s="15" t="s">
        <v>334</v>
      </c>
      <c r="L155" s="15" t="s">
        <v>358</v>
      </c>
      <c r="M155" s="15" t="s">
        <v>322</v>
      </c>
      <c r="N155" s="15" t="s">
        <v>708</v>
      </c>
      <c r="O155" s="15" t="s">
        <v>694</v>
      </c>
      <c r="P155" s="15" t="s">
        <v>1041</v>
      </c>
      <c r="Q155" s="15" t="s">
        <v>1039</v>
      </c>
      <c r="R155" s="15" t="s">
        <v>835</v>
      </c>
      <c r="S155" s="15" t="s">
        <v>348</v>
      </c>
      <c r="T155" s="15" t="s">
        <v>484</v>
      </c>
      <c r="AC155" s="32" t="s">
        <v>885</v>
      </c>
      <c r="AD155" s="33" t="str">
        <f t="shared" si="51"/>
        <v>289282747</v>
      </c>
      <c r="AE155" s="21" t="str">
        <f t="shared" si="54"/>
        <v>BR_VW_AFS_dv360_DIS_PROG_CPM_STD_LDR_AAF_RON_CXD_After-Sales-Oficina-Classicos-REG02-3rdparty_PD_300x50</v>
      </c>
      <c r="AF155" s="21" t="str">
        <f t="shared" si="55"/>
        <v>BR_VW_AFS_dv360_DIS_PROG_CPM_STD_LDR_AAF_RON_CXD_After-Sales-Oficina-Classicos-REG02-3rdparty_PD_300x50</v>
      </c>
      <c r="AG155" s="21" t="str">
        <f t="shared" si="56"/>
        <v>VW_After-Sales-3rdparty_300x50_After-Sales-Oficina-Classicos-REG02-adserver</v>
      </c>
      <c r="AH155" s="21" t="str">
        <f t="shared" si="57"/>
        <v>https://www.oficinadeclassicos.com.br/index.aspx?utm_source=dv360&amp;utm_medium=Programmatic&amp;utm_content=BR_VW_AFS_dv360_DIS_PROG_CPM_STD_LDR_AAF_RON_CXD_After-Sales-Oficina-Classicos-REG02-3rdparty_PD_300x50&amp;utm_campaign=BR_AAF_DSY_NONMS_ND_AS_2019Q2APR_AFS_After-Sales&amp;utm_term=%epid!_%ecid!_%eaid!</v>
      </c>
      <c r="AI155" s="21" t="str">
        <f t="shared" si="58"/>
        <v>TAG</v>
      </c>
      <c r="AJ155" s="15" t="str">
        <f t="shared" si="52"/>
        <v>dv360</v>
      </c>
      <c r="AK155" s="15" t="str">
        <f t="shared" si="53"/>
        <v>Programmatic</v>
      </c>
      <c r="AL155" s="21" t="str">
        <f>Campanha!$B$3</f>
        <v>BR_AAF_DSY_NONMS_ND_AS_2019Q2APR_AFS_After-Sales</v>
      </c>
      <c r="AM155" s="21" t="str">
        <f t="shared" si="59"/>
        <v>BR_VW_AFS_dv360_DIS_PROG_CPM_STD_LDR_AAF_RON_CXD_After-Sales-Oficina-Classicos-REG02-3rdparty_PD_300x50</v>
      </c>
      <c r="AN155" s="15" t="s">
        <v>809</v>
      </c>
    </row>
    <row r="156" spans="2:40" hidden="1" x14ac:dyDescent="0.25">
      <c r="B156" s="15" t="s">
        <v>933</v>
      </c>
      <c r="C156" s="15" t="s">
        <v>1171</v>
      </c>
      <c r="D156" s="30" t="s">
        <v>873</v>
      </c>
      <c r="E156" s="22">
        <v>44155</v>
      </c>
      <c r="F156" s="22">
        <v>44196</v>
      </c>
      <c r="G156" s="15" t="s">
        <v>674</v>
      </c>
      <c r="H156" s="15" t="s">
        <v>811</v>
      </c>
      <c r="I156" s="15" t="s">
        <v>702</v>
      </c>
      <c r="J156" s="15" t="s">
        <v>325</v>
      </c>
      <c r="K156" s="15" t="s">
        <v>334</v>
      </c>
      <c r="L156" s="15" t="s">
        <v>358</v>
      </c>
      <c r="M156" s="15" t="s">
        <v>322</v>
      </c>
      <c r="N156" s="15" t="s">
        <v>708</v>
      </c>
      <c r="O156" s="15" t="s">
        <v>694</v>
      </c>
      <c r="P156" s="15" t="s">
        <v>1041</v>
      </c>
      <c r="Q156" s="15" t="s">
        <v>1039</v>
      </c>
      <c r="R156" s="15" t="s">
        <v>835</v>
      </c>
      <c r="S156" s="15" t="s">
        <v>348</v>
      </c>
      <c r="T156" s="15" t="s">
        <v>478</v>
      </c>
      <c r="AC156" s="32" t="s">
        <v>885</v>
      </c>
      <c r="AD156" s="33" t="str">
        <f t="shared" si="51"/>
        <v>289282744</v>
      </c>
      <c r="AE156" s="21" t="str">
        <f t="shared" si="54"/>
        <v>BR_VW_AFS_dv360_DIS_PROG_CPM_STD_LDR_AAF_RON_CXD_After-Sales-Oficina-Classicos-REG02-3rdparty_PD_300x250</v>
      </c>
      <c r="AF156" s="21" t="str">
        <f t="shared" si="55"/>
        <v>BR_VW_AFS_dv360_DIS_PROG_CPM_STD_LDR_AAF_RON_CXD_After-Sales-Oficina-Classicos-REG02-3rdparty_PD_300x250</v>
      </c>
      <c r="AG156" s="21" t="str">
        <f t="shared" si="56"/>
        <v>VW_After-Sales-3rdparty_300x250_After-Sales-Oficina-Classicos-REG02-adserver</v>
      </c>
      <c r="AH156" s="21" t="str">
        <f t="shared" si="57"/>
        <v>https://www.oficinadeclassicos.com.br/index.aspx?utm_source=dv360&amp;utm_medium=Programmatic&amp;utm_content=BR_VW_AFS_dv360_DIS_PROG_CPM_STD_LDR_AAF_RON_CXD_After-Sales-Oficina-Classicos-REG02-3rdparty_PD_300x250&amp;utm_campaign=BR_AAF_DSY_NONMS_ND_AS_2019Q2APR_AFS_After-Sales&amp;utm_term=%epid!_%ecid!_%eaid!</v>
      </c>
      <c r="AI156" s="21" t="str">
        <f t="shared" si="58"/>
        <v>TAG</v>
      </c>
      <c r="AJ156" s="15" t="str">
        <f t="shared" si="52"/>
        <v>dv360</v>
      </c>
      <c r="AK156" s="15" t="str">
        <f t="shared" si="53"/>
        <v>Programmatic</v>
      </c>
      <c r="AL156" s="21" t="str">
        <f>Campanha!$B$3</f>
        <v>BR_AAF_DSY_NONMS_ND_AS_2019Q2APR_AFS_After-Sales</v>
      </c>
      <c r="AM156" s="21" t="str">
        <f t="shared" si="59"/>
        <v>BR_VW_AFS_dv360_DIS_PROG_CPM_STD_LDR_AAF_RON_CXD_After-Sales-Oficina-Classicos-REG02-3rdparty_PD_300x250</v>
      </c>
      <c r="AN156" s="15" t="s">
        <v>809</v>
      </c>
    </row>
    <row r="157" spans="2:40" hidden="1" x14ac:dyDescent="0.25">
      <c r="B157" s="15" t="s">
        <v>933</v>
      </c>
      <c r="C157" s="15" t="s">
        <v>1172</v>
      </c>
      <c r="D157" s="30" t="s">
        <v>873</v>
      </c>
      <c r="E157" s="22">
        <v>44155</v>
      </c>
      <c r="F157" s="22">
        <v>44196</v>
      </c>
      <c r="G157" s="15" t="s">
        <v>674</v>
      </c>
      <c r="H157" s="15" t="s">
        <v>811</v>
      </c>
      <c r="I157" s="15" t="s">
        <v>702</v>
      </c>
      <c r="J157" s="15" t="s">
        <v>325</v>
      </c>
      <c r="K157" s="15" t="s">
        <v>334</v>
      </c>
      <c r="L157" s="15" t="s">
        <v>358</v>
      </c>
      <c r="M157" s="15" t="s">
        <v>322</v>
      </c>
      <c r="N157" s="15" t="s">
        <v>708</v>
      </c>
      <c r="O157" s="15" t="s">
        <v>694</v>
      </c>
      <c r="P157" s="15" t="s">
        <v>1041</v>
      </c>
      <c r="Q157" s="15" t="s">
        <v>1039</v>
      </c>
      <c r="R157" s="15" t="s">
        <v>835</v>
      </c>
      <c r="S157" s="15" t="s">
        <v>348</v>
      </c>
      <c r="T157" s="15" t="s">
        <v>614</v>
      </c>
      <c r="AC157" s="32" t="s">
        <v>885</v>
      </c>
      <c r="AD157" s="33" t="str">
        <f t="shared" si="51"/>
        <v>289251024</v>
      </c>
      <c r="AE157" s="21" t="str">
        <f t="shared" si="54"/>
        <v>BR_VW_AFS_dv360_DIS_PROG_CPM_STD_LDR_AAF_RON_CXD_After-Sales-Oficina-Classicos-REG02-3rdparty_PD_728x90</v>
      </c>
      <c r="AF157" s="21" t="str">
        <f t="shared" si="55"/>
        <v>BR_VW_AFS_dv360_DIS_PROG_CPM_STD_LDR_AAF_RON_CXD_After-Sales-Oficina-Classicos-REG02-3rdparty_PD_728x90</v>
      </c>
      <c r="AG157" s="21" t="str">
        <f t="shared" si="56"/>
        <v>VW_After-Sales-3rdparty_728x90_After-Sales-Oficina-Classicos-REG02-adserver</v>
      </c>
      <c r="AH157" s="21" t="str">
        <f t="shared" si="57"/>
        <v>https://www.oficinadeclassicos.com.br/index.aspx?utm_source=dv360&amp;utm_medium=Programmatic&amp;utm_content=BR_VW_AFS_dv360_DIS_PROG_CPM_STD_LDR_AAF_RON_CXD_After-Sales-Oficina-Classicos-REG02-3rdparty_PD_728x90&amp;utm_campaign=BR_AAF_DSY_NONMS_ND_AS_2019Q2APR_AFS_After-Sales&amp;utm_term=%epid!_%ecid!_%eaid!</v>
      </c>
      <c r="AI157" s="21" t="str">
        <f t="shared" si="58"/>
        <v>TAG</v>
      </c>
      <c r="AJ157" s="15" t="str">
        <f t="shared" si="52"/>
        <v>dv360</v>
      </c>
      <c r="AK157" s="15" t="str">
        <f t="shared" si="53"/>
        <v>Programmatic</v>
      </c>
      <c r="AL157" s="21" t="str">
        <f>Campanha!$B$3</f>
        <v>BR_AAF_DSY_NONMS_ND_AS_2019Q2APR_AFS_After-Sales</v>
      </c>
      <c r="AM157" s="21" t="str">
        <f t="shared" si="59"/>
        <v>BR_VW_AFS_dv360_DIS_PROG_CPM_STD_LDR_AAF_RON_CXD_After-Sales-Oficina-Classicos-REG02-3rdparty_PD_728x90</v>
      </c>
      <c r="AN157" s="15" t="s">
        <v>809</v>
      </c>
    </row>
    <row r="158" spans="2:40" hidden="1" x14ac:dyDescent="0.25">
      <c r="B158" s="15" t="s">
        <v>933</v>
      </c>
      <c r="C158" s="15" t="s">
        <v>1171</v>
      </c>
      <c r="D158" s="30" t="s">
        <v>873</v>
      </c>
      <c r="E158" s="22">
        <v>44155</v>
      </c>
      <c r="F158" s="22">
        <v>44196</v>
      </c>
      <c r="G158" s="15" t="s">
        <v>674</v>
      </c>
      <c r="H158" s="15" t="s">
        <v>811</v>
      </c>
      <c r="I158" s="15" t="s">
        <v>702</v>
      </c>
      <c r="J158" s="15" t="s">
        <v>325</v>
      </c>
      <c r="K158" s="15" t="s">
        <v>334</v>
      </c>
      <c r="L158" s="15" t="s">
        <v>358</v>
      </c>
      <c r="M158" s="15" t="s">
        <v>322</v>
      </c>
      <c r="N158" s="15" t="s">
        <v>708</v>
      </c>
      <c r="O158" s="15" t="s">
        <v>694</v>
      </c>
      <c r="P158" s="15" t="s">
        <v>1041</v>
      </c>
      <c r="Q158" s="15" t="s">
        <v>1039</v>
      </c>
      <c r="R158" s="15" t="s">
        <v>835</v>
      </c>
      <c r="S158" s="15" t="s">
        <v>348</v>
      </c>
      <c r="T158" s="15" t="s">
        <v>652</v>
      </c>
      <c r="AC158" s="32" t="s">
        <v>885</v>
      </c>
      <c r="AD158" s="33" t="str">
        <f t="shared" si="51"/>
        <v>289282741</v>
      </c>
      <c r="AE158" s="21" t="str">
        <f t="shared" si="54"/>
        <v>BR_VW_AFS_dv360_DIS_PROG_CPM_STD_LDR_AAF_RON_CXD_After-Sales-Oficina-Classicos-REG02-3rdparty_PD_970x250</v>
      </c>
      <c r="AF158" s="21" t="str">
        <f t="shared" si="55"/>
        <v>BR_VW_AFS_dv360_DIS_PROG_CPM_STD_LDR_AAF_RON_CXD_After-Sales-Oficina-Classicos-REG02-3rdparty_PD_970x250</v>
      </c>
      <c r="AG158" s="21" t="str">
        <f t="shared" si="56"/>
        <v>VW_After-Sales-3rdparty_970x250_After-Sales-Oficina-Classicos-REG02-adserver</v>
      </c>
      <c r="AH158" s="21" t="str">
        <f t="shared" si="57"/>
        <v>https://www.oficinadeclassicos.com.br/index.aspx?utm_source=dv360&amp;utm_medium=Programmatic&amp;utm_content=BR_VW_AFS_dv360_DIS_PROG_CPM_STD_LDR_AAF_RON_CXD_After-Sales-Oficina-Classicos-REG02-3rdparty_PD_970x250&amp;utm_campaign=BR_AAF_DSY_NONMS_ND_AS_2019Q2APR_AFS_After-Sales&amp;utm_term=%epid!_%ecid!_%eaid!</v>
      </c>
      <c r="AI158" s="21" t="str">
        <f t="shared" si="58"/>
        <v>TAG</v>
      </c>
      <c r="AJ158" s="15" t="str">
        <f t="shared" si="52"/>
        <v>dv360</v>
      </c>
      <c r="AK158" s="15" t="str">
        <f t="shared" si="53"/>
        <v>Programmatic</v>
      </c>
      <c r="AL158" s="21" t="str">
        <f>Campanha!$B$3</f>
        <v>BR_AAF_DSY_NONMS_ND_AS_2019Q2APR_AFS_After-Sales</v>
      </c>
      <c r="AM158" s="21" t="str">
        <f t="shared" si="59"/>
        <v>BR_VW_AFS_dv360_DIS_PROG_CPM_STD_LDR_AAF_RON_CXD_After-Sales-Oficina-Classicos-REG02-3rdparty_PD_970x250</v>
      </c>
      <c r="AN158" s="15" t="s">
        <v>809</v>
      </c>
    </row>
    <row r="159" spans="2:40" hidden="1" x14ac:dyDescent="0.25">
      <c r="B159" s="15" t="s">
        <v>872</v>
      </c>
      <c r="C159" s="15"/>
      <c r="D159" s="30" t="s">
        <v>873</v>
      </c>
      <c r="E159" s="22">
        <v>44155</v>
      </c>
      <c r="F159" s="22">
        <v>44196</v>
      </c>
      <c r="G159" s="15" t="s">
        <v>674</v>
      </c>
      <c r="H159" s="15" t="s">
        <v>811</v>
      </c>
      <c r="I159" s="15" t="s">
        <v>702</v>
      </c>
      <c r="J159" s="15" t="s">
        <v>325</v>
      </c>
      <c r="K159" s="15" t="s">
        <v>334</v>
      </c>
      <c r="L159" s="15" t="s">
        <v>358</v>
      </c>
      <c r="M159" s="15" t="s">
        <v>322</v>
      </c>
      <c r="N159" s="15" t="s">
        <v>708</v>
      </c>
      <c r="O159" s="15" t="s">
        <v>694</v>
      </c>
      <c r="P159" s="15" t="s">
        <v>1041</v>
      </c>
      <c r="Q159" s="15" t="s">
        <v>889</v>
      </c>
      <c r="R159" s="15" t="s">
        <v>835</v>
      </c>
      <c r="S159" s="15" t="s">
        <v>348</v>
      </c>
      <c r="T159" s="15" t="s">
        <v>457</v>
      </c>
      <c r="AC159" s="32" t="s">
        <v>885</v>
      </c>
      <c r="AD159" s="33" t="e">
        <f t="shared" si="51"/>
        <v>#N/A</v>
      </c>
      <c r="AE159" s="21" t="str">
        <f t="shared" si="54"/>
        <v>BR_VW_AFS_dv360_DIS_PROG_CPM_STD_LDR_AAF_RON_CXD_After-Sales-Oficina-Classicos-REG02-lal-lead-ofertas_PD_160x600</v>
      </c>
      <c r="AF159" s="21" t="str">
        <f t="shared" si="55"/>
        <v>BR_VW_AFS_dv360_DIS_PROG_CPM_STD_LDR_AAF_RON_CXD_After-Sales-Oficina-Classicos-REG02-lal-lead-ofertas_PD_160x600</v>
      </c>
      <c r="AG159" s="21" t="str">
        <f t="shared" si="56"/>
        <v>VW_After-Sales-lal-lead-ofertas_160x600_After-Sales-Oficina-Classicos-REG02-adserver</v>
      </c>
      <c r="AH159" s="21" t="str">
        <f t="shared" si="57"/>
        <v>https://www.oficinadeclassicos.com.br/index.aspx?utm_source=dv360&amp;utm_medium=Programmatic&amp;utm_content=BR_VW_AFS_dv360_DIS_PROG_CPM_STD_LDR_AAF_RON_CXD_After-Sales-Oficina-Classicos-REG02-lal-lead-ofertas_PD_160x600&amp;utm_campaign=BR_AAF_DSY_NONMS_ND_AS_2019Q2APR_AFS_After-Sales&amp;utm_term=%epid!_%ecid!_%eaid!</v>
      </c>
      <c r="AI159" s="21" t="str">
        <f t="shared" si="58"/>
        <v>TAG</v>
      </c>
      <c r="AJ159" s="15" t="str">
        <f t="shared" si="52"/>
        <v>dv360</v>
      </c>
      <c r="AK159" s="15" t="str">
        <f t="shared" si="53"/>
        <v>Programmatic</v>
      </c>
      <c r="AL159" s="21" t="str">
        <f>Campanha!$B$3</f>
        <v>BR_AAF_DSY_NONMS_ND_AS_2019Q2APR_AFS_After-Sales</v>
      </c>
      <c r="AM159" s="21" t="str">
        <f t="shared" si="59"/>
        <v>BR_VW_AFS_dv360_DIS_PROG_CPM_STD_LDR_AAF_RON_CXD_After-Sales-Oficina-Classicos-REG02-lal-lead-ofertas_PD_160x600</v>
      </c>
      <c r="AN159" s="15" t="s">
        <v>809</v>
      </c>
    </row>
    <row r="160" spans="2:40" hidden="1" x14ac:dyDescent="0.25">
      <c r="B160" s="15" t="s">
        <v>872</v>
      </c>
      <c r="C160" s="15"/>
      <c r="D160" s="30" t="s">
        <v>873</v>
      </c>
      <c r="E160" s="22">
        <v>44155</v>
      </c>
      <c r="F160" s="22">
        <v>44196</v>
      </c>
      <c r="G160" s="15" t="s">
        <v>674</v>
      </c>
      <c r="H160" s="15" t="s">
        <v>811</v>
      </c>
      <c r="I160" s="15" t="s">
        <v>702</v>
      </c>
      <c r="J160" s="15" t="s">
        <v>325</v>
      </c>
      <c r="K160" s="15" t="s">
        <v>334</v>
      </c>
      <c r="L160" s="15" t="s">
        <v>358</v>
      </c>
      <c r="M160" s="15" t="s">
        <v>322</v>
      </c>
      <c r="N160" s="15" t="s">
        <v>708</v>
      </c>
      <c r="O160" s="15" t="s">
        <v>694</v>
      </c>
      <c r="P160" s="15" t="s">
        <v>1041</v>
      </c>
      <c r="Q160" s="15" t="s">
        <v>889</v>
      </c>
      <c r="R160" s="15" t="s">
        <v>835</v>
      </c>
      <c r="S160" s="15" t="s">
        <v>348</v>
      </c>
      <c r="T160" s="15" t="s">
        <v>484</v>
      </c>
      <c r="AC160" s="32" t="s">
        <v>885</v>
      </c>
      <c r="AD160" s="33" t="e">
        <f t="shared" si="51"/>
        <v>#N/A</v>
      </c>
      <c r="AE160" s="21" t="str">
        <f t="shared" si="54"/>
        <v>BR_VW_AFS_dv360_DIS_PROG_CPM_STD_LDR_AAF_RON_CXD_After-Sales-Oficina-Classicos-REG02-lal-lead-ofertas_PD_300x50</v>
      </c>
      <c r="AF160" s="21" t="str">
        <f t="shared" si="55"/>
        <v>BR_VW_AFS_dv360_DIS_PROG_CPM_STD_LDR_AAF_RON_CXD_After-Sales-Oficina-Classicos-REG02-lal-lead-ofertas_PD_300x50</v>
      </c>
      <c r="AG160" s="21" t="str">
        <f t="shared" si="56"/>
        <v>VW_After-Sales-lal-lead-ofertas_300x50_After-Sales-Oficina-Classicos-REG02-adserver</v>
      </c>
      <c r="AH160" s="21" t="str">
        <f t="shared" si="57"/>
        <v>https://www.oficinadeclassicos.com.br/index.aspx?utm_source=dv360&amp;utm_medium=Programmatic&amp;utm_content=BR_VW_AFS_dv360_DIS_PROG_CPM_STD_LDR_AAF_RON_CXD_After-Sales-Oficina-Classicos-REG02-lal-lead-ofertas_PD_300x50&amp;utm_campaign=BR_AAF_DSY_NONMS_ND_AS_2019Q2APR_AFS_After-Sales&amp;utm_term=%epid!_%ecid!_%eaid!</v>
      </c>
      <c r="AI160" s="21" t="str">
        <f t="shared" si="58"/>
        <v>TAG</v>
      </c>
      <c r="AJ160" s="15" t="str">
        <f t="shared" si="52"/>
        <v>dv360</v>
      </c>
      <c r="AK160" s="15" t="str">
        <f t="shared" si="53"/>
        <v>Programmatic</v>
      </c>
      <c r="AL160" s="21" t="str">
        <f>Campanha!$B$3</f>
        <v>BR_AAF_DSY_NONMS_ND_AS_2019Q2APR_AFS_After-Sales</v>
      </c>
      <c r="AM160" s="21" t="str">
        <f t="shared" si="59"/>
        <v>BR_VW_AFS_dv360_DIS_PROG_CPM_STD_LDR_AAF_RON_CXD_After-Sales-Oficina-Classicos-REG02-lal-lead-ofertas_PD_300x50</v>
      </c>
      <c r="AN160" s="15" t="s">
        <v>809</v>
      </c>
    </row>
    <row r="161" spans="2:40" hidden="1" x14ac:dyDescent="0.25">
      <c r="B161" s="15" t="s">
        <v>872</v>
      </c>
      <c r="C161" s="15"/>
      <c r="D161" s="30" t="s">
        <v>873</v>
      </c>
      <c r="E161" s="22">
        <v>44155</v>
      </c>
      <c r="F161" s="22">
        <v>44196</v>
      </c>
      <c r="G161" s="15" t="s">
        <v>674</v>
      </c>
      <c r="H161" s="15" t="s">
        <v>811</v>
      </c>
      <c r="I161" s="15" t="s">
        <v>702</v>
      </c>
      <c r="J161" s="15" t="s">
        <v>325</v>
      </c>
      <c r="K161" s="15" t="s">
        <v>334</v>
      </c>
      <c r="L161" s="15" t="s">
        <v>358</v>
      </c>
      <c r="M161" s="15" t="s">
        <v>322</v>
      </c>
      <c r="N161" s="15" t="s">
        <v>708</v>
      </c>
      <c r="O161" s="15" t="s">
        <v>694</v>
      </c>
      <c r="P161" s="15" t="s">
        <v>1041</v>
      </c>
      <c r="Q161" s="15" t="s">
        <v>889</v>
      </c>
      <c r="R161" s="15" t="s">
        <v>835</v>
      </c>
      <c r="S161" s="15" t="s">
        <v>348</v>
      </c>
      <c r="T161" s="15" t="s">
        <v>478</v>
      </c>
      <c r="AC161" s="32" t="s">
        <v>885</v>
      </c>
      <c r="AD161" s="33" t="e">
        <f t="shared" si="51"/>
        <v>#N/A</v>
      </c>
      <c r="AE161" s="21" t="str">
        <f t="shared" si="54"/>
        <v>BR_VW_AFS_dv360_DIS_PROG_CPM_STD_LDR_AAF_RON_CXD_After-Sales-Oficina-Classicos-REG02-lal-lead-ofertas_PD_300x250</v>
      </c>
      <c r="AF161" s="21" t="str">
        <f t="shared" si="55"/>
        <v>BR_VW_AFS_dv360_DIS_PROG_CPM_STD_LDR_AAF_RON_CXD_After-Sales-Oficina-Classicos-REG02-lal-lead-ofertas_PD_300x250</v>
      </c>
      <c r="AG161" s="21" t="str">
        <f t="shared" si="56"/>
        <v>VW_After-Sales-lal-lead-ofertas_300x250_After-Sales-Oficina-Classicos-REG02-adserver</v>
      </c>
      <c r="AH161" s="21" t="str">
        <f t="shared" si="57"/>
        <v>https://www.oficinadeclassicos.com.br/index.aspx?utm_source=dv360&amp;utm_medium=Programmatic&amp;utm_content=BR_VW_AFS_dv360_DIS_PROG_CPM_STD_LDR_AAF_RON_CXD_After-Sales-Oficina-Classicos-REG02-lal-lead-ofertas_PD_300x250&amp;utm_campaign=BR_AAF_DSY_NONMS_ND_AS_2019Q2APR_AFS_After-Sales&amp;utm_term=%epid!_%ecid!_%eaid!</v>
      </c>
      <c r="AI161" s="21" t="str">
        <f t="shared" si="58"/>
        <v>TAG</v>
      </c>
      <c r="AJ161" s="15" t="str">
        <f t="shared" si="52"/>
        <v>dv360</v>
      </c>
      <c r="AK161" s="15" t="str">
        <f t="shared" si="53"/>
        <v>Programmatic</v>
      </c>
      <c r="AL161" s="21" t="str">
        <f>Campanha!$B$3</f>
        <v>BR_AAF_DSY_NONMS_ND_AS_2019Q2APR_AFS_After-Sales</v>
      </c>
      <c r="AM161" s="21" t="str">
        <f t="shared" si="59"/>
        <v>BR_VW_AFS_dv360_DIS_PROG_CPM_STD_LDR_AAF_RON_CXD_After-Sales-Oficina-Classicos-REG02-lal-lead-ofertas_PD_300x250</v>
      </c>
      <c r="AN161" s="15" t="s">
        <v>809</v>
      </c>
    </row>
    <row r="162" spans="2:40" hidden="1" x14ac:dyDescent="0.25">
      <c r="B162" s="15" t="s">
        <v>872</v>
      </c>
      <c r="C162" s="15"/>
      <c r="D162" s="30" t="s">
        <v>873</v>
      </c>
      <c r="E162" s="22">
        <v>44155</v>
      </c>
      <c r="F162" s="22">
        <v>44196</v>
      </c>
      <c r="G162" s="15" t="s">
        <v>674</v>
      </c>
      <c r="H162" s="15" t="s">
        <v>811</v>
      </c>
      <c r="I162" s="15" t="s">
        <v>702</v>
      </c>
      <c r="J162" s="15" t="s">
        <v>325</v>
      </c>
      <c r="K162" s="15" t="s">
        <v>334</v>
      </c>
      <c r="L162" s="15" t="s">
        <v>358</v>
      </c>
      <c r="M162" s="15" t="s">
        <v>322</v>
      </c>
      <c r="N162" s="15" t="s">
        <v>708</v>
      </c>
      <c r="O162" s="15" t="s">
        <v>694</v>
      </c>
      <c r="P162" s="15" t="s">
        <v>1041</v>
      </c>
      <c r="Q162" s="15" t="s">
        <v>889</v>
      </c>
      <c r="R162" s="15" t="s">
        <v>835</v>
      </c>
      <c r="S162" s="15" t="s">
        <v>348</v>
      </c>
      <c r="T162" s="15" t="s">
        <v>614</v>
      </c>
      <c r="AC162" s="32" t="s">
        <v>885</v>
      </c>
      <c r="AD162" s="33" t="e">
        <f t="shared" si="51"/>
        <v>#N/A</v>
      </c>
      <c r="AE162" s="21" t="str">
        <f t="shared" si="54"/>
        <v>BR_VW_AFS_dv360_DIS_PROG_CPM_STD_LDR_AAF_RON_CXD_After-Sales-Oficina-Classicos-REG02-lal-lead-ofertas_PD_728x90</v>
      </c>
      <c r="AF162" s="21" t="str">
        <f t="shared" si="55"/>
        <v>BR_VW_AFS_dv360_DIS_PROG_CPM_STD_LDR_AAF_RON_CXD_After-Sales-Oficina-Classicos-REG02-lal-lead-ofertas_PD_728x90</v>
      </c>
      <c r="AG162" s="21" t="str">
        <f t="shared" si="56"/>
        <v>VW_After-Sales-lal-lead-ofertas_728x90_After-Sales-Oficina-Classicos-REG02-adserver</v>
      </c>
      <c r="AH162" s="21" t="str">
        <f t="shared" si="57"/>
        <v>https://www.oficinadeclassicos.com.br/index.aspx?utm_source=dv360&amp;utm_medium=Programmatic&amp;utm_content=BR_VW_AFS_dv360_DIS_PROG_CPM_STD_LDR_AAF_RON_CXD_After-Sales-Oficina-Classicos-REG02-lal-lead-ofertas_PD_728x90&amp;utm_campaign=BR_AAF_DSY_NONMS_ND_AS_2019Q2APR_AFS_After-Sales&amp;utm_term=%epid!_%ecid!_%eaid!</v>
      </c>
      <c r="AI162" s="21" t="str">
        <f t="shared" si="58"/>
        <v>TAG</v>
      </c>
      <c r="AJ162" s="15" t="str">
        <f t="shared" si="52"/>
        <v>dv360</v>
      </c>
      <c r="AK162" s="15" t="str">
        <f t="shared" si="53"/>
        <v>Programmatic</v>
      </c>
      <c r="AL162" s="21" t="str">
        <f>Campanha!$B$3</f>
        <v>BR_AAF_DSY_NONMS_ND_AS_2019Q2APR_AFS_After-Sales</v>
      </c>
      <c r="AM162" s="21" t="str">
        <f t="shared" si="59"/>
        <v>BR_VW_AFS_dv360_DIS_PROG_CPM_STD_LDR_AAF_RON_CXD_After-Sales-Oficina-Classicos-REG02-lal-lead-ofertas_PD_728x90</v>
      </c>
      <c r="AN162" s="15" t="s">
        <v>809</v>
      </c>
    </row>
    <row r="163" spans="2:40" hidden="1" x14ac:dyDescent="0.25">
      <c r="B163" s="15" t="s">
        <v>872</v>
      </c>
      <c r="C163" s="15"/>
      <c r="D163" s="30" t="s">
        <v>873</v>
      </c>
      <c r="E163" s="22">
        <v>44155</v>
      </c>
      <c r="F163" s="22">
        <v>44196</v>
      </c>
      <c r="G163" s="15" t="s">
        <v>674</v>
      </c>
      <c r="H163" s="15" t="s">
        <v>811</v>
      </c>
      <c r="I163" s="15" t="s">
        <v>702</v>
      </c>
      <c r="J163" s="15" t="s">
        <v>325</v>
      </c>
      <c r="K163" s="15" t="s">
        <v>334</v>
      </c>
      <c r="L163" s="15" t="s">
        <v>358</v>
      </c>
      <c r="M163" s="15" t="s">
        <v>322</v>
      </c>
      <c r="N163" s="15" t="s">
        <v>708</v>
      </c>
      <c r="O163" s="15" t="s">
        <v>694</v>
      </c>
      <c r="P163" s="15" t="s">
        <v>1041</v>
      </c>
      <c r="Q163" s="15" t="s">
        <v>889</v>
      </c>
      <c r="R163" s="15" t="s">
        <v>835</v>
      </c>
      <c r="S163" s="15" t="s">
        <v>348</v>
      </c>
      <c r="T163" s="15" t="s">
        <v>652</v>
      </c>
      <c r="AC163" s="32" t="s">
        <v>885</v>
      </c>
      <c r="AD163" s="33" t="e">
        <f t="shared" si="51"/>
        <v>#N/A</v>
      </c>
      <c r="AE163" s="21" t="str">
        <f t="shared" si="54"/>
        <v>BR_VW_AFS_dv360_DIS_PROG_CPM_STD_LDR_AAF_RON_CXD_After-Sales-Oficina-Classicos-REG02-lal-lead-ofertas_PD_970x250</v>
      </c>
      <c r="AF163" s="21" t="str">
        <f t="shared" si="55"/>
        <v>BR_VW_AFS_dv360_DIS_PROG_CPM_STD_LDR_AAF_RON_CXD_After-Sales-Oficina-Classicos-REG02-lal-lead-ofertas_PD_970x250</v>
      </c>
      <c r="AG163" s="21" t="str">
        <f t="shared" si="56"/>
        <v>VW_After-Sales-lal-lead-ofertas_970x250_After-Sales-Oficina-Classicos-REG02-adserver</v>
      </c>
      <c r="AH163" s="21" t="str">
        <f t="shared" si="57"/>
        <v>https://www.oficinadeclassicos.com.br/index.aspx?utm_source=dv360&amp;utm_medium=Programmatic&amp;utm_content=BR_VW_AFS_dv360_DIS_PROG_CPM_STD_LDR_AAF_RON_CXD_After-Sales-Oficina-Classicos-REG02-lal-lead-ofertas_PD_970x250&amp;utm_campaign=BR_AAF_DSY_NONMS_ND_AS_2019Q2APR_AFS_After-Sales&amp;utm_term=%epid!_%ecid!_%eaid!</v>
      </c>
      <c r="AI163" s="21" t="str">
        <f t="shared" si="58"/>
        <v>TAG</v>
      </c>
      <c r="AJ163" s="15" t="str">
        <f t="shared" si="52"/>
        <v>dv360</v>
      </c>
      <c r="AK163" s="15" t="str">
        <f t="shared" si="53"/>
        <v>Programmatic</v>
      </c>
      <c r="AL163" s="21" t="str">
        <f>Campanha!$B$3</f>
        <v>BR_AAF_DSY_NONMS_ND_AS_2019Q2APR_AFS_After-Sales</v>
      </c>
      <c r="AM163" s="21" t="str">
        <f t="shared" si="59"/>
        <v>BR_VW_AFS_dv360_DIS_PROG_CPM_STD_LDR_AAF_RON_CXD_After-Sales-Oficina-Classicos-REG02-lal-lead-ofertas_PD_970x250</v>
      </c>
      <c r="AN163" s="15" t="s">
        <v>809</v>
      </c>
    </row>
    <row r="164" spans="2:40" hidden="1" x14ac:dyDescent="0.25">
      <c r="B164" s="15" t="s">
        <v>872</v>
      </c>
      <c r="C164" s="15"/>
      <c r="D164" s="30" t="s">
        <v>873</v>
      </c>
      <c r="E164" s="22">
        <v>44155</v>
      </c>
      <c r="F164" s="22">
        <v>44196</v>
      </c>
      <c r="G164" s="15" t="s">
        <v>674</v>
      </c>
      <c r="H164" s="15" t="s">
        <v>811</v>
      </c>
      <c r="I164" s="15" t="s">
        <v>702</v>
      </c>
      <c r="J164" s="15" t="s">
        <v>325</v>
      </c>
      <c r="K164" s="15" t="s">
        <v>334</v>
      </c>
      <c r="L164" s="15" t="s">
        <v>358</v>
      </c>
      <c r="M164" s="15" t="s">
        <v>322</v>
      </c>
      <c r="N164" s="15" t="s">
        <v>708</v>
      </c>
      <c r="O164" s="15" t="s">
        <v>694</v>
      </c>
      <c r="P164" s="15" t="s">
        <v>1041</v>
      </c>
      <c r="Q164" s="15" t="s">
        <v>876</v>
      </c>
      <c r="R164" s="15" t="s">
        <v>835</v>
      </c>
      <c r="S164" s="15" t="s">
        <v>348</v>
      </c>
      <c r="T164" s="15" t="s">
        <v>457</v>
      </c>
      <c r="AC164" s="32" t="s">
        <v>885</v>
      </c>
      <c r="AD164" s="33" t="e">
        <f t="shared" si="51"/>
        <v>#N/A</v>
      </c>
      <c r="AE164" s="21" t="str">
        <f t="shared" si="54"/>
        <v>BR_VW_AFS_dv360_DIS_PROG_CPM_STD_LDR_AAF_RON_CXD_After-Sales-Oficina-Classicos-REG02-lal-add-to-cart-ofertas_PD_160x600</v>
      </c>
      <c r="AF164" s="21" t="str">
        <f t="shared" si="55"/>
        <v>BR_VW_AFS_dv360_DIS_PROG_CPM_STD_LDR_AAF_RON_CXD_After-Sales-Oficina-Classicos-REG02-lal-add-to-cart-ofertas_PD_160x600</v>
      </c>
      <c r="AG164" s="21" t="str">
        <f t="shared" si="56"/>
        <v>VW_After-Sales-lal-add-to-cart-ofertas_160x600_After-Sales-Oficina-Classicos-REG02-adserver</v>
      </c>
      <c r="AH164" s="21" t="str">
        <f t="shared" si="57"/>
        <v>https://www.oficinadeclassicos.com.br/index.aspx?utm_source=dv360&amp;utm_medium=Programmatic&amp;utm_content=BR_VW_AFS_dv360_DIS_PROG_CPM_STD_LDR_AAF_RON_CXD_After-Sales-Oficina-Classicos-REG02-lal-add-to-cart-ofertas_PD_160x600&amp;utm_campaign=BR_AAF_DSY_NONMS_ND_AS_2019Q2APR_AFS_After-Sales&amp;utm_term=%epid!_%ecid!_%eaid!</v>
      </c>
      <c r="AI164" s="21" t="str">
        <f t="shared" si="58"/>
        <v>TAG</v>
      </c>
      <c r="AJ164" s="15" t="str">
        <f t="shared" si="52"/>
        <v>dv360</v>
      </c>
      <c r="AK164" s="15" t="str">
        <f t="shared" si="53"/>
        <v>Programmatic</v>
      </c>
      <c r="AL164" s="21" t="str">
        <f>Campanha!$B$3</f>
        <v>BR_AAF_DSY_NONMS_ND_AS_2019Q2APR_AFS_After-Sales</v>
      </c>
      <c r="AM164" s="21" t="str">
        <f t="shared" si="59"/>
        <v>BR_VW_AFS_dv360_DIS_PROG_CPM_STD_LDR_AAF_RON_CXD_After-Sales-Oficina-Classicos-REG02-lal-add-to-cart-ofertas_PD_160x600</v>
      </c>
      <c r="AN164" s="15" t="s">
        <v>809</v>
      </c>
    </row>
    <row r="165" spans="2:40" hidden="1" x14ac:dyDescent="0.25">
      <c r="B165" s="15" t="s">
        <v>872</v>
      </c>
      <c r="C165" s="15"/>
      <c r="D165" s="30" t="s">
        <v>873</v>
      </c>
      <c r="E165" s="22">
        <v>44155</v>
      </c>
      <c r="F165" s="22">
        <v>44196</v>
      </c>
      <c r="G165" s="15" t="s">
        <v>674</v>
      </c>
      <c r="H165" s="15" t="s">
        <v>811</v>
      </c>
      <c r="I165" s="15" t="s">
        <v>702</v>
      </c>
      <c r="J165" s="15" t="s">
        <v>325</v>
      </c>
      <c r="K165" s="15" t="s">
        <v>334</v>
      </c>
      <c r="L165" s="15" t="s">
        <v>358</v>
      </c>
      <c r="M165" s="15" t="s">
        <v>322</v>
      </c>
      <c r="N165" s="15" t="s">
        <v>708</v>
      </c>
      <c r="O165" s="15" t="s">
        <v>694</v>
      </c>
      <c r="P165" s="15" t="s">
        <v>1041</v>
      </c>
      <c r="Q165" s="15" t="s">
        <v>876</v>
      </c>
      <c r="R165" s="15" t="s">
        <v>835</v>
      </c>
      <c r="S165" s="15" t="s">
        <v>348</v>
      </c>
      <c r="T165" s="15" t="s">
        <v>484</v>
      </c>
      <c r="AC165" s="32" t="s">
        <v>885</v>
      </c>
      <c r="AD165" s="33" t="e">
        <f t="shared" si="51"/>
        <v>#N/A</v>
      </c>
      <c r="AE165" s="21" t="str">
        <f t="shared" si="54"/>
        <v>BR_VW_AFS_dv360_DIS_PROG_CPM_STD_LDR_AAF_RON_CXD_After-Sales-Oficina-Classicos-REG02-lal-add-to-cart-ofertas_PD_300x50</v>
      </c>
      <c r="AF165" s="21" t="str">
        <f t="shared" si="55"/>
        <v>BR_VW_AFS_dv360_DIS_PROG_CPM_STD_LDR_AAF_RON_CXD_After-Sales-Oficina-Classicos-REG02-lal-add-to-cart-ofertas_PD_300x50</v>
      </c>
      <c r="AG165" s="21" t="str">
        <f t="shared" si="56"/>
        <v>VW_After-Sales-lal-add-to-cart-ofertas_300x50_After-Sales-Oficina-Classicos-REG02-adserver</v>
      </c>
      <c r="AH165" s="21" t="str">
        <f t="shared" si="57"/>
        <v>https://www.oficinadeclassicos.com.br/index.aspx?utm_source=dv360&amp;utm_medium=Programmatic&amp;utm_content=BR_VW_AFS_dv360_DIS_PROG_CPM_STD_LDR_AAF_RON_CXD_After-Sales-Oficina-Classicos-REG02-lal-add-to-cart-ofertas_PD_300x50&amp;utm_campaign=BR_AAF_DSY_NONMS_ND_AS_2019Q2APR_AFS_After-Sales&amp;utm_term=%epid!_%ecid!_%eaid!</v>
      </c>
      <c r="AI165" s="21" t="str">
        <f t="shared" si="58"/>
        <v>TAG</v>
      </c>
      <c r="AJ165" s="15" t="str">
        <f t="shared" si="52"/>
        <v>dv360</v>
      </c>
      <c r="AK165" s="15" t="str">
        <f t="shared" si="53"/>
        <v>Programmatic</v>
      </c>
      <c r="AL165" s="21" t="str">
        <f>Campanha!$B$3</f>
        <v>BR_AAF_DSY_NONMS_ND_AS_2019Q2APR_AFS_After-Sales</v>
      </c>
      <c r="AM165" s="21" t="str">
        <f t="shared" si="59"/>
        <v>BR_VW_AFS_dv360_DIS_PROG_CPM_STD_LDR_AAF_RON_CXD_After-Sales-Oficina-Classicos-REG02-lal-add-to-cart-ofertas_PD_300x50</v>
      </c>
      <c r="AN165" s="15" t="s">
        <v>809</v>
      </c>
    </row>
    <row r="166" spans="2:40" hidden="1" x14ac:dyDescent="0.25">
      <c r="B166" s="15" t="s">
        <v>872</v>
      </c>
      <c r="C166" s="15"/>
      <c r="D166" s="30" t="s">
        <v>873</v>
      </c>
      <c r="E166" s="22">
        <v>44155</v>
      </c>
      <c r="F166" s="22">
        <v>44196</v>
      </c>
      <c r="G166" s="15" t="s">
        <v>674</v>
      </c>
      <c r="H166" s="15" t="s">
        <v>811</v>
      </c>
      <c r="I166" s="15" t="s">
        <v>702</v>
      </c>
      <c r="J166" s="15" t="s">
        <v>325</v>
      </c>
      <c r="K166" s="15" t="s">
        <v>334</v>
      </c>
      <c r="L166" s="15" t="s">
        <v>358</v>
      </c>
      <c r="M166" s="15" t="s">
        <v>322</v>
      </c>
      <c r="N166" s="15" t="s">
        <v>708</v>
      </c>
      <c r="O166" s="15" t="s">
        <v>694</v>
      </c>
      <c r="P166" s="15" t="s">
        <v>1041</v>
      </c>
      <c r="Q166" s="15" t="s">
        <v>876</v>
      </c>
      <c r="R166" s="15" t="s">
        <v>835</v>
      </c>
      <c r="S166" s="15" t="s">
        <v>348</v>
      </c>
      <c r="T166" s="15" t="s">
        <v>478</v>
      </c>
      <c r="AC166" s="32" t="s">
        <v>885</v>
      </c>
      <c r="AD166" s="33" t="e">
        <f t="shared" si="51"/>
        <v>#N/A</v>
      </c>
      <c r="AE166" s="21" t="str">
        <f t="shared" si="54"/>
        <v>BR_VW_AFS_dv360_DIS_PROG_CPM_STD_LDR_AAF_RON_CXD_After-Sales-Oficina-Classicos-REG02-lal-add-to-cart-ofertas_PD_300x250</v>
      </c>
      <c r="AF166" s="21" t="str">
        <f t="shared" si="55"/>
        <v>BR_VW_AFS_dv360_DIS_PROG_CPM_STD_LDR_AAF_RON_CXD_After-Sales-Oficina-Classicos-REG02-lal-add-to-cart-ofertas_PD_300x250</v>
      </c>
      <c r="AG166" s="21" t="str">
        <f t="shared" si="56"/>
        <v>VW_After-Sales-lal-add-to-cart-ofertas_300x250_After-Sales-Oficina-Classicos-REG02-adserver</v>
      </c>
      <c r="AH166" s="21" t="str">
        <f t="shared" si="57"/>
        <v>https://www.oficinadeclassicos.com.br/index.aspx?utm_source=dv360&amp;utm_medium=Programmatic&amp;utm_content=BR_VW_AFS_dv360_DIS_PROG_CPM_STD_LDR_AAF_RON_CXD_After-Sales-Oficina-Classicos-REG02-lal-add-to-cart-ofertas_PD_300x250&amp;utm_campaign=BR_AAF_DSY_NONMS_ND_AS_2019Q2APR_AFS_After-Sales&amp;utm_term=%epid!_%ecid!_%eaid!</v>
      </c>
      <c r="AI166" s="21" t="str">
        <f t="shared" si="58"/>
        <v>TAG</v>
      </c>
      <c r="AJ166" s="15" t="str">
        <f t="shared" si="52"/>
        <v>dv360</v>
      </c>
      <c r="AK166" s="15" t="str">
        <f t="shared" si="53"/>
        <v>Programmatic</v>
      </c>
      <c r="AL166" s="21" t="str">
        <f>Campanha!$B$3</f>
        <v>BR_AAF_DSY_NONMS_ND_AS_2019Q2APR_AFS_After-Sales</v>
      </c>
      <c r="AM166" s="21" t="str">
        <f t="shared" si="59"/>
        <v>BR_VW_AFS_dv360_DIS_PROG_CPM_STD_LDR_AAF_RON_CXD_After-Sales-Oficina-Classicos-REG02-lal-add-to-cart-ofertas_PD_300x250</v>
      </c>
      <c r="AN166" s="15" t="s">
        <v>809</v>
      </c>
    </row>
    <row r="167" spans="2:40" hidden="1" x14ac:dyDescent="0.25">
      <c r="B167" s="15" t="s">
        <v>872</v>
      </c>
      <c r="C167" s="15"/>
      <c r="D167" s="30" t="s">
        <v>873</v>
      </c>
      <c r="E167" s="22">
        <v>44155</v>
      </c>
      <c r="F167" s="22">
        <v>44196</v>
      </c>
      <c r="G167" s="15" t="s">
        <v>674</v>
      </c>
      <c r="H167" s="15" t="s">
        <v>811</v>
      </c>
      <c r="I167" s="15" t="s">
        <v>702</v>
      </c>
      <c r="J167" s="15" t="s">
        <v>325</v>
      </c>
      <c r="K167" s="15" t="s">
        <v>334</v>
      </c>
      <c r="L167" s="15" t="s">
        <v>358</v>
      </c>
      <c r="M167" s="15" t="s">
        <v>322</v>
      </c>
      <c r="N167" s="15" t="s">
        <v>708</v>
      </c>
      <c r="O167" s="15" t="s">
        <v>694</v>
      </c>
      <c r="P167" s="15" t="s">
        <v>1041</v>
      </c>
      <c r="Q167" s="15" t="s">
        <v>876</v>
      </c>
      <c r="R167" s="15" t="s">
        <v>835</v>
      </c>
      <c r="S167" s="15" t="s">
        <v>348</v>
      </c>
      <c r="T167" s="15" t="s">
        <v>614</v>
      </c>
      <c r="AC167" s="32" t="s">
        <v>885</v>
      </c>
      <c r="AD167" s="33" t="e">
        <f t="shared" si="51"/>
        <v>#N/A</v>
      </c>
      <c r="AE167" s="21" t="str">
        <f t="shared" si="54"/>
        <v>BR_VW_AFS_dv360_DIS_PROG_CPM_STD_LDR_AAF_RON_CXD_After-Sales-Oficina-Classicos-REG02-lal-add-to-cart-ofertas_PD_728x90</v>
      </c>
      <c r="AF167" s="21" t="str">
        <f t="shared" si="55"/>
        <v>BR_VW_AFS_dv360_DIS_PROG_CPM_STD_LDR_AAF_RON_CXD_After-Sales-Oficina-Classicos-REG02-lal-add-to-cart-ofertas_PD_728x90</v>
      </c>
      <c r="AG167" s="21" t="str">
        <f t="shared" si="56"/>
        <v>VW_After-Sales-lal-add-to-cart-ofertas_728x90_After-Sales-Oficina-Classicos-REG02-adserver</v>
      </c>
      <c r="AH167" s="21" t="str">
        <f t="shared" si="57"/>
        <v>https://www.oficinadeclassicos.com.br/index.aspx?utm_source=dv360&amp;utm_medium=Programmatic&amp;utm_content=BR_VW_AFS_dv360_DIS_PROG_CPM_STD_LDR_AAF_RON_CXD_After-Sales-Oficina-Classicos-REG02-lal-add-to-cart-ofertas_PD_728x90&amp;utm_campaign=BR_AAF_DSY_NONMS_ND_AS_2019Q2APR_AFS_After-Sales&amp;utm_term=%epid!_%ecid!_%eaid!</v>
      </c>
      <c r="AI167" s="21" t="str">
        <f t="shared" si="58"/>
        <v>TAG</v>
      </c>
      <c r="AJ167" s="15" t="str">
        <f t="shared" si="52"/>
        <v>dv360</v>
      </c>
      <c r="AK167" s="15" t="str">
        <f t="shared" si="53"/>
        <v>Programmatic</v>
      </c>
      <c r="AL167" s="21" t="str">
        <f>Campanha!$B$3</f>
        <v>BR_AAF_DSY_NONMS_ND_AS_2019Q2APR_AFS_After-Sales</v>
      </c>
      <c r="AM167" s="21" t="str">
        <f t="shared" si="59"/>
        <v>BR_VW_AFS_dv360_DIS_PROG_CPM_STD_LDR_AAF_RON_CXD_After-Sales-Oficina-Classicos-REG02-lal-add-to-cart-ofertas_PD_728x90</v>
      </c>
      <c r="AN167" s="15" t="s">
        <v>809</v>
      </c>
    </row>
    <row r="168" spans="2:40" hidden="1" x14ac:dyDescent="0.25">
      <c r="B168" s="15" t="s">
        <v>872</v>
      </c>
      <c r="C168" s="15"/>
      <c r="D168" s="30" t="s">
        <v>873</v>
      </c>
      <c r="E168" s="22">
        <v>44155</v>
      </c>
      <c r="F168" s="22">
        <v>44196</v>
      </c>
      <c r="G168" s="15" t="s">
        <v>674</v>
      </c>
      <c r="H168" s="15" t="s">
        <v>811</v>
      </c>
      <c r="I168" s="15" t="s">
        <v>702</v>
      </c>
      <c r="J168" s="15" t="s">
        <v>325</v>
      </c>
      <c r="K168" s="15" t="s">
        <v>334</v>
      </c>
      <c r="L168" s="15" t="s">
        <v>358</v>
      </c>
      <c r="M168" s="15" t="s">
        <v>322</v>
      </c>
      <c r="N168" s="15" t="s">
        <v>708</v>
      </c>
      <c r="O168" s="15" t="s">
        <v>694</v>
      </c>
      <c r="P168" s="15" t="s">
        <v>1041</v>
      </c>
      <c r="Q168" s="15" t="s">
        <v>876</v>
      </c>
      <c r="R168" s="15" t="s">
        <v>835</v>
      </c>
      <c r="S168" s="15" t="s">
        <v>348</v>
      </c>
      <c r="T168" s="15" t="s">
        <v>652</v>
      </c>
      <c r="AC168" s="32" t="s">
        <v>885</v>
      </c>
      <c r="AD168" s="33" t="e">
        <f t="shared" si="51"/>
        <v>#N/A</v>
      </c>
      <c r="AE168" s="21" t="str">
        <f t="shared" si="54"/>
        <v>BR_VW_AFS_dv360_DIS_PROG_CPM_STD_LDR_AAF_RON_CXD_After-Sales-Oficina-Classicos-REG02-lal-add-to-cart-ofertas_PD_970x250</v>
      </c>
      <c r="AF168" s="21" t="str">
        <f t="shared" si="55"/>
        <v>BR_VW_AFS_dv360_DIS_PROG_CPM_STD_LDR_AAF_RON_CXD_After-Sales-Oficina-Classicos-REG02-lal-add-to-cart-ofertas_PD_970x250</v>
      </c>
      <c r="AG168" s="21" t="str">
        <f t="shared" si="56"/>
        <v>VW_After-Sales-lal-add-to-cart-ofertas_970x250_After-Sales-Oficina-Classicos-REG02-adserver</v>
      </c>
      <c r="AH168" s="21" t="str">
        <f t="shared" si="57"/>
        <v>https://www.oficinadeclassicos.com.br/index.aspx?utm_source=dv360&amp;utm_medium=Programmatic&amp;utm_content=BR_VW_AFS_dv360_DIS_PROG_CPM_STD_LDR_AAF_RON_CXD_After-Sales-Oficina-Classicos-REG02-lal-add-to-cart-ofertas_PD_970x250&amp;utm_campaign=BR_AAF_DSY_NONMS_ND_AS_2019Q2APR_AFS_After-Sales&amp;utm_term=%epid!_%ecid!_%eaid!</v>
      </c>
      <c r="AI168" s="21" t="str">
        <f t="shared" si="58"/>
        <v>TAG</v>
      </c>
      <c r="AJ168" s="15" t="str">
        <f t="shared" si="52"/>
        <v>dv360</v>
      </c>
      <c r="AK168" s="15" t="str">
        <f t="shared" si="53"/>
        <v>Programmatic</v>
      </c>
      <c r="AL168" s="21" t="str">
        <f>Campanha!$B$3</f>
        <v>BR_AAF_DSY_NONMS_ND_AS_2019Q2APR_AFS_After-Sales</v>
      </c>
      <c r="AM168" s="21" t="str">
        <f t="shared" si="59"/>
        <v>BR_VW_AFS_dv360_DIS_PROG_CPM_STD_LDR_AAF_RON_CXD_After-Sales-Oficina-Classicos-REG02-lal-add-to-cart-ofertas_PD_970x250</v>
      </c>
      <c r="AN168" s="15" t="s">
        <v>809</v>
      </c>
    </row>
    <row r="169" spans="2:40" hidden="1" x14ac:dyDescent="0.25">
      <c r="B169" s="15" t="s">
        <v>872</v>
      </c>
      <c r="C169" s="15"/>
      <c r="D169" s="30" t="s">
        <v>873</v>
      </c>
      <c r="E169" s="22">
        <v>44155</v>
      </c>
      <c r="F169" s="22">
        <v>44196</v>
      </c>
      <c r="G169" s="15" t="s">
        <v>674</v>
      </c>
      <c r="H169" s="15" t="s">
        <v>811</v>
      </c>
      <c r="I169" s="15" t="s">
        <v>702</v>
      </c>
      <c r="J169" s="15" t="s">
        <v>325</v>
      </c>
      <c r="K169" s="15" t="s">
        <v>334</v>
      </c>
      <c r="L169" s="15" t="s">
        <v>358</v>
      </c>
      <c r="M169" s="15" t="s">
        <v>322</v>
      </c>
      <c r="N169" s="15" t="s">
        <v>708</v>
      </c>
      <c r="O169" s="15" t="s">
        <v>694</v>
      </c>
      <c r="P169" s="15" t="s">
        <v>1041</v>
      </c>
      <c r="Q169" s="15" t="s">
        <v>890</v>
      </c>
      <c r="R169" s="15" t="s">
        <v>835</v>
      </c>
      <c r="S169" s="15" t="s">
        <v>348</v>
      </c>
      <c r="T169" s="15" t="s">
        <v>457</v>
      </c>
      <c r="AC169" s="32" t="s">
        <v>885</v>
      </c>
      <c r="AD169" s="33" t="e">
        <f t="shared" si="51"/>
        <v>#N/A</v>
      </c>
      <c r="AE169" s="21" t="str">
        <f t="shared" si="54"/>
        <v>BR_VW_AFS_dv360_DIS_PROG_CPM_STD_LDR_AAF_RON_CXD_After-Sales-Oficina-Classicos-REG02-lal-home-ofertas_PD_160x600</v>
      </c>
      <c r="AF169" s="21" t="str">
        <f t="shared" si="55"/>
        <v>BR_VW_AFS_dv360_DIS_PROG_CPM_STD_LDR_AAF_RON_CXD_After-Sales-Oficina-Classicos-REG02-lal-home-ofertas_PD_160x600</v>
      </c>
      <c r="AG169" s="21" t="str">
        <f t="shared" si="56"/>
        <v>VW_After-Sales-lal-home-ofertas_160x600_After-Sales-Oficina-Classicos-REG02-adserver</v>
      </c>
      <c r="AH169" s="21" t="str">
        <f t="shared" si="57"/>
        <v>https://www.oficinadeclassicos.com.br/index.aspx?utm_source=dv360&amp;utm_medium=Programmatic&amp;utm_content=BR_VW_AFS_dv360_DIS_PROG_CPM_STD_LDR_AAF_RON_CXD_After-Sales-Oficina-Classicos-REG02-lal-home-ofertas_PD_160x600&amp;utm_campaign=BR_AAF_DSY_NONMS_ND_AS_2019Q2APR_AFS_After-Sales&amp;utm_term=%epid!_%ecid!_%eaid!</v>
      </c>
      <c r="AI169" s="21" t="str">
        <f t="shared" si="58"/>
        <v>TAG</v>
      </c>
      <c r="AJ169" s="15" t="str">
        <f t="shared" si="52"/>
        <v>dv360</v>
      </c>
      <c r="AK169" s="15" t="str">
        <f t="shared" si="53"/>
        <v>Programmatic</v>
      </c>
      <c r="AL169" s="21" t="str">
        <f>Campanha!$B$3</f>
        <v>BR_AAF_DSY_NONMS_ND_AS_2019Q2APR_AFS_After-Sales</v>
      </c>
      <c r="AM169" s="21" t="str">
        <f t="shared" si="59"/>
        <v>BR_VW_AFS_dv360_DIS_PROG_CPM_STD_LDR_AAF_RON_CXD_After-Sales-Oficina-Classicos-REG02-lal-home-ofertas_PD_160x600</v>
      </c>
      <c r="AN169" s="15" t="s">
        <v>809</v>
      </c>
    </row>
    <row r="170" spans="2:40" hidden="1" x14ac:dyDescent="0.25">
      <c r="B170" s="15" t="s">
        <v>872</v>
      </c>
      <c r="C170" s="15"/>
      <c r="D170" s="30" t="s">
        <v>873</v>
      </c>
      <c r="E170" s="22">
        <v>44155</v>
      </c>
      <c r="F170" s="22">
        <v>44196</v>
      </c>
      <c r="G170" s="15" t="s">
        <v>674</v>
      </c>
      <c r="H170" s="15" t="s">
        <v>811</v>
      </c>
      <c r="I170" s="15" t="s">
        <v>702</v>
      </c>
      <c r="J170" s="15" t="s">
        <v>325</v>
      </c>
      <c r="K170" s="15" t="s">
        <v>334</v>
      </c>
      <c r="L170" s="15" t="s">
        <v>358</v>
      </c>
      <c r="M170" s="15" t="s">
        <v>322</v>
      </c>
      <c r="N170" s="15" t="s">
        <v>708</v>
      </c>
      <c r="O170" s="15" t="s">
        <v>694</v>
      </c>
      <c r="P170" s="15" t="s">
        <v>1041</v>
      </c>
      <c r="Q170" s="15" t="s">
        <v>890</v>
      </c>
      <c r="R170" s="15" t="s">
        <v>835</v>
      </c>
      <c r="S170" s="15" t="s">
        <v>348</v>
      </c>
      <c r="T170" s="15" t="s">
        <v>484</v>
      </c>
      <c r="AC170" s="32" t="s">
        <v>885</v>
      </c>
      <c r="AD170" s="33" t="e">
        <f t="shared" si="51"/>
        <v>#N/A</v>
      </c>
      <c r="AE170" s="21" t="str">
        <f t="shared" si="54"/>
        <v>BR_VW_AFS_dv360_DIS_PROG_CPM_STD_LDR_AAF_RON_CXD_After-Sales-Oficina-Classicos-REG02-lal-home-ofertas_PD_300x50</v>
      </c>
      <c r="AF170" s="21" t="str">
        <f t="shared" si="55"/>
        <v>BR_VW_AFS_dv360_DIS_PROG_CPM_STD_LDR_AAF_RON_CXD_After-Sales-Oficina-Classicos-REG02-lal-home-ofertas_PD_300x50</v>
      </c>
      <c r="AG170" s="21" t="str">
        <f t="shared" si="56"/>
        <v>VW_After-Sales-lal-home-ofertas_300x50_After-Sales-Oficina-Classicos-REG02-adserver</v>
      </c>
      <c r="AH170" s="21" t="str">
        <f t="shared" si="57"/>
        <v>https://www.oficinadeclassicos.com.br/index.aspx?utm_source=dv360&amp;utm_medium=Programmatic&amp;utm_content=BR_VW_AFS_dv360_DIS_PROG_CPM_STD_LDR_AAF_RON_CXD_After-Sales-Oficina-Classicos-REG02-lal-home-ofertas_PD_300x50&amp;utm_campaign=BR_AAF_DSY_NONMS_ND_AS_2019Q2APR_AFS_After-Sales&amp;utm_term=%epid!_%ecid!_%eaid!</v>
      </c>
      <c r="AI170" s="21" t="str">
        <f t="shared" si="58"/>
        <v>TAG</v>
      </c>
      <c r="AJ170" s="15" t="str">
        <f t="shared" si="52"/>
        <v>dv360</v>
      </c>
      <c r="AK170" s="15" t="str">
        <f t="shared" si="53"/>
        <v>Programmatic</v>
      </c>
      <c r="AL170" s="21" t="str">
        <f>Campanha!$B$3</f>
        <v>BR_AAF_DSY_NONMS_ND_AS_2019Q2APR_AFS_After-Sales</v>
      </c>
      <c r="AM170" s="21" t="str">
        <f t="shared" si="59"/>
        <v>BR_VW_AFS_dv360_DIS_PROG_CPM_STD_LDR_AAF_RON_CXD_After-Sales-Oficina-Classicos-REG02-lal-home-ofertas_PD_300x50</v>
      </c>
      <c r="AN170" s="15" t="s">
        <v>809</v>
      </c>
    </row>
    <row r="171" spans="2:40" hidden="1" x14ac:dyDescent="0.25">
      <c r="B171" s="15" t="s">
        <v>872</v>
      </c>
      <c r="C171" s="15"/>
      <c r="D171" s="30" t="s">
        <v>873</v>
      </c>
      <c r="E171" s="22">
        <v>44155</v>
      </c>
      <c r="F171" s="22">
        <v>44196</v>
      </c>
      <c r="G171" s="15" t="s">
        <v>674</v>
      </c>
      <c r="H171" s="15" t="s">
        <v>811</v>
      </c>
      <c r="I171" s="15" t="s">
        <v>702</v>
      </c>
      <c r="J171" s="15" t="s">
        <v>325</v>
      </c>
      <c r="K171" s="15" t="s">
        <v>334</v>
      </c>
      <c r="L171" s="15" t="s">
        <v>358</v>
      </c>
      <c r="M171" s="15" t="s">
        <v>322</v>
      </c>
      <c r="N171" s="15" t="s">
        <v>708</v>
      </c>
      <c r="O171" s="15" t="s">
        <v>694</v>
      </c>
      <c r="P171" s="15" t="s">
        <v>1041</v>
      </c>
      <c r="Q171" s="15" t="s">
        <v>890</v>
      </c>
      <c r="R171" s="15" t="s">
        <v>835</v>
      </c>
      <c r="S171" s="15" t="s">
        <v>348</v>
      </c>
      <c r="T171" s="15" t="s">
        <v>478</v>
      </c>
      <c r="AC171" s="32" t="s">
        <v>885</v>
      </c>
      <c r="AD171" s="33" t="e">
        <f t="shared" si="51"/>
        <v>#N/A</v>
      </c>
      <c r="AE171" s="21" t="str">
        <f t="shared" si="54"/>
        <v>BR_VW_AFS_dv360_DIS_PROG_CPM_STD_LDR_AAF_RON_CXD_After-Sales-Oficina-Classicos-REG02-lal-home-ofertas_PD_300x250</v>
      </c>
      <c r="AF171" s="21" t="str">
        <f t="shared" si="55"/>
        <v>BR_VW_AFS_dv360_DIS_PROG_CPM_STD_LDR_AAF_RON_CXD_After-Sales-Oficina-Classicos-REG02-lal-home-ofertas_PD_300x250</v>
      </c>
      <c r="AG171" s="21" t="str">
        <f t="shared" si="56"/>
        <v>VW_After-Sales-lal-home-ofertas_300x250_After-Sales-Oficina-Classicos-REG02-adserver</v>
      </c>
      <c r="AH171" s="21" t="str">
        <f t="shared" si="57"/>
        <v>https://www.oficinadeclassicos.com.br/index.aspx?utm_source=dv360&amp;utm_medium=Programmatic&amp;utm_content=BR_VW_AFS_dv360_DIS_PROG_CPM_STD_LDR_AAF_RON_CXD_After-Sales-Oficina-Classicos-REG02-lal-home-ofertas_PD_300x250&amp;utm_campaign=BR_AAF_DSY_NONMS_ND_AS_2019Q2APR_AFS_After-Sales&amp;utm_term=%epid!_%ecid!_%eaid!</v>
      </c>
      <c r="AI171" s="21" t="str">
        <f t="shared" si="58"/>
        <v>TAG</v>
      </c>
      <c r="AJ171" s="15" t="str">
        <f t="shared" si="52"/>
        <v>dv360</v>
      </c>
      <c r="AK171" s="15" t="str">
        <f t="shared" si="53"/>
        <v>Programmatic</v>
      </c>
      <c r="AL171" s="21" t="str">
        <f>Campanha!$B$3</f>
        <v>BR_AAF_DSY_NONMS_ND_AS_2019Q2APR_AFS_After-Sales</v>
      </c>
      <c r="AM171" s="21" t="str">
        <f t="shared" si="59"/>
        <v>BR_VW_AFS_dv360_DIS_PROG_CPM_STD_LDR_AAF_RON_CXD_After-Sales-Oficina-Classicos-REG02-lal-home-ofertas_PD_300x250</v>
      </c>
      <c r="AN171" s="15" t="s">
        <v>809</v>
      </c>
    </row>
    <row r="172" spans="2:40" hidden="1" x14ac:dyDescent="0.25">
      <c r="B172" s="15" t="s">
        <v>872</v>
      </c>
      <c r="C172" s="15"/>
      <c r="D172" s="30" t="s">
        <v>873</v>
      </c>
      <c r="E172" s="22">
        <v>44155</v>
      </c>
      <c r="F172" s="22">
        <v>44196</v>
      </c>
      <c r="G172" s="15" t="s">
        <v>674</v>
      </c>
      <c r="H172" s="15" t="s">
        <v>811</v>
      </c>
      <c r="I172" s="15" t="s">
        <v>702</v>
      </c>
      <c r="J172" s="15" t="s">
        <v>325</v>
      </c>
      <c r="K172" s="15" t="s">
        <v>334</v>
      </c>
      <c r="L172" s="15" t="s">
        <v>358</v>
      </c>
      <c r="M172" s="15" t="s">
        <v>322</v>
      </c>
      <c r="N172" s="15" t="s">
        <v>708</v>
      </c>
      <c r="O172" s="15" t="s">
        <v>694</v>
      </c>
      <c r="P172" s="15" t="s">
        <v>1041</v>
      </c>
      <c r="Q172" s="15" t="s">
        <v>890</v>
      </c>
      <c r="R172" s="15" t="s">
        <v>835</v>
      </c>
      <c r="S172" s="15" t="s">
        <v>348</v>
      </c>
      <c r="T172" s="15" t="s">
        <v>614</v>
      </c>
      <c r="AC172" s="32" t="s">
        <v>885</v>
      </c>
      <c r="AD172" s="33" t="e">
        <f t="shared" si="51"/>
        <v>#N/A</v>
      </c>
      <c r="AE172" s="21" t="str">
        <f t="shared" si="54"/>
        <v>BR_VW_AFS_dv360_DIS_PROG_CPM_STD_LDR_AAF_RON_CXD_After-Sales-Oficina-Classicos-REG02-lal-home-ofertas_PD_728x90</v>
      </c>
      <c r="AF172" s="21" t="str">
        <f t="shared" si="55"/>
        <v>BR_VW_AFS_dv360_DIS_PROG_CPM_STD_LDR_AAF_RON_CXD_After-Sales-Oficina-Classicos-REG02-lal-home-ofertas_PD_728x90</v>
      </c>
      <c r="AG172" s="21" t="str">
        <f t="shared" si="56"/>
        <v>VW_After-Sales-lal-home-ofertas_728x90_After-Sales-Oficina-Classicos-REG02-adserver</v>
      </c>
      <c r="AH172" s="21" t="str">
        <f t="shared" si="57"/>
        <v>https://www.oficinadeclassicos.com.br/index.aspx?utm_source=dv360&amp;utm_medium=Programmatic&amp;utm_content=BR_VW_AFS_dv360_DIS_PROG_CPM_STD_LDR_AAF_RON_CXD_After-Sales-Oficina-Classicos-REG02-lal-home-ofertas_PD_728x90&amp;utm_campaign=BR_AAF_DSY_NONMS_ND_AS_2019Q2APR_AFS_After-Sales&amp;utm_term=%epid!_%ecid!_%eaid!</v>
      </c>
      <c r="AI172" s="21" t="str">
        <f t="shared" si="58"/>
        <v>TAG</v>
      </c>
      <c r="AJ172" s="15" t="str">
        <f t="shared" si="52"/>
        <v>dv360</v>
      </c>
      <c r="AK172" s="15" t="str">
        <f t="shared" si="53"/>
        <v>Programmatic</v>
      </c>
      <c r="AL172" s="21" t="str">
        <f>Campanha!$B$3</f>
        <v>BR_AAF_DSY_NONMS_ND_AS_2019Q2APR_AFS_After-Sales</v>
      </c>
      <c r="AM172" s="21" t="str">
        <f t="shared" si="59"/>
        <v>BR_VW_AFS_dv360_DIS_PROG_CPM_STD_LDR_AAF_RON_CXD_After-Sales-Oficina-Classicos-REG02-lal-home-ofertas_PD_728x90</v>
      </c>
      <c r="AN172" s="15" t="s">
        <v>809</v>
      </c>
    </row>
    <row r="173" spans="2:40" hidden="1" x14ac:dyDescent="0.25">
      <c r="B173" s="15" t="s">
        <v>872</v>
      </c>
      <c r="C173" s="15"/>
      <c r="D173" s="30" t="s">
        <v>873</v>
      </c>
      <c r="E173" s="22">
        <v>44155</v>
      </c>
      <c r="F173" s="22">
        <v>44196</v>
      </c>
      <c r="G173" s="15" t="s">
        <v>674</v>
      </c>
      <c r="H173" s="15" t="s">
        <v>811</v>
      </c>
      <c r="I173" s="15" t="s">
        <v>702</v>
      </c>
      <c r="J173" s="15" t="s">
        <v>325</v>
      </c>
      <c r="K173" s="15" t="s">
        <v>334</v>
      </c>
      <c r="L173" s="15" t="s">
        <v>358</v>
      </c>
      <c r="M173" s="15" t="s">
        <v>322</v>
      </c>
      <c r="N173" s="15" t="s">
        <v>708</v>
      </c>
      <c r="O173" s="15" t="s">
        <v>694</v>
      </c>
      <c r="P173" s="15" t="s">
        <v>1041</v>
      </c>
      <c r="Q173" s="15" t="s">
        <v>890</v>
      </c>
      <c r="R173" s="15" t="s">
        <v>835</v>
      </c>
      <c r="S173" s="15" t="s">
        <v>348</v>
      </c>
      <c r="T173" s="15" t="s">
        <v>652</v>
      </c>
      <c r="AC173" s="32" t="s">
        <v>885</v>
      </c>
      <c r="AD173" s="33" t="e">
        <f t="shared" si="51"/>
        <v>#N/A</v>
      </c>
      <c r="AE173" s="21" t="str">
        <f t="shared" si="54"/>
        <v>BR_VW_AFS_dv360_DIS_PROG_CPM_STD_LDR_AAF_RON_CXD_After-Sales-Oficina-Classicos-REG02-lal-home-ofertas_PD_970x250</v>
      </c>
      <c r="AF173" s="21" t="str">
        <f t="shared" si="55"/>
        <v>BR_VW_AFS_dv360_DIS_PROG_CPM_STD_LDR_AAF_RON_CXD_After-Sales-Oficina-Classicos-REG02-lal-home-ofertas_PD_970x250</v>
      </c>
      <c r="AG173" s="21" t="str">
        <f t="shared" si="56"/>
        <v>VW_After-Sales-lal-home-ofertas_970x250_After-Sales-Oficina-Classicos-REG02-adserver</v>
      </c>
      <c r="AH173" s="21" t="str">
        <f t="shared" si="57"/>
        <v>https://www.oficinadeclassicos.com.br/index.aspx?utm_source=dv360&amp;utm_medium=Programmatic&amp;utm_content=BR_VW_AFS_dv360_DIS_PROG_CPM_STD_LDR_AAF_RON_CXD_After-Sales-Oficina-Classicos-REG02-lal-home-ofertas_PD_970x250&amp;utm_campaign=BR_AAF_DSY_NONMS_ND_AS_2019Q2APR_AFS_After-Sales&amp;utm_term=%epid!_%ecid!_%eaid!</v>
      </c>
      <c r="AI173" s="21" t="str">
        <f t="shared" si="58"/>
        <v>TAG</v>
      </c>
      <c r="AJ173" s="15" t="str">
        <f t="shared" si="52"/>
        <v>dv360</v>
      </c>
      <c r="AK173" s="15" t="str">
        <f t="shared" si="53"/>
        <v>Programmatic</v>
      </c>
      <c r="AL173" s="21" t="str">
        <f>Campanha!$B$3</f>
        <v>BR_AAF_DSY_NONMS_ND_AS_2019Q2APR_AFS_After-Sales</v>
      </c>
      <c r="AM173" s="21" t="str">
        <f t="shared" si="59"/>
        <v>BR_VW_AFS_dv360_DIS_PROG_CPM_STD_LDR_AAF_RON_CXD_After-Sales-Oficina-Classicos-REG02-lal-home-ofertas_PD_970x250</v>
      </c>
      <c r="AN173" s="15" t="s">
        <v>809</v>
      </c>
    </row>
    <row r="174" spans="2:40" hidden="1" x14ac:dyDescent="0.25">
      <c r="B174" s="15" t="s">
        <v>872</v>
      </c>
      <c r="C174" s="15"/>
      <c r="D174" s="30" t="s">
        <v>873</v>
      </c>
      <c r="E174" s="22">
        <v>44155</v>
      </c>
      <c r="F174" s="22">
        <v>44196</v>
      </c>
      <c r="G174" s="15" t="s">
        <v>674</v>
      </c>
      <c r="H174" s="15" t="s">
        <v>811</v>
      </c>
      <c r="I174" s="15" t="s">
        <v>702</v>
      </c>
      <c r="J174" s="15" t="s">
        <v>325</v>
      </c>
      <c r="K174" s="15" t="s">
        <v>334</v>
      </c>
      <c r="L174" s="15" t="s">
        <v>358</v>
      </c>
      <c r="M174" s="15" t="s">
        <v>322</v>
      </c>
      <c r="N174" s="15" t="s">
        <v>708</v>
      </c>
      <c r="O174" s="15" t="s">
        <v>694</v>
      </c>
      <c r="P174" s="15" t="s">
        <v>1041</v>
      </c>
      <c r="Q174" s="15" t="s">
        <v>874</v>
      </c>
      <c r="R174" s="15" t="s">
        <v>835</v>
      </c>
      <c r="S174" s="15" t="s">
        <v>348</v>
      </c>
      <c r="T174" s="15" t="s">
        <v>457</v>
      </c>
      <c r="AC174" s="32" t="s">
        <v>885</v>
      </c>
      <c r="AD174" s="33" t="e">
        <f t="shared" si="51"/>
        <v>#N/A</v>
      </c>
      <c r="AE174" s="21" t="str">
        <f t="shared" si="54"/>
        <v>BR_VW_AFS_dv360_DIS_PROG_CPM_STD_LDR_AAF_RON_CXD_After-Sales-Oficina-Classicos-REG02-rmkt-visita-home-ofertas_PD_160x600</v>
      </c>
      <c r="AF174" s="21" t="str">
        <f t="shared" si="55"/>
        <v>BR_VW_AFS_dv360_DIS_PROG_CPM_STD_LDR_AAF_RON_CXD_After-Sales-Oficina-Classicos-REG02-rmkt-visita-home-ofertas_PD_160x600</v>
      </c>
      <c r="AG174" s="21" t="str">
        <f t="shared" si="56"/>
        <v>VW_After-Sales-rmkt-visita-home-ofertas_160x600_After-Sales-Oficina-Classicos-REG02-adserver</v>
      </c>
      <c r="AH174" s="21" t="str">
        <f t="shared" si="57"/>
        <v>https://www.oficinadeclassicos.com.br/index.aspx?utm_source=dv360&amp;utm_medium=Programmatic&amp;utm_content=BR_VW_AFS_dv360_DIS_PROG_CPM_STD_LDR_AAF_RON_CXD_After-Sales-Oficina-Classicos-REG02-rmkt-visita-home-ofertas_PD_160x600&amp;utm_campaign=BR_AAF_DSY_NONMS_ND_AS_2019Q2APR_AFS_After-Sales&amp;utm_term=%epid!_%ecid!_%eaid!</v>
      </c>
      <c r="AI174" s="21" t="str">
        <f t="shared" si="58"/>
        <v>TAG</v>
      </c>
      <c r="AJ174" s="15" t="str">
        <f t="shared" si="52"/>
        <v>dv360</v>
      </c>
      <c r="AK174" s="15" t="str">
        <f t="shared" si="53"/>
        <v>Programmatic</v>
      </c>
      <c r="AL174" s="21" t="str">
        <f>Campanha!$B$3</f>
        <v>BR_AAF_DSY_NONMS_ND_AS_2019Q2APR_AFS_After-Sales</v>
      </c>
      <c r="AM174" s="21" t="str">
        <f t="shared" si="59"/>
        <v>BR_VW_AFS_dv360_DIS_PROG_CPM_STD_LDR_AAF_RON_CXD_After-Sales-Oficina-Classicos-REG02-rmkt-visita-home-ofertas_PD_160x600</v>
      </c>
      <c r="AN174" s="15" t="s">
        <v>809</v>
      </c>
    </row>
    <row r="175" spans="2:40" hidden="1" x14ac:dyDescent="0.25">
      <c r="B175" s="15" t="s">
        <v>872</v>
      </c>
      <c r="C175" s="15"/>
      <c r="D175" s="30" t="s">
        <v>873</v>
      </c>
      <c r="E175" s="22">
        <v>44155</v>
      </c>
      <c r="F175" s="22">
        <v>44196</v>
      </c>
      <c r="G175" s="15" t="s">
        <v>674</v>
      </c>
      <c r="H175" s="15" t="s">
        <v>811</v>
      </c>
      <c r="I175" s="15" t="s">
        <v>702</v>
      </c>
      <c r="J175" s="15" t="s">
        <v>325</v>
      </c>
      <c r="K175" s="15" t="s">
        <v>334</v>
      </c>
      <c r="L175" s="15" t="s">
        <v>358</v>
      </c>
      <c r="M175" s="15" t="s">
        <v>322</v>
      </c>
      <c r="N175" s="15" t="s">
        <v>708</v>
      </c>
      <c r="O175" s="15" t="s">
        <v>694</v>
      </c>
      <c r="P175" s="15" t="s">
        <v>1041</v>
      </c>
      <c r="Q175" s="15" t="s">
        <v>874</v>
      </c>
      <c r="R175" s="15" t="s">
        <v>835</v>
      </c>
      <c r="S175" s="15" t="s">
        <v>348</v>
      </c>
      <c r="T175" s="15" t="s">
        <v>484</v>
      </c>
      <c r="AC175" s="32" t="s">
        <v>885</v>
      </c>
      <c r="AD175" s="33" t="e">
        <f t="shared" si="51"/>
        <v>#N/A</v>
      </c>
      <c r="AE175" s="21" t="str">
        <f t="shared" si="54"/>
        <v>BR_VW_AFS_dv360_DIS_PROG_CPM_STD_LDR_AAF_RON_CXD_After-Sales-Oficina-Classicos-REG02-rmkt-visita-home-ofertas_PD_300x50</v>
      </c>
      <c r="AF175" s="21" t="str">
        <f t="shared" si="55"/>
        <v>BR_VW_AFS_dv360_DIS_PROG_CPM_STD_LDR_AAF_RON_CXD_After-Sales-Oficina-Classicos-REG02-rmkt-visita-home-ofertas_PD_300x50</v>
      </c>
      <c r="AG175" s="21" t="str">
        <f t="shared" si="56"/>
        <v>VW_After-Sales-rmkt-visita-home-ofertas_300x50_After-Sales-Oficina-Classicos-REG02-adserver</v>
      </c>
      <c r="AH175" s="21" t="str">
        <f t="shared" si="57"/>
        <v>https://www.oficinadeclassicos.com.br/index.aspx?utm_source=dv360&amp;utm_medium=Programmatic&amp;utm_content=BR_VW_AFS_dv360_DIS_PROG_CPM_STD_LDR_AAF_RON_CXD_After-Sales-Oficina-Classicos-REG02-rmkt-visita-home-ofertas_PD_300x50&amp;utm_campaign=BR_AAF_DSY_NONMS_ND_AS_2019Q2APR_AFS_After-Sales&amp;utm_term=%epid!_%ecid!_%eaid!</v>
      </c>
      <c r="AI175" s="21" t="str">
        <f t="shared" si="58"/>
        <v>TAG</v>
      </c>
      <c r="AJ175" s="15" t="str">
        <f t="shared" si="52"/>
        <v>dv360</v>
      </c>
      <c r="AK175" s="15" t="str">
        <f t="shared" si="53"/>
        <v>Programmatic</v>
      </c>
      <c r="AL175" s="21" t="str">
        <f>Campanha!$B$3</f>
        <v>BR_AAF_DSY_NONMS_ND_AS_2019Q2APR_AFS_After-Sales</v>
      </c>
      <c r="AM175" s="21" t="str">
        <f t="shared" si="59"/>
        <v>BR_VW_AFS_dv360_DIS_PROG_CPM_STD_LDR_AAF_RON_CXD_After-Sales-Oficina-Classicos-REG02-rmkt-visita-home-ofertas_PD_300x50</v>
      </c>
      <c r="AN175" s="15" t="s">
        <v>809</v>
      </c>
    </row>
    <row r="176" spans="2:40" hidden="1" x14ac:dyDescent="0.25">
      <c r="B176" s="15" t="s">
        <v>872</v>
      </c>
      <c r="C176" s="15"/>
      <c r="D176" s="30" t="s">
        <v>873</v>
      </c>
      <c r="E176" s="22">
        <v>44155</v>
      </c>
      <c r="F176" s="22">
        <v>44196</v>
      </c>
      <c r="G176" s="15" t="s">
        <v>674</v>
      </c>
      <c r="H176" s="15" t="s">
        <v>811</v>
      </c>
      <c r="I176" s="15" t="s">
        <v>702</v>
      </c>
      <c r="J176" s="15" t="s">
        <v>325</v>
      </c>
      <c r="K176" s="15" t="s">
        <v>334</v>
      </c>
      <c r="L176" s="15" t="s">
        <v>358</v>
      </c>
      <c r="M176" s="15" t="s">
        <v>322</v>
      </c>
      <c r="N176" s="15" t="s">
        <v>708</v>
      </c>
      <c r="O176" s="15" t="s">
        <v>694</v>
      </c>
      <c r="P176" s="15" t="s">
        <v>1041</v>
      </c>
      <c r="Q176" s="15" t="s">
        <v>874</v>
      </c>
      <c r="R176" s="15" t="s">
        <v>835</v>
      </c>
      <c r="S176" s="15" t="s">
        <v>348</v>
      </c>
      <c r="T176" s="15" t="s">
        <v>478</v>
      </c>
      <c r="AC176" s="32" t="s">
        <v>885</v>
      </c>
      <c r="AD176" s="33" t="e">
        <f t="shared" si="51"/>
        <v>#N/A</v>
      </c>
      <c r="AE176" s="21" t="str">
        <f t="shared" si="54"/>
        <v>BR_VW_AFS_dv360_DIS_PROG_CPM_STD_LDR_AAF_RON_CXD_After-Sales-Oficina-Classicos-REG02-rmkt-visita-home-ofertas_PD_300x250</v>
      </c>
      <c r="AF176" s="21" t="str">
        <f t="shared" si="55"/>
        <v>BR_VW_AFS_dv360_DIS_PROG_CPM_STD_LDR_AAF_RON_CXD_After-Sales-Oficina-Classicos-REG02-rmkt-visita-home-ofertas_PD_300x250</v>
      </c>
      <c r="AG176" s="21" t="str">
        <f t="shared" si="56"/>
        <v>VW_After-Sales-rmkt-visita-home-ofertas_300x250_After-Sales-Oficina-Classicos-REG02-adserver</v>
      </c>
      <c r="AH176" s="21" t="str">
        <f t="shared" si="57"/>
        <v>https://www.oficinadeclassicos.com.br/index.aspx?utm_source=dv360&amp;utm_medium=Programmatic&amp;utm_content=BR_VW_AFS_dv360_DIS_PROG_CPM_STD_LDR_AAF_RON_CXD_After-Sales-Oficina-Classicos-REG02-rmkt-visita-home-ofertas_PD_300x250&amp;utm_campaign=BR_AAF_DSY_NONMS_ND_AS_2019Q2APR_AFS_After-Sales&amp;utm_term=%epid!_%ecid!_%eaid!</v>
      </c>
      <c r="AI176" s="21" t="str">
        <f t="shared" si="58"/>
        <v>TAG</v>
      </c>
      <c r="AJ176" s="15" t="str">
        <f t="shared" si="52"/>
        <v>dv360</v>
      </c>
      <c r="AK176" s="15" t="str">
        <f t="shared" si="53"/>
        <v>Programmatic</v>
      </c>
      <c r="AL176" s="21" t="str">
        <f>Campanha!$B$3</f>
        <v>BR_AAF_DSY_NONMS_ND_AS_2019Q2APR_AFS_After-Sales</v>
      </c>
      <c r="AM176" s="21" t="str">
        <f t="shared" si="59"/>
        <v>BR_VW_AFS_dv360_DIS_PROG_CPM_STD_LDR_AAF_RON_CXD_After-Sales-Oficina-Classicos-REG02-rmkt-visita-home-ofertas_PD_300x250</v>
      </c>
      <c r="AN176" s="15" t="s">
        <v>809</v>
      </c>
    </row>
    <row r="177" spans="2:40" hidden="1" x14ac:dyDescent="0.25">
      <c r="B177" s="15" t="s">
        <v>872</v>
      </c>
      <c r="C177" s="15"/>
      <c r="D177" s="30" t="s">
        <v>873</v>
      </c>
      <c r="E177" s="22">
        <v>44155</v>
      </c>
      <c r="F177" s="22">
        <v>44196</v>
      </c>
      <c r="G177" s="15" t="s">
        <v>674</v>
      </c>
      <c r="H177" s="15" t="s">
        <v>811</v>
      </c>
      <c r="I177" s="15" t="s">
        <v>702</v>
      </c>
      <c r="J177" s="15" t="s">
        <v>325</v>
      </c>
      <c r="K177" s="15" t="s">
        <v>334</v>
      </c>
      <c r="L177" s="15" t="s">
        <v>358</v>
      </c>
      <c r="M177" s="15" t="s">
        <v>322</v>
      </c>
      <c r="N177" s="15" t="s">
        <v>708</v>
      </c>
      <c r="O177" s="15" t="s">
        <v>694</v>
      </c>
      <c r="P177" s="15" t="s">
        <v>1041</v>
      </c>
      <c r="Q177" s="15" t="s">
        <v>874</v>
      </c>
      <c r="R177" s="15" t="s">
        <v>835</v>
      </c>
      <c r="S177" s="15" t="s">
        <v>348</v>
      </c>
      <c r="T177" s="15" t="s">
        <v>614</v>
      </c>
      <c r="AC177" s="32" t="s">
        <v>885</v>
      </c>
      <c r="AD177" s="33" t="e">
        <f t="shared" si="51"/>
        <v>#N/A</v>
      </c>
      <c r="AE177" s="21" t="str">
        <f t="shared" si="54"/>
        <v>BR_VW_AFS_dv360_DIS_PROG_CPM_STD_LDR_AAF_RON_CXD_After-Sales-Oficina-Classicos-REG02-rmkt-visita-home-ofertas_PD_728x90</v>
      </c>
      <c r="AF177" s="21" t="str">
        <f t="shared" si="55"/>
        <v>BR_VW_AFS_dv360_DIS_PROG_CPM_STD_LDR_AAF_RON_CXD_After-Sales-Oficina-Classicos-REG02-rmkt-visita-home-ofertas_PD_728x90</v>
      </c>
      <c r="AG177" s="21" t="str">
        <f t="shared" si="56"/>
        <v>VW_After-Sales-rmkt-visita-home-ofertas_728x90_After-Sales-Oficina-Classicos-REG02-adserver</v>
      </c>
      <c r="AH177" s="21" t="str">
        <f t="shared" si="57"/>
        <v>https://www.oficinadeclassicos.com.br/index.aspx?utm_source=dv360&amp;utm_medium=Programmatic&amp;utm_content=BR_VW_AFS_dv360_DIS_PROG_CPM_STD_LDR_AAF_RON_CXD_After-Sales-Oficina-Classicos-REG02-rmkt-visita-home-ofertas_PD_728x90&amp;utm_campaign=BR_AAF_DSY_NONMS_ND_AS_2019Q2APR_AFS_After-Sales&amp;utm_term=%epid!_%ecid!_%eaid!</v>
      </c>
      <c r="AI177" s="21" t="str">
        <f t="shared" si="58"/>
        <v>TAG</v>
      </c>
      <c r="AJ177" s="15" t="str">
        <f t="shared" si="52"/>
        <v>dv360</v>
      </c>
      <c r="AK177" s="15" t="str">
        <f t="shared" si="53"/>
        <v>Programmatic</v>
      </c>
      <c r="AL177" s="21" t="str">
        <f>Campanha!$B$3</f>
        <v>BR_AAF_DSY_NONMS_ND_AS_2019Q2APR_AFS_After-Sales</v>
      </c>
      <c r="AM177" s="21" t="str">
        <f t="shared" si="59"/>
        <v>BR_VW_AFS_dv360_DIS_PROG_CPM_STD_LDR_AAF_RON_CXD_After-Sales-Oficina-Classicos-REG02-rmkt-visita-home-ofertas_PD_728x90</v>
      </c>
      <c r="AN177" s="15" t="s">
        <v>809</v>
      </c>
    </row>
    <row r="178" spans="2:40" hidden="1" x14ac:dyDescent="0.25">
      <c r="B178" s="15" t="s">
        <v>872</v>
      </c>
      <c r="C178" s="15"/>
      <c r="D178" s="30" t="s">
        <v>873</v>
      </c>
      <c r="E178" s="22">
        <v>44155</v>
      </c>
      <c r="F178" s="22">
        <v>44196</v>
      </c>
      <c r="G178" s="15" t="s">
        <v>674</v>
      </c>
      <c r="H178" s="15" t="s">
        <v>811</v>
      </c>
      <c r="I178" s="15" t="s">
        <v>702</v>
      </c>
      <c r="J178" s="15" t="s">
        <v>325</v>
      </c>
      <c r="K178" s="15" t="s">
        <v>334</v>
      </c>
      <c r="L178" s="15" t="s">
        <v>358</v>
      </c>
      <c r="M178" s="15" t="s">
        <v>322</v>
      </c>
      <c r="N178" s="15" t="s">
        <v>708</v>
      </c>
      <c r="O178" s="15" t="s">
        <v>694</v>
      </c>
      <c r="P178" s="15" t="s">
        <v>1041</v>
      </c>
      <c r="Q178" s="15" t="s">
        <v>874</v>
      </c>
      <c r="R178" s="15" t="s">
        <v>835</v>
      </c>
      <c r="S178" s="15" t="s">
        <v>348</v>
      </c>
      <c r="T178" s="15" t="s">
        <v>652</v>
      </c>
      <c r="AC178" s="32" t="s">
        <v>885</v>
      </c>
      <c r="AD178" s="33" t="e">
        <f t="shared" si="51"/>
        <v>#N/A</v>
      </c>
      <c r="AE178" s="21" t="str">
        <f t="shared" si="54"/>
        <v>BR_VW_AFS_dv360_DIS_PROG_CPM_STD_LDR_AAF_RON_CXD_After-Sales-Oficina-Classicos-REG02-rmkt-visita-home-ofertas_PD_970x250</v>
      </c>
      <c r="AF178" s="21" t="str">
        <f t="shared" si="55"/>
        <v>BR_VW_AFS_dv360_DIS_PROG_CPM_STD_LDR_AAF_RON_CXD_After-Sales-Oficina-Classicos-REG02-rmkt-visita-home-ofertas_PD_970x250</v>
      </c>
      <c r="AG178" s="21" t="str">
        <f t="shared" si="56"/>
        <v>VW_After-Sales-rmkt-visita-home-ofertas_970x250_After-Sales-Oficina-Classicos-REG02-adserver</v>
      </c>
      <c r="AH178" s="21" t="str">
        <f t="shared" si="57"/>
        <v>https://www.oficinadeclassicos.com.br/index.aspx?utm_source=dv360&amp;utm_medium=Programmatic&amp;utm_content=BR_VW_AFS_dv360_DIS_PROG_CPM_STD_LDR_AAF_RON_CXD_After-Sales-Oficina-Classicos-REG02-rmkt-visita-home-ofertas_PD_970x250&amp;utm_campaign=BR_AAF_DSY_NONMS_ND_AS_2019Q2APR_AFS_After-Sales&amp;utm_term=%epid!_%ecid!_%eaid!</v>
      </c>
      <c r="AI178" s="21" t="str">
        <f t="shared" si="58"/>
        <v>TAG</v>
      </c>
      <c r="AJ178" s="15" t="str">
        <f t="shared" si="52"/>
        <v>dv360</v>
      </c>
      <c r="AK178" s="15" t="str">
        <f t="shared" si="53"/>
        <v>Programmatic</v>
      </c>
      <c r="AL178" s="21" t="str">
        <f>Campanha!$B$3</f>
        <v>BR_AAF_DSY_NONMS_ND_AS_2019Q2APR_AFS_After-Sales</v>
      </c>
      <c r="AM178" s="21" t="str">
        <f t="shared" si="59"/>
        <v>BR_VW_AFS_dv360_DIS_PROG_CPM_STD_LDR_AAF_RON_CXD_After-Sales-Oficina-Classicos-REG02-rmkt-visita-home-ofertas_PD_970x250</v>
      </c>
      <c r="AN178" s="15" t="s">
        <v>809</v>
      </c>
    </row>
    <row r="179" spans="2:40" hidden="1" x14ac:dyDescent="0.25">
      <c r="B179" s="15" t="s">
        <v>872</v>
      </c>
      <c r="C179" s="15"/>
      <c r="D179" s="30" t="s">
        <v>873</v>
      </c>
      <c r="E179" s="22">
        <v>44155</v>
      </c>
      <c r="F179" s="22">
        <v>44196</v>
      </c>
      <c r="G179" s="15" t="s">
        <v>674</v>
      </c>
      <c r="H179" s="15" t="s">
        <v>811</v>
      </c>
      <c r="I179" s="15" t="s">
        <v>702</v>
      </c>
      <c r="J179" s="15" t="s">
        <v>325</v>
      </c>
      <c r="K179" s="15" t="s">
        <v>334</v>
      </c>
      <c r="L179" s="15" t="s">
        <v>358</v>
      </c>
      <c r="M179" s="15" t="s">
        <v>322</v>
      </c>
      <c r="N179" s="15" t="s">
        <v>708</v>
      </c>
      <c r="O179" s="15" t="s">
        <v>694</v>
      </c>
      <c r="P179" s="15" t="s">
        <v>1041</v>
      </c>
      <c r="Q179" s="15" t="s">
        <v>877</v>
      </c>
      <c r="R179" s="15" t="s">
        <v>835</v>
      </c>
      <c r="S179" s="15" t="s">
        <v>348</v>
      </c>
      <c r="T179" s="15" t="s">
        <v>457</v>
      </c>
      <c r="AC179" s="32" t="s">
        <v>885</v>
      </c>
      <c r="AD179" s="33" t="e">
        <f t="shared" si="51"/>
        <v>#N/A</v>
      </c>
      <c r="AE179" s="21" t="str">
        <f t="shared" si="54"/>
        <v>BR_VW_AFS_dv360_DIS_PROG_CPM_STD_LDR_AAF_RON_CXD_After-Sales-Oficina-Classicos-REG02-rmkt-add-to-cart-ofertas_PD_160x600</v>
      </c>
      <c r="AF179" s="21" t="str">
        <f t="shared" si="55"/>
        <v>BR_VW_AFS_dv360_DIS_PROG_CPM_STD_LDR_AAF_RON_CXD_After-Sales-Oficina-Classicos-REG02-rmkt-add-to-cart-ofertas_PD_160x600</v>
      </c>
      <c r="AG179" s="21" t="str">
        <f t="shared" si="56"/>
        <v>VW_After-Sales-rmkt-add-to-cart-ofertas_160x600_After-Sales-Oficina-Classicos-REG02-adserver</v>
      </c>
      <c r="AH179" s="21" t="str">
        <f t="shared" si="57"/>
        <v>https://www.oficinadeclassicos.com.br/index.aspx?utm_source=dv360&amp;utm_medium=Programmatic&amp;utm_content=BR_VW_AFS_dv360_DIS_PROG_CPM_STD_LDR_AAF_RON_CXD_After-Sales-Oficina-Classicos-REG02-rmkt-add-to-cart-ofertas_PD_160x600&amp;utm_campaign=BR_AAF_DSY_NONMS_ND_AS_2019Q2APR_AFS_After-Sales&amp;utm_term=%epid!_%ecid!_%eaid!</v>
      </c>
      <c r="AI179" s="21" t="str">
        <f t="shared" si="58"/>
        <v>TAG</v>
      </c>
      <c r="AJ179" s="15" t="str">
        <f t="shared" si="52"/>
        <v>dv360</v>
      </c>
      <c r="AK179" s="15" t="str">
        <f t="shared" si="53"/>
        <v>Programmatic</v>
      </c>
      <c r="AL179" s="21" t="str">
        <f>Campanha!$B$3</f>
        <v>BR_AAF_DSY_NONMS_ND_AS_2019Q2APR_AFS_After-Sales</v>
      </c>
      <c r="AM179" s="21" t="str">
        <f t="shared" si="59"/>
        <v>BR_VW_AFS_dv360_DIS_PROG_CPM_STD_LDR_AAF_RON_CXD_After-Sales-Oficina-Classicos-REG02-rmkt-add-to-cart-ofertas_PD_160x600</v>
      </c>
      <c r="AN179" s="15" t="s">
        <v>809</v>
      </c>
    </row>
    <row r="180" spans="2:40" hidden="1" x14ac:dyDescent="0.25">
      <c r="B180" s="15" t="s">
        <v>872</v>
      </c>
      <c r="C180" s="15"/>
      <c r="D180" s="30" t="s">
        <v>873</v>
      </c>
      <c r="E180" s="22">
        <v>44155</v>
      </c>
      <c r="F180" s="22">
        <v>44196</v>
      </c>
      <c r="G180" s="15" t="s">
        <v>674</v>
      </c>
      <c r="H180" s="15" t="s">
        <v>811</v>
      </c>
      <c r="I180" s="15" t="s">
        <v>702</v>
      </c>
      <c r="J180" s="15" t="s">
        <v>325</v>
      </c>
      <c r="K180" s="15" t="s">
        <v>334</v>
      </c>
      <c r="L180" s="15" t="s">
        <v>358</v>
      </c>
      <c r="M180" s="15" t="s">
        <v>322</v>
      </c>
      <c r="N180" s="15" t="s">
        <v>708</v>
      </c>
      <c r="O180" s="15" t="s">
        <v>694</v>
      </c>
      <c r="P180" s="15" t="s">
        <v>1041</v>
      </c>
      <c r="Q180" s="15" t="s">
        <v>877</v>
      </c>
      <c r="R180" s="15" t="s">
        <v>835</v>
      </c>
      <c r="S180" s="15" t="s">
        <v>348</v>
      </c>
      <c r="T180" s="15" t="s">
        <v>484</v>
      </c>
      <c r="AC180" s="32" t="s">
        <v>885</v>
      </c>
      <c r="AD180" s="33" t="e">
        <f t="shared" si="51"/>
        <v>#N/A</v>
      </c>
      <c r="AE180" s="21" t="str">
        <f t="shared" si="54"/>
        <v>BR_VW_AFS_dv360_DIS_PROG_CPM_STD_LDR_AAF_RON_CXD_After-Sales-Oficina-Classicos-REG02-rmkt-add-to-cart-ofertas_PD_300x50</v>
      </c>
      <c r="AF180" s="21" t="str">
        <f t="shared" si="55"/>
        <v>BR_VW_AFS_dv360_DIS_PROG_CPM_STD_LDR_AAF_RON_CXD_After-Sales-Oficina-Classicos-REG02-rmkt-add-to-cart-ofertas_PD_300x50</v>
      </c>
      <c r="AG180" s="21" t="str">
        <f t="shared" si="56"/>
        <v>VW_After-Sales-rmkt-add-to-cart-ofertas_300x50_After-Sales-Oficina-Classicos-REG02-adserver</v>
      </c>
      <c r="AH180" s="21" t="str">
        <f t="shared" si="57"/>
        <v>https://www.oficinadeclassicos.com.br/index.aspx?utm_source=dv360&amp;utm_medium=Programmatic&amp;utm_content=BR_VW_AFS_dv360_DIS_PROG_CPM_STD_LDR_AAF_RON_CXD_After-Sales-Oficina-Classicos-REG02-rmkt-add-to-cart-ofertas_PD_300x50&amp;utm_campaign=BR_AAF_DSY_NONMS_ND_AS_2019Q2APR_AFS_After-Sales&amp;utm_term=%epid!_%ecid!_%eaid!</v>
      </c>
      <c r="AI180" s="21" t="str">
        <f t="shared" si="58"/>
        <v>TAG</v>
      </c>
      <c r="AJ180" s="15" t="str">
        <f t="shared" si="52"/>
        <v>dv360</v>
      </c>
      <c r="AK180" s="15" t="str">
        <f t="shared" si="53"/>
        <v>Programmatic</v>
      </c>
      <c r="AL180" s="21" t="str">
        <f>Campanha!$B$3</f>
        <v>BR_AAF_DSY_NONMS_ND_AS_2019Q2APR_AFS_After-Sales</v>
      </c>
      <c r="AM180" s="21" t="str">
        <f t="shared" si="59"/>
        <v>BR_VW_AFS_dv360_DIS_PROG_CPM_STD_LDR_AAF_RON_CXD_After-Sales-Oficina-Classicos-REG02-rmkt-add-to-cart-ofertas_PD_300x50</v>
      </c>
      <c r="AN180" s="15" t="s">
        <v>809</v>
      </c>
    </row>
    <row r="181" spans="2:40" hidden="1" x14ac:dyDescent="0.25">
      <c r="B181" s="15" t="s">
        <v>872</v>
      </c>
      <c r="C181" s="15"/>
      <c r="D181" s="30" t="s">
        <v>873</v>
      </c>
      <c r="E181" s="22">
        <v>44155</v>
      </c>
      <c r="F181" s="22">
        <v>44196</v>
      </c>
      <c r="G181" s="15" t="s">
        <v>674</v>
      </c>
      <c r="H181" s="15" t="s">
        <v>811</v>
      </c>
      <c r="I181" s="15" t="s">
        <v>702</v>
      </c>
      <c r="J181" s="15" t="s">
        <v>325</v>
      </c>
      <c r="K181" s="15" t="s">
        <v>334</v>
      </c>
      <c r="L181" s="15" t="s">
        <v>358</v>
      </c>
      <c r="M181" s="15" t="s">
        <v>322</v>
      </c>
      <c r="N181" s="15" t="s">
        <v>708</v>
      </c>
      <c r="O181" s="15" t="s">
        <v>694</v>
      </c>
      <c r="P181" s="15" t="s">
        <v>1041</v>
      </c>
      <c r="Q181" s="15" t="s">
        <v>877</v>
      </c>
      <c r="R181" s="15" t="s">
        <v>835</v>
      </c>
      <c r="S181" s="15" t="s">
        <v>348</v>
      </c>
      <c r="T181" s="15" t="s">
        <v>478</v>
      </c>
      <c r="AC181" s="32" t="s">
        <v>885</v>
      </c>
      <c r="AD181" s="33" t="e">
        <f t="shared" si="51"/>
        <v>#N/A</v>
      </c>
      <c r="AE181" s="21" t="str">
        <f t="shared" si="54"/>
        <v>BR_VW_AFS_dv360_DIS_PROG_CPM_STD_LDR_AAF_RON_CXD_After-Sales-Oficina-Classicos-REG02-rmkt-add-to-cart-ofertas_PD_300x250</v>
      </c>
      <c r="AF181" s="21" t="str">
        <f t="shared" si="55"/>
        <v>BR_VW_AFS_dv360_DIS_PROG_CPM_STD_LDR_AAF_RON_CXD_After-Sales-Oficina-Classicos-REG02-rmkt-add-to-cart-ofertas_PD_300x250</v>
      </c>
      <c r="AG181" s="21" t="str">
        <f t="shared" si="56"/>
        <v>VW_After-Sales-rmkt-add-to-cart-ofertas_300x250_After-Sales-Oficina-Classicos-REG02-adserver</v>
      </c>
      <c r="AH181" s="21" t="str">
        <f t="shared" si="57"/>
        <v>https://www.oficinadeclassicos.com.br/index.aspx?utm_source=dv360&amp;utm_medium=Programmatic&amp;utm_content=BR_VW_AFS_dv360_DIS_PROG_CPM_STD_LDR_AAF_RON_CXD_After-Sales-Oficina-Classicos-REG02-rmkt-add-to-cart-ofertas_PD_300x250&amp;utm_campaign=BR_AAF_DSY_NONMS_ND_AS_2019Q2APR_AFS_After-Sales&amp;utm_term=%epid!_%ecid!_%eaid!</v>
      </c>
      <c r="AI181" s="21" t="str">
        <f t="shared" si="58"/>
        <v>TAG</v>
      </c>
      <c r="AJ181" s="15" t="str">
        <f t="shared" si="52"/>
        <v>dv360</v>
      </c>
      <c r="AK181" s="15" t="str">
        <f t="shared" si="53"/>
        <v>Programmatic</v>
      </c>
      <c r="AL181" s="21" t="str">
        <f>Campanha!$B$3</f>
        <v>BR_AAF_DSY_NONMS_ND_AS_2019Q2APR_AFS_After-Sales</v>
      </c>
      <c r="AM181" s="21" t="str">
        <f t="shared" si="59"/>
        <v>BR_VW_AFS_dv360_DIS_PROG_CPM_STD_LDR_AAF_RON_CXD_After-Sales-Oficina-Classicos-REG02-rmkt-add-to-cart-ofertas_PD_300x250</v>
      </c>
      <c r="AN181" s="15" t="s">
        <v>809</v>
      </c>
    </row>
    <row r="182" spans="2:40" hidden="1" x14ac:dyDescent="0.25">
      <c r="B182" s="15" t="s">
        <v>872</v>
      </c>
      <c r="C182" s="15"/>
      <c r="D182" s="30" t="s">
        <v>873</v>
      </c>
      <c r="E182" s="22">
        <v>44155</v>
      </c>
      <c r="F182" s="22">
        <v>44196</v>
      </c>
      <c r="G182" s="15" t="s">
        <v>674</v>
      </c>
      <c r="H182" s="15" t="s">
        <v>811</v>
      </c>
      <c r="I182" s="15" t="s">
        <v>702</v>
      </c>
      <c r="J182" s="15" t="s">
        <v>325</v>
      </c>
      <c r="K182" s="15" t="s">
        <v>334</v>
      </c>
      <c r="L182" s="15" t="s">
        <v>358</v>
      </c>
      <c r="M182" s="15" t="s">
        <v>322</v>
      </c>
      <c r="N182" s="15" t="s">
        <v>708</v>
      </c>
      <c r="O182" s="15" t="s">
        <v>694</v>
      </c>
      <c r="P182" s="15" t="s">
        <v>1041</v>
      </c>
      <c r="Q182" s="15" t="s">
        <v>877</v>
      </c>
      <c r="R182" s="15" t="s">
        <v>835</v>
      </c>
      <c r="S182" s="15" t="s">
        <v>348</v>
      </c>
      <c r="T182" s="15" t="s">
        <v>614</v>
      </c>
      <c r="AC182" s="32" t="s">
        <v>885</v>
      </c>
      <c r="AD182" s="33" t="e">
        <f t="shared" ref="AD182:AD245" si="60">VLOOKUP(AE182,id_placement,2,FALSE)</f>
        <v>#N/A</v>
      </c>
      <c r="AE182" s="21" t="str">
        <f t="shared" si="54"/>
        <v>BR_VW_AFS_dv360_DIS_PROG_CPM_STD_LDR_AAF_RON_CXD_After-Sales-Oficina-Classicos-REG02-rmkt-add-to-cart-ofertas_PD_728x90</v>
      </c>
      <c r="AF182" s="21" t="str">
        <f t="shared" si="55"/>
        <v>BR_VW_AFS_dv360_DIS_PROG_CPM_STD_LDR_AAF_RON_CXD_After-Sales-Oficina-Classicos-REG02-rmkt-add-to-cart-ofertas_PD_728x90</v>
      </c>
      <c r="AG182" s="21" t="str">
        <f t="shared" si="56"/>
        <v>VW_After-Sales-rmkt-add-to-cart-ofertas_728x90_After-Sales-Oficina-Classicos-REG02-adserver</v>
      </c>
      <c r="AH182" s="21" t="str">
        <f t="shared" si="57"/>
        <v>https://www.oficinadeclassicos.com.br/index.aspx?utm_source=dv360&amp;utm_medium=Programmatic&amp;utm_content=BR_VW_AFS_dv360_DIS_PROG_CPM_STD_LDR_AAF_RON_CXD_After-Sales-Oficina-Classicos-REG02-rmkt-add-to-cart-ofertas_PD_728x90&amp;utm_campaign=BR_AAF_DSY_NONMS_ND_AS_2019Q2APR_AFS_After-Sales&amp;utm_term=%epid!_%ecid!_%eaid!</v>
      </c>
      <c r="AI182" s="21" t="str">
        <f t="shared" si="58"/>
        <v>TAG</v>
      </c>
      <c r="AJ182" s="15" t="str">
        <f t="shared" si="52"/>
        <v>dv360</v>
      </c>
      <c r="AK182" s="15" t="str">
        <f t="shared" si="53"/>
        <v>Programmatic</v>
      </c>
      <c r="AL182" s="21" t="str">
        <f>Campanha!$B$3</f>
        <v>BR_AAF_DSY_NONMS_ND_AS_2019Q2APR_AFS_After-Sales</v>
      </c>
      <c r="AM182" s="21" t="str">
        <f t="shared" si="59"/>
        <v>BR_VW_AFS_dv360_DIS_PROG_CPM_STD_LDR_AAF_RON_CXD_After-Sales-Oficina-Classicos-REG02-rmkt-add-to-cart-ofertas_PD_728x90</v>
      </c>
      <c r="AN182" s="15" t="s">
        <v>809</v>
      </c>
    </row>
    <row r="183" spans="2:40" hidden="1" x14ac:dyDescent="0.25">
      <c r="B183" s="15" t="s">
        <v>872</v>
      </c>
      <c r="C183" s="15"/>
      <c r="D183" s="30" t="s">
        <v>873</v>
      </c>
      <c r="E183" s="22">
        <v>44155</v>
      </c>
      <c r="F183" s="22">
        <v>44196</v>
      </c>
      <c r="G183" s="15" t="s">
        <v>674</v>
      </c>
      <c r="H183" s="15" t="s">
        <v>811</v>
      </c>
      <c r="I183" s="15" t="s">
        <v>702</v>
      </c>
      <c r="J183" s="15" t="s">
        <v>325</v>
      </c>
      <c r="K183" s="15" t="s">
        <v>334</v>
      </c>
      <c r="L183" s="15" t="s">
        <v>358</v>
      </c>
      <c r="M183" s="15" t="s">
        <v>322</v>
      </c>
      <c r="N183" s="15" t="s">
        <v>708</v>
      </c>
      <c r="O183" s="15" t="s">
        <v>694</v>
      </c>
      <c r="P183" s="15" t="s">
        <v>1041</v>
      </c>
      <c r="Q183" s="15" t="s">
        <v>877</v>
      </c>
      <c r="R183" s="15" t="s">
        <v>835</v>
      </c>
      <c r="S183" s="15" t="s">
        <v>348</v>
      </c>
      <c r="T183" s="15" t="s">
        <v>652</v>
      </c>
      <c r="AC183" s="32" t="s">
        <v>885</v>
      </c>
      <c r="AD183" s="33" t="e">
        <f t="shared" si="60"/>
        <v>#N/A</v>
      </c>
      <c r="AE183" s="21" t="str">
        <f t="shared" si="54"/>
        <v>BR_VW_AFS_dv360_DIS_PROG_CPM_STD_LDR_AAF_RON_CXD_After-Sales-Oficina-Classicos-REG02-rmkt-add-to-cart-ofertas_PD_970x250</v>
      </c>
      <c r="AF183" s="21" t="str">
        <f t="shared" si="55"/>
        <v>BR_VW_AFS_dv360_DIS_PROG_CPM_STD_LDR_AAF_RON_CXD_After-Sales-Oficina-Classicos-REG02-rmkt-add-to-cart-ofertas_PD_970x250</v>
      </c>
      <c r="AG183" s="21" t="str">
        <f t="shared" si="56"/>
        <v>VW_After-Sales-rmkt-add-to-cart-ofertas_970x250_After-Sales-Oficina-Classicos-REG02-adserver</v>
      </c>
      <c r="AH183" s="21" t="str">
        <f t="shared" si="57"/>
        <v>https://www.oficinadeclassicos.com.br/index.aspx?utm_source=dv360&amp;utm_medium=Programmatic&amp;utm_content=BR_VW_AFS_dv360_DIS_PROG_CPM_STD_LDR_AAF_RON_CXD_After-Sales-Oficina-Classicos-REG02-rmkt-add-to-cart-ofertas_PD_970x250&amp;utm_campaign=BR_AAF_DSY_NONMS_ND_AS_2019Q2APR_AFS_After-Sales&amp;utm_term=%epid!_%ecid!_%eaid!</v>
      </c>
      <c r="AI183" s="21" t="str">
        <f t="shared" si="58"/>
        <v>TAG</v>
      </c>
      <c r="AJ183" s="15" t="str">
        <f t="shared" si="52"/>
        <v>dv360</v>
      </c>
      <c r="AK183" s="15" t="str">
        <f t="shared" si="53"/>
        <v>Programmatic</v>
      </c>
      <c r="AL183" s="21" t="str">
        <f>Campanha!$B$3</f>
        <v>BR_AAF_DSY_NONMS_ND_AS_2019Q2APR_AFS_After-Sales</v>
      </c>
      <c r="AM183" s="21" t="str">
        <f t="shared" si="59"/>
        <v>BR_VW_AFS_dv360_DIS_PROG_CPM_STD_LDR_AAF_RON_CXD_After-Sales-Oficina-Classicos-REG02-rmkt-add-to-cart-ofertas_PD_970x250</v>
      </c>
      <c r="AN183" s="15" t="s">
        <v>809</v>
      </c>
    </row>
    <row r="184" spans="2:40" hidden="1" x14ac:dyDescent="0.25">
      <c r="B184" s="15" t="s">
        <v>872</v>
      </c>
      <c r="C184" s="15"/>
      <c r="D184" s="30" t="s">
        <v>873</v>
      </c>
      <c r="E184" s="22">
        <v>44155</v>
      </c>
      <c r="F184" s="22">
        <v>44196</v>
      </c>
      <c r="G184" s="15" t="s">
        <v>674</v>
      </c>
      <c r="H184" s="15" t="s">
        <v>811</v>
      </c>
      <c r="I184" s="15" t="s">
        <v>702</v>
      </c>
      <c r="J184" s="15" t="s">
        <v>325</v>
      </c>
      <c r="K184" s="15" t="s">
        <v>334</v>
      </c>
      <c r="L184" s="15" t="s">
        <v>358</v>
      </c>
      <c r="M184" s="15" t="s">
        <v>322</v>
      </c>
      <c r="N184" s="15" t="s">
        <v>708</v>
      </c>
      <c r="O184" s="15" t="s">
        <v>694</v>
      </c>
      <c r="P184" s="15" t="s">
        <v>1041</v>
      </c>
      <c r="Q184" s="15" t="s">
        <v>887</v>
      </c>
      <c r="R184" s="15" t="s">
        <v>835</v>
      </c>
      <c r="S184" s="15" t="s">
        <v>348</v>
      </c>
      <c r="T184" s="15" t="s">
        <v>457</v>
      </c>
      <c r="AC184" s="32" t="s">
        <v>885</v>
      </c>
      <c r="AD184" s="33" t="e">
        <f t="shared" si="60"/>
        <v>#N/A</v>
      </c>
      <c r="AE184" s="21" t="str">
        <f t="shared" si="54"/>
        <v>BR_VW_AFS_dv360_DIS_PROG_CPM_STD_LDR_AAF_RON_CXD_After-Sales-Oficina-Classicos-REG02-lal-lead-oficina_PD_160x600</v>
      </c>
      <c r="AF184" s="21" t="str">
        <f t="shared" si="55"/>
        <v>BR_VW_AFS_dv360_DIS_PROG_CPM_STD_LDR_AAF_RON_CXD_After-Sales-Oficina-Classicos-REG02-lal-lead-oficina_PD_160x600</v>
      </c>
      <c r="AG184" s="21" t="str">
        <f t="shared" si="56"/>
        <v>VW_After-Sales-lal-lead-oficina_160x600_After-Sales-Oficina-Classicos-REG02-adserver</v>
      </c>
      <c r="AH184" s="21" t="str">
        <f t="shared" si="57"/>
        <v>https://www.oficinadeclassicos.com.br/index.aspx?utm_source=dv360&amp;utm_medium=Programmatic&amp;utm_content=BR_VW_AFS_dv360_DIS_PROG_CPM_STD_LDR_AAF_RON_CXD_After-Sales-Oficina-Classicos-REG02-lal-lead-oficina_PD_160x600&amp;utm_campaign=BR_AAF_DSY_NONMS_ND_AS_2019Q2APR_AFS_After-Sales&amp;utm_term=%epid!_%ecid!_%eaid!</v>
      </c>
      <c r="AI184" s="21" t="str">
        <f t="shared" si="58"/>
        <v>TAG</v>
      </c>
      <c r="AJ184" s="15" t="str">
        <f t="shared" si="52"/>
        <v>dv360</v>
      </c>
      <c r="AK184" s="15" t="str">
        <f t="shared" si="53"/>
        <v>Programmatic</v>
      </c>
      <c r="AL184" s="21" t="str">
        <f>Campanha!$B$3</f>
        <v>BR_AAF_DSY_NONMS_ND_AS_2019Q2APR_AFS_After-Sales</v>
      </c>
      <c r="AM184" s="21" t="str">
        <f t="shared" si="59"/>
        <v>BR_VW_AFS_dv360_DIS_PROG_CPM_STD_LDR_AAF_RON_CXD_After-Sales-Oficina-Classicos-REG02-lal-lead-oficina_PD_160x600</v>
      </c>
      <c r="AN184" s="15" t="s">
        <v>809</v>
      </c>
    </row>
    <row r="185" spans="2:40" hidden="1" x14ac:dyDescent="0.25">
      <c r="B185" s="15" t="s">
        <v>872</v>
      </c>
      <c r="C185" s="15"/>
      <c r="D185" s="30" t="s">
        <v>873</v>
      </c>
      <c r="E185" s="22">
        <v>44155</v>
      </c>
      <c r="F185" s="22">
        <v>44196</v>
      </c>
      <c r="G185" s="15" t="s">
        <v>674</v>
      </c>
      <c r="H185" s="15" t="s">
        <v>811</v>
      </c>
      <c r="I185" s="15" t="s">
        <v>702</v>
      </c>
      <c r="J185" s="15" t="s">
        <v>325</v>
      </c>
      <c r="K185" s="15" t="s">
        <v>334</v>
      </c>
      <c r="L185" s="15" t="s">
        <v>358</v>
      </c>
      <c r="M185" s="15" t="s">
        <v>322</v>
      </c>
      <c r="N185" s="15" t="s">
        <v>708</v>
      </c>
      <c r="O185" s="15" t="s">
        <v>694</v>
      </c>
      <c r="P185" s="15" t="s">
        <v>1041</v>
      </c>
      <c r="Q185" s="15" t="s">
        <v>887</v>
      </c>
      <c r="R185" s="15" t="s">
        <v>835</v>
      </c>
      <c r="S185" s="15" t="s">
        <v>348</v>
      </c>
      <c r="T185" s="15" t="s">
        <v>484</v>
      </c>
      <c r="AC185" s="32" t="s">
        <v>885</v>
      </c>
      <c r="AD185" s="33" t="e">
        <f t="shared" si="60"/>
        <v>#N/A</v>
      </c>
      <c r="AE185" s="21" t="str">
        <f t="shared" si="54"/>
        <v>BR_VW_AFS_dv360_DIS_PROG_CPM_STD_LDR_AAF_RON_CXD_After-Sales-Oficina-Classicos-REG02-lal-lead-oficina_PD_300x50</v>
      </c>
      <c r="AF185" s="21" t="str">
        <f t="shared" si="55"/>
        <v>BR_VW_AFS_dv360_DIS_PROG_CPM_STD_LDR_AAF_RON_CXD_After-Sales-Oficina-Classicos-REG02-lal-lead-oficina_PD_300x50</v>
      </c>
      <c r="AG185" s="21" t="str">
        <f t="shared" si="56"/>
        <v>VW_After-Sales-lal-lead-oficina_300x50_After-Sales-Oficina-Classicos-REG02-adserver</v>
      </c>
      <c r="AH185" s="21" t="str">
        <f t="shared" si="57"/>
        <v>https://www.oficinadeclassicos.com.br/index.aspx?utm_source=dv360&amp;utm_medium=Programmatic&amp;utm_content=BR_VW_AFS_dv360_DIS_PROG_CPM_STD_LDR_AAF_RON_CXD_After-Sales-Oficina-Classicos-REG02-lal-lead-oficina_PD_300x50&amp;utm_campaign=BR_AAF_DSY_NONMS_ND_AS_2019Q2APR_AFS_After-Sales&amp;utm_term=%epid!_%ecid!_%eaid!</v>
      </c>
      <c r="AI185" s="21" t="str">
        <f t="shared" si="58"/>
        <v>TAG</v>
      </c>
      <c r="AJ185" s="15" t="str">
        <f t="shared" si="52"/>
        <v>dv360</v>
      </c>
      <c r="AK185" s="15" t="str">
        <f t="shared" si="53"/>
        <v>Programmatic</v>
      </c>
      <c r="AL185" s="21" t="str">
        <f>Campanha!$B$3</f>
        <v>BR_AAF_DSY_NONMS_ND_AS_2019Q2APR_AFS_After-Sales</v>
      </c>
      <c r="AM185" s="21" t="str">
        <f t="shared" si="59"/>
        <v>BR_VW_AFS_dv360_DIS_PROG_CPM_STD_LDR_AAF_RON_CXD_After-Sales-Oficina-Classicos-REG02-lal-lead-oficina_PD_300x50</v>
      </c>
      <c r="AN185" s="15" t="s">
        <v>809</v>
      </c>
    </row>
    <row r="186" spans="2:40" hidden="1" x14ac:dyDescent="0.25">
      <c r="B186" s="15" t="s">
        <v>872</v>
      </c>
      <c r="C186" s="15"/>
      <c r="D186" s="30" t="s">
        <v>873</v>
      </c>
      <c r="E186" s="22">
        <v>44155</v>
      </c>
      <c r="F186" s="22">
        <v>44196</v>
      </c>
      <c r="G186" s="15" t="s">
        <v>674</v>
      </c>
      <c r="H186" s="15" t="s">
        <v>811</v>
      </c>
      <c r="I186" s="15" t="s">
        <v>702</v>
      </c>
      <c r="J186" s="15" t="s">
        <v>325</v>
      </c>
      <c r="K186" s="15" t="s">
        <v>334</v>
      </c>
      <c r="L186" s="15" t="s">
        <v>358</v>
      </c>
      <c r="M186" s="15" t="s">
        <v>322</v>
      </c>
      <c r="N186" s="15" t="s">
        <v>708</v>
      </c>
      <c r="O186" s="15" t="s">
        <v>694</v>
      </c>
      <c r="P186" s="15" t="s">
        <v>1041</v>
      </c>
      <c r="Q186" s="15" t="s">
        <v>887</v>
      </c>
      <c r="R186" s="15" t="s">
        <v>835</v>
      </c>
      <c r="S186" s="15" t="s">
        <v>348</v>
      </c>
      <c r="T186" s="15" t="s">
        <v>478</v>
      </c>
      <c r="AC186" s="32" t="s">
        <v>885</v>
      </c>
      <c r="AD186" s="33" t="e">
        <f t="shared" si="60"/>
        <v>#N/A</v>
      </c>
      <c r="AE186" s="21" t="str">
        <f t="shared" si="54"/>
        <v>BR_VW_AFS_dv360_DIS_PROG_CPM_STD_LDR_AAF_RON_CXD_After-Sales-Oficina-Classicos-REG02-lal-lead-oficina_PD_300x250</v>
      </c>
      <c r="AF186" s="21" t="str">
        <f t="shared" si="55"/>
        <v>BR_VW_AFS_dv360_DIS_PROG_CPM_STD_LDR_AAF_RON_CXD_After-Sales-Oficina-Classicos-REG02-lal-lead-oficina_PD_300x250</v>
      </c>
      <c r="AG186" s="21" t="str">
        <f t="shared" si="56"/>
        <v>VW_After-Sales-lal-lead-oficina_300x250_After-Sales-Oficina-Classicos-REG02-adserver</v>
      </c>
      <c r="AH186" s="21" t="str">
        <f t="shared" si="57"/>
        <v>https://www.oficinadeclassicos.com.br/index.aspx?utm_source=dv360&amp;utm_medium=Programmatic&amp;utm_content=BR_VW_AFS_dv360_DIS_PROG_CPM_STD_LDR_AAF_RON_CXD_After-Sales-Oficina-Classicos-REG02-lal-lead-oficina_PD_300x250&amp;utm_campaign=BR_AAF_DSY_NONMS_ND_AS_2019Q2APR_AFS_After-Sales&amp;utm_term=%epid!_%ecid!_%eaid!</v>
      </c>
      <c r="AI186" s="21" t="str">
        <f t="shared" si="58"/>
        <v>TAG</v>
      </c>
      <c r="AJ186" s="15" t="str">
        <f t="shared" si="52"/>
        <v>dv360</v>
      </c>
      <c r="AK186" s="15" t="str">
        <f t="shared" si="53"/>
        <v>Programmatic</v>
      </c>
      <c r="AL186" s="21" t="str">
        <f>Campanha!$B$3</f>
        <v>BR_AAF_DSY_NONMS_ND_AS_2019Q2APR_AFS_After-Sales</v>
      </c>
      <c r="AM186" s="21" t="str">
        <f t="shared" si="59"/>
        <v>BR_VW_AFS_dv360_DIS_PROG_CPM_STD_LDR_AAF_RON_CXD_After-Sales-Oficina-Classicos-REG02-lal-lead-oficina_PD_300x250</v>
      </c>
      <c r="AN186" s="15" t="s">
        <v>809</v>
      </c>
    </row>
    <row r="187" spans="2:40" hidden="1" x14ac:dyDescent="0.25">
      <c r="B187" s="15" t="s">
        <v>872</v>
      </c>
      <c r="C187" s="15"/>
      <c r="D187" s="30" t="s">
        <v>873</v>
      </c>
      <c r="E187" s="22">
        <v>44155</v>
      </c>
      <c r="F187" s="22">
        <v>44196</v>
      </c>
      <c r="G187" s="15" t="s">
        <v>674</v>
      </c>
      <c r="H187" s="15" t="s">
        <v>811</v>
      </c>
      <c r="I187" s="15" t="s">
        <v>702</v>
      </c>
      <c r="J187" s="15" t="s">
        <v>325</v>
      </c>
      <c r="K187" s="15" t="s">
        <v>334</v>
      </c>
      <c r="L187" s="15" t="s">
        <v>358</v>
      </c>
      <c r="M187" s="15" t="s">
        <v>322</v>
      </c>
      <c r="N187" s="15" t="s">
        <v>708</v>
      </c>
      <c r="O187" s="15" t="s">
        <v>694</v>
      </c>
      <c r="P187" s="15" t="s">
        <v>1041</v>
      </c>
      <c r="Q187" s="15" t="s">
        <v>887</v>
      </c>
      <c r="R187" s="15" t="s">
        <v>835</v>
      </c>
      <c r="S187" s="15" t="s">
        <v>348</v>
      </c>
      <c r="T187" s="15" t="s">
        <v>614</v>
      </c>
      <c r="AC187" s="32" t="s">
        <v>885</v>
      </c>
      <c r="AD187" s="33" t="e">
        <f t="shared" si="60"/>
        <v>#N/A</v>
      </c>
      <c r="AE187" s="21" t="str">
        <f t="shared" si="54"/>
        <v>BR_VW_AFS_dv360_DIS_PROG_CPM_STD_LDR_AAF_RON_CXD_After-Sales-Oficina-Classicos-REG02-lal-lead-oficina_PD_728x90</v>
      </c>
      <c r="AF187" s="21" t="str">
        <f t="shared" si="55"/>
        <v>BR_VW_AFS_dv360_DIS_PROG_CPM_STD_LDR_AAF_RON_CXD_After-Sales-Oficina-Classicos-REG02-lal-lead-oficina_PD_728x90</v>
      </c>
      <c r="AG187" s="21" t="str">
        <f t="shared" si="56"/>
        <v>VW_After-Sales-lal-lead-oficina_728x90_After-Sales-Oficina-Classicos-REG02-adserver</v>
      </c>
      <c r="AH187" s="21" t="str">
        <f t="shared" si="57"/>
        <v>https://www.oficinadeclassicos.com.br/index.aspx?utm_source=dv360&amp;utm_medium=Programmatic&amp;utm_content=BR_VW_AFS_dv360_DIS_PROG_CPM_STD_LDR_AAF_RON_CXD_After-Sales-Oficina-Classicos-REG02-lal-lead-oficina_PD_728x90&amp;utm_campaign=BR_AAF_DSY_NONMS_ND_AS_2019Q2APR_AFS_After-Sales&amp;utm_term=%epid!_%ecid!_%eaid!</v>
      </c>
      <c r="AI187" s="21" t="str">
        <f t="shared" si="58"/>
        <v>TAG</v>
      </c>
      <c r="AJ187" s="15" t="str">
        <f t="shared" si="52"/>
        <v>dv360</v>
      </c>
      <c r="AK187" s="15" t="str">
        <f t="shared" si="53"/>
        <v>Programmatic</v>
      </c>
      <c r="AL187" s="21" t="str">
        <f>Campanha!$B$3</f>
        <v>BR_AAF_DSY_NONMS_ND_AS_2019Q2APR_AFS_After-Sales</v>
      </c>
      <c r="AM187" s="21" t="str">
        <f t="shared" si="59"/>
        <v>BR_VW_AFS_dv360_DIS_PROG_CPM_STD_LDR_AAF_RON_CXD_After-Sales-Oficina-Classicos-REG02-lal-lead-oficina_PD_728x90</v>
      </c>
      <c r="AN187" s="15" t="s">
        <v>809</v>
      </c>
    </row>
    <row r="188" spans="2:40" hidden="1" x14ac:dyDescent="0.25">
      <c r="B188" s="15" t="s">
        <v>872</v>
      </c>
      <c r="C188" s="15"/>
      <c r="D188" s="30" t="s">
        <v>873</v>
      </c>
      <c r="E188" s="22">
        <v>44155</v>
      </c>
      <c r="F188" s="22">
        <v>44196</v>
      </c>
      <c r="G188" s="15" t="s">
        <v>674</v>
      </c>
      <c r="H188" s="15" t="s">
        <v>811</v>
      </c>
      <c r="I188" s="15" t="s">
        <v>702</v>
      </c>
      <c r="J188" s="15" t="s">
        <v>325</v>
      </c>
      <c r="K188" s="15" t="s">
        <v>334</v>
      </c>
      <c r="L188" s="15" t="s">
        <v>358</v>
      </c>
      <c r="M188" s="15" t="s">
        <v>322</v>
      </c>
      <c r="N188" s="15" t="s">
        <v>708</v>
      </c>
      <c r="O188" s="15" t="s">
        <v>694</v>
      </c>
      <c r="P188" s="15" t="s">
        <v>1041</v>
      </c>
      <c r="Q188" s="15" t="s">
        <v>887</v>
      </c>
      <c r="R188" s="15" t="s">
        <v>835</v>
      </c>
      <c r="S188" s="15" t="s">
        <v>348</v>
      </c>
      <c r="T188" s="15" t="s">
        <v>652</v>
      </c>
      <c r="AC188" s="32" t="s">
        <v>885</v>
      </c>
      <c r="AD188" s="33" t="e">
        <f t="shared" si="60"/>
        <v>#N/A</v>
      </c>
      <c r="AE188" s="21" t="str">
        <f t="shared" si="54"/>
        <v>BR_VW_AFS_dv360_DIS_PROG_CPM_STD_LDR_AAF_RON_CXD_After-Sales-Oficina-Classicos-REG02-lal-lead-oficina_PD_970x250</v>
      </c>
      <c r="AF188" s="21" t="str">
        <f t="shared" si="55"/>
        <v>BR_VW_AFS_dv360_DIS_PROG_CPM_STD_LDR_AAF_RON_CXD_After-Sales-Oficina-Classicos-REG02-lal-lead-oficina_PD_970x250</v>
      </c>
      <c r="AG188" s="21" t="str">
        <f t="shared" si="56"/>
        <v>VW_After-Sales-lal-lead-oficina_970x250_After-Sales-Oficina-Classicos-REG02-adserver</v>
      </c>
      <c r="AH188" s="21" t="str">
        <f t="shared" si="57"/>
        <v>https://www.oficinadeclassicos.com.br/index.aspx?utm_source=dv360&amp;utm_medium=Programmatic&amp;utm_content=BR_VW_AFS_dv360_DIS_PROG_CPM_STD_LDR_AAF_RON_CXD_After-Sales-Oficina-Classicos-REG02-lal-lead-oficina_PD_970x250&amp;utm_campaign=BR_AAF_DSY_NONMS_ND_AS_2019Q2APR_AFS_After-Sales&amp;utm_term=%epid!_%ecid!_%eaid!</v>
      </c>
      <c r="AI188" s="21" t="str">
        <f t="shared" si="58"/>
        <v>TAG</v>
      </c>
      <c r="AJ188" s="15" t="str">
        <f t="shared" si="52"/>
        <v>dv360</v>
      </c>
      <c r="AK188" s="15" t="str">
        <f t="shared" si="53"/>
        <v>Programmatic</v>
      </c>
      <c r="AL188" s="21" t="str">
        <f>Campanha!$B$3</f>
        <v>BR_AAF_DSY_NONMS_ND_AS_2019Q2APR_AFS_After-Sales</v>
      </c>
      <c r="AM188" s="21" t="str">
        <f t="shared" si="59"/>
        <v>BR_VW_AFS_dv360_DIS_PROG_CPM_STD_LDR_AAF_RON_CXD_After-Sales-Oficina-Classicos-REG02-lal-lead-oficina_PD_970x250</v>
      </c>
      <c r="AN188" s="15" t="s">
        <v>809</v>
      </c>
    </row>
    <row r="189" spans="2:40" hidden="1" x14ac:dyDescent="0.25">
      <c r="B189" s="15" t="s">
        <v>872</v>
      </c>
      <c r="C189" s="15"/>
      <c r="D189" s="30" t="s">
        <v>873</v>
      </c>
      <c r="E189" s="22">
        <v>44155</v>
      </c>
      <c r="F189" s="22">
        <v>44196</v>
      </c>
      <c r="G189" s="15" t="s">
        <v>674</v>
      </c>
      <c r="H189" s="15" t="s">
        <v>811</v>
      </c>
      <c r="I189" s="15" t="s">
        <v>702</v>
      </c>
      <c r="J189" s="15" t="s">
        <v>325</v>
      </c>
      <c r="K189" s="15" t="s">
        <v>334</v>
      </c>
      <c r="L189" s="15" t="s">
        <v>358</v>
      </c>
      <c r="M189" s="15" t="s">
        <v>322</v>
      </c>
      <c r="N189" s="15" t="s">
        <v>708</v>
      </c>
      <c r="O189" s="15" t="s">
        <v>694</v>
      </c>
      <c r="P189" s="15" t="s">
        <v>1041</v>
      </c>
      <c r="Q189" s="15" t="s">
        <v>880</v>
      </c>
      <c r="R189" s="15" t="s">
        <v>835</v>
      </c>
      <c r="S189" s="15" t="s">
        <v>348</v>
      </c>
      <c r="T189" s="15" t="s">
        <v>457</v>
      </c>
      <c r="AC189" s="32" t="s">
        <v>885</v>
      </c>
      <c r="AD189" s="33" t="e">
        <f t="shared" si="60"/>
        <v>#N/A</v>
      </c>
      <c r="AE189" s="21" t="str">
        <f t="shared" si="54"/>
        <v>BR_VW_AFS_dv360_DIS_PROG_CPM_STD_LDR_AAF_RON_CXD_After-Sales-Oficina-Classicos-REG02-lal-add-to-cart-oficina_PD_160x600</v>
      </c>
      <c r="AF189" s="21" t="str">
        <f t="shared" si="55"/>
        <v>BR_VW_AFS_dv360_DIS_PROG_CPM_STD_LDR_AAF_RON_CXD_After-Sales-Oficina-Classicos-REG02-lal-add-to-cart-oficina_PD_160x600</v>
      </c>
      <c r="AG189" s="21" t="str">
        <f t="shared" si="56"/>
        <v>VW_After-Sales-lal-add-to-cart-oficina_160x600_After-Sales-Oficina-Classicos-REG02-adserver</v>
      </c>
      <c r="AH189" s="21" t="str">
        <f t="shared" si="57"/>
        <v>https://www.oficinadeclassicos.com.br/index.aspx?utm_source=dv360&amp;utm_medium=Programmatic&amp;utm_content=BR_VW_AFS_dv360_DIS_PROG_CPM_STD_LDR_AAF_RON_CXD_After-Sales-Oficina-Classicos-REG02-lal-add-to-cart-oficina_PD_160x600&amp;utm_campaign=BR_AAF_DSY_NONMS_ND_AS_2019Q2APR_AFS_After-Sales&amp;utm_term=%epid!_%ecid!_%eaid!</v>
      </c>
      <c r="AI189" s="21" t="str">
        <f t="shared" si="58"/>
        <v>TAG</v>
      </c>
      <c r="AJ189" s="15" t="str">
        <f t="shared" si="52"/>
        <v>dv360</v>
      </c>
      <c r="AK189" s="15" t="str">
        <f t="shared" si="53"/>
        <v>Programmatic</v>
      </c>
      <c r="AL189" s="21" t="str">
        <f>Campanha!$B$3</f>
        <v>BR_AAF_DSY_NONMS_ND_AS_2019Q2APR_AFS_After-Sales</v>
      </c>
      <c r="AM189" s="21" t="str">
        <f t="shared" si="59"/>
        <v>BR_VW_AFS_dv360_DIS_PROG_CPM_STD_LDR_AAF_RON_CXD_After-Sales-Oficina-Classicos-REG02-lal-add-to-cart-oficina_PD_160x600</v>
      </c>
      <c r="AN189" s="15" t="s">
        <v>809</v>
      </c>
    </row>
    <row r="190" spans="2:40" hidden="1" x14ac:dyDescent="0.25">
      <c r="B190" s="15" t="s">
        <v>872</v>
      </c>
      <c r="C190" s="15"/>
      <c r="D190" s="30" t="s">
        <v>873</v>
      </c>
      <c r="E190" s="22">
        <v>44155</v>
      </c>
      <c r="F190" s="22">
        <v>44196</v>
      </c>
      <c r="G190" s="15" t="s">
        <v>674</v>
      </c>
      <c r="H190" s="15" t="s">
        <v>811</v>
      </c>
      <c r="I190" s="15" t="s">
        <v>702</v>
      </c>
      <c r="J190" s="15" t="s">
        <v>325</v>
      </c>
      <c r="K190" s="15" t="s">
        <v>334</v>
      </c>
      <c r="L190" s="15" t="s">
        <v>358</v>
      </c>
      <c r="M190" s="15" t="s">
        <v>322</v>
      </c>
      <c r="N190" s="15" t="s">
        <v>708</v>
      </c>
      <c r="O190" s="15" t="s">
        <v>694</v>
      </c>
      <c r="P190" s="15" t="s">
        <v>1041</v>
      </c>
      <c r="Q190" s="15" t="s">
        <v>880</v>
      </c>
      <c r="R190" s="15" t="s">
        <v>835</v>
      </c>
      <c r="S190" s="15" t="s">
        <v>348</v>
      </c>
      <c r="T190" s="15" t="s">
        <v>484</v>
      </c>
      <c r="AC190" s="32" t="s">
        <v>885</v>
      </c>
      <c r="AD190" s="33" t="e">
        <f t="shared" si="60"/>
        <v>#N/A</v>
      </c>
      <c r="AE190" s="21" t="str">
        <f t="shared" si="54"/>
        <v>BR_VW_AFS_dv360_DIS_PROG_CPM_STD_LDR_AAF_RON_CXD_After-Sales-Oficina-Classicos-REG02-lal-add-to-cart-oficina_PD_300x50</v>
      </c>
      <c r="AF190" s="21" t="str">
        <f t="shared" si="55"/>
        <v>BR_VW_AFS_dv360_DIS_PROG_CPM_STD_LDR_AAF_RON_CXD_After-Sales-Oficina-Classicos-REG02-lal-add-to-cart-oficina_PD_300x50</v>
      </c>
      <c r="AG190" s="21" t="str">
        <f t="shared" si="56"/>
        <v>VW_After-Sales-lal-add-to-cart-oficina_300x50_After-Sales-Oficina-Classicos-REG02-adserver</v>
      </c>
      <c r="AH190" s="21" t="str">
        <f t="shared" si="57"/>
        <v>https://www.oficinadeclassicos.com.br/index.aspx?utm_source=dv360&amp;utm_medium=Programmatic&amp;utm_content=BR_VW_AFS_dv360_DIS_PROG_CPM_STD_LDR_AAF_RON_CXD_After-Sales-Oficina-Classicos-REG02-lal-add-to-cart-oficina_PD_300x50&amp;utm_campaign=BR_AAF_DSY_NONMS_ND_AS_2019Q2APR_AFS_After-Sales&amp;utm_term=%epid!_%ecid!_%eaid!</v>
      </c>
      <c r="AI190" s="21" t="str">
        <f t="shared" si="58"/>
        <v>TAG</v>
      </c>
      <c r="AJ190" s="15" t="str">
        <f t="shared" ref="AJ190:AJ253" si="61">H190</f>
        <v>dv360</v>
      </c>
      <c r="AK190" s="15" t="str">
        <f t="shared" ref="AK190:AK253" si="62">J190</f>
        <v>Programmatic</v>
      </c>
      <c r="AL190" s="21" t="str">
        <f>Campanha!$B$3</f>
        <v>BR_AAF_DSY_NONMS_ND_AS_2019Q2APR_AFS_After-Sales</v>
      </c>
      <c r="AM190" s="21" t="str">
        <f t="shared" si="59"/>
        <v>BR_VW_AFS_dv360_DIS_PROG_CPM_STD_LDR_AAF_RON_CXD_After-Sales-Oficina-Classicos-REG02-lal-add-to-cart-oficina_PD_300x50</v>
      </c>
      <c r="AN190" s="15" t="s">
        <v>809</v>
      </c>
    </row>
    <row r="191" spans="2:40" hidden="1" x14ac:dyDescent="0.25">
      <c r="B191" s="15" t="s">
        <v>872</v>
      </c>
      <c r="C191" s="15"/>
      <c r="D191" s="30" t="s">
        <v>873</v>
      </c>
      <c r="E191" s="22">
        <v>44155</v>
      </c>
      <c r="F191" s="22">
        <v>44196</v>
      </c>
      <c r="G191" s="15" t="s">
        <v>674</v>
      </c>
      <c r="H191" s="15" t="s">
        <v>811</v>
      </c>
      <c r="I191" s="15" t="s">
        <v>702</v>
      </c>
      <c r="J191" s="15" t="s">
        <v>325</v>
      </c>
      <c r="K191" s="15" t="s">
        <v>334</v>
      </c>
      <c r="L191" s="15" t="s">
        <v>358</v>
      </c>
      <c r="M191" s="15" t="s">
        <v>322</v>
      </c>
      <c r="N191" s="15" t="s">
        <v>708</v>
      </c>
      <c r="O191" s="15" t="s">
        <v>694</v>
      </c>
      <c r="P191" s="15" t="s">
        <v>1041</v>
      </c>
      <c r="Q191" s="15" t="s">
        <v>880</v>
      </c>
      <c r="R191" s="15" t="s">
        <v>835</v>
      </c>
      <c r="S191" s="15" t="s">
        <v>348</v>
      </c>
      <c r="T191" s="15" t="s">
        <v>478</v>
      </c>
      <c r="AC191" s="32" t="s">
        <v>885</v>
      </c>
      <c r="AD191" s="33" t="e">
        <f t="shared" si="60"/>
        <v>#N/A</v>
      </c>
      <c r="AE191" s="21" t="str">
        <f t="shared" si="54"/>
        <v>BR_VW_AFS_dv360_DIS_PROG_CPM_STD_LDR_AAF_RON_CXD_After-Sales-Oficina-Classicos-REG02-lal-add-to-cart-oficina_PD_300x250</v>
      </c>
      <c r="AF191" s="21" t="str">
        <f t="shared" si="55"/>
        <v>BR_VW_AFS_dv360_DIS_PROG_CPM_STD_LDR_AAF_RON_CXD_After-Sales-Oficina-Classicos-REG02-lal-add-to-cart-oficina_PD_300x250</v>
      </c>
      <c r="AG191" s="21" t="str">
        <f t="shared" si="56"/>
        <v>VW_After-Sales-lal-add-to-cart-oficina_300x250_After-Sales-Oficina-Classicos-REG02-adserver</v>
      </c>
      <c r="AH191" s="21" t="str">
        <f t="shared" si="57"/>
        <v>https://www.oficinadeclassicos.com.br/index.aspx?utm_source=dv360&amp;utm_medium=Programmatic&amp;utm_content=BR_VW_AFS_dv360_DIS_PROG_CPM_STD_LDR_AAF_RON_CXD_After-Sales-Oficina-Classicos-REG02-lal-add-to-cart-oficina_PD_300x250&amp;utm_campaign=BR_AAF_DSY_NONMS_ND_AS_2019Q2APR_AFS_After-Sales&amp;utm_term=%epid!_%ecid!_%eaid!</v>
      </c>
      <c r="AI191" s="21" t="str">
        <f t="shared" si="58"/>
        <v>TAG</v>
      </c>
      <c r="AJ191" s="15" t="str">
        <f t="shared" si="61"/>
        <v>dv360</v>
      </c>
      <c r="AK191" s="15" t="str">
        <f t="shared" si="62"/>
        <v>Programmatic</v>
      </c>
      <c r="AL191" s="21" t="str">
        <f>Campanha!$B$3</f>
        <v>BR_AAF_DSY_NONMS_ND_AS_2019Q2APR_AFS_After-Sales</v>
      </c>
      <c r="AM191" s="21" t="str">
        <f t="shared" si="59"/>
        <v>BR_VW_AFS_dv360_DIS_PROG_CPM_STD_LDR_AAF_RON_CXD_After-Sales-Oficina-Classicos-REG02-lal-add-to-cart-oficina_PD_300x250</v>
      </c>
      <c r="AN191" s="15" t="s">
        <v>809</v>
      </c>
    </row>
    <row r="192" spans="2:40" hidden="1" x14ac:dyDescent="0.25">
      <c r="B192" s="15" t="s">
        <v>872</v>
      </c>
      <c r="C192" s="15"/>
      <c r="D192" s="30" t="s">
        <v>873</v>
      </c>
      <c r="E192" s="22">
        <v>44155</v>
      </c>
      <c r="F192" s="22">
        <v>44196</v>
      </c>
      <c r="G192" s="15" t="s">
        <v>674</v>
      </c>
      <c r="H192" s="15" t="s">
        <v>811</v>
      </c>
      <c r="I192" s="15" t="s">
        <v>702</v>
      </c>
      <c r="J192" s="15" t="s">
        <v>325</v>
      </c>
      <c r="K192" s="15" t="s">
        <v>334</v>
      </c>
      <c r="L192" s="15" t="s">
        <v>358</v>
      </c>
      <c r="M192" s="15" t="s">
        <v>322</v>
      </c>
      <c r="N192" s="15" t="s">
        <v>708</v>
      </c>
      <c r="O192" s="15" t="s">
        <v>694</v>
      </c>
      <c r="P192" s="15" t="s">
        <v>1041</v>
      </c>
      <c r="Q192" s="15" t="s">
        <v>880</v>
      </c>
      <c r="R192" s="15" t="s">
        <v>835</v>
      </c>
      <c r="S192" s="15" t="s">
        <v>348</v>
      </c>
      <c r="T192" s="15" t="s">
        <v>614</v>
      </c>
      <c r="AC192" s="32" t="s">
        <v>885</v>
      </c>
      <c r="AD192" s="33" t="e">
        <f t="shared" si="60"/>
        <v>#N/A</v>
      </c>
      <c r="AE192" s="21" t="str">
        <f t="shared" si="54"/>
        <v>BR_VW_AFS_dv360_DIS_PROG_CPM_STD_LDR_AAF_RON_CXD_After-Sales-Oficina-Classicos-REG02-lal-add-to-cart-oficina_PD_728x90</v>
      </c>
      <c r="AF192" s="21" t="str">
        <f t="shared" si="55"/>
        <v>BR_VW_AFS_dv360_DIS_PROG_CPM_STD_LDR_AAF_RON_CXD_After-Sales-Oficina-Classicos-REG02-lal-add-to-cart-oficina_PD_728x90</v>
      </c>
      <c r="AG192" s="21" t="str">
        <f t="shared" si="56"/>
        <v>VW_After-Sales-lal-add-to-cart-oficina_728x90_After-Sales-Oficina-Classicos-REG02-adserver</v>
      </c>
      <c r="AH192" s="21" t="str">
        <f t="shared" si="57"/>
        <v>https://www.oficinadeclassicos.com.br/index.aspx?utm_source=dv360&amp;utm_medium=Programmatic&amp;utm_content=BR_VW_AFS_dv360_DIS_PROG_CPM_STD_LDR_AAF_RON_CXD_After-Sales-Oficina-Classicos-REG02-lal-add-to-cart-oficina_PD_728x90&amp;utm_campaign=BR_AAF_DSY_NONMS_ND_AS_2019Q2APR_AFS_After-Sales&amp;utm_term=%epid!_%ecid!_%eaid!</v>
      </c>
      <c r="AI192" s="21" t="str">
        <f t="shared" si="58"/>
        <v>TAG</v>
      </c>
      <c r="AJ192" s="15" t="str">
        <f t="shared" si="61"/>
        <v>dv360</v>
      </c>
      <c r="AK192" s="15" t="str">
        <f t="shared" si="62"/>
        <v>Programmatic</v>
      </c>
      <c r="AL192" s="21" t="str">
        <f>Campanha!$B$3</f>
        <v>BR_AAF_DSY_NONMS_ND_AS_2019Q2APR_AFS_After-Sales</v>
      </c>
      <c r="AM192" s="21" t="str">
        <f t="shared" si="59"/>
        <v>BR_VW_AFS_dv360_DIS_PROG_CPM_STD_LDR_AAF_RON_CXD_After-Sales-Oficina-Classicos-REG02-lal-add-to-cart-oficina_PD_728x90</v>
      </c>
      <c r="AN192" s="15" t="s">
        <v>809</v>
      </c>
    </row>
    <row r="193" spans="2:40" hidden="1" x14ac:dyDescent="0.25">
      <c r="B193" s="15" t="s">
        <v>872</v>
      </c>
      <c r="C193" s="15"/>
      <c r="D193" s="30" t="s">
        <v>873</v>
      </c>
      <c r="E193" s="22">
        <v>44155</v>
      </c>
      <c r="F193" s="22">
        <v>44196</v>
      </c>
      <c r="G193" s="15" t="s">
        <v>674</v>
      </c>
      <c r="H193" s="15" t="s">
        <v>811</v>
      </c>
      <c r="I193" s="15" t="s">
        <v>702</v>
      </c>
      <c r="J193" s="15" t="s">
        <v>325</v>
      </c>
      <c r="K193" s="15" t="s">
        <v>334</v>
      </c>
      <c r="L193" s="15" t="s">
        <v>358</v>
      </c>
      <c r="M193" s="15" t="s">
        <v>322</v>
      </c>
      <c r="N193" s="15" t="s">
        <v>708</v>
      </c>
      <c r="O193" s="15" t="s">
        <v>694</v>
      </c>
      <c r="P193" s="15" t="s">
        <v>1041</v>
      </c>
      <c r="Q193" s="15" t="s">
        <v>880</v>
      </c>
      <c r="R193" s="15" t="s">
        <v>835</v>
      </c>
      <c r="S193" s="15" t="s">
        <v>348</v>
      </c>
      <c r="T193" s="15" t="s">
        <v>652</v>
      </c>
      <c r="AC193" s="32" t="s">
        <v>885</v>
      </c>
      <c r="AD193" s="33" t="e">
        <f t="shared" si="60"/>
        <v>#N/A</v>
      </c>
      <c r="AE193" s="21" t="str">
        <f t="shared" si="54"/>
        <v>BR_VW_AFS_dv360_DIS_PROG_CPM_STD_LDR_AAF_RON_CXD_After-Sales-Oficina-Classicos-REG02-lal-add-to-cart-oficina_PD_970x250</v>
      </c>
      <c r="AF193" s="21" t="str">
        <f t="shared" si="55"/>
        <v>BR_VW_AFS_dv360_DIS_PROG_CPM_STD_LDR_AAF_RON_CXD_After-Sales-Oficina-Classicos-REG02-lal-add-to-cart-oficina_PD_970x250</v>
      </c>
      <c r="AG193" s="21" t="str">
        <f t="shared" si="56"/>
        <v>VW_After-Sales-lal-add-to-cart-oficina_970x250_After-Sales-Oficina-Classicos-REG02-adserver</v>
      </c>
      <c r="AH193" s="21" t="str">
        <f t="shared" si="57"/>
        <v>https://www.oficinadeclassicos.com.br/index.aspx?utm_source=dv360&amp;utm_medium=Programmatic&amp;utm_content=BR_VW_AFS_dv360_DIS_PROG_CPM_STD_LDR_AAF_RON_CXD_After-Sales-Oficina-Classicos-REG02-lal-add-to-cart-oficina_PD_970x250&amp;utm_campaign=BR_AAF_DSY_NONMS_ND_AS_2019Q2APR_AFS_After-Sales&amp;utm_term=%epid!_%ecid!_%eaid!</v>
      </c>
      <c r="AI193" s="21" t="str">
        <f t="shared" si="58"/>
        <v>TAG</v>
      </c>
      <c r="AJ193" s="15" t="str">
        <f t="shared" si="61"/>
        <v>dv360</v>
      </c>
      <c r="AK193" s="15" t="str">
        <f t="shared" si="62"/>
        <v>Programmatic</v>
      </c>
      <c r="AL193" s="21" t="str">
        <f>Campanha!$B$3</f>
        <v>BR_AAF_DSY_NONMS_ND_AS_2019Q2APR_AFS_After-Sales</v>
      </c>
      <c r="AM193" s="21" t="str">
        <f t="shared" si="59"/>
        <v>BR_VW_AFS_dv360_DIS_PROG_CPM_STD_LDR_AAF_RON_CXD_After-Sales-Oficina-Classicos-REG02-lal-add-to-cart-oficina_PD_970x250</v>
      </c>
      <c r="AN193" s="15" t="s">
        <v>809</v>
      </c>
    </row>
    <row r="194" spans="2:40" hidden="1" x14ac:dyDescent="0.25">
      <c r="B194" s="15" t="s">
        <v>872</v>
      </c>
      <c r="C194" s="15"/>
      <c r="D194" s="30" t="s">
        <v>873</v>
      </c>
      <c r="E194" s="22">
        <v>44155</v>
      </c>
      <c r="F194" s="22">
        <v>44196</v>
      </c>
      <c r="G194" s="15" t="s">
        <v>674</v>
      </c>
      <c r="H194" s="15" t="s">
        <v>811</v>
      </c>
      <c r="I194" s="15" t="s">
        <v>702</v>
      </c>
      <c r="J194" s="15" t="s">
        <v>325</v>
      </c>
      <c r="K194" s="15" t="s">
        <v>334</v>
      </c>
      <c r="L194" s="15" t="s">
        <v>358</v>
      </c>
      <c r="M194" s="15" t="s">
        <v>322</v>
      </c>
      <c r="N194" s="15" t="s">
        <v>708</v>
      </c>
      <c r="O194" s="15" t="s">
        <v>694</v>
      </c>
      <c r="P194" s="15" t="s">
        <v>1041</v>
      </c>
      <c r="Q194" s="15" t="s">
        <v>888</v>
      </c>
      <c r="R194" s="15" t="s">
        <v>835</v>
      </c>
      <c r="S194" s="15" t="s">
        <v>348</v>
      </c>
      <c r="T194" s="15" t="s">
        <v>457</v>
      </c>
      <c r="AC194" s="32" t="s">
        <v>885</v>
      </c>
      <c r="AD194" s="33" t="e">
        <f t="shared" si="60"/>
        <v>#N/A</v>
      </c>
      <c r="AE194" s="21" t="str">
        <f t="shared" si="54"/>
        <v>BR_VW_AFS_dv360_DIS_PROG_CPM_STD_LDR_AAF_RON_CXD_After-Sales-Oficina-Classicos-REG02-lal-home-oficina_PD_160x600</v>
      </c>
      <c r="AF194" s="21" t="str">
        <f t="shared" si="55"/>
        <v>BR_VW_AFS_dv360_DIS_PROG_CPM_STD_LDR_AAF_RON_CXD_After-Sales-Oficina-Classicos-REG02-lal-home-oficina_PD_160x600</v>
      </c>
      <c r="AG194" s="21" t="str">
        <f t="shared" si="56"/>
        <v>VW_After-Sales-lal-home-oficina_160x600_After-Sales-Oficina-Classicos-REG02-adserver</v>
      </c>
      <c r="AH194" s="21" t="str">
        <f t="shared" si="57"/>
        <v>https://www.oficinadeclassicos.com.br/index.aspx?utm_source=dv360&amp;utm_medium=Programmatic&amp;utm_content=BR_VW_AFS_dv360_DIS_PROG_CPM_STD_LDR_AAF_RON_CXD_After-Sales-Oficina-Classicos-REG02-lal-home-oficina_PD_160x600&amp;utm_campaign=BR_AAF_DSY_NONMS_ND_AS_2019Q2APR_AFS_After-Sales&amp;utm_term=%epid!_%ecid!_%eaid!</v>
      </c>
      <c r="AI194" s="21" t="str">
        <f t="shared" si="58"/>
        <v>TAG</v>
      </c>
      <c r="AJ194" s="15" t="str">
        <f t="shared" si="61"/>
        <v>dv360</v>
      </c>
      <c r="AK194" s="15" t="str">
        <f t="shared" si="62"/>
        <v>Programmatic</v>
      </c>
      <c r="AL194" s="21" t="str">
        <f>Campanha!$B$3</f>
        <v>BR_AAF_DSY_NONMS_ND_AS_2019Q2APR_AFS_After-Sales</v>
      </c>
      <c r="AM194" s="21" t="str">
        <f t="shared" si="59"/>
        <v>BR_VW_AFS_dv360_DIS_PROG_CPM_STD_LDR_AAF_RON_CXD_After-Sales-Oficina-Classicos-REG02-lal-home-oficina_PD_160x600</v>
      </c>
      <c r="AN194" s="15" t="s">
        <v>809</v>
      </c>
    </row>
    <row r="195" spans="2:40" hidden="1" x14ac:dyDescent="0.25">
      <c r="B195" s="15" t="s">
        <v>872</v>
      </c>
      <c r="C195" s="15"/>
      <c r="D195" s="30" t="s">
        <v>873</v>
      </c>
      <c r="E195" s="22">
        <v>44155</v>
      </c>
      <c r="F195" s="22">
        <v>44196</v>
      </c>
      <c r="G195" s="15" t="s">
        <v>674</v>
      </c>
      <c r="H195" s="15" t="s">
        <v>811</v>
      </c>
      <c r="I195" s="15" t="s">
        <v>702</v>
      </c>
      <c r="J195" s="15" t="s">
        <v>325</v>
      </c>
      <c r="K195" s="15" t="s">
        <v>334</v>
      </c>
      <c r="L195" s="15" t="s">
        <v>358</v>
      </c>
      <c r="M195" s="15" t="s">
        <v>322</v>
      </c>
      <c r="N195" s="15" t="s">
        <v>708</v>
      </c>
      <c r="O195" s="15" t="s">
        <v>694</v>
      </c>
      <c r="P195" s="15" t="s">
        <v>1041</v>
      </c>
      <c r="Q195" s="15" t="s">
        <v>888</v>
      </c>
      <c r="R195" s="15" t="s">
        <v>835</v>
      </c>
      <c r="S195" s="15" t="s">
        <v>348</v>
      </c>
      <c r="T195" s="15" t="s">
        <v>484</v>
      </c>
      <c r="AC195" s="32" t="s">
        <v>885</v>
      </c>
      <c r="AD195" s="33" t="e">
        <f t="shared" si="60"/>
        <v>#N/A</v>
      </c>
      <c r="AE195" s="21" t="str">
        <f t="shared" si="54"/>
        <v>BR_VW_AFS_dv360_DIS_PROG_CPM_STD_LDR_AAF_RON_CXD_After-Sales-Oficina-Classicos-REG02-lal-home-oficina_PD_300x50</v>
      </c>
      <c r="AF195" s="21" t="str">
        <f t="shared" si="55"/>
        <v>BR_VW_AFS_dv360_DIS_PROG_CPM_STD_LDR_AAF_RON_CXD_After-Sales-Oficina-Classicos-REG02-lal-home-oficina_PD_300x50</v>
      </c>
      <c r="AG195" s="21" t="str">
        <f t="shared" si="56"/>
        <v>VW_After-Sales-lal-home-oficina_300x50_After-Sales-Oficina-Classicos-REG02-adserver</v>
      </c>
      <c r="AH195" s="21" t="str">
        <f t="shared" si="57"/>
        <v>https://www.oficinadeclassicos.com.br/index.aspx?utm_source=dv360&amp;utm_medium=Programmatic&amp;utm_content=BR_VW_AFS_dv360_DIS_PROG_CPM_STD_LDR_AAF_RON_CXD_After-Sales-Oficina-Classicos-REG02-lal-home-oficina_PD_300x50&amp;utm_campaign=BR_AAF_DSY_NONMS_ND_AS_2019Q2APR_AFS_After-Sales&amp;utm_term=%epid!_%ecid!_%eaid!</v>
      </c>
      <c r="AI195" s="21" t="str">
        <f t="shared" si="58"/>
        <v>TAG</v>
      </c>
      <c r="AJ195" s="15" t="str">
        <f t="shared" si="61"/>
        <v>dv360</v>
      </c>
      <c r="AK195" s="15" t="str">
        <f t="shared" si="62"/>
        <v>Programmatic</v>
      </c>
      <c r="AL195" s="21" t="str">
        <f>Campanha!$B$3</f>
        <v>BR_AAF_DSY_NONMS_ND_AS_2019Q2APR_AFS_After-Sales</v>
      </c>
      <c r="AM195" s="21" t="str">
        <f t="shared" si="59"/>
        <v>BR_VW_AFS_dv360_DIS_PROG_CPM_STD_LDR_AAF_RON_CXD_After-Sales-Oficina-Classicos-REG02-lal-home-oficina_PD_300x50</v>
      </c>
      <c r="AN195" s="15" t="s">
        <v>809</v>
      </c>
    </row>
    <row r="196" spans="2:40" hidden="1" x14ac:dyDescent="0.25">
      <c r="B196" s="15" t="s">
        <v>872</v>
      </c>
      <c r="C196" s="15"/>
      <c r="D196" s="30" t="s">
        <v>873</v>
      </c>
      <c r="E196" s="22">
        <v>44155</v>
      </c>
      <c r="F196" s="22">
        <v>44196</v>
      </c>
      <c r="G196" s="15" t="s">
        <v>674</v>
      </c>
      <c r="H196" s="15" t="s">
        <v>811</v>
      </c>
      <c r="I196" s="15" t="s">
        <v>702</v>
      </c>
      <c r="J196" s="15" t="s">
        <v>325</v>
      </c>
      <c r="K196" s="15" t="s">
        <v>334</v>
      </c>
      <c r="L196" s="15" t="s">
        <v>358</v>
      </c>
      <c r="M196" s="15" t="s">
        <v>322</v>
      </c>
      <c r="N196" s="15" t="s">
        <v>708</v>
      </c>
      <c r="O196" s="15" t="s">
        <v>694</v>
      </c>
      <c r="P196" s="15" t="s">
        <v>1041</v>
      </c>
      <c r="Q196" s="15" t="s">
        <v>888</v>
      </c>
      <c r="R196" s="15" t="s">
        <v>835</v>
      </c>
      <c r="S196" s="15" t="s">
        <v>348</v>
      </c>
      <c r="T196" s="15" t="s">
        <v>478</v>
      </c>
      <c r="AC196" s="32" t="s">
        <v>885</v>
      </c>
      <c r="AD196" s="33" t="e">
        <f t="shared" si="60"/>
        <v>#N/A</v>
      </c>
      <c r="AE196" s="21" t="str">
        <f t="shared" si="54"/>
        <v>BR_VW_AFS_dv360_DIS_PROG_CPM_STD_LDR_AAF_RON_CXD_After-Sales-Oficina-Classicos-REG02-lal-home-oficina_PD_300x250</v>
      </c>
      <c r="AF196" s="21" t="str">
        <f t="shared" si="55"/>
        <v>BR_VW_AFS_dv360_DIS_PROG_CPM_STD_LDR_AAF_RON_CXD_After-Sales-Oficina-Classicos-REG02-lal-home-oficina_PD_300x250</v>
      </c>
      <c r="AG196" s="21" t="str">
        <f t="shared" si="56"/>
        <v>VW_After-Sales-lal-home-oficina_300x250_After-Sales-Oficina-Classicos-REG02-adserver</v>
      </c>
      <c r="AH196" s="21" t="str">
        <f t="shared" si="57"/>
        <v>https://www.oficinadeclassicos.com.br/index.aspx?utm_source=dv360&amp;utm_medium=Programmatic&amp;utm_content=BR_VW_AFS_dv360_DIS_PROG_CPM_STD_LDR_AAF_RON_CXD_After-Sales-Oficina-Classicos-REG02-lal-home-oficina_PD_300x250&amp;utm_campaign=BR_AAF_DSY_NONMS_ND_AS_2019Q2APR_AFS_After-Sales&amp;utm_term=%epid!_%ecid!_%eaid!</v>
      </c>
      <c r="AI196" s="21" t="str">
        <f t="shared" si="58"/>
        <v>TAG</v>
      </c>
      <c r="AJ196" s="15" t="str">
        <f t="shared" si="61"/>
        <v>dv360</v>
      </c>
      <c r="AK196" s="15" t="str">
        <f t="shared" si="62"/>
        <v>Programmatic</v>
      </c>
      <c r="AL196" s="21" t="str">
        <f>Campanha!$B$3</f>
        <v>BR_AAF_DSY_NONMS_ND_AS_2019Q2APR_AFS_After-Sales</v>
      </c>
      <c r="AM196" s="21" t="str">
        <f t="shared" si="59"/>
        <v>BR_VW_AFS_dv360_DIS_PROG_CPM_STD_LDR_AAF_RON_CXD_After-Sales-Oficina-Classicos-REG02-lal-home-oficina_PD_300x250</v>
      </c>
      <c r="AN196" s="15" t="s">
        <v>809</v>
      </c>
    </row>
    <row r="197" spans="2:40" hidden="1" x14ac:dyDescent="0.25">
      <c r="B197" s="15" t="s">
        <v>872</v>
      </c>
      <c r="C197" s="15"/>
      <c r="D197" s="30" t="s">
        <v>873</v>
      </c>
      <c r="E197" s="22">
        <v>44155</v>
      </c>
      <c r="F197" s="22">
        <v>44196</v>
      </c>
      <c r="G197" s="15" t="s">
        <v>674</v>
      </c>
      <c r="H197" s="15" t="s">
        <v>811</v>
      </c>
      <c r="I197" s="15" t="s">
        <v>702</v>
      </c>
      <c r="J197" s="15" t="s">
        <v>325</v>
      </c>
      <c r="K197" s="15" t="s">
        <v>334</v>
      </c>
      <c r="L197" s="15" t="s">
        <v>358</v>
      </c>
      <c r="M197" s="15" t="s">
        <v>322</v>
      </c>
      <c r="N197" s="15" t="s">
        <v>708</v>
      </c>
      <c r="O197" s="15" t="s">
        <v>694</v>
      </c>
      <c r="P197" s="15" t="s">
        <v>1041</v>
      </c>
      <c r="Q197" s="15" t="s">
        <v>888</v>
      </c>
      <c r="R197" s="15" t="s">
        <v>835</v>
      </c>
      <c r="S197" s="15" t="s">
        <v>348</v>
      </c>
      <c r="T197" s="15" t="s">
        <v>614</v>
      </c>
      <c r="AC197" s="32" t="s">
        <v>885</v>
      </c>
      <c r="AD197" s="33" t="e">
        <f t="shared" si="60"/>
        <v>#N/A</v>
      </c>
      <c r="AE197" s="21" t="str">
        <f t="shared" si="54"/>
        <v>BR_VW_AFS_dv360_DIS_PROG_CPM_STD_LDR_AAF_RON_CXD_After-Sales-Oficina-Classicos-REG02-lal-home-oficina_PD_728x90</v>
      </c>
      <c r="AF197" s="21" t="str">
        <f t="shared" si="55"/>
        <v>BR_VW_AFS_dv360_DIS_PROG_CPM_STD_LDR_AAF_RON_CXD_After-Sales-Oficina-Classicos-REG02-lal-home-oficina_PD_728x90</v>
      </c>
      <c r="AG197" s="21" t="str">
        <f t="shared" si="56"/>
        <v>VW_After-Sales-lal-home-oficina_728x90_After-Sales-Oficina-Classicos-REG02-adserver</v>
      </c>
      <c r="AH197" s="21" t="str">
        <f t="shared" si="57"/>
        <v>https://www.oficinadeclassicos.com.br/index.aspx?utm_source=dv360&amp;utm_medium=Programmatic&amp;utm_content=BR_VW_AFS_dv360_DIS_PROG_CPM_STD_LDR_AAF_RON_CXD_After-Sales-Oficina-Classicos-REG02-lal-home-oficina_PD_728x90&amp;utm_campaign=BR_AAF_DSY_NONMS_ND_AS_2019Q2APR_AFS_After-Sales&amp;utm_term=%epid!_%ecid!_%eaid!</v>
      </c>
      <c r="AI197" s="21" t="str">
        <f t="shared" si="58"/>
        <v>TAG</v>
      </c>
      <c r="AJ197" s="15" t="str">
        <f t="shared" si="61"/>
        <v>dv360</v>
      </c>
      <c r="AK197" s="15" t="str">
        <f t="shared" si="62"/>
        <v>Programmatic</v>
      </c>
      <c r="AL197" s="21" t="str">
        <f>Campanha!$B$3</f>
        <v>BR_AAF_DSY_NONMS_ND_AS_2019Q2APR_AFS_After-Sales</v>
      </c>
      <c r="AM197" s="21" t="str">
        <f t="shared" si="59"/>
        <v>BR_VW_AFS_dv360_DIS_PROG_CPM_STD_LDR_AAF_RON_CXD_After-Sales-Oficina-Classicos-REG02-lal-home-oficina_PD_728x90</v>
      </c>
      <c r="AN197" s="15" t="s">
        <v>809</v>
      </c>
    </row>
    <row r="198" spans="2:40" hidden="1" x14ac:dyDescent="0.25">
      <c r="B198" s="15" t="s">
        <v>872</v>
      </c>
      <c r="C198" s="15"/>
      <c r="D198" s="30" t="s">
        <v>873</v>
      </c>
      <c r="E198" s="22">
        <v>44155</v>
      </c>
      <c r="F198" s="22">
        <v>44196</v>
      </c>
      <c r="G198" s="15" t="s">
        <v>674</v>
      </c>
      <c r="H198" s="15" t="s">
        <v>811</v>
      </c>
      <c r="I198" s="15" t="s">
        <v>702</v>
      </c>
      <c r="J198" s="15" t="s">
        <v>325</v>
      </c>
      <c r="K198" s="15" t="s">
        <v>334</v>
      </c>
      <c r="L198" s="15" t="s">
        <v>358</v>
      </c>
      <c r="M198" s="15" t="s">
        <v>322</v>
      </c>
      <c r="N198" s="15" t="s">
        <v>708</v>
      </c>
      <c r="O198" s="15" t="s">
        <v>694</v>
      </c>
      <c r="P198" s="15" t="s">
        <v>1041</v>
      </c>
      <c r="Q198" s="15" t="s">
        <v>888</v>
      </c>
      <c r="R198" s="15" t="s">
        <v>835</v>
      </c>
      <c r="S198" s="15" t="s">
        <v>348</v>
      </c>
      <c r="T198" s="15" t="s">
        <v>652</v>
      </c>
      <c r="AC198" s="32" t="s">
        <v>885</v>
      </c>
      <c r="AD198" s="33" t="e">
        <f t="shared" si="60"/>
        <v>#N/A</v>
      </c>
      <c r="AE198" s="21" t="str">
        <f t="shared" si="54"/>
        <v>BR_VW_AFS_dv360_DIS_PROG_CPM_STD_LDR_AAF_RON_CXD_After-Sales-Oficina-Classicos-REG02-lal-home-oficina_PD_970x250</v>
      </c>
      <c r="AF198" s="21" t="str">
        <f t="shared" si="55"/>
        <v>BR_VW_AFS_dv360_DIS_PROG_CPM_STD_LDR_AAF_RON_CXD_After-Sales-Oficina-Classicos-REG02-lal-home-oficina_PD_970x250</v>
      </c>
      <c r="AG198" s="21" t="str">
        <f t="shared" si="56"/>
        <v>VW_After-Sales-lal-home-oficina_970x250_After-Sales-Oficina-Classicos-REG02-adserver</v>
      </c>
      <c r="AH198" s="21" t="str">
        <f t="shared" si="57"/>
        <v>https://www.oficinadeclassicos.com.br/index.aspx?utm_source=dv360&amp;utm_medium=Programmatic&amp;utm_content=BR_VW_AFS_dv360_DIS_PROG_CPM_STD_LDR_AAF_RON_CXD_After-Sales-Oficina-Classicos-REG02-lal-home-oficina_PD_970x250&amp;utm_campaign=BR_AAF_DSY_NONMS_ND_AS_2019Q2APR_AFS_After-Sales&amp;utm_term=%epid!_%ecid!_%eaid!</v>
      </c>
      <c r="AI198" s="21" t="str">
        <f t="shared" si="58"/>
        <v>TAG</v>
      </c>
      <c r="AJ198" s="15" t="str">
        <f t="shared" si="61"/>
        <v>dv360</v>
      </c>
      <c r="AK198" s="15" t="str">
        <f t="shared" si="62"/>
        <v>Programmatic</v>
      </c>
      <c r="AL198" s="21" t="str">
        <f>Campanha!$B$3</f>
        <v>BR_AAF_DSY_NONMS_ND_AS_2019Q2APR_AFS_After-Sales</v>
      </c>
      <c r="AM198" s="21" t="str">
        <f t="shared" si="59"/>
        <v>BR_VW_AFS_dv360_DIS_PROG_CPM_STD_LDR_AAF_RON_CXD_After-Sales-Oficina-Classicos-REG02-lal-home-oficina_PD_970x250</v>
      </c>
      <c r="AN198" s="15" t="s">
        <v>809</v>
      </c>
    </row>
    <row r="199" spans="2:40" hidden="1" x14ac:dyDescent="0.25">
      <c r="B199" s="15" t="s">
        <v>872</v>
      </c>
      <c r="C199" s="15"/>
      <c r="D199" s="30" t="s">
        <v>873</v>
      </c>
      <c r="E199" s="22">
        <v>44155</v>
      </c>
      <c r="F199" s="22">
        <v>44196</v>
      </c>
      <c r="G199" s="15" t="s">
        <v>674</v>
      </c>
      <c r="H199" s="15" t="s">
        <v>811</v>
      </c>
      <c r="I199" s="15" t="s">
        <v>702</v>
      </c>
      <c r="J199" s="15" t="s">
        <v>325</v>
      </c>
      <c r="K199" s="15" t="s">
        <v>334</v>
      </c>
      <c r="L199" s="15" t="s">
        <v>358</v>
      </c>
      <c r="M199" s="15" t="s">
        <v>322</v>
      </c>
      <c r="N199" s="15" t="s">
        <v>708</v>
      </c>
      <c r="O199" s="15" t="s">
        <v>694</v>
      </c>
      <c r="P199" s="15" t="s">
        <v>1041</v>
      </c>
      <c r="Q199" s="15" t="s">
        <v>878</v>
      </c>
      <c r="R199" s="15" t="s">
        <v>835</v>
      </c>
      <c r="S199" s="15" t="s">
        <v>348</v>
      </c>
      <c r="T199" s="15" t="s">
        <v>457</v>
      </c>
      <c r="AC199" s="32" t="s">
        <v>885</v>
      </c>
      <c r="AD199" s="33" t="e">
        <f t="shared" si="60"/>
        <v>#N/A</v>
      </c>
      <c r="AE199" s="21" t="str">
        <f t="shared" si="54"/>
        <v>BR_VW_AFS_dv360_DIS_PROG_CPM_STD_LDR_AAF_RON_CXD_After-Sales-Oficina-Classicos-REG02-rmkt-visita-home-oficina_PD_160x600</v>
      </c>
      <c r="AF199" s="21" t="str">
        <f t="shared" si="55"/>
        <v>BR_VW_AFS_dv360_DIS_PROG_CPM_STD_LDR_AAF_RON_CXD_After-Sales-Oficina-Classicos-REG02-rmkt-visita-home-oficina_PD_160x600</v>
      </c>
      <c r="AG199" s="21" t="str">
        <f t="shared" si="56"/>
        <v>VW_After-Sales-rmkt-visita-home-oficina_160x600_After-Sales-Oficina-Classicos-REG02-adserver</v>
      </c>
      <c r="AH199" s="21" t="str">
        <f t="shared" si="57"/>
        <v>https://www.oficinadeclassicos.com.br/index.aspx?utm_source=dv360&amp;utm_medium=Programmatic&amp;utm_content=BR_VW_AFS_dv360_DIS_PROG_CPM_STD_LDR_AAF_RON_CXD_After-Sales-Oficina-Classicos-REG02-rmkt-visita-home-oficina_PD_160x600&amp;utm_campaign=BR_AAF_DSY_NONMS_ND_AS_2019Q2APR_AFS_After-Sales&amp;utm_term=%epid!_%ecid!_%eaid!</v>
      </c>
      <c r="AI199" s="21" t="str">
        <f t="shared" si="58"/>
        <v>TAG</v>
      </c>
      <c r="AJ199" s="15" t="str">
        <f t="shared" si="61"/>
        <v>dv360</v>
      </c>
      <c r="AK199" s="15" t="str">
        <f t="shared" si="62"/>
        <v>Programmatic</v>
      </c>
      <c r="AL199" s="21" t="str">
        <f>Campanha!$B$3</f>
        <v>BR_AAF_DSY_NONMS_ND_AS_2019Q2APR_AFS_After-Sales</v>
      </c>
      <c r="AM199" s="21" t="str">
        <f t="shared" si="59"/>
        <v>BR_VW_AFS_dv360_DIS_PROG_CPM_STD_LDR_AAF_RON_CXD_After-Sales-Oficina-Classicos-REG02-rmkt-visita-home-oficina_PD_160x600</v>
      </c>
      <c r="AN199" s="15" t="s">
        <v>809</v>
      </c>
    </row>
    <row r="200" spans="2:40" hidden="1" x14ac:dyDescent="0.25">
      <c r="B200" s="15" t="s">
        <v>872</v>
      </c>
      <c r="C200" s="15"/>
      <c r="D200" s="30" t="s">
        <v>873</v>
      </c>
      <c r="E200" s="22">
        <v>44155</v>
      </c>
      <c r="F200" s="22">
        <v>44196</v>
      </c>
      <c r="G200" s="15" t="s">
        <v>674</v>
      </c>
      <c r="H200" s="15" t="s">
        <v>811</v>
      </c>
      <c r="I200" s="15" t="s">
        <v>702</v>
      </c>
      <c r="J200" s="15" t="s">
        <v>325</v>
      </c>
      <c r="K200" s="15" t="s">
        <v>334</v>
      </c>
      <c r="L200" s="15" t="s">
        <v>358</v>
      </c>
      <c r="M200" s="15" t="s">
        <v>322</v>
      </c>
      <c r="N200" s="15" t="s">
        <v>708</v>
      </c>
      <c r="O200" s="15" t="s">
        <v>694</v>
      </c>
      <c r="P200" s="15" t="s">
        <v>1041</v>
      </c>
      <c r="Q200" s="15" t="s">
        <v>878</v>
      </c>
      <c r="R200" s="15" t="s">
        <v>835</v>
      </c>
      <c r="S200" s="15" t="s">
        <v>348</v>
      </c>
      <c r="T200" s="15" t="s">
        <v>484</v>
      </c>
      <c r="AC200" s="32" t="s">
        <v>885</v>
      </c>
      <c r="AD200" s="33" t="e">
        <f t="shared" si="60"/>
        <v>#N/A</v>
      </c>
      <c r="AE200" s="21" t="str">
        <f t="shared" si="54"/>
        <v>BR_VW_AFS_dv360_DIS_PROG_CPM_STD_LDR_AAF_RON_CXD_After-Sales-Oficina-Classicos-REG02-rmkt-visita-home-oficina_PD_300x50</v>
      </c>
      <c r="AF200" s="21" t="str">
        <f t="shared" si="55"/>
        <v>BR_VW_AFS_dv360_DIS_PROG_CPM_STD_LDR_AAF_RON_CXD_After-Sales-Oficina-Classicos-REG02-rmkt-visita-home-oficina_PD_300x50</v>
      </c>
      <c r="AG200" s="21" t="str">
        <f t="shared" si="56"/>
        <v>VW_After-Sales-rmkt-visita-home-oficina_300x50_After-Sales-Oficina-Classicos-REG02-adserver</v>
      </c>
      <c r="AH200" s="21" t="str">
        <f t="shared" si="57"/>
        <v>https://www.oficinadeclassicos.com.br/index.aspx?utm_source=dv360&amp;utm_medium=Programmatic&amp;utm_content=BR_VW_AFS_dv360_DIS_PROG_CPM_STD_LDR_AAF_RON_CXD_After-Sales-Oficina-Classicos-REG02-rmkt-visita-home-oficina_PD_300x50&amp;utm_campaign=BR_AAF_DSY_NONMS_ND_AS_2019Q2APR_AFS_After-Sales&amp;utm_term=%epid!_%ecid!_%eaid!</v>
      </c>
      <c r="AI200" s="21" t="str">
        <f t="shared" si="58"/>
        <v>TAG</v>
      </c>
      <c r="AJ200" s="15" t="str">
        <f t="shared" si="61"/>
        <v>dv360</v>
      </c>
      <c r="AK200" s="15" t="str">
        <f t="shared" si="62"/>
        <v>Programmatic</v>
      </c>
      <c r="AL200" s="21" t="str">
        <f>Campanha!$B$3</f>
        <v>BR_AAF_DSY_NONMS_ND_AS_2019Q2APR_AFS_After-Sales</v>
      </c>
      <c r="AM200" s="21" t="str">
        <f t="shared" si="59"/>
        <v>BR_VW_AFS_dv360_DIS_PROG_CPM_STD_LDR_AAF_RON_CXD_After-Sales-Oficina-Classicos-REG02-rmkt-visita-home-oficina_PD_300x50</v>
      </c>
      <c r="AN200" s="15" t="s">
        <v>809</v>
      </c>
    </row>
    <row r="201" spans="2:40" hidden="1" x14ac:dyDescent="0.25">
      <c r="B201" s="15" t="s">
        <v>872</v>
      </c>
      <c r="C201" s="15"/>
      <c r="D201" s="30" t="s">
        <v>873</v>
      </c>
      <c r="E201" s="22">
        <v>44155</v>
      </c>
      <c r="F201" s="22">
        <v>44196</v>
      </c>
      <c r="G201" s="15" t="s">
        <v>674</v>
      </c>
      <c r="H201" s="15" t="s">
        <v>811</v>
      </c>
      <c r="I201" s="15" t="s">
        <v>702</v>
      </c>
      <c r="J201" s="15" t="s">
        <v>325</v>
      </c>
      <c r="K201" s="15" t="s">
        <v>334</v>
      </c>
      <c r="L201" s="15" t="s">
        <v>358</v>
      </c>
      <c r="M201" s="15" t="s">
        <v>322</v>
      </c>
      <c r="N201" s="15" t="s">
        <v>708</v>
      </c>
      <c r="O201" s="15" t="s">
        <v>694</v>
      </c>
      <c r="P201" s="15" t="s">
        <v>1041</v>
      </c>
      <c r="Q201" s="15" t="s">
        <v>878</v>
      </c>
      <c r="R201" s="15" t="s">
        <v>835</v>
      </c>
      <c r="S201" s="15" t="s">
        <v>348</v>
      </c>
      <c r="T201" s="15" t="s">
        <v>478</v>
      </c>
      <c r="AC201" s="32" t="s">
        <v>885</v>
      </c>
      <c r="AD201" s="33" t="e">
        <f t="shared" si="60"/>
        <v>#N/A</v>
      </c>
      <c r="AE201" s="21" t="str">
        <f t="shared" si="54"/>
        <v>BR_VW_AFS_dv360_DIS_PROG_CPM_STD_LDR_AAF_RON_CXD_After-Sales-Oficina-Classicos-REG02-rmkt-visita-home-oficina_PD_300x250</v>
      </c>
      <c r="AF201" s="21" t="str">
        <f t="shared" si="55"/>
        <v>BR_VW_AFS_dv360_DIS_PROG_CPM_STD_LDR_AAF_RON_CXD_After-Sales-Oficina-Classicos-REG02-rmkt-visita-home-oficina_PD_300x250</v>
      </c>
      <c r="AG201" s="21" t="str">
        <f t="shared" si="56"/>
        <v>VW_After-Sales-rmkt-visita-home-oficina_300x250_After-Sales-Oficina-Classicos-REG02-adserver</v>
      </c>
      <c r="AH201" s="21" t="str">
        <f t="shared" si="57"/>
        <v>https://www.oficinadeclassicos.com.br/index.aspx?utm_source=dv360&amp;utm_medium=Programmatic&amp;utm_content=BR_VW_AFS_dv360_DIS_PROG_CPM_STD_LDR_AAF_RON_CXD_After-Sales-Oficina-Classicos-REG02-rmkt-visita-home-oficina_PD_300x250&amp;utm_campaign=BR_AAF_DSY_NONMS_ND_AS_2019Q2APR_AFS_After-Sales&amp;utm_term=%epid!_%ecid!_%eaid!</v>
      </c>
      <c r="AI201" s="21" t="str">
        <f t="shared" si="58"/>
        <v>TAG</v>
      </c>
      <c r="AJ201" s="15" t="str">
        <f t="shared" si="61"/>
        <v>dv360</v>
      </c>
      <c r="AK201" s="15" t="str">
        <f t="shared" si="62"/>
        <v>Programmatic</v>
      </c>
      <c r="AL201" s="21" t="str">
        <f>Campanha!$B$3</f>
        <v>BR_AAF_DSY_NONMS_ND_AS_2019Q2APR_AFS_After-Sales</v>
      </c>
      <c r="AM201" s="21" t="str">
        <f t="shared" si="59"/>
        <v>BR_VW_AFS_dv360_DIS_PROG_CPM_STD_LDR_AAF_RON_CXD_After-Sales-Oficina-Classicos-REG02-rmkt-visita-home-oficina_PD_300x250</v>
      </c>
      <c r="AN201" s="15" t="s">
        <v>809</v>
      </c>
    </row>
    <row r="202" spans="2:40" hidden="1" x14ac:dyDescent="0.25">
      <c r="B202" s="15" t="s">
        <v>872</v>
      </c>
      <c r="C202" s="15"/>
      <c r="D202" s="30" t="s">
        <v>873</v>
      </c>
      <c r="E202" s="22">
        <v>44155</v>
      </c>
      <c r="F202" s="22">
        <v>44196</v>
      </c>
      <c r="G202" s="15" t="s">
        <v>674</v>
      </c>
      <c r="H202" s="15" t="s">
        <v>811</v>
      </c>
      <c r="I202" s="15" t="s">
        <v>702</v>
      </c>
      <c r="J202" s="15" t="s">
        <v>325</v>
      </c>
      <c r="K202" s="15" t="s">
        <v>334</v>
      </c>
      <c r="L202" s="15" t="s">
        <v>358</v>
      </c>
      <c r="M202" s="15" t="s">
        <v>322</v>
      </c>
      <c r="N202" s="15" t="s">
        <v>708</v>
      </c>
      <c r="O202" s="15" t="s">
        <v>694</v>
      </c>
      <c r="P202" s="15" t="s">
        <v>1041</v>
      </c>
      <c r="Q202" s="15" t="s">
        <v>878</v>
      </c>
      <c r="R202" s="15" t="s">
        <v>835</v>
      </c>
      <c r="S202" s="15" t="s">
        <v>348</v>
      </c>
      <c r="T202" s="15" t="s">
        <v>614</v>
      </c>
      <c r="AC202" s="32" t="s">
        <v>885</v>
      </c>
      <c r="AD202" s="33" t="e">
        <f t="shared" si="60"/>
        <v>#N/A</v>
      </c>
      <c r="AE202" s="21" t="str">
        <f t="shared" si="54"/>
        <v>BR_VW_AFS_dv360_DIS_PROG_CPM_STD_LDR_AAF_RON_CXD_After-Sales-Oficina-Classicos-REG02-rmkt-visita-home-oficina_PD_728x90</v>
      </c>
      <c r="AF202" s="21" t="str">
        <f t="shared" si="55"/>
        <v>BR_VW_AFS_dv360_DIS_PROG_CPM_STD_LDR_AAF_RON_CXD_After-Sales-Oficina-Classicos-REG02-rmkt-visita-home-oficina_PD_728x90</v>
      </c>
      <c r="AG202" s="21" t="str">
        <f t="shared" si="56"/>
        <v>VW_After-Sales-rmkt-visita-home-oficina_728x90_After-Sales-Oficina-Classicos-REG02-adserver</v>
      </c>
      <c r="AH202" s="21" t="str">
        <f t="shared" si="57"/>
        <v>https://www.oficinadeclassicos.com.br/index.aspx?utm_source=dv360&amp;utm_medium=Programmatic&amp;utm_content=BR_VW_AFS_dv360_DIS_PROG_CPM_STD_LDR_AAF_RON_CXD_After-Sales-Oficina-Classicos-REG02-rmkt-visita-home-oficina_PD_728x90&amp;utm_campaign=BR_AAF_DSY_NONMS_ND_AS_2019Q2APR_AFS_After-Sales&amp;utm_term=%epid!_%ecid!_%eaid!</v>
      </c>
      <c r="AI202" s="21" t="str">
        <f t="shared" si="58"/>
        <v>TAG</v>
      </c>
      <c r="AJ202" s="15" t="str">
        <f t="shared" si="61"/>
        <v>dv360</v>
      </c>
      <c r="AK202" s="15" t="str">
        <f t="shared" si="62"/>
        <v>Programmatic</v>
      </c>
      <c r="AL202" s="21" t="str">
        <f>Campanha!$B$3</f>
        <v>BR_AAF_DSY_NONMS_ND_AS_2019Q2APR_AFS_After-Sales</v>
      </c>
      <c r="AM202" s="21" t="str">
        <f t="shared" si="59"/>
        <v>BR_VW_AFS_dv360_DIS_PROG_CPM_STD_LDR_AAF_RON_CXD_After-Sales-Oficina-Classicos-REG02-rmkt-visita-home-oficina_PD_728x90</v>
      </c>
      <c r="AN202" s="15" t="s">
        <v>809</v>
      </c>
    </row>
    <row r="203" spans="2:40" hidden="1" x14ac:dyDescent="0.25">
      <c r="B203" s="15" t="s">
        <v>872</v>
      </c>
      <c r="C203" s="15"/>
      <c r="D203" s="30" t="s">
        <v>873</v>
      </c>
      <c r="E203" s="22">
        <v>44155</v>
      </c>
      <c r="F203" s="22">
        <v>44196</v>
      </c>
      <c r="G203" s="15" t="s">
        <v>674</v>
      </c>
      <c r="H203" s="15" t="s">
        <v>811</v>
      </c>
      <c r="I203" s="15" t="s">
        <v>702</v>
      </c>
      <c r="J203" s="15" t="s">
        <v>325</v>
      </c>
      <c r="K203" s="15" t="s">
        <v>334</v>
      </c>
      <c r="L203" s="15" t="s">
        <v>358</v>
      </c>
      <c r="M203" s="15" t="s">
        <v>322</v>
      </c>
      <c r="N203" s="15" t="s">
        <v>708</v>
      </c>
      <c r="O203" s="15" t="s">
        <v>694</v>
      </c>
      <c r="P203" s="15" t="s">
        <v>1041</v>
      </c>
      <c r="Q203" s="15" t="s">
        <v>878</v>
      </c>
      <c r="R203" s="15" t="s">
        <v>835</v>
      </c>
      <c r="S203" s="15" t="s">
        <v>348</v>
      </c>
      <c r="T203" s="15" t="s">
        <v>652</v>
      </c>
      <c r="AC203" s="32" t="s">
        <v>885</v>
      </c>
      <c r="AD203" s="33" t="e">
        <f t="shared" si="60"/>
        <v>#N/A</v>
      </c>
      <c r="AE203" s="21" t="str">
        <f t="shared" si="54"/>
        <v>BR_VW_AFS_dv360_DIS_PROG_CPM_STD_LDR_AAF_RON_CXD_After-Sales-Oficina-Classicos-REG02-rmkt-visita-home-oficina_PD_970x250</v>
      </c>
      <c r="AF203" s="21" t="str">
        <f t="shared" si="55"/>
        <v>BR_VW_AFS_dv360_DIS_PROG_CPM_STD_LDR_AAF_RON_CXD_After-Sales-Oficina-Classicos-REG02-rmkt-visita-home-oficina_PD_970x250</v>
      </c>
      <c r="AG203" s="21" t="str">
        <f t="shared" si="56"/>
        <v>VW_After-Sales-rmkt-visita-home-oficina_970x250_After-Sales-Oficina-Classicos-REG02-adserver</v>
      </c>
      <c r="AH203" s="21" t="str">
        <f t="shared" si="57"/>
        <v>https://www.oficinadeclassicos.com.br/index.aspx?utm_source=dv360&amp;utm_medium=Programmatic&amp;utm_content=BR_VW_AFS_dv360_DIS_PROG_CPM_STD_LDR_AAF_RON_CXD_After-Sales-Oficina-Classicos-REG02-rmkt-visita-home-oficina_PD_970x250&amp;utm_campaign=BR_AAF_DSY_NONMS_ND_AS_2019Q2APR_AFS_After-Sales&amp;utm_term=%epid!_%ecid!_%eaid!</v>
      </c>
      <c r="AI203" s="21" t="str">
        <f t="shared" si="58"/>
        <v>TAG</v>
      </c>
      <c r="AJ203" s="15" t="str">
        <f t="shared" si="61"/>
        <v>dv360</v>
      </c>
      <c r="AK203" s="15" t="str">
        <f t="shared" si="62"/>
        <v>Programmatic</v>
      </c>
      <c r="AL203" s="21" t="str">
        <f>Campanha!$B$3</f>
        <v>BR_AAF_DSY_NONMS_ND_AS_2019Q2APR_AFS_After-Sales</v>
      </c>
      <c r="AM203" s="21" t="str">
        <f t="shared" si="59"/>
        <v>BR_VW_AFS_dv360_DIS_PROG_CPM_STD_LDR_AAF_RON_CXD_After-Sales-Oficina-Classicos-REG02-rmkt-visita-home-oficina_PD_970x250</v>
      </c>
      <c r="AN203" s="15" t="s">
        <v>809</v>
      </c>
    </row>
    <row r="204" spans="2:40" hidden="1" x14ac:dyDescent="0.25">
      <c r="B204" s="15" t="s">
        <v>872</v>
      </c>
      <c r="C204" s="15"/>
      <c r="D204" s="30" t="s">
        <v>873</v>
      </c>
      <c r="E204" s="22">
        <v>44155</v>
      </c>
      <c r="F204" s="22">
        <v>44196</v>
      </c>
      <c r="G204" s="15" t="s">
        <v>674</v>
      </c>
      <c r="H204" s="15" t="s">
        <v>811</v>
      </c>
      <c r="I204" s="15" t="s">
        <v>702</v>
      </c>
      <c r="J204" s="15" t="s">
        <v>325</v>
      </c>
      <c r="K204" s="15" t="s">
        <v>334</v>
      </c>
      <c r="L204" s="15" t="s">
        <v>358</v>
      </c>
      <c r="M204" s="15" t="s">
        <v>322</v>
      </c>
      <c r="N204" s="15" t="s">
        <v>708</v>
      </c>
      <c r="O204" s="15" t="s">
        <v>694</v>
      </c>
      <c r="P204" s="15" t="s">
        <v>1041</v>
      </c>
      <c r="Q204" s="15" t="s">
        <v>881</v>
      </c>
      <c r="R204" s="15" t="s">
        <v>835</v>
      </c>
      <c r="S204" s="15" t="s">
        <v>348</v>
      </c>
      <c r="T204" s="15" t="s">
        <v>457</v>
      </c>
      <c r="AC204" s="32" t="s">
        <v>885</v>
      </c>
      <c r="AD204" s="33" t="e">
        <f t="shared" si="60"/>
        <v>#N/A</v>
      </c>
      <c r="AE204" s="21" t="str">
        <f t="shared" si="54"/>
        <v>BR_VW_AFS_dv360_DIS_PROG_CPM_STD_LDR_AAF_RON_CXD_After-Sales-Oficina-Classicos-REG02-rmkt-add-to-cart-oficina_PD_160x600</v>
      </c>
      <c r="AF204" s="21" t="str">
        <f t="shared" si="55"/>
        <v>BR_VW_AFS_dv360_DIS_PROG_CPM_STD_LDR_AAF_RON_CXD_After-Sales-Oficina-Classicos-REG02-rmkt-add-to-cart-oficina_PD_160x600</v>
      </c>
      <c r="AG204" s="21" t="str">
        <f t="shared" si="56"/>
        <v>VW_After-Sales-rmkt-add-to-cart-oficina_160x600_After-Sales-Oficina-Classicos-REG02-adserver</v>
      </c>
      <c r="AH204" s="21" t="str">
        <f t="shared" si="57"/>
        <v>https://www.oficinadeclassicos.com.br/index.aspx?utm_source=dv360&amp;utm_medium=Programmatic&amp;utm_content=BR_VW_AFS_dv360_DIS_PROG_CPM_STD_LDR_AAF_RON_CXD_After-Sales-Oficina-Classicos-REG02-rmkt-add-to-cart-oficina_PD_160x600&amp;utm_campaign=BR_AAF_DSY_NONMS_ND_AS_2019Q2APR_AFS_After-Sales&amp;utm_term=%epid!_%ecid!_%eaid!</v>
      </c>
      <c r="AI204" s="21" t="str">
        <f t="shared" si="58"/>
        <v>TAG</v>
      </c>
      <c r="AJ204" s="15" t="str">
        <f t="shared" si="61"/>
        <v>dv360</v>
      </c>
      <c r="AK204" s="15" t="str">
        <f t="shared" si="62"/>
        <v>Programmatic</v>
      </c>
      <c r="AL204" s="21" t="str">
        <f>Campanha!$B$3</f>
        <v>BR_AAF_DSY_NONMS_ND_AS_2019Q2APR_AFS_After-Sales</v>
      </c>
      <c r="AM204" s="21" t="str">
        <f t="shared" si="59"/>
        <v>BR_VW_AFS_dv360_DIS_PROG_CPM_STD_LDR_AAF_RON_CXD_After-Sales-Oficina-Classicos-REG02-rmkt-add-to-cart-oficina_PD_160x600</v>
      </c>
      <c r="AN204" s="15" t="s">
        <v>809</v>
      </c>
    </row>
    <row r="205" spans="2:40" hidden="1" x14ac:dyDescent="0.25">
      <c r="B205" s="15" t="s">
        <v>872</v>
      </c>
      <c r="C205" s="15"/>
      <c r="D205" s="30" t="s">
        <v>873</v>
      </c>
      <c r="E205" s="22">
        <v>44155</v>
      </c>
      <c r="F205" s="22">
        <v>44196</v>
      </c>
      <c r="G205" s="15" t="s">
        <v>674</v>
      </c>
      <c r="H205" s="15" t="s">
        <v>811</v>
      </c>
      <c r="I205" s="15" t="s">
        <v>702</v>
      </c>
      <c r="J205" s="15" t="s">
        <v>325</v>
      </c>
      <c r="K205" s="15" t="s">
        <v>334</v>
      </c>
      <c r="L205" s="15" t="s">
        <v>358</v>
      </c>
      <c r="M205" s="15" t="s">
        <v>322</v>
      </c>
      <c r="N205" s="15" t="s">
        <v>708</v>
      </c>
      <c r="O205" s="15" t="s">
        <v>694</v>
      </c>
      <c r="P205" s="15" t="s">
        <v>1041</v>
      </c>
      <c r="Q205" s="15" t="s">
        <v>881</v>
      </c>
      <c r="R205" s="15" t="s">
        <v>835</v>
      </c>
      <c r="S205" s="15" t="s">
        <v>348</v>
      </c>
      <c r="T205" s="15" t="s">
        <v>484</v>
      </c>
      <c r="AC205" s="32" t="s">
        <v>885</v>
      </c>
      <c r="AD205" s="33" t="e">
        <f t="shared" si="60"/>
        <v>#N/A</v>
      </c>
      <c r="AE205" s="21" t="str">
        <f t="shared" si="54"/>
        <v>BR_VW_AFS_dv360_DIS_PROG_CPM_STD_LDR_AAF_RON_CXD_After-Sales-Oficina-Classicos-REG02-rmkt-add-to-cart-oficina_PD_300x50</v>
      </c>
      <c r="AF205" s="21" t="str">
        <f t="shared" si="55"/>
        <v>BR_VW_AFS_dv360_DIS_PROG_CPM_STD_LDR_AAF_RON_CXD_After-Sales-Oficina-Classicos-REG02-rmkt-add-to-cart-oficina_PD_300x50</v>
      </c>
      <c r="AG205" s="21" t="str">
        <f t="shared" si="56"/>
        <v>VW_After-Sales-rmkt-add-to-cart-oficina_300x50_After-Sales-Oficina-Classicos-REG02-adserver</v>
      </c>
      <c r="AH205" s="21" t="str">
        <f t="shared" si="57"/>
        <v>https://www.oficinadeclassicos.com.br/index.aspx?utm_source=dv360&amp;utm_medium=Programmatic&amp;utm_content=BR_VW_AFS_dv360_DIS_PROG_CPM_STD_LDR_AAF_RON_CXD_After-Sales-Oficina-Classicos-REG02-rmkt-add-to-cart-oficina_PD_300x50&amp;utm_campaign=BR_AAF_DSY_NONMS_ND_AS_2019Q2APR_AFS_After-Sales&amp;utm_term=%epid!_%ecid!_%eaid!</v>
      </c>
      <c r="AI205" s="21" t="str">
        <f t="shared" si="58"/>
        <v>TAG</v>
      </c>
      <c r="AJ205" s="15" t="str">
        <f t="shared" si="61"/>
        <v>dv360</v>
      </c>
      <c r="AK205" s="15" t="str">
        <f t="shared" si="62"/>
        <v>Programmatic</v>
      </c>
      <c r="AL205" s="21" t="str">
        <f>Campanha!$B$3</f>
        <v>BR_AAF_DSY_NONMS_ND_AS_2019Q2APR_AFS_After-Sales</v>
      </c>
      <c r="AM205" s="21" t="str">
        <f t="shared" si="59"/>
        <v>BR_VW_AFS_dv360_DIS_PROG_CPM_STD_LDR_AAF_RON_CXD_After-Sales-Oficina-Classicos-REG02-rmkt-add-to-cart-oficina_PD_300x50</v>
      </c>
      <c r="AN205" s="15" t="s">
        <v>809</v>
      </c>
    </row>
    <row r="206" spans="2:40" hidden="1" x14ac:dyDescent="0.25">
      <c r="B206" s="15" t="s">
        <v>872</v>
      </c>
      <c r="C206" s="15"/>
      <c r="D206" s="30" t="s">
        <v>873</v>
      </c>
      <c r="E206" s="22">
        <v>44155</v>
      </c>
      <c r="F206" s="22">
        <v>44196</v>
      </c>
      <c r="G206" s="15" t="s">
        <v>674</v>
      </c>
      <c r="H206" s="15" t="s">
        <v>811</v>
      </c>
      <c r="I206" s="15" t="s">
        <v>702</v>
      </c>
      <c r="J206" s="15" t="s">
        <v>325</v>
      </c>
      <c r="K206" s="15" t="s">
        <v>334</v>
      </c>
      <c r="L206" s="15" t="s">
        <v>358</v>
      </c>
      <c r="M206" s="15" t="s">
        <v>322</v>
      </c>
      <c r="N206" s="15" t="s">
        <v>708</v>
      </c>
      <c r="O206" s="15" t="s">
        <v>694</v>
      </c>
      <c r="P206" s="15" t="s">
        <v>1041</v>
      </c>
      <c r="Q206" s="15" t="s">
        <v>881</v>
      </c>
      <c r="R206" s="15" t="s">
        <v>835</v>
      </c>
      <c r="S206" s="15" t="s">
        <v>348</v>
      </c>
      <c r="T206" s="15" t="s">
        <v>478</v>
      </c>
      <c r="AC206" s="32" t="s">
        <v>885</v>
      </c>
      <c r="AD206" s="33" t="e">
        <f t="shared" si="60"/>
        <v>#N/A</v>
      </c>
      <c r="AE206" s="21" t="str">
        <f t="shared" si="54"/>
        <v>BR_VW_AFS_dv360_DIS_PROG_CPM_STD_LDR_AAF_RON_CXD_After-Sales-Oficina-Classicos-REG02-rmkt-add-to-cart-oficina_PD_300x250</v>
      </c>
      <c r="AF206" s="21" t="str">
        <f t="shared" si="55"/>
        <v>BR_VW_AFS_dv360_DIS_PROG_CPM_STD_LDR_AAF_RON_CXD_After-Sales-Oficina-Classicos-REG02-rmkt-add-to-cart-oficina_PD_300x250</v>
      </c>
      <c r="AG206" s="21" t="str">
        <f t="shared" si="56"/>
        <v>VW_After-Sales-rmkt-add-to-cart-oficina_300x250_After-Sales-Oficina-Classicos-REG02-adserver</v>
      </c>
      <c r="AH206" s="21" t="str">
        <f t="shared" si="57"/>
        <v>https://www.oficinadeclassicos.com.br/index.aspx?utm_source=dv360&amp;utm_medium=Programmatic&amp;utm_content=BR_VW_AFS_dv360_DIS_PROG_CPM_STD_LDR_AAF_RON_CXD_After-Sales-Oficina-Classicos-REG02-rmkt-add-to-cart-oficina_PD_300x250&amp;utm_campaign=BR_AAF_DSY_NONMS_ND_AS_2019Q2APR_AFS_After-Sales&amp;utm_term=%epid!_%ecid!_%eaid!</v>
      </c>
      <c r="AI206" s="21" t="str">
        <f t="shared" si="58"/>
        <v>TAG</v>
      </c>
      <c r="AJ206" s="15" t="str">
        <f t="shared" si="61"/>
        <v>dv360</v>
      </c>
      <c r="AK206" s="15" t="str">
        <f t="shared" si="62"/>
        <v>Programmatic</v>
      </c>
      <c r="AL206" s="21" t="str">
        <f>Campanha!$B$3</f>
        <v>BR_AAF_DSY_NONMS_ND_AS_2019Q2APR_AFS_After-Sales</v>
      </c>
      <c r="AM206" s="21" t="str">
        <f t="shared" si="59"/>
        <v>BR_VW_AFS_dv360_DIS_PROG_CPM_STD_LDR_AAF_RON_CXD_After-Sales-Oficina-Classicos-REG02-rmkt-add-to-cart-oficina_PD_300x250</v>
      </c>
      <c r="AN206" s="15" t="s">
        <v>809</v>
      </c>
    </row>
    <row r="207" spans="2:40" hidden="1" x14ac:dyDescent="0.25">
      <c r="B207" s="15" t="s">
        <v>872</v>
      </c>
      <c r="C207" s="15"/>
      <c r="D207" s="30" t="s">
        <v>873</v>
      </c>
      <c r="E207" s="22">
        <v>44155</v>
      </c>
      <c r="F207" s="22">
        <v>44196</v>
      </c>
      <c r="G207" s="15" t="s">
        <v>674</v>
      </c>
      <c r="H207" s="15" t="s">
        <v>811</v>
      </c>
      <c r="I207" s="15" t="s">
        <v>702</v>
      </c>
      <c r="J207" s="15" t="s">
        <v>325</v>
      </c>
      <c r="K207" s="15" t="s">
        <v>334</v>
      </c>
      <c r="L207" s="15" t="s">
        <v>358</v>
      </c>
      <c r="M207" s="15" t="s">
        <v>322</v>
      </c>
      <c r="N207" s="15" t="s">
        <v>708</v>
      </c>
      <c r="O207" s="15" t="s">
        <v>694</v>
      </c>
      <c r="P207" s="15" t="s">
        <v>1041</v>
      </c>
      <c r="Q207" s="15" t="s">
        <v>881</v>
      </c>
      <c r="R207" s="15" t="s">
        <v>835</v>
      </c>
      <c r="S207" s="15" t="s">
        <v>348</v>
      </c>
      <c r="T207" s="15" t="s">
        <v>614</v>
      </c>
      <c r="AC207" s="32" t="s">
        <v>885</v>
      </c>
      <c r="AD207" s="33" t="e">
        <f t="shared" si="60"/>
        <v>#N/A</v>
      </c>
      <c r="AE207" s="21" t="str">
        <f t="shared" si="54"/>
        <v>BR_VW_AFS_dv360_DIS_PROG_CPM_STD_LDR_AAF_RON_CXD_After-Sales-Oficina-Classicos-REG02-rmkt-add-to-cart-oficina_PD_728x90</v>
      </c>
      <c r="AF207" s="21" t="str">
        <f t="shared" si="55"/>
        <v>BR_VW_AFS_dv360_DIS_PROG_CPM_STD_LDR_AAF_RON_CXD_After-Sales-Oficina-Classicos-REG02-rmkt-add-to-cart-oficina_PD_728x90</v>
      </c>
      <c r="AG207" s="21" t="str">
        <f t="shared" si="56"/>
        <v>VW_After-Sales-rmkt-add-to-cart-oficina_728x90_After-Sales-Oficina-Classicos-REG02-adserver</v>
      </c>
      <c r="AH207" s="21" t="str">
        <f t="shared" si="57"/>
        <v>https://www.oficinadeclassicos.com.br/index.aspx?utm_source=dv360&amp;utm_medium=Programmatic&amp;utm_content=BR_VW_AFS_dv360_DIS_PROG_CPM_STD_LDR_AAF_RON_CXD_After-Sales-Oficina-Classicos-REG02-rmkt-add-to-cart-oficina_PD_728x90&amp;utm_campaign=BR_AAF_DSY_NONMS_ND_AS_2019Q2APR_AFS_After-Sales&amp;utm_term=%epid!_%ecid!_%eaid!</v>
      </c>
      <c r="AI207" s="21" t="str">
        <f t="shared" si="58"/>
        <v>TAG</v>
      </c>
      <c r="AJ207" s="15" t="str">
        <f t="shared" si="61"/>
        <v>dv360</v>
      </c>
      <c r="AK207" s="15" t="str">
        <f t="shared" si="62"/>
        <v>Programmatic</v>
      </c>
      <c r="AL207" s="21" t="str">
        <f>Campanha!$B$3</f>
        <v>BR_AAF_DSY_NONMS_ND_AS_2019Q2APR_AFS_After-Sales</v>
      </c>
      <c r="AM207" s="21" t="str">
        <f t="shared" si="59"/>
        <v>BR_VW_AFS_dv360_DIS_PROG_CPM_STD_LDR_AAF_RON_CXD_After-Sales-Oficina-Classicos-REG02-rmkt-add-to-cart-oficina_PD_728x90</v>
      </c>
      <c r="AN207" s="15" t="s">
        <v>809</v>
      </c>
    </row>
    <row r="208" spans="2:40" hidden="1" x14ac:dyDescent="0.25">
      <c r="B208" s="15" t="s">
        <v>872</v>
      </c>
      <c r="C208" s="15"/>
      <c r="D208" s="30" t="s">
        <v>873</v>
      </c>
      <c r="E208" s="22">
        <v>44155</v>
      </c>
      <c r="F208" s="22">
        <v>44196</v>
      </c>
      <c r="G208" s="15" t="s">
        <v>674</v>
      </c>
      <c r="H208" s="15" t="s">
        <v>811</v>
      </c>
      <c r="I208" s="15" t="s">
        <v>702</v>
      </c>
      <c r="J208" s="15" t="s">
        <v>325</v>
      </c>
      <c r="K208" s="15" t="s">
        <v>334</v>
      </c>
      <c r="L208" s="15" t="s">
        <v>358</v>
      </c>
      <c r="M208" s="15" t="s">
        <v>322</v>
      </c>
      <c r="N208" s="15" t="s">
        <v>708</v>
      </c>
      <c r="O208" s="15" t="s">
        <v>694</v>
      </c>
      <c r="P208" s="15" t="s">
        <v>1041</v>
      </c>
      <c r="Q208" s="15" t="s">
        <v>881</v>
      </c>
      <c r="R208" s="15" t="s">
        <v>835</v>
      </c>
      <c r="S208" s="15" t="s">
        <v>348</v>
      </c>
      <c r="T208" s="15" t="s">
        <v>652</v>
      </c>
      <c r="AC208" s="32" t="s">
        <v>885</v>
      </c>
      <c r="AD208" s="33" t="e">
        <f t="shared" si="60"/>
        <v>#N/A</v>
      </c>
      <c r="AE208" s="21" t="str">
        <f t="shared" ref="AE208:AE271" si="63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IF(col_servidopor="adserver-rotacionar",col_segmentacao,CONCATENATE(col_localfreetype,"-",col_segmentacao)),"_",VLOOKUP(col_paidvsav,tab_paidvsav,2,FALSE),"_",col_size))</f>
        <v>BR_VW_AFS_dv360_DIS_PROG_CPM_STD_LDR_AAF_RON_CXD_After-Sales-Oficina-Classicos-REG02-rmkt-add-to-cart-oficina_PD_970x250</v>
      </c>
      <c r="AF208" s="21" t="str">
        <f t="shared" ref="AF208:AF271" si="64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col_localfreetype,"-",col_segmentacao,"_",VLOOKUP(col_paidvsav,tab_paidvsav,2,FALSE),"_",col_size))</f>
        <v>BR_VW_AFS_dv360_DIS_PROG_CPM_STD_LDR_AAF_RON_CXD_After-Sales-Oficina-Classicos-REG02-rmkt-add-to-cart-oficina_PD_970x250</v>
      </c>
      <c r="AG208" s="21" t="str">
        <f t="shared" ref="AG208:AG271" si="65">CONCATENATE("VW","_",cel_modelvariant,"-",col_segmentacao,"_",col_size,"_",col_localfreetype,"-",IF(col_servidopor="portal",col_supplier,"adserver"))</f>
        <v>VW_After-Sales-rmkt-add-to-cart-oficina_970x250_After-Sales-Oficina-Classicos-REG02-adserver</v>
      </c>
      <c r="AH208" s="21" t="str">
        <f t="shared" ref="AH208:AH271" si="66">faxineiro(CONCATENATE(col_url,IF(ISNUMBER(FIND("?",col_url)),"&amp;","?"),"utm_source=",col_utmsource,"&amp;utm_medium=",col_utmmedium,"&amp;utm_content=",col_utmcontent,"&amp;utm_campaign=",col_utmcampaign,"&amp;utm_term=",col_keyword))</f>
        <v>https://www.oficinadeclassicos.com.br/index.aspx?utm_source=dv360&amp;utm_medium=Programmatic&amp;utm_content=BR_VW_AFS_dv360_DIS_PROG_CPM_STD_LDR_AAF_RON_CXD_After-Sales-Oficina-Classicos-REG02-rmkt-add-to-cart-oficina_PD_970x250&amp;utm_campaign=BR_AAF_DSY_NONMS_ND_AS_2019Q2APR_AFS_After-Sales&amp;utm_term=%epid!_%ecid!_%eaid!</v>
      </c>
      <c r="AI208" s="21" t="str">
        <f t="shared" ref="AI208:AI271" si="67">IFERROR(IF(col_servidopor="portal",VLOOKUP(col_placement,tab_contadores,2,FALSE),"TAG"),"Contador")</f>
        <v>TAG</v>
      </c>
      <c r="AJ208" s="15" t="str">
        <f t="shared" si="61"/>
        <v>dv360</v>
      </c>
      <c r="AK208" s="15" t="str">
        <f t="shared" si="62"/>
        <v>Programmatic</v>
      </c>
      <c r="AL208" s="21" t="str">
        <f>Campanha!$B$3</f>
        <v>BR_AAF_DSY_NONMS_ND_AS_2019Q2APR_AFS_After-Sales</v>
      </c>
      <c r="AM208" s="21" t="str">
        <f t="shared" ref="AM208:AM271" si="68">col_adname</f>
        <v>BR_VW_AFS_dv360_DIS_PROG_CPM_STD_LDR_AAF_RON_CXD_After-Sales-Oficina-Classicos-REG02-rmkt-add-to-cart-oficina_PD_970x250</v>
      </c>
      <c r="AN208" s="15" t="s">
        <v>809</v>
      </c>
    </row>
    <row r="209" spans="2:40" hidden="1" x14ac:dyDescent="0.25">
      <c r="B209" s="15" t="s">
        <v>933</v>
      </c>
      <c r="C209" s="15" t="s">
        <v>1171</v>
      </c>
      <c r="D209" s="30" t="s">
        <v>873</v>
      </c>
      <c r="E209" s="22">
        <v>44155</v>
      </c>
      <c r="F209" s="22">
        <v>44196</v>
      </c>
      <c r="G209" s="15" t="s">
        <v>674</v>
      </c>
      <c r="H209" s="15" t="s">
        <v>811</v>
      </c>
      <c r="I209" s="15" t="s">
        <v>702</v>
      </c>
      <c r="J209" s="15" t="s">
        <v>325</v>
      </c>
      <c r="K209" s="15" t="s">
        <v>334</v>
      </c>
      <c r="L209" s="15" t="s">
        <v>358</v>
      </c>
      <c r="M209" s="15" t="s">
        <v>322</v>
      </c>
      <c r="N209" s="15" t="s">
        <v>708</v>
      </c>
      <c r="O209" s="15" t="s">
        <v>694</v>
      </c>
      <c r="P209" s="15" t="s">
        <v>1042</v>
      </c>
      <c r="Q209" s="15" t="s">
        <v>842</v>
      </c>
      <c r="R209" s="15" t="s">
        <v>835</v>
      </c>
      <c r="S209" s="15" t="s">
        <v>348</v>
      </c>
      <c r="T209" s="15" t="s">
        <v>457</v>
      </c>
      <c r="AC209" s="32" t="s">
        <v>885</v>
      </c>
      <c r="AD209" s="33" t="str">
        <f t="shared" si="60"/>
        <v>289282738</v>
      </c>
      <c r="AE209" s="21" t="str">
        <f t="shared" si="63"/>
        <v>BR_VW_AFS_dv360_DIS_PROG_CPM_STD_LDR_AAF_RON_CXD_After-Sales-Oficina-Classicos-REG03-KWs_PD_160x600</v>
      </c>
      <c r="AF209" s="21" t="str">
        <f t="shared" si="64"/>
        <v>BR_VW_AFS_dv360_DIS_PROG_CPM_STD_LDR_AAF_RON_CXD_After-Sales-Oficina-Classicos-REG03-KWs_PD_160x600</v>
      </c>
      <c r="AG209" s="21" t="str">
        <f t="shared" si="65"/>
        <v>VW_After-Sales-KWs_160x600_After-Sales-Oficina-Classicos-REG03-adserver</v>
      </c>
      <c r="AH209" s="21" t="str">
        <f t="shared" si="66"/>
        <v>https://www.oficinadeclassicos.com.br/index.aspx?utm_source=dv360&amp;utm_medium=Programmatic&amp;utm_content=BR_VW_AFS_dv360_DIS_PROG_CPM_STD_LDR_AAF_RON_CXD_After-Sales-Oficina-Classicos-REG03-KWs_PD_160x600&amp;utm_campaign=BR_AAF_DSY_NONMS_ND_AS_2019Q2APR_AFS_After-Sales&amp;utm_term=%epid!_%ecid!_%eaid!</v>
      </c>
      <c r="AI209" s="21" t="str">
        <f t="shared" si="67"/>
        <v>TAG</v>
      </c>
      <c r="AJ209" s="15" t="str">
        <f t="shared" si="61"/>
        <v>dv360</v>
      </c>
      <c r="AK209" s="15" t="str">
        <f t="shared" si="62"/>
        <v>Programmatic</v>
      </c>
      <c r="AL209" s="21" t="str">
        <f>Campanha!$B$3</f>
        <v>BR_AAF_DSY_NONMS_ND_AS_2019Q2APR_AFS_After-Sales</v>
      </c>
      <c r="AM209" s="21" t="str">
        <f t="shared" si="68"/>
        <v>BR_VW_AFS_dv360_DIS_PROG_CPM_STD_LDR_AAF_RON_CXD_After-Sales-Oficina-Classicos-REG03-KWs_PD_160x600</v>
      </c>
      <c r="AN209" s="15" t="s">
        <v>809</v>
      </c>
    </row>
    <row r="210" spans="2:40" hidden="1" x14ac:dyDescent="0.25">
      <c r="B210" s="15" t="s">
        <v>933</v>
      </c>
      <c r="C210" s="15" t="s">
        <v>1171</v>
      </c>
      <c r="D210" s="30" t="s">
        <v>873</v>
      </c>
      <c r="E210" s="22">
        <v>44155</v>
      </c>
      <c r="F210" s="22">
        <v>44196</v>
      </c>
      <c r="G210" s="15" t="s">
        <v>674</v>
      </c>
      <c r="H210" s="15" t="s">
        <v>811</v>
      </c>
      <c r="I210" s="15" t="s">
        <v>702</v>
      </c>
      <c r="J210" s="15" t="s">
        <v>325</v>
      </c>
      <c r="K210" s="15" t="s">
        <v>334</v>
      </c>
      <c r="L210" s="15" t="s">
        <v>358</v>
      </c>
      <c r="M210" s="15" t="s">
        <v>322</v>
      </c>
      <c r="N210" s="15" t="s">
        <v>708</v>
      </c>
      <c r="O210" s="15" t="s">
        <v>694</v>
      </c>
      <c r="P210" s="15" t="s">
        <v>1042</v>
      </c>
      <c r="Q210" s="15" t="s">
        <v>842</v>
      </c>
      <c r="R210" s="15" t="s">
        <v>835</v>
      </c>
      <c r="S210" s="15" t="s">
        <v>348</v>
      </c>
      <c r="T210" s="15" t="s">
        <v>484</v>
      </c>
      <c r="AC210" s="32" t="s">
        <v>885</v>
      </c>
      <c r="AD210" s="33" t="str">
        <f t="shared" si="60"/>
        <v>289282735</v>
      </c>
      <c r="AE210" s="21" t="str">
        <f t="shared" si="63"/>
        <v>BR_VW_AFS_dv360_DIS_PROG_CPM_STD_LDR_AAF_RON_CXD_After-Sales-Oficina-Classicos-REG03-KWs_PD_300x50</v>
      </c>
      <c r="AF210" s="21" t="str">
        <f t="shared" si="64"/>
        <v>BR_VW_AFS_dv360_DIS_PROG_CPM_STD_LDR_AAF_RON_CXD_After-Sales-Oficina-Classicos-REG03-KWs_PD_300x50</v>
      </c>
      <c r="AG210" s="21" t="str">
        <f t="shared" si="65"/>
        <v>VW_After-Sales-KWs_300x50_After-Sales-Oficina-Classicos-REG03-adserver</v>
      </c>
      <c r="AH210" s="21" t="str">
        <f t="shared" si="66"/>
        <v>https://www.oficinadeclassicos.com.br/index.aspx?utm_source=dv360&amp;utm_medium=Programmatic&amp;utm_content=BR_VW_AFS_dv360_DIS_PROG_CPM_STD_LDR_AAF_RON_CXD_After-Sales-Oficina-Classicos-REG03-KWs_PD_300x50&amp;utm_campaign=BR_AAF_DSY_NONMS_ND_AS_2019Q2APR_AFS_After-Sales&amp;utm_term=%epid!_%ecid!_%eaid!</v>
      </c>
      <c r="AI210" s="21" t="str">
        <f t="shared" si="67"/>
        <v>TAG</v>
      </c>
      <c r="AJ210" s="15" t="str">
        <f t="shared" si="61"/>
        <v>dv360</v>
      </c>
      <c r="AK210" s="15" t="str">
        <f t="shared" si="62"/>
        <v>Programmatic</v>
      </c>
      <c r="AL210" s="21" t="str">
        <f>Campanha!$B$3</f>
        <v>BR_AAF_DSY_NONMS_ND_AS_2019Q2APR_AFS_After-Sales</v>
      </c>
      <c r="AM210" s="21" t="str">
        <f t="shared" si="68"/>
        <v>BR_VW_AFS_dv360_DIS_PROG_CPM_STD_LDR_AAF_RON_CXD_After-Sales-Oficina-Classicos-REG03-KWs_PD_300x50</v>
      </c>
      <c r="AN210" s="15" t="s">
        <v>809</v>
      </c>
    </row>
    <row r="211" spans="2:40" hidden="1" x14ac:dyDescent="0.25">
      <c r="B211" s="15" t="s">
        <v>933</v>
      </c>
      <c r="C211" s="15" t="s">
        <v>1171</v>
      </c>
      <c r="D211" s="30" t="s">
        <v>873</v>
      </c>
      <c r="E211" s="22">
        <v>44155</v>
      </c>
      <c r="F211" s="22">
        <v>44196</v>
      </c>
      <c r="G211" s="15" t="s">
        <v>674</v>
      </c>
      <c r="H211" s="15" t="s">
        <v>811</v>
      </c>
      <c r="I211" s="15" t="s">
        <v>702</v>
      </c>
      <c r="J211" s="15" t="s">
        <v>325</v>
      </c>
      <c r="K211" s="15" t="s">
        <v>334</v>
      </c>
      <c r="L211" s="15" t="s">
        <v>358</v>
      </c>
      <c r="M211" s="15" t="s">
        <v>322</v>
      </c>
      <c r="N211" s="15" t="s">
        <v>708</v>
      </c>
      <c r="O211" s="15" t="s">
        <v>694</v>
      </c>
      <c r="P211" s="15" t="s">
        <v>1042</v>
      </c>
      <c r="Q211" s="15" t="s">
        <v>842</v>
      </c>
      <c r="R211" s="15" t="s">
        <v>835</v>
      </c>
      <c r="S211" s="15" t="s">
        <v>348</v>
      </c>
      <c r="T211" s="15" t="s">
        <v>478</v>
      </c>
      <c r="AC211" s="32" t="s">
        <v>885</v>
      </c>
      <c r="AD211" s="33" t="str">
        <f t="shared" si="60"/>
        <v>289282732</v>
      </c>
      <c r="AE211" s="21" t="str">
        <f t="shared" si="63"/>
        <v>BR_VW_AFS_dv360_DIS_PROG_CPM_STD_LDR_AAF_RON_CXD_After-Sales-Oficina-Classicos-REG03-KWs_PD_300x250</v>
      </c>
      <c r="AF211" s="21" t="str">
        <f t="shared" si="64"/>
        <v>BR_VW_AFS_dv360_DIS_PROG_CPM_STD_LDR_AAF_RON_CXD_After-Sales-Oficina-Classicos-REG03-KWs_PD_300x250</v>
      </c>
      <c r="AG211" s="21" t="str">
        <f t="shared" si="65"/>
        <v>VW_After-Sales-KWs_300x250_After-Sales-Oficina-Classicos-REG03-adserver</v>
      </c>
      <c r="AH211" s="21" t="str">
        <f t="shared" si="66"/>
        <v>https://www.oficinadeclassicos.com.br/index.aspx?utm_source=dv360&amp;utm_medium=Programmatic&amp;utm_content=BR_VW_AFS_dv360_DIS_PROG_CPM_STD_LDR_AAF_RON_CXD_After-Sales-Oficina-Classicos-REG03-KWs_PD_300x250&amp;utm_campaign=BR_AAF_DSY_NONMS_ND_AS_2019Q2APR_AFS_After-Sales&amp;utm_term=%epid!_%ecid!_%eaid!</v>
      </c>
      <c r="AI211" s="21" t="str">
        <f t="shared" si="67"/>
        <v>TAG</v>
      </c>
      <c r="AJ211" s="15" t="str">
        <f t="shared" si="61"/>
        <v>dv360</v>
      </c>
      <c r="AK211" s="15" t="str">
        <f t="shared" si="62"/>
        <v>Programmatic</v>
      </c>
      <c r="AL211" s="21" t="str">
        <f>Campanha!$B$3</f>
        <v>BR_AAF_DSY_NONMS_ND_AS_2019Q2APR_AFS_After-Sales</v>
      </c>
      <c r="AM211" s="21" t="str">
        <f t="shared" si="68"/>
        <v>BR_VW_AFS_dv360_DIS_PROG_CPM_STD_LDR_AAF_RON_CXD_After-Sales-Oficina-Classicos-REG03-KWs_PD_300x250</v>
      </c>
      <c r="AN211" s="15" t="s">
        <v>809</v>
      </c>
    </row>
    <row r="212" spans="2:40" hidden="1" x14ac:dyDescent="0.25">
      <c r="B212" s="15" t="s">
        <v>933</v>
      </c>
      <c r="C212" s="15" t="s">
        <v>1172</v>
      </c>
      <c r="D212" s="30" t="s">
        <v>873</v>
      </c>
      <c r="E212" s="22">
        <v>44155</v>
      </c>
      <c r="F212" s="22">
        <v>44196</v>
      </c>
      <c r="G212" s="15" t="s">
        <v>674</v>
      </c>
      <c r="H212" s="15" t="s">
        <v>811</v>
      </c>
      <c r="I212" s="15" t="s">
        <v>702</v>
      </c>
      <c r="J212" s="15" t="s">
        <v>325</v>
      </c>
      <c r="K212" s="15" t="s">
        <v>334</v>
      </c>
      <c r="L212" s="15" t="s">
        <v>358</v>
      </c>
      <c r="M212" s="15" t="s">
        <v>322</v>
      </c>
      <c r="N212" s="15" t="s">
        <v>708</v>
      </c>
      <c r="O212" s="15" t="s">
        <v>694</v>
      </c>
      <c r="P212" s="15" t="s">
        <v>1042</v>
      </c>
      <c r="Q212" s="15" t="s">
        <v>842</v>
      </c>
      <c r="R212" s="15" t="s">
        <v>835</v>
      </c>
      <c r="S212" s="15" t="s">
        <v>348</v>
      </c>
      <c r="T212" s="15" t="s">
        <v>614</v>
      </c>
      <c r="AC212" s="32" t="s">
        <v>885</v>
      </c>
      <c r="AD212" s="33" t="str">
        <f t="shared" si="60"/>
        <v>289251021</v>
      </c>
      <c r="AE212" s="21" t="str">
        <f t="shared" si="63"/>
        <v>BR_VW_AFS_dv360_DIS_PROG_CPM_STD_LDR_AAF_RON_CXD_After-Sales-Oficina-Classicos-REG03-KWs_PD_728x90</v>
      </c>
      <c r="AF212" s="21" t="str">
        <f t="shared" si="64"/>
        <v>BR_VW_AFS_dv360_DIS_PROG_CPM_STD_LDR_AAF_RON_CXD_After-Sales-Oficina-Classicos-REG03-KWs_PD_728x90</v>
      </c>
      <c r="AG212" s="21" t="str">
        <f t="shared" si="65"/>
        <v>VW_After-Sales-KWs_728x90_After-Sales-Oficina-Classicos-REG03-adserver</v>
      </c>
      <c r="AH212" s="21" t="str">
        <f t="shared" si="66"/>
        <v>https://www.oficinadeclassicos.com.br/index.aspx?utm_source=dv360&amp;utm_medium=Programmatic&amp;utm_content=BR_VW_AFS_dv360_DIS_PROG_CPM_STD_LDR_AAF_RON_CXD_After-Sales-Oficina-Classicos-REG03-KWs_PD_728x90&amp;utm_campaign=BR_AAF_DSY_NONMS_ND_AS_2019Q2APR_AFS_After-Sales&amp;utm_term=%epid!_%ecid!_%eaid!</v>
      </c>
      <c r="AI212" s="21" t="str">
        <f t="shared" si="67"/>
        <v>TAG</v>
      </c>
      <c r="AJ212" s="15" t="str">
        <f t="shared" si="61"/>
        <v>dv360</v>
      </c>
      <c r="AK212" s="15" t="str">
        <f t="shared" si="62"/>
        <v>Programmatic</v>
      </c>
      <c r="AL212" s="21" t="str">
        <f>Campanha!$B$3</f>
        <v>BR_AAF_DSY_NONMS_ND_AS_2019Q2APR_AFS_After-Sales</v>
      </c>
      <c r="AM212" s="21" t="str">
        <f t="shared" si="68"/>
        <v>BR_VW_AFS_dv360_DIS_PROG_CPM_STD_LDR_AAF_RON_CXD_After-Sales-Oficina-Classicos-REG03-KWs_PD_728x90</v>
      </c>
      <c r="AN212" s="15" t="s">
        <v>809</v>
      </c>
    </row>
    <row r="213" spans="2:40" hidden="1" x14ac:dyDescent="0.25">
      <c r="B213" s="15" t="s">
        <v>933</v>
      </c>
      <c r="C213" s="15" t="s">
        <v>1171</v>
      </c>
      <c r="D213" s="30" t="s">
        <v>873</v>
      </c>
      <c r="E213" s="22">
        <v>44155</v>
      </c>
      <c r="F213" s="22">
        <v>44196</v>
      </c>
      <c r="G213" s="15" t="s">
        <v>674</v>
      </c>
      <c r="H213" s="15" t="s">
        <v>811</v>
      </c>
      <c r="I213" s="15" t="s">
        <v>702</v>
      </c>
      <c r="J213" s="15" t="s">
        <v>325</v>
      </c>
      <c r="K213" s="15" t="s">
        <v>334</v>
      </c>
      <c r="L213" s="15" t="s">
        <v>358</v>
      </c>
      <c r="M213" s="15" t="s">
        <v>322</v>
      </c>
      <c r="N213" s="15" t="s">
        <v>708</v>
      </c>
      <c r="O213" s="15" t="s">
        <v>694</v>
      </c>
      <c r="P213" s="15" t="s">
        <v>1042</v>
      </c>
      <c r="Q213" s="15" t="s">
        <v>842</v>
      </c>
      <c r="R213" s="15" t="s">
        <v>835</v>
      </c>
      <c r="S213" s="15" t="s">
        <v>348</v>
      </c>
      <c r="T213" s="15" t="s">
        <v>652</v>
      </c>
      <c r="AC213" s="32" t="s">
        <v>885</v>
      </c>
      <c r="AD213" s="33" t="str">
        <f t="shared" si="60"/>
        <v>289282729</v>
      </c>
      <c r="AE213" s="21" t="str">
        <f t="shared" si="63"/>
        <v>BR_VW_AFS_dv360_DIS_PROG_CPM_STD_LDR_AAF_RON_CXD_After-Sales-Oficina-Classicos-REG03-KWs_PD_970x250</v>
      </c>
      <c r="AF213" s="21" t="str">
        <f t="shared" si="64"/>
        <v>BR_VW_AFS_dv360_DIS_PROG_CPM_STD_LDR_AAF_RON_CXD_After-Sales-Oficina-Classicos-REG03-KWs_PD_970x250</v>
      </c>
      <c r="AG213" s="21" t="str">
        <f t="shared" si="65"/>
        <v>VW_After-Sales-KWs_970x250_After-Sales-Oficina-Classicos-REG03-adserver</v>
      </c>
      <c r="AH213" s="21" t="str">
        <f t="shared" si="66"/>
        <v>https://www.oficinadeclassicos.com.br/index.aspx?utm_source=dv360&amp;utm_medium=Programmatic&amp;utm_content=BR_VW_AFS_dv360_DIS_PROG_CPM_STD_LDR_AAF_RON_CXD_After-Sales-Oficina-Classicos-REG03-KWs_PD_970x250&amp;utm_campaign=BR_AAF_DSY_NONMS_ND_AS_2019Q2APR_AFS_After-Sales&amp;utm_term=%epid!_%ecid!_%eaid!</v>
      </c>
      <c r="AI213" s="21" t="str">
        <f t="shared" si="67"/>
        <v>TAG</v>
      </c>
      <c r="AJ213" s="15" t="str">
        <f t="shared" si="61"/>
        <v>dv360</v>
      </c>
      <c r="AK213" s="15" t="str">
        <f t="shared" si="62"/>
        <v>Programmatic</v>
      </c>
      <c r="AL213" s="21" t="str">
        <f>Campanha!$B$3</f>
        <v>BR_AAF_DSY_NONMS_ND_AS_2019Q2APR_AFS_After-Sales</v>
      </c>
      <c r="AM213" s="21" t="str">
        <f t="shared" si="68"/>
        <v>BR_VW_AFS_dv360_DIS_PROG_CPM_STD_LDR_AAF_RON_CXD_After-Sales-Oficina-Classicos-REG03-KWs_PD_970x250</v>
      </c>
      <c r="AN213" s="15" t="s">
        <v>809</v>
      </c>
    </row>
    <row r="214" spans="2:40" hidden="1" x14ac:dyDescent="0.25">
      <c r="B214" s="15" t="s">
        <v>933</v>
      </c>
      <c r="C214" s="15" t="s">
        <v>1171</v>
      </c>
      <c r="D214" s="30" t="s">
        <v>873</v>
      </c>
      <c r="E214" s="22">
        <v>44155</v>
      </c>
      <c r="F214" s="22">
        <v>44196</v>
      </c>
      <c r="G214" s="15" t="s">
        <v>674</v>
      </c>
      <c r="H214" s="15" t="s">
        <v>811</v>
      </c>
      <c r="I214" s="15" t="s">
        <v>702</v>
      </c>
      <c r="J214" s="15" t="s">
        <v>325</v>
      </c>
      <c r="K214" s="15" t="s">
        <v>334</v>
      </c>
      <c r="L214" s="15" t="s">
        <v>358</v>
      </c>
      <c r="M214" s="15" t="s">
        <v>322</v>
      </c>
      <c r="N214" s="15" t="s">
        <v>708</v>
      </c>
      <c r="O214" s="15" t="s">
        <v>694</v>
      </c>
      <c r="P214" s="15" t="s">
        <v>1042</v>
      </c>
      <c r="Q214" s="15" t="s">
        <v>843</v>
      </c>
      <c r="R214" s="15" t="s">
        <v>835</v>
      </c>
      <c r="S214" s="15" t="s">
        <v>348</v>
      </c>
      <c r="T214" s="15" t="s">
        <v>457</v>
      </c>
      <c r="AC214" s="32" t="s">
        <v>885</v>
      </c>
      <c r="AD214" s="33" t="str">
        <f t="shared" si="60"/>
        <v>289282726</v>
      </c>
      <c r="AE214" s="21" t="str">
        <f t="shared" si="63"/>
        <v>BR_VW_AFS_dv360_DIS_PROG_CPM_STD_LDR_AAF_RON_CXD_After-Sales-Oficina-Classicos-REG03-Categories_PD_160x600</v>
      </c>
      <c r="AF214" s="21" t="str">
        <f t="shared" si="64"/>
        <v>BR_VW_AFS_dv360_DIS_PROG_CPM_STD_LDR_AAF_RON_CXD_After-Sales-Oficina-Classicos-REG03-Categories_PD_160x600</v>
      </c>
      <c r="AG214" s="21" t="str">
        <f t="shared" si="65"/>
        <v>VW_After-Sales-Categories_160x600_After-Sales-Oficina-Classicos-REG03-adserver</v>
      </c>
      <c r="AH214" s="21" t="str">
        <f t="shared" si="66"/>
        <v>https://www.oficinadeclassicos.com.br/index.aspx?utm_source=dv360&amp;utm_medium=Programmatic&amp;utm_content=BR_VW_AFS_dv360_DIS_PROG_CPM_STD_LDR_AAF_RON_CXD_After-Sales-Oficina-Classicos-REG03-Categories_PD_160x600&amp;utm_campaign=BR_AAF_DSY_NONMS_ND_AS_2019Q2APR_AFS_After-Sales&amp;utm_term=%epid!_%ecid!_%eaid!</v>
      </c>
      <c r="AI214" s="21" t="str">
        <f t="shared" si="67"/>
        <v>TAG</v>
      </c>
      <c r="AJ214" s="15" t="str">
        <f t="shared" si="61"/>
        <v>dv360</v>
      </c>
      <c r="AK214" s="15" t="str">
        <f t="shared" si="62"/>
        <v>Programmatic</v>
      </c>
      <c r="AL214" s="21" t="str">
        <f>Campanha!$B$3</f>
        <v>BR_AAF_DSY_NONMS_ND_AS_2019Q2APR_AFS_After-Sales</v>
      </c>
      <c r="AM214" s="21" t="str">
        <f t="shared" si="68"/>
        <v>BR_VW_AFS_dv360_DIS_PROG_CPM_STD_LDR_AAF_RON_CXD_After-Sales-Oficina-Classicos-REG03-Categories_PD_160x600</v>
      </c>
      <c r="AN214" s="15" t="s">
        <v>809</v>
      </c>
    </row>
    <row r="215" spans="2:40" hidden="1" x14ac:dyDescent="0.25">
      <c r="B215" s="15" t="s">
        <v>933</v>
      </c>
      <c r="C215" s="15" t="s">
        <v>1171</v>
      </c>
      <c r="D215" s="30" t="s">
        <v>873</v>
      </c>
      <c r="E215" s="22">
        <v>44155</v>
      </c>
      <c r="F215" s="22">
        <v>44196</v>
      </c>
      <c r="G215" s="15" t="s">
        <v>674</v>
      </c>
      <c r="H215" s="15" t="s">
        <v>811</v>
      </c>
      <c r="I215" s="15" t="s">
        <v>702</v>
      </c>
      <c r="J215" s="15" t="s">
        <v>325</v>
      </c>
      <c r="K215" s="15" t="s">
        <v>334</v>
      </c>
      <c r="L215" s="15" t="s">
        <v>358</v>
      </c>
      <c r="M215" s="15" t="s">
        <v>322</v>
      </c>
      <c r="N215" s="15" t="s">
        <v>708</v>
      </c>
      <c r="O215" s="15" t="s">
        <v>694</v>
      </c>
      <c r="P215" s="15" t="s">
        <v>1042</v>
      </c>
      <c r="Q215" s="15" t="s">
        <v>843</v>
      </c>
      <c r="R215" s="15" t="s">
        <v>835</v>
      </c>
      <c r="S215" s="15" t="s">
        <v>348</v>
      </c>
      <c r="T215" s="15" t="s">
        <v>484</v>
      </c>
      <c r="AC215" s="32" t="s">
        <v>885</v>
      </c>
      <c r="AD215" s="33" t="str">
        <f t="shared" si="60"/>
        <v>289282723</v>
      </c>
      <c r="AE215" s="21" t="str">
        <f t="shared" si="63"/>
        <v>BR_VW_AFS_dv360_DIS_PROG_CPM_STD_LDR_AAF_RON_CXD_After-Sales-Oficina-Classicos-REG03-Categories_PD_300x50</v>
      </c>
      <c r="AF215" s="21" t="str">
        <f t="shared" si="64"/>
        <v>BR_VW_AFS_dv360_DIS_PROG_CPM_STD_LDR_AAF_RON_CXD_After-Sales-Oficina-Classicos-REG03-Categories_PD_300x50</v>
      </c>
      <c r="AG215" s="21" t="str">
        <f t="shared" si="65"/>
        <v>VW_After-Sales-Categories_300x50_After-Sales-Oficina-Classicos-REG03-adserver</v>
      </c>
      <c r="AH215" s="21" t="str">
        <f t="shared" si="66"/>
        <v>https://www.oficinadeclassicos.com.br/index.aspx?utm_source=dv360&amp;utm_medium=Programmatic&amp;utm_content=BR_VW_AFS_dv360_DIS_PROG_CPM_STD_LDR_AAF_RON_CXD_After-Sales-Oficina-Classicos-REG03-Categories_PD_300x50&amp;utm_campaign=BR_AAF_DSY_NONMS_ND_AS_2019Q2APR_AFS_After-Sales&amp;utm_term=%epid!_%ecid!_%eaid!</v>
      </c>
      <c r="AI215" s="21" t="str">
        <f t="shared" si="67"/>
        <v>TAG</v>
      </c>
      <c r="AJ215" s="15" t="str">
        <f t="shared" si="61"/>
        <v>dv360</v>
      </c>
      <c r="AK215" s="15" t="str">
        <f t="shared" si="62"/>
        <v>Programmatic</v>
      </c>
      <c r="AL215" s="21" t="str">
        <f>Campanha!$B$3</f>
        <v>BR_AAF_DSY_NONMS_ND_AS_2019Q2APR_AFS_After-Sales</v>
      </c>
      <c r="AM215" s="21" t="str">
        <f t="shared" si="68"/>
        <v>BR_VW_AFS_dv360_DIS_PROG_CPM_STD_LDR_AAF_RON_CXD_After-Sales-Oficina-Classicos-REG03-Categories_PD_300x50</v>
      </c>
      <c r="AN215" s="15" t="s">
        <v>809</v>
      </c>
    </row>
    <row r="216" spans="2:40" hidden="1" x14ac:dyDescent="0.25">
      <c r="B216" s="15" t="s">
        <v>933</v>
      </c>
      <c r="C216" s="15" t="s">
        <v>1171</v>
      </c>
      <c r="D216" s="30" t="s">
        <v>873</v>
      </c>
      <c r="E216" s="22">
        <v>44155</v>
      </c>
      <c r="F216" s="22">
        <v>44196</v>
      </c>
      <c r="G216" s="15" t="s">
        <v>674</v>
      </c>
      <c r="H216" s="15" t="s">
        <v>811</v>
      </c>
      <c r="I216" s="15" t="s">
        <v>702</v>
      </c>
      <c r="J216" s="15" t="s">
        <v>325</v>
      </c>
      <c r="K216" s="15" t="s">
        <v>334</v>
      </c>
      <c r="L216" s="15" t="s">
        <v>358</v>
      </c>
      <c r="M216" s="15" t="s">
        <v>322</v>
      </c>
      <c r="N216" s="15" t="s">
        <v>708</v>
      </c>
      <c r="O216" s="15" t="s">
        <v>694</v>
      </c>
      <c r="P216" s="15" t="s">
        <v>1042</v>
      </c>
      <c r="Q216" s="15" t="s">
        <v>843</v>
      </c>
      <c r="R216" s="15" t="s">
        <v>835</v>
      </c>
      <c r="S216" s="15" t="s">
        <v>348</v>
      </c>
      <c r="T216" s="15" t="s">
        <v>478</v>
      </c>
      <c r="AC216" s="32" t="s">
        <v>885</v>
      </c>
      <c r="AD216" s="33" t="str">
        <f t="shared" si="60"/>
        <v>289282720</v>
      </c>
      <c r="AE216" s="21" t="str">
        <f t="shared" si="63"/>
        <v>BR_VW_AFS_dv360_DIS_PROG_CPM_STD_LDR_AAF_RON_CXD_After-Sales-Oficina-Classicos-REG03-Categories_PD_300x250</v>
      </c>
      <c r="AF216" s="21" t="str">
        <f t="shared" si="64"/>
        <v>BR_VW_AFS_dv360_DIS_PROG_CPM_STD_LDR_AAF_RON_CXD_After-Sales-Oficina-Classicos-REG03-Categories_PD_300x250</v>
      </c>
      <c r="AG216" s="21" t="str">
        <f t="shared" si="65"/>
        <v>VW_After-Sales-Categories_300x250_After-Sales-Oficina-Classicos-REG03-adserver</v>
      </c>
      <c r="AH216" s="21" t="str">
        <f t="shared" si="66"/>
        <v>https://www.oficinadeclassicos.com.br/index.aspx?utm_source=dv360&amp;utm_medium=Programmatic&amp;utm_content=BR_VW_AFS_dv360_DIS_PROG_CPM_STD_LDR_AAF_RON_CXD_After-Sales-Oficina-Classicos-REG03-Categories_PD_300x250&amp;utm_campaign=BR_AAF_DSY_NONMS_ND_AS_2019Q2APR_AFS_After-Sales&amp;utm_term=%epid!_%ecid!_%eaid!</v>
      </c>
      <c r="AI216" s="21" t="str">
        <f t="shared" si="67"/>
        <v>TAG</v>
      </c>
      <c r="AJ216" s="15" t="str">
        <f t="shared" si="61"/>
        <v>dv360</v>
      </c>
      <c r="AK216" s="15" t="str">
        <f t="shared" si="62"/>
        <v>Programmatic</v>
      </c>
      <c r="AL216" s="21" t="str">
        <f>Campanha!$B$3</f>
        <v>BR_AAF_DSY_NONMS_ND_AS_2019Q2APR_AFS_After-Sales</v>
      </c>
      <c r="AM216" s="21" t="str">
        <f t="shared" si="68"/>
        <v>BR_VW_AFS_dv360_DIS_PROG_CPM_STD_LDR_AAF_RON_CXD_After-Sales-Oficina-Classicos-REG03-Categories_PD_300x250</v>
      </c>
      <c r="AN216" s="15" t="s">
        <v>809</v>
      </c>
    </row>
    <row r="217" spans="2:40" hidden="1" x14ac:dyDescent="0.25">
      <c r="B217" s="15" t="s">
        <v>933</v>
      </c>
      <c r="C217" s="15" t="s">
        <v>1172</v>
      </c>
      <c r="D217" s="30" t="s">
        <v>873</v>
      </c>
      <c r="E217" s="22">
        <v>44155</v>
      </c>
      <c r="F217" s="22">
        <v>44196</v>
      </c>
      <c r="G217" s="15" t="s">
        <v>674</v>
      </c>
      <c r="H217" s="15" t="s">
        <v>811</v>
      </c>
      <c r="I217" s="15" t="s">
        <v>702</v>
      </c>
      <c r="J217" s="15" t="s">
        <v>325</v>
      </c>
      <c r="K217" s="15" t="s">
        <v>334</v>
      </c>
      <c r="L217" s="15" t="s">
        <v>358</v>
      </c>
      <c r="M217" s="15" t="s">
        <v>322</v>
      </c>
      <c r="N217" s="15" t="s">
        <v>708</v>
      </c>
      <c r="O217" s="15" t="s">
        <v>694</v>
      </c>
      <c r="P217" s="15" t="s">
        <v>1042</v>
      </c>
      <c r="Q217" s="15" t="s">
        <v>843</v>
      </c>
      <c r="R217" s="15" t="s">
        <v>835</v>
      </c>
      <c r="S217" s="15" t="s">
        <v>348</v>
      </c>
      <c r="T217" s="15" t="s">
        <v>614</v>
      </c>
      <c r="AC217" s="32" t="s">
        <v>885</v>
      </c>
      <c r="AD217" s="33" t="str">
        <f t="shared" si="60"/>
        <v>289251018</v>
      </c>
      <c r="AE217" s="21" t="str">
        <f t="shared" si="63"/>
        <v>BR_VW_AFS_dv360_DIS_PROG_CPM_STD_LDR_AAF_RON_CXD_After-Sales-Oficina-Classicos-REG03-Categories_PD_728x90</v>
      </c>
      <c r="AF217" s="21" t="str">
        <f t="shared" si="64"/>
        <v>BR_VW_AFS_dv360_DIS_PROG_CPM_STD_LDR_AAF_RON_CXD_After-Sales-Oficina-Classicos-REG03-Categories_PD_728x90</v>
      </c>
      <c r="AG217" s="21" t="str">
        <f t="shared" si="65"/>
        <v>VW_After-Sales-Categories_728x90_After-Sales-Oficina-Classicos-REG03-adserver</v>
      </c>
      <c r="AH217" s="21" t="str">
        <f t="shared" si="66"/>
        <v>https://www.oficinadeclassicos.com.br/index.aspx?utm_source=dv360&amp;utm_medium=Programmatic&amp;utm_content=BR_VW_AFS_dv360_DIS_PROG_CPM_STD_LDR_AAF_RON_CXD_After-Sales-Oficina-Classicos-REG03-Categories_PD_728x90&amp;utm_campaign=BR_AAF_DSY_NONMS_ND_AS_2019Q2APR_AFS_After-Sales&amp;utm_term=%epid!_%ecid!_%eaid!</v>
      </c>
      <c r="AI217" s="21" t="str">
        <f t="shared" si="67"/>
        <v>TAG</v>
      </c>
      <c r="AJ217" s="15" t="str">
        <f t="shared" si="61"/>
        <v>dv360</v>
      </c>
      <c r="AK217" s="15" t="str">
        <f t="shared" si="62"/>
        <v>Programmatic</v>
      </c>
      <c r="AL217" s="21" t="str">
        <f>Campanha!$B$3</f>
        <v>BR_AAF_DSY_NONMS_ND_AS_2019Q2APR_AFS_After-Sales</v>
      </c>
      <c r="AM217" s="21" t="str">
        <f t="shared" si="68"/>
        <v>BR_VW_AFS_dv360_DIS_PROG_CPM_STD_LDR_AAF_RON_CXD_After-Sales-Oficina-Classicos-REG03-Categories_PD_728x90</v>
      </c>
      <c r="AN217" s="15" t="s">
        <v>809</v>
      </c>
    </row>
    <row r="218" spans="2:40" hidden="1" x14ac:dyDescent="0.25">
      <c r="B218" s="15" t="s">
        <v>933</v>
      </c>
      <c r="C218" s="15" t="s">
        <v>1171</v>
      </c>
      <c r="D218" s="30" t="s">
        <v>873</v>
      </c>
      <c r="E218" s="22">
        <v>44155</v>
      </c>
      <c r="F218" s="22">
        <v>44196</v>
      </c>
      <c r="G218" s="15" t="s">
        <v>674</v>
      </c>
      <c r="H218" s="15" t="s">
        <v>811</v>
      </c>
      <c r="I218" s="15" t="s">
        <v>702</v>
      </c>
      <c r="J218" s="15" t="s">
        <v>325</v>
      </c>
      <c r="K218" s="15" t="s">
        <v>334</v>
      </c>
      <c r="L218" s="15" t="s">
        <v>358</v>
      </c>
      <c r="M218" s="15" t="s">
        <v>322</v>
      </c>
      <c r="N218" s="15" t="s">
        <v>708</v>
      </c>
      <c r="O218" s="15" t="s">
        <v>694</v>
      </c>
      <c r="P218" s="15" t="s">
        <v>1042</v>
      </c>
      <c r="Q218" s="15" t="s">
        <v>843</v>
      </c>
      <c r="R218" s="15" t="s">
        <v>835</v>
      </c>
      <c r="S218" s="15" t="s">
        <v>348</v>
      </c>
      <c r="T218" s="15" t="s">
        <v>652</v>
      </c>
      <c r="AC218" s="32" t="s">
        <v>885</v>
      </c>
      <c r="AD218" s="33" t="str">
        <f t="shared" si="60"/>
        <v>289282717</v>
      </c>
      <c r="AE218" s="21" t="str">
        <f t="shared" si="63"/>
        <v>BR_VW_AFS_dv360_DIS_PROG_CPM_STD_LDR_AAF_RON_CXD_After-Sales-Oficina-Classicos-REG03-Categories_PD_970x250</v>
      </c>
      <c r="AF218" s="21" t="str">
        <f t="shared" si="64"/>
        <v>BR_VW_AFS_dv360_DIS_PROG_CPM_STD_LDR_AAF_RON_CXD_After-Sales-Oficina-Classicos-REG03-Categories_PD_970x250</v>
      </c>
      <c r="AG218" s="21" t="str">
        <f t="shared" si="65"/>
        <v>VW_After-Sales-Categories_970x250_After-Sales-Oficina-Classicos-REG03-adserver</v>
      </c>
      <c r="AH218" s="21" t="str">
        <f t="shared" si="66"/>
        <v>https://www.oficinadeclassicos.com.br/index.aspx?utm_source=dv360&amp;utm_medium=Programmatic&amp;utm_content=BR_VW_AFS_dv360_DIS_PROG_CPM_STD_LDR_AAF_RON_CXD_After-Sales-Oficina-Classicos-REG03-Categories_PD_970x250&amp;utm_campaign=BR_AAF_DSY_NONMS_ND_AS_2019Q2APR_AFS_After-Sales&amp;utm_term=%epid!_%ecid!_%eaid!</v>
      </c>
      <c r="AI218" s="21" t="str">
        <f t="shared" si="67"/>
        <v>TAG</v>
      </c>
      <c r="AJ218" s="15" t="str">
        <f t="shared" si="61"/>
        <v>dv360</v>
      </c>
      <c r="AK218" s="15" t="str">
        <f t="shared" si="62"/>
        <v>Programmatic</v>
      </c>
      <c r="AL218" s="21" t="str">
        <f>Campanha!$B$3</f>
        <v>BR_AAF_DSY_NONMS_ND_AS_2019Q2APR_AFS_After-Sales</v>
      </c>
      <c r="AM218" s="21" t="str">
        <f t="shared" si="68"/>
        <v>BR_VW_AFS_dv360_DIS_PROG_CPM_STD_LDR_AAF_RON_CXD_After-Sales-Oficina-Classicos-REG03-Categories_PD_970x250</v>
      </c>
      <c r="AN218" s="15" t="s">
        <v>809</v>
      </c>
    </row>
    <row r="219" spans="2:40" hidden="1" x14ac:dyDescent="0.25">
      <c r="B219" s="15" t="s">
        <v>933</v>
      </c>
      <c r="C219" s="15" t="s">
        <v>1171</v>
      </c>
      <c r="D219" s="30" t="s">
        <v>873</v>
      </c>
      <c r="E219" s="22">
        <v>44155</v>
      </c>
      <c r="F219" s="22">
        <v>44196</v>
      </c>
      <c r="G219" s="15" t="s">
        <v>674</v>
      </c>
      <c r="H219" s="15" t="s">
        <v>811</v>
      </c>
      <c r="I219" s="15" t="s">
        <v>702</v>
      </c>
      <c r="J219" s="15" t="s">
        <v>325</v>
      </c>
      <c r="K219" s="15" t="s">
        <v>334</v>
      </c>
      <c r="L219" s="15" t="s">
        <v>358</v>
      </c>
      <c r="M219" s="15" t="s">
        <v>322</v>
      </c>
      <c r="N219" s="15" t="s">
        <v>708</v>
      </c>
      <c r="O219" s="15" t="s">
        <v>694</v>
      </c>
      <c r="P219" s="15" t="s">
        <v>1042</v>
      </c>
      <c r="Q219" s="15" t="s">
        <v>871</v>
      </c>
      <c r="R219" s="15" t="s">
        <v>835</v>
      </c>
      <c r="S219" s="15" t="s">
        <v>348</v>
      </c>
      <c r="T219" s="15" t="s">
        <v>457</v>
      </c>
      <c r="AC219" s="32" t="s">
        <v>885</v>
      </c>
      <c r="AD219" s="33" t="str">
        <f t="shared" si="60"/>
        <v>289282714</v>
      </c>
      <c r="AE219" s="21" t="str">
        <f t="shared" si="63"/>
        <v>BR_VW_AFS_dv360_DIS_PROG_CPM_STD_LDR_AAF_RON_CXD_After-Sales-Oficina-Classicos-REG03-In-Market_PD_160x600</v>
      </c>
      <c r="AF219" s="21" t="str">
        <f t="shared" si="64"/>
        <v>BR_VW_AFS_dv360_DIS_PROG_CPM_STD_LDR_AAF_RON_CXD_After-Sales-Oficina-Classicos-REG03-In-Market_PD_160x600</v>
      </c>
      <c r="AG219" s="21" t="str">
        <f t="shared" si="65"/>
        <v>VW_After-Sales-In-Market_160x600_After-Sales-Oficina-Classicos-REG03-adserver</v>
      </c>
      <c r="AH219" s="21" t="str">
        <f t="shared" si="66"/>
        <v>https://www.oficinadeclassicos.com.br/index.aspx?utm_source=dv360&amp;utm_medium=Programmatic&amp;utm_content=BR_VW_AFS_dv360_DIS_PROG_CPM_STD_LDR_AAF_RON_CXD_After-Sales-Oficina-Classicos-REG03-In-Market_PD_160x600&amp;utm_campaign=BR_AAF_DSY_NONMS_ND_AS_2019Q2APR_AFS_After-Sales&amp;utm_term=%epid!_%ecid!_%eaid!</v>
      </c>
      <c r="AI219" s="21" t="str">
        <f t="shared" si="67"/>
        <v>TAG</v>
      </c>
      <c r="AJ219" s="15" t="str">
        <f t="shared" si="61"/>
        <v>dv360</v>
      </c>
      <c r="AK219" s="15" t="str">
        <f t="shared" si="62"/>
        <v>Programmatic</v>
      </c>
      <c r="AL219" s="21" t="str">
        <f>Campanha!$B$3</f>
        <v>BR_AAF_DSY_NONMS_ND_AS_2019Q2APR_AFS_After-Sales</v>
      </c>
      <c r="AM219" s="21" t="str">
        <f t="shared" si="68"/>
        <v>BR_VW_AFS_dv360_DIS_PROG_CPM_STD_LDR_AAF_RON_CXD_After-Sales-Oficina-Classicos-REG03-In-Market_PD_160x600</v>
      </c>
      <c r="AN219" s="15" t="s">
        <v>809</v>
      </c>
    </row>
    <row r="220" spans="2:40" hidden="1" x14ac:dyDescent="0.25">
      <c r="B220" s="15" t="s">
        <v>933</v>
      </c>
      <c r="C220" s="15" t="s">
        <v>1171</v>
      </c>
      <c r="D220" s="30" t="s">
        <v>873</v>
      </c>
      <c r="E220" s="22">
        <v>44155</v>
      </c>
      <c r="F220" s="22">
        <v>44196</v>
      </c>
      <c r="G220" s="15" t="s">
        <v>674</v>
      </c>
      <c r="H220" s="15" t="s">
        <v>811</v>
      </c>
      <c r="I220" s="15" t="s">
        <v>702</v>
      </c>
      <c r="J220" s="15" t="s">
        <v>325</v>
      </c>
      <c r="K220" s="15" t="s">
        <v>334</v>
      </c>
      <c r="L220" s="15" t="s">
        <v>358</v>
      </c>
      <c r="M220" s="15" t="s">
        <v>322</v>
      </c>
      <c r="N220" s="15" t="s">
        <v>708</v>
      </c>
      <c r="O220" s="15" t="s">
        <v>694</v>
      </c>
      <c r="P220" s="15" t="s">
        <v>1042</v>
      </c>
      <c r="Q220" s="15" t="s">
        <v>871</v>
      </c>
      <c r="R220" s="15" t="s">
        <v>835</v>
      </c>
      <c r="S220" s="15" t="s">
        <v>348</v>
      </c>
      <c r="T220" s="15" t="s">
        <v>484</v>
      </c>
      <c r="AC220" s="32" t="s">
        <v>885</v>
      </c>
      <c r="AD220" s="33" t="str">
        <f t="shared" si="60"/>
        <v>289282711</v>
      </c>
      <c r="AE220" s="21" t="str">
        <f t="shared" si="63"/>
        <v>BR_VW_AFS_dv360_DIS_PROG_CPM_STD_LDR_AAF_RON_CXD_After-Sales-Oficina-Classicos-REG03-In-Market_PD_300x50</v>
      </c>
      <c r="AF220" s="21" t="str">
        <f t="shared" si="64"/>
        <v>BR_VW_AFS_dv360_DIS_PROG_CPM_STD_LDR_AAF_RON_CXD_After-Sales-Oficina-Classicos-REG03-In-Market_PD_300x50</v>
      </c>
      <c r="AG220" s="21" t="str">
        <f t="shared" si="65"/>
        <v>VW_After-Sales-In-Market_300x50_After-Sales-Oficina-Classicos-REG03-adserver</v>
      </c>
      <c r="AH220" s="21" t="str">
        <f t="shared" si="66"/>
        <v>https://www.oficinadeclassicos.com.br/index.aspx?utm_source=dv360&amp;utm_medium=Programmatic&amp;utm_content=BR_VW_AFS_dv360_DIS_PROG_CPM_STD_LDR_AAF_RON_CXD_After-Sales-Oficina-Classicos-REG03-In-Market_PD_300x50&amp;utm_campaign=BR_AAF_DSY_NONMS_ND_AS_2019Q2APR_AFS_After-Sales&amp;utm_term=%epid!_%ecid!_%eaid!</v>
      </c>
      <c r="AI220" s="21" t="str">
        <f t="shared" si="67"/>
        <v>TAG</v>
      </c>
      <c r="AJ220" s="15" t="str">
        <f t="shared" si="61"/>
        <v>dv360</v>
      </c>
      <c r="AK220" s="15" t="str">
        <f t="shared" si="62"/>
        <v>Programmatic</v>
      </c>
      <c r="AL220" s="21" t="str">
        <f>Campanha!$B$3</f>
        <v>BR_AAF_DSY_NONMS_ND_AS_2019Q2APR_AFS_After-Sales</v>
      </c>
      <c r="AM220" s="21" t="str">
        <f t="shared" si="68"/>
        <v>BR_VW_AFS_dv360_DIS_PROG_CPM_STD_LDR_AAF_RON_CXD_After-Sales-Oficina-Classicos-REG03-In-Market_PD_300x50</v>
      </c>
      <c r="AN220" s="15" t="s">
        <v>809</v>
      </c>
    </row>
    <row r="221" spans="2:40" hidden="1" x14ac:dyDescent="0.25">
      <c r="B221" s="15" t="s">
        <v>933</v>
      </c>
      <c r="C221" s="15" t="s">
        <v>1171</v>
      </c>
      <c r="D221" s="30" t="s">
        <v>873</v>
      </c>
      <c r="E221" s="22">
        <v>44155</v>
      </c>
      <c r="F221" s="22">
        <v>44196</v>
      </c>
      <c r="G221" s="15" t="s">
        <v>674</v>
      </c>
      <c r="H221" s="15" t="s">
        <v>811</v>
      </c>
      <c r="I221" s="15" t="s">
        <v>702</v>
      </c>
      <c r="J221" s="15" t="s">
        <v>325</v>
      </c>
      <c r="K221" s="15" t="s">
        <v>334</v>
      </c>
      <c r="L221" s="15" t="s">
        <v>358</v>
      </c>
      <c r="M221" s="15" t="s">
        <v>322</v>
      </c>
      <c r="N221" s="15" t="s">
        <v>708</v>
      </c>
      <c r="O221" s="15" t="s">
        <v>694</v>
      </c>
      <c r="P221" s="15" t="s">
        <v>1042</v>
      </c>
      <c r="Q221" s="15" t="s">
        <v>871</v>
      </c>
      <c r="R221" s="15" t="s">
        <v>835</v>
      </c>
      <c r="S221" s="15" t="s">
        <v>348</v>
      </c>
      <c r="T221" s="15" t="s">
        <v>478</v>
      </c>
      <c r="AC221" s="32" t="s">
        <v>885</v>
      </c>
      <c r="AD221" s="33" t="str">
        <f t="shared" si="60"/>
        <v>289282708</v>
      </c>
      <c r="AE221" s="21" t="str">
        <f t="shared" si="63"/>
        <v>BR_VW_AFS_dv360_DIS_PROG_CPM_STD_LDR_AAF_RON_CXD_After-Sales-Oficina-Classicos-REG03-In-Market_PD_300x250</v>
      </c>
      <c r="AF221" s="21" t="str">
        <f t="shared" si="64"/>
        <v>BR_VW_AFS_dv360_DIS_PROG_CPM_STD_LDR_AAF_RON_CXD_After-Sales-Oficina-Classicos-REG03-In-Market_PD_300x250</v>
      </c>
      <c r="AG221" s="21" t="str">
        <f t="shared" si="65"/>
        <v>VW_After-Sales-In-Market_300x250_After-Sales-Oficina-Classicos-REG03-adserver</v>
      </c>
      <c r="AH221" s="21" t="str">
        <f t="shared" si="66"/>
        <v>https://www.oficinadeclassicos.com.br/index.aspx?utm_source=dv360&amp;utm_medium=Programmatic&amp;utm_content=BR_VW_AFS_dv360_DIS_PROG_CPM_STD_LDR_AAF_RON_CXD_After-Sales-Oficina-Classicos-REG03-In-Market_PD_300x250&amp;utm_campaign=BR_AAF_DSY_NONMS_ND_AS_2019Q2APR_AFS_After-Sales&amp;utm_term=%epid!_%ecid!_%eaid!</v>
      </c>
      <c r="AI221" s="21" t="str">
        <f t="shared" si="67"/>
        <v>TAG</v>
      </c>
      <c r="AJ221" s="15" t="str">
        <f t="shared" si="61"/>
        <v>dv360</v>
      </c>
      <c r="AK221" s="15" t="str">
        <f t="shared" si="62"/>
        <v>Programmatic</v>
      </c>
      <c r="AL221" s="21" t="str">
        <f>Campanha!$B$3</f>
        <v>BR_AAF_DSY_NONMS_ND_AS_2019Q2APR_AFS_After-Sales</v>
      </c>
      <c r="AM221" s="21" t="str">
        <f t="shared" si="68"/>
        <v>BR_VW_AFS_dv360_DIS_PROG_CPM_STD_LDR_AAF_RON_CXD_After-Sales-Oficina-Classicos-REG03-In-Market_PD_300x250</v>
      </c>
      <c r="AN221" s="15" t="s">
        <v>809</v>
      </c>
    </row>
    <row r="222" spans="2:40" hidden="1" x14ac:dyDescent="0.25">
      <c r="B222" s="15" t="s">
        <v>933</v>
      </c>
      <c r="C222" s="15" t="s">
        <v>1172</v>
      </c>
      <c r="D222" s="30" t="s">
        <v>873</v>
      </c>
      <c r="E222" s="22">
        <v>44155</v>
      </c>
      <c r="F222" s="22">
        <v>44196</v>
      </c>
      <c r="G222" s="15" t="s">
        <v>674</v>
      </c>
      <c r="H222" s="15" t="s">
        <v>811</v>
      </c>
      <c r="I222" s="15" t="s">
        <v>702</v>
      </c>
      <c r="J222" s="15" t="s">
        <v>325</v>
      </c>
      <c r="K222" s="15" t="s">
        <v>334</v>
      </c>
      <c r="L222" s="15" t="s">
        <v>358</v>
      </c>
      <c r="M222" s="15" t="s">
        <v>322</v>
      </c>
      <c r="N222" s="15" t="s">
        <v>708</v>
      </c>
      <c r="O222" s="15" t="s">
        <v>694</v>
      </c>
      <c r="P222" s="15" t="s">
        <v>1042</v>
      </c>
      <c r="Q222" s="15" t="s">
        <v>871</v>
      </c>
      <c r="R222" s="15" t="s">
        <v>835</v>
      </c>
      <c r="S222" s="15" t="s">
        <v>348</v>
      </c>
      <c r="T222" s="15" t="s">
        <v>614</v>
      </c>
      <c r="AC222" s="32" t="s">
        <v>885</v>
      </c>
      <c r="AD222" s="33" t="str">
        <f t="shared" si="60"/>
        <v>289251015</v>
      </c>
      <c r="AE222" s="21" t="str">
        <f t="shared" si="63"/>
        <v>BR_VW_AFS_dv360_DIS_PROG_CPM_STD_LDR_AAF_RON_CXD_After-Sales-Oficina-Classicos-REG03-In-Market_PD_728x90</v>
      </c>
      <c r="AF222" s="21" t="str">
        <f t="shared" si="64"/>
        <v>BR_VW_AFS_dv360_DIS_PROG_CPM_STD_LDR_AAF_RON_CXD_After-Sales-Oficina-Classicos-REG03-In-Market_PD_728x90</v>
      </c>
      <c r="AG222" s="21" t="str">
        <f t="shared" si="65"/>
        <v>VW_After-Sales-In-Market_728x90_After-Sales-Oficina-Classicos-REG03-adserver</v>
      </c>
      <c r="AH222" s="21" t="str">
        <f t="shared" si="66"/>
        <v>https://www.oficinadeclassicos.com.br/index.aspx?utm_source=dv360&amp;utm_medium=Programmatic&amp;utm_content=BR_VW_AFS_dv360_DIS_PROG_CPM_STD_LDR_AAF_RON_CXD_After-Sales-Oficina-Classicos-REG03-In-Market_PD_728x90&amp;utm_campaign=BR_AAF_DSY_NONMS_ND_AS_2019Q2APR_AFS_After-Sales&amp;utm_term=%epid!_%ecid!_%eaid!</v>
      </c>
      <c r="AI222" s="21" t="str">
        <f t="shared" si="67"/>
        <v>TAG</v>
      </c>
      <c r="AJ222" s="15" t="str">
        <f t="shared" si="61"/>
        <v>dv360</v>
      </c>
      <c r="AK222" s="15" t="str">
        <f t="shared" si="62"/>
        <v>Programmatic</v>
      </c>
      <c r="AL222" s="21" t="str">
        <f>Campanha!$B$3</f>
        <v>BR_AAF_DSY_NONMS_ND_AS_2019Q2APR_AFS_After-Sales</v>
      </c>
      <c r="AM222" s="21" t="str">
        <f t="shared" si="68"/>
        <v>BR_VW_AFS_dv360_DIS_PROG_CPM_STD_LDR_AAF_RON_CXD_After-Sales-Oficina-Classicos-REG03-In-Market_PD_728x90</v>
      </c>
      <c r="AN222" s="15" t="s">
        <v>809</v>
      </c>
    </row>
    <row r="223" spans="2:40" hidden="1" x14ac:dyDescent="0.25">
      <c r="B223" s="15" t="s">
        <v>933</v>
      </c>
      <c r="C223" s="15" t="s">
        <v>1171</v>
      </c>
      <c r="D223" s="30" t="s">
        <v>873</v>
      </c>
      <c r="E223" s="22">
        <v>44155</v>
      </c>
      <c r="F223" s="22">
        <v>44196</v>
      </c>
      <c r="G223" s="15" t="s">
        <v>674</v>
      </c>
      <c r="H223" s="15" t="s">
        <v>811</v>
      </c>
      <c r="I223" s="15" t="s">
        <v>702</v>
      </c>
      <c r="J223" s="15" t="s">
        <v>325</v>
      </c>
      <c r="K223" s="15" t="s">
        <v>334</v>
      </c>
      <c r="L223" s="15" t="s">
        <v>358</v>
      </c>
      <c r="M223" s="15" t="s">
        <v>322</v>
      </c>
      <c r="N223" s="15" t="s">
        <v>708</v>
      </c>
      <c r="O223" s="15" t="s">
        <v>694</v>
      </c>
      <c r="P223" s="15" t="s">
        <v>1042</v>
      </c>
      <c r="Q223" s="15" t="s">
        <v>871</v>
      </c>
      <c r="R223" s="15" t="s">
        <v>835</v>
      </c>
      <c r="S223" s="15" t="s">
        <v>348</v>
      </c>
      <c r="T223" s="15" t="s">
        <v>652</v>
      </c>
      <c r="AC223" s="32" t="s">
        <v>885</v>
      </c>
      <c r="AD223" s="33" t="str">
        <f t="shared" si="60"/>
        <v>289282705</v>
      </c>
      <c r="AE223" s="21" t="str">
        <f t="shared" si="63"/>
        <v>BR_VW_AFS_dv360_DIS_PROG_CPM_STD_LDR_AAF_RON_CXD_After-Sales-Oficina-Classicos-REG03-In-Market_PD_970x250</v>
      </c>
      <c r="AF223" s="21" t="str">
        <f t="shared" si="64"/>
        <v>BR_VW_AFS_dv360_DIS_PROG_CPM_STD_LDR_AAF_RON_CXD_After-Sales-Oficina-Classicos-REG03-In-Market_PD_970x250</v>
      </c>
      <c r="AG223" s="21" t="str">
        <f t="shared" si="65"/>
        <v>VW_After-Sales-In-Market_970x250_After-Sales-Oficina-Classicos-REG03-adserver</v>
      </c>
      <c r="AH223" s="21" t="str">
        <f t="shared" si="66"/>
        <v>https://www.oficinadeclassicos.com.br/index.aspx?utm_source=dv360&amp;utm_medium=Programmatic&amp;utm_content=BR_VW_AFS_dv360_DIS_PROG_CPM_STD_LDR_AAF_RON_CXD_After-Sales-Oficina-Classicos-REG03-In-Market_PD_970x250&amp;utm_campaign=BR_AAF_DSY_NONMS_ND_AS_2019Q2APR_AFS_After-Sales&amp;utm_term=%epid!_%ecid!_%eaid!</v>
      </c>
      <c r="AI223" s="21" t="str">
        <f t="shared" si="67"/>
        <v>TAG</v>
      </c>
      <c r="AJ223" s="15" t="str">
        <f t="shared" si="61"/>
        <v>dv360</v>
      </c>
      <c r="AK223" s="15" t="str">
        <f t="shared" si="62"/>
        <v>Programmatic</v>
      </c>
      <c r="AL223" s="21" t="str">
        <f>Campanha!$B$3</f>
        <v>BR_AAF_DSY_NONMS_ND_AS_2019Q2APR_AFS_After-Sales</v>
      </c>
      <c r="AM223" s="21" t="str">
        <f t="shared" si="68"/>
        <v>BR_VW_AFS_dv360_DIS_PROG_CPM_STD_LDR_AAF_RON_CXD_After-Sales-Oficina-Classicos-REG03-In-Market_PD_970x250</v>
      </c>
      <c r="AN223" s="15" t="s">
        <v>809</v>
      </c>
    </row>
    <row r="224" spans="2:40" hidden="1" x14ac:dyDescent="0.25">
      <c r="B224" s="15" t="s">
        <v>933</v>
      </c>
      <c r="C224" s="15" t="s">
        <v>1171</v>
      </c>
      <c r="D224" s="30" t="s">
        <v>873</v>
      </c>
      <c r="E224" s="22">
        <v>44155</v>
      </c>
      <c r="F224" s="22">
        <v>44196</v>
      </c>
      <c r="G224" s="15" t="s">
        <v>674</v>
      </c>
      <c r="H224" s="15" t="s">
        <v>811</v>
      </c>
      <c r="I224" s="15" t="s">
        <v>702</v>
      </c>
      <c r="J224" s="15" t="s">
        <v>325</v>
      </c>
      <c r="K224" s="15" t="s">
        <v>334</v>
      </c>
      <c r="L224" s="15" t="s">
        <v>358</v>
      </c>
      <c r="M224" s="15" t="s">
        <v>322</v>
      </c>
      <c r="N224" s="15" t="s">
        <v>708</v>
      </c>
      <c r="O224" s="15" t="s">
        <v>694</v>
      </c>
      <c r="P224" s="15" t="s">
        <v>1042</v>
      </c>
      <c r="Q224" s="15" t="s">
        <v>1039</v>
      </c>
      <c r="R224" s="15" t="s">
        <v>835</v>
      </c>
      <c r="S224" s="15" t="s">
        <v>348</v>
      </c>
      <c r="T224" s="15" t="s">
        <v>457</v>
      </c>
      <c r="AC224" s="32" t="s">
        <v>885</v>
      </c>
      <c r="AD224" s="33" t="str">
        <f t="shared" si="60"/>
        <v>289282702</v>
      </c>
      <c r="AE224" s="21" t="str">
        <f t="shared" si="63"/>
        <v>BR_VW_AFS_dv360_DIS_PROG_CPM_STD_LDR_AAF_RON_CXD_After-Sales-Oficina-Classicos-REG03-3rdparty_PD_160x600</v>
      </c>
      <c r="AF224" s="21" t="str">
        <f t="shared" si="64"/>
        <v>BR_VW_AFS_dv360_DIS_PROG_CPM_STD_LDR_AAF_RON_CXD_After-Sales-Oficina-Classicos-REG03-3rdparty_PD_160x600</v>
      </c>
      <c r="AG224" s="21" t="str">
        <f t="shared" si="65"/>
        <v>VW_After-Sales-3rdparty_160x600_After-Sales-Oficina-Classicos-REG03-adserver</v>
      </c>
      <c r="AH224" s="21" t="str">
        <f t="shared" si="66"/>
        <v>https://www.oficinadeclassicos.com.br/index.aspx?utm_source=dv360&amp;utm_medium=Programmatic&amp;utm_content=BR_VW_AFS_dv360_DIS_PROG_CPM_STD_LDR_AAF_RON_CXD_After-Sales-Oficina-Classicos-REG03-3rdparty_PD_160x600&amp;utm_campaign=BR_AAF_DSY_NONMS_ND_AS_2019Q2APR_AFS_After-Sales&amp;utm_term=%epid!_%ecid!_%eaid!</v>
      </c>
      <c r="AI224" s="21" t="str">
        <f t="shared" si="67"/>
        <v>TAG</v>
      </c>
      <c r="AJ224" s="15" t="str">
        <f t="shared" si="61"/>
        <v>dv360</v>
      </c>
      <c r="AK224" s="15" t="str">
        <f t="shared" si="62"/>
        <v>Programmatic</v>
      </c>
      <c r="AL224" s="21" t="str">
        <f>Campanha!$B$3</f>
        <v>BR_AAF_DSY_NONMS_ND_AS_2019Q2APR_AFS_After-Sales</v>
      </c>
      <c r="AM224" s="21" t="str">
        <f t="shared" si="68"/>
        <v>BR_VW_AFS_dv360_DIS_PROG_CPM_STD_LDR_AAF_RON_CXD_After-Sales-Oficina-Classicos-REG03-3rdparty_PD_160x600</v>
      </c>
      <c r="AN224" s="15" t="s">
        <v>809</v>
      </c>
    </row>
    <row r="225" spans="2:40" hidden="1" x14ac:dyDescent="0.25">
      <c r="B225" s="15" t="s">
        <v>933</v>
      </c>
      <c r="C225" s="15" t="s">
        <v>1171</v>
      </c>
      <c r="D225" s="30" t="s">
        <v>873</v>
      </c>
      <c r="E225" s="22">
        <v>44155</v>
      </c>
      <c r="F225" s="22">
        <v>44196</v>
      </c>
      <c r="G225" s="15" t="s">
        <v>674</v>
      </c>
      <c r="H225" s="15" t="s">
        <v>811</v>
      </c>
      <c r="I225" s="15" t="s">
        <v>702</v>
      </c>
      <c r="J225" s="15" t="s">
        <v>325</v>
      </c>
      <c r="K225" s="15" t="s">
        <v>334</v>
      </c>
      <c r="L225" s="15" t="s">
        <v>358</v>
      </c>
      <c r="M225" s="15" t="s">
        <v>322</v>
      </c>
      <c r="N225" s="15" t="s">
        <v>708</v>
      </c>
      <c r="O225" s="15" t="s">
        <v>694</v>
      </c>
      <c r="P225" s="15" t="s">
        <v>1042</v>
      </c>
      <c r="Q225" s="15" t="s">
        <v>1039</v>
      </c>
      <c r="R225" s="15" t="s">
        <v>835</v>
      </c>
      <c r="S225" s="15" t="s">
        <v>348</v>
      </c>
      <c r="T225" s="15" t="s">
        <v>484</v>
      </c>
      <c r="AC225" s="32" t="s">
        <v>885</v>
      </c>
      <c r="AD225" s="33" t="str">
        <f t="shared" si="60"/>
        <v>289282699</v>
      </c>
      <c r="AE225" s="21" t="str">
        <f t="shared" si="63"/>
        <v>BR_VW_AFS_dv360_DIS_PROG_CPM_STD_LDR_AAF_RON_CXD_After-Sales-Oficina-Classicos-REG03-3rdparty_PD_300x50</v>
      </c>
      <c r="AF225" s="21" t="str">
        <f t="shared" si="64"/>
        <v>BR_VW_AFS_dv360_DIS_PROG_CPM_STD_LDR_AAF_RON_CXD_After-Sales-Oficina-Classicos-REG03-3rdparty_PD_300x50</v>
      </c>
      <c r="AG225" s="21" t="str">
        <f t="shared" si="65"/>
        <v>VW_After-Sales-3rdparty_300x50_After-Sales-Oficina-Classicos-REG03-adserver</v>
      </c>
      <c r="AH225" s="21" t="str">
        <f t="shared" si="66"/>
        <v>https://www.oficinadeclassicos.com.br/index.aspx?utm_source=dv360&amp;utm_medium=Programmatic&amp;utm_content=BR_VW_AFS_dv360_DIS_PROG_CPM_STD_LDR_AAF_RON_CXD_After-Sales-Oficina-Classicos-REG03-3rdparty_PD_300x50&amp;utm_campaign=BR_AAF_DSY_NONMS_ND_AS_2019Q2APR_AFS_After-Sales&amp;utm_term=%epid!_%ecid!_%eaid!</v>
      </c>
      <c r="AI225" s="21" t="str">
        <f t="shared" si="67"/>
        <v>TAG</v>
      </c>
      <c r="AJ225" s="15" t="str">
        <f t="shared" si="61"/>
        <v>dv360</v>
      </c>
      <c r="AK225" s="15" t="str">
        <f t="shared" si="62"/>
        <v>Programmatic</v>
      </c>
      <c r="AL225" s="21" t="str">
        <f>Campanha!$B$3</f>
        <v>BR_AAF_DSY_NONMS_ND_AS_2019Q2APR_AFS_After-Sales</v>
      </c>
      <c r="AM225" s="21" t="str">
        <f t="shared" si="68"/>
        <v>BR_VW_AFS_dv360_DIS_PROG_CPM_STD_LDR_AAF_RON_CXD_After-Sales-Oficina-Classicos-REG03-3rdparty_PD_300x50</v>
      </c>
      <c r="AN225" s="15" t="s">
        <v>809</v>
      </c>
    </row>
    <row r="226" spans="2:40" hidden="1" x14ac:dyDescent="0.25">
      <c r="B226" s="15" t="s">
        <v>933</v>
      </c>
      <c r="C226" s="15" t="s">
        <v>1171</v>
      </c>
      <c r="D226" s="30" t="s">
        <v>873</v>
      </c>
      <c r="E226" s="22">
        <v>44155</v>
      </c>
      <c r="F226" s="22">
        <v>44196</v>
      </c>
      <c r="G226" s="15" t="s">
        <v>674</v>
      </c>
      <c r="H226" s="15" t="s">
        <v>811</v>
      </c>
      <c r="I226" s="15" t="s">
        <v>702</v>
      </c>
      <c r="J226" s="15" t="s">
        <v>325</v>
      </c>
      <c r="K226" s="15" t="s">
        <v>334</v>
      </c>
      <c r="L226" s="15" t="s">
        <v>358</v>
      </c>
      <c r="M226" s="15" t="s">
        <v>322</v>
      </c>
      <c r="N226" s="15" t="s">
        <v>708</v>
      </c>
      <c r="O226" s="15" t="s">
        <v>694</v>
      </c>
      <c r="P226" s="15" t="s">
        <v>1042</v>
      </c>
      <c r="Q226" s="15" t="s">
        <v>1039</v>
      </c>
      <c r="R226" s="15" t="s">
        <v>835</v>
      </c>
      <c r="S226" s="15" t="s">
        <v>348</v>
      </c>
      <c r="T226" s="15" t="s">
        <v>478</v>
      </c>
      <c r="AC226" s="32" t="s">
        <v>885</v>
      </c>
      <c r="AD226" s="33" t="str">
        <f t="shared" si="60"/>
        <v>289282696</v>
      </c>
      <c r="AE226" s="21" t="str">
        <f t="shared" si="63"/>
        <v>BR_VW_AFS_dv360_DIS_PROG_CPM_STD_LDR_AAF_RON_CXD_After-Sales-Oficina-Classicos-REG03-3rdparty_PD_300x250</v>
      </c>
      <c r="AF226" s="21" t="str">
        <f t="shared" si="64"/>
        <v>BR_VW_AFS_dv360_DIS_PROG_CPM_STD_LDR_AAF_RON_CXD_After-Sales-Oficina-Classicos-REG03-3rdparty_PD_300x250</v>
      </c>
      <c r="AG226" s="21" t="str">
        <f t="shared" si="65"/>
        <v>VW_After-Sales-3rdparty_300x250_After-Sales-Oficina-Classicos-REG03-adserver</v>
      </c>
      <c r="AH226" s="21" t="str">
        <f t="shared" si="66"/>
        <v>https://www.oficinadeclassicos.com.br/index.aspx?utm_source=dv360&amp;utm_medium=Programmatic&amp;utm_content=BR_VW_AFS_dv360_DIS_PROG_CPM_STD_LDR_AAF_RON_CXD_After-Sales-Oficina-Classicos-REG03-3rdparty_PD_300x250&amp;utm_campaign=BR_AAF_DSY_NONMS_ND_AS_2019Q2APR_AFS_After-Sales&amp;utm_term=%epid!_%ecid!_%eaid!</v>
      </c>
      <c r="AI226" s="21" t="str">
        <f t="shared" si="67"/>
        <v>TAG</v>
      </c>
      <c r="AJ226" s="15" t="str">
        <f t="shared" si="61"/>
        <v>dv360</v>
      </c>
      <c r="AK226" s="15" t="str">
        <f t="shared" si="62"/>
        <v>Programmatic</v>
      </c>
      <c r="AL226" s="21" t="str">
        <f>Campanha!$B$3</f>
        <v>BR_AAF_DSY_NONMS_ND_AS_2019Q2APR_AFS_After-Sales</v>
      </c>
      <c r="AM226" s="21" t="str">
        <f t="shared" si="68"/>
        <v>BR_VW_AFS_dv360_DIS_PROG_CPM_STD_LDR_AAF_RON_CXD_After-Sales-Oficina-Classicos-REG03-3rdparty_PD_300x250</v>
      </c>
      <c r="AN226" s="15" t="s">
        <v>809</v>
      </c>
    </row>
    <row r="227" spans="2:40" hidden="1" x14ac:dyDescent="0.25">
      <c r="B227" s="15" t="s">
        <v>933</v>
      </c>
      <c r="C227" s="15" t="s">
        <v>1172</v>
      </c>
      <c r="D227" s="30" t="s">
        <v>873</v>
      </c>
      <c r="E227" s="22">
        <v>44155</v>
      </c>
      <c r="F227" s="22">
        <v>44196</v>
      </c>
      <c r="G227" s="15" t="s">
        <v>674</v>
      </c>
      <c r="H227" s="15" t="s">
        <v>811</v>
      </c>
      <c r="I227" s="15" t="s">
        <v>702</v>
      </c>
      <c r="J227" s="15" t="s">
        <v>325</v>
      </c>
      <c r="K227" s="15" t="s">
        <v>334</v>
      </c>
      <c r="L227" s="15" t="s">
        <v>358</v>
      </c>
      <c r="M227" s="15" t="s">
        <v>322</v>
      </c>
      <c r="N227" s="15" t="s">
        <v>708</v>
      </c>
      <c r="O227" s="15" t="s">
        <v>694</v>
      </c>
      <c r="P227" s="15" t="s">
        <v>1042</v>
      </c>
      <c r="Q227" s="15" t="s">
        <v>1039</v>
      </c>
      <c r="R227" s="15" t="s">
        <v>835</v>
      </c>
      <c r="S227" s="15" t="s">
        <v>348</v>
      </c>
      <c r="T227" s="15" t="s">
        <v>614</v>
      </c>
      <c r="AC227" s="32" t="s">
        <v>885</v>
      </c>
      <c r="AD227" s="33" t="str">
        <f t="shared" si="60"/>
        <v>289251012</v>
      </c>
      <c r="AE227" s="21" t="str">
        <f t="shared" si="63"/>
        <v>BR_VW_AFS_dv360_DIS_PROG_CPM_STD_LDR_AAF_RON_CXD_After-Sales-Oficina-Classicos-REG03-3rdparty_PD_728x90</v>
      </c>
      <c r="AF227" s="21" t="str">
        <f t="shared" si="64"/>
        <v>BR_VW_AFS_dv360_DIS_PROG_CPM_STD_LDR_AAF_RON_CXD_After-Sales-Oficina-Classicos-REG03-3rdparty_PD_728x90</v>
      </c>
      <c r="AG227" s="21" t="str">
        <f t="shared" si="65"/>
        <v>VW_After-Sales-3rdparty_728x90_After-Sales-Oficina-Classicos-REG03-adserver</v>
      </c>
      <c r="AH227" s="21" t="str">
        <f t="shared" si="66"/>
        <v>https://www.oficinadeclassicos.com.br/index.aspx?utm_source=dv360&amp;utm_medium=Programmatic&amp;utm_content=BR_VW_AFS_dv360_DIS_PROG_CPM_STD_LDR_AAF_RON_CXD_After-Sales-Oficina-Classicos-REG03-3rdparty_PD_728x90&amp;utm_campaign=BR_AAF_DSY_NONMS_ND_AS_2019Q2APR_AFS_After-Sales&amp;utm_term=%epid!_%ecid!_%eaid!</v>
      </c>
      <c r="AI227" s="21" t="str">
        <f t="shared" si="67"/>
        <v>TAG</v>
      </c>
      <c r="AJ227" s="15" t="str">
        <f t="shared" si="61"/>
        <v>dv360</v>
      </c>
      <c r="AK227" s="15" t="str">
        <f t="shared" si="62"/>
        <v>Programmatic</v>
      </c>
      <c r="AL227" s="21" t="str">
        <f>Campanha!$B$3</f>
        <v>BR_AAF_DSY_NONMS_ND_AS_2019Q2APR_AFS_After-Sales</v>
      </c>
      <c r="AM227" s="21" t="str">
        <f t="shared" si="68"/>
        <v>BR_VW_AFS_dv360_DIS_PROG_CPM_STD_LDR_AAF_RON_CXD_After-Sales-Oficina-Classicos-REG03-3rdparty_PD_728x90</v>
      </c>
      <c r="AN227" s="15" t="s">
        <v>809</v>
      </c>
    </row>
    <row r="228" spans="2:40" hidden="1" x14ac:dyDescent="0.25">
      <c r="B228" s="15" t="s">
        <v>933</v>
      </c>
      <c r="C228" s="15" t="s">
        <v>1171</v>
      </c>
      <c r="D228" s="30" t="s">
        <v>873</v>
      </c>
      <c r="E228" s="22">
        <v>44155</v>
      </c>
      <c r="F228" s="22">
        <v>44196</v>
      </c>
      <c r="G228" s="15" t="s">
        <v>674</v>
      </c>
      <c r="H228" s="15" t="s">
        <v>811</v>
      </c>
      <c r="I228" s="15" t="s">
        <v>702</v>
      </c>
      <c r="J228" s="15" t="s">
        <v>325</v>
      </c>
      <c r="K228" s="15" t="s">
        <v>334</v>
      </c>
      <c r="L228" s="15" t="s">
        <v>358</v>
      </c>
      <c r="M228" s="15" t="s">
        <v>322</v>
      </c>
      <c r="N228" s="15" t="s">
        <v>708</v>
      </c>
      <c r="O228" s="15" t="s">
        <v>694</v>
      </c>
      <c r="P228" s="15" t="s">
        <v>1042</v>
      </c>
      <c r="Q228" s="15" t="s">
        <v>1039</v>
      </c>
      <c r="R228" s="15" t="s">
        <v>835</v>
      </c>
      <c r="S228" s="15" t="s">
        <v>348</v>
      </c>
      <c r="T228" s="15" t="s">
        <v>652</v>
      </c>
      <c r="AC228" s="32" t="s">
        <v>885</v>
      </c>
      <c r="AD228" s="33" t="str">
        <f t="shared" si="60"/>
        <v>289282693</v>
      </c>
      <c r="AE228" s="21" t="str">
        <f t="shared" si="63"/>
        <v>BR_VW_AFS_dv360_DIS_PROG_CPM_STD_LDR_AAF_RON_CXD_After-Sales-Oficina-Classicos-REG03-3rdparty_PD_970x250</v>
      </c>
      <c r="AF228" s="21" t="str">
        <f t="shared" si="64"/>
        <v>BR_VW_AFS_dv360_DIS_PROG_CPM_STD_LDR_AAF_RON_CXD_After-Sales-Oficina-Classicos-REG03-3rdparty_PD_970x250</v>
      </c>
      <c r="AG228" s="21" t="str">
        <f t="shared" si="65"/>
        <v>VW_After-Sales-3rdparty_970x250_After-Sales-Oficina-Classicos-REG03-adserver</v>
      </c>
      <c r="AH228" s="21" t="str">
        <f t="shared" si="66"/>
        <v>https://www.oficinadeclassicos.com.br/index.aspx?utm_source=dv360&amp;utm_medium=Programmatic&amp;utm_content=BR_VW_AFS_dv360_DIS_PROG_CPM_STD_LDR_AAF_RON_CXD_After-Sales-Oficina-Classicos-REG03-3rdparty_PD_970x250&amp;utm_campaign=BR_AAF_DSY_NONMS_ND_AS_2019Q2APR_AFS_After-Sales&amp;utm_term=%epid!_%ecid!_%eaid!</v>
      </c>
      <c r="AI228" s="21" t="str">
        <f t="shared" si="67"/>
        <v>TAG</v>
      </c>
      <c r="AJ228" s="15" t="str">
        <f t="shared" si="61"/>
        <v>dv360</v>
      </c>
      <c r="AK228" s="15" t="str">
        <f t="shared" si="62"/>
        <v>Programmatic</v>
      </c>
      <c r="AL228" s="21" t="str">
        <f>Campanha!$B$3</f>
        <v>BR_AAF_DSY_NONMS_ND_AS_2019Q2APR_AFS_After-Sales</v>
      </c>
      <c r="AM228" s="21" t="str">
        <f t="shared" si="68"/>
        <v>BR_VW_AFS_dv360_DIS_PROG_CPM_STD_LDR_AAF_RON_CXD_After-Sales-Oficina-Classicos-REG03-3rdparty_PD_970x250</v>
      </c>
      <c r="AN228" s="15" t="s">
        <v>809</v>
      </c>
    </row>
    <row r="229" spans="2:40" hidden="1" x14ac:dyDescent="0.25">
      <c r="B229" s="15" t="s">
        <v>872</v>
      </c>
      <c r="C229" s="15"/>
      <c r="D229" s="30" t="s">
        <v>873</v>
      </c>
      <c r="E229" s="22">
        <v>44155</v>
      </c>
      <c r="F229" s="22">
        <v>44196</v>
      </c>
      <c r="G229" s="15" t="s">
        <v>674</v>
      </c>
      <c r="H229" s="15" t="s">
        <v>811</v>
      </c>
      <c r="I229" s="15" t="s">
        <v>702</v>
      </c>
      <c r="J229" s="15" t="s">
        <v>325</v>
      </c>
      <c r="K229" s="15" t="s">
        <v>334</v>
      </c>
      <c r="L229" s="15" t="s">
        <v>358</v>
      </c>
      <c r="M229" s="15" t="s">
        <v>322</v>
      </c>
      <c r="N229" s="15" t="s">
        <v>708</v>
      </c>
      <c r="O229" s="15" t="s">
        <v>694</v>
      </c>
      <c r="P229" s="15" t="s">
        <v>1042</v>
      </c>
      <c r="Q229" s="15" t="s">
        <v>889</v>
      </c>
      <c r="R229" s="15" t="s">
        <v>835</v>
      </c>
      <c r="S229" s="15" t="s">
        <v>348</v>
      </c>
      <c r="T229" s="15" t="s">
        <v>457</v>
      </c>
      <c r="AC229" s="32" t="s">
        <v>885</v>
      </c>
      <c r="AD229" s="33" t="e">
        <f t="shared" si="60"/>
        <v>#N/A</v>
      </c>
      <c r="AE229" s="21" t="str">
        <f t="shared" si="63"/>
        <v>BR_VW_AFS_dv360_DIS_PROG_CPM_STD_LDR_AAF_RON_CXD_After-Sales-Oficina-Classicos-REG03-lal-lead-ofertas_PD_160x600</v>
      </c>
      <c r="AF229" s="21" t="str">
        <f t="shared" si="64"/>
        <v>BR_VW_AFS_dv360_DIS_PROG_CPM_STD_LDR_AAF_RON_CXD_After-Sales-Oficina-Classicos-REG03-lal-lead-ofertas_PD_160x600</v>
      </c>
      <c r="AG229" s="21" t="str">
        <f t="shared" si="65"/>
        <v>VW_After-Sales-lal-lead-ofertas_160x600_After-Sales-Oficina-Classicos-REG03-adserver</v>
      </c>
      <c r="AH229" s="21" t="str">
        <f t="shared" si="66"/>
        <v>https://www.oficinadeclassicos.com.br/index.aspx?utm_source=dv360&amp;utm_medium=Programmatic&amp;utm_content=BR_VW_AFS_dv360_DIS_PROG_CPM_STD_LDR_AAF_RON_CXD_After-Sales-Oficina-Classicos-REG03-lal-lead-ofertas_PD_160x600&amp;utm_campaign=BR_AAF_DSY_NONMS_ND_AS_2019Q2APR_AFS_After-Sales&amp;utm_term=%epid!_%ecid!_%eaid!</v>
      </c>
      <c r="AI229" s="21" t="str">
        <f t="shared" si="67"/>
        <v>TAG</v>
      </c>
      <c r="AJ229" s="15" t="str">
        <f t="shared" si="61"/>
        <v>dv360</v>
      </c>
      <c r="AK229" s="15" t="str">
        <f t="shared" si="62"/>
        <v>Programmatic</v>
      </c>
      <c r="AL229" s="21" t="str">
        <f>Campanha!$B$3</f>
        <v>BR_AAF_DSY_NONMS_ND_AS_2019Q2APR_AFS_After-Sales</v>
      </c>
      <c r="AM229" s="21" t="str">
        <f t="shared" si="68"/>
        <v>BR_VW_AFS_dv360_DIS_PROG_CPM_STD_LDR_AAF_RON_CXD_After-Sales-Oficina-Classicos-REG03-lal-lead-ofertas_PD_160x600</v>
      </c>
      <c r="AN229" s="15" t="s">
        <v>809</v>
      </c>
    </row>
    <row r="230" spans="2:40" hidden="1" x14ac:dyDescent="0.25">
      <c r="B230" s="15" t="s">
        <v>872</v>
      </c>
      <c r="C230" s="15"/>
      <c r="D230" s="30" t="s">
        <v>873</v>
      </c>
      <c r="E230" s="22">
        <v>44155</v>
      </c>
      <c r="F230" s="22">
        <v>44196</v>
      </c>
      <c r="G230" s="15" t="s">
        <v>674</v>
      </c>
      <c r="H230" s="15" t="s">
        <v>811</v>
      </c>
      <c r="I230" s="15" t="s">
        <v>702</v>
      </c>
      <c r="J230" s="15" t="s">
        <v>325</v>
      </c>
      <c r="K230" s="15" t="s">
        <v>334</v>
      </c>
      <c r="L230" s="15" t="s">
        <v>358</v>
      </c>
      <c r="M230" s="15" t="s">
        <v>322</v>
      </c>
      <c r="N230" s="15" t="s">
        <v>708</v>
      </c>
      <c r="O230" s="15" t="s">
        <v>694</v>
      </c>
      <c r="P230" s="15" t="s">
        <v>1042</v>
      </c>
      <c r="Q230" s="15" t="s">
        <v>889</v>
      </c>
      <c r="R230" s="15" t="s">
        <v>835</v>
      </c>
      <c r="S230" s="15" t="s">
        <v>348</v>
      </c>
      <c r="T230" s="15" t="s">
        <v>484</v>
      </c>
      <c r="AC230" s="32" t="s">
        <v>885</v>
      </c>
      <c r="AD230" s="33" t="e">
        <f t="shared" si="60"/>
        <v>#N/A</v>
      </c>
      <c r="AE230" s="21" t="str">
        <f t="shared" si="63"/>
        <v>BR_VW_AFS_dv360_DIS_PROG_CPM_STD_LDR_AAF_RON_CXD_After-Sales-Oficina-Classicos-REG03-lal-lead-ofertas_PD_300x50</v>
      </c>
      <c r="AF230" s="21" t="str">
        <f t="shared" si="64"/>
        <v>BR_VW_AFS_dv360_DIS_PROG_CPM_STD_LDR_AAF_RON_CXD_After-Sales-Oficina-Classicos-REG03-lal-lead-ofertas_PD_300x50</v>
      </c>
      <c r="AG230" s="21" t="str">
        <f t="shared" si="65"/>
        <v>VW_After-Sales-lal-lead-ofertas_300x50_After-Sales-Oficina-Classicos-REG03-adserver</v>
      </c>
      <c r="AH230" s="21" t="str">
        <f t="shared" si="66"/>
        <v>https://www.oficinadeclassicos.com.br/index.aspx?utm_source=dv360&amp;utm_medium=Programmatic&amp;utm_content=BR_VW_AFS_dv360_DIS_PROG_CPM_STD_LDR_AAF_RON_CXD_After-Sales-Oficina-Classicos-REG03-lal-lead-ofertas_PD_300x50&amp;utm_campaign=BR_AAF_DSY_NONMS_ND_AS_2019Q2APR_AFS_After-Sales&amp;utm_term=%epid!_%ecid!_%eaid!</v>
      </c>
      <c r="AI230" s="21" t="str">
        <f t="shared" si="67"/>
        <v>TAG</v>
      </c>
      <c r="AJ230" s="15" t="str">
        <f t="shared" si="61"/>
        <v>dv360</v>
      </c>
      <c r="AK230" s="15" t="str">
        <f t="shared" si="62"/>
        <v>Programmatic</v>
      </c>
      <c r="AL230" s="21" t="str">
        <f>Campanha!$B$3</f>
        <v>BR_AAF_DSY_NONMS_ND_AS_2019Q2APR_AFS_After-Sales</v>
      </c>
      <c r="AM230" s="21" t="str">
        <f t="shared" si="68"/>
        <v>BR_VW_AFS_dv360_DIS_PROG_CPM_STD_LDR_AAF_RON_CXD_After-Sales-Oficina-Classicos-REG03-lal-lead-ofertas_PD_300x50</v>
      </c>
      <c r="AN230" s="15" t="s">
        <v>809</v>
      </c>
    </row>
    <row r="231" spans="2:40" hidden="1" x14ac:dyDescent="0.25">
      <c r="B231" s="15" t="s">
        <v>872</v>
      </c>
      <c r="C231" s="15"/>
      <c r="D231" s="30" t="s">
        <v>873</v>
      </c>
      <c r="E231" s="22">
        <v>44155</v>
      </c>
      <c r="F231" s="22">
        <v>44196</v>
      </c>
      <c r="G231" s="15" t="s">
        <v>674</v>
      </c>
      <c r="H231" s="15" t="s">
        <v>811</v>
      </c>
      <c r="I231" s="15" t="s">
        <v>702</v>
      </c>
      <c r="J231" s="15" t="s">
        <v>325</v>
      </c>
      <c r="K231" s="15" t="s">
        <v>334</v>
      </c>
      <c r="L231" s="15" t="s">
        <v>358</v>
      </c>
      <c r="M231" s="15" t="s">
        <v>322</v>
      </c>
      <c r="N231" s="15" t="s">
        <v>708</v>
      </c>
      <c r="O231" s="15" t="s">
        <v>694</v>
      </c>
      <c r="P231" s="15" t="s">
        <v>1042</v>
      </c>
      <c r="Q231" s="15" t="s">
        <v>889</v>
      </c>
      <c r="R231" s="15" t="s">
        <v>835</v>
      </c>
      <c r="S231" s="15" t="s">
        <v>348</v>
      </c>
      <c r="T231" s="15" t="s">
        <v>478</v>
      </c>
      <c r="AC231" s="32" t="s">
        <v>885</v>
      </c>
      <c r="AD231" s="33" t="e">
        <f t="shared" si="60"/>
        <v>#N/A</v>
      </c>
      <c r="AE231" s="21" t="str">
        <f t="shared" si="63"/>
        <v>BR_VW_AFS_dv360_DIS_PROG_CPM_STD_LDR_AAF_RON_CXD_After-Sales-Oficina-Classicos-REG03-lal-lead-ofertas_PD_300x250</v>
      </c>
      <c r="AF231" s="21" t="str">
        <f t="shared" si="64"/>
        <v>BR_VW_AFS_dv360_DIS_PROG_CPM_STD_LDR_AAF_RON_CXD_After-Sales-Oficina-Classicos-REG03-lal-lead-ofertas_PD_300x250</v>
      </c>
      <c r="AG231" s="21" t="str">
        <f t="shared" si="65"/>
        <v>VW_After-Sales-lal-lead-ofertas_300x250_After-Sales-Oficina-Classicos-REG03-adserver</v>
      </c>
      <c r="AH231" s="21" t="str">
        <f t="shared" si="66"/>
        <v>https://www.oficinadeclassicos.com.br/index.aspx?utm_source=dv360&amp;utm_medium=Programmatic&amp;utm_content=BR_VW_AFS_dv360_DIS_PROG_CPM_STD_LDR_AAF_RON_CXD_After-Sales-Oficina-Classicos-REG03-lal-lead-ofertas_PD_300x250&amp;utm_campaign=BR_AAF_DSY_NONMS_ND_AS_2019Q2APR_AFS_After-Sales&amp;utm_term=%epid!_%ecid!_%eaid!</v>
      </c>
      <c r="AI231" s="21" t="str">
        <f t="shared" si="67"/>
        <v>TAG</v>
      </c>
      <c r="AJ231" s="15" t="str">
        <f t="shared" si="61"/>
        <v>dv360</v>
      </c>
      <c r="AK231" s="15" t="str">
        <f t="shared" si="62"/>
        <v>Programmatic</v>
      </c>
      <c r="AL231" s="21" t="str">
        <f>Campanha!$B$3</f>
        <v>BR_AAF_DSY_NONMS_ND_AS_2019Q2APR_AFS_After-Sales</v>
      </c>
      <c r="AM231" s="21" t="str">
        <f t="shared" si="68"/>
        <v>BR_VW_AFS_dv360_DIS_PROG_CPM_STD_LDR_AAF_RON_CXD_After-Sales-Oficina-Classicos-REG03-lal-lead-ofertas_PD_300x250</v>
      </c>
      <c r="AN231" s="15" t="s">
        <v>809</v>
      </c>
    </row>
    <row r="232" spans="2:40" hidden="1" x14ac:dyDescent="0.25">
      <c r="B232" s="15" t="s">
        <v>872</v>
      </c>
      <c r="C232" s="15"/>
      <c r="D232" s="30" t="s">
        <v>873</v>
      </c>
      <c r="E232" s="22">
        <v>44155</v>
      </c>
      <c r="F232" s="22">
        <v>44196</v>
      </c>
      <c r="G232" s="15" t="s">
        <v>674</v>
      </c>
      <c r="H232" s="15" t="s">
        <v>811</v>
      </c>
      <c r="I232" s="15" t="s">
        <v>702</v>
      </c>
      <c r="J232" s="15" t="s">
        <v>325</v>
      </c>
      <c r="K232" s="15" t="s">
        <v>334</v>
      </c>
      <c r="L232" s="15" t="s">
        <v>358</v>
      </c>
      <c r="M232" s="15" t="s">
        <v>322</v>
      </c>
      <c r="N232" s="15" t="s">
        <v>708</v>
      </c>
      <c r="O232" s="15" t="s">
        <v>694</v>
      </c>
      <c r="P232" s="15" t="s">
        <v>1042</v>
      </c>
      <c r="Q232" s="15" t="s">
        <v>889</v>
      </c>
      <c r="R232" s="15" t="s">
        <v>835</v>
      </c>
      <c r="S232" s="15" t="s">
        <v>348</v>
      </c>
      <c r="T232" s="15" t="s">
        <v>614</v>
      </c>
      <c r="AC232" s="32" t="s">
        <v>885</v>
      </c>
      <c r="AD232" s="33" t="e">
        <f t="shared" si="60"/>
        <v>#N/A</v>
      </c>
      <c r="AE232" s="21" t="str">
        <f t="shared" si="63"/>
        <v>BR_VW_AFS_dv360_DIS_PROG_CPM_STD_LDR_AAF_RON_CXD_After-Sales-Oficina-Classicos-REG03-lal-lead-ofertas_PD_728x90</v>
      </c>
      <c r="AF232" s="21" t="str">
        <f t="shared" si="64"/>
        <v>BR_VW_AFS_dv360_DIS_PROG_CPM_STD_LDR_AAF_RON_CXD_After-Sales-Oficina-Classicos-REG03-lal-lead-ofertas_PD_728x90</v>
      </c>
      <c r="AG232" s="21" t="str">
        <f t="shared" si="65"/>
        <v>VW_After-Sales-lal-lead-ofertas_728x90_After-Sales-Oficina-Classicos-REG03-adserver</v>
      </c>
      <c r="AH232" s="21" t="str">
        <f t="shared" si="66"/>
        <v>https://www.oficinadeclassicos.com.br/index.aspx?utm_source=dv360&amp;utm_medium=Programmatic&amp;utm_content=BR_VW_AFS_dv360_DIS_PROG_CPM_STD_LDR_AAF_RON_CXD_After-Sales-Oficina-Classicos-REG03-lal-lead-ofertas_PD_728x90&amp;utm_campaign=BR_AAF_DSY_NONMS_ND_AS_2019Q2APR_AFS_After-Sales&amp;utm_term=%epid!_%ecid!_%eaid!</v>
      </c>
      <c r="AI232" s="21" t="str">
        <f t="shared" si="67"/>
        <v>TAG</v>
      </c>
      <c r="AJ232" s="15" t="str">
        <f t="shared" si="61"/>
        <v>dv360</v>
      </c>
      <c r="AK232" s="15" t="str">
        <f t="shared" si="62"/>
        <v>Programmatic</v>
      </c>
      <c r="AL232" s="21" t="str">
        <f>Campanha!$B$3</f>
        <v>BR_AAF_DSY_NONMS_ND_AS_2019Q2APR_AFS_After-Sales</v>
      </c>
      <c r="AM232" s="21" t="str">
        <f t="shared" si="68"/>
        <v>BR_VW_AFS_dv360_DIS_PROG_CPM_STD_LDR_AAF_RON_CXD_After-Sales-Oficina-Classicos-REG03-lal-lead-ofertas_PD_728x90</v>
      </c>
      <c r="AN232" s="15" t="s">
        <v>809</v>
      </c>
    </row>
    <row r="233" spans="2:40" hidden="1" x14ac:dyDescent="0.25">
      <c r="B233" s="15" t="s">
        <v>872</v>
      </c>
      <c r="C233" s="15"/>
      <c r="D233" s="30" t="s">
        <v>873</v>
      </c>
      <c r="E233" s="22">
        <v>44155</v>
      </c>
      <c r="F233" s="22">
        <v>44196</v>
      </c>
      <c r="G233" s="15" t="s">
        <v>674</v>
      </c>
      <c r="H233" s="15" t="s">
        <v>811</v>
      </c>
      <c r="I233" s="15" t="s">
        <v>702</v>
      </c>
      <c r="J233" s="15" t="s">
        <v>325</v>
      </c>
      <c r="K233" s="15" t="s">
        <v>334</v>
      </c>
      <c r="L233" s="15" t="s">
        <v>358</v>
      </c>
      <c r="M233" s="15" t="s">
        <v>322</v>
      </c>
      <c r="N233" s="15" t="s">
        <v>708</v>
      </c>
      <c r="O233" s="15" t="s">
        <v>694</v>
      </c>
      <c r="P233" s="15" t="s">
        <v>1042</v>
      </c>
      <c r="Q233" s="15" t="s">
        <v>889</v>
      </c>
      <c r="R233" s="15" t="s">
        <v>835</v>
      </c>
      <c r="S233" s="15" t="s">
        <v>348</v>
      </c>
      <c r="T233" s="15" t="s">
        <v>652</v>
      </c>
      <c r="AC233" s="32" t="s">
        <v>885</v>
      </c>
      <c r="AD233" s="33" t="e">
        <f t="shared" si="60"/>
        <v>#N/A</v>
      </c>
      <c r="AE233" s="21" t="str">
        <f t="shared" si="63"/>
        <v>BR_VW_AFS_dv360_DIS_PROG_CPM_STD_LDR_AAF_RON_CXD_After-Sales-Oficina-Classicos-REG03-lal-lead-ofertas_PD_970x250</v>
      </c>
      <c r="AF233" s="21" t="str">
        <f t="shared" si="64"/>
        <v>BR_VW_AFS_dv360_DIS_PROG_CPM_STD_LDR_AAF_RON_CXD_After-Sales-Oficina-Classicos-REG03-lal-lead-ofertas_PD_970x250</v>
      </c>
      <c r="AG233" s="21" t="str">
        <f t="shared" si="65"/>
        <v>VW_After-Sales-lal-lead-ofertas_970x250_After-Sales-Oficina-Classicos-REG03-adserver</v>
      </c>
      <c r="AH233" s="21" t="str">
        <f t="shared" si="66"/>
        <v>https://www.oficinadeclassicos.com.br/index.aspx?utm_source=dv360&amp;utm_medium=Programmatic&amp;utm_content=BR_VW_AFS_dv360_DIS_PROG_CPM_STD_LDR_AAF_RON_CXD_After-Sales-Oficina-Classicos-REG03-lal-lead-ofertas_PD_970x250&amp;utm_campaign=BR_AAF_DSY_NONMS_ND_AS_2019Q2APR_AFS_After-Sales&amp;utm_term=%epid!_%ecid!_%eaid!</v>
      </c>
      <c r="AI233" s="21" t="str">
        <f t="shared" si="67"/>
        <v>TAG</v>
      </c>
      <c r="AJ233" s="15" t="str">
        <f t="shared" si="61"/>
        <v>dv360</v>
      </c>
      <c r="AK233" s="15" t="str">
        <f t="shared" si="62"/>
        <v>Programmatic</v>
      </c>
      <c r="AL233" s="21" t="str">
        <f>Campanha!$B$3</f>
        <v>BR_AAF_DSY_NONMS_ND_AS_2019Q2APR_AFS_After-Sales</v>
      </c>
      <c r="AM233" s="21" t="str">
        <f t="shared" si="68"/>
        <v>BR_VW_AFS_dv360_DIS_PROG_CPM_STD_LDR_AAF_RON_CXD_After-Sales-Oficina-Classicos-REG03-lal-lead-ofertas_PD_970x250</v>
      </c>
      <c r="AN233" s="15" t="s">
        <v>809</v>
      </c>
    </row>
    <row r="234" spans="2:40" hidden="1" x14ac:dyDescent="0.25">
      <c r="B234" s="15" t="s">
        <v>872</v>
      </c>
      <c r="C234" s="15"/>
      <c r="D234" s="30" t="s">
        <v>873</v>
      </c>
      <c r="E234" s="22">
        <v>44155</v>
      </c>
      <c r="F234" s="22">
        <v>44196</v>
      </c>
      <c r="G234" s="15" t="s">
        <v>674</v>
      </c>
      <c r="H234" s="15" t="s">
        <v>811</v>
      </c>
      <c r="I234" s="15" t="s">
        <v>702</v>
      </c>
      <c r="J234" s="15" t="s">
        <v>325</v>
      </c>
      <c r="K234" s="15" t="s">
        <v>334</v>
      </c>
      <c r="L234" s="15" t="s">
        <v>358</v>
      </c>
      <c r="M234" s="15" t="s">
        <v>322</v>
      </c>
      <c r="N234" s="15" t="s">
        <v>708</v>
      </c>
      <c r="O234" s="15" t="s">
        <v>694</v>
      </c>
      <c r="P234" s="15" t="s">
        <v>1042</v>
      </c>
      <c r="Q234" s="15" t="s">
        <v>876</v>
      </c>
      <c r="R234" s="15" t="s">
        <v>835</v>
      </c>
      <c r="S234" s="15" t="s">
        <v>348</v>
      </c>
      <c r="T234" s="15" t="s">
        <v>457</v>
      </c>
      <c r="AC234" s="32" t="s">
        <v>885</v>
      </c>
      <c r="AD234" s="33" t="e">
        <f t="shared" si="60"/>
        <v>#N/A</v>
      </c>
      <c r="AE234" s="21" t="str">
        <f t="shared" si="63"/>
        <v>BR_VW_AFS_dv360_DIS_PROG_CPM_STD_LDR_AAF_RON_CXD_After-Sales-Oficina-Classicos-REG03-lal-add-to-cart-ofertas_PD_160x600</v>
      </c>
      <c r="AF234" s="21" t="str">
        <f t="shared" si="64"/>
        <v>BR_VW_AFS_dv360_DIS_PROG_CPM_STD_LDR_AAF_RON_CXD_After-Sales-Oficina-Classicos-REG03-lal-add-to-cart-ofertas_PD_160x600</v>
      </c>
      <c r="AG234" s="21" t="str">
        <f t="shared" si="65"/>
        <v>VW_After-Sales-lal-add-to-cart-ofertas_160x600_After-Sales-Oficina-Classicos-REG03-adserver</v>
      </c>
      <c r="AH234" s="21" t="str">
        <f t="shared" si="66"/>
        <v>https://www.oficinadeclassicos.com.br/index.aspx?utm_source=dv360&amp;utm_medium=Programmatic&amp;utm_content=BR_VW_AFS_dv360_DIS_PROG_CPM_STD_LDR_AAF_RON_CXD_After-Sales-Oficina-Classicos-REG03-lal-add-to-cart-ofertas_PD_160x600&amp;utm_campaign=BR_AAF_DSY_NONMS_ND_AS_2019Q2APR_AFS_After-Sales&amp;utm_term=%epid!_%ecid!_%eaid!</v>
      </c>
      <c r="AI234" s="21" t="str">
        <f t="shared" si="67"/>
        <v>TAG</v>
      </c>
      <c r="AJ234" s="15" t="str">
        <f t="shared" si="61"/>
        <v>dv360</v>
      </c>
      <c r="AK234" s="15" t="str">
        <f t="shared" si="62"/>
        <v>Programmatic</v>
      </c>
      <c r="AL234" s="21" t="str">
        <f>Campanha!$B$3</f>
        <v>BR_AAF_DSY_NONMS_ND_AS_2019Q2APR_AFS_After-Sales</v>
      </c>
      <c r="AM234" s="21" t="str">
        <f t="shared" si="68"/>
        <v>BR_VW_AFS_dv360_DIS_PROG_CPM_STD_LDR_AAF_RON_CXD_After-Sales-Oficina-Classicos-REG03-lal-add-to-cart-ofertas_PD_160x600</v>
      </c>
      <c r="AN234" s="15" t="s">
        <v>809</v>
      </c>
    </row>
    <row r="235" spans="2:40" hidden="1" x14ac:dyDescent="0.25">
      <c r="B235" s="15" t="s">
        <v>872</v>
      </c>
      <c r="C235" s="15"/>
      <c r="D235" s="30" t="s">
        <v>873</v>
      </c>
      <c r="E235" s="22">
        <v>44155</v>
      </c>
      <c r="F235" s="22">
        <v>44196</v>
      </c>
      <c r="G235" s="15" t="s">
        <v>674</v>
      </c>
      <c r="H235" s="15" t="s">
        <v>811</v>
      </c>
      <c r="I235" s="15" t="s">
        <v>702</v>
      </c>
      <c r="J235" s="15" t="s">
        <v>325</v>
      </c>
      <c r="K235" s="15" t="s">
        <v>334</v>
      </c>
      <c r="L235" s="15" t="s">
        <v>358</v>
      </c>
      <c r="M235" s="15" t="s">
        <v>322</v>
      </c>
      <c r="N235" s="15" t="s">
        <v>708</v>
      </c>
      <c r="O235" s="15" t="s">
        <v>694</v>
      </c>
      <c r="P235" s="15" t="s">
        <v>1042</v>
      </c>
      <c r="Q235" s="15" t="s">
        <v>876</v>
      </c>
      <c r="R235" s="15" t="s">
        <v>835</v>
      </c>
      <c r="S235" s="15" t="s">
        <v>348</v>
      </c>
      <c r="T235" s="15" t="s">
        <v>484</v>
      </c>
      <c r="AC235" s="32" t="s">
        <v>885</v>
      </c>
      <c r="AD235" s="33" t="e">
        <f t="shared" si="60"/>
        <v>#N/A</v>
      </c>
      <c r="AE235" s="21" t="str">
        <f t="shared" si="63"/>
        <v>BR_VW_AFS_dv360_DIS_PROG_CPM_STD_LDR_AAF_RON_CXD_After-Sales-Oficina-Classicos-REG03-lal-add-to-cart-ofertas_PD_300x50</v>
      </c>
      <c r="AF235" s="21" t="str">
        <f t="shared" si="64"/>
        <v>BR_VW_AFS_dv360_DIS_PROG_CPM_STD_LDR_AAF_RON_CXD_After-Sales-Oficina-Classicos-REG03-lal-add-to-cart-ofertas_PD_300x50</v>
      </c>
      <c r="AG235" s="21" t="str">
        <f t="shared" si="65"/>
        <v>VW_After-Sales-lal-add-to-cart-ofertas_300x50_After-Sales-Oficina-Classicos-REG03-adserver</v>
      </c>
      <c r="AH235" s="21" t="str">
        <f t="shared" si="66"/>
        <v>https://www.oficinadeclassicos.com.br/index.aspx?utm_source=dv360&amp;utm_medium=Programmatic&amp;utm_content=BR_VW_AFS_dv360_DIS_PROG_CPM_STD_LDR_AAF_RON_CXD_After-Sales-Oficina-Classicos-REG03-lal-add-to-cart-ofertas_PD_300x50&amp;utm_campaign=BR_AAF_DSY_NONMS_ND_AS_2019Q2APR_AFS_After-Sales&amp;utm_term=%epid!_%ecid!_%eaid!</v>
      </c>
      <c r="AI235" s="21" t="str">
        <f t="shared" si="67"/>
        <v>TAG</v>
      </c>
      <c r="AJ235" s="15" t="str">
        <f t="shared" si="61"/>
        <v>dv360</v>
      </c>
      <c r="AK235" s="15" t="str">
        <f t="shared" si="62"/>
        <v>Programmatic</v>
      </c>
      <c r="AL235" s="21" t="str">
        <f>Campanha!$B$3</f>
        <v>BR_AAF_DSY_NONMS_ND_AS_2019Q2APR_AFS_After-Sales</v>
      </c>
      <c r="AM235" s="21" t="str">
        <f t="shared" si="68"/>
        <v>BR_VW_AFS_dv360_DIS_PROG_CPM_STD_LDR_AAF_RON_CXD_After-Sales-Oficina-Classicos-REG03-lal-add-to-cart-ofertas_PD_300x50</v>
      </c>
      <c r="AN235" s="15" t="s">
        <v>809</v>
      </c>
    </row>
    <row r="236" spans="2:40" hidden="1" x14ac:dyDescent="0.25">
      <c r="B236" s="15" t="s">
        <v>872</v>
      </c>
      <c r="C236" s="15"/>
      <c r="D236" s="30" t="s">
        <v>873</v>
      </c>
      <c r="E236" s="22">
        <v>44155</v>
      </c>
      <c r="F236" s="22">
        <v>44196</v>
      </c>
      <c r="G236" s="15" t="s">
        <v>674</v>
      </c>
      <c r="H236" s="15" t="s">
        <v>811</v>
      </c>
      <c r="I236" s="15" t="s">
        <v>702</v>
      </c>
      <c r="J236" s="15" t="s">
        <v>325</v>
      </c>
      <c r="K236" s="15" t="s">
        <v>334</v>
      </c>
      <c r="L236" s="15" t="s">
        <v>358</v>
      </c>
      <c r="M236" s="15" t="s">
        <v>322</v>
      </c>
      <c r="N236" s="15" t="s">
        <v>708</v>
      </c>
      <c r="O236" s="15" t="s">
        <v>694</v>
      </c>
      <c r="P236" s="15" t="s">
        <v>1042</v>
      </c>
      <c r="Q236" s="15" t="s">
        <v>876</v>
      </c>
      <c r="R236" s="15" t="s">
        <v>835</v>
      </c>
      <c r="S236" s="15" t="s">
        <v>348</v>
      </c>
      <c r="T236" s="15" t="s">
        <v>478</v>
      </c>
      <c r="AC236" s="32" t="s">
        <v>885</v>
      </c>
      <c r="AD236" s="33" t="e">
        <f t="shared" si="60"/>
        <v>#N/A</v>
      </c>
      <c r="AE236" s="21" t="str">
        <f t="shared" si="63"/>
        <v>BR_VW_AFS_dv360_DIS_PROG_CPM_STD_LDR_AAF_RON_CXD_After-Sales-Oficina-Classicos-REG03-lal-add-to-cart-ofertas_PD_300x250</v>
      </c>
      <c r="AF236" s="21" t="str">
        <f t="shared" si="64"/>
        <v>BR_VW_AFS_dv360_DIS_PROG_CPM_STD_LDR_AAF_RON_CXD_After-Sales-Oficina-Classicos-REG03-lal-add-to-cart-ofertas_PD_300x250</v>
      </c>
      <c r="AG236" s="21" t="str">
        <f t="shared" si="65"/>
        <v>VW_After-Sales-lal-add-to-cart-ofertas_300x250_After-Sales-Oficina-Classicos-REG03-adserver</v>
      </c>
      <c r="AH236" s="21" t="str">
        <f t="shared" si="66"/>
        <v>https://www.oficinadeclassicos.com.br/index.aspx?utm_source=dv360&amp;utm_medium=Programmatic&amp;utm_content=BR_VW_AFS_dv360_DIS_PROG_CPM_STD_LDR_AAF_RON_CXD_After-Sales-Oficina-Classicos-REG03-lal-add-to-cart-ofertas_PD_300x250&amp;utm_campaign=BR_AAF_DSY_NONMS_ND_AS_2019Q2APR_AFS_After-Sales&amp;utm_term=%epid!_%ecid!_%eaid!</v>
      </c>
      <c r="AI236" s="21" t="str">
        <f t="shared" si="67"/>
        <v>TAG</v>
      </c>
      <c r="AJ236" s="15" t="str">
        <f t="shared" si="61"/>
        <v>dv360</v>
      </c>
      <c r="AK236" s="15" t="str">
        <f t="shared" si="62"/>
        <v>Programmatic</v>
      </c>
      <c r="AL236" s="21" t="str">
        <f>Campanha!$B$3</f>
        <v>BR_AAF_DSY_NONMS_ND_AS_2019Q2APR_AFS_After-Sales</v>
      </c>
      <c r="AM236" s="21" t="str">
        <f t="shared" si="68"/>
        <v>BR_VW_AFS_dv360_DIS_PROG_CPM_STD_LDR_AAF_RON_CXD_After-Sales-Oficina-Classicos-REG03-lal-add-to-cart-ofertas_PD_300x250</v>
      </c>
      <c r="AN236" s="15" t="s">
        <v>809</v>
      </c>
    </row>
    <row r="237" spans="2:40" hidden="1" x14ac:dyDescent="0.25">
      <c r="B237" s="15" t="s">
        <v>872</v>
      </c>
      <c r="C237" s="15"/>
      <c r="D237" s="30" t="s">
        <v>873</v>
      </c>
      <c r="E237" s="22">
        <v>44155</v>
      </c>
      <c r="F237" s="22">
        <v>44196</v>
      </c>
      <c r="G237" s="15" t="s">
        <v>674</v>
      </c>
      <c r="H237" s="15" t="s">
        <v>811</v>
      </c>
      <c r="I237" s="15" t="s">
        <v>702</v>
      </c>
      <c r="J237" s="15" t="s">
        <v>325</v>
      </c>
      <c r="K237" s="15" t="s">
        <v>334</v>
      </c>
      <c r="L237" s="15" t="s">
        <v>358</v>
      </c>
      <c r="M237" s="15" t="s">
        <v>322</v>
      </c>
      <c r="N237" s="15" t="s">
        <v>708</v>
      </c>
      <c r="O237" s="15" t="s">
        <v>694</v>
      </c>
      <c r="P237" s="15" t="s">
        <v>1042</v>
      </c>
      <c r="Q237" s="15" t="s">
        <v>876</v>
      </c>
      <c r="R237" s="15" t="s">
        <v>835</v>
      </c>
      <c r="S237" s="15" t="s">
        <v>348</v>
      </c>
      <c r="T237" s="15" t="s">
        <v>614</v>
      </c>
      <c r="AC237" s="32" t="s">
        <v>885</v>
      </c>
      <c r="AD237" s="33" t="e">
        <f t="shared" si="60"/>
        <v>#N/A</v>
      </c>
      <c r="AE237" s="21" t="str">
        <f t="shared" si="63"/>
        <v>BR_VW_AFS_dv360_DIS_PROG_CPM_STD_LDR_AAF_RON_CXD_After-Sales-Oficina-Classicos-REG03-lal-add-to-cart-ofertas_PD_728x90</v>
      </c>
      <c r="AF237" s="21" t="str">
        <f t="shared" si="64"/>
        <v>BR_VW_AFS_dv360_DIS_PROG_CPM_STD_LDR_AAF_RON_CXD_After-Sales-Oficina-Classicos-REG03-lal-add-to-cart-ofertas_PD_728x90</v>
      </c>
      <c r="AG237" s="21" t="str">
        <f t="shared" si="65"/>
        <v>VW_After-Sales-lal-add-to-cart-ofertas_728x90_After-Sales-Oficina-Classicos-REG03-adserver</v>
      </c>
      <c r="AH237" s="21" t="str">
        <f t="shared" si="66"/>
        <v>https://www.oficinadeclassicos.com.br/index.aspx?utm_source=dv360&amp;utm_medium=Programmatic&amp;utm_content=BR_VW_AFS_dv360_DIS_PROG_CPM_STD_LDR_AAF_RON_CXD_After-Sales-Oficina-Classicos-REG03-lal-add-to-cart-ofertas_PD_728x90&amp;utm_campaign=BR_AAF_DSY_NONMS_ND_AS_2019Q2APR_AFS_After-Sales&amp;utm_term=%epid!_%ecid!_%eaid!</v>
      </c>
      <c r="AI237" s="21" t="str">
        <f t="shared" si="67"/>
        <v>TAG</v>
      </c>
      <c r="AJ237" s="15" t="str">
        <f t="shared" si="61"/>
        <v>dv360</v>
      </c>
      <c r="AK237" s="15" t="str">
        <f t="shared" si="62"/>
        <v>Programmatic</v>
      </c>
      <c r="AL237" s="21" t="str">
        <f>Campanha!$B$3</f>
        <v>BR_AAF_DSY_NONMS_ND_AS_2019Q2APR_AFS_After-Sales</v>
      </c>
      <c r="AM237" s="21" t="str">
        <f t="shared" si="68"/>
        <v>BR_VW_AFS_dv360_DIS_PROG_CPM_STD_LDR_AAF_RON_CXD_After-Sales-Oficina-Classicos-REG03-lal-add-to-cart-ofertas_PD_728x90</v>
      </c>
      <c r="AN237" s="15" t="s">
        <v>809</v>
      </c>
    </row>
    <row r="238" spans="2:40" hidden="1" x14ac:dyDescent="0.25">
      <c r="B238" s="15" t="s">
        <v>872</v>
      </c>
      <c r="C238" s="15"/>
      <c r="D238" s="30" t="s">
        <v>873</v>
      </c>
      <c r="E238" s="22">
        <v>44155</v>
      </c>
      <c r="F238" s="22">
        <v>44196</v>
      </c>
      <c r="G238" s="15" t="s">
        <v>674</v>
      </c>
      <c r="H238" s="15" t="s">
        <v>811</v>
      </c>
      <c r="I238" s="15" t="s">
        <v>702</v>
      </c>
      <c r="J238" s="15" t="s">
        <v>325</v>
      </c>
      <c r="K238" s="15" t="s">
        <v>334</v>
      </c>
      <c r="L238" s="15" t="s">
        <v>358</v>
      </c>
      <c r="M238" s="15" t="s">
        <v>322</v>
      </c>
      <c r="N238" s="15" t="s">
        <v>708</v>
      </c>
      <c r="O238" s="15" t="s">
        <v>694</v>
      </c>
      <c r="P238" s="15" t="s">
        <v>1042</v>
      </c>
      <c r="Q238" s="15" t="s">
        <v>876</v>
      </c>
      <c r="R238" s="15" t="s">
        <v>835</v>
      </c>
      <c r="S238" s="15" t="s">
        <v>348</v>
      </c>
      <c r="T238" s="15" t="s">
        <v>652</v>
      </c>
      <c r="AC238" s="32" t="s">
        <v>885</v>
      </c>
      <c r="AD238" s="33" t="e">
        <f t="shared" si="60"/>
        <v>#N/A</v>
      </c>
      <c r="AE238" s="21" t="str">
        <f t="shared" si="63"/>
        <v>BR_VW_AFS_dv360_DIS_PROG_CPM_STD_LDR_AAF_RON_CXD_After-Sales-Oficina-Classicos-REG03-lal-add-to-cart-ofertas_PD_970x250</v>
      </c>
      <c r="AF238" s="21" t="str">
        <f t="shared" si="64"/>
        <v>BR_VW_AFS_dv360_DIS_PROG_CPM_STD_LDR_AAF_RON_CXD_After-Sales-Oficina-Classicos-REG03-lal-add-to-cart-ofertas_PD_970x250</v>
      </c>
      <c r="AG238" s="21" t="str">
        <f t="shared" si="65"/>
        <v>VW_After-Sales-lal-add-to-cart-ofertas_970x250_After-Sales-Oficina-Classicos-REG03-adserver</v>
      </c>
      <c r="AH238" s="21" t="str">
        <f t="shared" si="66"/>
        <v>https://www.oficinadeclassicos.com.br/index.aspx?utm_source=dv360&amp;utm_medium=Programmatic&amp;utm_content=BR_VW_AFS_dv360_DIS_PROG_CPM_STD_LDR_AAF_RON_CXD_After-Sales-Oficina-Classicos-REG03-lal-add-to-cart-ofertas_PD_970x250&amp;utm_campaign=BR_AAF_DSY_NONMS_ND_AS_2019Q2APR_AFS_After-Sales&amp;utm_term=%epid!_%ecid!_%eaid!</v>
      </c>
      <c r="AI238" s="21" t="str">
        <f t="shared" si="67"/>
        <v>TAG</v>
      </c>
      <c r="AJ238" s="15" t="str">
        <f t="shared" si="61"/>
        <v>dv360</v>
      </c>
      <c r="AK238" s="15" t="str">
        <f t="shared" si="62"/>
        <v>Programmatic</v>
      </c>
      <c r="AL238" s="21" t="str">
        <f>Campanha!$B$3</f>
        <v>BR_AAF_DSY_NONMS_ND_AS_2019Q2APR_AFS_After-Sales</v>
      </c>
      <c r="AM238" s="21" t="str">
        <f t="shared" si="68"/>
        <v>BR_VW_AFS_dv360_DIS_PROG_CPM_STD_LDR_AAF_RON_CXD_After-Sales-Oficina-Classicos-REG03-lal-add-to-cart-ofertas_PD_970x250</v>
      </c>
      <c r="AN238" s="15" t="s">
        <v>809</v>
      </c>
    </row>
    <row r="239" spans="2:40" hidden="1" x14ac:dyDescent="0.25">
      <c r="B239" s="15" t="s">
        <v>872</v>
      </c>
      <c r="C239" s="15"/>
      <c r="D239" s="30" t="s">
        <v>873</v>
      </c>
      <c r="E239" s="22">
        <v>44155</v>
      </c>
      <c r="F239" s="22">
        <v>44196</v>
      </c>
      <c r="G239" s="15" t="s">
        <v>674</v>
      </c>
      <c r="H239" s="15" t="s">
        <v>811</v>
      </c>
      <c r="I239" s="15" t="s">
        <v>702</v>
      </c>
      <c r="J239" s="15" t="s">
        <v>325</v>
      </c>
      <c r="K239" s="15" t="s">
        <v>334</v>
      </c>
      <c r="L239" s="15" t="s">
        <v>358</v>
      </c>
      <c r="M239" s="15" t="s">
        <v>322</v>
      </c>
      <c r="N239" s="15" t="s">
        <v>708</v>
      </c>
      <c r="O239" s="15" t="s">
        <v>694</v>
      </c>
      <c r="P239" s="15" t="s">
        <v>1042</v>
      </c>
      <c r="Q239" s="15" t="s">
        <v>890</v>
      </c>
      <c r="R239" s="15" t="s">
        <v>835</v>
      </c>
      <c r="S239" s="15" t="s">
        <v>348</v>
      </c>
      <c r="T239" s="15" t="s">
        <v>457</v>
      </c>
      <c r="AC239" s="32" t="s">
        <v>885</v>
      </c>
      <c r="AD239" s="33" t="e">
        <f t="shared" si="60"/>
        <v>#N/A</v>
      </c>
      <c r="AE239" s="21" t="str">
        <f t="shared" si="63"/>
        <v>BR_VW_AFS_dv360_DIS_PROG_CPM_STD_LDR_AAF_RON_CXD_After-Sales-Oficina-Classicos-REG03-lal-home-ofertas_PD_160x600</v>
      </c>
      <c r="AF239" s="21" t="str">
        <f t="shared" si="64"/>
        <v>BR_VW_AFS_dv360_DIS_PROG_CPM_STD_LDR_AAF_RON_CXD_After-Sales-Oficina-Classicos-REG03-lal-home-ofertas_PD_160x600</v>
      </c>
      <c r="AG239" s="21" t="str">
        <f t="shared" si="65"/>
        <v>VW_After-Sales-lal-home-ofertas_160x600_After-Sales-Oficina-Classicos-REG03-adserver</v>
      </c>
      <c r="AH239" s="21" t="str">
        <f t="shared" si="66"/>
        <v>https://www.oficinadeclassicos.com.br/index.aspx?utm_source=dv360&amp;utm_medium=Programmatic&amp;utm_content=BR_VW_AFS_dv360_DIS_PROG_CPM_STD_LDR_AAF_RON_CXD_After-Sales-Oficina-Classicos-REG03-lal-home-ofertas_PD_160x600&amp;utm_campaign=BR_AAF_DSY_NONMS_ND_AS_2019Q2APR_AFS_After-Sales&amp;utm_term=%epid!_%ecid!_%eaid!</v>
      </c>
      <c r="AI239" s="21" t="str">
        <f t="shared" si="67"/>
        <v>TAG</v>
      </c>
      <c r="AJ239" s="15" t="str">
        <f t="shared" si="61"/>
        <v>dv360</v>
      </c>
      <c r="AK239" s="15" t="str">
        <f t="shared" si="62"/>
        <v>Programmatic</v>
      </c>
      <c r="AL239" s="21" t="str">
        <f>Campanha!$B$3</f>
        <v>BR_AAF_DSY_NONMS_ND_AS_2019Q2APR_AFS_After-Sales</v>
      </c>
      <c r="AM239" s="21" t="str">
        <f t="shared" si="68"/>
        <v>BR_VW_AFS_dv360_DIS_PROG_CPM_STD_LDR_AAF_RON_CXD_After-Sales-Oficina-Classicos-REG03-lal-home-ofertas_PD_160x600</v>
      </c>
      <c r="AN239" s="15" t="s">
        <v>809</v>
      </c>
    </row>
    <row r="240" spans="2:40" hidden="1" x14ac:dyDescent="0.25">
      <c r="B240" s="15" t="s">
        <v>872</v>
      </c>
      <c r="C240" s="15"/>
      <c r="D240" s="30" t="s">
        <v>873</v>
      </c>
      <c r="E240" s="22">
        <v>44155</v>
      </c>
      <c r="F240" s="22">
        <v>44196</v>
      </c>
      <c r="G240" s="15" t="s">
        <v>674</v>
      </c>
      <c r="H240" s="15" t="s">
        <v>811</v>
      </c>
      <c r="I240" s="15" t="s">
        <v>702</v>
      </c>
      <c r="J240" s="15" t="s">
        <v>325</v>
      </c>
      <c r="K240" s="15" t="s">
        <v>334</v>
      </c>
      <c r="L240" s="15" t="s">
        <v>358</v>
      </c>
      <c r="M240" s="15" t="s">
        <v>322</v>
      </c>
      <c r="N240" s="15" t="s">
        <v>708</v>
      </c>
      <c r="O240" s="15" t="s">
        <v>694</v>
      </c>
      <c r="P240" s="15" t="s">
        <v>1042</v>
      </c>
      <c r="Q240" s="15" t="s">
        <v>890</v>
      </c>
      <c r="R240" s="15" t="s">
        <v>835</v>
      </c>
      <c r="S240" s="15" t="s">
        <v>348</v>
      </c>
      <c r="T240" s="15" t="s">
        <v>484</v>
      </c>
      <c r="AC240" s="32" t="s">
        <v>885</v>
      </c>
      <c r="AD240" s="33" t="e">
        <f t="shared" si="60"/>
        <v>#N/A</v>
      </c>
      <c r="AE240" s="21" t="str">
        <f t="shared" si="63"/>
        <v>BR_VW_AFS_dv360_DIS_PROG_CPM_STD_LDR_AAF_RON_CXD_After-Sales-Oficina-Classicos-REG03-lal-home-ofertas_PD_300x50</v>
      </c>
      <c r="AF240" s="21" t="str">
        <f t="shared" si="64"/>
        <v>BR_VW_AFS_dv360_DIS_PROG_CPM_STD_LDR_AAF_RON_CXD_After-Sales-Oficina-Classicos-REG03-lal-home-ofertas_PD_300x50</v>
      </c>
      <c r="AG240" s="21" t="str">
        <f t="shared" si="65"/>
        <v>VW_After-Sales-lal-home-ofertas_300x50_After-Sales-Oficina-Classicos-REG03-adserver</v>
      </c>
      <c r="AH240" s="21" t="str">
        <f t="shared" si="66"/>
        <v>https://www.oficinadeclassicos.com.br/index.aspx?utm_source=dv360&amp;utm_medium=Programmatic&amp;utm_content=BR_VW_AFS_dv360_DIS_PROG_CPM_STD_LDR_AAF_RON_CXD_After-Sales-Oficina-Classicos-REG03-lal-home-ofertas_PD_300x50&amp;utm_campaign=BR_AAF_DSY_NONMS_ND_AS_2019Q2APR_AFS_After-Sales&amp;utm_term=%epid!_%ecid!_%eaid!</v>
      </c>
      <c r="AI240" s="21" t="str">
        <f t="shared" si="67"/>
        <v>TAG</v>
      </c>
      <c r="AJ240" s="15" t="str">
        <f t="shared" si="61"/>
        <v>dv360</v>
      </c>
      <c r="AK240" s="15" t="str">
        <f t="shared" si="62"/>
        <v>Programmatic</v>
      </c>
      <c r="AL240" s="21" t="str">
        <f>Campanha!$B$3</f>
        <v>BR_AAF_DSY_NONMS_ND_AS_2019Q2APR_AFS_After-Sales</v>
      </c>
      <c r="AM240" s="21" t="str">
        <f t="shared" si="68"/>
        <v>BR_VW_AFS_dv360_DIS_PROG_CPM_STD_LDR_AAF_RON_CXD_After-Sales-Oficina-Classicos-REG03-lal-home-ofertas_PD_300x50</v>
      </c>
      <c r="AN240" s="15" t="s">
        <v>809</v>
      </c>
    </row>
    <row r="241" spans="2:40" hidden="1" x14ac:dyDescent="0.25">
      <c r="B241" s="15" t="s">
        <v>872</v>
      </c>
      <c r="C241" s="15"/>
      <c r="D241" s="30" t="s">
        <v>873</v>
      </c>
      <c r="E241" s="22">
        <v>44155</v>
      </c>
      <c r="F241" s="22">
        <v>44196</v>
      </c>
      <c r="G241" s="15" t="s">
        <v>674</v>
      </c>
      <c r="H241" s="15" t="s">
        <v>811</v>
      </c>
      <c r="I241" s="15" t="s">
        <v>702</v>
      </c>
      <c r="J241" s="15" t="s">
        <v>325</v>
      </c>
      <c r="K241" s="15" t="s">
        <v>334</v>
      </c>
      <c r="L241" s="15" t="s">
        <v>358</v>
      </c>
      <c r="M241" s="15" t="s">
        <v>322</v>
      </c>
      <c r="N241" s="15" t="s">
        <v>708</v>
      </c>
      <c r="O241" s="15" t="s">
        <v>694</v>
      </c>
      <c r="P241" s="15" t="s">
        <v>1042</v>
      </c>
      <c r="Q241" s="15" t="s">
        <v>890</v>
      </c>
      <c r="R241" s="15" t="s">
        <v>835</v>
      </c>
      <c r="S241" s="15" t="s">
        <v>348</v>
      </c>
      <c r="T241" s="15" t="s">
        <v>478</v>
      </c>
      <c r="AC241" s="32" t="s">
        <v>885</v>
      </c>
      <c r="AD241" s="33" t="e">
        <f t="shared" si="60"/>
        <v>#N/A</v>
      </c>
      <c r="AE241" s="21" t="str">
        <f t="shared" si="63"/>
        <v>BR_VW_AFS_dv360_DIS_PROG_CPM_STD_LDR_AAF_RON_CXD_After-Sales-Oficina-Classicos-REG03-lal-home-ofertas_PD_300x250</v>
      </c>
      <c r="AF241" s="21" t="str">
        <f t="shared" si="64"/>
        <v>BR_VW_AFS_dv360_DIS_PROG_CPM_STD_LDR_AAF_RON_CXD_After-Sales-Oficina-Classicos-REG03-lal-home-ofertas_PD_300x250</v>
      </c>
      <c r="AG241" s="21" t="str">
        <f t="shared" si="65"/>
        <v>VW_After-Sales-lal-home-ofertas_300x250_After-Sales-Oficina-Classicos-REG03-adserver</v>
      </c>
      <c r="AH241" s="21" t="str">
        <f t="shared" si="66"/>
        <v>https://www.oficinadeclassicos.com.br/index.aspx?utm_source=dv360&amp;utm_medium=Programmatic&amp;utm_content=BR_VW_AFS_dv360_DIS_PROG_CPM_STD_LDR_AAF_RON_CXD_After-Sales-Oficina-Classicos-REG03-lal-home-ofertas_PD_300x250&amp;utm_campaign=BR_AAF_DSY_NONMS_ND_AS_2019Q2APR_AFS_After-Sales&amp;utm_term=%epid!_%ecid!_%eaid!</v>
      </c>
      <c r="AI241" s="21" t="str">
        <f t="shared" si="67"/>
        <v>TAG</v>
      </c>
      <c r="AJ241" s="15" t="str">
        <f t="shared" si="61"/>
        <v>dv360</v>
      </c>
      <c r="AK241" s="15" t="str">
        <f t="shared" si="62"/>
        <v>Programmatic</v>
      </c>
      <c r="AL241" s="21" t="str">
        <f>Campanha!$B$3</f>
        <v>BR_AAF_DSY_NONMS_ND_AS_2019Q2APR_AFS_After-Sales</v>
      </c>
      <c r="AM241" s="21" t="str">
        <f t="shared" si="68"/>
        <v>BR_VW_AFS_dv360_DIS_PROG_CPM_STD_LDR_AAF_RON_CXD_After-Sales-Oficina-Classicos-REG03-lal-home-ofertas_PD_300x250</v>
      </c>
      <c r="AN241" s="15" t="s">
        <v>809</v>
      </c>
    </row>
    <row r="242" spans="2:40" hidden="1" x14ac:dyDescent="0.25">
      <c r="B242" s="15" t="s">
        <v>872</v>
      </c>
      <c r="C242" s="15"/>
      <c r="D242" s="30" t="s">
        <v>873</v>
      </c>
      <c r="E242" s="22">
        <v>44155</v>
      </c>
      <c r="F242" s="22">
        <v>44196</v>
      </c>
      <c r="G242" s="15" t="s">
        <v>674</v>
      </c>
      <c r="H242" s="15" t="s">
        <v>811</v>
      </c>
      <c r="I242" s="15" t="s">
        <v>702</v>
      </c>
      <c r="J242" s="15" t="s">
        <v>325</v>
      </c>
      <c r="K242" s="15" t="s">
        <v>334</v>
      </c>
      <c r="L242" s="15" t="s">
        <v>358</v>
      </c>
      <c r="M242" s="15" t="s">
        <v>322</v>
      </c>
      <c r="N242" s="15" t="s">
        <v>708</v>
      </c>
      <c r="O242" s="15" t="s">
        <v>694</v>
      </c>
      <c r="P242" s="15" t="s">
        <v>1042</v>
      </c>
      <c r="Q242" s="15" t="s">
        <v>890</v>
      </c>
      <c r="R242" s="15" t="s">
        <v>835</v>
      </c>
      <c r="S242" s="15" t="s">
        <v>348</v>
      </c>
      <c r="T242" s="15" t="s">
        <v>614</v>
      </c>
      <c r="AC242" s="32" t="s">
        <v>885</v>
      </c>
      <c r="AD242" s="33" t="e">
        <f t="shared" si="60"/>
        <v>#N/A</v>
      </c>
      <c r="AE242" s="21" t="str">
        <f t="shared" si="63"/>
        <v>BR_VW_AFS_dv360_DIS_PROG_CPM_STD_LDR_AAF_RON_CXD_After-Sales-Oficina-Classicos-REG03-lal-home-ofertas_PD_728x90</v>
      </c>
      <c r="AF242" s="21" t="str">
        <f t="shared" si="64"/>
        <v>BR_VW_AFS_dv360_DIS_PROG_CPM_STD_LDR_AAF_RON_CXD_After-Sales-Oficina-Classicos-REG03-lal-home-ofertas_PD_728x90</v>
      </c>
      <c r="AG242" s="21" t="str">
        <f t="shared" si="65"/>
        <v>VW_After-Sales-lal-home-ofertas_728x90_After-Sales-Oficina-Classicos-REG03-adserver</v>
      </c>
      <c r="AH242" s="21" t="str">
        <f t="shared" si="66"/>
        <v>https://www.oficinadeclassicos.com.br/index.aspx?utm_source=dv360&amp;utm_medium=Programmatic&amp;utm_content=BR_VW_AFS_dv360_DIS_PROG_CPM_STD_LDR_AAF_RON_CXD_After-Sales-Oficina-Classicos-REG03-lal-home-ofertas_PD_728x90&amp;utm_campaign=BR_AAF_DSY_NONMS_ND_AS_2019Q2APR_AFS_After-Sales&amp;utm_term=%epid!_%ecid!_%eaid!</v>
      </c>
      <c r="AI242" s="21" t="str">
        <f t="shared" si="67"/>
        <v>TAG</v>
      </c>
      <c r="AJ242" s="15" t="str">
        <f t="shared" si="61"/>
        <v>dv360</v>
      </c>
      <c r="AK242" s="15" t="str">
        <f t="shared" si="62"/>
        <v>Programmatic</v>
      </c>
      <c r="AL242" s="21" t="str">
        <f>Campanha!$B$3</f>
        <v>BR_AAF_DSY_NONMS_ND_AS_2019Q2APR_AFS_After-Sales</v>
      </c>
      <c r="AM242" s="21" t="str">
        <f t="shared" si="68"/>
        <v>BR_VW_AFS_dv360_DIS_PROG_CPM_STD_LDR_AAF_RON_CXD_After-Sales-Oficina-Classicos-REG03-lal-home-ofertas_PD_728x90</v>
      </c>
      <c r="AN242" s="15" t="s">
        <v>809</v>
      </c>
    </row>
    <row r="243" spans="2:40" hidden="1" x14ac:dyDescent="0.25">
      <c r="B243" s="15" t="s">
        <v>872</v>
      </c>
      <c r="C243" s="15"/>
      <c r="D243" s="30" t="s">
        <v>873</v>
      </c>
      <c r="E243" s="22">
        <v>44155</v>
      </c>
      <c r="F243" s="22">
        <v>44196</v>
      </c>
      <c r="G243" s="15" t="s">
        <v>674</v>
      </c>
      <c r="H243" s="15" t="s">
        <v>811</v>
      </c>
      <c r="I243" s="15" t="s">
        <v>702</v>
      </c>
      <c r="J243" s="15" t="s">
        <v>325</v>
      </c>
      <c r="K243" s="15" t="s">
        <v>334</v>
      </c>
      <c r="L243" s="15" t="s">
        <v>358</v>
      </c>
      <c r="M243" s="15" t="s">
        <v>322</v>
      </c>
      <c r="N243" s="15" t="s">
        <v>708</v>
      </c>
      <c r="O243" s="15" t="s">
        <v>694</v>
      </c>
      <c r="P243" s="15" t="s">
        <v>1042</v>
      </c>
      <c r="Q243" s="15" t="s">
        <v>890</v>
      </c>
      <c r="R243" s="15" t="s">
        <v>835</v>
      </c>
      <c r="S243" s="15" t="s">
        <v>348</v>
      </c>
      <c r="T243" s="15" t="s">
        <v>652</v>
      </c>
      <c r="AC243" s="32" t="s">
        <v>885</v>
      </c>
      <c r="AD243" s="33" t="e">
        <f t="shared" si="60"/>
        <v>#N/A</v>
      </c>
      <c r="AE243" s="21" t="str">
        <f t="shared" si="63"/>
        <v>BR_VW_AFS_dv360_DIS_PROG_CPM_STD_LDR_AAF_RON_CXD_After-Sales-Oficina-Classicos-REG03-lal-home-ofertas_PD_970x250</v>
      </c>
      <c r="AF243" s="21" t="str">
        <f t="shared" si="64"/>
        <v>BR_VW_AFS_dv360_DIS_PROG_CPM_STD_LDR_AAF_RON_CXD_After-Sales-Oficina-Classicos-REG03-lal-home-ofertas_PD_970x250</v>
      </c>
      <c r="AG243" s="21" t="str">
        <f t="shared" si="65"/>
        <v>VW_After-Sales-lal-home-ofertas_970x250_After-Sales-Oficina-Classicos-REG03-adserver</v>
      </c>
      <c r="AH243" s="21" t="str">
        <f t="shared" si="66"/>
        <v>https://www.oficinadeclassicos.com.br/index.aspx?utm_source=dv360&amp;utm_medium=Programmatic&amp;utm_content=BR_VW_AFS_dv360_DIS_PROG_CPM_STD_LDR_AAF_RON_CXD_After-Sales-Oficina-Classicos-REG03-lal-home-ofertas_PD_970x250&amp;utm_campaign=BR_AAF_DSY_NONMS_ND_AS_2019Q2APR_AFS_After-Sales&amp;utm_term=%epid!_%ecid!_%eaid!</v>
      </c>
      <c r="AI243" s="21" t="str">
        <f t="shared" si="67"/>
        <v>TAG</v>
      </c>
      <c r="AJ243" s="15" t="str">
        <f t="shared" si="61"/>
        <v>dv360</v>
      </c>
      <c r="AK243" s="15" t="str">
        <f t="shared" si="62"/>
        <v>Programmatic</v>
      </c>
      <c r="AL243" s="21" t="str">
        <f>Campanha!$B$3</f>
        <v>BR_AAF_DSY_NONMS_ND_AS_2019Q2APR_AFS_After-Sales</v>
      </c>
      <c r="AM243" s="21" t="str">
        <f t="shared" si="68"/>
        <v>BR_VW_AFS_dv360_DIS_PROG_CPM_STD_LDR_AAF_RON_CXD_After-Sales-Oficina-Classicos-REG03-lal-home-ofertas_PD_970x250</v>
      </c>
      <c r="AN243" s="15" t="s">
        <v>809</v>
      </c>
    </row>
    <row r="244" spans="2:40" hidden="1" x14ac:dyDescent="0.25">
      <c r="B244" s="15" t="s">
        <v>872</v>
      </c>
      <c r="C244" s="15"/>
      <c r="D244" s="30" t="s">
        <v>873</v>
      </c>
      <c r="E244" s="22">
        <v>44155</v>
      </c>
      <c r="F244" s="22">
        <v>44196</v>
      </c>
      <c r="G244" s="15" t="s">
        <v>674</v>
      </c>
      <c r="H244" s="15" t="s">
        <v>811</v>
      </c>
      <c r="I244" s="15" t="s">
        <v>702</v>
      </c>
      <c r="J244" s="15" t="s">
        <v>325</v>
      </c>
      <c r="K244" s="15" t="s">
        <v>334</v>
      </c>
      <c r="L244" s="15" t="s">
        <v>358</v>
      </c>
      <c r="M244" s="15" t="s">
        <v>322</v>
      </c>
      <c r="N244" s="15" t="s">
        <v>708</v>
      </c>
      <c r="O244" s="15" t="s">
        <v>694</v>
      </c>
      <c r="P244" s="15" t="s">
        <v>1042</v>
      </c>
      <c r="Q244" s="15" t="s">
        <v>874</v>
      </c>
      <c r="R244" s="15" t="s">
        <v>835</v>
      </c>
      <c r="S244" s="15" t="s">
        <v>348</v>
      </c>
      <c r="T244" s="15" t="s">
        <v>457</v>
      </c>
      <c r="AC244" s="32" t="s">
        <v>885</v>
      </c>
      <c r="AD244" s="33" t="e">
        <f t="shared" si="60"/>
        <v>#N/A</v>
      </c>
      <c r="AE244" s="21" t="str">
        <f t="shared" si="63"/>
        <v>BR_VW_AFS_dv360_DIS_PROG_CPM_STD_LDR_AAF_RON_CXD_After-Sales-Oficina-Classicos-REG03-rmkt-visita-home-ofertas_PD_160x600</v>
      </c>
      <c r="AF244" s="21" t="str">
        <f t="shared" si="64"/>
        <v>BR_VW_AFS_dv360_DIS_PROG_CPM_STD_LDR_AAF_RON_CXD_After-Sales-Oficina-Classicos-REG03-rmkt-visita-home-ofertas_PD_160x600</v>
      </c>
      <c r="AG244" s="21" t="str">
        <f t="shared" si="65"/>
        <v>VW_After-Sales-rmkt-visita-home-ofertas_160x600_After-Sales-Oficina-Classicos-REG03-adserver</v>
      </c>
      <c r="AH244" s="21" t="str">
        <f t="shared" si="66"/>
        <v>https://www.oficinadeclassicos.com.br/index.aspx?utm_source=dv360&amp;utm_medium=Programmatic&amp;utm_content=BR_VW_AFS_dv360_DIS_PROG_CPM_STD_LDR_AAF_RON_CXD_After-Sales-Oficina-Classicos-REG03-rmkt-visita-home-ofertas_PD_160x600&amp;utm_campaign=BR_AAF_DSY_NONMS_ND_AS_2019Q2APR_AFS_After-Sales&amp;utm_term=%epid!_%ecid!_%eaid!</v>
      </c>
      <c r="AI244" s="21" t="str">
        <f t="shared" si="67"/>
        <v>TAG</v>
      </c>
      <c r="AJ244" s="15" t="str">
        <f t="shared" si="61"/>
        <v>dv360</v>
      </c>
      <c r="AK244" s="15" t="str">
        <f t="shared" si="62"/>
        <v>Programmatic</v>
      </c>
      <c r="AL244" s="21" t="str">
        <f>Campanha!$B$3</f>
        <v>BR_AAF_DSY_NONMS_ND_AS_2019Q2APR_AFS_After-Sales</v>
      </c>
      <c r="AM244" s="21" t="str">
        <f t="shared" si="68"/>
        <v>BR_VW_AFS_dv360_DIS_PROG_CPM_STD_LDR_AAF_RON_CXD_After-Sales-Oficina-Classicos-REG03-rmkt-visita-home-ofertas_PD_160x600</v>
      </c>
      <c r="AN244" s="15" t="s">
        <v>809</v>
      </c>
    </row>
    <row r="245" spans="2:40" hidden="1" x14ac:dyDescent="0.25">
      <c r="B245" s="15" t="s">
        <v>872</v>
      </c>
      <c r="C245" s="15"/>
      <c r="D245" s="30" t="s">
        <v>873</v>
      </c>
      <c r="E245" s="22">
        <v>44155</v>
      </c>
      <c r="F245" s="22">
        <v>44196</v>
      </c>
      <c r="G245" s="15" t="s">
        <v>674</v>
      </c>
      <c r="H245" s="15" t="s">
        <v>811</v>
      </c>
      <c r="I245" s="15" t="s">
        <v>702</v>
      </c>
      <c r="J245" s="15" t="s">
        <v>325</v>
      </c>
      <c r="K245" s="15" t="s">
        <v>334</v>
      </c>
      <c r="L245" s="15" t="s">
        <v>358</v>
      </c>
      <c r="M245" s="15" t="s">
        <v>322</v>
      </c>
      <c r="N245" s="15" t="s">
        <v>708</v>
      </c>
      <c r="O245" s="15" t="s">
        <v>694</v>
      </c>
      <c r="P245" s="15" t="s">
        <v>1042</v>
      </c>
      <c r="Q245" s="15" t="s">
        <v>874</v>
      </c>
      <c r="R245" s="15" t="s">
        <v>835</v>
      </c>
      <c r="S245" s="15" t="s">
        <v>348</v>
      </c>
      <c r="T245" s="15" t="s">
        <v>484</v>
      </c>
      <c r="AC245" s="32" t="s">
        <v>885</v>
      </c>
      <c r="AD245" s="33" t="e">
        <f t="shared" si="60"/>
        <v>#N/A</v>
      </c>
      <c r="AE245" s="21" t="str">
        <f t="shared" si="63"/>
        <v>BR_VW_AFS_dv360_DIS_PROG_CPM_STD_LDR_AAF_RON_CXD_After-Sales-Oficina-Classicos-REG03-rmkt-visita-home-ofertas_PD_300x50</v>
      </c>
      <c r="AF245" s="21" t="str">
        <f t="shared" si="64"/>
        <v>BR_VW_AFS_dv360_DIS_PROG_CPM_STD_LDR_AAF_RON_CXD_After-Sales-Oficina-Classicos-REG03-rmkt-visita-home-ofertas_PD_300x50</v>
      </c>
      <c r="AG245" s="21" t="str">
        <f t="shared" si="65"/>
        <v>VW_After-Sales-rmkt-visita-home-ofertas_300x50_After-Sales-Oficina-Classicos-REG03-adserver</v>
      </c>
      <c r="AH245" s="21" t="str">
        <f t="shared" si="66"/>
        <v>https://www.oficinadeclassicos.com.br/index.aspx?utm_source=dv360&amp;utm_medium=Programmatic&amp;utm_content=BR_VW_AFS_dv360_DIS_PROG_CPM_STD_LDR_AAF_RON_CXD_After-Sales-Oficina-Classicos-REG03-rmkt-visita-home-ofertas_PD_300x50&amp;utm_campaign=BR_AAF_DSY_NONMS_ND_AS_2019Q2APR_AFS_After-Sales&amp;utm_term=%epid!_%ecid!_%eaid!</v>
      </c>
      <c r="AI245" s="21" t="str">
        <f t="shared" si="67"/>
        <v>TAG</v>
      </c>
      <c r="AJ245" s="15" t="str">
        <f t="shared" si="61"/>
        <v>dv360</v>
      </c>
      <c r="AK245" s="15" t="str">
        <f t="shared" si="62"/>
        <v>Programmatic</v>
      </c>
      <c r="AL245" s="21" t="str">
        <f>Campanha!$B$3</f>
        <v>BR_AAF_DSY_NONMS_ND_AS_2019Q2APR_AFS_After-Sales</v>
      </c>
      <c r="AM245" s="21" t="str">
        <f t="shared" si="68"/>
        <v>BR_VW_AFS_dv360_DIS_PROG_CPM_STD_LDR_AAF_RON_CXD_After-Sales-Oficina-Classicos-REG03-rmkt-visita-home-ofertas_PD_300x50</v>
      </c>
      <c r="AN245" s="15" t="s">
        <v>809</v>
      </c>
    </row>
    <row r="246" spans="2:40" hidden="1" x14ac:dyDescent="0.25">
      <c r="B246" s="15" t="s">
        <v>872</v>
      </c>
      <c r="C246" s="15"/>
      <c r="D246" s="30" t="s">
        <v>873</v>
      </c>
      <c r="E246" s="22">
        <v>44155</v>
      </c>
      <c r="F246" s="22">
        <v>44196</v>
      </c>
      <c r="G246" s="15" t="s">
        <v>674</v>
      </c>
      <c r="H246" s="15" t="s">
        <v>811</v>
      </c>
      <c r="I246" s="15" t="s">
        <v>702</v>
      </c>
      <c r="J246" s="15" t="s">
        <v>325</v>
      </c>
      <c r="K246" s="15" t="s">
        <v>334</v>
      </c>
      <c r="L246" s="15" t="s">
        <v>358</v>
      </c>
      <c r="M246" s="15" t="s">
        <v>322</v>
      </c>
      <c r="N246" s="15" t="s">
        <v>708</v>
      </c>
      <c r="O246" s="15" t="s">
        <v>694</v>
      </c>
      <c r="P246" s="15" t="s">
        <v>1042</v>
      </c>
      <c r="Q246" s="15" t="s">
        <v>874</v>
      </c>
      <c r="R246" s="15" t="s">
        <v>835</v>
      </c>
      <c r="S246" s="15" t="s">
        <v>348</v>
      </c>
      <c r="T246" s="15" t="s">
        <v>478</v>
      </c>
      <c r="AC246" s="32" t="s">
        <v>885</v>
      </c>
      <c r="AD246" s="33" t="e">
        <f t="shared" ref="AD246:AD309" si="69">VLOOKUP(AE246,id_placement,2,FALSE)</f>
        <v>#N/A</v>
      </c>
      <c r="AE246" s="21" t="str">
        <f t="shared" si="63"/>
        <v>BR_VW_AFS_dv360_DIS_PROG_CPM_STD_LDR_AAF_RON_CXD_After-Sales-Oficina-Classicos-REG03-rmkt-visita-home-ofertas_PD_300x250</v>
      </c>
      <c r="AF246" s="21" t="str">
        <f t="shared" si="64"/>
        <v>BR_VW_AFS_dv360_DIS_PROG_CPM_STD_LDR_AAF_RON_CXD_After-Sales-Oficina-Classicos-REG03-rmkt-visita-home-ofertas_PD_300x250</v>
      </c>
      <c r="AG246" s="21" t="str">
        <f t="shared" si="65"/>
        <v>VW_After-Sales-rmkt-visita-home-ofertas_300x250_After-Sales-Oficina-Classicos-REG03-adserver</v>
      </c>
      <c r="AH246" s="21" t="str">
        <f t="shared" si="66"/>
        <v>https://www.oficinadeclassicos.com.br/index.aspx?utm_source=dv360&amp;utm_medium=Programmatic&amp;utm_content=BR_VW_AFS_dv360_DIS_PROG_CPM_STD_LDR_AAF_RON_CXD_After-Sales-Oficina-Classicos-REG03-rmkt-visita-home-ofertas_PD_300x250&amp;utm_campaign=BR_AAF_DSY_NONMS_ND_AS_2019Q2APR_AFS_After-Sales&amp;utm_term=%epid!_%ecid!_%eaid!</v>
      </c>
      <c r="AI246" s="21" t="str">
        <f t="shared" si="67"/>
        <v>TAG</v>
      </c>
      <c r="AJ246" s="15" t="str">
        <f t="shared" si="61"/>
        <v>dv360</v>
      </c>
      <c r="AK246" s="15" t="str">
        <f t="shared" si="62"/>
        <v>Programmatic</v>
      </c>
      <c r="AL246" s="21" t="str">
        <f>Campanha!$B$3</f>
        <v>BR_AAF_DSY_NONMS_ND_AS_2019Q2APR_AFS_After-Sales</v>
      </c>
      <c r="AM246" s="21" t="str">
        <f t="shared" si="68"/>
        <v>BR_VW_AFS_dv360_DIS_PROG_CPM_STD_LDR_AAF_RON_CXD_After-Sales-Oficina-Classicos-REG03-rmkt-visita-home-ofertas_PD_300x250</v>
      </c>
      <c r="AN246" s="15" t="s">
        <v>809</v>
      </c>
    </row>
    <row r="247" spans="2:40" hidden="1" x14ac:dyDescent="0.25">
      <c r="B247" s="15" t="s">
        <v>872</v>
      </c>
      <c r="C247" s="15"/>
      <c r="D247" s="30" t="s">
        <v>873</v>
      </c>
      <c r="E247" s="22">
        <v>44155</v>
      </c>
      <c r="F247" s="22">
        <v>44196</v>
      </c>
      <c r="G247" s="15" t="s">
        <v>674</v>
      </c>
      <c r="H247" s="15" t="s">
        <v>811</v>
      </c>
      <c r="I247" s="15" t="s">
        <v>702</v>
      </c>
      <c r="J247" s="15" t="s">
        <v>325</v>
      </c>
      <c r="K247" s="15" t="s">
        <v>334</v>
      </c>
      <c r="L247" s="15" t="s">
        <v>358</v>
      </c>
      <c r="M247" s="15" t="s">
        <v>322</v>
      </c>
      <c r="N247" s="15" t="s">
        <v>708</v>
      </c>
      <c r="O247" s="15" t="s">
        <v>694</v>
      </c>
      <c r="P247" s="15" t="s">
        <v>1042</v>
      </c>
      <c r="Q247" s="15" t="s">
        <v>874</v>
      </c>
      <c r="R247" s="15" t="s">
        <v>835</v>
      </c>
      <c r="S247" s="15" t="s">
        <v>348</v>
      </c>
      <c r="T247" s="15" t="s">
        <v>614</v>
      </c>
      <c r="AC247" s="32" t="s">
        <v>885</v>
      </c>
      <c r="AD247" s="33" t="e">
        <f t="shared" si="69"/>
        <v>#N/A</v>
      </c>
      <c r="AE247" s="21" t="str">
        <f t="shared" si="63"/>
        <v>BR_VW_AFS_dv360_DIS_PROG_CPM_STD_LDR_AAF_RON_CXD_After-Sales-Oficina-Classicos-REG03-rmkt-visita-home-ofertas_PD_728x90</v>
      </c>
      <c r="AF247" s="21" t="str">
        <f t="shared" si="64"/>
        <v>BR_VW_AFS_dv360_DIS_PROG_CPM_STD_LDR_AAF_RON_CXD_After-Sales-Oficina-Classicos-REG03-rmkt-visita-home-ofertas_PD_728x90</v>
      </c>
      <c r="AG247" s="21" t="str">
        <f t="shared" si="65"/>
        <v>VW_After-Sales-rmkt-visita-home-ofertas_728x90_After-Sales-Oficina-Classicos-REG03-adserver</v>
      </c>
      <c r="AH247" s="21" t="str">
        <f t="shared" si="66"/>
        <v>https://www.oficinadeclassicos.com.br/index.aspx?utm_source=dv360&amp;utm_medium=Programmatic&amp;utm_content=BR_VW_AFS_dv360_DIS_PROG_CPM_STD_LDR_AAF_RON_CXD_After-Sales-Oficina-Classicos-REG03-rmkt-visita-home-ofertas_PD_728x90&amp;utm_campaign=BR_AAF_DSY_NONMS_ND_AS_2019Q2APR_AFS_After-Sales&amp;utm_term=%epid!_%ecid!_%eaid!</v>
      </c>
      <c r="AI247" s="21" t="str">
        <f t="shared" si="67"/>
        <v>TAG</v>
      </c>
      <c r="AJ247" s="15" t="str">
        <f t="shared" si="61"/>
        <v>dv360</v>
      </c>
      <c r="AK247" s="15" t="str">
        <f t="shared" si="62"/>
        <v>Programmatic</v>
      </c>
      <c r="AL247" s="21" t="str">
        <f>Campanha!$B$3</f>
        <v>BR_AAF_DSY_NONMS_ND_AS_2019Q2APR_AFS_After-Sales</v>
      </c>
      <c r="AM247" s="21" t="str">
        <f t="shared" si="68"/>
        <v>BR_VW_AFS_dv360_DIS_PROG_CPM_STD_LDR_AAF_RON_CXD_After-Sales-Oficina-Classicos-REG03-rmkt-visita-home-ofertas_PD_728x90</v>
      </c>
      <c r="AN247" s="15" t="s">
        <v>809</v>
      </c>
    </row>
    <row r="248" spans="2:40" hidden="1" x14ac:dyDescent="0.25">
      <c r="B248" s="15" t="s">
        <v>872</v>
      </c>
      <c r="C248" s="15"/>
      <c r="D248" s="30" t="s">
        <v>873</v>
      </c>
      <c r="E248" s="22">
        <v>44155</v>
      </c>
      <c r="F248" s="22">
        <v>44196</v>
      </c>
      <c r="G248" s="15" t="s">
        <v>674</v>
      </c>
      <c r="H248" s="15" t="s">
        <v>811</v>
      </c>
      <c r="I248" s="15" t="s">
        <v>702</v>
      </c>
      <c r="J248" s="15" t="s">
        <v>325</v>
      </c>
      <c r="K248" s="15" t="s">
        <v>334</v>
      </c>
      <c r="L248" s="15" t="s">
        <v>358</v>
      </c>
      <c r="M248" s="15" t="s">
        <v>322</v>
      </c>
      <c r="N248" s="15" t="s">
        <v>708</v>
      </c>
      <c r="O248" s="15" t="s">
        <v>694</v>
      </c>
      <c r="P248" s="15" t="s">
        <v>1042</v>
      </c>
      <c r="Q248" s="15" t="s">
        <v>874</v>
      </c>
      <c r="R248" s="15" t="s">
        <v>835</v>
      </c>
      <c r="S248" s="15" t="s">
        <v>348</v>
      </c>
      <c r="T248" s="15" t="s">
        <v>652</v>
      </c>
      <c r="AC248" s="32" t="s">
        <v>885</v>
      </c>
      <c r="AD248" s="33" t="e">
        <f t="shared" si="69"/>
        <v>#N/A</v>
      </c>
      <c r="AE248" s="21" t="str">
        <f t="shared" si="63"/>
        <v>BR_VW_AFS_dv360_DIS_PROG_CPM_STD_LDR_AAF_RON_CXD_After-Sales-Oficina-Classicos-REG03-rmkt-visita-home-ofertas_PD_970x250</v>
      </c>
      <c r="AF248" s="21" t="str">
        <f t="shared" si="64"/>
        <v>BR_VW_AFS_dv360_DIS_PROG_CPM_STD_LDR_AAF_RON_CXD_After-Sales-Oficina-Classicos-REG03-rmkt-visita-home-ofertas_PD_970x250</v>
      </c>
      <c r="AG248" s="21" t="str">
        <f t="shared" si="65"/>
        <v>VW_After-Sales-rmkt-visita-home-ofertas_970x250_After-Sales-Oficina-Classicos-REG03-adserver</v>
      </c>
      <c r="AH248" s="21" t="str">
        <f t="shared" si="66"/>
        <v>https://www.oficinadeclassicos.com.br/index.aspx?utm_source=dv360&amp;utm_medium=Programmatic&amp;utm_content=BR_VW_AFS_dv360_DIS_PROG_CPM_STD_LDR_AAF_RON_CXD_After-Sales-Oficina-Classicos-REG03-rmkt-visita-home-ofertas_PD_970x250&amp;utm_campaign=BR_AAF_DSY_NONMS_ND_AS_2019Q2APR_AFS_After-Sales&amp;utm_term=%epid!_%ecid!_%eaid!</v>
      </c>
      <c r="AI248" s="21" t="str">
        <f t="shared" si="67"/>
        <v>TAG</v>
      </c>
      <c r="AJ248" s="15" t="str">
        <f t="shared" si="61"/>
        <v>dv360</v>
      </c>
      <c r="AK248" s="15" t="str">
        <f t="shared" si="62"/>
        <v>Programmatic</v>
      </c>
      <c r="AL248" s="21" t="str">
        <f>Campanha!$B$3</f>
        <v>BR_AAF_DSY_NONMS_ND_AS_2019Q2APR_AFS_After-Sales</v>
      </c>
      <c r="AM248" s="21" t="str">
        <f t="shared" si="68"/>
        <v>BR_VW_AFS_dv360_DIS_PROG_CPM_STD_LDR_AAF_RON_CXD_After-Sales-Oficina-Classicos-REG03-rmkt-visita-home-ofertas_PD_970x250</v>
      </c>
      <c r="AN248" s="15" t="s">
        <v>809</v>
      </c>
    </row>
    <row r="249" spans="2:40" hidden="1" x14ac:dyDescent="0.25">
      <c r="B249" s="15" t="s">
        <v>872</v>
      </c>
      <c r="C249" s="15"/>
      <c r="D249" s="30" t="s">
        <v>873</v>
      </c>
      <c r="E249" s="22">
        <v>44155</v>
      </c>
      <c r="F249" s="22">
        <v>44196</v>
      </c>
      <c r="G249" s="15" t="s">
        <v>674</v>
      </c>
      <c r="H249" s="15" t="s">
        <v>811</v>
      </c>
      <c r="I249" s="15" t="s">
        <v>702</v>
      </c>
      <c r="J249" s="15" t="s">
        <v>325</v>
      </c>
      <c r="K249" s="15" t="s">
        <v>334</v>
      </c>
      <c r="L249" s="15" t="s">
        <v>358</v>
      </c>
      <c r="M249" s="15" t="s">
        <v>322</v>
      </c>
      <c r="N249" s="15" t="s">
        <v>708</v>
      </c>
      <c r="O249" s="15" t="s">
        <v>694</v>
      </c>
      <c r="P249" s="15" t="s">
        <v>1042</v>
      </c>
      <c r="Q249" s="15" t="s">
        <v>877</v>
      </c>
      <c r="R249" s="15" t="s">
        <v>835</v>
      </c>
      <c r="S249" s="15" t="s">
        <v>348</v>
      </c>
      <c r="T249" s="15" t="s">
        <v>457</v>
      </c>
      <c r="AC249" s="32" t="s">
        <v>885</v>
      </c>
      <c r="AD249" s="33" t="e">
        <f t="shared" si="69"/>
        <v>#N/A</v>
      </c>
      <c r="AE249" s="21" t="str">
        <f t="shared" si="63"/>
        <v>BR_VW_AFS_dv360_DIS_PROG_CPM_STD_LDR_AAF_RON_CXD_After-Sales-Oficina-Classicos-REG03-rmkt-add-to-cart-ofertas_PD_160x600</v>
      </c>
      <c r="AF249" s="21" t="str">
        <f t="shared" si="64"/>
        <v>BR_VW_AFS_dv360_DIS_PROG_CPM_STD_LDR_AAF_RON_CXD_After-Sales-Oficina-Classicos-REG03-rmkt-add-to-cart-ofertas_PD_160x600</v>
      </c>
      <c r="AG249" s="21" t="str">
        <f t="shared" si="65"/>
        <v>VW_After-Sales-rmkt-add-to-cart-ofertas_160x600_After-Sales-Oficina-Classicos-REG03-adserver</v>
      </c>
      <c r="AH249" s="21" t="str">
        <f t="shared" si="66"/>
        <v>https://www.oficinadeclassicos.com.br/index.aspx?utm_source=dv360&amp;utm_medium=Programmatic&amp;utm_content=BR_VW_AFS_dv360_DIS_PROG_CPM_STD_LDR_AAF_RON_CXD_After-Sales-Oficina-Classicos-REG03-rmkt-add-to-cart-ofertas_PD_160x600&amp;utm_campaign=BR_AAF_DSY_NONMS_ND_AS_2019Q2APR_AFS_After-Sales&amp;utm_term=%epid!_%ecid!_%eaid!</v>
      </c>
      <c r="AI249" s="21" t="str">
        <f t="shared" si="67"/>
        <v>TAG</v>
      </c>
      <c r="AJ249" s="15" t="str">
        <f t="shared" si="61"/>
        <v>dv360</v>
      </c>
      <c r="AK249" s="15" t="str">
        <f t="shared" si="62"/>
        <v>Programmatic</v>
      </c>
      <c r="AL249" s="21" t="str">
        <f>Campanha!$B$3</f>
        <v>BR_AAF_DSY_NONMS_ND_AS_2019Q2APR_AFS_After-Sales</v>
      </c>
      <c r="AM249" s="21" t="str">
        <f t="shared" si="68"/>
        <v>BR_VW_AFS_dv360_DIS_PROG_CPM_STD_LDR_AAF_RON_CXD_After-Sales-Oficina-Classicos-REG03-rmkt-add-to-cart-ofertas_PD_160x600</v>
      </c>
      <c r="AN249" s="15" t="s">
        <v>809</v>
      </c>
    </row>
    <row r="250" spans="2:40" hidden="1" x14ac:dyDescent="0.25">
      <c r="B250" s="15" t="s">
        <v>872</v>
      </c>
      <c r="C250" s="15"/>
      <c r="D250" s="30" t="s">
        <v>873</v>
      </c>
      <c r="E250" s="22">
        <v>44155</v>
      </c>
      <c r="F250" s="22">
        <v>44196</v>
      </c>
      <c r="G250" s="15" t="s">
        <v>674</v>
      </c>
      <c r="H250" s="15" t="s">
        <v>811</v>
      </c>
      <c r="I250" s="15" t="s">
        <v>702</v>
      </c>
      <c r="J250" s="15" t="s">
        <v>325</v>
      </c>
      <c r="K250" s="15" t="s">
        <v>334</v>
      </c>
      <c r="L250" s="15" t="s">
        <v>358</v>
      </c>
      <c r="M250" s="15" t="s">
        <v>322</v>
      </c>
      <c r="N250" s="15" t="s">
        <v>708</v>
      </c>
      <c r="O250" s="15" t="s">
        <v>694</v>
      </c>
      <c r="P250" s="15" t="s">
        <v>1042</v>
      </c>
      <c r="Q250" s="15" t="s">
        <v>877</v>
      </c>
      <c r="R250" s="15" t="s">
        <v>835</v>
      </c>
      <c r="S250" s="15" t="s">
        <v>348</v>
      </c>
      <c r="T250" s="15" t="s">
        <v>484</v>
      </c>
      <c r="AC250" s="32" t="s">
        <v>885</v>
      </c>
      <c r="AD250" s="33" t="e">
        <f t="shared" si="69"/>
        <v>#N/A</v>
      </c>
      <c r="AE250" s="21" t="str">
        <f t="shared" si="63"/>
        <v>BR_VW_AFS_dv360_DIS_PROG_CPM_STD_LDR_AAF_RON_CXD_After-Sales-Oficina-Classicos-REG03-rmkt-add-to-cart-ofertas_PD_300x50</v>
      </c>
      <c r="AF250" s="21" t="str">
        <f t="shared" si="64"/>
        <v>BR_VW_AFS_dv360_DIS_PROG_CPM_STD_LDR_AAF_RON_CXD_After-Sales-Oficina-Classicos-REG03-rmkt-add-to-cart-ofertas_PD_300x50</v>
      </c>
      <c r="AG250" s="21" t="str">
        <f t="shared" si="65"/>
        <v>VW_After-Sales-rmkt-add-to-cart-ofertas_300x50_After-Sales-Oficina-Classicos-REG03-adserver</v>
      </c>
      <c r="AH250" s="21" t="str">
        <f t="shared" si="66"/>
        <v>https://www.oficinadeclassicos.com.br/index.aspx?utm_source=dv360&amp;utm_medium=Programmatic&amp;utm_content=BR_VW_AFS_dv360_DIS_PROG_CPM_STD_LDR_AAF_RON_CXD_After-Sales-Oficina-Classicos-REG03-rmkt-add-to-cart-ofertas_PD_300x50&amp;utm_campaign=BR_AAF_DSY_NONMS_ND_AS_2019Q2APR_AFS_After-Sales&amp;utm_term=%epid!_%ecid!_%eaid!</v>
      </c>
      <c r="AI250" s="21" t="str">
        <f t="shared" si="67"/>
        <v>TAG</v>
      </c>
      <c r="AJ250" s="15" t="str">
        <f t="shared" si="61"/>
        <v>dv360</v>
      </c>
      <c r="AK250" s="15" t="str">
        <f t="shared" si="62"/>
        <v>Programmatic</v>
      </c>
      <c r="AL250" s="21" t="str">
        <f>Campanha!$B$3</f>
        <v>BR_AAF_DSY_NONMS_ND_AS_2019Q2APR_AFS_After-Sales</v>
      </c>
      <c r="AM250" s="21" t="str">
        <f t="shared" si="68"/>
        <v>BR_VW_AFS_dv360_DIS_PROG_CPM_STD_LDR_AAF_RON_CXD_After-Sales-Oficina-Classicos-REG03-rmkt-add-to-cart-ofertas_PD_300x50</v>
      </c>
      <c r="AN250" s="15" t="s">
        <v>809</v>
      </c>
    </row>
    <row r="251" spans="2:40" hidden="1" x14ac:dyDescent="0.25">
      <c r="B251" s="15" t="s">
        <v>872</v>
      </c>
      <c r="C251" s="15"/>
      <c r="D251" s="30" t="s">
        <v>873</v>
      </c>
      <c r="E251" s="22">
        <v>44155</v>
      </c>
      <c r="F251" s="22">
        <v>44196</v>
      </c>
      <c r="G251" s="15" t="s">
        <v>674</v>
      </c>
      <c r="H251" s="15" t="s">
        <v>811</v>
      </c>
      <c r="I251" s="15" t="s">
        <v>702</v>
      </c>
      <c r="J251" s="15" t="s">
        <v>325</v>
      </c>
      <c r="K251" s="15" t="s">
        <v>334</v>
      </c>
      <c r="L251" s="15" t="s">
        <v>358</v>
      </c>
      <c r="M251" s="15" t="s">
        <v>322</v>
      </c>
      <c r="N251" s="15" t="s">
        <v>708</v>
      </c>
      <c r="O251" s="15" t="s">
        <v>694</v>
      </c>
      <c r="P251" s="15" t="s">
        <v>1042</v>
      </c>
      <c r="Q251" s="15" t="s">
        <v>877</v>
      </c>
      <c r="R251" s="15" t="s">
        <v>835</v>
      </c>
      <c r="S251" s="15" t="s">
        <v>348</v>
      </c>
      <c r="T251" s="15" t="s">
        <v>478</v>
      </c>
      <c r="AC251" s="32" t="s">
        <v>885</v>
      </c>
      <c r="AD251" s="33" t="e">
        <f t="shared" si="69"/>
        <v>#N/A</v>
      </c>
      <c r="AE251" s="21" t="str">
        <f t="shared" si="63"/>
        <v>BR_VW_AFS_dv360_DIS_PROG_CPM_STD_LDR_AAF_RON_CXD_After-Sales-Oficina-Classicos-REG03-rmkt-add-to-cart-ofertas_PD_300x250</v>
      </c>
      <c r="AF251" s="21" t="str">
        <f t="shared" si="64"/>
        <v>BR_VW_AFS_dv360_DIS_PROG_CPM_STD_LDR_AAF_RON_CXD_After-Sales-Oficina-Classicos-REG03-rmkt-add-to-cart-ofertas_PD_300x250</v>
      </c>
      <c r="AG251" s="21" t="str">
        <f t="shared" si="65"/>
        <v>VW_After-Sales-rmkt-add-to-cart-ofertas_300x250_After-Sales-Oficina-Classicos-REG03-adserver</v>
      </c>
      <c r="AH251" s="21" t="str">
        <f t="shared" si="66"/>
        <v>https://www.oficinadeclassicos.com.br/index.aspx?utm_source=dv360&amp;utm_medium=Programmatic&amp;utm_content=BR_VW_AFS_dv360_DIS_PROG_CPM_STD_LDR_AAF_RON_CXD_After-Sales-Oficina-Classicos-REG03-rmkt-add-to-cart-ofertas_PD_300x250&amp;utm_campaign=BR_AAF_DSY_NONMS_ND_AS_2019Q2APR_AFS_After-Sales&amp;utm_term=%epid!_%ecid!_%eaid!</v>
      </c>
      <c r="AI251" s="21" t="str">
        <f t="shared" si="67"/>
        <v>TAG</v>
      </c>
      <c r="AJ251" s="15" t="str">
        <f t="shared" si="61"/>
        <v>dv360</v>
      </c>
      <c r="AK251" s="15" t="str">
        <f t="shared" si="62"/>
        <v>Programmatic</v>
      </c>
      <c r="AL251" s="21" t="str">
        <f>Campanha!$B$3</f>
        <v>BR_AAF_DSY_NONMS_ND_AS_2019Q2APR_AFS_After-Sales</v>
      </c>
      <c r="AM251" s="21" t="str">
        <f t="shared" si="68"/>
        <v>BR_VW_AFS_dv360_DIS_PROG_CPM_STD_LDR_AAF_RON_CXD_After-Sales-Oficina-Classicos-REG03-rmkt-add-to-cart-ofertas_PD_300x250</v>
      </c>
      <c r="AN251" s="15" t="s">
        <v>809</v>
      </c>
    </row>
    <row r="252" spans="2:40" hidden="1" x14ac:dyDescent="0.25">
      <c r="B252" s="15" t="s">
        <v>872</v>
      </c>
      <c r="C252" s="15"/>
      <c r="D252" s="30" t="s">
        <v>873</v>
      </c>
      <c r="E252" s="22">
        <v>44155</v>
      </c>
      <c r="F252" s="22">
        <v>44196</v>
      </c>
      <c r="G252" s="15" t="s">
        <v>674</v>
      </c>
      <c r="H252" s="15" t="s">
        <v>811</v>
      </c>
      <c r="I252" s="15" t="s">
        <v>702</v>
      </c>
      <c r="J252" s="15" t="s">
        <v>325</v>
      </c>
      <c r="K252" s="15" t="s">
        <v>334</v>
      </c>
      <c r="L252" s="15" t="s">
        <v>358</v>
      </c>
      <c r="M252" s="15" t="s">
        <v>322</v>
      </c>
      <c r="N252" s="15" t="s">
        <v>708</v>
      </c>
      <c r="O252" s="15" t="s">
        <v>694</v>
      </c>
      <c r="P252" s="15" t="s">
        <v>1042</v>
      </c>
      <c r="Q252" s="15" t="s">
        <v>877</v>
      </c>
      <c r="R252" s="15" t="s">
        <v>835</v>
      </c>
      <c r="S252" s="15" t="s">
        <v>348</v>
      </c>
      <c r="T252" s="15" t="s">
        <v>614</v>
      </c>
      <c r="AC252" s="32" t="s">
        <v>885</v>
      </c>
      <c r="AD252" s="33" t="e">
        <f t="shared" si="69"/>
        <v>#N/A</v>
      </c>
      <c r="AE252" s="21" t="str">
        <f t="shared" si="63"/>
        <v>BR_VW_AFS_dv360_DIS_PROG_CPM_STD_LDR_AAF_RON_CXD_After-Sales-Oficina-Classicos-REG03-rmkt-add-to-cart-ofertas_PD_728x90</v>
      </c>
      <c r="AF252" s="21" t="str">
        <f t="shared" si="64"/>
        <v>BR_VW_AFS_dv360_DIS_PROG_CPM_STD_LDR_AAF_RON_CXD_After-Sales-Oficina-Classicos-REG03-rmkt-add-to-cart-ofertas_PD_728x90</v>
      </c>
      <c r="AG252" s="21" t="str">
        <f t="shared" si="65"/>
        <v>VW_After-Sales-rmkt-add-to-cart-ofertas_728x90_After-Sales-Oficina-Classicos-REG03-adserver</v>
      </c>
      <c r="AH252" s="21" t="str">
        <f t="shared" si="66"/>
        <v>https://www.oficinadeclassicos.com.br/index.aspx?utm_source=dv360&amp;utm_medium=Programmatic&amp;utm_content=BR_VW_AFS_dv360_DIS_PROG_CPM_STD_LDR_AAF_RON_CXD_After-Sales-Oficina-Classicos-REG03-rmkt-add-to-cart-ofertas_PD_728x90&amp;utm_campaign=BR_AAF_DSY_NONMS_ND_AS_2019Q2APR_AFS_After-Sales&amp;utm_term=%epid!_%ecid!_%eaid!</v>
      </c>
      <c r="AI252" s="21" t="str">
        <f t="shared" si="67"/>
        <v>TAG</v>
      </c>
      <c r="AJ252" s="15" t="str">
        <f t="shared" si="61"/>
        <v>dv360</v>
      </c>
      <c r="AK252" s="15" t="str">
        <f t="shared" si="62"/>
        <v>Programmatic</v>
      </c>
      <c r="AL252" s="21" t="str">
        <f>Campanha!$B$3</f>
        <v>BR_AAF_DSY_NONMS_ND_AS_2019Q2APR_AFS_After-Sales</v>
      </c>
      <c r="AM252" s="21" t="str">
        <f t="shared" si="68"/>
        <v>BR_VW_AFS_dv360_DIS_PROG_CPM_STD_LDR_AAF_RON_CXD_After-Sales-Oficina-Classicos-REG03-rmkt-add-to-cart-ofertas_PD_728x90</v>
      </c>
      <c r="AN252" s="15" t="s">
        <v>809</v>
      </c>
    </row>
    <row r="253" spans="2:40" hidden="1" x14ac:dyDescent="0.25">
      <c r="B253" s="15" t="s">
        <v>872</v>
      </c>
      <c r="C253" s="15"/>
      <c r="D253" s="30" t="s">
        <v>873</v>
      </c>
      <c r="E253" s="22">
        <v>44155</v>
      </c>
      <c r="F253" s="22">
        <v>44196</v>
      </c>
      <c r="G253" s="15" t="s">
        <v>674</v>
      </c>
      <c r="H253" s="15" t="s">
        <v>811</v>
      </c>
      <c r="I253" s="15" t="s">
        <v>702</v>
      </c>
      <c r="J253" s="15" t="s">
        <v>325</v>
      </c>
      <c r="K253" s="15" t="s">
        <v>334</v>
      </c>
      <c r="L253" s="15" t="s">
        <v>358</v>
      </c>
      <c r="M253" s="15" t="s">
        <v>322</v>
      </c>
      <c r="N253" s="15" t="s">
        <v>708</v>
      </c>
      <c r="O253" s="15" t="s">
        <v>694</v>
      </c>
      <c r="P253" s="15" t="s">
        <v>1042</v>
      </c>
      <c r="Q253" s="15" t="s">
        <v>877</v>
      </c>
      <c r="R253" s="15" t="s">
        <v>835</v>
      </c>
      <c r="S253" s="15" t="s">
        <v>348</v>
      </c>
      <c r="T253" s="15" t="s">
        <v>652</v>
      </c>
      <c r="AC253" s="32" t="s">
        <v>885</v>
      </c>
      <c r="AD253" s="33" t="e">
        <f t="shared" si="69"/>
        <v>#N/A</v>
      </c>
      <c r="AE253" s="21" t="str">
        <f t="shared" si="63"/>
        <v>BR_VW_AFS_dv360_DIS_PROG_CPM_STD_LDR_AAF_RON_CXD_After-Sales-Oficina-Classicos-REG03-rmkt-add-to-cart-ofertas_PD_970x250</v>
      </c>
      <c r="AF253" s="21" t="str">
        <f t="shared" si="64"/>
        <v>BR_VW_AFS_dv360_DIS_PROG_CPM_STD_LDR_AAF_RON_CXD_After-Sales-Oficina-Classicos-REG03-rmkt-add-to-cart-ofertas_PD_970x250</v>
      </c>
      <c r="AG253" s="21" t="str">
        <f t="shared" si="65"/>
        <v>VW_After-Sales-rmkt-add-to-cart-ofertas_970x250_After-Sales-Oficina-Classicos-REG03-adserver</v>
      </c>
      <c r="AH253" s="21" t="str">
        <f t="shared" si="66"/>
        <v>https://www.oficinadeclassicos.com.br/index.aspx?utm_source=dv360&amp;utm_medium=Programmatic&amp;utm_content=BR_VW_AFS_dv360_DIS_PROG_CPM_STD_LDR_AAF_RON_CXD_After-Sales-Oficina-Classicos-REG03-rmkt-add-to-cart-ofertas_PD_970x250&amp;utm_campaign=BR_AAF_DSY_NONMS_ND_AS_2019Q2APR_AFS_After-Sales&amp;utm_term=%epid!_%ecid!_%eaid!</v>
      </c>
      <c r="AI253" s="21" t="str">
        <f t="shared" si="67"/>
        <v>TAG</v>
      </c>
      <c r="AJ253" s="15" t="str">
        <f t="shared" si="61"/>
        <v>dv360</v>
      </c>
      <c r="AK253" s="15" t="str">
        <f t="shared" si="62"/>
        <v>Programmatic</v>
      </c>
      <c r="AL253" s="21" t="str">
        <f>Campanha!$B$3</f>
        <v>BR_AAF_DSY_NONMS_ND_AS_2019Q2APR_AFS_After-Sales</v>
      </c>
      <c r="AM253" s="21" t="str">
        <f t="shared" si="68"/>
        <v>BR_VW_AFS_dv360_DIS_PROG_CPM_STD_LDR_AAF_RON_CXD_After-Sales-Oficina-Classicos-REG03-rmkt-add-to-cart-ofertas_PD_970x250</v>
      </c>
      <c r="AN253" s="15" t="s">
        <v>809</v>
      </c>
    </row>
    <row r="254" spans="2:40" hidden="1" x14ac:dyDescent="0.25">
      <c r="B254" s="15" t="s">
        <v>872</v>
      </c>
      <c r="C254" s="15"/>
      <c r="D254" s="30" t="s">
        <v>873</v>
      </c>
      <c r="E254" s="22">
        <v>44155</v>
      </c>
      <c r="F254" s="22">
        <v>44196</v>
      </c>
      <c r="G254" s="15" t="s">
        <v>674</v>
      </c>
      <c r="H254" s="15" t="s">
        <v>811</v>
      </c>
      <c r="I254" s="15" t="s">
        <v>702</v>
      </c>
      <c r="J254" s="15" t="s">
        <v>325</v>
      </c>
      <c r="K254" s="15" t="s">
        <v>334</v>
      </c>
      <c r="L254" s="15" t="s">
        <v>358</v>
      </c>
      <c r="M254" s="15" t="s">
        <v>322</v>
      </c>
      <c r="N254" s="15" t="s">
        <v>708</v>
      </c>
      <c r="O254" s="15" t="s">
        <v>694</v>
      </c>
      <c r="P254" s="15" t="s">
        <v>1042</v>
      </c>
      <c r="Q254" s="15" t="s">
        <v>887</v>
      </c>
      <c r="R254" s="15" t="s">
        <v>835</v>
      </c>
      <c r="S254" s="15" t="s">
        <v>348</v>
      </c>
      <c r="T254" s="15" t="s">
        <v>457</v>
      </c>
      <c r="AC254" s="32" t="s">
        <v>885</v>
      </c>
      <c r="AD254" s="33" t="e">
        <f t="shared" si="69"/>
        <v>#N/A</v>
      </c>
      <c r="AE254" s="21" t="str">
        <f t="shared" si="63"/>
        <v>BR_VW_AFS_dv360_DIS_PROG_CPM_STD_LDR_AAF_RON_CXD_After-Sales-Oficina-Classicos-REG03-lal-lead-oficina_PD_160x600</v>
      </c>
      <c r="AF254" s="21" t="str">
        <f t="shared" si="64"/>
        <v>BR_VW_AFS_dv360_DIS_PROG_CPM_STD_LDR_AAF_RON_CXD_After-Sales-Oficina-Classicos-REG03-lal-lead-oficina_PD_160x600</v>
      </c>
      <c r="AG254" s="21" t="str">
        <f t="shared" si="65"/>
        <v>VW_After-Sales-lal-lead-oficina_160x600_After-Sales-Oficina-Classicos-REG03-adserver</v>
      </c>
      <c r="AH254" s="21" t="str">
        <f t="shared" si="66"/>
        <v>https://www.oficinadeclassicos.com.br/index.aspx?utm_source=dv360&amp;utm_medium=Programmatic&amp;utm_content=BR_VW_AFS_dv360_DIS_PROG_CPM_STD_LDR_AAF_RON_CXD_After-Sales-Oficina-Classicos-REG03-lal-lead-oficina_PD_160x600&amp;utm_campaign=BR_AAF_DSY_NONMS_ND_AS_2019Q2APR_AFS_After-Sales&amp;utm_term=%epid!_%ecid!_%eaid!</v>
      </c>
      <c r="AI254" s="21" t="str">
        <f t="shared" si="67"/>
        <v>TAG</v>
      </c>
      <c r="AJ254" s="15" t="str">
        <f t="shared" ref="AJ254:AJ317" si="70">H254</f>
        <v>dv360</v>
      </c>
      <c r="AK254" s="15" t="str">
        <f t="shared" ref="AK254:AK317" si="71">J254</f>
        <v>Programmatic</v>
      </c>
      <c r="AL254" s="21" t="str">
        <f>Campanha!$B$3</f>
        <v>BR_AAF_DSY_NONMS_ND_AS_2019Q2APR_AFS_After-Sales</v>
      </c>
      <c r="AM254" s="21" t="str">
        <f t="shared" si="68"/>
        <v>BR_VW_AFS_dv360_DIS_PROG_CPM_STD_LDR_AAF_RON_CXD_After-Sales-Oficina-Classicos-REG03-lal-lead-oficina_PD_160x600</v>
      </c>
      <c r="AN254" s="15" t="s">
        <v>809</v>
      </c>
    </row>
    <row r="255" spans="2:40" hidden="1" x14ac:dyDescent="0.25">
      <c r="B255" s="15" t="s">
        <v>872</v>
      </c>
      <c r="C255" s="15"/>
      <c r="D255" s="30" t="s">
        <v>873</v>
      </c>
      <c r="E255" s="22">
        <v>44155</v>
      </c>
      <c r="F255" s="22">
        <v>44196</v>
      </c>
      <c r="G255" s="15" t="s">
        <v>674</v>
      </c>
      <c r="H255" s="15" t="s">
        <v>811</v>
      </c>
      <c r="I255" s="15" t="s">
        <v>702</v>
      </c>
      <c r="J255" s="15" t="s">
        <v>325</v>
      </c>
      <c r="K255" s="15" t="s">
        <v>334</v>
      </c>
      <c r="L255" s="15" t="s">
        <v>358</v>
      </c>
      <c r="M255" s="15" t="s">
        <v>322</v>
      </c>
      <c r="N255" s="15" t="s">
        <v>708</v>
      </c>
      <c r="O255" s="15" t="s">
        <v>694</v>
      </c>
      <c r="P255" s="15" t="s">
        <v>1042</v>
      </c>
      <c r="Q255" s="15" t="s">
        <v>887</v>
      </c>
      <c r="R255" s="15" t="s">
        <v>835</v>
      </c>
      <c r="S255" s="15" t="s">
        <v>348</v>
      </c>
      <c r="T255" s="15" t="s">
        <v>484</v>
      </c>
      <c r="AC255" s="32" t="s">
        <v>885</v>
      </c>
      <c r="AD255" s="33" t="e">
        <f t="shared" si="69"/>
        <v>#N/A</v>
      </c>
      <c r="AE255" s="21" t="str">
        <f t="shared" si="63"/>
        <v>BR_VW_AFS_dv360_DIS_PROG_CPM_STD_LDR_AAF_RON_CXD_After-Sales-Oficina-Classicos-REG03-lal-lead-oficina_PD_300x50</v>
      </c>
      <c r="AF255" s="21" t="str">
        <f t="shared" si="64"/>
        <v>BR_VW_AFS_dv360_DIS_PROG_CPM_STD_LDR_AAF_RON_CXD_After-Sales-Oficina-Classicos-REG03-lal-lead-oficina_PD_300x50</v>
      </c>
      <c r="AG255" s="21" t="str">
        <f t="shared" si="65"/>
        <v>VW_After-Sales-lal-lead-oficina_300x50_After-Sales-Oficina-Classicos-REG03-adserver</v>
      </c>
      <c r="AH255" s="21" t="str">
        <f t="shared" si="66"/>
        <v>https://www.oficinadeclassicos.com.br/index.aspx?utm_source=dv360&amp;utm_medium=Programmatic&amp;utm_content=BR_VW_AFS_dv360_DIS_PROG_CPM_STD_LDR_AAF_RON_CXD_After-Sales-Oficina-Classicos-REG03-lal-lead-oficina_PD_300x50&amp;utm_campaign=BR_AAF_DSY_NONMS_ND_AS_2019Q2APR_AFS_After-Sales&amp;utm_term=%epid!_%ecid!_%eaid!</v>
      </c>
      <c r="AI255" s="21" t="str">
        <f t="shared" si="67"/>
        <v>TAG</v>
      </c>
      <c r="AJ255" s="15" t="str">
        <f t="shared" si="70"/>
        <v>dv360</v>
      </c>
      <c r="AK255" s="15" t="str">
        <f t="shared" si="71"/>
        <v>Programmatic</v>
      </c>
      <c r="AL255" s="21" t="str">
        <f>Campanha!$B$3</f>
        <v>BR_AAF_DSY_NONMS_ND_AS_2019Q2APR_AFS_After-Sales</v>
      </c>
      <c r="AM255" s="21" t="str">
        <f t="shared" si="68"/>
        <v>BR_VW_AFS_dv360_DIS_PROG_CPM_STD_LDR_AAF_RON_CXD_After-Sales-Oficina-Classicos-REG03-lal-lead-oficina_PD_300x50</v>
      </c>
      <c r="AN255" s="15" t="s">
        <v>809</v>
      </c>
    </row>
    <row r="256" spans="2:40" hidden="1" x14ac:dyDescent="0.25">
      <c r="B256" s="15" t="s">
        <v>872</v>
      </c>
      <c r="C256" s="15"/>
      <c r="D256" s="30" t="s">
        <v>873</v>
      </c>
      <c r="E256" s="22">
        <v>44155</v>
      </c>
      <c r="F256" s="22">
        <v>44196</v>
      </c>
      <c r="G256" s="15" t="s">
        <v>674</v>
      </c>
      <c r="H256" s="15" t="s">
        <v>811</v>
      </c>
      <c r="I256" s="15" t="s">
        <v>702</v>
      </c>
      <c r="J256" s="15" t="s">
        <v>325</v>
      </c>
      <c r="K256" s="15" t="s">
        <v>334</v>
      </c>
      <c r="L256" s="15" t="s">
        <v>358</v>
      </c>
      <c r="M256" s="15" t="s">
        <v>322</v>
      </c>
      <c r="N256" s="15" t="s">
        <v>708</v>
      </c>
      <c r="O256" s="15" t="s">
        <v>694</v>
      </c>
      <c r="P256" s="15" t="s">
        <v>1042</v>
      </c>
      <c r="Q256" s="15" t="s">
        <v>887</v>
      </c>
      <c r="R256" s="15" t="s">
        <v>835</v>
      </c>
      <c r="S256" s="15" t="s">
        <v>348</v>
      </c>
      <c r="T256" s="15" t="s">
        <v>478</v>
      </c>
      <c r="AC256" s="32" t="s">
        <v>885</v>
      </c>
      <c r="AD256" s="33" t="e">
        <f t="shared" si="69"/>
        <v>#N/A</v>
      </c>
      <c r="AE256" s="21" t="str">
        <f t="shared" si="63"/>
        <v>BR_VW_AFS_dv360_DIS_PROG_CPM_STD_LDR_AAF_RON_CXD_After-Sales-Oficina-Classicos-REG03-lal-lead-oficina_PD_300x250</v>
      </c>
      <c r="AF256" s="21" t="str">
        <f t="shared" si="64"/>
        <v>BR_VW_AFS_dv360_DIS_PROG_CPM_STD_LDR_AAF_RON_CXD_After-Sales-Oficina-Classicos-REG03-lal-lead-oficina_PD_300x250</v>
      </c>
      <c r="AG256" s="21" t="str">
        <f t="shared" si="65"/>
        <v>VW_After-Sales-lal-lead-oficina_300x250_After-Sales-Oficina-Classicos-REG03-adserver</v>
      </c>
      <c r="AH256" s="21" t="str">
        <f t="shared" si="66"/>
        <v>https://www.oficinadeclassicos.com.br/index.aspx?utm_source=dv360&amp;utm_medium=Programmatic&amp;utm_content=BR_VW_AFS_dv360_DIS_PROG_CPM_STD_LDR_AAF_RON_CXD_After-Sales-Oficina-Classicos-REG03-lal-lead-oficina_PD_300x250&amp;utm_campaign=BR_AAF_DSY_NONMS_ND_AS_2019Q2APR_AFS_After-Sales&amp;utm_term=%epid!_%ecid!_%eaid!</v>
      </c>
      <c r="AI256" s="21" t="str">
        <f t="shared" si="67"/>
        <v>TAG</v>
      </c>
      <c r="AJ256" s="15" t="str">
        <f t="shared" si="70"/>
        <v>dv360</v>
      </c>
      <c r="AK256" s="15" t="str">
        <f t="shared" si="71"/>
        <v>Programmatic</v>
      </c>
      <c r="AL256" s="21" t="str">
        <f>Campanha!$B$3</f>
        <v>BR_AAF_DSY_NONMS_ND_AS_2019Q2APR_AFS_After-Sales</v>
      </c>
      <c r="AM256" s="21" t="str">
        <f t="shared" si="68"/>
        <v>BR_VW_AFS_dv360_DIS_PROG_CPM_STD_LDR_AAF_RON_CXD_After-Sales-Oficina-Classicos-REG03-lal-lead-oficina_PD_300x250</v>
      </c>
      <c r="AN256" s="15" t="s">
        <v>809</v>
      </c>
    </row>
    <row r="257" spans="2:40" hidden="1" x14ac:dyDescent="0.25">
      <c r="B257" s="15" t="s">
        <v>872</v>
      </c>
      <c r="C257" s="15"/>
      <c r="D257" s="30" t="s">
        <v>873</v>
      </c>
      <c r="E257" s="22">
        <v>44155</v>
      </c>
      <c r="F257" s="22">
        <v>44196</v>
      </c>
      <c r="G257" s="15" t="s">
        <v>674</v>
      </c>
      <c r="H257" s="15" t="s">
        <v>811</v>
      </c>
      <c r="I257" s="15" t="s">
        <v>702</v>
      </c>
      <c r="J257" s="15" t="s">
        <v>325</v>
      </c>
      <c r="K257" s="15" t="s">
        <v>334</v>
      </c>
      <c r="L257" s="15" t="s">
        <v>358</v>
      </c>
      <c r="M257" s="15" t="s">
        <v>322</v>
      </c>
      <c r="N257" s="15" t="s">
        <v>708</v>
      </c>
      <c r="O257" s="15" t="s">
        <v>694</v>
      </c>
      <c r="P257" s="15" t="s">
        <v>1042</v>
      </c>
      <c r="Q257" s="15" t="s">
        <v>887</v>
      </c>
      <c r="R257" s="15" t="s">
        <v>835</v>
      </c>
      <c r="S257" s="15" t="s">
        <v>348</v>
      </c>
      <c r="T257" s="15" t="s">
        <v>614</v>
      </c>
      <c r="AC257" s="32" t="s">
        <v>885</v>
      </c>
      <c r="AD257" s="33" t="e">
        <f t="shared" si="69"/>
        <v>#N/A</v>
      </c>
      <c r="AE257" s="21" t="str">
        <f t="shared" si="63"/>
        <v>BR_VW_AFS_dv360_DIS_PROG_CPM_STD_LDR_AAF_RON_CXD_After-Sales-Oficina-Classicos-REG03-lal-lead-oficina_PD_728x90</v>
      </c>
      <c r="AF257" s="21" t="str">
        <f t="shared" si="64"/>
        <v>BR_VW_AFS_dv360_DIS_PROG_CPM_STD_LDR_AAF_RON_CXD_After-Sales-Oficina-Classicos-REG03-lal-lead-oficina_PD_728x90</v>
      </c>
      <c r="AG257" s="21" t="str">
        <f t="shared" si="65"/>
        <v>VW_After-Sales-lal-lead-oficina_728x90_After-Sales-Oficina-Classicos-REG03-adserver</v>
      </c>
      <c r="AH257" s="21" t="str">
        <f t="shared" si="66"/>
        <v>https://www.oficinadeclassicos.com.br/index.aspx?utm_source=dv360&amp;utm_medium=Programmatic&amp;utm_content=BR_VW_AFS_dv360_DIS_PROG_CPM_STD_LDR_AAF_RON_CXD_After-Sales-Oficina-Classicos-REG03-lal-lead-oficina_PD_728x90&amp;utm_campaign=BR_AAF_DSY_NONMS_ND_AS_2019Q2APR_AFS_After-Sales&amp;utm_term=%epid!_%ecid!_%eaid!</v>
      </c>
      <c r="AI257" s="21" t="str">
        <f t="shared" si="67"/>
        <v>TAG</v>
      </c>
      <c r="AJ257" s="15" t="str">
        <f t="shared" si="70"/>
        <v>dv360</v>
      </c>
      <c r="AK257" s="15" t="str">
        <f t="shared" si="71"/>
        <v>Programmatic</v>
      </c>
      <c r="AL257" s="21" t="str">
        <f>Campanha!$B$3</f>
        <v>BR_AAF_DSY_NONMS_ND_AS_2019Q2APR_AFS_After-Sales</v>
      </c>
      <c r="AM257" s="21" t="str">
        <f t="shared" si="68"/>
        <v>BR_VW_AFS_dv360_DIS_PROG_CPM_STD_LDR_AAF_RON_CXD_After-Sales-Oficina-Classicos-REG03-lal-lead-oficina_PD_728x90</v>
      </c>
      <c r="AN257" s="15" t="s">
        <v>809</v>
      </c>
    </row>
    <row r="258" spans="2:40" hidden="1" x14ac:dyDescent="0.25">
      <c r="B258" s="15" t="s">
        <v>872</v>
      </c>
      <c r="C258" s="15"/>
      <c r="D258" s="30" t="s">
        <v>873</v>
      </c>
      <c r="E258" s="22">
        <v>44155</v>
      </c>
      <c r="F258" s="22">
        <v>44196</v>
      </c>
      <c r="G258" s="15" t="s">
        <v>674</v>
      </c>
      <c r="H258" s="15" t="s">
        <v>811</v>
      </c>
      <c r="I258" s="15" t="s">
        <v>702</v>
      </c>
      <c r="J258" s="15" t="s">
        <v>325</v>
      </c>
      <c r="K258" s="15" t="s">
        <v>334</v>
      </c>
      <c r="L258" s="15" t="s">
        <v>358</v>
      </c>
      <c r="M258" s="15" t="s">
        <v>322</v>
      </c>
      <c r="N258" s="15" t="s">
        <v>708</v>
      </c>
      <c r="O258" s="15" t="s">
        <v>694</v>
      </c>
      <c r="P258" s="15" t="s">
        <v>1042</v>
      </c>
      <c r="Q258" s="15" t="s">
        <v>887</v>
      </c>
      <c r="R258" s="15" t="s">
        <v>835</v>
      </c>
      <c r="S258" s="15" t="s">
        <v>348</v>
      </c>
      <c r="T258" s="15" t="s">
        <v>652</v>
      </c>
      <c r="AC258" s="32" t="s">
        <v>885</v>
      </c>
      <c r="AD258" s="33" t="e">
        <f t="shared" si="69"/>
        <v>#N/A</v>
      </c>
      <c r="AE258" s="21" t="str">
        <f t="shared" si="63"/>
        <v>BR_VW_AFS_dv360_DIS_PROG_CPM_STD_LDR_AAF_RON_CXD_After-Sales-Oficina-Classicos-REG03-lal-lead-oficina_PD_970x250</v>
      </c>
      <c r="AF258" s="21" t="str">
        <f t="shared" si="64"/>
        <v>BR_VW_AFS_dv360_DIS_PROG_CPM_STD_LDR_AAF_RON_CXD_After-Sales-Oficina-Classicos-REG03-lal-lead-oficina_PD_970x250</v>
      </c>
      <c r="AG258" s="21" t="str">
        <f t="shared" si="65"/>
        <v>VW_After-Sales-lal-lead-oficina_970x250_After-Sales-Oficina-Classicos-REG03-adserver</v>
      </c>
      <c r="AH258" s="21" t="str">
        <f t="shared" si="66"/>
        <v>https://www.oficinadeclassicos.com.br/index.aspx?utm_source=dv360&amp;utm_medium=Programmatic&amp;utm_content=BR_VW_AFS_dv360_DIS_PROG_CPM_STD_LDR_AAF_RON_CXD_After-Sales-Oficina-Classicos-REG03-lal-lead-oficina_PD_970x250&amp;utm_campaign=BR_AAF_DSY_NONMS_ND_AS_2019Q2APR_AFS_After-Sales&amp;utm_term=%epid!_%ecid!_%eaid!</v>
      </c>
      <c r="AI258" s="21" t="str">
        <f t="shared" si="67"/>
        <v>TAG</v>
      </c>
      <c r="AJ258" s="15" t="str">
        <f t="shared" si="70"/>
        <v>dv360</v>
      </c>
      <c r="AK258" s="15" t="str">
        <f t="shared" si="71"/>
        <v>Programmatic</v>
      </c>
      <c r="AL258" s="21" t="str">
        <f>Campanha!$B$3</f>
        <v>BR_AAF_DSY_NONMS_ND_AS_2019Q2APR_AFS_After-Sales</v>
      </c>
      <c r="AM258" s="21" t="str">
        <f t="shared" si="68"/>
        <v>BR_VW_AFS_dv360_DIS_PROG_CPM_STD_LDR_AAF_RON_CXD_After-Sales-Oficina-Classicos-REG03-lal-lead-oficina_PD_970x250</v>
      </c>
      <c r="AN258" s="15" t="s">
        <v>809</v>
      </c>
    </row>
    <row r="259" spans="2:40" hidden="1" x14ac:dyDescent="0.25">
      <c r="B259" s="15" t="s">
        <v>872</v>
      </c>
      <c r="C259" s="15"/>
      <c r="D259" s="30" t="s">
        <v>873</v>
      </c>
      <c r="E259" s="22">
        <v>44155</v>
      </c>
      <c r="F259" s="22">
        <v>44196</v>
      </c>
      <c r="G259" s="15" t="s">
        <v>674</v>
      </c>
      <c r="H259" s="15" t="s">
        <v>811</v>
      </c>
      <c r="I259" s="15" t="s">
        <v>702</v>
      </c>
      <c r="J259" s="15" t="s">
        <v>325</v>
      </c>
      <c r="K259" s="15" t="s">
        <v>334</v>
      </c>
      <c r="L259" s="15" t="s">
        <v>358</v>
      </c>
      <c r="M259" s="15" t="s">
        <v>322</v>
      </c>
      <c r="N259" s="15" t="s">
        <v>708</v>
      </c>
      <c r="O259" s="15" t="s">
        <v>694</v>
      </c>
      <c r="P259" s="15" t="s">
        <v>1042</v>
      </c>
      <c r="Q259" s="15" t="s">
        <v>880</v>
      </c>
      <c r="R259" s="15" t="s">
        <v>835</v>
      </c>
      <c r="S259" s="15" t="s">
        <v>348</v>
      </c>
      <c r="T259" s="15" t="s">
        <v>457</v>
      </c>
      <c r="AC259" s="32" t="s">
        <v>885</v>
      </c>
      <c r="AD259" s="33" t="e">
        <f t="shared" si="69"/>
        <v>#N/A</v>
      </c>
      <c r="AE259" s="21" t="str">
        <f t="shared" si="63"/>
        <v>BR_VW_AFS_dv360_DIS_PROG_CPM_STD_LDR_AAF_RON_CXD_After-Sales-Oficina-Classicos-REG03-lal-add-to-cart-oficina_PD_160x600</v>
      </c>
      <c r="AF259" s="21" t="str">
        <f t="shared" si="64"/>
        <v>BR_VW_AFS_dv360_DIS_PROG_CPM_STD_LDR_AAF_RON_CXD_After-Sales-Oficina-Classicos-REG03-lal-add-to-cart-oficina_PD_160x600</v>
      </c>
      <c r="AG259" s="21" t="str">
        <f t="shared" si="65"/>
        <v>VW_After-Sales-lal-add-to-cart-oficina_160x600_After-Sales-Oficina-Classicos-REG03-adserver</v>
      </c>
      <c r="AH259" s="21" t="str">
        <f t="shared" si="66"/>
        <v>https://www.oficinadeclassicos.com.br/index.aspx?utm_source=dv360&amp;utm_medium=Programmatic&amp;utm_content=BR_VW_AFS_dv360_DIS_PROG_CPM_STD_LDR_AAF_RON_CXD_After-Sales-Oficina-Classicos-REG03-lal-add-to-cart-oficina_PD_160x600&amp;utm_campaign=BR_AAF_DSY_NONMS_ND_AS_2019Q2APR_AFS_After-Sales&amp;utm_term=%epid!_%ecid!_%eaid!</v>
      </c>
      <c r="AI259" s="21" t="str">
        <f t="shared" si="67"/>
        <v>TAG</v>
      </c>
      <c r="AJ259" s="15" t="str">
        <f t="shared" si="70"/>
        <v>dv360</v>
      </c>
      <c r="AK259" s="15" t="str">
        <f t="shared" si="71"/>
        <v>Programmatic</v>
      </c>
      <c r="AL259" s="21" t="str">
        <f>Campanha!$B$3</f>
        <v>BR_AAF_DSY_NONMS_ND_AS_2019Q2APR_AFS_After-Sales</v>
      </c>
      <c r="AM259" s="21" t="str">
        <f t="shared" si="68"/>
        <v>BR_VW_AFS_dv360_DIS_PROG_CPM_STD_LDR_AAF_RON_CXD_After-Sales-Oficina-Classicos-REG03-lal-add-to-cart-oficina_PD_160x600</v>
      </c>
      <c r="AN259" s="15" t="s">
        <v>809</v>
      </c>
    </row>
    <row r="260" spans="2:40" hidden="1" x14ac:dyDescent="0.25">
      <c r="B260" s="15" t="s">
        <v>872</v>
      </c>
      <c r="C260" s="15"/>
      <c r="D260" s="30" t="s">
        <v>873</v>
      </c>
      <c r="E260" s="22">
        <v>44155</v>
      </c>
      <c r="F260" s="22">
        <v>44196</v>
      </c>
      <c r="G260" s="15" t="s">
        <v>674</v>
      </c>
      <c r="H260" s="15" t="s">
        <v>811</v>
      </c>
      <c r="I260" s="15" t="s">
        <v>702</v>
      </c>
      <c r="J260" s="15" t="s">
        <v>325</v>
      </c>
      <c r="K260" s="15" t="s">
        <v>334</v>
      </c>
      <c r="L260" s="15" t="s">
        <v>358</v>
      </c>
      <c r="M260" s="15" t="s">
        <v>322</v>
      </c>
      <c r="N260" s="15" t="s">
        <v>708</v>
      </c>
      <c r="O260" s="15" t="s">
        <v>694</v>
      </c>
      <c r="P260" s="15" t="s">
        <v>1042</v>
      </c>
      <c r="Q260" s="15" t="s">
        <v>880</v>
      </c>
      <c r="R260" s="15" t="s">
        <v>835</v>
      </c>
      <c r="S260" s="15" t="s">
        <v>348</v>
      </c>
      <c r="T260" s="15" t="s">
        <v>484</v>
      </c>
      <c r="AC260" s="32" t="s">
        <v>885</v>
      </c>
      <c r="AD260" s="33" t="e">
        <f t="shared" si="69"/>
        <v>#N/A</v>
      </c>
      <c r="AE260" s="21" t="str">
        <f t="shared" si="63"/>
        <v>BR_VW_AFS_dv360_DIS_PROG_CPM_STD_LDR_AAF_RON_CXD_After-Sales-Oficina-Classicos-REG03-lal-add-to-cart-oficina_PD_300x50</v>
      </c>
      <c r="AF260" s="21" t="str">
        <f t="shared" si="64"/>
        <v>BR_VW_AFS_dv360_DIS_PROG_CPM_STD_LDR_AAF_RON_CXD_After-Sales-Oficina-Classicos-REG03-lal-add-to-cart-oficina_PD_300x50</v>
      </c>
      <c r="AG260" s="21" t="str">
        <f t="shared" si="65"/>
        <v>VW_After-Sales-lal-add-to-cart-oficina_300x50_After-Sales-Oficina-Classicos-REG03-adserver</v>
      </c>
      <c r="AH260" s="21" t="str">
        <f t="shared" si="66"/>
        <v>https://www.oficinadeclassicos.com.br/index.aspx?utm_source=dv360&amp;utm_medium=Programmatic&amp;utm_content=BR_VW_AFS_dv360_DIS_PROG_CPM_STD_LDR_AAF_RON_CXD_After-Sales-Oficina-Classicos-REG03-lal-add-to-cart-oficina_PD_300x50&amp;utm_campaign=BR_AAF_DSY_NONMS_ND_AS_2019Q2APR_AFS_After-Sales&amp;utm_term=%epid!_%ecid!_%eaid!</v>
      </c>
      <c r="AI260" s="21" t="str">
        <f t="shared" si="67"/>
        <v>TAG</v>
      </c>
      <c r="AJ260" s="15" t="str">
        <f t="shared" si="70"/>
        <v>dv360</v>
      </c>
      <c r="AK260" s="15" t="str">
        <f t="shared" si="71"/>
        <v>Programmatic</v>
      </c>
      <c r="AL260" s="21" t="str">
        <f>Campanha!$B$3</f>
        <v>BR_AAF_DSY_NONMS_ND_AS_2019Q2APR_AFS_After-Sales</v>
      </c>
      <c r="AM260" s="21" t="str">
        <f t="shared" si="68"/>
        <v>BR_VW_AFS_dv360_DIS_PROG_CPM_STD_LDR_AAF_RON_CXD_After-Sales-Oficina-Classicos-REG03-lal-add-to-cart-oficina_PD_300x50</v>
      </c>
      <c r="AN260" s="15" t="s">
        <v>809</v>
      </c>
    </row>
    <row r="261" spans="2:40" hidden="1" x14ac:dyDescent="0.25">
      <c r="B261" s="15" t="s">
        <v>872</v>
      </c>
      <c r="C261" s="15"/>
      <c r="D261" s="30" t="s">
        <v>873</v>
      </c>
      <c r="E261" s="22">
        <v>44155</v>
      </c>
      <c r="F261" s="22">
        <v>44196</v>
      </c>
      <c r="G261" s="15" t="s">
        <v>674</v>
      </c>
      <c r="H261" s="15" t="s">
        <v>811</v>
      </c>
      <c r="I261" s="15" t="s">
        <v>702</v>
      </c>
      <c r="J261" s="15" t="s">
        <v>325</v>
      </c>
      <c r="K261" s="15" t="s">
        <v>334</v>
      </c>
      <c r="L261" s="15" t="s">
        <v>358</v>
      </c>
      <c r="M261" s="15" t="s">
        <v>322</v>
      </c>
      <c r="N261" s="15" t="s">
        <v>708</v>
      </c>
      <c r="O261" s="15" t="s">
        <v>694</v>
      </c>
      <c r="P261" s="15" t="s">
        <v>1042</v>
      </c>
      <c r="Q261" s="15" t="s">
        <v>880</v>
      </c>
      <c r="R261" s="15" t="s">
        <v>835</v>
      </c>
      <c r="S261" s="15" t="s">
        <v>348</v>
      </c>
      <c r="T261" s="15" t="s">
        <v>478</v>
      </c>
      <c r="AC261" s="32" t="s">
        <v>885</v>
      </c>
      <c r="AD261" s="33" t="e">
        <f t="shared" si="69"/>
        <v>#N/A</v>
      </c>
      <c r="AE261" s="21" t="str">
        <f t="shared" si="63"/>
        <v>BR_VW_AFS_dv360_DIS_PROG_CPM_STD_LDR_AAF_RON_CXD_After-Sales-Oficina-Classicos-REG03-lal-add-to-cart-oficina_PD_300x250</v>
      </c>
      <c r="AF261" s="21" t="str">
        <f t="shared" si="64"/>
        <v>BR_VW_AFS_dv360_DIS_PROG_CPM_STD_LDR_AAF_RON_CXD_After-Sales-Oficina-Classicos-REG03-lal-add-to-cart-oficina_PD_300x250</v>
      </c>
      <c r="AG261" s="21" t="str">
        <f t="shared" si="65"/>
        <v>VW_After-Sales-lal-add-to-cart-oficina_300x250_After-Sales-Oficina-Classicos-REG03-adserver</v>
      </c>
      <c r="AH261" s="21" t="str">
        <f t="shared" si="66"/>
        <v>https://www.oficinadeclassicos.com.br/index.aspx?utm_source=dv360&amp;utm_medium=Programmatic&amp;utm_content=BR_VW_AFS_dv360_DIS_PROG_CPM_STD_LDR_AAF_RON_CXD_After-Sales-Oficina-Classicos-REG03-lal-add-to-cart-oficina_PD_300x250&amp;utm_campaign=BR_AAF_DSY_NONMS_ND_AS_2019Q2APR_AFS_After-Sales&amp;utm_term=%epid!_%ecid!_%eaid!</v>
      </c>
      <c r="AI261" s="21" t="str">
        <f t="shared" si="67"/>
        <v>TAG</v>
      </c>
      <c r="AJ261" s="15" t="str">
        <f t="shared" si="70"/>
        <v>dv360</v>
      </c>
      <c r="AK261" s="15" t="str">
        <f t="shared" si="71"/>
        <v>Programmatic</v>
      </c>
      <c r="AL261" s="21" t="str">
        <f>Campanha!$B$3</f>
        <v>BR_AAF_DSY_NONMS_ND_AS_2019Q2APR_AFS_After-Sales</v>
      </c>
      <c r="AM261" s="21" t="str">
        <f t="shared" si="68"/>
        <v>BR_VW_AFS_dv360_DIS_PROG_CPM_STD_LDR_AAF_RON_CXD_After-Sales-Oficina-Classicos-REG03-lal-add-to-cart-oficina_PD_300x250</v>
      </c>
      <c r="AN261" s="15" t="s">
        <v>809</v>
      </c>
    </row>
    <row r="262" spans="2:40" hidden="1" x14ac:dyDescent="0.25">
      <c r="B262" s="15" t="s">
        <v>872</v>
      </c>
      <c r="C262" s="15"/>
      <c r="D262" s="30" t="s">
        <v>873</v>
      </c>
      <c r="E262" s="22">
        <v>44155</v>
      </c>
      <c r="F262" s="22">
        <v>44196</v>
      </c>
      <c r="G262" s="15" t="s">
        <v>674</v>
      </c>
      <c r="H262" s="15" t="s">
        <v>811</v>
      </c>
      <c r="I262" s="15" t="s">
        <v>702</v>
      </c>
      <c r="J262" s="15" t="s">
        <v>325</v>
      </c>
      <c r="K262" s="15" t="s">
        <v>334</v>
      </c>
      <c r="L262" s="15" t="s">
        <v>358</v>
      </c>
      <c r="M262" s="15" t="s">
        <v>322</v>
      </c>
      <c r="N262" s="15" t="s">
        <v>708</v>
      </c>
      <c r="O262" s="15" t="s">
        <v>694</v>
      </c>
      <c r="P262" s="15" t="s">
        <v>1042</v>
      </c>
      <c r="Q262" s="15" t="s">
        <v>880</v>
      </c>
      <c r="R262" s="15" t="s">
        <v>835</v>
      </c>
      <c r="S262" s="15" t="s">
        <v>348</v>
      </c>
      <c r="T262" s="15" t="s">
        <v>614</v>
      </c>
      <c r="AC262" s="32" t="s">
        <v>885</v>
      </c>
      <c r="AD262" s="33" t="e">
        <f t="shared" si="69"/>
        <v>#N/A</v>
      </c>
      <c r="AE262" s="21" t="str">
        <f t="shared" si="63"/>
        <v>BR_VW_AFS_dv360_DIS_PROG_CPM_STD_LDR_AAF_RON_CXD_After-Sales-Oficina-Classicos-REG03-lal-add-to-cart-oficina_PD_728x90</v>
      </c>
      <c r="AF262" s="21" t="str">
        <f t="shared" si="64"/>
        <v>BR_VW_AFS_dv360_DIS_PROG_CPM_STD_LDR_AAF_RON_CXD_After-Sales-Oficina-Classicos-REG03-lal-add-to-cart-oficina_PD_728x90</v>
      </c>
      <c r="AG262" s="21" t="str">
        <f t="shared" si="65"/>
        <v>VW_After-Sales-lal-add-to-cart-oficina_728x90_After-Sales-Oficina-Classicos-REG03-adserver</v>
      </c>
      <c r="AH262" s="21" t="str">
        <f t="shared" si="66"/>
        <v>https://www.oficinadeclassicos.com.br/index.aspx?utm_source=dv360&amp;utm_medium=Programmatic&amp;utm_content=BR_VW_AFS_dv360_DIS_PROG_CPM_STD_LDR_AAF_RON_CXD_After-Sales-Oficina-Classicos-REG03-lal-add-to-cart-oficina_PD_728x90&amp;utm_campaign=BR_AAF_DSY_NONMS_ND_AS_2019Q2APR_AFS_After-Sales&amp;utm_term=%epid!_%ecid!_%eaid!</v>
      </c>
      <c r="AI262" s="21" t="str">
        <f t="shared" si="67"/>
        <v>TAG</v>
      </c>
      <c r="AJ262" s="15" t="str">
        <f t="shared" si="70"/>
        <v>dv360</v>
      </c>
      <c r="AK262" s="15" t="str">
        <f t="shared" si="71"/>
        <v>Programmatic</v>
      </c>
      <c r="AL262" s="21" t="str">
        <f>Campanha!$B$3</f>
        <v>BR_AAF_DSY_NONMS_ND_AS_2019Q2APR_AFS_After-Sales</v>
      </c>
      <c r="AM262" s="21" t="str">
        <f t="shared" si="68"/>
        <v>BR_VW_AFS_dv360_DIS_PROG_CPM_STD_LDR_AAF_RON_CXD_After-Sales-Oficina-Classicos-REG03-lal-add-to-cart-oficina_PD_728x90</v>
      </c>
      <c r="AN262" s="15" t="s">
        <v>809</v>
      </c>
    </row>
    <row r="263" spans="2:40" hidden="1" x14ac:dyDescent="0.25">
      <c r="B263" s="15" t="s">
        <v>872</v>
      </c>
      <c r="C263" s="15"/>
      <c r="D263" s="30" t="s">
        <v>873</v>
      </c>
      <c r="E263" s="22">
        <v>44155</v>
      </c>
      <c r="F263" s="22">
        <v>44196</v>
      </c>
      <c r="G263" s="15" t="s">
        <v>674</v>
      </c>
      <c r="H263" s="15" t="s">
        <v>811</v>
      </c>
      <c r="I263" s="15" t="s">
        <v>702</v>
      </c>
      <c r="J263" s="15" t="s">
        <v>325</v>
      </c>
      <c r="K263" s="15" t="s">
        <v>334</v>
      </c>
      <c r="L263" s="15" t="s">
        <v>358</v>
      </c>
      <c r="M263" s="15" t="s">
        <v>322</v>
      </c>
      <c r="N263" s="15" t="s">
        <v>708</v>
      </c>
      <c r="O263" s="15" t="s">
        <v>694</v>
      </c>
      <c r="P263" s="15" t="s">
        <v>1042</v>
      </c>
      <c r="Q263" s="15" t="s">
        <v>880</v>
      </c>
      <c r="R263" s="15" t="s">
        <v>835</v>
      </c>
      <c r="S263" s="15" t="s">
        <v>348</v>
      </c>
      <c r="T263" s="15" t="s">
        <v>652</v>
      </c>
      <c r="AC263" s="32" t="s">
        <v>885</v>
      </c>
      <c r="AD263" s="33" t="e">
        <f t="shared" si="69"/>
        <v>#N/A</v>
      </c>
      <c r="AE263" s="21" t="str">
        <f t="shared" si="63"/>
        <v>BR_VW_AFS_dv360_DIS_PROG_CPM_STD_LDR_AAF_RON_CXD_After-Sales-Oficina-Classicos-REG03-lal-add-to-cart-oficina_PD_970x250</v>
      </c>
      <c r="AF263" s="21" t="str">
        <f t="shared" si="64"/>
        <v>BR_VW_AFS_dv360_DIS_PROG_CPM_STD_LDR_AAF_RON_CXD_After-Sales-Oficina-Classicos-REG03-lal-add-to-cart-oficina_PD_970x250</v>
      </c>
      <c r="AG263" s="21" t="str">
        <f t="shared" si="65"/>
        <v>VW_After-Sales-lal-add-to-cart-oficina_970x250_After-Sales-Oficina-Classicos-REG03-adserver</v>
      </c>
      <c r="AH263" s="21" t="str">
        <f t="shared" si="66"/>
        <v>https://www.oficinadeclassicos.com.br/index.aspx?utm_source=dv360&amp;utm_medium=Programmatic&amp;utm_content=BR_VW_AFS_dv360_DIS_PROG_CPM_STD_LDR_AAF_RON_CXD_After-Sales-Oficina-Classicos-REG03-lal-add-to-cart-oficina_PD_970x250&amp;utm_campaign=BR_AAF_DSY_NONMS_ND_AS_2019Q2APR_AFS_After-Sales&amp;utm_term=%epid!_%ecid!_%eaid!</v>
      </c>
      <c r="AI263" s="21" t="str">
        <f t="shared" si="67"/>
        <v>TAG</v>
      </c>
      <c r="AJ263" s="15" t="str">
        <f t="shared" si="70"/>
        <v>dv360</v>
      </c>
      <c r="AK263" s="15" t="str">
        <f t="shared" si="71"/>
        <v>Programmatic</v>
      </c>
      <c r="AL263" s="21" t="str">
        <f>Campanha!$B$3</f>
        <v>BR_AAF_DSY_NONMS_ND_AS_2019Q2APR_AFS_After-Sales</v>
      </c>
      <c r="AM263" s="21" t="str">
        <f t="shared" si="68"/>
        <v>BR_VW_AFS_dv360_DIS_PROG_CPM_STD_LDR_AAF_RON_CXD_After-Sales-Oficina-Classicos-REG03-lal-add-to-cart-oficina_PD_970x250</v>
      </c>
      <c r="AN263" s="15" t="s">
        <v>809</v>
      </c>
    </row>
    <row r="264" spans="2:40" hidden="1" x14ac:dyDescent="0.25">
      <c r="B264" s="15" t="s">
        <v>872</v>
      </c>
      <c r="C264" s="15"/>
      <c r="D264" s="30" t="s">
        <v>873</v>
      </c>
      <c r="E264" s="22">
        <v>44155</v>
      </c>
      <c r="F264" s="22">
        <v>44196</v>
      </c>
      <c r="G264" s="15" t="s">
        <v>674</v>
      </c>
      <c r="H264" s="15" t="s">
        <v>811</v>
      </c>
      <c r="I264" s="15" t="s">
        <v>702</v>
      </c>
      <c r="J264" s="15" t="s">
        <v>325</v>
      </c>
      <c r="K264" s="15" t="s">
        <v>334</v>
      </c>
      <c r="L264" s="15" t="s">
        <v>358</v>
      </c>
      <c r="M264" s="15" t="s">
        <v>322</v>
      </c>
      <c r="N264" s="15" t="s">
        <v>708</v>
      </c>
      <c r="O264" s="15" t="s">
        <v>694</v>
      </c>
      <c r="P264" s="15" t="s">
        <v>1042</v>
      </c>
      <c r="Q264" s="15" t="s">
        <v>888</v>
      </c>
      <c r="R264" s="15" t="s">
        <v>835</v>
      </c>
      <c r="S264" s="15" t="s">
        <v>348</v>
      </c>
      <c r="T264" s="15" t="s">
        <v>457</v>
      </c>
      <c r="AC264" s="32" t="s">
        <v>885</v>
      </c>
      <c r="AD264" s="33" t="e">
        <f t="shared" si="69"/>
        <v>#N/A</v>
      </c>
      <c r="AE264" s="21" t="str">
        <f t="shared" si="63"/>
        <v>BR_VW_AFS_dv360_DIS_PROG_CPM_STD_LDR_AAF_RON_CXD_After-Sales-Oficina-Classicos-REG03-lal-home-oficina_PD_160x600</v>
      </c>
      <c r="AF264" s="21" t="str">
        <f t="shared" si="64"/>
        <v>BR_VW_AFS_dv360_DIS_PROG_CPM_STD_LDR_AAF_RON_CXD_After-Sales-Oficina-Classicos-REG03-lal-home-oficina_PD_160x600</v>
      </c>
      <c r="AG264" s="21" t="str">
        <f t="shared" si="65"/>
        <v>VW_After-Sales-lal-home-oficina_160x600_After-Sales-Oficina-Classicos-REG03-adserver</v>
      </c>
      <c r="AH264" s="21" t="str">
        <f t="shared" si="66"/>
        <v>https://www.oficinadeclassicos.com.br/index.aspx?utm_source=dv360&amp;utm_medium=Programmatic&amp;utm_content=BR_VW_AFS_dv360_DIS_PROG_CPM_STD_LDR_AAF_RON_CXD_After-Sales-Oficina-Classicos-REG03-lal-home-oficina_PD_160x600&amp;utm_campaign=BR_AAF_DSY_NONMS_ND_AS_2019Q2APR_AFS_After-Sales&amp;utm_term=%epid!_%ecid!_%eaid!</v>
      </c>
      <c r="AI264" s="21" t="str">
        <f t="shared" si="67"/>
        <v>TAG</v>
      </c>
      <c r="AJ264" s="15" t="str">
        <f t="shared" si="70"/>
        <v>dv360</v>
      </c>
      <c r="AK264" s="15" t="str">
        <f t="shared" si="71"/>
        <v>Programmatic</v>
      </c>
      <c r="AL264" s="21" t="str">
        <f>Campanha!$B$3</f>
        <v>BR_AAF_DSY_NONMS_ND_AS_2019Q2APR_AFS_After-Sales</v>
      </c>
      <c r="AM264" s="21" t="str">
        <f t="shared" si="68"/>
        <v>BR_VW_AFS_dv360_DIS_PROG_CPM_STD_LDR_AAF_RON_CXD_After-Sales-Oficina-Classicos-REG03-lal-home-oficina_PD_160x600</v>
      </c>
      <c r="AN264" s="15" t="s">
        <v>809</v>
      </c>
    </row>
    <row r="265" spans="2:40" hidden="1" x14ac:dyDescent="0.25">
      <c r="B265" s="15" t="s">
        <v>872</v>
      </c>
      <c r="C265" s="15"/>
      <c r="D265" s="30" t="s">
        <v>873</v>
      </c>
      <c r="E265" s="22">
        <v>44155</v>
      </c>
      <c r="F265" s="22">
        <v>44196</v>
      </c>
      <c r="G265" s="15" t="s">
        <v>674</v>
      </c>
      <c r="H265" s="15" t="s">
        <v>811</v>
      </c>
      <c r="I265" s="15" t="s">
        <v>702</v>
      </c>
      <c r="J265" s="15" t="s">
        <v>325</v>
      </c>
      <c r="K265" s="15" t="s">
        <v>334</v>
      </c>
      <c r="L265" s="15" t="s">
        <v>358</v>
      </c>
      <c r="M265" s="15" t="s">
        <v>322</v>
      </c>
      <c r="N265" s="15" t="s">
        <v>708</v>
      </c>
      <c r="O265" s="15" t="s">
        <v>694</v>
      </c>
      <c r="P265" s="15" t="s">
        <v>1042</v>
      </c>
      <c r="Q265" s="15" t="s">
        <v>888</v>
      </c>
      <c r="R265" s="15" t="s">
        <v>835</v>
      </c>
      <c r="S265" s="15" t="s">
        <v>348</v>
      </c>
      <c r="T265" s="15" t="s">
        <v>484</v>
      </c>
      <c r="AC265" s="32" t="s">
        <v>885</v>
      </c>
      <c r="AD265" s="33" t="e">
        <f t="shared" si="69"/>
        <v>#N/A</v>
      </c>
      <c r="AE265" s="21" t="str">
        <f t="shared" si="63"/>
        <v>BR_VW_AFS_dv360_DIS_PROG_CPM_STD_LDR_AAF_RON_CXD_After-Sales-Oficina-Classicos-REG03-lal-home-oficina_PD_300x50</v>
      </c>
      <c r="AF265" s="21" t="str">
        <f t="shared" si="64"/>
        <v>BR_VW_AFS_dv360_DIS_PROG_CPM_STD_LDR_AAF_RON_CXD_After-Sales-Oficina-Classicos-REG03-lal-home-oficina_PD_300x50</v>
      </c>
      <c r="AG265" s="21" t="str">
        <f t="shared" si="65"/>
        <v>VW_After-Sales-lal-home-oficina_300x50_After-Sales-Oficina-Classicos-REG03-adserver</v>
      </c>
      <c r="AH265" s="21" t="str">
        <f t="shared" si="66"/>
        <v>https://www.oficinadeclassicos.com.br/index.aspx?utm_source=dv360&amp;utm_medium=Programmatic&amp;utm_content=BR_VW_AFS_dv360_DIS_PROG_CPM_STD_LDR_AAF_RON_CXD_After-Sales-Oficina-Classicos-REG03-lal-home-oficina_PD_300x50&amp;utm_campaign=BR_AAF_DSY_NONMS_ND_AS_2019Q2APR_AFS_After-Sales&amp;utm_term=%epid!_%ecid!_%eaid!</v>
      </c>
      <c r="AI265" s="21" t="str">
        <f t="shared" si="67"/>
        <v>TAG</v>
      </c>
      <c r="AJ265" s="15" t="str">
        <f t="shared" si="70"/>
        <v>dv360</v>
      </c>
      <c r="AK265" s="15" t="str">
        <f t="shared" si="71"/>
        <v>Programmatic</v>
      </c>
      <c r="AL265" s="21" t="str">
        <f>Campanha!$B$3</f>
        <v>BR_AAF_DSY_NONMS_ND_AS_2019Q2APR_AFS_After-Sales</v>
      </c>
      <c r="AM265" s="21" t="str">
        <f t="shared" si="68"/>
        <v>BR_VW_AFS_dv360_DIS_PROG_CPM_STD_LDR_AAF_RON_CXD_After-Sales-Oficina-Classicos-REG03-lal-home-oficina_PD_300x50</v>
      </c>
      <c r="AN265" s="15" t="s">
        <v>809</v>
      </c>
    </row>
    <row r="266" spans="2:40" hidden="1" x14ac:dyDescent="0.25">
      <c r="B266" s="15" t="s">
        <v>872</v>
      </c>
      <c r="C266" s="15"/>
      <c r="D266" s="30" t="s">
        <v>873</v>
      </c>
      <c r="E266" s="22">
        <v>44155</v>
      </c>
      <c r="F266" s="22">
        <v>44196</v>
      </c>
      <c r="G266" s="15" t="s">
        <v>674</v>
      </c>
      <c r="H266" s="15" t="s">
        <v>811</v>
      </c>
      <c r="I266" s="15" t="s">
        <v>702</v>
      </c>
      <c r="J266" s="15" t="s">
        <v>325</v>
      </c>
      <c r="K266" s="15" t="s">
        <v>334</v>
      </c>
      <c r="L266" s="15" t="s">
        <v>358</v>
      </c>
      <c r="M266" s="15" t="s">
        <v>322</v>
      </c>
      <c r="N266" s="15" t="s">
        <v>708</v>
      </c>
      <c r="O266" s="15" t="s">
        <v>694</v>
      </c>
      <c r="P266" s="15" t="s">
        <v>1042</v>
      </c>
      <c r="Q266" s="15" t="s">
        <v>888</v>
      </c>
      <c r="R266" s="15" t="s">
        <v>835</v>
      </c>
      <c r="S266" s="15" t="s">
        <v>348</v>
      </c>
      <c r="T266" s="15" t="s">
        <v>478</v>
      </c>
      <c r="AC266" s="32" t="s">
        <v>885</v>
      </c>
      <c r="AD266" s="33" t="e">
        <f t="shared" si="69"/>
        <v>#N/A</v>
      </c>
      <c r="AE266" s="21" t="str">
        <f t="shared" si="63"/>
        <v>BR_VW_AFS_dv360_DIS_PROG_CPM_STD_LDR_AAF_RON_CXD_After-Sales-Oficina-Classicos-REG03-lal-home-oficina_PD_300x250</v>
      </c>
      <c r="AF266" s="21" t="str">
        <f t="shared" si="64"/>
        <v>BR_VW_AFS_dv360_DIS_PROG_CPM_STD_LDR_AAF_RON_CXD_After-Sales-Oficina-Classicos-REG03-lal-home-oficina_PD_300x250</v>
      </c>
      <c r="AG266" s="21" t="str">
        <f t="shared" si="65"/>
        <v>VW_After-Sales-lal-home-oficina_300x250_After-Sales-Oficina-Classicos-REG03-adserver</v>
      </c>
      <c r="AH266" s="21" t="str">
        <f t="shared" si="66"/>
        <v>https://www.oficinadeclassicos.com.br/index.aspx?utm_source=dv360&amp;utm_medium=Programmatic&amp;utm_content=BR_VW_AFS_dv360_DIS_PROG_CPM_STD_LDR_AAF_RON_CXD_After-Sales-Oficina-Classicos-REG03-lal-home-oficina_PD_300x250&amp;utm_campaign=BR_AAF_DSY_NONMS_ND_AS_2019Q2APR_AFS_After-Sales&amp;utm_term=%epid!_%ecid!_%eaid!</v>
      </c>
      <c r="AI266" s="21" t="str">
        <f t="shared" si="67"/>
        <v>TAG</v>
      </c>
      <c r="AJ266" s="15" t="str">
        <f t="shared" si="70"/>
        <v>dv360</v>
      </c>
      <c r="AK266" s="15" t="str">
        <f t="shared" si="71"/>
        <v>Programmatic</v>
      </c>
      <c r="AL266" s="21" t="str">
        <f>Campanha!$B$3</f>
        <v>BR_AAF_DSY_NONMS_ND_AS_2019Q2APR_AFS_After-Sales</v>
      </c>
      <c r="AM266" s="21" t="str">
        <f t="shared" si="68"/>
        <v>BR_VW_AFS_dv360_DIS_PROG_CPM_STD_LDR_AAF_RON_CXD_After-Sales-Oficina-Classicos-REG03-lal-home-oficina_PD_300x250</v>
      </c>
      <c r="AN266" s="15" t="s">
        <v>809</v>
      </c>
    </row>
    <row r="267" spans="2:40" hidden="1" x14ac:dyDescent="0.25">
      <c r="B267" s="15" t="s">
        <v>872</v>
      </c>
      <c r="C267" s="15"/>
      <c r="D267" s="30" t="s">
        <v>873</v>
      </c>
      <c r="E267" s="22">
        <v>44155</v>
      </c>
      <c r="F267" s="22">
        <v>44196</v>
      </c>
      <c r="G267" s="15" t="s">
        <v>674</v>
      </c>
      <c r="H267" s="15" t="s">
        <v>811</v>
      </c>
      <c r="I267" s="15" t="s">
        <v>702</v>
      </c>
      <c r="J267" s="15" t="s">
        <v>325</v>
      </c>
      <c r="K267" s="15" t="s">
        <v>334</v>
      </c>
      <c r="L267" s="15" t="s">
        <v>358</v>
      </c>
      <c r="M267" s="15" t="s">
        <v>322</v>
      </c>
      <c r="N267" s="15" t="s">
        <v>708</v>
      </c>
      <c r="O267" s="15" t="s">
        <v>694</v>
      </c>
      <c r="P267" s="15" t="s">
        <v>1042</v>
      </c>
      <c r="Q267" s="15" t="s">
        <v>888</v>
      </c>
      <c r="R267" s="15" t="s">
        <v>835</v>
      </c>
      <c r="S267" s="15" t="s">
        <v>348</v>
      </c>
      <c r="T267" s="15" t="s">
        <v>614</v>
      </c>
      <c r="AC267" s="32" t="s">
        <v>885</v>
      </c>
      <c r="AD267" s="33" t="e">
        <f t="shared" si="69"/>
        <v>#N/A</v>
      </c>
      <c r="AE267" s="21" t="str">
        <f t="shared" si="63"/>
        <v>BR_VW_AFS_dv360_DIS_PROG_CPM_STD_LDR_AAF_RON_CXD_After-Sales-Oficina-Classicos-REG03-lal-home-oficina_PD_728x90</v>
      </c>
      <c r="AF267" s="21" t="str">
        <f t="shared" si="64"/>
        <v>BR_VW_AFS_dv360_DIS_PROG_CPM_STD_LDR_AAF_RON_CXD_After-Sales-Oficina-Classicos-REG03-lal-home-oficina_PD_728x90</v>
      </c>
      <c r="AG267" s="21" t="str">
        <f t="shared" si="65"/>
        <v>VW_After-Sales-lal-home-oficina_728x90_After-Sales-Oficina-Classicos-REG03-adserver</v>
      </c>
      <c r="AH267" s="21" t="str">
        <f t="shared" si="66"/>
        <v>https://www.oficinadeclassicos.com.br/index.aspx?utm_source=dv360&amp;utm_medium=Programmatic&amp;utm_content=BR_VW_AFS_dv360_DIS_PROG_CPM_STD_LDR_AAF_RON_CXD_After-Sales-Oficina-Classicos-REG03-lal-home-oficina_PD_728x90&amp;utm_campaign=BR_AAF_DSY_NONMS_ND_AS_2019Q2APR_AFS_After-Sales&amp;utm_term=%epid!_%ecid!_%eaid!</v>
      </c>
      <c r="AI267" s="21" t="str">
        <f t="shared" si="67"/>
        <v>TAG</v>
      </c>
      <c r="AJ267" s="15" t="str">
        <f t="shared" si="70"/>
        <v>dv360</v>
      </c>
      <c r="AK267" s="15" t="str">
        <f t="shared" si="71"/>
        <v>Programmatic</v>
      </c>
      <c r="AL267" s="21" t="str">
        <f>Campanha!$B$3</f>
        <v>BR_AAF_DSY_NONMS_ND_AS_2019Q2APR_AFS_After-Sales</v>
      </c>
      <c r="AM267" s="21" t="str">
        <f t="shared" si="68"/>
        <v>BR_VW_AFS_dv360_DIS_PROG_CPM_STD_LDR_AAF_RON_CXD_After-Sales-Oficina-Classicos-REG03-lal-home-oficina_PD_728x90</v>
      </c>
      <c r="AN267" s="15" t="s">
        <v>809</v>
      </c>
    </row>
    <row r="268" spans="2:40" hidden="1" x14ac:dyDescent="0.25">
      <c r="B268" s="15" t="s">
        <v>872</v>
      </c>
      <c r="C268" s="15"/>
      <c r="D268" s="30" t="s">
        <v>873</v>
      </c>
      <c r="E268" s="22">
        <v>44155</v>
      </c>
      <c r="F268" s="22">
        <v>44196</v>
      </c>
      <c r="G268" s="15" t="s">
        <v>674</v>
      </c>
      <c r="H268" s="15" t="s">
        <v>811</v>
      </c>
      <c r="I268" s="15" t="s">
        <v>702</v>
      </c>
      <c r="J268" s="15" t="s">
        <v>325</v>
      </c>
      <c r="K268" s="15" t="s">
        <v>334</v>
      </c>
      <c r="L268" s="15" t="s">
        <v>358</v>
      </c>
      <c r="M268" s="15" t="s">
        <v>322</v>
      </c>
      <c r="N268" s="15" t="s">
        <v>708</v>
      </c>
      <c r="O268" s="15" t="s">
        <v>694</v>
      </c>
      <c r="P268" s="15" t="s">
        <v>1042</v>
      </c>
      <c r="Q268" s="15" t="s">
        <v>888</v>
      </c>
      <c r="R268" s="15" t="s">
        <v>835</v>
      </c>
      <c r="S268" s="15" t="s">
        <v>348</v>
      </c>
      <c r="T268" s="15" t="s">
        <v>652</v>
      </c>
      <c r="AC268" s="32" t="s">
        <v>885</v>
      </c>
      <c r="AD268" s="33" t="e">
        <f t="shared" si="69"/>
        <v>#N/A</v>
      </c>
      <c r="AE268" s="21" t="str">
        <f t="shared" si="63"/>
        <v>BR_VW_AFS_dv360_DIS_PROG_CPM_STD_LDR_AAF_RON_CXD_After-Sales-Oficina-Classicos-REG03-lal-home-oficina_PD_970x250</v>
      </c>
      <c r="AF268" s="21" t="str">
        <f t="shared" si="64"/>
        <v>BR_VW_AFS_dv360_DIS_PROG_CPM_STD_LDR_AAF_RON_CXD_After-Sales-Oficina-Classicos-REG03-lal-home-oficina_PD_970x250</v>
      </c>
      <c r="AG268" s="21" t="str">
        <f t="shared" si="65"/>
        <v>VW_After-Sales-lal-home-oficina_970x250_After-Sales-Oficina-Classicos-REG03-adserver</v>
      </c>
      <c r="AH268" s="21" t="str">
        <f t="shared" si="66"/>
        <v>https://www.oficinadeclassicos.com.br/index.aspx?utm_source=dv360&amp;utm_medium=Programmatic&amp;utm_content=BR_VW_AFS_dv360_DIS_PROG_CPM_STD_LDR_AAF_RON_CXD_After-Sales-Oficina-Classicos-REG03-lal-home-oficina_PD_970x250&amp;utm_campaign=BR_AAF_DSY_NONMS_ND_AS_2019Q2APR_AFS_After-Sales&amp;utm_term=%epid!_%ecid!_%eaid!</v>
      </c>
      <c r="AI268" s="21" t="str">
        <f t="shared" si="67"/>
        <v>TAG</v>
      </c>
      <c r="AJ268" s="15" t="str">
        <f t="shared" si="70"/>
        <v>dv360</v>
      </c>
      <c r="AK268" s="15" t="str">
        <f t="shared" si="71"/>
        <v>Programmatic</v>
      </c>
      <c r="AL268" s="21" t="str">
        <f>Campanha!$B$3</f>
        <v>BR_AAF_DSY_NONMS_ND_AS_2019Q2APR_AFS_After-Sales</v>
      </c>
      <c r="AM268" s="21" t="str">
        <f t="shared" si="68"/>
        <v>BR_VW_AFS_dv360_DIS_PROG_CPM_STD_LDR_AAF_RON_CXD_After-Sales-Oficina-Classicos-REG03-lal-home-oficina_PD_970x250</v>
      </c>
      <c r="AN268" s="15" t="s">
        <v>809</v>
      </c>
    </row>
    <row r="269" spans="2:40" hidden="1" x14ac:dyDescent="0.25">
      <c r="B269" s="15" t="s">
        <v>872</v>
      </c>
      <c r="C269" s="15"/>
      <c r="D269" s="30" t="s">
        <v>873</v>
      </c>
      <c r="E269" s="22">
        <v>44155</v>
      </c>
      <c r="F269" s="22">
        <v>44196</v>
      </c>
      <c r="G269" s="15" t="s">
        <v>674</v>
      </c>
      <c r="H269" s="15" t="s">
        <v>811</v>
      </c>
      <c r="I269" s="15" t="s">
        <v>702</v>
      </c>
      <c r="J269" s="15" t="s">
        <v>325</v>
      </c>
      <c r="K269" s="15" t="s">
        <v>334</v>
      </c>
      <c r="L269" s="15" t="s">
        <v>358</v>
      </c>
      <c r="M269" s="15" t="s">
        <v>322</v>
      </c>
      <c r="N269" s="15" t="s">
        <v>708</v>
      </c>
      <c r="O269" s="15" t="s">
        <v>694</v>
      </c>
      <c r="P269" s="15" t="s">
        <v>1042</v>
      </c>
      <c r="Q269" s="15" t="s">
        <v>878</v>
      </c>
      <c r="R269" s="15" t="s">
        <v>835</v>
      </c>
      <c r="S269" s="15" t="s">
        <v>348</v>
      </c>
      <c r="T269" s="15" t="s">
        <v>457</v>
      </c>
      <c r="AC269" s="32" t="s">
        <v>885</v>
      </c>
      <c r="AD269" s="33" t="e">
        <f t="shared" si="69"/>
        <v>#N/A</v>
      </c>
      <c r="AE269" s="21" t="str">
        <f t="shared" si="63"/>
        <v>BR_VW_AFS_dv360_DIS_PROG_CPM_STD_LDR_AAF_RON_CXD_After-Sales-Oficina-Classicos-REG03-rmkt-visita-home-oficina_PD_160x600</v>
      </c>
      <c r="AF269" s="21" t="str">
        <f t="shared" si="64"/>
        <v>BR_VW_AFS_dv360_DIS_PROG_CPM_STD_LDR_AAF_RON_CXD_After-Sales-Oficina-Classicos-REG03-rmkt-visita-home-oficina_PD_160x600</v>
      </c>
      <c r="AG269" s="21" t="str">
        <f t="shared" si="65"/>
        <v>VW_After-Sales-rmkt-visita-home-oficina_160x600_After-Sales-Oficina-Classicos-REG03-adserver</v>
      </c>
      <c r="AH269" s="21" t="str">
        <f t="shared" si="66"/>
        <v>https://www.oficinadeclassicos.com.br/index.aspx?utm_source=dv360&amp;utm_medium=Programmatic&amp;utm_content=BR_VW_AFS_dv360_DIS_PROG_CPM_STD_LDR_AAF_RON_CXD_After-Sales-Oficina-Classicos-REG03-rmkt-visita-home-oficina_PD_160x600&amp;utm_campaign=BR_AAF_DSY_NONMS_ND_AS_2019Q2APR_AFS_After-Sales&amp;utm_term=%epid!_%ecid!_%eaid!</v>
      </c>
      <c r="AI269" s="21" t="str">
        <f t="shared" si="67"/>
        <v>TAG</v>
      </c>
      <c r="AJ269" s="15" t="str">
        <f t="shared" si="70"/>
        <v>dv360</v>
      </c>
      <c r="AK269" s="15" t="str">
        <f t="shared" si="71"/>
        <v>Programmatic</v>
      </c>
      <c r="AL269" s="21" t="str">
        <f>Campanha!$B$3</f>
        <v>BR_AAF_DSY_NONMS_ND_AS_2019Q2APR_AFS_After-Sales</v>
      </c>
      <c r="AM269" s="21" t="str">
        <f t="shared" si="68"/>
        <v>BR_VW_AFS_dv360_DIS_PROG_CPM_STD_LDR_AAF_RON_CXD_After-Sales-Oficina-Classicos-REG03-rmkt-visita-home-oficina_PD_160x600</v>
      </c>
      <c r="AN269" s="15" t="s">
        <v>809</v>
      </c>
    </row>
    <row r="270" spans="2:40" hidden="1" x14ac:dyDescent="0.25">
      <c r="B270" s="15" t="s">
        <v>872</v>
      </c>
      <c r="C270" s="15"/>
      <c r="D270" s="30" t="s">
        <v>873</v>
      </c>
      <c r="E270" s="22">
        <v>44155</v>
      </c>
      <c r="F270" s="22">
        <v>44196</v>
      </c>
      <c r="G270" s="15" t="s">
        <v>674</v>
      </c>
      <c r="H270" s="15" t="s">
        <v>811</v>
      </c>
      <c r="I270" s="15" t="s">
        <v>702</v>
      </c>
      <c r="J270" s="15" t="s">
        <v>325</v>
      </c>
      <c r="K270" s="15" t="s">
        <v>334</v>
      </c>
      <c r="L270" s="15" t="s">
        <v>358</v>
      </c>
      <c r="M270" s="15" t="s">
        <v>322</v>
      </c>
      <c r="N270" s="15" t="s">
        <v>708</v>
      </c>
      <c r="O270" s="15" t="s">
        <v>694</v>
      </c>
      <c r="P270" s="15" t="s">
        <v>1042</v>
      </c>
      <c r="Q270" s="15" t="s">
        <v>878</v>
      </c>
      <c r="R270" s="15" t="s">
        <v>835</v>
      </c>
      <c r="S270" s="15" t="s">
        <v>348</v>
      </c>
      <c r="T270" s="15" t="s">
        <v>484</v>
      </c>
      <c r="AC270" s="32" t="s">
        <v>885</v>
      </c>
      <c r="AD270" s="33" t="e">
        <f t="shared" si="69"/>
        <v>#N/A</v>
      </c>
      <c r="AE270" s="21" t="str">
        <f t="shared" si="63"/>
        <v>BR_VW_AFS_dv360_DIS_PROG_CPM_STD_LDR_AAF_RON_CXD_After-Sales-Oficina-Classicos-REG03-rmkt-visita-home-oficina_PD_300x50</v>
      </c>
      <c r="AF270" s="21" t="str">
        <f t="shared" si="64"/>
        <v>BR_VW_AFS_dv360_DIS_PROG_CPM_STD_LDR_AAF_RON_CXD_After-Sales-Oficina-Classicos-REG03-rmkt-visita-home-oficina_PD_300x50</v>
      </c>
      <c r="AG270" s="21" t="str">
        <f t="shared" si="65"/>
        <v>VW_After-Sales-rmkt-visita-home-oficina_300x50_After-Sales-Oficina-Classicos-REG03-adserver</v>
      </c>
      <c r="AH270" s="21" t="str">
        <f t="shared" si="66"/>
        <v>https://www.oficinadeclassicos.com.br/index.aspx?utm_source=dv360&amp;utm_medium=Programmatic&amp;utm_content=BR_VW_AFS_dv360_DIS_PROG_CPM_STD_LDR_AAF_RON_CXD_After-Sales-Oficina-Classicos-REG03-rmkt-visita-home-oficina_PD_300x50&amp;utm_campaign=BR_AAF_DSY_NONMS_ND_AS_2019Q2APR_AFS_After-Sales&amp;utm_term=%epid!_%ecid!_%eaid!</v>
      </c>
      <c r="AI270" s="21" t="str">
        <f t="shared" si="67"/>
        <v>TAG</v>
      </c>
      <c r="AJ270" s="15" t="str">
        <f t="shared" si="70"/>
        <v>dv360</v>
      </c>
      <c r="AK270" s="15" t="str">
        <f t="shared" si="71"/>
        <v>Programmatic</v>
      </c>
      <c r="AL270" s="21" t="str">
        <f>Campanha!$B$3</f>
        <v>BR_AAF_DSY_NONMS_ND_AS_2019Q2APR_AFS_After-Sales</v>
      </c>
      <c r="AM270" s="21" t="str">
        <f t="shared" si="68"/>
        <v>BR_VW_AFS_dv360_DIS_PROG_CPM_STD_LDR_AAF_RON_CXD_After-Sales-Oficina-Classicos-REG03-rmkt-visita-home-oficina_PD_300x50</v>
      </c>
      <c r="AN270" s="15" t="s">
        <v>809</v>
      </c>
    </row>
    <row r="271" spans="2:40" hidden="1" x14ac:dyDescent="0.25">
      <c r="B271" s="15" t="s">
        <v>872</v>
      </c>
      <c r="C271" s="15"/>
      <c r="D271" s="30" t="s">
        <v>873</v>
      </c>
      <c r="E271" s="22">
        <v>44155</v>
      </c>
      <c r="F271" s="22">
        <v>44196</v>
      </c>
      <c r="G271" s="15" t="s">
        <v>674</v>
      </c>
      <c r="H271" s="15" t="s">
        <v>811</v>
      </c>
      <c r="I271" s="15" t="s">
        <v>702</v>
      </c>
      <c r="J271" s="15" t="s">
        <v>325</v>
      </c>
      <c r="K271" s="15" t="s">
        <v>334</v>
      </c>
      <c r="L271" s="15" t="s">
        <v>358</v>
      </c>
      <c r="M271" s="15" t="s">
        <v>322</v>
      </c>
      <c r="N271" s="15" t="s">
        <v>708</v>
      </c>
      <c r="O271" s="15" t="s">
        <v>694</v>
      </c>
      <c r="P271" s="15" t="s">
        <v>1042</v>
      </c>
      <c r="Q271" s="15" t="s">
        <v>878</v>
      </c>
      <c r="R271" s="15" t="s">
        <v>835</v>
      </c>
      <c r="S271" s="15" t="s">
        <v>348</v>
      </c>
      <c r="T271" s="15" t="s">
        <v>478</v>
      </c>
      <c r="AC271" s="32" t="s">
        <v>885</v>
      </c>
      <c r="AD271" s="33" t="e">
        <f t="shared" si="69"/>
        <v>#N/A</v>
      </c>
      <c r="AE271" s="21" t="str">
        <f t="shared" si="63"/>
        <v>BR_VW_AFS_dv360_DIS_PROG_CPM_STD_LDR_AAF_RON_CXD_After-Sales-Oficina-Classicos-REG03-rmkt-visita-home-oficina_PD_300x250</v>
      </c>
      <c r="AF271" s="21" t="str">
        <f t="shared" si="64"/>
        <v>BR_VW_AFS_dv360_DIS_PROG_CPM_STD_LDR_AAF_RON_CXD_After-Sales-Oficina-Classicos-REG03-rmkt-visita-home-oficina_PD_300x250</v>
      </c>
      <c r="AG271" s="21" t="str">
        <f t="shared" si="65"/>
        <v>VW_After-Sales-rmkt-visita-home-oficina_300x250_After-Sales-Oficina-Classicos-REG03-adserver</v>
      </c>
      <c r="AH271" s="21" t="str">
        <f t="shared" si="66"/>
        <v>https://www.oficinadeclassicos.com.br/index.aspx?utm_source=dv360&amp;utm_medium=Programmatic&amp;utm_content=BR_VW_AFS_dv360_DIS_PROG_CPM_STD_LDR_AAF_RON_CXD_After-Sales-Oficina-Classicos-REG03-rmkt-visita-home-oficina_PD_300x250&amp;utm_campaign=BR_AAF_DSY_NONMS_ND_AS_2019Q2APR_AFS_After-Sales&amp;utm_term=%epid!_%ecid!_%eaid!</v>
      </c>
      <c r="AI271" s="21" t="str">
        <f t="shared" si="67"/>
        <v>TAG</v>
      </c>
      <c r="AJ271" s="15" t="str">
        <f t="shared" si="70"/>
        <v>dv360</v>
      </c>
      <c r="AK271" s="15" t="str">
        <f t="shared" si="71"/>
        <v>Programmatic</v>
      </c>
      <c r="AL271" s="21" t="str">
        <f>Campanha!$B$3</f>
        <v>BR_AAF_DSY_NONMS_ND_AS_2019Q2APR_AFS_After-Sales</v>
      </c>
      <c r="AM271" s="21" t="str">
        <f t="shared" si="68"/>
        <v>BR_VW_AFS_dv360_DIS_PROG_CPM_STD_LDR_AAF_RON_CXD_After-Sales-Oficina-Classicos-REG03-rmkt-visita-home-oficina_PD_300x250</v>
      </c>
      <c r="AN271" s="15" t="s">
        <v>809</v>
      </c>
    </row>
    <row r="272" spans="2:40" hidden="1" x14ac:dyDescent="0.25">
      <c r="B272" s="15" t="s">
        <v>872</v>
      </c>
      <c r="C272" s="15"/>
      <c r="D272" s="30" t="s">
        <v>873</v>
      </c>
      <c r="E272" s="22">
        <v>44155</v>
      </c>
      <c r="F272" s="22">
        <v>44196</v>
      </c>
      <c r="G272" s="15" t="s">
        <v>674</v>
      </c>
      <c r="H272" s="15" t="s">
        <v>811</v>
      </c>
      <c r="I272" s="15" t="s">
        <v>702</v>
      </c>
      <c r="J272" s="15" t="s">
        <v>325</v>
      </c>
      <c r="K272" s="15" t="s">
        <v>334</v>
      </c>
      <c r="L272" s="15" t="s">
        <v>358</v>
      </c>
      <c r="M272" s="15" t="s">
        <v>322</v>
      </c>
      <c r="N272" s="15" t="s">
        <v>708</v>
      </c>
      <c r="O272" s="15" t="s">
        <v>694</v>
      </c>
      <c r="P272" s="15" t="s">
        <v>1042</v>
      </c>
      <c r="Q272" s="15" t="s">
        <v>878</v>
      </c>
      <c r="R272" s="15" t="s">
        <v>835</v>
      </c>
      <c r="S272" s="15" t="s">
        <v>348</v>
      </c>
      <c r="T272" s="15" t="s">
        <v>614</v>
      </c>
      <c r="AC272" s="32" t="s">
        <v>885</v>
      </c>
      <c r="AD272" s="33" t="e">
        <f t="shared" si="69"/>
        <v>#N/A</v>
      </c>
      <c r="AE272" s="21" t="str">
        <f t="shared" ref="AE272:AE335" si="72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IF(col_servidopor="adserver-rotacionar",col_segmentacao,CONCATENATE(col_localfreetype,"-",col_segmentacao)),"_",VLOOKUP(col_paidvsav,tab_paidvsav,2,FALSE),"_",col_size))</f>
        <v>BR_VW_AFS_dv360_DIS_PROG_CPM_STD_LDR_AAF_RON_CXD_After-Sales-Oficina-Classicos-REG03-rmkt-visita-home-oficina_PD_728x90</v>
      </c>
      <c r="AF272" s="21" t="str">
        <f t="shared" ref="AF272:AF335" si="73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col_localfreetype,"-",col_segmentacao,"_",VLOOKUP(col_paidvsav,tab_paidvsav,2,FALSE),"_",col_size))</f>
        <v>BR_VW_AFS_dv360_DIS_PROG_CPM_STD_LDR_AAF_RON_CXD_After-Sales-Oficina-Classicos-REG03-rmkt-visita-home-oficina_PD_728x90</v>
      </c>
      <c r="AG272" s="21" t="str">
        <f t="shared" ref="AG272:AG335" si="74">CONCATENATE("VW","_",cel_modelvariant,"-",col_segmentacao,"_",col_size,"_",col_localfreetype,"-",IF(col_servidopor="portal",col_supplier,"adserver"))</f>
        <v>VW_After-Sales-rmkt-visita-home-oficina_728x90_After-Sales-Oficina-Classicos-REG03-adserver</v>
      </c>
      <c r="AH272" s="21" t="str">
        <f t="shared" ref="AH272:AH335" si="75">faxineiro(CONCATENATE(col_url,IF(ISNUMBER(FIND("?",col_url)),"&amp;","?"),"utm_source=",col_utmsource,"&amp;utm_medium=",col_utmmedium,"&amp;utm_content=",col_utmcontent,"&amp;utm_campaign=",col_utmcampaign,"&amp;utm_term=",col_keyword))</f>
        <v>https://www.oficinadeclassicos.com.br/index.aspx?utm_source=dv360&amp;utm_medium=Programmatic&amp;utm_content=BR_VW_AFS_dv360_DIS_PROG_CPM_STD_LDR_AAF_RON_CXD_After-Sales-Oficina-Classicos-REG03-rmkt-visita-home-oficina_PD_728x90&amp;utm_campaign=BR_AAF_DSY_NONMS_ND_AS_2019Q2APR_AFS_After-Sales&amp;utm_term=%epid!_%ecid!_%eaid!</v>
      </c>
      <c r="AI272" s="21" t="str">
        <f t="shared" ref="AI272:AI335" si="76">IFERROR(IF(col_servidopor="portal",VLOOKUP(col_placement,tab_contadores,2,FALSE),"TAG"),"Contador")</f>
        <v>TAG</v>
      </c>
      <c r="AJ272" s="15" t="str">
        <f t="shared" si="70"/>
        <v>dv360</v>
      </c>
      <c r="AK272" s="15" t="str">
        <f t="shared" si="71"/>
        <v>Programmatic</v>
      </c>
      <c r="AL272" s="21" t="str">
        <f>Campanha!$B$3</f>
        <v>BR_AAF_DSY_NONMS_ND_AS_2019Q2APR_AFS_After-Sales</v>
      </c>
      <c r="AM272" s="21" t="str">
        <f t="shared" ref="AM272:AM335" si="77">col_adname</f>
        <v>BR_VW_AFS_dv360_DIS_PROG_CPM_STD_LDR_AAF_RON_CXD_After-Sales-Oficina-Classicos-REG03-rmkt-visita-home-oficina_PD_728x90</v>
      </c>
      <c r="AN272" s="15" t="s">
        <v>809</v>
      </c>
    </row>
    <row r="273" spans="2:40" hidden="1" x14ac:dyDescent="0.25">
      <c r="B273" s="15" t="s">
        <v>872</v>
      </c>
      <c r="C273" s="15"/>
      <c r="D273" s="30" t="s">
        <v>873</v>
      </c>
      <c r="E273" s="22">
        <v>44155</v>
      </c>
      <c r="F273" s="22">
        <v>44196</v>
      </c>
      <c r="G273" s="15" t="s">
        <v>674</v>
      </c>
      <c r="H273" s="15" t="s">
        <v>811</v>
      </c>
      <c r="I273" s="15" t="s">
        <v>702</v>
      </c>
      <c r="J273" s="15" t="s">
        <v>325</v>
      </c>
      <c r="K273" s="15" t="s">
        <v>334</v>
      </c>
      <c r="L273" s="15" t="s">
        <v>358</v>
      </c>
      <c r="M273" s="15" t="s">
        <v>322</v>
      </c>
      <c r="N273" s="15" t="s">
        <v>708</v>
      </c>
      <c r="O273" s="15" t="s">
        <v>694</v>
      </c>
      <c r="P273" s="15" t="s">
        <v>1042</v>
      </c>
      <c r="Q273" s="15" t="s">
        <v>878</v>
      </c>
      <c r="R273" s="15" t="s">
        <v>835</v>
      </c>
      <c r="S273" s="15" t="s">
        <v>348</v>
      </c>
      <c r="T273" s="15" t="s">
        <v>652</v>
      </c>
      <c r="AC273" s="32" t="s">
        <v>885</v>
      </c>
      <c r="AD273" s="33" t="e">
        <f t="shared" si="69"/>
        <v>#N/A</v>
      </c>
      <c r="AE273" s="21" t="str">
        <f t="shared" si="72"/>
        <v>BR_VW_AFS_dv360_DIS_PROG_CPM_STD_LDR_AAF_RON_CXD_After-Sales-Oficina-Classicos-REG03-rmkt-visita-home-oficina_PD_970x250</v>
      </c>
      <c r="AF273" s="21" t="str">
        <f t="shared" si="73"/>
        <v>BR_VW_AFS_dv360_DIS_PROG_CPM_STD_LDR_AAF_RON_CXD_After-Sales-Oficina-Classicos-REG03-rmkt-visita-home-oficina_PD_970x250</v>
      </c>
      <c r="AG273" s="21" t="str">
        <f t="shared" si="74"/>
        <v>VW_After-Sales-rmkt-visita-home-oficina_970x250_After-Sales-Oficina-Classicos-REG03-adserver</v>
      </c>
      <c r="AH273" s="21" t="str">
        <f t="shared" si="75"/>
        <v>https://www.oficinadeclassicos.com.br/index.aspx?utm_source=dv360&amp;utm_medium=Programmatic&amp;utm_content=BR_VW_AFS_dv360_DIS_PROG_CPM_STD_LDR_AAF_RON_CXD_After-Sales-Oficina-Classicos-REG03-rmkt-visita-home-oficina_PD_970x250&amp;utm_campaign=BR_AAF_DSY_NONMS_ND_AS_2019Q2APR_AFS_After-Sales&amp;utm_term=%epid!_%ecid!_%eaid!</v>
      </c>
      <c r="AI273" s="21" t="str">
        <f t="shared" si="76"/>
        <v>TAG</v>
      </c>
      <c r="AJ273" s="15" t="str">
        <f t="shared" si="70"/>
        <v>dv360</v>
      </c>
      <c r="AK273" s="15" t="str">
        <f t="shared" si="71"/>
        <v>Programmatic</v>
      </c>
      <c r="AL273" s="21" t="str">
        <f>Campanha!$B$3</f>
        <v>BR_AAF_DSY_NONMS_ND_AS_2019Q2APR_AFS_After-Sales</v>
      </c>
      <c r="AM273" s="21" t="str">
        <f t="shared" si="77"/>
        <v>BR_VW_AFS_dv360_DIS_PROG_CPM_STD_LDR_AAF_RON_CXD_After-Sales-Oficina-Classicos-REG03-rmkt-visita-home-oficina_PD_970x250</v>
      </c>
      <c r="AN273" s="15" t="s">
        <v>809</v>
      </c>
    </row>
    <row r="274" spans="2:40" hidden="1" x14ac:dyDescent="0.25">
      <c r="B274" s="15" t="s">
        <v>872</v>
      </c>
      <c r="C274" s="15"/>
      <c r="D274" s="30" t="s">
        <v>873</v>
      </c>
      <c r="E274" s="22">
        <v>44155</v>
      </c>
      <c r="F274" s="22">
        <v>44196</v>
      </c>
      <c r="G274" s="15" t="s">
        <v>674</v>
      </c>
      <c r="H274" s="15" t="s">
        <v>811</v>
      </c>
      <c r="I274" s="15" t="s">
        <v>702</v>
      </c>
      <c r="J274" s="15" t="s">
        <v>325</v>
      </c>
      <c r="K274" s="15" t="s">
        <v>334</v>
      </c>
      <c r="L274" s="15" t="s">
        <v>358</v>
      </c>
      <c r="M274" s="15" t="s">
        <v>322</v>
      </c>
      <c r="N274" s="15" t="s">
        <v>708</v>
      </c>
      <c r="O274" s="15" t="s">
        <v>694</v>
      </c>
      <c r="P274" s="15" t="s">
        <v>1042</v>
      </c>
      <c r="Q274" s="15" t="s">
        <v>881</v>
      </c>
      <c r="R274" s="15" t="s">
        <v>835</v>
      </c>
      <c r="S274" s="15" t="s">
        <v>348</v>
      </c>
      <c r="T274" s="15" t="s">
        <v>457</v>
      </c>
      <c r="AC274" s="32" t="s">
        <v>885</v>
      </c>
      <c r="AD274" s="33" t="e">
        <f t="shared" si="69"/>
        <v>#N/A</v>
      </c>
      <c r="AE274" s="21" t="str">
        <f t="shared" si="72"/>
        <v>BR_VW_AFS_dv360_DIS_PROG_CPM_STD_LDR_AAF_RON_CXD_After-Sales-Oficina-Classicos-REG03-rmkt-add-to-cart-oficina_PD_160x600</v>
      </c>
      <c r="AF274" s="21" t="str">
        <f t="shared" si="73"/>
        <v>BR_VW_AFS_dv360_DIS_PROG_CPM_STD_LDR_AAF_RON_CXD_After-Sales-Oficina-Classicos-REG03-rmkt-add-to-cart-oficina_PD_160x600</v>
      </c>
      <c r="AG274" s="21" t="str">
        <f t="shared" si="74"/>
        <v>VW_After-Sales-rmkt-add-to-cart-oficina_160x600_After-Sales-Oficina-Classicos-REG03-adserver</v>
      </c>
      <c r="AH274" s="21" t="str">
        <f t="shared" si="75"/>
        <v>https://www.oficinadeclassicos.com.br/index.aspx?utm_source=dv360&amp;utm_medium=Programmatic&amp;utm_content=BR_VW_AFS_dv360_DIS_PROG_CPM_STD_LDR_AAF_RON_CXD_After-Sales-Oficina-Classicos-REG03-rmkt-add-to-cart-oficina_PD_160x600&amp;utm_campaign=BR_AAF_DSY_NONMS_ND_AS_2019Q2APR_AFS_After-Sales&amp;utm_term=%epid!_%ecid!_%eaid!</v>
      </c>
      <c r="AI274" s="21" t="str">
        <f t="shared" si="76"/>
        <v>TAG</v>
      </c>
      <c r="AJ274" s="15" t="str">
        <f t="shared" si="70"/>
        <v>dv360</v>
      </c>
      <c r="AK274" s="15" t="str">
        <f t="shared" si="71"/>
        <v>Programmatic</v>
      </c>
      <c r="AL274" s="21" t="str">
        <f>Campanha!$B$3</f>
        <v>BR_AAF_DSY_NONMS_ND_AS_2019Q2APR_AFS_After-Sales</v>
      </c>
      <c r="AM274" s="21" t="str">
        <f t="shared" si="77"/>
        <v>BR_VW_AFS_dv360_DIS_PROG_CPM_STD_LDR_AAF_RON_CXD_After-Sales-Oficina-Classicos-REG03-rmkt-add-to-cart-oficina_PD_160x600</v>
      </c>
      <c r="AN274" s="15" t="s">
        <v>809</v>
      </c>
    </row>
    <row r="275" spans="2:40" hidden="1" x14ac:dyDescent="0.25">
      <c r="B275" s="15" t="s">
        <v>872</v>
      </c>
      <c r="C275" s="15"/>
      <c r="D275" s="30" t="s">
        <v>873</v>
      </c>
      <c r="E275" s="22">
        <v>44155</v>
      </c>
      <c r="F275" s="22">
        <v>44196</v>
      </c>
      <c r="G275" s="15" t="s">
        <v>674</v>
      </c>
      <c r="H275" s="15" t="s">
        <v>811</v>
      </c>
      <c r="I275" s="15" t="s">
        <v>702</v>
      </c>
      <c r="J275" s="15" t="s">
        <v>325</v>
      </c>
      <c r="K275" s="15" t="s">
        <v>334</v>
      </c>
      <c r="L275" s="15" t="s">
        <v>358</v>
      </c>
      <c r="M275" s="15" t="s">
        <v>322</v>
      </c>
      <c r="N275" s="15" t="s">
        <v>708</v>
      </c>
      <c r="O275" s="15" t="s">
        <v>694</v>
      </c>
      <c r="P275" s="15" t="s">
        <v>1042</v>
      </c>
      <c r="Q275" s="15" t="s">
        <v>881</v>
      </c>
      <c r="R275" s="15" t="s">
        <v>835</v>
      </c>
      <c r="S275" s="15" t="s">
        <v>348</v>
      </c>
      <c r="T275" s="15" t="s">
        <v>484</v>
      </c>
      <c r="AC275" s="32" t="s">
        <v>885</v>
      </c>
      <c r="AD275" s="33" t="e">
        <f t="shared" si="69"/>
        <v>#N/A</v>
      </c>
      <c r="AE275" s="21" t="str">
        <f t="shared" si="72"/>
        <v>BR_VW_AFS_dv360_DIS_PROG_CPM_STD_LDR_AAF_RON_CXD_After-Sales-Oficina-Classicos-REG03-rmkt-add-to-cart-oficina_PD_300x50</v>
      </c>
      <c r="AF275" s="21" t="str">
        <f t="shared" si="73"/>
        <v>BR_VW_AFS_dv360_DIS_PROG_CPM_STD_LDR_AAF_RON_CXD_After-Sales-Oficina-Classicos-REG03-rmkt-add-to-cart-oficina_PD_300x50</v>
      </c>
      <c r="AG275" s="21" t="str">
        <f t="shared" si="74"/>
        <v>VW_After-Sales-rmkt-add-to-cart-oficina_300x50_After-Sales-Oficina-Classicos-REG03-adserver</v>
      </c>
      <c r="AH275" s="21" t="str">
        <f t="shared" si="75"/>
        <v>https://www.oficinadeclassicos.com.br/index.aspx?utm_source=dv360&amp;utm_medium=Programmatic&amp;utm_content=BR_VW_AFS_dv360_DIS_PROG_CPM_STD_LDR_AAF_RON_CXD_After-Sales-Oficina-Classicos-REG03-rmkt-add-to-cart-oficina_PD_300x50&amp;utm_campaign=BR_AAF_DSY_NONMS_ND_AS_2019Q2APR_AFS_After-Sales&amp;utm_term=%epid!_%ecid!_%eaid!</v>
      </c>
      <c r="AI275" s="21" t="str">
        <f t="shared" si="76"/>
        <v>TAG</v>
      </c>
      <c r="AJ275" s="15" t="str">
        <f t="shared" si="70"/>
        <v>dv360</v>
      </c>
      <c r="AK275" s="15" t="str">
        <f t="shared" si="71"/>
        <v>Programmatic</v>
      </c>
      <c r="AL275" s="21" t="str">
        <f>Campanha!$B$3</f>
        <v>BR_AAF_DSY_NONMS_ND_AS_2019Q2APR_AFS_After-Sales</v>
      </c>
      <c r="AM275" s="21" t="str">
        <f t="shared" si="77"/>
        <v>BR_VW_AFS_dv360_DIS_PROG_CPM_STD_LDR_AAF_RON_CXD_After-Sales-Oficina-Classicos-REG03-rmkt-add-to-cart-oficina_PD_300x50</v>
      </c>
      <c r="AN275" s="15" t="s">
        <v>809</v>
      </c>
    </row>
    <row r="276" spans="2:40" hidden="1" x14ac:dyDescent="0.25">
      <c r="B276" s="15" t="s">
        <v>872</v>
      </c>
      <c r="C276" s="15"/>
      <c r="D276" s="30" t="s">
        <v>873</v>
      </c>
      <c r="E276" s="22">
        <v>44155</v>
      </c>
      <c r="F276" s="22">
        <v>44196</v>
      </c>
      <c r="G276" s="15" t="s">
        <v>674</v>
      </c>
      <c r="H276" s="15" t="s">
        <v>811</v>
      </c>
      <c r="I276" s="15" t="s">
        <v>702</v>
      </c>
      <c r="J276" s="15" t="s">
        <v>325</v>
      </c>
      <c r="K276" s="15" t="s">
        <v>334</v>
      </c>
      <c r="L276" s="15" t="s">
        <v>358</v>
      </c>
      <c r="M276" s="15" t="s">
        <v>322</v>
      </c>
      <c r="N276" s="15" t="s">
        <v>708</v>
      </c>
      <c r="O276" s="15" t="s">
        <v>694</v>
      </c>
      <c r="P276" s="15" t="s">
        <v>1042</v>
      </c>
      <c r="Q276" s="15" t="s">
        <v>881</v>
      </c>
      <c r="R276" s="15" t="s">
        <v>835</v>
      </c>
      <c r="S276" s="15" t="s">
        <v>348</v>
      </c>
      <c r="T276" s="15" t="s">
        <v>478</v>
      </c>
      <c r="AC276" s="32" t="s">
        <v>885</v>
      </c>
      <c r="AD276" s="33" t="e">
        <f t="shared" si="69"/>
        <v>#N/A</v>
      </c>
      <c r="AE276" s="21" t="str">
        <f t="shared" si="72"/>
        <v>BR_VW_AFS_dv360_DIS_PROG_CPM_STD_LDR_AAF_RON_CXD_After-Sales-Oficina-Classicos-REG03-rmkt-add-to-cart-oficina_PD_300x250</v>
      </c>
      <c r="AF276" s="21" t="str">
        <f t="shared" si="73"/>
        <v>BR_VW_AFS_dv360_DIS_PROG_CPM_STD_LDR_AAF_RON_CXD_After-Sales-Oficina-Classicos-REG03-rmkt-add-to-cart-oficina_PD_300x250</v>
      </c>
      <c r="AG276" s="21" t="str">
        <f t="shared" si="74"/>
        <v>VW_After-Sales-rmkt-add-to-cart-oficina_300x250_After-Sales-Oficina-Classicos-REG03-adserver</v>
      </c>
      <c r="AH276" s="21" t="str">
        <f t="shared" si="75"/>
        <v>https://www.oficinadeclassicos.com.br/index.aspx?utm_source=dv360&amp;utm_medium=Programmatic&amp;utm_content=BR_VW_AFS_dv360_DIS_PROG_CPM_STD_LDR_AAF_RON_CXD_After-Sales-Oficina-Classicos-REG03-rmkt-add-to-cart-oficina_PD_300x250&amp;utm_campaign=BR_AAF_DSY_NONMS_ND_AS_2019Q2APR_AFS_After-Sales&amp;utm_term=%epid!_%ecid!_%eaid!</v>
      </c>
      <c r="AI276" s="21" t="str">
        <f t="shared" si="76"/>
        <v>TAG</v>
      </c>
      <c r="AJ276" s="15" t="str">
        <f t="shared" si="70"/>
        <v>dv360</v>
      </c>
      <c r="AK276" s="15" t="str">
        <f t="shared" si="71"/>
        <v>Programmatic</v>
      </c>
      <c r="AL276" s="21" t="str">
        <f>Campanha!$B$3</f>
        <v>BR_AAF_DSY_NONMS_ND_AS_2019Q2APR_AFS_After-Sales</v>
      </c>
      <c r="AM276" s="21" t="str">
        <f t="shared" si="77"/>
        <v>BR_VW_AFS_dv360_DIS_PROG_CPM_STD_LDR_AAF_RON_CXD_After-Sales-Oficina-Classicos-REG03-rmkt-add-to-cart-oficina_PD_300x250</v>
      </c>
      <c r="AN276" s="15" t="s">
        <v>809</v>
      </c>
    </row>
    <row r="277" spans="2:40" hidden="1" x14ac:dyDescent="0.25">
      <c r="B277" s="15" t="s">
        <v>872</v>
      </c>
      <c r="C277" s="15"/>
      <c r="D277" s="30" t="s">
        <v>873</v>
      </c>
      <c r="E277" s="22">
        <v>44155</v>
      </c>
      <c r="F277" s="22">
        <v>44196</v>
      </c>
      <c r="G277" s="15" t="s">
        <v>674</v>
      </c>
      <c r="H277" s="15" t="s">
        <v>811</v>
      </c>
      <c r="I277" s="15" t="s">
        <v>702</v>
      </c>
      <c r="J277" s="15" t="s">
        <v>325</v>
      </c>
      <c r="K277" s="15" t="s">
        <v>334</v>
      </c>
      <c r="L277" s="15" t="s">
        <v>358</v>
      </c>
      <c r="M277" s="15" t="s">
        <v>322</v>
      </c>
      <c r="N277" s="15" t="s">
        <v>708</v>
      </c>
      <c r="O277" s="15" t="s">
        <v>694</v>
      </c>
      <c r="P277" s="15" t="s">
        <v>1042</v>
      </c>
      <c r="Q277" s="15" t="s">
        <v>881</v>
      </c>
      <c r="R277" s="15" t="s">
        <v>835</v>
      </c>
      <c r="S277" s="15" t="s">
        <v>348</v>
      </c>
      <c r="T277" s="15" t="s">
        <v>614</v>
      </c>
      <c r="AC277" s="32" t="s">
        <v>885</v>
      </c>
      <c r="AD277" s="33" t="e">
        <f t="shared" si="69"/>
        <v>#N/A</v>
      </c>
      <c r="AE277" s="21" t="str">
        <f t="shared" si="72"/>
        <v>BR_VW_AFS_dv360_DIS_PROG_CPM_STD_LDR_AAF_RON_CXD_After-Sales-Oficina-Classicos-REG03-rmkt-add-to-cart-oficina_PD_728x90</v>
      </c>
      <c r="AF277" s="21" t="str">
        <f t="shared" si="73"/>
        <v>BR_VW_AFS_dv360_DIS_PROG_CPM_STD_LDR_AAF_RON_CXD_After-Sales-Oficina-Classicos-REG03-rmkt-add-to-cart-oficina_PD_728x90</v>
      </c>
      <c r="AG277" s="21" t="str">
        <f t="shared" si="74"/>
        <v>VW_After-Sales-rmkt-add-to-cart-oficina_728x90_After-Sales-Oficina-Classicos-REG03-adserver</v>
      </c>
      <c r="AH277" s="21" t="str">
        <f t="shared" si="75"/>
        <v>https://www.oficinadeclassicos.com.br/index.aspx?utm_source=dv360&amp;utm_medium=Programmatic&amp;utm_content=BR_VW_AFS_dv360_DIS_PROG_CPM_STD_LDR_AAF_RON_CXD_After-Sales-Oficina-Classicos-REG03-rmkt-add-to-cart-oficina_PD_728x90&amp;utm_campaign=BR_AAF_DSY_NONMS_ND_AS_2019Q2APR_AFS_After-Sales&amp;utm_term=%epid!_%ecid!_%eaid!</v>
      </c>
      <c r="AI277" s="21" t="str">
        <f t="shared" si="76"/>
        <v>TAG</v>
      </c>
      <c r="AJ277" s="15" t="str">
        <f t="shared" si="70"/>
        <v>dv360</v>
      </c>
      <c r="AK277" s="15" t="str">
        <f t="shared" si="71"/>
        <v>Programmatic</v>
      </c>
      <c r="AL277" s="21" t="str">
        <f>Campanha!$B$3</f>
        <v>BR_AAF_DSY_NONMS_ND_AS_2019Q2APR_AFS_After-Sales</v>
      </c>
      <c r="AM277" s="21" t="str">
        <f t="shared" si="77"/>
        <v>BR_VW_AFS_dv360_DIS_PROG_CPM_STD_LDR_AAF_RON_CXD_After-Sales-Oficina-Classicos-REG03-rmkt-add-to-cart-oficina_PD_728x90</v>
      </c>
      <c r="AN277" s="15" t="s">
        <v>809</v>
      </c>
    </row>
    <row r="278" spans="2:40" hidden="1" x14ac:dyDescent="0.25">
      <c r="B278" s="15" t="s">
        <v>872</v>
      </c>
      <c r="C278" s="15"/>
      <c r="D278" s="30" t="s">
        <v>873</v>
      </c>
      <c r="E278" s="22">
        <v>44155</v>
      </c>
      <c r="F278" s="22">
        <v>44196</v>
      </c>
      <c r="G278" s="15" t="s">
        <v>674</v>
      </c>
      <c r="H278" s="15" t="s">
        <v>811</v>
      </c>
      <c r="I278" s="15" t="s">
        <v>702</v>
      </c>
      <c r="J278" s="15" t="s">
        <v>325</v>
      </c>
      <c r="K278" s="15" t="s">
        <v>334</v>
      </c>
      <c r="L278" s="15" t="s">
        <v>358</v>
      </c>
      <c r="M278" s="15" t="s">
        <v>322</v>
      </c>
      <c r="N278" s="15" t="s">
        <v>708</v>
      </c>
      <c r="O278" s="15" t="s">
        <v>694</v>
      </c>
      <c r="P278" s="15" t="s">
        <v>1042</v>
      </c>
      <c r="Q278" s="15" t="s">
        <v>881</v>
      </c>
      <c r="R278" s="15" t="s">
        <v>835</v>
      </c>
      <c r="S278" s="15" t="s">
        <v>348</v>
      </c>
      <c r="T278" s="15" t="s">
        <v>652</v>
      </c>
      <c r="AC278" s="32" t="s">
        <v>885</v>
      </c>
      <c r="AD278" s="33" t="e">
        <f t="shared" si="69"/>
        <v>#N/A</v>
      </c>
      <c r="AE278" s="21" t="str">
        <f t="shared" si="72"/>
        <v>BR_VW_AFS_dv360_DIS_PROG_CPM_STD_LDR_AAF_RON_CXD_After-Sales-Oficina-Classicos-REG03-rmkt-add-to-cart-oficina_PD_970x250</v>
      </c>
      <c r="AF278" s="21" t="str">
        <f t="shared" si="73"/>
        <v>BR_VW_AFS_dv360_DIS_PROG_CPM_STD_LDR_AAF_RON_CXD_After-Sales-Oficina-Classicos-REG03-rmkt-add-to-cart-oficina_PD_970x250</v>
      </c>
      <c r="AG278" s="21" t="str">
        <f t="shared" si="74"/>
        <v>VW_After-Sales-rmkt-add-to-cart-oficina_970x250_After-Sales-Oficina-Classicos-REG03-adserver</v>
      </c>
      <c r="AH278" s="21" t="str">
        <f t="shared" si="75"/>
        <v>https://www.oficinadeclassicos.com.br/index.aspx?utm_source=dv360&amp;utm_medium=Programmatic&amp;utm_content=BR_VW_AFS_dv360_DIS_PROG_CPM_STD_LDR_AAF_RON_CXD_After-Sales-Oficina-Classicos-REG03-rmkt-add-to-cart-oficina_PD_970x250&amp;utm_campaign=BR_AAF_DSY_NONMS_ND_AS_2019Q2APR_AFS_After-Sales&amp;utm_term=%epid!_%ecid!_%eaid!</v>
      </c>
      <c r="AI278" s="21" t="str">
        <f t="shared" si="76"/>
        <v>TAG</v>
      </c>
      <c r="AJ278" s="15" t="str">
        <f t="shared" si="70"/>
        <v>dv360</v>
      </c>
      <c r="AK278" s="15" t="str">
        <f t="shared" si="71"/>
        <v>Programmatic</v>
      </c>
      <c r="AL278" s="21" t="str">
        <f>Campanha!$B$3</f>
        <v>BR_AAF_DSY_NONMS_ND_AS_2019Q2APR_AFS_After-Sales</v>
      </c>
      <c r="AM278" s="21" t="str">
        <f t="shared" si="77"/>
        <v>BR_VW_AFS_dv360_DIS_PROG_CPM_STD_LDR_AAF_RON_CXD_After-Sales-Oficina-Classicos-REG03-rmkt-add-to-cart-oficina_PD_970x250</v>
      </c>
      <c r="AN278" s="15" t="s">
        <v>809</v>
      </c>
    </row>
    <row r="279" spans="2:40" hidden="1" x14ac:dyDescent="0.25">
      <c r="B279" s="15" t="s">
        <v>933</v>
      </c>
      <c r="C279" s="15" t="s">
        <v>1171</v>
      </c>
      <c r="D279" s="30" t="s">
        <v>873</v>
      </c>
      <c r="E279" s="22">
        <v>44155</v>
      </c>
      <c r="F279" s="22">
        <v>44196</v>
      </c>
      <c r="G279" s="15" t="s">
        <v>674</v>
      </c>
      <c r="H279" s="15" t="s">
        <v>811</v>
      </c>
      <c r="I279" s="15" t="s">
        <v>702</v>
      </c>
      <c r="J279" s="15" t="s">
        <v>325</v>
      </c>
      <c r="K279" s="15" t="s">
        <v>334</v>
      </c>
      <c r="L279" s="15" t="s">
        <v>358</v>
      </c>
      <c r="M279" s="15" t="s">
        <v>322</v>
      </c>
      <c r="N279" s="15" t="s">
        <v>708</v>
      </c>
      <c r="O279" s="15" t="s">
        <v>694</v>
      </c>
      <c r="P279" s="15" t="s">
        <v>1043</v>
      </c>
      <c r="Q279" s="15" t="s">
        <v>842</v>
      </c>
      <c r="R279" s="15" t="s">
        <v>835</v>
      </c>
      <c r="S279" s="15" t="s">
        <v>348</v>
      </c>
      <c r="T279" s="15" t="s">
        <v>457</v>
      </c>
      <c r="AC279" s="32" t="s">
        <v>885</v>
      </c>
      <c r="AD279" s="33" t="str">
        <f t="shared" si="69"/>
        <v>289282690</v>
      </c>
      <c r="AE279" s="21" t="str">
        <f t="shared" si="72"/>
        <v>BR_VW_AFS_dv360_DIS_PROG_CPM_STD_LDR_AAF_RON_CXD_After-Sales-Oficina-Classicos-REG04-KWs_PD_160x600</v>
      </c>
      <c r="AF279" s="21" t="str">
        <f t="shared" si="73"/>
        <v>BR_VW_AFS_dv360_DIS_PROG_CPM_STD_LDR_AAF_RON_CXD_After-Sales-Oficina-Classicos-REG04-KWs_PD_160x600</v>
      </c>
      <c r="AG279" s="21" t="str">
        <f t="shared" si="74"/>
        <v>VW_After-Sales-KWs_160x600_After-Sales-Oficina-Classicos-REG04-adserver</v>
      </c>
      <c r="AH279" s="21" t="str">
        <f t="shared" si="75"/>
        <v>https://www.oficinadeclassicos.com.br/index.aspx?utm_source=dv360&amp;utm_medium=Programmatic&amp;utm_content=BR_VW_AFS_dv360_DIS_PROG_CPM_STD_LDR_AAF_RON_CXD_After-Sales-Oficina-Classicos-REG04-KWs_PD_160x600&amp;utm_campaign=BR_AAF_DSY_NONMS_ND_AS_2019Q2APR_AFS_After-Sales&amp;utm_term=%epid!_%ecid!_%eaid!</v>
      </c>
      <c r="AI279" s="21" t="str">
        <f t="shared" si="76"/>
        <v>TAG</v>
      </c>
      <c r="AJ279" s="15" t="str">
        <f t="shared" si="70"/>
        <v>dv360</v>
      </c>
      <c r="AK279" s="15" t="str">
        <f t="shared" si="71"/>
        <v>Programmatic</v>
      </c>
      <c r="AL279" s="21" t="str">
        <f>Campanha!$B$3</f>
        <v>BR_AAF_DSY_NONMS_ND_AS_2019Q2APR_AFS_After-Sales</v>
      </c>
      <c r="AM279" s="21" t="str">
        <f t="shared" si="77"/>
        <v>BR_VW_AFS_dv360_DIS_PROG_CPM_STD_LDR_AAF_RON_CXD_After-Sales-Oficina-Classicos-REG04-KWs_PD_160x600</v>
      </c>
      <c r="AN279" s="15" t="s">
        <v>809</v>
      </c>
    </row>
    <row r="280" spans="2:40" hidden="1" x14ac:dyDescent="0.25">
      <c r="B280" s="15" t="s">
        <v>933</v>
      </c>
      <c r="C280" s="15" t="s">
        <v>1171</v>
      </c>
      <c r="D280" s="30" t="s">
        <v>873</v>
      </c>
      <c r="E280" s="22">
        <v>44155</v>
      </c>
      <c r="F280" s="22">
        <v>44196</v>
      </c>
      <c r="G280" s="15" t="s">
        <v>674</v>
      </c>
      <c r="H280" s="15" t="s">
        <v>811</v>
      </c>
      <c r="I280" s="15" t="s">
        <v>702</v>
      </c>
      <c r="J280" s="15" t="s">
        <v>325</v>
      </c>
      <c r="K280" s="15" t="s">
        <v>334</v>
      </c>
      <c r="L280" s="15" t="s">
        <v>358</v>
      </c>
      <c r="M280" s="15" t="s">
        <v>322</v>
      </c>
      <c r="N280" s="15" t="s">
        <v>708</v>
      </c>
      <c r="O280" s="15" t="s">
        <v>694</v>
      </c>
      <c r="P280" s="15" t="s">
        <v>1043</v>
      </c>
      <c r="Q280" s="15" t="s">
        <v>842</v>
      </c>
      <c r="R280" s="15" t="s">
        <v>835</v>
      </c>
      <c r="S280" s="15" t="s">
        <v>348</v>
      </c>
      <c r="T280" s="15" t="s">
        <v>484</v>
      </c>
      <c r="AC280" s="32" t="s">
        <v>885</v>
      </c>
      <c r="AD280" s="33" t="str">
        <f t="shared" si="69"/>
        <v>289282687</v>
      </c>
      <c r="AE280" s="21" t="str">
        <f t="shared" si="72"/>
        <v>BR_VW_AFS_dv360_DIS_PROG_CPM_STD_LDR_AAF_RON_CXD_After-Sales-Oficina-Classicos-REG04-KWs_PD_300x50</v>
      </c>
      <c r="AF280" s="21" t="str">
        <f t="shared" si="73"/>
        <v>BR_VW_AFS_dv360_DIS_PROG_CPM_STD_LDR_AAF_RON_CXD_After-Sales-Oficina-Classicos-REG04-KWs_PD_300x50</v>
      </c>
      <c r="AG280" s="21" t="str">
        <f t="shared" si="74"/>
        <v>VW_After-Sales-KWs_300x50_After-Sales-Oficina-Classicos-REG04-adserver</v>
      </c>
      <c r="AH280" s="21" t="str">
        <f t="shared" si="75"/>
        <v>https://www.oficinadeclassicos.com.br/index.aspx?utm_source=dv360&amp;utm_medium=Programmatic&amp;utm_content=BR_VW_AFS_dv360_DIS_PROG_CPM_STD_LDR_AAF_RON_CXD_After-Sales-Oficina-Classicos-REG04-KWs_PD_300x50&amp;utm_campaign=BR_AAF_DSY_NONMS_ND_AS_2019Q2APR_AFS_After-Sales&amp;utm_term=%epid!_%ecid!_%eaid!</v>
      </c>
      <c r="AI280" s="21" t="str">
        <f t="shared" si="76"/>
        <v>TAG</v>
      </c>
      <c r="AJ280" s="15" t="str">
        <f t="shared" si="70"/>
        <v>dv360</v>
      </c>
      <c r="AK280" s="15" t="str">
        <f t="shared" si="71"/>
        <v>Programmatic</v>
      </c>
      <c r="AL280" s="21" t="str">
        <f>Campanha!$B$3</f>
        <v>BR_AAF_DSY_NONMS_ND_AS_2019Q2APR_AFS_After-Sales</v>
      </c>
      <c r="AM280" s="21" t="str">
        <f t="shared" si="77"/>
        <v>BR_VW_AFS_dv360_DIS_PROG_CPM_STD_LDR_AAF_RON_CXD_After-Sales-Oficina-Classicos-REG04-KWs_PD_300x50</v>
      </c>
      <c r="AN280" s="15" t="s">
        <v>809</v>
      </c>
    </row>
    <row r="281" spans="2:40" hidden="1" x14ac:dyDescent="0.25">
      <c r="B281" s="15" t="s">
        <v>933</v>
      </c>
      <c r="C281" s="15" t="s">
        <v>1171</v>
      </c>
      <c r="D281" s="30" t="s">
        <v>873</v>
      </c>
      <c r="E281" s="22">
        <v>44155</v>
      </c>
      <c r="F281" s="22">
        <v>44196</v>
      </c>
      <c r="G281" s="15" t="s">
        <v>674</v>
      </c>
      <c r="H281" s="15" t="s">
        <v>811</v>
      </c>
      <c r="I281" s="15" t="s">
        <v>702</v>
      </c>
      <c r="J281" s="15" t="s">
        <v>325</v>
      </c>
      <c r="K281" s="15" t="s">
        <v>334</v>
      </c>
      <c r="L281" s="15" t="s">
        <v>358</v>
      </c>
      <c r="M281" s="15" t="s">
        <v>322</v>
      </c>
      <c r="N281" s="15" t="s">
        <v>708</v>
      </c>
      <c r="O281" s="15" t="s">
        <v>694</v>
      </c>
      <c r="P281" s="15" t="s">
        <v>1043</v>
      </c>
      <c r="Q281" s="15" t="s">
        <v>842</v>
      </c>
      <c r="R281" s="15" t="s">
        <v>835</v>
      </c>
      <c r="S281" s="15" t="s">
        <v>348</v>
      </c>
      <c r="T281" s="15" t="s">
        <v>478</v>
      </c>
      <c r="AC281" s="32" t="s">
        <v>885</v>
      </c>
      <c r="AD281" s="33" t="str">
        <f t="shared" si="69"/>
        <v>289282684</v>
      </c>
      <c r="AE281" s="21" t="str">
        <f t="shared" si="72"/>
        <v>BR_VW_AFS_dv360_DIS_PROG_CPM_STD_LDR_AAF_RON_CXD_After-Sales-Oficina-Classicos-REG04-KWs_PD_300x250</v>
      </c>
      <c r="AF281" s="21" t="str">
        <f t="shared" si="73"/>
        <v>BR_VW_AFS_dv360_DIS_PROG_CPM_STD_LDR_AAF_RON_CXD_After-Sales-Oficina-Classicos-REG04-KWs_PD_300x250</v>
      </c>
      <c r="AG281" s="21" t="str">
        <f t="shared" si="74"/>
        <v>VW_After-Sales-KWs_300x250_After-Sales-Oficina-Classicos-REG04-adserver</v>
      </c>
      <c r="AH281" s="21" t="str">
        <f t="shared" si="75"/>
        <v>https://www.oficinadeclassicos.com.br/index.aspx?utm_source=dv360&amp;utm_medium=Programmatic&amp;utm_content=BR_VW_AFS_dv360_DIS_PROG_CPM_STD_LDR_AAF_RON_CXD_After-Sales-Oficina-Classicos-REG04-KWs_PD_300x250&amp;utm_campaign=BR_AAF_DSY_NONMS_ND_AS_2019Q2APR_AFS_After-Sales&amp;utm_term=%epid!_%ecid!_%eaid!</v>
      </c>
      <c r="AI281" s="21" t="str">
        <f t="shared" si="76"/>
        <v>TAG</v>
      </c>
      <c r="AJ281" s="15" t="str">
        <f t="shared" si="70"/>
        <v>dv360</v>
      </c>
      <c r="AK281" s="15" t="str">
        <f t="shared" si="71"/>
        <v>Programmatic</v>
      </c>
      <c r="AL281" s="21" t="str">
        <f>Campanha!$B$3</f>
        <v>BR_AAF_DSY_NONMS_ND_AS_2019Q2APR_AFS_After-Sales</v>
      </c>
      <c r="AM281" s="21" t="str">
        <f t="shared" si="77"/>
        <v>BR_VW_AFS_dv360_DIS_PROG_CPM_STD_LDR_AAF_RON_CXD_After-Sales-Oficina-Classicos-REG04-KWs_PD_300x250</v>
      </c>
      <c r="AN281" s="15" t="s">
        <v>809</v>
      </c>
    </row>
    <row r="282" spans="2:40" hidden="1" x14ac:dyDescent="0.25">
      <c r="B282" s="15" t="s">
        <v>933</v>
      </c>
      <c r="C282" s="15" t="s">
        <v>1172</v>
      </c>
      <c r="D282" s="30" t="s">
        <v>873</v>
      </c>
      <c r="E282" s="22">
        <v>44155</v>
      </c>
      <c r="F282" s="22">
        <v>44196</v>
      </c>
      <c r="G282" s="15" t="s">
        <v>674</v>
      </c>
      <c r="H282" s="15" t="s">
        <v>811</v>
      </c>
      <c r="I282" s="15" t="s">
        <v>702</v>
      </c>
      <c r="J282" s="15" t="s">
        <v>325</v>
      </c>
      <c r="K282" s="15" t="s">
        <v>334</v>
      </c>
      <c r="L282" s="15" t="s">
        <v>358</v>
      </c>
      <c r="M282" s="15" t="s">
        <v>322</v>
      </c>
      <c r="N282" s="15" t="s">
        <v>708</v>
      </c>
      <c r="O282" s="15" t="s">
        <v>694</v>
      </c>
      <c r="P282" s="15" t="s">
        <v>1043</v>
      </c>
      <c r="Q282" s="15" t="s">
        <v>842</v>
      </c>
      <c r="R282" s="15" t="s">
        <v>835</v>
      </c>
      <c r="S282" s="15" t="s">
        <v>348</v>
      </c>
      <c r="T282" s="15" t="s">
        <v>614</v>
      </c>
      <c r="AC282" s="32" t="s">
        <v>885</v>
      </c>
      <c r="AD282" s="33" t="str">
        <f t="shared" si="69"/>
        <v>289251009</v>
      </c>
      <c r="AE282" s="21" t="str">
        <f t="shared" si="72"/>
        <v>BR_VW_AFS_dv360_DIS_PROG_CPM_STD_LDR_AAF_RON_CXD_After-Sales-Oficina-Classicos-REG04-KWs_PD_728x90</v>
      </c>
      <c r="AF282" s="21" t="str">
        <f t="shared" si="73"/>
        <v>BR_VW_AFS_dv360_DIS_PROG_CPM_STD_LDR_AAF_RON_CXD_After-Sales-Oficina-Classicos-REG04-KWs_PD_728x90</v>
      </c>
      <c r="AG282" s="21" t="str">
        <f t="shared" si="74"/>
        <v>VW_After-Sales-KWs_728x90_After-Sales-Oficina-Classicos-REG04-adserver</v>
      </c>
      <c r="AH282" s="21" t="str">
        <f t="shared" si="75"/>
        <v>https://www.oficinadeclassicos.com.br/index.aspx?utm_source=dv360&amp;utm_medium=Programmatic&amp;utm_content=BR_VW_AFS_dv360_DIS_PROG_CPM_STD_LDR_AAF_RON_CXD_After-Sales-Oficina-Classicos-REG04-KWs_PD_728x90&amp;utm_campaign=BR_AAF_DSY_NONMS_ND_AS_2019Q2APR_AFS_After-Sales&amp;utm_term=%epid!_%ecid!_%eaid!</v>
      </c>
      <c r="AI282" s="21" t="str">
        <f t="shared" si="76"/>
        <v>TAG</v>
      </c>
      <c r="AJ282" s="15" t="str">
        <f t="shared" si="70"/>
        <v>dv360</v>
      </c>
      <c r="AK282" s="15" t="str">
        <f t="shared" si="71"/>
        <v>Programmatic</v>
      </c>
      <c r="AL282" s="21" t="str">
        <f>Campanha!$B$3</f>
        <v>BR_AAF_DSY_NONMS_ND_AS_2019Q2APR_AFS_After-Sales</v>
      </c>
      <c r="AM282" s="21" t="str">
        <f t="shared" si="77"/>
        <v>BR_VW_AFS_dv360_DIS_PROG_CPM_STD_LDR_AAF_RON_CXD_After-Sales-Oficina-Classicos-REG04-KWs_PD_728x90</v>
      </c>
      <c r="AN282" s="15" t="s">
        <v>809</v>
      </c>
    </row>
    <row r="283" spans="2:40" hidden="1" x14ac:dyDescent="0.25">
      <c r="B283" s="15" t="s">
        <v>933</v>
      </c>
      <c r="C283" s="15" t="s">
        <v>1171</v>
      </c>
      <c r="D283" s="30" t="s">
        <v>873</v>
      </c>
      <c r="E283" s="22">
        <v>44155</v>
      </c>
      <c r="F283" s="22">
        <v>44196</v>
      </c>
      <c r="G283" s="15" t="s">
        <v>674</v>
      </c>
      <c r="H283" s="15" t="s">
        <v>811</v>
      </c>
      <c r="I283" s="15" t="s">
        <v>702</v>
      </c>
      <c r="J283" s="15" t="s">
        <v>325</v>
      </c>
      <c r="K283" s="15" t="s">
        <v>334</v>
      </c>
      <c r="L283" s="15" t="s">
        <v>358</v>
      </c>
      <c r="M283" s="15" t="s">
        <v>322</v>
      </c>
      <c r="N283" s="15" t="s">
        <v>708</v>
      </c>
      <c r="O283" s="15" t="s">
        <v>694</v>
      </c>
      <c r="P283" s="15" t="s">
        <v>1043</v>
      </c>
      <c r="Q283" s="15" t="s">
        <v>842</v>
      </c>
      <c r="R283" s="15" t="s">
        <v>835</v>
      </c>
      <c r="S283" s="15" t="s">
        <v>348</v>
      </c>
      <c r="T283" s="15" t="s">
        <v>652</v>
      </c>
      <c r="AC283" s="32" t="s">
        <v>885</v>
      </c>
      <c r="AD283" s="33" t="str">
        <f t="shared" si="69"/>
        <v>289282681</v>
      </c>
      <c r="AE283" s="21" t="str">
        <f t="shared" si="72"/>
        <v>BR_VW_AFS_dv360_DIS_PROG_CPM_STD_LDR_AAF_RON_CXD_After-Sales-Oficina-Classicos-REG04-KWs_PD_970x250</v>
      </c>
      <c r="AF283" s="21" t="str">
        <f t="shared" si="73"/>
        <v>BR_VW_AFS_dv360_DIS_PROG_CPM_STD_LDR_AAF_RON_CXD_After-Sales-Oficina-Classicos-REG04-KWs_PD_970x250</v>
      </c>
      <c r="AG283" s="21" t="str">
        <f t="shared" si="74"/>
        <v>VW_After-Sales-KWs_970x250_After-Sales-Oficina-Classicos-REG04-adserver</v>
      </c>
      <c r="AH283" s="21" t="str">
        <f t="shared" si="75"/>
        <v>https://www.oficinadeclassicos.com.br/index.aspx?utm_source=dv360&amp;utm_medium=Programmatic&amp;utm_content=BR_VW_AFS_dv360_DIS_PROG_CPM_STD_LDR_AAF_RON_CXD_After-Sales-Oficina-Classicos-REG04-KWs_PD_970x250&amp;utm_campaign=BR_AAF_DSY_NONMS_ND_AS_2019Q2APR_AFS_After-Sales&amp;utm_term=%epid!_%ecid!_%eaid!</v>
      </c>
      <c r="AI283" s="21" t="str">
        <f t="shared" si="76"/>
        <v>TAG</v>
      </c>
      <c r="AJ283" s="15" t="str">
        <f t="shared" si="70"/>
        <v>dv360</v>
      </c>
      <c r="AK283" s="15" t="str">
        <f t="shared" si="71"/>
        <v>Programmatic</v>
      </c>
      <c r="AL283" s="21" t="str">
        <f>Campanha!$B$3</f>
        <v>BR_AAF_DSY_NONMS_ND_AS_2019Q2APR_AFS_After-Sales</v>
      </c>
      <c r="AM283" s="21" t="str">
        <f t="shared" si="77"/>
        <v>BR_VW_AFS_dv360_DIS_PROG_CPM_STD_LDR_AAF_RON_CXD_After-Sales-Oficina-Classicos-REG04-KWs_PD_970x250</v>
      </c>
      <c r="AN283" s="15" t="s">
        <v>809</v>
      </c>
    </row>
    <row r="284" spans="2:40" hidden="1" x14ac:dyDescent="0.25">
      <c r="B284" s="15" t="s">
        <v>933</v>
      </c>
      <c r="C284" s="15" t="s">
        <v>1171</v>
      </c>
      <c r="D284" s="30" t="s">
        <v>873</v>
      </c>
      <c r="E284" s="22">
        <v>44155</v>
      </c>
      <c r="F284" s="22">
        <v>44196</v>
      </c>
      <c r="G284" s="15" t="s">
        <v>674</v>
      </c>
      <c r="H284" s="15" t="s">
        <v>811</v>
      </c>
      <c r="I284" s="15" t="s">
        <v>702</v>
      </c>
      <c r="J284" s="15" t="s">
        <v>325</v>
      </c>
      <c r="K284" s="15" t="s">
        <v>334</v>
      </c>
      <c r="L284" s="15" t="s">
        <v>358</v>
      </c>
      <c r="M284" s="15" t="s">
        <v>322</v>
      </c>
      <c r="N284" s="15" t="s">
        <v>708</v>
      </c>
      <c r="O284" s="15" t="s">
        <v>694</v>
      </c>
      <c r="P284" s="15" t="s">
        <v>1043</v>
      </c>
      <c r="Q284" s="15" t="s">
        <v>843</v>
      </c>
      <c r="R284" s="15" t="s">
        <v>835</v>
      </c>
      <c r="S284" s="15" t="s">
        <v>348</v>
      </c>
      <c r="T284" s="15" t="s">
        <v>457</v>
      </c>
      <c r="AC284" s="32" t="s">
        <v>885</v>
      </c>
      <c r="AD284" s="33" t="str">
        <f t="shared" si="69"/>
        <v>289282678</v>
      </c>
      <c r="AE284" s="21" t="str">
        <f t="shared" si="72"/>
        <v>BR_VW_AFS_dv360_DIS_PROG_CPM_STD_LDR_AAF_RON_CXD_After-Sales-Oficina-Classicos-REG04-Categories_PD_160x600</v>
      </c>
      <c r="AF284" s="21" t="str">
        <f t="shared" si="73"/>
        <v>BR_VW_AFS_dv360_DIS_PROG_CPM_STD_LDR_AAF_RON_CXD_After-Sales-Oficina-Classicos-REG04-Categories_PD_160x600</v>
      </c>
      <c r="AG284" s="21" t="str">
        <f t="shared" si="74"/>
        <v>VW_After-Sales-Categories_160x600_After-Sales-Oficina-Classicos-REG04-adserver</v>
      </c>
      <c r="AH284" s="21" t="str">
        <f t="shared" si="75"/>
        <v>https://www.oficinadeclassicos.com.br/index.aspx?utm_source=dv360&amp;utm_medium=Programmatic&amp;utm_content=BR_VW_AFS_dv360_DIS_PROG_CPM_STD_LDR_AAF_RON_CXD_After-Sales-Oficina-Classicos-REG04-Categories_PD_160x600&amp;utm_campaign=BR_AAF_DSY_NONMS_ND_AS_2019Q2APR_AFS_After-Sales&amp;utm_term=%epid!_%ecid!_%eaid!</v>
      </c>
      <c r="AI284" s="21" t="str">
        <f t="shared" si="76"/>
        <v>TAG</v>
      </c>
      <c r="AJ284" s="15" t="str">
        <f t="shared" si="70"/>
        <v>dv360</v>
      </c>
      <c r="AK284" s="15" t="str">
        <f t="shared" si="71"/>
        <v>Programmatic</v>
      </c>
      <c r="AL284" s="21" t="str">
        <f>Campanha!$B$3</f>
        <v>BR_AAF_DSY_NONMS_ND_AS_2019Q2APR_AFS_After-Sales</v>
      </c>
      <c r="AM284" s="21" t="str">
        <f t="shared" si="77"/>
        <v>BR_VW_AFS_dv360_DIS_PROG_CPM_STD_LDR_AAF_RON_CXD_After-Sales-Oficina-Classicos-REG04-Categories_PD_160x600</v>
      </c>
      <c r="AN284" s="15" t="s">
        <v>809</v>
      </c>
    </row>
    <row r="285" spans="2:40" hidden="1" x14ac:dyDescent="0.25">
      <c r="B285" s="15" t="s">
        <v>933</v>
      </c>
      <c r="C285" s="15" t="s">
        <v>1171</v>
      </c>
      <c r="D285" s="30" t="s">
        <v>873</v>
      </c>
      <c r="E285" s="22">
        <v>44155</v>
      </c>
      <c r="F285" s="22">
        <v>44196</v>
      </c>
      <c r="G285" s="15" t="s">
        <v>674</v>
      </c>
      <c r="H285" s="15" t="s">
        <v>811</v>
      </c>
      <c r="I285" s="15" t="s">
        <v>702</v>
      </c>
      <c r="J285" s="15" t="s">
        <v>325</v>
      </c>
      <c r="K285" s="15" t="s">
        <v>334</v>
      </c>
      <c r="L285" s="15" t="s">
        <v>358</v>
      </c>
      <c r="M285" s="15" t="s">
        <v>322</v>
      </c>
      <c r="N285" s="15" t="s">
        <v>708</v>
      </c>
      <c r="O285" s="15" t="s">
        <v>694</v>
      </c>
      <c r="P285" s="15" t="s">
        <v>1043</v>
      </c>
      <c r="Q285" s="15" t="s">
        <v>843</v>
      </c>
      <c r="R285" s="15" t="s">
        <v>835</v>
      </c>
      <c r="S285" s="15" t="s">
        <v>348</v>
      </c>
      <c r="T285" s="15" t="s">
        <v>484</v>
      </c>
      <c r="AC285" s="32" t="s">
        <v>885</v>
      </c>
      <c r="AD285" s="33" t="str">
        <f t="shared" si="69"/>
        <v>289282675</v>
      </c>
      <c r="AE285" s="21" t="str">
        <f t="shared" si="72"/>
        <v>BR_VW_AFS_dv360_DIS_PROG_CPM_STD_LDR_AAF_RON_CXD_After-Sales-Oficina-Classicos-REG04-Categories_PD_300x50</v>
      </c>
      <c r="AF285" s="21" t="str">
        <f t="shared" si="73"/>
        <v>BR_VW_AFS_dv360_DIS_PROG_CPM_STD_LDR_AAF_RON_CXD_After-Sales-Oficina-Classicos-REG04-Categories_PD_300x50</v>
      </c>
      <c r="AG285" s="21" t="str">
        <f t="shared" si="74"/>
        <v>VW_After-Sales-Categories_300x50_After-Sales-Oficina-Classicos-REG04-adserver</v>
      </c>
      <c r="AH285" s="21" t="str">
        <f t="shared" si="75"/>
        <v>https://www.oficinadeclassicos.com.br/index.aspx?utm_source=dv360&amp;utm_medium=Programmatic&amp;utm_content=BR_VW_AFS_dv360_DIS_PROG_CPM_STD_LDR_AAF_RON_CXD_After-Sales-Oficina-Classicos-REG04-Categories_PD_300x50&amp;utm_campaign=BR_AAF_DSY_NONMS_ND_AS_2019Q2APR_AFS_After-Sales&amp;utm_term=%epid!_%ecid!_%eaid!</v>
      </c>
      <c r="AI285" s="21" t="str">
        <f t="shared" si="76"/>
        <v>TAG</v>
      </c>
      <c r="AJ285" s="15" t="str">
        <f t="shared" si="70"/>
        <v>dv360</v>
      </c>
      <c r="AK285" s="15" t="str">
        <f t="shared" si="71"/>
        <v>Programmatic</v>
      </c>
      <c r="AL285" s="21" t="str">
        <f>Campanha!$B$3</f>
        <v>BR_AAF_DSY_NONMS_ND_AS_2019Q2APR_AFS_After-Sales</v>
      </c>
      <c r="AM285" s="21" t="str">
        <f t="shared" si="77"/>
        <v>BR_VW_AFS_dv360_DIS_PROG_CPM_STD_LDR_AAF_RON_CXD_After-Sales-Oficina-Classicos-REG04-Categories_PD_300x50</v>
      </c>
      <c r="AN285" s="15" t="s">
        <v>809</v>
      </c>
    </row>
    <row r="286" spans="2:40" hidden="1" x14ac:dyDescent="0.25">
      <c r="B286" s="15" t="s">
        <v>933</v>
      </c>
      <c r="C286" s="15" t="s">
        <v>1171</v>
      </c>
      <c r="D286" s="30" t="s">
        <v>873</v>
      </c>
      <c r="E286" s="22">
        <v>44155</v>
      </c>
      <c r="F286" s="22">
        <v>44196</v>
      </c>
      <c r="G286" s="15" t="s">
        <v>674</v>
      </c>
      <c r="H286" s="15" t="s">
        <v>811</v>
      </c>
      <c r="I286" s="15" t="s">
        <v>702</v>
      </c>
      <c r="J286" s="15" t="s">
        <v>325</v>
      </c>
      <c r="K286" s="15" t="s">
        <v>334</v>
      </c>
      <c r="L286" s="15" t="s">
        <v>358</v>
      </c>
      <c r="M286" s="15" t="s">
        <v>322</v>
      </c>
      <c r="N286" s="15" t="s">
        <v>708</v>
      </c>
      <c r="O286" s="15" t="s">
        <v>694</v>
      </c>
      <c r="P286" s="15" t="s">
        <v>1043</v>
      </c>
      <c r="Q286" s="15" t="s">
        <v>843</v>
      </c>
      <c r="R286" s="15" t="s">
        <v>835</v>
      </c>
      <c r="S286" s="15" t="s">
        <v>348</v>
      </c>
      <c r="T286" s="15" t="s">
        <v>478</v>
      </c>
      <c r="AC286" s="32" t="s">
        <v>885</v>
      </c>
      <c r="AD286" s="33" t="str">
        <f t="shared" si="69"/>
        <v>289282672</v>
      </c>
      <c r="AE286" s="21" t="str">
        <f t="shared" si="72"/>
        <v>BR_VW_AFS_dv360_DIS_PROG_CPM_STD_LDR_AAF_RON_CXD_After-Sales-Oficina-Classicos-REG04-Categories_PD_300x250</v>
      </c>
      <c r="AF286" s="21" t="str">
        <f t="shared" si="73"/>
        <v>BR_VW_AFS_dv360_DIS_PROG_CPM_STD_LDR_AAF_RON_CXD_After-Sales-Oficina-Classicos-REG04-Categories_PD_300x250</v>
      </c>
      <c r="AG286" s="21" t="str">
        <f t="shared" si="74"/>
        <v>VW_After-Sales-Categories_300x250_After-Sales-Oficina-Classicos-REG04-adserver</v>
      </c>
      <c r="AH286" s="21" t="str">
        <f t="shared" si="75"/>
        <v>https://www.oficinadeclassicos.com.br/index.aspx?utm_source=dv360&amp;utm_medium=Programmatic&amp;utm_content=BR_VW_AFS_dv360_DIS_PROG_CPM_STD_LDR_AAF_RON_CXD_After-Sales-Oficina-Classicos-REG04-Categories_PD_300x250&amp;utm_campaign=BR_AAF_DSY_NONMS_ND_AS_2019Q2APR_AFS_After-Sales&amp;utm_term=%epid!_%ecid!_%eaid!</v>
      </c>
      <c r="AI286" s="21" t="str">
        <f t="shared" si="76"/>
        <v>TAG</v>
      </c>
      <c r="AJ286" s="15" t="str">
        <f t="shared" si="70"/>
        <v>dv360</v>
      </c>
      <c r="AK286" s="15" t="str">
        <f t="shared" si="71"/>
        <v>Programmatic</v>
      </c>
      <c r="AL286" s="21" t="str">
        <f>Campanha!$B$3</f>
        <v>BR_AAF_DSY_NONMS_ND_AS_2019Q2APR_AFS_After-Sales</v>
      </c>
      <c r="AM286" s="21" t="str">
        <f t="shared" si="77"/>
        <v>BR_VW_AFS_dv360_DIS_PROG_CPM_STD_LDR_AAF_RON_CXD_After-Sales-Oficina-Classicos-REG04-Categories_PD_300x250</v>
      </c>
      <c r="AN286" s="15" t="s">
        <v>809</v>
      </c>
    </row>
    <row r="287" spans="2:40" hidden="1" x14ac:dyDescent="0.25">
      <c r="B287" s="15" t="s">
        <v>933</v>
      </c>
      <c r="C287" s="15" t="s">
        <v>1172</v>
      </c>
      <c r="D287" s="30" t="s">
        <v>873</v>
      </c>
      <c r="E287" s="22">
        <v>44155</v>
      </c>
      <c r="F287" s="22">
        <v>44196</v>
      </c>
      <c r="G287" s="15" t="s">
        <v>674</v>
      </c>
      <c r="H287" s="15" t="s">
        <v>811</v>
      </c>
      <c r="I287" s="15" t="s">
        <v>702</v>
      </c>
      <c r="J287" s="15" t="s">
        <v>325</v>
      </c>
      <c r="K287" s="15" t="s">
        <v>334</v>
      </c>
      <c r="L287" s="15" t="s">
        <v>358</v>
      </c>
      <c r="M287" s="15" t="s">
        <v>322</v>
      </c>
      <c r="N287" s="15" t="s">
        <v>708</v>
      </c>
      <c r="O287" s="15" t="s">
        <v>694</v>
      </c>
      <c r="P287" s="15" t="s">
        <v>1043</v>
      </c>
      <c r="Q287" s="15" t="s">
        <v>843</v>
      </c>
      <c r="R287" s="15" t="s">
        <v>835</v>
      </c>
      <c r="S287" s="15" t="s">
        <v>348</v>
      </c>
      <c r="T287" s="15" t="s">
        <v>614</v>
      </c>
      <c r="AC287" s="32" t="s">
        <v>885</v>
      </c>
      <c r="AD287" s="33" t="str">
        <f t="shared" si="69"/>
        <v>289251006</v>
      </c>
      <c r="AE287" s="21" t="str">
        <f t="shared" si="72"/>
        <v>BR_VW_AFS_dv360_DIS_PROG_CPM_STD_LDR_AAF_RON_CXD_After-Sales-Oficina-Classicos-REG04-Categories_PD_728x90</v>
      </c>
      <c r="AF287" s="21" t="str">
        <f t="shared" si="73"/>
        <v>BR_VW_AFS_dv360_DIS_PROG_CPM_STD_LDR_AAF_RON_CXD_After-Sales-Oficina-Classicos-REG04-Categories_PD_728x90</v>
      </c>
      <c r="AG287" s="21" t="str">
        <f t="shared" si="74"/>
        <v>VW_After-Sales-Categories_728x90_After-Sales-Oficina-Classicos-REG04-adserver</v>
      </c>
      <c r="AH287" s="21" t="str">
        <f t="shared" si="75"/>
        <v>https://www.oficinadeclassicos.com.br/index.aspx?utm_source=dv360&amp;utm_medium=Programmatic&amp;utm_content=BR_VW_AFS_dv360_DIS_PROG_CPM_STD_LDR_AAF_RON_CXD_After-Sales-Oficina-Classicos-REG04-Categories_PD_728x90&amp;utm_campaign=BR_AAF_DSY_NONMS_ND_AS_2019Q2APR_AFS_After-Sales&amp;utm_term=%epid!_%ecid!_%eaid!</v>
      </c>
      <c r="AI287" s="21" t="str">
        <f t="shared" si="76"/>
        <v>TAG</v>
      </c>
      <c r="AJ287" s="15" t="str">
        <f t="shared" si="70"/>
        <v>dv360</v>
      </c>
      <c r="AK287" s="15" t="str">
        <f t="shared" si="71"/>
        <v>Programmatic</v>
      </c>
      <c r="AL287" s="21" t="str">
        <f>Campanha!$B$3</f>
        <v>BR_AAF_DSY_NONMS_ND_AS_2019Q2APR_AFS_After-Sales</v>
      </c>
      <c r="AM287" s="21" t="str">
        <f t="shared" si="77"/>
        <v>BR_VW_AFS_dv360_DIS_PROG_CPM_STD_LDR_AAF_RON_CXD_After-Sales-Oficina-Classicos-REG04-Categories_PD_728x90</v>
      </c>
      <c r="AN287" s="15" t="s">
        <v>809</v>
      </c>
    </row>
    <row r="288" spans="2:40" hidden="1" x14ac:dyDescent="0.25">
      <c r="B288" s="15" t="s">
        <v>933</v>
      </c>
      <c r="C288" s="15" t="s">
        <v>1171</v>
      </c>
      <c r="D288" s="30" t="s">
        <v>873</v>
      </c>
      <c r="E288" s="22">
        <v>44155</v>
      </c>
      <c r="F288" s="22">
        <v>44196</v>
      </c>
      <c r="G288" s="15" t="s">
        <v>674</v>
      </c>
      <c r="H288" s="15" t="s">
        <v>811</v>
      </c>
      <c r="I288" s="15" t="s">
        <v>702</v>
      </c>
      <c r="J288" s="15" t="s">
        <v>325</v>
      </c>
      <c r="K288" s="15" t="s">
        <v>334</v>
      </c>
      <c r="L288" s="15" t="s">
        <v>358</v>
      </c>
      <c r="M288" s="15" t="s">
        <v>322</v>
      </c>
      <c r="N288" s="15" t="s">
        <v>708</v>
      </c>
      <c r="O288" s="15" t="s">
        <v>694</v>
      </c>
      <c r="P288" s="15" t="s">
        <v>1043</v>
      </c>
      <c r="Q288" s="15" t="s">
        <v>843</v>
      </c>
      <c r="R288" s="15" t="s">
        <v>835</v>
      </c>
      <c r="S288" s="15" t="s">
        <v>348</v>
      </c>
      <c r="T288" s="15" t="s">
        <v>652</v>
      </c>
      <c r="AC288" s="32" t="s">
        <v>885</v>
      </c>
      <c r="AD288" s="33" t="str">
        <f t="shared" si="69"/>
        <v>289282669</v>
      </c>
      <c r="AE288" s="21" t="str">
        <f t="shared" si="72"/>
        <v>BR_VW_AFS_dv360_DIS_PROG_CPM_STD_LDR_AAF_RON_CXD_After-Sales-Oficina-Classicos-REG04-Categories_PD_970x250</v>
      </c>
      <c r="AF288" s="21" t="str">
        <f t="shared" si="73"/>
        <v>BR_VW_AFS_dv360_DIS_PROG_CPM_STD_LDR_AAF_RON_CXD_After-Sales-Oficina-Classicos-REG04-Categories_PD_970x250</v>
      </c>
      <c r="AG288" s="21" t="str">
        <f t="shared" si="74"/>
        <v>VW_After-Sales-Categories_970x250_After-Sales-Oficina-Classicos-REG04-adserver</v>
      </c>
      <c r="AH288" s="21" t="str">
        <f t="shared" si="75"/>
        <v>https://www.oficinadeclassicos.com.br/index.aspx?utm_source=dv360&amp;utm_medium=Programmatic&amp;utm_content=BR_VW_AFS_dv360_DIS_PROG_CPM_STD_LDR_AAF_RON_CXD_After-Sales-Oficina-Classicos-REG04-Categories_PD_970x250&amp;utm_campaign=BR_AAF_DSY_NONMS_ND_AS_2019Q2APR_AFS_After-Sales&amp;utm_term=%epid!_%ecid!_%eaid!</v>
      </c>
      <c r="AI288" s="21" t="str">
        <f t="shared" si="76"/>
        <v>TAG</v>
      </c>
      <c r="AJ288" s="15" t="str">
        <f t="shared" si="70"/>
        <v>dv360</v>
      </c>
      <c r="AK288" s="15" t="str">
        <f t="shared" si="71"/>
        <v>Programmatic</v>
      </c>
      <c r="AL288" s="21" t="str">
        <f>Campanha!$B$3</f>
        <v>BR_AAF_DSY_NONMS_ND_AS_2019Q2APR_AFS_After-Sales</v>
      </c>
      <c r="AM288" s="21" t="str">
        <f t="shared" si="77"/>
        <v>BR_VW_AFS_dv360_DIS_PROG_CPM_STD_LDR_AAF_RON_CXD_After-Sales-Oficina-Classicos-REG04-Categories_PD_970x250</v>
      </c>
      <c r="AN288" s="15" t="s">
        <v>809</v>
      </c>
    </row>
    <row r="289" spans="2:40" hidden="1" x14ac:dyDescent="0.25">
      <c r="B289" s="15" t="s">
        <v>933</v>
      </c>
      <c r="C289" s="15" t="s">
        <v>1171</v>
      </c>
      <c r="D289" s="30" t="s">
        <v>873</v>
      </c>
      <c r="E289" s="22">
        <v>44155</v>
      </c>
      <c r="F289" s="22">
        <v>44196</v>
      </c>
      <c r="G289" s="15" t="s">
        <v>674</v>
      </c>
      <c r="H289" s="15" t="s">
        <v>811</v>
      </c>
      <c r="I289" s="15" t="s">
        <v>702</v>
      </c>
      <c r="J289" s="15" t="s">
        <v>325</v>
      </c>
      <c r="K289" s="15" t="s">
        <v>334</v>
      </c>
      <c r="L289" s="15" t="s">
        <v>358</v>
      </c>
      <c r="M289" s="15" t="s">
        <v>322</v>
      </c>
      <c r="N289" s="15" t="s">
        <v>708</v>
      </c>
      <c r="O289" s="15" t="s">
        <v>694</v>
      </c>
      <c r="P289" s="15" t="s">
        <v>1043</v>
      </c>
      <c r="Q289" s="15" t="s">
        <v>871</v>
      </c>
      <c r="R289" s="15" t="s">
        <v>835</v>
      </c>
      <c r="S289" s="15" t="s">
        <v>348</v>
      </c>
      <c r="T289" s="15" t="s">
        <v>457</v>
      </c>
      <c r="AC289" s="32" t="s">
        <v>885</v>
      </c>
      <c r="AD289" s="33" t="str">
        <f t="shared" si="69"/>
        <v>289282666</v>
      </c>
      <c r="AE289" s="21" t="str">
        <f t="shared" si="72"/>
        <v>BR_VW_AFS_dv360_DIS_PROG_CPM_STD_LDR_AAF_RON_CXD_After-Sales-Oficina-Classicos-REG04-In-Market_PD_160x600</v>
      </c>
      <c r="AF289" s="21" t="str">
        <f t="shared" si="73"/>
        <v>BR_VW_AFS_dv360_DIS_PROG_CPM_STD_LDR_AAF_RON_CXD_After-Sales-Oficina-Classicos-REG04-In-Market_PD_160x600</v>
      </c>
      <c r="AG289" s="21" t="str">
        <f t="shared" si="74"/>
        <v>VW_After-Sales-In-Market_160x600_After-Sales-Oficina-Classicos-REG04-adserver</v>
      </c>
      <c r="AH289" s="21" t="str">
        <f t="shared" si="75"/>
        <v>https://www.oficinadeclassicos.com.br/index.aspx?utm_source=dv360&amp;utm_medium=Programmatic&amp;utm_content=BR_VW_AFS_dv360_DIS_PROG_CPM_STD_LDR_AAF_RON_CXD_After-Sales-Oficina-Classicos-REG04-In-Market_PD_160x600&amp;utm_campaign=BR_AAF_DSY_NONMS_ND_AS_2019Q2APR_AFS_After-Sales&amp;utm_term=%epid!_%ecid!_%eaid!</v>
      </c>
      <c r="AI289" s="21" t="str">
        <f t="shared" si="76"/>
        <v>TAG</v>
      </c>
      <c r="AJ289" s="15" t="str">
        <f t="shared" si="70"/>
        <v>dv360</v>
      </c>
      <c r="AK289" s="15" t="str">
        <f t="shared" si="71"/>
        <v>Programmatic</v>
      </c>
      <c r="AL289" s="21" t="str">
        <f>Campanha!$B$3</f>
        <v>BR_AAF_DSY_NONMS_ND_AS_2019Q2APR_AFS_After-Sales</v>
      </c>
      <c r="AM289" s="21" t="str">
        <f t="shared" si="77"/>
        <v>BR_VW_AFS_dv360_DIS_PROG_CPM_STD_LDR_AAF_RON_CXD_After-Sales-Oficina-Classicos-REG04-In-Market_PD_160x600</v>
      </c>
      <c r="AN289" s="15" t="s">
        <v>809</v>
      </c>
    </row>
    <row r="290" spans="2:40" hidden="1" x14ac:dyDescent="0.25">
      <c r="B290" s="15" t="s">
        <v>933</v>
      </c>
      <c r="C290" s="15" t="s">
        <v>1171</v>
      </c>
      <c r="D290" s="30" t="s">
        <v>873</v>
      </c>
      <c r="E290" s="22">
        <v>44155</v>
      </c>
      <c r="F290" s="22">
        <v>44196</v>
      </c>
      <c r="G290" s="15" t="s">
        <v>674</v>
      </c>
      <c r="H290" s="15" t="s">
        <v>811</v>
      </c>
      <c r="I290" s="15" t="s">
        <v>702</v>
      </c>
      <c r="J290" s="15" t="s">
        <v>325</v>
      </c>
      <c r="K290" s="15" t="s">
        <v>334</v>
      </c>
      <c r="L290" s="15" t="s">
        <v>358</v>
      </c>
      <c r="M290" s="15" t="s">
        <v>322</v>
      </c>
      <c r="N290" s="15" t="s">
        <v>708</v>
      </c>
      <c r="O290" s="15" t="s">
        <v>694</v>
      </c>
      <c r="P290" s="15" t="s">
        <v>1043</v>
      </c>
      <c r="Q290" s="15" t="s">
        <v>871</v>
      </c>
      <c r="R290" s="15" t="s">
        <v>835</v>
      </c>
      <c r="S290" s="15" t="s">
        <v>348</v>
      </c>
      <c r="T290" s="15" t="s">
        <v>484</v>
      </c>
      <c r="AC290" s="32" t="s">
        <v>885</v>
      </c>
      <c r="AD290" s="33" t="str">
        <f t="shared" si="69"/>
        <v>289282663</v>
      </c>
      <c r="AE290" s="21" t="str">
        <f t="shared" si="72"/>
        <v>BR_VW_AFS_dv360_DIS_PROG_CPM_STD_LDR_AAF_RON_CXD_After-Sales-Oficina-Classicos-REG04-In-Market_PD_300x50</v>
      </c>
      <c r="AF290" s="21" t="str">
        <f t="shared" si="73"/>
        <v>BR_VW_AFS_dv360_DIS_PROG_CPM_STD_LDR_AAF_RON_CXD_After-Sales-Oficina-Classicos-REG04-In-Market_PD_300x50</v>
      </c>
      <c r="AG290" s="21" t="str">
        <f t="shared" si="74"/>
        <v>VW_After-Sales-In-Market_300x50_After-Sales-Oficina-Classicos-REG04-adserver</v>
      </c>
      <c r="AH290" s="21" t="str">
        <f t="shared" si="75"/>
        <v>https://www.oficinadeclassicos.com.br/index.aspx?utm_source=dv360&amp;utm_medium=Programmatic&amp;utm_content=BR_VW_AFS_dv360_DIS_PROG_CPM_STD_LDR_AAF_RON_CXD_After-Sales-Oficina-Classicos-REG04-In-Market_PD_300x50&amp;utm_campaign=BR_AAF_DSY_NONMS_ND_AS_2019Q2APR_AFS_After-Sales&amp;utm_term=%epid!_%ecid!_%eaid!</v>
      </c>
      <c r="AI290" s="21" t="str">
        <f t="shared" si="76"/>
        <v>TAG</v>
      </c>
      <c r="AJ290" s="15" t="str">
        <f t="shared" si="70"/>
        <v>dv360</v>
      </c>
      <c r="AK290" s="15" t="str">
        <f t="shared" si="71"/>
        <v>Programmatic</v>
      </c>
      <c r="AL290" s="21" t="str">
        <f>Campanha!$B$3</f>
        <v>BR_AAF_DSY_NONMS_ND_AS_2019Q2APR_AFS_After-Sales</v>
      </c>
      <c r="AM290" s="21" t="str">
        <f t="shared" si="77"/>
        <v>BR_VW_AFS_dv360_DIS_PROG_CPM_STD_LDR_AAF_RON_CXD_After-Sales-Oficina-Classicos-REG04-In-Market_PD_300x50</v>
      </c>
      <c r="AN290" s="15" t="s">
        <v>809</v>
      </c>
    </row>
    <row r="291" spans="2:40" hidden="1" x14ac:dyDescent="0.25">
      <c r="B291" s="15" t="s">
        <v>933</v>
      </c>
      <c r="C291" s="15" t="s">
        <v>1171</v>
      </c>
      <c r="D291" s="30" t="s">
        <v>873</v>
      </c>
      <c r="E291" s="22">
        <v>44155</v>
      </c>
      <c r="F291" s="22">
        <v>44196</v>
      </c>
      <c r="G291" s="15" t="s">
        <v>674</v>
      </c>
      <c r="H291" s="15" t="s">
        <v>811</v>
      </c>
      <c r="I291" s="15" t="s">
        <v>702</v>
      </c>
      <c r="J291" s="15" t="s">
        <v>325</v>
      </c>
      <c r="K291" s="15" t="s">
        <v>334</v>
      </c>
      <c r="L291" s="15" t="s">
        <v>358</v>
      </c>
      <c r="M291" s="15" t="s">
        <v>322</v>
      </c>
      <c r="N291" s="15" t="s">
        <v>708</v>
      </c>
      <c r="O291" s="15" t="s">
        <v>694</v>
      </c>
      <c r="P291" s="15" t="s">
        <v>1043</v>
      </c>
      <c r="Q291" s="15" t="s">
        <v>871</v>
      </c>
      <c r="R291" s="15" t="s">
        <v>835</v>
      </c>
      <c r="S291" s="15" t="s">
        <v>348</v>
      </c>
      <c r="T291" s="15" t="s">
        <v>478</v>
      </c>
      <c r="AC291" s="32" t="s">
        <v>885</v>
      </c>
      <c r="AD291" s="33" t="str">
        <f t="shared" si="69"/>
        <v>289282660</v>
      </c>
      <c r="AE291" s="21" t="str">
        <f t="shared" si="72"/>
        <v>BR_VW_AFS_dv360_DIS_PROG_CPM_STD_LDR_AAF_RON_CXD_After-Sales-Oficina-Classicos-REG04-In-Market_PD_300x250</v>
      </c>
      <c r="AF291" s="21" t="str">
        <f t="shared" si="73"/>
        <v>BR_VW_AFS_dv360_DIS_PROG_CPM_STD_LDR_AAF_RON_CXD_After-Sales-Oficina-Classicos-REG04-In-Market_PD_300x250</v>
      </c>
      <c r="AG291" s="21" t="str">
        <f t="shared" si="74"/>
        <v>VW_After-Sales-In-Market_300x250_After-Sales-Oficina-Classicos-REG04-adserver</v>
      </c>
      <c r="AH291" s="21" t="str">
        <f t="shared" si="75"/>
        <v>https://www.oficinadeclassicos.com.br/index.aspx?utm_source=dv360&amp;utm_medium=Programmatic&amp;utm_content=BR_VW_AFS_dv360_DIS_PROG_CPM_STD_LDR_AAF_RON_CXD_After-Sales-Oficina-Classicos-REG04-In-Market_PD_300x250&amp;utm_campaign=BR_AAF_DSY_NONMS_ND_AS_2019Q2APR_AFS_After-Sales&amp;utm_term=%epid!_%ecid!_%eaid!</v>
      </c>
      <c r="AI291" s="21" t="str">
        <f t="shared" si="76"/>
        <v>TAG</v>
      </c>
      <c r="AJ291" s="15" t="str">
        <f t="shared" si="70"/>
        <v>dv360</v>
      </c>
      <c r="AK291" s="15" t="str">
        <f t="shared" si="71"/>
        <v>Programmatic</v>
      </c>
      <c r="AL291" s="21" t="str">
        <f>Campanha!$B$3</f>
        <v>BR_AAF_DSY_NONMS_ND_AS_2019Q2APR_AFS_After-Sales</v>
      </c>
      <c r="AM291" s="21" t="str">
        <f t="shared" si="77"/>
        <v>BR_VW_AFS_dv360_DIS_PROG_CPM_STD_LDR_AAF_RON_CXD_After-Sales-Oficina-Classicos-REG04-In-Market_PD_300x250</v>
      </c>
      <c r="AN291" s="15" t="s">
        <v>809</v>
      </c>
    </row>
    <row r="292" spans="2:40" hidden="1" x14ac:dyDescent="0.25">
      <c r="B292" s="15" t="s">
        <v>933</v>
      </c>
      <c r="C292" s="15" t="s">
        <v>1172</v>
      </c>
      <c r="D292" s="30" t="s">
        <v>873</v>
      </c>
      <c r="E292" s="22">
        <v>44155</v>
      </c>
      <c r="F292" s="22">
        <v>44196</v>
      </c>
      <c r="G292" s="15" t="s">
        <v>674</v>
      </c>
      <c r="H292" s="15" t="s">
        <v>811</v>
      </c>
      <c r="I292" s="15" t="s">
        <v>702</v>
      </c>
      <c r="J292" s="15" t="s">
        <v>325</v>
      </c>
      <c r="K292" s="15" t="s">
        <v>334</v>
      </c>
      <c r="L292" s="15" t="s">
        <v>358</v>
      </c>
      <c r="M292" s="15" t="s">
        <v>322</v>
      </c>
      <c r="N292" s="15" t="s">
        <v>708</v>
      </c>
      <c r="O292" s="15" t="s">
        <v>694</v>
      </c>
      <c r="P292" s="15" t="s">
        <v>1043</v>
      </c>
      <c r="Q292" s="15" t="s">
        <v>871</v>
      </c>
      <c r="R292" s="15" t="s">
        <v>835</v>
      </c>
      <c r="S292" s="15" t="s">
        <v>348</v>
      </c>
      <c r="T292" s="15" t="s">
        <v>614</v>
      </c>
      <c r="AC292" s="32" t="s">
        <v>885</v>
      </c>
      <c r="AD292" s="33" t="str">
        <f t="shared" si="69"/>
        <v>289251003</v>
      </c>
      <c r="AE292" s="21" t="str">
        <f t="shared" si="72"/>
        <v>BR_VW_AFS_dv360_DIS_PROG_CPM_STD_LDR_AAF_RON_CXD_After-Sales-Oficina-Classicos-REG04-In-Market_PD_728x90</v>
      </c>
      <c r="AF292" s="21" t="str">
        <f t="shared" si="73"/>
        <v>BR_VW_AFS_dv360_DIS_PROG_CPM_STD_LDR_AAF_RON_CXD_After-Sales-Oficina-Classicos-REG04-In-Market_PD_728x90</v>
      </c>
      <c r="AG292" s="21" t="str">
        <f t="shared" si="74"/>
        <v>VW_After-Sales-In-Market_728x90_After-Sales-Oficina-Classicos-REG04-adserver</v>
      </c>
      <c r="AH292" s="21" t="str">
        <f t="shared" si="75"/>
        <v>https://www.oficinadeclassicos.com.br/index.aspx?utm_source=dv360&amp;utm_medium=Programmatic&amp;utm_content=BR_VW_AFS_dv360_DIS_PROG_CPM_STD_LDR_AAF_RON_CXD_After-Sales-Oficina-Classicos-REG04-In-Market_PD_728x90&amp;utm_campaign=BR_AAF_DSY_NONMS_ND_AS_2019Q2APR_AFS_After-Sales&amp;utm_term=%epid!_%ecid!_%eaid!</v>
      </c>
      <c r="AI292" s="21" t="str">
        <f t="shared" si="76"/>
        <v>TAG</v>
      </c>
      <c r="AJ292" s="15" t="str">
        <f t="shared" si="70"/>
        <v>dv360</v>
      </c>
      <c r="AK292" s="15" t="str">
        <f t="shared" si="71"/>
        <v>Programmatic</v>
      </c>
      <c r="AL292" s="21" t="str">
        <f>Campanha!$B$3</f>
        <v>BR_AAF_DSY_NONMS_ND_AS_2019Q2APR_AFS_After-Sales</v>
      </c>
      <c r="AM292" s="21" t="str">
        <f t="shared" si="77"/>
        <v>BR_VW_AFS_dv360_DIS_PROG_CPM_STD_LDR_AAF_RON_CXD_After-Sales-Oficina-Classicos-REG04-In-Market_PD_728x90</v>
      </c>
      <c r="AN292" s="15" t="s">
        <v>809</v>
      </c>
    </row>
    <row r="293" spans="2:40" hidden="1" x14ac:dyDescent="0.25">
      <c r="B293" s="15" t="s">
        <v>933</v>
      </c>
      <c r="C293" s="15" t="s">
        <v>1171</v>
      </c>
      <c r="D293" s="30" t="s">
        <v>873</v>
      </c>
      <c r="E293" s="22">
        <v>44155</v>
      </c>
      <c r="F293" s="22">
        <v>44196</v>
      </c>
      <c r="G293" s="15" t="s">
        <v>674</v>
      </c>
      <c r="H293" s="15" t="s">
        <v>811</v>
      </c>
      <c r="I293" s="15" t="s">
        <v>702</v>
      </c>
      <c r="J293" s="15" t="s">
        <v>325</v>
      </c>
      <c r="K293" s="15" t="s">
        <v>334</v>
      </c>
      <c r="L293" s="15" t="s">
        <v>358</v>
      </c>
      <c r="M293" s="15" t="s">
        <v>322</v>
      </c>
      <c r="N293" s="15" t="s">
        <v>708</v>
      </c>
      <c r="O293" s="15" t="s">
        <v>694</v>
      </c>
      <c r="P293" s="15" t="s">
        <v>1043</v>
      </c>
      <c r="Q293" s="15" t="s">
        <v>871</v>
      </c>
      <c r="R293" s="15" t="s">
        <v>835</v>
      </c>
      <c r="S293" s="15" t="s">
        <v>348</v>
      </c>
      <c r="T293" s="15" t="s">
        <v>652</v>
      </c>
      <c r="AC293" s="32" t="s">
        <v>885</v>
      </c>
      <c r="AD293" s="33" t="str">
        <f t="shared" si="69"/>
        <v>289282657</v>
      </c>
      <c r="AE293" s="21" t="str">
        <f t="shared" si="72"/>
        <v>BR_VW_AFS_dv360_DIS_PROG_CPM_STD_LDR_AAF_RON_CXD_After-Sales-Oficina-Classicos-REG04-In-Market_PD_970x250</v>
      </c>
      <c r="AF293" s="21" t="str">
        <f t="shared" si="73"/>
        <v>BR_VW_AFS_dv360_DIS_PROG_CPM_STD_LDR_AAF_RON_CXD_After-Sales-Oficina-Classicos-REG04-In-Market_PD_970x250</v>
      </c>
      <c r="AG293" s="21" t="str">
        <f t="shared" si="74"/>
        <v>VW_After-Sales-In-Market_970x250_After-Sales-Oficina-Classicos-REG04-adserver</v>
      </c>
      <c r="AH293" s="21" t="str">
        <f t="shared" si="75"/>
        <v>https://www.oficinadeclassicos.com.br/index.aspx?utm_source=dv360&amp;utm_medium=Programmatic&amp;utm_content=BR_VW_AFS_dv360_DIS_PROG_CPM_STD_LDR_AAF_RON_CXD_After-Sales-Oficina-Classicos-REG04-In-Market_PD_970x250&amp;utm_campaign=BR_AAF_DSY_NONMS_ND_AS_2019Q2APR_AFS_After-Sales&amp;utm_term=%epid!_%ecid!_%eaid!</v>
      </c>
      <c r="AI293" s="21" t="str">
        <f t="shared" si="76"/>
        <v>TAG</v>
      </c>
      <c r="AJ293" s="15" t="str">
        <f t="shared" si="70"/>
        <v>dv360</v>
      </c>
      <c r="AK293" s="15" t="str">
        <f t="shared" si="71"/>
        <v>Programmatic</v>
      </c>
      <c r="AL293" s="21" t="str">
        <f>Campanha!$B$3</f>
        <v>BR_AAF_DSY_NONMS_ND_AS_2019Q2APR_AFS_After-Sales</v>
      </c>
      <c r="AM293" s="21" t="str">
        <f t="shared" si="77"/>
        <v>BR_VW_AFS_dv360_DIS_PROG_CPM_STD_LDR_AAF_RON_CXD_After-Sales-Oficina-Classicos-REG04-In-Market_PD_970x250</v>
      </c>
      <c r="AN293" s="15" t="s">
        <v>809</v>
      </c>
    </row>
    <row r="294" spans="2:40" hidden="1" x14ac:dyDescent="0.25">
      <c r="B294" s="15" t="s">
        <v>933</v>
      </c>
      <c r="C294" s="15" t="s">
        <v>1171</v>
      </c>
      <c r="D294" s="30" t="s">
        <v>873</v>
      </c>
      <c r="E294" s="22">
        <v>44155</v>
      </c>
      <c r="F294" s="22">
        <v>44196</v>
      </c>
      <c r="G294" s="15" t="s">
        <v>674</v>
      </c>
      <c r="H294" s="15" t="s">
        <v>811</v>
      </c>
      <c r="I294" s="15" t="s">
        <v>702</v>
      </c>
      <c r="J294" s="15" t="s">
        <v>325</v>
      </c>
      <c r="K294" s="15" t="s">
        <v>334</v>
      </c>
      <c r="L294" s="15" t="s">
        <v>358</v>
      </c>
      <c r="M294" s="15" t="s">
        <v>322</v>
      </c>
      <c r="N294" s="15" t="s">
        <v>708</v>
      </c>
      <c r="O294" s="15" t="s">
        <v>694</v>
      </c>
      <c r="P294" s="15" t="s">
        <v>1043</v>
      </c>
      <c r="Q294" s="15" t="s">
        <v>1039</v>
      </c>
      <c r="R294" s="15" t="s">
        <v>835</v>
      </c>
      <c r="S294" s="15" t="s">
        <v>348</v>
      </c>
      <c r="T294" s="15" t="s">
        <v>457</v>
      </c>
      <c r="AC294" s="32" t="s">
        <v>885</v>
      </c>
      <c r="AD294" s="33" t="str">
        <f t="shared" si="69"/>
        <v>289282654</v>
      </c>
      <c r="AE294" s="21" t="str">
        <f t="shared" si="72"/>
        <v>BR_VW_AFS_dv360_DIS_PROG_CPM_STD_LDR_AAF_RON_CXD_After-Sales-Oficina-Classicos-REG04-3rdparty_PD_160x600</v>
      </c>
      <c r="AF294" s="21" t="str">
        <f t="shared" si="73"/>
        <v>BR_VW_AFS_dv360_DIS_PROG_CPM_STD_LDR_AAF_RON_CXD_After-Sales-Oficina-Classicos-REG04-3rdparty_PD_160x600</v>
      </c>
      <c r="AG294" s="21" t="str">
        <f t="shared" si="74"/>
        <v>VW_After-Sales-3rdparty_160x600_After-Sales-Oficina-Classicos-REG04-adserver</v>
      </c>
      <c r="AH294" s="21" t="str">
        <f t="shared" si="75"/>
        <v>https://www.oficinadeclassicos.com.br/index.aspx?utm_source=dv360&amp;utm_medium=Programmatic&amp;utm_content=BR_VW_AFS_dv360_DIS_PROG_CPM_STD_LDR_AAF_RON_CXD_After-Sales-Oficina-Classicos-REG04-3rdparty_PD_160x600&amp;utm_campaign=BR_AAF_DSY_NONMS_ND_AS_2019Q2APR_AFS_After-Sales&amp;utm_term=%epid!_%ecid!_%eaid!</v>
      </c>
      <c r="AI294" s="21" t="str">
        <f t="shared" si="76"/>
        <v>TAG</v>
      </c>
      <c r="AJ294" s="15" t="str">
        <f t="shared" si="70"/>
        <v>dv360</v>
      </c>
      <c r="AK294" s="15" t="str">
        <f t="shared" si="71"/>
        <v>Programmatic</v>
      </c>
      <c r="AL294" s="21" t="str">
        <f>Campanha!$B$3</f>
        <v>BR_AAF_DSY_NONMS_ND_AS_2019Q2APR_AFS_After-Sales</v>
      </c>
      <c r="AM294" s="21" t="str">
        <f t="shared" si="77"/>
        <v>BR_VW_AFS_dv360_DIS_PROG_CPM_STD_LDR_AAF_RON_CXD_After-Sales-Oficina-Classicos-REG04-3rdparty_PD_160x600</v>
      </c>
      <c r="AN294" s="15" t="s">
        <v>809</v>
      </c>
    </row>
    <row r="295" spans="2:40" hidden="1" x14ac:dyDescent="0.25">
      <c r="B295" s="15" t="s">
        <v>933</v>
      </c>
      <c r="C295" s="15" t="s">
        <v>1171</v>
      </c>
      <c r="D295" s="30" t="s">
        <v>873</v>
      </c>
      <c r="E295" s="22">
        <v>44155</v>
      </c>
      <c r="F295" s="22">
        <v>44196</v>
      </c>
      <c r="G295" s="15" t="s">
        <v>674</v>
      </c>
      <c r="H295" s="15" t="s">
        <v>811</v>
      </c>
      <c r="I295" s="15" t="s">
        <v>702</v>
      </c>
      <c r="J295" s="15" t="s">
        <v>325</v>
      </c>
      <c r="K295" s="15" t="s">
        <v>334</v>
      </c>
      <c r="L295" s="15" t="s">
        <v>358</v>
      </c>
      <c r="M295" s="15" t="s">
        <v>322</v>
      </c>
      <c r="N295" s="15" t="s">
        <v>708</v>
      </c>
      <c r="O295" s="15" t="s">
        <v>694</v>
      </c>
      <c r="P295" s="15" t="s">
        <v>1043</v>
      </c>
      <c r="Q295" s="15" t="s">
        <v>1039</v>
      </c>
      <c r="R295" s="15" t="s">
        <v>835</v>
      </c>
      <c r="S295" s="15" t="s">
        <v>348</v>
      </c>
      <c r="T295" s="15" t="s">
        <v>484</v>
      </c>
      <c r="AC295" s="32" t="s">
        <v>885</v>
      </c>
      <c r="AD295" s="33" t="str">
        <f t="shared" si="69"/>
        <v>289282651</v>
      </c>
      <c r="AE295" s="21" t="str">
        <f t="shared" si="72"/>
        <v>BR_VW_AFS_dv360_DIS_PROG_CPM_STD_LDR_AAF_RON_CXD_After-Sales-Oficina-Classicos-REG04-3rdparty_PD_300x50</v>
      </c>
      <c r="AF295" s="21" t="str">
        <f t="shared" si="73"/>
        <v>BR_VW_AFS_dv360_DIS_PROG_CPM_STD_LDR_AAF_RON_CXD_After-Sales-Oficina-Classicos-REG04-3rdparty_PD_300x50</v>
      </c>
      <c r="AG295" s="21" t="str">
        <f t="shared" si="74"/>
        <v>VW_After-Sales-3rdparty_300x50_After-Sales-Oficina-Classicos-REG04-adserver</v>
      </c>
      <c r="AH295" s="21" t="str">
        <f t="shared" si="75"/>
        <v>https://www.oficinadeclassicos.com.br/index.aspx?utm_source=dv360&amp;utm_medium=Programmatic&amp;utm_content=BR_VW_AFS_dv360_DIS_PROG_CPM_STD_LDR_AAF_RON_CXD_After-Sales-Oficina-Classicos-REG04-3rdparty_PD_300x50&amp;utm_campaign=BR_AAF_DSY_NONMS_ND_AS_2019Q2APR_AFS_After-Sales&amp;utm_term=%epid!_%ecid!_%eaid!</v>
      </c>
      <c r="AI295" s="21" t="str">
        <f t="shared" si="76"/>
        <v>TAG</v>
      </c>
      <c r="AJ295" s="15" t="str">
        <f t="shared" si="70"/>
        <v>dv360</v>
      </c>
      <c r="AK295" s="15" t="str">
        <f t="shared" si="71"/>
        <v>Programmatic</v>
      </c>
      <c r="AL295" s="21" t="str">
        <f>Campanha!$B$3</f>
        <v>BR_AAF_DSY_NONMS_ND_AS_2019Q2APR_AFS_After-Sales</v>
      </c>
      <c r="AM295" s="21" t="str">
        <f t="shared" si="77"/>
        <v>BR_VW_AFS_dv360_DIS_PROG_CPM_STD_LDR_AAF_RON_CXD_After-Sales-Oficina-Classicos-REG04-3rdparty_PD_300x50</v>
      </c>
      <c r="AN295" s="15" t="s">
        <v>809</v>
      </c>
    </row>
    <row r="296" spans="2:40" hidden="1" x14ac:dyDescent="0.25">
      <c r="B296" s="15" t="s">
        <v>933</v>
      </c>
      <c r="C296" s="15" t="s">
        <v>1171</v>
      </c>
      <c r="D296" s="30" t="s">
        <v>873</v>
      </c>
      <c r="E296" s="22">
        <v>44155</v>
      </c>
      <c r="F296" s="22">
        <v>44196</v>
      </c>
      <c r="G296" s="15" t="s">
        <v>674</v>
      </c>
      <c r="H296" s="15" t="s">
        <v>811</v>
      </c>
      <c r="I296" s="15" t="s">
        <v>702</v>
      </c>
      <c r="J296" s="15" t="s">
        <v>325</v>
      </c>
      <c r="K296" s="15" t="s">
        <v>334</v>
      </c>
      <c r="L296" s="15" t="s">
        <v>358</v>
      </c>
      <c r="M296" s="15" t="s">
        <v>322</v>
      </c>
      <c r="N296" s="15" t="s">
        <v>708</v>
      </c>
      <c r="O296" s="15" t="s">
        <v>694</v>
      </c>
      <c r="P296" s="15" t="s">
        <v>1043</v>
      </c>
      <c r="Q296" s="15" t="s">
        <v>1039</v>
      </c>
      <c r="R296" s="15" t="s">
        <v>835</v>
      </c>
      <c r="S296" s="15" t="s">
        <v>348</v>
      </c>
      <c r="T296" s="15" t="s">
        <v>478</v>
      </c>
      <c r="AC296" s="32" t="s">
        <v>885</v>
      </c>
      <c r="AD296" s="33" t="str">
        <f t="shared" si="69"/>
        <v>289282648</v>
      </c>
      <c r="AE296" s="21" t="str">
        <f t="shared" si="72"/>
        <v>BR_VW_AFS_dv360_DIS_PROG_CPM_STD_LDR_AAF_RON_CXD_After-Sales-Oficina-Classicos-REG04-3rdparty_PD_300x250</v>
      </c>
      <c r="AF296" s="21" t="str">
        <f t="shared" si="73"/>
        <v>BR_VW_AFS_dv360_DIS_PROG_CPM_STD_LDR_AAF_RON_CXD_After-Sales-Oficina-Classicos-REG04-3rdparty_PD_300x250</v>
      </c>
      <c r="AG296" s="21" t="str">
        <f t="shared" si="74"/>
        <v>VW_After-Sales-3rdparty_300x250_After-Sales-Oficina-Classicos-REG04-adserver</v>
      </c>
      <c r="AH296" s="21" t="str">
        <f t="shared" si="75"/>
        <v>https://www.oficinadeclassicos.com.br/index.aspx?utm_source=dv360&amp;utm_medium=Programmatic&amp;utm_content=BR_VW_AFS_dv360_DIS_PROG_CPM_STD_LDR_AAF_RON_CXD_After-Sales-Oficina-Classicos-REG04-3rdparty_PD_300x250&amp;utm_campaign=BR_AAF_DSY_NONMS_ND_AS_2019Q2APR_AFS_After-Sales&amp;utm_term=%epid!_%ecid!_%eaid!</v>
      </c>
      <c r="AI296" s="21" t="str">
        <f t="shared" si="76"/>
        <v>TAG</v>
      </c>
      <c r="AJ296" s="15" t="str">
        <f t="shared" si="70"/>
        <v>dv360</v>
      </c>
      <c r="AK296" s="15" t="str">
        <f t="shared" si="71"/>
        <v>Programmatic</v>
      </c>
      <c r="AL296" s="21" t="str">
        <f>Campanha!$B$3</f>
        <v>BR_AAF_DSY_NONMS_ND_AS_2019Q2APR_AFS_After-Sales</v>
      </c>
      <c r="AM296" s="21" t="str">
        <f t="shared" si="77"/>
        <v>BR_VW_AFS_dv360_DIS_PROG_CPM_STD_LDR_AAF_RON_CXD_After-Sales-Oficina-Classicos-REG04-3rdparty_PD_300x250</v>
      </c>
      <c r="AN296" s="15" t="s">
        <v>809</v>
      </c>
    </row>
    <row r="297" spans="2:40" hidden="1" x14ac:dyDescent="0.25">
      <c r="B297" s="15" t="s">
        <v>933</v>
      </c>
      <c r="C297" s="15" t="s">
        <v>1172</v>
      </c>
      <c r="D297" s="30" t="s">
        <v>873</v>
      </c>
      <c r="E297" s="22">
        <v>44155</v>
      </c>
      <c r="F297" s="22">
        <v>44196</v>
      </c>
      <c r="G297" s="15" t="s">
        <v>674</v>
      </c>
      <c r="H297" s="15" t="s">
        <v>811</v>
      </c>
      <c r="I297" s="15" t="s">
        <v>702</v>
      </c>
      <c r="J297" s="15" t="s">
        <v>325</v>
      </c>
      <c r="K297" s="15" t="s">
        <v>334</v>
      </c>
      <c r="L297" s="15" t="s">
        <v>358</v>
      </c>
      <c r="M297" s="15" t="s">
        <v>322</v>
      </c>
      <c r="N297" s="15" t="s">
        <v>708</v>
      </c>
      <c r="O297" s="15" t="s">
        <v>694</v>
      </c>
      <c r="P297" s="15" t="s">
        <v>1043</v>
      </c>
      <c r="Q297" s="15" t="s">
        <v>1039</v>
      </c>
      <c r="R297" s="15" t="s">
        <v>835</v>
      </c>
      <c r="S297" s="15" t="s">
        <v>348</v>
      </c>
      <c r="T297" s="15" t="s">
        <v>614</v>
      </c>
      <c r="AC297" s="32" t="s">
        <v>885</v>
      </c>
      <c r="AD297" s="33" t="str">
        <f t="shared" si="69"/>
        <v>289251000</v>
      </c>
      <c r="AE297" s="21" t="str">
        <f t="shared" si="72"/>
        <v>BR_VW_AFS_dv360_DIS_PROG_CPM_STD_LDR_AAF_RON_CXD_After-Sales-Oficina-Classicos-REG04-3rdparty_PD_728x90</v>
      </c>
      <c r="AF297" s="21" t="str">
        <f t="shared" si="73"/>
        <v>BR_VW_AFS_dv360_DIS_PROG_CPM_STD_LDR_AAF_RON_CXD_After-Sales-Oficina-Classicos-REG04-3rdparty_PD_728x90</v>
      </c>
      <c r="AG297" s="21" t="str">
        <f t="shared" si="74"/>
        <v>VW_After-Sales-3rdparty_728x90_After-Sales-Oficina-Classicos-REG04-adserver</v>
      </c>
      <c r="AH297" s="21" t="str">
        <f t="shared" si="75"/>
        <v>https://www.oficinadeclassicos.com.br/index.aspx?utm_source=dv360&amp;utm_medium=Programmatic&amp;utm_content=BR_VW_AFS_dv360_DIS_PROG_CPM_STD_LDR_AAF_RON_CXD_After-Sales-Oficina-Classicos-REG04-3rdparty_PD_728x90&amp;utm_campaign=BR_AAF_DSY_NONMS_ND_AS_2019Q2APR_AFS_After-Sales&amp;utm_term=%epid!_%ecid!_%eaid!</v>
      </c>
      <c r="AI297" s="21" t="str">
        <f t="shared" si="76"/>
        <v>TAG</v>
      </c>
      <c r="AJ297" s="15" t="str">
        <f t="shared" si="70"/>
        <v>dv360</v>
      </c>
      <c r="AK297" s="15" t="str">
        <f t="shared" si="71"/>
        <v>Programmatic</v>
      </c>
      <c r="AL297" s="21" t="str">
        <f>Campanha!$B$3</f>
        <v>BR_AAF_DSY_NONMS_ND_AS_2019Q2APR_AFS_After-Sales</v>
      </c>
      <c r="AM297" s="21" t="str">
        <f t="shared" si="77"/>
        <v>BR_VW_AFS_dv360_DIS_PROG_CPM_STD_LDR_AAF_RON_CXD_After-Sales-Oficina-Classicos-REG04-3rdparty_PD_728x90</v>
      </c>
      <c r="AN297" s="15" t="s">
        <v>809</v>
      </c>
    </row>
    <row r="298" spans="2:40" hidden="1" x14ac:dyDescent="0.25">
      <c r="B298" s="15" t="s">
        <v>933</v>
      </c>
      <c r="C298" s="15" t="s">
        <v>1171</v>
      </c>
      <c r="D298" s="30" t="s">
        <v>873</v>
      </c>
      <c r="E298" s="22">
        <v>44155</v>
      </c>
      <c r="F298" s="22">
        <v>44196</v>
      </c>
      <c r="G298" s="15" t="s">
        <v>674</v>
      </c>
      <c r="H298" s="15" t="s">
        <v>811</v>
      </c>
      <c r="I298" s="15" t="s">
        <v>702</v>
      </c>
      <c r="J298" s="15" t="s">
        <v>325</v>
      </c>
      <c r="K298" s="15" t="s">
        <v>334</v>
      </c>
      <c r="L298" s="15" t="s">
        <v>358</v>
      </c>
      <c r="M298" s="15" t="s">
        <v>322</v>
      </c>
      <c r="N298" s="15" t="s">
        <v>708</v>
      </c>
      <c r="O298" s="15" t="s">
        <v>694</v>
      </c>
      <c r="P298" s="15" t="s">
        <v>1043</v>
      </c>
      <c r="Q298" s="15" t="s">
        <v>1039</v>
      </c>
      <c r="R298" s="15" t="s">
        <v>835</v>
      </c>
      <c r="S298" s="15" t="s">
        <v>348</v>
      </c>
      <c r="T298" s="15" t="s">
        <v>652</v>
      </c>
      <c r="AC298" s="32" t="s">
        <v>885</v>
      </c>
      <c r="AD298" s="33" t="str">
        <f t="shared" si="69"/>
        <v>289282645</v>
      </c>
      <c r="AE298" s="21" t="str">
        <f t="shared" si="72"/>
        <v>BR_VW_AFS_dv360_DIS_PROG_CPM_STD_LDR_AAF_RON_CXD_After-Sales-Oficina-Classicos-REG04-3rdparty_PD_970x250</v>
      </c>
      <c r="AF298" s="21" t="str">
        <f t="shared" si="73"/>
        <v>BR_VW_AFS_dv360_DIS_PROG_CPM_STD_LDR_AAF_RON_CXD_After-Sales-Oficina-Classicos-REG04-3rdparty_PD_970x250</v>
      </c>
      <c r="AG298" s="21" t="str">
        <f t="shared" si="74"/>
        <v>VW_After-Sales-3rdparty_970x250_After-Sales-Oficina-Classicos-REG04-adserver</v>
      </c>
      <c r="AH298" s="21" t="str">
        <f t="shared" si="75"/>
        <v>https://www.oficinadeclassicos.com.br/index.aspx?utm_source=dv360&amp;utm_medium=Programmatic&amp;utm_content=BR_VW_AFS_dv360_DIS_PROG_CPM_STD_LDR_AAF_RON_CXD_After-Sales-Oficina-Classicos-REG04-3rdparty_PD_970x250&amp;utm_campaign=BR_AAF_DSY_NONMS_ND_AS_2019Q2APR_AFS_After-Sales&amp;utm_term=%epid!_%ecid!_%eaid!</v>
      </c>
      <c r="AI298" s="21" t="str">
        <f t="shared" si="76"/>
        <v>TAG</v>
      </c>
      <c r="AJ298" s="15" t="str">
        <f t="shared" si="70"/>
        <v>dv360</v>
      </c>
      <c r="AK298" s="15" t="str">
        <f t="shared" si="71"/>
        <v>Programmatic</v>
      </c>
      <c r="AL298" s="21" t="str">
        <f>Campanha!$B$3</f>
        <v>BR_AAF_DSY_NONMS_ND_AS_2019Q2APR_AFS_After-Sales</v>
      </c>
      <c r="AM298" s="21" t="str">
        <f t="shared" si="77"/>
        <v>BR_VW_AFS_dv360_DIS_PROG_CPM_STD_LDR_AAF_RON_CXD_After-Sales-Oficina-Classicos-REG04-3rdparty_PD_970x250</v>
      </c>
      <c r="AN298" s="15" t="s">
        <v>809</v>
      </c>
    </row>
    <row r="299" spans="2:40" hidden="1" x14ac:dyDescent="0.25">
      <c r="B299" s="15" t="s">
        <v>872</v>
      </c>
      <c r="C299" s="15"/>
      <c r="D299" s="30" t="s">
        <v>873</v>
      </c>
      <c r="E299" s="22">
        <v>44155</v>
      </c>
      <c r="F299" s="22">
        <v>44196</v>
      </c>
      <c r="G299" s="15" t="s">
        <v>674</v>
      </c>
      <c r="H299" s="15" t="s">
        <v>811</v>
      </c>
      <c r="I299" s="15" t="s">
        <v>702</v>
      </c>
      <c r="J299" s="15" t="s">
        <v>325</v>
      </c>
      <c r="K299" s="15" t="s">
        <v>334</v>
      </c>
      <c r="L299" s="15" t="s">
        <v>358</v>
      </c>
      <c r="M299" s="15" t="s">
        <v>322</v>
      </c>
      <c r="N299" s="15" t="s">
        <v>708</v>
      </c>
      <c r="O299" s="15" t="s">
        <v>694</v>
      </c>
      <c r="P299" s="15" t="s">
        <v>1043</v>
      </c>
      <c r="Q299" s="15" t="s">
        <v>889</v>
      </c>
      <c r="R299" s="15" t="s">
        <v>835</v>
      </c>
      <c r="S299" s="15" t="s">
        <v>348</v>
      </c>
      <c r="T299" s="15" t="s">
        <v>457</v>
      </c>
      <c r="AC299" s="32" t="s">
        <v>885</v>
      </c>
      <c r="AD299" s="33" t="e">
        <f t="shared" si="69"/>
        <v>#N/A</v>
      </c>
      <c r="AE299" s="21" t="str">
        <f t="shared" si="72"/>
        <v>BR_VW_AFS_dv360_DIS_PROG_CPM_STD_LDR_AAF_RON_CXD_After-Sales-Oficina-Classicos-REG04-lal-lead-ofertas_PD_160x600</v>
      </c>
      <c r="AF299" s="21" t="str">
        <f t="shared" si="73"/>
        <v>BR_VW_AFS_dv360_DIS_PROG_CPM_STD_LDR_AAF_RON_CXD_After-Sales-Oficina-Classicos-REG04-lal-lead-ofertas_PD_160x600</v>
      </c>
      <c r="AG299" s="21" t="str">
        <f t="shared" si="74"/>
        <v>VW_After-Sales-lal-lead-ofertas_160x600_After-Sales-Oficina-Classicos-REG04-adserver</v>
      </c>
      <c r="AH299" s="21" t="str">
        <f t="shared" si="75"/>
        <v>https://www.oficinadeclassicos.com.br/index.aspx?utm_source=dv360&amp;utm_medium=Programmatic&amp;utm_content=BR_VW_AFS_dv360_DIS_PROG_CPM_STD_LDR_AAF_RON_CXD_After-Sales-Oficina-Classicos-REG04-lal-lead-ofertas_PD_160x600&amp;utm_campaign=BR_AAF_DSY_NONMS_ND_AS_2019Q2APR_AFS_After-Sales&amp;utm_term=%epid!_%ecid!_%eaid!</v>
      </c>
      <c r="AI299" s="21" t="str">
        <f t="shared" si="76"/>
        <v>TAG</v>
      </c>
      <c r="AJ299" s="15" t="str">
        <f t="shared" si="70"/>
        <v>dv360</v>
      </c>
      <c r="AK299" s="15" t="str">
        <f t="shared" si="71"/>
        <v>Programmatic</v>
      </c>
      <c r="AL299" s="21" t="str">
        <f>Campanha!$B$3</f>
        <v>BR_AAF_DSY_NONMS_ND_AS_2019Q2APR_AFS_After-Sales</v>
      </c>
      <c r="AM299" s="21" t="str">
        <f t="shared" si="77"/>
        <v>BR_VW_AFS_dv360_DIS_PROG_CPM_STD_LDR_AAF_RON_CXD_After-Sales-Oficina-Classicos-REG04-lal-lead-ofertas_PD_160x600</v>
      </c>
      <c r="AN299" s="15" t="s">
        <v>809</v>
      </c>
    </row>
    <row r="300" spans="2:40" hidden="1" x14ac:dyDescent="0.25">
      <c r="B300" s="15" t="s">
        <v>872</v>
      </c>
      <c r="C300" s="15"/>
      <c r="D300" s="30" t="s">
        <v>873</v>
      </c>
      <c r="E300" s="22">
        <v>44155</v>
      </c>
      <c r="F300" s="22">
        <v>44196</v>
      </c>
      <c r="G300" s="15" t="s">
        <v>674</v>
      </c>
      <c r="H300" s="15" t="s">
        <v>811</v>
      </c>
      <c r="I300" s="15" t="s">
        <v>702</v>
      </c>
      <c r="J300" s="15" t="s">
        <v>325</v>
      </c>
      <c r="K300" s="15" t="s">
        <v>334</v>
      </c>
      <c r="L300" s="15" t="s">
        <v>358</v>
      </c>
      <c r="M300" s="15" t="s">
        <v>322</v>
      </c>
      <c r="N300" s="15" t="s">
        <v>708</v>
      </c>
      <c r="O300" s="15" t="s">
        <v>694</v>
      </c>
      <c r="P300" s="15" t="s">
        <v>1043</v>
      </c>
      <c r="Q300" s="15" t="s">
        <v>889</v>
      </c>
      <c r="R300" s="15" t="s">
        <v>835</v>
      </c>
      <c r="S300" s="15" t="s">
        <v>348</v>
      </c>
      <c r="T300" s="15" t="s">
        <v>484</v>
      </c>
      <c r="AC300" s="32" t="s">
        <v>885</v>
      </c>
      <c r="AD300" s="33" t="e">
        <f t="shared" si="69"/>
        <v>#N/A</v>
      </c>
      <c r="AE300" s="21" t="str">
        <f t="shared" si="72"/>
        <v>BR_VW_AFS_dv360_DIS_PROG_CPM_STD_LDR_AAF_RON_CXD_After-Sales-Oficina-Classicos-REG04-lal-lead-ofertas_PD_300x50</v>
      </c>
      <c r="AF300" s="21" t="str">
        <f t="shared" si="73"/>
        <v>BR_VW_AFS_dv360_DIS_PROG_CPM_STD_LDR_AAF_RON_CXD_After-Sales-Oficina-Classicos-REG04-lal-lead-ofertas_PD_300x50</v>
      </c>
      <c r="AG300" s="21" t="str">
        <f t="shared" si="74"/>
        <v>VW_After-Sales-lal-lead-ofertas_300x50_After-Sales-Oficina-Classicos-REG04-adserver</v>
      </c>
      <c r="AH300" s="21" t="str">
        <f t="shared" si="75"/>
        <v>https://www.oficinadeclassicos.com.br/index.aspx?utm_source=dv360&amp;utm_medium=Programmatic&amp;utm_content=BR_VW_AFS_dv360_DIS_PROG_CPM_STD_LDR_AAF_RON_CXD_After-Sales-Oficina-Classicos-REG04-lal-lead-ofertas_PD_300x50&amp;utm_campaign=BR_AAF_DSY_NONMS_ND_AS_2019Q2APR_AFS_After-Sales&amp;utm_term=%epid!_%ecid!_%eaid!</v>
      </c>
      <c r="AI300" s="21" t="str">
        <f t="shared" si="76"/>
        <v>TAG</v>
      </c>
      <c r="AJ300" s="15" t="str">
        <f t="shared" si="70"/>
        <v>dv360</v>
      </c>
      <c r="AK300" s="15" t="str">
        <f t="shared" si="71"/>
        <v>Programmatic</v>
      </c>
      <c r="AL300" s="21" t="str">
        <f>Campanha!$B$3</f>
        <v>BR_AAF_DSY_NONMS_ND_AS_2019Q2APR_AFS_After-Sales</v>
      </c>
      <c r="AM300" s="21" t="str">
        <f t="shared" si="77"/>
        <v>BR_VW_AFS_dv360_DIS_PROG_CPM_STD_LDR_AAF_RON_CXD_After-Sales-Oficina-Classicos-REG04-lal-lead-ofertas_PD_300x50</v>
      </c>
      <c r="AN300" s="15" t="s">
        <v>809</v>
      </c>
    </row>
    <row r="301" spans="2:40" hidden="1" x14ac:dyDescent="0.25">
      <c r="B301" s="15" t="s">
        <v>872</v>
      </c>
      <c r="C301" s="15"/>
      <c r="D301" s="30" t="s">
        <v>873</v>
      </c>
      <c r="E301" s="22">
        <v>44155</v>
      </c>
      <c r="F301" s="22">
        <v>44196</v>
      </c>
      <c r="G301" s="15" t="s">
        <v>674</v>
      </c>
      <c r="H301" s="15" t="s">
        <v>811</v>
      </c>
      <c r="I301" s="15" t="s">
        <v>702</v>
      </c>
      <c r="J301" s="15" t="s">
        <v>325</v>
      </c>
      <c r="K301" s="15" t="s">
        <v>334</v>
      </c>
      <c r="L301" s="15" t="s">
        <v>358</v>
      </c>
      <c r="M301" s="15" t="s">
        <v>322</v>
      </c>
      <c r="N301" s="15" t="s">
        <v>708</v>
      </c>
      <c r="O301" s="15" t="s">
        <v>694</v>
      </c>
      <c r="P301" s="15" t="s">
        <v>1043</v>
      </c>
      <c r="Q301" s="15" t="s">
        <v>889</v>
      </c>
      <c r="R301" s="15" t="s">
        <v>835</v>
      </c>
      <c r="S301" s="15" t="s">
        <v>348</v>
      </c>
      <c r="T301" s="15" t="s">
        <v>478</v>
      </c>
      <c r="AC301" s="32" t="s">
        <v>885</v>
      </c>
      <c r="AD301" s="33" t="e">
        <f t="shared" si="69"/>
        <v>#N/A</v>
      </c>
      <c r="AE301" s="21" t="str">
        <f t="shared" si="72"/>
        <v>BR_VW_AFS_dv360_DIS_PROG_CPM_STD_LDR_AAF_RON_CXD_After-Sales-Oficina-Classicos-REG04-lal-lead-ofertas_PD_300x250</v>
      </c>
      <c r="AF301" s="21" t="str">
        <f t="shared" si="73"/>
        <v>BR_VW_AFS_dv360_DIS_PROG_CPM_STD_LDR_AAF_RON_CXD_After-Sales-Oficina-Classicos-REG04-lal-lead-ofertas_PD_300x250</v>
      </c>
      <c r="AG301" s="21" t="str">
        <f t="shared" si="74"/>
        <v>VW_After-Sales-lal-lead-ofertas_300x250_After-Sales-Oficina-Classicos-REG04-adserver</v>
      </c>
      <c r="AH301" s="21" t="str">
        <f t="shared" si="75"/>
        <v>https://www.oficinadeclassicos.com.br/index.aspx?utm_source=dv360&amp;utm_medium=Programmatic&amp;utm_content=BR_VW_AFS_dv360_DIS_PROG_CPM_STD_LDR_AAF_RON_CXD_After-Sales-Oficina-Classicos-REG04-lal-lead-ofertas_PD_300x250&amp;utm_campaign=BR_AAF_DSY_NONMS_ND_AS_2019Q2APR_AFS_After-Sales&amp;utm_term=%epid!_%ecid!_%eaid!</v>
      </c>
      <c r="AI301" s="21" t="str">
        <f t="shared" si="76"/>
        <v>TAG</v>
      </c>
      <c r="AJ301" s="15" t="str">
        <f t="shared" si="70"/>
        <v>dv360</v>
      </c>
      <c r="AK301" s="15" t="str">
        <f t="shared" si="71"/>
        <v>Programmatic</v>
      </c>
      <c r="AL301" s="21" t="str">
        <f>Campanha!$B$3</f>
        <v>BR_AAF_DSY_NONMS_ND_AS_2019Q2APR_AFS_After-Sales</v>
      </c>
      <c r="AM301" s="21" t="str">
        <f t="shared" si="77"/>
        <v>BR_VW_AFS_dv360_DIS_PROG_CPM_STD_LDR_AAF_RON_CXD_After-Sales-Oficina-Classicos-REG04-lal-lead-ofertas_PD_300x250</v>
      </c>
      <c r="AN301" s="15" t="s">
        <v>809</v>
      </c>
    </row>
    <row r="302" spans="2:40" hidden="1" x14ac:dyDescent="0.25">
      <c r="B302" s="15" t="s">
        <v>872</v>
      </c>
      <c r="C302" s="15"/>
      <c r="D302" s="30" t="s">
        <v>873</v>
      </c>
      <c r="E302" s="22">
        <v>44155</v>
      </c>
      <c r="F302" s="22">
        <v>44196</v>
      </c>
      <c r="G302" s="15" t="s">
        <v>674</v>
      </c>
      <c r="H302" s="15" t="s">
        <v>811</v>
      </c>
      <c r="I302" s="15" t="s">
        <v>702</v>
      </c>
      <c r="J302" s="15" t="s">
        <v>325</v>
      </c>
      <c r="K302" s="15" t="s">
        <v>334</v>
      </c>
      <c r="L302" s="15" t="s">
        <v>358</v>
      </c>
      <c r="M302" s="15" t="s">
        <v>322</v>
      </c>
      <c r="N302" s="15" t="s">
        <v>708</v>
      </c>
      <c r="O302" s="15" t="s">
        <v>694</v>
      </c>
      <c r="P302" s="15" t="s">
        <v>1043</v>
      </c>
      <c r="Q302" s="15" t="s">
        <v>889</v>
      </c>
      <c r="R302" s="15" t="s">
        <v>835</v>
      </c>
      <c r="S302" s="15" t="s">
        <v>348</v>
      </c>
      <c r="T302" s="15" t="s">
        <v>614</v>
      </c>
      <c r="AC302" s="32" t="s">
        <v>885</v>
      </c>
      <c r="AD302" s="33" t="e">
        <f t="shared" si="69"/>
        <v>#N/A</v>
      </c>
      <c r="AE302" s="21" t="str">
        <f t="shared" si="72"/>
        <v>BR_VW_AFS_dv360_DIS_PROG_CPM_STD_LDR_AAF_RON_CXD_After-Sales-Oficina-Classicos-REG04-lal-lead-ofertas_PD_728x90</v>
      </c>
      <c r="AF302" s="21" t="str">
        <f t="shared" si="73"/>
        <v>BR_VW_AFS_dv360_DIS_PROG_CPM_STD_LDR_AAF_RON_CXD_After-Sales-Oficina-Classicos-REG04-lal-lead-ofertas_PD_728x90</v>
      </c>
      <c r="AG302" s="21" t="str">
        <f t="shared" si="74"/>
        <v>VW_After-Sales-lal-lead-ofertas_728x90_After-Sales-Oficina-Classicos-REG04-adserver</v>
      </c>
      <c r="AH302" s="21" t="str">
        <f t="shared" si="75"/>
        <v>https://www.oficinadeclassicos.com.br/index.aspx?utm_source=dv360&amp;utm_medium=Programmatic&amp;utm_content=BR_VW_AFS_dv360_DIS_PROG_CPM_STD_LDR_AAF_RON_CXD_After-Sales-Oficina-Classicos-REG04-lal-lead-ofertas_PD_728x90&amp;utm_campaign=BR_AAF_DSY_NONMS_ND_AS_2019Q2APR_AFS_After-Sales&amp;utm_term=%epid!_%ecid!_%eaid!</v>
      </c>
      <c r="AI302" s="21" t="str">
        <f t="shared" si="76"/>
        <v>TAG</v>
      </c>
      <c r="AJ302" s="15" t="str">
        <f t="shared" si="70"/>
        <v>dv360</v>
      </c>
      <c r="AK302" s="15" t="str">
        <f t="shared" si="71"/>
        <v>Programmatic</v>
      </c>
      <c r="AL302" s="21" t="str">
        <f>Campanha!$B$3</f>
        <v>BR_AAF_DSY_NONMS_ND_AS_2019Q2APR_AFS_After-Sales</v>
      </c>
      <c r="AM302" s="21" t="str">
        <f t="shared" si="77"/>
        <v>BR_VW_AFS_dv360_DIS_PROG_CPM_STD_LDR_AAF_RON_CXD_After-Sales-Oficina-Classicos-REG04-lal-lead-ofertas_PD_728x90</v>
      </c>
      <c r="AN302" s="15" t="s">
        <v>809</v>
      </c>
    </row>
    <row r="303" spans="2:40" hidden="1" x14ac:dyDescent="0.25">
      <c r="B303" s="15" t="s">
        <v>872</v>
      </c>
      <c r="C303" s="15"/>
      <c r="D303" s="30" t="s">
        <v>873</v>
      </c>
      <c r="E303" s="22">
        <v>44155</v>
      </c>
      <c r="F303" s="22">
        <v>44196</v>
      </c>
      <c r="G303" s="15" t="s">
        <v>674</v>
      </c>
      <c r="H303" s="15" t="s">
        <v>811</v>
      </c>
      <c r="I303" s="15" t="s">
        <v>702</v>
      </c>
      <c r="J303" s="15" t="s">
        <v>325</v>
      </c>
      <c r="K303" s="15" t="s">
        <v>334</v>
      </c>
      <c r="L303" s="15" t="s">
        <v>358</v>
      </c>
      <c r="M303" s="15" t="s">
        <v>322</v>
      </c>
      <c r="N303" s="15" t="s">
        <v>708</v>
      </c>
      <c r="O303" s="15" t="s">
        <v>694</v>
      </c>
      <c r="P303" s="15" t="s">
        <v>1043</v>
      </c>
      <c r="Q303" s="15" t="s">
        <v>889</v>
      </c>
      <c r="R303" s="15" t="s">
        <v>835</v>
      </c>
      <c r="S303" s="15" t="s">
        <v>348</v>
      </c>
      <c r="T303" s="15" t="s">
        <v>652</v>
      </c>
      <c r="AC303" s="32" t="s">
        <v>885</v>
      </c>
      <c r="AD303" s="33" t="e">
        <f t="shared" si="69"/>
        <v>#N/A</v>
      </c>
      <c r="AE303" s="21" t="str">
        <f t="shared" si="72"/>
        <v>BR_VW_AFS_dv360_DIS_PROG_CPM_STD_LDR_AAF_RON_CXD_After-Sales-Oficina-Classicos-REG04-lal-lead-ofertas_PD_970x250</v>
      </c>
      <c r="AF303" s="21" t="str">
        <f t="shared" si="73"/>
        <v>BR_VW_AFS_dv360_DIS_PROG_CPM_STD_LDR_AAF_RON_CXD_After-Sales-Oficina-Classicos-REG04-lal-lead-ofertas_PD_970x250</v>
      </c>
      <c r="AG303" s="21" t="str">
        <f t="shared" si="74"/>
        <v>VW_After-Sales-lal-lead-ofertas_970x250_After-Sales-Oficina-Classicos-REG04-adserver</v>
      </c>
      <c r="AH303" s="21" t="str">
        <f t="shared" si="75"/>
        <v>https://www.oficinadeclassicos.com.br/index.aspx?utm_source=dv360&amp;utm_medium=Programmatic&amp;utm_content=BR_VW_AFS_dv360_DIS_PROG_CPM_STD_LDR_AAF_RON_CXD_After-Sales-Oficina-Classicos-REG04-lal-lead-ofertas_PD_970x250&amp;utm_campaign=BR_AAF_DSY_NONMS_ND_AS_2019Q2APR_AFS_After-Sales&amp;utm_term=%epid!_%ecid!_%eaid!</v>
      </c>
      <c r="AI303" s="21" t="str">
        <f t="shared" si="76"/>
        <v>TAG</v>
      </c>
      <c r="AJ303" s="15" t="str">
        <f t="shared" si="70"/>
        <v>dv360</v>
      </c>
      <c r="AK303" s="15" t="str">
        <f t="shared" si="71"/>
        <v>Programmatic</v>
      </c>
      <c r="AL303" s="21" t="str">
        <f>Campanha!$B$3</f>
        <v>BR_AAF_DSY_NONMS_ND_AS_2019Q2APR_AFS_After-Sales</v>
      </c>
      <c r="AM303" s="21" t="str">
        <f t="shared" si="77"/>
        <v>BR_VW_AFS_dv360_DIS_PROG_CPM_STD_LDR_AAF_RON_CXD_After-Sales-Oficina-Classicos-REG04-lal-lead-ofertas_PD_970x250</v>
      </c>
      <c r="AN303" s="15" t="s">
        <v>809</v>
      </c>
    </row>
    <row r="304" spans="2:40" hidden="1" x14ac:dyDescent="0.25">
      <c r="B304" s="15" t="s">
        <v>872</v>
      </c>
      <c r="C304" s="15"/>
      <c r="D304" s="30" t="s">
        <v>873</v>
      </c>
      <c r="E304" s="22">
        <v>44155</v>
      </c>
      <c r="F304" s="22">
        <v>44196</v>
      </c>
      <c r="G304" s="15" t="s">
        <v>674</v>
      </c>
      <c r="H304" s="15" t="s">
        <v>811</v>
      </c>
      <c r="I304" s="15" t="s">
        <v>702</v>
      </c>
      <c r="J304" s="15" t="s">
        <v>325</v>
      </c>
      <c r="K304" s="15" t="s">
        <v>334</v>
      </c>
      <c r="L304" s="15" t="s">
        <v>358</v>
      </c>
      <c r="M304" s="15" t="s">
        <v>322</v>
      </c>
      <c r="N304" s="15" t="s">
        <v>708</v>
      </c>
      <c r="O304" s="15" t="s">
        <v>694</v>
      </c>
      <c r="P304" s="15" t="s">
        <v>1043</v>
      </c>
      <c r="Q304" s="15" t="s">
        <v>876</v>
      </c>
      <c r="R304" s="15" t="s">
        <v>835</v>
      </c>
      <c r="S304" s="15" t="s">
        <v>348</v>
      </c>
      <c r="T304" s="15" t="s">
        <v>457</v>
      </c>
      <c r="AC304" s="32" t="s">
        <v>885</v>
      </c>
      <c r="AD304" s="33" t="e">
        <f t="shared" si="69"/>
        <v>#N/A</v>
      </c>
      <c r="AE304" s="21" t="str">
        <f t="shared" si="72"/>
        <v>BR_VW_AFS_dv360_DIS_PROG_CPM_STD_LDR_AAF_RON_CXD_After-Sales-Oficina-Classicos-REG04-lal-add-to-cart-ofertas_PD_160x600</v>
      </c>
      <c r="AF304" s="21" t="str">
        <f t="shared" si="73"/>
        <v>BR_VW_AFS_dv360_DIS_PROG_CPM_STD_LDR_AAF_RON_CXD_After-Sales-Oficina-Classicos-REG04-lal-add-to-cart-ofertas_PD_160x600</v>
      </c>
      <c r="AG304" s="21" t="str">
        <f t="shared" si="74"/>
        <v>VW_After-Sales-lal-add-to-cart-ofertas_160x600_After-Sales-Oficina-Classicos-REG04-adserver</v>
      </c>
      <c r="AH304" s="21" t="str">
        <f t="shared" si="75"/>
        <v>https://www.oficinadeclassicos.com.br/index.aspx?utm_source=dv360&amp;utm_medium=Programmatic&amp;utm_content=BR_VW_AFS_dv360_DIS_PROG_CPM_STD_LDR_AAF_RON_CXD_After-Sales-Oficina-Classicos-REG04-lal-add-to-cart-ofertas_PD_160x600&amp;utm_campaign=BR_AAF_DSY_NONMS_ND_AS_2019Q2APR_AFS_After-Sales&amp;utm_term=%epid!_%ecid!_%eaid!</v>
      </c>
      <c r="AI304" s="21" t="str">
        <f t="shared" si="76"/>
        <v>TAG</v>
      </c>
      <c r="AJ304" s="15" t="str">
        <f t="shared" si="70"/>
        <v>dv360</v>
      </c>
      <c r="AK304" s="15" t="str">
        <f t="shared" si="71"/>
        <v>Programmatic</v>
      </c>
      <c r="AL304" s="21" t="str">
        <f>Campanha!$B$3</f>
        <v>BR_AAF_DSY_NONMS_ND_AS_2019Q2APR_AFS_After-Sales</v>
      </c>
      <c r="AM304" s="21" t="str">
        <f t="shared" si="77"/>
        <v>BR_VW_AFS_dv360_DIS_PROG_CPM_STD_LDR_AAF_RON_CXD_After-Sales-Oficina-Classicos-REG04-lal-add-to-cart-ofertas_PD_160x600</v>
      </c>
      <c r="AN304" s="15" t="s">
        <v>809</v>
      </c>
    </row>
    <row r="305" spans="2:40" hidden="1" x14ac:dyDescent="0.25">
      <c r="B305" s="15" t="s">
        <v>872</v>
      </c>
      <c r="C305" s="15"/>
      <c r="D305" s="30" t="s">
        <v>873</v>
      </c>
      <c r="E305" s="22">
        <v>44155</v>
      </c>
      <c r="F305" s="22">
        <v>44196</v>
      </c>
      <c r="G305" s="15" t="s">
        <v>674</v>
      </c>
      <c r="H305" s="15" t="s">
        <v>811</v>
      </c>
      <c r="I305" s="15" t="s">
        <v>702</v>
      </c>
      <c r="J305" s="15" t="s">
        <v>325</v>
      </c>
      <c r="K305" s="15" t="s">
        <v>334</v>
      </c>
      <c r="L305" s="15" t="s">
        <v>358</v>
      </c>
      <c r="M305" s="15" t="s">
        <v>322</v>
      </c>
      <c r="N305" s="15" t="s">
        <v>708</v>
      </c>
      <c r="O305" s="15" t="s">
        <v>694</v>
      </c>
      <c r="P305" s="15" t="s">
        <v>1043</v>
      </c>
      <c r="Q305" s="15" t="s">
        <v>876</v>
      </c>
      <c r="R305" s="15" t="s">
        <v>835</v>
      </c>
      <c r="S305" s="15" t="s">
        <v>348</v>
      </c>
      <c r="T305" s="15" t="s">
        <v>484</v>
      </c>
      <c r="AC305" s="32" t="s">
        <v>885</v>
      </c>
      <c r="AD305" s="33" t="e">
        <f t="shared" si="69"/>
        <v>#N/A</v>
      </c>
      <c r="AE305" s="21" t="str">
        <f t="shared" si="72"/>
        <v>BR_VW_AFS_dv360_DIS_PROG_CPM_STD_LDR_AAF_RON_CXD_After-Sales-Oficina-Classicos-REG04-lal-add-to-cart-ofertas_PD_300x50</v>
      </c>
      <c r="AF305" s="21" t="str">
        <f t="shared" si="73"/>
        <v>BR_VW_AFS_dv360_DIS_PROG_CPM_STD_LDR_AAF_RON_CXD_After-Sales-Oficina-Classicos-REG04-lal-add-to-cart-ofertas_PD_300x50</v>
      </c>
      <c r="AG305" s="21" t="str">
        <f t="shared" si="74"/>
        <v>VW_After-Sales-lal-add-to-cart-ofertas_300x50_After-Sales-Oficina-Classicos-REG04-adserver</v>
      </c>
      <c r="AH305" s="21" t="str">
        <f t="shared" si="75"/>
        <v>https://www.oficinadeclassicos.com.br/index.aspx?utm_source=dv360&amp;utm_medium=Programmatic&amp;utm_content=BR_VW_AFS_dv360_DIS_PROG_CPM_STD_LDR_AAF_RON_CXD_After-Sales-Oficina-Classicos-REG04-lal-add-to-cart-ofertas_PD_300x50&amp;utm_campaign=BR_AAF_DSY_NONMS_ND_AS_2019Q2APR_AFS_After-Sales&amp;utm_term=%epid!_%ecid!_%eaid!</v>
      </c>
      <c r="AI305" s="21" t="str">
        <f t="shared" si="76"/>
        <v>TAG</v>
      </c>
      <c r="AJ305" s="15" t="str">
        <f t="shared" si="70"/>
        <v>dv360</v>
      </c>
      <c r="AK305" s="15" t="str">
        <f t="shared" si="71"/>
        <v>Programmatic</v>
      </c>
      <c r="AL305" s="21" t="str">
        <f>Campanha!$B$3</f>
        <v>BR_AAF_DSY_NONMS_ND_AS_2019Q2APR_AFS_After-Sales</v>
      </c>
      <c r="AM305" s="21" t="str">
        <f t="shared" si="77"/>
        <v>BR_VW_AFS_dv360_DIS_PROG_CPM_STD_LDR_AAF_RON_CXD_After-Sales-Oficina-Classicos-REG04-lal-add-to-cart-ofertas_PD_300x50</v>
      </c>
      <c r="AN305" s="15" t="s">
        <v>809</v>
      </c>
    </row>
    <row r="306" spans="2:40" hidden="1" x14ac:dyDescent="0.25">
      <c r="B306" s="15" t="s">
        <v>872</v>
      </c>
      <c r="C306" s="15"/>
      <c r="D306" s="30" t="s">
        <v>873</v>
      </c>
      <c r="E306" s="22">
        <v>44155</v>
      </c>
      <c r="F306" s="22">
        <v>44196</v>
      </c>
      <c r="G306" s="15" t="s">
        <v>674</v>
      </c>
      <c r="H306" s="15" t="s">
        <v>811</v>
      </c>
      <c r="I306" s="15" t="s">
        <v>702</v>
      </c>
      <c r="J306" s="15" t="s">
        <v>325</v>
      </c>
      <c r="K306" s="15" t="s">
        <v>334</v>
      </c>
      <c r="L306" s="15" t="s">
        <v>358</v>
      </c>
      <c r="M306" s="15" t="s">
        <v>322</v>
      </c>
      <c r="N306" s="15" t="s">
        <v>708</v>
      </c>
      <c r="O306" s="15" t="s">
        <v>694</v>
      </c>
      <c r="P306" s="15" t="s">
        <v>1043</v>
      </c>
      <c r="Q306" s="15" t="s">
        <v>876</v>
      </c>
      <c r="R306" s="15" t="s">
        <v>835</v>
      </c>
      <c r="S306" s="15" t="s">
        <v>348</v>
      </c>
      <c r="T306" s="15" t="s">
        <v>478</v>
      </c>
      <c r="AC306" s="32" t="s">
        <v>885</v>
      </c>
      <c r="AD306" s="33" t="e">
        <f t="shared" si="69"/>
        <v>#N/A</v>
      </c>
      <c r="AE306" s="21" t="str">
        <f t="shared" si="72"/>
        <v>BR_VW_AFS_dv360_DIS_PROG_CPM_STD_LDR_AAF_RON_CXD_After-Sales-Oficina-Classicos-REG04-lal-add-to-cart-ofertas_PD_300x250</v>
      </c>
      <c r="AF306" s="21" t="str">
        <f t="shared" si="73"/>
        <v>BR_VW_AFS_dv360_DIS_PROG_CPM_STD_LDR_AAF_RON_CXD_After-Sales-Oficina-Classicos-REG04-lal-add-to-cart-ofertas_PD_300x250</v>
      </c>
      <c r="AG306" s="21" t="str">
        <f t="shared" si="74"/>
        <v>VW_After-Sales-lal-add-to-cart-ofertas_300x250_After-Sales-Oficina-Classicos-REG04-adserver</v>
      </c>
      <c r="AH306" s="21" t="str">
        <f t="shared" si="75"/>
        <v>https://www.oficinadeclassicos.com.br/index.aspx?utm_source=dv360&amp;utm_medium=Programmatic&amp;utm_content=BR_VW_AFS_dv360_DIS_PROG_CPM_STD_LDR_AAF_RON_CXD_After-Sales-Oficina-Classicos-REG04-lal-add-to-cart-ofertas_PD_300x250&amp;utm_campaign=BR_AAF_DSY_NONMS_ND_AS_2019Q2APR_AFS_After-Sales&amp;utm_term=%epid!_%ecid!_%eaid!</v>
      </c>
      <c r="AI306" s="21" t="str">
        <f t="shared" si="76"/>
        <v>TAG</v>
      </c>
      <c r="AJ306" s="15" t="str">
        <f t="shared" si="70"/>
        <v>dv360</v>
      </c>
      <c r="AK306" s="15" t="str">
        <f t="shared" si="71"/>
        <v>Programmatic</v>
      </c>
      <c r="AL306" s="21" t="str">
        <f>Campanha!$B$3</f>
        <v>BR_AAF_DSY_NONMS_ND_AS_2019Q2APR_AFS_After-Sales</v>
      </c>
      <c r="AM306" s="21" t="str">
        <f t="shared" si="77"/>
        <v>BR_VW_AFS_dv360_DIS_PROG_CPM_STD_LDR_AAF_RON_CXD_After-Sales-Oficina-Classicos-REG04-lal-add-to-cart-ofertas_PD_300x250</v>
      </c>
      <c r="AN306" s="15" t="s">
        <v>809</v>
      </c>
    </row>
    <row r="307" spans="2:40" hidden="1" x14ac:dyDescent="0.25">
      <c r="B307" s="15" t="s">
        <v>872</v>
      </c>
      <c r="C307" s="15"/>
      <c r="D307" s="30" t="s">
        <v>873</v>
      </c>
      <c r="E307" s="22">
        <v>44155</v>
      </c>
      <c r="F307" s="22">
        <v>44196</v>
      </c>
      <c r="G307" s="15" t="s">
        <v>674</v>
      </c>
      <c r="H307" s="15" t="s">
        <v>811</v>
      </c>
      <c r="I307" s="15" t="s">
        <v>702</v>
      </c>
      <c r="J307" s="15" t="s">
        <v>325</v>
      </c>
      <c r="K307" s="15" t="s">
        <v>334</v>
      </c>
      <c r="L307" s="15" t="s">
        <v>358</v>
      </c>
      <c r="M307" s="15" t="s">
        <v>322</v>
      </c>
      <c r="N307" s="15" t="s">
        <v>708</v>
      </c>
      <c r="O307" s="15" t="s">
        <v>694</v>
      </c>
      <c r="P307" s="15" t="s">
        <v>1043</v>
      </c>
      <c r="Q307" s="15" t="s">
        <v>876</v>
      </c>
      <c r="R307" s="15" t="s">
        <v>835</v>
      </c>
      <c r="S307" s="15" t="s">
        <v>348</v>
      </c>
      <c r="T307" s="15" t="s">
        <v>614</v>
      </c>
      <c r="AC307" s="32" t="s">
        <v>885</v>
      </c>
      <c r="AD307" s="33" t="e">
        <f t="shared" si="69"/>
        <v>#N/A</v>
      </c>
      <c r="AE307" s="21" t="str">
        <f t="shared" si="72"/>
        <v>BR_VW_AFS_dv360_DIS_PROG_CPM_STD_LDR_AAF_RON_CXD_After-Sales-Oficina-Classicos-REG04-lal-add-to-cart-ofertas_PD_728x90</v>
      </c>
      <c r="AF307" s="21" t="str">
        <f t="shared" si="73"/>
        <v>BR_VW_AFS_dv360_DIS_PROG_CPM_STD_LDR_AAF_RON_CXD_After-Sales-Oficina-Classicos-REG04-lal-add-to-cart-ofertas_PD_728x90</v>
      </c>
      <c r="AG307" s="21" t="str">
        <f t="shared" si="74"/>
        <v>VW_After-Sales-lal-add-to-cart-ofertas_728x90_After-Sales-Oficina-Classicos-REG04-adserver</v>
      </c>
      <c r="AH307" s="21" t="str">
        <f t="shared" si="75"/>
        <v>https://www.oficinadeclassicos.com.br/index.aspx?utm_source=dv360&amp;utm_medium=Programmatic&amp;utm_content=BR_VW_AFS_dv360_DIS_PROG_CPM_STD_LDR_AAF_RON_CXD_After-Sales-Oficina-Classicos-REG04-lal-add-to-cart-ofertas_PD_728x90&amp;utm_campaign=BR_AAF_DSY_NONMS_ND_AS_2019Q2APR_AFS_After-Sales&amp;utm_term=%epid!_%ecid!_%eaid!</v>
      </c>
      <c r="AI307" s="21" t="str">
        <f t="shared" si="76"/>
        <v>TAG</v>
      </c>
      <c r="AJ307" s="15" t="str">
        <f t="shared" si="70"/>
        <v>dv360</v>
      </c>
      <c r="AK307" s="15" t="str">
        <f t="shared" si="71"/>
        <v>Programmatic</v>
      </c>
      <c r="AL307" s="21" t="str">
        <f>Campanha!$B$3</f>
        <v>BR_AAF_DSY_NONMS_ND_AS_2019Q2APR_AFS_After-Sales</v>
      </c>
      <c r="AM307" s="21" t="str">
        <f t="shared" si="77"/>
        <v>BR_VW_AFS_dv360_DIS_PROG_CPM_STD_LDR_AAF_RON_CXD_After-Sales-Oficina-Classicos-REG04-lal-add-to-cart-ofertas_PD_728x90</v>
      </c>
      <c r="AN307" s="15" t="s">
        <v>809</v>
      </c>
    </row>
    <row r="308" spans="2:40" hidden="1" x14ac:dyDescent="0.25">
      <c r="B308" s="15" t="s">
        <v>872</v>
      </c>
      <c r="C308" s="15"/>
      <c r="D308" s="30" t="s">
        <v>873</v>
      </c>
      <c r="E308" s="22">
        <v>44155</v>
      </c>
      <c r="F308" s="22">
        <v>44196</v>
      </c>
      <c r="G308" s="15" t="s">
        <v>674</v>
      </c>
      <c r="H308" s="15" t="s">
        <v>811</v>
      </c>
      <c r="I308" s="15" t="s">
        <v>702</v>
      </c>
      <c r="J308" s="15" t="s">
        <v>325</v>
      </c>
      <c r="K308" s="15" t="s">
        <v>334</v>
      </c>
      <c r="L308" s="15" t="s">
        <v>358</v>
      </c>
      <c r="M308" s="15" t="s">
        <v>322</v>
      </c>
      <c r="N308" s="15" t="s">
        <v>708</v>
      </c>
      <c r="O308" s="15" t="s">
        <v>694</v>
      </c>
      <c r="P308" s="15" t="s">
        <v>1043</v>
      </c>
      <c r="Q308" s="15" t="s">
        <v>876</v>
      </c>
      <c r="R308" s="15" t="s">
        <v>835</v>
      </c>
      <c r="S308" s="15" t="s">
        <v>348</v>
      </c>
      <c r="T308" s="15" t="s">
        <v>652</v>
      </c>
      <c r="AC308" s="32" t="s">
        <v>885</v>
      </c>
      <c r="AD308" s="33" t="e">
        <f t="shared" si="69"/>
        <v>#N/A</v>
      </c>
      <c r="AE308" s="21" t="str">
        <f t="shared" si="72"/>
        <v>BR_VW_AFS_dv360_DIS_PROG_CPM_STD_LDR_AAF_RON_CXD_After-Sales-Oficina-Classicos-REG04-lal-add-to-cart-ofertas_PD_970x250</v>
      </c>
      <c r="AF308" s="21" t="str">
        <f t="shared" si="73"/>
        <v>BR_VW_AFS_dv360_DIS_PROG_CPM_STD_LDR_AAF_RON_CXD_After-Sales-Oficina-Classicos-REG04-lal-add-to-cart-ofertas_PD_970x250</v>
      </c>
      <c r="AG308" s="21" t="str">
        <f t="shared" si="74"/>
        <v>VW_After-Sales-lal-add-to-cart-ofertas_970x250_After-Sales-Oficina-Classicos-REG04-adserver</v>
      </c>
      <c r="AH308" s="21" t="str">
        <f t="shared" si="75"/>
        <v>https://www.oficinadeclassicos.com.br/index.aspx?utm_source=dv360&amp;utm_medium=Programmatic&amp;utm_content=BR_VW_AFS_dv360_DIS_PROG_CPM_STD_LDR_AAF_RON_CXD_After-Sales-Oficina-Classicos-REG04-lal-add-to-cart-ofertas_PD_970x250&amp;utm_campaign=BR_AAF_DSY_NONMS_ND_AS_2019Q2APR_AFS_After-Sales&amp;utm_term=%epid!_%ecid!_%eaid!</v>
      </c>
      <c r="AI308" s="21" t="str">
        <f t="shared" si="76"/>
        <v>TAG</v>
      </c>
      <c r="AJ308" s="15" t="str">
        <f t="shared" si="70"/>
        <v>dv360</v>
      </c>
      <c r="AK308" s="15" t="str">
        <f t="shared" si="71"/>
        <v>Programmatic</v>
      </c>
      <c r="AL308" s="21" t="str">
        <f>Campanha!$B$3</f>
        <v>BR_AAF_DSY_NONMS_ND_AS_2019Q2APR_AFS_After-Sales</v>
      </c>
      <c r="AM308" s="21" t="str">
        <f t="shared" si="77"/>
        <v>BR_VW_AFS_dv360_DIS_PROG_CPM_STD_LDR_AAF_RON_CXD_After-Sales-Oficina-Classicos-REG04-lal-add-to-cart-ofertas_PD_970x250</v>
      </c>
      <c r="AN308" s="15" t="s">
        <v>809</v>
      </c>
    </row>
    <row r="309" spans="2:40" hidden="1" x14ac:dyDescent="0.25">
      <c r="B309" s="15" t="s">
        <v>872</v>
      </c>
      <c r="C309" s="15"/>
      <c r="D309" s="30" t="s">
        <v>873</v>
      </c>
      <c r="E309" s="22">
        <v>44155</v>
      </c>
      <c r="F309" s="22">
        <v>44196</v>
      </c>
      <c r="G309" s="15" t="s">
        <v>674</v>
      </c>
      <c r="H309" s="15" t="s">
        <v>811</v>
      </c>
      <c r="I309" s="15" t="s">
        <v>702</v>
      </c>
      <c r="J309" s="15" t="s">
        <v>325</v>
      </c>
      <c r="K309" s="15" t="s">
        <v>334</v>
      </c>
      <c r="L309" s="15" t="s">
        <v>358</v>
      </c>
      <c r="M309" s="15" t="s">
        <v>322</v>
      </c>
      <c r="N309" s="15" t="s">
        <v>708</v>
      </c>
      <c r="O309" s="15" t="s">
        <v>694</v>
      </c>
      <c r="P309" s="15" t="s">
        <v>1043</v>
      </c>
      <c r="Q309" s="15" t="s">
        <v>890</v>
      </c>
      <c r="R309" s="15" t="s">
        <v>835</v>
      </c>
      <c r="S309" s="15" t="s">
        <v>348</v>
      </c>
      <c r="T309" s="15" t="s">
        <v>457</v>
      </c>
      <c r="AC309" s="32" t="s">
        <v>885</v>
      </c>
      <c r="AD309" s="33" t="e">
        <f t="shared" si="69"/>
        <v>#N/A</v>
      </c>
      <c r="AE309" s="21" t="str">
        <f t="shared" si="72"/>
        <v>BR_VW_AFS_dv360_DIS_PROG_CPM_STD_LDR_AAF_RON_CXD_After-Sales-Oficina-Classicos-REG04-lal-home-ofertas_PD_160x600</v>
      </c>
      <c r="AF309" s="21" t="str">
        <f t="shared" si="73"/>
        <v>BR_VW_AFS_dv360_DIS_PROG_CPM_STD_LDR_AAF_RON_CXD_After-Sales-Oficina-Classicos-REG04-lal-home-ofertas_PD_160x600</v>
      </c>
      <c r="AG309" s="21" t="str">
        <f t="shared" si="74"/>
        <v>VW_After-Sales-lal-home-ofertas_160x600_After-Sales-Oficina-Classicos-REG04-adserver</v>
      </c>
      <c r="AH309" s="21" t="str">
        <f t="shared" si="75"/>
        <v>https://www.oficinadeclassicos.com.br/index.aspx?utm_source=dv360&amp;utm_medium=Programmatic&amp;utm_content=BR_VW_AFS_dv360_DIS_PROG_CPM_STD_LDR_AAF_RON_CXD_After-Sales-Oficina-Classicos-REG04-lal-home-ofertas_PD_160x600&amp;utm_campaign=BR_AAF_DSY_NONMS_ND_AS_2019Q2APR_AFS_After-Sales&amp;utm_term=%epid!_%ecid!_%eaid!</v>
      </c>
      <c r="AI309" s="21" t="str">
        <f t="shared" si="76"/>
        <v>TAG</v>
      </c>
      <c r="AJ309" s="15" t="str">
        <f t="shared" si="70"/>
        <v>dv360</v>
      </c>
      <c r="AK309" s="15" t="str">
        <f t="shared" si="71"/>
        <v>Programmatic</v>
      </c>
      <c r="AL309" s="21" t="str">
        <f>Campanha!$B$3</f>
        <v>BR_AAF_DSY_NONMS_ND_AS_2019Q2APR_AFS_After-Sales</v>
      </c>
      <c r="AM309" s="21" t="str">
        <f t="shared" si="77"/>
        <v>BR_VW_AFS_dv360_DIS_PROG_CPM_STD_LDR_AAF_RON_CXD_After-Sales-Oficina-Classicos-REG04-lal-home-ofertas_PD_160x600</v>
      </c>
      <c r="AN309" s="15" t="s">
        <v>809</v>
      </c>
    </row>
    <row r="310" spans="2:40" hidden="1" x14ac:dyDescent="0.25">
      <c r="B310" s="15" t="s">
        <v>872</v>
      </c>
      <c r="C310" s="15"/>
      <c r="D310" s="30" t="s">
        <v>873</v>
      </c>
      <c r="E310" s="22">
        <v>44155</v>
      </c>
      <c r="F310" s="22">
        <v>44196</v>
      </c>
      <c r="G310" s="15" t="s">
        <v>674</v>
      </c>
      <c r="H310" s="15" t="s">
        <v>811</v>
      </c>
      <c r="I310" s="15" t="s">
        <v>702</v>
      </c>
      <c r="J310" s="15" t="s">
        <v>325</v>
      </c>
      <c r="K310" s="15" t="s">
        <v>334</v>
      </c>
      <c r="L310" s="15" t="s">
        <v>358</v>
      </c>
      <c r="M310" s="15" t="s">
        <v>322</v>
      </c>
      <c r="N310" s="15" t="s">
        <v>708</v>
      </c>
      <c r="O310" s="15" t="s">
        <v>694</v>
      </c>
      <c r="P310" s="15" t="s">
        <v>1043</v>
      </c>
      <c r="Q310" s="15" t="s">
        <v>890</v>
      </c>
      <c r="R310" s="15" t="s">
        <v>835</v>
      </c>
      <c r="S310" s="15" t="s">
        <v>348</v>
      </c>
      <c r="T310" s="15" t="s">
        <v>484</v>
      </c>
      <c r="AC310" s="32" t="s">
        <v>885</v>
      </c>
      <c r="AD310" s="33" t="e">
        <f t="shared" ref="AD310:AD373" si="78">VLOOKUP(AE310,id_placement,2,FALSE)</f>
        <v>#N/A</v>
      </c>
      <c r="AE310" s="21" t="str">
        <f t="shared" si="72"/>
        <v>BR_VW_AFS_dv360_DIS_PROG_CPM_STD_LDR_AAF_RON_CXD_After-Sales-Oficina-Classicos-REG04-lal-home-ofertas_PD_300x50</v>
      </c>
      <c r="AF310" s="21" t="str">
        <f t="shared" si="73"/>
        <v>BR_VW_AFS_dv360_DIS_PROG_CPM_STD_LDR_AAF_RON_CXD_After-Sales-Oficina-Classicos-REG04-lal-home-ofertas_PD_300x50</v>
      </c>
      <c r="AG310" s="21" t="str">
        <f t="shared" si="74"/>
        <v>VW_After-Sales-lal-home-ofertas_300x50_After-Sales-Oficina-Classicos-REG04-adserver</v>
      </c>
      <c r="AH310" s="21" t="str">
        <f t="shared" si="75"/>
        <v>https://www.oficinadeclassicos.com.br/index.aspx?utm_source=dv360&amp;utm_medium=Programmatic&amp;utm_content=BR_VW_AFS_dv360_DIS_PROG_CPM_STD_LDR_AAF_RON_CXD_After-Sales-Oficina-Classicos-REG04-lal-home-ofertas_PD_300x50&amp;utm_campaign=BR_AAF_DSY_NONMS_ND_AS_2019Q2APR_AFS_After-Sales&amp;utm_term=%epid!_%ecid!_%eaid!</v>
      </c>
      <c r="AI310" s="21" t="str">
        <f t="shared" si="76"/>
        <v>TAG</v>
      </c>
      <c r="AJ310" s="15" t="str">
        <f t="shared" si="70"/>
        <v>dv360</v>
      </c>
      <c r="AK310" s="15" t="str">
        <f t="shared" si="71"/>
        <v>Programmatic</v>
      </c>
      <c r="AL310" s="21" t="str">
        <f>Campanha!$B$3</f>
        <v>BR_AAF_DSY_NONMS_ND_AS_2019Q2APR_AFS_After-Sales</v>
      </c>
      <c r="AM310" s="21" t="str">
        <f t="shared" si="77"/>
        <v>BR_VW_AFS_dv360_DIS_PROG_CPM_STD_LDR_AAF_RON_CXD_After-Sales-Oficina-Classicos-REG04-lal-home-ofertas_PD_300x50</v>
      </c>
      <c r="AN310" s="15" t="s">
        <v>809</v>
      </c>
    </row>
    <row r="311" spans="2:40" hidden="1" x14ac:dyDescent="0.25">
      <c r="B311" s="15" t="s">
        <v>872</v>
      </c>
      <c r="C311" s="15"/>
      <c r="D311" s="30" t="s">
        <v>873</v>
      </c>
      <c r="E311" s="22">
        <v>44155</v>
      </c>
      <c r="F311" s="22">
        <v>44196</v>
      </c>
      <c r="G311" s="15" t="s">
        <v>674</v>
      </c>
      <c r="H311" s="15" t="s">
        <v>811</v>
      </c>
      <c r="I311" s="15" t="s">
        <v>702</v>
      </c>
      <c r="J311" s="15" t="s">
        <v>325</v>
      </c>
      <c r="K311" s="15" t="s">
        <v>334</v>
      </c>
      <c r="L311" s="15" t="s">
        <v>358</v>
      </c>
      <c r="M311" s="15" t="s">
        <v>322</v>
      </c>
      <c r="N311" s="15" t="s">
        <v>708</v>
      </c>
      <c r="O311" s="15" t="s">
        <v>694</v>
      </c>
      <c r="P311" s="15" t="s">
        <v>1043</v>
      </c>
      <c r="Q311" s="15" t="s">
        <v>890</v>
      </c>
      <c r="R311" s="15" t="s">
        <v>835</v>
      </c>
      <c r="S311" s="15" t="s">
        <v>348</v>
      </c>
      <c r="T311" s="15" t="s">
        <v>478</v>
      </c>
      <c r="AC311" s="32" t="s">
        <v>885</v>
      </c>
      <c r="AD311" s="33" t="e">
        <f t="shared" si="78"/>
        <v>#N/A</v>
      </c>
      <c r="AE311" s="21" t="str">
        <f t="shared" si="72"/>
        <v>BR_VW_AFS_dv360_DIS_PROG_CPM_STD_LDR_AAF_RON_CXD_After-Sales-Oficina-Classicos-REG04-lal-home-ofertas_PD_300x250</v>
      </c>
      <c r="AF311" s="21" t="str">
        <f t="shared" si="73"/>
        <v>BR_VW_AFS_dv360_DIS_PROG_CPM_STD_LDR_AAF_RON_CXD_After-Sales-Oficina-Classicos-REG04-lal-home-ofertas_PD_300x250</v>
      </c>
      <c r="AG311" s="21" t="str">
        <f t="shared" si="74"/>
        <v>VW_After-Sales-lal-home-ofertas_300x250_After-Sales-Oficina-Classicos-REG04-adserver</v>
      </c>
      <c r="AH311" s="21" t="str">
        <f t="shared" si="75"/>
        <v>https://www.oficinadeclassicos.com.br/index.aspx?utm_source=dv360&amp;utm_medium=Programmatic&amp;utm_content=BR_VW_AFS_dv360_DIS_PROG_CPM_STD_LDR_AAF_RON_CXD_After-Sales-Oficina-Classicos-REG04-lal-home-ofertas_PD_300x250&amp;utm_campaign=BR_AAF_DSY_NONMS_ND_AS_2019Q2APR_AFS_After-Sales&amp;utm_term=%epid!_%ecid!_%eaid!</v>
      </c>
      <c r="AI311" s="21" t="str">
        <f t="shared" si="76"/>
        <v>TAG</v>
      </c>
      <c r="AJ311" s="15" t="str">
        <f t="shared" si="70"/>
        <v>dv360</v>
      </c>
      <c r="AK311" s="15" t="str">
        <f t="shared" si="71"/>
        <v>Programmatic</v>
      </c>
      <c r="AL311" s="21" t="str">
        <f>Campanha!$B$3</f>
        <v>BR_AAF_DSY_NONMS_ND_AS_2019Q2APR_AFS_After-Sales</v>
      </c>
      <c r="AM311" s="21" t="str">
        <f t="shared" si="77"/>
        <v>BR_VW_AFS_dv360_DIS_PROG_CPM_STD_LDR_AAF_RON_CXD_After-Sales-Oficina-Classicos-REG04-lal-home-ofertas_PD_300x250</v>
      </c>
      <c r="AN311" s="15" t="s">
        <v>809</v>
      </c>
    </row>
    <row r="312" spans="2:40" hidden="1" x14ac:dyDescent="0.25">
      <c r="B312" s="15" t="s">
        <v>872</v>
      </c>
      <c r="C312" s="15"/>
      <c r="D312" s="30" t="s">
        <v>873</v>
      </c>
      <c r="E312" s="22">
        <v>44155</v>
      </c>
      <c r="F312" s="22">
        <v>44196</v>
      </c>
      <c r="G312" s="15" t="s">
        <v>674</v>
      </c>
      <c r="H312" s="15" t="s">
        <v>811</v>
      </c>
      <c r="I312" s="15" t="s">
        <v>702</v>
      </c>
      <c r="J312" s="15" t="s">
        <v>325</v>
      </c>
      <c r="K312" s="15" t="s">
        <v>334</v>
      </c>
      <c r="L312" s="15" t="s">
        <v>358</v>
      </c>
      <c r="M312" s="15" t="s">
        <v>322</v>
      </c>
      <c r="N312" s="15" t="s">
        <v>708</v>
      </c>
      <c r="O312" s="15" t="s">
        <v>694</v>
      </c>
      <c r="P312" s="15" t="s">
        <v>1043</v>
      </c>
      <c r="Q312" s="15" t="s">
        <v>890</v>
      </c>
      <c r="R312" s="15" t="s">
        <v>835</v>
      </c>
      <c r="S312" s="15" t="s">
        <v>348</v>
      </c>
      <c r="T312" s="15" t="s">
        <v>614</v>
      </c>
      <c r="AC312" s="32" t="s">
        <v>885</v>
      </c>
      <c r="AD312" s="33" t="e">
        <f t="shared" si="78"/>
        <v>#N/A</v>
      </c>
      <c r="AE312" s="21" t="str">
        <f t="shared" si="72"/>
        <v>BR_VW_AFS_dv360_DIS_PROG_CPM_STD_LDR_AAF_RON_CXD_After-Sales-Oficina-Classicos-REG04-lal-home-ofertas_PD_728x90</v>
      </c>
      <c r="AF312" s="21" t="str">
        <f t="shared" si="73"/>
        <v>BR_VW_AFS_dv360_DIS_PROG_CPM_STD_LDR_AAF_RON_CXD_After-Sales-Oficina-Classicos-REG04-lal-home-ofertas_PD_728x90</v>
      </c>
      <c r="AG312" s="21" t="str">
        <f t="shared" si="74"/>
        <v>VW_After-Sales-lal-home-ofertas_728x90_After-Sales-Oficina-Classicos-REG04-adserver</v>
      </c>
      <c r="AH312" s="21" t="str">
        <f t="shared" si="75"/>
        <v>https://www.oficinadeclassicos.com.br/index.aspx?utm_source=dv360&amp;utm_medium=Programmatic&amp;utm_content=BR_VW_AFS_dv360_DIS_PROG_CPM_STD_LDR_AAF_RON_CXD_After-Sales-Oficina-Classicos-REG04-lal-home-ofertas_PD_728x90&amp;utm_campaign=BR_AAF_DSY_NONMS_ND_AS_2019Q2APR_AFS_After-Sales&amp;utm_term=%epid!_%ecid!_%eaid!</v>
      </c>
      <c r="AI312" s="21" t="str">
        <f t="shared" si="76"/>
        <v>TAG</v>
      </c>
      <c r="AJ312" s="15" t="str">
        <f t="shared" si="70"/>
        <v>dv360</v>
      </c>
      <c r="AK312" s="15" t="str">
        <f t="shared" si="71"/>
        <v>Programmatic</v>
      </c>
      <c r="AL312" s="21" t="str">
        <f>Campanha!$B$3</f>
        <v>BR_AAF_DSY_NONMS_ND_AS_2019Q2APR_AFS_After-Sales</v>
      </c>
      <c r="AM312" s="21" t="str">
        <f t="shared" si="77"/>
        <v>BR_VW_AFS_dv360_DIS_PROG_CPM_STD_LDR_AAF_RON_CXD_After-Sales-Oficina-Classicos-REG04-lal-home-ofertas_PD_728x90</v>
      </c>
      <c r="AN312" s="15" t="s">
        <v>809</v>
      </c>
    </row>
    <row r="313" spans="2:40" hidden="1" x14ac:dyDescent="0.25">
      <c r="B313" s="15" t="s">
        <v>872</v>
      </c>
      <c r="C313" s="15"/>
      <c r="D313" s="30" t="s">
        <v>873</v>
      </c>
      <c r="E313" s="22">
        <v>44155</v>
      </c>
      <c r="F313" s="22">
        <v>44196</v>
      </c>
      <c r="G313" s="15" t="s">
        <v>674</v>
      </c>
      <c r="H313" s="15" t="s">
        <v>811</v>
      </c>
      <c r="I313" s="15" t="s">
        <v>702</v>
      </c>
      <c r="J313" s="15" t="s">
        <v>325</v>
      </c>
      <c r="K313" s="15" t="s">
        <v>334</v>
      </c>
      <c r="L313" s="15" t="s">
        <v>358</v>
      </c>
      <c r="M313" s="15" t="s">
        <v>322</v>
      </c>
      <c r="N313" s="15" t="s">
        <v>708</v>
      </c>
      <c r="O313" s="15" t="s">
        <v>694</v>
      </c>
      <c r="P313" s="15" t="s">
        <v>1043</v>
      </c>
      <c r="Q313" s="15" t="s">
        <v>890</v>
      </c>
      <c r="R313" s="15" t="s">
        <v>835</v>
      </c>
      <c r="S313" s="15" t="s">
        <v>348</v>
      </c>
      <c r="T313" s="15" t="s">
        <v>652</v>
      </c>
      <c r="AC313" s="32" t="s">
        <v>885</v>
      </c>
      <c r="AD313" s="33" t="e">
        <f t="shared" si="78"/>
        <v>#N/A</v>
      </c>
      <c r="AE313" s="21" t="str">
        <f t="shared" si="72"/>
        <v>BR_VW_AFS_dv360_DIS_PROG_CPM_STD_LDR_AAF_RON_CXD_After-Sales-Oficina-Classicos-REG04-lal-home-ofertas_PD_970x250</v>
      </c>
      <c r="AF313" s="21" t="str">
        <f t="shared" si="73"/>
        <v>BR_VW_AFS_dv360_DIS_PROG_CPM_STD_LDR_AAF_RON_CXD_After-Sales-Oficina-Classicos-REG04-lal-home-ofertas_PD_970x250</v>
      </c>
      <c r="AG313" s="21" t="str">
        <f t="shared" si="74"/>
        <v>VW_After-Sales-lal-home-ofertas_970x250_After-Sales-Oficina-Classicos-REG04-adserver</v>
      </c>
      <c r="AH313" s="21" t="str">
        <f t="shared" si="75"/>
        <v>https://www.oficinadeclassicos.com.br/index.aspx?utm_source=dv360&amp;utm_medium=Programmatic&amp;utm_content=BR_VW_AFS_dv360_DIS_PROG_CPM_STD_LDR_AAF_RON_CXD_After-Sales-Oficina-Classicos-REG04-lal-home-ofertas_PD_970x250&amp;utm_campaign=BR_AAF_DSY_NONMS_ND_AS_2019Q2APR_AFS_After-Sales&amp;utm_term=%epid!_%ecid!_%eaid!</v>
      </c>
      <c r="AI313" s="21" t="str">
        <f t="shared" si="76"/>
        <v>TAG</v>
      </c>
      <c r="AJ313" s="15" t="str">
        <f t="shared" si="70"/>
        <v>dv360</v>
      </c>
      <c r="AK313" s="15" t="str">
        <f t="shared" si="71"/>
        <v>Programmatic</v>
      </c>
      <c r="AL313" s="21" t="str">
        <f>Campanha!$B$3</f>
        <v>BR_AAF_DSY_NONMS_ND_AS_2019Q2APR_AFS_After-Sales</v>
      </c>
      <c r="AM313" s="21" t="str">
        <f t="shared" si="77"/>
        <v>BR_VW_AFS_dv360_DIS_PROG_CPM_STD_LDR_AAF_RON_CXD_After-Sales-Oficina-Classicos-REG04-lal-home-ofertas_PD_970x250</v>
      </c>
      <c r="AN313" s="15" t="s">
        <v>809</v>
      </c>
    </row>
    <row r="314" spans="2:40" hidden="1" x14ac:dyDescent="0.25">
      <c r="B314" s="15" t="s">
        <v>872</v>
      </c>
      <c r="C314" s="15"/>
      <c r="D314" s="30" t="s">
        <v>873</v>
      </c>
      <c r="E314" s="22">
        <v>44155</v>
      </c>
      <c r="F314" s="22">
        <v>44196</v>
      </c>
      <c r="G314" s="15" t="s">
        <v>674</v>
      </c>
      <c r="H314" s="15" t="s">
        <v>811</v>
      </c>
      <c r="I314" s="15" t="s">
        <v>702</v>
      </c>
      <c r="J314" s="15" t="s">
        <v>325</v>
      </c>
      <c r="K314" s="15" t="s">
        <v>334</v>
      </c>
      <c r="L314" s="15" t="s">
        <v>358</v>
      </c>
      <c r="M314" s="15" t="s">
        <v>322</v>
      </c>
      <c r="N314" s="15" t="s">
        <v>708</v>
      </c>
      <c r="O314" s="15" t="s">
        <v>694</v>
      </c>
      <c r="P314" s="15" t="s">
        <v>1043</v>
      </c>
      <c r="Q314" s="15" t="s">
        <v>874</v>
      </c>
      <c r="R314" s="15" t="s">
        <v>835</v>
      </c>
      <c r="S314" s="15" t="s">
        <v>348</v>
      </c>
      <c r="T314" s="15" t="s">
        <v>457</v>
      </c>
      <c r="AC314" s="32" t="s">
        <v>885</v>
      </c>
      <c r="AD314" s="33" t="e">
        <f t="shared" si="78"/>
        <v>#N/A</v>
      </c>
      <c r="AE314" s="21" t="str">
        <f t="shared" si="72"/>
        <v>BR_VW_AFS_dv360_DIS_PROG_CPM_STD_LDR_AAF_RON_CXD_After-Sales-Oficina-Classicos-REG04-rmkt-visita-home-ofertas_PD_160x600</v>
      </c>
      <c r="AF314" s="21" t="str">
        <f t="shared" si="73"/>
        <v>BR_VW_AFS_dv360_DIS_PROG_CPM_STD_LDR_AAF_RON_CXD_After-Sales-Oficina-Classicos-REG04-rmkt-visita-home-ofertas_PD_160x600</v>
      </c>
      <c r="AG314" s="21" t="str">
        <f t="shared" si="74"/>
        <v>VW_After-Sales-rmkt-visita-home-ofertas_160x600_After-Sales-Oficina-Classicos-REG04-adserver</v>
      </c>
      <c r="AH314" s="21" t="str">
        <f t="shared" si="75"/>
        <v>https://www.oficinadeclassicos.com.br/index.aspx?utm_source=dv360&amp;utm_medium=Programmatic&amp;utm_content=BR_VW_AFS_dv360_DIS_PROG_CPM_STD_LDR_AAF_RON_CXD_After-Sales-Oficina-Classicos-REG04-rmkt-visita-home-ofertas_PD_160x600&amp;utm_campaign=BR_AAF_DSY_NONMS_ND_AS_2019Q2APR_AFS_After-Sales&amp;utm_term=%epid!_%ecid!_%eaid!</v>
      </c>
      <c r="AI314" s="21" t="str">
        <f t="shared" si="76"/>
        <v>TAG</v>
      </c>
      <c r="AJ314" s="15" t="str">
        <f t="shared" si="70"/>
        <v>dv360</v>
      </c>
      <c r="AK314" s="15" t="str">
        <f t="shared" si="71"/>
        <v>Programmatic</v>
      </c>
      <c r="AL314" s="21" t="str">
        <f>Campanha!$B$3</f>
        <v>BR_AAF_DSY_NONMS_ND_AS_2019Q2APR_AFS_After-Sales</v>
      </c>
      <c r="AM314" s="21" t="str">
        <f t="shared" si="77"/>
        <v>BR_VW_AFS_dv360_DIS_PROG_CPM_STD_LDR_AAF_RON_CXD_After-Sales-Oficina-Classicos-REG04-rmkt-visita-home-ofertas_PD_160x600</v>
      </c>
      <c r="AN314" s="15" t="s">
        <v>809</v>
      </c>
    </row>
    <row r="315" spans="2:40" hidden="1" x14ac:dyDescent="0.25">
      <c r="B315" s="15" t="s">
        <v>872</v>
      </c>
      <c r="C315" s="15"/>
      <c r="D315" s="30" t="s">
        <v>873</v>
      </c>
      <c r="E315" s="22">
        <v>44155</v>
      </c>
      <c r="F315" s="22">
        <v>44196</v>
      </c>
      <c r="G315" s="15" t="s">
        <v>674</v>
      </c>
      <c r="H315" s="15" t="s">
        <v>811</v>
      </c>
      <c r="I315" s="15" t="s">
        <v>702</v>
      </c>
      <c r="J315" s="15" t="s">
        <v>325</v>
      </c>
      <c r="K315" s="15" t="s">
        <v>334</v>
      </c>
      <c r="L315" s="15" t="s">
        <v>358</v>
      </c>
      <c r="M315" s="15" t="s">
        <v>322</v>
      </c>
      <c r="N315" s="15" t="s">
        <v>708</v>
      </c>
      <c r="O315" s="15" t="s">
        <v>694</v>
      </c>
      <c r="P315" s="15" t="s">
        <v>1043</v>
      </c>
      <c r="Q315" s="15" t="s">
        <v>874</v>
      </c>
      <c r="R315" s="15" t="s">
        <v>835</v>
      </c>
      <c r="S315" s="15" t="s">
        <v>348</v>
      </c>
      <c r="T315" s="15" t="s">
        <v>484</v>
      </c>
      <c r="AC315" s="32" t="s">
        <v>885</v>
      </c>
      <c r="AD315" s="33" t="e">
        <f t="shared" si="78"/>
        <v>#N/A</v>
      </c>
      <c r="AE315" s="21" t="str">
        <f t="shared" si="72"/>
        <v>BR_VW_AFS_dv360_DIS_PROG_CPM_STD_LDR_AAF_RON_CXD_After-Sales-Oficina-Classicos-REG04-rmkt-visita-home-ofertas_PD_300x50</v>
      </c>
      <c r="AF315" s="21" t="str">
        <f t="shared" si="73"/>
        <v>BR_VW_AFS_dv360_DIS_PROG_CPM_STD_LDR_AAF_RON_CXD_After-Sales-Oficina-Classicos-REG04-rmkt-visita-home-ofertas_PD_300x50</v>
      </c>
      <c r="AG315" s="21" t="str">
        <f t="shared" si="74"/>
        <v>VW_After-Sales-rmkt-visita-home-ofertas_300x50_After-Sales-Oficina-Classicos-REG04-adserver</v>
      </c>
      <c r="AH315" s="21" t="str">
        <f t="shared" si="75"/>
        <v>https://www.oficinadeclassicos.com.br/index.aspx?utm_source=dv360&amp;utm_medium=Programmatic&amp;utm_content=BR_VW_AFS_dv360_DIS_PROG_CPM_STD_LDR_AAF_RON_CXD_After-Sales-Oficina-Classicos-REG04-rmkt-visita-home-ofertas_PD_300x50&amp;utm_campaign=BR_AAF_DSY_NONMS_ND_AS_2019Q2APR_AFS_After-Sales&amp;utm_term=%epid!_%ecid!_%eaid!</v>
      </c>
      <c r="AI315" s="21" t="str">
        <f t="shared" si="76"/>
        <v>TAG</v>
      </c>
      <c r="AJ315" s="15" t="str">
        <f t="shared" si="70"/>
        <v>dv360</v>
      </c>
      <c r="AK315" s="15" t="str">
        <f t="shared" si="71"/>
        <v>Programmatic</v>
      </c>
      <c r="AL315" s="21" t="str">
        <f>Campanha!$B$3</f>
        <v>BR_AAF_DSY_NONMS_ND_AS_2019Q2APR_AFS_After-Sales</v>
      </c>
      <c r="AM315" s="21" t="str">
        <f t="shared" si="77"/>
        <v>BR_VW_AFS_dv360_DIS_PROG_CPM_STD_LDR_AAF_RON_CXD_After-Sales-Oficina-Classicos-REG04-rmkt-visita-home-ofertas_PD_300x50</v>
      </c>
      <c r="AN315" s="15" t="s">
        <v>809</v>
      </c>
    </row>
    <row r="316" spans="2:40" hidden="1" x14ac:dyDescent="0.25">
      <c r="B316" s="15" t="s">
        <v>872</v>
      </c>
      <c r="C316" s="15"/>
      <c r="D316" s="30" t="s">
        <v>873</v>
      </c>
      <c r="E316" s="22">
        <v>44155</v>
      </c>
      <c r="F316" s="22">
        <v>44196</v>
      </c>
      <c r="G316" s="15" t="s">
        <v>674</v>
      </c>
      <c r="H316" s="15" t="s">
        <v>811</v>
      </c>
      <c r="I316" s="15" t="s">
        <v>702</v>
      </c>
      <c r="J316" s="15" t="s">
        <v>325</v>
      </c>
      <c r="K316" s="15" t="s">
        <v>334</v>
      </c>
      <c r="L316" s="15" t="s">
        <v>358</v>
      </c>
      <c r="M316" s="15" t="s">
        <v>322</v>
      </c>
      <c r="N316" s="15" t="s">
        <v>708</v>
      </c>
      <c r="O316" s="15" t="s">
        <v>694</v>
      </c>
      <c r="P316" s="15" t="s">
        <v>1043</v>
      </c>
      <c r="Q316" s="15" t="s">
        <v>874</v>
      </c>
      <c r="R316" s="15" t="s">
        <v>835</v>
      </c>
      <c r="S316" s="15" t="s">
        <v>348</v>
      </c>
      <c r="T316" s="15" t="s">
        <v>478</v>
      </c>
      <c r="AC316" s="32" t="s">
        <v>885</v>
      </c>
      <c r="AD316" s="33" t="e">
        <f t="shared" si="78"/>
        <v>#N/A</v>
      </c>
      <c r="AE316" s="21" t="str">
        <f t="shared" si="72"/>
        <v>BR_VW_AFS_dv360_DIS_PROG_CPM_STD_LDR_AAF_RON_CXD_After-Sales-Oficina-Classicos-REG04-rmkt-visita-home-ofertas_PD_300x250</v>
      </c>
      <c r="AF316" s="21" t="str">
        <f t="shared" si="73"/>
        <v>BR_VW_AFS_dv360_DIS_PROG_CPM_STD_LDR_AAF_RON_CXD_After-Sales-Oficina-Classicos-REG04-rmkt-visita-home-ofertas_PD_300x250</v>
      </c>
      <c r="AG316" s="21" t="str">
        <f t="shared" si="74"/>
        <v>VW_After-Sales-rmkt-visita-home-ofertas_300x250_After-Sales-Oficina-Classicos-REG04-adserver</v>
      </c>
      <c r="AH316" s="21" t="str">
        <f t="shared" si="75"/>
        <v>https://www.oficinadeclassicos.com.br/index.aspx?utm_source=dv360&amp;utm_medium=Programmatic&amp;utm_content=BR_VW_AFS_dv360_DIS_PROG_CPM_STD_LDR_AAF_RON_CXD_After-Sales-Oficina-Classicos-REG04-rmkt-visita-home-ofertas_PD_300x250&amp;utm_campaign=BR_AAF_DSY_NONMS_ND_AS_2019Q2APR_AFS_After-Sales&amp;utm_term=%epid!_%ecid!_%eaid!</v>
      </c>
      <c r="AI316" s="21" t="str">
        <f t="shared" si="76"/>
        <v>TAG</v>
      </c>
      <c r="AJ316" s="15" t="str">
        <f t="shared" si="70"/>
        <v>dv360</v>
      </c>
      <c r="AK316" s="15" t="str">
        <f t="shared" si="71"/>
        <v>Programmatic</v>
      </c>
      <c r="AL316" s="21" t="str">
        <f>Campanha!$B$3</f>
        <v>BR_AAF_DSY_NONMS_ND_AS_2019Q2APR_AFS_After-Sales</v>
      </c>
      <c r="AM316" s="21" t="str">
        <f t="shared" si="77"/>
        <v>BR_VW_AFS_dv360_DIS_PROG_CPM_STD_LDR_AAF_RON_CXD_After-Sales-Oficina-Classicos-REG04-rmkt-visita-home-ofertas_PD_300x250</v>
      </c>
      <c r="AN316" s="15" t="s">
        <v>809</v>
      </c>
    </row>
    <row r="317" spans="2:40" hidden="1" x14ac:dyDescent="0.25">
      <c r="B317" s="15" t="s">
        <v>872</v>
      </c>
      <c r="C317" s="15"/>
      <c r="D317" s="30" t="s">
        <v>873</v>
      </c>
      <c r="E317" s="22">
        <v>44155</v>
      </c>
      <c r="F317" s="22">
        <v>44196</v>
      </c>
      <c r="G317" s="15" t="s">
        <v>674</v>
      </c>
      <c r="H317" s="15" t="s">
        <v>811</v>
      </c>
      <c r="I317" s="15" t="s">
        <v>702</v>
      </c>
      <c r="J317" s="15" t="s">
        <v>325</v>
      </c>
      <c r="K317" s="15" t="s">
        <v>334</v>
      </c>
      <c r="L317" s="15" t="s">
        <v>358</v>
      </c>
      <c r="M317" s="15" t="s">
        <v>322</v>
      </c>
      <c r="N317" s="15" t="s">
        <v>708</v>
      </c>
      <c r="O317" s="15" t="s">
        <v>694</v>
      </c>
      <c r="P317" s="15" t="s">
        <v>1043</v>
      </c>
      <c r="Q317" s="15" t="s">
        <v>874</v>
      </c>
      <c r="R317" s="15" t="s">
        <v>835</v>
      </c>
      <c r="S317" s="15" t="s">
        <v>348</v>
      </c>
      <c r="T317" s="15" t="s">
        <v>614</v>
      </c>
      <c r="AC317" s="32" t="s">
        <v>885</v>
      </c>
      <c r="AD317" s="33" t="e">
        <f t="shared" si="78"/>
        <v>#N/A</v>
      </c>
      <c r="AE317" s="21" t="str">
        <f t="shared" si="72"/>
        <v>BR_VW_AFS_dv360_DIS_PROG_CPM_STD_LDR_AAF_RON_CXD_After-Sales-Oficina-Classicos-REG04-rmkt-visita-home-ofertas_PD_728x90</v>
      </c>
      <c r="AF317" s="21" t="str">
        <f t="shared" si="73"/>
        <v>BR_VW_AFS_dv360_DIS_PROG_CPM_STD_LDR_AAF_RON_CXD_After-Sales-Oficina-Classicos-REG04-rmkt-visita-home-ofertas_PD_728x90</v>
      </c>
      <c r="AG317" s="21" t="str">
        <f t="shared" si="74"/>
        <v>VW_After-Sales-rmkt-visita-home-ofertas_728x90_After-Sales-Oficina-Classicos-REG04-adserver</v>
      </c>
      <c r="AH317" s="21" t="str">
        <f t="shared" si="75"/>
        <v>https://www.oficinadeclassicos.com.br/index.aspx?utm_source=dv360&amp;utm_medium=Programmatic&amp;utm_content=BR_VW_AFS_dv360_DIS_PROG_CPM_STD_LDR_AAF_RON_CXD_After-Sales-Oficina-Classicos-REG04-rmkt-visita-home-ofertas_PD_728x90&amp;utm_campaign=BR_AAF_DSY_NONMS_ND_AS_2019Q2APR_AFS_After-Sales&amp;utm_term=%epid!_%ecid!_%eaid!</v>
      </c>
      <c r="AI317" s="21" t="str">
        <f t="shared" si="76"/>
        <v>TAG</v>
      </c>
      <c r="AJ317" s="15" t="str">
        <f t="shared" si="70"/>
        <v>dv360</v>
      </c>
      <c r="AK317" s="15" t="str">
        <f t="shared" si="71"/>
        <v>Programmatic</v>
      </c>
      <c r="AL317" s="21" t="str">
        <f>Campanha!$B$3</f>
        <v>BR_AAF_DSY_NONMS_ND_AS_2019Q2APR_AFS_After-Sales</v>
      </c>
      <c r="AM317" s="21" t="str">
        <f t="shared" si="77"/>
        <v>BR_VW_AFS_dv360_DIS_PROG_CPM_STD_LDR_AAF_RON_CXD_After-Sales-Oficina-Classicos-REG04-rmkt-visita-home-ofertas_PD_728x90</v>
      </c>
      <c r="AN317" s="15" t="s">
        <v>809</v>
      </c>
    </row>
    <row r="318" spans="2:40" hidden="1" x14ac:dyDescent="0.25">
      <c r="B318" s="15" t="s">
        <v>872</v>
      </c>
      <c r="C318" s="15"/>
      <c r="D318" s="30" t="s">
        <v>873</v>
      </c>
      <c r="E318" s="22">
        <v>44155</v>
      </c>
      <c r="F318" s="22">
        <v>44196</v>
      </c>
      <c r="G318" s="15" t="s">
        <v>674</v>
      </c>
      <c r="H318" s="15" t="s">
        <v>811</v>
      </c>
      <c r="I318" s="15" t="s">
        <v>702</v>
      </c>
      <c r="J318" s="15" t="s">
        <v>325</v>
      </c>
      <c r="K318" s="15" t="s">
        <v>334</v>
      </c>
      <c r="L318" s="15" t="s">
        <v>358</v>
      </c>
      <c r="M318" s="15" t="s">
        <v>322</v>
      </c>
      <c r="N318" s="15" t="s">
        <v>708</v>
      </c>
      <c r="O318" s="15" t="s">
        <v>694</v>
      </c>
      <c r="P318" s="15" t="s">
        <v>1043</v>
      </c>
      <c r="Q318" s="15" t="s">
        <v>874</v>
      </c>
      <c r="R318" s="15" t="s">
        <v>835</v>
      </c>
      <c r="S318" s="15" t="s">
        <v>348</v>
      </c>
      <c r="T318" s="15" t="s">
        <v>652</v>
      </c>
      <c r="AC318" s="32" t="s">
        <v>885</v>
      </c>
      <c r="AD318" s="33" t="e">
        <f t="shared" si="78"/>
        <v>#N/A</v>
      </c>
      <c r="AE318" s="21" t="str">
        <f t="shared" si="72"/>
        <v>BR_VW_AFS_dv360_DIS_PROG_CPM_STD_LDR_AAF_RON_CXD_After-Sales-Oficina-Classicos-REG04-rmkt-visita-home-ofertas_PD_970x250</v>
      </c>
      <c r="AF318" s="21" t="str">
        <f t="shared" si="73"/>
        <v>BR_VW_AFS_dv360_DIS_PROG_CPM_STD_LDR_AAF_RON_CXD_After-Sales-Oficina-Classicos-REG04-rmkt-visita-home-ofertas_PD_970x250</v>
      </c>
      <c r="AG318" s="21" t="str">
        <f t="shared" si="74"/>
        <v>VW_After-Sales-rmkt-visita-home-ofertas_970x250_After-Sales-Oficina-Classicos-REG04-adserver</v>
      </c>
      <c r="AH318" s="21" t="str">
        <f t="shared" si="75"/>
        <v>https://www.oficinadeclassicos.com.br/index.aspx?utm_source=dv360&amp;utm_medium=Programmatic&amp;utm_content=BR_VW_AFS_dv360_DIS_PROG_CPM_STD_LDR_AAF_RON_CXD_After-Sales-Oficina-Classicos-REG04-rmkt-visita-home-ofertas_PD_970x250&amp;utm_campaign=BR_AAF_DSY_NONMS_ND_AS_2019Q2APR_AFS_After-Sales&amp;utm_term=%epid!_%ecid!_%eaid!</v>
      </c>
      <c r="AI318" s="21" t="str">
        <f t="shared" si="76"/>
        <v>TAG</v>
      </c>
      <c r="AJ318" s="15" t="str">
        <f t="shared" ref="AJ318:AJ381" si="79">H318</f>
        <v>dv360</v>
      </c>
      <c r="AK318" s="15" t="str">
        <f t="shared" ref="AK318:AK381" si="80">J318</f>
        <v>Programmatic</v>
      </c>
      <c r="AL318" s="21" t="str">
        <f>Campanha!$B$3</f>
        <v>BR_AAF_DSY_NONMS_ND_AS_2019Q2APR_AFS_After-Sales</v>
      </c>
      <c r="AM318" s="21" t="str">
        <f t="shared" si="77"/>
        <v>BR_VW_AFS_dv360_DIS_PROG_CPM_STD_LDR_AAF_RON_CXD_After-Sales-Oficina-Classicos-REG04-rmkt-visita-home-ofertas_PD_970x250</v>
      </c>
      <c r="AN318" s="15" t="s">
        <v>809</v>
      </c>
    </row>
    <row r="319" spans="2:40" hidden="1" x14ac:dyDescent="0.25">
      <c r="B319" s="15" t="s">
        <v>872</v>
      </c>
      <c r="C319" s="15"/>
      <c r="D319" s="30" t="s">
        <v>873</v>
      </c>
      <c r="E319" s="22">
        <v>44155</v>
      </c>
      <c r="F319" s="22">
        <v>44196</v>
      </c>
      <c r="G319" s="15" t="s">
        <v>674</v>
      </c>
      <c r="H319" s="15" t="s">
        <v>811</v>
      </c>
      <c r="I319" s="15" t="s">
        <v>702</v>
      </c>
      <c r="J319" s="15" t="s">
        <v>325</v>
      </c>
      <c r="K319" s="15" t="s">
        <v>334</v>
      </c>
      <c r="L319" s="15" t="s">
        <v>358</v>
      </c>
      <c r="M319" s="15" t="s">
        <v>322</v>
      </c>
      <c r="N319" s="15" t="s">
        <v>708</v>
      </c>
      <c r="O319" s="15" t="s">
        <v>694</v>
      </c>
      <c r="P319" s="15" t="s">
        <v>1043</v>
      </c>
      <c r="Q319" s="15" t="s">
        <v>877</v>
      </c>
      <c r="R319" s="15" t="s">
        <v>835</v>
      </c>
      <c r="S319" s="15" t="s">
        <v>348</v>
      </c>
      <c r="T319" s="15" t="s">
        <v>457</v>
      </c>
      <c r="AC319" s="32" t="s">
        <v>885</v>
      </c>
      <c r="AD319" s="33" t="e">
        <f t="shared" si="78"/>
        <v>#N/A</v>
      </c>
      <c r="AE319" s="21" t="str">
        <f t="shared" si="72"/>
        <v>BR_VW_AFS_dv360_DIS_PROG_CPM_STD_LDR_AAF_RON_CXD_After-Sales-Oficina-Classicos-REG04-rmkt-add-to-cart-ofertas_PD_160x600</v>
      </c>
      <c r="AF319" s="21" t="str">
        <f t="shared" si="73"/>
        <v>BR_VW_AFS_dv360_DIS_PROG_CPM_STD_LDR_AAF_RON_CXD_After-Sales-Oficina-Classicos-REG04-rmkt-add-to-cart-ofertas_PD_160x600</v>
      </c>
      <c r="AG319" s="21" t="str">
        <f t="shared" si="74"/>
        <v>VW_After-Sales-rmkt-add-to-cart-ofertas_160x600_After-Sales-Oficina-Classicos-REG04-adserver</v>
      </c>
      <c r="AH319" s="21" t="str">
        <f t="shared" si="75"/>
        <v>https://www.oficinadeclassicos.com.br/index.aspx?utm_source=dv360&amp;utm_medium=Programmatic&amp;utm_content=BR_VW_AFS_dv360_DIS_PROG_CPM_STD_LDR_AAF_RON_CXD_After-Sales-Oficina-Classicos-REG04-rmkt-add-to-cart-ofertas_PD_160x600&amp;utm_campaign=BR_AAF_DSY_NONMS_ND_AS_2019Q2APR_AFS_After-Sales&amp;utm_term=%epid!_%ecid!_%eaid!</v>
      </c>
      <c r="AI319" s="21" t="str">
        <f t="shared" si="76"/>
        <v>TAG</v>
      </c>
      <c r="AJ319" s="15" t="str">
        <f t="shared" si="79"/>
        <v>dv360</v>
      </c>
      <c r="AK319" s="15" t="str">
        <f t="shared" si="80"/>
        <v>Programmatic</v>
      </c>
      <c r="AL319" s="21" t="str">
        <f>Campanha!$B$3</f>
        <v>BR_AAF_DSY_NONMS_ND_AS_2019Q2APR_AFS_After-Sales</v>
      </c>
      <c r="AM319" s="21" t="str">
        <f t="shared" si="77"/>
        <v>BR_VW_AFS_dv360_DIS_PROG_CPM_STD_LDR_AAF_RON_CXD_After-Sales-Oficina-Classicos-REG04-rmkt-add-to-cart-ofertas_PD_160x600</v>
      </c>
      <c r="AN319" s="15" t="s">
        <v>809</v>
      </c>
    </row>
    <row r="320" spans="2:40" hidden="1" x14ac:dyDescent="0.25">
      <c r="B320" s="15" t="s">
        <v>872</v>
      </c>
      <c r="C320" s="15"/>
      <c r="D320" s="30" t="s">
        <v>873</v>
      </c>
      <c r="E320" s="22">
        <v>44155</v>
      </c>
      <c r="F320" s="22">
        <v>44196</v>
      </c>
      <c r="G320" s="15" t="s">
        <v>674</v>
      </c>
      <c r="H320" s="15" t="s">
        <v>811</v>
      </c>
      <c r="I320" s="15" t="s">
        <v>702</v>
      </c>
      <c r="J320" s="15" t="s">
        <v>325</v>
      </c>
      <c r="K320" s="15" t="s">
        <v>334</v>
      </c>
      <c r="L320" s="15" t="s">
        <v>358</v>
      </c>
      <c r="M320" s="15" t="s">
        <v>322</v>
      </c>
      <c r="N320" s="15" t="s">
        <v>708</v>
      </c>
      <c r="O320" s="15" t="s">
        <v>694</v>
      </c>
      <c r="P320" s="15" t="s">
        <v>1043</v>
      </c>
      <c r="Q320" s="15" t="s">
        <v>877</v>
      </c>
      <c r="R320" s="15" t="s">
        <v>835</v>
      </c>
      <c r="S320" s="15" t="s">
        <v>348</v>
      </c>
      <c r="T320" s="15" t="s">
        <v>484</v>
      </c>
      <c r="AC320" s="32" t="s">
        <v>885</v>
      </c>
      <c r="AD320" s="33" t="e">
        <f t="shared" si="78"/>
        <v>#N/A</v>
      </c>
      <c r="AE320" s="21" t="str">
        <f t="shared" si="72"/>
        <v>BR_VW_AFS_dv360_DIS_PROG_CPM_STD_LDR_AAF_RON_CXD_After-Sales-Oficina-Classicos-REG04-rmkt-add-to-cart-ofertas_PD_300x50</v>
      </c>
      <c r="AF320" s="21" t="str">
        <f t="shared" si="73"/>
        <v>BR_VW_AFS_dv360_DIS_PROG_CPM_STD_LDR_AAF_RON_CXD_After-Sales-Oficina-Classicos-REG04-rmkt-add-to-cart-ofertas_PD_300x50</v>
      </c>
      <c r="AG320" s="21" t="str">
        <f t="shared" si="74"/>
        <v>VW_After-Sales-rmkt-add-to-cart-ofertas_300x50_After-Sales-Oficina-Classicos-REG04-adserver</v>
      </c>
      <c r="AH320" s="21" t="str">
        <f t="shared" si="75"/>
        <v>https://www.oficinadeclassicos.com.br/index.aspx?utm_source=dv360&amp;utm_medium=Programmatic&amp;utm_content=BR_VW_AFS_dv360_DIS_PROG_CPM_STD_LDR_AAF_RON_CXD_After-Sales-Oficina-Classicos-REG04-rmkt-add-to-cart-ofertas_PD_300x50&amp;utm_campaign=BR_AAF_DSY_NONMS_ND_AS_2019Q2APR_AFS_After-Sales&amp;utm_term=%epid!_%ecid!_%eaid!</v>
      </c>
      <c r="AI320" s="21" t="str">
        <f t="shared" si="76"/>
        <v>TAG</v>
      </c>
      <c r="AJ320" s="15" t="str">
        <f t="shared" si="79"/>
        <v>dv360</v>
      </c>
      <c r="AK320" s="15" t="str">
        <f t="shared" si="80"/>
        <v>Programmatic</v>
      </c>
      <c r="AL320" s="21" t="str">
        <f>Campanha!$B$3</f>
        <v>BR_AAF_DSY_NONMS_ND_AS_2019Q2APR_AFS_After-Sales</v>
      </c>
      <c r="AM320" s="21" t="str">
        <f t="shared" si="77"/>
        <v>BR_VW_AFS_dv360_DIS_PROG_CPM_STD_LDR_AAF_RON_CXD_After-Sales-Oficina-Classicos-REG04-rmkt-add-to-cart-ofertas_PD_300x50</v>
      </c>
      <c r="AN320" s="15" t="s">
        <v>809</v>
      </c>
    </row>
    <row r="321" spans="2:40" hidden="1" x14ac:dyDescent="0.25">
      <c r="B321" s="15" t="s">
        <v>872</v>
      </c>
      <c r="C321" s="15"/>
      <c r="D321" s="30" t="s">
        <v>873</v>
      </c>
      <c r="E321" s="22">
        <v>44155</v>
      </c>
      <c r="F321" s="22">
        <v>44196</v>
      </c>
      <c r="G321" s="15" t="s">
        <v>674</v>
      </c>
      <c r="H321" s="15" t="s">
        <v>811</v>
      </c>
      <c r="I321" s="15" t="s">
        <v>702</v>
      </c>
      <c r="J321" s="15" t="s">
        <v>325</v>
      </c>
      <c r="K321" s="15" t="s">
        <v>334</v>
      </c>
      <c r="L321" s="15" t="s">
        <v>358</v>
      </c>
      <c r="M321" s="15" t="s">
        <v>322</v>
      </c>
      <c r="N321" s="15" t="s">
        <v>708</v>
      </c>
      <c r="O321" s="15" t="s">
        <v>694</v>
      </c>
      <c r="P321" s="15" t="s">
        <v>1043</v>
      </c>
      <c r="Q321" s="15" t="s">
        <v>877</v>
      </c>
      <c r="R321" s="15" t="s">
        <v>835</v>
      </c>
      <c r="S321" s="15" t="s">
        <v>348</v>
      </c>
      <c r="T321" s="15" t="s">
        <v>478</v>
      </c>
      <c r="AC321" s="32" t="s">
        <v>885</v>
      </c>
      <c r="AD321" s="33" t="e">
        <f t="shared" si="78"/>
        <v>#N/A</v>
      </c>
      <c r="AE321" s="21" t="str">
        <f t="shared" si="72"/>
        <v>BR_VW_AFS_dv360_DIS_PROG_CPM_STD_LDR_AAF_RON_CXD_After-Sales-Oficina-Classicos-REG04-rmkt-add-to-cart-ofertas_PD_300x250</v>
      </c>
      <c r="AF321" s="21" t="str">
        <f t="shared" si="73"/>
        <v>BR_VW_AFS_dv360_DIS_PROG_CPM_STD_LDR_AAF_RON_CXD_After-Sales-Oficina-Classicos-REG04-rmkt-add-to-cart-ofertas_PD_300x250</v>
      </c>
      <c r="AG321" s="21" t="str">
        <f t="shared" si="74"/>
        <v>VW_After-Sales-rmkt-add-to-cart-ofertas_300x250_After-Sales-Oficina-Classicos-REG04-adserver</v>
      </c>
      <c r="AH321" s="21" t="str">
        <f t="shared" si="75"/>
        <v>https://www.oficinadeclassicos.com.br/index.aspx?utm_source=dv360&amp;utm_medium=Programmatic&amp;utm_content=BR_VW_AFS_dv360_DIS_PROG_CPM_STD_LDR_AAF_RON_CXD_After-Sales-Oficina-Classicos-REG04-rmkt-add-to-cart-ofertas_PD_300x250&amp;utm_campaign=BR_AAF_DSY_NONMS_ND_AS_2019Q2APR_AFS_After-Sales&amp;utm_term=%epid!_%ecid!_%eaid!</v>
      </c>
      <c r="AI321" s="21" t="str">
        <f t="shared" si="76"/>
        <v>TAG</v>
      </c>
      <c r="AJ321" s="15" t="str">
        <f t="shared" si="79"/>
        <v>dv360</v>
      </c>
      <c r="AK321" s="15" t="str">
        <f t="shared" si="80"/>
        <v>Programmatic</v>
      </c>
      <c r="AL321" s="21" t="str">
        <f>Campanha!$B$3</f>
        <v>BR_AAF_DSY_NONMS_ND_AS_2019Q2APR_AFS_After-Sales</v>
      </c>
      <c r="AM321" s="21" t="str">
        <f t="shared" si="77"/>
        <v>BR_VW_AFS_dv360_DIS_PROG_CPM_STD_LDR_AAF_RON_CXD_After-Sales-Oficina-Classicos-REG04-rmkt-add-to-cart-ofertas_PD_300x250</v>
      </c>
      <c r="AN321" s="15" t="s">
        <v>809</v>
      </c>
    </row>
    <row r="322" spans="2:40" hidden="1" x14ac:dyDescent="0.25">
      <c r="B322" s="15" t="s">
        <v>872</v>
      </c>
      <c r="C322" s="15"/>
      <c r="D322" s="30" t="s">
        <v>873</v>
      </c>
      <c r="E322" s="22">
        <v>44155</v>
      </c>
      <c r="F322" s="22">
        <v>44196</v>
      </c>
      <c r="G322" s="15" t="s">
        <v>674</v>
      </c>
      <c r="H322" s="15" t="s">
        <v>811</v>
      </c>
      <c r="I322" s="15" t="s">
        <v>702</v>
      </c>
      <c r="J322" s="15" t="s">
        <v>325</v>
      </c>
      <c r="K322" s="15" t="s">
        <v>334</v>
      </c>
      <c r="L322" s="15" t="s">
        <v>358</v>
      </c>
      <c r="M322" s="15" t="s">
        <v>322</v>
      </c>
      <c r="N322" s="15" t="s">
        <v>708</v>
      </c>
      <c r="O322" s="15" t="s">
        <v>694</v>
      </c>
      <c r="P322" s="15" t="s">
        <v>1043</v>
      </c>
      <c r="Q322" s="15" t="s">
        <v>877</v>
      </c>
      <c r="R322" s="15" t="s">
        <v>835</v>
      </c>
      <c r="S322" s="15" t="s">
        <v>348</v>
      </c>
      <c r="T322" s="15" t="s">
        <v>614</v>
      </c>
      <c r="AC322" s="32" t="s">
        <v>885</v>
      </c>
      <c r="AD322" s="33" t="e">
        <f t="shared" si="78"/>
        <v>#N/A</v>
      </c>
      <c r="AE322" s="21" t="str">
        <f t="shared" si="72"/>
        <v>BR_VW_AFS_dv360_DIS_PROG_CPM_STD_LDR_AAF_RON_CXD_After-Sales-Oficina-Classicos-REG04-rmkt-add-to-cart-ofertas_PD_728x90</v>
      </c>
      <c r="AF322" s="21" t="str">
        <f t="shared" si="73"/>
        <v>BR_VW_AFS_dv360_DIS_PROG_CPM_STD_LDR_AAF_RON_CXD_After-Sales-Oficina-Classicos-REG04-rmkt-add-to-cart-ofertas_PD_728x90</v>
      </c>
      <c r="AG322" s="21" t="str">
        <f t="shared" si="74"/>
        <v>VW_After-Sales-rmkt-add-to-cart-ofertas_728x90_After-Sales-Oficina-Classicos-REG04-adserver</v>
      </c>
      <c r="AH322" s="21" t="str">
        <f t="shared" si="75"/>
        <v>https://www.oficinadeclassicos.com.br/index.aspx?utm_source=dv360&amp;utm_medium=Programmatic&amp;utm_content=BR_VW_AFS_dv360_DIS_PROG_CPM_STD_LDR_AAF_RON_CXD_After-Sales-Oficina-Classicos-REG04-rmkt-add-to-cart-ofertas_PD_728x90&amp;utm_campaign=BR_AAF_DSY_NONMS_ND_AS_2019Q2APR_AFS_After-Sales&amp;utm_term=%epid!_%ecid!_%eaid!</v>
      </c>
      <c r="AI322" s="21" t="str">
        <f t="shared" si="76"/>
        <v>TAG</v>
      </c>
      <c r="AJ322" s="15" t="str">
        <f t="shared" si="79"/>
        <v>dv360</v>
      </c>
      <c r="AK322" s="15" t="str">
        <f t="shared" si="80"/>
        <v>Programmatic</v>
      </c>
      <c r="AL322" s="21" t="str">
        <f>Campanha!$B$3</f>
        <v>BR_AAF_DSY_NONMS_ND_AS_2019Q2APR_AFS_After-Sales</v>
      </c>
      <c r="AM322" s="21" t="str">
        <f t="shared" si="77"/>
        <v>BR_VW_AFS_dv360_DIS_PROG_CPM_STD_LDR_AAF_RON_CXD_After-Sales-Oficina-Classicos-REG04-rmkt-add-to-cart-ofertas_PD_728x90</v>
      </c>
      <c r="AN322" s="15" t="s">
        <v>809</v>
      </c>
    </row>
    <row r="323" spans="2:40" hidden="1" x14ac:dyDescent="0.25">
      <c r="B323" s="15" t="s">
        <v>872</v>
      </c>
      <c r="C323" s="15"/>
      <c r="D323" s="30" t="s">
        <v>873</v>
      </c>
      <c r="E323" s="22">
        <v>44155</v>
      </c>
      <c r="F323" s="22">
        <v>44196</v>
      </c>
      <c r="G323" s="15" t="s">
        <v>674</v>
      </c>
      <c r="H323" s="15" t="s">
        <v>811</v>
      </c>
      <c r="I323" s="15" t="s">
        <v>702</v>
      </c>
      <c r="J323" s="15" t="s">
        <v>325</v>
      </c>
      <c r="K323" s="15" t="s">
        <v>334</v>
      </c>
      <c r="L323" s="15" t="s">
        <v>358</v>
      </c>
      <c r="M323" s="15" t="s">
        <v>322</v>
      </c>
      <c r="N323" s="15" t="s">
        <v>708</v>
      </c>
      <c r="O323" s="15" t="s">
        <v>694</v>
      </c>
      <c r="P323" s="15" t="s">
        <v>1043</v>
      </c>
      <c r="Q323" s="15" t="s">
        <v>877</v>
      </c>
      <c r="R323" s="15" t="s">
        <v>835</v>
      </c>
      <c r="S323" s="15" t="s">
        <v>348</v>
      </c>
      <c r="T323" s="15" t="s">
        <v>652</v>
      </c>
      <c r="AC323" s="32" t="s">
        <v>885</v>
      </c>
      <c r="AD323" s="33" t="e">
        <f t="shared" si="78"/>
        <v>#N/A</v>
      </c>
      <c r="AE323" s="21" t="str">
        <f t="shared" si="72"/>
        <v>BR_VW_AFS_dv360_DIS_PROG_CPM_STD_LDR_AAF_RON_CXD_After-Sales-Oficina-Classicos-REG04-rmkt-add-to-cart-ofertas_PD_970x250</v>
      </c>
      <c r="AF323" s="21" t="str">
        <f t="shared" si="73"/>
        <v>BR_VW_AFS_dv360_DIS_PROG_CPM_STD_LDR_AAF_RON_CXD_After-Sales-Oficina-Classicos-REG04-rmkt-add-to-cart-ofertas_PD_970x250</v>
      </c>
      <c r="AG323" s="21" t="str">
        <f t="shared" si="74"/>
        <v>VW_After-Sales-rmkt-add-to-cart-ofertas_970x250_After-Sales-Oficina-Classicos-REG04-adserver</v>
      </c>
      <c r="AH323" s="21" t="str">
        <f t="shared" si="75"/>
        <v>https://www.oficinadeclassicos.com.br/index.aspx?utm_source=dv360&amp;utm_medium=Programmatic&amp;utm_content=BR_VW_AFS_dv360_DIS_PROG_CPM_STD_LDR_AAF_RON_CXD_After-Sales-Oficina-Classicos-REG04-rmkt-add-to-cart-ofertas_PD_970x250&amp;utm_campaign=BR_AAF_DSY_NONMS_ND_AS_2019Q2APR_AFS_After-Sales&amp;utm_term=%epid!_%ecid!_%eaid!</v>
      </c>
      <c r="AI323" s="21" t="str">
        <f t="shared" si="76"/>
        <v>TAG</v>
      </c>
      <c r="AJ323" s="15" t="str">
        <f t="shared" si="79"/>
        <v>dv360</v>
      </c>
      <c r="AK323" s="15" t="str">
        <f t="shared" si="80"/>
        <v>Programmatic</v>
      </c>
      <c r="AL323" s="21" t="str">
        <f>Campanha!$B$3</f>
        <v>BR_AAF_DSY_NONMS_ND_AS_2019Q2APR_AFS_After-Sales</v>
      </c>
      <c r="AM323" s="21" t="str">
        <f t="shared" si="77"/>
        <v>BR_VW_AFS_dv360_DIS_PROG_CPM_STD_LDR_AAF_RON_CXD_After-Sales-Oficina-Classicos-REG04-rmkt-add-to-cart-ofertas_PD_970x250</v>
      </c>
      <c r="AN323" s="15" t="s">
        <v>809</v>
      </c>
    </row>
    <row r="324" spans="2:40" hidden="1" x14ac:dyDescent="0.25">
      <c r="B324" s="15" t="s">
        <v>872</v>
      </c>
      <c r="C324" s="15"/>
      <c r="D324" s="30" t="s">
        <v>873</v>
      </c>
      <c r="E324" s="22">
        <v>44155</v>
      </c>
      <c r="F324" s="22">
        <v>44196</v>
      </c>
      <c r="G324" s="15" t="s">
        <v>674</v>
      </c>
      <c r="H324" s="15" t="s">
        <v>811</v>
      </c>
      <c r="I324" s="15" t="s">
        <v>702</v>
      </c>
      <c r="J324" s="15" t="s">
        <v>325</v>
      </c>
      <c r="K324" s="15" t="s">
        <v>334</v>
      </c>
      <c r="L324" s="15" t="s">
        <v>358</v>
      </c>
      <c r="M324" s="15" t="s">
        <v>322</v>
      </c>
      <c r="N324" s="15" t="s">
        <v>708</v>
      </c>
      <c r="O324" s="15" t="s">
        <v>694</v>
      </c>
      <c r="P324" s="15" t="s">
        <v>1043</v>
      </c>
      <c r="Q324" s="15" t="s">
        <v>887</v>
      </c>
      <c r="R324" s="15" t="s">
        <v>835</v>
      </c>
      <c r="S324" s="15" t="s">
        <v>348</v>
      </c>
      <c r="T324" s="15" t="s">
        <v>457</v>
      </c>
      <c r="AC324" s="32" t="s">
        <v>885</v>
      </c>
      <c r="AD324" s="33" t="e">
        <f t="shared" si="78"/>
        <v>#N/A</v>
      </c>
      <c r="AE324" s="21" t="str">
        <f t="shared" si="72"/>
        <v>BR_VW_AFS_dv360_DIS_PROG_CPM_STD_LDR_AAF_RON_CXD_After-Sales-Oficina-Classicos-REG04-lal-lead-oficina_PD_160x600</v>
      </c>
      <c r="AF324" s="21" t="str">
        <f t="shared" si="73"/>
        <v>BR_VW_AFS_dv360_DIS_PROG_CPM_STD_LDR_AAF_RON_CXD_After-Sales-Oficina-Classicos-REG04-lal-lead-oficina_PD_160x600</v>
      </c>
      <c r="AG324" s="21" t="str">
        <f t="shared" si="74"/>
        <v>VW_After-Sales-lal-lead-oficina_160x600_After-Sales-Oficina-Classicos-REG04-adserver</v>
      </c>
      <c r="AH324" s="21" t="str">
        <f t="shared" si="75"/>
        <v>https://www.oficinadeclassicos.com.br/index.aspx?utm_source=dv360&amp;utm_medium=Programmatic&amp;utm_content=BR_VW_AFS_dv360_DIS_PROG_CPM_STD_LDR_AAF_RON_CXD_After-Sales-Oficina-Classicos-REG04-lal-lead-oficina_PD_160x600&amp;utm_campaign=BR_AAF_DSY_NONMS_ND_AS_2019Q2APR_AFS_After-Sales&amp;utm_term=%epid!_%ecid!_%eaid!</v>
      </c>
      <c r="AI324" s="21" t="str">
        <f t="shared" si="76"/>
        <v>TAG</v>
      </c>
      <c r="AJ324" s="15" t="str">
        <f t="shared" si="79"/>
        <v>dv360</v>
      </c>
      <c r="AK324" s="15" t="str">
        <f t="shared" si="80"/>
        <v>Programmatic</v>
      </c>
      <c r="AL324" s="21" t="str">
        <f>Campanha!$B$3</f>
        <v>BR_AAF_DSY_NONMS_ND_AS_2019Q2APR_AFS_After-Sales</v>
      </c>
      <c r="AM324" s="21" t="str">
        <f t="shared" si="77"/>
        <v>BR_VW_AFS_dv360_DIS_PROG_CPM_STD_LDR_AAF_RON_CXD_After-Sales-Oficina-Classicos-REG04-lal-lead-oficina_PD_160x600</v>
      </c>
      <c r="AN324" s="15" t="s">
        <v>809</v>
      </c>
    </row>
    <row r="325" spans="2:40" hidden="1" x14ac:dyDescent="0.25">
      <c r="B325" s="15" t="s">
        <v>872</v>
      </c>
      <c r="C325" s="15"/>
      <c r="D325" s="30" t="s">
        <v>873</v>
      </c>
      <c r="E325" s="22">
        <v>44155</v>
      </c>
      <c r="F325" s="22">
        <v>44196</v>
      </c>
      <c r="G325" s="15" t="s">
        <v>674</v>
      </c>
      <c r="H325" s="15" t="s">
        <v>811</v>
      </c>
      <c r="I325" s="15" t="s">
        <v>702</v>
      </c>
      <c r="J325" s="15" t="s">
        <v>325</v>
      </c>
      <c r="K325" s="15" t="s">
        <v>334</v>
      </c>
      <c r="L325" s="15" t="s">
        <v>358</v>
      </c>
      <c r="M325" s="15" t="s">
        <v>322</v>
      </c>
      <c r="N325" s="15" t="s">
        <v>708</v>
      </c>
      <c r="O325" s="15" t="s">
        <v>694</v>
      </c>
      <c r="P325" s="15" t="s">
        <v>1043</v>
      </c>
      <c r="Q325" s="15" t="s">
        <v>887</v>
      </c>
      <c r="R325" s="15" t="s">
        <v>835</v>
      </c>
      <c r="S325" s="15" t="s">
        <v>348</v>
      </c>
      <c r="T325" s="15" t="s">
        <v>484</v>
      </c>
      <c r="AC325" s="32" t="s">
        <v>885</v>
      </c>
      <c r="AD325" s="33" t="e">
        <f t="shared" si="78"/>
        <v>#N/A</v>
      </c>
      <c r="AE325" s="21" t="str">
        <f t="shared" si="72"/>
        <v>BR_VW_AFS_dv360_DIS_PROG_CPM_STD_LDR_AAF_RON_CXD_After-Sales-Oficina-Classicos-REG04-lal-lead-oficina_PD_300x50</v>
      </c>
      <c r="AF325" s="21" t="str">
        <f t="shared" si="73"/>
        <v>BR_VW_AFS_dv360_DIS_PROG_CPM_STD_LDR_AAF_RON_CXD_After-Sales-Oficina-Classicos-REG04-lal-lead-oficina_PD_300x50</v>
      </c>
      <c r="AG325" s="21" t="str">
        <f t="shared" si="74"/>
        <v>VW_After-Sales-lal-lead-oficina_300x50_After-Sales-Oficina-Classicos-REG04-adserver</v>
      </c>
      <c r="AH325" s="21" t="str">
        <f t="shared" si="75"/>
        <v>https://www.oficinadeclassicos.com.br/index.aspx?utm_source=dv360&amp;utm_medium=Programmatic&amp;utm_content=BR_VW_AFS_dv360_DIS_PROG_CPM_STD_LDR_AAF_RON_CXD_After-Sales-Oficina-Classicos-REG04-lal-lead-oficina_PD_300x50&amp;utm_campaign=BR_AAF_DSY_NONMS_ND_AS_2019Q2APR_AFS_After-Sales&amp;utm_term=%epid!_%ecid!_%eaid!</v>
      </c>
      <c r="AI325" s="21" t="str">
        <f t="shared" si="76"/>
        <v>TAG</v>
      </c>
      <c r="AJ325" s="15" t="str">
        <f t="shared" si="79"/>
        <v>dv360</v>
      </c>
      <c r="AK325" s="15" t="str">
        <f t="shared" si="80"/>
        <v>Programmatic</v>
      </c>
      <c r="AL325" s="21" t="str">
        <f>Campanha!$B$3</f>
        <v>BR_AAF_DSY_NONMS_ND_AS_2019Q2APR_AFS_After-Sales</v>
      </c>
      <c r="AM325" s="21" t="str">
        <f t="shared" si="77"/>
        <v>BR_VW_AFS_dv360_DIS_PROG_CPM_STD_LDR_AAF_RON_CXD_After-Sales-Oficina-Classicos-REG04-lal-lead-oficina_PD_300x50</v>
      </c>
      <c r="AN325" s="15" t="s">
        <v>809</v>
      </c>
    </row>
    <row r="326" spans="2:40" hidden="1" x14ac:dyDescent="0.25">
      <c r="B326" s="15" t="s">
        <v>872</v>
      </c>
      <c r="C326" s="15"/>
      <c r="D326" s="30" t="s">
        <v>873</v>
      </c>
      <c r="E326" s="22">
        <v>44155</v>
      </c>
      <c r="F326" s="22">
        <v>44196</v>
      </c>
      <c r="G326" s="15" t="s">
        <v>674</v>
      </c>
      <c r="H326" s="15" t="s">
        <v>811</v>
      </c>
      <c r="I326" s="15" t="s">
        <v>702</v>
      </c>
      <c r="J326" s="15" t="s">
        <v>325</v>
      </c>
      <c r="K326" s="15" t="s">
        <v>334</v>
      </c>
      <c r="L326" s="15" t="s">
        <v>358</v>
      </c>
      <c r="M326" s="15" t="s">
        <v>322</v>
      </c>
      <c r="N326" s="15" t="s">
        <v>708</v>
      </c>
      <c r="O326" s="15" t="s">
        <v>694</v>
      </c>
      <c r="P326" s="15" t="s">
        <v>1043</v>
      </c>
      <c r="Q326" s="15" t="s">
        <v>887</v>
      </c>
      <c r="R326" s="15" t="s">
        <v>835</v>
      </c>
      <c r="S326" s="15" t="s">
        <v>348</v>
      </c>
      <c r="T326" s="15" t="s">
        <v>478</v>
      </c>
      <c r="AC326" s="32" t="s">
        <v>885</v>
      </c>
      <c r="AD326" s="33" t="e">
        <f t="shared" si="78"/>
        <v>#N/A</v>
      </c>
      <c r="AE326" s="21" t="str">
        <f t="shared" si="72"/>
        <v>BR_VW_AFS_dv360_DIS_PROG_CPM_STD_LDR_AAF_RON_CXD_After-Sales-Oficina-Classicos-REG04-lal-lead-oficina_PD_300x250</v>
      </c>
      <c r="AF326" s="21" t="str">
        <f t="shared" si="73"/>
        <v>BR_VW_AFS_dv360_DIS_PROG_CPM_STD_LDR_AAF_RON_CXD_After-Sales-Oficina-Classicos-REG04-lal-lead-oficina_PD_300x250</v>
      </c>
      <c r="AG326" s="21" t="str">
        <f t="shared" si="74"/>
        <v>VW_After-Sales-lal-lead-oficina_300x250_After-Sales-Oficina-Classicos-REG04-adserver</v>
      </c>
      <c r="AH326" s="21" t="str">
        <f t="shared" si="75"/>
        <v>https://www.oficinadeclassicos.com.br/index.aspx?utm_source=dv360&amp;utm_medium=Programmatic&amp;utm_content=BR_VW_AFS_dv360_DIS_PROG_CPM_STD_LDR_AAF_RON_CXD_After-Sales-Oficina-Classicos-REG04-lal-lead-oficina_PD_300x250&amp;utm_campaign=BR_AAF_DSY_NONMS_ND_AS_2019Q2APR_AFS_After-Sales&amp;utm_term=%epid!_%ecid!_%eaid!</v>
      </c>
      <c r="AI326" s="21" t="str">
        <f t="shared" si="76"/>
        <v>TAG</v>
      </c>
      <c r="AJ326" s="15" t="str">
        <f t="shared" si="79"/>
        <v>dv360</v>
      </c>
      <c r="AK326" s="15" t="str">
        <f t="shared" si="80"/>
        <v>Programmatic</v>
      </c>
      <c r="AL326" s="21" t="str">
        <f>Campanha!$B$3</f>
        <v>BR_AAF_DSY_NONMS_ND_AS_2019Q2APR_AFS_After-Sales</v>
      </c>
      <c r="AM326" s="21" t="str">
        <f t="shared" si="77"/>
        <v>BR_VW_AFS_dv360_DIS_PROG_CPM_STD_LDR_AAF_RON_CXD_After-Sales-Oficina-Classicos-REG04-lal-lead-oficina_PD_300x250</v>
      </c>
      <c r="AN326" s="15" t="s">
        <v>809</v>
      </c>
    </row>
    <row r="327" spans="2:40" hidden="1" x14ac:dyDescent="0.25">
      <c r="B327" s="15" t="s">
        <v>872</v>
      </c>
      <c r="C327" s="15"/>
      <c r="D327" s="30" t="s">
        <v>873</v>
      </c>
      <c r="E327" s="22">
        <v>44155</v>
      </c>
      <c r="F327" s="22">
        <v>44196</v>
      </c>
      <c r="G327" s="15" t="s">
        <v>674</v>
      </c>
      <c r="H327" s="15" t="s">
        <v>811</v>
      </c>
      <c r="I327" s="15" t="s">
        <v>702</v>
      </c>
      <c r="J327" s="15" t="s">
        <v>325</v>
      </c>
      <c r="K327" s="15" t="s">
        <v>334</v>
      </c>
      <c r="L327" s="15" t="s">
        <v>358</v>
      </c>
      <c r="M327" s="15" t="s">
        <v>322</v>
      </c>
      <c r="N327" s="15" t="s">
        <v>708</v>
      </c>
      <c r="O327" s="15" t="s">
        <v>694</v>
      </c>
      <c r="P327" s="15" t="s">
        <v>1043</v>
      </c>
      <c r="Q327" s="15" t="s">
        <v>887</v>
      </c>
      <c r="R327" s="15" t="s">
        <v>835</v>
      </c>
      <c r="S327" s="15" t="s">
        <v>348</v>
      </c>
      <c r="T327" s="15" t="s">
        <v>614</v>
      </c>
      <c r="AC327" s="32" t="s">
        <v>885</v>
      </c>
      <c r="AD327" s="33" t="e">
        <f t="shared" si="78"/>
        <v>#N/A</v>
      </c>
      <c r="AE327" s="21" t="str">
        <f t="shared" si="72"/>
        <v>BR_VW_AFS_dv360_DIS_PROG_CPM_STD_LDR_AAF_RON_CXD_After-Sales-Oficina-Classicos-REG04-lal-lead-oficina_PD_728x90</v>
      </c>
      <c r="AF327" s="21" t="str">
        <f t="shared" si="73"/>
        <v>BR_VW_AFS_dv360_DIS_PROG_CPM_STD_LDR_AAF_RON_CXD_After-Sales-Oficina-Classicos-REG04-lal-lead-oficina_PD_728x90</v>
      </c>
      <c r="AG327" s="21" t="str">
        <f t="shared" si="74"/>
        <v>VW_After-Sales-lal-lead-oficina_728x90_After-Sales-Oficina-Classicos-REG04-adserver</v>
      </c>
      <c r="AH327" s="21" t="str">
        <f t="shared" si="75"/>
        <v>https://www.oficinadeclassicos.com.br/index.aspx?utm_source=dv360&amp;utm_medium=Programmatic&amp;utm_content=BR_VW_AFS_dv360_DIS_PROG_CPM_STD_LDR_AAF_RON_CXD_After-Sales-Oficina-Classicos-REG04-lal-lead-oficina_PD_728x90&amp;utm_campaign=BR_AAF_DSY_NONMS_ND_AS_2019Q2APR_AFS_After-Sales&amp;utm_term=%epid!_%ecid!_%eaid!</v>
      </c>
      <c r="AI327" s="21" t="str">
        <f t="shared" si="76"/>
        <v>TAG</v>
      </c>
      <c r="AJ327" s="15" t="str">
        <f t="shared" si="79"/>
        <v>dv360</v>
      </c>
      <c r="AK327" s="15" t="str">
        <f t="shared" si="80"/>
        <v>Programmatic</v>
      </c>
      <c r="AL327" s="21" t="str">
        <f>Campanha!$B$3</f>
        <v>BR_AAF_DSY_NONMS_ND_AS_2019Q2APR_AFS_After-Sales</v>
      </c>
      <c r="AM327" s="21" t="str">
        <f t="shared" si="77"/>
        <v>BR_VW_AFS_dv360_DIS_PROG_CPM_STD_LDR_AAF_RON_CXD_After-Sales-Oficina-Classicos-REG04-lal-lead-oficina_PD_728x90</v>
      </c>
      <c r="AN327" s="15" t="s">
        <v>809</v>
      </c>
    </row>
    <row r="328" spans="2:40" hidden="1" x14ac:dyDescent="0.25">
      <c r="B328" s="15" t="s">
        <v>872</v>
      </c>
      <c r="C328" s="15"/>
      <c r="D328" s="30" t="s">
        <v>873</v>
      </c>
      <c r="E328" s="22">
        <v>44155</v>
      </c>
      <c r="F328" s="22">
        <v>44196</v>
      </c>
      <c r="G328" s="15" t="s">
        <v>674</v>
      </c>
      <c r="H328" s="15" t="s">
        <v>811</v>
      </c>
      <c r="I328" s="15" t="s">
        <v>702</v>
      </c>
      <c r="J328" s="15" t="s">
        <v>325</v>
      </c>
      <c r="K328" s="15" t="s">
        <v>334</v>
      </c>
      <c r="L328" s="15" t="s">
        <v>358</v>
      </c>
      <c r="M328" s="15" t="s">
        <v>322</v>
      </c>
      <c r="N328" s="15" t="s">
        <v>708</v>
      </c>
      <c r="O328" s="15" t="s">
        <v>694</v>
      </c>
      <c r="P328" s="15" t="s">
        <v>1043</v>
      </c>
      <c r="Q328" s="15" t="s">
        <v>887</v>
      </c>
      <c r="R328" s="15" t="s">
        <v>835</v>
      </c>
      <c r="S328" s="15" t="s">
        <v>348</v>
      </c>
      <c r="T328" s="15" t="s">
        <v>652</v>
      </c>
      <c r="AC328" s="32" t="s">
        <v>885</v>
      </c>
      <c r="AD328" s="33" t="e">
        <f t="shared" si="78"/>
        <v>#N/A</v>
      </c>
      <c r="AE328" s="21" t="str">
        <f t="shared" si="72"/>
        <v>BR_VW_AFS_dv360_DIS_PROG_CPM_STD_LDR_AAF_RON_CXD_After-Sales-Oficina-Classicos-REG04-lal-lead-oficina_PD_970x250</v>
      </c>
      <c r="AF328" s="21" t="str">
        <f t="shared" si="73"/>
        <v>BR_VW_AFS_dv360_DIS_PROG_CPM_STD_LDR_AAF_RON_CXD_After-Sales-Oficina-Classicos-REG04-lal-lead-oficina_PD_970x250</v>
      </c>
      <c r="AG328" s="21" t="str">
        <f t="shared" si="74"/>
        <v>VW_After-Sales-lal-lead-oficina_970x250_After-Sales-Oficina-Classicos-REG04-adserver</v>
      </c>
      <c r="AH328" s="21" t="str">
        <f t="shared" si="75"/>
        <v>https://www.oficinadeclassicos.com.br/index.aspx?utm_source=dv360&amp;utm_medium=Programmatic&amp;utm_content=BR_VW_AFS_dv360_DIS_PROG_CPM_STD_LDR_AAF_RON_CXD_After-Sales-Oficina-Classicos-REG04-lal-lead-oficina_PD_970x250&amp;utm_campaign=BR_AAF_DSY_NONMS_ND_AS_2019Q2APR_AFS_After-Sales&amp;utm_term=%epid!_%ecid!_%eaid!</v>
      </c>
      <c r="AI328" s="21" t="str">
        <f t="shared" si="76"/>
        <v>TAG</v>
      </c>
      <c r="AJ328" s="15" t="str">
        <f t="shared" si="79"/>
        <v>dv360</v>
      </c>
      <c r="AK328" s="15" t="str">
        <f t="shared" si="80"/>
        <v>Programmatic</v>
      </c>
      <c r="AL328" s="21" t="str">
        <f>Campanha!$B$3</f>
        <v>BR_AAF_DSY_NONMS_ND_AS_2019Q2APR_AFS_After-Sales</v>
      </c>
      <c r="AM328" s="21" t="str">
        <f t="shared" si="77"/>
        <v>BR_VW_AFS_dv360_DIS_PROG_CPM_STD_LDR_AAF_RON_CXD_After-Sales-Oficina-Classicos-REG04-lal-lead-oficina_PD_970x250</v>
      </c>
      <c r="AN328" s="15" t="s">
        <v>809</v>
      </c>
    </row>
    <row r="329" spans="2:40" hidden="1" x14ac:dyDescent="0.25">
      <c r="B329" s="15" t="s">
        <v>872</v>
      </c>
      <c r="C329" s="15"/>
      <c r="D329" s="30" t="s">
        <v>873</v>
      </c>
      <c r="E329" s="22">
        <v>44155</v>
      </c>
      <c r="F329" s="22">
        <v>44196</v>
      </c>
      <c r="G329" s="15" t="s">
        <v>674</v>
      </c>
      <c r="H329" s="15" t="s">
        <v>811</v>
      </c>
      <c r="I329" s="15" t="s">
        <v>702</v>
      </c>
      <c r="J329" s="15" t="s">
        <v>325</v>
      </c>
      <c r="K329" s="15" t="s">
        <v>334</v>
      </c>
      <c r="L329" s="15" t="s">
        <v>358</v>
      </c>
      <c r="M329" s="15" t="s">
        <v>322</v>
      </c>
      <c r="N329" s="15" t="s">
        <v>708</v>
      </c>
      <c r="O329" s="15" t="s">
        <v>694</v>
      </c>
      <c r="P329" s="15" t="s">
        <v>1043</v>
      </c>
      <c r="Q329" s="15" t="s">
        <v>880</v>
      </c>
      <c r="R329" s="15" t="s">
        <v>835</v>
      </c>
      <c r="S329" s="15" t="s">
        <v>348</v>
      </c>
      <c r="T329" s="15" t="s">
        <v>457</v>
      </c>
      <c r="AC329" s="32" t="s">
        <v>885</v>
      </c>
      <c r="AD329" s="33" t="e">
        <f t="shared" si="78"/>
        <v>#N/A</v>
      </c>
      <c r="AE329" s="21" t="str">
        <f t="shared" si="72"/>
        <v>BR_VW_AFS_dv360_DIS_PROG_CPM_STD_LDR_AAF_RON_CXD_After-Sales-Oficina-Classicos-REG04-lal-add-to-cart-oficina_PD_160x600</v>
      </c>
      <c r="AF329" s="21" t="str">
        <f t="shared" si="73"/>
        <v>BR_VW_AFS_dv360_DIS_PROG_CPM_STD_LDR_AAF_RON_CXD_After-Sales-Oficina-Classicos-REG04-lal-add-to-cart-oficina_PD_160x600</v>
      </c>
      <c r="AG329" s="21" t="str">
        <f t="shared" si="74"/>
        <v>VW_After-Sales-lal-add-to-cart-oficina_160x600_After-Sales-Oficina-Classicos-REG04-adserver</v>
      </c>
      <c r="AH329" s="21" t="str">
        <f t="shared" si="75"/>
        <v>https://www.oficinadeclassicos.com.br/index.aspx?utm_source=dv360&amp;utm_medium=Programmatic&amp;utm_content=BR_VW_AFS_dv360_DIS_PROG_CPM_STD_LDR_AAF_RON_CXD_After-Sales-Oficina-Classicos-REG04-lal-add-to-cart-oficina_PD_160x600&amp;utm_campaign=BR_AAF_DSY_NONMS_ND_AS_2019Q2APR_AFS_After-Sales&amp;utm_term=%epid!_%ecid!_%eaid!</v>
      </c>
      <c r="AI329" s="21" t="str">
        <f t="shared" si="76"/>
        <v>TAG</v>
      </c>
      <c r="AJ329" s="15" t="str">
        <f t="shared" si="79"/>
        <v>dv360</v>
      </c>
      <c r="AK329" s="15" t="str">
        <f t="shared" si="80"/>
        <v>Programmatic</v>
      </c>
      <c r="AL329" s="21" t="str">
        <f>Campanha!$B$3</f>
        <v>BR_AAF_DSY_NONMS_ND_AS_2019Q2APR_AFS_After-Sales</v>
      </c>
      <c r="AM329" s="21" t="str">
        <f t="shared" si="77"/>
        <v>BR_VW_AFS_dv360_DIS_PROG_CPM_STD_LDR_AAF_RON_CXD_After-Sales-Oficina-Classicos-REG04-lal-add-to-cart-oficina_PD_160x600</v>
      </c>
      <c r="AN329" s="15" t="s">
        <v>809</v>
      </c>
    </row>
    <row r="330" spans="2:40" hidden="1" x14ac:dyDescent="0.25">
      <c r="B330" s="15" t="s">
        <v>872</v>
      </c>
      <c r="C330" s="15"/>
      <c r="D330" s="30" t="s">
        <v>873</v>
      </c>
      <c r="E330" s="22">
        <v>44155</v>
      </c>
      <c r="F330" s="22">
        <v>44196</v>
      </c>
      <c r="G330" s="15" t="s">
        <v>674</v>
      </c>
      <c r="H330" s="15" t="s">
        <v>811</v>
      </c>
      <c r="I330" s="15" t="s">
        <v>702</v>
      </c>
      <c r="J330" s="15" t="s">
        <v>325</v>
      </c>
      <c r="K330" s="15" t="s">
        <v>334</v>
      </c>
      <c r="L330" s="15" t="s">
        <v>358</v>
      </c>
      <c r="M330" s="15" t="s">
        <v>322</v>
      </c>
      <c r="N330" s="15" t="s">
        <v>708</v>
      </c>
      <c r="O330" s="15" t="s">
        <v>694</v>
      </c>
      <c r="P330" s="15" t="s">
        <v>1043</v>
      </c>
      <c r="Q330" s="15" t="s">
        <v>880</v>
      </c>
      <c r="R330" s="15" t="s">
        <v>835</v>
      </c>
      <c r="S330" s="15" t="s">
        <v>348</v>
      </c>
      <c r="T330" s="15" t="s">
        <v>484</v>
      </c>
      <c r="AC330" s="32" t="s">
        <v>885</v>
      </c>
      <c r="AD330" s="33" t="e">
        <f t="shared" si="78"/>
        <v>#N/A</v>
      </c>
      <c r="AE330" s="21" t="str">
        <f t="shared" si="72"/>
        <v>BR_VW_AFS_dv360_DIS_PROG_CPM_STD_LDR_AAF_RON_CXD_After-Sales-Oficina-Classicos-REG04-lal-add-to-cart-oficina_PD_300x50</v>
      </c>
      <c r="AF330" s="21" t="str">
        <f t="shared" si="73"/>
        <v>BR_VW_AFS_dv360_DIS_PROG_CPM_STD_LDR_AAF_RON_CXD_After-Sales-Oficina-Classicos-REG04-lal-add-to-cart-oficina_PD_300x50</v>
      </c>
      <c r="AG330" s="21" t="str">
        <f t="shared" si="74"/>
        <v>VW_After-Sales-lal-add-to-cart-oficina_300x50_After-Sales-Oficina-Classicos-REG04-adserver</v>
      </c>
      <c r="AH330" s="21" t="str">
        <f t="shared" si="75"/>
        <v>https://www.oficinadeclassicos.com.br/index.aspx?utm_source=dv360&amp;utm_medium=Programmatic&amp;utm_content=BR_VW_AFS_dv360_DIS_PROG_CPM_STD_LDR_AAF_RON_CXD_After-Sales-Oficina-Classicos-REG04-lal-add-to-cart-oficina_PD_300x50&amp;utm_campaign=BR_AAF_DSY_NONMS_ND_AS_2019Q2APR_AFS_After-Sales&amp;utm_term=%epid!_%ecid!_%eaid!</v>
      </c>
      <c r="AI330" s="21" t="str">
        <f t="shared" si="76"/>
        <v>TAG</v>
      </c>
      <c r="AJ330" s="15" t="str">
        <f t="shared" si="79"/>
        <v>dv360</v>
      </c>
      <c r="AK330" s="15" t="str">
        <f t="shared" si="80"/>
        <v>Programmatic</v>
      </c>
      <c r="AL330" s="21" t="str">
        <f>Campanha!$B$3</f>
        <v>BR_AAF_DSY_NONMS_ND_AS_2019Q2APR_AFS_After-Sales</v>
      </c>
      <c r="AM330" s="21" t="str">
        <f t="shared" si="77"/>
        <v>BR_VW_AFS_dv360_DIS_PROG_CPM_STD_LDR_AAF_RON_CXD_After-Sales-Oficina-Classicos-REG04-lal-add-to-cart-oficina_PD_300x50</v>
      </c>
      <c r="AN330" s="15" t="s">
        <v>809</v>
      </c>
    </row>
    <row r="331" spans="2:40" hidden="1" x14ac:dyDescent="0.25">
      <c r="B331" s="15" t="s">
        <v>872</v>
      </c>
      <c r="C331" s="15"/>
      <c r="D331" s="30" t="s">
        <v>873</v>
      </c>
      <c r="E331" s="22">
        <v>44155</v>
      </c>
      <c r="F331" s="22">
        <v>44196</v>
      </c>
      <c r="G331" s="15" t="s">
        <v>674</v>
      </c>
      <c r="H331" s="15" t="s">
        <v>811</v>
      </c>
      <c r="I331" s="15" t="s">
        <v>702</v>
      </c>
      <c r="J331" s="15" t="s">
        <v>325</v>
      </c>
      <c r="K331" s="15" t="s">
        <v>334</v>
      </c>
      <c r="L331" s="15" t="s">
        <v>358</v>
      </c>
      <c r="M331" s="15" t="s">
        <v>322</v>
      </c>
      <c r="N331" s="15" t="s">
        <v>708</v>
      </c>
      <c r="O331" s="15" t="s">
        <v>694</v>
      </c>
      <c r="P331" s="15" t="s">
        <v>1043</v>
      </c>
      <c r="Q331" s="15" t="s">
        <v>880</v>
      </c>
      <c r="R331" s="15" t="s">
        <v>835</v>
      </c>
      <c r="S331" s="15" t="s">
        <v>348</v>
      </c>
      <c r="T331" s="15" t="s">
        <v>478</v>
      </c>
      <c r="AC331" s="32" t="s">
        <v>885</v>
      </c>
      <c r="AD331" s="33" t="e">
        <f t="shared" si="78"/>
        <v>#N/A</v>
      </c>
      <c r="AE331" s="21" t="str">
        <f t="shared" si="72"/>
        <v>BR_VW_AFS_dv360_DIS_PROG_CPM_STD_LDR_AAF_RON_CXD_After-Sales-Oficina-Classicos-REG04-lal-add-to-cart-oficina_PD_300x250</v>
      </c>
      <c r="AF331" s="21" t="str">
        <f t="shared" si="73"/>
        <v>BR_VW_AFS_dv360_DIS_PROG_CPM_STD_LDR_AAF_RON_CXD_After-Sales-Oficina-Classicos-REG04-lal-add-to-cart-oficina_PD_300x250</v>
      </c>
      <c r="AG331" s="21" t="str">
        <f t="shared" si="74"/>
        <v>VW_After-Sales-lal-add-to-cart-oficina_300x250_After-Sales-Oficina-Classicos-REG04-adserver</v>
      </c>
      <c r="AH331" s="21" t="str">
        <f t="shared" si="75"/>
        <v>https://www.oficinadeclassicos.com.br/index.aspx?utm_source=dv360&amp;utm_medium=Programmatic&amp;utm_content=BR_VW_AFS_dv360_DIS_PROG_CPM_STD_LDR_AAF_RON_CXD_After-Sales-Oficina-Classicos-REG04-lal-add-to-cart-oficina_PD_300x250&amp;utm_campaign=BR_AAF_DSY_NONMS_ND_AS_2019Q2APR_AFS_After-Sales&amp;utm_term=%epid!_%ecid!_%eaid!</v>
      </c>
      <c r="AI331" s="21" t="str">
        <f t="shared" si="76"/>
        <v>TAG</v>
      </c>
      <c r="AJ331" s="15" t="str">
        <f t="shared" si="79"/>
        <v>dv360</v>
      </c>
      <c r="AK331" s="15" t="str">
        <f t="shared" si="80"/>
        <v>Programmatic</v>
      </c>
      <c r="AL331" s="21" t="str">
        <f>Campanha!$B$3</f>
        <v>BR_AAF_DSY_NONMS_ND_AS_2019Q2APR_AFS_After-Sales</v>
      </c>
      <c r="AM331" s="21" t="str">
        <f t="shared" si="77"/>
        <v>BR_VW_AFS_dv360_DIS_PROG_CPM_STD_LDR_AAF_RON_CXD_After-Sales-Oficina-Classicos-REG04-lal-add-to-cart-oficina_PD_300x250</v>
      </c>
      <c r="AN331" s="15" t="s">
        <v>809</v>
      </c>
    </row>
    <row r="332" spans="2:40" hidden="1" x14ac:dyDescent="0.25">
      <c r="B332" s="15" t="s">
        <v>872</v>
      </c>
      <c r="C332" s="15"/>
      <c r="D332" s="30" t="s">
        <v>873</v>
      </c>
      <c r="E332" s="22">
        <v>44155</v>
      </c>
      <c r="F332" s="22">
        <v>44196</v>
      </c>
      <c r="G332" s="15" t="s">
        <v>674</v>
      </c>
      <c r="H332" s="15" t="s">
        <v>811</v>
      </c>
      <c r="I332" s="15" t="s">
        <v>702</v>
      </c>
      <c r="J332" s="15" t="s">
        <v>325</v>
      </c>
      <c r="K332" s="15" t="s">
        <v>334</v>
      </c>
      <c r="L332" s="15" t="s">
        <v>358</v>
      </c>
      <c r="M332" s="15" t="s">
        <v>322</v>
      </c>
      <c r="N332" s="15" t="s">
        <v>708</v>
      </c>
      <c r="O332" s="15" t="s">
        <v>694</v>
      </c>
      <c r="P332" s="15" t="s">
        <v>1043</v>
      </c>
      <c r="Q332" s="15" t="s">
        <v>880</v>
      </c>
      <c r="R332" s="15" t="s">
        <v>835</v>
      </c>
      <c r="S332" s="15" t="s">
        <v>348</v>
      </c>
      <c r="T332" s="15" t="s">
        <v>614</v>
      </c>
      <c r="AC332" s="32" t="s">
        <v>885</v>
      </c>
      <c r="AD332" s="33" t="e">
        <f t="shared" si="78"/>
        <v>#N/A</v>
      </c>
      <c r="AE332" s="21" t="str">
        <f t="shared" si="72"/>
        <v>BR_VW_AFS_dv360_DIS_PROG_CPM_STD_LDR_AAF_RON_CXD_After-Sales-Oficina-Classicos-REG04-lal-add-to-cart-oficina_PD_728x90</v>
      </c>
      <c r="AF332" s="21" t="str">
        <f t="shared" si="73"/>
        <v>BR_VW_AFS_dv360_DIS_PROG_CPM_STD_LDR_AAF_RON_CXD_After-Sales-Oficina-Classicos-REG04-lal-add-to-cart-oficina_PD_728x90</v>
      </c>
      <c r="AG332" s="21" t="str">
        <f t="shared" si="74"/>
        <v>VW_After-Sales-lal-add-to-cart-oficina_728x90_After-Sales-Oficina-Classicos-REG04-adserver</v>
      </c>
      <c r="AH332" s="21" t="str">
        <f t="shared" si="75"/>
        <v>https://www.oficinadeclassicos.com.br/index.aspx?utm_source=dv360&amp;utm_medium=Programmatic&amp;utm_content=BR_VW_AFS_dv360_DIS_PROG_CPM_STD_LDR_AAF_RON_CXD_After-Sales-Oficina-Classicos-REG04-lal-add-to-cart-oficina_PD_728x90&amp;utm_campaign=BR_AAF_DSY_NONMS_ND_AS_2019Q2APR_AFS_After-Sales&amp;utm_term=%epid!_%ecid!_%eaid!</v>
      </c>
      <c r="AI332" s="21" t="str">
        <f t="shared" si="76"/>
        <v>TAG</v>
      </c>
      <c r="AJ332" s="15" t="str">
        <f t="shared" si="79"/>
        <v>dv360</v>
      </c>
      <c r="AK332" s="15" t="str">
        <f t="shared" si="80"/>
        <v>Programmatic</v>
      </c>
      <c r="AL332" s="21" t="str">
        <f>Campanha!$B$3</f>
        <v>BR_AAF_DSY_NONMS_ND_AS_2019Q2APR_AFS_After-Sales</v>
      </c>
      <c r="AM332" s="21" t="str">
        <f t="shared" si="77"/>
        <v>BR_VW_AFS_dv360_DIS_PROG_CPM_STD_LDR_AAF_RON_CXD_After-Sales-Oficina-Classicos-REG04-lal-add-to-cart-oficina_PD_728x90</v>
      </c>
      <c r="AN332" s="15" t="s">
        <v>809</v>
      </c>
    </row>
    <row r="333" spans="2:40" hidden="1" x14ac:dyDescent="0.25">
      <c r="B333" s="15" t="s">
        <v>872</v>
      </c>
      <c r="C333" s="15"/>
      <c r="D333" s="30" t="s">
        <v>873</v>
      </c>
      <c r="E333" s="22">
        <v>44155</v>
      </c>
      <c r="F333" s="22">
        <v>44196</v>
      </c>
      <c r="G333" s="15" t="s">
        <v>674</v>
      </c>
      <c r="H333" s="15" t="s">
        <v>811</v>
      </c>
      <c r="I333" s="15" t="s">
        <v>702</v>
      </c>
      <c r="J333" s="15" t="s">
        <v>325</v>
      </c>
      <c r="K333" s="15" t="s">
        <v>334</v>
      </c>
      <c r="L333" s="15" t="s">
        <v>358</v>
      </c>
      <c r="M333" s="15" t="s">
        <v>322</v>
      </c>
      <c r="N333" s="15" t="s">
        <v>708</v>
      </c>
      <c r="O333" s="15" t="s">
        <v>694</v>
      </c>
      <c r="P333" s="15" t="s">
        <v>1043</v>
      </c>
      <c r="Q333" s="15" t="s">
        <v>880</v>
      </c>
      <c r="R333" s="15" t="s">
        <v>835</v>
      </c>
      <c r="S333" s="15" t="s">
        <v>348</v>
      </c>
      <c r="T333" s="15" t="s">
        <v>652</v>
      </c>
      <c r="AC333" s="32" t="s">
        <v>885</v>
      </c>
      <c r="AD333" s="33" t="e">
        <f t="shared" si="78"/>
        <v>#N/A</v>
      </c>
      <c r="AE333" s="21" t="str">
        <f t="shared" si="72"/>
        <v>BR_VW_AFS_dv360_DIS_PROG_CPM_STD_LDR_AAF_RON_CXD_After-Sales-Oficina-Classicos-REG04-lal-add-to-cart-oficina_PD_970x250</v>
      </c>
      <c r="AF333" s="21" t="str">
        <f t="shared" si="73"/>
        <v>BR_VW_AFS_dv360_DIS_PROG_CPM_STD_LDR_AAF_RON_CXD_After-Sales-Oficina-Classicos-REG04-lal-add-to-cart-oficina_PD_970x250</v>
      </c>
      <c r="AG333" s="21" t="str">
        <f t="shared" si="74"/>
        <v>VW_After-Sales-lal-add-to-cart-oficina_970x250_After-Sales-Oficina-Classicos-REG04-adserver</v>
      </c>
      <c r="AH333" s="21" t="str">
        <f t="shared" si="75"/>
        <v>https://www.oficinadeclassicos.com.br/index.aspx?utm_source=dv360&amp;utm_medium=Programmatic&amp;utm_content=BR_VW_AFS_dv360_DIS_PROG_CPM_STD_LDR_AAF_RON_CXD_After-Sales-Oficina-Classicos-REG04-lal-add-to-cart-oficina_PD_970x250&amp;utm_campaign=BR_AAF_DSY_NONMS_ND_AS_2019Q2APR_AFS_After-Sales&amp;utm_term=%epid!_%ecid!_%eaid!</v>
      </c>
      <c r="AI333" s="21" t="str">
        <f t="shared" si="76"/>
        <v>TAG</v>
      </c>
      <c r="AJ333" s="15" t="str">
        <f t="shared" si="79"/>
        <v>dv360</v>
      </c>
      <c r="AK333" s="15" t="str">
        <f t="shared" si="80"/>
        <v>Programmatic</v>
      </c>
      <c r="AL333" s="21" t="str">
        <f>Campanha!$B$3</f>
        <v>BR_AAF_DSY_NONMS_ND_AS_2019Q2APR_AFS_After-Sales</v>
      </c>
      <c r="AM333" s="21" t="str">
        <f t="shared" si="77"/>
        <v>BR_VW_AFS_dv360_DIS_PROG_CPM_STD_LDR_AAF_RON_CXD_After-Sales-Oficina-Classicos-REG04-lal-add-to-cart-oficina_PD_970x250</v>
      </c>
      <c r="AN333" s="15" t="s">
        <v>809</v>
      </c>
    </row>
    <row r="334" spans="2:40" hidden="1" x14ac:dyDescent="0.25">
      <c r="B334" s="15" t="s">
        <v>872</v>
      </c>
      <c r="C334" s="15"/>
      <c r="D334" s="30" t="s">
        <v>873</v>
      </c>
      <c r="E334" s="22">
        <v>44155</v>
      </c>
      <c r="F334" s="22">
        <v>44196</v>
      </c>
      <c r="G334" s="15" t="s">
        <v>674</v>
      </c>
      <c r="H334" s="15" t="s">
        <v>811</v>
      </c>
      <c r="I334" s="15" t="s">
        <v>702</v>
      </c>
      <c r="J334" s="15" t="s">
        <v>325</v>
      </c>
      <c r="K334" s="15" t="s">
        <v>334</v>
      </c>
      <c r="L334" s="15" t="s">
        <v>358</v>
      </c>
      <c r="M334" s="15" t="s">
        <v>322</v>
      </c>
      <c r="N334" s="15" t="s">
        <v>708</v>
      </c>
      <c r="O334" s="15" t="s">
        <v>694</v>
      </c>
      <c r="P334" s="15" t="s">
        <v>1043</v>
      </c>
      <c r="Q334" s="15" t="s">
        <v>888</v>
      </c>
      <c r="R334" s="15" t="s">
        <v>835</v>
      </c>
      <c r="S334" s="15" t="s">
        <v>348</v>
      </c>
      <c r="T334" s="15" t="s">
        <v>457</v>
      </c>
      <c r="AC334" s="32" t="s">
        <v>885</v>
      </c>
      <c r="AD334" s="33" t="e">
        <f t="shared" si="78"/>
        <v>#N/A</v>
      </c>
      <c r="AE334" s="21" t="str">
        <f t="shared" si="72"/>
        <v>BR_VW_AFS_dv360_DIS_PROG_CPM_STD_LDR_AAF_RON_CXD_After-Sales-Oficina-Classicos-REG04-lal-home-oficina_PD_160x600</v>
      </c>
      <c r="AF334" s="21" t="str">
        <f t="shared" si="73"/>
        <v>BR_VW_AFS_dv360_DIS_PROG_CPM_STD_LDR_AAF_RON_CXD_After-Sales-Oficina-Classicos-REG04-lal-home-oficina_PD_160x600</v>
      </c>
      <c r="AG334" s="21" t="str">
        <f t="shared" si="74"/>
        <v>VW_After-Sales-lal-home-oficina_160x600_After-Sales-Oficina-Classicos-REG04-adserver</v>
      </c>
      <c r="AH334" s="21" t="str">
        <f t="shared" si="75"/>
        <v>https://www.oficinadeclassicos.com.br/index.aspx?utm_source=dv360&amp;utm_medium=Programmatic&amp;utm_content=BR_VW_AFS_dv360_DIS_PROG_CPM_STD_LDR_AAF_RON_CXD_After-Sales-Oficina-Classicos-REG04-lal-home-oficina_PD_160x600&amp;utm_campaign=BR_AAF_DSY_NONMS_ND_AS_2019Q2APR_AFS_After-Sales&amp;utm_term=%epid!_%ecid!_%eaid!</v>
      </c>
      <c r="AI334" s="21" t="str">
        <f t="shared" si="76"/>
        <v>TAG</v>
      </c>
      <c r="AJ334" s="15" t="str">
        <f t="shared" si="79"/>
        <v>dv360</v>
      </c>
      <c r="AK334" s="15" t="str">
        <f t="shared" si="80"/>
        <v>Programmatic</v>
      </c>
      <c r="AL334" s="21" t="str">
        <f>Campanha!$B$3</f>
        <v>BR_AAF_DSY_NONMS_ND_AS_2019Q2APR_AFS_After-Sales</v>
      </c>
      <c r="AM334" s="21" t="str">
        <f t="shared" si="77"/>
        <v>BR_VW_AFS_dv360_DIS_PROG_CPM_STD_LDR_AAF_RON_CXD_After-Sales-Oficina-Classicos-REG04-lal-home-oficina_PD_160x600</v>
      </c>
      <c r="AN334" s="15" t="s">
        <v>809</v>
      </c>
    </row>
    <row r="335" spans="2:40" hidden="1" x14ac:dyDescent="0.25">
      <c r="B335" s="15" t="s">
        <v>872</v>
      </c>
      <c r="C335" s="15"/>
      <c r="D335" s="30" t="s">
        <v>873</v>
      </c>
      <c r="E335" s="22">
        <v>44155</v>
      </c>
      <c r="F335" s="22">
        <v>44196</v>
      </c>
      <c r="G335" s="15" t="s">
        <v>674</v>
      </c>
      <c r="H335" s="15" t="s">
        <v>811</v>
      </c>
      <c r="I335" s="15" t="s">
        <v>702</v>
      </c>
      <c r="J335" s="15" t="s">
        <v>325</v>
      </c>
      <c r="K335" s="15" t="s">
        <v>334</v>
      </c>
      <c r="L335" s="15" t="s">
        <v>358</v>
      </c>
      <c r="M335" s="15" t="s">
        <v>322</v>
      </c>
      <c r="N335" s="15" t="s">
        <v>708</v>
      </c>
      <c r="O335" s="15" t="s">
        <v>694</v>
      </c>
      <c r="P335" s="15" t="s">
        <v>1043</v>
      </c>
      <c r="Q335" s="15" t="s">
        <v>888</v>
      </c>
      <c r="R335" s="15" t="s">
        <v>835</v>
      </c>
      <c r="S335" s="15" t="s">
        <v>348</v>
      </c>
      <c r="T335" s="15" t="s">
        <v>484</v>
      </c>
      <c r="AC335" s="32" t="s">
        <v>885</v>
      </c>
      <c r="AD335" s="33" t="e">
        <f t="shared" si="78"/>
        <v>#N/A</v>
      </c>
      <c r="AE335" s="21" t="str">
        <f t="shared" si="72"/>
        <v>BR_VW_AFS_dv360_DIS_PROG_CPM_STD_LDR_AAF_RON_CXD_After-Sales-Oficina-Classicos-REG04-lal-home-oficina_PD_300x50</v>
      </c>
      <c r="AF335" s="21" t="str">
        <f t="shared" si="73"/>
        <v>BR_VW_AFS_dv360_DIS_PROG_CPM_STD_LDR_AAF_RON_CXD_After-Sales-Oficina-Classicos-REG04-lal-home-oficina_PD_300x50</v>
      </c>
      <c r="AG335" s="21" t="str">
        <f t="shared" si="74"/>
        <v>VW_After-Sales-lal-home-oficina_300x50_After-Sales-Oficina-Classicos-REG04-adserver</v>
      </c>
      <c r="AH335" s="21" t="str">
        <f t="shared" si="75"/>
        <v>https://www.oficinadeclassicos.com.br/index.aspx?utm_source=dv360&amp;utm_medium=Programmatic&amp;utm_content=BR_VW_AFS_dv360_DIS_PROG_CPM_STD_LDR_AAF_RON_CXD_After-Sales-Oficina-Classicos-REG04-lal-home-oficina_PD_300x50&amp;utm_campaign=BR_AAF_DSY_NONMS_ND_AS_2019Q2APR_AFS_After-Sales&amp;utm_term=%epid!_%ecid!_%eaid!</v>
      </c>
      <c r="AI335" s="21" t="str">
        <f t="shared" si="76"/>
        <v>TAG</v>
      </c>
      <c r="AJ335" s="15" t="str">
        <f t="shared" si="79"/>
        <v>dv360</v>
      </c>
      <c r="AK335" s="15" t="str">
        <f t="shared" si="80"/>
        <v>Programmatic</v>
      </c>
      <c r="AL335" s="21" t="str">
        <f>Campanha!$B$3</f>
        <v>BR_AAF_DSY_NONMS_ND_AS_2019Q2APR_AFS_After-Sales</v>
      </c>
      <c r="AM335" s="21" t="str">
        <f t="shared" si="77"/>
        <v>BR_VW_AFS_dv360_DIS_PROG_CPM_STD_LDR_AAF_RON_CXD_After-Sales-Oficina-Classicos-REG04-lal-home-oficina_PD_300x50</v>
      </c>
      <c r="AN335" s="15" t="s">
        <v>809</v>
      </c>
    </row>
    <row r="336" spans="2:40" hidden="1" x14ac:dyDescent="0.25">
      <c r="B336" s="15" t="s">
        <v>872</v>
      </c>
      <c r="C336" s="15"/>
      <c r="D336" s="30" t="s">
        <v>873</v>
      </c>
      <c r="E336" s="22">
        <v>44155</v>
      </c>
      <c r="F336" s="22">
        <v>44196</v>
      </c>
      <c r="G336" s="15" t="s">
        <v>674</v>
      </c>
      <c r="H336" s="15" t="s">
        <v>811</v>
      </c>
      <c r="I336" s="15" t="s">
        <v>702</v>
      </c>
      <c r="J336" s="15" t="s">
        <v>325</v>
      </c>
      <c r="K336" s="15" t="s">
        <v>334</v>
      </c>
      <c r="L336" s="15" t="s">
        <v>358</v>
      </c>
      <c r="M336" s="15" t="s">
        <v>322</v>
      </c>
      <c r="N336" s="15" t="s">
        <v>708</v>
      </c>
      <c r="O336" s="15" t="s">
        <v>694</v>
      </c>
      <c r="P336" s="15" t="s">
        <v>1043</v>
      </c>
      <c r="Q336" s="15" t="s">
        <v>888</v>
      </c>
      <c r="R336" s="15" t="s">
        <v>835</v>
      </c>
      <c r="S336" s="15" t="s">
        <v>348</v>
      </c>
      <c r="T336" s="15" t="s">
        <v>478</v>
      </c>
      <c r="AC336" s="32" t="s">
        <v>885</v>
      </c>
      <c r="AD336" s="33" t="e">
        <f t="shared" si="78"/>
        <v>#N/A</v>
      </c>
      <c r="AE336" s="21" t="str">
        <f t="shared" ref="AE336:AE399" si="81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IF(col_servidopor="adserver-rotacionar",col_segmentacao,CONCATENATE(col_localfreetype,"-",col_segmentacao)),"_",VLOOKUP(col_paidvsav,tab_paidvsav,2,FALSE),"_",col_size))</f>
        <v>BR_VW_AFS_dv360_DIS_PROG_CPM_STD_LDR_AAF_RON_CXD_After-Sales-Oficina-Classicos-REG04-lal-home-oficina_PD_300x250</v>
      </c>
      <c r="AF336" s="21" t="str">
        <f t="shared" ref="AF336:AF399" si="82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col_localfreetype,"-",col_segmentacao,"_",VLOOKUP(col_paidvsav,tab_paidvsav,2,FALSE),"_",col_size))</f>
        <v>BR_VW_AFS_dv360_DIS_PROG_CPM_STD_LDR_AAF_RON_CXD_After-Sales-Oficina-Classicos-REG04-lal-home-oficina_PD_300x250</v>
      </c>
      <c r="AG336" s="21" t="str">
        <f t="shared" ref="AG336:AG399" si="83">CONCATENATE("VW","_",cel_modelvariant,"-",col_segmentacao,"_",col_size,"_",col_localfreetype,"-",IF(col_servidopor="portal",col_supplier,"adserver"))</f>
        <v>VW_After-Sales-lal-home-oficina_300x250_After-Sales-Oficina-Classicos-REG04-adserver</v>
      </c>
      <c r="AH336" s="21" t="str">
        <f t="shared" ref="AH336:AH399" si="84">faxineiro(CONCATENATE(col_url,IF(ISNUMBER(FIND("?",col_url)),"&amp;","?"),"utm_source=",col_utmsource,"&amp;utm_medium=",col_utmmedium,"&amp;utm_content=",col_utmcontent,"&amp;utm_campaign=",col_utmcampaign,"&amp;utm_term=",col_keyword))</f>
        <v>https://www.oficinadeclassicos.com.br/index.aspx?utm_source=dv360&amp;utm_medium=Programmatic&amp;utm_content=BR_VW_AFS_dv360_DIS_PROG_CPM_STD_LDR_AAF_RON_CXD_After-Sales-Oficina-Classicos-REG04-lal-home-oficina_PD_300x250&amp;utm_campaign=BR_AAF_DSY_NONMS_ND_AS_2019Q2APR_AFS_After-Sales&amp;utm_term=%epid!_%ecid!_%eaid!</v>
      </c>
      <c r="AI336" s="21" t="str">
        <f t="shared" ref="AI336:AI399" si="85">IFERROR(IF(col_servidopor="portal",VLOOKUP(col_placement,tab_contadores,2,FALSE),"TAG"),"Contador")</f>
        <v>TAG</v>
      </c>
      <c r="AJ336" s="15" t="str">
        <f t="shared" si="79"/>
        <v>dv360</v>
      </c>
      <c r="AK336" s="15" t="str">
        <f t="shared" si="80"/>
        <v>Programmatic</v>
      </c>
      <c r="AL336" s="21" t="str">
        <f>Campanha!$B$3</f>
        <v>BR_AAF_DSY_NONMS_ND_AS_2019Q2APR_AFS_After-Sales</v>
      </c>
      <c r="AM336" s="21" t="str">
        <f t="shared" ref="AM336:AM399" si="86">col_adname</f>
        <v>BR_VW_AFS_dv360_DIS_PROG_CPM_STD_LDR_AAF_RON_CXD_After-Sales-Oficina-Classicos-REG04-lal-home-oficina_PD_300x250</v>
      </c>
      <c r="AN336" s="15" t="s">
        <v>809</v>
      </c>
    </row>
    <row r="337" spans="2:40" hidden="1" x14ac:dyDescent="0.25">
      <c r="B337" s="15" t="s">
        <v>872</v>
      </c>
      <c r="C337" s="15"/>
      <c r="D337" s="30" t="s">
        <v>873</v>
      </c>
      <c r="E337" s="22">
        <v>44155</v>
      </c>
      <c r="F337" s="22">
        <v>44196</v>
      </c>
      <c r="G337" s="15" t="s">
        <v>674</v>
      </c>
      <c r="H337" s="15" t="s">
        <v>811</v>
      </c>
      <c r="I337" s="15" t="s">
        <v>702</v>
      </c>
      <c r="J337" s="15" t="s">
        <v>325</v>
      </c>
      <c r="K337" s="15" t="s">
        <v>334</v>
      </c>
      <c r="L337" s="15" t="s">
        <v>358</v>
      </c>
      <c r="M337" s="15" t="s">
        <v>322</v>
      </c>
      <c r="N337" s="15" t="s">
        <v>708</v>
      </c>
      <c r="O337" s="15" t="s">
        <v>694</v>
      </c>
      <c r="P337" s="15" t="s">
        <v>1043</v>
      </c>
      <c r="Q337" s="15" t="s">
        <v>888</v>
      </c>
      <c r="R337" s="15" t="s">
        <v>835</v>
      </c>
      <c r="S337" s="15" t="s">
        <v>348</v>
      </c>
      <c r="T337" s="15" t="s">
        <v>614</v>
      </c>
      <c r="AC337" s="32" t="s">
        <v>885</v>
      </c>
      <c r="AD337" s="33" t="e">
        <f t="shared" si="78"/>
        <v>#N/A</v>
      </c>
      <c r="AE337" s="21" t="str">
        <f t="shared" si="81"/>
        <v>BR_VW_AFS_dv360_DIS_PROG_CPM_STD_LDR_AAF_RON_CXD_After-Sales-Oficina-Classicos-REG04-lal-home-oficina_PD_728x90</v>
      </c>
      <c r="AF337" s="21" t="str">
        <f t="shared" si="82"/>
        <v>BR_VW_AFS_dv360_DIS_PROG_CPM_STD_LDR_AAF_RON_CXD_After-Sales-Oficina-Classicos-REG04-lal-home-oficina_PD_728x90</v>
      </c>
      <c r="AG337" s="21" t="str">
        <f t="shared" si="83"/>
        <v>VW_After-Sales-lal-home-oficina_728x90_After-Sales-Oficina-Classicos-REG04-adserver</v>
      </c>
      <c r="AH337" s="21" t="str">
        <f t="shared" si="84"/>
        <v>https://www.oficinadeclassicos.com.br/index.aspx?utm_source=dv360&amp;utm_medium=Programmatic&amp;utm_content=BR_VW_AFS_dv360_DIS_PROG_CPM_STD_LDR_AAF_RON_CXD_After-Sales-Oficina-Classicos-REG04-lal-home-oficina_PD_728x90&amp;utm_campaign=BR_AAF_DSY_NONMS_ND_AS_2019Q2APR_AFS_After-Sales&amp;utm_term=%epid!_%ecid!_%eaid!</v>
      </c>
      <c r="AI337" s="21" t="str">
        <f t="shared" si="85"/>
        <v>TAG</v>
      </c>
      <c r="AJ337" s="15" t="str">
        <f t="shared" si="79"/>
        <v>dv360</v>
      </c>
      <c r="AK337" s="15" t="str">
        <f t="shared" si="80"/>
        <v>Programmatic</v>
      </c>
      <c r="AL337" s="21" t="str">
        <f>Campanha!$B$3</f>
        <v>BR_AAF_DSY_NONMS_ND_AS_2019Q2APR_AFS_After-Sales</v>
      </c>
      <c r="AM337" s="21" t="str">
        <f t="shared" si="86"/>
        <v>BR_VW_AFS_dv360_DIS_PROG_CPM_STD_LDR_AAF_RON_CXD_After-Sales-Oficina-Classicos-REG04-lal-home-oficina_PD_728x90</v>
      </c>
      <c r="AN337" s="15" t="s">
        <v>809</v>
      </c>
    </row>
    <row r="338" spans="2:40" hidden="1" x14ac:dyDescent="0.25">
      <c r="B338" s="15" t="s">
        <v>872</v>
      </c>
      <c r="C338" s="15"/>
      <c r="D338" s="30" t="s">
        <v>873</v>
      </c>
      <c r="E338" s="22">
        <v>44155</v>
      </c>
      <c r="F338" s="22">
        <v>44196</v>
      </c>
      <c r="G338" s="15" t="s">
        <v>674</v>
      </c>
      <c r="H338" s="15" t="s">
        <v>811</v>
      </c>
      <c r="I338" s="15" t="s">
        <v>702</v>
      </c>
      <c r="J338" s="15" t="s">
        <v>325</v>
      </c>
      <c r="K338" s="15" t="s">
        <v>334</v>
      </c>
      <c r="L338" s="15" t="s">
        <v>358</v>
      </c>
      <c r="M338" s="15" t="s">
        <v>322</v>
      </c>
      <c r="N338" s="15" t="s">
        <v>708</v>
      </c>
      <c r="O338" s="15" t="s">
        <v>694</v>
      </c>
      <c r="P338" s="15" t="s">
        <v>1043</v>
      </c>
      <c r="Q338" s="15" t="s">
        <v>888</v>
      </c>
      <c r="R338" s="15" t="s">
        <v>835</v>
      </c>
      <c r="S338" s="15" t="s">
        <v>348</v>
      </c>
      <c r="T338" s="15" t="s">
        <v>652</v>
      </c>
      <c r="AC338" s="32" t="s">
        <v>885</v>
      </c>
      <c r="AD338" s="33" t="e">
        <f t="shared" si="78"/>
        <v>#N/A</v>
      </c>
      <c r="AE338" s="21" t="str">
        <f t="shared" si="81"/>
        <v>BR_VW_AFS_dv360_DIS_PROG_CPM_STD_LDR_AAF_RON_CXD_After-Sales-Oficina-Classicos-REG04-lal-home-oficina_PD_970x250</v>
      </c>
      <c r="AF338" s="21" t="str">
        <f t="shared" si="82"/>
        <v>BR_VW_AFS_dv360_DIS_PROG_CPM_STD_LDR_AAF_RON_CXD_After-Sales-Oficina-Classicos-REG04-lal-home-oficina_PD_970x250</v>
      </c>
      <c r="AG338" s="21" t="str">
        <f t="shared" si="83"/>
        <v>VW_After-Sales-lal-home-oficina_970x250_After-Sales-Oficina-Classicos-REG04-adserver</v>
      </c>
      <c r="AH338" s="21" t="str">
        <f t="shared" si="84"/>
        <v>https://www.oficinadeclassicos.com.br/index.aspx?utm_source=dv360&amp;utm_medium=Programmatic&amp;utm_content=BR_VW_AFS_dv360_DIS_PROG_CPM_STD_LDR_AAF_RON_CXD_After-Sales-Oficina-Classicos-REG04-lal-home-oficina_PD_970x250&amp;utm_campaign=BR_AAF_DSY_NONMS_ND_AS_2019Q2APR_AFS_After-Sales&amp;utm_term=%epid!_%ecid!_%eaid!</v>
      </c>
      <c r="AI338" s="21" t="str">
        <f t="shared" si="85"/>
        <v>TAG</v>
      </c>
      <c r="AJ338" s="15" t="str">
        <f t="shared" si="79"/>
        <v>dv360</v>
      </c>
      <c r="AK338" s="15" t="str">
        <f t="shared" si="80"/>
        <v>Programmatic</v>
      </c>
      <c r="AL338" s="21" t="str">
        <f>Campanha!$B$3</f>
        <v>BR_AAF_DSY_NONMS_ND_AS_2019Q2APR_AFS_After-Sales</v>
      </c>
      <c r="AM338" s="21" t="str">
        <f t="shared" si="86"/>
        <v>BR_VW_AFS_dv360_DIS_PROG_CPM_STD_LDR_AAF_RON_CXD_After-Sales-Oficina-Classicos-REG04-lal-home-oficina_PD_970x250</v>
      </c>
      <c r="AN338" s="15" t="s">
        <v>809</v>
      </c>
    </row>
    <row r="339" spans="2:40" hidden="1" x14ac:dyDescent="0.25">
      <c r="B339" s="15" t="s">
        <v>872</v>
      </c>
      <c r="C339" s="15"/>
      <c r="D339" s="30" t="s">
        <v>873</v>
      </c>
      <c r="E339" s="22">
        <v>44155</v>
      </c>
      <c r="F339" s="22">
        <v>44196</v>
      </c>
      <c r="G339" s="15" t="s">
        <v>674</v>
      </c>
      <c r="H339" s="15" t="s">
        <v>811</v>
      </c>
      <c r="I339" s="15" t="s">
        <v>702</v>
      </c>
      <c r="J339" s="15" t="s">
        <v>325</v>
      </c>
      <c r="K339" s="15" t="s">
        <v>334</v>
      </c>
      <c r="L339" s="15" t="s">
        <v>358</v>
      </c>
      <c r="M339" s="15" t="s">
        <v>322</v>
      </c>
      <c r="N339" s="15" t="s">
        <v>708</v>
      </c>
      <c r="O339" s="15" t="s">
        <v>694</v>
      </c>
      <c r="P339" s="15" t="s">
        <v>1043</v>
      </c>
      <c r="Q339" s="15" t="s">
        <v>878</v>
      </c>
      <c r="R339" s="15" t="s">
        <v>835</v>
      </c>
      <c r="S339" s="15" t="s">
        <v>348</v>
      </c>
      <c r="T339" s="15" t="s">
        <v>457</v>
      </c>
      <c r="AC339" s="32" t="s">
        <v>885</v>
      </c>
      <c r="AD339" s="33" t="e">
        <f t="shared" si="78"/>
        <v>#N/A</v>
      </c>
      <c r="AE339" s="21" t="str">
        <f t="shared" si="81"/>
        <v>BR_VW_AFS_dv360_DIS_PROG_CPM_STD_LDR_AAF_RON_CXD_After-Sales-Oficina-Classicos-REG04-rmkt-visita-home-oficina_PD_160x600</v>
      </c>
      <c r="AF339" s="21" t="str">
        <f t="shared" si="82"/>
        <v>BR_VW_AFS_dv360_DIS_PROG_CPM_STD_LDR_AAF_RON_CXD_After-Sales-Oficina-Classicos-REG04-rmkt-visita-home-oficina_PD_160x600</v>
      </c>
      <c r="AG339" s="21" t="str">
        <f t="shared" si="83"/>
        <v>VW_After-Sales-rmkt-visita-home-oficina_160x600_After-Sales-Oficina-Classicos-REG04-adserver</v>
      </c>
      <c r="AH339" s="21" t="str">
        <f t="shared" si="84"/>
        <v>https://www.oficinadeclassicos.com.br/index.aspx?utm_source=dv360&amp;utm_medium=Programmatic&amp;utm_content=BR_VW_AFS_dv360_DIS_PROG_CPM_STD_LDR_AAF_RON_CXD_After-Sales-Oficina-Classicos-REG04-rmkt-visita-home-oficina_PD_160x600&amp;utm_campaign=BR_AAF_DSY_NONMS_ND_AS_2019Q2APR_AFS_After-Sales&amp;utm_term=%epid!_%ecid!_%eaid!</v>
      </c>
      <c r="AI339" s="21" t="str">
        <f t="shared" si="85"/>
        <v>TAG</v>
      </c>
      <c r="AJ339" s="15" t="str">
        <f t="shared" si="79"/>
        <v>dv360</v>
      </c>
      <c r="AK339" s="15" t="str">
        <f t="shared" si="80"/>
        <v>Programmatic</v>
      </c>
      <c r="AL339" s="21" t="str">
        <f>Campanha!$B$3</f>
        <v>BR_AAF_DSY_NONMS_ND_AS_2019Q2APR_AFS_After-Sales</v>
      </c>
      <c r="AM339" s="21" t="str">
        <f t="shared" si="86"/>
        <v>BR_VW_AFS_dv360_DIS_PROG_CPM_STD_LDR_AAF_RON_CXD_After-Sales-Oficina-Classicos-REG04-rmkt-visita-home-oficina_PD_160x600</v>
      </c>
      <c r="AN339" s="15" t="s">
        <v>809</v>
      </c>
    </row>
    <row r="340" spans="2:40" hidden="1" x14ac:dyDescent="0.25">
      <c r="B340" s="15" t="s">
        <v>872</v>
      </c>
      <c r="C340" s="15"/>
      <c r="D340" s="30" t="s">
        <v>873</v>
      </c>
      <c r="E340" s="22">
        <v>44155</v>
      </c>
      <c r="F340" s="22">
        <v>44196</v>
      </c>
      <c r="G340" s="15" t="s">
        <v>674</v>
      </c>
      <c r="H340" s="15" t="s">
        <v>811</v>
      </c>
      <c r="I340" s="15" t="s">
        <v>702</v>
      </c>
      <c r="J340" s="15" t="s">
        <v>325</v>
      </c>
      <c r="K340" s="15" t="s">
        <v>334</v>
      </c>
      <c r="L340" s="15" t="s">
        <v>358</v>
      </c>
      <c r="M340" s="15" t="s">
        <v>322</v>
      </c>
      <c r="N340" s="15" t="s">
        <v>708</v>
      </c>
      <c r="O340" s="15" t="s">
        <v>694</v>
      </c>
      <c r="P340" s="15" t="s">
        <v>1043</v>
      </c>
      <c r="Q340" s="15" t="s">
        <v>878</v>
      </c>
      <c r="R340" s="15" t="s">
        <v>835</v>
      </c>
      <c r="S340" s="15" t="s">
        <v>348</v>
      </c>
      <c r="T340" s="15" t="s">
        <v>484</v>
      </c>
      <c r="AC340" s="32" t="s">
        <v>885</v>
      </c>
      <c r="AD340" s="33" t="e">
        <f t="shared" si="78"/>
        <v>#N/A</v>
      </c>
      <c r="AE340" s="21" t="str">
        <f t="shared" si="81"/>
        <v>BR_VW_AFS_dv360_DIS_PROG_CPM_STD_LDR_AAF_RON_CXD_After-Sales-Oficina-Classicos-REG04-rmkt-visita-home-oficina_PD_300x50</v>
      </c>
      <c r="AF340" s="21" t="str">
        <f t="shared" si="82"/>
        <v>BR_VW_AFS_dv360_DIS_PROG_CPM_STD_LDR_AAF_RON_CXD_After-Sales-Oficina-Classicos-REG04-rmkt-visita-home-oficina_PD_300x50</v>
      </c>
      <c r="AG340" s="21" t="str">
        <f t="shared" si="83"/>
        <v>VW_After-Sales-rmkt-visita-home-oficina_300x50_After-Sales-Oficina-Classicos-REG04-adserver</v>
      </c>
      <c r="AH340" s="21" t="str">
        <f t="shared" si="84"/>
        <v>https://www.oficinadeclassicos.com.br/index.aspx?utm_source=dv360&amp;utm_medium=Programmatic&amp;utm_content=BR_VW_AFS_dv360_DIS_PROG_CPM_STD_LDR_AAF_RON_CXD_After-Sales-Oficina-Classicos-REG04-rmkt-visita-home-oficina_PD_300x50&amp;utm_campaign=BR_AAF_DSY_NONMS_ND_AS_2019Q2APR_AFS_After-Sales&amp;utm_term=%epid!_%ecid!_%eaid!</v>
      </c>
      <c r="AI340" s="21" t="str">
        <f t="shared" si="85"/>
        <v>TAG</v>
      </c>
      <c r="AJ340" s="15" t="str">
        <f t="shared" si="79"/>
        <v>dv360</v>
      </c>
      <c r="AK340" s="15" t="str">
        <f t="shared" si="80"/>
        <v>Programmatic</v>
      </c>
      <c r="AL340" s="21" t="str">
        <f>Campanha!$B$3</f>
        <v>BR_AAF_DSY_NONMS_ND_AS_2019Q2APR_AFS_After-Sales</v>
      </c>
      <c r="AM340" s="21" t="str">
        <f t="shared" si="86"/>
        <v>BR_VW_AFS_dv360_DIS_PROG_CPM_STD_LDR_AAF_RON_CXD_After-Sales-Oficina-Classicos-REG04-rmkt-visita-home-oficina_PD_300x50</v>
      </c>
      <c r="AN340" s="15" t="s">
        <v>809</v>
      </c>
    </row>
    <row r="341" spans="2:40" hidden="1" x14ac:dyDescent="0.25">
      <c r="B341" s="15" t="s">
        <v>872</v>
      </c>
      <c r="C341" s="15"/>
      <c r="D341" s="30" t="s">
        <v>873</v>
      </c>
      <c r="E341" s="22">
        <v>44155</v>
      </c>
      <c r="F341" s="22">
        <v>44196</v>
      </c>
      <c r="G341" s="15" t="s">
        <v>674</v>
      </c>
      <c r="H341" s="15" t="s">
        <v>811</v>
      </c>
      <c r="I341" s="15" t="s">
        <v>702</v>
      </c>
      <c r="J341" s="15" t="s">
        <v>325</v>
      </c>
      <c r="K341" s="15" t="s">
        <v>334</v>
      </c>
      <c r="L341" s="15" t="s">
        <v>358</v>
      </c>
      <c r="M341" s="15" t="s">
        <v>322</v>
      </c>
      <c r="N341" s="15" t="s">
        <v>708</v>
      </c>
      <c r="O341" s="15" t="s">
        <v>694</v>
      </c>
      <c r="P341" s="15" t="s">
        <v>1043</v>
      </c>
      <c r="Q341" s="15" t="s">
        <v>878</v>
      </c>
      <c r="R341" s="15" t="s">
        <v>835</v>
      </c>
      <c r="S341" s="15" t="s">
        <v>348</v>
      </c>
      <c r="T341" s="15" t="s">
        <v>478</v>
      </c>
      <c r="AC341" s="32" t="s">
        <v>885</v>
      </c>
      <c r="AD341" s="33" t="e">
        <f t="shared" si="78"/>
        <v>#N/A</v>
      </c>
      <c r="AE341" s="21" t="str">
        <f t="shared" si="81"/>
        <v>BR_VW_AFS_dv360_DIS_PROG_CPM_STD_LDR_AAF_RON_CXD_After-Sales-Oficina-Classicos-REG04-rmkt-visita-home-oficina_PD_300x250</v>
      </c>
      <c r="AF341" s="21" t="str">
        <f t="shared" si="82"/>
        <v>BR_VW_AFS_dv360_DIS_PROG_CPM_STD_LDR_AAF_RON_CXD_After-Sales-Oficina-Classicos-REG04-rmkt-visita-home-oficina_PD_300x250</v>
      </c>
      <c r="AG341" s="21" t="str">
        <f t="shared" si="83"/>
        <v>VW_After-Sales-rmkt-visita-home-oficina_300x250_After-Sales-Oficina-Classicos-REG04-adserver</v>
      </c>
      <c r="AH341" s="21" t="str">
        <f t="shared" si="84"/>
        <v>https://www.oficinadeclassicos.com.br/index.aspx?utm_source=dv360&amp;utm_medium=Programmatic&amp;utm_content=BR_VW_AFS_dv360_DIS_PROG_CPM_STD_LDR_AAF_RON_CXD_After-Sales-Oficina-Classicos-REG04-rmkt-visita-home-oficina_PD_300x250&amp;utm_campaign=BR_AAF_DSY_NONMS_ND_AS_2019Q2APR_AFS_After-Sales&amp;utm_term=%epid!_%ecid!_%eaid!</v>
      </c>
      <c r="AI341" s="21" t="str">
        <f t="shared" si="85"/>
        <v>TAG</v>
      </c>
      <c r="AJ341" s="15" t="str">
        <f t="shared" si="79"/>
        <v>dv360</v>
      </c>
      <c r="AK341" s="15" t="str">
        <f t="shared" si="80"/>
        <v>Programmatic</v>
      </c>
      <c r="AL341" s="21" t="str">
        <f>Campanha!$B$3</f>
        <v>BR_AAF_DSY_NONMS_ND_AS_2019Q2APR_AFS_After-Sales</v>
      </c>
      <c r="AM341" s="21" t="str">
        <f t="shared" si="86"/>
        <v>BR_VW_AFS_dv360_DIS_PROG_CPM_STD_LDR_AAF_RON_CXD_After-Sales-Oficina-Classicos-REG04-rmkt-visita-home-oficina_PD_300x250</v>
      </c>
      <c r="AN341" s="15" t="s">
        <v>809</v>
      </c>
    </row>
    <row r="342" spans="2:40" hidden="1" x14ac:dyDescent="0.25">
      <c r="B342" s="15" t="s">
        <v>872</v>
      </c>
      <c r="C342" s="15"/>
      <c r="D342" s="30" t="s">
        <v>873</v>
      </c>
      <c r="E342" s="22">
        <v>44155</v>
      </c>
      <c r="F342" s="22">
        <v>44196</v>
      </c>
      <c r="G342" s="15" t="s">
        <v>674</v>
      </c>
      <c r="H342" s="15" t="s">
        <v>811</v>
      </c>
      <c r="I342" s="15" t="s">
        <v>702</v>
      </c>
      <c r="J342" s="15" t="s">
        <v>325</v>
      </c>
      <c r="K342" s="15" t="s">
        <v>334</v>
      </c>
      <c r="L342" s="15" t="s">
        <v>358</v>
      </c>
      <c r="M342" s="15" t="s">
        <v>322</v>
      </c>
      <c r="N342" s="15" t="s">
        <v>708</v>
      </c>
      <c r="O342" s="15" t="s">
        <v>694</v>
      </c>
      <c r="P342" s="15" t="s">
        <v>1043</v>
      </c>
      <c r="Q342" s="15" t="s">
        <v>878</v>
      </c>
      <c r="R342" s="15" t="s">
        <v>835</v>
      </c>
      <c r="S342" s="15" t="s">
        <v>348</v>
      </c>
      <c r="T342" s="15" t="s">
        <v>614</v>
      </c>
      <c r="AC342" s="32" t="s">
        <v>885</v>
      </c>
      <c r="AD342" s="33" t="e">
        <f t="shared" si="78"/>
        <v>#N/A</v>
      </c>
      <c r="AE342" s="21" t="str">
        <f t="shared" si="81"/>
        <v>BR_VW_AFS_dv360_DIS_PROG_CPM_STD_LDR_AAF_RON_CXD_After-Sales-Oficina-Classicos-REG04-rmkt-visita-home-oficina_PD_728x90</v>
      </c>
      <c r="AF342" s="21" t="str">
        <f t="shared" si="82"/>
        <v>BR_VW_AFS_dv360_DIS_PROG_CPM_STD_LDR_AAF_RON_CXD_After-Sales-Oficina-Classicos-REG04-rmkt-visita-home-oficina_PD_728x90</v>
      </c>
      <c r="AG342" s="21" t="str">
        <f t="shared" si="83"/>
        <v>VW_After-Sales-rmkt-visita-home-oficina_728x90_After-Sales-Oficina-Classicos-REG04-adserver</v>
      </c>
      <c r="AH342" s="21" t="str">
        <f t="shared" si="84"/>
        <v>https://www.oficinadeclassicos.com.br/index.aspx?utm_source=dv360&amp;utm_medium=Programmatic&amp;utm_content=BR_VW_AFS_dv360_DIS_PROG_CPM_STD_LDR_AAF_RON_CXD_After-Sales-Oficina-Classicos-REG04-rmkt-visita-home-oficina_PD_728x90&amp;utm_campaign=BR_AAF_DSY_NONMS_ND_AS_2019Q2APR_AFS_After-Sales&amp;utm_term=%epid!_%ecid!_%eaid!</v>
      </c>
      <c r="AI342" s="21" t="str">
        <f t="shared" si="85"/>
        <v>TAG</v>
      </c>
      <c r="AJ342" s="15" t="str">
        <f t="shared" si="79"/>
        <v>dv360</v>
      </c>
      <c r="AK342" s="15" t="str">
        <f t="shared" si="80"/>
        <v>Programmatic</v>
      </c>
      <c r="AL342" s="21" t="str">
        <f>Campanha!$B$3</f>
        <v>BR_AAF_DSY_NONMS_ND_AS_2019Q2APR_AFS_After-Sales</v>
      </c>
      <c r="AM342" s="21" t="str">
        <f t="shared" si="86"/>
        <v>BR_VW_AFS_dv360_DIS_PROG_CPM_STD_LDR_AAF_RON_CXD_After-Sales-Oficina-Classicos-REG04-rmkt-visita-home-oficina_PD_728x90</v>
      </c>
      <c r="AN342" s="15" t="s">
        <v>809</v>
      </c>
    </row>
    <row r="343" spans="2:40" hidden="1" x14ac:dyDescent="0.25">
      <c r="B343" s="15" t="s">
        <v>872</v>
      </c>
      <c r="C343" s="15"/>
      <c r="D343" s="30" t="s">
        <v>873</v>
      </c>
      <c r="E343" s="22">
        <v>44155</v>
      </c>
      <c r="F343" s="22">
        <v>44196</v>
      </c>
      <c r="G343" s="15" t="s">
        <v>674</v>
      </c>
      <c r="H343" s="15" t="s">
        <v>811</v>
      </c>
      <c r="I343" s="15" t="s">
        <v>702</v>
      </c>
      <c r="J343" s="15" t="s">
        <v>325</v>
      </c>
      <c r="K343" s="15" t="s">
        <v>334</v>
      </c>
      <c r="L343" s="15" t="s">
        <v>358</v>
      </c>
      <c r="M343" s="15" t="s">
        <v>322</v>
      </c>
      <c r="N343" s="15" t="s">
        <v>708</v>
      </c>
      <c r="O343" s="15" t="s">
        <v>694</v>
      </c>
      <c r="P343" s="15" t="s">
        <v>1043</v>
      </c>
      <c r="Q343" s="15" t="s">
        <v>878</v>
      </c>
      <c r="R343" s="15" t="s">
        <v>835</v>
      </c>
      <c r="S343" s="15" t="s">
        <v>348</v>
      </c>
      <c r="T343" s="15" t="s">
        <v>652</v>
      </c>
      <c r="AC343" s="32" t="s">
        <v>885</v>
      </c>
      <c r="AD343" s="33" t="e">
        <f t="shared" si="78"/>
        <v>#N/A</v>
      </c>
      <c r="AE343" s="21" t="str">
        <f t="shared" si="81"/>
        <v>BR_VW_AFS_dv360_DIS_PROG_CPM_STD_LDR_AAF_RON_CXD_After-Sales-Oficina-Classicos-REG04-rmkt-visita-home-oficina_PD_970x250</v>
      </c>
      <c r="AF343" s="21" t="str">
        <f t="shared" si="82"/>
        <v>BR_VW_AFS_dv360_DIS_PROG_CPM_STD_LDR_AAF_RON_CXD_After-Sales-Oficina-Classicos-REG04-rmkt-visita-home-oficina_PD_970x250</v>
      </c>
      <c r="AG343" s="21" t="str">
        <f t="shared" si="83"/>
        <v>VW_After-Sales-rmkt-visita-home-oficina_970x250_After-Sales-Oficina-Classicos-REG04-adserver</v>
      </c>
      <c r="AH343" s="21" t="str">
        <f t="shared" si="84"/>
        <v>https://www.oficinadeclassicos.com.br/index.aspx?utm_source=dv360&amp;utm_medium=Programmatic&amp;utm_content=BR_VW_AFS_dv360_DIS_PROG_CPM_STD_LDR_AAF_RON_CXD_After-Sales-Oficina-Classicos-REG04-rmkt-visita-home-oficina_PD_970x250&amp;utm_campaign=BR_AAF_DSY_NONMS_ND_AS_2019Q2APR_AFS_After-Sales&amp;utm_term=%epid!_%ecid!_%eaid!</v>
      </c>
      <c r="AI343" s="21" t="str">
        <f t="shared" si="85"/>
        <v>TAG</v>
      </c>
      <c r="AJ343" s="15" t="str">
        <f t="shared" si="79"/>
        <v>dv360</v>
      </c>
      <c r="AK343" s="15" t="str">
        <f t="shared" si="80"/>
        <v>Programmatic</v>
      </c>
      <c r="AL343" s="21" t="str">
        <f>Campanha!$B$3</f>
        <v>BR_AAF_DSY_NONMS_ND_AS_2019Q2APR_AFS_After-Sales</v>
      </c>
      <c r="AM343" s="21" t="str">
        <f t="shared" si="86"/>
        <v>BR_VW_AFS_dv360_DIS_PROG_CPM_STD_LDR_AAF_RON_CXD_After-Sales-Oficina-Classicos-REG04-rmkt-visita-home-oficina_PD_970x250</v>
      </c>
      <c r="AN343" s="15" t="s">
        <v>809</v>
      </c>
    </row>
    <row r="344" spans="2:40" hidden="1" x14ac:dyDescent="0.25">
      <c r="B344" s="15" t="s">
        <v>872</v>
      </c>
      <c r="C344" s="15"/>
      <c r="D344" s="30" t="s">
        <v>873</v>
      </c>
      <c r="E344" s="22">
        <v>44155</v>
      </c>
      <c r="F344" s="22">
        <v>44196</v>
      </c>
      <c r="G344" s="15" t="s">
        <v>674</v>
      </c>
      <c r="H344" s="15" t="s">
        <v>811</v>
      </c>
      <c r="I344" s="15" t="s">
        <v>702</v>
      </c>
      <c r="J344" s="15" t="s">
        <v>325</v>
      </c>
      <c r="K344" s="15" t="s">
        <v>334</v>
      </c>
      <c r="L344" s="15" t="s">
        <v>358</v>
      </c>
      <c r="M344" s="15" t="s">
        <v>322</v>
      </c>
      <c r="N344" s="15" t="s">
        <v>708</v>
      </c>
      <c r="O344" s="15" t="s">
        <v>694</v>
      </c>
      <c r="P344" s="15" t="s">
        <v>1043</v>
      </c>
      <c r="Q344" s="15" t="s">
        <v>881</v>
      </c>
      <c r="R344" s="15" t="s">
        <v>835</v>
      </c>
      <c r="S344" s="15" t="s">
        <v>348</v>
      </c>
      <c r="T344" s="15" t="s">
        <v>457</v>
      </c>
      <c r="AC344" s="32" t="s">
        <v>885</v>
      </c>
      <c r="AD344" s="33" t="e">
        <f t="shared" si="78"/>
        <v>#N/A</v>
      </c>
      <c r="AE344" s="21" t="str">
        <f t="shared" si="81"/>
        <v>BR_VW_AFS_dv360_DIS_PROG_CPM_STD_LDR_AAF_RON_CXD_After-Sales-Oficina-Classicos-REG04-rmkt-add-to-cart-oficina_PD_160x600</v>
      </c>
      <c r="AF344" s="21" t="str">
        <f t="shared" si="82"/>
        <v>BR_VW_AFS_dv360_DIS_PROG_CPM_STD_LDR_AAF_RON_CXD_After-Sales-Oficina-Classicos-REG04-rmkt-add-to-cart-oficina_PD_160x600</v>
      </c>
      <c r="AG344" s="21" t="str">
        <f t="shared" si="83"/>
        <v>VW_After-Sales-rmkt-add-to-cart-oficina_160x600_After-Sales-Oficina-Classicos-REG04-adserver</v>
      </c>
      <c r="AH344" s="21" t="str">
        <f t="shared" si="84"/>
        <v>https://www.oficinadeclassicos.com.br/index.aspx?utm_source=dv360&amp;utm_medium=Programmatic&amp;utm_content=BR_VW_AFS_dv360_DIS_PROG_CPM_STD_LDR_AAF_RON_CXD_After-Sales-Oficina-Classicos-REG04-rmkt-add-to-cart-oficina_PD_160x600&amp;utm_campaign=BR_AAF_DSY_NONMS_ND_AS_2019Q2APR_AFS_After-Sales&amp;utm_term=%epid!_%ecid!_%eaid!</v>
      </c>
      <c r="AI344" s="21" t="str">
        <f t="shared" si="85"/>
        <v>TAG</v>
      </c>
      <c r="AJ344" s="15" t="str">
        <f t="shared" si="79"/>
        <v>dv360</v>
      </c>
      <c r="AK344" s="15" t="str">
        <f t="shared" si="80"/>
        <v>Programmatic</v>
      </c>
      <c r="AL344" s="21" t="str">
        <f>Campanha!$B$3</f>
        <v>BR_AAF_DSY_NONMS_ND_AS_2019Q2APR_AFS_After-Sales</v>
      </c>
      <c r="AM344" s="21" t="str">
        <f t="shared" si="86"/>
        <v>BR_VW_AFS_dv360_DIS_PROG_CPM_STD_LDR_AAF_RON_CXD_After-Sales-Oficina-Classicos-REG04-rmkt-add-to-cart-oficina_PD_160x600</v>
      </c>
      <c r="AN344" s="15" t="s">
        <v>809</v>
      </c>
    </row>
    <row r="345" spans="2:40" hidden="1" x14ac:dyDescent="0.25">
      <c r="B345" s="15" t="s">
        <v>872</v>
      </c>
      <c r="C345" s="15"/>
      <c r="D345" s="30" t="s">
        <v>873</v>
      </c>
      <c r="E345" s="22">
        <v>44155</v>
      </c>
      <c r="F345" s="22">
        <v>44196</v>
      </c>
      <c r="G345" s="15" t="s">
        <v>674</v>
      </c>
      <c r="H345" s="15" t="s">
        <v>811</v>
      </c>
      <c r="I345" s="15" t="s">
        <v>702</v>
      </c>
      <c r="J345" s="15" t="s">
        <v>325</v>
      </c>
      <c r="K345" s="15" t="s">
        <v>334</v>
      </c>
      <c r="L345" s="15" t="s">
        <v>358</v>
      </c>
      <c r="M345" s="15" t="s">
        <v>322</v>
      </c>
      <c r="N345" s="15" t="s">
        <v>708</v>
      </c>
      <c r="O345" s="15" t="s">
        <v>694</v>
      </c>
      <c r="P345" s="15" t="s">
        <v>1043</v>
      </c>
      <c r="Q345" s="15" t="s">
        <v>881</v>
      </c>
      <c r="R345" s="15" t="s">
        <v>835</v>
      </c>
      <c r="S345" s="15" t="s">
        <v>348</v>
      </c>
      <c r="T345" s="15" t="s">
        <v>484</v>
      </c>
      <c r="AC345" s="32" t="s">
        <v>885</v>
      </c>
      <c r="AD345" s="33" t="e">
        <f t="shared" si="78"/>
        <v>#N/A</v>
      </c>
      <c r="AE345" s="21" t="str">
        <f t="shared" si="81"/>
        <v>BR_VW_AFS_dv360_DIS_PROG_CPM_STD_LDR_AAF_RON_CXD_After-Sales-Oficina-Classicos-REG04-rmkt-add-to-cart-oficina_PD_300x50</v>
      </c>
      <c r="AF345" s="21" t="str">
        <f t="shared" si="82"/>
        <v>BR_VW_AFS_dv360_DIS_PROG_CPM_STD_LDR_AAF_RON_CXD_After-Sales-Oficina-Classicos-REG04-rmkt-add-to-cart-oficina_PD_300x50</v>
      </c>
      <c r="AG345" s="21" t="str">
        <f t="shared" si="83"/>
        <v>VW_After-Sales-rmkt-add-to-cart-oficina_300x50_After-Sales-Oficina-Classicos-REG04-adserver</v>
      </c>
      <c r="AH345" s="21" t="str">
        <f t="shared" si="84"/>
        <v>https://www.oficinadeclassicos.com.br/index.aspx?utm_source=dv360&amp;utm_medium=Programmatic&amp;utm_content=BR_VW_AFS_dv360_DIS_PROG_CPM_STD_LDR_AAF_RON_CXD_After-Sales-Oficina-Classicos-REG04-rmkt-add-to-cart-oficina_PD_300x50&amp;utm_campaign=BR_AAF_DSY_NONMS_ND_AS_2019Q2APR_AFS_After-Sales&amp;utm_term=%epid!_%ecid!_%eaid!</v>
      </c>
      <c r="AI345" s="21" t="str">
        <f t="shared" si="85"/>
        <v>TAG</v>
      </c>
      <c r="AJ345" s="15" t="str">
        <f t="shared" si="79"/>
        <v>dv360</v>
      </c>
      <c r="AK345" s="15" t="str">
        <f t="shared" si="80"/>
        <v>Programmatic</v>
      </c>
      <c r="AL345" s="21" t="str">
        <f>Campanha!$B$3</f>
        <v>BR_AAF_DSY_NONMS_ND_AS_2019Q2APR_AFS_After-Sales</v>
      </c>
      <c r="AM345" s="21" t="str">
        <f t="shared" si="86"/>
        <v>BR_VW_AFS_dv360_DIS_PROG_CPM_STD_LDR_AAF_RON_CXD_After-Sales-Oficina-Classicos-REG04-rmkt-add-to-cart-oficina_PD_300x50</v>
      </c>
      <c r="AN345" s="15" t="s">
        <v>809</v>
      </c>
    </row>
    <row r="346" spans="2:40" hidden="1" x14ac:dyDescent="0.25">
      <c r="B346" s="15" t="s">
        <v>872</v>
      </c>
      <c r="C346" s="15"/>
      <c r="D346" s="30" t="s">
        <v>873</v>
      </c>
      <c r="E346" s="22">
        <v>44155</v>
      </c>
      <c r="F346" s="22">
        <v>44196</v>
      </c>
      <c r="G346" s="15" t="s">
        <v>674</v>
      </c>
      <c r="H346" s="15" t="s">
        <v>811</v>
      </c>
      <c r="I346" s="15" t="s">
        <v>702</v>
      </c>
      <c r="J346" s="15" t="s">
        <v>325</v>
      </c>
      <c r="K346" s="15" t="s">
        <v>334</v>
      </c>
      <c r="L346" s="15" t="s">
        <v>358</v>
      </c>
      <c r="M346" s="15" t="s">
        <v>322</v>
      </c>
      <c r="N346" s="15" t="s">
        <v>708</v>
      </c>
      <c r="O346" s="15" t="s">
        <v>694</v>
      </c>
      <c r="P346" s="15" t="s">
        <v>1043</v>
      </c>
      <c r="Q346" s="15" t="s">
        <v>881</v>
      </c>
      <c r="R346" s="15" t="s">
        <v>835</v>
      </c>
      <c r="S346" s="15" t="s">
        <v>348</v>
      </c>
      <c r="T346" s="15" t="s">
        <v>478</v>
      </c>
      <c r="AC346" s="32" t="s">
        <v>885</v>
      </c>
      <c r="AD346" s="33" t="e">
        <f t="shared" si="78"/>
        <v>#N/A</v>
      </c>
      <c r="AE346" s="21" t="str">
        <f t="shared" si="81"/>
        <v>BR_VW_AFS_dv360_DIS_PROG_CPM_STD_LDR_AAF_RON_CXD_After-Sales-Oficina-Classicos-REG04-rmkt-add-to-cart-oficina_PD_300x250</v>
      </c>
      <c r="AF346" s="21" t="str">
        <f t="shared" si="82"/>
        <v>BR_VW_AFS_dv360_DIS_PROG_CPM_STD_LDR_AAF_RON_CXD_After-Sales-Oficina-Classicos-REG04-rmkt-add-to-cart-oficina_PD_300x250</v>
      </c>
      <c r="AG346" s="21" t="str">
        <f t="shared" si="83"/>
        <v>VW_After-Sales-rmkt-add-to-cart-oficina_300x250_After-Sales-Oficina-Classicos-REG04-adserver</v>
      </c>
      <c r="AH346" s="21" t="str">
        <f t="shared" si="84"/>
        <v>https://www.oficinadeclassicos.com.br/index.aspx?utm_source=dv360&amp;utm_medium=Programmatic&amp;utm_content=BR_VW_AFS_dv360_DIS_PROG_CPM_STD_LDR_AAF_RON_CXD_After-Sales-Oficina-Classicos-REG04-rmkt-add-to-cart-oficina_PD_300x250&amp;utm_campaign=BR_AAF_DSY_NONMS_ND_AS_2019Q2APR_AFS_After-Sales&amp;utm_term=%epid!_%ecid!_%eaid!</v>
      </c>
      <c r="AI346" s="21" t="str">
        <f t="shared" si="85"/>
        <v>TAG</v>
      </c>
      <c r="AJ346" s="15" t="str">
        <f t="shared" si="79"/>
        <v>dv360</v>
      </c>
      <c r="AK346" s="15" t="str">
        <f t="shared" si="80"/>
        <v>Programmatic</v>
      </c>
      <c r="AL346" s="21" t="str">
        <f>Campanha!$B$3</f>
        <v>BR_AAF_DSY_NONMS_ND_AS_2019Q2APR_AFS_After-Sales</v>
      </c>
      <c r="AM346" s="21" t="str">
        <f t="shared" si="86"/>
        <v>BR_VW_AFS_dv360_DIS_PROG_CPM_STD_LDR_AAF_RON_CXD_After-Sales-Oficina-Classicos-REG04-rmkt-add-to-cart-oficina_PD_300x250</v>
      </c>
      <c r="AN346" s="15" t="s">
        <v>809</v>
      </c>
    </row>
    <row r="347" spans="2:40" hidden="1" x14ac:dyDescent="0.25">
      <c r="B347" s="15" t="s">
        <v>872</v>
      </c>
      <c r="C347" s="15"/>
      <c r="D347" s="30" t="s">
        <v>873</v>
      </c>
      <c r="E347" s="22">
        <v>44155</v>
      </c>
      <c r="F347" s="22">
        <v>44196</v>
      </c>
      <c r="G347" s="15" t="s">
        <v>674</v>
      </c>
      <c r="H347" s="15" t="s">
        <v>811</v>
      </c>
      <c r="I347" s="15" t="s">
        <v>702</v>
      </c>
      <c r="J347" s="15" t="s">
        <v>325</v>
      </c>
      <c r="K347" s="15" t="s">
        <v>334</v>
      </c>
      <c r="L347" s="15" t="s">
        <v>358</v>
      </c>
      <c r="M347" s="15" t="s">
        <v>322</v>
      </c>
      <c r="N347" s="15" t="s">
        <v>708</v>
      </c>
      <c r="O347" s="15" t="s">
        <v>694</v>
      </c>
      <c r="P347" s="15" t="s">
        <v>1043</v>
      </c>
      <c r="Q347" s="15" t="s">
        <v>881</v>
      </c>
      <c r="R347" s="15" t="s">
        <v>835</v>
      </c>
      <c r="S347" s="15" t="s">
        <v>348</v>
      </c>
      <c r="T347" s="15" t="s">
        <v>614</v>
      </c>
      <c r="AC347" s="32" t="s">
        <v>885</v>
      </c>
      <c r="AD347" s="33" t="e">
        <f t="shared" si="78"/>
        <v>#N/A</v>
      </c>
      <c r="AE347" s="21" t="str">
        <f t="shared" si="81"/>
        <v>BR_VW_AFS_dv360_DIS_PROG_CPM_STD_LDR_AAF_RON_CXD_After-Sales-Oficina-Classicos-REG04-rmkt-add-to-cart-oficina_PD_728x90</v>
      </c>
      <c r="AF347" s="21" t="str">
        <f t="shared" si="82"/>
        <v>BR_VW_AFS_dv360_DIS_PROG_CPM_STD_LDR_AAF_RON_CXD_After-Sales-Oficina-Classicos-REG04-rmkt-add-to-cart-oficina_PD_728x90</v>
      </c>
      <c r="AG347" s="21" t="str">
        <f t="shared" si="83"/>
        <v>VW_After-Sales-rmkt-add-to-cart-oficina_728x90_After-Sales-Oficina-Classicos-REG04-adserver</v>
      </c>
      <c r="AH347" s="21" t="str">
        <f t="shared" si="84"/>
        <v>https://www.oficinadeclassicos.com.br/index.aspx?utm_source=dv360&amp;utm_medium=Programmatic&amp;utm_content=BR_VW_AFS_dv360_DIS_PROG_CPM_STD_LDR_AAF_RON_CXD_After-Sales-Oficina-Classicos-REG04-rmkt-add-to-cart-oficina_PD_728x90&amp;utm_campaign=BR_AAF_DSY_NONMS_ND_AS_2019Q2APR_AFS_After-Sales&amp;utm_term=%epid!_%ecid!_%eaid!</v>
      </c>
      <c r="AI347" s="21" t="str">
        <f t="shared" si="85"/>
        <v>TAG</v>
      </c>
      <c r="AJ347" s="15" t="str">
        <f t="shared" si="79"/>
        <v>dv360</v>
      </c>
      <c r="AK347" s="15" t="str">
        <f t="shared" si="80"/>
        <v>Programmatic</v>
      </c>
      <c r="AL347" s="21" t="str">
        <f>Campanha!$B$3</f>
        <v>BR_AAF_DSY_NONMS_ND_AS_2019Q2APR_AFS_After-Sales</v>
      </c>
      <c r="AM347" s="21" t="str">
        <f t="shared" si="86"/>
        <v>BR_VW_AFS_dv360_DIS_PROG_CPM_STD_LDR_AAF_RON_CXD_After-Sales-Oficina-Classicos-REG04-rmkt-add-to-cart-oficina_PD_728x90</v>
      </c>
      <c r="AN347" s="15" t="s">
        <v>809</v>
      </c>
    </row>
    <row r="348" spans="2:40" hidden="1" x14ac:dyDescent="0.25">
      <c r="B348" s="15" t="s">
        <v>872</v>
      </c>
      <c r="C348" s="15"/>
      <c r="D348" s="30" t="s">
        <v>873</v>
      </c>
      <c r="E348" s="22">
        <v>44155</v>
      </c>
      <c r="F348" s="22">
        <v>44196</v>
      </c>
      <c r="G348" s="15" t="s">
        <v>674</v>
      </c>
      <c r="H348" s="15" t="s">
        <v>811</v>
      </c>
      <c r="I348" s="15" t="s">
        <v>702</v>
      </c>
      <c r="J348" s="15" t="s">
        <v>325</v>
      </c>
      <c r="K348" s="15" t="s">
        <v>334</v>
      </c>
      <c r="L348" s="15" t="s">
        <v>358</v>
      </c>
      <c r="M348" s="15" t="s">
        <v>322</v>
      </c>
      <c r="N348" s="15" t="s">
        <v>708</v>
      </c>
      <c r="O348" s="15" t="s">
        <v>694</v>
      </c>
      <c r="P348" s="15" t="s">
        <v>1043</v>
      </c>
      <c r="Q348" s="15" t="s">
        <v>881</v>
      </c>
      <c r="R348" s="15" t="s">
        <v>835</v>
      </c>
      <c r="S348" s="15" t="s">
        <v>348</v>
      </c>
      <c r="T348" s="15" t="s">
        <v>652</v>
      </c>
      <c r="AC348" s="32" t="s">
        <v>885</v>
      </c>
      <c r="AD348" s="33" t="e">
        <f t="shared" si="78"/>
        <v>#N/A</v>
      </c>
      <c r="AE348" s="21" t="str">
        <f t="shared" si="81"/>
        <v>BR_VW_AFS_dv360_DIS_PROG_CPM_STD_LDR_AAF_RON_CXD_After-Sales-Oficina-Classicos-REG04-rmkt-add-to-cart-oficina_PD_970x250</v>
      </c>
      <c r="AF348" s="21" t="str">
        <f t="shared" si="82"/>
        <v>BR_VW_AFS_dv360_DIS_PROG_CPM_STD_LDR_AAF_RON_CXD_After-Sales-Oficina-Classicos-REG04-rmkt-add-to-cart-oficina_PD_970x250</v>
      </c>
      <c r="AG348" s="21" t="str">
        <f t="shared" si="83"/>
        <v>VW_After-Sales-rmkt-add-to-cart-oficina_970x250_After-Sales-Oficina-Classicos-REG04-adserver</v>
      </c>
      <c r="AH348" s="21" t="str">
        <f t="shared" si="84"/>
        <v>https://www.oficinadeclassicos.com.br/index.aspx?utm_source=dv360&amp;utm_medium=Programmatic&amp;utm_content=BR_VW_AFS_dv360_DIS_PROG_CPM_STD_LDR_AAF_RON_CXD_After-Sales-Oficina-Classicos-REG04-rmkt-add-to-cart-oficina_PD_970x250&amp;utm_campaign=BR_AAF_DSY_NONMS_ND_AS_2019Q2APR_AFS_After-Sales&amp;utm_term=%epid!_%ecid!_%eaid!</v>
      </c>
      <c r="AI348" s="21" t="str">
        <f t="shared" si="85"/>
        <v>TAG</v>
      </c>
      <c r="AJ348" s="15" t="str">
        <f t="shared" si="79"/>
        <v>dv360</v>
      </c>
      <c r="AK348" s="15" t="str">
        <f t="shared" si="80"/>
        <v>Programmatic</v>
      </c>
      <c r="AL348" s="21" t="str">
        <f>Campanha!$B$3</f>
        <v>BR_AAF_DSY_NONMS_ND_AS_2019Q2APR_AFS_After-Sales</v>
      </c>
      <c r="AM348" s="21" t="str">
        <f t="shared" si="86"/>
        <v>BR_VW_AFS_dv360_DIS_PROG_CPM_STD_LDR_AAF_RON_CXD_After-Sales-Oficina-Classicos-REG04-rmkt-add-to-cart-oficina_PD_970x250</v>
      </c>
      <c r="AN348" s="15" t="s">
        <v>809</v>
      </c>
    </row>
    <row r="349" spans="2:40" hidden="1" x14ac:dyDescent="0.25">
      <c r="B349" s="15" t="s">
        <v>933</v>
      </c>
      <c r="C349" s="15" t="s">
        <v>1171</v>
      </c>
      <c r="D349" s="30" t="s">
        <v>873</v>
      </c>
      <c r="E349" s="22">
        <v>44155</v>
      </c>
      <c r="F349" s="22">
        <v>44196</v>
      </c>
      <c r="G349" s="15" t="s">
        <v>674</v>
      </c>
      <c r="H349" s="15" t="s">
        <v>811</v>
      </c>
      <c r="I349" s="15" t="s">
        <v>702</v>
      </c>
      <c r="J349" s="15" t="s">
        <v>325</v>
      </c>
      <c r="K349" s="15" t="s">
        <v>334</v>
      </c>
      <c r="L349" s="15" t="s">
        <v>358</v>
      </c>
      <c r="M349" s="15" t="s">
        <v>322</v>
      </c>
      <c r="N349" s="15" t="s">
        <v>708</v>
      </c>
      <c r="O349" s="15" t="s">
        <v>694</v>
      </c>
      <c r="P349" s="15" t="s">
        <v>1044</v>
      </c>
      <c r="Q349" s="15" t="s">
        <v>842</v>
      </c>
      <c r="R349" s="15" t="s">
        <v>835</v>
      </c>
      <c r="S349" s="15" t="s">
        <v>348</v>
      </c>
      <c r="T349" s="15" t="s">
        <v>457</v>
      </c>
      <c r="AC349" s="32" t="s">
        <v>885</v>
      </c>
      <c r="AD349" s="33" t="str">
        <f t="shared" si="78"/>
        <v>289282642</v>
      </c>
      <c r="AE349" s="21" t="str">
        <f t="shared" si="81"/>
        <v>BR_VW_AFS_dv360_DIS_PROG_CPM_STD_LDR_AAF_RON_CXD_After-Sales-Oficina-Classicos-REG05-KWs_PD_160x600</v>
      </c>
      <c r="AF349" s="21" t="str">
        <f t="shared" si="82"/>
        <v>BR_VW_AFS_dv360_DIS_PROG_CPM_STD_LDR_AAF_RON_CXD_After-Sales-Oficina-Classicos-REG05-KWs_PD_160x600</v>
      </c>
      <c r="AG349" s="21" t="str">
        <f t="shared" si="83"/>
        <v>VW_After-Sales-KWs_160x600_After-Sales-Oficina-Classicos-REG05-adserver</v>
      </c>
      <c r="AH349" s="21" t="str">
        <f t="shared" si="84"/>
        <v>https://www.oficinadeclassicos.com.br/index.aspx?utm_source=dv360&amp;utm_medium=Programmatic&amp;utm_content=BR_VW_AFS_dv360_DIS_PROG_CPM_STD_LDR_AAF_RON_CXD_After-Sales-Oficina-Classicos-REG05-KWs_PD_160x600&amp;utm_campaign=BR_AAF_DSY_NONMS_ND_AS_2019Q2APR_AFS_After-Sales&amp;utm_term=%epid!_%ecid!_%eaid!</v>
      </c>
      <c r="AI349" s="21" t="str">
        <f t="shared" si="85"/>
        <v>TAG</v>
      </c>
      <c r="AJ349" s="15" t="str">
        <f t="shared" si="79"/>
        <v>dv360</v>
      </c>
      <c r="AK349" s="15" t="str">
        <f t="shared" si="80"/>
        <v>Programmatic</v>
      </c>
      <c r="AL349" s="21" t="str">
        <f>Campanha!$B$3</f>
        <v>BR_AAF_DSY_NONMS_ND_AS_2019Q2APR_AFS_After-Sales</v>
      </c>
      <c r="AM349" s="21" t="str">
        <f t="shared" si="86"/>
        <v>BR_VW_AFS_dv360_DIS_PROG_CPM_STD_LDR_AAF_RON_CXD_After-Sales-Oficina-Classicos-REG05-KWs_PD_160x600</v>
      </c>
      <c r="AN349" s="15" t="s">
        <v>809</v>
      </c>
    </row>
    <row r="350" spans="2:40" hidden="1" x14ac:dyDescent="0.25">
      <c r="B350" s="15" t="s">
        <v>933</v>
      </c>
      <c r="C350" s="15" t="s">
        <v>1171</v>
      </c>
      <c r="D350" s="30" t="s">
        <v>873</v>
      </c>
      <c r="E350" s="22">
        <v>44155</v>
      </c>
      <c r="F350" s="22">
        <v>44196</v>
      </c>
      <c r="G350" s="15" t="s">
        <v>674</v>
      </c>
      <c r="H350" s="15" t="s">
        <v>811</v>
      </c>
      <c r="I350" s="15" t="s">
        <v>702</v>
      </c>
      <c r="J350" s="15" t="s">
        <v>325</v>
      </c>
      <c r="K350" s="15" t="s">
        <v>334</v>
      </c>
      <c r="L350" s="15" t="s">
        <v>358</v>
      </c>
      <c r="M350" s="15" t="s">
        <v>322</v>
      </c>
      <c r="N350" s="15" t="s">
        <v>708</v>
      </c>
      <c r="O350" s="15" t="s">
        <v>694</v>
      </c>
      <c r="P350" s="15" t="s">
        <v>1044</v>
      </c>
      <c r="Q350" s="15" t="s">
        <v>842</v>
      </c>
      <c r="R350" s="15" t="s">
        <v>835</v>
      </c>
      <c r="S350" s="15" t="s">
        <v>348</v>
      </c>
      <c r="T350" s="15" t="s">
        <v>484</v>
      </c>
      <c r="AC350" s="32" t="s">
        <v>885</v>
      </c>
      <c r="AD350" s="33" t="str">
        <f t="shared" si="78"/>
        <v>289282639</v>
      </c>
      <c r="AE350" s="21" t="str">
        <f t="shared" si="81"/>
        <v>BR_VW_AFS_dv360_DIS_PROG_CPM_STD_LDR_AAF_RON_CXD_After-Sales-Oficina-Classicos-REG05-KWs_PD_300x50</v>
      </c>
      <c r="AF350" s="21" t="str">
        <f t="shared" si="82"/>
        <v>BR_VW_AFS_dv360_DIS_PROG_CPM_STD_LDR_AAF_RON_CXD_After-Sales-Oficina-Classicos-REG05-KWs_PD_300x50</v>
      </c>
      <c r="AG350" s="21" t="str">
        <f t="shared" si="83"/>
        <v>VW_After-Sales-KWs_300x50_After-Sales-Oficina-Classicos-REG05-adserver</v>
      </c>
      <c r="AH350" s="21" t="str">
        <f t="shared" si="84"/>
        <v>https://www.oficinadeclassicos.com.br/index.aspx?utm_source=dv360&amp;utm_medium=Programmatic&amp;utm_content=BR_VW_AFS_dv360_DIS_PROG_CPM_STD_LDR_AAF_RON_CXD_After-Sales-Oficina-Classicos-REG05-KWs_PD_300x50&amp;utm_campaign=BR_AAF_DSY_NONMS_ND_AS_2019Q2APR_AFS_After-Sales&amp;utm_term=%epid!_%ecid!_%eaid!</v>
      </c>
      <c r="AI350" s="21" t="str">
        <f t="shared" si="85"/>
        <v>TAG</v>
      </c>
      <c r="AJ350" s="15" t="str">
        <f t="shared" si="79"/>
        <v>dv360</v>
      </c>
      <c r="AK350" s="15" t="str">
        <f t="shared" si="80"/>
        <v>Programmatic</v>
      </c>
      <c r="AL350" s="21" t="str">
        <f>Campanha!$B$3</f>
        <v>BR_AAF_DSY_NONMS_ND_AS_2019Q2APR_AFS_After-Sales</v>
      </c>
      <c r="AM350" s="21" t="str">
        <f t="shared" si="86"/>
        <v>BR_VW_AFS_dv360_DIS_PROG_CPM_STD_LDR_AAF_RON_CXD_After-Sales-Oficina-Classicos-REG05-KWs_PD_300x50</v>
      </c>
      <c r="AN350" s="15" t="s">
        <v>809</v>
      </c>
    </row>
    <row r="351" spans="2:40" hidden="1" x14ac:dyDescent="0.25">
      <c r="B351" s="15" t="s">
        <v>933</v>
      </c>
      <c r="C351" s="15" t="s">
        <v>1171</v>
      </c>
      <c r="D351" s="30" t="s">
        <v>873</v>
      </c>
      <c r="E351" s="22">
        <v>44155</v>
      </c>
      <c r="F351" s="22">
        <v>44196</v>
      </c>
      <c r="G351" s="15" t="s">
        <v>674</v>
      </c>
      <c r="H351" s="15" t="s">
        <v>811</v>
      </c>
      <c r="I351" s="15" t="s">
        <v>702</v>
      </c>
      <c r="J351" s="15" t="s">
        <v>325</v>
      </c>
      <c r="K351" s="15" t="s">
        <v>334</v>
      </c>
      <c r="L351" s="15" t="s">
        <v>358</v>
      </c>
      <c r="M351" s="15" t="s">
        <v>322</v>
      </c>
      <c r="N351" s="15" t="s">
        <v>708</v>
      </c>
      <c r="O351" s="15" t="s">
        <v>694</v>
      </c>
      <c r="P351" s="15" t="s">
        <v>1044</v>
      </c>
      <c r="Q351" s="15" t="s">
        <v>842</v>
      </c>
      <c r="R351" s="15" t="s">
        <v>835</v>
      </c>
      <c r="S351" s="15" t="s">
        <v>348</v>
      </c>
      <c r="T351" s="15" t="s">
        <v>478</v>
      </c>
      <c r="AC351" s="32" t="s">
        <v>885</v>
      </c>
      <c r="AD351" s="33" t="str">
        <f t="shared" si="78"/>
        <v>289282636</v>
      </c>
      <c r="AE351" s="21" t="str">
        <f t="shared" si="81"/>
        <v>BR_VW_AFS_dv360_DIS_PROG_CPM_STD_LDR_AAF_RON_CXD_After-Sales-Oficina-Classicos-REG05-KWs_PD_300x250</v>
      </c>
      <c r="AF351" s="21" t="str">
        <f t="shared" si="82"/>
        <v>BR_VW_AFS_dv360_DIS_PROG_CPM_STD_LDR_AAF_RON_CXD_After-Sales-Oficina-Classicos-REG05-KWs_PD_300x250</v>
      </c>
      <c r="AG351" s="21" t="str">
        <f t="shared" si="83"/>
        <v>VW_After-Sales-KWs_300x250_After-Sales-Oficina-Classicos-REG05-adserver</v>
      </c>
      <c r="AH351" s="21" t="str">
        <f t="shared" si="84"/>
        <v>https://www.oficinadeclassicos.com.br/index.aspx?utm_source=dv360&amp;utm_medium=Programmatic&amp;utm_content=BR_VW_AFS_dv360_DIS_PROG_CPM_STD_LDR_AAF_RON_CXD_After-Sales-Oficina-Classicos-REG05-KWs_PD_300x250&amp;utm_campaign=BR_AAF_DSY_NONMS_ND_AS_2019Q2APR_AFS_After-Sales&amp;utm_term=%epid!_%ecid!_%eaid!</v>
      </c>
      <c r="AI351" s="21" t="str">
        <f t="shared" si="85"/>
        <v>TAG</v>
      </c>
      <c r="AJ351" s="15" t="str">
        <f t="shared" si="79"/>
        <v>dv360</v>
      </c>
      <c r="AK351" s="15" t="str">
        <f t="shared" si="80"/>
        <v>Programmatic</v>
      </c>
      <c r="AL351" s="21" t="str">
        <f>Campanha!$B$3</f>
        <v>BR_AAF_DSY_NONMS_ND_AS_2019Q2APR_AFS_After-Sales</v>
      </c>
      <c r="AM351" s="21" t="str">
        <f t="shared" si="86"/>
        <v>BR_VW_AFS_dv360_DIS_PROG_CPM_STD_LDR_AAF_RON_CXD_After-Sales-Oficina-Classicos-REG05-KWs_PD_300x250</v>
      </c>
      <c r="AN351" s="15" t="s">
        <v>809</v>
      </c>
    </row>
    <row r="352" spans="2:40" hidden="1" x14ac:dyDescent="0.25">
      <c r="B352" s="15" t="s">
        <v>933</v>
      </c>
      <c r="C352" s="15" t="s">
        <v>1172</v>
      </c>
      <c r="D352" s="30" t="s">
        <v>873</v>
      </c>
      <c r="E352" s="22">
        <v>44155</v>
      </c>
      <c r="F352" s="22">
        <v>44196</v>
      </c>
      <c r="G352" s="15" t="s">
        <v>674</v>
      </c>
      <c r="H352" s="15" t="s">
        <v>811</v>
      </c>
      <c r="I352" s="15" t="s">
        <v>702</v>
      </c>
      <c r="J352" s="15" t="s">
        <v>325</v>
      </c>
      <c r="K352" s="15" t="s">
        <v>334</v>
      </c>
      <c r="L352" s="15" t="s">
        <v>358</v>
      </c>
      <c r="M352" s="15" t="s">
        <v>322</v>
      </c>
      <c r="N352" s="15" t="s">
        <v>708</v>
      </c>
      <c r="O352" s="15" t="s">
        <v>694</v>
      </c>
      <c r="P352" s="15" t="s">
        <v>1044</v>
      </c>
      <c r="Q352" s="15" t="s">
        <v>842</v>
      </c>
      <c r="R352" s="15" t="s">
        <v>835</v>
      </c>
      <c r="S352" s="15" t="s">
        <v>348</v>
      </c>
      <c r="T352" s="15" t="s">
        <v>614</v>
      </c>
      <c r="AC352" s="32" t="s">
        <v>885</v>
      </c>
      <c r="AD352" s="33" t="str">
        <f t="shared" si="78"/>
        <v>289250997</v>
      </c>
      <c r="AE352" s="21" t="str">
        <f t="shared" si="81"/>
        <v>BR_VW_AFS_dv360_DIS_PROG_CPM_STD_LDR_AAF_RON_CXD_After-Sales-Oficina-Classicos-REG05-KWs_PD_728x90</v>
      </c>
      <c r="AF352" s="21" t="str">
        <f t="shared" si="82"/>
        <v>BR_VW_AFS_dv360_DIS_PROG_CPM_STD_LDR_AAF_RON_CXD_After-Sales-Oficina-Classicos-REG05-KWs_PD_728x90</v>
      </c>
      <c r="AG352" s="21" t="str">
        <f t="shared" si="83"/>
        <v>VW_After-Sales-KWs_728x90_After-Sales-Oficina-Classicos-REG05-adserver</v>
      </c>
      <c r="AH352" s="21" t="str">
        <f t="shared" si="84"/>
        <v>https://www.oficinadeclassicos.com.br/index.aspx?utm_source=dv360&amp;utm_medium=Programmatic&amp;utm_content=BR_VW_AFS_dv360_DIS_PROG_CPM_STD_LDR_AAF_RON_CXD_After-Sales-Oficina-Classicos-REG05-KWs_PD_728x90&amp;utm_campaign=BR_AAF_DSY_NONMS_ND_AS_2019Q2APR_AFS_After-Sales&amp;utm_term=%epid!_%ecid!_%eaid!</v>
      </c>
      <c r="AI352" s="21" t="str">
        <f t="shared" si="85"/>
        <v>TAG</v>
      </c>
      <c r="AJ352" s="15" t="str">
        <f t="shared" si="79"/>
        <v>dv360</v>
      </c>
      <c r="AK352" s="15" t="str">
        <f t="shared" si="80"/>
        <v>Programmatic</v>
      </c>
      <c r="AL352" s="21" t="str">
        <f>Campanha!$B$3</f>
        <v>BR_AAF_DSY_NONMS_ND_AS_2019Q2APR_AFS_After-Sales</v>
      </c>
      <c r="AM352" s="21" t="str">
        <f t="shared" si="86"/>
        <v>BR_VW_AFS_dv360_DIS_PROG_CPM_STD_LDR_AAF_RON_CXD_After-Sales-Oficina-Classicos-REG05-KWs_PD_728x90</v>
      </c>
      <c r="AN352" s="15" t="s">
        <v>809</v>
      </c>
    </row>
    <row r="353" spans="2:40" hidden="1" x14ac:dyDescent="0.25">
      <c r="B353" s="15" t="s">
        <v>933</v>
      </c>
      <c r="C353" s="15" t="s">
        <v>1171</v>
      </c>
      <c r="D353" s="30" t="s">
        <v>873</v>
      </c>
      <c r="E353" s="22">
        <v>44155</v>
      </c>
      <c r="F353" s="22">
        <v>44196</v>
      </c>
      <c r="G353" s="15" t="s">
        <v>674</v>
      </c>
      <c r="H353" s="15" t="s">
        <v>811</v>
      </c>
      <c r="I353" s="15" t="s">
        <v>702</v>
      </c>
      <c r="J353" s="15" t="s">
        <v>325</v>
      </c>
      <c r="K353" s="15" t="s">
        <v>334</v>
      </c>
      <c r="L353" s="15" t="s">
        <v>358</v>
      </c>
      <c r="M353" s="15" t="s">
        <v>322</v>
      </c>
      <c r="N353" s="15" t="s">
        <v>708</v>
      </c>
      <c r="O353" s="15" t="s">
        <v>694</v>
      </c>
      <c r="P353" s="15" t="s">
        <v>1044</v>
      </c>
      <c r="Q353" s="15" t="s">
        <v>842</v>
      </c>
      <c r="R353" s="15" t="s">
        <v>835</v>
      </c>
      <c r="S353" s="15" t="s">
        <v>348</v>
      </c>
      <c r="T353" s="15" t="s">
        <v>652</v>
      </c>
      <c r="AC353" s="32" t="s">
        <v>885</v>
      </c>
      <c r="AD353" s="33" t="str">
        <f t="shared" si="78"/>
        <v>289282633</v>
      </c>
      <c r="AE353" s="21" t="str">
        <f t="shared" si="81"/>
        <v>BR_VW_AFS_dv360_DIS_PROG_CPM_STD_LDR_AAF_RON_CXD_After-Sales-Oficina-Classicos-REG05-KWs_PD_970x250</v>
      </c>
      <c r="AF353" s="21" t="str">
        <f t="shared" si="82"/>
        <v>BR_VW_AFS_dv360_DIS_PROG_CPM_STD_LDR_AAF_RON_CXD_After-Sales-Oficina-Classicos-REG05-KWs_PD_970x250</v>
      </c>
      <c r="AG353" s="21" t="str">
        <f t="shared" si="83"/>
        <v>VW_After-Sales-KWs_970x250_After-Sales-Oficina-Classicos-REG05-adserver</v>
      </c>
      <c r="AH353" s="21" t="str">
        <f t="shared" si="84"/>
        <v>https://www.oficinadeclassicos.com.br/index.aspx?utm_source=dv360&amp;utm_medium=Programmatic&amp;utm_content=BR_VW_AFS_dv360_DIS_PROG_CPM_STD_LDR_AAF_RON_CXD_After-Sales-Oficina-Classicos-REG05-KWs_PD_970x250&amp;utm_campaign=BR_AAF_DSY_NONMS_ND_AS_2019Q2APR_AFS_After-Sales&amp;utm_term=%epid!_%ecid!_%eaid!</v>
      </c>
      <c r="AI353" s="21" t="str">
        <f t="shared" si="85"/>
        <v>TAG</v>
      </c>
      <c r="AJ353" s="15" t="str">
        <f t="shared" si="79"/>
        <v>dv360</v>
      </c>
      <c r="AK353" s="15" t="str">
        <f t="shared" si="80"/>
        <v>Programmatic</v>
      </c>
      <c r="AL353" s="21" t="str">
        <f>Campanha!$B$3</f>
        <v>BR_AAF_DSY_NONMS_ND_AS_2019Q2APR_AFS_After-Sales</v>
      </c>
      <c r="AM353" s="21" t="str">
        <f t="shared" si="86"/>
        <v>BR_VW_AFS_dv360_DIS_PROG_CPM_STD_LDR_AAF_RON_CXD_After-Sales-Oficina-Classicos-REG05-KWs_PD_970x250</v>
      </c>
      <c r="AN353" s="15" t="s">
        <v>809</v>
      </c>
    </row>
    <row r="354" spans="2:40" hidden="1" x14ac:dyDescent="0.25">
      <c r="B354" s="15" t="s">
        <v>933</v>
      </c>
      <c r="C354" s="15" t="s">
        <v>1171</v>
      </c>
      <c r="D354" s="30" t="s">
        <v>873</v>
      </c>
      <c r="E354" s="22">
        <v>44155</v>
      </c>
      <c r="F354" s="22">
        <v>44196</v>
      </c>
      <c r="G354" s="15" t="s">
        <v>674</v>
      </c>
      <c r="H354" s="15" t="s">
        <v>811</v>
      </c>
      <c r="I354" s="15" t="s">
        <v>702</v>
      </c>
      <c r="J354" s="15" t="s">
        <v>325</v>
      </c>
      <c r="K354" s="15" t="s">
        <v>334</v>
      </c>
      <c r="L354" s="15" t="s">
        <v>358</v>
      </c>
      <c r="M354" s="15" t="s">
        <v>322</v>
      </c>
      <c r="N354" s="15" t="s">
        <v>708</v>
      </c>
      <c r="O354" s="15" t="s">
        <v>694</v>
      </c>
      <c r="P354" s="15" t="s">
        <v>1044</v>
      </c>
      <c r="Q354" s="15" t="s">
        <v>843</v>
      </c>
      <c r="R354" s="15" t="s">
        <v>835</v>
      </c>
      <c r="S354" s="15" t="s">
        <v>348</v>
      </c>
      <c r="T354" s="15" t="s">
        <v>457</v>
      </c>
      <c r="AC354" s="32" t="s">
        <v>885</v>
      </c>
      <c r="AD354" s="33" t="str">
        <f t="shared" si="78"/>
        <v>289282630</v>
      </c>
      <c r="AE354" s="21" t="str">
        <f t="shared" si="81"/>
        <v>BR_VW_AFS_dv360_DIS_PROG_CPM_STD_LDR_AAF_RON_CXD_After-Sales-Oficina-Classicos-REG05-Categories_PD_160x600</v>
      </c>
      <c r="AF354" s="21" t="str">
        <f t="shared" si="82"/>
        <v>BR_VW_AFS_dv360_DIS_PROG_CPM_STD_LDR_AAF_RON_CXD_After-Sales-Oficina-Classicos-REG05-Categories_PD_160x600</v>
      </c>
      <c r="AG354" s="21" t="str">
        <f t="shared" si="83"/>
        <v>VW_After-Sales-Categories_160x600_After-Sales-Oficina-Classicos-REG05-adserver</v>
      </c>
      <c r="AH354" s="21" t="str">
        <f t="shared" si="84"/>
        <v>https://www.oficinadeclassicos.com.br/index.aspx?utm_source=dv360&amp;utm_medium=Programmatic&amp;utm_content=BR_VW_AFS_dv360_DIS_PROG_CPM_STD_LDR_AAF_RON_CXD_After-Sales-Oficina-Classicos-REG05-Categories_PD_160x600&amp;utm_campaign=BR_AAF_DSY_NONMS_ND_AS_2019Q2APR_AFS_After-Sales&amp;utm_term=%epid!_%ecid!_%eaid!</v>
      </c>
      <c r="AI354" s="21" t="str">
        <f t="shared" si="85"/>
        <v>TAG</v>
      </c>
      <c r="AJ354" s="15" t="str">
        <f t="shared" si="79"/>
        <v>dv360</v>
      </c>
      <c r="AK354" s="15" t="str">
        <f t="shared" si="80"/>
        <v>Programmatic</v>
      </c>
      <c r="AL354" s="21" t="str">
        <f>Campanha!$B$3</f>
        <v>BR_AAF_DSY_NONMS_ND_AS_2019Q2APR_AFS_After-Sales</v>
      </c>
      <c r="AM354" s="21" t="str">
        <f t="shared" si="86"/>
        <v>BR_VW_AFS_dv360_DIS_PROG_CPM_STD_LDR_AAF_RON_CXD_After-Sales-Oficina-Classicos-REG05-Categories_PD_160x600</v>
      </c>
      <c r="AN354" s="15" t="s">
        <v>809</v>
      </c>
    </row>
    <row r="355" spans="2:40" hidden="1" x14ac:dyDescent="0.25">
      <c r="B355" s="15" t="s">
        <v>933</v>
      </c>
      <c r="C355" s="15" t="s">
        <v>1171</v>
      </c>
      <c r="D355" s="30" t="s">
        <v>873</v>
      </c>
      <c r="E355" s="22">
        <v>44155</v>
      </c>
      <c r="F355" s="22">
        <v>44196</v>
      </c>
      <c r="G355" s="15" t="s">
        <v>674</v>
      </c>
      <c r="H355" s="15" t="s">
        <v>811</v>
      </c>
      <c r="I355" s="15" t="s">
        <v>702</v>
      </c>
      <c r="J355" s="15" t="s">
        <v>325</v>
      </c>
      <c r="K355" s="15" t="s">
        <v>334</v>
      </c>
      <c r="L355" s="15" t="s">
        <v>358</v>
      </c>
      <c r="M355" s="15" t="s">
        <v>322</v>
      </c>
      <c r="N355" s="15" t="s">
        <v>708</v>
      </c>
      <c r="O355" s="15" t="s">
        <v>694</v>
      </c>
      <c r="P355" s="15" t="s">
        <v>1044</v>
      </c>
      <c r="Q355" s="15" t="s">
        <v>843</v>
      </c>
      <c r="R355" s="15" t="s">
        <v>835</v>
      </c>
      <c r="S355" s="15" t="s">
        <v>348</v>
      </c>
      <c r="T355" s="15" t="s">
        <v>484</v>
      </c>
      <c r="AC355" s="32" t="s">
        <v>885</v>
      </c>
      <c r="AD355" s="33" t="str">
        <f t="shared" si="78"/>
        <v>289282627</v>
      </c>
      <c r="AE355" s="21" t="str">
        <f t="shared" si="81"/>
        <v>BR_VW_AFS_dv360_DIS_PROG_CPM_STD_LDR_AAF_RON_CXD_After-Sales-Oficina-Classicos-REG05-Categories_PD_300x50</v>
      </c>
      <c r="AF355" s="21" t="str">
        <f t="shared" si="82"/>
        <v>BR_VW_AFS_dv360_DIS_PROG_CPM_STD_LDR_AAF_RON_CXD_After-Sales-Oficina-Classicos-REG05-Categories_PD_300x50</v>
      </c>
      <c r="AG355" s="21" t="str">
        <f t="shared" si="83"/>
        <v>VW_After-Sales-Categories_300x50_After-Sales-Oficina-Classicos-REG05-adserver</v>
      </c>
      <c r="AH355" s="21" t="str">
        <f t="shared" si="84"/>
        <v>https://www.oficinadeclassicos.com.br/index.aspx?utm_source=dv360&amp;utm_medium=Programmatic&amp;utm_content=BR_VW_AFS_dv360_DIS_PROG_CPM_STD_LDR_AAF_RON_CXD_After-Sales-Oficina-Classicos-REG05-Categories_PD_300x50&amp;utm_campaign=BR_AAF_DSY_NONMS_ND_AS_2019Q2APR_AFS_After-Sales&amp;utm_term=%epid!_%ecid!_%eaid!</v>
      </c>
      <c r="AI355" s="21" t="str">
        <f t="shared" si="85"/>
        <v>TAG</v>
      </c>
      <c r="AJ355" s="15" t="str">
        <f t="shared" si="79"/>
        <v>dv360</v>
      </c>
      <c r="AK355" s="15" t="str">
        <f t="shared" si="80"/>
        <v>Programmatic</v>
      </c>
      <c r="AL355" s="21" t="str">
        <f>Campanha!$B$3</f>
        <v>BR_AAF_DSY_NONMS_ND_AS_2019Q2APR_AFS_After-Sales</v>
      </c>
      <c r="AM355" s="21" t="str">
        <f t="shared" si="86"/>
        <v>BR_VW_AFS_dv360_DIS_PROG_CPM_STD_LDR_AAF_RON_CXD_After-Sales-Oficina-Classicos-REG05-Categories_PD_300x50</v>
      </c>
      <c r="AN355" s="15" t="s">
        <v>809</v>
      </c>
    </row>
    <row r="356" spans="2:40" hidden="1" x14ac:dyDescent="0.25">
      <c r="B356" s="15" t="s">
        <v>933</v>
      </c>
      <c r="C356" s="15" t="s">
        <v>1171</v>
      </c>
      <c r="D356" s="30" t="s">
        <v>873</v>
      </c>
      <c r="E356" s="22">
        <v>44155</v>
      </c>
      <c r="F356" s="22">
        <v>44196</v>
      </c>
      <c r="G356" s="15" t="s">
        <v>674</v>
      </c>
      <c r="H356" s="15" t="s">
        <v>811</v>
      </c>
      <c r="I356" s="15" t="s">
        <v>702</v>
      </c>
      <c r="J356" s="15" t="s">
        <v>325</v>
      </c>
      <c r="K356" s="15" t="s">
        <v>334</v>
      </c>
      <c r="L356" s="15" t="s">
        <v>358</v>
      </c>
      <c r="M356" s="15" t="s">
        <v>322</v>
      </c>
      <c r="N356" s="15" t="s">
        <v>708</v>
      </c>
      <c r="O356" s="15" t="s">
        <v>694</v>
      </c>
      <c r="P356" s="15" t="s">
        <v>1044</v>
      </c>
      <c r="Q356" s="15" t="s">
        <v>843</v>
      </c>
      <c r="R356" s="15" t="s">
        <v>835</v>
      </c>
      <c r="S356" s="15" t="s">
        <v>348</v>
      </c>
      <c r="T356" s="15" t="s">
        <v>478</v>
      </c>
      <c r="AC356" s="32" t="s">
        <v>885</v>
      </c>
      <c r="AD356" s="33" t="str">
        <f t="shared" si="78"/>
        <v>289282624</v>
      </c>
      <c r="AE356" s="21" t="str">
        <f t="shared" si="81"/>
        <v>BR_VW_AFS_dv360_DIS_PROG_CPM_STD_LDR_AAF_RON_CXD_After-Sales-Oficina-Classicos-REG05-Categories_PD_300x250</v>
      </c>
      <c r="AF356" s="21" t="str">
        <f t="shared" si="82"/>
        <v>BR_VW_AFS_dv360_DIS_PROG_CPM_STD_LDR_AAF_RON_CXD_After-Sales-Oficina-Classicos-REG05-Categories_PD_300x250</v>
      </c>
      <c r="AG356" s="21" t="str">
        <f t="shared" si="83"/>
        <v>VW_After-Sales-Categories_300x250_After-Sales-Oficina-Classicos-REG05-adserver</v>
      </c>
      <c r="AH356" s="21" t="str">
        <f t="shared" si="84"/>
        <v>https://www.oficinadeclassicos.com.br/index.aspx?utm_source=dv360&amp;utm_medium=Programmatic&amp;utm_content=BR_VW_AFS_dv360_DIS_PROG_CPM_STD_LDR_AAF_RON_CXD_After-Sales-Oficina-Classicos-REG05-Categories_PD_300x250&amp;utm_campaign=BR_AAF_DSY_NONMS_ND_AS_2019Q2APR_AFS_After-Sales&amp;utm_term=%epid!_%ecid!_%eaid!</v>
      </c>
      <c r="AI356" s="21" t="str">
        <f t="shared" si="85"/>
        <v>TAG</v>
      </c>
      <c r="AJ356" s="15" t="str">
        <f t="shared" si="79"/>
        <v>dv360</v>
      </c>
      <c r="AK356" s="15" t="str">
        <f t="shared" si="80"/>
        <v>Programmatic</v>
      </c>
      <c r="AL356" s="21" t="str">
        <f>Campanha!$B$3</f>
        <v>BR_AAF_DSY_NONMS_ND_AS_2019Q2APR_AFS_After-Sales</v>
      </c>
      <c r="AM356" s="21" t="str">
        <f t="shared" si="86"/>
        <v>BR_VW_AFS_dv360_DIS_PROG_CPM_STD_LDR_AAF_RON_CXD_After-Sales-Oficina-Classicos-REG05-Categories_PD_300x250</v>
      </c>
      <c r="AN356" s="15" t="s">
        <v>809</v>
      </c>
    </row>
    <row r="357" spans="2:40" hidden="1" x14ac:dyDescent="0.25">
      <c r="B357" s="15" t="s">
        <v>933</v>
      </c>
      <c r="C357" s="15" t="s">
        <v>1172</v>
      </c>
      <c r="D357" s="30" t="s">
        <v>873</v>
      </c>
      <c r="E357" s="22">
        <v>44155</v>
      </c>
      <c r="F357" s="22">
        <v>44196</v>
      </c>
      <c r="G357" s="15" t="s">
        <v>674</v>
      </c>
      <c r="H357" s="15" t="s">
        <v>811</v>
      </c>
      <c r="I357" s="15" t="s">
        <v>702</v>
      </c>
      <c r="J357" s="15" t="s">
        <v>325</v>
      </c>
      <c r="K357" s="15" t="s">
        <v>334</v>
      </c>
      <c r="L357" s="15" t="s">
        <v>358</v>
      </c>
      <c r="M357" s="15" t="s">
        <v>322</v>
      </c>
      <c r="N357" s="15" t="s">
        <v>708</v>
      </c>
      <c r="O357" s="15" t="s">
        <v>694</v>
      </c>
      <c r="P357" s="15" t="s">
        <v>1044</v>
      </c>
      <c r="Q357" s="15" t="s">
        <v>843</v>
      </c>
      <c r="R357" s="15" t="s">
        <v>835</v>
      </c>
      <c r="S357" s="15" t="s">
        <v>348</v>
      </c>
      <c r="T357" s="15" t="s">
        <v>614</v>
      </c>
      <c r="AC357" s="32" t="s">
        <v>885</v>
      </c>
      <c r="AD357" s="33" t="str">
        <f t="shared" si="78"/>
        <v>289250994</v>
      </c>
      <c r="AE357" s="21" t="str">
        <f t="shared" si="81"/>
        <v>BR_VW_AFS_dv360_DIS_PROG_CPM_STD_LDR_AAF_RON_CXD_After-Sales-Oficina-Classicos-REG05-Categories_PD_728x90</v>
      </c>
      <c r="AF357" s="21" t="str">
        <f t="shared" si="82"/>
        <v>BR_VW_AFS_dv360_DIS_PROG_CPM_STD_LDR_AAF_RON_CXD_After-Sales-Oficina-Classicos-REG05-Categories_PD_728x90</v>
      </c>
      <c r="AG357" s="21" t="str">
        <f t="shared" si="83"/>
        <v>VW_After-Sales-Categories_728x90_After-Sales-Oficina-Classicos-REG05-adserver</v>
      </c>
      <c r="AH357" s="21" t="str">
        <f t="shared" si="84"/>
        <v>https://www.oficinadeclassicos.com.br/index.aspx?utm_source=dv360&amp;utm_medium=Programmatic&amp;utm_content=BR_VW_AFS_dv360_DIS_PROG_CPM_STD_LDR_AAF_RON_CXD_After-Sales-Oficina-Classicos-REG05-Categories_PD_728x90&amp;utm_campaign=BR_AAF_DSY_NONMS_ND_AS_2019Q2APR_AFS_After-Sales&amp;utm_term=%epid!_%ecid!_%eaid!</v>
      </c>
      <c r="AI357" s="21" t="str">
        <f t="shared" si="85"/>
        <v>TAG</v>
      </c>
      <c r="AJ357" s="15" t="str">
        <f t="shared" si="79"/>
        <v>dv360</v>
      </c>
      <c r="AK357" s="15" t="str">
        <f t="shared" si="80"/>
        <v>Programmatic</v>
      </c>
      <c r="AL357" s="21" t="str">
        <f>Campanha!$B$3</f>
        <v>BR_AAF_DSY_NONMS_ND_AS_2019Q2APR_AFS_After-Sales</v>
      </c>
      <c r="AM357" s="21" t="str">
        <f t="shared" si="86"/>
        <v>BR_VW_AFS_dv360_DIS_PROG_CPM_STD_LDR_AAF_RON_CXD_After-Sales-Oficina-Classicos-REG05-Categories_PD_728x90</v>
      </c>
      <c r="AN357" s="15" t="s">
        <v>809</v>
      </c>
    </row>
    <row r="358" spans="2:40" hidden="1" x14ac:dyDescent="0.25">
      <c r="B358" s="15" t="s">
        <v>933</v>
      </c>
      <c r="C358" s="15" t="s">
        <v>1171</v>
      </c>
      <c r="D358" s="30" t="s">
        <v>873</v>
      </c>
      <c r="E358" s="22">
        <v>44155</v>
      </c>
      <c r="F358" s="22">
        <v>44196</v>
      </c>
      <c r="G358" s="15" t="s">
        <v>674</v>
      </c>
      <c r="H358" s="15" t="s">
        <v>811</v>
      </c>
      <c r="I358" s="15" t="s">
        <v>702</v>
      </c>
      <c r="J358" s="15" t="s">
        <v>325</v>
      </c>
      <c r="K358" s="15" t="s">
        <v>334</v>
      </c>
      <c r="L358" s="15" t="s">
        <v>358</v>
      </c>
      <c r="M358" s="15" t="s">
        <v>322</v>
      </c>
      <c r="N358" s="15" t="s">
        <v>708</v>
      </c>
      <c r="O358" s="15" t="s">
        <v>694</v>
      </c>
      <c r="P358" s="15" t="s">
        <v>1044</v>
      </c>
      <c r="Q358" s="15" t="s">
        <v>843</v>
      </c>
      <c r="R358" s="15" t="s">
        <v>835</v>
      </c>
      <c r="S358" s="15" t="s">
        <v>348</v>
      </c>
      <c r="T358" s="15" t="s">
        <v>652</v>
      </c>
      <c r="AC358" s="32" t="s">
        <v>885</v>
      </c>
      <c r="AD358" s="33" t="str">
        <f t="shared" si="78"/>
        <v>289282621</v>
      </c>
      <c r="AE358" s="21" t="str">
        <f t="shared" si="81"/>
        <v>BR_VW_AFS_dv360_DIS_PROG_CPM_STD_LDR_AAF_RON_CXD_After-Sales-Oficina-Classicos-REG05-Categories_PD_970x250</v>
      </c>
      <c r="AF358" s="21" t="str">
        <f t="shared" si="82"/>
        <v>BR_VW_AFS_dv360_DIS_PROG_CPM_STD_LDR_AAF_RON_CXD_After-Sales-Oficina-Classicos-REG05-Categories_PD_970x250</v>
      </c>
      <c r="AG358" s="21" t="str">
        <f t="shared" si="83"/>
        <v>VW_After-Sales-Categories_970x250_After-Sales-Oficina-Classicos-REG05-adserver</v>
      </c>
      <c r="AH358" s="21" t="str">
        <f t="shared" si="84"/>
        <v>https://www.oficinadeclassicos.com.br/index.aspx?utm_source=dv360&amp;utm_medium=Programmatic&amp;utm_content=BR_VW_AFS_dv360_DIS_PROG_CPM_STD_LDR_AAF_RON_CXD_After-Sales-Oficina-Classicos-REG05-Categories_PD_970x250&amp;utm_campaign=BR_AAF_DSY_NONMS_ND_AS_2019Q2APR_AFS_After-Sales&amp;utm_term=%epid!_%ecid!_%eaid!</v>
      </c>
      <c r="AI358" s="21" t="str">
        <f t="shared" si="85"/>
        <v>TAG</v>
      </c>
      <c r="AJ358" s="15" t="str">
        <f t="shared" si="79"/>
        <v>dv360</v>
      </c>
      <c r="AK358" s="15" t="str">
        <f t="shared" si="80"/>
        <v>Programmatic</v>
      </c>
      <c r="AL358" s="21" t="str">
        <f>Campanha!$B$3</f>
        <v>BR_AAF_DSY_NONMS_ND_AS_2019Q2APR_AFS_After-Sales</v>
      </c>
      <c r="AM358" s="21" t="str">
        <f t="shared" si="86"/>
        <v>BR_VW_AFS_dv360_DIS_PROG_CPM_STD_LDR_AAF_RON_CXD_After-Sales-Oficina-Classicos-REG05-Categories_PD_970x250</v>
      </c>
      <c r="AN358" s="15" t="s">
        <v>809</v>
      </c>
    </row>
    <row r="359" spans="2:40" hidden="1" x14ac:dyDescent="0.25">
      <c r="B359" s="15" t="s">
        <v>933</v>
      </c>
      <c r="C359" s="15" t="s">
        <v>1171</v>
      </c>
      <c r="D359" s="30" t="s">
        <v>873</v>
      </c>
      <c r="E359" s="22">
        <v>44155</v>
      </c>
      <c r="F359" s="22">
        <v>44196</v>
      </c>
      <c r="G359" s="15" t="s">
        <v>674</v>
      </c>
      <c r="H359" s="15" t="s">
        <v>811</v>
      </c>
      <c r="I359" s="15" t="s">
        <v>702</v>
      </c>
      <c r="J359" s="15" t="s">
        <v>325</v>
      </c>
      <c r="K359" s="15" t="s">
        <v>334</v>
      </c>
      <c r="L359" s="15" t="s">
        <v>358</v>
      </c>
      <c r="M359" s="15" t="s">
        <v>322</v>
      </c>
      <c r="N359" s="15" t="s">
        <v>708</v>
      </c>
      <c r="O359" s="15" t="s">
        <v>694</v>
      </c>
      <c r="P359" s="15" t="s">
        <v>1044</v>
      </c>
      <c r="Q359" s="15" t="s">
        <v>871</v>
      </c>
      <c r="R359" s="15" t="s">
        <v>835</v>
      </c>
      <c r="S359" s="15" t="s">
        <v>348</v>
      </c>
      <c r="T359" s="15" t="s">
        <v>457</v>
      </c>
      <c r="AC359" s="32" t="s">
        <v>885</v>
      </c>
      <c r="AD359" s="33" t="str">
        <f t="shared" si="78"/>
        <v>289282618</v>
      </c>
      <c r="AE359" s="21" t="str">
        <f t="shared" si="81"/>
        <v>BR_VW_AFS_dv360_DIS_PROG_CPM_STD_LDR_AAF_RON_CXD_After-Sales-Oficina-Classicos-REG05-In-Market_PD_160x600</v>
      </c>
      <c r="AF359" s="21" t="str">
        <f t="shared" si="82"/>
        <v>BR_VW_AFS_dv360_DIS_PROG_CPM_STD_LDR_AAF_RON_CXD_After-Sales-Oficina-Classicos-REG05-In-Market_PD_160x600</v>
      </c>
      <c r="AG359" s="21" t="str">
        <f t="shared" si="83"/>
        <v>VW_After-Sales-In-Market_160x600_After-Sales-Oficina-Classicos-REG05-adserver</v>
      </c>
      <c r="AH359" s="21" t="str">
        <f t="shared" si="84"/>
        <v>https://www.oficinadeclassicos.com.br/index.aspx?utm_source=dv360&amp;utm_medium=Programmatic&amp;utm_content=BR_VW_AFS_dv360_DIS_PROG_CPM_STD_LDR_AAF_RON_CXD_After-Sales-Oficina-Classicos-REG05-In-Market_PD_160x600&amp;utm_campaign=BR_AAF_DSY_NONMS_ND_AS_2019Q2APR_AFS_After-Sales&amp;utm_term=%epid!_%ecid!_%eaid!</v>
      </c>
      <c r="AI359" s="21" t="str">
        <f t="shared" si="85"/>
        <v>TAG</v>
      </c>
      <c r="AJ359" s="15" t="str">
        <f t="shared" si="79"/>
        <v>dv360</v>
      </c>
      <c r="AK359" s="15" t="str">
        <f t="shared" si="80"/>
        <v>Programmatic</v>
      </c>
      <c r="AL359" s="21" t="str">
        <f>Campanha!$B$3</f>
        <v>BR_AAF_DSY_NONMS_ND_AS_2019Q2APR_AFS_After-Sales</v>
      </c>
      <c r="AM359" s="21" t="str">
        <f t="shared" si="86"/>
        <v>BR_VW_AFS_dv360_DIS_PROG_CPM_STD_LDR_AAF_RON_CXD_After-Sales-Oficina-Classicos-REG05-In-Market_PD_160x600</v>
      </c>
      <c r="AN359" s="15" t="s">
        <v>809</v>
      </c>
    </row>
    <row r="360" spans="2:40" hidden="1" x14ac:dyDescent="0.25">
      <c r="B360" s="15" t="s">
        <v>933</v>
      </c>
      <c r="C360" s="15" t="s">
        <v>1171</v>
      </c>
      <c r="D360" s="30" t="s">
        <v>873</v>
      </c>
      <c r="E360" s="22">
        <v>44155</v>
      </c>
      <c r="F360" s="22">
        <v>44196</v>
      </c>
      <c r="G360" s="15" t="s">
        <v>674</v>
      </c>
      <c r="H360" s="15" t="s">
        <v>811</v>
      </c>
      <c r="I360" s="15" t="s">
        <v>702</v>
      </c>
      <c r="J360" s="15" t="s">
        <v>325</v>
      </c>
      <c r="K360" s="15" t="s">
        <v>334</v>
      </c>
      <c r="L360" s="15" t="s">
        <v>358</v>
      </c>
      <c r="M360" s="15" t="s">
        <v>322</v>
      </c>
      <c r="N360" s="15" t="s">
        <v>708</v>
      </c>
      <c r="O360" s="15" t="s">
        <v>694</v>
      </c>
      <c r="P360" s="15" t="s">
        <v>1044</v>
      </c>
      <c r="Q360" s="15" t="s">
        <v>871</v>
      </c>
      <c r="R360" s="15" t="s">
        <v>835</v>
      </c>
      <c r="S360" s="15" t="s">
        <v>348</v>
      </c>
      <c r="T360" s="15" t="s">
        <v>484</v>
      </c>
      <c r="AC360" s="32" t="s">
        <v>885</v>
      </c>
      <c r="AD360" s="33" t="str">
        <f t="shared" si="78"/>
        <v>289282615</v>
      </c>
      <c r="AE360" s="21" t="str">
        <f t="shared" si="81"/>
        <v>BR_VW_AFS_dv360_DIS_PROG_CPM_STD_LDR_AAF_RON_CXD_After-Sales-Oficina-Classicos-REG05-In-Market_PD_300x50</v>
      </c>
      <c r="AF360" s="21" t="str">
        <f t="shared" si="82"/>
        <v>BR_VW_AFS_dv360_DIS_PROG_CPM_STD_LDR_AAF_RON_CXD_After-Sales-Oficina-Classicos-REG05-In-Market_PD_300x50</v>
      </c>
      <c r="AG360" s="21" t="str">
        <f t="shared" si="83"/>
        <v>VW_After-Sales-In-Market_300x50_After-Sales-Oficina-Classicos-REG05-adserver</v>
      </c>
      <c r="AH360" s="21" t="str">
        <f t="shared" si="84"/>
        <v>https://www.oficinadeclassicos.com.br/index.aspx?utm_source=dv360&amp;utm_medium=Programmatic&amp;utm_content=BR_VW_AFS_dv360_DIS_PROG_CPM_STD_LDR_AAF_RON_CXD_After-Sales-Oficina-Classicos-REG05-In-Market_PD_300x50&amp;utm_campaign=BR_AAF_DSY_NONMS_ND_AS_2019Q2APR_AFS_After-Sales&amp;utm_term=%epid!_%ecid!_%eaid!</v>
      </c>
      <c r="AI360" s="21" t="str">
        <f t="shared" si="85"/>
        <v>TAG</v>
      </c>
      <c r="AJ360" s="15" t="str">
        <f t="shared" si="79"/>
        <v>dv360</v>
      </c>
      <c r="AK360" s="15" t="str">
        <f t="shared" si="80"/>
        <v>Programmatic</v>
      </c>
      <c r="AL360" s="21" t="str">
        <f>Campanha!$B$3</f>
        <v>BR_AAF_DSY_NONMS_ND_AS_2019Q2APR_AFS_After-Sales</v>
      </c>
      <c r="AM360" s="21" t="str">
        <f t="shared" si="86"/>
        <v>BR_VW_AFS_dv360_DIS_PROG_CPM_STD_LDR_AAF_RON_CXD_After-Sales-Oficina-Classicos-REG05-In-Market_PD_300x50</v>
      </c>
      <c r="AN360" s="15" t="s">
        <v>809</v>
      </c>
    </row>
    <row r="361" spans="2:40" hidden="1" x14ac:dyDescent="0.25">
      <c r="B361" s="15" t="s">
        <v>933</v>
      </c>
      <c r="C361" s="15" t="s">
        <v>1171</v>
      </c>
      <c r="D361" s="30" t="s">
        <v>873</v>
      </c>
      <c r="E361" s="22">
        <v>44155</v>
      </c>
      <c r="F361" s="22">
        <v>44196</v>
      </c>
      <c r="G361" s="15" t="s">
        <v>674</v>
      </c>
      <c r="H361" s="15" t="s">
        <v>811</v>
      </c>
      <c r="I361" s="15" t="s">
        <v>702</v>
      </c>
      <c r="J361" s="15" t="s">
        <v>325</v>
      </c>
      <c r="K361" s="15" t="s">
        <v>334</v>
      </c>
      <c r="L361" s="15" t="s">
        <v>358</v>
      </c>
      <c r="M361" s="15" t="s">
        <v>322</v>
      </c>
      <c r="N361" s="15" t="s">
        <v>708</v>
      </c>
      <c r="O361" s="15" t="s">
        <v>694</v>
      </c>
      <c r="P361" s="15" t="s">
        <v>1044</v>
      </c>
      <c r="Q361" s="15" t="s">
        <v>871</v>
      </c>
      <c r="R361" s="15" t="s">
        <v>835</v>
      </c>
      <c r="S361" s="15" t="s">
        <v>348</v>
      </c>
      <c r="T361" s="15" t="s">
        <v>478</v>
      </c>
      <c r="AC361" s="32" t="s">
        <v>885</v>
      </c>
      <c r="AD361" s="33" t="str">
        <f t="shared" si="78"/>
        <v>289282612</v>
      </c>
      <c r="AE361" s="21" t="str">
        <f t="shared" si="81"/>
        <v>BR_VW_AFS_dv360_DIS_PROG_CPM_STD_LDR_AAF_RON_CXD_After-Sales-Oficina-Classicos-REG05-In-Market_PD_300x250</v>
      </c>
      <c r="AF361" s="21" t="str">
        <f t="shared" si="82"/>
        <v>BR_VW_AFS_dv360_DIS_PROG_CPM_STD_LDR_AAF_RON_CXD_After-Sales-Oficina-Classicos-REG05-In-Market_PD_300x250</v>
      </c>
      <c r="AG361" s="21" t="str">
        <f t="shared" si="83"/>
        <v>VW_After-Sales-In-Market_300x250_After-Sales-Oficina-Classicos-REG05-adserver</v>
      </c>
      <c r="AH361" s="21" t="str">
        <f t="shared" si="84"/>
        <v>https://www.oficinadeclassicos.com.br/index.aspx?utm_source=dv360&amp;utm_medium=Programmatic&amp;utm_content=BR_VW_AFS_dv360_DIS_PROG_CPM_STD_LDR_AAF_RON_CXD_After-Sales-Oficina-Classicos-REG05-In-Market_PD_300x250&amp;utm_campaign=BR_AAF_DSY_NONMS_ND_AS_2019Q2APR_AFS_After-Sales&amp;utm_term=%epid!_%ecid!_%eaid!</v>
      </c>
      <c r="AI361" s="21" t="str">
        <f t="shared" si="85"/>
        <v>TAG</v>
      </c>
      <c r="AJ361" s="15" t="str">
        <f t="shared" si="79"/>
        <v>dv360</v>
      </c>
      <c r="AK361" s="15" t="str">
        <f t="shared" si="80"/>
        <v>Programmatic</v>
      </c>
      <c r="AL361" s="21" t="str">
        <f>Campanha!$B$3</f>
        <v>BR_AAF_DSY_NONMS_ND_AS_2019Q2APR_AFS_After-Sales</v>
      </c>
      <c r="AM361" s="21" t="str">
        <f t="shared" si="86"/>
        <v>BR_VW_AFS_dv360_DIS_PROG_CPM_STD_LDR_AAF_RON_CXD_After-Sales-Oficina-Classicos-REG05-In-Market_PD_300x250</v>
      </c>
      <c r="AN361" s="15" t="s">
        <v>809</v>
      </c>
    </row>
    <row r="362" spans="2:40" hidden="1" x14ac:dyDescent="0.25">
      <c r="B362" s="15" t="s">
        <v>933</v>
      </c>
      <c r="C362" s="15" t="s">
        <v>1172</v>
      </c>
      <c r="D362" s="30" t="s">
        <v>873</v>
      </c>
      <c r="E362" s="22">
        <v>44155</v>
      </c>
      <c r="F362" s="22">
        <v>44196</v>
      </c>
      <c r="G362" s="15" t="s">
        <v>674</v>
      </c>
      <c r="H362" s="15" t="s">
        <v>811</v>
      </c>
      <c r="I362" s="15" t="s">
        <v>702</v>
      </c>
      <c r="J362" s="15" t="s">
        <v>325</v>
      </c>
      <c r="K362" s="15" t="s">
        <v>334</v>
      </c>
      <c r="L362" s="15" t="s">
        <v>358</v>
      </c>
      <c r="M362" s="15" t="s">
        <v>322</v>
      </c>
      <c r="N362" s="15" t="s">
        <v>708</v>
      </c>
      <c r="O362" s="15" t="s">
        <v>694</v>
      </c>
      <c r="P362" s="15" t="s">
        <v>1044</v>
      </c>
      <c r="Q362" s="15" t="s">
        <v>871</v>
      </c>
      <c r="R362" s="15" t="s">
        <v>835</v>
      </c>
      <c r="S362" s="15" t="s">
        <v>348</v>
      </c>
      <c r="T362" s="15" t="s">
        <v>614</v>
      </c>
      <c r="AC362" s="32" t="s">
        <v>885</v>
      </c>
      <c r="AD362" s="33" t="str">
        <f t="shared" si="78"/>
        <v>289250991</v>
      </c>
      <c r="AE362" s="21" t="str">
        <f t="shared" si="81"/>
        <v>BR_VW_AFS_dv360_DIS_PROG_CPM_STD_LDR_AAF_RON_CXD_After-Sales-Oficina-Classicos-REG05-In-Market_PD_728x90</v>
      </c>
      <c r="AF362" s="21" t="str">
        <f t="shared" si="82"/>
        <v>BR_VW_AFS_dv360_DIS_PROG_CPM_STD_LDR_AAF_RON_CXD_After-Sales-Oficina-Classicos-REG05-In-Market_PD_728x90</v>
      </c>
      <c r="AG362" s="21" t="str">
        <f t="shared" si="83"/>
        <v>VW_After-Sales-In-Market_728x90_After-Sales-Oficina-Classicos-REG05-adserver</v>
      </c>
      <c r="AH362" s="21" t="str">
        <f t="shared" si="84"/>
        <v>https://www.oficinadeclassicos.com.br/index.aspx?utm_source=dv360&amp;utm_medium=Programmatic&amp;utm_content=BR_VW_AFS_dv360_DIS_PROG_CPM_STD_LDR_AAF_RON_CXD_After-Sales-Oficina-Classicos-REG05-In-Market_PD_728x90&amp;utm_campaign=BR_AAF_DSY_NONMS_ND_AS_2019Q2APR_AFS_After-Sales&amp;utm_term=%epid!_%ecid!_%eaid!</v>
      </c>
      <c r="AI362" s="21" t="str">
        <f t="shared" si="85"/>
        <v>TAG</v>
      </c>
      <c r="AJ362" s="15" t="str">
        <f t="shared" si="79"/>
        <v>dv360</v>
      </c>
      <c r="AK362" s="15" t="str">
        <f t="shared" si="80"/>
        <v>Programmatic</v>
      </c>
      <c r="AL362" s="21" t="str">
        <f>Campanha!$B$3</f>
        <v>BR_AAF_DSY_NONMS_ND_AS_2019Q2APR_AFS_After-Sales</v>
      </c>
      <c r="AM362" s="21" t="str">
        <f t="shared" si="86"/>
        <v>BR_VW_AFS_dv360_DIS_PROG_CPM_STD_LDR_AAF_RON_CXD_After-Sales-Oficina-Classicos-REG05-In-Market_PD_728x90</v>
      </c>
      <c r="AN362" s="15" t="s">
        <v>809</v>
      </c>
    </row>
    <row r="363" spans="2:40" hidden="1" x14ac:dyDescent="0.25">
      <c r="B363" s="15" t="s">
        <v>933</v>
      </c>
      <c r="C363" s="15" t="s">
        <v>1171</v>
      </c>
      <c r="D363" s="30" t="s">
        <v>873</v>
      </c>
      <c r="E363" s="22">
        <v>44155</v>
      </c>
      <c r="F363" s="22">
        <v>44196</v>
      </c>
      <c r="G363" s="15" t="s">
        <v>674</v>
      </c>
      <c r="H363" s="15" t="s">
        <v>811</v>
      </c>
      <c r="I363" s="15" t="s">
        <v>702</v>
      </c>
      <c r="J363" s="15" t="s">
        <v>325</v>
      </c>
      <c r="K363" s="15" t="s">
        <v>334</v>
      </c>
      <c r="L363" s="15" t="s">
        <v>358</v>
      </c>
      <c r="M363" s="15" t="s">
        <v>322</v>
      </c>
      <c r="N363" s="15" t="s">
        <v>708</v>
      </c>
      <c r="O363" s="15" t="s">
        <v>694</v>
      </c>
      <c r="P363" s="15" t="s">
        <v>1044</v>
      </c>
      <c r="Q363" s="15" t="s">
        <v>871</v>
      </c>
      <c r="R363" s="15" t="s">
        <v>835</v>
      </c>
      <c r="S363" s="15" t="s">
        <v>348</v>
      </c>
      <c r="T363" s="15" t="s">
        <v>652</v>
      </c>
      <c r="AC363" s="32" t="s">
        <v>885</v>
      </c>
      <c r="AD363" s="33" t="str">
        <f t="shared" si="78"/>
        <v>289282609</v>
      </c>
      <c r="AE363" s="21" t="str">
        <f t="shared" si="81"/>
        <v>BR_VW_AFS_dv360_DIS_PROG_CPM_STD_LDR_AAF_RON_CXD_After-Sales-Oficina-Classicos-REG05-In-Market_PD_970x250</v>
      </c>
      <c r="AF363" s="21" t="str">
        <f t="shared" si="82"/>
        <v>BR_VW_AFS_dv360_DIS_PROG_CPM_STD_LDR_AAF_RON_CXD_After-Sales-Oficina-Classicos-REG05-In-Market_PD_970x250</v>
      </c>
      <c r="AG363" s="21" t="str">
        <f t="shared" si="83"/>
        <v>VW_After-Sales-In-Market_970x250_After-Sales-Oficina-Classicos-REG05-adserver</v>
      </c>
      <c r="AH363" s="21" t="str">
        <f t="shared" si="84"/>
        <v>https://www.oficinadeclassicos.com.br/index.aspx?utm_source=dv360&amp;utm_medium=Programmatic&amp;utm_content=BR_VW_AFS_dv360_DIS_PROG_CPM_STD_LDR_AAF_RON_CXD_After-Sales-Oficina-Classicos-REG05-In-Market_PD_970x250&amp;utm_campaign=BR_AAF_DSY_NONMS_ND_AS_2019Q2APR_AFS_After-Sales&amp;utm_term=%epid!_%ecid!_%eaid!</v>
      </c>
      <c r="AI363" s="21" t="str">
        <f t="shared" si="85"/>
        <v>TAG</v>
      </c>
      <c r="AJ363" s="15" t="str">
        <f t="shared" si="79"/>
        <v>dv360</v>
      </c>
      <c r="AK363" s="15" t="str">
        <f t="shared" si="80"/>
        <v>Programmatic</v>
      </c>
      <c r="AL363" s="21" t="str">
        <f>Campanha!$B$3</f>
        <v>BR_AAF_DSY_NONMS_ND_AS_2019Q2APR_AFS_After-Sales</v>
      </c>
      <c r="AM363" s="21" t="str">
        <f t="shared" si="86"/>
        <v>BR_VW_AFS_dv360_DIS_PROG_CPM_STD_LDR_AAF_RON_CXD_After-Sales-Oficina-Classicos-REG05-In-Market_PD_970x250</v>
      </c>
      <c r="AN363" s="15" t="s">
        <v>809</v>
      </c>
    </row>
    <row r="364" spans="2:40" hidden="1" x14ac:dyDescent="0.25">
      <c r="B364" s="15" t="s">
        <v>933</v>
      </c>
      <c r="C364" s="15" t="s">
        <v>1171</v>
      </c>
      <c r="D364" s="30" t="s">
        <v>873</v>
      </c>
      <c r="E364" s="22">
        <v>44155</v>
      </c>
      <c r="F364" s="22">
        <v>44196</v>
      </c>
      <c r="G364" s="15" t="s">
        <v>674</v>
      </c>
      <c r="H364" s="15" t="s">
        <v>811</v>
      </c>
      <c r="I364" s="15" t="s">
        <v>702</v>
      </c>
      <c r="J364" s="15" t="s">
        <v>325</v>
      </c>
      <c r="K364" s="15" t="s">
        <v>334</v>
      </c>
      <c r="L364" s="15" t="s">
        <v>358</v>
      </c>
      <c r="M364" s="15" t="s">
        <v>322</v>
      </c>
      <c r="N364" s="15" t="s">
        <v>708</v>
      </c>
      <c r="O364" s="15" t="s">
        <v>694</v>
      </c>
      <c r="P364" s="15" t="s">
        <v>1044</v>
      </c>
      <c r="Q364" s="15" t="s">
        <v>1039</v>
      </c>
      <c r="R364" s="15" t="s">
        <v>835</v>
      </c>
      <c r="S364" s="15" t="s">
        <v>348</v>
      </c>
      <c r="T364" s="15" t="s">
        <v>457</v>
      </c>
      <c r="AC364" s="32" t="s">
        <v>885</v>
      </c>
      <c r="AD364" s="33" t="str">
        <f t="shared" si="78"/>
        <v>289282606</v>
      </c>
      <c r="AE364" s="21" t="str">
        <f t="shared" si="81"/>
        <v>BR_VW_AFS_dv360_DIS_PROG_CPM_STD_LDR_AAF_RON_CXD_After-Sales-Oficina-Classicos-REG05-3rdparty_PD_160x600</v>
      </c>
      <c r="AF364" s="21" t="str">
        <f t="shared" si="82"/>
        <v>BR_VW_AFS_dv360_DIS_PROG_CPM_STD_LDR_AAF_RON_CXD_After-Sales-Oficina-Classicos-REG05-3rdparty_PD_160x600</v>
      </c>
      <c r="AG364" s="21" t="str">
        <f t="shared" si="83"/>
        <v>VW_After-Sales-3rdparty_160x600_After-Sales-Oficina-Classicos-REG05-adserver</v>
      </c>
      <c r="AH364" s="21" t="str">
        <f t="shared" si="84"/>
        <v>https://www.oficinadeclassicos.com.br/index.aspx?utm_source=dv360&amp;utm_medium=Programmatic&amp;utm_content=BR_VW_AFS_dv360_DIS_PROG_CPM_STD_LDR_AAF_RON_CXD_After-Sales-Oficina-Classicos-REG05-3rdparty_PD_160x600&amp;utm_campaign=BR_AAF_DSY_NONMS_ND_AS_2019Q2APR_AFS_After-Sales&amp;utm_term=%epid!_%ecid!_%eaid!</v>
      </c>
      <c r="AI364" s="21" t="str">
        <f t="shared" si="85"/>
        <v>TAG</v>
      </c>
      <c r="AJ364" s="15" t="str">
        <f t="shared" si="79"/>
        <v>dv360</v>
      </c>
      <c r="AK364" s="15" t="str">
        <f t="shared" si="80"/>
        <v>Programmatic</v>
      </c>
      <c r="AL364" s="21" t="str">
        <f>Campanha!$B$3</f>
        <v>BR_AAF_DSY_NONMS_ND_AS_2019Q2APR_AFS_After-Sales</v>
      </c>
      <c r="AM364" s="21" t="str">
        <f t="shared" si="86"/>
        <v>BR_VW_AFS_dv360_DIS_PROG_CPM_STD_LDR_AAF_RON_CXD_After-Sales-Oficina-Classicos-REG05-3rdparty_PD_160x600</v>
      </c>
      <c r="AN364" s="15" t="s">
        <v>809</v>
      </c>
    </row>
    <row r="365" spans="2:40" hidden="1" x14ac:dyDescent="0.25">
      <c r="B365" s="15" t="s">
        <v>933</v>
      </c>
      <c r="C365" s="15" t="s">
        <v>1171</v>
      </c>
      <c r="D365" s="30" t="s">
        <v>873</v>
      </c>
      <c r="E365" s="22">
        <v>44155</v>
      </c>
      <c r="F365" s="22">
        <v>44196</v>
      </c>
      <c r="G365" s="15" t="s">
        <v>674</v>
      </c>
      <c r="H365" s="15" t="s">
        <v>811</v>
      </c>
      <c r="I365" s="15" t="s">
        <v>702</v>
      </c>
      <c r="J365" s="15" t="s">
        <v>325</v>
      </c>
      <c r="K365" s="15" t="s">
        <v>334</v>
      </c>
      <c r="L365" s="15" t="s">
        <v>358</v>
      </c>
      <c r="M365" s="15" t="s">
        <v>322</v>
      </c>
      <c r="N365" s="15" t="s">
        <v>708</v>
      </c>
      <c r="O365" s="15" t="s">
        <v>694</v>
      </c>
      <c r="P365" s="15" t="s">
        <v>1044</v>
      </c>
      <c r="Q365" s="15" t="s">
        <v>1039</v>
      </c>
      <c r="R365" s="15" t="s">
        <v>835</v>
      </c>
      <c r="S365" s="15" t="s">
        <v>348</v>
      </c>
      <c r="T365" s="15" t="s">
        <v>484</v>
      </c>
      <c r="AC365" s="32" t="s">
        <v>885</v>
      </c>
      <c r="AD365" s="33" t="str">
        <f t="shared" si="78"/>
        <v>289282603</v>
      </c>
      <c r="AE365" s="21" t="str">
        <f t="shared" si="81"/>
        <v>BR_VW_AFS_dv360_DIS_PROG_CPM_STD_LDR_AAF_RON_CXD_After-Sales-Oficina-Classicos-REG05-3rdparty_PD_300x50</v>
      </c>
      <c r="AF365" s="21" t="str">
        <f t="shared" si="82"/>
        <v>BR_VW_AFS_dv360_DIS_PROG_CPM_STD_LDR_AAF_RON_CXD_After-Sales-Oficina-Classicos-REG05-3rdparty_PD_300x50</v>
      </c>
      <c r="AG365" s="21" t="str">
        <f t="shared" si="83"/>
        <v>VW_After-Sales-3rdparty_300x50_After-Sales-Oficina-Classicos-REG05-adserver</v>
      </c>
      <c r="AH365" s="21" t="str">
        <f t="shared" si="84"/>
        <v>https://www.oficinadeclassicos.com.br/index.aspx?utm_source=dv360&amp;utm_medium=Programmatic&amp;utm_content=BR_VW_AFS_dv360_DIS_PROG_CPM_STD_LDR_AAF_RON_CXD_After-Sales-Oficina-Classicos-REG05-3rdparty_PD_300x50&amp;utm_campaign=BR_AAF_DSY_NONMS_ND_AS_2019Q2APR_AFS_After-Sales&amp;utm_term=%epid!_%ecid!_%eaid!</v>
      </c>
      <c r="AI365" s="21" t="str">
        <f t="shared" si="85"/>
        <v>TAG</v>
      </c>
      <c r="AJ365" s="15" t="str">
        <f t="shared" si="79"/>
        <v>dv360</v>
      </c>
      <c r="AK365" s="15" t="str">
        <f t="shared" si="80"/>
        <v>Programmatic</v>
      </c>
      <c r="AL365" s="21" t="str">
        <f>Campanha!$B$3</f>
        <v>BR_AAF_DSY_NONMS_ND_AS_2019Q2APR_AFS_After-Sales</v>
      </c>
      <c r="AM365" s="21" t="str">
        <f t="shared" si="86"/>
        <v>BR_VW_AFS_dv360_DIS_PROG_CPM_STD_LDR_AAF_RON_CXD_After-Sales-Oficina-Classicos-REG05-3rdparty_PD_300x50</v>
      </c>
      <c r="AN365" s="15" t="s">
        <v>809</v>
      </c>
    </row>
    <row r="366" spans="2:40" hidden="1" x14ac:dyDescent="0.25">
      <c r="B366" s="15" t="s">
        <v>933</v>
      </c>
      <c r="C366" s="15" t="s">
        <v>1171</v>
      </c>
      <c r="D366" s="30" t="s">
        <v>873</v>
      </c>
      <c r="E366" s="22">
        <v>44155</v>
      </c>
      <c r="F366" s="22">
        <v>44196</v>
      </c>
      <c r="G366" s="15" t="s">
        <v>674</v>
      </c>
      <c r="H366" s="15" t="s">
        <v>811</v>
      </c>
      <c r="I366" s="15" t="s">
        <v>702</v>
      </c>
      <c r="J366" s="15" t="s">
        <v>325</v>
      </c>
      <c r="K366" s="15" t="s">
        <v>334</v>
      </c>
      <c r="L366" s="15" t="s">
        <v>358</v>
      </c>
      <c r="M366" s="15" t="s">
        <v>322</v>
      </c>
      <c r="N366" s="15" t="s">
        <v>708</v>
      </c>
      <c r="O366" s="15" t="s">
        <v>694</v>
      </c>
      <c r="P366" s="15" t="s">
        <v>1044</v>
      </c>
      <c r="Q366" s="15" t="s">
        <v>1039</v>
      </c>
      <c r="R366" s="15" t="s">
        <v>835</v>
      </c>
      <c r="S366" s="15" t="s">
        <v>348</v>
      </c>
      <c r="T366" s="15" t="s">
        <v>478</v>
      </c>
      <c r="AC366" s="32" t="s">
        <v>885</v>
      </c>
      <c r="AD366" s="33" t="str">
        <f t="shared" si="78"/>
        <v>289282600</v>
      </c>
      <c r="AE366" s="21" t="str">
        <f t="shared" si="81"/>
        <v>BR_VW_AFS_dv360_DIS_PROG_CPM_STD_LDR_AAF_RON_CXD_After-Sales-Oficina-Classicos-REG05-3rdparty_PD_300x250</v>
      </c>
      <c r="AF366" s="21" t="str">
        <f t="shared" si="82"/>
        <v>BR_VW_AFS_dv360_DIS_PROG_CPM_STD_LDR_AAF_RON_CXD_After-Sales-Oficina-Classicos-REG05-3rdparty_PD_300x250</v>
      </c>
      <c r="AG366" s="21" t="str">
        <f t="shared" si="83"/>
        <v>VW_After-Sales-3rdparty_300x250_After-Sales-Oficina-Classicos-REG05-adserver</v>
      </c>
      <c r="AH366" s="21" t="str">
        <f t="shared" si="84"/>
        <v>https://www.oficinadeclassicos.com.br/index.aspx?utm_source=dv360&amp;utm_medium=Programmatic&amp;utm_content=BR_VW_AFS_dv360_DIS_PROG_CPM_STD_LDR_AAF_RON_CXD_After-Sales-Oficina-Classicos-REG05-3rdparty_PD_300x250&amp;utm_campaign=BR_AAF_DSY_NONMS_ND_AS_2019Q2APR_AFS_After-Sales&amp;utm_term=%epid!_%ecid!_%eaid!</v>
      </c>
      <c r="AI366" s="21" t="str">
        <f t="shared" si="85"/>
        <v>TAG</v>
      </c>
      <c r="AJ366" s="15" t="str">
        <f t="shared" si="79"/>
        <v>dv360</v>
      </c>
      <c r="AK366" s="15" t="str">
        <f t="shared" si="80"/>
        <v>Programmatic</v>
      </c>
      <c r="AL366" s="21" t="str">
        <f>Campanha!$B$3</f>
        <v>BR_AAF_DSY_NONMS_ND_AS_2019Q2APR_AFS_After-Sales</v>
      </c>
      <c r="AM366" s="21" t="str">
        <f t="shared" si="86"/>
        <v>BR_VW_AFS_dv360_DIS_PROG_CPM_STD_LDR_AAF_RON_CXD_After-Sales-Oficina-Classicos-REG05-3rdparty_PD_300x250</v>
      </c>
      <c r="AN366" s="15" t="s">
        <v>809</v>
      </c>
    </row>
    <row r="367" spans="2:40" hidden="1" x14ac:dyDescent="0.25">
      <c r="B367" s="15" t="s">
        <v>933</v>
      </c>
      <c r="C367" s="15" t="s">
        <v>1172</v>
      </c>
      <c r="D367" s="30" t="s">
        <v>873</v>
      </c>
      <c r="E367" s="22">
        <v>44155</v>
      </c>
      <c r="F367" s="22">
        <v>44196</v>
      </c>
      <c r="G367" s="15" t="s">
        <v>674</v>
      </c>
      <c r="H367" s="15" t="s">
        <v>811</v>
      </c>
      <c r="I367" s="15" t="s">
        <v>702</v>
      </c>
      <c r="J367" s="15" t="s">
        <v>325</v>
      </c>
      <c r="K367" s="15" t="s">
        <v>334</v>
      </c>
      <c r="L367" s="15" t="s">
        <v>358</v>
      </c>
      <c r="M367" s="15" t="s">
        <v>322</v>
      </c>
      <c r="N367" s="15" t="s">
        <v>708</v>
      </c>
      <c r="O367" s="15" t="s">
        <v>694</v>
      </c>
      <c r="P367" s="15" t="s">
        <v>1044</v>
      </c>
      <c r="Q367" s="15" t="s">
        <v>1039</v>
      </c>
      <c r="R367" s="15" t="s">
        <v>835</v>
      </c>
      <c r="S367" s="15" t="s">
        <v>348</v>
      </c>
      <c r="T367" s="15" t="s">
        <v>614</v>
      </c>
      <c r="AC367" s="32" t="s">
        <v>885</v>
      </c>
      <c r="AD367" s="33" t="str">
        <f t="shared" si="78"/>
        <v>289250988</v>
      </c>
      <c r="AE367" s="21" t="str">
        <f t="shared" si="81"/>
        <v>BR_VW_AFS_dv360_DIS_PROG_CPM_STD_LDR_AAF_RON_CXD_After-Sales-Oficina-Classicos-REG05-3rdparty_PD_728x90</v>
      </c>
      <c r="AF367" s="21" t="str">
        <f t="shared" si="82"/>
        <v>BR_VW_AFS_dv360_DIS_PROG_CPM_STD_LDR_AAF_RON_CXD_After-Sales-Oficina-Classicos-REG05-3rdparty_PD_728x90</v>
      </c>
      <c r="AG367" s="21" t="str">
        <f t="shared" si="83"/>
        <v>VW_After-Sales-3rdparty_728x90_After-Sales-Oficina-Classicos-REG05-adserver</v>
      </c>
      <c r="AH367" s="21" t="str">
        <f t="shared" si="84"/>
        <v>https://www.oficinadeclassicos.com.br/index.aspx?utm_source=dv360&amp;utm_medium=Programmatic&amp;utm_content=BR_VW_AFS_dv360_DIS_PROG_CPM_STD_LDR_AAF_RON_CXD_After-Sales-Oficina-Classicos-REG05-3rdparty_PD_728x90&amp;utm_campaign=BR_AAF_DSY_NONMS_ND_AS_2019Q2APR_AFS_After-Sales&amp;utm_term=%epid!_%ecid!_%eaid!</v>
      </c>
      <c r="AI367" s="21" t="str">
        <f t="shared" si="85"/>
        <v>TAG</v>
      </c>
      <c r="AJ367" s="15" t="str">
        <f t="shared" si="79"/>
        <v>dv360</v>
      </c>
      <c r="AK367" s="15" t="str">
        <f t="shared" si="80"/>
        <v>Programmatic</v>
      </c>
      <c r="AL367" s="21" t="str">
        <f>Campanha!$B$3</f>
        <v>BR_AAF_DSY_NONMS_ND_AS_2019Q2APR_AFS_After-Sales</v>
      </c>
      <c r="AM367" s="21" t="str">
        <f t="shared" si="86"/>
        <v>BR_VW_AFS_dv360_DIS_PROG_CPM_STD_LDR_AAF_RON_CXD_After-Sales-Oficina-Classicos-REG05-3rdparty_PD_728x90</v>
      </c>
      <c r="AN367" s="15" t="s">
        <v>809</v>
      </c>
    </row>
    <row r="368" spans="2:40" hidden="1" x14ac:dyDescent="0.25">
      <c r="B368" s="15" t="s">
        <v>933</v>
      </c>
      <c r="C368" s="15" t="s">
        <v>1171</v>
      </c>
      <c r="D368" s="30" t="s">
        <v>873</v>
      </c>
      <c r="E368" s="22">
        <v>44155</v>
      </c>
      <c r="F368" s="22">
        <v>44196</v>
      </c>
      <c r="G368" s="15" t="s">
        <v>674</v>
      </c>
      <c r="H368" s="15" t="s">
        <v>811</v>
      </c>
      <c r="I368" s="15" t="s">
        <v>702</v>
      </c>
      <c r="J368" s="15" t="s">
        <v>325</v>
      </c>
      <c r="K368" s="15" t="s">
        <v>334</v>
      </c>
      <c r="L368" s="15" t="s">
        <v>358</v>
      </c>
      <c r="M368" s="15" t="s">
        <v>322</v>
      </c>
      <c r="N368" s="15" t="s">
        <v>708</v>
      </c>
      <c r="O368" s="15" t="s">
        <v>694</v>
      </c>
      <c r="P368" s="15" t="s">
        <v>1044</v>
      </c>
      <c r="Q368" s="15" t="s">
        <v>1039</v>
      </c>
      <c r="R368" s="15" t="s">
        <v>835</v>
      </c>
      <c r="S368" s="15" t="s">
        <v>348</v>
      </c>
      <c r="T368" s="15" t="s">
        <v>652</v>
      </c>
      <c r="AC368" s="32" t="s">
        <v>885</v>
      </c>
      <c r="AD368" s="33" t="str">
        <f t="shared" si="78"/>
        <v>289282597</v>
      </c>
      <c r="AE368" s="21" t="str">
        <f t="shared" si="81"/>
        <v>BR_VW_AFS_dv360_DIS_PROG_CPM_STD_LDR_AAF_RON_CXD_After-Sales-Oficina-Classicos-REG05-3rdparty_PD_970x250</v>
      </c>
      <c r="AF368" s="21" t="str">
        <f t="shared" si="82"/>
        <v>BR_VW_AFS_dv360_DIS_PROG_CPM_STD_LDR_AAF_RON_CXD_After-Sales-Oficina-Classicos-REG05-3rdparty_PD_970x250</v>
      </c>
      <c r="AG368" s="21" t="str">
        <f t="shared" si="83"/>
        <v>VW_After-Sales-3rdparty_970x250_After-Sales-Oficina-Classicos-REG05-adserver</v>
      </c>
      <c r="AH368" s="21" t="str">
        <f t="shared" si="84"/>
        <v>https://www.oficinadeclassicos.com.br/index.aspx?utm_source=dv360&amp;utm_medium=Programmatic&amp;utm_content=BR_VW_AFS_dv360_DIS_PROG_CPM_STD_LDR_AAF_RON_CXD_After-Sales-Oficina-Classicos-REG05-3rdparty_PD_970x250&amp;utm_campaign=BR_AAF_DSY_NONMS_ND_AS_2019Q2APR_AFS_After-Sales&amp;utm_term=%epid!_%ecid!_%eaid!</v>
      </c>
      <c r="AI368" s="21" t="str">
        <f t="shared" si="85"/>
        <v>TAG</v>
      </c>
      <c r="AJ368" s="15" t="str">
        <f t="shared" si="79"/>
        <v>dv360</v>
      </c>
      <c r="AK368" s="15" t="str">
        <f t="shared" si="80"/>
        <v>Programmatic</v>
      </c>
      <c r="AL368" s="21" t="str">
        <f>Campanha!$B$3</f>
        <v>BR_AAF_DSY_NONMS_ND_AS_2019Q2APR_AFS_After-Sales</v>
      </c>
      <c r="AM368" s="21" t="str">
        <f t="shared" si="86"/>
        <v>BR_VW_AFS_dv360_DIS_PROG_CPM_STD_LDR_AAF_RON_CXD_After-Sales-Oficina-Classicos-REG05-3rdparty_PD_970x250</v>
      </c>
      <c r="AN368" s="15" t="s">
        <v>809</v>
      </c>
    </row>
    <row r="369" spans="2:40" hidden="1" x14ac:dyDescent="0.25">
      <c r="B369" s="15" t="s">
        <v>872</v>
      </c>
      <c r="C369" s="15"/>
      <c r="D369" s="30" t="s">
        <v>873</v>
      </c>
      <c r="E369" s="22">
        <v>44155</v>
      </c>
      <c r="F369" s="22">
        <v>44196</v>
      </c>
      <c r="G369" s="15" t="s">
        <v>674</v>
      </c>
      <c r="H369" s="15" t="s">
        <v>811</v>
      </c>
      <c r="I369" s="15" t="s">
        <v>702</v>
      </c>
      <c r="J369" s="15" t="s">
        <v>325</v>
      </c>
      <c r="K369" s="15" t="s">
        <v>334</v>
      </c>
      <c r="L369" s="15" t="s">
        <v>358</v>
      </c>
      <c r="M369" s="15" t="s">
        <v>322</v>
      </c>
      <c r="N369" s="15" t="s">
        <v>708</v>
      </c>
      <c r="O369" s="15" t="s">
        <v>694</v>
      </c>
      <c r="P369" s="15" t="s">
        <v>1044</v>
      </c>
      <c r="Q369" s="15" t="s">
        <v>889</v>
      </c>
      <c r="R369" s="15" t="s">
        <v>835</v>
      </c>
      <c r="S369" s="15" t="s">
        <v>348</v>
      </c>
      <c r="T369" s="15" t="s">
        <v>457</v>
      </c>
      <c r="AC369" s="32" t="s">
        <v>885</v>
      </c>
      <c r="AD369" s="33" t="e">
        <f t="shared" si="78"/>
        <v>#N/A</v>
      </c>
      <c r="AE369" s="21" t="str">
        <f t="shared" si="81"/>
        <v>BR_VW_AFS_dv360_DIS_PROG_CPM_STD_LDR_AAF_RON_CXD_After-Sales-Oficina-Classicos-REG05-lal-lead-ofertas_PD_160x600</v>
      </c>
      <c r="AF369" s="21" t="str">
        <f t="shared" si="82"/>
        <v>BR_VW_AFS_dv360_DIS_PROG_CPM_STD_LDR_AAF_RON_CXD_After-Sales-Oficina-Classicos-REG05-lal-lead-ofertas_PD_160x600</v>
      </c>
      <c r="AG369" s="21" t="str">
        <f t="shared" si="83"/>
        <v>VW_After-Sales-lal-lead-ofertas_160x600_After-Sales-Oficina-Classicos-REG05-adserver</v>
      </c>
      <c r="AH369" s="21" t="str">
        <f t="shared" si="84"/>
        <v>https://www.oficinadeclassicos.com.br/index.aspx?utm_source=dv360&amp;utm_medium=Programmatic&amp;utm_content=BR_VW_AFS_dv360_DIS_PROG_CPM_STD_LDR_AAF_RON_CXD_After-Sales-Oficina-Classicos-REG05-lal-lead-ofertas_PD_160x600&amp;utm_campaign=BR_AAF_DSY_NONMS_ND_AS_2019Q2APR_AFS_After-Sales&amp;utm_term=%epid!_%ecid!_%eaid!</v>
      </c>
      <c r="AI369" s="21" t="str">
        <f t="shared" si="85"/>
        <v>TAG</v>
      </c>
      <c r="AJ369" s="15" t="str">
        <f t="shared" si="79"/>
        <v>dv360</v>
      </c>
      <c r="AK369" s="15" t="str">
        <f t="shared" si="80"/>
        <v>Programmatic</v>
      </c>
      <c r="AL369" s="21" t="str">
        <f>Campanha!$B$3</f>
        <v>BR_AAF_DSY_NONMS_ND_AS_2019Q2APR_AFS_After-Sales</v>
      </c>
      <c r="AM369" s="21" t="str">
        <f t="shared" si="86"/>
        <v>BR_VW_AFS_dv360_DIS_PROG_CPM_STD_LDR_AAF_RON_CXD_After-Sales-Oficina-Classicos-REG05-lal-lead-ofertas_PD_160x600</v>
      </c>
      <c r="AN369" s="15" t="s">
        <v>809</v>
      </c>
    </row>
    <row r="370" spans="2:40" hidden="1" x14ac:dyDescent="0.25">
      <c r="B370" s="15" t="s">
        <v>872</v>
      </c>
      <c r="C370" s="15"/>
      <c r="D370" s="30" t="s">
        <v>873</v>
      </c>
      <c r="E370" s="22">
        <v>44155</v>
      </c>
      <c r="F370" s="22">
        <v>44196</v>
      </c>
      <c r="G370" s="15" t="s">
        <v>674</v>
      </c>
      <c r="H370" s="15" t="s">
        <v>811</v>
      </c>
      <c r="I370" s="15" t="s">
        <v>702</v>
      </c>
      <c r="J370" s="15" t="s">
        <v>325</v>
      </c>
      <c r="K370" s="15" t="s">
        <v>334</v>
      </c>
      <c r="L370" s="15" t="s">
        <v>358</v>
      </c>
      <c r="M370" s="15" t="s">
        <v>322</v>
      </c>
      <c r="N370" s="15" t="s">
        <v>708</v>
      </c>
      <c r="O370" s="15" t="s">
        <v>694</v>
      </c>
      <c r="P370" s="15" t="s">
        <v>1044</v>
      </c>
      <c r="Q370" s="15" t="s">
        <v>889</v>
      </c>
      <c r="R370" s="15" t="s">
        <v>835</v>
      </c>
      <c r="S370" s="15" t="s">
        <v>348</v>
      </c>
      <c r="T370" s="15" t="s">
        <v>484</v>
      </c>
      <c r="AC370" s="32" t="s">
        <v>885</v>
      </c>
      <c r="AD370" s="33" t="e">
        <f t="shared" si="78"/>
        <v>#N/A</v>
      </c>
      <c r="AE370" s="21" t="str">
        <f t="shared" si="81"/>
        <v>BR_VW_AFS_dv360_DIS_PROG_CPM_STD_LDR_AAF_RON_CXD_After-Sales-Oficina-Classicos-REG05-lal-lead-ofertas_PD_300x50</v>
      </c>
      <c r="AF370" s="21" t="str">
        <f t="shared" si="82"/>
        <v>BR_VW_AFS_dv360_DIS_PROG_CPM_STD_LDR_AAF_RON_CXD_After-Sales-Oficina-Classicos-REG05-lal-lead-ofertas_PD_300x50</v>
      </c>
      <c r="AG370" s="21" t="str">
        <f t="shared" si="83"/>
        <v>VW_After-Sales-lal-lead-ofertas_300x50_After-Sales-Oficina-Classicos-REG05-adserver</v>
      </c>
      <c r="AH370" s="21" t="str">
        <f t="shared" si="84"/>
        <v>https://www.oficinadeclassicos.com.br/index.aspx?utm_source=dv360&amp;utm_medium=Programmatic&amp;utm_content=BR_VW_AFS_dv360_DIS_PROG_CPM_STD_LDR_AAF_RON_CXD_After-Sales-Oficina-Classicos-REG05-lal-lead-ofertas_PD_300x50&amp;utm_campaign=BR_AAF_DSY_NONMS_ND_AS_2019Q2APR_AFS_After-Sales&amp;utm_term=%epid!_%ecid!_%eaid!</v>
      </c>
      <c r="AI370" s="21" t="str">
        <f t="shared" si="85"/>
        <v>TAG</v>
      </c>
      <c r="AJ370" s="15" t="str">
        <f t="shared" si="79"/>
        <v>dv360</v>
      </c>
      <c r="AK370" s="15" t="str">
        <f t="shared" si="80"/>
        <v>Programmatic</v>
      </c>
      <c r="AL370" s="21" t="str">
        <f>Campanha!$B$3</f>
        <v>BR_AAF_DSY_NONMS_ND_AS_2019Q2APR_AFS_After-Sales</v>
      </c>
      <c r="AM370" s="21" t="str">
        <f t="shared" si="86"/>
        <v>BR_VW_AFS_dv360_DIS_PROG_CPM_STD_LDR_AAF_RON_CXD_After-Sales-Oficina-Classicos-REG05-lal-lead-ofertas_PD_300x50</v>
      </c>
      <c r="AN370" s="15" t="s">
        <v>809</v>
      </c>
    </row>
    <row r="371" spans="2:40" hidden="1" x14ac:dyDescent="0.25">
      <c r="B371" s="15" t="s">
        <v>872</v>
      </c>
      <c r="C371" s="15"/>
      <c r="D371" s="30" t="s">
        <v>873</v>
      </c>
      <c r="E371" s="22">
        <v>44155</v>
      </c>
      <c r="F371" s="22">
        <v>44196</v>
      </c>
      <c r="G371" s="15" t="s">
        <v>674</v>
      </c>
      <c r="H371" s="15" t="s">
        <v>811</v>
      </c>
      <c r="I371" s="15" t="s">
        <v>702</v>
      </c>
      <c r="J371" s="15" t="s">
        <v>325</v>
      </c>
      <c r="K371" s="15" t="s">
        <v>334</v>
      </c>
      <c r="L371" s="15" t="s">
        <v>358</v>
      </c>
      <c r="M371" s="15" t="s">
        <v>322</v>
      </c>
      <c r="N371" s="15" t="s">
        <v>708</v>
      </c>
      <c r="O371" s="15" t="s">
        <v>694</v>
      </c>
      <c r="P371" s="15" t="s">
        <v>1044</v>
      </c>
      <c r="Q371" s="15" t="s">
        <v>889</v>
      </c>
      <c r="R371" s="15" t="s">
        <v>835</v>
      </c>
      <c r="S371" s="15" t="s">
        <v>348</v>
      </c>
      <c r="T371" s="15" t="s">
        <v>478</v>
      </c>
      <c r="AC371" s="32" t="s">
        <v>885</v>
      </c>
      <c r="AD371" s="33" t="e">
        <f t="shared" si="78"/>
        <v>#N/A</v>
      </c>
      <c r="AE371" s="21" t="str">
        <f t="shared" si="81"/>
        <v>BR_VW_AFS_dv360_DIS_PROG_CPM_STD_LDR_AAF_RON_CXD_After-Sales-Oficina-Classicos-REG05-lal-lead-ofertas_PD_300x250</v>
      </c>
      <c r="AF371" s="21" t="str">
        <f t="shared" si="82"/>
        <v>BR_VW_AFS_dv360_DIS_PROG_CPM_STD_LDR_AAF_RON_CXD_After-Sales-Oficina-Classicos-REG05-lal-lead-ofertas_PD_300x250</v>
      </c>
      <c r="AG371" s="21" t="str">
        <f t="shared" si="83"/>
        <v>VW_After-Sales-lal-lead-ofertas_300x250_After-Sales-Oficina-Classicos-REG05-adserver</v>
      </c>
      <c r="AH371" s="21" t="str">
        <f t="shared" si="84"/>
        <v>https://www.oficinadeclassicos.com.br/index.aspx?utm_source=dv360&amp;utm_medium=Programmatic&amp;utm_content=BR_VW_AFS_dv360_DIS_PROG_CPM_STD_LDR_AAF_RON_CXD_After-Sales-Oficina-Classicos-REG05-lal-lead-ofertas_PD_300x250&amp;utm_campaign=BR_AAF_DSY_NONMS_ND_AS_2019Q2APR_AFS_After-Sales&amp;utm_term=%epid!_%ecid!_%eaid!</v>
      </c>
      <c r="AI371" s="21" t="str">
        <f t="shared" si="85"/>
        <v>TAG</v>
      </c>
      <c r="AJ371" s="15" t="str">
        <f t="shared" si="79"/>
        <v>dv360</v>
      </c>
      <c r="AK371" s="15" t="str">
        <f t="shared" si="80"/>
        <v>Programmatic</v>
      </c>
      <c r="AL371" s="21" t="str">
        <f>Campanha!$B$3</f>
        <v>BR_AAF_DSY_NONMS_ND_AS_2019Q2APR_AFS_After-Sales</v>
      </c>
      <c r="AM371" s="21" t="str">
        <f t="shared" si="86"/>
        <v>BR_VW_AFS_dv360_DIS_PROG_CPM_STD_LDR_AAF_RON_CXD_After-Sales-Oficina-Classicos-REG05-lal-lead-ofertas_PD_300x250</v>
      </c>
      <c r="AN371" s="15" t="s">
        <v>809</v>
      </c>
    </row>
    <row r="372" spans="2:40" hidden="1" x14ac:dyDescent="0.25">
      <c r="B372" s="15" t="s">
        <v>872</v>
      </c>
      <c r="C372" s="15"/>
      <c r="D372" s="30" t="s">
        <v>873</v>
      </c>
      <c r="E372" s="22">
        <v>44155</v>
      </c>
      <c r="F372" s="22">
        <v>44196</v>
      </c>
      <c r="G372" s="15" t="s">
        <v>674</v>
      </c>
      <c r="H372" s="15" t="s">
        <v>811</v>
      </c>
      <c r="I372" s="15" t="s">
        <v>702</v>
      </c>
      <c r="J372" s="15" t="s">
        <v>325</v>
      </c>
      <c r="K372" s="15" t="s">
        <v>334</v>
      </c>
      <c r="L372" s="15" t="s">
        <v>358</v>
      </c>
      <c r="M372" s="15" t="s">
        <v>322</v>
      </c>
      <c r="N372" s="15" t="s">
        <v>708</v>
      </c>
      <c r="O372" s="15" t="s">
        <v>694</v>
      </c>
      <c r="P372" s="15" t="s">
        <v>1044</v>
      </c>
      <c r="Q372" s="15" t="s">
        <v>889</v>
      </c>
      <c r="R372" s="15" t="s">
        <v>835</v>
      </c>
      <c r="S372" s="15" t="s">
        <v>348</v>
      </c>
      <c r="T372" s="15" t="s">
        <v>614</v>
      </c>
      <c r="AC372" s="32" t="s">
        <v>885</v>
      </c>
      <c r="AD372" s="33" t="e">
        <f t="shared" si="78"/>
        <v>#N/A</v>
      </c>
      <c r="AE372" s="21" t="str">
        <f t="shared" si="81"/>
        <v>BR_VW_AFS_dv360_DIS_PROG_CPM_STD_LDR_AAF_RON_CXD_After-Sales-Oficina-Classicos-REG05-lal-lead-ofertas_PD_728x90</v>
      </c>
      <c r="AF372" s="21" t="str">
        <f t="shared" si="82"/>
        <v>BR_VW_AFS_dv360_DIS_PROG_CPM_STD_LDR_AAF_RON_CXD_After-Sales-Oficina-Classicos-REG05-lal-lead-ofertas_PD_728x90</v>
      </c>
      <c r="AG372" s="21" t="str">
        <f t="shared" si="83"/>
        <v>VW_After-Sales-lal-lead-ofertas_728x90_After-Sales-Oficina-Classicos-REG05-adserver</v>
      </c>
      <c r="AH372" s="21" t="str">
        <f t="shared" si="84"/>
        <v>https://www.oficinadeclassicos.com.br/index.aspx?utm_source=dv360&amp;utm_medium=Programmatic&amp;utm_content=BR_VW_AFS_dv360_DIS_PROG_CPM_STD_LDR_AAF_RON_CXD_After-Sales-Oficina-Classicos-REG05-lal-lead-ofertas_PD_728x90&amp;utm_campaign=BR_AAF_DSY_NONMS_ND_AS_2019Q2APR_AFS_After-Sales&amp;utm_term=%epid!_%ecid!_%eaid!</v>
      </c>
      <c r="AI372" s="21" t="str">
        <f t="shared" si="85"/>
        <v>TAG</v>
      </c>
      <c r="AJ372" s="15" t="str">
        <f t="shared" si="79"/>
        <v>dv360</v>
      </c>
      <c r="AK372" s="15" t="str">
        <f t="shared" si="80"/>
        <v>Programmatic</v>
      </c>
      <c r="AL372" s="21" t="str">
        <f>Campanha!$B$3</f>
        <v>BR_AAF_DSY_NONMS_ND_AS_2019Q2APR_AFS_After-Sales</v>
      </c>
      <c r="AM372" s="21" t="str">
        <f t="shared" si="86"/>
        <v>BR_VW_AFS_dv360_DIS_PROG_CPM_STD_LDR_AAF_RON_CXD_After-Sales-Oficina-Classicos-REG05-lal-lead-ofertas_PD_728x90</v>
      </c>
      <c r="AN372" s="15" t="s">
        <v>809</v>
      </c>
    </row>
    <row r="373" spans="2:40" hidden="1" x14ac:dyDescent="0.25">
      <c r="B373" s="15" t="s">
        <v>872</v>
      </c>
      <c r="C373" s="15"/>
      <c r="D373" s="30" t="s">
        <v>873</v>
      </c>
      <c r="E373" s="22">
        <v>44155</v>
      </c>
      <c r="F373" s="22">
        <v>44196</v>
      </c>
      <c r="G373" s="15" t="s">
        <v>674</v>
      </c>
      <c r="H373" s="15" t="s">
        <v>811</v>
      </c>
      <c r="I373" s="15" t="s">
        <v>702</v>
      </c>
      <c r="J373" s="15" t="s">
        <v>325</v>
      </c>
      <c r="K373" s="15" t="s">
        <v>334</v>
      </c>
      <c r="L373" s="15" t="s">
        <v>358</v>
      </c>
      <c r="M373" s="15" t="s">
        <v>322</v>
      </c>
      <c r="N373" s="15" t="s">
        <v>708</v>
      </c>
      <c r="O373" s="15" t="s">
        <v>694</v>
      </c>
      <c r="P373" s="15" t="s">
        <v>1044</v>
      </c>
      <c r="Q373" s="15" t="s">
        <v>889</v>
      </c>
      <c r="R373" s="15" t="s">
        <v>835</v>
      </c>
      <c r="S373" s="15" t="s">
        <v>348</v>
      </c>
      <c r="T373" s="15" t="s">
        <v>652</v>
      </c>
      <c r="AC373" s="32" t="s">
        <v>885</v>
      </c>
      <c r="AD373" s="33" t="e">
        <f t="shared" si="78"/>
        <v>#N/A</v>
      </c>
      <c r="AE373" s="21" t="str">
        <f t="shared" si="81"/>
        <v>BR_VW_AFS_dv360_DIS_PROG_CPM_STD_LDR_AAF_RON_CXD_After-Sales-Oficina-Classicos-REG05-lal-lead-ofertas_PD_970x250</v>
      </c>
      <c r="AF373" s="21" t="str">
        <f t="shared" si="82"/>
        <v>BR_VW_AFS_dv360_DIS_PROG_CPM_STD_LDR_AAF_RON_CXD_After-Sales-Oficina-Classicos-REG05-lal-lead-ofertas_PD_970x250</v>
      </c>
      <c r="AG373" s="21" t="str">
        <f t="shared" si="83"/>
        <v>VW_After-Sales-lal-lead-ofertas_970x250_After-Sales-Oficina-Classicos-REG05-adserver</v>
      </c>
      <c r="AH373" s="21" t="str">
        <f t="shared" si="84"/>
        <v>https://www.oficinadeclassicos.com.br/index.aspx?utm_source=dv360&amp;utm_medium=Programmatic&amp;utm_content=BR_VW_AFS_dv360_DIS_PROG_CPM_STD_LDR_AAF_RON_CXD_After-Sales-Oficina-Classicos-REG05-lal-lead-ofertas_PD_970x250&amp;utm_campaign=BR_AAF_DSY_NONMS_ND_AS_2019Q2APR_AFS_After-Sales&amp;utm_term=%epid!_%ecid!_%eaid!</v>
      </c>
      <c r="AI373" s="21" t="str">
        <f t="shared" si="85"/>
        <v>TAG</v>
      </c>
      <c r="AJ373" s="15" t="str">
        <f t="shared" si="79"/>
        <v>dv360</v>
      </c>
      <c r="AK373" s="15" t="str">
        <f t="shared" si="80"/>
        <v>Programmatic</v>
      </c>
      <c r="AL373" s="21" t="str">
        <f>Campanha!$B$3</f>
        <v>BR_AAF_DSY_NONMS_ND_AS_2019Q2APR_AFS_After-Sales</v>
      </c>
      <c r="AM373" s="21" t="str">
        <f t="shared" si="86"/>
        <v>BR_VW_AFS_dv360_DIS_PROG_CPM_STD_LDR_AAF_RON_CXD_After-Sales-Oficina-Classicos-REG05-lal-lead-ofertas_PD_970x250</v>
      </c>
      <c r="AN373" s="15" t="s">
        <v>809</v>
      </c>
    </row>
    <row r="374" spans="2:40" hidden="1" x14ac:dyDescent="0.25">
      <c r="B374" s="15" t="s">
        <v>872</v>
      </c>
      <c r="C374" s="15"/>
      <c r="D374" s="30" t="s">
        <v>873</v>
      </c>
      <c r="E374" s="22">
        <v>44155</v>
      </c>
      <c r="F374" s="22">
        <v>44196</v>
      </c>
      <c r="G374" s="15" t="s">
        <v>674</v>
      </c>
      <c r="H374" s="15" t="s">
        <v>811</v>
      </c>
      <c r="I374" s="15" t="s">
        <v>702</v>
      </c>
      <c r="J374" s="15" t="s">
        <v>325</v>
      </c>
      <c r="K374" s="15" t="s">
        <v>334</v>
      </c>
      <c r="L374" s="15" t="s">
        <v>358</v>
      </c>
      <c r="M374" s="15" t="s">
        <v>322</v>
      </c>
      <c r="N374" s="15" t="s">
        <v>708</v>
      </c>
      <c r="O374" s="15" t="s">
        <v>694</v>
      </c>
      <c r="P374" s="15" t="s">
        <v>1044</v>
      </c>
      <c r="Q374" s="15" t="s">
        <v>876</v>
      </c>
      <c r="R374" s="15" t="s">
        <v>835</v>
      </c>
      <c r="S374" s="15" t="s">
        <v>348</v>
      </c>
      <c r="T374" s="15" t="s">
        <v>457</v>
      </c>
      <c r="AC374" s="32" t="s">
        <v>885</v>
      </c>
      <c r="AD374" s="33" t="e">
        <f t="shared" ref="AD374:AD437" si="87">VLOOKUP(AE374,id_placement,2,FALSE)</f>
        <v>#N/A</v>
      </c>
      <c r="AE374" s="21" t="str">
        <f t="shared" si="81"/>
        <v>BR_VW_AFS_dv360_DIS_PROG_CPM_STD_LDR_AAF_RON_CXD_After-Sales-Oficina-Classicos-REG05-lal-add-to-cart-ofertas_PD_160x600</v>
      </c>
      <c r="AF374" s="21" t="str">
        <f t="shared" si="82"/>
        <v>BR_VW_AFS_dv360_DIS_PROG_CPM_STD_LDR_AAF_RON_CXD_After-Sales-Oficina-Classicos-REG05-lal-add-to-cart-ofertas_PD_160x600</v>
      </c>
      <c r="AG374" s="21" t="str">
        <f t="shared" si="83"/>
        <v>VW_After-Sales-lal-add-to-cart-ofertas_160x600_After-Sales-Oficina-Classicos-REG05-adserver</v>
      </c>
      <c r="AH374" s="21" t="str">
        <f t="shared" si="84"/>
        <v>https://www.oficinadeclassicos.com.br/index.aspx?utm_source=dv360&amp;utm_medium=Programmatic&amp;utm_content=BR_VW_AFS_dv360_DIS_PROG_CPM_STD_LDR_AAF_RON_CXD_After-Sales-Oficina-Classicos-REG05-lal-add-to-cart-ofertas_PD_160x600&amp;utm_campaign=BR_AAF_DSY_NONMS_ND_AS_2019Q2APR_AFS_After-Sales&amp;utm_term=%epid!_%ecid!_%eaid!</v>
      </c>
      <c r="AI374" s="21" t="str">
        <f t="shared" si="85"/>
        <v>TAG</v>
      </c>
      <c r="AJ374" s="15" t="str">
        <f t="shared" si="79"/>
        <v>dv360</v>
      </c>
      <c r="AK374" s="15" t="str">
        <f t="shared" si="80"/>
        <v>Programmatic</v>
      </c>
      <c r="AL374" s="21" t="str">
        <f>Campanha!$B$3</f>
        <v>BR_AAF_DSY_NONMS_ND_AS_2019Q2APR_AFS_After-Sales</v>
      </c>
      <c r="AM374" s="21" t="str">
        <f t="shared" si="86"/>
        <v>BR_VW_AFS_dv360_DIS_PROG_CPM_STD_LDR_AAF_RON_CXD_After-Sales-Oficina-Classicos-REG05-lal-add-to-cart-ofertas_PD_160x600</v>
      </c>
      <c r="AN374" s="15" t="s">
        <v>809</v>
      </c>
    </row>
    <row r="375" spans="2:40" hidden="1" x14ac:dyDescent="0.25">
      <c r="B375" s="15" t="s">
        <v>872</v>
      </c>
      <c r="C375" s="15"/>
      <c r="D375" s="30" t="s">
        <v>873</v>
      </c>
      <c r="E375" s="22">
        <v>44155</v>
      </c>
      <c r="F375" s="22">
        <v>44196</v>
      </c>
      <c r="G375" s="15" t="s">
        <v>674</v>
      </c>
      <c r="H375" s="15" t="s">
        <v>811</v>
      </c>
      <c r="I375" s="15" t="s">
        <v>702</v>
      </c>
      <c r="J375" s="15" t="s">
        <v>325</v>
      </c>
      <c r="K375" s="15" t="s">
        <v>334</v>
      </c>
      <c r="L375" s="15" t="s">
        <v>358</v>
      </c>
      <c r="M375" s="15" t="s">
        <v>322</v>
      </c>
      <c r="N375" s="15" t="s">
        <v>708</v>
      </c>
      <c r="O375" s="15" t="s">
        <v>694</v>
      </c>
      <c r="P375" s="15" t="s">
        <v>1044</v>
      </c>
      <c r="Q375" s="15" t="s">
        <v>876</v>
      </c>
      <c r="R375" s="15" t="s">
        <v>835</v>
      </c>
      <c r="S375" s="15" t="s">
        <v>348</v>
      </c>
      <c r="T375" s="15" t="s">
        <v>484</v>
      </c>
      <c r="AC375" s="32" t="s">
        <v>885</v>
      </c>
      <c r="AD375" s="33" t="e">
        <f t="shared" si="87"/>
        <v>#N/A</v>
      </c>
      <c r="AE375" s="21" t="str">
        <f t="shared" si="81"/>
        <v>BR_VW_AFS_dv360_DIS_PROG_CPM_STD_LDR_AAF_RON_CXD_After-Sales-Oficina-Classicos-REG05-lal-add-to-cart-ofertas_PD_300x50</v>
      </c>
      <c r="AF375" s="21" t="str">
        <f t="shared" si="82"/>
        <v>BR_VW_AFS_dv360_DIS_PROG_CPM_STD_LDR_AAF_RON_CXD_After-Sales-Oficina-Classicos-REG05-lal-add-to-cart-ofertas_PD_300x50</v>
      </c>
      <c r="AG375" s="21" t="str">
        <f t="shared" si="83"/>
        <v>VW_After-Sales-lal-add-to-cart-ofertas_300x50_After-Sales-Oficina-Classicos-REG05-adserver</v>
      </c>
      <c r="AH375" s="21" t="str">
        <f t="shared" si="84"/>
        <v>https://www.oficinadeclassicos.com.br/index.aspx?utm_source=dv360&amp;utm_medium=Programmatic&amp;utm_content=BR_VW_AFS_dv360_DIS_PROG_CPM_STD_LDR_AAF_RON_CXD_After-Sales-Oficina-Classicos-REG05-lal-add-to-cart-ofertas_PD_300x50&amp;utm_campaign=BR_AAF_DSY_NONMS_ND_AS_2019Q2APR_AFS_After-Sales&amp;utm_term=%epid!_%ecid!_%eaid!</v>
      </c>
      <c r="AI375" s="21" t="str">
        <f t="shared" si="85"/>
        <v>TAG</v>
      </c>
      <c r="AJ375" s="15" t="str">
        <f t="shared" si="79"/>
        <v>dv360</v>
      </c>
      <c r="AK375" s="15" t="str">
        <f t="shared" si="80"/>
        <v>Programmatic</v>
      </c>
      <c r="AL375" s="21" t="str">
        <f>Campanha!$B$3</f>
        <v>BR_AAF_DSY_NONMS_ND_AS_2019Q2APR_AFS_After-Sales</v>
      </c>
      <c r="AM375" s="21" t="str">
        <f t="shared" si="86"/>
        <v>BR_VW_AFS_dv360_DIS_PROG_CPM_STD_LDR_AAF_RON_CXD_After-Sales-Oficina-Classicos-REG05-lal-add-to-cart-ofertas_PD_300x50</v>
      </c>
      <c r="AN375" s="15" t="s">
        <v>809</v>
      </c>
    </row>
    <row r="376" spans="2:40" hidden="1" x14ac:dyDescent="0.25">
      <c r="B376" s="15" t="s">
        <v>872</v>
      </c>
      <c r="C376" s="15"/>
      <c r="D376" s="30" t="s">
        <v>873</v>
      </c>
      <c r="E376" s="22">
        <v>44155</v>
      </c>
      <c r="F376" s="22">
        <v>44196</v>
      </c>
      <c r="G376" s="15" t="s">
        <v>674</v>
      </c>
      <c r="H376" s="15" t="s">
        <v>811</v>
      </c>
      <c r="I376" s="15" t="s">
        <v>702</v>
      </c>
      <c r="J376" s="15" t="s">
        <v>325</v>
      </c>
      <c r="K376" s="15" t="s">
        <v>334</v>
      </c>
      <c r="L376" s="15" t="s">
        <v>358</v>
      </c>
      <c r="M376" s="15" t="s">
        <v>322</v>
      </c>
      <c r="N376" s="15" t="s">
        <v>708</v>
      </c>
      <c r="O376" s="15" t="s">
        <v>694</v>
      </c>
      <c r="P376" s="15" t="s">
        <v>1044</v>
      </c>
      <c r="Q376" s="15" t="s">
        <v>876</v>
      </c>
      <c r="R376" s="15" t="s">
        <v>835</v>
      </c>
      <c r="S376" s="15" t="s">
        <v>348</v>
      </c>
      <c r="T376" s="15" t="s">
        <v>478</v>
      </c>
      <c r="AC376" s="32" t="s">
        <v>885</v>
      </c>
      <c r="AD376" s="33" t="e">
        <f t="shared" si="87"/>
        <v>#N/A</v>
      </c>
      <c r="AE376" s="21" t="str">
        <f t="shared" si="81"/>
        <v>BR_VW_AFS_dv360_DIS_PROG_CPM_STD_LDR_AAF_RON_CXD_After-Sales-Oficina-Classicos-REG05-lal-add-to-cart-ofertas_PD_300x250</v>
      </c>
      <c r="AF376" s="21" t="str">
        <f t="shared" si="82"/>
        <v>BR_VW_AFS_dv360_DIS_PROG_CPM_STD_LDR_AAF_RON_CXD_After-Sales-Oficina-Classicos-REG05-lal-add-to-cart-ofertas_PD_300x250</v>
      </c>
      <c r="AG376" s="21" t="str">
        <f t="shared" si="83"/>
        <v>VW_After-Sales-lal-add-to-cart-ofertas_300x250_After-Sales-Oficina-Classicos-REG05-adserver</v>
      </c>
      <c r="AH376" s="21" t="str">
        <f t="shared" si="84"/>
        <v>https://www.oficinadeclassicos.com.br/index.aspx?utm_source=dv360&amp;utm_medium=Programmatic&amp;utm_content=BR_VW_AFS_dv360_DIS_PROG_CPM_STD_LDR_AAF_RON_CXD_After-Sales-Oficina-Classicos-REG05-lal-add-to-cart-ofertas_PD_300x250&amp;utm_campaign=BR_AAF_DSY_NONMS_ND_AS_2019Q2APR_AFS_After-Sales&amp;utm_term=%epid!_%ecid!_%eaid!</v>
      </c>
      <c r="AI376" s="21" t="str">
        <f t="shared" si="85"/>
        <v>TAG</v>
      </c>
      <c r="AJ376" s="15" t="str">
        <f t="shared" si="79"/>
        <v>dv360</v>
      </c>
      <c r="AK376" s="15" t="str">
        <f t="shared" si="80"/>
        <v>Programmatic</v>
      </c>
      <c r="AL376" s="21" t="str">
        <f>Campanha!$B$3</f>
        <v>BR_AAF_DSY_NONMS_ND_AS_2019Q2APR_AFS_After-Sales</v>
      </c>
      <c r="AM376" s="21" t="str">
        <f t="shared" si="86"/>
        <v>BR_VW_AFS_dv360_DIS_PROG_CPM_STD_LDR_AAF_RON_CXD_After-Sales-Oficina-Classicos-REG05-lal-add-to-cart-ofertas_PD_300x250</v>
      </c>
      <c r="AN376" s="15" t="s">
        <v>809</v>
      </c>
    </row>
    <row r="377" spans="2:40" hidden="1" x14ac:dyDescent="0.25">
      <c r="B377" s="15" t="s">
        <v>872</v>
      </c>
      <c r="C377" s="15"/>
      <c r="D377" s="30" t="s">
        <v>873</v>
      </c>
      <c r="E377" s="22">
        <v>44155</v>
      </c>
      <c r="F377" s="22">
        <v>44196</v>
      </c>
      <c r="G377" s="15" t="s">
        <v>674</v>
      </c>
      <c r="H377" s="15" t="s">
        <v>811</v>
      </c>
      <c r="I377" s="15" t="s">
        <v>702</v>
      </c>
      <c r="J377" s="15" t="s">
        <v>325</v>
      </c>
      <c r="K377" s="15" t="s">
        <v>334</v>
      </c>
      <c r="L377" s="15" t="s">
        <v>358</v>
      </c>
      <c r="M377" s="15" t="s">
        <v>322</v>
      </c>
      <c r="N377" s="15" t="s">
        <v>708</v>
      </c>
      <c r="O377" s="15" t="s">
        <v>694</v>
      </c>
      <c r="P377" s="15" t="s">
        <v>1044</v>
      </c>
      <c r="Q377" s="15" t="s">
        <v>876</v>
      </c>
      <c r="R377" s="15" t="s">
        <v>835</v>
      </c>
      <c r="S377" s="15" t="s">
        <v>348</v>
      </c>
      <c r="T377" s="15" t="s">
        <v>614</v>
      </c>
      <c r="AC377" s="32" t="s">
        <v>885</v>
      </c>
      <c r="AD377" s="33" t="e">
        <f t="shared" si="87"/>
        <v>#N/A</v>
      </c>
      <c r="AE377" s="21" t="str">
        <f t="shared" si="81"/>
        <v>BR_VW_AFS_dv360_DIS_PROG_CPM_STD_LDR_AAF_RON_CXD_After-Sales-Oficina-Classicos-REG05-lal-add-to-cart-ofertas_PD_728x90</v>
      </c>
      <c r="AF377" s="21" t="str">
        <f t="shared" si="82"/>
        <v>BR_VW_AFS_dv360_DIS_PROG_CPM_STD_LDR_AAF_RON_CXD_After-Sales-Oficina-Classicos-REG05-lal-add-to-cart-ofertas_PD_728x90</v>
      </c>
      <c r="AG377" s="21" t="str">
        <f t="shared" si="83"/>
        <v>VW_After-Sales-lal-add-to-cart-ofertas_728x90_After-Sales-Oficina-Classicos-REG05-adserver</v>
      </c>
      <c r="AH377" s="21" t="str">
        <f t="shared" si="84"/>
        <v>https://www.oficinadeclassicos.com.br/index.aspx?utm_source=dv360&amp;utm_medium=Programmatic&amp;utm_content=BR_VW_AFS_dv360_DIS_PROG_CPM_STD_LDR_AAF_RON_CXD_After-Sales-Oficina-Classicos-REG05-lal-add-to-cart-ofertas_PD_728x90&amp;utm_campaign=BR_AAF_DSY_NONMS_ND_AS_2019Q2APR_AFS_After-Sales&amp;utm_term=%epid!_%ecid!_%eaid!</v>
      </c>
      <c r="AI377" s="21" t="str">
        <f t="shared" si="85"/>
        <v>TAG</v>
      </c>
      <c r="AJ377" s="15" t="str">
        <f t="shared" si="79"/>
        <v>dv360</v>
      </c>
      <c r="AK377" s="15" t="str">
        <f t="shared" si="80"/>
        <v>Programmatic</v>
      </c>
      <c r="AL377" s="21" t="str">
        <f>Campanha!$B$3</f>
        <v>BR_AAF_DSY_NONMS_ND_AS_2019Q2APR_AFS_After-Sales</v>
      </c>
      <c r="AM377" s="21" t="str">
        <f t="shared" si="86"/>
        <v>BR_VW_AFS_dv360_DIS_PROG_CPM_STD_LDR_AAF_RON_CXD_After-Sales-Oficina-Classicos-REG05-lal-add-to-cart-ofertas_PD_728x90</v>
      </c>
      <c r="AN377" s="15" t="s">
        <v>809</v>
      </c>
    </row>
    <row r="378" spans="2:40" hidden="1" x14ac:dyDescent="0.25">
      <c r="B378" s="15" t="s">
        <v>872</v>
      </c>
      <c r="C378" s="15"/>
      <c r="D378" s="30" t="s">
        <v>873</v>
      </c>
      <c r="E378" s="22">
        <v>44155</v>
      </c>
      <c r="F378" s="22">
        <v>44196</v>
      </c>
      <c r="G378" s="15" t="s">
        <v>674</v>
      </c>
      <c r="H378" s="15" t="s">
        <v>811</v>
      </c>
      <c r="I378" s="15" t="s">
        <v>702</v>
      </c>
      <c r="J378" s="15" t="s">
        <v>325</v>
      </c>
      <c r="K378" s="15" t="s">
        <v>334</v>
      </c>
      <c r="L378" s="15" t="s">
        <v>358</v>
      </c>
      <c r="M378" s="15" t="s">
        <v>322</v>
      </c>
      <c r="N378" s="15" t="s">
        <v>708</v>
      </c>
      <c r="O378" s="15" t="s">
        <v>694</v>
      </c>
      <c r="P378" s="15" t="s">
        <v>1044</v>
      </c>
      <c r="Q378" s="15" t="s">
        <v>876</v>
      </c>
      <c r="R378" s="15" t="s">
        <v>835</v>
      </c>
      <c r="S378" s="15" t="s">
        <v>348</v>
      </c>
      <c r="T378" s="15" t="s">
        <v>652</v>
      </c>
      <c r="AC378" s="32" t="s">
        <v>885</v>
      </c>
      <c r="AD378" s="33" t="e">
        <f t="shared" si="87"/>
        <v>#N/A</v>
      </c>
      <c r="AE378" s="21" t="str">
        <f t="shared" si="81"/>
        <v>BR_VW_AFS_dv360_DIS_PROG_CPM_STD_LDR_AAF_RON_CXD_After-Sales-Oficina-Classicos-REG05-lal-add-to-cart-ofertas_PD_970x250</v>
      </c>
      <c r="AF378" s="21" t="str">
        <f t="shared" si="82"/>
        <v>BR_VW_AFS_dv360_DIS_PROG_CPM_STD_LDR_AAF_RON_CXD_After-Sales-Oficina-Classicos-REG05-lal-add-to-cart-ofertas_PD_970x250</v>
      </c>
      <c r="AG378" s="21" t="str">
        <f t="shared" si="83"/>
        <v>VW_After-Sales-lal-add-to-cart-ofertas_970x250_After-Sales-Oficina-Classicos-REG05-adserver</v>
      </c>
      <c r="AH378" s="21" t="str">
        <f t="shared" si="84"/>
        <v>https://www.oficinadeclassicos.com.br/index.aspx?utm_source=dv360&amp;utm_medium=Programmatic&amp;utm_content=BR_VW_AFS_dv360_DIS_PROG_CPM_STD_LDR_AAF_RON_CXD_After-Sales-Oficina-Classicos-REG05-lal-add-to-cart-ofertas_PD_970x250&amp;utm_campaign=BR_AAF_DSY_NONMS_ND_AS_2019Q2APR_AFS_After-Sales&amp;utm_term=%epid!_%ecid!_%eaid!</v>
      </c>
      <c r="AI378" s="21" t="str">
        <f t="shared" si="85"/>
        <v>TAG</v>
      </c>
      <c r="AJ378" s="15" t="str">
        <f t="shared" si="79"/>
        <v>dv360</v>
      </c>
      <c r="AK378" s="15" t="str">
        <f t="shared" si="80"/>
        <v>Programmatic</v>
      </c>
      <c r="AL378" s="21" t="str">
        <f>Campanha!$B$3</f>
        <v>BR_AAF_DSY_NONMS_ND_AS_2019Q2APR_AFS_After-Sales</v>
      </c>
      <c r="AM378" s="21" t="str">
        <f t="shared" si="86"/>
        <v>BR_VW_AFS_dv360_DIS_PROG_CPM_STD_LDR_AAF_RON_CXD_After-Sales-Oficina-Classicos-REG05-lal-add-to-cart-ofertas_PD_970x250</v>
      </c>
      <c r="AN378" s="15" t="s">
        <v>809</v>
      </c>
    </row>
    <row r="379" spans="2:40" hidden="1" x14ac:dyDescent="0.25">
      <c r="B379" s="15" t="s">
        <v>872</v>
      </c>
      <c r="C379" s="15"/>
      <c r="D379" s="30" t="s">
        <v>873</v>
      </c>
      <c r="E379" s="22">
        <v>44155</v>
      </c>
      <c r="F379" s="22">
        <v>44196</v>
      </c>
      <c r="G379" s="15" t="s">
        <v>674</v>
      </c>
      <c r="H379" s="15" t="s">
        <v>811</v>
      </c>
      <c r="I379" s="15" t="s">
        <v>702</v>
      </c>
      <c r="J379" s="15" t="s">
        <v>325</v>
      </c>
      <c r="K379" s="15" t="s">
        <v>334</v>
      </c>
      <c r="L379" s="15" t="s">
        <v>358</v>
      </c>
      <c r="M379" s="15" t="s">
        <v>322</v>
      </c>
      <c r="N379" s="15" t="s">
        <v>708</v>
      </c>
      <c r="O379" s="15" t="s">
        <v>694</v>
      </c>
      <c r="P379" s="15" t="s">
        <v>1044</v>
      </c>
      <c r="Q379" s="15" t="s">
        <v>890</v>
      </c>
      <c r="R379" s="15" t="s">
        <v>835</v>
      </c>
      <c r="S379" s="15" t="s">
        <v>348</v>
      </c>
      <c r="T379" s="15" t="s">
        <v>457</v>
      </c>
      <c r="AC379" s="32" t="s">
        <v>885</v>
      </c>
      <c r="AD379" s="33" t="e">
        <f t="shared" si="87"/>
        <v>#N/A</v>
      </c>
      <c r="AE379" s="21" t="str">
        <f t="shared" si="81"/>
        <v>BR_VW_AFS_dv360_DIS_PROG_CPM_STD_LDR_AAF_RON_CXD_After-Sales-Oficina-Classicos-REG05-lal-home-ofertas_PD_160x600</v>
      </c>
      <c r="AF379" s="21" t="str">
        <f t="shared" si="82"/>
        <v>BR_VW_AFS_dv360_DIS_PROG_CPM_STD_LDR_AAF_RON_CXD_After-Sales-Oficina-Classicos-REG05-lal-home-ofertas_PD_160x600</v>
      </c>
      <c r="AG379" s="21" t="str">
        <f t="shared" si="83"/>
        <v>VW_After-Sales-lal-home-ofertas_160x600_After-Sales-Oficina-Classicos-REG05-adserver</v>
      </c>
      <c r="AH379" s="21" t="str">
        <f t="shared" si="84"/>
        <v>https://www.oficinadeclassicos.com.br/index.aspx?utm_source=dv360&amp;utm_medium=Programmatic&amp;utm_content=BR_VW_AFS_dv360_DIS_PROG_CPM_STD_LDR_AAF_RON_CXD_After-Sales-Oficina-Classicos-REG05-lal-home-ofertas_PD_160x600&amp;utm_campaign=BR_AAF_DSY_NONMS_ND_AS_2019Q2APR_AFS_After-Sales&amp;utm_term=%epid!_%ecid!_%eaid!</v>
      </c>
      <c r="AI379" s="21" t="str">
        <f t="shared" si="85"/>
        <v>TAG</v>
      </c>
      <c r="AJ379" s="15" t="str">
        <f t="shared" si="79"/>
        <v>dv360</v>
      </c>
      <c r="AK379" s="15" t="str">
        <f t="shared" si="80"/>
        <v>Programmatic</v>
      </c>
      <c r="AL379" s="21" t="str">
        <f>Campanha!$B$3</f>
        <v>BR_AAF_DSY_NONMS_ND_AS_2019Q2APR_AFS_After-Sales</v>
      </c>
      <c r="AM379" s="21" t="str">
        <f t="shared" si="86"/>
        <v>BR_VW_AFS_dv360_DIS_PROG_CPM_STD_LDR_AAF_RON_CXD_After-Sales-Oficina-Classicos-REG05-lal-home-ofertas_PD_160x600</v>
      </c>
      <c r="AN379" s="15" t="s">
        <v>809</v>
      </c>
    </row>
    <row r="380" spans="2:40" hidden="1" x14ac:dyDescent="0.25">
      <c r="B380" s="15" t="s">
        <v>872</v>
      </c>
      <c r="C380" s="15"/>
      <c r="D380" s="30" t="s">
        <v>873</v>
      </c>
      <c r="E380" s="22">
        <v>44155</v>
      </c>
      <c r="F380" s="22">
        <v>44196</v>
      </c>
      <c r="G380" s="15" t="s">
        <v>674</v>
      </c>
      <c r="H380" s="15" t="s">
        <v>811</v>
      </c>
      <c r="I380" s="15" t="s">
        <v>702</v>
      </c>
      <c r="J380" s="15" t="s">
        <v>325</v>
      </c>
      <c r="K380" s="15" t="s">
        <v>334</v>
      </c>
      <c r="L380" s="15" t="s">
        <v>358</v>
      </c>
      <c r="M380" s="15" t="s">
        <v>322</v>
      </c>
      <c r="N380" s="15" t="s">
        <v>708</v>
      </c>
      <c r="O380" s="15" t="s">
        <v>694</v>
      </c>
      <c r="P380" s="15" t="s">
        <v>1044</v>
      </c>
      <c r="Q380" s="15" t="s">
        <v>890</v>
      </c>
      <c r="R380" s="15" t="s">
        <v>835</v>
      </c>
      <c r="S380" s="15" t="s">
        <v>348</v>
      </c>
      <c r="T380" s="15" t="s">
        <v>484</v>
      </c>
      <c r="AC380" s="32" t="s">
        <v>885</v>
      </c>
      <c r="AD380" s="33" t="e">
        <f t="shared" si="87"/>
        <v>#N/A</v>
      </c>
      <c r="AE380" s="21" t="str">
        <f t="shared" si="81"/>
        <v>BR_VW_AFS_dv360_DIS_PROG_CPM_STD_LDR_AAF_RON_CXD_After-Sales-Oficina-Classicos-REG05-lal-home-ofertas_PD_300x50</v>
      </c>
      <c r="AF380" s="21" t="str">
        <f t="shared" si="82"/>
        <v>BR_VW_AFS_dv360_DIS_PROG_CPM_STD_LDR_AAF_RON_CXD_After-Sales-Oficina-Classicos-REG05-lal-home-ofertas_PD_300x50</v>
      </c>
      <c r="AG380" s="21" t="str">
        <f t="shared" si="83"/>
        <v>VW_After-Sales-lal-home-ofertas_300x50_After-Sales-Oficina-Classicos-REG05-adserver</v>
      </c>
      <c r="AH380" s="21" t="str">
        <f t="shared" si="84"/>
        <v>https://www.oficinadeclassicos.com.br/index.aspx?utm_source=dv360&amp;utm_medium=Programmatic&amp;utm_content=BR_VW_AFS_dv360_DIS_PROG_CPM_STD_LDR_AAF_RON_CXD_After-Sales-Oficina-Classicos-REG05-lal-home-ofertas_PD_300x50&amp;utm_campaign=BR_AAF_DSY_NONMS_ND_AS_2019Q2APR_AFS_After-Sales&amp;utm_term=%epid!_%ecid!_%eaid!</v>
      </c>
      <c r="AI380" s="21" t="str">
        <f t="shared" si="85"/>
        <v>TAG</v>
      </c>
      <c r="AJ380" s="15" t="str">
        <f t="shared" si="79"/>
        <v>dv360</v>
      </c>
      <c r="AK380" s="15" t="str">
        <f t="shared" si="80"/>
        <v>Programmatic</v>
      </c>
      <c r="AL380" s="21" t="str">
        <f>Campanha!$B$3</f>
        <v>BR_AAF_DSY_NONMS_ND_AS_2019Q2APR_AFS_After-Sales</v>
      </c>
      <c r="AM380" s="21" t="str">
        <f t="shared" si="86"/>
        <v>BR_VW_AFS_dv360_DIS_PROG_CPM_STD_LDR_AAF_RON_CXD_After-Sales-Oficina-Classicos-REG05-lal-home-ofertas_PD_300x50</v>
      </c>
      <c r="AN380" s="15" t="s">
        <v>809</v>
      </c>
    </row>
    <row r="381" spans="2:40" hidden="1" x14ac:dyDescent="0.25">
      <c r="B381" s="15" t="s">
        <v>872</v>
      </c>
      <c r="C381" s="15"/>
      <c r="D381" s="30" t="s">
        <v>873</v>
      </c>
      <c r="E381" s="22">
        <v>44155</v>
      </c>
      <c r="F381" s="22">
        <v>44196</v>
      </c>
      <c r="G381" s="15" t="s">
        <v>674</v>
      </c>
      <c r="H381" s="15" t="s">
        <v>811</v>
      </c>
      <c r="I381" s="15" t="s">
        <v>702</v>
      </c>
      <c r="J381" s="15" t="s">
        <v>325</v>
      </c>
      <c r="K381" s="15" t="s">
        <v>334</v>
      </c>
      <c r="L381" s="15" t="s">
        <v>358</v>
      </c>
      <c r="M381" s="15" t="s">
        <v>322</v>
      </c>
      <c r="N381" s="15" t="s">
        <v>708</v>
      </c>
      <c r="O381" s="15" t="s">
        <v>694</v>
      </c>
      <c r="P381" s="15" t="s">
        <v>1044</v>
      </c>
      <c r="Q381" s="15" t="s">
        <v>890</v>
      </c>
      <c r="R381" s="15" t="s">
        <v>835</v>
      </c>
      <c r="S381" s="15" t="s">
        <v>348</v>
      </c>
      <c r="T381" s="15" t="s">
        <v>478</v>
      </c>
      <c r="AC381" s="32" t="s">
        <v>885</v>
      </c>
      <c r="AD381" s="33" t="e">
        <f t="shared" si="87"/>
        <v>#N/A</v>
      </c>
      <c r="AE381" s="21" t="str">
        <f t="shared" si="81"/>
        <v>BR_VW_AFS_dv360_DIS_PROG_CPM_STD_LDR_AAF_RON_CXD_After-Sales-Oficina-Classicos-REG05-lal-home-ofertas_PD_300x250</v>
      </c>
      <c r="AF381" s="21" t="str">
        <f t="shared" si="82"/>
        <v>BR_VW_AFS_dv360_DIS_PROG_CPM_STD_LDR_AAF_RON_CXD_After-Sales-Oficina-Classicos-REG05-lal-home-ofertas_PD_300x250</v>
      </c>
      <c r="AG381" s="21" t="str">
        <f t="shared" si="83"/>
        <v>VW_After-Sales-lal-home-ofertas_300x250_After-Sales-Oficina-Classicos-REG05-adserver</v>
      </c>
      <c r="AH381" s="21" t="str">
        <f t="shared" si="84"/>
        <v>https://www.oficinadeclassicos.com.br/index.aspx?utm_source=dv360&amp;utm_medium=Programmatic&amp;utm_content=BR_VW_AFS_dv360_DIS_PROG_CPM_STD_LDR_AAF_RON_CXD_After-Sales-Oficina-Classicos-REG05-lal-home-ofertas_PD_300x250&amp;utm_campaign=BR_AAF_DSY_NONMS_ND_AS_2019Q2APR_AFS_After-Sales&amp;utm_term=%epid!_%ecid!_%eaid!</v>
      </c>
      <c r="AI381" s="21" t="str">
        <f t="shared" si="85"/>
        <v>TAG</v>
      </c>
      <c r="AJ381" s="15" t="str">
        <f t="shared" si="79"/>
        <v>dv360</v>
      </c>
      <c r="AK381" s="15" t="str">
        <f t="shared" si="80"/>
        <v>Programmatic</v>
      </c>
      <c r="AL381" s="21" t="str">
        <f>Campanha!$B$3</f>
        <v>BR_AAF_DSY_NONMS_ND_AS_2019Q2APR_AFS_After-Sales</v>
      </c>
      <c r="AM381" s="21" t="str">
        <f t="shared" si="86"/>
        <v>BR_VW_AFS_dv360_DIS_PROG_CPM_STD_LDR_AAF_RON_CXD_After-Sales-Oficina-Classicos-REG05-lal-home-ofertas_PD_300x250</v>
      </c>
      <c r="AN381" s="15" t="s">
        <v>809</v>
      </c>
    </row>
    <row r="382" spans="2:40" hidden="1" x14ac:dyDescent="0.25">
      <c r="B382" s="15" t="s">
        <v>872</v>
      </c>
      <c r="C382" s="15"/>
      <c r="D382" s="30" t="s">
        <v>873</v>
      </c>
      <c r="E382" s="22">
        <v>44155</v>
      </c>
      <c r="F382" s="22">
        <v>44196</v>
      </c>
      <c r="G382" s="15" t="s">
        <v>674</v>
      </c>
      <c r="H382" s="15" t="s">
        <v>811</v>
      </c>
      <c r="I382" s="15" t="s">
        <v>702</v>
      </c>
      <c r="J382" s="15" t="s">
        <v>325</v>
      </c>
      <c r="K382" s="15" t="s">
        <v>334</v>
      </c>
      <c r="L382" s="15" t="s">
        <v>358</v>
      </c>
      <c r="M382" s="15" t="s">
        <v>322</v>
      </c>
      <c r="N382" s="15" t="s">
        <v>708</v>
      </c>
      <c r="O382" s="15" t="s">
        <v>694</v>
      </c>
      <c r="P382" s="15" t="s">
        <v>1044</v>
      </c>
      <c r="Q382" s="15" t="s">
        <v>890</v>
      </c>
      <c r="R382" s="15" t="s">
        <v>835</v>
      </c>
      <c r="S382" s="15" t="s">
        <v>348</v>
      </c>
      <c r="T382" s="15" t="s">
        <v>614</v>
      </c>
      <c r="AC382" s="32" t="s">
        <v>885</v>
      </c>
      <c r="AD382" s="33" t="e">
        <f t="shared" si="87"/>
        <v>#N/A</v>
      </c>
      <c r="AE382" s="21" t="str">
        <f t="shared" si="81"/>
        <v>BR_VW_AFS_dv360_DIS_PROG_CPM_STD_LDR_AAF_RON_CXD_After-Sales-Oficina-Classicos-REG05-lal-home-ofertas_PD_728x90</v>
      </c>
      <c r="AF382" s="21" t="str">
        <f t="shared" si="82"/>
        <v>BR_VW_AFS_dv360_DIS_PROG_CPM_STD_LDR_AAF_RON_CXD_After-Sales-Oficina-Classicos-REG05-lal-home-ofertas_PD_728x90</v>
      </c>
      <c r="AG382" s="21" t="str">
        <f t="shared" si="83"/>
        <v>VW_After-Sales-lal-home-ofertas_728x90_After-Sales-Oficina-Classicos-REG05-adserver</v>
      </c>
      <c r="AH382" s="21" t="str">
        <f t="shared" si="84"/>
        <v>https://www.oficinadeclassicos.com.br/index.aspx?utm_source=dv360&amp;utm_medium=Programmatic&amp;utm_content=BR_VW_AFS_dv360_DIS_PROG_CPM_STD_LDR_AAF_RON_CXD_After-Sales-Oficina-Classicos-REG05-lal-home-ofertas_PD_728x90&amp;utm_campaign=BR_AAF_DSY_NONMS_ND_AS_2019Q2APR_AFS_After-Sales&amp;utm_term=%epid!_%ecid!_%eaid!</v>
      </c>
      <c r="AI382" s="21" t="str">
        <f t="shared" si="85"/>
        <v>TAG</v>
      </c>
      <c r="AJ382" s="15" t="str">
        <f t="shared" ref="AJ382:AJ445" si="88">H382</f>
        <v>dv360</v>
      </c>
      <c r="AK382" s="15" t="str">
        <f t="shared" ref="AK382:AK445" si="89">J382</f>
        <v>Programmatic</v>
      </c>
      <c r="AL382" s="21" t="str">
        <f>Campanha!$B$3</f>
        <v>BR_AAF_DSY_NONMS_ND_AS_2019Q2APR_AFS_After-Sales</v>
      </c>
      <c r="AM382" s="21" t="str">
        <f t="shared" si="86"/>
        <v>BR_VW_AFS_dv360_DIS_PROG_CPM_STD_LDR_AAF_RON_CXD_After-Sales-Oficina-Classicos-REG05-lal-home-ofertas_PD_728x90</v>
      </c>
      <c r="AN382" s="15" t="s">
        <v>809</v>
      </c>
    </row>
    <row r="383" spans="2:40" hidden="1" x14ac:dyDescent="0.25">
      <c r="B383" s="15" t="s">
        <v>872</v>
      </c>
      <c r="C383" s="15"/>
      <c r="D383" s="30" t="s">
        <v>873</v>
      </c>
      <c r="E383" s="22">
        <v>44155</v>
      </c>
      <c r="F383" s="22">
        <v>44196</v>
      </c>
      <c r="G383" s="15" t="s">
        <v>674</v>
      </c>
      <c r="H383" s="15" t="s">
        <v>811</v>
      </c>
      <c r="I383" s="15" t="s">
        <v>702</v>
      </c>
      <c r="J383" s="15" t="s">
        <v>325</v>
      </c>
      <c r="K383" s="15" t="s">
        <v>334</v>
      </c>
      <c r="L383" s="15" t="s">
        <v>358</v>
      </c>
      <c r="M383" s="15" t="s">
        <v>322</v>
      </c>
      <c r="N383" s="15" t="s">
        <v>708</v>
      </c>
      <c r="O383" s="15" t="s">
        <v>694</v>
      </c>
      <c r="P383" s="15" t="s">
        <v>1044</v>
      </c>
      <c r="Q383" s="15" t="s">
        <v>890</v>
      </c>
      <c r="R383" s="15" t="s">
        <v>835</v>
      </c>
      <c r="S383" s="15" t="s">
        <v>348</v>
      </c>
      <c r="T383" s="15" t="s">
        <v>652</v>
      </c>
      <c r="AC383" s="32" t="s">
        <v>885</v>
      </c>
      <c r="AD383" s="33" t="e">
        <f t="shared" si="87"/>
        <v>#N/A</v>
      </c>
      <c r="AE383" s="21" t="str">
        <f t="shared" si="81"/>
        <v>BR_VW_AFS_dv360_DIS_PROG_CPM_STD_LDR_AAF_RON_CXD_After-Sales-Oficina-Classicos-REG05-lal-home-ofertas_PD_970x250</v>
      </c>
      <c r="AF383" s="21" t="str">
        <f t="shared" si="82"/>
        <v>BR_VW_AFS_dv360_DIS_PROG_CPM_STD_LDR_AAF_RON_CXD_After-Sales-Oficina-Classicos-REG05-lal-home-ofertas_PD_970x250</v>
      </c>
      <c r="AG383" s="21" t="str">
        <f t="shared" si="83"/>
        <v>VW_After-Sales-lal-home-ofertas_970x250_After-Sales-Oficina-Classicos-REG05-adserver</v>
      </c>
      <c r="AH383" s="21" t="str">
        <f t="shared" si="84"/>
        <v>https://www.oficinadeclassicos.com.br/index.aspx?utm_source=dv360&amp;utm_medium=Programmatic&amp;utm_content=BR_VW_AFS_dv360_DIS_PROG_CPM_STD_LDR_AAF_RON_CXD_After-Sales-Oficina-Classicos-REG05-lal-home-ofertas_PD_970x250&amp;utm_campaign=BR_AAF_DSY_NONMS_ND_AS_2019Q2APR_AFS_After-Sales&amp;utm_term=%epid!_%ecid!_%eaid!</v>
      </c>
      <c r="AI383" s="21" t="str">
        <f t="shared" si="85"/>
        <v>TAG</v>
      </c>
      <c r="AJ383" s="15" t="str">
        <f t="shared" si="88"/>
        <v>dv360</v>
      </c>
      <c r="AK383" s="15" t="str">
        <f t="shared" si="89"/>
        <v>Programmatic</v>
      </c>
      <c r="AL383" s="21" t="str">
        <f>Campanha!$B$3</f>
        <v>BR_AAF_DSY_NONMS_ND_AS_2019Q2APR_AFS_After-Sales</v>
      </c>
      <c r="AM383" s="21" t="str">
        <f t="shared" si="86"/>
        <v>BR_VW_AFS_dv360_DIS_PROG_CPM_STD_LDR_AAF_RON_CXD_After-Sales-Oficina-Classicos-REG05-lal-home-ofertas_PD_970x250</v>
      </c>
      <c r="AN383" s="15" t="s">
        <v>809</v>
      </c>
    </row>
    <row r="384" spans="2:40" hidden="1" x14ac:dyDescent="0.25">
      <c r="B384" s="15" t="s">
        <v>872</v>
      </c>
      <c r="C384" s="15"/>
      <c r="D384" s="30" t="s">
        <v>873</v>
      </c>
      <c r="E384" s="22">
        <v>44155</v>
      </c>
      <c r="F384" s="22">
        <v>44196</v>
      </c>
      <c r="G384" s="15" t="s">
        <v>674</v>
      </c>
      <c r="H384" s="15" t="s">
        <v>811</v>
      </c>
      <c r="I384" s="15" t="s">
        <v>702</v>
      </c>
      <c r="J384" s="15" t="s">
        <v>325</v>
      </c>
      <c r="K384" s="15" t="s">
        <v>334</v>
      </c>
      <c r="L384" s="15" t="s">
        <v>358</v>
      </c>
      <c r="M384" s="15" t="s">
        <v>322</v>
      </c>
      <c r="N384" s="15" t="s">
        <v>708</v>
      </c>
      <c r="O384" s="15" t="s">
        <v>694</v>
      </c>
      <c r="P384" s="15" t="s">
        <v>1044</v>
      </c>
      <c r="Q384" s="15" t="s">
        <v>874</v>
      </c>
      <c r="R384" s="15" t="s">
        <v>835</v>
      </c>
      <c r="S384" s="15" t="s">
        <v>348</v>
      </c>
      <c r="T384" s="15" t="s">
        <v>457</v>
      </c>
      <c r="AC384" s="32" t="s">
        <v>885</v>
      </c>
      <c r="AD384" s="33" t="e">
        <f t="shared" si="87"/>
        <v>#N/A</v>
      </c>
      <c r="AE384" s="21" t="str">
        <f t="shared" si="81"/>
        <v>BR_VW_AFS_dv360_DIS_PROG_CPM_STD_LDR_AAF_RON_CXD_After-Sales-Oficina-Classicos-REG05-rmkt-visita-home-ofertas_PD_160x600</v>
      </c>
      <c r="AF384" s="21" t="str">
        <f t="shared" si="82"/>
        <v>BR_VW_AFS_dv360_DIS_PROG_CPM_STD_LDR_AAF_RON_CXD_After-Sales-Oficina-Classicos-REG05-rmkt-visita-home-ofertas_PD_160x600</v>
      </c>
      <c r="AG384" s="21" t="str">
        <f t="shared" si="83"/>
        <v>VW_After-Sales-rmkt-visita-home-ofertas_160x600_After-Sales-Oficina-Classicos-REG05-adserver</v>
      </c>
      <c r="AH384" s="21" t="str">
        <f t="shared" si="84"/>
        <v>https://www.oficinadeclassicos.com.br/index.aspx?utm_source=dv360&amp;utm_medium=Programmatic&amp;utm_content=BR_VW_AFS_dv360_DIS_PROG_CPM_STD_LDR_AAF_RON_CXD_After-Sales-Oficina-Classicos-REG05-rmkt-visita-home-ofertas_PD_160x600&amp;utm_campaign=BR_AAF_DSY_NONMS_ND_AS_2019Q2APR_AFS_After-Sales&amp;utm_term=%epid!_%ecid!_%eaid!</v>
      </c>
      <c r="AI384" s="21" t="str">
        <f t="shared" si="85"/>
        <v>TAG</v>
      </c>
      <c r="AJ384" s="15" t="str">
        <f t="shared" si="88"/>
        <v>dv360</v>
      </c>
      <c r="AK384" s="15" t="str">
        <f t="shared" si="89"/>
        <v>Programmatic</v>
      </c>
      <c r="AL384" s="21" t="str">
        <f>Campanha!$B$3</f>
        <v>BR_AAF_DSY_NONMS_ND_AS_2019Q2APR_AFS_After-Sales</v>
      </c>
      <c r="AM384" s="21" t="str">
        <f t="shared" si="86"/>
        <v>BR_VW_AFS_dv360_DIS_PROG_CPM_STD_LDR_AAF_RON_CXD_After-Sales-Oficina-Classicos-REG05-rmkt-visita-home-ofertas_PD_160x600</v>
      </c>
      <c r="AN384" s="15" t="s">
        <v>809</v>
      </c>
    </row>
    <row r="385" spans="2:40" hidden="1" x14ac:dyDescent="0.25">
      <c r="B385" s="15" t="s">
        <v>872</v>
      </c>
      <c r="C385" s="15"/>
      <c r="D385" s="30" t="s">
        <v>873</v>
      </c>
      <c r="E385" s="22">
        <v>44155</v>
      </c>
      <c r="F385" s="22">
        <v>44196</v>
      </c>
      <c r="G385" s="15" t="s">
        <v>674</v>
      </c>
      <c r="H385" s="15" t="s">
        <v>811</v>
      </c>
      <c r="I385" s="15" t="s">
        <v>702</v>
      </c>
      <c r="J385" s="15" t="s">
        <v>325</v>
      </c>
      <c r="K385" s="15" t="s">
        <v>334</v>
      </c>
      <c r="L385" s="15" t="s">
        <v>358</v>
      </c>
      <c r="M385" s="15" t="s">
        <v>322</v>
      </c>
      <c r="N385" s="15" t="s">
        <v>708</v>
      </c>
      <c r="O385" s="15" t="s">
        <v>694</v>
      </c>
      <c r="P385" s="15" t="s">
        <v>1044</v>
      </c>
      <c r="Q385" s="15" t="s">
        <v>874</v>
      </c>
      <c r="R385" s="15" t="s">
        <v>835</v>
      </c>
      <c r="S385" s="15" t="s">
        <v>348</v>
      </c>
      <c r="T385" s="15" t="s">
        <v>484</v>
      </c>
      <c r="AC385" s="32" t="s">
        <v>885</v>
      </c>
      <c r="AD385" s="33" t="e">
        <f t="shared" si="87"/>
        <v>#N/A</v>
      </c>
      <c r="AE385" s="21" t="str">
        <f t="shared" si="81"/>
        <v>BR_VW_AFS_dv360_DIS_PROG_CPM_STD_LDR_AAF_RON_CXD_After-Sales-Oficina-Classicos-REG05-rmkt-visita-home-ofertas_PD_300x50</v>
      </c>
      <c r="AF385" s="21" t="str">
        <f t="shared" si="82"/>
        <v>BR_VW_AFS_dv360_DIS_PROG_CPM_STD_LDR_AAF_RON_CXD_After-Sales-Oficina-Classicos-REG05-rmkt-visita-home-ofertas_PD_300x50</v>
      </c>
      <c r="AG385" s="21" t="str">
        <f t="shared" si="83"/>
        <v>VW_After-Sales-rmkt-visita-home-ofertas_300x50_After-Sales-Oficina-Classicos-REG05-adserver</v>
      </c>
      <c r="AH385" s="21" t="str">
        <f t="shared" si="84"/>
        <v>https://www.oficinadeclassicos.com.br/index.aspx?utm_source=dv360&amp;utm_medium=Programmatic&amp;utm_content=BR_VW_AFS_dv360_DIS_PROG_CPM_STD_LDR_AAF_RON_CXD_After-Sales-Oficina-Classicos-REG05-rmkt-visita-home-ofertas_PD_300x50&amp;utm_campaign=BR_AAF_DSY_NONMS_ND_AS_2019Q2APR_AFS_After-Sales&amp;utm_term=%epid!_%ecid!_%eaid!</v>
      </c>
      <c r="AI385" s="21" t="str">
        <f t="shared" si="85"/>
        <v>TAG</v>
      </c>
      <c r="AJ385" s="15" t="str">
        <f t="shared" si="88"/>
        <v>dv360</v>
      </c>
      <c r="AK385" s="15" t="str">
        <f t="shared" si="89"/>
        <v>Programmatic</v>
      </c>
      <c r="AL385" s="21" t="str">
        <f>Campanha!$B$3</f>
        <v>BR_AAF_DSY_NONMS_ND_AS_2019Q2APR_AFS_After-Sales</v>
      </c>
      <c r="AM385" s="21" t="str">
        <f t="shared" si="86"/>
        <v>BR_VW_AFS_dv360_DIS_PROG_CPM_STD_LDR_AAF_RON_CXD_After-Sales-Oficina-Classicos-REG05-rmkt-visita-home-ofertas_PD_300x50</v>
      </c>
      <c r="AN385" s="15" t="s">
        <v>809</v>
      </c>
    </row>
    <row r="386" spans="2:40" hidden="1" x14ac:dyDescent="0.25">
      <c r="B386" s="15" t="s">
        <v>872</v>
      </c>
      <c r="C386" s="15"/>
      <c r="D386" s="30" t="s">
        <v>873</v>
      </c>
      <c r="E386" s="22">
        <v>44155</v>
      </c>
      <c r="F386" s="22">
        <v>44196</v>
      </c>
      <c r="G386" s="15" t="s">
        <v>674</v>
      </c>
      <c r="H386" s="15" t="s">
        <v>811</v>
      </c>
      <c r="I386" s="15" t="s">
        <v>702</v>
      </c>
      <c r="J386" s="15" t="s">
        <v>325</v>
      </c>
      <c r="K386" s="15" t="s">
        <v>334</v>
      </c>
      <c r="L386" s="15" t="s">
        <v>358</v>
      </c>
      <c r="M386" s="15" t="s">
        <v>322</v>
      </c>
      <c r="N386" s="15" t="s">
        <v>708</v>
      </c>
      <c r="O386" s="15" t="s">
        <v>694</v>
      </c>
      <c r="P386" s="15" t="s">
        <v>1044</v>
      </c>
      <c r="Q386" s="15" t="s">
        <v>874</v>
      </c>
      <c r="R386" s="15" t="s">
        <v>835</v>
      </c>
      <c r="S386" s="15" t="s">
        <v>348</v>
      </c>
      <c r="T386" s="15" t="s">
        <v>478</v>
      </c>
      <c r="AC386" s="32" t="s">
        <v>885</v>
      </c>
      <c r="AD386" s="33" t="e">
        <f t="shared" si="87"/>
        <v>#N/A</v>
      </c>
      <c r="AE386" s="21" t="str">
        <f t="shared" si="81"/>
        <v>BR_VW_AFS_dv360_DIS_PROG_CPM_STD_LDR_AAF_RON_CXD_After-Sales-Oficina-Classicos-REG05-rmkt-visita-home-ofertas_PD_300x250</v>
      </c>
      <c r="AF386" s="21" t="str">
        <f t="shared" si="82"/>
        <v>BR_VW_AFS_dv360_DIS_PROG_CPM_STD_LDR_AAF_RON_CXD_After-Sales-Oficina-Classicos-REG05-rmkt-visita-home-ofertas_PD_300x250</v>
      </c>
      <c r="AG386" s="21" t="str">
        <f t="shared" si="83"/>
        <v>VW_After-Sales-rmkt-visita-home-ofertas_300x250_After-Sales-Oficina-Classicos-REG05-adserver</v>
      </c>
      <c r="AH386" s="21" t="str">
        <f t="shared" si="84"/>
        <v>https://www.oficinadeclassicos.com.br/index.aspx?utm_source=dv360&amp;utm_medium=Programmatic&amp;utm_content=BR_VW_AFS_dv360_DIS_PROG_CPM_STD_LDR_AAF_RON_CXD_After-Sales-Oficina-Classicos-REG05-rmkt-visita-home-ofertas_PD_300x250&amp;utm_campaign=BR_AAF_DSY_NONMS_ND_AS_2019Q2APR_AFS_After-Sales&amp;utm_term=%epid!_%ecid!_%eaid!</v>
      </c>
      <c r="AI386" s="21" t="str">
        <f t="shared" si="85"/>
        <v>TAG</v>
      </c>
      <c r="AJ386" s="15" t="str">
        <f t="shared" si="88"/>
        <v>dv360</v>
      </c>
      <c r="AK386" s="15" t="str">
        <f t="shared" si="89"/>
        <v>Programmatic</v>
      </c>
      <c r="AL386" s="21" t="str">
        <f>Campanha!$B$3</f>
        <v>BR_AAF_DSY_NONMS_ND_AS_2019Q2APR_AFS_After-Sales</v>
      </c>
      <c r="AM386" s="21" t="str">
        <f t="shared" si="86"/>
        <v>BR_VW_AFS_dv360_DIS_PROG_CPM_STD_LDR_AAF_RON_CXD_After-Sales-Oficina-Classicos-REG05-rmkt-visita-home-ofertas_PD_300x250</v>
      </c>
      <c r="AN386" s="15" t="s">
        <v>809</v>
      </c>
    </row>
    <row r="387" spans="2:40" hidden="1" x14ac:dyDescent="0.25">
      <c r="B387" s="15" t="s">
        <v>872</v>
      </c>
      <c r="C387" s="15"/>
      <c r="D387" s="30" t="s">
        <v>873</v>
      </c>
      <c r="E387" s="22">
        <v>44155</v>
      </c>
      <c r="F387" s="22">
        <v>44196</v>
      </c>
      <c r="G387" s="15" t="s">
        <v>674</v>
      </c>
      <c r="H387" s="15" t="s">
        <v>811</v>
      </c>
      <c r="I387" s="15" t="s">
        <v>702</v>
      </c>
      <c r="J387" s="15" t="s">
        <v>325</v>
      </c>
      <c r="K387" s="15" t="s">
        <v>334</v>
      </c>
      <c r="L387" s="15" t="s">
        <v>358</v>
      </c>
      <c r="M387" s="15" t="s">
        <v>322</v>
      </c>
      <c r="N387" s="15" t="s">
        <v>708</v>
      </c>
      <c r="O387" s="15" t="s">
        <v>694</v>
      </c>
      <c r="P387" s="15" t="s">
        <v>1044</v>
      </c>
      <c r="Q387" s="15" t="s">
        <v>874</v>
      </c>
      <c r="R387" s="15" t="s">
        <v>835</v>
      </c>
      <c r="S387" s="15" t="s">
        <v>348</v>
      </c>
      <c r="T387" s="15" t="s">
        <v>614</v>
      </c>
      <c r="AC387" s="32" t="s">
        <v>885</v>
      </c>
      <c r="AD387" s="33" t="e">
        <f t="shared" si="87"/>
        <v>#N/A</v>
      </c>
      <c r="AE387" s="21" t="str">
        <f t="shared" si="81"/>
        <v>BR_VW_AFS_dv360_DIS_PROG_CPM_STD_LDR_AAF_RON_CXD_After-Sales-Oficina-Classicos-REG05-rmkt-visita-home-ofertas_PD_728x90</v>
      </c>
      <c r="AF387" s="21" t="str">
        <f t="shared" si="82"/>
        <v>BR_VW_AFS_dv360_DIS_PROG_CPM_STD_LDR_AAF_RON_CXD_After-Sales-Oficina-Classicos-REG05-rmkt-visita-home-ofertas_PD_728x90</v>
      </c>
      <c r="AG387" s="21" t="str">
        <f t="shared" si="83"/>
        <v>VW_After-Sales-rmkt-visita-home-ofertas_728x90_After-Sales-Oficina-Classicos-REG05-adserver</v>
      </c>
      <c r="AH387" s="21" t="str">
        <f t="shared" si="84"/>
        <v>https://www.oficinadeclassicos.com.br/index.aspx?utm_source=dv360&amp;utm_medium=Programmatic&amp;utm_content=BR_VW_AFS_dv360_DIS_PROG_CPM_STD_LDR_AAF_RON_CXD_After-Sales-Oficina-Classicos-REG05-rmkt-visita-home-ofertas_PD_728x90&amp;utm_campaign=BR_AAF_DSY_NONMS_ND_AS_2019Q2APR_AFS_After-Sales&amp;utm_term=%epid!_%ecid!_%eaid!</v>
      </c>
      <c r="AI387" s="21" t="str">
        <f t="shared" si="85"/>
        <v>TAG</v>
      </c>
      <c r="AJ387" s="15" t="str">
        <f t="shared" si="88"/>
        <v>dv360</v>
      </c>
      <c r="AK387" s="15" t="str">
        <f t="shared" si="89"/>
        <v>Programmatic</v>
      </c>
      <c r="AL387" s="21" t="str">
        <f>Campanha!$B$3</f>
        <v>BR_AAF_DSY_NONMS_ND_AS_2019Q2APR_AFS_After-Sales</v>
      </c>
      <c r="AM387" s="21" t="str">
        <f t="shared" si="86"/>
        <v>BR_VW_AFS_dv360_DIS_PROG_CPM_STD_LDR_AAF_RON_CXD_After-Sales-Oficina-Classicos-REG05-rmkt-visita-home-ofertas_PD_728x90</v>
      </c>
      <c r="AN387" s="15" t="s">
        <v>809</v>
      </c>
    </row>
    <row r="388" spans="2:40" hidden="1" x14ac:dyDescent="0.25">
      <c r="B388" s="15" t="s">
        <v>872</v>
      </c>
      <c r="C388" s="15"/>
      <c r="D388" s="30" t="s">
        <v>873</v>
      </c>
      <c r="E388" s="22">
        <v>44155</v>
      </c>
      <c r="F388" s="22">
        <v>44196</v>
      </c>
      <c r="G388" s="15" t="s">
        <v>674</v>
      </c>
      <c r="H388" s="15" t="s">
        <v>811</v>
      </c>
      <c r="I388" s="15" t="s">
        <v>702</v>
      </c>
      <c r="J388" s="15" t="s">
        <v>325</v>
      </c>
      <c r="K388" s="15" t="s">
        <v>334</v>
      </c>
      <c r="L388" s="15" t="s">
        <v>358</v>
      </c>
      <c r="M388" s="15" t="s">
        <v>322</v>
      </c>
      <c r="N388" s="15" t="s">
        <v>708</v>
      </c>
      <c r="O388" s="15" t="s">
        <v>694</v>
      </c>
      <c r="P388" s="15" t="s">
        <v>1044</v>
      </c>
      <c r="Q388" s="15" t="s">
        <v>874</v>
      </c>
      <c r="R388" s="15" t="s">
        <v>835</v>
      </c>
      <c r="S388" s="15" t="s">
        <v>348</v>
      </c>
      <c r="T388" s="15" t="s">
        <v>652</v>
      </c>
      <c r="AC388" s="32" t="s">
        <v>885</v>
      </c>
      <c r="AD388" s="33" t="e">
        <f t="shared" si="87"/>
        <v>#N/A</v>
      </c>
      <c r="AE388" s="21" t="str">
        <f t="shared" si="81"/>
        <v>BR_VW_AFS_dv360_DIS_PROG_CPM_STD_LDR_AAF_RON_CXD_After-Sales-Oficina-Classicos-REG05-rmkt-visita-home-ofertas_PD_970x250</v>
      </c>
      <c r="AF388" s="21" t="str">
        <f t="shared" si="82"/>
        <v>BR_VW_AFS_dv360_DIS_PROG_CPM_STD_LDR_AAF_RON_CXD_After-Sales-Oficina-Classicos-REG05-rmkt-visita-home-ofertas_PD_970x250</v>
      </c>
      <c r="AG388" s="21" t="str">
        <f t="shared" si="83"/>
        <v>VW_After-Sales-rmkt-visita-home-ofertas_970x250_After-Sales-Oficina-Classicos-REG05-adserver</v>
      </c>
      <c r="AH388" s="21" t="str">
        <f t="shared" si="84"/>
        <v>https://www.oficinadeclassicos.com.br/index.aspx?utm_source=dv360&amp;utm_medium=Programmatic&amp;utm_content=BR_VW_AFS_dv360_DIS_PROG_CPM_STD_LDR_AAF_RON_CXD_After-Sales-Oficina-Classicos-REG05-rmkt-visita-home-ofertas_PD_970x250&amp;utm_campaign=BR_AAF_DSY_NONMS_ND_AS_2019Q2APR_AFS_After-Sales&amp;utm_term=%epid!_%ecid!_%eaid!</v>
      </c>
      <c r="AI388" s="21" t="str">
        <f t="shared" si="85"/>
        <v>TAG</v>
      </c>
      <c r="AJ388" s="15" t="str">
        <f t="shared" si="88"/>
        <v>dv360</v>
      </c>
      <c r="AK388" s="15" t="str">
        <f t="shared" si="89"/>
        <v>Programmatic</v>
      </c>
      <c r="AL388" s="21" t="str">
        <f>Campanha!$B$3</f>
        <v>BR_AAF_DSY_NONMS_ND_AS_2019Q2APR_AFS_After-Sales</v>
      </c>
      <c r="AM388" s="21" t="str">
        <f t="shared" si="86"/>
        <v>BR_VW_AFS_dv360_DIS_PROG_CPM_STD_LDR_AAF_RON_CXD_After-Sales-Oficina-Classicos-REG05-rmkt-visita-home-ofertas_PD_970x250</v>
      </c>
      <c r="AN388" s="15" t="s">
        <v>809</v>
      </c>
    </row>
    <row r="389" spans="2:40" hidden="1" x14ac:dyDescent="0.25">
      <c r="B389" s="15" t="s">
        <v>872</v>
      </c>
      <c r="C389" s="15"/>
      <c r="D389" s="30" t="s">
        <v>873</v>
      </c>
      <c r="E389" s="22">
        <v>44155</v>
      </c>
      <c r="F389" s="22">
        <v>44196</v>
      </c>
      <c r="G389" s="15" t="s">
        <v>674</v>
      </c>
      <c r="H389" s="15" t="s">
        <v>811</v>
      </c>
      <c r="I389" s="15" t="s">
        <v>702</v>
      </c>
      <c r="J389" s="15" t="s">
        <v>325</v>
      </c>
      <c r="K389" s="15" t="s">
        <v>334</v>
      </c>
      <c r="L389" s="15" t="s">
        <v>358</v>
      </c>
      <c r="M389" s="15" t="s">
        <v>322</v>
      </c>
      <c r="N389" s="15" t="s">
        <v>708</v>
      </c>
      <c r="O389" s="15" t="s">
        <v>694</v>
      </c>
      <c r="P389" s="15" t="s">
        <v>1044</v>
      </c>
      <c r="Q389" s="15" t="s">
        <v>877</v>
      </c>
      <c r="R389" s="15" t="s">
        <v>835</v>
      </c>
      <c r="S389" s="15" t="s">
        <v>348</v>
      </c>
      <c r="T389" s="15" t="s">
        <v>457</v>
      </c>
      <c r="AC389" s="32" t="s">
        <v>885</v>
      </c>
      <c r="AD389" s="33" t="e">
        <f t="shared" si="87"/>
        <v>#N/A</v>
      </c>
      <c r="AE389" s="21" t="str">
        <f t="shared" si="81"/>
        <v>BR_VW_AFS_dv360_DIS_PROG_CPM_STD_LDR_AAF_RON_CXD_After-Sales-Oficina-Classicos-REG05-rmkt-add-to-cart-ofertas_PD_160x600</v>
      </c>
      <c r="AF389" s="21" t="str">
        <f t="shared" si="82"/>
        <v>BR_VW_AFS_dv360_DIS_PROG_CPM_STD_LDR_AAF_RON_CXD_After-Sales-Oficina-Classicos-REG05-rmkt-add-to-cart-ofertas_PD_160x600</v>
      </c>
      <c r="AG389" s="21" t="str">
        <f t="shared" si="83"/>
        <v>VW_After-Sales-rmkt-add-to-cart-ofertas_160x600_After-Sales-Oficina-Classicos-REG05-adserver</v>
      </c>
      <c r="AH389" s="21" t="str">
        <f t="shared" si="84"/>
        <v>https://www.oficinadeclassicos.com.br/index.aspx?utm_source=dv360&amp;utm_medium=Programmatic&amp;utm_content=BR_VW_AFS_dv360_DIS_PROG_CPM_STD_LDR_AAF_RON_CXD_After-Sales-Oficina-Classicos-REG05-rmkt-add-to-cart-ofertas_PD_160x600&amp;utm_campaign=BR_AAF_DSY_NONMS_ND_AS_2019Q2APR_AFS_After-Sales&amp;utm_term=%epid!_%ecid!_%eaid!</v>
      </c>
      <c r="AI389" s="21" t="str">
        <f t="shared" si="85"/>
        <v>TAG</v>
      </c>
      <c r="AJ389" s="15" t="str">
        <f t="shared" si="88"/>
        <v>dv360</v>
      </c>
      <c r="AK389" s="15" t="str">
        <f t="shared" si="89"/>
        <v>Programmatic</v>
      </c>
      <c r="AL389" s="21" t="str">
        <f>Campanha!$B$3</f>
        <v>BR_AAF_DSY_NONMS_ND_AS_2019Q2APR_AFS_After-Sales</v>
      </c>
      <c r="AM389" s="21" t="str">
        <f t="shared" si="86"/>
        <v>BR_VW_AFS_dv360_DIS_PROG_CPM_STD_LDR_AAF_RON_CXD_After-Sales-Oficina-Classicos-REG05-rmkt-add-to-cart-ofertas_PD_160x600</v>
      </c>
      <c r="AN389" s="15" t="s">
        <v>809</v>
      </c>
    </row>
    <row r="390" spans="2:40" hidden="1" x14ac:dyDescent="0.25">
      <c r="B390" s="15" t="s">
        <v>872</v>
      </c>
      <c r="C390" s="15"/>
      <c r="D390" s="30" t="s">
        <v>873</v>
      </c>
      <c r="E390" s="22">
        <v>44155</v>
      </c>
      <c r="F390" s="22">
        <v>44196</v>
      </c>
      <c r="G390" s="15" t="s">
        <v>674</v>
      </c>
      <c r="H390" s="15" t="s">
        <v>811</v>
      </c>
      <c r="I390" s="15" t="s">
        <v>702</v>
      </c>
      <c r="J390" s="15" t="s">
        <v>325</v>
      </c>
      <c r="K390" s="15" t="s">
        <v>334</v>
      </c>
      <c r="L390" s="15" t="s">
        <v>358</v>
      </c>
      <c r="M390" s="15" t="s">
        <v>322</v>
      </c>
      <c r="N390" s="15" t="s">
        <v>708</v>
      </c>
      <c r="O390" s="15" t="s">
        <v>694</v>
      </c>
      <c r="P390" s="15" t="s">
        <v>1044</v>
      </c>
      <c r="Q390" s="15" t="s">
        <v>877</v>
      </c>
      <c r="R390" s="15" t="s">
        <v>835</v>
      </c>
      <c r="S390" s="15" t="s">
        <v>348</v>
      </c>
      <c r="T390" s="15" t="s">
        <v>484</v>
      </c>
      <c r="AC390" s="32" t="s">
        <v>885</v>
      </c>
      <c r="AD390" s="33" t="e">
        <f t="shared" si="87"/>
        <v>#N/A</v>
      </c>
      <c r="AE390" s="21" t="str">
        <f t="shared" si="81"/>
        <v>BR_VW_AFS_dv360_DIS_PROG_CPM_STD_LDR_AAF_RON_CXD_After-Sales-Oficina-Classicos-REG05-rmkt-add-to-cart-ofertas_PD_300x50</v>
      </c>
      <c r="AF390" s="21" t="str">
        <f t="shared" si="82"/>
        <v>BR_VW_AFS_dv360_DIS_PROG_CPM_STD_LDR_AAF_RON_CXD_After-Sales-Oficina-Classicos-REG05-rmkt-add-to-cart-ofertas_PD_300x50</v>
      </c>
      <c r="AG390" s="21" t="str">
        <f t="shared" si="83"/>
        <v>VW_After-Sales-rmkt-add-to-cart-ofertas_300x50_After-Sales-Oficina-Classicos-REG05-adserver</v>
      </c>
      <c r="AH390" s="21" t="str">
        <f t="shared" si="84"/>
        <v>https://www.oficinadeclassicos.com.br/index.aspx?utm_source=dv360&amp;utm_medium=Programmatic&amp;utm_content=BR_VW_AFS_dv360_DIS_PROG_CPM_STD_LDR_AAF_RON_CXD_After-Sales-Oficina-Classicos-REG05-rmkt-add-to-cart-ofertas_PD_300x50&amp;utm_campaign=BR_AAF_DSY_NONMS_ND_AS_2019Q2APR_AFS_After-Sales&amp;utm_term=%epid!_%ecid!_%eaid!</v>
      </c>
      <c r="AI390" s="21" t="str">
        <f t="shared" si="85"/>
        <v>TAG</v>
      </c>
      <c r="AJ390" s="15" t="str">
        <f t="shared" si="88"/>
        <v>dv360</v>
      </c>
      <c r="AK390" s="15" t="str">
        <f t="shared" si="89"/>
        <v>Programmatic</v>
      </c>
      <c r="AL390" s="21" t="str">
        <f>Campanha!$B$3</f>
        <v>BR_AAF_DSY_NONMS_ND_AS_2019Q2APR_AFS_After-Sales</v>
      </c>
      <c r="AM390" s="21" t="str">
        <f t="shared" si="86"/>
        <v>BR_VW_AFS_dv360_DIS_PROG_CPM_STD_LDR_AAF_RON_CXD_After-Sales-Oficina-Classicos-REG05-rmkt-add-to-cart-ofertas_PD_300x50</v>
      </c>
      <c r="AN390" s="15" t="s">
        <v>809</v>
      </c>
    </row>
    <row r="391" spans="2:40" hidden="1" x14ac:dyDescent="0.25">
      <c r="B391" s="15" t="s">
        <v>872</v>
      </c>
      <c r="C391" s="15"/>
      <c r="D391" s="30" t="s">
        <v>873</v>
      </c>
      <c r="E391" s="22">
        <v>44155</v>
      </c>
      <c r="F391" s="22">
        <v>44196</v>
      </c>
      <c r="G391" s="15" t="s">
        <v>674</v>
      </c>
      <c r="H391" s="15" t="s">
        <v>811</v>
      </c>
      <c r="I391" s="15" t="s">
        <v>702</v>
      </c>
      <c r="J391" s="15" t="s">
        <v>325</v>
      </c>
      <c r="K391" s="15" t="s">
        <v>334</v>
      </c>
      <c r="L391" s="15" t="s">
        <v>358</v>
      </c>
      <c r="M391" s="15" t="s">
        <v>322</v>
      </c>
      <c r="N391" s="15" t="s">
        <v>708</v>
      </c>
      <c r="O391" s="15" t="s">
        <v>694</v>
      </c>
      <c r="P391" s="15" t="s">
        <v>1044</v>
      </c>
      <c r="Q391" s="15" t="s">
        <v>877</v>
      </c>
      <c r="R391" s="15" t="s">
        <v>835</v>
      </c>
      <c r="S391" s="15" t="s">
        <v>348</v>
      </c>
      <c r="T391" s="15" t="s">
        <v>478</v>
      </c>
      <c r="AC391" s="32" t="s">
        <v>885</v>
      </c>
      <c r="AD391" s="33" t="e">
        <f t="shared" si="87"/>
        <v>#N/A</v>
      </c>
      <c r="AE391" s="21" t="str">
        <f t="shared" si="81"/>
        <v>BR_VW_AFS_dv360_DIS_PROG_CPM_STD_LDR_AAF_RON_CXD_After-Sales-Oficina-Classicos-REG05-rmkt-add-to-cart-ofertas_PD_300x250</v>
      </c>
      <c r="AF391" s="21" t="str">
        <f t="shared" si="82"/>
        <v>BR_VW_AFS_dv360_DIS_PROG_CPM_STD_LDR_AAF_RON_CXD_After-Sales-Oficina-Classicos-REG05-rmkt-add-to-cart-ofertas_PD_300x250</v>
      </c>
      <c r="AG391" s="21" t="str">
        <f t="shared" si="83"/>
        <v>VW_After-Sales-rmkt-add-to-cart-ofertas_300x250_After-Sales-Oficina-Classicos-REG05-adserver</v>
      </c>
      <c r="AH391" s="21" t="str">
        <f t="shared" si="84"/>
        <v>https://www.oficinadeclassicos.com.br/index.aspx?utm_source=dv360&amp;utm_medium=Programmatic&amp;utm_content=BR_VW_AFS_dv360_DIS_PROG_CPM_STD_LDR_AAF_RON_CXD_After-Sales-Oficina-Classicos-REG05-rmkt-add-to-cart-ofertas_PD_300x250&amp;utm_campaign=BR_AAF_DSY_NONMS_ND_AS_2019Q2APR_AFS_After-Sales&amp;utm_term=%epid!_%ecid!_%eaid!</v>
      </c>
      <c r="AI391" s="21" t="str">
        <f t="shared" si="85"/>
        <v>TAG</v>
      </c>
      <c r="AJ391" s="15" t="str">
        <f t="shared" si="88"/>
        <v>dv360</v>
      </c>
      <c r="AK391" s="15" t="str">
        <f t="shared" si="89"/>
        <v>Programmatic</v>
      </c>
      <c r="AL391" s="21" t="str">
        <f>Campanha!$B$3</f>
        <v>BR_AAF_DSY_NONMS_ND_AS_2019Q2APR_AFS_After-Sales</v>
      </c>
      <c r="AM391" s="21" t="str">
        <f t="shared" si="86"/>
        <v>BR_VW_AFS_dv360_DIS_PROG_CPM_STD_LDR_AAF_RON_CXD_After-Sales-Oficina-Classicos-REG05-rmkt-add-to-cart-ofertas_PD_300x250</v>
      </c>
      <c r="AN391" s="15" t="s">
        <v>809</v>
      </c>
    </row>
    <row r="392" spans="2:40" hidden="1" x14ac:dyDescent="0.25">
      <c r="B392" s="15" t="s">
        <v>872</v>
      </c>
      <c r="C392" s="15"/>
      <c r="D392" s="30" t="s">
        <v>873</v>
      </c>
      <c r="E392" s="22">
        <v>44155</v>
      </c>
      <c r="F392" s="22">
        <v>44196</v>
      </c>
      <c r="G392" s="15" t="s">
        <v>674</v>
      </c>
      <c r="H392" s="15" t="s">
        <v>811</v>
      </c>
      <c r="I392" s="15" t="s">
        <v>702</v>
      </c>
      <c r="J392" s="15" t="s">
        <v>325</v>
      </c>
      <c r="K392" s="15" t="s">
        <v>334</v>
      </c>
      <c r="L392" s="15" t="s">
        <v>358</v>
      </c>
      <c r="M392" s="15" t="s">
        <v>322</v>
      </c>
      <c r="N392" s="15" t="s">
        <v>708</v>
      </c>
      <c r="O392" s="15" t="s">
        <v>694</v>
      </c>
      <c r="P392" s="15" t="s">
        <v>1044</v>
      </c>
      <c r="Q392" s="15" t="s">
        <v>877</v>
      </c>
      <c r="R392" s="15" t="s">
        <v>835</v>
      </c>
      <c r="S392" s="15" t="s">
        <v>348</v>
      </c>
      <c r="T392" s="15" t="s">
        <v>614</v>
      </c>
      <c r="AC392" s="32" t="s">
        <v>885</v>
      </c>
      <c r="AD392" s="33" t="e">
        <f t="shared" si="87"/>
        <v>#N/A</v>
      </c>
      <c r="AE392" s="21" t="str">
        <f t="shared" si="81"/>
        <v>BR_VW_AFS_dv360_DIS_PROG_CPM_STD_LDR_AAF_RON_CXD_After-Sales-Oficina-Classicos-REG05-rmkt-add-to-cart-ofertas_PD_728x90</v>
      </c>
      <c r="AF392" s="21" t="str">
        <f t="shared" si="82"/>
        <v>BR_VW_AFS_dv360_DIS_PROG_CPM_STD_LDR_AAF_RON_CXD_After-Sales-Oficina-Classicos-REG05-rmkt-add-to-cart-ofertas_PD_728x90</v>
      </c>
      <c r="AG392" s="21" t="str">
        <f t="shared" si="83"/>
        <v>VW_After-Sales-rmkt-add-to-cart-ofertas_728x90_After-Sales-Oficina-Classicos-REG05-adserver</v>
      </c>
      <c r="AH392" s="21" t="str">
        <f t="shared" si="84"/>
        <v>https://www.oficinadeclassicos.com.br/index.aspx?utm_source=dv360&amp;utm_medium=Programmatic&amp;utm_content=BR_VW_AFS_dv360_DIS_PROG_CPM_STD_LDR_AAF_RON_CXD_After-Sales-Oficina-Classicos-REG05-rmkt-add-to-cart-ofertas_PD_728x90&amp;utm_campaign=BR_AAF_DSY_NONMS_ND_AS_2019Q2APR_AFS_After-Sales&amp;utm_term=%epid!_%ecid!_%eaid!</v>
      </c>
      <c r="AI392" s="21" t="str">
        <f t="shared" si="85"/>
        <v>TAG</v>
      </c>
      <c r="AJ392" s="15" t="str">
        <f t="shared" si="88"/>
        <v>dv360</v>
      </c>
      <c r="AK392" s="15" t="str">
        <f t="shared" si="89"/>
        <v>Programmatic</v>
      </c>
      <c r="AL392" s="21" t="str">
        <f>Campanha!$B$3</f>
        <v>BR_AAF_DSY_NONMS_ND_AS_2019Q2APR_AFS_After-Sales</v>
      </c>
      <c r="AM392" s="21" t="str">
        <f t="shared" si="86"/>
        <v>BR_VW_AFS_dv360_DIS_PROG_CPM_STD_LDR_AAF_RON_CXD_After-Sales-Oficina-Classicos-REG05-rmkt-add-to-cart-ofertas_PD_728x90</v>
      </c>
      <c r="AN392" s="15" t="s">
        <v>809</v>
      </c>
    </row>
    <row r="393" spans="2:40" hidden="1" x14ac:dyDescent="0.25">
      <c r="B393" s="15" t="s">
        <v>872</v>
      </c>
      <c r="C393" s="15"/>
      <c r="D393" s="30" t="s">
        <v>873</v>
      </c>
      <c r="E393" s="22">
        <v>44155</v>
      </c>
      <c r="F393" s="22">
        <v>44196</v>
      </c>
      <c r="G393" s="15" t="s">
        <v>674</v>
      </c>
      <c r="H393" s="15" t="s">
        <v>811</v>
      </c>
      <c r="I393" s="15" t="s">
        <v>702</v>
      </c>
      <c r="J393" s="15" t="s">
        <v>325</v>
      </c>
      <c r="K393" s="15" t="s">
        <v>334</v>
      </c>
      <c r="L393" s="15" t="s">
        <v>358</v>
      </c>
      <c r="M393" s="15" t="s">
        <v>322</v>
      </c>
      <c r="N393" s="15" t="s">
        <v>708</v>
      </c>
      <c r="O393" s="15" t="s">
        <v>694</v>
      </c>
      <c r="P393" s="15" t="s">
        <v>1044</v>
      </c>
      <c r="Q393" s="15" t="s">
        <v>877</v>
      </c>
      <c r="R393" s="15" t="s">
        <v>835</v>
      </c>
      <c r="S393" s="15" t="s">
        <v>348</v>
      </c>
      <c r="T393" s="15" t="s">
        <v>652</v>
      </c>
      <c r="AC393" s="32" t="s">
        <v>885</v>
      </c>
      <c r="AD393" s="33" t="e">
        <f t="shared" si="87"/>
        <v>#N/A</v>
      </c>
      <c r="AE393" s="21" t="str">
        <f t="shared" si="81"/>
        <v>BR_VW_AFS_dv360_DIS_PROG_CPM_STD_LDR_AAF_RON_CXD_After-Sales-Oficina-Classicos-REG05-rmkt-add-to-cart-ofertas_PD_970x250</v>
      </c>
      <c r="AF393" s="21" t="str">
        <f t="shared" si="82"/>
        <v>BR_VW_AFS_dv360_DIS_PROG_CPM_STD_LDR_AAF_RON_CXD_After-Sales-Oficina-Classicos-REG05-rmkt-add-to-cart-ofertas_PD_970x250</v>
      </c>
      <c r="AG393" s="21" t="str">
        <f t="shared" si="83"/>
        <v>VW_After-Sales-rmkt-add-to-cart-ofertas_970x250_After-Sales-Oficina-Classicos-REG05-adserver</v>
      </c>
      <c r="AH393" s="21" t="str">
        <f t="shared" si="84"/>
        <v>https://www.oficinadeclassicos.com.br/index.aspx?utm_source=dv360&amp;utm_medium=Programmatic&amp;utm_content=BR_VW_AFS_dv360_DIS_PROG_CPM_STD_LDR_AAF_RON_CXD_After-Sales-Oficina-Classicos-REG05-rmkt-add-to-cart-ofertas_PD_970x250&amp;utm_campaign=BR_AAF_DSY_NONMS_ND_AS_2019Q2APR_AFS_After-Sales&amp;utm_term=%epid!_%ecid!_%eaid!</v>
      </c>
      <c r="AI393" s="21" t="str">
        <f t="shared" si="85"/>
        <v>TAG</v>
      </c>
      <c r="AJ393" s="15" t="str">
        <f t="shared" si="88"/>
        <v>dv360</v>
      </c>
      <c r="AK393" s="15" t="str">
        <f t="shared" si="89"/>
        <v>Programmatic</v>
      </c>
      <c r="AL393" s="21" t="str">
        <f>Campanha!$B$3</f>
        <v>BR_AAF_DSY_NONMS_ND_AS_2019Q2APR_AFS_After-Sales</v>
      </c>
      <c r="AM393" s="21" t="str">
        <f t="shared" si="86"/>
        <v>BR_VW_AFS_dv360_DIS_PROG_CPM_STD_LDR_AAF_RON_CXD_After-Sales-Oficina-Classicos-REG05-rmkt-add-to-cart-ofertas_PD_970x250</v>
      </c>
      <c r="AN393" s="15" t="s">
        <v>809</v>
      </c>
    </row>
    <row r="394" spans="2:40" hidden="1" x14ac:dyDescent="0.25">
      <c r="B394" s="15" t="s">
        <v>872</v>
      </c>
      <c r="C394" s="15"/>
      <c r="D394" s="30" t="s">
        <v>873</v>
      </c>
      <c r="E394" s="22">
        <v>44155</v>
      </c>
      <c r="F394" s="22">
        <v>44196</v>
      </c>
      <c r="G394" s="15" t="s">
        <v>674</v>
      </c>
      <c r="H394" s="15" t="s">
        <v>811</v>
      </c>
      <c r="I394" s="15" t="s">
        <v>702</v>
      </c>
      <c r="J394" s="15" t="s">
        <v>325</v>
      </c>
      <c r="K394" s="15" t="s">
        <v>334</v>
      </c>
      <c r="L394" s="15" t="s">
        <v>358</v>
      </c>
      <c r="M394" s="15" t="s">
        <v>322</v>
      </c>
      <c r="N394" s="15" t="s">
        <v>708</v>
      </c>
      <c r="O394" s="15" t="s">
        <v>694</v>
      </c>
      <c r="P394" s="15" t="s">
        <v>1044</v>
      </c>
      <c r="Q394" s="15" t="s">
        <v>887</v>
      </c>
      <c r="R394" s="15" t="s">
        <v>835</v>
      </c>
      <c r="S394" s="15" t="s">
        <v>348</v>
      </c>
      <c r="T394" s="15" t="s">
        <v>457</v>
      </c>
      <c r="AC394" s="32" t="s">
        <v>885</v>
      </c>
      <c r="AD394" s="33" t="e">
        <f t="shared" si="87"/>
        <v>#N/A</v>
      </c>
      <c r="AE394" s="21" t="str">
        <f t="shared" si="81"/>
        <v>BR_VW_AFS_dv360_DIS_PROG_CPM_STD_LDR_AAF_RON_CXD_After-Sales-Oficina-Classicos-REG05-lal-lead-oficina_PD_160x600</v>
      </c>
      <c r="AF394" s="21" t="str">
        <f t="shared" si="82"/>
        <v>BR_VW_AFS_dv360_DIS_PROG_CPM_STD_LDR_AAF_RON_CXD_After-Sales-Oficina-Classicos-REG05-lal-lead-oficina_PD_160x600</v>
      </c>
      <c r="AG394" s="21" t="str">
        <f t="shared" si="83"/>
        <v>VW_After-Sales-lal-lead-oficina_160x600_After-Sales-Oficina-Classicos-REG05-adserver</v>
      </c>
      <c r="AH394" s="21" t="str">
        <f t="shared" si="84"/>
        <v>https://www.oficinadeclassicos.com.br/index.aspx?utm_source=dv360&amp;utm_medium=Programmatic&amp;utm_content=BR_VW_AFS_dv360_DIS_PROG_CPM_STD_LDR_AAF_RON_CXD_After-Sales-Oficina-Classicos-REG05-lal-lead-oficina_PD_160x600&amp;utm_campaign=BR_AAF_DSY_NONMS_ND_AS_2019Q2APR_AFS_After-Sales&amp;utm_term=%epid!_%ecid!_%eaid!</v>
      </c>
      <c r="AI394" s="21" t="str">
        <f t="shared" si="85"/>
        <v>TAG</v>
      </c>
      <c r="AJ394" s="15" t="str">
        <f t="shared" si="88"/>
        <v>dv360</v>
      </c>
      <c r="AK394" s="15" t="str">
        <f t="shared" si="89"/>
        <v>Programmatic</v>
      </c>
      <c r="AL394" s="21" t="str">
        <f>Campanha!$B$3</f>
        <v>BR_AAF_DSY_NONMS_ND_AS_2019Q2APR_AFS_After-Sales</v>
      </c>
      <c r="AM394" s="21" t="str">
        <f t="shared" si="86"/>
        <v>BR_VW_AFS_dv360_DIS_PROG_CPM_STD_LDR_AAF_RON_CXD_After-Sales-Oficina-Classicos-REG05-lal-lead-oficina_PD_160x600</v>
      </c>
      <c r="AN394" s="15" t="s">
        <v>809</v>
      </c>
    </row>
    <row r="395" spans="2:40" hidden="1" x14ac:dyDescent="0.25">
      <c r="B395" s="15" t="s">
        <v>872</v>
      </c>
      <c r="C395" s="15"/>
      <c r="D395" s="30" t="s">
        <v>873</v>
      </c>
      <c r="E395" s="22">
        <v>44155</v>
      </c>
      <c r="F395" s="22">
        <v>44196</v>
      </c>
      <c r="G395" s="15" t="s">
        <v>674</v>
      </c>
      <c r="H395" s="15" t="s">
        <v>811</v>
      </c>
      <c r="I395" s="15" t="s">
        <v>702</v>
      </c>
      <c r="J395" s="15" t="s">
        <v>325</v>
      </c>
      <c r="K395" s="15" t="s">
        <v>334</v>
      </c>
      <c r="L395" s="15" t="s">
        <v>358</v>
      </c>
      <c r="M395" s="15" t="s">
        <v>322</v>
      </c>
      <c r="N395" s="15" t="s">
        <v>708</v>
      </c>
      <c r="O395" s="15" t="s">
        <v>694</v>
      </c>
      <c r="P395" s="15" t="s">
        <v>1044</v>
      </c>
      <c r="Q395" s="15" t="s">
        <v>887</v>
      </c>
      <c r="R395" s="15" t="s">
        <v>835</v>
      </c>
      <c r="S395" s="15" t="s">
        <v>348</v>
      </c>
      <c r="T395" s="15" t="s">
        <v>484</v>
      </c>
      <c r="AC395" s="32" t="s">
        <v>885</v>
      </c>
      <c r="AD395" s="33" t="e">
        <f t="shared" si="87"/>
        <v>#N/A</v>
      </c>
      <c r="AE395" s="21" t="str">
        <f t="shared" si="81"/>
        <v>BR_VW_AFS_dv360_DIS_PROG_CPM_STD_LDR_AAF_RON_CXD_After-Sales-Oficina-Classicos-REG05-lal-lead-oficina_PD_300x50</v>
      </c>
      <c r="AF395" s="21" t="str">
        <f t="shared" si="82"/>
        <v>BR_VW_AFS_dv360_DIS_PROG_CPM_STD_LDR_AAF_RON_CXD_After-Sales-Oficina-Classicos-REG05-lal-lead-oficina_PD_300x50</v>
      </c>
      <c r="AG395" s="21" t="str">
        <f t="shared" si="83"/>
        <v>VW_After-Sales-lal-lead-oficina_300x50_After-Sales-Oficina-Classicos-REG05-adserver</v>
      </c>
      <c r="AH395" s="21" t="str">
        <f t="shared" si="84"/>
        <v>https://www.oficinadeclassicos.com.br/index.aspx?utm_source=dv360&amp;utm_medium=Programmatic&amp;utm_content=BR_VW_AFS_dv360_DIS_PROG_CPM_STD_LDR_AAF_RON_CXD_After-Sales-Oficina-Classicos-REG05-lal-lead-oficina_PD_300x50&amp;utm_campaign=BR_AAF_DSY_NONMS_ND_AS_2019Q2APR_AFS_After-Sales&amp;utm_term=%epid!_%ecid!_%eaid!</v>
      </c>
      <c r="AI395" s="21" t="str">
        <f t="shared" si="85"/>
        <v>TAG</v>
      </c>
      <c r="AJ395" s="15" t="str">
        <f t="shared" si="88"/>
        <v>dv360</v>
      </c>
      <c r="AK395" s="15" t="str">
        <f t="shared" si="89"/>
        <v>Programmatic</v>
      </c>
      <c r="AL395" s="21" t="str">
        <f>Campanha!$B$3</f>
        <v>BR_AAF_DSY_NONMS_ND_AS_2019Q2APR_AFS_After-Sales</v>
      </c>
      <c r="AM395" s="21" t="str">
        <f t="shared" si="86"/>
        <v>BR_VW_AFS_dv360_DIS_PROG_CPM_STD_LDR_AAF_RON_CXD_After-Sales-Oficina-Classicos-REG05-lal-lead-oficina_PD_300x50</v>
      </c>
      <c r="AN395" s="15" t="s">
        <v>809</v>
      </c>
    </row>
    <row r="396" spans="2:40" hidden="1" x14ac:dyDescent="0.25">
      <c r="B396" s="15" t="s">
        <v>872</v>
      </c>
      <c r="C396" s="15"/>
      <c r="D396" s="30" t="s">
        <v>873</v>
      </c>
      <c r="E396" s="22">
        <v>44155</v>
      </c>
      <c r="F396" s="22">
        <v>44196</v>
      </c>
      <c r="G396" s="15" t="s">
        <v>674</v>
      </c>
      <c r="H396" s="15" t="s">
        <v>811</v>
      </c>
      <c r="I396" s="15" t="s">
        <v>702</v>
      </c>
      <c r="J396" s="15" t="s">
        <v>325</v>
      </c>
      <c r="K396" s="15" t="s">
        <v>334</v>
      </c>
      <c r="L396" s="15" t="s">
        <v>358</v>
      </c>
      <c r="M396" s="15" t="s">
        <v>322</v>
      </c>
      <c r="N396" s="15" t="s">
        <v>708</v>
      </c>
      <c r="O396" s="15" t="s">
        <v>694</v>
      </c>
      <c r="P396" s="15" t="s">
        <v>1044</v>
      </c>
      <c r="Q396" s="15" t="s">
        <v>887</v>
      </c>
      <c r="R396" s="15" t="s">
        <v>835</v>
      </c>
      <c r="S396" s="15" t="s">
        <v>348</v>
      </c>
      <c r="T396" s="15" t="s">
        <v>478</v>
      </c>
      <c r="AC396" s="32" t="s">
        <v>885</v>
      </c>
      <c r="AD396" s="33" t="e">
        <f t="shared" si="87"/>
        <v>#N/A</v>
      </c>
      <c r="AE396" s="21" t="str">
        <f t="shared" si="81"/>
        <v>BR_VW_AFS_dv360_DIS_PROG_CPM_STD_LDR_AAF_RON_CXD_After-Sales-Oficina-Classicos-REG05-lal-lead-oficina_PD_300x250</v>
      </c>
      <c r="AF396" s="21" t="str">
        <f t="shared" si="82"/>
        <v>BR_VW_AFS_dv360_DIS_PROG_CPM_STD_LDR_AAF_RON_CXD_After-Sales-Oficina-Classicos-REG05-lal-lead-oficina_PD_300x250</v>
      </c>
      <c r="AG396" s="21" t="str">
        <f t="shared" si="83"/>
        <v>VW_After-Sales-lal-lead-oficina_300x250_After-Sales-Oficina-Classicos-REG05-adserver</v>
      </c>
      <c r="AH396" s="21" t="str">
        <f t="shared" si="84"/>
        <v>https://www.oficinadeclassicos.com.br/index.aspx?utm_source=dv360&amp;utm_medium=Programmatic&amp;utm_content=BR_VW_AFS_dv360_DIS_PROG_CPM_STD_LDR_AAF_RON_CXD_After-Sales-Oficina-Classicos-REG05-lal-lead-oficina_PD_300x250&amp;utm_campaign=BR_AAF_DSY_NONMS_ND_AS_2019Q2APR_AFS_After-Sales&amp;utm_term=%epid!_%ecid!_%eaid!</v>
      </c>
      <c r="AI396" s="21" t="str">
        <f t="shared" si="85"/>
        <v>TAG</v>
      </c>
      <c r="AJ396" s="15" t="str">
        <f t="shared" si="88"/>
        <v>dv360</v>
      </c>
      <c r="AK396" s="15" t="str">
        <f t="shared" si="89"/>
        <v>Programmatic</v>
      </c>
      <c r="AL396" s="21" t="str">
        <f>Campanha!$B$3</f>
        <v>BR_AAF_DSY_NONMS_ND_AS_2019Q2APR_AFS_After-Sales</v>
      </c>
      <c r="AM396" s="21" t="str">
        <f t="shared" si="86"/>
        <v>BR_VW_AFS_dv360_DIS_PROG_CPM_STD_LDR_AAF_RON_CXD_After-Sales-Oficina-Classicos-REG05-lal-lead-oficina_PD_300x250</v>
      </c>
      <c r="AN396" s="15" t="s">
        <v>809</v>
      </c>
    </row>
    <row r="397" spans="2:40" hidden="1" x14ac:dyDescent="0.25">
      <c r="B397" s="15" t="s">
        <v>872</v>
      </c>
      <c r="C397" s="15"/>
      <c r="D397" s="30" t="s">
        <v>873</v>
      </c>
      <c r="E397" s="22">
        <v>44155</v>
      </c>
      <c r="F397" s="22">
        <v>44196</v>
      </c>
      <c r="G397" s="15" t="s">
        <v>674</v>
      </c>
      <c r="H397" s="15" t="s">
        <v>811</v>
      </c>
      <c r="I397" s="15" t="s">
        <v>702</v>
      </c>
      <c r="J397" s="15" t="s">
        <v>325</v>
      </c>
      <c r="K397" s="15" t="s">
        <v>334</v>
      </c>
      <c r="L397" s="15" t="s">
        <v>358</v>
      </c>
      <c r="M397" s="15" t="s">
        <v>322</v>
      </c>
      <c r="N397" s="15" t="s">
        <v>708</v>
      </c>
      <c r="O397" s="15" t="s">
        <v>694</v>
      </c>
      <c r="P397" s="15" t="s">
        <v>1044</v>
      </c>
      <c r="Q397" s="15" t="s">
        <v>887</v>
      </c>
      <c r="R397" s="15" t="s">
        <v>835</v>
      </c>
      <c r="S397" s="15" t="s">
        <v>348</v>
      </c>
      <c r="T397" s="15" t="s">
        <v>614</v>
      </c>
      <c r="AC397" s="32" t="s">
        <v>885</v>
      </c>
      <c r="AD397" s="33" t="e">
        <f t="shared" si="87"/>
        <v>#N/A</v>
      </c>
      <c r="AE397" s="21" t="str">
        <f t="shared" si="81"/>
        <v>BR_VW_AFS_dv360_DIS_PROG_CPM_STD_LDR_AAF_RON_CXD_After-Sales-Oficina-Classicos-REG05-lal-lead-oficina_PD_728x90</v>
      </c>
      <c r="AF397" s="21" t="str">
        <f t="shared" si="82"/>
        <v>BR_VW_AFS_dv360_DIS_PROG_CPM_STD_LDR_AAF_RON_CXD_After-Sales-Oficina-Classicos-REG05-lal-lead-oficina_PD_728x90</v>
      </c>
      <c r="AG397" s="21" t="str">
        <f t="shared" si="83"/>
        <v>VW_After-Sales-lal-lead-oficina_728x90_After-Sales-Oficina-Classicos-REG05-adserver</v>
      </c>
      <c r="AH397" s="21" t="str">
        <f t="shared" si="84"/>
        <v>https://www.oficinadeclassicos.com.br/index.aspx?utm_source=dv360&amp;utm_medium=Programmatic&amp;utm_content=BR_VW_AFS_dv360_DIS_PROG_CPM_STD_LDR_AAF_RON_CXD_After-Sales-Oficina-Classicos-REG05-lal-lead-oficina_PD_728x90&amp;utm_campaign=BR_AAF_DSY_NONMS_ND_AS_2019Q2APR_AFS_After-Sales&amp;utm_term=%epid!_%ecid!_%eaid!</v>
      </c>
      <c r="AI397" s="21" t="str">
        <f t="shared" si="85"/>
        <v>TAG</v>
      </c>
      <c r="AJ397" s="15" t="str">
        <f t="shared" si="88"/>
        <v>dv360</v>
      </c>
      <c r="AK397" s="15" t="str">
        <f t="shared" si="89"/>
        <v>Programmatic</v>
      </c>
      <c r="AL397" s="21" t="str">
        <f>Campanha!$B$3</f>
        <v>BR_AAF_DSY_NONMS_ND_AS_2019Q2APR_AFS_After-Sales</v>
      </c>
      <c r="AM397" s="21" t="str">
        <f t="shared" si="86"/>
        <v>BR_VW_AFS_dv360_DIS_PROG_CPM_STD_LDR_AAF_RON_CXD_After-Sales-Oficina-Classicos-REG05-lal-lead-oficina_PD_728x90</v>
      </c>
      <c r="AN397" s="15" t="s">
        <v>809</v>
      </c>
    </row>
    <row r="398" spans="2:40" hidden="1" x14ac:dyDescent="0.25">
      <c r="B398" s="15" t="s">
        <v>872</v>
      </c>
      <c r="C398" s="15"/>
      <c r="D398" s="30" t="s">
        <v>873</v>
      </c>
      <c r="E398" s="22">
        <v>44155</v>
      </c>
      <c r="F398" s="22">
        <v>44196</v>
      </c>
      <c r="G398" s="15" t="s">
        <v>674</v>
      </c>
      <c r="H398" s="15" t="s">
        <v>811</v>
      </c>
      <c r="I398" s="15" t="s">
        <v>702</v>
      </c>
      <c r="J398" s="15" t="s">
        <v>325</v>
      </c>
      <c r="K398" s="15" t="s">
        <v>334</v>
      </c>
      <c r="L398" s="15" t="s">
        <v>358</v>
      </c>
      <c r="M398" s="15" t="s">
        <v>322</v>
      </c>
      <c r="N398" s="15" t="s">
        <v>708</v>
      </c>
      <c r="O398" s="15" t="s">
        <v>694</v>
      </c>
      <c r="P398" s="15" t="s">
        <v>1044</v>
      </c>
      <c r="Q398" s="15" t="s">
        <v>887</v>
      </c>
      <c r="R398" s="15" t="s">
        <v>835</v>
      </c>
      <c r="S398" s="15" t="s">
        <v>348</v>
      </c>
      <c r="T398" s="15" t="s">
        <v>652</v>
      </c>
      <c r="AC398" s="32" t="s">
        <v>885</v>
      </c>
      <c r="AD398" s="33" t="e">
        <f t="shared" si="87"/>
        <v>#N/A</v>
      </c>
      <c r="AE398" s="21" t="str">
        <f t="shared" si="81"/>
        <v>BR_VW_AFS_dv360_DIS_PROG_CPM_STD_LDR_AAF_RON_CXD_After-Sales-Oficina-Classicos-REG05-lal-lead-oficina_PD_970x250</v>
      </c>
      <c r="AF398" s="21" t="str">
        <f t="shared" si="82"/>
        <v>BR_VW_AFS_dv360_DIS_PROG_CPM_STD_LDR_AAF_RON_CXD_After-Sales-Oficina-Classicos-REG05-lal-lead-oficina_PD_970x250</v>
      </c>
      <c r="AG398" s="21" t="str">
        <f t="shared" si="83"/>
        <v>VW_After-Sales-lal-lead-oficina_970x250_After-Sales-Oficina-Classicos-REG05-adserver</v>
      </c>
      <c r="AH398" s="21" t="str">
        <f t="shared" si="84"/>
        <v>https://www.oficinadeclassicos.com.br/index.aspx?utm_source=dv360&amp;utm_medium=Programmatic&amp;utm_content=BR_VW_AFS_dv360_DIS_PROG_CPM_STD_LDR_AAF_RON_CXD_After-Sales-Oficina-Classicos-REG05-lal-lead-oficina_PD_970x250&amp;utm_campaign=BR_AAF_DSY_NONMS_ND_AS_2019Q2APR_AFS_After-Sales&amp;utm_term=%epid!_%ecid!_%eaid!</v>
      </c>
      <c r="AI398" s="21" t="str">
        <f t="shared" si="85"/>
        <v>TAG</v>
      </c>
      <c r="AJ398" s="15" t="str">
        <f t="shared" si="88"/>
        <v>dv360</v>
      </c>
      <c r="AK398" s="15" t="str">
        <f t="shared" si="89"/>
        <v>Programmatic</v>
      </c>
      <c r="AL398" s="21" t="str">
        <f>Campanha!$B$3</f>
        <v>BR_AAF_DSY_NONMS_ND_AS_2019Q2APR_AFS_After-Sales</v>
      </c>
      <c r="AM398" s="21" t="str">
        <f t="shared" si="86"/>
        <v>BR_VW_AFS_dv360_DIS_PROG_CPM_STD_LDR_AAF_RON_CXD_After-Sales-Oficina-Classicos-REG05-lal-lead-oficina_PD_970x250</v>
      </c>
      <c r="AN398" s="15" t="s">
        <v>809</v>
      </c>
    </row>
    <row r="399" spans="2:40" hidden="1" x14ac:dyDescent="0.25">
      <c r="B399" s="15" t="s">
        <v>872</v>
      </c>
      <c r="C399" s="15"/>
      <c r="D399" s="30" t="s">
        <v>873</v>
      </c>
      <c r="E399" s="22">
        <v>44155</v>
      </c>
      <c r="F399" s="22">
        <v>44196</v>
      </c>
      <c r="G399" s="15" t="s">
        <v>674</v>
      </c>
      <c r="H399" s="15" t="s">
        <v>811</v>
      </c>
      <c r="I399" s="15" t="s">
        <v>702</v>
      </c>
      <c r="J399" s="15" t="s">
        <v>325</v>
      </c>
      <c r="K399" s="15" t="s">
        <v>334</v>
      </c>
      <c r="L399" s="15" t="s">
        <v>358</v>
      </c>
      <c r="M399" s="15" t="s">
        <v>322</v>
      </c>
      <c r="N399" s="15" t="s">
        <v>708</v>
      </c>
      <c r="O399" s="15" t="s">
        <v>694</v>
      </c>
      <c r="P399" s="15" t="s">
        <v>1044</v>
      </c>
      <c r="Q399" s="15" t="s">
        <v>880</v>
      </c>
      <c r="R399" s="15" t="s">
        <v>835</v>
      </c>
      <c r="S399" s="15" t="s">
        <v>348</v>
      </c>
      <c r="T399" s="15" t="s">
        <v>457</v>
      </c>
      <c r="AC399" s="32" t="s">
        <v>885</v>
      </c>
      <c r="AD399" s="33" t="e">
        <f t="shared" si="87"/>
        <v>#N/A</v>
      </c>
      <c r="AE399" s="21" t="str">
        <f t="shared" si="81"/>
        <v>BR_VW_AFS_dv360_DIS_PROG_CPM_STD_LDR_AAF_RON_CXD_After-Sales-Oficina-Classicos-REG05-lal-add-to-cart-oficina_PD_160x600</v>
      </c>
      <c r="AF399" s="21" t="str">
        <f t="shared" si="82"/>
        <v>BR_VW_AFS_dv360_DIS_PROG_CPM_STD_LDR_AAF_RON_CXD_After-Sales-Oficina-Classicos-REG05-lal-add-to-cart-oficina_PD_160x600</v>
      </c>
      <c r="AG399" s="21" t="str">
        <f t="shared" si="83"/>
        <v>VW_After-Sales-lal-add-to-cart-oficina_160x600_After-Sales-Oficina-Classicos-REG05-adserver</v>
      </c>
      <c r="AH399" s="21" t="str">
        <f t="shared" si="84"/>
        <v>https://www.oficinadeclassicos.com.br/index.aspx?utm_source=dv360&amp;utm_medium=Programmatic&amp;utm_content=BR_VW_AFS_dv360_DIS_PROG_CPM_STD_LDR_AAF_RON_CXD_After-Sales-Oficina-Classicos-REG05-lal-add-to-cart-oficina_PD_160x600&amp;utm_campaign=BR_AAF_DSY_NONMS_ND_AS_2019Q2APR_AFS_After-Sales&amp;utm_term=%epid!_%ecid!_%eaid!</v>
      </c>
      <c r="AI399" s="21" t="str">
        <f t="shared" si="85"/>
        <v>TAG</v>
      </c>
      <c r="AJ399" s="15" t="str">
        <f t="shared" si="88"/>
        <v>dv360</v>
      </c>
      <c r="AK399" s="15" t="str">
        <f t="shared" si="89"/>
        <v>Programmatic</v>
      </c>
      <c r="AL399" s="21" t="str">
        <f>Campanha!$B$3</f>
        <v>BR_AAF_DSY_NONMS_ND_AS_2019Q2APR_AFS_After-Sales</v>
      </c>
      <c r="AM399" s="21" t="str">
        <f t="shared" si="86"/>
        <v>BR_VW_AFS_dv360_DIS_PROG_CPM_STD_LDR_AAF_RON_CXD_After-Sales-Oficina-Classicos-REG05-lal-add-to-cart-oficina_PD_160x600</v>
      </c>
      <c r="AN399" s="15" t="s">
        <v>809</v>
      </c>
    </row>
    <row r="400" spans="2:40" hidden="1" x14ac:dyDescent="0.25">
      <c r="B400" s="15" t="s">
        <v>872</v>
      </c>
      <c r="C400" s="15"/>
      <c r="D400" s="30" t="s">
        <v>873</v>
      </c>
      <c r="E400" s="22">
        <v>44155</v>
      </c>
      <c r="F400" s="22">
        <v>44196</v>
      </c>
      <c r="G400" s="15" t="s">
        <v>674</v>
      </c>
      <c r="H400" s="15" t="s">
        <v>811</v>
      </c>
      <c r="I400" s="15" t="s">
        <v>702</v>
      </c>
      <c r="J400" s="15" t="s">
        <v>325</v>
      </c>
      <c r="K400" s="15" t="s">
        <v>334</v>
      </c>
      <c r="L400" s="15" t="s">
        <v>358</v>
      </c>
      <c r="M400" s="15" t="s">
        <v>322</v>
      </c>
      <c r="N400" s="15" t="s">
        <v>708</v>
      </c>
      <c r="O400" s="15" t="s">
        <v>694</v>
      </c>
      <c r="P400" s="15" t="s">
        <v>1044</v>
      </c>
      <c r="Q400" s="15" t="s">
        <v>880</v>
      </c>
      <c r="R400" s="15" t="s">
        <v>835</v>
      </c>
      <c r="S400" s="15" t="s">
        <v>348</v>
      </c>
      <c r="T400" s="15" t="s">
        <v>484</v>
      </c>
      <c r="AC400" s="32" t="s">
        <v>885</v>
      </c>
      <c r="AD400" s="33" t="e">
        <f t="shared" si="87"/>
        <v>#N/A</v>
      </c>
      <c r="AE400" s="21" t="str">
        <f t="shared" ref="AE400:AE463" si="90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IF(col_servidopor="adserver-rotacionar",col_segmentacao,CONCATENATE(col_localfreetype,"-",col_segmentacao)),"_",VLOOKUP(col_paidvsav,tab_paidvsav,2,FALSE),"_",col_size))</f>
        <v>BR_VW_AFS_dv360_DIS_PROG_CPM_STD_LDR_AAF_RON_CXD_After-Sales-Oficina-Classicos-REG05-lal-add-to-cart-oficina_PD_300x50</v>
      </c>
      <c r="AF400" s="21" t="str">
        <f t="shared" ref="AF400:AF463" si="91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col_localfreetype,"-",col_segmentacao,"_",VLOOKUP(col_paidvsav,tab_paidvsav,2,FALSE),"_",col_size))</f>
        <v>BR_VW_AFS_dv360_DIS_PROG_CPM_STD_LDR_AAF_RON_CXD_After-Sales-Oficina-Classicos-REG05-lal-add-to-cart-oficina_PD_300x50</v>
      </c>
      <c r="AG400" s="21" t="str">
        <f t="shared" ref="AG400:AG463" si="92">CONCATENATE("VW","_",cel_modelvariant,"-",col_segmentacao,"_",col_size,"_",col_localfreetype,"-",IF(col_servidopor="portal",col_supplier,"adserver"))</f>
        <v>VW_After-Sales-lal-add-to-cart-oficina_300x50_After-Sales-Oficina-Classicos-REG05-adserver</v>
      </c>
      <c r="AH400" s="21" t="str">
        <f t="shared" ref="AH400:AH463" si="93">faxineiro(CONCATENATE(col_url,IF(ISNUMBER(FIND("?",col_url)),"&amp;","?"),"utm_source=",col_utmsource,"&amp;utm_medium=",col_utmmedium,"&amp;utm_content=",col_utmcontent,"&amp;utm_campaign=",col_utmcampaign,"&amp;utm_term=",col_keyword))</f>
        <v>https://www.oficinadeclassicos.com.br/index.aspx?utm_source=dv360&amp;utm_medium=Programmatic&amp;utm_content=BR_VW_AFS_dv360_DIS_PROG_CPM_STD_LDR_AAF_RON_CXD_After-Sales-Oficina-Classicos-REG05-lal-add-to-cart-oficina_PD_300x50&amp;utm_campaign=BR_AAF_DSY_NONMS_ND_AS_2019Q2APR_AFS_After-Sales&amp;utm_term=%epid!_%ecid!_%eaid!</v>
      </c>
      <c r="AI400" s="21" t="str">
        <f t="shared" ref="AI400:AI463" si="94">IFERROR(IF(col_servidopor="portal",VLOOKUP(col_placement,tab_contadores,2,FALSE),"TAG"),"Contador")</f>
        <v>TAG</v>
      </c>
      <c r="AJ400" s="15" t="str">
        <f t="shared" si="88"/>
        <v>dv360</v>
      </c>
      <c r="AK400" s="15" t="str">
        <f t="shared" si="89"/>
        <v>Programmatic</v>
      </c>
      <c r="AL400" s="21" t="str">
        <f>Campanha!$B$3</f>
        <v>BR_AAF_DSY_NONMS_ND_AS_2019Q2APR_AFS_After-Sales</v>
      </c>
      <c r="AM400" s="21" t="str">
        <f t="shared" ref="AM400:AM463" si="95">col_adname</f>
        <v>BR_VW_AFS_dv360_DIS_PROG_CPM_STD_LDR_AAF_RON_CXD_After-Sales-Oficina-Classicos-REG05-lal-add-to-cart-oficina_PD_300x50</v>
      </c>
      <c r="AN400" s="15" t="s">
        <v>809</v>
      </c>
    </row>
    <row r="401" spans="2:40" hidden="1" x14ac:dyDescent="0.25">
      <c r="B401" s="15" t="s">
        <v>872</v>
      </c>
      <c r="C401" s="15"/>
      <c r="D401" s="30" t="s">
        <v>873</v>
      </c>
      <c r="E401" s="22">
        <v>44155</v>
      </c>
      <c r="F401" s="22">
        <v>44196</v>
      </c>
      <c r="G401" s="15" t="s">
        <v>674</v>
      </c>
      <c r="H401" s="15" t="s">
        <v>811</v>
      </c>
      <c r="I401" s="15" t="s">
        <v>702</v>
      </c>
      <c r="J401" s="15" t="s">
        <v>325</v>
      </c>
      <c r="K401" s="15" t="s">
        <v>334</v>
      </c>
      <c r="L401" s="15" t="s">
        <v>358</v>
      </c>
      <c r="M401" s="15" t="s">
        <v>322</v>
      </c>
      <c r="N401" s="15" t="s">
        <v>708</v>
      </c>
      <c r="O401" s="15" t="s">
        <v>694</v>
      </c>
      <c r="P401" s="15" t="s">
        <v>1044</v>
      </c>
      <c r="Q401" s="15" t="s">
        <v>880</v>
      </c>
      <c r="R401" s="15" t="s">
        <v>835</v>
      </c>
      <c r="S401" s="15" t="s">
        <v>348</v>
      </c>
      <c r="T401" s="15" t="s">
        <v>478</v>
      </c>
      <c r="AC401" s="32" t="s">
        <v>885</v>
      </c>
      <c r="AD401" s="33" t="e">
        <f t="shared" si="87"/>
        <v>#N/A</v>
      </c>
      <c r="AE401" s="21" t="str">
        <f t="shared" si="90"/>
        <v>BR_VW_AFS_dv360_DIS_PROG_CPM_STD_LDR_AAF_RON_CXD_After-Sales-Oficina-Classicos-REG05-lal-add-to-cart-oficina_PD_300x250</v>
      </c>
      <c r="AF401" s="21" t="str">
        <f t="shared" si="91"/>
        <v>BR_VW_AFS_dv360_DIS_PROG_CPM_STD_LDR_AAF_RON_CXD_After-Sales-Oficina-Classicos-REG05-lal-add-to-cart-oficina_PD_300x250</v>
      </c>
      <c r="AG401" s="21" t="str">
        <f t="shared" si="92"/>
        <v>VW_After-Sales-lal-add-to-cart-oficina_300x250_After-Sales-Oficina-Classicos-REG05-adserver</v>
      </c>
      <c r="AH401" s="21" t="str">
        <f t="shared" si="93"/>
        <v>https://www.oficinadeclassicos.com.br/index.aspx?utm_source=dv360&amp;utm_medium=Programmatic&amp;utm_content=BR_VW_AFS_dv360_DIS_PROG_CPM_STD_LDR_AAF_RON_CXD_After-Sales-Oficina-Classicos-REG05-lal-add-to-cart-oficina_PD_300x250&amp;utm_campaign=BR_AAF_DSY_NONMS_ND_AS_2019Q2APR_AFS_After-Sales&amp;utm_term=%epid!_%ecid!_%eaid!</v>
      </c>
      <c r="AI401" s="21" t="str">
        <f t="shared" si="94"/>
        <v>TAG</v>
      </c>
      <c r="AJ401" s="15" t="str">
        <f t="shared" si="88"/>
        <v>dv360</v>
      </c>
      <c r="AK401" s="15" t="str">
        <f t="shared" si="89"/>
        <v>Programmatic</v>
      </c>
      <c r="AL401" s="21" t="str">
        <f>Campanha!$B$3</f>
        <v>BR_AAF_DSY_NONMS_ND_AS_2019Q2APR_AFS_After-Sales</v>
      </c>
      <c r="AM401" s="21" t="str">
        <f t="shared" si="95"/>
        <v>BR_VW_AFS_dv360_DIS_PROG_CPM_STD_LDR_AAF_RON_CXD_After-Sales-Oficina-Classicos-REG05-lal-add-to-cart-oficina_PD_300x250</v>
      </c>
      <c r="AN401" s="15" t="s">
        <v>809</v>
      </c>
    </row>
    <row r="402" spans="2:40" hidden="1" x14ac:dyDescent="0.25">
      <c r="B402" s="15" t="s">
        <v>872</v>
      </c>
      <c r="C402" s="15"/>
      <c r="D402" s="30" t="s">
        <v>873</v>
      </c>
      <c r="E402" s="22">
        <v>44155</v>
      </c>
      <c r="F402" s="22">
        <v>44196</v>
      </c>
      <c r="G402" s="15" t="s">
        <v>674</v>
      </c>
      <c r="H402" s="15" t="s">
        <v>811</v>
      </c>
      <c r="I402" s="15" t="s">
        <v>702</v>
      </c>
      <c r="J402" s="15" t="s">
        <v>325</v>
      </c>
      <c r="K402" s="15" t="s">
        <v>334</v>
      </c>
      <c r="L402" s="15" t="s">
        <v>358</v>
      </c>
      <c r="M402" s="15" t="s">
        <v>322</v>
      </c>
      <c r="N402" s="15" t="s">
        <v>708</v>
      </c>
      <c r="O402" s="15" t="s">
        <v>694</v>
      </c>
      <c r="P402" s="15" t="s">
        <v>1044</v>
      </c>
      <c r="Q402" s="15" t="s">
        <v>880</v>
      </c>
      <c r="R402" s="15" t="s">
        <v>835</v>
      </c>
      <c r="S402" s="15" t="s">
        <v>348</v>
      </c>
      <c r="T402" s="15" t="s">
        <v>614</v>
      </c>
      <c r="AC402" s="32" t="s">
        <v>885</v>
      </c>
      <c r="AD402" s="33" t="e">
        <f t="shared" si="87"/>
        <v>#N/A</v>
      </c>
      <c r="AE402" s="21" t="str">
        <f t="shared" si="90"/>
        <v>BR_VW_AFS_dv360_DIS_PROG_CPM_STD_LDR_AAF_RON_CXD_After-Sales-Oficina-Classicos-REG05-lal-add-to-cart-oficina_PD_728x90</v>
      </c>
      <c r="AF402" s="21" t="str">
        <f t="shared" si="91"/>
        <v>BR_VW_AFS_dv360_DIS_PROG_CPM_STD_LDR_AAF_RON_CXD_After-Sales-Oficina-Classicos-REG05-lal-add-to-cart-oficina_PD_728x90</v>
      </c>
      <c r="AG402" s="21" t="str">
        <f t="shared" si="92"/>
        <v>VW_After-Sales-lal-add-to-cart-oficina_728x90_After-Sales-Oficina-Classicos-REG05-adserver</v>
      </c>
      <c r="AH402" s="21" t="str">
        <f t="shared" si="93"/>
        <v>https://www.oficinadeclassicos.com.br/index.aspx?utm_source=dv360&amp;utm_medium=Programmatic&amp;utm_content=BR_VW_AFS_dv360_DIS_PROG_CPM_STD_LDR_AAF_RON_CXD_After-Sales-Oficina-Classicos-REG05-lal-add-to-cart-oficina_PD_728x90&amp;utm_campaign=BR_AAF_DSY_NONMS_ND_AS_2019Q2APR_AFS_After-Sales&amp;utm_term=%epid!_%ecid!_%eaid!</v>
      </c>
      <c r="AI402" s="21" t="str">
        <f t="shared" si="94"/>
        <v>TAG</v>
      </c>
      <c r="AJ402" s="15" t="str">
        <f t="shared" si="88"/>
        <v>dv360</v>
      </c>
      <c r="AK402" s="15" t="str">
        <f t="shared" si="89"/>
        <v>Programmatic</v>
      </c>
      <c r="AL402" s="21" t="str">
        <f>Campanha!$B$3</f>
        <v>BR_AAF_DSY_NONMS_ND_AS_2019Q2APR_AFS_After-Sales</v>
      </c>
      <c r="AM402" s="21" t="str">
        <f t="shared" si="95"/>
        <v>BR_VW_AFS_dv360_DIS_PROG_CPM_STD_LDR_AAF_RON_CXD_After-Sales-Oficina-Classicos-REG05-lal-add-to-cart-oficina_PD_728x90</v>
      </c>
      <c r="AN402" s="15" t="s">
        <v>809</v>
      </c>
    </row>
    <row r="403" spans="2:40" hidden="1" x14ac:dyDescent="0.25">
      <c r="B403" s="15" t="s">
        <v>872</v>
      </c>
      <c r="C403" s="15"/>
      <c r="D403" s="30" t="s">
        <v>873</v>
      </c>
      <c r="E403" s="22">
        <v>44155</v>
      </c>
      <c r="F403" s="22">
        <v>44196</v>
      </c>
      <c r="G403" s="15" t="s">
        <v>674</v>
      </c>
      <c r="H403" s="15" t="s">
        <v>811</v>
      </c>
      <c r="I403" s="15" t="s">
        <v>702</v>
      </c>
      <c r="J403" s="15" t="s">
        <v>325</v>
      </c>
      <c r="K403" s="15" t="s">
        <v>334</v>
      </c>
      <c r="L403" s="15" t="s">
        <v>358</v>
      </c>
      <c r="M403" s="15" t="s">
        <v>322</v>
      </c>
      <c r="N403" s="15" t="s">
        <v>708</v>
      </c>
      <c r="O403" s="15" t="s">
        <v>694</v>
      </c>
      <c r="P403" s="15" t="s">
        <v>1044</v>
      </c>
      <c r="Q403" s="15" t="s">
        <v>880</v>
      </c>
      <c r="R403" s="15" t="s">
        <v>835</v>
      </c>
      <c r="S403" s="15" t="s">
        <v>348</v>
      </c>
      <c r="T403" s="15" t="s">
        <v>652</v>
      </c>
      <c r="AC403" s="32" t="s">
        <v>885</v>
      </c>
      <c r="AD403" s="33" t="e">
        <f t="shared" si="87"/>
        <v>#N/A</v>
      </c>
      <c r="AE403" s="21" t="str">
        <f t="shared" si="90"/>
        <v>BR_VW_AFS_dv360_DIS_PROG_CPM_STD_LDR_AAF_RON_CXD_After-Sales-Oficina-Classicos-REG05-lal-add-to-cart-oficina_PD_970x250</v>
      </c>
      <c r="AF403" s="21" t="str">
        <f t="shared" si="91"/>
        <v>BR_VW_AFS_dv360_DIS_PROG_CPM_STD_LDR_AAF_RON_CXD_After-Sales-Oficina-Classicos-REG05-lal-add-to-cart-oficina_PD_970x250</v>
      </c>
      <c r="AG403" s="21" t="str">
        <f t="shared" si="92"/>
        <v>VW_After-Sales-lal-add-to-cart-oficina_970x250_After-Sales-Oficina-Classicos-REG05-adserver</v>
      </c>
      <c r="AH403" s="21" t="str">
        <f t="shared" si="93"/>
        <v>https://www.oficinadeclassicos.com.br/index.aspx?utm_source=dv360&amp;utm_medium=Programmatic&amp;utm_content=BR_VW_AFS_dv360_DIS_PROG_CPM_STD_LDR_AAF_RON_CXD_After-Sales-Oficina-Classicos-REG05-lal-add-to-cart-oficina_PD_970x250&amp;utm_campaign=BR_AAF_DSY_NONMS_ND_AS_2019Q2APR_AFS_After-Sales&amp;utm_term=%epid!_%ecid!_%eaid!</v>
      </c>
      <c r="AI403" s="21" t="str">
        <f t="shared" si="94"/>
        <v>TAG</v>
      </c>
      <c r="AJ403" s="15" t="str">
        <f t="shared" si="88"/>
        <v>dv360</v>
      </c>
      <c r="AK403" s="15" t="str">
        <f t="shared" si="89"/>
        <v>Programmatic</v>
      </c>
      <c r="AL403" s="21" t="str">
        <f>Campanha!$B$3</f>
        <v>BR_AAF_DSY_NONMS_ND_AS_2019Q2APR_AFS_After-Sales</v>
      </c>
      <c r="AM403" s="21" t="str">
        <f t="shared" si="95"/>
        <v>BR_VW_AFS_dv360_DIS_PROG_CPM_STD_LDR_AAF_RON_CXD_After-Sales-Oficina-Classicos-REG05-lal-add-to-cart-oficina_PD_970x250</v>
      </c>
      <c r="AN403" s="15" t="s">
        <v>809</v>
      </c>
    </row>
    <row r="404" spans="2:40" hidden="1" x14ac:dyDescent="0.25">
      <c r="B404" s="15" t="s">
        <v>872</v>
      </c>
      <c r="C404" s="15"/>
      <c r="D404" s="30" t="s">
        <v>873</v>
      </c>
      <c r="E404" s="22">
        <v>44155</v>
      </c>
      <c r="F404" s="22">
        <v>44196</v>
      </c>
      <c r="G404" s="15" t="s">
        <v>674</v>
      </c>
      <c r="H404" s="15" t="s">
        <v>811</v>
      </c>
      <c r="I404" s="15" t="s">
        <v>702</v>
      </c>
      <c r="J404" s="15" t="s">
        <v>325</v>
      </c>
      <c r="K404" s="15" t="s">
        <v>334</v>
      </c>
      <c r="L404" s="15" t="s">
        <v>358</v>
      </c>
      <c r="M404" s="15" t="s">
        <v>322</v>
      </c>
      <c r="N404" s="15" t="s">
        <v>708</v>
      </c>
      <c r="O404" s="15" t="s">
        <v>694</v>
      </c>
      <c r="P404" s="15" t="s">
        <v>1044</v>
      </c>
      <c r="Q404" s="15" t="s">
        <v>888</v>
      </c>
      <c r="R404" s="15" t="s">
        <v>835</v>
      </c>
      <c r="S404" s="15" t="s">
        <v>348</v>
      </c>
      <c r="T404" s="15" t="s">
        <v>457</v>
      </c>
      <c r="AC404" s="32" t="s">
        <v>885</v>
      </c>
      <c r="AD404" s="33" t="e">
        <f t="shared" si="87"/>
        <v>#N/A</v>
      </c>
      <c r="AE404" s="21" t="str">
        <f t="shared" si="90"/>
        <v>BR_VW_AFS_dv360_DIS_PROG_CPM_STD_LDR_AAF_RON_CXD_After-Sales-Oficina-Classicos-REG05-lal-home-oficina_PD_160x600</v>
      </c>
      <c r="AF404" s="21" t="str">
        <f t="shared" si="91"/>
        <v>BR_VW_AFS_dv360_DIS_PROG_CPM_STD_LDR_AAF_RON_CXD_After-Sales-Oficina-Classicos-REG05-lal-home-oficina_PD_160x600</v>
      </c>
      <c r="AG404" s="21" t="str">
        <f t="shared" si="92"/>
        <v>VW_After-Sales-lal-home-oficina_160x600_After-Sales-Oficina-Classicos-REG05-adserver</v>
      </c>
      <c r="AH404" s="21" t="str">
        <f t="shared" si="93"/>
        <v>https://www.oficinadeclassicos.com.br/index.aspx?utm_source=dv360&amp;utm_medium=Programmatic&amp;utm_content=BR_VW_AFS_dv360_DIS_PROG_CPM_STD_LDR_AAF_RON_CXD_After-Sales-Oficina-Classicos-REG05-lal-home-oficina_PD_160x600&amp;utm_campaign=BR_AAF_DSY_NONMS_ND_AS_2019Q2APR_AFS_After-Sales&amp;utm_term=%epid!_%ecid!_%eaid!</v>
      </c>
      <c r="AI404" s="21" t="str">
        <f t="shared" si="94"/>
        <v>TAG</v>
      </c>
      <c r="AJ404" s="15" t="str">
        <f t="shared" si="88"/>
        <v>dv360</v>
      </c>
      <c r="AK404" s="15" t="str">
        <f t="shared" si="89"/>
        <v>Programmatic</v>
      </c>
      <c r="AL404" s="21" t="str">
        <f>Campanha!$B$3</f>
        <v>BR_AAF_DSY_NONMS_ND_AS_2019Q2APR_AFS_After-Sales</v>
      </c>
      <c r="AM404" s="21" t="str">
        <f t="shared" si="95"/>
        <v>BR_VW_AFS_dv360_DIS_PROG_CPM_STD_LDR_AAF_RON_CXD_After-Sales-Oficina-Classicos-REG05-lal-home-oficina_PD_160x600</v>
      </c>
      <c r="AN404" s="15" t="s">
        <v>809</v>
      </c>
    </row>
    <row r="405" spans="2:40" hidden="1" x14ac:dyDescent="0.25">
      <c r="B405" s="15" t="s">
        <v>872</v>
      </c>
      <c r="C405" s="15"/>
      <c r="D405" s="30" t="s">
        <v>873</v>
      </c>
      <c r="E405" s="22">
        <v>44155</v>
      </c>
      <c r="F405" s="22">
        <v>44196</v>
      </c>
      <c r="G405" s="15" t="s">
        <v>674</v>
      </c>
      <c r="H405" s="15" t="s">
        <v>811</v>
      </c>
      <c r="I405" s="15" t="s">
        <v>702</v>
      </c>
      <c r="J405" s="15" t="s">
        <v>325</v>
      </c>
      <c r="K405" s="15" t="s">
        <v>334</v>
      </c>
      <c r="L405" s="15" t="s">
        <v>358</v>
      </c>
      <c r="M405" s="15" t="s">
        <v>322</v>
      </c>
      <c r="N405" s="15" t="s">
        <v>708</v>
      </c>
      <c r="O405" s="15" t="s">
        <v>694</v>
      </c>
      <c r="P405" s="15" t="s">
        <v>1044</v>
      </c>
      <c r="Q405" s="15" t="s">
        <v>888</v>
      </c>
      <c r="R405" s="15" t="s">
        <v>835</v>
      </c>
      <c r="S405" s="15" t="s">
        <v>348</v>
      </c>
      <c r="T405" s="15" t="s">
        <v>484</v>
      </c>
      <c r="AC405" s="32" t="s">
        <v>885</v>
      </c>
      <c r="AD405" s="33" t="e">
        <f t="shared" si="87"/>
        <v>#N/A</v>
      </c>
      <c r="AE405" s="21" t="str">
        <f t="shared" si="90"/>
        <v>BR_VW_AFS_dv360_DIS_PROG_CPM_STD_LDR_AAF_RON_CXD_After-Sales-Oficina-Classicos-REG05-lal-home-oficina_PD_300x50</v>
      </c>
      <c r="AF405" s="21" t="str">
        <f t="shared" si="91"/>
        <v>BR_VW_AFS_dv360_DIS_PROG_CPM_STD_LDR_AAF_RON_CXD_After-Sales-Oficina-Classicos-REG05-lal-home-oficina_PD_300x50</v>
      </c>
      <c r="AG405" s="21" t="str">
        <f t="shared" si="92"/>
        <v>VW_After-Sales-lal-home-oficina_300x50_After-Sales-Oficina-Classicos-REG05-adserver</v>
      </c>
      <c r="AH405" s="21" t="str">
        <f t="shared" si="93"/>
        <v>https://www.oficinadeclassicos.com.br/index.aspx?utm_source=dv360&amp;utm_medium=Programmatic&amp;utm_content=BR_VW_AFS_dv360_DIS_PROG_CPM_STD_LDR_AAF_RON_CXD_After-Sales-Oficina-Classicos-REG05-lal-home-oficina_PD_300x50&amp;utm_campaign=BR_AAF_DSY_NONMS_ND_AS_2019Q2APR_AFS_After-Sales&amp;utm_term=%epid!_%ecid!_%eaid!</v>
      </c>
      <c r="AI405" s="21" t="str">
        <f t="shared" si="94"/>
        <v>TAG</v>
      </c>
      <c r="AJ405" s="15" t="str">
        <f t="shared" si="88"/>
        <v>dv360</v>
      </c>
      <c r="AK405" s="15" t="str">
        <f t="shared" si="89"/>
        <v>Programmatic</v>
      </c>
      <c r="AL405" s="21" t="str">
        <f>Campanha!$B$3</f>
        <v>BR_AAF_DSY_NONMS_ND_AS_2019Q2APR_AFS_After-Sales</v>
      </c>
      <c r="AM405" s="21" t="str">
        <f t="shared" si="95"/>
        <v>BR_VW_AFS_dv360_DIS_PROG_CPM_STD_LDR_AAF_RON_CXD_After-Sales-Oficina-Classicos-REG05-lal-home-oficina_PD_300x50</v>
      </c>
      <c r="AN405" s="15" t="s">
        <v>809</v>
      </c>
    </row>
    <row r="406" spans="2:40" hidden="1" x14ac:dyDescent="0.25">
      <c r="B406" s="15" t="s">
        <v>872</v>
      </c>
      <c r="C406" s="15"/>
      <c r="D406" s="30" t="s">
        <v>873</v>
      </c>
      <c r="E406" s="22">
        <v>44155</v>
      </c>
      <c r="F406" s="22">
        <v>44196</v>
      </c>
      <c r="G406" s="15" t="s">
        <v>674</v>
      </c>
      <c r="H406" s="15" t="s">
        <v>811</v>
      </c>
      <c r="I406" s="15" t="s">
        <v>702</v>
      </c>
      <c r="J406" s="15" t="s">
        <v>325</v>
      </c>
      <c r="K406" s="15" t="s">
        <v>334</v>
      </c>
      <c r="L406" s="15" t="s">
        <v>358</v>
      </c>
      <c r="M406" s="15" t="s">
        <v>322</v>
      </c>
      <c r="N406" s="15" t="s">
        <v>708</v>
      </c>
      <c r="O406" s="15" t="s">
        <v>694</v>
      </c>
      <c r="P406" s="15" t="s">
        <v>1044</v>
      </c>
      <c r="Q406" s="15" t="s">
        <v>888</v>
      </c>
      <c r="R406" s="15" t="s">
        <v>835</v>
      </c>
      <c r="S406" s="15" t="s">
        <v>348</v>
      </c>
      <c r="T406" s="15" t="s">
        <v>478</v>
      </c>
      <c r="AC406" s="32" t="s">
        <v>885</v>
      </c>
      <c r="AD406" s="33" t="e">
        <f t="shared" si="87"/>
        <v>#N/A</v>
      </c>
      <c r="AE406" s="21" t="str">
        <f t="shared" si="90"/>
        <v>BR_VW_AFS_dv360_DIS_PROG_CPM_STD_LDR_AAF_RON_CXD_After-Sales-Oficina-Classicos-REG05-lal-home-oficina_PD_300x250</v>
      </c>
      <c r="AF406" s="21" t="str">
        <f t="shared" si="91"/>
        <v>BR_VW_AFS_dv360_DIS_PROG_CPM_STD_LDR_AAF_RON_CXD_After-Sales-Oficina-Classicos-REG05-lal-home-oficina_PD_300x250</v>
      </c>
      <c r="AG406" s="21" t="str">
        <f t="shared" si="92"/>
        <v>VW_After-Sales-lal-home-oficina_300x250_After-Sales-Oficina-Classicos-REG05-adserver</v>
      </c>
      <c r="AH406" s="21" t="str">
        <f t="shared" si="93"/>
        <v>https://www.oficinadeclassicos.com.br/index.aspx?utm_source=dv360&amp;utm_medium=Programmatic&amp;utm_content=BR_VW_AFS_dv360_DIS_PROG_CPM_STD_LDR_AAF_RON_CXD_After-Sales-Oficina-Classicos-REG05-lal-home-oficina_PD_300x250&amp;utm_campaign=BR_AAF_DSY_NONMS_ND_AS_2019Q2APR_AFS_After-Sales&amp;utm_term=%epid!_%ecid!_%eaid!</v>
      </c>
      <c r="AI406" s="21" t="str">
        <f t="shared" si="94"/>
        <v>TAG</v>
      </c>
      <c r="AJ406" s="15" t="str">
        <f t="shared" si="88"/>
        <v>dv360</v>
      </c>
      <c r="AK406" s="15" t="str">
        <f t="shared" si="89"/>
        <v>Programmatic</v>
      </c>
      <c r="AL406" s="21" t="str">
        <f>Campanha!$B$3</f>
        <v>BR_AAF_DSY_NONMS_ND_AS_2019Q2APR_AFS_After-Sales</v>
      </c>
      <c r="AM406" s="21" t="str">
        <f t="shared" si="95"/>
        <v>BR_VW_AFS_dv360_DIS_PROG_CPM_STD_LDR_AAF_RON_CXD_After-Sales-Oficina-Classicos-REG05-lal-home-oficina_PD_300x250</v>
      </c>
      <c r="AN406" s="15" t="s">
        <v>809</v>
      </c>
    </row>
    <row r="407" spans="2:40" hidden="1" x14ac:dyDescent="0.25">
      <c r="B407" s="15" t="s">
        <v>872</v>
      </c>
      <c r="C407" s="15"/>
      <c r="D407" s="30" t="s">
        <v>873</v>
      </c>
      <c r="E407" s="22">
        <v>44155</v>
      </c>
      <c r="F407" s="22">
        <v>44196</v>
      </c>
      <c r="G407" s="15" t="s">
        <v>674</v>
      </c>
      <c r="H407" s="15" t="s">
        <v>811</v>
      </c>
      <c r="I407" s="15" t="s">
        <v>702</v>
      </c>
      <c r="J407" s="15" t="s">
        <v>325</v>
      </c>
      <c r="K407" s="15" t="s">
        <v>334</v>
      </c>
      <c r="L407" s="15" t="s">
        <v>358</v>
      </c>
      <c r="M407" s="15" t="s">
        <v>322</v>
      </c>
      <c r="N407" s="15" t="s">
        <v>708</v>
      </c>
      <c r="O407" s="15" t="s">
        <v>694</v>
      </c>
      <c r="P407" s="15" t="s">
        <v>1044</v>
      </c>
      <c r="Q407" s="15" t="s">
        <v>888</v>
      </c>
      <c r="R407" s="15" t="s">
        <v>835</v>
      </c>
      <c r="S407" s="15" t="s">
        <v>348</v>
      </c>
      <c r="T407" s="15" t="s">
        <v>614</v>
      </c>
      <c r="AC407" s="32" t="s">
        <v>885</v>
      </c>
      <c r="AD407" s="33" t="e">
        <f t="shared" si="87"/>
        <v>#N/A</v>
      </c>
      <c r="AE407" s="21" t="str">
        <f t="shared" si="90"/>
        <v>BR_VW_AFS_dv360_DIS_PROG_CPM_STD_LDR_AAF_RON_CXD_After-Sales-Oficina-Classicos-REG05-lal-home-oficina_PD_728x90</v>
      </c>
      <c r="AF407" s="21" t="str">
        <f t="shared" si="91"/>
        <v>BR_VW_AFS_dv360_DIS_PROG_CPM_STD_LDR_AAF_RON_CXD_After-Sales-Oficina-Classicos-REG05-lal-home-oficina_PD_728x90</v>
      </c>
      <c r="AG407" s="21" t="str">
        <f t="shared" si="92"/>
        <v>VW_After-Sales-lal-home-oficina_728x90_After-Sales-Oficina-Classicos-REG05-adserver</v>
      </c>
      <c r="AH407" s="21" t="str">
        <f t="shared" si="93"/>
        <v>https://www.oficinadeclassicos.com.br/index.aspx?utm_source=dv360&amp;utm_medium=Programmatic&amp;utm_content=BR_VW_AFS_dv360_DIS_PROG_CPM_STD_LDR_AAF_RON_CXD_After-Sales-Oficina-Classicos-REG05-lal-home-oficina_PD_728x90&amp;utm_campaign=BR_AAF_DSY_NONMS_ND_AS_2019Q2APR_AFS_After-Sales&amp;utm_term=%epid!_%ecid!_%eaid!</v>
      </c>
      <c r="AI407" s="21" t="str">
        <f t="shared" si="94"/>
        <v>TAG</v>
      </c>
      <c r="AJ407" s="15" t="str">
        <f t="shared" si="88"/>
        <v>dv360</v>
      </c>
      <c r="AK407" s="15" t="str">
        <f t="shared" si="89"/>
        <v>Programmatic</v>
      </c>
      <c r="AL407" s="21" t="str">
        <f>Campanha!$B$3</f>
        <v>BR_AAF_DSY_NONMS_ND_AS_2019Q2APR_AFS_After-Sales</v>
      </c>
      <c r="AM407" s="21" t="str">
        <f t="shared" si="95"/>
        <v>BR_VW_AFS_dv360_DIS_PROG_CPM_STD_LDR_AAF_RON_CXD_After-Sales-Oficina-Classicos-REG05-lal-home-oficina_PD_728x90</v>
      </c>
      <c r="AN407" s="15" t="s">
        <v>809</v>
      </c>
    </row>
    <row r="408" spans="2:40" hidden="1" x14ac:dyDescent="0.25">
      <c r="B408" s="15" t="s">
        <v>872</v>
      </c>
      <c r="C408" s="15"/>
      <c r="D408" s="30" t="s">
        <v>873</v>
      </c>
      <c r="E408" s="22">
        <v>44155</v>
      </c>
      <c r="F408" s="22">
        <v>44196</v>
      </c>
      <c r="G408" s="15" t="s">
        <v>674</v>
      </c>
      <c r="H408" s="15" t="s">
        <v>811</v>
      </c>
      <c r="I408" s="15" t="s">
        <v>702</v>
      </c>
      <c r="J408" s="15" t="s">
        <v>325</v>
      </c>
      <c r="K408" s="15" t="s">
        <v>334</v>
      </c>
      <c r="L408" s="15" t="s">
        <v>358</v>
      </c>
      <c r="M408" s="15" t="s">
        <v>322</v>
      </c>
      <c r="N408" s="15" t="s">
        <v>708</v>
      </c>
      <c r="O408" s="15" t="s">
        <v>694</v>
      </c>
      <c r="P408" s="15" t="s">
        <v>1044</v>
      </c>
      <c r="Q408" s="15" t="s">
        <v>888</v>
      </c>
      <c r="R408" s="15" t="s">
        <v>835</v>
      </c>
      <c r="S408" s="15" t="s">
        <v>348</v>
      </c>
      <c r="T408" s="15" t="s">
        <v>652</v>
      </c>
      <c r="AC408" s="32" t="s">
        <v>885</v>
      </c>
      <c r="AD408" s="33" t="e">
        <f t="shared" si="87"/>
        <v>#N/A</v>
      </c>
      <c r="AE408" s="21" t="str">
        <f t="shared" si="90"/>
        <v>BR_VW_AFS_dv360_DIS_PROG_CPM_STD_LDR_AAF_RON_CXD_After-Sales-Oficina-Classicos-REG05-lal-home-oficina_PD_970x250</v>
      </c>
      <c r="AF408" s="21" t="str">
        <f t="shared" si="91"/>
        <v>BR_VW_AFS_dv360_DIS_PROG_CPM_STD_LDR_AAF_RON_CXD_After-Sales-Oficina-Classicos-REG05-lal-home-oficina_PD_970x250</v>
      </c>
      <c r="AG408" s="21" t="str">
        <f t="shared" si="92"/>
        <v>VW_After-Sales-lal-home-oficina_970x250_After-Sales-Oficina-Classicos-REG05-adserver</v>
      </c>
      <c r="AH408" s="21" t="str">
        <f t="shared" si="93"/>
        <v>https://www.oficinadeclassicos.com.br/index.aspx?utm_source=dv360&amp;utm_medium=Programmatic&amp;utm_content=BR_VW_AFS_dv360_DIS_PROG_CPM_STD_LDR_AAF_RON_CXD_After-Sales-Oficina-Classicos-REG05-lal-home-oficina_PD_970x250&amp;utm_campaign=BR_AAF_DSY_NONMS_ND_AS_2019Q2APR_AFS_After-Sales&amp;utm_term=%epid!_%ecid!_%eaid!</v>
      </c>
      <c r="AI408" s="21" t="str">
        <f t="shared" si="94"/>
        <v>TAG</v>
      </c>
      <c r="AJ408" s="15" t="str">
        <f t="shared" si="88"/>
        <v>dv360</v>
      </c>
      <c r="AK408" s="15" t="str">
        <f t="shared" si="89"/>
        <v>Programmatic</v>
      </c>
      <c r="AL408" s="21" t="str">
        <f>Campanha!$B$3</f>
        <v>BR_AAF_DSY_NONMS_ND_AS_2019Q2APR_AFS_After-Sales</v>
      </c>
      <c r="AM408" s="21" t="str">
        <f t="shared" si="95"/>
        <v>BR_VW_AFS_dv360_DIS_PROG_CPM_STD_LDR_AAF_RON_CXD_After-Sales-Oficina-Classicos-REG05-lal-home-oficina_PD_970x250</v>
      </c>
      <c r="AN408" s="15" t="s">
        <v>809</v>
      </c>
    </row>
    <row r="409" spans="2:40" hidden="1" x14ac:dyDescent="0.25">
      <c r="B409" s="15" t="s">
        <v>872</v>
      </c>
      <c r="C409" s="15"/>
      <c r="D409" s="30" t="s">
        <v>873</v>
      </c>
      <c r="E409" s="22">
        <v>44155</v>
      </c>
      <c r="F409" s="22">
        <v>44196</v>
      </c>
      <c r="G409" s="15" t="s">
        <v>674</v>
      </c>
      <c r="H409" s="15" t="s">
        <v>811</v>
      </c>
      <c r="I409" s="15" t="s">
        <v>702</v>
      </c>
      <c r="J409" s="15" t="s">
        <v>325</v>
      </c>
      <c r="K409" s="15" t="s">
        <v>334</v>
      </c>
      <c r="L409" s="15" t="s">
        <v>358</v>
      </c>
      <c r="M409" s="15" t="s">
        <v>322</v>
      </c>
      <c r="N409" s="15" t="s">
        <v>708</v>
      </c>
      <c r="O409" s="15" t="s">
        <v>694</v>
      </c>
      <c r="P409" s="15" t="s">
        <v>1044</v>
      </c>
      <c r="Q409" s="15" t="s">
        <v>878</v>
      </c>
      <c r="R409" s="15" t="s">
        <v>835</v>
      </c>
      <c r="S409" s="15" t="s">
        <v>348</v>
      </c>
      <c r="T409" s="15" t="s">
        <v>457</v>
      </c>
      <c r="AC409" s="32" t="s">
        <v>885</v>
      </c>
      <c r="AD409" s="33" t="e">
        <f t="shared" si="87"/>
        <v>#N/A</v>
      </c>
      <c r="AE409" s="21" t="str">
        <f t="shared" si="90"/>
        <v>BR_VW_AFS_dv360_DIS_PROG_CPM_STD_LDR_AAF_RON_CXD_After-Sales-Oficina-Classicos-REG05-rmkt-visita-home-oficina_PD_160x600</v>
      </c>
      <c r="AF409" s="21" t="str">
        <f t="shared" si="91"/>
        <v>BR_VW_AFS_dv360_DIS_PROG_CPM_STD_LDR_AAF_RON_CXD_After-Sales-Oficina-Classicos-REG05-rmkt-visita-home-oficina_PD_160x600</v>
      </c>
      <c r="AG409" s="21" t="str">
        <f t="shared" si="92"/>
        <v>VW_After-Sales-rmkt-visita-home-oficina_160x600_After-Sales-Oficina-Classicos-REG05-adserver</v>
      </c>
      <c r="AH409" s="21" t="str">
        <f t="shared" si="93"/>
        <v>https://www.oficinadeclassicos.com.br/index.aspx?utm_source=dv360&amp;utm_medium=Programmatic&amp;utm_content=BR_VW_AFS_dv360_DIS_PROG_CPM_STD_LDR_AAF_RON_CXD_After-Sales-Oficina-Classicos-REG05-rmkt-visita-home-oficina_PD_160x600&amp;utm_campaign=BR_AAF_DSY_NONMS_ND_AS_2019Q2APR_AFS_After-Sales&amp;utm_term=%epid!_%ecid!_%eaid!</v>
      </c>
      <c r="AI409" s="21" t="str">
        <f t="shared" si="94"/>
        <v>TAG</v>
      </c>
      <c r="AJ409" s="15" t="str">
        <f t="shared" si="88"/>
        <v>dv360</v>
      </c>
      <c r="AK409" s="15" t="str">
        <f t="shared" si="89"/>
        <v>Programmatic</v>
      </c>
      <c r="AL409" s="21" t="str">
        <f>Campanha!$B$3</f>
        <v>BR_AAF_DSY_NONMS_ND_AS_2019Q2APR_AFS_After-Sales</v>
      </c>
      <c r="AM409" s="21" t="str">
        <f t="shared" si="95"/>
        <v>BR_VW_AFS_dv360_DIS_PROG_CPM_STD_LDR_AAF_RON_CXD_After-Sales-Oficina-Classicos-REG05-rmkt-visita-home-oficina_PD_160x600</v>
      </c>
      <c r="AN409" s="15" t="s">
        <v>809</v>
      </c>
    </row>
    <row r="410" spans="2:40" hidden="1" x14ac:dyDescent="0.25">
      <c r="B410" s="15" t="s">
        <v>872</v>
      </c>
      <c r="C410" s="15"/>
      <c r="D410" s="30" t="s">
        <v>873</v>
      </c>
      <c r="E410" s="22">
        <v>44155</v>
      </c>
      <c r="F410" s="22">
        <v>44196</v>
      </c>
      <c r="G410" s="15" t="s">
        <v>674</v>
      </c>
      <c r="H410" s="15" t="s">
        <v>811</v>
      </c>
      <c r="I410" s="15" t="s">
        <v>702</v>
      </c>
      <c r="J410" s="15" t="s">
        <v>325</v>
      </c>
      <c r="K410" s="15" t="s">
        <v>334</v>
      </c>
      <c r="L410" s="15" t="s">
        <v>358</v>
      </c>
      <c r="M410" s="15" t="s">
        <v>322</v>
      </c>
      <c r="N410" s="15" t="s">
        <v>708</v>
      </c>
      <c r="O410" s="15" t="s">
        <v>694</v>
      </c>
      <c r="P410" s="15" t="s">
        <v>1044</v>
      </c>
      <c r="Q410" s="15" t="s">
        <v>878</v>
      </c>
      <c r="R410" s="15" t="s">
        <v>835</v>
      </c>
      <c r="S410" s="15" t="s">
        <v>348</v>
      </c>
      <c r="T410" s="15" t="s">
        <v>484</v>
      </c>
      <c r="AC410" s="32" t="s">
        <v>885</v>
      </c>
      <c r="AD410" s="33" t="e">
        <f t="shared" si="87"/>
        <v>#N/A</v>
      </c>
      <c r="AE410" s="21" t="str">
        <f t="shared" si="90"/>
        <v>BR_VW_AFS_dv360_DIS_PROG_CPM_STD_LDR_AAF_RON_CXD_After-Sales-Oficina-Classicos-REG05-rmkt-visita-home-oficina_PD_300x50</v>
      </c>
      <c r="AF410" s="21" t="str">
        <f t="shared" si="91"/>
        <v>BR_VW_AFS_dv360_DIS_PROG_CPM_STD_LDR_AAF_RON_CXD_After-Sales-Oficina-Classicos-REG05-rmkt-visita-home-oficina_PD_300x50</v>
      </c>
      <c r="AG410" s="21" t="str">
        <f t="shared" si="92"/>
        <v>VW_After-Sales-rmkt-visita-home-oficina_300x50_After-Sales-Oficina-Classicos-REG05-adserver</v>
      </c>
      <c r="AH410" s="21" t="str">
        <f t="shared" si="93"/>
        <v>https://www.oficinadeclassicos.com.br/index.aspx?utm_source=dv360&amp;utm_medium=Programmatic&amp;utm_content=BR_VW_AFS_dv360_DIS_PROG_CPM_STD_LDR_AAF_RON_CXD_After-Sales-Oficina-Classicos-REG05-rmkt-visita-home-oficina_PD_300x50&amp;utm_campaign=BR_AAF_DSY_NONMS_ND_AS_2019Q2APR_AFS_After-Sales&amp;utm_term=%epid!_%ecid!_%eaid!</v>
      </c>
      <c r="AI410" s="21" t="str">
        <f t="shared" si="94"/>
        <v>TAG</v>
      </c>
      <c r="AJ410" s="15" t="str">
        <f t="shared" si="88"/>
        <v>dv360</v>
      </c>
      <c r="AK410" s="15" t="str">
        <f t="shared" si="89"/>
        <v>Programmatic</v>
      </c>
      <c r="AL410" s="21" t="str">
        <f>Campanha!$B$3</f>
        <v>BR_AAF_DSY_NONMS_ND_AS_2019Q2APR_AFS_After-Sales</v>
      </c>
      <c r="AM410" s="21" t="str">
        <f t="shared" si="95"/>
        <v>BR_VW_AFS_dv360_DIS_PROG_CPM_STD_LDR_AAF_RON_CXD_After-Sales-Oficina-Classicos-REG05-rmkt-visita-home-oficina_PD_300x50</v>
      </c>
      <c r="AN410" s="15" t="s">
        <v>809</v>
      </c>
    </row>
    <row r="411" spans="2:40" hidden="1" x14ac:dyDescent="0.25">
      <c r="B411" s="15" t="s">
        <v>872</v>
      </c>
      <c r="C411" s="15"/>
      <c r="D411" s="30" t="s">
        <v>873</v>
      </c>
      <c r="E411" s="22">
        <v>44155</v>
      </c>
      <c r="F411" s="22">
        <v>44196</v>
      </c>
      <c r="G411" s="15" t="s">
        <v>674</v>
      </c>
      <c r="H411" s="15" t="s">
        <v>811</v>
      </c>
      <c r="I411" s="15" t="s">
        <v>702</v>
      </c>
      <c r="J411" s="15" t="s">
        <v>325</v>
      </c>
      <c r="K411" s="15" t="s">
        <v>334</v>
      </c>
      <c r="L411" s="15" t="s">
        <v>358</v>
      </c>
      <c r="M411" s="15" t="s">
        <v>322</v>
      </c>
      <c r="N411" s="15" t="s">
        <v>708</v>
      </c>
      <c r="O411" s="15" t="s">
        <v>694</v>
      </c>
      <c r="P411" s="15" t="s">
        <v>1044</v>
      </c>
      <c r="Q411" s="15" t="s">
        <v>878</v>
      </c>
      <c r="R411" s="15" t="s">
        <v>835</v>
      </c>
      <c r="S411" s="15" t="s">
        <v>348</v>
      </c>
      <c r="T411" s="15" t="s">
        <v>478</v>
      </c>
      <c r="AC411" s="32" t="s">
        <v>885</v>
      </c>
      <c r="AD411" s="33" t="e">
        <f t="shared" si="87"/>
        <v>#N/A</v>
      </c>
      <c r="AE411" s="21" t="str">
        <f t="shared" si="90"/>
        <v>BR_VW_AFS_dv360_DIS_PROG_CPM_STD_LDR_AAF_RON_CXD_After-Sales-Oficina-Classicos-REG05-rmkt-visita-home-oficina_PD_300x250</v>
      </c>
      <c r="AF411" s="21" t="str">
        <f t="shared" si="91"/>
        <v>BR_VW_AFS_dv360_DIS_PROG_CPM_STD_LDR_AAF_RON_CXD_After-Sales-Oficina-Classicos-REG05-rmkt-visita-home-oficina_PD_300x250</v>
      </c>
      <c r="AG411" s="21" t="str">
        <f t="shared" si="92"/>
        <v>VW_After-Sales-rmkt-visita-home-oficina_300x250_After-Sales-Oficina-Classicos-REG05-adserver</v>
      </c>
      <c r="AH411" s="21" t="str">
        <f t="shared" si="93"/>
        <v>https://www.oficinadeclassicos.com.br/index.aspx?utm_source=dv360&amp;utm_medium=Programmatic&amp;utm_content=BR_VW_AFS_dv360_DIS_PROG_CPM_STD_LDR_AAF_RON_CXD_After-Sales-Oficina-Classicos-REG05-rmkt-visita-home-oficina_PD_300x250&amp;utm_campaign=BR_AAF_DSY_NONMS_ND_AS_2019Q2APR_AFS_After-Sales&amp;utm_term=%epid!_%ecid!_%eaid!</v>
      </c>
      <c r="AI411" s="21" t="str">
        <f t="shared" si="94"/>
        <v>TAG</v>
      </c>
      <c r="AJ411" s="15" t="str">
        <f t="shared" si="88"/>
        <v>dv360</v>
      </c>
      <c r="AK411" s="15" t="str">
        <f t="shared" si="89"/>
        <v>Programmatic</v>
      </c>
      <c r="AL411" s="21" t="str">
        <f>Campanha!$B$3</f>
        <v>BR_AAF_DSY_NONMS_ND_AS_2019Q2APR_AFS_After-Sales</v>
      </c>
      <c r="AM411" s="21" t="str">
        <f t="shared" si="95"/>
        <v>BR_VW_AFS_dv360_DIS_PROG_CPM_STD_LDR_AAF_RON_CXD_After-Sales-Oficina-Classicos-REG05-rmkt-visita-home-oficina_PD_300x250</v>
      </c>
      <c r="AN411" s="15" t="s">
        <v>809</v>
      </c>
    </row>
    <row r="412" spans="2:40" hidden="1" x14ac:dyDescent="0.25">
      <c r="B412" s="15" t="s">
        <v>872</v>
      </c>
      <c r="C412" s="15"/>
      <c r="D412" s="30" t="s">
        <v>873</v>
      </c>
      <c r="E412" s="22">
        <v>44155</v>
      </c>
      <c r="F412" s="22">
        <v>44196</v>
      </c>
      <c r="G412" s="15" t="s">
        <v>674</v>
      </c>
      <c r="H412" s="15" t="s">
        <v>811</v>
      </c>
      <c r="I412" s="15" t="s">
        <v>702</v>
      </c>
      <c r="J412" s="15" t="s">
        <v>325</v>
      </c>
      <c r="K412" s="15" t="s">
        <v>334</v>
      </c>
      <c r="L412" s="15" t="s">
        <v>358</v>
      </c>
      <c r="M412" s="15" t="s">
        <v>322</v>
      </c>
      <c r="N412" s="15" t="s">
        <v>708</v>
      </c>
      <c r="O412" s="15" t="s">
        <v>694</v>
      </c>
      <c r="P412" s="15" t="s">
        <v>1044</v>
      </c>
      <c r="Q412" s="15" t="s">
        <v>878</v>
      </c>
      <c r="R412" s="15" t="s">
        <v>835</v>
      </c>
      <c r="S412" s="15" t="s">
        <v>348</v>
      </c>
      <c r="T412" s="15" t="s">
        <v>614</v>
      </c>
      <c r="AC412" s="32" t="s">
        <v>885</v>
      </c>
      <c r="AD412" s="33" t="e">
        <f t="shared" si="87"/>
        <v>#N/A</v>
      </c>
      <c r="AE412" s="21" t="str">
        <f t="shared" si="90"/>
        <v>BR_VW_AFS_dv360_DIS_PROG_CPM_STD_LDR_AAF_RON_CXD_After-Sales-Oficina-Classicos-REG05-rmkt-visita-home-oficina_PD_728x90</v>
      </c>
      <c r="AF412" s="21" t="str">
        <f t="shared" si="91"/>
        <v>BR_VW_AFS_dv360_DIS_PROG_CPM_STD_LDR_AAF_RON_CXD_After-Sales-Oficina-Classicos-REG05-rmkt-visita-home-oficina_PD_728x90</v>
      </c>
      <c r="AG412" s="21" t="str">
        <f t="shared" si="92"/>
        <v>VW_After-Sales-rmkt-visita-home-oficina_728x90_After-Sales-Oficina-Classicos-REG05-adserver</v>
      </c>
      <c r="AH412" s="21" t="str">
        <f t="shared" si="93"/>
        <v>https://www.oficinadeclassicos.com.br/index.aspx?utm_source=dv360&amp;utm_medium=Programmatic&amp;utm_content=BR_VW_AFS_dv360_DIS_PROG_CPM_STD_LDR_AAF_RON_CXD_After-Sales-Oficina-Classicos-REG05-rmkt-visita-home-oficina_PD_728x90&amp;utm_campaign=BR_AAF_DSY_NONMS_ND_AS_2019Q2APR_AFS_After-Sales&amp;utm_term=%epid!_%ecid!_%eaid!</v>
      </c>
      <c r="AI412" s="21" t="str">
        <f t="shared" si="94"/>
        <v>TAG</v>
      </c>
      <c r="AJ412" s="15" t="str">
        <f t="shared" si="88"/>
        <v>dv360</v>
      </c>
      <c r="AK412" s="15" t="str">
        <f t="shared" si="89"/>
        <v>Programmatic</v>
      </c>
      <c r="AL412" s="21" t="str">
        <f>Campanha!$B$3</f>
        <v>BR_AAF_DSY_NONMS_ND_AS_2019Q2APR_AFS_After-Sales</v>
      </c>
      <c r="AM412" s="21" t="str">
        <f t="shared" si="95"/>
        <v>BR_VW_AFS_dv360_DIS_PROG_CPM_STD_LDR_AAF_RON_CXD_After-Sales-Oficina-Classicos-REG05-rmkt-visita-home-oficina_PD_728x90</v>
      </c>
      <c r="AN412" s="15" t="s">
        <v>809</v>
      </c>
    </row>
    <row r="413" spans="2:40" hidden="1" x14ac:dyDescent="0.25">
      <c r="B413" s="15" t="s">
        <v>872</v>
      </c>
      <c r="C413" s="15"/>
      <c r="D413" s="30" t="s">
        <v>873</v>
      </c>
      <c r="E413" s="22">
        <v>44155</v>
      </c>
      <c r="F413" s="22">
        <v>44196</v>
      </c>
      <c r="G413" s="15" t="s">
        <v>674</v>
      </c>
      <c r="H413" s="15" t="s">
        <v>811</v>
      </c>
      <c r="I413" s="15" t="s">
        <v>702</v>
      </c>
      <c r="J413" s="15" t="s">
        <v>325</v>
      </c>
      <c r="K413" s="15" t="s">
        <v>334</v>
      </c>
      <c r="L413" s="15" t="s">
        <v>358</v>
      </c>
      <c r="M413" s="15" t="s">
        <v>322</v>
      </c>
      <c r="N413" s="15" t="s">
        <v>708</v>
      </c>
      <c r="O413" s="15" t="s">
        <v>694</v>
      </c>
      <c r="P413" s="15" t="s">
        <v>1044</v>
      </c>
      <c r="Q413" s="15" t="s">
        <v>878</v>
      </c>
      <c r="R413" s="15" t="s">
        <v>835</v>
      </c>
      <c r="S413" s="15" t="s">
        <v>348</v>
      </c>
      <c r="T413" s="15" t="s">
        <v>652</v>
      </c>
      <c r="AC413" s="32" t="s">
        <v>885</v>
      </c>
      <c r="AD413" s="33" t="e">
        <f t="shared" si="87"/>
        <v>#N/A</v>
      </c>
      <c r="AE413" s="21" t="str">
        <f t="shared" si="90"/>
        <v>BR_VW_AFS_dv360_DIS_PROG_CPM_STD_LDR_AAF_RON_CXD_After-Sales-Oficina-Classicos-REG05-rmkt-visita-home-oficina_PD_970x250</v>
      </c>
      <c r="AF413" s="21" t="str">
        <f t="shared" si="91"/>
        <v>BR_VW_AFS_dv360_DIS_PROG_CPM_STD_LDR_AAF_RON_CXD_After-Sales-Oficina-Classicos-REG05-rmkt-visita-home-oficina_PD_970x250</v>
      </c>
      <c r="AG413" s="21" t="str">
        <f t="shared" si="92"/>
        <v>VW_After-Sales-rmkt-visita-home-oficina_970x250_After-Sales-Oficina-Classicos-REG05-adserver</v>
      </c>
      <c r="AH413" s="21" t="str">
        <f t="shared" si="93"/>
        <v>https://www.oficinadeclassicos.com.br/index.aspx?utm_source=dv360&amp;utm_medium=Programmatic&amp;utm_content=BR_VW_AFS_dv360_DIS_PROG_CPM_STD_LDR_AAF_RON_CXD_After-Sales-Oficina-Classicos-REG05-rmkt-visita-home-oficina_PD_970x250&amp;utm_campaign=BR_AAF_DSY_NONMS_ND_AS_2019Q2APR_AFS_After-Sales&amp;utm_term=%epid!_%ecid!_%eaid!</v>
      </c>
      <c r="AI413" s="21" t="str">
        <f t="shared" si="94"/>
        <v>TAG</v>
      </c>
      <c r="AJ413" s="15" t="str">
        <f t="shared" si="88"/>
        <v>dv360</v>
      </c>
      <c r="AK413" s="15" t="str">
        <f t="shared" si="89"/>
        <v>Programmatic</v>
      </c>
      <c r="AL413" s="21" t="str">
        <f>Campanha!$B$3</f>
        <v>BR_AAF_DSY_NONMS_ND_AS_2019Q2APR_AFS_After-Sales</v>
      </c>
      <c r="AM413" s="21" t="str">
        <f t="shared" si="95"/>
        <v>BR_VW_AFS_dv360_DIS_PROG_CPM_STD_LDR_AAF_RON_CXD_After-Sales-Oficina-Classicos-REG05-rmkt-visita-home-oficina_PD_970x250</v>
      </c>
      <c r="AN413" s="15" t="s">
        <v>809</v>
      </c>
    </row>
    <row r="414" spans="2:40" hidden="1" x14ac:dyDescent="0.25">
      <c r="B414" s="15" t="s">
        <v>872</v>
      </c>
      <c r="C414" s="15"/>
      <c r="D414" s="30" t="s">
        <v>873</v>
      </c>
      <c r="E414" s="22">
        <v>44155</v>
      </c>
      <c r="F414" s="22">
        <v>44196</v>
      </c>
      <c r="G414" s="15" t="s">
        <v>674</v>
      </c>
      <c r="H414" s="15" t="s">
        <v>811</v>
      </c>
      <c r="I414" s="15" t="s">
        <v>702</v>
      </c>
      <c r="J414" s="15" t="s">
        <v>325</v>
      </c>
      <c r="K414" s="15" t="s">
        <v>334</v>
      </c>
      <c r="L414" s="15" t="s">
        <v>358</v>
      </c>
      <c r="M414" s="15" t="s">
        <v>322</v>
      </c>
      <c r="N414" s="15" t="s">
        <v>708</v>
      </c>
      <c r="O414" s="15" t="s">
        <v>694</v>
      </c>
      <c r="P414" s="15" t="s">
        <v>1044</v>
      </c>
      <c r="Q414" s="15" t="s">
        <v>881</v>
      </c>
      <c r="R414" s="15" t="s">
        <v>835</v>
      </c>
      <c r="S414" s="15" t="s">
        <v>348</v>
      </c>
      <c r="T414" s="15" t="s">
        <v>457</v>
      </c>
      <c r="AC414" s="32" t="s">
        <v>885</v>
      </c>
      <c r="AD414" s="33" t="e">
        <f t="shared" si="87"/>
        <v>#N/A</v>
      </c>
      <c r="AE414" s="21" t="str">
        <f t="shared" si="90"/>
        <v>BR_VW_AFS_dv360_DIS_PROG_CPM_STD_LDR_AAF_RON_CXD_After-Sales-Oficina-Classicos-REG05-rmkt-add-to-cart-oficina_PD_160x600</v>
      </c>
      <c r="AF414" s="21" t="str">
        <f t="shared" si="91"/>
        <v>BR_VW_AFS_dv360_DIS_PROG_CPM_STD_LDR_AAF_RON_CXD_After-Sales-Oficina-Classicos-REG05-rmkt-add-to-cart-oficina_PD_160x600</v>
      </c>
      <c r="AG414" s="21" t="str">
        <f t="shared" si="92"/>
        <v>VW_After-Sales-rmkt-add-to-cart-oficina_160x600_After-Sales-Oficina-Classicos-REG05-adserver</v>
      </c>
      <c r="AH414" s="21" t="str">
        <f t="shared" si="93"/>
        <v>https://www.oficinadeclassicos.com.br/index.aspx?utm_source=dv360&amp;utm_medium=Programmatic&amp;utm_content=BR_VW_AFS_dv360_DIS_PROG_CPM_STD_LDR_AAF_RON_CXD_After-Sales-Oficina-Classicos-REG05-rmkt-add-to-cart-oficina_PD_160x600&amp;utm_campaign=BR_AAF_DSY_NONMS_ND_AS_2019Q2APR_AFS_After-Sales&amp;utm_term=%epid!_%ecid!_%eaid!</v>
      </c>
      <c r="AI414" s="21" t="str">
        <f t="shared" si="94"/>
        <v>TAG</v>
      </c>
      <c r="AJ414" s="15" t="str">
        <f t="shared" si="88"/>
        <v>dv360</v>
      </c>
      <c r="AK414" s="15" t="str">
        <f t="shared" si="89"/>
        <v>Programmatic</v>
      </c>
      <c r="AL414" s="21" t="str">
        <f>Campanha!$B$3</f>
        <v>BR_AAF_DSY_NONMS_ND_AS_2019Q2APR_AFS_After-Sales</v>
      </c>
      <c r="AM414" s="21" t="str">
        <f t="shared" si="95"/>
        <v>BR_VW_AFS_dv360_DIS_PROG_CPM_STD_LDR_AAF_RON_CXD_After-Sales-Oficina-Classicos-REG05-rmkt-add-to-cart-oficina_PD_160x600</v>
      </c>
      <c r="AN414" s="15" t="s">
        <v>809</v>
      </c>
    </row>
    <row r="415" spans="2:40" hidden="1" x14ac:dyDescent="0.25">
      <c r="B415" s="15" t="s">
        <v>872</v>
      </c>
      <c r="C415" s="15"/>
      <c r="D415" s="30" t="s">
        <v>873</v>
      </c>
      <c r="E415" s="22">
        <v>44155</v>
      </c>
      <c r="F415" s="22">
        <v>44196</v>
      </c>
      <c r="G415" s="15" t="s">
        <v>674</v>
      </c>
      <c r="H415" s="15" t="s">
        <v>811</v>
      </c>
      <c r="I415" s="15" t="s">
        <v>702</v>
      </c>
      <c r="J415" s="15" t="s">
        <v>325</v>
      </c>
      <c r="K415" s="15" t="s">
        <v>334</v>
      </c>
      <c r="L415" s="15" t="s">
        <v>358</v>
      </c>
      <c r="M415" s="15" t="s">
        <v>322</v>
      </c>
      <c r="N415" s="15" t="s">
        <v>708</v>
      </c>
      <c r="O415" s="15" t="s">
        <v>694</v>
      </c>
      <c r="P415" s="15" t="s">
        <v>1044</v>
      </c>
      <c r="Q415" s="15" t="s">
        <v>881</v>
      </c>
      <c r="R415" s="15" t="s">
        <v>835</v>
      </c>
      <c r="S415" s="15" t="s">
        <v>348</v>
      </c>
      <c r="T415" s="15" t="s">
        <v>484</v>
      </c>
      <c r="AC415" s="32" t="s">
        <v>885</v>
      </c>
      <c r="AD415" s="33" t="e">
        <f t="shared" si="87"/>
        <v>#N/A</v>
      </c>
      <c r="AE415" s="21" t="str">
        <f t="shared" si="90"/>
        <v>BR_VW_AFS_dv360_DIS_PROG_CPM_STD_LDR_AAF_RON_CXD_After-Sales-Oficina-Classicos-REG05-rmkt-add-to-cart-oficina_PD_300x50</v>
      </c>
      <c r="AF415" s="21" t="str">
        <f t="shared" si="91"/>
        <v>BR_VW_AFS_dv360_DIS_PROG_CPM_STD_LDR_AAF_RON_CXD_After-Sales-Oficina-Classicos-REG05-rmkt-add-to-cart-oficina_PD_300x50</v>
      </c>
      <c r="AG415" s="21" t="str">
        <f t="shared" si="92"/>
        <v>VW_After-Sales-rmkt-add-to-cart-oficina_300x50_After-Sales-Oficina-Classicos-REG05-adserver</v>
      </c>
      <c r="AH415" s="21" t="str">
        <f t="shared" si="93"/>
        <v>https://www.oficinadeclassicos.com.br/index.aspx?utm_source=dv360&amp;utm_medium=Programmatic&amp;utm_content=BR_VW_AFS_dv360_DIS_PROG_CPM_STD_LDR_AAF_RON_CXD_After-Sales-Oficina-Classicos-REG05-rmkt-add-to-cart-oficina_PD_300x50&amp;utm_campaign=BR_AAF_DSY_NONMS_ND_AS_2019Q2APR_AFS_After-Sales&amp;utm_term=%epid!_%ecid!_%eaid!</v>
      </c>
      <c r="AI415" s="21" t="str">
        <f t="shared" si="94"/>
        <v>TAG</v>
      </c>
      <c r="AJ415" s="15" t="str">
        <f t="shared" si="88"/>
        <v>dv360</v>
      </c>
      <c r="AK415" s="15" t="str">
        <f t="shared" si="89"/>
        <v>Programmatic</v>
      </c>
      <c r="AL415" s="21" t="str">
        <f>Campanha!$B$3</f>
        <v>BR_AAF_DSY_NONMS_ND_AS_2019Q2APR_AFS_After-Sales</v>
      </c>
      <c r="AM415" s="21" t="str">
        <f t="shared" si="95"/>
        <v>BR_VW_AFS_dv360_DIS_PROG_CPM_STD_LDR_AAF_RON_CXD_After-Sales-Oficina-Classicos-REG05-rmkt-add-to-cart-oficina_PD_300x50</v>
      </c>
      <c r="AN415" s="15" t="s">
        <v>809</v>
      </c>
    </row>
    <row r="416" spans="2:40" hidden="1" x14ac:dyDescent="0.25">
      <c r="B416" s="15" t="s">
        <v>872</v>
      </c>
      <c r="C416" s="15"/>
      <c r="D416" s="30" t="s">
        <v>873</v>
      </c>
      <c r="E416" s="22">
        <v>44155</v>
      </c>
      <c r="F416" s="22">
        <v>44196</v>
      </c>
      <c r="G416" s="15" t="s">
        <v>674</v>
      </c>
      <c r="H416" s="15" t="s">
        <v>811</v>
      </c>
      <c r="I416" s="15" t="s">
        <v>702</v>
      </c>
      <c r="J416" s="15" t="s">
        <v>325</v>
      </c>
      <c r="K416" s="15" t="s">
        <v>334</v>
      </c>
      <c r="L416" s="15" t="s">
        <v>358</v>
      </c>
      <c r="M416" s="15" t="s">
        <v>322</v>
      </c>
      <c r="N416" s="15" t="s">
        <v>708</v>
      </c>
      <c r="O416" s="15" t="s">
        <v>694</v>
      </c>
      <c r="P416" s="15" t="s">
        <v>1044</v>
      </c>
      <c r="Q416" s="15" t="s">
        <v>881</v>
      </c>
      <c r="R416" s="15" t="s">
        <v>835</v>
      </c>
      <c r="S416" s="15" t="s">
        <v>348</v>
      </c>
      <c r="T416" s="15" t="s">
        <v>478</v>
      </c>
      <c r="AC416" s="32" t="s">
        <v>885</v>
      </c>
      <c r="AD416" s="33" t="e">
        <f t="shared" si="87"/>
        <v>#N/A</v>
      </c>
      <c r="AE416" s="21" t="str">
        <f t="shared" si="90"/>
        <v>BR_VW_AFS_dv360_DIS_PROG_CPM_STD_LDR_AAF_RON_CXD_After-Sales-Oficina-Classicos-REG05-rmkt-add-to-cart-oficina_PD_300x250</v>
      </c>
      <c r="AF416" s="21" t="str">
        <f t="shared" si="91"/>
        <v>BR_VW_AFS_dv360_DIS_PROG_CPM_STD_LDR_AAF_RON_CXD_After-Sales-Oficina-Classicos-REG05-rmkt-add-to-cart-oficina_PD_300x250</v>
      </c>
      <c r="AG416" s="21" t="str">
        <f t="shared" si="92"/>
        <v>VW_After-Sales-rmkt-add-to-cart-oficina_300x250_After-Sales-Oficina-Classicos-REG05-adserver</v>
      </c>
      <c r="AH416" s="21" t="str">
        <f t="shared" si="93"/>
        <v>https://www.oficinadeclassicos.com.br/index.aspx?utm_source=dv360&amp;utm_medium=Programmatic&amp;utm_content=BR_VW_AFS_dv360_DIS_PROG_CPM_STD_LDR_AAF_RON_CXD_After-Sales-Oficina-Classicos-REG05-rmkt-add-to-cart-oficina_PD_300x250&amp;utm_campaign=BR_AAF_DSY_NONMS_ND_AS_2019Q2APR_AFS_After-Sales&amp;utm_term=%epid!_%ecid!_%eaid!</v>
      </c>
      <c r="AI416" s="21" t="str">
        <f t="shared" si="94"/>
        <v>TAG</v>
      </c>
      <c r="AJ416" s="15" t="str">
        <f t="shared" si="88"/>
        <v>dv360</v>
      </c>
      <c r="AK416" s="15" t="str">
        <f t="shared" si="89"/>
        <v>Programmatic</v>
      </c>
      <c r="AL416" s="21" t="str">
        <f>Campanha!$B$3</f>
        <v>BR_AAF_DSY_NONMS_ND_AS_2019Q2APR_AFS_After-Sales</v>
      </c>
      <c r="AM416" s="21" t="str">
        <f t="shared" si="95"/>
        <v>BR_VW_AFS_dv360_DIS_PROG_CPM_STD_LDR_AAF_RON_CXD_After-Sales-Oficina-Classicos-REG05-rmkt-add-to-cart-oficina_PD_300x250</v>
      </c>
      <c r="AN416" s="15" t="s">
        <v>809</v>
      </c>
    </row>
    <row r="417" spans="2:40" hidden="1" x14ac:dyDescent="0.25">
      <c r="B417" s="15" t="s">
        <v>872</v>
      </c>
      <c r="C417" s="15"/>
      <c r="D417" s="30" t="s">
        <v>873</v>
      </c>
      <c r="E417" s="22">
        <v>44155</v>
      </c>
      <c r="F417" s="22">
        <v>44196</v>
      </c>
      <c r="G417" s="15" t="s">
        <v>674</v>
      </c>
      <c r="H417" s="15" t="s">
        <v>811</v>
      </c>
      <c r="I417" s="15" t="s">
        <v>702</v>
      </c>
      <c r="J417" s="15" t="s">
        <v>325</v>
      </c>
      <c r="K417" s="15" t="s">
        <v>334</v>
      </c>
      <c r="L417" s="15" t="s">
        <v>358</v>
      </c>
      <c r="M417" s="15" t="s">
        <v>322</v>
      </c>
      <c r="N417" s="15" t="s">
        <v>708</v>
      </c>
      <c r="O417" s="15" t="s">
        <v>694</v>
      </c>
      <c r="P417" s="15" t="s">
        <v>1044</v>
      </c>
      <c r="Q417" s="15" t="s">
        <v>881</v>
      </c>
      <c r="R417" s="15" t="s">
        <v>835</v>
      </c>
      <c r="S417" s="15" t="s">
        <v>348</v>
      </c>
      <c r="T417" s="15" t="s">
        <v>614</v>
      </c>
      <c r="AC417" s="32" t="s">
        <v>885</v>
      </c>
      <c r="AD417" s="33" t="e">
        <f t="shared" si="87"/>
        <v>#N/A</v>
      </c>
      <c r="AE417" s="21" t="str">
        <f t="shared" si="90"/>
        <v>BR_VW_AFS_dv360_DIS_PROG_CPM_STD_LDR_AAF_RON_CXD_After-Sales-Oficina-Classicos-REG05-rmkt-add-to-cart-oficina_PD_728x90</v>
      </c>
      <c r="AF417" s="21" t="str">
        <f t="shared" si="91"/>
        <v>BR_VW_AFS_dv360_DIS_PROG_CPM_STD_LDR_AAF_RON_CXD_After-Sales-Oficina-Classicos-REG05-rmkt-add-to-cart-oficina_PD_728x90</v>
      </c>
      <c r="AG417" s="21" t="str">
        <f t="shared" si="92"/>
        <v>VW_After-Sales-rmkt-add-to-cart-oficina_728x90_After-Sales-Oficina-Classicos-REG05-adserver</v>
      </c>
      <c r="AH417" s="21" t="str">
        <f t="shared" si="93"/>
        <v>https://www.oficinadeclassicos.com.br/index.aspx?utm_source=dv360&amp;utm_medium=Programmatic&amp;utm_content=BR_VW_AFS_dv360_DIS_PROG_CPM_STD_LDR_AAF_RON_CXD_After-Sales-Oficina-Classicos-REG05-rmkt-add-to-cart-oficina_PD_728x90&amp;utm_campaign=BR_AAF_DSY_NONMS_ND_AS_2019Q2APR_AFS_After-Sales&amp;utm_term=%epid!_%ecid!_%eaid!</v>
      </c>
      <c r="AI417" s="21" t="str">
        <f t="shared" si="94"/>
        <v>TAG</v>
      </c>
      <c r="AJ417" s="15" t="str">
        <f t="shared" si="88"/>
        <v>dv360</v>
      </c>
      <c r="AK417" s="15" t="str">
        <f t="shared" si="89"/>
        <v>Programmatic</v>
      </c>
      <c r="AL417" s="21" t="str">
        <f>Campanha!$B$3</f>
        <v>BR_AAF_DSY_NONMS_ND_AS_2019Q2APR_AFS_After-Sales</v>
      </c>
      <c r="AM417" s="21" t="str">
        <f t="shared" si="95"/>
        <v>BR_VW_AFS_dv360_DIS_PROG_CPM_STD_LDR_AAF_RON_CXD_After-Sales-Oficina-Classicos-REG05-rmkt-add-to-cart-oficina_PD_728x90</v>
      </c>
      <c r="AN417" s="15" t="s">
        <v>809</v>
      </c>
    </row>
    <row r="418" spans="2:40" hidden="1" x14ac:dyDescent="0.25">
      <c r="B418" s="15" t="s">
        <v>872</v>
      </c>
      <c r="C418" s="15"/>
      <c r="D418" s="30" t="s">
        <v>873</v>
      </c>
      <c r="E418" s="22">
        <v>44155</v>
      </c>
      <c r="F418" s="22">
        <v>44196</v>
      </c>
      <c r="G418" s="15" t="s">
        <v>674</v>
      </c>
      <c r="H418" s="15" t="s">
        <v>811</v>
      </c>
      <c r="I418" s="15" t="s">
        <v>702</v>
      </c>
      <c r="J418" s="15" t="s">
        <v>325</v>
      </c>
      <c r="K418" s="15" t="s">
        <v>334</v>
      </c>
      <c r="L418" s="15" t="s">
        <v>358</v>
      </c>
      <c r="M418" s="15" t="s">
        <v>322</v>
      </c>
      <c r="N418" s="15" t="s">
        <v>708</v>
      </c>
      <c r="O418" s="15" t="s">
        <v>694</v>
      </c>
      <c r="P418" s="15" t="s">
        <v>1044</v>
      </c>
      <c r="Q418" s="15" t="s">
        <v>881</v>
      </c>
      <c r="R418" s="15" t="s">
        <v>835</v>
      </c>
      <c r="S418" s="15" t="s">
        <v>348</v>
      </c>
      <c r="T418" s="15" t="s">
        <v>652</v>
      </c>
      <c r="AC418" s="32" t="s">
        <v>885</v>
      </c>
      <c r="AD418" s="33" t="e">
        <f t="shared" si="87"/>
        <v>#N/A</v>
      </c>
      <c r="AE418" s="21" t="str">
        <f t="shared" si="90"/>
        <v>BR_VW_AFS_dv360_DIS_PROG_CPM_STD_LDR_AAF_RON_CXD_After-Sales-Oficina-Classicos-REG05-rmkt-add-to-cart-oficina_PD_970x250</v>
      </c>
      <c r="AF418" s="21" t="str">
        <f t="shared" si="91"/>
        <v>BR_VW_AFS_dv360_DIS_PROG_CPM_STD_LDR_AAF_RON_CXD_After-Sales-Oficina-Classicos-REG05-rmkt-add-to-cart-oficina_PD_970x250</v>
      </c>
      <c r="AG418" s="21" t="str">
        <f t="shared" si="92"/>
        <v>VW_After-Sales-rmkt-add-to-cart-oficina_970x250_After-Sales-Oficina-Classicos-REG05-adserver</v>
      </c>
      <c r="AH418" s="21" t="str">
        <f t="shared" si="93"/>
        <v>https://www.oficinadeclassicos.com.br/index.aspx?utm_source=dv360&amp;utm_medium=Programmatic&amp;utm_content=BR_VW_AFS_dv360_DIS_PROG_CPM_STD_LDR_AAF_RON_CXD_After-Sales-Oficina-Classicos-REG05-rmkt-add-to-cart-oficina_PD_970x250&amp;utm_campaign=BR_AAF_DSY_NONMS_ND_AS_2019Q2APR_AFS_After-Sales&amp;utm_term=%epid!_%ecid!_%eaid!</v>
      </c>
      <c r="AI418" s="21" t="str">
        <f t="shared" si="94"/>
        <v>TAG</v>
      </c>
      <c r="AJ418" s="15" t="str">
        <f t="shared" si="88"/>
        <v>dv360</v>
      </c>
      <c r="AK418" s="15" t="str">
        <f t="shared" si="89"/>
        <v>Programmatic</v>
      </c>
      <c r="AL418" s="21" t="str">
        <f>Campanha!$B$3</f>
        <v>BR_AAF_DSY_NONMS_ND_AS_2019Q2APR_AFS_After-Sales</v>
      </c>
      <c r="AM418" s="21" t="str">
        <f t="shared" si="95"/>
        <v>BR_VW_AFS_dv360_DIS_PROG_CPM_STD_LDR_AAF_RON_CXD_After-Sales-Oficina-Classicos-REG05-rmkt-add-to-cart-oficina_PD_970x250</v>
      </c>
      <c r="AN418" s="15" t="s">
        <v>809</v>
      </c>
    </row>
    <row r="419" spans="2:40" hidden="1" x14ac:dyDescent="0.25">
      <c r="B419" s="15" t="s">
        <v>933</v>
      </c>
      <c r="C419" s="15" t="s">
        <v>1171</v>
      </c>
      <c r="D419" s="30" t="s">
        <v>873</v>
      </c>
      <c r="E419" s="22">
        <v>44155</v>
      </c>
      <c r="F419" s="22">
        <v>44196</v>
      </c>
      <c r="G419" s="15" t="s">
        <v>674</v>
      </c>
      <c r="H419" s="15" t="s">
        <v>811</v>
      </c>
      <c r="I419" s="15" t="s">
        <v>702</v>
      </c>
      <c r="J419" s="15" t="s">
        <v>325</v>
      </c>
      <c r="K419" s="15" t="s">
        <v>334</v>
      </c>
      <c r="L419" s="15" t="s">
        <v>358</v>
      </c>
      <c r="M419" s="15" t="s">
        <v>322</v>
      </c>
      <c r="N419" s="15" t="s">
        <v>708</v>
      </c>
      <c r="O419" s="15" t="s">
        <v>694</v>
      </c>
      <c r="P419" s="15" t="s">
        <v>1045</v>
      </c>
      <c r="Q419" s="15" t="s">
        <v>842</v>
      </c>
      <c r="R419" s="15" t="s">
        <v>835</v>
      </c>
      <c r="S419" s="15" t="s">
        <v>348</v>
      </c>
      <c r="T419" s="15" t="s">
        <v>457</v>
      </c>
      <c r="AC419" s="32" t="s">
        <v>885</v>
      </c>
      <c r="AD419" s="33" t="str">
        <f t="shared" si="87"/>
        <v>289282594</v>
      </c>
      <c r="AE419" s="21" t="str">
        <f t="shared" si="90"/>
        <v>BR_VW_AFS_dv360_DIS_PROG_CPM_STD_LDR_AAF_RON_CXD_After-Sales-Oficina-Classicos-REG06-KWs_PD_160x600</v>
      </c>
      <c r="AF419" s="21" t="str">
        <f t="shared" si="91"/>
        <v>BR_VW_AFS_dv360_DIS_PROG_CPM_STD_LDR_AAF_RON_CXD_After-Sales-Oficina-Classicos-REG06-KWs_PD_160x600</v>
      </c>
      <c r="AG419" s="21" t="str">
        <f t="shared" si="92"/>
        <v>VW_After-Sales-KWs_160x600_After-Sales-Oficina-Classicos-REG06-adserver</v>
      </c>
      <c r="AH419" s="21" t="str">
        <f t="shared" si="93"/>
        <v>https://www.oficinadeclassicos.com.br/index.aspx?utm_source=dv360&amp;utm_medium=Programmatic&amp;utm_content=BR_VW_AFS_dv360_DIS_PROG_CPM_STD_LDR_AAF_RON_CXD_After-Sales-Oficina-Classicos-REG06-KWs_PD_160x600&amp;utm_campaign=BR_AAF_DSY_NONMS_ND_AS_2019Q2APR_AFS_After-Sales&amp;utm_term=%epid!_%ecid!_%eaid!</v>
      </c>
      <c r="AI419" s="21" t="str">
        <f t="shared" si="94"/>
        <v>TAG</v>
      </c>
      <c r="AJ419" s="15" t="str">
        <f t="shared" si="88"/>
        <v>dv360</v>
      </c>
      <c r="AK419" s="15" t="str">
        <f t="shared" si="89"/>
        <v>Programmatic</v>
      </c>
      <c r="AL419" s="21" t="str">
        <f>Campanha!$B$3</f>
        <v>BR_AAF_DSY_NONMS_ND_AS_2019Q2APR_AFS_After-Sales</v>
      </c>
      <c r="AM419" s="21" t="str">
        <f t="shared" si="95"/>
        <v>BR_VW_AFS_dv360_DIS_PROG_CPM_STD_LDR_AAF_RON_CXD_After-Sales-Oficina-Classicos-REG06-KWs_PD_160x600</v>
      </c>
      <c r="AN419" s="15" t="s">
        <v>809</v>
      </c>
    </row>
    <row r="420" spans="2:40" hidden="1" x14ac:dyDescent="0.25">
      <c r="B420" s="15" t="s">
        <v>933</v>
      </c>
      <c r="C420" s="15" t="s">
        <v>1171</v>
      </c>
      <c r="D420" s="30" t="s">
        <v>873</v>
      </c>
      <c r="E420" s="22">
        <v>44155</v>
      </c>
      <c r="F420" s="22">
        <v>44196</v>
      </c>
      <c r="G420" s="15" t="s">
        <v>674</v>
      </c>
      <c r="H420" s="15" t="s">
        <v>811</v>
      </c>
      <c r="I420" s="15" t="s">
        <v>702</v>
      </c>
      <c r="J420" s="15" t="s">
        <v>325</v>
      </c>
      <c r="K420" s="15" t="s">
        <v>334</v>
      </c>
      <c r="L420" s="15" t="s">
        <v>358</v>
      </c>
      <c r="M420" s="15" t="s">
        <v>322</v>
      </c>
      <c r="N420" s="15" t="s">
        <v>708</v>
      </c>
      <c r="O420" s="15" t="s">
        <v>694</v>
      </c>
      <c r="P420" s="15" t="s">
        <v>1045</v>
      </c>
      <c r="Q420" s="15" t="s">
        <v>842</v>
      </c>
      <c r="R420" s="15" t="s">
        <v>835</v>
      </c>
      <c r="S420" s="15" t="s">
        <v>348</v>
      </c>
      <c r="T420" s="15" t="s">
        <v>484</v>
      </c>
      <c r="AC420" s="32" t="s">
        <v>885</v>
      </c>
      <c r="AD420" s="33" t="str">
        <f t="shared" si="87"/>
        <v>289282591</v>
      </c>
      <c r="AE420" s="21" t="str">
        <f t="shared" si="90"/>
        <v>BR_VW_AFS_dv360_DIS_PROG_CPM_STD_LDR_AAF_RON_CXD_After-Sales-Oficina-Classicos-REG06-KWs_PD_300x50</v>
      </c>
      <c r="AF420" s="21" t="str">
        <f t="shared" si="91"/>
        <v>BR_VW_AFS_dv360_DIS_PROG_CPM_STD_LDR_AAF_RON_CXD_After-Sales-Oficina-Classicos-REG06-KWs_PD_300x50</v>
      </c>
      <c r="AG420" s="21" t="str">
        <f t="shared" si="92"/>
        <v>VW_After-Sales-KWs_300x50_After-Sales-Oficina-Classicos-REG06-adserver</v>
      </c>
      <c r="AH420" s="21" t="str">
        <f t="shared" si="93"/>
        <v>https://www.oficinadeclassicos.com.br/index.aspx?utm_source=dv360&amp;utm_medium=Programmatic&amp;utm_content=BR_VW_AFS_dv360_DIS_PROG_CPM_STD_LDR_AAF_RON_CXD_After-Sales-Oficina-Classicos-REG06-KWs_PD_300x50&amp;utm_campaign=BR_AAF_DSY_NONMS_ND_AS_2019Q2APR_AFS_After-Sales&amp;utm_term=%epid!_%ecid!_%eaid!</v>
      </c>
      <c r="AI420" s="21" t="str">
        <f t="shared" si="94"/>
        <v>TAG</v>
      </c>
      <c r="AJ420" s="15" t="str">
        <f t="shared" si="88"/>
        <v>dv360</v>
      </c>
      <c r="AK420" s="15" t="str">
        <f t="shared" si="89"/>
        <v>Programmatic</v>
      </c>
      <c r="AL420" s="21" t="str">
        <f>Campanha!$B$3</f>
        <v>BR_AAF_DSY_NONMS_ND_AS_2019Q2APR_AFS_After-Sales</v>
      </c>
      <c r="AM420" s="21" t="str">
        <f t="shared" si="95"/>
        <v>BR_VW_AFS_dv360_DIS_PROG_CPM_STD_LDR_AAF_RON_CXD_After-Sales-Oficina-Classicos-REG06-KWs_PD_300x50</v>
      </c>
      <c r="AN420" s="15" t="s">
        <v>809</v>
      </c>
    </row>
    <row r="421" spans="2:40" hidden="1" x14ac:dyDescent="0.25">
      <c r="B421" s="15" t="s">
        <v>933</v>
      </c>
      <c r="C421" s="15" t="s">
        <v>1171</v>
      </c>
      <c r="D421" s="30" t="s">
        <v>873</v>
      </c>
      <c r="E421" s="22">
        <v>44155</v>
      </c>
      <c r="F421" s="22">
        <v>44196</v>
      </c>
      <c r="G421" s="15" t="s">
        <v>674</v>
      </c>
      <c r="H421" s="15" t="s">
        <v>811</v>
      </c>
      <c r="I421" s="15" t="s">
        <v>702</v>
      </c>
      <c r="J421" s="15" t="s">
        <v>325</v>
      </c>
      <c r="K421" s="15" t="s">
        <v>334</v>
      </c>
      <c r="L421" s="15" t="s">
        <v>358</v>
      </c>
      <c r="M421" s="15" t="s">
        <v>322</v>
      </c>
      <c r="N421" s="15" t="s">
        <v>708</v>
      </c>
      <c r="O421" s="15" t="s">
        <v>694</v>
      </c>
      <c r="P421" s="15" t="s">
        <v>1045</v>
      </c>
      <c r="Q421" s="15" t="s">
        <v>842</v>
      </c>
      <c r="R421" s="15" t="s">
        <v>835</v>
      </c>
      <c r="S421" s="15" t="s">
        <v>348</v>
      </c>
      <c r="T421" s="15" t="s">
        <v>478</v>
      </c>
      <c r="AC421" s="32" t="s">
        <v>885</v>
      </c>
      <c r="AD421" s="33" t="str">
        <f t="shared" si="87"/>
        <v>289282588</v>
      </c>
      <c r="AE421" s="21" t="str">
        <f t="shared" si="90"/>
        <v>BR_VW_AFS_dv360_DIS_PROG_CPM_STD_LDR_AAF_RON_CXD_After-Sales-Oficina-Classicos-REG06-KWs_PD_300x250</v>
      </c>
      <c r="AF421" s="21" t="str">
        <f t="shared" si="91"/>
        <v>BR_VW_AFS_dv360_DIS_PROG_CPM_STD_LDR_AAF_RON_CXD_After-Sales-Oficina-Classicos-REG06-KWs_PD_300x250</v>
      </c>
      <c r="AG421" s="21" t="str">
        <f t="shared" si="92"/>
        <v>VW_After-Sales-KWs_300x250_After-Sales-Oficina-Classicos-REG06-adserver</v>
      </c>
      <c r="AH421" s="21" t="str">
        <f t="shared" si="93"/>
        <v>https://www.oficinadeclassicos.com.br/index.aspx?utm_source=dv360&amp;utm_medium=Programmatic&amp;utm_content=BR_VW_AFS_dv360_DIS_PROG_CPM_STD_LDR_AAF_RON_CXD_After-Sales-Oficina-Classicos-REG06-KWs_PD_300x250&amp;utm_campaign=BR_AAF_DSY_NONMS_ND_AS_2019Q2APR_AFS_After-Sales&amp;utm_term=%epid!_%ecid!_%eaid!</v>
      </c>
      <c r="AI421" s="21" t="str">
        <f t="shared" si="94"/>
        <v>TAG</v>
      </c>
      <c r="AJ421" s="15" t="str">
        <f t="shared" si="88"/>
        <v>dv360</v>
      </c>
      <c r="AK421" s="15" t="str">
        <f t="shared" si="89"/>
        <v>Programmatic</v>
      </c>
      <c r="AL421" s="21" t="str">
        <f>Campanha!$B$3</f>
        <v>BR_AAF_DSY_NONMS_ND_AS_2019Q2APR_AFS_After-Sales</v>
      </c>
      <c r="AM421" s="21" t="str">
        <f t="shared" si="95"/>
        <v>BR_VW_AFS_dv360_DIS_PROG_CPM_STD_LDR_AAF_RON_CXD_After-Sales-Oficina-Classicos-REG06-KWs_PD_300x250</v>
      </c>
      <c r="AN421" s="15" t="s">
        <v>809</v>
      </c>
    </row>
    <row r="422" spans="2:40" hidden="1" x14ac:dyDescent="0.25">
      <c r="B422" s="15" t="s">
        <v>933</v>
      </c>
      <c r="C422" s="15" t="s">
        <v>1172</v>
      </c>
      <c r="D422" s="30" t="s">
        <v>873</v>
      </c>
      <c r="E422" s="22">
        <v>44155</v>
      </c>
      <c r="F422" s="22">
        <v>44196</v>
      </c>
      <c r="G422" s="15" t="s">
        <v>674</v>
      </c>
      <c r="H422" s="15" t="s">
        <v>811</v>
      </c>
      <c r="I422" s="15" t="s">
        <v>702</v>
      </c>
      <c r="J422" s="15" t="s">
        <v>325</v>
      </c>
      <c r="K422" s="15" t="s">
        <v>334</v>
      </c>
      <c r="L422" s="15" t="s">
        <v>358</v>
      </c>
      <c r="M422" s="15" t="s">
        <v>322</v>
      </c>
      <c r="N422" s="15" t="s">
        <v>708</v>
      </c>
      <c r="O422" s="15" t="s">
        <v>694</v>
      </c>
      <c r="P422" s="15" t="s">
        <v>1045</v>
      </c>
      <c r="Q422" s="15" t="s">
        <v>842</v>
      </c>
      <c r="R422" s="15" t="s">
        <v>835</v>
      </c>
      <c r="S422" s="15" t="s">
        <v>348</v>
      </c>
      <c r="T422" s="15" t="s">
        <v>614</v>
      </c>
      <c r="AC422" s="32" t="s">
        <v>885</v>
      </c>
      <c r="AD422" s="33" t="str">
        <f t="shared" si="87"/>
        <v>289239885</v>
      </c>
      <c r="AE422" s="21" t="str">
        <f t="shared" si="90"/>
        <v>BR_VW_AFS_dv360_DIS_PROG_CPM_STD_LDR_AAF_RON_CXD_After-Sales-Oficina-Classicos-REG06-KWs_PD_728x90</v>
      </c>
      <c r="AF422" s="21" t="str">
        <f t="shared" si="91"/>
        <v>BR_VW_AFS_dv360_DIS_PROG_CPM_STD_LDR_AAF_RON_CXD_After-Sales-Oficina-Classicos-REG06-KWs_PD_728x90</v>
      </c>
      <c r="AG422" s="21" t="str">
        <f t="shared" si="92"/>
        <v>VW_After-Sales-KWs_728x90_After-Sales-Oficina-Classicos-REG06-adserver</v>
      </c>
      <c r="AH422" s="21" t="str">
        <f t="shared" si="93"/>
        <v>https://www.oficinadeclassicos.com.br/index.aspx?utm_source=dv360&amp;utm_medium=Programmatic&amp;utm_content=BR_VW_AFS_dv360_DIS_PROG_CPM_STD_LDR_AAF_RON_CXD_After-Sales-Oficina-Classicos-REG06-KWs_PD_728x90&amp;utm_campaign=BR_AAF_DSY_NONMS_ND_AS_2019Q2APR_AFS_After-Sales&amp;utm_term=%epid!_%ecid!_%eaid!</v>
      </c>
      <c r="AI422" s="21" t="str">
        <f t="shared" si="94"/>
        <v>TAG</v>
      </c>
      <c r="AJ422" s="15" t="str">
        <f t="shared" si="88"/>
        <v>dv360</v>
      </c>
      <c r="AK422" s="15" t="str">
        <f t="shared" si="89"/>
        <v>Programmatic</v>
      </c>
      <c r="AL422" s="21" t="str">
        <f>Campanha!$B$3</f>
        <v>BR_AAF_DSY_NONMS_ND_AS_2019Q2APR_AFS_After-Sales</v>
      </c>
      <c r="AM422" s="21" t="str">
        <f t="shared" si="95"/>
        <v>BR_VW_AFS_dv360_DIS_PROG_CPM_STD_LDR_AAF_RON_CXD_After-Sales-Oficina-Classicos-REG06-KWs_PD_728x90</v>
      </c>
      <c r="AN422" s="15" t="s">
        <v>809</v>
      </c>
    </row>
    <row r="423" spans="2:40" hidden="1" x14ac:dyDescent="0.25">
      <c r="B423" s="15" t="s">
        <v>933</v>
      </c>
      <c r="C423" s="15" t="s">
        <v>1171</v>
      </c>
      <c r="D423" s="30" t="s">
        <v>873</v>
      </c>
      <c r="E423" s="22">
        <v>44155</v>
      </c>
      <c r="F423" s="22">
        <v>44196</v>
      </c>
      <c r="G423" s="15" t="s">
        <v>674</v>
      </c>
      <c r="H423" s="15" t="s">
        <v>811</v>
      </c>
      <c r="I423" s="15" t="s">
        <v>702</v>
      </c>
      <c r="J423" s="15" t="s">
        <v>325</v>
      </c>
      <c r="K423" s="15" t="s">
        <v>334</v>
      </c>
      <c r="L423" s="15" t="s">
        <v>358</v>
      </c>
      <c r="M423" s="15" t="s">
        <v>322</v>
      </c>
      <c r="N423" s="15" t="s">
        <v>708</v>
      </c>
      <c r="O423" s="15" t="s">
        <v>694</v>
      </c>
      <c r="P423" s="15" t="s">
        <v>1045</v>
      </c>
      <c r="Q423" s="15" t="s">
        <v>842</v>
      </c>
      <c r="R423" s="15" t="s">
        <v>835</v>
      </c>
      <c r="S423" s="15" t="s">
        <v>348</v>
      </c>
      <c r="T423" s="15" t="s">
        <v>652</v>
      </c>
      <c r="AC423" s="32" t="s">
        <v>885</v>
      </c>
      <c r="AD423" s="33" t="str">
        <f t="shared" si="87"/>
        <v>289282585</v>
      </c>
      <c r="AE423" s="21" t="str">
        <f t="shared" si="90"/>
        <v>BR_VW_AFS_dv360_DIS_PROG_CPM_STD_LDR_AAF_RON_CXD_After-Sales-Oficina-Classicos-REG06-KWs_PD_970x250</v>
      </c>
      <c r="AF423" s="21" t="str">
        <f t="shared" si="91"/>
        <v>BR_VW_AFS_dv360_DIS_PROG_CPM_STD_LDR_AAF_RON_CXD_After-Sales-Oficina-Classicos-REG06-KWs_PD_970x250</v>
      </c>
      <c r="AG423" s="21" t="str">
        <f t="shared" si="92"/>
        <v>VW_After-Sales-KWs_970x250_After-Sales-Oficina-Classicos-REG06-adserver</v>
      </c>
      <c r="AH423" s="21" t="str">
        <f t="shared" si="93"/>
        <v>https://www.oficinadeclassicos.com.br/index.aspx?utm_source=dv360&amp;utm_medium=Programmatic&amp;utm_content=BR_VW_AFS_dv360_DIS_PROG_CPM_STD_LDR_AAF_RON_CXD_After-Sales-Oficina-Classicos-REG06-KWs_PD_970x250&amp;utm_campaign=BR_AAF_DSY_NONMS_ND_AS_2019Q2APR_AFS_After-Sales&amp;utm_term=%epid!_%ecid!_%eaid!</v>
      </c>
      <c r="AI423" s="21" t="str">
        <f t="shared" si="94"/>
        <v>TAG</v>
      </c>
      <c r="AJ423" s="15" t="str">
        <f t="shared" si="88"/>
        <v>dv360</v>
      </c>
      <c r="AK423" s="15" t="str">
        <f t="shared" si="89"/>
        <v>Programmatic</v>
      </c>
      <c r="AL423" s="21" t="str">
        <f>Campanha!$B$3</f>
        <v>BR_AAF_DSY_NONMS_ND_AS_2019Q2APR_AFS_After-Sales</v>
      </c>
      <c r="AM423" s="21" t="str">
        <f t="shared" si="95"/>
        <v>BR_VW_AFS_dv360_DIS_PROG_CPM_STD_LDR_AAF_RON_CXD_After-Sales-Oficina-Classicos-REG06-KWs_PD_970x250</v>
      </c>
      <c r="AN423" s="15" t="s">
        <v>809</v>
      </c>
    </row>
    <row r="424" spans="2:40" hidden="1" x14ac:dyDescent="0.25">
      <c r="B424" s="15" t="s">
        <v>933</v>
      </c>
      <c r="C424" s="15" t="s">
        <v>1171</v>
      </c>
      <c r="D424" s="30" t="s">
        <v>873</v>
      </c>
      <c r="E424" s="22">
        <v>44155</v>
      </c>
      <c r="F424" s="22">
        <v>44196</v>
      </c>
      <c r="G424" s="15" t="s">
        <v>674</v>
      </c>
      <c r="H424" s="15" t="s">
        <v>811</v>
      </c>
      <c r="I424" s="15" t="s">
        <v>702</v>
      </c>
      <c r="J424" s="15" t="s">
        <v>325</v>
      </c>
      <c r="K424" s="15" t="s">
        <v>334</v>
      </c>
      <c r="L424" s="15" t="s">
        <v>358</v>
      </c>
      <c r="M424" s="15" t="s">
        <v>322</v>
      </c>
      <c r="N424" s="15" t="s">
        <v>708</v>
      </c>
      <c r="O424" s="15" t="s">
        <v>694</v>
      </c>
      <c r="P424" s="15" t="s">
        <v>1045</v>
      </c>
      <c r="Q424" s="15" t="s">
        <v>843</v>
      </c>
      <c r="R424" s="15" t="s">
        <v>835</v>
      </c>
      <c r="S424" s="15" t="s">
        <v>348</v>
      </c>
      <c r="T424" s="15" t="s">
        <v>457</v>
      </c>
      <c r="AC424" s="32" t="s">
        <v>885</v>
      </c>
      <c r="AD424" s="33" t="str">
        <f t="shared" si="87"/>
        <v>289282582</v>
      </c>
      <c r="AE424" s="21" t="str">
        <f t="shared" si="90"/>
        <v>BR_VW_AFS_dv360_DIS_PROG_CPM_STD_LDR_AAF_RON_CXD_After-Sales-Oficina-Classicos-REG06-Categories_PD_160x600</v>
      </c>
      <c r="AF424" s="21" t="str">
        <f t="shared" si="91"/>
        <v>BR_VW_AFS_dv360_DIS_PROG_CPM_STD_LDR_AAF_RON_CXD_After-Sales-Oficina-Classicos-REG06-Categories_PD_160x600</v>
      </c>
      <c r="AG424" s="21" t="str">
        <f t="shared" si="92"/>
        <v>VW_After-Sales-Categories_160x600_After-Sales-Oficina-Classicos-REG06-adserver</v>
      </c>
      <c r="AH424" s="21" t="str">
        <f t="shared" si="93"/>
        <v>https://www.oficinadeclassicos.com.br/index.aspx?utm_source=dv360&amp;utm_medium=Programmatic&amp;utm_content=BR_VW_AFS_dv360_DIS_PROG_CPM_STD_LDR_AAF_RON_CXD_After-Sales-Oficina-Classicos-REG06-Categories_PD_160x600&amp;utm_campaign=BR_AAF_DSY_NONMS_ND_AS_2019Q2APR_AFS_After-Sales&amp;utm_term=%epid!_%ecid!_%eaid!</v>
      </c>
      <c r="AI424" s="21" t="str">
        <f t="shared" si="94"/>
        <v>TAG</v>
      </c>
      <c r="AJ424" s="15" t="str">
        <f t="shared" si="88"/>
        <v>dv360</v>
      </c>
      <c r="AK424" s="15" t="str">
        <f t="shared" si="89"/>
        <v>Programmatic</v>
      </c>
      <c r="AL424" s="21" t="str">
        <f>Campanha!$B$3</f>
        <v>BR_AAF_DSY_NONMS_ND_AS_2019Q2APR_AFS_After-Sales</v>
      </c>
      <c r="AM424" s="21" t="str">
        <f t="shared" si="95"/>
        <v>BR_VW_AFS_dv360_DIS_PROG_CPM_STD_LDR_AAF_RON_CXD_After-Sales-Oficina-Classicos-REG06-Categories_PD_160x600</v>
      </c>
      <c r="AN424" s="15" t="s">
        <v>809</v>
      </c>
    </row>
    <row r="425" spans="2:40" hidden="1" x14ac:dyDescent="0.25">
      <c r="B425" s="15" t="s">
        <v>933</v>
      </c>
      <c r="C425" s="15" t="s">
        <v>1171</v>
      </c>
      <c r="D425" s="30" t="s">
        <v>873</v>
      </c>
      <c r="E425" s="22">
        <v>44155</v>
      </c>
      <c r="F425" s="22">
        <v>44196</v>
      </c>
      <c r="G425" s="15" t="s">
        <v>674</v>
      </c>
      <c r="H425" s="15" t="s">
        <v>811</v>
      </c>
      <c r="I425" s="15" t="s">
        <v>702</v>
      </c>
      <c r="J425" s="15" t="s">
        <v>325</v>
      </c>
      <c r="K425" s="15" t="s">
        <v>334</v>
      </c>
      <c r="L425" s="15" t="s">
        <v>358</v>
      </c>
      <c r="M425" s="15" t="s">
        <v>322</v>
      </c>
      <c r="N425" s="15" t="s">
        <v>708</v>
      </c>
      <c r="O425" s="15" t="s">
        <v>694</v>
      </c>
      <c r="P425" s="15" t="s">
        <v>1045</v>
      </c>
      <c r="Q425" s="15" t="s">
        <v>843</v>
      </c>
      <c r="R425" s="15" t="s">
        <v>835</v>
      </c>
      <c r="S425" s="15" t="s">
        <v>348</v>
      </c>
      <c r="T425" s="15" t="s">
        <v>484</v>
      </c>
      <c r="AC425" s="32" t="s">
        <v>885</v>
      </c>
      <c r="AD425" s="33" t="str">
        <f t="shared" si="87"/>
        <v>289282579</v>
      </c>
      <c r="AE425" s="21" t="str">
        <f t="shared" si="90"/>
        <v>BR_VW_AFS_dv360_DIS_PROG_CPM_STD_LDR_AAF_RON_CXD_After-Sales-Oficina-Classicos-REG06-Categories_PD_300x50</v>
      </c>
      <c r="AF425" s="21" t="str">
        <f t="shared" si="91"/>
        <v>BR_VW_AFS_dv360_DIS_PROG_CPM_STD_LDR_AAF_RON_CXD_After-Sales-Oficina-Classicos-REG06-Categories_PD_300x50</v>
      </c>
      <c r="AG425" s="21" t="str">
        <f t="shared" si="92"/>
        <v>VW_After-Sales-Categories_300x50_After-Sales-Oficina-Classicos-REG06-adserver</v>
      </c>
      <c r="AH425" s="21" t="str">
        <f t="shared" si="93"/>
        <v>https://www.oficinadeclassicos.com.br/index.aspx?utm_source=dv360&amp;utm_medium=Programmatic&amp;utm_content=BR_VW_AFS_dv360_DIS_PROG_CPM_STD_LDR_AAF_RON_CXD_After-Sales-Oficina-Classicos-REG06-Categories_PD_300x50&amp;utm_campaign=BR_AAF_DSY_NONMS_ND_AS_2019Q2APR_AFS_After-Sales&amp;utm_term=%epid!_%ecid!_%eaid!</v>
      </c>
      <c r="AI425" s="21" t="str">
        <f t="shared" si="94"/>
        <v>TAG</v>
      </c>
      <c r="AJ425" s="15" t="str">
        <f t="shared" si="88"/>
        <v>dv360</v>
      </c>
      <c r="AK425" s="15" t="str">
        <f t="shared" si="89"/>
        <v>Programmatic</v>
      </c>
      <c r="AL425" s="21" t="str">
        <f>Campanha!$B$3</f>
        <v>BR_AAF_DSY_NONMS_ND_AS_2019Q2APR_AFS_After-Sales</v>
      </c>
      <c r="AM425" s="21" t="str">
        <f t="shared" si="95"/>
        <v>BR_VW_AFS_dv360_DIS_PROG_CPM_STD_LDR_AAF_RON_CXD_After-Sales-Oficina-Classicos-REG06-Categories_PD_300x50</v>
      </c>
      <c r="AN425" s="15" t="s">
        <v>809</v>
      </c>
    </row>
    <row r="426" spans="2:40" hidden="1" x14ac:dyDescent="0.25">
      <c r="B426" s="15" t="s">
        <v>933</v>
      </c>
      <c r="C426" s="15" t="s">
        <v>1171</v>
      </c>
      <c r="D426" s="30" t="s">
        <v>873</v>
      </c>
      <c r="E426" s="22">
        <v>44155</v>
      </c>
      <c r="F426" s="22">
        <v>44196</v>
      </c>
      <c r="G426" s="15" t="s">
        <v>674</v>
      </c>
      <c r="H426" s="15" t="s">
        <v>811</v>
      </c>
      <c r="I426" s="15" t="s">
        <v>702</v>
      </c>
      <c r="J426" s="15" t="s">
        <v>325</v>
      </c>
      <c r="K426" s="15" t="s">
        <v>334</v>
      </c>
      <c r="L426" s="15" t="s">
        <v>358</v>
      </c>
      <c r="M426" s="15" t="s">
        <v>322</v>
      </c>
      <c r="N426" s="15" t="s">
        <v>708</v>
      </c>
      <c r="O426" s="15" t="s">
        <v>694</v>
      </c>
      <c r="P426" s="15" t="s">
        <v>1045</v>
      </c>
      <c r="Q426" s="15" t="s">
        <v>843</v>
      </c>
      <c r="R426" s="15" t="s">
        <v>835</v>
      </c>
      <c r="S426" s="15" t="s">
        <v>348</v>
      </c>
      <c r="T426" s="15" t="s">
        <v>478</v>
      </c>
      <c r="AC426" s="32" t="s">
        <v>885</v>
      </c>
      <c r="AD426" s="33" t="str">
        <f t="shared" si="87"/>
        <v>289282576</v>
      </c>
      <c r="AE426" s="21" t="str">
        <f t="shared" si="90"/>
        <v>BR_VW_AFS_dv360_DIS_PROG_CPM_STD_LDR_AAF_RON_CXD_After-Sales-Oficina-Classicos-REG06-Categories_PD_300x250</v>
      </c>
      <c r="AF426" s="21" t="str">
        <f t="shared" si="91"/>
        <v>BR_VW_AFS_dv360_DIS_PROG_CPM_STD_LDR_AAF_RON_CXD_After-Sales-Oficina-Classicos-REG06-Categories_PD_300x250</v>
      </c>
      <c r="AG426" s="21" t="str">
        <f t="shared" si="92"/>
        <v>VW_After-Sales-Categories_300x250_After-Sales-Oficina-Classicos-REG06-adserver</v>
      </c>
      <c r="AH426" s="21" t="str">
        <f t="shared" si="93"/>
        <v>https://www.oficinadeclassicos.com.br/index.aspx?utm_source=dv360&amp;utm_medium=Programmatic&amp;utm_content=BR_VW_AFS_dv360_DIS_PROG_CPM_STD_LDR_AAF_RON_CXD_After-Sales-Oficina-Classicos-REG06-Categories_PD_300x250&amp;utm_campaign=BR_AAF_DSY_NONMS_ND_AS_2019Q2APR_AFS_After-Sales&amp;utm_term=%epid!_%ecid!_%eaid!</v>
      </c>
      <c r="AI426" s="21" t="str">
        <f t="shared" si="94"/>
        <v>TAG</v>
      </c>
      <c r="AJ426" s="15" t="str">
        <f t="shared" si="88"/>
        <v>dv360</v>
      </c>
      <c r="AK426" s="15" t="str">
        <f t="shared" si="89"/>
        <v>Programmatic</v>
      </c>
      <c r="AL426" s="21" t="str">
        <f>Campanha!$B$3</f>
        <v>BR_AAF_DSY_NONMS_ND_AS_2019Q2APR_AFS_After-Sales</v>
      </c>
      <c r="AM426" s="21" t="str">
        <f t="shared" si="95"/>
        <v>BR_VW_AFS_dv360_DIS_PROG_CPM_STD_LDR_AAF_RON_CXD_After-Sales-Oficina-Classicos-REG06-Categories_PD_300x250</v>
      </c>
      <c r="AN426" s="15" t="s">
        <v>809</v>
      </c>
    </row>
    <row r="427" spans="2:40" hidden="1" x14ac:dyDescent="0.25">
      <c r="B427" s="15" t="s">
        <v>933</v>
      </c>
      <c r="C427" s="15" t="s">
        <v>1172</v>
      </c>
      <c r="D427" s="30" t="s">
        <v>873</v>
      </c>
      <c r="E427" s="22">
        <v>44155</v>
      </c>
      <c r="F427" s="22">
        <v>44196</v>
      </c>
      <c r="G427" s="15" t="s">
        <v>674</v>
      </c>
      <c r="H427" s="15" t="s">
        <v>811</v>
      </c>
      <c r="I427" s="15" t="s">
        <v>702</v>
      </c>
      <c r="J427" s="15" t="s">
        <v>325</v>
      </c>
      <c r="K427" s="15" t="s">
        <v>334</v>
      </c>
      <c r="L427" s="15" t="s">
        <v>358</v>
      </c>
      <c r="M427" s="15" t="s">
        <v>322</v>
      </c>
      <c r="N427" s="15" t="s">
        <v>708</v>
      </c>
      <c r="O427" s="15" t="s">
        <v>694</v>
      </c>
      <c r="P427" s="15" t="s">
        <v>1045</v>
      </c>
      <c r="Q427" s="15" t="s">
        <v>843</v>
      </c>
      <c r="R427" s="15" t="s">
        <v>835</v>
      </c>
      <c r="S427" s="15" t="s">
        <v>348</v>
      </c>
      <c r="T427" s="15" t="s">
        <v>614</v>
      </c>
      <c r="AC427" s="32" t="s">
        <v>885</v>
      </c>
      <c r="AD427" s="33" t="str">
        <f t="shared" si="87"/>
        <v>289239882</v>
      </c>
      <c r="AE427" s="21" t="str">
        <f t="shared" si="90"/>
        <v>BR_VW_AFS_dv360_DIS_PROG_CPM_STD_LDR_AAF_RON_CXD_After-Sales-Oficina-Classicos-REG06-Categories_PD_728x90</v>
      </c>
      <c r="AF427" s="21" t="str">
        <f t="shared" si="91"/>
        <v>BR_VW_AFS_dv360_DIS_PROG_CPM_STD_LDR_AAF_RON_CXD_After-Sales-Oficina-Classicos-REG06-Categories_PD_728x90</v>
      </c>
      <c r="AG427" s="21" t="str">
        <f t="shared" si="92"/>
        <v>VW_After-Sales-Categories_728x90_After-Sales-Oficina-Classicos-REG06-adserver</v>
      </c>
      <c r="AH427" s="21" t="str">
        <f t="shared" si="93"/>
        <v>https://www.oficinadeclassicos.com.br/index.aspx?utm_source=dv360&amp;utm_medium=Programmatic&amp;utm_content=BR_VW_AFS_dv360_DIS_PROG_CPM_STD_LDR_AAF_RON_CXD_After-Sales-Oficina-Classicos-REG06-Categories_PD_728x90&amp;utm_campaign=BR_AAF_DSY_NONMS_ND_AS_2019Q2APR_AFS_After-Sales&amp;utm_term=%epid!_%ecid!_%eaid!</v>
      </c>
      <c r="AI427" s="21" t="str">
        <f t="shared" si="94"/>
        <v>TAG</v>
      </c>
      <c r="AJ427" s="15" t="str">
        <f t="shared" si="88"/>
        <v>dv360</v>
      </c>
      <c r="AK427" s="15" t="str">
        <f t="shared" si="89"/>
        <v>Programmatic</v>
      </c>
      <c r="AL427" s="21" t="str">
        <f>Campanha!$B$3</f>
        <v>BR_AAF_DSY_NONMS_ND_AS_2019Q2APR_AFS_After-Sales</v>
      </c>
      <c r="AM427" s="21" t="str">
        <f t="shared" si="95"/>
        <v>BR_VW_AFS_dv360_DIS_PROG_CPM_STD_LDR_AAF_RON_CXD_After-Sales-Oficina-Classicos-REG06-Categories_PD_728x90</v>
      </c>
      <c r="AN427" s="15" t="s">
        <v>809</v>
      </c>
    </row>
    <row r="428" spans="2:40" hidden="1" x14ac:dyDescent="0.25">
      <c r="B428" s="15" t="s">
        <v>933</v>
      </c>
      <c r="C428" s="15" t="s">
        <v>1171</v>
      </c>
      <c r="D428" s="30" t="s">
        <v>873</v>
      </c>
      <c r="E428" s="22">
        <v>44155</v>
      </c>
      <c r="F428" s="22">
        <v>44196</v>
      </c>
      <c r="G428" s="15" t="s">
        <v>674</v>
      </c>
      <c r="H428" s="15" t="s">
        <v>811</v>
      </c>
      <c r="I428" s="15" t="s">
        <v>702</v>
      </c>
      <c r="J428" s="15" t="s">
        <v>325</v>
      </c>
      <c r="K428" s="15" t="s">
        <v>334</v>
      </c>
      <c r="L428" s="15" t="s">
        <v>358</v>
      </c>
      <c r="M428" s="15" t="s">
        <v>322</v>
      </c>
      <c r="N428" s="15" t="s">
        <v>708</v>
      </c>
      <c r="O428" s="15" t="s">
        <v>694</v>
      </c>
      <c r="P428" s="15" t="s">
        <v>1045</v>
      </c>
      <c r="Q428" s="15" t="s">
        <v>843</v>
      </c>
      <c r="R428" s="15" t="s">
        <v>835</v>
      </c>
      <c r="S428" s="15" t="s">
        <v>348</v>
      </c>
      <c r="T428" s="15" t="s">
        <v>652</v>
      </c>
      <c r="AC428" s="32" t="s">
        <v>885</v>
      </c>
      <c r="AD428" s="33" t="str">
        <f t="shared" si="87"/>
        <v>289282573</v>
      </c>
      <c r="AE428" s="21" t="str">
        <f t="shared" si="90"/>
        <v>BR_VW_AFS_dv360_DIS_PROG_CPM_STD_LDR_AAF_RON_CXD_After-Sales-Oficina-Classicos-REG06-Categories_PD_970x250</v>
      </c>
      <c r="AF428" s="21" t="str">
        <f t="shared" si="91"/>
        <v>BR_VW_AFS_dv360_DIS_PROG_CPM_STD_LDR_AAF_RON_CXD_After-Sales-Oficina-Classicos-REG06-Categories_PD_970x250</v>
      </c>
      <c r="AG428" s="21" t="str">
        <f t="shared" si="92"/>
        <v>VW_After-Sales-Categories_970x250_After-Sales-Oficina-Classicos-REG06-adserver</v>
      </c>
      <c r="AH428" s="21" t="str">
        <f t="shared" si="93"/>
        <v>https://www.oficinadeclassicos.com.br/index.aspx?utm_source=dv360&amp;utm_medium=Programmatic&amp;utm_content=BR_VW_AFS_dv360_DIS_PROG_CPM_STD_LDR_AAF_RON_CXD_After-Sales-Oficina-Classicos-REG06-Categories_PD_970x250&amp;utm_campaign=BR_AAF_DSY_NONMS_ND_AS_2019Q2APR_AFS_After-Sales&amp;utm_term=%epid!_%ecid!_%eaid!</v>
      </c>
      <c r="AI428" s="21" t="str">
        <f t="shared" si="94"/>
        <v>TAG</v>
      </c>
      <c r="AJ428" s="15" t="str">
        <f t="shared" si="88"/>
        <v>dv360</v>
      </c>
      <c r="AK428" s="15" t="str">
        <f t="shared" si="89"/>
        <v>Programmatic</v>
      </c>
      <c r="AL428" s="21" t="str">
        <f>Campanha!$B$3</f>
        <v>BR_AAF_DSY_NONMS_ND_AS_2019Q2APR_AFS_After-Sales</v>
      </c>
      <c r="AM428" s="21" t="str">
        <f t="shared" si="95"/>
        <v>BR_VW_AFS_dv360_DIS_PROG_CPM_STD_LDR_AAF_RON_CXD_After-Sales-Oficina-Classicos-REG06-Categories_PD_970x250</v>
      </c>
      <c r="AN428" s="15" t="s">
        <v>809</v>
      </c>
    </row>
    <row r="429" spans="2:40" hidden="1" x14ac:dyDescent="0.25">
      <c r="B429" s="15" t="s">
        <v>933</v>
      </c>
      <c r="C429" s="15" t="s">
        <v>1171</v>
      </c>
      <c r="D429" s="30" t="s">
        <v>873</v>
      </c>
      <c r="E429" s="22">
        <v>44155</v>
      </c>
      <c r="F429" s="22">
        <v>44196</v>
      </c>
      <c r="G429" s="15" t="s">
        <v>674</v>
      </c>
      <c r="H429" s="15" t="s">
        <v>811</v>
      </c>
      <c r="I429" s="15" t="s">
        <v>702</v>
      </c>
      <c r="J429" s="15" t="s">
        <v>325</v>
      </c>
      <c r="K429" s="15" t="s">
        <v>334</v>
      </c>
      <c r="L429" s="15" t="s">
        <v>358</v>
      </c>
      <c r="M429" s="15" t="s">
        <v>322</v>
      </c>
      <c r="N429" s="15" t="s">
        <v>708</v>
      </c>
      <c r="O429" s="15" t="s">
        <v>694</v>
      </c>
      <c r="P429" s="15" t="s">
        <v>1045</v>
      </c>
      <c r="Q429" s="15" t="s">
        <v>871</v>
      </c>
      <c r="R429" s="15" t="s">
        <v>835</v>
      </c>
      <c r="S429" s="15" t="s">
        <v>348</v>
      </c>
      <c r="T429" s="15" t="s">
        <v>457</v>
      </c>
      <c r="AC429" s="32" t="s">
        <v>885</v>
      </c>
      <c r="AD429" s="33" t="str">
        <f t="shared" si="87"/>
        <v>289178085</v>
      </c>
      <c r="AE429" s="21" t="str">
        <f t="shared" si="90"/>
        <v>BR_VW_AFS_dv360_DIS_PROG_CPM_STD_LDR_AAF_RON_CXD_After-Sales-Oficina-Classicos-REG06-In-Market_PD_160x600</v>
      </c>
      <c r="AF429" s="21" t="str">
        <f t="shared" si="91"/>
        <v>BR_VW_AFS_dv360_DIS_PROG_CPM_STD_LDR_AAF_RON_CXD_After-Sales-Oficina-Classicos-REG06-In-Market_PD_160x600</v>
      </c>
      <c r="AG429" s="21" t="str">
        <f t="shared" si="92"/>
        <v>VW_After-Sales-In-Market_160x600_After-Sales-Oficina-Classicos-REG06-adserver</v>
      </c>
      <c r="AH429" s="21" t="str">
        <f t="shared" si="93"/>
        <v>https://www.oficinadeclassicos.com.br/index.aspx?utm_source=dv360&amp;utm_medium=Programmatic&amp;utm_content=BR_VW_AFS_dv360_DIS_PROG_CPM_STD_LDR_AAF_RON_CXD_After-Sales-Oficina-Classicos-REG06-In-Market_PD_160x600&amp;utm_campaign=BR_AAF_DSY_NONMS_ND_AS_2019Q2APR_AFS_After-Sales&amp;utm_term=%epid!_%ecid!_%eaid!</v>
      </c>
      <c r="AI429" s="21" t="str">
        <f t="shared" si="94"/>
        <v>TAG</v>
      </c>
      <c r="AJ429" s="15" t="str">
        <f t="shared" si="88"/>
        <v>dv360</v>
      </c>
      <c r="AK429" s="15" t="str">
        <f t="shared" si="89"/>
        <v>Programmatic</v>
      </c>
      <c r="AL429" s="21" t="str">
        <f>Campanha!$B$3</f>
        <v>BR_AAF_DSY_NONMS_ND_AS_2019Q2APR_AFS_After-Sales</v>
      </c>
      <c r="AM429" s="21" t="str">
        <f t="shared" si="95"/>
        <v>BR_VW_AFS_dv360_DIS_PROG_CPM_STD_LDR_AAF_RON_CXD_After-Sales-Oficina-Classicos-REG06-In-Market_PD_160x600</v>
      </c>
      <c r="AN429" s="15" t="s">
        <v>809</v>
      </c>
    </row>
    <row r="430" spans="2:40" hidden="1" x14ac:dyDescent="0.25">
      <c r="B430" s="15" t="s">
        <v>933</v>
      </c>
      <c r="C430" s="15" t="s">
        <v>1171</v>
      </c>
      <c r="D430" s="30" t="s">
        <v>873</v>
      </c>
      <c r="E430" s="22">
        <v>44155</v>
      </c>
      <c r="F430" s="22">
        <v>44196</v>
      </c>
      <c r="G430" s="15" t="s">
        <v>674</v>
      </c>
      <c r="H430" s="15" t="s">
        <v>811</v>
      </c>
      <c r="I430" s="15" t="s">
        <v>702</v>
      </c>
      <c r="J430" s="15" t="s">
        <v>325</v>
      </c>
      <c r="K430" s="15" t="s">
        <v>334</v>
      </c>
      <c r="L430" s="15" t="s">
        <v>358</v>
      </c>
      <c r="M430" s="15" t="s">
        <v>322</v>
      </c>
      <c r="N430" s="15" t="s">
        <v>708</v>
      </c>
      <c r="O430" s="15" t="s">
        <v>694</v>
      </c>
      <c r="P430" s="15" t="s">
        <v>1045</v>
      </c>
      <c r="Q430" s="15" t="s">
        <v>871</v>
      </c>
      <c r="R430" s="15" t="s">
        <v>835</v>
      </c>
      <c r="S430" s="15" t="s">
        <v>348</v>
      </c>
      <c r="T430" s="15" t="s">
        <v>484</v>
      </c>
      <c r="AC430" s="32" t="s">
        <v>885</v>
      </c>
      <c r="AD430" s="33" t="str">
        <f t="shared" si="87"/>
        <v>289178082</v>
      </c>
      <c r="AE430" s="21" t="str">
        <f t="shared" si="90"/>
        <v>BR_VW_AFS_dv360_DIS_PROG_CPM_STD_LDR_AAF_RON_CXD_After-Sales-Oficina-Classicos-REG06-In-Market_PD_300x50</v>
      </c>
      <c r="AF430" s="21" t="str">
        <f t="shared" si="91"/>
        <v>BR_VW_AFS_dv360_DIS_PROG_CPM_STD_LDR_AAF_RON_CXD_After-Sales-Oficina-Classicos-REG06-In-Market_PD_300x50</v>
      </c>
      <c r="AG430" s="21" t="str">
        <f t="shared" si="92"/>
        <v>VW_After-Sales-In-Market_300x50_After-Sales-Oficina-Classicos-REG06-adserver</v>
      </c>
      <c r="AH430" s="21" t="str">
        <f t="shared" si="93"/>
        <v>https://www.oficinadeclassicos.com.br/index.aspx?utm_source=dv360&amp;utm_medium=Programmatic&amp;utm_content=BR_VW_AFS_dv360_DIS_PROG_CPM_STD_LDR_AAF_RON_CXD_After-Sales-Oficina-Classicos-REG06-In-Market_PD_300x50&amp;utm_campaign=BR_AAF_DSY_NONMS_ND_AS_2019Q2APR_AFS_After-Sales&amp;utm_term=%epid!_%ecid!_%eaid!</v>
      </c>
      <c r="AI430" s="21" t="str">
        <f t="shared" si="94"/>
        <v>TAG</v>
      </c>
      <c r="AJ430" s="15" t="str">
        <f t="shared" si="88"/>
        <v>dv360</v>
      </c>
      <c r="AK430" s="15" t="str">
        <f t="shared" si="89"/>
        <v>Programmatic</v>
      </c>
      <c r="AL430" s="21" t="str">
        <f>Campanha!$B$3</f>
        <v>BR_AAF_DSY_NONMS_ND_AS_2019Q2APR_AFS_After-Sales</v>
      </c>
      <c r="AM430" s="21" t="str">
        <f t="shared" si="95"/>
        <v>BR_VW_AFS_dv360_DIS_PROG_CPM_STD_LDR_AAF_RON_CXD_After-Sales-Oficina-Classicos-REG06-In-Market_PD_300x50</v>
      </c>
      <c r="AN430" s="15" t="s">
        <v>809</v>
      </c>
    </row>
    <row r="431" spans="2:40" hidden="1" x14ac:dyDescent="0.25">
      <c r="B431" s="15" t="s">
        <v>933</v>
      </c>
      <c r="C431" s="15" t="s">
        <v>1171</v>
      </c>
      <c r="D431" s="30" t="s">
        <v>873</v>
      </c>
      <c r="E431" s="22">
        <v>44155</v>
      </c>
      <c r="F431" s="22">
        <v>44196</v>
      </c>
      <c r="G431" s="15" t="s">
        <v>674</v>
      </c>
      <c r="H431" s="15" t="s">
        <v>811</v>
      </c>
      <c r="I431" s="15" t="s">
        <v>702</v>
      </c>
      <c r="J431" s="15" t="s">
        <v>325</v>
      </c>
      <c r="K431" s="15" t="s">
        <v>334</v>
      </c>
      <c r="L431" s="15" t="s">
        <v>358</v>
      </c>
      <c r="M431" s="15" t="s">
        <v>322</v>
      </c>
      <c r="N431" s="15" t="s">
        <v>708</v>
      </c>
      <c r="O431" s="15" t="s">
        <v>694</v>
      </c>
      <c r="P431" s="15" t="s">
        <v>1045</v>
      </c>
      <c r="Q431" s="15" t="s">
        <v>871</v>
      </c>
      <c r="R431" s="15" t="s">
        <v>835</v>
      </c>
      <c r="S431" s="15" t="s">
        <v>348</v>
      </c>
      <c r="T431" s="15" t="s">
        <v>478</v>
      </c>
      <c r="AC431" s="32" t="s">
        <v>885</v>
      </c>
      <c r="AD431" s="33" t="str">
        <f t="shared" si="87"/>
        <v>289178079</v>
      </c>
      <c r="AE431" s="21" t="str">
        <f t="shared" si="90"/>
        <v>BR_VW_AFS_dv360_DIS_PROG_CPM_STD_LDR_AAF_RON_CXD_After-Sales-Oficina-Classicos-REG06-In-Market_PD_300x250</v>
      </c>
      <c r="AF431" s="21" t="str">
        <f t="shared" si="91"/>
        <v>BR_VW_AFS_dv360_DIS_PROG_CPM_STD_LDR_AAF_RON_CXD_After-Sales-Oficina-Classicos-REG06-In-Market_PD_300x250</v>
      </c>
      <c r="AG431" s="21" t="str">
        <f t="shared" si="92"/>
        <v>VW_After-Sales-In-Market_300x250_After-Sales-Oficina-Classicos-REG06-adserver</v>
      </c>
      <c r="AH431" s="21" t="str">
        <f t="shared" si="93"/>
        <v>https://www.oficinadeclassicos.com.br/index.aspx?utm_source=dv360&amp;utm_medium=Programmatic&amp;utm_content=BR_VW_AFS_dv360_DIS_PROG_CPM_STD_LDR_AAF_RON_CXD_After-Sales-Oficina-Classicos-REG06-In-Market_PD_300x250&amp;utm_campaign=BR_AAF_DSY_NONMS_ND_AS_2019Q2APR_AFS_After-Sales&amp;utm_term=%epid!_%ecid!_%eaid!</v>
      </c>
      <c r="AI431" s="21" t="str">
        <f t="shared" si="94"/>
        <v>TAG</v>
      </c>
      <c r="AJ431" s="15" t="str">
        <f t="shared" si="88"/>
        <v>dv360</v>
      </c>
      <c r="AK431" s="15" t="str">
        <f t="shared" si="89"/>
        <v>Programmatic</v>
      </c>
      <c r="AL431" s="21" t="str">
        <f>Campanha!$B$3</f>
        <v>BR_AAF_DSY_NONMS_ND_AS_2019Q2APR_AFS_After-Sales</v>
      </c>
      <c r="AM431" s="21" t="str">
        <f t="shared" si="95"/>
        <v>BR_VW_AFS_dv360_DIS_PROG_CPM_STD_LDR_AAF_RON_CXD_After-Sales-Oficina-Classicos-REG06-In-Market_PD_300x250</v>
      </c>
      <c r="AN431" s="15" t="s">
        <v>809</v>
      </c>
    </row>
    <row r="432" spans="2:40" hidden="1" x14ac:dyDescent="0.25">
      <c r="B432" s="15" t="s">
        <v>933</v>
      </c>
      <c r="C432" s="15" t="s">
        <v>1172</v>
      </c>
      <c r="D432" s="30" t="s">
        <v>873</v>
      </c>
      <c r="E432" s="22">
        <v>44155</v>
      </c>
      <c r="F432" s="22">
        <v>44196</v>
      </c>
      <c r="G432" s="15" t="s">
        <v>674</v>
      </c>
      <c r="H432" s="15" t="s">
        <v>811</v>
      </c>
      <c r="I432" s="15" t="s">
        <v>702</v>
      </c>
      <c r="J432" s="15" t="s">
        <v>325</v>
      </c>
      <c r="K432" s="15" t="s">
        <v>334</v>
      </c>
      <c r="L432" s="15" t="s">
        <v>358</v>
      </c>
      <c r="M432" s="15" t="s">
        <v>322</v>
      </c>
      <c r="N432" s="15" t="s">
        <v>708</v>
      </c>
      <c r="O432" s="15" t="s">
        <v>694</v>
      </c>
      <c r="P432" s="15" t="s">
        <v>1045</v>
      </c>
      <c r="Q432" s="15" t="s">
        <v>871</v>
      </c>
      <c r="R432" s="15" t="s">
        <v>835</v>
      </c>
      <c r="S432" s="15" t="s">
        <v>348</v>
      </c>
      <c r="T432" s="15" t="s">
        <v>614</v>
      </c>
      <c r="AC432" s="32" t="s">
        <v>885</v>
      </c>
      <c r="AD432" s="33" t="str">
        <f t="shared" si="87"/>
        <v>289239879</v>
      </c>
      <c r="AE432" s="21" t="str">
        <f t="shared" si="90"/>
        <v>BR_VW_AFS_dv360_DIS_PROG_CPM_STD_LDR_AAF_RON_CXD_After-Sales-Oficina-Classicos-REG06-In-Market_PD_728x90</v>
      </c>
      <c r="AF432" s="21" t="str">
        <f t="shared" si="91"/>
        <v>BR_VW_AFS_dv360_DIS_PROG_CPM_STD_LDR_AAF_RON_CXD_After-Sales-Oficina-Classicos-REG06-In-Market_PD_728x90</v>
      </c>
      <c r="AG432" s="21" t="str">
        <f t="shared" si="92"/>
        <v>VW_After-Sales-In-Market_728x90_After-Sales-Oficina-Classicos-REG06-adserver</v>
      </c>
      <c r="AH432" s="21" t="str">
        <f t="shared" si="93"/>
        <v>https://www.oficinadeclassicos.com.br/index.aspx?utm_source=dv360&amp;utm_medium=Programmatic&amp;utm_content=BR_VW_AFS_dv360_DIS_PROG_CPM_STD_LDR_AAF_RON_CXD_After-Sales-Oficina-Classicos-REG06-In-Market_PD_728x90&amp;utm_campaign=BR_AAF_DSY_NONMS_ND_AS_2019Q2APR_AFS_After-Sales&amp;utm_term=%epid!_%ecid!_%eaid!</v>
      </c>
      <c r="AI432" s="21" t="str">
        <f t="shared" si="94"/>
        <v>TAG</v>
      </c>
      <c r="AJ432" s="15" t="str">
        <f t="shared" si="88"/>
        <v>dv360</v>
      </c>
      <c r="AK432" s="15" t="str">
        <f t="shared" si="89"/>
        <v>Programmatic</v>
      </c>
      <c r="AL432" s="21" t="str">
        <f>Campanha!$B$3</f>
        <v>BR_AAF_DSY_NONMS_ND_AS_2019Q2APR_AFS_After-Sales</v>
      </c>
      <c r="AM432" s="21" t="str">
        <f t="shared" si="95"/>
        <v>BR_VW_AFS_dv360_DIS_PROG_CPM_STD_LDR_AAF_RON_CXD_After-Sales-Oficina-Classicos-REG06-In-Market_PD_728x90</v>
      </c>
      <c r="AN432" s="15" t="s">
        <v>809</v>
      </c>
    </row>
    <row r="433" spans="2:40" hidden="1" x14ac:dyDescent="0.25">
      <c r="B433" s="15" t="s">
        <v>933</v>
      </c>
      <c r="C433" s="15" t="s">
        <v>1171</v>
      </c>
      <c r="D433" s="30" t="s">
        <v>873</v>
      </c>
      <c r="E433" s="22">
        <v>44155</v>
      </c>
      <c r="F433" s="22">
        <v>44196</v>
      </c>
      <c r="G433" s="15" t="s">
        <v>674</v>
      </c>
      <c r="H433" s="15" t="s">
        <v>811</v>
      </c>
      <c r="I433" s="15" t="s">
        <v>702</v>
      </c>
      <c r="J433" s="15" t="s">
        <v>325</v>
      </c>
      <c r="K433" s="15" t="s">
        <v>334</v>
      </c>
      <c r="L433" s="15" t="s">
        <v>358</v>
      </c>
      <c r="M433" s="15" t="s">
        <v>322</v>
      </c>
      <c r="N433" s="15" t="s">
        <v>708</v>
      </c>
      <c r="O433" s="15" t="s">
        <v>694</v>
      </c>
      <c r="P433" s="15" t="s">
        <v>1045</v>
      </c>
      <c r="Q433" s="15" t="s">
        <v>871</v>
      </c>
      <c r="R433" s="15" t="s">
        <v>835</v>
      </c>
      <c r="S433" s="15" t="s">
        <v>348</v>
      </c>
      <c r="T433" s="15" t="s">
        <v>652</v>
      </c>
      <c r="AC433" s="32" t="s">
        <v>885</v>
      </c>
      <c r="AD433" s="33" t="str">
        <f t="shared" si="87"/>
        <v>289178076</v>
      </c>
      <c r="AE433" s="21" t="str">
        <f t="shared" si="90"/>
        <v>BR_VW_AFS_dv360_DIS_PROG_CPM_STD_LDR_AAF_RON_CXD_After-Sales-Oficina-Classicos-REG06-In-Market_PD_970x250</v>
      </c>
      <c r="AF433" s="21" t="str">
        <f t="shared" si="91"/>
        <v>BR_VW_AFS_dv360_DIS_PROG_CPM_STD_LDR_AAF_RON_CXD_After-Sales-Oficina-Classicos-REG06-In-Market_PD_970x250</v>
      </c>
      <c r="AG433" s="21" t="str">
        <f t="shared" si="92"/>
        <v>VW_After-Sales-In-Market_970x250_After-Sales-Oficina-Classicos-REG06-adserver</v>
      </c>
      <c r="AH433" s="21" t="str">
        <f t="shared" si="93"/>
        <v>https://www.oficinadeclassicos.com.br/index.aspx?utm_source=dv360&amp;utm_medium=Programmatic&amp;utm_content=BR_VW_AFS_dv360_DIS_PROG_CPM_STD_LDR_AAF_RON_CXD_After-Sales-Oficina-Classicos-REG06-In-Market_PD_970x250&amp;utm_campaign=BR_AAF_DSY_NONMS_ND_AS_2019Q2APR_AFS_After-Sales&amp;utm_term=%epid!_%ecid!_%eaid!</v>
      </c>
      <c r="AI433" s="21" t="str">
        <f t="shared" si="94"/>
        <v>TAG</v>
      </c>
      <c r="AJ433" s="15" t="str">
        <f t="shared" si="88"/>
        <v>dv360</v>
      </c>
      <c r="AK433" s="15" t="str">
        <f t="shared" si="89"/>
        <v>Programmatic</v>
      </c>
      <c r="AL433" s="21" t="str">
        <f>Campanha!$B$3</f>
        <v>BR_AAF_DSY_NONMS_ND_AS_2019Q2APR_AFS_After-Sales</v>
      </c>
      <c r="AM433" s="21" t="str">
        <f t="shared" si="95"/>
        <v>BR_VW_AFS_dv360_DIS_PROG_CPM_STD_LDR_AAF_RON_CXD_After-Sales-Oficina-Classicos-REG06-In-Market_PD_970x250</v>
      </c>
      <c r="AN433" s="15" t="s">
        <v>809</v>
      </c>
    </row>
    <row r="434" spans="2:40" hidden="1" x14ac:dyDescent="0.25">
      <c r="B434" s="15" t="s">
        <v>933</v>
      </c>
      <c r="C434" s="15" t="s">
        <v>1171</v>
      </c>
      <c r="D434" s="30" t="s">
        <v>873</v>
      </c>
      <c r="E434" s="22">
        <v>44155</v>
      </c>
      <c r="F434" s="22">
        <v>44196</v>
      </c>
      <c r="G434" s="15" t="s">
        <v>674</v>
      </c>
      <c r="H434" s="15" t="s">
        <v>811</v>
      </c>
      <c r="I434" s="15" t="s">
        <v>702</v>
      </c>
      <c r="J434" s="15" t="s">
        <v>325</v>
      </c>
      <c r="K434" s="15" t="s">
        <v>334</v>
      </c>
      <c r="L434" s="15" t="s">
        <v>358</v>
      </c>
      <c r="M434" s="15" t="s">
        <v>322</v>
      </c>
      <c r="N434" s="15" t="s">
        <v>708</v>
      </c>
      <c r="O434" s="15" t="s">
        <v>694</v>
      </c>
      <c r="P434" s="15" t="s">
        <v>1045</v>
      </c>
      <c r="Q434" s="15" t="s">
        <v>1039</v>
      </c>
      <c r="R434" s="15" t="s">
        <v>835</v>
      </c>
      <c r="S434" s="15" t="s">
        <v>348</v>
      </c>
      <c r="T434" s="15" t="s">
        <v>457</v>
      </c>
      <c r="AC434" s="32" t="s">
        <v>885</v>
      </c>
      <c r="AD434" s="33" t="str">
        <f t="shared" si="87"/>
        <v>289178073</v>
      </c>
      <c r="AE434" s="21" t="str">
        <f t="shared" si="90"/>
        <v>BR_VW_AFS_dv360_DIS_PROG_CPM_STD_LDR_AAF_RON_CXD_After-Sales-Oficina-Classicos-REG06-3rdparty_PD_160x600</v>
      </c>
      <c r="AF434" s="21" t="str">
        <f t="shared" si="91"/>
        <v>BR_VW_AFS_dv360_DIS_PROG_CPM_STD_LDR_AAF_RON_CXD_After-Sales-Oficina-Classicos-REG06-3rdparty_PD_160x600</v>
      </c>
      <c r="AG434" s="21" t="str">
        <f t="shared" si="92"/>
        <v>VW_After-Sales-3rdparty_160x600_After-Sales-Oficina-Classicos-REG06-adserver</v>
      </c>
      <c r="AH434" s="21" t="str">
        <f t="shared" si="93"/>
        <v>https://www.oficinadeclassicos.com.br/index.aspx?utm_source=dv360&amp;utm_medium=Programmatic&amp;utm_content=BR_VW_AFS_dv360_DIS_PROG_CPM_STD_LDR_AAF_RON_CXD_After-Sales-Oficina-Classicos-REG06-3rdparty_PD_160x600&amp;utm_campaign=BR_AAF_DSY_NONMS_ND_AS_2019Q2APR_AFS_After-Sales&amp;utm_term=%epid!_%ecid!_%eaid!</v>
      </c>
      <c r="AI434" s="21" t="str">
        <f t="shared" si="94"/>
        <v>TAG</v>
      </c>
      <c r="AJ434" s="15" t="str">
        <f t="shared" si="88"/>
        <v>dv360</v>
      </c>
      <c r="AK434" s="15" t="str">
        <f t="shared" si="89"/>
        <v>Programmatic</v>
      </c>
      <c r="AL434" s="21" t="str">
        <f>Campanha!$B$3</f>
        <v>BR_AAF_DSY_NONMS_ND_AS_2019Q2APR_AFS_After-Sales</v>
      </c>
      <c r="AM434" s="21" t="str">
        <f t="shared" si="95"/>
        <v>BR_VW_AFS_dv360_DIS_PROG_CPM_STD_LDR_AAF_RON_CXD_After-Sales-Oficina-Classicos-REG06-3rdparty_PD_160x600</v>
      </c>
      <c r="AN434" s="15" t="s">
        <v>809</v>
      </c>
    </row>
    <row r="435" spans="2:40" hidden="1" x14ac:dyDescent="0.25">
      <c r="B435" s="15" t="s">
        <v>933</v>
      </c>
      <c r="C435" s="15" t="s">
        <v>1171</v>
      </c>
      <c r="D435" s="30" t="s">
        <v>873</v>
      </c>
      <c r="E435" s="22">
        <v>44155</v>
      </c>
      <c r="F435" s="22">
        <v>44196</v>
      </c>
      <c r="G435" s="15" t="s">
        <v>674</v>
      </c>
      <c r="H435" s="15" t="s">
        <v>811</v>
      </c>
      <c r="I435" s="15" t="s">
        <v>702</v>
      </c>
      <c r="J435" s="15" t="s">
        <v>325</v>
      </c>
      <c r="K435" s="15" t="s">
        <v>334</v>
      </c>
      <c r="L435" s="15" t="s">
        <v>358</v>
      </c>
      <c r="M435" s="15" t="s">
        <v>322</v>
      </c>
      <c r="N435" s="15" t="s">
        <v>708</v>
      </c>
      <c r="O435" s="15" t="s">
        <v>694</v>
      </c>
      <c r="P435" s="15" t="s">
        <v>1045</v>
      </c>
      <c r="Q435" s="15" t="s">
        <v>1039</v>
      </c>
      <c r="R435" s="15" t="s">
        <v>835</v>
      </c>
      <c r="S435" s="15" t="s">
        <v>348</v>
      </c>
      <c r="T435" s="15" t="s">
        <v>484</v>
      </c>
      <c r="AC435" s="32" t="s">
        <v>885</v>
      </c>
      <c r="AD435" s="33" t="str">
        <f t="shared" si="87"/>
        <v>289178070</v>
      </c>
      <c r="AE435" s="21" t="str">
        <f t="shared" si="90"/>
        <v>BR_VW_AFS_dv360_DIS_PROG_CPM_STD_LDR_AAF_RON_CXD_After-Sales-Oficina-Classicos-REG06-3rdparty_PD_300x50</v>
      </c>
      <c r="AF435" s="21" t="str">
        <f t="shared" si="91"/>
        <v>BR_VW_AFS_dv360_DIS_PROG_CPM_STD_LDR_AAF_RON_CXD_After-Sales-Oficina-Classicos-REG06-3rdparty_PD_300x50</v>
      </c>
      <c r="AG435" s="21" t="str">
        <f t="shared" si="92"/>
        <v>VW_After-Sales-3rdparty_300x50_After-Sales-Oficina-Classicos-REG06-adserver</v>
      </c>
      <c r="AH435" s="21" t="str">
        <f t="shared" si="93"/>
        <v>https://www.oficinadeclassicos.com.br/index.aspx?utm_source=dv360&amp;utm_medium=Programmatic&amp;utm_content=BR_VW_AFS_dv360_DIS_PROG_CPM_STD_LDR_AAF_RON_CXD_After-Sales-Oficina-Classicos-REG06-3rdparty_PD_300x50&amp;utm_campaign=BR_AAF_DSY_NONMS_ND_AS_2019Q2APR_AFS_After-Sales&amp;utm_term=%epid!_%ecid!_%eaid!</v>
      </c>
      <c r="AI435" s="21" t="str">
        <f t="shared" si="94"/>
        <v>TAG</v>
      </c>
      <c r="AJ435" s="15" t="str">
        <f t="shared" si="88"/>
        <v>dv360</v>
      </c>
      <c r="AK435" s="15" t="str">
        <f t="shared" si="89"/>
        <v>Programmatic</v>
      </c>
      <c r="AL435" s="21" t="str">
        <f>Campanha!$B$3</f>
        <v>BR_AAF_DSY_NONMS_ND_AS_2019Q2APR_AFS_After-Sales</v>
      </c>
      <c r="AM435" s="21" t="str">
        <f t="shared" si="95"/>
        <v>BR_VW_AFS_dv360_DIS_PROG_CPM_STD_LDR_AAF_RON_CXD_After-Sales-Oficina-Classicos-REG06-3rdparty_PD_300x50</v>
      </c>
      <c r="AN435" s="15" t="s">
        <v>809</v>
      </c>
    </row>
    <row r="436" spans="2:40" hidden="1" x14ac:dyDescent="0.25">
      <c r="B436" s="15" t="s">
        <v>933</v>
      </c>
      <c r="C436" s="15" t="s">
        <v>1171</v>
      </c>
      <c r="D436" s="30" t="s">
        <v>873</v>
      </c>
      <c r="E436" s="22">
        <v>44155</v>
      </c>
      <c r="F436" s="22">
        <v>44196</v>
      </c>
      <c r="G436" s="15" t="s">
        <v>674</v>
      </c>
      <c r="H436" s="15" t="s">
        <v>811</v>
      </c>
      <c r="I436" s="15" t="s">
        <v>702</v>
      </c>
      <c r="J436" s="15" t="s">
        <v>325</v>
      </c>
      <c r="K436" s="15" t="s">
        <v>334</v>
      </c>
      <c r="L436" s="15" t="s">
        <v>358</v>
      </c>
      <c r="M436" s="15" t="s">
        <v>322</v>
      </c>
      <c r="N436" s="15" t="s">
        <v>708</v>
      </c>
      <c r="O436" s="15" t="s">
        <v>694</v>
      </c>
      <c r="P436" s="15" t="s">
        <v>1045</v>
      </c>
      <c r="Q436" s="15" t="s">
        <v>1039</v>
      </c>
      <c r="R436" s="15" t="s">
        <v>835</v>
      </c>
      <c r="S436" s="15" t="s">
        <v>348</v>
      </c>
      <c r="T436" s="15" t="s">
        <v>478</v>
      </c>
      <c r="AC436" s="32" t="s">
        <v>885</v>
      </c>
      <c r="AD436" s="33" t="str">
        <f t="shared" si="87"/>
        <v>289178067</v>
      </c>
      <c r="AE436" s="21" t="str">
        <f t="shared" si="90"/>
        <v>BR_VW_AFS_dv360_DIS_PROG_CPM_STD_LDR_AAF_RON_CXD_After-Sales-Oficina-Classicos-REG06-3rdparty_PD_300x250</v>
      </c>
      <c r="AF436" s="21" t="str">
        <f t="shared" si="91"/>
        <v>BR_VW_AFS_dv360_DIS_PROG_CPM_STD_LDR_AAF_RON_CXD_After-Sales-Oficina-Classicos-REG06-3rdparty_PD_300x250</v>
      </c>
      <c r="AG436" s="21" t="str">
        <f t="shared" si="92"/>
        <v>VW_After-Sales-3rdparty_300x250_After-Sales-Oficina-Classicos-REG06-adserver</v>
      </c>
      <c r="AH436" s="21" t="str">
        <f t="shared" si="93"/>
        <v>https://www.oficinadeclassicos.com.br/index.aspx?utm_source=dv360&amp;utm_medium=Programmatic&amp;utm_content=BR_VW_AFS_dv360_DIS_PROG_CPM_STD_LDR_AAF_RON_CXD_After-Sales-Oficina-Classicos-REG06-3rdparty_PD_300x250&amp;utm_campaign=BR_AAF_DSY_NONMS_ND_AS_2019Q2APR_AFS_After-Sales&amp;utm_term=%epid!_%ecid!_%eaid!</v>
      </c>
      <c r="AI436" s="21" t="str">
        <f t="shared" si="94"/>
        <v>TAG</v>
      </c>
      <c r="AJ436" s="15" t="str">
        <f t="shared" si="88"/>
        <v>dv360</v>
      </c>
      <c r="AK436" s="15" t="str">
        <f t="shared" si="89"/>
        <v>Programmatic</v>
      </c>
      <c r="AL436" s="21" t="str">
        <f>Campanha!$B$3</f>
        <v>BR_AAF_DSY_NONMS_ND_AS_2019Q2APR_AFS_After-Sales</v>
      </c>
      <c r="AM436" s="21" t="str">
        <f t="shared" si="95"/>
        <v>BR_VW_AFS_dv360_DIS_PROG_CPM_STD_LDR_AAF_RON_CXD_After-Sales-Oficina-Classicos-REG06-3rdparty_PD_300x250</v>
      </c>
      <c r="AN436" s="15" t="s">
        <v>809</v>
      </c>
    </row>
    <row r="437" spans="2:40" hidden="1" x14ac:dyDescent="0.25">
      <c r="B437" s="15" t="s">
        <v>933</v>
      </c>
      <c r="C437" s="15" t="s">
        <v>1172</v>
      </c>
      <c r="D437" s="30" t="s">
        <v>873</v>
      </c>
      <c r="E437" s="22">
        <v>44155</v>
      </c>
      <c r="F437" s="22">
        <v>44196</v>
      </c>
      <c r="G437" s="15" t="s">
        <v>674</v>
      </c>
      <c r="H437" s="15" t="s">
        <v>811</v>
      </c>
      <c r="I437" s="15" t="s">
        <v>702</v>
      </c>
      <c r="J437" s="15" t="s">
        <v>325</v>
      </c>
      <c r="K437" s="15" t="s">
        <v>334</v>
      </c>
      <c r="L437" s="15" t="s">
        <v>358</v>
      </c>
      <c r="M437" s="15" t="s">
        <v>322</v>
      </c>
      <c r="N437" s="15" t="s">
        <v>708</v>
      </c>
      <c r="O437" s="15" t="s">
        <v>694</v>
      </c>
      <c r="P437" s="15" t="s">
        <v>1045</v>
      </c>
      <c r="Q437" s="15" t="s">
        <v>1039</v>
      </c>
      <c r="R437" s="15" t="s">
        <v>835</v>
      </c>
      <c r="S437" s="15" t="s">
        <v>348</v>
      </c>
      <c r="T437" s="15" t="s">
        <v>614</v>
      </c>
      <c r="AC437" s="32" t="s">
        <v>885</v>
      </c>
      <c r="AD437" s="33" t="str">
        <f t="shared" si="87"/>
        <v>289239876</v>
      </c>
      <c r="AE437" s="21" t="str">
        <f t="shared" si="90"/>
        <v>BR_VW_AFS_dv360_DIS_PROG_CPM_STD_LDR_AAF_RON_CXD_After-Sales-Oficina-Classicos-REG06-3rdparty_PD_728x90</v>
      </c>
      <c r="AF437" s="21" t="str">
        <f t="shared" si="91"/>
        <v>BR_VW_AFS_dv360_DIS_PROG_CPM_STD_LDR_AAF_RON_CXD_After-Sales-Oficina-Classicos-REG06-3rdparty_PD_728x90</v>
      </c>
      <c r="AG437" s="21" t="str">
        <f t="shared" si="92"/>
        <v>VW_After-Sales-3rdparty_728x90_After-Sales-Oficina-Classicos-REG06-adserver</v>
      </c>
      <c r="AH437" s="21" t="str">
        <f t="shared" si="93"/>
        <v>https://www.oficinadeclassicos.com.br/index.aspx?utm_source=dv360&amp;utm_medium=Programmatic&amp;utm_content=BR_VW_AFS_dv360_DIS_PROG_CPM_STD_LDR_AAF_RON_CXD_After-Sales-Oficina-Classicos-REG06-3rdparty_PD_728x90&amp;utm_campaign=BR_AAF_DSY_NONMS_ND_AS_2019Q2APR_AFS_After-Sales&amp;utm_term=%epid!_%ecid!_%eaid!</v>
      </c>
      <c r="AI437" s="21" t="str">
        <f t="shared" si="94"/>
        <v>TAG</v>
      </c>
      <c r="AJ437" s="15" t="str">
        <f t="shared" si="88"/>
        <v>dv360</v>
      </c>
      <c r="AK437" s="15" t="str">
        <f t="shared" si="89"/>
        <v>Programmatic</v>
      </c>
      <c r="AL437" s="21" t="str">
        <f>Campanha!$B$3</f>
        <v>BR_AAF_DSY_NONMS_ND_AS_2019Q2APR_AFS_After-Sales</v>
      </c>
      <c r="AM437" s="21" t="str">
        <f t="shared" si="95"/>
        <v>BR_VW_AFS_dv360_DIS_PROG_CPM_STD_LDR_AAF_RON_CXD_After-Sales-Oficina-Classicos-REG06-3rdparty_PD_728x90</v>
      </c>
      <c r="AN437" s="15" t="s">
        <v>809</v>
      </c>
    </row>
    <row r="438" spans="2:40" hidden="1" x14ac:dyDescent="0.25">
      <c r="B438" s="15" t="s">
        <v>933</v>
      </c>
      <c r="C438" s="15" t="s">
        <v>1171</v>
      </c>
      <c r="D438" s="30" t="s">
        <v>873</v>
      </c>
      <c r="E438" s="22">
        <v>44155</v>
      </c>
      <c r="F438" s="22">
        <v>44196</v>
      </c>
      <c r="G438" s="15" t="s">
        <v>674</v>
      </c>
      <c r="H438" s="15" t="s">
        <v>811</v>
      </c>
      <c r="I438" s="15" t="s">
        <v>702</v>
      </c>
      <c r="J438" s="15" t="s">
        <v>325</v>
      </c>
      <c r="K438" s="15" t="s">
        <v>334</v>
      </c>
      <c r="L438" s="15" t="s">
        <v>358</v>
      </c>
      <c r="M438" s="15" t="s">
        <v>322</v>
      </c>
      <c r="N438" s="15" t="s">
        <v>708</v>
      </c>
      <c r="O438" s="15" t="s">
        <v>694</v>
      </c>
      <c r="P438" s="15" t="s">
        <v>1045</v>
      </c>
      <c r="Q438" s="15" t="s">
        <v>1039</v>
      </c>
      <c r="R438" s="15" t="s">
        <v>835</v>
      </c>
      <c r="S438" s="15" t="s">
        <v>348</v>
      </c>
      <c r="T438" s="15" t="s">
        <v>652</v>
      </c>
      <c r="AC438" s="32" t="s">
        <v>885</v>
      </c>
      <c r="AD438" s="33" t="str">
        <f t="shared" ref="AD438:AD501" si="96">VLOOKUP(AE438,id_placement,2,FALSE)</f>
        <v>289178064</v>
      </c>
      <c r="AE438" s="21" t="str">
        <f t="shared" si="90"/>
        <v>BR_VW_AFS_dv360_DIS_PROG_CPM_STD_LDR_AAF_RON_CXD_After-Sales-Oficina-Classicos-REG06-3rdparty_PD_970x250</v>
      </c>
      <c r="AF438" s="21" t="str">
        <f t="shared" si="91"/>
        <v>BR_VW_AFS_dv360_DIS_PROG_CPM_STD_LDR_AAF_RON_CXD_After-Sales-Oficina-Classicos-REG06-3rdparty_PD_970x250</v>
      </c>
      <c r="AG438" s="21" t="str">
        <f t="shared" si="92"/>
        <v>VW_After-Sales-3rdparty_970x250_After-Sales-Oficina-Classicos-REG06-adserver</v>
      </c>
      <c r="AH438" s="21" t="str">
        <f t="shared" si="93"/>
        <v>https://www.oficinadeclassicos.com.br/index.aspx?utm_source=dv360&amp;utm_medium=Programmatic&amp;utm_content=BR_VW_AFS_dv360_DIS_PROG_CPM_STD_LDR_AAF_RON_CXD_After-Sales-Oficina-Classicos-REG06-3rdparty_PD_970x250&amp;utm_campaign=BR_AAF_DSY_NONMS_ND_AS_2019Q2APR_AFS_After-Sales&amp;utm_term=%epid!_%ecid!_%eaid!</v>
      </c>
      <c r="AI438" s="21" t="str">
        <f t="shared" si="94"/>
        <v>TAG</v>
      </c>
      <c r="AJ438" s="15" t="str">
        <f t="shared" si="88"/>
        <v>dv360</v>
      </c>
      <c r="AK438" s="15" t="str">
        <f t="shared" si="89"/>
        <v>Programmatic</v>
      </c>
      <c r="AL438" s="21" t="str">
        <f>Campanha!$B$3</f>
        <v>BR_AAF_DSY_NONMS_ND_AS_2019Q2APR_AFS_After-Sales</v>
      </c>
      <c r="AM438" s="21" t="str">
        <f t="shared" si="95"/>
        <v>BR_VW_AFS_dv360_DIS_PROG_CPM_STD_LDR_AAF_RON_CXD_After-Sales-Oficina-Classicos-REG06-3rdparty_PD_970x250</v>
      </c>
      <c r="AN438" s="15" t="s">
        <v>809</v>
      </c>
    </row>
    <row r="439" spans="2:40" hidden="1" x14ac:dyDescent="0.25">
      <c r="B439" s="15" t="s">
        <v>872</v>
      </c>
      <c r="C439" s="15"/>
      <c r="D439" s="30" t="s">
        <v>873</v>
      </c>
      <c r="E439" s="22">
        <v>44155</v>
      </c>
      <c r="F439" s="22">
        <v>44196</v>
      </c>
      <c r="G439" s="15" t="s">
        <v>674</v>
      </c>
      <c r="H439" s="15" t="s">
        <v>811</v>
      </c>
      <c r="I439" s="15" t="s">
        <v>702</v>
      </c>
      <c r="J439" s="15" t="s">
        <v>325</v>
      </c>
      <c r="K439" s="15" t="s">
        <v>334</v>
      </c>
      <c r="L439" s="15" t="s">
        <v>358</v>
      </c>
      <c r="M439" s="15" t="s">
        <v>322</v>
      </c>
      <c r="N439" s="15" t="s">
        <v>708</v>
      </c>
      <c r="O439" s="15" t="s">
        <v>694</v>
      </c>
      <c r="P439" s="15" t="s">
        <v>1045</v>
      </c>
      <c r="Q439" s="15" t="s">
        <v>889</v>
      </c>
      <c r="R439" s="15" t="s">
        <v>835</v>
      </c>
      <c r="S439" s="15" t="s">
        <v>348</v>
      </c>
      <c r="T439" s="15" t="s">
        <v>457</v>
      </c>
      <c r="AC439" s="32" t="s">
        <v>885</v>
      </c>
      <c r="AD439" s="33" t="e">
        <f t="shared" si="96"/>
        <v>#N/A</v>
      </c>
      <c r="AE439" s="21" t="str">
        <f t="shared" si="90"/>
        <v>BR_VW_AFS_dv360_DIS_PROG_CPM_STD_LDR_AAF_RON_CXD_After-Sales-Oficina-Classicos-REG06-lal-lead-ofertas_PD_160x600</v>
      </c>
      <c r="AF439" s="21" t="str">
        <f t="shared" si="91"/>
        <v>BR_VW_AFS_dv360_DIS_PROG_CPM_STD_LDR_AAF_RON_CXD_After-Sales-Oficina-Classicos-REG06-lal-lead-ofertas_PD_160x600</v>
      </c>
      <c r="AG439" s="21" t="str">
        <f t="shared" si="92"/>
        <v>VW_After-Sales-lal-lead-ofertas_160x600_After-Sales-Oficina-Classicos-REG06-adserver</v>
      </c>
      <c r="AH439" s="21" t="str">
        <f t="shared" si="93"/>
        <v>https://www.oficinadeclassicos.com.br/index.aspx?utm_source=dv360&amp;utm_medium=Programmatic&amp;utm_content=BR_VW_AFS_dv360_DIS_PROG_CPM_STD_LDR_AAF_RON_CXD_After-Sales-Oficina-Classicos-REG06-lal-lead-ofertas_PD_160x600&amp;utm_campaign=BR_AAF_DSY_NONMS_ND_AS_2019Q2APR_AFS_After-Sales&amp;utm_term=%epid!_%ecid!_%eaid!</v>
      </c>
      <c r="AI439" s="21" t="str">
        <f t="shared" si="94"/>
        <v>TAG</v>
      </c>
      <c r="AJ439" s="15" t="str">
        <f t="shared" si="88"/>
        <v>dv360</v>
      </c>
      <c r="AK439" s="15" t="str">
        <f t="shared" si="89"/>
        <v>Programmatic</v>
      </c>
      <c r="AL439" s="21" t="str">
        <f>Campanha!$B$3</f>
        <v>BR_AAF_DSY_NONMS_ND_AS_2019Q2APR_AFS_After-Sales</v>
      </c>
      <c r="AM439" s="21" t="str">
        <f t="shared" si="95"/>
        <v>BR_VW_AFS_dv360_DIS_PROG_CPM_STD_LDR_AAF_RON_CXD_After-Sales-Oficina-Classicos-REG06-lal-lead-ofertas_PD_160x600</v>
      </c>
      <c r="AN439" s="15" t="s">
        <v>809</v>
      </c>
    </row>
    <row r="440" spans="2:40" hidden="1" x14ac:dyDescent="0.25">
      <c r="B440" s="15" t="s">
        <v>872</v>
      </c>
      <c r="C440" s="15"/>
      <c r="D440" s="30" t="s">
        <v>873</v>
      </c>
      <c r="E440" s="22">
        <v>44155</v>
      </c>
      <c r="F440" s="22">
        <v>44196</v>
      </c>
      <c r="G440" s="15" t="s">
        <v>674</v>
      </c>
      <c r="H440" s="15" t="s">
        <v>811</v>
      </c>
      <c r="I440" s="15" t="s">
        <v>702</v>
      </c>
      <c r="J440" s="15" t="s">
        <v>325</v>
      </c>
      <c r="K440" s="15" t="s">
        <v>334</v>
      </c>
      <c r="L440" s="15" t="s">
        <v>358</v>
      </c>
      <c r="M440" s="15" t="s">
        <v>322</v>
      </c>
      <c r="N440" s="15" t="s">
        <v>708</v>
      </c>
      <c r="O440" s="15" t="s">
        <v>694</v>
      </c>
      <c r="P440" s="15" t="s">
        <v>1045</v>
      </c>
      <c r="Q440" s="15" t="s">
        <v>889</v>
      </c>
      <c r="R440" s="15" t="s">
        <v>835</v>
      </c>
      <c r="S440" s="15" t="s">
        <v>348</v>
      </c>
      <c r="T440" s="15" t="s">
        <v>484</v>
      </c>
      <c r="AC440" s="32" t="s">
        <v>885</v>
      </c>
      <c r="AD440" s="33" t="e">
        <f t="shared" si="96"/>
        <v>#N/A</v>
      </c>
      <c r="AE440" s="21" t="str">
        <f t="shared" si="90"/>
        <v>BR_VW_AFS_dv360_DIS_PROG_CPM_STD_LDR_AAF_RON_CXD_After-Sales-Oficina-Classicos-REG06-lal-lead-ofertas_PD_300x50</v>
      </c>
      <c r="AF440" s="21" t="str">
        <f t="shared" si="91"/>
        <v>BR_VW_AFS_dv360_DIS_PROG_CPM_STD_LDR_AAF_RON_CXD_After-Sales-Oficina-Classicos-REG06-lal-lead-ofertas_PD_300x50</v>
      </c>
      <c r="AG440" s="21" t="str">
        <f t="shared" si="92"/>
        <v>VW_After-Sales-lal-lead-ofertas_300x50_After-Sales-Oficina-Classicos-REG06-adserver</v>
      </c>
      <c r="AH440" s="21" t="str">
        <f t="shared" si="93"/>
        <v>https://www.oficinadeclassicos.com.br/index.aspx?utm_source=dv360&amp;utm_medium=Programmatic&amp;utm_content=BR_VW_AFS_dv360_DIS_PROG_CPM_STD_LDR_AAF_RON_CXD_After-Sales-Oficina-Classicos-REG06-lal-lead-ofertas_PD_300x50&amp;utm_campaign=BR_AAF_DSY_NONMS_ND_AS_2019Q2APR_AFS_After-Sales&amp;utm_term=%epid!_%ecid!_%eaid!</v>
      </c>
      <c r="AI440" s="21" t="str">
        <f t="shared" si="94"/>
        <v>TAG</v>
      </c>
      <c r="AJ440" s="15" t="str">
        <f t="shared" si="88"/>
        <v>dv360</v>
      </c>
      <c r="AK440" s="15" t="str">
        <f t="shared" si="89"/>
        <v>Programmatic</v>
      </c>
      <c r="AL440" s="21" t="str">
        <f>Campanha!$B$3</f>
        <v>BR_AAF_DSY_NONMS_ND_AS_2019Q2APR_AFS_After-Sales</v>
      </c>
      <c r="AM440" s="21" t="str">
        <f t="shared" si="95"/>
        <v>BR_VW_AFS_dv360_DIS_PROG_CPM_STD_LDR_AAF_RON_CXD_After-Sales-Oficina-Classicos-REG06-lal-lead-ofertas_PD_300x50</v>
      </c>
      <c r="AN440" s="15" t="s">
        <v>809</v>
      </c>
    </row>
    <row r="441" spans="2:40" hidden="1" x14ac:dyDescent="0.25">
      <c r="B441" s="15" t="s">
        <v>872</v>
      </c>
      <c r="C441" s="15"/>
      <c r="D441" s="30" t="s">
        <v>873</v>
      </c>
      <c r="E441" s="22">
        <v>44155</v>
      </c>
      <c r="F441" s="22">
        <v>44196</v>
      </c>
      <c r="G441" s="15" t="s">
        <v>674</v>
      </c>
      <c r="H441" s="15" t="s">
        <v>811</v>
      </c>
      <c r="I441" s="15" t="s">
        <v>702</v>
      </c>
      <c r="J441" s="15" t="s">
        <v>325</v>
      </c>
      <c r="K441" s="15" t="s">
        <v>334</v>
      </c>
      <c r="L441" s="15" t="s">
        <v>358</v>
      </c>
      <c r="M441" s="15" t="s">
        <v>322</v>
      </c>
      <c r="N441" s="15" t="s">
        <v>708</v>
      </c>
      <c r="O441" s="15" t="s">
        <v>694</v>
      </c>
      <c r="P441" s="15" t="s">
        <v>1045</v>
      </c>
      <c r="Q441" s="15" t="s">
        <v>889</v>
      </c>
      <c r="R441" s="15" t="s">
        <v>835</v>
      </c>
      <c r="S441" s="15" t="s">
        <v>348</v>
      </c>
      <c r="T441" s="15" t="s">
        <v>478</v>
      </c>
      <c r="AC441" s="32" t="s">
        <v>885</v>
      </c>
      <c r="AD441" s="33" t="e">
        <f t="shared" si="96"/>
        <v>#N/A</v>
      </c>
      <c r="AE441" s="21" t="str">
        <f t="shared" si="90"/>
        <v>BR_VW_AFS_dv360_DIS_PROG_CPM_STD_LDR_AAF_RON_CXD_After-Sales-Oficina-Classicos-REG06-lal-lead-ofertas_PD_300x250</v>
      </c>
      <c r="AF441" s="21" t="str">
        <f t="shared" si="91"/>
        <v>BR_VW_AFS_dv360_DIS_PROG_CPM_STD_LDR_AAF_RON_CXD_After-Sales-Oficina-Classicos-REG06-lal-lead-ofertas_PD_300x250</v>
      </c>
      <c r="AG441" s="21" t="str">
        <f t="shared" si="92"/>
        <v>VW_After-Sales-lal-lead-ofertas_300x250_After-Sales-Oficina-Classicos-REG06-adserver</v>
      </c>
      <c r="AH441" s="21" t="str">
        <f t="shared" si="93"/>
        <v>https://www.oficinadeclassicos.com.br/index.aspx?utm_source=dv360&amp;utm_medium=Programmatic&amp;utm_content=BR_VW_AFS_dv360_DIS_PROG_CPM_STD_LDR_AAF_RON_CXD_After-Sales-Oficina-Classicos-REG06-lal-lead-ofertas_PD_300x250&amp;utm_campaign=BR_AAF_DSY_NONMS_ND_AS_2019Q2APR_AFS_After-Sales&amp;utm_term=%epid!_%ecid!_%eaid!</v>
      </c>
      <c r="AI441" s="21" t="str">
        <f t="shared" si="94"/>
        <v>TAG</v>
      </c>
      <c r="AJ441" s="15" t="str">
        <f t="shared" si="88"/>
        <v>dv360</v>
      </c>
      <c r="AK441" s="15" t="str">
        <f t="shared" si="89"/>
        <v>Programmatic</v>
      </c>
      <c r="AL441" s="21" t="str">
        <f>Campanha!$B$3</f>
        <v>BR_AAF_DSY_NONMS_ND_AS_2019Q2APR_AFS_After-Sales</v>
      </c>
      <c r="AM441" s="21" t="str">
        <f t="shared" si="95"/>
        <v>BR_VW_AFS_dv360_DIS_PROG_CPM_STD_LDR_AAF_RON_CXD_After-Sales-Oficina-Classicos-REG06-lal-lead-ofertas_PD_300x250</v>
      </c>
      <c r="AN441" s="15" t="s">
        <v>809</v>
      </c>
    </row>
    <row r="442" spans="2:40" hidden="1" x14ac:dyDescent="0.25">
      <c r="B442" s="15" t="s">
        <v>872</v>
      </c>
      <c r="C442" s="15"/>
      <c r="D442" s="30" t="s">
        <v>873</v>
      </c>
      <c r="E442" s="22">
        <v>44155</v>
      </c>
      <c r="F442" s="22">
        <v>44196</v>
      </c>
      <c r="G442" s="15" t="s">
        <v>674</v>
      </c>
      <c r="H442" s="15" t="s">
        <v>811</v>
      </c>
      <c r="I442" s="15" t="s">
        <v>702</v>
      </c>
      <c r="J442" s="15" t="s">
        <v>325</v>
      </c>
      <c r="K442" s="15" t="s">
        <v>334</v>
      </c>
      <c r="L442" s="15" t="s">
        <v>358</v>
      </c>
      <c r="M442" s="15" t="s">
        <v>322</v>
      </c>
      <c r="N442" s="15" t="s">
        <v>708</v>
      </c>
      <c r="O442" s="15" t="s">
        <v>694</v>
      </c>
      <c r="P442" s="15" t="s">
        <v>1045</v>
      </c>
      <c r="Q442" s="15" t="s">
        <v>889</v>
      </c>
      <c r="R442" s="15" t="s">
        <v>835</v>
      </c>
      <c r="S442" s="15" t="s">
        <v>348</v>
      </c>
      <c r="T442" s="15" t="s">
        <v>614</v>
      </c>
      <c r="AC442" s="32" t="s">
        <v>885</v>
      </c>
      <c r="AD442" s="33" t="e">
        <f t="shared" si="96"/>
        <v>#N/A</v>
      </c>
      <c r="AE442" s="21" t="str">
        <f t="shared" si="90"/>
        <v>BR_VW_AFS_dv360_DIS_PROG_CPM_STD_LDR_AAF_RON_CXD_After-Sales-Oficina-Classicos-REG06-lal-lead-ofertas_PD_728x90</v>
      </c>
      <c r="AF442" s="21" t="str">
        <f t="shared" si="91"/>
        <v>BR_VW_AFS_dv360_DIS_PROG_CPM_STD_LDR_AAF_RON_CXD_After-Sales-Oficina-Classicos-REG06-lal-lead-ofertas_PD_728x90</v>
      </c>
      <c r="AG442" s="21" t="str">
        <f t="shared" si="92"/>
        <v>VW_After-Sales-lal-lead-ofertas_728x90_After-Sales-Oficina-Classicos-REG06-adserver</v>
      </c>
      <c r="AH442" s="21" t="str">
        <f t="shared" si="93"/>
        <v>https://www.oficinadeclassicos.com.br/index.aspx?utm_source=dv360&amp;utm_medium=Programmatic&amp;utm_content=BR_VW_AFS_dv360_DIS_PROG_CPM_STD_LDR_AAF_RON_CXD_After-Sales-Oficina-Classicos-REG06-lal-lead-ofertas_PD_728x90&amp;utm_campaign=BR_AAF_DSY_NONMS_ND_AS_2019Q2APR_AFS_After-Sales&amp;utm_term=%epid!_%ecid!_%eaid!</v>
      </c>
      <c r="AI442" s="21" t="str">
        <f t="shared" si="94"/>
        <v>TAG</v>
      </c>
      <c r="AJ442" s="15" t="str">
        <f t="shared" si="88"/>
        <v>dv360</v>
      </c>
      <c r="AK442" s="15" t="str">
        <f t="shared" si="89"/>
        <v>Programmatic</v>
      </c>
      <c r="AL442" s="21" t="str">
        <f>Campanha!$B$3</f>
        <v>BR_AAF_DSY_NONMS_ND_AS_2019Q2APR_AFS_After-Sales</v>
      </c>
      <c r="AM442" s="21" t="str">
        <f t="shared" si="95"/>
        <v>BR_VW_AFS_dv360_DIS_PROG_CPM_STD_LDR_AAF_RON_CXD_After-Sales-Oficina-Classicos-REG06-lal-lead-ofertas_PD_728x90</v>
      </c>
      <c r="AN442" s="15" t="s">
        <v>809</v>
      </c>
    </row>
    <row r="443" spans="2:40" hidden="1" x14ac:dyDescent="0.25">
      <c r="B443" s="15" t="s">
        <v>872</v>
      </c>
      <c r="C443" s="15"/>
      <c r="D443" s="30" t="s">
        <v>873</v>
      </c>
      <c r="E443" s="22">
        <v>44155</v>
      </c>
      <c r="F443" s="22">
        <v>44196</v>
      </c>
      <c r="G443" s="15" t="s">
        <v>674</v>
      </c>
      <c r="H443" s="15" t="s">
        <v>811</v>
      </c>
      <c r="I443" s="15" t="s">
        <v>702</v>
      </c>
      <c r="J443" s="15" t="s">
        <v>325</v>
      </c>
      <c r="K443" s="15" t="s">
        <v>334</v>
      </c>
      <c r="L443" s="15" t="s">
        <v>358</v>
      </c>
      <c r="M443" s="15" t="s">
        <v>322</v>
      </c>
      <c r="N443" s="15" t="s">
        <v>708</v>
      </c>
      <c r="O443" s="15" t="s">
        <v>694</v>
      </c>
      <c r="P443" s="15" t="s">
        <v>1045</v>
      </c>
      <c r="Q443" s="15" t="s">
        <v>889</v>
      </c>
      <c r="R443" s="15" t="s">
        <v>835</v>
      </c>
      <c r="S443" s="15" t="s">
        <v>348</v>
      </c>
      <c r="T443" s="15" t="s">
        <v>652</v>
      </c>
      <c r="AC443" s="32" t="s">
        <v>885</v>
      </c>
      <c r="AD443" s="33" t="e">
        <f t="shared" si="96"/>
        <v>#N/A</v>
      </c>
      <c r="AE443" s="21" t="str">
        <f t="shared" si="90"/>
        <v>BR_VW_AFS_dv360_DIS_PROG_CPM_STD_LDR_AAF_RON_CXD_After-Sales-Oficina-Classicos-REG06-lal-lead-ofertas_PD_970x250</v>
      </c>
      <c r="AF443" s="21" t="str">
        <f t="shared" si="91"/>
        <v>BR_VW_AFS_dv360_DIS_PROG_CPM_STD_LDR_AAF_RON_CXD_After-Sales-Oficina-Classicos-REG06-lal-lead-ofertas_PD_970x250</v>
      </c>
      <c r="AG443" s="21" t="str">
        <f t="shared" si="92"/>
        <v>VW_After-Sales-lal-lead-ofertas_970x250_After-Sales-Oficina-Classicos-REG06-adserver</v>
      </c>
      <c r="AH443" s="21" t="str">
        <f t="shared" si="93"/>
        <v>https://www.oficinadeclassicos.com.br/index.aspx?utm_source=dv360&amp;utm_medium=Programmatic&amp;utm_content=BR_VW_AFS_dv360_DIS_PROG_CPM_STD_LDR_AAF_RON_CXD_After-Sales-Oficina-Classicos-REG06-lal-lead-ofertas_PD_970x250&amp;utm_campaign=BR_AAF_DSY_NONMS_ND_AS_2019Q2APR_AFS_After-Sales&amp;utm_term=%epid!_%ecid!_%eaid!</v>
      </c>
      <c r="AI443" s="21" t="str">
        <f t="shared" si="94"/>
        <v>TAG</v>
      </c>
      <c r="AJ443" s="15" t="str">
        <f t="shared" si="88"/>
        <v>dv360</v>
      </c>
      <c r="AK443" s="15" t="str">
        <f t="shared" si="89"/>
        <v>Programmatic</v>
      </c>
      <c r="AL443" s="21" t="str">
        <f>Campanha!$B$3</f>
        <v>BR_AAF_DSY_NONMS_ND_AS_2019Q2APR_AFS_After-Sales</v>
      </c>
      <c r="AM443" s="21" t="str">
        <f t="shared" si="95"/>
        <v>BR_VW_AFS_dv360_DIS_PROG_CPM_STD_LDR_AAF_RON_CXD_After-Sales-Oficina-Classicos-REG06-lal-lead-ofertas_PD_970x250</v>
      </c>
      <c r="AN443" s="15" t="s">
        <v>809</v>
      </c>
    </row>
    <row r="444" spans="2:40" hidden="1" x14ac:dyDescent="0.25">
      <c r="B444" s="15" t="s">
        <v>872</v>
      </c>
      <c r="C444" s="15"/>
      <c r="D444" s="30" t="s">
        <v>873</v>
      </c>
      <c r="E444" s="22">
        <v>44155</v>
      </c>
      <c r="F444" s="22">
        <v>44196</v>
      </c>
      <c r="G444" s="15" t="s">
        <v>674</v>
      </c>
      <c r="H444" s="15" t="s">
        <v>811</v>
      </c>
      <c r="I444" s="15" t="s">
        <v>702</v>
      </c>
      <c r="J444" s="15" t="s">
        <v>325</v>
      </c>
      <c r="K444" s="15" t="s">
        <v>334</v>
      </c>
      <c r="L444" s="15" t="s">
        <v>358</v>
      </c>
      <c r="M444" s="15" t="s">
        <v>322</v>
      </c>
      <c r="N444" s="15" t="s">
        <v>708</v>
      </c>
      <c r="O444" s="15" t="s">
        <v>694</v>
      </c>
      <c r="P444" s="15" t="s">
        <v>1045</v>
      </c>
      <c r="Q444" s="15" t="s">
        <v>876</v>
      </c>
      <c r="R444" s="15" t="s">
        <v>835</v>
      </c>
      <c r="S444" s="15" t="s">
        <v>348</v>
      </c>
      <c r="T444" s="15" t="s">
        <v>457</v>
      </c>
      <c r="AC444" s="32" t="s">
        <v>885</v>
      </c>
      <c r="AD444" s="33" t="e">
        <f t="shared" si="96"/>
        <v>#N/A</v>
      </c>
      <c r="AE444" s="21" t="str">
        <f t="shared" si="90"/>
        <v>BR_VW_AFS_dv360_DIS_PROG_CPM_STD_LDR_AAF_RON_CXD_After-Sales-Oficina-Classicos-REG06-lal-add-to-cart-ofertas_PD_160x600</v>
      </c>
      <c r="AF444" s="21" t="str">
        <f t="shared" si="91"/>
        <v>BR_VW_AFS_dv360_DIS_PROG_CPM_STD_LDR_AAF_RON_CXD_After-Sales-Oficina-Classicos-REG06-lal-add-to-cart-ofertas_PD_160x600</v>
      </c>
      <c r="AG444" s="21" t="str">
        <f t="shared" si="92"/>
        <v>VW_After-Sales-lal-add-to-cart-ofertas_160x600_After-Sales-Oficina-Classicos-REG06-adserver</v>
      </c>
      <c r="AH444" s="21" t="str">
        <f t="shared" si="93"/>
        <v>https://www.oficinadeclassicos.com.br/index.aspx?utm_source=dv360&amp;utm_medium=Programmatic&amp;utm_content=BR_VW_AFS_dv360_DIS_PROG_CPM_STD_LDR_AAF_RON_CXD_After-Sales-Oficina-Classicos-REG06-lal-add-to-cart-ofertas_PD_160x600&amp;utm_campaign=BR_AAF_DSY_NONMS_ND_AS_2019Q2APR_AFS_After-Sales&amp;utm_term=%epid!_%ecid!_%eaid!</v>
      </c>
      <c r="AI444" s="21" t="str">
        <f t="shared" si="94"/>
        <v>TAG</v>
      </c>
      <c r="AJ444" s="15" t="str">
        <f t="shared" si="88"/>
        <v>dv360</v>
      </c>
      <c r="AK444" s="15" t="str">
        <f t="shared" si="89"/>
        <v>Programmatic</v>
      </c>
      <c r="AL444" s="21" t="str">
        <f>Campanha!$B$3</f>
        <v>BR_AAF_DSY_NONMS_ND_AS_2019Q2APR_AFS_After-Sales</v>
      </c>
      <c r="AM444" s="21" t="str">
        <f t="shared" si="95"/>
        <v>BR_VW_AFS_dv360_DIS_PROG_CPM_STD_LDR_AAF_RON_CXD_After-Sales-Oficina-Classicos-REG06-lal-add-to-cart-ofertas_PD_160x600</v>
      </c>
      <c r="AN444" s="15" t="s">
        <v>809</v>
      </c>
    </row>
    <row r="445" spans="2:40" hidden="1" x14ac:dyDescent="0.25">
      <c r="B445" s="15" t="s">
        <v>872</v>
      </c>
      <c r="C445" s="15"/>
      <c r="D445" s="30" t="s">
        <v>873</v>
      </c>
      <c r="E445" s="22">
        <v>44155</v>
      </c>
      <c r="F445" s="22">
        <v>44196</v>
      </c>
      <c r="G445" s="15" t="s">
        <v>674</v>
      </c>
      <c r="H445" s="15" t="s">
        <v>811</v>
      </c>
      <c r="I445" s="15" t="s">
        <v>702</v>
      </c>
      <c r="J445" s="15" t="s">
        <v>325</v>
      </c>
      <c r="K445" s="15" t="s">
        <v>334</v>
      </c>
      <c r="L445" s="15" t="s">
        <v>358</v>
      </c>
      <c r="M445" s="15" t="s">
        <v>322</v>
      </c>
      <c r="N445" s="15" t="s">
        <v>708</v>
      </c>
      <c r="O445" s="15" t="s">
        <v>694</v>
      </c>
      <c r="P445" s="15" t="s">
        <v>1045</v>
      </c>
      <c r="Q445" s="15" t="s">
        <v>876</v>
      </c>
      <c r="R445" s="15" t="s">
        <v>835</v>
      </c>
      <c r="S445" s="15" t="s">
        <v>348</v>
      </c>
      <c r="T445" s="15" t="s">
        <v>484</v>
      </c>
      <c r="AC445" s="32" t="s">
        <v>885</v>
      </c>
      <c r="AD445" s="33" t="e">
        <f t="shared" si="96"/>
        <v>#N/A</v>
      </c>
      <c r="AE445" s="21" t="str">
        <f t="shared" si="90"/>
        <v>BR_VW_AFS_dv360_DIS_PROG_CPM_STD_LDR_AAF_RON_CXD_After-Sales-Oficina-Classicos-REG06-lal-add-to-cart-ofertas_PD_300x50</v>
      </c>
      <c r="AF445" s="21" t="str">
        <f t="shared" si="91"/>
        <v>BR_VW_AFS_dv360_DIS_PROG_CPM_STD_LDR_AAF_RON_CXD_After-Sales-Oficina-Classicos-REG06-lal-add-to-cart-ofertas_PD_300x50</v>
      </c>
      <c r="AG445" s="21" t="str">
        <f t="shared" si="92"/>
        <v>VW_After-Sales-lal-add-to-cart-ofertas_300x50_After-Sales-Oficina-Classicos-REG06-adserver</v>
      </c>
      <c r="AH445" s="21" t="str">
        <f t="shared" si="93"/>
        <v>https://www.oficinadeclassicos.com.br/index.aspx?utm_source=dv360&amp;utm_medium=Programmatic&amp;utm_content=BR_VW_AFS_dv360_DIS_PROG_CPM_STD_LDR_AAF_RON_CXD_After-Sales-Oficina-Classicos-REG06-lal-add-to-cart-ofertas_PD_300x50&amp;utm_campaign=BR_AAF_DSY_NONMS_ND_AS_2019Q2APR_AFS_After-Sales&amp;utm_term=%epid!_%ecid!_%eaid!</v>
      </c>
      <c r="AI445" s="21" t="str">
        <f t="shared" si="94"/>
        <v>TAG</v>
      </c>
      <c r="AJ445" s="15" t="str">
        <f t="shared" si="88"/>
        <v>dv360</v>
      </c>
      <c r="AK445" s="15" t="str">
        <f t="shared" si="89"/>
        <v>Programmatic</v>
      </c>
      <c r="AL445" s="21" t="str">
        <f>Campanha!$B$3</f>
        <v>BR_AAF_DSY_NONMS_ND_AS_2019Q2APR_AFS_After-Sales</v>
      </c>
      <c r="AM445" s="21" t="str">
        <f t="shared" si="95"/>
        <v>BR_VW_AFS_dv360_DIS_PROG_CPM_STD_LDR_AAF_RON_CXD_After-Sales-Oficina-Classicos-REG06-lal-add-to-cart-ofertas_PD_300x50</v>
      </c>
      <c r="AN445" s="15" t="s">
        <v>809</v>
      </c>
    </row>
    <row r="446" spans="2:40" hidden="1" x14ac:dyDescent="0.25">
      <c r="B446" s="15" t="s">
        <v>872</v>
      </c>
      <c r="C446" s="15"/>
      <c r="D446" s="30" t="s">
        <v>873</v>
      </c>
      <c r="E446" s="22">
        <v>44155</v>
      </c>
      <c r="F446" s="22">
        <v>44196</v>
      </c>
      <c r="G446" s="15" t="s">
        <v>674</v>
      </c>
      <c r="H446" s="15" t="s">
        <v>811</v>
      </c>
      <c r="I446" s="15" t="s">
        <v>702</v>
      </c>
      <c r="J446" s="15" t="s">
        <v>325</v>
      </c>
      <c r="K446" s="15" t="s">
        <v>334</v>
      </c>
      <c r="L446" s="15" t="s">
        <v>358</v>
      </c>
      <c r="M446" s="15" t="s">
        <v>322</v>
      </c>
      <c r="N446" s="15" t="s">
        <v>708</v>
      </c>
      <c r="O446" s="15" t="s">
        <v>694</v>
      </c>
      <c r="P446" s="15" t="s">
        <v>1045</v>
      </c>
      <c r="Q446" s="15" t="s">
        <v>876</v>
      </c>
      <c r="R446" s="15" t="s">
        <v>835</v>
      </c>
      <c r="S446" s="15" t="s">
        <v>348</v>
      </c>
      <c r="T446" s="15" t="s">
        <v>478</v>
      </c>
      <c r="AC446" s="32" t="s">
        <v>885</v>
      </c>
      <c r="AD446" s="33" t="e">
        <f t="shared" si="96"/>
        <v>#N/A</v>
      </c>
      <c r="AE446" s="21" t="str">
        <f t="shared" si="90"/>
        <v>BR_VW_AFS_dv360_DIS_PROG_CPM_STD_LDR_AAF_RON_CXD_After-Sales-Oficina-Classicos-REG06-lal-add-to-cart-ofertas_PD_300x250</v>
      </c>
      <c r="AF446" s="21" t="str">
        <f t="shared" si="91"/>
        <v>BR_VW_AFS_dv360_DIS_PROG_CPM_STD_LDR_AAF_RON_CXD_After-Sales-Oficina-Classicos-REG06-lal-add-to-cart-ofertas_PD_300x250</v>
      </c>
      <c r="AG446" s="21" t="str">
        <f t="shared" si="92"/>
        <v>VW_After-Sales-lal-add-to-cart-ofertas_300x250_After-Sales-Oficina-Classicos-REG06-adserver</v>
      </c>
      <c r="AH446" s="21" t="str">
        <f t="shared" si="93"/>
        <v>https://www.oficinadeclassicos.com.br/index.aspx?utm_source=dv360&amp;utm_medium=Programmatic&amp;utm_content=BR_VW_AFS_dv360_DIS_PROG_CPM_STD_LDR_AAF_RON_CXD_After-Sales-Oficina-Classicos-REG06-lal-add-to-cart-ofertas_PD_300x250&amp;utm_campaign=BR_AAF_DSY_NONMS_ND_AS_2019Q2APR_AFS_After-Sales&amp;utm_term=%epid!_%ecid!_%eaid!</v>
      </c>
      <c r="AI446" s="21" t="str">
        <f t="shared" si="94"/>
        <v>TAG</v>
      </c>
      <c r="AJ446" s="15" t="str">
        <f t="shared" ref="AJ446:AJ509" si="97">H446</f>
        <v>dv360</v>
      </c>
      <c r="AK446" s="15" t="str">
        <f t="shared" ref="AK446:AK509" si="98">J446</f>
        <v>Programmatic</v>
      </c>
      <c r="AL446" s="21" t="str">
        <f>Campanha!$B$3</f>
        <v>BR_AAF_DSY_NONMS_ND_AS_2019Q2APR_AFS_After-Sales</v>
      </c>
      <c r="AM446" s="21" t="str">
        <f t="shared" si="95"/>
        <v>BR_VW_AFS_dv360_DIS_PROG_CPM_STD_LDR_AAF_RON_CXD_After-Sales-Oficina-Classicos-REG06-lal-add-to-cart-ofertas_PD_300x250</v>
      </c>
      <c r="AN446" s="15" t="s">
        <v>809</v>
      </c>
    </row>
    <row r="447" spans="2:40" hidden="1" x14ac:dyDescent="0.25">
      <c r="B447" s="15" t="s">
        <v>872</v>
      </c>
      <c r="C447" s="15"/>
      <c r="D447" s="30" t="s">
        <v>873</v>
      </c>
      <c r="E447" s="22">
        <v>44155</v>
      </c>
      <c r="F447" s="22">
        <v>44196</v>
      </c>
      <c r="G447" s="15" t="s">
        <v>674</v>
      </c>
      <c r="H447" s="15" t="s">
        <v>811</v>
      </c>
      <c r="I447" s="15" t="s">
        <v>702</v>
      </c>
      <c r="J447" s="15" t="s">
        <v>325</v>
      </c>
      <c r="K447" s="15" t="s">
        <v>334</v>
      </c>
      <c r="L447" s="15" t="s">
        <v>358</v>
      </c>
      <c r="M447" s="15" t="s">
        <v>322</v>
      </c>
      <c r="N447" s="15" t="s">
        <v>708</v>
      </c>
      <c r="O447" s="15" t="s">
        <v>694</v>
      </c>
      <c r="P447" s="15" t="s">
        <v>1045</v>
      </c>
      <c r="Q447" s="15" t="s">
        <v>876</v>
      </c>
      <c r="R447" s="15" t="s">
        <v>835</v>
      </c>
      <c r="S447" s="15" t="s">
        <v>348</v>
      </c>
      <c r="T447" s="15" t="s">
        <v>614</v>
      </c>
      <c r="AC447" s="32" t="s">
        <v>885</v>
      </c>
      <c r="AD447" s="33" t="e">
        <f t="shared" si="96"/>
        <v>#N/A</v>
      </c>
      <c r="AE447" s="21" t="str">
        <f t="shared" si="90"/>
        <v>BR_VW_AFS_dv360_DIS_PROG_CPM_STD_LDR_AAF_RON_CXD_After-Sales-Oficina-Classicos-REG06-lal-add-to-cart-ofertas_PD_728x90</v>
      </c>
      <c r="AF447" s="21" t="str">
        <f t="shared" si="91"/>
        <v>BR_VW_AFS_dv360_DIS_PROG_CPM_STD_LDR_AAF_RON_CXD_After-Sales-Oficina-Classicos-REG06-lal-add-to-cart-ofertas_PD_728x90</v>
      </c>
      <c r="AG447" s="21" t="str">
        <f t="shared" si="92"/>
        <v>VW_After-Sales-lal-add-to-cart-ofertas_728x90_After-Sales-Oficina-Classicos-REG06-adserver</v>
      </c>
      <c r="AH447" s="21" t="str">
        <f t="shared" si="93"/>
        <v>https://www.oficinadeclassicos.com.br/index.aspx?utm_source=dv360&amp;utm_medium=Programmatic&amp;utm_content=BR_VW_AFS_dv360_DIS_PROG_CPM_STD_LDR_AAF_RON_CXD_After-Sales-Oficina-Classicos-REG06-lal-add-to-cart-ofertas_PD_728x90&amp;utm_campaign=BR_AAF_DSY_NONMS_ND_AS_2019Q2APR_AFS_After-Sales&amp;utm_term=%epid!_%ecid!_%eaid!</v>
      </c>
      <c r="AI447" s="21" t="str">
        <f t="shared" si="94"/>
        <v>TAG</v>
      </c>
      <c r="AJ447" s="15" t="str">
        <f t="shared" si="97"/>
        <v>dv360</v>
      </c>
      <c r="AK447" s="15" t="str">
        <f t="shared" si="98"/>
        <v>Programmatic</v>
      </c>
      <c r="AL447" s="21" t="str">
        <f>Campanha!$B$3</f>
        <v>BR_AAF_DSY_NONMS_ND_AS_2019Q2APR_AFS_After-Sales</v>
      </c>
      <c r="AM447" s="21" t="str">
        <f t="shared" si="95"/>
        <v>BR_VW_AFS_dv360_DIS_PROG_CPM_STD_LDR_AAF_RON_CXD_After-Sales-Oficina-Classicos-REG06-lal-add-to-cart-ofertas_PD_728x90</v>
      </c>
      <c r="AN447" s="15" t="s">
        <v>809</v>
      </c>
    </row>
    <row r="448" spans="2:40" hidden="1" x14ac:dyDescent="0.25">
      <c r="B448" s="15" t="s">
        <v>872</v>
      </c>
      <c r="C448" s="15"/>
      <c r="D448" s="30" t="s">
        <v>873</v>
      </c>
      <c r="E448" s="22">
        <v>44155</v>
      </c>
      <c r="F448" s="22">
        <v>44196</v>
      </c>
      <c r="G448" s="15" t="s">
        <v>674</v>
      </c>
      <c r="H448" s="15" t="s">
        <v>811</v>
      </c>
      <c r="I448" s="15" t="s">
        <v>702</v>
      </c>
      <c r="J448" s="15" t="s">
        <v>325</v>
      </c>
      <c r="K448" s="15" t="s">
        <v>334</v>
      </c>
      <c r="L448" s="15" t="s">
        <v>358</v>
      </c>
      <c r="M448" s="15" t="s">
        <v>322</v>
      </c>
      <c r="N448" s="15" t="s">
        <v>708</v>
      </c>
      <c r="O448" s="15" t="s">
        <v>694</v>
      </c>
      <c r="P448" s="15" t="s">
        <v>1045</v>
      </c>
      <c r="Q448" s="15" t="s">
        <v>876</v>
      </c>
      <c r="R448" s="15" t="s">
        <v>835</v>
      </c>
      <c r="S448" s="15" t="s">
        <v>348</v>
      </c>
      <c r="T448" s="15" t="s">
        <v>652</v>
      </c>
      <c r="AC448" s="32" t="s">
        <v>885</v>
      </c>
      <c r="AD448" s="33" t="e">
        <f t="shared" si="96"/>
        <v>#N/A</v>
      </c>
      <c r="AE448" s="21" t="str">
        <f t="shared" si="90"/>
        <v>BR_VW_AFS_dv360_DIS_PROG_CPM_STD_LDR_AAF_RON_CXD_After-Sales-Oficina-Classicos-REG06-lal-add-to-cart-ofertas_PD_970x250</v>
      </c>
      <c r="AF448" s="21" t="str">
        <f t="shared" si="91"/>
        <v>BR_VW_AFS_dv360_DIS_PROG_CPM_STD_LDR_AAF_RON_CXD_After-Sales-Oficina-Classicos-REG06-lal-add-to-cart-ofertas_PD_970x250</v>
      </c>
      <c r="AG448" s="21" t="str">
        <f t="shared" si="92"/>
        <v>VW_After-Sales-lal-add-to-cart-ofertas_970x250_After-Sales-Oficina-Classicos-REG06-adserver</v>
      </c>
      <c r="AH448" s="21" t="str">
        <f t="shared" si="93"/>
        <v>https://www.oficinadeclassicos.com.br/index.aspx?utm_source=dv360&amp;utm_medium=Programmatic&amp;utm_content=BR_VW_AFS_dv360_DIS_PROG_CPM_STD_LDR_AAF_RON_CXD_After-Sales-Oficina-Classicos-REG06-lal-add-to-cart-ofertas_PD_970x250&amp;utm_campaign=BR_AAF_DSY_NONMS_ND_AS_2019Q2APR_AFS_After-Sales&amp;utm_term=%epid!_%ecid!_%eaid!</v>
      </c>
      <c r="AI448" s="21" t="str">
        <f t="shared" si="94"/>
        <v>TAG</v>
      </c>
      <c r="AJ448" s="15" t="str">
        <f t="shared" si="97"/>
        <v>dv360</v>
      </c>
      <c r="AK448" s="15" t="str">
        <f t="shared" si="98"/>
        <v>Programmatic</v>
      </c>
      <c r="AL448" s="21" t="str">
        <f>Campanha!$B$3</f>
        <v>BR_AAF_DSY_NONMS_ND_AS_2019Q2APR_AFS_After-Sales</v>
      </c>
      <c r="AM448" s="21" t="str">
        <f t="shared" si="95"/>
        <v>BR_VW_AFS_dv360_DIS_PROG_CPM_STD_LDR_AAF_RON_CXD_After-Sales-Oficina-Classicos-REG06-lal-add-to-cart-ofertas_PD_970x250</v>
      </c>
      <c r="AN448" s="15" t="s">
        <v>809</v>
      </c>
    </row>
    <row r="449" spans="2:40" hidden="1" x14ac:dyDescent="0.25">
      <c r="B449" s="15" t="s">
        <v>872</v>
      </c>
      <c r="C449" s="15"/>
      <c r="D449" s="30" t="s">
        <v>873</v>
      </c>
      <c r="E449" s="22">
        <v>44155</v>
      </c>
      <c r="F449" s="22">
        <v>44196</v>
      </c>
      <c r="G449" s="15" t="s">
        <v>674</v>
      </c>
      <c r="H449" s="15" t="s">
        <v>811</v>
      </c>
      <c r="I449" s="15" t="s">
        <v>702</v>
      </c>
      <c r="J449" s="15" t="s">
        <v>325</v>
      </c>
      <c r="K449" s="15" t="s">
        <v>334</v>
      </c>
      <c r="L449" s="15" t="s">
        <v>358</v>
      </c>
      <c r="M449" s="15" t="s">
        <v>322</v>
      </c>
      <c r="N449" s="15" t="s">
        <v>708</v>
      </c>
      <c r="O449" s="15" t="s">
        <v>694</v>
      </c>
      <c r="P449" s="15" t="s">
        <v>1045</v>
      </c>
      <c r="Q449" s="15" t="s">
        <v>890</v>
      </c>
      <c r="R449" s="15" t="s">
        <v>835</v>
      </c>
      <c r="S449" s="15" t="s">
        <v>348</v>
      </c>
      <c r="T449" s="15" t="s">
        <v>457</v>
      </c>
      <c r="AC449" s="32" t="s">
        <v>885</v>
      </c>
      <c r="AD449" s="33" t="e">
        <f t="shared" si="96"/>
        <v>#N/A</v>
      </c>
      <c r="AE449" s="21" t="str">
        <f t="shared" si="90"/>
        <v>BR_VW_AFS_dv360_DIS_PROG_CPM_STD_LDR_AAF_RON_CXD_After-Sales-Oficina-Classicos-REG06-lal-home-ofertas_PD_160x600</v>
      </c>
      <c r="AF449" s="21" t="str">
        <f t="shared" si="91"/>
        <v>BR_VW_AFS_dv360_DIS_PROG_CPM_STD_LDR_AAF_RON_CXD_After-Sales-Oficina-Classicos-REG06-lal-home-ofertas_PD_160x600</v>
      </c>
      <c r="AG449" s="21" t="str">
        <f t="shared" si="92"/>
        <v>VW_After-Sales-lal-home-ofertas_160x600_After-Sales-Oficina-Classicos-REG06-adserver</v>
      </c>
      <c r="AH449" s="21" t="str">
        <f t="shared" si="93"/>
        <v>https://www.oficinadeclassicos.com.br/index.aspx?utm_source=dv360&amp;utm_medium=Programmatic&amp;utm_content=BR_VW_AFS_dv360_DIS_PROG_CPM_STD_LDR_AAF_RON_CXD_After-Sales-Oficina-Classicos-REG06-lal-home-ofertas_PD_160x600&amp;utm_campaign=BR_AAF_DSY_NONMS_ND_AS_2019Q2APR_AFS_After-Sales&amp;utm_term=%epid!_%ecid!_%eaid!</v>
      </c>
      <c r="AI449" s="21" t="str">
        <f t="shared" si="94"/>
        <v>TAG</v>
      </c>
      <c r="AJ449" s="15" t="str">
        <f t="shared" si="97"/>
        <v>dv360</v>
      </c>
      <c r="AK449" s="15" t="str">
        <f t="shared" si="98"/>
        <v>Programmatic</v>
      </c>
      <c r="AL449" s="21" t="str">
        <f>Campanha!$B$3</f>
        <v>BR_AAF_DSY_NONMS_ND_AS_2019Q2APR_AFS_After-Sales</v>
      </c>
      <c r="AM449" s="21" t="str">
        <f t="shared" si="95"/>
        <v>BR_VW_AFS_dv360_DIS_PROG_CPM_STD_LDR_AAF_RON_CXD_After-Sales-Oficina-Classicos-REG06-lal-home-ofertas_PD_160x600</v>
      </c>
      <c r="AN449" s="15" t="s">
        <v>809</v>
      </c>
    </row>
    <row r="450" spans="2:40" hidden="1" x14ac:dyDescent="0.25">
      <c r="B450" s="15" t="s">
        <v>872</v>
      </c>
      <c r="C450" s="15"/>
      <c r="D450" s="30" t="s">
        <v>873</v>
      </c>
      <c r="E450" s="22">
        <v>44155</v>
      </c>
      <c r="F450" s="22">
        <v>44196</v>
      </c>
      <c r="G450" s="15" t="s">
        <v>674</v>
      </c>
      <c r="H450" s="15" t="s">
        <v>811</v>
      </c>
      <c r="I450" s="15" t="s">
        <v>702</v>
      </c>
      <c r="J450" s="15" t="s">
        <v>325</v>
      </c>
      <c r="K450" s="15" t="s">
        <v>334</v>
      </c>
      <c r="L450" s="15" t="s">
        <v>358</v>
      </c>
      <c r="M450" s="15" t="s">
        <v>322</v>
      </c>
      <c r="N450" s="15" t="s">
        <v>708</v>
      </c>
      <c r="O450" s="15" t="s">
        <v>694</v>
      </c>
      <c r="P450" s="15" t="s">
        <v>1045</v>
      </c>
      <c r="Q450" s="15" t="s">
        <v>890</v>
      </c>
      <c r="R450" s="15" t="s">
        <v>835</v>
      </c>
      <c r="S450" s="15" t="s">
        <v>348</v>
      </c>
      <c r="T450" s="15" t="s">
        <v>484</v>
      </c>
      <c r="AC450" s="32" t="s">
        <v>885</v>
      </c>
      <c r="AD450" s="33" t="e">
        <f t="shared" si="96"/>
        <v>#N/A</v>
      </c>
      <c r="AE450" s="21" t="str">
        <f t="shared" si="90"/>
        <v>BR_VW_AFS_dv360_DIS_PROG_CPM_STD_LDR_AAF_RON_CXD_After-Sales-Oficina-Classicos-REG06-lal-home-ofertas_PD_300x50</v>
      </c>
      <c r="AF450" s="21" t="str">
        <f t="shared" si="91"/>
        <v>BR_VW_AFS_dv360_DIS_PROG_CPM_STD_LDR_AAF_RON_CXD_After-Sales-Oficina-Classicos-REG06-lal-home-ofertas_PD_300x50</v>
      </c>
      <c r="AG450" s="21" t="str">
        <f t="shared" si="92"/>
        <v>VW_After-Sales-lal-home-ofertas_300x50_After-Sales-Oficina-Classicos-REG06-adserver</v>
      </c>
      <c r="AH450" s="21" t="str">
        <f t="shared" si="93"/>
        <v>https://www.oficinadeclassicos.com.br/index.aspx?utm_source=dv360&amp;utm_medium=Programmatic&amp;utm_content=BR_VW_AFS_dv360_DIS_PROG_CPM_STD_LDR_AAF_RON_CXD_After-Sales-Oficina-Classicos-REG06-lal-home-ofertas_PD_300x50&amp;utm_campaign=BR_AAF_DSY_NONMS_ND_AS_2019Q2APR_AFS_After-Sales&amp;utm_term=%epid!_%ecid!_%eaid!</v>
      </c>
      <c r="AI450" s="21" t="str">
        <f t="shared" si="94"/>
        <v>TAG</v>
      </c>
      <c r="AJ450" s="15" t="str">
        <f t="shared" si="97"/>
        <v>dv360</v>
      </c>
      <c r="AK450" s="15" t="str">
        <f t="shared" si="98"/>
        <v>Programmatic</v>
      </c>
      <c r="AL450" s="21" t="str">
        <f>Campanha!$B$3</f>
        <v>BR_AAF_DSY_NONMS_ND_AS_2019Q2APR_AFS_After-Sales</v>
      </c>
      <c r="AM450" s="21" t="str">
        <f t="shared" si="95"/>
        <v>BR_VW_AFS_dv360_DIS_PROG_CPM_STD_LDR_AAF_RON_CXD_After-Sales-Oficina-Classicos-REG06-lal-home-ofertas_PD_300x50</v>
      </c>
      <c r="AN450" s="15" t="s">
        <v>809</v>
      </c>
    </row>
    <row r="451" spans="2:40" hidden="1" x14ac:dyDescent="0.25">
      <c r="B451" s="15" t="s">
        <v>872</v>
      </c>
      <c r="C451" s="15"/>
      <c r="D451" s="30" t="s">
        <v>873</v>
      </c>
      <c r="E451" s="22">
        <v>44155</v>
      </c>
      <c r="F451" s="22">
        <v>44196</v>
      </c>
      <c r="G451" s="15" t="s">
        <v>674</v>
      </c>
      <c r="H451" s="15" t="s">
        <v>811</v>
      </c>
      <c r="I451" s="15" t="s">
        <v>702</v>
      </c>
      <c r="J451" s="15" t="s">
        <v>325</v>
      </c>
      <c r="K451" s="15" t="s">
        <v>334</v>
      </c>
      <c r="L451" s="15" t="s">
        <v>358</v>
      </c>
      <c r="M451" s="15" t="s">
        <v>322</v>
      </c>
      <c r="N451" s="15" t="s">
        <v>708</v>
      </c>
      <c r="O451" s="15" t="s">
        <v>694</v>
      </c>
      <c r="P451" s="15" t="s">
        <v>1045</v>
      </c>
      <c r="Q451" s="15" t="s">
        <v>890</v>
      </c>
      <c r="R451" s="15" t="s">
        <v>835</v>
      </c>
      <c r="S451" s="15" t="s">
        <v>348</v>
      </c>
      <c r="T451" s="15" t="s">
        <v>478</v>
      </c>
      <c r="AC451" s="32" t="s">
        <v>885</v>
      </c>
      <c r="AD451" s="33" t="e">
        <f t="shared" si="96"/>
        <v>#N/A</v>
      </c>
      <c r="AE451" s="21" t="str">
        <f t="shared" si="90"/>
        <v>BR_VW_AFS_dv360_DIS_PROG_CPM_STD_LDR_AAF_RON_CXD_After-Sales-Oficina-Classicos-REG06-lal-home-ofertas_PD_300x250</v>
      </c>
      <c r="AF451" s="21" t="str">
        <f t="shared" si="91"/>
        <v>BR_VW_AFS_dv360_DIS_PROG_CPM_STD_LDR_AAF_RON_CXD_After-Sales-Oficina-Classicos-REG06-lal-home-ofertas_PD_300x250</v>
      </c>
      <c r="AG451" s="21" t="str">
        <f t="shared" si="92"/>
        <v>VW_After-Sales-lal-home-ofertas_300x250_After-Sales-Oficina-Classicos-REG06-adserver</v>
      </c>
      <c r="AH451" s="21" t="str">
        <f t="shared" si="93"/>
        <v>https://www.oficinadeclassicos.com.br/index.aspx?utm_source=dv360&amp;utm_medium=Programmatic&amp;utm_content=BR_VW_AFS_dv360_DIS_PROG_CPM_STD_LDR_AAF_RON_CXD_After-Sales-Oficina-Classicos-REG06-lal-home-ofertas_PD_300x250&amp;utm_campaign=BR_AAF_DSY_NONMS_ND_AS_2019Q2APR_AFS_After-Sales&amp;utm_term=%epid!_%ecid!_%eaid!</v>
      </c>
      <c r="AI451" s="21" t="str">
        <f t="shared" si="94"/>
        <v>TAG</v>
      </c>
      <c r="AJ451" s="15" t="str">
        <f t="shared" si="97"/>
        <v>dv360</v>
      </c>
      <c r="AK451" s="15" t="str">
        <f t="shared" si="98"/>
        <v>Programmatic</v>
      </c>
      <c r="AL451" s="21" t="str">
        <f>Campanha!$B$3</f>
        <v>BR_AAF_DSY_NONMS_ND_AS_2019Q2APR_AFS_After-Sales</v>
      </c>
      <c r="AM451" s="21" t="str">
        <f t="shared" si="95"/>
        <v>BR_VW_AFS_dv360_DIS_PROG_CPM_STD_LDR_AAF_RON_CXD_After-Sales-Oficina-Classicos-REG06-lal-home-ofertas_PD_300x250</v>
      </c>
      <c r="AN451" s="15" t="s">
        <v>809</v>
      </c>
    </row>
    <row r="452" spans="2:40" hidden="1" x14ac:dyDescent="0.25">
      <c r="B452" s="15" t="s">
        <v>872</v>
      </c>
      <c r="C452" s="15"/>
      <c r="D452" s="30" t="s">
        <v>873</v>
      </c>
      <c r="E452" s="22">
        <v>44155</v>
      </c>
      <c r="F452" s="22">
        <v>44196</v>
      </c>
      <c r="G452" s="15" t="s">
        <v>674</v>
      </c>
      <c r="H452" s="15" t="s">
        <v>811</v>
      </c>
      <c r="I452" s="15" t="s">
        <v>702</v>
      </c>
      <c r="J452" s="15" t="s">
        <v>325</v>
      </c>
      <c r="K452" s="15" t="s">
        <v>334</v>
      </c>
      <c r="L452" s="15" t="s">
        <v>358</v>
      </c>
      <c r="M452" s="15" t="s">
        <v>322</v>
      </c>
      <c r="N452" s="15" t="s">
        <v>708</v>
      </c>
      <c r="O452" s="15" t="s">
        <v>694</v>
      </c>
      <c r="P452" s="15" t="s">
        <v>1045</v>
      </c>
      <c r="Q452" s="15" t="s">
        <v>890</v>
      </c>
      <c r="R452" s="15" t="s">
        <v>835</v>
      </c>
      <c r="S452" s="15" t="s">
        <v>348</v>
      </c>
      <c r="T452" s="15" t="s">
        <v>614</v>
      </c>
      <c r="AC452" s="32" t="s">
        <v>885</v>
      </c>
      <c r="AD452" s="33" t="e">
        <f t="shared" si="96"/>
        <v>#N/A</v>
      </c>
      <c r="AE452" s="21" t="str">
        <f t="shared" si="90"/>
        <v>BR_VW_AFS_dv360_DIS_PROG_CPM_STD_LDR_AAF_RON_CXD_After-Sales-Oficina-Classicos-REG06-lal-home-ofertas_PD_728x90</v>
      </c>
      <c r="AF452" s="21" t="str">
        <f t="shared" si="91"/>
        <v>BR_VW_AFS_dv360_DIS_PROG_CPM_STD_LDR_AAF_RON_CXD_After-Sales-Oficina-Classicos-REG06-lal-home-ofertas_PD_728x90</v>
      </c>
      <c r="AG452" s="21" t="str">
        <f t="shared" si="92"/>
        <v>VW_After-Sales-lal-home-ofertas_728x90_After-Sales-Oficina-Classicos-REG06-adserver</v>
      </c>
      <c r="AH452" s="21" t="str">
        <f t="shared" si="93"/>
        <v>https://www.oficinadeclassicos.com.br/index.aspx?utm_source=dv360&amp;utm_medium=Programmatic&amp;utm_content=BR_VW_AFS_dv360_DIS_PROG_CPM_STD_LDR_AAF_RON_CXD_After-Sales-Oficina-Classicos-REG06-lal-home-ofertas_PD_728x90&amp;utm_campaign=BR_AAF_DSY_NONMS_ND_AS_2019Q2APR_AFS_After-Sales&amp;utm_term=%epid!_%ecid!_%eaid!</v>
      </c>
      <c r="AI452" s="21" t="str">
        <f t="shared" si="94"/>
        <v>TAG</v>
      </c>
      <c r="AJ452" s="15" t="str">
        <f t="shared" si="97"/>
        <v>dv360</v>
      </c>
      <c r="AK452" s="15" t="str">
        <f t="shared" si="98"/>
        <v>Programmatic</v>
      </c>
      <c r="AL452" s="21" t="str">
        <f>Campanha!$B$3</f>
        <v>BR_AAF_DSY_NONMS_ND_AS_2019Q2APR_AFS_After-Sales</v>
      </c>
      <c r="AM452" s="21" t="str">
        <f t="shared" si="95"/>
        <v>BR_VW_AFS_dv360_DIS_PROG_CPM_STD_LDR_AAF_RON_CXD_After-Sales-Oficina-Classicos-REG06-lal-home-ofertas_PD_728x90</v>
      </c>
      <c r="AN452" s="15" t="s">
        <v>809</v>
      </c>
    </row>
    <row r="453" spans="2:40" hidden="1" x14ac:dyDescent="0.25">
      <c r="B453" s="15" t="s">
        <v>872</v>
      </c>
      <c r="C453" s="15"/>
      <c r="D453" s="30" t="s">
        <v>873</v>
      </c>
      <c r="E453" s="22">
        <v>44155</v>
      </c>
      <c r="F453" s="22">
        <v>44196</v>
      </c>
      <c r="G453" s="15" t="s">
        <v>674</v>
      </c>
      <c r="H453" s="15" t="s">
        <v>811</v>
      </c>
      <c r="I453" s="15" t="s">
        <v>702</v>
      </c>
      <c r="J453" s="15" t="s">
        <v>325</v>
      </c>
      <c r="K453" s="15" t="s">
        <v>334</v>
      </c>
      <c r="L453" s="15" t="s">
        <v>358</v>
      </c>
      <c r="M453" s="15" t="s">
        <v>322</v>
      </c>
      <c r="N453" s="15" t="s">
        <v>708</v>
      </c>
      <c r="O453" s="15" t="s">
        <v>694</v>
      </c>
      <c r="P453" s="15" t="s">
        <v>1045</v>
      </c>
      <c r="Q453" s="15" t="s">
        <v>890</v>
      </c>
      <c r="R453" s="15" t="s">
        <v>835</v>
      </c>
      <c r="S453" s="15" t="s">
        <v>348</v>
      </c>
      <c r="T453" s="15" t="s">
        <v>652</v>
      </c>
      <c r="AC453" s="32" t="s">
        <v>885</v>
      </c>
      <c r="AD453" s="33" t="e">
        <f t="shared" si="96"/>
        <v>#N/A</v>
      </c>
      <c r="AE453" s="21" t="str">
        <f t="shared" si="90"/>
        <v>BR_VW_AFS_dv360_DIS_PROG_CPM_STD_LDR_AAF_RON_CXD_After-Sales-Oficina-Classicos-REG06-lal-home-ofertas_PD_970x250</v>
      </c>
      <c r="AF453" s="21" t="str">
        <f t="shared" si="91"/>
        <v>BR_VW_AFS_dv360_DIS_PROG_CPM_STD_LDR_AAF_RON_CXD_After-Sales-Oficina-Classicos-REG06-lal-home-ofertas_PD_970x250</v>
      </c>
      <c r="AG453" s="21" t="str">
        <f t="shared" si="92"/>
        <v>VW_After-Sales-lal-home-ofertas_970x250_After-Sales-Oficina-Classicos-REG06-adserver</v>
      </c>
      <c r="AH453" s="21" t="str">
        <f t="shared" si="93"/>
        <v>https://www.oficinadeclassicos.com.br/index.aspx?utm_source=dv360&amp;utm_medium=Programmatic&amp;utm_content=BR_VW_AFS_dv360_DIS_PROG_CPM_STD_LDR_AAF_RON_CXD_After-Sales-Oficina-Classicos-REG06-lal-home-ofertas_PD_970x250&amp;utm_campaign=BR_AAF_DSY_NONMS_ND_AS_2019Q2APR_AFS_After-Sales&amp;utm_term=%epid!_%ecid!_%eaid!</v>
      </c>
      <c r="AI453" s="21" t="str">
        <f t="shared" si="94"/>
        <v>TAG</v>
      </c>
      <c r="AJ453" s="15" t="str">
        <f t="shared" si="97"/>
        <v>dv360</v>
      </c>
      <c r="AK453" s="15" t="str">
        <f t="shared" si="98"/>
        <v>Programmatic</v>
      </c>
      <c r="AL453" s="21" t="str">
        <f>Campanha!$B$3</f>
        <v>BR_AAF_DSY_NONMS_ND_AS_2019Q2APR_AFS_After-Sales</v>
      </c>
      <c r="AM453" s="21" t="str">
        <f t="shared" si="95"/>
        <v>BR_VW_AFS_dv360_DIS_PROG_CPM_STD_LDR_AAF_RON_CXD_After-Sales-Oficina-Classicos-REG06-lal-home-ofertas_PD_970x250</v>
      </c>
      <c r="AN453" s="15" t="s">
        <v>809</v>
      </c>
    </row>
    <row r="454" spans="2:40" hidden="1" x14ac:dyDescent="0.25">
      <c r="B454" s="15" t="s">
        <v>872</v>
      </c>
      <c r="C454" s="15"/>
      <c r="D454" s="30" t="s">
        <v>873</v>
      </c>
      <c r="E454" s="22">
        <v>44155</v>
      </c>
      <c r="F454" s="22">
        <v>44196</v>
      </c>
      <c r="G454" s="15" t="s">
        <v>674</v>
      </c>
      <c r="H454" s="15" t="s">
        <v>811</v>
      </c>
      <c r="I454" s="15" t="s">
        <v>702</v>
      </c>
      <c r="J454" s="15" t="s">
        <v>325</v>
      </c>
      <c r="K454" s="15" t="s">
        <v>334</v>
      </c>
      <c r="L454" s="15" t="s">
        <v>358</v>
      </c>
      <c r="M454" s="15" t="s">
        <v>322</v>
      </c>
      <c r="N454" s="15" t="s">
        <v>708</v>
      </c>
      <c r="O454" s="15" t="s">
        <v>694</v>
      </c>
      <c r="P454" s="15" t="s">
        <v>1045</v>
      </c>
      <c r="Q454" s="15" t="s">
        <v>874</v>
      </c>
      <c r="R454" s="15" t="s">
        <v>835</v>
      </c>
      <c r="S454" s="15" t="s">
        <v>348</v>
      </c>
      <c r="T454" s="15" t="s">
        <v>457</v>
      </c>
      <c r="AC454" s="32" t="s">
        <v>885</v>
      </c>
      <c r="AD454" s="33" t="e">
        <f t="shared" si="96"/>
        <v>#N/A</v>
      </c>
      <c r="AE454" s="21" t="str">
        <f t="shared" si="90"/>
        <v>BR_VW_AFS_dv360_DIS_PROG_CPM_STD_LDR_AAF_RON_CXD_After-Sales-Oficina-Classicos-REG06-rmkt-visita-home-ofertas_PD_160x600</v>
      </c>
      <c r="AF454" s="21" t="str">
        <f t="shared" si="91"/>
        <v>BR_VW_AFS_dv360_DIS_PROG_CPM_STD_LDR_AAF_RON_CXD_After-Sales-Oficina-Classicos-REG06-rmkt-visita-home-ofertas_PD_160x600</v>
      </c>
      <c r="AG454" s="21" t="str">
        <f t="shared" si="92"/>
        <v>VW_After-Sales-rmkt-visita-home-ofertas_160x600_After-Sales-Oficina-Classicos-REG06-adserver</v>
      </c>
      <c r="AH454" s="21" t="str">
        <f t="shared" si="93"/>
        <v>https://www.oficinadeclassicos.com.br/index.aspx?utm_source=dv360&amp;utm_medium=Programmatic&amp;utm_content=BR_VW_AFS_dv360_DIS_PROG_CPM_STD_LDR_AAF_RON_CXD_After-Sales-Oficina-Classicos-REG06-rmkt-visita-home-ofertas_PD_160x600&amp;utm_campaign=BR_AAF_DSY_NONMS_ND_AS_2019Q2APR_AFS_After-Sales&amp;utm_term=%epid!_%ecid!_%eaid!</v>
      </c>
      <c r="AI454" s="21" t="str">
        <f t="shared" si="94"/>
        <v>TAG</v>
      </c>
      <c r="AJ454" s="15" t="str">
        <f t="shared" si="97"/>
        <v>dv360</v>
      </c>
      <c r="AK454" s="15" t="str">
        <f t="shared" si="98"/>
        <v>Programmatic</v>
      </c>
      <c r="AL454" s="21" t="str">
        <f>Campanha!$B$3</f>
        <v>BR_AAF_DSY_NONMS_ND_AS_2019Q2APR_AFS_After-Sales</v>
      </c>
      <c r="AM454" s="21" t="str">
        <f t="shared" si="95"/>
        <v>BR_VW_AFS_dv360_DIS_PROG_CPM_STD_LDR_AAF_RON_CXD_After-Sales-Oficina-Classicos-REG06-rmkt-visita-home-ofertas_PD_160x600</v>
      </c>
      <c r="AN454" s="15" t="s">
        <v>809</v>
      </c>
    </row>
    <row r="455" spans="2:40" hidden="1" x14ac:dyDescent="0.25">
      <c r="B455" s="15" t="s">
        <v>872</v>
      </c>
      <c r="C455" s="15"/>
      <c r="D455" s="30" t="s">
        <v>873</v>
      </c>
      <c r="E455" s="22">
        <v>44155</v>
      </c>
      <c r="F455" s="22">
        <v>44196</v>
      </c>
      <c r="G455" s="15" t="s">
        <v>674</v>
      </c>
      <c r="H455" s="15" t="s">
        <v>811</v>
      </c>
      <c r="I455" s="15" t="s">
        <v>702</v>
      </c>
      <c r="J455" s="15" t="s">
        <v>325</v>
      </c>
      <c r="K455" s="15" t="s">
        <v>334</v>
      </c>
      <c r="L455" s="15" t="s">
        <v>358</v>
      </c>
      <c r="M455" s="15" t="s">
        <v>322</v>
      </c>
      <c r="N455" s="15" t="s">
        <v>708</v>
      </c>
      <c r="O455" s="15" t="s">
        <v>694</v>
      </c>
      <c r="P455" s="15" t="s">
        <v>1045</v>
      </c>
      <c r="Q455" s="15" t="s">
        <v>874</v>
      </c>
      <c r="R455" s="15" t="s">
        <v>835</v>
      </c>
      <c r="S455" s="15" t="s">
        <v>348</v>
      </c>
      <c r="T455" s="15" t="s">
        <v>484</v>
      </c>
      <c r="AC455" s="32" t="s">
        <v>885</v>
      </c>
      <c r="AD455" s="33" t="e">
        <f t="shared" si="96"/>
        <v>#N/A</v>
      </c>
      <c r="AE455" s="21" t="str">
        <f t="shared" si="90"/>
        <v>BR_VW_AFS_dv360_DIS_PROG_CPM_STD_LDR_AAF_RON_CXD_After-Sales-Oficina-Classicos-REG06-rmkt-visita-home-ofertas_PD_300x50</v>
      </c>
      <c r="AF455" s="21" t="str">
        <f t="shared" si="91"/>
        <v>BR_VW_AFS_dv360_DIS_PROG_CPM_STD_LDR_AAF_RON_CXD_After-Sales-Oficina-Classicos-REG06-rmkt-visita-home-ofertas_PD_300x50</v>
      </c>
      <c r="AG455" s="21" t="str">
        <f t="shared" si="92"/>
        <v>VW_After-Sales-rmkt-visita-home-ofertas_300x50_After-Sales-Oficina-Classicos-REG06-adserver</v>
      </c>
      <c r="AH455" s="21" t="str">
        <f t="shared" si="93"/>
        <v>https://www.oficinadeclassicos.com.br/index.aspx?utm_source=dv360&amp;utm_medium=Programmatic&amp;utm_content=BR_VW_AFS_dv360_DIS_PROG_CPM_STD_LDR_AAF_RON_CXD_After-Sales-Oficina-Classicos-REG06-rmkt-visita-home-ofertas_PD_300x50&amp;utm_campaign=BR_AAF_DSY_NONMS_ND_AS_2019Q2APR_AFS_After-Sales&amp;utm_term=%epid!_%ecid!_%eaid!</v>
      </c>
      <c r="AI455" s="21" t="str">
        <f t="shared" si="94"/>
        <v>TAG</v>
      </c>
      <c r="AJ455" s="15" t="str">
        <f t="shared" si="97"/>
        <v>dv360</v>
      </c>
      <c r="AK455" s="15" t="str">
        <f t="shared" si="98"/>
        <v>Programmatic</v>
      </c>
      <c r="AL455" s="21" t="str">
        <f>Campanha!$B$3</f>
        <v>BR_AAF_DSY_NONMS_ND_AS_2019Q2APR_AFS_After-Sales</v>
      </c>
      <c r="AM455" s="21" t="str">
        <f t="shared" si="95"/>
        <v>BR_VW_AFS_dv360_DIS_PROG_CPM_STD_LDR_AAF_RON_CXD_After-Sales-Oficina-Classicos-REG06-rmkt-visita-home-ofertas_PD_300x50</v>
      </c>
      <c r="AN455" s="15" t="s">
        <v>809</v>
      </c>
    </row>
    <row r="456" spans="2:40" hidden="1" x14ac:dyDescent="0.25">
      <c r="B456" s="15" t="s">
        <v>872</v>
      </c>
      <c r="C456" s="15"/>
      <c r="D456" s="30" t="s">
        <v>873</v>
      </c>
      <c r="E456" s="22">
        <v>44155</v>
      </c>
      <c r="F456" s="22">
        <v>44196</v>
      </c>
      <c r="G456" s="15" t="s">
        <v>674</v>
      </c>
      <c r="H456" s="15" t="s">
        <v>811</v>
      </c>
      <c r="I456" s="15" t="s">
        <v>702</v>
      </c>
      <c r="J456" s="15" t="s">
        <v>325</v>
      </c>
      <c r="K456" s="15" t="s">
        <v>334</v>
      </c>
      <c r="L456" s="15" t="s">
        <v>358</v>
      </c>
      <c r="M456" s="15" t="s">
        <v>322</v>
      </c>
      <c r="N456" s="15" t="s">
        <v>708</v>
      </c>
      <c r="O456" s="15" t="s">
        <v>694</v>
      </c>
      <c r="P456" s="15" t="s">
        <v>1045</v>
      </c>
      <c r="Q456" s="15" t="s">
        <v>874</v>
      </c>
      <c r="R456" s="15" t="s">
        <v>835</v>
      </c>
      <c r="S456" s="15" t="s">
        <v>348</v>
      </c>
      <c r="T456" s="15" t="s">
        <v>478</v>
      </c>
      <c r="AC456" s="32" t="s">
        <v>885</v>
      </c>
      <c r="AD456" s="33" t="e">
        <f t="shared" si="96"/>
        <v>#N/A</v>
      </c>
      <c r="AE456" s="21" t="str">
        <f t="shared" si="90"/>
        <v>BR_VW_AFS_dv360_DIS_PROG_CPM_STD_LDR_AAF_RON_CXD_After-Sales-Oficina-Classicos-REG06-rmkt-visita-home-ofertas_PD_300x250</v>
      </c>
      <c r="AF456" s="21" t="str">
        <f t="shared" si="91"/>
        <v>BR_VW_AFS_dv360_DIS_PROG_CPM_STD_LDR_AAF_RON_CXD_After-Sales-Oficina-Classicos-REG06-rmkt-visita-home-ofertas_PD_300x250</v>
      </c>
      <c r="AG456" s="21" t="str">
        <f t="shared" si="92"/>
        <v>VW_After-Sales-rmkt-visita-home-ofertas_300x250_After-Sales-Oficina-Classicos-REG06-adserver</v>
      </c>
      <c r="AH456" s="21" t="str">
        <f t="shared" si="93"/>
        <v>https://www.oficinadeclassicos.com.br/index.aspx?utm_source=dv360&amp;utm_medium=Programmatic&amp;utm_content=BR_VW_AFS_dv360_DIS_PROG_CPM_STD_LDR_AAF_RON_CXD_After-Sales-Oficina-Classicos-REG06-rmkt-visita-home-ofertas_PD_300x250&amp;utm_campaign=BR_AAF_DSY_NONMS_ND_AS_2019Q2APR_AFS_After-Sales&amp;utm_term=%epid!_%ecid!_%eaid!</v>
      </c>
      <c r="AI456" s="21" t="str">
        <f t="shared" si="94"/>
        <v>TAG</v>
      </c>
      <c r="AJ456" s="15" t="str">
        <f t="shared" si="97"/>
        <v>dv360</v>
      </c>
      <c r="AK456" s="15" t="str">
        <f t="shared" si="98"/>
        <v>Programmatic</v>
      </c>
      <c r="AL456" s="21" t="str">
        <f>Campanha!$B$3</f>
        <v>BR_AAF_DSY_NONMS_ND_AS_2019Q2APR_AFS_After-Sales</v>
      </c>
      <c r="AM456" s="21" t="str">
        <f t="shared" si="95"/>
        <v>BR_VW_AFS_dv360_DIS_PROG_CPM_STD_LDR_AAF_RON_CXD_After-Sales-Oficina-Classicos-REG06-rmkt-visita-home-ofertas_PD_300x250</v>
      </c>
      <c r="AN456" s="15" t="s">
        <v>809</v>
      </c>
    </row>
    <row r="457" spans="2:40" hidden="1" x14ac:dyDescent="0.25">
      <c r="B457" s="15" t="s">
        <v>872</v>
      </c>
      <c r="C457" s="15"/>
      <c r="D457" s="30" t="s">
        <v>873</v>
      </c>
      <c r="E457" s="22">
        <v>44155</v>
      </c>
      <c r="F457" s="22">
        <v>44196</v>
      </c>
      <c r="G457" s="15" t="s">
        <v>674</v>
      </c>
      <c r="H457" s="15" t="s">
        <v>811</v>
      </c>
      <c r="I457" s="15" t="s">
        <v>702</v>
      </c>
      <c r="J457" s="15" t="s">
        <v>325</v>
      </c>
      <c r="K457" s="15" t="s">
        <v>334</v>
      </c>
      <c r="L457" s="15" t="s">
        <v>358</v>
      </c>
      <c r="M457" s="15" t="s">
        <v>322</v>
      </c>
      <c r="N457" s="15" t="s">
        <v>708</v>
      </c>
      <c r="O457" s="15" t="s">
        <v>694</v>
      </c>
      <c r="P457" s="15" t="s">
        <v>1045</v>
      </c>
      <c r="Q457" s="15" t="s">
        <v>874</v>
      </c>
      <c r="R457" s="15" t="s">
        <v>835</v>
      </c>
      <c r="S457" s="15" t="s">
        <v>348</v>
      </c>
      <c r="T457" s="15" t="s">
        <v>614</v>
      </c>
      <c r="AC457" s="32" t="s">
        <v>885</v>
      </c>
      <c r="AD457" s="33" t="e">
        <f t="shared" si="96"/>
        <v>#N/A</v>
      </c>
      <c r="AE457" s="21" t="str">
        <f t="shared" si="90"/>
        <v>BR_VW_AFS_dv360_DIS_PROG_CPM_STD_LDR_AAF_RON_CXD_After-Sales-Oficina-Classicos-REG06-rmkt-visita-home-ofertas_PD_728x90</v>
      </c>
      <c r="AF457" s="21" t="str">
        <f t="shared" si="91"/>
        <v>BR_VW_AFS_dv360_DIS_PROG_CPM_STD_LDR_AAF_RON_CXD_After-Sales-Oficina-Classicos-REG06-rmkt-visita-home-ofertas_PD_728x90</v>
      </c>
      <c r="AG457" s="21" t="str">
        <f t="shared" si="92"/>
        <v>VW_After-Sales-rmkt-visita-home-ofertas_728x90_After-Sales-Oficina-Classicos-REG06-adserver</v>
      </c>
      <c r="AH457" s="21" t="str">
        <f t="shared" si="93"/>
        <v>https://www.oficinadeclassicos.com.br/index.aspx?utm_source=dv360&amp;utm_medium=Programmatic&amp;utm_content=BR_VW_AFS_dv360_DIS_PROG_CPM_STD_LDR_AAF_RON_CXD_After-Sales-Oficina-Classicos-REG06-rmkt-visita-home-ofertas_PD_728x90&amp;utm_campaign=BR_AAF_DSY_NONMS_ND_AS_2019Q2APR_AFS_After-Sales&amp;utm_term=%epid!_%ecid!_%eaid!</v>
      </c>
      <c r="AI457" s="21" t="str">
        <f t="shared" si="94"/>
        <v>TAG</v>
      </c>
      <c r="AJ457" s="15" t="str">
        <f t="shared" si="97"/>
        <v>dv360</v>
      </c>
      <c r="AK457" s="15" t="str">
        <f t="shared" si="98"/>
        <v>Programmatic</v>
      </c>
      <c r="AL457" s="21" t="str">
        <f>Campanha!$B$3</f>
        <v>BR_AAF_DSY_NONMS_ND_AS_2019Q2APR_AFS_After-Sales</v>
      </c>
      <c r="AM457" s="21" t="str">
        <f t="shared" si="95"/>
        <v>BR_VW_AFS_dv360_DIS_PROG_CPM_STD_LDR_AAF_RON_CXD_After-Sales-Oficina-Classicos-REG06-rmkt-visita-home-ofertas_PD_728x90</v>
      </c>
      <c r="AN457" s="15" t="s">
        <v>809</v>
      </c>
    </row>
    <row r="458" spans="2:40" hidden="1" x14ac:dyDescent="0.25">
      <c r="B458" s="15" t="s">
        <v>872</v>
      </c>
      <c r="C458" s="15"/>
      <c r="D458" s="30" t="s">
        <v>873</v>
      </c>
      <c r="E458" s="22">
        <v>44155</v>
      </c>
      <c r="F458" s="22">
        <v>44196</v>
      </c>
      <c r="G458" s="15" t="s">
        <v>674</v>
      </c>
      <c r="H458" s="15" t="s">
        <v>811</v>
      </c>
      <c r="I458" s="15" t="s">
        <v>702</v>
      </c>
      <c r="J458" s="15" t="s">
        <v>325</v>
      </c>
      <c r="K458" s="15" t="s">
        <v>334</v>
      </c>
      <c r="L458" s="15" t="s">
        <v>358</v>
      </c>
      <c r="M458" s="15" t="s">
        <v>322</v>
      </c>
      <c r="N458" s="15" t="s">
        <v>708</v>
      </c>
      <c r="O458" s="15" t="s">
        <v>694</v>
      </c>
      <c r="P458" s="15" t="s">
        <v>1045</v>
      </c>
      <c r="Q458" s="15" t="s">
        <v>874</v>
      </c>
      <c r="R458" s="15" t="s">
        <v>835</v>
      </c>
      <c r="S458" s="15" t="s">
        <v>348</v>
      </c>
      <c r="T458" s="15" t="s">
        <v>652</v>
      </c>
      <c r="AC458" s="32" t="s">
        <v>885</v>
      </c>
      <c r="AD458" s="33" t="e">
        <f t="shared" si="96"/>
        <v>#N/A</v>
      </c>
      <c r="AE458" s="21" t="str">
        <f t="shared" si="90"/>
        <v>BR_VW_AFS_dv360_DIS_PROG_CPM_STD_LDR_AAF_RON_CXD_After-Sales-Oficina-Classicos-REG06-rmkt-visita-home-ofertas_PD_970x250</v>
      </c>
      <c r="AF458" s="21" t="str">
        <f t="shared" si="91"/>
        <v>BR_VW_AFS_dv360_DIS_PROG_CPM_STD_LDR_AAF_RON_CXD_After-Sales-Oficina-Classicos-REG06-rmkt-visita-home-ofertas_PD_970x250</v>
      </c>
      <c r="AG458" s="21" t="str">
        <f t="shared" si="92"/>
        <v>VW_After-Sales-rmkt-visita-home-ofertas_970x250_After-Sales-Oficina-Classicos-REG06-adserver</v>
      </c>
      <c r="AH458" s="21" t="str">
        <f t="shared" si="93"/>
        <v>https://www.oficinadeclassicos.com.br/index.aspx?utm_source=dv360&amp;utm_medium=Programmatic&amp;utm_content=BR_VW_AFS_dv360_DIS_PROG_CPM_STD_LDR_AAF_RON_CXD_After-Sales-Oficina-Classicos-REG06-rmkt-visita-home-ofertas_PD_970x250&amp;utm_campaign=BR_AAF_DSY_NONMS_ND_AS_2019Q2APR_AFS_After-Sales&amp;utm_term=%epid!_%ecid!_%eaid!</v>
      </c>
      <c r="AI458" s="21" t="str">
        <f t="shared" si="94"/>
        <v>TAG</v>
      </c>
      <c r="AJ458" s="15" t="str">
        <f t="shared" si="97"/>
        <v>dv360</v>
      </c>
      <c r="AK458" s="15" t="str">
        <f t="shared" si="98"/>
        <v>Programmatic</v>
      </c>
      <c r="AL458" s="21" t="str">
        <f>Campanha!$B$3</f>
        <v>BR_AAF_DSY_NONMS_ND_AS_2019Q2APR_AFS_After-Sales</v>
      </c>
      <c r="AM458" s="21" t="str">
        <f t="shared" si="95"/>
        <v>BR_VW_AFS_dv360_DIS_PROG_CPM_STD_LDR_AAF_RON_CXD_After-Sales-Oficina-Classicos-REG06-rmkt-visita-home-ofertas_PD_970x250</v>
      </c>
      <c r="AN458" s="15" t="s">
        <v>809</v>
      </c>
    </row>
    <row r="459" spans="2:40" hidden="1" x14ac:dyDescent="0.25">
      <c r="B459" s="15" t="s">
        <v>872</v>
      </c>
      <c r="C459" s="15"/>
      <c r="D459" s="30" t="s">
        <v>873</v>
      </c>
      <c r="E459" s="22">
        <v>44155</v>
      </c>
      <c r="F459" s="22">
        <v>44196</v>
      </c>
      <c r="G459" s="15" t="s">
        <v>674</v>
      </c>
      <c r="H459" s="15" t="s">
        <v>811</v>
      </c>
      <c r="I459" s="15" t="s">
        <v>702</v>
      </c>
      <c r="J459" s="15" t="s">
        <v>325</v>
      </c>
      <c r="K459" s="15" t="s">
        <v>334</v>
      </c>
      <c r="L459" s="15" t="s">
        <v>358</v>
      </c>
      <c r="M459" s="15" t="s">
        <v>322</v>
      </c>
      <c r="N459" s="15" t="s">
        <v>708</v>
      </c>
      <c r="O459" s="15" t="s">
        <v>694</v>
      </c>
      <c r="P459" s="15" t="s">
        <v>1045</v>
      </c>
      <c r="Q459" s="15" t="s">
        <v>877</v>
      </c>
      <c r="R459" s="15" t="s">
        <v>835</v>
      </c>
      <c r="S459" s="15" t="s">
        <v>348</v>
      </c>
      <c r="T459" s="15" t="s">
        <v>457</v>
      </c>
      <c r="AC459" s="32" t="s">
        <v>885</v>
      </c>
      <c r="AD459" s="33" t="e">
        <f t="shared" si="96"/>
        <v>#N/A</v>
      </c>
      <c r="AE459" s="21" t="str">
        <f t="shared" si="90"/>
        <v>BR_VW_AFS_dv360_DIS_PROG_CPM_STD_LDR_AAF_RON_CXD_After-Sales-Oficina-Classicos-REG06-rmkt-add-to-cart-ofertas_PD_160x600</v>
      </c>
      <c r="AF459" s="21" t="str">
        <f t="shared" si="91"/>
        <v>BR_VW_AFS_dv360_DIS_PROG_CPM_STD_LDR_AAF_RON_CXD_After-Sales-Oficina-Classicos-REG06-rmkt-add-to-cart-ofertas_PD_160x600</v>
      </c>
      <c r="AG459" s="21" t="str">
        <f t="shared" si="92"/>
        <v>VW_After-Sales-rmkt-add-to-cart-ofertas_160x600_After-Sales-Oficina-Classicos-REG06-adserver</v>
      </c>
      <c r="AH459" s="21" t="str">
        <f t="shared" si="93"/>
        <v>https://www.oficinadeclassicos.com.br/index.aspx?utm_source=dv360&amp;utm_medium=Programmatic&amp;utm_content=BR_VW_AFS_dv360_DIS_PROG_CPM_STD_LDR_AAF_RON_CXD_After-Sales-Oficina-Classicos-REG06-rmkt-add-to-cart-ofertas_PD_160x600&amp;utm_campaign=BR_AAF_DSY_NONMS_ND_AS_2019Q2APR_AFS_After-Sales&amp;utm_term=%epid!_%ecid!_%eaid!</v>
      </c>
      <c r="AI459" s="21" t="str">
        <f t="shared" si="94"/>
        <v>TAG</v>
      </c>
      <c r="AJ459" s="15" t="str">
        <f t="shared" si="97"/>
        <v>dv360</v>
      </c>
      <c r="AK459" s="15" t="str">
        <f t="shared" si="98"/>
        <v>Programmatic</v>
      </c>
      <c r="AL459" s="21" t="str">
        <f>Campanha!$B$3</f>
        <v>BR_AAF_DSY_NONMS_ND_AS_2019Q2APR_AFS_After-Sales</v>
      </c>
      <c r="AM459" s="21" t="str">
        <f t="shared" si="95"/>
        <v>BR_VW_AFS_dv360_DIS_PROG_CPM_STD_LDR_AAF_RON_CXD_After-Sales-Oficina-Classicos-REG06-rmkt-add-to-cart-ofertas_PD_160x600</v>
      </c>
      <c r="AN459" s="15" t="s">
        <v>809</v>
      </c>
    </row>
    <row r="460" spans="2:40" hidden="1" x14ac:dyDescent="0.25">
      <c r="B460" s="15" t="s">
        <v>872</v>
      </c>
      <c r="C460" s="15"/>
      <c r="D460" s="30" t="s">
        <v>873</v>
      </c>
      <c r="E460" s="22">
        <v>44155</v>
      </c>
      <c r="F460" s="22">
        <v>44196</v>
      </c>
      <c r="G460" s="15" t="s">
        <v>674</v>
      </c>
      <c r="H460" s="15" t="s">
        <v>811</v>
      </c>
      <c r="I460" s="15" t="s">
        <v>702</v>
      </c>
      <c r="J460" s="15" t="s">
        <v>325</v>
      </c>
      <c r="K460" s="15" t="s">
        <v>334</v>
      </c>
      <c r="L460" s="15" t="s">
        <v>358</v>
      </c>
      <c r="M460" s="15" t="s">
        <v>322</v>
      </c>
      <c r="N460" s="15" t="s">
        <v>708</v>
      </c>
      <c r="O460" s="15" t="s">
        <v>694</v>
      </c>
      <c r="P460" s="15" t="s">
        <v>1045</v>
      </c>
      <c r="Q460" s="15" t="s">
        <v>877</v>
      </c>
      <c r="R460" s="15" t="s">
        <v>835</v>
      </c>
      <c r="S460" s="15" t="s">
        <v>348</v>
      </c>
      <c r="T460" s="15" t="s">
        <v>484</v>
      </c>
      <c r="AC460" s="32" t="s">
        <v>885</v>
      </c>
      <c r="AD460" s="33" t="e">
        <f t="shared" si="96"/>
        <v>#N/A</v>
      </c>
      <c r="AE460" s="21" t="str">
        <f t="shared" si="90"/>
        <v>BR_VW_AFS_dv360_DIS_PROG_CPM_STD_LDR_AAF_RON_CXD_After-Sales-Oficina-Classicos-REG06-rmkt-add-to-cart-ofertas_PD_300x50</v>
      </c>
      <c r="AF460" s="21" t="str">
        <f t="shared" si="91"/>
        <v>BR_VW_AFS_dv360_DIS_PROG_CPM_STD_LDR_AAF_RON_CXD_After-Sales-Oficina-Classicos-REG06-rmkt-add-to-cart-ofertas_PD_300x50</v>
      </c>
      <c r="AG460" s="21" t="str">
        <f t="shared" si="92"/>
        <v>VW_After-Sales-rmkt-add-to-cart-ofertas_300x50_After-Sales-Oficina-Classicos-REG06-adserver</v>
      </c>
      <c r="AH460" s="21" t="str">
        <f t="shared" si="93"/>
        <v>https://www.oficinadeclassicos.com.br/index.aspx?utm_source=dv360&amp;utm_medium=Programmatic&amp;utm_content=BR_VW_AFS_dv360_DIS_PROG_CPM_STD_LDR_AAF_RON_CXD_After-Sales-Oficina-Classicos-REG06-rmkt-add-to-cart-ofertas_PD_300x50&amp;utm_campaign=BR_AAF_DSY_NONMS_ND_AS_2019Q2APR_AFS_After-Sales&amp;utm_term=%epid!_%ecid!_%eaid!</v>
      </c>
      <c r="AI460" s="21" t="str">
        <f t="shared" si="94"/>
        <v>TAG</v>
      </c>
      <c r="AJ460" s="15" t="str">
        <f t="shared" si="97"/>
        <v>dv360</v>
      </c>
      <c r="AK460" s="15" t="str">
        <f t="shared" si="98"/>
        <v>Programmatic</v>
      </c>
      <c r="AL460" s="21" t="str">
        <f>Campanha!$B$3</f>
        <v>BR_AAF_DSY_NONMS_ND_AS_2019Q2APR_AFS_After-Sales</v>
      </c>
      <c r="AM460" s="21" t="str">
        <f t="shared" si="95"/>
        <v>BR_VW_AFS_dv360_DIS_PROG_CPM_STD_LDR_AAF_RON_CXD_After-Sales-Oficina-Classicos-REG06-rmkt-add-to-cart-ofertas_PD_300x50</v>
      </c>
      <c r="AN460" s="15" t="s">
        <v>809</v>
      </c>
    </row>
    <row r="461" spans="2:40" hidden="1" x14ac:dyDescent="0.25">
      <c r="B461" s="15" t="s">
        <v>872</v>
      </c>
      <c r="C461" s="15"/>
      <c r="D461" s="30" t="s">
        <v>873</v>
      </c>
      <c r="E461" s="22">
        <v>44155</v>
      </c>
      <c r="F461" s="22">
        <v>44196</v>
      </c>
      <c r="G461" s="15" t="s">
        <v>674</v>
      </c>
      <c r="H461" s="15" t="s">
        <v>811</v>
      </c>
      <c r="I461" s="15" t="s">
        <v>702</v>
      </c>
      <c r="J461" s="15" t="s">
        <v>325</v>
      </c>
      <c r="K461" s="15" t="s">
        <v>334</v>
      </c>
      <c r="L461" s="15" t="s">
        <v>358</v>
      </c>
      <c r="M461" s="15" t="s">
        <v>322</v>
      </c>
      <c r="N461" s="15" t="s">
        <v>708</v>
      </c>
      <c r="O461" s="15" t="s">
        <v>694</v>
      </c>
      <c r="P461" s="15" t="s">
        <v>1045</v>
      </c>
      <c r="Q461" s="15" t="s">
        <v>877</v>
      </c>
      <c r="R461" s="15" t="s">
        <v>835</v>
      </c>
      <c r="S461" s="15" t="s">
        <v>348</v>
      </c>
      <c r="T461" s="15" t="s">
        <v>478</v>
      </c>
      <c r="AC461" s="32" t="s">
        <v>885</v>
      </c>
      <c r="AD461" s="33" t="e">
        <f t="shared" si="96"/>
        <v>#N/A</v>
      </c>
      <c r="AE461" s="21" t="str">
        <f t="shared" si="90"/>
        <v>BR_VW_AFS_dv360_DIS_PROG_CPM_STD_LDR_AAF_RON_CXD_After-Sales-Oficina-Classicos-REG06-rmkt-add-to-cart-ofertas_PD_300x250</v>
      </c>
      <c r="AF461" s="21" t="str">
        <f t="shared" si="91"/>
        <v>BR_VW_AFS_dv360_DIS_PROG_CPM_STD_LDR_AAF_RON_CXD_After-Sales-Oficina-Classicos-REG06-rmkt-add-to-cart-ofertas_PD_300x250</v>
      </c>
      <c r="AG461" s="21" t="str">
        <f t="shared" si="92"/>
        <v>VW_After-Sales-rmkt-add-to-cart-ofertas_300x250_After-Sales-Oficina-Classicos-REG06-adserver</v>
      </c>
      <c r="AH461" s="21" t="str">
        <f t="shared" si="93"/>
        <v>https://www.oficinadeclassicos.com.br/index.aspx?utm_source=dv360&amp;utm_medium=Programmatic&amp;utm_content=BR_VW_AFS_dv360_DIS_PROG_CPM_STD_LDR_AAF_RON_CXD_After-Sales-Oficina-Classicos-REG06-rmkt-add-to-cart-ofertas_PD_300x250&amp;utm_campaign=BR_AAF_DSY_NONMS_ND_AS_2019Q2APR_AFS_After-Sales&amp;utm_term=%epid!_%ecid!_%eaid!</v>
      </c>
      <c r="AI461" s="21" t="str">
        <f t="shared" si="94"/>
        <v>TAG</v>
      </c>
      <c r="AJ461" s="15" t="str">
        <f t="shared" si="97"/>
        <v>dv360</v>
      </c>
      <c r="AK461" s="15" t="str">
        <f t="shared" si="98"/>
        <v>Programmatic</v>
      </c>
      <c r="AL461" s="21" t="str">
        <f>Campanha!$B$3</f>
        <v>BR_AAF_DSY_NONMS_ND_AS_2019Q2APR_AFS_After-Sales</v>
      </c>
      <c r="AM461" s="21" t="str">
        <f t="shared" si="95"/>
        <v>BR_VW_AFS_dv360_DIS_PROG_CPM_STD_LDR_AAF_RON_CXD_After-Sales-Oficina-Classicos-REG06-rmkt-add-to-cart-ofertas_PD_300x250</v>
      </c>
      <c r="AN461" s="15" t="s">
        <v>809</v>
      </c>
    </row>
    <row r="462" spans="2:40" hidden="1" x14ac:dyDescent="0.25">
      <c r="B462" s="15" t="s">
        <v>872</v>
      </c>
      <c r="C462" s="15"/>
      <c r="D462" s="30" t="s">
        <v>873</v>
      </c>
      <c r="E462" s="22">
        <v>44155</v>
      </c>
      <c r="F462" s="22">
        <v>44196</v>
      </c>
      <c r="G462" s="15" t="s">
        <v>674</v>
      </c>
      <c r="H462" s="15" t="s">
        <v>811</v>
      </c>
      <c r="I462" s="15" t="s">
        <v>702</v>
      </c>
      <c r="J462" s="15" t="s">
        <v>325</v>
      </c>
      <c r="K462" s="15" t="s">
        <v>334</v>
      </c>
      <c r="L462" s="15" t="s">
        <v>358</v>
      </c>
      <c r="M462" s="15" t="s">
        <v>322</v>
      </c>
      <c r="N462" s="15" t="s">
        <v>708</v>
      </c>
      <c r="O462" s="15" t="s">
        <v>694</v>
      </c>
      <c r="P462" s="15" t="s">
        <v>1045</v>
      </c>
      <c r="Q462" s="15" t="s">
        <v>877</v>
      </c>
      <c r="R462" s="15" t="s">
        <v>835</v>
      </c>
      <c r="S462" s="15" t="s">
        <v>348</v>
      </c>
      <c r="T462" s="15" t="s">
        <v>614</v>
      </c>
      <c r="AC462" s="32" t="s">
        <v>885</v>
      </c>
      <c r="AD462" s="33" t="e">
        <f t="shared" si="96"/>
        <v>#N/A</v>
      </c>
      <c r="AE462" s="21" t="str">
        <f t="shared" si="90"/>
        <v>BR_VW_AFS_dv360_DIS_PROG_CPM_STD_LDR_AAF_RON_CXD_After-Sales-Oficina-Classicos-REG06-rmkt-add-to-cart-ofertas_PD_728x90</v>
      </c>
      <c r="AF462" s="21" t="str">
        <f t="shared" si="91"/>
        <v>BR_VW_AFS_dv360_DIS_PROG_CPM_STD_LDR_AAF_RON_CXD_After-Sales-Oficina-Classicos-REG06-rmkt-add-to-cart-ofertas_PD_728x90</v>
      </c>
      <c r="AG462" s="21" t="str">
        <f t="shared" si="92"/>
        <v>VW_After-Sales-rmkt-add-to-cart-ofertas_728x90_After-Sales-Oficina-Classicos-REG06-adserver</v>
      </c>
      <c r="AH462" s="21" t="str">
        <f t="shared" si="93"/>
        <v>https://www.oficinadeclassicos.com.br/index.aspx?utm_source=dv360&amp;utm_medium=Programmatic&amp;utm_content=BR_VW_AFS_dv360_DIS_PROG_CPM_STD_LDR_AAF_RON_CXD_After-Sales-Oficina-Classicos-REG06-rmkt-add-to-cart-ofertas_PD_728x90&amp;utm_campaign=BR_AAF_DSY_NONMS_ND_AS_2019Q2APR_AFS_After-Sales&amp;utm_term=%epid!_%ecid!_%eaid!</v>
      </c>
      <c r="AI462" s="21" t="str">
        <f t="shared" si="94"/>
        <v>TAG</v>
      </c>
      <c r="AJ462" s="15" t="str">
        <f t="shared" si="97"/>
        <v>dv360</v>
      </c>
      <c r="AK462" s="15" t="str">
        <f t="shared" si="98"/>
        <v>Programmatic</v>
      </c>
      <c r="AL462" s="21" t="str">
        <f>Campanha!$B$3</f>
        <v>BR_AAF_DSY_NONMS_ND_AS_2019Q2APR_AFS_After-Sales</v>
      </c>
      <c r="AM462" s="21" t="str">
        <f t="shared" si="95"/>
        <v>BR_VW_AFS_dv360_DIS_PROG_CPM_STD_LDR_AAF_RON_CXD_After-Sales-Oficina-Classicos-REG06-rmkt-add-to-cart-ofertas_PD_728x90</v>
      </c>
      <c r="AN462" s="15" t="s">
        <v>809</v>
      </c>
    </row>
    <row r="463" spans="2:40" hidden="1" x14ac:dyDescent="0.25">
      <c r="B463" s="15" t="s">
        <v>872</v>
      </c>
      <c r="C463" s="15"/>
      <c r="D463" s="30" t="s">
        <v>873</v>
      </c>
      <c r="E463" s="22">
        <v>44155</v>
      </c>
      <c r="F463" s="22">
        <v>44196</v>
      </c>
      <c r="G463" s="15" t="s">
        <v>674</v>
      </c>
      <c r="H463" s="15" t="s">
        <v>811</v>
      </c>
      <c r="I463" s="15" t="s">
        <v>702</v>
      </c>
      <c r="J463" s="15" t="s">
        <v>325</v>
      </c>
      <c r="K463" s="15" t="s">
        <v>334</v>
      </c>
      <c r="L463" s="15" t="s">
        <v>358</v>
      </c>
      <c r="M463" s="15" t="s">
        <v>322</v>
      </c>
      <c r="N463" s="15" t="s">
        <v>708</v>
      </c>
      <c r="O463" s="15" t="s">
        <v>694</v>
      </c>
      <c r="P463" s="15" t="s">
        <v>1045</v>
      </c>
      <c r="Q463" s="15" t="s">
        <v>877</v>
      </c>
      <c r="R463" s="15" t="s">
        <v>835</v>
      </c>
      <c r="S463" s="15" t="s">
        <v>348</v>
      </c>
      <c r="T463" s="15" t="s">
        <v>652</v>
      </c>
      <c r="AC463" s="32" t="s">
        <v>885</v>
      </c>
      <c r="AD463" s="33" t="e">
        <f t="shared" si="96"/>
        <v>#N/A</v>
      </c>
      <c r="AE463" s="21" t="str">
        <f t="shared" si="90"/>
        <v>BR_VW_AFS_dv360_DIS_PROG_CPM_STD_LDR_AAF_RON_CXD_After-Sales-Oficina-Classicos-REG06-rmkt-add-to-cart-ofertas_PD_970x250</v>
      </c>
      <c r="AF463" s="21" t="str">
        <f t="shared" si="91"/>
        <v>BR_VW_AFS_dv360_DIS_PROG_CPM_STD_LDR_AAF_RON_CXD_After-Sales-Oficina-Classicos-REG06-rmkt-add-to-cart-ofertas_PD_970x250</v>
      </c>
      <c r="AG463" s="21" t="str">
        <f t="shared" si="92"/>
        <v>VW_After-Sales-rmkt-add-to-cart-ofertas_970x250_After-Sales-Oficina-Classicos-REG06-adserver</v>
      </c>
      <c r="AH463" s="21" t="str">
        <f t="shared" si="93"/>
        <v>https://www.oficinadeclassicos.com.br/index.aspx?utm_source=dv360&amp;utm_medium=Programmatic&amp;utm_content=BR_VW_AFS_dv360_DIS_PROG_CPM_STD_LDR_AAF_RON_CXD_After-Sales-Oficina-Classicos-REG06-rmkt-add-to-cart-ofertas_PD_970x250&amp;utm_campaign=BR_AAF_DSY_NONMS_ND_AS_2019Q2APR_AFS_After-Sales&amp;utm_term=%epid!_%ecid!_%eaid!</v>
      </c>
      <c r="AI463" s="21" t="str">
        <f t="shared" si="94"/>
        <v>TAG</v>
      </c>
      <c r="AJ463" s="15" t="str">
        <f t="shared" si="97"/>
        <v>dv360</v>
      </c>
      <c r="AK463" s="15" t="str">
        <f t="shared" si="98"/>
        <v>Programmatic</v>
      </c>
      <c r="AL463" s="21" t="str">
        <f>Campanha!$B$3</f>
        <v>BR_AAF_DSY_NONMS_ND_AS_2019Q2APR_AFS_After-Sales</v>
      </c>
      <c r="AM463" s="21" t="str">
        <f t="shared" si="95"/>
        <v>BR_VW_AFS_dv360_DIS_PROG_CPM_STD_LDR_AAF_RON_CXD_After-Sales-Oficina-Classicos-REG06-rmkt-add-to-cart-ofertas_PD_970x250</v>
      </c>
      <c r="AN463" s="15" t="s">
        <v>809</v>
      </c>
    </row>
    <row r="464" spans="2:40" hidden="1" x14ac:dyDescent="0.25">
      <c r="B464" s="15" t="s">
        <v>872</v>
      </c>
      <c r="C464" s="15"/>
      <c r="D464" s="30" t="s">
        <v>873</v>
      </c>
      <c r="E464" s="22">
        <v>44155</v>
      </c>
      <c r="F464" s="22">
        <v>44196</v>
      </c>
      <c r="G464" s="15" t="s">
        <v>674</v>
      </c>
      <c r="H464" s="15" t="s">
        <v>811</v>
      </c>
      <c r="I464" s="15" t="s">
        <v>702</v>
      </c>
      <c r="J464" s="15" t="s">
        <v>325</v>
      </c>
      <c r="K464" s="15" t="s">
        <v>334</v>
      </c>
      <c r="L464" s="15" t="s">
        <v>358</v>
      </c>
      <c r="M464" s="15" t="s">
        <v>322</v>
      </c>
      <c r="N464" s="15" t="s">
        <v>708</v>
      </c>
      <c r="O464" s="15" t="s">
        <v>694</v>
      </c>
      <c r="P464" s="15" t="s">
        <v>1045</v>
      </c>
      <c r="Q464" s="15" t="s">
        <v>887</v>
      </c>
      <c r="R464" s="15" t="s">
        <v>835</v>
      </c>
      <c r="S464" s="15" t="s">
        <v>348</v>
      </c>
      <c r="T464" s="15" t="s">
        <v>457</v>
      </c>
      <c r="AC464" s="32" t="s">
        <v>885</v>
      </c>
      <c r="AD464" s="33" t="e">
        <f t="shared" si="96"/>
        <v>#N/A</v>
      </c>
      <c r="AE464" s="21" t="str">
        <f t="shared" ref="AE464:AE527" si="99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IF(col_servidopor="adserver-rotacionar",col_segmentacao,CONCATENATE(col_localfreetype,"-",col_segmentacao)),"_",VLOOKUP(col_paidvsav,tab_paidvsav,2,FALSE),"_",col_size))</f>
        <v>BR_VW_AFS_dv360_DIS_PROG_CPM_STD_LDR_AAF_RON_CXD_After-Sales-Oficina-Classicos-REG06-lal-lead-oficina_PD_160x600</v>
      </c>
      <c r="AF464" s="21" t="str">
        <f t="shared" ref="AF464:AF527" si="100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col_localfreetype,"-",col_segmentacao,"_",VLOOKUP(col_paidvsav,tab_paidvsav,2,FALSE),"_",col_size))</f>
        <v>BR_VW_AFS_dv360_DIS_PROG_CPM_STD_LDR_AAF_RON_CXD_After-Sales-Oficina-Classicos-REG06-lal-lead-oficina_PD_160x600</v>
      </c>
      <c r="AG464" s="21" t="str">
        <f t="shared" ref="AG464:AG527" si="101">CONCATENATE("VW","_",cel_modelvariant,"-",col_segmentacao,"_",col_size,"_",col_localfreetype,"-",IF(col_servidopor="portal",col_supplier,"adserver"))</f>
        <v>VW_After-Sales-lal-lead-oficina_160x600_After-Sales-Oficina-Classicos-REG06-adserver</v>
      </c>
      <c r="AH464" s="21" t="str">
        <f t="shared" ref="AH464:AH527" si="102">faxineiro(CONCATENATE(col_url,IF(ISNUMBER(FIND("?",col_url)),"&amp;","?"),"utm_source=",col_utmsource,"&amp;utm_medium=",col_utmmedium,"&amp;utm_content=",col_utmcontent,"&amp;utm_campaign=",col_utmcampaign,"&amp;utm_term=",col_keyword))</f>
        <v>https://www.oficinadeclassicos.com.br/index.aspx?utm_source=dv360&amp;utm_medium=Programmatic&amp;utm_content=BR_VW_AFS_dv360_DIS_PROG_CPM_STD_LDR_AAF_RON_CXD_After-Sales-Oficina-Classicos-REG06-lal-lead-oficina_PD_160x600&amp;utm_campaign=BR_AAF_DSY_NONMS_ND_AS_2019Q2APR_AFS_After-Sales&amp;utm_term=%epid!_%ecid!_%eaid!</v>
      </c>
      <c r="AI464" s="21" t="str">
        <f t="shared" ref="AI464:AI527" si="103">IFERROR(IF(col_servidopor="portal",VLOOKUP(col_placement,tab_contadores,2,FALSE),"TAG"),"Contador")</f>
        <v>TAG</v>
      </c>
      <c r="AJ464" s="15" t="str">
        <f t="shared" si="97"/>
        <v>dv360</v>
      </c>
      <c r="AK464" s="15" t="str">
        <f t="shared" si="98"/>
        <v>Programmatic</v>
      </c>
      <c r="AL464" s="21" t="str">
        <f>Campanha!$B$3</f>
        <v>BR_AAF_DSY_NONMS_ND_AS_2019Q2APR_AFS_After-Sales</v>
      </c>
      <c r="AM464" s="21" t="str">
        <f t="shared" ref="AM464:AM527" si="104">col_adname</f>
        <v>BR_VW_AFS_dv360_DIS_PROG_CPM_STD_LDR_AAF_RON_CXD_After-Sales-Oficina-Classicos-REG06-lal-lead-oficina_PD_160x600</v>
      </c>
      <c r="AN464" s="15" t="s">
        <v>809</v>
      </c>
    </row>
    <row r="465" spans="2:40" hidden="1" x14ac:dyDescent="0.25">
      <c r="B465" s="15" t="s">
        <v>872</v>
      </c>
      <c r="C465" s="15"/>
      <c r="D465" s="30" t="s">
        <v>873</v>
      </c>
      <c r="E465" s="22">
        <v>44155</v>
      </c>
      <c r="F465" s="22">
        <v>44196</v>
      </c>
      <c r="G465" s="15" t="s">
        <v>674</v>
      </c>
      <c r="H465" s="15" t="s">
        <v>811</v>
      </c>
      <c r="I465" s="15" t="s">
        <v>702</v>
      </c>
      <c r="J465" s="15" t="s">
        <v>325</v>
      </c>
      <c r="K465" s="15" t="s">
        <v>334</v>
      </c>
      <c r="L465" s="15" t="s">
        <v>358</v>
      </c>
      <c r="M465" s="15" t="s">
        <v>322</v>
      </c>
      <c r="N465" s="15" t="s">
        <v>708</v>
      </c>
      <c r="O465" s="15" t="s">
        <v>694</v>
      </c>
      <c r="P465" s="15" t="s">
        <v>1045</v>
      </c>
      <c r="Q465" s="15" t="s">
        <v>887</v>
      </c>
      <c r="R465" s="15" t="s">
        <v>835</v>
      </c>
      <c r="S465" s="15" t="s">
        <v>348</v>
      </c>
      <c r="T465" s="15" t="s">
        <v>484</v>
      </c>
      <c r="AC465" s="32" t="s">
        <v>885</v>
      </c>
      <c r="AD465" s="33" t="e">
        <f t="shared" si="96"/>
        <v>#N/A</v>
      </c>
      <c r="AE465" s="21" t="str">
        <f t="shared" si="99"/>
        <v>BR_VW_AFS_dv360_DIS_PROG_CPM_STD_LDR_AAF_RON_CXD_After-Sales-Oficina-Classicos-REG06-lal-lead-oficina_PD_300x50</v>
      </c>
      <c r="AF465" s="21" t="str">
        <f t="shared" si="100"/>
        <v>BR_VW_AFS_dv360_DIS_PROG_CPM_STD_LDR_AAF_RON_CXD_After-Sales-Oficina-Classicos-REG06-lal-lead-oficina_PD_300x50</v>
      </c>
      <c r="AG465" s="21" t="str">
        <f t="shared" si="101"/>
        <v>VW_After-Sales-lal-lead-oficina_300x50_After-Sales-Oficina-Classicos-REG06-adserver</v>
      </c>
      <c r="AH465" s="21" t="str">
        <f t="shared" si="102"/>
        <v>https://www.oficinadeclassicos.com.br/index.aspx?utm_source=dv360&amp;utm_medium=Programmatic&amp;utm_content=BR_VW_AFS_dv360_DIS_PROG_CPM_STD_LDR_AAF_RON_CXD_After-Sales-Oficina-Classicos-REG06-lal-lead-oficina_PD_300x50&amp;utm_campaign=BR_AAF_DSY_NONMS_ND_AS_2019Q2APR_AFS_After-Sales&amp;utm_term=%epid!_%ecid!_%eaid!</v>
      </c>
      <c r="AI465" s="21" t="str">
        <f t="shared" si="103"/>
        <v>TAG</v>
      </c>
      <c r="AJ465" s="15" t="str">
        <f t="shared" si="97"/>
        <v>dv360</v>
      </c>
      <c r="AK465" s="15" t="str">
        <f t="shared" si="98"/>
        <v>Programmatic</v>
      </c>
      <c r="AL465" s="21" t="str">
        <f>Campanha!$B$3</f>
        <v>BR_AAF_DSY_NONMS_ND_AS_2019Q2APR_AFS_After-Sales</v>
      </c>
      <c r="AM465" s="21" t="str">
        <f t="shared" si="104"/>
        <v>BR_VW_AFS_dv360_DIS_PROG_CPM_STD_LDR_AAF_RON_CXD_After-Sales-Oficina-Classicos-REG06-lal-lead-oficina_PD_300x50</v>
      </c>
      <c r="AN465" s="15" t="s">
        <v>809</v>
      </c>
    </row>
    <row r="466" spans="2:40" hidden="1" x14ac:dyDescent="0.25">
      <c r="B466" s="15" t="s">
        <v>872</v>
      </c>
      <c r="C466" s="15"/>
      <c r="D466" s="30" t="s">
        <v>873</v>
      </c>
      <c r="E466" s="22">
        <v>44155</v>
      </c>
      <c r="F466" s="22">
        <v>44196</v>
      </c>
      <c r="G466" s="15" t="s">
        <v>674</v>
      </c>
      <c r="H466" s="15" t="s">
        <v>811</v>
      </c>
      <c r="I466" s="15" t="s">
        <v>702</v>
      </c>
      <c r="J466" s="15" t="s">
        <v>325</v>
      </c>
      <c r="K466" s="15" t="s">
        <v>334</v>
      </c>
      <c r="L466" s="15" t="s">
        <v>358</v>
      </c>
      <c r="M466" s="15" t="s">
        <v>322</v>
      </c>
      <c r="N466" s="15" t="s">
        <v>708</v>
      </c>
      <c r="O466" s="15" t="s">
        <v>694</v>
      </c>
      <c r="P466" s="15" t="s">
        <v>1045</v>
      </c>
      <c r="Q466" s="15" t="s">
        <v>887</v>
      </c>
      <c r="R466" s="15" t="s">
        <v>835</v>
      </c>
      <c r="S466" s="15" t="s">
        <v>348</v>
      </c>
      <c r="T466" s="15" t="s">
        <v>478</v>
      </c>
      <c r="AC466" s="32" t="s">
        <v>885</v>
      </c>
      <c r="AD466" s="33" t="e">
        <f t="shared" si="96"/>
        <v>#N/A</v>
      </c>
      <c r="AE466" s="21" t="str">
        <f t="shared" si="99"/>
        <v>BR_VW_AFS_dv360_DIS_PROG_CPM_STD_LDR_AAF_RON_CXD_After-Sales-Oficina-Classicos-REG06-lal-lead-oficina_PD_300x250</v>
      </c>
      <c r="AF466" s="21" t="str">
        <f t="shared" si="100"/>
        <v>BR_VW_AFS_dv360_DIS_PROG_CPM_STD_LDR_AAF_RON_CXD_After-Sales-Oficina-Classicos-REG06-lal-lead-oficina_PD_300x250</v>
      </c>
      <c r="AG466" s="21" t="str">
        <f t="shared" si="101"/>
        <v>VW_After-Sales-lal-lead-oficina_300x250_After-Sales-Oficina-Classicos-REG06-adserver</v>
      </c>
      <c r="AH466" s="21" t="str">
        <f t="shared" si="102"/>
        <v>https://www.oficinadeclassicos.com.br/index.aspx?utm_source=dv360&amp;utm_medium=Programmatic&amp;utm_content=BR_VW_AFS_dv360_DIS_PROG_CPM_STD_LDR_AAF_RON_CXD_After-Sales-Oficina-Classicos-REG06-lal-lead-oficina_PD_300x250&amp;utm_campaign=BR_AAF_DSY_NONMS_ND_AS_2019Q2APR_AFS_After-Sales&amp;utm_term=%epid!_%ecid!_%eaid!</v>
      </c>
      <c r="AI466" s="21" t="str">
        <f t="shared" si="103"/>
        <v>TAG</v>
      </c>
      <c r="AJ466" s="15" t="str">
        <f t="shared" si="97"/>
        <v>dv360</v>
      </c>
      <c r="AK466" s="15" t="str">
        <f t="shared" si="98"/>
        <v>Programmatic</v>
      </c>
      <c r="AL466" s="21" t="str">
        <f>Campanha!$B$3</f>
        <v>BR_AAF_DSY_NONMS_ND_AS_2019Q2APR_AFS_After-Sales</v>
      </c>
      <c r="AM466" s="21" t="str">
        <f t="shared" si="104"/>
        <v>BR_VW_AFS_dv360_DIS_PROG_CPM_STD_LDR_AAF_RON_CXD_After-Sales-Oficina-Classicos-REG06-lal-lead-oficina_PD_300x250</v>
      </c>
      <c r="AN466" s="15" t="s">
        <v>809</v>
      </c>
    </row>
    <row r="467" spans="2:40" hidden="1" x14ac:dyDescent="0.25">
      <c r="B467" s="15" t="s">
        <v>872</v>
      </c>
      <c r="C467" s="15"/>
      <c r="D467" s="30" t="s">
        <v>873</v>
      </c>
      <c r="E467" s="22">
        <v>44155</v>
      </c>
      <c r="F467" s="22">
        <v>44196</v>
      </c>
      <c r="G467" s="15" t="s">
        <v>674</v>
      </c>
      <c r="H467" s="15" t="s">
        <v>811</v>
      </c>
      <c r="I467" s="15" t="s">
        <v>702</v>
      </c>
      <c r="J467" s="15" t="s">
        <v>325</v>
      </c>
      <c r="K467" s="15" t="s">
        <v>334</v>
      </c>
      <c r="L467" s="15" t="s">
        <v>358</v>
      </c>
      <c r="M467" s="15" t="s">
        <v>322</v>
      </c>
      <c r="N467" s="15" t="s">
        <v>708</v>
      </c>
      <c r="O467" s="15" t="s">
        <v>694</v>
      </c>
      <c r="P467" s="15" t="s">
        <v>1045</v>
      </c>
      <c r="Q467" s="15" t="s">
        <v>887</v>
      </c>
      <c r="R467" s="15" t="s">
        <v>835</v>
      </c>
      <c r="S467" s="15" t="s">
        <v>348</v>
      </c>
      <c r="T467" s="15" t="s">
        <v>614</v>
      </c>
      <c r="AC467" s="32" t="s">
        <v>885</v>
      </c>
      <c r="AD467" s="33" t="e">
        <f t="shared" si="96"/>
        <v>#N/A</v>
      </c>
      <c r="AE467" s="21" t="str">
        <f t="shared" si="99"/>
        <v>BR_VW_AFS_dv360_DIS_PROG_CPM_STD_LDR_AAF_RON_CXD_After-Sales-Oficina-Classicos-REG06-lal-lead-oficina_PD_728x90</v>
      </c>
      <c r="AF467" s="21" t="str">
        <f t="shared" si="100"/>
        <v>BR_VW_AFS_dv360_DIS_PROG_CPM_STD_LDR_AAF_RON_CXD_After-Sales-Oficina-Classicos-REG06-lal-lead-oficina_PD_728x90</v>
      </c>
      <c r="AG467" s="21" t="str">
        <f t="shared" si="101"/>
        <v>VW_After-Sales-lal-lead-oficina_728x90_After-Sales-Oficina-Classicos-REG06-adserver</v>
      </c>
      <c r="AH467" s="21" t="str">
        <f t="shared" si="102"/>
        <v>https://www.oficinadeclassicos.com.br/index.aspx?utm_source=dv360&amp;utm_medium=Programmatic&amp;utm_content=BR_VW_AFS_dv360_DIS_PROG_CPM_STD_LDR_AAF_RON_CXD_After-Sales-Oficina-Classicos-REG06-lal-lead-oficina_PD_728x90&amp;utm_campaign=BR_AAF_DSY_NONMS_ND_AS_2019Q2APR_AFS_After-Sales&amp;utm_term=%epid!_%ecid!_%eaid!</v>
      </c>
      <c r="AI467" s="21" t="str">
        <f t="shared" si="103"/>
        <v>TAG</v>
      </c>
      <c r="AJ467" s="15" t="str">
        <f t="shared" si="97"/>
        <v>dv360</v>
      </c>
      <c r="AK467" s="15" t="str">
        <f t="shared" si="98"/>
        <v>Programmatic</v>
      </c>
      <c r="AL467" s="21" t="str">
        <f>Campanha!$B$3</f>
        <v>BR_AAF_DSY_NONMS_ND_AS_2019Q2APR_AFS_After-Sales</v>
      </c>
      <c r="AM467" s="21" t="str">
        <f t="shared" si="104"/>
        <v>BR_VW_AFS_dv360_DIS_PROG_CPM_STD_LDR_AAF_RON_CXD_After-Sales-Oficina-Classicos-REG06-lal-lead-oficina_PD_728x90</v>
      </c>
      <c r="AN467" s="15" t="s">
        <v>809</v>
      </c>
    </row>
    <row r="468" spans="2:40" hidden="1" x14ac:dyDescent="0.25">
      <c r="B468" s="15" t="s">
        <v>872</v>
      </c>
      <c r="C468" s="15"/>
      <c r="D468" s="30" t="s">
        <v>873</v>
      </c>
      <c r="E468" s="22">
        <v>44155</v>
      </c>
      <c r="F468" s="22">
        <v>44196</v>
      </c>
      <c r="G468" s="15" t="s">
        <v>674</v>
      </c>
      <c r="H468" s="15" t="s">
        <v>811</v>
      </c>
      <c r="I468" s="15" t="s">
        <v>702</v>
      </c>
      <c r="J468" s="15" t="s">
        <v>325</v>
      </c>
      <c r="K468" s="15" t="s">
        <v>334</v>
      </c>
      <c r="L468" s="15" t="s">
        <v>358</v>
      </c>
      <c r="M468" s="15" t="s">
        <v>322</v>
      </c>
      <c r="N468" s="15" t="s">
        <v>708</v>
      </c>
      <c r="O468" s="15" t="s">
        <v>694</v>
      </c>
      <c r="P468" s="15" t="s">
        <v>1045</v>
      </c>
      <c r="Q468" s="15" t="s">
        <v>887</v>
      </c>
      <c r="R468" s="15" t="s">
        <v>835</v>
      </c>
      <c r="S468" s="15" t="s">
        <v>348</v>
      </c>
      <c r="T468" s="15" t="s">
        <v>652</v>
      </c>
      <c r="AC468" s="32" t="s">
        <v>885</v>
      </c>
      <c r="AD468" s="33" t="e">
        <f t="shared" si="96"/>
        <v>#N/A</v>
      </c>
      <c r="AE468" s="21" t="str">
        <f t="shared" si="99"/>
        <v>BR_VW_AFS_dv360_DIS_PROG_CPM_STD_LDR_AAF_RON_CXD_After-Sales-Oficina-Classicos-REG06-lal-lead-oficina_PD_970x250</v>
      </c>
      <c r="AF468" s="21" t="str">
        <f t="shared" si="100"/>
        <v>BR_VW_AFS_dv360_DIS_PROG_CPM_STD_LDR_AAF_RON_CXD_After-Sales-Oficina-Classicos-REG06-lal-lead-oficina_PD_970x250</v>
      </c>
      <c r="AG468" s="21" t="str">
        <f t="shared" si="101"/>
        <v>VW_After-Sales-lal-lead-oficina_970x250_After-Sales-Oficina-Classicos-REG06-adserver</v>
      </c>
      <c r="AH468" s="21" t="str">
        <f t="shared" si="102"/>
        <v>https://www.oficinadeclassicos.com.br/index.aspx?utm_source=dv360&amp;utm_medium=Programmatic&amp;utm_content=BR_VW_AFS_dv360_DIS_PROG_CPM_STD_LDR_AAF_RON_CXD_After-Sales-Oficina-Classicos-REG06-lal-lead-oficina_PD_970x250&amp;utm_campaign=BR_AAF_DSY_NONMS_ND_AS_2019Q2APR_AFS_After-Sales&amp;utm_term=%epid!_%ecid!_%eaid!</v>
      </c>
      <c r="AI468" s="21" t="str">
        <f t="shared" si="103"/>
        <v>TAG</v>
      </c>
      <c r="AJ468" s="15" t="str">
        <f t="shared" si="97"/>
        <v>dv360</v>
      </c>
      <c r="AK468" s="15" t="str">
        <f t="shared" si="98"/>
        <v>Programmatic</v>
      </c>
      <c r="AL468" s="21" t="str">
        <f>Campanha!$B$3</f>
        <v>BR_AAF_DSY_NONMS_ND_AS_2019Q2APR_AFS_After-Sales</v>
      </c>
      <c r="AM468" s="21" t="str">
        <f t="shared" si="104"/>
        <v>BR_VW_AFS_dv360_DIS_PROG_CPM_STD_LDR_AAF_RON_CXD_After-Sales-Oficina-Classicos-REG06-lal-lead-oficina_PD_970x250</v>
      </c>
      <c r="AN468" s="15" t="s">
        <v>809</v>
      </c>
    </row>
    <row r="469" spans="2:40" hidden="1" x14ac:dyDescent="0.25">
      <c r="B469" s="15" t="s">
        <v>872</v>
      </c>
      <c r="C469" s="15"/>
      <c r="D469" s="30" t="s">
        <v>873</v>
      </c>
      <c r="E469" s="22">
        <v>44155</v>
      </c>
      <c r="F469" s="22">
        <v>44196</v>
      </c>
      <c r="G469" s="15" t="s">
        <v>674</v>
      </c>
      <c r="H469" s="15" t="s">
        <v>811</v>
      </c>
      <c r="I469" s="15" t="s">
        <v>702</v>
      </c>
      <c r="J469" s="15" t="s">
        <v>325</v>
      </c>
      <c r="K469" s="15" t="s">
        <v>334</v>
      </c>
      <c r="L469" s="15" t="s">
        <v>358</v>
      </c>
      <c r="M469" s="15" t="s">
        <v>322</v>
      </c>
      <c r="N469" s="15" t="s">
        <v>708</v>
      </c>
      <c r="O469" s="15" t="s">
        <v>694</v>
      </c>
      <c r="P469" s="15" t="s">
        <v>1045</v>
      </c>
      <c r="Q469" s="15" t="s">
        <v>880</v>
      </c>
      <c r="R469" s="15" t="s">
        <v>835</v>
      </c>
      <c r="S469" s="15" t="s">
        <v>348</v>
      </c>
      <c r="T469" s="15" t="s">
        <v>457</v>
      </c>
      <c r="AC469" s="32" t="s">
        <v>885</v>
      </c>
      <c r="AD469" s="33" t="e">
        <f t="shared" si="96"/>
        <v>#N/A</v>
      </c>
      <c r="AE469" s="21" t="str">
        <f t="shared" si="99"/>
        <v>BR_VW_AFS_dv360_DIS_PROG_CPM_STD_LDR_AAF_RON_CXD_After-Sales-Oficina-Classicos-REG06-lal-add-to-cart-oficina_PD_160x600</v>
      </c>
      <c r="AF469" s="21" t="str">
        <f t="shared" si="100"/>
        <v>BR_VW_AFS_dv360_DIS_PROG_CPM_STD_LDR_AAF_RON_CXD_After-Sales-Oficina-Classicos-REG06-lal-add-to-cart-oficina_PD_160x600</v>
      </c>
      <c r="AG469" s="21" t="str">
        <f t="shared" si="101"/>
        <v>VW_After-Sales-lal-add-to-cart-oficina_160x600_After-Sales-Oficina-Classicos-REG06-adserver</v>
      </c>
      <c r="AH469" s="21" t="str">
        <f t="shared" si="102"/>
        <v>https://www.oficinadeclassicos.com.br/index.aspx?utm_source=dv360&amp;utm_medium=Programmatic&amp;utm_content=BR_VW_AFS_dv360_DIS_PROG_CPM_STD_LDR_AAF_RON_CXD_After-Sales-Oficina-Classicos-REG06-lal-add-to-cart-oficina_PD_160x600&amp;utm_campaign=BR_AAF_DSY_NONMS_ND_AS_2019Q2APR_AFS_After-Sales&amp;utm_term=%epid!_%ecid!_%eaid!</v>
      </c>
      <c r="AI469" s="21" t="str">
        <f t="shared" si="103"/>
        <v>TAG</v>
      </c>
      <c r="AJ469" s="15" t="str">
        <f t="shared" si="97"/>
        <v>dv360</v>
      </c>
      <c r="AK469" s="15" t="str">
        <f t="shared" si="98"/>
        <v>Programmatic</v>
      </c>
      <c r="AL469" s="21" t="str">
        <f>Campanha!$B$3</f>
        <v>BR_AAF_DSY_NONMS_ND_AS_2019Q2APR_AFS_After-Sales</v>
      </c>
      <c r="AM469" s="21" t="str">
        <f t="shared" si="104"/>
        <v>BR_VW_AFS_dv360_DIS_PROG_CPM_STD_LDR_AAF_RON_CXD_After-Sales-Oficina-Classicos-REG06-lal-add-to-cart-oficina_PD_160x600</v>
      </c>
      <c r="AN469" s="15" t="s">
        <v>809</v>
      </c>
    </row>
    <row r="470" spans="2:40" hidden="1" x14ac:dyDescent="0.25">
      <c r="B470" s="15" t="s">
        <v>872</v>
      </c>
      <c r="C470" s="15"/>
      <c r="D470" s="30" t="s">
        <v>873</v>
      </c>
      <c r="E470" s="22">
        <v>44155</v>
      </c>
      <c r="F470" s="22">
        <v>44196</v>
      </c>
      <c r="G470" s="15" t="s">
        <v>674</v>
      </c>
      <c r="H470" s="15" t="s">
        <v>811</v>
      </c>
      <c r="I470" s="15" t="s">
        <v>702</v>
      </c>
      <c r="J470" s="15" t="s">
        <v>325</v>
      </c>
      <c r="K470" s="15" t="s">
        <v>334</v>
      </c>
      <c r="L470" s="15" t="s">
        <v>358</v>
      </c>
      <c r="M470" s="15" t="s">
        <v>322</v>
      </c>
      <c r="N470" s="15" t="s">
        <v>708</v>
      </c>
      <c r="O470" s="15" t="s">
        <v>694</v>
      </c>
      <c r="P470" s="15" t="s">
        <v>1045</v>
      </c>
      <c r="Q470" s="15" t="s">
        <v>880</v>
      </c>
      <c r="R470" s="15" t="s">
        <v>835</v>
      </c>
      <c r="S470" s="15" t="s">
        <v>348</v>
      </c>
      <c r="T470" s="15" t="s">
        <v>484</v>
      </c>
      <c r="AC470" s="32" t="s">
        <v>885</v>
      </c>
      <c r="AD470" s="33" t="e">
        <f t="shared" si="96"/>
        <v>#N/A</v>
      </c>
      <c r="AE470" s="21" t="str">
        <f t="shared" si="99"/>
        <v>BR_VW_AFS_dv360_DIS_PROG_CPM_STD_LDR_AAF_RON_CXD_After-Sales-Oficina-Classicos-REG06-lal-add-to-cart-oficina_PD_300x50</v>
      </c>
      <c r="AF470" s="21" t="str">
        <f t="shared" si="100"/>
        <v>BR_VW_AFS_dv360_DIS_PROG_CPM_STD_LDR_AAF_RON_CXD_After-Sales-Oficina-Classicos-REG06-lal-add-to-cart-oficina_PD_300x50</v>
      </c>
      <c r="AG470" s="21" t="str">
        <f t="shared" si="101"/>
        <v>VW_After-Sales-lal-add-to-cart-oficina_300x50_After-Sales-Oficina-Classicos-REG06-adserver</v>
      </c>
      <c r="AH470" s="21" t="str">
        <f t="shared" si="102"/>
        <v>https://www.oficinadeclassicos.com.br/index.aspx?utm_source=dv360&amp;utm_medium=Programmatic&amp;utm_content=BR_VW_AFS_dv360_DIS_PROG_CPM_STD_LDR_AAF_RON_CXD_After-Sales-Oficina-Classicos-REG06-lal-add-to-cart-oficina_PD_300x50&amp;utm_campaign=BR_AAF_DSY_NONMS_ND_AS_2019Q2APR_AFS_After-Sales&amp;utm_term=%epid!_%ecid!_%eaid!</v>
      </c>
      <c r="AI470" s="21" t="str">
        <f t="shared" si="103"/>
        <v>TAG</v>
      </c>
      <c r="AJ470" s="15" t="str">
        <f t="shared" si="97"/>
        <v>dv360</v>
      </c>
      <c r="AK470" s="15" t="str">
        <f t="shared" si="98"/>
        <v>Programmatic</v>
      </c>
      <c r="AL470" s="21" t="str">
        <f>Campanha!$B$3</f>
        <v>BR_AAF_DSY_NONMS_ND_AS_2019Q2APR_AFS_After-Sales</v>
      </c>
      <c r="AM470" s="21" t="str">
        <f t="shared" si="104"/>
        <v>BR_VW_AFS_dv360_DIS_PROG_CPM_STD_LDR_AAF_RON_CXD_After-Sales-Oficina-Classicos-REG06-lal-add-to-cart-oficina_PD_300x50</v>
      </c>
      <c r="AN470" s="15" t="s">
        <v>809</v>
      </c>
    </row>
    <row r="471" spans="2:40" hidden="1" x14ac:dyDescent="0.25">
      <c r="B471" s="15" t="s">
        <v>872</v>
      </c>
      <c r="C471" s="15"/>
      <c r="D471" s="30" t="s">
        <v>873</v>
      </c>
      <c r="E471" s="22">
        <v>44155</v>
      </c>
      <c r="F471" s="22">
        <v>44196</v>
      </c>
      <c r="G471" s="15" t="s">
        <v>674</v>
      </c>
      <c r="H471" s="15" t="s">
        <v>811</v>
      </c>
      <c r="I471" s="15" t="s">
        <v>702</v>
      </c>
      <c r="J471" s="15" t="s">
        <v>325</v>
      </c>
      <c r="K471" s="15" t="s">
        <v>334</v>
      </c>
      <c r="L471" s="15" t="s">
        <v>358</v>
      </c>
      <c r="M471" s="15" t="s">
        <v>322</v>
      </c>
      <c r="N471" s="15" t="s">
        <v>708</v>
      </c>
      <c r="O471" s="15" t="s">
        <v>694</v>
      </c>
      <c r="P471" s="15" t="s">
        <v>1045</v>
      </c>
      <c r="Q471" s="15" t="s">
        <v>880</v>
      </c>
      <c r="R471" s="15" t="s">
        <v>835</v>
      </c>
      <c r="S471" s="15" t="s">
        <v>348</v>
      </c>
      <c r="T471" s="15" t="s">
        <v>478</v>
      </c>
      <c r="AC471" s="32" t="s">
        <v>885</v>
      </c>
      <c r="AD471" s="33" t="e">
        <f t="shared" si="96"/>
        <v>#N/A</v>
      </c>
      <c r="AE471" s="21" t="str">
        <f t="shared" si="99"/>
        <v>BR_VW_AFS_dv360_DIS_PROG_CPM_STD_LDR_AAF_RON_CXD_After-Sales-Oficina-Classicos-REG06-lal-add-to-cart-oficina_PD_300x250</v>
      </c>
      <c r="AF471" s="21" t="str">
        <f t="shared" si="100"/>
        <v>BR_VW_AFS_dv360_DIS_PROG_CPM_STD_LDR_AAF_RON_CXD_After-Sales-Oficina-Classicos-REG06-lal-add-to-cart-oficina_PD_300x250</v>
      </c>
      <c r="AG471" s="21" t="str">
        <f t="shared" si="101"/>
        <v>VW_After-Sales-lal-add-to-cart-oficina_300x250_After-Sales-Oficina-Classicos-REG06-adserver</v>
      </c>
      <c r="AH471" s="21" t="str">
        <f t="shared" si="102"/>
        <v>https://www.oficinadeclassicos.com.br/index.aspx?utm_source=dv360&amp;utm_medium=Programmatic&amp;utm_content=BR_VW_AFS_dv360_DIS_PROG_CPM_STD_LDR_AAF_RON_CXD_After-Sales-Oficina-Classicos-REG06-lal-add-to-cart-oficina_PD_300x250&amp;utm_campaign=BR_AAF_DSY_NONMS_ND_AS_2019Q2APR_AFS_After-Sales&amp;utm_term=%epid!_%ecid!_%eaid!</v>
      </c>
      <c r="AI471" s="21" t="str">
        <f t="shared" si="103"/>
        <v>TAG</v>
      </c>
      <c r="AJ471" s="15" t="str">
        <f t="shared" si="97"/>
        <v>dv360</v>
      </c>
      <c r="AK471" s="15" t="str">
        <f t="shared" si="98"/>
        <v>Programmatic</v>
      </c>
      <c r="AL471" s="21" t="str">
        <f>Campanha!$B$3</f>
        <v>BR_AAF_DSY_NONMS_ND_AS_2019Q2APR_AFS_After-Sales</v>
      </c>
      <c r="AM471" s="21" t="str">
        <f t="shared" si="104"/>
        <v>BR_VW_AFS_dv360_DIS_PROG_CPM_STD_LDR_AAF_RON_CXD_After-Sales-Oficina-Classicos-REG06-lal-add-to-cart-oficina_PD_300x250</v>
      </c>
      <c r="AN471" s="15" t="s">
        <v>809</v>
      </c>
    </row>
    <row r="472" spans="2:40" hidden="1" x14ac:dyDescent="0.25">
      <c r="B472" s="15" t="s">
        <v>872</v>
      </c>
      <c r="C472" s="15"/>
      <c r="D472" s="30" t="s">
        <v>873</v>
      </c>
      <c r="E472" s="22">
        <v>44155</v>
      </c>
      <c r="F472" s="22">
        <v>44196</v>
      </c>
      <c r="G472" s="15" t="s">
        <v>674</v>
      </c>
      <c r="H472" s="15" t="s">
        <v>811</v>
      </c>
      <c r="I472" s="15" t="s">
        <v>702</v>
      </c>
      <c r="J472" s="15" t="s">
        <v>325</v>
      </c>
      <c r="K472" s="15" t="s">
        <v>334</v>
      </c>
      <c r="L472" s="15" t="s">
        <v>358</v>
      </c>
      <c r="M472" s="15" t="s">
        <v>322</v>
      </c>
      <c r="N472" s="15" t="s">
        <v>708</v>
      </c>
      <c r="O472" s="15" t="s">
        <v>694</v>
      </c>
      <c r="P472" s="15" t="s">
        <v>1045</v>
      </c>
      <c r="Q472" s="15" t="s">
        <v>880</v>
      </c>
      <c r="R472" s="15" t="s">
        <v>835</v>
      </c>
      <c r="S472" s="15" t="s">
        <v>348</v>
      </c>
      <c r="T472" s="15" t="s">
        <v>614</v>
      </c>
      <c r="AC472" s="32" t="s">
        <v>885</v>
      </c>
      <c r="AD472" s="33" t="e">
        <f t="shared" si="96"/>
        <v>#N/A</v>
      </c>
      <c r="AE472" s="21" t="str">
        <f t="shared" si="99"/>
        <v>BR_VW_AFS_dv360_DIS_PROG_CPM_STD_LDR_AAF_RON_CXD_After-Sales-Oficina-Classicos-REG06-lal-add-to-cart-oficina_PD_728x90</v>
      </c>
      <c r="AF472" s="21" t="str">
        <f t="shared" si="100"/>
        <v>BR_VW_AFS_dv360_DIS_PROG_CPM_STD_LDR_AAF_RON_CXD_After-Sales-Oficina-Classicos-REG06-lal-add-to-cart-oficina_PD_728x90</v>
      </c>
      <c r="AG472" s="21" t="str">
        <f t="shared" si="101"/>
        <v>VW_After-Sales-lal-add-to-cart-oficina_728x90_After-Sales-Oficina-Classicos-REG06-adserver</v>
      </c>
      <c r="AH472" s="21" t="str">
        <f t="shared" si="102"/>
        <v>https://www.oficinadeclassicos.com.br/index.aspx?utm_source=dv360&amp;utm_medium=Programmatic&amp;utm_content=BR_VW_AFS_dv360_DIS_PROG_CPM_STD_LDR_AAF_RON_CXD_After-Sales-Oficina-Classicos-REG06-lal-add-to-cart-oficina_PD_728x90&amp;utm_campaign=BR_AAF_DSY_NONMS_ND_AS_2019Q2APR_AFS_After-Sales&amp;utm_term=%epid!_%ecid!_%eaid!</v>
      </c>
      <c r="AI472" s="21" t="str">
        <f t="shared" si="103"/>
        <v>TAG</v>
      </c>
      <c r="AJ472" s="15" t="str">
        <f t="shared" si="97"/>
        <v>dv360</v>
      </c>
      <c r="AK472" s="15" t="str">
        <f t="shared" si="98"/>
        <v>Programmatic</v>
      </c>
      <c r="AL472" s="21" t="str">
        <f>Campanha!$B$3</f>
        <v>BR_AAF_DSY_NONMS_ND_AS_2019Q2APR_AFS_After-Sales</v>
      </c>
      <c r="AM472" s="21" t="str">
        <f t="shared" si="104"/>
        <v>BR_VW_AFS_dv360_DIS_PROG_CPM_STD_LDR_AAF_RON_CXD_After-Sales-Oficina-Classicos-REG06-lal-add-to-cart-oficina_PD_728x90</v>
      </c>
      <c r="AN472" s="15" t="s">
        <v>809</v>
      </c>
    </row>
    <row r="473" spans="2:40" hidden="1" x14ac:dyDescent="0.25">
      <c r="B473" s="15" t="s">
        <v>872</v>
      </c>
      <c r="C473" s="15"/>
      <c r="D473" s="30" t="s">
        <v>873</v>
      </c>
      <c r="E473" s="22">
        <v>44155</v>
      </c>
      <c r="F473" s="22">
        <v>44196</v>
      </c>
      <c r="G473" s="15" t="s">
        <v>674</v>
      </c>
      <c r="H473" s="15" t="s">
        <v>811</v>
      </c>
      <c r="I473" s="15" t="s">
        <v>702</v>
      </c>
      <c r="J473" s="15" t="s">
        <v>325</v>
      </c>
      <c r="K473" s="15" t="s">
        <v>334</v>
      </c>
      <c r="L473" s="15" t="s">
        <v>358</v>
      </c>
      <c r="M473" s="15" t="s">
        <v>322</v>
      </c>
      <c r="N473" s="15" t="s">
        <v>708</v>
      </c>
      <c r="O473" s="15" t="s">
        <v>694</v>
      </c>
      <c r="P473" s="15" t="s">
        <v>1045</v>
      </c>
      <c r="Q473" s="15" t="s">
        <v>880</v>
      </c>
      <c r="R473" s="15" t="s">
        <v>835</v>
      </c>
      <c r="S473" s="15" t="s">
        <v>348</v>
      </c>
      <c r="T473" s="15" t="s">
        <v>652</v>
      </c>
      <c r="AC473" s="32" t="s">
        <v>885</v>
      </c>
      <c r="AD473" s="33" t="e">
        <f t="shared" si="96"/>
        <v>#N/A</v>
      </c>
      <c r="AE473" s="21" t="str">
        <f t="shared" si="99"/>
        <v>BR_VW_AFS_dv360_DIS_PROG_CPM_STD_LDR_AAF_RON_CXD_After-Sales-Oficina-Classicos-REG06-lal-add-to-cart-oficina_PD_970x250</v>
      </c>
      <c r="AF473" s="21" t="str">
        <f t="shared" si="100"/>
        <v>BR_VW_AFS_dv360_DIS_PROG_CPM_STD_LDR_AAF_RON_CXD_After-Sales-Oficina-Classicos-REG06-lal-add-to-cart-oficina_PD_970x250</v>
      </c>
      <c r="AG473" s="21" t="str">
        <f t="shared" si="101"/>
        <v>VW_After-Sales-lal-add-to-cart-oficina_970x250_After-Sales-Oficina-Classicos-REG06-adserver</v>
      </c>
      <c r="AH473" s="21" t="str">
        <f t="shared" si="102"/>
        <v>https://www.oficinadeclassicos.com.br/index.aspx?utm_source=dv360&amp;utm_medium=Programmatic&amp;utm_content=BR_VW_AFS_dv360_DIS_PROG_CPM_STD_LDR_AAF_RON_CXD_After-Sales-Oficina-Classicos-REG06-lal-add-to-cart-oficina_PD_970x250&amp;utm_campaign=BR_AAF_DSY_NONMS_ND_AS_2019Q2APR_AFS_After-Sales&amp;utm_term=%epid!_%ecid!_%eaid!</v>
      </c>
      <c r="AI473" s="21" t="str">
        <f t="shared" si="103"/>
        <v>TAG</v>
      </c>
      <c r="AJ473" s="15" t="str">
        <f t="shared" si="97"/>
        <v>dv360</v>
      </c>
      <c r="AK473" s="15" t="str">
        <f t="shared" si="98"/>
        <v>Programmatic</v>
      </c>
      <c r="AL473" s="21" t="str">
        <f>Campanha!$B$3</f>
        <v>BR_AAF_DSY_NONMS_ND_AS_2019Q2APR_AFS_After-Sales</v>
      </c>
      <c r="AM473" s="21" t="str">
        <f t="shared" si="104"/>
        <v>BR_VW_AFS_dv360_DIS_PROG_CPM_STD_LDR_AAF_RON_CXD_After-Sales-Oficina-Classicos-REG06-lal-add-to-cart-oficina_PD_970x250</v>
      </c>
      <c r="AN473" s="15" t="s">
        <v>809</v>
      </c>
    </row>
    <row r="474" spans="2:40" hidden="1" x14ac:dyDescent="0.25">
      <c r="B474" s="15" t="s">
        <v>872</v>
      </c>
      <c r="C474" s="15"/>
      <c r="D474" s="30" t="s">
        <v>873</v>
      </c>
      <c r="E474" s="22">
        <v>44155</v>
      </c>
      <c r="F474" s="22">
        <v>44196</v>
      </c>
      <c r="G474" s="15" t="s">
        <v>674</v>
      </c>
      <c r="H474" s="15" t="s">
        <v>811</v>
      </c>
      <c r="I474" s="15" t="s">
        <v>702</v>
      </c>
      <c r="J474" s="15" t="s">
        <v>325</v>
      </c>
      <c r="K474" s="15" t="s">
        <v>334</v>
      </c>
      <c r="L474" s="15" t="s">
        <v>358</v>
      </c>
      <c r="M474" s="15" t="s">
        <v>322</v>
      </c>
      <c r="N474" s="15" t="s">
        <v>708</v>
      </c>
      <c r="O474" s="15" t="s">
        <v>694</v>
      </c>
      <c r="P474" s="15" t="s">
        <v>1045</v>
      </c>
      <c r="Q474" s="15" t="s">
        <v>888</v>
      </c>
      <c r="R474" s="15" t="s">
        <v>835</v>
      </c>
      <c r="S474" s="15" t="s">
        <v>348</v>
      </c>
      <c r="T474" s="15" t="s">
        <v>457</v>
      </c>
      <c r="AC474" s="32" t="s">
        <v>885</v>
      </c>
      <c r="AD474" s="33" t="e">
        <f t="shared" si="96"/>
        <v>#N/A</v>
      </c>
      <c r="AE474" s="21" t="str">
        <f t="shared" si="99"/>
        <v>BR_VW_AFS_dv360_DIS_PROG_CPM_STD_LDR_AAF_RON_CXD_After-Sales-Oficina-Classicos-REG06-lal-home-oficina_PD_160x600</v>
      </c>
      <c r="AF474" s="21" t="str">
        <f t="shared" si="100"/>
        <v>BR_VW_AFS_dv360_DIS_PROG_CPM_STD_LDR_AAF_RON_CXD_After-Sales-Oficina-Classicos-REG06-lal-home-oficina_PD_160x600</v>
      </c>
      <c r="AG474" s="21" t="str">
        <f t="shared" si="101"/>
        <v>VW_After-Sales-lal-home-oficina_160x600_After-Sales-Oficina-Classicos-REG06-adserver</v>
      </c>
      <c r="AH474" s="21" t="str">
        <f t="shared" si="102"/>
        <v>https://www.oficinadeclassicos.com.br/index.aspx?utm_source=dv360&amp;utm_medium=Programmatic&amp;utm_content=BR_VW_AFS_dv360_DIS_PROG_CPM_STD_LDR_AAF_RON_CXD_After-Sales-Oficina-Classicos-REG06-lal-home-oficina_PD_160x600&amp;utm_campaign=BR_AAF_DSY_NONMS_ND_AS_2019Q2APR_AFS_After-Sales&amp;utm_term=%epid!_%ecid!_%eaid!</v>
      </c>
      <c r="AI474" s="21" t="str">
        <f t="shared" si="103"/>
        <v>TAG</v>
      </c>
      <c r="AJ474" s="15" t="str">
        <f t="shared" si="97"/>
        <v>dv360</v>
      </c>
      <c r="AK474" s="15" t="str">
        <f t="shared" si="98"/>
        <v>Programmatic</v>
      </c>
      <c r="AL474" s="21" t="str">
        <f>Campanha!$B$3</f>
        <v>BR_AAF_DSY_NONMS_ND_AS_2019Q2APR_AFS_After-Sales</v>
      </c>
      <c r="AM474" s="21" t="str">
        <f t="shared" si="104"/>
        <v>BR_VW_AFS_dv360_DIS_PROG_CPM_STD_LDR_AAF_RON_CXD_After-Sales-Oficina-Classicos-REG06-lal-home-oficina_PD_160x600</v>
      </c>
      <c r="AN474" s="15" t="s">
        <v>809</v>
      </c>
    </row>
    <row r="475" spans="2:40" hidden="1" x14ac:dyDescent="0.25">
      <c r="B475" s="15" t="s">
        <v>872</v>
      </c>
      <c r="C475" s="15"/>
      <c r="D475" s="30" t="s">
        <v>873</v>
      </c>
      <c r="E475" s="22">
        <v>44155</v>
      </c>
      <c r="F475" s="22">
        <v>44196</v>
      </c>
      <c r="G475" s="15" t="s">
        <v>674</v>
      </c>
      <c r="H475" s="15" t="s">
        <v>811</v>
      </c>
      <c r="I475" s="15" t="s">
        <v>702</v>
      </c>
      <c r="J475" s="15" t="s">
        <v>325</v>
      </c>
      <c r="K475" s="15" t="s">
        <v>334</v>
      </c>
      <c r="L475" s="15" t="s">
        <v>358</v>
      </c>
      <c r="M475" s="15" t="s">
        <v>322</v>
      </c>
      <c r="N475" s="15" t="s">
        <v>708</v>
      </c>
      <c r="O475" s="15" t="s">
        <v>694</v>
      </c>
      <c r="P475" s="15" t="s">
        <v>1045</v>
      </c>
      <c r="Q475" s="15" t="s">
        <v>888</v>
      </c>
      <c r="R475" s="15" t="s">
        <v>835</v>
      </c>
      <c r="S475" s="15" t="s">
        <v>348</v>
      </c>
      <c r="T475" s="15" t="s">
        <v>484</v>
      </c>
      <c r="AC475" s="32" t="s">
        <v>885</v>
      </c>
      <c r="AD475" s="33" t="e">
        <f t="shared" si="96"/>
        <v>#N/A</v>
      </c>
      <c r="AE475" s="21" t="str">
        <f t="shared" si="99"/>
        <v>BR_VW_AFS_dv360_DIS_PROG_CPM_STD_LDR_AAF_RON_CXD_After-Sales-Oficina-Classicos-REG06-lal-home-oficina_PD_300x50</v>
      </c>
      <c r="AF475" s="21" t="str">
        <f t="shared" si="100"/>
        <v>BR_VW_AFS_dv360_DIS_PROG_CPM_STD_LDR_AAF_RON_CXD_After-Sales-Oficina-Classicos-REG06-lal-home-oficina_PD_300x50</v>
      </c>
      <c r="AG475" s="21" t="str">
        <f t="shared" si="101"/>
        <v>VW_After-Sales-lal-home-oficina_300x50_After-Sales-Oficina-Classicos-REG06-adserver</v>
      </c>
      <c r="AH475" s="21" t="str">
        <f t="shared" si="102"/>
        <v>https://www.oficinadeclassicos.com.br/index.aspx?utm_source=dv360&amp;utm_medium=Programmatic&amp;utm_content=BR_VW_AFS_dv360_DIS_PROG_CPM_STD_LDR_AAF_RON_CXD_After-Sales-Oficina-Classicos-REG06-lal-home-oficina_PD_300x50&amp;utm_campaign=BR_AAF_DSY_NONMS_ND_AS_2019Q2APR_AFS_After-Sales&amp;utm_term=%epid!_%ecid!_%eaid!</v>
      </c>
      <c r="AI475" s="21" t="str">
        <f t="shared" si="103"/>
        <v>TAG</v>
      </c>
      <c r="AJ475" s="15" t="str">
        <f t="shared" si="97"/>
        <v>dv360</v>
      </c>
      <c r="AK475" s="15" t="str">
        <f t="shared" si="98"/>
        <v>Programmatic</v>
      </c>
      <c r="AL475" s="21" t="str">
        <f>Campanha!$B$3</f>
        <v>BR_AAF_DSY_NONMS_ND_AS_2019Q2APR_AFS_After-Sales</v>
      </c>
      <c r="AM475" s="21" t="str">
        <f t="shared" si="104"/>
        <v>BR_VW_AFS_dv360_DIS_PROG_CPM_STD_LDR_AAF_RON_CXD_After-Sales-Oficina-Classicos-REG06-lal-home-oficina_PD_300x50</v>
      </c>
      <c r="AN475" s="15" t="s">
        <v>809</v>
      </c>
    </row>
    <row r="476" spans="2:40" hidden="1" x14ac:dyDescent="0.25">
      <c r="B476" s="15" t="s">
        <v>872</v>
      </c>
      <c r="C476" s="15"/>
      <c r="D476" s="30" t="s">
        <v>873</v>
      </c>
      <c r="E476" s="22">
        <v>44155</v>
      </c>
      <c r="F476" s="22">
        <v>44196</v>
      </c>
      <c r="G476" s="15" t="s">
        <v>674</v>
      </c>
      <c r="H476" s="15" t="s">
        <v>811</v>
      </c>
      <c r="I476" s="15" t="s">
        <v>702</v>
      </c>
      <c r="J476" s="15" t="s">
        <v>325</v>
      </c>
      <c r="K476" s="15" t="s">
        <v>334</v>
      </c>
      <c r="L476" s="15" t="s">
        <v>358</v>
      </c>
      <c r="M476" s="15" t="s">
        <v>322</v>
      </c>
      <c r="N476" s="15" t="s">
        <v>708</v>
      </c>
      <c r="O476" s="15" t="s">
        <v>694</v>
      </c>
      <c r="P476" s="15" t="s">
        <v>1045</v>
      </c>
      <c r="Q476" s="15" t="s">
        <v>888</v>
      </c>
      <c r="R476" s="15" t="s">
        <v>835</v>
      </c>
      <c r="S476" s="15" t="s">
        <v>348</v>
      </c>
      <c r="T476" s="15" t="s">
        <v>478</v>
      </c>
      <c r="AC476" s="32" t="s">
        <v>885</v>
      </c>
      <c r="AD476" s="33" t="e">
        <f t="shared" si="96"/>
        <v>#N/A</v>
      </c>
      <c r="AE476" s="21" t="str">
        <f t="shared" si="99"/>
        <v>BR_VW_AFS_dv360_DIS_PROG_CPM_STD_LDR_AAF_RON_CXD_After-Sales-Oficina-Classicos-REG06-lal-home-oficina_PD_300x250</v>
      </c>
      <c r="AF476" s="21" t="str">
        <f t="shared" si="100"/>
        <v>BR_VW_AFS_dv360_DIS_PROG_CPM_STD_LDR_AAF_RON_CXD_After-Sales-Oficina-Classicos-REG06-lal-home-oficina_PD_300x250</v>
      </c>
      <c r="AG476" s="21" t="str">
        <f t="shared" si="101"/>
        <v>VW_After-Sales-lal-home-oficina_300x250_After-Sales-Oficina-Classicos-REG06-adserver</v>
      </c>
      <c r="AH476" s="21" t="str">
        <f t="shared" si="102"/>
        <v>https://www.oficinadeclassicos.com.br/index.aspx?utm_source=dv360&amp;utm_medium=Programmatic&amp;utm_content=BR_VW_AFS_dv360_DIS_PROG_CPM_STD_LDR_AAF_RON_CXD_After-Sales-Oficina-Classicos-REG06-lal-home-oficina_PD_300x250&amp;utm_campaign=BR_AAF_DSY_NONMS_ND_AS_2019Q2APR_AFS_After-Sales&amp;utm_term=%epid!_%ecid!_%eaid!</v>
      </c>
      <c r="AI476" s="21" t="str">
        <f t="shared" si="103"/>
        <v>TAG</v>
      </c>
      <c r="AJ476" s="15" t="str">
        <f t="shared" si="97"/>
        <v>dv360</v>
      </c>
      <c r="AK476" s="15" t="str">
        <f t="shared" si="98"/>
        <v>Programmatic</v>
      </c>
      <c r="AL476" s="21" t="str">
        <f>Campanha!$B$3</f>
        <v>BR_AAF_DSY_NONMS_ND_AS_2019Q2APR_AFS_After-Sales</v>
      </c>
      <c r="AM476" s="21" t="str">
        <f t="shared" si="104"/>
        <v>BR_VW_AFS_dv360_DIS_PROG_CPM_STD_LDR_AAF_RON_CXD_After-Sales-Oficina-Classicos-REG06-lal-home-oficina_PD_300x250</v>
      </c>
      <c r="AN476" s="15" t="s">
        <v>809</v>
      </c>
    </row>
    <row r="477" spans="2:40" hidden="1" x14ac:dyDescent="0.25">
      <c r="B477" s="15" t="s">
        <v>872</v>
      </c>
      <c r="C477" s="15"/>
      <c r="D477" s="30" t="s">
        <v>873</v>
      </c>
      <c r="E477" s="22">
        <v>44155</v>
      </c>
      <c r="F477" s="22">
        <v>44196</v>
      </c>
      <c r="G477" s="15" t="s">
        <v>674</v>
      </c>
      <c r="H477" s="15" t="s">
        <v>811</v>
      </c>
      <c r="I477" s="15" t="s">
        <v>702</v>
      </c>
      <c r="J477" s="15" t="s">
        <v>325</v>
      </c>
      <c r="K477" s="15" t="s">
        <v>334</v>
      </c>
      <c r="L477" s="15" t="s">
        <v>358</v>
      </c>
      <c r="M477" s="15" t="s">
        <v>322</v>
      </c>
      <c r="N477" s="15" t="s">
        <v>708</v>
      </c>
      <c r="O477" s="15" t="s">
        <v>694</v>
      </c>
      <c r="P477" s="15" t="s">
        <v>1045</v>
      </c>
      <c r="Q477" s="15" t="s">
        <v>888</v>
      </c>
      <c r="R477" s="15" t="s">
        <v>835</v>
      </c>
      <c r="S477" s="15" t="s">
        <v>348</v>
      </c>
      <c r="T477" s="15" t="s">
        <v>614</v>
      </c>
      <c r="AC477" s="32" t="s">
        <v>885</v>
      </c>
      <c r="AD477" s="33" t="e">
        <f t="shared" si="96"/>
        <v>#N/A</v>
      </c>
      <c r="AE477" s="21" t="str">
        <f t="shared" si="99"/>
        <v>BR_VW_AFS_dv360_DIS_PROG_CPM_STD_LDR_AAF_RON_CXD_After-Sales-Oficina-Classicos-REG06-lal-home-oficina_PD_728x90</v>
      </c>
      <c r="AF477" s="21" t="str">
        <f t="shared" si="100"/>
        <v>BR_VW_AFS_dv360_DIS_PROG_CPM_STD_LDR_AAF_RON_CXD_After-Sales-Oficina-Classicos-REG06-lal-home-oficina_PD_728x90</v>
      </c>
      <c r="AG477" s="21" t="str">
        <f t="shared" si="101"/>
        <v>VW_After-Sales-lal-home-oficina_728x90_After-Sales-Oficina-Classicos-REG06-adserver</v>
      </c>
      <c r="AH477" s="21" t="str">
        <f t="shared" si="102"/>
        <v>https://www.oficinadeclassicos.com.br/index.aspx?utm_source=dv360&amp;utm_medium=Programmatic&amp;utm_content=BR_VW_AFS_dv360_DIS_PROG_CPM_STD_LDR_AAF_RON_CXD_After-Sales-Oficina-Classicos-REG06-lal-home-oficina_PD_728x90&amp;utm_campaign=BR_AAF_DSY_NONMS_ND_AS_2019Q2APR_AFS_After-Sales&amp;utm_term=%epid!_%ecid!_%eaid!</v>
      </c>
      <c r="AI477" s="21" t="str">
        <f t="shared" si="103"/>
        <v>TAG</v>
      </c>
      <c r="AJ477" s="15" t="str">
        <f t="shared" si="97"/>
        <v>dv360</v>
      </c>
      <c r="AK477" s="15" t="str">
        <f t="shared" si="98"/>
        <v>Programmatic</v>
      </c>
      <c r="AL477" s="21" t="str">
        <f>Campanha!$B$3</f>
        <v>BR_AAF_DSY_NONMS_ND_AS_2019Q2APR_AFS_After-Sales</v>
      </c>
      <c r="AM477" s="21" t="str">
        <f t="shared" si="104"/>
        <v>BR_VW_AFS_dv360_DIS_PROG_CPM_STD_LDR_AAF_RON_CXD_After-Sales-Oficina-Classicos-REG06-lal-home-oficina_PD_728x90</v>
      </c>
      <c r="AN477" s="15" t="s">
        <v>809</v>
      </c>
    </row>
    <row r="478" spans="2:40" hidden="1" x14ac:dyDescent="0.25">
      <c r="B478" s="15" t="s">
        <v>872</v>
      </c>
      <c r="C478" s="15"/>
      <c r="D478" s="30" t="s">
        <v>873</v>
      </c>
      <c r="E478" s="22">
        <v>44155</v>
      </c>
      <c r="F478" s="22">
        <v>44196</v>
      </c>
      <c r="G478" s="15" t="s">
        <v>674</v>
      </c>
      <c r="H478" s="15" t="s">
        <v>811</v>
      </c>
      <c r="I478" s="15" t="s">
        <v>702</v>
      </c>
      <c r="J478" s="15" t="s">
        <v>325</v>
      </c>
      <c r="K478" s="15" t="s">
        <v>334</v>
      </c>
      <c r="L478" s="15" t="s">
        <v>358</v>
      </c>
      <c r="M478" s="15" t="s">
        <v>322</v>
      </c>
      <c r="N478" s="15" t="s">
        <v>708</v>
      </c>
      <c r="O478" s="15" t="s">
        <v>694</v>
      </c>
      <c r="P478" s="15" t="s">
        <v>1045</v>
      </c>
      <c r="Q478" s="15" t="s">
        <v>888</v>
      </c>
      <c r="R478" s="15" t="s">
        <v>835</v>
      </c>
      <c r="S478" s="15" t="s">
        <v>348</v>
      </c>
      <c r="T478" s="15" t="s">
        <v>652</v>
      </c>
      <c r="AC478" s="32" t="s">
        <v>885</v>
      </c>
      <c r="AD478" s="33" t="e">
        <f t="shared" si="96"/>
        <v>#N/A</v>
      </c>
      <c r="AE478" s="21" t="str">
        <f t="shared" si="99"/>
        <v>BR_VW_AFS_dv360_DIS_PROG_CPM_STD_LDR_AAF_RON_CXD_After-Sales-Oficina-Classicos-REG06-lal-home-oficina_PD_970x250</v>
      </c>
      <c r="AF478" s="21" t="str">
        <f t="shared" si="100"/>
        <v>BR_VW_AFS_dv360_DIS_PROG_CPM_STD_LDR_AAF_RON_CXD_After-Sales-Oficina-Classicos-REG06-lal-home-oficina_PD_970x250</v>
      </c>
      <c r="AG478" s="21" t="str">
        <f t="shared" si="101"/>
        <v>VW_After-Sales-lal-home-oficina_970x250_After-Sales-Oficina-Classicos-REG06-adserver</v>
      </c>
      <c r="AH478" s="21" t="str">
        <f t="shared" si="102"/>
        <v>https://www.oficinadeclassicos.com.br/index.aspx?utm_source=dv360&amp;utm_medium=Programmatic&amp;utm_content=BR_VW_AFS_dv360_DIS_PROG_CPM_STD_LDR_AAF_RON_CXD_After-Sales-Oficina-Classicos-REG06-lal-home-oficina_PD_970x250&amp;utm_campaign=BR_AAF_DSY_NONMS_ND_AS_2019Q2APR_AFS_After-Sales&amp;utm_term=%epid!_%ecid!_%eaid!</v>
      </c>
      <c r="AI478" s="21" t="str">
        <f t="shared" si="103"/>
        <v>TAG</v>
      </c>
      <c r="AJ478" s="15" t="str">
        <f t="shared" si="97"/>
        <v>dv360</v>
      </c>
      <c r="AK478" s="15" t="str">
        <f t="shared" si="98"/>
        <v>Programmatic</v>
      </c>
      <c r="AL478" s="21" t="str">
        <f>Campanha!$B$3</f>
        <v>BR_AAF_DSY_NONMS_ND_AS_2019Q2APR_AFS_After-Sales</v>
      </c>
      <c r="AM478" s="21" t="str">
        <f t="shared" si="104"/>
        <v>BR_VW_AFS_dv360_DIS_PROG_CPM_STD_LDR_AAF_RON_CXD_After-Sales-Oficina-Classicos-REG06-lal-home-oficina_PD_970x250</v>
      </c>
      <c r="AN478" s="15" t="s">
        <v>809</v>
      </c>
    </row>
    <row r="479" spans="2:40" hidden="1" x14ac:dyDescent="0.25">
      <c r="B479" s="15" t="s">
        <v>872</v>
      </c>
      <c r="C479" s="15"/>
      <c r="D479" s="30" t="s">
        <v>873</v>
      </c>
      <c r="E479" s="22">
        <v>44155</v>
      </c>
      <c r="F479" s="22">
        <v>44196</v>
      </c>
      <c r="G479" s="15" t="s">
        <v>674</v>
      </c>
      <c r="H479" s="15" t="s">
        <v>811</v>
      </c>
      <c r="I479" s="15" t="s">
        <v>702</v>
      </c>
      <c r="J479" s="15" t="s">
        <v>325</v>
      </c>
      <c r="K479" s="15" t="s">
        <v>334</v>
      </c>
      <c r="L479" s="15" t="s">
        <v>358</v>
      </c>
      <c r="M479" s="15" t="s">
        <v>322</v>
      </c>
      <c r="N479" s="15" t="s">
        <v>708</v>
      </c>
      <c r="O479" s="15" t="s">
        <v>694</v>
      </c>
      <c r="P479" s="15" t="s">
        <v>1045</v>
      </c>
      <c r="Q479" s="15" t="s">
        <v>878</v>
      </c>
      <c r="R479" s="15" t="s">
        <v>835</v>
      </c>
      <c r="S479" s="15" t="s">
        <v>348</v>
      </c>
      <c r="T479" s="15" t="s">
        <v>457</v>
      </c>
      <c r="AC479" s="32" t="s">
        <v>885</v>
      </c>
      <c r="AD479" s="33" t="e">
        <f t="shared" si="96"/>
        <v>#N/A</v>
      </c>
      <c r="AE479" s="21" t="str">
        <f t="shared" si="99"/>
        <v>BR_VW_AFS_dv360_DIS_PROG_CPM_STD_LDR_AAF_RON_CXD_After-Sales-Oficina-Classicos-REG06-rmkt-visita-home-oficina_PD_160x600</v>
      </c>
      <c r="AF479" s="21" t="str">
        <f t="shared" si="100"/>
        <v>BR_VW_AFS_dv360_DIS_PROG_CPM_STD_LDR_AAF_RON_CXD_After-Sales-Oficina-Classicos-REG06-rmkt-visita-home-oficina_PD_160x600</v>
      </c>
      <c r="AG479" s="21" t="str">
        <f t="shared" si="101"/>
        <v>VW_After-Sales-rmkt-visita-home-oficina_160x600_After-Sales-Oficina-Classicos-REG06-adserver</v>
      </c>
      <c r="AH479" s="21" t="str">
        <f t="shared" si="102"/>
        <v>https://www.oficinadeclassicos.com.br/index.aspx?utm_source=dv360&amp;utm_medium=Programmatic&amp;utm_content=BR_VW_AFS_dv360_DIS_PROG_CPM_STD_LDR_AAF_RON_CXD_After-Sales-Oficina-Classicos-REG06-rmkt-visita-home-oficina_PD_160x600&amp;utm_campaign=BR_AAF_DSY_NONMS_ND_AS_2019Q2APR_AFS_After-Sales&amp;utm_term=%epid!_%ecid!_%eaid!</v>
      </c>
      <c r="AI479" s="21" t="str">
        <f t="shared" si="103"/>
        <v>TAG</v>
      </c>
      <c r="AJ479" s="15" t="str">
        <f t="shared" si="97"/>
        <v>dv360</v>
      </c>
      <c r="AK479" s="15" t="str">
        <f t="shared" si="98"/>
        <v>Programmatic</v>
      </c>
      <c r="AL479" s="21" t="str">
        <f>Campanha!$B$3</f>
        <v>BR_AAF_DSY_NONMS_ND_AS_2019Q2APR_AFS_After-Sales</v>
      </c>
      <c r="AM479" s="21" t="str">
        <f t="shared" si="104"/>
        <v>BR_VW_AFS_dv360_DIS_PROG_CPM_STD_LDR_AAF_RON_CXD_After-Sales-Oficina-Classicos-REG06-rmkt-visita-home-oficina_PD_160x600</v>
      </c>
      <c r="AN479" s="15" t="s">
        <v>809</v>
      </c>
    </row>
    <row r="480" spans="2:40" hidden="1" x14ac:dyDescent="0.25">
      <c r="B480" s="15" t="s">
        <v>872</v>
      </c>
      <c r="C480" s="15"/>
      <c r="D480" s="30" t="s">
        <v>873</v>
      </c>
      <c r="E480" s="22">
        <v>44155</v>
      </c>
      <c r="F480" s="22">
        <v>44196</v>
      </c>
      <c r="G480" s="15" t="s">
        <v>674</v>
      </c>
      <c r="H480" s="15" t="s">
        <v>811</v>
      </c>
      <c r="I480" s="15" t="s">
        <v>702</v>
      </c>
      <c r="J480" s="15" t="s">
        <v>325</v>
      </c>
      <c r="K480" s="15" t="s">
        <v>334</v>
      </c>
      <c r="L480" s="15" t="s">
        <v>358</v>
      </c>
      <c r="M480" s="15" t="s">
        <v>322</v>
      </c>
      <c r="N480" s="15" t="s">
        <v>708</v>
      </c>
      <c r="O480" s="15" t="s">
        <v>694</v>
      </c>
      <c r="P480" s="15" t="s">
        <v>1045</v>
      </c>
      <c r="Q480" s="15" t="s">
        <v>878</v>
      </c>
      <c r="R480" s="15" t="s">
        <v>835</v>
      </c>
      <c r="S480" s="15" t="s">
        <v>348</v>
      </c>
      <c r="T480" s="15" t="s">
        <v>484</v>
      </c>
      <c r="AC480" s="32" t="s">
        <v>885</v>
      </c>
      <c r="AD480" s="33" t="e">
        <f t="shared" si="96"/>
        <v>#N/A</v>
      </c>
      <c r="AE480" s="21" t="str">
        <f t="shared" si="99"/>
        <v>BR_VW_AFS_dv360_DIS_PROG_CPM_STD_LDR_AAF_RON_CXD_After-Sales-Oficina-Classicos-REG06-rmkt-visita-home-oficina_PD_300x50</v>
      </c>
      <c r="AF480" s="21" t="str">
        <f t="shared" si="100"/>
        <v>BR_VW_AFS_dv360_DIS_PROG_CPM_STD_LDR_AAF_RON_CXD_After-Sales-Oficina-Classicos-REG06-rmkt-visita-home-oficina_PD_300x50</v>
      </c>
      <c r="AG480" s="21" t="str">
        <f t="shared" si="101"/>
        <v>VW_After-Sales-rmkt-visita-home-oficina_300x50_After-Sales-Oficina-Classicos-REG06-adserver</v>
      </c>
      <c r="AH480" s="21" t="str">
        <f t="shared" si="102"/>
        <v>https://www.oficinadeclassicos.com.br/index.aspx?utm_source=dv360&amp;utm_medium=Programmatic&amp;utm_content=BR_VW_AFS_dv360_DIS_PROG_CPM_STD_LDR_AAF_RON_CXD_After-Sales-Oficina-Classicos-REG06-rmkt-visita-home-oficina_PD_300x50&amp;utm_campaign=BR_AAF_DSY_NONMS_ND_AS_2019Q2APR_AFS_After-Sales&amp;utm_term=%epid!_%ecid!_%eaid!</v>
      </c>
      <c r="AI480" s="21" t="str">
        <f t="shared" si="103"/>
        <v>TAG</v>
      </c>
      <c r="AJ480" s="15" t="str">
        <f t="shared" si="97"/>
        <v>dv360</v>
      </c>
      <c r="AK480" s="15" t="str">
        <f t="shared" si="98"/>
        <v>Programmatic</v>
      </c>
      <c r="AL480" s="21" t="str">
        <f>Campanha!$B$3</f>
        <v>BR_AAF_DSY_NONMS_ND_AS_2019Q2APR_AFS_After-Sales</v>
      </c>
      <c r="AM480" s="21" t="str">
        <f t="shared" si="104"/>
        <v>BR_VW_AFS_dv360_DIS_PROG_CPM_STD_LDR_AAF_RON_CXD_After-Sales-Oficina-Classicos-REG06-rmkt-visita-home-oficina_PD_300x50</v>
      </c>
      <c r="AN480" s="15" t="s">
        <v>809</v>
      </c>
    </row>
    <row r="481" spans="2:40" hidden="1" x14ac:dyDescent="0.25">
      <c r="B481" s="15" t="s">
        <v>872</v>
      </c>
      <c r="C481" s="15"/>
      <c r="D481" s="30" t="s">
        <v>873</v>
      </c>
      <c r="E481" s="22">
        <v>44155</v>
      </c>
      <c r="F481" s="22">
        <v>44196</v>
      </c>
      <c r="G481" s="15" t="s">
        <v>674</v>
      </c>
      <c r="H481" s="15" t="s">
        <v>811</v>
      </c>
      <c r="I481" s="15" t="s">
        <v>702</v>
      </c>
      <c r="J481" s="15" t="s">
        <v>325</v>
      </c>
      <c r="K481" s="15" t="s">
        <v>334</v>
      </c>
      <c r="L481" s="15" t="s">
        <v>358</v>
      </c>
      <c r="M481" s="15" t="s">
        <v>322</v>
      </c>
      <c r="N481" s="15" t="s">
        <v>708</v>
      </c>
      <c r="O481" s="15" t="s">
        <v>694</v>
      </c>
      <c r="P481" s="15" t="s">
        <v>1045</v>
      </c>
      <c r="Q481" s="15" t="s">
        <v>878</v>
      </c>
      <c r="R481" s="15" t="s">
        <v>835</v>
      </c>
      <c r="S481" s="15" t="s">
        <v>348</v>
      </c>
      <c r="T481" s="15" t="s">
        <v>478</v>
      </c>
      <c r="AC481" s="32" t="s">
        <v>885</v>
      </c>
      <c r="AD481" s="33" t="e">
        <f t="shared" si="96"/>
        <v>#N/A</v>
      </c>
      <c r="AE481" s="21" t="str">
        <f t="shared" si="99"/>
        <v>BR_VW_AFS_dv360_DIS_PROG_CPM_STD_LDR_AAF_RON_CXD_After-Sales-Oficina-Classicos-REG06-rmkt-visita-home-oficina_PD_300x250</v>
      </c>
      <c r="AF481" s="21" t="str">
        <f t="shared" si="100"/>
        <v>BR_VW_AFS_dv360_DIS_PROG_CPM_STD_LDR_AAF_RON_CXD_After-Sales-Oficina-Classicos-REG06-rmkt-visita-home-oficina_PD_300x250</v>
      </c>
      <c r="AG481" s="21" t="str">
        <f t="shared" si="101"/>
        <v>VW_After-Sales-rmkt-visita-home-oficina_300x250_After-Sales-Oficina-Classicos-REG06-adserver</v>
      </c>
      <c r="AH481" s="21" t="str">
        <f t="shared" si="102"/>
        <v>https://www.oficinadeclassicos.com.br/index.aspx?utm_source=dv360&amp;utm_medium=Programmatic&amp;utm_content=BR_VW_AFS_dv360_DIS_PROG_CPM_STD_LDR_AAF_RON_CXD_After-Sales-Oficina-Classicos-REG06-rmkt-visita-home-oficina_PD_300x250&amp;utm_campaign=BR_AAF_DSY_NONMS_ND_AS_2019Q2APR_AFS_After-Sales&amp;utm_term=%epid!_%ecid!_%eaid!</v>
      </c>
      <c r="AI481" s="21" t="str">
        <f t="shared" si="103"/>
        <v>TAG</v>
      </c>
      <c r="AJ481" s="15" t="str">
        <f t="shared" si="97"/>
        <v>dv360</v>
      </c>
      <c r="AK481" s="15" t="str">
        <f t="shared" si="98"/>
        <v>Programmatic</v>
      </c>
      <c r="AL481" s="21" t="str">
        <f>Campanha!$B$3</f>
        <v>BR_AAF_DSY_NONMS_ND_AS_2019Q2APR_AFS_After-Sales</v>
      </c>
      <c r="AM481" s="21" t="str">
        <f t="shared" si="104"/>
        <v>BR_VW_AFS_dv360_DIS_PROG_CPM_STD_LDR_AAF_RON_CXD_After-Sales-Oficina-Classicos-REG06-rmkt-visita-home-oficina_PD_300x250</v>
      </c>
      <c r="AN481" s="15" t="s">
        <v>809</v>
      </c>
    </row>
    <row r="482" spans="2:40" hidden="1" x14ac:dyDescent="0.25">
      <c r="B482" s="15" t="s">
        <v>872</v>
      </c>
      <c r="C482" s="15"/>
      <c r="D482" s="30" t="s">
        <v>873</v>
      </c>
      <c r="E482" s="22">
        <v>44155</v>
      </c>
      <c r="F482" s="22">
        <v>44196</v>
      </c>
      <c r="G482" s="15" t="s">
        <v>674</v>
      </c>
      <c r="H482" s="15" t="s">
        <v>811</v>
      </c>
      <c r="I482" s="15" t="s">
        <v>702</v>
      </c>
      <c r="J482" s="15" t="s">
        <v>325</v>
      </c>
      <c r="K482" s="15" t="s">
        <v>334</v>
      </c>
      <c r="L482" s="15" t="s">
        <v>358</v>
      </c>
      <c r="M482" s="15" t="s">
        <v>322</v>
      </c>
      <c r="N482" s="15" t="s">
        <v>708</v>
      </c>
      <c r="O482" s="15" t="s">
        <v>694</v>
      </c>
      <c r="P482" s="15" t="s">
        <v>1045</v>
      </c>
      <c r="Q482" s="15" t="s">
        <v>878</v>
      </c>
      <c r="R482" s="15" t="s">
        <v>835</v>
      </c>
      <c r="S482" s="15" t="s">
        <v>348</v>
      </c>
      <c r="T482" s="15" t="s">
        <v>614</v>
      </c>
      <c r="AC482" s="32" t="s">
        <v>885</v>
      </c>
      <c r="AD482" s="33" t="e">
        <f t="shared" si="96"/>
        <v>#N/A</v>
      </c>
      <c r="AE482" s="21" t="str">
        <f t="shared" si="99"/>
        <v>BR_VW_AFS_dv360_DIS_PROG_CPM_STD_LDR_AAF_RON_CXD_After-Sales-Oficina-Classicos-REG06-rmkt-visita-home-oficina_PD_728x90</v>
      </c>
      <c r="AF482" s="21" t="str">
        <f t="shared" si="100"/>
        <v>BR_VW_AFS_dv360_DIS_PROG_CPM_STD_LDR_AAF_RON_CXD_After-Sales-Oficina-Classicos-REG06-rmkt-visita-home-oficina_PD_728x90</v>
      </c>
      <c r="AG482" s="21" t="str">
        <f t="shared" si="101"/>
        <v>VW_After-Sales-rmkt-visita-home-oficina_728x90_After-Sales-Oficina-Classicos-REG06-adserver</v>
      </c>
      <c r="AH482" s="21" t="str">
        <f t="shared" si="102"/>
        <v>https://www.oficinadeclassicos.com.br/index.aspx?utm_source=dv360&amp;utm_medium=Programmatic&amp;utm_content=BR_VW_AFS_dv360_DIS_PROG_CPM_STD_LDR_AAF_RON_CXD_After-Sales-Oficina-Classicos-REG06-rmkt-visita-home-oficina_PD_728x90&amp;utm_campaign=BR_AAF_DSY_NONMS_ND_AS_2019Q2APR_AFS_After-Sales&amp;utm_term=%epid!_%ecid!_%eaid!</v>
      </c>
      <c r="AI482" s="21" t="str">
        <f t="shared" si="103"/>
        <v>TAG</v>
      </c>
      <c r="AJ482" s="15" t="str">
        <f t="shared" si="97"/>
        <v>dv360</v>
      </c>
      <c r="AK482" s="15" t="str">
        <f t="shared" si="98"/>
        <v>Programmatic</v>
      </c>
      <c r="AL482" s="21" t="str">
        <f>Campanha!$B$3</f>
        <v>BR_AAF_DSY_NONMS_ND_AS_2019Q2APR_AFS_After-Sales</v>
      </c>
      <c r="AM482" s="21" t="str">
        <f t="shared" si="104"/>
        <v>BR_VW_AFS_dv360_DIS_PROG_CPM_STD_LDR_AAF_RON_CXD_After-Sales-Oficina-Classicos-REG06-rmkt-visita-home-oficina_PD_728x90</v>
      </c>
      <c r="AN482" s="15" t="s">
        <v>809</v>
      </c>
    </row>
    <row r="483" spans="2:40" hidden="1" x14ac:dyDescent="0.25">
      <c r="B483" s="15" t="s">
        <v>872</v>
      </c>
      <c r="C483" s="15"/>
      <c r="D483" s="30" t="s">
        <v>873</v>
      </c>
      <c r="E483" s="22">
        <v>44155</v>
      </c>
      <c r="F483" s="22">
        <v>44196</v>
      </c>
      <c r="G483" s="15" t="s">
        <v>674</v>
      </c>
      <c r="H483" s="15" t="s">
        <v>811</v>
      </c>
      <c r="I483" s="15" t="s">
        <v>702</v>
      </c>
      <c r="J483" s="15" t="s">
        <v>325</v>
      </c>
      <c r="K483" s="15" t="s">
        <v>334</v>
      </c>
      <c r="L483" s="15" t="s">
        <v>358</v>
      </c>
      <c r="M483" s="15" t="s">
        <v>322</v>
      </c>
      <c r="N483" s="15" t="s">
        <v>708</v>
      </c>
      <c r="O483" s="15" t="s">
        <v>694</v>
      </c>
      <c r="P483" s="15" t="s">
        <v>1045</v>
      </c>
      <c r="Q483" s="15" t="s">
        <v>878</v>
      </c>
      <c r="R483" s="15" t="s">
        <v>835</v>
      </c>
      <c r="S483" s="15" t="s">
        <v>348</v>
      </c>
      <c r="T483" s="15" t="s">
        <v>652</v>
      </c>
      <c r="AC483" s="32" t="s">
        <v>885</v>
      </c>
      <c r="AD483" s="33" t="e">
        <f t="shared" si="96"/>
        <v>#N/A</v>
      </c>
      <c r="AE483" s="21" t="str">
        <f t="shared" si="99"/>
        <v>BR_VW_AFS_dv360_DIS_PROG_CPM_STD_LDR_AAF_RON_CXD_After-Sales-Oficina-Classicos-REG06-rmkt-visita-home-oficina_PD_970x250</v>
      </c>
      <c r="AF483" s="21" t="str">
        <f t="shared" si="100"/>
        <v>BR_VW_AFS_dv360_DIS_PROG_CPM_STD_LDR_AAF_RON_CXD_After-Sales-Oficina-Classicos-REG06-rmkt-visita-home-oficina_PD_970x250</v>
      </c>
      <c r="AG483" s="21" t="str">
        <f t="shared" si="101"/>
        <v>VW_After-Sales-rmkt-visita-home-oficina_970x250_After-Sales-Oficina-Classicos-REG06-adserver</v>
      </c>
      <c r="AH483" s="21" t="str">
        <f t="shared" si="102"/>
        <v>https://www.oficinadeclassicos.com.br/index.aspx?utm_source=dv360&amp;utm_medium=Programmatic&amp;utm_content=BR_VW_AFS_dv360_DIS_PROG_CPM_STD_LDR_AAF_RON_CXD_After-Sales-Oficina-Classicos-REG06-rmkt-visita-home-oficina_PD_970x250&amp;utm_campaign=BR_AAF_DSY_NONMS_ND_AS_2019Q2APR_AFS_After-Sales&amp;utm_term=%epid!_%ecid!_%eaid!</v>
      </c>
      <c r="AI483" s="21" t="str">
        <f t="shared" si="103"/>
        <v>TAG</v>
      </c>
      <c r="AJ483" s="15" t="str">
        <f t="shared" si="97"/>
        <v>dv360</v>
      </c>
      <c r="AK483" s="15" t="str">
        <f t="shared" si="98"/>
        <v>Programmatic</v>
      </c>
      <c r="AL483" s="21" t="str">
        <f>Campanha!$B$3</f>
        <v>BR_AAF_DSY_NONMS_ND_AS_2019Q2APR_AFS_After-Sales</v>
      </c>
      <c r="AM483" s="21" t="str">
        <f t="shared" si="104"/>
        <v>BR_VW_AFS_dv360_DIS_PROG_CPM_STD_LDR_AAF_RON_CXD_After-Sales-Oficina-Classicos-REG06-rmkt-visita-home-oficina_PD_970x250</v>
      </c>
      <c r="AN483" s="15" t="s">
        <v>809</v>
      </c>
    </row>
    <row r="484" spans="2:40" hidden="1" x14ac:dyDescent="0.25">
      <c r="B484" s="15" t="s">
        <v>872</v>
      </c>
      <c r="C484" s="15"/>
      <c r="D484" s="30" t="s">
        <v>873</v>
      </c>
      <c r="E484" s="22">
        <v>44155</v>
      </c>
      <c r="F484" s="22">
        <v>44196</v>
      </c>
      <c r="G484" s="15" t="s">
        <v>674</v>
      </c>
      <c r="H484" s="15" t="s">
        <v>811</v>
      </c>
      <c r="I484" s="15" t="s">
        <v>702</v>
      </c>
      <c r="J484" s="15" t="s">
        <v>325</v>
      </c>
      <c r="K484" s="15" t="s">
        <v>334</v>
      </c>
      <c r="L484" s="15" t="s">
        <v>358</v>
      </c>
      <c r="M484" s="15" t="s">
        <v>322</v>
      </c>
      <c r="N484" s="15" t="s">
        <v>708</v>
      </c>
      <c r="O484" s="15" t="s">
        <v>694</v>
      </c>
      <c r="P484" s="15" t="s">
        <v>1045</v>
      </c>
      <c r="Q484" s="15" t="s">
        <v>881</v>
      </c>
      <c r="R484" s="15" t="s">
        <v>835</v>
      </c>
      <c r="S484" s="15" t="s">
        <v>348</v>
      </c>
      <c r="T484" s="15" t="s">
        <v>457</v>
      </c>
      <c r="AC484" s="32" t="s">
        <v>885</v>
      </c>
      <c r="AD484" s="33" t="e">
        <f t="shared" si="96"/>
        <v>#N/A</v>
      </c>
      <c r="AE484" s="21" t="str">
        <f t="shared" si="99"/>
        <v>BR_VW_AFS_dv360_DIS_PROG_CPM_STD_LDR_AAF_RON_CXD_After-Sales-Oficina-Classicos-REG06-rmkt-add-to-cart-oficina_PD_160x600</v>
      </c>
      <c r="AF484" s="21" t="str">
        <f t="shared" si="100"/>
        <v>BR_VW_AFS_dv360_DIS_PROG_CPM_STD_LDR_AAF_RON_CXD_After-Sales-Oficina-Classicos-REG06-rmkt-add-to-cart-oficina_PD_160x600</v>
      </c>
      <c r="AG484" s="21" t="str">
        <f t="shared" si="101"/>
        <v>VW_After-Sales-rmkt-add-to-cart-oficina_160x600_After-Sales-Oficina-Classicos-REG06-adserver</v>
      </c>
      <c r="AH484" s="21" t="str">
        <f t="shared" si="102"/>
        <v>https://www.oficinadeclassicos.com.br/index.aspx?utm_source=dv360&amp;utm_medium=Programmatic&amp;utm_content=BR_VW_AFS_dv360_DIS_PROG_CPM_STD_LDR_AAF_RON_CXD_After-Sales-Oficina-Classicos-REG06-rmkt-add-to-cart-oficina_PD_160x600&amp;utm_campaign=BR_AAF_DSY_NONMS_ND_AS_2019Q2APR_AFS_After-Sales&amp;utm_term=%epid!_%ecid!_%eaid!</v>
      </c>
      <c r="AI484" s="21" t="str">
        <f t="shared" si="103"/>
        <v>TAG</v>
      </c>
      <c r="AJ484" s="15" t="str">
        <f t="shared" si="97"/>
        <v>dv360</v>
      </c>
      <c r="AK484" s="15" t="str">
        <f t="shared" si="98"/>
        <v>Programmatic</v>
      </c>
      <c r="AL484" s="21" t="str">
        <f>Campanha!$B$3</f>
        <v>BR_AAF_DSY_NONMS_ND_AS_2019Q2APR_AFS_After-Sales</v>
      </c>
      <c r="AM484" s="21" t="str">
        <f t="shared" si="104"/>
        <v>BR_VW_AFS_dv360_DIS_PROG_CPM_STD_LDR_AAF_RON_CXD_After-Sales-Oficina-Classicos-REG06-rmkt-add-to-cart-oficina_PD_160x600</v>
      </c>
      <c r="AN484" s="15" t="s">
        <v>809</v>
      </c>
    </row>
    <row r="485" spans="2:40" hidden="1" x14ac:dyDescent="0.25">
      <c r="B485" s="15" t="s">
        <v>872</v>
      </c>
      <c r="C485" s="15"/>
      <c r="D485" s="30" t="s">
        <v>873</v>
      </c>
      <c r="E485" s="22">
        <v>44155</v>
      </c>
      <c r="F485" s="22">
        <v>44196</v>
      </c>
      <c r="G485" s="15" t="s">
        <v>674</v>
      </c>
      <c r="H485" s="15" t="s">
        <v>811</v>
      </c>
      <c r="I485" s="15" t="s">
        <v>702</v>
      </c>
      <c r="J485" s="15" t="s">
        <v>325</v>
      </c>
      <c r="K485" s="15" t="s">
        <v>334</v>
      </c>
      <c r="L485" s="15" t="s">
        <v>358</v>
      </c>
      <c r="M485" s="15" t="s">
        <v>322</v>
      </c>
      <c r="N485" s="15" t="s">
        <v>708</v>
      </c>
      <c r="O485" s="15" t="s">
        <v>694</v>
      </c>
      <c r="P485" s="15" t="s">
        <v>1045</v>
      </c>
      <c r="Q485" s="15" t="s">
        <v>881</v>
      </c>
      <c r="R485" s="15" t="s">
        <v>835</v>
      </c>
      <c r="S485" s="15" t="s">
        <v>348</v>
      </c>
      <c r="T485" s="15" t="s">
        <v>484</v>
      </c>
      <c r="AC485" s="32" t="s">
        <v>885</v>
      </c>
      <c r="AD485" s="33" t="e">
        <f t="shared" si="96"/>
        <v>#N/A</v>
      </c>
      <c r="AE485" s="21" t="str">
        <f t="shared" si="99"/>
        <v>BR_VW_AFS_dv360_DIS_PROG_CPM_STD_LDR_AAF_RON_CXD_After-Sales-Oficina-Classicos-REG06-rmkt-add-to-cart-oficina_PD_300x50</v>
      </c>
      <c r="AF485" s="21" t="str">
        <f t="shared" si="100"/>
        <v>BR_VW_AFS_dv360_DIS_PROG_CPM_STD_LDR_AAF_RON_CXD_After-Sales-Oficina-Classicos-REG06-rmkt-add-to-cart-oficina_PD_300x50</v>
      </c>
      <c r="AG485" s="21" t="str">
        <f t="shared" si="101"/>
        <v>VW_After-Sales-rmkt-add-to-cart-oficina_300x50_After-Sales-Oficina-Classicos-REG06-adserver</v>
      </c>
      <c r="AH485" s="21" t="str">
        <f t="shared" si="102"/>
        <v>https://www.oficinadeclassicos.com.br/index.aspx?utm_source=dv360&amp;utm_medium=Programmatic&amp;utm_content=BR_VW_AFS_dv360_DIS_PROG_CPM_STD_LDR_AAF_RON_CXD_After-Sales-Oficina-Classicos-REG06-rmkt-add-to-cart-oficina_PD_300x50&amp;utm_campaign=BR_AAF_DSY_NONMS_ND_AS_2019Q2APR_AFS_After-Sales&amp;utm_term=%epid!_%ecid!_%eaid!</v>
      </c>
      <c r="AI485" s="21" t="str">
        <f t="shared" si="103"/>
        <v>TAG</v>
      </c>
      <c r="AJ485" s="15" t="str">
        <f t="shared" si="97"/>
        <v>dv360</v>
      </c>
      <c r="AK485" s="15" t="str">
        <f t="shared" si="98"/>
        <v>Programmatic</v>
      </c>
      <c r="AL485" s="21" t="str">
        <f>Campanha!$B$3</f>
        <v>BR_AAF_DSY_NONMS_ND_AS_2019Q2APR_AFS_After-Sales</v>
      </c>
      <c r="AM485" s="21" t="str">
        <f t="shared" si="104"/>
        <v>BR_VW_AFS_dv360_DIS_PROG_CPM_STD_LDR_AAF_RON_CXD_After-Sales-Oficina-Classicos-REG06-rmkt-add-to-cart-oficina_PD_300x50</v>
      </c>
      <c r="AN485" s="15" t="s">
        <v>809</v>
      </c>
    </row>
    <row r="486" spans="2:40" hidden="1" x14ac:dyDescent="0.25">
      <c r="B486" s="15" t="s">
        <v>872</v>
      </c>
      <c r="C486" s="15"/>
      <c r="D486" s="30" t="s">
        <v>873</v>
      </c>
      <c r="E486" s="22">
        <v>44155</v>
      </c>
      <c r="F486" s="22">
        <v>44196</v>
      </c>
      <c r="G486" s="15" t="s">
        <v>674</v>
      </c>
      <c r="H486" s="15" t="s">
        <v>811</v>
      </c>
      <c r="I486" s="15" t="s">
        <v>702</v>
      </c>
      <c r="J486" s="15" t="s">
        <v>325</v>
      </c>
      <c r="K486" s="15" t="s">
        <v>334</v>
      </c>
      <c r="L486" s="15" t="s">
        <v>358</v>
      </c>
      <c r="M486" s="15" t="s">
        <v>322</v>
      </c>
      <c r="N486" s="15" t="s">
        <v>708</v>
      </c>
      <c r="O486" s="15" t="s">
        <v>694</v>
      </c>
      <c r="P486" s="15" t="s">
        <v>1045</v>
      </c>
      <c r="Q486" s="15" t="s">
        <v>881</v>
      </c>
      <c r="R486" s="15" t="s">
        <v>835</v>
      </c>
      <c r="S486" s="15" t="s">
        <v>348</v>
      </c>
      <c r="T486" s="15" t="s">
        <v>478</v>
      </c>
      <c r="AC486" s="32" t="s">
        <v>885</v>
      </c>
      <c r="AD486" s="33" t="e">
        <f t="shared" si="96"/>
        <v>#N/A</v>
      </c>
      <c r="AE486" s="21" t="str">
        <f t="shared" si="99"/>
        <v>BR_VW_AFS_dv360_DIS_PROG_CPM_STD_LDR_AAF_RON_CXD_After-Sales-Oficina-Classicos-REG06-rmkt-add-to-cart-oficina_PD_300x250</v>
      </c>
      <c r="AF486" s="21" t="str">
        <f t="shared" si="100"/>
        <v>BR_VW_AFS_dv360_DIS_PROG_CPM_STD_LDR_AAF_RON_CXD_After-Sales-Oficina-Classicos-REG06-rmkt-add-to-cart-oficina_PD_300x250</v>
      </c>
      <c r="AG486" s="21" t="str">
        <f t="shared" si="101"/>
        <v>VW_After-Sales-rmkt-add-to-cart-oficina_300x250_After-Sales-Oficina-Classicos-REG06-adserver</v>
      </c>
      <c r="AH486" s="21" t="str">
        <f t="shared" si="102"/>
        <v>https://www.oficinadeclassicos.com.br/index.aspx?utm_source=dv360&amp;utm_medium=Programmatic&amp;utm_content=BR_VW_AFS_dv360_DIS_PROG_CPM_STD_LDR_AAF_RON_CXD_After-Sales-Oficina-Classicos-REG06-rmkt-add-to-cart-oficina_PD_300x250&amp;utm_campaign=BR_AAF_DSY_NONMS_ND_AS_2019Q2APR_AFS_After-Sales&amp;utm_term=%epid!_%ecid!_%eaid!</v>
      </c>
      <c r="AI486" s="21" t="str">
        <f t="shared" si="103"/>
        <v>TAG</v>
      </c>
      <c r="AJ486" s="15" t="str">
        <f t="shared" si="97"/>
        <v>dv360</v>
      </c>
      <c r="AK486" s="15" t="str">
        <f t="shared" si="98"/>
        <v>Programmatic</v>
      </c>
      <c r="AL486" s="21" t="str">
        <f>Campanha!$B$3</f>
        <v>BR_AAF_DSY_NONMS_ND_AS_2019Q2APR_AFS_After-Sales</v>
      </c>
      <c r="AM486" s="21" t="str">
        <f t="shared" si="104"/>
        <v>BR_VW_AFS_dv360_DIS_PROG_CPM_STD_LDR_AAF_RON_CXD_After-Sales-Oficina-Classicos-REG06-rmkt-add-to-cart-oficina_PD_300x250</v>
      </c>
      <c r="AN486" s="15" t="s">
        <v>809</v>
      </c>
    </row>
    <row r="487" spans="2:40" hidden="1" x14ac:dyDescent="0.25">
      <c r="B487" s="15" t="s">
        <v>872</v>
      </c>
      <c r="C487" s="15"/>
      <c r="D487" s="30" t="s">
        <v>873</v>
      </c>
      <c r="E487" s="22">
        <v>44155</v>
      </c>
      <c r="F487" s="22">
        <v>44196</v>
      </c>
      <c r="G487" s="15" t="s">
        <v>674</v>
      </c>
      <c r="H487" s="15" t="s">
        <v>811</v>
      </c>
      <c r="I487" s="15" t="s">
        <v>702</v>
      </c>
      <c r="J487" s="15" t="s">
        <v>325</v>
      </c>
      <c r="K487" s="15" t="s">
        <v>334</v>
      </c>
      <c r="L487" s="15" t="s">
        <v>358</v>
      </c>
      <c r="M487" s="15" t="s">
        <v>322</v>
      </c>
      <c r="N487" s="15" t="s">
        <v>708</v>
      </c>
      <c r="O487" s="15" t="s">
        <v>694</v>
      </c>
      <c r="P487" s="15" t="s">
        <v>1045</v>
      </c>
      <c r="Q487" s="15" t="s">
        <v>881</v>
      </c>
      <c r="R487" s="15" t="s">
        <v>835</v>
      </c>
      <c r="S487" s="15" t="s">
        <v>348</v>
      </c>
      <c r="T487" s="15" t="s">
        <v>614</v>
      </c>
      <c r="AC487" s="32" t="s">
        <v>885</v>
      </c>
      <c r="AD487" s="33" t="e">
        <f t="shared" si="96"/>
        <v>#N/A</v>
      </c>
      <c r="AE487" s="21" t="str">
        <f t="shared" si="99"/>
        <v>BR_VW_AFS_dv360_DIS_PROG_CPM_STD_LDR_AAF_RON_CXD_After-Sales-Oficina-Classicos-REG06-rmkt-add-to-cart-oficina_PD_728x90</v>
      </c>
      <c r="AF487" s="21" t="str">
        <f t="shared" si="100"/>
        <v>BR_VW_AFS_dv360_DIS_PROG_CPM_STD_LDR_AAF_RON_CXD_After-Sales-Oficina-Classicos-REG06-rmkt-add-to-cart-oficina_PD_728x90</v>
      </c>
      <c r="AG487" s="21" t="str">
        <f t="shared" si="101"/>
        <v>VW_After-Sales-rmkt-add-to-cart-oficina_728x90_After-Sales-Oficina-Classicos-REG06-adserver</v>
      </c>
      <c r="AH487" s="21" t="str">
        <f t="shared" si="102"/>
        <v>https://www.oficinadeclassicos.com.br/index.aspx?utm_source=dv360&amp;utm_medium=Programmatic&amp;utm_content=BR_VW_AFS_dv360_DIS_PROG_CPM_STD_LDR_AAF_RON_CXD_After-Sales-Oficina-Classicos-REG06-rmkt-add-to-cart-oficina_PD_728x90&amp;utm_campaign=BR_AAF_DSY_NONMS_ND_AS_2019Q2APR_AFS_After-Sales&amp;utm_term=%epid!_%ecid!_%eaid!</v>
      </c>
      <c r="AI487" s="21" t="str">
        <f t="shared" si="103"/>
        <v>TAG</v>
      </c>
      <c r="AJ487" s="15" t="str">
        <f t="shared" si="97"/>
        <v>dv360</v>
      </c>
      <c r="AK487" s="15" t="str">
        <f t="shared" si="98"/>
        <v>Programmatic</v>
      </c>
      <c r="AL487" s="21" t="str">
        <f>Campanha!$B$3</f>
        <v>BR_AAF_DSY_NONMS_ND_AS_2019Q2APR_AFS_After-Sales</v>
      </c>
      <c r="AM487" s="21" t="str">
        <f t="shared" si="104"/>
        <v>BR_VW_AFS_dv360_DIS_PROG_CPM_STD_LDR_AAF_RON_CXD_After-Sales-Oficina-Classicos-REG06-rmkt-add-to-cart-oficina_PD_728x90</v>
      </c>
      <c r="AN487" s="15" t="s">
        <v>809</v>
      </c>
    </row>
    <row r="488" spans="2:40" hidden="1" x14ac:dyDescent="0.25">
      <c r="B488" s="15" t="s">
        <v>872</v>
      </c>
      <c r="C488" s="15"/>
      <c r="D488" s="30" t="s">
        <v>873</v>
      </c>
      <c r="E488" s="22">
        <v>44155</v>
      </c>
      <c r="F488" s="22">
        <v>44196</v>
      </c>
      <c r="G488" s="15" t="s">
        <v>674</v>
      </c>
      <c r="H488" s="15" t="s">
        <v>811</v>
      </c>
      <c r="I488" s="15" t="s">
        <v>702</v>
      </c>
      <c r="J488" s="15" t="s">
        <v>325</v>
      </c>
      <c r="K488" s="15" t="s">
        <v>334</v>
      </c>
      <c r="L488" s="15" t="s">
        <v>358</v>
      </c>
      <c r="M488" s="15" t="s">
        <v>322</v>
      </c>
      <c r="N488" s="15" t="s">
        <v>708</v>
      </c>
      <c r="O488" s="15" t="s">
        <v>694</v>
      </c>
      <c r="P488" s="15" t="s">
        <v>1045</v>
      </c>
      <c r="Q488" s="15" t="s">
        <v>881</v>
      </c>
      <c r="R488" s="15" t="s">
        <v>835</v>
      </c>
      <c r="S488" s="15" t="s">
        <v>348</v>
      </c>
      <c r="T488" s="15" t="s">
        <v>652</v>
      </c>
      <c r="AC488" s="32" t="s">
        <v>885</v>
      </c>
      <c r="AD488" s="33" t="e">
        <f t="shared" si="96"/>
        <v>#N/A</v>
      </c>
      <c r="AE488" s="21" t="str">
        <f t="shared" si="99"/>
        <v>BR_VW_AFS_dv360_DIS_PROG_CPM_STD_LDR_AAF_RON_CXD_After-Sales-Oficina-Classicos-REG06-rmkt-add-to-cart-oficina_PD_970x250</v>
      </c>
      <c r="AF488" s="21" t="str">
        <f t="shared" si="100"/>
        <v>BR_VW_AFS_dv360_DIS_PROG_CPM_STD_LDR_AAF_RON_CXD_After-Sales-Oficina-Classicos-REG06-rmkt-add-to-cart-oficina_PD_970x250</v>
      </c>
      <c r="AG488" s="21" t="str">
        <f t="shared" si="101"/>
        <v>VW_After-Sales-rmkt-add-to-cart-oficina_970x250_After-Sales-Oficina-Classicos-REG06-adserver</v>
      </c>
      <c r="AH488" s="21" t="str">
        <f t="shared" si="102"/>
        <v>https://www.oficinadeclassicos.com.br/index.aspx?utm_source=dv360&amp;utm_medium=Programmatic&amp;utm_content=BR_VW_AFS_dv360_DIS_PROG_CPM_STD_LDR_AAF_RON_CXD_After-Sales-Oficina-Classicos-REG06-rmkt-add-to-cart-oficina_PD_970x250&amp;utm_campaign=BR_AAF_DSY_NONMS_ND_AS_2019Q2APR_AFS_After-Sales&amp;utm_term=%epid!_%ecid!_%eaid!</v>
      </c>
      <c r="AI488" s="21" t="str">
        <f t="shared" si="103"/>
        <v>TAG</v>
      </c>
      <c r="AJ488" s="15" t="str">
        <f t="shared" si="97"/>
        <v>dv360</v>
      </c>
      <c r="AK488" s="15" t="str">
        <f t="shared" si="98"/>
        <v>Programmatic</v>
      </c>
      <c r="AL488" s="21" t="str">
        <f>Campanha!$B$3</f>
        <v>BR_AAF_DSY_NONMS_ND_AS_2019Q2APR_AFS_After-Sales</v>
      </c>
      <c r="AM488" s="21" t="str">
        <f t="shared" si="104"/>
        <v>BR_VW_AFS_dv360_DIS_PROG_CPM_STD_LDR_AAF_RON_CXD_After-Sales-Oficina-Classicos-REG06-rmkt-add-to-cart-oficina_PD_970x250</v>
      </c>
      <c r="AN488" s="15" t="s">
        <v>809</v>
      </c>
    </row>
    <row r="489" spans="2:40" hidden="1" x14ac:dyDescent="0.25">
      <c r="B489" s="15" t="s">
        <v>933</v>
      </c>
      <c r="C489" s="15" t="s">
        <v>1171</v>
      </c>
      <c r="D489" s="30" t="s">
        <v>873</v>
      </c>
      <c r="E489" s="22">
        <v>44155</v>
      </c>
      <c r="F489" s="22">
        <v>44196</v>
      </c>
      <c r="G489" s="15" t="s">
        <v>674</v>
      </c>
      <c r="H489" s="15" t="s">
        <v>811</v>
      </c>
      <c r="I489" s="15" t="s">
        <v>702</v>
      </c>
      <c r="J489" s="15" t="s">
        <v>325</v>
      </c>
      <c r="K489" s="15" t="s">
        <v>334</v>
      </c>
      <c r="L489" s="15" t="s">
        <v>358</v>
      </c>
      <c r="M489" s="15" t="s">
        <v>322</v>
      </c>
      <c r="N489" s="15" t="s">
        <v>708</v>
      </c>
      <c r="O489" s="15" t="s">
        <v>694</v>
      </c>
      <c r="P489" s="15" t="s">
        <v>1046</v>
      </c>
      <c r="Q489" s="15" t="s">
        <v>842</v>
      </c>
      <c r="R489" s="15" t="s">
        <v>835</v>
      </c>
      <c r="S489" s="15" t="s">
        <v>348</v>
      </c>
      <c r="T489" s="15" t="s">
        <v>457</v>
      </c>
      <c r="AC489" s="32" t="s">
        <v>885</v>
      </c>
      <c r="AD489" s="33" t="str">
        <f t="shared" si="96"/>
        <v>289178061</v>
      </c>
      <c r="AE489" s="21" t="str">
        <f t="shared" si="99"/>
        <v>BR_VW_AFS_dv360_DIS_PROG_CPM_STD_LDR_AAF_RON_CXD_After-Sales-Oficina-Classicos-REG07-KWs_PD_160x600</v>
      </c>
      <c r="AF489" s="21" t="str">
        <f t="shared" si="100"/>
        <v>BR_VW_AFS_dv360_DIS_PROG_CPM_STD_LDR_AAF_RON_CXD_After-Sales-Oficina-Classicos-REG07-KWs_PD_160x600</v>
      </c>
      <c r="AG489" s="21" t="str">
        <f t="shared" si="101"/>
        <v>VW_After-Sales-KWs_160x600_After-Sales-Oficina-Classicos-REG07-adserver</v>
      </c>
      <c r="AH489" s="21" t="str">
        <f t="shared" si="102"/>
        <v>https://www.oficinadeclassicos.com.br/index.aspx?utm_source=dv360&amp;utm_medium=Programmatic&amp;utm_content=BR_VW_AFS_dv360_DIS_PROG_CPM_STD_LDR_AAF_RON_CXD_After-Sales-Oficina-Classicos-REG07-KWs_PD_160x600&amp;utm_campaign=BR_AAF_DSY_NONMS_ND_AS_2019Q2APR_AFS_After-Sales&amp;utm_term=%epid!_%ecid!_%eaid!</v>
      </c>
      <c r="AI489" s="21" t="str">
        <f t="shared" si="103"/>
        <v>TAG</v>
      </c>
      <c r="AJ489" s="15" t="str">
        <f t="shared" si="97"/>
        <v>dv360</v>
      </c>
      <c r="AK489" s="15" t="str">
        <f t="shared" si="98"/>
        <v>Programmatic</v>
      </c>
      <c r="AL489" s="21" t="str">
        <f>Campanha!$B$3</f>
        <v>BR_AAF_DSY_NONMS_ND_AS_2019Q2APR_AFS_After-Sales</v>
      </c>
      <c r="AM489" s="21" t="str">
        <f t="shared" si="104"/>
        <v>BR_VW_AFS_dv360_DIS_PROG_CPM_STD_LDR_AAF_RON_CXD_After-Sales-Oficina-Classicos-REG07-KWs_PD_160x600</v>
      </c>
      <c r="AN489" s="15" t="s">
        <v>809</v>
      </c>
    </row>
    <row r="490" spans="2:40" hidden="1" x14ac:dyDescent="0.25">
      <c r="B490" s="15" t="s">
        <v>933</v>
      </c>
      <c r="C490" s="15" t="s">
        <v>1171</v>
      </c>
      <c r="D490" s="30" t="s">
        <v>873</v>
      </c>
      <c r="E490" s="22">
        <v>44155</v>
      </c>
      <c r="F490" s="22">
        <v>44196</v>
      </c>
      <c r="G490" s="15" t="s">
        <v>674</v>
      </c>
      <c r="H490" s="15" t="s">
        <v>811</v>
      </c>
      <c r="I490" s="15" t="s">
        <v>702</v>
      </c>
      <c r="J490" s="15" t="s">
        <v>325</v>
      </c>
      <c r="K490" s="15" t="s">
        <v>334</v>
      </c>
      <c r="L490" s="15" t="s">
        <v>358</v>
      </c>
      <c r="M490" s="15" t="s">
        <v>322</v>
      </c>
      <c r="N490" s="15" t="s">
        <v>708</v>
      </c>
      <c r="O490" s="15" t="s">
        <v>694</v>
      </c>
      <c r="P490" s="15" t="s">
        <v>1046</v>
      </c>
      <c r="Q490" s="15" t="s">
        <v>842</v>
      </c>
      <c r="R490" s="15" t="s">
        <v>835</v>
      </c>
      <c r="S490" s="15" t="s">
        <v>348</v>
      </c>
      <c r="T490" s="15" t="s">
        <v>484</v>
      </c>
      <c r="AC490" s="32" t="s">
        <v>885</v>
      </c>
      <c r="AD490" s="33" t="str">
        <f t="shared" si="96"/>
        <v>289178058</v>
      </c>
      <c r="AE490" s="21" t="str">
        <f t="shared" si="99"/>
        <v>BR_VW_AFS_dv360_DIS_PROG_CPM_STD_LDR_AAF_RON_CXD_After-Sales-Oficina-Classicos-REG07-KWs_PD_300x50</v>
      </c>
      <c r="AF490" s="21" t="str">
        <f t="shared" si="100"/>
        <v>BR_VW_AFS_dv360_DIS_PROG_CPM_STD_LDR_AAF_RON_CXD_After-Sales-Oficina-Classicos-REG07-KWs_PD_300x50</v>
      </c>
      <c r="AG490" s="21" t="str">
        <f t="shared" si="101"/>
        <v>VW_After-Sales-KWs_300x50_After-Sales-Oficina-Classicos-REG07-adserver</v>
      </c>
      <c r="AH490" s="21" t="str">
        <f t="shared" si="102"/>
        <v>https://www.oficinadeclassicos.com.br/index.aspx?utm_source=dv360&amp;utm_medium=Programmatic&amp;utm_content=BR_VW_AFS_dv360_DIS_PROG_CPM_STD_LDR_AAF_RON_CXD_After-Sales-Oficina-Classicos-REG07-KWs_PD_300x50&amp;utm_campaign=BR_AAF_DSY_NONMS_ND_AS_2019Q2APR_AFS_After-Sales&amp;utm_term=%epid!_%ecid!_%eaid!</v>
      </c>
      <c r="AI490" s="21" t="str">
        <f t="shared" si="103"/>
        <v>TAG</v>
      </c>
      <c r="AJ490" s="15" t="str">
        <f t="shared" si="97"/>
        <v>dv360</v>
      </c>
      <c r="AK490" s="15" t="str">
        <f t="shared" si="98"/>
        <v>Programmatic</v>
      </c>
      <c r="AL490" s="21" t="str">
        <f>Campanha!$B$3</f>
        <v>BR_AAF_DSY_NONMS_ND_AS_2019Q2APR_AFS_After-Sales</v>
      </c>
      <c r="AM490" s="21" t="str">
        <f t="shared" si="104"/>
        <v>BR_VW_AFS_dv360_DIS_PROG_CPM_STD_LDR_AAF_RON_CXD_After-Sales-Oficina-Classicos-REG07-KWs_PD_300x50</v>
      </c>
      <c r="AN490" s="15" t="s">
        <v>809</v>
      </c>
    </row>
    <row r="491" spans="2:40" hidden="1" x14ac:dyDescent="0.25">
      <c r="B491" s="15" t="s">
        <v>933</v>
      </c>
      <c r="C491" s="15" t="s">
        <v>1171</v>
      </c>
      <c r="D491" s="30" t="s">
        <v>873</v>
      </c>
      <c r="E491" s="22">
        <v>44155</v>
      </c>
      <c r="F491" s="22">
        <v>44196</v>
      </c>
      <c r="G491" s="15" t="s">
        <v>674</v>
      </c>
      <c r="H491" s="15" t="s">
        <v>811</v>
      </c>
      <c r="I491" s="15" t="s">
        <v>702</v>
      </c>
      <c r="J491" s="15" t="s">
        <v>325</v>
      </c>
      <c r="K491" s="15" t="s">
        <v>334</v>
      </c>
      <c r="L491" s="15" t="s">
        <v>358</v>
      </c>
      <c r="M491" s="15" t="s">
        <v>322</v>
      </c>
      <c r="N491" s="15" t="s">
        <v>708</v>
      </c>
      <c r="O491" s="15" t="s">
        <v>694</v>
      </c>
      <c r="P491" s="15" t="s">
        <v>1046</v>
      </c>
      <c r="Q491" s="15" t="s">
        <v>842</v>
      </c>
      <c r="R491" s="15" t="s">
        <v>835</v>
      </c>
      <c r="S491" s="15" t="s">
        <v>348</v>
      </c>
      <c r="T491" s="15" t="s">
        <v>478</v>
      </c>
      <c r="AC491" s="32" t="s">
        <v>885</v>
      </c>
      <c r="AD491" s="33" t="str">
        <f t="shared" si="96"/>
        <v>289178055</v>
      </c>
      <c r="AE491" s="21" t="str">
        <f t="shared" si="99"/>
        <v>BR_VW_AFS_dv360_DIS_PROG_CPM_STD_LDR_AAF_RON_CXD_After-Sales-Oficina-Classicos-REG07-KWs_PD_300x250</v>
      </c>
      <c r="AF491" s="21" t="str">
        <f t="shared" si="100"/>
        <v>BR_VW_AFS_dv360_DIS_PROG_CPM_STD_LDR_AAF_RON_CXD_After-Sales-Oficina-Classicos-REG07-KWs_PD_300x250</v>
      </c>
      <c r="AG491" s="21" t="str">
        <f t="shared" si="101"/>
        <v>VW_After-Sales-KWs_300x250_After-Sales-Oficina-Classicos-REG07-adserver</v>
      </c>
      <c r="AH491" s="21" t="str">
        <f t="shared" si="102"/>
        <v>https://www.oficinadeclassicos.com.br/index.aspx?utm_source=dv360&amp;utm_medium=Programmatic&amp;utm_content=BR_VW_AFS_dv360_DIS_PROG_CPM_STD_LDR_AAF_RON_CXD_After-Sales-Oficina-Classicos-REG07-KWs_PD_300x250&amp;utm_campaign=BR_AAF_DSY_NONMS_ND_AS_2019Q2APR_AFS_After-Sales&amp;utm_term=%epid!_%ecid!_%eaid!</v>
      </c>
      <c r="AI491" s="21" t="str">
        <f t="shared" si="103"/>
        <v>TAG</v>
      </c>
      <c r="AJ491" s="15" t="str">
        <f t="shared" si="97"/>
        <v>dv360</v>
      </c>
      <c r="AK491" s="15" t="str">
        <f t="shared" si="98"/>
        <v>Programmatic</v>
      </c>
      <c r="AL491" s="21" t="str">
        <f>Campanha!$B$3</f>
        <v>BR_AAF_DSY_NONMS_ND_AS_2019Q2APR_AFS_After-Sales</v>
      </c>
      <c r="AM491" s="21" t="str">
        <f t="shared" si="104"/>
        <v>BR_VW_AFS_dv360_DIS_PROG_CPM_STD_LDR_AAF_RON_CXD_After-Sales-Oficina-Classicos-REG07-KWs_PD_300x250</v>
      </c>
      <c r="AN491" s="15" t="s">
        <v>809</v>
      </c>
    </row>
    <row r="492" spans="2:40" hidden="1" x14ac:dyDescent="0.25">
      <c r="B492" s="15" t="s">
        <v>933</v>
      </c>
      <c r="C492" s="15" t="s">
        <v>1172</v>
      </c>
      <c r="D492" s="30" t="s">
        <v>873</v>
      </c>
      <c r="E492" s="22">
        <v>44155</v>
      </c>
      <c r="F492" s="22">
        <v>44196</v>
      </c>
      <c r="G492" s="15" t="s">
        <v>674</v>
      </c>
      <c r="H492" s="15" t="s">
        <v>811</v>
      </c>
      <c r="I492" s="15" t="s">
        <v>702</v>
      </c>
      <c r="J492" s="15" t="s">
        <v>325</v>
      </c>
      <c r="K492" s="15" t="s">
        <v>334</v>
      </c>
      <c r="L492" s="15" t="s">
        <v>358</v>
      </c>
      <c r="M492" s="15" t="s">
        <v>322</v>
      </c>
      <c r="N492" s="15" t="s">
        <v>708</v>
      </c>
      <c r="O492" s="15" t="s">
        <v>694</v>
      </c>
      <c r="P492" s="15" t="s">
        <v>1046</v>
      </c>
      <c r="Q492" s="15" t="s">
        <v>842</v>
      </c>
      <c r="R492" s="15" t="s">
        <v>835</v>
      </c>
      <c r="S492" s="15" t="s">
        <v>348</v>
      </c>
      <c r="T492" s="15" t="s">
        <v>614</v>
      </c>
      <c r="AC492" s="32" t="s">
        <v>885</v>
      </c>
      <c r="AD492" s="33" t="str">
        <f t="shared" si="96"/>
        <v>289239873</v>
      </c>
      <c r="AE492" s="21" t="str">
        <f t="shared" si="99"/>
        <v>BR_VW_AFS_dv360_DIS_PROG_CPM_STD_LDR_AAF_RON_CXD_After-Sales-Oficina-Classicos-REG07-KWs_PD_728x90</v>
      </c>
      <c r="AF492" s="21" t="str">
        <f t="shared" si="100"/>
        <v>BR_VW_AFS_dv360_DIS_PROG_CPM_STD_LDR_AAF_RON_CXD_After-Sales-Oficina-Classicos-REG07-KWs_PD_728x90</v>
      </c>
      <c r="AG492" s="21" t="str">
        <f t="shared" si="101"/>
        <v>VW_After-Sales-KWs_728x90_After-Sales-Oficina-Classicos-REG07-adserver</v>
      </c>
      <c r="AH492" s="21" t="str">
        <f t="shared" si="102"/>
        <v>https://www.oficinadeclassicos.com.br/index.aspx?utm_source=dv360&amp;utm_medium=Programmatic&amp;utm_content=BR_VW_AFS_dv360_DIS_PROG_CPM_STD_LDR_AAF_RON_CXD_After-Sales-Oficina-Classicos-REG07-KWs_PD_728x90&amp;utm_campaign=BR_AAF_DSY_NONMS_ND_AS_2019Q2APR_AFS_After-Sales&amp;utm_term=%epid!_%ecid!_%eaid!</v>
      </c>
      <c r="AI492" s="21" t="str">
        <f t="shared" si="103"/>
        <v>TAG</v>
      </c>
      <c r="AJ492" s="15" t="str">
        <f t="shared" si="97"/>
        <v>dv360</v>
      </c>
      <c r="AK492" s="15" t="str">
        <f t="shared" si="98"/>
        <v>Programmatic</v>
      </c>
      <c r="AL492" s="21" t="str">
        <f>Campanha!$B$3</f>
        <v>BR_AAF_DSY_NONMS_ND_AS_2019Q2APR_AFS_After-Sales</v>
      </c>
      <c r="AM492" s="21" t="str">
        <f t="shared" si="104"/>
        <v>BR_VW_AFS_dv360_DIS_PROG_CPM_STD_LDR_AAF_RON_CXD_After-Sales-Oficina-Classicos-REG07-KWs_PD_728x90</v>
      </c>
      <c r="AN492" s="15" t="s">
        <v>809</v>
      </c>
    </row>
    <row r="493" spans="2:40" hidden="1" x14ac:dyDescent="0.25">
      <c r="B493" s="15" t="s">
        <v>933</v>
      </c>
      <c r="C493" s="15" t="s">
        <v>1171</v>
      </c>
      <c r="D493" s="30" t="s">
        <v>873</v>
      </c>
      <c r="E493" s="22">
        <v>44155</v>
      </c>
      <c r="F493" s="22">
        <v>44196</v>
      </c>
      <c r="G493" s="15" t="s">
        <v>674</v>
      </c>
      <c r="H493" s="15" t="s">
        <v>811</v>
      </c>
      <c r="I493" s="15" t="s">
        <v>702</v>
      </c>
      <c r="J493" s="15" t="s">
        <v>325</v>
      </c>
      <c r="K493" s="15" t="s">
        <v>334</v>
      </c>
      <c r="L493" s="15" t="s">
        <v>358</v>
      </c>
      <c r="M493" s="15" t="s">
        <v>322</v>
      </c>
      <c r="N493" s="15" t="s">
        <v>708</v>
      </c>
      <c r="O493" s="15" t="s">
        <v>694</v>
      </c>
      <c r="P493" s="15" t="s">
        <v>1046</v>
      </c>
      <c r="Q493" s="15" t="s">
        <v>842</v>
      </c>
      <c r="R493" s="15" t="s">
        <v>835</v>
      </c>
      <c r="S493" s="15" t="s">
        <v>348</v>
      </c>
      <c r="T493" s="15" t="s">
        <v>652</v>
      </c>
      <c r="AC493" s="32" t="s">
        <v>885</v>
      </c>
      <c r="AD493" s="33" t="str">
        <f t="shared" si="96"/>
        <v>289178052</v>
      </c>
      <c r="AE493" s="21" t="str">
        <f t="shared" si="99"/>
        <v>BR_VW_AFS_dv360_DIS_PROG_CPM_STD_LDR_AAF_RON_CXD_After-Sales-Oficina-Classicos-REG07-KWs_PD_970x250</v>
      </c>
      <c r="AF493" s="21" t="str">
        <f t="shared" si="100"/>
        <v>BR_VW_AFS_dv360_DIS_PROG_CPM_STD_LDR_AAF_RON_CXD_After-Sales-Oficina-Classicos-REG07-KWs_PD_970x250</v>
      </c>
      <c r="AG493" s="21" t="str">
        <f t="shared" si="101"/>
        <v>VW_After-Sales-KWs_970x250_After-Sales-Oficina-Classicos-REG07-adserver</v>
      </c>
      <c r="AH493" s="21" t="str">
        <f t="shared" si="102"/>
        <v>https://www.oficinadeclassicos.com.br/index.aspx?utm_source=dv360&amp;utm_medium=Programmatic&amp;utm_content=BR_VW_AFS_dv360_DIS_PROG_CPM_STD_LDR_AAF_RON_CXD_After-Sales-Oficina-Classicos-REG07-KWs_PD_970x250&amp;utm_campaign=BR_AAF_DSY_NONMS_ND_AS_2019Q2APR_AFS_After-Sales&amp;utm_term=%epid!_%ecid!_%eaid!</v>
      </c>
      <c r="AI493" s="21" t="str">
        <f t="shared" si="103"/>
        <v>TAG</v>
      </c>
      <c r="AJ493" s="15" t="str">
        <f t="shared" si="97"/>
        <v>dv360</v>
      </c>
      <c r="AK493" s="15" t="str">
        <f t="shared" si="98"/>
        <v>Programmatic</v>
      </c>
      <c r="AL493" s="21" t="str">
        <f>Campanha!$B$3</f>
        <v>BR_AAF_DSY_NONMS_ND_AS_2019Q2APR_AFS_After-Sales</v>
      </c>
      <c r="AM493" s="21" t="str">
        <f t="shared" si="104"/>
        <v>BR_VW_AFS_dv360_DIS_PROG_CPM_STD_LDR_AAF_RON_CXD_After-Sales-Oficina-Classicos-REG07-KWs_PD_970x250</v>
      </c>
      <c r="AN493" s="15" t="s">
        <v>809</v>
      </c>
    </row>
    <row r="494" spans="2:40" hidden="1" x14ac:dyDescent="0.25">
      <c r="B494" s="15" t="s">
        <v>933</v>
      </c>
      <c r="C494" s="15" t="s">
        <v>1171</v>
      </c>
      <c r="D494" s="30" t="s">
        <v>873</v>
      </c>
      <c r="E494" s="22">
        <v>44155</v>
      </c>
      <c r="F494" s="22">
        <v>44196</v>
      </c>
      <c r="G494" s="15" t="s">
        <v>674</v>
      </c>
      <c r="H494" s="15" t="s">
        <v>811</v>
      </c>
      <c r="I494" s="15" t="s">
        <v>702</v>
      </c>
      <c r="J494" s="15" t="s">
        <v>325</v>
      </c>
      <c r="K494" s="15" t="s">
        <v>334</v>
      </c>
      <c r="L494" s="15" t="s">
        <v>358</v>
      </c>
      <c r="M494" s="15" t="s">
        <v>322</v>
      </c>
      <c r="N494" s="15" t="s">
        <v>708</v>
      </c>
      <c r="O494" s="15" t="s">
        <v>694</v>
      </c>
      <c r="P494" s="15" t="s">
        <v>1046</v>
      </c>
      <c r="Q494" s="15" t="s">
        <v>843</v>
      </c>
      <c r="R494" s="15" t="s">
        <v>835</v>
      </c>
      <c r="S494" s="15" t="s">
        <v>348</v>
      </c>
      <c r="T494" s="15" t="s">
        <v>457</v>
      </c>
      <c r="AC494" s="32" t="s">
        <v>885</v>
      </c>
      <c r="AD494" s="33" t="str">
        <f t="shared" si="96"/>
        <v>289178049</v>
      </c>
      <c r="AE494" s="21" t="str">
        <f t="shared" si="99"/>
        <v>BR_VW_AFS_dv360_DIS_PROG_CPM_STD_LDR_AAF_RON_CXD_After-Sales-Oficina-Classicos-REG07-Categories_PD_160x600</v>
      </c>
      <c r="AF494" s="21" t="str">
        <f t="shared" si="100"/>
        <v>BR_VW_AFS_dv360_DIS_PROG_CPM_STD_LDR_AAF_RON_CXD_After-Sales-Oficina-Classicos-REG07-Categories_PD_160x600</v>
      </c>
      <c r="AG494" s="21" t="str">
        <f t="shared" si="101"/>
        <v>VW_After-Sales-Categories_160x600_After-Sales-Oficina-Classicos-REG07-adserver</v>
      </c>
      <c r="AH494" s="21" t="str">
        <f t="shared" si="102"/>
        <v>https://www.oficinadeclassicos.com.br/index.aspx?utm_source=dv360&amp;utm_medium=Programmatic&amp;utm_content=BR_VW_AFS_dv360_DIS_PROG_CPM_STD_LDR_AAF_RON_CXD_After-Sales-Oficina-Classicos-REG07-Categories_PD_160x600&amp;utm_campaign=BR_AAF_DSY_NONMS_ND_AS_2019Q2APR_AFS_After-Sales&amp;utm_term=%epid!_%ecid!_%eaid!</v>
      </c>
      <c r="AI494" s="21" t="str">
        <f t="shared" si="103"/>
        <v>TAG</v>
      </c>
      <c r="AJ494" s="15" t="str">
        <f t="shared" si="97"/>
        <v>dv360</v>
      </c>
      <c r="AK494" s="15" t="str">
        <f t="shared" si="98"/>
        <v>Programmatic</v>
      </c>
      <c r="AL494" s="21" t="str">
        <f>Campanha!$B$3</f>
        <v>BR_AAF_DSY_NONMS_ND_AS_2019Q2APR_AFS_After-Sales</v>
      </c>
      <c r="AM494" s="21" t="str">
        <f t="shared" si="104"/>
        <v>BR_VW_AFS_dv360_DIS_PROG_CPM_STD_LDR_AAF_RON_CXD_After-Sales-Oficina-Classicos-REG07-Categories_PD_160x600</v>
      </c>
      <c r="AN494" s="15" t="s">
        <v>809</v>
      </c>
    </row>
    <row r="495" spans="2:40" hidden="1" x14ac:dyDescent="0.25">
      <c r="B495" s="15" t="s">
        <v>933</v>
      </c>
      <c r="C495" s="15" t="s">
        <v>1171</v>
      </c>
      <c r="D495" s="30" t="s">
        <v>873</v>
      </c>
      <c r="E495" s="22">
        <v>44155</v>
      </c>
      <c r="F495" s="22">
        <v>44196</v>
      </c>
      <c r="G495" s="15" t="s">
        <v>674</v>
      </c>
      <c r="H495" s="15" t="s">
        <v>811</v>
      </c>
      <c r="I495" s="15" t="s">
        <v>702</v>
      </c>
      <c r="J495" s="15" t="s">
        <v>325</v>
      </c>
      <c r="K495" s="15" t="s">
        <v>334</v>
      </c>
      <c r="L495" s="15" t="s">
        <v>358</v>
      </c>
      <c r="M495" s="15" t="s">
        <v>322</v>
      </c>
      <c r="N495" s="15" t="s">
        <v>708</v>
      </c>
      <c r="O495" s="15" t="s">
        <v>694</v>
      </c>
      <c r="P495" s="15" t="s">
        <v>1046</v>
      </c>
      <c r="Q495" s="15" t="s">
        <v>843</v>
      </c>
      <c r="R495" s="15" t="s">
        <v>835</v>
      </c>
      <c r="S495" s="15" t="s">
        <v>348</v>
      </c>
      <c r="T495" s="15" t="s">
        <v>484</v>
      </c>
      <c r="AC495" s="32" t="s">
        <v>885</v>
      </c>
      <c r="AD495" s="33" t="str">
        <f t="shared" si="96"/>
        <v>289178046</v>
      </c>
      <c r="AE495" s="21" t="str">
        <f t="shared" si="99"/>
        <v>BR_VW_AFS_dv360_DIS_PROG_CPM_STD_LDR_AAF_RON_CXD_After-Sales-Oficina-Classicos-REG07-Categories_PD_300x50</v>
      </c>
      <c r="AF495" s="21" t="str">
        <f t="shared" si="100"/>
        <v>BR_VW_AFS_dv360_DIS_PROG_CPM_STD_LDR_AAF_RON_CXD_After-Sales-Oficina-Classicos-REG07-Categories_PD_300x50</v>
      </c>
      <c r="AG495" s="21" t="str">
        <f t="shared" si="101"/>
        <v>VW_After-Sales-Categories_300x50_After-Sales-Oficina-Classicos-REG07-adserver</v>
      </c>
      <c r="AH495" s="21" t="str">
        <f t="shared" si="102"/>
        <v>https://www.oficinadeclassicos.com.br/index.aspx?utm_source=dv360&amp;utm_medium=Programmatic&amp;utm_content=BR_VW_AFS_dv360_DIS_PROG_CPM_STD_LDR_AAF_RON_CXD_After-Sales-Oficina-Classicos-REG07-Categories_PD_300x50&amp;utm_campaign=BR_AAF_DSY_NONMS_ND_AS_2019Q2APR_AFS_After-Sales&amp;utm_term=%epid!_%ecid!_%eaid!</v>
      </c>
      <c r="AI495" s="21" t="str">
        <f t="shared" si="103"/>
        <v>TAG</v>
      </c>
      <c r="AJ495" s="15" t="str">
        <f t="shared" si="97"/>
        <v>dv360</v>
      </c>
      <c r="AK495" s="15" t="str">
        <f t="shared" si="98"/>
        <v>Programmatic</v>
      </c>
      <c r="AL495" s="21" t="str">
        <f>Campanha!$B$3</f>
        <v>BR_AAF_DSY_NONMS_ND_AS_2019Q2APR_AFS_After-Sales</v>
      </c>
      <c r="AM495" s="21" t="str">
        <f t="shared" si="104"/>
        <v>BR_VW_AFS_dv360_DIS_PROG_CPM_STD_LDR_AAF_RON_CXD_After-Sales-Oficina-Classicos-REG07-Categories_PD_300x50</v>
      </c>
      <c r="AN495" s="15" t="s">
        <v>809</v>
      </c>
    </row>
    <row r="496" spans="2:40" hidden="1" x14ac:dyDescent="0.25">
      <c r="B496" s="15" t="s">
        <v>933</v>
      </c>
      <c r="C496" s="15" t="s">
        <v>1171</v>
      </c>
      <c r="D496" s="30" t="s">
        <v>873</v>
      </c>
      <c r="E496" s="22">
        <v>44155</v>
      </c>
      <c r="F496" s="22">
        <v>44196</v>
      </c>
      <c r="G496" s="15" t="s">
        <v>674</v>
      </c>
      <c r="H496" s="15" t="s">
        <v>811</v>
      </c>
      <c r="I496" s="15" t="s">
        <v>702</v>
      </c>
      <c r="J496" s="15" t="s">
        <v>325</v>
      </c>
      <c r="K496" s="15" t="s">
        <v>334</v>
      </c>
      <c r="L496" s="15" t="s">
        <v>358</v>
      </c>
      <c r="M496" s="15" t="s">
        <v>322</v>
      </c>
      <c r="N496" s="15" t="s">
        <v>708</v>
      </c>
      <c r="O496" s="15" t="s">
        <v>694</v>
      </c>
      <c r="P496" s="15" t="s">
        <v>1046</v>
      </c>
      <c r="Q496" s="15" t="s">
        <v>843</v>
      </c>
      <c r="R496" s="15" t="s">
        <v>835</v>
      </c>
      <c r="S496" s="15" t="s">
        <v>348</v>
      </c>
      <c r="T496" s="15" t="s">
        <v>478</v>
      </c>
      <c r="AC496" s="32" t="s">
        <v>885</v>
      </c>
      <c r="AD496" s="33" t="str">
        <f t="shared" si="96"/>
        <v>289178043</v>
      </c>
      <c r="AE496" s="21" t="str">
        <f t="shared" si="99"/>
        <v>BR_VW_AFS_dv360_DIS_PROG_CPM_STD_LDR_AAF_RON_CXD_After-Sales-Oficina-Classicos-REG07-Categories_PD_300x250</v>
      </c>
      <c r="AF496" s="21" t="str">
        <f t="shared" si="100"/>
        <v>BR_VW_AFS_dv360_DIS_PROG_CPM_STD_LDR_AAF_RON_CXD_After-Sales-Oficina-Classicos-REG07-Categories_PD_300x250</v>
      </c>
      <c r="AG496" s="21" t="str">
        <f t="shared" si="101"/>
        <v>VW_After-Sales-Categories_300x250_After-Sales-Oficina-Classicos-REG07-adserver</v>
      </c>
      <c r="AH496" s="21" t="str">
        <f t="shared" si="102"/>
        <v>https://www.oficinadeclassicos.com.br/index.aspx?utm_source=dv360&amp;utm_medium=Programmatic&amp;utm_content=BR_VW_AFS_dv360_DIS_PROG_CPM_STD_LDR_AAF_RON_CXD_After-Sales-Oficina-Classicos-REG07-Categories_PD_300x250&amp;utm_campaign=BR_AAF_DSY_NONMS_ND_AS_2019Q2APR_AFS_After-Sales&amp;utm_term=%epid!_%ecid!_%eaid!</v>
      </c>
      <c r="AI496" s="21" t="str">
        <f t="shared" si="103"/>
        <v>TAG</v>
      </c>
      <c r="AJ496" s="15" t="str">
        <f t="shared" si="97"/>
        <v>dv360</v>
      </c>
      <c r="AK496" s="15" t="str">
        <f t="shared" si="98"/>
        <v>Programmatic</v>
      </c>
      <c r="AL496" s="21" t="str">
        <f>Campanha!$B$3</f>
        <v>BR_AAF_DSY_NONMS_ND_AS_2019Q2APR_AFS_After-Sales</v>
      </c>
      <c r="AM496" s="21" t="str">
        <f t="shared" si="104"/>
        <v>BR_VW_AFS_dv360_DIS_PROG_CPM_STD_LDR_AAF_RON_CXD_After-Sales-Oficina-Classicos-REG07-Categories_PD_300x250</v>
      </c>
      <c r="AN496" s="15" t="s">
        <v>809</v>
      </c>
    </row>
    <row r="497" spans="2:40" hidden="1" x14ac:dyDescent="0.25">
      <c r="B497" s="15" t="s">
        <v>933</v>
      </c>
      <c r="C497" s="15" t="s">
        <v>1172</v>
      </c>
      <c r="D497" s="30" t="s">
        <v>873</v>
      </c>
      <c r="E497" s="22">
        <v>44155</v>
      </c>
      <c r="F497" s="22">
        <v>44196</v>
      </c>
      <c r="G497" s="15" t="s">
        <v>674</v>
      </c>
      <c r="H497" s="15" t="s">
        <v>811</v>
      </c>
      <c r="I497" s="15" t="s">
        <v>702</v>
      </c>
      <c r="J497" s="15" t="s">
        <v>325</v>
      </c>
      <c r="K497" s="15" t="s">
        <v>334</v>
      </c>
      <c r="L497" s="15" t="s">
        <v>358</v>
      </c>
      <c r="M497" s="15" t="s">
        <v>322</v>
      </c>
      <c r="N497" s="15" t="s">
        <v>708</v>
      </c>
      <c r="O497" s="15" t="s">
        <v>694</v>
      </c>
      <c r="P497" s="15" t="s">
        <v>1046</v>
      </c>
      <c r="Q497" s="15" t="s">
        <v>843</v>
      </c>
      <c r="R497" s="15" t="s">
        <v>835</v>
      </c>
      <c r="S497" s="15" t="s">
        <v>348</v>
      </c>
      <c r="T497" s="15" t="s">
        <v>614</v>
      </c>
      <c r="AC497" s="32" t="s">
        <v>885</v>
      </c>
      <c r="AD497" s="33" t="str">
        <f t="shared" si="96"/>
        <v>289239870</v>
      </c>
      <c r="AE497" s="21" t="str">
        <f t="shared" si="99"/>
        <v>BR_VW_AFS_dv360_DIS_PROG_CPM_STD_LDR_AAF_RON_CXD_After-Sales-Oficina-Classicos-REG07-Categories_PD_728x90</v>
      </c>
      <c r="AF497" s="21" t="str">
        <f t="shared" si="100"/>
        <v>BR_VW_AFS_dv360_DIS_PROG_CPM_STD_LDR_AAF_RON_CXD_After-Sales-Oficina-Classicos-REG07-Categories_PD_728x90</v>
      </c>
      <c r="AG497" s="21" t="str">
        <f t="shared" si="101"/>
        <v>VW_After-Sales-Categories_728x90_After-Sales-Oficina-Classicos-REG07-adserver</v>
      </c>
      <c r="AH497" s="21" t="str">
        <f t="shared" si="102"/>
        <v>https://www.oficinadeclassicos.com.br/index.aspx?utm_source=dv360&amp;utm_medium=Programmatic&amp;utm_content=BR_VW_AFS_dv360_DIS_PROG_CPM_STD_LDR_AAF_RON_CXD_After-Sales-Oficina-Classicos-REG07-Categories_PD_728x90&amp;utm_campaign=BR_AAF_DSY_NONMS_ND_AS_2019Q2APR_AFS_After-Sales&amp;utm_term=%epid!_%ecid!_%eaid!</v>
      </c>
      <c r="AI497" s="21" t="str">
        <f t="shared" si="103"/>
        <v>TAG</v>
      </c>
      <c r="AJ497" s="15" t="str">
        <f t="shared" si="97"/>
        <v>dv360</v>
      </c>
      <c r="AK497" s="15" t="str">
        <f t="shared" si="98"/>
        <v>Programmatic</v>
      </c>
      <c r="AL497" s="21" t="str">
        <f>Campanha!$B$3</f>
        <v>BR_AAF_DSY_NONMS_ND_AS_2019Q2APR_AFS_After-Sales</v>
      </c>
      <c r="AM497" s="21" t="str">
        <f t="shared" si="104"/>
        <v>BR_VW_AFS_dv360_DIS_PROG_CPM_STD_LDR_AAF_RON_CXD_After-Sales-Oficina-Classicos-REG07-Categories_PD_728x90</v>
      </c>
      <c r="AN497" s="15" t="s">
        <v>809</v>
      </c>
    </row>
    <row r="498" spans="2:40" hidden="1" x14ac:dyDescent="0.25">
      <c r="B498" s="15" t="s">
        <v>933</v>
      </c>
      <c r="C498" s="15" t="s">
        <v>1171</v>
      </c>
      <c r="D498" s="30" t="s">
        <v>873</v>
      </c>
      <c r="E498" s="22">
        <v>44155</v>
      </c>
      <c r="F498" s="22">
        <v>44196</v>
      </c>
      <c r="G498" s="15" t="s">
        <v>674</v>
      </c>
      <c r="H498" s="15" t="s">
        <v>811</v>
      </c>
      <c r="I498" s="15" t="s">
        <v>702</v>
      </c>
      <c r="J498" s="15" t="s">
        <v>325</v>
      </c>
      <c r="K498" s="15" t="s">
        <v>334</v>
      </c>
      <c r="L498" s="15" t="s">
        <v>358</v>
      </c>
      <c r="M498" s="15" t="s">
        <v>322</v>
      </c>
      <c r="N498" s="15" t="s">
        <v>708</v>
      </c>
      <c r="O498" s="15" t="s">
        <v>694</v>
      </c>
      <c r="P498" s="15" t="s">
        <v>1046</v>
      </c>
      <c r="Q498" s="15" t="s">
        <v>843</v>
      </c>
      <c r="R498" s="15" t="s">
        <v>835</v>
      </c>
      <c r="S498" s="15" t="s">
        <v>348</v>
      </c>
      <c r="T498" s="15" t="s">
        <v>652</v>
      </c>
      <c r="AC498" s="32" t="s">
        <v>885</v>
      </c>
      <c r="AD498" s="33" t="str">
        <f t="shared" si="96"/>
        <v>289178040</v>
      </c>
      <c r="AE498" s="21" t="str">
        <f t="shared" si="99"/>
        <v>BR_VW_AFS_dv360_DIS_PROG_CPM_STD_LDR_AAF_RON_CXD_After-Sales-Oficina-Classicos-REG07-Categories_PD_970x250</v>
      </c>
      <c r="AF498" s="21" t="str">
        <f t="shared" si="100"/>
        <v>BR_VW_AFS_dv360_DIS_PROG_CPM_STD_LDR_AAF_RON_CXD_After-Sales-Oficina-Classicos-REG07-Categories_PD_970x250</v>
      </c>
      <c r="AG498" s="21" t="str">
        <f t="shared" si="101"/>
        <v>VW_After-Sales-Categories_970x250_After-Sales-Oficina-Classicos-REG07-adserver</v>
      </c>
      <c r="AH498" s="21" t="str">
        <f t="shared" si="102"/>
        <v>https://www.oficinadeclassicos.com.br/index.aspx?utm_source=dv360&amp;utm_medium=Programmatic&amp;utm_content=BR_VW_AFS_dv360_DIS_PROG_CPM_STD_LDR_AAF_RON_CXD_After-Sales-Oficina-Classicos-REG07-Categories_PD_970x250&amp;utm_campaign=BR_AAF_DSY_NONMS_ND_AS_2019Q2APR_AFS_After-Sales&amp;utm_term=%epid!_%ecid!_%eaid!</v>
      </c>
      <c r="AI498" s="21" t="str">
        <f t="shared" si="103"/>
        <v>TAG</v>
      </c>
      <c r="AJ498" s="15" t="str">
        <f t="shared" si="97"/>
        <v>dv360</v>
      </c>
      <c r="AK498" s="15" t="str">
        <f t="shared" si="98"/>
        <v>Programmatic</v>
      </c>
      <c r="AL498" s="21" t="str">
        <f>Campanha!$B$3</f>
        <v>BR_AAF_DSY_NONMS_ND_AS_2019Q2APR_AFS_After-Sales</v>
      </c>
      <c r="AM498" s="21" t="str">
        <f t="shared" si="104"/>
        <v>BR_VW_AFS_dv360_DIS_PROG_CPM_STD_LDR_AAF_RON_CXD_After-Sales-Oficina-Classicos-REG07-Categories_PD_970x250</v>
      </c>
      <c r="AN498" s="15" t="s">
        <v>809</v>
      </c>
    </row>
    <row r="499" spans="2:40" hidden="1" x14ac:dyDescent="0.25">
      <c r="B499" s="15" t="s">
        <v>933</v>
      </c>
      <c r="C499" s="15" t="s">
        <v>1171</v>
      </c>
      <c r="D499" s="30" t="s">
        <v>873</v>
      </c>
      <c r="E499" s="22">
        <v>44155</v>
      </c>
      <c r="F499" s="22">
        <v>44196</v>
      </c>
      <c r="G499" s="15" t="s">
        <v>674</v>
      </c>
      <c r="H499" s="15" t="s">
        <v>811</v>
      </c>
      <c r="I499" s="15" t="s">
        <v>702</v>
      </c>
      <c r="J499" s="15" t="s">
        <v>325</v>
      </c>
      <c r="K499" s="15" t="s">
        <v>334</v>
      </c>
      <c r="L499" s="15" t="s">
        <v>358</v>
      </c>
      <c r="M499" s="15" t="s">
        <v>322</v>
      </c>
      <c r="N499" s="15" t="s">
        <v>708</v>
      </c>
      <c r="O499" s="15" t="s">
        <v>694</v>
      </c>
      <c r="P499" s="15" t="s">
        <v>1046</v>
      </c>
      <c r="Q499" s="15" t="s">
        <v>871</v>
      </c>
      <c r="R499" s="15" t="s">
        <v>835</v>
      </c>
      <c r="S499" s="15" t="s">
        <v>348</v>
      </c>
      <c r="T499" s="15" t="s">
        <v>457</v>
      </c>
      <c r="AC499" s="32" t="s">
        <v>885</v>
      </c>
      <c r="AD499" s="33" t="str">
        <f t="shared" si="96"/>
        <v>289178037</v>
      </c>
      <c r="AE499" s="21" t="str">
        <f t="shared" si="99"/>
        <v>BR_VW_AFS_dv360_DIS_PROG_CPM_STD_LDR_AAF_RON_CXD_After-Sales-Oficina-Classicos-REG07-In-Market_PD_160x600</v>
      </c>
      <c r="AF499" s="21" t="str">
        <f t="shared" si="100"/>
        <v>BR_VW_AFS_dv360_DIS_PROG_CPM_STD_LDR_AAF_RON_CXD_After-Sales-Oficina-Classicos-REG07-In-Market_PD_160x600</v>
      </c>
      <c r="AG499" s="21" t="str">
        <f t="shared" si="101"/>
        <v>VW_After-Sales-In-Market_160x600_After-Sales-Oficina-Classicos-REG07-adserver</v>
      </c>
      <c r="AH499" s="21" t="str">
        <f t="shared" si="102"/>
        <v>https://www.oficinadeclassicos.com.br/index.aspx?utm_source=dv360&amp;utm_medium=Programmatic&amp;utm_content=BR_VW_AFS_dv360_DIS_PROG_CPM_STD_LDR_AAF_RON_CXD_After-Sales-Oficina-Classicos-REG07-In-Market_PD_160x600&amp;utm_campaign=BR_AAF_DSY_NONMS_ND_AS_2019Q2APR_AFS_After-Sales&amp;utm_term=%epid!_%ecid!_%eaid!</v>
      </c>
      <c r="AI499" s="21" t="str">
        <f t="shared" si="103"/>
        <v>TAG</v>
      </c>
      <c r="AJ499" s="15" t="str">
        <f t="shared" si="97"/>
        <v>dv360</v>
      </c>
      <c r="AK499" s="15" t="str">
        <f t="shared" si="98"/>
        <v>Programmatic</v>
      </c>
      <c r="AL499" s="21" t="str">
        <f>Campanha!$B$3</f>
        <v>BR_AAF_DSY_NONMS_ND_AS_2019Q2APR_AFS_After-Sales</v>
      </c>
      <c r="AM499" s="21" t="str">
        <f t="shared" si="104"/>
        <v>BR_VW_AFS_dv360_DIS_PROG_CPM_STD_LDR_AAF_RON_CXD_After-Sales-Oficina-Classicos-REG07-In-Market_PD_160x600</v>
      </c>
      <c r="AN499" s="15" t="s">
        <v>809</v>
      </c>
    </row>
    <row r="500" spans="2:40" hidden="1" x14ac:dyDescent="0.25">
      <c r="B500" s="15" t="s">
        <v>933</v>
      </c>
      <c r="C500" s="15" t="s">
        <v>1171</v>
      </c>
      <c r="D500" s="30" t="s">
        <v>873</v>
      </c>
      <c r="E500" s="22">
        <v>44155</v>
      </c>
      <c r="F500" s="22">
        <v>44196</v>
      </c>
      <c r="G500" s="15" t="s">
        <v>674</v>
      </c>
      <c r="H500" s="15" t="s">
        <v>811</v>
      </c>
      <c r="I500" s="15" t="s">
        <v>702</v>
      </c>
      <c r="J500" s="15" t="s">
        <v>325</v>
      </c>
      <c r="K500" s="15" t="s">
        <v>334</v>
      </c>
      <c r="L500" s="15" t="s">
        <v>358</v>
      </c>
      <c r="M500" s="15" t="s">
        <v>322</v>
      </c>
      <c r="N500" s="15" t="s">
        <v>708</v>
      </c>
      <c r="O500" s="15" t="s">
        <v>694</v>
      </c>
      <c r="P500" s="15" t="s">
        <v>1046</v>
      </c>
      <c r="Q500" s="15" t="s">
        <v>871</v>
      </c>
      <c r="R500" s="15" t="s">
        <v>835</v>
      </c>
      <c r="S500" s="15" t="s">
        <v>348</v>
      </c>
      <c r="T500" s="15" t="s">
        <v>484</v>
      </c>
      <c r="AC500" s="32" t="s">
        <v>885</v>
      </c>
      <c r="AD500" s="33" t="str">
        <f t="shared" si="96"/>
        <v>289178034</v>
      </c>
      <c r="AE500" s="21" t="str">
        <f t="shared" si="99"/>
        <v>BR_VW_AFS_dv360_DIS_PROG_CPM_STD_LDR_AAF_RON_CXD_After-Sales-Oficina-Classicos-REG07-In-Market_PD_300x50</v>
      </c>
      <c r="AF500" s="21" t="str">
        <f t="shared" si="100"/>
        <v>BR_VW_AFS_dv360_DIS_PROG_CPM_STD_LDR_AAF_RON_CXD_After-Sales-Oficina-Classicos-REG07-In-Market_PD_300x50</v>
      </c>
      <c r="AG500" s="21" t="str">
        <f t="shared" si="101"/>
        <v>VW_After-Sales-In-Market_300x50_After-Sales-Oficina-Classicos-REG07-adserver</v>
      </c>
      <c r="AH500" s="21" t="str">
        <f t="shared" si="102"/>
        <v>https://www.oficinadeclassicos.com.br/index.aspx?utm_source=dv360&amp;utm_medium=Programmatic&amp;utm_content=BR_VW_AFS_dv360_DIS_PROG_CPM_STD_LDR_AAF_RON_CXD_After-Sales-Oficina-Classicos-REG07-In-Market_PD_300x50&amp;utm_campaign=BR_AAF_DSY_NONMS_ND_AS_2019Q2APR_AFS_After-Sales&amp;utm_term=%epid!_%ecid!_%eaid!</v>
      </c>
      <c r="AI500" s="21" t="str">
        <f t="shared" si="103"/>
        <v>TAG</v>
      </c>
      <c r="AJ500" s="15" t="str">
        <f t="shared" si="97"/>
        <v>dv360</v>
      </c>
      <c r="AK500" s="15" t="str">
        <f t="shared" si="98"/>
        <v>Programmatic</v>
      </c>
      <c r="AL500" s="21" t="str">
        <f>Campanha!$B$3</f>
        <v>BR_AAF_DSY_NONMS_ND_AS_2019Q2APR_AFS_After-Sales</v>
      </c>
      <c r="AM500" s="21" t="str">
        <f t="shared" si="104"/>
        <v>BR_VW_AFS_dv360_DIS_PROG_CPM_STD_LDR_AAF_RON_CXD_After-Sales-Oficina-Classicos-REG07-In-Market_PD_300x50</v>
      </c>
      <c r="AN500" s="15" t="s">
        <v>809</v>
      </c>
    </row>
    <row r="501" spans="2:40" hidden="1" x14ac:dyDescent="0.25">
      <c r="B501" s="15" t="s">
        <v>933</v>
      </c>
      <c r="C501" s="15" t="s">
        <v>1171</v>
      </c>
      <c r="D501" s="30" t="s">
        <v>873</v>
      </c>
      <c r="E501" s="22">
        <v>44155</v>
      </c>
      <c r="F501" s="22">
        <v>44196</v>
      </c>
      <c r="G501" s="15" t="s">
        <v>674</v>
      </c>
      <c r="H501" s="15" t="s">
        <v>811</v>
      </c>
      <c r="I501" s="15" t="s">
        <v>702</v>
      </c>
      <c r="J501" s="15" t="s">
        <v>325</v>
      </c>
      <c r="K501" s="15" t="s">
        <v>334</v>
      </c>
      <c r="L501" s="15" t="s">
        <v>358</v>
      </c>
      <c r="M501" s="15" t="s">
        <v>322</v>
      </c>
      <c r="N501" s="15" t="s">
        <v>708</v>
      </c>
      <c r="O501" s="15" t="s">
        <v>694</v>
      </c>
      <c r="P501" s="15" t="s">
        <v>1046</v>
      </c>
      <c r="Q501" s="15" t="s">
        <v>871</v>
      </c>
      <c r="R501" s="15" t="s">
        <v>835</v>
      </c>
      <c r="S501" s="15" t="s">
        <v>348</v>
      </c>
      <c r="T501" s="15" t="s">
        <v>478</v>
      </c>
      <c r="AC501" s="32" t="s">
        <v>885</v>
      </c>
      <c r="AD501" s="33" t="str">
        <f t="shared" si="96"/>
        <v>289178031</v>
      </c>
      <c r="AE501" s="21" t="str">
        <f t="shared" si="99"/>
        <v>BR_VW_AFS_dv360_DIS_PROG_CPM_STD_LDR_AAF_RON_CXD_After-Sales-Oficina-Classicos-REG07-In-Market_PD_300x250</v>
      </c>
      <c r="AF501" s="21" t="str">
        <f t="shared" si="100"/>
        <v>BR_VW_AFS_dv360_DIS_PROG_CPM_STD_LDR_AAF_RON_CXD_After-Sales-Oficina-Classicos-REG07-In-Market_PD_300x250</v>
      </c>
      <c r="AG501" s="21" t="str">
        <f t="shared" si="101"/>
        <v>VW_After-Sales-In-Market_300x250_After-Sales-Oficina-Classicos-REG07-adserver</v>
      </c>
      <c r="AH501" s="21" t="str">
        <f t="shared" si="102"/>
        <v>https://www.oficinadeclassicos.com.br/index.aspx?utm_source=dv360&amp;utm_medium=Programmatic&amp;utm_content=BR_VW_AFS_dv360_DIS_PROG_CPM_STD_LDR_AAF_RON_CXD_After-Sales-Oficina-Classicos-REG07-In-Market_PD_300x250&amp;utm_campaign=BR_AAF_DSY_NONMS_ND_AS_2019Q2APR_AFS_After-Sales&amp;utm_term=%epid!_%ecid!_%eaid!</v>
      </c>
      <c r="AI501" s="21" t="str">
        <f t="shared" si="103"/>
        <v>TAG</v>
      </c>
      <c r="AJ501" s="15" t="str">
        <f t="shared" si="97"/>
        <v>dv360</v>
      </c>
      <c r="AK501" s="15" t="str">
        <f t="shared" si="98"/>
        <v>Programmatic</v>
      </c>
      <c r="AL501" s="21" t="str">
        <f>Campanha!$B$3</f>
        <v>BR_AAF_DSY_NONMS_ND_AS_2019Q2APR_AFS_After-Sales</v>
      </c>
      <c r="AM501" s="21" t="str">
        <f t="shared" si="104"/>
        <v>BR_VW_AFS_dv360_DIS_PROG_CPM_STD_LDR_AAF_RON_CXD_After-Sales-Oficina-Classicos-REG07-In-Market_PD_300x250</v>
      </c>
      <c r="AN501" s="15" t="s">
        <v>809</v>
      </c>
    </row>
    <row r="502" spans="2:40" hidden="1" x14ac:dyDescent="0.25">
      <c r="B502" s="15" t="s">
        <v>933</v>
      </c>
      <c r="C502" s="15" t="s">
        <v>1172</v>
      </c>
      <c r="D502" s="30" t="s">
        <v>873</v>
      </c>
      <c r="E502" s="22">
        <v>44155</v>
      </c>
      <c r="F502" s="22">
        <v>44196</v>
      </c>
      <c r="G502" s="15" t="s">
        <v>674</v>
      </c>
      <c r="H502" s="15" t="s">
        <v>811</v>
      </c>
      <c r="I502" s="15" t="s">
        <v>702</v>
      </c>
      <c r="J502" s="15" t="s">
        <v>325</v>
      </c>
      <c r="K502" s="15" t="s">
        <v>334</v>
      </c>
      <c r="L502" s="15" t="s">
        <v>358</v>
      </c>
      <c r="M502" s="15" t="s">
        <v>322</v>
      </c>
      <c r="N502" s="15" t="s">
        <v>708</v>
      </c>
      <c r="O502" s="15" t="s">
        <v>694</v>
      </c>
      <c r="P502" s="15" t="s">
        <v>1046</v>
      </c>
      <c r="Q502" s="15" t="s">
        <v>871</v>
      </c>
      <c r="R502" s="15" t="s">
        <v>835</v>
      </c>
      <c r="S502" s="15" t="s">
        <v>348</v>
      </c>
      <c r="T502" s="15" t="s">
        <v>614</v>
      </c>
      <c r="AC502" s="32" t="s">
        <v>885</v>
      </c>
      <c r="AD502" s="33" t="str">
        <f t="shared" ref="AD502:AD563" si="105">VLOOKUP(AE502,id_placement,2,FALSE)</f>
        <v>289239867</v>
      </c>
      <c r="AE502" s="21" t="str">
        <f t="shared" si="99"/>
        <v>BR_VW_AFS_dv360_DIS_PROG_CPM_STD_LDR_AAF_RON_CXD_After-Sales-Oficina-Classicos-REG07-In-Market_PD_728x90</v>
      </c>
      <c r="AF502" s="21" t="str">
        <f t="shared" si="100"/>
        <v>BR_VW_AFS_dv360_DIS_PROG_CPM_STD_LDR_AAF_RON_CXD_After-Sales-Oficina-Classicos-REG07-In-Market_PD_728x90</v>
      </c>
      <c r="AG502" s="21" t="str">
        <f t="shared" si="101"/>
        <v>VW_After-Sales-In-Market_728x90_After-Sales-Oficina-Classicos-REG07-adserver</v>
      </c>
      <c r="AH502" s="21" t="str">
        <f t="shared" si="102"/>
        <v>https://www.oficinadeclassicos.com.br/index.aspx?utm_source=dv360&amp;utm_medium=Programmatic&amp;utm_content=BR_VW_AFS_dv360_DIS_PROG_CPM_STD_LDR_AAF_RON_CXD_After-Sales-Oficina-Classicos-REG07-In-Market_PD_728x90&amp;utm_campaign=BR_AAF_DSY_NONMS_ND_AS_2019Q2APR_AFS_After-Sales&amp;utm_term=%epid!_%ecid!_%eaid!</v>
      </c>
      <c r="AI502" s="21" t="str">
        <f t="shared" si="103"/>
        <v>TAG</v>
      </c>
      <c r="AJ502" s="15" t="str">
        <f t="shared" si="97"/>
        <v>dv360</v>
      </c>
      <c r="AK502" s="15" t="str">
        <f t="shared" si="98"/>
        <v>Programmatic</v>
      </c>
      <c r="AL502" s="21" t="str">
        <f>Campanha!$B$3</f>
        <v>BR_AAF_DSY_NONMS_ND_AS_2019Q2APR_AFS_After-Sales</v>
      </c>
      <c r="AM502" s="21" t="str">
        <f t="shared" si="104"/>
        <v>BR_VW_AFS_dv360_DIS_PROG_CPM_STD_LDR_AAF_RON_CXD_After-Sales-Oficina-Classicos-REG07-In-Market_PD_728x90</v>
      </c>
      <c r="AN502" s="15" t="s">
        <v>809</v>
      </c>
    </row>
    <row r="503" spans="2:40" hidden="1" x14ac:dyDescent="0.25">
      <c r="B503" s="15" t="s">
        <v>933</v>
      </c>
      <c r="C503" s="15" t="s">
        <v>1171</v>
      </c>
      <c r="D503" s="30" t="s">
        <v>873</v>
      </c>
      <c r="E503" s="22">
        <v>44155</v>
      </c>
      <c r="F503" s="22">
        <v>44196</v>
      </c>
      <c r="G503" s="15" t="s">
        <v>674</v>
      </c>
      <c r="H503" s="15" t="s">
        <v>811</v>
      </c>
      <c r="I503" s="15" t="s">
        <v>702</v>
      </c>
      <c r="J503" s="15" t="s">
        <v>325</v>
      </c>
      <c r="K503" s="15" t="s">
        <v>334</v>
      </c>
      <c r="L503" s="15" t="s">
        <v>358</v>
      </c>
      <c r="M503" s="15" t="s">
        <v>322</v>
      </c>
      <c r="N503" s="15" t="s">
        <v>708</v>
      </c>
      <c r="O503" s="15" t="s">
        <v>694</v>
      </c>
      <c r="P503" s="15" t="s">
        <v>1046</v>
      </c>
      <c r="Q503" s="15" t="s">
        <v>871</v>
      </c>
      <c r="R503" s="15" t="s">
        <v>835</v>
      </c>
      <c r="S503" s="15" t="s">
        <v>348</v>
      </c>
      <c r="T503" s="15" t="s">
        <v>652</v>
      </c>
      <c r="AC503" s="32" t="s">
        <v>885</v>
      </c>
      <c r="AD503" s="33" t="str">
        <f t="shared" si="105"/>
        <v>289178028</v>
      </c>
      <c r="AE503" s="21" t="str">
        <f t="shared" si="99"/>
        <v>BR_VW_AFS_dv360_DIS_PROG_CPM_STD_LDR_AAF_RON_CXD_After-Sales-Oficina-Classicos-REG07-In-Market_PD_970x250</v>
      </c>
      <c r="AF503" s="21" t="str">
        <f t="shared" si="100"/>
        <v>BR_VW_AFS_dv360_DIS_PROG_CPM_STD_LDR_AAF_RON_CXD_After-Sales-Oficina-Classicos-REG07-In-Market_PD_970x250</v>
      </c>
      <c r="AG503" s="21" t="str">
        <f t="shared" si="101"/>
        <v>VW_After-Sales-In-Market_970x250_After-Sales-Oficina-Classicos-REG07-adserver</v>
      </c>
      <c r="AH503" s="21" t="str">
        <f t="shared" si="102"/>
        <v>https://www.oficinadeclassicos.com.br/index.aspx?utm_source=dv360&amp;utm_medium=Programmatic&amp;utm_content=BR_VW_AFS_dv360_DIS_PROG_CPM_STD_LDR_AAF_RON_CXD_After-Sales-Oficina-Classicos-REG07-In-Market_PD_970x250&amp;utm_campaign=BR_AAF_DSY_NONMS_ND_AS_2019Q2APR_AFS_After-Sales&amp;utm_term=%epid!_%ecid!_%eaid!</v>
      </c>
      <c r="AI503" s="21" t="str">
        <f t="shared" si="103"/>
        <v>TAG</v>
      </c>
      <c r="AJ503" s="15" t="str">
        <f t="shared" si="97"/>
        <v>dv360</v>
      </c>
      <c r="AK503" s="15" t="str">
        <f t="shared" si="98"/>
        <v>Programmatic</v>
      </c>
      <c r="AL503" s="21" t="str">
        <f>Campanha!$B$3</f>
        <v>BR_AAF_DSY_NONMS_ND_AS_2019Q2APR_AFS_After-Sales</v>
      </c>
      <c r="AM503" s="21" t="str">
        <f t="shared" si="104"/>
        <v>BR_VW_AFS_dv360_DIS_PROG_CPM_STD_LDR_AAF_RON_CXD_After-Sales-Oficina-Classicos-REG07-In-Market_PD_970x250</v>
      </c>
      <c r="AN503" s="15" t="s">
        <v>809</v>
      </c>
    </row>
    <row r="504" spans="2:40" hidden="1" x14ac:dyDescent="0.25">
      <c r="B504" s="15" t="s">
        <v>933</v>
      </c>
      <c r="C504" s="15" t="s">
        <v>1171</v>
      </c>
      <c r="D504" s="30" t="s">
        <v>873</v>
      </c>
      <c r="E504" s="22">
        <v>44155</v>
      </c>
      <c r="F504" s="22">
        <v>44196</v>
      </c>
      <c r="G504" s="15" t="s">
        <v>674</v>
      </c>
      <c r="H504" s="15" t="s">
        <v>811</v>
      </c>
      <c r="I504" s="15" t="s">
        <v>702</v>
      </c>
      <c r="J504" s="15" t="s">
        <v>325</v>
      </c>
      <c r="K504" s="15" t="s">
        <v>334</v>
      </c>
      <c r="L504" s="15" t="s">
        <v>358</v>
      </c>
      <c r="M504" s="15" t="s">
        <v>322</v>
      </c>
      <c r="N504" s="15" t="s">
        <v>708</v>
      </c>
      <c r="O504" s="15" t="s">
        <v>694</v>
      </c>
      <c r="P504" s="15" t="s">
        <v>1046</v>
      </c>
      <c r="Q504" s="15" t="s">
        <v>1039</v>
      </c>
      <c r="R504" s="15" t="s">
        <v>835</v>
      </c>
      <c r="S504" s="15" t="s">
        <v>348</v>
      </c>
      <c r="T504" s="15" t="s">
        <v>457</v>
      </c>
      <c r="AC504" s="32" t="s">
        <v>885</v>
      </c>
      <c r="AD504" s="33" t="str">
        <f t="shared" si="105"/>
        <v>289178025</v>
      </c>
      <c r="AE504" s="21" t="str">
        <f t="shared" si="99"/>
        <v>BR_VW_AFS_dv360_DIS_PROG_CPM_STD_LDR_AAF_RON_CXD_After-Sales-Oficina-Classicos-REG07-3rdparty_PD_160x600</v>
      </c>
      <c r="AF504" s="21" t="str">
        <f t="shared" si="100"/>
        <v>BR_VW_AFS_dv360_DIS_PROG_CPM_STD_LDR_AAF_RON_CXD_After-Sales-Oficina-Classicos-REG07-3rdparty_PD_160x600</v>
      </c>
      <c r="AG504" s="21" t="str">
        <f t="shared" si="101"/>
        <v>VW_After-Sales-3rdparty_160x600_After-Sales-Oficina-Classicos-REG07-adserver</v>
      </c>
      <c r="AH504" s="21" t="str">
        <f t="shared" si="102"/>
        <v>https://www.oficinadeclassicos.com.br/index.aspx?utm_source=dv360&amp;utm_medium=Programmatic&amp;utm_content=BR_VW_AFS_dv360_DIS_PROG_CPM_STD_LDR_AAF_RON_CXD_After-Sales-Oficina-Classicos-REG07-3rdparty_PD_160x600&amp;utm_campaign=BR_AAF_DSY_NONMS_ND_AS_2019Q2APR_AFS_After-Sales&amp;utm_term=%epid!_%ecid!_%eaid!</v>
      </c>
      <c r="AI504" s="21" t="str">
        <f t="shared" si="103"/>
        <v>TAG</v>
      </c>
      <c r="AJ504" s="15" t="str">
        <f t="shared" si="97"/>
        <v>dv360</v>
      </c>
      <c r="AK504" s="15" t="str">
        <f t="shared" si="98"/>
        <v>Programmatic</v>
      </c>
      <c r="AL504" s="21" t="str">
        <f>Campanha!$B$3</f>
        <v>BR_AAF_DSY_NONMS_ND_AS_2019Q2APR_AFS_After-Sales</v>
      </c>
      <c r="AM504" s="21" t="str">
        <f t="shared" si="104"/>
        <v>BR_VW_AFS_dv360_DIS_PROG_CPM_STD_LDR_AAF_RON_CXD_After-Sales-Oficina-Classicos-REG07-3rdparty_PD_160x600</v>
      </c>
      <c r="AN504" s="15" t="s">
        <v>809</v>
      </c>
    </row>
    <row r="505" spans="2:40" hidden="1" x14ac:dyDescent="0.25">
      <c r="B505" s="15" t="s">
        <v>933</v>
      </c>
      <c r="C505" s="15" t="s">
        <v>1171</v>
      </c>
      <c r="D505" s="30" t="s">
        <v>873</v>
      </c>
      <c r="E505" s="22">
        <v>44155</v>
      </c>
      <c r="F505" s="22">
        <v>44196</v>
      </c>
      <c r="G505" s="15" t="s">
        <v>674</v>
      </c>
      <c r="H505" s="15" t="s">
        <v>811</v>
      </c>
      <c r="I505" s="15" t="s">
        <v>702</v>
      </c>
      <c r="J505" s="15" t="s">
        <v>325</v>
      </c>
      <c r="K505" s="15" t="s">
        <v>334</v>
      </c>
      <c r="L505" s="15" t="s">
        <v>358</v>
      </c>
      <c r="M505" s="15" t="s">
        <v>322</v>
      </c>
      <c r="N505" s="15" t="s">
        <v>708</v>
      </c>
      <c r="O505" s="15" t="s">
        <v>694</v>
      </c>
      <c r="P505" s="15" t="s">
        <v>1046</v>
      </c>
      <c r="Q505" s="15" t="s">
        <v>1039</v>
      </c>
      <c r="R505" s="15" t="s">
        <v>835</v>
      </c>
      <c r="S505" s="15" t="s">
        <v>348</v>
      </c>
      <c r="T505" s="15" t="s">
        <v>484</v>
      </c>
      <c r="AC505" s="32" t="s">
        <v>885</v>
      </c>
      <c r="AD505" s="33" t="str">
        <f t="shared" si="105"/>
        <v>289178022</v>
      </c>
      <c r="AE505" s="21" t="str">
        <f t="shared" si="99"/>
        <v>BR_VW_AFS_dv360_DIS_PROG_CPM_STD_LDR_AAF_RON_CXD_After-Sales-Oficina-Classicos-REG07-3rdparty_PD_300x50</v>
      </c>
      <c r="AF505" s="21" t="str">
        <f t="shared" si="100"/>
        <v>BR_VW_AFS_dv360_DIS_PROG_CPM_STD_LDR_AAF_RON_CXD_After-Sales-Oficina-Classicos-REG07-3rdparty_PD_300x50</v>
      </c>
      <c r="AG505" s="21" t="str">
        <f t="shared" si="101"/>
        <v>VW_After-Sales-3rdparty_300x50_After-Sales-Oficina-Classicos-REG07-adserver</v>
      </c>
      <c r="AH505" s="21" t="str">
        <f t="shared" si="102"/>
        <v>https://www.oficinadeclassicos.com.br/index.aspx?utm_source=dv360&amp;utm_medium=Programmatic&amp;utm_content=BR_VW_AFS_dv360_DIS_PROG_CPM_STD_LDR_AAF_RON_CXD_After-Sales-Oficina-Classicos-REG07-3rdparty_PD_300x50&amp;utm_campaign=BR_AAF_DSY_NONMS_ND_AS_2019Q2APR_AFS_After-Sales&amp;utm_term=%epid!_%ecid!_%eaid!</v>
      </c>
      <c r="AI505" s="21" t="str">
        <f t="shared" si="103"/>
        <v>TAG</v>
      </c>
      <c r="AJ505" s="15" t="str">
        <f t="shared" si="97"/>
        <v>dv360</v>
      </c>
      <c r="AK505" s="15" t="str">
        <f t="shared" si="98"/>
        <v>Programmatic</v>
      </c>
      <c r="AL505" s="21" t="str">
        <f>Campanha!$B$3</f>
        <v>BR_AAF_DSY_NONMS_ND_AS_2019Q2APR_AFS_After-Sales</v>
      </c>
      <c r="AM505" s="21" t="str">
        <f t="shared" si="104"/>
        <v>BR_VW_AFS_dv360_DIS_PROG_CPM_STD_LDR_AAF_RON_CXD_After-Sales-Oficina-Classicos-REG07-3rdparty_PD_300x50</v>
      </c>
      <c r="AN505" s="15" t="s">
        <v>809</v>
      </c>
    </row>
    <row r="506" spans="2:40" hidden="1" x14ac:dyDescent="0.25">
      <c r="B506" s="15" t="s">
        <v>933</v>
      </c>
      <c r="C506" s="15" t="s">
        <v>1171</v>
      </c>
      <c r="D506" s="30" t="s">
        <v>873</v>
      </c>
      <c r="E506" s="22">
        <v>44155</v>
      </c>
      <c r="F506" s="22">
        <v>44196</v>
      </c>
      <c r="G506" s="15" t="s">
        <v>674</v>
      </c>
      <c r="H506" s="15" t="s">
        <v>811</v>
      </c>
      <c r="I506" s="15" t="s">
        <v>702</v>
      </c>
      <c r="J506" s="15" t="s">
        <v>325</v>
      </c>
      <c r="K506" s="15" t="s">
        <v>334</v>
      </c>
      <c r="L506" s="15" t="s">
        <v>358</v>
      </c>
      <c r="M506" s="15" t="s">
        <v>322</v>
      </c>
      <c r="N506" s="15" t="s">
        <v>708</v>
      </c>
      <c r="O506" s="15" t="s">
        <v>694</v>
      </c>
      <c r="P506" s="15" t="s">
        <v>1046</v>
      </c>
      <c r="Q506" s="15" t="s">
        <v>1039</v>
      </c>
      <c r="R506" s="15" t="s">
        <v>835</v>
      </c>
      <c r="S506" s="15" t="s">
        <v>348</v>
      </c>
      <c r="T506" s="15" t="s">
        <v>478</v>
      </c>
      <c r="AC506" s="32" t="s">
        <v>885</v>
      </c>
      <c r="AD506" s="33" t="str">
        <f t="shared" si="105"/>
        <v>289178019</v>
      </c>
      <c r="AE506" s="21" t="str">
        <f t="shared" si="99"/>
        <v>BR_VW_AFS_dv360_DIS_PROG_CPM_STD_LDR_AAF_RON_CXD_After-Sales-Oficina-Classicos-REG07-3rdparty_PD_300x250</v>
      </c>
      <c r="AF506" s="21" t="str">
        <f t="shared" si="100"/>
        <v>BR_VW_AFS_dv360_DIS_PROG_CPM_STD_LDR_AAF_RON_CXD_After-Sales-Oficina-Classicos-REG07-3rdparty_PD_300x250</v>
      </c>
      <c r="AG506" s="21" t="str">
        <f t="shared" si="101"/>
        <v>VW_After-Sales-3rdparty_300x250_After-Sales-Oficina-Classicos-REG07-adserver</v>
      </c>
      <c r="AH506" s="21" t="str">
        <f t="shared" si="102"/>
        <v>https://www.oficinadeclassicos.com.br/index.aspx?utm_source=dv360&amp;utm_medium=Programmatic&amp;utm_content=BR_VW_AFS_dv360_DIS_PROG_CPM_STD_LDR_AAF_RON_CXD_After-Sales-Oficina-Classicos-REG07-3rdparty_PD_300x250&amp;utm_campaign=BR_AAF_DSY_NONMS_ND_AS_2019Q2APR_AFS_After-Sales&amp;utm_term=%epid!_%ecid!_%eaid!</v>
      </c>
      <c r="AI506" s="21" t="str">
        <f t="shared" si="103"/>
        <v>TAG</v>
      </c>
      <c r="AJ506" s="15" t="str">
        <f t="shared" si="97"/>
        <v>dv360</v>
      </c>
      <c r="AK506" s="15" t="str">
        <f t="shared" si="98"/>
        <v>Programmatic</v>
      </c>
      <c r="AL506" s="21" t="str">
        <f>Campanha!$B$3</f>
        <v>BR_AAF_DSY_NONMS_ND_AS_2019Q2APR_AFS_After-Sales</v>
      </c>
      <c r="AM506" s="21" t="str">
        <f t="shared" si="104"/>
        <v>BR_VW_AFS_dv360_DIS_PROG_CPM_STD_LDR_AAF_RON_CXD_After-Sales-Oficina-Classicos-REG07-3rdparty_PD_300x250</v>
      </c>
      <c r="AN506" s="15" t="s">
        <v>809</v>
      </c>
    </row>
    <row r="507" spans="2:40" hidden="1" x14ac:dyDescent="0.25">
      <c r="B507" s="15" t="s">
        <v>933</v>
      </c>
      <c r="C507" s="15" t="s">
        <v>1172</v>
      </c>
      <c r="D507" s="30" t="s">
        <v>873</v>
      </c>
      <c r="E507" s="22">
        <v>44155</v>
      </c>
      <c r="F507" s="22">
        <v>44196</v>
      </c>
      <c r="G507" s="15" t="s">
        <v>674</v>
      </c>
      <c r="H507" s="15" t="s">
        <v>811</v>
      </c>
      <c r="I507" s="15" t="s">
        <v>702</v>
      </c>
      <c r="J507" s="15" t="s">
        <v>325</v>
      </c>
      <c r="K507" s="15" t="s">
        <v>334</v>
      </c>
      <c r="L507" s="15" t="s">
        <v>358</v>
      </c>
      <c r="M507" s="15" t="s">
        <v>322</v>
      </c>
      <c r="N507" s="15" t="s">
        <v>708</v>
      </c>
      <c r="O507" s="15" t="s">
        <v>694</v>
      </c>
      <c r="P507" s="15" t="s">
        <v>1046</v>
      </c>
      <c r="Q507" s="15" t="s">
        <v>1039</v>
      </c>
      <c r="R507" s="15" t="s">
        <v>835</v>
      </c>
      <c r="S507" s="15" t="s">
        <v>348</v>
      </c>
      <c r="T507" s="15" t="s">
        <v>614</v>
      </c>
      <c r="AC507" s="32" t="s">
        <v>885</v>
      </c>
      <c r="AD507" s="33" t="str">
        <f t="shared" si="105"/>
        <v>289239864</v>
      </c>
      <c r="AE507" s="21" t="str">
        <f t="shared" si="99"/>
        <v>BR_VW_AFS_dv360_DIS_PROG_CPM_STD_LDR_AAF_RON_CXD_After-Sales-Oficina-Classicos-REG07-3rdparty_PD_728x90</v>
      </c>
      <c r="AF507" s="21" t="str">
        <f t="shared" si="100"/>
        <v>BR_VW_AFS_dv360_DIS_PROG_CPM_STD_LDR_AAF_RON_CXD_After-Sales-Oficina-Classicos-REG07-3rdparty_PD_728x90</v>
      </c>
      <c r="AG507" s="21" t="str">
        <f t="shared" si="101"/>
        <v>VW_After-Sales-3rdparty_728x90_After-Sales-Oficina-Classicos-REG07-adserver</v>
      </c>
      <c r="AH507" s="21" t="str">
        <f t="shared" si="102"/>
        <v>https://www.oficinadeclassicos.com.br/index.aspx?utm_source=dv360&amp;utm_medium=Programmatic&amp;utm_content=BR_VW_AFS_dv360_DIS_PROG_CPM_STD_LDR_AAF_RON_CXD_After-Sales-Oficina-Classicos-REG07-3rdparty_PD_728x90&amp;utm_campaign=BR_AAF_DSY_NONMS_ND_AS_2019Q2APR_AFS_After-Sales&amp;utm_term=%epid!_%ecid!_%eaid!</v>
      </c>
      <c r="AI507" s="21" t="str">
        <f t="shared" si="103"/>
        <v>TAG</v>
      </c>
      <c r="AJ507" s="15" t="str">
        <f t="shared" si="97"/>
        <v>dv360</v>
      </c>
      <c r="AK507" s="15" t="str">
        <f t="shared" si="98"/>
        <v>Programmatic</v>
      </c>
      <c r="AL507" s="21" t="str">
        <f>Campanha!$B$3</f>
        <v>BR_AAF_DSY_NONMS_ND_AS_2019Q2APR_AFS_After-Sales</v>
      </c>
      <c r="AM507" s="21" t="str">
        <f t="shared" si="104"/>
        <v>BR_VW_AFS_dv360_DIS_PROG_CPM_STD_LDR_AAF_RON_CXD_After-Sales-Oficina-Classicos-REG07-3rdparty_PD_728x90</v>
      </c>
      <c r="AN507" s="15" t="s">
        <v>809</v>
      </c>
    </row>
    <row r="508" spans="2:40" hidden="1" x14ac:dyDescent="0.25">
      <c r="B508" s="15" t="s">
        <v>933</v>
      </c>
      <c r="C508" s="15" t="s">
        <v>1171</v>
      </c>
      <c r="D508" s="30" t="s">
        <v>873</v>
      </c>
      <c r="E508" s="22">
        <v>44155</v>
      </c>
      <c r="F508" s="22">
        <v>44196</v>
      </c>
      <c r="G508" s="15" t="s">
        <v>674</v>
      </c>
      <c r="H508" s="15" t="s">
        <v>811</v>
      </c>
      <c r="I508" s="15" t="s">
        <v>702</v>
      </c>
      <c r="J508" s="15" t="s">
        <v>325</v>
      </c>
      <c r="K508" s="15" t="s">
        <v>334</v>
      </c>
      <c r="L508" s="15" t="s">
        <v>358</v>
      </c>
      <c r="M508" s="15" t="s">
        <v>322</v>
      </c>
      <c r="N508" s="15" t="s">
        <v>708</v>
      </c>
      <c r="O508" s="15" t="s">
        <v>694</v>
      </c>
      <c r="P508" s="15" t="s">
        <v>1046</v>
      </c>
      <c r="Q508" s="15" t="s">
        <v>1039</v>
      </c>
      <c r="R508" s="15" t="s">
        <v>835</v>
      </c>
      <c r="S508" s="15" t="s">
        <v>348</v>
      </c>
      <c r="T508" s="15" t="s">
        <v>652</v>
      </c>
      <c r="AC508" s="32" t="s">
        <v>885</v>
      </c>
      <c r="AD508" s="33" t="str">
        <f t="shared" si="105"/>
        <v>289178016</v>
      </c>
      <c r="AE508" s="21" t="str">
        <f t="shared" si="99"/>
        <v>BR_VW_AFS_dv360_DIS_PROG_CPM_STD_LDR_AAF_RON_CXD_After-Sales-Oficina-Classicos-REG07-3rdparty_PD_970x250</v>
      </c>
      <c r="AF508" s="21" t="str">
        <f t="shared" si="100"/>
        <v>BR_VW_AFS_dv360_DIS_PROG_CPM_STD_LDR_AAF_RON_CXD_After-Sales-Oficina-Classicos-REG07-3rdparty_PD_970x250</v>
      </c>
      <c r="AG508" s="21" t="str">
        <f t="shared" si="101"/>
        <v>VW_After-Sales-3rdparty_970x250_After-Sales-Oficina-Classicos-REG07-adserver</v>
      </c>
      <c r="AH508" s="21" t="str">
        <f t="shared" si="102"/>
        <v>https://www.oficinadeclassicos.com.br/index.aspx?utm_source=dv360&amp;utm_medium=Programmatic&amp;utm_content=BR_VW_AFS_dv360_DIS_PROG_CPM_STD_LDR_AAF_RON_CXD_After-Sales-Oficina-Classicos-REG07-3rdparty_PD_970x250&amp;utm_campaign=BR_AAF_DSY_NONMS_ND_AS_2019Q2APR_AFS_After-Sales&amp;utm_term=%epid!_%ecid!_%eaid!</v>
      </c>
      <c r="AI508" s="21" t="str">
        <f t="shared" si="103"/>
        <v>TAG</v>
      </c>
      <c r="AJ508" s="15" t="str">
        <f t="shared" si="97"/>
        <v>dv360</v>
      </c>
      <c r="AK508" s="15" t="str">
        <f t="shared" si="98"/>
        <v>Programmatic</v>
      </c>
      <c r="AL508" s="21" t="str">
        <f>Campanha!$B$3</f>
        <v>BR_AAF_DSY_NONMS_ND_AS_2019Q2APR_AFS_After-Sales</v>
      </c>
      <c r="AM508" s="21" t="str">
        <f t="shared" si="104"/>
        <v>BR_VW_AFS_dv360_DIS_PROG_CPM_STD_LDR_AAF_RON_CXD_After-Sales-Oficina-Classicos-REG07-3rdparty_PD_970x250</v>
      </c>
      <c r="AN508" s="15" t="s">
        <v>809</v>
      </c>
    </row>
    <row r="509" spans="2:40" hidden="1" x14ac:dyDescent="0.25">
      <c r="B509" s="15" t="s">
        <v>872</v>
      </c>
      <c r="C509" s="15"/>
      <c r="D509" s="30" t="s">
        <v>873</v>
      </c>
      <c r="E509" s="22">
        <v>44155</v>
      </c>
      <c r="F509" s="22">
        <v>44196</v>
      </c>
      <c r="G509" s="15" t="s">
        <v>674</v>
      </c>
      <c r="H509" s="15" t="s">
        <v>811</v>
      </c>
      <c r="I509" s="15" t="s">
        <v>702</v>
      </c>
      <c r="J509" s="15" t="s">
        <v>325</v>
      </c>
      <c r="K509" s="15" t="s">
        <v>334</v>
      </c>
      <c r="L509" s="15" t="s">
        <v>358</v>
      </c>
      <c r="M509" s="15" t="s">
        <v>322</v>
      </c>
      <c r="N509" s="15" t="s">
        <v>708</v>
      </c>
      <c r="O509" s="15" t="s">
        <v>694</v>
      </c>
      <c r="P509" s="15" t="s">
        <v>1046</v>
      </c>
      <c r="Q509" s="15" t="s">
        <v>889</v>
      </c>
      <c r="R509" s="15" t="s">
        <v>835</v>
      </c>
      <c r="S509" s="15" t="s">
        <v>348</v>
      </c>
      <c r="T509" s="15" t="s">
        <v>457</v>
      </c>
      <c r="AC509" s="32" t="s">
        <v>885</v>
      </c>
      <c r="AD509" s="33" t="e">
        <f t="shared" si="105"/>
        <v>#N/A</v>
      </c>
      <c r="AE509" s="21" t="str">
        <f t="shared" si="99"/>
        <v>BR_VW_AFS_dv360_DIS_PROG_CPM_STD_LDR_AAF_RON_CXD_After-Sales-Oficina-Classicos-REG07-lal-lead-ofertas_PD_160x600</v>
      </c>
      <c r="AF509" s="21" t="str">
        <f t="shared" si="100"/>
        <v>BR_VW_AFS_dv360_DIS_PROG_CPM_STD_LDR_AAF_RON_CXD_After-Sales-Oficina-Classicos-REG07-lal-lead-ofertas_PD_160x600</v>
      </c>
      <c r="AG509" s="21" t="str">
        <f t="shared" si="101"/>
        <v>VW_After-Sales-lal-lead-ofertas_160x600_After-Sales-Oficina-Classicos-REG07-adserver</v>
      </c>
      <c r="AH509" s="21" t="str">
        <f t="shared" si="102"/>
        <v>https://www.oficinadeclassicos.com.br/index.aspx?utm_source=dv360&amp;utm_medium=Programmatic&amp;utm_content=BR_VW_AFS_dv360_DIS_PROG_CPM_STD_LDR_AAF_RON_CXD_After-Sales-Oficina-Classicos-REG07-lal-lead-ofertas_PD_160x600&amp;utm_campaign=BR_AAF_DSY_NONMS_ND_AS_2019Q2APR_AFS_After-Sales&amp;utm_term=%epid!_%ecid!_%eaid!</v>
      </c>
      <c r="AI509" s="21" t="str">
        <f t="shared" si="103"/>
        <v>TAG</v>
      </c>
      <c r="AJ509" s="15" t="str">
        <f t="shared" si="97"/>
        <v>dv360</v>
      </c>
      <c r="AK509" s="15" t="str">
        <f t="shared" si="98"/>
        <v>Programmatic</v>
      </c>
      <c r="AL509" s="21" t="str">
        <f>Campanha!$B$3</f>
        <v>BR_AAF_DSY_NONMS_ND_AS_2019Q2APR_AFS_After-Sales</v>
      </c>
      <c r="AM509" s="21" t="str">
        <f t="shared" si="104"/>
        <v>BR_VW_AFS_dv360_DIS_PROG_CPM_STD_LDR_AAF_RON_CXD_After-Sales-Oficina-Classicos-REG07-lal-lead-ofertas_PD_160x600</v>
      </c>
      <c r="AN509" s="15" t="s">
        <v>809</v>
      </c>
    </row>
    <row r="510" spans="2:40" hidden="1" x14ac:dyDescent="0.25">
      <c r="B510" s="15" t="s">
        <v>872</v>
      </c>
      <c r="C510" s="15"/>
      <c r="D510" s="30" t="s">
        <v>873</v>
      </c>
      <c r="E510" s="22">
        <v>44155</v>
      </c>
      <c r="F510" s="22">
        <v>44196</v>
      </c>
      <c r="G510" s="15" t="s">
        <v>674</v>
      </c>
      <c r="H510" s="15" t="s">
        <v>811</v>
      </c>
      <c r="I510" s="15" t="s">
        <v>702</v>
      </c>
      <c r="J510" s="15" t="s">
        <v>325</v>
      </c>
      <c r="K510" s="15" t="s">
        <v>334</v>
      </c>
      <c r="L510" s="15" t="s">
        <v>358</v>
      </c>
      <c r="M510" s="15" t="s">
        <v>322</v>
      </c>
      <c r="N510" s="15" t="s">
        <v>708</v>
      </c>
      <c r="O510" s="15" t="s">
        <v>694</v>
      </c>
      <c r="P510" s="15" t="s">
        <v>1046</v>
      </c>
      <c r="Q510" s="15" t="s">
        <v>889</v>
      </c>
      <c r="R510" s="15" t="s">
        <v>835</v>
      </c>
      <c r="S510" s="15" t="s">
        <v>348</v>
      </c>
      <c r="T510" s="15" t="s">
        <v>484</v>
      </c>
      <c r="AC510" s="32" t="s">
        <v>885</v>
      </c>
      <c r="AD510" s="33" t="e">
        <f t="shared" si="105"/>
        <v>#N/A</v>
      </c>
      <c r="AE510" s="21" t="str">
        <f t="shared" si="99"/>
        <v>BR_VW_AFS_dv360_DIS_PROG_CPM_STD_LDR_AAF_RON_CXD_After-Sales-Oficina-Classicos-REG07-lal-lead-ofertas_PD_300x50</v>
      </c>
      <c r="AF510" s="21" t="str">
        <f t="shared" si="100"/>
        <v>BR_VW_AFS_dv360_DIS_PROG_CPM_STD_LDR_AAF_RON_CXD_After-Sales-Oficina-Classicos-REG07-lal-lead-ofertas_PD_300x50</v>
      </c>
      <c r="AG510" s="21" t="str">
        <f t="shared" si="101"/>
        <v>VW_After-Sales-lal-lead-ofertas_300x50_After-Sales-Oficina-Classicos-REG07-adserver</v>
      </c>
      <c r="AH510" s="21" t="str">
        <f t="shared" si="102"/>
        <v>https://www.oficinadeclassicos.com.br/index.aspx?utm_source=dv360&amp;utm_medium=Programmatic&amp;utm_content=BR_VW_AFS_dv360_DIS_PROG_CPM_STD_LDR_AAF_RON_CXD_After-Sales-Oficina-Classicos-REG07-lal-lead-ofertas_PD_300x50&amp;utm_campaign=BR_AAF_DSY_NONMS_ND_AS_2019Q2APR_AFS_After-Sales&amp;utm_term=%epid!_%ecid!_%eaid!</v>
      </c>
      <c r="AI510" s="21" t="str">
        <f t="shared" si="103"/>
        <v>TAG</v>
      </c>
      <c r="AJ510" s="15" t="str">
        <f t="shared" ref="AJ510:AJ557" si="106">H510</f>
        <v>dv360</v>
      </c>
      <c r="AK510" s="15" t="str">
        <f t="shared" ref="AK510:AK557" si="107">J510</f>
        <v>Programmatic</v>
      </c>
      <c r="AL510" s="21" t="str">
        <f>Campanha!$B$3</f>
        <v>BR_AAF_DSY_NONMS_ND_AS_2019Q2APR_AFS_After-Sales</v>
      </c>
      <c r="AM510" s="21" t="str">
        <f t="shared" si="104"/>
        <v>BR_VW_AFS_dv360_DIS_PROG_CPM_STD_LDR_AAF_RON_CXD_After-Sales-Oficina-Classicos-REG07-lal-lead-ofertas_PD_300x50</v>
      </c>
      <c r="AN510" s="15" t="s">
        <v>809</v>
      </c>
    </row>
    <row r="511" spans="2:40" hidden="1" x14ac:dyDescent="0.25">
      <c r="B511" s="15" t="s">
        <v>872</v>
      </c>
      <c r="C511" s="15"/>
      <c r="D511" s="30" t="s">
        <v>873</v>
      </c>
      <c r="E511" s="22">
        <v>44155</v>
      </c>
      <c r="F511" s="22">
        <v>44196</v>
      </c>
      <c r="G511" s="15" t="s">
        <v>674</v>
      </c>
      <c r="H511" s="15" t="s">
        <v>811</v>
      </c>
      <c r="I511" s="15" t="s">
        <v>702</v>
      </c>
      <c r="J511" s="15" t="s">
        <v>325</v>
      </c>
      <c r="K511" s="15" t="s">
        <v>334</v>
      </c>
      <c r="L511" s="15" t="s">
        <v>358</v>
      </c>
      <c r="M511" s="15" t="s">
        <v>322</v>
      </c>
      <c r="N511" s="15" t="s">
        <v>708</v>
      </c>
      <c r="O511" s="15" t="s">
        <v>694</v>
      </c>
      <c r="P511" s="15" t="s">
        <v>1046</v>
      </c>
      <c r="Q511" s="15" t="s">
        <v>889</v>
      </c>
      <c r="R511" s="15" t="s">
        <v>835</v>
      </c>
      <c r="S511" s="15" t="s">
        <v>348</v>
      </c>
      <c r="T511" s="15" t="s">
        <v>478</v>
      </c>
      <c r="AC511" s="32" t="s">
        <v>885</v>
      </c>
      <c r="AD511" s="33" t="e">
        <f t="shared" si="105"/>
        <v>#N/A</v>
      </c>
      <c r="AE511" s="21" t="str">
        <f t="shared" si="99"/>
        <v>BR_VW_AFS_dv360_DIS_PROG_CPM_STD_LDR_AAF_RON_CXD_After-Sales-Oficina-Classicos-REG07-lal-lead-ofertas_PD_300x250</v>
      </c>
      <c r="AF511" s="21" t="str">
        <f t="shared" si="100"/>
        <v>BR_VW_AFS_dv360_DIS_PROG_CPM_STD_LDR_AAF_RON_CXD_After-Sales-Oficina-Classicos-REG07-lal-lead-ofertas_PD_300x250</v>
      </c>
      <c r="AG511" s="21" t="str">
        <f t="shared" si="101"/>
        <v>VW_After-Sales-lal-lead-ofertas_300x250_After-Sales-Oficina-Classicos-REG07-adserver</v>
      </c>
      <c r="AH511" s="21" t="str">
        <f t="shared" si="102"/>
        <v>https://www.oficinadeclassicos.com.br/index.aspx?utm_source=dv360&amp;utm_medium=Programmatic&amp;utm_content=BR_VW_AFS_dv360_DIS_PROG_CPM_STD_LDR_AAF_RON_CXD_After-Sales-Oficina-Classicos-REG07-lal-lead-ofertas_PD_300x250&amp;utm_campaign=BR_AAF_DSY_NONMS_ND_AS_2019Q2APR_AFS_After-Sales&amp;utm_term=%epid!_%ecid!_%eaid!</v>
      </c>
      <c r="AI511" s="21" t="str">
        <f t="shared" si="103"/>
        <v>TAG</v>
      </c>
      <c r="AJ511" s="15" t="str">
        <f t="shared" si="106"/>
        <v>dv360</v>
      </c>
      <c r="AK511" s="15" t="str">
        <f t="shared" si="107"/>
        <v>Programmatic</v>
      </c>
      <c r="AL511" s="21" t="str">
        <f>Campanha!$B$3</f>
        <v>BR_AAF_DSY_NONMS_ND_AS_2019Q2APR_AFS_After-Sales</v>
      </c>
      <c r="AM511" s="21" t="str">
        <f t="shared" si="104"/>
        <v>BR_VW_AFS_dv360_DIS_PROG_CPM_STD_LDR_AAF_RON_CXD_After-Sales-Oficina-Classicos-REG07-lal-lead-ofertas_PD_300x250</v>
      </c>
      <c r="AN511" s="15" t="s">
        <v>809</v>
      </c>
    </row>
    <row r="512" spans="2:40" hidden="1" x14ac:dyDescent="0.25">
      <c r="B512" s="15" t="s">
        <v>872</v>
      </c>
      <c r="C512" s="15"/>
      <c r="D512" s="30" t="s">
        <v>873</v>
      </c>
      <c r="E512" s="22">
        <v>44155</v>
      </c>
      <c r="F512" s="22">
        <v>44196</v>
      </c>
      <c r="G512" s="15" t="s">
        <v>674</v>
      </c>
      <c r="H512" s="15" t="s">
        <v>811</v>
      </c>
      <c r="I512" s="15" t="s">
        <v>702</v>
      </c>
      <c r="J512" s="15" t="s">
        <v>325</v>
      </c>
      <c r="K512" s="15" t="s">
        <v>334</v>
      </c>
      <c r="L512" s="15" t="s">
        <v>358</v>
      </c>
      <c r="M512" s="15" t="s">
        <v>322</v>
      </c>
      <c r="N512" s="15" t="s">
        <v>708</v>
      </c>
      <c r="O512" s="15" t="s">
        <v>694</v>
      </c>
      <c r="P512" s="15" t="s">
        <v>1046</v>
      </c>
      <c r="Q512" s="15" t="s">
        <v>889</v>
      </c>
      <c r="R512" s="15" t="s">
        <v>835</v>
      </c>
      <c r="S512" s="15" t="s">
        <v>348</v>
      </c>
      <c r="T512" s="15" t="s">
        <v>614</v>
      </c>
      <c r="AC512" s="32" t="s">
        <v>885</v>
      </c>
      <c r="AD512" s="33" t="e">
        <f t="shared" si="105"/>
        <v>#N/A</v>
      </c>
      <c r="AE512" s="21" t="str">
        <f t="shared" si="99"/>
        <v>BR_VW_AFS_dv360_DIS_PROG_CPM_STD_LDR_AAF_RON_CXD_After-Sales-Oficina-Classicos-REG07-lal-lead-ofertas_PD_728x90</v>
      </c>
      <c r="AF512" s="21" t="str">
        <f t="shared" si="100"/>
        <v>BR_VW_AFS_dv360_DIS_PROG_CPM_STD_LDR_AAF_RON_CXD_After-Sales-Oficina-Classicos-REG07-lal-lead-ofertas_PD_728x90</v>
      </c>
      <c r="AG512" s="21" t="str">
        <f t="shared" si="101"/>
        <v>VW_After-Sales-lal-lead-ofertas_728x90_After-Sales-Oficina-Classicos-REG07-adserver</v>
      </c>
      <c r="AH512" s="21" t="str">
        <f t="shared" si="102"/>
        <v>https://www.oficinadeclassicos.com.br/index.aspx?utm_source=dv360&amp;utm_medium=Programmatic&amp;utm_content=BR_VW_AFS_dv360_DIS_PROG_CPM_STD_LDR_AAF_RON_CXD_After-Sales-Oficina-Classicos-REG07-lal-lead-ofertas_PD_728x90&amp;utm_campaign=BR_AAF_DSY_NONMS_ND_AS_2019Q2APR_AFS_After-Sales&amp;utm_term=%epid!_%ecid!_%eaid!</v>
      </c>
      <c r="AI512" s="21" t="str">
        <f t="shared" si="103"/>
        <v>TAG</v>
      </c>
      <c r="AJ512" s="15" t="str">
        <f t="shared" si="106"/>
        <v>dv360</v>
      </c>
      <c r="AK512" s="15" t="str">
        <f t="shared" si="107"/>
        <v>Programmatic</v>
      </c>
      <c r="AL512" s="21" t="str">
        <f>Campanha!$B$3</f>
        <v>BR_AAF_DSY_NONMS_ND_AS_2019Q2APR_AFS_After-Sales</v>
      </c>
      <c r="AM512" s="21" t="str">
        <f t="shared" si="104"/>
        <v>BR_VW_AFS_dv360_DIS_PROG_CPM_STD_LDR_AAF_RON_CXD_After-Sales-Oficina-Classicos-REG07-lal-lead-ofertas_PD_728x90</v>
      </c>
      <c r="AN512" s="15" t="s">
        <v>809</v>
      </c>
    </row>
    <row r="513" spans="2:40" hidden="1" x14ac:dyDescent="0.25">
      <c r="B513" s="15" t="s">
        <v>872</v>
      </c>
      <c r="C513" s="15"/>
      <c r="D513" s="30" t="s">
        <v>873</v>
      </c>
      <c r="E513" s="22">
        <v>44155</v>
      </c>
      <c r="F513" s="22">
        <v>44196</v>
      </c>
      <c r="G513" s="15" t="s">
        <v>674</v>
      </c>
      <c r="H513" s="15" t="s">
        <v>811</v>
      </c>
      <c r="I513" s="15" t="s">
        <v>702</v>
      </c>
      <c r="J513" s="15" t="s">
        <v>325</v>
      </c>
      <c r="K513" s="15" t="s">
        <v>334</v>
      </c>
      <c r="L513" s="15" t="s">
        <v>358</v>
      </c>
      <c r="M513" s="15" t="s">
        <v>322</v>
      </c>
      <c r="N513" s="15" t="s">
        <v>708</v>
      </c>
      <c r="O513" s="15" t="s">
        <v>694</v>
      </c>
      <c r="P513" s="15" t="s">
        <v>1046</v>
      </c>
      <c r="Q513" s="15" t="s">
        <v>889</v>
      </c>
      <c r="R513" s="15" t="s">
        <v>835</v>
      </c>
      <c r="S513" s="15" t="s">
        <v>348</v>
      </c>
      <c r="T513" s="15" t="s">
        <v>652</v>
      </c>
      <c r="AC513" s="32" t="s">
        <v>885</v>
      </c>
      <c r="AD513" s="33" t="e">
        <f t="shared" si="105"/>
        <v>#N/A</v>
      </c>
      <c r="AE513" s="21" t="str">
        <f t="shared" si="99"/>
        <v>BR_VW_AFS_dv360_DIS_PROG_CPM_STD_LDR_AAF_RON_CXD_After-Sales-Oficina-Classicos-REG07-lal-lead-ofertas_PD_970x250</v>
      </c>
      <c r="AF513" s="21" t="str">
        <f t="shared" si="100"/>
        <v>BR_VW_AFS_dv360_DIS_PROG_CPM_STD_LDR_AAF_RON_CXD_After-Sales-Oficina-Classicos-REG07-lal-lead-ofertas_PD_970x250</v>
      </c>
      <c r="AG513" s="21" t="str">
        <f t="shared" si="101"/>
        <v>VW_After-Sales-lal-lead-ofertas_970x250_After-Sales-Oficina-Classicos-REG07-adserver</v>
      </c>
      <c r="AH513" s="21" t="str">
        <f t="shared" si="102"/>
        <v>https://www.oficinadeclassicos.com.br/index.aspx?utm_source=dv360&amp;utm_medium=Programmatic&amp;utm_content=BR_VW_AFS_dv360_DIS_PROG_CPM_STD_LDR_AAF_RON_CXD_After-Sales-Oficina-Classicos-REG07-lal-lead-ofertas_PD_970x250&amp;utm_campaign=BR_AAF_DSY_NONMS_ND_AS_2019Q2APR_AFS_After-Sales&amp;utm_term=%epid!_%ecid!_%eaid!</v>
      </c>
      <c r="AI513" s="21" t="str">
        <f t="shared" si="103"/>
        <v>TAG</v>
      </c>
      <c r="AJ513" s="15" t="str">
        <f t="shared" si="106"/>
        <v>dv360</v>
      </c>
      <c r="AK513" s="15" t="str">
        <f t="shared" si="107"/>
        <v>Programmatic</v>
      </c>
      <c r="AL513" s="21" t="str">
        <f>Campanha!$B$3</f>
        <v>BR_AAF_DSY_NONMS_ND_AS_2019Q2APR_AFS_After-Sales</v>
      </c>
      <c r="AM513" s="21" t="str">
        <f t="shared" si="104"/>
        <v>BR_VW_AFS_dv360_DIS_PROG_CPM_STD_LDR_AAF_RON_CXD_After-Sales-Oficina-Classicos-REG07-lal-lead-ofertas_PD_970x250</v>
      </c>
      <c r="AN513" s="15" t="s">
        <v>809</v>
      </c>
    </row>
    <row r="514" spans="2:40" hidden="1" x14ac:dyDescent="0.25">
      <c r="B514" s="15" t="s">
        <v>872</v>
      </c>
      <c r="C514" s="15"/>
      <c r="D514" s="30" t="s">
        <v>873</v>
      </c>
      <c r="E514" s="22">
        <v>44155</v>
      </c>
      <c r="F514" s="22">
        <v>44196</v>
      </c>
      <c r="G514" s="15" t="s">
        <v>674</v>
      </c>
      <c r="H514" s="15" t="s">
        <v>811</v>
      </c>
      <c r="I514" s="15" t="s">
        <v>702</v>
      </c>
      <c r="J514" s="15" t="s">
        <v>325</v>
      </c>
      <c r="K514" s="15" t="s">
        <v>334</v>
      </c>
      <c r="L514" s="15" t="s">
        <v>358</v>
      </c>
      <c r="M514" s="15" t="s">
        <v>322</v>
      </c>
      <c r="N514" s="15" t="s">
        <v>708</v>
      </c>
      <c r="O514" s="15" t="s">
        <v>694</v>
      </c>
      <c r="P514" s="15" t="s">
        <v>1046</v>
      </c>
      <c r="Q514" s="15" t="s">
        <v>876</v>
      </c>
      <c r="R514" s="15" t="s">
        <v>835</v>
      </c>
      <c r="S514" s="15" t="s">
        <v>348</v>
      </c>
      <c r="T514" s="15" t="s">
        <v>457</v>
      </c>
      <c r="AC514" s="32" t="s">
        <v>885</v>
      </c>
      <c r="AD514" s="33" t="e">
        <f t="shared" si="105"/>
        <v>#N/A</v>
      </c>
      <c r="AE514" s="21" t="str">
        <f t="shared" si="99"/>
        <v>BR_VW_AFS_dv360_DIS_PROG_CPM_STD_LDR_AAF_RON_CXD_After-Sales-Oficina-Classicos-REG07-lal-add-to-cart-ofertas_PD_160x600</v>
      </c>
      <c r="AF514" s="21" t="str">
        <f t="shared" si="100"/>
        <v>BR_VW_AFS_dv360_DIS_PROG_CPM_STD_LDR_AAF_RON_CXD_After-Sales-Oficina-Classicos-REG07-lal-add-to-cart-ofertas_PD_160x600</v>
      </c>
      <c r="AG514" s="21" t="str">
        <f t="shared" si="101"/>
        <v>VW_After-Sales-lal-add-to-cart-ofertas_160x600_After-Sales-Oficina-Classicos-REG07-adserver</v>
      </c>
      <c r="AH514" s="21" t="str">
        <f t="shared" si="102"/>
        <v>https://www.oficinadeclassicos.com.br/index.aspx?utm_source=dv360&amp;utm_medium=Programmatic&amp;utm_content=BR_VW_AFS_dv360_DIS_PROG_CPM_STD_LDR_AAF_RON_CXD_After-Sales-Oficina-Classicos-REG07-lal-add-to-cart-ofertas_PD_160x600&amp;utm_campaign=BR_AAF_DSY_NONMS_ND_AS_2019Q2APR_AFS_After-Sales&amp;utm_term=%epid!_%ecid!_%eaid!</v>
      </c>
      <c r="AI514" s="21" t="str">
        <f t="shared" si="103"/>
        <v>TAG</v>
      </c>
      <c r="AJ514" s="15" t="str">
        <f t="shared" si="106"/>
        <v>dv360</v>
      </c>
      <c r="AK514" s="15" t="str">
        <f t="shared" si="107"/>
        <v>Programmatic</v>
      </c>
      <c r="AL514" s="21" t="str">
        <f>Campanha!$B$3</f>
        <v>BR_AAF_DSY_NONMS_ND_AS_2019Q2APR_AFS_After-Sales</v>
      </c>
      <c r="AM514" s="21" t="str">
        <f t="shared" si="104"/>
        <v>BR_VW_AFS_dv360_DIS_PROG_CPM_STD_LDR_AAF_RON_CXD_After-Sales-Oficina-Classicos-REG07-lal-add-to-cart-ofertas_PD_160x600</v>
      </c>
      <c r="AN514" s="15" t="s">
        <v>809</v>
      </c>
    </row>
    <row r="515" spans="2:40" hidden="1" x14ac:dyDescent="0.25">
      <c r="B515" s="15" t="s">
        <v>872</v>
      </c>
      <c r="C515" s="15"/>
      <c r="D515" s="30" t="s">
        <v>873</v>
      </c>
      <c r="E515" s="22">
        <v>44155</v>
      </c>
      <c r="F515" s="22">
        <v>44196</v>
      </c>
      <c r="G515" s="15" t="s">
        <v>674</v>
      </c>
      <c r="H515" s="15" t="s">
        <v>811</v>
      </c>
      <c r="I515" s="15" t="s">
        <v>702</v>
      </c>
      <c r="J515" s="15" t="s">
        <v>325</v>
      </c>
      <c r="K515" s="15" t="s">
        <v>334</v>
      </c>
      <c r="L515" s="15" t="s">
        <v>358</v>
      </c>
      <c r="M515" s="15" t="s">
        <v>322</v>
      </c>
      <c r="N515" s="15" t="s">
        <v>708</v>
      </c>
      <c r="O515" s="15" t="s">
        <v>694</v>
      </c>
      <c r="P515" s="15" t="s">
        <v>1046</v>
      </c>
      <c r="Q515" s="15" t="s">
        <v>876</v>
      </c>
      <c r="R515" s="15" t="s">
        <v>835</v>
      </c>
      <c r="S515" s="15" t="s">
        <v>348</v>
      </c>
      <c r="T515" s="15" t="s">
        <v>484</v>
      </c>
      <c r="AC515" s="32" t="s">
        <v>885</v>
      </c>
      <c r="AD515" s="33" t="e">
        <f t="shared" si="105"/>
        <v>#N/A</v>
      </c>
      <c r="AE515" s="21" t="str">
        <f t="shared" si="99"/>
        <v>BR_VW_AFS_dv360_DIS_PROG_CPM_STD_LDR_AAF_RON_CXD_After-Sales-Oficina-Classicos-REG07-lal-add-to-cart-ofertas_PD_300x50</v>
      </c>
      <c r="AF515" s="21" t="str">
        <f t="shared" si="100"/>
        <v>BR_VW_AFS_dv360_DIS_PROG_CPM_STD_LDR_AAF_RON_CXD_After-Sales-Oficina-Classicos-REG07-lal-add-to-cart-ofertas_PD_300x50</v>
      </c>
      <c r="AG515" s="21" t="str">
        <f t="shared" si="101"/>
        <v>VW_After-Sales-lal-add-to-cart-ofertas_300x50_After-Sales-Oficina-Classicos-REG07-adserver</v>
      </c>
      <c r="AH515" s="21" t="str">
        <f t="shared" si="102"/>
        <v>https://www.oficinadeclassicos.com.br/index.aspx?utm_source=dv360&amp;utm_medium=Programmatic&amp;utm_content=BR_VW_AFS_dv360_DIS_PROG_CPM_STD_LDR_AAF_RON_CXD_After-Sales-Oficina-Classicos-REG07-lal-add-to-cart-ofertas_PD_300x50&amp;utm_campaign=BR_AAF_DSY_NONMS_ND_AS_2019Q2APR_AFS_After-Sales&amp;utm_term=%epid!_%ecid!_%eaid!</v>
      </c>
      <c r="AI515" s="21" t="str">
        <f t="shared" si="103"/>
        <v>TAG</v>
      </c>
      <c r="AJ515" s="15" t="str">
        <f t="shared" si="106"/>
        <v>dv360</v>
      </c>
      <c r="AK515" s="15" t="str">
        <f t="shared" si="107"/>
        <v>Programmatic</v>
      </c>
      <c r="AL515" s="21" t="str">
        <f>Campanha!$B$3</f>
        <v>BR_AAF_DSY_NONMS_ND_AS_2019Q2APR_AFS_After-Sales</v>
      </c>
      <c r="AM515" s="21" t="str">
        <f t="shared" si="104"/>
        <v>BR_VW_AFS_dv360_DIS_PROG_CPM_STD_LDR_AAF_RON_CXD_After-Sales-Oficina-Classicos-REG07-lal-add-to-cart-ofertas_PD_300x50</v>
      </c>
      <c r="AN515" s="15" t="s">
        <v>809</v>
      </c>
    </row>
    <row r="516" spans="2:40" hidden="1" x14ac:dyDescent="0.25">
      <c r="B516" s="15" t="s">
        <v>872</v>
      </c>
      <c r="C516" s="15"/>
      <c r="D516" s="30" t="s">
        <v>873</v>
      </c>
      <c r="E516" s="22">
        <v>44155</v>
      </c>
      <c r="F516" s="22">
        <v>44196</v>
      </c>
      <c r="G516" s="15" t="s">
        <v>674</v>
      </c>
      <c r="H516" s="15" t="s">
        <v>811</v>
      </c>
      <c r="I516" s="15" t="s">
        <v>702</v>
      </c>
      <c r="J516" s="15" t="s">
        <v>325</v>
      </c>
      <c r="K516" s="15" t="s">
        <v>334</v>
      </c>
      <c r="L516" s="15" t="s">
        <v>358</v>
      </c>
      <c r="M516" s="15" t="s">
        <v>322</v>
      </c>
      <c r="N516" s="15" t="s">
        <v>708</v>
      </c>
      <c r="O516" s="15" t="s">
        <v>694</v>
      </c>
      <c r="P516" s="15" t="s">
        <v>1046</v>
      </c>
      <c r="Q516" s="15" t="s">
        <v>876</v>
      </c>
      <c r="R516" s="15" t="s">
        <v>835</v>
      </c>
      <c r="S516" s="15" t="s">
        <v>348</v>
      </c>
      <c r="T516" s="15" t="s">
        <v>478</v>
      </c>
      <c r="AC516" s="32" t="s">
        <v>885</v>
      </c>
      <c r="AD516" s="33" t="e">
        <f t="shared" si="105"/>
        <v>#N/A</v>
      </c>
      <c r="AE516" s="21" t="str">
        <f t="shared" si="99"/>
        <v>BR_VW_AFS_dv360_DIS_PROG_CPM_STD_LDR_AAF_RON_CXD_After-Sales-Oficina-Classicos-REG07-lal-add-to-cart-ofertas_PD_300x250</v>
      </c>
      <c r="AF516" s="21" t="str">
        <f t="shared" si="100"/>
        <v>BR_VW_AFS_dv360_DIS_PROG_CPM_STD_LDR_AAF_RON_CXD_After-Sales-Oficina-Classicos-REG07-lal-add-to-cart-ofertas_PD_300x250</v>
      </c>
      <c r="AG516" s="21" t="str">
        <f t="shared" si="101"/>
        <v>VW_After-Sales-lal-add-to-cart-ofertas_300x250_After-Sales-Oficina-Classicos-REG07-adserver</v>
      </c>
      <c r="AH516" s="21" t="str">
        <f t="shared" si="102"/>
        <v>https://www.oficinadeclassicos.com.br/index.aspx?utm_source=dv360&amp;utm_medium=Programmatic&amp;utm_content=BR_VW_AFS_dv360_DIS_PROG_CPM_STD_LDR_AAF_RON_CXD_After-Sales-Oficina-Classicos-REG07-lal-add-to-cart-ofertas_PD_300x250&amp;utm_campaign=BR_AAF_DSY_NONMS_ND_AS_2019Q2APR_AFS_After-Sales&amp;utm_term=%epid!_%ecid!_%eaid!</v>
      </c>
      <c r="AI516" s="21" t="str">
        <f t="shared" si="103"/>
        <v>TAG</v>
      </c>
      <c r="AJ516" s="15" t="str">
        <f t="shared" si="106"/>
        <v>dv360</v>
      </c>
      <c r="AK516" s="15" t="str">
        <f t="shared" si="107"/>
        <v>Programmatic</v>
      </c>
      <c r="AL516" s="21" t="str">
        <f>Campanha!$B$3</f>
        <v>BR_AAF_DSY_NONMS_ND_AS_2019Q2APR_AFS_After-Sales</v>
      </c>
      <c r="AM516" s="21" t="str">
        <f t="shared" si="104"/>
        <v>BR_VW_AFS_dv360_DIS_PROG_CPM_STD_LDR_AAF_RON_CXD_After-Sales-Oficina-Classicos-REG07-lal-add-to-cart-ofertas_PD_300x250</v>
      </c>
      <c r="AN516" s="15" t="s">
        <v>809</v>
      </c>
    </row>
    <row r="517" spans="2:40" hidden="1" x14ac:dyDescent="0.25">
      <c r="B517" s="15" t="s">
        <v>872</v>
      </c>
      <c r="C517" s="15"/>
      <c r="D517" s="30" t="s">
        <v>873</v>
      </c>
      <c r="E517" s="22">
        <v>44155</v>
      </c>
      <c r="F517" s="22">
        <v>44196</v>
      </c>
      <c r="G517" s="15" t="s">
        <v>674</v>
      </c>
      <c r="H517" s="15" t="s">
        <v>811</v>
      </c>
      <c r="I517" s="15" t="s">
        <v>702</v>
      </c>
      <c r="J517" s="15" t="s">
        <v>325</v>
      </c>
      <c r="K517" s="15" t="s">
        <v>334</v>
      </c>
      <c r="L517" s="15" t="s">
        <v>358</v>
      </c>
      <c r="M517" s="15" t="s">
        <v>322</v>
      </c>
      <c r="N517" s="15" t="s">
        <v>708</v>
      </c>
      <c r="O517" s="15" t="s">
        <v>694</v>
      </c>
      <c r="P517" s="15" t="s">
        <v>1046</v>
      </c>
      <c r="Q517" s="15" t="s">
        <v>876</v>
      </c>
      <c r="R517" s="15" t="s">
        <v>835</v>
      </c>
      <c r="S517" s="15" t="s">
        <v>348</v>
      </c>
      <c r="T517" s="15" t="s">
        <v>614</v>
      </c>
      <c r="AC517" s="32" t="s">
        <v>885</v>
      </c>
      <c r="AD517" s="33" t="e">
        <f t="shared" si="105"/>
        <v>#N/A</v>
      </c>
      <c r="AE517" s="21" t="str">
        <f t="shared" si="99"/>
        <v>BR_VW_AFS_dv360_DIS_PROG_CPM_STD_LDR_AAF_RON_CXD_After-Sales-Oficina-Classicos-REG07-lal-add-to-cart-ofertas_PD_728x90</v>
      </c>
      <c r="AF517" s="21" t="str">
        <f t="shared" si="100"/>
        <v>BR_VW_AFS_dv360_DIS_PROG_CPM_STD_LDR_AAF_RON_CXD_After-Sales-Oficina-Classicos-REG07-lal-add-to-cart-ofertas_PD_728x90</v>
      </c>
      <c r="AG517" s="21" t="str">
        <f t="shared" si="101"/>
        <v>VW_After-Sales-lal-add-to-cart-ofertas_728x90_After-Sales-Oficina-Classicos-REG07-adserver</v>
      </c>
      <c r="AH517" s="21" t="str">
        <f t="shared" si="102"/>
        <v>https://www.oficinadeclassicos.com.br/index.aspx?utm_source=dv360&amp;utm_medium=Programmatic&amp;utm_content=BR_VW_AFS_dv360_DIS_PROG_CPM_STD_LDR_AAF_RON_CXD_After-Sales-Oficina-Classicos-REG07-lal-add-to-cart-ofertas_PD_728x90&amp;utm_campaign=BR_AAF_DSY_NONMS_ND_AS_2019Q2APR_AFS_After-Sales&amp;utm_term=%epid!_%ecid!_%eaid!</v>
      </c>
      <c r="AI517" s="21" t="str">
        <f t="shared" si="103"/>
        <v>TAG</v>
      </c>
      <c r="AJ517" s="15" t="str">
        <f t="shared" si="106"/>
        <v>dv360</v>
      </c>
      <c r="AK517" s="15" t="str">
        <f t="shared" si="107"/>
        <v>Programmatic</v>
      </c>
      <c r="AL517" s="21" t="str">
        <f>Campanha!$B$3</f>
        <v>BR_AAF_DSY_NONMS_ND_AS_2019Q2APR_AFS_After-Sales</v>
      </c>
      <c r="AM517" s="21" t="str">
        <f t="shared" si="104"/>
        <v>BR_VW_AFS_dv360_DIS_PROG_CPM_STD_LDR_AAF_RON_CXD_After-Sales-Oficina-Classicos-REG07-lal-add-to-cart-ofertas_PD_728x90</v>
      </c>
      <c r="AN517" s="15" t="s">
        <v>809</v>
      </c>
    </row>
    <row r="518" spans="2:40" hidden="1" x14ac:dyDescent="0.25">
      <c r="B518" s="15" t="s">
        <v>872</v>
      </c>
      <c r="C518" s="15"/>
      <c r="D518" s="30" t="s">
        <v>873</v>
      </c>
      <c r="E518" s="22">
        <v>44155</v>
      </c>
      <c r="F518" s="22">
        <v>44196</v>
      </c>
      <c r="G518" s="15" t="s">
        <v>674</v>
      </c>
      <c r="H518" s="15" t="s">
        <v>811</v>
      </c>
      <c r="I518" s="15" t="s">
        <v>702</v>
      </c>
      <c r="J518" s="15" t="s">
        <v>325</v>
      </c>
      <c r="K518" s="15" t="s">
        <v>334</v>
      </c>
      <c r="L518" s="15" t="s">
        <v>358</v>
      </c>
      <c r="M518" s="15" t="s">
        <v>322</v>
      </c>
      <c r="N518" s="15" t="s">
        <v>708</v>
      </c>
      <c r="O518" s="15" t="s">
        <v>694</v>
      </c>
      <c r="P518" s="15" t="s">
        <v>1046</v>
      </c>
      <c r="Q518" s="15" t="s">
        <v>876</v>
      </c>
      <c r="R518" s="15" t="s">
        <v>835</v>
      </c>
      <c r="S518" s="15" t="s">
        <v>348</v>
      </c>
      <c r="T518" s="15" t="s">
        <v>652</v>
      </c>
      <c r="AC518" s="32" t="s">
        <v>885</v>
      </c>
      <c r="AD518" s="33" t="e">
        <f t="shared" si="105"/>
        <v>#N/A</v>
      </c>
      <c r="AE518" s="21" t="str">
        <f t="shared" si="99"/>
        <v>BR_VW_AFS_dv360_DIS_PROG_CPM_STD_LDR_AAF_RON_CXD_After-Sales-Oficina-Classicos-REG07-lal-add-to-cart-ofertas_PD_970x250</v>
      </c>
      <c r="AF518" s="21" t="str">
        <f t="shared" si="100"/>
        <v>BR_VW_AFS_dv360_DIS_PROG_CPM_STD_LDR_AAF_RON_CXD_After-Sales-Oficina-Classicos-REG07-lal-add-to-cart-ofertas_PD_970x250</v>
      </c>
      <c r="AG518" s="21" t="str">
        <f t="shared" si="101"/>
        <v>VW_After-Sales-lal-add-to-cart-ofertas_970x250_After-Sales-Oficina-Classicos-REG07-adserver</v>
      </c>
      <c r="AH518" s="21" t="str">
        <f t="shared" si="102"/>
        <v>https://www.oficinadeclassicos.com.br/index.aspx?utm_source=dv360&amp;utm_medium=Programmatic&amp;utm_content=BR_VW_AFS_dv360_DIS_PROG_CPM_STD_LDR_AAF_RON_CXD_After-Sales-Oficina-Classicos-REG07-lal-add-to-cart-ofertas_PD_970x250&amp;utm_campaign=BR_AAF_DSY_NONMS_ND_AS_2019Q2APR_AFS_After-Sales&amp;utm_term=%epid!_%ecid!_%eaid!</v>
      </c>
      <c r="AI518" s="21" t="str">
        <f t="shared" si="103"/>
        <v>TAG</v>
      </c>
      <c r="AJ518" s="15" t="str">
        <f t="shared" si="106"/>
        <v>dv360</v>
      </c>
      <c r="AK518" s="15" t="str">
        <f t="shared" si="107"/>
        <v>Programmatic</v>
      </c>
      <c r="AL518" s="21" t="str">
        <f>Campanha!$B$3</f>
        <v>BR_AAF_DSY_NONMS_ND_AS_2019Q2APR_AFS_After-Sales</v>
      </c>
      <c r="AM518" s="21" t="str">
        <f t="shared" si="104"/>
        <v>BR_VW_AFS_dv360_DIS_PROG_CPM_STD_LDR_AAF_RON_CXD_After-Sales-Oficina-Classicos-REG07-lal-add-to-cart-ofertas_PD_970x250</v>
      </c>
      <c r="AN518" s="15" t="s">
        <v>809</v>
      </c>
    </row>
    <row r="519" spans="2:40" hidden="1" x14ac:dyDescent="0.25">
      <c r="B519" s="15" t="s">
        <v>872</v>
      </c>
      <c r="C519" s="15"/>
      <c r="D519" s="30" t="s">
        <v>873</v>
      </c>
      <c r="E519" s="22">
        <v>44155</v>
      </c>
      <c r="F519" s="22">
        <v>44196</v>
      </c>
      <c r="G519" s="15" t="s">
        <v>674</v>
      </c>
      <c r="H519" s="15" t="s">
        <v>811</v>
      </c>
      <c r="I519" s="15" t="s">
        <v>702</v>
      </c>
      <c r="J519" s="15" t="s">
        <v>325</v>
      </c>
      <c r="K519" s="15" t="s">
        <v>334</v>
      </c>
      <c r="L519" s="15" t="s">
        <v>358</v>
      </c>
      <c r="M519" s="15" t="s">
        <v>322</v>
      </c>
      <c r="N519" s="15" t="s">
        <v>708</v>
      </c>
      <c r="O519" s="15" t="s">
        <v>694</v>
      </c>
      <c r="P519" s="15" t="s">
        <v>1046</v>
      </c>
      <c r="Q519" s="15" t="s">
        <v>890</v>
      </c>
      <c r="R519" s="15" t="s">
        <v>835</v>
      </c>
      <c r="S519" s="15" t="s">
        <v>348</v>
      </c>
      <c r="T519" s="15" t="s">
        <v>457</v>
      </c>
      <c r="AC519" s="32" t="s">
        <v>885</v>
      </c>
      <c r="AD519" s="33" t="e">
        <f t="shared" si="105"/>
        <v>#N/A</v>
      </c>
      <c r="AE519" s="21" t="str">
        <f t="shared" si="99"/>
        <v>BR_VW_AFS_dv360_DIS_PROG_CPM_STD_LDR_AAF_RON_CXD_After-Sales-Oficina-Classicos-REG07-lal-home-ofertas_PD_160x600</v>
      </c>
      <c r="AF519" s="21" t="str">
        <f t="shared" si="100"/>
        <v>BR_VW_AFS_dv360_DIS_PROG_CPM_STD_LDR_AAF_RON_CXD_After-Sales-Oficina-Classicos-REG07-lal-home-ofertas_PD_160x600</v>
      </c>
      <c r="AG519" s="21" t="str">
        <f t="shared" si="101"/>
        <v>VW_After-Sales-lal-home-ofertas_160x600_After-Sales-Oficina-Classicos-REG07-adserver</v>
      </c>
      <c r="AH519" s="21" t="str">
        <f t="shared" si="102"/>
        <v>https://www.oficinadeclassicos.com.br/index.aspx?utm_source=dv360&amp;utm_medium=Programmatic&amp;utm_content=BR_VW_AFS_dv360_DIS_PROG_CPM_STD_LDR_AAF_RON_CXD_After-Sales-Oficina-Classicos-REG07-lal-home-ofertas_PD_160x600&amp;utm_campaign=BR_AAF_DSY_NONMS_ND_AS_2019Q2APR_AFS_After-Sales&amp;utm_term=%epid!_%ecid!_%eaid!</v>
      </c>
      <c r="AI519" s="21" t="str">
        <f t="shared" si="103"/>
        <v>TAG</v>
      </c>
      <c r="AJ519" s="15" t="str">
        <f t="shared" si="106"/>
        <v>dv360</v>
      </c>
      <c r="AK519" s="15" t="str">
        <f t="shared" si="107"/>
        <v>Programmatic</v>
      </c>
      <c r="AL519" s="21" t="str">
        <f>Campanha!$B$3</f>
        <v>BR_AAF_DSY_NONMS_ND_AS_2019Q2APR_AFS_After-Sales</v>
      </c>
      <c r="AM519" s="21" t="str">
        <f t="shared" si="104"/>
        <v>BR_VW_AFS_dv360_DIS_PROG_CPM_STD_LDR_AAF_RON_CXD_After-Sales-Oficina-Classicos-REG07-lal-home-ofertas_PD_160x600</v>
      </c>
      <c r="AN519" s="15" t="s">
        <v>809</v>
      </c>
    </row>
    <row r="520" spans="2:40" hidden="1" x14ac:dyDescent="0.25">
      <c r="B520" s="15" t="s">
        <v>872</v>
      </c>
      <c r="C520" s="15"/>
      <c r="D520" s="30" t="s">
        <v>873</v>
      </c>
      <c r="E520" s="22">
        <v>44155</v>
      </c>
      <c r="F520" s="22">
        <v>44196</v>
      </c>
      <c r="G520" s="15" t="s">
        <v>674</v>
      </c>
      <c r="H520" s="15" t="s">
        <v>811</v>
      </c>
      <c r="I520" s="15" t="s">
        <v>702</v>
      </c>
      <c r="J520" s="15" t="s">
        <v>325</v>
      </c>
      <c r="K520" s="15" t="s">
        <v>334</v>
      </c>
      <c r="L520" s="15" t="s">
        <v>358</v>
      </c>
      <c r="M520" s="15" t="s">
        <v>322</v>
      </c>
      <c r="N520" s="15" t="s">
        <v>708</v>
      </c>
      <c r="O520" s="15" t="s">
        <v>694</v>
      </c>
      <c r="P520" s="15" t="s">
        <v>1046</v>
      </c>
      <c r="Q520" s="15" t="s">
        <v>890</v>
      </c>
      <c r="R520" s="15" t="s">
        <v>835</v>
      </c>
      <c r="S520" s="15" t="s">
        <v>348</v>
      </c>
      <c r="T520" s="15" t="s">
        <v>484</v>
      </c>
      <c r="AC520" s="32" t="s">
        <v>885</v>
      </c>
      <c r="AD520" s="33" t="e">
        <f t="shared" si="105"/>
        <v>#N/A</v>
      </c>
      <c r="AE520" s="21" t="str">
        <f t="shared" si="99"/>
        <v>BR_VW_AFS_dv360_DIS_PROG_CPM_STD_LDR_AAF_RON_CXD_After-Sales-Oficina-Classicos-REG07-lal-home-ofertas_PD_300x50</v>
      </c>
      <c r="AF520" s="21" t="str">
        <f t="shared" si="100"/>
        <v>BR_VW_AFS_dv360_DIS_PROG_CPM_STD_LDR_AAF_RON_CXD_After-Sales-Oficina-Classicos-REG07-lal-home-ofertas_PD_300x50</v>
      </c>
      <c r="AG520" s="21" t="str">
        <f t="shared" si="101"/>
        <v>VW_After-Sales-lal-home-ofertas_300x50_After-Sales-Oficina-Classicos-REG07-adserver</v>
      </c>
      <c r="AH520" s="21" t="str">
        <f t="shared" si="102"/>
        <v>https://www.oficinadeclassicos.com.br/index.aspx?utm_source=dv360&amp;utm_medium=Programmatic&amp;utm_content=BR_VW_AFS_dv360_DIS_PROG_CPM_STD_LDR_AAF_RON_CXD_After-Sales-Oficina-Classicos-REG07-lal-home-ofertas_PD_300x50&amp;utm_campaign=BR_AAF_DSY_NONMS_ND_AS_2019Q2APR_AFS_After-Sales&amp;utm_term=%epid!_%ecid!_%eaid!</v>
      </c>
      <c r="AI520" s="21" t="str">
        <f t="shared" si="103"/>
        <v>TAG</v>
      </c>
      <c r="AJ520" s="15" t="str">
        <f t="shared" si="106"/>
        <v>dv360</v>
      </c>
      <c r="AK520" s="15" t="str">
        <f t="shared" si="107"/>
        <v>Programmatic</v>
      </c>
      <c r="AL520" s="21" t="str">
        <f>Campanha!$B$3</f>
        <v>BR_AAF_DSY_NONMS_ND_AS_2019Q2APR_AFS_After-Sales</v>
      </c>
      <c r="AM520" s="21" t="str">
        <f t="shared" si="104"/>
        <v>BR_VW_AFS_dv360_DIS_PROG_CPM_STD_LDR_AAF_RON_CXD_After-Sales-Oficina-Classicos-REG07-lal-home-ofertas_PD_300x50</v>
      </c>
      <c r="AN520" s="15" t="s">
        <v>809</v>
      </c>
    </row>
    <row r="521" spans="2:40" hidden="1" x14ac:dyDescent="0.25">
      <c r="B521" s="15" t="s">
        <v>872</v>
      </c>
      <c r="C521" s="15"/>
      <c r="D521" s="30" t="s">
        <v>873</v>
      </c>
      <c r="E521" s="22">
        <v>44155</v>
      </c>
      <c r="F521" s="22">
        <v>44196</v>
      </c>
      <c r="G521" s="15" t="s">
        <v>674</v>
      </c>
      <c r="H521" s="15" t="s">
        <v>811</v>
      </c>
      <c r="I521" s="15" t="s">
        <v>702</v>
      </c>
      <c r="J521" s="15" t="s">
        <v>325</v>
      </c>
      <c r="K521" s="15" t="s">
        <v>334</v>
      </c>
      <c r="L521" s="15" t="s">
        <v>358</v>
      </c>
      <c r="M521" s="15" t="s">
        <v>322</v>
      </c>
      <c r="N521" s="15" t="s">
        <v>708</v>
      </c>
      <c r="O521" s="15" t="s">
        <v>694</v>
      </c>
      <c r="P521" s="15" t="s">
        <v>1046</v>
      </c>
      <c r="Q521" s="15" t="s">
        <v>890</v>
      </c>
      <c r="R521" s="15" t="s">
        <v>835</v>
      </c>
      <c r="S521" s="15" t="s">
        <v>348</v>
      </c>
      <c r="T521" s="15" t="s">
        <v>478</v>
      </c>
      <c r="AC521" s="32" t="s">
        <v>885</v>
      </c>
      <c r="AD521" s="33" t="e">
        <f t="shared" si="105"/>
        <v>#N/A</v>
      </c>
      <c r="AE521" s="21" t="str">
        <f t="shared" si="99"/>
        <v>BR_VW_AFS_dv360_DIS_PROG_CPM_STD_LDR_AAF_RON_CXD_After-Sales-Oficina-Classicos-REG07-lal-home-ofertas_PD_300x250</v>
      </c>
      <c r="AF521" s="21" t="str">
        <f t="shared" si="100"/>
        <v>BR_VW_AFS_dv360_DIS_PROG_CPM_STD_LDR_AAF_RON_CXD_After-Sales-Oficina-Classicos-REG07-lal-home-ofertas_PD_300x250</v>
      </c>
      <c r="AG521" s="21" t="str">
        <f t="shared" si="101"/>
        <v>VW_After-Sales-lal-home-ofertas_300x250_After-Sales-Oficina-Classicos-REG07-adserver</v>
      </c>
      <c r="AH521" s="21" t="str">
        <f t="shared" si="102"/>
        <v>https://www.oficinadeclassicos.com.br/index.aspx?utm_source=dv360&amp;utm_medium=Programmatic&amp;utm_content=BR_VW_AFS_dv360_DIS_PROG_CPM_STD_LDR_AAF_RON_CXD_After-Sales-Oficina-Classicos-REG07-lal-home-ofertas_PD_300x250&amp;utm_campaign=BR_AAF_DSY_NONMS_ND_AS_2019Q2APR_AFS_After-Sales&amp;utm_term=%epid!_%ecid!_%eaid!</v>
      </c>
      <c r="AI521" s="21" t="str">
        <f t="shared" si="103"/>
        <v>TAG</v>
      </c>
      <c r="AJ521" s="15" t="str">
        <f t="shared" si="106"/>
        <v>dv360</v>
      </c>
      <c r="AK521" s="15" t="str">
        <f t="shared" si="107"/>
        <v>Programmatic</v>
      </c>
      <c r="AL521" s="21" t="str">
        <f>Campanha!$B$3</f>
        <v>BR_AAF_DSY_NONMS_ND_AS_2019Q2APR_AFS_After-Sales</v>
      </c>
      <c r="AM521" s="21" t="str">
        <f t="shared" si="104"/>
        <v>BR_VW_AFS_dv360_DIS_PROG_CPM_STD_LDR_AAF_RON_CXD_After-Sales-Oficina-Classicos-REG07-lal-home-ofertas_PD_300x250</v>
      </c>
      <c r="AN521" s="15" t="s">
        <v>809</v>
      </c>
    </row>
    <row r="522" spans="2:40" hidden="1" x14ac:dyDescent="0.25">
      <c r="B522" s="15" t="s">
        <v>872</v>
      </c>
      <c r="C522" s="15"/>
      <c r="D522" s="30" t="s">
        <v>873</v>
      </c>
      <c r="E522" s="22">
        <v>44155</v>
      </c>
      <c r="F522" s="22">
        <v>44196</v>
      </c>
      <c r="G522" s="15" t="s">
        <v>674</v>
      </c>
      <c r="H522" s="15" t="s">
        <v>811</v>
      </c>
      <c r="I522" s="15" t="s">
        <v>702</v>
      </c>
      <c r="J522" s="15" t="s">
        <v>325</v>
      </c>
      <c r="K522" s="15" t="s">
        <v>334</v>
      </c>
      <c r="L522" s="15" t="s">
        <v>358</v>
      </c>
      <c r="M522" s="15" t="s">
        <v>322</v>
      </c>
      <c r="N522" s="15" t="s">
        <v>708</v>
      </c>
      <c r="O522" s="15" t="s">
        <v>694</v>
      </c>
      <c r="P522" s="15" t="s">
        <v>1046</v>
      </c>
      <c r="Q522" s="15" t="s">
        <v>890</v>
      </c>
      <c r="R522" s="15" t="s">
        <v>835</v>
      </c>
      <c r="S522" s="15" t="s">
        <v>348</v>
      </c>
      <c r="T522" s="15" t="s">
        <v>614</v>
      </c>
      <c r="AC522" s="32" t="s">
        <v>885</v>
      </c>
      <c r="AD522" s="33" t="e">
        <f t="shared" si="105"/>
        <v>#N/A</v>
      </c>
      <c r="AE522" s="21" t="str">
        <f t="shared" si="99"/>
        <v>BR_VW_AFS_dv360_DIS_PROG_CPM_STD_LDR_AAF_RON_CXD_After-Sales-Oficina-Classicos-REG07-lal-home-ofertas_PD_728x90</v>
      </c>
      <c r="AF522" s="21" t="str">
        <f t="shared" si="100"/>
        <v>BR_VW_AFS_dv360_DIS_PROG_CPM_STD_LDR_AAF_RON_CXD_After-Sales-Oficina-Classicos-REG07-lal-home-ofertas_PD_728x90</v>
      </c>
      <c r="AG522" s="21" t="str">
        <f t="shared" si="101"/>
        <v>VW_After-Sales-lal-home-ofertas_728x90_After-Sales-Oficina-Classicos-REG07-adserver</v>
      </c>
      <c r="AH522" s="21" t="str">
        <f t="shared" si="102"/>
        <v>https://www.oficinadeclassicos.com.br/index.aspx?utm_source=dv360&amp;utm_medium=Programmatic&amp;utm_content=BR_VW_AFS_dv360_DIS_PROG_CPM_STD_LDR_AAF_RON_CXD_After-Sales-Oficina-Classicos-REG07-lal-home-ofertas_PD_728x90&amp;utm_campaign=BR_AAF_DSY_NONMS_ND_AS_2019Q2APR_AFS_After-Sales&amp;utm_term=%epid!_%ecid!_%eaid!</v>
      </c>
      <c r="AI522" s="21" t="str">
        <f t="shared" si="103"/>
        <v>TAG</v>
      </c>
      <c r="AJ522" s="15" t="str">
        <f t="shared" si="106"/>
        <v>dv360</v>
      </c>
      <c r="AK522" s="15" t="str">
        <f t="shared" si="107"/>
        <v>Programmatic</v>
      </c>
      <c r="AL522" s="21" t="str">
        <f>Campanha!$B$3</f>
        <v>BR_AAF_DSY_NONMS_ND_AS_2019Q2APR_AFS_After-Sales</v>
      </c>
      <c r="AM522" s="21" t="str">
        <f t="shared" si="104"/>
        <v>BR_VW_AFS_dv360_DIS_PROG_CPM_STD_LDR_AAF_RON_CXD_After-Sales-Oficina-Classicos-REG07-lal-home-ofertas_PD_728x90</v>
      </c>
      <c r="AN522" s="15" t="s">
        <v>809</v>
      </c>
    </row>
    <row r="523" spans="2:40" hidden="1" x14ac:dyDescent="0.25">
      <c r="B523" s="15" t="s">
        <v>872</v>
      </c>
      <c r="C523" s="15"/>
      <c r="D523" s="30" t="s">
        <v>873</v>
      </c>
      <c r="E523" s="22">
        <v>44155</v>
      </c>
      <c r="F523" s="22">
        <v>44196</v>
      </c>
      <c r="G523" s="15" t="s">
        <v>674</v>
      </c>
      <c r="H523" s="15" t="s">
        <v>811</v>
      </c>
      <c r="I523" s="15" t="s">
        <v>702</v>
      </c>
      <c r="J523" s="15" t="s">
        <v>325</v>
      </c>
      <c r="K523" s="15" t="s">
        <v>334</v>
      </c>
      <c r="L523" s="15" t="s">
        <v>358</v>
      </c>
      <c r="M523" s="15" t="s">
        <v>322</v>
      </c>
      <c r="N523" s="15" t="s">
        <v>708</v>
      </c>
      <c r="O523" s="15" t="s">
        <v>694</v>
      </c>
      <c r="P523" s="15" t="s">
        <v>1046</v>
      </c>
      <c r="Q523" s="15" t="s">
        <v>890</v>
      </c>
      <c r="R523" s="15" t="s">
        <v>835</v>
      </c>
      <c r="S523" s="15" t="s">
        <v>348</v>
      </c>
      <c r="T523" s="15" t="s">
        <v>652</v>
      </c>
      <c r="AC523" s="32" t="s">
        <v>885</v>
      </c>
      <c r="AD523" s="33" t="e">
        <f t="shared" si="105"/>
        <v>#N/A</v>
      </c>
      <c r="AE523" s="21" t="str">
        <f t="shared" si="99"/>
        <v>BR_VW_AFS_dv360_DIS_PROG_CPM_STD_LDR_AAF_RON_CXD_After-Sales-Oficina-Classicos-REG07-lal-home-ofertas_PD_970x250</v>
      </c>
      <c r="AF523" s="21" t="str">
        <f t="shared" si="100"/>
        <v>BR_VW_AFS_dv360_DIS_PROG_CPM_STD_LDR_AAF_RON_CXD_After-Sales-Oficina-Classicos-REG07-lal-home-ofertas_PD_970x250</v>
      </c>
      <c r="AG523" s="21" t="str">
        <f t="shared" si="101"/>
        <v>VW_After-Sales-lal-home-ofertas_970x250_After-Sales-Oficina-Classicos-REG07-adserver</v>
      </c>
      <c r="AH523" s="21" t="str">
        <f t="shared" si="102"/>
        <v>https://www.oficinadeclassicos.com.br/index.aspx?utm_source=dv360&amp;utm_medium=Programmatic&amp;utm_content=BR_VW_AFS_dv360_DIS_PROG_CPM_STD_LDR_AAF_RON_CXD_After-Sales-Oficina-Classicos-REG07-lal-home-ofertas_PD_970x250&amp;utm_campaign=BR_AAF_DSY_NONMS_ND_AS_2019Q2APR_AFS_After-Sales&amp;utm_term=%epid!_%ecid!_%eaid!</v>
      </c>
      <c r="AI523" s="21" t="str">
        <f t="shared" si="103"/>
        <v>TAG</v>
      </c>
      <c r="AJ523" s="15" t="str">
        <f t="shared" si="106"/>
        <v>dv360</v>
      </c>
      <c r="AK523" s="15" t="str">
        <f t="shared" si="107"/>
        <v>Programmatic</v>
      </c>
      <c r="AL523" s="21" t="str">
        <f>Campanha!$B$3</f>
        <v>BR_AAF_DSY_NONMS_ND_AS_2019Q2APR_AFS_After-Sales</v>
      </c>
      <c r="AM523" s="21" t="str">
        <f t="shared" si="104"/>
        <v>BR_VW_AFS_dv360_DIS_PROG_CPM_STD_LDR_AAF_RON_CXD_After-Sales-Oficina-Classicos-REG07-lal-home-ofertas_PD_970x250</v>
      </c>
      <c r="AN523" s="15" t="s">
        <v>809</v>
      </c>
    </row>
    <row r="524" spans="2:40" hidden="1" x14ac:dyDescent="0.25">
      <c r="B524" s="15" t="s">
        <v>872</v>
      </c>
      <c r="C524" s="15"/>
      <c r="D524" s="30" t="s">
        <v>873</v>
      </c>
      <c r="E524" s="22">
        <v>44155</v>
      </c>
      <c r="F524" s="22">
        <v>44196</v>
      </c>
      <c r="G524" s="15" t="s">
        <v>674</v>
      </c>
      <c r="H524" s="15" t="s">
        <v>811</v>
      </c>
      <c r="I524" s="15" t="s">
        <v>702</v>
      </c>
      <c r="J524" s="15" t="s">
        <v>325</v>
      </c>
      <c r="K524" s="15" t="s">
        <v>334</v>
      </c>
      <c r="L524" s="15" t="s">
        <v>358</v>
      </c>
      <c r="M524" s="15" t="s">
        <v>322</v>
      </c>
      <c r="N524" s="15" t="s">
        <v>708</v>
      </c>
      <c r="O524" s="15" t="s">
        <v>694</v>
      </c>
      <c r="P524" s="15" t="s">
        <v>1046</v>
      </c>
      <c r="Q524" s="15" t="s">
        <v>874</v>
      </c>
      <c r="R524" s="15" t="s">
        <v>835</v>
      </c>
      <c r="S524" s="15" t="s">
        <v>348</v>
      </c>
      <c r="T524" s="15" t="s">
        <v>457</v>
      </c>
      <c r="AC524" s="32" t="s">
        <v>885</v>
      </c>
      <c r="AD524" s="33" t="e">
        <f t="shared" si="105"/>
        <v>#N/A</v>
      </c>
      <c r="AE524" s="21" t="str">
        <f t="shared" si="99"/>
        <v>BR_VW_AFS_dv360_DIS_PROG_CPM_STD_LDR_AAF_RON_CXD_After-Sales-Oficina-Classicos-REG07-rmkt-visita-home-ofertas_PD_160x600</v>
      </c>
      <c r="AF524" s="21" t="str">
        <f t="shared" si="100"/>
        <v>BR_VW_AFS_dv360_DIS_PROG_CPM_STD_LDR_AAF_RON_CXD_After-Sales-Oficina-Classicos-REG07-rmkt-visita-home-ofertas_PD_160x600</v>
      </c>
      <c r="AG524" s="21" t="str">
        <f t="shared" si="101"/>
        <v>VW_After-Sales-rmkt-visita-home-ofertas_160x600_After-Sales-Oficina-Classicos-REG07-adserver</v>
      </c>
      <c r="AH524" s="21" t="str">
        <f t="shared" si="102"/>
        <v>https://www.oficinadeclassicos.com.br/index.aspx?utm_source=dv360&amp;utm_medium=Programmatic&amp;utm_content=BR_VW_AFS_dv360_DIS_PROG_CPM_STD_LDR_AAF_RON_CXD_After-Sales-Oficina-Classicos-REG07-rmkt-visita-home-ofertas_PD_160x600&amp;utm_campaign=BR_AAF_DSY_NONMS_ND_AS_2019Q2APR_AFS_After-Sales&amp;utm_term=%epid!_%ecid!_%eaid!</v>
      </c>
      <c r="AI524" s="21" t="str">
        <f t="shared" si="103"/>
        <v>TAG</v>
      </c>
      <c r="AJ524" s="15" t="str">
        <f t="shared" si="106"/>
        <v>dv360</v>
      </c>
      <c r="AK524" s="15" t="str">
        <f t="shared" si="107"/>
        <v>Programmatic</v>
      </c>
      <c r="AL524" s="21" t="str">
        <f>Campanha!$B$3</f>
        <v>BR_AAF_DSY_NONMS_ND_AS_2019Q2APR_AFS_After-Sales</v>
      </c>
      <c r="AM524" s="21" t="str">
        <f t="shared" si="104"/>
        <v>BR_VW_AFS_dv360_DIS_PROG_CPM_STD_LDR_AAF_RON_CXD_After-Sales-Oficina-Classicos-REG07-rmkt-visita-home-ofertas_PD_160x600</v>
      </c>
      <c r="AN524" s="15" t="s">
        <v>809</v>
      </c>
    </row>
    <row r="525" spans="2:40" hidden="1" x14ac:dyDescent="0.25">
      <c r="B525" s="15" t="s">
        <v>872</v>
      </c>
      <c r="C525" s="15"/>
      <c r="D525" s="30" t="s">
        <v>873</v>
      </c>
      <c r="E525" s="22">
        <v>44155</v>
      </c>
      <c r="F525" s="22">
        <v>44196</v>
      </c>
      <c r="G525" s="15" t="s">
        <v>674</v>
      </c>
      <c r="H525" s="15" t="s">
        <v>811</v>
      </c>
      <c r="I525" s="15" t="s">
        <v>702</v>
      </c>
      <c r="J525" s="15" t="s">
        <v>325</v>
      </c>
      <c r="K525" s="15" t="s">
        <v>334</v>
      </c>
      <c r="L525" s="15" t="s">
        <v>358</v>
      </c>
      <c r="M525" s="15" t="s">
        <v>322</v>
      </c>
      <c r="N525" s="15" t="s">
        <v>708</v>
      </c>
      <c r="O525" s="15" t="s">
        <v>694</v>
      </c>
      <c r="P525" s="15" t="s">
        <v>1046</v>
      </c>
      <c r="Q525" s="15" t="s">
        <v>874</v>
      </c>
      <c r="R525" s="15" t="s">
        <v>835</v>
      </c>
      <c r="S525" s="15" t="s">
        <v>348</v>
      </c>
      <c r="T525" s="15" t="s">
        <v>484</v>
      </c>
      <c r="AC525" s="32" t="s">
        <v>885</v>
      </c>
      <c r="AD525" s="33" t="e">
        <f t="shared" si="105"/>
        <v>#N/A</v>
      </c>
      <c r="AE525" s="21" t="str">
        <f t="shared" si="99"/>
        <v>BR_VW_AFS_dv360_DIS_PROG_CPM_STD_LDR_AAF_RON_CXD_After-Sales-Oficina-Classicos-REG07-rmkt-visita-home-ofertas_PD_300x50</v>
      </c>
      <c r="AF525" s="21" t="str">
        <f t="shared" si="100"/>
        <v>BR_VW_AFS_dv360_DIS_PROG_CPM_STD_LDR_AAF_RON_CXD_After-Sales-Oficina-Classicos-REG07-rmkt-visita-home-ofertas_PD_300x50</v>
      </c>
      <c r="AG525" s="21" t="str">
        <f t="shared" si="101"/>
        <v>VW_After-Sales-rmkt-visita-home-ofertas_300x50_After-Sales-Oficina-Classicos-REG07-adserver</v>
      </c>
      <c r="AH525" s="21" t="str">
        <f t="shared" si="102"/>
        <v>https://www.oficinadeclassicos.com.br/index.aspx?utm_source=dv360&amp;utm_medium=Programmatic&amp;utm_content=BR_VW_AFS_dv360_DIS_PROG_CPM_STD_LDR_AAF_RON_CXD_After-Sales-Oficina-Classicos-REG07-rmkt-visita-home-ofertas_PD_300x50&amp;utm_campaign=BR_AAF_DSY_NONMS_ND_AS_2019Q2APR_AFS_After-Sales&amp;utm_term=%epid!_%ecid!_%eaid!</v>
      </c>
      <c r="AI525" s="21" t="str">
        <f t="shared" si="103"/>
        <v>TAG</v>
      </c>
      <c r="AJ525" s="15" t="str">
        <f t="shared" si="106"/>
        <v>dv360</v>
      </c>
      <c r="AK525" s="15" t="str">
        <f t="shared" si="107"/>
        <v>Programmatic</v>
      </c>
      <c r="AL525" s="21" t="str">
        <f>Campanha!$B$3</f>
        <v>BR_AAF_DSY_NONMS_ND_AS_2019Q2APR_AFS_After-Sales</v>
      </c>
      <c r="AM525" s="21" t="str">
        <f t="shared" si="104"/>
        <v>BR_VW_AFS_dv360_DIS_PROG_CPM_STD_LDR_AAF_RON_CXD_After-Sales-Oficina-Classicos-REG07-rmkt-visita-home-ofertas_PD_300x50</v>
      </c>
      <c r="AN525" s="15" t="s">
        <v>809</v>
      </c>
    </row>
    <row r="526" spans="2:40" hidden="1" x14ac:dyDescent="0.25">
      <c r="B526" s="15" t="s">
        <v>872</v>
      </c>
      <c r="C526" s="15"/>
      <c r="D526" s="30" t="s">
        <v>873</v>
      </c>
      <c r="E526" s="22">
        <v>44155</v>
      </c>
      <c r="F526" s="22">
        <v>44196</v>
      </c>
      <c r="G526" s="15" t="s">
        <v>674</v>
      </c>
      <c r="H526" s="15" t="s">
        <v>811</v>
      </c>
      <c r="I526" s="15" t="s">
        <v>702</v>
      </c>
      <c r="J526" s="15" t="s">
        <v>325</v>
      </c>
      <c r="K526" s="15" t="s">
        <v>334</v>
      </c>
      <c r="L526" s="15" t="s">
        <v>358</v>
      </c>
      <c r="M526" s="15" t="s">
        <v>322</v>
      </c>
      <c r="N526" s="15" t="s">
        <v>708</v>
      </c>
      <c r="O526" s="15" t="s">
        <v>694</v>
      </c>
      <c r="P526" s="15" t="s">
        <v>1046</v>
      </c>
      <c r="Q526" s="15" t="s">
        <v>874</v>
      </c>
      <c r="R526" s="15" t="s">
        <v>835</v>
      </c>
      <c r="S526" s="15" t="s">
        <v>348</v>
      </c>
      <c r="T526" s="15" t="s">
        <v>478</v>
      </c>
      <c r="AC526" s="32" t="s">
        <v>885</v>
      </c>
      <c r="AD526" s="33" t="e">
        <f t="shared" si="105"/>
        <v>#N/A</v>
      </c>
      <c r="AE526" s="21" t="str">
        <f t="shared" si="99"/>
        <v>BR_VW_AFS_dv360_DIS_PROG_CPM_STD_LDR_AAF_RON_CXD_After-Sales-Oficina-Classicos-REG07-rmkt-visita-home-ofertas_PD_300x250</v>
      </c>
      <c r="AF526" s="21" t="str">
        <f t="shared" si="100"/>
        <v>BR_VW_AFS_dv360_DIS_PROG_CPM_STD_LDR_AAF_RON_CXD_After-Sales-Oficina-Classicos-REG07-rmkt-visita-home-ofertas_PD_300x250</v>
      </c>
      <c r="AG526" s="21" t="str">
        <f t="shared" si="101"/>
        <v>VW_After-Sales-rmkt-visita-home-ofertas_300x250_After-Sales-Oficina-Classicos-REG07-adserver</v>
      </c>
      <c r="AH526" s="21" t="str">
        <f t="shared" si="102"/>
        <v>https://www.oficinadeclassicos.com.br/index.aspx?utm_source=dv360&amp;utm_medium=Programmatic&amp;utm_content=BR_VW_AFS_dv360_DIS_PROG_CPM_STD_LDR_AAF_RON_CXD_After-Sales-Oficina-Classicos-REG07-rmkt-visita-home-ofertas_PD_300x250&amp;utm_campaign=BR_AAF_DSY_NONMS_ND_AS_2019Q2APR_AFS_After-Sales&amp;utm_term=%epid!_%ecid!_%eaid!</v>
      </c>
      <c r="AI526" s="21" t="str">
        <f t="shared" si="103"/>
        <v>TAG</v>
      </c>
      <c r="AJ526" s="15" t="str">
        <f t="shared" si="106"/>
        <v>dv360</v>
      </c>
      <c r="AK526" s="15" t="str">
        <f t="shared" si="107"/>
        <v>Programmatic</v>
      </c>
      <c r="AL526" s="21" t="str">
        <f>Campanha!$B$3</f>
        <v>BR_AAF_DSY_NONMS_ND_AS_2019Q2APR_AFS_After-Sales</v>
      </c>
      <c r="AM526" s="21" t="str">
        <f t="shared" si="104"/>
        <v>BR_VW_AFS_dv360_DIS_PROG_CPM_STD_LDR_AAF_RON_CXD_After-Sales-Oficina-Classicos-REG07-rmkt-visita-home-ofertas_PD_300x250</v>
      </c>
      <c r="AN526" s="15" t="s">
        <v>809</v>
      </c>
    </row>
    <row r="527" spans="2:40" hidden="1" x14ac:dyDescent="0.25">
      <c r="B527" s="15" t="s">
        <v>872</v>
      </c>
      <c r="C527" s="15"/>
      <c r="D527" s="30" t="s">
        <v>873</v>
      </c>
      <c r="E527" s="22">
        <v>44155</v>
      </c>
      <c r="F527" s="22">
        <v>44196</v>
      </c>
      <c r="G527" s="15" t="s">
        <v>674</v>
      </c>
      <c r="H527" s="15" t="s">
        <v>811</v>
      </c>
      <c r="I527" s="15" t="s">
        <v>702</v>
      </c>
      <c r="J527" s="15" t="s">
        <v>325</v>
      </c>
      <c r="K527" s="15" t="s">
        <v>334</v>
      </c>
      <c r="L527" s="15" t="s">
        <v>358</v>
      </c>
      <c r="M527" s="15" t="s">
        <v>322</v>
      </c>
      <c r="N527" s="15" t="s">
        <v>708</v>
      </c>
      <c r="O527" s="15" t="s">
        <v>694</v>
      </c>
      <c r="P527" s="15" t="s">
        <v>1046</v>
      </c>
      <c r="Q527" s="15" t="s">
        <v>874</v>
      </c>
      <c r="R527" s="15" t="s">
        <v>835</v>
      </c>
      <c r="S527" s="15" t="s">
        <v>348</v>
      </c>
      <c r="T527" s="15" t="s">
        <v>614</v>
      </c>
      <c r="AC527" s="32" t="s">
        <v>885</v>
      </c>
      <c r="AD527" s="33" t="e">
        <f t="shared" si="105"/>
        <v>#N/A</v>
      </c>
      <c r="AE527" s="21" t="str">
        <f t="shared" si="99"/>
        <v>BR_VW_AFS_dv360_DIS_PROG_CPM_STD_LDR_AAF_RON_CXD_After-Sales-Oficina-Classicos-REG07-rmkt-visita-home-ofertas_PD_728x90</v>
      </c>
      <c r="AF527" s="21" t="str">
        <f t="shared" si="100"/>
        <v>BR_VW_AFS_dv360_DIS_PROG_CPM_STD_LDR_AAF_RON_CXD_After-Sales-Oficina-Classicos-REG07-rmkt-visita-home-ofertas_PD_728x90</v>
      </c>
      <c r="AG527" s="21" t="str">
        <f t="shared" si="101"/>
        <v>VW_After-Sales-rmkt-visita-home-ofertas_728x90_After-Sales-Oficina-Classicos-REG07-adserver</v>
      </c>
      <c r="AH527" s="21" t="str">
        <f t="shared" si="102"/>
        <v>https://www.oficinadeclassicos.com.br/index.aspx?utm_source=dv360&amp;utm_medium=Programmatic&amp;utm_content=BR_VW_AFS_dv360_DIS_PROG_CPM_STD_LDR_AAF_RON_CXD_After-Sales-Oficina-Classicos-REG07-rmkt-visita-home-ofertas_PD_728x90&amp;utm_campaign=BR_AAF_DSY_NONMS_ND_AS_2019Q2APR_AFS_After-Sales&amp;utm_term=%epid!_%ecid!_%eaid!</v>
      </c>
      <c r="AI527" s="21" t="str">
        <f t="shared" si="103"/>
        <v>TAG</v>
      </c>
      <c r="AJ527" s="15" t="str">
        <f t="shared" si="106"/>
        <v>dv360</v>
      </c>
      <c r="AK527" s="15" t="str">
        <f t="shared" si="107"/>
        <v>Programmatic</v>
      </c>
      <c r="AL527" s="21" t="str">
        <f>Campanha!$B$3</f>
        <v>BR_AAF_DSY_NONMS_ND_AS_2019Q2APR_AFS_After-Sales</v>
      </c>
      <c r="AM527" s="21" t="str">
        <f t="shared" si="104"/>
        <v>BR_VW_AFS_dv360_DIS_PROG_CPM_STD_LDR_AAF_RON_CXD_After-Sales-Oficina-Classicos-REG07-rmkt-visita-home-ofertas_PD_728x90</v>
      </c>
      <c r="AN527" s="15" t="s">
        <v>809</v>
      </c>
    </row>
    <row r="528" spans="2:40" hidden="1" x14ac:dyDescent="0.25">
      <c r="B528" s="15" t="s">
        <v>872</v>
      </c>
      <c r="C528" s="15"/>
      <c r="D528" s="30" t="s">
        <v>873</v>
      </c>
      <c r="E528" s="22">
        <v>44155</v>
      </c>
      <c r="F528" s="22">
        <v>44196</v>
      </c>
      <c r="G528" s="15" t="s">
        <v>674</v>
      </c>
      <c r="H528" s="15" t="s">
        <v>811</v>
      </c>
      <c r="I528" s="15" t="s">
        <v>702</v>
      </c>
      <c r="J528" s="15" t="s">
        <v>325</v>
      </c>
      <c r="K528" s="15" t="s">
        <v>334</v>
      </c>
      <c r="L528" s="15" t="s">
        <v>358</v>
      </c>
      <c r="M528" s="15" t="s">
        <v>322</v>
      </c>
      <c r="N528" s="15" t="s">
        <v>708</v>
      </c>
      <c r="O528" s="15" t="s">
        <v>694</v>
      </c>
      <c r="P528" s="15" t="s">
        <v>1046</v>
      </c>
      <c r="Q528" s="15" t="s">
        <v>874</v>
      </c>
      <c r="R528" s="15" t="s">
        <v>835</v>
      </c>
      <c r="S528" s="15" t="s">
        <v>348</v>
      </c>
      <c r="T528" s="15" t="s">
        <v>652</v>
      </c>
      <c r="AC528" s="32" t="s">
        <v>885</v>
      </c>
      <c r="AD528" s="33" t="e">
        <f t="shared" si="105"/>
        <v>#N/A</v>
      </c>
      <c r="AE528" s="21" t="str">
        <f t="shared" ref="AE528:AE557" si="108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IF(col_servidopor="adserver-rotacionar",col_segmentacao,CONCATENATE(col_localfreetype,"-",col_segmentacao)),"_",VLOOKUP(col_paidvsav,tab_paidvsav,2,FALSE),"_",col_size))</f>
        <v>BR_VW_AFS_dv360_DIS_PROG_CPM_STD_LDR_AAF_RON_CXD_After-Sales-Oficina-Classicos-REG07-rmkt-visita-home-ofertas_PD_970x250</v>
      </c>
      <c r="AF528" s="21" t="str">
        <f t="shared" ref="AF528:AF557" si="109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col_localfreetype,"-",col_segmentacao,"_",VLOOKUP(col_paidvsav,tab_paidvsav,2,FALSE),"_",col_size))</f>
        <v>BR_VW_AFS_dv360_DIS_PROG_CPM_STD_LDR_AAF_RON_CXD_After-Sales-Oficina-Classicos-REG07-rmkt-visita-home-ofertas_PD_970x250</v>
      </c>
      <c r="AG528" s="21" t="str">
        <f t="shared" ref="AG528:AG557" si="110">CONCATENATE("VW","_",cel_modelvariant,"-",col_segmentacao,"_",col_size,"_",col_localfreetype,"-",IF(col_servidopor="portal",col_supplier,"adserver"))</f>
        <v>VW_After-Sales-rmkt-visita-home-ofertas_970x250_After-Sales-Oficina-Classicos-REG07-adserver</v>
      </c>
      <c r="AH528" s="21" t="str">
        <f t="shared" ref="AH528:AH557" si="111">faxineiro(CONCATENATE(col_url,IF(ISNUMBER(FIND("?",col_url)),"&amp;","?"),"utm_source=",col_utmsource,"&amp;utm_medium=",col_utmmedium,"&amp;utm_content=",col_utmcontent,"&amp;utm_campaign=",col_utmcampaign,"&amp;utm_term=",col_keyword))</f>
        <v>https://www.oficinadeclassicos.com.br/index.aspx?utm_source=dv360&amp;utm_medium=Programmatic&amp;utm_content=BR_VW_AFS_dv360_DIS_PROG_CPM_STD_LDR_AAF_RON_CXD_After-Sales-Oficina-Classicos-REG07-rmkt-visita-home-ofertas_PD_970x250&amp;utm_campaign=BR_AAF_DSY_NONMS_ND_AS_2019Q2APR_AFS_After-Sales&amp;utm_term=%epid!_%ecid!_%eaid!</v>
      </c>
      <c r="AI528" s="21" t="str">
        <f t="shared" ref="AI528:AI557" si="112">IFERROR(IF(col_servidopor="portal",VLOOKUP(col_placement,tab_contadores,2,FALSE),"TAG"),"Contador")</f>
        <v>TAG</v>
      </c>
      <c r="AJ528" s="15" t="str">
        <f t="shared" si="106"/>
        <v>dv360</v>
      </c>
      <c r="AK528" s="15" t="str">
        <f t="shared" si="107"/>
        <v>Programmatic</v>
      </c>
      <c r="AL528" s="21" t="str">
        <f>Campanha!$B$3</f>
        <v>BR_AAF_DSY_NONMS_ND_AS_2019Q2APR_AFS_After-Sales</v>
      </c>
      <c r="AM528" s="21" t="str">
        <f t="shared" ref="AM528:AM557" si="113">col_adname</f>
        <v>BR_VW_AFS_dv360_DIS_PROG_CPM_STD_LDR_AAF_RON_CXD_After-Sales-Oficina-Classicos-REG07-rmkt-visita-home-ofertas_PD_970x250</v>
      </c>
      <c r="AN528" s="15" t="s">
        <v>809</v>
      </c>
    </row>
    <row r="529" spans="2:40" hidden="1" x14ac:dyDescent="0.25">
      <c r="B529" s="15" t="s">
        <v>872</v>
      </c>
      <c r="C529" s="15"/>
      <c r="D529" s="30" t="s">
        <v>873</v>
      </c>
      <c r="E529" s="22">
        <v>44155</v>
      </c>
      <c r="F529" s="22">
        <v>44196</v>
      </c>
      <c r="G529" s="15" t="s">
        <v>674</v>
      </c>
      <c r="H529" s="15" t="s">
        <v>811</v>
      </c>
      <c r="I529" s="15" t="s">
        <v>702</v>
      </c>
      <c r="J529" s="15" t="s">
        <v>325</v>
      </c>
      <c r="K529" s="15" t="s">
        <v>334</v>
      </c>
      <c r="L529" s="15" t="s">
        <v>358</v>
      </c>
      <c r="M529" s="15" t="s">
        <v>322</v>
      </c>
      <c r="N529" s="15" t="s">
        <v>708</v>
      </c>
      <c r="O529" s="15" t="s">
        <v>694</v>
      </c>
      <c r="P529" s="15" t="s">
        <v>1046</v>
      </c>
      <c r="Q529" s="15" t="s">
        <v>877</v>
      </c>
      <c r="R529" s="15" t="s">
        <v>835</v>
      </c>
      <c r="S529" s="15" t="s">
        <v>348</v>
      </c>
      <c r="T529" s="15" t="s">
        <v>457</v>
      </c>
      <c r="AC529" s="32" t="s">
        <v>885</v>
      </c>
      <c r="AD529" s="33" t="e">
        <f t="shared" si="105"/>
        <v>#N/A</v>
      </c>
      <c r="AE529" s="21" t="str">
        <f t="shared" si="108"/>
        <v>BR_VW_AFS_dv360_DIS_PROG_CPM_STD_LDR_AAF_RON_CXD_After-Sales-Oficina-Classicos-REG07-rmkt-add-to-cart-ofertas_PD_160x600</v>
      </c>
      <c r="AF529" s="21" t="str">
        <f t="shared" si="109"/>
        <v>BR_VW_AFS_dv360_DIS_PROG_CPM_STD_LDR_AAF_RON_CXD_After-Sales-Oficina-Classicos-REG07-rmkt-add-to-cart-ofertas_PD_160x600</v>
      </c>
      <c r="AG529" s="21" t="str">
        <f t="shared" si="110"/>
        <v>VW_After-Sales-rmkt-add-to-cart-ofertas_160x600_After-Sales-Oficina-Classicos-REG07-adserver</v>
      </c>
      <c r="AH529" s="21" t="str">
        <f t="shared" si="111"/>
        <v>https://www.oficinadeclassicos.com.br/index.aspx?utm_source=dv360&amp;utm_medium=Programmatic&amp;utm_content=BR_VW_AFS_dv360_DIS_PROG_CPM_STD_LDR_AAF_RON_CXD_After-Sales-Oficina-Classicos-REG07-rmkt-add-to-cart-ofertas_PD_160x600&amp;utm_campaign=BR_AAF_DSY_NONMS_ND_AS_2019Q2APR_AFS_After-Sales&amp;utm_term=%epid!_%ecid!_%eaid!</v>
      </c>
      <c r="AI529" s="21" t="str">
        <f t="shared" si="112"/>
        <v>TAG</v>
      </c>
      <c r="AJ529" s="15" t="str">
        <f t="shared" si="106"/>
        <v>dv360</v>
      </c>
      <c r="AK529" s="15" t="str">
        <f t="shared" si="107"/>
        <v>Programmatic</v>
      </c>
      <c r="AL529" s="21" t="str">
        <f>Campanha!$B$3</f>
        <v>BR_AAF_DSY_NONMS_ND_AS_2019Q2APR_AFS_After-Sales</v>
      </c>
      <c r="AM529" s="21" t="str">
        <f t="shared" si="113"/>
        <v>BR_VW_AFS_dv360_DIS_PROG_CPM_STD_LDR_AAF_RON_CXD_After-Sales-Oficina-Classicos-REG07-rmkt-add-to-cart-ofertas_PD_160x600</v>
      </c>
      <c r="AN529" s="15" t="s">
        <v>809</v>
      </c>
    </row>
    <row r="530" spans="2:40" hidden="1" x14ac:dyDescent="0.25">
      <c r="B530" s="15" t="s">
        <v>872</v>
      </c>
      <c r="C530" s="15"/>
      <c r="D530" s="30" t="s">
        <v>873</v>
      </c>
      <c r="E530" s="22">
        <v>44155</v>
      </c>
      <c r="F530" s="22">
        <v>44196</v>
      </c>
      <c r="G530" s="15" t="s">
        <v>674</v>
      </c>
      <c r="H530" s="15" t="s">
        <v>811</v>
      </c>
      <c r="I530" s="15" t="s">
        <v>702</v>
      </c>
      <c r="J530" s="15" t="s">
        <v>325</v>
      </c>
      <c r="K530" s="15" t="s">
        <v>334</v>
      </c>
      <c r="L530" s="15" t="s">
        <v>358</v>
      </c>
      <c r="M530" s="15" t="s">
        <v>322</v>
      </c>
      <c r="N530" s="15" t="s">
        <v>708</v>
      </c>
      <c r="O530" s="15" t="s">
        <v>694</v>
      </c>
      <c r="P530" s="15" t="s">
        <v>1046</v>
      </c>
      <c r="Q530" s="15" t="s">
        <v>877</v>
      </c>
      <c r="R530" s="15" t="s">
        <v>835</v>
      </c>
      <c r="S530" s="15" t="s">
        <v>348</v>
      </c>
      <c r="T530" s="15" t="s">
        <v>484</v>
      </c>
      <c r="AC530" s="32" t="s">
        <v>885</v>
      </c>
      <c r="AD530" s="33" t="e">
        <f t="shared" si="105"/>
        <v>#N/A</v>
      </c>
      <c r="AE530" s="21" t="str">
        <f t="shared" si="108"/>
        <v>BR_VW_AFS_dv360_DIS_PROG_CPM_STD_LDR_AAF_RON_CXD_After-Sales-Oficina-Classicos-REG07-rmkt-add-to-cart-ofertas_PD_300x50</v>
      </c>
      <c r="AF530" s="21" t="str">
        <f t="shared" si="109"/>
        <v>BR_VW_AFS_dv360_DIS_PROG_CPM_STD_LDR_AAF_RON_CXD_After-Sales-Oficina-Classicos-REG07-rmkt-add-to-cart-ofertas_PD_300x50</v>
      </c>
      <c r="AG530" s="21" t="str">
        <f t="shared" si="110"/>
        <v>VW_After-Sales-rmkt-add-to-cart-ofertas_300x50_After-Sales-Oficina-Classicos-REG07-adserver</v>
      </c>
      <c r="AH530" s="21" t="str">
        <f t="shared" si="111"/>
        <v>https://www.oficinadeclassicos.com.br/index.aspx?utm_source=dv360&amp;utm_medium=Programmatic&amp;utm_content=BR_VW_AFS_dv360_DIS_PROG_CPM_STD_LDR_AAF_RON_CXD_After-Sales-Oficina-Classicos-REG07-rmkt-add-to-cart-ofertas_PD_300x50&amp;utm_campaign=BR_AAF_DSY_NONMS_ND_AS_2019Q2APR_AFS_After-Sales&amp;utm_term=%epid!_%ecid!_%eaid!</v>
      </c>
      <c r="AI530" s="21" t="str">
        <f t="shared" si="112"/>
        <v>TAG</v>
      </c>
      <c r="AJ530" s="15" t="str">
        <f t="shared" si="106"/>
        <v>dv360</v>
      </c>
      <c r="AK530" s="15" t="str">
        <f t="shared" si="107"/>
        <v>Programmatic</v>
      </c>
      <c r="AL530" s="21" t="str">
        <f>Campanha!$B$3</f>
        <v>BR_AAF_DSY_NONMS_ND_AS_2019Q2APR_AFS_After-Sales</v>
      </c>
      <c r="AM530" s="21" t="str">
        <f t="shared" si="113"/>
        <v>BR_VW_AFS_dv360_DIS_PROG_CPM_STD_LDR_AAF_RON_CXD_After-Sales-Oficina-Classicos-REG07-rmkt-add-to-cart-ofertas_PD_300x50</v>
      </c>
      <c r="AN530" s="15" t="s">
        <v>809</v>
      </c>
    </row>
    <row r="531" spans="2:40" hidden="1" x14ac:dyDescent="0.25">
      <c r="B531" s="15" t="s">
        <v>872</v>
      </c>
      <c r="C531" s="15"/>
      <c r="D531" s="30" t="s">
        <v>873</v>
      </c>
      <c r="E531" s="22">
        <v>44155</v>
      </c>
      <c r="F531" s="22">
        <v>44196</v>
      </c>
      <c r="G531" s="15" t="s">
        <v>674</v>
      </c>
      <c r="H531" s="15" t="s">
        <v>811</v>
      </c>
      <c r="I531" s="15" t="s">
        <v>702</v>
      </c>
      <c r="J531" s="15" t="s">
        <v>325</v>
      </c>
      <c r="K531" s="15" t="s">
        <v>334</v>
      </c>
      <c r="L531" s="15" t="s">
        <v>358</v>
      </c>
      <c r="M531" s="15" t="s">
        <v>322</v>
      </c>
      <c r="N531" s="15" t="s">
        <v>708</v>
      </c>
      <c r="O531" s="15" t="s">
        <v>694</v>
      </c>
      <c r="P531" s="15" t="s">
        <v>1046</v>
      </c>
      <c r="Q531" s="15" t="s">
        <v>877</v>
      </c>
      <c r="R531" s="15" t="s">
        <v>835</v>
      </c>
      <c r="S531" s="15" t="s">
        <v>348</v>
      </c>
      <c r="T531" s="15" t="s">
        <v>478</v>
      </c>
      <c r="AC531" s="32" t="s">
        <v>885</v>
      </c>
      <c r="AD531" s="33" t="e">
        <f t="shared" si="105"/>
        <v>#N/A</v>
      </c>
      <c r="AE531" s="21" t="str">
        <f t="shared" si="108"/>
        <v>BR_VW_AFS_dv360_DIS_PROG_CPM_STD_LDR_AAF_RON_CXD_After-Sales-Oficina-Classicos-REG07-rmkt-add-to-cart-ofertas_PD_300x250</v>
      </c>
      <c r="AF531" s="21" t="str">
        <f t="shared" si="109"/>
        <v>BR_VW_AFS_dv360_DIS_PROG_CPM_STD_LDR_AAF_RON_CXD_After-Sales-Oficina-Classicos-REG07-rmkt-add-to-cart-ofertas_PD_300x250</v>
      </c>
      <c r="AG531" s="21" t="str">
        <f t="shared" si="110"/>
        <v>VW_After-Sales-rmkt-add-to-cart-ofertas_300x250_After-Sales-Oficina-Classicos-REG07-adserver</v>
      </c>
      <c r="AH531" s="21" t="str">
        <f t="shared" si="111"/>
        <v>https://www.oficinadeclassicos.com.br/index.aspx?utm_source=dv360&amp;utm_medium=Programmatic&amp;utm_content=BR_VW_AFS_dv360_DIS_PROG_CPM_STD_LDR_AAF_RON_CXD_After-Sales-Oficina-Classicos-REG07-rmkt-add-to-cart-ofertas_PD_300x250&amp;utm_campaign=BR_AAF_DSY_NONMS_ND_AS_2019Q2APR_AFS_After-Sales&amp;utm_term=%epid!_%ecid!_%eaid!</v>
      </c>
      <c r="AI531" s="21" t="str">
        <f t="shared" si="112"/>
        <v>TAG</v>
      </c>
      <c r="AJ531" s="15" t="str">
        <f t="shared" si="106"/>
        <v>dv360</v>
      </c>
      <c r="AK531" s="15" t="str">
        <f t="shared" si="107"/>
        <v>Programmatic</v>
      </c>
      <c r="AL531" s="21" t="str">
        <f>Campanha!$B$3</f>
        <v>BR_AAF_DSY_NONMS_ND_AS_2019Q2APR_AFS_After-Sales</v>
      </c>
      <c r="AM531" s="21" t="str">
        <f t="shared" si="113"/>
        <v>BR_VW_AFS_dv360_DIS_PROG_CPM_STD_LDR_AAF_RON_CXD_After-Sales-Oficina-Classicos-REG07-rmkt-add-to-cart-ofertas_PD_300x250</v>
      </c>
      <c r="AN531" s="15" t="s">
        <v>809</v>
      </c>
    </row>
    <row r="532" spans="2:40" hidden="1" x14ac:dyDescent="0.25">
      <c r="B532" s="15" t="s">
        <v>872</v>
      </c>
      <c r="C532" s="15"/>
      <c r="D532" s="30" t="s">
        <v>873</v>
      </c>
      <c r="E532" s="22">
        <v>44155</v>
      </c>
      <c r="F532" s="22">
        <v>44196</v>
      </c>
      <c r="G532" s="15" t="s">
        <v>674</v>
      </c>
      <c r="H532" s="15" t="s">
        <v>811</v>
      </c>
      <c r="I532" s="15" t="s">
        <v>702</v>
      </c>
      <c r="J532" s="15" t="s">
        <v>325</v>
      </c>
      <c r="K532" s="15" t="s">
        <v>334</v>
      </c>
      <c r="L532" s="15" t="s">
        <v>358</v>
      </c>
      <c r="M532" s="15" t="s">
        <v>322</v>
      </c>
      <c r="N532" s="15" t="s">
        <v>708</v>
      </c>
      <c r="O532" s="15" t="s">
        <v>694</v>
      </c>
      <c r="P532" s="15" t="s">
        <v>1046</v>
      </c>
      <c r="Q532" s="15" t="s">
        <v>877</v>
      </c>
      <c r="R532" s="15" t="s">
        <v>835</v>
      </c>
      <c r="S532" s="15" t="s">
        <v>348</v>
      </c>
      <c r="T532" s="15" t="s">
        <v>614</v>
      </c>
      <c r="AC532" s="32" t="s">
        <v>885</v>
      </c>
      <c r="AD532" s="33" t="e">
        <f t="shared" si="105"/>
        <v>#N/A</v>
      </c>
      <c r="AE532" s="21" t="str">
        <f t="shared" si="108"/>
        <v>BR_VW_AFS_dv360_DIS_PROG_CPM_STD_LDR_AAF_RON_CXD_After-Sales-Oficina-Classicos-REG07-rmkt-add-to-cart-ofertas_PD_728x90</v>
      </c>
      <c r="AF532" s="21" t="str">
        <f t="shared" si="109"/>
        <v>BR_VW_AFS_dv360_DIS_PROG_CPM_STD_LDR_AAF_RON_CXD_After-Sales-Oficina-Classicos-REG07-rmkt-add-to-cart-ofertas_PD_728x90</v>
      </c>
      <c r="AG532" s="21" t="str">
        <f t="shared" si="110"/>
        <v>VW_After-Sales-rmkt-add-to-cart-ofertas_728x90_After-Sales-Oficina-Classicos-REG07-adserver</v>
      </c>
      <c r="AH532" s="21" t="str">
        <f t="shared" si="111"/>
        <v>https://www.oficinadeclassicos.com.br/index.aspx?utm_source=dv360&amp;utm_medium=Programmatic&amp;utm_content=BR_VW_AFS_dv360_DIS_PROG_CPM_STD_LDR_AAF_RON_CXD_After-Sales-Oficina-Classicos-REG07-rmkt-add-to-cart-ofertas_PD_728x90&amp;utm_campaign=BR_AAF_DSY_NONMS_ND_AS_2019Q2APR_AFS_After-Sales&amp;utm_term=%epid!_%ecid!_%eaid!</v>
      </c>
      <c r="AI532" s="21" t="str">
        <f t="shared" si="112"/>
        <v>TAG</v>
      </c>
      <c r="AJ532" s="15" t="str">
        <f t="shared" si="106"/>
        <v>dv360</v>
      </c>
      <c r="AK532" s="15" t="str">
        <f t="shared" si="107"/>
        <v>Programmatic</v>
      </c>
      <c r="AL532" s="21" t="str">
        <f>Campanha!$B$3</f>
        <v>BR_AAF_DSY_NONMS_ND_AS_2019Q2APR_AFS_After-Sales</v>
      </c>
      <c r="AM532" s="21" t="str">
        <f t="shared" si="113"/>
        <v>BR_VW_AFS_dv360_DIS_PROG_CPM_STD_LDR_AAF_RON_CXD_After-Sales-Oficina-Classicos-REG07-rmkt-add-to-cart-ofertas_PD_728x90</v>
      </c>
      <c r="AN532" s="15" t="s">
        <v>809</v>
      </c>
    </row>
    <row r="533" spans="2:40" hidden="1" x14ac:dyDescent="0.25">
      <c r="B533" s="15" t="s">
        <v>872</v>
      </c>
      <c r="C533" s="15"/>
      <c r="D533" s="30" t="s">
        <v>873</v>
      </c>
      <c r="E533" s="22">
        <v>44155</v>
      </c>
      <c r="F533" s="22">
        <v>44196</v>
      </c>
      <c r="G533" s="15" t="s">
        <v>674</v>
      </c>
      <c r="H533" s="15" t="s">
        <v>811</v>
      </c>
      <c r="I533" s="15" t="s">
        <v>702</v>
      </c>
      <c r="J533" s="15" t="s">
        <v>325</v>
      </c>
      <c r="K533" s="15" t="s">
        <v>334</v>
      </c>
      <c r="L533" s="15" t="s">
        <v>358</v>
      </c>
      <c r="M533" s="15" t="s">
        <v>322</v>
      </c>
      <c r="N533" s="15" t="s">
        <v>708</v>
      </c>
      <c r="O533" s="15" t="s">
        <v>694</v>
      </c>
      <c r="P533" s="15" t="s">
        <v>1046</v>
      </c>
      <c r="Q533" s="15" t="s">
        <v>877</v>
      </c>
      <c r="R533" s="15" t="s">
        <v>835</v>
      </c>
      <c r="S533" s="15" t="s">
        <v>348</v>
      </c>
      <c r="T533" s="15" t="s">
        <v>652</v>
      </c>
      <c r="AC533" s="32" t="s">
        <v>885</v>
      </c>
      <c r="AD533" s="33" t="e">
        <f t="shared" si="105"/>
        <v>#N/A</v>
      </c>
      <c r="AE533" s="21" t="str">
        <f t="shared" si="108"/>
        <v>BR_VW_AFS_dv360_DIS_PROG_CPM_STD_LDR_AAF_RON_CXD_After-Sales-Oficina-Classicos-REG07-rmkt-add-to-cart-ofertas_PD_970x250</v>
      </c>
      <c r="AF533" s="21" t="str">
        <f t="shared" si="109"/>
        <v>BR_VW_AFS_dv360_DIS_PROG_CPM_STD_LDR_AAF_RON_CXD_After-Sales-Oficina-Classicos-REG07-rmkt-add-to-cart-ofertas_PD_970x250</v>
      </c>
      <c r="AG533" s="21" t="str">
        <f t="shared" si="110"/>
        <v>VW_After-Sales-rmkt-add-to-cart-ofertas_970x250_After-Sales-Oficina-Classicos-REG07-adserver</v>
      </c>
      <c r="AH533" s="21" t="str">
        <f t="shared" si="111"/>
        <v>https://www.oficinadeclassicos.com.br/index.aspx?utm_source=dv360&amp;utm_medium=Programmatic&amp;utm_content=BR_VW_AFS_dv360_DIS_PROG_CPM_STD_LDR_AAF_RON_CXD_After-Sales-Oficina-Classicos-REG07-rmkt-add-to-cart-ofertas_PD_970x250&amp;utm_campaign=BR_AAF_DSY_NONMS_ND_AS_2019Q2APR_AFS_After-Sales&amp;utm_term=%epid!_%ecid!_%eaid!</v>
      </c>
      <c r="AI533" s="21" t="str">
        <f t="shared" si="112"/>
        <v>TAG</v>
      </c>
      <c r="AJ533" s="15" t="str">
        <f t="shared" si="106"/>
        <v>dv360</v>
      </c>
      <c r="AK533" s="15" t="str">
        <f t="shared" si="107"/>
        <v>Programmatic</v>
      </c>
      <c r="AL533" s="21" t="str">
        <f>Campanha!$B$3</f>
        <v>BR_AAF_DSY_NONMS_ND_AS_2019Q2APR_AFS_After-Sales</v>
      </c>
      <c r="AM533" s="21" t="str">
        <f t="shared" si="113"/>
        <v>BR_VW_AFS_dv360_DIS_PROG_CPM_STD_LDR_AAF_RON_CXD_After-Sales-Oficina-Classicos-REG07-rmkt-add-to-cart-ofertas_PD_970x250</v>
      </c>
      <c r="AN533" s="15" t="s">
        <v>809</v>
      </c>
    </row>
    <row r="534" spans="2:40" hidden="1" x14ac:dyDescent="0.25">
      <c r="B534" s="15" t="s">
        <v>872</v>
      </c>
      <c r="C534" s="15"/>
      <c r="D534" s="30" t="s">
        <v>873</v>
      </c>
      <c r="E534" s="22">
        <v>44155</v>
      </c>
      <c r="F534" s="22">
        <v>44196</v>
      </c>
      <c r="G534" s="15" t="s">
        <v>674</v>
      </c>
      <c r="H534" s="15" t="s">
        <v>811</v>
      </c>
      <c r="I534" s="15" t="s">
        <v>702</v>
      </c>
      <c r="J534" s="15" t="s">
        <v>325</v>
      </c>
      <c r="K534" s="15" t="s">
        <v>334</v>
      </c>
      <c r="L534" s="15" t="s">
        <v>358</v>
      </c>
      <c r="M534" s="15" t="s">
        <v>322</v>
      </c>
      <c r="N534" s="15" t="s">
        <v>708</v>
      </c>
      <c r="O534" s="15" t="s">
        <v>694</v>
      </c>
      <c r="P534" s="15" t="s">
        <v>1046</v>
      </c>
      <c r="Q534" s="15" t="s">
        <v>887</v>
      </c>
      <c r="R534" s="15" t="s">
        <v>835</v>
      </c>
      <c r="S534" s="15" t="s">
        <v>348</v>
      </c>
      <c r="T534" s="15" t="s">
        <v>457</v>
      </c>
      <c r="AC534" s="32" t="s">
        <v>885</v>
      </c>
      <c r="AD534" s="33" t="e">
        <f t="shared" si="105"/>
        <v>#N/A</v>
      </c>
      <c r="AE534" s="21" t="str">
        <f t="shared" si="108"/>
        <v>BR_VW_AFS_dv360_DIS_PROG_CPM_STD_LDR_AAF_RON_CXD_After-Sales-Oficina-Classicos-REG07-lal-lead-oficina_PD_160x600</v>
      </c>
      <c r="AF534" s="21" t="str">
        <f t="shared" si="109"/>
        <v>BR_VW_AFS_dv360_DIS_PROG_CPM_STD_LDR_AAF_RON_CXD_After-Sales-Oficina-Classicos-REG07-lal-lead-oficina_PD_160x600</v>
      </c>
      <c r="AG534" s="21" t="str">
        <f t="shared" si="110"/>
        <v>VW_After-Sales-lal-lead-oficina_160x600_After-Sales-Oficina-Classicos-REG07-adserver</v>
      </c>
      <c r="AH534" s="21" t="str">
        <f t="shared" si="111"/>
        <v>https://www.oficinadeclassicos.com.br/index.aspx?utm_source=dv360&amp;utm_medium=Programmatic&amp;utm_content=BR_VW_AFS_dv360_DIS_PROG_CPM_STD_LDR_AAF_RON_CXD_After-Sales-Oficina-Classicos-REG07-lal-lead-oficina_PD_160x600&amp;utm_campaign=BR_AAF_DSY_NONMS_ND_AS_2019Q2APR_AFS_After-Sales&amp;utm_term=%epid!_%ecid!_%eaid!</v>
      </c>
      <c r="AI534" s="21" t="str">
        <f t="shared" si="112"/>
        <v>TAG</v>
      </c>
      <c r="AJ534" s="15" t="str">
        <f t="shared" si="106"/>
        <v>dv360</v>
      </c>
      <c r="AK534" s="15" t="str">
        <f t="shared" si="107"/>
        <v>Programmatic</v>
      </c>
      <c r="AL534" s="21" t="str">
        <f>Campanha!$B$3</f>
        <v>BR_AAF_DSY_NONMS_ND_AS_2019Q2APR_AFS_After-Sales</v>
      </c>
      <c r="AM534" s="21" t="str">
        <f t="shared" si="113"/>
        <v>BR_VW_AFS_dv360_DIS_PROG_CPM_STD_LDR_AAF_RON_CXD_After-Sales-Oficina-Classicos-REG07-lal-lead-oficina_PD_160x600</v>
      </c>
      <c r="AN534" s="15" t="s">
        <v>809</v>
      </c>
    </row>
    <row r="535" spans="2:40" hidden="1" x14ac:dyDescent="0.25">
      <c r="B535" s="15" t="s">
        <v>872</v>
      </c>
      <c r="C535" s="15"/>
      <c r="D535" s="30" t="s">
        <v>873</v>
      </c>
      <c r="E535" s="22">
        <v>44155</v>
      </c>
      <c r="F535" s="22">
        <v>44196</v>
      </c>
      <c r="G535" s="15" t="s">
        <v>674</v>
      </c>
      <c r="H535" s="15" t="s">
        <v>811</v>
      </c>
      <c r="I535" s="15" t="s">
        <v>702</v>
      </c>
      <c r="J535" s="15" t="s">
        <v>325</v>
      </c>
      <c r="K535" s="15" t="s">
        <v>334</v>
      </c>
      <c r="L535" s="15" t="s">
        <v>358</v>
      </c>
      <c r="M535" s="15" t="s">
        <v>322</v>
      </c>
      <c r="N535" s="15" t="s">
        <v>708</v>
      </c>
      <c r="O535" s="15" t="s">
        <v>694</v>
      </c>
      <c r="P535" s="15" t="s">
        <v>1046</v>
      </c>
      <c r="Q535" s="15" t="s">
        <v>887</v>
      </c>
      <c r="R535" s="15" t="s">
        <v>835</v>
      </c>
      <c r="S535" s="15" t="s">
        <v>348</v>
      </c>
      <c r="T535" s="15" t="s">
        <v>484</v>
      </c>
      <c r="AC535" s="32" t="s">
        <v>885</v>
      </c>
      <c r="AD535" s="33" t="e">
        <f t="shared" si="105"/>
        <v>#N/A</v>
      </c>
      <c r="AE535" s="21" t="str">
        <f t="shared" si="108"/>
        <v>BR_VW_AFS_dv360_DIS_PROG_CPM_STD_LDR_AAF_RON_CXD_After-Sales-Oficina-Classicos-REG07-lal-lead-oficina_PD_300x50</v>
      </c>
      <c r="AF535" s="21" t="str">
        <f t="shared" si="109"/>
        <v>BR_VW_AFS_dv360_DIS_PROG_CPM_STD_LDR_AAF_RON_CXD_After-Sales-Oficina-Classicos-REG07-lal-lead-oficina_PD_300x50</v>
      </c>
      <c r="AG535" s="21" t="str">
        <f t="shared" si="110"/>
        <v>VW_After-Sales-lal-lead-oficina_300x50_After-Sales-Oficina-Classicos-REG07-adserver</v>
      </c>
      <c r="AH535" s="21" t="str">
        <f t="shared" si="111"/>
        <v>https://www.oficinadeclassicos.com.br/index.aspx?utm_source=dv360&amp;utm_medium=Programmatic&amp;utm_content=BR_VW_AFS_dv360_DIS_PROG_CPM_STD_LDR_AAF_RON_CXD_After-Sales-Oficina-Classicos-REG07-lal-lead-oficina_PD_300x50&amp;utm_campaign=BR_AAF_DSY_NONMS_ND_AS_2019Q2APR_AFS_After-Sales&amp;utm_term=%epid!_%ecid!_%eaid!</v>
      </c>
      <c r="AI535" s="21" t="str">
        <f t="shared" si="112"/>
        <v>TAG</v>
      </c>
      <c r="AJ535" s="15" t="str">
        <f t="shared" si="106"/>
        <v>dv360</v>
      </c>
      <c r="AK535" s="15" t="str">
        <f t="shared" si="107"/>
        <v>Programmatic</v>
      </c>
      <c r="AL535" s="21" t="str">
        <f>Campanha!$B$3</f>
        <v>BR_AAF_DSY_NONMS_ND_AS_2019Q2APR_AFS_After-Sales</v>
      </c>
      <c r="AM535" s="21" t="str">
        <f t="shared" si="113"/>
        <v>BR_VW_AFS_dv360_DIS_PROG_CPM_STD_LDR_AAF_RON_CXD_After-Sales-Oficina-Classicos-REG07-lal-lead-oficina_PD_300x50</v>
      </c>
      <c r="AN535" s="15" t="s">
        <v>809</v>
      </c>
    </row>
    <row r="536" spans="2:40" hidden="1" x14ac:dyDescent="0.25">
      <c r="B536" s="15" t="s">
        <v>872</v>
      </c>
      <c r="C536" s="15"/>
      <c r="D536" s="30" t="s">
        <v>873</v>
      </c>
      <c r="E536" s="22">
        <v>44155</v>
      </c>
      <c r="F536" s="22">
        <v>44196</v>
      </c>
      <c r="G536" s="15" t="s">
        <v>674</v>
      </c>
      <c r="H536" s="15" t="s">
        <v>811</v>
      </c>
      <c r="I536" s="15" t="s">
        <v>702</v>
      </c>
      <c r="J536" s="15" t="s">
        <v>325</v>
      </c>
      <c r="K536" s="15" t="s">
        <v>334</v>
      </c>
      <c r="L536" s="15" t="s">
        <v>358</v>
      </c>
      <c r="M536" s="15" t="s">
        <v>322</v>
      </c>
      <c r="N536" s="15" t="s">
        <v>708</v>
      </c>
      <c r="O536" s="15" t="s">
        <v>694</v>
      </c>
      <c r="P536" s="15" t="s">
        <v>1046</v>
      </c>
      <c r="Q536" s="15" t="s">
        <v>887</v>
      </c>
      <c r="R536" s="15" t="s">
        <v>835</v>
      </c>
      <c r="S536" s="15" t="s">
        <v>348</v>
      </c>
      <c r="T536" s="15" t="s">
        <v>478</v>
      </c>
      <c r="AC536" s="32" t="s">
        <v>885</v>
      </c>
      <c r="AD536" s="33" t="e">
        <f t="shared" si="105"/>
        <v>#N/A</v>
      </c>
      <c r="AE536" s="21" t="str">
        <f t="shared" si="108"/>
        <v>BR_VW_AFS_dv360_DIS_PROG_CPM_STD_LDR_AAF_RON_CXD_After-Sales-Oficina-Classicos-REG07-lal-lead-oficina_PD_300x250</v>
      </c>
      <c r="AF536" s="21" t="str">
        <f t="shared" si="109"/>
        <v>BR_VW_AFS_dv360_DIS_PROG_CPM_STD_LDR_AAF_RON_CXD_After-Sales-Oficina-Classicos-REG07-lal-lead-oficina_PD_300x250</v>
      </c>
      <c r="AG536" s="21" t="str">
        <f t="shared" si="110"/>
        <v>VW_After-Sales-lal-lead-oficina_300x250_After-Sales-Oficina-Classicos-REG07-adserver</v>
      </c>
      <c r="AH536" s="21" t="str">
        <f t="shared" si="111"/>
        <v>https://www.oficinadeclassicos.com.br/index.aspx?utm_source=dv360&amp;utm_medium=Programmatic&amp;utm_content=BR_VW_AFS_dv360_DIS_PROG_CPM_STD_LDR_AAF_RON_CXD_After-Sales-Oficina-Classicos-REG07-lal-lead-oficina_PD_300x250&amp;utm_campaign=BR_AAF_DSY_NONMS_ND_AS_2019Q2APR_AFS_After-Sales&amp;utm_term=%epid!_%ecid!_%eaid!</v>
      </c>
      <c r="AI536" s="21" t="str">
        <f t="shared" si="112"/>
        <v>TAG</v>
      </c>
      <c r="AJ536" s="15" t="str">
        <f t="shared" si="106"/>
        <v>dv360</v>
      </c>
      <c r="AK536" s="15" t="str">
        <f t="shared" si="107"/>
        <v>Programmatic</v>
      </c>
      <c r="AL536" s="21" t="str">
        <f>Campanha!$B$3</f>
        <v>BR_AAF_DSY_NONMS_ND_AS_2019Q2APR_AFS_After-Sales</v>
      </c>
      <c r="AM536" s="21" t="str">
        <f t="shared" si="113"/>
        <v>BR_VW_AFS_dv360_DIS_PROG_CPM_STD_LDR_AAF_RON_CXD_After-Sales-Oficina-Classicos-REG07-lal-lead-oficina_PD_300x250</v>
      </c>
      <c r="AN536" s="15" t="s">
        <v>809</v>
      </c>
    </row>
    <row r="537" spans="2:40" hidden="1" x14ac:dyDescent="0.25">
      <c r="B537" s="15" t="s">
        <v>872</v>
      </c>
      <c r="C537" s="15"/>
      <c r="D537" s="30" t="s">
        <v>873</v>
      </c>
      <c r="E537" s="22">
        <v>44155</v>
      </c>
      <c r="F537" s="22">
        <v>44196</v>
      </c>
      <c r="G537" s="15" t="s">
        <v>674</v>
      </c>
      <c r="H537" s="15" t="s">
        <v>811</v>
      </c>
      <c r="I537" s="15" t="s">
        <v>702</v>
      </c>
      <c r="J537" s="15" t="s">
        <v>325</v>
      </c>
      <c r="K537" s="15" t="s">
        <v>334</v>
      </c>
      <c r="L537" s="15" t="s">
        <v>358</v>
      </c>
      <c r="M537" s="15" t="s">
        <v>322</v>
      </c>
      <c r="N537" s="15" t="s">
        <v>708</v>
      </c>
      <c r="O537" s="15" t="s">
        <v>694</v>
      </c>
      <c r="P537" s="15" t="s">
        <v>1046</v>
      </c>
      <c r="Q537" s="15" t="s">
        <v>887</v>
      </c>
      <c r="R537" s="15" t="s">
        <v>835</v>
      </c>
      <c r="S537" s="15" t="s">
        <v>348</v>
      </c>
      <c r="T537" s="15" t="s">
        <v>614</v>
      </c>
      <c r="AC537" s="32" t="s">
        <v>885</v>
      </c>
      <c r="AD537" s="33" t="e">
        <f t="shared" si="105"/>
        <v>#N/A</v>
      </c>
      <c r="AE537" s="21" t="str">
        <f t="shared" si="108"/>
        <v>BR_VW_AFS_dv360_DIS_PROG_CPM_STD_LDR_AAF_RON_CXD_After-Sales-Oficina-Classicos-REG07-lal-lead-oficina_PD_728x90</v>
      </c>
      <c r="AF537" s="21" t="str">
        <f t="shared" si="109"/>
        <v>BR_VW_AFS_dv360_DIS_PROG_CPM_STD_LDR_AAF_RON_CXD_After-Sales-Oficina-Classicos-REG07-lal-lead-oficina_PD_728x90</v>
      </c>
      <c r="AG537" s="21" t="str">
        <f t="shared" si="110"/>
        <v>VW_After-Sales-lal-lead-oficina_728x90_After-Sales-Oficina-Classicos-REG07-adserver</v>
      </c>
      <c r="AH537" s="21" t="str">
        <f t="shared" si="111"/>
        <v>https://www.oficinadeclassicos.com.br/index.aspx?utm_source=dv360&amp;utm_medium=Programmatic&amp;utm_content=BR_VW_AFS_dv360_DIS_PROG_CPM_STD_LDR_AAF_RON_CXD_After-Sales-Oficina-Classicos-REG07-lal-lead-oficina_PD_728x90&amp;utm_campaign=BR_AAF_DSY_NONMS_ND_AS_2019Q2APR_AFS_After-Sales&amp;utm_term=%epid!_%ecid!_%eaid!</v>
      </c>
      <c r="AI537" s="21" t="str">
        <f t="shared" si="112"/>
        <v>TAG</v>
      </c>
      <c r="AJ537" s="15" t="str">
        <f t="shared" si="106"/>
        <v>dv360</v>
      </c>
      <c r="AK537" s="15" t="str">
        <f t="shared" si="107"/>
        <v>Programmatic</v>
      </c>
      <c r="AL537" s="21" t="str">
        <f>Campanha!$B$3</f>
        <v>BR_AAF_DSY_NONMS_ND_AS_2019Q2APR_AFS_After-Sales</v>
      </c>
      <c r="AM537" s="21" t="str">
        <f t="shared" si="113"/>
        <v>BR_VW_AFS_dv360_DIS_PROG_CPM_STD_LDR_AAF_RON_CXD_After-Sales-Oficina-Classicos-REG07-lal-lead-oficina_PD_728x90</v>
      </c>
      <c r="AN537" s="15" t="s">
        <v>809</v>
      </c>
    </row>
    <row r="538" spans="2:40" hidden="1" x14ac:dyDescent="0.25">
      <c r="B538" s="15" t="s">
        <v>872</v>
      </c>
      <c r="C538" s="15"/>
      <c r="D538" s="30" t="s">
        <v>873</v>
      </c>
      <c r="E538" s="22">
        <v>44155</v>
      </c>
      <c r="F538" s="22">
        <v>44196</v>
      </c>
      <c r="G538" s="15" t="s">
        <v>674</v>
      </c>
      <c r="H538" s="15" t="s">
        <v>811</v>
      </c>
      <c r="I538" s="15" t="s">
        <v>702</v>
      </c>
      <c r="J538" s="15" t="s">
        <v>325</v>
      </c>
      <c r="K538" s="15" t="s">
        <v>334</v>
      </c>
      <c r="L538" s="15" t="s">
        <v>358</v>
      </c>
      <c r="M538" s="15" t="s">
        <v>322</v>
      </c>
      <c r="N538" s="15" t="s">
        <v>708</v>
      </c>
      <c r="O538" s="15" t="s">
        <v>694</v>
      </c>
      <c r="P538" s="15" t="s">
        <v>1046</v>
      </c>
      <c r="Q538" s="15" t="s">
        <v>887</v>
      </c>
      <c r="R538" s="15" t="s">
        <v>835</v>
      </c>
      <c r="S538" s="15" t="s">
        <v>348</v>
      </c>
      <c r="T538" s="15" t="s">
        <v>652</v>
      </c>
      <c r="AC538" s="32" t="s">
        <v>885</v>
      </c>
      <c r="AD538" s="33" t="e">
        <f t="shared" si="105"/>
        <v>#N/A</v>
      </c>
      <c r="AE538" s="21" t="str">
        <f t="shared" si="108"/>
        <v>BR_VW_AFS_dv360_DIS_PROG_CPM_STD_LDR_AAF_RON_CXD_After-Sales-Oficina-Classicos-REG07-lal-lead-oficina_PD_970x250</v>
      </c>
      <c r="AF538" s="21" t="str">
        <f t="shared" si="109"/>
        <v>BR_VW_AFS_dv360_DIS_PROG_CPM_STD_LDR_AAF_RON_CXD_After-Sales-Oficina-Classicos-REG07-lal-lead-oficina_PD_970x250</v>
      </c>
      <c r="AG538" s="21" t="str">
        <f t="shared" si="110"/>
        <v>VW_After-Sales-lal-lead-oficina_970x250_After-Sales-Oficina-Classicos-REG07-adserver</v>
      </c>
      <c r="AH538" s="21" t="str">
        <f t="shared" si="111"/>
        <v>https://www.oficinadeclassicos.com.br/index.aspx?utm_source=dv360&amp;utm_medium=Programmatic&amp;utm_content=BR_VW_AFS_dv360_DIS_PROG_CPM_STD_LDR_AAF_RON_CXD_After-Sales-Oficina-Classicos-REG07-lal-lead-oficina_PD_970x250&amp;utm_campaign=BR_AAF_DSY_NONMS_ND_AS_2019Q2APR_AFS_After-Sales&amp;utm_term=%epid!_%ecid!_%eaid!</v>
      </c>
      <c r="AI538" s="21" t="str">
        <f t="shared" si="112"/>
        <v>TAG</v>
      </c>
      <c r="AJ538" s="15" t="str">
        <f t="shared" si="106"/>
        <v>dv360</v>
      </c>
      <c r="AK538" s="15" t="str">
        <f t="shared" si="107"/>
        <v>Programmatic</v>
      </c>
      <c r="AL538" s="21" t="str">
        <f>Campanha!$B$3</f>
        <v>BR_AAF_DSY_NONMS_ND_AS_2019Q2APR_AFS_After-Sales</v>
      </c>
      <c r="AM538" s="21" t="str">
        <f t="shared" si="113"/>
        <v>BR_VW_AFS_dv360_DIS_PROG_CPM_STD_LDR_AAF_RON_CXD_After-Sales-Oficina-Classicos-REG07-lal-lead-oficina_PD_970x250</v>
      </c>
      <c r="AN538" s="15" t="s">
        <v>809</v>
      </c>
    </row>
    <row r="539" spans="2:40" hidden="1" x14ac:dyDescent="0.25">
      <c r="B539" s="15" t="s">
        <v>872</v>
      </c>
      <c r="C539" s="15"/>
      <c r="D539" s="30" t="s">
        <v>873</v>
      </c>
      <c r="E539" s="22">
        <v>44155</v>
      </c>
      <c r="F539" s="22">
        <v>44196</v>
      </c>
      <c r="G539" s="15" t="s">
        <v>674</v>
      </c>
      <c r="H539" s="15" t="s">
        <v>811</v>
      </c>
      <c r="I539" s="15" t="s">
        <v>702</v>
      </c>
      <c r="J539" s="15" t="s">
        <v>325</v>
      </c>
      <c r="K539" s="15" t="s">
        <v>334</v>
      </c>
      <c r="L539" s="15" t="s">
        <v>358</v>
      </c>
      <c r="M539" s="15" t="s">
        <v>322</v>
      </c>
      <c r="N539" s="15" t="s">
        <v>708</v>
      </c>
      <c r="O539" s="15" t="s">
        <v>694</v>
      </c>
      <c r="P539" s="15" t="s">
        <v>1046</v>
      </c>
      <c r="Q539" s="15" t="s">
        <v>880</v>
      </c>
      <c r="R539" s="15" t="s">
        <v>835</v>
      </c>
      <c r="S539" s="15" t="s">
        <v>348</v>
      </c>
      <c r="T539" s="15" t="s">
        <v>457</v>
      </c>
      <c r="AC539" s="32" t="s">
        <v>885</v>
      </c>
      <c r="AD539" s="33" t="e">
        <f t="shared" si="105"/>
        <v>#N/A</v>
      </c>
      <c r="AE539" s="21" t="str">
        <f t="shared" si="108"/>
        <v>BR_VW_AFS_dv360_DIS_PROG_CPM_STD_LDR_AAF_RON_CXD_After-Sales-Oficina-Classicos-REG07-lal-add-to-cart-oficina_PD_160x600</v>
      </c>
      <c r="AF539" s="21" t="str">
        <f t="shared" si="109"/>
        <v>BR_VW_AFS_dv360_DIS_PROG_CPM_STD_LDR_AAF_RON_CXD_After-Sales-Oficina-Classicos-REG07-lal-add-to-cart-oficina_PD_160x600</v>
      </c>
      <c r="AG539" s="21" t="str">
        <f t="shared" si="110"/>
        <v>VW_After-Sales-lal-add-to-cart-oficina_160x600_After-Sales-Oficina-Classicos-REG07-adserver</v>
      </c>
      <c r="AH539" s="21" t="str">
        <f t="shared" si="111"/>
        <v>https://www.oficinadeclassicos.com.br/index.aspx?utm_source=dv360&amp;utm_medium=Programmatic&amp;utm_content=BR_VW_AFS_dv360_DIS_PROG_CPM_STD_LDR_AAF_RON_CXD_After-Sales-Oficina-Classicos-REG07-lal-add-to-cart-oficina_PD_160x600&amp;utm_campaign=BR_AAF_DSY_NONMS_ND_AS_2019Q2APR_AFS_After-Sales&amp;utm_term=%epid!_%ecid!_%eaid!</v>
      </c>
      <c r="AI539" s="21" t="str">
        <f t="shared" si="112"/>
        <v>TAG</v>
      </c>
      <c r="AJ539" s="15" t="str">
        <f t="shared" si="106"/>
        <v>dv360</v>
      </c>
      <c r="AK539" s="15" t="str">
        <f t="shared" si="107"/>
        <v>Programmatic</v>
      </c>
      <c r="AL539" s="21" t="str">
        <f>Campanha!$B$3</f>
        <v>BR_AAF_DSY_NONMS_ND_AS_2019Q2APR_AFS_After-Sales</v>
      </c>
      <c r="AM539" s="21" t="str">
        <f t="shared" si="113"/>
        <v>BR_VW_AFS_dv360_DIS_PROG_CPM_STD_LDR_AAF_RON_CXD_After-Sales-Oficina-Classicos-REG07-lal-add-to-cart-oficina_PD_160x600</v>
      </c>
      <c r="AN539" s="15" t="s">
        <v>809</v>
      </c>
    </row>
    <row r="540" spans="2:40" hidden="1" x14ac:dyDescent="0.25">
      <c r="B540" s="15" t="s">
        <v>872</v>
      </c>
      <c r="C540" s="15"/>
      <c r="D540" s="30" t="s">
        <v>873</v>
      </c>
      <c r="E540" s="22">
        <v>44155</v>
      </c>
      <c r="F540" s="22">
        <v>44196</v>
      </c>
      <c r="G540" s="15" t="s">
        <v>674</v>
      </c>
      <c r="H540" s="15" t="s">
        <v>811</v>
      </c>
      <c r="I540" s="15" t="s">
        <v>702</v>
      </c>
      <c r="J540" s="15" t="s">
        <v>325</v>
      </c>
      <c r="K540" s="15" t="s">
        <v>334</v>
      </c>
      <c r="L540" s="15" t="s">
        <v>358</v>
      </c>
      <c r="M540" s="15" t="s">
        <v>322</v>
      </c>
      <c r="N540" s="15" t="s">
        <v>708</v>
      </c>
      <c r="O540" s="15" t="s">
        <v>694</v>
      </c>
      <c r="P540" s="15" t="s">
        <v>1046</v>
      </c>
      <c r="Q540" s="15" t="s">
        <v>880</v>
      </c>
      <c r="R540" s="15" t="s">
        <v>835</v>
      </c>
      <c r="S540" s="15" t="s">
        <v>348</v>
      </c>
      <c r="T540" s="15" t="s">
        <v>484</v>
      </c>
      <c r="AC540" s="32" t="s">
        <v>885</v>
      </c>
      <c r="AD540" s="33" t="e">
        <f t="shared" si="105"/>
        <v>#N/A</v>
      </c>
      <c r="AE540" s="21" t="str">
        <f t="shared" si="108"/>
        <v>BR_VW_AFS_dv360_DIS_PROG_CPM_STD_LDR_AAF_RON_CXD_After-Sales-Oficina-Classicos-REG07-lal-add-to-cart-oficina_PD_300x50</v>
      </c>
      <c r="AF540" s="21" t="str">
        <f t="shared" si="109"/>
        <v>BR_VW_AFS_dv360_DIS_PROG_CPM_STD_LDR_AAF_RON_CXD_After-Sales-Oficina-Classicos-REG07-lal-add-to-cart-oficina_PD_300x50</v>
      </c>
      <c r="AG540" s="21" t="str">
        <f t="shared" si="110"/>
        <v>VW_After-Sales-lal-add-to-cart-oficina_300x50_After-Sales-Oficina-Classicos-REG07-adserver</v>
      </c>
      <c r="AH540" s="21" t="str">
        <f t="shared" si="111"/>
        <v>https://www.oficinadeclassicos.com.br/index.aspx?utm_source=dv360&amp;utm_medium=Programmatic&amp;utm_content=BR_VW_AFS_dv360_DIS_PROG_CPM_STD_LDR_AAF_RON_CXD_After-Sales-Oficina-Classicos-REG07-lal-add-to-cart-oficina_PD_300x50&amp;utm_campaign=BR_AAF_DSY_NONMS_ND_AS_2019Q2APR_AFS_After-Sales&amp;utm_term=%epid!_%ecid!_%eaid!</v>
      </c>
      <c r="AI540" s="21" t="str">
        <f t="shared" si="112"/>
        <v>TAG</v>
      </c>
      <c r="AJ540" s="15" t="str">
        <f t="shared" si="106"/>
        <v>dv360</v>
      </c>
      <c r="AK540" s="15" t="str">
        <f t="shared" si="107"/>
        <v>Programmatic</v>
      </c>
      <c r="AL540" s="21" t="str">
        <f>Campanha!$B$3</f>
        <v>BR_AAF_DSY_NONMS_ND_AS_2019Q2APR_AFS_After-Sales</v>
      </c>
      <c r="AM540" s="21" t="str">
        <f t="shared" si="113"/>
        <v>BR_VW_AFS_dv360_DIS_PROG_CPM_STD_LDR_AAF_RON_CXD_After-Sales-Oficina-Classicos-REG07-lal-add-to-cart-oficina_PD_300x50</v>
      </c>
      <c r="AN540" s="15" t="s">
        <v>809</v>
      </c>
    </row>
    <row r="541" spans="2:40" hidden="1" x14ac:dyDescent="0.25">
      <c r="B541" s="15" t="s">
        <v>872</v>
      </c>
      <c r="C541" s="15"/>
      <c r="D541" s="30" t="s">
        <v>873</v>
      </c>
      <c r="E541" s="22">
        <v>44155</v>
      </c>
      <c r="F541" s="22">
        <v>44196</v>
      </c>
      <c r="G541" s="15" t="s">
        <v>674</v>
      </c>
      <c r="H541" s="15" t="s">
        <v>811</v>
      </c>
      <c r="I541" s="15" t="s">
        <v>702</v>
      </c>
      <c r="J541" s="15" t="s">
        <v>325</v>
      </c>
      <c r="K541" s="15" t="s">
        <v>334</v>
      </c>
      <c r="L541" s="15" t="s">
        <v>358</v>
      </c>
      <c r="M541" s="15" t="s">
        <v>322</v>
      </c>
      <c r="N541" s="15" t="s">
        <v>708</v>
      </c>
      <c r="O541" s="15" t="s">
        <v>694</v>
      </c>
      <c r="P541" s="15" t="s">
        <v>1046</v>
      </c>
      <c r="Q541" s="15" t="s">
        <v>880</v>
      </c>
      <c r="R541" s="15" t="s">
        <v>835</v>
      </c>
      <c r="S541" s="15" t="s">
        <v>348</v>
      </c>
      <c r="T541" s="15" t="s">
        <v>478</v>
      </c>
      <c r="AC541" s="32" t="s">
        <v>885</v>
      </c>
      <c r="AD541" s="33" t="e">
        <f t="shared" si="105"/>
        <v>#N/A</v>
      </c>
      <c r="AE541" s="21" t="str">
        <f t="shared" si="108"/>
        <v>BR_VW_AFS_dv360_DIS_PROG_CPM_STD_LDR_AAF_RON_CXD_After-Sales-Oficina-Classicos-REG07-lal-add-to-cart-oficina_PD_300x250</v>
      </c>
      <c r="AF541" s="21" t="str">
        <f t="shared" si="109"/>
        <v>BR_VW_AFS_dv360_DIS_PROG_CPM_STD_LDR_AAF_RON_CXD_After-Sales-Oficina-Classicos-REG07-lal-add-to-cart-oficina_PD_300x250</v>
      </c>
      <c r="AG541" s="21" t="str">
        <f t="shared" si="110"/>
        <v>VW_After-Sales-lal-add-to-cart-oficina_300x250_After-Sales-Oficina-Classicos-REG07-adserver</v>
      </c>
      <c r="AH541" s="21" t="str">
        <f t="shared" si="111"/>
        <v>https://www.oficinadeclassicos.com.br/index.aspx?utm_source=dv360&amp;utm_medium=Programmatic&amp;utm_content=BR_VW_AFS_dv360_DIS_PROG_CPM_STD_LDR_AAF_RON_CXD_After-Sales-Oficina-Classicos-REG07-lal-add-to-cart-oficina_PD_300x250&amp;utm_campaign=BR_AAF_DSY_NONMS_ND_AS_2019Q2APR_AFS_After-Sales&amp;utm_term=%epid!_%ecid!_%eaid!</v>
      </c>
      <c r="AI541" s="21" t="str">
        <f t="shared" si="112"/>
        <v>TAG</v>
      </c>
      <c r="AJ541" s="15" t="str">
        <f t="shared" si="106"/>
        <v>dv360</v>
      </c>
      <c r="AK541" s="15" t="str">
        <f t="shared" si="107"/>
        <v>Programmatic</v>
      </c>
      <c r="AL541" s="21" t="str">
        <f>Campanha!$B$3</f>
        <v>BR_AAF_DSY_NONMS_ND_AS_2019Q2APR_AFS_After-Sales</v>
      </c>
      <c r="AM541" s="21" t="str">
        <f t="shared" si="113"/>
        <v>BR_VW_AFS_dv360_DIS_PROG_CPM_STD_LDR_AAF_RON_CXD_After-Sales-Oficina-Classicos-REG07-lal-add-to-cart-oficina_PD_300x250</v>
      </c>
      <c r="AN541" s="15" t="s">
        <v>809</v>
      </c>
    </row>
    <row r="542" spans="2:40" hidden="1" x14ac:dyDescent="0.25">
      <c r="B542" s="15" t="s">
        <v>872</v>
      </c>
      <c r="C542" s="15"/>
      <c r="D542" s="30" t="s">
        <v>873</v>
      </c>
      <c r="E542" s="22">
        <v>44155</v>
      </c>
      <c r="F542" s="22">
        <v>44196</v>
      </c>
      <c r="G542" s="15" t="s">
        <v>674</v>
      </c>
      <c r="H542" s="15" t="s">
        <v>811</v>
      </c>
      <c r="I542" s="15" t="s">
        <v>702</v>
      </c>
      <c r="J542" s="15" t="s">
        <v>325</v>
      </c>
      <c r="K542" s="15" t="s">
        <v>334</v>
      </c>
      <c r="L542" s="15" t="s">
        <v>358</v>
      </c>
      <c r="M542" s="15" t="s">
        <v>322</v>
      </c>
      <c r="N542" s="15" t="s">
        <v>708</v>
      </c>
      <c r="O542" s="15" t="s">
        <v>694</v>
      </c>
      <c r="P542" s="15" t="s">
        <v>1046</v>
      </c>
      <c r="Q542" s="15" t="s">
        <v>880</v>
      </c>
      <c r="R542" s="15" t="s">
        <v>835</v>
      </c>
      <c r="S542" s="15" t="s">
        <v>348</v>
      </c>
      <c r="T542" s="15" t="s">
        <v>614</v>
      </c>
      <c r="AC542" s="32" t="s">
        <v>885</v>
      </c>
      <c r="AD542" s="33" t="e">
        <f t="shared" si="105"/>
        <v>#N/A</v>
      </c>
      <c r="AE542" s="21" t="str">
        <f t="shared" si="108"/>
        <v>BR_VW_AFS_dv360_DIS_PROG_CPM_STD_LDR_AAF_RON_CXD_After-Sales-Oficina-Classicos-REG07-lal-add-to-cart-oficina_PD_728x90</v>
      </c>
      <c r="AF542" s="21" t="str">
        <f t="shared" si="109"/>
        <v>BR_VW_AFS_dv360_DIS_PROG_CPM_STD_LDR_AAF_RON_CXD_After-Sales-Oficina-Classicos-REG07-lal-add-to-cart-oficina_PD_728x90</v>
      </c>
      <c r="AG542" s="21" t="str">
        <f t="shared" si="110"/>
        <v>VW_After-Sales-lal-add-to-cart-oficina_728x90_After-Sales-Oficina-Classicos-REG07-adserver</v>
      </c>
      <c r="AH542" s="21" t="str">
        <f t="shared" si="111"/>
        <v>https://www.oficinadeclassicos.com.br/index.aspx?utm_source=dv360&amp;utm_medium=Programmatic&amp;utm_content=BR_VW_AFS_dv360_DIS_PROG_CPM_STD_LDR_AAF_RON_CXD_After-Sales-Oficina-Classicos-REG07-lal-add-to-cart-oficina_PD_728x90&amp;utm_campaign=BR_AAF_DSY_NONMS_ND_AS_2019Q2APR_AFS_After-Sales&amp;utm_term=%epid!_%ecid!_%eaid!</v>
      </c>
      <c r="AI542" s="21" t="str">
        <f t="shared" si="112"/>
        <v>TAG</v>
      </c>
      <c r="AJ542" s="15" t="str">
        <f t="shared" si="106"/>
        <v>dv360</v>
      </c>
      <c r="AK542" s="15" t="str">
        <f t="shared" si="107"/>
        <v>Programmatic</v>
      </c>
      <c r="AL542" s="21" t="str">
        <f>Campanha!$B$3</f>
        <v>BR_AAF_DSY_NONMS_ND_AS_2019Q2APR_AFS_After-Sales</v>
      </c>
      <c r="AM542" s="21" t="str">
        <f t="shared" si="113"/>
        <v>BR_VW_AFS_dv360_DIS_PROG_CPM_STD_LDR_AAF_RON_CXD_After-Sales-Oficina-Classicos-REG07-lal-add-to-cart-oficina_PD_728x90</v>
      </c>
      <c r="AN542" s="15" t="s">
        <v>809</v>
      </c>
    </row>
    <row r="543" spans="2:40" hidden="1" x14ac:dyDescent="0.25">
      <c r="B543" s="15" t="s">
        <v>872</v>
      </c>
      <c r="C543" s="15"/>
      <c r="D543" s="30" t="s">
        <v>873</v>
      </c>
      <c r="E543" s="22">
        <v>44155</v>
      </c>
      <c r="F543" s="22">
        <v>44196</v>
      </c>
      <c r="G543" s="15" t="s">
        <v>674</v>
      </c>
      <c r="H543" s="15" t="s">
        <v>811</v>
      </c>
      <c r="I543" s="15" t="s">
        <v>702</v>
      </c>
      <c r="J543" s="15" t="s">
        <v>325</v>
      </c>
      <c r="K543" s="15" t="s">
        <v>334</v>
      </c>
      <c r="L543" s="15" t="s">
        <v>358</v>
      </c>
      <c r="M543" s="15" t="s">
        <v>322</v>
      </c>
      <c r="N543" s="15" t="s">
        <v>708</v>
      </c>
      <c r="O543" s="15" t="s">
        <v>694</v>
      </c>
      <c r="P543" s="15" t="s">
        <v>1046</v>
      </c>
      <c r="Q543" s="15" t="s">
        <v>880</v>
      </c>
      <c r="R543" s="15" t="s">
        <v>835</v>
      </c>
      <c r="S543" s="15" t="s">
        <v>348</v>
      </c>
      <c r="T543" s="15" t="s">
        <v>652</v>
      </c>
      <c r="AC543" s="32" t="s">
        <v>885</v>
      </c>
      <c r="AD543" s="33" t="e">
        <f t="shared" si="105"/>
        <v>#N/A</v>
      </c>
      <c r="AE543" s="21" t="str">
        <f t="shared" si="108"/>
        <v>BR_VW_AFS_dv360_DIS_PROG_CPM_STD_LDR_AAF_RON_CXD_After-Sales-Oficina-Classicos-REG07-lal-add-to-cart-oficina_PD_970x250</v>
      </c>
      <c r="AF543" s="21" t="str">
        <f t="shared" si="109"/>
        <v>BR_VW_AFS_dv360_DIS_PROG_CPM_STD_LDR_AAF_RON_CXD_After-Sales-Oficina-Classicos-REG07-lal-add-to-cart-oficina_PD_970x250</v>
      </c>
      <c r="AG543" s="21" t="str">
        <f t="shared" si="110"/>
        <v>VW_After-Sales-lal-add-to-cart-oficina_970x250_After-Sales-Oficina-Classicos-REG07-adserver</v>
      </c>
      <c r="AH543" s="21" t="str">
        <f t="shared" si="111"/>
        <v>https://www.oficinadeclassicos.com.br/index.aspx?utm_source=dv360&amp;utm_medium=Programmatic&amp;utm_content=BR_VW_AFS_dv360_DIS_PROG_CPM_STD_LDR_AAF_RON_CXD_After-Sales-Oficina-Classicos-REG07-lal-add-to-cart-oficina_PD_970x250&amp;utm_campaign=BR_AAF_DSY_NONMS_ND_AS_2019Q2APR_AFS_After-Sales&amp;utm_term=%epid!_%ecid!_%eaid!</v>
      </c>
      <c r="AI543" s="21" t="str">
        <f t="shared" si="112"/>
        <v>TAG</v>
      </c>
      <c r="AJ543" s="15" t="str">
        <f t="shared" si="106"/>
        <v>dv360</v>
      </c>
      <c r="AK543" s="15" t="str">
        <f t="shared" si="107"/>
        <v>Programmatic</v>
      </c>
      <c r="AL543" s="21" t="str">
        <f>Campanha!$B$3</f>
        <v>BR_AAF_DSY_NONMS_ND_AS_2019Q2APR_AFS_After-Sales</v>
      </c>
      <c r="AM543" s="21" t="str">
        <f t="shared" si="113"/>
        <v>BR_VW_AFS_dv360_DIS_PROG_CPM_STD_LDR_AAF_RON_CXD_After-Sales-Oficina-Classicos-REG07-lal-add-to-cart-oficina_PD_970x250</v>
      </c>
      <c r="AN543" s="15" t="s">
        <v>809</v>
      </c>
    </row>
    <row r="544" spans="2:40" hidden="1" x14ac:dyDescent="0.25">
      <c r="B544" s="15" t="s">
        <v>872</v>
      </c>
      <c r="C544" s="15"/>
      <c r="D544" s="30" t="s">
        <v>873</v>
      </c>
      <c r="E544" s="22">
        <v>44155</v>
      </c>
      <c r="F544" s="22">
        <v>44196</v>
      </c>
      <c r="G544" s="15" t="s">
        <v>674</v>
      </c>
      <c r="H544" s="15" t="s">
        <v>811</v>
      </c>
      <c r="I544" s="15" t="s">
        <v>702</v>
      </c>
      <c r="J544" s="15" t="s">
        <v>325</v>
      </c>
      <c r="K544" s="15" t="s">
        <v>334</v>
      </c>
      <c r="L544" s="15" t="s">
        <v>358</v>
      </c>
      <c r="M544" s="15" t="s">
        <v>322</v>
      </c>
      <c r="N544" s="15" t="s">
        <v>708</v>
      </c>
      <c r="O544" s="15" t="s">
        <v>694</v>
      </c>
      <c r="P544" s="15" t="s">
        <v>1046</v>
      </c>
      <c r="Q544" s="15" t="s">
        <v>888</v>
      </c>
      <c r="R544" s="15" t="s">
        <v>835</v>
      </c>
      <c r="S544" s="15" t="s">
        <v>348</v>
      </c>
      <c r="T544" s="15" t="s">
        <v>457</v>
      </c>
      <c r="AC544" s="32" t="s">
        <v>885</v>
      </c>
      <c r="AD544" s="33" t="e">
        <f t="shared" si="105"/>
        <v>#N/A</v>
      </c>
      <c r="AE544" s="21" t="str">
        <f t="shared" si="108"/>
        <v>BR_VW_AFS_dv360_DIS_PROG_CPM_STD_LDR_AAF_RON_CXD_After-Sales-Oficina-Classicos-REG07-lal-home-oficina_PD_160x600</v>
      </c>
      <c r="AF544" s="21" t="str">
        <f t="shared" si="109"/>
        <v>BR_VW_AFS_dv360_DIS_PROG_CPM_STD_LDR_AAF_RON_CXD_After-Sales-Oficina-Classicos-REG07-lal-home-oficina_PD_160x600</v>
      </c>
      <c r="AG544" s="21" t="str">
        <f t="shared" si="110"/>
        <v>VW_After-Sales-lal-home-oficina_160x600_After-Sales-Oficina-Classicos-REG07-adserver</v>
      </c>
      <c r="AH544" s="21" t="str">
        <f t="shared" si="111"/>
        <v>https://www.oficinadeclassicos.com.br/index.aspx?utm_source=dv360&amp;utm_medium=Programmatic&amp;utm_content=BR_VW_AFS_dv360_DIS_PROG_CPM_STD_LDR_AAF_RON_CXD_After-Sales-Oficina-Classicos-REG07-lal-home-oficina_PD_160x600&amp;utm_campaign=BR_AAF_DSY_NONMS_ND_AS_2019Q2APR_AFS_After-Sales&amp;utm_term=%epid!_%ecid!_%eaid!</v>
      </c>
      <c r="AI544" s="21" t="str">
        <f t="shared" si="112"/>
        <v>TAG</v>
      </c>
      <c r="AJ544" s="15" t="str">
        <f t="shared" si="106"/>
        <v>dv360</v>
      </c>
      <c r="AK544" s="15" t="str">
        <f t="shared" si="107"/>
        <v>Programmatic</v>
      </c>
      <c r="AL544" s="21" t="str">
        <f>Campanha!$B$3</f>
        <v>BR_AAF_DSY_NONMS_ND_AS_2019Q2APR_AFS_After-Sales</v>
      </c>
      <c r="AM544" s="21" t="str">
        <f t="shared" si="113"/>
        <v>BR_VW_AFS_dv360_DIS_PROG_CPM_STD_LDR_AAF_RON_CXD_After-Sales-Oficina-Classicos-REG07-lal-home-oficina_PD_160x600</v>
      </c>
      <c r="AN544" s="15" t="s">
        <v>809</v>
      </c>
    </row>
    <row r="545" spans="2:40" hidden="1" x14ac:dyDescent="0.25">
      <c r="B545" s="15" t="s">
        <v>872</v>
      </c>
      <c r="C545" s="15"/>
      <c r="D545" s="30" t="s">
        <v>873</v>
      </c>
      <c r="E545" s="22">
        <v>44155</v>
      </c>
      <c r="F545" s="22">
        <v>44196</v>
      </c>
      <c r="G545" s="15" t="s">
        <v>674</v>
      </c>
      <c r="H545" s="15" t="s">
        <v>811</v>
      </c>
      <c r="I545" s="15" t="s">
        <v>702</v>
      </c>
      <c r="J545" s="15" t="s">
        <v>325</v>
      </c>
      <c r="K545" s="15" t="s">
        <v>334</v>
      </c>
      <c r="L545" s="15" t="s">
        <v>358</v>
      </c>
      <c r="M545" s="15" t="s">
        <v>322</v>
      </c>
      <c r="N545" s="15" t="s">
        <v>708</v>
      </c>
      <c r="O545" s="15" t="s">
        <v>694</v>
      </c>
      <c r="P545" s="15" t="s">
        <v>1046</v>
      </c>
      <c r="Q545" s="15" t="s">
        <v>888</v>
      </c>
      <c r="R545" s="15" t="s">
        <v>835</v>
      </c>
      <c r="S545" s="15" t="s">
        <v>348</v>
      </c>
      <c r="T545" s="15" t="s">
        <v>484</v>
      </c>
      <c r="AC545" s="32" t="s">
        <v>885</v>
      </c>
      <c r="AD545" s="33" t="e">
        <f t="shared" si="105"/>
        <v>#N/A</v>
      </c>
      <c r="AE545" s="21" t="str">
        <f t="shared" si="108"/>
        <v>BR_VW_AFS_dv360_DIS_PROG_CPM_STD_LDR_AAF_RON_CXD_After-Sales-Oficina-Classicos-REG07-lal-home-oficina_PD_300x50</v>
      </c>
      <c r="AF545" s="21" t="str">
        <f t="shared" si="109"/>
        <v>BR_VW_AFS_dv360_DIS_PROG_CPM_STD_LDR_AAF_RON_CXD_After-Sales-Oficina-Classicos-REG07-lal-home-oficina_PD_300x50</v>
      </c>
      <c r="AG545" s="21" t="str">
        <f t="shared" si="110"/>
        <v>VW_After-Sales-lal-home-oficina_300x50_After-Sales-Oficina-Classicos-REG07-adserver</v>
      </c>
      <c r="AH545" s="21" t="str">
        <f t="shared" si="111"/>
        <v>https://www.oficinadeclassicos.com.br/index.aspx?utm_source=dv360&amp;utm_medium=Programmatic&amp;utm_content=BR_VW_AFS_dv360_DIS_PROG_CPM_STD_LDR_AAF_RON_CXD_After-Sales-Oficina-Classicos-REG07-lal-home-oficina_PD_300x50&amp;utm_campaign=BR_AAF_DSY_NONMS_ND_AS_2019Q2APR_AFS_After-Sales&amp;utm_term=%epid!_%ecid!_%eaid!</v>
      </c>
      <c r="AI545" s="21" t="str">
        <f t="shared" si="112"/>
        <v>TAG</v>
      </c>
      <c r="AJ545" s="15" t="str">
        <f t="shared" si="106"/>
        <v>dv360</v>
      </c>
      <c r="AK545" s="15" t="str">
        <f t="shared" si="107"/>
        <v>Programmatic</v>
      </c>
      <c r="AL545" s="21" t="str">
        <f>Campanha!$B$3</f>
        <v>BR_AAF_DSY_NONMS_ND_AS_2019Q2APR_AFS_After-Sales</v>
      </c>
      <c r="AM545" s="21" t="str">
        <f t="shared" si="113"/>
        <v>BR_VW_AFS_dv360_DIS_PROG_CPM_STD_LDR_AAF_RON_CXD_After-Sales-Oficina-Classicos-REG07-lal-home-oficina_PD_300x50</v>
      </c>
      <c r="AN545" s="15" t="s">
        <v>809</v>
      </c>
    </row>
    <row r="546" spans="2:40" hidden="1" x14ac:dyDescent="0.25">
      <c r="B546" s="15" t="s">
        <v>872</v>
      </c>
      <c r="C546" s="15"/>
      <c r="D546" s="30" t="s">
        <v>873</v>
      </c>
      <c r="E546" s="22">
        <v>44155</v>
      </c>
      <c r="F546" s="22">
        <v>44196</v>
      </c>
      <c r="G546" s="15" t="s">
        <v>674</v>
      </c>
      <c r="H546" s="15" t="s">
        <v>811</v>
      </c>
      <c r="I546" s="15" t="s">
        <v>702</v>
      </c>
      <c r="J546" s="15" t="s">
        <v>325</v>
      </c>
      <c r="K546" s="15" t="s">
        <v>334</v>
      </c>
      <c r="L546" s="15" t="s">
        <v>358</v>
      </c>
      <c r="M546" s="15" t="s">
        <v>322</v>
      </c>
      <c r="N546" s="15" t="s">
        <v>708</v>
      </c>
      <c r="O546" s="15" t="s">
        <v>694</v>
      </c>
      <c r="P546" s="15" t="s">
        <v>1046</v>
      </c>
      <c r="Q546" s="15" t="s">
        <v>888</v>
      </c>
      <c r="R546" s="15" t="s">
        <v>835</v>
      </c>
      <c r="S546" s="15" t="s">
        <v>348</v>
      </c>
      <c r="T546" s="15" t="s">
        <v>478</v>
      </c>
      <c r="AC546" s="32" t="s">
        <v>885</v>
      </c>
      <c r="AD546" s="33" t="e">
        <f t="shared" si="105"/>
        <v>#N/A</v>
      </c>
      <c r="AE546" s="21" t="str">
        <f t="shared" si="108"/>
        <v>BR_VW_AFS_dv360_DIS_PROG_CPM_STD_LDR_AAF_RON_CXD_After-Sales-Oficina-Classicos-REG07-lal-home-oficina_PD_300x250</v>
      </c>
      <c r="AF546" s="21" t="str">
        <f t="shared" si="109"/>
        <v>BR_VW_AFS_dv360_DIS_PROG_CPM_STD_LDR_AAF_RON_CXD_After-Sales-Oficina-Classicos-REG07-lal-home-oficina_PD_300x250</v>
      </c>
      <c r="AG546" s="21" t="str">
        <f t="shared" si="110"/>
        <v>VW_After-Sales-lal-home-oficina_300x250_After-Sales-Oficina-Classicos-REG07-adserver</v>
      </c>
      <c r="AH546" s="21" t="str">
        <f t="shared" si="111"/>
        <v>https://www.oficinadeclassicos.com.br/index.aspx?utm_source=dv360&amp;utm_medium=Programmatic&amp;utm_content=BR_VW_AFS_dv360_DIS_PROG_CPM_STD_LDR_AAF_RON_CXD_After-Sales-Oficina-Classicos-REG07-lal-home-oficina_PD_300x250&amp;utm_campaign=BR_AAF_DSY_NONMS_ND_AS_2019Q2APR_AFS_After-Sales&amp;utm_term=%epid!_%ecid!_%eaid!</v>
      </c>
      <c r="AI546" s="21" t="str">
        <f t="shared" si="112"/>
        <v>TAG</v>
      </c>
      <c r="AJ546" s="15" t="str">
        <f t="shared" si="106"/>
        <v>dv360</v>
      </c>
      <c r="AK546" s="15" t="str">
        <f t="shared" si="107"/>
        <v>Programmatic</v>
      </c>
      <c r="AL546" s="21" t="str">
        <f>Campanha!$B$3</f>
        <v>BR_AAF_DSY_NONMS_ND_AS_2019Q2APR_AFS_After-Sales</v>
      </c>
      <c r="AM546" s="21" t="str">
        <f t="shared" si="113"/>
        <v>BR_VW_AFS_dv360_DIS_PROG_CPM_STD_LDR_AAF_RON_CXD_After-Sales-Oficina-Classicos-REG07-lal-home-oficina_PD_300x250</v>
      </c>
      <c r="AN546" s="15" t="s">
        <v>809</v>
      </c>
    </row>
    <row r="547" spans="2:40" hidden="1" x14ac:dyDescent="0.25">
      <c r="B547" s="15" t="s">
        <v>872</v>
      </c>
      <c r="C547" s="15"/>
      <c r="D547" s="30" t="s">
        <v>873</v>
      </c>
      <c r="E547" s="22">
        <v>44155</v>
      </c>
      <c r="F547" s="22">
        <v>44196</v>
      </c>
      <c r="G547" s="15" t="s">
        <v>674</v>
      </c>
      <c r="H547" s="15" t="s">
        <v>811</v>
      </c>
      <c r="I547" s="15" t="s">
        <v>702</v>
      </c>
      <c r="J547" s="15" t="s">
        <v>325</v>
      </c>
      <c r="K547" s="15" t="s">
        <v>334</v>
      </c>
      <c r="L547" s="15" t="s">
        <v>358</v>
      </c>
      <c r="M547" s="15" t="s">
        <v>322</v>
      </c>
      <c r="N547" s="15" t="s">
        <v>708</v>
      </c>
      <c r="O547" s="15" t="s">
        <v>694</v>
      </c>
      <c r="P547" s="15" t="s">
        <v>1046</v>
      </c>
      <c r="Q547" s="15" t="s">
        <v>888</v>
      </c>
      <c r="R547" s="15" t="s">
        <v>835</v>
      </c>
      <c r="S547" s="15" t="s">
        <v>348</v>
      </c>
      <c r="T547" s="15" t="s">
        <v>614</v>
      </c>
      <c r="AC547" s="32" t="s">
        <v>885</v>
      </c>
      <c r="AD547" s="33" t="e">
        <f t="shared" si="105"/>
        <v>#N/A</v>
      </c>
      <c r="AE547" s="21" t="str">
        <f t="shared" si="108"/>
        <v>BR_VW_AFS_dv360_DIS_PROG_CPM_STD_LDR_AAF_RON_CXD_After-Sales-Oficina-Classicos-REG07-lal-home-oficina_PD_728x90</v>
      </c>
      <c r="AF547" s="21" t="str">
        <f t="shared" si="109"/>
        <v>BR_VW_AFS_dv360_DIS_PROG_CPM_STD_LDR_AAF_RON_CXD_After-Sales-Oficina-Classicos-REG07-lal-home-oficina_PD_728x90</v>
      </c>
      <c r="AG547" s="21" t="str">
        <f t="shared" si="110"/>
        <v>VW_After-Sales-lal-home-oficina_728x90_After-Sales-Oficina-Classicos-REG07-adserver</v>
      </c>
      <c r="AH547" s="21" t="str">
        <f t="shared" si="111"/>
        <v>https://www.oficinadeclassicos.com.br/index.aspx?utm_source=dv360&amp;utm_medium=Programmatic&amp;utm_content=BR_VW_AFS_dv360_DIS_PROG_CPM_STD_LDR_AAF_RON_CXD_After-Sales-Oficina-Classicos-REG07-lal-home-oficina_PD_728x90&amp;utm_campaign=BR_AAF_DSY_NONMS_ND_AS_2019Q2APR_AFS_After-Sales&amp;utm_term=%epid!_%ecid!_%eaid!</v>
      </c>
      <c r="AI547" s="21" t="str">
        <f t="shared" si="112"/>
        <v>TAG</v>
      </c>
      <c r="AJ547" s="15" t="str">
        <f t="shared" si="106"/>
        <v>dv360</v>
      </c>
      <c r="AK547" s="15" t="str">
        <f t="shared" si="107"/>
        <v>Programmatic</v>
      </c>
      <c r="AL547" s="21" t="str">
        <f>Campanha!$B$3</f>
        <v>BR_AAF_DSY_NONMS_ND_AS_2019Q2APR_AFS_After-Sales</v>
      </c>
      <c r="AM547" s="21" t="str">
        <f t="shared" si="113"/>
        <v>BR_VW_AFS_dv360_DIS_PROG_CPM_STD_LDR_AAF_RON_CXD_After-Sales-Oficina-Classicos-REG07-lal-home-oficina_PD_728x90</v>
      </c>
      <c r="AN547" s="15" t="s">
        <v>809</v>
      </c>
    </row>
    <row r="548" spans="2:40" hidden="1" x14ac:dyDescent="0.25">
      <c r="B548" s="15" t="s">
        <v>872</v>
      </c>
      <c r="C548" s="15"/>
      <c r="D548" s="30" t="s">
        <v>873</v>
      </c>
      <c r="E548" s="22">
        <v>44155</v>
      </c>
      <c r="F548" s="22">
        <v>44196</v>
      </c>
      <c r="G548" s="15" t="s">
        <v>674</v>
      </c>
      <c r="H548" s="15" t="s">
        <v>811</v>
      </c>
      <c r="I548" s="15" t="s">
        <v>702</v>
      </c>
      <c r="J548" s="15" t="s">
        <v>325</v>
      </c>
      <c r="K548" s="15" t="s">
        <v>334</v>
      </c>
      <c r="L548" s="15" t="s">
        <v>358</v>
      </c>
      <c r="M548" s="15" t="s">
        <v>322</v>
      </c>
      <c r="N548" s="15" t="s">
        <v>708</v>
      </c>
      <c r="O548" s="15" t="s">
        <v>694</v>
      </c>
      <c r="P548" s="15" t="s">
        <v>1046</v>
      </c>
      <c r="Q548" s="15" t="s">
        <v>888</v>
      </c>
      <c r="R548" s="15" t="s">
        <v>835</v>
      </c>
      <c r="S548" s="15" t="s">
        <v>348</v>
      </c>
      <c r="T548" s="15" t="s">
        <v>652</v>
      </c>
      <c r="AC548" s="32" t="s">
        <v>885</v>
      </c>
      <c r="AD548" s="33" t="e">
        <f t="shared" si="105"/>
        <v>#N/A</v>
      </c>
      <c r="AE548" s="21" t="str">
        <f t="shared" si="108"/>
        <v>BR_VW_AFS_dv360_DIS_PROG_CPM_STD_LDR_AAF_RON_CXD_After-Sales-Oficina-Classicos-REG07-lal-home-oficina_PD_970x250</v>
      </c>
      <c r="AF548" s="21" t="str">
        <f t="shared" si="109"/>
        <v>BR_VW_AFS_dv360_DIS_PROG_CPM_STD_LDR_AAF_RON_CXD_After-Sales-Oficina-Classicos-REG07-lal-home-oficina_PD_970x250</v>
      </c>
      <c r="AG548" s="21" t="str">
        <f t="shared" si="110"/>
        <v>VW_After-Sales-lal-home-oficina_970x250_After-Sales-Oficina-Classicos-REG07-adserver</v>
      </c>
      <c r="AH548" s="21" t="str">
        <f t="shared" si="111"/>
        <v>https://www.oficinadeclassicos.com.br/index.aspx?utm_source=dv360&amp;utm_medium=Programmatic&amp;utm_content=BR_VW_AFS_dv360_DIS_PROG_CPM_STD_LDR_AAF_RON_CXD_After-Sales-Oficina-Classicos-REG07-lal-home-oficina_PD_970x250&amp;utm_campaign=BR_AAF_DSY_NONMS_ND_AS_2019Q2APR_AFS_After-Sales&amp;utm_term=%epid!_%ecid!_%eaid!</v>
      </c>
      <c r="AI548" s="21" t="str">
        <f t="shared" si="112"/>
        <v>TAG</v>
      </c>
      <c r="AJ548" s="15" t="str">
        <f t="shared" si="106"/>
        <v>dv360</v>
      </c>
      <c r="AK548" s="15" t="str">
        <f t="shared" si="107"/>
        <v>Programmatic</v>
      </c>
      <c r="AL548" s="21" t="str">
        <f>Campanha!$B$3</f>
        <v>BR_AAF_DSY_NONMS_ND_AS_2019Q2APR_AFS_After-Sales</v>
      </c>
      <c r="AM548" s="21" t="str">
        <f t="shared" si="113"/>
        <v>BR_VW_AFS_dv360_DIS_PROG_CPM_STD_LDR_AAF_RON_CXD_After-Sales-Oficina-Classicos-REG07-lal-home-oficina_PD_970x250</v>
      </c>
      <c r="AN548" s="15" t="s">
        <v>809</v>
      </c>
    </row>
    <row r="549" spans="2:40" hidden="1" x14ac:dyDescent="0.25">
      <c r="B549" s="15" t="s">
        <v>872</v>
      </c>
      <c r="C549" s="15"/>
      <c r="D549" s="30" t="s">
        <v>873</v>
      </c>
      <c r="E549" s="22">
        <v>44155</v>
      </c>
      <c r="F549" s="22">
        <v>44196</v>
      </c>
      <c r="G549" s="15" t="s">
        <v>674</v>
      </c>
      <c r="H549" s="15" t="s">
        <v>811</v>
      </c>
      <c r="I549" s="15" t="s">
        <v>702</v>
      </c>
      <c r="J549" s="15" t="s">
        <v>325</v>
      </c>
      <c r="K549" s="15" t="s">
        <v>334</v>
      </c>
      <c r="L549" s="15" t="s">
        <v>358</v>
      </c>
      <c r="M549" s="15" t="s">
        <v>322</v>
      </c>
      <c r="N549" s="15" t="s">
        <v>708</v>
      </c>
      <c r="O549" s="15" t="s">
        <v>694</v>
      </c>
      <c r="P549" s="15" t="s">
        <v>1046</v>
      </c>
      <c r="Q549" s="15" t="s">
        <v>878</v>
      </c>
      <c r="R549" s="15" t="s">
        <v>835</v>
      </c>
      <c r="S549" s="15" t="s">
        <v>348</v>
      </c>
      <c r="T549" s="15" t="s">
        <v>457</v>
      </c>
      <c r="AC549" s="32" t="s">
        <v>885</v>
      </c>
      <c r="AD549" s="33" t="e">
        <f t="shared" si="105"/>
        <v>#N/A</v>
      </c>
      <c r="AE549" s="21" t="str">
        <f t="shared" si="108"/>
        <v>BR_VW_AFS_dv360_DIS_PROG_CPM_STD_LDR_AAF_RON_CXD_After-Sales-Oficina-Classicos-REG07-rmkt-visita-home-oficina_PD_160x600</v>
      </c>
      <c r="AF549" s="21" t="str">
        <f t="shared" si="109"/>
        <v>BR_VW_AFS_dv360_DIS_PROG_CPM_STD_LDR_AAF_RON_CXD_After-Sales-Oficina-Classicos-REG07-rmkt-visita-home-oficina_PD_160x600</v>
      </c>
      <c r="AG549" s="21" t="str">
        <f t="shared" si="110"/>
        <v>VW_After-Sales-rmkt-visita-home-oficina_160x600_After-Sales-Oficina-Classicos-REG07-adserver</v>
      </c>
      <c r="AH549" s="21" t="str">
        <f t="shared" si="111"/>
        <v>https://www.oficinadeclassicos.com.br/index.aspx?utm_source=dv360&amp;utm_medium=Programmatic&amp;utm_content=BR_VW_AFS_dv360_DIS_PROG_CPM_STD_LDR_AAF_RON_CXD_After-Sales-Oficina-Classicos-REG07-rmkt-visita-home-oficina_PD_160x600&amp;utm_campaign=BR_AAF_DSY_NONMS_ND_AS_2019Q2APR_AFS_After-Sales&amp;utm_term=%epid!_%ecid!_%eaid!</v>
      </c>
      <c r="AI549" s="21" t="str">
        <f t="shared" si="112"/>
        <v>TAG</v>
      </c>
      <c r="AJ549" s="15" t="str">
        <f t="shared" si="106"/>
        <v>dv360</v>
      </c>
      <c r="AK549" s="15" t="str">
        <f t="shared" si="107"/>
        <v>Programmatic</v>
      </c>
      <c r="AL549" s="21" t="str">
        <f>Campanha!$B$3</f>
        <v>BR_AAF_DSY_NONMS_ND_AS_2019Q2APR_AFS_After-Sales</v>
      </c>
      <c r="AM549" s="21" t="str">
        <f t="shared" si="113"/>
        <v>BR_VW_AFS_dv360_DIS_PROG_CPM_STD_LDR_AAF_RON_CXD_After-Sales-Oficina-Classicos-REG07-rmkt-visita-home-oficina_PD_160x600</v>
      </c>
      <c r="AN549" s="15" t="s">
        <v>809</v>
      </c>
    </row>
    <row r="550" spans="2:40" hidden="1" x14ac:dyDescent="0.25">
      <c r="B550" s="15" t="s">
        <v>872</v>
      </c>
      <c r="C550" s="15"/>
      <c r="D550" s="30" t="s">
        <v>873</v>
      </c>
      <c r="E550" s="22">
        <v>44155</v>
      </c>
      <c r="F550" s="22">
        <v>44196</v>
      </c>
      <c r="G550" s="15" t="s">
        <v>674</v>
      </c>
      <c r="H550" s="15" t="s">
        <v>811</v>
      </c>
      <c r="I550" s="15" t="s">
        <v>702</v>
      </c>
      <c r="J550" s="15" t="s">
        <v>325</v>
      </c>
      <c r="K550" s="15" t="s">
        <v>334</v>
      </c>
      <c r="L550" s="15" t="s">
        <v>358</v>
      </c>
      <c r="M550" s="15" t="s">
        <v>322</v>
      </c>
      <c r="N550" s="15" t="s">
        <v>708</v>
      </c>
      <c r="O550" s="15" t="s">
        <v>694</v>
      </c>
      <c r="P550" s="15" t="s">
        <v>1046</v>
      </c>
      <c r="Q550" s="15" t="s">
        <v>878</v>
      </c>
      <c r="R550" s="15" t="s">
        <v>835</v>
      </c>
      <c r="S550" s="15" t="s">
        <v>348</v>
      </c>
      <c r="T550" s="15" t="s">
        <v>484</v>
      </c>
      <c r="AC550" s="32" t="s">
        <v>885</v>
      </c>
      <c r="AD550" s="33" t="e">
        <f t="shared" si="105"/>
        <v>#N/A</v>
      </c>
      <c r="AE550" s="21" t="str">
        <f t="shared" si="108"/>
        <v>BR_VW_AFS_dv360_DIS_PROG_CPM_STD_LDR_AAF_RON_CXD_After-Sales-Oficina-Classicos-REG07-rmkt-visita-home-oficina_PD_300x50</v>
      </c>
      <c r="AF550" s="21" t="str">
        <f t="shared" si="109"/>
        <v>BR_VW_AFS_dv360_DIS_PROG_CPM_STD_LDR_AAF_RON_CXD_After-Sales-Oficina-Classicos-REG07-rmkt-visita-home-oficina_PD_300x50</v>
      </c>
      <c r="AG550" s="21" t="str">
        <f t="shared" si="110"/>
        <v>VW_After-Sales-rmkt-visita-home-oficina_300x50_After-Sales-Oficina-Classicos-REG07-adserver</v>
      </c>
      <c r="AH550" s="21" t="str">
        <f t="shared" si="111"/>
        <v>https://www.oficinadeclassicos.com.br/index.aspx?utm_source=dv360&amp;utm_medium=Programmatic&amp;utm_content=BR_VW_AFS_dv360_DIS_PROG_CPM_STD_LDR_AAF_RON_CXD_After-Sales-Oficina-Classicos-REG07-rmkt-visita-home-oficina_PD_300x50&amp;utm_campaign=BR_AAF_DSY_NONMS_ND_AS_2019Q2APR_AFS_After-Sales&amp;utm_term=%epid!_%ecid!_%eaid!</v>
      </c>
      <c r="AI550" s="21" t="str">
        <f t="shared" si="112"/>
        <v>TAG</v>
      </c>
      <c r="AJ550" s="15" t="str">
        <f t="shared" si="106"/>
        <v>dv360</v>
      </c>
      <c r="AK550" s="15" t="str">
        <f t="shared" si="107"/>
        <v>Programmatic</v>
      </c>
      <c r="AL550" s="21" t="str">
        <f>Campanha!$B$3</f>
        <v>BR_AAF_DSY_NONMS_ND_AS_2019Q2APR_AFS_After-Sales</v>
      </c>
      <c r="AM550" s="21" t="str">
        <f t="shared" si="113"/>
        <v>BR_VW_AFS_dv360_DIS_PROG_CPM_STD_LDR_AAF_RON_CXD_After-Sales-Oficina-Classicos-REG07-rmkt-visita-home-oficina_PD_300x50</v>
      </c>
      <c r="AN550" s="15" t="s">
        <v>809</v>
      </c>
    </row>
    <row r="551" spans="2:40" hidden="1" x14ac:dyDescent="0.25">
      <c r="B551" s="15" t="s">
        <v>872</v>
      </c>
      <c r="C551" s="15"/>
      <c r="D551" s="30" t="s">
        <v>873</v>
      </c>
      <c r="E551" s="22">
        <v>44155</v>
      </c>
      <c r="F551" s="22">
        <v>44196</v>
      </c>
      <c r="G551" s="15" t="s">
        <v>674</v>
      </c>
      <c r="H551" s="15" t="s">
        <v>811</v>
      </c>
      <c r="I551" s="15" t="s">
        <v>702</v>
      </c>
      <c r="J551" s="15" t="s">
        <v>325</v>
      </c>
      <c r="K551" s="15" t="s">
        <v>334</v>
      </c>
      <c r="L551" s="15" t="s">
        <v>358</v>
      </c>
      <c r="M551" s="15" t="s">
        <v>322</v>
      </c>
      <c r="N551" s="15" t="s">
        <v>708</v>
      </c>
      <c r="O551" s="15" t="s">
        <v>694</v>
      </c>
      <c r="P551" s="15" t="s">
        <v>1046</v>
      </c>
      <c r="Q551" s="15" t="s">
        <v>878</v>
      </c>
      <c r="R551" s="15" t="s">
        <v>835</v>
      </c>
      <c r="S551" s="15" t="s">
        <v>348</v>
      </c>
      <c r="T551" s="15" t="s">
        <v>478</v>
      </c>
      <c r="AC551" s="32" t="s">
        <v>885</v>
      </c>
      <c r="AD551" s="33" t="e">
        <f t="shared" si="105"/>
        <v>#N/A</v>
      </c>
      <c r="AE551" s="21" t="str">
        <f t="shared" si="108"/>
        <v>BR_VW_AFS_dv360_DIS_PROG_CPM_STD_LDR_AAF_RON_CXD_After-Sales-Oficina-Classicos-REG07-rmkt-visita-home-oficina_PD_300x250</v>
      </c>
      <c r="AF551" s="21" t="str">
        <f t="shared" si="109"/>
        <v>BR_VW_AFS_dv360_DIS_PROG_CPM_STD_LDR_AAF_RON_CXD_After-Sales-Oficina-Classicos-REG07-rmkt-visita-home-oficina_PD_300x250</v>
      </c>
      <c r="AG551" s="21" t="str">
        <f t="shared" si="110"/>
        <v>VW_After-Sales-rmkt-visita-home-oficina_300x250_After-Sales-Oficina-Classicos-REG07-adserver</v>
      </c>
      <c r="AH551" s="21" t="str">
        <f t="shared" si="111"/>
        <v>https://www.oficinadeclassicos.com.br/index.aspx?utm_source=dv360&amp;utm_medium=Programmatic&amp;utm_content=BR_VW_AFS_dv360_DIS_PROG_CPM_STD_LDR_AAF_RON_CXD_After-Sales-Oficina-Classicos-REG07-rmkt-visita-home-oficina_PD_300x250&amp;utm_campaign=BR_AAF_DSY_NONMS_ND_AS_2019Q2APR_AFS_After-Sales&amp;utm_term=%epid!_%ecid!_%eaid!</v>
      </c>
      <c r="AI551" s="21" t="str">
        <f t="shared" si="112"/>
        <v>TAG</v>
      </c>
      <c r="AJ551" s="15" t="str">
        <f t="shared" si="106"/>
        <v>dv360</v>
      </c>
      <c r="AK551" s="15" t="str">
        <f t="shared" si="107"/>
        <v>Programmatic</v>
      </c>
      <c r="AL551" s="21" t="str">
        <f>Campanha!$B$3</f>
        <v>BR_AAF_DSY_NONMS_ND_AS_2019Q2APR_AFS_After-Sales</v>
      </c>
      <c r="AM551" s="21" t="str">
        <f t="shared" si="113"/>
        <v>BR_VW_AFS_dv360_DIS_PROG_CPM_STD_LDR_AAF_RON_CXD_After-Sales-Oficina-Classicos-REG07-rmkt-visita-home-oficina_PD_300x250</v>
      </c>
      <c r="AN551" s="15" t="s">
        <v>809</v>
      </c>
    </row>
    <row r="552" spans="2:40" hidden="1" x14ac:dyDescent="0.25">
      <c r="B552" s="15" t="s">
        <v>872</v>
      </c>
      <c r="C552" s="15"/>
      <c r="D552" s="30" t="s">
        <v>873</v>
      </c>
      <c r="E552" s="22">
        <v>44155</v>
      </c>
      <c r="F552" s="22">
        <v>44196</v>
      </c>
      <c r="G552" s="15" t="s">
        <v>674</v>
      </c>
      <c r="H552" s="15" t="s">
        <v>811</v>
      </c>
      <c r="I552" s="15" t="s">
        <v>702</v>
      </c>
      <c r="J552" s="15" t="s">
        <v>325</v>
      </c>
      <c r="K552" s="15" t="s">
        <v>334</v>
      </c>
      <c r="L552" s="15" t="s">
        <v>358</v>
      </c>
      <c r="M552" s="15" t="s">
        <v>322</v>
      </c>
      <c r="N552" s="15" t="s">
        <v>708</v>
      </c>
      <c r="O552" s="15" t="s">
        <v>694</v>
      </c>
      <c r="P552" s="15" t="s">
        <v>1046</v>
      </c>
      <c r="Q552" s="15" t="s">
        <v>878</v>
      </c>
      <c r="R552" s="15" t="s">
        <v>835</v>
      </c>
      <c r="S552" s="15" t="s">
        <v>348</v>
      </c>
      <c r="T552" s="15" t="s">
        <v>614</v>
      </c>
      <c r="AC552" s="32" t="s">
        <v>885</v>
      </c>
      <c r="AD552" s="33" t="e">
        <f t="shared" si="105"/>
        <v>#N/A</v>
      </c>
      <c r="AE552" s="21" t="str">
        <f t="shared" si="108"/>
        <v>BR_VW_AFS_dv360_DIS_PROG_CPM_STD_LDR_AAF_RON_CXD_After-Sales-Oficina-Classicos-REG07-rmkt-visita-home-oficina_PD_728x90</v>
      </c>
      <c r="AF552" s="21" t="str">
        <f t="shared" si="109"/>
        <v>BR_VW_AFS_dv360_DIS_PROG_CPM_STD_LDR_AAF_RON_CXD_After-Sales-Oficina-Classicos-REG07-rmkt-visita-home-oficina_PD_728x90</v>
      </c>
      <c r="AG552" s="21" t="str">
        <f t="shared" si="110"/>
        <v>VW_After-Sales-rmkt-visita-home-oficina_728x90_After-Sales-Oficina-Classicos-REG07-adserver</v>
      </c>
      <c r="AH552" s="21" t="str">
        <f t="shared" si="111"/>
        <v>https://www.oficinadeclassicos.com.br/index.aspx?utm_source=dv360&amp;utm_medium=Programmatic&amp;utm_content=BR_VW_AFS_dv360_DIS_PROG_CPM_STD_LDR_AAF_RON_CXD_After-Sales-Oficina-Classicos-REG07-rmkt-visita-home-oficina_PD_728x90&amp;utm_campaign=BR_AAF_DSY_NONMS_ND_AS_2019Q2APR_AFS_After-Sales&amp;utm_term=%epid!_%ecid!_%eaid!</v>
      </c>
      <c r="AI552" s="21" t="str">
        <f t="shared" si="112"/>
        <v>TAG</v>
      </c>
      <c r="AJ552" s="15" t="str">
        <f t="shared" si="106"/>
        <v>dv360</v>
      </c>
      <c r="AK552" s="15" t="str">
        <f t="shared" si="107"/>
        <v>Programmatic</v>
      </c>
      <c r="AL552" s="21" t="str">
        <f>Campanha!$B$3</f>
        <v>BR_AAF_DSY_NONMS_ND_AS_2019Q2APR_AFS_After-Sales</v>
      </c>
      <c r="AM552" s="21" t="str">
        <f t="shared" si="113"/>
        <v>BR_VW_AFS_dv360_DIS_PROG_CPM_STD_LDR_AAF_RON_CXD_After-Sales-Oficina-Classicos-REG07-rmkt-visita-home-oficina_PD_728x90</v>
      </c>
      <c r="AN552" s="15" t="s">
        <v>809</v>
      </c>
    </row>
    <row r="553" spans="2:40" hidden="1" x14ac:dyDescent="0.25">
      <c r="B553" s="15" t="s">
        <v>872</v>
      </c>
      <c r="C553" s="15"/>
      <c r="D553" s="30" t="s">
        <v>873</v>
      </c>
      <c r="E553" s="22">
        <v>44155</v>
      </c>
      <c r="F553" s="22">
        <v>44196</v>
      </c>
      <c r="G553" s="15" t="s">
        <v>674</v>
      </c>
      <c r="H553" s="15" t="s">
        <v>811</v>
      </c>
      <c r="I553" s="15" t="s">
        <v>702</v>
      </c>
      <c r="J553" s="15" t="s">
        <v>325</v>
      </c>
      <c r="K553" s="15" t="s">
        <v>334</v>
      </c>
      <c r="L553" s="15" t="s">
        <v>358</v>
      </c>
      <c r="M553" s="15" t="s">
        <v>322</v>
      </c>
      <c r="N553" s="15" t="s">
        <v>708</v>
      </c>
      <c r="O553" s="15" t="s">
        <v>694</v>
      </c>
      <c r="P553" s="15" t="s">
        <v>1046</v>
      </c>
      <c r="Q553" s="15" t="s">
        <v>878</v>
      </c>
      <c r="R553" s="15" t="s">
        <v>835</v>
      </c>
      <c r="S553" s="15" t="s">
        <v>348</v>
      </c>
      <c r="T553" s="15" t="s">
        <v>652</v>
      </c>
      <c r="AC553" s="32" t="s">
        <v>885</v>
      </c>
      <c r="AD553" s="33" t="e">
        <f t="shared" si="105"/>
        <v>#N/A</v>
      </c>
      <c r="AE553" s="21" t="str">
        <f t="shared" si="108"/>
        <v>BR_VW_AFS_dv360_DIS_PROG_CPM_STD_LDR_AAF_RON_CXD_After-Sales-Oficina-Classicos-REG07-rmkt-visita-home-oficina_PD_970x250</v>
      </c>
      <c r="AF553" s="21" t="str">
        <f t="shared" si="109"/>
        <v>BR_VW_AFS_dv360_DIS_PROG_CPM_STD_LDR_AAF_RON_CXD_After-Sales-Oficina-Classicos-REG07-rmkt-visita-home-oficina_PD_970x250</v>
      </c>
      <c r="AG553" s="21" t="str">
        <f t="shared" si="110"/>
        <v>VW_After-Sales-rmkt-visita-home-oficina_970x250_After-Sales-Oficina-Classicos-REG07-adserver</v>
      </c>
      <c r="AH553" s="21" t="str">
        <f t="shared" si="111"/>
        <v>https://www.oficinadeclassicos.com.br/index.aspx?utm_source=dv360&amp;utm_medium=Programmatic&amp;utm_content=BR_VW_AFS_dv360_DIS_PROG_CPM_STD_LDR_AAF_RON_CXD_After-Sales-Oficina-Classicos-REG07-rmkt-visita-home-oficina_PD_970x250&amp;utm_campaign=BR_AAF_DSY_NONMS_ND_AS_2019Q2APR_AFS_After-Sales&amp;utm_term=%epid!_%ecid!_%eaid!</v>
      </c>
      <c r="AI553" s="21" t="str">
        <f t="shared" si="112"/>
        <v>TAG</v>
      </c>
      <c r="AJ553" s="15" t="str">
        <f t="shared" si="106"/>
        <v>dv360</v>
      </c>
      <c r="AK553" s="15" t="str">
        <f t="shared" si="107"/>
        <v>Programmatic</v>
      </c>
      <c r="AL553" s="21" t="str">
        <f>Campanha!$B$3</f>
        <v>BR_AAF_DSY_NONMS_ND_AS_2019Q2APR_AFS_After-Sales</v>
      </c>
      <c r="AM553" s="21" t="str">
        <f t="shared" si="113"/>
        <v>BR_VW_AFS_dv360_DIS_PROG_CPM_STD_LDR_AAF_RON_CXD_After-Sales-Oficina-Classicos-REG07-rmkt-visita-home-oficina_PD_970x250</v>
      </c>
      <c r="AN553" s="15" t="s">
        <v>809</v>
      </c>
    </row>
    <row r="554" spans="2:40" hidden="1" x14ac:dyDescent="0.25">
      <c r="B554" s="15" t="s">
        <v>872</v>
      </c>
      <c r="C554" s="15"/>
      <c r="D554" s="30" t="s">
        <v>873</v>
      </c>
      <c r="E554" s="22">
        <v>44155</v>
      </c>
      <c r="F554" s="22">
        <v>44196</v>
      </c>
      <c r="G554" s="15" t="s">
        <v>674</v>
      </c>
      <c r="H554" s="15" t="s">
        <v>811</v>
      </c>
      <c r="I554" s="15" t="s">
        <v>702</v>
      </c>
      <c r="J554" s="15" t="s">
        <v>325</v>
      </c>
      <c r="K554" s="15" t="s">
        <v>334</v>
      </c>
      <c r="L554" s="15" t="s">
        <v>358</v>
      </c>
      <c r="M554" s="15" t="s">
        <v>322</v>
      </c>
      <c r="N554" s="15" t="s">
        <v>708</v>
      </c>
      <c r="O554" s="15" t="s">
        <v>694</v>
      </c>
      <c r="P554" s="15" t="s">
        <v>1046</v>
      </c>
      <c r="Q554" s="15" t="s">
        <v>881</v>
      </c>
      <c r="R554" s="15" t="s">
        <v>835</v>
      </c>
      <c r="S554" s="15" t="s">
        <v>348</v>
      </c>
      <c r="T554" s="15" t="s">
        <v>457</v>
      </c>
      <c r="AC554" s="32" t="s">
        <v>885</v>
      </c>
      <c r="AD554" s="33" t="e">
        <f t="shared" si="105"/>
        <v>#N/A</v>
      </c>
      <c r="AE554" s="21" t="str">
        <f t="shared" si="108"/>
        <v>BR_VW_AFS_dv360_DIS_PROG_CPM_STD_LDR_AAF_RON_CXD_After-Sales-Oficina-Classicos-REG07-rmkt-add-to-cart-oficina_PD_160x600</v>
      </c>
      <c r="AF554" s="21" t="str">
        <f t="shared" si="109"/>
        <v>BR_VW_AFS_dv360_DIS_PROG_CPM_STD_LDR_AAF_RON_CXD_After-Sales-Oficina-Classicos-REG07-rmkt-add-to-cart-oficina_PD_160x600</v>
      </c>
      <c r="AG554" s="21" t="str">
        <f t="shared" si="110"/>
        <v>VW_After-Sales-rmkt-add-to-cart-oficina_160x600_After-Sales-Oficina-Classicos-REG07-adserver</v>
      </c>
      <c r="AH554" s="21" t="str">
        <f t="shared" si="111"/>
        <v>https://www.oficinadeclassicos.com.br/index.aspx?utm_source=dv360&amp;utm_medium=Programmatic&amp;utm_content=BR_VW_AFS_dv360_DIS_PROG_CPM_STD_LDR_AAF_RON_CXD_After-Sales-Oficina-Classicos-REG07-rmkt-add-to-cart-oficina_PD_160x600&amp;utm_campaign=BR_AAF_DSY_NONMS_ND_AS_2019Q2APR_AFS_After-Sales&amp;utm_term=%epid!_%ecid!_%eaid!</v>
      </c>
      <c r="AI554" s="21" t="str">
        <f t="shared" si="112"/>
        <v>TAG</v>
      </c>
      <c r="AJ554" s="15" t="str">
        <f t="shared" si="106"/>
        <v>dv360</v>
      </c>
      <c r="AK554" s="15" t="str">
        <f t="shared" si="107"/>
        <v>Programmatic</v>
      </c>
      <c r="AL554" s="21" t="str">
        <f>Campanha!$B$3</f>
        <v>BR_AAF_DSY_NONMS_ND_AS_2019Q2APR_AFS_After-Sales</v>
      </c>
      <c r="AM554" s="21" t="str">
        <f t="shared" si="113"/>
        <v>BR_VW_AFS_dv360_DIS_PROG_CPM_STD_LDR_AAF_RON_CXD_After-Sales-Oficina-Classicos-REG07-rmkt-add-to-cart-oficina_PD_160x600</v>
      </c>
      <c r="AN554" s="15" t="s">
        <v>809</v>
      </c>
    </row>
    <row r="555" spans="2:40" hidden="1" x14ac:dyDescent="0.25">
      <c r="B555" s="15" t="s">
        <v>872</v>
      </c>
      <c r="C555" s="15"/>
      <c r="D555" s="30" t="s">
        <v>873</v>
      </c>
      <c r="E555" s="22">
        <v>44155</v>
      </c>
      <c r="F555" s="22">
        <v>44196</v>
      </c>
      <c r="G555" s="15" t="s">
        <v>674</v>
      </c>
      <c r="H555" s="15" t="s">
        <v>811</v>
      </c>
      <c r="I555" s="15" t="s">
        <v>702</v>
      </c>
      <c r="J555" s="15" t="s">
        <v>325</v>
      </c>
      <c r="K555" s="15" t="s">
        <v>334</v>
      </c>
      <c r="L555" s="15" t="s">
        <v>358</v>
      </c>
      <c r="M555" s="15" t="s">
        <v>322</v>
      </c>
      <c r="N555" s="15" t="s">
        <v>708</v>
      </c>
      <c r="O555" s="15" t="s">
        <v>694</v>
      </c>
      <c r="P555" s="15" t="s">
        <v>1046</v>
      </c>
      <c r="Q555" s="15" t="s">
        <v>881</v>
      </c>
      <c r="R555" s="15" t="s">
        <v>835</v>
      </c>
      <c r="S555" s="15" t="s">
        <v>348</v>
      </c>
      <c r="T555" s="15" t="s">
        <v>484</v>
      </c>
      <c r="AC555" s="32" t="s">
        <v>885</v>
      </c>
      <c r="AD555" s="33" t="e">
        <f t="shared" si="105"/>
        <v>#N/A</v>
      </c>
      <c r="AE555" s="21" t="str">
        <f t="shared" si="108"/>
        <v>BR_VW_AFS_dv360_DIS_PROG_CPM_STD_LDR_AAF_RON_CXD_After-Sales-Oficina-Classicos-REG07-rmkt-add-to-cart-oficina_PD_300x50</v>
      </c>
      <c r="AF555" s="21" t="str">
        <f t="shared" si="109"/>
        <v>BR_VW_AFS_dv360_DIS_PROG_CPM_STD_LDR_AAF_RON_CXD_After-Sales-Oficina-Classicos-REG07-rmkt-add-to-cart-oficina_PD_300x50</v>
      </c>
      <c r="AG555" s="21" t="str">
        <f t="shared" si="110"/>
        <v>VW_After-Sales-rmkt-add-to-cart-oficina_300x50_After-Sales-Oficina-Classicos-REG07-adserver</v>
      </c>
      <c r="AH555" s="21" t="str">
        <f t="shared" si="111"/>
        <v>https://www.oficinadeclassicos.com.br/index.aspx?utm_source=dv360&amp;utm_medium=Programmatic&amp;utm_content=BR_VW_AFS_dv360_DIS_PROG_CPM_STD_LDR_AAF_RON_CXD_After-Sales-Oficina-Classicos-REG07-rmkt-add-to-cart-oficina_PD_300x50&amp;utm_campaign=BR_AAF_DSY_NONMS_ND_AS_2019Q2APR_AFS_After-Sales&amp;utm_term=%epid!_%ecid!_%eaid!</v>
      </c>
      <c r="AI555" s="21" t="str">
        <f t="shared" si="112"/>
        <v>TAG</v>
      </c>
      <c r="AJ555" s="15" t="str">
        <f t="shared" si="106"/>
        <v>dv360</v>
      </c>
      <c r="AK555" s="15" t="str">
        <f t="shared" si="107"/>
        <v>Programmatic</v>
      </c>
      <c r="AL555" s="21" t="str">
        <f>Campanha!$B$3</f>
        <v>BR_AAF_DSY_NONMS_ND_AS_2019Q2APR_AFS_After-Sales</v>
      </c>
      <c r="AM555" s="21" t="str">
        <f t="shared" si="113"/>
        <v>BR_VW_AFS_dv360_DIS_PROG_CPM_STD_LDR_AAF_RON_CXD_After-Sales-Oficina-Classicos-REG07-rmkt-add-to-cart-oficina_PD_300x50</v>
      </c>
      <c r="AN555" s="15" t="s">
        <v>809</v>
      </c>
    </row>
    <row r="556" spans="2:40" hidden="1" x14ac:dyDescent="0.25">
      <c r="B556" s="15" t="s">
        <v>872</v>
      </c>
      <c r="C556" s="15"/>
      <c r="D556" s="30" t="s">
        <v>873</v>
      </c>
      <c r="E556" s="22">
        <v>44155</v>
      </c>
      <c r="F556" s="22">
        <v>44196</v>
      </c>
      <c r="G556" s="15" t="s">
        <v>674</v>
      </c>
      <c r="H556" s="15" t="s">
        <v>811</v>
      </c>
      <c r="I556" s="15" t="s">
        <v>702</v>
      </c>
      <c r="J556" s="15" t="s">
        <v>325</v>
      </c>
      <c r="K556" s="15" t="s">
        <v>334</v>
      </c>
      <c r="L556" s="15" t="s">
        <v>358</v>
      </c>
      <c r="M556" s="15" t="s">
        <v>322</v>
      </c>
      <c r="N556" s="15" t="s">
        <v>708</v>
      </c>
      <c r="O556" s="15" t="s">
        <v>694</v>
      </c>
      <c r="P556" s="15" t="s">
        <v>1046</v>
      </c>
      <c r="Q556" s="15" t="s">
        <v>881</v>
      </c>
      <c r="R556" s="15" t="s">
        <v>835</v>
      </c>
      <c r="S556" s="15" t="s">
        <v>348</v>
      </c>
      <c r="T556" s="15" t="s">
        <v>478</v>
      </c>
      <c r="AC556" s="32" t="s">
        <v>885</v>
      </c>
      <c r="AD556" s="33" t="e">
        <f t="shared" si="105"/>
        <v>#N/A</v>
      </c>
      <c r="AE556" s="21" t="str">
        <f t="shared" si="108"/>
        <v>BR_VW_AFS_dv360_DIS_PROG_CPM_STD_LDR_AAF_RON_CXD_After-Sales-Oficina-Classicos-REG07-rmkt-add-to-cart-oficina_PD_300x250</v>
      </c>
      <c r="AF556" s="21" t="str">
        <f t="shared" si="109"/>
        <v>BR_VW_AFS_dv360_DIS_PROG_CPM_STD_LDR_AAF_RON_CXD_After-Sales-Oficina-Classicos-REG07-rmkt-add-to-cart-oficina_PD_300x250</v>
      </c>
      <c r="AG556" s="21" t="str">
        <f t="shared" si="110"/>
        <v>VW_After-Sales-rmkt-add-to-cart-oficina_300x250_After-Sales-Oficina-Classicos-REG07-adserver</v>
      </c>
      <c r="AH556" s="21" t="str">
        <f t="shared" si="111"/>
        <v>https://www.oficinadeclassicos.com.br/index.aspx?utm_source=dv360&amp;utm_medium=Programmatic&amp;utm_content=BR_VW_AFS_dv360_DIS_PROG_CPM_STD_LDR_AAF_RON_CXD_After-Sales-Oficina-Classicos-REG07-rmkt-add-to-cart-oficina_PD_300x250&amp;utm_campaign=BR_AAF_DSY_NONMS_ND_AS_2019Q2APR_AFS_After-Sales&amp;utm_term=%epid!_%ecid!_%eaid!</v>
      </c>
      <c r="AI556" s="21" t="str">
        <f t="shared" si="112"/>
        <v>TAG</v>
      </c>
      <c r="AJ556" s="15" t="str">
        <f t="shared" si="106"/>
        <v>dv360</v>
      </c>
      <c r="AK556" s="15" t="str">
        <f t="shared" si="107"/>
        <v>Programmatic</v>
      </c>
      <c r="AL556" s="21" t="str">
        <f>Campanha!$B$3</f>
        <v>BR_AAF_DSY_NONMS_ND_AS_2019Q2APR_AFS_After-Sales</v>
      </c>
      <c r="AM556" s="21" t="str">
        <f t="shared" si="113"/>
        <v>BR_VW_AFS_dv360_DIS_PROG_CPM_STD_LDR_AAF_RON_CXD_After-Sales-Oficina-Classicos-REG07-rmkt-add-to-cart-oficina_PD_300x250</v>
      </c>
      <c r="AN556" s="15" t="s">
        <v>809</v>
      </c>
    </row>
    <row r="557" spans="2:40" hidden="1" x14ac:dyDescent="0.25">
      <c r="B557" s="15" t="s">
        <v>872</v>
      </c>
      <c r="C557" s="15"/>
      <c r="D557" s="30" t="s">
        <v>873</v>
      </c>
      <c r="E557" s="22">
        <v>44155</v>
      </c>
      <c r="F557" s="22">
        <v>44196</v>
      </c>
      <c r="G557" s="15" t="s">
        <v>674</v>
      </c>
      <c r="H557" s="15" t="s">
        <v>811</v>
      </c>
      <c r="I557" s="15" t="s">
        <v>702</v>
      </c>
      <c r="J557" s="15" t="s">
        <v>325</v>
      </c>
      <c r="K557" s="15" t="s">
        <v>334</v>
      </c>
      <c r="L557" s="15" t="s">
        <v>358</v>
      </c>
      <c r="M557" s="15" t="s">
        <v>322</v>
      </c>
      <c r="N557" s="15" t="s">
        <v>708</v>
      </c>
      <c r="O557" s="15" t="s">
        <v>694</v>
      </c>
      <c r="P557" s="15" t="s">
        <v>1046</v>
      </c>
      <c r="Q557" s="15" t="s">
        <v>881</v>
      </c>
      <c r="R557" s="15" t="s">
        <v>835</v>
      </c>
      <c r="S557" s="15" t="s">
        <v>348</v>
      </c>
      <c r="T557" s="15" t="s">
        <v>614</v>
      </c>
      <c r="AC557" s="32" t="s">
        <v>885</v>
      </c>
      <c r="AD557" s="33" t="e">
        <f t="shared" si="105"/>
        <v>#N/A</v>
      </c>
      <c r="AE557" s="21" t="str">
        <f t="shared" si="108"/>
        <v>BR_VW_AFS_dv360_DIS_PROG_CPM_STD_LDR_AAF_RON_CXD_After-Sales-Oficina-Classicos-REG07-rmkt-add-to-cart-oficina_PD_728x90</v>
      </c>
      <c r="AF557" s="21" t="str">
        <f t="shared" si="109"/>
        <v>BR_VW_AFS_dv360_DIS_PROG_CPM_STD_LDR_AAF_RON_CXD_After-Sales-Oficina-Classicos-REG07-rmkt-add-to-cart-oficina_PD_728x90</v>
      </c>
      <c r="AG557" s="21" t="str">
        <f t="shared" si="110"/>
        <v>VW_After-Sales-rmkt-add-to-cart-oficina_728x90_After-Sales-Oficina-Classicos-REG07-adserver</v>
      </c>
      <c r="AH557" s="21" t="str">
        <f t="shared" si="111"/>
        <v>https://www.oficinadeclassicos.com.br/index.aspx?utm_source=dv360&amp;utm_medium=Programmatic&amp;utm_content=BR_VW_AFS_dv360_DIS_PROG_CPM_STD_LDR_AAF_RON_CXD_After-Sales-Oficina-Classicos-REG07-rmkt-add-to-cart-oficina_PD_728x90&amp;utm_campaign=BR_AAF_DSY_NONMS_ND_AS_2019Q2APR_AFS_After-Sales&amp;utm_term=%epid!_%ecid!_%eaid!</v>
      </c>
      <c r="AI557" s="21" t="str">
        <f t="shared" si="112"/>
        <v>TAG</v>
      </c>
      <c r="AJ557" s="15" t="str">
        <f t="shared" si="106"/>
        <v>dv360</v>
      </c>
      <c r="AK557" s="15" t="str">
        <f t="shared" si="107"/>
        <v>Programmatic</v>
      </c>
      <c r="AL557" s="21" t="str">
        <f>Campanha!$B$3</f>
        <v>BR_AAF_DSY_NONMS_ND_AS_2019Q2APR_AFS_After-Sales</v>
      </c>
      <c r="AM557" s="21" t="str">
        <f t="shared" si="113"/>
        <v>BR_VW_AFS_dv360_DIS_PROG_CPM_STD_LDR_AAF_RON_CXD_After-Sales-Oficina-Classicos-REG07-rmkt-add-to-cart-oficina_PD_728x90</v>
      </c>
      <c r="AN557" s="15" t="s">
        <v>809</v>
      </c>
    </row>
    <row r="558" spans="2:40" hidden="1" x14ac:dyDescent="0.25">
      <c r="B558" s="15" t="s">
        <v>872</v>
      </c>
      <c r="C558" s="15"/>
      <c r="D558" s="30" t="s">
        <v>873</v>
      </c>
      <c r="E558" s="22">
        <v>44155</v>
      </c>
      <c r="F558" s="22">
        <v>44196</v>
      </c>
      <c r="G558" s="15" t="s">
        <v>674</v>
      </c>
      <c r="H558" s="15" t="s">
        <v>811</v>
      </c>
      <c r="I558" s="15" t="s">
        <v>702</v>
      </c>
      <c r="J558" s="15" t="s">
        <v>325</v>
      </c>
      <c r="K558" s="15" t="s">
        <v>334</v>
      </c>
      <c r="L558" s="15" t="s">
        <v>358</v>
      </c>
      <c r="M558" s="15" t="s">
        <v>322</v>
      </c>
      <c r="N558" s="15" t="s">
        <v>708</v>
      </c>
      <c r="O558" s="15" t="s">
        <v>694</v>
      </c>
      <c r="P558" s="15" t="s">
        <v>1046</v>
      </c>
      <c r="Q558" s="15" t="s">
        <v>881</v>
      </c>
      <c r="R558" s="15" t="s">
        <v>835</v>
      </c>
      <c r="S558" s="15" t="s">
        <v>348</v>
      </c>
      <c r="T558" s="15" t="s">
        <v>652</v>
      </c>
      <c r="AC558" s="32" t="s">
        <v>885</v>
      </c>
      <c r="AD558" s="33" t="e">
        <f t="shared" si="105"/>
        <v>#N/A</v>
      </c>
      <c r="AE558" s="21" t="str">
        <f t="shared" ref="AE558:AE568" si="114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IF(col_servidopor="adserver-rotacionar",col_segmentacao,CONCATENATE(col_localfreetype,"-",col_segmentacao)),"_",VLOOKUP(col_paidvsav,tab_paidvsav,2,FALSE),"_",col_size))</f>
        <v>BR_VW_AFS_dv360_DIS_PROG_CPM_STD_LDR_AAF_RON_CXD_After-Sales-Oficina-Classicos-REG07-rmkt-add-to-cart-oficina_PD_970x250</v>
      </c>
      <c r="AF558" s="21" t="str">
        <f t="shared" ref="AF558:AF568" si="115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col_localfreetype,"-",col_segmentacao,"_",VLOOKUP(col_paidvsav,tab_paidvsav,2,FALSE),"_",col_size))</f>
        <v>BR_VW_AFS_dv360_DIS_PROG_CPM_STD_LDR_AAF_RON_CXD_After-Sales-Oficina-Classicos-REG07-rmkt-add-to-cart-oficina_PD_970x250</v>
      </c>
      <c r="AG558" s="21" t="str">
        <f t="shared" ref="AG558:AG568" si="116">CONCATENATE("VW","_",cel_modelvariant,"-",col_segmentacao,"_",col_size,"_",col_localfreetype,"-",IF(col_servidopor="portal",col_supplier,"adserver"))</f>
        <v>VW_After-Sales-rmkt-add-to-cart-oficina_970x250_After-Sales-Oficina-Classicos-REG07-adserver</v>
      </c>
      <c r="AH558" s="21" t="str">
        <f t="shared" ref="AH558:AH568" si="117">faxineiro(CONCATENATE(col_url,IF(ISNUMBER(FIND("?",col_url)),"&amp;","?"),"utm_source=",col_utmsource,"&amp;utm_medium=",col_utmmedium,"&amp;utm_content=",col_utmcontent,"&amp;utm_campaign=",col_utmcampaign,"&amp;utm_term=",col_keyword))</f>
        <v>https://www.oficinadeclassicos.com.br/index.aspx?utm_source=dv360&amp;utm_medium=Programmatic&amp;utm_content=BR_VW_AFS_dv360_DIS_PROG_CPM_STD_LDR_AAF_RON_CXD_After-Sales-Oficina-Classicos-REG07-rmkt-add-to-cart-oficina_PD_970x250&amp;utm_campaign=BR_AAF_DSY_NONMS_ND_AS_2019Q2APR_AFS_After-Sales&amp;utm_term=%epid!_%ecid!_%eaid!</v>
      </c>
      <c r="AI558" s="21" t="str">
        <f t="shared" ref="AI558:AI568" si="118">IFERROR(IF(col_servidopor="portal",VLOOKUP(col_placement,tab_contadores,2,FALSE),"TAG"),"Contador")</f>
        <v>TAG</v>
      </c>
      <c r="AJ558" s="15" t="str">
        <f t="shared" ref="AJ558:AJ564" si="119">H558</f>
        <v>dv360</v>
      </c>
      <c r="AK558" s="15" t="str">
        <f t="shared" ref="AK558:AK564" si="120">J558</f>
        <v>Programmatic</v>
      </c>
      <c r="AL558" s="21" t="str">
        <f>Campanha!$B$3</f>
        <v>BR_AAF_DSY_NONMS_ND_AS_2019Q2APR_AFS_After-Sales</v>
      </c>
      <c r="AM558" s="21" t="str">
        <f t="shared" ref="AM558:AM568" si="121">col_adname</f>
        <v>BR_VW_AFS_dv360_DIS_PROG_CPM_STD_LDR_AAF_RON_CXD_After-Sales-Oficina-Classicos-REG07-rmkt-add-to-cart-oficina_PD_970x250</v>
      </c>
      <c r="AN558" s="15" t="s">
        <v>809</v>
      </c>
    </row>
    <row r="559" spans="2:40" hidden="1" x14ac:dyDescent="0.25">
      <c r="B559" s="15" t="s">
        <v>1342</v>
      </c>
      <c r="C559" s="15"/>
      <c r="D559" s="30" t="s">
        <v>1343</v>
      </c>
      <c r="E559" s="22">
        <v>44166</v>
      </c>
      <c r="F559" s="22">
        <v>44196</v>
      </c>
      <c r="G559" s="15" t="s">
        <v>674</v>
      </c>
      <c r="H559" s="15" t="s">
        <v>811</v>
      </c>
      <c r="I559" s="15" t="s">
        <v>702</v>
      </c>
      <c r="J559" s="15" t="s">
        <v>325</v>
      </c>
      <c r="K559" s="15" t="s">
        <v>334</v>
      </c>
      <c r="L559" s="15" t="s">
        <v>358</v>
      </c>
      <c r="M559" s="15" t="s">
        <v>322</v>
      </c>
      <c r="N559" s="15" t="s">
        <v>708</v>
      </c>
      <c r="O559" s="15" t="s">
        <v>694</v>
      </c>
      <c r="P559" s="15" t="s">
        <v>1040</v>
      </c>
      <c r="Q559" s="15" t="s">
        <v>1344</v>
      </c>
      <c r="R559" s="15" t="s">
        <v>835</v>
      </c>
      <c r="S559" s="15" t="s">
        <v>348</v>
      </c>
      <c r="T559" s="15" t="s">
        <v>457</v>
      </c>
      <c r="AC559" s="32" t="s">
        <v>885</v>
      </c>
      <c r="AD559" s="33"/>
      <c r="AE559" s="21" t="str">
        <f t="shared" si="114"/>
        <v>BR_VW_AFS_dv360_DIS_PROG_CPM_STD_LDR_AAF_RON_CXD_After-Sales-Oficina-Classicos-REG01-OLX_PD_160x600</v>
      </c>
      <c r="AF559" s="21" t="str">
        <f t="shared" si="115"/>
        <v>BR_VW_AFS_dv360_DIS_PROG_CPM_STD_LDR_AAF_RON_CXD_After-Sales-Oficina-Classicos-REG01-OLX_PD_160x600</v>
      </c>
      <c r="AG559" s="21" t="str">
        <f t="shared" si="116"/>
        <v>VW_After-Sales-OLX_160x600_After-Sales-Oficina-Classicos-REG01-adserver</v>
      </c>
      <c r="AH559" s="21" t="str">
        <f t="shared" si="117"/>
        <v>https://www.oficinadeclassicos.com.br/index.aspx?utm_source=dv360&amp;utm_medium=Programmatic&amp;utm_content=BR_VW_AFS_dv360_DIS_PROG_CPM_STD_LDR_AAF_RON_CXD_After-Sales-Oficina-Classicos-REG01-OLX_PD_160x600&amp;utm_campaign=BR_AAF_DSY_NONMS_ND_AS_2019Q2APR_AFS_After-Sales&amp;utm_term=%epid!_%ecid!_%eaid!</v>
      </c>
      <c r="AI559" s="21" t="str">
        <f t="shared" si="118"/>
        <v>TAG</v>
      </c>
      <c r="AJ559" s="15" t="str">
        <f t="shared" si="119"/>
        <v>dv360</v>
      </c>
      <c r="AK559" s="15" t="str">
        <f t="shared" si="120"/>
        <v>Programmatic</v>
      </c>
      <c r="AL559" s="21" t="str">
        <f>Campanha!$B$3</f>
        <v>BR_AAF_DSY_NONMS_ND_AS_2019Q2APR_AFS_After-Sales</v>
      </c>
      <c r="AM559" s="21" t="str">
        <f t="shared" si="121"/>
        <v>BR_VW_AFS_dv360_DIS_PROG_CPM_STD_LDR_AAF_RON_CXD_After-Sales-Oficina-Classicos-REG01-OLX_PD_160x600</v>
      </c>
      <c r="AN559" s="15" t="s">
        <v>809</v>
      </c>
    </row>
    <row r="560" spans="2:40" hidden="1" x14ac:dyDescent="0.25">
      <c r="B560" s="15" t="s">
        <v>1342</v>
      </c>
      <c r="C560" s="15"/>
      <c r="D560" s="30" t="s">
        <v>1343</v>
      </c>
      <c r="E560" s="22">
        <v>44166</v>
      </c>
      <c r="F560" s="22">
        <v>44196</v>
      </c>
      <c r="G560" s="15" t="s">
        <v>674</v>
      </c>
      <c r="H560" s="15" t="s">
        <v>811</v>
      </c>
      <c r="I560" s="15" t="s">
        <v>702</v>
      </c>
      <c r="J560" s="15" t="s">
        <v>325</v>
      </c>
      <c r="K560" s="15" t="s">
        <v>334</v>
      </c>
      <c r="L560" s="15" t="s">
        <v>358</v>
      </c>
      <c r="M560" s="15" t="s">
        <v>322</v>
      </c>
      <c r="N560" s="15" t="s">
        <v>708</v>
      </c>
      <c r="O560" s="15" t="s">
        <v>694</v>
      </c>
      <c r="P560" s="15" t="s">
        <v>1040</v>
      </c>
      <c r="Q560" s="15" t="s">
        <v>1344</v>
      </c>
      <c r="R560" s="15" t="s">
        <v>835</v>
      </c>
      <c r="S560" s="15" t="s">
        <v>348</v>
      </c>
      <c r="T560" s="15" t="s">
        <v>484</v>
      </c>
      <c r="AC560" s="32" t="s">
        <v>885</v>
      </c>
      <c r="AD560" s="33"/>
      <c r="AE560" s="21" t="str">
        <f t="shared" si="114"/>
        <v>BR_VW_AFS_dv360_DIS_PROG_CPM_STD_LDR_AAF_RON_CXD_After-Sales-Oficina-Classicos-REG01-OLX_PD_300x50</v>
      </c>
      <c r="AF560" s="21" t="str">
        <f t="shared" si="115"/>
        <v>BR_VW_AFS_dv360_DIS_PROG_CPM_STD_LDR_AAF_RON_CXD_After-Sales-Oficina-Classicos-REG01-OLX_PD_300x50</v>
      </c>
      <c r="AG560" s="21" t="str">
        <f t="shared" si="116"/>
        <v>VW_After-Sales-OLX_300x50_After-Sales-Oficina-Classicos-REG01-adserver</v>
      </c>
      <c r="AH560" s="21" t="str">
        <f t="shared" si="117"/>
        <v>https://www.oficinadeclassicos.com.br/index.aspx?utm_source=dv360&amp;utm_medium=Programmatic&amp;utm_content=BR_VW_AFS_dv360_DIS_PROG_CPM_STD_LDR_AAF_RON_CXD_After-Sales-Oficina-Classicos-REG01-OLX_PD_300x50&amp;utm_campaign=BR_AAF_DSY_NONMS_ND_AS_2019Q2APR_AFS_After-Sales&amp;utm_term=%epid!_%ecid!_%eaid!</v>
      </c>
      <c r="AI560" s="21" t="str">
        <f t="shared" si="118"/>
        <v>TAG</v>
      </c>
      <c r="AJ560" s="15" t="str">
        <f t="shared" si="119"/>
        <v>dv360</v>
      </c>
      <c r="AK560" s="15" t="str">
        <f t="shared" si="120"/>
        <v>Programmatic</v>
      </c>
      <c r="AL560" s="21" t="str">
        <f>Campanha!$B$3</f>
        <v>BR_AAF_DSY_NONMS_ND_AS_2019Q2APR_AFS_After-Sales</v>
      </c>
      <c r="AM560" s="21" t="str">
        <f t="shared" si="121"/>
        <v>BR_VW_AFS_dv360_DIS_PROG_CPM_STD_LDR_AAF_RON_CXD_After-Sales-Oficina-Classicos-REG01-OLX_PD_300x50</v>
      </c>
      <c r="AN560" s="15" t="s">
        <v>809</v>
      </c>
    </row>
    <row r="561" spans="2:40" hidden="1" x14ac:dyDescent="0.25">
      <c r="B561" s="15" t="s">
        <v>1342</v>
      </c>
      <c r="C561" s="15"/>
      <c r="D561" s="30" t="s">
        <v>1343</v>
      </c>
      <c r="E561" s="22">
        <v>44166</v>
      </c>
      <c r="F561" s="22">
        <v>44196</v>
      </c>
      <c r="G561" s="15" t="s">
        <v>674</v>
      </c>
      <c r="H561" s="15" t="s">
        <v>811</v>
      </c>
      <c r="I561" s="15" t="s">
        <v>702</v>
      </c>
      <c r="J561" s="15" t="s">
        <v>325</v>
      </c>
      <c r="K561" s="15" t="s">
        <v>334</v>
      </c>
      <c r="L561" s="15" t="s">
        <v>358</v>
      </c>
      <c r="M561" s="15" t="s">
        <v>322</v>
      </c>
      <c r="N561" s="15" t="s">
        <v>708</v>
      </c>
      <c r="O561" s="15" t="s">
        <v>694</v>
      </c>
      <c r="P561" s="15" t="s">
        <v>1040</v>
      </c>
      <c r="Q561" s="15" t="s">
        <v>1344</v>
      </c>
      <c r="R561" s="15" t="s">
        <v>835</v>
      </c>
      <c r="S561" s="15" t="s">
        <v>348</v>
      </c>
      <c r="T561" s="15" t="s">
        <v>478</v>
      </c>
      <c r="AC561" s="32" t="s">
        <v>885</v>
      </c>
      <c r="AD561" s="33"/>
      <c r="AE561" s="21" t="str">
        <f t="shared" si="114"/>
        <v>BR_VW_AFS_dv360_DIS_PROG_CPM_STD_LDR_AAF_RON_CXD_After-Sales-Oficina-Classicos-REG01-OLX_PD_300x250</v>
      </c>
      <c r="AF561" s="21" t="str">
        <f t="shared" si="115"/>
        <v>BR_VW_AFS_dv360_DIS_PROG_CPM_STD_LDR_AAF_RON_CXD_After-Sales-Oficina-Classicos-REG01-OLX_PD_300x250</v>
      </c>
      <c r="AG561" s="21" t="str">
        <f t="shared" si="116"/>
        <v>VW_After-Sales-OLX_300x250_After-Sales-Oficina-Classicos-REG01-adserver</v>
      </c>
      <c r="AH561" s="21" t="str">
        <f t="shared" si="117"/>
        <v>https://www.oficinadeclassicos.com.br/index.aspx?utm_source=dv360&amp;utm_medium=Programmatic&amp;utm_content=BR_VW_AFS_dv360_DIS_PROG_CPM_STD_LDR_AAF_RON_CXD_After-Sales-Oficina-Classicos-REG01-OLX_PD_300x250&amp;utm_campaign=BR_AAF_DSY_NONMS_ND_AS_2019Q2APR_AFS_After-Sales&amp;utm_term=%epid!_%ecid!_%eaid!</v>
      </c>
      <c r="AI561" s="21" t="str">
        <f t="shared" si="118"/>
        <v>TAG</v>
      </c>
      <c r="AJ561" s="15" t="str">
        <f t="shared" si="119"/>
        <v>dv360</v>
      </c>
      <c r="AK561" s="15" t="str">
        <f t="shared" si="120"/>
        <v>Programmatic</v>
      </c>
      <c r="AL561" s="21" t="str">
        <f>Campanha!$B$3</f>
        <v>BR_AAF_DSY_NONMS_ND_AS_2019Q2APR_AFS_After-Sales</v>
      </c>
      <c r="AM561" s="21" t="str">
        <f t="shared" si="121"/>
        <v>BR_VW_AFS_dv360_DIS_PROG_CPM_STD_LDR_AAF_RON_CXD_After-Sales-Oficina-Classicos-REG01-OLX_PD_300x250</v>
      </c>
      <c r="AN561" s="15" t="s">
        <v>809</v>
      </c>
    </row>
    <row r="562" spans="2:40" hidden="1" x14ac:dyDescent="0.25">
      <c r="B562" s="15" t="s">
        <v>1342</v>
      </c>
      <c r="C562" s="15"/>
      <c r="D562" s="30" t="s">
        <v>1343</v>
      </c>
      <c r="E562" s="22">
        <v>44166</v>
      </c>
      <c r="F562" s="22">
        <v>44196</v>
      </c>
      <c r="G562" s="15" t="s">
        <v>674</v>
      </c>
      <c r="H562" s="15" t="s">
        <v>811</v>
      </c>
      <c r="I562" s="15" t="s">
        <v>702</v>
      </c>
      <c r="J562" s="15" t="s">
        <v>325</v>
      </c>
      <c r="K562" s="15" t="s">
        <v>334</v>
      </c>
      <c r="L562" s="15" t="s">
        <v>358</v>
      </c>
      <c r="M562" s="15" t="s">
        <v>322</v>
      </c>
      <c r="N562" s="15" t="s">
        <v>708</v>
      </c>
      <c r="O562" s="15" t="s">
        <v>694</v>
      </c>
      <c r="P562" s="15" t="s">
        <v>1040</v>
      </c>
      <c r="Q562" s="15" t="s">
        <v>1344</v>
      </c>
      <c r="R562" s="15" t="s">
        <v>835</v>
      </c>
      <c r="S562" s="15" t="s">
        <v>348</v>
      </c>
      <c r="T562" s="15" t="s">
        <v>614</v>
      </c>
      <c r="AC562" s="32" t="s">
        <v>885</v>
      </c>
      <c r="AD562" s="33"/>
      <c r="AE562" s="21" t="str">
        <f t="shared" si="114"/>
        <v>BR_VW_AFS_dv360_DIS_PROG_CPM_STD_LDR_AAF_RON_CXD_After-Sales-Oficina-Classicos-REG01-OLX_PD_728x90</v>
      </c>
      <c r="AF562" s="21" t="str">
        <f t="shared" si="115"/>
        <v>BR_VW_AFS_dv360_DIS_PROG_CPM_STD_LDR_AAF_RON_CXD_After-Sales-Oficina-Classicos-REG01-OLX_PD_728x90</v>
      </c>
      <c r="AG562" s="21" t="str">
        <f t="shared" si="116"/>
        <v>VW_After-Sales-OLX_728x90_After-Sales-Oficina-Classicos-REG01-adserver</v>
      </c>
      <c r="AH562" s="21" t="str">
        <f t="shared" si="117"/>
        <v>https://www.oficinadeclassicos.com.br/index.aspx?utm_source=dv360&amp;utm_medium=Programmatic&amp;utm_content=BR_VW_AFS_dv360_DIS_PROG_CPM_STD_LDR_AAF_RON_CXD_After-Sales-Oficina-Classicos-REG01-OLX_PD_728x90&amp;utm_campaign=BR_AAF_DSY_NONMS_ND_AS_2019Q2APR_AFS_After-Sales&amp;utm_term=%epid!_%ecid!_%eaid!</v>
      </c>
      <c r="AI562" s="21" t="str">
        <f t="shared" si="118"/>
        <v>TAG</v>
      </c>
      <c r="AJ562" s="15" t="str">
        <f t="shared" si="119"/>
        <v>dv360</v>
      </c>
      <c r="AK562" s="15" t="str">
        <f t="shared" si="120"/>
        <v>Programmatic</v>
      </c>
      <c r="AL562" s="21" t="str">
        <f>Campanha!$B$3</f>
        <v>BR_AAF_DSY_NONMS_ND_AS_2019Q2APR_AFS_After-Sales</v>
      </c>
      <c r="AM562" s="21" t="str">
        <f t="shared" si="121"/>
        <v>BR_VW_AFS_dv360_DIS_PROG_CPM_STD_LDR_AAF_RON_CXD_After-Sales-Oficina-Classicos-REG01-OLX_PD_728x90</v>
      </c>
      <c r="AN562" s="15" t="s">
        <v>809</v>
      </c>
    </row>
    <row r="563" spans="2:40" hidden="1" x14ac:dyDescent="0.25">
      <c r="B563" s="15" t="s">
        <v>1342</v>
      </c>
      <c r="C563" s="15"/>
      <c r="D563" s="30" t="s">
        <v>1343</v>
      </c>
      <c r="E563" s="22">
        <v>44166</v>
      </c>
      <c r="F563" s="22">
        <v>44196</v>
      </c>
      <c r="G563" s="15" t="s">
        <v>674</v>
      </c>
      <c r="H563" s="15" t="s">
        <v>811</v>
      </c>
      <c r="I563" s="15" t="s">
        <v>702</v>
      </c>
      <c r="J563" s="15" t="s">
        <v>325</v>
      </c>
      <c r="K563" s="15" t="s">
        <v>334</v>
      </c>
      <c r="L563" s="15" t="s">
        <v>358</v>
      </c>
      <c r="M563" s="15" t="s">
        <v>322</v>
      </c>
      <c r="N563" s="15" t="s">
        <v>708</v>
      </c>
      <c r="O563" s="15" t="s">
        <v>694</v>
      </c>
      <c r="P563" s="15" t="s">
        <v>1040</v>
      </c>
      <c r="Q563" s="15" t="s">
        <v>1344</v>
      </c>
      <c r="R563" s="15" t="s">
        <v>835</v>
      </c>
      <c r="S563" s="15" t="s">
        <v>348</v>
      </c>
      <c r="T563" s="15" t="s">
        <v>652</v>
      </c>
      <c r="AC563" s="32" t="s">
        <v>885</v>
      </c>
      <c r="AD563" s="33"/>
      <c r="AE563" s="21" t="str">
        <f t="shared" si="114"/>
        <v>BR_VW_AFS_dv360_DIS_PROG_CPM_STD_LDR_AAF_RON_CXD_After-Sales-Oficina-Classicos-REG01-OLX_PD_970x250</v>
      </c>
      <c r="AF563" s="21" t="str">
        <f t="shared" si="115"/>
        <v>BR_VW_AFS_dv360_DIS_PROG_CPM_STD_LDR_AAF_RON_CXD_After-Sales-Oficina-Classicos-REG01-OLX_PD_970x250</v>
      </c>
      <c r="AG563" s="21" t="str">
        <f t="shared" si="116"/>
        <v>VW_After-Sales-OLX_970x250_After-Sales-Oficina-Classicos-REG01-adserver</v>
      </c>
      <c r="AH563" s="21" t="str">
        <f t="shared" si="117"/>
        <v>https://www.oficinadeclassicos.com.br/index.aspx?utm_source=dv360&amp;utm_medium=Programmatic&amp;utm_content=BR_VW_AFS_dv360_DIS_PROG_CPM_STD_LDR_AAF_RON_CXD_After-Sales-Oficina-Classicos-REG01-OLX_PD_970x250&amp;utm_campaign=BR_AAF_DSY_NONMS_ND_AS_2019Q2APR_AFS_After-Sales&amp;utm_term=%epid!_%ecid!_%eaid!</v>
      </c>
      <c r="AI563" s="21" t="str">
        <f t="shared" si="118"/>
        <v>TAG</v>
      </c>
      <c r="AJ563" s="15" t="str">
        <f t="shared" si="119"/>
        <v>dv360</v>
      </c>
      <c r="AK563" s="15" t="str">
        <f t="shared" si="120"/>
        <v>Programmatic</v>
      </c>
      <c r="AL563" s="21" t="str">
        <f>Campanha!$B$3</f>
        <v>BR_AAF_DSY_NONMS_ND_AS_2019Q2APR_AFS_After-Sales</v>
      </c>
      <c r="AM563" s="21" t="str">
        <f t="shared" si="121"/>
        <v>BR_VW_AFS_dv360_DIS_PROG_CPM_STD_LDR_AAF_RON_CXD_After-Sales-Oficina-Classicos-REG01-OLX_PD_970x250</v>
      </c>
      <c r="AN563" s="15" t="s">
        <v>809</v>
      </c>
    </row>
    <row r="564" spans="2:40" hidden="1" x14ac:dyDescent="0.25">
      <c r="B564" s="15" t="s">
        <v>1342</v>
      </c>
      <c r="C564" s="15"/>
      <c r="D564" s="30" t="s">
        <v>1343</v>
      </c>
      <c r="E564" s="22">
        <v>44166</v>
      </c>
      <c r="F564" s="22">
        <v>44196</v>
      </c>
      <c r="G564" s="15" t="s">
        <v>674</v>
      </c>
      <c r="H564" s="15" t="s">
        <v>811</v>
      </c>
      <c r="I564" s="15" t="s">
        <v>702</v>
      </c>
      <c r="J564" s="15" t="s">
        <v>325</v>
      </c>
      <c r="K564" s="15" t="s">
        <v>334</v>
      </c>
      <c r="L564" s="15" t="s">
        <v>358</v>
      </c>
      <c r="M564" s="15" t="s">
        <v>322</v>
      </c>
      <c r="N564" s="15" t="s">
        <v>708</v>
      </c>
      <c r="O564" s="15" t="s">
        <v>694</v>
      </c>
      <c r="P564" s="15" t="s">
        <v>1041</v>
      </c>
      <c r="Q564" s="15" t="s">
        <v>1344</v>
      </c>
      <c r="R564" s="15" t="s">
        <v>835</v>
      </c>
      <c r="S564" s="15" t="s">
        <v>348</v>
      </c>
      <c r="T564" s="15" t="s">
        <v>457</v>
      </c>
      <c r="AC564" s="32" t="s">
        <v>885</v>
      </c>
      <c r="AD564" s="33"/>
      <c r="AE564" s="21" t="str">
        <f t="shared" si="114"/>
        <v>BR_VW_AFS_dv360_DIS_PROG_CPM_STD_LDR_AAF_RON_CXD_After-Sales-Oficina-Classicos-REG02-OLX_PD_160x600</v>
      </c>
      <c r="AF564" s="21" t="str">
        <f t="shared" si="115"/>
        <v>BR_VW_AFS_dv360_DIS_PROG_CPM_STD_LDR_AAF_RON_CXD_After-Sales-Oficina-Classicos-REG02-OLX_PD_160x600</v>
      </c>
      <c r="AG564" s="21" t="str">
        <f t="shared" si="116"/>
        <v>VW_After-Sales-OLX_160x600_After-Sales-Oficina-Classicos-REG02-adserver</v>
      </c>
      <c r="AH564" s="21" t="str">
        <f t="shared" si="117"/>
        <v>https://www.oficinadeclassicos.com.br/index.aspx?utm_source=dv360&amp;utm_medium=Programmatic&amp;utm_content=BR_VW_AFS_dv360_DIS_PROG_CPM_STD_LDR_AAF_RON_CXD_After-Sales-Oficina-Classicos-REG02-OLX_PD_160x600&amp;utm_campaign=BR_AAF_DSY_NONMS_ND_AS_2019Q2APR_AFS_After-Sales&amp;utm_term=%epid!_%ecid!_%eaid!</v>
      </c>
      <c r="AI564" s="21" t="str">
        <f t="shared" si="118"/>
        <v>TAG</v>
      </c>
      <c r="AJ564" s="15" t="str">
        <f t="shared" ref="AJ564:AJ568" si="122">H564</f>
        <v>dv360</v>
      </c>
      <c r="AK564" s="15" t="str">
        <f t="shared" ref="AK564:AK568" si="123">J564</f>
        <v>Programmatic</v>
      </c>
      <c r="AL564" s="21" t="str">
        <f>Campanha!$B$3</f>
        <v>BR_AAF_DSY_NONMS_ND_AS_2019Q2APR_AFS_After-Sales</v>
      </c>
      <c r="AM564" s="21" t="str">
        <f t="shared" si="121"/>
        <v>BR_VW_AFS_dv360_DIS_PROG_CPM_STD_LDR_AAF_RON_CXD_After-Sales-Oficina-Classicos-REG02-OLX_PD_160x600</v>
      </c>
      <c r="AN564" s="15" t="s">
        <v>809</v>
      </c>
    </row>
    <row r="565" spans="2:40" hidden="1" x14ac:dyDescent="0.25">
      <c r="B565" s="15" t="s">
        <v>1342</v>
      </c>
      <c r="C565" s="15"/>
      <c r="D565" s="30" t="s">
        <v>1343</v>
      </c>
      <c r="E565" s="22">
        <v>44166</v>
      </c>
      <c r="F565" s="22">
        <v>44196</v>
      </c>
      <c r="G565" s="15" t="s">
        <v>674</v>
      </c>
      <c r="H565" s="15" t="s">
        <v>811</v>
      </c>
      <c r="I565" s="15" t="s">
        <v>702</v>
      </c>
      <c r="J565" s="15" t="s">
        <v>325</v>
      </c>
      <c r="K565" s="15" t="s">
        <v>334</v>
      </c>
      <c r="L565" s="15" t="s">
        <v>358</v>
      </c>
      <c r="M565" s="15" t="s">
        <v>322</v>
      </c>
      <c r="N565" s="15" t="s">
        <v>708</v>
      </c>
      <c r="O565" s="15" t="s">
        <v>694</v>
      </c>
      <c r="P565" s="15" t="s">
        <v>1041</v>
      </c>
      <c r="Q565" s="15" t="s">
        <v>1344</v>
      </c>
      <c r="R565" s="15" t="s">
        <v>835</v>
      </c>
      <c r="S565" s="15" t="s">
        <v>348</v>
      </c>
      <c r="T565" s="15" t="s">
        <v>484</v>
      </c>
      <c r="AC565" s="32" t="s">
        <v>885</v>
      </c>
      <c r="AD565" s="33"/>
      <c r="AE565" s="21" t="str">
        <f t="shared" si="114"/>
        <v>BR_VW_AFS_dv360_DIS_PROG_CPM_STD_LDR_AAF_RON_CXD_After-Sales-Oficina-Classicos-REG02-OLX_PD_300x50</v>
      </c>
      <c r="AF565" s="21" t="str">
        <f t="shared" si="115"/>
        <v>BR_VW_AFS_dv360_DIS_PROG_CPM_STD_LDR_AAF_RON_CXD_After-Sales-Oficina-Classicos-REG02-OLX_PD_300x50</v>
      </c>
      <c r="AG565" s="21" t="str">
        <f t="shared" si="116"/>
        <v>VW_After-Sales-OLX_300x50_After-Sales-Oficina-Classicos-REG02-adserver</v>
      </c>
      <c r="AH565" s="21" t="str">
        <f t="shared" si="117"/>
        <v>https://www.oficinadeclassicos.com.br/index.aspx?utm_source=dv360&amp;utm_medium=Programmatic&amp;utm_content=BR_VW_AFS_dv360_DIS_PROG_CPM_STD_LDR_AAF_RON_CXD_After-Sales-Oficina-Classicos-REG02-OLX_PD_300x50&amp;utm_campaign=BR_AAF_DSY_NONMS_ND_AS_2019Q2APR_AFS_After-Sales&amp;utm_term=%epid!_%ecid!_%eaid!</v>
      </c>
      <c r="AI565" s="21" t="str">
        <f t="shared" si="118"/>
        <v>TAG</v>
      </c>
      <c r="AJ565" s="15" t="str">
        <f t="shared" si="122"/>
        <v>dv360</v>
      </c>
      <c r="AK565" s="15" t="str">
        <f t="shared" si="123"/>
        <v>Programmatic</v>
      </c>
      <c r="AL565" s="21" t="str">
        <f>Campanha!$B$3</f>
        <v>BR_AAF_DSY_NONMS_ND_AS_2019Q2APR_AFS_After-Sales</v>
      </c>
      <c r="AM565" s="21" t="str">
        <f t="shared" si="121"/>
        <v>BR_VW_AFS_dv360_DIS_PROG_CPM_STD_LDR_AAF_RON_CXD_After-Sales-Oficina-Classicos-REG02-OLX_PD_300x50</v>
      </c>
      <c r="AN565" s="15" t="s">
        <v>809</v>
      </c>
    </row>
    <row r="566" spans="2:40" hidden="1" x14ac:dyDescent="0.25">
      <c r="B566" s="15" t="s">
        <v>1342</v>
      </c>
      <c r="C566" s="15"/>
      <c r="D566" s="30" t="s">
        <v>1343</v>
      </c>
      <c r="E566" s="22">
        <v>44166</v>
      </c>
      <c r="F566" s="22">
        <v>44196</v>
      </c>
      <c r="G566" s="15" t="s">
        <v>674</v>
      </c>
      <c r="H566" s="15" t="s">
        <v>811</v>
      </c>
      <c r="I566" s="15" t="s">
        <v>702</v>
      </c>
      <c r="J566" s="15" t="s">
        <v>325</v>
      </c>
      <c r="K566" s="15" t="s">
        <v>334</v>
      </c>
      <c r="L566" s="15" t="s">
        <v>358</v>
      </c>
      <c r="M566" s="15" t="s">
        <v>322</v>
      </c>
      <c r="N566" s="15" t="s">
        <v>708</v>
      </c>
      <c r="O566" s="15" t="s">
        <v>694</v>
      </c>
      <c r="P566" s="15" t="s">
        <v>1041</v>
      </c>
      <c r="Q566" s="15" t="s">
        <v>1344</v>
      </c>
      <c r="R566" s="15" t="s">
        <v>835</v>
      </c>
      <c r="S566" s="15" t="s">
        <v>348</v>
      </c>
      <c r="T566" s="15" t="s">
        <v>478</v>
      </c>
      <c r="AC566" s="32" t="s">
        <v>885</v>
      </c>
      <c r="AD566" s="33"/>
      <c r="AE566" s="21" t="str">
        <f t="shared" si="114"/>
        <v>BR_VW_AFS_dv360_DIS_PROG_CPM_STD_LDR_AAF_RON_CXD_After-Sales-Oficina-Classicos-REG02-OLX_PD_300x250</v>
      </c>
      <c r="AF566" s="21" t="str">
        <f t="shared" si="115"/>
        <v>BR_VW_AFS_dv360_DIS_PROG_CPM_STD_LDR_AAF_RON_CXD_After-Sales-Oficina-Classicos-REG02-OLX_PD_300x250</v>
      </c>
      <c r="AG566" s="21" t="str">
        <f t="shared" si="116"/>
        <v>VW_After-Sales-OLX_300x250_After-Sales-Oficina-Classicos-REG02-adserver</v>
      </c>
      <c r="AH566" s="21" t="str">
        <f t="shared" si="117"/>
        <v>https://www.oficinadeclassicos.com.br/index.aspx?utm_source=dv360&amp;utm_medium=Programmatic&amp;utm_content=BR_VW_AFS_dv360_DIS_PROG_CPM_STD_LDR_AAF_RON_CXD_After-Sales-Oficina-Classicos-REG02-OLX_PD_300x250&amp;utm_campaign=BR_AAF_DSY_NONMS_ND_AS_2019Q2APR_AFS_After-Sales&amp;utm_term=%epid!_%ecid!_%eaid!</v>
      </c>
      <c r="AI566" s="21" t="str">
        <f t="shared" si="118"/>
        <v>TAG</v>
      </c>
      <c r="AJ566" s="15" t="str">
        <f t="shared" si="122"/>
        <v>dv360</v>
      </c>
      <c r="AK566" s="15" t="str">
        <f t="shared" si="123"/>
        <v>Programmatic</v>
      </c>
      <c r="AL566" s="21" t="str">
        <f>Campanha!$B$3</f>
        <v>BR_AAF_DSY_NONMS_ND_AS_2019Q2APR_AFS_After-Sales</v>
      </c>
      <c r="AM566" s="21" t="str">
        <f t="shared" si="121"/>
        <v>BR_VW_AFS_dv360_DIS_PROG_CPM_STD_LDR_AAF_RON_CXD_After-Sales-Oficina-Classicos-REG02-OLX_PD_300x250</v>
      </c>
      <c r="AN566" s="15" t="s">
        <v>809</v>
      </c>
    </row>
    <row r="567" spans="2:40" hidden="1" x14ac:dyDescent="0.25">
      <c r="B567" s="15" t="s">
        <v>1342</v>
      </c>
      <c r="C567" s="15"/>
      <c r="D567" s="30" t="s">
        <v>1343</v>
      </c>
      <c r="E567" s="22">
        <v>44166</v>
      </c>
      <c r="F567" s="22">
        <v>44196</v>
      </c>
      <c r="G567" s="15" t="s">
        <v>674</v>
      </c>
      <c r="H567" s="15" t="s">
        <v>811</v>
      </c>
      <c r="I567" s="15" t="s">
        <v>702</v>
      </c>
      <c r="J567" s="15" t="s">
        <v>325</v>
      </c>
      <c r="K567" s="15" t="s">
        <v>334</v>
      </c>
      <c r="L567" s="15" t="s">
        <v>358</v>
      </c>
      <c r="M567" s="15" t="s">
        <v>322</v>
      </c>
      <c r="N567" s="15" t="s">
        <v>708</v>
      </c>
      <c r="O567" s="15" t="s">
        <v>694</v>
      </c>
      <c r="P567" s="15" t="s">
        <v>1041</v>
      </c>
      <c r="Q567" s="15" t="s">
        <v>1344</v>
      </c>
      <c r="R567" s="15" t="s">
        <v>835</v>
      </c>
      <c r="S567" s="15" t="s">
        <v>348</v>
      </c>
      <c r="T567" s="15" t="s">
        <v>614</v>
      </c>
      <c r="AC567" s="32" t="s">
        <v>885</v>
      </c>
      <c r="AD567" s="33"/>
      <c r="AE567" s="21" t="str">
        <f t="shared" si="114"/>
        <v>BR_VW_AFS_dv360_DIS_PROG_CPM_STD_LDR_AAF_RON_CXD_After-Sales-Oficina-Classicos-REG02-OLX_PD_728x90</v>
      </c>
      <c r="AF567" s="21" t="str">
        <f t="shared" si="115"/>
        <v>BR_VW_AFS_dv360_DIS_PROG_CPM_STD_LDR_AAF_RON_CXD_After-Sales-Oficina-Classicos-REG02-OLX_PD_728x90</v>
      </c>
      <c r="AG567" s="21" t="str">
        <f t="shared" si="116"/>
        <v>VW_After-Sales-OLX_728x90_After-Sales-Oficina-Classicos-REG02-adserver</v>
      </c>
      <c r="AH567" s="21" t="str">
        <f t="shared" si="117"/>
        <v>https://www.oficinadeclassicos.com.br/index.aspx?utm_source=dv360&amp;utm_medium=Programmatic&amp;utm_content=BR_VW_AFS_dv360_DIS_PROG_CPM_STD_LDR_AAF_RON_CXD_After-Sales-Oficina-Classicos-REG02-OLX_PD_728x90&amp;utm_campaign=BR_AAF_DSY_NONMS_ND_AS_2019Q2APR_AFS_After-Sales&amp;utm_term=%epid!_%ecid!_%eaid!</v>
      </c>
      <c r="AI567" s="21" t="str">
        <f t="shared" si="118"/>
        <v>TAG</v>
      </c>
      <c r="AJ567" s="15" t="str">
        <f t="shared" si="122"/>
        <v>dv360</v>
      </c>
      <c r="AK567" s="15" t="str">
        <f t="shared" si="123"/>
        <v>Programmatic</v>
      </c>
      <c r="AL567" s="21" t="str">
        <f>Campanha!$B$3</f>
        <v>BR_AAF_DSY_NONMS_ND_AS_2019Q2APR_AFS_After-Sales</v>
      </c>
      <c r="AM567" s="21" t="str">
        <f t="shared" si="121"/>
        <v>BR_VW_AFS_dv360_DIS_PROG_CPM_STD_LDR_AAF_RON_CXD_After-Sales-Oficina-Classicos-REG02-OLX_PD_728x90</v>
      </c>
      <c r="AN567" s="15" t="s">
        <v>809</v>
      </c>
    </row>
    <row r="568" spans="2:40" hidden="1" x14ac:dyDescent="0.25">
      <c r="B568" s="15" t="s">
        <v>1342</v>
      </c>
      <c r="C568" s="15"/>
      <c r="D568" s="30" t="s">
        <v>1343</v>
      </c>
      <c r="E568" s="22">
        <v>44166</v>
      </c>
      <c r="F568" s="22">
        <v>44196</v>
      </c>
      <c r="G568" s="15" t="s">
        <v>674</v>
      </c>
      <c r="H568" s="15" t="s">
        <v>811</v>
      </c>
      <c r="I568" s="15" t="s">
        <v>702</v>
      </c>
      <c r="J568" s="15" t="s">
        <v>325</v>
      </c>
      <c r="K568" s="15" t="s">
        <v>334</v>
      </c>
      <c r="L568" s="15" t="s">
        <v>358</v>
      </c>
      <c r="M568" s="15" t="s">
        <v>322</v>
      </c>
      <c r="N568" s="15" t="s">
        <v>708</v>
      </c>
      <c r="O568" s="15" t="s">
        <v>694</v>
      </c>
      <c r="P568" s="15" t="s">
        <v>1041</v>
      </c>
      <c r="Q568" s="15" t="s">
        <v>1344</v>
      </c>
      <c r="R568" s="15" t="s">
        <v>835</v>
      </c>
      <c r="S568" s="15" t="s">
        <v>348</v>
      </c>
      <c r="T568" s="15" t="s">
        <v>652</v>
      </c>
      <c r="AC568" s="32" t="s">
        <v>885</v>
      </c>
      <c r="AD568" s="33"/>
      <c r="AE568" s="21" t="str">
        <f t="shared" si="114"/>
        <v>BR_VW_AFS_dv360_DIS_PROG_CPM_STD_LDR_AAF_RON_CXD_After-Sales-Oficina-Classicos-REG02-OLX_PD_970x250</v>
      </c>
      <c r="AF568" s="21" t="str">
        <f t="shared" si="115"/>
        <v>BR_VW_AFS_dv360_DIS_PROG_CPM_STD_LDR_AAF_RON_CXD_After-Sales-Oficina-Classicos-REG02-OLX_PD_970x250</v>
      </c>
      <c r="AG568" s="21" t="str">
        <f t="shared" si="116"/>
        <v>VW_After-Sales-OLX_970x250_After-Sales-Oficina-Classicos-REG02-adserver</v>
      </c>
      <c r="AH568" s="21" t="str">
        <f t="shared" si="117"/>
        <v>https://www.oficinadeclassicos.com.br/index.aspx?utm_source=dv360&amp;utm_medium=Programmatic&amp;utm_content=BR_VW_AFS_dv360_DIS_PROG_CPM_STD_LDR_AAF_RON_CXD_After-Sales-Oficina-Classicos-REG02-OLX_PD_970x250&amp;utm_campaign=BR_AAF_DSY_NONMS_ND_AS_2019Q2APR_AFS_After-Sales&amp;utm_term=%epid!_%ecid!_%eaid!</v>
      </c>
      <c r="AI568" s="21" t="str">
        <f t="shared" si="118"/>
        <v>TAG</v>
      </c>
      <c r="AJ568" s="15" t="str">
        <f t="shared" si="122"/>
        <v>dv360</v>
      </c>
      <c r="AK568" s="15" t="str">
        <f t="shared" si="123"/>
        <v>Programmatic</v>
      </c>
      <c r="AL568" s="21" t="str">
        <f>Campanha!$B$3</f>
        <v>BR_AAF_DSY_NONMS_ND_AS_2019Q2APR_AFS_After-Sales</v>
      </c>
      <c r="AM568" s="21" t="str">
        <f t="shared" si="121"/>
        <v>BR_VW_AFS_dv360_DIS_PROG_CPM_STD_LDR_AAF_RON_CXD_After-Sales-Oficina-Classicos-REG02-OLX_PD_970x250</v>
      </c>
      <c r="AN568" s="15" t="s">
        <v>809</v>
      </c>
    </row>
    <row r="569" spans="2:40" x14ac:dyDescent="0.25">
      <c r="B569" s="15" t="s">
        <v>1342</v>
      </c>
      <c r="C569" s="15"/>
      <c r="D569" s="30" t="s">
        <v>1343</v>
      </c>
      <c r="E569" s="22">
        <v>44166</v>
      </c>
      <c r="F569" s="22">
        <v>44196</v>
      </c>
      <c r="G569" s="30" t="s">
        <v>672</v>
      </c>
      <c r="H569" s="30" t="s">
        <v>387</v>
      </c>
      <c r="I569" s="30" t="s">
        <v>722</v>
      </c>
      <c r="J569" s="30" t="s">
        <v>313</v>
      </c>
      <c r="K569" s="30" t="s">
        <v>334</v>
      </c>
      <c r="L569" s="30" t="s">
        <v>342</v>
      </c>
      <c r="M569" s="30" t="s">
        <v>322</v>
      </c>
      <c r="N569" s="15" t="s">
        <v>708</v>
      </c>
      <c r="O569" s="15" t="s">
        <v>694</v>
      </c>
      <c r="P569" s="15" t="s">
        <v>1002</v>
      </c>
      <c r="Q569" s="15" t="s">
        <v>878</v>
      </c>
      <c r="R569" s="15" t="s">
        <v>835</v>
      </c>
      <c r="S569" s="15" t="s">
        <v>348</v>
      </c>
      <c r="T569" s="15" t="s">
        <v>884</v>
      </c>
    </row>
    <row r="570" spans="2:40" x14ac:dyDescent="0.25">
      <c r="B570" s="15" t="s">
        <v>1342</v>
      </c>
      <c r="C570" s="15"/>
      <c r="D570" s="30" t="s">
        <v>1343</v>
      </c>
      <c r="E570" s="22">
        <v>44166</v>
      </c>
      <c r="F570" s="22">
        <v>44196</v>
      </c>
      <c r="G570" s="30" t="s">
        <v>672</v>
      </c>
      <c r="H570" s="30" t="s">
        <v>387</v>
      </c>
      <c r="I570" s="30" t="s">
        <v>722</v>
      </c>
      <c r="J570" s="30" t="s">
        <v>313</v>
      </c>
      <c r="K570" s="30" t="s">
        <v>334</v>
      </c>
      <c r="L570" s="30" t="s">
        <v>342</v>
      </c>
      <c r="M570" s="30" t="s">
        <v>322</v>
      </c>
      <c r="N570" s="15" t="s">
        <v>708</v>
      </c>
      <c r="O570" s="15" t="s">
        <v>694</v>
      </c>
      <c r="P570" s="15" t="s">
        <v>1002</v>
      </c>
      <c r="Q570" s="15" t="s">
        <v>881</v>
      </c>
      <c r="R570" s="15" t="s">
        <v>835</v>
      </c>
      <c r="S570" s="15" t="s">
        <v>348</v>
      </c>
      <c r="T570" s="15" t="s">
        <v>884</v>
      </c>
    </row>
    <row r="571" spans="2:40" x14ac:dyDescent="0.25">
      <c r="B571" s="15" t="s">
        <v>1342</v>
      </c>
      <c r="C571" s="15"/>
      <c r="D571" s="30" t="s">
        <v>1343</v>
      </c>
      <c r="E571" s="22">
        <v>44166</v>
      </c>
      <c r="F571" s="22">
        <v>44196</v>
      </c>
      <c r="G571" s="30" t="s">
        <v>672</v>
      </c>
      <c r="H571" s="30" t="s">
        <v>387</v>
      </c>
      <c r="I571" s="30" t="s">
        <v>722</v>
      </c>
      <c r="J571" s="30" t="s">
        <v>313</v>
      </c>
      <c r="K571" s="30" t="s">
        <v>334</v>
      </c>
      <c r="L571" s="30" t="s">
        <v>342</v>
      </c>
      <c r="M571" s="30" t="s">
        <v>322</v>
      </c>
      <c r="N571" s="15" t="s">
        <v>708</v>
      </c>
      <c r="O571" s="15" t="s">
        <v>694</v>
      </c>
      <c r="P571" s="15" t="s">
        <v>1002</v>
      </c>
      <c r="Q571" s="15" t="s">
        <v>874</v>
      </c>
      <c r="R571" s="15" t="s">
        <v>835</v>
      </c>
      <c r="S571" s="15" t="s">
        <v>348</v>
      </c>
      <c r="T571" s="15" t="s">
        <v>884</v>
      </c>
    </row>
    <row r="572" spans="2:40" x14ac:dyDescent="0.25">
      <c r="B572" s="15" t="s">
        <v>1342</v>
      </c>
      <c r="C572" s="15"/>
      <c r="D572" s="30" t="s">
        <v>1343</v>
      </c>
      <c r="E572" s="22">
        <v>44166</v>
      </c>
      <c r="F572" s="22">
        <v>44196</v>
      </c>
      <c r="G572" s="30" t="s">
        <v>672</v>
      </c>
      <c r="H572" s="30" t="s">
        <v>387</v>
      </c>
      <c r="I572" s="30" t="s">
        <v>722</v>
      </c>
      <c r="J572" s="30" t="s">
        <v>313</v>
      </c>
      <c r="K572" s="30" t="s">
        <v>334</v>
      </c>
      <c r="L572" s="30" t="s">
        <v>342</v>
      </c>
      <c r="M572" s="30" t="s">
        <v>322</v>
      </c>
      <c r="N572" s="15" t="s">
        <v>708</v>
      </c>
      <c r="O572" s="15" t="s">
        <v>694</v>
      </c>
      <c r="P572" s="15" t="s">
        <v>1002</v>
      </c>
      <c r="Q572" s="15" t="s">
        <v>877</v>
      </c>
      <c r="R572" s="15" t="s">
        <v>835</v>
      </c>
      <c r="S572" s="15" t="s">
        <v>348</v>
      </c>
      <c r="T572" s="15" t="s">
        <v>884</v>
      </c>
    </row>
    <row r="573" spans="2:40" x14ac:dyDescent="0.25">
      <c r="B573" s="15" t="s">
        <v>1342</v>
      </c>
      <c r="C573" s="15"/>
      <c r="D573" s="30" t="s">
        <v>1343</v>
      </c>
      <c r="E573" s="22">
        <v>44166</v>
      </c>
      <c r="F573" s="22">
        <v>44196</v>
      </c>
      <c r="G573" s="30" t="s">
        <v>672</v>
      </c>
      <c r="H573" s="30" t="s">
        <v>387</v>
      </c>
      <c r="I573" s="30" t="s">
        <v>722</v>
      </c>
      <c r="J573" s="30" t="s">
        <v>313</v>
      </c>
      <c r="K573" s="30" t="s">
        <v>334</v>
      </c>
      <c r="L573" s="30" t="s">
        <v>342</v>
      </c>
      <c r="M573" s="30" t="s">
        <v>322</v>
      </c>
      <c r="N573" s="15" t="s">
        <v>708</v>
      </c>
      <c r="O573" s="15" t="s">
        <v>694</v>
      </c>
      <c r="P573" s="15" t="s">
        <v>1002</v>
      </c>
      <c r="Q573" s="15" t="s">
        <v>879</v>
      </c>
      <c r="R573" s="15" t="s">
        <v>835</v>
      </c>
      <c r="S573" s="15" t="s">
        <v>348</v>
      </c>
      <c r="T573" s="15" t="s">
        <v>884</v>
      </c>
    </row>
    <row r="574" spans="2:40" x14ac:dyDescent="0.25">
      <c r="B574" s="15" t="s">
        <v>1342</v>
      </c>
      <c r="C574" s="15"/>
      <c r="D574" s="30" t="s">
        <v>1343</v>
      </c>
      <c r="E574" s="22">
        <v>44166</v>
      </c>
      <c r="F574" s="22">
        <v>44196</v>
      </c>
      <c r="G574" s="30" t="s">
        <v>672</v>
      </c>
      <c r="H574" s="30" t="s">
        <v>387</v>
      </c>
      <c r="I574" s="30" t="s">
        <v>722</v>
      </c>
      <c r="J574" s="30" t="s">
        <v>313</v>
      </c>
      <c r="K574" s="30" t="s">
        <v>334</v>
      </c>
      <c r="L574" s="30" t="s">
        <v>342</v>
      </c>
      <c r="M574" s="30" t="s">
        <v>322</v>
      </c>
      <c r="N574" s="15" t="s">
        <v>708</v>
      </c>
      <c r="O574" s="15" t="s">
        <v>694</v>
      </c>
      <c r="P574" s="15" t="s">
        <v>1002</v>
      </c>
      <c r="Q574" s="15" t="s">
        <v>880</v>
      </c>
      <c r="R574" s="15" t="s">
        <v>835</v>
      </c>
      <c r="S574" s="15" t="s">
        <v>348</v>
      </c>
      <c r="T574" s="15" t="s">
        <v>884</v>
      </c>
    </row>
    <row r="575" spans="2:40" x14ac:dyDescent="0.25">
      <c r="B575" s="15" t="s">
        <v>1342</v>
      </c>
      <c r="C575" s="15"/>
      <c r="D575" s="30" t="s">
        <v>1343</v>
      </c>
      <c r="E575" s="22">
        <v>44166</v>
      </c>
      <c r="F575" s="22">
        <v>44196</v>
      </c>
      <c r="G575" s="30" t="s">
        <v>672</v>
      </c>
      <c r="H575" s="30" t="s">
        <v>387</v>
      </c>
      <c r="I575" s="30" t="s">
        <v>722</v>
      </c>
      <c r="J575" s="30" t="s">
        <v>313</v>
      </c>
      <c r="K575" s="30" t="s">
        <v>334</v>
      </c>
      <c r="L575" s="30" t="s">
        <v>342</v>
      </c>
      <c r="M575" s="30" t="s">
        <v>322</v>
      </c>
      <c r="N575" s="15" t="s">
        <v>708</v>
      </c>
      <c r="O575" s="15" t="s">
        <v>694</v>
      </c>
      <c r="P575" s="15" t="s">
        <v>1002</v>
      </c>
      <c r="Q575" s="15" t="s">
        <v>875</v>
      </c>
      <c r="R575" s="15" t="s">
        <v>835</v>
      </c>
      <c r="S575" s="15" t="s">
        <v>348</v>
      </c>
      <c r="T575" s="15" t="s">
        <v>884</v>
      </c>
    </row>
    <row r="576" spans="2:40" x14ac:dyDescent="0.25">
      <c r="B576" s="15" t="s">
        <v>1342</v>
      </c>
      <c r="C576" s="15"/>
      <c r="D576" s="30" t="s">
        <v>1343</v>
      </c>
      <c r="E576" s="22">
        <v>44166</v>
      </c>
      <c r="F576" s="22">
        <v>44196</v>
      </c>
      <c r="G576" s="30" t="s">
        <v>672</v>
      </c>
      <c r="H576" s="30" t="s">
        <v>387</v>
      </c>
      <c r="I576" s="30" t="s">
        <v>722</v>
      </c>
      <c r="J576" s="30" t="s">
        <v>313</v>
      </c>
      <c r="K576" s="30" t="s">
        <v>334</v>
      </c>
      <c r="L576" s="30" t="s">
        <v>342</v>
      </c>
      <c r="M576" s="30" t="s">
        <v>322</v>
      </c>
      <c r="N576" s="15" t="s">
        <v>708</v>
      </c>
      <c r="O576" s="15" t="s">
        <v>694</v>
      </c>
      <c r="P576" s="15" t="s">
        <v>1002</v>
      </c>
      <c r="Q576" s="15" t="s">
        <v>876</v>
      </c>
      <c r="R576" s="15" t="s">
        <v>835</v>
      </c>
      <c r="S576" s="15" t="s">
        <v>348</v>
      </c>
      <c r="T576" s="15" t="s">
        <v>884</v>
      </c>
    </row>
    <row r="577" spans="2:20" x14ac:dyDescent="0.25">
      <c r="B577" s="15" t="s">
        <v>1342</v>
      </c>
      <c r="C577" s="15"/>
      <c r="D577" s="30" t="s">
        <v>1343</v>
      </c>
      <c r="E577" s="22">
        <v>44166</v>
      </c>
      <c r="F577" s="22">
        <v>44196</v>
      </c>
      <c r="G577" s="30" t="s">
        <v>672</v>
      </c>
      <c r="H577" s="30" t="s">
        <v>387</v>
      </c>
      <c r="I577" s="30" t="s">
        <v>722</v>
      </c>
      <c r="J577" s="30" t="s">
        <v>313</v>
      </c>
      <c r="K577" s="30" t="s">
        <v>334</v>
      </c>
      <c r="L577" s="30" t="s">
        <v>342</v>
      </c>
      <c r="M577" s="30" t="s">
        <v>322</v>
      </c>
      <c r="N577" s="15" t="s">
        <v>708</v>
      </c>
      <c r="O577" s="15" t="s">
        <v>694</v>
      </c>
      <c r="P577" s="15" t="s">
        <v>1345</v>
      </c>
      <c r="Q577" s="15" t="s">
        <v>878</v>
      </c>
      <c r="R577" s="15" t="s">
        <v>835</v>
      </c>
      <c r="S577" s="15" t="s">
        <v>348</v>
      </c>
      <c r="T577" s="15" t="s">
        <v>884</v>
      </c>
    </row>
    <row r="578" spans="2:20" x14ac:dyDescent="0.25">
      <c r="B578" s="15" t="s">
        <v>1342</v>
      </c>
      <c r="C578" s="15"/>
      <c r="D578" s="30" t="s">
        <v>1343</v>
      </c>
      <c r="E578" s="22">
        <v>44166</v>
      </c>
      <c r="F578" s="22">
        <v>44196</v>
      </c>
      <c r="G578" s="30" t="s">
        <v>672</v>
      </c>
      <c r="H578" s="30" t="s">
        <v>387</v>
      </c>
      <c r="I578" s="30" t="s">
        <v>722</v>
      </c>
      <c r="J578" s="30" t="s">
        <v>313</v>
      </c>
      <c r="K578" s="30" t="s">
        <v>334</v>
      </c>
      <c r="L578" s="30" t="s">
        <v>342</v>
      </c>
      <c r="M578" s="30" t="s">
        <v>322</v>
      </c>
      <c r="N578" s="15" t="s">
        <v>708</v>
      </c>
      <c r="O578" s="15" t="s">
        <v>694</v>
      </c>
      <c r="P578" s="15" t="s">
        <v>1345</v>
      </c>
      <c r="Q578" s="15" t="s">
        <v>881</v>
      </c>
      <c r="R578" s="15" t="s">
        <v>835</v>
      </c>
      <c r="S578" s="15" t="s">
        <v>348</v>
      </c>
      <c r="T578" s="15" t="s">
        <v>884</v>
      </c>
    </row>
    <row r="579" spans="2:20" x14ac:dyDescent="0.25">
      <c r="B579" s="15" t="s">
        <v>1342</v>
      </c>
      <c r="C579" s="15"/>
      <c r="D579" s="30" t="s">
        <v>1343</v>
      </c>
      <c r="E579" s="22">
        <v>44166</v>
      </c>
      <c r="F579" s="22">
        <v>44196</v>
      </c>
      <c r="G579" s="30" t="s">
        <v>672</v>
      </c>
      <c r="H579" s="30" t="s">
        <v>387</v>
      </c>
      <c r="I579" s="30" t="s">
        <v>722</v>
      </c>
      <c r="J579" s="30" t="s">
        <v>313</v>
      </c>
      <c r="K579" s="30" t="s">
        <v>334</v>
      </c>
      <c r="L579" s="30" t="s">
        <v>342</v>
      </c>
      <c r="M579" s="30" t="s">
        <v>322</v>
      </c>
      <c r="N579" s="15" t="s">
        <v>708</v>
      </c>
      <c r="O579" s="15" t="s">
        <v>694</v>
      </c>
      <c r="P579" s="15" t="s">
        <v>1345</v>
      </c>
      <c r="Q579" s="15" t="s">
        <v>874</v>
      </c>
      <c r="R579" s="15" t="s">
        <v>835</v>
      </c>
      <c r="S579" s="15" t="s">
        <v>348</v>
      </c>
      <c r="T579" s="15" t="s">
        <v>884</v>
      </c>
    </row>
    <row r="580" spans="2:20" x14ac:dyDescent="0.25">
      <c r="B580" s="15" t="s">
        <v>1342</v>
      </c>
      <c r="C580" s="15"/>
      <c r="D580" s="30" t="s">
        <v>1343</v>
      </c>
      <c r="E580" s="22">
        <v>44166</v>
      </c>
      <c r="F580" s="22">
        <v>44196</v>
      </c>
      <c r="G580" s="30" t="s">
        <v>672</v>
      </c>
      <c r="H580" s="30" t="s">
        <v>387</v>
      </c>
      <c r="I580" s="30" t="s">
        <v>722</v>
      </c>
      <c r="J580" s="30" t="s">
        <v>313</v>
      </c>
      <c r="K580" s="30" t="s">
        <v>334</v>
      </c>
      <c r="L580" s="30" t="s">
        <v>342</v>
      </c>
      <c r="M580" s="30" t="s">
        <v>322</v>
      </c>
      <c r="N580" s="15" t="s">
        <v>708</v>
      </c>
      <c r="O580" s="15" t="s">
        <v>694</v>
      </c>
      <c r="P580" s="15" t="s">
        <v>1345</v>
      </c>
      <c r="Q580" s="15" t="s">
        <v>877</v>
      </c>
      <c r="R580" s="15" t="s">
        <v>835</v>
      </c>
      <c r="S580" s="15" t="s">
        <v>348</v>
      </c>
      <c r="T580" s="15" t="s">
        <v>884</v>
      </c>
    </row>
    <row r="581" spans="2:20" x14ac:dyDescent="0.25">
      <c r="B581" s="15" t="s">
        <v>1342</v>
      </c>
      <c r="C581" s="15"/>
      <c r="D581" s="30" t="s">
        <v>1343</v>
      </c>
      <c r="E581" s="22">
        <v>44166</v>
      </c>
      <c r="F581" s="22">
        <v>44196</v>
      </c>
      <c r="G581" s="30" t="s">
        <v>672</v>
      </c>
      <c r="H581" s="30" t="s">
        <v>387</v>
      </c>
      <c r="I581" s="30" t="s">
        <v>722</v>
      </c>
      <c r="J581" s="30" t="s">
        <v>313</v>
      </c>
      <c r="K581" s="30" t="s">
        <v>334</v>
      </c>
      <c r="L581" s="30" t="s">
        <v>342</v>
      </c>
      <c r="M581" s="30" t="s">
        <v>322</v>
      </c>
      <c r="N581" s="15" t="s">
        <v>708</v>
      </c>
      <c r="O581" s="15" t="s">
        <v>694</v>
      </c>
      <c r="P581" s="15" t="s">
        <v>1345</v>
      </c>
      <c r="Q581" s="15" t="s">
        <v>879</v>
      </c>
      <c r="R581" s="15" t="s">
        <v>835</v>
      </c>
      <c r="S581" s="15" t="s">
        <v>348</v>
      </c>
      <c r="T581" s="15" t="s">
        <v>884</v>
      </c>
    </row>
    <row r="582" spans="2:20" x14ac:dyDescent="0.25">
      <c r="B582" s="15" t="s">
        <v>1342</v>
      </c>
      <c r="C582" s="15"/>
      <c r="D582" s="30" t="s">
        <v>1343</v>
      </c>
      <c r="E582" s="22">
        <v>44166</v>
      </c>
      <c r="F582" s="22">
        <v>44196</v>
      </c>
      <c r="G582" s="30" t="s">
        <v>672</v>
      </c>
      <c r="H582" s="30" t="s">
        <v>387</v>
      </c>
      <c r="I582" s="30" t="s">
        <v>722</v>
      </c>
      <c r="J582" s="30" t="s">
        <v>313</v>
      </c>
      <c r="K582" s="30" t="s">
        <v>334</v>
      </c>
      <c r="L582" s="30" t="s">
        <v>342</v>
      </c>
      <c r="M582" s="30" t="s">
        <v>322</v>
      </c>
      <c r="N582" s="15" t="s">
        <v>708</v>
      </c>
      <c r="O582" s="15" t="s">
        <v>694</v>
      </c>
      <c r="P582" s="15" t="s">
        <v>1345</v>
      </c>
      <c r="Q582" s="15" t="s">
        <v>880</v>
      </c>
      <c r="R582" s="15" t="s">
        <v>835</v>
      </c>
      <c r="S582" s="15" t="s">
        <v>348</v>
      </c>
      <c r="T582" s="15" t="s">
        <v>884</v>
      </c>
    </row>
    <row r="583" spans="2:20" x14ac:dyDescent="0.25">
      <c r="B583" s="15" t="s">
        <v>1342</v>
      </c>
      <c r="C583" s="15"/>
      <c r="D583" s="30" t="s">
        <v>1343</v>
      </c>
      <c r="E583" s="22">
        <v>44166</v>
      </c>
      <c r="F583" s="22">
        <v>44196</v>
      </c>
      <c r="G583" s="30" t="s">
        <v>672</v>
      </c>
      <c r="H583" s="30" t="s">
        <v>387</v>
      </c>
      <c r="I583" s="30" t="s">
        <v>722</v>
      </c>
      <c r="J583" s="30" t="s">
        <v>313</v>
      </c>
      <c r="K583" s="30" t="s">
        <v>334</v>
      </c>
      <c r="L583" s="30" t="s">
        <v>342</v>
      </c>
      <c r="M583" s="30" t="s">
        <v>322</v>
      </c>
      <c r="N583" s="15" t="s">
        <v>708</v>
      </c>
      <c r="O583" s="15" t="s">
        <v>694</v>
      </c>
      <c r="P583" s="15" t="s">
        <v>1345</v>
      </c>
      <c r="Q583" s="15" t="s">
        <v>875</v>
      </c>
      <c r="R583" s="15" t="s">
        <v>835</v>
      </c>
      <c r="S583" s="15" t="s">
        <v>348</v>
      </c>
      <c r="T583" s="15" t="s">
        <v>884</v>
      </c>
    </row>
    <row r="584" spans="2:20" x14ac:dyDescent="0.25">
      <c r="B584" s="15" t="s">
        <v>1342</v>
      </c>
      <c r="C584" s="15"/>
      <c r="D584" s="30" t="s">
        <v>1343</v>
      </c>
      <c r="E584" s="22">
        <v>44166</v>
      </c>
      <c r="F584" s="22">
        <v>44196</v>
      </c>
      <c r="G584" s="30" t="s">
        <v>672</v>
      </c>
      <c r="H584" s="30" t="s">
        <v>387</v>
      </c>
      <c r="I584" s="30" t="s">
        <v>722</v>
      </c>
      <c r="J584" s="30" t="s">
        <v>313</v>
      </c>
      <c r="K584" s="30" t="s">
        <v>334</v>
      </c>
      <c r="L584" s="30" t="s">
        <v>342</v>
      </c>
      <c r="M584" s="30" t="s">
        <v>322</v>
      </c>
      <c r="N584" s="15" t="s">
        <v>708</v>
      </c>
      <c r="O584" s="15" t="s">
        <v>694</v>
      </c>
      <c r="P584" s="15" t="s">
        <v>1345</v>
      </c>
      <c r="Q584" s="15" t="s">
        <v>876</v>
      </c>
      <c r="R584" s="15" t="s">
        <v>835</v>
      </c>
      <c r="S584" s="15" t="s">
        <v>348</v>
      </c>
      <c r="T584" s="15" t="s">
        <v>884</v>
      </c>
    </row>
    <row r="585" spans="2:20" x14ac:dyDescent="0.25">
      <c r="B585" s="15" t="s">
        <v>1342</v>
      </c>
      <c r="C585" s="15"/>
      <c r="D585" s="30" t="s">
        <v>1343</v>
      </c>
      <c r="E585" s="22">
        <v>44166</v>
      </c>
      <c r="F585" s="22">
        <v>44196</v>
      </c>
      <c r="G585" s="30" t="s">
        <v>672</v>
      </c>
      <c r="H585" s="30" t="s">
        <v>387</v>
      </c>
      <c r="I585" s="30" t="s">
        <v>722</v>
      </c>
      <c r="J585" s="30" t="s">
        <v>313</v>
      </c>
      <c r="K585" s="30" t="s">
        <v>334</v>
      </c>
      <c r="L585" s="30" t="s">
        <v>342</v>
      </c>
      <c r="M585" s="30" t="s">
        <v>322</v>
      </c>
      <c r="N585" s="15" t="s">
        <v>708</v>
      </c>
      <c r="O585" s="15" t="s">
        <v>694</v>
      </c>
      <c r="P585" s="15" t="s">
        <v>1346</v>
      </c>
      <c r="Q585" s="15" t="s">
        <v>878</v>
      </c>
      <c r="R585" s="15" t="s">
        <v>835</v>
      </c>
      <c r="S585" s="15" t="s">
        <v>348</v>
      </c>
      <c r="T585" s="15" t="s">
        <v>884</v>
      </c>
    </row>
    <row r="586" spans="2:20" x14ac:dyDescent="0.25">
      <c r="B586" s="15" t="s">
        <v>1342</v>
      </c>
      <c r="C586" s="15"/>
      <c r="D586" s="30" t="s">
        <v>1343</v>
      </c>
      <c r="E586" s="22">
        <v>44166</v>
      </c>
      <c r="F586" s="22">
        <v>44196</v>
      </c>
      <c r="G586" s="30" t="s">
        <v>672</v>
      </c>
      <c r="H586" s="30" t="s">
        <v>387</v>
      </c>
      <c r="I586" s="30" t="s">
        <v>722</v>
      </c>
      <c r="J586" s="30" t="s">
        <v>313</v>
      </c>
      <c r="K586" s="30" t="s">
        <v>334</v>
      </c>
      <c r="L586" s="30" t="s">
        <v>342</v>
      </c>
      <c r="M586" s="30" t="s">
        <v>322</v>
      </c>
      <c r="N586" s="15" t="s">
        <v>708</v>
      </c>
      <c r="O586" s="15" t="s">
        <v>694</v>
      </c>
      <c r="P586" s="15" t="s">
        <v>1346</v>
      </c>
      <c r="Q586" s="15" t="s">
        <v>881</v>
      </c>
      <c r="R586" s="15" t="s">
        <v>835</v>
      </c>
      <c r="S586" s="15" t="s">
        <v>348</v>
      </c>
      <c r="T586" s="15" t="s">
        <v>884</v>
      </c>
    </row>
    <row r="587" spans="2:20" x14ac:dyDescent="0.25">
      <c r="B587" s="15" t="s">
        <v>1342</v>
      </c>
      <c r="C587" s="15"/>
      <c r="D587" s="30" t="s">
        <v>1343</v>
      </c>
      <c r="E587" s="22">
        <v>44166</v>
      </c>
      <c r="F587" s="22">
        <v>44196</v>
      </c>
      <c r="G587" s="30" t="s">
        <v>672</v>
      </c>
      <c r="H587" s="30" t="s">
        <v>387</v>
      </c>
      <c r="I587" s="30" t="s">
        <v>722</v>
      </c>
      <c r="J587" s="30" t="s">
        <v>313</v>
      </c>
      <c r="K587" s="30" t="s">
        <v>334</v>
      </c>
      <c r="L587" s="30" t="s">
        <v>342</v>
      </c>
      <c r="M587" s="30" t="s">
        <v>322</v>
      </c>
      <c r="N587" s="15" t="s">
        <v>708</v>
      </c>
      <c r="O587" s="15" t="s">
        <v>694</v>
      </c>
      <c r="P587" s="15" t="s">
        <v>1346</v>
      </c>
      <c r="Q587" s="15" t="s">
        <v>874</v>
      </c>
      <c r="R587" s="15" t="s">
        <v>835</v>
      </c>
      <c r="S587" s="15" t="s">
        <v>348</v>
      </c>
      <c r="T587" s="15" t="s">
        <v>884</v>
      </c>
    </row>
    <row r="588" spans="2:20" x14ac:dyDescent="0.25">
      <c r="B588" s="15" t="s">
        <v>1342</v>
      </c>
      <c r="C588" s="15"/>
      <c r="D588" s="30" t="s">
        <v>1343</v>
      </c>
      <c r="E588" s="22">
        <v>44166</v>
      </c>
      <c r="F588" s="22">
        <v>44196</v>
      </c>
      <c r="G588" s="30" t="s">
        <v>672</v>
      </c>
      <c r="H588" s="30" t="s">
        <v>387</v>
      </c>
      <c r="I588" s="30" t="s">
        <v>722</v>
      </c>
      <c r="J588" s="30" t="s">
        <v>313</v>
      </c>
      <c r="K588" s="30" t="s">
        <v>334</v>
      </c>
      <c r="L588" s="30" t="s">
        <v>342</v>
      </c>
      <c r="M588" s="30" t="s">
        <v>322</v>
      </c>
      <c r="N588" s="15" t="s">
        <v>708</v>
      </c>
      <c r="O588" s="15" t="s">
        <v>694</v>
      </c>
      <c r="P588" s="15" t="s">
        <v>1346</v>
      </c>
      <c r="Q588" s="15" t="s">
        <v>877</v>
      </c>
      <c r="R588" s="15" t="s">
        <v>835</v>
      </c>
      <c r="S588" s="15" t="s">
        <v>348</v>
      </c>
      <c r="T588" s="15" t="s">
        <v>884</v>
      </c>
    </row>
    <row r="589" spans="2:20" x14ac:dyDescent="0.25">
      <c r="B589" s="15" t="s">
        <v>1342</v>
      </c>
      <c r="C589" s="15"/>
      <c r="D589" s="30" t="s">
        <v>1343</v>
      </c>
      <c r="E589" s="22">
        <v>44166</v>
      </c>
      <c r="F589" s="22">
        <v>44196</v>
      </c>
      <c r="G589" s="30" t="s">
        <v>672</v>
      </c>
      <c r="H589" s="30" t="s">
        <v>387</v>
      </c>
      <c r="I589" s="30" t="s">
        <v>722</v>
      </c>
      <c r="J589" s="30" t="s">
        <v>313</v>
      </c>
      <c r="K589" s="30" t="s">
        <v>334</v>
      </c>
      <c r="L589" s="30" t="s">
        <v>342</v>
      </c>
      <c r="M589" s="30" t="s">
        <v>322</v>
      </c>
      <c r="N589" s="15" t="s">
        <v>708</v>
      </c>
      <c r="O589" s="15" t="s">
        <v>694</v>
      </c>
      <c r="P589" s="15" t="s">
        <v>1346</v>
      </c>
      <c r="Q589" s="15" t="s">
        <v>879</v>
      </c>
      <c r="R589" s="15" t="s">
        <v>835</v>
      </c>
      <c r="S589" s="15" t="s">
        <v>348</v>
      </c>
      <c r="T589" s="15" t="s">
        <v>884</v>
      </c>
    </row>
    <row r="590" spans="2:20" x14ac:dyDescent="0.25">
      <c r="B590" s="15" t="s">
        <v>1342</v>
      </c>
      <c r="C590" s="15"/>
      <c r="D590" s="30" t="s">
        <v>1343</v>
      </c>
      <c r="E590" s="22">
        <v>44166</v>
      </c>
      <c r="F590" s="22">
        <v>44196</v>
      </c>
      <c r="G590" s="30" t="s">
        <v>672</v>
      </c>
      <c r="H590" s="30" t="s">
        <v>387</v>
      </c>
      <c r="I590" s="30" t="s">
        <v>722</v>
      </c>
      <c r="J590" s="30" t="s">
        <v>313</v>
      </c>
      <c r="K590" s="30" t="s">
        <v>334</v>
      </c>
      <c r="L590" s="30" t="s">
        <v>342</v>
      </c>
      <c r="M590" s="30" t="s">
        <v>322</v>
      </c>
      <c r="N590" s="15" t="s">
        <v>708</v>
      </c>
      <c r="O590" s="15" t="s">
        <v>694</v>
      </c>
      <c r="P590" s="15" t="s">
        <v>1346</v>
      </c>
      <c r="Q590" s="15" t="s">
        <v>880</v>
      </c>
      <c r="R590" s="15" t="s">
        <v>835</v>
      </c>
      <c r="S590" s="15" t="s">
        <v>348</v>
      </c>
      <c r="T590" s="15" t="s">
        <v>884</v>
      </c>
    </row>
    <row r="591" spans="2:20" x14ac:dyDescent="0.25">
      <c r="B591" s="15" t="s">
        <v>1342</v>
      </c>
      <c r="C591" s="15"/>
      <c r="D591" s="30" t="s">
        <v>1343</v>
      </c>
      <c r="E591" s="22">
        <v>44166</v>
      </c>
      <c r="F591" s="22">
        <v>44196</v>
      </c>
      <c r="G591" s="30" t="s">
        <v>672</v>
      </c>
      <c r="H591" s="30" t="s">
        <v>387</v>
      </c>
      <c r="I591" s="30" t="s">
        <v>722</v>
      </c>
      <c r="J591" s="30" t="s">
        <v>313</v>
      </c>
      <c r="K591" s="30" t="s">
        <v>334</v>
      </c>
      <c r="L591" s="30" t="s">
        <v>342</v>
      </c>
      <c r="M591" s="30" t="s">
        <v>322</v>
      </c>
      <c r="N591" s="15" t="s">
        <v>708</v>
      </c>
      <c r="O591" s="15" t="s">
        <v>694</v>
      </c>
      <c r="P591" s="15" t="s">
        <v>1346</v>
      </c>
      <c r="Q591" s="15" t="s">
        <v>875</v>
      </c>
      <c r="R591" s="15" t="s">
        <v>835</v>
      </c>
      <c r="S591" s="15" t="s">
        <v>348</v>
      </c>
      <c r="T591" s="15" t="s">
        <v>884</v>
      </c>
    </row>
    <row r="592" spans="2:20" x14ac:dyDescent="0.25">
      <c r="B592" s="15" t="s">
        <v>1342</v>
      </c>
      <c r="C592" s="15"/>
      <c r="D592" s="30" t="s">
        <v>1343</v>
      </c>
      <c r="E592" s="22">
        <v>44166</v>
      </c>
      <c r="F592" s="22">
        <v>44196</v>
      </c>
      <c r="G592" s="30" t="s">
        <v>672</v>
      </c>
      <c r="H592" s="30" t="s">
        <v>387</v>
      </c>
      <c r="I592" s="30" t="s">
        <v>722</v>
      </c>
      <c r="J592" s="30" t="s">
        <v>313</v>
      </c>
      <c r="K592" s="30" t="s">
        <v>334</v>
      </c>
      <c r="L592" s="30" t="s">
        <v>342</v>
      </c>
      <c r="M592" s="30" t="s">
        <v>322</v>
      </c>
      <c r="N592" s="15" t="s">
        <v>708</v>
      </c>
      <c r="O592" s="15" t="s">
        <v>694</v>
      </c>
      <c r="P592" s="15" t="s">
        <v>1346</v>
      </c>
      <c r="Q592" s="15" t="s">
        <v>876</v>
      </c>
      <c r="R592" s="15" t="s">
        <v>835</v>
      </c>
      <c r="S592" s="15" t="s">
        <v>348</v>
      </c>
      <c r="T592" s="15" t="s">
        <v>884</v>
      </c>
    </row>
    <row r="593" spans="2:20" x14ac:dyDescent="0.25">
      <c r="B593" s="15" t="s">
        <v>1342</v>
      </c>
      <c r="C593" s="15"/>
      <c r="D593" s="30" t="s">
        <v>1343</v>
      </c>
      <c r="E593" s="22">
        <v>44166</v>
      </c>
      <c r="F593" s="22">
        <v>44196</v>
      </c>
      <c r="G593" s="15" t="s">
        <v>672</v>
      </c>
      <c r="H593" s="15" t="s">
        <v>387</v>
      </c>
      <c r="I593" s="15" t="s">
        <v>722</v>
      </c>
      <c r="J593" s="15" t="s">
        <v>313</v>
      </c>
      <c r="K593" s="15" t="s">
        <v>334</v>
      </c>
      <c r="L593" s="30" t="s">
        <v>342</v>
      </c>
      <c r="M593" s="30" t="s">
        <v>322</v>
      </c>
      <c r="N593" s="15" t="s">
        <v>708</v>
      </c>
      <c r="O593" s="15" t="s">
        <v>694</v>
      </c>
      <c r="P593" s="15" t="s">
        <v>1002</v>
      </c>
      <c r="Q593" s="15" t="s">
        <v>883</v>
      </c>
      <c r="R593" s="15" t="s">
        <v>835</v>
      </c>
      <c r="S593" s="15" t="s">
        <v>348</v>
      </c>
      <c r="T593" s="15" t="s">
        <v>884</v>
      </c>
    </row>
    <row r="594" spans="2:20" x14ac:dyDescent="0.25">
      <c r="B594" s="15" t="s">
        <v>1342</v>
      </c>
      <c r="C594" s="15"/>
      <c r="D594" s="30" t="s">
        <v>1343</v>
      </c>
      <c r="E594" s="22">
        <v>44166</v>
      </c>
      <c r="F594" s="22">
        <v>44196</v>
      </c>
      <c r="G594" s="15" t="s">
        <v>672</v>
      </c>
      <c r="H594" s="15" t="s">
        <v>387</v>
      </c>
      <c r="I594" s="15" t="s">
        <v>722</v>
      </c>
      <c r="J594" s="15" t="s">
        <v>313</v>
      </c>
      <c r="K594" s="15" t="s">
        <v>334</v>
      </c>
      <c r="L594" s="30" t="s">
        <v>342</v>
      </c>
      <c r="M594" s="30" t="s">
        <v>322</v>
      </c>
      <c r="N594" s="15" t="s">
        <v>708</v>
      </c>
      <c r="O594" s="15" t="s">
        <v>694</v>
      </c>
      <c r="P594" s="15" t="s">
        <v>1345</v>
      </c>
      <c r="Q594" s="15" t="s">
        <v>883</v>
      </c>
      <c r="R594" s="15" t="s">
        <v>835</v>
      </c>
      <c r="S594" s="15" t="s">
        <v>348</v>
      </c>
      <c r="T594" s="15" t="s">
        <v>884</v>
      </c>
    </row>
    <row r="595" spans="2:20" x14ac:dyDescent="0.25">
      <c r="B595" s="15" t="s">
        <v>1342</v>
      </c>
      <c r="C595" s="15"/>
      <c r="D595" s="30" t="s">
        <v>1343</v>
      </c>
      <c r="E595" s="22">
        <v>44166</v>
      </c>
      <c r="F595" s="22">
        <v>44196</v>
      </c>
      <c r="G595" s="15" t="s">
        <v>672</v>
      </c>
      <c r="H595" s="15" t="s">
        <v>387</v>
      </c>
      <c r="I595" s="15" t="s">
        <v>722</v>
      </c>
      <c r="J595" s="15" t="s">
        <v>313</v>
      </c>
      <c r="K595" s="15" t="s">
        <v>334</v>
      </c>
      <c r="L595" s="30" t="s">
        <v>342</v>
      </c>
      <c r="M595" s="30" t="s">
        <v>322</v>
      </c>
      <c r="N595" s="15" t="s">
        <v>708</v>
      </c>
      <c r="O595" s="15" t="s">
        <v>694</v>
      </c>
      <c r="P595" s="15" t="s">
        <v>1346</v>
      </c>
      <c r="Q595" s="15" t="s">
        <v>883</v>
      </c>
      <c r="R595" s="15" t="s">
        <v>835</v>
      </c>
      <c r="S595" s="15" t="s">
        <v>348</v>
      </c>
      <c r="T595" s="15" t="s">
        <v>884</v>
      </c>
    </row>
    <row r="596" spans="2:20" x14ac:dyDescent="0.25">
      <c r="B596" s="15" t="s">
        <v>1342</v>
      </c>
      <c r="C596" s="15"/>
      <c r="D596" s="30" t="s">
        <v>1343</v>
      </c>
      <c r="E596" s="22">
        <v>44166</v>
      </c>
      <c r="F596" s="22">
        <v>44196</v>
      </c>
      <c r="G596" s="30" t="s">
        <v>672</v>
      </c>
      <c r="H596" s="30" t="s">
        <v>387</v>
      </c>
      <c r="I596" s="30" t="s">
        <v>722</v>
      </c>
      <c r="J596" s="30" t="s">
        <v>313</v>
      </c>
      <c r="K596" s="30" t="s">
        <v>334</v>
      </c>
      <c r="L596" s="30" t="s">
        <v>342</v>
      </c>
      <c r="M596" s="30" t="s">
        <v>322</v>
      </c>
      <c r="N596" s="15" t="s">
        <v>708</v>
      </c>
      <c r="O596" s="15" t="s">
        <v>694</v>
      </c>
      <c r="P596" s="15" t="s">
        <v>1002</v>
      </c>
      <c r="Q596" s="15" t="s">
        <v>887</v>
      </c>
      <c r="R596" s="15" t="s">
        <v>835</v>
      </c>
      <c r="S596" s="15" t="s">
        <v>348</v>
      </c>
      <c r="T596" s="15" t="s">
        <v>884</v>
      </c>
    </row>
    <row r="597" spans="2:20" x14ac:dyDescent="0.25">
      <c r="B597" s="15" t="s">
        <v>1342</v>
      </c>
      <c r="C597" s="15"/>
      <c r="D597" s="30" t="s">
        <v>1343</v>
      </c>
      <c r="E597" s="22">
        <v>44166</v>
      </c>
      <c r="F597" s="22">
        <v>44196</v>
      </c>
      <c r="G597" s="30" t="s">
        <v>672</v>
      </c>
      <c r="H597" s="30" t="s">
        <v>387</v>
      </c>
      <c r="I597" s="30" t="s">
        <v>722</v>
      </c>
      <c r="J597" s="30" t="s">
        <v>313</v>
      </c>
      <c r="K597" s="30" t="s">
        <v>334</v>
      </c>
      <c r="L597" s="30" t="s">
        <v>342</v>
      </c>
      <c r="M597" s="30" t="s">
        <v>322</v>
      </c>
      <c r="N597" s="15" t="s">
        <v>708</v>
      </c>
      <c r="O597" s="15" t="s">
        <v>694</v>
      </c>
      <c r="P597" s="15" t="s">
        <v>1345</v>
      </c>
      <c r="Q597" s="15" t="s">
        <v>887</v>
      </c>
      <c r="R597" s="15" t="s">
        <v>835</v>
      </c>
      <c r="S597" s="15" t="s">
        <v>348</v>
      </c>
      <c r="T597" s="15" t="s">
        <v>884</v>
      </c>
    </row>
    <row r="598" spans="2:20" x14ac:dyDescent="0.25">
      <c r="B598" s="15" t="s">
        <v>1342</v>
      </c>
      <c r="C598" s="15"/>
      <c r="D598" s="30" t="s">
        <v>1343</v>
      </c>
      <c r="E598" s="22">
        <v>44166</v>
      </c>
      <c r="F598" s="22">
        <v>44196</v>
      </c>
      <c r="G598" s="30" t="s">
        <v>672</v>
      </c>
      <c r="H598" s="30" t="s">
        <v>387</v>
      </c>
      <c r="I598" s="30" t="s">
        <v>722</v>
      </c>
      <c r="J598" s="30" t="s">
        <v>313</v>
      </c>
      <c r="K598" s="30" t="s">
        <v>334</v>
      </c>
      <c r="L598" s="30" t="s">
        <v>342</v>
      </c>
      <c r="M598" s="30" t="s">
        <v>322</v>
      </c>
      <c r="N598" s="15" t="s">
        <v>708</v>
      </c>
      <c r="O598" s="15" t="s">
        <v>694</v>
      </c>
      <c r="P598" s="15" t="s">
        <v>1346</v>
      </c>
      <c r="Q598" s="15" t="s">
        <v>887</v>
      </c>
      <c r="R598" s="15" t="s">
        <v>835</v>
      </c>
      <c r="S598" s="15" t="s">
        <v>348</v>
      </c>
      <c r="T598" s="15" t="s">
        <v>884</v>
      </c>
    </row>
    <row r="599" spans="2:20" x14ac:dyDescent="0.25">
      <c r="B599" s="15" t="s">
        <v>1342</v>
      </c>
      <c r="C599" s="15"/>
      <c r="D599" s="30" t="s">
        <v>1343</v>
      </c>
      <c r="E599" s="22">
        <v>44166</v>
      </c>
      <c r="F599" s="22">
        <v>44196</v>
      </c>
      <c r="G599" s="30" t="s">
        <v>672</v>
      </c>
      <c r="H599" s="30" t="s">
        <v>387</v>
      </c>
      <c r="I599" s="30" t="s">
        <v>722</v>
      </c>
      <c r="J599" s="30" t="s">
        <v>313</v>
      </c>
      <c r="K599" s="30" t="s">
        <v>334</v>
      </c>
      <c r="L599" s="30" t="s">
        <v>342</v>
      </c>
      <c r="M599" s="30" t="s">
        <v>322</v>
      </c>
      <c r="N599" s="15" t="s">
        <v>708</v>
      </c>
      <c r="O599" s="15" t="s">
        <v>694</v>
      </c>
      <c r="P599" s="15" t="s">
        <v>1003</v>
      </c>
      <c r="Q599" s="15" t="s">
        <v>878</v>
      </c>
      <c r="R599" s="15" t="s">
        <v>835</v>
      </c>
      <c r="S599" s="15" t="s">
        <v>348</v>
      </c>
      <c r="T599" s="15" t="s">
        <v>884</v>
      </c>
    </row>
    <row r="600" spans="2:20" x14ac:dyDescent="0.25">
      <c r="B600" s="15" t="s">
        <v>1342</v>
      </c>
      <c r="C600" s="15"/>
      <c r="D600" s="30" t="s">
        <v>1343</v>
      </c>
      <c r="E600" s="22">
        <v>44166</v>
      </c>
      <c r="F600" s="22">
        <v>44196</v>
      </c>
      <c r="G600" s="30" t="s">
        <v>672</v>
      </c>
      <c r="H600" s="30" t="s">
        <v>387</v>
      </c>
      <c r="I600" s="30" t="s">
        <v>722</v>
      </c>
      <c r="J600" s="30" t="s">
        <v>313</v>
      </c>
      <c r="K600" s="30" t="s">
        <v>334</v>
      </c>
      <c r="L600" s="30" t="s">
        <v>342</v>
      </c>
      <c r="M600" s="30" t="s">
        <v>322</v>
      </c>
      <c r="N600" s="15" t="s">
        <v>708</v>
      </c>
      <c r="O600" s="15" t="s">
        <v>694</v>
      </c>
      <c r="P600" s="15" t="s">
        <v>1003</v>
      </c>
      <c r="Q600" s="15" t="s">
        <v>881</v>
      </c>
      <c r="R600" s="15" t="s">
        <v>835</v>
      </c>
      <c r="S600" s="15" t="s">
        <v>348</v>
      </c>
      <c r="T600" s="15" t="s">
        <v>884</v>
      </c>
    </row>
    <row r="601" spans="2:20" x14ac:dyDescent="0.25">
      <c r="B601" s="15" t="s">
        <v>1342</v>
      </c>
      <c r="C601" s="15"/>
      <c r="D601" s="30" t="s">
        <v>1343</v>
      </c>
      <c r="E601" s="22">
        <v>44166</v>
      </c>
      <c r="F601" s="22">
        <v>44196</v>
      </c>
      <c r="G601" s="30" t="s">
        <v>672</v>
      </c>
      <c r="H601" s="30" t="s">
        <v>387</v>
      </c>
      <c r="I601" s="30" t="s">
        <v>722</v>
      </c>
      <c r="J601" s="30" t="s">
        <v>313</v>
      </c>
      <c r="K601" s="30" t="s">
        <v>334</v>
      </c>
      <c r="L601" s="30" t="s">
        <v>342</v>
      </c>
      <c r="M601" s="30" t="s">
        <v>322</v>
      </c>
      <c r="N601" s="15" t="s">
        <v>708</v>
      </c>
      <c r="O601" s="15" t="s">
        <v>694</v>
      </c>
      <c r="P601" s="15" t="s">
        <v>1003</v>
      </c>
      <c r="Q601" s="15" t="s">
        <v>874</v>
      </c>
      <c r="R601" s="15" t="s">
        <v>835</v>
      </c>
      <c r="S601" s="15" t="s">
        <v>348</v>
      </c>
      <c r="T601" s="15" t="s">
        <v>884</v>
      </c>
    </row>
    <row r="602" spans="2:20" x14ac:dyDescent="0.25">
      <c r="B602" s="15" t="s">
        <v>1342</v>
      </c>
      <c r="C602" s="15"/>
      <c r="D602" s="30" t="s">
        <v>1343</v>
      </c>
      <c r="E602" s="22">
        <v>44166</v>
      </c>
      <c r="F602" s="22">
        <v>44196</v>
      </c>
      <c r="G602" s="30" t="s">
        <v>672</v>
      </c>
      <c r="H602" s="30" t="s">
        <v>387</v>
      </c>
      <c r="I602" s="30" t="s">
        <v>722</v>
      </c>
      <c r="J602" s="30" t="s">
        <v>313</v>
      </c>
      <c r="K602" s="30" t="s">
        <v>334</v>
      </c>
      <c r="L602" s="30" t="s">
        <v>342</v>
      </c>
      <c r="M602" s="30" t="s">
        <v>322</v>
      </c>
      <c r="N602" s="15" t="s">
        <v>708</v>
      </c>
      <c r="O602" s="15" t="s">
        <v>694</v>
      </c>
      <c r="P602" s="15" t="s">
        <v>1003</v>
      </c>
      <c r="Q602" s="15" t="s">
        <v>877</v>
      </c>
      <c r="R602" s="15" t="s">
        <v>835</v>
      </c>
      <c r="S602" s="15" t="s">
        <v>348</v>
      </c>
      <c r="T602" s="15" t="s">
        <v>884</v>
      </c>
    </row>
    <row r="603" spans="2:20" x14ac:dyDescent="0.25">
      <c r="B603" s="15" t="s">
        <v>1342</v>
      </c>
      <c r="C603" s="15"/>
      <c r="D603" s="30" t="s">
        <v>1343</v>
      </c>
      <c r="E603" s="22">
        <v>44166</v>
      </c>
      <c r="F603" s="22">
        <v>44196</v>
      </c>
      <c r="G603" s="30" t="s">
        <v>672</v>
      </c>
      <c r="H603" s="30" t="s">
        <v>387</v>
      </c>
      <c r="I603" s="30" t="s">
        <v>722</v>
      </c>
      <c r="J603" s="30" t="s">
        <v>313</v>
      </c>
      <c r="K603" s="30" t="s">
        <v>334</v>
      </c>
      <c r="L603" s="30" t="s">
        <v>342</v>
      </c>
      <c r="M603" s="30" t="s">
        <v>322</v>
      </c>
      <c r="N603" s="15" t="s">
        <v>708</v>
      </c>
      <c r="O603" s="15" t="s">
        <v>694</v>
      </c>
      <c r="P603" s="15" t="s">
        <v>1003</v>
      </c>
      <c r="Q603" s="15" t="s">
        <v>879</v>
      </c>
      <c r="R603" s="15" t="s">
        <v>835</v>
      </c>
      <c r="S603" s="15" t="s">
        <v>348</v>
      </c>
      <c r="T603" s="15" t="s">
        <v>884</v>
      </c>
    </row>
    <row r="604" spans="2:20" x14ac:dyDescent="0.25">
      <c r="B604" s="15" t="s">
        <v>1342</v>
      </c>
      <c r="C604" s="15"/>
      <c r="D604" s="30" t="s">
        <v>1343</v>
      </c>
      <c r="E604" s="22">
        <v>44166</v>
      </c>
      <c r="F604" s="22">
        <v>44196</v>
      </c>
      <c r="G604" s="30" t="s">
        <v>672</v>
      </c>
      <c r="H604" s="30" t="s">
        <v>387</v>
      </c>
      <c r="I604" s="30" t="s">
        <v>722</v>
      </c>
      <c r="J604" s="30" t="s">
        <v>313</v>
      </c>
      <c r="K604" s="30" t="s">
        <v>334</v>
      </c>
      <c r="L604" s="30" t="s">
        <v>342</v>
      </c>
      <c r="M604" s="30" t="s">
        <v>322</v>
      </c>
      <c r="N604" s="15" t="s">
        <v>708</v>
      </c>
      <c r="O604" s="15" t="s">
        <v>694</v>
      </c>
      <c r="P604" s="15" t="s">
        <v>1003</v>
      </c>
      <c r="Q604" s="15" t="s">
        <v>880</v>
      </c>
      <c r="R604" s="15" t="s">
        <v>835</v>
      </c>
      <c r="S604" s="15" t="s">
        <v>348</v>
      </c>
      <c r="T604" s="15" t="s">
        <v>884</v>
      </c>
    </row>
    <row r="605" spans="2:20" x14ac:dyDescent="0.25">
      <c r="B605" s="15" t="s">
        <v>1342</v>
      </c>
      <c r="C605" s="15"/>
      <c r="D605" s="30" t="s">
        <v>1343</v>
      </c>
      <c r="E605" s="22">
        <v>44166</v>
      </c>
      <c r="F605" s="22">
        <v>44196</v>
      </c>
      <c r="G605" s="30" t="s">
        <v>672</v>
      </c>
      <c r="H605" s="30" t="s">
        <v>387</v>
      </c>
      <c r="I605" s="30" t="s">
        <v>722</v>
      </c>
      <c r="J605" s="30" t="s">
        <v>313</v>
      </c>
      <c r="K605" s="30" t="s">
        <v>334</v>
      </c>
      <c r="L605" s="30" t="s">
        <v>342</v>
      </c>
      <c r="M605" s="30" t="s">
        <v>322</v>
      </c>
      <c r="N605" s="15" t="s">
        <v>708</v>
      </c>
      <c r="O605" s="15" t="s">
        <v>694</v>
      </c>
      <c r="P605" s="15" t="s">
        <v>1003</v>
      </c>
      <c r="Q605" s="15" t="s">
        <v>875</v>
      </c>
      <c r="R605" s="15" t="s">
        <v>835</v>
      </c>
      <c r="S605" s="15" t="s">
        <v>348</v>
      </c>
      <c r="T605" s="15" t="s">
        <v>884</v>
      </c>
    </row>
    <row r="606" spans="2:20" x14ac:dyDescent="0.25">
      <c r="B606" s="15" t="s">
        <v>1342</v>
      </c>
      <c r="C606" s="15"/>
      <c r="D606" s="30" t="s">
        <v>1343</v>
      </c>
      <c r="E606" s="22">
        <v>44166</v>
      </c>
      <c r="F606" s="22">
        <v>44196</v>
      </c>
      <c r="G606" s="30" t="s">
        <v>672</v>
      </c>
      <c r="H606" s="30" t="s">
        <v>387</v>
      </c>
      <c r="I606" s="30" t="s">
        <v>722</v>
      </c>
      <c r="J606" s="30" t="s">
        <v>313</v>
      </c>
      <c r="K606" s="30" t="s">
        <v>334</v>
      </c>
      <c r="L606" s="30" t="s">
        <v>342</v>
      </c>
      <c r="M606" s="30" t="s">
        <v>322</v>
      </c>
      <c r="N606" s="15" t="s">
        <v>708</v>
      </c>
      <c r="O606" s="15" t="s">
        <v>694</v>
      </c>
      <c r="P606" s="15" t="s">
        <v>1003</v>
      </c>
      <c r="Q606" s="15" t="s">
        <v>876</v>
      </c>
      <c r="R606" s="15" t="s">
        <v>835</v>
      </c>
      <c r="S606" s="15" t="s">
        <v>348</v>
      </c>
      <c r="T606" s="15" t="s">
        <v>884</v>
      </c>
    </row>
    <row r="607" spans="2:20" x14ac:dyDescent="0.25">
      <c r="B607" s="15" t="s">
        <v>1342</v>
      </c>
      <c r="C607" s="15"/>
      <c r="D607" s="30" t="s">
        <v>1343</v>
      </c>
      <c r="E607" s="22">
        <v>44166</v>
      </c>
      <c r="F607" s="22">
        <v>44196</v>
      </c>
      <c r="G607" s="30" t="s">
        <v>672</v>
      </c>
      <c r="H607" s="30" t="s">
        <v>387</v>
      </c>
      <c r="I607" s="30" t="s">
        <v>722</v>
      </c>
      <c r="J607" s="30" t="s">
        <v>313</v>
      </c>
      <c r="K607" s="30" t="s">
        <v>334</v>
      </c>
      <c r="L607" s="30" t="s">
        <v>342</v>
      </c>
      <c r="M607" s="30" t="s">
        <v>322</v>
      </c>
      <c r="N607" s="15" t="s">
        <v>708</v>
      </c>
      <c r="O607" s="15" t="s">
        <v>694</v>
      </c>
      <c r="P607" s="15" t="s">
        <v>1347</v>
      </c>
      <c r="Q607" s="15" t="s">
        <v>878</v>
      </c>
      <c r="R607" s="15" t="s">
        <v>835</v>
      </c>
      <c r="S607" s="15" t="s">
        <v>348</v>
      </c>
      <c r="T607" s="15" t="s">
        <v>884</v>
      </c>
    </row>
    <row r="608" spans="2:20" x14ac:dyDescent="0.25">
      <c r="B608" s="15" t="s">
        <v>1342</v>
      </c>
      <c r="C608" s="15"/>
      <c r="D608" s="30" t="s">
        <v>1343</v>
      </c>
      <c r="E608" s="22">
        <v>44166</v>
      </c>
      <c r="F608" s="22">
        <v>44196</v>
      </c>
      <c r="G608" s="30" t="s">
        <v>672</v>
      </c>
      <c r="H608" s="30" t="s">
        <v>387</v>
      </c>
      <c r="I608" s="30" t="s">
        <v>722</v>
      </c>
      <c r="J608" s="30" t="s">
        <v>313</v>
      </c>
      <c r="K608" s="30" t="s">
        <v>334</v>
      </c>
      <c r="L608" s="30" t="s">
        <v>342</v>
      </c>
      <c r="M608" s="30" t="s">
        <v>322</v>
      </c>
      <c r="N608" s="15" t="s">
        <v>708</v>
      </c>
      <c r="O608" s="15" t="s">
        <v>694</v>
      </c>
      <c r="P608" s="15" t="s">
        <v>1347</v>
      </c>
      <c r="Q608" s="15" t="s">
        <v>881</v>
      </c>
      <c r="R608" s="15" t="s">
        <v>835</v>
      </c>
      <c r="S608" s="15" t="s">
        <v>348</v>
      </c>
      <c r="T608" s="15" t="s">
        <v>884</v>
      </c>
    </row>
    <row r="609" spans="2:20" x14ac:dyDescent="0.25">
      <c r="B609" s="15" t="s">
        <v>1342</v>
      </c>
      <c r="C609" s="15"/>
      <c r="D609" s="30" t="s">
        <v>1343</v>
      </c>
      <c r="E609" s="22">
        <v>44166</v>
      </c>
      <c r="F609" s="22">
        <v>44196</v>
      </c>
      <c r="G609" s="30" t="s">
        <v>672</v>
      </c>
      <c r="H609" s="30" t="s">
        <v>387</v>
      </c>
      <c r="I609" s="30" t="s">
        <v>722</v>
      </c>
      <c r="J609" s="30" t="s">
        <v>313</v>
      </c>
      <c r="K609" s="30" t="s">
        <v>334</v>
      </c>
      <c r="L609" s="30" t="s">
        <v>342</v>
      </c>
      <c r="M609" s="30" t="s">
        <v>322</v>
      </c>
      <c r="N609" s="15" t="s">
        <v>708</v>
      </c>
      <c r="O609" s="15" t="s">
        <v>694</v>
      </c>
      <c r="P609" s="15" t="s">
        <v>1347</v>
      </c>
      <c r="Q609" s="15" t="s">
        <v>874</v>
      </c>
      <c r="R609" s="15" t="s">
        <v>835</v>
      </c>
      <c r="S609" s="15" t="s">
        <v>348</v>
      </c>
      <c r="T609" s="15" t="s">
        <v>884</v>
      </c>
    </row>
    <row r="610" spans="2:20" x14ac:dyDescent="0.25">
      <c r="B610" s="15" t="s">
        <v>1342</v>
      </c>
      <c r="C610" s="15"/>
      <c r="D610" s="30" t="s">
        <v>1343</v>
      </c>
      <c r="E610" s="22">
        <v>44166</v>
      </c>
      <c r="F610" s="22">
        <v>44196</v>
      </c>
      <c r="G610" s="30" t="s">
        <v>672</v>
      </c>
      <c r="H610" s="30" t="s">
        <v>387</v>
      </c>
      <c r="I610" s="30" t="s">
        <v>722</v>
      </c>
      <c r="J610" s="30" t="s">
        <v>313</v>
      </c>
      <c r="K610" s="30" t="s">
        <v>334</v>
      </c>
      <c r="L610" s="30" t="s">
        <v>342</v>
      </c>
      <c r="M610" s="30" t="s">
        <v>322</v>
      </c>
      <c r="N610" s="15" t="s">
        <v>708</v>
      </c>
      <c r="O610" s="15" t="s">
        <v>694</v>
      </c>
      <c r="P610" s="15" t="s">
        <v>1347</v>
      </c>
      <c r="Q610" s="15" t="s">
        <v>877</v>
      </c>
      <c r="R610" s="15" t="s">
        <v>835</v>
      </c>
      <c r="S610" s="15" t="s">
        <v>348</v>
      </c>
      <c r="T610" s="15" t="s">
        <v>884</v>
      </c>
    </row>
    <row r="611" spans="2:20" x14ac:dyDescent="0.25">
      <c r="B611" s="15" t="s">
        <v>1342</v>
      </c>
      <c r="C611" s="15"/>
      <c r="D611" s="30" t="s">
        <v>1343</v>
      </c>
      <c r="E611" s="22">
        <v>44166</v>
      </c>
      <c r="F611" s="22">
        <v>44196</v>
      </c>
      <c r="G611" s="30" t="s">
        <v>672</v>
      </c>
      <c r="H611" s="30" t="s">
        <v>387</v>
      </c>
      <c r="I611" s="30" t="s">
        <v>722</v>
      </c>
      <c r="J611" s="30" t="s">
        <v>313</v>
      </c>
      <c r="K611" s="30" t="s">
        <v>334</v>
      </c>
      <c r="L611" s="30" t="s">
        <v>342</v>
      </c>
      <c r="M611" s="30" t="s">
        <v>322</v>
      </c>
      <c r="N611" s="15" t="s">
        <v>708</v>
      </c>
      <c r="O611" s="15" t="s">
        <v>694</v>
      </c>
      <c r="P611" s="15" t="s">
        <v>1347</v>
      </c>
      <c r="Q611" s="15" t="s">
        <v>879</v>
      </c>
      <c r="R611" s="15" t="s">
        <v>835</v>
      </c>
      <c r="S611" s="15" t="s">
        <v>348</v>
      </c>
      <c r="T611" s="15" t="s">
        <v>884</v>
      </c>
    </row>
    <row r="612" spans="2:20" x14ac:dyDescent="0.25">
      <c r="B612" s="15" t="s">
        <v>1342</v>
      </c>
      <c r="C612" s="15"/>
      <c r="D612" s="30" t="s">
        <v>1343</v>
      </c>
      <c r="E612" s="22">
        <v>44166</v>
      </c>
      <c r="F612" s="22">
        <v>44196</v>
      </c>
      <c r="G612" s="30" t="s">
        <v>672</v>
      </c>
      <c r="H612" s="30" t="s">
        <v>387</v>
      </c>
      <c r="I612" s="30" t="s">
        <v>722</v>
      </c>
      <c r="J612" s="30" t="s">
        <v>313</v>
      </c>
      <c r="K612" s="30" t="s">
        <v>334</v>
      </c>
      <c r="L612" s="30" t="s">
        <v>342</v>
      </c>
      <c r="M612" s="30" t="s">
        <v>322</v>
      </c>
      <c r="N612" s="15" t="s">
        <v>708</v>
      </c>
      <c r="O612" s="15" t="s">
        <v>694</v>
      </c>
      <c r="P612" s="15" t="s">
        <v>1347</v>
      </c>
      <c r="Q612" s="15" t="s">
        <v>880</v>
      </c>
      <c r="R612" s="15" t="s">
        <v>835</v>
      </c>
      <c r="S612" s="15" t="s">
        <v>348</v>
      </c>
      <c r="T612" s="15" t="s">
        <v>884</v>
      </c>
    </row>
    <row r="613" spans="2:20" x14ac:dyDescent="0.25">
      <c r="B613" s="15" t="s">
        <v>1342</v>
      </c>
      <c r="C613" s="15"/>
      <c r="D613" s="30" t="s">
        <v>1343</v>
      </c>
      <c r="E613" s="22">
        <v>44166</v>
      </c>
      <c r="F613" s="22">
        <v>44196</v>
      </c>
      <c r="G613" s="30" t="s">
        <v>672</v>
      </c>
      <c r="H613" s="30" t="s">
        <v>387</v>
      </c>
      <c r="I613" s="30" t="s">
        <v>722</v>
      </c>
      <c r="J613" s="30" t="s">
        <v>313</v>
      </c>
      <c r="K613" s="30" t="s">
        <v>334</v>
      </c>
      <c r="L613" s="30" t="s">
        <v>342</v>
      </c>
      <c r="M613" s="30" t="s">
        <v>322</v>
      </c>
      <c r="N613" s="15" t="s">
        <v>708</v>
      </c>
      <c r="O613" s="15" t="s">
        <v>694</v>
      </c>
      <c r="P613" s="15" t="s">
        <v>1347</v>
      </c>
      <c r="Q613" s="15" t="s">
        <v>875</v>
      </c>
      <c r="R613" s="15" t="s">
        <v>835</v>
      </c>
      <c r="S613" s="15" t="s">
        <v>348</v>
      </c>
      <c r="T613" s="15" t="s">
        <v>884</v>
      </c>
    </row>
    <row r="614" spans="2:20" x14ac:dyDescent="0.25">
      <c r="B614" s="15" t="s">
        <v>1342</v>
      </c>
      <c r="C614" s="15"/>
      <c r="D614" s="30" t="s">
        <v>1343</v>
      </c>
      <c r="E614" s="22">
        <v>44166</v>
      </c>
      <c r="F614" s="22">
        <v>44196</v>
      </c>
      <c r="G614" s="30" t="s">
        <v>672</v>
      </c>
      <c r="H614" s="30" t="s">
        <v>387</v>
      </c>
      <c r="I614" s="30" t="s">
        <v>722</v>
      </c>
      <c r="J614" s="30" t="s">
        <v>313</v>
      </c>
      <c r="K614" s="30" t="s">
        <v>334</v>
      </c>
      <c r="L614" s="30" t="s">
        <v>342</v>
      </c>
      <c r="M614" s="30" t="s">
        <v>322</v>
      </c>
      <c r="N614" s="15" t="s">
        <v>708</v>
      </c>
      <c r="O614" s="15" t="s">
        <v>694</v>
      </c>
      <c r="P614" s="15" t="s">
        <v>1347</v>
      </c>
      <c r="Q614" s="15" t="s">
        <v>876</v>
      </c>
      <c r="R614" s="15" t="s">
        <v>835</v>
      </c>
      <c r="S614" s="15" t="s">
        <v>348</v>
      </c>
      <c r="T614" s="15" t="s">
        <v>884</v>
      </c>
    </row>
    <row r="615" spans="2:20" x14ac:dyDescent="0.25">
      <c r="B615" s="15" t="s">
        <v>1342</v>
      </c>
      <c r="C615" s="15"/>
      <c r="D615" s="30" t="s">
        <v>1343</v>
      </c>
      <c r="E615" s="22">
        <v>44166</v>
      </c>
      <c r="F615" s="22">
        <v>44196</v>
      </c>
      <c r="G615" s="30" t="s">
        <v>672</v>
      </c>
      <c r="H615" s="30" t="s">
        <v>387</v>
      </c>
      <c r="I615" s="30" t="s">
        <v>722</v>
      </c>
      <c r="J615" s="30" t="s">
        <v>313</v>
      </c>
      <c r="K615" s="30" t="s">
        <v>334</v>
      </c>
      <c r="L615" s="30" t="s">
        <v>342</v>
      </c>
      <c r="M615" s="30" t="s">
        <v>322</v>
      </c>
      <c r="N615" s="15" t="s">
        <v>708</v>
      </c>
      <c r="O615" s="15" t="s">
        <v>694</v>
      </c>
      <c r="P615" s="15" t="s">
        <v>1348</v>
      </c>
      <c r="Q615" s="15" t="s">
        <v>878</v>
      </c>
      <c r="R615" s="15" t="s">
        <v>835</v>
      </c>
      <c r="S615" s="15" t="s">
        <v>348</v>
      </c>
      <c r="T615" s="15" t="s">
        <v>884</v>
      </c>
    </row>
    <row r="616" spans="2:20" x14ac:dyDescent="0.25">
      <c r="B616" s="15" t="s">
        <v>1342</v>
      </c>
      <c r="C616" s="15"/>
      <c r="D616" s="30" t="s">
        <v>1343</v>
      </c>
      <c r="E616" s="22">
        <v>44166</v>
      </c>
      <c r="F616" s="22">
        <v>44196</v>
      </c>
      <c r="G616" s="30" t="s">
        <v>672</v>
      </c>
      <c r="H616" s="30" t="s">
        <v>387</v>
      </c>
      <c r="I616" s="30" t="s">
        <v>722</v>
      </c>
      <c r="J616" s="30" t="s">
        <v>313</v>
      </c>
      <c r="K616" s="30" t="s">
        <v>334</v>
      </c>
      <c r="L616" s="30" t="s">
        <v>342</v>
      </c>
      <c r="M616" s="30" t="s">
        <v>322</v>
      </c>
      <c r="N616" s="15" t="s">
        <v>708</v>
      </c>
      <c r="O616" s="15" t="s">
        <v>694</v>
      </c>
      <c r="P616" s="15" t="s">
        <v>1348</v>
      </c>
      <c r="Q616" s="15" t="s">
        <v>881</v>
      </c>
      <c r="R616" s="15" t="s">
        <v>835</v>
      </c>
      <c r="S616" s="15" t="s">
        <v>348</v>
      </c>
      <c r="T616" s="15" t="s">
        <v>884</v>
      </c>
    </row>
    <row r="617" spans="2:20" x14ac:dyDescent="0.25">
      <c r="B617" s="15" t="s">
        <v>1342</v>
      </c>
      <c r="C617" s="15"/>
      <c r="D617" s="30" t="s">
        <v>1343</v>
      </c>
      <c r="E617" s="22">
        <v>44166</v>
      </c>
      <c r="F617" s="22">
        <v>44196</v>
      </c>
      <c r="G617" s="30" t="s">
        <v>672</v>
      </c>
      <c r="H617" s="30" t="s">
        <v>387</v>
      </c>
      <c r="I617" s="30" t="s">
        <v>722</v>
      </c>
      <c r="J617" s="30" t="s">
        <v>313</v>
      </c>
      <c r="K617" s="30" t="s">
        <v>334</v>
      </c>
      <c r="L617" s="30" t="s">
        <v>342</v>
      </c>
      <c r="M617" s="30" t="s">
        <v>322</v>
      </c>
      <c r="N617" s="15" t="s">
        <v>708</v>
      </c>
      <c r="O617" s="15" t="s">
        <v>694</v>
      </c>
      <c r="P617" s="15" t="s">
        <v>1348</v>
      </c>
      <c r="Q617" s="15" t="s">
        <v>874</v>
      </c>
      <c r="R617" s="15" t="s">
        <v>835</v>
      </c>
      <c r="S617" s="15" t="s">
        <v>348</v>
      </c>
      <c r="T617" s="15" t="s">
        <v>884</v>
      </c>
    </row>
    <row r="618" spans="2:20" x14ac:dyDescent="0.25">
      <c r="B618" s="15" t="s">
        <v>1342</v>
      </c>
      <c r="C618" s="15"/>
      <c r="D618" s="30" t="s">
        <v>1343</v>
      </c>
      <c r="E618" s="22">
        <v>44166</v>
      </c>
      <c r="F618" s="22">
        <v>44196</v>
      </c>
      <c r="G618" s="30" t="s">
        <v>672</v>
      </c>
      <c r="H618" s="30" t="s">
        <v>387</v>
      </c>
      <c r="I618" s="30" t="s">
        <v>722</v>
      </c>
      <c r="J618" s="30" t="s">
        <v>313</v>
      </c>
      <c r="K618" s="30" t="s">
        <v>334</v>
      </c>
      <c r="L618" s="30" t="s">
        <v>342</v>
      </c>
      <c r="M618" s="30" t="s">
        <v>322</v>
      </c>
      <c r="N618" s="15" t="s">
        <v>708</v>
      </c>
      <c r="O618" s="15" t="s">
        <v>694</v>
      </c>
      <c r="P618" s="15" t="s">
        <v>1348</v>
      </c>
      <c r="Q618" s="15" t="s">
        <v>877</v>
      </c>
      <c r="R618" s="15" t="s">
        <v>835</v>
      </c>
      <c r="S618" s="15" t="s">
        <v>348</v>
      </c>
      <c r="T618" s="15" t="s">
        <v>884</v>
      </c>
    </row>
    <row r="619" spans="2:20" x14ac:dyDescent="0.25">
      <c r="B619" s="15" t="s">
        <v>1342</v>
      </c>
      <c r="C619" s="15"/>
      <c r="D619" s="30" t="s">
        <v>1343</v>
      </c>
      <c r="E619" s="22">
        <v>44166</v>
      </c>
      <c r="F619" s="22">
        <v>44196</v>
      </c>
      <c r="G619" s="30" t="s">
        <v>672</v>
      </c>
      <c r="H619" s="30" t="s">
        <v>387</v>
      </c>
      <c r="I619" s="30" t="s">
        <v>722</v>
      </c>
      <c r="J619" s="30" t="s">
        <v>313</v>
      </c>
      <c r="K619" s="30" t="s">
        <v>334</v>
      </c>
      <c r="L619" s="30" t="s">
        <v>342</v>
      </c>
      <c r="M619" s="30" t="s">
        <v>322</v>
      </c>
      <c r="N619" s="15" t="s">
        <v>708</v>
      </c>
      <c r="O619" s="15" t="s">
        <v>694</v>
      </c>
      <c r="P619" s="15" t="s">
        <v>1348</v>
      </c>
      <c r="Q619" s="15" t="s">
        <v>879</v>
      </c>
      <c r="R619" s="15" t="s">
        <v>835</v>
      </c>
      <c r="S619" s="15" t="s">
        <v>348</v>
      </c>
      <c r="T619" s="15" t="s">
        <v>884</v>
      </c>
    </row>
    <row r="620" spans="2:20" x14ac:dyDescent="0.25">
      <c r="B620" s="15" t="s">
        <v>1342</v>
      </c>
      <c r="C620" s="15"/>
      <c r="D620" s="30" t="s">
        <v>1343</v>
      </c>
      <c r="E620" s="22">
        <v>44166</v>
      </c>
      <c r="F620" s="22">
        <v>44196</v>
      </c>
      <c r="G620" s="30" t="s">
        <v>672</v>
      </c>
      <c r="H620" s="30" t="s">
        <v>387</v>
      </c>
      <c r="I620" s="30" t="s">
        <v>722</v>
      </c>
      <c r="J620" s="30" t="s">
        <v>313</v>
      </c>
      <c r="K620" s="30" t="s">
        <v>334</v>
      </c>
      <c r="L620" s="30" t="s">
        <v>342</v>
      </c>
      <c r="M620" s="30" t="s">
        <v>322</v>
      </c>
      <c r="N620" s="15" t="s">
        <v>708</v>
      </c>
      <c r="O620" s="15" t="s">
        <v>694</v>
      </c>
      <c r="P620" s="15" t="s">
        <v>1348</v>
      </c>
      <c r="Q620" s="15" t="s">
        <v>880</v>
      </c>
      <c r="R620" s="15" t="s">
        <v>835</v>
      </c>
      <c r="S620" s="15" t="s">
        <v>348</v>
      </c>
      <c r="T620" s="15" t="s">
        <v>884</v>
      </c>
    </row>
    <row r="621" spans="2:20" x14ac:dyDescent="0.25">
      <c r="B621" s="15" t="s">
        <v>1342</v>
      </c>
      <c r="C621" s="15"/>
      <c r="D621" s="30" t="s">
        <v>1343</v>
      </c>
      <c r="E621" s="22">
        <v>44166</v>
      </c>
      <c r="F621" s="22">
        <v>44196</v>
      </c>
      <c r="G621" s="30" t="s">
        <v>672</v>
      </c>
      <c r="H621" s="30" t="s">
        <v>387</v>
      </c>
      <c r="I621" s="30" t="s">
        <v>722</v>
      </c>
      <c r="J621" s="30" t="s">
        <v>313</v>
      </c>
      <c r="K621" s="30" t="s">
        <v>334</v>
      </c>
      <c r="L621" s="30" t="s">
        <v>342</v>
      </c>
      <c r="M621" s="30" t="s">
        <v>322</v>
      </c>
      <c r="N621" s="15" t="s">
        <v>708</v>
      </c>
      <c r="O621" s="15" t="s">
        <v>694</v>
      </c>
      <c r="P621" s="15" t="s">
        <v>1348</v>
      </c>
      <c r="Q621" s="15" t="s">
        <v>875</v>
      </c>
      <c r="R621" s="15" t="s">
        <v>835</v>
      </c>
      <c r="S621" s="15" t="s">
        <v>348</v>
      </c>
      <c r="T621" s="15" t="s">
        <v>884</v>
      </c>
    </row>
    <row r="622" spans="2:20" x14ac:dyDescent="0.25">
      <c r="B622" s="15" t="s">
        <v>1342</v>
      </c>
      <c r="C622" s="15"/>
      <c r="D622" s="30" t="s">
        <v>1343</v>
      </c>
      <c r="E622" s="22">
        <v>44166</v>
      </c>
      <c r="F622" s="22">
        <v>44196</v>
      </c>
      <c r="G622" s="30" t="s">
        <v>672</v>
      </c>
      <c r="H622" s="30" t="s">
        <v>387</v>
      </c>
      <c r="I622" s="30" t="s">
        <v>722</v>
      </c>
      <c r="J622" s="30" t="s">
        <v>313</v>
      </c>
      <c r="K622" s="30" t="s">
        <v>334</v>
      </c>
      <c r="L622" s="30" t="s">
        <v>342</v>
      </c>
      <c r="M622" s="30" t="s">
        <v>322</v>
      </c>
      <c r="N622" s="15" t="s">
        <v>708</v>
      </c>
      <c r="O622" s="15" t="s">
        <v>694</v>
      </c>
      <c r="P622" s="15" t="s">
        <v>1348</v>
      </c>
      <c r="Q622" s="15" t="s">
        <v>876</v>
      </c>
      <c r="R622" s="15" t="s">
        <v>835</v>
      </c>
      <c r="S622" s="15" t="s">
        <v>348</v>
      </c>
      <c r="T622" s="15" t="s">
        <v>884</v>
      </c>
    </row>
    <row r="623" spans="2:20" x14ac:dyDescent="0.25">
      <c r="B623" s="15" t="s">
        <v>1342</v>
      </c>
      <c r="C623" s="15"/>
      <c r="D623" s="30" t="s">
        <v>1343</v>
      </c>
      <c r="E623" s="22">
        <v>44166</v>
      </c>
      <c r="F623" s="22">
        <v>44196</v>
      </c>
      <c r="G623" s="15" t="s">
        <v>672</v>
      </c>
      <c r="H623" s="15" t="s">
        <v>387</v>
      </c>
      <c r="I623" s="15" t="s">
        <v>722</v>
      </c>
      <c r="J623" s="15" t="s">
        <v>313</v>
      </c>
      <c r="K623" s="15" t="s">
        <v>334</v>
      </c>
      <c r="L623" s="30" t="s">
        <v>342</v>
      </c>
      <c r="M623" s="30" t="s">
        <v>322</v>
      </c>
      <c r="N623" s="15" t="s">
        <v>708</v>
      </c>
      <c r="O623" s="15" t="s">
        <v>694</v>
      </c>
      <c r="P623" s="15" t="s">
        <v>1003</v>
      </c>
      <c r="Q623" s="15" t="s">
        <v>883</v>
      </c>
      <c r="R623" s="15" t="s">
        <v>835</v>
      </c>
      <c r="S623" s="15" t="s">
        <v>348</v>
      </c>
      <c r="T623" s="15" t="s">
        <v>884</v>
      </c>
    </row>
    <row r="624" spans="2:20" x14ac:dyDescent="0.25">
      <c r="B624" s="15" t="s">
        <v>1342</v>
      </c>
      <c r="C624" s="15"/>
      <c r="D624" s="30" t="s">
        <v>1343</v>
      </c>
      <c r="E624" s="22">
        <v>44166</v>
      </c>
      <c r="F624" s="22">
        <v>44196</v>
      </c>
      <c r="G624" s="15" t="s">
        <v>672</v>
      </c>
      <c r="H624" s="15" t="s">
        <v>387</v>
      </c>
      <c r="I624" s="15" t="s">
        <v>722</v>
      </c>
      <c r="J624" s="15" t="s">
        <v>313</v>
      </c>
      <c r="K624" s="15" t="s">
        <v>334</v>
      </c>
      <c r="L624" s="30" t="s">
        <v>342</v>
      </c>
      <c r="M624" s="30" t="s">
        <v>322</v>
      </c>
      <c r="N624" s="15" t="s">
        <v>708</v>
      </c>
      <c r="O624" s="15" t="s">
        <v>694</v>
      </c>
      <c r="P624" s="15" t="s">
        <v>1347</v>
      </c>
      <c r="Q624" s="15" t="s">
        <v>883</v>
      </c>
      <c r="R624" s="15" t="s">
        <v>835</v>
      </c>
      <c r="S624" s="15" t="s">
        <v>348</v>
      </c>
      <c r="T624" s="15" t="s">
        <v>884</v>
      </c>
    </row>
    <row r="625" spans="2:20" x14ac:dyDescent="0.25">
      <c r="B625" s="15" t="s">
        <v>1342</v>
      </c>
      <c r="C625" s="15"/>
      <c r="D625" s="30" t="s">
        <v>1343</v>
      </c>
      <c r="E625" s="22">
        <v>44166</v>
      </c>
      <c r="F625" s="22">
        <v>44196</v>
      </c>
      <c r="G625" s="15" t="s">
        <v>672</v>
      </c>
      <c r="H625" s="15" t="s">
        <v>387</v>
      </c>
      <c r="I625" s="15" t="s">
        <v>722</v>
      </c>
      <c r="J625" s="15" t="s">
        <v>313</v>
      </c>
      <c r="K625" s="15" t="s">
        <v>334</v>
      </c>
      <c r="L625" s="30" t="s">
        <v>342</v>
      </c>
      <c r="M625" s="30" t="s">
        <v>322</v>
      </c>
      <c r="N625" s="15" t="s">
        <v>708</v>
      </c>
      <c r="O625" s="15" t="s">
        <v>694</v>
      </c>
      <c r="P625" s="15" t="s">
        <v>1348</v>
      </c>
      <c r="Q625" s="15" t="s">
        <v>883</v>
      </c>
      <c r="R625" s="15" t="s">
        <v>835</v>
      </c>
      <c r="S625" s="15" t="s">
        <v>348</v>
      </c>
      <c r="T625" s="15" t="s">
        <v>884</v>
      </c>
    </row>
    <row r="626" spans="2:20" x14ac:dyDescent="0.25">
      <c r="B626" s="15" t="s">
        <v>1342</v>
      </c>
      <c r="C626" s="15"/>
      <c r="D626" s="30" t="s">
        <v>1343</v>
      </c>
      <c r="E626" s="22">
        <v>44166</v>
      </c>
      <c r="F626" s="22">
        <v>44196</v>
      </c>
      <c r="G626" s="30" t="s">
        <v>672</v>
      </c>
      <c r="H626" s="30" t="s">
        <v>387</v>
      </c>
      <c r="I626" s="30" t="s">
        <v>722</v>
      </c>
      <c r="J626" s="30" t="s">
        <v>313</v>
      </c>
      <c r="K626" s="30" t="s">
        <v>334</v>
      </c>
      <c r="L626" s="30" t="s">
        <v>342</v>
      </c>
      <c r="M626" s="30" t="s">
        <v>322</v>
      </c>
      <c r="N626" s="15" t="s">
        <v>708</v>
      </c>
      <c r="O626" s="15" t="s">
        <v>694</v>
      </c>
      <c r="P626" s="15" t="s">
        <v>1003</v>
      </c>
      <c r="Q626" s="15" t="s">
        <v>887</v>
      </c>
      <c r="R626" s="15" t="s">
        <v>835</v>
      </c>
      <c r="S626" s="15" t="s">
        <v>348</v>
      </c>
      <c r="T626" s="15" t="s">
        <v>884</v>
      </c>
    </row>
    <row r="627" spans="2:20" x14ac:dyDescent="0.25">
      <c r="B627" s="15" t="s">
        <v>1342</v>
      </c>
      <c r="C627" s="15"/>
      <c r="D627" s="30" t="s">
        <v>1343</v>
      </c>
      <c r="E627" s="22">
        <v>44166</v>
      </c>
      <c r="F627" s="22">
        <v>44196</v>
      </c>
      <c r="G627" s="30" t="s">
        <v>672</v>
      </c>
      <c r="H627" s="30" t="s">
        <v>387</v>
      </c>
      <c r="I627" s="30" t="s">
        <v>722</v>
      </c>
      <c r="J627" s="30" t="s">
        <v>313</v>
      </c>
      <c r="K627" s="30" t="s">
        <v>334</v>
      </c>
      <c r="L627" s="30" t="s">
        <v>342</v>
      </c>
      <c r="M627" s="30" t="s">
        <v>322</v>
      </c>
      <c r="N627" s="15" t="s">
        <v>708</v>
      </c>
      <c r="O627" s="15" t="s">
        <v>694</v>
      </c>
      <c r="P627" s="15" t="s">
        <v>1347</v>
      </c>
      <c r="Q627" s="15" t="s">
        <v>887</v>
      </c>
      <c r="R627" s="15" t="s">
        <v>835</v>
      </c>
      <c r="S627" s="15" t="s">
        <v>348</v>
      </c>
      <c r="T627" s="15" t="s">
        <v>884</v>
      </c>
    </row>
    <row r="628" spans="2:20" x14ac:dyDescent="0.25">
      <c r="B628" s="15" t="s">
        <v>1342</v>
      </c>
      <c r="C628" s="15"/>
      <c r="D628" s="30" t="s">
        <v>1343</v>
      </c>
      <c r="E628" s="22">
        <v>44166</v>
      </c>
      <c r="F628" s="22">
        <v>44196</v>
      </c>
      <c r="G628" s="30" t="s">
        <v>672</v>
      </c>
      <c r="H628" s="30" t="s">
        <v>387</v>
      </c>
      <c r="I628" s="30" t="s">
        <v>722</v>
      </c>
      <c r="J628" s="30" t="s">
        <v>313</v>
      </c>
      <c r="K628" s="30" t="s">
        <v>334</v>
      </c>
      <c r="L628" s="30" t="s">
        <v>342</v>
      </c>
      <c r="M628" s="30" t="s">
        <v>322</v>
      </c>
      <c r="N628" s="15" t="s">
        <v>708</v>
      </c>
      <c r="O628" s="15" t="s">
        <v>694</v>
      </c>
      <c r="P628" s="15" t="s">
        <v>1348</v>
      </c>
      <c r="Q628" s="15" t="s">
        <v>887</v>
      </c>
      <c r="R628" s="15" t="s">
        <v>835</v>
      </c>
      <c r="S628" s="15" t="s">
        <v>348</v>
      </c>
      <c r="T628" s="15" t="s">
        <v>884</v>
      </c>
    </row>
  </sheetData>
  <autoFilter ref="A2:AN628" xr:uid="{F64C818F-2B47-4791-9C8B-C8EEC75F9075}">
    <filterColumn colId="7">
      <filters>
        <filter val="faceinsta"/>
      </filters>
    </filterColumn>
    <filterColumn colId="19">
      <filters>
        <filter val="link-ad"/>
      </filters>
    </filterColumn>
  </autoFilter>
  <phoneticPr fontId="7" type="noConversion"/>
  <dataValidations count="10">
    <dataValidation type="list" allowBlank="1" showInputMessage="1" showErrorMessage="1" sqref="H81:H109 H126:H628 H3:H72" xr:uid="{5A0B978F-8BA4-492B-A0C4-F781410C6EAB}">
      <formula1>list_site</formula1>
    </dataValidation>
    <dataValidation type="list" allowBlank="1" showInputMessage="1" showErrorMessage="1" sqref="I3:I628" xr:uid="{D74FCCF6-C02A-4CF9-93D1-A149F74353EA}">
      <formula1>list_submediachannel</formula1>
    </dataValidation>
    <dataValidation type="list" allowBlank="1" showInputMessage="1" showErrorMessage="1" sqref="B3:B628" xr:uid="{29AC5E17-7D1C-4382-9932-53ADE6558719}">
      <formula1>"Inativar,Aguardando Material,Aguardando Correção,Manter / No Ar,Inserir,Ativar,Reenviar,Alterar Tipo de Compra, Substituir Criativo,Pausado, Atualizar"</formula1>
    </dataValidation>
    <dataValidation type="list" allowBlank="1" showInputMessage="1" showErrorMessage="1" sqref="J3:J628" xr:uid="{C2664176-F527-4B55-B433-1E2C6205AFC7}">
      <formula1>list_buyingtype</formula1>
    </dataValidation>
    <dataValidation type="list" allowBlank="1" showInputMessage="1" showErrorMessage="1" sqref="K3:K628" xr:uid="{22A81EB8-9C2C-43CB-B30C-7CC7B938313D}">
      <formula1>list_buyingmetric</formula1>
    </dataValidation>
    <dataValidation type="list" allowBlank="1" showInputMessage="1" showErrorMessage="1" sqref="L3:L628" xr:uid="{D4EEE80F-2CD8-4552-9944-26A69F28393E}">
      <formula1>list_trackingtype</formula1>
    </dataValidation>
    <dataValidation type="list" allowBlank="1" showInputMessage="1" showErrorMessage="1" sqref="N3:N628" xr:uid="{4B1F7BED-A7E2-445C-807C-9324117A8B28}">
      <formula1>list_sitesection</formula1>
    </dataValidation>
    <dataValidation type="list" allowBlank="1" showInputMessage="1" showErrorMessage="1" sqref="O3:O628" xr:uid="{1D225AAC-DC24-41D6-A800-49B61341B485}">
      <formula1>list_device</formula1>
    </dataValidation>
    <dataValidation type="list" allowBlank="1" showInputMessage="1" showErrorMessage="1" sqref="S3:S628" xr:uid="{1B400641-824A-4EF4-A4E5-8C1E8BE3F96F}">
      <formula1>list_paidvsav</formula1>
    </dataValidation>
    <dataValidation type="list" allowBlank="1" showInputMessage="1" showErrorMessage="1" sqref="G3:G628" xr:uid="{F3EDD462-CAB6-4096-9138-038E80268201}">
      <formula1>list_servidopor</formula1>
    </dataValidation>
  </dataValidations>
  <hyperlinks>
    <hyperlink ref="U18:U22" r:id="rId1" display="https://posvendas.vw.com.br/" xr:uid="{BEF36D79-DD0C-41B1-A592-A3821B443882}"/>
    <hyperlink ref="U48:U52" r:id="rId2" display="https://posvendas.vw.com.br/" xr:uid="{1792578C-A504-4E40-A560-0C3FE8606B0E}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58665-65F6-4473-A830-D3EF1021EBB8}">
  <dimension ref="A1:B253"/>
  <sheetViews>
    <sheetView showGridLines="0" workbookViewId="0">
      <pane ySplit="1" topLeftCell="A233" activePane="bottomLeft" state="frozen"/>
      <selection pane="bottomLeft" activeCell="A94" sqref="A94:B253"/>
    </sheetView>
  </sheetViews>
  <sheetFormatPr defaultRowHeight="15" x14ac:dyDescent="0.25"/>
  <cols>
    <col min="1" max="1" width="113.140625" bestFit="1" customWidth="1"/>
    <col min="2" max="2" width="10" bestFit="1" customWidth="1"/>
  </cols>
  <sheetData>
    <row r="1" spans="1:2" x14ac:dyDescent="0.25">
      <c r="A1" s="24" t="s">
        <v>366</v>
      </c>
      <c r="B1" s="24" t="s">
        <v>189</v>
      </c>
    </row>
    <row r="2" spans="1:2" x14ac:dyDescent="0.25">
      <c r="A2" s="25" t="s">
        <v>844</v>
      </c>
      <c r="B2" s="25" t="s">
        <v>1059</v>
      </c>
    </row>
    <row r="3" spans="1:2" x14ac:dyDescent="0.25">
      <c r="A3" s="25" t="s">
        <v>846</v>
      </c>
      <c r="B3" s="25" t="s">
        <v>1060</v>
      </c>
    </row>
    <row r="4" spans="1:2" x14ac:dyDescent="0.25">
      <c r="A4" s="25" t="s">
        <v>847</v>
      </c>
      <c r="B4" s="25" t="s">
        <v>1061</v>
      </c>
    </row>
    <row r="5" spans="1:2" x14ac:dyDescent="0.25">
      <c r="A5" s="25" t="s">
        <v>848</v>
      </c>
      <c r="B5" s="25" t="s">
        <v>1062</v>
      </c>
    </row>
    <row r="6" spans="1:2" x14ac:dyDescent="0.25">
      <c r="A6" s="25" t="s">
        <v>1047</v>
      </c>
      <c r="B6" s="25" t="s">
        <v>1063</v>
      </c>
    </row>
    <row r="7" spans="1:2" x14ac:dyDescent="0.25">
      <c r="A7" s="25" t="s">
        <v>1048</v>
      </c>
      <c r="B7" s="25" t="s">
        <v>1064</v>
      </c>
    </row>
    <row r="8" spans="1:2" x14ac:dyDescent="0.25">
      <c r="A8" s="25" t="s">
        <v>1049</v>
      </c>
      <c r="B8" s="25" t="s">
        <v>1065</v>
      </c>
    </row>
    <row r="9" spans="1:2" x14ac:dyDescent="0.25">
      <c r="A9" s="25" t="s">
        <v>1050</v>
      </c>
      <c r="B9" s="25" t="s">
        <v>1066</v>
      </c>
    </row>
    <row r="10" spans="1:2" x14ac:dyDescent="0.25">
      <c r="A10" s="25" t="s">
        <v>1051</v>
      </c>
      <c r="B10" s="25" t="s">
        <v>1067</v>
      </c>
    </row>
    <row r="11" spans="1:2" x14ac:dyDescent="0.25">
      <c r="A11" s="25" t="s">
        <v>1052</v>
      </c>
      <c r="B11" s="25" t="s">
        <v>1068</v>
      </c>
    </row>
    <row r="12" spans="1:2" x14ac:dyDescent="0.25">
      <c r="A12" s="25" t="s">
        <v>1053</v>
      </c>
      <c r="B12" s="25" t="s">
        <v>1069</v>
      </c>
    </row>
    <row r="13" spans="1:2" x14ac:dyDescent="0.25">
      <c r="A13" s="25" t="s">
        <v>1054</v>
      </c>
      <c r="B13" s="25" t="s">
        <v>1070</v>
      </c>
    </row>
    <row r="14" spans="1:2" x14ac:dyDescent="0.25">
      <c r="A14" s="25" t="s">
        <v>1055</v>
      </c>
      <c r="B14" s="25" t="s">
        <v>1071</v>
      </c>
    </row>
    <row r="15" spans="1:2" x14ac:dyDescent="0.25">
      <c r="A15" s="25" t="s">
        <v>1056</v>
      </c>
      <c r="B15" s="25" t="s">
        <v>1072</v>
      </c>
    </row>
    <row r="16" spans="1:2" x14ac:dyDescent="0.25">
      <c r="A16" s="25" t="s">
        <v>1057</v>
      </c>
      <c r="B16" s="25" t="s">
        <v>1073</v>
      </c>
    </row>
    <row r="17" spans="1:2" x14ac:dyDescent="0.25">
      <c r="A17" s="25" t="s">
        <v>1058</v>
      </c>
      <c r="B17" s="25" t="s">
        <v>1074</v>
      </c>
    </row>
    <row r="18" spans="1:2" x14ac:dyDescent="0.25">
      <c r="A18" s="25" t="s">
        <v>844</v>
      </c>
      <c r="B18" s="25" t="s">
        <v>1075</v>
      </c>
    </row>
    <row r="19" spans="1:2" x14ac:dyDescent="0.25">
      <c r="A19" s="25" t="s">
        <v>846</v>
      </c>
      <c r="B19" s="25" t="s">
        <v>1076</v>
      </c>
    </row>
    <row r="20" spans="1:2" x14ac:dyDescent="0.25">
      <c r="A20" s="25" t="s">
        <v>847</v>
      </c>
      <c r="B20" s="25" t="s">
        <v>1077</v>
      </c>
    </row>
    <row r="21" spans="1:2" x14ac:dyDescent="0.25">
      <c r="A21" s="25" t="s">
        <v>848</v>
      </c>
      <c r="B21" s="25" t="s">
        <v>1078</v>
      </c>
    </row>
    <row r="22" spans="1:2" x14ac:dyDescent="0.25">
      <c r="A22" s="25" t="s">
        <v>1047</v>
      </c>
      <c r="B22" s="25" t="s">
        <v>1079</v>
      </c>
    </row>
    <row r="23" spans="1:2" x14ac:dyDescent="0.25">
      <c r="A23" s="25" t="s">
        <v>1048</v>
      </c>
      <c r="B23" s="25" t="s">
        <v>1080</v>
      </c>
    </row>
    <row r="24" spans="1:2" x14ac:dyDescent="0.25">
      <c r="A24" s="25" t="s">
        <v>1049</v>
      </c>
      <c r="B24" s="25" t="s">
        <v>1081</v>
      </c>
    </row>
    <row r="25" spans="1:2" x14ac:dyDescent="0.25">
      <c r="A25" s="25" t="s">
        <v>1050</v>
      </c>
      <c r="B25" s="25" t="s">
        <v>1082</v>
      </c>
    </row>
    <row r="26" spans="1:2" x14ac:dyDescent="0.25">
      <c r="A26" s="25" t="s">
        <v>1051</v>
      </c>
      <c r="B26" s="25" t="s">
        <v>1083</v>
      </c>
    </row>
    <row r="27" spans="1:2" x14ac:dyDescent="0.25">
      <c r="A27" s="25" t="s">
        <v>1052</v>
      </c>
      <c r="B27" s="25" t="s">
        <v>1084</v>
      </c>
    </row>
    <row r="28" spans="1:2" x14ac:dyDescent="0.25">
      <c r="A28" s="25" t="s">
        <v>1053</v>
      </c>
      <c r="B28" s="25" t="s">
        <v>1085</v>
      </c>
    </row>
    <row r="29" spans="1:2" x14ac:dyDescent="0.25">
      <c r="A29" s="25" t="s">
        <v>1054</v>
      </c>
      <c r="B29" s="25" t="s">
        <v>1086</v>
      </c>
    </row>
    <row r="30" spans="1:2" x14ac:dyDescent="0.25">
      <c r="A30" s="25" t="s">
        <v>1055</v>
      </c>
      <c r="B30" s="25" t="s">
        <v>1087</v>
      </c>
    </row>
    <row r="31" spans="1:2" x14ac:dyDescent="0.25">
      <c r="A31" s="25" t="s">
        <v>1056</v>
      </c>
      <c r="B31" s="25" t="s">
        <v>1088</v>
      </c>
    </row>
    <row r="32" spans="1:2" x14ac:dyDescent="0.25">
      <c r="A32" s="25" t="s">
        <v>1057</v>
      </c>
      <c r="B32" s="25" t="s">
        <v>1089</v>
      </c>
    </row>
    <row r="33" spans="1:2" x14ac:dyDescent="0.25">
      <c r="A33" s="25" t="s">
        <v>1058</v>
      </c>
      <c r="B33" s="25" t="s">
        <v>1090</v>
      </c>
    </row>
    <row r="34" spans="1:2" x14ac:dyDescent="0.25">
      <c r="A34" s="25" t="s">
        <v>844</v>
      </c>
      <c r="B34" s="25" t="s">
        <v>1091</v>
      </c>
    </row>
    <row r="35" spans="1:2" x14ac:dyDescent="0.25">
      <c r="A35" s="25" t="s">
        <v>846</v>
      </c>
      <c r="B35" s="25" t="s">
        <v>1092</v>
      </c>
    </row>
    <row r="36" spans="1:2" x14ac:dyDescent="0.25">
      <c r="A36" s="25" t="s">
        <v>847</v>
      </c>
      <c r="B36" s="25" t="s">
        <v>1093</v>
      </c>
    </row>
    <row r="37" spans="1:2" x14ac:dyDescent="0.25">
      <c r="A37" s="25" t="s">
        <v>848</v>
      </c>
      <c r="B37" s="25" t="s">
        <v>1094</v>
      </c>
    </row>
    <row r="38" spans="1:2" x14ac:dyDescent="0.25">
      <c r="A38" s="25" t="s">
        <v>1047</v>
      </c>
      <c r="B38" s="25" t="s">
        <v>1095</v>
      </c>
    </row>
    <row r="39" spans="1:2" x14ac:dyDescent="0.25">
      <c r="A39" s="25" t="s">
        <v>1048</v>
      </c>
      <c r="B39" s="25" t="s">
        <v>1096</v>
      </c>
    </row>
    <row r="40" spans="1:2" x14ac:dyDescent="0.25">
      <c r="A40" s="25" t="s">
        <v>1049</v>
      </c>
      <c r="B40" s="25" t="s">
        <v>1097</v>
      </c>
    </row>
    <row r="41" spans="1:2" x14ac:dyDescent="0.25">
      <c r="A41" s="25" t="s">
        <v>1050</v>
      </c>
      <c r="B41" s="25" t="s">
        <v>1098</v>
      </c>
    </row>
    <row r="42" spans="1:2" x14ac:dyDescent="0.25">
      <c r="A42" s="25" t="s">
        <v>1051</v>
      </c>
      <c r="B42" s="25" t="s">
        <v>1099</v>
      </c>
    </row>
    <row r="43" spans="1:2" x14ac:dyDescent="0.25">
      <c r="A43" s="25" t="s">
        <v>1052</v>
      </c>
      <c r="B43" s="25" t="s">
        <v>1100</v>
      </c>
    </row>
    <row r="44" spans="1:2" x14ac:dyDescent="0.25">
      <c r="A44" s="25" t="s">
        <v>1053</v>
      </c>
      <c r="B44" s="25" t="s">
        <v>1101</v>
      </c>
    </row>
    <row r="45" spans="1:2" x14ac:dyDescent="0.25">
      <c r="A45" s="25" t="s">
        <v>1054</v>
      </c>
      <c r="B45" s="25" t="s">
        <v>1102</v>
      </c>
    </row>
    <row r="46" spans="1:2" x14ac:dyDescent="0.25">
      <c r="A46" s="25" t="s">
        <v>1055</v>
      </c>
      <c r="B46" s="25" t="s">
        <v>1103</v>
      </c>
    </row>
    <row r="47" spans="1:2" x14ac:dyDescent="0.25">
      <c r="A47" s="25" t="s">
        <v>1056</v>
      </c>
      <c r="B47" s="25" t="s">
        <v>1104</v>
      </c>
    </row>
    <row r="48" spans="1:2" x14ac:dyDescent="0.25">
      <c r="A48" s="25" t="s">
        <v>1057</v>
      </c>
      <c r="B48" s="25" t="s">
        <v>1105</v>
      </c>
    </row>
    <row r="49" spans="1:2" x14ac:dyDescent="0.25">
      <c r="A49" s="25" t="s">
        <v>1058</v>
      </c>
      <c r="B49" s="25" t="s">
        <v>1106</v>
      </c>
    </row>
    <row r="50" spans="1:2" x14ac:dyDescent="0.25">
      <c r="A50" s="25" t="s">
        <v>844</v>
      </c>
      <c r="B50" s="25" t="s">
        <v>1107</v>
      </c>
    </row>
    <row r="51" spans="1:2" x14ac:dyDescent="0.25">
      <c r="A51" s="25" t="s">
        <v>846</v>
      </c>
      <c r="B51" s="25" t="s">
        <v>1108</v>
      </c>
    </row>
    <row r="52" spans="1:2" x14ac:dyDescent="0.25">
      <c r="A52" s="25" t="s">
        <v>847</v>
      </c>
      <c r="B52" s="25" t="s">
        <v>1109</v>
      </c>
    </row>
    <row r="53" spans="1:2" x14ac:dyDescent="0.25">
      <c r="A53" s="25" t="s">
        <v>848</v>
      </c>
      <c r="B53" s="25" t="s">
        <v>1110</v>
      </c>
    </row>
    <row r="54" spans="1:2" x14ac:dyDescent="0.25">
      <c r="A54" s="25" t="s">
        <v>1047</v>
      </c>
      <c r="B54" s="25" t="s">
        <v>1111</v>
      </c>
    </row>
    <row r="55" spans="1:2" x14ac:dyDescent="0.25">
      <c r="A55" s="25" t="s">
        <v>1048</v>
      </c>
      <c r="B55" s="25" t="s">
        <v>1112</v>
      </c>
    </row>
    <row r="56" spans="1:2" x14ac:dyDescent="0.25">
      <c r="A56" s="25" t="s">
        <v>1049</v>
      </c>
      <c r="B56" s="25" t="s">
        <v>1113</v>
      </c>
    </row>
    <row r="57" spans="1:2" x14ac:dyDescent="0.25">
      <c r="A57" s="25" t="s">
        <v>1050</v>
      </c>
      <c r="B57" s="25" t="s">
        <v>1114</v>
      </c>
    </row>
    <row r="58" spans="1:2" x14ac:dyDescent="0.25">
      <c r="A58" s="25" t="s">
        <v>1051</v>
      </c>
      <c r="B58" s="25" t="s">
        <v>1115</v>
      </c>
    </row>
    <row r="59" spans="1:2" x14ac:dyDescent="0.25">
      <c r="A59" s="25" t="s">
        <v>1052</v>
      </c>
      <c r="B59" s="25" t="s">
        <v>1116</v>
      </c>
    </row>
    <row r="60" spans="1:2" x14ac:dyDescent="0.25">
      <c r="A60" s="25" t="s">
        <v>1053</v>
      </c>
      <c r="B60" s="25" t="s">
        <v>1117</v>
      </c>
    </row>
    <row r="61" spans="1:2" x14ac:dyDescent="0.25">
      <c r="A61" s="25" t="s">
        <v>1054</v>
      </c>
      <c r="B61" s="25" t="s">
        <v>1118</v>
      </c>
    </row>
    <row r="62" spans="1:2" x14ac:dyDescent="0.25">
      <c r="A62" s="25" t="s">
        <v>1055</v>
      </c>
      <c r="B62" s="25" t="s">
        <v>1119</v>
      </c>
    </row>
    <row r="63" spans="1:2" x14ac:dyDescent="0.25">
      <c r="A63" s="25" t="s">
        <v>1056</v>
      </c>
      <c r="B63" s="25" t="s">
        <v>1120</v>
      </c>
    </row>
    <row r="64" spans="1:2" x14ac:dyDescent="0.25">
      <c r="A64" s="25" t="s">
        <v>1057</v>
      </c>
      <c r="B64" s="25" t="s">
        <v>1121</v>
      </c>
    </row>
    <row r="65" spans="1:2" x14ac:dyDescent="0.25">
      <c r="A65" s="25" t="s">
        <v>1058</v>
      </c>
      <c r="B65" s="25" t="s">
        <v>1122</v>
      </c>
    </row>
    <row r="66" spans="1:2" x14ac:dyDescent="0.25">
      <c r="A66" s="25" t="s">
        <v>844</v>
      </c>
      <c r="B66" s="25" t="s">
        <v>1123</v>
      </c>
    </row>
    <row r="67" spans="1:2" x14ac:dyDescent="0.25">
      <c r="A67" s="25" t="s">
        <v>846</v>
      </c>
      <c r="B67" s="25" t="s">
        <v>1124</v>
      </c>
    </row>
    <row r="68" spans="1:2" x14ac:dyDescent="0.25">
      <c r="A68" s="25" t="s">
        <v>847</v>
      </c>
      <c r="B68" s="25" t="s">
        <v>1125</v>
      </c>
    </row>
    <row r="69" spans="1:2" x14ac:dyDescent="0.25">
      <c r="A69" s="25" t="s">
        <v>848</v>
      </c>
      <c r="B69" s="25" t="s">
        <v>1126</v>
      </c>
    </row>
    <row r="70" spans="1:2" x14ac:dyDescent="0.25">
      <c r="A70" s="25" t="s">
        <v>1047</v>
      </c>
      <c r="B70" s="25" t="s">
        <v>1127</v>
      </c>
    </row>
    <row r="71" spans="1:2" x14ac:dyDescent="0.25">
      <c r="A71" s="25" t="s">
        <v>1048</v>
      </c>
      <c r="B71" s="25" t="s">
        <v>1128</v>
      </c>
    </row>
    <row r="72" spans="1:2" x14ac:dyDescent="0.25">
      <c r="A72" s="25" t="s">
        <v>1049</v>
      </c>
      <c r="B72" s="25" t="s">
        <v>1129</v>
      </c>
    </row>
    <row r="73" spans="1:2" x14ac:dyDescent="0.25">
      <c r="A73" s="25" t="s">
        <v>1050</v>
      </c>
      <c r="B73" s="25" t="s">
        <v>1130</v>
      </c>
    </row>
    <row r="74" spans="1:2" x14ac:dyDescent="0.25">
      <c r="A74" s="25" t="s">
        <v>1051</v>
      </c>
      <c r="B74" s="25" t="s">
        <v>1131</v>
      </c>
    </row>
    <row r="75" spans="1:2" x14ac:dyDescent="0.25">
      <c r="A75" s="25" t="s">
        <v>1052</v>
      </c>
      <c r="B75" s="25" t="s">
        <v>1132</v>
      </c>
    </row>
    <row r="76" spans="1:2" x14ac:dyDescent="0.25">
      <c r="A76" s="25" t="s">
        <v>1053</v>
      </c>
      <c r="B76" s="25" t="s">
        <v>1133</v>
      </c>
    </row>
    <row r="77" spans="1:2" x14ac:dyDescent="0.25">
      <c r="A77" s="25" t="s">
        <v>1054</v>
      </c>
      <c r="B77" s="25" t="s">
        <v>1134</v>
      </c>
    </row>
    <row r="78" spans="1:2" x14ac:dyDescent="0.25">
      <c r="A78" s="25" t="s">
        <v>1055</v>
      </c>
      <c r="B78" s="25" t="s">
        <v>1135</v>
      </c>
    </row>
    <row r="79" spans="1:2" x14ac:dyDescent="0.25">
      <c r="A79" s="25" t="s">
        <v>1056</v>
      </c>
      <c r="B79" s="25" t="s">
        <v>1136</v>
      </c>
    </row>
    <row r="80" spans="1:2" x14ac:dyDescent="0.25">
      <c r="A80" s="25" t="s">
        <v>1057</v>
      </c>
      <c r="B80" s="25" t="s">
        <v>1137</v>
      </c>
    </row>
    <row r="81" spans="1:2" x14ac:dyDescent="0.25">
      <c r="A81" s="25" t="s">
        <v>1058</v>
      </c>
      <c r="B81" s="25" t="s">
        <v>1138</v>
      </c>
    </row>
    <row r="82" spans="1:2" x14ac:dyDescent="0.25">
      <c r="A82" s="25" t="s">
        <v>844</v>
      </c>
      <c r="B82" s="25" t="s">
        <v>1139</v>
      </c>
    </row>
    <row r="83" spans="1:2" x14ac:dyDescent="0.25">
      <c r="A83" s="25" t="s">
        <v>846</v>
      </c>
      <c r="B83" s="25" t="s">
        <v>1140</v>
      </c>
    </row>
    <row r="84" spans="1:2" x14ac:dyDescent="0.25">
      <c r="A84" s="25" t="s">
        <v>847</v>
      </c>
      <c r="B84" s="25" t="s">
        <v>1141</v>
      </c>
    </row>
    <row r="85" spans="1:2" x14ac:dyDescent="0.25">
      <c r="A85" s="25" t="s">
        <v>848</v>
      </c>
      <c r="B85" s="25" t="s">
        <v>1142</v>
      </c>
    </row>
    <row r="86" spans="1:2" x14ac:dyDescent="0.25">
      <c r="A86" s="25" t="s">
        <v>1047</v>
      </c>
      <c r="B86" s="25" t="s">
        <v>1143</v>
      </c>
    </row>
    <row r="87" spans="1:2" x14ac:dyDescent="0.25">
      <c r="A87" s="25" t="s">
        <v>1048</v>
      </c>
      <c r="B87" s="25" t="s">
        <v>1144</v>
      </c>
    </row>
    <row r="88" spans="1:2" x14ac:dyDescent="0.25">
      <c r="A88" s="25" t="s">
        <v>1049</v>
      </c>
      <c r="B88" s="25" t="s">
        <v>1145</v>
      </c>
    </row>
    <row r="89" spans="1:2" x14ac:dyDescent="0.25">
      <c r="A89" s="25" t="s">
        <v>1050</v>
      </c>
      <c r="B89" s="25" t="s">
        <v>1146</v>
      </c>
    </row>
    <row r="90" spans="1:2" x14ac:dyDescent="0.25">
      <c r="A90" s="25" t="s">
        <v>1051</v>
      </c>
      <c r="B90" s="25" t="s">
        <v>1147</v>
      </c>
    </row>
    <row r="91" spans="1:2" x14ac:dyDescent="0.25">
      <c r="A91" s="25" t="s">
        <v>1052</v>
      </c>
      <c r="B91" s="25" t="s">
        <v>1148</v>
      </c>
    </row>
    <row r="92" spans="1:2" x14ac:dyDescent="0.25">
      <c r="A92" s="25" t="s">
        <v>1053</v>
      </c>
      <c r="B92" s="25" t="s">
        <v>1149</v>
      </c>
    </row>
    <row r="93" spans="1:2" x14ac:dyDescent="0.25">
      <c r="A93" s="25" t="s">
        <v>1054</v>
      </c>
      <c r="B93" s="25" t="s">
        <v>1150</v>
      </c>
    </row>
    <row r="94" spans="1:2" x14ac:dyDescent="0.25">
      <c r="A94" s="25" t="s">
        <v>1055</v>
      </c>
      <c r="B94" s="25" t="s">
        <v>1151</v>
      </c>
    </row>
    <row r="95" spans="1:2" x14ac:dyDescent="0.25">
      <c r="A95" s="25" t="s">
        <v>1056</v>
      </c>
      <c r="B95" s="25" t="s">
        <v>1152</v>
      </c>
    </row>
    <row r="96" spans="1:2" x14ac:dyDescent="0.25">
      <c r="A96" s="25" t="s">
        <v>1057</v>
      </c>
      <c r="B96" s="25" t="s">
        <v>1153</v>
      </c>
    </row>
    <row r="97" spans="1:2" x14ac:dyDescent="0.25">
      <c r="A97" s="25" t="s">
        <v>1058</v>
      </c>
      <c r="B97" s="25" t="s">
        <v>1154</v>
      </c>
    </row>
    <row r="98" spans="1:2" x14ac:dyDescent="0.25">
      <c r="A98" s="25" t="s">
        <v>844</v>
      </c>
      <c r="B98" s="25" t="s">
        <v>1155</v>
      </c>
    </row>
    <row r="99" spans="1:2" x14ac:dyDescent="0.25">
      <c r="A99" s="25" t="s">
        <v>846</v>
      </c>
      <c r="B99" s="25" t="s">
        <v>1156</v>
      </c>
    </row>
    <row r="100" spans="1:2" x14ac:dyDescent="0.25">
      <c r="A100" s="25" t="s">
        <v>847</v>
      </c>
      <c r="B100" s="25" t="s">
        <v>1157</v>
      </c>
    </row>
    <row r="101" spans="1:2" x14ac:dyDescent="0.25">
      <c r="A101" s="25" t="s">
        <v>848</v>
      </c>
      <c r="B101" s="25" t="s">
        <v>1158</v>
      </c>
    </row>
    <row r="102" spans="1:2" x14ac:dyDescent="0.25">
      <c r="A102" s="25" t="s">
        <v>1047</v>
      </c>
      <c r="B102" s="25" t="s">
        <v>1159</v>
      </c>
    </row>
    <row r="103" spans="1:2" x14ac:dyDescent="0.25">
      <c r="A103" s="25" t="s">
        <v>1048</v>
      </c>
      <c r="B103" s="25" t="s">
        <v>1160</v>
      </c>
    </row>
    <row r="104" spans="1:2" x14ac:dyDescent="0.25">
      <c r="A104" s="25" t="s">
        <v>1049</v>
      </c>
      <c r="B104" s="25" t="s">
        <v>1161</v>
      </c>
    </row>
    <row r="105" spans="1:2" x14ac:dyDescent="0.25">
      <c r="A105" s="25" t="s">
        <v>1050</v>
      </c>
      <c r="B105" s="25" t="s">
        <v>1162</v>
      </c>
    </row>
    <row r="106" spans="1:2" x14ac:dyDescent="0.25">
      <c r="A106" s="25" t="s">
        <v>1051</v>
      </c>
      <c r="B106" s="25" t="s">
        <v>1163</v>
      </c>
    </row>
    <row r="107" spans="1:2" x14ac:dyDescent="0.25">
      <c r="A107" s="25" t="s">
        <v>1052</v>
      </c>
      <c r="B107" s="25" t="s">
        <v>1164</v>
      </c>
    </row>
    <row r="108" spans="1:2" x14ac:dyDescent="0.25">
      <c r="A108" s="25" t="s">
        <v>1053</v>
      </c>
      <c r="B108" s="25" t="s">
        <v>1165</v>
      </c>
    </row>
    <row r="109" spans="1:2" x14ac:dyDescent="0.25">
      <c r="A109" s="25" t="s">
        <v>1054</v>
      </c>
      <c r="B109" s="25" t="s">
        <v>1166</v>
      </c>
    </row>
    <row r="110" spans="1:2" x14ac:dyDescent="0.25">
      <c r="A110" s="25" t="s">
        <v>1055</v>
      </c>
      <c r="B110" s="25" t="s">
        <v>1167</v>
      </c>
    </row>
    <row r="111" spans="1:2" x14ac:dyDescent="0.25">
      <c r="A111" s="25" t="s">
        <v>1056</v>
      </c>
      <c r="B111" s="25" t="s">
        <v>1168</v>
      </c>
    </row>
    <row r="112" spans="1:2" x14ac:dyDescent="0.25">
      <c r="A112" s="25" t="s">
        <v>1057</v>
      </c>
      <c r="B112" s="25" t="s">
        <v>1169</v>
      </c>
    </row>
    <row r="113" spans="1:2" x14ac:dyDescent="0.25">
      <c r="A113" s="25" t="s">
        <v>1058</v>
      </c>
      <c r="B113" s="25" t="s">
        <v>1170</v>
      </c>
    </row>
    <row r="114" spans="1:2" x14ac:dyDescent="0.25">
      <c r="A114" s="25" t="s">
        <v>1173</v>
      </c>
      <c r="B114" s="25" t="s">
        <v>1059</v>
      </c>
    </row>
    <row r="115" spans="1:2" x14ac:dyDescent="0.25">
      <c r="A115" s="25" t="s">
        <v>1174</v>
      </c>
      <c r="B115" s="25" t="s">
        <v>1060</v>
      </c>
    </row>
    <row r="116" spans="1:2" x14ac:dyDescent="0.25">
      <c r="A116" s="25" t="s">
        <v>1175</v>
      </c>
      <c r="B116" s="25" t="s">
        <v>1061</v>
      </c>
    </row>
    <row r="117" spans="1:2" x14ac:dyDescent="0.25">
      <c r="A117" s="25" t="s">
        <v>1176</v>
      </c>
      <c r="B117" s="25" t="s">
        <v>1062</v>
      </c>
    </row>
    <row r="118" spans="1:2" x14ac:dyDescent="0.25">
      <c r="A118" s="25" t="s">
        <v>1177</v>
      </c>
      <c r="B118" s="25" t="s">
        <v>1063</v>
      </c>
    </row>
    <row r="119" spans="1:2" x14ac:dyDescent="0.25">
      <c r="A119" s="25" t="s">
        <v>1178</v>
      </c>
      <c r="B119" s="25" t="s">
        <v>1064</v>
      </c>
    </row>
    <row r="120" spans="1:2" x14ac:dyDescent="0.25">
      <c r="A120" s="25" t="s">
        <v>1179</v>
      </c>
      <c r="B120" s="25" t="s">
        <v>1065</v>
      </c>
    </row>
    <row r="121" spans="1:2" x14ac:dyDescent="0.25">
      <c r="A121" s="25" t="s">
        <v>1180</v>
      </c>
      <c r="B121" s="25" t="s">
        <v>1066</v>
      </c>
    </row>
    <row r="122" spans="1:2" x14ac:dyDescent="0.25">
      <c r="A122" s="25" t="s">
        <v>1181</v>
      </c>
      <c r="B122" s="25" t="s">
        <v>1067</v>
      </c>
    </row>
    <row r="123" spans="1:2" x14ac:dyDescent="0.25">
      <c r="A123" s="25" t="s">
        <v>1182</v>
      </c>
      <c r="B123" s="25" t="s">
        <v>1068</v>
      </c>
    </row>
    <row r="124" spans="1:2" x14ac:dyDescent="0.25">
      <c r="A124" s="25" t="s">
        <v>1183</v>
      </c>
      <c r="B124" s="25" t="s">
        <v>1069</v>
      </c>
    </row>
    <row r="125" spans="1:2" x14ac:dyDescent="0.25">
      <c r="A125" s="25" t="s">
        <v>1184</v>
      </c>
      <c r="B125" s="25" t="s">
        <v>1070</v>
      </c>
    </row>
    <row r="126" spans="1:2" x14ac:dyDescent="0.25">
      <c r="A126" s="25" t="s">
        <v>1185</v>
      </c>
      <c r="B126" s="25" t="s">
        <v>1071</v>
      </c>
    </row>
    <row r="127" spans="1:2" x14ac:dyDescent="0.25">
      <c r="A127" s="25" t="s">
        <v>1186</v>
      </c>
      <c r="B127" s="25" t="s">
        <v>1072</v>
      </c>
    </row>
    <row r="128" spans="1:2" x14ac:dyDescent="0.25">
      <c r="A128" s="25" t="s">
        <v>1187</v>
      </c>
      <c r="B128" s="25" t="s">
        <v>1073</v>
      </c>
    </row>
    <row r="129" spans="1:2" x14ac:dyDescent="0.25">
      <c r="A129" s="25" t="s">
        <v>1188</v>
      </c>
      <c r="B129" s="25" t="s">
        <v>1074</v>
      </c>
    </row>
    <row r="130" spans="1:2" x14ac:dyDescent="0.25">
      <c r="A130" s="25" t="s">
        <v>1189</v>
      </c>
      <c r="B130" s="25" t="s">
        <v>1075</v>
      </c>
    </row>
    <row r="131" spans="1:2" x14ac:dyDescent="0.25">
      <c r="A131" s="25" t="s">
        <v>1190</v>
      </c>
      <c r="B131" s="25" t="s">
        <v>1076</v>
      </c>
    </row>
    <row r="132" spans="1:2" x14ac:dyDescent="0.25">
      <c r="A132" s="25" t="s">
        <v>1191</v>
      </c>
      <c r="B132" s="25" t="s">
        <v>1077</v>
      </c>
    </row>
    <row r="133" spans="1:2" x14ac:dyDescent="0.25">
      <c r="A133" s="25" t="s">
        <v>1192</v>
      </c>
      <c r="B133" s="25" t="s">
        <v>1078</v>
      </c>
    </row>
    <row r="134" spans="1:2" x14ac:dyDescent="0.25">
      <c r="A134" s="25" t="s">
        <v>1193</v>
      </c>
      <c r="B134" s="25" t="s">
        <v>1079</v>
      </c>
    </row>
    <row r="135" spans="1:2" x14ac:dyDescent="0.25">
      <c r="A135" s="25" t="s">
        <v>1194</v>
      </c>
      <c r="B135" s="25" t="s">
        <v>1080</v>
      </c>
    </row>
    <row r="136" spans="1:2" x14ac:dyDescent="0.25">
      <c r="A136" s="25" t="s">
        <v>1195</v>
      </c>
      <c r="B136" s="25" t="s">
        <v>1081</v>
      </c>
    </row>
    <row r="137" spans="1:2" x14ac:dyDescent="0.25">
      <c r="A137" s="25" t="s">
        <v>1196</v>
      </c>
      <c r="B137" s="25" t="s">
        <v>1082</v>
      </c>
    </row>
    <row r="138" spans="1:2" x14ac:dyDescent="0.25">
      <c r="A138" s="25" t="s">
        <v>1197</v>
      </c>
      <c r="B138" s="25" t="s">
        <v>1313</v>
      </c>
    </row>
    <row r="139" spans="1:2" x14ac:dyDescent="0.25">
      <c r="A139" s="25" t="s">
        <v>1198</v>
      </c>
      <c r="B139" s="25" t="s">
        <v>1314</v>
      </c>
    </row>
    <row r="140" spans="1:2" x14ac:dyDescent="0.25">
      <c r="A140" s="25" t="s">
        <v>1199</v>
      </c>
      <c r="B140" s="25" t="s">
        <v>1315</v>
      </c>
    </row>
    <row r="141" spans="1:2" x14ac:dyDescent="0.25">
      <c r="A141" s="25" t="s">
        <v>1200</v>
      </c>
      <c r="B141" s="25" t="s">
        <v>1316</v>
      </c>
    </row>
    <row r="142" spans="1:2" x14ac:dyDescent="0.25">
      <c r="A142" s="25" t="s">
        <v>1201</v>
      </c>
      <c r="B142" s="25" t="s">
        <v>1317</v>
      </c>
    </row>
    <row r="143" spans="1:2" x14ac:dyDescent="0.25">
      <c r="A143" s="25" t="s">
        <v>1202</v>
      </c>
      <c r="B143" s="25" t="s">
        <v>1318</v>
      </c>
    </row>
    <row r="144" spans="1:2" x14ac:dyDescent="0.25">
      <c r="A144" s="25" t="s">
        <v>1203</v>
      </c>
      <c r="B144" s="25" t="s">
        <v>1319</v>
      </c>
    </row>
    <row r="145" spans="1:2" x14ac:dyDescent="0.25">
      <c r="A145" s="25" t="s">
        <v>1204</v>
      </c>
      <c r="B145" s="25" t="s">
        <v>1320</v>
      </c>
    </row>
    <row r="146" spans="1:2" x14ac:dyDescent="0.25">
      <c r="A146" s="25" t="s">
        <v>1205</v>
      </c>
      <c r="B146" s="25" t="s">
        <v>1321</v>
      </c>
    </row>
    <row r="147" spans="1:2" x14ac:dyDescent="0.25">
      <c r="A147" s="25" t="s">
        <v>1206</v>
      </c>
      <c r="B147" s="25" t="s">
        <v>1322</v>
      </c>
    </row>
    <row r="148" spans="1:2" x14ac:dyDescent="0.25">
      <c r="A148" s="25" t="s">
        <v>1207</v>
      </c>
      <c r="B148" s="25" t="s">
        <v>1323</v>
      </c>
    </row>
    <row r="149" spans="1:2" x14ac:dyDescent="0.25">
      <c r="A149" s="25" t="s">
        <v>1208</v>
      </c>
      <c r="B149" s="25" t="s">
        <v>1324</v>
      </c>
    </row>
    <row r="150" spans="1:2" x14ac:dyDescent="0.25">
      <c r="A150" s="25" t="s">
        <v>1209</v>
      </c>
      <c r="B150" s="25" t="s">
        <v>1325</v>
      </c>
    </row>
    <row r="151" spans="1:2" x14ac:dyDescent="0.25">
      <c r="A151" s="25" t="s">
        <v>1210</v>
      </c>
      <c r="B151" s="25" t="s">
        <v>1326</v>
      </c>
    </row>
    <row r="152" spans="1:2" x14ac:dyDescent="0.25">
      <c r="A152" s="25" t="s">
        <v>1211</v>
      </c>
      <c r="B152" s="25" t="s">
        <v>1327</v>
      </c>
    </row>
    <row r="153" spans="1:2" x14ac:dyDescent="0.25">
      <c r="A153" s="25" t="s">
        <v>1212</v>
      </c>
      <c r="B153" s="25" t="s">
        <v>1328</v>
      </c>
    </row>
    <row r="154" spans="1:2" x14ac:dyDescent="0.25">
      <c r="A154" s="25" t="s">
        <v>1213</v>
      </c>
      <c r="B154" s="25" t="s">
        <v>1329</v>
      </c>
    </row>
    <row r="155" spans="1:2" x14ac:dyDescent="0.25">
      <c r="A155" s="25" t="s">
        <v>1214</v>
      </c>
      <c r="B155" s="25" t="s">
        <v>1330</v>
      </c>
    </row>
    <row r="156" spans="1:2" x14ac:dyDescent="0.25">
      <c r="A156" s="25" t="s">
        <v>1215</v>
      </c>
      <c r="B156" s="25" t="s">
        <v>1331</v>
      </c>
    </row>
    <row r="157" spans="1:2" x14ac:dyDescent="0.25">
      <c r="A157" s="25" t="s">
        <v>1216</v>
      </c>
      <c r="B157" s="25" t="s">
        <v>1332</v>
      </c>
    </row>
    <row r="158" spans="1:2" x14ac:dyDescent="0.25">
      <c r="A158" s="25" t="s">
        <v>1217</v>
      </c>
      <c r="B158" s="25" t="s">
        <v>1333</v>
      </c>
    </row>
    <row r="159" spans="1:2" x14ac:dyDescent="0.25">
      <c r="A159" s="25" t="s">
        <v>1218</v>
      </c>
      <c r="B159" s="25" t="s">
        <v>1334</v>
      </c>
    </row>
    <row r="160" spans="1:2" x14ac:dyDescent="0.25">
      <c r="A160" s="25" t="s">
        <v>1219</v>
      </c>
      <c r="B160" s="25" t="s">
        <v>1335</v>
      </c>
    </row>
    <row r="161" spans="1:2" x14ac:dyDescent="0.25">
      <c r="A161" s="25" t="s">
        <v>1220</v>
      </c>
      <c r="B161" s="25" t="s">
        <v>1336</v>
      </c>
    </row>
    <row r="162" spans="1:2" x14ac:dyDescent="0.25">
      <c r="A162" s="25" t="s">
        <v>1221</v>
      </c>
      <c r="B162" s="25" t="s">
        <v>1337</v>
      </c>
    </row>
    <row r="163" spans="1:2" x14ac:dyDescent="0.25">
      <c r="A163" s="25" t="s">
        <v>1222</v>
      </c>
      <c r="B163" s="25" t="s">
        <v>1338</v>
      </c>
    </row>
    <row r="164" spans="1:2" x14ac:dyDescent="0.25">
      <c r="A164" s="25" t="s">
        <v>1223</v>
      </c>
      <c r="B164" s="25" t="s">
        <v>1339</v>
      </c>
    </row>
    <row r="165" spans="1:2" x14ac:dyDescent="0.25">
      <c r="A165" s="25" t="s">
        <v>1224</v>
      </c>
      <c r="B165" s="25" t="s">
        <v>1340</v>
      </c>
    </row>
    <row r="166" spans="1:2" x14ac:dyDescent="0.25">
      <c r="A166" s="25" t="s">
        <v>1225</v>
      </c>
      <c r="B166" s="25" t="s">
        <v>1083</v>
      </c>
    </row>
    <row r="167" spans="1:2" x14ac:dyDescent="0.25">
      <c r="A167" s="25" t="s">
        <v>1226</v>
      </c>
      <c r="B167" s="25" t="s">
        <v>1084</v>
      </c>
    </row>
    <row r="168" spans="1:2" x14ac:dyDescent="0.25">
      <c r="A168" s="25" t="s">
        <v>1227</v>
      </c>
      <c r="B168" s="25" t="s">
        <v>1085</v>
      </c>
    </row>
    <row r="169" spans="1:2" x14ac:dyDescent="0.25">
      <c r="A169" s="25" t="s">
        <v>1228</v>
      </c>
      <c r="B169" s="25" t="s">
        <v>1086</v>
      </c>
    </row>
    <row r="170" spans="1:2" x14ac:dyDescent="0.25">
      <c r="A170" s="25" t="s">
        <v>1229</v>
      </c>
      <c r="B170" s="25" t="s">
        <v>1087</v>
      </c>
    </row>
    <row r="171" spans="1:2" x14ac:dyDescent="0.25">
      <c r="A171" s="25" t="s">
        <v>1230</v>
      </c>
      <c r="B171" s="25" t="s">
        <v>1088</v>
      </c>
    </row>
    <row r="172" spans="1:2" x14ac:dyDescent="0.25">
      <c r="A172" s="25" t="s">
        <v>1231</v>
      </c>
      <c r="B172" s="25" t="s">
        <v>1089</v>
      </c>
    </row>
    <row r="173" spans="1:2" x14ac:dyDescent="0.25">
      <c r="A173" s="25" t="s">
        <v>1232</v>
      </c>
      <c r="B173" s="25" t="s">
        <v>1090</v>
      </c>
    </row>
    <row r="174" spans="1:2" x14ac:dyDescent="0.25">
      <c r="A174" s="25" t="s">
        <v>1233</v>
      </c>
      <c r="B174" s="25" t="s">
        <v>1091</v>
      </c>
    </row>
    <row r="175" spans="1:2" x14ac:dyDescent="0.25">
      <c r="A175" s="25" t="s">
        <v>1234</v>
      </c>
      <c r="B175" s="25" t="s">
        <v>1092</v>
      </c>
    </row>
    <row r="176" spans="1:2" x14ac:dyDescent="0.25">
      <c r="A176" s="25" t="s">
        <v>1235</v>
      </c>
      <c r="B176" s="25" t="s">
        <v>1093</v>
      </c>
    </row>
    <row r="177" spans="1:2" x14ac:dyDescent="0.25">
      <c r="A177" s="25" t="s">
        <v>1236</v>
      </c>
      <c r="B177" s="25" t="s">
        <v>1094</v>
      </c>
    </row>
    <row r="178" spans="1:2" x14ac:dyDescent="0.25">
      <c r="A178" s="25" t="s">
        <v>1237</v>
      </c>
      <c r="B178" s="25" t="s">
        <v>1095</v>
      </c>
    </row>
    <row r="179" spans="1:2" x14ac:dyDescent="0.25">
      <c r="A179" s="25" t="s">
        <v>1238</v>
      </c>
      <c r="B179" s="25" t="s">
        <v>1096</v>
      </c>
    </row>
    <row r="180" spans="1:2" x14ac:dyDescent="0.25">
      <c r="A180" s="25" t="s">
        <v>1239</v>
      </c>
      <c r="B180" s="25" t="s">
        <v>1097</v>
      </c>
    </row>
    <row r="181" spans="1:2" x14ac:dyDescent="0.25">
      <c r="A181" s="25" t="s">
        <v>1240</v>
      </c>
      <c r="B181" s="25" t="s">
        <v>1098</v>
      </c>
    </row>
    <row r="182" spans="1:2" x14ac:dyDescent="0.25">
      <c r="A182" s="25" t="s">
        <v>1241</v>
      </c>
      <c r="B182" s="25" t="s">
        <v>1099</v>
      </c>
    </row>
    <row r="183" spans="1:2" x14ac:dyDescent="0.25">
      <c r="A183" s="25" t="s">
        <v>1242</v>
      </c>
      <c r="B183" s="25" t="s">
        <v>1100</v>
      </c>
    </row>
    <row r="184" spans="1:2" x14ac:dyDescent="0.25">
      <c r="A184" s="25" t="s">
        <v>1243</v>
      </c>
      <c r="B184" s="25" t="s">
        <v>1101</v>
      </c>
    </row>
    <row r="185" spans="1:2" x14ac:dyDescent="0.25">
      <c r="A185" s="25" t="s">
        <v>1244</v>
      </c>
      <c r="B185" s="25" t="s">
        <v>1102</v>
      </c>
    </row>
    <row r="186" spans="1:2" x14ac:dyDescent="0.25">
      <c r="A186" s="25" t="s">
        <v>1245</v>
      </c>
      <c r="B186" s="25" t="s">
        <v>1103</v>
      </c>
    </row>
    <row r="187" spans="1:2" x14ac:dyDescent="0.25">
      <c r="A187" s="25" t="s">
        <v>1246</v>
      </c>
      <c r="B187" s="25" t="s">
        <v>1104</v>
      </c>
    </row>
    <row r="188" spans="1:2" x14ac:dyDescent="0.25">
      <c r="A188" s="25" t="s">
        <v>1247</v>
      </c>
      <c r="B188" s="25" t="s">
        <v>1105</v>
      </c>
    </row>
    <row r="189" spans="1:2" x14ac:dyDescent="0.25">
      <c r="A189" s="25" t="s">
        <v>1248</v>
      </c>
      <c r="B189" s="25" t="s">
        <v>1106</v>
      </c>
    </row>
    <row r="190" spans="1:2" x14ac:dyDescent="0.25">
      <c r="A190" s="25" t="s">
        <v>1249</v>
      </c>
      <c r="B190" s="25" t="s">
        <v>1107</v>
      </c>
    </row>
    <row r="191" spans="1:2" x14ac:dyDescent="0.25">
      <c r="A191" s="25" t="s">
        <v>1250</v>
      </c>
      <c r="B191" s="25" t="s">
        <v>1108</v>
      </c>
    </row>
    <row r="192" spans="1:2" x14ac:dyDescent="0.25">
      <c r="A192" s="25" t="s">
        <v>1251</v>
      </c>
      <c r="B192" s="25" t="s">
        <v>1109</v>
      </c>
    </row>
    <row r="193" spans="1:2" x14ac:dyDescent="0.25">
      <c r="A193" s="25" t="s">
        <v>1252</v>
      </c>
      <c r="B193" s="25" t="s">
        <v>1110</v>
      </c>
    </row>
    <row r="194" spans="1:2" x14ac:dyDescent="0.25">
      <c r="A194" s="25" t="s">
        <v>1253</v>
      </c>
      <c r="B194" s="25" t="s">
        <v>1111</v>
      </c>
    </row>
    <row r="195" spans="1:2" x14ac:dyDescent="0.25">
      <c r="A195" s="25" t="s">
        <v>1254</v>
      </c>
      <c r="B195" s="25" t="s">
        <v>1112</v>
      </c>
    </row>
    <row r="196" spans="1:2" x14ac:dyDescent="0.25">
      <c r="A196" s="25" t="s">
        <v>1255</v>
      </c>
      <c r="B196" s="25" t="s">
        <v>1113</v>
      </c>
    </row>
    <row r="197" spans="1:2" x14ac:dyDescent="0.25">
      <c r="A197" s="25" t="s">
        <v>1256</v>
      </c>
      <c r="B197" s="25" t="s">
        <v>1114</v>
      </c>
    </row>
    <row r="198" spans="1:2" x14ac:dyDescent="0.25">
      <c r="A198" s="25" t="s">
        <v>1257</v>
      </c>
      <c r="B198" s="25" t="s">
        <v>1115</v>
      </c>
    </row>
    <row r="199" spans="1:2" x14ac:dyDescent="0.25">
      <c r="A199" s="25" t="s">
        <v>1258</v>
      </c>
      <c r="B199" s="25" t="s">
        <v>1116</v>
      </c>
    </row>
    <row r="200" spans="1:2" x14ac:dyDescent="0.25">
      <c r="A200" s="25" t="s">
        <v>1259</v>
      </c>
      <c r="B200" s="25" t="s">
        <v>1117</v>
      </c>
    </row>
    <row r="201" spans="1:2" x14ac:dyDescent="0.25">
      <c r="A201" s="25" t="s">
        <v>1260</v>
      </c>
      <c r="B201" s="25" t="s">
        <v>1118</v>
      </c>
    </row>
    <row r="202" spans="1:2" x14ac:dyDescent="0.25">
      <c r="A202" s="25" t="s">
        <v>1261</v>
      </c>
      <c r="B202" s="25" t="s">
        <v>1119</v>
      </c>
    </row>
    <row r="203" spans="1:2" x14ac:dyDescent="0.25">
      <c r="A203" s="25" t="s">
        <v>1262</v>
      </c>
      <c r="B203" s="25" t="s">
        <v>1120</v>
      </c>
    </row>
    <row r="204" spans="1:2" x14ac:dyDescent="0.25">
      <c r="A204" s="25" t="s">
        <v>1263</v>
      </c>
      <c r="B204" s="25" t="s">
        <v>1121</v>
      </c>
    </row>
    <row r="205" spans="1:2" x14ac:dyDescent="0.25">
      <c r="A205" s="25" t="s">
        <v>1264</v>
      </c>
      <c r="B205" s="25" t="s">
        <v>1122</v>
      </c>
    </row>
    <row r="206" spans="1:2" x14ac:dyDescent="0.25">
      <c r="A206" s="25" t="s">
        <v>1265</v>
      </c>
      <c r="B206" s="25" t="s">
        <v>1123</v>
      </c>
    </row>
    <row r="207" spans="1:2" x14ac:dyDescent="0.25">
      <c r="A207" s="25" t="s">
        <v>1266</v>
      </c>
      <c r="B207" s="25" t="s">
        <v>1124</v>
      </c>
    </row>
    <row r="208" spans="1:2" x14ac:dyDescent="0.25">
      <c r="A208" s="25" t="s">
        <v>1267</v>
      </c>
      <c r="B208" s="25" t="s">
        <v>1125</v>
      </c>
    </row>
    <row r="209" spans="1:2" x14ac:dyDescent="0.25">
      <c r="A209" s="25" t="s">
        <v>1268</v>
      </c>
      <c r="B209" s="25" t="s">
        <v>1126</v>
      </c>
    </row>
    <row r="210" spans="1:2" x14ac:dyDescent="0.25">
      <c r="A210" s="25" t="s">
        <v>1269</v>
      </c>
      <c r="B210" s="25" t="s">
        <v>1127</v>
      </c>
    </row>
    <row r="211" spans="1:2" x14ac:dyDescent="0.25">
      <c r="A211" s="25" t="s">
        <v>1270</v>
      </c>
      <c r="B211" s="25" t="s">
        <v>1128</v>
      </c>
    </row>
    <row r="212" spans="1:2" x14ac:dyDescent="0.25">
      <c r="A212" s="25" t="s">
        <v>1271</v>
      </c>
      <c r="B212" s="25" t="s">
        <v>1129</v>
      </c>
    </row>
    <row r="213" spans="1:2" x14ac:dyDescent="0.25">
      <c r="A213" s="25" t="s">
        <v>1272</v>
      </c>
      <c r="B213" s="25" t="s">
        <v>1130</v>
      </c>
    </row>
    <row r="214" spans="1:2" x14ac:dyDescent="0.25">
      <c r="A214" s="25" t="s">
        <v>1273</v>
      </c>
      <c r="B214" s="25" t="s">
        <v>1131</v>
      </c>
    </row>
    <row r="215" spans="1:2" x14ac:dyDescent="0.25">
      <c r="A215" s="25" t="s">
        <v>1274</v>
      </c>
      <c r="B215" s="25" t="s">
        <v>1132</v>
      </c>
    </row>
    <row r="216" spans="1:2" x14ac:dyDescent="0.25">
      <c r="A216" s="25" t="s">
        <v>1275</v>
      </c>
      <c r="B216" s="25" t="s">
        <v>1133</v>
      </c>
    </row>
    <row r="217" spans="1:2" x14ac:dyDescent="0.25">
      <c r="A217" s="25" t="s">
        <v>1276</v>
      </c>
      <c r="B217" s="25" t="s">
        <v>1134</v>
      </c>
    </row>
    <row r="218" spans="1:2" x14ac:dyDescent="0.25">
      <c r="A218" s="25" t="s">
        <v>1277</v>
      </c>
      <c r="B218" s="25" t="s">
        <v>1135</v>
      </c>
    </row>
    <row r="219" spans="1:2" x14ac:dyDescent="0.25">
      <c r="A219" s="25" t="s">
        <v>1278</v>
      </c>
      <c r="B219" s="25" t="s">
        <v>1136</v>
      </c>
    </row>
    <row r="220" spans="1:2" x14ac:dyDescent="0.25">
      <c r="A220" s="25" t="s">
        <v>1279</v>
      </c>
      <c r="B220" s="25" t="s">
        <v>1137</v>
      </c>
    </row>
    <row r="221" spans="1:2" x14ac:dyDescent="0.25">
      <c r="A221" s="25" t="s">
        <v>1280</v>
      </c>
      <c r="B221" s="25" t="s">
        <v>1138</v>
      </c>
    </row>
    <row r="222" spans="1:2" x14ac:dyDescent="0.25">
      <c r="A222" s="25" t="s">
        <v>1281</v>
      </c>
      <c r="B222" s="25" t="s">
        <v>1139</v>
      </c>
    </row>
    <row r="223" spans="1:2" x14ac:dyDescent="0.25">
      <c r="A223" s="25" t="s">
        <v>1282</v>
      </c>
      <c r="B223" s="25" t="s">
        <v>1140</v>
      </c>
    </row>
    <row r="224" spans="1:2" x14ac:dyDescent="0.25">
      <c r="A224" s="25" t="s">
        <v>1283</v>
      </c>
      <c r="B224" s="25" t="s">
        <v>1141</v>
      </c>
    </row>
    <row r="225" spans="1:2" x14ac:dyDescent="0.25">
      <c r="A225" s="25" t="s">
        <v>1284</v>
      </c>
      <c r="B225" s="25" t="s">
        <v>1142</v>
      </c>
    </row>
    <row r="226" spans="1:2" x14ac:dyDescent="0.25">
      <c r="A226" s="25" t="s">
        <v>1285</v>
      </c>
      <c r="B226" s="25" t="s">
        <v>1143</v>
      </c>
    </row>
    <row r="227" spans="1:2" x14ac:dyDescent="0.25">
      <c r="A227" s="25" t="s">
        <v>1286</v>
      </c>
      <c r="B227" s="25" t="s">
        <v>1144</v>
      </c>
    </row>
    <row r="228" spans="1:2" x14ac:dyDescent="0.25">
      <c r="A228" s="25" t="s">
        <v>1287</v>
      </c>
      <c r="B228" s="25" t="s">
        <v>1145</v>
      </c>
    </row>
    <row r="229" spans="1:2" x14ac:dyDescent="0.25">
      <c r="A229" s="25" t="s">
        <v>1288</v>
      </c>
      <c r="B229" s="25" t="s">
        <v>1146</v>
      </c>
    </row>
    <row r="230" spans="1:2" x14ac:dyDescent="0.25">
      <c r="A230" s="25" t="s">
        <v>1289</v>
      </c>
      <c r="B230" s="25" t="s">
        <v>1147</v>
      </c>
    </row>
    <row r="231" spans="1:2" x14ac:dyDescent="0.25">
      <c r="A231" s="25" t="s">
        <v>1290</v>
      </c>
      <c r="B231" s="25" t="s">
        <v>1148</v>
      </c>
    </row>
    <row r="232" spans="1:2" x14ac:dyDescent="0.25">
      <c r="A232" s="25" t="s">
        <v>1291</v>
      </c>
      <c r="B232" s="25" t="s">
        <v>1149</v>
      </c>
    </row>
    <row r="233" spans="1:2" x14ac:dyDescent="0.25">
      <c r="A233" s="25" t="s">
        <v>1292</v>
      </c>
      <c r="B233" s="25" t="s">
        <v>1150</v>
      </c>
    </row>
    <row r="234" spans="1:2" x14ac:dyDescent="0.25">
      <c r="A234" s="25" t="s">
        <v>1293</v>
      </c>
      <c r="B234" s="25" t="s">
        <v>1151</v>
      </c>
    </row>
    <row r="235" spans="1:2" x14ac:dyDescent="0.25">
      <c r="A235" s="25" t="s">
        <v>1294</v>
      </c>
      <c r="B235" s="25" t="s">
        <v>1152</v>
      </c>
    </row>
    <row r="236" spans="1:2" x14ac:dyDescent="0.25">
      <c r="A236" s="25" t="s">
        <v>1295</v>
      </c>
      <c r="B236" s="25" t="s">
        <v>1153</v>
      </c>
    </row>
    <row r="237" spans="1:2" x14ac:dyDescent="0.25">
      <c r="A237" s="25" t="s">
        <v>1296</v>
      </c>
      <c r="B237" s="25" t="s">
        <v>1154</v>
      </c>
    </row>
    <row r="238" spans="1:2" x14ac:dyDescent="0.25">
      <c r="A238" s="25" t="s">
        <v>1297</v>
      </c>
      <c r="B238" s="25" t="s">
        <v>1155</v>
      </c>
    </row>
    <row r="239" spans="1:2" x14ac:dyDescent="0.25">
      <c r="A239" s="25" t="s">
        <v>1298</v>
      </c>
      <c r="B239" s="25" t="s">
        <v>1156</v>
      </c>
    </row>
    <row r="240" spans="1:2" x14ac:dyDescent="0.25">
      <c r="A240" s="25" t="s">
        <v>1299</v>
      </c>
      <c r="B240" s="25" t="s">
        <v>1157</v>
      </c>
    </row>
    <row r="241" spans="1:2" x14ac:dyDescent="0.25">
      <c r="A241" s="25" t="s">
        <v>1300</v>
      </c>
      <c r="B241" s="25" t="s">
        <v>1158</v>
      </c>
    </row>
    <row r="242" spans="1:2" x14ac:dyDescent="0.25">
      <c r="A242" s="25" t="s">
        <v>1301</v>
      </c>
      <c r="B242" s="25" t="s">
        <v>1159</v>
      </c>
    </row>
    <row r="243" spans="1:2" x14ac:dyDescent="0.25">
      <c r="A243" s="25" t="s">
        <v>1302</v>
      </c>
      <c r="B243" s="25" t="s">
        <v>1160</v>
      </c>
    </row>
    <row r="244" spans="1:2" x14ac:dyDescent="0.25">
      <c r="A244" s="25" t="s">
        <v>1303</v>
      </c>
      <c r="B244" s="25" t="s">
        <v>1161</v>
      </c>
    </row>
    <row r="245" spans="1:2" x14ac:dyDescent="0.25">
      <c r="A245" s="25" t="s">
        <v>1304</v>
      </c>
      <c r="B245" s="25" t="s">
        <v>1162</v>
      </c>
    </row>
    <row r="246" spans="1:2" x14ac:dyDescent="0.25">
      <c r="A246" s="25" t="s">
        <v>1305</v>
      </c>
      <c r="B246" s="25" t="s">
        <v>1163</v>
      </c>
    </row>
    <row r="247" spans="1:2" x14ac:dyDescent="0.25">
      <c r="A247" s="25" t="s">
        <v>1306</v>
      </c>
      <c r="B247" s="25" t="s">
        <v>1164</v>
      </c>
    </row>
    <row r="248" spans="1:2" x14ac:dyDescent="0.25">
      <c r="A248" s="25" t="s">
        <v>1307</v>
      </c>
      <c r="B248" s="25" t="s">
        <v>1165</v>
      </c>
    </row>
    <row r="249" spans="1:2" x14ac:dyDescent="0.25">
      <c r="A249" s="25" t="s">
        <v>1308</v>
      </c>
      <c r="B249" s="25" t="s">
        <v>1166</v>
      </c>
    </row>
    <row r="250" spans="1:2" x14ac:dyDescent="0.25">
      <c r="A250" s="25" t="s">
        <v>1309</v>
      </c>
      <c r="B250" s="25" t="s">
        <v>1167</v>
      </c>
    </row>
    <row r="251" spans="1:2" x14ac:dyDescent="0.25">
      <c r="A251" s="25" t="s">
        <v>1310</v>
      </c>
      <c r="B251" s="25" t="s">
        <v>1168</v>
      </c>
    </row>
    <row r="252" spans="1:2" x14ac:dyDescent="0.25">
      <c r="A252" s="25" t="s">
        <v>1311</v>
      </c>
      <c r="B252" s="25" t="s">
        <v>1169</v>
      </c>
    </row>
    <row r="253" spans="1:2" x14ac:dyDescent="0.25">
      <c r="A253" s="25" t="s">
        <v>1312</v>
      </c>
      <c r="B253" s="25" t="s">
        <v>1170</v>
      </c>
    </row>
  </sheetData>
  <autoFilter ref="A1:B1" xr:uid="{F17C5B65-FB27-41FB-A9B2-CFDA426B5C52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7993C-CAA6-442B-8D41-ECF6A499FBAE}">
  <dimension ref="A1:B68"/>
  <sheetViews>
    <sheetView showGridLines="0" workbookViewId="0">
      <pane ySplit="1" topLeftCell="A51" activePane="bottomLeft" state="frozen"/>
      <selection pane="bottomLeft" activeCell="A62" sqref="A62"/>
    </sheetView>
  </sheetViews>
  <sheetFormatPr defaultRowHeight="15" x14ac:dyDescent="0.25"/>
  <cols>
    <col min="1" max="1" width="126.5703125" bestFit="1" customWidth="1"/>
    <col min="2" max="2" width="177" bestFit="1" customWidth="1"/>
  </cols>
  <sheetData>
    <row r="1" spans="1:2" x14ac:dyDescent="0.25">
      <c r="A1" s="24" t="s">
        <v>366</v>
      </c>
      <c r="B1" s="24" t="s">
        <v>810</v>
      </c>
    </row>
    <row r="2" spans="1:2" x14ac:dyDescent="0.25">
      <c r="A2" s="25" t="s">
        <v>891</v>
      </c>
      <c r="B2" s="25" t="s">
        <v>912</v>
      </c>
    </row>
    <row r="3" spans="1:2" x14ac:dyDescent="0.25">
      <c r="A3" s="25" t="s">
        <v>892</v>
      </c>
      <c r="B3" s="25" t="s">
        <v>913</v>
      </c>
    </row>
    <row r="4" spans="1:2" x14ac:dyDescent="0.25">
      <c r="A4" s="25" t="s">
        <v>893</v>
      </c>
      <c r="B4" s="25" t="s">
        <v>914</v>
      </c>
    </row>
    <row r="5" spans="1:2" x14ac:dyDescent="0.25">
      <c r="A5" s="25" t="s">
        <v>894</v>
      </c>
      <c r="B5" s="25" t="s">
        <v>915</v>
      </c>
    </row>
    <row r="6" spans="1:2" x14ac:dyDescent="0.25">
      <c r="A6" s="25" t="s">
        <v>895</v>
      </c>
      <c r="B6" s="25" t="s">
        <v>916</v>
      </c>
    </row>
    <row r="7" spans="1:2" x14ac:dyDescent="0.25">
      <c r="A7" s="25" t="s">
        <v>896</v>
      </c>
      <c r="B7" s="25" t="s">
        <v>917</v>
      </c>
    </row>
    <row r="8" spans="1:2" x14ac:dyDescent="0.25">
      <c r="A8" s="25" t="s">
        <v>897</v>
      </c>
      <c r="B8" s="25" t="s">
        <v>918</v>
      </c>
    </row>
    <row r="9" spans="1:2" x14ac:dyDescent="0.25">
      <c r="A9" s="25" t="s">
        <v>898</v>
      </c>
      <c r="B9" s="25" t="s">
        <v>919</v>
      </c>
    </row>
    <row r="10" spans="1:2" x14ac:dyDescent="0.25">
      <c r="A10" s="25" t="s">
        <v>899</v>
      </c>
      <c r="B10" s="25" t="s">
        <v>920</v>
      </c>
    </row>
    <row r="11" spans="1:2" x14ac:dyDescent="0.25">
      <c r="A11" s="25" t="s">
        <v>900</v>
      </c>
      <c r="B11" s="25" t="s">
        <v>921</v>
      </c>
    </row>
    <row r="12" spans="1:2" x14ac:dyDescent="0.25">
      <c r="A12" s="25" t="s">
        <v>901</v>
      </c>
      <c r="B12" s="25" t="s">
        <v>922</v>
      </c>
    </row>
    <row r="13" spans="1:2" x14ac:dyDescent="0.25">
      <c r="A13" s="25" t="s">
        <v>902</v>
      </c>
      <c r="B13" s="25" t="s">
        <v>923</v>
      </c>
    </row>
    <row r="14" spans="1:2" x14ac:dyDescent="0.25">
      <c r="A14" s="25" t="s">
        <v>903</v>
      </c>
      <c r="B14" s="25" t="s">
        <v>924</v>
      </c>
    </row>
    <row r="15" spans="1:2" x14ac:dyDescent="0.25">
      <c r="A15" s="25" t="s">
        <v>904</v>
      </c>
      <c r="B15" s="25" t="s">
        <v>925</v>
      </c>
    </row>
    <row r="16" spans="1:2" x14ac:dyDescent="0.25">
      <c r="A16" s="25" t="s">
        <v>905</v>
      </c>
      <c r="B16" s="25" t="s">
        <v>926</v>
      </c>
    </row>
    <row r="17" spans="1:2" x14ac:dyDescent="0.25">
      <c r="A17" s="25" t="s">
        <v>906</v>
      </c>
      <c r="B17" s="25" t="s">
        <v>927</v>
      </c>
    </row>
    <row r="18" spans="1:2" x14ac:dyDescent="0.25">
      <c r="A18" s="25" t="s">
        <v>907</v>
      </c>
      <c r="B18" s="25" t="s">
        <v>928</v>
      </c>
    </row>
    <row r="19" spans="1:2" x14ac:dyDescent="0.25">
      <c r="A19" s="25" t="s">
        <v>908</v>
      </c>
      <c r="B19" s="25" t="s">
        <v>929</v>
      </c>
    </row>
    <row r="20" spans="1:2" x14ac:dyDescent="0.25">
      <c r="A20" s="25" t="s">
        <v>909</v>
      </c>
      <c r="B20" s="25" t="s">
        <v>930</v>
      </c>
    </row>
    <row r="21" spans="1:2" x14ac:dyDescent="0.25">
      <c r="A21" s="25" t="s">
        <v>910</v>
      </c>
      <c r="B21" s="25" t="s">
        <v>931</v>
      </c>
    </row>
    <row r="22" spans="1:2" x14ac:dyDescent="0.25">
      <c r="A22" s="25" t="s">
        <v>911</v>
      </c>
      <c r="B22" s="25" t="s">
        <v>932</v>
      </c>
    </row>
    <row r="23" spans="1:2" x14ac:dyDescent="0.25">
      <c r="A23" s="25" t="s">
        <v>969</v>
      </c>
      <c r="B23" s="25" t="s">
        <v>937</v>
      </c>
    </row>
    <row r="24" spans="1:2" x14ac:dyDescent="0.25">
      <c r="A24" s="25" t="s">
        <v>970</v>
      </c>
      <c r="B24" s="25" t="s">
        <v>938</v>
      </c>
    </row>
    <row r="25" spans="1:2" x14ac:dyDescent="0.25">
      <c r="A25" s="25" t="s">
        <v>971</v>
      </c>
      <c r="B25" s="25" t="s">
        <v>939</v>
      </c>
    </row>
    <row r="26" spans="1:2" x14ac:dyDescent="0.25">
      <c r="A26" s="25" t="s">
        <v>972</v>
      </c>
      <c r="B26" s="25" t="s">
        <v>940</v>
      </c>
    </row>
    <row r="27" spans="1:2" x14ac:dyDescent="0.25">
      <c r="A27" s="25" t="s">
        <v>973</v>
      </c>
      <c r="B27" s="25" t="s">
        <v>941</v>
      </c>
    </row>
    <row r="28" spans="1:2" x14ac:dyDescent="0.25">
      <c r="A28" s="25" t="s">
        <v>974</v>
      </c>
      <c r="B28" s="25" t="s">
        <v>942</v>
      </c>
    </row>
    <row r="29" spans="1:2" x14ac:dyDescent="0.25">
      <c r="A29" s="25" t="s">
        <v>975</v>
      </c>
      <c r="B29" s="25" t="s">
        <v>943</v>
      </c>
    </row>
    <row r="30" spans="1:2" x14ac:dyDescent="0.25">
      <c r="A30" s="25" t="s">
        <v>976</v>
      </c>
      <c r="B30" s="25" t="s">
        <v>944</v>
      </c>
    </row>
    <row r="31" spans="1:2" x14ac:dyDescent="0.25">
      <c r="A31" s="25" t="s">
        <v>977</v>
      </c>
      <c r="B31" s="25" t="s">
        <v>945</v>
      </c>
    </row>
    <row r="32" spans="1:2" x14ac:dyDescent="0.25">
      <c r="A32" s="25" t="s">
        <v>978</v>
      </c>
      <c r="B32" s="25" t="s">
        <v>946</v>
      </c>
    </row>
    <row r="33" spans="1:2" x14ac:dyDescent="0.25">
      <c r="A33" s="25" t="s">
        <v>979</v>
      </c>
      <c r="B33" s="25" t="s">
        <v>947</v>
      </c>
    </row>
    <row r="34" spans="1:2" x14ac:dyDescent="0.25">
      <c r="A34" s="25" t="s">
        <v>980</v>
      </c>
      <c r="B34" s="25" t="s">
        <v>948</v>
      </c>
    </row>
    <row r="35" spans="1:2" x14ac:dyDescent="0.25">
      <c r="A35" s="25" t="s">
        <v>981</v>
      </c>
      <c r="B35" s="25" t="s">
        <v>949</v>
      </c>
    </row>
    <row r="36" spans="1:2" x14ac:dyDescent="0.25">
      <c r="A36" s="25" t="s">
        <v>982</v>
      </c>
      <c r="B36" s="25" t="s">
        <v>950</v>
      </c>
    </row>
    <row r="37" spans="1:2" x14ac:dyDescent="0.25">
      <c r="A37" s="25" t="s">
        <v>983</v>
      </c>
      <c r="B37" s="25" t="s">
        <v>951</v>
      </c>
    </row>
    <row r="38" spans="1:2" x14ac:dyDescent="0.25">
      <c r="A38" s="25" t="s">
        <v>984</v>
      </c>
      <c r="B38" s="25" t="s">
        <v>952</v>
      </c>
    </row>
    <row r="39" spans="1:2" x14ac:dyDescent="0.25">
      <c r="A39" s="25" t="s">
        <v>985</v>
      </c>
      <c r="B39" s="25" t="s">
        <v>953</v>
      </c>
    </row>
    <row r="40" spans="1:2" x14ac:dyDescent="0.25">
      <c r="A40" s="25" t="s">
        <v>986</v>
      </c>
      <c r="B40" s="25" t="s">
        <v>954</v>
      </c>
    </row>
    <row r="41" spans="1:2" x14ac:dyDescent="0.25">
      <c r="A41" s="25" t="s">
        <v>987</v>
      </c>
      <c r="B41" s="25" t="s">
        <v>955</v>
      </c>
    </row>
    <row r="42" spans="1:2" x14ac:dyDescent="0.25">
      <c r="A42" s="25" t="s">
        <v>988</v>
      </c>
      <c r="B42" s="25" t="s">
        <v>956</v>
      </c>
    </row>
    <row r="43" spans="1:2" x14ac:dyDescent="0.25">
      <c r="A43" s="25" t="s">
        <v>989</v>
      </c>
      <c r="B43" s="25" t="s">
        <v>957</v>
      </c>
    </row>
    <row r="44" spans="1:2" x14ac:dyDescent="0.25">
      <c r="A44" s="25" t="s">
        <v>990</v>
      </c>
      <c r="B44" s="25" t="s">
        <v>958</v>
      </c>
    </row>
    <row r="45" spans="1:2" x14ac:dyDescent="0.25">
      <c r="A45" s="25" t="s">
        <v>991</v>
      </c>
      <c r="B45" s="25" t="s">
        <v>959</v>
      </c>
    </row>
    <row r="46" spans="1:2" x14ac:dyDescent="0.25">
      <c r="A46" s="25" t="s">
        <v>992</v>
      </c>
      <c r="B46" s="25" t="s">
        <v>960</v>
      </c>
    </row>
    <row r="47" spans="1:2" x14ac:dyDescent="0.25">
      <c r="A47" s="25" t="s">
        <v>993</v>
      </c>
      <c r="B47" s="25" t="s">
        <v>961</v>
      </c>
    </row>
    <row r="48" spans="1:2" x14ac:dyDescent="0.25">
      <c r="A48" s="25" t="s">
        <v>994</v>
      </c>
      <c r="B48" s="25" t="s">
        <v>962</v>
      </c>
    </row>
    <row r="49" spans="1:2" x14ac:dyDescent="0.25">
      <c r="A49" s="25" t="s">
        <v>995</v>
      </c>
      <c r="B49" s="25" t="s">
        <v>963</v>
      </c>
    </row>
    <row r="50" spans="1:2" x14ac:dyDescent="0.25">
      <c r="A50" s="25" t="s">
        <v>996</v>
      </c>
      <c r="B50" s="25" t="s">
        <v>964</v>
      </c>
    </row>
    <row r="51" spans="1:2" x14ac:dyDescent="0.25">
      <c r="A51" s="25" t="s">
        <v>997</v>
      </c>
      <c r="B51" s="25" t="s">
        <v>965</v>
      </c>
    </row>
    <row r="52" spans="1:2" x14ac:dyDescent="0.25">
      <c r="A52" s="25" t="s">
        <v>998</v>
      </c>
      <c r="B52" s="25" t="s">
        <v>966</v>
      </c>
    </row>
    <row r="53" spans="1:2" x14ac:dyDescent="0.25">
      <c r="A53" s="25" t="s">
        <v>999</v>
      </c>
      <c r="B53" s="25" t="s">
        <v>967</v>
      </c>
    </row>
    <row r="54" spans="1:2" x14ac:dyDescent="0.25">
      <c r="A54" s="25" t="s">
        <v>1000</v>
      </c>
      <c r="B54" s="25" t="s">
        <v>968</v>
      </c>
    </row>
    <row r="55" spans="1:2" x14ac:dyDescent="0.25">
      <c r="A55" s="25" t="s">
        <v>1018</v>
      </c>
      <c r="B55" s="25" t="s">
        <v>1008</v>
      </c>
    </row>
    <row r="56" spans="1:2" x14ac:dyDescent="0.25">
      <c r="A56" s="25" t="s">
        <v>1019</v>
      </c>
      <c r="B56" s="25" t="s">
        <v>1009</v>
      </c>
    </row>
    <row r="57" spans="1:2" x14ac:dyDescent="0.25">
      <c r="A57" s="25" t="s">
        <v>1020</v>
      </c>
      <c r="B57" s="25" t="s">
        <v>1010</v>
      </c>
    </row>
    <row r="58" spans="1:2" x14ac:dyDescent="0.25">
      <c r="A58" s="25" t="s">
        <v>1021</v>
      </c>
      <c r="B58" s="25" t="s">
        <v>1011</v>
      </c>
    </row>
    <row r="59" spans="1:2" x14ac:dyDescent="0.25">
      <c r="A59" s="25" t="s">
        <v>1022</v>
      </c>
      <c r="B59" s="25" t="s">
        <v>1012</v>
      </c>
    </row>
    <row r="60" spans="1:2" x14ac:dyDescent="0.25">
      <c r="A60" s="25" t="s">
        <v>1023</v>
      </c>
      <c r="B60" s="25" t="s">
        <v>1013</v>
      </c>
    </row>
    <row r="61" spans="1:2" x14ac:dyDescent="0.25">
      <c r="A61" s="25" t="s">
        <v>1024</v>
      </c>
      <c r="B61" s="25" t="s">
        <v>1014</v>
      </c>
    </row>
    <row r="62" spans="1:2" x14ac:dyDescent="0.25">
      <c r="A62" s="25" t="s">
        <v>1025</v>
      </c>
      <c r="B62" s="25" t="s">
        <v>1015</v>
      </c>
    </row>
    <row r="63" spans="1:2" x14ac:dyDescent="0.25">
      <c r="A63" s="25" t="s">
        <v>1026</v>
      </c>
      <c r="B63" s="25" t="s">
        <v>1016</v>
      </c>
    </row>
    <row r="64" spans="1:2" x14ac:dyDescent="0.25">
      <c r="A64" s="25" t="s">
        <v>1027</v>
      </c>
      <c r="B64" s="25" t="s">
        <v>1017</v>
      </c>
    </row>
    <row r="65" spans="1:2" x14ac:dyDescent="0.25">
      <c r="A65" s="25" t="s">
        <v>1033</v>
      </c>
      <c r="B65" s="25" t="s">
        <v>1036</v>
      </c>
    </row>
    <row r="66" spans="1:2" x14ac:dyDescent="0.25">
      <c r="A66" s="25" t="s">
        <v>1034</v>
      </c>
      <c r="B66" s="25" t="s">
        <v>1037</v>
      </c>
    </row>
    <row r="67" spans="1:2" x14ac:dyDescent="0.25">
      <c r="A67" s="25" t="s">
        <v>1035</v>
      </c>
      <c r="B67" s="25" t="s">
        <v>1038</v>
      </c>
    </row>
    <row r="68" spans="1:2" x14ac:dyDescent="0.25">
      <c r="A68" s="25" t="s">
        <v>1341</v>
      </c>
      <c r="B68" s="25" t="s">
        <v>1010</v>
      </c>
    </row>
  </sheetData>
  <autoFilter ref="A1:B1" xr:uid="{CF43DAAE-C5C6-438D-82E8-D9999D58C658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ACF48-C95C-4CBC-A17F-364DFD37B8D9}">
  <sheetPr codeName="Planilha3"/>
  <dimension ref="B1:BQ257"/>
  <sheetViews>
    <sheetView showGridLines="0" zoomScaleNormal="100" workbookViewId="0"/>
  </sheetViews>
  <sheetFormatPr defaultRowHeight="15" x14ac:dyDescent="0.25"/>
  <cols>
    <col min="1" max="1" width="3.42578125" customWidth="1"/>
    <col min="2" max="2" width="11.7109375" bestFit="1" customWidth="1"/>
    <col min="3" max="3" width="4.140625" bestFit="1" customWidth="1"/>
    <col min="4" max="4" width="5" customWidth="1"/>
    <col min="5" max="5" width="13.42578125" bestFit="1" customWidth="1"/>
    <col min="6" max="6" width="5" bestFit="1" customWidth="1"/>
    <col min="7" max="7" width="4.140625" customWidth="1"/>
    <col min="8" max="8" width="13.42578125" bestFit="1" customWidth="1"/>
    <col min="9" max="9" width="6" bestFit="1" customWidth="1"/>
    <col min="10" max="10" width="4.85546875" customWidth="1"/>
    <col min="11" max="11" width="13.5703125" customWidth="1"/>
    <col min="12" max="12" width="8" customWidth="1"/>
    <col min="13" max="13" width="6.140625" customWidth="1"/>
    <col min="14" max="14" width="14.5703125" bestFit="1" customWidth="1"/>
    <col min="15" max="15" width="7.5703125" bestFit="1" customWidth="1"/>
    <col min="16" max="16" width="5.85546875" customWidth="1"/>
    <col min="17" max="17" width="15.42578125" bestFit="1" customWidth="1"/>
    <col min="18" max="18" width="3.85546875" bestFit="1" customWidth="1"/>
    <col min="19" max="19" width="5.7109375" customWidth="1"/>
    <col min="20" max="21" width="11.5703125" bestFit="1" customWidth="1"/>
    <col min="22" max="22" width="4.85546875" customWidth="1"/>
    <col min="23" max="23" width="12" bestFit="1" customWidth="1"/>
    <col min="24" max="24" width="5.28515625" bestFit="1" customWidth="1"/>
    <col min="25" max="25" width="5.85546875" customWidth="1"/>
    <col min="26" max="26" width="14.5703125" bestFit="1" customWidth="1"/>
    <col min="27" max="27" width="8.28515625" bestFit="1" customWidth="1"/>
    <col min="28" max="28" width="5.140625" customWidth="1"/>
    <col min="29" max="29" width="21.85546875" bestFit="1" customWidth="1"/>
    <col min="30" max="30" width="5.42578125" bestFit="1" customWidth="1"/>
    <col min="31" max="31" width="6.7109375" customWidth="1"/>
    <col min="32" max="32" width="16.28515625" customWidth="1"/>
    <col min="33" max="33" width="8" customWidth="1"/>
    <col min="34" max="34" width="6.140625" customWidth="1"/>
    <col min="35" max="35" width="15.5703125" bestFit="1" customWidth="1"/>
    <col min="36" max="36" width="4" bestFit="1" customWidth="1"/>
    <col min="37" max="37" width="6.140625" customWidth="1"/>
    <col min="38" max="38" width="23" bestFit="1" customWidth="1"/>
    <col min="39" max="39" width="4.5703125" bestFit="1" customWidth="1"/>
    <col min="40" max="40" width="4.5703125" customWidth="1"/>
    <col min="41" max="41" width="7.42578125" customWidth="1"/>
    <col min="42" max="42" width="5.140625" customWidth="1"/>
    <col min="43" max="43" width="4.5703125" customWidth="1"/>
    <col min="44" max="45" width="15.28515625" customWidth="1"/>
    <col min="46" max="46" width="5.85546875" customWidth="1"/>
    <col min="47" max="47" width="19.42578125" bestFit="1" customWidth="1"/>
    <col min="48" max="48" width="5" bestFit="1" customWidth="1"/>
    <col min="49" max="49" width="5" customWidth="1"/>
    <col min="50" max="50" width="19.42578125" bestFit="1" customWidth="1"/>
    <col min="51" max="51" width="11.7109375" customWidth="1"/>
    <col min="52" max="52" width="5.140625" customWidth="1"/>
    <col min="53" max="53" width="20.42578125" customWidth="1"/>
    <col min="54" max="54" width="8.28515625" customWidth="1"/>
    <col min="55" max="55" width="5.42578125" customWidth="1"/>
    <col min="56" max="57" width="14.140625" customWidth="1"/>
    <col min="58" max="58" width="5.140625" customWidth="1"/>
    <col min="59" max="59" width="20.5703125" customWidth="1"/>
    <col min="60" max="60" width="4.5703125" customWidth="1"/>
    <col min="61" max="61" width="6.140625" customWidth="1"/>
    <col min="62" max="62" width="11.28515625" customWidth="1"/>
    <col min="63" max="63" width="3.7109375" customWidth="1"/>
    <col min="64" max="64" width="6.140625" customWidth="1"/>
    <col min="65" max="65" width="18.7109375" bestFit="1" customWidth="1"/>
    <col min="66" max="66" width="5.5703125" bestFit="1" customWidth="1"/>
  </cols>
  <sheetData>
    <row r="1" spans="2:69" ht="17.25" customHeight="1" thickBot="1" x14ac:dyDescent="0.3"/>
    <row r="2" spans="2:69" s="6" customFormat="1" ht="38.25" customHeight="1" thickBot="1" x14ac:dyDescent="0.3">
      <c r="B2" s="34" t="s">
        <v>307</v>
      </c>
      <c r="C2" s="35"/>
      <c r="E2" s="34" t="s">
        <v>678</v>
      </c>
      <c r="F2" s="35"/>
      <c r="H2" s="34" t="s">
        <v>679</v>
      </c>
      <c r="I2" s="35"/>
      <c r="K2" s="34" t="s">
        <v>680</v>
      </c>
      <c r="L2" s="35"/>
      <c r="N2" s="34" t="s">
        <v>681</v>
      </c>
      <c r="O2" s="35"/>
      <c r="Q2" s="34" t="s">
        <v>7</v>
      </c>
      <c r="R2" s="35"/>
      <c r="T2" s="34" t="s">
        <v>3</v>
      </c>
      <c r="U2" s="35"/>
      <c r="W2" s="34" t="s">
        <v>291</v>
      </c>
      <c r="X2" s="35"/>
      <c r="Z2" s="34" t="s">
        <v>682</v>
      </c>
      <c r="AA2" s="35"/>
      <c r="AC2" s="34" t="s">
        <v>308</v>
      </c>
      <c r="AD2" s="35"/>
      <c r="AF2" s="34" t="s">
        <v>683</v>
      </c>
      <c r="AG2" s="35"/>
      <c r="AI2" s="34" t="s">
        <v>684</v>
      </c>
      <c r="AJ2" s="35"/>
      <c r="AL2" s="34" t="s">
        <v>685</v>
      </c>
      <c r="AM2" s="35"/>
      <c r="AO2" s="36" t="s">
        <v>686</v>
      </c>
      <c r="AP2" s="36"/>
      <c r="AR2" s="36" t="s">
        <v>367</v>
      </c>
      <c r="AS2" s="36"/>
      <c r="AU2" s="34" t="s">
        <v>687</v>
      </c>
      <c r="AV2" s="35"/>
      <c r="AX2" t="s">
        <v>423</v>
      </c>
      <c r="AY2" t="s">
        <v>322</v>
      </c>
      <c r="AZ2" s="17" t="s">
        <v>6</v>
      </c>
      <c r="BA2" s="34" t="s">
        <v>688</v>
      </c>
      <c r="BB2" s="35"/>
      <c r="BD2" s="34" t="s">
        <v>689</v>
      </c>
      <c r="BE2" s="35"/>
      <c r="BG2" s="34" t="s">
        <v>690</v>
      </c>
      <c r="BH2" s="35"/>
      <c r="BJ2" s="34" t="s">
        <v>1</v>
      </c>
      <c r="BK2" s="35"/>
      <c r="BM2" s="34" t="s">
        <v>691</v>
      </c>
      <c r="BN2" s="35"/>
      <c r="BQ2"/>
    </row>
    <row r="3" spans="2:69" x14ac:dyDescent="0.25">
      <c r="B3" t="s">
        <v>310</v>
      </c>
      <c r="C3" t="s">
        <v>309</v>
      </c>
      <c r="E3" t="s">
        <v>311</v>
      </c>
      <c r="F3" t="s">
        <v>311</v>
      </c>
      <c r="H3" t="s">
        <v>313</v>
      </c>
      <c r="I3" t="s">
        <v>312</v>
      </c>
      <c r="K3" t="s">
        <v>692</v>
      </c>
      <c r="L3" t="s">
        <v>17</v>
      </c>
      <c r="N3" t="s">
        <v>315</v>
      </c>
      <c r="O3" t="s">
        <v>314</v>
      </c>
      <c r="Q3" t="s">
        <v>10</v>
      </c>
      <c r="R3" t="s">
        <v>9</v>
      </c>
      <c r="T3" t="s">
        <v>693</v>
      </c>
      <c r="U3" t="s">
        <v>18</v>
      </c>
      <c r="W3" t="s">
        <v>694</v>
      </c>
      <c r="X3" t="s">
        <v>316</v>
      </c>
      <c r="Z3" t="s">
        <v>13</v>
      </c>
      <c r="AA3" t="s">
        <v>12</v>
      </c>
      <c r="AC3" t="s">
        <v>692</v>
      </c>
      <c r="AD3" t="s">
        <v>19</v>
      </c>
      <c r="AF3" t="s">
        <v>692</v>
      </c>
      <c r="AG3" t="s">
        <v>19</v>
      </c>
      <c r="AI3" t="s">
        <v>695</v>
      </c>
      <c r="AJ3" t="s">
        <v>317</v>
      </c>
      <c r="AL3" t="s">
        <v>676</v>
      </c>
      <c r="AM3" t="s">
        <v>11</v>
      </c>
      <c r="AO3" t="s">
        <v>672</v>
      </c>
      <c r="AR3" t="s">
        <v>368</v>
      </c>
      <c r="AU3" t="s">
        <v>696</v>
      </c>
      <c r="AV3" t="s">
        <v>318</v>
      </c>
      <c r="AX3" t="s">
        <v>425</v>
      </c>
      <c r="AY3" t="s">
        <v>322</v>
      </c>
      <c r="BA3" t="s">
        <v>697</v>
      </c>
      <c r="BB3" t="s">
        <v>14</v>
      </c>
      <c r="BD3" t="s">
        <v>698</v>
      </c>
      <c r="BE3" t="s">
        <v>319</v>
      </c>
      <c r="BG3" t="s">
        <v>320</v>
      </c>
      <c r="BH3" t="s">
        <v>320</v>
      </c>
      <c r="BJ3" t="s">
        <v>16</v>
      </c>
      <c r="BK3" t="s">
        <v>15</v>
      </c>
      <c r="BM3" t="s">
        <v>322</v>
      </c>
      <c r="BN3" t="s">
        <v>321</v>
      </c>
    </row>
    <row r="4" spans="2:69" x14ac:dyDescent="0.25">
      <c r="E4" t="s">
        <v>323</v>
      </c>
      <c r="F4" t="s">
        <v>323</v>
      </c>
      <c r="H4" t="s">
        <v>325</v>
      </c>
      <c r="I4" t="s">
        <v>324</v>
      </c>
      <c r="K4" t="s">
        <v>16</v>
      </c>
      <c r="L4" t="s">
        <v>15</v>
      </c>
      <c r="N4" t="s">
        <v>307</v>
      </c>
      <c r="O4" t="s">
        <v>326</v>
      </c>
      <c r="Q4" t="s">
        <v>21</v>
      </c>
      <c r="R4" t="s">
        <v>20</v>
      </c>
      <c r="T4" t="s">
        <v>699</v>
      </c>
      <c r="U4" t="s">
        <v>29</v>
      </c>
      <c r="W4" t="s">
        <v>328</v>
      </c>
      <c r="X4" t="s">
        <v>327</v>
      </c>
      <c r="Z4" t="s">
        <v>24</v>
      </c>
      <c r="AA4" t="s">
        <v>23</v>
      </c>
      <c r="AC4" t="s">
        <v>31</v>
      </c>
      <c r="AD4" t="s">
        <v>30</v>
      </c>
      <c r="AF4" t="s">
        <v>31</v>
      </c>
      <c r="AG4" t="s">
        <v>30</v>
      </c>
      <c r="AI4" t="s">
        <v>700</v>
      </c>
      <c r="AJ4" t="s">
        <v>329</v>
      </c>
      <c r="AL4" t="s">
        <v>701</v>
      </c>
      <c r="AM4" t="s">
        <v>22</v>
      </c>
      <c r="AO4" t="s">
        <v>673</v>
      </c>
      <c r="AR4" t="s">
        <v>369</v>
      </c>
      <c r="AU4" t="s">
        <v>203</v>
      </c>
      <c r="AV4" t="s">
        <v>330</v>
      </c>
      <c r="AX4" t="s">
        <v>426</v>
      </c>
      <c r="AY4" t="s">
        <v>322</v>
      </c>
      <c r="BA4" t="s">
        <v>26</v>
      </c>
      <c r="BB4" t="s">
        <v>25</v>
      </c>
      <c r="BD4" t="s">
        <v>702</v>
      </c>
      <c r="BE4" t="s">
        <v>331</v>
      </c>
      <c r="BG4" t="s">
        <v>703</v>
      </c>
      <c r="BH4" t="s">
        <v>332</v>
      </c>
      <c r="BJ4" t="s">
        <v>28</v>
      </c>
      <c r="BK4" t="s">
        <v>27</v>
      </c>
      <c r="BM4" t="s">
        <v>704</v>
      </c>
      <c r="BN4" t="s">
        <v>333</v>
      </c>
    </row>
    <row r="5" spans="2:69" x14ac:dyDescent="0.25">
      <c r="E5" t="s">
        <v>334</v>
      </c>
      <c r="F5" t="s">
        <v>334</v>
      </c>
      <c r="K5" t="s">
        <v>705</v>
      </c>
      <c r="L5" t="s">
        <v>38</v>
      </c>
      <c r="N5" t="s">
        <v>336</v>
      </c>
      <c r="O5" t="s">
        <v>335</v>
      </c>
      <c r="Q5" t="s">
        <v>33</v>
      </c>
      <c r="R5" t="s">
        <v>32</v>
      </c>
      <c r="T5" t="s">
        <v>706</v>
      </c>
      <c r="U5" t="s">
        <v>39</v>
      </c>
      <c r="W5" t="s">
        <v>338</v>
      </c>
      <c r="X5" t="s">
        <v>337</v>
      </c>
      <c r="Z5" t="s">
        <v>36</v>
      </c>
      <c r="AA5" t="s">
        <v>35</v>
      </c>
      <c r="AC5" t="s">
        <v>50</v>
      </c>
      <c r="AD5" t="s">
        <v>49</v>
      </c>
      <c r="AF5" t="s">
        <v>41</v>
      </c>
      <c r="AG5" t="s">
        <v>40</v>
      </c>
      <c r="AI5" t="s">
        <v>707</v>
      </c>
      <c r="AJ5" t="s">
        <v>339</v>
      </c>
      <c r="AL5" t="s">
        <v>677</v>
      </c>
      <c r="AM5" t="s">
        <v>34</v>
      </c>
      <c r="AO5" t="s">
        <v>674</v>
      </c>
      <c r="AR5" t="s">
        <v>370</v>
      </c>
      <c r="AU5" t="s">
        <v>708</v>
      </c>
      <c r="AV5" t="s">
        <v>340</v>
      </c>
      <c r="AX5" t="s">
        <v>427</v>
      </c>
      <c r="AY5" t="s">
        <v>352</v>
      </c>
      <c r="BA5" t="s">
        <v>709</v>
      </c>
      <c r="BB5" t="s">
        <v>37</v>
      </c>
      <c r="BD5" t="s">
        <v>710</v>
      </c>
      <c r="BE5" t="s">
        <v>337</v>
      </c>
      <c r="BG5" t="s">
        <v>342</v>
      </c>
      <c r="BH5" t="s">
        <v>341</v>
      </c>
      <c r="BM5" t="s">
        <v>711</v>
      </c>
      <c r="BN5" t="s">
        <v>343</v>
      </c>
    </row>
    <row r="6" spans="2:69" x14ac:dyDescent="0.25">
      <c r="E6" t="s">
        <v>344</v>
      </c>
      <c r="F6" t="s">
        <v>344</v>
      </c>
      <c r="K6" t="s">
        <v>712</v>
      </c>
      <c r="L6" t="s">
        <v>47</v>
      </c>
      <c r="Q6" t="s">
        <v>43</v>
      </c>
      <c r="R6" t="s">
        <v>42</v>
      </c>
      <c r="T6" t="s">
        <v>713</v>
      </c>
      <c r="U6" t="s">
        <v>48</v>
      </c>
      <c r="W6" t="s">
        <v>346</v>
      </c>
      <c r="X6" t="s">
        <v>345</v>
      </c>
      <c r="Z6" t="s">
        <v>45</v>
      </c>
      <c r="AA6" t="s">
        <v>44</v>
      </c>
      <c r="AC6" t="s">
        <v>58</v>
      </c>
      <c r="AD6" t="s">
        <v>57</v>
      </c>
      <c r="AF6" t="s">
        <v>50</v>
      </c>
      <c r="AG6" t="s">
        <v>49</v>
      </c>
      <c r="AI6" t="s">
        <v>348</v>
      </c>
      <c r="AJ6" t="s">
        <v>347</v>
      </c>
      <c r="AO6" t="s">
        <v>675</v>
      </c>
      <c r="AR6" t="s">
        <v>371</v>
      </c>
      <c r="AU6" t="s">
        <v>714</v>
      </c>
      <c r="AV6" t="s">
        <v>349</v>
      </c>
      <c r="AX6" t="s">
        <v>428</v>
      </c>
      <c r="AY6" t="s">
        <v>352</v>
      </c>
      <c r="BA6" t="s">
        <v>715</v>
      </c>
      <c r="BB6" t="s">
        <v>46</v>
      </c>
      <c r="BD6" t="s">
        <v>716</v>
      </c>
      <c r="BE6" t="s">
        <v>330</v>
      </c>
      <c r="BG6" t="s">
        <v>351</v>
      </c>
      <c r="BH6" t="s">
        <v>350</v>
      </c>
      <c r="BM6" t="s">
        <v>352</v>
      </c>
      <c r="BN6" t="s">
        <v>352</v>
      </c>
    </row>
    <row r="7" spans="2:69" x14ac:dyDescent="0.25">
      <c r="E7" t="s">
        <v>203</v>
      </c>
      <c r="F7" t="s">
        <v>330</v>
      </c>
      <c r="Q7" t="s">
        <v>52</v>
      </c>
      <c r="R7" t="s">
        <v>51</v>
      </c>
      <c r="T7" t="s">
        <v>717</v>
      </c>
      <c r="U7" t="s">
        <v>56</v>
      </c>
      <c r="Z7" t="s">
        <v>54</v>
      </c>
      <c r="AA7" t="s">
        <v>53</v>
      </c>
      <c r="AC7" t="s">
        <v>70</v>
      </c>
      <c r="AD7" t="s">
        <v>69</v>
      </c>
      <c r="AF7" t="s">
        <v>58</v>
      </c>
      <c r="AG7" t="s">
        <v>57</v>
      </c>
      <c r="AR7" t="s">
        <v>372</v>
      </c>
      <c r="AX7" t="s">
        <v>429</v>
      </c>
      <c r="AY7" t="s">
        <v>352</v>
      </c>
      <c r="BA7" t="s">
        <v>718</v>
      </c>
      <c r="BB7" t="s">
        <v>55</v>
      </c>
      <c r="BD7" t="s">
        <v>719</v>
      </c>
      <c r="BE7" t="s">
        <v>35</v>
      </c>
      <c r="BG7" t="s">
        <v>203</v>
      </c>
      <c r="BH7" t="s">
        <v>330</v>
      </c>
      <c r="BM7" t="s">
        <v>354</v>
      </c>
      <c r="BN7" t="s">
        <v>353</v>
      </c>
    </row>
    <row r="8" spans="2:69" x14ac:dyDescent="0.25">
      <c r="E8" t="s">
        <v>356</v>
      </c>
      <c r="F8" t="s">
        <v>355</v>
      </c>
      <c r="Q8" t="s">
        <v>60</v>
      </c>
      <c r="R8" t="s">
        <v>59</v>
      </c>
      <c r="T8" t="s">
        <v>720</v>
      </c>
      <c r="U8" t="s">
        <v>63</v>
      </c>
      <c r="AC8" t="s">
        <v>77</v>
      </c>
      <c r="AD8" t="s">
        <v>76</v>
      </c>
      <c r="AF8" t="s">
        <v>721</v>
      </c>
      <c r="AG8" t="s">
        <v>64</v>
      </c>
      <c r="AR8" t="s">
        <v>373</v>
      </c>
      <c r="AX8" t="s">
        <v>430</v>
      </c>
      <c r="AY8" t="s">
        <v>322</v>
      </c>
      <c r="BA8" t="s">
        <v>62</v>
      </c>
      <c r="BB8" t="s">
        <v>61</v>
      </c>
      <c r="BD8" t="s">
        <v>722</v>
      </c>
      <c r="BE8" t="s">
        <v>44</v>
      </c>
      <c r="BG8" t="s">
        <v>358</v>
      </c>
      <c r="BH8" t="s">
        <v>357</v>
      </c>
      <c r="BM8" t="s">
        <v>360</v>
      </c>
      <c r="BN8" t="s">
        <v>359</v>
      </c>
    </row>
    <row r="9" spans="2:69" x14ac:dyDescent="0.25">
      <c r="Q9" t="s">
        <v>66</v>
      </c>
      <c r="R9" t="s">
        <v>65</v>
      </c>
      <c r="T9" t="s">
        <v>723</v>
      </c>
      <c r="U9" t="s">
        <v>68</v>
      </c>
      <c r="AC9" t="s">
        <v>100</v>
      </c>
      <c r="AD9" t="s">
        <v>99</v>
      </c>
      <c r="AF9" t="s">
        <v>70</v>
      </c>
      <c r="AG9" t="s">
        <v>69</v>
      </c>
      <c r="AR9" t="s">
        <v>374</v>
      </c>
      <c r="AX9" t="s">
        <v>431</v>
      </c>
      <c r="AY9" t="s">
        <v>322</v>
      </c>
      <c r="BA9" t="s">
        <v>724</v>
      </c>
      <c r="BB9" t="s">
        <v>67</v>
      </c>
      <c r="BD9" t="s">
        <v>361</v>
      </c>
      <c r="BE9" t="s">
        <v>53</v>
      </c>
      <c r="BG9" t="s">
        <v>725</v>
      </c>
      <c r="BH9" t="s">
        <v>362</v>
      </c>
      <c r="BM9" t="s">
        <v>726</v>
      </c>
      <c r="BN9" t="s">
        <v>363</v>
      </c>
    </row>
    <row r="10" spans="2:69" x14ac:dyDescent="0.25">
      <c r="Q10" t="s">
        <v>72</v>
      </c>
      <c r="R10" t="s">
        <v>71</v>
      </c>
      <c r="T10" t="s">
        <v>727</v>
      </c>
      <c r="U10" t="s">
        <v>75</v>
      </c>
      <c r="AC10" t="s">
        <v>104</v>
      </c>
      <c r="AD10" t="s">
        <v>103</v>
      </c>
      <c r="AF10" t="s">
        <v>77</v>
      </c>
      <c r="AG10" t="s">
        <v>76</v>
      </c>
      <c r="AR10" t="s">
        <v>375</v>
      </c>
      <c r="AX10" t="s">
        <v>432</v>
      </c>
      <c r="AY10" t="s">
        <v>726</v>
      </c>
      <c r="BA10" t="s">
        <v>74</v>
      </c>
      <c r="BB10" t="s">
        <v>73</v>
      </c>
    </row>
    <row r="11" spans="2:69" x14ac:dyDescent="0.25">
      <c r="Q11" t="s">
        <v>79</v>
      </c>
      <c r="R11" t="s">
        <v>78</v>
      </c>
      <c r="T11" t="s">
        <v>728</v>
      </c>
      <c r="U11" t="s">
        <v>80</v>
      </c>
      <c r="AC11" t="s">
        <v>109</v>
      </c>
      <c r="AD11" t="s">
        <v>108</v>
      </c>
      <c r="AF11" t="s">
        <v>729</v>
      </c>
      <c r="AG11" t="s">
        <v>81</v>
      </c>
      <c r="AR11" t="s">
        <v>376</v>
      </c>
      <c r="AX11" t="s">
        <v>433</v>
      </c>
      <c r="AY11" t="s">
        <v>322</v>
      </c>
    </row>
    <row r="12" spans="2:69" x14ac:dyDescent="0.25">
      <c r="Q12" t="s">
        <v>83</v>
      </c>
      <c r="R12" t="s">
        <v>82</v>
      </c>
      <c r="T12" t="s">
        <v>730</v>
      </c>
      <c r="U12" t="s">
        <v>84</v>
      </c>
      <c r="AC12" t="s">
        <v>731</v>
      </c>
      <c r="AD12" t="s">
        <v>113</v>
      </c>
      <c r="AF12" t="s">
        <v>86</v>
      </c>
      <c r="AG12" t="s">
        <v>85</v>
      </c>
      <c r="AR12" t="s">
        <v>377</v>
      </c>
      <c r="AX12" t="s">
        <v>434</v>
      </c>
      <c r="AY12" t="s">
        <v>352</v>
      </c>
    </row>
    <row r="13" spans="2:69" x14ac:dyDescent="0.25">
      <c r="Q13" t="s">
        <v>88</v>
      </c>
      <c r="R13" t="s">
        <v>87</v>
      </c>
      <c r="T13" t="s">
        <v>732</v>
      </c>
      <c r="U13" t="s">
        <v>89</v>
      </c>
      <c r="AC13" t="s">
        <v>122</v>
      </c>
      <c r="AD13" t="s">
        <v>121</v>
      </c>
      <c r="AF13" t="s">
        <v>91</v>
      </c>
      <c r="AG13" t="s">
        <v>90</v>
      </c>
      <c r="AR13" t="s">
        <v>378</v>
      </c>
      <c r="AX13" t="s">
        <v>435</v>
      </c>
      <c r="AY13" t="s">
        <v>322</v>
      </c>
    </row>
    <row r="14" spans="2:69" x14ac:dyDescent="0.25">
      <c r="Q14" t="s">
        <v>93</v>
      </c>
      <c r="R14" t="s">
        <v>92</v>
      </c>
      <c r="T14" t="s">
        <v>733</v>
      </c>
      <c r="U14" t="s">
        <v>94</v>
      </c>
      <c r="AC14" t="s">
        <v>131</v>
      </c>
      <c r="AD14" t="s">
        <v>130</v>
      </c>
      <c r="AF14" t="s">
        <v>96</v>
      </c>
      <c r="AG14" t="s">
        <v>95</v>
      </c>
      <c r="AR14" t="s">
        <v>379</v>
      </c>
      <c r="AX14" t="s">
        <v>436</v>
      </c>
      <c r="AY14" t="s">
        <v>322</v>
      </c>
    </row>
    <row r="15" spans="2:69" x14ac:dyDescent="0.25">
      <c r="Q15" t="s">
        <v>734</v>
      </c>
      <c r="R15" t="s">
        <v>97</v>
      </c>
      <c r="T15" t="s">
        <v>735</v>
      </c>
      <c r="U15" t="s">
        <v>98</v>
      </c>
      <c r="AC15" t="s">
        <v>736</v>
      </c>
      <c r="AD15" t="s">
        <v>139</v>
      </c>
      <c r="AF15" t="s">
        <v>100</v>
      </c>
      <c r="AG15" t="s">
        <v>99</v>
      </c>
      <c r="AR15" t="s">
        <v>380</v>
      </c>
      <c r="AX15" t="s">
        <v>838</v>
      </c>
      <c r="AY15" t="s">
        <v>322</v>
      </c>
    </row>
    <row r="16" spans="2:69" x14ac:dyDescent="0.25">
      <c r="Q16" t="s">
        <v>737</v>
      </c>
      <c r="R16" t="s">
        <v>101</v>
      </c>
      <c r="T16" t="s">
        <v>738</v>
      </c>
      <c r="U16" t="s">
        <v>102</v>
      </c>
      <c r="AC16" t="s">
        <v>158</v>
      </c>
      <c r="AD16" t="s">
        <v>364</v>
      </c>
      <c r="AF16" t="s">
        <v>104</v>
      </c>
      <c r="AG16" t="s">
        <v>103</v>
      </c>
      <c r="AR16" t="s">
        <v>381</v>
      </c>
      <c r="AX16" t="s">
        <v>437</v>
      </c>
      <c r="AY16" t="s">
        <v>322</v>
      </c>
    </row>
    <row r="17" spans="17:51" x14ac:dyDescent="0.25">
      <c r="Q17" t="s">
        <v>106</v>
      </c>
      <c r="R17" t="s">
        <v>105</v>
      </c>
      <c r="T17" t="s">
        <v>739</v>
      </c>
      <c r="U17" t="s">
        <v>107</v>
      </c>
      <c r="AC17" t="s">
        <v>172</v>
      </c>
      <c r="AD17" t="s">
        <v>171</v>
      </c>
      <c r="AF17" t="s">
        <v>109</v>
      </c>
      <c r="AG17" t="s">
        <v>108</v>
      </c>
      <c r="AR17" t="s">
        <v>382</v>
      </c>
      <c r="AX17" t="s">
        <v>438</v>
      </c>
      <c r="AY17" t="s">
        <v>726</v>
      </c>
    </row>
    <row r="18" spans="17:51" x14ac:dyDescent="0.25">
      <c r="Q18" t="s">
        <v>111</v>
      </c>
      <c r="R18" t="s">
        <v>110</v>
      </c>
      <c r="T18" t="s">
        <v>740</v>
      </c>
      <c r="U18" t="s">
        <v>112</v>
      </c>
      <c r="AC18" t="s">
        <v>741</v>
      </c>
      <c r="AD18" t="s">
        <v>174</v>
      </c>
      <c r="AF18" t="s">
        <v>731</v>
      </c>
      <c r="AG18" t="s">
        <v>113</v>
      </c>
      <c r="AR18" t="s">
        <v>811</v>
      </c>
      <c r="AX18" t="s">
        <v>439</v>
      </c>
      <c r="AY18" t="s">
        <v>726</v>
      </c>
    </row>
    <row r="19" spans="17:51" x14ac:dyDescent="0.25">
      <c r="Q19" t="s">
        <v>115</v>
      </c>
      <c r="R19" t="s">
        <v>114</v>
      </c>
      <c r="T19" t="s">
        <v>742</v>
      </c>
      <c r="U19" t="s">
        <v>116</v>
      </c>
      <c r="AC19" t="s">
        <v>176</v>
      </c>
      <c r="AD19" t="s">
        <v>175</v>
      </c>
      <c r="AF19" t="s">
        <v>743</v>
      </c>
      <c r="AG19" t="s">
        <v>117</v>
      </c>
      <c r="AR19" t="s">
        <v>812</v>
      </c>
      <c r="AX19" t="s">
        <v>440</v>
      </c>
      <c r="AY19" t="s">
        <v>726</v>
      </c>
    </row>
    <row r="20" spans="17:51" x14ac:dyDescent="0.25">
      <c r="Q20" t="s">
        <v>119</v>
      </c>
      <c r="R20" t="s">
        <v>118</v>
      </c>
      <c r="T20" t="s">
        <v>744</v>
      </c>
      <c r="U20" t="s">
        <v>120</v>
      </c>
      <c r="AC20" t="s">
        <v>181</v>
      </c>
      <c r="AD20" t="s">
        <v>180</v>
      </c>
      <c r="AF20" t="s">
        <v>122</v>
      </c>
      <c r="AG20" t="s">
        <v>121</v>
      </c>
      <c r="AR20" t="s">
        <v>813</v>
      </c>
      <c r="AX20" t="s">
        <v>441</v>
      </c>
      <c r="AY20" t="s">
        <v>726</v>
      </c>
    </row>
    <row r="21" spans="17:51" x14ac:dyDescent="0.25">
      <c r="Q21" t="s">
        <v>124</v>
      </c>
      <c r="R21" t="s">
        <v>123</v>
      </c>
      <c r="T21" t="s">
        <v>745</v>
      </c>
      <c r="U21" t="s">
        <v>125</v>
      </c>
      <c r="AC21" t="s">
        <v>746</v>
      </c>
      <c r="AD21" t="s">
        <v>187</v>
      </c>
      <c r="AF21" t="s">
        <v>747</v>
      </c>
      <c r="AG21" t="s">
        <v>126</v>
      </c>
      <c r="AR21" t="s">
        <v>814</v>
      </c>
      <c r="AX21" t="s">
        <v>442</v>
      </c>
      <c r="AY21" t="s">
        <v>352</v>
      </c>
    </row>
    <row r="22" spans="17:51" x14ac:dyDescent="0.25">
      <c r="Q22" t="s">
        <v>128</v>
      </c>
      <c r="R22" t="s">
        <v>127</v>
      </c>
      <c r="T22" t="s">
        <v>748</v>
      </c>
      <c r="U22" t="s">
        <v>129</v>
      </c>
      <c r="AC22" t="s">
        <v>189</v>
      </c>
      <c r="AD22" t="s">
        <v>188</v>
      </c>
      <c r="AF22" t="s">
        <v>131</v>
      </c>
      <c r="AG22" t="s">
        <v>130</v>
      </c>
      <c r="AR22" t="s">
        <v>815</v>
      </c>
      <c r="AX22" t="s">
        <v>443</v>
      </c>
      <c r="AY22" t="s">
        <v>352</v>
      </c>
    </row>
    <row r="23" spans="17:51" x14ac:dyDescent="0.25">
      <c r="Q23" t="s">
        <v>133</v>
      </c>
      <c r="R23" t="s">
        <v>132</v>
      </c>
      <c r="T23" t="s">
        <v>749</v>
      </c>
      <c r="U23" t="s">
        <v>134</v>
      </c>
      <c r="AC23" t="s">
        <v>196</v>
      </c>
      <c r="AD23" t="s">
        <v>195</v>
      </c>
      <c r="AF23" t="s">
        <v>750</v>
      </c>
      <c r="AG23" t="s">
        <v>135</v>
      </c>
      <c r="AR23" t="s">
        <v>816</v>
      </c>
      <c r="AX23" t="s">
        <v>444</v>
      </c>
      <c r="AY23" t="s">
        <v>352</v>
      </c>
    </row>
    <row r="24" spans="17:51" x14ac:dyDescent="0.25">
      <c r="Q24" t="s">
        <v>137</v>
      </c>
      <c r="R24" t="s">
        <v>136</v>
      </c>
      <c r="T24" t="s">
        <v>751</v>
      </c>
      <c r="U24" t="s">
        <v>138</v>
      </c>
      <c r="AC24" t="s">
        <v>198</v>
      </c>
      <c r="AD24" t="s">
        <v>197</v>
      </c>
      <c r="AF24" t="s">
        <v>736</v>
      </c>
      <c r="AG24" t="s">
        <v>139</v>
      </c>
      <c r="AR24" t="s">
        <v>817</v>
      </c>
      <c r="AX24" t="s">
        <v>445</v>
      </c>
      <c r="AY24" t="s">
        <v>352</v>
      </c>
    </row>
    <row r="25" spans="17:51" x14ac:dyDescent="0.25">
      <c r="Q25" t="s">
        <v>141</v>
      </c>
      <c r="R25" t="s">
        <v>140</v>
      </c>
      <c r="T25" t="s">
        <v>752</v>
      </c>
      <c r="U25" t="s">
        <v>142</v>
      </c>
      <c r="AC25" t="s">
        <v>200</v>
      </c>
      <c r="AD25" t="s">
        <v>199</v>
      </c>
      <c r="AF25" t="s">
        <v>753</v>
      </c>
      <c r="AG25" t="s">
        <v>143</v>
      </c>
      <c r="AR25" t="s">
        <v>818</v>
      </c>
      <c r="AX25" t="s">
        <v>446</v>
      </c>
      <c r="AY25" t="s">
        <v>352</v>
      </c>
    </row>
    <row r="26" spans="17:51" x14ac:dyDescent="0.25">
      <c r="Q26" t="s">
        <v>145</v>
      </c>
      <c r="R26" t="s">
        <v>144</v>
      </c>
      <c r="T26" t="s">
        <v>754</v>
      </c>
      <c r="U26" t="s">
        <v>146</v>
      </c>
      <c r="AC26" t="s">
        <v>201</v>
      </c>
      <c r="AD26" t="s">
        <v>201</v>
      </c>
      <c r="AF26" t="s">
        <v>755</v>
      </c>
      <c r="AG26" t="s">
        <v>147</v>
      </c>
      <c r="AR26" t="s">
        <v>819</v>
      </c>
      <c r="AX26" t="s">
        <v>447</v>
      </c>
      <c r="AY26" t="s">
        <v>360</v>
      </c>
    </row>
    <row r="27" spans="17:51" x14ac:dyDescent="0.25">
      <c r="Q27" t="s">
        <v>149</v>
      </c>
      <c r="R27" t="s">
        <v>148</v>
      </c>
      <c r="AC27" t="s">
        <v>203</v>
      </c>
      <c r="AD27" t="s">
        <v>202</v>
      </c>
      <c r="AF27" t="s">
        <v>756</v>
      </c>
      <c r="AG27" t="s">
        <v>150</v>
      </c>
      <c r="AR27" t="s">
        <v>820</v>
      </c>
      <c r="AX27" t="s">
        <v>448</v>
      </c>
      <c r="AY27" t="s">
        <v>352</v>
      </c>
    </row>
    <row r="28" spans="17:51" x14ac:dyDescent="0.25">
      <c r="Q28" t="s">
        <v>152</v>
      </c>
      <c r="R28" t="s">
        <v>151</v>
      </c>
      <c r="AC28" t="s">
        <v>208</v>
      </c>
      <c r="AD28" t="s">
        <v>207</v>
      </c>
      <c r="AF28" t="s">
        <v>154</v>
      </c>
      <c r="AG28" t="s">
        <v>153</v>
      </c>
      <c r="AR28" t="s">
        <v>821</v>
      </c>
      <c r="AX28" t="s">
        <v>449</v>
      </c>
      <c r="AY28" t="s">
        <v>726</v>
      </c>
    </row>
    <row r="29" spans="17:51" x14ac:dyDescent="0.25">
      <c r="Q29" t="s">
        <v>156</v>
      </c>
      <c r="R29" t="s">
        <v>155</v>
      </c>
      <c r="AC29" t="s">
        <v>211</v>
      </c>
      <c r="AD29" t="s">
        <v>210</v>
      </c>
      <c r="AF29" t="s">
        <v>158</v>
      </c>
      <c r="AG29" t="s">
        <v>157</v>
      </c>
      <c r="AR29" t="s">
        <v>822</v>
      </c>
      <c r="AX29" t="s">
        <v>450</v>
      </c>
      <c r="AY29" t="s">
        <v>352</v>
      </c>
    </row>
    <row r="30" spans="17:51" x14ac:dyDescent="0.25">
      <c r="Q30" t="s">
        <v>160</v>
      </c>
      <c r="R30" t="s">
        <v>159</v>
      </c>
      <c r="AC30" t="s">
        <v>757</v>
      </c>
      <c r="AD30" t="s">
        <v>214</v>
      </c>
      <c r="AF30" t="s">
        <v>162</v>
      </c>
      <c r="AG30" t="s">
        <v>161</v>
      </c>
      <c r="AR30" t="s">
        <v>823</v>
      </c>
      <c r="AX30" t="s">
        <v>451</v>
      </c>
      <c r="AY30" t="s">
        <v>352</v>
      </c>
    </row>
    <row r="31" spans="17:51" x14ac:dyDescent="0.25">
      <c r="Q31" t="s">
        <v>164</v>
      </c>
      <c r="R31" t="s">
        <v>163</v>
      </c>
      <c r="AC31" t="s">
        <v>216</v>
      </c>
      <c r="AD31" t="s">
        <v>215</v>
      </c>
      <c r="AF31" t="s">
        <v>758</v>
      </c>
      <c r="AG31" t="s">
        <v>165</v>
      </c>
      <c r="AR31" t="s">
        <v>824</v>
      </c>
      <c r="AX31" t="s">
        <v>452</v>
      </c>
      <c r="AY31" t="s">
        <v>352</v>
      </c>
    </row>
    <row r="32" spans="17:51" x14ac:dyDescent="0.25">
      <c r="Q32" t="s">
        <v>167</v>
      </c>
      <c r="R32" t="s">
        <v>166</v>
      </c>
      <c r="AC32" t="s">
        <v>220</v>
      </c>
      <c r="AD32" t="s">
        <v>219</v>
      </c>
      <c r="AF32" t="s">
        <v>169</v>
      </c>
      <c r="AG32" t="s">
        <v>168</v>
      </c>
      <c r="AR32" t="s">
        <v>825</v>
      </c>
      <c r="AX32" t="s">
        <v>453</v>
      </c>
      <c r="AY32" t="s">
        <v>352</v>
      </c>
    </row>
    <row r="33" spans="17:51" x14ac:dyDescent="0.25">
      <c r="Q33" t="s">
        <v>759</v>
      </c>
      <c r="R33" t="s">
        <v>170</v>
      </c>
      <c r="AC33" t="s">
        <v>224</v>
      </c>
      <c r="AD33" t="s">
        <v>223</v>
      </c>
      <c r="AF33" t="s">
        <v>172</v>
      </c>
      <c r="AG33" t="s">
        <v>171</v>
      </c>
      <c r="AR33" t="s">
        <v>826</v>
      </c>
      <c r="AX33" t="s">
        <v>454</v>
      </c>
      <c r="AY33" t="s">
        <v>352</v>
      </c>
    </row>
    <row r="34" spans="17:51" x14ac:dyDescent="0.25">
      <c r="Q34" t="s">
        <v>760</v>
      </c>
      <c r="R34" t="s">
        <v>173</v>
      </c>
      <c r="AC34" t="s">
        <v>236</v>
      </c>
      <c r="AD34" t="s">
        <v>235</v>
      </c>
      <c r="AF34" t="s">
        <v>741</v>
      </c>
      <c r="AG34" t="s">
        <v>174</v>
      </c>
      <c r="AR34" t="s">
        <v>827</v>
      </c>
      <c r="AX34" t="s">
        <v>455</v>
      </c>
      <c r="AY34" t="s">
        <v>352</v>
      </c>
    </row>
    <row r="35" spans="17:51" x14ac:dyDescent="0.25">
      <c r="AC35" t="s">
        <v>241</v>
      </c>
      <c r="AD35" t="s">
        <v>240</v>
      </c>
      <c r="AF35" t="s">
        <v>176</v>
      </c>
      <c r="AG35" t="s">
        <v>175</v>
      </c>
      <c r="AR35" t="s">
        <v>828</v>
      </c>
      <c r="AX35" t="s">
        <v>456</v>
      </c>
      <c r="AY35" t="s">
        <v>360</v>
      </c>
    </row>
    <row r="36" spans="17:51" x14ac:dyDescent="0.25">
      <c r="AC36" t="s">
        <v>243</v>
      </c>
      <c r="AD36" t="s">
        <v>242</v>
      </c>
      <c r="AF36" t="s">
        <v>761</v>
      </c>
      <c r="AG36" t="s">
        <v>177</v>
      </c>
      <c r="AR36" t="s">
        <v>829</v>
      </c>
      <c r="AX36" t="s">
        <v>457</v>
      </c>
      <c r="AY36" t="s">
        <v>360</v>
      </c>
    </row>
    <row r="37" spans="17:51" x14ac:dyDescent="0.25">
      <c r="AC37" t="s">
        <v>245</v>
      </c>
      <c r="AD37" t="s">
        <v>244</v>
      </c>
      <c r="AF37" t="s">
        <v>762</v>
      </c>
      <c r="AG37" t="s">
        <v>178</v>
      </c>
      <c r="AR37" t="s">
        <v>383</v>
      </c>
      <c r="AX37" t="s">
        <v>458</v>
      </c>
      <c r="AY37" t="s">
        <v>352</v>
      </c>
    </row>
    <row r="38" spans="17:51" x14ac:dyDescent="0.25">
      <c r="AC38" t="s">
        <v>252</v>
      </c>
      <c r="AD38" t="s">
        <v>251</v>
      </c>
      <c r="AF38" t="s">
        <v>763</v>
      </c>
      <c r="AG38" t="s">
        <v>179</v>
      </c>
      <c r="AR38" t="s">
        <v>764</v>
      </c>
      <c r="AX38" t="s">
        <v>459</v>
      </c>
      <c r="AY38" t="s">
        <v>352</v>
      </c>
    </row>
    <row r="39" spans="17:51" x14ac:dyDescent="0.25">
      <c r="AC39" t="s">
        <v>254</v>
      </c>
      <c r="AD39" t="s">
        <v>253</v>
      </c>
      <c r="AF39" t="s">
        <v>181</v>
      </c>
      <c r="AG39" t="s">
        <v>180</v>
      </c>
      <c r="AR39" t="s">
        <v>765</v>
      </c>
      <c r="AX39" t="s">
        <v>460</v>
      </c>
      <c r="AY39" t="s">
        <v>352</v>
      </c>
    </row>
    <row r="40" spans="17:51" x14ac:dyDescent="0.25">
      <c r="AC40" t="s">
        <v>257</v>
      </c>
      <c r="AD40" t="s">
        <v>256</v>
      </c>
      <c r="AF40" t="s">
        <v>182</v>
      </c>
      <c r="AG40" t="s">
        <v>182</v>
      </c>
      <c r="AR40" t="s">
        <v>384</v>
      </c>
      <c r="AX40" t="s">
        <v>461</v>
      </c>
      <c r="AY40" t="s">
        <v>352</v>
      </c>
    </row>
    <row r="41" spans="17:51" x14ac:dyDescent="0.25">
      <c r="AC41" t="s">
        <v>259</v>
      </c>
      <c r="AD41" t="s">
        <v>258</v>
      </c>
      <c r="AF41" t="s">
        <v>183</v>
      </c>
      <c r="AG41" t="s">
        <v>183</v>
      </c>
      <c r="AR41" t="s">
        <v>385</v>
      </c>
      <c r="AX41" t="s">
        <v>462</v>
      </c>
      <c r="AY41" t="s">
        <v>360</v>
      </c>
    </row>
    <row r="42" spans="17:51" x14ac:dyDescent="0.25">
      <c r="AC42" t="s">
        <v>261</v>
      </c>
      <c r="AD42" t="s">
        <v>260</v>
      </c>
      <c r="AF42" t="s">
        <v>766</v>
      </c>
      <c r="AG42" t="s">
        <v>184</v>
      </c>
      <c r="AR42" t="s">
        <v>386</v>
      </c>
      <c r="AX42" t="s">
        <v>463</v>
      </c>
      <c r="AY42" t="s">
        <v>322</v>
      </c>
    </row>
    <row r="43" spans="17:51" x14ac:dyDescent="0.25">
      <c r="AC43" t="s">
        <v>263</v>
      </c>
      <c r="AD43" t="s">
        <v>262</v>
      </c>
      <c r="AF43" t="s">
        <v>186</v>
      </c>
      <c r="AG43" t="s">
        <v>185</v>
      </c>
      <c r="AR43" t="s">
        <v>387</v>
      </c>
      <c r="AX43" t="s">
        <v>464</v>
      </c>
      <c r="AY43" t="s">
        <v>352</v>
      </c>
    </row>
    <row r="44" spans="17:51" x14ac:dyDescent="0.25">
      <c r="AC44" t="s">
        <v>265</v>
      </c>
      <c r="AD44" t="s">
        <v>264</v>
      </c>
      <c r="AF44" t="s">
        <v>746</v>
      </c>
      <c r="AG44" t="s">
        <v>187</v>
      </c>
      <c r="AR44" t="s">
        <v>767</v>
      </c>
      <c r="AX44" t="s">
        <v>465</v>
      </c>
      <c r="AY44" t="s">
        <v>360</v>
      </c>
    </row>
    <row r="45" spans="17:51" x14ac:dyDescent="0.25">
      <c r="AC45" t="s">
        <v>267</v>
      </c>
      <c r="AD45" t="s">
        <v>266</v>
      </c>
      <c r="AF45" t="s">
        <v>189</v>
      </c>
      <c r="AG45" t="s">
        <v>188</v>
      </c>
      <c r="AR45" t="s">
        <v>388</v>
      </c>
      <c r="AX45" t="s">
        <v>466</v>
      </c>
      <c r="AY45" t="s">
        <v>360</v>
      </c>
    </row>
    <row r="46" spans="17:51" x14ac:dyDescent="0.25">
      <c r="AC46" t="s">
        <v>269</v>
      </c>
      <c r="AD46" t="s">
        <v>268</v>
      </c>
      <c r="AF46" t="s">
        <v>191</v>
      </c>
      <c r="AG46" t="s">
        <v>190</v>
      </c>
      <c r="AR46" t="s">
        <v>389</v>
      </c>
      <c r="AX46" t="s">
        <v>467</v>
      </c>
      <c r="AY46" t="s">
        <v>352</v>
      </c>
    </row>
    <row r="47" spans="17:51" x14ac:dyDescent="0.25">
      <c r="AC47" t="s">
        <v>273</v>
      </c>
      <c r="AD47" t="s">
        <v>272</v>
      </c>
      <c r="AF47" t="s">
        <v>768</v>
      </c>
      <c r="AG47" t="s">
        <v>192</v>
      </c>
      <c r="AR47" t="s">
        <v>390</v>
      </c>
      <c r="AX47" t="s">
        <v>468</v>
      </c>
      <c r="AY47" t="s">
        <v>352</v>
      </c>
    </row>
    <row r="48" spans="17:51" x14ac:dyDescent="0.25">
      <c r="AC48" t="s">
        <v>275</v>
      </c>
      <c r="AD48" t="s">
        <v>274</v>
      </c>
      <c r="AF48" t="s">
        <v>194</v>
      </c>
      <c r="AG48" t="s">
        <v>193</v>
      </c>
      <c r="AR48" t="s">
        <v>391</v>
      </c>
      <c r="AX48" t="s">
        <v>469</v>
      </c>
      <c r="AY48" t="s">
        <v>360</v>
      </c>
    </row>
    <row r="49" spans="29:51" x14ac:dyDescent="0.25">
      <c r="AC49" t="s">
        <v>769</v>
      </c>
      <c r="AD49" t="s">
        <v>276</v>
      </c>
      <c r="AF49" t="s">
        <v>196</v>
      </c>
      <c r="AG49" t="s">
        <v>195</v>
      </c>
      <c r="AR49" t="s">
        <v>392</v>
      </c>
      <c r="AX49" t="s">
        <v>470</v>
      </c>
      <c r="AY49" t="s">
        <v>352</v>
      </c>
    </row>
    <row r="50" spans="29:51" x14ac:dyDescent="0.25">
      <c r="AC50" t="s">
        <v>277</v>
      </c>
      <c r="AD50" t="s">
        <v>277</v>
      </c>
      <c r="AF50" t="s">
        <v>198</v>
      </c>
      <c r="AG50" t="s">
        <v>197</v>
      </c>
      <c r="AR50" t="s">
        <v>393</v>
      </c>
      <c r="AX50" t="s">
        <v>471</v>
      </c>
      <c r="AY50" t="s">
        <v>352</v>
      </c>
    </row>
    <row r="51" spans="29:51" x14ac:dyDescent="0.25">
      <c r="AF51" t="s">
        <v>200</v>
      </c>
      <c r="AG51" t="s">
        <v>199</v>
      </c>
      <c r="AR51" t="s">
        <v>394</v>
      </c>
      <c r="AX51" t="s">
        <v>472</v>
      </c>
      <c r="AY51" t="s">
        <v>352</v>
      </c>
    </row>
    <row r="52" spans="29:51" x14ac:dyDescent="0.25">
      <c r="AF52" t="s">
        <v>201</v>
      </c>
      <c r="AG52" t="s">
        <v>201</v>
      </c>
      <c r="AR52" t="s">
        <v>395</v>
      </c>
      <c r="AX52" t="s">
        <v>473</v>
      </c>
      <c r="AY52" t="s">
        <v>352</v>
      </c>
    </row>
    <row r="53" spans="29:51" x14ac:dyDescent="0.25">
      <c r="AF53" t="s">
        <v>203</v>
      </c>
      <c r="AG53" t="s">
        <v>202</v>
      </c>
      <c r="AR53" t="s">
        <v>396</v>
      </c>
      <c r="AX53" t="s">
        <v>474</v>
      </c>
      <c r="AY53" t="s">
        <v>360</v>
      </c>
    </row>
    <row r="54" spans="29:51" x14ac:dyDescent="0.25">
      <c r="AF54" t="s">
        <v>770</v>
      </c>
      <c r="AG54" t="s">
        <v>204</v>
      </c>
      <c r="AR54" t="s">
        <v>397</v>
      </c>
      <c r="AX54" t="s">
        <v>475</v>
      </c>
      <c r="AY54" t="s">
        <v>360</v>
      </c>
    </row>
    <row r="55" spans="29:51" x14ac:dyDescent="0.25">
      <c r="AF55" t="s">
        <v>206</v>
      </c>
      <c r="AG55" t="s">
        <v>205</v>
      </c>
      <c r="AR55" t="s">
        <v>398</v>
      </c>
      <c r="AX55" t="s">
        <v>476</v>
      </c>
      <c r="AY55" t="s">
        <v>352</v>
      </c>
    </row>
    <row r="56" spans="29:51" x14ac:dyDescent="0.25">
      <c r="AF56" t="s">
        <v>208</v>
      </c>
      <c r="AG56" t="s">
        <v>207</v>
      </c>
      <c r="AR56" t="s">
        <v>399</v>
      </c>
      <c r="AX56" t="s">
        <v>477</v>
      </c>
      <c r="AY56" t="s">
        <v>352</v>
      </c>
    </row>
    <row r="57" spans="29:51" x14ac:dyDescent="0.25">
      <c r="AF57" t="s">
        <v>771</v>
      </c>
      <c r="AG57" t="s">
        <v>209</v>
      </c>
      <c r="AR57" t="s">
        <v>400</v>
      </c>
      <c r="AX57" t="s">
        <v>478</v>
      </c>
      <c r="AY57" t="s">
        <v>352</v>
      </c>
    </row>
    <row r="58" spans="29:51" x14ac:dyDescent="0.25">
      <c r="AF58" t="s">
        <v>211</v>
      </c>
      <c r="AG58" t="s">
        <v>210</v>
      </c>
      <c r="AR58" t="s">
        <v>401</v>
      </c>
      <c r="AX58" t="s">
        <v>479</v>
      </c>
      <c r="AY58" t="s">
        <v>352</v>
      </c>
    </row>
    <row r="59" spans="29:51" x14ac:dyDescent="0.25">
      <c r="AF59" t="s">
        <v>213</v>
      </c>
      <c r="AG59" t="s">
        <v>212</v>
      </c>
      <c r="AR59" t="s">
        <v>402</v>
      </c>
      <c r="AX59" t="s">
        <v>480</v>
      </c>
      <c r="AY59" t="s">
        <v>352</v>
      </c>
    </row>
    <row r="60" spans="29:51" x14ac:dyDescent="0.25">
      <c r="AF60" t="s">
        <v>757</v>
      </c>
      <c r="AG60" t="s">
        <v>214</v>
      </c>
      <c r="AR60" t="s">
        <v>403</v>
      </c>
      <c r="AX60" t="s">
        <v>481</v>
      </c>
      <c r="AY60" t="s">
        <v>352</v>
      </c>
    </row>
    <row r="61" spans="29:51" x14ac:dyDescent="0.25">
      <c r="AF61" t="s">
        <v>216</v>
      </c>
      <c r="AG61" t="s">
        <v>215</v>
      </c>
      <c r="AR61" t="s">
        <v>404</v>
      </c>
      <c r="AX61" t="s">
        <v>482</v>
      </c>
      <c r="AY61" t="s">
        <v>352</v>
      </c>
    </row>
    <row r="62" spans="29:51" x14ac:dyDescent="0.25">
      <c r="AF62" t="s">
        <v>772</v>
      </c>
      <c r="AG62" t="s">
        <v>217</v>
      </c>
      <c r="AR62" t="s">
        <v>405</v>
      </c>
      <c r="AX62" t="s">
        <v>483</v>
      </c>
      <c r="AY62" t="s">
        <v>352</v>
      </c>
    </row>
    <row r="63" spans="29:51" x14ac:dyDescent="0.25">
      <c r="AF63" t="s">
        <v>773</v>
      </c>
      <c r="AG63" t="s">
        <v>218</v>
      </c>
      <c r="AR63" t="s">
        <v>406</v>
      </c>
      <c r="AX63" t="s">
        <v>484</v>
      </c>
      <c r="AY63" t="s">
        <v>352</v>
      </c>
    </row>
    <row r="64" spans="29:51" x14ac:dyDescent="0.25">
      <c r="AF64" t="s">
        <v>220</v>
      </c>
      <c r="AG64" t="s">
        <v>219</v>
      </c>
      <c r="AR64" t="s">
        <v>407</v>
      </c>
      <c r="AX64" t="s">
        <v>485</v>
      </c>
      <c r="AY64" t="s">
        <v>360</v>
      </c>
    </row>
    <row r="65" spans="32:51" x14ac:dyDescent="0.25">
      <c r="AF65" t="s">
        <v>222</v>
      </c>
      <c r="AG65" t="s">
        <v>221</v>
      </c>
      <c r="AR65" t="s">
        <v>408</v>
      </c>
      <c r="AX65" t="s">
        <v>486</v>
      </c>
      <c r="AY65" t="s">
        <v>352</v>
      </c>
    </row>
    <row r="66" spans="32:51" x14ac:dyDescent="0.25">
      <c r="AF66" t="s">
        <v>224</v>
      </c>
      <c r="AG66" t="s">
        <v>223</v>
      </c>
      <c r="AR66" t="s">
        <v>409</v>
      </c>
      <c r="AX66" t="s">
        <v>487</v>
      </c>
      <c r="AY66" t="s">
        <v>360</v>
      </c>
    </row>
    <row r="67" spans="32:51" x14ac:dyDescent="0.25">
      <c r="AF67" t="s">
        <v>226</v>
      </c>
      <c r="AG67" t="s">
        <v>225</v>
      </c>
      <c r="AR67" t="s">
        <v>410</v>
      </c>
      <c r="AX67" t="s">
        <v>488</v>
      </c>
      <c r="AY67" t="s">
        <v>352</v>
      </c>
    </row>
    <row r="68" spans="32:51" x14ac:dyDescent="0.25">
      <c r="AF68" t="s">
        <v>228</v>
      </c>
      <c r="AG68" t="s">
        <v>227</v>
      </c>
      <c r="AR68" t="s">
        <v>411</v>
      </c>
      <c r="AX68" t="s">
        <v>489</v>
      </c>
      <c r="AY68" t="s">
        <v>360</v>
      </c>
    </row>
    <row r="69" spans="32:51" x14ac:dyDescent="0.25">
      <c r="AF69" t="s">
        <v>230</v>
      </c>
      <c r="AG69" t="s">
        <v>229</v>
      </c>
      <c r="AR69" t="s">
        <v>412</v>
      </c>
      <c r="AX69" t="s">
        <v>490</v>
      </c>
      <c r="AY69" t="s">
        <v>360</v>
      </c>
    </row>
    <row r="70" spans="32:51" x14ac:dyDescent="0.25">
      <c r="AF70" t="s">
        <v>232</v>
      </c>
      <c r="AG70" t="s">
        <v>231</v>
      </c>
      <c r="AR70" t="s">
        <v>413</v>
      </c>
      <c r="AX70" t="s">
        <v>491</v>
      </c>
      <c r="AY70" t="s">
        <v>352</v>
      </c>
    </row>
    <row r="71" spans="32:51" x14ac:dyDescent="0.25">
      <c r="AF71" t="s">
        <v>234</v>
      </c>
      <c r="AG71" t="s">
        <v>233</v>
      </c>
      <c r="AR71" t="s">
        <v>414</v>
      </c>
      <c r="AX71" t="s">
        <v>492</v>
      </c>
      <c r="AY71" t="s">
        <v>360</v>
      </c>
    </row>
    <row r="72" spans="32:51" x14ac:dyDescent="0.25">
      <c r="AF72" t="s">
        <v>236</v>
      </c>
      <c r="AG72" t="s">
        <v>235</v>
      </c>
      <c r="AR72" t="s">
        <v>415</v>
      </c>
      <c r="AX72" t="s">
        <v>493</v>
      </c>
      <c r="AY72" t="s">
        <v>352</v>
      </c>
    </row>
    <row r="73" spans="32:51" x14ac:dyDescent="0.25">
      <c r="AF73" t="s">
        <v>238</v>
      </c>
      <c r="AG73" t="s">
        <v>237</v>
      </c>
      <c r="AR73" t="s">
        <v>416</v>
      </c>
      <c r="AX73" t="s">
        <v>494</v>
      </c>
      <c r="AY73" t="s">
        <v>352</v>
      </c>
    </row>
    <row r="74" spans="32:51" x14ac:dyDescent="0.25">
      <c r="AF74" t="s">
        <v>774</v>
      </c>
      <c r="AG74" t="s">
        <v>239</v>
      </c>
      <c r="AR74" t="s">
        <v>417</v>
      </c>
      <c r="AX74" t="s">
        <v>495</v>
      </c>
      <c r="AY74" t="s">
        <v>352</v>
      </c>
    </row>
    <row r="75" spans="32:51" x14ac:dyDescent="0.25">
      <c r="AF75" t="s">
        <v>241</v>
      </c>
      <c r="AG75" t="s">
        <v>240</v>
      </c>
      <c r="AR75" t="s">
        <v>418</v>
      </c>
      <c r="AX75" t="s">
        <v>496</v>
      </c>
      <c r="AY75" t="s">
        <v>352</v>
      </c>
    </row>
    <row r="76" spans="32:51" x14ac:dyDescent="0.25">
      <c r="AF76" t="s">
        <v>243</v>
      </c>
      <c r="AG76" t="s">
        <v>242</v>
      </c>
      <c r="AR76" t="s">
        <v>419</v>
      </c>
      <c r="AX76" t="s">
        <v>497</v>
      </c>
      <c r="AY76" t="s">
        <v>352</v>
      </c>
    </row>
    <row r="77" spans="32:51" x14ac:dyDescent="0.25">
      <c r="AF77" t="s">
        <v>245</v>
      </c>
      <c r="AG77" t="s">
        <v>244</v>
      </c>
      <c r="AR77" t="s">
        <v>420</v>
      </c>
      <c r="AX77" t="s">
        <v>498</v>
      </c>
      <c r="AY77" t="s">
        <v>352</v>
      </c>
    </row>
    <row r="78" spans="32:51" x14ac:dyDescent="0.25">
      <c r="AF78" t="s">
        <v>247</v>
      </c>
      <c r="AG78" t="s">
        <v>246</v>
      </c>
      <c r="AR78" t="s">
        <v>421</v>
      </c>
      <c r="AX78" t="s">
        <v>499</v>
      </c>
      <c r="AY78" t="s">
        <v>352</v>
      </c>
    </row>
    <row r="79" spans="32:51" x14ac:dyDescent="0.25">
      <c r="AF79" t="s">
        <v>249</v>
      </c>
      <c r="AG79" t="s">
        <v>248</v>
      </c>
      <c r="AR79" t="s">
        <v>422</v>
      </c>
      <c r="AX79" t="s">
        <v>500</v>
      </c>
      <c r="AY79" t="s">
        <v>352</v>
      </c>
    </row>
    <row r="80" spans="32:51" x14ac:dyDescent="0.25">
      <c r="AF80" t="s">
        <v>775</v>
      </c>
      <c r="AG80" t="s">
        <v>250</v>
      </c>
      <c r="AR80" t="s">
        <v>831</v>
      </c>
      <c r="AX80" t="s">
        <v>501</v>
      </c>
      <c r="AY80" t="s">
        <v>352</v>
      </c>
    </row>
    <row r="81" spans="32:51" x14ac:dyDescent="0.25">
      <c r="AF81" t="s">
        <v>252</v>
      </c>
      <c r="AG81" t="s">
        <v>251</v>
      </c>
      <c r="AR81" t="s">
        <v>832</v>
      </c>
      <c r="AX81" t="s">
        <v>502</v>
      </c>
      <c r="AY81" t="s">
        <v>352</v>
      </c>
    </row>
    <row r="82" spans="32:51" x14ac:dyDescent="0.25">
      <c r="AF82" t="s">
        <v>254</v>
      </c>
      <c r="AG82" t="s">
        <v>253</v>
      </c>
      <c r="AR82" t="s">
        <v>833</v>
      </c>
      <c r="AX82" t="s">
        <v>503</v>
      </c>
      <c r="AY82" t="s">
        <v>360</v>
      </c>
    </row>
    <row r="83" spans="32:51" x14ac:dyDescent="0.25">
      <c r="AF83" t="s">
        <v>776</v>
      </c>
      <c r="AG83" t="s">
        <v>255</v>
      </c>
      <c r="AR83" t="s">
        <v>837</v>
      </c>
      <c r="AX83" t="s">
        <v>504</v>
      </c>
      <c r="AY83" t="s">
        <v>360</v>
      </c>
    </row>
    <row r="84" spans="32:51" x14ac:dyDescent="0.25">
      <c r="AF84" t="s">
        <v>257</v>
      </c>
      <c r="AG84" t="s">
        <v>256</v>
      </c>
      <c r="AR84" t="s">
        <v>855</v>
      </c>
      <c r="AX84" t="s">
        <v>505</v>
      </c>
      <c r="AY84" t="s">
        <v>352</v>
      </c>
    </row>
    <row r="85" spans="32:51" x14ac:dyDescent="0.25">
      <c r="AF85" t="s">
        <v>259</v>
      </c>
      <c r="AG85" t="s">
        <v>258</v>
      </c>
      <c r="AX85" t="s">
        <v>506</v>
      </c>
      <c r="AY85" t="s">
        <v>352</v>
      </c>
    </row>
    <row r="86" spans="32:51" x14ac:dyDescent="0.25">
      <c r="AF86" t="s">
        <v>261</v>
      </c>
      <c r="AG86" t="s">
        <v>260</v>
      </c>
      <c r="AX86" t="s">
        <v>507</v>
      </c>
      <c r="AY86" t="s">
        <v>352</v>
      </c>
    </row>
    <row r="87" spans="32:51" x14ac:dyDescent="0.25">
      <c r="AF87" t="s">
        <v>263</v>
      </c>
      <c r="AG87" t="s">
        <v>262</v>
      </c>
      <c r="AX87" t="s">
        <v>508</v>
      </c>
      <c r="AY87" t="s">
        <v>352</v>
      </c>
    </row>
    <row r="88" spans="32:51" x14ac:dyDescent="0.25">
      <c r="AF88" t="s">
        <v>265</v>
      </c>
      <c r="AG88" t="s">
        <v>264</v>
      </c>
      <c r="AX88" t="s">
        <v>509</v>
      </c>
      <c r="AY88" t="s">
        <v>360</v>
      </c>
    </row>
    <row r="89" spans="32:51" x14ac:dyDescent="0.25">
      <c r="AF89" t="s">
        <v>267</v>
      </c>
      <c r="AG89" t="s">
        <v>266</v>
      </c>
      <c r="AX89" t="s">
        <v>510</v>
      </c>
      <c r="AY89" t="s">
        <v>352</v>
      </c>
    </row>
    <row r="90" spans="32:51" x14ac:dyDescent="0.25">
      <c r="AF90" t="s">
        <v>269</v>
      </c>
      <c r="AG90" t="s">
        <v>268</v>
      </c>
      <c r="AX90" t="s">
        <v>511</v>
      </c>
      <c r="AY90" t="s">
        <v>360</v>
      </c>
    </row>
    <row r="91" spans="32:51" x14ac:dyDescent="0.25">
      <c r="AF91" t="s">
        <v>271</v>
      </c>
      <c r="AG91" t="s">
        <v>270</v>
      </c>
      <c r="AX91" t="s">
        <v>512</v>
      </c>
      <c r="AY91" t="s">
        <v>352</v>
      </c>
    </row>
    <row r="92" spans="32:51" x14ac:dyDescent="0.25">
      <c r="AF92" t="s">
        <v>273</v>
      </c>
      <c r="AG92" t="s">
        <v>272</v>
      </c>
      <c r="AX92" t="s">
        <v>513</v>
      </c>
      <c r="AY92" t="s">
        <v>352</v>
      </c>
    </row>
    <row r="93" spans="32:51" x14ac:dyDescent="0.25">
      <c r="AF93" t="s">
        <v>275</v>
      </c>
      <c r="AG93" t="s">
        <v>274</v>
      </c>
      <c r="AX93" t="s">
        <v>514</v>
      </c>
      <c r="AY93" t="s">
        <v>322</v>
      </c>
    </row>
    <row r="94" spans="32:51" x14ac:dyDescent="0.25">
      <c r="AF94" t="s">
        <v>769</v>
      </c>
      <c r="AG94" t="s">
        <v>276</v>
      </c>
      <c r="AX94" t="s">
        <v>515</v>
      </c>
      <c r="AY94" t="s">
        <v>322</v>
      </c>
    </row>
    <row r="95" spans="32:51" x14ac:dyDescent="0.25">
      <c r="AF95" t="s">
        <v>277</v>
      </c>
      <c r="AG95" t="s">
        <v>277</v>
      </c>
      <c r="AX95" t="s">
        <v>836</v>
      </c>
      <c r="AY95" t="s">
        <v>322</v>
      </c>
    </row>
    <row r="96" spans="32:51" x14ac:dyDescent="0.25">
      <c r="AX96" t="s">
        <v>516</v>
      </c>
      <c r="AY96" t="s">
        <v>322</v>
      </c>
    </row>
    <row r="97" spans="50:51" x14ac:dyDescent="0.25">
      <c r="AX97" t="s">
        <v>517</v>
      </c>
      <c r="AY97" t="s">
        <v>322</v>
      </c>
    </row>
    <row r="98" spans="50:51" x14ac:dyDescent="0.25">
      <c r="AX98" t="s">
        <v>518</v>
      </c>
      <c r="AY98" t="s">
        <v>352</v>
      </c>
    </row>
    <row r="99" spans="50:51" x14ac:dyDescent="0.25">
      <c r="AX99" t="s">
        <v>519</v>
      </c>
      <c r="AY99" t="s">
        <v>322</v>
      </c>
    </row>
    <row r="100" spans="50:51" x14ac:dyDescent="0.25">
      <c r="AX100" t="s">
        <v>520</v>
      </c>
      <c r="AY100" t="s">
        <v>322</v>
      </c>
    </row>
    <row r="101" spans="50:51" x14ac:dyDescent="0.25">
      <c r="AX101" t="s">
        <v>521</v>
      </c>
      <c r="AY101" t="s">
        <v>352</v>
      </c>
    </row>
    <row r="102" spans="50:51" x14ac:dyDescent="0.25">
      <c r="AX102" t="s">
        <v>522</v>
      </c>
      <c r="AY102" t="s">
        <v>322</v>
      </c>
    </row>
    <row r="103" spans="50:51" x14ac:dyDescent="0.25">
      <c r="AX103" t="s">
        <v>523</v>
      </c>
      <c r="AY103" t="s">
        <v>726</v>
      </c>
    </row>
    <row r="104" spans="50:51" x14ac:dyDescent="0.25">
      <c r="AX104" t="s">
        <v>524</v>
      </c>
      <c r="AY104" t="s">
        <v>352</v>
      </c>
    </row>
    <row r="105" spans="50:51" x14ac:dyDescent="0.25">
      <c r="AX105" t="s">
        <v>525</v>
      </c>
      <c r="AY105" t="s">
        <v>726</v>
      </c>
    </row>
    <row r="106" spans="50:51" x14ac:dyDescent="0.25">
      <c r="AX106" t="s">
        <v>526</v>
      </c>
      <c r="AY106" t="s">
        <v>726</v>
      </c>
    </row>
    <row r="107" spans="50:51" x14ac:dyDescent="0.25">
      <c r="AX107" t="s">
        <v>527</v>
      </c>
      <c r="AY107" t="s">
        <v>726</v>
      </c>
    </row>
    <row r="108" spans="50:51" x14ac:dyDescent="0.25">
      <c r="AX108" t="s">
        <v>528</v>
      </c>
      <c r="AY108" t="s">
        <v>322</v>
      </c>
    </row>
    <row r="109" spans="50:51" x14ac:dyDescent="0.25">
      <c r="AX109" t="s">
        <v>529</v>
      </c>
      <c r="AY109" t="s">
        <v>726</v>
      </c>
    </row>
    <row r="110" spans="50:51" x14ac:dyDescent="0.25">
      <c r="AX110" t="s">
        <v>530</v>
      </c>
      <c r="AY110" t="s">
        <v>322</v>
      </c>
    </row>
    <row r="111" spans="50:51" x14ac:dyDescent="0.25">
      <c r="AX111" t="s">
        <v>531</v>
      </c>
      <c r="AY111" t="s">
        <v>726</v>
      </c>
    </row>
    <row r="112" spans="50:51" x14ac:dyDescent="0.25">
      <c r="AX112" t="s">
        <v>532</v>
      </c>
      <c r="AY112" t="s">
        <v>322</v>
      </c>
    </row>
    <row r="113" spans="50:51" x14ac:dyDescent="0.25">
      <c r="AX113" t="s">
        <v>533</v>
      </c>
      <c r="AY113" t="s">
        <v>322</v>
      </c>
    </row>
    <row r="114" spans="50:51" x14ac:dyDescent="0.25">
      <c r="AX114" t="s">
        <v>534</v>
      </c>
      <c r="AY114" t="s">
        <v>322</v>
      </c>
    </row>
    <row r="115" spans="50:51" x14ac:dyDescent="0.25">
      <c r="AX115" t="s">
        <v>535</v>
      </c>
      <c r="AY115" t="s">
        <v>322</v>
      </c>
    </row>
    <row r="116" spans="50:51" x14ac:dyDescent="0.25">
      <c r="AX116" t="s">
        <v>536</v>
      </c>
      <c r="AY116" t="s">
        <v>322</v>
      </c>
    </row>
    <row r="117" spans="50:51" x14ac:dyDescent="0.25">
      <c r="AX117" t="s">
        <v>537</v>
      </c>
      <c r="AY117" t="s">
        <v>322</v>
      </c>
    </row>
    <row r="118" spans="50:51" x14ac:dyDescent="0.25">
      <c r="AX118" t="s">
        <v>538</v>
      </c>
      <c r="AY118" t="s">
        <v>322</v>
      </c>
    </row>
    <row r="119" spans="50:51" x14ac:dyDescent="0.25">
      <c r="AX119" t="s">
        <v>539</v>
      </c>
      <c r="AY119" t="s">
        <v>322</v>
      </c>
    </row>
    <row r="120" spans="50:51" x14ac:dyDescent="0.25">
      <c r="AX120" t="s">
        <v>540</v>
      </c>
      <c r="AY120" t="s">
        <v>322</v>
      </c>
    </row>
    <row r="121" spans="50:51" x14ac:dyDescent="0.25">
      <c r="AX121" t="s">
        <v>541</v>
      </c>
      <c r="AY121" t="s">
        <v>322</v>
      </c>
    </row>
    <row r="122" spans="50:51" x14ac:dyDescent="0.25">
      <c r="AX122" t="s">
        <v>542</v>
      </c>
      <c r="AY122" t="s">
        <v>322</v>
      </c>
    </row>
    <row r="123" spans="50:51" x14ac:dyDescent="0.25">
      <c r="AX123" t="s">
        <v>543</v>
      </c>
      <c r="AY123" t="s">
        <v>726</v>
      </c>
    </row>
    <row r="124" spans="50:51" x14ac:dyDescent="0.25">
      <c r="AX124" t="s">
        <v>544</v>
      </c>
      <c r="AY124" t="s">
        <v>726</v>
      </c>
    </row>
    <row r="125" spans="50:51" x14ac:dyDescent="0.25">
      <c r="AX125" t="s">
        <v>545</v>
      </c>
      <c r="AY125" t="s">
        <v>726</v>
      </c>
    </row>
    <row r="126" spans="50:51" x14ac:dyDescent="0.25">
      <c r="AX126" t="s">
        <v>546</v>
      </c>
      <c r="AY126" t="s">
        <v>322</v>
      </c>
    </row>
    <row r="127" spans="50:51" x14ac:dyDescent="0.25">
      <c r="AX127" t="s">
        <v>547</v>
      </c>
      <c r="AY127" t="s">
        <v>322</v>
      </c>
    </row>
    <row r="128" spans="50:51" x14ac:dyDescent="0.25">
      <c r="AX128" t="s">
        <v>548</v>
      </c>
      <c r="AY128" t="s">
        <v>322</v>
      </c>
    </row>
    <row r="129" spans="50:51" x14ac:dyDescent="0.25">
      <c r="AX129" t="s">
        <v>549</v>
      </c>
      <c r="AY129" t="s">
        <v>322</v>
      </c>
    </row>
    <row r="130" spans="50:51" x14ac:dyDescent="0.25">
      <c r="AX130" t="s">
        <v>550</v>
      </c>
      <c r="AY130" t="s">
        <v>322</v>
      </c>
    </row>
    <row r="131" spans="50:51" x14ac:dyDescent="0.25">
      <c r="AX131" t="s">
        <v>551</v>
      </c>
      <c r="AY131" t="s">
        <v>322</v>
      </c>
    </row>
    <row r="132" spans="50:51" x14ac:dyDescent="0.25">
      <c r="AX132" t="s">
        <v>552</v>
      </c>
      <c r="AY132" t="s">
        <v>322</v>
      </c>
    </row>
    <row r="133" spans="50:51" x14ac:dyDescent="0.25">
      <c r="AX133" t="s">
        <v>553</v>
      </c>
      <c r="AY133" t="s">
        <v>322</v>
      </c>
    </row>
    <row r="134" spans="50:51" x14ac:dyDescent="0.25">
      <c r="AX134" t="s">
        <v>554</v>
      </c>
      <c r="AY134" t="s">
        <v>322</v>
      </c>
    </row>
    <row r="135" spans="50:51" x14ac:dyDescent="0.25">
      <c r="AX135" t="s">
        <v>555</v>
      </c>
      <c r="AY135" t="s">
        <v>322</v>
      </c>
    </row>
    <row r="136" spans="50:51" x14ac:dyDescent="0.25">
      <c r="AX136" t="s">
        <v>556</v>
      </c>
      <c r="AY136" t="s">
        <v>322</v>
      </c>
    </row>
    <row r="137" spans="50:51" x14ac:dyDescent="0.25">
      <c r="AX137" t="s">
        <v>557</v>
      </c>
      <c r="AY137" t="s">
        <v>322</v>
      </c>
    </row>
    <row r="138" spans="50:51" x14ac:dyDescent="0.25">
      <c r="AX138" t="s">
        <v>558</v>
      </c>
      <c r="AY138" t="s">
        <v>322</v>
      </c>
    </row>
    <row r="139" spans="50:51" x14ac:dyDescent="0.25">
      <c r="AX139" t="s">
        <v>559</v>
      </c>
      <c r="AY139" t="s">
        <v>726</v>
      </c>
    </row>
    <row r="140" spans="50:51" x14ac:dyDescent="0.25">
      <c r="AX140" t="s">
        <v>560</v>
      </c>
      <c r="AY140" t="s">
        <v>322</v>
      </c>
    </row>
    <row r="141" spans="50:51" x14ac:dyDescent="0.25">
      <c r="AX141" t="s">
        <v>561</v>
      </c>
      <c r="AY141" t="s">
        <v>322</v>
      </c>
    </row>
    <row r="142" spans="50:51" x14ac:dyDescent="0.25">
      <c r="AX142" t="s">
        <v>562</v>
      </c>
      <c r="AY142" t="s">
        <v>322</v>
      </c>
    </row>
    <row r="143" spans="50:51" x14ac:dyDescent="0.25">
      <c r="AX143" t="s">
        <v>563</v>
      </c>
      <c r="AY143" t="s">
        <v>322</v>
      </c>
    </row>
    <row r="144" spans="50:51" x14ac:dyDescent="0.25">
      <c r="AX144" t="s">
        <v>564</v>
      </c>
      <c r="AY144" t="s">
        <v>322</v>
      </c>
    </row>
    <row r="145" spans="50:51" x14ac:dyDescent="0.25">
      <c r="AX145" t="s">
        <v>565</v>
      </c>
      <c r="AY145" t="s">
        <v>322</v>
      </c>
    </row>
    <row r="146" spans="50:51" x14ac:dyDescent="0.25">
      <c r="AX146" t="s">
        <v>566</v>
      </c>
      <c r="AY146" t="s">
        <v>322</v>
      </c>
    </row>
    <row r="147" spans="50:51" x14ac:dyDescent="0.25">
      <c r="AX147" t="s">
        <v>567</v>
      </c>
      <c r="AY147" t="s">
        <v>322</v>
      </c>
    </row>
    <row r="148" spans="50:51" x14ac:dyDescent="0.25">
      <c r="AX148" t="s">
        <v>568</v>
      </c>
      <c r="AY148" t="s">
        <v>322</v>
      </c>
    </row>
    <row r="149" spans="50:51" x14ac:dyDescent="0.25">
      <c r="AX149" t="s">
        <v>569</v>
      </c>
      <c r="AY149" t="s">
        <v>322</v>
      </c>
    </row>
    <row r="150" spans="50:51" x14ac:dyDescent="0.25">
      <c r="AX150" t="s">
        <v>570</v>
      </c>
      <c r="AY150" t="s">
        <v>360</v>
      </c>
    </row>
    <row r="151" spans="50:51" x14ac:dyDescent="0.25">
      <c r="AX151" t="s">
        <v>571</v>
      </c>
      <c r="AY151" t="s">
        <v>322</v>
      </c>
    </row>
    <row r="152" spans="50:51" x14ac:dyDescent="0.25">
      <c r="AX152" t="s">
        <v>572</v>
      </c>
      <c r="AY152" t="s">
        <v>322</v>
      </c>
    </row>
    <row r="153" spans="50:51" x14ac:dyDescent="0.25">
      <c r="AX153" t="s">
        <v>573</v>
      </c>
      <c r="AY153" t="s">
        <v>322</v>
      </c>
    </row>
    <row r="154" spans="50:51" x14ac:dyDescent="0.25">
      <c r="AX154" t="s">
        <v>574</v>
      </c>
      <c r="AY154" t="s">
        <v>322</v>
      </c>
    </row>
    <row r="155" spans="50:51" x14ac:dyDescent="0.25">
      <c r="AX155" t="s">
        <v>575</v>
      </c>
      <c r="AY155" t="s">
        <v>322</v>
      </c>
    </row>
    <row r="156" spans="50:51" x14ac:dyDescent="0.25">
      <c r="AX156" t="s">
        <v>576</v>
      </c>
      <c r="AY156" t="s">
        <v>322</v>
      </c>
    </row>
    <row r="157" spans="50:51" x14ac:dyDescent="0.25">
      <c r="AX157" t="s">
        <v>577</v>
      </c>
      <c r="AY157" t="s">
        <v>360</v>
      </c>
    </row>
    <row r="158" spans="50:51" x14ac:dyDescent="0.25">
      <c r="AX158" t="s">
        <v>578</v>
      </c>
      <c r="AY158" t="s">
        <v>322</v>
      </c>
    </row>
    <row r="159" spans="50:51" x14ac:dyDescent="0.25">
      <c r="AX159" t="s">
        <v>579</v>
      </c>
      <c r="AY159" t="s">
        <v>322</v>
      </c>
    </row>
    <row r="160" spans="50:51" x14ac:dyDescent="0.25">
      <c r="AX160" t="s">
        <v>580</v>
      </c>
      <c r="AY160" t="s">
        <v>322</v>
      </c>
    </row>
    <row r="161" spans="50:51" x14ac:dyDescent="0.25">
      <c r="AX161" t="s">
        <v>581</v>
      </c>
      <c r="AY161" t="s">
        <v>322</v>
      </c>
    </row>
    <row r="162" spans="50:51" x14ac:dyDescent="0.25">
      <c r="AX162" t="s">
        <v>582</v>
      </c>
      <c r="AY162" t="s">
        <v>726</v>
      </c>
    </row>
    <row r="163" spans="50:51" x14ac:dyDescent="0.25">
      <c r="AX163" t="s">
        <v>583</v>
      </c>
      <c r="AY163" t="s">
        <v>322</v>
      </c>
    </row>
    <row r="164" spans="50:51" x14ac:dyDescent="0.25">
      <c r="AX164" t="s">
        <v>584</v>
      </c>
      <c r="AY164" t="s">
        <v>322</v>
      </c>
    </row>
    <row r="165" spans="50:51" x14ac:dyDescent="0.25">
      <c r="AX165" t="s">
        <v>585</v>
      </c>
      <c r="AY165" t="s">
        <v>322</v>
      </c>
    </row>
    <row r="166" spans="50:51" x14ac:dyDescent="0.25">
      <c r="AX166" t="s">
        <v>586</v>
      </c>
      <c r="AY166" t="s">
        <v>322</v>
      </c>
    </row>
    <row r="167" spans="50:51" x14ac:dyDescent="0.25">
      <c r="AX167" t="s">
        <v>587</v>
      </c>
      <c r="AY167" t="s">
        <v>322</v>
      </c>
    </row>
    <row r="168" spans="50:51" x14ac:dyDescent="0.25">
      <c r="AX168" t="s">
        <v>588</v>
      </c>
      <c r="AY168" t="s">
        <v>726</v>
      </c>
    </row>
    <row r="169" spans="50:51" x14ac:dyDescent="0.25">
      <c r="AX169" t="s">
        <v>589</v>
      </c>
      <c r="AY169" t="s">
        <v>322</v>
      </c>
    </row>
    <row r="170" spans="50:51" x14ac:dyDescent="0.25">
      <c r="AX170" t="s">
        <v>590</v>
      </c>
      <c r="AY170" t="s">
        <v>322</v>
      </c>
    </row>
    <row r="171" spans="50:51" x14ac:dyDescent="0.25">
      <c r="AX171" t="s">
        <v>591</v>
      </c>
      <c r="AY171" t="s">
        <v>322</v>
      </c>
    </row>
    <row r="172" spans="50:51" x14ac:dyDescent="0.25">
      <c r="AX172" t="s">
        <v>592</v>
      </c>
      <c r="AY172" t="s">
        <v>322</v>
      </c>
    </row>
    <row r="173" spans="50:51" x14ac:dyDescent="0.25">
      <c r="AX173" t="s">
        <v>593</v>
      </c>
      <c r="AY173" t="s">
        <v>322</v>
      </c>
    </row>
    <row r="174" spans="50:51" x14ac:dyDescent="0.25">
      <c r="AX174" t="s">
        <v>594</v>
      </c>
      <c r="AY174" t="s">
        <v>322</v>
      </c>
    </row>
    <row r="175" spans="50:51" x14ac:dyDescent="0.25">
      <c r="AX175" t="s">
        <v>595</v>
      </c>
      <c r="AY175" t="s">
        <v>322</v>
      </c>
    </row>
    <row r="176" spans="50:51" x14ac:dyDescent="0.25">
      <c r="AX176" t="s">
        <v>596</v>
      </c>
      <c r="AY176" t="s">
        <v>322</v>
      </c>
    </row>
    <row r="177" spans="50:51" x14ac:dyDescent="0.25">
      <c r="AX177" t="s">
        <v>597</v>
      </c>
      <c r="AY177" t="s">
        <v>322</v>
      </c>
    </row>
    <row r="178" spans="50:51" x14ac:dyDescent="0.25">
      <c r="AX178" t="s">
        <v>598</v>
      </c>
      <c r="AY178" t="s">
        <v>322</v>
      </c>
    </row>
    <row r="179" spans="50:51" x14ac:dyDescent="0.25">
      <c r="AX179" t="s">
        <v>599</v>
      </c>
      <c r="AY179" t="s">
        <v>322</v>
      </c>
    </row>
    <row r="180" spans="50:51" x14ac:dyDescent="0.25">
      <c r="AX180" t="s">
        <v>600</v>
      </c>
      <c r="AY180" t="s">
        <v>322</v>
      </c>
    </row>
    <row r="181" spans="50:51" x14ac:dyDescent="0.25">
      <c r="AX181" t="s">
        <v>601</v>
      </c>
      <c r="AY181" t="s">
        <v>322</v>
      </c>
    </row>
    <row r="182" spans="50:51" x14ac:dyDescent="0.25">
      <c r="AX182" t="s">
        <v>602</v>
      </c>
      <c r="AY182" t="s">
        <v>322</v>
      </c>
    </row>
    <row r="183" spans="50:51" x14ac:dyDescent="0.25">
      <c r="AX183" t="s">
        <v>603</v>
      </c>
      <c r="AY183" t="s">
        <v>322</v>
      </c>
    </row>
    <row r="184" spans="50:51" x14ac:dyDescent="0.25">
      <c r="AX184" t="s">
        <v>604</v>
      </c>
      <c r="AY184" t="s">
        <v>322</v>
      </c>
    </row>
    <row r="185" spans="50:51" x14ac:dyDescent="0.25">
      <c r="AX185" t="s">
        <v>605</v>
      </c>
      <c r="AY185" t="s">
        <v>322</v>
      </c>
    </row>
    <row r="186" spans="50:51" x14ac:dyDescent="0.25">
      <c r="AX186" t="s">
        <v>606</v>
      </c>
      <c r="AY186" t="s">
        <v>322</v>
      </c>
    </row>
    <row r="187" spans="50:51" x14ac:dyDescent="0.25">
      <c r="AX187" t="s">
        <v>607</v>
      </c>
      <c r="AY187" t="s">
        <v>322</v>
      </c>
    </row>
    <row r="188" spans="50:51" x14ac:dyDescent="0.25">
      <c r="AX188" t="s">
        <v>608</v>
      </c>
      <c r="AY188" t="s">
        <v>322</v>
      </c>
    </row>
    <row r="189" spans="50:51" x14ac:dyDescent="0.25">
      <c r="AX189" t="s">
        <v>609</v>
      </c>
      <c r="AY189" t="s">
        <v>322</v>
      </c>
    </row>
    <row r="190" spans="50:51" x14ac:dyDescent="0.25">
      <c r="AX190" t="s">
        <v>610</v>
      </c>
      <c r="AY190" t="s">
        <v>322</v>
      </c>
    </row>
    <row r="191" spans="50:51" x14ac:dyDescent="0.25">
      <c r="AX191" t="s">
        <v>611</v>
      </c>
      <c r="AY191" t="s">
        <v>322</v>
      </c>
    </row>
    <row r="192" spans="50:51" x14ac:dyDescent="0.25">
      <c r="AX192" t="s">
        <v>612</v>
      </c>
      <c r="AY192" t="s">
        <v>322</v>
      </c>
    </row>
    <row r="193" spans="50:51" x14ac:dyDescent="0.25">
      <c r="AX193" t="s">
        <v>613</v>
      </c>
      <c r="AY193" t="s">
        <v>726</v>
      </c>
    </row>
    <row r="194" spans="50:51" x14ac:dyDescent="0.25">
      <c r="AX194" t="s">
        <v>614</v>
      </c>
      <c r="AY194" t="s">
        <v>322</v>
      </c>
    </row>
    <row r="195" spans="50:51" x14ac:dyDescent="0.25">
      <c r="AX195" t="s">
        <v>615</v>
      </c>
      <c r="AY195" t="s">
        <v>322</v>
      </c>
    </row>
    <row r="196" spans="50:51" x14ac:dyDescent="0.25">
      <c r="AX196" t="s">
        <v>616</v>
      </c>
      <c r="AY196" t="s">
        <v>322</v>
      </c>
    </row>
    <row r="197" spans="50:51" x14ac:dyDescent="0.25">
      <c r="AX197" t="s">
        <v>617</v>
      </c>
      <c r="AY197" t="s">
        <v>726</v>
      </c>
    </row>
    <row r="198" spans="50:51" x14ac:dyDescent="0.25">
      <c r="AX198" t="s">
        <v>618</v>
      </c>
      <c r="AY198" t="s">
        <v>322</v>
      </c>
    </row>
    <row r="199" spans="50:51" x14ac:dyDescent="0.25">
      <c r="AX199" t="s">
        <v>619</v>
      </c>
      <c r="AY199" t="s">
        <v>322</v>
      </c>
    </row>
    <row r="200" spans="50:51" x14ac:dyDescent="0.25">
      <c r="AX200" t="s">
        <v>620</v>
      </c>
      <c r="AY200" t="s">
        <v>726</v>
      </c>
    </row>
    <row r="201" spans="50:51" x14ac:dyDescent="0.25">
      <c r="AX201" t="s">
        <v>621</v>
      </c>
      <c r="AY201" t="s">
        <v>322</v>
      </c>
    </row>
    <row r="202" spans="50:51" x14ac:dyDescent="0.25">
      <c r="AX202" t="s">
        <v>622</v>
      </c>
      <c r="AY202" t="s">
        <v>322</v>
      </c>
    </row>
    <row r="203" spans="50:51" x14ac:dyDescent="0.25">
      <c r="AX203" t="s">
        <v>623</v>
      </c>
      <c r="AY203" t="s">
        <v>360</v>
      </c>
    </row>
    <row r="204" spans="50:51" x14ac:dyDescent="0.25">
      <c r="AX204" t="s">
        <v>624</v>
      </c>
      <c r="AY204" t="s">
        <v>322</v>
      </c>
    </row>
    <row r="205" spans="50:51" x14ac:dyDescent="0.25">
      <c r="AX205" t="s">
        <v>625</v>
      </c>
      <c r="AY205" t="s">
        <v>322</v>
      </c>
    </row>
    <row r="206" spans="50:51" x14ac:dyDescent="0.25">
      <c r="AX206" t="s">
        <v>626</v>
      </c>
      <c r="AY206" t="s">
        <v>322</v>
      </c>
    </row>
    <row r="207" spans="50:51" x14ac:dyDescent="0.25">
      <c r="AX207" t="s">
        <v>627</v>
      </c>
      <c r="AY207" t="s">
        <v>322</v>
      </c>
    </row>
    <row r="208" spans="50:51" x14ac:dyDescent="0.25">
      <c r="AX208" t="s">
        <v>628</v>
      </c>
      <c r="AY208" t="s">
        <v>322</v>
      </c>
    </row>
    <row r="209" spans="50:51" x14ac:dyDescent="0.25">
      <c r="AX209" t="s">
        <v>629</v>
      </c>
      <c r="AY209" t="s">
        <v>322</v>
      </c>
    </row>
    <row r="210" spans="50:51" x14ac:dyDescent="0.25">
      <c r="AX210" t="s">
        <v>630</v>
      </c>
      <c r="AY210" t="s">
        <v>322</v>
      </c>
    </row>
    <row r="211" spans="50:51" x14ac:dyDescent="0.25">
      <c r="AX211" t="s">
        <v>631</v>
      </c>
      <c r="AY211" t="s">
        <v>726</v>
      </c>
    </row>
    <row r="212" spans="50:51" x14ac:dyDescent="0.25">
      <c r="AX212" t="s">
        <v>632</v>
      </c>
      <c r="AY212" t="s">
        <v>352</v>
      </c>
    </row>
    <row r="213" spans="50:51" x14ac:dyDescent="0.25">
      <c r="AX213" t="s">
        <v>633</v>
      </c>
      <c r="AY213" t="s">
        <v>322</v>
      </c>
    </row>
    <row r="214" spans="50:51" x14ac:dyDescent="0.25">
      <c r="AX214" t="s">
        <v>634</v>
      </c>
      <c r="AY214" t="s">
        <v>726</v>
      </c>
    </row>
    <row r="215" spans="50:51" x14ac:dyDescent="0.25">
      <c r="AX215" t="s">
        <v>635</v>
      </c>
      <c r="AY215" t="s">
        <v>322</v>
      </c>
    </row>
    <row r="216" spans="50:51" x14ac:dyDescent="0.25">
      <c r="AX216" t="s">
        <v>636</v>
      </c>
      <c r="AY216" t="s">
        <v>322</v>
      </c>
    </row>
    <row r="217" spans="50:51" x14ac:dyDescent="0.25">
      <c r="AX217" t="s">
        <v>637</v>
      </c>
      <c r="AY217" t="s">
        <v>322</v>
      </c>
    </row>
    <row r="218" spans="50:51" x14ac:dyDescent="0.25">
      <c r="AX218" t="s">
        <v>638</v>
      </c>
      <c r="AY218" t="s">
        <v>322</v>
      </c>
    </row>
    <row r="219" spans="50:51" x14ac:dyDescent="0.25">
      <c r="AX219" t="s">
        <v>639</v>
      </c>
      <c r="AY219" t="s">
        <v>322</v>
      </c>
    </row>
    <row r="220" spans="50:51" x14ac:dyDescent="0.25">
      <c r="AX220" t="s">
        <v>640</v>
      </c>
      <c r="AY220" t="s">
        <v>798</v>
      </c>
    </row>
    <row r="221" spans="50:51" x14ac:dyDescent="0.25">
      <c r="AX221" t="s">
        <v>641</v>
      </c>
      <c r="AY221" t="s">
        <v>726</v>
      </c>
    </row>
    <row r="222" spans="50:51" x14ac:dyDescent="0.25">
      <c r="AX222" t="s">
        <v>642</v>
      </c>
      <c r="AY222" t="s">
        <v>322</v>
      </c>
    </row>
    <row r="223" spans="50:51" x14ac:dyDescent="0.25">
      <c r="AX223" t="s">
        <v>643</v>
      </c>
      <c r="AY223" t="s">
        <v>322</v>
      </c>
    </row>
    <row r="224" spans="50:51" x14ac:dyDescent="0.25">
      <c r="AX224" t="s">
        <v>644</v>
      </c>
      <c r="AY224" t="s">
        <v>322</v>
      </c>
    </row>
    <row r="225" spans="50:51" x14ac:dyDescent="0.25">
      <c r="AX225" t="s">
        <v>645</v>
      </c>
      <c r="AY225" t="s">
        <v>322</v>
      </c>
    </row>
    <row r="226" spans="50:51" x14ac:dyDescent="0.25">
      <c r="AX226" t="s">
        <v>646</v>
      </c>
      <c r="AY226" t="s">
        <v>322</v>
      </c>
    </row>
    <row r="227" spans="50:51" x14ac:dyDescent="0.25">
      <c r="AX227" t="s">
        <v>647</v>
      </c>
      <c r="AY227" t="s">
        <v>360</v>
      </c>
    </row>
    <row r="228" spans="50:51" x14ac:dyDescent="0.25">
      <c r="AX228" t="s">
        <v>648</v>
      </c>
      <c r="AY228" t="s">
        <v>322</v>
      </c>
    </row>
    <row r="229" spans="50:51" x14ac:dyDescent="0.25">
      <c r="AX229" t="s">
        <v>649</v>
      </c>
      <c r="AY229" t="s">
        <v>322</v>
      </c>
    </row>
    <row r="230" spans="50:51" x14ac:dyDescent="0.25">
      <c r="AX230" t="s">
        <v>650</v>
      </c>
      <c r="AY230" t="s">
        <v>322</v>
      </c>
    </row>
    <row r="231" spans="50:51" x14ac:dyDescent="0.25">
      <c r="AX231" t="s">
        <v>651</v>
      </c>
      <c r="AY231" t="s">
        <v>322</v>
      </c>
    </row>
    <row r="232" spans="50:51" x14ac:dyDescent="0.25">
      <c r="AX232" t="s">
        <v>652</v>
      </c>
      <c r="AY232" t="s">
        <v>322</v>
      </c>
    </row>
    <row r="233" spans="50:51" x14ac:dyDescent="0.25">
      <c r="AX233" t="s">
        <v>653</v>
      </c>
      <c r="AY233" t="s">
        <v>322</v>
      </c>
    </row>
    <row r="234" spans="50:51" x14ac:dyDescent="0.25">
      <c r="AX234" t="s">
        <v>654</v>
      </c>
      <c r="AY234" t="s">
        <v>322</v>
      </c>
    </row>
    <row r="235" spans="50:51" x14ac:dyDescent="0.25">
      <c r="AX235" t="s">
        <v>655</v>
      </c>
      <c r="AY235" t="s">
        <v>322</v>
      </c>
    </row>
    <row r="236" spans="50:51" x14ac:dyDescent="0.25">
      <c r="AX236" t="s">
        <v>656</v>
      </c>
      <c r="AY236" t="s">
        <v>322</v>
      </c>
    </row>
    <row r="237" spans="50:51" x14ac:dyDescent="0.25">
      <c r="AX237" t="s">
        <v>657</v>
      </c>
      <c r="AY237" t="s">
        <v>322</v>
      </c>
    </row>
    <row r="238" spans="50:51" x14ac:dyDescent="0.25">
      <c r="AX238" t="s">
        <v>658</v>
      </c>
      <c r="AY238" t="s">
        <v>322</v>
      </c>
    </row>
    <row r="239" spans="50:51" x14ac:dyDescent="0.25">
      <c r="AX239" t="s">
        <v>659</v>
      </c>
      <c r="AY239" t="s">
        <v>322</v>
      </c>
    </row>
    <row r="240" spans="50:51" x14ac:dyDescent="0.25">
      <c r="AX240" t="s">
        <v>660</v>
      </c>
      <c r="AY240" t="s">
        <v>322</v>
      </c>
    </row>
    <row r="241" spans="50:51" x14ac:dyDescent="0.25">
      <c r="AX241" t="s">
        <v>661</v>
      </c>
      <c r="AY241" t="s">
        <v>322</v>
      </c>
    </row>
    <row r="242" spans="50:51" x14ac:dyDescent="0.25">
      <c r="AX242" t="s">
        <v>779</v>
      </c>
      <c r="AY242" t="s">
        <v>322</v>
      </c>
    </row>
    <row r="243" spans="50:51" x14ac:dyDescent="0.25">
      <c r="AX243" t="s">
        <v>662</v>
      </c>
      <c r="AY243" t="s">
        <v>354</v>
      </c>
    </row>
    <row r="244" spans="50:51" x14ac:dyDescent="0.25">
      <c r="AX244" t="s">
        <v>663</v>
      </c>
      <c r="AY244" t="s">
        <v>354</v>
      </c>
    </row>
    <row r="245" spans="50:51" x14ac:dyDescent="0.25">
      <c r="AX245" t="s">
        <v>830</v>
      </c>
      <c r="AY245" t="s">
        <v>352</v>
      </c>
    </row>
    <row r="246" spans="50:51" x14ac:dyDescent="0.25">
      <c r="AX246" t="s">
        <v>664</v>
      </c>
      <c r="AY246" t="s">
        <v>726</v>
      </c>
    </row>
    <row r="247" spans="50:51" x14ac:dyDescent="0.25">
      <c r="AX247" t="s">
        <v>665</v>
      </c>
      <c r="AY247" t="s">
        <v>726</v>
      </c>
    </row>
    <row r="248" spans="50:51" x14ac:dyDescent="0.25">
      <c r="AX248" t="s">
        <v>666</v>
      </c>
      <c r="AY248" t="s">
        <v>726</v>
      </c>
    </row>
    <row r="249" spans="50:51" x14ac:dyDescent="0.25">
      <c r="AX249" t="s">
        <v>667</v>
      </c>
      <c r="AY249" t="s">
        <v>726</v>
      </c>
    </row>
    <row r="250" spans="50:51" x14ac:dyDescent="0.25">
      <c r="AX250" t="s">
        <v>668</v>
      </c>
      <c r="AY250" t="s">
        <v>354</v>
      </c>
    </row>
    <row r="251" spans="50:51" x14ac:dyDescent="0.25">
      <c r="AX251" t="s">
        <v>669</v>
      </c>
      <c r="AY251" t="s">
        <v>354</v>
      </c>
    </row>
    <row r="252" spans="50:51" x14ac:dyDescent="0.25">
      <c r="AX252" t="s">
        <v>670</v>
      </c>
      <c r="AY252" t="s">
        <v>354</v>
      </c>
    </row>
    <row r="253" spans="50:51" x14ac:dyDescent="0.25">
      <c r="AX253" t="s">
        <v>671</v>
      </c>
      <c r="AY253" t="s">
        <v>354</v>
      </c>
    </row>
    <row r="254" spans="50:51" x14ac:dyDescent="0.25">
      <c r="AX254" t="s">
        <v>778</v>
      </c>
      <c r="AY254" t="s">
        <v>726</v>
      </c>
    </row>
    <row r="255" spans="50:51" x14ac:dyDescent="0.25">
      <c r="AX255" t="s">
        <v>777</v>
      </c>
      <c r="AY255" t="s">
        <v>352</v>
      </c>
    </row>
    <row r="256" spans="50:51" x14ac:dyDescent="0.25">
      <c r="AX256" s="18" t="s">
        <v>293</v>
      </c>
      <c r="AY256" s="18" t="s">
        <v>6</v>
      </c>
    </row>
    <row r="257" spans="50:51" x14ac:dyDescent="0.25">
      <c r="AX257" t="s">
        <v>424</v>
      </c>
      <c r="AY257" t="s">
        <v>352</v>
      </c>
    </row>
  </sheetData>
  <mergeCells count="21">
    <mergeCell ref="AI2:AJ2"/>
    <mergeCell ref="B2:C2"/>
    <mergeCell ref="E2:F2"/>
    <mergeCell ref="H2:I2"/>
    <mergeCell ref="K2:L2"/>
    <mergeCell ref="N2:O2"/>
    <mergeCell ref="Q2:R2"/>
    <mergeCell ref="T2:U2"/>
    <mergeCell ref="W2:X2"/>
    <mergeCell ref="Z2:AA2"/>
    <mergeCell ref="AC2:AD2"/>
    <mergeCell ref="AF2:AG2"/>
    <mergeCell ref="BM2:BN2"/>
    <mergeCell ref="AR2:AS2"/>
    <mergeCell ref="AO2:AP2"/>
    <mergeCell ref="AL2:AM2"/>
    <mergeCell ref="AU2:AV2"/>
    <mergeCell ref="BA2:BB2"/>
    <mergeCell ref="BD2:BE2"/>
    <mergeCell ref="BG2:BH2"/>
    <mergeCell ref="BJ2:BK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69</vt:i4>
      </vt:variant>
    </vt:vector>
  </HeadingPairs>
  <TitlesOfParts>
    <vt:vector size="74" baseType="lpstr">
      <vt:lpstr>Campanha</vt:lpstr>
      <vt:lpstr>ADP </vt:lpstr>
      <vt:lpstr>Placement</vt:lpstr>
      <vt:lpstr>Contadores</vt:lpstr>
      <vt:lpstr>All Codes</vt:lpstr>
      <vt:lpstr>cel_campaing</vt:lpstr>
      <vt:lpstr>cel_country</vt:lpstr>
      <vt:lpstr>cel_mediachannel</vt:lpstr>
      <vt:lpstr>cel_modelvariant</vt:lpstr>
      <vt:lpstr>cel_planningprinciple</vt:lpstr>
      <vt:lpstr>col_adname</vt:lpstr>
      <vt:lpstr>col_buyingmetric</vt:lpstr>
      <vt:lpstr>col_buyingtype</vt:lpstr>
      <vt:lpstr>col_device</vt:lpstr>
      <vt:lpstr>col_keyword</vt:lpstr>
      <vt:lpstr>col_localfreetype</vt:lpstr>
      <vt:lpstr>col_paidvsav</vt:lpstr>
      <vt:lpstr>col_placement</vt:lpstr>
      <vt:lpstr>col_segmentacao</vt:lpstr>
      <vt:lpstr>col_servidopor</vt:lpstr>
      <vt:lpstr>col_sitesection</vt:lpstr>
      <vt:lpstr>col_size</vt:lpstr>
      <vt:lpstr>col_submediachannel</vt:lpstr>
      <vt:lpstr>col_supplier</vt:lpstr>
      <vt:lpstr>col_trackingtype</vt:lpstr>
      <vt:lpstr>col_unitname</vt:lpstr>
      <vt:lpstr>col_url</vt:lpstr>
      <vt:lpstr>col_utmcampaign</vt:lpstr>
      <vt:lpstr>col_utmcontent</vt:lpstr>
      <vt:lpstr>col_utmmedium</vt:lpstr>
      <vt:lpstr>col_utmsource</vt:lpstr>
      <vt:lpstr>id_placement</vt:lpstr>
      <vt:lpstr>list_brand</vt:lpstr>
      <vt:lpstr>list_buyingmetric</vt:lpstr>
      <vt:lpstr>list_buyingtype</vt:lpstr>
      <vt:lpstr>list_campaigncategory</vt:lpstr>
      <vt:lpstr>list_campaigntype</vt:lpstr>
      <vt:lpstr>list_country</vt:lpstr>
      <vt:lpstr>list_date</vt:lpstr>
      <vt:lpstr>list_device</vt:lpstr>
      <vt:lpstr>list_mediachannel</vt:lpstr>
      <vt:lpstr>list_model</vt:lpstr>
      <vt:lpstr>list_modelvariant</vt:lpstr>
      <vt:lpstr>list_paidvsav</vt:lpstr>
      <vt:lpstr>list_planningprinciple</vt:lpstr>
      <vt:lpstr>list_servidopor</vt:lpstr>
      <vt:lpstr>list_site</vt:lpstr>
      <vt:lpstr>list_sitesection</vt:lpstr>
      <vt:lpstr>list_size</vt:lpstr>
      <vt:lpstr>list_strategyphase</vt:lpstr>
      <vt:lpstr>list_submediachannel</vt:lpstr>
      <vt:lpstr>list_trackingtype</vt:lpstr>
      <vt:lpstr>list_type</vt:lpstr>
      <vt:lpstr>list_unitname</vt:lpstr>
      <vt:lpstr>tab_buyingmetric</vt:lpstr>
      <vt:lpstr>tab_buyingtype</vt:lpstr>
      <vt:lpstr>tab_campaigncategory</vt:lpstr>
      <vt:lpstr>tab_campaigntype</vt:lpstr>
      <vt:lpstr>Placement!tab_contadores</vt:lpstr>
      <vt:lpstr>tab_contadores</vt:lpstr>
      <vt:lpstr>tab_country</vt:lpstr>
      <vt:lpstr>tab_date</vt:lpstr>
      <vt:lpstr>tab_device</vt:lpstr>
      <vt:lpstr>tab_mediachannel</vt:lpstr>
      <vt:lpstr>tab_model</vt:lpstr>
      <vt:lpstr>tab_modelvariant</vt:lpstr>
      <vt:lpstr>tab_paidvsav</vt:lpstr>
      <vt:lpstr>tab_planningprinciple</vt:lpstr>
      <vt:lpstr>tab_sitesection</vt:lpstr>
      <vt:lpstr>tab_strategyphase</vt:lpstr>
      <vt:lpstr>tab_submediachannel</vt:lpstr>
      <vt:lpstr>tab_trackingtype</vt:lpstr>
      <vt:lpstr>tab_type</vt:lpstr>
      <vt:lpstr>tab_unitname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Yoshio Nishisaki - Almap BBDO</dc:creator>
  <cp:lastModifiedBy>Yasmin Baffa Gomes - Almap BBDO</cp:lastModifiedBy>
  <cp:lastPrinted>2019-02-11T19:35:35Z</cp:lastPrinted>
  <dcterms:created xsi:type="dcterms:W3CDTF">2019-01-30T17:15:32Z</dcterms:created>
  <dcterms:modified xsi:type="dcterms:W3CDTF">2020-12-01T18:23:54Z</dcterms:modified>
</cp:coreProperties>
</file>