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53C880F6-EA56-4A6E-8EAF-5D48E0B98B2F}" xr6:coauthVersionLast="45" xr6:coauthVersionMax="45" xr10:uidLastSave="{00000000-0000-0000-0000-000000000000}"/>
  <bookViews>
    <workbookView xWindow="-120" yWindow="-120" windowWidth="20730" windowHeight="11160" tabRatio="702" xr2:uid="{00000000-000D-0000-FFFF-FFFF00000000}"/>
  </bookViews>
  <sheets>
    <sheet name="Valores por Campanha" sheetId="20" r:id="rId1"/>
    <sheet name="alp-empree-cons" sheetId="19" r:id="rId2"/>
    <sheet name="Resumo" sheetId="8" r:id="rId3"/>
  </sheets>
  <definedNames>
    <definedName name="_xlnm._FilterDatabase" localSheetId="2" hidden="1">Resumo!$A$18:$P$1051</definedName>
    <definedName name="adtype">#REF!</definedName>
    <definedName name="adtype_filtrada">Resumo!$F$19:$F$1048576</definedName>
    <definedName name="_xlnm.Extract" localSheetId="2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2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pivotCaches>
    <pivotCache cacheId="2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<sst xmlns="http://schemas.openxmlformats.org/spreadsheetml/2006/main" count="1438" uniqueCount="546">
  <si>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</si>
  <si>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</si>
  <si>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</si>
  <si>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</si>
  <si>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</si>
  <si>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</si>
  <si>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</si>
  <si>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</si>
  <si>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</si>
  <si>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</si>
  <si>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</si>
  <si>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</si>
  <si>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</si>
  <si>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</si>
  <si>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</si>
  <si>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</si>
  <si>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</si>
  <si>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</si>
  <si>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</si>
  <si>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</si>
  <si>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</si>
  <si>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</si>
  <si>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</si>
  <si>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</si>
  <si>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</si>
  <si>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</si>
  <si>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</si>
  <si>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</si>
  <si>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</si>
  <si>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</si>
  <si>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</si>
  <si>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Google Brasil</t>
  </si>
  <si>
    <t>Receita Almap</t>
  </si>
  <si>
    <t>In-Stream Video</t>
  </si>
  <si>
    <t>alp-cnn-varejo-awa</t>
  </si>
  <si>
    <t>CNN BR</t>
  </si>
  <si>
    <t>afilio.com.br</t>
  </si>
  <si>
    <t>alp:aquisicao:varejo:awa</t>
  </si>
  <si>
    <t>300x600 Default Web Ad</t>
  </si>
  <si>
    <t>300x250 Default Web Ad</t>
  </si>
  <si>
    <t>alp-cielo_movimenta_comunidade-marca-awa</t>
  </si>
  <si>
    <t>alp-nova_cielo-empreendedores-cons</t>
  </si>
  <si>
    <t>nova_cielo-empreendedores-verizon-zip-native-native-zip_bandeiras-pequeno_empreendedor</t>
  </si>
  <si>
    <t>271364833</t>
  </si>
  <si>
    <t>empreendedores-verizon-zip-native-native-1200x627-zip_bandeiras-pequeno_empreendedor-cpm</t>
  </si>
  <si>
    <t>465919416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</si>
  <si>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</si>
  <si>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</si>
  <si>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</si>
  <si>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</si>
  <si>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</si>
  <si>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cnn-varejo-cnn-marca-display-arroba_banner-cnn_cielo_superlink_lutadiaria-as_25</t>
  </si>
  <si>
    <t>275646244</t>
  </si>
  <si>
    <t>varejo-cnn-marca-display-arroba_banner-300x250-cnn_cielo_superlink_lutadiaria-as_25-cpm</t>
  </si>
  <si>
    <t>469898123</t>
  </si>
  <si>
    <t>cnn-varejo-cnn-marca-display-bilboard-cnn_cielo_superlink_lutadiaria-as_25</t>
  </si>
  <si>
    <t>275703789</t>
  </si>
  <si>
    <t>varejo-cnn-marca-display-bilboard-970x250-cnn_cielo_superlink_lutadiaria-as_25-cpm</t>
  </si>
  <si>
    <t>469899905</t>
  </si>
  <si>
    <t>cnn-varejo-cnn-marca-display-mobile-cnn_cielo_superlink_lutadiaria-as_25</t>
  </si>
  <si>
    <t>275348690</t>
  </si>
  <si>
    <t>varejo-cnn-marca-display-mobile-320x50-cnn_cielo_superlink_lutadiaria-as_25-cpm</t>
  </si>
  <si>
    <t>469899176</t>
  </si>
  <si>
    <t>alp-empreendedores-empreendedores-cons</t>
  </si>
  <si>
    <t>empreendedores-empreendedores-verizon-lio+-native-native-empreendedores_lio_mais-pequeno_empreendedor_look-a-like_ e_predictive audience</t>
  </si>
  <si>
    <t>276197453</t>
  </si>
  <si>
    <t>empreendedores-verizon-lio+-native-native-627x627-empreendedores_lio_mais-pequeno_empreendedor_look-a-like_ e_predictive audience-cpc</t>
  </si>
  <si>
    <t>470633105</t>
  </si>
  <si>
    <t>276197993</t>
  </si>
  <si>
    <t>empreendedores-verizon-lio+-native-native-1200x627-empreendedores_lio_mais-pequeno_empreendedor_look-a-like_ e_predictive audience-cpc</t>
  </si>
  <si>
    <t>470726775</t>
  </si>
  <si>
    <t>pegn-marca-globo-marca-display-carrossel-pegn_cielo_superlink_lutadiaria-as_25_interesses</t>
  </si>
  <si>
    <t>275645224</t>
  </si>
  <si>
    <t>marca-globo-marca-display-carrossel-400x300-pegn_cielo_superlink_lutadiaria-as_25_interesses-cpm</t>
  </si>
  <si>
    <t>469931074</t>
  </si>
  <si>
    <t>pegn-marca-globo-marca-display-maxiboard-pegn_cielo_superlink_lutadiaria-as_25_interesses</t>
  </si>
  <si>
    <t>275703516</t>
  </si>
  <si>
    <t>marca-globo-marca-display-maxiboard-970x150-pegn_cielo_superlink_lutadiaria-as_25_interesses-cpm</t>
  </si>
  <si>
    <t>469931347</t>
  </si>
  <si>
    <t>pegn-marca-globo-marca-display-medium_rectangle-pegn_cielo_superlink_lutadiaria-as_25_interesses</t>
  </si>
  <si>
    <t>275345177</t>
  </si>
  <si>
    <t>marca-globo-marca-display-medium_rectangle-300x250-pegn_cielo_superlink_lutadiaria-as_25_interesses-cpm</t>
  </si>
  <si>
    <t>469931029</t>
  </si>
  <si>
    <t>alp-superlink-marca-awa</t>
  </si>
  <si>
    <t>superlink-marca-verizon-superlink-display-halfpage-sl_luta_diaria-AS25_microempreendedor_medioempreendedor_negocios_vendasonline_donosdenegocios</t>
  </si>
  <si>
    <t>275210466</t>
  </si>
  <si>
    <t>marca-verizon-superlink-display-halfpage-300x600-sl_luta_diaria-AS25_microempreendedor_medioempreendedor_negocios_vendasonline_donosdenegocios-cpm</t>
  </si>
  <si>
    <t>469441062</t>
  </si>
  <si>
    <t>superlink-marca-verizon-superlink-display-leaderboard-sl_luta_diaria-AS25_microempreendedor_medioempreendedor_negocios_vendasonline_donosdenegocios</t>
  </si>
  <si>
    <t>274854527</t>
  </si>
  <si>
    <t>marca-verizon-superlink-display-leaderboard-728x90-sl_luta_diaria-AS25_microempreendedor_medioempreendedor_negocios_vendasonline_donosdenegocios-cpm</t>
  </si>
  <si>
    <t>469441077</t>
  </si>
  <si>
    <t>superlink-marca-verizon-superlink-display-medium_rectangle-sl_luta_diaria-AS25_microempreendedor_medioempreendedor_negocios_vendasonline_donosdenegocios</t>
  </si>
  <si>
    <t>275211564</t>
  </si>
  <si>
    <t>marca-verizon-superlink-display-medium_rectangle-300x250-sl_luta_diaria-AS25_microempreendedor_medioempreendedor_negocios_vendasonline_donosdenegocios-cpm</t>
  </si>
  <si>
    <t>469359629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</si>
  <si>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</si>
  <si>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</si>
  <si>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</si>
  <si>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marca-verizon-superlink-display-skyscraper-160x600-sl_luta_diaria-AS25_microempreendedor_medioempreendedor_negocios_vendasonline_donosdenegocios-cpm</t>
  </si>
  <si>
    <t>469372684</t>
  </si>
  <si>
    <t>superlink-marca-verizon-superlink-native-native-superlink-AS25_microempreendedor_medioempreendedor_negocios_vendasonline_donosdenegocios</t>
  </si>
  <si>
    <t>274736543</t>
  </si>
  <si>
    <t>marca-verizon-superlink-native-native-1200x627-superlink-AS25_microempreendedor_medioempreendedor_negocios_vendasonline_donosdenegocios-cpc</t>
  </si>
  <si>
    <t>469322328</t>
  </si>
  <si>
    <t>superlink-marca-verizon-superlink-native-native-superlink_coronavoucher-AS25_microempreendedor_medioempreendedor_negocios_vendasonline_donosdenegocios</t>
  </si>
  <si>
    <t>276183333</t>
  </si>
  <si>
    <t>marca-verizon-superlink-native-native-1200x627-superlink_coronavoucher-AS25_microempreendedor_medioempreendedor_negocios_vendasonline_donosdenegocios-cpc</t>
  </si>
  <si>
    <t>470337923</t>
  </si>
  <si>
    <t>empreendedores-empreendedores-dv360-flash-display-halfpage-empreendedores_flash_animada_bau-affinities_inmarket_empreendedores</t>
  </si>
  <si>
    <t>empreendedores-dv360-flash-display-halfpage-300x600-empreendedores_flash_animada_bau-affinities_inmarket_empreendedores-cpm</t>
  </si>
  <si>
    <t>277872206</t>
  </si>
  <si>
    <t>472323048</t>
  </si>
  <si>
    <t>empreendedores-empreendedores-dv360-flash-display-large_mobile_banner-empreendedores_flash_animada_bau-affinities_inmarket_empreendedores</t>
  </si>
  <si>
    <t>277872197</t>
  </si>
  <si>
    <t>empreendedores-dv360-flash-display-large_mobile_banner-320x100-empreendedores_flash_animada_bau-affinities_inmarket_empreendedores-cpm</t>
  </si>
  <si>
    <t>472323039</t>
  </si>
  <si>
    <t>278068147</t>
  </si>
  <si>
    <t>472261692</t>
  </si>
  <si>
    <t>empreendedores-empreendedores-dv360-flash-display-large_rectangle-empreendedores_flash_animada_bau-affinities_inmarket_empreendedores</t>
  </si>
  <si>
    <t>277872191</t>
  </si>
  <si>
    <t>empreendedores-dv360-flash-display-large_rectangle-336x280-empreendedores_flash_animada_bau-affinities_inmarket_empreendedores-cpm</t>
  </si>
  <si>
    <t>472323033</t>
  </si>
  <si>
    <t>278068135</t>
  </si>
  <si>
    <t>472261680</t>
  </si>
  <si>
    <t>empreendedores-empreendedores-dv360-flash-display-leaderboard-empreendedores_flash_animada_bau-affinities_inmarket_empreendedores</t>
  </si>
  <si>
    <t>277872200</t>
  </si>
  <si>
    <t>empreendedores-dv360-flash-display-leaderboard-728x90-empreendedores_flash_animada_bau-affinities_inmarket_empreendedores-cpm</t>
  </si>
  <si>
    <t>472323042</t>
  </si>
  <si>
    <t>empreendedores-empreendedores-dv360-flash-display-medium_rectangle-empreendedores_flash_animada_bau-affinities_inmarket_empreendedores</t>
  </si>
  <si>
    <t>277872203</t>
  </si>
  <si>
    <t>empreendedores-dv360-flash-display-medium_rectangle-300x250-empreendedores_flash_animada_bau-affinities_inmarket_empreendedores-cpm</t>
  </si>
  <si>
    <t>472323045</t>
  </si>
  <si>
    <t>278068153</t>
  </si>
  <si>
    <t>472261698</t>
  </si>
  <si>
    <t>empreendedores-empreendedores-dv360-flash-display-mobile_leaderboard-empreendedores_flash_animada_bau-affinities_inmarket_empreendedores</t>
  </si>
  <si>
    <t>277872194</t>
  </si>
  <si>
    <t>empreendedores-dv360-flash-display-mobile_leaderboard-320x50-empreendedores_flash_animada_bau-affinities_inmarket_empreendedores-cpm</t>
  </si>
  <si>
    <t>472323036</t>
  </si>
  <si>
    <t>278068144</t>
  </si>
  <si>
    <t>472261689</t>
  </si>
  <si>
    <t>empreendedores-empreendedores-dv360-flash-display-small_rectangle-empreendedores_flash_animada_bau-affinities_inmarket_empreendedores</t>
  </si>
  <si>
    <t>277872188</t>
  </si>
  <si>
    <t>empreendedores-dv360-flash-display-small_rectangle-180x150-empreendedores_flash_animada_bau-affinities_inmarket_empreendedores-cpm</t>
  </si>
  <si>
    <t>472323030</t>
  </si>
  <si>
    <t>empreendedores-empreendedores-dv360-flash-display-wide_skyscraper-empreendedores_flash_animada_bau-affinities_inmarket_empreendedores</t>
  </si>
  <si>
    <t>277872185</t>
  </si>
  <si>
    <t>empreendedores-dv360-flash-display-wide_skyscraper-160x600-empreendedores_flash_animada_bau-affinities_inmarket_empreendedores-cpm</t>
  </si>
  <si>
    <t>472323027</t>
  </si>
  <si>
    <t>empreendedores-empreendedores-dv360-zip-display-halfpage-empreendedores_zip_animada_bau-affinities_inmarket_empreendedores</t>
  </si>
  <si>
    <t>277872254</t>
  </si>
  <si>
    <t>empreendedores-dv360-zip-display-halfpage-300x600-empreendedores_zip_animada_bau-affinities_inmarket_empreendedores-cpm</t>
  </si>
  <si>
    <t>472325196</t>
  </si>
  <si>
    <t>278044510</t>
  </si>
  <si>
    <t>472151899</t>
  </si>
  <si>
    <t>empreendedores-empreendedores-dv360-zip-display-large_mobile_banner-empreendedores_zip_animada_bau-affinities_inmarket_empreendedores</t>
  </si>
  <si>
    <t>277872236</t>
  </si>
  <si>
    <t>empreendedores-dv360-zip-display-large_mobile_banner-320x100-empreendedores_zip_animada_bau-affinities_inmarket_empreendedores-cpm</t>
  </si>
  <si>
    <t>472323078</t>
  </si>
  <si>
    <t>278044501</t>
  </si>
  <si>
    <t>472151890</t>
  </si>
  <si>
    <t>empreendedores-empreendedores-dv360-zip-display-large_rectangle-empreendedores_zip_animada_bau-affinities_inmarket_empreendedores</t>
  </si>
  <si>
    <t>277872212</t>
  </si>
  <si>
    <t>empreendedores-dv360-zip-display-large_rectangle-336x280-empreendedores_zip_animada_bau-affinities_inmarket_empreendedores-cpm</t>
  </si>
  <si>
    <t>472323054</t>
  </si>
  <si>
    <t>empreendedores-empreendedores-dv360-zip-display-leaderboard-empreendedores_zip_animada_bau-affinities_inmarket_empreendedores</t>
  </si>
  <si>
    <t>278044504</t>
  </si>
  <si>
    <t>empreendedores-dv360-zip-display-leaderboard-728x90-empreendedores_zip_animada_bau-affinities_inmarket_empreendedores-cpm</t>
  </si>
  <si>
    <t>472151893</t>
  </si>
  <si>
    <t>empreendedores-empreendedores-dv360-zip-display-medium_rectangle-empreendedores_zip_animada_bau-affinities_inmarket_empreendedores</t>
  </si>
  <si>
    <t>277872248</t>
  </si>
  <si>
    <t>empreendedores-dv360-zip-display-medium_rectangle-300x250-empreendedores_zip_animada_bau-affinities_inmarket_empreendedores-cpm</t>
  </si>
  <si>
    <t>472325190</t>
  </si>
  <si>
    <t>278044507</t>
  </si>
  <si>
    <t>472151896</t>
  </si>
  <si>
    <t>empreendedores-empreendedores-dv360-zip-display-mobile_leaderboard-empreendedores_zip_animada_bau-affinities_inmarket_empreendedores</t>
  </si>
  <si>
    <t>277872230</t>
  </si>
  <si>
    <t>empreendedores-dv360-zip-display-mobile_leaderboard-320x50-empreendedores_zip_animada_bau-affinities_inmarket_empreendedores-cpm</t>
  </si>
  <si>
    <t>472323072</t>
  </si>
  <si>
    <t>278044498</t>
  </si>
  <si>
    <t>472151887</t>
  </si>
  <si>
    <t>empreendedores-empreendedores-dv360-zip-display-small_rectangle-empreendedores_zip_animada_bau-affinities_inmarket_empreendedores</t>
  </si>
  <si>
    <t>278044495</t>
  </si>
  <si>
    <t>empreendedores-dv360-zip-display-small_rectangle-180x150-empreendedores_zip_animada_bau-affinities_inmarket_empreendedores-cpm</t>
  </si>
  <si>
    <t>472151884</t>
  </si>
  <si>
    <t>empreendedores-empreendedores-dv360-zip-display-wide_skyscraper-empreendedores_zip_animada_bau-affinities_inmarket_empreendedores</t>
  </si>
  <si>
    <t>empreendedores-dv360-zip-display-wide_skyscraper-160x600-empreendedores_zip_animada_bau-affinities_inmarket_empreendedores-cpm</t>
  </si>
  <si>
    <t>empreendedores-empreendedores-verizon-flash-display-halfpage-empreendedores_flash_animada_bau-pequeno_empreendedor_look-a-like_ e_predictive audience</t>
  </si>
  <si>
    <t>278044528</t>
  </si>
  <si>
    <t>empreendedores-verizon-flash-display-halfpage-300x600-empreendedores_flash_animada_bau-pequeno_empreendedor_look-a-like_ e_predictive audience-cpm</t>
  </si>
  <si>
    <t>472151917</t>
  </si>
  <si>
    <t>empreendedores-empreendedores-verizon-flash-display-mobile_leaderboard-empreendedores_flash_animada_bau-pequeno_empreendedor_look-a-like_ e_predictive audience</t>
  </si>
  <si>
    <t>278044531</t>
  </si>
  <si>
    <t>empreendedores-verizon-flash-display-mobile_leaderboard-320x50-empreendedores_flash_animada_bau-pequeno_empreendedor_look-a-like_ e_predictive audience-cpm</t>
  </si>
  <si>
    <t>472165721</t>
  </si>
  <si>
    <t>empreendedores-empreendedores-verizon-flash-display-wide_skyscraper-empreendedores_flash_animada_bau-pequeno_empreendedor_look-a-like_ e_predictive audience</t>
  </si>
  <si>
    <t>278044525</t>
  </si>
  <si>
    <t>empreendedores-verizon-flash-display-wide_skyscraper-160x600-empreendedores_flash_animada_bau-pequeno_empreendedor_look-a-like_ e_predictive audience-cpm</t>
  </si>
  <si>
    <t>472151914</t>
  </si>
  <si>
    <t>empreendedores-empreendedores-verizon-zip-display-halfpage-empreendedores_zip_animada_bau-pequeno_empreendedor_look-a-like_ e_predictive audience</t>
  </si>
  <si>
    <t>278044519</t>
  </si>
  <si>
    <t>empreendedores-verizon-zip-display-halfpage-300x600-empreendedores_zip_animada_bau-pequeno_empreendedor_look-a-like_ e_predictive audience-cpm</t>
  </si>
  <si>
    <t>472151908</t>
  </si>
  <si>
    <t>empreendedores-empreendedores-verizon-zip-display-leaderboard-empreendedores_zip_animada_bau-pequeno_empreendedor_look-a-like_ e_predictive audience</t>
  </si>
  <si>
    <t>278044513</t>
  </si>
  <si>
    <t>empreendedores-verizon-zip-display-leaderboard-728x90-empreendedores_zip_animada_bau-pequeno_empreendedor_look-a-like_ e_predictive audience-cpm</t>
  </si>
  <si>
    <t>472151902</t>
  </si>
  <si>
    <t>empreendedores-empreendedores-verizon-zip-display-mobile_leaderboard-empreendedores_zip_animada_bau-pequeno_empreendedor_look-a-like_ e_predictive audience</t>
  </si>
  <si>
    <t>278044522</t>
  </si>
  <si>
    <t>empreendedores-verizon-zip-display-mobile_leaderboard-320x50-empreendedores_zip_animada_bau-pequeno_empreendedor_look-a-like_ e_predictive audience-cpm</t>
  </si>
  <si>
    <t>472151911</t>
  </si>
  <si>
    <t>empreendedores-empreendedores-verizon-zip-display-wide_skyscraper-empreendedores_zip_animada_bau-pequeno_empreendedor_look-a-like_ e_predictive audience</t>
  </si>
  <si>
    <t>278044516</t>
  </si>
  <si>
    <t>empreendedores-verizon-zip-display-wide_skyscraper-160x600-empreendedores_zip_animada_bau-pequeno_empreendedor_look-a-like_ e_predictive audience-cpm</t>
  </si>
  <si>
    <t>472151905</t>
  </si>
  <si>
    <t>pegn-marca-globo-marca-display-carrossel-pegn_cielo_coronavoucher-as_25_interesses</t>
  </si>
  <si>
    <t>276812053</t>
  </si>
  <si>
    <t>marca-globo-marca-display-carrossel-400x300-pegn_cielo_coronavoucher-as_25_interesses-cpm</t>
  </si>
  <si>
    <t>471035097</t>
  </si>
  <si>
    <t>pegn-marca-globo-marca-display-maxiboard-pegn_cielo_coronavoucher-as_25_interesses</t>
  </si>
  <si>
    <t>276487391</t>
  </si>
  <si>
    <t>marca-globo-marca-display-maxiboard-970x150-pegn_cielo_coronavoucher-as_25_interesses-cpm</t>
  </si>
  <si>
    <t>470964913</t>
  </si>
  <si>
    <t>pegn-marca-globo-marca-display-medium_rectangle-pegn_cielo_coronavoucher-as_25_interesses</t>
  </si>
  <si>
    <t>276487394</t>
  </si>
  <si>
    <t>marca-globo-marca-display-medium_rectangle-300x250-pegn_cielo_coronavoucher-as_25_interesses-cpm</t>
  </si>
  <si>
    <t>470964916</t>
  </si>
  <si>
    <t>pegn-marca-globo-marca-display-stick_ad-pegn_cielo_coronavoucher-as_25_interesses</t>
  </si>
  <si>
    <t>276487397</t>
  </si>
  <si>
    <t>marca-globo-marca-display-stick_ad-320x50-pegn_cielo_coronavoucher-as_25_interesses-cpm</t>
  </si>
  <si>
    <t>470964919</t>
  </si>
  <si>
    <t>superlink-marca-dv360_Roix-superlink-video-pre_roll-superlink_video30s-as25_microempreendedor_medioempreendedor_negocios_vendasonline_donosdenegocios</t>
  </si>
  <si>
    <t>276627353</t>
  </si>
  <si>
    <t>marca-dv360_Roix-superlink-video-pre_roll-1920x1080-superlink_video30s-as25_microempreendedor_medioempreendedor_negocios_vendasonline_donosdenegocios-cpm</t>
  </si>
  <si>
    <t>471083030</t>
  </si>
  <si>
    <t>superlink-marca-dv360_Seedtag-superlink-video-pre_roll-superlink_video30s-as25_microempreendedor_medioempreendedor_negocios_vendasonline_donosdenegocios</t>
  </si>
  <si>
    <t>276627347</t>
  </si>
  <si>
    <t>marca-dv360_Seedtag-superlink-video-pre_roll-1920x1080-superlink_video30s-as25_microempreendedor_medioempreendedor_negocios_vendasonline_donosdenegocios-cpm</t>
  </si>
  <si>
    <t>471083024</t>
  </si>
  <si>
    <t>superlink-marca-dv360_Smartclip-superlink-video-pre_roll-superlink_video30s-as25_microempreendedor_medioempreendedor_negocios_vendasonline_donosdenegocios</t>
  </si>
  <si>
    <t>276627350</t>
  </si>
  <si>
    <t>marca-dv360_Smartclip-superlink-video-pre_roll-1920x1080-superlink_video30s-as25_microempreendedor_medioempreendedor_negocios_vendasonline_donosdenegocios-cpm</t>
  </si>
  <si>
    <t>471083027</t>
  </si>
  <si>
    <t>469441638</t>
  </si>
  <si>
    <t>superlink-marca-verizon-superlink-native-native-superlink_vendas-AS25_microempreendedor_medioempreendedor_negocios_vendasonline_donosdenegocios</t>
  </si>
  <si>
    <t>277693553</t>
  </si>
  <si>
    <t>marca-verizon-superlink-native-native-1200x627-superlink_vendas-AS25_microempreendedor_medioempreendedor_negocios_vendasonline_donosdenegocios-cpc</t>
  </si>
  <si>
    <t>472074485</t>
  </si>
  <si>
    <t>superlink-marca-verizon-superlink-video-pre_roll-superlink_video30s-as25_empreendedor_varejo</t>
  </si>
  <si>
    <t>276841577</t>
  </si>
  <si>
    <t>marca-verizon-superlink-video-pre_roll-1920x1080-superlink_video30s-as25_empreendedor_varejo-cpm</t>
  </si>
  <si>
    <t>471339312</t>
  </si>
  <si>
    <t>superlink-marca-verizon-superlink-video-pre_roll-superlink_video30s-remarketing</t>
  </si>
  <si>
    <t>277179312</t>
  </si>
  <si>
    <t>marca-verizon-superlink-video-pre_roll-1920x1080-superlink_video30s-remarketing-cpm</t>
  </si>
  <si>
    <t>471340215</t>
  </si>
  <si>
    <t>alp-superlink-marca-cons</t>
  </si>
  <si>
    <t>superlink-marca-dv360-superlink-display-halfpage-luta_diaria-remarketing</t>
  </si>
  <si>
    <t>277526230</t>
  </si>
  <si>
    <t>471115150</t>
  </si>
  <si>
    <t>marca-dv360-superlink-display-halfpage-300x600-luta_diaria-remarketing-cpm</t>
  </si>
  <si>
    <t>471603932</t>
  </si>
  <si>
    <t>superlink-marca-dv360-superlink-display-leaderboard-luta_diaria-remarketing</t>
  </si>
  <si>
    <t>277534597</t>
  </si>
  <si>
    <t>marca-dv360-superlink-display-leaderboard-728x90-luta_diaria-remarketing-cpm</t>
  </si>
  <si>
    <t>471713973</t>
  </si>
  <si>
    <t>superlink-marca-dv360-superlink-display-medium_rectangle-luta_diaria-remarketing</t>
  </si>
  <si>
    <t>277526233</t>
  </si>
  <si>
    <t>marca-dv360-superlink-display-medium_rectangle-300x250-luta_diaria-remarketing-cpm</t>
  </si>
  <si>
    <t>471603935</t>
  </si>
  <si>
    <t>superlink-marca-dv360-superlink-display-skyscraper-luta_diaria-remarketing</t>
  </si>
  <si>
    <t>277526236</t>
  </si>
  <si>
    <t>marca-dv360-superlink-display-skyscraper-160x600-luta_diaria-remarketing-cpm</t>
  </si>
  <si>
    <t>471603938</t>
  </si>
  <si>
    <t>superlink-marca-verizon-superlink-display-halfpage-luta_diaria-remarketing</t>
  </si>
  <si>
    <t>276653099</t>
  </si>
  <si>
    <t>marca-verizon-superlink-display-halfpage-300x600-luta_diaria-remarketing-cpm</t>
  </si>
  <si>
    <t>471079367</t>
  </si>
  <si>
    <t>superlink-marca-verizon-superlink-display-leaderboard-luta_diaria-remarketing</t>
  </si>
  <si>
    <t>276653096</t>
  </si>
  <si>
    <t>marca-verizon-superlink-display-leaderboard-728x90-luta_diaria-remarketing-cpm</t>
  </si>
  <si>
    <t>471079364</t>
  </si>
  <si>
    <t>superlink-marca-verizon-superlink-display-medium_rectangle-luta_diaria-remarketing</t>
  </si>
  <si>
    <t>277001280</t>
  </si>
  <si>
    <t>marca-verizon-superlink-display-medium_rectangle-300x250-luta_diaria-remarketing-cpm</t>
  </si>
  <si>
    <t>471081239</t>
  </si>
  <si>
    <t>superlink-marca-verizon-superlink-display-skyscraper-luta_diaria-remarketing</t>
  </si>
  <si>
    <t>276653102</t>
  </si>
  <si>
    <t>marca-verizon-superlink-display-skyscraper-160x600-luta_diaria-remarketing-cpm</t>
  </si>
  <si>
    <t>471079370</t>
  </si>
  <si>
    <t>superlink-marca-verizon-superlink-native-native-superlink_entrega-integrada-remarketing</t>
  </si>
  <si>
    <t>277694651</t>
  </si>
  <si>
    <t>marca-verizon-superlink-native-native-1200x627-superlink_entrega-integrada-remarketing-cpc</t>
  </si>
  <si>
    <t>472079209</t>
  </si>
  <si>
    <t>superlink-marca-verizon-superlink-native-native-superlink_vendas_loggi-AS25_microempreendedor_medioempreendedor_negocios_vendasonline_donosdenegocios</t>
  </si>
  <si>
    <t>277692728</t>
  </si>
  <si>
    <t>marca-verizon-superlink-native-native-1200x627-superlink_vendas_loggi-AS25_microempreendedor_medioempreendedor_negocios_vendasonline_donosdenegocios-cpc</t>
  </si>
  <si>
    <t>472074200</t>
  </si>
  <si>
    <t>superlink-marca-afilio-superlink-display-leaderboard-luta_diaria-as25_microempreendedor_medioempreendedor_negocios_vendasonline_donosdenegocios</t>
  </si>
  <si>
    <t>277004364</t>
  </si>
  <si>
    <t>marca-afilio-superlink-display-leaderboard-728x90-luta_diaria-as25_microempreendedor_medioempreendedor_negocios_vendasonline_donosdenegocios-cpvisita</t>
  </si>
  <si>
    <t>471083146</t>
  </si>
  <si>
    <t>alp-digitalizacao-marca-perf</t>
  </si>
  <si>
    <t>digitalizacao-marca-dv360-marca-display-medium_rectangle-visitas_site_estatico_atendimento_online-base_clientes_digitalizacao</t>
  </si>
  <si>
    <t>280868882</t>
  </si>
  <si>
    <t>marca-dv360-marca-display-medium_rectangle-300x250-visitas_site_estatico_atendimento_online-base_clientes_digitalizacao-cpm</t>
  </si>
  <si>
    <t>474932447</t>
  </si>
  <si>
    <t>digitalizacao-marca-dv360-marca-display-medium_rectangle-visitas_site_estatico_contratacao_produtos-base_clientes_digitalizacao</t>
  </si>
  <si>
    <t>280868879</t>
  </si>
  <si>
    <t>marca-dv360-marca-display-medium_rectangle-300x250-visitas_site_estatico_contratacao_produtos-base_clientes_digitalizacao-cpm</t>
  </si>
  <si>
    <t>474932444</t>
  </si>
  <si>
    <t>digitalizacao-marca-verizon-marca-display-billboard-visitas_site_animado-base_clientes_digitalizacao</t>
  </si>
  <si>
    <t>280868825</t>
  </si>
  <si>
    <t>marca-verizon-marca-display-billboard-970x250-visitas_site_animado-base_clientes_digitalizacao-cpm</t>
  </si>
  <si>
    <t>474922190</t>
  </si>
  <si>
    <t>digitalizacao-marca-verizon-marca-display-billboard-visitas_site_estatico-base_clientes_digitalizacao</t>
  </si>
  <si>
    <t>280746893</t>
  </si>
  <si>
    <t>marca-verizon-marca-display-billboard-970x250-visitas_site_estatico-base_clientes_digitalizacao-cpm</t>
  </si>
  <si>
    <t>474870796</t>
  </si>
  <si>
    <t>digitalizacao-marca-verizon-marca-display-large_mobile_banner-visitas_site_animado-base_clientes_digitalizacao</t>
  </si>
  <si>
    <t>280868831</t>
  </si>
  <si>
    <t>marca-verizon-marca-display-large_mobile_banner-320x100-visitas_site_animado-base_clientes_digitalizacao-cpm</t>
  </si>
  <si>
    <t>474932396</t>
  </si>
  <si>
    <t>digitalizacao-marca-verizon-marca-display-large_rectangle-visitas_site_animado-base_clientes_digitalizacao</t>
  </si>
  <si>
    <t>280868828</t>
  </si>
  <si>
    <t>marca-verizon-marca-display-large_rectangle-336x280-visitas_site_animado-base_clientes_digitalizacao-cpm</t>
  </si>
  <si>
    <t>474932393</t>
  </si>
  <si>
    <t>digitalizacao-marca-verizon-marca-display-leaderboard-visitas_site_animado-base_clientes_digitalizacao</t>
  </si>
  <si>
    <t>280868942</t>
  </si>
  <si>
    <t>marca-verizon-marca-display-leaderboard-728x90-visitas_site_animado-base_clientes_digitalizacao-cpm</t>
  </si>
  <si>
    <t>474932507</t>
  </si>
  <si>
    <t>digitalizacao-marca-verizon-marca-display-medium_rectangle-visitas_site_animado-base_clientes_digitalizacao</t>
  </si>
  <si>
    <t>280868936</t>
  </si>
  <si>
    <t>marca-verizon-marca-display-medium_rectangle-300x250-visitas_site_animado-base_clientes_digitalizacao-cpm</t>
  </si>
  <si>
    <t>474932501</t>
  </si>
  <si>
    <t>digitalizacao-marca-verizon-marca-display-medium_rectangle-visitas_site_estatico_acesse_agora-base_clientes_digitalizacao</t>
  </si>
  <si>
    <t>280950718</t>
  </si>
  <si>
    <t>marca-verizon-marca-display-medium_rectangle-300x250-visitas_site_estatico_acesse_agora-base_clientes_digitalizacao-cpm</t>
  </si>
  <si>
    <t>474796685</t>
  </si>
  <si>
    <t>digitalizacao-marca-verizon-marca-display-medium_rectangle-visitas_site_estatico_confira-base_clientes_digitalizacao</t>
  </si>
  <si>
    <t>280746896</t>
  </si>
  <si>
    <t>marca-verizon-marca-display-medium_rectangle-300x250-visitas_site_estatico_confira-base_clientes_digitalizacao-cpm</t>
  </si>
  <si>
    <t>474870799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</si>
  <si>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</si>
  <si>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</si>
  <si>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</si>
  <si>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277872242</t>
  </si>
  <si>
    <t>472325184</t>
  </si>
  <si>
    <t>277872224</t>
  </si>
  <si>
    <t>472323066</t>
  </si>
  <si>
    <t>277872218</t>
  </si>
  <si>
    <t>472323060</t>
  </si>
  <si>
    <t>superlink-marca-dv360_Cazamba-superlink-display-Interstitial-sl_luta_diaria-as25_empreendedor_varejo_interesses</t>
  </si>
  <si>
    <t>279352308</t>
  </si>
  <si>
    <t>marca-dv360_Cazamba-superlink-display-Interstitial-640x960-sl_luta_diaria-as25_empreendedor_varejo_interesses-cpm</t>
  </si>
  <si>
    <t>473341439</t>
  </si>
  <si>
    <t>superlink-marca-dv360_Outbrain-superlink-native-native_highimpact-superlink_vendapelasredessociais-AS25_microempreendedor_medioempreendedor_negocios_vendasonline_donosdenegocios</t>
  </si>
  <si>
    <t>279256134</t>
  </si>
  <si>
    <t>marca-dv360_Outbrain-superlink-native-native_highimpact-1200x627-superlink_vendapelasredessociais-AS25_microempreendedor_medioempreendedor_negocios_vendasonline_donosdenegocios-cpc</t>
  </si>
  <si>
    <t>473287627</t>
  </si>
  <si>
    <t>superlink-marca-dv360_Outbrain-superlink-native-native_rectangle-superlink_vendapelasredessociais-AS25_microempreendedor_medioempreendedor_negocios_vendasonline_donosdenegocios</t>
  </si>
  <si>
    <t>278995598</t>
  </si>
  <si>
    <t>marca-dv360_Outbrain-superlink-native-native_rectangle-1200x627-superlink_vendapelasredessociais-AS25_microempreendedor_medioempreendedor_negocios_vendasonline_donosdenegocios-cpc</t>
  </si>
  <si>
    <t>473258282</t>
  </si>
  <si>
    <t>728x90 Default Web Ad</t>
  </si>
  <si>
    <t>469359923</t>
  </si>
  <si>
    <t>469372642</t>
  </si>
  <si>
    <t>471081212</t>
  </si>
  <si>
    <t>alp-superlink-marca-perf</t>
  </si>
  <si>
    <t>Rakuten</t>
  </si>
  <si>
    <t>superlink-marca-rakuten-superlink-display-skyscraper-sl_vendapelainternet_loggi_boost-as25_empreendedor_varejo_interesses</t>
  </si>
  <si>
    <t>marca-rakuten-superlink-display-skyscraper-160x600-sl_vendapelainternet_loggi_boost-as25_empreendedor_varejo_interesses-cpm</t>
  </si>
  <si>
    <t>superlink-marca-rakuten-superlink-native-native-luta_diaria_loggi_boost-as25_empreendedor_varejo_interesses</t>
  </si>
  <si>
    <t>280522043</t>
  </si>
  <si>
    <t>marca-rakuten-superlink-native-native-1200x627-luta_diaria_loggi_boost-as25_empreendedor_varejo_interesses-cpm</t>
  </si>
  <si>
    <t>474690286</t>
  </si>
  <si>
    <t>superlink-marca-rakuten-superlink-native-native-luta_diaria_loggi_boost_627x627-as25_empreendedor_varejo_interesses</t>
  </si>
  <si>
    <t>280922422</t>
  </si>
  <si>
    <t>marca-rakuten-superlink-native-native-627x627-luta_diaria_loggi_boost_627x627-as25_empreendedor_varejo_interesses-cpm</t>
  </si>
  <si>
    <t>474775067</t>
  </si>
  <si>
    <t>cielo_movimenta_comunidade-marca-verizon-marca-native-big_native-cielo_movimenta_comunidade_olx-as_25_interesses_varejo</t>
  </si>
  <si>
    <t>273102562</t>
  </si>
  <si>
    <t>marca-verizon-marca-native-big_native-1200x627-cielo_movimenta_comunidade_olx-as_25_interesses_varejo-cpm</t>
  </si>
  <si>
    <t>467497933</t>
  </si>
  <si>
    <t>cielo_movimenta_comunidade-marca-verizon-marca-native-big_native-cielo_movimenta_comunidade_olx_cadastro-as_25_interesses_varejo</t>
  </si>
  <si>
    <t>272850311</t>
  </si>
  <si>
    <t>marca-verizon-marca-native-big_native-1200x627-cielo_movimenta_comunidade_olx_cadastro-as_25_interesses_varejo-cpm</t>
  </si>
  <si>
    <t>467545912</t>
  </si>
  <si>
    <t>cnn-varejo-cnn-marca-display-arroba_banner-cnn_cielo_globalretail-as_25</t>
  </si>
  <si>
    <t>282037045</t>
  </si>
  <si>
    <t>varejo-cnn-marca-display-arroba_banner-300x250-cnn_cielo_globalretail-as_25-cpm</t>
  </si>
  <si>
    <t>476018427</t>
  </si>
  <si>
    <t>cnn-varejo-cnn-marca-display-arroba_banner-cnn_cielo_superlink-as_25</t>
  </si>
  <si>
    <t>282393520</t>
  </si>
  <si>
    <t>varejo-cnn-marca-display-arroba_banner-300x250-cnn_cielo_superlink-as_25-cpm</t>
  </si>
  <si>
    <t>476130194</t>
  </si>
  <si>
    <t>cnn-varejo-cnn-marca-display-bilboard-cnn_cielo_globalretail-as_25</t>
  </si>
  <si>
    <t>282028107</t>
  </si>
  <si>
    <t>varejo-cnn-marca-display-bilboard-970x250-cnn_cielo_globalretail-as_25-cpm</t>
  </si>
  <si>
    <t>475841225</t>
  </si>
  <si>
    <t>cnn-varejo-cnn-marca-display-bilboard-cnn_cielo_superlink-as_25</t>
  </si>
  <si>
    <t>282359004</t>
  </si>
  <si>
    <t>varejo-cnn-marca-display-bilboard-970x250-cnn_cielo_superlink-as_25-cpm</t>
  </si>
  <si>
    <t>476309460</t>
  </si>
  <si>
    <t>cnn-varejo-cnn-marca-display-halfpage-cnn_cielo_globalretail-as_25</t>
  </si>
  <si>
    <t>282037042</t>
  </si>
  <si>
    <t>varejo-cnn-marca-display-halfpage-300x600-cnn_cielo_globalretail-as_25-cpm</t>
  </si>
  <si>
    <t>476018424</t>
  </si>
  <si>
    <t>cnn-varejo-cnn-marca-display-halfpage-cnn_cielo_superlink-as_25</t>
  </si>
  <si>
    <t>282357267</t>
  </si>
  <si>
    <t>varejo-cnn-marca-display-halfpage-300x600-cnn_cielo_superlink-as_25-cpm</t>
  </si>
  <si>
    <t>476126150</t>
  </si>
  <si>
    <t>cnn-varejo-cnn-marca-display-halfpage-cnn_cielo_superlink_lutadiaria-as_25</t>
  </si>
  <si>
    <t>275692860</t>
  </si>
  <si>
    <t>varejo-cnn-marca-display-halfpage-300x600-cnn_cielo_superlink_lutadiaria-as_25-cpm</t>
  </si>
  <si>
    <t>469899809</t>
  </si>
  <si>
    <t>cnn-varejo-cnn-marca-display-leaderboard-cnn_cielo_globalretail-as_25</t>
  </si>
  <si>
    <t>282037036</t>
  </si>
  <si>
    <t>varejo-cnn-marca-display-leaderboard-728x90-cnn_cielo_globalretail-as_25-cpm</t>
  </si>
  <si>
    <t>476018418</t>
  </si>
  <si>
    <t>cnn-varejo-cnn-marca-display-leaderboard-cnn_cielo_superlink-as_25</t>
  </si>
  <si>
    <t>282395059</t>
  </si>
  <si>
    <t>varejo-cnn-marca-display-leaderboard-728x90-cnn_cielo_superlink-as_25-cpm</t>
  </si>
  <si>
    <t>476228620</t>
  </si>
  <si>
    <t>cnn-varejo-cnn-marca-display-mobile-cnn_cielo_globalretail-as_25</t>
  </si>
  <si>
    <t>282037039</t>
  </si>
  <si>
    <t>varejo-cnn-marca-display-mobile-320x50-cnn_cielo_globalretail-as_25-cpm</t>
  </si>
  <si>
    <t>476018421</t>
  </si>
  <si>
    <t>cnn-varejo-cnn-marca-display-mobile-cnn_cielo_superlink-as_25</t>
  </si>
  <si>
    <t>282167414</t>
  </si>
  <si>
    <t>varejo-cnn-marca-display-mobile-320x50-cnn_cielo_superlink-as_25-cpm</t>
  </si>
  <si>
    <t>476228584</t>
  </si>
  <si>
    <t>cnn-varejo-cnn-marca-video-pre_roll-cnn_cielo_superlink-as_25</t>
  </si>
  <si>
    <t>282167456</t>
  </si>
  <si>
    <t>varejo-cnn-marca-video-pre_roll-1920x1080-cnn_cielo_superlink-as_25-cpm</t>
  </si>
  <si>
    <t>476132069</t>
  </si>
  <si>
    <t>alp-covid19-marca-awa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</si>
  <si>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</si>
  <si>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</si>
  <si>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</si>
  <si>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</si>
  <si>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digitalizacao-marca-dv360-marca-display-display-app_instal_estatico_ios-base_clientes_digitalizacao</t>
  </si>
  <si>
    <t>280868915</t>
  </si>
  <si>
    <t>marca-dv360-marca-display-display-320x50-app_instal_estatico_ios-base_clientes_digitalizacao-cpm</t>
  </si>
  <si>
    <t>474932480</t>
  </si>
  <si>
    <t>280868921</t>
  </si>
  <si>
    <t>marca-dv360-marca-display-display-300x250-app_instal_estatico_ios-base_clientes_digitalizacao-cpm</t>
  </si>
  <si>
    <t>474932486</t>
  </si>
  <si>
    <t>280868927</t>
  </si>
  <si>
    <t>marca-dv360-marca-display-display-320x480-app_instal_estatico_ios-base_clientes_digitalizacao-cpm</t>
  </si>
  <si>
    <t>474932492</t>
  </si>
  <si>
    <t>digitalizacao-marca-dv360-marca-video-video-app_instal_ganhe_tempo_video15_android-base_clientes_digitalizacao</t>
  </si>
  <si>
    <t>281241222</t>
  </si>
  <si>
    <t>marca-dv360-marca-video-video-640x360-app_instal_ganhe_tempo_video15_android-base_clientes_digitalizacao-cpm</t>
  </si>
  <si>
    <t>475271601</t>
  </si>
  <si>
    <t>digitalizacao-marca-dv360-marca-video-video-visitas_site_ganhar_tempo_video15-base_clientes_digitalizacao</t>
  </si>
  <si>
    <t>281241237</t>
  </si>
  <si>
    <t>marca-dv360-marca-video-video-640x360-visitas_site_ganhar_tempo_video15-base_clientes_digitalizacao-cpm</t>
  </si>
  <si>
    <t>475271616</t>
  </si>
  <si>
    <t>digitalizacao-marca-dv360-marca-video-video-visitas_site_promocoes_maquina_video15-base_clientes_digitalizacao</t>
  </si>
  <si>
    <t>281241234</t>
  </si>
  <si>
    <t>marca-dv360-marca-video-video-640x360-visitas_site_promocoes_maquina_video15-base_clientes_digitalizacao-cpm</t>
  </si>
  <si>
    <t>475271613</t>
  </si>
  <si>
    <t>474794216</t>
  </si>
  <si>
    <t>474953118</t>
  </si>
  <si>
    <t>pegn-marca-globo-marca-display-carrossel-pegn_cielo_superlink-as_25_interesses</t>
  </si>
  <si>
    <t>282144197</t>
  </si>
  <si>
    <t>marca-globo-marca-display-carrossel-400x300-pegn_cielo_superlink-as_25_interesses-cpm</t>
  </si>
  <si>
    <t>476119853</t>
  </si>
  <si>
    <t>pegn-marca-globo-marca-display-maxiboard-pegn_cielo_superlink-as_25_interesses</t>
  </si>
  <si>
    <t>282156500</t>
  </si>
  <si>
    <t>marca-globo-marca-display-maxiboard-970x150-pegn_cielo_superlink-as_25_interesses-cpm</t>
  </si>
  <si>
    <t>476119856</t>
  </si>
  <si>
    <t>pegn-marca-globo-marca-display-medium_rectangle-pegn_cielo_superlink-as_25_interesses</t>
  </si>
  <si>
    <t>282156503</t>
  </si>
  <si>
    <t>marca-globo-marca-display-medium_rectangle-300x250-pegn_cielo_superlink-as_25_interesses-cpm</t>
  </si>
  <si>
    <t>476119859</t>
  </si>
  <si>
    <t>pegn-marca-globo-marca-display-stick_ad-pegn_cielo_superlink-as_25_interesses</t>
  </si>
  <si>
    <t>282156506</t>
  </si>
  <si>
    <t>marca-globo-marca-display-stick_ad-320x50-pegn_cielo_superlink-as_25_interesses-cpm</t>
  </si>
  <si>
    <t>476119862</t>
  </si>
  <si>
    <t>pegn-marca-globo-marca-video-pre_roll-pegn_cielo_superlink-as_25_interesses</t>
  </si>
  <si>
    <t>282144194</t>
  </si>
  <si>
    <t>marca-globo-marca-video-pre_roll-1920x1080-pegn_cielo_superlink-as_25_interesses-cpm</t>
  </si>
  <si>
    <t>476119850</t>
  </si>
  <si>
    <t>superlink-marca-dv360-superlink-display-halfpage-luta_diaria-affinities_inmarket_superlink</t>
  </si>
  <si>
    <t>281616517</t>
  </si>
  <si>
    <t>469359566</t>
  </si>
  <si>
    <t>marca-dv360-superlink-display-halfpage-300x600-luta_diaria-affinities_inmarket_superlink-cpm</t>
  </si>
  <si>
    <t>475546864</t>
  </si>
  <si>
    <t>superlink-marca-dv360-superlink-display-leaderboard-luta_diaria-affinities_inmarket_superlink</t>
  </si>
  <si>
    <t>281616526</t>
  </si>
  <si>
    <t>marca-dv360-superlink-display-leaderboard-728x90-luta_diaria-affinities_inmarket_superlink-cpm</t>
  </si>
  <si>
    <t>475546855</t>
  </si>
  <si>
    <t>superlink-marca-dv360-superlink-display-medium_rectangle-luta_diaria-affinities_inmarket_superlink</t>
  </si>
  <si>
    <t>281616520</t>
  </si>
  <si>
    <t>marca-dv360-superlink-display-medium_rectangle-300x250-luta_diaria-affinities_inmarket_superlink-cpm</t>
  </si>
  <si>
    <t>475546861</t>
  </si>
  <si>
    <t>superlink-marca-dv360-superlink-display-skyscraper-luta_diaria-affinities_inmarket_superlink</t>
  </si>
  <si>
    <t>281616523</t>
  </si>
  <si>
    <t>marca-dv360-superlink-display-skyscraper-160x600-luta_diaria-affinities_inmarket_superlink-cpm</t>
  </si>
  <si>
    <t>475546858</t>
  </si>
  <si>
    <t>superlink-marca-dv360_Folha-superlink-display-halfpage-luta_diaria-AS25_microempreendedor_medioempreendedor_negocios_vendasonline_donosdenegocios</t>
  </si>
  <si>
    <t>278993144</t>
  </si>
  <si>
    <t>marca-dv360_Folha-superlink-display-halfpage-300x600-luta_diaria-AS25_microempreendedor_medioempreendedor_negocios_vendasonline_donosdenegocios-cpm</t>
  </si>
  <si>
    <t>475357392</t>
  </si>
  <si>
    <t>superlink-marca-dv360_Folha-superlink-display-leaderboard-luta_diaria-AS25_microempreendedor_medioempreendedor_negocios_vendasonline_donosdenegocios</t>
  </si>
  <si>
    <t>281348424</t>
  </si>
  <si>
    <t>marca-dv360_Folha-superlink-display-leaderboard-728x90-luta_diaria-AS25_microempreendedor_medioempreendedor_negocios_vendasonline_donosdenegocios-cpm</t>
  </si>
  <si>
    <t>475208060</t>
  </si>
  <si>
    <t>superlink-marca-dv360_Folha-superlink-display-medium_rectangle-luta_diaria-AS25_microempreendedor_medioempreendedor_negocios_vendasonline_donosdenegocios</t>
  </si>
  <si>
    <t>281348418</t>
  </si>
  <si>
    <t>marca-dv360_Folha-superlink-display-medium_rectangle-300x250-luta_diaria-AS25_microempreendedor_medioempreendedor_negocios_vendasonline_donosdenegocios-cpm</t>
  </si>
  <si>
    <t>475357329</t>
  </si>
  <si>
    <t>superlink-marca-dv360_Folha-superlink-display-skyscraper-luta_diaria-AS25_microempreendedor_medioempreendedor_negocios_vendasonline_donosdenegocios</t>
  </si>
  <si>
    <t>281348421</t>
  </si>
  <si>
    <t>marca-dv360_Folha-superlink-display-skyscraper-160x600-luta_diaria-AS25_microempreendedor_medioempreendedor_negocios_vendasonline_donosdenegocios-cpm</t>
  </si>
  <si>
    <t>475208069</t>
  </si>
  <si>
    <t>superlink-marca-dv360_Vidoomy-superlink-video-pre_roll-superlink_video30s-as25_microempreendedor_medioempreendedor_negocios_vendasonline_donosdenegocios</t>
  </si>
  <si>
    <t>281283277</t>
  </si>
  <si>
    <t>marca-dv360_Vidoomy-superlink-video-pre_roll-1920x1080-superlink_video30s-as25_microempreendedor_medioempreendedor_negocios_vendasonline_donosdenegocios-cpm</t>
  </si>
  <si>
    <t>475275066</t>
  </si>
  <si>
    <t>IstoÉ</t>
  </si>
  <si>
    <t>superlink-marca-istoe-marca-display-maxiboard-cielo_superlink-as_25_interesses_varejo</t>
  </si>
  <si>
    <t>282484922</t>
  </si>
  <si>
    <t>marca-istoe-marca-display-maxiboard-970x150-cielo_superlink-as_25_interesses_varejo-diaria</t>
  </si>
  <si>
    <t>476630055</t>
  </si>
  <si>
    <t>471081215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</si>
  <si>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</si>
  <si>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</si>
  <si>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</si>
  <si>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</si>
  <si>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</si>
  <si>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</si>
  <si>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</si>
  <si>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</si>
  <si>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281253133</t>
  </si>
  <si>
    <t>475254741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</si>
  <si>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</si>
  <si>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</si>
  <si>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</si>
  <si>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</si>
  <si>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Rótulos de Linha</t>
  </si>
  <si>
    <t>Total Geral</t>
  </si>
  <si>
    <t>Soma de Total Ferramenta</t>
  </si>
  <si>
    <t>Soma de Total 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</si>
</sst>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23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36" borderId="0" xfId="0" applyFill="1" applyAlignment="1">
      <alignment horizontal="left"/>
    </xf>
    <xf numFmtId="165" fontId="0" fillId="36" borderId="0" xfId="0" applyNumberForma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5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098.454597453703" createdVersion="6" refreshedVersion="6" minRefreshableVersion="3" recordCount="136" xr:uid="{103160D7-9EFA-49A5-8CE7-1BFE2893D751}">
  <cacheSource type="worksheet">
    <worksheetSource ref="B18:O154" sheet="Resumo"/>
  </cacheSource>
  <cacheFields count="14">
    <cacheField name="Campaign" numFmtId="0">
      <sharedItems count="11">
        <s v="alp-cielo_movimenta_comunidade-marca-awa"/>
        <s v="alp-cnn-varejo-awa"/>
        <s v="alp-covid19-marca-awa"/>
        <s v="alp-digitalizacao-marca-perf"/>
        <s v="alp-empreendedores-empreendedores-cons"/>
        <s v="alp-nova_cielo-empreendedores-cons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4691326"/>
    </cacheField>
    <cacheField name="Clicks" numFmtId="0">
      <sharedItems containsSemiMixedTypes="0" containsString="0" containsNumber="1" containsInteger="1" minValue="0" maxValue="204074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977.90279999999996"/>
    </cacheField>
    <cacheField name="Total AdOps" numFmtId="2">
      <sharedItems containsSemiMixedTypes="0" containsString="0" containsNumber="1" minValue="0" maxValue="570.4432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Oath - Verizon Media"/>
    <s v="cielo_movimenta_comunidade-marca-verizon-marca-native-big_native-cielo_movimenta_comunidade_olx-as_25_interesses_varejo"/>
    <s v="273102562"/>
    <s v="Dynamic Click"/>
    <s v="marca-verizon-marca-native-big_native-1200x627-cielo_movimenta_comunidade_olx-as_25_interesses_varejo-cpm"/>
    <s v="467497933"/>
    <s v="Tracking"/>
    <n v="0"/>
    <n v="1"/>
    <n v="3.5000000000000001E-3"/>
    <n v="2.5000000000000001E-2"/>
    <n v="3.5000000000000001E-3"/>
    <n v="2.5000000000000001E-2"/>
  </r>
  <r>
    <x v="0"/>
    <s v="Oath - Verizon Media"/>
    <s v="cielo_movimenta_comunidade-marca-verizon-marca-native-big_native-cielo_movimenta_comunidade_olx_cadastro-as_25_interesses_varejo"/>
    <s v="272850311"/>
    <s v="Standard"/>
    <s v="marca-verizon-marca-native-big_native-1200x627-cielo_movimenta_comunidade_olx_cadastro-as_25_interesses_varejo-cpm"/>
    <s v="467545912"/>
    <s v="Tracking"/>
    <n v="1"/>
    <n v="0"/>
    <n v="0.04"/>
    <n v="0.1"/>
    <n v="4.0000000000000003E-5"/>
    <n v="1E-4"/>
  </r>
  <r>
    <x v="0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4"/>
    <n v="0"/>
    <n v="0.04"/>
    <n v="0.1"/>
    <n v="1.6000000000000001E-4"/>
    <n v="4.0000000000000002E-4"/>
  </r>
  <r>
    <x v="1"/>
    <s v="CNN BR"/>
    <s v="cnn-varejo-cnn-marca-display-arroba_banner-cnn_cielo_globalretail-as_25"/>
    <s v="282037045"/>
    <s v="Standard"/>
    <s v="varejo-cnn-marca-display-arroba_banner-300x250-cnn_cielo_globalretail-as_25-cpm"/>
    <s v="476018427"/>
    <s v="Display"/>
    <n v="56083"/>
    <n v="24"/>
    <n v="0.04"/>
    <n v="0.1"/>
    <n v="2.2433200000000002"/>
    <n v="5.6082999999999998"/>
  </r>
  <r>
    <x v="1"/>
    <s v="CNN BR"/>
    <s v="cnn-varejo-cnn-marca-display-arroba_banner-cnn_cielo_superlink-as_25"/>
    <s v="282393520"/>
    <s v="Standard"/>
    <s v="varejo-cnn-marca-display-arroba_banner-300x250-cnn_cielo_superlink-as_25-cpm"/>
    <s v="476130194"/>
    <s v="Display"/>
    <n v="63084"/>
    <n v="22"/>
    <n v="0.04"/>
    <n v="0.1"/>
    <n v="2.5233600000000003"/>
    <n v="6.3084000000000007"/>
  </r>
  <r>
    <x v="1"/>
    <s v="CNN BR"/>
    <s v="cnn-varejo-cnn-marca-display-arroba_banner-cnn_cielo_superlink_lutadiaria-as_25"/>
    <s v="275646244"/>
    <s v="Standard"/>
    <s v="varejo-cnn-marca-display-arroba_banner-300x250-cnn_cielo_superlink_lutadiaria-as_25-cpm"/>
    <s v="469898123"/>
    <s v="Display"/>
    <n v="38739"/>
    <n v="15"/>
    <n v="0.04"/>
    <n v="0.1"/>
    <n v="1.54956"/>
    <n v="3.8738999999999999"/>
  </r>
  <r>
    <x v="1"/>
    <s v="CNN BR"/>
    <s v="cnn-varejo-cnn-marca-display-bilboard-cnn_cielo_globalretail-as_25"/>
    <s v="282028107"/>
    <s v="Standard"/>
    <s v="varejo-cnn-marca-display-bilboard-970x250-cnn_cielo_globalretail-as_25-cpm"/>
    <s v="475841225"/>
    <s v="Display"/>
    <n v="3644"/>
    <n v="3"/>
    <n v="0.04"/>
    <n v="0.1"/>
    <n v="0.14576"/>
    <n v="0.36440000000000006"/>
  </r>
  <r>
    <x v="1"/>
    <s v="CNN BR"/>
    <s v="cnn-varejo-cnn-marca-display-bilboard-cnn_cielo_superlink-as_25"/>
    <s v="282359004"/>
    <s v="Standard"/>
    <s v="varejo-cnn-marca-display-bilboard-970x250-cnn_cielo_superlink-as_25-cpm"/>
    <s v="476309460"/>
    <s v="Display"/>
    <n v="24656"/>
    <n v="23"/>
    <n v="0.04"/>
    <n v="0.1"/>
    <n v="0.98624000000000001"/>
    <n v="2.4656000000000002"/>
  </r>
  <r>
    <x v="1"/>
    <s v="CNN BR"/>
    <s v="cnn-varejo-cnn-marca-display-bilboard-cnn_cielo_superlink_lutadiaria-as_25"/>
    <s v="275703789"/>
    <s v="Standard"/>
    <s v="varejo-cnn-marca-display-bilboard-970x250-cnn_cielo_superlink_lutadiaria-as_25-cpm"/>
    <s v="469899905"/>
    <s v="Display"/>
    <n v="33118"/>
    <n v="28"/>
    <n v="0.04"/>
    <n v="0.1"/>
    <n v="1.3247200000000001"/>
    <n v="3.3118000000000003"/>
  </r>
  <r>
    <x v="1"/>
    <s v="CNN BR"/>
    <s v="cnn-varejo-cnn-marca-display-halfpage-cnn_cielo_globalretail-as_25"/>
    <s v="282037042"/>
    <s v="Standard"/>
    <s v="varejo-cnn-marca-display-halfpage-300x600-cnn_cielo_globalretail-as_25-cpm"/>
    <s v="476018424"/>
    <s v="Display"/>
    <n v="6447"/>
    <n v="13"/>
    <n v="0.04"/>
    <n v="0.1"/>
    <n v="0.25788"/>
    <n v="0.64470000000000005"/>
  </r>
  <r>
    <x v="1"/>
    <s v="CNN BR"/>
    <s v="cnn-varejo-cnn-marca-display-halfpage-cnn_cielo_superlink-as_25"/>
    <s v="282357267"/>
    <s v="Standard"/>
    <s v="varejo-cnn-marca-display-halfpage-300x600-cnn_cielo_superlink-as_25-cpm"/>
    <s v="476126150"/>
    <s v="Display"/>
    <n v="15029"/>
    <n v="9"/>
    <n v="0.04"/>
    <n v="0.1"/>
    <n v="0.60115999999999992"/>
    <n v="1.5029000000000001"/>
  </r>
  <r>
    <x v="1"/>
    <s v="CNN BR"/>
    <s v="cnn-varejo-cnn-marca-display-halfpage-cnn_cielo_superlink_lutadiaria-as_25"/>
    <s v="275692860"/>
    <s v="Standard"/>
    <s v="varejo-cnn-marca-display-halfpage-300x600-cnn_cielo_superlink_lutadiaria-as_25-cpm"/>
    <s v="469899809"/>
    <s v="Display"/>
    <n v="3876"/>
    <n v="3"/>
    <n v="0.04"/>
    <n v="0.1"/>
    <n v="0.15503999999999998"/>
    <n v="0.3876"/>
  </r>
  <r>
    <x v="1"/>
    <s v="CNN BR"/>
    <s v="cnn-varejo-cnn-marca-display-leaderboard-cnn_cielo_globalretail-as_25"/>
    <s v="282037036"/>
    <s v="Standard"/>
    <s v="varejo-cnn-marca-display-leaderboard-728x90-cnn_cielo_globalretail-as_25-cpm"/>
    <s v="476018418"/>
    <s v="Display"/>
    <n v="18121"/>
    <n v="13"/>
    <n v="0.04"/>
    <n v="0.1"/>
    <n v="0.72484000000000004"/>
    <n v="1.8121"/>
  </r>
  <r>
    <x v="1"/>
    <s v="CNN BR"/>
    <s v="cnn-varejo-cnn-marca-display-leaderboard-cnn_cielo_superlink-as_25"/>
    <s v="282395059"/>
    <s v="Standard"/>
    <s v="varejo-cnn-marca-display-leaderboard-728x90-cnn_cielo_superlink-as_25-cpm"/>
    <s v="476228620"/>
    <s v="Display"/>
    <n v="28412"/>
    <n v="13"/>
    <n v="0.04"/>
    <n v="0.1"/>
    <n v="1.1364799999999999"/>
    <n v="2.8412000000000002"/>
  </r>
  <r>
    <x v="1"/>
    <s v="CNN BR"/>
    <s v="cnn-varejo-cnn-marca-display-mobile-cnn_cielo_globalretail-as_25"/>
    <s v="282037039"/>
    <s v="Standard"/>
    <s v="varejo-cnn-marca-display-mobile-320x50-cnn_cielo_globalretail-as_25-cpm"/>
    <s v="476018421"/>
    <s v="Display"/>
    <n v="43818"/>
    <n v="162"/>
    <n v="0.04"/>
    <n v="0.1"/>
    <n v="1.7527200000000001"/>
    <n v="4.3818000000000001"/>
  </r>
  <r>
    <x v="1"/>
    <s v="CNN BR"/>
    <s v="cnn-varejo-cnn-marca-display-mobile-cnn_cielo_superlink-as_25"/>
    <s v="282167414"/>
    <s v="Standard"/>
    <s v="varejo-cnn-marca-display-mobile-320x50-cnn_cielo_superlink-as_25-cpm"/>
    <s v="476228584"/>
    <s v="Display"/>
    <n v="30296"/>
    <n v="118"/>
    <n v="0.04"/>
    <n v="0.1"/>
    <n v="1.21184"/>
    <n v="3.0296000000000003"/>
  </r>
  <r>
    <x v="1"/>
    <s v="CNN BR"/>
    <s v="cnn-varejo-cnn-marca-display-mobile-cnn_cielo_superlink_lutadiaria-as_25"/>
    <s v="275348690"/>
    <s v="Standard"/>
    <s v="varejo-cnn-marca-display-mobile-320x50-cnn_cielo_superlink_lutadiaria-as_25-cpm"/>
    <s v="469899176"/>
    <s v="Display"/>
    <n v="170257"/>
    <n v="447"/>
    <n v="0.04"/>
    <n v="0.1"/>
    <n v="6.8102799999999997"/>
    <n v="17.025700000000001"/>
  </r>
  <r>
    <x v="1"/>
    <s v="CNN BR"/>
    <s v="cnn-varejo-cnn-marca-video-pre_roll-cnn_cielo_superlink-as_25"/>
    <s v="282167456"/>
    <s v="Rich Media display banner"/>
    <s v="varejo-cnn-marca-video-pre_roll-1920x1080-cnn_cielo_superlink-as_25-cpm"/>
    <s v="476132069"/>
    <s v="In-Stream Video"/>
    <n v="77025"/>
    <n v="345"/>
    <n v="0.6"/>
    <n v="0.35"/>
    <n v="46.215000000000003"/>
    <n v="26.958749999999998"/>
  </r>
  <r>
    <x v="2"/>
    <s v="Oath - Verizon Media"/>
    <s v="covid19-marca-verizon-marca-social_dark-native-institucional_corona-as_25_interesses_varejo"/>
    <s v="271001565"/>
    <s v="Dynamic Click"/>
    <s v="marca-marca-social_dark-native-627x627-institucional_corona-as_25_interesses_varejo-cpm"/>
    <s v="465500034"/>
    <s v="Tracking"/>
    <n v="0"/>
    <n v="1"/>
    <n v="3.5000000000000001E-3"/>
    <n v="2.5000000000000001E-2"/>
    <n v="3.5000000000000001E-3"/>
    <n v="2.5000000000000001E-2"/>
  </r>
  <r>
    <x v="3"/>
    <s v="Google Brasil"/>
    <s v="digitalizacao-marca-dv360-marca-display-display-app_instal_estatico_ios-base_clientes_digitalizacao"/>
    <s v="280868915"/>
    <s v="Standard"/>
    <s v="marca-dv360-marca-display-display-320x50-app_instal_estatico_ios-base_clientes_digitalizacao-cpm"/>
    <s v="474932480"/>
    <s v="Display"/>
    <n v="7844"/>
    <n v="18"/>
    <n v="0.04"/>
    <n v="0.1"/>
    <n v="0.31375999999999998"/>
    <n v="0.7844000000000001"/>
  </r>
  <r>
    <x v="3"/>
    <s v="Google Brasil"/>
    <s v="digitalizacao-marca-dv360-marca-display-display-app_instal_estatico_ios-base_clientes_digitalizacao"/>
    <s v="280868921"/>
    <s v="Standard"/>
    <s v="marca-dv360-marca-display-display-300x250-app_instal_estatico_ios-base_clientes_digitalizacao-cpm"/>
    <s v="474932486"/>
    <s v="Display"/>
    <n v="1510"/>
    <n v="2"/>
    <n v="0.04"/>
    <n v="0.1"/>
    <n v="6.0399999999999995E-2"/>
    <n v="0.151"/>
  </r>
  <r>
    <x v="3"/>
    <s v="Google Brasil"/>
    <s v="digitalizacao-marca-dv360-marca-display-display-app_instal_estatico_ios-base_clientes_digitalizacao"/>
    <s v="280868927"/>
    <s v="Standard"/>
    <s v="marca-dv360-marca-display-display-320x480-app_instal_estatico_ios-base_clientes_digitalizacao-cpm"/>
    <s v="474932492"/>
    <s v="Display"/>
    <n v="676"/>
    <n v="10"/>
    <n v="0.04"/>
    <n v="0.1"/>
    <n v="2.7039999999999998E-2"/>
    <n v="6.7600000000000007E-2"/>
  </r>
  <r>
    <x v="3"/>
    <s v="Google Brasil"/>
    <s v="digitalizacao-marca-dv360-marca-display-medium_rectangle-visitas_site_estatico_atendimento_online-base_clientes_digitalizacao"/>
    <s v="280868882"/>
    <s v="Standard"/>
    <s v="marca-dv360-marca-display-medium_rectangle-300x250-visitas_site_estatico_atendimento_online-base_clientes_digitalizacao-cpm"/>
    <s v="474932447"/>
    <s v="Display"/>
    <n v="2527975"/>
    <n v="1593"/>
    <n v="0.04"/>
    <n v="0.1"/>
    <n v="101.119"/>
    <n v="252.79750000000001"/>
  </r>
  <r>
    <x v="3"/>
    <s v="Google Brasil"/>
    <s v="digitalizacao-marca-dv360-marca-display-medium_rectangle-visitas_site_estatico_contratacao_produtos-base_clientes_digitalizacao"/>
    <s v="280868879"/>
    <s v="Standard"/>
    <s v="marca-dv360-marca-display-medium_rectangle-300x250-visitas_site_estatico_contratacao_produtos-base_clientes_digitalizacao-cpm"/>
    <s v="474932444"/>
    <s v="Display"/>
    <n v="4691326"/>
    <n v="4759"/>
    <n v="0.04"/>
    <n v="0.1"/>
    <n v="187.65304"/>
    <n v="469.13260000000002"/>
  </r>
  <r>
    <x v="3"/>
    <s v="Google Brasil"/>
    <s v="digitalizacao-marca-dv360-marca-video-video-app_instal_ganhe_tempo_video15_android-base_clientes_digitalizacao"/>
    <s v="281241222"/>
    <s v="Rich Media display banner"/>
    <s v="marca-dv360-marca-video-video-640x360-app_instal_ganhe_tempo_video15_android-base_clientes_digitalizacao-cpm"/>
    <s v="475271601"/>
    <s v="In-Stream Video"/>
    <n v="2"/>
    <n v="0"/>
    <n v="0.6"/>
    <n v="0.35"/>
    <n v="1.1999999999999999E-3"/>
    <n v="6.9999999999999999E-4"/>
  </r>
  <r>
    <x v="3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790547"/>
    <n v="1267"/>
    <n v="0.6"/>
    <n v="0.35"/>
    <n v="474.32819999999998"/>
    <n v="276.69144999999997"/>
  </r>
  <r>
    <x v="3"/>
    <s v="Google Brasil"/>
    <s v="digitalizacao-marca-dv360-marca-video-video-visitas_site_promocoes_maquina_video15-base_clientes_digitalizacao"/>
    <s v="281241234"/>
    <s v="Rich Media display banner"/>
    <s v="marca-dv360-marca-video-video-640x360-visitas_site_promocoes_maquina_video15-base_clientes_digitalizacao-cpm"/>
    <s v="475271613"/>
    <s v="In-Stream Video"/>
    <n v="1098189"/>
    <n v="1719"/>
    <n v="0.6"/>
    <n v="0.35"/>
    <n v="658.91340000000002"/>
    <n v="384.36614999999995"/>
  </r>
  <r>
    <x v="3"/>
    <s v="Oath - Verizon Media"/>
    <s v="digitalizacao-marca-verizon-marca-display-billboard-visitas_site_animado-base_clientes_digitalizacao"/>
    <s v="280868825"/>
    <s v="Standard"/>
    <s v="marca-verizon-marca-display-billboard-970x250-visitas_site_animado-base_clientes_digitalizacao-cpm"/>
    <s v="474922190"/>
    <s v="Display"/>
    <n v="49259"/>
    <n v="81"/>
    <n v="0.04"/>
    <n v="0.1"/>
    <n v="1.9703600000000001"/>
    <n v="4.9259000000000004"/>
  </r>
  <r>
    <x v="3"/>
    <s v="Oath - Verizon Media"/>
    <s v="digitalizacao-marca-verizon-marca-display-billboard-visitas_site_estatico-base_clientes_digitalizacao"/>
    <s v="280746893"/>
    <s v="Standard"/>
    <s v="marca-verizon-marca-display-billboard-970x250-visitas_site_estatico-base_clientes_digitalizacao-cpm"/>
    <s v="474870796"/>
    <s v="Display"/>
    <n v="50048"/>
    <n v="106"/>
    <n v="0.04"/>
    <n v="0.1"/>
    <n v="2.0019200000000001"/>
    <n v="5.0048000000000004"/>
  </r>
  <r>
    <x v="3"/>
    <s v="Oath - Verizon Media"/>
    <s v="digitalizacao-marca-verizon-marca-display-large_mobile_banner-visitas_site_animado-base_clientes_digitalizacao"/>
    <s v="280868831"/>
    <s v="Standard"/>
    <s v="marca-verizon-marca-display-large_mobile_banner-320x100-visitas_site_animado-base_clientes_digitalizacao-cpm"/>
    <s v="474932396"/>
    <s v="Display"/>
    <n v="195090"/>
    <n v="508"/>
    <n v="0.04"/>
    <n v="0.1"/>
    <n v="7.8036000000000003"/>
    <n v="19.509"/>
  </r>
  <r>
    <x v="3"/>
    <s v="Oath - Verizon Media"/>
    <s v="digitalizacao-marca-verizon-marca-display-large_rectangle-visitas_site_animado-base_clientes_digitalizacao"/>
    <s v="280868828"/>
    <s v="Standard"/>
    <s v="marca-verizon-marca-display-large_rectangle-336x280-visitas_site_animado-base_clientes_digitalizacao-cpm"/>
    <s v="474932393"/>
    <s v="Display"/>
    <n v="46684"/>
    <n v="387"/>
    <n v="0.04"/>
    <n v="0.1"/>
    <n v="1.8673600000000001"/>
    <n v="4.6684000000000001"/>
  </r>
  <r>
    <x v="3"/>
    <s v="Oath - Verizon Media"/>
    <s v="digitalizacao-marca-verizon-marca-display-leaderboard-visitas_site_animado-base_clientes_digitalizacao"/>
    <s v="280868942"/>
    <s v="Standard"/>
    <s v="marca-verizon-marca-display-leaderboard-728x90-visitas_site_animado-base_clientes_digitalizacao-cpm"/>
    <s v="474932507"/>
    <s v="Display"/>
    <n v="701870"/>
    <n v="857"/>
    <n v="0.04"/>
    <n v="0.1"/>
    <n v="28.0748"/>
    <n v="70.186999999999998"/>
  </r>
  <r>
    <x v="3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1"/>
    <n v="0"/>
    <n v="0.04"/>
    <n v="0.1"/>
    <n v="4.0000000000000003E-5"/>
    <n v="1E-4"/>
  </r>
  <r>
    <x v="3"/>
    <s v="Oath - Verizon Media"/>
    <s v="digitalizacao-marca-verizon-marca-display-medium_rectangle-visitas_site_animado-base_clientes_digitalizacao"/>
    <s v="280868936"/>
    <s v="Standard"/>
    <s v="marca-verizon-marca-display-medium_rectangle-300x250-visitas_site_animado-base_clientes_digitalizacao-cpm"/>
    <s v="474932501"/>
    <s v="Display"/>
    <n v="997957"/>
    <n v="398"/>
    <n v="0.04"/>
    <n v="0.1"/>
    <n v="39.918279999999996"/>
    <n v="99.795700000000011"/>
  </r>
  <r>
    <x v="3"/>
    <s v="Oath - Verizon Media"/>
    <s v="digitalizacao-marca-verizon-marca-display-medium_rectangle-visitas_site_estatico_acesse_agora-base_clientes_digitalizacao"/>
    <s v="280950718"/>
    <s v="Standard"/>
    <s v="marca-verizon-marca-display-medium_rectangle-300x250-visitas_site_estatico_acesse_agora-base_clientes_digitalizacao-cpm"/>
    <s v="474796685"/>
    <s v="Display"/>
    <n v="673329"/>
    <n v="403"/>
    <n v="0.04"/>
    <n v="0.1"/>
    <n v="26.933160000000001"/>
    <n v="67.332900000000009"/>
  </r>
  <r>
    <x v="3"/>
    <s v="Oath - Verizon Media"/>
    <s v="digitalizacao-marca-verizon-marca-display-medium_rectangle-visitas_site_estatico_confira-base_clientes_digitalizacao"/>
    <s v="280746896"/>
    <s v="Standard"/>
    <s v="marca-verizon-marca-display-medium_rectangle-300x250-visitas_site_estatico_confira-base_clientes_digitalizacao-cpm"/>
    <s v="474870799"/>
    <s v="Display"/>
    <n v="798813"/>
    <n v="434"/>
    <n v="0.04"/>
    <n v="0.1"/>
    <n v="31.95252"/>
    <n v="79.881299999999996"/>
  </r>
  <r>
    <x v="3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2"/>
    <n v="3.5000000000000001E-3"/>
    <n v="2.5000000000000001E-2"/>
    <n v="7.0000000000000001E-3"/>
    <n v="0.05"/>
  </r>
  <r>
    <x v="4"/>
    <s v="Google Brasil"/>
    <s v="empreendedores-empreendedores-dv360-flash-display-halfpage-empreendedores_flash_animada_bau-affinities_inmarket_empreendedores"/>
    <s v="277872206"/>
    <s v="Standard"/>
    <s v="empreendedores-dv360-flash-display-halfpage-300x600-empreendedores_flash_animada_bau-affinities_inmarket_empreendedores-cpm"/>
    <s v="472323048"/>
    <s v="Display"/>
    <n v="61833"/>
    <n v="6073"/>
    <n v="0.04"/>
    <n v="0.1"/>
    <n v="2.4733200000000002"/>
    <n v="6.1833"/>
  </r>
  <r>
    <x v="4"/>
    <s v="Google Brasil"/>
    <s v="empreendedores-empreendedores-dv360-flash-display-large_mobile_banner-empreendedores_flash_animada_bau-affinities_inmarket_empreendedores"/>
    <s v="277872197"/>
    <s v="Standard"/>
    <s v="empreendedores-dv360-flash-display-large_mobile_banner-320x100-empreendedores_flash_animada_bau-affinities_inmarket_empreendedores-cpm"/>
    <s v="472323039"/>
    <s v="Display"/>
    <n v="357"/>
    <n v="3"/>
    <n v="0.04"/>
    <n v="0.1"/>
    <n v="1.4280000000000001E-2"/>
    <n v="3.5700000000000003E-2"/>
  </r>
  <r>
    <x v="4"/>
    <s v="Google Brasil"/>
    <s v="empreendedores-empreendedores-dv360-flash-display-large_mobile_banner-empreendedores_flash_animada_bau-affinities_inmarket_empreendedores"/>
    <s v="278068147"/>
    <s v="Standard"/>
    <s v="empreendedores-dv360-flash-display-large_mobile_banner-320x100-empreendedores_flash_animada_bau-affinities_inmarket_empreendedores-cpm"/>
    <s v="472261692"/>
    <s v="Display"/>
    <n v="14"/>
    <n v="3"/>
    <n v="0.04"/>
    <n v="0.1"/>
    <n v="5.6000000000000006E-4"/>
    <n v="1.4000000000000002E-3"/>
  </r>
  <r>
    <x v="4"/>
    <s v="Google Brasil"/>
    <s v="empreendedores-empreendedores-dv360-flash-display-large_rectangle-empreendedores_flash_animada_bau-affinities_inmarket_empreendedores"/>
    <s v="277872191"/>
    <s v="Standard"/>
    <s v="empreendedores-dv360-flash-display-large_rectangle-336x280-empreendedores_flash_animada_bau-affinities_inmarket_empreendedores-cpm"/>
    <s v="472323033"/>
    <s v="Display"/>
    <n v="61936"/>
    <n v="7288"/>
    <n v="0.04"/>
    <n v="0.1"/>
    <n v="2.4774400000000001"/>
    <n v="6.1936"/>
  </r>
  <r>
    <x v="4"/>
    <s v="Google Brasil"/>
    <s v="empreendedores-empreendedores-dv360-flash-display-large_rectangle-empreendedores_flash_animada_bau-affinities_inmarket_empreendedores"/>
    <s v="278068135"/>
    <s v="Standard"/>
    <s v="empreendedores-dv360-flash-display-large_rectangle-336x280-empreendedores_flash_animada_bau-affinities_inmarket_empreendedores-cpm"/>
    <s v="472261680"/>
    <s v="Display"/>
    <n v="17200"/>
    <n v="3074"/>
    <n v="0.04"/>
    <n v="0.1"/>
    <n v="0.68799999999999994"/>
    <n v="1.72"/>
  </r>
  <r>
    <x v="4"/>
    <s v="Google Brasil"/>
    <s v="empreendedores-empreendedores-dv360-flash-display-leaderboard-empreendedores_flash_animada_bau-affinities_inmarket_empreendedores"/>
    <s v="277872200"/>
    <s v="Standard"/>
    <s v="empreendedores-dv360-flash-display-leaderboard-728x90-empreendedores_flash_animada_bau-affinities_inmarket_empreendedores-cpm"/>
    <s v="472323042"/>
    <s v="Display"/>
    <n v="165"/>
    <n v="0"/>
    <n v="0.04"/>
    <n v="0.1"/>
    <n v="6.6000000000000008E-3"/>
    <n v="1.6500000000000001E-2"/>
  </r>
  <r>
    <x v="4"/>
    <s v="Google Brasil"/>
    <s v="empreendedores-empreendedores-dv360-flash-display-medium_rectangle-empreendedores_flash_animada_bau-affinities_inmarket_empreendedores"/>
    <s v="277872203"/>
    <s v="Standard"/>
    <s v="empreendedores-dv360-flash-display-medium_rectangle-300x250-empreendedores_flash_animada_bau-affinities_inmarket_empreendedores-cpm"/>
    <s v="472323045"/>
    <s v="Display"/>
    <n v="4713"/>
    <n v="508"/>
    <n v="0.04"/>
    <n v="0.1"/>
    <n v="0.18852000000000002"/>
    <n v="0.4713"/>
  </r>
  <r>
    <x v="4"/>
    <s v="Google Brasil"/>
    <s v="empreendedores-empreendedores-dv360-flash-display-medium_rectangle-empreendedores_flash_animada_bau-affinities_inmarket_empreendedores"/>
    <s v="278068153"/>
    <s v="Standard"/>
    <s v="empreendedores-dv360-flash-display-medium_rectangle-300x250-empreendedores_flash_animada_bau-affinities_inmarket_empreendedores-cpm"/>
    <s v="472261698"/>
    <s v="Display"/>
    <n v="1475"/>
    <n v="171"/>
    <n v="0.04"/>
    <n v="0.1"/>
    <n v="5.8999999999999997E-2"/>
    <n v="0.14749999999999999"/>
  </r>
  <r>
    <x v="4"/>
    <s v="Google Brasil"/>
    <s v="empreendedores-empreendedores-dv360-flash-display-mobile_leaderboard-empreendedores_flash_animada_bau-affinities_inmarket_empreendedores"/>
    <s v="277872194"/>
    <s v="Standard"/>
    <s v="empreendedores-dv360-flash-display-mobile_leaderboard-320x50-empreendedores_flash_animada_bau-affinities_inmarket_empreendedores-cpm"/>
    <s v="472323036"/>
    <s v="Display"/>
    <n v="6346"/>
    <n v="74"/>
    <n v="0.04"/>
    <n v="0.1"/>
    <n v="0.25384000000000001"/>
    <n v="0.63460000000000005"/>
  </r>
  <r>
    <x v="4"/>
    <s v="Google Brasil"/>
    <s v="empreendedores-empreendedores-dv360-flash-display-mobile_leaderboard-empreendedores_flash_animada_bau-affinities_inmarket_empreendedores"/>
    <s v="278068144"/>
    <s v="Standard"/>
    <s v="empreendedores-dv360-flash-display-mobile_leaderboard-320x50-empreendedores_flash_animada_bau-affinities_inmarket_empreendedores-cpm"/>
    <s v="472261689"/>
    <s v="Display"/>
    <n v="172"/>
    <n v="10"/>
    <n v="0.04"/>
    <n v="0.1"/>
    <n v="6.8799999999999998E-3"/>
    <n v="1.72E-2"/>
  </r>
  <r>
    <x v="4"/>
    <s v="Google Brasil"/>
    <s v="empreendedores-empreendedores-dv360-flash-display-small_rectangle-empreendedores_flash_animada_bau-affinities_inmarket_empreendedores"/>
    <s v="277872188"/>
    <s v="Standard"/>
    <s v="empreendedores-dv360-flash-display-small_rectangle-180x150-empreendedores_flash_animada_bau-affinities_inmarket_empreendedores-cpm"/>
    <s v="472323030"/>
    <s v="Display"/>
    <n v="11"/>
    <n v="1"/>
    <n v="0.04"/>
    <n v="0.1"/>
    <n v="4.4000000000000002E-4"/>
    <n v="1.1000000000000001E-3"/>
  </r>
  <r>
    <x v="4"/>
    <s v="Google Brasil"/>
    <s v="empreendedores-empreendedores-dv360-flash-display-wide_skyscraper-empreendedores_flash_animada_bau-affinities_inmarket_empreendedores"/>
    <s v="277872185"/>
    <s v="Standard"/>
    <s v="empreendedores-dv360-flash-display-wide_skyscraper-160x600-empreendedores_flash_animada_bau-affinities_inmarket_empreendedores-cpm"/>
    <s v="472323027"/>
    <s v="Display"/>
    <n v="9"/>
    <n v="0"/>
    <n v="0.04"/>
    <n v="0.1"/>
    <n v="3.5999999999999997E-4"/>
    <n v="8.9999999999999998E-4"/>
  </r>
  <r>
    <x v="4"/>
    <s v="Google Brasil"/>
    <s v="empreendedores-empreendedores-dv360-zip-display-halfpage-empreendedores_zip_animada_bau-affinities_inmarket_empreendedores"/>
    <s v="277872254"/>
    <s v="Standard"/>
    <s v="empreendedores-dv360-zip-display-halfpage-300x600-empreendedores_zip_animada_bau-affinities_inmarket_empreendedores-cpm"/>
    <s v="472325196"/>
    <s v="Display"/>
    <n v="14253"/>
    <n v="1509"/>
    <n v="0.04"/>
    <n v="0.1"/>
    <n v="0.57011999999999996"/>
    <n v="1.4253000000000002"/>
  </r>
  <r>
    <x v="4"/>
    <s v="Google Brasil"/>
    <s v="empreendedores-empreendedores-dv360-zip-display-halfpage-empreendedores_zip_animada_bau-affinities_inmarket_empreendedores"/>
    <s v="278044510"/>
    <s v="Standard"/>
    <s v="empreendedores-dv360-zip-display-halfpage-300x600-empreendedores_zip_animada_bau-affinities_inmarket_empreendedores-cpm"/>
    <s v="472151899"/>
    <s v="Display"/>
    <n v="56436"/>
    <n v="8729"/>
    <n v="0.04"/>
    <n v="0.1"/>
    <n v="2.2574399999999999"/>
    <n v="5.6436000000000002"/>
  </r>
  <r>
    <x v="4"/>
    <s v="Google Brasil"/>
    <s v="empreendedores-empreendedores-dv360-zip-display-large_mobile_banner-empreendedores_zip_animada_bau-affinities_inmarket_empreendedores"/>
    <s v="277872236"/>
    <s v="Standard"/>
    <s v="empreendedores-dv360-zip-display-large_mobile_banner-320x100-empreendedores_zip_animada_bau-affinities_inmarket_empreendedores-cpm"/>
    <s v="472323078"/>
    <s v="Display"/>
    <n v="118"/>
    <n v="1"/>
    <n v="0.04"/>
    <n v="0.1"/>
    <n v="4.7199999999999994E-3"/>
    <n v="1.1800000000000001E-2"/>
  </r>
  <r>
    <x v="4"/>
    <s v="Google Brasil"/>
    <s v="empreendedores-empreendedores-dv360-zip-display-large_mobile_banner-empreendedores_zip_animada_bau-affinities_inmarket_empreendedores"/>
    <s v="278044501"/>
    <s v="Standard"/>
    <s v="empreendedores-dv360-zip-display-large_mobile_banner-320x100-empreendedores_zip_animada_bau-affinities_inmarket_empreendedores-cpm"/>
    <s v="472151890"/>
    <s v="Display"/>
    <n v="24"/>
    <n v="0"/>
    <n v="0.04"/>
    <n v="0.1"/>
    <n v="9.5999999999999992E-4"/>
    <n v="2.4000000000000002E-3"/>
  </r>
  <r>
    <x v="4"/>
    <s v="Google Brasil"/>
    <s v="empreendedores-empreendedores-dv360-zip-display-large_rectangle-empreendedores_zip_animada_bau-affinities_inmarket_empreendedores"/>
    <s v="277872212"/>
    <s v="Standard"/>
    <s v="empreendedores-dv360-zip-display-large_rectangle-336x280-empreendedores_zip_animada_bau-affinities_inmarket_empreendedores-cpm"/>
    <s v="472323054"/>
    <s v="Display"/>
    <n v="44340"/>
    <n v="5432"/>
    <n v="0.04"/>
    <n v="0.1"/>
    <n v="1.7736000000000001"/>
    <n v="4.4340000000000002"/>
  </r>
  <r>
    <x v="4"/>
    <s v="Google Brasil"/>
    <s v="empreendedores-empreendedores-dv360-zip-display-leaderboard-empreendedores_zip_animada_bau-affinities_inmarket_empreendedores"/>
    <s v="277872242"/>
    <s v="Standard"/>
    <s v="empreendedores-dv360-zip-display-leaderboard-728x90-empreendedores_zip_animada_bau-affinities_inmarket_empreendedores-cpm"/>
    <s v="472325184"/>
    <s v="Display"/>
    <n v="764"/>
    <n v="18"/>
    <n v="0.04"/>
    <n v="0.1"/>
    <n v="3.0560000000000004E-2"/>
    <n v="7.640000000000001E-2"/>
  </r>
  <r>
    <x v="4"/>
    <s v="Google Brasil"/>
    <s v="empreendedores-empreendedores-dv360-zip-display-leaderboard-empreendedores_zip_animada_bau-affinities_inmarket_empreendedores"/>
    <s v="278044504"/>
    <s v="Standard"/>
    <s v="empreendedores-dv360-zip-display-leaderboard-728x90-empreendedores_zip_animada_bau-affinities_inmarket_empreendedores-cpm"/>
    <s v="472151893"/>
    <s v="Display"/>
    <n v="16"/>
    <n v="0"/>
    <n v="0.04"/>
    <n v="0.1"/>
    <n v="6.4000000000000005E-4"/>
    <n v="1.6000000000000001E-3"/>
  </r>
  <r>
    <x v="4"/>
    <s v="Google Brasil"/>
    <s v="empreendedores-empreendedores-dv360-zip-display-medium_rectangle-empreendedores_zip_animada_bau-affinities_inmarket_empreendedores"/>
    <s v="277872248"/>
    <s v="Standard"/>
    <s v="empreendedores-dv360-zip-display-medium_rectangle-300x250-empreendedores_zip_animada_bau-affinities_inmarket_empreendedores-cpm"/>
    <s v="472325190"/>
    <s v="Display"/>
    <n v="4296"/>
    <n v="493"/>
    <n v="0.04"/>
    <n v="0.1"/>
    <n v="0.17183999999999999"/>
    <n v="0.42960000000000004"/>
  </r>
  <r>
    <x v="4"/>
    <s v="Google Brasil"/>
    <s v="empreendedores-empreendedores-dv360-zip-display-medium_rectangle-empreendedores_zip_animada_bau-affinities_inmarket_empreendedores"/>
    <s v="278044507"/>
    <s v="Standard"/>
    <s v="empreendedores-dv360-zip-display-medium_rectangle-300x250-empreendedores_zip_animada_bau-affinities_inmarket_empreendedores-cpm"/>
    <s v="472151896"/>
    <s v="Display"/>
    <n v="14225"/>
    <n v="1892"/>
    <n v="0.04"/>
    <n v="0.1"/>
    <n v="0.56899999999999995"/>
    <n v="1.4225000000000001"/>
  </r>
  <r>
    <x v="4"/>
    <s v="Google Brasil"/>
    <s v="empreendedores-empreendedores-dv360-zip-display-mobile_leaderboard-empreendedores_zip_animada_bau-affinities_inmarket_empreendedores"/>
    <s v="277872230"/>
    <s v="Standard"/>
    <s v="empreendedores-dv360-zip-display-mobile_leaderboard-320x50-empreendedores_zip_animada_bau-affinities_inmarket_empreendedores-cpm"/>
    <s v="472323072"/>
    <s v="Display"/>
    <n v="15236"/>
    <n v="110"/>
    <n v="0.04"/>
    <n v="0.1"/>
    <n v="0.60944000000000009"/>
    <n v="1.5236000000000001"/>
  </r>
  <r>
    <x v="4"/>
    <s v="Google Brasil"/>
    <s v="empreendedores-empreendedores-dv360-zip-display-mobile_leaderboard-empreendedores_zip_animada_bau-affinities_inmarket_empreendedores"/>
    <s v="278044498"/>
    <s v="Standard"/>
    <s v="empreendedores-dv360-zip-display-mobile_leaderboard-320x50-empreendedores_zip_animada_bau-affinities_inmarket_empreendedores-cpm"/>
    <s v="472151887"/>
    <s v="Display"/>
    <n v="2148"/>
    <n v="23"/>
    <n v="0.04"/>
    <n v="0.1"/>
    <n v="8.5919999999999996E-2"/>
    <n v="0.21480000000000002"/>
  </r>
  <r>
    <x v="4"/>
    <s v="Google Brasil"/>
    <s v="empreendedores-empreendedores-dv360-zip-display-small_rectangle-empreendedores_zip_animada_bau-affinities_inmarket_empreendedores"/>
    <s v="277872224"/>
    <s v="Standard"/>
    <s v="empreendedores-dv360-zip-display-small_rectangle-180x150-empreendedores_zip_animada_bau-affinities_inmarket_empreendedores-cpm"/>
    <s v="472323066"/>
    <s v="Display"/>
    <n v="18"/>
    <n v="0"/>
    <n v="0.04"/>
    <n v="0.1"/>
    <n v="7.1999999999999994E-4"/>
    <n v="1.8E-3"/>
  </r>
  <r>
    <x v="4"/>
    <s v="Google Brasil"/>
    <s v="empreendedores-empreendedores-dv360-zip-display-small_rectangle-empreendedores_zip_animada_bau-affinities_inmarket_empreendedores"/>
    <s v="278044495"/>
    <s v="Standard"/>
    <s v="empreendedores-dv360-zip-display-small_rectangle-180x150-empreendedores_zip_animada_bau-affinities_inmarket_empreendedores-cpm"/>
    <s v="472151884"/>
    <s v="Display"/>
    <n v="5"/>
    <n v="0"/>
    <n v="0.04"/>
    <n v="0.1"/>
    <n v="2.0000000000000001E-4"/>
    <n v="5.0000000000000001E-4"/>
  </r>
  <r>
    <x v="4"/>
    <s v="Google Brasil"/>
    <s v="empreendedores-empreendedores-dv360-zip-display-wide_skyscraper-empreendedores_zip_animada_bau-affinities_inmarket_empreendedores"/>
    <s v="277872218"/>
    <s v="Standard"/>
    <s v="empreendedores-dv360-zip-display-wide_skyscraper-160x600-empreendedores_zip_animada_bau-affinities_inmarket_empreendedores-cpm"/>
    <s v="472323060"/>
    <s v="Display"/>
    <n v="74"/>
    <n v="4"/>
    <n v="0.04"/>
    <n v="0.1"/>
    <n v="2.96E-3"/>
    <n v="7.4000000000000003E-3"/>
  </r>
  <r>
    <x v="4"/>
    <s v="Oath - Verizon Media"/>
    <s v="empreendedores-empreendedores-verizon-flash-display-halfpage-empreendedores_flash_animada_bau-pequeno_empreendedor_look-a-like_ e_predictive audience"/>
    <s v="278044528"/>
    <s v="Standard"/>
    <s v="empreendedores-verizon-flash-display-halfpage-300x600-empreendedores_flash_animada_bau-pequeno_empreendedor_look-a-like_ e_predictive audience-cpm"/>
    <s v="472151917"/>
    <s v="Display"/>
    <n v="0"/>
    <n v="1"/>
    <n v="0.04"/>
    <n v="0.1"/>
    <n v="0"/>
    <n v="0"/>
  </r>
  <r>
    <x v="4"/>
    <s v="Oath - Verizon Media"/>
    <s v="empreendedores-empreendedores-verizon-flash-display-mobile_leaderboard-empreendedores_flash_animada_bau-pequeno_empreendedor_look-a-like_ e_predictive audience"/>
    <s v="278044531"/>
    <s v="Standard"/>
    <s v="empreendedores-verizon-flash-display-mobile_leaderboard-320x50-empreendedores_flash_animada_bau-pequeno_empreendedor_look-a-like_ e_predictive audience-cpm"/>
    <s v="472165721"/>
    <s v="Display"/>
    <n v="2"/>
    <n v="0"/>
    <n v="0.04"/>
    <n v="0.1"/>
    <n v="8.0000000000000007E-5"/>
    <n v="2.0000000000000001E-4"/>
  </r>
  <r>
    <x v="4"/>
    <s v="Oath - Verizon Media"/>
    <s v="empreendedores-empreendedores-verizon-flash-display-wide_skyscraper-empreendedores_flash_animada_bau-pequeno_empreendedor_look-a-like_ e_predictive audience"/>
    <s v="278044525"/>
    <s v="Standard"/>
    <s v="empreendedores-verizon-flash-display-wide_skyscraper-160x600-empreendedores_flash_animada_bau-pequeno_empreendedor_look-a-like_ e_predictive audience-cpm"/>
    <s v="472151914"/>
    <s v="Display"/>
    <n v="1"/>
    <n v="0"/>
    <n v="0.04"/>
    <n v="0.1"/>
    <n v="4.0000000000000003E-5"/>
    <n v="1E-4"/>
  </r>
  <r>
    <x v="4"/>
    <s v="Oath - Verizon Media"/>
    <s v="empreendedores-empreendedores-verizon-lio+-native-native-empreendedores_lio_mais-pequeno_empreendedor_look-a-like_ e_predictive audience"/>
    <s v="276197453"/>
    <s v="Standard"/>
    <s v="empreendedores-verizon-lio+-native-native-627x627-empreendedores_lio_mais-pequeno_empreendedor_look-a-like_ e_predictive audience-cpc"/>
    <s v="470633105"/>
    <s v="Tracking"/>
    <n v="2"/>
    <n v="0"/>
    <n v="0.04"/>
    <n v="0.1"/>
    <n v="8.0000000000000007E-5"/>
    <n v="2.0000000000000001E-4"/>
  </r>
  <r>
    <x v="4"/>
    <s v="Oath - Verizon Media"/>
    <s v="empreendedores-empreendedores-verizon-lio+-native-native-empreendedores_lio_mais-pequeno_empreendedor_look-a-like_ e_predictive audience"/>
    <s v="276197993"/>
    <s v="Standard"/>
    <s v="empreendedores-verizon-lio+-native-native-1200x627-empreendedores_lio_mais-pequeno_empreendedor_look-a-like_ e_predictive audience-cpc"/>
    <s v="470726775"/>
    <s v="Tracking"/>
    <n v="1"/>
    <n v="0"/>
    <n v="0.04"/>
    <n v="0.1"/>
    <n v="4.0000000000000003E-5"/>
    <n v="1E-4"/>
  </r>
  <r>
    <x v="4"/>
    <s v="Oath - Verizon Media"/>
    <s v="empreendedores-empreendedores-verizon-zip-display-halfpage-empreendedores_zip_animada_bau-pequeno_empreendedor_look-a-like_ e_predictive audience"/>
    <s v="278044519"/>
    <s v="Standard"/>
    <s v="empreendedores-verizon-zip-display-halfpage-300x600-empreendedores_zip_animada_bau-pequeno_empreendedor_look-a-like_ e_predictive audience-cpm"/>
    <s v="472151908"/>
    <s v="Display"/>
    <n v="1"/>
    <n v="0"/>
    <n v="0.04"/>
    <n v="0.1"/>
    <n v="4.0000000000000003E-5"/>
    <n v="1E-4"/>
  </r>
  <r>
    <x v="4"/>
    <s v="Oath - Verizon Media"/>
    <s v="empreendedores-empreendedores-verizon-zip-display-leaderboard-empreendedores_zip_animada_bau-pequeno_empreendedor_look-a-like_ e_predictive audience"/>
    <s v="278044513"/>
    <s v="Standard"/>
    <s v="empreendedores-verizon-zip-display-leaderboard-728x90-empreendedores_zip_animada_bau-pequeno_empreendedor_look-a-like_ e_predictive audience-cpm"/>
    <s v="472151902"/>
    <s v="Display"/>
    <n v="2"/>
    <n v="0"/>
    <n v="0.04"/>
    <n v="0.1"/>
    <n v="8.0000000000000007E-5"/>
    <n v="2.0000000000000001E-4"/>
  </r>
  <r>
    <x v="4"/>
    <s v="Oath - Verizon Media"/>
    <s v="empreendedores-empreendedores-verizon-zip-display-mobile_leaderboard-empreendedores_zip_animada_bau-pequeno_empreendedor_look-a-like_ e_predictive audience"/>
    <s v="278044522"/>
    <s v="Standard"/>
    <s v="empreendedores-verizon-zip-display-mobile_leaderboard-320x50-empreendedores_zip_animada_bau-pequeno_empreendedor_look-a-like_ e_predictive audience-cpm"/>
    <s v="472151911"/>
    <s v="Display"/>
    <n v="4"/>
    <n v="0"/>
    <n v="0.04"/>
    <n v="0.1"/>
    <n v="1.6000000000000001E-4"/>
    <n v="4.0000000000000002E-4"/>
  </r>
  <r>
    <x v="4"/>
    <s v="Oath - Verizon Media"/>
    <s v="empreendedores-empreendedores-verizon-zip-display-wide_skyscraper-empreendedores_zip_animada_bau-pequeno_empreendedor_look-a-like_ e_predictive audience"/>
    <s v="278044516"/>
    <s v="Standard"/>
    <s v="empreendedores-verizon-zip-display-wide_skyscraper-160x600-empreendedores_zip_animada_bau-pequeno_empreendedor_look-a-like_ e_predictive audience-cpm"/>
    <s v="472151905"/>
    <s v="Display"/>
    <n v="1"/>
    <n v="0"/>
    <n v="0.04"/>
    <n v="0.1"/>
    <n v="4.0000000000000003E-5"/>
    <n v="1E-4"/>
  </r>
  <r>
    <x v="5"/>
    <s v="Oath - Verizon Media"/>
    <s v="nova_cielo-empreendedores-verizon-zip-native-native-zip_bandeiras-pequeno_empreendedor"/>
    <s v="271364833"/>
    <s v="Standard"/>
    <s v="empreendedores-verizon-zip-native-native-1200x627-zip_bandeiras-pequeno_empreendedor-cpm"/>
    <s v="465919416"/>
    <s v="Tracking"/>
    <n v="1"/>
    <n v="0"/>
    <n v="0.04"/>
    <n v="0.1"/>
    <n v="4.0000000000000003E-5"/>
    <n v="1E-4"/>
  </r>
  <r>
    <x v="6"/>
    <s v="BR Globo"/>
    <s v="pegn-marca-globo-marca-display-carrossel-pegn_cielo_coronavoucher-as_25_interesses"/>
    <s v="276812053"/>
    <s v="Standard"/>
    <s v="marca-globo-marca-display-carrossel-400x300-pegn_cielo_coronavoucher-as_25_interesses-cpm"/>
    <s v="471035097"/>
    <s v="Tracking"/>
    <n v="20704"/>
    <n v="77"/>
    <n v="0.04"/>
    <n v="0.1"/>
    <n v="0.82816000000000001"/>
    <n v="2.0704000000000002"/>
  </r>
  <r>
    <x v="6"/>
    <s v="BR Globo"/>
    <s v="pegn-marca-globo-marca-display-carrossel-pegn_cielo_superlink-as_25_interesses"/>
    <s v="282144197"/>
    <s v="Standard"/>
    <s v="marca-globo-marca-display-carrossel-400x300-pegn_cielo_superlink-as_25_interesses-cpm"/>
    <s v="476119853"/>
    <s v="Tracking"/>
    <n v="63933"/>
    <n v="246"/>
    <n v="0.04"/>
    <n v="0.1"/>
    <n v="2.5573200000000003"/>
    <n v="6.3933"/>
  </r>
  <r>
    <x v="6"/>
    <s v="BR Globo"/>
    <s v="pegn-marca-globo-marca-display-carrossel-pegn_cielo_superlink_lutadiaria-as_25_interesses"/>
    <s v="275645224"/>
    <s v="Standard"/>
    <s v="marca-globo-marca-display-carrossel-400x300-pegn_cielo_superlink_lutadiaria-as_25_interesses-cpm"/>
    <s v="469931074"/>
    <s v="Tracking"/>
    <n v="583688"/>
    <n v="2134"/>
    <n v="0.04"/>
    <n v="0.1"/>
    <n v="23.347519999999999"/>
    <n v="58.3688"/>
  </r>
  <r>
    <x v="6"/>
    <s v="BR Globo"/>
    <s v="pegn-marca-globo-marca-display-maxiboard-pegn_cielo_coronavoucher-as_25_interesses"/>
    <s v="276487391"/>
    <s v="Standard"/>
    <s v="marca-globo-marca-display-maxiboard-970x150-pegn_cielo_coronavoucher-as_25_interesses-cpm"/>
    <s v="470964913"/>
    <s v="Display"/>
    <n v="11777"/>
    <n v="14"/>
    <n v="0.04"/>
    <n v="0.1"/>
    <n v="0.47108"/>
    <n v="1.1777"/>
  </r>
  <r>
    <x v="6"/>
    <s v="BR Globo"/>
    <s v="pegn-marca-globo-marca-display-maxiboard-pegn_cielo_superlink-as_25_interesses"/>
    <s v="282156500"/>
    <s v="Standard"/>
    <s v="marca-globo-marca-display-maxiboard-970x150-pegn_cielo_superlink-as_25_interesses-cpm"/>
    <s v="476119856"/>
    <s v="Display"/>
    <n v="36899"/>
    <n v="23"/>
    <n v="0.04"/>
    <n v="0.1"/>
    <n v="1.4759599999999999"/>
    <n v="3.6899000000000002"/>
  </r>
  <r>
    <x v="6"/>
    <s v="BR Globo"/>
    <s v="pegn-marca-globo-marca-display-maxiboard-pegn_cielo_superlink_lutadiaria-as_25_interesses"/>
    <s v="275703516"/>
    <s v="Standard"/>
    <s v="marca-globo-marca-display-maxiboard-970x150-pegn_cielo_superlink_lutadiaria-as_25_interesses-cpm"/>
    <s v="469931347"/>
    <s v="Display"/>
    <n v="101715"/>
    <n v="45"/>
    <n v="0.04"/>
    <n v="0.1"/>
    <n v="4.0686"/>
    <n v="10.1715"/>
  </r>
  <r>
    <x v="6"/>
    <s v="BR Globo"/>
    <s v="pegn-marca-globo-marca-display-medium_rectangle-pegn_cielo_coronavoucher-as_25_interesses"/>
    <s v="276487394"/>
    <s v="Standard"/>
    <s v="marca-globo-marca-display-medium_rectangle-300x250-pegn_cielo_coronavoucher-as_25_interesses-cpm"/>
    <s v="470964916"/>
    <s v="Display"/>
    <n v="39076"/>
    <n v="115"/>
    <n v="0.04"/>
    <n v="0.1"/>
    <n v="1.56304"/>
    <n v="3.9076000000000004"/>
  </r>
  <r>
    <x v="6"/>
    <s v="BR Globo"/>
    <s v="pegn-marca-globo-marca-display-medium_rectangle-pegn_cielo_superlink-as_25_interesses"/>
    <s v="282156503"/>
    <s v="Standard"/>
    <s v="marca-globo-marca-display-medium_rectangle-300x250-pegn_cielo_superlink-as_25_interesses-cpm"/>
    <s v="476119859"/>
    <s v="Display"/>
    <n v="179905"/>
    <n v="529"/>
    <n v="0.04"/>
    <n v="0.1"/>
    <n v="7.1962000000000002"/>
    <n v="17.990500000000001"/>
  </r>
  <r>
    <x v="6"/>
    <s v="BR Globo"/>
    <s v="pegn-marca-globo-marca-display-medium_rectangle-pegn_cielo_superlink_lutadiaria-as_25_interesses"/>
    <s v="275345177"/>
    <s v="Standard"/>
    <s v="marca-globo-marca-display-medium_rectangle-300x250-pegn_cielo_superlink_lutadiaria-as_25_interesses-cpm"/>
    <s v="469931029"/>
    <s v="Display"/>
    <n v="466636"/>
    <n v="1253"/>
    <n v="0.04"/>
    <n v="0.1"/>
    <n v="18.66544"/>
    <n v="46.663600000000002"/>
  </r>
  <r>
    <x v="6"/>
    <s v="BR Globo"/>
    <s v="pegn-marca-globo-marca-display-stick_ad-pegn_cielo_coronavoucher-as_25_interesses"/>
    <s v="276487397"/>
    <s v="Standard"/>
    <s v="marca-globo-marca-display-stick_ad-320x50-pegn_cielo_coronavoucher-as_25_interesses-cpm"/>
    <s v="470964919"/>
    <s v="Display"/>
    <n v="248"/>
    <n v="0"/>
    <n v="0.04"/>
    <n v="0.1"/>
    <n v="9.92E-3"/>
    <n v="2.4799999999999999E-2"/>
  </r>
  <r>
    <x v="6"/>
    <s v="BR Globo"/>
    <s v="pegn-marca-globo-marca-display-stick_ad-pegn_cielo_superlink-as_25_interesses"/>
    <s v="282156506"/>
    <s v="Standard"/>
    <s v="marca-globo-marca-display-stick_ad-320x50-pegn_cielo_superlink-as_25_interesses-cpm"/>
    <s v="476119862"/>
    <s v="Display"/>
    <n v="189"/>
    <n v="3"/>
    <n v="0.04"/>
    <n v="0.1"/>
    <n v="7.5600000000000007E-3"/>
    <n v="1.8900000000000004E-2"/>
  </r>
  <r>
    <x v="6"/>
    <s v="BR Globo"/>
    <s v="pegn-marca-globo-marca-video-pre_roll-pegn_cielo_superlink-as_25_interesses"/>
    <s v="282144194"/>
    <s v="Rich Media display banner"/>
    <s v="marca-globo-marca-video-pre_roll-1920x1080-pegn_cielo_superlink-as_25_interesses-cpm"/>
    <s v="476119850"/>
    <s v="In-Stream Video"/>
    <n v="19483"/>
    <n v="306"/>
    <n v="0.6"/>
    <n v="0.35"/>
    <n v="11.6898"/>
    <n v="6.8190499999999989"/>
  </r>
  <r>
    <x v="7"/>
    <s v="Google Brasil"/>
    <s v="superlink-marca-dv360-superlink-display-halfpage-luta_diaria-affinities_inmarket_superlink"/>
    <s v="281616517"/>
    <s v="Standard"/>
    <s v="300x600 Default Web Ad"/>
    <s v="469359566"/>
    <s v="Display"/>
    <n v="2"/>
    <n v="1"/>
    <n v="0.04"/>
    <n v="0.1"/>
    <n v="8.0000000000000007E-5"/>
    <n v="2.0000000000000001E-4"/>
  </r>
  <r>
    <x v="7"/>
    <s v="Google Brasil"/>
    <s v="superlink-marca-dv360-superlink-display-halfpage-luta_diaria-affinities_inmarket_superlink"/>
    <s v="281616517"/>
    <s v="Standard"/>
    <s v="marca-dv360-superlink-display-halfpage-300x600-luta_diaria-affinities_inmarket_superlink-cpm"/>
    <s v="475546864"/>
    <s v="Display"/>
    <n v="3116292"/>
    <n v="204074"/>
    <n v="0.04"/>
    <n v="0.1"/>
    <n v="124.65168000000001"/>
    <n v="311.62920000000003"/>
  </r>
  <r>
    <x v="7"/>
    <s v="Google Brasil"/>
    <s v="superlink-marca-dv360-superlink-display-leaderboard-luta_diaria-affinities_inmarket_superlink"/>
    <s v="281616526"/>
    <s v="Standard"/>
    <s v="728x90 Default Web Ad"/>
    <s v="469359923"/>
    <s v="Display"/>
    <n v="7"/>
    <n v="1"/>
    <n v="0.04"/>
    <n v="0.1"/>
    <n v="2.8000000000000003E-4"/>
    <n v="7.000000000000001E-4"/>
  </r>
  <r>
    <x v="7"/>
    <s v="Google Brasil"/>
    <s v="superlink-marca-dv360-superlink-display-leaderboard-luta_diaria-affinities_inmarket_superlink"/>
    <s v="281616526"/>
    <s v="Standard"/>
    <s v="marca-dv360-superlink-display-leaderboard-728x90-luta_diaria-affinities_inmarket_superlink-cpm"/>
    <s v="475546855"/>
    <s v="Display"/>
    <n v="4173276"/>
    <n v="26742"/>
    <n v="0.04"/>
    <n v="0.1"/>
    <n v="166.93104"/>
    <n v="417.32760000000002"/>
  </r>
  <r>
    <x v="7"/>
    <s v="Google Brasil"/>
    <s v="superlink-marca-dv360-superlink-display-medium_rectangle-luta_diaria-affinities_inmarket_superlink"/>
    <s v="281616520"/>
    <s v="Standard"/>
    <s v="300x250 Default Web Ad"/>
    <s v="469441638"/>
    <s v="Display"/>
    <n v="5"/>
    <n v="1"/>
    <n v="0.04"/>
    <n v="0.1"/>
    <n v="2.0000000000000001E-4"/>
    <n v="5.0000000000000001E-4"/>
  </r>
  <r>
    <x v="7"/>
    <s v="Google Brasil"/>
    <s v="superlink-marca-dv360-superlink-display-medium_rectangle-luta_diaria-affinities_inmarket_superlink"/>
    <s v="281616520"/>
    <s v="Standard"/>
    <s v="marca-dv360-superlink-display-medium_rectangle-300x250-luta_diaria-affinities_inmarket_superlink-cpm"/>
    <s v="475546861"/>
    <s v="Display"/>
    <n v="4345718"/>
    <n v="46744"/>
    <n v="0.04"/>
    <n v="0.1"/>
    <n v="173.82872"/>
    <n v="434.57180000000005"/>
  </r>
  <r>
    <x v="7"/>
    <s v="Google Brasil"/>
    <s v="superlink-marca-dv360-superlink-display-skyscraper-luta_diaria-affinities_inmarket_superlink"/>
    <s v="281616523"/>
    <s v="Default"/>
    <s v="160x600 Default Web Ad"/>
    <s v="469372642"/>
    <s v="Display"/>
    <n v="1"/>
    <n v="1"/>
    <n v="0.04"/>
    <n v="0.1"/>
    <n v="4.0000000000000003E-5"/>
    <n v="1E-4"/>
  </r>
  <r>
    <x v="7"/>
    <s v="Google Brasil"/>
    <s v="superlink-marca-dv360-superlink-display-skyscraper-luta_diaria-affinities_inmarket_superlink"/>
    <s v="281616523"/>
    <s v="Standard"/>
    <s v="marca-dv360-superlink-display-skyscraper-160x600-luta_diaria-affinities_inmarket_superlink-cpm"/>
    <s v="475546858"/>
    <s v="Display"/>
    <n v="388766"/>
    <n v="988"/>
    <n v="0.04"/>
    <n v="0.1"/>
    <n v="15.55064"/>
    <n v="38.876599999999996"/>
  </r>
  <r>
    <x v="7"/>
    <s v="Google Brasil"/>
    <s v="superlink-marca-dv360_Cazamba-superlink-display-Interstitial-sl_luta_diaria-as25_empreendedor_varejo_interesses"/>
    <s v="279352308"/>
    <s v="Dynamic Click"/>
    <s v="marca-dv360_Cazamba-superlink-display-Interstitial-640x960-sl_luta_diaria-as25_empreendedor_varejo_interesses-cpm"/>
    <s v="473341439"/>
    <s v="Tracking"/>
    <n v="0"/>
    <n v="4"/>
    <n v="3.5000000000000001E-3"/>
    <n v="2.5000000000000001E-2"/>
    <n v="1.4E-2"/>
    <n v="0.1"/>
  </r>
  <r>
    <x v="7"/>
    <s v="Google Brasil"/>
    <s v="superlink-marca-dv360_Folha-superlink-display-halfpage-luta_diaria-AS25_microempreendedor_medioempreendedor_negocios_vendasonline_donosdenegocios"/>
    <s v="278993144"/>
    <s v="Standard"/>
    <s v="marca-dv360_Folha-superlink-display-halfpage-300x600-luta_diaria-AS25_microempreendedor_medioempreendedor_negocios_vendasonline_donosdenegocios-cpm"/>
    <s v="475357392"/>
    <s v="Display"/>
    <n v="601421"/>
    <n v="77"/>
    <n v="0.04"/>
    <n v="0.1"/>
    <n v="24.056840000000001"/>
    <n v="60.142100000000006"/>
  </r>
  <r>
    <x v="7"/>
    <s v="Google Brasil"/>
    <s v="superlink-marca-dv360_Folha-superlink-display-leaderboard-luta_diaria-AS25_microempreendedor_medioempreendedor_negocios_vendasonline_donosdenegocios"/>
    <s v="281348424"/>
    <s v="Standard"/>
    <s v="marca-dv360_Folha-superlink-display-leaderboard-728x90-luta_diaria-AS25_microempreendedor_medioempreendedor_negocios_vendasonline_donosdenegocios-cpm"/>
    <s v="475208060"/>
    <s v="Display"/>
    <n v="301742"/>
    <n v="34"/>
    <n v="0.04"/>
    <n v="0.1"/>
    <n v="12.06968"/>
    <n v="30.174199999999999"/>
  </r>
  <r>
    <x v="7"/>
    <s v="Google Brasil"/>
    <s v="superlink-marca-dv360_Folha-superlink-display-medium_rectangle-luta_diaria-AS25_microempreendedor_medioempreendedor_negocios_vendasonline_donosdenegocios"/>
    <s v="281348418"/>
    <s v="Default"/>
    <s v="300x250 Default Web Ad"/>
    <s v="469441638"/>
    <s v="Display"/>
    <n v="1"/>
    <n v="1"/>
    <n v="0.04"/>
    <n v="0.1"/>
    <n v="4.0000000000000003E-5"/>
    <n v="1E-4"/>
  </r>
  <r>
    <x v="7"/>
    <s v="Google Brasil"/>
    <s v="superlink-marca-dv360_Folha-superlink-display-medium_rectangle-luta_diaria-AS25_microempreendedor_medioempreendedor_negocios_vendasonline_donosdenegocios"/>
    <s v="281348418"/>
    <s v="Standard"/>
    <s v="marca-dv360_Folha-superlink-display-medium_rectangle-300x250-luta_diaria-AS25_microempreendedor_medioempreendedor_negocios_vendasonline_donosdenegocios-cpm"/>
    <s v="475357329"/>
    <s v="Display"/>
    <n v="850745"/>
    <n v="128"/>
    <n v="0.04"/>
    <n v="0.1"/>
    <n v="34.029800000000002"/>
    <n v="85.0745"/>
  </r>
  <r>
    <x v="7"/>
    <s v="Google Brasil"/>
    <s v="superlink-marca-dv360_Folha-superlink-display-skyscraper-luta_diaria-AS25_microempreendedor_medioempreendedor_negocios_vendasonline_donosdenegocios"/>
    <s v="281348421"/>
    <s v="Standard"/>
    <s v="marca-dv360_Folha-superlink-display-skyscraper-160x600-luta_diaria-AS25_microempreendedor_medioempreendedor_negocios_vendasonline_donosdenegocios-cpm"/>
    <s v="475208069"/>
    <s v="Display"/>
    <n v="1"/>
    <n v="1"/>
    <n v="0.04"/>
    <n v="0.1"/>
    <n v="4.0000000000000003E-5"/>
    <n v="1E-4"/>
  </r>
  <r>
    <x v="7"/>
    <s v="Google Brasil"/>
    <s v="superlink-marca-dv360_Outbrain-superlink-native-native_highimpact-superlink_vendapelasredessociais-AS25_microempreendedor_medioempreendedor_negocios_vendasonline_donosdenegocios"/>
    <s v="279256134"/>
    <s v="Standard"/>
    <s v="marca-dv360_Outbrain-superlink-native-native_highimpact-1200x627-superlink_vendapelasredessociais-AS25_microempreendedor_medioempreendedor_negocios_vendasonline_donosdenegocios-cpc"/>
    <s v="473287627"/>
    <s v="Tracking"/>
    <n v="1"/>
    <n v="0"/>
    <n v="0.04"/>
    <n v="0.1"/>
    <n v="4.0000000000000003E-5"/>
    <n v="1E-4"/>
  </r>
  <r>
    <x v="7"/>
    <s v="Google Brasil"/>
    <s v="superlink-marca-dv360_Outbrain-superlink-native-native_rectangle-superlink_vendapelasredessociais-AS25_microempreendedor_medioempreendedor_negocios_vendasonline_donosdenegocios"/>
    <s v="278995598"/>
    <s v="Standard"/>
    <s v="marca-dv360_Outbrain-superlink-native-native_rectangle-1200x627-superlink_vendapelasredessociais-AS25_microempreendedor_medioempreendedor_negocios_vendasonline_donosdenegocios-cpc"/>
    <s v="473258282"/>
    <s v="Tracking"/>
    <n v="1936076"/>
    <n v="2173"/>
    <n v="0.04"/>
    <n v="0.1"/>
    <n v="77.443040000000011"/>
    <n v="193.60760000000002"/>
  </r>
  <r>
    <x v="7"/>
    <s v="Google Brasil"/>
    <s v="superlink-marca-dv360_Roix-superlink-video-pre_roll-superlink_video30s-as25_microempreendedor_medioempreendedor_negocios_vendasonline_donosdenegocios"/>
    <s v="276627353"/>
    <s v="Rich Media display banner"/>
    <s v="marca-dv360_Roix-superlink-video-pre_roll-1920x1080-superlink_video30s-as25_microempreendedor_medioempreendedor_negocios_vendasonline_donosdenegocios-cpm"/>
    <s v="471083030"/>
    <s v="In-Stream Video"/>
    <n v="562615"/>
    <n v="1199"/>
    <n v="0.6"/>
    <n v="0.35"/>
    <n v="337.56900000000002"/>
    <n v="196.91524999999999"/>
  </r>
  <r>
    <x v="7"/>
    <s v="Google Brasil"/>
    <s v="superlink-marca-dv360_Seedtag-superlink-video-pre_roll-superlink_video30s-as25_microempreendedor_medioempreendedor_negocios_vendasonline_donosdenegocios"/>
    <s v="276627347"/>
    <s v="Rich Media display banner"/>
    <s v="marca-dv360_Seedtag-superlink-video-pre_roll-1920x1080-superlink_video30s-as25_microempreendedor_medioempreendedor_negocios_vendasonline_donosdenegocios-cpm"/>
    <s v="471083024"/>
    <s v="In-Stream Video"/>
    <n v="1629838"/>
    <n v="4432"/>
    <n v="0.6"/>
    <n v="0.35"/>
    <n v="977.90279999999996"/>
    <n v="570.44329999999991"/>
  </r>
  <r>
    <x v="7"/>
    <s v="Google Brasil"/>
    <s v="superlink-marca-dv360_Smartclip-superlink-video-pre_roll-superlink_video30s-as25_microempreendedor_medioempreendedor_negocios_vendasonline_donosdenegocios"/>
    <s v="276627350"/>
    <s v="Rich Media display banner"/>
    <s v="marca-dv360_Smartclip-superlink-video-pre_roll-1920x1080-superlink_video30s-as25_microempreendedor_medioempreendedor_negocios_vendasonline_donosdenegocios-cpm"/>
    <s v="471083027"/>
    <s v="In-Stream Video"/>
    <n v="769379"/>
    <n v="2908"/>
    <n v="0.6"/>
    <n v="0.35"/>
    <n v="461.62739999999997"/>
    <n v="269.28264999999999"/>
  </r>
  <r>
    <x v="7"/>
    <s v="Google Brasil"/>
    <s v="superlink-marca-dv360_Vidoomy-superlink-video-pre_roll-superlink_video30s-as25_microempreendedor_medioempreendedor_negocios_vendasonline_donosdenegocios"/>
    <s v="281283277"/>
    <s v="Rich Media display banner"/>
    <s v="marca-dv360_Vidoomy-superlink-video-pre_roll-1920x1080-superlink_video30s-as25_microempreendedor_medioempreendedor_negocios_vendasonline_donosdenegocios-cpm"/>
    <s v="475275066"/>
    <s v="In-Stream Video"/>
    <n v="681886"/>
    <n v="1164"/>
    <n v="0.6"/>
    <n v="0.35"/>
    <n v="409.13159999999999"/>
    <n v="238.66009999999997"/>
  </r>
  <r>
    <x v="7"/>
    <s v="IstoÉ"/>
    <s v="superlink-marca-istoe-marca-display-maxiboard-cielo_superlink-as_25_interesses_varejo"/>
    <s v="282484922"/>
    <s v="Standard"/>
    <s v="marca-istoe-marca-display-maxiboard-970x150-cielo_superlink-as_25_interesses_varejo-diaria"/>
    <s v="476630055"/>
    <s v="Display"/>
    <n v="44178"/>
    <n v="13"/>
    <n v="0.04"/>
    <n v="0.1"/>
    <n v="1.76712"/>
    <n v="4.4178000000000006"/>
  </r>
  <r>
    <x v="7"/>
    <s v="Oath - Verizon Media"/>
    <s v="superlink-marca-verizon-superlink-display-halfpage-sl_luta_diaria-AS25_microempreendedor_medioempreendedor_negocios_vendasonline_donosdenegocios"/>
    <s v="275210466"/>
    <s v="Standard"/>
    <s v="marca-verizon-superlink-display-halfpage-300x600-sl_luta_diaria-AS25_microempreendedor_medioempreendedor_negocios_vendasonline_donosdenegocios-cpm"/>
    <s v="469441062"/>
    <s v="Display"/>
    <n v="667025"/>
    <n v="967"/>
    <n v="0.04"/>
    <n v="0.1"/>
    <n v="26.681000000000001"/>
    <n v="66.702500000000001"/>
  </r>
  <r>
    <x v="7"/>
    <s v="Oath - Verizon Media"/>
    <s v="superlink-marca-verizon-superlink-display-leaderboard-sl_luta_diaria-AS25_microempreendedor_medioempreendedor_negocios_vendasonline_donosdenegocios"/>
    <s v="274854527"/>
    <s v="Standard"/>
    <s v="marca-verizon-superlink-display-leaderboard-728x90-sl_luta_diaria-AS25_microempreendedor_medioempreendedor_negocios_vendasonline_donosdenegocios-cpm"/>
    <s v="469441077"/>
    <s v="Display"/>
    <n v="2605462"/>
    <n v="2728"/>
    <n v="0.04"/>
    <n v="0.1"/>
    <n v="104.21848"/>
    <n v="260.5462"/>
  </r>
  <r>
    <x v="7"/>
    <s v="Oath - Verizon Media"/>
    <s v="superlink-marca-verizon-superlink-display-medium_rectangle-sl_luta_diaria-AS25_microempreendedor_medioempreendedor_negocios_vendasonline_donosdenegocios"/>
    <s v="275211564"/>
    <s v="Standard"/>
    <s v="marca-verizon-superlink-display-medium_rectangle-300x250-sl_luta_diaria-AS25_microempreendedor_medioempreendedor_negocios_vendasonline_donosdenegocios-cpm"/>
    <s v="469359629"/>
    <s v="Display"/>
    <n v="1657276"/>
    <n v="525"/>
    <n v="0.04"/>
    <n v="0.1"/>
    <n v="66.29104000000001"/>
    <n v="165.7276"/>
  </r>
  <r>
    <x v="7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1"/>
    <n v="0"/>
    <n v="0.04"/>
    <n v="0.1"/>
    <n v="4.0000000000000003E-5"/>
    <n v="1E-4"/>
  </r>
  <r>
    <x v="7"/>
    <s v="Oath - Verizon Media"/>
    <s v="superlink-marca-verizon-superlink-display-skyscraper-sl_luta_diaria-AS25_microempreendedor_medioempreendedor_negocios_vendasonline_donosdenegocios"/>
    <s v="274854467"/>
    <s v="Standard"/>
    <s v="marca-verizon-superlink-display-skyscraper-160x600-sl_luta_diaria-AS25_microempreendedor_medioempreendedor_negocios_vendasonline_donosdenegocios-cpm"/>
    <s v="469372684"/>
    <s v="Display"/>
    <n v="2484843"/>
    <n v="2047"/>
    <n v="0.04"/>
    <n v="0.1"/>
    <n v="99.393720000000002"/>
    <n v="248.48430000000002"/>
  </r>
  <r>
    <x v="7"/>
    <s v="Oath - Verizon Media"/>
    <s v="superlink-marca-verizon-superlink-native-native-superlink-AS25_microempreendedor_medioempreendedor_negocios_vendasonline_donosdenegocios"/>
    <s v="274736543"/>
    <s v="Standard"/>
    <s v="marca-verizon-superlink-native-native-1200x627-superlink-AS25_microempreendedor_medioempreendedor_negocios_vendasonline_donosdenegocios-cpc"/>
    <s v="469322328"/>
    <s v="Tracking"/>
    <n v="363974"/>
    <n v="9434"/>
    <n v="0.04"/>
    <n v="0.1"/>
    <n v="14.558960000000001"/>
    <n v="36.397400000000005"/>
  </r>
  <r>
    <x v="7"/>
    <s v="Oath - Verizon Media"/>
    <s v="superlink-marca-verizon-superlink-native-native-superlink_coronavoucher-AS25_microempreendedor_medioempreendedor_negocios_vendasonline_donosdenegocios"/>
    <s v="276183333"/>
    <s v="Standard"/>
    <s v="marca-verizon-superlink-native-native-1200x627-superlink_coronavoucher-AS25_microempreendedor_medioempreendedor_negocios_vendasonline_donosdenegocios-cpc"/>
    <s v="470337923"/>
    <s v="Tracking"/>
    <n v="1"/>
    <n v="0"/>
    <n v="0.04"/>
    <n v="0.1"/>
    <n v="4.0000000000000003E-5"/>
    <n v="1E-4"/>
  </r>
  <r>
    <x v="7"/>
    <s v="Oath - Verizon Media"/>
    <s v="superlink-marca-verizon-superlink-native-native-superlink_vendas-AS25_microempreendedor_medioempreendedor_negocios_vendasonline_donosdenegocios"/>
    <s v="277693553"/>
    <s v="Standard"/>
    <s v="marca-verizon-superlink-native-native-1200x627-superlink_vendas-AS25_microempreendedor_medioempreendedor_negocios_vendasonline_donosdenegocios-cpc"/>
    <s v="472074485"/>
    <s v="Tracking"/>
    <n v="1112266"/>
    <n v="20559"/>
    <n v="0.04"/>
    <n v="0.1"/>
    <n v="44.490639999999999"/>
    <n v="111.2266"/>
  </r>
  <r>
    <x v="7"/>
    <s v="Oath - Verizon Media"/>
    <s v="superlink-marca-verizon-superlink-video-pre_roll-superlink_video30s-as25_empreendedor_varejo"/>
    <s v="276841577"/>
    <s v="Rich Media display banner"/>
    <s v="marca-verizon-superlink-video-pre_roll-1920x1080-superlink_video30s-as25_empreendedor_varejo-cpm"/>
    <s v="471339312"/>
    <s v="In-Stream Video"/>
    <n v="193022"/>
    <n v="3139"/>
    <n v="0.6"/>
    <n v="0.35"/>
    <n v="115.81319999999999"/>
    <n v="67.557699999999997"/>
  </r>
  <r>
    <x v="7"/>
    <s v="Oath - Verizon Media"/>
    <s v="superlink-marca-verizon-superlink-video-pre_roll-superlink_video30s-remarketing"/>
    <s v="277179312"/>
    <s v="Rich Media display banner"/>
    <s v="marca-verizon-superlink-video-pre_roll-1920x1080-superlink_video30s-remarketing-cpm"/>
    <s v="471340215"/>
    <s v="In-Stream Video"/>
    <n v="504662"/>
    <n v="4458"/>
    <n v="0.6"/>
    <n v="0.35"/>
    <n v="302.79720000000003"/>
    <n v="176.6317"/>
  </r>
  <r>
    <x v="8"/>
    <s v="Google Brasil"/>
    <s v="superlink-marca-dv360-superlink-display-halfpage-luta_diaria-remarketing"/>
    <s v="277526230"/>
    <s v="Standard"/>
    <s v="300x600 Default Web Ad"/>
    <s v="471115150"/>
    <s v="Display"/>
    <n v="3"/>
    <n v="0"/>
    <n v="0.04"/>
    <n v="0.1"/>
    <n v="1.1999999999999999E-4"/>
    <n v="3.0000000000000003E-4"/>
  </r>
  <r>
    <x v="8"/>
    <s v="Google Brasil"/>
    <s v="superlink-marca-dv360-superlink-display-halfpage-luta_diaria-remarketing"/>
    <s v="277526230"/>
    <s v="Standard"/>
    <s v="marca-dv360-superlink-display-halfpage-300x600-luta_diaria-remarketing-cpm"/>
    <s v="471603932"/>
    <s v="Display"/>
    <n v="1887321"/>
    <n v="120239"/>
    <n v="0.04"/>
    <n v="0.1"/>
    <n v="75.492840000000001"/>
    <n v="188.7321"/>
  </r>
  <r>
    <x v="8"/>
    <s v="Google Brasil"/>
    <s v="superlink-marca-dv360-superlink-display-leaderboard-luta_diaria-remarketing"/>
    <s v="277534597"/>
    <s v="Standard"/>
    <s v="728x90 Default Web Ad"/>
    <s v="471081215"/>
    <s v="Display"/>
    <n v="1"/>
    <n v="0"/>
    <n v="0.04"/>
    <n v="0.1"/>
    <n v="4.0000000000000003E-5"/>
    <n v="1E-4"/>
  </r>
  <r>
    <x v="8"/>
    <s v="Google Brasil"/>
    <s v="superlink-marca-dv360-superlink-display-leaderboard-luta_diaria-remarketing"/>
    <s v="277534597"/>
    <s v="Standard"/>
    <s v="marca-dv360-superlink-display-leaderboard-728x90-luta_diaria-remarketing-cpm"/>
    <s v="471713973"/>
    <s v="Display"/>
    <n v="1270294"/>
    <n v="7532"/>
    <n v="0.04"/>
    <n v="0.1"/>
    <n v="50.81176"/>
    <n v="127.02940000000001"/>
  </r>
  <r>
    <x v="8"/>
    <s v="Google Brasil"/>
    <s v="superlink-marca-dv360-superlink-display-medium_rectangle-luta_diaria-remarketing"/>
    <s v="277526233"/>
    <s v="Standard"/>
    <s v="300x250 Default Web Ad"/>
    <s v="471081212"/>
    <s v="Display"/>
    <n v="4"/>
    <n v="0"/>
    <n v="0.04"/>
    <n v="0.1"/>
    <n v="1.6000000000000001E-4"/>
    <n v="4.0000000000000002E-4"/>
  </r>
  <r>
    <x v="8"/>
    <s v="Google Brasil"/>
    <s v="superlink-marca-dv360-superlink-display-medium_rectangle-luta_diaria-remarketing"/>
    <s v="277526233"/>
    <s v="Standard"/>
    <s v="marca-dv360-superlink-display-medium_rectangle-300x250-luta_diaria-remarketing-cpm"/>
    <s v="471603935"/>
    <s v="Display"/>
    <n v="2676150"/>
    <n v="40275"/>
    <n v="0.04"/>
    <n v="0.1"/>
    <n v="107.04600000000001"/>
    <n v="267.61500000000001"/>
  </r>
  <r>
    <x v="8"/>
    <s v="Google Brasil"/>
    <s v="superlink-marca-dv360-superlink-display-skyscraper-luta_diaria-remarketing"/>
    <s v="277526236"/>
    <s v="Standard"/>
    <s v="marca-dv360-superlink-display-skyscraper-160x600-luta_diaria-remarketing-cpm"/>
    <s v="471603938"/>
    <s v="Display"/>
    <n v="115874"/>
    <n v="194"/>
    <n v="0.04"/>
    <n v="0.1"/>
    <n v="4.6349600000000004"/>
    <n v="11.587400000000001"/>
  </r>
  <r>
    <x v="8"/>
    <s v="Oath - Verizon Media"/>
    <s v="superlink-marca-verizon-superlink-display-halfpage-luta_diaria-remarketing"/>
    <s v="276653099"/>
    <s v="Standard"/>
    <s v="marca-verizon-superlink-display-halfpage-300x600-luta_diaria-remarketing-cpm"/>
    <s v="471079367"/>
    <s v="Display"/>
    <n v="185231"/>
    <n v="180"/>
    <n v="0.04"/>
    <n v="0.1"/>
    <n v="7.4092399999999996"/>
    <n v="18.523100000000003"/>
  </r>
  <r>
    <x v="8"/>
    <s v="Oath - Verizon Media"/>
    <s v="superlink-marca-verizon-superlink-display-leaderboard-luta_diaria-remarketing"/>
    <s v="276653096"/>
    <s v="Standard"/>
    <s v="marca-verizon-superlink-display-leaderboard-728x90-luta_diaria-remarketing-cpm"/>
    <s v="471079364"/>
    <s v="Display"/>
    <n v="742253"/>
    <n v="435"/>
    <n v="0.04"/>
    <n v="0.1"/>
    <n v="29.69012"/>
    <n v="74.225300000000004"/>
  </r>
  <r>
    <x v="8"/>
    <s v="Oath - Verizon Media"/>
    <s v="superlink-marca-verizon-superlink-display-medium_rectangle-luta_diaria-remarketing"/>
    <s v="277001280"/>
    <s v="Standard"/>
    <s v="marca-verizon-superlink-display-medium_rectangle-300x250-luta_diaria-remarketing-cpm"/>
    <s v="471081239"/>
    <s v="Display"/>
    <n v="588685"/>
    <n v="115"/>
    <n v="0.04"/>
    <n v="0.1"/>
    <n v="23.547400000000003"/>
    <n v="58.868499999999997"/>
  </r>
  <r>
    <x v="8"/>
    <s v="Oath - Verizon Media"/>
    <s v="superlink-marca-verizon-superlink-display-skyscraper-luta_diaria-remarketing"/>
    <s v="276653102"/>
    <s v="Standard"/>
    <s v="marca-verizon-superlink-display-skyscraper-160x600-luta_diaria-remarketing-cpm"/>
    <s v="471079370"/>
    <s v="Display"/>
    <n v="924223"/>
    <n v="557"/>
    <n v="0.04"/>
    <n v="0.1"/>
    <n v="36.968919999999997"/>
    <n v="92.422300000000007"/>
  </r>
  <r>
    <x v="8"/>
    <s v="Oath - Verizon Media"/>
    <s v="superlink-marca-verizon-superlink-native-native-superlink_entrega-integrada-remarketing"/>
    <s v="277694651"/>
    <s v="Standard"/>
    <s v="marca-verizon-superlink-native-native-1200x627-superlink_entrega-integrada-remarketing-cpc"/>
    <s v="472079209"/>
    <s v="Tracking"/>
    <n v="14696"/>
    <n v="329"/>
    <n v="0.04"/>
    <n v="0.1"/>
    <n v="0.58784000000000003"/>
    <n v="1.4696000000000002"/>
  </r>
  <r>
    <x v="8"/>
    <s v="Oath - Verizon Media"/>
    <s v="superlink-marca-verizon-superlink-native-native-superlink_vendas_loggi-AS25_microempreendedor_medioempreendedor_negocios_vendasonline_donosdenegocios"/>
    <s v="277692728"/>
    <s v="Standard"/>
    <s v="marca-verizon-superlink-native-native-1200x627-superlink_vendas_loggi-AS25_microempreendedor_medioempreendedor_negocios_vendasonline_donosdenegocios-cpc"/>
    <s v="472074200"/>
    <s v="Tracking"/>
    <n v="510428"/>
    <n v="10741"/>
    <n v="0.04"/>
    <n v="0.1"/>
    <n v="20.417120000000001"/>
    <n v="51.0428"/>
  </r>
  <r>
    <x v="8"/>
    <s v="afilio.com.br"/>
    <s v="superlink-marca-afilio-superlink-display-leaderboard-luta_diaria-as25_microempreendedor_medioempreendedor_negocios_vendasonline_donosdenegocios"/>
    <s v="277004364"/>
    <s v="Standard"/>
    <s v="marca-afilio-superlink-display-leaderboard-728x90-luta_diaria-as25_microempreendedor_medioempreendedor_negocios_vendasonline_donosdenegocios-cpvisita"/>
    <s v="471083146"/>
    <s v="Tracking"/>
    <n v="14"/>
    <n v="1"/>
    <n v="0.04"/>
    <n v="0.1"/>
    <n v="5.6000000000000006E-4"/>
    <n v="1.4000000000000002E-3"/>
  </r>
  <r>
    <x v="9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3"/>
    <n v="842"/>
    <n v="3.5000000000000001E-3"/>
    <n v="2.5000000000000001E-2"/>
    <n v="2.9470000000000001"/>
    <n v="21.05"/>
  </r>
  <r>
    <x v="9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3"/>
    <n v="17"/>
    <n v="3.5000000000000001E-3"/>
    <n v="2.5000000000000001E-2"/>
    <n v="5.9500000000000004E-2"/>
    <n v="0.42500000000000004"/>
  </r>
  <r>
    <x v="9"/>
    <s v="Rakuten"/>
    <s v="superlink-marca-rakuten-superlink-display-skyscraper-sl_vendapelainternet_loggi_boost-as25_empreendedor_varejo_interesses"/>
    <s v="281253133"/>
    <s v="Dynamic Click"/>
    <s v="marca-rakuten-superlink-display-skyscraper-160x600-sl_vendapelainternet_loggi_boost-as25_empreendedor_varejo_interesses-cpm"/>
    <s v="475254741"/>
    <s v="Tracking"/>
    <n v="0"/>
    <n v="2"/>
    <n v="3.5000000000000001E-3"/>
    <n v="2.5000000000000001E-2"/>
    <n v="7.0000000000000001E-3"/>
    <n v="0.05"/>
  </r>
  <r>
    <x v="9"/>
    <s v="Rakuten"/>
    <s v="superlink-marca-rakuten-superlink-native-native-luta_diaria_loggi_boost-as25_empreendedor_varejo_interesses"/>
    <s v="280522043"/>
    <s v="Dynamic Click"/>
    <s v="marca-rakuten-superlink-native-native-1200x627-luta_diaria_loggi_boost-as25_empreendedor_varejo_interesses-cpm"/>
    <s v="474690286"/>
    <s v="Tracking"/>
    <n v="0"/>
    <n v="3"/>
    <n v="3.5000000000000001E-3"/>
    <n v="2.5000000000000001E-2"/>
    <n v="1.0500000000000001E-2"/>
    <n v="7.5000000000000011E-2"/>
  </r>
  <r>
    <x v="9"/>
    <s v="Rakuten"/>
    <s v="superlink-marca-rakuten-superlink-native-native-luta_diaria_loggi_boost_627x627-as25_empreendedor_varejo_interesses"/>
    <s v="280922422"/>
    <s v="Dynamic Click"/>
    <s v="marca-rakuten-superlink-native-native-627x627-luta_diaria_loggi_boost_627x627-as25_empreendedor_varejo_interesses-cpm"/>
    <s v="474775067"/>
    <s v="Tracking"/>
    <n v="0"/>
    <n v="4"/>
    <n v="3.5000000000000001E-3"/>
    <n v="2.5000000000000001E-2"/>
    <n v="1.4E-2"/>
    <n v="0.1"/>
  </r>
  <r>
    <x v="10"/>
    <s v="Oath - Verizon Media"/>
    <s v="aquisicao-varejo-marca-native-native-voce_e_cielo_crescendo_1-as_25-mais_comportamental"/>
    <s v="270371978"/>
    <s v="Dynamic Click"/>
    <s v="varejo-marca-native-native-1200x627-voce_e_cielo_crescendo_1-as_25-mais_comportamental-cpm"/>
    <s v="465205787"/>
    <s v="Tracking"/>
    <n v="0"/>
    <n v="1"/>
    <n v="3.5000000000000001E-3"/>
    <n v="2.5000000000000001E-2"/>
    <n v="3.5000000000000001E-3"/>
    <n v="2.500000000000000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5742E4-D97E-4315-9272-54D4B88E6860}" name="Tabela dinâ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15" firstHeaderRow="0" firstDataRow="1" firstDataCol="1"/>
  <pivotFields count="14">
    <pivotField axis="axisRow" showAl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3">
    <format dxfId="2">
      <pivotArea outline="0" collapsedLevelsAreSubtotals="1" fieldPosition="0"/>
    </format>
    <format dxfId="1">
      <pivotArea collapsedLevelsAreSubtotals="1" fieldPosition="0">
        <references count="1">
          <reference field="0" count="1">
            <x v="5"/>
          </reference>
        </references>
      </pivotArea>
    </format>
    <format dxfId="0">
      <pivotArea dataOnly="0" labelOnly="1" fieldPosition="0">
        <references count="1">
          <reference field="0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7B95D-4A3E-43E3-ABB9-78F8280BCE28}">
  <dimension ref="A3:C15"/>
  <sheetViews>
    <sheetView tabSelected="1" workbookViewId="0">
      <selection activeCell="A9" sqref="A9:C9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18" t="s">
        <v>542</v>
      </c>
      <c r="B3" t="s">
        <v>544</v>
      </c>
      <c r="C3" t="s">
        <v>545</v>
      </c>
    </row>
    <row r="4" spans="1:3">
      <c r="A4" s="19" t="s">
        <v>37</v>
      </c>
      <c r="B4" s="20">
        <v>3.5000000000000001E-3</v>
      </c>
      <c r="C4" s="20">
        <v>2.5000000000000001E-2</v>
      </c>
    </row>
    <row r="5" spans="1:3">
      <c r="A5" s="19" t="s">
        <v>40</v>
      </c>
      <c r="B5" s="20">
        <v>3.7000000000000002E-3</v>
      </c>
      <c r="C5" s="20">
        <v>2.5500000000000002E-2</v>
      </c>
    </row>
    <row r="6" spans="1:3">
      <c r="A6" s="19" t="s">
        <v>34</v>
      </c>
      <c r="B6" s="20">
        <v>67.638200000000012</v>
      </c>
      <c r="C6" s="20">
        <v>80.516750000000002</v>
      </c>
    </row>
    <row r="7" spans="1:3">
      <c r="A7" s="19" t="s">
        <v>436</v>
      </c>
      <c r="B7" s="20">
        <v>3.5000000000000001E-3</v>
      </c>
      <c r="C7" s="20">
        <v>2.5000000000000001E-2</v>
      </c>
    </row>
    <row r="8" spans="1:3">
      <c r="A8" s="19" t="s">
        <v>302</v>
      </c>
      <c r="B8" s="20">
        <v>1562.9450800000002</v>
      </c>
      <c r="C8" s="20">
        <v>1735.3464999999997</v>
      </c>
    </row>
    <row r="9" spans="1:3">
      <c r="A9" s="21" t="s">
        <v>63</v>
      </c>
      <c r="B9" s="22">
        <v>12.247920000000001</v>
      </c>
      <c r="C9" s="22">
        <v>30.619800000000005</v>
      </c>
    </row>
    <row r="10" spans="1:3">
      <c r="A10" s="19" t="s">
        <v>41</v>
      </c>
      <c r="B10" s="20">
        <v>4.0000000000000003E-5</v>
      </c>
      <c r="C10" s="20">
        <v>1E-4</v>
      </c>
    </row>
    <row r="11" spans="1:3">
      <c r="A11" s="19" t="s">
        <v>46</v>
      </c>
      <c r="B11" s="20">
        <v>71.880600000000001</v>
      </c>
      <c r="C11" s="20">
        <v>157.29604999999998</v>
      </c>
    </row>
    <row r="12" spans="1:3">
      <c r="A12" s="19" t="s">
        <v>83</v>
      </c>
      <c r="B12" s="20">
        <v>3590.8183999999997</v>
      </c>
      <c r="C12" s="20">
        <v>3984.4987000000006</v>
      </c>
    </row>
    <row r="13" spans="1:3">
      <c r="A13" s="19" t="s">
        <v>256</v>
      </c>
      <c r="B13" s="20">
        <v>356.60708</v>
      </c>
      <c r="C13" s="20">
        <v>891.51770000000022</v>
      </c>
    </row>
    <row r="14" spans="1:3">
      <c r="A14" s="19" t="s">
        <v>368</v>
      </c>
      <c r="B14" s="20">
        <v>3.0379999999999998</v>
      </c>
      <c r="C14" s="20">
        <v>21.700000000000003</v>
      </c>
    </row>
    <row r="15" spans="1:3">
      <c r="A15" s="19" t="s">
        <v>543</v>
      </c>
      <c r="B15" s="20">
        <v>5665.1860199999992</v>
      </c>
      <c r="C15" s="20">
        <v>6901.5711000000001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E13CF-DEF1-4C4B-9F47-99DCBC57B2FC}">
  <dimension ref="B2:M45"/>
  <sheetViews>
    <sheetView workbookViewId="0"/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2" max="12" width="15.5703125" customWidth="1"/>
    <col min="13" max="13" width="13.28515625" bestFit="1" customWidth="1"/>
  </cols>
  <sheetData>
    <row r="2" spans="2:13">
      <c r="B2" s="7" t="s">
        <v>17</v>
      </c>
      <c r="C2" s="7" t="s">
        <v>20</v>
      </c>
      <c r="D2" s="7" t="s">
        <v>18</v>
      </c>
      <c r="E2" s="7" t="s">
        <v>32</v>
      </c>
      <c r="F2" s="15" t="s">
        <v>27</v>
      </c>
      <c r="G2" s="14" t="s">
        <v>25</v>
      </c>
    </row>
    <row r="3" spans="2:13">
      <c r="B3" s="8" t="s">
        <v>12</v>
      </c>
      <c r="C3" s="1">
        <v>0.1</v>
      </c>
      <c r="D3" s="1">
        <v>306198</v>
      </c>
      <c r="E3" s="9">
        <v>30.619800000000001</v>
      </c>
      <c r="F3" s="16"/>
      <c r="G3" s="13" t="s">
        <v>26</v>
      </c>
    </row>
    <row r="4" spans="2:13">
      <c r="B4" s="8" t="s">
        <v>11</v>
      </c>
      <c r="C4" s="1">
        <v>0.1</v>
      </c>
      <c r="D4" s="1">
        <v>0</v>
      </c>
      <c r="E4" s="9">
        <v>0</v>
      </c>
      <c r="F4" s="16"/>
      <c r="G4" s="9">
        <v>30.619800000000005</v>
      </c>
    </row>
    <row r="5" spans="2:13">
      <c r="B5" s="8" t="s">
        <v>10</v>
      </c>
      <c r="C5" s="1">
        <v>2.5000000000000001E-2</v>
      </c>
      <c r="D5" s="1">
        <v>0</v>
      </c>
      <c r="E5" s="9">
        <v>0</v>
      </c>
      <c r="F5" s="16"/>
    </row>
    <row r="6" spans="2:13">
      <c r="B6" s="8" t="s">
        <v>22</v>
      </c>
      <c r="C6" s="1">
        <v>7.0000000000000007E-2</v>
      </c>
      <c r="D6" s="1">
        <v>0</v>
      </c>
      <c r="E6" s="9">
        <v>0</v>
      </c>
      <c r="F6" s="16"/>
    </row>
    <row r="7" spans="2:13">
      <c r="B7" s="8" t="s">
        <v>23</v>
      </c>
      <c r="C7" s="1">
        <v>0.35</v>
      </c>
      <c r="D7" s="1">
        <v>0</v>
      </c>
      <c r="E7" s="9">
        <v>0</v>
      </c>
      <c r="F7" s="16"/>
    </row>
    <row r="8" spans="2:13">
      <c r="B8" s="7" t="s">
        <v>19</v>
      </c>
      <c r="C8" s="7"/>
      <c r="D8" s="7"/>
      <c r="E8" s="10">
        <v>30.619800000000001</v>
      </c>
      <c r="F8" s="17"/>
    </row>
    <row r="10" spans="2:13">
      <c r="B10" s="5" t="s">
        <v>0</v>
      </c>
      <c r="C10" s="5" t="s">
        <v>1</v>
      </c>
      <c r="D10" s="5" t="s">
        <v>2</v>
      </c>
      <c r="E10" s="5" t="s">
        <v>3</v>
      </c>
      <c r="F10" s="5" t="s">
        <v>4</v>
      </c>
      <c r="G10" s="5" t="s">
        <v>5</v>
      </c>
      <c r="H10" s="5" t="s">
        <v>6</v>
      </c>
      <c r="I10" s="5" t="s">
        <v>7</v>
      </c>
      <c r="J10" s="5" t="s">
        <v>8</v>
      </c>
      <c r="K10" s="5" t="s">
        <v>9</v>
      </c>
      <c r="L10" s="6" t="s">
        <v>14</v>
      </c>
      <c r="M10" s="6" t="s">
        <v>16</v>
      </c>
    </row>
    <row r="11" spans="2:13">
      <c r="B11" t="s">
        <v>63</v>
      </c>
      <c r="C11" t="s">
        <v>31</v>
      </c>
      <c r="D11" t="s">
        <v>109</v>
      </c>
      <c r="E11" t="s">
        <v>111</v>
      </c>
      <c r="F11" t="s">
        <v>12</v>
      </c>
      <c r="G11" t="s">
        <v>110</v>
      </c>
      <c r="H11" t="s">
        <v>112</v>
      </c>
      <c r="I11" t="s">
        <v>30</v>
      </c>
      <c r="J11">
        <v>61833</v>
      </c>
      <c r="K11">
        <v>6073</v>
      </c>
      <c r="L11">
        <v>0.1</v>
      </c>
      <c r="M11" s="2">
        <v>6.1833</v>
      </c>
    </row>
    <row r="12" spans="2:13">
      <c r="B12" t="s">
        <v>63</v>
      </c>
      <c r="C12" t="s">
        <v>31</v>
      </c>
      <c r="D12" t="s">
        <v>113</v>
      </c>
      <c r="E12" t="s">
        <v>114</v>
      </c>
      <c r="F12" t="s">
        <v>12</v>
      </c>
      <c r="G12" t="s">
        <v>115</v>
      </c>
      <c r="H12" t="s">
        <v>116</v>
      </c>
      <c r="I12" t="s">
        <v>30</v>
      </c>
      <c r="J12">
        <v>357</v>
      </c>
      <c r="K12">
        <v>3</v>
      </c>
      <c r="L12">
        <v>0.1</v>
      </c>
      <c r="M12" s="2">
        <v>3.5700000000000003E-2</v>
      </c>
    </row>
    <row r="13" spans="2:13">
      <c r="B13" t="s">
        <v>63</v>
      </c>
      <c r="C13" t="s">
        <v>31</v>
      </c>
      <c r="D13" t="s">
        <v>113</v>
      </c>
      <c r="E13" t="s">
        <v>117</v>
      </c>
      <c r="F13" t="s">
        <v>12</v>
      </c>
      <c r="G13" t="s">
        <v>115</v>
      </c>
      <c r="H13" t="s">
        <v>118</v>
      </c>
      <c r="I13" t="s">
        <v>30</v>
      </c>
      <c r="J13">
        <v>14</v>
      </c>
      <c r="K13">
        <v>3</v>
      </c>
      <c r="L13">
        <v>0.1</v>
      </c>
      <c r="M13" s="2">
        <v>1.4000000000000002E-3</v>
      </c>
    </row>
    <row r="14" spans="2:13">
      <c r="B14" t="s">
        <v>63</v>
      </c>
      <c r="C14" t="s">
        <v>31</v>
      </c>
      <c r="D14" t="s">
        <v>119</v>
      </c>
      <c r="E14" t="s">
        <v>120</v>
      </c>
      <c r="F14" t="s">
        <v>12</v>
      </c>
      <c r="G14" t="s">
        <v>121</v>
      </c>
      <c r="H14" t="s">
        <v>122</v>
      </c>
      <c r="I14" t="s">
        <v>30</v>
      </c>
      <c r="J14">
        <v>61936</v>
      </c>
      <c r="K14">
        <v>7288</v>
      </c>
      <c r="L14">
        <v>0.1</v>
      </c>
      <c r="M14" s="2">
        <v>6.1936</v>
      </c>
    </row>
    <row r="15" spans="2:13">
      <c r="B15" t="s">
        <v>63</v>
      </c>
      <c r="C15" t="s">
        <v>31</v>
      </c>
      <c r="D15" t="s">
        <v>119</v>
      </c>
      <c r="E15" t="s">
        <v>123</v>
      </c>
      <c r="F15" t="s">
        <v>12</v>
      </c>
      <c r="G15" t="s">
        <v>121</v>
      </c>
      <c r="H15" t="s">
        <v>124</v>
      </c>
      <c r="I15" t="s">
        <v>30</v>
      </c>
      <c r="J15">
        <v>17200</v>
      </c>
      <c r="K15">
        <v>3074</v>
      </c>
      <c r="L15">
        <v>0.1</v>
      </c>
      <c r="M15" s="2">
        <v>1.72</v>
      </c>
    </row>
    <row r="16" spans="2:13">
      <c r="B16" t="s">
        <v>63</v>
      </c>
      <c r="C16" t="s">
        <v>31</v>
      </c>
      <c r="D16" t="s">
        <v>125</v>
      </c>
      <c r="E16" t="s">
        <v>126</v>
      </c>
      <c r="F16" t="s">
        <v>12</v>
      </c>
      <c r="G16" t="s">
        <v>127</v>
      </c>
      <c r="H16" t="s">
        <v>128</v>
      </c>
      <c r="I16" t="s">
        <v>30</v>
      </c>
      <c r="J16">
        <v>165</v>
      </c>
      <c r="K16">
        <v>0</v>
      </c>
      <c r="L16">
        <v>0.1</v>
      </c>
      <c r="M16" s="2">
        <v>1.6500000000000001E-2</v>
      </c>
    </row>
    <row r="17" spans="2:13">
      <c r="B17" t="s">
        <v>63</v>
      </c>
      <c r="C17" t="s">
        <v>31</v>
      </c>
      <c r="D17" t="s">
        <v>129</v>
      </c>
      <c r="E17" t="s">
        <v>130</v>
      </c>
      <c r="F17" t="s">
        <v>12</v>
      </c>
      <c r="G17" t="s">
        <v>131</v>
      </c>
      <c r="H17" t="s">
        <v>132</v>
      </c>
      <c r="I17" t="s">
        <v>30</v>
      </c>
      <c r="J17">
        <v>4713</v>
      </c>
      <c r="K17">
        <v>508</v>
      </c>
      <c r="L17">
        <v>0.1</v>
      </c>
      <c r="M17" s="2">
        <v>0.4713</v>
      </c>
    </row>
    <row r="18" spans="2:13">
      <c r="B18" t="s">
        <v>63</v>
      </c>
      <c r="C18" t="s">
        <v>31</v>
      </c>
      <c r="D18" t="s">
        <v>129</v>
      </c>
      <c r="E18" t="s">
        <v>133</v>
      </c>
      <c r="F18" t="s">
        <v>12</v>
      </c>
      <c r="G18" t="s">
        <v>131</v>
      </c>
      <c r="H18" t="s">
        <v>134</v>
      </c>
      <c r="I18" t="s">
        <v>30</v>
      </c>
      <c r="J18">
        <v>1475</v>
      </c>
      <c r="K18">
        <v>171</v>
      </c>
      <c r="L18">
        <v>0.1</v>
      </c>
      <c r="M18" s="2">
        <v>0.14749999999999999</v>
      </c>
    </row>
    <row r="19" spans="2:13">
      <c r="B19" t="s">
        <v>63</v>
      </c>
      <c r="C19" t="s">
        <v>31</v>
      </c>
      <c r="D19" t="s">
        <v>135</v>
      </c>
      <c r="E19" t="s">
        <v>136</v>
      </c>
      <c r="F19" t="s">
        <v>12</v>
      </c>
      <c r="G19" t="s">
        <v>137</v>
      </c>
      <c r="H19" t="s">
        <v>138</v>
      </c>
      <c r="I19" t="s">
        <v>30</v>
      </c>
      <c r="J19">
        <v>6346</v>
      </c>
      <c r="K19">
        <v>74</v>
      </c>
      <c r="L19">
        <v>0.1</v>
      </c>
      <c r="M19" s="2">
        <v>0.63460000000000005</v>
      </c>
    </row>
    <row r="20" spans="2:13">
      <c r="B20" t="s">
        <v>63</v>
      </c>
      <c r="C20" t="s">
        <v>31</v>
      </c>
      <c r="D20" t="s">
        <v>135</v>
      </c>
      <c r="E20" t="s">
        <v>139</v>
      </c>
      <c r="F20" t="s">
        <v>12</v>
      </c>
      <c r="G20" t="s">
        <v>137</v>
      </c>
      <c r="H20" t="s">
        <v>140</v>
      </c>
      <c r="I20" t="s">
        <v>30</v>
      </c>
      <c r="J20">
        <v>172</v>
      </c>
      <c r="K20">
        <v>10</v>
      </c>
      <c r="L20">
        <v>0.1</v>
      </c>
      <c r="M20" s="2">
        <v>1.72E-2</v>
      </c>
    </row>
    <row r="21" spans="2:13">
      <c r="B21" t="s">
        <v>63</v>
      </c>
      <c r="C21" t="s">
        <v>31</v>
      </c>
      <c r="D21" t="s">
        <v>141</v>
      </c>
      <c r="E21" t="s">
        <v>142</v>
      </c>
      <c r="F21" t="s">
        <v>12</v>
      </c>
      <c r="G21" t="s">
        <v>143</v>
      </c>
      <c r="H21" t="s">
        <v>144</v>
      </c>
      <c r="I21" t="s">
        <v>30</v>
      </c>
      <c r="J21">
        <v>11</v>
      </c>
      <c r="K21">
        <v>1</v>
      </c>
      <c r="L21">
        <v>0.1</v>
      </c>
      <c r="M21" s="2">
        <v>1.1000000000000001E-3</v>
      </c>
    </row>
    <row r="22" spans="2:13">
      <c r="B22" t="s">
        <v>63</v>
      </c>
      <c r="C22" t="s">
        <v>31</v>
      </c>
      <c r="D22" t="s">
        <v>145</v>
      </c>
      <c r="E22" t="s">
        <v>146</v>
      </c>
      <c r="F22" t="s">
        <v>12</v>
      </c>
      <c r="G22" t="s">
        <v>147</v>
      </c>
      <c r="H22" t="s">
        <v>148</v>
      </c>
      <c r="I22" t="s">
        <v>30</v>
      </c>
      <c r="J22">
        <v>9</v>
      </c>
      <c r="K22">
        <v>0</v>
      </c>
      <c r="L22">
        <v>0.1</v>
      </c>
      <c r="M22" s="2">
        <v>8.9999999999999998E-4</v>
      </c>
    </row>
    <row r="23" spans="2:13">
      <c r="B23" t="s">
        <v>63</v>
      </c>
      <c r="C23" t="s">
        <v>31</v>
      </c>
      <c r="D23" t="s">
        <v>149</v>
      </c>
      <c r="E23" t="s">
        <v>150</v>
      </c>
      <c r="F23" t="s">
        <v>12</v>
      </c>
      <c r="G23" t="s">
        <v>151</v>
      </c>
      <c r="H23" t="s">
        <v>152</v>
      </c>
      <c r="I23" t="s">
        <v>30</v>
      </c>
      <c r="J23">
        <v>14253</v>
      </c>
      <c r="K23">
        <v>1509</v>
      </c>
      <c r="L23">
        <v>0.1</v>
      </c>
      <c r="M23" s="2">
        <v>1.4253000000000002</v>
      </c>
    </row>
    <row r="24" spans="2:13">
      <c r="B24" t="s">
        <v>63</v>
      </c>
      <c r="C24" t="s">
        <v>31</v>
      </c>
      <c r="D24" t="s">
        <v>149</v>
      </c>
      <c r="E24" t="s">
        <v>153</v>
      </c>
      <c r="F24" t="s">
        <v>12</v>
      </c>
      <c r="G24" t="s">
        <v>151</v>
      </c>
      <c r="H24" t="s">
        <v>154</v>
      </c>
      <c r="I24" t="s">
        <v>30</v>
      </c>
      <c r="J24">
        <v>56436</v>
      </c>
      <c r="K24">
        <v>8729</v>
      </c>
      <c r="L24">
        <v>0.1</v>
      </c>
      <c r="M24" s="2">
        <v>5.6436000000000002</v>
      </c>
    </row>
    <row r="25" spans="2:13">
      <c r="B25" t="s">
        <v>63</v>
      </c>
      <c r="C25" t="s">
        <v>31</v>
      </c>
      <c r="D25" t="s">
        <v>155</v>
      </c>
      <c r="E25" t="s">
        <v>156</v>
      </c>
      <c r="F25" t="s">
        <v>12</v>
      </c>
      <c r="G25" t="s">
        <v>157</v>
      </c>
      <c r="H25" t="s">
        <v>158</v>
      </c>
      <c r="I25" t="s">
        <v>30</v>
      </c>
      <c r="J25">
        <v>118</v>
      </c>
      <c r="K25">
        <v>1</v>
      </c>
      <c r="L25">
        <v>0.1</v>
      </c>
      <c r="M25" s="2">
        <v>1.1800000000000001E-2</v>
      </c>
    </row>
    <row r="26" spans="2:13">
      <c r="B26" t="s">
        <v>63</v>
      </c>
      <c r="C26" t="s">
        <v>31</v>
      </c>
      <c r="D26" t="s">
        <v>155</v>
      </c>
      <c r="E26" t="s">
        <v>159</v>
      </c>
      <c r="F26" t="s">
        <v>12</v>
      </c>
      <c r="G26" t="s">
        <v>157</v>
      </c>
      <c r="H26" t="s">
        <v>160</v>
      </c>
      <c r="I26" t="s">
        <v>30</v>
      </c>
      <c r="J26">
        <v>24</v>
      </c>
      <c r="K26">
        <v>0</v>
      </c>
      <c r="L26">
        <v>0.1</v>
      </c>
      <c r="M26" s="2">
        <v>2.4000000000000002E-3</v>
      </c>
    </row>
    <row r="27" spans="2:13">
      <c r="B27" t="s">
        <v>63</v>
      </c>
      <c r="C27" t="s">
        <v>31</v>
      </c>
      <c r="D27" t="s">
        <v>161</v>
      </c>
      <c r="E27" t="s">
        <v>162</v>
      </c>
      <c r="F27" t="s">
        <v>12</v>
      </c>
      <c r="G27" t="s">
        <v>163</v>
      </c>
      <c r="H27" t="s">
        <v>164</v>
      </c>
      <c r="I27" t="s">
        <v>30</v>
      </c>
      <c r="J27">
        <v>44340</v>
      </c>
      <c r="K27">
        <v>5432</v>
      </c>
      <c r="L27">
        <v>0.1</v>
      </c>
      <c r="M27" s="2">
        <v>4.4340000000000002</v>
      </c>
    </row>
    <row r="28" spans="2:13">
      <c r="B28" t="s">
        <v>63</v>
      </c>
      <c r="C28" t="s">
        <v>31</v>
      </c>
      <c r="D28" t="s">
        <v>165</v>
      </c>
      <c r="E28" t="s">
        <v>346</v>
      </c>
      <c r="F28" t="s">
        <v>12</v>
      </c>
      <c r="G28" t="s">
        <v>167</v>
      </c>
      <c r="H28" t="s">
        <v>347</v>
      </c>
      <c r="I28" t="s">
        <v>30</v>
      </c>
      <c r="J28">
        <v>764</v>
      </c>
      <c r="K28">
        <v>18</v>
      </c>
      <c r="L28">
        <v>0.1</v>
      </c>
      <c r="M28" s="2">
        <v>7.640000000000001E-2</v>
      </c>
    </row>
    <row r="29" spans="2:13">
      <c r="B29" t="s">
        <v>63</v>
      </c>
      <c r="C29" t="s">
        <v>31</v>
      </c>
      <c r="D29" t="s">
        <v>165</v>
      </c>
      <c r="E29" t="s">
        <v>166</v>
      </c>
      <c r="F29" t="s">
        <v>12</v>
      </c>
      <c r="G29" t="s">
        <v>167</v>
      </c>
      <c r="H29" t="s">
        <v>168</v>
      </c>
      <c r="I29" t="s">
        <v>30</v>
      </c>
      <c r="J29">
        <v>16</v>
      </c>
      <c r="K29">
        <v>0</v>
      </c>
      <c r="L29">
        <v>0.1</v>
      </c>
      <c r="M29" s="2">
        <v>1.6000000000000001E-3</v>
      </c>
    </row>
    <row r="30" spans="2:13">
      <c r="B30" t="s">
        <v>63</v>
      </c>
      <c r="C30" t="s">
        <v>31</v>
      </c>
      <c r="D30" t="s">
        <v>169</v>
      </c>
      <c r="E30" t="s">
        <v>170</v>
      </c>
      <c r="F30" t="s">
        <v>12</v>
      </c>
      <c r="G30" t="s">
        <v>171</v>
      </c>
      <c r="H30" t="s">
        <v>172</v>
      </c>
      <c r="I30" t="s">
        <v>30</v>
      </c>
      <c r="J30">
        <v>4296</v>
      </c>
      <c r="K30">
        <v>493</v>
      </c>
      <c r="L30">
        <v>0.1</v>
      </c>
      <c r="M30" s="2">
        <v>0.42960000000000004</v>
      </c>
    </row>
    <row r="31" spans="2:13">
      <c r="B31" t="s">
        <v>63</v>
      </c>
      <c r="C31" t="s">
        <v>31</v>
      </c>
      <c r="D31" t="s">
        <v>169</v>
      </c>
      <c r="E31" t="s">
        <v>173</v>
      </c>
      <c r="F31" t="s">
        <v>12</v>
      </c>
      <c r="G31" t="s">
        <v>171</v>
      </c>
      <c r="H31" t="s">
        <v>174</v>
      </c>
      <c r="I31" t="s">
        <v>30</v>
      </c>
      <c r="J31">
        <v>14225</v>
      </c>
      <c r="K31">
        <v>1892</v>
      </c>
      <c r="L31">
        <v>0.1</v>
      </c>
      <c r="M31" s="2">
        <v>1.4225000000000001</v>
      </c>
    </row>
    <row r="32" spans="2:13">
      <c r="B32" t="s">
        <v>63</v>
      </c>
      <c r="C32" t="s">
        <v>31</v>
      </c>
      <c r="D32" t="s">
        <v>175</v>
      </c>
      <c r="E32" t="s">
        <v>176</v>
      </c>
      <c r="F32" t="s">
        <v>12</v>
      </c>
      <c r="G32" t="s">
        <v>177</v>
      </c>
      <c r="H32" t="s">
        <v>178</v>
      </c>
      <c r="I32" t="s">
        <v>30</v>
      </c>
      <c r="J32">
        <v>15236</v>
      </c>
      <c r="K32">
        <v>110</v>
      </c>
      <c r="L32">
        <v>0.1</v>
      </c>
      <c r="M32" s="2">
        <v>1.5236000000000001</v>
      </c>
    </row>
    <row r="33" spans="2:13">
      <c r="B33" t="s">
        <v>63</v>
      </c>
      <c r="C33" t="s">
        <v>31</v>
      </c>
      <c r="D33" t="s">
        <v>175</v>
      </c>
      <c r="E33" t="s">
        <v>179</v>
      </c>
      <c r="F33" t="s">
        <v>12</v>
      </c>
      <c r="G33" t="s">
        <v>177</v>
      </c>
      <c r="H33" t="s">
        <v>180</v>
      </c>
      <c r="I33" t="s">
        <v>30</v>
      </c>
      <c r="J33">
        <v>2148</v>
      </c>
      <c r="K33">
        <v>23</v>
      </c>
      <c r="L33">
        <v>0.1</v>
      </c>
      <c r="M33" s="2">
        <v>0.21480000000000002</v>
      </c>
    </row>
    <row r="34" spans="2:13">
      <c r="B34" t="s">
        <v>63</v>
      </c>
      <c r="C34" t="s">
        <v>31</v>
      </c>
      <c r="D34" t="s">
        <v>181</v>
      </c>
      <c r="E34" t="s">
        <v>348</v>
      </c>
      <c r="F34" t="s">
        <v>12</v>
      </c>
      <c r="G34" t="s">
        <v>183</v>
      </c>
      <c r="H34" t="s">
        <v>349</v>
      </c>
      <c r="I34" t="s">
        <v>30</v>
      </c>
      <c r="J34">
        <v>18</v>
      </c>
      <c r="K34">
        <v>0</v>
      </c>
      <c r="L34">
        <v>0.1</v>
      </c>
      <c r="M34" s="2">
        <v>1.8E-3</v>
      </c>
    </row>
    <row r="35" spans="2:13">
      <c r="B35" t="s">
        <v>63</v>
      </c>
      <c r="C35" t="s">
        <v>31</v>
      </c>
      <c r="D35" t="s">
        <v>181</v>
      </c>
      <c r="E35" t="s">
        <v>182</v>
      </c>
      <c r="F35" t="s">
        <v>12</v>
      </c>
      <c r="G35" t="s">
        <v>183</v>
      </c>
      <c r="H35" t="s">
        <v>184</v>
      </c>
      <c r="I35" t="s">
        <v>30</v>
      </c>
      <c r="J35">
        <v>5</v>
      </c>
      <c r="K35">
        <v>0</v>
      </c>
      <c r="L35">
        <v>0.1</v>
      </c>
      <c r="M35" s="2">
        <v>5.0000000000000001E-4</v>
      </c>
    </row>
    <row r="36" spans="2:13">
      <c r="B36" t="s">
        <v>63</v>
      </c>
      <c r="C36" t="s">
        <v>31</v>
      </c>
      <c r="D36" t="s">
        <v>185</v>
      </c>
      <c r="E36" t="s">
        <v>350</v>
      </c>
      <c r="F36" t="s">
        <v>12</v>
      </c>
      <c r="G36" t="s">
        <v>186</v>
      </c>
      <c r="H36" t="s">
        <v>351</v>
      </c>
      <c r="I36" t="s">
        <v>30</v>
      </c>
      <c r="J36">
        <v>74</v>
      </c>
      <c r="K36">
        <v>4</v>
      </c>
      <c r="L36">
        <v>0.1</v>
      </c>
      <c r="M36" s="2">
        <v>7.4000000000000003E-3</v>
      </c>
    </row>
    <row r="37" spans="2:13">
      <c r="B37" t="s">
        <v>63</v>
      </c>
      <c r="C37" t="s">
        <v>28</v>
      </c>
      <c r="D37" t="s">
        <v>187</v>
      </c>
      <c r="E37" t="s">
        <v>188</v>
      </c>
      <c r="F37" t="s">
        <v>12</v>
      </c>
      <c r="G37" t="s">
        <v>189</v>
      </c>
      <c r="H37" t="s">
        <v>190</v>
      </c>
      <c r="I37" t="s">
        <v>30</v>
      </c>
      <c r="J37">
        <v>0</v>
      </c>
      <c r="K37">
        <v>1</v>
      </c>
      <c r="L37">
        <v>0.1</v>
      </c>
      <c r="M37" s="2">
        <v>0</v>
      </c>
    </row>
    <row r="38" spans="2:13">
      <c r="B38" t="s">
        <v>63</v>
      </c>
      <c r="C38" t="s">
        <v>28</v>
      </c>
      <c r="D38" t="s">
        <v>191</v>
      </c>
      <c r="E38" t="s">
        <v>192</v>
      </c>
      <c r="F38" t="s">
        <v>12</v>
      </c>
      <c r="G38" t="s">
        <v>193</v>
      </c>
      <c r="H38" t="s">
        <v>194</v>
      </c>
      <c r="I38" t="s">
        <v>30</v>
      </c>
      <c r="J38">
        <v>2</v>
      </c>
      <c r="K38">
        <v>0</v>
      </c>
      <c r="L38">
        <v>0.1</v>
      </c>
      <c r="M38" s="2">
        <v>2.0000000000000001E-4</v>
      </c>
    </row>
    <row r="39" spans="2:13">
      <c r="B39" t="s">
        <v>63</v>
      </c>
      <c r="C39" t="s">
        <v>28</v>
      </c>
      <c r="D39" t="s">
        <v>195</v>
      </c>
      <c r="E39" t="s">
        <v>196</v>
      </c>
      <c r="F39" t="s">
        <v>12</v>
      </c>
      <c r="G39" t="s">
        <v>197</v>
      </c>
      <c r="H39" t="s">
        <v>198</v>
      </c>
      <c r="I39" t="s">
        <v>30</v>
      </c>
      <c r="J39">
        <v>1</v>
      </c>
      <c r="K39">
        <v>0</v>
      </c>
      <c r="L39">
        <v>0.1</v>
      </c>
      <c r="M39" s="2">
        <v>1E-4</v>
      </c>
    </row>
    <row r="40" spans="2:13">
      <c r="B40" t="s">
        <v>63</v>
      </c>
      <c r="C40" t="s">
        <v>28</v>
      </c>
      <c r="D40" t="s">
        <v>64</v>
      </c>
      <c r="E40" t="s">
        <v>65</v>
      </c>
      <c r="F40" t="s">
        <v>12</v>
      </c>
      <c r="G40" t="s">
        <v>66</v>
      </c>
      <c r="H40" t="s">
        <v>67</v>
      </c>
      <c r="I40" t="s">
        <v>24</v>
      </c>
      <c r="J40">
        <v>2</v>
      </c>
      <c r="K40">
        <v>0</v>
      </c>
      <c r="L40">
        <v>0.1</v>
      </c>
      <c r="M40" s="2">
        <v>2.0000000000000001E-4</v>
      </c>
    </row>
    <row r="41" spans="2:13">
      <c r="B41" t="s">
        <v>63</v>
      </c>
      <c r="C41" t="s">
        <v>28</v>
      </c>
      <c r="D41" t="s">
        <v>64</v>
      </c>
      <c r="E41" t="s">
        <v>68</v>
      </c>
      <c r="F41" t="s">
        <v>12</v>
      </c>
      <c r="G41" t="s">
        <v>69</v>
      </c>
      <c r="H41" t="s">
        <v>70</v>
      </c>
      <c r="I41" t="s">
        <v>24</v>
      </c>
      <c r="J41">
        <v>1</v>
      </c>
      <c r="K41">
        <v>0</v>
      </c>
      <c r="L41">
        <v>0.1</v>
      </c>
      <c r="M41" s="2">
        <v>1E-4</v>
      </c>
    </row>
    <row r="42" spans="2:13">
      <c r="B42" t="s">
        <v>63</v>
      </c>
      <c r="C42" t="s">
        <v>28</v>
      </c>
      <c r="D42" t="s">
        <v>199</v>
      </c>
      <c r="E42" t="s">
        <v>200</v>
      </c>
      <c r="F42" t="s">
        <v>12</v>
      </c>
      <c r="G42" t="s">
        <v>201</v>
      </c>
      <c r="H42" t="s">
        <v>202</v>
      </c>
      <c r="I42" t="s">
        <v>30</v>
      </c>
      <c r="J42">
        <v>1</v>
      </c>
      <c r="K42">
        <v>0</v>
      </c>
      <c r="L42">
        <v>0.1</v>
      </c>
      <c r="M42" s="2">
        <v>1E-4</v>
      </c>
    </row>
    <row r="43" spans="2:13">
      <c r="B43" t="s">
        <v>63</v>
      </c>
      <c r="C43" t="s">
        <v>28</v>
      </c>
      <c r="D43" t="s">
        <v>203</v>
      </c>
      <c r="E43" t="s">
        <v>204</v>
      </c>
      <c r="F43" t="s">
        <v>12</v>
      </c>
      <c r="G43" t="s">
        <v>205</v>
      </c>
      <c r="H43" t="s">
        <v>206</v>
      </c>
      <c r="I43" t="s">
        <v>30</v>
      </c>
      <c r="J43">
        <v>2</v>
      </c>
      <c r="K43">
        <v>0</v>
      </c>
      <c r="L43">
        <v>0.1</v>
      </c>
      <c r="M43" s="2">
        <v>2.0000000000000001E-4</v>
      </c>
    </row>
    <row r="44" spans="2:13">
      <c r="B44" t="s">
        <v>63</v>
      </c>
      <c r="C44" t="s">
        <v>28</v>
      </c>
      <c r="D44" t="s">
        <v>207</v>
      </c>
      <c r="E44" t="s">
        <v>208</v>
      </c>
      <c r="F44" t="s">
        <v>12</v>
      </c>
      <c r="G44" t="s">
        <v>209</v>
      </c>
      <c r="H44" t="s">
        <v>210</v>
      </c>
      <c r="I44" t="s">
        <v>30</v>
      </c>
      <c r="J44">
        <v>4</v>
      </c>
      <c r="K44">
        <v>0</v>
      </c>
      <c r="L44">
        <v>0.1</v>
      </c>
      <c r="M44" s="2">
        <v>4.0000000000000002E-4</v>
      </c>
    </row>
    <row r="45" spans="2:13">
      <c r="B45" t="s">
        <v>63</v>
      </c>
      <c r="C45" t="s">
        <v>28</v>
      </c>
      <c r="D45" t="s">
        <v>211</v>
      </c>
      <c r="E45" t="s">
        <v>212</v>
      </c>
      <c r="F45" t="s">
        <v>12</v>
      </c>
      <c r="G45" t="s">
        <v>213</v>
      </c>
      <c r="H45" t="s">
        <v>214</v>
      </c>
      <c r="I45" t="s">
        <v>30</v>
      </c>
      <c r="J45">
        <v>1</v>
      </c>
      <c r="K45">
        <v>0</v>
      </c>
      <c r="L45">
        <v>0.1</v>
      </c>
      <c r="M45" s="2">
        <v>1E-4</v>
      </c>
    </row>
  </sheetData>
  <conditionalFormatting sqref="D10">
    <cfRule type="duplicateValues" dxfId="3" priority="1"/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2"/>
  <sheetViews>
    <sheetView showGridLines="0" topLeftCell="B18" workbookViewId="0">
      <selection activeCell="B18" sqref="B18:O154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7" t="s">
        <v>17</v>
      </c>
      <c r="C3" s="7" t="s">
        <v>20</v>
      </c>
      <c r="D3" s="7" t="s">
        <v>18</v>
      </c>
      <c r="E3" s="7" t="s">
        <v>32</v>
      </c>
      <c r="F3" s="15" t="s">
        <v>27</v>
      </c>
      <c r="G3" s="14" t="s">
        <v>25</v>
      </c>
      <c r="H3" s="14"/>
    </row>
    <row r="4" spans="1:8">
      <c r="B4" s="8" t="s">
        <v>12</v>
      </c>
      <c r="C4" s="1">
        <v>0.1</v>
      </c>
      <c r="D4" s="1">
        <f>SUMIF(adtype_filtrada,$B4,impressoes_filtrada)</f>
        <v>46653191</v>
      </c>
      <c r="E4" s="9">
        <f>(C4*D4)/1000</f>
        <v>4665.3191000000006</v>
      </c>
      <c r="F4" s="16"/>
      <c r="G4" s="13" t="s">
        <v>26</v>
      </c>
      <c r="H4" s="13" t="s">
        <v>27</v>
      </c>
    </row>
    <row r="5" spans="1:8">
      <c r="B5" s="8" t="s">
        <v>11</v>
      </c>
      <c r="C5" s="1">
        <v>0.1</v>
      </c>
      <c r="D5" s="1">
        <f>SUMIF(adtype_filtrada,$B5,impressoes_filtrada)</f>
        <v>2</v>
      </c>
      <c r="E5" s="9">
        <f>C5*D5/1000</f>
        <v>2.0000000000000001E-4</v>
      </c>
      <c r="F5" s="16"/>
      <c r="G5" s="9">
        <f>SUM(total_adops_filtrada)</f>
        <v>6901.5711000000038</v>
      </c>
      <c r="H5" s="9">
        <f>SUM(total_ferramenta_filtrada)</f>
        <v>5665.1860199999992</v>
      </c>
    </row>
    <row r="6" spans="1:8">
      <c r="B6" s="8" t="s">
        <v>10</v>
      </c>
      <c r="C6" s="1">
        <v>2.5000000000000001E-2</v>
      </c>
      <c r="D6" s="1">
        <f>SUMIF(adtype_filtrada,$B6,clicks_filtrada)</f>
        <v>877</v>
      </c>
      <c r="E6" s="9">
        <f>C6*D6</f>
        <v>21.925000000000001</v>
      </c>
      <c r="F6" s="16"/>
    </row>
    <row r="7" spans="1:8">
      <c r="B7" s="8" t="s">
        <v>22</v>
      </c>
      <c r="C7" s="1">
        <v>7.0000000000000007E-2</v>
      </c>
      <c r="D7" s="1">
        <f>SUMIF(adtype_filtrada,$B7,impressoes_filtrada)</f>
        <v>0</v>
      </c>
      <c r="E7" s="9">
        <f>C7*D7/1000</f>
        <v>0</v>
      </c>
      <c r="F7" s="16"/>
    </row>
    <row r="8" spans="1:8">
      <c r="B8" s="8" t="s">
        <v>23</v>
      </c>
      <c r="C8" s="1">
        <v>0.35</v>
      </c>
      <c r="D8" s="1">
        <f>SUMIF(adtype_filtrada,$B8,impressoes_filtrada)</f>
        <v>6326648</v>
      </c>
      <c r="E8" s="9">
        <f>(C8*D8)/1000</f>
        <v>2214.3267999999998</v>
      </c>
      <c r="F8" s="16"/>
    </row>
    <row r="9" spans="1:8">
      <c r="B9" s="7" t="s">
        <v>19</v>
      </c>
      <c r="C9" s="7"/>
      <c r="D9" s="7"/>
      <c r="E9" s="10">
        <f>SUM(E4:E8)</f>
        <v>6901.571100000001</v>
      </c>
      <c r="F9" s="17"/>
    </row>
    <row r="13" spans="1:8">
      <c r="A13" s="4"/>
      <c r="B13" s="5" t="s">
        <v>0</v>
      </c>
      <c r="C13" s="5"/>
      <c r="D13" s="5"/>
    </row>
    <row r="14" spans="1:8">
      <c r="A14" s="4"/>
      <c r="B14" s="12"/>
      <c r="C14" s="5"/>
      <c r="D14" s="5"/>
    </row>
    <row r="15" spans="1:8" ht="6.75" customHeight="1">
      <c r="A15" s="4"/>
      <c r="B15" s="5"/>
      <c r="C15" s="5"/>
      <c r="D15" s="5"/>
    </row>
    <row r="18" spans="1:15" ht="45">
      <c r="A18" s="11" t="s">
        <v>21</v>
      </c>
      <c r="B18" s="5" t="s">
        <v>0</v>
      </c>
      <c r="C18" s="5" t="s">
        <v>1</v>
      </c>
      <c r="D18" s="5" t="s">
        <v>2</v>
      </c>
      <c r="E18" s="5" t="s">
        <v>3</v>
      </c>
      <c r="F18" s="5" t="s">
        <v>4</v>
      </c>
      <c r="G18" s="5" t="s">
        <v>5</v>
      </c>
      <c r="H18" s="5" t="s">
        <v>6</v>
      </c>
      <c r="I18" s="5" t="s">
        <v>7</v>
      </c>
      <c r="J18" s="5" t="s">
        <v>8</v>
      </c>
      <c r="K18" s="5" t="s">
        <v>9</v>
      </c>
      <c r="L18" s="6" t="s">
        <v>13</v>
      </c>
      <c r="M18" s="6" t="s">
        <v>14</v>
      </c>
      <c r="N18" s="6" t="s">
        <v>15</v>
      </c>
      <c r="O18" s="6" t="s">
        <v>16</v>
      </c>
    </row>
    <row r="19" spans="1:15">
      <c r="B19" t="s">
        <v>40</v>
      </c>
      <c r="C19" t="s">
        <v>28</v>
      </c>
      <c r="D19" t="s">
        <v>380</v>
      </c>
      <c r="E19" t="s">
        <v>381</v>
      </c>
      <c r="F19" t="s">
        <v>10</v>
      </c>
      <c r="G19" t="s">
        <v>382</v>
      </c>
      <c r="H19" t="s">
        <v>383</v>
      </c>
      <c r="I19" t="s">
        <v>24</v>
      </c>
      <c r="J19">
        <v>0</v>
      </c>
      <c r="K19">
        <v>1</v>
      </c>
      <c r="L19" s="2">
        <v>3.5000000000000001E-3</v>
      </c>
      <c r="M19">
        <v>2.5000000000000001E-2</v>
      </c>
      <c r="N19" s="2">
        <v>3.5000000000000001E-3</v>
      </c>
      <c r="O19" s="2">
        <v>2.5000000000000001E-2</v>
      </c>
    </row>
    <row r="20" spans="1:15">
      <c r="B20" t="s">
        <v>40</v>
      </c>
      <c r="C20" t="s">
        <v>28</v>
      </c>
      <c r="D20" t="s">
        <v>384</v>
      </c>
      <c r="E20" t="s">
        <v>385</v>
      </c>
      <c r="F20" t="s">
        <v>12</v>
      </c>
      <c r="G20" t="s">
        <v>386</v>
      </c>
      <c r="H20" t="s">
        <v>387</v>
      </c>
      <c r="I20" t="s">
        <v>24</v>
      </c>
      <c r="J20">
        <v>1</v>
      </c>
      <c r="K20">
        <v>0</v>
      </c>
      <c r="L20" s="2">
        <v>0.04</v>
      </c>
      <c r="M20">
        <v>0.1</v>
      </c>
      <c r="N20" s="2">
        <v>4.0000000000000003E-5</v>
      </c>
      <c r="O20" s="2">
        <v>1E-4</v>
      </c>
    </row>
    <row r="21" spans="1:15">
      <c r="B21" t="s">
        <v>40</v>
      </c>
      <c r="C21" t="s">
        <v>28</v>
      </c>
      <c r="D21" t="s">
        <v>47</v>
      </c>
      <c r="E21" t="s">
        <v>48</v>
      </c>
      <c r="F21" t="s">
        <v>12</v>
      </c>
      <c r="G21" t="s">
        <v>49</v>
      </c>
      <c r="H21" t="s">
        <v>50</v>
      </c>
      <c r="I21" t="s">
        <v>24</v>
      </c>
      <c r="J21">
        <v>4</v>
      </c>
      <c r="K21">
        <v>0</v>
      </c>
      <c r="L21" s="2">
        <v>0.04</v>
      </c>
      <c r="M21">
        <v>0.1</v>
      </c>
      <c r="N21" s="2">
        <v>1.6000000000000001E-4</v>
      </c>
      <c r="O21" s="2">
        <v>4.0000000000000002E-4</v>
      </c>
    </row>
    <row r="22" spans="1:15">
      <c r="B22" t="s">
        <v>34</v>
      </c>
      <c r="C22" t="s">
        <v>35</v>
      </c>
      <c r="D22" t="s">
        <v>388</v>
      </c>
      <c r="E22" t="s">
        <v>389</v>
      </c>
      <c r="F22" t="s">
        <v>12</v>
      </c>
      <c r="G22" t="s">
        <v>390</v>
      </c>
      <c r="H22" t="s">
        <v>391</v>
      </c>
      <c r="I22" t="s">
        <v>30</v>
      </c>
      <c r="J22">
        <v>56083</v>
      </c>
      <c r="K22">
        <v>24</v>
      </c>
      <c r="L22" s="2">
        <v>0.04</v>
      </c>
      <c r="M22">
        <v>0.1</v>
      </c>
      <c r="N22" s="2">
        <v>2.2433200000000002</v>
      </c>
      <c r="O22" s="2">
        <v>5.6082999999999998</v>
      </c>
    </row>
    <row r="23" spans="1:15">
      <c r="B23" t="s">
        <v>34</v>
      </c>
      <c r="C23" t="s">
        <v>35</v>
      </c>
      <c r="D23" t="s">
        <v>392</v>
      </c>
      <c r="E23" t="s">
        <v>393</v>
      </c>
      <c r="F23" t="s">
        <v>12</v>
      </c>
      <c r="G23" t="s">
        <v>394</v>
      </c>
      <c r="H23" t="s">
        <v>395</v>
      </c>
      <c r="I23" t="s">
        <v>30</v>
      </c>
      <c r="J23">
        <v>63084</v>
      </c>
      <c r="K23">
        <v>22</v>
      </c>
      <c r="L23" s="2">
        <v>0.04</v>
      </c>
      <c r="M23">
        <v>0.1</v>
      </c>
      <c r="N23" s="2">
        <v>2.5233600000000003</v>
      </c>
      <c r="O23" s="2">
        <v>6.3084000000000007</v>
      </c>
    </row>
    <row r="24" spans="1:15">
      <c r="B24" t="s">
        <v>34</v>
      </c>
      <c r="C24" t="s">
        <v>35</v>
      </c>
      <c r="D24" t="s">
        <v>51</v>
      </c>
      <c r="E24" t="s">
        <v>52</v>
      </c>
      <c r="F24" t="s">
        <v>12</v>
      </c>
      <c r="G24" t="s">
        <v>53</v>
      </c>
      <c r="H24" t="s">
        <v>54</v>
      </c>
      <c r="I24" t="s">
        <v>30</v>
      </c>
      <c r="J24">
        <v>38739</v>
      </c>
      <c r="K24">
        <v>15</v>
      </c>
      <c r="L24" s="2">
        <v>0.04</v>
      </c>
      <c r="M24">
        <v>0.1</v>
      </c>
      <c r="N24" s="2">
        <v>1.54956</v>
      </c>
      <c r="O24" s="2">
        <v>3.8738999999999999</v>
      </c>
    </row>
    <row r="25" spans="1:15">
      <c r="B25" t="s">
        <v>34</v>
      </c>
      <c r="C25" t="s">
        <v>35</v>
      </c>
      <c r="D25" t="s">
        <v>396</v>
      </c>
      <c r="E25" t="s">
        <v>397</v>
      </c>
      <c r="F25" t="s">
        <v>12</v>
      </c>
      <c r="G25" t="s">
        <v>398</v>
      </c>
      <c r="H25" t="s">
        <v>399</v>
      </c>
      <c r="I25" t="s">
        <v>30</v>
      </c>
      <c r="J25">
        <v>3644</v>
      </c>
      <c r="K25">
        <v>3</v>
      </c>
      <c r="L25" s="2">
        <v>0.04</v>
      </c>
      <c r="M25">
        <v>0.1</v>
      </c>
      <c r="N25" s="2">
        <v>0.14576</v>
      </c>
      <c r="O25" s="2">
        <v>0.36440000000000006</v>
      </c>
    </row>
    <row r="26" spans="1:15">
      <c r="B26" t="s">
        <v>34</v>
      </c>
      <c r="C26" t="s">
        <v>35</v>
      </c>
      <c r="D26" t="s">
        <v>400</v>
      </c>
      <c r="E26" t="s">
        <v>401</v>
      </c>
      <c r="F26" t="s">
        <v>12</v>
      </c>
      <c r="G26" t="s">
        <v>402</v>
      </c>
      <c r="H26" t="s">
        <v>403</v>
      </c>
      <c r="I26" t="s">
        <v>30</v>
      </c>
      <c r="J26">
        <v>24656</v>
      </c>
      <c r="K26">
        <v>23</v>
      </c>
      <c r="L26" s="2">
        <v>0.04</v>
      </c>
      <c r="M26">
        <v>0.1</v>
      </c>
      <c r="N26" s="2">
        <v>0.98624000000000001</v>
      </c>
      <c r="O26" s="2">
        <v>2.4656000000000002</v>
      </c>
    </row>
    <row r="27" spans="1:15">
      <c r="B27" t="s">
        <v>34</v>
      </c>
      <c r="C27" t="s">
        <v>35</v>
      </c>
      <c r="D27" t="s">
        <v>55</v>
      </c>
      <c r="E27" t="s">
        <v>56</v>
      </c>
      <c r="F27" t="s">
        <v>12</v>
      </c>
      <c r="G27" t="s">
        <v>57</v>
      </c>
      <c r="H27" t="s">
        <v>58</v>
      </c>
      <c r="I27" t="s">
        <v>30</v>
      </c>
      <c r="J27">
        <v>33118</v>
      </c>
      <c r="K27">
        <v>28</v>
      </c>
      <c r="L27" s="2">
        <v>0.04</v>
      </c>
      <c r="M27">
        <v>0.1</v>
      </c>
      <c r="N27" s="2">
        <v>1.3247200000000001</v>
      </c>
      <c r="O27" s="2">
        <v>3.3118000000000003</v>
      </c>
    </row>
    <row r="28" spans="1:15">
      <c r="B28" t="s">
        <v>34</v>
      </c>
      <c r="C28" t="s">
        <v>35</v>
      </c>
      <c r="D28" t="s">
        <v>404</v>
      </c>
      <c r="E28" t="s">
        <v>405</v>
      </c>
      <c r="F28" t="s">
        <v>12</v>
      </c>
      <c r="G28" t="s">
        <v>406</v>
      </c>
      <c r="H28" t="s">
        <v>407</v>
      </c>
      <c r="I28" t="s">
        <v>30</v>
      </c>
      <c r="J28">
        <v>6447</v>
      </c>
      <c r="K28">
        <v>13</v>
      </c>
      <c r="L28" s="2">
        <v>0.04</v>
      </c>
      <c r="M28">
        <v>0.1</v>
      </c>
      <c r="N28" s="2">
        <v>0.25788</v>
      </c>
      <c r="O28" s="2">
        <v>0.64470000000000005</v>
      </c>
    </row>
    <row r="29" spans="1:15">
      <c r="B29" t="s">
        <v>34</v>
      </c>
      <c r="C29" t="s">
        <v>35</v>
      </c>
      <c r="D29" t="s">
        <v>408</v>
      </c>
      <c r="E29" t="s">
        <v>409</v>
      </c>
      <c r="F29" t="s">
        <v>12</v>
      </c>
      <c r="G29" t="s">
        <v>410</v>
      </c>
      <c r="H29" t="s">
        <v>411</v>
      </c>
      <c r="I29" t="s">
        <v>30</v>
      </c>
      <c r="J29">
        <v>15029</v>
      </c>
      <c r="K29">
        <v>9</v>
      </c>
      <c r="L29" s="2">
        <v>0.04</v>
      </c>
      <c r="M29">
        <v>0.1</v>
      </c>
      <c r="N29" s="2">
        <v>0.60115999999999992</v>
      </c>
      <c r="O29" s="2">
        <v>1.5029000000000001</v>
      </c>
    </row>
    <row r="30" spans="1:15">
      <c r="B30" t="s">
        <v>34</v>
      </c>
      <c r="C30" t="s">
        <v>35</v>
      </c>
      <c r="D30" t="s">
        <v>412</v>
      </c>
      <c r="E30" t="s">
        <v>413</v>
      </c>
      <c r="F30" t="s">
        <v>12</v>
      </c>
      <c r="G30" t="s">
        <v>414</v>
      </c>
      <c r="H30" t="s">
        <v>415</v>
      </c>
      <c r="I30" t="s">
        <v>30</v>
      </c>
      <c r="J30">
        <v>3876</v>
      </c>
      <c r="K30">
        <v>3</v>
      </c>
      <c r="L30" s="2">
        <v>0.04</v>
      </c>
      <c r="M30">
        <v>0.1</v>
      </c>
      <c r="N30" s="2">
        <v>0.15503999999999998</v>
      </c>
      <c r="O30" s="2">
        <v>0.3876</v>
      </c>
    </row>
    <row r="31" spans="1:15">
      <c r="B31" t="s">
        <v>34</v>
      </c>
      <c r="C31" t="s">
        <v>35</v>
      </c>
      <c r="D31" t="s">
        <v>416</v>
      </c>
      <c r="E31" t="s">
        <v>417</v>
      </c>
      <c r="F31" t="s">
        <v>12</v>
      </c>
      <c r="G31" t="s">
        <v>418</v>
      </c>
      <c r="H31" t="s">
        <v>419</v>
      </c>
      <c r="I31" t="s">
        <v>30</v>
      </c>
      <c r="J31">
        <v>18121</v>
      </c>
      <c r="K31">
        <v>13</v>
      </c>
      <c r="L31" s="2">
        <v>0.04</v>
      </c>
      <c r="M31">
        <v>0.1</v>
      </c>
      <c r="N31" s="2">
        <v>0.72484000000000004</v>
      </c>
      <c r="O31" s="2">
        <v>1.8121</v>
      </c>
    </row>
    <row r="32" spans="1:15">
      <c r="B32" t="s">
        <v>34</v>
      </c>
      <c r="C32" t="s">
        <v>35</v>
      </c>
      <c r="D32" t="s">
        <v>420</v>
      </c>
      <c r="E32" t="s">
        <v>421</v>
      </c>
      <c r="F32" t="s">
        <v>12</v>
      </c>
      <c r="G32" t="s">
        <v>422</v>
      </c>
      <c r="H32" t="s">
        <v>423</v>
      </c>
      <c r="I32" t="s">
        <v>30</v>
      </c>
      <c r="J32">
        <v>28412</v>
      </c>
      <c r="K32">
        <v>13</v>
      </c>
      <c r="L32" s="2">
        <v>0.04</v>
      </c>
      <c r="M32">
        <v>0.1</v>
      </c>
      <c r="N32" s="2">
        <v>1.1364799999999999</v>
      </c>
      <c r="O32" s="2">
        <v>2.8412000000000002</v>
      </c>
    </row>
    <row r="33" spans="2:15">
      <c r="B33" t="s">
        <v>34</v>
      </c>
      <c r="C33" t="s">
        <v>35</v>
      </c>
      <c r="D33" t="s">
        <v>424</v>
      </c>
      <c r="E33" t="s">
        <v>425</v>
      </c>
      <c r="F33" t="s">
        <v>12</v>
      </c>
      <c r="G33" t="s">
        <v>426</v>
      </c>
      <c r="H33" t="s">
        <v>427</v>
      </c>
      <c r="I33" t="s">
        <v>30</v>
      </c>
      <c r="J33">
        <v>43818</v>
      </c>
      <c r="K33">
        <v>162</v>
      </c>
      <c r="L33" s="2">
        <v>0.04</v>
      </c>
      <c r="M33">
        <v>0.1</v>
      </c>
      <c r="N33" s="2">
        <v>1.7527200000000001</v>
      </c>
      <c r="O33" s="2">
        <v>4.3818000000000001</v>
      </c>
    </row>
    <row r="34" spans="2:15">
      <c r="B34" t="s">
        <v>34</v>
      </c>
      <c r="C34" t="s">
        <v>35</v>
      </c>
      <c r="D34" t="s">
        <v>428</v>
      </c>
      <c r="E34" t="s">
        <v>429</v>
      </c>
      <c r="F34" t="s">
        <v>12</v>
      </c>
      <c r="G34" t="s">
        <v>430</v>
      </c>
      <c r="H34" t="s">
        <v>431</v>
      </c>
      <c r="I34" t="s">
        <v>30</v>
      </c>
      <c r="J34">
        <v>30296</v>
      </c>
      <c r="K34">
        <v>118</v>
      </c>
      <c r="L34" s="2">
        <v>0.04</v>
      </c>
      <c r="M34">
        <v>0.1</v>
      </c>
      <c r="N34" s="2">
        <v>1.21184</v>
      </c>
      <c r="O34" s="2">
        <v>3.0296000000000003</v>
      </c>
    </row>
    <row r="35" spans="2:15">
      <c r="B35" t="s">
        <v>34</v>
      </c>
      <c r="C35" t="s">
        <v>35</v>
      </c>
      <c r="D35" t="s">
        <v>59</v>
      </c>
      <c r="E35" t="s">
        <v>60</v>
      </c>
      <c r="F35" t="s">
        <v>12</v>
      </c>
      <c r="G35" t="s">
        <v>61</v>
      </c>
      <c r="H35" t="s">
        <v>62</v>
      </c>
      <c r="I35" t="s">
        <v>30</v>
      </c>
      <c r="J35">
        <v>170257</v>
      </c>
      <c r="K35">
        <v>447</v>
      </c>
      <c r="L35" s="2">
        <v>0.04</v>
      </c>
      <c r="M35">
        <v>0.1</v>
      </c>
      <c r="N35" s="2">
        <v>6.8102799999999997</v>
      </c>
      <c r="O35" s="2">
        <v>17.025700000000001</v>
      </c>
    </row>
    <row r="36" spans="2:15">
      <c r="B36" t="s">
        <v>34</v>
      </c>
      <c r="C36" t="s">
        <v>35</v>
      </c>
      <c r="D36" t="s">
        <v>432</v>
      </c>
      <c r="E36" t="s">
        <v>433</v>
      </c>
      <c r="F36" t="s">
        <v>23</v>
      </c>
      <c r="G36" t="s">
        <v>434</v>
      </c>
      <c r="H36" t="s">
        <v>435</v>
      </c>
      <c r="I36" t="s">
        <v>33</v>
      </c>
      <c r="J36">
        <v>77025</v>
      </c>
      <c r="K36">
        <v>345</v>
      </c>
      <c r="L36" s="2">
        <v>0.6</v>
      </c>
      <c r="M36">
        <v>0.35</v>
      </c>
      <c r="N36" s="2">
        <v>46.215000000000003</v>
      </c>
      <c r="O36" s="2">
        <v>26.958749999999998</v>
      </c>
    </row>
    <row r="37" spans="2:15">
      <c r="B37" t="s">
        <v>436</v>
      </c>
      <c r="C37" t="s">
        <v>28</v>
      </c>
      <c r="D37" t="s">
        <v>437</v>
      </c>
      <c r="E37" t="s">
        <v>438</v>
      </c>
      <c r="F37" t="s">
        <v>10</v>
      </c>
      <c r="G37" t="s">
        <v>439</v>
      </c>
      <c r="H37" t="s">
        <v>440</v>
      </c>
      <c r="I37" t="s">
        <v>24</v>
      </c>
      <c r="J37">
        <v>0</v>
      </c>
      <c r="K37">
        <v>1</v>
      </c>
      <c r="L37" s="2">
        <v>3.5000000000000001E-3</v>
      </c>
      <c r="M37">
        <v>2.5000000000000001E-2</v>
      </c>
      <c r="N37" s="2">
        <v>3.5000000000000001E-3</v>
      </c>
      <c r="O37" s="2">
        <v>2.5000000000000001E-2</v>
      </c>
    </row>
    <row r="38" spans="2:15">
      <c r="B38" t="s">
        <v>302</v>
      </c>
      <c r="C38" t="s">
        <v>31</v>
      </c>
      <c r="D38" t="s">
        <v>441</v>
      </c>
      <c r="E38" t="s">
        <v>442</v>
      </c>
      <c r="F38" t="s">
        <v>12</v>
      </c>
      <c r="G38" t="s">
        <v>443</v>
      </c>
      <c r="H38" t="s">
        <v>444</v>
      </c>
      <c r="I38" t="s">
        <v>30</v>
      </c>
      <c r="J38">
        <v>7844</v>
      </c>
      <c r="K38">
        <v>18</v>
      </c>
      <c r="L38" s="2">
        <v>0.04</v>
      </c>
      <c r="M38">
        <v>0.1</v>
      </c>
      <c r="N38" s="2">
        <v>0.31375999999999998</v>
      </c>
      <c r="O38" s="2">
        <v>0.7844000000000001</v>
      </c>
    </row>
    <row r="39" spans="2:15">
      <c r="B39" t="s">
        <v>302</v>
      </c>
      <c r="C39" t="s">
        <v>31</v>
      </c>
      <c r="D39" t="s">
        <v>441</v>
      </c>
      <c r="E39" t="s">
        <v>445</v>
      </c>
      <c r="F39" t="s">
        <v>12</v>
      </c>
      <c r="G39" t="s">
        <v>446</v>
      </c>
      <c r="H39" t="s">
        <v>447</v>
      </c>
      <c r="I39" t="s">
        <v>30</v>
      </c>
      <c r="J39">
        <v>1510</v>
      </c>
      <c r="K39">
        <v>2</v>
      </c>
      <c r="L39" s="2">
        <v>0.04</v>
      </c>
      <c r="M39">
        <v>0.1</v>
      </c>
      <c r="N39" s="2">
        <v>6.0399999999999995E-2</v>
      </c>
      <c r="O39" s="2">
        <v>0.151</v>
      </c>
    </row>
    <row r="40" spans="2:15">
      <c r="B40" t="s">
        <v>302</v>
      </c>
      <c r="C40" t="s">
        <v>31</v>
      </c>
      <c r="D40" t="s">
        <v>441</v>
      </c>
      <c r="E40" t="s">
        <v>448</v>
      </c>
      <c r="F40" t="s">
        <v>12</v>
      </c>
      <c r="G40" t="s">
        <v>449</v>
      </c>
      <c r="H40" t="s">
        <v>450</v>
      </c>
      <c r="I40" t="s">
        <v>30</v>
      </c>
      <c r="J40">
        <v>676</v>
      </c>
      <c r="K40">
        <v>10</v>
      </c>
      <c r="L40" s="2">
        <v>0.04</v>
      </c>
      <c r="M40">
        <v>0.1</v>
      </c>
      <c r="N40" s="2">
        <v>2.7039999999999998E-2</v>
      </c>
      <c r="O40" s="2">
        <v>6.7600000000000007E-2</v>
      </c>
    </row>
    <row r="41" spans="2:15">
      <c r="B41" t="s">
        <v>302</v>
      </c>
      <c r="C41" t="s">
        <v>31</v>
      </c>
      <c r="D41" t="s">
        <v>303</v>
      </c>
      <c r="E41" t="s">
        <v>304</v>
      </c>
      <c r="F41" t="s">
        <v>12</v>
      </c>
      <c r="G41" t="s">
        <v>305</v>
      </c>
      <c r="H41" t="s">
        <v>306</v>
      </c>
      <c r="I41" t="s">
        <v>30</v>
      </c>
      <c r="J41">
        <v>2527975</v>
      </c>
      <c r="K41">
        <v>1593</v>
      </c>
      <c r="L41" s="2">
        <v>0.04</v>
      </c>
      <c r="M41">
        <v>0.1</v>
      </c>
      <c r="N41" s="2">
        <v>101.119</v>
      </c>
      <c r="O41" s="2">
        <v>252.79750000000001</v>
      </c>
    </row>
    <row r="42" spans="2:15">
      <c r="B42" t="s">
        <v>302</v>
      </c>
      <c r="C42" t="s">
        <v>31</v>
      </c>
      <c r="D42" t="s">
        <v>307</v>
      </c>
      <c r="E42" t="s">
        <v>308</v>
      </c>
      <c r="F42" t="s">
        <v>12</v>
      </c>
      <c r="G42" t="s">
        <v>309</v>
      </c>
      <c r="H42" t="s">
        <v>310</v>
      </c>
      <c r="I42" t="s">
        <v>30</v>
      </c>
      <c r="J42">
        <v>4691326</v>
      </c>
      <c r="K42">
        <v>4759</v>
      </c>
      <c r="L42" s="2">
        <v>0.04</v>
      </c>
      <c r="M42">
        <v>0.1</v>
      </c>
      <c r="N42" s="2">
        <v>187.65304</v>
      </c>
      <c r="O42" s="2">
        <v>469.13260000000002</v>
      </c>
    </row>
    <row r="43" spans="2:15">
      <c r="B43" t="s">
        <v>302</v>
      </c>
      <c r="C43" t="s">
        <v>31</v>
      </c>
      <c r="D43" t="s">
        <v>451</v>
      </c>
      <c r="E43" t="s">
        <v>452</v>
      </c>
      <c r="F43" t="s">
        <v>23</v>
      </c>
      <c r="G43" t="s">
        <v>453</v>
      </c>
      <c r="H43" t="s">
        <v>454</v>
      </c>
      <c r="I43" t="s">
        <v>33</v>
      </c>
      <c r="J43">
        <v>2</v>
      </c>
      <c r="K43">
        <v>0</v>
      </c>
      <c r="L43" s="2">
        <v>0.6</v>
      </c>
      <c r="M43">
        <v>0.35</v>
      </c>
      <c r="N43" s="2">
        <v>1.1999999999999999E-3</v>
      </c>
      <c r="O43" s="2">
        <v>6.9999999999999999E-4</v>
      </c>
    </row>
    <row r="44" spans="2:15">
      <c r="B44" t="s">
        <v>302</v>
      </c>
      <c r="C44" t="s">
        <v>31</v>
      </c>
      <c r="D44" t="s">
        <v>455</v>
      </c>
      <c r="E44" t="s">
        <v>456</v>
      </c>
      <c r="F44" t="s">
        <v>23</v>
      </c>
      <c r="G44" t="s">
        <v>457</v>
      </c>
      <c r="H44" t="s">
        <v>458</v>
      </c>
      <c r="I44" t="s">
        <v>33</v>
      </c>
      <c r="J44">
        <v>790547</v>
      </c>
      <c r="K44">
        <v>1267</v>
      </c>
      <c r="L44" s="2">
        <v>0.6</v>
      </c>
      <c r="M44">
        <v>0.35</v>
      </c>
      <c r="N44" s="2">
        <v>474.32819999999998</v>
      </c>
      <c r="O44" s="2">
        <v>276.69144999999997</v>
      </c>
    </row>
    <row r="45" spans="2:15">
      <c r="B45" t="s">
        <v>302</v>
      </c>
      <c r="C45" t="s">
        <v>31</v>
      </c>
      <c r="D45" t="s">
        <v>459</v>
      </c>
      <c r="E45" t="s">
        <v>460</v>
      </c>
      <c r="F45" t="s">
        <v>23</v>
      </c>
      <c r="G45" t="s">
        <v>461</v>
      </c>
      <c r="H45" t="s">
        <v>462</v>
      </c>
      <c r="I45" t="s">
        <v>33</v>
      </c>
      <c r="J45">
        <v>1098189</v>
      </c>
      <c r="K45">
        <v>1719</v>
      </c>
      <c r="L45" s="2">
        <v>0.6</v>
      </c>
      <c r="M45">
        <v>0.35</v>
      </c>
      <c r="N45" s="2">
        <v>658.91340000000002</v>
      </c>
      <c r="O45" s="2">
        <v>384.36614999999995</v>
      </c>
    </row>
    <row r="46" spans="2:15">
      <c r="B46" t="s">
        <v>302</v>
      </c>
      <c r="C46" t="s">
        <v>28</v>
      </c>
      <c r="D46" t="s">
        <v>311</v>
      </c>
      <c r="E46" t="s">
        <v>312</v>
      </c>
      <c r="F46" t="s">
        <v>12</v>
      </c>
      <c r="G46" t="s">
        <v>313</v>
      </c>
      <c r="H46" t="s">
        <v>314</v>
      </c>
      <c r="I46" t="s">
        <v>30</v>
      </c>
      <c r="J46">
        <v>49259</v>
      </c>
      <c r="K46">
        <v>81</v>
      </c>
      <c r="L46" s="2">
        <v>0.04</v>
      </c>
      <c r="M46">
        <v>0.1</v>
      </c>
      <c r="N46" s="2">
        <v>1.9703600000000001</v>
      </c>
      <c r="O46" s="2">
        <v>4.9259000000000004</v>
      </c>
    </row>
    <row r="47" spans="2:15">
      <c r="B47" t="s">
        <v>302</v>
      </c>
      <c r="C47" t="s">
        <v>28</v>
      </c>
      <c r="D47" t="s">
        <v>315</v>
      </c>
      <c r="E47" t="s">
        <v>316</v>
      </c>
      <c r="F47" t="s">
        <v>12</v>
      </c>
      <c r="G47" t="s">
        <v>317</v>
      </c>
      <c r="H47" t="s">
        <v>318</v>
      </c>
      <c r="I47" t="s">
        <v>30</v>
      </c>
      <c r="J47">
        <v>50048</v>
      </c>
      <c r="K47">
        <v>106</v>
      </c>
      <c r="L47" s="2">
        <v>0.04</v>
      </c>
      <c r="M47">
        <v>0.1</v>
      </c>
      <c r="N47" s="2">
        <v>2.0019200000000001</v>
      </c>
      <c r="O47" s="2">
        <v>5.0048000000000004</v>
      </c>
    </row>
    <row r="48" spans="2:15">
      <c r="B48" t="s">
        <v>302</v>
      </c>
      <c r="C48" t="s">
        <v>28</v>
      </c>
      <c r="D48" t="s">
        <v>319</v>
      </c>
      <c r="E48" t="s">
        <v>320</v>
      </c>
      <c r="F48" t="s">
        <v>12</v>
      </c>
      <c r="G48" t="s">
        <v>321</v>
      </c>
      <c r="H48" t="s">
        <v>322</v>
      </c>
      <c r="I48" t="s">
        <v>30</v>
      </c>
      <c r="J48">
        <v>195090</v>
      </c>
      <c r="K48">
        <v>508</v>
      </c>
      <c r="L48" s="2">
        <v>0.04</v>
      </c>
      <c r="M48">
        <v>0.1</v>
      </c>
      <c r="N48" s="2">
        <v>7.8036000000000003</v>
      </c>
      <c r="O48" s="2">
        <v>19.509</v>
      </c>
    </row>
    <row r="49" spans="2:15">
      <c r="B49" t="s">
        <v>302</v>
      </c>
      <c r="C49" t="s">
        <v>28</v>
      </c>
      <c r="D49" t="s">
        <v>323</v>
      </c>
      <c r="E49" t="s">
        <v>324</v>
      </c>
      <c r="F49" t="s">
        <v>12</v>
      </c>
      <c r="G49" t="s">
        <v>325</v>
      </c>
      <c r="H49" t="s">
        <v>326</v>
      </c>
      <c r="I49" t="s">
        <v>30</v>
      </c>
      <c r="J49">
        <v>46684</v>
      </c>
      <c r="K49">
        <v>387</v>
      </c>
      <c r="L49" s="2">
        <v>0.04</v>
      </c>
      <c r="M49">
        <v>0.1</v>
      </c>
      <c r="N49" s="2">
        <v>1.8673600000000001</v>
      </c>
      <c r="O49" s="2">
        <v>4.6684000000000001</v>
      </c>
    </row>
    <row r="50" spans="2:15">
      <c r="B50" t="s">
        <v>302</v>
      </c>
      <c r="C50" t="s">
        <v>28</v>
      </c>
      <c r="D50" t="s">
        <v>327</v>
      </c>
      <c r="E50" t="s">
        <v>328</v>
      </c>
      <c r="F50" t="s">
        <v>12</v>
      </c>
      <c r="G50" t="s">
        <v>329</v>
      </c>
      <c r="H50" t="s">
        <v>330</v>
      </c>
      <c r="I50" t="s">
        <v>30</v>
      </c>
      <c r="J50">
        <v>701870</v>
      </c>
      <c r="K50">
        <v>857</v>
      </c>
      <c r="L50" s="2">
        <v>0.04</v>
      </c>
      <c r="M50">
        <v>0.1</v>
      </c>
      <c r="N50" s="2">
        <v>28.0748</v>
      </c>
      <c r="O50" s="2">
        <v>70.186999999999998</v>
      </c>
    </row>
    <row r="51" spans="2:15">
      <c r="B51" t="s">
        <v>302</v>
      </c>
      <c r="C51" t="s">
        <v>28</v>
      </c>
      <c r="D51" t="s">
        <v>331</v>
      </c>
      <c r="E51" t="s">
        <v>332</v>
      </c>
      <c r="F51" t="s">
        <v>12</v>
      </c>
      <c r="G51" t="s">
        <v>39</v>
      </c>
      <c r="H51" t="s">
        <v>463</v>
      </c>
      <c r="I51" t="s">
        <v>30</v>
      </c>
      <c r="J51">
        <v>1</v>
      </c>
      <c r="K51">
        <v>0</v>
      </c>
      <c r="L51" s="2">
        <v>0.04</v>
      </c>
      <c r="M51">
        <v>0.1</v>
      </c>
      <c r="N51" s="2">
        <v>4.0000000000000003E-5</v>
      </c>
      <c r="O51" s="2">
        <v>1E-4</v>
      </c>
    </row>
    <row r="52" spans="2:15">
      <c r="B52" t="s">
        <v>302</v>
      </c>
      <c r="C52" t="s">
        <v>28</v>
      </c>
      <c r="D52" t="s">
        <v>331</v>
      </c>
      <c r="E52" t="s">
        <v>332</v>
      </c>
      <c r="F52" t="s">
        <v>12</v>
      </c>
      <c r="G52" t="s">
        <v>333</v>
      </c>
      <c r="H52" t="s">
        <v>334</v>
      </c>
      <c r="I52" t="s">
        <v>30</v>
      </c>
      <c r="J52">
        <v>997957</v>
      </c>
      <c r="K52">
        <v>398</v>
      </c>
      <c r="L52" s="2">
        <v>0.04</v>
      </c>
      <c r="M52">
        <v>0.1</v>
      </c>
      <c r="N52" s="2">
        <v>39.918279999999996</v>
      </c>
      <c r="O52" s="2">
        <v>99.795700000000011</v>
      </c>
    </row>
    <row r="53" spans="2:15">
      <c r="B53" t="s">
        <v>302</v>
      </c>
      <c r="C53" t="s">
        <v>28</v>
      </c>
      <c r="D53" t="s">
        <v>335</v>
      </c>
      <c r="E53" t="s">
        <v>336</v>
      </c>
      <c r="F53" t="s">
        <v>12</v>
      </c>
      <c r="G53" t="s">
        <v>337</v>
      </c>
      <c r="H53" t="s">
        <v>338</v>
      </c>
      <c r="I53" t="s">
        <v>30</v>
      </c>
      <c r="J53">
        <v>673329</v>
      </c>
      <c r="K53">
        <v>403</v>
      </c>
      <c r="L53" s="2">
        <v>0.04</v>
      </c>
      <c r="M53">
        <v>0.1</v>
      </c>
      <c r="N53" s="2">
        <v>26.933160000000001</v>
      </c>
      <c r="O53" s="2">
        <v>67.332900000000009</v>
      </c>
    </row>
    <row r="54" spans="2:15">
      <c r="B54" t="s">
        <v>302</v>
      </c>
      <c r="C54" t="s">
        <v>28</v>
      </c>
      <c r="D54" t="s">
        <v>339</v>
      </c>
      <c r="E54" t="s">
        <v>340</v>
      </c>
      <c r="F54" t="s">
        <v>12</v>
      </c>
      <c r="G54" t="s">
        <v>341</v>
      </c>
      <c r="H54" t="s">
        <v>342</v>
      </c>
      <c r="I54" t="s">
        <v>30</v>
      </c>
      <c r="J54">
        <v>798813</v>
      </c>
      <c r="K54">
        <v>434</v>
      </c>
      <c r="L54" s="2">
        <v>0.04</v>
      </c>
      <c r="M54">
        <v>0.1</v>
      </c>
      <c r="N54" s="2">
        <v>31.95252</v>
      </c>
      <c r="O54" s="2">
        <v>79.881299999999996</v>
      </c>
    </row>
    <row r="55" spans="2:15">
      <c r="B55" t="s">
        <v>302</v>
      </c>
      <c r="C55" t="s">
        <v>28</v>
      </c>
      <c r="D55" t="s">
        <v>343</v>
      </c>
      <c r="E55" t="s">
        <v>344</v>
      </c>
      <c r="F55" t="s">
        <v>10</v>
      </c>
      <c r="G55" t="s">
        <v>345</v>
      </c>
      <c r="H55" t="s">
        <v>464</v>
      </c>
      <c r="I55" t="s">
        <v>24</v>
      </c>
      <c r="J55">
        <v>0</v>
      </c>
      <c r="K55">
        <v>2</v>
      </c>
      <c r="L55" s="2">
        <v>3.5000000000000001E-3</v>
      </c>
      <c r="M55">
        <v>2.5000000000000001E-2</v>
      </c>
      <c r="N55" s="2">
        <v>7.0000000000000001E-3</v>
      </c>
      <c r="O55" s="2">
        <v>0.05</v>
      </c>
    </row>
    <row r="56" spans="2:15">
      <c r="B56" t="s">
        <v>63</v>
      </c>
      <c r="C56" t="s">
        <v>31</v>
      </c>
      <c r="D56" t="s">
        <v>109</v>
      </c>
      <c r="E56" t="s">
        <v>111</v>
      </c>
      <c r="F56" t="s">
        <v>12</v>
      </c>
      <c r="G56" t="s">
        <v>110</v>
      </c>
      <c r="H56" t="s">
        <v>112</v>
      </c>
      <c r="I56" t="s">
        <v>30</v>
      </c>
      <c r="J56">
        <v>61833</v>
      </c>
      <c r="K56">
        <v>6073</v>
      </c>
      <c r="L56" s="2">
        <v>0.04</v>
      </c>
      <c r="M56">
        <v>0.1</v>
      </c>
      <c r="N56" s="2">
        <v>2.4733200000000002</v>
      </c>
      <c r="O56" s="2">
        <v>6.1833</v>
      </c>
    </row>
    <row r="57" spans="2:15">
      <c r="B57" t="s">
        <v>63</v>
      </c>
      <c r="C57" t="s">
        <v>31</v>
      </c>
      <c r="D57" t="s">
        <v>113</v>
      </c>
      <c r="E57" t="s">
        <v>114</v>
      </c>
      <c r="F57" t="s">
        <v>12</v>
      </c>
      <c r="G57" t="s">
        <v>115</v>
      </c>
      <c r="H57" t="s">
        <v>116</v>
      </c>
      <c r="I57" t="s">
        <v>30</v>
      </c>
      <c r="J57">
        <v>357</v>
      </c>
      <c r="K57">
        <v>3</v>
      </c>
      <c r="L57" s="2">
        <v>0.04</v>
      </c>
      <c r="M57">
        <v>0.1</v>
      </c>
      <c r="N57" s="2">
        <v>1.4280000000000001E-2</v>
      </c>
      <c r="O57" s="2">
        <v>3.5700000000000003E-2</v>
      </c>
    </row>
    <row r="58" spans="2:15">
      <c r="B58" t="s">
        <v>63</v>
      </c>
      <c r="C58" t="s">
        <v>31</v>
      </c>
      <c r="D58" t="s">
        <v>113</v>
      </c>
      <c r="E58" t="s">
        <v>117</v>
      </c>
      <c r="F58" t="s">
        <v>12</v>
      </c>
      <c r="G58" t="s">
        <v>115</v>
      </c>
      <c r="H58" t="s">
        <v>118</v>
      </c>
      <c r="I58" t="s">
        <v>30</v>
      </c>
      <c r="J58">
        <v>14</v>
      </c>
      <c r="K58">
        <v>3</v>
      </c>
      <c r="L58" s="2">
        <v>0.04</v>
      </c>
      <c r="M58">
        <v>0.1</v>
      </c>
      <c r="N58" s="2">
        <v>5.6000000000000006E-4</v>
      </c>
      <c r="O58" s="2">
        <v>1.4000000000000002E-3</v>
      </c>
    </row>
    <row r="59" spans="2:15">
      <c r="B59" t="s">
        <v>63</v>
      </c>
      <c r="C59" t="s">
        <v>31</v>
      </c>
      <c r="D59" t="s">
        <v>119</v>
      </c>
      <c r="E59" t="s">
        <v>120</v>
      </c>
      <c r="F59" t="s">
        <v>12</v>
      </c>
      <c r="G59" t="s">
        <v>121</v>
      </c>
      <c r="H59" t="s">
        <v>122</v>
      </c>
      <c r="I59" t="s">
        <v>30</v>
      </c>
      <c r="J59">
        <v>61936</v>
      </c>
      <c r="K59">
        <v>7288</v>
      </c>
      <c r="L59" s="2">
        <v>0.04</v>
      </c>
      <c r="M59">
        <v>0.1</v>
      </c>
      <c r="N59" s="2">
        <v>2.4774400000000001</v>
      </c>
      <c r="O59" s="2">
        <v>6.1936</v>
      </c>
    </row>
    <row r="60" spans="2:15">
      <c r="B60" t="s">
        <v>63</v>
      </c>
      <c r="C60" t="s">
        <v>31</v>
      </c>
      <c r="D60" t="s">
        <v>119</v>
      </c>
      <c r="E60" t="s">
        <v>123</v>
      </c>
      <c r="F60" t="s">
        <v>12</v>
      </c>
      <c r="G60" t="s">
        <v>121</v>
      </c>
      <c r="H60" t="s">
        <v>124</v>
      </c>
      <c r="I60" t="s">
        <v>30</v>
      </c>
      <c r="J60">
        <v>17200</v>
      </c>
      <c r="K60">
        <v>3074</v>
      </c>
      <c r="L60" s="2">
        <v>0.04</v>
      </c>
      <c r="M60">
        <v>0.1</v>
      </c>
      <c r="N60" s="2">
        <v>0.68799999999999994</v>
      </c>
      <c r="O60" s="2">
        <v>1.72</v>
      </c>
    </row>
    <row r="61" spans="2:15">
      <c r="B61" t="s">
        <v>63</v>
      </c>
      <c r="C61" t="s">
        <v>31</v>
      </c>
      <c r="D61" t="s">
        <v>125</v>
      </c>
      <c r="E61" t="s">
        <v>126</v>
      </c>
      <c r="F61" t="s">
        <v>12</v>
      </c>
      <c r="G61" t="s">
        <v>127</v>
      </c>
      <c r="H61" t="s">
        <v>128</v>
      </c>
      <c r="I61" t="s">
        <v>30</v>
      </c>
      <c r="J61">
        <v>165</v>
      </c>
      <c r="K61">
        <v>0</v>
      </c>
      <c r="L61" s="2">
        <v>0.04</v>
      </c>
      <c r="M61">
        <v>0.1</v>
      </c>
      <c r="N61" s="2">
        <v>6.6000000000000008E-3</v>
      </c>
      <c r="O61" s="2">
        <v>1.6500000000000001E-2</v>
      </c>
    </row>
    <row r="62" spans="2:15">
      <c r="B62" t="s">
        <v>63</v>
      </c>
      <c r="C62" t="s">
        <v>31</v>
      </c>
      <c r="D62" t="s">
        <v>129</v>
      </c>
      <c r="E62" t="s">
        <v>130</v>
      </c>
      <c r="F62" t="s">
        <v>12</v>
      </c>
      <c r="G62" t="s">
        <v>131</v>
      </c>
      <c r="H62" t="s">
        <v>132</v>
      </c>
      <c r="I62" t="s">
        <v>30</v>
      </c>
      <c r="J62">
        <v>4713</v>
      </c>
      <c r="K62">
        <v>508</v>
      </c>
      <c r="L62" s="2">
        <v>0.04</v>
      </c>
      <c r="M62">
        <v>0.1</v>
      </c>
      <c r="N62" s="2">
        <v>0.18852000000000002</v>
      </c>
      <c r="O62" s="2">
        <v>0.4713</v>
      </c>
    </row>
    <row r="63" spans="2:15">
      <c r="B63" t="s">
        <v>63</v>
      </c>
      <c r="C63" t="s">
        <v>31</v>
      </c>
      <c r="D63" t="s">
        <v>129</v>
      </c>
      <c r="E63" t="s">
        <v>133</v>
      </c>
      <c r="F63" t="s">
        <v>12</v>
      </c>
      <c r="G63" t="s">
        <v>131</v>
      </c>
      <c r="H63" t="s">
        <v>134</v>
      </c>
      <c r="I63" t="s">
        <v>30</v>
      </c>
      <c r="J63">
        <v>1475</v>
      </c>
      <c r="K63">
        <v>171</v>
      </c>
      <c r="L63" s="2">
        <v>0.04</v>
      </c>
      <c r="M63">
        <v>0.1</v>
      </c>
      <c r="N63" s="2">
        <v>5.8999999999999997E-2</v>
      </c>
      <c r="O63" s="2">
        <v>0.14749999999999999</v>
      </c>
    </row>
    <row r="64" spans="2:15">
      <c r="B64" t="s">
        <v>63</v>
      </c>
      <c r="C64" t="s">
        <v>31</v>
      </c>
      <c r="D64" t="s">
        <v>135</v>
      </c>
      <c r="E64" t="s">
        <v>136</v>
      </c>
      <c r="F64" t="s">
        <v>12</v>
      </c>
      <c r="G64" t="s">
        <v>137</v>
      </c>
      <c r="H64" t="s">
        <v>138</v>
      </c>
      <c r="I64" t="s">
        <v>30</v>
      </c>
      <c r="J64">
        <v>6346</v>
      </c>
      <c r="K64">
        <v>74</v>
      </c>
      <c r="L64" s="2">
        <v>0.04</v>
      </c>
      <c r="M64">
        <v>0.1</v>
      </c>
      <c r="N64" s="2">
        <v>0.25384000000000001</v>
      </c>
      <c r="O64" s="2">
        <v>0.63460000000000005</v>
      </c>
    </row>
    <row r="65" spans="2:15">
      <c r="B65" t="s">
        <v>63</v>
      </c>
      <c r="C65" t="s">
        <v>31</v>
      </c>
      <c r="D65" t="s">
        <v>135</v>
      </c>
      <c r="E65" t="s">
        <v>139</v>
      </c>
      <c r="F65" t="s">
        <v>12</v>
      </c>
      <c r="G65" t="s">
        <v>137</v>
      </c>
      <c r="H65" t="s">
        <v>140</v>
      </c>
      <c r="I65" t="s">
        <v>30</v>
      </c>
      <c r="J65">
        <v>172</v>
      </c>
      <c r="K65">
        <v>10</v>
      </c>
      <c r="L65" s="2">
        <v>0.04</v>
      </c>
      <c r="M65">
        <v>0.1</v>
      </c>
      <c r="N65" s="2">
        <v>6.8799999999999998E-3</v>
      </c>
      <c r="O65" s="2">
        <v>1.72E-2</v>
      </c>
    </row>
    <row r="66" spans="2:15">
      <c r="B66" t="s">
        <v>63</v>
      </c>
      <c r="C66" t="s">
        <v>31</v>
      </c>
      <c r="D66" t="s">
        <v>141</v>
      </c>
      <c r="E66" t="s">
        <v>142</v>
      </c>
      <c r="F66" t="s">
        <v>12</v>
      </c>
      <c r="G66" t="s">
        <v>143</v>
      </c>
      <c r="H66" t="s">
        <v>144</v>
      </c>
      <c r="I66" t="s">
        <v>30</v>
      </c>
      <c r="J66">
        <v>11</v>
      </c>
      <c r="K66">
        <v>1</v>
      </c>
      <c r="L66" s="2">
        <v>0.04</v>
      </c>
      <c r="M66">
        <v>0.1</v>
      </c>
      <c r="N66" s="2">
        <v>4.4000000000000002E-4</v>
      </c>
      <c r="O66" s="2">
        <v>1.1000000000000001E-3</v>
      </c>
    </row>
    <row r="67" spans="2:15">
      <c r="B67" t="s">
        <v>63</v>
      </c>
      <c r="C67" t="s">
        <v>31</v>
      </c>
      <c r="D67" t="s">
        <v>145</v>
      </c>
      <c r="E67" t="s">
        <v>146</v>
      </c>
      <c r="F67" t="s">
        <v>12</v>
      </c>
      <c r="G67" t="s">
        <v>147</v>
      </c>
      <c r="H67" t="s">
        <v>148</v>
      </c>
      <c r="I67" t="s">
        <v>30</v>
      </c>
      <c r="J67">
        <v>9</v>
      </c>
      <c r="K67">
        <v>0</v>
      </c>
      <c r="L67" s="2">
        <v>0.04</v>
      </c>
      <c r="M67">
        <v>0.1</v>
      </c>
      <c r="N67" s="2">
        <v>3.5999999999999997E-4</v>
      </c>
      <c r="O67" s="2">
        <v>8.9999999999999998E-4</v>
      </c>
    </row>
    <row r="68" spans="2:15">
      <c r="B68" t="s">
        <v>63</v>
      </c>
      <c r="C68" t="s">
        <v>31</v>
      </c>
      <c r="D68" t="s">
        <v>149</v>
      </c>
      <c r="E68" t="s">
        <v>150</v>
      </c>
      <c r="F68" t="s">
        <v>12</v>
      </c>
      <c r="G68" t="s">
        <v>151</v>
      </c>
      <c r="H68" t="s">
        <v>152</v>
      </c>
      <c r="I68" t="s">
        <v>30</v>
      </c>
      <c r="J68">
        <v>14253</v>
      </c>
      <c r="K68">
        <v>1509</v>
      </c>
      <c r="L68" s="2">
        <v>0.04</v>
      </c>
      <c r="M68">
        <v>0.1</v>
      </c>
      <c r="N68" s="2">
        <v>0.57011999999999996</v>
      </c>
      <c r="O68" s="2">
        <v>1.4253000000000002</v>
      </c>
    </row>
    <row r="69" spans="2:15">
      <c r="B69" t="s">
        <v>63</v>
      </c>
      <c r="C69" t="s">
        <v>31</v>
      </c>
      <c r="D69" t="s">
        <v>149</v>
      </c>
      <c r="E69" t="s">
        <v>153</v>
      </c>
      <c r="F69" t="s">
        <v>12</v>
      </c>
      <c r="G69" t="s">
        <v>151</v>
      </c>
      <c r="H69" t="s">
        <v>154</v>
      </c>
      <c r="I69" t="s">
        <v>30</v>
      </c>
      <c r="J69">
        <v>56436</v>
      </c>
      <c r="K69">
        <v>8729</v>
      </c>
      <c r="L69" s="2">
        <v>0.04</v>
      </c>
      <c r="M69">
        <v>0.1</v>
      </c>
      <c r="N69" s="2">
        <v>2.2574399999999999</v>
      </c>
      <c r="O69" s="2">
        <v>5.6436000000000002</v>
      </c>
    </row>
    <row r="70" spans="2:15">
      <c r="B70" t="s">
        <v>63</v>
      </c>
      <c r="C70" t="s">
        <v>31</v>
      </c>
      <c r="D70" t="s">
        <v>155</v>
      </c>
      <c r="E70" t="s">
        <v>156</v>
      </c>
      <c r="F70" t="s">
        <v>12</v>
      </c>
      <c r="G70" t="s">
        <v>157</v>
      </c>
      <c r="H70" t="s">
        <v>158</v>
      </c>
      <c r="I70" t="s">
        <v>30</v>
      </c>
      <c r="J70">
        <v>118</v>
      </c>
      <c r="K70">
        <v>1</v>
      </c>
      <c r="L70" s="2">
        <v>0.04</v>
      </c>
      <c r="M70">
        <v>0.1</v>
      </c>
      <c r="N70" s="2">
        <v>4.7199999999999994E-3</v>
      </c>
      <c r="O70" s="2">
        <v>1.1800000000000001E-2</v>
      </c>
    </row>
    <row r="71" spans="2:15">
      <c r="B71" t="s">
        <v>63</v>
      </c>
      <c r="C71" t="s">
        <v>31</v>
      </c>
      <c r="D71" t="s">
        <v>155</v>
      </c>
      <c r="E71" t="s">
        <v>159</v>
      </c>
      <c r="F71" t="s">
        <v>12</v>
      </c>
      <c r="G71" t="s">
        <v>157</v>
      </c>
      <c r="H71" t="s">
        <v>160</v>
      </c>
      <c r="I71" t="s">
        <v>30</v>
      </c>
      <c r="J71">
        <v>24</v>
      </c>
      <c r="K71">
        <v>0</v>
      </c>
      <c r="L71" s="2">
        <v>0.04</v>
      </c>
      <c r="M71">
        <v>0.1</v>
      </c>
      <c r="N71" s="2">
        <v>9.5999999999999992E-4</v>
      </c>
      <c r="O71" s="2">
        <v>2.4000000000000002E-3</v>
      </c>
    </row>
    <row r="72" spans="2:15">
      <c r="B72" t="s">
        <v>63</v>
      </c>
      <c r="C72" t="s">
        <v>31</v>
      </c>
      <c r="D72" t="s">
        <v>161</v>
      </c>
      <c r="E72" t="s">
        <v>162</v>
      </c>
      <c r="F72" t="s">
        <v>12</v>
      </c>
      <c r="G72" t="s">
        <v>163</v>
      </c>
      <c r="H72" t="s">
        <v>164</v>
      </c>
      <c r="I72" t="s">
        <v>30</v>
      </c>
      <c r="J72">
        <v>44340</v>
      </c>
      <c r="K72">
        <v>5432</v>
      </c>
      <c r="L72" s="2">
        <v>0.04</v>
      </c>
      <c r="M72">
        <v>0.1</v>
      </c>
      <c r="N72" s="2">
        <v>1.7736000000000001</v>
      </c>
      <c r="O72" s="2">
        <v>4.4340000000000002</v>
      </c>
    </row>
    <row r="73" spans="2:15">
      <c r="B73" t="s">
        <v>63</v>
      </c>
      <c r="C73" t="s">
        <v>31</v>
      </c>
      <c r="D73" t="s">
        <v>165</v>
      </c>
      <c r="E73" t="s">
        <v>346</v>
      </c>
      <c r="F73" t="s">
        <v>12</v>
      </c>
      <c r="G73" t="s">
        <v>167</v>
      </c>
      <c r="H73" t="s">
        <v>347</v>
      </c>
      <c r="I73" t="s">
        <v>30</v>
      </c>
      <c r="J73">
        <v>764</v>
      </c>
      <c r="K73">
        <v>18</v>
      </c>
      <c r="L73" s="2">
        <v>0.04</v>
      </c>
      <c r="M73">
        <v>0.1</v>
      </c>
      <c r="N73" s="2">
        <v>3.0560000000000004E-2</v>
      </c>
      <c r="O73" s="2">
        <v>7.640000000000001E-2</v>
      </c>
    </row>
    <row r="74" spans="2:15">
      <c r="B74" t="s">
        <v>63</v>
      </c>
      <c r="C74" t="s">
        <v>31</v>
      </c>
      <c r="D74" t="s">
        <v>165</v>
      </c>
      <c r="E74" t="s">
        <v>166</v>
      </c>
      <c r="F74" t="s">
        <v>12</v>
      </c>
      <c r="G74" t="s">
        <v>167</v>
      </c>
      <c r="H74" t="s">
        <v>168</v>
      </c>
      <c r="I74" t="s">
        <v>30</v>
      </c>
      <c r="J74">
        <v>16</v>
      </c>
      <c r="K74">
        <v>0</v>
      </c>
      <c r="L74" s="2">
        <v>0.04</v>
      </c>
      <c r="M74">
        <v>0.1</v>
      </c>
      <c r="N74" s="2">
        <v>6.4000000000000005E-4</v>
      </c>
      <c r="O74" s="2">
        <v>1.6000000000000001E-3</v>
      </c>
    </row>
    <row r="75" spans="2:15">
      <c r="B75" t="s">
        <v>63</v>
      </c>
      <c r="C75" t="s">
        <v>31</v>
      </c>
      <c r="D75" t="s">
        <v>169</v>
      </c>
      <c r="E75" t="s">
        <v>170</v>
      </c>
      <c r="F75" t="s">
        <v>12</v>
      </c>
      <c r="G75" t="s">
        <v>171</v>
      </c>
      <c r="H75" t="s">
        <v>172</v>
      </c>
      <c r="I75" t="s">
        <v>30</v>
      </c>
      <c r="J75">
        <v>4296</v>
      </c>
      <c r="K75">
        <v>493</v>
      </c>
      <c r="L75" s="2">
        <v>0.04</v>
      </c>
      <c r="M75">
        <v>0.1</v>
      </c>
      <c r="N75" s="2">
        <v>0.17183999999999999</v>
      </c>
      <c r="O75" s="2">
        <v>0.42960000000000004</v>
      </c>
    </row>
    <row r="76" spans="2:15">
      <c r="B76" t="s">
        <v>63</v>
      </c>
      <c r="C76" t="s">
        <v>31</v>
      </c>
      <c r="D76" t="s">
        <v>169</v>
      </c>
      <c r="E76" t="s">
        <v>173</v>
      </c>
      <c r="F76" t="s">
        <v>12</v>
      </c>
      <c r="G76" t="s">
        <v>171</v>
      </c>
      <c r="H76" t="s">
        <v>174</v>
      </c>
      <c r="I76" t="s">
        <v>30</v>
      </c>
      <c r="J76">
        <v>14225</v>
      </c>
      <c r="K76">
        <v>1892</v>
      </c>
      <c r="L76" s="2">
        <v>0.04</v>
      </c>
      <c r="M76">
        <v>0.1</v>
      </c>
      <c r="N76" s="2">
        <v>0.56899999999999995</v>
      </c>
      <c r="O76" s="2">
        <v>1.4225000000000001</v>
      </c>
    </row>
    <row r="77" spans="2:15">
      <c r="B77" t="s">
        <v>63</v>
      </c>
      <c r="C77" t="s">
        <v>31</v>
      </c>
      <c r="D77" t="s">
        <v>175</v>
      </c>
      <c r="E77" t="s">
        <v>176</v>
      </c>
      <c r="F77" t="s">
        <v>12</v>
      </c>
      <c r="G77" t="s">
        <v>177</v>
      </c>
      <c r="H77" t="s">
        <v>178</v>
      </c>
      <c r="I77" t="s">
        <v>30</v>
      </c>
      <c r="J77">
        <v>15236</v>
      </c>
      <c r="K77">
        <v>110</v>
      </c>
      <c r="L77" s="2">
        <v>0.04</v>
      </c>
      <c r="M77">
        <v>0.1</v>
      </c>
      <c r="N77" s="2">
        <v>0.60944000000000009</v>
      </c>
      <c r="O77" s="2">
        <v>1.5236000000000001</v>
      </c>
    </row>
    <row r="78" spans="2:15">
      <c r="B78" t="s">
        <v>63</v>
      </c>
      <c r="C78" t="s">
        <v>31</v>
      </c>
      <c r="D78" t="s">
        <v>175</v>
      </c>
      <c r="E78" t="s">
        <v>179</v>
      </c>
      <c r="F78" t="s">
        <v>12</v>
      </c>
      <c r="G78" t="s">
        <v>177</v>
      </c>
      <c r="H78" t="s">
        <v>180</v>
      </c>
      <c r="I78" t="s">
        <v>30</v>
      </c>
      <c r="J78">
        <v>2148</v>
      </c>
      <c r="K78">
        <v>23</v>
      </c>
      <c r="L78" s="2">
        <v>0.04</v>
      </c>
      <c r="M78">
        <v>0.1</v>
      </c>
      <c r="N78" s="2">
        <v>8.5919999999999996E-2</v>
      </c>
      <c r="O78" s="2">
        <v>0.21480000000000002</v>
      </c>
    </row>
    <row r="79" spans="2:15">
      <c r="B79" t="s">
        <v>63</v>
      </c>
      <c r="C79" t="s">
        <v>31</v>
      </c>
      <c r="D79" t="s">
        <v>181</v>
      </c>
      <c r="E79" t="s">
        <v>348</v>
      </c>
      <c r="F79" t="s">
        <v>12</v>
      </c>
      <c r="G79" t="s">
        <v>183</v>
      </c>
      <c r="H79" t="s">
        <v>349</v>
      </c>
      <c r="I79" t="s">
        <v>30</v>
      </c>
      <c r="J79">
        <v>18</v>
      </c>
      <c r="K79">
        <v>0</v>
      </c>
      <c r="L79" s="2">
        <v>0.04</v>
      </c>
      <c r="M79">
        <v>0.1</v>
      </c>
      <c r="N79" s="2">
        <v>7.1999999999999994E-4</v>
      </c>
      <c r="O79" s="2">
        <v>1.8E-3</v>
      </c>
    </row>
    <row r="80" spans="2:15">
      <c r="B80" t="s">
        <v>63</v>
      </c>
      <c r="C80" t="s">
        <v>31</v>
      </c>
      <c r="D80" t="s">
        <v>181</v>
      </c>
      <c r="E80" t="s">
        <v>182</v>
      </c>
      <c r="F80" t="s">
        <v>12</v>
      </c>
      <c r="G80" t="s">
        <v>183</v>
      </c>
      <c r="H80" t="s">
        <v>184</v>
      </c>
      <c r="I80" t="s">
        <v>30</v>
      </c>
      <c r="J80">
        <v>5</v>
      </c>
      <c r="K80">
        <v>0</v>
      </c>
      <c r="L80" s="2">
        <v>0.04</v>
      </c>
      <c r="M80">
        <v>0.1</v>
      </c>
      <c r="N80" s="2">
        <v>2.0000000000000001E-4</v>
      </c>
      <c r="O80" s="2">
        <v>5.0000000000000001E-4</v>
      </c>
    </row>
    <row r="81" spans="2:15">
      <c r="B81" t="s">
        <v>63</v>
      </c>
      <c r="C81" t="s">
        <v>31</v>
      </c>
      <c r="D81" t="s">
        <v>185</v>
      </c>
      <c r="E81" t="s">
        <v>350</v>
      </c>
      <c r="F81" t="s">
        <v>12</v>
      </c>
      <c r="G81" t="s">
        <v>186</v>
      </c>
      <c r="H81" t="s">
        <v>351</v>
      </c>
      <c r="I81" t="s">
        <v>30</v>
      </c>
      <c r="J81">
        <v>74</v>
      </c>
      <c r="K81">
        <v>4</v>
      </c>
      <c r="L81" s="2">
        <v>0.04</v>
      </c>
      <c r="M81">
        <v>0.1</v>
      </c>
      <c r="N81" s="2">
        <v>2.96E-3</v>
      </c>
      <c r="O81" s="2">
        <v>7.4000000000000003E-3</v>
      </c>
    </row>
    <row r="82" spans="2:15">
      <c r="B82" t="s">
        <v>63</v>
      </c>
      <c r="C82" t="s">
        <v>28</v>
      </c>
      <c r="D82" t="s">
        <v>187</v>
      </c>
      <c r="E82" t="s">
        <v>188</v>
      </c>
      <c r="F82" t="s">
        <v>12</v>
      </c>
      <c r="G82" t="s">
        <v>189</v>
      </c>
      <c r="H82" t="s">
        <v>190</v>
      </c>
      <c r="I82" t="s">
        <v>30</v>
      </c>
      <c r="J82">
        <v>0</v>
      </c>
      <c r="K82">
        <v>1</v>
      </c>
      <c r="L82" s="2">
        <v>0.04</v>
      </c>
      <c r="M82">
        <v>0.1</v>
      </c>
      <c r="N82" s="2">
        <v>0</v>
      </c>
      <c r="O82" s="2">
        <v>0</v>
      </c>
    </row>
    <row r="83" spans="2:15">
      <c r="B83" t="s">
        <v>63</v>
      </c>
      <c r="C83" t="s">
        <v>28</v>
      </c>
      <c r="D83" t="s">
        <v>191</v>
      </c>
      <c r="E83" t="s">
        <v>192</v>
      </c>
      <c r="F83" t="s">
        <v>12</v>
      </c>
      <c r="G83" t="s">
        <v>193</v>
      </c>
      <c r="H83" t="s">
        <v>194</v>
      </c>
      <c r="I83" t="s">
        <v>30</v>
      </c>
      <c r="J83">
        <v>2</v>
      </c>
      <c r="K83">
        <v>0</v>
      </c>
      <c r="L83" s="2">
        <v>0.04</v>
      </c>
      <c r="M83">
        <v>0.1</v>
      </c>
      <c r="N83" s="2">
        <v>8.0000000000000007E-5</v>
      </c>
      <c r="O83" s="2">
        <v>2.0000000000000001E-4</v>
      </c>
    </row>
    <row r="84" spans="2:15">
      <c r="B84" t="s">
        <v>63</v>
      </c>
      <c r="C84" t="s">
        <v>28</v>
      </c>
      <c r="D84" t="s">
        <v>195</v>
      </c>
      <c r="E84" t="s">
        <v>196</v>
      </c>
      <c r="F84" t="s">
        <v>12</v>
      </c>
      <c r="G84" t="s">
        <v>197</v>
      </c>
      <c r="H84" t="s">
        <v>198</v>
      </c>
      <c r="I84" t="s">
        <v>30</v>
      </c>
      <c r="J84">
        <v>1</v>
      </c>
      <c r="K84">
        <v>0</v>
      </c>
      <c r="L84" s="2">
        <v>0.04</v>
      </c>
      <c r="M84">
        <v>0.1</v>
      </c>
      <c r="N84" s="2">
        <v>4.0000000000000003E-5</v>
      </c>
      <c r="O84" s="2">
        <v>1E-4</v>
      </c>
    </row>
    <row r="85" spans="2:15">
      <c r="B85" t="s">
        <v>63</v>
      </c>
      <c r="C85" t="s">
        <v>28</v>
      </c>
      <c r="D85" t="s">
        <v>64</v>
      </c>
      <c r="E85" t="s">
        <v>65</v>
      </c>
      <c r="F85" t="s">
        <v>12</v>
      </c>
      <c r="G85" t="s">
        <v>66</v>
      </c>
      <c r="H85" t="s">
        <v>67</v>
      </c>
      <c r="I85" t="s">
        <v>24</v>
      </c>
      <c r="J85">
        <v>2</v>
      </c>
      <c r="K85">
        <v>0</v>
      </c>
      <c r="L85" s="2">
        <v>0.04</v>
      </c>
      <c r="M85">
        <v>0.1</v>
      </c>
      <c r="N85" s="2">
        <v>8.0000000000000007E-5</v>
      </c>
      <c r="O85" s="2">
        <v>2.0000000000000001E-4</v>
      </c>
    </row>
    <row r="86" spans="2:15">
      <c r="B86" t="s">
        <v>63</v>
      </c>
      <c r="C86" t="s">
        <v>28</v>
      </c>
      <c r="D86" t="s">
        <v>64</v>
      </c>
      <c r="E86" t="s">
        <v>68</v>
      </c>
      <c r="F86" t="s">
        <v>12</v>
      </c>
      <c r="G86" t="s">
        <v>69</v>
      </c>
      <c r="H86" t="s">
        <v>70</v>
      </c>
      <c r="I86" t="s">
        <v>24</v>
      </c>
      <c r="J86">
        <v>1</v>
      </c>
      <c r="K86">
        <v>0</v>
      </c>
      <c r="L86" s="2">
        <v>0.04</v>
      </c>
      <c r="M86">
        <v>0.1</v>
      </c>
      <c r="N86" s="2">
        <v>4.0000000000000003E-5</v>
      </c>
      <c r="O86" s="2">
        <v>1E-4</v>
      </c>
    </row>
    <row r="87" spans="2:15">
      <c r="B87" t="s">
        <v>63</v>
      </c>
      <c r="C87" t="s">
        <v>28</v>
      </c>
      <c r="D87" t="s">
        <v>199</v>
      </c>
      <c r="E87" t="s">
        <v>200</v>
      </c>
      <c r="F87" t="s">
        <v>12</v>
      </c>
      <c r="G87" t="s">
        <v>201</v>
      </c>
      <c r="H87" t="s">
        <v>202</v>
      </c>
      <c r="I87" t="s">
        <v>30</v>
      </c>
      <c r="J87">
        <v>1</v>
      </c>
      <c r="K87">
        <v>0</v>
      </c>
      <c r="L87" s="2">
        <v>0.04</v>
      </c>
      <c r="M87">
        <v>0.1</v>
      </c>
      <c r="N87" s="2">
        <v>4.0000000000000003E-5</v>
      </c>
      <c r="O87" s="2">
        <v>1E-4</v>
      </c>
    </row>
    <row r="88" spans="2:15">
      <c r="B88" t="s">
        <v>63</v>
      </c>
      <c r="C88" t="s">
        <v>28</v>
      </c>
      <c r="D88" t="s">
        <v>203</v>
      </c>
      <c r="E88" t="s">
        <v>204</v>
      </c>
      <c r="F88" t="s">
        <v>12</v>
      </c>
      <c r="G88" t="s">
        <v>205</v>
      </c>
      <c r="H88" t="s">
        <v>206</v>
      </c>
      <c r="I88" t="s">
        <v>30</v>
      </c>
      <c r="J88">
        <v>2</v>
      </c>
      <c r="K88">
        <v>0</v>
      </c>
      <c r="L88" s="2">
        <v>0.04</v>
      </c>
      <c r="M88">
        <v>0.1</v>
      </c>
      <c r="N88" s="2">
        <v>8.0000000000000007E-5</v>
      </c>
      <c r="O88" s="2">
        <v>2.0000000000000001E-4</v>
      </c>
    </row>
    <row r="89" spans="2:15">
      <c r="B89" t="s">
        <v>63</v>
      </c>
      <c r="C89" t="s">
        <v>28</v>
      </c>
      <c r="D89" t="s">
        <v>207</v>
      </c>
      <c r="E89" t="s">
        <v>208</v>
      </c>
      <c r="F89" t="s">
        <v>12</v>
      </c>
      <c r="G89" t="s">
        <v>209</v>
      </c>
      <c r="H89" t="s">
        <v>210</v>
      </c>
      <c r="I89" t="s">
        <v>30</v>
      </c>
      <c r="J89">
        <v>4</v>
      </c>
      <c r="K89">
        <v>0</v>
      </c>
      <c r="L89" s="2">
        <v>0.04</v>
      </c>
      <c r="M89">
        <v>0.1</v>
      </c>
      <c r="N89" s="2">
        <v>1.6000000000000001E-4</v>
      </c>
      <c r="O89" s="2">
        <v>4.0000000000000002E-4</v>
      </c>
    </row>
    <row r="90" spans="2:15">
      <c r="B90" t="s">
        <v>63</v>
      </c>
      <c r="C90" t="s">
        <v>28</v>
      </c>
      <c r="D90" t="s">
        <v>211</v>
      </c>
      <c r="E90" t="s">
        <v>212</v>
      </c>
      <c r="F90" t="s">
        <v>12</v>
      </c>
      <c r="G90" t="s">
        <v>213</v>
      </c>
      <c r="H90" t="s">
        <v>214</v>
      </c>
      <c r="I90" t="s">
        <v>30</v>
      </c>
      <c r="J90">
        <v>1</v>
      </c>
      <c r="K90">
        <v>0</v>
      </c>
      <c r="L90" s="2">
        <v>0.04</v>
      </c>
      <c r="M90">
        <v>0.1</v>
      </c>
      <c r="N90" s="2">
        <v>4.0000000000000003E-5</v>
      </c>
      <c r="O90" s="2">
        <v>1E-4</v>
      </c>
    </row>
    <row r="91" spans="2:15">
      <c r="B91" t="s">
        <v>41</v>
      </c>
      <c r="C91" t="s">
        <v>28</v>
      </c>
      <c r="D91" t="s">
        <v>42</v>
      </c>
      <c r="E91" t="s">
        <v>43</v>
      </c>
      <c r="F91" t="s">
        <v>12</v>
      </c>
      <c r="G91" t="s">
        <v>44</v>
      </c>
      <c r="H91" t="s">
        <v>45</v>
      </c>
      <c r="I91" t="s">
        <v>24</v>
      </c>
      <c r="J91">
        <v>1</v>
      </c>
      <c r="K91">
        <v>0</v>
      </c>
      <c r="L91" s="2">
        <v>0.04</v>
      </c>
      <c r="M91">
        <v>0.1</v>
      </c>
      <c r="N91" s="2">
        <v>4.0000000000000003E-5</v>
      </c>
      <c r="O91" s="2">
        <v>1E-4</v>
      </c>
    </row>
    <row r="92" spans="2:15">
      <c r="B92" t="s">
        <v>46</v>
      </c>
      <c r="C92" t="s">
        <v>29</v>
      </c>
      <c r="D92" t="s">
        <v>215</v>
      </c>
      <c r="E92" t="s">
        <v>216</v>
      </c>
      <c r="F92" t="s">
        <v>12</v>
      </c>
      <c r="G92" t="s">
        <v>217</v>
      </c>
      <c r="H92" t="s">
        <v>218</v>
      </c>
      <c r="I92" t="s">
        <v>24</v>
      </c>
      <c r="J92">
        <v>20704</v>
      </c>
      <c r="K92">
        <v>77</v>
      </c>
      <c r="L92" s="2">
        <v>0.04</v>
      </c>
      <c r="M92">
        <v>0.1</v>
      </c>
      <c r="N92" s="2">
        <v>0.82816000000000001</v>
      </c>
      <c r="O92" s="2">
        <v>2.0704000000000002</v>
      </c>
    </row>
    <row r="93" spans="2:15">
      <c r="B93" t="s">
        <v>46</v>
      </c>
      <c r="C93" t="s">
        <v>29</v>
      </c>
      <c r="D93" t="s">
        <v>465</v>
      </c>
      <c r="E93" t="s">
        <v>466</v>
      </c>
      <c r="F93" t="s">
        <v>12</v>
      </c>
      <c r="G93" t="s">
        <v>467</v>
      </c>
      <c r="H93" t="s">
        <v>468</v>
      </c>
      <c r="I93" t="s">
        <v>24</v>
      </c>
      <c r="J93">
        <v>63933</v>
      </c>
      <c r="K93">
        <v>246</v>
      </c>
      <c r="L93" s="2">
        <v>0.04</v>
      </c>
      <c r="M93">
        <v>0.1</v>
      </c>
      <c r="N93" s="2">
        <v>2.5573200000000003</v>
      </c>
      <c r="O93" s="2">
        <v>6.3933</v>
      </c>
    </row>
    <row r="94" spans="2:15">
      <c r="B94" t="s">
        <v>46</v>
      </c>
      <c r="C94" t="s">
        <v>29</v>
      </c>
      <c r="D94" t="s">
        <v>71</v>
      </c>
      <c r="E94" t="s">
        <v>72</v>
      </c>
      <c r="F94" t="s">
        <v>12</v>
      </c>
      <c r="G94" t="s">
        <v>73</v>
      </c>
      <c r="H94" t="s">
        <v>74</v>
      </c>
      <c r="I94" t="s">
        <v>24</v>
      </c>
      <c r="J94">
        <v>583688</v>
      </c>
      <c r="K94">
        <v>2134</v>
      </c>
      <c r="L94" s="2">
        <v>0.04</v>
      </c>
      <c r="M94">
        <v>0.1</v>
      </c>
      <c r="N94" s="2">
        <v>23.347519999999999</v>
      </c>
      <c r="O94" s="2">
        <v>58.3688</v>
      </c>
    </row>
    <row r="95" spans="2:15">
      <c r="B95" t="s">
        <v>46</v>
      </c>
      <c r="C95" t="s">
        <v>29</v>
      </c>
      <c r="D95" t="s">
        <v>219</v>
      </c>
      <c r="E95" t="s">
        <v>220</v>
      </c>
      <c r="F95" t="s">
        <v>12</v>
      </c>
      <c r="G95" t="s">
        <v>221</v>
      </c>
      <c r="H95" t="s">
        <v>222</v>
      </c>
      <c r="I95" t="s">
        <v>30</v>
      </c>
      <c r="J95">
        <v>11777</v>
      </c>
      <c r="K95">
        <v>14</v>
      </c>
      <c r="L95" s="2">
        <v>0.04</v>
      </c>
      <c r="M95">
        <v>0.1</v>
      </c>
      <c r="N95" s="2">
        <v>0.47108</v>
      </c>
      <c r="O95" s="2">
        <v>1.1777</v>
      </c>
    </row>
    <row r="96" spans="2:15">
      <c r="B96" t="s">
        <v>46</v>
      </c>
      <c r="C96" t="s">
        <v>29</v>
      </c>
      <c r="D96" t="s">
        <v>469</v>
      </c>
      <c r="E96" t="s">
        <v>470</v>
      </c>
      <c r="F96" t="s">
        <v>12</v>
      </c>
      <c r="G96" t="s">
        <v>471</v>
      </c>
      <c r="H96" t="s">
        <v>472</v>
      </c>
      <c r="I96" t="s">
        <v>30</v>
      </c>
      <c r="J96">
        <v>36899</v>
      </c>
      <c r="K96">
        <v>23</v>
      </c>
      <c r="L96" s="2">
        <v>0.04</v>
      </c>
      <c r="M96">
        <v>0.1</v>
      </c>
      <c r="N96" s="2">
        <v>1.4759599999999999</v>
      </c>
      <c r="O96" s="2">
        <v>3.6899000000000002</v>
      </c>
    </row>
    <row r="97" spans="2:15">
      <c r="B97" t="s">
        <v>46</v>
      </c>
      <c r="C97" t="s">
        <v>29</v>
      </c>
      <c r="D97" t="s">
        <v>75</v>
      </c>
      <c r="E97" t="s">
        <v>76</v>
      </c>
      <c r="F97" t="s">
        <v>12</v>
      </c>
      <c r="G97" t="s">
        <v>77</v>
      </c>
      <c r="H97" t="s">
        <v>78</v>
      </c>
      <c r="I97" t="s">
        <v>30</v>
      </c>
      <c r="J97">
        <v>101715</v>
      </c>
      <c r="K97">
        <v>45</v>
      </c>
      <c r="L97" s="2">
        <v>0.04</v>
      </c>
      <c r="M97">
        <v>0.1</v>
      </c>
      <c r="N97" s="2">
        <v>4.0686</v>
      </c>
      <c r="O97" s="2">
        <v>10.1715</v>
      </c>
    </row>
    <row r="98" spans="2:15">
      <c r="B98" t="s">
        <v>46</v>
      </c>
      <c r="C98" t="s">
        <v>29</v>
      </c>
      <c r="D98" t="s">
        <v>223</v>
      </c>
      <c r="E98" t="s">
        <v>224</v>
      </c>
      <c r="F98" t="s">
        <v>12</v>
      </c>
      <c r="G98" t="s">
        <v>225</v>
      </c>
      <c r="H98" t="s">
        <v>226</v>
      </c>
      <c r="I98" t="s">
        <v>30</v>
      </c>
      <c r="J98">
        <v>39076</v>
      </c>
      <c r="K98">
        <v>115</v>
      </c>
      <c r="L98" s="2">
        <v>0.04</v>
      </c>
      <c r="M98">
        <v>0.1</v>
      </c>
      <c r="N98" s="2">
        <v>1.56304</v>
      </c>
      <c r="O98" s="2">
        <v>3.9076000000000004</v>
      </c>
    </row>
    <row r="99" spans="2:15">
      <c r="B99" t="s">
        <v>46</v>
      </c>
      <c r="C99" t="s">
        <v>29</v>
      </c>
      <c r="D99" t="s">
        <v>473</v>
      </c>
      <c r="E99" t="s">
        <v>474</v>
      </c>
      <c r="F99" t="s">
        <v>12</v>
      </c>
      <c r="G99" t="s">
        <v>475</v>
      </c>
      <c r="H99" t="s">
        <v>476</v>
      </c>
      <c r="I99" t="s">
        <v>30</v>
      </c>
      <c r="J99">
        <v>179905</v>
      </c>
      <c r="K99">
        <v>529</v>
      </c>
      <c r="L99" s="2">
        <v>0.04</v>
      </c>
      <c r="M99">
        <v>0.1</v>
      </c>
      <c r="N99" s="2">
        <v>7.1962000000000002</v>
      </c>
      <c r="O99" s="2">
        <v>17.990500000000001</v>
      </c>
    </row>
    <row r="100" spans="2:15">
      <c r="B100" t="s">
        <v>46</v>
      </c>
      <c r="C100" t="s">
        <v>29</v>
      </c>
      <c r="D100" t="s">
        <v>79</v>
      </c>
      <c r="E100" t="s">
        <v>80</v>
      </c>
      <c r="F100" t="s">
        <v>12</v>
      </c>
      <c r="G100" t="s">
        <v>81</v>
      </c>
      <c r="H100" t="s">
        <v>82</v>
      </c>
      <c r="I100" t="s">
        <v>30</v>
      </c>
      <c r="J100">
        <v>466636</v>
      </c>
      <c r="K100">
        <v>1253</v>
      </c>
      <c r="L100" s="2">
        <v>0.04</v>
      </c>
      <c r="M100">
        <v>0.1</v>
      </c>
      <c r="N100" s="2">
        <v>18.66544</v>
      </c>
      <c r="O100" s="2">
        <v>46.663600000000002</v>
      </c>
    </row>
    <row r="101" spans="2:15">
      <c r="B101" t="s">
        <v>46</v>
      </c>
      <c r="C101" t="s">
        <v>29</v>
      </c>
      <c r="D101" t="s">
        <v>227</v>
      </c>
      <c r="E101" t="s">
        <v>228</v>
      </c>
      <c r="F101" t="s">
        <v>12</v>
      </c>
      <c r="G101" t="s">
        <v>229</v>
      </c>
      <c r="H101" t="s">
        <v>230</v>
      </c>
      <c r="I101" t="s">
        <v>30</v>
      </c>
      <c r="J101">
        <v>248</v>
      </c>
      <c r="K101">
        <v>0</v>
      </c>
      <c r="L101" s="2">
        <v>0.04</v>
      </c>
      <c r="M101">
        <v>0.1</v>
      </c>
      <c r="N101" s="2">
        <v>9.92E-3</v>
      </c>
      <c r="O101" s="2">
        <v>2.4799999999999999E-2</v>
      </c>
    </row>
    <row r="102" spans="2:15">
      <c r="B102" t="s">
        <v>46</v>
      </c>
      <c r="C102" t="s">
        <v>29</v>
      </c>
      <c r="D102" t="s">
        <v>477</v>
      </c>
      <c r="E102" t="s">
        <v>478</v>
      </c>
      <c r="F102" t="s">
        <v>12</v>
      </c>
      <c r="G102" t="s">
        <v>479</v>
      </c>
      <c r="H102" t="s">
        <v>480</v>
      </c>
      <c r="I102" t="s">
        <v>30</v>
      </c>
      <c r="J102">
        <v>189</v>
      </c>
      <c r="K102">
        <v>3</v>
      </c>
      <c r="L102" s="2">
        <v>0.04</v>
      </c>
      <c r="M102">
        <v>0.1</v>
      </c>
      <c r="N102" s="2">
        <v>7.5600000000000007E-3</v>
      </c>
      <c r="O102" s="2">
        <v>1.8900000000000004E-2</v>
      </c>
    </row>
    <row r="103" spans="2:15">
      <c r="B103" t="s">
        <v>46</v>
      </c>
      <c r="C103" t="s">
        <v>29</v>
      </c>
      <c r="D103" t="s">
        <v>481</v>
      </c>
      <c r="E103" t="s">
        <v>482</v>
      </c>
      <c r="F103" t="s">
        <v>23</v>
      </c>
      <c r="G103" t="s">
        <v>483</v>
      </c>
      <c r="H103" t="s">
        <v>484</v>
      </c>
      <c r="I103" t="s">
        <v>33</v>
      </c>
      <c r="J103">
        <v>19483</v>
      </c>
      <c r="K103">
        <v>306</v>
      </c>
      <c r="L103" s="2">
        <v>0.6</v>
      </c>
      <c r="M103">
        <v>0.35</v>
      </c>
      <c r="N103" s="2">
        <v>11.6898</v>
      </c>
      <c r="O103" s="2">
        <v>6.8190499999999989</v>
      </c>
    </row>
    <row r="104" spans="2:15">
      <c r="B104" t="s">
        <v>83</v>
      </c>
      <c r="C104" t="s">
        <v>31</v>
      </c>
      <c r="D104" t="s">
        <v>485</v>
      </c>
      <c r="E104" t="s">
        <v>486</v>
      </c>
      <c r="F104" t="s">
        <v>12</v>
      </c>
      <c r="G104" t="s">
        <v>38</v>
      </c>
      <c r="H104" t="s">
        <v>487</v>
      </c>
      <c r="I104" t="s">
        <v>30</v>
      </c>
      <c r="J104">
        <v>2</v>
      </c>
      <c r="K104">
        <v>1</v>
      </c>
      <c r="L104" s="2">
        <v>0.04</v>
      </c>
      <c r="M104">
        <v>0.1</v>
      </c>
      <c r="N104" s="2">
        <v>8.0000000000000007E-5</v>
      </c>
      <c r="O104" s="2">
        <v>2.0000000000000001E-4</v>
      </c>
    </row>
    <row r="105" spans="2:15">
      <c r="B105" t="s">
        <v>83</v>
      </c>
      <c r="C105" t="s">
        <v>31</v>
      </c>
      <c r="D105" t="s">
        <v>485</v>
      </c>
      <c r="E105" t="s">
        <v>486</v>
      </c>
      <c r="F105" t="s">
        <v>12</v>
      </c>
      <c r="G105" t="s">
        <v>488</v>
      </c>
      <c r="H105" t="s">
        <v>489</v>
      </c>
      <c r="I105" t="s">
        <v>30</v>
      </c>
      <c r="J105">
        <v>3116292</v>
      </c>
      <c r="K105">
        <v>204074</v>
      </c>
      <c r="L105" s="2">
        <v>0.04</v>
      </c>
      <c r="M105">
        <v>0.1</v>
      </c>
      <c r="N105" s="2">
        <v>124.65168000000001</v>
      </c>
      <c r="O105" s="2">
        <v>311.62920000000003</v>
      </c>
    </row>
    <row r="106" spans="2:15">
      <c r="B106" t="s">
        <v>83</v>
      </c>
      <c r="C106" t="s">
        <v>31</v>
      </c>
      <c r="D106" t="s">
        <v>490</v>
      </c>
      <c r="E106" t="s">
        <v>491</v>
      </c>
      <c r="F106" t="s">
        <v>12</v>
      </c>
      <c r="G106" t="s">
        <v>364</v>
      </c>
      <c r="H106" t="s">
        <v>365</v>
      </c>
      <c r="I106" t="s">
        <v>30</v>
      </c>
      <c r="J106">
        <v>7</v>
      </c>
      <c r="K106">
        <v>1</v>
      </c>
      <c r="L106" s="2">
        <v>0.04</v>
      </c>
      <c r="M106">
        <v>0.1</v>
      </c>
      <c r="N106" s="2">
        <v>2.8000000000000003E-4</v>
      </c>
      <c r="O106" s="2">
        <v>7.000000000000001E-4</v>
      </c>
    </row>
    <row r="107" spans="2:15">
      <c r="B107" t="s">
        <v>83</v>
      </c>
      <c r="C107" t="s">
        <v>31</v>
      </c>
      <c r="D107" t="s">
        <v>490</v>
      </c>
      <c r="E107" t="s">
        <v>491</v>
      </c>
      <c r="F107" t="s">
        <v>12</v>
      </c>
      <c r="G107" t="s">
        <v>492</v>
      </c>
      <c r="H107" t="s">
        <v>493</v>
      </c>
      <c r="I107" t="s">
        <v>30</v>
      </c>
      <c r="J107">
        <v>4173276</v>
      </c>
      <c r="K107">
        <v>26742</v>
      </c>
      <c r="L107" s="2">
        <v>0.04</v>
      </c>
      <c r="M107">
        <v>0.1</v>
      </c>
      <c r="N107" s="2">
        <v>166.93104</v>
      </c>
      <c r="O107" s="2">
        <v>417.32760000000002</v>
      </c>
    </row>
    <row r="108" spans="2:15">
      <c r="B108" t="s">
        <v>83</v>
      </c>
      <c r="C108" t="s">
        <v>31</v>
      </c>
      <c r="D108" t="s">
        <v>494</v>
      </c>
      <c r="E108" t="s">
        <v>495</v>
      </c>
      <c r="F108" t="s">
        <v>12</v>
      </c>
      <c r="G108" t="s">
        <v>39</v>
      </c>
      <c r="H108" t="s">
        <v>243</v>
      </c>
      <c r="I108" t="s">
        <v>30</v>
      </c>
      <c r="J108">
        <v>5</v>
      </c>
      <c r="K108">
        <v>1</v>
      </c>
      <c r="L108" s="2">
        <v>0.04</v>
      </c>
      <c r="M108">
        <v>0.1</v>
      </c>
      <c r="N108" s="2">
        <v>2.0000000000000001E-4</v>
      </c>
      <c r="O108" s="2">
        <v>5.0000000000000001E-4</v>
      </c>
    </row>
    <row r="109" spans="2:15">
      <c r="B109" t="s">
        <v>83</v>
      </c>
      <c r="C109" t="s">
        <v>31</v>
      </c>
      <c r="D109" t="s">
        <v>494</v>
      </c>
      <c r="E109" t="s">
        <v>495</v>
      </c>
      <c r="F109" t="s">
        <v>12</v>
      </c>
      <c r="G109" t="s">
        <v>496</v>
      </c>
      <c r="H109" t="s">
        <v>497</v>
      </c>
      <c r="I109" t="s">
        <v>30</v>
      </c>
      <c r="J109">
        <v>4345718</v>
      </c>
      <c r="K109">
        <v>46744</v>
      </c>
      <c r="L109" s="2">
        <v>0.04</v>
      </c>
      <c r="M109">
        <v>0.1</v>
      </c>
      <c r="N109" s="2">
        <v>173.82872</v>
      </c>
      <c r="O109" s="2">
        <v>434.57180000000005</v>
      </c>
    </row>
    <row r="110" spans="2:15">
      <c r="B110" t="s">
        <v>83</v>
      </c>
      <c r="C110" t="s">
        <v>31</v>
      </c>
      <c r="D110" t="s">
        <v>498</v>
      </c>
      <c r="E110" t="s">
        <v>499</v>
      </c>
      <c r="F110" t="s">
        <v>11</v>
      </c>
      <c r="G110" t="s">
        <v>98</v>
      </c>
      <c r="H110" t="s">
        <v>366</v>
      </c>
      <c r="I110" t="s">
        <v>30</v>
      </c>
      <c r="J110">
        <v>1</v>
      </c>
      <c r="K110">
        <v>1</v>
      </c>
      <c r="L110" s="2">
        <v>0.04</v>
      </c>
      <c r="M110">
        <v>0.1</v>
      </c>
      <c r="N110" s="2">
        <v>4.0000000000000003E-5</v>
      </c>
      <c r="O110" s="2">
        <v>1E-4</v>
      </c>
    </row>
    <row r="111" spans="2:15">
      <c r="B111" t="s">
        <v>83</v>
      </c>
      <c r="C111" t="s">
        <v>31</v>
      </c>
      <c r="D111" t="s">
        <v>498</v>
      </c>
      <c r="E111" t="s">
        <v>499</v>
      </c>
      <c r="F111" t="s">
        <v>12</v>
      </c>
      <c r="G111" t="s">
        <v>500</v>
      </c>
      <c r="H111" t="s">
        <v>501</v>
      </c>
      <c r="I111" t="s">
        <v>30</v>
      </c>
      <c r="J111">
        <v>388766</v>
      </c>
      <c r="K111">
        <v>988</v>
      </c>
      <c r="L111" s="2">
        <v>0.04</v>
      </c>
      <c r="M111">
        <v>0.1</v>
      </c>
      <c r="N111" s="2">
        <v>15.55064</v>
      </c>
      <c r="O111" s="2">
        <v>38.876599999999996</v>
      </c>
    </row>
    <row r="112" spans="2:15">
      <c r="B112" t="s">
        <v>83</v>
      </c>
      <c r="C112" t="s">
        <v>31</v>
      </c>
      <c r="D112" t="s">
        <v>352</v>
      </c>
      <c r="E112" t="s">
        <v>353</v>
      </c>
      <c r="F112" t="s">
        <v>10</v>
      </c>
      <c r="G112" t="s">
        <v>354</v>
      </c>
      <c r="H112" t="s">
        <v>355</v>
      </c>
      <c r="I112" t="s">
        <v>24</v>
      </c>
      <c r="J112">
        <v>0</v>
      </c>
      <c r="K112">
        <v>4</v>
      </c>
      <c r="L112" s="2">
        <v>3.5000000000000001E-3</v>
      </c>
      <c r="M112">
        <v>2.5000000000000001E-2</v>
      </c>
      <c r="N112" s="2">
        <v>1.4E-2</v>
      </c>
      <c r="O112" s="2">
        <v>0.1</v>
      </c>
    </row>
    <row r="113" spans="2:15">
      <c r="B113" t="s">
        <v>83</v>
      </c>
      <c r="C113" t="s">
        <v>31</v>
      </c>
      <c r="D113" t="s">
        <v>502</v>
      </c>
      <c r="E113" t="s">
        <v>503</v>
      </c>
      <c r="F113" t="s">
        <v>12</v>
      </c>
      <c r="G113" t="s">
        <v>504</v>
      </c>
      <c r="H113" t="s">
        <v>505</v>
      </c>
      <c r="I113" t="s">
        <v>30</v>
      </c>
      <c r="J113">
        <v>601421</v>
      </c>
      <c r="K113">
        <v>77</v>
      </c>
      <c r="L113" s="2">
        <v>0.04</v>
      </c>
      <c r="M113">
        <v>0.1</v>
      </c>
      <c r="N113" s="2">
        <v>24.056840000000001</v>
      </c>
      <c r="O113" s="2">
        <v>60.142100000000006</v>
      </c>
    </row>
    <row r="114" spans="2:15">
      <c r="B114" t="s">
        <v>83</v>
      </c>
      <c r="C114" t="s">
        <v>31</v>
      </c>
      <c r="D114" t="s">
        <v>506</v>
      </c>
      <c r="E114" t="s">
        <v>507</v>
      </c>
      <c r="F114" t="s">
        <v>12</v>
      </c>
      <c r="G114" t="s">
        <v>508</v>
      </c>
      <c r="H114" t="s">
        <v>509</v>
      </c>
      <c r="I114" t="s">
        <v>30</v>
      </c>
      <c r="J114">
        <v>301742</v>
      </c>
      <c r="K114">
        <v>34</v>
      </c>
      <c r="L114" s="2">
        <v>0.04</v>
      </c>
      <c r="M114">
        <v>0.1</v>
      </c>
      <c r="N114" s="2">
        <v>12.06968</v>
      </c>
      <c r="O114" s="2">
        <v>30.174199999999999</v>
      </c>
    </row>
    <row r="115" spans="2:15">
      <c r="B115" t="s">
        <v>83</v>
      </c>
      <c r="C115" t="s">
        <v>31</v>
      </c>
      <c r="D115" t="s">
        <v>510</v>
      </c>
      <c r="E115" t="s">
        <v>511</v>
      </c>
      <c r="F115" t="s">
        <v>11</v>
      </c>
      <c r="G115" t="s">
        <v>39</v>
      </c>
      <c r="H115" t="s">
        <v>243</v>
      </c>
      <c r="I115" t="s">
        <v>30</v>
      </c>
      <c r="J115">
        <v>1</v>
      </c>
      <c r="K115">
        <v>1</v>
      </c>
      <c r="L115" s="2">
        <v>0.04</v>
      </c>
      <c r="M115">
        <v>0.1</v>
      </c>
      <c r="N115" s="2">
        <v>4.0000000000000003E-5</v>
      </c>
      <c r="O115" s="2">
        <v>1E-4</v>
      </c>
    </row>
    <row r="116" spans="2:15">
      <c r="B116" t="s">
        <v>83</v>
      </c>
      <c r="C116" t="s">
        <v>31</v>
      </c>
      <c r="D116" t="s">
        <v>510</v>
      </c>
      <c r="E116" t="s">
        <v>511</v>
      </c>
      <c r="F116" t="s">
        <v>12</v>
      </c>
      <c r="G116" t="s">
        <v>512</v>
      </c>
      <c r="H116" t="s">
        <v>513</v>
      </c>
      <c r="I116" t="s">
        <v>30</v>
      </c>
      <c r="J116">
        <v>850745</v>
      </c>
      <c r="K116">
        <v>128</v>
      </c>
      <c r="L116" s="2">
        <v>0.04</v>
      </c>
      <c r="M116">
        <v>0.1</v>
      </c>
      <c r="N116" s="2">
        <v>34.029800000000002</v>
      </c>
      <c r="O116" s="2">
        <v>85.0745</v>
      </c>
    </row>
    <row r="117" spans="2:15">
      <c r="B117" t="s">
        <v>83</v>
      </c>
      <c r="C117" t="s">
        <v>31</v>
      </c>
      <c r="D117" t="s">
        <v>514</v>
      </c>
      <c r="E117" t="s">
        <v>515</v>
      </c>
      <c r="F117" t="s">
        <v>12</v>
      </c>
      <c r="G117" t="s">
        <v>516</v>
      </c>
      <c r="H117" t="s">
        <v>517</v>
      </c>
      <c r="I117" t="s">
        <v>30</v>
      </c>
      <c r="J117">
        <v>1</v>
      </c>
      <c r="K117">
        <v>1</v>
      </c>
      <c r="L117" s="2">
        <v>0.04</v>
      </c>
      <c r="M117">
        <v>0.1</v>
      </c>
      <c r="N117" s="2">
        <v>4.0000000000000003E-5</v>
      </c>
      <c r="O117" s="2">
        <v>1E-4</v>
      </c>
    </row>
    <row r="118" spans="2:15">
      <c r="B118" t="s">
        <v>83</v>
      </c>
      <c r="C118" t="s">
        <v>31</v>
      </c>
      <c r="D118" t="s">
        <v>356</v>
      </c>
      <c r="E118" t="s">
        <v>357</v>
      </c>
      <c r="F118" t="s">
        <v>12</v>
      </c>
      <c r="G118" t="s">
        <v>358</v>
      </c>
      <c r="H118" t="s">
        <v>359</v>
      </c>
      <c r="I118" t="s">
        <v>24</v>
      </c>
      <c r="J118">
        <v>1</v>
      </c>
      <c r="K118">
        <v>0</v>
      </c>
      <c r="L118" s="2">
        <v>0.04</v>
      </c>
      <c r="M118">
        <v>0.1</v>
      </c>
      <c r="N118" s="2">
        <v>4.0000000000000003E-5</v>
      </c>
      <c r="O118" s="2">
        <v>1E-4</v>
      </c>
    </row>
    <row r="119" spans="2:15">
      <c r="B119" t="s">
        <v>83</v>
      </c>
      <c r="C119" t="s">
        <v>31</v>
      </c>
      <c r="D119" t="s">
        <v>360</v>
      </c>
      <c r="E119" t="s">
        <v>361</v>
      </c>
      <c r="F119" t="s">
        <v>12</v>
      </c>
      <c r="G119" t="s">
        <v>362</v>
      </c>
      <c r="H119" t="s">
        <v>363</v>
      </c>
      <c r="I119" t="s">
        <v>24</v>
      </c>
      <c r="J119">
        <v>1936076</v>
      </c>
      <c r="K119">
        <v>2173</v>
      </c>
      <c r="L119" s="2">
        <v>0.04</v>
      </c>
      <c r="M119">
        <v>0.1</v>
      </c>
      <c r="N119" s="2">
        <v>77.443040000000011</v>
      </c>
      <c r="O119" s="2">
        <v>193.60760000000002</v>
      </c>
    </row>
    <row r="120" spans="2:15">
      <c r="B120" t="s">
        <v>83</v>
      </c>
      <c r="C120" t="s">
        <v>31</v>
      </c>
      <c r="D120" t="s">
        <v>231</v>
      </c>
      <c r="E120" t="s">
        <v>232</v>
      </c>
      <c r="F120" t="s">
        <v>23</v>
      </c>
      <c r="G120" t="s">
        <v>233</v>
      </c>
      <c r="H120" t="s">
        <v>234</v>
      </c>
      <c r="I120" t="s">
        <v>33</v>
      </c>
      <c r="J120">
        <v>562615</v>
      </c>
      <c r="K120">
        <v>1199</v>
      </c>
      <c r="L120" s="2">
        <v>0.6</v>
      </c>
      <c r="M120">
        <v>0.35</v>
      </c>
      <c r="N120" s="2">
        <v>337.56900000000002</v>
      </c>
      <c r="O120" s="2">
        <v>196.91524999999999</v>
      </c>
    </row>
    <row r="121" spans="2:15">
      <c r="B121" t="s">
        <v>83</v>
      </c>
      <c r="C121" t="s">
        <v>31</v>
      </c>
      <c r="D121" t="s">
        <v>235</v>
      </c>
      <c r="E121" t="s">
        <v>236</v>
      </c>
      <c r="F121" t="s">
        <v>23</v>
      </c>
      <c r="G121" t="s">
        <v>237</v>
      </c>
      <c r="H121" t="s">
        <v>238</v>
      </c>
      <c r="I121" t="s">
        <v>33</v>
      </c>
      <c r="J121">
        <v>1629838</v>
      </c>
      <c r="K121">
        <v>4432</v>
      </c>
      <c r="L121" s="2">
        <v>0.6</v>
      </c>
      <c r="M121">
        <v>0.35</v>
      </c>
      <c r="N121" s="2">
        <v>977.90279999999996</v>
      </c>
      <c r="O121" s="2">
        <v>570.44329999999991</v>
      </c>
    </row>
    <row r="122" spans="2:15">
      <c r="B122" t="s">
        <v>83</v>
      </c>
      <c r="C122" t="s">
        <v>31</v>
      </c>
      <c r="D122" t="s">
        <v>239</v>
      </c>
      <c r="E122" t="s">
        <v>240</v>
      </c>
      <c r="F122" t="s">
        <v>23</v>
      </c>
      <c r="G122" t="s">
        <v>241</v>
      </c>
      <c r="H122" t="s">
        <v>242</v>
      </c>
      <c r="I122" t="s">
        <v>33</v>
      </c>
      <c r="J122">
        <v>769379</v>
      </c>
      <c r="K122">
        <v>2908</v>
      </c>
      <c r="L122" s="2">
        <v>0.6</v>
      </c>
      <c r="M122">
        <v>0.35</v>
      </c>
      <c r="N122" s="2">
        <v>461.62739999999997</v>
      </c>
      <c r="O122" s="2">
        <v>269.28264999999999</v>
      </c>
    </row>
    <row r="123" spans="2:15">
      <c r="B123" t="s">
        <v>83</v>
      </c>
      <c r="C123" t="s">
        <v>31</v>
      </c>
      <c r="D123" t="s">
        <v>518</v>
      </c>
      <c r="E123" t="s">
        <v>519</v>
      </c>
      <c r="F123" t="s">
        <v>23</v>
      </c>
      <c r="G123" t="s">
        <v>520</v>
      </c>
      <c r="H123" t="s">
        <v>521</v>
      </c>
      <c r="I123" t="s">
        <v>33</v>
      </c>
      <c r="J123">
        <v>681886</v>
      </c>
      <c r="K123">
        <v>1164</v>
      </c>
      <c r="L123" s="2">
        <v>0.6</v>
      </c>
      <c r="M123">
        <v>0.35</v>
      </c>
      <c r="N123" s="2">
        <v>409.13159999999999</v>
      </c>
      <c r="O123" s="2">
        <v>238.66009999999997</v>
      </c>
    </row>
    <row r="124" spans="2:15">
      <c r="B124" t="s">
        <v>83</v>
      </c>
      <c r="C124" t="s">
        <v>522</v>
      </c>
      <c r="D124" t="s">
        <v>523</v>
      </c>
      <c r="E124" t="s">
        <v>524</v>
      </c>
      <c r="F124" t="s">
        <v>12</v>
      </c>
      <c r="G124" t="s">
        <v>525</v>
      </c>
      <c r="H124" t="s">
        <v>526</v>
      </c>
      <c r="I124" t="s">
        <v>30</v>
      </c>
      <c r="J124">
        <v>44178</v>
      </c>
      <c r="K124">
        <v>13</v>
      </c>
      <c r="L124" s="2">
        <v>0.04</v>
      </c>
      <c r="M124">
        <v>0.1</v>
      </c>
      <c r="N124" s="2">
        <v>1.76712</v>
      </c>
      <c r="O124" s="2">
        <v>4.4178000000000006</v>
      </c>
    </row>
    <row r="125" spans="2:15">
      <c r="B125" t="s">
        <v>83</v>
      </c>
      <c r="C125" t="s">
        <v>28</v>
      </c>
      <c r="D125" t="s">
        <v>84</v>
      </c>
      <c r="E125" t="s">
        <v>85</v>
      </c>
      <c r="F125" t="s">
        <v>12</v>
      </c>
      <c r="G125" t="s">
        <v>86</v>
      </c>
      <c r="H125" t="s">
        <v>87</v>
      </c>
      <c r="I125" t="s">
        <v>30</v>
      </c>
      <c r="J125">
        <v>667025</v>
      </c>
      <c r="K125">
        <v>967</v>
      </c>
      <c r="L125" s="2">
        <v>0.04</v>
      </c>
      <c r="M125">
        <v>0.1</v>
      </c>
      <c r="N125" s="2">
        <v>26.681000000000001</v>
      </c>
      <c r="O125" s="2">
        <v>66.702500000000001</v>
      </c>
    </row>
    <row r="126" spans="2:15">
      <c r="B126" t="s">
        <v>83</v>
      </c>
      <c r="C126" t="s">
        <v>28</v>
      </c>
      <c r="D126" t="s">
        <v>88</v>
      </c>
      <c r="E126" t="s">
        <v>89</v>
      </c>
      <c r="F126" t="s">
        <v>12</v>
      </c>
      <c r="G126" t="s">
        <v>90</v>
      </c>
      <c r="H126" t="s">
        <v>91</v>
      </c>
      <c r="I126" t="s">
        <v>30</v>
      </c>
      <c r="J126">
        <v>2605462</v>
      </c>
      <c r="K126">
        <v>2728</v>
      </c>
      <c r="L126" s="2">
        <v>0.04</v>
      </c>
      <c r="M126">
        <v>0.1</v>
      </c>
      <c r="N126" s="2">
        <v>104.21848</v>
      </c>
      <c r="O126" s="2">
        <v>260.5462</v>
      </c>
    </row>
    <row r="127" spans="2:15">
      <c r="B127" t="s">
        <v>83</v>
      </c>
      <c r="C127" t="s">
        <v>28</v>
      </c>
      <c r="D127" t="s">
        <v>92</v>
      </c>
      <c r="E127" t="s">
        <v>93</v>
      </c>
      <c r="F127" t="s">
        <v>12</v>
      </c>
      <c r="G127" t="s">
        <v>94</v>
      </c>
      <c r="H127" t="s">
        <v>95</v>
      </c>
      <c r="I127" t="s">
        <v>30</v>
      </c>
      <c r="J127">
        <v>1657276</v>
      </c>
      <c r="K127">
        <v>525</v>
      </c>
      <c r="L127" s="2">
        <v>0.04</v>
      </c>
      <c r="M127">
        <v>0.1</v>
      </c>
      <c r="N127" s="2">
        <v>66.29104000000001</v>
      </c>
      <c r="O127" s="2">
        <v>165.7276</v>
      </c>
    </row>
    <row r="128" spans="2:15">
      <c r="B128" t="s">
        <v>83</v>
      </c>
      <c r="C128" t="s">
        <v>28</v>
      </c>
      <c r="D128" t="s">
        <v>96</v>
      </c>
      <c r="E128" t="s">
        <v>97</v>
      </c>
      <c r="F128" t="s">
        <v>12</v>
      </c>
      <c r="G128" t="s">
        <v>98</v>
      </c>
      <c r="H128" t="s">
        <v>366</v>
      </c>
      <c r="I128" t="s">
        <v>30</v>
      </c>
      <c r="J128">
        <v>1</v>
      </c>
      <c r="K128">
        <v>0</v>
      </c>
      <c r="L128" s="2">
        <v>0.04</v>
      </c>
      <c r="M128">
        <v>0.1</v>
      </c>
      <c r="N128" s="2">
        <v>4.0000000000000003E-5</v>
      </c>
      <c r="O128" s="2">
        <v>1E-4</v>
      </c>
    </row>
    <row r="129" spans="2:15">
      <c r="B129" t="s">
        <v>83</v>
      </c>
      <c r="C129" t="s">
        <v>28</v>
      </c>
      <c r="D129" t="s">
        <v>96</v>
      </c>
      <c r="E129" t="s">
        <v>97</v>
      </c>
      <c r="F129" t="s">
        <v>12</v>
      </c>
      <c r="G129" t="s">
        <v>99</v>
      </c>
      <c r="H129" t="s">
        <v>100</v>
      </c>
      <c r="I129" t="s">
        <v>30</v>
      </c>
      <c r="J129">
        <v>2484843</v>
      </c>
      <c r="K129">
        <v>2047</v>
      </c>
      <c r="L129" s="2">
        <v>0.04</v>
      </c>
      <c r="M129">
        <v>0.1</v>
      </c>
      <c r="N129" s="2">
        <v>99.393720000000002</v>
      </c>
      <c r="O129" s="2">
        <v>248.48430000000002</v>
      </c>
    </row>
    <row r="130" spans="2:15">
      <c r="B130" t="s">
        <v>83</v>
      </c>
      <c r="C130" t="s">
        <v>28</v>
      </c>
      <c r="D130" t="s">
        <v>101</v>
      </c>
      <c r="E130" t="s">
        <v>102</v>
      </c>
      <c r="F130" t="s">
        <v>12</v>
      </c>
      <c r="G130" t="s">
        <v>103</v>
      </c>
      <c r="H130" t="s">
        <v>104</v>
      </c>
      <c r="I130" t="s">
        <v>24</v>
      </c>
      <c r="J130">
        <v>363974</v>
      </c>
      <c r="K130">
        <v>9434</v>
      </c>
      <c r="L130" s="2">
        <v>0.04</v>
      </c>
      <c r="M130">
        <v>0.1</v>
      </c>
      <c r="N130" s="2">
        <v>14.558960000000001</v>
      </c>
      <c r="O130" s="2">
        <v>36.397400000000005</v>
      </c>
    </row>
    <row r="131" spans="2:15">
      <c r="B131" t="s">
        <v>83</v>
      </c>
      <c r="C131" t="s">
        <v>28</v>
      </c>
      <c r="D131" t="s">
        <v>105</v>
      </c>
      <c r="E131" t="s">
        <v>106</v>
      </c>
      <c r="F131" t="s">
        <v>12</v>
      </c>
      <c r="G131" t="s">
        <v>107</v>
      </c>
      <c r="H131" t="s">
        <v>108</v>
      </c>
      <c r="I131" t="s">
        <v>24</v>
      </c>
      <c r="J131">
        <v>1</v>
      </c>
      <c r="K131">
        <v>0</v>
      </c>
      <c r="L131" s="2">
        <v>0.04</v>
      </c>
      <c r="M131">
        <v>0.1</v>
      </c>
      <c r="N131" s="2">
        <v>4.0000000000000003E-5</v>
      </c>
      <c r="O131" s="2">
        <v>1E-4</v>
      </c>
    </row>
    <row r="132" spans="2:15">
      <c r="B132" t="s">
        <v>83</v>
      </c>
      <c r="C132" t="s">
        <v>28</v>
      </c>
      <c r="D132" t="s">
        <v>244</v>
      </c>
      <c r="E132" t="s">
        <v>245</v>
      </c>
      <c r="F132" t="s">
        <v>12</v>
      </c>
      <c r="G132" t="s">
        <v>246</v>
      </c>
      <c r="H132" t="s">
        <v>247</v>
      </c>
      <c r="I132" t="s">
        <v>24</v>
      </c>
      <c r="J132">
        <v>1112266</v>
      </c>
      <c r="K132">
        <v>20559</v>
      </c>
      <c r="L132" s="2">
        <v>0.04</v>
      </c>
      <c r="M132">
        <v>0.1</v>
      </c>
      <c r="N132" s="2">
        <v>44.490639999999999</v>
      </c>
      <c r="O132" s="2">
        <v>111.2266</v>
      </c>
    </row>
    <row r="133" spans="2:15">
      <c r="B133" t="s">
        <v>83</v>
      </c>
      <c r="C133" t="s">
        <v>28</v>
      </c>
      <c r="D133" t="s">
        <v>248</v>
      </c>
      <c r="E133" t="s">
        <v>249</v>
      </c>
      <c r="F133" t="s">
        <v>23</v>
      </c>
      <c r="G133" t="s">
        <v>250</v>
      </c>
      <c r="H133" t="s">
        <v>251</v>
      </c>
      <c r="I133" t="s">
        <v>33</v>
      </c>
      <c r="J133">
        <v>193022</v>
      </c>
      <c r="K133">
        <v>3139</v>
      </c>
      <c r="L133" s="2">
        <v>0.6</v>
      </c>
      <c r="M133">
        <v>0.35</v>
      </c>
      <c r="N133" s="2">
        <v>115.81319999999999</v>
      </c>
      <c r="O133" s="2">
        <v>67.557699999999997</v>
      </c>
    </row>
    <row r="134" spans="2:15">
      <c r="B134" t="s">
        <v>83</v>
      </c>
      <c r="C134" t="s">
        <v>28</v>
      </c>
      <c r="D134" t="s">
        <v>252</v>
      </c>
      <c r="E134" t="s">
        <v>253</v>
      </c>
      <c r="F134" t="s">
        <v>23</v>
      </c>
      <c r="G134" t="s">
        <v>254</v>
      </c>
      <c r="H134" t="s">
        <v>255</v>
      </c>
      <c r="I134" t="s">
        <v>33</v>
      </c>
      <c r="J134">
        <v>504662</v>
      </c>
      <c r="K134">
        <v>4458</v>
      </c>
      <c r="L134" s="2">
        <v>0.6</v>
      </c>
      <c r="M134">
        <v>0.35</v>
      </c>
      <c r="N134" s="2">
        <v>302.79720000000003</v>
      </c>
      <c r="O134" s="2">
        <v>176.6317</v>
      </c>
    </row>
    <row r="135" spans="2:15">
      <c r="B135" t="s">
        <v>256</v>
      </c>
      <c r="C135" t="s">
        <v>31</v>
      </c>
      <c r="D135" t="s">
        <v>257</v>
      </c>
      <c r="E135" t="s">
        <v>258</v>
      </c>
      <c r="F135" t="s">
        <v>12</v>
      </c>
      <c r="G135" t="s">
        <v>38</v>
      </c>
      <c r="H135" t="s">
        <v>259</v>
      </c>
      <c r="I135" t="s">
        <v>30</v>
      </c>
      <c r="J135">
        <v>3</v>
      </c>
      <c r="K135">
        <v>0</v>
      </c>
      <c r="L135" s="2">
        <v>0.04</v>
      </c>
      <c r="M135">
        <v>0.1</v>
      </c>
      <c r="N135" s="2">
        <v>1.1999999999999999E-4</v>
      </c>
      <c r="O135" s="2">
        <v>3.0000000000000003E-4</v>
      </c>
    </row>
    <row r="136" spans="2:15">
      <c r="B136" t="s">
        <v>256</v>
      </c>
      <c r="C136" t="s">
        <v>31</v>
      </c>
      <c r="D136" t="s">
        <v>257</v>
      </c>
      <c r="E136" t="s">
        <v>258</v>
      </c>
      <c r="F136" t="s">
        <v>12</v>
      </c>
      <c r="G136" t="s">
        <v>260</v>
      </c>
      <c r="H136" t="s">
        <v>261</v>
      </c>
      <c r="I136" t="s">
        <v>30</v>
      </c>
      <c r="J136">
        <v>1887321</v>
      </c>
      <c r="K136">
        <v>120239</v>
      </c>
      <c r="L136" s="2">
        <v>0.04</v>
      </c>
      <c r="M136">
        <v>0.1</v>
      </c>
      <c r="N136" s="2">
        <v>75.492840000000001</v>
      </c>
      <c r="O136" s="2">
        <v>188.7321</v>
      </c>
    </row>
    <row r="137" spans="2:15">
      <c r="B137" t="s">
        <v>256</v>
      </c>
      <c r="C137" t="s">
        <v>31</v>
      </c>
      <c r="D137" t="s">
        <v>262</v>
      </c>
      <c r="E137" t="s">
        <v>263</v>
      </c>
      <c r="F137" t="s">
        <v>12</v>
      </c>
      <c r="G137" t="s">
        <v>364</v>
      </c>
      <c r="H137" t="s">
        <v>527</v>
      </c>
      <c r="I137" t="s">
        <v>30</v>
      </c>
      <c r="J137">
        <v>1</v>
      </c>
      <c r="K137">
        <v>0</v>
      </c>
      <c r="L137" s="2">
        <v>0.04</v>
      </c>
      <c r="M137">
        <v>0.1</v>
      </c>
      <c r="N137" s="2">
        <v>4.0000000000000003E-5</v>
      </c>
      <c r="O137" s="2">
        <v>1E-4</v>
      </c>
    </row>
    <row r="138" spans="2:15">
      <c r="B138" t="s">
        <v>256</v>
      </c>
      <c r="C138" t="s">
        <v>31</v>
      </c>
      <c r="D138" t="s">
        <v>262</v>
      </c>
      <c r="E138" t="s">
        <v>263</v>
      </c>
      <c r="F138" t="s">
        <v>12</v>
      </c>
      <c r="G138" t="s">
        <v>264</v>
      </c>
      <c r="H138" t="s">
        <v>265</v>
      </c>
      <c r="I138" t="s">
        <v>30</v>
      </c>
      <c r="J138">
        <v>1270294</v>
      </c>
      <c r="K138">
        <v>7532</v>
      </c>
      <c r="L138" s="2">
        <v>0.04</v>
      </c>
      <c r="M138">
        <v>0.1</v>
      </c>
      <c r="N138" s="2">
        <v>50.81176</v>
      </c>
      <c r="O138" s="2">
        <v>127.02940000000001</v>
      </c>
    </row>
    <row r="139" spans="2:15">
      <c r="B139" t="s">
        <v>256</v>
      </c>
      <c r="C139" t="s">
        <v>31</v>
      </c>
      <c r="D139" t="s">
        <v>266</v>
      </c>
      <c r="E139" t="s">
        <v>267</v>
      </c>
      <c r="F139" t="s">
        <v>12</v>
      </c>
      <c r="G139" t="s">
        <v>39</v>
      </c>
      <c r="H139" t="s">
        <v>367</v>
      </c>
      <c r="I139" t="s">
        <v>30</v>
      </c>
      <c r="J139">
        <v>4</v>
      </c>
      <c r="K139">
        <v>0</v>
      </c>
      <c r="L139" s="2">
        <v>0.04</v>
      </c>
      <c r="M139">
        <v>0.1</v>
      </c>
      <c r="N139" s="2">
        <v>1.6000000000000001E-4</v>
      </c>
      <c r="O139" s="2">
        <v>4.0000000000000002E-4</v>
      </c>
    </row>
    <row r="140" spans="2:15">
      <c r="B140" t="s">
        <v>256</v>
      </c>
      <c r="C140" t="s">
        <v>31</v>
      </c>
      <c r="D140" t="s">
        <v>266</v>
      </c>
      <c r="E140" t="s">
        <v>267</v>
      </c>
      <c r="F140" t="s">
        <v>12</v>
      </c>
      <c r="G140" t="s">
        <v>268</v>
      </c>
      <c r="H140" t="s">
        <v>269</v>
      </c>
      <c r="I140" t="s">
        <v>30</v>
      </c>
      <c r="J140">
        <v>2676150</v>
      </c>
      <c r="K140">
        <v>40275</v>
      </c>
      <c r="L140" s="2">
        <v>0.04</v>
      </c>
      <c r="M140">
        <v>0.1</v>
      </c>
      <c r="N140" s="2">
        <v>107.04600000000001</v>
      </c>
      <c r="O140" s="2">
        <v>267.61500000000001</v>
      </c>
    </row>
    <row r="141" spans="2:15">
      <c r="B141" t="s">
        <v>256</v>
      </c>
      <c r="C141" t="s">
        <v>31</v>
      </c>
      <c r="D141" t="s">
        <v>270</v>
      </c>
      <c r="E141" t="s">
        <v>271</v>
      </c>
      <c r="F141" t="s">
        <v>12</v>
      </c>
      <c r="G141" t="s">
        <v>272</v>
      </c>
      <c r="H141" t="s">
        <v>273</v>
      </c>
      <c r="I141" t="s">
        <v>30</v>
      </c>
      <c r="J141">
        <v>115874</v>
      </c>
      <c r="K141">
        <v>194</v>
      </c>
      <c r="L141" s="2">
        <v>0.04</v>
      </c>
      <c r="M141">
        <v>0.1</v>
      </c>
      <c r="N141" s="2">
        <v>4.6349600000000004</v>
      </c>
      <c r="O141" s="2">
        <v>11.587400000000001</v>
      </c>
    </row>
    <row r="142" spans="2:15">
      <c r="B142" t="s">
        <v>256</v>
      </c>
      <c r="C142" t="s">
        <v>28</v>
      </c>
      <c r="D142" t="s">
        <v>274</v>
      </c>
      <c r="E142" t="s">
        <v>275</v>
      </c>
      <c r="F142" t="s">
        <v>12</v>
      </c>
      <c r="G142" t="s">
        <v>276</v>
      </c>
      <c r="H142" t="s">
        <v>277</v>
      </c>
      <c r="I142" t="s">
        <v>30</v>
      </c>
      <c r="J142">
        <v>185231</v>
      </c>
      <c r="K142">
        <v>180</v>
      </c>
      <c r="L142" s="2">
        <v>0.04</v>
      </c>
      <c r="M142">
        <v>0.1</v>
      </c>
      <c r="N142" s="2">
        <v>7.4092399999999996</v>
      </c>
      <c r="O142" s="2">
        <v>18.523100000000003</v>
      </c>
    </row>
    <row r="143" spans="2:15">
      <c r="B143" t="s">
        <v>256</v>
      </c>
      <c r="C143" t="s">
        <v>28</v>
      </c>
      <c r="D143" t="s">
        <v>278</v>
      </c>
      <c r="E143" t="s">
        <v>279</v>
      </c>
      <c r="F143" t="s">
        <v>12</v>
      </c>
      <c r="G143" t="s">
        <v>280</v>
      </c>
      <c r="H143" t="s">
        <v>281</v>
      </c>
      <c r="I143" t="s">
        <v>30</v>
      </c>
      <c r="J143">
        <v>742253</v>
      </c>
      <c r="K143">
        <v>435</v>
      </c>
      <c r="L143" s="2">
        <v>0.04</v>
      </c>
      <c r="M143">
        <v>0.1</v>
      </c>
      <c r="N143" s="2">
        <v>29.69012</v>
      </c>
      <c r="O143" s="2">
        <v>74.225300000000004</v>
      </c>
    </row>
    <row r="144" spans="2:15">
      <c r="B144" t="s">
        <v>256</v>
      </c>
      <c r="C144" t="s">
        <v>28</v>
      </c>
      <c r="D144" t="s">
        <v>282</v>
      </c>
      <c r="E144" t="s">
        <v>283</v>
      </c>
      <c r="F144" t="s">
        <v>12</v>
      </c>
      <c r="G144" t="s">
        <v>284</v>
      </c>
      <c r="H144" t="s">
        <v>285</v>
      </c>
      <c r="I144" t="s">
        <v>30</v>
      </c>
      <c r="J144">
        <v>588685</v>
      </c>
      <c r="K144">
        <v>115</v>
      </c>
      <c r="L144" s="2">
        <v>0.04</v>
      </c>
      <c r="M144">
        <v>0.1</v>
      </c>
      <c r="N144" s="2">
        <v>23.547400000000003</v>
      </c>
      <c r="O144" s="2">
        <v>58.868499999999997</v>
      </c>
    </row>
    <row r="145" spans="2:15">
      <c r="B145" t="s">
        <v>256</v>
      </c>
      <c r="C145" t="s">
        <v>28</v>
      </c>
      <c r="D145" t="s">
        <v>286</v>
      </c>
      <c r="E145" t="s">
        <v>287</v>
      </c>
      <c r="F145" t="s">
        <v>12</v>
      </c>
      <c r="G145" t="s">
        <v>288</v>
      </c>
      <c r="H145" t="s">
        <v>289</v>
      </c>
      <c r="I145" t="s">
        <v>30</v>
      </c>
      <c r="J145">
        <v>924223</v>
      </c>
      <c r="K145">
        <v>557</v>
      </c>
      <c r="L145" s="2">
        <v>0.04</v>
      </c>
      <c r="M145">
        <v>0.1</v>
      </c>
      <c r="N145" s="2">
        <v>36.968919999999997</v>
      </c>
      <c r="O145" s="2">
        <v>92.422300000000007</v>
      </c>
    </row>
    <row r="146" spans="2:15">
      <c r="B146" t="s">
        <v>256</v>
      </c>
      <c r="C146" t="s">
        <v>28</v>
      </c>
      <c r="D146" t="s">
        <v>290</v>
      </c>
      <c r="E146" t="s">
        <v>291</v>
      </c>
      <c r="F146" t="s">
        <v>12</v>
      </c>
      <c r="G146" t="s">
        <v>292</v>
      </c>
      <c r="H146" t="s">
        <v>293</v>
      </c>
      <c r="I146" t="s">
        <v>24</v>
      </c>
      <c r="J146">
        <v>14696</v>
      </c>
      <c r="K146">
        <v>329</v>
      </c>
      <c r="L146" s="2">
        <v>0.04</v>
      </c>
      <c r="M146">
        <v>0.1</v>
      </c>
      <c r="N146" s="2">
        <v>0.58784000000000003</v>
      </c>
      <c r="O146" s="2">
        <v>1.4696000000000002</v>
      </c>
    </row>
    <row r="147" spans="2:15">
      <c r="B147" t="s">
        <v>256</v>
      </c>
      <c r="C147" t="s">
        <v>28</v>
      </c>
      <c r="D147" t="s">
        <v>294</v>
      </c>
      <c r="E147" t="s">
        <v>295</v>
      </c>
      <c r="F147" t="s">
        <v>12</v>
      </c>
      <c r="G147" t="s">
        <v>296</v>
      </c>
      <c r="H147" t="s">
        <v>297</v>
      </c>
      <c r="I147" t="s">
        <v>24</v>
      </c>
      <c r="J147">
        <v>510428</v>
      </c>
      <c r="K147">
        <v>10741</v>
      </c>
      <c r="L147" s="2">
        <v>0.04</v>
      </c>
      <c r="M147">
        <v>0.1</v>
      </c>
      <c r="N147" s="2">
        <v>20.417120000000001</v>
      </c>
      <c r="O147" s="2">
        <v>51.0428</v>
      </c>
    </row>
    <row r="148" spans="2:15">
      <c r="B148" t="s">
        <v>256</v>
      </c>
      <c r="C148" t="s">
        <v>36</v>
      </c>
      <c r="D148" t="s">
        <v>298</v>
      </c>
      <c r="E148" t="s">
        <v>299</v>
      </c>
      <c r="F148" t="s">
        <v>12</v>
      </c>
      <c r="G148" t="s">
        <v>300</v>
      </c>
      <c r="H148" t="s">
        <v>301</v>
      </c>
      <c r="I148" t="s">
        <v>24</v>
      </c>
      <c r="J148">
        <v>14</v>
      </c>
      <c r="K148">
        <v>1</v>
      </c>
      <c r="L148" s="2">
        <v>0.04</v>
      </c>
      <c r="M148">
        <v>0.1</v>
      </c>
      <c r="N148" s="2">
        <v>5.6000000000000006E-4</v>
      </c>
      <c r="O148" s="2">
        <v>1.4000000000000002E-3</v>
      </c>
    </row>
    <row r="149" spans="2:15">
      <c r="B149" t="s">
        <v>368</v>
      </c>
      <c r="C149" t="s">
        <v>369</v>
      </c>
      <c r="D149" t="s">
        <v>528</v>
      </c>
      <c r="E149" t="s">
        <v>529</v>
      </c>
      <c r="F149" t="s">
        <v>10</v>
      </c>
      <c r="G149" t="s">
        <v>530</v>
      </c>
      <c r="H149" t="s">
        <v>531</v>
      </c>
      <c r="I149" t="s">
        <v>24</v>
      </c>
      <c r="J149">
        <v>3</v>
      </c>
      <c r="K149">
        <v>842</v>
      </c>
      <c r="L149" s="2">
        <v>3.5000000000000001E-3</v>
      </c>
      <c r="M149">
        <v>2.5000000000000001E-2</v>
      </c>
      <c r="N149" s="2">
        <v>2.9470000000000001</v>
      </c>
      <c r="O149" s="2">
        <v>21.05</v>
      </c>
    </row>
    <row r="150" spans="2:15">
      <c r="B150" t="s">
        <v>368</v>
      </c>
      <c r="C150" t="s">
        <v>369</v>
      </c>
      <c r="D150" t="s">
        <v>532</v>
      </c>
      <c r="E150" t="s">
        <v>533</v>
      </c>
      <c r="F150" t="s">
        <v>10</v>
      </c>
      <c r="G150" t="s">
        <v>534</v>
      </c>
      <c r="H150" t="s">
        <v>535</v>
      </c>
      <c r="I150" t="s">
        <v>24</v>
      </c>
      <c r="J150">
        <v>3</v>
      </c>
      <c r="K150">
        <v>17</v>
      </c>
      <c r="L150" s="2">
        <v>3.5000000000000001E-3</v>
      </c>
      <c r="M150">
        <v>2.5000000000000001E-2</v>
      </c>
      <c r="N150" s="2">
        <v>5.9500000000000004E-2</v>
      </c>
      <c r="O150" s="2">
        <v>0.42500000000000004</v>
      </c>
    </row>
    <row r="151" spans="2:15">
      <c r="B151" t="s">
        <v>368</v>
      </c>
      <c r="C151" t="s">
        <v>369</v>
      </c>
      <c r="D151" t="s">
        <v>370</v>
      </c>
      <c r="E151" t="s">
        <v>536</v>
      </c>
      <c r="F151" t="s">
        <v>10</v>
      </c>
      <c r="G151" t="s">
        <v>371</v>
      </c>
      <c r="H151" t="s">
        <v>537</v>
      </c>
      <c r="I151" t="s">
        <v>24</v>
      </c>
      <c r="J151">
        <v>0</v>
      </c>
      <c r="K151">
        <v>2</v>
      </c>
      <c r="L151" s="2">
        <v>3.5000000000000001E-3</v>
      </c>
      <c r="M151">
        <v>2.5000000000000001E-2</v>
      </c>
      <c r="N151" s="2">
        <v>7.0000000000000001E-3</v>
      </c>
      <c r="O151" s="2">
        <v>0.05</v>
      </c>
    </row>
    <row r="152" spans="2:15">
      <c r="B152" t="s">
        <v>368</v>
      </c>
      <c r="C152" t="s">
        <v>369</v>
      </c>
      <c r="D152" t="s">
        <v>372</v>
      </c>
      <c r="E152" t="s">
        <v>373</v>
      </c>
      <c r="F152" t="s">
        <v>10</v>
      </c>
      <c r="G152" t="s">
        <v>374</v>
      </c>
      <c r="H152" t="s">
        <v>375</v>
      </c>
      <c r="I152" t="s">
        <v>24</v>
      </c>
      <c r="J152">
        <v>0</v>
      </c>
      <c r="K152">
        <v>3</v>
      </c>
      <c r="L152" s="2">
        <v>3.5000000000000001E-3</v>
      </c>
      <c r="M152">
        <v>2.5000000000000001E-2</v>
      </c>
      <c r="N152" s="2">
        <v>1.0500000000000001E-2</v>
      </c>
      <c r="O152" s="2">
        <v>7.5000000000000011E-2</v>
      </c>
    </row>
    <row r="153" spans="2:15">
      <c r="B153" t="s">
        <v>368</v>
      </c>
      <c r="C153" t="s">
        <v>369</v>
      </c>
      <c r="D153" t="s">
        <v>376</v>
      </c>
      <c r="E153" t="s">
        <v>377</v>
      </c>
      <c r="F153" t="s">
        <v>10</v>
      </c>
      <c r="G153" t="s">
        <v>378</v>
      </c>
      <c r="H153" t="s">
        <v>379</v>
      </c>
      <c r="I153" t="s">
        <v>24</v>
      </c>
      <c r="J153">
        <v>0</v>
      </c>
      <c r="K153">
        <v>4</v>
      </c>
      <c r="L153" s="2">
        <v>3.5000000000000001E-3</v>
      </c>
      <c r="M153">
        <v>2.5000000000000001E-2</v>
      </c>
      <c r="N153" s="2">
        <v>1.4E-2</v>
      </c>
      <c r="O153" s="2">
        <v>0.1</v>
      </c>
    </row>
    <row r="154" spans="2:15">
      <c r="B154" t="s">
        <v>37</v>
      </c>
      <c r="C154" t="s">
        <v>28</v>
      </c>
      <c r="D154" t="s">
        <v>538</v>
      </c>
      <c r="E154" t="s">
        <v>539</v>
      </c>
      <c r="F154" t="s">
        <v>10</v>
      </c>
      <c r="G154" t="s">
        <v>540</v>
      </c>
      <c r="H154" t="s">
        <v>541</v>
      </c>
      <c r="I154" t="s">
        <v>24</v>
      </c>
      <c r="J154">
        <v>0</v>
      </c>
      <c r="K154">
        <v>1</v>
      </c>
      <c r="L154" s="2">
        <v>3.5000000000000001E-3</v>
      </c>
      <c r="M154">
        <v>2.5000000000000001E-2</v>
      </c>
      <c r="N154" s="2">
        <v>3.5000000000000001E-3</v>
      </c>
      <c r="O154" s="2">
        <v>2.5000000000000001E-2</v>
      </c>
    </row>
    <row r="155" spans="2:15">
      <c r="L155" s="2"/>
      <c r="N155" s="2"/>
      <c r="O155" s="2"/>
    </row>
    <row r="156" spans="2:15">
      <c r="L156" s="2"/>
      <c r="N156" s="2"/>
      <c r="O156" s="2"/>
    </row>
    <row r="157" spans="2:15">
      <c r="L157" s="2"/>
      <c r="N157" s="2"/>
      <c r="O157" s="2"/>
    </row>
    <row r="158" spans="2:15">
      <c r="L158" s="2"/>
      <c r="N158" s="2"/>
      <c r="O158" s="2"/>
    </row>
    <row r="159" spans="2:15">
      <c r="L159" s="2"/>
      <c r="N159" s="2"/>
      <c r="O159" s="2"/>
    </row>
    <row r="160" spans="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1:15">
      <c r="L1041" s="2"/>
      <c r="N1041" s="2"/>
      <c r="O1041" s="2"/>
    </row>
    <row r="1042" spans="11:15">
      <c r="L1042" s="2"/>
      <c r="N1042" s="2"/>
      <c r="O1042" s="2"/>
    </row>
    <row r="1043" spans="11:15">
      <c r="L1043" s="2"/>
      <c r="N1043" s="2"/>
      <c r="O1043" s="2"/>
    </row>
    <row r="1044" spans="11:15">
      <c r="L1044" s="2"/>
      <c r="N1044" s="2"/>
      <c r="O1044" s="2"/>
    </row>
    <row r="1045" spans="11:15">
      <c r="L1045" s="2"/>
      <c r="N1045" s="2"/>
      <c r="O1045" s="2"/>
    </row>
    <row r="1046" spans="11:15">
      <c r="L1046" s="2"/>
      <c r="N1046" s="2"/>
      <c r="O1046" s="2"/>
    </row>
    <row r="1047" spans="11:15">
      <c r="L1047" s="2"/>
      <c r="N1047" s="2"/>
      <c r="O1047" s="2"/>
    </row>
    <row r="1048" spans="11:15">
      <c r="L1048" s="2"/>
      <c r="N1048" s="2"/>
      <c r="O1048" s="2"/>
    </row>
    <row r="1049" spans="11:15">
      <c r="L1049" s="2"/>
      <c r="N1049" s="2"/>
      <c r="O1049" s="2"/>
    </row>
    <row r="1050" spans="11:15">
      <c r="L1050" s="2"/>
      <c r="N1050" s="2"/>
      <c r="O1050" s="2"/>
    </row>
    <row r="1051" spans="11:15">
      <c r="L1051" s="2"/>
      <c r="N1051" s="2"/>
      <c r="O1051" s="2"/>
    </row>
    <row r="1052" spans="11:15">
      <c r="L1052" s="2"/>
      <c r="N1052" s="2"/>
      <c r="O1052" s="2"/>
    </row>
    <row r="1053" spans="11:15">
      <c r="L1053" s="2"/>
      <c r="N1053" s="2"/>
      <c r="O1053" s="2"/>
    </row>
    <row r="1054" spans="11:15">
      <c r="K1054" s="3"/>
      <c r="L1054" s="2"/>
      <c r="N1054" s="2"/>
      <c r="O1054" s="2"/>
    </row>
    <row r="1055" spans="11:15">
      <c r="L1055" s="2"/>
      <c r="N1055" s="2"/>
      <c r="O1055" s="2"/>
    </row>
    <row r="1056" spans="11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</sheetData>
  <autoFilter ref="A18:P1051" xr:uid="{B50400E9-2726-47BD-BE2B-D03565512DBA}"/>
  <conditionalFormatting sqref="D18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10</vt:i4>
      </vt:variant>
    </vt:vector>
  </HeadingPairs>
  <TitlesOfParts>
    <vt:vector size="13" baseType="lpstr">
      <vt:lpstr>Valores por Campanha</vt:lpstr>
      <vt:lpstr>alp-empree-cons</vt:lpstr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2020-09-24T13:58:23Z</dcterms:modified>
</cp:coreProperties>
</file>