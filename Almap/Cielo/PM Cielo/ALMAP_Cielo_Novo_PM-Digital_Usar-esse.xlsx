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drawings/drawing2.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929"/>
  <workbookPr codeName="ThisWorkbook" defaultThemeVersion="124226"/>
  <mc:AlternateContent xmlns:mc="http://schemas.openxmlformats.org/markup-compatibility/2006">
    <mc:Choice Requires="x15">
      <x15ac:absPath xmlns:x15ac="http://schemas.microsoft.com/office/spreadsheetml/2010/11/ac" url="\\file-midia\midia$\Operacoes de Midia\AdOps\Cielo\PM Cielo\"/>
    </mc:Choice>
  </mc:AlternateContent>
  <xr:revisionPtr revIDLastSave="0" documentId="8_{A57D122C-093F-4E72-8B1B-81E607966C13}" xr6:coauthVersionLast="44" xr6:coauthVersionMax="44" xr10:uidLastSave="{00000000-0000-0000-0000-000000000000}"/>
  <bookViews>
    <workbookView xWindow="-120" yWindow="-120" windowWidth="20730" windowHeight="11160" tabRatio="752" xr2:uid="{00000000-000D-0000-FFFF-FFFF00000000}"/>
  </bookViews>
  <sheets>
    <sheet name="Peças" sheetId="10" r:id="rId1"/>
    <sheet name="Base Especificacões" sheetId="1" state="hidden" r:id="rId2"/>
    <sheet name="Specs_Natives_Verizon" sheetId="7" r:id="rId3"/>
    <sheet name="Specs_Twitter" sheetId="27" r:id="rId4"/>
    <sheet name="Dados_base" sheetId="2" state="hidden" r:id="rId5"/>
  </sheets>
  <definedNames>
    <definedName name="_xlnm._FilterDatabase" localSheetId="1" hidden="1">'Base Especificacões'!$A$11:$U$171</definedName>
    <definedName name="_xlnm._FilterDatabase" localSheetId="0" hidden="1">Peças!$A$11:$AB$43</definedName>
  </definedNames>
  <calcPr calcId="191029"/>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AB13" i="10" l="1"/>
  <c r="AB14" i="10"/>
  <c r="AB15" i="10"/>
  <c r="AB16" i="10"/>
  <c r="AB17" i="10"/>
  <c r="AB18" i="10"/>
  <c r="AB19" i="10"/>
  <c r="AB20" i="10"/>
  <c r="AB21" i="10"/>
  <c r="AB22" i="10"/>
  <c r="AB23" i="10"/>
  <c r="AB24" i="10"/>
  <c r="AB25" i="10"/>
  <c r="AB26" i="10"/>
  <c r="AB27" i="10"/>
  <c r="AB28" i="10"/>
  <c r="AB29" i="10"/>
  <c r="AB30" i="10"/>
  <c r="AB31" i="10"/>
  <c r="AB32" i="10"/>
  <c r="AB33" i="10"/>
  <c r="AB34" i="10"/>
  <c r="AB35" i="10"/>
  <c r="AB36" i="10"/>
  <c r="AB37" i="10"/>
  <c r="AB38" i="10"/>
  <c r="AB39" i="10"/>
  <c r="AB40" i="10"/>
  <c r="AB41" i="10"/>
  <c r="AB42" i="10"/>
  <c r="AB43" i="10"/>
  <c r="AB12" i="10"/>
  <c r="AD12" i="10" s="1"/>
  <c r="U171" i="1" l="1"/>
  <c r="U170" i="1"/>
  <c r="U169" i="1"/>
  <c r="U168" i="1"/>
  <c r="U167" i="1"/>
  <c r="U166" i="1"/>
  <c r="U165" i="1"/>
  <c r="U164" i="1"/>
  <c r="U163" i="1"/>
  <c r="U162" i="1"/>
  <c r="U161" i="1"/>
  <c r="U160" i="1"/>
  <c r="U159" i="1"/>
  <c r="U158" i="1"/>
  <c r="U157" i="1"/>
  <c r="U156" i="1"/>
  <c r="U155" i="1"/>
  <c r="U154" i="1"/>
  <c r="U153" i="1"/>
  <c r="U152" i="1"/>
  <c r="U151" i="1"/>
  <c r="U150" i="1"/>
  <c r="U149" i="1"/>
  <c r="U148" i="1"/>
  <c r="U147"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tc={E0F36A7D-0CCE-4307-A5E3-CEEB12186263}</author>
  </authors>
  <commentList>
    <comment ref="S5" authorId="0" shapeId="0" xr:uid="{E0F36A7D-0CCE-4307-A5E3-CEEB12186263}">
      <text>
        <t>[Comentário encadeado]
Sua versão do Excel permite que você leia este comentário encadeado, no entanto, as edições serão removidas se o arquivo for aberto em uma versão mais recente do Excel. Saiba mais: https://go.microsoft.com/fwlink/?linkid=870924
Comentário:
    Tem que ser preenchido igual está vai ficar no ADP</t>
      </text>
    </comment>
  </commentList>
</comments>
</file>

<file path=xl/sharedStrings.xml><?xml version="1.0" encoding="utf-8"?>
<sst xmlns="http://schemas.openxmlformats.org/spreadsheetml/2006/main" count="3168" uniqueCount="356">
  <si>
    <t>INSTRUÇÕES</t>
  </si>
  <si>
    <t>Cliente</t>
  </si>
  <si>
    <t>cielo</t>
  </si>
  <si>
    <t>Os arquivos de cada peça devem estar zipados na raiz da pasta principal.</t>
  </si>
  <si>
    <t>Campanha</t>
  </si>
  <si>
    <t>Alguns sites consideram o peso de bibliotecas externas como parte do peso da peça. Verifique com o portal.</t>
  </si>
  <si>
    <t>Backup</t>
  </si>
  <si>
    <t>Banner</t>
  </si>
  <si>
    <t>Data da Solicitação</t>
  </si>
  <si>
    <t>Status</t>
  </si>
  <si>
    <t>Flight</t>
  </si>
  <si>
    <t>Site</t>
  </si>
  <si>
    <t>Plataforma</t>
  </si>
  <si>
    <t>Click tag</t>
  </si>
  <si>
    <t>Tipo de peça</t>
  </si>
  <si>
    <t>Linha Criativa</t>
  </si>
  <si>
    <t>Ad /Line Item/ Group</t>
  </si>
  <si>
    <t>Formato ( Por Extenso)</t>
  </si>
  <si>
    <t>Dimensão - Fechado</t>
  </si>
  <si>
    <t>Dimensão - Expandido</t>
  </si>
  <si>
    <t>Peso</t>
  </si>
  <si>
    <t>Tempo de Animação</t>
  </si>
  <si>
    <t>Looping</t>
  </si>
  <si>
    <t>Arquivos Aceitos</t>
  </si>
  <si>
    <t>Extensão ( Video)</t>
  </si>
  <si>
    <t>Observações Gerais</t>
  </si>
  <si>
    <t>Nomenclatura das Peças</t>
  </si>
  <si>
    <t>portal</t>
  </si>
  <si>
    <t>-</t>
  </si>
  <si>
    <t>sim</t>
  </si>
  <si>
    <t>adserver</t>
  </si>
  <si>
    <t>DBM</t>
  </si>
  <si>
    <t>.JPG</t>
  </si>
  <si>
    <t>MP4</t>
  </si>
  <si>
    <t>Adserver (DCM)</t>
  </si>
  <si>
    <t>Template/ Clicktag</t>
  </si>
  <si>
    <t>Ad/Line Item/ Group</t>
  </si>
  <si>
    <t>Formato</t>
  </si>
  <si>
    <t>Dimensão - Aberto</t>
  </si>
  <si>
    <t>Peso ( Backup)</t>
  </si>
  <si>
    <t>Tempos de Animação</t>
  </si>
  <si>
    <t>Loop</t>
  </si>
  <si>
    <t>Extensão do Video</t>
  </si>
  <si>
    <t>nomenclatura da peça</t>
  </si>
  <si>
    <t>obs</t>
  </si>
  <si>
    <t>HTML</t>
  </si>
  <si>
    <t>.AVI</t>
  </si>
  <si>
    <t>.GIF</t>
  </si>
  <si>
    <t>.MOV</t>
  </si>
  <si>
    <t>Video</t>
  </si>
  <si>
    <t>PDF</t>
  </si>
  <si>
    <t>Para dúvidas entre em contato com adops@almapbbdo.com.br</t>
  </si>
  <si>
    <t>Produto</t>
  </si>
  <si>
    <t xml:space="preserve">a receber </t>
  </si>
  <si>
    <t>awareness</t>
  </si>
  <si>
    <t>video</t>
  </si>
  <si>
    <t>institucional</t>
  </si>
  <si>
    <t>aw_ins_nova-cielo</t>
  </si>
  <si>
    <t>Masthead</t>
  </si>
  <si>
    <t>MP4 ou MOV</t>
  </si>
  <si>
    <t>1920x1080</t>
  </si>
  <si>
    <t xml:space="preserve"> - Capa e Logo do canal da marca no YT precisam estar de acordo com a comunicação da campanha.
-  Enviar URL do vídeo para mídia.
- O cliente precisa enviar o vídeo do bloco de anúncios ao YouTube e usar o URL da página de exibição na ferramenta de visualização do masthead de vídeo.
- O vídeo não pode ser privado.
- Para garantir a renderização e o corte adequados do masthead de vídeo, recomendamos o uso de vídeos com proporção de 16:9 e a melhor resolução possível.
- A arte do canal, se houver, deve sempre respeitar a área de segurança para textos e logotipos
- A miniatura do vídeo em destaque no masthead de vídeo para dispositivos móveis pode ser configurada. Além disso, as miniaturas personalizadas são suportadas por meio das configurações de vídeo do YouTube. Ao personalizar a miniatura, deixe 5% de espaço em branco de cada lado dela e evite colocar informações importantes, como logotipos e textos, muito perto das bordas, pois elas podem ser cortadas em aplicativos para iOS.
Esoecificações mobile: https://support.google.com/displayspecs/answer/6245121
https://support.google.com/youtube/answer/4603579?hl=pt-BR</t>
  </si>
  <si>
    <t xml:space="preserve"> - Capa e Logo do canal da marca no YT precisam estar de acordo com a comunicação da campanha.
-  Enviar URL do vídeo para mídia.
- O cliente precisa enviar o vídeo do bloco de anúncios ao YouTube e usar o URL da página de exibição na ferramenta de visualização do masthead de vídeo.
- O vídeo não pode ser privado.
- Para garantir a renderização e o corte adequados do masthead de vídeo, recomendamos o uso de vídeos com proporção de 16:9 e a melhor resolução possível.
- A arte do canal, se houver, deve sempre respeitar a área de segurança para textos e logotipos
Especificações desktop: https://support.google.com/displayspecs/answer/6245253
https://support.google.com/youtube/answer/4603579?hl=pt-BR</t>
  </si>
  <si>
    <t>Nova Cielo</t>
  </si>
  <si>
    <t>Awareness</t>
  </si>
  <si>
    <t>DV360</t>
  </si>
  <si>
    <t>animado</t>
  </si>
  <si>
    <t>Institucional</t>
  </si>
  <si>
    <t>retangulo_medio</t>
  </si>
  <si>
    <t>300x250</t>
  </si>
  <si>
    <t>50kb</t>
  </si>
  <si>
    <t>100kb</t>
  </si>
  <si>
    <t>15s</t>
  </si>
  <si>
    <t>JPG e HTML</t>
  </si>
  <si>
    <t>Skyscraper</t>
  </si>
  <si>
    <t>300x600</t>
  </si>
  <si>
    <t>large_mobile_banner</t>
  </si>
  <si>
    <t>320x100</t>
  </si>
  <si>
    <t>40kb</t>
  </si>
  <si>
    <t>150kb</t>
  </si>
  <si>
    <t>mobile_leaderboard</t>
  </si>
  <si>
    <t>320x50</t>
  </si>
  <si>
    <t>leaderboard</t>
  </si>
  <si>
    <t>728x90</t>
  </si>
  <si>
    <t>Facebook</t>
  </si>
  <si>
    <t>estático</t>
  </si>
  <si>
    <t>page_post</t>
  </si>
  <si>
    <t>1200x628</t>
  </si>
  <si>
    <t>40Kb</t>
  </si>
  <si>
    <t>150Kb</t>
  </si>
  <si>
    <t>JPG e PNG</t>
  </si>
  <si>
    <t>Texto: 125 caracteres
Título: 25 caracteres
Descrição do link: 30 caracteres</t>
  </si>
  <si>
    <t>648x648</t>
  </si>
  <si>
    <t>stories</t>
  </si>
  <si>
    <t>adsmovil</t>
  </si>
  <si>
    <t>estatico</t>
  </si>
  <si>
    <t>standard_banner</t>
  </si>
  <si>
    <t>JPG</t>
  </si>
  <si>
    <t>push_notification</t>
  </si>
  <si>
    <t>arranha_ceu</t>
  </si>
  <si>
    <t>120x600</t>
  </si>
  <si>
    <t>verizon</t>
  </si>
  <si>
    <t>afilio</t>
  </si>
  <si>
    <t>arroba</t>
  </si>
  <si>
    <t>billboard</t>
  </si>
  <si>
    <t>970x250</t>
  </si>
  <si>
    <t>fullbanner</t>
  </si>
  <si>
    <t>468x60</t>
  </si>
  <si>
    <t>retangulo_grande</t>
  </si>
  <si>
    <t>336x280</t>
  </si>
  <si>
    <t>super_banner</t>
  </si>
  <si>
    <t>xtmedia</t>
  </si>
  <si>
    <t>pre-roll</t>
  </si>
  <si>
    <t>1280x720</t>
  </si>
  <si>
    <t>até 100 MB</t>
  </si>
  <si>
    <t>MP4, MPEG OU MOV</t>
  </si>
  <si>
    <t>GIF,JPG,PGN OU HTML5</t>
  </si>
  <si>
    <t>in loco</t>
  </si>
  <si>
    <t>small_banner</t>
  </si>
  <si>
    <t xml:space="preserve">Frequencia </t>
  </si>
  <si>
    <t>fre_ins_nova-cielo</t>
  </si>
  <si>
    <t>960x150</t>
  </si>
  <si>
    <t xml:space="preserve">até 450 kb </t>
  </si>
  <si>
    <t>PNG, JPG ou GIF</t>
  </si>
  <si>
    <t>medium_rectangle</t>
  </si>
  <si>
    <t>900x750</t>
  </si>
  <si>
    <t xml:space="preserve">native </t>
  </si>
  <si>
    <t>1200x627</t>
  </si>
  <si>
    <t xml:space="preserve">Interstitial </t>
  </si>
  <si>
    <t>1440x960 (horizontal)</t>
  </si>
  <si>
    <t>432x432 (Icone)</t>
  </si>
  <si>
    <t xml:space="preserve">960x1440 </t>
  </si>
  <si>
    <t>600x600</t>
  </si>
  <si>
    <t>carrossel</t>
  </si>
  <si>
    <t>1080x1080</t>
  </si>
  <si>
    <t>30 mb</t>
  </si>
  <si>
    <t>Número minimo de cartões 2</t>
  </si>
  <si>
    <t>video_ad</t>
  </si>
  <si>
    <t>1350x1080</t>
  </si>
  <si>
    <t>Até 240 min</t>
  </si>
  <si>
    <t xml:space="preserve">sim </t>
  </si>
  <si>
    <t xml:space="preserve">canvas </t>
  </si>
  <si>
    <t>Segmentação</t>
  </si>
  <si>
    <t>seg_ins_nova-cielo</t>
  </si>
  <si>
    <t>Infomoney</t>
  </si>
  <si>
    <t>testeira</t>
  </si>
  <si>
    <t>arroba_ banner</t>
  </si>
  <si>
    <t>half Page</t>
  </si>
  <si>
    <t xml:space="preserve">arroba_ video </t>
  </si>
  <si>
    <t xml:space="preserve">leaderboard </t>
  </si>
  <si>
    <t xml:space="preserve">lightbox </t>
  </si>
  <si>
    <t>Enviar ZIP contendo um arquivo .html
(index.html), .js .css, imagens, vídeos, áudio e demais elementos que
compõem a animação, já produzida e com todos os arquivos já hospedados.</t>
  </si>
  <si>
    <t>640x480</t>
  </si>
  <si>
    <t>1024x768</t>
  </si>
  <si>
    <t>pre-roll mobile</t>
  </si>
  <si>
    <t>Twitter</t>
  </si>
  <si>
    <t>promoted_trend</t>
  </si>
  <si>
    <t>websitecard_ video</t>
  </si>
  <si>
    <t>16x9</t>
  </si>
  <si>
    <t>até 1GB</t>
  </si>
  <si>
    <t>Título (abaixo do vídeo): 70 caracteres (é recomendável usar &lt; 50)</t>
  </si>
  <si>
    <t>seg_ins_minizip</t>
  </si>
  <si>
    <t>seg_ins_mob</t>
  </si>
  <si>
    <t>seg_ins_zip</t>
  </si>
  <si>
    <t>seg_ins_flash</t>
  </si>
  <si>
    <t>1170x120</t>
  </si>
  <si>
    <t>até 200kb</t>
  </si>
  <si>
    <t>PNG</t>
  </si>
  <si>
    <t xml:space="preserve"> até 150Kb</t>
  </si>
  <si>
    <t xml:space="preserve">  até 200kb</t>
  </si>
  <si>
    <t xml:space="preserve">  até100kb</t>
  </si>
  <si>
    <t xml:space="preserve"> até 200kb</t>
  </si>
  <si>
    <t xml:space="preserve">  até 100kb</t>
  </si>
  <si>
    <t>Sua música</t>
  </si>
  <si>
    <t>1900x1000</t>
  </si>
  <si>
    <t>até 1MB</t>
  </si>
  <si>
    <t xml:space="preserve">JPG </t>
  </si>
  <si>
    <t xml:space="preserve">Texto permitido quando incorporado em imagem </t>
  </si>
  <si>
    <t>slide_principal</t>
  </si>
  <si>
    <t>780x430</t>
  </si>
  <si>
    <t>até 100kb</t>
  </si>
  <si>
    <t>500x500</t>
  </si>
  <si>
    <t>até 300kb</t>
  </si>
  <si>
    <t xml:space="preserve">intersttitial </t>
  </si>
  <si>
    <t>320x480</t>
  </si>
  <si>
    <t>até 150kb</t>
  </si>
  <si>
    <t>JPG,PNG,GIF</t>
  </si>
  <si>
    <t>Tipo de arquivo (APP) JPG,PNG,GIF,HTML5 ou Tag Mraide</t>
  </si>
  <si>
    <t>half_page</t>
  </si>
  <si>
    <t>até 50 kb</t>
  </si>
  <si>
    <t>TAG, JPG,PNG ou GIF</t>
  </si>
  <si>
    <t>10 s</t>
  </si>
  <si>
    <t>970x90</t>
  </si>
  <si>
    <t>mobile_banner</t>
  </si>
  <si>
    <t>até 50kb</t>
  </si>
  <si>
    <t xml:space="preserve">Necessário imagem de backup </t>
  </si>
  <si>
    <t>mobile_retangulomedio</t>
  </si>
  <si>
    <t xml:space="preserve">mobile_intersttitial </t>
  </si>
  <si>
    <t>pre_roll_30''</t>
  </si>
  <si>
    <t>até 15 MB</t>
  </si>
  <si>
    <t>Até 30s</t>
  </si>
  <si>
    <t xml:space="preserve">não </t>
  </si>
  <si>
    <t>TAG VAST ou VIDEO.MP4</t>
  </si>
  <si>
    <t>audio</t>
  </si>
  <si>
    <t>imagem_audioads</t>
  </si>
  <si>
    <t>até 64kb</t>
  </si>
  <si>
    <t>audio_ads</t>
  </si>
  <si>
    <t>até 2MB</t>
  </si>
  <si>
    <t>MP3/TAG VAST - IN-STREAM ÁUDIO</t>
  </si>
  <si>
    <t>Tempo minimo de audio 22 segundos</t>
  </si>
  <si>
    <t>mp3</t>
  </si>
  <si>
    <t>interstitial</t>
  </si>
  <si>
    <t>JPG,GIF,GIF ANIMADO</t>
  </si>
  <si>
    <t>Gif animado no máximo 3 loops</t>
  </si>
  <si>
    <t>native_quadrado</t>
  </si>
  <si>
    <t xml:space="preserve">648x648 </t>
  </si>
  <si>
    <t>JPG ou HTML</t>
  </si>
  <si>
    <t>native_retangulo</t>
  </si>
  <si>
    <t>360x480</t>
  </si>
  <si>
    <t>video_instantplay</t>
  </si>
  <si>
    <t>até 10MB</t>
  </si>
  <si>
    <t>H264,MOV e MP4</t>
  </si>
  <si>
    <t>30 segundos</t>
  </si>
  <si>
    <t>youtube</t>
  </si>
  <si>
    <t>trueview_discovery</t>
  </si>
  <si>
    <t>640x360</t>
  </si>
  <si>
    <t>AVI,ASF,MP4 ou MEPG</t>
  </si>
  <si>
    <t>Codec de vídeo recomendado: H.264, MPEG-2 ou MPEG-4
Codec de áudio recomendado: MP3 ou AAC</t>
  </si>
  <si>
    <t>trueview_instream</t>
  </si>
  <si>
    <t>Informações na aba specs trueview</t>
  </si>
  <si>
    <t>google ads</t>
  </si>
  <si>
    <t>responsive_ads</t>
  </si>
  <si>
    <t>600x314</t>
  </si>
  <si>
    <t>300x300</t>
  </si>
  <si>
    <t>128x128</t>
  </si>
  <si>
    <t>blast_lançamento</t>
  </si>
  <si>
    <t>blast_blackfriday</t>
  </si>
  <si>
    <t>até 200MB</t>
  </si>
  <si>
    <t>MOV,FLV,MPEG4,AVI,</t>
  </si>
  <si>
    <t xml:space="preserve">Proporção da imagem: 16:9 (4:3 não é suportado)
Codec:qualquer formato de vídeo Codecs, exceto ProRes4444, HDV
720p60, Go2 Meeting 3 &amp; 4, ER AAC LD, REDCODE
Som:on
</t>
  </si>
  <si>
    <t>https://www.facebook.com/business/help/183469315334462</t>
  </si>
  <si>
    <t>canvas</t>
  </si>
  <si>
    <t>background -imagem de fundo</t>
  </si>
  <si>
    <t>background -topo home</t>
  </si>
  <si>
    <t>1200x320</t>
  </si>
  <si>
    <t>background_laterais home</t>
  </si>
  <si>
    <t>350x890</t>
  </si>
  <si>
    <t>background_topo pág internas</t>
  </si>
  <si>
    <t>1200x200</t>
  </si>
  <si>
    <t xml:space="preserve">Até 17 caracteres. Não utilizar caracteres especiais além da #. Acentos ( ~^') conforme as regras da gramática são aceitos. Não são permitidas hashtags com todas as letras em caixa alta, apenas a primeira letra de cada palavra.
Envio: Deve ser enviada por e-mail para nós até 24h antes da diária, respondendo a este email. A programação é feita internamente pelo Twitter.
</t>
  </si>
  <si>
    <t xml:space="preserve"> </t>
  </si>
  <si>
    <t>native_ads</t>
  </si>
  <si>
    <t>GIF,JPG OU PNG</t>
  </si>
  <si>
    <t>627x627</t>
  </si>
  <si>
    <t>82x82</t>
  </si>
  <si>
    <t>GIF</t>
  </si>
  <si>
    <t>640x80</t>
  </si>
  <si>
    <t>MP4,M4V OU MOV</t>
  </si>
  <si>
    <t>Especificações large image (informações de texto na aba specs_native_verizon)</t>
  </si>
  <si>
    <t>Especificações basic image (informações de texto na aba specs_native_verizon)</t>
  </si>
  <si>
    <t>Especificações basic image (GIF) (informações de texto na aba specs_native_verizon)</t>
  </si>
  <si>
    <t>Especificações video (informações de texto na aba specs_native_verizon)</t>
  </si>
  <si>
    <t>spotify</t>
  </si>
  <si>
    <t>audio + Companion Banner</t>
  </si>
  <si>
    <t>Especificações completas na ana spec_spotify</t>
  </si>
  <si>
    <t>bla_ins_nova-cielo</t>
  </si>
  <si>
    <t>1200x1200</t>
  </si>
  <si>
    <t>1200x300</t>
  </si>
  <si>
    <t>512x128</t>
  </si>
  <si>
    <t>até 5MB</t>
  </si>
  <si>
    <t xml:space="preserve">Responsável </t>
  </si>
  <si>
    <t>Prazo Mídia</t>
  </si>
  <si>
    <t>Data entrega</t>
  </si>
  <si>
    <t>Site das especs</t>
  </si>
  <si>
    <t>https://support.google.com/google-ads/answer/1722096?hl=pt-BR</t>
  </si>
  <si>
    <t>Status Mídia
(subiu ou não?)</t>
  </si>
  <si>
    <t>a receber</t>
  </si>
  <si>
    <t>160x600</t>
  </si>
  <si>
    <t>https://br.adspecs.verizonmedia.com/adformats/displayads/160x600-skyscraper/</t>
  </si>
  <si>
    <t>https://br.adspecs.verizonmedia.com/adformats/displayads/300x600-half-page/</t>
  </si>
  <si>
    <t>https://br.adspecs.verizonmedia.com/adformats/displayads/300x250-medium-rectangle/</t>
  </si>
  <si>
    <t>https://br.adspecs.verizonmedia.com/adformats/displayads/728x90-leaderboard/</t>
  </si>
  <si>
    <t>160x600 Skyscraper</t>
  </si>
  <si>
    <t>300x600 Half Page</t>
  </si>
  <si>
    <t>300x250 Medium Rectangle</t>
  </si>
  <si>
    <t>728x90 Leaderboard</t>
  </si>
  <si>
    <t>320x50 Mobile Banner</t>
  </si>
  <si>
    <t>Logo
Especificações basic image (GIF) (informações de texto na aba specs_native_verizon)</t>
  </si>
  <si>
    <t>Cielo</t>
  </si>
  <si>
    <t>180X180</t>
  </si>
  <si>
    <t>Lucas/ Pet</t>
  </si>
  <si>
    <t>Halfpage</t>
  </si>
  <si>
    <t>200kb</t>
  </si>
  <si>
    <t>250kb</t>
  </si>
  <si>
    <t>https://br.adspecs.verizonmedia.com/adformats/displayads/970x250-billboard/</t>
  </si>
  <si>
    <t>https://www.facebook.com/business/ads-guide/carousel</t>
  </si>
  <si>
    <t>https://www.facebook.com/business/ads-guide/image</t>
  </si>
  <si>
    <t>aw_ins_movimenta_corona-voucher</t>
  </si>
  <si>
    <t>960x540</t>
  </si>
  <si>
    <t>Resolução</t>
  </si>
  <si>
    <t>30s</t>
  </si>
  <si>
    <t>MP4  (recommended).  MOV, or raw AVI also accepted.</t>
  </si>
  <si>
    <t>Video Frame Rate: 30 fps or 29.97 fps.
Audio Bitrate: 128 kbps minimum.
Audio Codec: AAC / MP3 / MP4.
Auto Play Video Duration: 30s maximum. If users interact with the Ad Creative, the ad can remain open beyond 30s, but users must be given an option to return to editorial content.
User Initiated Video Duration: Longer than 15s permitted if triggered by user interaction (i.e. click or touch).
If MP4 or WebM files are not available or within spec, Verizon Media will transcode available source files to maximize browser and device compatibility.
Minimum Required Controls: Play / Pause, Mute / Unmute.</t>
  </si>
  <si>
    <t>https://br.adspecs.verizonmedia.com/adformats/videoads/pre-roll-skippable/</t>
  </si>
  <si>
    <t>videoad</t>
  </si>
  <si>
    <t>até 4MB</t>
  </si>
  <si>
    <t>.MP4 e .MOV</t>
  </si>
  <si>
    <t>Texto: 125 caracteres | Título: 25 caracteres | Descrição do link: 30 caracteres</t>
  </si>
  <si>
    <t>stories - animado</t>
  </si>
  <si>
    <t>https://www.facebook.com/business/ads-guide/video</t>
  </si>
  <si>
    <t xml:space="preserve">stories </t>
  </si>
  <si>
    <t>https://www.facebook.com/business/ads-guide/video/instagram-story</t>
  </si>
  <si>
    <t>1080x1920</t>
  </si>
  <si>
    <t>page-post-quadrado</t>
  </si>
  <si>
    <t>google-ads</t>
  </si>
  <si>
    <t>trueview</t>
  </si>
  <si>
    <t>640 x 360</t>
  </si>
  <si>
    <t>Até 1 GB</t>
  </si>
  <si>
    <t>AVI,  MP4 ou MPEG</t>
  </si>
  <si>
    <t>Frame rate: 30 QPS</t>
  </si>
  <si>
    <t>https://support.google.com/displayspecs/answer/6227733?hl=pt-BR</t>
  </si>
  <si>
    <t>Linkedin</t>
  </si>
  <si>
    <t>1080 x 1080</t>
  </si>
  <si>
    <t>Até 10 Mb</t>
  </si>
  <si>
    <t>JPG ou PNG</t>
  </si>
  <si>
    <t>Dê um nome para este anúncio: use até 255 caracteres no nome do seu anúncio em carrossel.
Texto introdutório: utilize até 150 caracteres para evitar que o texto seja truncado em alguns dispositivos (máximo de 255 caracteres).
Cartões: use no mínimo dois e no máximo dez cartões. Requisitos para cartões individuais dentro do carrossel</t>
  </si>
  <si>
    <t>https://www.linkedin.com/help/lms/answer/94099/anuncios-de-imagem-em-carrossel-especificacoes-para-anuncios?lang=pt</t>
  </si>
  <si>
    <t>entre 75 KB e 200 MB</t>
  </si>
  <si>
    <t>Título:até 255 caracteres no nome do anúncio em vídeo | Texto: até 600 caracteres no texto de apresentação.</t>
  </si>
  <si>
    <t>https://www.linkedin.com/help/lms/answer/94181/anuncios-em-video-especificacoes-de-publicidade?lang=pt</t>
  </si>
  <si>
    <t>twitter</t>
  </si>
  <si>
    <t>website-card</t>
  </si>
  <si>
    <t>800 x 800</t>
  </si>
  <si>
    <t>Até 3MB</t>
  </si>
  <si>
    <t>PNG e JPEG</t>
  </si>
  <si>
    <t>Conteúdo de texto do Tweet: 280 caracteres
Tamanho do título do website: 70 caracteres</t>
  </si>
  <si>
    <t>https://business.twitter.com/pt/help/campaign-setup/advertiser-card-specifications.html</t>
  </si>
  <si>
    <t>website-card-video</t>
  </si>
  <si>
    <t>até 30MB</t>
  </si>
  <si>
    <t>Legendas: recomendamos enfaticamente o uso de legendas ocultas ou sobreposições de texto
Miniatura: Arquivos compatíveis: PNG ou JPEG
Taxa de proporção: é recomendável corresponder ao tamanho do vídeo
Tamanho máximo: 5 MB</t>
  </si>
  <si>
    <t>sponcered content</t>
  </si>
  <si>
    <t xml:space="preserve">Título: Use até 70 caracteres para evitar truncação (200 caracteres máximos).
Descrição : Use aproximadamente 100 caracteres para evitar truncação (300 caracteres máximos). Esta limitação de caracteres pode variar para anúncios exibidos em sites de terceiros através da LinkedIn Audience Network.
</t>
  </si>
  <si>
    <t>https://www.linkedin.com/help/lms/answer/111093</t>
  </si>
  <si>
    <t>1440 x 1080; largura 1920 x 1080</t>
  </si>
  <si>
    <t>1080px</t>
  </si>
  <si>
    <t>Movimenta - Corona Voucher</t>
  </si>
  <si>
    <t>covid19-in_market-medium_rectangle-300x250-marca-cpm-institucional_corona-tag</t>
  </si>
  <si>
    <t>Segmentação Macro</t>
  </si>
  <si>
    <t>marca</t>
  </si>
  <si>
    <t>Tipo de Compra</t>
  </si>
  <si>
    <t>CPM</t>
  </si>
  <si>
    <t>institucional_corona</t>
  </si>
  <si>
    <t>Covid19</t>
  </si>
  <si>
    <t>in_market</t>
  </si>
  <si>
    <t>Campanha ADP</t>
  </si>
  <si>
    <t>Lembrando que a separação das palavras dentro da célula tem que usar o "_" nunca o hífen!!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</si>
</sst>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
  </numFmts>
  <fonts count="23" x14ac:knownFonts="1">
    <font>
      <sz val="10"/>
      <color rgb="FF000000"/>
      <name val="Calibri"/>
    </font>
    <font>
      <sz val="11"/>
      <color theme="1"/>
      <name val="Calibri"/>
      <family val="2"/>
      <scheme val="minor"/>
    </font>
    <font>
      <sz val="11"/>
      <color theme="1"/>
      <name val="Calibri"/>
      <family val="2"/>
      <scheme val="minor"/>
    </font>
    <font>
      <sz val="10"/>
      <color rgb="FF000080"/>
      <name val="Calibri"/>
      <family val="2"/>
    </font>
    <font>
      <sz val="10"/>
      <color rgb="FFFFFFFF"/>
      <name val="Calibri"/>
      <family val="2"/>
    </font>
    <font>
      <sz val="10"/>
      <name val="Arial"/>
      <family val="2"/>
    </font>
    <font>
      <sz val="10"/>
      <color rgb="FF000000"/>
      <name val="Calibri"/>
      <family val="2"/>
    </font>
    <font>
      <b/>
      <sz val="10"/>
      <color rgb="FF000000"/>
      <name val="Calibri"/>
      <family val="2"/>
    </font>
    <font>
      <b/>
      <sz val="10"/>
      <color theme="0"/>
      <name val="Calibri"/>
      <family val="2"/>
    </font>
    <font>
      <b/>
      <sz val="10"/>
      <color rgb="FFFFFFFF"/>
      <name val="Calibri"/>
      <family val="2"/>
    </font>
    <font>
      <b/>
      <sz val="11"/>
      <color rgb="FF000000"/>
      <name val="Calibri"/>
      <family val="2"/>
    </font>
    <font>
      <sz val="11"/>
      <color rgb="FF000000"/>
      <name val="Calibri"/>
      <family val="2"/>
    </font>
    <font>
      <sz val="10"/>
      <name val="Calibri"/>
      <family val="2"/>
      <scheme val="minor"/>
    </font>
    <font>
      <b/>
      <sz val="10"/>
      <name val="Calibri"/>
      <family val="2"/>
    </font>
    <font>
      <sz val="10"/>
      <name val="Calibri"/>
      <family val="2"/>
    </font>
    <font>
      <u/>
      <sz val="10"/>
      <color theme="10"/>
      <name val="Calibri"/>
      <family val="2"/>
    </font>
    <font>
      <u/>
      <sz val="9"/>
      <color theme="10"/>
      <name val="Calibri"/>
      <family val="2"/>
      <scheme val="minor"/>
    </font>
    <font>
      <sz val="10"/>
      <color theme="1"/>
      <name val="Calibri"/>
      <family val="2"/>
    </font>
    <font>
      <sz val="33"/>
      <name val="Arial"/>
      <family val="2"/>
    </font>
    <font>
      <sz val="10"/>
      <color rgb="FF000000"/>
      <name val="Arial"/>
      <family val="2"/>
    </font>
    <font>
      <b/>
      <sz val="10"/>
      <color rgb="FF000000"/>
      <name val="Arial"/>
      <family val="2"/>
    </font>
    <font>
      <sz val="9"/>
      <color indexed="81"/>
      <name val="Segoe UI"/>
      <family val="2"/>
    </font>
    <font>
      <sz val="10"/>
      <color rgb="FFFF0000"/>
      <name val="Calibri"/>
      <family val="2"/>
    </font>
  </fonts>
  <fills count="16">
    <fill>
      <patternFill patternType="none"/>
    </fill>
    <fill>
      <patternFill patternType="gray125"/>
    </fill>
    <fill>
      <patternFill patternType="solid">
        <fgColor theme="1"/>
        <bgColor indexed="64"/>
      </patternFill>
    </fill>
    <fill>
      <patternFill patternType="solid">
        <fgColor theme="0"/>
        <bgColor indexed="64"/>
      </patternFill>
    </fill>
    <fill>
      <patternFill patternType="solid">
        <fgColor theme="0" tint="-0.249977111117893"/>
        <bgColor rgb="FF000000"/>
      </patternFill>
    </fill>
    <fill>
      <patternFill patternType="solid">
        <fgColor theme="0" tint="-0.499984740745262"/>
        <bgColor rgb="FF000000"/>
      </patternFill>
    </fill>
    <fill>
      <patternFill patternType="solid">
        <fgColor theme="0"/>
        <bgColor rgb="FF000000"/>
      </patternFill>
    </fill>
    <fill>
      <patternFill patternType="solid">
        <fgColor theme="4"/>
        <bgColor rgb="FF000000"/>
      </patternFill>
    </fill>
    <fill>
      <patternFill patternType="solid">
        <fgColor theme="4"/>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9" tint="0.79998168889431442"/>
        <bgColor rgb="FF000000"/>
      </patternFill>
    </fill>
    <fill>
      <patternFill patternType="solid">
        <fgColor theme="9" tint="-0.249977111117893"/>
        <bgColor indexed="64"/>
      </patternFill>
    </fill>
    <fill>
      <patternFill patternType="solid">
        <fgColor rgb="FFFF0000"/>
        <bgColor indexed="64"/>
      </patternFill>
    </fill>
    <fill>
      <patternFill patternType="solid">
        <fgColor theme="9" tint="0.39997558519241921"/>
        <bgColor indexed="64"/>
      </patternFill>
    </fill>
    <fill>
      <patternFill patternType="solid">
        <fgColor rgb="FFFFFF00"/>
        <bgColor indexed="64"/>
      </patternFill>
    </fill>
  </fills>
  <borders count="19">
    <border>
      <left/>
      <right/>
      <top/>
      <bottom/>
      <diagonal/>
    </border>
    <border>
      <left style="medium">
        <color rgb="FF000000"/>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bottom/>
      <diagonal/>
    </border>
    <border>
      <left/>
      <right/>
      <top/>
      <bottom style="thin">
        <color indexed="64"/>
      </bottom>
      <diagonal/>
    </border>
    <border>
      <left/>
      <right/>
      <top/>
      <bottom style="medium">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style="thin">
        <color indexed="64"/>
      </right>
      <top/>
      <bottom/>
      <diagonal/>
    </border>
    <border>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s>
  <cellStyleXfs count="7">
    <xf numFmtId="0" fontId="0" fillId="0" borderId="0"/>
    <xf numFmtId="0" fontId="5" fillId="0" borderId="0"/>
    <xf numFmtId="0" fontId="2" fillId="0" borderId="0"/>
    <xf numFmtId="0" fontId="1" fillId="0" borderId="0"/>
    <xf numFmtId="0" fontId="6" fillId="0" borderId="0"/>
    <xf numFmtId="0" fontId="15" fillId="0" borderId="0" applyNumberFormat="0" applyFill="0" applyBorder="0" applyAlignment="0" applyProtection="0"/>
    <xf numFmtId="0" fontId="15" fillId="0" borderId="0" applyNumberFormat="0" applyFill="0" applyBorder="0" applyAlignment="0" applyProtection="0"/>
  </cellStyleXfs>
  <cellXfs count="145">
    <xf numFmtId="0" fontId="0" fillId="0" borderId="0" xfId="0"/>
    <xf numFmtId="0" fontId="6" fillId="0" borderId="0" xfId="0" applyFont="1" applyAlignment="1">
      <alignment horizontal="center" vertical="center" wrapText="1"/>
    </xf>
    <xf numFmtId="0" fontId="6" fillId="0" borderId="0" xfId="0" applyFont="1" applyAlignment="1">
      <alignment horizontal="center" vertical="center"/>
    </xf>
    <xf numFmtId="0" fontId="0" fillId="2" borderId="0" xfId="0" applyFill="1" applyAlignment="1">
      <alignment wrapText="1"/>
    </xf>
    <xf numFmtId="0" fontId="7" fillId="3" borderId="5" xfId="0" applyFont="1" applyFill="1" applyBorder="1" applyAlignment="1">
      <alignment horizontal="center" vertical="center"/>
    </xf>
    <xf numFmtId="0" fontId="0" fillId="0" borderId="0" xfId="0" applyAlignment="1">
      <alignment wrapText="1"/>
    </xf>
    <xf numFmtId="0" fontId="0" fillId="0" borderId="7" xfId="0" applyBorder="1" applyAlignment="1">
      <alignment wrapText="1"/>
    </xf>
    <xf numFmtId="0" fontId="4" fillId="4" borderId="3" xfId="0" applyFont="1" applyFill="1" applyBorder="1" applyAlignment="1">
      <alignment horizontal="center" vertical="center"/>
    </xf>
    <xf numFmtId="0" fontId="4" fillId="4" borderId="2" xfId="0" applyFont="1" applyFill="1" applyBorder="1" applyAlignment="1">
      <alignment vertical="center" wrapText="1"/>
    </xf>
    <xf numFmtId="0" fontId="4" fillId="4" borderId="2" xfId="0" applyFont="1" applyFill="1" applyBorder="1" applyAlignment="1">
      <alignment horizontal="center" vertical="center" wrapText="1"/>
    </xf>
    <xf numFmtId="0" fontId="4" fillId="4" borderId="3" xfId="0" applyFont="1" applyFill="1" applyBorder="1" applyAlignment="1">
      <alignment vertical="center"/>
    </xf>
    <xf numFmtId="0" fontId="7" fillId="8" borderId="0" xfId="0" applyFont="1" applyFill="1" applyAlignment="1">
      <alignment horizontal="center" vertical="center"/>
    </xf>
    <xf numFmtId="0" fontId="6" fillId="0" borderId="0" xfId="0" applyFont="1"/>
    <xf numFmtId="0" fontId="9" fillId="7" borderId="2" xfId="0" applyFont="1" applyFill="1" applyBorder="1" applyAlignment="1">
      <alignment horizontal="center" vertical="center" wrapText="1"/>
    </xf>
    <xf numFmtId="0" fontId="9" fillId="7" borderId="3" xfId="0" applyFont="1" applyFill="1" applyBorder="1" applyAlignment="1">
      <alignment horizontal="center" vertical="center" wrapText="1"/>
    </xf>
    <xf numFmtId="0" fontId="9" fillId="7" borderId="3" xfId="0" applyFont="1" applyFill="1" applyBorder="1" applyAlignment="1">
      <alignment horizontal="center" vertical="center"/>
    </xf>
    <xf numFmtId="0" fontId="9" fillId="7" borderId="6" xfId="0" applyFont="1" applyFill="1" applyBorder="1" applyAlignment="1">
      <alignment horizontal="center" vertical="center"/>
    </xf>
    <xf numFmtId="0" fontId="8" fillId="8" borderId="0" xfId="0" applyFont="1" applyFill="1" applyAlignment="1">
      <alignment horizontal="center" vertical="center" wrapText="1"/>
    </xf>
    <xf numFmtId="0" fontId="7" fillId="3" borderId="4" xfId="0" applyFont="1" applyFill="1" applyBorder="1" applyAlignment="1">
      <alignment horizontal="center" vertical="center"/>
    </xf>
    <xf numFmtId="0" fontId="6" fillId="0" borderId="7" xfId="0" applyFont="1" applyBorder="1" applyAlignment="1">
      <alignment horizontal="center" vertical="center"/>
    </xf>
    <xf numFmtId="0" fontId="9" fillId="5" borderId="3" xfId="0" applyFont="1" applyFill="1" applyBorder="1" applyAlignment="1">
      <alignment horizontal="center" vertical="center"/>
    </xf>
    <xf numFmtId="0" fontId="9" fillId="8" borderId="3" xfId="0" applyFont="1" applyFill="1" applyBorder="1" applyAlignment="1">
      <alignment horizontal="center" vertical="center"/>
    </xf>
    <xf numFmtId="0" fontId="9" fillId="8" borderId="6" xfId="0" applyFont="1" applyFill="1" applyBorder="1" applyAlignment="1">
      <alignment horizontal="center" vertical="center"/>
    </xf>
    <xf numFmtId="0" fontId="3" fillId="6" borderId="7" xfId="0" applyFont="1" applyFill="1" applyBorder="1" applyAlignment="1">
      <alignment horizontal="left" wrapText="1"/>
    </xf>
    <xf numFmtId="0" fontId="0" fillId="3" borderId="7" xfId="0" applyFill="1" applyBorder="1" applyAlignment="1">
      <alignment wrapText="1"/>
    </xf>
    <xf numFmtId="0" fontId="10" fillId="9" borderId="9" xfId="0" applyFont="1" applyFill="1" applyBorder="1" applyAlignment="1">
      <alignment horizontal="left" wrapText="1"/>
    </xf>
    <xf numFmtId="0" fontId="10" fillId="9" borderId="9" xfId="0" applyFont="1" applyFill="1" applyBorder="1" applyAlignment="1">
      <alignment horizontal="left"/>
    </xf>
    <xf numFmtId="164" fontId="6" fillId="0" borderId="0" xfId="0" applyNumberFormat="1" applyFont="1"/>
    <xf numFmtId="0" fontId="6" fillId="0" borderId="0" xfId="0" applyFont="1" applyAlignment="1">
      <alignment wrapText="1"/>
    </xf>
    <xf numFmtId="164" fontId="6" fillId="0" borderId="0" xfId="0" applyNumberFormat="1" applyFont="1" applyFill="1"/>
    <xf numFmtId="0" fontId="6" fillId="0" borderId="4" xfId="0" applyFont="1" applyFill="1" applyBorder="1" applyAlignment="1">
      <alignment horizontal="center" vertical="center"/>
    </xf>
    <xf numFmtId="0" fontId="12" fillId="0" borderId="4" xfId="0" applyFont="1" applyFill="1" applyBorder="1" applyAlignment="1">
      <alignment horizontal="center" vertical="center"/>
    </xf>
    <xf numFmtId="0" fontId="6" fillId="0" borderId="4" xfId="0" applyFont="1" applyFill="1" applyBorder="1" applyAlignment="1">
      <alignment horizontal="center" vertical="center" wrapText="1"/>
    </xf>
    <xf numFmtId="164" fontId="6" fillId="0" borderId="4" xfId="0" applyNumberFormat="1" applyFont="1" applyFill="1" applyBorder="1" applyAlignment="1">
      <alignment horizontal="center" vertical="center"/>
    </xf>
    <xf numFmtId="0" fontId="6" fillId="0" borderId="4" xfId="0" applyFont="1" applyFill="1" applyBorder="1" applyAlignment="1">
      <alignment horizontal="left" vertical="center"/>
    </xf>
    <xf numFmtId="0" fontId="6" fillId="0" borderId="4" xfId="0" applyFont="1" applyFill="1" applyBorder="1" applyAlignment="1">
      <alignment horizontal="left" vertical="center" wrapText="1"/>
    </xf>
    <xf numFmtId="0" fontId="14" fillId="11" borderId="1" xfId="0" applyFont="1" applyFill="1" applyBorder="1" applyAlignment="1">
      <alignment horizontal="left" wrapText="1"/>
    </xf>
    <xf numFmtId="0" fontId="14" fillId="11" borderId="0" xfId="0" applyFont="1" applyFill="1" applyBorder="1" applyAlignment="1">
      <alignment horizontal="left" wrapText="1"/>
    </xf>
    <xf numFmtId="0" fontId="14" fillId="11" borderId="0" xfId="0" applyFont="1" applyFill="1" applyAlignment="1">
      <alignment horizontal="left" wrapText="1"/>
    </xf>
    <xf numFmtId="0" fontId="14" fillId="10" borderId="0" xfId="0" applyFont="1" applyFill="1" applyAlignment="1">
      <alignment horizontal="left" wrapText="1"/>
    </xf>
    <xf numFmtId="0" fontId="8" fillId="12" borderId="0" xfId="0" applyFont="1" applyFill="1" applyAlignment="1">
      <alignment horizontal="center" vertical="center" wrapText="1"/>
    </xf>
    <xf numFmtId="0" fontId="9" fillId="12" borderId="3" xfId="0" applyFont="1" applyFill="1" applyBorder="1" applyAlignment="1">
      <alignment horizontal="center" vertical="center" wrapText="1"/>
    </xf>
    <xf numFmtId="0" fontId="9" fillId="12" borderId="3" xfId="0" applyFont="1" applyFill="1" applyBorder="1" applyAlignment="1">
      <alignment horizontal="center" vertical="center"/>
    </xf>
    <xf numFmtId="0" fontId="9" fillId="12" borderId="6" xfId="0" applyFont="1" applyFill="1" applyBorder="1" applyAlignment="1">
      <alignment horizontal="center" vertical="center"/>
    </xf>
    <xf numFmtId="0" fontId="0" fillId="0" borderId="0" xfId="0" applyFill="1"/>
    <xf numFmtId="14" fontId="6" fillId="0" borderId="4" xfId="0" applyNumberFormat="1" applyFont="1" applyFill="1" applyBorder="1" applyAlignment="1">
      <alignment horizontal="center" vertical="center" wrapText="1"/>
    </xf>
    <xf numFmtId="0" fontId="14" fillId="11" borderId="0" xfId="0" applyFont="1" applyFill="1" applyAlignment="1">
      <alignment horizontal="left" wrapText="1"/>
    </xf>
    <xf numFmtId="0" fontId="0" fillId="3" borderId="0" xfId="0" applyFill="1"/>
    <xf numFmtId="0" fontId="0" fillId="3" borderId="7" xfId="0" applyFill="1" applyBorder="1"/>
    <xf numFmtId="0" fontId="6" fillId="3" borderId="0" xfId="0" applyFont="1" applyFill="1"/>
    <xf numFmtId="0" fontId="7" fillId="3" borderId="0" xfId="0" applyFont="1" applyFill="1" applyAlignment="1">
      <alignment horizontal="center" vertical="center"/>
    </xf>
    <xf numFmtId="164" fontId="6" fillId="13" borderId="4" xfId="0" applyNumberFormat="1" applyFont="1" applyFill="1" applyBorder="1" applyAlignment="1">
      <alignment horizontal="center" vertical="center"/>
    </xf>
    <xf numFmtId="0" fontId="0" fillId="0" borderId="4" xfId="0" applyFill="1" applyBorder="1"/>
    <xf numFmtId="0" fontId="6" fillId="0" borderId="4" xfId="0" applyFont="1" applyFill="1" applyBorder="1" applyAlignment="1">
      <alignment horizontal="left" vertical="top" wrapText="1"/>
    </xf>
    <xf numFmtId="0" fontId="6" fillId="3" borderId="4" xfId="0" applyFont="1" applyFill="1" applyBorder="1" applyAlignment="1">
      <alignment horizontal="center" vertical="center"/>
    </xf>
    <xf numFmtId="0" fontId="6" fillId="0" borderId="4" xfId="0" applyFont="1" applyBorder="1"/>
    <xf numFmtId="0" fontId="6" fillId="0" borderId="10" xfId="0" applyFont="1" applyFill="1" applyBorder="1" applyAlignment="1">
      <alignment horizontal="center" vertical="center"/>
    </xf>
    <xf numFmtId="164" fontId="6" fillId="0" borderId="11" xfId="0" applyNumberFormat="1" applyFont="1" applyBorder="1" applyAlignment="1">
      <alignment horizontal="center"/>
    </xf>
    <xf numFmtId="164" fontId="6" fillId="0" borderId="11" xfId="0" applyNumberFormat="1" applyFont="1" applyFill="1" applyBorder="1" applyAlignment="1">
      <alignment horizontal="center"/>
    </xf>
    <xf numFmtId="0" fontId="6" fillId="0" borderId="11" xfId="0" applyFont="1" applyBorder="1"/>
    <xf numFmtId="164" fontId="6" fillId="0" borderId="4" xfId="0" applyNumberFormat="1" applyFont="1" applyBorder="1" applyAlignment="1">
      <alignment horizontal="center"/>
    </xf>
    <xf numFmtId="164" fontId="6" fillId="0" borderId="4" xfId="0" applyNumberFormat="1" applyFont="1" applyFill="1" applyBorder="1" applyAlignment="1">
      <alignment horizontal="center"/>
    </xf>
    <xf numFmtId="164" fontId="6" fillId="0" borderId="5" xfId="0" applyNumberFormat="1" applyFont="1" applyBorder="1" applyAlignment="1">
      <alignment horizontal="center"/>
    </xf>
    <xf numFmtId="164" fontId="6" fillId="13" borderId="5" xfId="0" applyNumberFormat="1" applyFont="1" applyFill="1" applyBorder="1" applyAlignment="1">
      <alignment horizontal="center" vertical="center"/>
    </xf>
    <xf numFmtId="0" fontId="6" fillId="0" borderId="5" xfId="0" applyFont="1" applyFill="1" applyBorder="1" applyAlignment="1">
      <alignment horizontal="center" vertical="center"/>
    </xf>
    <xf numFmtId="0" fontId="12" fillId="0" borderId="5" xfId="0" applyFont="1" applyFill="1" applyBorder="1" applyAlignment="1">
      <alignment horizontal="center" vertical="center"/>
    </xf>
    <xf numFmtId="0" fontId="6" fillId="0" borderId="5" xfId="0" applyFont="1" applyBorder="1"/>
    <xf numFmtId="0" fontId="6" fillId="0" borderId="5" xfId="0" applyFont="1" applyFill="1" applyBorder="1" applyAlignment="1">
      <alignment horizontal="center" vertical="center" wrapText="1"/>
    </xf>
    <xf numFmtId="0" fontId="0" fillId="3" borderId="4" xfId="0" applyFill="1" applyBorder="1"/>
    <xf numFmtId="0" fontId="0" fillId="0" borderId="0" xfId="0" applyAlignment="1">
      <alignment horizontal="center"/>
    </xf>
    <xf numFmtId="0" fontId="6" fillId="0" borderId="0" xfId="0" applyFont="1" applyAlignment="1">
      <alignment horizontal="center"/>
    </xf>
    <xf numFmtId="164" fontId="6" fillId="0" borderId="5" xfId="0" applyNumberFormat="1" applyFont="1" applyFill="1" applyBorder="1" applyAlignment="1">
      <alignment horizontal="center" vertical="center"/>
    </xf>
    <xf numFmtId="0" fontId="6" fillId="0" borderId="4" xfId="0" applyFont="1" applyBorder="1" applyAlignment="1">
      <alignment wrapText="1"/>
    </xf>
    <xf numFmtId="0" fontId="0" fillId="0" borderId="4" xfId="0" applyBorder="1" applyAlignment="1">
      <alignment horizontal="center"/>
    </xf>
    <xf numFmtId="0" fontId="6" fillId="0" borderId="4" xfId="0" applyFont="1" applyBorder="1" applyAlignment="1">
      <alignment horizontal="center"/>
    </xf>
    <xf numFmtId="0" fontId="6" fillId="0" borderId="4" xfId="0" applyFont="1" applyFill="1" applyBorder="1" applyAlignment="1">
      <alignment horizontal="center"/>
    </xf>
    <xf numFmtId="14" fontId="6" fillId="3" borderId="4" xfId="0" applyNumberFormat="1" applyFont="1" applyFill="1" applyBorder="1" applyAlignment="1">
      <alignment horizontal="center" vertical="center" wrapText="1"/>
    </xf>
    <xf numFmtId="164" fontId="6" fillId="0" borderId="4" xfId="0" applyNumberFormat="1" applyFont="1" applyBorder="1" applyAlignment="1">
      <alignment horizontal="center" vertical="center"/>
    </xf>
    <xf numFmtId="0" fontId="0" fillId="3" borderId="0" xfId="0" applyFill="1" applyAlignment="1">
      <alignment horizontal="center" vertical="center"/>
    </xf>
    <xf numFmtId="0" fontId="6" fillId="0" borderId="4" xfId="0" applyFont="1" applyBorder="1" applyAlignment="1">
      <alignment horizontal="center" vertical="center"/>
    </xf>
    <xf numFmtId="0" fontId="6" fillId="0" borderId="4" xfId="0" applyFont="1" applyBorder="1" applyAlignment="1">
      <alignment horizontal="center" vertical="center" wrapText="1"/>
    </xf>
    <xf numFmtId="0" fontId="0" fillId="3" borderId="4" xfId="0" applyFill="1" applyBorder="1" applyAlignment="1">
      <alignment horizontal="center" vertical="center"/>
    </xf>
    <xf numFmtId="0" fontId="6" fillId="0" borderId="4" xfId="0" applyFont="1" applyBorder="1" applyAlignment="1">
      <alignment vertical="center"/>
    </xf>
    <xf numFmtId="0" fontId="15" fillId="0" borderId="4" xfId="5" applyFill="1" applyBorder="1" applyAlignment="1">
      <alignment horizontal="center" vertical="center" wrapText="1"/>
    </xf>
    <xf numFmtId="0" fontId="6" fillId="0" borderId="4" xfId="0" applyFont="1" applyFill="1" applyBorder="1"/>
    <xf numFmtId="0" fontId="0" fillId="3" borderId="0" xfId="0" applyFill="1" applyAlignment="1">
      <alignment vertical="center"/>
    </xf>
    <xf numFmtId="0" fontId="14" fillId="11" borderId="0" xfId="0" applyFont="1" applyFill="1" applyAlignment="1">
      <alignment horizontal="left" wrapText="1"/>
    </xf>
    <xf numFmtId="0" fontId="14" fillId="11" borderId="0" xfId="0" applyFont="1" applyFill="1" applyAlignment="1">
      <alignment horizontal="left" wrapText="1"/>
    </xf>
    <xf numFmtId="0" fontId="4" fillId="4" borderId="3" xfId="0" applyFont="1" applyFill="1" applyBorder="1" applyAlignment="1">
      <alignment vertical="center" wrapText="1"/>
    </xf>
    <xf numFmtId="0" fontId="9" fillId="12" borderId="4" xfId="0" applyFont="1" applyFill="1" applyBorder="1" applyAlignment="1">
      <alignment horizontal="center" vertical="center" wrapText="1"/>
    </xf>
    <xf numFmtId="0" fontId="4" fillId="4" borderId="3" xfId="0" applyFont="1" applyFill="1" applyBorder="1" applyAlignment="1">
      <alignment horizontal="center" vertical="center" wrapText="1"/>
    </xf>
    <xf numFmtId="0" fontId="9" fillId="12" borderId="4" xfId="0" applyFont="1" applyFill="1" applyBorder="1" applyAlignment="1">
      <alignment horizontal="center" vertical="center"/>
    </xf>
    <xf numFmtId="0" fontId="9" fillId="8" borderId="4" xfId="0" applyFont="1" applyFill="1" applyBorder="1" applyAlignment="1">
      <alignment horizontal="center" vertical="center"/>
    </xf>
    <xf numFmtId="0" fontId="14" fillId="11" borderId="0" xfId="0" applyFont="1" applyFill="1" applyAlignment="1">
      <alignment horizontal="left" wrapText="1"/>
    </xf>
    <xf numFmtId="14" fontId="17" fillId="0" borderId="4" xfId="0" applyNumberFormat="1" applyFont="1" applyFill="1" applyBorder="1" applyAlignment="1">
      <alignment horizontal="center" vertical="center" wrapText="1"/>
    </xf>
    <xf numFmtId="0" fontId="18" fillId="0" borderId="0" xfId="0" applyFont="1" applyAlignment="1">
      <alignment horizontal="left" vertical="center"/>
    </xf>
    <xf numFmtId="0" fontId="14" fillId="0" borderId="4" xfId="0" applyFont="1" applyFill="1" applyBorder="1" applyAlignment="1">
      <alignment horizontal="center" vertical="center"/>
    </xf>
    <xf numFmtId="164" fontId="14" fillId="0" borderId="4" xfId="0" applyNumberFormat="1" applyFont="1" applyFill="1" applyBorder="1" applyAlignment="1">
      <alignment horizontal="center" vertical="center"/>
    </xf>
    <xf numFmtId="0" fontId="0" fillId="0" borderId="0" xfId="0" applyAlignment="1">
      <alignment horizontal="center" wrapText="1"/>
    </xf>
    <xf numFmtId="0" fontId="0" fillId="0" borderId="7" xfId="0" applyBorder="1" applyAlignment="1">
      <alignment horizontal="center" wrapText="1"/>
    </xf>
    <xf numFmtId="0" fontId="0" fillId="2" borderId="0" xfId="0" applyFill="1" applyAlignment="1">
      <alignment horizontal="center" wrapText="1"/>
    </xf>
    <xf numFmtId="0" fontId="0" fillId="0" borderId="4" xfId="0" applyFill="1" applyBorder="1" applyAlignment="1">
      <alignment horizontal="center" vertical="center"/>
    </xf>
    <xf numFmtId="0" fontId="0" fillId="0" borderId="0" xfId="0" applyFill="1" applyAlignment="1">
      <alignment horizontal="center" vertical="center"/>
    </xf>
    <xf numFmtId="0" fontId="6" fillId="0" borderId="0" xfId="0" applyFont="1" applyFill="1" applyBorder="1" applyAlignment="1">
      <alignment horizontal="center" vertical="center"/>
    </xf>
    <xf numFmtId="0" fontId="6" fillId="0" borderId="4" xfId="0" quotePrefix="1" applyFont="1" applyFill="1" applyBorder="1" applyAlignment="1">
      <alignment horizontal="center" vertical="center"/>
    </xf>
    <xf numFmtId="0" fontId="16" fillId="0" borderId="4" xfId="5" applyFont="1" applyFill="1" applyBorder="1" applyAlignment="1">
      <alignment horizontal="center" vertical="center"/>
    </xf>
    <xf numFmtId="0" fontId="15" fillId="0" borderId="4" xfId="5" applyFill="1" applyBorder="1" applyAlignment="1">
      <alignment horizontal="center" vertical="center"/>
    </xf>
    <xf numFmtId="0" fontId="6" fillId="0" borderId="4" xfId="0" applyFont="1" applyFill="1" applyBorder="1" applyAlignment="1"/>
    <xf numFmtId="0" fontId="6" fillId="0" borderId="0" xfId="0" applyFont="1" applyFill="1" applyBorder="1"/>
    <xf numFmtId="0" fontId="15" fillId="0" borderId="4" xfId="5" applyBorder="1" applyAlignment="1">
      <alignment horizontal="center" vertical="center"/>
    </xf>
    <xf numFmtId="0" fontId="15" fillId="0" borderId="11" xfId="5" applyFont="1" applyFill="1" applyBorder="1" applyAlignment="1">
      <alignment horizontal="center" vertical="center"/>
    </xf>
    <xf numFmtId="0" fontId="15" fillId="0" borderId="0" xfId="5" applyAlignment="1">
      <alignment horizontal="center"/>
    </xf>
    <xf numFmtId="0" fontId="15" fillId="0" borderId="4" xfId="5" applyBorder="1" applyAlignment="1">
      <alignment horizontal="center"/>
    </xf>
    <xf numFmtId="0" fontId="6" fillId="0" borderId="4" xfId="0" applyFont="1" applyBorder="1" applyAlignment="1">
      <alignment horizontal="center" wrapText="1"/>
    </xf>
    <xf numFmtId="0" fontId="6" fillId="14" borderId="0" xfId="0" applyFont="1" applyFill="1"/>
    <xf numFmtId="0" fontId="15" fillId="0" borderId="0" xfId="5" applyFill="1" applyAlignment="1">
      <alignment horizontal="center"/>
    </xf>
    <xf numFmtId="0" fontId="14" fillId="11" borderId="0" xfId="0" applyFont="1" applyFill="1" applyAlignment="1">
      <alignment horizontal="left" wrapText="1"/>
    </xf>
    <xf numFmtId="164" fontId="14" fillId="15" borderId="4" xfId="0" applyNumberFormat="1" applyFont="1" applyFill="1" applyBorder="1" applyAlignment="1">
      <alignment horizontal="center" vertical="center"/>
    </xf>
    <xf numFmtId="0" fontId="14" fillId="11" borderId="0" xfId="0" applyFont="1" applyFill="1" applyAlignment="1">
      <alignment horizontal="left" wrapText="1"/>
    </xf>
    <xf numFmtId="0" fontId="0" fillId="0" borderId="8" xfId="0" applyBorder="1" applyAlignment="1">
      <alignment wrapText="1"/>
    </xf>
    <xf numFmtId="0" fontId="13" fillId="11" borderId="1" xfId="0" applyFont="1" applyFill="1" applyBorder="1" applyAlignment="1">
      <alignment horizontal="left" wrapText="1"/>
    </xf>
    <xf numFmtId="0" fontId="13" fillId="11" borderId="0" xfId="0" applyFont="1" applyFill="1" applyBorder="1" applyAlignment="1">
      <alignment horizontal="left" wrapText="1"/>
    </xf>
    <xf numFmtId="0" fontId="13" fillId="11" borderId="0" xfId="0" applyFont="1" applyFill="1" applyAlignment="1">
      <alignment horizontal="left" wrapText="1"/>
    </xf>
    <xf numFmtId="0" fontId="11" fillId="9" borderId="9" xfId="0" applyFont="1" applyFill="1" applyBorder="1" applyAlignment="1">
      <alignment horizontal="left" wrapText="1"/>
    </xf>
    <xf numFmtId="0" fontId="14" fillId="11" borderId="1" xfId="0" applyFont="1" applyFill="1" applyBorder="1" applyAlignment="1">
      <alignment horizontal="left"/>
    </xf>
    <xf numFmtId="0" fontId="14" fillId="11" borderId="0" xfId="0" applyFont="1" applyFill="1" applyBorder="1" applyAlignment="1">
      <alignment horizontal="left"/>
    </xf>
    <xf numFmtId="0" fontId="14" fillId="11" borderId="0" xfId="0" applyFont="1" applyFill="1" applyAlignment="1">
      <alignment horizontal="left"/>
    </xf>
    <xf numFmtId="0" fontId="19" fillId="0" borderId="0" xfId="0" applyFont="1"/>
    <xf numFmtId="0" fontId="20" fillId="0" borderId="0" xfId="0" applyFont="1"/>
    <xf numFmtId="0" fontId="9" fillId="13" borderId="4" xfId="0" applyFont="1" applyFill="1" applyBorder="1" applyAlignment="1">
      <alignment horizontal="center" vertical="center" wrapText="1"/>
    </xf>
    <xf numFmtId="0" fontId="14" fillId="11" borderId="0" xfId="0" applyFont="1" applyFill="1" applyAlignment="1"/>
    <xf numFmtId="0" fontId="14" fillId="11" borderId="0" xfId="0" applyFont="1" applyFill="1" applyAlignment="1">
      <alignment wrapText="1"/>
    </xf>
    <xf numFmtId="0" fontId="14" fillId="11" borderId="0" xfId="0" applyFont="1" applyFill="1" applyAlignment="1">
      <alignment horizontal="center" wrapText="1"/>
    </xf>
    <xf numFmtId="0" fontId="14" fillId="11" borderId="1" xfId="0" applyFont="1" applyFill="1" applyBorder="1" applyAlignment="1"/>
    <xf numFmtId="0" fontId="14" fillId="11" borderId="0" xfId="0" applyFont="1" applyFill="1" applyBorder="1" applyAlignment="1"/>
    <xf numFmtId="0" fontId="22" fillId="11" borderId="12" xfId="0" applyFont="1" applyFill="1" applyBorder="1" applyAlignment="1">
      <alignment horizontal="center" vertical="center"/>
    </xf>
    <xf numFmtId="0" fontId="22" fillId="11" borderId="13" xfId="0" applyFont="1" applyFill="1" applyBorder="1" applyAlignment="1">
      <alignment horizontal="center" vertical="center"/>
    </xf>
    <xf numFmtId="0" fontId="22" fillId="11" borderId="14" xfId="0" applyFont="1" applyFill="1" applyBorder="1" applyAlignment="1">
      <alignment horizontal="center" vertical="center"/>
    </xf>
    <xf numFmtId="0" fontId="22" fillId="11" borderId="15" xfId="0" applyFont="1" applyFill="1" applyBorder="1" applyAlignment="1">
      <alignment horizontal="center" vertical="center"/>
    </xf>
    <xf numFmtId="0" fontId="22" fillId="11" borderId="0" xfId="0" applyFont="1" applyFill="1" applyBorder="1" applyAlignment="1">
      <alignment horizontal="center" vertical="center"/>
    </xf>
    <xf numFmtId="0" fontId="22" fillId="11" borderId="16" xfId="0" applyFont="1" applyFill="1" applyBorder="1" applyAlignment="1">
      <alignment horizontal="center" vertical="center"/>
    </xf>
    <xf numFmtId="0" fontId="22" fillId="11" borderId="17" xfId="0" applyFont="1" applyFill="1" applyBorder="1" applyAlignment="1">
      <alignment horizontal="center" vertical="center"/>
    </xf>
    <xf numFmtId="0" fontId="22" fillId="11" borderId="8" xfId="0" applyFont="1" applyFill="1" applyBorder="1" applyAlignment="1">
      <alignment horizontal="center" vertical="center"/>
    </xf>
    <xf numFmtId="0" fontId="22" fillId="11" borderId="18" xfId="0" applyFont="1" applyFill="1" applyBorder="1" applyAlignment="1">
      <alignment horizontal="center" vertical="center"/>
    </xf>
    <xf numFmtId="0" fontId="10" fillId="13" borderId="9" xfId="0" applyFont="1" applyFill="1" applyBorder="1" applyAlignment="1">
      <alignment horizontal="left"/>
    </xf>
  </cellXfs>
  <cellStyles count="7">
    <cellStyle name="Hiperlink" xfId="5" builtinId="8"/>
    <cellStyle name="Hiperlink 2" xfId="6" xr:uid="{CDFD1775-1F4E-441C-A323-776C66CA5E18}"/>
    <cellStyle name="Normal" xfId="0" builtinId="0"/>
    <cellStyle name="Normal 2" xfId="2" xr:uid="{00000000-0005-0000-0000-000001000000}"/>
    <cellStyle name="Normal 3" xfId="3" xr:uid="{00000000-0005-0000-0000-000002000000}"/>
    <cellStyle name="Normal 4" xfId="4" xr:uid="{00000000-0005-0000-0000-000003000000}"/>
    <cellStyle name="Normal 6" xfId="1" xr:uid="{00000000-0005-0000-0000-000004000000}"/>
  </cellStyles>
  <dxfs count="0"/>
  <tableStyles count="0" defaultTableStyle="Table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0</xdr:col>
      <xdr:colOff>228600</xdr:colOff>
      <xdr:row>0</xdr:row>
      <xdr:rowOff>152400</xdr:rowOff>
    </xdr:from>
    <xdr:to>
      <xdr:col>12</xdr:col>
      <xdr:colOff>66675</xdr:colOff>
      <xdr:row>33</xdr:row>
      <xdr:rowOff>97841</xdr:rowOff>
    </xdr:to>
    <xdr:pic>
      <xdr:nvPicPr>
        <xdr:cNvPr id="2" name="Imagem 1">
          <a:extLst>
            <a:ext uri="{FF2B5EF4-FFF2-40B4-BE49-F238E27FC236}">
              <a16:creationId xmlns:a16="http://schemas.microsoft.com/office/drawing/2014/main" id="{79F6FF19-FEBB-4C09-AD26-A1E932D6CE08}"/>
            </a:ext>
          </a:extLst>
        </xdr:cNvPr>
        <xdr:cNvPicPr>
          <a:picLocks noChangeAspect="1"/>
        </xdr:cNvPicPr>
      </xdr:nvPicPr>
      <xdr:blipFill>
        <a:blip xmlns:r="http://schemas.openxmlformats.org/officeDocument/2006/relationships" r:embed="rId1"/>
        <a:stretch>
          <a:fillRect/>
        </a:stretch>
      </xdr:blipFill>
      <xdr:spPr>
        <a:xfrm>
          <a:off x="228600" y="152400"/>
          <a:ext cx="7153275" cy="5288966"/>
        </a:xfrm>
        <a:prstGeom prst="rect">
          <a:avLst/>
        </a:prstGeom>
      </xdr:spPr>
    </xdr:pic>
    <xdr:clientData/>
  </xdr:twoCellAnchor>
  <xdr:twoCellAnchor editAs="oneCell">
    <xdr:from>
      <xdr:col>0</xdr:col>
      <xdr:colOff>602192</xdr:colOff>
      <xdr:row>37</xdr:row>
      <xdr:rowOff>49742</xdr:rowOff>
    </xdr:from>
    <xdr:to>
      <xdr:col>11</xdr:col>
      <xdr:colOff>92359</xdr:colOff>
      <xdr:row>56</xdr:row>
      <xdr:rowOff>30310</xdr:rowOff>
    </xdr:to>
    <xdr:pic>
      <xdr:nvPicPr>
        <xdr:cNvPr id="3" name="Imagem 2">
          <a:extLst>
            <a:ext uri="{FF2B5EF4-FFF2-40B4-BE49-F238E27FC236}">
              <a16:creationId xmlns:a16="http://schemas.microsoft.com/office/drawing/2014/main" id="{F8403BCA-A734-44AB-A676-1C4AA6FEBCCB}"/>
            </a:ext>
          </a:extLst>
        </xdr:cNvPr>
        <xdr:cNvPicPr>
          <a:picLocks noChangeAspect="1"/>
        </xdr:cNvPicPr>
      </xdr:nvPicPr>
      <xdr:blipFill>
        <a:blip xmlns:r="http://schemas.openxmlformats.org/officeDocument/2006/relationships" r:embed="rId2"/>
        <a:stretch>
          <a:fillRect/>
        </a:stretch>
      </xdr:blipFill>
      <xdr:spPr>
        <a:xfrm>
          <a:off x="602192" y="6293909"/>
          <a:ext cx="6242334" cy="2996818"/>
        </a:xfrm>
        <a:prstGeom prst="rect">
          <a:avLst/>
        </a:prstGeom>
      </xdr:spPr>
    </xdr:pic>
    <xdr:clientData/>
  </xdr:twoCellAnchor>
  <xdr:twoCellAnchor editAs="oneCell">
    <xdr:from>
      <xdr:col>1</xdr:col>
      <xdr:colOff>28575</xdr:colOff>
      <xdr:row>61</xdr:row>
      <xdr:rowOff>19050</xdr:rowOff>
    </xdr:from>
    <xdr:to>
      <xdr:col>11</xdr:col>
      <xdr:colOff>161146</xdr:colOff>
      <xdr:row>80</xdr:row>
      <xdr:rowOff>66284</xdr:rowOff>
    </xdr:to>
    <xdr:pic>
      <xdr:nvPicPr>
        <xdr:cNvPr id="4" name="Imagem 3">
          <a:extLst>
            <a:ext uri="{FF2B5EF4-FFF2-40B4-BE49-F238E27FC236}">
              <a16:creationId xmlns:a16="http://schemas.microsoft.com/office/drawing/2014/main" id="{B9D2A076-3136-4F8E-A94E-F15E941A55E6}"/>
            </a:ext>
          </a:extLst>
        </xdr:cNvPr>
        <xdr:cNvPicPr>
          <a:picLocks noChangeAspect="1"/>
        </xdr:cNvPicPr>
      </xdr:nvPicPr>
      <xdr:blipFill>
        <a:blip xmlns:r="http://schemas.openxmlformats.org/officeDocument/2006/relationships" r:embed="rId3"/>
        <a:stretch>
          <a:fillRect/>
        </a:stretch>
      </xdr:blipFill>
      <xdr:spPr>
        <a:xfrm>
          <a:off x="638175" y="10258425"/>
          <a:ext cx="6228571" cy="3123809"/>
        </a:xfrm>
        <a:prstGeom prst="rect">
          <a:avLst/>
        </a:prstGeom>
      </xdr:spPr>
    </xdr:pic>
    <xdr:clientData/>
  </xdr:twoCellAnchor>
  <xdr:twoCellAnchor editAs="oneCell">
    <xdr:from>
      <xdr:col>0</xdr:col>
      <xdr:colOff>590550</xdr:colOff>
      <xdr:row>84</xdr:row>
      <xdr:rowOff>104775</xdr:rowOff>
    </xdr:from>
    <xdr:to>
      <xdr:col>11</xdr:col>
      <xdr:colOff>94474</xdr:colOff>
      <xdr:row>103</xdr:row>
      <xdr:rowOff>132962</xdr:rowOff>
    </xdr:to>
    <xdr:pic>
      <xdr:nvPicPr>
        <xdr:cNvPr id="5" name="Imagem 4">
          <a:extLst>
            <a:ext uri="{FF2B5EF4-FFF2-40B4-BE49-F238E27FC236}">
              <a16:creationId xmlns:a16="http://schemas.microsoft.com/office/drawing/2014/main" id="{B8585120-1737-4C41-BB47-1AAEDD913E12}"/>
            </a:ext>
          </a:extLst>
        </xdr:cNvPr>
        <xdr:cNvPicPr>
          <a:picLocks noChangeAspect="1"/>
        </xdr:cNvPicPr>
      </xdr:nvPicPr>
      <xdr:blipFill>
        <a:blip xmlns:r="http://schemas.openxmlformats.org/officeDocument/2006/relationships" r:embed="rId4"/>
        <a:stretch>
          <a:fillRect/>
        </a:stretch>
      </xdr:blipFill>
      <xdr:spPr>
        <a:xfrm>
          <a:off x="590550" y="14430375"/>
          <a:ext cx="6209524" cy="3104762"/>
        </a:xfrm>
        <a:prstGeom prst="rect">
          <a:avLst/>
        </a:prstGeom>
      </xdr:spPr>
    </xdr:pic>
    <xdr:clientData/>
  </xdr:twoCellAnchor>
  <xdr:twoCellAnchor editAs="oneCell">
    <xdr:from>
      <xdr:col>0</xdr:col>
      <xdr:colOff>419100</xdr:colOff>
      <xdr:row>109</xdr:row>
      <xdr:rowOff>133350</xdr:rowOff>
    </xdr:from>
    <xdr:to>
      <xdr:col>11</xdr:col>
      <xdr:colOff>56357</xdr:colOff>
      <xdr:row>128</xdr:row>
      <xdr:rowOff>142489</xdr:rowOff>
    </xdr:to>
    <xdr:pic>
      <xdr:nvPicPr>
        <xdr:cNvPr id="6" name="Imagem 5">
          <a:extLst>
            <a:ext uri="{FF2B5EF4-FFF2-40B4-BE49-F238E27FC236}">
              <a16:creationId xmlns:a16="http://schemas.microsoft.com/office/drawing/2014/main" id="{0D1607D5-68CE-44AC-A726-7F8DE9A55E33}"/>
            </a:ext>
          </a:extLst>
        </xdr:cNvPr>
        <xdr:cNvPicPr>
          <a:picLocks noChangeAspect="1"/>
        </xdr:cNvPicPr>
      </xdr:nvPicPr>
      <xdr:blipFill>
        <a:blip xmlns:r="http://schemas.openxmlformats.org/officeDocument/2006/relationships" r:embed="rId5"/>
        <a:stretch>
          <a:fillRect/>
        </a:stretch>
      </xdr:blipFill>
      <xdr:spPr>
        <a:xfrm>
          <a:off x="419100" y="18869025"/>
          <a:ext cx="6342857" cy="3085714"/>
        </a:xfrm>
        <a:prstGeom prst="rect">
          <a:avLst/>
        </a:prstGeom>
      </xdr:spPr>
    </xdr:pic>
    <xdr:clientData/>
  </xdr:twoCellAnchor>
  <xdr:twoCellAnchor editAs="oneCell">
    <xdr:from>
      <xdr:col>0</xdr:col>
      <xdr:colOff>447675</xdr:colOff>
      <xdr:row>132</xdr:row>
      <xdr:rowOff>28575</xdr:rowOff>
    </xdr:from>
    <xdr:to>
      <xdr:col>10</xdr:col>
      <xdr:colOff>494532</xdr:colOff>
      <xdr:row>154</xdr:row>
      <xdr:rowOff>104320</xdr:rowOff>
    </xdr:to>
    <xdr:pic>
      <xdr:nvPicPr>
        <xdr:cNvPr id="7" name="Imagem 6">
          <a:extLst>
            <a:ext uri="{FF2B5EF4-FFF2-40B4-BE49-F238E27FC236}">
              <a16:creationId xmlns:a16="http://schemas.microsoft.com/office/drawing/2014/main" id="{0EC13AD4-734A-4ECE-AECE-6E1A93AC7791}"/>
            </a:ext>
          </a:extLst>
        </xdr:cNvPr>
        <xdr:cNvPicPr>
          <a:picLocks noChangeAspect="1"/>
        </xdr:cNvPicPr>
      </xdr:nvPicPr>
      <xdr:blipFill>
        <a:blip xmlns:r="http://schemas.openxmlformats.org/officeDocument/2006/relationships" r:embed="rId6"/>
        <a:stretch>
          <a:fillRect/>
        </a:stretch>
      </xdr:blipFill>
      <xdr:spPr>
        <a:xfrm>
          <a:off x="447675" y="22850475"/>
          <a:ext cx="6142857" cy="3638095"/>
        </a:xfrm>
        <a:prstGeom prst="rect">
          <a:avLst/>
        </a:prstGeom>
      </xdr:spPr>
    </xdr:pic>
    <xdr:clientData/>
  </xdr:twoCellAnchor>
  <xdr:twoCellAnchor editAs="oneCell">
    <xdr:from>
      <xdr:col>13</xdr:col>
      <xdr:colOff>560916</xdr:colOff>
      <xdr:row>2</xdr:row>
      <xdr:rowOff>158749</xdr:rowOff>
    </xdr:from>
    <xdr:to>
      <xdr:col>30</xdr:col>
      <xdr:colOff>284298</xdr:colOff>
      <xdr:row>33</xdr:row>
      <xdr:rowOff>63500</xdr:rowOff>
    </xdr:to>
    <xdr:pic>
      <xdr:nvPicPr>
        <xdr:cNvPr id="8" name="Imagem 7">
          <a:extLst>
            <a:ext uri="{FF2B5EF4-FFF2-40B4-BE49-F238E27FC236}">
              <a16:creationId xmlns:a16="http://schemas.microsoft.com/office/drawing/2014/main" id="{3CF7D77D-D694-4404-8EB6-ACFAEF10F011}"/>
            </a:ext>
          </a:extLst>
        </xdr:cNvPr>
        <xdr:cNvPicPr>
          <a:picLocks noChangeAspect="1"/>
        </xdr:cNvPicPr>
      </xdr:nvPicPr>
      <xdr:blipFill>
        <a:blip xmlns:r="http://schemas.openxmlformats.org/officeDocument/2006/relationships" r:embed="rId7"/>
        <a:stretch>
          <a:fillRect/>
        </a:stretch>
      </xdr:blipFill>
      <xdr:spPr>
        <a:xfrm>
          <a:off x="8540749" y="476249"/>
          <a:ext cx="10158549" cy="4826001"/>
        </a:xfrm>
        <a:prstGeom prst="rect">
          <a:avLst/>
        </a:prstGeom>
      </xdr:spPr>
    </xdr:pic>
    <xdr:clientData/>
  </xdr:twoCellAnchor>
  <xdr:twoCellAnchor editAs="oneCell">
    <xdr:from>
      <xdr:col>12</xdr:col>
      <xdr:colOff>508000</xdr:colOff>
      <xdr:row>35</xdr:row>
      <xdr:rowOff>74084</xdr:rowOff>
    </xdr:from>
    <xdr:to>
      <xdr:col>28</xdr:col>
      <xdr:colOff>439048</xdr:colOff>
      <xdr:row>59</xdr:row>
      <xdr:rowOff>407953</xdr:rowOff>
    </xdr:to>
    <xdr:pic>
      <xdr:nvPicPr>
        <xdr:cNvPr id="9" name="Imagem 8">
          <a:extLst>
            <a:ext uri="{FF2B5EF4-FFF2-40B4-BE49-F238E27FC236}">
              <a16:creationId xmlns:a16="http://schemas.microsoft.com/office/drawing/2014/main" id="{33F2B5A4-4FE3-4468-9A76-6A43994AE266}"/>
            </a:ext>
          </a:extLst>
        </xdr:cNvPr>
        <xdr:cNvPicPr>
          <a:picLocks noChangeAspect="1"/>
        </xdr:cNvPicPr>
      </xdr:nvPicPr>
      <xdr:blipFill>
        <a:blip xmlns:r="http://schemas.openxmlformats.org/officeDocument/2006/relationships" r:embed="rId8"/>
        <a:stretch>
          <a:fillRect/>
        </a:stretch>
      </xdr:blipFill>
      <xdr:spPr>
        <a:xfrm>
          <a:off x="7874000" y="5630334"/>
          <a:ext cx="9752381" cy="451428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11</xdr:col>
      <xdr:colOff>129898</xdr:colOff>
      <xdr:row>28</xdr:row>
      <xdr:rowOff>104775</xdr:rowOff>
    </xdr:to>
    <xdr:pic>
      <xdr:nvPicPr>
        <xdr:cNvPr id="2" name="Imagem 1">
          <a:extLst>
            <a:ext uri="{FF2B5EF4-FFF2-40B4-BE49-F238E27FC236}">
              <a16:creationId xmlns:a16="http://schemas.microsoft.com/office/drawing/2014/main" id="{AE32D436-E4F1-4133-B102-9A6B7522F477}"/>
            </a:ext>
          </a:extLst>
        </xdr:cNvPr>
        <xdr:cNvPicPr>
          <a:picLocks noChangeAspect="1"/>
        </xdr:cNvPicPr>
      </xdr:nvPicPr>
      <xdr:blipFill>
        <a:blip xmlns:r="http://schemas.openxmlformats.org/officeDocument/2006/relationships" r:embed="rId1"/>
        <a:stretch>
          <a:fillRect/>
        </a:stretch>
      </xdr:blipFill>
      <xdr:spPr>
        <a:xfrm>
          <a:off x="0" y="0"/>
          <a:ext cx="6835498" cy="4638675"/>
        </a:xfrm>
        <a:prstGeom prst="rect">
          <a:avLst/>
        </a:prstGeom>
      </xdr:spPr>
    </xdr:pic>
    <xdr:clientData/>
  </xdr:twoCellAnchor>
  <xdr:twoCellAnchor editAs="oneCell">
    <xdr:from>
      <xdr:col>1</xdr:col>
      <xdr:colOff>66675</xdr:colOff>
      <xdr:row>31</xdr:row>
      <xdr:rowOff>9525</xdr:rowOff>
    </xdr:from>
    <xdr:to>
      <xdr:col>12</xdr:col>
      <xdr:colOff>542027</xdr:colOff>
      <xdr:row>60</xdr:row>
      <xdr:rowOff>75605</xdr:rowOff>
    </xdr:to>
    <xdr:pic>
      <xdr:nvPicPr>
        <xdr:cNvPr id="3" name="Imagem 2">
          <a:extLst>
            <a:ext uri="{FF2B5EF4-FFF2-40B4-BE49-F238E27FC236}">
              <a16:creationId xmlns:a16="http://schemas.microsoft.com/office/drawing/2014/main" id="{1CA84497-9F50-424D-8D27-1077EA0C4FD0}"/>
            </a:ext>
          </a:extLst>
        </xdr:cNvPr>
        <xdr:cNvPicPr>
          <a:picLocks noChangeAspect="1"/>
        </xdr:cNvPicPr>
      </xdr:nvPicPr>
      <xdr:blipFill>
        <a:blip xmlns:r="http://schemas.openxmlformats.org/officeDocument/2006/relationships" r:embed="rId2"/>
        <a:stretch>
          <a:fillRect/>
        </a:stretch>
      </xdr:blipFill>
      <xdr:spPr>
        <a:xfrm>
          <a:off x="676275" y="5029200"/>
          <a:ext cx="7180952" cy="4761905"/>
        </a:xfrm>
        <a:prstGeom prst="rect">
          <a:avLst/>
        </a:prstGeom>
      </xdr:spPr>
    </xdr:pic>
    <xdr:clientData/>
  </xdr:twoCellAnchor>
  <xdr:twoCellAnchor editAs="oneCell">
    <xdr:from>
      <xdr:col>13</xdr:col>
      <xdr:colOff>219074</xdr:colOff>
      <xdr:row>3</xdr:row>
      <xdr:rowOff>95251</xdr:rowOff>
    </xdr:from>
    <xdr:to>
      <xdr:col>24</xdr:col>
      <xdr:colOff>326885</xdr:colOff>
      <xdr:row>32</xdr:row>
      <xdr:rowOff>133350</xdr:rowOff>
    </xdr:to>
    <xdr:pic>
      <xdr:nvPicPr>
        <xdr:cNvPr id="4" name="Imagem 3">
          <a:extLst>
            <a:ext uri="{FF2B5EF4-FFF2-40B4-BE49-F238E27FC236}">
              <a16:creationId xmlns:a16="http://schemas.microsoft.com/office/drawing/2014/main" id="{AB2E6194-5D52-4469-A7B7-D5472A0C2AD1}"/>
            </a:ext>
          </a:extLst>
        </xdr:cNvPr>
        <xdr:cNvPicPr>
          <a:picLocks noChangeAspect="1"/>
        </xdr:cNvPicPr>
      </xdr:nvPicPr>
      <xdr:blipFill>
        <a:blip xmlns:r="http://schemas.openxmlformats.org/officeDocument/2006/relationships" r:embed="rId3"/>
        <a:stretch>
          <a:fillRect/>
        </a:stretch>
      </xdr:blipFill>
      <xdr:spPr>
        <a:xfrm>
          <a:off x="8143874" y="581026"/>
          <a:ext cx="6813411" cy="473392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Wilson Santos Silva (Almap BBDO)" id="{43A7E478-8BF8-4484-B6EB-91968C657A6E}" userId="S::wilson.silva@almapbbdo.com.br::a6bd77b8-9339-46d4-a6d7-e17a960eaeca" providerId="AD"/>
</personList>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S5" dT="2020-05-29T21:24:30.55" personId="{43A7E478-8BF8-4484-B6EB-91968C657A6E}" id="{E0F36A7D-0CCE-4307-A5E3-CEEB12186263}">
    <text>Tem que ser preenchido igual está vai ficar no ADP</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ww.facebook.com/business/ads-guide/video/instagram-story" TargetMode="External"/><Relationship Id="rId13" Type="http://schemas.openxmlformats.org/officeDocument/2006/relationships/hyperlink" Target="https://www.linkedin.com/help/lms/answer/111093" TargetMode="External"/><Relationship Id="rId18" Type="http://schemas.openxmlformats.org/officeDocument/2006/relationships/comments" Target="../comments1.xml"/><Relationship Id="rId3" Type="http://schemas.openxmlformats.org/officeDocument/2006/relationships/hyperlink" Target="https://support.google.com/google-ads/answer/1722096?hl=pt-BR" TargetMode="External"/><Relationship Id="rId7" Type="http://schemas.openxmlformats.org/officeDocument/2006/relationships/hyperlink" Target="https://br.adspecs.verizonmedia.com/adformats/videoads/pre-roll-skippable/" TargetMode="External"/><Relationship Id="rId12" Type="http://schemas.openxmlformats.org/officeDocument/2006/relationships/hyperlink" Target="https://www.linkedin.com/help/lms/answer/94181/anuncios-em-video-especificacoes-de-publicidade?lang=pt" TargetMode="External"/><Relationship Id="rId17" Type="http://schemas.openxmlformats.org/officeDocument/2006/relationships/vmlDrawing" Target="../drawings/vmlDrawing1.vml"/><Relationship Id="rId2" Type="http://schemas.openxmlformats.org/officeDocument/2006/relationships/hyperlink" Target="https://support.google.com/google-ads/answer/1722096?hl=pt-BR" TargetMode="External"/><Relationship Id="rId16" Type="http://schemas.openxmlformats.org/officeDocument/2006/relationships/printerSettings" Target="../printerSettings/printerSettings1.bin"/><Relationship Id="rId1" Type="http://schemas.openxmlformats.org/officeDocument/2006/relationships/hyperlink" Target="https://www.facebook.com/business/ads-guide/image" TargetMode="External"/><Relationship Id="rId6" Type="http://schemas.openxmlformats.org/officeDocument/2006/relationships/hyperlink" Target="https://br.adspecs.verizonmedia.com/adformats/displayads/970x250-billboard/" TargetMode="External"/><Relationship Id="rId11" Type="http://schemas.openxmlformats.org/officeDocument/2006/relationships/hyperlink" Target="https://www.linkedin.com/help/lms/answer/94099/anuncios-de-imagem-em-carrossel-especificacoes-para-anuncios?lang=pt" TargetMode="External"/><Relationship Id="rId5" Type="http://schemas.openxmlformats.org/officeDocument/2006/relationships/hyperlink" Target="https://www.facebook.com/business/ads-guide/carousel" TargetMode="External"/><Relationship Id="rId15" Type="http://schemas.openxmlformats.org/officeDocument/2006/relationships/hyperlink" Target="https://business.twitter.com/pt/help/campaign-setup/advertiser-card-specifications.html" TargetMode="External"/><Relationship Id="rId10" Type="http://schemas.openxmlformats.org/officeDocument/2006/relationships/hyperlink" Target="https://support.google.com/displayspecs/answer/6227733?hl=pt-BR" TargetMode="External"/><Relationship Id="rId19" Type="http://schemas.microsoft.com/office/2017/10/relationships/threadedComment" Target="../threadedComments/threadedComment1.xml"/><Relationship Id="rId4" Type="http://schemas.openxmlformats.org/officeDocument/2006/relationships/hyperlink" Target="https://www.facebook.com/business/ads-guide/image" TargetMode="External"/><Relationship Id="rId9" Type="http://schemas.openxmlformats.org/officeDocument/2006/relationships/hyperlink" Target="https://www.facebook.com/business/ads-guide/image" TargetMode="External"/><Relationship Id="rId14" Type="http://schemas.openxmlformats.org/officeDocument/2006/relationships/hyperlink" Target="https://business.twitter.com/pt/help/campaign-setup/advertiser-card-specifications.html"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facebook.com/business/help/183469315334462"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9D46A-4677-4D46-AFDB-BE1AA90758A7}">
  <dimension ref="A1:EC43"/>
  <sheetViews>
    <sheetView showGridLines="0" tabSelected="1" topLeftCell="AA2" zoomScale="85" zoomScaleNormal="85" workbookViewId="0">
      <selection activeCell="AB12" sqref="AB12"/>
    </sheetView>
  </sheetViews>
  <sheetFormatPr defaultColWidth="9.140625" defaultRowHeight="12.75" x14ac:dyDescent="0.2"/>
  <cols>
    <col min="1" max="1" width="23.85546875" style="27" customWidth="1"/>
    <col min="2" max="2" width="17.140625" style="27" customWidth="1"/>
    <col min="3" max="3" width="10.28515625" style="27" bestFit="1" customWidth="1"/>
    <col min="4" max="4" width="11.140625" style="27" bestFit="1" customWidth="1"/>
    <col min="5" max="5" width="17.5703125" style="29" customWidth="1"/>
    <col min="6" max="6" width="16" style="29" customWidth="1"/>
    <col min="7" max="7" width="18.28515625" style="29" customWidth="1"/>
    <col min="8" max="8" width="18.28515625" style="12" customWidth="1"/>
    <col min="9" max="9" width="15" style="12" bestFit="1" customWidth="1"/>
    <col min="10" max="10" width="11.7109375" style="12" customWidth="1"/>
    <col min="11" max="11" width="18.7109375" style="12" bestFit="1" customWidth="1"/>
    <col min="12" max="12" width="18.7109375" style="12" customWidth="1"/>
    <col min="13" max="13" width="12.85546875" style="12" bestFit="1" customWidth="1"/>
    <col min="14" max="14" width="12.85546875" style="12" customWidth="1"/>
    <col min="15" max="15" width="47.140625" style="12" customWidth="1"/>
    <col min="16" max="16" width="19.5703125" style="12" hidden="1" customWidth="1"/>
    <col min="17" max="17" width="21.85546875" style="12" customWidth="1"/>
    <col min="18" max="18" width="35.85546875" style="12" bestFit="1" customWidth="1"/>
    <col min="19" max="19" width="18.42578125" style="12" customWidth="1"/>
    <col min="20" max="20" width="17.28515625" style="12" bestFit="1" customWidth="1"/>
    <col min="21" max="21" width="28.42578125" style="12" bestFit="1" customWidth="1"/>
    <col min="22" max="22" width="17.140625" style="12" bestFit="1" customWidth="1"/>
    <col min="23" max="23" width="13.5703125" style="12" bestFit="1" customWidth="1"/>
    <col min="24" max="24" width="85.140625" style="12" bestFit="1" customWidth="1"/>
    <col min="25" max="25" width="20" style="12" bestFit="1" customWidth="1"/>
    <col min="26" max="26" width="91" style="12" bestFit="1" customWidth="1"/>
    <col min="27" max="27" width="104.85546875" style="70" bestFit="1" customWidth="1"/>
    <col min="28" max="28" width="95.42578125" style="12" customWidth="1"/>
    <col min="29" max="29" width="71.28515625" style="47" bestFit="1" customWidth="1"/>
    <col min="30" max="46" width="25" style="47" customWidth="1"/>
    <col min="47" max="16384" width="9.140625" style="47"/>
  </cols>
  <sheetData>
    <row r="1" spans="1:133" ht="13.5" thickBot="1" x14ac:dyDescent="0.25">
      <c r="A1" s="119"/>
      <c r="B1" s="119"/>
      <c r="C1" s="119"/>
      <c r="D1" s="119"/>
      <c r="E1" s="119"/>
      <c r="F1" s="119"/>
      <c r="G1" s="119"/>
      <c r="H1" s="119"/>
      <c r="I1" s="119"/>
      <c r="J1" s="119"/>
      <c r="K1" s="119"/>
      <c r="L1" s="119"/>
      <c r="M1" s="119"/>
      <c r="N1" s="119"/>
      <c r="O1" s="119"/>
      <c r="P1" s="119"/>
      <c r="Q1" s="119"/>
      <c r="R1" s="119"/>
      <c r="S1" s="119"/>
      <c r="T1" s="119"/>
      <c r="U1" s="119"/>
      <c r="V1" s="119"/>
      <c r="W1" s="119"/>
      <c r="X1" s="119"/>
      <c r="Y1" s="119"/>
      <c r="Z1" s="119"/>
      <c r="AA1" s="119"/>
      <c r="AB1" s="119"/>
    </row>
    <row r="2" spans="1:133" x14ac:dyDescent="0.2">
      <c r="A2" s="120" t="s">
        <v>0</v>
      </c>
      <c r="B2" s="121"/>
      <c r="C2" s="121"/>
      <c r="D2" s="121"/>
      <c r="E2" s="121"/>
      <c r="F2" s="121"/>
      <c r="G2" s="121"/>
      <c r="H2" s="122"/>
      <c r="I2" s="122"/>
      <c r="J2" s="122"/>
      <c r="K2" s="122"/>
      <c r="L2" s="122"/>
      <c r="M2" s="122"/>
      <c r="N2" s="122"/>
      <c r="O2" s="122"/>
      <c r="P2" s="122"/>
      <c r="Q2" s="122"/>
      <c r="R2" s="5"/>
      <c r="S2" s="5"/>
      <c r="T2" s="5"/>
      <c r="U2" s="5"/>
      <c r="V2" s="5"/>
      <c r="W2" s="5"/>
      <c r="X2" s="5"/>
      <c r="Y2" s="5"/>
      <c r="Z2" s="5"/>
      <c r="AA2" s="98"/>
      <c r="AB2" s="5"/>
    </row>
    <row r="3" spans="1:133" ht="15.75" thickBot="1" x14ac:dyDescent="0.3">
      <c r="A3" s="36"/>
      <c r="B3" s="37"/>
      <c r="C3" s="37"/>
      <c r="D3" s="37"/>
      <c r="E3" s="37"/>
      <c r="F3" s="37"/>
      <c r="G3" s="37"/>
      <c r="H3" s="86"/>
      <c r="I3" s="86"/>
      <c r="J3" s="86"/>
      <c r="K3" s="86"/>
      <c r="L3" s="116"/>
      <c r="M3" s="86"/>
      <c r="N3" s="116"/>
      <c r="O3" s="86"/>
      <c r="P3" s="86"/>
      <c r="Q3" s="39"/>
      <c r="R3" s="5"/>
      <c r="S3" s="25" t="s">
        <v>1</v>
      </c>
      <c r="T3" s="123" t="s">
        <v>288</v>
      </c>
      <c r="U3" s="123"/>
      <c r="V3" s="5"/>
      <c r="W3" s="5"/>
      <c r="X3" s="5"/>
      <c r="Y3" s="5"/>
      <c r="Z3" s="5"/>
      <c r="AA3" s="98"/>
      <c r="AB3" s="5"/>
    </row>
    <row r="4" spans="1:133" ht="15" x14ac:dyDescent="0.25">
      <c r="A4" s="133"/>
      <c r="B4" s="134"/>
      <c r="C4" s="134"/>
      <c r="D4" s="134"/>
      <c r="E4" s="134"/>
      <c r="F4" s="134"/>
      <c r="G4" s="135" t="s">
        <v>355</v>
      </c>
      <c r="H4" s="136"/>
      <c r="I4" s="136"/>
      <c r="J4" s="136"/>
      <c r="K4" s="136"/>
      <c r="L4" s="136"/>
      <c r="M4" s="137"/>
      <c r="N4" s="130"/>
      <c r="O4" s="130"/>
      <c r="P4" s="130"/>
      <c r="Q4" s="130"/>
      <c r="R4" s="5"/>
      <c r="S4" s="26" t="s">
        <v>4</v>
      </c>
      <c r="T4" s="123" t="s">
        <v>345</v>
      </c>
      <c r="U4" s="123"/>
      <c r="V4" s="5"/>
      <c r="W4" s="5"/>
      <c r="X4" s="5"/>
      <c r="Y4" s="5"/>
      <c r="Z4" s="5"/>
      <c r="AA4" s="98"/>
      <c r="AB4" s="5"/>
    </row>
    <row r="5" spans="1:133" ht="15" x14ac:dyDescent="0.25">
      <c r="A5" s="126" t="s">
        <v>5</v>
      </c>
      <c r="B5" s="126"/>
      <c r="C5" s="126"/>
      <c r="D5" s="126"/>
      <c r="E5" s="126"/>
      <c r="F5" s="126"/>
      <c r="G5" s="138"/>
      <c r="H5" s="139"/>
      <c r="I5" s="139"/>
      <c r="J5" s="139"/>
      <c r="K5" s="139"/>
      <c r="L5" s="139"/>
      <c r="M5" s="140"/>
      <c r="N5" s="130"/>
      <c r="O5" s="130"/>
      <c r="P5" s="130"/>
      <c r="Q5" s="130"/>
      <c r="R5" s="5"/>
      <c r="S5" s="144" t="s">
        <v>354</v>
      </c>
      <c r="T5" s="123" t="s">
        <v>352</v>
      </c>
      <c r="U5" s="123"/>
      <c r="V5"/>
      <c r="W5"/>
      <c r="X5"/>
      <c r="Z5"/>
      <c r="AA5" s="69"/>
      <c r="AB5"/>
    </row>
    <row r="6" spans="1:133" ht="13.5" thickBot="1" x14ac:dyDescent="0.25">
      <c r="A6" s="86"/>
      <c r="B6" s="87"/>
      <c r="C6" s="87"/>
      <c r="D6" s="87"/>
      <c r="E6" s="86"/>
      <c r="F6" s="93"/>
      <c r="G6" s="141"/>
      <c r="H6" s="142"/>
      <c r="I6" s="142"/>
      <c r="J6" s="142"/>
      <c r="K6" s="142"/>
      <c r="L6" s="142"/>
      <c r="M6" s="143"/>
      <c r="N6" s="116"/>
      <c r="O6" s="86"/>
      <c r="P6" s="86"/>
      <c r="Q6" s="39"/>
      <c r="R6" s="5"/>
      <c r="S6" s="28"/>
      <c r="T6" s="5"/>
      <c r="U6" s="5"/>
      <c r="V6" s="5"/>
      <c r="W6" s="5"/>
      <c r="X6" s="5"/>
      <c r="Y6" s="28"/>
      <c r="Z6" s="5"/>
      <c r="AA6" s="98"/>
      <c r="AB6" s="5"/>
    </row>
    <row r="7" spans="1:133" ht="12.75" customHeight="1" x14ac:dyDescent="0.2">
      <c r="A7" s="132" t="s">
        <v>51</v>
      </c>
      <c r="B7" s="132"/>
      <c r="C7" s="132"/>
      <c r="D7" s="132"/>
      <c r="E7" s="132"/>
      <c r="F7" s="132"/>
      <c r="G7" s="131"/>
      <c r="H7" s="131"/>
      <c r="I7" s="131"/>
      <c r="J7" s="131"/>
      <c r="K7" s="131"/>
      <c r="L7" s="131"/>
      <c r="M7" s="131"/>
      <c r="N7" s="131"/>
      <c r="O7" s="131"/>
      <c r="P7" s="131"/>
      <c r="Q7" s="131"/>
      <c r="R7" s="5"/>
      <c r="S7" s="5"/>
      <c r="T7" s="5"/>
      <c r="U7" s="5"/>
      <c r="V7" s="5"/>
      <c r="W7" s="5"/>
      <c r="X7" s="5"/>
      <c r="Y7" s="5"/>
      <c r="Z7" s="5"/>
      <c r="AA7" s="98"/>
      <c r="AB7" s="5"/>
    </row>
    <row r="8" spans="1:133" s="48" customFormat="1" x14ac:dyDescent="0.2">
      <c r="A8" s="23"/>
      <c r="B8" s="23"/>
      <c r="C8" s="23"/>
      <c r="D8" s="23"/>
      <c r="E8" s="23"/>
      <c r="F8" s="23"/>
      <c r="G8" s="128"/>
      <c r="H8" s="23"/>
      <c r="I8" s="23"/>
      <c r="J8" s="23"/>
      <c r="K8" s="23"/>
      <c r="L8" s="23"/>
      <c r="M8" s="23"/>
      <c r="N8" s="23"/>
      <c r="O8" s="23"/>
      <c r="P8" s="23"/>
      <c r="Q8" s="24"/>
      <c r="R8" s="6"/>
      <c r="S8" s="6"/>
      <c r="T8" s="6"/>
      <c r="U8" s="6"/>
      <c r="V8" s="6"/>
      <c r="W8" s="6"/>
      <c r="X8" s="6"/>
      <c r="Y8" s="6"/>
      <c r="Z8" s="6"/>
      <c r="AA8" s="99"/>
      <c r="AB8" s="6"/>
    </row>
    <row r="9" spans="1:133" x14ac:dyDescent="0.2">
      <c r="A9" s="3"/>
      <c r="B9" s="3"/>
      <c r="C9" s="3"/>
      <c r="D9" s="3"/>
      <c r="E9" s="3"/>
      <c r="F9" s="3"/>
      <c r="G9" s="3"/>
      <c r="H9" s="3"/>
      <c r="I9" s="3"/>
      <c r="J9" s="3"/>
      <c r="K9" s="3"/>
      <c r="L9" s="3"/>
      <c r="M9" s="3"/>
      <c r="N9" s="3"/>
      <c r="O9" s="3"/>
      <c r="P9" s="3"/>
      <c r="Q9" s="3"/>
      <c r="R9" s="3"/>
      <c r="S9" s="3"/>
      <c r="T9" s="3"/>
      <c r="U9" s="3"/>
      <c r="V9" s="3"/>
      <c r="W9" s="3"/>
      <c r="X9" s="3"/>
      <c r="Y9" s="3"/>
      <c r="Z9" s="3"/>
      <c r="AA9" s="100"/>
      <c r="AB9" s="3"/>
    </row>
    <row r="10" spans="1:133" s="49" customFormat="1" ht="12.75" customHeight="1" x14ac:dyDescent="0.2">
      <c r="A10" s="88"/>
      <c r="B10" s="88"/>
      <c r="C10" s="88"/>
      <c r="D10" s="88"/>
      <c r="E10" s="88"/>
      <c r="F10" s="88"/>
      <c r="G10" s="88"/>
      <c r="H10" s="88"/>
      <c r="I10" s="90"/>
      <c r="J10" s="90"/>
      <c r="K10" s="90"/>
      <c r="L10" s="90"/>
      <c r="M10" s="90"/>
      <c r="N10" s="90"/>
      <c r="O10" s="90"/>
      <c r="P10" s="90"/>
      <c r="Q10" s="88"/>
      <c r="R10" s="10"/>
      <c r="S10" s="10"/>
      <c r="T10" s="20" t="s">
        <v>6</v>
      </c>
      <c r="U10" s="20" t="s">
        <v>7</v>
      </c>
      <c r="V10" s="7"/>
      <c r="W10" s="7"/>
      <c r="X10" s="7"/>
      <c r="Y10" s="7"/>
      <c r="Z10" s="7"/>
      <c r="AA10" s="7"/>
      <c r="AB10" s="7"/>
    </row>
    <row r="11" spans="1:133" s="50" customFormat="1" ht="47.25" customHeight="1" x14ac:dyDescent="0.2">
      <c r="A11" s="89" t="s">
        <v>270</v>
      </c>
      <c r="B11" s="89" t="s">
        <v>8</v>
      </c>
      <c r="C11" s="89" t="s">
        <v>271</v>
      </c>
      <c r="D11" s="89" t="s">
        <v>272</v>
      </c>
      <c r="E11" s="89" t="s">
        <v>9</v>
      </c>
      <c r="F11" s="89" t="s">
        <v>275</v>
      </c>
      <c r="G11" s="89" t="s">
        <v>10</v>
      </c>
      <c r="H11" s="89" t="s">
        <v>11</v>
      </c>
      <c r="I11" s="89" t="s">
        <v>12</v>
      </c>
      <c r="J11" s="89" t="s">
        <v>13</v>
      </c>
      <c r="K11" s="89" t="s">
        <v>14</v>
      </c>
      <c r="L11" s="129" t="s">
        <v>347</v>
      </c>
      <c r="M11" s="129" t="s">
        <v>52</v>
      </c>
      <c r="N11" s="129" t="s">
        <v>349</v>
      </c>
      <c r="O11" s="89" t="s">
        <v>15</v>
      </c>
      <c r="P11" s="89" t="s">
        <v>16</v>
      </c>
      <c r="Q11" s="89" t="s">
        <v>17</v>
      </c>
      <c r="R11" s="89" t="s">
        <v>18</v>
      </c>
      <c r="S11" s="91" t="s">
        <v>299</v>
      </c>
      <c r="T11" s="92" t="s">
        <v>20</v>
      </c>
      <c r="U11" s="92" t="s">
        <v>20</v>
      </c>
      <c r="V11" s="92" t="s">
        <v>21</v>
      </c>
      <c r="W11" s="92" t="s">
        <v>22</v>
      </c>
      <c r="X11" s="92" t="s">
        <v>23</v>
      </c>
      <c r="Y11" s="91" t="s">
        <v>24</v>
      </c>
      <c r="Z11" s="92" t="s">
        <v>25</v>
      </c>
      <c r="AA11" s="92" t="s">
        <v>273</v>
      </c>
      <c r="AB11" s="92" t="s">
        <v>26</v>
      </c>
      <c r="AC11" s="44"/>
      <c r="AD11" s="44"/>
      <c r="AE11" s="44"/>
      <c r="AF11" s="44"/>
      <c r="AG11" s="44"/>
      <c r="AH11" s="44"/>
      <c r="AI11" s="44"/>
      <c r="AJ11" s="44"/>
      <c r="AK11" s="44"/>
      <c r="AL11" s="44"/>
      <c r="AM11" s="44"/>
      <c r="AN11" s="44"/>
      <c r="AO11" s="44"/>
      <c r="AP11" s="44"/>
      <c r="AQ11" s="44"/>
      <c r="AR11" s="44"/>
      <c r="AS11" s="44"/>
      <c r="AT11" s="44"/>
      <c r="AU11" s="44"/>
      <c r="AV11" s="44"/>
      <c r="AW11" s="44"/>
      <c r="AX11" s="44"/>
      <c r="AY11" s="44"/>
      <c r="AZ11" s="44"/>
      <c r="BA11" s="44"/>
      <c r="BB11" s="44"/>
      <c r="BC11" s="44"/>
      <c r="BD11" s="44"/>
      <c r="BE11" s="44"/>
      <c r="BF11" s="44"/>
      <c r="BG11" s="44"/>
      <c r="BH11" s="44"/>
      <c r="BI11" s="44"/>
      <c r="BJ11" s="44"/>
      <c r="BK11" s="44"/>
      <c r="BL11" s="44"/>
      <c r="BM11" s="44"/>
      <c r="BN11" s="44"/>
      <c r="BO11" s="44"/>
      <c r="BP11" s="44"/>
      <c r="BQ11" s="44"/>
      <c r="BR11" s="44"/>
      <c r="BS11" s="44"/>
      <c r="BT11" s="44"/>
      <c r="BU11" s="44"/>
      <c r="BV11" s="44"/>
      <c r="BW11" s="44"/>
      <c r="BX11" s="44"/>
      <c r="BY11" s="44"/>
      <c r="BZ11" s="44"/>
      <c r="CA11" s="44"/>
      <c r="CB11" s="44"/>
      <c r="CC11" s="44"/>
      <c r="CD11" s="44"/>
      <c r="CE11" s="44"/>
      <c r="CF11" s="44"/>
      <c r="CG11" s="44"/>
      <c r="CH11" s="44"/>
      <c r="CI11" s="44"/>
      <c r="CJ11" s="44"/>
      <c r="CK11" s="44"/>
      <c r="CL11" s="44"/>
      <c r="CM11" s="44"/>
      <c r="CN11" s="44"/>
      <c r="CO11" s="44"/>
      <c r="CP11" s="44"/>
      <c r="CQ11" s="44"/>
      <c r="CR11" s="44"/>
      <c r="CS11" s="44"/>
      <c r="CT11" s="44"/>
      <c r="CU11" s="44"/>
      <c r="CV11" s="44"/>
      <c r="CW11" s="44"/>
      <c r="CX11" s="44"/>
      <c r="CY11" s="44"/>
      <c r="CZ11" s="44"/>
      <c r="DA11" s="44"/>
      <c r="DB11" s="44"/>
      <c r="DC11" s="44"/>
      <c r="DD11" s="44"/>
      <c r="DE11" s="44"/>
      <c r="DF11" s="44"/>
      <c r="DG11" s="44"/>
      <c r="DH11" s="44"/>
      <c r="DI11" s="44"/>
      <c r="DJ11" s="44"/>
      <c r="DK11" s="44"/>
      <c r="DL11" s="44"/>
      <c r="DM11" s="44"/>
      <c r="DN11" s="44"/>
      <c r="DO11" s="44"/>
      <c r="DP11" s="44"/>
      <c r="DQ11" s="44"/>
      <c r="DR11" s="44"/>
      <c r="DS11" s="44"/>
      <c r="DT11" s="44"/>
      <c r="DU11" s="44"/>
      <c r="DV11" s="44"/>
      <c r="DW11" s="44"/>
      <c r="DX11" s="44"/>
      <c r="DY11" s="44"/>
      <c r="DZ11" s="44"/>
      <c r="EA11" s="44"/>
      <c r="EB11" s="44"/>
      <c r="EC11" s="44"/>
    </row>
    <row r="12" spans="1:133" s="102" customFormat="1" x14ac:dyDescent="0.2">
      <c r="A12" s="33" t="s">
        <v>290</v>
      </c>
      <c r="B12" s="94">
        <v>43979</v>
      </c>
      <c r="C12" s="94"/>
      <c r="D12" s="33"/>
      <c r="E12" s="117" t="s">
        <v>276</v>
      </c>
      <c r="F12" s="30" t="s">
        <v>28</v>
      </c>
      <c r="G12" s="97" t="s">
        <v>64</v>
      </c>
      <c r="H12" s="96" t="s">
        <v>84</v>
      </c>
      <c r="I12" s="96" t="s">
        <v>30</v>
      </c>
      <c r="J12" s="30" t="s">
        <v>28</v>
      </c>
      <c r="K12" s="30" t="s">
        <v>95</v>
      </c>
      <c r="L12" s="30" t="s">
        <v>353</v>
      </c>
      <c r="M12" s="30" t="s">
        <v>348</v>
      </c>
      <c r="N12" s="30" t="s">
        <v>350</v>
      </c>
      <c r="O12" s="32" t="s">
        <v>351</v>
      </c>
      <c r="P12" s="30"/>
      <c r="Q12" s="30" t="s">
        <v>124</v>
      </c>
      <c r="R12" s="30" t="s">
        <v>69</v>
      </c>
      <c r="S12" s="30" t="s">
        <v>28</v>
      </c>
      <c r="T12" s="101" t="s">
        <v>88</v>
      </c>
      <c r="U12" s="30" t="s">
        <v>89</v>
      </c>
      <c r="V12" s="30" t="s">
        <v>28</v>
      </c>
      <c r="W12" s="30" t="s">
        <v>28</v>
      </c>
      <c r="X12" s="30" t="s">
        <v>90</v>
      </c>
      <c r="Y12" s="30" t="s">
        <v>28</v>
      </c>
      <c r="Z12" s="96" t="s">
        <v>307</v>
      </c>
      <c r="AA12" s="106" t="s">
        <v>296</v>
      </c>
      <c r="AB12" s="30" t="str">
        <f>LOWER(CONCATENATE($T$5,"-",L12,"-",Q12,"-",R12,"-",M12,"-",N12,"-",O12,"-",IF(I12="Adserver","tag","contador")))</f>
        <v>covid19-in_market-medium_rectangle-300x250-marca-cpm-institucional_corona-tag</v>
      </c>
      <c r="AC12" s="127" t="s">
        <v>346</v>
      </c>
      <c r="AD12" s="102" t="b">
        <f>AB12=AC12</f>
        <v>1</v>
      </c>
    </row>
    <row r="13" spans="1:133" s="102" customFormat="1" x14ac:dyDescent="0.2">
      <c r="A13" s="33"/>
      <c r="B13" s="94">
        <v>43979</v>
      </c>
      <c r="C13" s="94"/>
      <c r="D13" s="33"/>
      <c r="E13" s="117" t="s">
        <v>276</v>
      </c>
      <c r="F13" s="30" t="s">
        <v>28</v>
      </c>
      <c r="G13" s="97" t="s">
        <v>64</v>
      </c>
      <c r="H13" s="30" t="s">
        <v>101</v>
      </c>
      <c r="I13" s="30" t="s">
        <v>30</v>
      </c>
      <c r="J13" s="30" t="s">
        <v>28</v>
      </c>
      <c r="K13" s="30" t="s">
        <v>95</v>
      </c>
      <c r="L13" s="30"/>
      <c r="M13" s="30"/>
      <c r="N13" s="30"/>
      <c r="O13" s="32" t="s">
        <v>297</v>
      </c>
      <c r="P13" s="30"/>
      <c r="Q13" s="30" t="s">
        <v>251</v>
      </c>
      <c r="R13" s="30" t="s">
        <v>127</v>
      </c>
      <c r="S13" s="30" t="s">
        <v>28</v>
      </c>
      <c r="T13" s="30" t="s">
        <v>28</v>
      </c>
      <c r="U13" s="30" t="s">
        <v>207</v>
      </c>
      <c r="V13" s="104" t="s">
        <v>28</v>
      </c>
      <c r="W13" s="104" t="s">
        <v>28</v>
      </c>
      <c r="X13" s="30" t="s">
        <v>252</v>
      </c>
      <c r="Y13" s="30" t="s">
        <v>28</v>
      </c>
      <c r="Z13" s="30" t="s">
        <v>258</v>
      </c>
      <c r="AA13" s="101"/>
      <c r="AB13" s="30" t="str">
        <f t="shared" ref="AB13:AB43" si="0">LOWER(CONCATENATE($T$5,"-",L13,"-",Q13,"-",R13,"-",M13,"-",N13,"-",O13,"-",IF(I13="Adserver","tag","contador")))</f>
        <v>covid19--native_ads-1200x627---aw_ins_movimenta_corona-voucher-tag</v>
      </c>
      <c r="AC13" s="127"/>
    </row>
    <row r="14" spans="1:133" s="102" customFormat="1" x14ac:dyDescent="0.2">
      <c r="A14" s="33" t="s">
        <v>290</v>
      </c>
      <c r="B14" s="94">
        <v>43979</v>
      </c>
      <c r="C14" s="94"/>
      <c r="D14" s="33"/>
      <c r="E14" s="117" t="s">
        <v>276</v>
      </c>
      <c r="F14" s="30" t="s">
        <v>28</v>
      </c>
      <c r="G14" s="97" t="s">
        <v>64</v>
      </c>
      <c r="H14" s="96" t="s">
        <v>314</v>
      </c>
      <c r="I14" s="96" t="s">
        <v>30</v>
      </c>
      <c r="J14" s="30" t="s">
        <v>28</v>
      </c>
      <c r="K14" s="30" t="s">
        <v>66</v>
      </c>
      <c r="L14" s="30"/>
      <c r="M14" s="30"/>
      <c r="N14" s="30"/>
      <c r="O14" s="32" t="s">
        <v>297</v>
      </c>
      <c r="P14" s="84"/>
      <c r="Q14" s="30" t="s">
        <v>74</v>
      </c>
      <c r="R14" s="30" t="s">
        <v>277</v>
      </c>
      <c r="S14" s="30" t="s">
        <v>28</v>
      </c>
      <c r="T14" s="30" t="s">
        <v>70</v>
      </c>
      <c r="U14" s="30" t="s">
        <v>79</v>
      </c>
      <c r="V14" s="104" t="s">
        <v>28</v>
      </c>
      <c r="W14" s="30" t="s">
        <v>29</v>
      </c>
      <c r="X14" s="45" t="s">
        <v>73</v>
      </c>
      <c r="Y14" s="30" t="s">
        <v>28</v>
      </c>
      <c r="Z14" s="32" t="s">
        <v>28</v>
      </c>
      <c r="AA14" s="106" t="s">
        <v>274</v>
      </c>
      <c r="AB14" s="30" t="str">
        <f t="shared" si="0"/>
        <v>covid19--skyscraper-160x600---aw_ins_movimenta_corona-voucher-tag</v>
      </c>
    </row>
    <row r="15" spans="1:133" s="102" customFormat="1" x14ac:dyDescent="0.2">
      <c r="A15" s="33" t="s">
        <v>290</v>
      </c>
      <c r="B15" s="94">
        <v>43979</v>
      </c>
      <c r="C15" s="94"/>
      <c r="D15" s="33"/>
      <c r="E15" s="117" t="s">
        <v>276</v>
      </c>
      <c r="F15" s="30" t="s">
        <v>28</v>
      </c>
      <c r="G15" s="97" t="s">
        <v>64</v>
      </c>
      <c r="H15" s="96" t="s">
        <v>314</v>
      </c>
      <c r="I15" s="96" t="s">
        <v>30</v>
      </c>
      <c r="J15" s="30" t="s">
        <v>28</v>
      </c>
      <c r="K15" s="30" t="s">
        <v>66</v>
      </c>
      <c r="L15" s="30"/>
      <c r="M15" s="30"/>
      <c r="N15" s="30"/>
      <c r="O15" s="32" t="s">
        <v>297</v>
      </c>
      <c r="P15" s="84"/>
      <c r="Q15" s="30" t="s">
        <v>68</v>
      </c>
      <c r="R15" s="30" t="s">
        <v>69</v>
      </c>
      <c r="S15" s="30" t="s">
        <v>28</v>
      </c>
      <c r="T15" s="30" t="s">
        <v>70</v>
      </c>
      <c r="U15" s="30" t="s">
        <v>79</v>
      </c>
      <c r="V15" s="104" t="s">
        <v>28</v>
      </c>
      <c r="W15" s="30" t="s">
        <v>29</v>
      </c>
      <c r="X15" s="45" t="s">
        <v>73</v>
      </c>
      <c r="Y15" s="30" t="s">
        <v>28</v>
      </c>
      <c r="Z15" s="32" t="s">
        <v>28</v>
      </c>
      <c r="AA15" s="105" t="s">
        <v>274</v>
      </c>
      <c r="AB15" s="30" t="str">
        <f t="shared" si="0"/>
        <v>covid19--retangulo_medio-300x250---aw_ins_movimenta_corona-voucher-tag</v>
      </c>
    </row>
    <row r="16" spans="1:133" s="102" customFormat="1" x14ac:dyDescent="0.2">
      <c r="A16" s="33" t="s">
        <v>290</v>
      </c>
      <c r="B16" s="94">
        <v>43979</v>
      </c>
      <c r="C16" s="94"/>
      <c r="D16" s="33"/>
      <c r="E16" s="117" t="s">
        <v>276</v>
      </c>
      <c r="F16" s="30" t="s">
        <v>28</v>
      </c>
      <c r="G16" s="97" t="s">
        <v>64</v>
      </c>
      <c r="H16" s="96" t="s">
        <v>314</v>
      </c>
      <c r="I16" s="96" t="s">
        <v>30</v>
      </c>
      <c r="J16" s="30" t="s">
        <v>28</v>
      </c>
      <c r="K16" s="30" t="s">
        <v>66</v>
      </c>
      <c r="L16" s="30"/>
      <c r="M16" s="30"/>
      <c r="N16" s="30"/>
      <c r="O16" s="32" t="s">
        <v>297</v>
      </c>
      <c r="P16" s="84"/>
      <c r="Q16" s="30" t="s">
        <v>80</v>
      </c>
      <c r="R16" s="30" t="s">
        <v>81</v>
      </c>
      <c r="S16" s="30" t="s">
        <v>28</v>
      </c>
      <c r="T16" s="30" t="s">
        <v>70</v>
      </c>
      <c r="U16" s="30" t="s">
        <v>79</v>
      </c>
      <c r="V16" s="104" t="s">
        <v>28</v>
      </c>
      <c r="W16" s="30" t="s">
        <v>29</v>
      </c>
      <c r="X16" s="45" t="s">
        <v>73</v>
      </c>
      <c r="Y16" s="30" t="s">
        <v>28</v>
      </c>
      <c r="Z16" s="32" t="s">
        <v>28</v>
      </c>
      <c r="AA16" s="105" t="s">
        <v>274</v>
      </c>
      <c r="AB16" s="30" t="str">
        <f t="shared" si="0"/>
        <v>covid19--mobile_leaderboard-320x50---aw_ins_movimenta_corona-voucher-tag</v>
      </c>
    </row>
    <row r="17" spans="1:28" s="102" customFormat="1" x14ac:dyDescent="0.2">
      <c r="A17" s="33" t="s">
        <v>290</v>
      </c>
      <c r="B17" s="94">
        <v>43979</v>
      </c>
      <c r="C17" s="94"/>
      <c r="D17" s="33"/>
      <c r="E17" s="117" t="s">
        <v>276</v>
      </c>
      <c r="F17" s="30" t="s">
        <v>28</v>
      </c>
      <c r="G17" s="97" t="s">
        <v>64</v>
      </c>
      <c r="H17" s="96" t="s">
        <v>314</v>
      </c>
      <c r="I17" s="96" t="s">
        <v>30</v>
      </c>
      <c r="J17" s="30" t="s">
        <v>28</v>
      </c>
      <c r="K17" s="30" t="s">
        <v>66</v>
      </c>
      <c r="L17" s="30"/>
      <c r="M17" s="30"/>
      <c r="N17" s="30"/>
      <c r="O17" s="32" t="s">
        <v>297</v>
      </c>
      <c r="P17" s="84"/>
      <c r="Q17" s="30" t="s">
        <v>291</v>
      </c>
      <c r="R17" s="30" t="s">
        <v>75</v>
      </c>
      <c r="S17" s="30" t="s">
        <v>28</v>
      </c>
      <c r="T17" s="30" t="s">
        <v>70</v>
      </c>
      <c r="U17" s="30" t="s">
        <v>79</v>
      </c>
      <c r="V17" s="104" t="s">
        <v>28</v>
      </c>
      <c r="W17" s="30" t="s">
        <v>29</v>
      </c>
      <c r="X17" s="45" t="s">
        <v>73</v>
      </c>
      <c r="Y17" s="30" t="s">
        <v>28</v>
      </c>
      <c r="Z17" s="32" t="s">
        <v>28</v>
      </c>
      <c r="AA17" s="106" t="s">
        <v>274</v>
      </c>
      <c r="AB17" s="30" t="str">
        <f t="shared" si="0"/>
        <v>covid19--halfpage-300x600---aw_ins_movimenta_corona-voucher-tag</v>
      </c>
    </row>
    <row r="18" spans="1:28" s="102" customFormat="1" x14ac:dyDescent="0.2">
      <c r="A18" s="33" t="s">
        <v>290</v>
      </c>
      <c r="B18" s="94">
        <v>43979</v>
      </c>
      <c r="C18" s="94"/>
      <c r="D18" s="33"/>
      <c r="E18" s="117" t="s">
        <v>276</v>
      </c>
      <c r="F18" s="30" t="s">
        <v>28</v>
      </c>
      <c r="G18" s="97" t="s">
        <v>64</v>
      </c>
      <c r="H18" s="96" t="s">
        <v>314</v>
      </c>
      <c r="I18" s="96" t="s">
        <v>30</v>
      </c>
      <c r="J18" s="30" t="s">
        <v>28</v>
      </c>
      <c r="K18" s="30" t="s">
        <v>66</v>
      </c>
      <c r="L18" s="30"/>
      <c r="M18" s="30"/>
      <c r="N18" s="30"/>
      <c r="O18" s="32" t="s">
        <v>297</v>
      </c>
      <c r="P18" s="84"/>
      <c r="Q18" s="30" t="s">
        <v>82</v>
      </c>
      <c r="R18" s="30" t="s">
        <v>83</v>
      </c>
      <c r="S18" s="30" t="s">
        <v>28</v>
      </c>
      <c r="T18" s="30" t="s">
        <v>70</v>
      </c>
      <c r="U18" s="30" t="s">
        <v>79</v>
      </c>
      <c r="V18" s="104" t="s">
        <v>28</v>
      </c>
      <c r="W18" s="30" t="s">
        <v>29</v>
      </c>
      <c r="X18" s="45" t="s">
        <v>73</v>
      </c>
      <c r="Y18" s="30" t="s">
        <v>28</v>
      </c>
      <c r="Z18" s="32" t="s">
        <v>28</v>
      </c>
      <c r="AA18" s="105" t="s">
        <v>274</v>
      </c>
      <c r="AB18" s="30" t="str">
        <f t="shared" si="0"/>
        <v>covid19--leaderboard-728x90---aw_ins_movimenta_corona-voucher-tag</v>
      </c>
    </row>
    <row r="19" spans="1:28" s="102" customFormat="1" x14ac:dyDescent="0.2">
      <c r="A19" s="33" t="s">
        <v>290</v>
      </c>
      <c r="B19" s="94">
        <v>43979</v>
      </c>
      <c r="C19" s="94"/>
      <c r="D19" s="33"/>
      <c r="E19" s="117" t="s">
        <v>276</v>
      </c>
      <c r="F19" s="30" t="s">
        <v>28</v>
      </c>
      <c r="G19" s="97" t="s">
        <v>64</v>
      </c>
      <c r="H19" s="96" t="s">
        <v>101</v>
      </c>
      <c r="I19" s="96" t="s">
        <v>30</v>
      </c>
      <c r="J19" s="30" t="s">
        <v>28</v>
      </c>
      <c r="K19" s="30" t="s">
        <v>66</v>
      </c>
      <c r="L19" s="30"/>
      <c r="M19" s="30"/>
      <c r="N19" s="30"/>
      <c r="O19" s="32" t="s">
        <v>297</v>
      </c>
      <c r="P19" s="84"/>
      <c r="Q19" s="30" t="s">
        <v>74</v>
      </c>
      <c r="R19" s="30" t="s">
        <v>277</v>
      </c>
      <c r="S19" s="30" t="s">
        <v>28</v>
      </c>
      <c r="T19" s="30" t="s">
        <v>28</v>
      </c>
      <c r="U19" s="30" t="s">
        <v>79</v>
      </c>
      <c r="V19" s="45" t="s">
        <v>72</v>
      </c>
      <c r="W19" s="30" t="s">
        <v>29</v>
      </c>
      <c r="X19" s="45" t="s">
        <v>73</v>
      </c>
      <c r="Y19" s="30" t="s">
        <v>28</v>
      </c>
      <c r="Z19" s="32" t="s">
        <v>28</v>
      </c>
      <c r="AA19" s="101" t="s">
        <v>278</v>
      </c>
      <c r="AB19" s="30" t="str">
        <f t="shared" si="0"/>
        <v>covid19--skyscraper-160x600---aw_ins_movimenta_corona-voucher-tag</v>
      </c>
    </row>
    <row r="20" spans="1:28" s="102" customFormat="1" x14ac:dyDescent="0.2">
      <c r="A20" s="33" t="s">
        <v>290</v>
      </c>
      <c r="B20" s="94">
        <v>43979</v>
      </c>
      <c r="C20" s="94"/>
      <c r="D20" s="33"/>
      <c r="E20" s="117" t="s">
        <v>276</v>
      </c>
      <c r="F20" s="30" t="s">
        <v>28</v>
      </c>
      <c r="G20" s="97" t="s">
        <v>64</v>
      </c>
      <c r="H20" s="96" t="s">
        <v>101</v>
      </c>
      <c r="I20" s="96" t="s">
        <v>30</v>
      </c>
      <c r="J20" s="30" t="s">
        <v>28</v>
      </c>
      <c r="K20" s="30" t="s">
        <v>66</v>
      </c>
      <c r="L20" s="30"/>
      <c r="M20" s="30"/>
      <c r="N20" s="30"/>
      <c r="O20" s="32" t="s">
        <v>297</v>
      </c>
      <c r="P20" s="84"/>
      <c r="Q20" s="30" t="s">
        <v>68</v>
      </c>
      <c r="R20" s="30" t="s">
        <v>69</v>
      </c>
      <c r="S20" s="30" t="s">
        <v>28</v>
      </c>
      <c r="T20" s="30" t="s">
        <v>28</v>
      </c>
      <c r="U20" s="30" t="s">
        <v>79</v>
      </c>
      <c r="V20" s="45" t="s">
        <v>72</v>
      </c>
      <c r="W20" s="30" t="s">
        <v>29</v>
      </c>
      <c r="X20" s="45" t="s">
        <v>73</v>
      </c>
      <c r="Y20" s="30" t="s">
        <v>28</v>
      </c>
      <c r="Z20" s="32" t="s">
        <v>28</v>
      </c>
      <c r="AA20" s="101" t="s">
        <v>280</v>
      </c>
      <c r="AB20" s="30" t="str">
        <f t="shared" si="0"/>
        <v>covid19--retangulo_medio-300x250---aw_ins_movimenta_corona-voucher-tag</v>
      </c>
    </row>
    <row r="21" spans="1:28" s="102" customFormat="1" x14ac:dyDescent="0.2">
      <c r="A21" s="33" t="s">
        <v>290</v>
      </c>
      <c r="B21" s="94">
        <v>43979</v>
      </c>
      <c r="C21" s="94"/>
      <c r="D21" s="33"/>
      <c r="E21" s="117" t="s">
        <v>276</v>
      </c>
      <c r="F21" s="30" t="s">
        <v>28</v>
      </c>
      <c r="G21" s="97" t="s">
        <v>64</v>
      </c>
      <c r="H21" s="96" t="s">
        <v>101</v>
      </c>
      <c r="I21" s="96" t="s">
        <v>30</v>
      </c>
      <c r="J21" s="30" t="s">
        <v>28</v>
      </c>
      <c r="K21" s="30" t="s">
        <v>66</v>
      </c>
      <c r="L21" s="30"/>
      <c r="M21" s="30"/>
      <c r="N21" s="30"/>
      <c r="O21" s="32" t="s">
        <v>297</v>
      </c>
      <c r="P21" s="84"/>
      <c r="Q21" s="30" t="s">
        <v>80</v>
      </c>
      <c r="R21" s="30" t="s">
        <v>81</v>
      </c>
      <c r="S21" s="30" t="s">
        <v>28</v>
      </c>
      <c r="T21" s="30" t="s">
        <v>28</v>
      </c>
      <c r="U21" s="30" t="s">
        <v>71</v>
      </c>
      <c r="V21" s="45" t="s">
        <v>72</v>
      </c>
      <c r="W21" s="30" t="s">
        <v>29</v>
      </c>
      <c r="X21" s="45" t="s">
        <v>73</v>
      </c>
      <c r="Y21" s="30" t="s">
        <v>28</v>
      </c>
      <c r="Z21" s="32" t="s">
        <v>28</v>
      </c>
      <c r="AA21" s="101"/>
      <c r="AB21" s="30" t="str">
        <f t="shared" si="0"/>
        <v>covid19--mobile_leaderboard-320x50---aw_ins_movimenta_corona-voucher-tag</v>
      </c>
    </row>
    <row r="22" spans="1:28" s="102" customFormat="1" x14ac:dyDescent="0.2">
      <c r="A22" s="33" t="s">
        <v>290</v>
      </c>
      <c r="B22" s="94">
        <v>43979</v>
      </c>
      <c r="C22" s="94"/>
      <c r="D22" s="33"/>
      <c r="E22" s="117" t="s">
        <v>276</v>
      </c>
      <c r="F22" s="30" t="s">
        <v>28</v>
      </c>
      <c r="G22" s="97" t="s">
        <v>64</v>
      </c>
      <c r="H22" s="96" t="s">
        <v>101</v>
      </c>
      <c r="I22" s="96" t="s">
        <v>30</v>
      </c>
      <c r="J22" s="30" t="s">
        <v>28</v>
      </c>
      <c r="K22" s="30" t="s">
        <v>66</v>
      </c>
      <c r="L22" s="30"/>
      <c r="M22" s="30"/>
      <c r="N22" s="30"/>
      <c r="O22" s="32" t="s">
        <v>297</v>
      </c>
      <c r="P22" s="84"/>
      <c r="Q22" s="30" t="s">
        <v>82</v>
      </c>
      <c r="R22" s="30" t="s">
        <v>83</v>
      </c>
      <c r="S22" s="30" t="s">
        <v>28</v>
      </c>
      <c r="T22" s="30" t="s">
        <v>28</v>
      </c>
      <c r="U22" s="30" t="s">
        <v>79</v>
      </c>
      <c r="V22" s="45" t="s">
        <v>72</v>
      </c>
      <c r="W22" s="30" t="s">
        <v>29</v>
      </c>
      <c r="X22" s="45" t="s">
        <v>73</v>
      </c>
      <c r="Y22" s="30" t="s">
        <v>28</v>
      </c>
      <c r="Z22" s="32" t="s">
        <v>28</v>
      </c>
      <c r="AA22" s="101" t="s">
        <v>281</v>
      </c>
      <c r="AB22" s="30" t="str">
        <f t="shared" si="0"/>
        <v>covid19--leaderboard-728x90---aw_ins_movimenta_corona-voucher-tag</v>
      </c>
    </row>
    <row r="23" spans="1:28" s="102" customFormat="1" x14ac:dyDescent="0.2">
      <c r="A23" s="33" t="s">
        <v>290</v>
      </c>
      <c r="B23" s="94">
        <v>43979</v>
      </c>
      <c r="C23" s="94"/>
      <c r="D23" s="33"/>
      <c r="E23" s="117" t="s">
        <v>276</v>
      </c>
      <c r="F23" s="30" t="s">
        <v>28</v>
      </c>
      <c r="G23" s="97" t="s">
        <v>64</v>
      </c>
      <c r="H23" s="30" t="s">
        <v>101</v>
      </c>
      <c r="I23" s="30" t="s">
        <v>30</v>
      </c>
      <c r="J23" s="30" t="s">
        <v>28</v>
      </c>
      <c r="K23" s="30" t="s">
        <v>66</v>
      </c>
      <c r="L23" s="30"/>
      <c r="M23" s="30"/>
      <c r="N23" s="30"/>
      <c r="O23" s="32" t="s">
        <v>297</v>
      </c>
      <c r="P23" s="84"/>
      <c r="Q23" s="30" t="s">
        <v>104</v>
      </c>
      <c r="R23" s="30" t="s">
        <v>105</v>
      </c>
      <c r="S23" s="30" t="s">
        <v>28</v>
      </c>
      <c r="T23" s="30" t="s">
        <v>28</v>
      </c>
      <c r="U23" s="30" t="s">
        <v>293</v>
      </c>
      <c r="V23" s="45" t="s">
        <v>72</v>
      </c>
      <c r="W23" s="30" t="s">
        <v>29</v>
      </c>
      <c r="X23" s="45" t="s">
        <v>73</v>
      </c>
      <c r="Y23" s="30" t="s">
        <v>28</v>
      </c>
      <c r="Z23" s="32" t="s">
        <v>28</v>
      </c>
      <c r="AA23" s="106" t="s">
        <v>294</v>
      </c>
      <c r="AB23" s="30" t="str">
        <f t="shared" si="0"/>
        <v>covid19--billboard-970x250---aw_ins_movimenta_corona-voucher-tag</v>
      </c>
    </row>
    <row r="24" spans="1:28" s="102" customFormat="1" x14ac:dyDescent="0.2">
      <c r="A24" s="33" t="s">
        <v>290</v>
      </c>
      <c r="B24" s="94">
        <v>43979</v>
      </c>
      <c r="C24" s="94"/>
      <c r="D24" s="33"/>
      <c r="E24" s="117" t="s">
        <v>276</v>
      </c>
      <c r="F24" s="30" t="s">
        <v>28</v>
      </c>
      <c r="G24" s="97" t="s">
        <v>64</v>
      </c>
      <c r="H24" s="96" t="s">
        <v>101</v>
      </c>
      <c r="I24" s="96" t="s">
        <v>30</v>
      </c>
      <c r="J24" s="30" t="s">
        <v>28</v>
      </c>
      <c r="K24" s="30" t="s">
        <v>95</v>
      </c>
      <c r="L24" s="30"/>
      <c r="M24" s="30"/>
      <c r="N24" s="30"/>
      <c r="O24" s="32" t="s">
        <v>297</v>
      </c>
      <c r="P24" s="84"/>
      <c r="Q24" s="30" t="s">
        <v>251</v>
      </c>
      <c r="R24" s="30" t="s">
        <v>253</v>
      </c>
      <c r="S24" s="30" t="s">
        <v>28</v>
      </c>
      <c r="T24" s="30" t="s">
        <v>28</v>
      </c>
      <c r="U24" s="30" t="s">
        <v>207</v>
      </c>
      <c r="V24" s="104" t="s">
        <v>28</v>
      </c>
      <c r="W24" s="104" t="s">
        <v>28</v>
      </c>
      <c r="X24" s="30" t="s">
        <v>252</v>
      </c>
      <c r="Y24" s="30" t="s">
        <v>28</v>
      </c>
      <c r="Z24" s="30" t="s">
        <v>259</v>
      </c>
      <c r="AA24" s="101"/>
      <c r="AB24" s="30" t="str">
        <f t="shared" si="0"/>
        <v>covid19--native_ads-627x627---aw_ins_movimenta_corona-voucher-tag</v>
      </c>
    </row>
    <row r="25" spans="1:28" s="102" customFormat="1" x14ac:dyDescent="0.2">
      <c r="A25" s="33" t="s">
        <v>290</v>
      </c>
      <c r="B25" s="94">
        <v>43979</v>
      </c>
      <c r="C25" s="94"/>
      <c r="D25" s="33"/>
      <c r="E25" s="117" t="s">
        <v>276</v>
      </c>
      <c r="F25" s="30" t="s">
        <v>28</v>
      </c>
      <c r="G25" s="97" t="s">
        <v>64</v>
      </c>
      <c r="H25" s="96" t="s">
        <v>84</v>
      </c>
      <c r="I25" s="96" t="s">
        <v>27</v>
      </c>
      <c r="J25" s="30" t="s">
        <v>28</v>
      </c>
      <c r="K25" s="30" t="s">
        <v>95</v>
      </c>
      <c r="L25" s="30"/>
      <c r="M25" s="30"/>
      <c r="N25" s="30"/>
      <c r="O25" s="32" t="s">
        <v>297</v>
      </c>
      <c r="P25" s="107"/>
      <c r="Q25" s="30" t="s">
        <v>313</v>
      </c>
      <c r="R25" s="30" t="s">
        <v>92</v>
      </c>
      <c r="S25" s="30" t="s">
        <v>28</v>
      </c>
      <c r="T25" s="101" t="s">
        <v>88</v>
      </c>
      <c r="U25" s="30" t="s">
        <v>89</v>
      </c>
      <c r="V25" s="30" t="s">
        <v>28</v>
      </c>
      <c r="W25" s="30" t="s">
        <v>28</v>
      </c>
      <c r="X25" s="30" t="s">
        <v>90</v>
      </c>
      <c r="Y25" s="30" t="s">
        <v>28</v>
      </c>
      <c r="Z25" s="96" t="s">
        <v>307</v>
      </c>
      <c r="AA25" s="106" t="s">
        <v>296</v>
      </c>
      <c r="AB25" s="30" t="str">
        <f t="shared" si="0"/>
        <v>covid19--page-post-quadrado-648x648---aw_ins_movimenta_corona-voucher-contador</v>
      </c>
    </row>
    <row r="26" spans="1:28" s="102" customFormat="1" x14ac:dyDescent="0.2">
      <c r="A26" s="33" t="s">
        <v>290</v>
      </c>
      <c r="B26" s="94">
        <v>43979</v>
      </c>
      <c r="C26" s="94"/>
      <c r="D26" s="33"/>
      <c r="E26" s="117" t="s">
        <v>276</v>
      </c>
      <c r="F26" s="30" t="s">
        <v>28</v>
      </c>
      <c r="G26" s="97" t="s">
        <v>64</v>
      </c>
      <c r="H26" s="96" t="s">
        <v>84</v>
      </c>
      <c r="I26" s="96" t="s">
        <v>27</v>
      </c>
      <c r="J26" s="30" t="s">
        <v>28</v>
      </c>
      <c r="K26" s="30" t="s">
        <v>95</v>
      </c>
      <c r="L26" s="30"/>
      <c r="M26" s="30"/>
      <c r="N26" s="30"/>
      <c r="O26" s="32" t="s">
        <v>297</v>
      </c>
      <c r="P26" s="84"/>
      <c r="Q26" s="30" t="s">
        <v>310</v>
      </c>
      <c r="R26" s="30" t="s">
        <v>312</v>
      </c>
      <c r="S26" s="30" t="s">
        <v>28</v>
      </c>
      <c r="T26" s="101" t="s">
        <v>88</v>
      </c>
      <c r="U26" s="30" t="s">
        <v>89</v>
      </c>
      <c r="V26" s="30" t="s">
        <v>28</v>
      </c>
      <c r="W26" s="30" t="s">
        <v>28</v>
      </c>
      <c r="X26" s="30" t="s">
        <v>90</v>
      </c>
      <c r="Y26" s="30" t="s">
        <v>28</v>
      </c>
      <c r="Z26" s="96" t="s">
        <v>307</v>
      </c>
      <c r="AA26" s="106" t="s">
        <v>296</v>
      </c>
      <c r="AB26" s="30" t="str">
        <f t="shared" si="0"/>
        <v>covid19--stories -1080x1920---aw_ins_movimenta_corona-voucher-contador</v>
      </c>
    </row>
    <row r="27" spans="1:28" s="102" customFormat="1" x14ac:dyDescent="0.2">
      <c r="A27" s="33" t="s">
        <v>290</v>
      </c>
      <c r="B27" s="94">
        <v>43979</v>
      </c>
      <c r="C27" s="94"/>
      <c r="D27" s="33"/>
      <c r="E27" s="117" t="s">
        <v>276</v>
      </c>
      <c r="F27" s="30" t="s">
        <v>28</v>
      </c>
      <c r="G27" s="97" t="s">
        <v>64</v>
      </c>
      <c r="H27" s="96" t="s">
        <v>101</v>
      </c>
      <c r="I27" s="96" t="s">
        <v>30</v>
      </c>
      <c r="J27" s="30" t="s">
        <v>28</v>
      </c>
      <c r="K27" s="30" t="s">
        <v>95</v>
      </c>
      <c r="L27" s="30"/>
      <c r="M27" s="30"/>
      <c r="N27" s="30"/>
      <c r="O27" s="32" t="s">
        <v>297</v>
      </c>
      <c r="P27" s="84"/>
      <c r="Q27" s="30" t="s">
        <v>251</v>
      </c>
      <c r="R27" s="30" t="s">
        <v>289</v>
      </c>
      <c r="S27" s="30" t="s">
        <v>28</v>
      </c>
      <c r="T27" s="30" t="s">
        <v>28</v>
      </c>
      <c r="U27" s="30" t="s">
        <v>207</v>
      </c>
      <c r="V27" s="104" t="s">
        <v>28</v>
      </c>
      <c r="W27" s="104" t="s">
        <v>28</v>
      </c>
      <c r="X27" s="30" t="s">
        <v>252</v>
      </c>
      <c r="Y27" s="30" t="s">
        <v>28</v>
      </c>
      <c r="Z27" s="30" t="s">
        <v>287</v>
      </c>
      <c r="AA27" s="101"/>
      <c r="AB27" s="30" t="str">
        <f t="shared" si="0"/>
        <v>covid19--native_ads-180x180---aw_ins_movimenta_corona-voucher-tag</v>
      </c>
    </row>
    <row r="28" spans="1:28" s="102" customFormat="1" x14ac:dyDescent="0.2">
      <c r="A28" s="33" t="s">
        <v>290</v>
      </c>
      <c r="B28" s="94">
        <v>43979</v>
      </c>
      <c r="C28" s="94"/>
      <c r="D28" s="33"/>
      <c r="E28" s="117" t="s">
        <v>276</v>
      </c>
      <c r="F28" s="30" t="s">
        <v>28</v>
      </c>
      <c r="G28" s="97" t="s">
        <v>64</v>
      </c>
      <c r="H28" s="96" t="s">
        <v>84</v>
      </c>
      <c r="I28" s="96" t="s">
        <v>27</v>
      </c>
      <c r="J28" s="30" t="s">
        <v>28</v>
      </c>
      <c r="K28" s="30" t="s">
        <v>95</v>
      </c>
      <c r="L28" s="30"/>
      <c r="M28" s="30"/>
      <c r="N28" s="30"/>
      <c r="O28" s="32" t="s">
        <v>297</v>
      </c>
      <c r="P28" s="84"/>
      <c r="Q28" s="30" t="s">
        <v>133</v>
      </c>
      <c r="R28" s="30" t="s">
        <v>134</v>
      </c>
      <c r="S28" s="30" t="s">
        <v>28</v>
      </c>
      <c r="T28" s="101" t="s">
        <v>88</v>
      </c>
      <c r="U28" s="30" t="s">
        <v>89</v>
      </c>
      <c r="V28" s="30" t="s">
        <v>28</v>
      </c>
      <c r="W28" s="30" t="s">
        <v>28</v>
      </c>
      <c r="X28" s="30" t="s">
        <v>90</v>
      </c>
      <c r="Y28" s="30" t="s">
        <v>28</v>
      </c>
      <c r="Z28" s="96" t="s">
        <v>307</v>
      </c>
      <c r="AA28" s="106" t="s">
        <v>295</v>
      </c>
      <c r="AB28" s="30" t="str">
        <f t="shared" si="0"/>
        <v>covid19--carrossel-1080x1080---aw_ins_movimenta_corona-voucher-contador</v>
      </c>
    </row>
    <row r="29" spans="1:28" s="44" customFormat="1" x14ac:dyDescent="0.2">
      <c r="A29" s="33" t="s">
        <v>290</v>
      </c>
      <c r="B29" s="94">
        <v>43979</v>
      </c>
      <c r="C29" s="94"/>
      <c r="D29" s="33"/>
      <c r="E29" s="117" t="s">
        <v>276</v>
      </c>
      <c r="F29" s="30" t="s">
        <v>28</v>
      </c>
      <c r="G29" s="97" t="s">
        <v>64</v>
      </c>
      <c r="H29" s="96" t="s">
        <v>101</v>
      </c>
      <c r="I29" s="96" t="s">
        <v>30</v>
      </c>
      <c r="J29" s="30" t="s">
        <v>28</v>
      </c>
      <c r="K29" s="30" t="s">
        <v>66</v>
      </c>
      <c r="L29" s="30"/>
      <c r="M29" s="30"/>
      <c r="N29" s="30"/>
      <c r="O29" s="32" t="s">
        <v>297</v>
      </c>
      <c r="P29" s="103"/>
      <c r="Q29" s="30" t="s">
        <v>291</v>
      </c>
      <c r="R29" s="30" t="s">
        <v>75</v>
      </c>
      <c r="S29" s="30" t="s">
        <v>28</v>
      </c>
      <c r="T29" s="30" t="s">
        <v>28</v>
      </c>
      <c r="U29" s="30" t="s">
        <v>292</v>
      </c>
      <c r="V29" s="45" t="s">
        <v>72</v>
      </c>
      <c r="W29" s="30" t="s">
        <v>29</v>
      </c>
      <c r="X29" s="45" t="s">
        <v>73</v>
      </c>
      <c r="Y29" s="30" t="s">
        <v>28</v>
      </c>
      <c r="Z29" s="32"/>
      <c r="AA29" s="101" t="s">
        <v>279</v>
      </c>
      <c r="AB29" s="30" t="str">
        <f t="shared" si="0"/>
        <v>covid19--halfpage-300x600---aw_ins_movimenta_corona-voucher-tag</v>
      </c>
    </row>
    <row r="30" spans="1:28" s="44" customFormat="1" x14ac:dyDescent="0.2">
      <c r="A30" s="33" t="s">
        <v>290</v>
      </c>
      <c r="B30" s="94">
        <v>43979</v>
      </c>
      <c r="C30" s="94"/>
      <c r="D30" s="33"/>
      <c r="E30" s="117" t="s">
        <v>276</v>
      </c>
      <c r="F30" s="30" t="s">
        <v>28</v>
      </c>
      <c r="G30" s="97" t="s">
        <v>64</v>
      </c>
      <c r="H30" s="96" t="s">
        <v>84</v>
      </c>
      <c r="I30" s="96" t="s">
        <v>27</v>
      </c>
      <c r="J30" s="30" t="s">
        <v>28</v>
      </c>
      <c r="K30" s="30" t="s">
        <v>55</v>
      </c>
      <c r="L30" s="30"/>
      <c r="M30" s="30"/>
      <c r="N30" s="30"/>
      <c r="O30" s="32" t="s">
        <v>297</v>
      </c>
      <c r="P30" s="103"/>
      <c r="Q30" s="30" t="s">
        <v>304</v>
      </c>
      <c r="R30" s="30" t="s">
        <v>134</v>
      </c>
      <c r="S30" s="30" t="s">
        <v>28</v>
      </c>
      <c r="T30" s="101" t="s">
        <v>28</v>
      </c>
      <c r="U30" s="30" t="s">
        <v>305</v>
      </c>
      <c r="V30" s="30" t="s">
        <v>72</v>
      </c>
      <c r="W30" s="30" t="s">
        <v>28</v>
      </c>
      <c r="X30" s="30" t="s">
        <v>306</v>
      </c>
      <c r="Y30" s="30" t="s">
        <v>28</v>
      </c>
      <c r="Z30" s="96" t="s">
        <v>307</v>
      </c>
      <c r="AA30" s="111" t="s">
        <v>311</v>
      </c>
      <c r="AB30" s="30" t="str">
        <f t="shared" si="0"/>
        <v>covid19--videoad-1080x1080---aw_ins_movimenta_corona-voucher-contador</v>
      </c>
    </row>
    <row r="31" spans="1:28" s="44" customFormat="1" x14ac:dyDescent="0.2">
      <c r="A31" s="33" t="s">
        <v>290</v>
      </c>
      <c r="B31" s="94">
        <v>43979</v>
      </c>
      <c r="C31" s="94"/>
      <c r="D31" s="33"/>
      <c r="E31" s="117" t="s">
        <v>276</v>
      </c>
      <c r="F31" s="30" t="s">
        <v>28</v>
      </c>
      <c r="G31" s="97" t="s">
        <v>64</v>
      </c>
      <c r="H31" s="96" t="s">
        <v>84</v>
      </c>
      <c r="I31" s="96" t="s">
        <v>27</v>
      </c>
      <c r="J31" s="30" t="s">
        <v>28</v>
      </c>
      <c r="K31" s="30" t="s">
        <v>55</v>
      </c>
      <c r="L31" s="103"/>
      <c r="M31" s="108"/>
      <c r="N31" s="108"/>
      <c r="O31" s="32" t="s">
        <v>297</v>
      </c>
      <c r="P31" s="84"/>
      <c r="Q31" s="30" t="s">
        <v>308</v>
      </c>
      <c r="R31" s="30" t="s">
        <v>312</v>
      </c>
      <c r="S31" s="30" t="s">
        <v>28</v>
      </c>
      <c r="T31" s="101" t="s">
        <v>28</v>
      </c>
      <c r="U31" s="30" t="s">
        <v>305</v>
      </c>
      <c r="V31" s="30" t="s">
        <v>72</v>
      </c>
      <c r="W31" s="30" t="s">
        <v>28</v>
      </c>
      <c r="X31" s="30" t="s">
        <v>306</v>
      </c>
      <c r="Y31" s="30" t="s">
        <v>28</v>
      </c>
      <c r="Z31" s="96" t="s">
        <v>307</v>
      </c>
      <c r="AA31" s="110" t="s">
        <v>309</v>
      </c>
      <c r="AB31" s="30" t="str">
        <f t="shared" si="0"/>
        <v>covid19--stories - animado-1080x1920---aw_ins_movimenta_corona-voucher-contador</v>
      </c>
    </row>
    <row r="32" spans="1:28" s="85" customFormat="1" ht="114.75" x14ac:dyDescent="0.2">
      <c r="A32" s="33" t="s">
        <v>290</v>
      </c>
      <c r="B32" s="94">
        <v>43979</v>
      </c>
      <c r="C32" s="94"/>
      <c r="D32" s="33"/>
      <c r="E32" s="117" t="s">
        <v>276</v>
      </c>
      <c r="F32" s="30" t="s">
        <v>28</v>
      </c>
      <c r="G32" s="97" t="s">
        <v>64</v>
      </c>
      <c r="H32" s="96" t="s">
        <v>101</v>
      </c>
      <c r="I32" s="96" t="s">
        <v>30</v>
      </c>
      <c r="J32" s="30" t="s">
        <v>28</v>
      </c>
      <c r="K32" s="30" t="s">
        <v>55</v>
      </c>
      <c r="L32" s="103"/>
      <c r="M32" s="12"/>
      <c r="N32" s="12"/>
      <c r="O32" s="32" t="s">
        <v>297</v>
      </c>
      <c r="P32" s="12"/>
      <c r="Q32" s="30" t="s">
        <v>112</v>
      </c>
      <c r="R32" s="30" t="s">
        <v>298</v>
      </c>
      <c r="S32" s="30" t="s">
        <v>60</v>
      </c>
      <c r="T32" s="30" t="s">
        <v>28</v>
      </c>
      <c r="U32" s="30" t="s">
        <v>269</v>
      </c>
      <c r="V32" s="45" t="s">
        <v>300</v>
      </c>
      <c r="W32" s="104" t="s">
        <v>28</v>
      </c>
      <c r="X32" s="45" t="s">
        <v>301</v>
      </c>
      <c r="Y32" s="30" t="s">
        <v>28</v>
      </c>
      <c r="Z32" s="32" t="s">
        <v>302</v>
      </c>
      <c r="AA32" s="109" t="s">
        <v>303</v>
      </c>
      <c r="AB32" s="30" t="str">
        <f t="shared" si="0"/>
        <v>covid19--pre-roll-960x540---aw_ins_movimenta_corona-voucher-tag</v>
      </c>
    </row>
    <row r="33" spans="1:28" x14ac:dyDescent="0.2">
      <c r="A33" s="33" t="s">
        <v>290</v>
      </c>
      <c r="B33" s="94">
        <v>43979</v>
      </c>
      <c r="C33" s="94"/>
      <c r="D33" s="33"/>
      <c r="E33" s="117" t="s">
        <v>276</v>
      </c>
      <c r="F33" s="30" t="s">
        <v>28</v>
      </c>
      <c r="G33" s="97" t="s">
        <v>64</v>
      </c>
      <c r="H33" s="96" t="s">
        <v>314</v>
      </c>
      <c r="I33" s="96" t="s">
        <v>30</v>
      </c>
      <c r="J33" s="30" t="s">
        <v>28</v>
      </c>
      <c r="K33" s="30" t="s">
        <v>55</v>
      </c>
      <c r="L33" s="103"/>
      <c r="O33" s="32" t="s">
        <v>297</v>
      </c>
      <c r="Q33" s="30" t="s">
        <v>315</v>
      </c>
      <c r="R33" s="30" t="s">
        <v>316</v>
      </c>
      <c r="S33" s="30" t="s">
        <v>28</v>
      </c>
      <c r="T33" s="30" t="s">
        <v>28</v>
      </c>
      <c r="U33" s="30" t="s">
        <v>317</v>
      </c>
      <c r="V33" s="30" t="s">
        <v>300</v>
      </c>
      <c r="W33" s="30" t="s">
        <v>28</v>
      </c>
      <c r="X33" s="45" t="s">
        <v>318</v>
      </c>
      <c r="Y33" s="30" t="s">
        <v>28</v>
      </c>
      <c r="Z33" s="30" t="s">
        <v>319</v>
      </c>
      <c r="AA33" s="112" t="s">
        <v>320</v>
      </c>
      <c r="AB33" s="30" t="str">
        <f t="shared" si="0"/>
        <v>covid19--trueview-640 x 360---aw_ins_movimenta_corona-voucher-tag</v>
      </c>
    </row>
    <row r="34" spans="1:28" s="44" customFormat="1" ht="63.75" x14ac:dyDescent="0.2">
      <c r="A34" s="33" t="s">
        <v>290</v>
      </c>
      <c r="B34" s="94">
        <v>43979</v>
      </c>
      <c r="C34" s="94"/>
      <c r="D34" s="33"/>
      <c r="E34" s="117" t="s">
        <v>276</v>
      </c>
      <c r="F34" s="30" t="s">
        <v>28</v>
      </c>
      <c r="G34" s="97" t="s">
        <v>64</v>
      </c>
      <c r="H34" s="96" t="s">
        <v>321</v>
      </c>
      <c r="I34" s="96" t="s">
        <v>30</v>
      </c>
      <c r="J34" s="30" t="s">
        <v>28</v>
      </c>
      <c r="K34" s="30" t="s">
        <v>55</v>
      </c>
      <c r="L34" s="103"/>
      <c r="M34" s="114"/>
      <c r="N34" s="114"/>
      <c r="O34" s="32" t="s">
        <v>297</v>
      </c>
      <c r="P34" s="114"/>
      <c r="Q34" s="30" t="s">
        <v>340</v>
      </c>
      <c r="R34" s="30" t="s">
        <v>87</v>
      </c>
      <c r="S34" s="30" t="s">
        <v>28</v>
      </c>
      <c r="T34" s="30" t="s">
        <v>28</v>
      </c>
      <c r="U34" s="30" t="s">
        <v>269</v>
      </c>
      <c r="V34" s="56" t="s">
        <v>28</v>
      </c>
      <c r="W34" s="30" t="s">
        <v>28</v>
      </c>
      <c r="X34" s="30" t="s">
        <v>324</v>
      </c>
      <c r="Y34" s="30" t="s">
        <v>28</v>
      </c>
      <c r="Z34" s="32" t="s">
        <v>341</v>
      </c>
      <c r="AA34" s="115" t="s">
        <v>342</v>
      </c>
      <c r="AB34" s="30" t="str">
        <f t="shared" si="0"/>
        <v>covid19--sponcered content-1200x628---aw_ins_movimenta_corona-voucher-tag</v>
      </c>
    </row>
    <row r="35" spans="1:28" ht="51" x14ac:dyDescent="0.2">
      <c r="A35" s="33" t="s">
        <v>290</v>
      </c>
      <c r="B35" s="94">
        <v>43979</v>
      </c>
      <c r="C35" s="94"/>
      <c r="D35" s="33"/>
      <c r="E35" s="117" t="s">
        <v>276</v>
      </c>
      <c r="F35" s="30" t="s">
        <v>28</v>
      </c>
      <c r="G35" s="97" t="s">
        <v>64</v>
      </c>
      <c r="H35" s="96" t="s">
        <v>321</v>
      </c>
      <c r="I35" s="96" t="s">
        <v>30</v>
      </c>
      <c r="J35" s="30" t="s">
        <v>28</v>
      </c>
      <c r="K35" s="30" t="s">
        <v>95</v>
      </c>
      <c r="L35" s="103"/>
      <c r="O35" s="32" t="s">
        <v>297</v>
      </c>
      <c r="Q35" s="30" t="s">
        <v>133</v>
      </c>
      <c r="R35" s="30" t="s">
        <v>322</v>
      </c>
      <c r="S35" s="30" t="s">
        <v>28</v>
      </c>
      <c r="T35" s="30" t="s">
        <v>28</v>
      </c>
      <c r="U35" s="30" t="s">
        <v>323</v>
      </c>
      <c r="V35" s="30" t="s">
        <v>28</v>
      </c>
      <c r="W35" s="30" t="s">
        <v>28</v>
      </c>
      <c r="X35" s="30" t="s">
        <v>324</v>
      </c>
      <c r="Y35" s="30" t="s">
        <v>28</v>
      </c>
      <c r="Z35" s="113" t="s">
        <v>325</v>
      </c>
      <c r="AA35" s="109" t="s">
        <v>326</v>
      </c>
      <c r="AB35" s="30" t="str">
        <f t="shared" si="0"/>
        <v>covid19--carrossel-1080 x 1080---aw_ins_movimenta_corona-voucher-tag</v>
      </c>
    </row>
    <row r="36" spans="1:28" ht="16.5" customHeight="1" x14ac:dyDescent="0.2">
      <c r="A36" s="33" t="s">
        <v>290</v>
      </c>
      <c r="B36" s="94">
        <v>43979</v>
      </c>
      <c r="C36" s="94"/>
      <c r="D36" s="33"/>
      <c r="E36" s="117" t="s">
        <v>276</v>
      </c>
      <c r="F36" s="30" t="s">
        <v>28</v>
      </c>
      <c r="G36" s="97" t="s">
        <v>64</v>
      </c>
      <c r="H36" s="96" t="s">
        <v>321</v>
      </c>
      <c r="I36" s="96" t="s">
        <v>30</v>
      </c>
      <c r="J36" s="30" t="s">
        <v>28</v>
      </c>
      <c r="K36" s="30" t="s">
        <v>55</v>
      </c>
      <c r="L36" s="103"/>
      <c r="O36" s="32" t="s">
        <v>297</v>
      </c>
      <c r="Q36" s="30" t="s">
        <v>55</v>
      </c>
      <c r="R36" s="30" t="s">
        <v>343</v>
      </c>
      <c r="S36" s="74" t="s">
        <v>344</v>
      </c>
      <c r="T36" s="30" t="s">
        <v>28</v>
      </c>
      <c r="U36" s="30" t="s">
        <v>327</v>
      </c>
      <c r="V36" s="30" t="s">
        <v>300</v>
      </c>
      <c r="W36" s="30" t="s">
        <v>28</v>
      </c>
      <c r="X36" s="30" t="s">
        <v>33</v>
      </c>
      <c r="Y36" s="30" t="s">
        <v>28</v>
      </c>
      <c r="Z36" s="30" t="s">
        <v>328</v>
      </c>
      <c r="AA36" s="112" t="s">
        <v>329</v>
      </c>
      <c r="AB36" s="30" t="str">
        <f t="shared" si="0"/>
        <v>covid19--video-1440 x 1080; largura 1920 x 1080---aw_ins_movimenta_corona-voucher-tag</v>
      </c>
    </row>
    <row r="37" spans="1:28" x14ac:dyDescent="0.2">
      <c r="A37" s="33" t="s">
        <v>290</v>
      </c>
      <c r="B37" s="94">
        <v>43979</v>
      </c>
      <c r="C37" s="94"/>
      <c r="D37" s="33"/>
      <c r="E37" s="117" t="s">
        <v>276</v>
      </c>
      <c r="F37" s="30" t="s">
        <v>28</v>
      </c>
      <c r="G37" s="97" t="s">
        <v>64</v>
      </c>
      <c r="H37" s="96" t="s">
        <v>102</v>
      </c>
      <c r="I37" s="96" t="s">
        <v>30</v>
      </c>
      <c r="J37" s="30" t="s">
        <v>28</v>
      </c>
      <c r="K37" s="30" t="s">
        <v>66</v>
      </c>
      <c r="L37" s="103"/>
      <c r="O37" s="32" t="s">
        <v>297</v>
      </c>
      <c r="Q37" s="30" t="s">
        <v>74</v>
      </c>
      <c r="R37" s="30" t="s">
        <v>277</v>
      </c>
      <c r="S37" s="30" t="s">
        <v>28</v>
      </c>
      <c r="T37" s="30" t="s">
        <v>70</v>
      </c>
      <c r="U37" s="30" t="s">
        <v>79</v>
      </c>
      <c r="V37" s="104" t="s">
        <v>28</v>
      </c>
      <c r="W37" s="30" t="s">
        <v>29</v>
      </c>
      <c r="X37" s="45" t="s">
        <v>73</v>
      </c>
      <c r="Y37" s="30" t="s">
        <v>28</v>
      </c>
      <c r="Z37" s="32" t="s">
        <v>28</v>
      </c>
      <c r="AA37" s="74" t="s">
        <v>28</v>
      </c>
      <c r="AB37" s="30" t="str">
        <f t="shared" si="0"/>
        <v>covid19--skyscraper-160x600---aw_ins_movimenta_corona-voucher-tag</v>
      </c>
    </row>
    <row r="38" spans="1:28" x14ac:dyDescent="0.2">
      <c r="A38" s="33" t="s">
        <v>290</v>
      </c>
      <c r="B38" s="94">
        <v>43979</v>
      </c>
      <c r="C38" s="94"/>
      <c r="D38" s="33"/>
      <c r="E38" s="117" t="s">
        <v>276</v>
      </c>
      <c r="F38" s="30" t="s">
        <v>28</v>
      </c>
      <c r="G38" s="97" t="s">
        <v>64</v>
      </c>
      <c r="H38" s="96" t="s">
        <v>102</v>
      </c>
      <c r="I38" s="96" t="s">
        <v>30</v>
      </c>
      <c r="J38" s="30" t="s">
        <v>28</v>
      </c>
      <c r="K38" s="30" t="s">
        <v>66</v>
      </c>
      <c r="L38" s="103"/>
      <c r="O38" s="32" t="s">
        <v>297</v>
      </c>
      <c r="Q38" s="30" t="s">
        <v>68</v>
      </c>
      <c r="R38" s="30" t="s">
        <v>69</v>
      </c>
      <c r="S38" s="30" t="s">
        <v>28</v>
      </c>
      <c r="T38" s="30" t="s">
        <v>70</v>
      </c>
      <c r="U38" s="30" t="s">
        <v>79</v>
      </c>
      <c r="V38" s="104" t="s">
        <v>28</v>
      </c>
      <c r="W38" s="30" t="s">
        <v>29</v>
      </c>
      <c r="X38" s="45" t="s">
        <v>73</v>
      </c>
      <c r="Y38" s="30" t="s">
        <v>28</v>
      </c>
      <c r="Z38" s="32" t="s">
        <v>28</v>
      </c>
      <c r="AA38" s="74" t="s">
        <v>28</v>
      </c>
      <c r="AB38" s="30" t="str">
        <f t="shared" si="0"/>
        <v>covid19--retangulo_medio-300x250---aw_ins_movimenta_corona-voucher-tag</v>
      </c>
    </row>
    <row r="39" spans="1:28" x14ac:dyDescent="0.2">
      <c r="A39" s="33" t="s">
        <v>290</v>
      </c>
      <c r="B39" s="94">
        <v>43979</v>
      </c>
      <c r="C39" s="94"/>
      <c r="D39" s="33"/>
      <c r="E39" s="117" t="s">
        <v>276</v>
      </c>
      <c r="F39" s="30" t="s">
        <v>28</v>
      </c>
      <c r="G39" s="97" t="s">
        <v>64</v>
      </c>
      <c r="H39" s="96" t="s">
        <v>102</v>
      </c>
      <c r="I39" s="96" t="s">
        <v>30</v>
      </c>
      <c r="J39" s="30" t="s">
        <v>28</v>
      </c>
      <c r="K39" s="30" t="s">
        <v>66</v>
      </c>
      <c r="L39" s="103"/>
      <c r="O39" s="32" t="s">
        <v>297</v>
      </c>
      <c r="Q39" s="30" t="s">
        <v>80</v>
      </c>
      <c r="R39" s="30" t="s">
        <v>81</v>
      </c>
      <c r="S39" s="30" t="s">
        <v>28</v>
      </c>
      <c r="T39" s="30" t="s">
        <v>70</v>
      </c>
      <c r="U39" s="30" t="s">
        <v>79</v>
      </c>
      <c r="V39" s="104" t="s">
        <v>28</v>
      </c>
      <c r="W39" s="30" t="s">
        <v>29</v>
      </c>
      <c r="X39" s="45" t="s">
        <v>73</v>
      </c>
      <c r="Y39" s="30" t="s">
        <v>28</v>
      </c>
      <c r="Z39" s="32" t="s">
        <v>28</v>
      </c>
      <c r="AA39" s="74" t="s">
        <v>28</v>
      </c>
      <c r="AB39" s="30" t="str">
        <f t="shared" si="0"/>
        <v>covid19--mobile_leaderboard-320x50---aw_ins_movimenta_corona-voucher-tag</v>
      </c>
    </row>
    <row r="40" spans="1:28" x14ac:dyDescent="0.2">
      <c r="A40" s="33" t="s">
        <v>290</v>
      </c>
      <c r="B40" s="94">
        <v>43979</v>
      </c>
      <c r="C40" s="94"/>
      <c r="D40" s="33"/>
      <c r="E40" s="117" t="s">
        <v>276</v>
      </c>
      <c r="F40" s="30" t="s">
        <v>28</v>
      </c>
      <c r="G40" s="97" t="s">
        <v>64</v>
      </c>
      <c r="H40" s="96" t="s">
        <v>102</v>
      </c>
      <c r="I40" s="96" t="s">
        <v>30</v>
      </c>
      <c r="J40" s="30" t="s">
        <v>28</v>
      </c>
      <c r="K40" s="30" t="s">
        <v>66</v>
      </c>
      <c r="L40" s="103"/>
      <c r="O40" s="32" t="s">
        <v>297</v>
      </c>
      <c r="Q40" s="30" t="s">
        <v>291</v>
      </c>
      <c r="R40" s="30" t="s">
        <v>75</v>
      </c>
      <c r="S40" s="30" t="s">
        <v>28</v>
      </c>
      <c r="T40" s="30" t="s">
        <v>70</v>
      </c>
      <c r="U40" s="30" t="s">
        <v>79</v>
      </c>
      <c r="V40" s="104" t="s">
        <v>28</v>
      </c>
      <c r="W40" s="30" t="s">
        <v>29</v>
      </c>
      <c r="X40" s="45" t="s">
        <v>73</v>
      </c>
      <c r="Y40" s="30" t="s">
        <v>28</v>
      </c>
      <c r="Z40" s="32" t="s">
        <v>28</v>
      </c>
      <c r="AA40" s="74" t="s">
        <v>28</v>
      </c>
      <c r="AB40" s="30" t="str">
        <f t="shared" si="0"/>
        <v>covid19--halfpage-300x600---aw_ins_movimenta_corona-voucher-tag</v>
      </c>
    </row>
    <row r="41" spans="1:28" x14ac:dyDescent="0.2">
      <c r="A41" s="33" t="s">
        <v>290</v>
      </c>
      <c r="B41" s="94">
        <v>43979</v>
      </c>
      <c r="C41" s="94"/>
      <c r="D41" s="33"/>
      <c r="E41" s="117" t="s">
        <v>276</v>
      </c>
      <c r="F41" s="30" t="s">
        <v>28</v>
      </c>
      <c r="G41" s="97" t="s">
        <v>64</v>
      </c>
      <c r="H41" s="96" t="s">
        <v>102</v>
      </c>
      <c r="I41" s="96" t="s">
        <v>30</v>
      </c>
      <c r="J41" s="30" t="s">
        <v>28</v>
      </c>
      <c r="K41" s="30" t="s">
        <v>66</v>
      </c>
      <c r="L41" s="103"/>
      <c r="O41" s="32" t="s">
        <v>297</v>
      </c>
      <c r="Q41" s="30" t="s">
        <v>82</v>
      </c>
      <c r="R41" s="30" t="s">
        <v>83</v>
      </c>
      <c r="S41" s="30" t="s">
        <v>28</v>
      </c>
      <c r="T41" s="30" t="s">
        <v>70</v>
      </c>
      <c r="U41" s="30" t="s">
        <v>79</v>
      </c>
      <c r="V41" s="104" t="s">
        <v>28</v>
      </c>
      <c r="W41" s="30" t="s">
        <v>29</v>
      </c>
      <c r="X41" s="45" t="s">
        <v>73</v>
      </c>
      <c r="Y41" s="30" t="s">
        <v>28</v>
      </c>
      <c r="Z41" s="32" t="s">
        <v>28</v>
      </c>
      <c r="AA41" s="74" t="s">
        <v>28</v>
      </c>
      <c r="AB41" s="30" t="str">
        <f t="shared" si="0"/>
        <v>covid19--leaderboard-728x90---aw_ins_movimenta_corona-voucher-tag</v>
      </c>
    </row>
    <row r="42" spans="1:28" ht="25.5" x14ac:dyDescent="0.2">
      <c r="A42" s="33" t="s">
        <v>290</v>
      </c>
      <c r="B42" s="94">
        <v>43979</v>
      </c>
      <c r="C42" s="94"/>
      <c r="D42" s="33"/>
      <c r="E42" s="117" t="s">
        <v>276</v>
      </c>
      <c r="F42" s="30" t="s">
        <v>28</v>
      </c>
      <c r="G42" s="97" t="s">
        <v>64</v>
      </c>
      <c r="H42" s="96" t="s">
        <v>330</v>
      </c>
      <c r="I42" s="96" t="s">
        <v>30</v>
      </c>
      <c r="J42" s="30" t="s">
        <v>28</v>
      </c>
      <c r="K42" s="30" t="s">
        <v>95</v>
      </c>
      <c r="L42" s="103"/>
      <c r="O42" s="32" t="s">
        <v>297</v>
      </c>
      <c r="Q42" s="30" t="s">
        <v>331</v>
      </c>
      <c r="R42" s="30" t="s">
        <v>332</v>
      </c>
      <c r="S42" s="30" t="s">
        <v>28</v>
      </c>
      <c r="T42" s="30" t="s">
        <v>28</v>
      </c>
      <c r="U42" s="30" t="s">
        <v>333</v>
      </c>
      <c r="V42" s="104" t="s">
        <v>28</v>
      </c>
      <c r="W42" s="30" t="s">
        <v>28</v>
      </c>
      <c r="X42" s="45" t="s">
        <v>334</v>
      </c>
      <c r="Y42" s="30" t="s">
        <v>28</v>
      </c>
      <c r="Z42" s="32" t="s">
        <v>335</v>
      </c>
      <c r="AA42" s="109" t="s">
        <v>336</v>
      </c>
      <c r="AB42" s="30" t="str">
        <f t="shared" si="0"/>
        <v>covid19--website-card-800 x 800---aw_ins_movimenta_corona-voucher-tag</v>
      </c>
    </row>
    <row r="43" spans="1:28" ht="57.75" customHeight="1" x14ac:dyDescent="0.2">
      <c r="A43" s="33" t="s">
        <v>290</v>
      </c>
      <c r="B43" s="94">
        <v>43979</v>
      </c>
      <c r="C43" s="94"/>
      <c r="D43" s="33"/>
      <c r="E43" s="117" t="s">
        <v>276</v>
      </c>
      <c r="F43" s="30" t="s">
        <v>28</v>
      </c>
      <c r="G43" s="97" t="s">
        <v>64</v>
      </c>
      <c r="H43" s="96" t="s">
        <v>330</v>
      </c>
      <c r="I43" s="96" t="s">
        <v>30</v>
      </c>
      <c r="J43" s="30" t="s">
        <v>28</v>
      </c>
      <c r="K43" s="30" t="s">
        <v>55</v>
      </c>
      <c r="L43" s="103"/>
      <c r="O43" s="32" t="s">
        <v>297</v>
      </c>
      <c r="Q43" s="30" t="s">
        <v>337</v>
      </c>
      <c r="R43" s="30" t="s">
        <v>266</v>
      </c>
      <c r="S43" s="30" t="s">
        <v>28</v>
      </c>
      <c r="T43" s="30" t="s">
        <v>28</v>
      </c>
      <c r="U43" s="30" t="s">
        <v>338</v>
      </c>
      <c r="V43" s="104" t="s">
        <v>28</v>
      </c>
      <c r="W43" s="30" t="s">
        <v>28</v>
      </c>
      <c r="X43" s="30" t="s">
        <v>59</v>
      </c>
      <c r="Y43" s="30" t="s">
        <v>28</v>
      </c>
      <c r="Z43" s="32" t="s">
        <v>339</v>
      </c>
      <c r="AA43" s="109" t="s">
        <v>336</v>
      </c>
      <c r="AB43" s="30" t="str">
        <f t="shared" si="0"/>
        <v>covid19--website-card-video-1200x1200---aw_ins_movimenta_corona-voucher-tag</v>
      </c>
    </row>
  </sheetData>
  <sheetProtection formatCells="0" formatColumns="0" formatRows="0" insertColumns="0" insertRows="0" insertHyperlinks="0" deleteColumns="0" deleteRows="0" sort="0" autoFilter="0" pivotTables="0"/>
  <autoFilter ref="A11:AB43" xr:uid="{9F5D8C56-AD32-458B-A5FB-3A59E68CA99D}"/>
  <mergeCells count="8">
    <mergeCell ref="A1:AB1"/>
    <mergeCell ref="A2:Q2"/>
    <mergeCell ref="T3:U3"/>
    <mergeCell ref="T4:U4"/>
    <mergeCell ref="T5:U5"/>
    <mergeCell ref="A5:F5"/>
    <mergeCell ref="A7:F7"/>
    <mergeCell ref="G4:M6"/>
  </mergeCells>
  <hyperlinks>
    <hyperlink ref="AA12" r:id="rId1" xr:uid="{FC1832AE-57ED-4677-9706-3FFD9ED7B28B}"/>
    <hyperlink ref="AA14" r:id="rId2" xr:uid="{EEBA5E45-BB7F-4687-8605-86CAF7FC4F5E}"/>
    <hyperlink ref="AA17" r:id="rId3" xr:uid="{167A465F-1447-475E-A694-662049551631}"/>
    <hyperlink ref="AA26" r:id="rId4" xr:uid="{47FCAFA8-4D99-4773-8FAB-35A078191710}"/>
    <hyperlink ref="AA28" r:id="rId5" xr:uid="{38E4FC77-0A7E-48D1-8DED-68D9965A63FA}"/>
    <hyperlink ref="AA23" r:id="rId6" xr:uid="{006D3057-EF5E-480C-AA71-C3F303EB79A9}"/>
    <hyperlink ref="AA32" r:id="rId7" xr:uid="{04CA4E81-C341-44E2-AE50-050062C59EDB}"/>
    <hyperlink ref="AA30" r:id="rId8" xr:uid="{777BB66E-AA27-4E71-A2E9-AF68DD9303A6}"/>
    <hyperlink ref="AA25" r:id="rId9" xr:uid="{20162620-39C5-4378-9573-A15878440FC9}"/>
    <hyperlink ref="AA33" r:id="rId10" xr:uid="{2CCD7B67-ACD6-4DA6-BE45-A1FF710CB2A5}"/>
    <hyperlink ref="AA35" r:id="rId11" xr:uid="{5F052D4C-B0E7-466A-B48A-282D4CF5B90C}"/>
    <hyperlink ref="AA36" r:id="rId12" xr:uid="{866A2504-915C-470D-AF38-324DCE7FD6B0}"/>
    <hyperlink ref="AA34" r:id="rId13" xr:uid="{E361554F-EBAE-44DA-AA7E-37C1C2666EA4}"/>
    <hyperlink ref="AA42" r:id="rId14" xr:uid="{BF527048-3BF9-4E22-9C91-4222E3CFDB7B}"/>
    <hyperlink ref="AA43" r:id="rId15" xr:uid="{60C245C7-EED9-4F4C-BF98-958427A8A533}"/>
  </hyperlinks>
  <pageMargins left="0.7" right="0.7" top="0.75" bottom="0.75" header="0.3" footer="0.3"/>
  <pageSetup paperSize="9" orientation="portrait" r:id="rId16"/>
  <legacyDrawing r:id="rId1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F1048554"/>
  <sheetViews>
    <sheetView topLeftCell="A10" zoomScale="80" zoomScaleNormal="80" workbookViewId="0">
      <selection activeCell="F32" sqref="F32"/>
    </sheetView>
  </sheetViews>
  <sheetFormatPr defaultColWidth="9.140625" defaultRowHeight="12.75" x14ac:dyDescent="0.2"/>
  <cols>
    <col min="1" max="1" width="14.5703125" style="27" customWidth="1"/>
    <col min="2" max="2" width="28.140625" style="29" customWidth="1"/>
    <col min="3" max="3" width="17.7109375" style="29" customWidth="1"/>
    <col min="4" max="4" width="10.140625" style="12" bestFit="1" customWidth="1"/>
    <col min="5" max="5" width="15.85546875" style="12" bestFit="1" customWidth="1"/>
    <col min="6" max="6" width="13.7109375" style="12" bestFit="1" customWidth="1"/>
    <col min="7" max="7" width="22.140625" style="12" bestFit="1" customWidth="1"/>
    <col min="8" max="8" width="16.28515625" style="12" customWidth="1"/>
    <col min="9" max="9" width="35" style="12" bestFit="1" customWidth="1"/>
    <col min="10" max="10" width="12.140625" style="12" customWidth="1"/>
    <col min="11" max="11" width="29.28515625" style="12" customWidth="1"/>
    <col min="12" max="12" width="24.28515625" style="12" bestFit="1" customWidth="1"/>
    <col min="13" max="13" width="23.85546875" style="12" customWidth="1"/>
    <col min="14" max="15" width="10.28515625" style="12" customWidth="1"/>
    <col min="16" max="16" width="22.42578125" style="12" customWidth="1"/>
    <col min="17" max="17" width="13.42578125" style="12" customWidth="1"/>
    <col min="18" max="18" width="18.7109375" style="12" customWidth="1"/>
    <col min="19" max="19" width="19.28515625" style="12" customWidth="1"/>
    <col min="20" max="20" width="97.85546875" style="12" customWidth="1"/>
    <col min="21" max="21" width="74" style="12" customWidth="1"/>
    <col min="22" max="39" width="25" style="47" customWidth="1"/>
    <col min="40" max="16384" width="9.140625" style="47"/>
  </cols>
  <sheetData>
    <row r="1" spans="1:21" ht="13.5" thickBot="1" x14ac:dyDescent="0.25">
      <c r="A1" s="119"/>
      <c r="B1" s="119"/>
      <c r="C1" s="119"/>
      <c r="D1" s="119"/>
      <c r="E1" s="119"/>
      <c r="F1" s="119"/>
      <c r="G1" s="119"/>
      <c r="H1" s="119"/>
      <c r="I1" s="119"/>
      <c r="J1" s="119"/>
      <c r="K1" s="119"/>
      <c r="L1" s="119"/>
      <c r="M1" s="119"/>
      <c r="N1" s="119"/>
      <c r="O1" s="119"/>
      <c r="P1" s="119"/>
      <c r="Q1" s="119"/>
      <c r="R1" s="119"/>
      <c r="S1" s="119"/>
      <c r="T1" s="119"/>
      <c r="U1" s="119"/>
    </row>
    <row r="2" spans="1:21" x14ac:dyDescent="0.2">
      <c r="A2" s="120" t="s">
        <v>0</v>
      </c>
      <c r="B2" s="121"/>
      <c r="C2" s="121"/>
      <c r="D2" s="122"/>
      <c r="E2" s="122"/>
      <c r="F2" s="122"/>
      <c r="G2" s="122"/>
      <c r="H2" s="122"/>
      <c r="I2" s="122"/>
      <c r="J2" s="122"/>
      <c r="K2" s="122"/>
      <c r="L2" s="5"/>
      <c r="M2" s="5"/>
      <c r="N2" s="5"/>
      <c r="O2" s="5"/>
      <c r="P2" s="5"/>
      <c r="Q2" s="5"/>
      <c r="R2" s="5"/>
      <c r="S2" s="5"/>
      <c r="T2" s="5"/>
      <c r="U2" s="5"/>
    </row>
    <row r="3" spans="1:21" ht="15" x14ac:dyDescent="0.25">
      <c r="A3" s="36"/>
      <c r="B3" s="37"/>
      <c r="C3" s="37"/>
      <c r="D3" s="38"/>
      <c r="E3" s="38"/>
      <c r="F3" s="38"/>
      <c r="G3" s="38"/>
      <c r="H3" s="46"/>
      <c r="I3" s="38"/>
      <c r="J3" s="38"/>
      <c r="K3" s="39"/>
      <c r="L3" s="5"/>
      <c r="M3" s="25" t="s">
        <v>1</v>
      </c>
      <c r="N3" s="123" t="s">
        <v>2</v>
      </c>
      <c r="O3" s="123"/>
      <c r="P3" s="5"/>
      <c r="Q3" s="5"/>
      <c r="R3" s="5"/>
      <c r="S3" s="5"/>
      <c r="T3" s="5"/>
      <c r="U3" s="5"/>
    </row>
    <row r="4" spans="1:21" ht="15" x14ac:dyDescent="0.25">
      <c r="A4" s="124" t="s">
        <v>3</v>
      </c>
      <c r="B4" s="125"/>
      <c r="C4" s="125"/>
      <c r="D4" s="126"/>
      <c r="E4" s="126"/>
      <c r="F4" s="126"/>
      <c r="G4" s="126"/>
      <c r="H4" s="126"/>
      <c r="I4" s="126"/>
      <c r="J4" s="126"/>
      <c r="K4" s="126"/>
      <c r="L4" s="5"/>
      <c r="M4" s="26" t="s">
        <v>4</v>
      </c>
      <c r="N4" s="123" t="s">
        <v>63</v>
      </c>
      <c r="O4" s="123"/>
      <c r="P4" s="5"/>
      <c r="Q4" s="5"/>
      <c r="R4" s="5"/>
      <c r="S4" s="5"/>
      <c r="T4" s="5"/>
      <c r="U4" s="5"/>
    </row>
    <row r="5" spans="1:21" x14ac:dyDescent="0.2">
      <c r="A5" s="126" t="s">
        <v>5</v>
      </c>
      <c r="B5" s="126"/>
      <c r="C5" s="126"/>
      <c r="D5" s="126"/>
      <c r="E5" s="126"/>
      <c r="F5" s="126"/>
      <c r="G5" s="126"/>
      <c r="H5" s="126"/>
      <c r="I5" s="126"/>
      <c r="J5" s="126"/>
      <c r="K5" s="126"/>
      <c r="L5"/>
      <c r="N5"/>
      <c r="O5"/>
      <c r="P5"/>
      <c r="Q5"/>
      <c r="R5"/>
      <c r="T5"/>
      <c r="U5"/>
    </row>
    <row r="6" spans="1:21" x14ac:dyDescent="0.2">
      <c r="A6" s="38"/>
      <c r="B6" s="38"/>
      <c r="C6" s="38"/>
      <c r="D6" s="38"/>
      <c r="E6" s="38"/>
      <c r="F6" s="38"/>
      <c r="G6" s="38"/>
      <c r="H6" s="46"/>
      <c r="I6" s="38"/>
      <c r="J6" s="38"/>
      <c r="K6" s="39"/>
      <c r="L6" s="5"/>
      <c r="M6" s="28"/>
      <c r="N6" s="5"/>
      <c r="O6" s="5"/>
      <c r="P6" s="5"/>
      <c r="Q6" s="5"/>
      <c r="R6" s="5"/>
      <c r="S6" s="28"/>
      <c r="T6" s="5"/>
      <c r="U6" s="5"/>
    </row>
    <row r="7" spans="1:21" x14ac:dyDescent="0.2">
      <c r="A7" s="118" t="s">
        <v>51</v>
      </c>
      <c r="B7" s="118"/>
      <c r="C7" s="118"/>
      <c r="D7" s="118"/>
      <c r="E7" s="118"/>
      <c r="F7" s="118"/>
      <c r="G7" s="118"/>
      <c r="H7" s="118"/>
      <c r="I7" s="118"/>
      <c r="J7" s="118"/>
      <c r="K7" s="118"/>
      <c r="L7" s="5"/>
      <c r="M7" s="5"/>
      <c r="N7" s="5"/>
      <c r="O7" s="5"/>
      <c r="P7" s="5"/>
      <c r="Q7" s="5"/>
      <c r="R7" s="5"/>
      <c r="S7" s="5"/>
      <c r="T7" s="5"/>
      <c r="U7" s="5"/>
    </row>
    <row r="8" spans="1:21" s="48" customFormat="1" x14ac:dyDescent="0.2">
      <c r="A8" s="23"/>
      <c r="B8" s="23"/>
      <c r="C8" s="23"/>
      <c r="D8" s="23"/>
      <c r="E8" s="23"/>
      <c r="F8" s="23"/>
      <c r="G8" s="23"/>
      <c r="H8" s="23"/>
      <c r="I8" s="23"/>
      <c r="J8" s="23"/>
      <c r="K8" s="24"/>
      <c r="L8" s="6"/>
      <c r="M8" s="6"/>
      <c r="N8" s="6"/>
      <c r="O8" s="6"/>
      <c r="P8" s="6"/>
      <c r="Q8" s="6"/>
      <c r="R8" s="6"/>
      <c r="S8" s="6"/>
      <c r="T8" s="6"/>
      <c r="U8" s="6"/>
    </row>
    <row r="9" spans="1:21" x14ac:dyDescent="0.2">
      <c r="A9" s="3"/>
      <c r="B9" s="3"/>
      <c r="C9" s="3"/>
      <c r="D9" s="3"/>
      <c r="E9" s="3"/>
      <c r="F9" s="3"/>
      <c r="G9" s="3"/>
      <c r="H9" s="3"/>
      <c r="I9" s="3"/>
      <c r="J9" s="3"/>
      <c r="K9" s="3"/>
      <c r="L9" s="3"/>
      <c r="M9" s="3"/>
      <c r="N9" s="3"/>
      <c r="O9" s="3"/>
      <c r="P9" s="3"/>
      <c r="Q9" s="3"/>
      <c r="R9" s="3"/>
      <c r="S9" s="3"/>
      <c r="T9" s="3"/>
      <c r="U9" s="3"/>
    </row>
    <row r="10" spans="1:21" s="49" customFormat="1" ht="12.75" customHeight="1" x14ac:dyDescent="0.2">
      <c r="A10" s="8"/>
      <c r="B10" s="8"/>
      <c r="C10" s="8"/>
      <c r="D10" s="8"/>
      <c r="E10" s="9"/>
      <c r="F10" s="9"/>
      <c r="G10" s="9"/>
      <c r="H10" s="9"/>
      <c r="I10" s="9"/>
      <c r="J10" s="9"/>
      <c r="K10" s="8"/>
      <c r="L10" s="10"/>
      <c r="M10" s="10"/>
      <c r="N10" s="20" t="s">
        <v>6</v>
      </c>
      <c r="O10" s="20" t="s">
        <v>7</v>
      </c>
      <c r="P10" s="7"/>
      <c r="Q10" s="7"/>
      <c r="R10" s="7"/>
      <c r="S10" s="7"/>
      <c r="T10" s="7"/>
      <c r="U10" s="7"/>
    </row>
    <row r="11" spans="1:21" s="50" customFormat="1" ht="25.5" x14ac:dyDescent="0.2">
      <c r="A11" s="41" t="s">
        <v>8</v>
      </c>
      <c r="B11" s="41" t="s">
        <v>9</v>
      </c>
      <c r="C11" s="41" t="s">
        <v>10</v>
      </c>
      <c r="D11" s="41" t="s">
        <v>11</v>
      </c>
      <c r="E11" s="40" t="s">
        <v>12</v>
      </c>
      <c r="F11" s="40" t="s">
        <v>13</v>
      </c>
      <c r="G11" s="41" t="s">
        <v>14</v>
      </c>
      <c r="H11" s="41" t="s">
        <v>52</v>
      </c>
      <c r="I11" s="41" t="s">
        <v>15</v>
      </c>
      <c r="J11" s="41" t="s">
        <v>16</v>
      </c>
      <c r="K11" s="41" t="s">
        <v>17</v>
      </c>
      <c r="L11" s="42" t="s">
        <v>18</v>
      </c>
      <c r="M11" s="21" t="s">
        <v>19</v>
      </c>
      <c r="N11" s="22" t="s">
        <v>20</v>
      </c>
      <c r="O11" s="22" t="s">
        <v>20</v>
      </c>
      <c r="P11" s="22" t="s">
        <v>21</v>
      </c>
      <c r="Q11" s="22" t="s">
        <v>22</v>
      </c>
      <c r="R11" s="43" t="s">
        <v>23</v>
      </c>
      <c r="S11" s="21" t="s">
        <v>24</v>
      </c>
      <c r="T11" s="22" t="s">
        <v>25</v>
      </c>
      <c r="U11" s="43" t="s">
        <v>26</v>
      </c>
    </row>
    <row r="12" spans="1:21" s="44" customFormat="1" ht="13.5" customHeight="1" x14ac:dyDescent="0.2">
      <c r="A12" s="33">
        <v>43675</v>
      </c>
      <c r="B12" s="51" t="s">
        <v>53</v>
      </c>
      <c r="C12" s="33" t="s">
        <v>54</v>
      </c>
      <c r="D12" s="30" t="s">
        <v>223</v>
      </c>
      <c r="E12" s="30" t="s">
        <v>27</v>
      </c>
      <c r="G12" s="30" t="s">
        <v>55</v>
      </c>
      <c r="H12" s="30" t="s">
        <v>56</v>
      </c>
      <c r="I12" s="31" t="s">
        <v>57</v>
      </c>
      <c r="J12" s="30"/>
      <c r="K12" s="30" t="s">
        <v>58</v>
      </c>
      <c r="L12" s="30" t="s">
        <v>60</v>
      </c>
      <c r="M12" s="45" t="s">
        <v>28</v>
      </c>
      <c r="N12" s="45" t="s">
        <v>28</v>
      </c>
      <c r="O12" s="45" t="s">
        <v>28</v>
      </c>
      <c r="P12" s="30" t="s">
        <v>28</v>
      </c>
      <c r="Q12" s="30" t="s">
        <v>29</v>
      </c>
      <c r="R12" s="45" t="s">
        <v>59</v>
      </c>
      <c r="S12" s="30" t="s">
        <v>28</v>
      </c>
      <c r="T12" s="35" t="s">
        <v>62</v>
      </c>
      <c r="U12" s="32" t="str">
        <f t="shared" ref="U12:U18" si="0">LOWER(CONCATENATE($N$3,"_",IF(E12="Adserver","Adserver",D12),"_",J12,"_",I12,"_",L12,))</f>
        <v>cielo_youtube__aw_ins_nova-cielo_1920x1080</v>
      </c>
    </row>
    <row r="13" spans="1:21" s="44" customFormat="1" ht="13.5" customHeight="1" x14ac:dyDescent="0.2">
      <c r="A13" s="33">
        <v>43675</v>
      </c>
      <c r="B13" s="51" t="s">
        <v>53</v>
      </c>
      <c r="C13" s="33" t="s">
        <v>54</v>
      </c>
      <c r="D13" s="30" t="s">
        <v>223</v>
      </c>
      <c r="E13" s="30" t="s">
        <v>27</v>
      </c>
      <c r="F13" s="30" t="s">
        <v>28</v>
      </c>
      <c r="G13" s="30" t="s">
        <v>55</v>
      </c>
      <c r="H13" s="30" t="s">
        <v>56</v>
      </c>
      <c r="I13" s="31" t="s">
        <v>57</v>
      </c>
      <c r="J13" s="30"/>
      <c r="K13" s="30" t="s">
        <v>58</v>
      </c>
      <c r="L13" s="30" t="s">
        <v>60</v>
      </c>
      <c r="M13" s="45" t="s">
        <v>28</v>
      </c>
      <c r="N13" s="45" t="s">
        <v>28</v>
      </c>
      <c r="O13" s="45" t="s">
        <v>28</v>
      </c>
      <c r="P13" s="30" t="s">
        <v>28</v>
      </c>
      <c r="Q13" s="30" t="s">
        <v>29</v>
      </c>
      <c r="R13" s="45" t="s">
        <v>59</v>
      </c>
      <c r="S13" s="30" t="s">
        <v>28</v>
      </c>
      <c r="T13" s="35" t="s">
        <v>61</v>
      </c>
      <c r="U13" s="32" t="str">
        <f t="shared" si="0"/>
        <v>cielo_youtube__aw_ins_nova-cielo_1920x1080</v>
      </c>
    </row>
    <row r="14" spans="1:21" s="44" customFormat="1" ht="13.5" customHeight="1" x14ac:dyDescent="0.2">
      <c r="A14" s="33">
        <v>43675</v>
      </c>
      <c r="B14" s="51" t="s">
        <v>53</v>
      </c>
      <c r="C14" s="33" t="s">
        <v>64</v>
      </c>
      <c r="D14" s="30" t="s">
        <v>65</v>
      </c>
      <c r="E14" s="30" t="s">
        <v>30</v>
      </c>
      <c r="F14" s="30" t="s">
        <v>31</v>
      </c>
      <c r="G14" s="30" t="s">
        <v>66</v>
      </c>
      <c r="H14" s="30" t="s">
        <v>67</v>
      </c>
      <c r="I14" s="31" t="s">
        <v>57</v>
      </c>
      <c r="J14" s="30"/>
      <c r="K14" s="30" t="s">
        <v>68</v>
      </c>
      <c r="L14" s="30" t="s">
        <v>69</v>
      </c>
      <c r="M14" s="45"/>
      <c r="N14" s="30" t="s">
        <v>70</v>
      </c>
      <c r="O14" s="30" t="s">
        <v>71</v>
      </c>
      <c r="P14" s="30" t="s">
        <v>72</v>
      </c>
      <c r="Q14" s="30" t="s">
        <v>29</v>
      </c>
      <c r="R14" s="45" t="s">
        <v>73</v>
      </c>
      <c r="S14" s="30"/>
      <c r="T14" s="34"/>
      <c r="U14" s="32" t="str">
        <f t="shared" si="0"/>
        <v>cielo_adserver__aw_ins_nova-cielo_300x250</v>
      </c>
    </row>
    <row r="15" spans="1:21" s="44" customFormat="1" ht="13.5" customHeight="1" x14ac:dyDescent="0.2">
      <c r="A15" s="33">
        <v>43675</v>
      </c>
      <c r="B15" s="51" t="s">
        <v>53</v>
      </c>
      <c r="C15" s="33" t="s">
        <v>64</v>
      </c>
      <c r="D15" s="30" t="s">
        <v>65</v>
      </c>
      <c r="E15" s="30" t="s">
        <v>30</v>
      </c>
      <c r="F15" s="30" t="s">
        <v>31</v>
      </c>
      <c r="G15" s="30" t="s">
        <v>66</v>
      </c>
      <c r="H15" s="30" t="s">
        <v>67</v>
      </c>
      <c r="I15" s="31" t="s">
        <v>57</v>
      </c>
      <c r="J15" s="30"/>
      <c r="K15" s="30" t="s">
        <v>74</v>
      </c>
      <c r="L15" s="30" t="s">
        <v>75</v>
      </c>
      <c r="M15" s="45"/>
      <c r="N15" s="30" t="s">
        <v>70</v>
      </c>
      <c r="O15" s="30" t="s">
        <v>71</v>
      </c>
      <c r="P15" s="30" t="s">
        <v>72</v>
      </c>
      <c r="Q15" s="30" t="s">
        <v>29</v>
      </c>
      <c r="R15" s="45" t="s">
        <v>73</v>
      </c>
      <c r="S15" s="30"/>
      <c r="T15" s="34"/>
      <c r="U15" s="32" t="str">
        <f t="shared" si="0"/>
        <v>cielo_adserver__aw_ins_nova-cielo_300x600</v>
      </c>
    </row>
    <row r="16" spans="1:21" s="44" customFormat="1" ht="13.5" customHeight="1" x14ac:dyDescent="0.2">
      <c r="A16" s="33">
        <v>43675</v>
      </c>
      <c r="B16" s="51" t="s">
        <v>53</v>
      </c>
      <c r="C16" s="33" t="s">
        <v>64</v>
      </c>
      <c r="D16" s="30" t="s">
        <v>65</v>
      </c>
      <c r="E16" s="30" t="s">
        <v>30</v>
      </c>
      <c r="F16" s="30" t="s">
        <v>31</v>
      </c>
      <c r="G16" s="30" t="s">
        <v>66</v>
      </c>
      <c r="H16" s="30" t="s">
        <v>67</v>
      </c>
      <c r="I16" s="31" t="s">
        <v>57</v>
      </c>
      <c r="J16" s="30"/>
      <c r="K16" s="30" t="s">
        <v>76</v>
      </c>
      <c r="L16" s="30" t="s">
        <v>77</v>
      </c>
      <c r="M16" s="45"/>
      <c r="N16" s="30" t="s">
        <v>78</v>
      </c>
      <c r="O16" s="30" t="s">
        <v>79</v>
      </c>
      <c r="P16" s="30" t="s">
        <v>72</v>
      </c>
      <c r="Q16" s="30" t="s">
        <v>29</v>
      </c>
      <c r="R16" s="45" t="s">
        <v>73</v>
      </c>
      <c r="S16" s="30"/>
      <c r="T16" s="34"/>
      <c r="U16" s="32" t="str">
        <f t="shared" si="0"/>
        <v>cielo_adserver__aw_ins_nova-cielo_320x100</v>
      </c>
    </row>
    <row r="17" spans="1:22" s="44" customFormat="1" ht="13.5" customHeight="1" x14ac:dyDescent="0.2">
      <c r="A17" s="33">
        <v>43675</v>
      </c>
      <c r="B17" s="51" t="s">
        <v>53</v>
      </c>
      <c r="C17" s="33" t="s">
        <v>64</v>
      </c>
      <c r="D17" s="30" t="s">
        <v>65</v>
      </c>
      <c r="E17" s="30" t="s">
        <v>30</v>
      </c>
      <c r="F17" s="30" t="s">
        <v>31</v>
      </c>
      <c r="G17" s="30" t="s">
        <v>66</v>
      </c>
      <c r="H17" s="30" t="s">
        <v>67</v>
      </c>
      <c r="I17" s="31" t="s">
        <v>57</v>
      </c>
      <c r="J17" s="30"/>
      <c r="K17" s="30" t="s">
        <v>80</v>
      </c>
      <c r="L17" s="30" t="s">
        <v>81</v>
      </c>
      <c r="M17" s="45"/>
      <c r="N17" s="30" t="s">
        <v>78</v>
      </c>
      <c r="O17" s="30" t="s">
        <v>79</v>
      </c>
      <c r="P17" s="30" t="s">
        <v>72</v>
      </c>
      <c r="Q17" s="30" t="s">
        <v>29</v>
      </c>
      <c r="R17" s="45" t="s">
        <v>73</v>
      </c>
      <c r="S17" s="30"/>
      <c r="T17" s="35"/>
      <c r="U17" s="32" t="str">
        <f t="shared" si="0"/>
        <v>cielo_adserver__aw_ins_nova-cielo_320x50</v>
      </c>
    </row>
    <row r="18" spans="1:22" s="44" customFormat="1" ht="13.5" customHeight="1" x14ac:dyDescent="0.2">
      <c r="A18" s="33">
        <v>43675</v>
      </c>
      <c r="B18" s="51" t="s">
        <v>53</v>
      </c>
      <c r="C18" s="33" t="s">
        <v>64</v>
      </c>
      <c r="D18" s="30" t="s">
        <v>65</v>
      </c>
      <c r="E18" s="30" t="s">
        <v>30</v>
      </c>
      <c r="F18" s="30" t="s">
        <v>31</v>
      </c>
      <c r="G18" s="30" t="s">
        <v>66</v>
      </c>
      <c r="H18" s="30" t="s">
        <v>67</v>
      </c>
      <c r="I18" s="31" t="s">
        <v>57</v>
      </c>
      <c r="J18" s="30"/>
      <c r="K18" s="30" t="s">
        <v>82</v>
      </c>
      <c r="L18" s="30" t="s">
        <v>83</v>
      </c>
      <c r="M18" s="45"/>
      <c r="N18" s="30" t="s">
        <v>70</v>
      </c>
      <c r="O18" s="30" t="s">
        <v>71</v>
      </c>
      <c r="P18" s="30" t="s">
        <v>72</v>
      </c>
      <c r="Q18" s="30" t="s">
        <v>29</v>
      </c>
      <c r="R18" s="45" t="s">
        <v>73</v>
      </c>
      <c r="S18" s="30"/>
      <c r="T18" s="35"/>
      <c r="U18" s="32" t="str">
        <f t="shared" si="0"/>
        <v>cielo_adserver__aw_ins_nova-cielo_728x90</v>
      </c>
    </row>
    <row r="19" spans="1:22" s="44" customFormat="1" ht="13.5" customHeight="1" x14ac:dyDescent="0.2">
      <c r="A19" s="33">
        <v>43675</v>
      </c>
      <c r="B19" s="51" t="s">
        <v>53</v>
      </c>
      <c r="C19" s="33" t="s">
        <v>64</v>
      </c>
      <c r="D19" s="30" t="s">
        <v>84</v>
      </c>
      <c r="E19" s="30" t="s">
        <v>27</v>
      </c>
      <c r="F19" s="30" t="s">
        <v>28</v>
      </c>
      <c r="G19" s="30" t="s">
        <v>85</v>
      </c>
      <c r="H19" s="30" t="s">
        <v>67</v>
      </c>
      <c r="I19" s="31" t="s">
        <v>57</v>
      </c>
      <c r="J19" s="30"/>
      <c r="K19" s="30" t="s">
        <v>93</v>
      </c>
      <c r="L19" s="30" t="s">
        <v>132</v>
      </c>
      <c r="M19" s="30"/>
      <c r="N19" s="30" t="s">
        <v>88</v>
      </c>
      <c r="O19" s="30" t="s">
        <v>89</v>
      </c>
      <c r="P19" s="30"/>
      <c r="Q19" s="30"/>
      <c r="R19" s="45" t="s">
        <v>90</v>
      </c>
      <c r="S19" s="30"/>
      <c r="T19" s="35"/>
      <c r="U19" s="32" t="str">
        <f t="shared" ref="U19:U32" si="1">LOWER(CONCATENATE($N$3,"_",IF(E19="Adserver","Adserver",D19),"_",J19,"_",I19,"_",L19,))</f>
        <v>cielo_facebook__aw_ins_nova-cielo_600x600</v>
      </c>
    </row>
    <row r="20" spans="1:22" s="44" customFormat="1" ht="13.5" customHeight="1" x14ac:dyDescent="0.2">
      <c r="A20" s="33">
        <v>43691</v>
      </c>
      <c r="B20" s="51" t="s">
        <v>53</v>
      </c>
      <c r="C20" s="33" t="s">
        <v>119</v>
      </c>
      <c r="D20" s="30" t="s">
        <v>94</v>
      </c>
      <c r="E20" s="30" t="s">
        <v>30</v>
      </c>
      <c r="F20" s="30" t="s">
        <v>28</v>
      </c>
      <c r="G20" s="30" t="s">
        <v>85</v>
      </c>
      <c r="H20" s="30" t="s">
        <v>67</v>
      </c>
      <c r="I20" s="31" t="s">
        <v>57</v>
      </c>
      <c r="J20" s="30"/>
      <c r="K20" s="30" t="s">
        <v>211</v>
      </c>
      <c r="L20" s="30" t="s">
        <v>184</v>
      </c>
      <c r="M20" s="30" t="s">
        <v>28</v>
      </c>
      <c r="N20" s="30" t="s">
        <v>28</v>
      </c>
      <c r="O20" s="30" t="s">
        <v>28</v>
      </c>
      <c r="P20" s="30" t="s">
        <v>28</v>
      </c>
      <c r="Q20" s="30" t="s">
        <v>28</v>
      </c>
      <c r="R20" s="45" t="s">
        <v>212</v>
      </c>
      <c r="S20" s="30" t="s">
        <v>28</v>
      </c>
      <c r="T20" s="53" t="s">
        <v>213</v>
      </c>
      <c r="U20" s="32" t="str">
        <f t="shared" si="1"/>
        <v>cielo_adserver__aw_ins_nova-cielo_320x480</v>
      </c>
    </row>
    <row r="21" spans="1:22" x14ac:dyDescent="0.2">
      <c r="A21" s="33">
        <v>43675</v>
      </c>
      <c r="B21" s="51" t="s">
        <v>53</v>
      </c>
      <c r="C21" s="33" t="s">
        <v>64</v>
      </c>
      <c r="D21" s="30" t="s">
        <v>102</v>
      </c>
      <c r="E21" s="30" t="s">
        <v>30</v>
      </c>
      <c r="F21" s="30" t="s">
        <v>28</v>
      </c>
      <c r="G21" s="30" t="s">
        <v>95</v>
      </c>
      <c r="H21" s="30" t="s">
        <v>67</v>
      </c>
      <c r="I21" s="31" t="s">
        <v>57</v>
      </c>
      <c r="J21" s="30"/>
      <c r="K21" s="30" t="s">
        <v>99</v>
      </c>
      <c r="L21" s="30" t="s">
        <v>100</v>
      </c>
      <c r="M21" s="30" t="s">
        <v>28</v>
      </c>
      <c r="N21" s="30" t="s">
        <v>28</v>
      </c>
      <c r="O21" s="30" t="s">
        <v>70</v>
      </c>
      <c r="P21" s="30" t="s">
        <v>28</v>
      </c>
      <c r="Q21" s="30" t="s">
        <v>28</v>
      </c>
      <c r="R21" s="45" t="s">
        <v>97</v>
      </c>
      <c r="S21" s="30" t="s">
        <v>28</v>
      </c>
      <c r="T21" s="45"/>
      <c r="U21" s="30" t="str">
        <f t="shared" si="1"/>
        <v>cielo_adserver__aw_ins_nova-cielo_120x600</v>
      </c>
      <c r="V21" s="34"/>
    </row>
    <row r="22" spans="1:22" x14ac:dyDescent="0.2">
      <c r="A22" s="33">
        <v>43675</v>
      </c>
      <c r="B22" s="51" t="s">
        <v>53</v>
      </c>
      <c r="C22" s="33" t="s">
        <v>64</v>
      </c>
      <c r="D22" s="30" t="s">
        <v>102</v>
      </c>
      <c r="E22" s="30" t="s">
        <v>30</v>
      </c>
      <c r="F22" s="30" t="s">
        <v>28</v>
      </c>
      <c r="G22" s="30" t="s">
        <v>95</v>
      </c>
      <c r="H22" s="30" t="s">
        <v>67</v>
      </c>
      <c r="I22" s="31" t="s">
        <v>57</v>
      </c>
      <c r="J22" s="30"/>
      <c r="K22" s="30" t="s">
        <v>103</v>
      </c>
      <c r="L22" s="30" t="s">
        <v>69</v>
      </c>
      <c r="M22" s="30" t="s">
        <v>28</v>
      </c>
      <c r="N22" s="30" t="s">
        <v>28</v>
      </c>
      <c r="O22" s="30" t="s">
        <v>70</v>
      </c>
      <c r="P22" s="30" t="s">
        <v>28</v>
      </c>
      <c r="Q22" s="30" t="s">
        <v>28</v>
      </c>
      <c r="R22" s="45" t="s">
        <v>97</v>
      </c>
      <c r="S22" s="30" t="s">
        <v>28</v>
      </c>
      <c r="T22" s="45" t="s">
        <v>28</v>
      </c>
      <c r="U22" s="30" t="str">
        <f t="shared" si="1"/>
        <v>cielo_adserver__aw_ins_nova-cielo_300x250</v>
      </c>
      <c r="V22" s="34"/>
    </row>
    <row r="23" spans="1:22" x14ac:dyDescent="0.2">
      <c r="A23" s="33">
        <v>43675</v>
      </c>
      <c r="B23" s="51" t="s">
        <v>53</v>
      </c>
      <c r="C23" s="33" t="s">
        <v>64</v>
      </c>
      <c r="D23" s="30" t="s">
        <v>102</v>
      </c>
      <c r="E23" s="30" t="s">
        <v>30</v>
      </c>
      <c r="F23" s="30" t="s">
        <v>28</v>
      </c>
      <c r="G23" s="30" t="s">
        <v>95</v>
      </c>
      <c r="H23" s="30" t="s">
        <v>67</v>
      </c>
      <c r="I23" s="31" t="s">
        <v>57</v>
      </c>
      <c r="J23" s="30"/>
      <c r="K23" s="30" t="s">
        <v>104</v>
      </c>
      <c r="L23" s="30" t="s">
        <v>105</v>
      </c>
      <c r="M23" s="30" t="s">
        <v>28</v>
      </c>
      <c r="N23" s="30" t="s">
        <v>28</v>
      </c>
      <c r="O23" s="30" t="s">
        <v>70</v>
      </c>
      <c r="P23" s="30" t="s">
        <v>28</v>
      </c>
      <c r="Q23" s="30" t="s">
        <v>28</v>
      </c>
      <c r="R23" s="45" t="s">
        <v>97</v>
      </c>
      <c r="S23" s="30" t="s">
        <v>28</v>
      </c>
      <c r="T23" s="30" t="s">
        <v>28</v>
      </c>
      <c r="U23" s="30" t="str">
        <f t="shared" si="1"/>
        <v>cielo_adserver__aw_ins_nova-cielo_970x250</v>
      </c>
      <c r="V23" s="34"/>
    </row>
    <row r="24" spans="1:22" x14ac:dyDescent="0.2">
      <c r="A24" s="33">
        <v>43675</v>
      </c>
      <c r="B24" s="51" t="s">
        <v>53</v>
      </c>
      <c r="C24" s="33" t="s">
        <v>64</v>
      </c>
      <c r="D24" s="30" t="s">
        <v>102</v>
      </c>
      <c r="E24" s="30" t="s">
        <v>30</v>
      </c>
      <c r="F24" s="30" t="s">
        <v>28</v>
      </c>
      <c r="G24" s="30" t="s">
        <v>95</v>
      </c>
      <c r="H24" s="30" t="s">
        <v>67</v>
      </c>
      <c r="I24" s="31" t="s">
        <v>57</v>
      </c>
      <c r="J24" s="30"/>
      <c r="K24" s="30" t="s">
        <v>106</v>
      </c>
      <c r="L24" s="30" t="s">
        <v>107</v>
      </c>
      <c r="M24" s="30" t="s">
        <v>28</v>
      </c>
      <c r="N24" s="30" t="s">
        <v>28</v>
      </c>
      <c r="O24" s="30" t="s">
        <v>70</v>
      </c>
      <c r="P24" s="30" t="s">
        <v>28</v>
      </c>
      <c r="Q24" s="30" t="s">
        <v>28</v>
      </c>
      <c r="R24" s="45" t="s">
        <v>97</v>
      </c>
      <c r="S24" s="30" t="s">
        <v>28</v>
      </c>
      <c r="T24" s="30" t="s">
        <v>28</v>
      </c>
      <c r="U24" s="30" t="str">
        <f t="shared" si="1"/>
        <v>cielo_adserver__aw_ins_nova-cielo_468x60</v>
      </c>
      <c r="V24" s="34"/>
    </row>
    <row r="25" spans="1:22" x14ac:dyDescent="0.2">
      <c r="A25" s="33">
        <v>43675</v>
      </c>
      <c r="B25" s="51" t="s">
        <v>53</v>
      </c>
      <c r="C25" s="33" t="s">
        <v>64</v>
      </c>
      <c r="D25" s="30" t="s">
        <v>102</v>
      </c>
      <c r="E25" s="30" t="s">
        <v>30</v>
      </c>
      <c r="F25" s="30" t="s">
        <v>28</v>
      </c>
      <c r="G25" s="30" t="s">
        <v>95</v>
      </c>
      <c r="H25" s="30" t="s">
        <v>67</v>
      </c>
      <c r="I25" s="31" t="s">
        <v>57</v>
      </c>
      <c r="J25" s="30"/>
      <c r="K25" s="30" t="s">
        <v>108</v>
      </c>
      <c r="L25" s="30" t="s">
        <v>109</v>
      </c>
      <c r="M25" s="30" t="s">
        <v>28</v>
      </c>
      <c r="N25" s="30" t="s">
        <v>28</v>
      </c>
      <c r="O25" s="30" t="s">
        <v>70</v>
      </c>
      <c r="P25" s="30" t="s">
        <v>28</v>
      </c>
      <c r="Q25" s="30" t="s">
        <v>28</v>
      </c>
      <c r="R25" s="45" t="s">
        <v>97</v>
      </c>
      <c r="S25" s="30" t="s">
        <v>28</v>
      </c>
      <c r="T25" s="30" t="s">
        <v>28</v>
      </c>
      <c r="U25" s="30" t="str">
        <f t="shared" si="1"/>
        <v>cielo_adserver__aw_ins_nova-cielo_336x280</v>
      </c>
      <c r="V25" s="34"/>
    </row>
    <row r="26" spans="1:22" x14ac:dyDescent="0.2">
      <c r="A26" s="33">
        <v>43675</v>
      </c>
      <c r="B26" s="51" t="s">
        <v>53</v>
      </c>
      <c r="C26" s="33" t="s">
        <v>64</v>
      </c>
      <c r="D26" s="30" t="s">
        <v>102</v>
      </c>
      <c r="E26" s="30" t="s">
        <v>30</v>
      </c>
      <c r="F26" s="30" t="s">
        <v>28</v>
      </c>
      <c r="G26" s="30" t="s">
        <v>95</v>
      </c>
      <c r="H26" s="30" t="s">
        <v>67</v>
      </c>
      <c r="I26" s="31" t="s">
        <v>57</v>
      </c>
      <c r="J26" s="30"/>
      <c r="K26" s="30" t="s">
        <v>110</v>
      </c>
      <c r="L26" s="30" t="s">
        <v>83</v>
      </c>
      <c r="M26" s="30" t="s">
        <v>28</v>
      </c>
      <c r="N26" s="30" t="s">
        <v>28</v>
      </c>
      <c r="O26" s="30" t="s">
        <v>70</v>
      </c>
      <c r="P26" s="30" t="s">
        <v>28</v>
      </c>
      <c r="Q26" s="30" t="s">
        <v>28</v>
      </c>
      <c r="R26" s="45" t="s">
        <v>97</v>
      </c>
      <c r="S26" s="30" t="s">
        <v>28</v>
      </c>
      <c r="T26" s="30" t="s">
        <v>28</v>
      </c>
      <c r="U26" s="30" t="str">
        <f t="shared" si="1"/>
        <v>cielo_adserver__aw_ins_nova-cielo_728x90</v>
      </c>
      <c r="V26" s="34"/>
    </row>
    <row r="27" spans="1:22" x14ac:dyDescent="0.2">
      <c r="A27" s="33">
        <v>43675</v>
      </c>
      <c r="B27" s="51" t="s">
        <v>53</v>
      </c>
      <c r="C27" s="33" t="s">
        <v>64</v>
      </c>
      <c r="D27" s="30" t="s">
        <v>111</v>
      </c>
      <c r="E27" s="30" t="s">
        <v>27</v>
      </c>
      <c r="F27" s="30" t="s">
        <v>28</v>
      </c>
      <c r="G27" s="30" t="s">
        <v>55</v>
      </c>
      <c r="H27" s="30" t="s">
        <v>67</v>
      </c>
      <c r="I27" s="31" t="s">
        <v>57</v>
      </c>
      <c r="K27" s="30" t="s">
        <v>112</v>
      </c>
      <c r="L27" s="54" t="s">
        <v>113</v>
      </c>
      <c r="M27" s="30" t="s">
        <v>28</v>
      </c>
      <c r="N27" s="30"/>
      <c r="O27" s="30" t="s">
        <v>114</v>
      </c>
      <c r="P27" s="30" t="s">
        <v>28</v>
      </c>
      <c r="Q27" s="30"/>
      <c r="R27" s="45" t="s">
        <v>115</v>
      </c>
      <c r="S27" s="30"/>
      <c r="T27" s="34"/>
      <c r="U27" s="32" t="str">
        <f t="shared" si="1"/>
        <v>cielo_xtmedia__aw_ins_nova-cielo_1280x720</v>
      </c>
      <c r="V27" s="34"/>
    </row>
    <row r="28" spans="1:22" ht="15" customHeight="1" x14ac:dyDescent="0.2">
      <c r="A28" s="33">
        <v>43675</v>
      </c>
      <c r="B28" s="51" t="s">
        <v>53</v>
      </c>
      <c r="C28" s="33" t="s">
        <v>64</v>
      </c>
      <c r="D28" s="30" t="s">
        <v>111</v>
      </c>
      <c r="E28" s="30" t="s">
        <v>27</v>
      </c>
      <c r="F28" s="30" t="s">
        <v>28</v>
      </c>
      <c r="G28" s="30" t="s">
        <v>55</v>
      </c>
      <c r="H28" s="30" t="s">
        <v>67</v>
      </c>
      <c r="I28" s="31" t="s">
        <v>57</v>
      </c>
      <c r="J28" s="55"/>
      <c r="K28" s="30" t="s">
        <v>154</v>
      </c>
      <c r="L28" s="30" t="s">
        <v>153</v>
      </c>
      <c r="M28" s="30" t="s">
        <v>28</v>
      </c>
      <c r="N28" s="30" t="s">
        <v>28</v>
      </c>
      <c r="O28" s="30" t="s">
        <v>114</v>
      </c>
      <c r="P28" s="30" t="s">
        <v>28</v>
      </c>
      <c r="Q28" s="30"/>
      <c r="R28" s="45" t="s">
        <v>115</v>
      </c>
      <c r="S28" s="30" t="s">
        <v>28</v>
      </c>
      <c r="T28" s="34"/>
      <c r="U28" s="32" t="str">
        <f t="shared" si="1"/>
        <v>cielo_xtmedia__aw_ins_nova-cielo_1024x768</v>
      </c>
      <c r="V28" s="34"/>
    </row>
    <row r="29" spans="1:22" x14ac:dyDescent="0.2">
      <c r="A29" s="57">
        <v>43689</v>
      </c>
      <c r="B29" s="51" t="s">
        <v>53</v>
      </c>
      <c r="C29" s="58" t="s">
        <v>119</v>
      </c>
      <c r="D29" s="30" t="s">
        <v>117</v>
      </c>
      <c r="E29" s="30" t="s">
        <v>30</v>
      </c>
      <c r="F29" s="30" t="s">
        <v>28</v>
      </c>
      <c r="G29" s="30" t="s">
        <v>66</v>
      </c>
      <c r="H29" s="30" t="s">
        <v>67</v>
      </c>
      <c r="I29" s="31" t="s">
        <v>120</v>
      </c>
      <c r="J29" s="55"/>
      <c r="K29" s="30" t="s">
        <v>118</v>
      </c>
      <c r="L29" s="30" t="s">
        <v>121</v>
      </c>
      <c r="M29" s="30" t="s">
        <v>28</v>
      </c>
      <c r="N29" s="30" t="s">
        <v>28</v>
      </c>
      <c r="O29" s="30" t="s">
        <v>122</v>
      </c>
      <c r="P29" s="30" t="s">
        <v>72</v>
      </c>
      <c r="Q29" s="30" t="s">
        <v>72</v>
      </c>
      <c r="R29" s="45" t="s">
        <v>123</v>
      </c>
      <c r="S29" s="30" t="s">
        <v>28</v>
      </c>
      <c r="T29" s="59"/>
      <c r="U29" s="32" t="str">
        <f t="shared" si="1"/>
        <v>cielo_adserver__fre_ins_nova-cielo_960x150</v>
      </c>
    </row>
    <row r="30" spans="1:22" x14ac:dyDescent="0.2">
      <c r="A30" s="57">
        <v>43689</v>
      </c>
      <c r="B30" s="51" t="s">
        <v>53</v>
      </c>
      <c r="C30" s="58" t="s">
        <v>119</v>
      </c>
      <c r="D30" s="30" t="s">
        <v>117</v>
      </c>
      <c r="E30" s="30" t="s">
        <v>30</v>
      </c>
      <c r="F30" s="30" t="s">
        <v>28</v>
      </c>
      <c r="G30" s="30" t="s">
        <v>66</v>
      </c>
      <c r="H30" s="30" t="s">
        <v>67</v>
      </c>
      <c r="I30" s="31" t="s">
        <v>120</v>
      </c>
      <c r="J30" s="55"/>
      <c r="K30" s="30" t="s">
        <v>124</v>
      </c>
      <c r="L30" s="30" t="s">
        <v>125</v>
      </c>
      <c r="M30" s="30" t="s">
        <v>28</v>
      </c>
      <c r="N30" s="30" t="s">
        <v>28</v>
      </c>
      <c r="O30" s="30" t="s">
        <v>122</v>
      </c>
      <c r="P30" s="30" t="s">
        <v>72</v>
      </c>
      <c r="Q30" s="30" t="s">
        <v>72</v>
      </c>
      <c r="R30" s="45" t="s">
        <v>123</v>
      </c>
      <c r="S30" s="30" t="s">
        <v>28</v>
      </c>
      <c r="T30" s="59"/>
      <c r="U30" s="32" t="str">
        <f t="shared" si="1"/>
        <v>cielo_adserver__fre_ins_nova-cielo_900x750</v>
      </c>
    </row>
    <row r="31" spans="1:22" x14ac:dyDescent="0.2">
      <c r="A31" s="57">
        <v>43689</v>
      </c>
      <c r="B31" s="51" t="s">
        <v>53</v>
      </c>
      <c r="C31" s="58" t="s">
        <v>119</v>
      </c>
      <c r="D31" s="30" t="s">
        <v>117</v>
      </c>
      <c r="E31" s="30" t="s">
        <v>30</v>
      </c>
      <c r="F31" s="30" t="s">
        <v>28</v>
      </c>
      <c r="G31" s="30" t="s">
        <v>66</v>
      </c>
      <c r="H31" s="30" t="s">
        <v>67</v>
      </c>
      <c r="I31" s="31" t="s">
        <v>120</v>
      </c>
      <c r="J31" s="55"/>
      <c r="K31" s="30" t="s">
        <v>126</v>
      </c>
      <c r="L31" s="30" t="s">
        <v>127</v>
      </c>
      <c r="M31" s="30" t="s">
        <v>130</v>
      </c>
      <c r="N31" s="30" t="s">
        <v>28</v>
      </c>
      <c r="O31" s="30" t="s">
        <v>122</v>
      </c>
      <c r="P31" s="30" t="s">
        <v>72</v>
      </c>
      <c r="Q31" s="30" t="s">
        <v>72</v>
      </c>
      <c r="R31" s="45" t="s">
        <v>123</v>
      </c>
      <c r="S31" s="30" t="s">
        <v>28</v>
      </c>
      <c r="T31" s="56"/>
      <c r="U31" s="32" t="str">
        <f t="shared" si="1"/>
        <v>cielo_adserver__fre_ins_nova-cielo_1200x627</v>
      </c>
    </row>
    <row r="32" spans="1:22" x14ac:dyDescent="0.2">
      <c r="A32" s="57">
        <v>43691</v>
      </c>
      <c r="B32" s="51" t="s">
        <v>53</v>
      </c>
      <c r="C32" s="58" t="s">
        <v>142</v>
      </c>
      <c r="D32" s="30" t="s">
        <v>117</v>
      </c>
      <c r="E32" s="30" t="s">
        <v>30</v>
      </c>
      <c r="F32" s="30" t="s">
        <v>28</v>
      </c>
      <c r="G32" s="30" t="s">
        <v>66</v>
      </c>
      <c r="H32" s="30" t="s">
        <v>67</v>
      </c>
      <c r="I32" s="31" t="s">
        <v>143</v>
      </c>
      <c r="J32" s="55"/>
      <c r="K32" s="30" t="s">
        <v>128</v>
      </c>
      <c r="L32" s="30" t="s">
        <v>131</v>
      </c>
      <c r="M32" s="30" t="s">
        <v>129</v>
      </c>
      <c r="N32" s="30" t="s">
        <v>28</v>
      </c>
      <c r="O32" s="30" t="s">
        <v>122</v>
      </c>
      <c r="P32" s="30" t="s">
        <v>72</v>
      </c>
      <c r="Q32" s="30" t="s">
        <v>72</v>
      </c>
      <c r="R32" s="45" t="s">
        <v>123</v>
      </c>
      <c r="S32" s="30" t="s">
        <v>28</v>
      </c>
      <c r="T32" s="59"/>
      <c r="U32" s="32" t="str">
        <f t="shared" si="1"/>
        <v xml:space="preserve">cielo_adserver__seg_ins_nova-cielo_960x1440 </v>
      </c>
    </row>
    <row r="33" spans="1:58" x14ac:dyDescent="0.2">
      <c r="A33" s="60">
        <v>43689</v>
      </c>
      <c r="B33" s="51" t="s">
        <v>53</v>
      </c>
      <c r="C33" s="33" t="s">
        <v>64</v>
      </c>
      <c r="D33" s="30" t="s">
        <v>84</v>
      </c>
      <c r="E33" s="30" t="s">
        <v>27</v>
      </c>
      <c r="F33" s="30" t="s">
        <v>28</v>
      </c>
      <c r="G33" s="30" t="s">
        <v>85</v>
      </c>
      <c r="H33" s="30" t="s">
        <v>67</v>
      </c>
      <c r="I33" s="31" t="s">
        <v>57</v>
      </c>
      <c r="J33" s="30"/>
      <c r="K33" s="30" t="s">
        <v>133</v>
      </c>
      <c r="L33" s="30" t="s">
        <v>134</v>
      </c>
      <c r="M33" s="30"/>
      <c r="N33" s="30"/>
      <c r="O33" s="30" t="s">
        <v>135</v>
      </c>
      <c r="P33" s="30"/>
      <c r="Q33" s="30"/>
      <c r="R33" s="45" t="s">
        <v>90</v>
      </c>
      <c r="S33" s="30"/>
      <c r="T33" s="35" t="s">
        <v>136</v>
      </c>
      <c r="U33" s="32" t="str">
        <f t="shared" ref="U33:U45" si="2">LOWER(CONCATENATE($N$3,"_",IF(E33="Adserver","Adserver",D33),"_",J33,"_",I33,"_",L33,))</f>
        <v>cielo_facebook__aw_ins_nova-cielo_1080x1080</v>
      </c>
    </row>
    <row r="34" spans="1:58" x14ac:dyDescent="0.2">
      <c r="A34" s="60">
        <v>43689</v>
      </c>
      <c r="B34" s="51" t="s">
        <v>53</v>
      </c>
      <c r="C34" s="33" t="s">
        <v>64</v>
      </c>
      <c r="D34" s="30" t="s">
        <v>84</v>
      </c>
      <c r="E34" s="30" t="s">
        <v>27</v>
      </c>
      <c r="F34" s="30" t="s">
        <v>28</v>
      </c>
      <c r="G34" s="30" t="s">
        <v>55</v>
      </c>
      <c r="H34" s="30" t="s">
        <v>67</v>
      </c>
      <c r="I34" s="31" t="s">
        <v>57</v>
      </c>
      <c r="J34" s="30"/>
      <c r="K34" s="30" t="s">
        <v>137</v>
      </c>
      <c r="L34" s="30" t="s">
        <v>138</v>
      </c>
      <c r="M34" s="30"/>
      <c r="N34" s="30"/>
      <c r="O34" s="30" t="s">
        <v>135</v>
      </c>
      <c r="P34" s="30" t="s">
        <v>139</v>
      </c>
      <c r="Q34" s="30" t="s">
        <v>140</v>
      </c>
      <c r="R34" s="45" t="s">
        <v>59</v>
      </c>
      <c r="S34" s="30"/>
      <c r="T34" s="35"/>
      <c r="U34" s="32" t="str">
        <f t="shared" si="2"/>
        <v>cielo_facebook__aw_ins_nova-cielo_1350x1080</v>
      </c>
    </row>
    <row r="35" spans="1:58" ht="11.25" customHeight="1" x14ac:dyDescent="0.2">
      <c r="A35" s="60">
        <v>43689</v>
      </c>
      <c r="B35" s="51" t="s">
        <v>53</v>
      </c>
      <c r="C35" s="33" t="s">
        <v>119</v>
      </c>
      <c r="D35" s="30" t="s">
        <v>84</v>
      </c>
      <c r="E35" s="30" t="s">
        <v>27</v>
      </c>
      <c r="F35" s="30" t="s">
        <v>28</v>
      </c>
      <c r="G35" s="30" t="s">
        <v>85</v>
      </c>
      <c r="H35" s="30" t="s">
        <v>67</v>
      </c>
      <c r="I35" s="31" t="s">
        <v>120</v>
      </c>
      <c r="J35" s="30"/>
      <c r="K35" s="30" t="s">
        <v>86</v>
      </c>
      <c r="L35" s="30" t="s">
        <v>87</v>
      </c>
      <c r="M35" s="30"/>
      <c r="N35" s="30" t="s">
        <v>88</v>
      </c>
      <c r="O35" s="30" t="s">
        <v>89</v>
      </c>
      <c r="P35" s="30"/>
      <c r="Q35" s="52"/>
      <c r="R35" s="45" t="s">
        <v>90</v>
      </c>
      <c r="S35" s="30"/>
      <c r="T35" s="35" t="s">
        <v>91</v>
      </c>
      <c r="U35" s="32" t="str">
        <f t="shared" si="2"/>
        <v>cielo_facebook__fre_ins_nova-cielo_1200x628</v>
      </c>
    </row>
    <row r="36" spans="1:58" ht="12.75" customHeight="1" x14ac:dyDescent="0.2">
      <c r="A36" s="60">
        <v>43689</v>
      </c>
      <c r="B36" s="51" t="s">
        <v>53</v>
      </c>
      <c r="C36" s="33" t="s">
        <v>119</v>
      </c>
      <c r="D36" s="30" t="s">
        <v>84</v>
      </c>
      <c r="E36" s="30" t="s">
        <v>27</v>
      </c>
      <c r="F36" s="30" t="s">
        <v>28</v>
      </c>
      <c r="G36" s="30" t="s">
        <v>85</v>
      </c>
      <c r="H36" s="30" t="s">
        <v>67</v>
      </c>
      <c r="I36" s="31" t="s">
        <v>120</v>
      </c>
      <c r="J36" s="30"/>
      <c r="K36" s="30" t="s">
        <v>86</v>
      </c>
      <c r="L36" s="30" t="s">
        <v>92</v>
      </c>
      <c r="M36" s="30"/>
      <c r="N36" s="30" t="s">
        <v>88</v>
      </c>
      <c r="O36" s="30" t="s">
        <v>89</v>
      </c>
      <c r="P36" s="30"/>
      <c r="Q36" s="30"/>
      <c r="R36" s="45" t="s">
        <v>90</v>
      </c>
      <c r="S36" s="30"/>
      <c r="T36" s="35" t="s">
        <v>91</v>
      </c>
      <c r="U36" s="32" t="str">
        <f t="shared" si="2"/>
        <v>cielo_facebook__fre_ins_nova-cielo_648x648</v>
      </c>
    </row>
    <row r="37" spans="1:58" x14ac:dyDescent="0.2">
      <c r="A37" s="60">
        <v>43689</v>
      </c>
      <c r="B37" s="51" t="s">
        <v>53</v>
      </c>
      <c r="C37" s="33" t="s">
        <v>119</v>
      </c>
      <c r="D37" s="30" t="s">
        <v>84</v>
      </c>
      <c r="E37" s="30" t="s">
        <v>27</v>
      </c>
      <c r="F37" s="30" t="s">
        <v>28</v>
      </c>
      <c r="G37" s="30" t="s">
        <v>85</v>
      </c>
      <c r="H37" s="30" t="s">
        <v>67</v>
      </c>
      <c r="I37" s="31" t="s">
        <v>120</v>
      </c>
      <c r="J37" s="30"/>
      <c r="K37" s="30" t="s">
        <v>133</v>
      </c>
      <c r="L37" s="30" t="s">
        <v>134</v>
      </c>
      <c r="M37" s="30"/>
      <c r="N37" s="30"/>
      <c r="O37" s="30" t="s">
        <v>135</v>
      </c>
      <c r="P37" s="30"/>
      <c r="Q37" s="30"/>
      <c r="R37" s="45" t="s">
        <v>90</v>
      </c>
      <c r="S37" s="30"/>
      <c r="T37" s="35" t="s">
        <v>136</v>
      </c>
      <c r="U37" s="32" t="str">
        <f t="shared" si="2"/>
        <v>cielo_facebook__fre_ins_nova-cielo_1080x1080</v>
      </c>
    </row>
    <row r="38" spans="1:58" s="44" customFormat="1" x14ac:dyDescent="0.2">
      <c r="A38" s="61">
        <v>43690</v>
      </c>
      <c r="B38" s="51" t="s">
        <v>53</v>
      </c>
      <c r="C38" s="33" t="s">
        <v>119</v>
      </c>
      <c r="D38" s="30" t="s">
        <v>84</v>
      </c>
      <c r="E38" s="30" t="s">
        <v>27</v>
      </c>
      <c r="F38" s="30" t="s">
        <v>28</v>
      </c>
      <c r="G38" s="30" t="s">
        <v>85</v>
      </c>
      <c r="H38" s="30" t="s">
        <v>67</v>
      </c>
      <c r="I38" s="31" t="s">
        <v>120</v>
      </c>
      <c r="J38" s="30"/>
      <c r="K38" s="30" t="s">
        <v>141</v>
      </c>
      <c r="L38" s="30" t="s">
        <v>241</v>
      </c>
      <c r="M38" s="30"/>
      <c r="N38" s="30"/>
      <c r="O38" s="30"/>
      <c r="P38" s="30"/>
      <c r="Q38" s="30"/>
      <c r="R38" s="45"/>
      <c r="S38" s="30"/>
      <c r="T38" s="83" t="s">
        <v>240</v>
      </c>
      <c r="U38" s="32" t="str">
        <f t="shared" si="2"/>
        <v>cielo_facebook__fre_ins_nova-cielo_canvas</v>
      </c>
    </row>
    <row r="39" spans="1:58" x14ac:dyDescent="0.2">
      <c r="A39" s="60">
        <v>43690</v>
      </c>
      <c r="B39" s="51" t="s">
        <v>53</v>
      </c>
      <c r="C39" s="61" t="s">
        <v>142</v>
      </c>
      <c r="D39" s="30" t="s">
        <v>84</v>
      </c>
      <c r="E39" s="30" t="s">
        <v>27</v>
      </c>
      <c r="F39" s="30" t="s">
        <v>28</v>
      </c>
      <c r="G39" s="30" t="s">
        <v>85</v>
      </c>
      <c r="H39" s="30" t="s">
        <v>67</v>
      </c>
      <c r="I39" s="31" t="s">
        <v>143</v>
      </c>
      <c r="J39" s="55"/>
      <c r="K39" s="30" t="s">
        <v>86</v>
      </c>
      <c r="L39" s="30" t="s">
        <v>87</v>
      </c>
      <c r="M39" s="30"/>
      <c r="N39" s="30" t="s">
        <v>88</v>
      </c>
      <c r="O39" s="30" t="s">
        <v>89</v>
      </c>
      <c r="P39" s="30"/>
      <c r="Q39" s="30"/>
      <c r="R39" s="45" t="s">
        <v>90</v>
      </c>
      <c r="S39" s="30"/>
      <c r="T39" s="35"/>
      <c r="U39" s="32" t="str">
        <f t="shared" si="2"/>
        <v>cielo_facebook__seg_ins_nova-cielo_1200x628</v>
      </c>
    </row>
    <row r="40" spans="1:58" x14ac:dyDescent="0.2">
      <c r="A40" s="60">
        <v>43690</v>
      </c>
      <c r="B40" s="51" t="s">
        <v>53</v>
      </c>
      <c r="C40" s="61" t="s">
        <v>142</v>
      </c>
      <c r="D40" s="30" t="s">
        <v>84</v>
      </c>
      <c r="E40" s="30" t="s">
        <v>27</v>
      </c>
      <c r="F40" s="30" t="s">
        <v>28</v>
      </c>
      <c r="G40" s="30" t="s">
        <v>85</v>
      </c>
      <c r="H40" s="30" t="s">
        <v>67</v>
      </c>
      <c r="I40" s="31" t="s">
        <v>143</v>
      </c>
      <c r="J40" s="55"/>
      <c r="K40" s="30" t="s">
        <v>86</v>
      </c>
      <c r="L40" s="30" t="s">
        <v>92</v>
      </c>
      <c r="M40" s="30"/>
      <c r="N40" s="30" t="s">
        <v>88</v>
      </c>
      <c r="O40" s="30" t="s">
        <v>89</v>
      </c>
      <c r="P40" s="30"/>
      <c r="Q40" s="30"/>
      <c r="R40" s="45" t="s">
        <v>90</v>
      </c>
      <c r="S40" s="30"/>
      <c r="T40" s="35"/>
      <c r="U40" s="32" t="str">
        <f t="shared" si="2"/>
        <v>cielo_facebook__seg_ins_nova-cielo_648x648</v>
      </c>
    </row>
    <row r="41" spans="1:58" x14ac:dyDescent="0.2">
      <c r="A41" s="62">
        <v>43690</v>
      </c>
      <c r="B41" s="63" t="s">
        <v>53</v>
      </c>
      <c r="C41" s="71" t="s">
        <v>64</v>
      </c>
      <c r="D41" s="64" t="s">
        <v>144</v>
      </c>
      <c r="E41" s="64" t="s">
        <v>30</v>
      </c>
      <c r="F41" s="64" t="s">
        <v>28</v>
      </c>
      <c r="G41" s="64" t="s">
        <v>66</v>
      </c>
      <c r="H41" s="64" t="s">
        <v>67</v>
      </c>
      <c r="I41" s="65" t="s">
        <v>57</v>
      </c>
      <c r="J41" s="66"/>
      <c r="K41" s="64" t="s">
        <v>145</v>
      </c>
      <c r="L41" s="70" t="s">
        <v>165</v>
      </c>
      <c r="M41" s="74" t="s">
        <v>28</v>
      </c>
      <c r="O41" s="70" t="s">
        <v>166</v>
      </c>
      <c r="R41" s="70" t="s">
        <v>167</v>
      </c>
      <c r="S41" s="30" t="s">
        <v>28</v>
      </c>
      <c r="U41" s="67" t="str">
        <f t="shared" si="2"/>
        <v>cielo_adserver__aw_ins_nova-cielo_1170x120</v>
      </c>
    </row>
    <row r="42" spans="1:58" s="68" customFormat="1" ht="38.25" x14ac:dyDescent="0.2">
      <c r="A42" s="60">
        <v>43690</v>
      </c>
      <c r="B42" s="51" t="s">
        <v>53</v>
      </c>
      <c r="C42" s="33" t="s">
        <v>64</v>
      </c>
      <c r="D42" s="30" t="s">
        <v>144</v>
      </c>
      <c r="E42" s="30" t="s">
        <v>30</v>
      </c>
      <c r="F42" s="30" t="s">
        <v>28</v>
      </c>
      <c r="G42" s="30" t="s">
        <v>66</v>
      </c>
      <c r="H42" s="30" t="s">
        <v>67</v>
      </c>
      <c r="I42" s="31" t="s">
        <v>57</v>
      </c>
      <c r="J42" s="55"/>
      <c r="K42" s="30" t="s">
        <v>146</v>
      </c>
      <c r="L42" s="30" t="s">
        <v>69</v>
      </c>
      <c r="M42" s="74" t="s">
        <v>28</v>
      </c>
      <c r="N42" s="55"/>
      <c r="O42" s="30" t="s">
        <v>168</v>
      </c>
      <c r="P42" s="30"/>
      <c r="Q42" s="30"/>
      <c r="R42" s="45" t="s">
        <v>116</v>
      </c>
      <c r="S42" s="30" t="s">
        <v>28</v>
      </c>
      <c r="T42" s="72" t="s">
        <v>151</v>
      </c>
      <c r="U42" s="32" t="str">
        <f t="shared" si="2"/>
        <v>cielo_adserver__aw_ins_nova-cielo_300x250</v>
      </c>
      <c r="V42" s="47"/>
      <c r="W42" s="47"/>
      <c r="X42" s="47"/>
      <c r="Y42" s="47"/>
      <c r="Z42" s="47"/>
      <c r="AA42" s="47"/>
      <c r="AB42" s="47"/>
      <c r="AC42" s="47"/>
      <c r="AD42" s="47"/>
      <c r="AE42" s="47"/>
      <c r="AF42" s="47"/>
      <c r="AG42" s="47"/>
      <c r="AH42" s="47"/>
      <c r="AI42" s="47"/>
      <c r="AJ42" s="47"/>
      <c r="AK42" s="47"/>
      <c r="AL42" s="47"/>
      <c r="AM42" s="47"/>
      <c r="AN42" s="47"/>
      <c r="AO42" s="47"/>
      <c r="AP42" s="47"/>
      <c r="AQ42" s="47"/>
      <c r="AR42" s="47"/>
      <c r="AS42" s="47"/>
      <c r="AT42" s="47"/>
      <c r="AU42" s="47"/>
      <c r="AV42" s="47"/>
      <c r="AW42" s="47"/>
      <c r="AX42" s="47"/>
      <c r="AY42" s="47"/>
      <c r="AZ42" s="47"/>
      <c r="BA42" s="47"/>
      <c r="BB42" s="47"/>
      <c r="BC42" s="47"/>
      <c r="BD42" s="47"/>
      <c r="BE42" s="47"/>
      <c r="BF42" s="47"/>
    </row>
    <row r="43" spans="1:58" s="68" customFormat="1" ht="38.25" x14ac:dyDescent="0.2">
      <c r="A43" s="60">
        <v>43690</v>
      </c>
      <c r="B43" s="51" t="s">
        <v>53</v>
      </c>
      <c r="C43" s="33" t="s">
        <v>64</v>
      </c>
      <c r="D43" s="30" t="s">
        <v>144</v>
      </c>
      <c r="E43" s="30" t="s">
        <v>30</v>
      </c>
      <c r="F43" s="30" t="s">
        <v>28</v>
      </c>
      <c r="G43" s="30" t="s">
        <v>66</v>
      </c>
      <c r="H43" s="30" t="s">
        <v>67</v>
      </c>
      <c r="I43" s="31" t="s">
        <v>57</v>
      </c>
      <c r="J43" s="55"/>
      <c r="K43" s="30" t="s">
        <v>104</v>
      </c>
      <c r="L43" s="73" t="s">
        <v>105</v>
      </c>
      <c r="M43" s="74" t="s">
        <v>28</v>
      </c>
      <c r="N43" s="55"/>
      <c r="O43" s="73" t="s">
        <v>169</v>
      </c>
      <c r="P43" s="55"/>
      <c r="Q43" s="55"/>
      <c r="R43" s="45" t="s">
        <v>116</v>
      </c>
      <c r="S43" s="30" t="s">
        <v>28</v>
      </c>
      <c r="T43" s="72" t="s">
        <v>151</v>
      </c>
      <c r="U43" s="32" t="str">
        <f t="shared" si="2"/>
        <v>cielo_adserver__aw_ins_nova-cielo_970x250</v>
      </c>
      <c r="V43" s="47"/>
      <c r="W43" s="47"/>
      <c r="X43" s="47"/>
      <c r="Y43" s="47"/>
      <c r="Z43" s="47"/>
      <c r="AA43" s="47"/>
      <c r="AB43" s="47"/>
      <c r="AC43" s="47"/>
      <c r="AD43" s="47"/>
      <c r="AE43" s="47"/>
      <c r="AF43" s="47"/>
      <c r="AG43" s="47"/>
      <c r="AH43" s="47"/>
      <c r="AI43" s="47"/>
      <c r="AJ43" s="47"/>
      <c r="AK43" s="47"/>
      <c r="AL43" s="47"/>
      <c r="AM43" s="47"/>
      <c r="AN43" s="47"/>
      <c r="AO43" s="47"/>
      <c r="AP43" s="47"/>
      <c r="AQ43" s="47"/>
      <c r="AR43" s="47"/>
      <c r="AS43" s="47"/>
      <c r="AT43" s="47"/>
      <c r="AU43" s="47"/>
      <c r="AV43" s="47"/>
      <c r="AW43" s="47"/>
      <c r="AX43" s="47"/>
      <c r="AY43" s="47"/>
      <c r="AZ43" s="47"/>
      <c r="BA43" s="47"/>
      <c r="BB43" s="47"/>
      <c r="BC43" s="47"/>
      <c r="BD43" s="47"/>
      <c r="BE43" s="47"/>
      <c r="BF43" s="47"/>
    </row>
    <row r="44" spans="1:58" s="68" customFormat="1" ht="38.25" x14ac:dyDescent="0.2">
      <c r="A44" s="60">
        <v>43690</v>
      </c>
      <c r="B44" s="51" t="s">
        <v>53</v>
      </c>
      <c r="C44" s="33" t="s">
        <v>64</v>
      </c>
      <c r="D44" s="30" t="s">
        <v>144</v>
      </c>
      <c r="E44" s="30" t="s">
        <v>30</v>
      </c>
      <c r="F44" s="30" t="s">
        <v>28</v>
      </c>
      <c r="G44" s="30" t="s">
        <v>66</v>
      </c>
      <c r="H44" s="30" t="s">
        <v>67</v>
      </c>
      <c r="I44" s="31" t="s">
        <v>57</v>
      </c>
      <c r="J44" s="55"/>
      <c r="K44" s="30" t="s">
        <v>147</v>
      </c>
      <c r="L44" s="73" t="s">
        <v>81</v>
      </c>
      <c r="M44" s="74" t="s">
        <v>28</v>
      </c>
      <c r="N44" s="55"/>
      <c r="O44" s="73" t="s">
        <v>170</v>
      </c>
      <c r="P44" s="55"/>
      <c r="Q44" s="55"/>
      <c r="R44" s="45" t="s">
        <v>116</v>
      </c>
      <c r="S44" s="30" t="s">
        <v>28</v>
      </c>
      <c r="T44" s="72" t="s">
        <v>151</v>
      </c>
      <c r="U44" s="32" t="str">
        <f t="shared" si="2"/>
        <v>cielo_adserver__aw_ins_nova-cielo_320x50</v>
      </c>
      <c r="V44" s="47"/>
      <c r="W44" s="47"/>
      <c r="X44" s="47"/>
      <c r="Y44" s="47"/>
      <c r="Z44" s="47"/>
      <c r="AA44" s="47"/>
      <c r="AB44" s="47"/>
      <c r="AC44" s="47"/>
      <c r="AD44" s="47"/>
      <c r="AE44" s="47"/>
      <c r="AF44" s="47"/>
      <c r="AG44" s="47"/>
      <c r="AH44" s="47"/>
      <c r="AI44" s="47"/>
      <c r="AJ44" s="47"/>
      <c r="AK44" s="47"/>
      <c r="AL44" s="47"/>
      <c r="AM44" s="47"/>
      <c r="AN44" s="47"/>
      <c r="AO44" s="47"/>
      <c r="AP44" s="47"/>
      <c r="AQ44" s="47"/>
      <c r="AR44" s="47"/>
      <c r="AS44" s="47"/>
      <c r="AT44" s="47"/>
      <c r="AU44" s="47"/>
      <c r="AV44" s="47"/>
      <c r="AW44" s="47"/>
      <c r="AX44" s="47"/>
      <c r="AY44" s="47"/>
      <c r="AZ44" s="47"/>
      <c r="BA44" s="47"/>
      <c r="BB44" s="47"/>
      <c r="BC44" s="47"/>
      <c r="BD44" s="47"/>
      <c r="BE44" s="47"/>
      <c r="BF44" s="47"/>
    </row>
    <row r="45" spans="1:58" s="81" customFormat="1" ht="82.5" customHeight="1" x14ac:dyDescent="0.2">
      <c r="A45" s="77">
        <v>43690</v>
      </c>
      <c r="B45" s="51" t="s">
        <v>53</v>
      </c>
      <c r="C45" s="33" t="s">
        <v>64</v>
      </c>
      <c r="D45" s="30" t="s">
        <v>144</v>
      </c>
      <c r="E45" s="30" t="s">
        <v>30</v>
      </c>
      <c r="F45" s="30" t="s">
        <v>28</v>
      </c>
      <c r="G45" s="30" t="s">
        <v>66</v>
      </c>
      <c r="H45" s="30" t="s">
        <v>67</v>
      </c>
      <c r="I45" s="31" t="s">
        <v>57</v>
      </c>
      <c r="J45" s="79"/>
      <c r="K45" s="30" t="s">
        <v>148</v>
      </c>
      <c r="L45" s="79" t="s">
        <v>60</v>
      </c>
      <c r="M45" s="79" t="s">
        <v>28</v>
      </c>
      <c r="N45" s="79"/>
      <c r="O45" s="79" t="s">
        <v>237</v>
      </c>
      <c r="P45" s="79" t="s">
        <v>222</v>
      </c>
      <c r="Q45" s="79"/>
      <c r="R45" s="79" t="s">
        <v>238</v>
      </c>
      <c r="S45" s="79"/>
      <c r="T45" s="80" t="s">
        <v>239</v>
      </c>
      <c r="U45" s="79" t="str">
        <f t="shared" si="2"/>
        <v>cielo_adserver__aw_ins_nova-cielo_1920x1080</v>
      </c>
      <c r="V45" s="78"/>
      <c r="W45" s="78"/>
      <c r="X45" s="78"/>
      <c r="Y45" s="78"/>
      <c r="Z45" s="78"/>
      <c r="AA45" s="78"/>
      <c r="AB45" s="78"/>
      <c r="AC45" s="78"/>
      <c r="AD45" s="78"/>
      <c r="AE45" s="78"/>
      <c r="AF45" s="78"/>
      <c r="AG45" s="78"/>
      <c r="AH45" s="78"/>
      <c r="AI45" s="78"/>
      <c r="AJ45" s="78"/>
      <c r="AK45" s="78"/>
      <c r="AL45" s="78"/>
      <c r="AM45" s="78"/>
      <c r="AN45" s="78"/>
      <c r="AO45" s="78"/>
      <c r="AP45" s="78"/>
      <c r="AQ45" s="78"/>
      <c r="AR45" s="78"/>
      <c r="AS45" s="78"/>
      <c r="AT45" s="78"/>
      <c r="AU45" s="78"/>
      <c r="AV45" s="78"/>
      <c r="AW45" s="78"/>
      <c r="AX45" s="78"/>
      <c r="AY45" s="78"/>
      <c r="AZ45" s="78"/>
      <c r="BA45" s="78"/>
      <c r="BB45" s="78"/>
      <c r="BC45" s="78"/>
      <c r="BD45" s="78"/>
      <c r="BE45" s="78"/>
      <c r="BF45" s="78"/>
    </row>
    <row r="46" spans="1:58" s="68" customFormat="1" ht="38.25" x14ac:dyDescent="0.2">
      <c r="A46" s="60">
        <v>43690</v>
      </c>
      <c r="B46" s="51" t="s">
        <v>53</v>
      </c>
      <c r="C46" s="33" t="s">
        <v>64</v>
      </c>
      <c r="D46" s="30" t="s">
        <v>144</v>
      </c>
      <c r="E46" s="30" t="s">
        <v>30</v>
      </c>
      <c r="F46" s="30" t="s">
        <v>28</v>
      </c>
      <c r="G46" s="30" t="s">
        <v>66</v>
      </c>
      <c r="H46" s="30" t="s">
        <v>67</v>
      </c>
      <c r="I46" s="31" t="s">
        <v>57</v>
      </c>
      <c r="J46" s="55"/>
      <c r="K46" s="30" t="s">
        <v>146</v>
      </c>
      <c r="L46" s="30" t="s">
        <v>69</v>
      </c>
      <c r="M46" s="74" t="s">
        <v>28</v>
      </c>
      <c r="N46" s="55"/>
      <c r="O46" s="30" t="s">
        <v>168</v>
      </c>
      <c r="P46" s="30"/>
      <c r="Q46" s="30"/>
      <c r="R46" s="45" t="s">
        <v>116</v>
      </c>
      <c r="S46" s="30" t="s">
        <v>28</v>
      </c>
      <c r="T46" s="72" t="s">
        <v>151</v>
      </c>
      <c r="U46" s="32" t="str">
        <f t="shared" ref="U46:U51" si="3">LOWER(CONCATENATE($N$3,"_",IF(E46="Adserver","Adserver",D46),"_",J46,"_",I46,"_",L46,))</f>
        <v>cielo_adserver__aw_ins_nova-cielo_300x250</v>
      </c>
      <c r="V46" s="47"/>
      <c r="W46" s="47"/>
      <c r="X46" s="47"/>
      <c r="Y46" s="47"/>
      <c r="Z46" s="47"/>
      <c r="AA46" s="47"/>
      <c r="AB46" s="47"/>
      <c r="AC46" s="47"/>
      <c r="AD46" s="47"/>
      <c r="AE46" s="47"/>
      <c r="AF46" s="47"/>
      <c r="AG46" s="47"/>
      <c r="AH46" s="47"/>
      <c r="AI46" s="47"/>
      <c r="AJ46" s="47"/>
      <c r="AK46" s="47"/>
      <c r="AL46" s="47"/>
      <c r="AM46" s="47"/>
      <c r="AN46" s="47"/>
      <c r="AO46" s="47"/>
      <c r="AP46" s="47"/>
      <c r="AQ46" s="47"/>
      <c r="AR46" s="47"/>
      <c r="AS46" s="47"/>
      <c r="AT46" s="47"/>
      <c r="AU46" s="47"/>
      <c r="AV46" s="47"/>
      <c r="AW46" s="47"/>
      <c r="AX46" s="47"/>
      <c r="AY46" s="47"/>
      <c r="AZ46" s="47"/>
      <c r="BA46" s="47"/>
      <c r="BB46" s="47"/>
      <c r="BC46" s="47"/>
      <c r="BD46" s="47"/>
      <c r="BE46" s="47"/>
      <c r="BF46" s="47"/>
    </row>
    <row r="47" spans="1:58" s="68" customFormat="1" ht="38.25" x14ac:dyDescent="0.2">
      <c r="A47" s="60">
        <v>43690</v>
      </c>
      <c r="B47" s="51" t="s">
        <v>53</v>
      </c>
      <c r="C47" s="33" t="s">
        <v>64</v>
      </c>
      <c r="D47" s="30" t="s">
        <v>144</v>
      </c>
      <c r="E47" s="30" t="s">
        <v>30</v>
      </c>
      <c r="F47" s="30" t="s">
        <v>28</v>
      </c>
      <c r="G47" s="30" t="s">
        <v>66</v>
      </c>
      <c r="H47" s="30" t="s">
        <v>67</v>
      </c>
      <c r="I47" s="31" t="s">
        <v>57</v>
      </c>
      <c r="J47" s="55"/>
      <c r="K47" s="30" t="s">
        <v>104</v>
      </c>
      <c r="L47" s="73" t="s">
        <v>105</v>
      </c>
      <c r="M47" s="74" t="s">
        <v>28</v>
      </c>
      <c r="N47" s="55"/>
      <c r="O47" s="73" t="s">
        <v>171</v>
      </c>
      <c r="P47" s="55"/>
      <c r="Q47" s="55"/>
      <c r="R47" s="45" t="s">
        <v>116</v>
      </c>
      <c r="S47" s="30" t="s">
        <v>28</v>
      </c>
      <c r="T47" s="72" t="s">
        <v>151</v>
      </c>
      <c r="U47" s="32" t="str">
        <f t="shared" si="3"/>
        <v>cielo_adserver__aw_ins_nova-cielo_970x250</v>
      </c>
      <c r="V47" s="47"/>
      <c r="W47" s="47"/>
      <c r="X47" s="47"/>
      <c r="Y47" s="47"/>
      <c r="Z47" s="47"/>
      <c r="AA47" s="47"/>
      <c r="AB47" s="47"/>
      <c r="AC47" s="47"/>
      <c r="AD47" s="47"/>
      <c r="AE47" s="47"/>
      <c r="AF47" s="47"/>
      <c r="AG47" s="47"/>
      <c r="AH47" s="47"/>
      <c r="AI47" s="47"/>
      <c r="AJ47" s="47"/>
      <c r="AK47" s="47"/>
      <c r="AL47" s="47"/>
      <c r="AM47" s="47"/>
      <c r="AN47" s="47"/>
      <c r="AO47" s="47"/>
      <c r="AP47" s="47"/>
      <c r="AQ47" s="47"/>
      <c r="AR47" s="47"/>
      <c r="AS47" s="47"/>
      <c r="AT47" s="47"/>
      <c r="AU47" s="47"/>
      <c r="AV47" s="47"/>
      <c r="AW47" s="47"/>
      <c r="AX47" s="47"/>
      <c r="AY47" s="47"/>
      <c r="AZ47" s="47"/>
      <c r="BA47" s="47"/>
      <c r="BB47" s="47"/>
      <c r="BC47" s="47"/>
      <c r="BD47" s="47"/>
      <c r="BE47" s="47"/>
      <c r="BF47" s="47"/>
    </row>
    <row r="48" spans="1:58" s="68" customFormat="1" ht="38.25" x14ac:dyDescent="0.2">
      <c r="A48" s="60">
        <v>43690</v>
      </c>
      <c r="B48" s="51" t="s">
        <v>53</v>
      </c>
      <c r="C48" s="33" t="s">
        <v>64</v>
      </c>
      <c r="D48" s="30" t="s">
        <v>144</v>
      </c>
      <c r="E48" s="30" t="s">
        <v>30</v>
      </c>
      <c r="F48" s="30" t="s">
        <v>28</v>
      </c>
      <c r="G48" s="30" t="s">
        <v>66</v>
      </c>
      <c r="H48" s="30" t="s">
        <v>67</v>
      </c>
      <c r="I48" s="31" t="s">
        <v>57</v>
      </c>
      <c r="J48" s="55"/>
      <c r="K48" s="30" t="s">
        <v>149</v>
      </c>
      <c r="L48" s="69" t="s">
        <v>81</v>
      </c>
      <c r="M48" s="74" t="s">
        <v>28</v>
      </c>
      <c r="N48" s="55"/>
      <c r="O48" s="73" t="s">
        <v>172</v>
      </c>
      <c r="P48" s="55"/>
      <c r="Q48" s="55"/>
      <c r="R48" s="45" t="s">
        <v>116</v>
      </c>
      <c r="S48" s="30" t="s">
        <v>28</v>
      </c>
      <c r="T48" s="72" t="s">
        <v>151</v>
      </c>
      <c r="U48" s="32" t="str">
        <f t="shared" si="3"/>
        <v>cielo_adserver__aw_ins_nova-cielo_320x50</v>
      </c>
      <c r="V48" s="47"/>
      <c r="W48" s="47"/>
      <c r="X48" s="47"/>
      <c r="Y48" s="47"/>
      <c r="Z48" s="47"/>
      <c r="AA48" s="47"/>
      <c r="AB48" s="47"/>
      <c r="AC48" s="47"/>
      <c r="AD48" s="47"/>
      <c r="AE48" s="47"/>
      <c r="AF48" s="47"/>
      <c r="AG48" s="47"/>
      <c r="AH48" s="47"/>
      <c r="AI48" s="47"/>
      <c r="AJ48" s="47"/>
      <c r="AK48" s="47"/>
      <c r="AL48" s="47"/>
      <c r="AM48" s="47"/>
      <c r="AN48" s="47"/>
      <c r="AO48" s="47"/>
      <c r="AP48" s="47"/>
      <c r="AQ48" s="47"/>
      <c r="AR48" s="47"/>
      <c r="AS48" s="47"/>
      <c r="AT48" s="47"/>
      <c r="AU48" s="47"/>
      <c r="AV48" s="47"/>
      <c r="AW48" s="47"/>
      <c r="AX48" s="47"/>
      <c r="AY48" s="47"/>
      <c r="AZ48" s="47"/>
      <c r="BA48" s="47"/>
      <c r="BB48" s="47"/>
      <c r="BC48" s="47"/>
      <c r="BD48" s="47"/>
      <c r="BE48" s="47"/>
      <c r="BF48" s="47"/>
    </row>
    <row r="49" spans="1:58" s="68" customFormat="1" ht="34.5" customHeight="1" x14ac:dyDescent="0.2">
      <c r="A49" s="60">
        <v>43690</v>
      </c>
      <c r="B49" s="51" t="s">
        <v>53</v>
      </c>
      <c r="C49" s="33" t="s">
        <v>64</v>
      </c>
      <c r="D49" s="30" t="s">
        <v>144</v>
      </c>
      <c r="E49" s="30" t="s">
        <v>30</v>
      </c>
      <c r="F49" s="30" t="s">
        <v>28</v>
      </c>
      <c r="G49" s="30" t="s">
        <v>66</v>
      </c>
      <c r="H49" s="30" t="s">
        <v>67</v>
      </c>
      <c r="I49" s="31" t="s">
        <v>57</v>
      </c>
      <c r="J49" s="55"/>
      <c r="K49" s="30" t="s">
        <v>150</v>
      </c>
      <c r="L49" s="73" t="s">
        <v>152</v>
      </c>
      <c r="M49" s="74" t="s">
        <v>28</v>
      </c>
      <c r="N49" s="55"/>
      <c r="O49" s="73" t="s">
        <v>171</v>
      </c>
      <c r="P49" s="55"/>
      <c r="Q49" s="55"/>
      <c r="R49" s="45" t="s">
        <v>116</v>
      </c>
      <c r="S49" s="30" t="s">
        <v>28</v>
      </c>
      <c r="T49" s="72" t="s">
        <v>151</v>
      </c>
      <c r="U49" s="32" t="str">
        <f t="shared" si="3"/>
        <v>cielo_adserver__aw_ins_nova-cielo_640x480</v>
      </c>
      <c r="V49" s="47"/>
      <c r="W49" s="47"/>
      <c r="X49" s="47"/>
      <c r="Y49" s="47"/>
      <c r="Z49" s="47"/>
      <c r="AA49" s="47"/>
      <c r="AB49" s="47"/>
      <c r="AC49" s="47"/>
      <c r="AD49" s="47"/>
      <c r="AE49" s="47"/>
      <c r="AF49" s="47"/>
      <c r="AG49" s="47"/>
      <c r="AH49" s="47"/>
      <c r="AI49" s="47"/>
      <c r="AJ49" s="47"/>
      <c r="AK49" s="47"/>
      <c r="AL49" s="47"/>
      <c r="AM49" s="47"/>
      <c r="AN49" s="47"/>
      <c r="AO49" s="47"/>
      <c r="AP49" s="47"/>
      <c r="AQ49" s="47"/>
      <c r="AR49" s="47"/>
      <c r="AS49" s="47"/>
      <c r="AT49" s="47"/>
      <c r="AU49" s="47"/>
      <c r="AV49" s="47"/>
      <c r="AW49" s="47"/>
      <c r="AX49" s="47"/>
      <c r="AY49" s="47"/>
      <c r="AZ49" s="47"/>
      <c r="BA49" s="47"/>
      <c r="BB49" s="47"/>
      <c r="BC49" s="47"/>
      <c r="BD49" s="47"/>
      <c r="BE49" s="47"/>
      <c r="BF49" s="47"/>
    </row>
    <row r="50" spans="1:58" s="78" customFormat="1" ht="62.25" customHeight="1" x14ac:dyDescent="0.2">
      <c r="A50" s="77">
        <v>43690</v>
      </c>
      <c r="B50" s="51" t="s">
        <v>53</v>
      </c>
      <c r="C50" s="33" t="s">
        <v>64</v>
      </c>
      <c r="D50" s="30" t="s">
        <v>155</v>
      </c>
      <c r="E50" s="30" t="s">
        <v>27</v>
      </c>
      <c r="F50" s="30" t="s">
        <v>28</v>
      </c>
      <c r="G50" s="30" t="s">
        <v>85</v>
      </c>
      <c r="H50" s="30" t="s">
        <v>67</v>
      </c>
      <c r="I50" s="31" t="s">
        <v>57</v>
      </c>
      <c r="J50" s="79"/>
      <c r="K50" s="30" t="s">
        <v>156</v>
      </c>
      <c r="L50" s="30" t="s">
        <v>156</v>
      </c>
      <c r="M50" s="79" t="s">
        <v>28</v>
      </c>
      <c r="N50" s="79"/>
      <c r="O50" s="30"/>
      <c r="P50" s="82"/>
      <c r="Q50" s="79"/>
      <c r="R50" s="79" t="s">
        <v>250</v>
      </c>
      <c r="S50" s="30" t="s">
        <v>28</v>
      </c>
      <c r="T50" s="80" t="s">
        <v>249</v>
      </c>
      <c r="U50" s="32" t="str">
        <f t="shared" si="3"/>
        <v>cielo_twitter__aw_ins_nova-cielo_promoted_trend</v>
      </c>
    </row>
    <row r="51" spans="1:58" x14ac:dyDescent="0.2">
      <c r="A51" s="60">
        <v>43690</v>
      </c>
      <c r="B51" s="51" t="s">
        <v>53</v>
      </c>
      <c r="C51" s="33" t="s">
        <v>64</v>
      </c>
      <c r="D51" s="30" t="s">
        <v>155</v>
      </c>
      <c r="E51" s="30" t="s">
        <v>27</v>
      </c>
      <c r="F51" s="30" t="s">
        <v>28</v>
      </c>
      <c r="G51" s="30" t="s">
        <v>55</v>
      </c>
      <c r="H51" s="30" t="s">
        <v>67</v>
      </c>
      <c r="I51" s="31" t="s">
        <v>57</v>
      </c>
      <c r="J51" s="55"/>
      <c r="K51" s="30" t="s">
        <v>157</v>
      </c>
      <c r="L51" s="73" t="s">
        <v>158</v>
      </c>
      <c r="M51" s="74" t="s">
        <v>28</v>
      </c>
      <c r="N51" s="55"/>
      <c r="O51" s="75" t="s">
        <v>159</v>
      </c>
      <c r="P51" s="55"/>
      <c r="Q51" s="55"/>
      <c r="R51" s="45" t="s">
        <v>59</v>
      </c>
      <c r="S51" s="30" t="s">
        <v>28</v>
      </c>
      <c r="T51" s="55" t="s">
        <v>160</v>
      </c>
      <c r="U51" s="32" t="str">
        <f t="shared" si="3"/>
        <v>cielo_twitter__aw_ins_nova-cielo_16x9</v>
      </c>
    </row>
    <row r="52" spans="1:58" ht="20.25" customHeight="1" x14ac:dyDescent="0.2">
      <c r="A52" s="60">
        <v>43690</v>
      </c>
      <c r="B52" s="51" t="s">
        <v>53</v>
      </c>
      <c r="C52" s="33"/>
      <c r="D52" s="30"/>
      <c r="E52" s="30"/>
      <c r="F52" s="30"/>
      <c r="G52" s="30"/>
      <c r="H52" s="30"/>
      <c r="I52" s="31"/>
      <c r="J52" s="55"/>
      <c r="K52" s="30"/>
      <c r="L52" s="73"/>
      <c r="M52" s="74"/>
      <c r="N52" s="55"/>
      <c r="O52" s="75"/>
      <c r="P52" s="55"/>
      <c r="Q52" s="55"/>
      <c r="R52" s="55"/>
      <c r="S52" s="30"/>
      <c r="T52" s="55"/>
      <c r="U52" s="55"/>
    </row>
    <row r="53" spans="1:58" x14ac:dyDescent="0.2">
      <c r="A53" s="60">
        <v>43690</v>
      </c>
      <c r="B53" s="51" t="s">
        <v>53</v>
      </c>
      <c r="C53" s="61" t="s">
        <v>142</v>
      </c>
      <c r="D53" s="30" t="s">
        <v>65</v>
      </c>
      <c r="E53" s="30" t="s">
        <v>30</v>
      </c>
      <c r="F53" s="30" t="s">
        <v>31</v>
      </c>
      <c r="G53" s="30" t="s">
        <v>66</v>
      </c>
      <c r="H53" s="30" t="s">
        <v>67</v>
      </c>
      <c r="I53" s="74" t="s">
        <v>162</v>
      </c>
      <c r="J53" s="55"/>
      <c r="K53" s="30" t="s">
        <v>68</v>
      </c>
      <c r="L53" s="30" t="s">
        <v>69</v>
      </c>
      <c r="M53" s="45"/>
      <c r="N53" s="30" t="s">
        <v>70</v>
      </c>
      <c r="O53" s="30" t="s">
        <v>71</v>
      </c>
      <c r="P53" s="30" t="s">
        <v>72</v>
      </c>
      <c r="Q53" s="30" t="s">
        <v>29</v>
      </c>
      <c r="R53" s="45" t="s">
        <v>73</v>
      </c>
      <c r="S53" s="30"/>
      <c r="T53" s="34"/>
      <c r="U53" s="32" t="str">
        <f t="shared" ref="U53:U67" si="4">LOWER(CONCATENATE($N$3,"_",IF(E53="Adserver","Adserver",D53),"_",J53,"_",I53,"_",L53,))</f>
        <v>cielo_adserver__seg_ins_mob_300x250</v>
      </c>
    </row>
    <row r="54" spans="1:58" x14ac:dyDescent="0.2">
      <c r="A54" s="60">
        <v>43690</v>
      </c>
      <c r="B54" s="51" t="s">
        <v>53</v>
      </c>
      <c r="C54" s="61" t="s">
        <v>142</v>
      </c>
      <c r="D54" s="30" t="s">
        <v>65</v>
      </c>
      <c r="E54" s="30" t="s">
        <v>30</v>
      </c>
      <c r="F54" s="30" t="s">
        <v>31</v>
      </c>
      <c r="G54" s="30" t="s">
        <v>66</v>
      </c>
      <c r="H54" s="30" t="s">
        <v>67</v>
      </c>
      <c r="I54" s="74" t="s">
        <v>162</v>
      </c>
      <c r="J54" s="55"/>
      <c r="K54" s="30" t="s">
        <v>74</v>
      </c>
      <c r="L54" s="30" t="s">
        <v>75</v>
      </c>
      <c r="M54" s="45"/>
      <c r="N54" s="30" t="s">
        <v>70</v>
      </c>
      <c r="O54" s="30" t="s">
        <v>71</v>
      </c>
      <c r="P54" s="30" t="s">
        <v>72</v>
      </c>
      <c r="Q54" s="30" t="s">
        <v>29</v>
      </c>
      <c r="R54" s="45" t="s">
        <v>73</v>
      </c>
      <c r="S54" s="30"/>
      <c r="T54" s="34"/>
      <c r="U54" s="32" t="str">
        <f t="shared" si="4"/>
        <v>cielo_adserver__seg_ins_mob_300x600</v>
      </c>
    </row>
    <row r="55" spans="1:58" x14ac:dyDescent="0.2">
      <c r="A55" s="60">
        <v>43690</v>
      </c>
      <c r="B55" s="51" t="s">
        <v>53</v>
      </c>
      <c r="C55" s="61" t="s">
        <v>142</v>
      </c>
      <c r="D55" s="30" t="s">
        <v>65</v>
      </c>
      <c r="E55" s="30" t="s">
        <v>30</v>
      </c>
      <c r="F55" s="30" t="s">
        <v>31</v>
      </c>
      <c r="G55" s="30" t="s">
        <v>66</v>
      </c>
      <c r="H55" s="30" t="s">
        <v>67</v>
      </c>
      <c r="I55" s="74" t="s">
        <v>162</v>
      </c>
      <c r="J55" s="55"/>
      <c r="K55" s="30" t="s">
        <v>76</v>
      </c>
      <c r="L55" s="30" t="s">
        <v>77</v>
      </c>
      <c r="M55" s="45"/>
      <c r="N55" s="30" t="s">
        <v>78</v>
      </c>
      <c r="O55" s="30" t="s">
        <v>79</v>
      </c>
      <c r="P55" s="30" t="s">
        <v>72</v>
      </c>
      <c r="Q55" s="30" t="s">
        <v>29</v>
      </c>
      <c r="R55" s="45" t="s">
        <v>73</v>
      </c>
      <c r="S55" s="30"/>
      <c r="T55" s="34"/>
      <c r="U55" s="32" t="str">
        <f t="shared" si="4"/>
        <v>cielo_adserver__seg_ins_mob_320x100</v>
      </c>
    </row>
    <row r="56" spans="1:58" x14ac:dyDescent="0.2">
      <c r="A56" s="60">
        <v>43690</v>
      </c>
      <c r="B56" s="51" t="s">
        <v>53</v>
      </c>
      <c r="C56" s="61" t="s">
        <v>142</v>
      </c>
      <c r="D56" s="30" t="s">
        <v>65</v>
      </c>
      <c r="E56" s="30" t="s">
        <v>30</v>
      </c>
      <c r="F56" s="30" t="s">
        <v>31</v>
      </c>
      <c r="G56" s="30" t="s">
        <v>66</v>
      </c>
      <c r="H56" s="30" t="s">
        <v>67</v>
      </c>
      <c r="I56" s="74" t="s">
        <v>162</v>
      </c>
      <c r="J56" s="55"/>
      <c r="K56" s="30" t="s">
        <v>80</v>
      </c>
      <c r="L56" s="30" t="s">
        <v>81</v>
      </c>
      <c r="M56" s="45"/>
      <c r="N56" s="30" t="s">
        <v>78</v>
      </c>
      <c r="O56" s="30" t="s">
        <v>79</v>
      </c>
      <c r="P56" s="30" t="s">
        <v>72</v>
      </c>
      <c r="Q56" s="30" t="s">
        <v>29</v>
      </c>
      <c r="R56" s="45" t="s">
        <v>73</v>
      </c>
      <c r="S56" s="30"/>
      <c r="T56" s="35"/>
      <c r="U56" s="32" t="str">
        <f t="shared" si="4"/>
        <v>cielo_adserver__seg_ins_mob_320x50</v>
      </c>
    </row>
    <row r="57" spans="1:58" x14ac:dyDescent="0.2">
      <c r="A57" s="60">
        <v>43690</v>
      </c>
      <c r="B57" s="51" t="s">
        <v>53</v>
      </c>
      <c r="C57" s="61" t="s">
        <v>142</v>
      </c>
      <c r="D57" s="30" t="s">
        <v>65</v>
      </c>
      <c r="E57" s="30" t="s">
        <v>30</v>
      </c>
      <c r="F57" s="30" t="s">
        <v>31</v>
      </c>
      <c r="G57" s="30" t="s">
        <v>66</v>
      </c>
      <c r="H57" s="30" t="s">
        <v>67</v>
      </c>
      <c r="I57" s="74" t="s">
        <v>162</v>
      </c>
      <c r="J57" s="55"/>
      <c r="K57" s="30" t="s">
        <v>82</v>
      </c>
      <c r="L57" s="30" t="s">
        <v>83</v>
      </c>
      <c r="M57" s="45"/>
      <c r="N57" s="30" t="s">
        <v>70</v>
      </c>
      <c r="O57" s="30" t="s">
        <v>71</v>
      </c>
      <c r="P57" s="30" t="s">
        <v>72</v>
      </c>
      <c r="Q57" s="30" t="s">
        <v>29</v>
      </c>
      <c r="R57" s="45" t="s">
        <v>73</v>
      </c>
      <c r="S57" s="30"/>
      <c r="T57" s="35"/>
      <c r="U57" s="32" t="str">
        <f t="shared" si="4"/>
        <v>cielo_adserver__seg_ins_mob_728x90</v>
      </c>
    </row>
    <row r="58" spans="1:58" x14ac:dyDescent="0.2">
      <c r="A58" s="60">
        <v>43690</v>
      </c>
      <c r="B58" s="51" t="s">
        <v>53</v>
      </c>
      <c r="C58" s="61" t="s">
        <v>142</v>
      </c>
      <c r="D58" s="30" t="s">
        <v>65</v>
      </c>
      <c r="E58" s="30" t="s">
        <v>30</v>
      </c>
      <c r="F58" s="30" t="s">
        <v>31</v>
      </c>
      <c r="G58" s="30" t="s">
        <v>66</v>
      </c>
      <c r="H58" s="30" t="s">
        <v>67</v>
      </c>
      <c r="I58" s="75" t="s">
        <v>161</v>
      </c>
      <c r="J58" s="55"/>
      <c r="K58" s="30" t="s">
        <v>68</v>
      </c>
      <c r="L58" s="30" t="s">
        <v>69</v>
      </c>
      <c r="M58" s="45"/>
      <c r="N58" s="30" t="s">
        <v>70</v>
      </c>
      <c r="O58" s="30" t="s">
        <v>71</v>
      </c>
      <c r="P58" s="30" t="s">
        <v>72</v>
      </c>
      <c r="Q58" s="30" t="s">
        <v>29</v>
      </c>
      <c r="R58" s="45" t="s">
        <v>73</v>
      </c>
      <c r="S58" s="30"/>
      <c r="T58" s="34"/>
      <c r="U58" s="32" t="str">
        <f t="shared" si="4"/>
        <v>cielo_adserver__seg_ins_minizip_300x250</v>
      </c>
    </row>
    <row r="59" spans="1:58" x14ac:dyDescent="0.2">
      <c r="A59" s="60">
        <v>43690</v>
      </c>
      <c r="B59" s="51" t="s">
        <v>53</v>
      </c>
      <c r="C59" s="61" t="s">
        <v>142</v>
      </c>
      <c r="D59" s="30" t="s">
        <v>65</v>
      </c>
      <c r="E59" s="30" t="s">
        <v>30</v>
      </c>
      <c r="F59" s="30" t="s">
        <v>31</v>
      </c>
      <c r="G59" s="30" t="s">
        <v>66</v>
      </c>
      <c r="H59" s="30" t="s">
        <v>67</v>
      </c>
      <c r="I59" s="75" t="s">
        <v>161</v>
      </c>
      <c r="J59" s="55"/>
      <c r="K59" s="30" t="s">
        <v>74</v>
      </c>
      <c r="L59" s="30" t="s">
        <v>75</v>
      </c>
      <c r="M59" s="45"/>
      <c r="N59" s="30" t="s">
        <v>70</v>
      </c>
      <c r="O59" s="30" t="s">
        <v>71</v>
      </c>
      <c r="P59" s="30" t="s">
        <v>72</v>
      </c>
      <c r="Q59" s="30" t="s">
        <v>29</v>
      </c>
      <c r="R59" s="45" t="s">
        <v>73</v>
      </c>
      <c r="S59" s="30"/>
      <c r="T59" s="34"/>
      <c r="U59" s="32" t="str">
        <f t="shared" si="4"/>
        <v>cielo_adserver__seg_ins_minizip_300x600</v>
      </c>
    </row>
    <row r="60" spans="1:58" x14ac:dyDescent="0.2">
      <c r="A60" s="60">
        <v>43690</v>
      </c>
      <c r="B60" s="51" t="s">
        <v>53</v>
      </c>
      <c r="C60" s="61" t="s">
        <v>142</v>
      </c>
      <c r="D60" s="30" t="s">
        <v>65</v>
      </c>
      <c r="E60" s="30" t="s">
        <v>30</v>
      </c>
      <c r="F60" s="30" t="s">
        <v>31</v>
      </c>
      <c r="G60" s="30" t="s">
        <v>66</v>
      </c>
      <c r="H60" s="30" t="s">
        <v>67</v>
      </c>
      <c r="I60" s="75" t="s">
        <v>161</v>
      </c>
      <c r="J60" s="55"/>
      <c r="K60" s="30" t="s">
        <v>76</v>
      </c>
      <c r="L60" s="30" t="s">
        <v>77</v>
      </c>
      <c r="M60" s="45"/>
      <c r="N60" s="30" t="s">
        <v>78</v>
      </c>
      <c r="O60" s="30" t="s">
        <v>79</v>
      </c>
      <c r="P60" s="30" t="s">
        <v>72</v>
      </c>
      <c r="Q60" s="30" t="s">
        <v>29</v>
      </c>
      <c r="R60" s="45" t="s">
        <v>73</v>
      </c>
      <c r="S60" s="30"/>
      <c r="T60" s="34"/>
      <c r="U60" s="32" t="str">
        <f t="shared" si="4"/>
        <v>cielo_adserver__seg_ins_minizip_320x100</v>
      </c>
    </row>
    <row r="61" spans="1:58" x14ac:dyDescent="0.2">
      <c r="A61" s="60">
        <v>43690</v>
      </c>
      <c r="B61" s="51" t="s">
        <v>53</v>
      </c>
      <c r="C61" s="61" t="s">
        <v>142</v>
      </c>
      <c r="D61" s="30" t="s">
        <v>65</v>
      </c>
      <c r="E61" s="30" t="s">
        <v>30</v>
      </c>
      <c r="F61" s="30" t="s">
        <v>31</v>
      </c>
      <c r="G61" s="30" t="s">
        <v>66</v>
      </c>
      <c r="H61" s="30" t="s">
        <v>67</v>
      </c>
      <c r="I61" s="75" t="s">
        <v>161</v>
      </c>
      <c r="J61" s="55"/>
      <c r="K61" s="30" t="s">
        <v>80</v>
      </c>
      <c r="L61" s="30" t="s">
        <v>81</v>
      </c>
      <c r="M61" s="45"/>
      <c r="N61" s="30" t="s">
        <v>78</v>
      </c>
      <c r="O61" s="30" t="s">
        <v>79</v>
      </c>
      <c r="P61" s="30" t="s">
        <v>72</v>
      </c>
      <c r="Q61" s="30" t="s">
        <v>29</v>
      </c>
      <c r="R61" s="45" t="s">
        <v>73</v>
      </c>
      <c r="S61" s="30"/>
      <c r="T61" s="35"/>
      <c r="U61" s="32" t="str">
        <f t="shared" si="4"/>
        <v>cielo_adserver__seg_ins_minizip_320x50</v>
      </c>
    </row>
    <row r="62" spans="1:58" x14ac:dyDescent="0.2">
      <c r="A62" s="60">
        <v>43690</v>
      </c>
      <c r="B62" s="51" t="s">
        <v>53</v>
      </c>
      <c r="C62" s="61" t="s">
        <v>142</v>
      </c>
      <c r="D62" s="30" t="s">
        <v>65</v>
      </c>
      <c r="E62" s="30" t="s">
        <v>30</v>
      </c>
      <c r="F62" s="30" t="s">
        <v>31</v>
      </c>
      <c r="G62" s="30" t="s">
        <v>66</v>
      </c>
      <c r="H62" s="30" t="s">
        <v>67</v>
      </c>
      <c r="I62" s="75" t="s">
        <v>161</v>
      </c>
      <c r="J62" s="55"/>
      <c r="K62" s="30" t="s">
        <v>82</v>
      </c>
      <c r="L62" s="30" t="s">
        <v>83</v>
      </c>
      <c r="M62" s="45"/>
      <c r="N62" s="30" t="s">
        <v>70</v>
      </c>
      <c r="O62" s="30" t="s">
        <v>71</v>
      </c>
      <c r="P62" s="30" t="s">
        <v>72</v>
      </c>
      <c r="Q62" s="30" t="s">
        <v>29</v>
      </c>
      <c r="R62" s="45" t="s">
        <v>73</v>
      </c>
      <c r="S62" s="30"/>
      <c r="T62" s="35"/>
      <c r="U62" s="32" t="str">
        <f t="shared" si="4"/>
        <v>cielo_adserver__seg_ins_minizip_728x90</v>
      </c>
    </row>
    <row r="63" spans="1:58" x14ac:dyDescent="0.2">
      <c r="A63" s="60">
        <v>43690</v>
      </c>
      <c r="B63" s="51" t="s">
        <v>53</v>
      </c>
      <c r="C63" s="61" t="s">
        <v>142</v>
      </c>
      <c r="D63" s="30" t="s">
        <v>65</v>
      </c>
      <c r="E63" s="30" t="s">
        <v>30</v>
      </c>
      <c r="F63" s="30" t="s">
        <v>31</v>
      </c>
      <c r="G63" s="30" t="s">
        <v>66</v>
      </c>
      <c r="H63" s="30" t="s">
        <v>67</v>
      </c>
      <c r="I63" s="75" t="s">
        <v>163</v>
      </c>
      <c r="J63" s="55"/>
      <c r="K63" s="30" t="s">
        <v>68</v>
      </c>
      <c r="L63" s="30" t="s">
        <v>69</v>
      </c>
      <c r="M63" s="45"/>
      <c r="N63" s="30" t="s">
        <v>70</v>
      </c>
      <c r="O63" s="30" t="s">
        <v>71</v>
      </c>
      <c r="P63" s="30" t="s">
        <v>72</v>
      </c>
      <c r="Q63" s="30" t="s">
        <v>29</v>
      </c>
      <c r="R63" s="45" t="s">
        <v>73</v>
      </c>
      <c r="S63" s="30"/>
      <c r="T63" s="34"/>
      <c r="U63" s="32" t="str">
        <f t="shared" si="4"/>
        <v>cielo_adserver__seg_ins_zip_300x250</v>
      </c>
    </row>
    <row r="64" spans="1:58" x14ac:dyDescent="0.2">
      <c r="A64" s="60">
        <v>43690</v>
      </c>
      <c r="B64" s="51" t="s">
        <v>53</v>
      </c>
      <c r="C64" s="61" t="s">
        <v>142</v>
      </c>
      <c r="D64" s="30" t="s">
        <v>65</v>
      </c>
      <c r="E64" s="30" t="s">
        <v>30</v>
      </c>
      <c r="F64" s="30" t="s">
        <v>31</v>
      </c>
      <c r="G64" s="30" t="s">
        <v>66</v>
      </c>
      <c r="H64" s="30" t="s">
        <v>67</v>
      </c>
      <c r="I64" s="75" t="s">
        <v>163</v>
      </c>
      <c r="J64" s="55"/>
      <c r="K64" s="30" t="s">
        <v>74</v>
      </c>
      <c r="L64" s="30" t="s">
        <v>75</v>
      </c>
      <c r="M64" s="45"/>
      <c r="N64" s="30" t="s">
        <v>70</v>
      </c>
      <c r="O64" s="30" t="s">
        <v>71</v>
      </c>
      <c r="P64" s="30" t="s">
        <v>72</v>
      </c>
      <c r="Q64" s="30" t="s">
        <v>29</v>
      </c>
      <c r="R64" s="45" t="s">
        <v>73</v>
      </c>
      <c r="S64" s="30"/>
      <c r="T64" s="34"/>
      <c r="U64" s="32" t="str">
        <f t="shared" si="4"/>
        <v>cielo_adserver__seg_ins_zip_300x600</v>
      </c>
    </row>
    <row r="65" spans="1:21" x14ac:dyDescent="0.2">
      <c r="A65" s="60">
        <v>43690</v>
      </c>
      <c r="B65" s="51" t="s">
        <v>53</v>
      </c>
      <c r="C65" s="61" t="s">
        <v>142</v>
      </c>
      <c r="D65" s="30" t="s">
        <v>65</v>
      </c>
      <c r="E65" s="30" t="s">
        <v>30</v>
      </c>
      <c r="F65" s="30" t="s">
        <v>31</v>
      </c>
      <c r="G65" s="30" t="s">
        <v>66</v>
      </c>
      <c r="H65" s="30" t="s">
        <v>67</v>
      </c>
      <c r="I65" s="75" t="s">
        <v>163</v>
      </c>
      <c r="J65" s="55"/>
      <c r="K65" s="30" t="s">
        <v>76</v>
      </c>
      <c r="L65" s="30" t="s">
        <v>77</v>
      </c>
      <c r="M65" s="45"/>
      <c r="N65" s="30" t="s">
        <v>78</v>
      </c>
      <c r="O65" s="30" t="s">
        <v>79</v>
      </c>
      <c r="P65" s="30" t="s">
        <v>72</v>
      </c>
      <c r="Q65" s="30" t="s">
        <v>29</v>
      </c>
      <c r="R65" s="45" t="s">
        <v>73</v>
      </c>
      <c r="S65" s="30"/>
      <c r="T65" s="34"/>
      <c r="U65" s="32" t="str">
        <f t="shared" si="4"/>
        <v>cielo_adserver__seg_ins_zip_320x100</v>
      </c>
    </row>
    <row r="66" spans="1:21" x14ac:dyDescent="0.2">
      <c r="A66" s="60">
        <v>43690</v>
      </c>
      <c r="B66" s="51" t="s">
        <v>53</v>
      </c>
      <c r="C66" s="61" t="s">
        <v>142</v>
      </c>
      <c r="D66" s="30" t="s">
        <v>65</v>
      </c>
      <c r="E66" s="30" t="s">
        <v>30</v>
      </c>
      <c r="F66" s="30" t="s">
        <v>31</v>
      </c>
      <c r="G66" s="30" t="s">
        <v>66</v>
      </c>
      <c r="H66" s="30" t="s">
        <v>67</v>
      </c>
      <c r="I66" s="75" t="s">
        <v>163</v>
      </c>
      <c r="J66" s="55"/>
      <c r="K66" s="30" t="s">
        <v>80</v>
      </c>
      <c r="L66" s="30" t="s">
        <v>81</v>
      </c>
      <c r="M66" s="45"/>
      <c r="N66" s="30" t="s">
        <v>78</v>
      </c>
      <c r="O66" s="30" t="s">
        <v>79</v>
      </c>
      <c r="P66" s="30" t="s">
        <v>72</v>
      </c>
      <c r="Q66" s="30" t="s">
        <v>29</v>
      </c>
      <c r="R66" s="45" t="s">
        <v>73</v>
      </c>
      <c r="S66" s="30"/>
      <c r="T66" s="35"/>
      <c r="U66" s="32" t="str">
        <f t="shared" si="4"/>
        <v>cielo_adserver__seg_ins_zip_320x50</v>
      </c>
    </row>
    <row r="67" spans="1:21" x14ac:dyDescent="0.2">
      <c r="A67" s="60">
        <v>43690</v>
      </c>
      <c r="B67" s="51" t="s">
        <v>53</v>
      </c>
      <c r="C67" s="61" t="s">
        <v>142</v>
      </c>
      <c r="D67" s="30" t="s">
        <v>65</v>
      </c>
      <c r="E67" s="30" t="s">
        <v>30</v>
      </c>
      <c r="F67" s="30" t="s">
        <v>31</v>
      </c>
      <c r="G67" s="30" t="s">
        <v>66</v>
      </c>
      <c r="H67" s="30" t="s">
        <v>67</v>
      </c>
      <c r="I67" s="75" t="s">
        <v>163</v>
      </c>
      <c r="J67" s="55"/>
      <c r="K67" s="30" t="s">
        <v>82</v>
      </c>
      <c r="L67" s="30" t="s">
        <v>83</v>
      </c>
      <c r="M67" s="45"/>
      <c r="N67" s="30" t="s">
        <v>70</v>
      </c>
      <c r="O67" s="30" t="s">
        <v>71</v>
      </c>
      <c r="P67" s="30" t="s">
        <v>72</v>
      </c>
      <c r="Q67" s="30" t="s">
        <v>29</v>
      </c>
      <c r="R67" s="45" t="s">
        <v>73</v>
      </c>
      <c r="S67" s="30"/>
      <c r="T67" s="35"/>
      <c r="U67" s="32" t="str">
        <f t="shared" si="4"/>
        <v>cielo_adserver__seg_ins_zip_728x90</v>
      </c>
    </row>
    <row r="68" spans="1:21" x14ac:dyDescent="0.2">
      <c r="A68" s="60">
        <v>43690</v>
      </c>
      <c r="B68" s="51" t="s">
        <v>53</v>
      </c>
      <c r="C68" s="61" t="s">
        <v>142</v>
      </c>
      <c r="D68" s="30" t="s">
        <v>65</v>
      </c>
      <c r="E68" s="30" t="s">
        <v>30</v>
      </c>
      <c r="F68" s="30" t="s">
        <v>31</v>
      </c>
      <c r="G68" s="30" t="s">
        <v>66</v>
      </c>
      <c r="H68" s="30" t="s">
        <v>67</v>
      </c>
      <c r="I68" s="75" t="s">
        <v>164</v>
      </c>
      <c r="J68" s="55"/>
      <c r="K68" s="30" t="s">
        <v>68</v>
      </c>
      <c r="L68" s="30" t="s">
        <v>69</v>
      </c>
      <c r="M68" s="45"/>
      <c r="N68" s="30" t="s">
        <v>70</v>
      </c>
      <c r="O68" s="30" t="s">
        <v>71</v>
      </c>
      <c r="P68" s="30" t="s">
        <v>72</v>
      </c>
      <c r="Q68" s="30" t="s">
        <v>29</v>
      </c>
      <c r="R68" s="45" t="s">
        <v>73</v>
      </c>
      <c r="S68" s="30"/>
      <c r="T68" s="34"/>
      <c r="U68" s="32" t="str">
        <f t="shared" ref="U68:U74" si="5">LOWER(CONCATENATE($N$3,"_",IF(E68="Adserver","Adserver",D68),"_",J68,"_",I68,"_",L68,))</f>
        <v>cielo_adserver__seg_ins_flash_300x250</v>
      </c>
    </row>
    <row r="69" spans="1:21" x14ac:dyDescent="0.2">
      <c r="A69" s="60">
        <v>43690</v>
      </c>
      <c r="B69" s="51" t="s">
        <v>53</v>
      </c>
      <c r="C69" s="61" t="s">
        <v>142</v>
      </c>
      <c r="D69" s="30" t="s">
        <v>65</v>
      </c>
      <c r="E69" s="30" t="s">
        <v>30</v>
      </c>
      <c r="F69" s="30" t="s">
        <v>31</v>
      </c>
      <c r="G69" s="30" t="s">
        <v>66</v>
      </c>
      <c r="H69" s="30" t="s">
        <v>67</v>
      </c>
      <c r="I69" s="75" t="s">
        <v>164</v>
      </c>
      <c r="J69" s="55"/>
      <c r="K69" s="30" t="s">
        <v>74</v>
      </c>
      <c r="L69" s="30" t="s">
        <v>75</v>
      </c>
      <c r="M69" s="45"/>
      <c r="N69" s="30" t="s">
        <v>70</v>
      </c>
      <c r="O69" s="30" t="s">
        <v>71</v>
      </c>
      <c r="P69" s="30" t="s">
        <v>72</v>
      </c>
      <c r="Q69" s="30" t="s">
        <v>29</v>
      </c>
      <c r="R69" s="45" t="s">
        <v>73</v>
      </c>
      <c r="S69" s="30"/>
      <c r="T69" s="34"/>
      <c r="U69" s="32" t="str">
        <f t="shared" si="5"/>
        <v>cielo_adserver__seg_ins_flash_300x600</v>
      </c>
    </row>
    <row r="70" spans="1:21" x14ac:dyDescent="0.2">
      <c r="A70" s="60">
        <v>43690</v>
      </c>
      <c r="B70" s="51" t="s">
        <v>53</v>
      </c>
      <c r="C70" s="61" t="s">
        <v>142</v>
      </c>
      <c r="D70" s="30" t="s">
        <v>65</v>
      </c>
      <c r="E70" s="30" t="s">
        <v>30</v>
      </c>
      <c r="F70" s="30" t="s">
        <v>31</v>
      </c>
      <c r="G70" s="30" t="s">
        <v>66</v>
      </c>
      <c r="H70" s="30" t="s">
        <v>67</v>
      </c>
      <c r="I70" s="75" t="s">
        <v>164</v>
      </c>
      <c r="J70" s="55"/>
      <c r="K70" s="30" t="s">
        <v>76</v>
      </c>
      <c r="L70" s="30" t="s">
        <v>77</v>
      </c>
      <c r="M70" s="45"/>
      <c r="N70" s="30" t="s">
        <v>78</v>
      </c>
      <c r="O70" s="30" t="s">
        <v>79</v>
      </c>
      <c r="P70" s="30" t="s">
        <v>72</v>
      </c>
      <c r="Q70" s="30" t="s">
        <v>29</v>
      </c>
      <c r="R70" s="45" t="s">
        <v>73</v>
      </c>
      <c r="S70" s="30"/>
      <c r="T70" s="34"/>
      <c r="U70" s="32" t="str">
        <f t="shared" si="5"/>
        <v>cielo_adserver__seg_ins_flash_320x100</v>
      </c>
    </row>
    <row r="71" spans="1:21" x14ac:dyDescent="0.2">
      <c r="A71" s="60">
        <v>43690</v>
      </c>
      <c r="B71" s="51" t="s">
        <v>53</v>
      </c>
      <c r="C71" s="61" t="s">
        <v>142</v>
      </c>
      <c r="D71" s="30" t="s">
        <v>65</v>
      </c>
      <c r="E71" s="30" t="s">
        <v>30</v>
      </c>
      <c r="F71" s="30" t="s">
        <v>31</v>
      </c>
      <c r="G71" s="30" t="s">
        <v>66</v>
      </c>
      <c r="H71" s="30" t="s">
        <v>67</v>
      </c>
      <c r="I71" s="75" t="s">
        <v>164</v>
      </c>
      <c r="J71" s="55"/>
      <c r="K71" s="30" t="s">
        <v>80</v>
      </c>
      <c r="L71" s="30" t="s">
        <v>81</v>
      </c>
      <c r="M71" s="45"/>
      <c r="N71" s="30" t="s">
        <v>78</v>
      </c>
      <c r="O71" s="30" t="s">
        <v>79</v>
      </c>
      <c r="P71" s="30" t="s">
        <v>72</v>
      </c>
      <c r="Q71" s="30" t="s">
        <v>29</v>
      </c>
      <c r="R71" s="45" t="s">
        <v>73</v>
      </c>
      <c r="S71" s="30"/>
      <c r="T71" s="35"/>
      <c r="U71" s="32" t="str">
        <f t="shared" si="5"/>
        <v>cielo_adserver__seg_ins_flash_320x50</v>
      </c>
    </row>
    <row r="72" spans="1:21" x14ac:dyDescent="0.2">
      <c r="A72" s="60">
        <v>43690</v>
      </c>
      <c r="B72" s="51" t="s">
        <v>53</v>
      </c>
      <c r="C72" s="61" t="s">
        <v>142</v>
      </c>
      <c r="D72" s="30" t="s">
        <v>65</v>
      </c>
      <c r="E72" s="30" t="s">
        <v>30</v>
      </c>
      <c r="F72" s="30" t="s">
        <v>31</v>
      </c>
      <c r="G72" s="30" t="s">
        <v>66</v>
      </c>
      <c r="H72" s="30" t="s">
        <v>67</v>
      </c>
      <c r="I72" s="75" t="s">
        <v>164</v>
      </c>
      <c r="J72" s="55"/>
      <c r="K72" s="30" t="s">
        <v>82</v>
      </c>
      <c r="L72" s="30" t="s">
        <v>83</v>
      </c>
      <c r="M72" s="45"/>
      <c r="N72" s="30" t="s">
        <v>70</v>
      </c>
      <c r="O72" s="30" t="s">
        <v>71</v>
      </c>
      <c r="P72" s="30" t="s">
        <v>72</v>
      </c>
      <c r="Q72" s="30" t="s">
        <v>29</v>
      </c>
      <c r="R72" s="45" t="s">
        <v>73</v>
      </c>
      <c r="S72" s="30"/>
      <c r="T72" s="35"/>
      <c r="U72" s="32" t="str">
        <f t="shared" si="5"/>
        <v>cielo_adserver__seg_ins_flash_728x90</v>
      </c>
    </row>
    <row r="73" spans="1:21" x14ac:dyDescent="0.2">
      <c r="A73" s="60">
        <v>43690</v>
      </c>
      <c r="B73" s="51" t="s">
        <v>53</v>
      </c>
      <c r="C73" s="61" t="s">
        <v>142</v>
      </c>
      <c r="D73" s="30" t="s">
        <v>84</v>
      </c>
      <c r="E73" s="30" t="s">
        <v>27</v>
      </c>
      <c r="F73" s="30" t="s">
        <v>28</v>
      </c>
      <c r="G73" s="30" t="s">
        <v>85</v>
      </c>
      <c r="H73" s="30" t="s">
        <v>67</v>
      </c>
      <c r="I73" s="31" t="s">
        <v>161</v>
      </c>
      <c r="J73" s="55"/>
      <c r="K73" s="30" t="s">
        <v>86</v>
      </c>
      <c r="L73" s="30" t="s">
        <v>87</v>
      </c>
      <c r="M73" s="30"/>
      <c r="N73" s="30" t="s">
        <v>88</v>
      </c>
      <c r="O73" s="30" t="s">
        <v>89</v>
      </c>
      <c r="P73" s="30"/>
      <c r="Q73" s="30"/>
      <c r="R73" s="45" t="s">
        <v>90</v>
      </c>
      <c r="S73" s="30"/>
      <c r="T73" s="35"/>
      <c r="U73" s="32" t="str">
        <f t="shared" si="5"/>
        <v>cielo_facebook__seg_ins_minizip_1200x628</v>
      </c>
    </row>
    <row r="74" spans="1:21" x14ac:dyDescent="0.2">
      <c r="A74" s="60">
        <v>43690</v>
      </c>
      <c r="B74" s="51" t="s">
        <v>53</v>
      </c>
      <c r="C74" s="61" t="s">
        <v>142</v>
      </c>
      <c r="D74" s="30" t="s">
        <v>84</v>
      </c>
      <c r="E74" s="30" t="s">
        <v>27</v>
      </c>
      <c r="F74" s="30" t="s">
        <v>28</v>
      </c>
      <c r="G74" s="30" t="s">
        <v>85</v>
      </c>
      <c r="H74" s="30" t="s">
        <v>67</v>
      </c>
      <c r="I74" s="31" t="s">
        <v>161</v>
      </c>
      <c r="J74" s="55"/>
      <c r="K74" s="30" t="s">
        <v>86</v>
      </c>
      <c r="L74" s="30" t="s">
        <v>92</v>
      </c>
      <c r="M74" s="30"/>
      <c r="N74" s="30" t="s">
        <v>88</v>
      </c>
      <c r="O74" s="30" t="s">
        <v>89</v>
      </c>
      <c r="P74" s="30"/>
      <c r="Q74" s="30"/>
      <c r="R74" s="45" t="s">
        <v>90</v>
      </c>
      <c r="S74" s="30"/>
      <c r="T74" s="35"/>
      <c r="U74" s="32" t="str">
        <f t="shared" si="5"/>
        <v>cielo_facebook__seg_ins_minizip_648x648</v>
      </c>
    </row>
    <row r="75" spans="1:21" x14ac:dyDescent="0.2">
      <c r="A75" s="60">
        <v>43690</v>
      </c>
      <c r="B75" s="51" t="s">
        <v>53</v>
      </c>
      <c r="C75" s="61" t="s">
        <v>142</v>
      </c>
      <c r="D75" s="30" t="s">
        <v>84</v>
      </c>
      <c r="E75" s="30" t="s">
        <v>27</v>
      </c>
      <c r="F75" s="30" t="s">
        <v>28</v>
      </c>
      <c r="G75" s="30" t="s">
        <v>85</v>
      </c>
      <c r="H75" s="30" t="s">
        <v>67</v>
      </c>
      <c r="I75" s="31" t="s">
        <v>162</v>
      </c>
      <c r="J75" s="55"/>
      <c r="K75" s="30" t="s">
        <v>86</v>
      </c>
      <c r="L75" s="30" t="s">
        <v>87</v>
      </c>
      <c r="M75" s="30"/>
      <c r="N75" s="30" t="s">
        <v>88</v>
      </c>
      <c r="O75" s="30" t="s">
        <v>89</v>
      </c>
      <c r="P75" s="30"/>
      <c r="Q75" s="30"/>
      <c r="R75" s="45" t="s">
        <v>90</v>
      </c>
      <c r="S75" s="30"/>
      <c r="T75" s="35"/>
      <c r="U75" s="32" t="str">
        <f t="shared" ref="U75:U87" si="6">LOWER(CONCATENATE($N$3,"_",IF(E75="Adserver","Adserver",D75),"_",J75,"_",I75,"_",L75,))</f>
        <v>cielo_facebook__seg_ins_mob_1200x628</v>
      </c>
    </row>
    <row r="76" spans="1:21" x14ac:dyDescent="0.2">
      <c r="A76" s="60">
        <v>43690</v>
      </c>
      <c r="B76" s="51" t="s">
        <v>53</v>
      </c>
      <c r="C76" s="61" t="s">
        <v>142</v>
      </c>
      <c r="D76" s="30" t="s">
        <v>84</v>
      </c>
      <c r="E76" s="30" t="s">
        <v>27</v>
      </c>
      <c r="F76" s="30" t="s">
        <v>28</v>
      </c>
      <c r="G76" s="30" t="s">
        <v>85</v>
      </c>
      <c r="H76" s="30" t="s">
        <v>67</v>
      </c>
      <c r="I76" s="31" t="s">
        <v>162</v>
      </c>
      <c r="J76" s="55"/>
      <c r="K76" s="30" t="s">
        <v>86</v>
      </c>
      <c r="L76" s="30" t="s">
        <v>92</v>
      </c>
      <c r="M76" s="30"/>
      <c r="N76" s="30" t="s">
        <v>88</v>
      </c>
      <c r="O76" s="30" t="s">
        <v>89</v>
      </c>
      <c r="P76" s="30"/>
      <c r="Q76" s="30"/>
      <c r="R76" s="45" t="s">
        <v>90</v>
      </c>
      <c r="S76" s="30"/>
      <c r="T76" s="35"/>
      <c r="U76" s="32" t="str">
        <f t="shared" si="6"/>
        <v>cielo_facebook__seg_ins_mob_648x648</v>
      </c>
    </row>
    <row r="77" spans="1:21" x14ac:dyDescent="0.2">
      <c r="A77" s="60">
        <v>43690</v>
      </c>
      <c r="B77" s="51" t="s">
        <v>53</v>
      </c>
      <c r="C77" s="61" t="s">
        <v>142</v>
      </c>
      <c r="D77" s="30" t="s">
        <v>84</v>
      </c>
      <c r="E77" s="30" t="s">
        <v>27</v>
      </c>
      <c r="F77" s="30" t="s">
        <v>28</v>
      </c>
      <c r="G77" s="30" t="s">
        <v>85</v>
      </c>
      <c r="H77" s="30" t="s">
        <v>67</v>
      </c>
      <c r="I77" s="31" t="s">
        <v>163</v>
      </c>
      <c r="J77" s="55"/>
      <c r="K77" s="30" t="s">
        <v>86</v>
      </c>
      <c r="L77" s="30" t="s">
        <v>87</v>
      </c>
      <c r="M77" s="30"/>
      <c r="N77" s="30" t="s">
        <v>88</v>
      </c>
      <c r="O77" s="30" t="s">
        <v>89</v>
      </c>
      <c r="P77" s="30"/>
      <c r="Q77" s="30"/>
      <c r="R77" s="45" t="s">
        <v>90</v>
      </c>
      <c r="S77" s="30"/>
      <c r="T77" s="35"/>
      <c r="U77" s="32" t="str">
        <f t="shared" si="6"/>
        <v>cielo_facebook__seg_ins_zip_1200x628</v>
      </c>
    </row>
    <row r="78" spans="1:21" x14ac:dyDescent="0.2">
      <c r="A78" s="60">
        <v>43690</v>
      </c>
      <c r="B78" s="51" t="s">
        <v>53</v>
      </c>
      <c r="C78" s="61" t="s">
        <v>142</v>
      </c>
      <c r="D78" s="30" t="s">
        <v>84</v>
      </c>
      <c r="E78" s="30" t="s">
        <v>27</v>
      </c>
      <c r="F78" s="30" t="s">
        <v>28</v>
      </c>
      <c r="G78" s="30" t="s">
        <v>85</v>
      </c>
      <c r="H78" s="30" t="s">
        <v>67</v>
      </c>
      <c r="I78" s="31" t="s">
        <v>163</v>
      </c>
      <c r="J78" s="55"/>
      <c r="K78" s="30" t="s">
        <v>86</v>
      </c>
      <c r="L78" s="30" t="s">
        <v>92</v>
      </c>
      <c r="M78" s="30"/>
      <c r="N78" s="30" t="s">
        <v>88</v>
      </c>
      <c r="O78" s="30" t="s">
        <v>89</v>
      </c>
      <c r="P78" s="30"/>
      <c r="Q78" s="30"/>
      <c r="R78" s="45" t="s">
        <v>90</v>
      </c>
      <c r="S78" s="30"/>
      <c r="T78" s="35"/>
      <c r="U78" s="32" t="str">
        <f t="shared" si="6"/>
        <v>cielo_facebook__seg_ins_zip_648x648</v>
      </c>
    </row>
    <row r="79" spans="1:21" x14ac:dyDescent="0.2">
      <c r="A79" s="60">
        <v>43690</v>
      </c>
      <c r="B79" s="51" t="s">
        <v>53</v>
      </c>
      <c r="C79" s="61" t="s">
        <v>142</v>
      </c>
      <c r="D79" s="30" t="s">
        <v>84</v>
      </c>
      <c r="E79" s="30" t="s">
        <v>27</v>
      </c>
      <c r="F79" s="30" t="s">
        <v>28</v>
      </c>
      <c r="G79" s="30" t="s">
        <v>85</v>
      </c>
      <c r="H79" s="30" t="s">
        <v>67</v>
      </c>
      <c r="I79" s="31" t="s">
        <v>164</v>
      </c>
      <c r="J79" s="55"/>
      <c r="K79" s="30" t="s">
        <v>86</v>
      </c>
      <c r="L79" s="30" t="s">
        <v>87</v>
      </c>
      <c r="M79" s="30"/>
      <c r="N79" s="30" t="s">
        <v>88</v>
      </c>
      <c r="O79" s="30" t="s">
        <v>89</v>
      </c>
      <c r="P79" s="30"/>
      <c r="Q79" s="30"/>
      <c r="R79" s="45" t="s">
        <v>90</v>
      </c>
      <c r="S79" s="30"/>
      <c r="T79" s="35"/>
      <c r="U79" s="32" t="str">
        <f t="shared" si="6"/>
        <v>cielo_facebook__seg_ins_flash_1200x628</v>
      </c>
    </row>
    <row r="80" spans="1:21" x14ac:dyDescent="0.2">
      <c r="A80" s="60">
        <v>43690</v>
      </c>
      <c r="B80" s="51" t="s">
        <v>53</v>
      </c>
      <c r="C80" s="61" t="s">
        <v>142</v>
      </c>
      <c r="D80" s="30" t="s">
        <v>84</v>
      </c>
      <c r="E80" s="30" t="s">
        <v>27</v>
      </c>
      <c r="F80" s="30" t="s">
        <v>28</v>
      </c>
      <c r="G80" s="30" t="s">
        <v>85</v>
      </c>
      <c r="H80" s="30" t="s">
        <v>67</v>
      </c>
      <c r="I80" s="31" t="s">
        <v>164</v>
      </c>
      <c r="J80" s="55"/>
      <c r="K80" s="30" t="s">
        <v>86</v>
      </c>
      <c r="L80" s="30" t="s">
        <v>92</v>
      </c>
      <c r="M80" s="30"/>
      <c r="N80" s="30" t="s">
        <v>88</v>
      </c>
      <c r="O80" s="30" t="s">
        <v>89</v>
      </c>
      <c r="P80" s="30"/>
      <c r="Q80" s="30"/>
      <c r="R80" s="45" t="s">
        <v>90</v>
      </c>
      <c r="S80" s="30"/>
      <c r="T80" s="35"/>
      <c r="U80" s="32" t="str">
        <f t="shared" si="6"/>
        <v>cielo_facebook__seg_ins_flash_648x648</v>
      </c>
    </row>
    <row r="81" spans="1:21" x14ac:dyDescent="0.2">
      <c r="A81" s="60">
        <v>43691</v>
      </c>
      <c r="B81" s="51" t="s">
        <v>53</v>
      </c>
      <c r="C81" s="61" t="s">
        <v>64</v>
      </c>
      <c r="D81" s="30" t="s">
        <v>173</v>
      </c>
      <c r="E81" s="30" t="s">
        <v>27</v>
      </c>
      <c r="F81" s="30" t="s">
        <v>28</v>
      </c>
      <c r="G81" s="30" t="s">
        <v>85</v>
      </c>
      <c r="H81" s="30" t="s">
        <v>67</v>
      </c>
      <c r="I81" s="31" t="s">
        <v>57</v>
      </c>
      <c r="J81" s="55"/>
      <c r="K81" s="30" t="s">
        <v>242</v>
      </c>
      <c r="L81" s="30" t="s">
        <v>174</v>
      </c>
      <c r="M81" s="30"/>
      <c r="N81" s="30"/>
      <c r="O81" s="30" t="s">
        <v>175</v>
      </c>
      <c r="P81" s="30"/>
      <c r="Q81" s="30"/>
      <c r="R81" s="45" t="s">
        <v>176</v>
      </c>
      <c r="S81" s="30"/>
      <c r="T81" s="32" t="s">
        <v>177</v>
      </c>
      <c r="U81" s="32" t="str">
        <f t="shared" si="6"/>
        <v>cielo_sua música__aw_ins_nova-cielo_1900x1000</v>
      </c>
    </row>
    <row r="82" spans="1:21" x14ac:dyDescent="0.2">
      <c r="A82" s="60">
        <v>43691</v>
      </c>
      <c r="B82" s="51" t="s">
        <v>53</v>
      </c>
      <c r="C82" s="61" t="s">
        <v>64</v>
      </c>
      <c r="D82" s="30" t="s">
        <v>173</v>
      </c>
      <c r="E82" s="30" t="s">
        <v>27</v>
      </c>
      <c r="F82" s="30" t="s">
        <v>28</v>
      </c>
      <c r="G82" s="30" t="s">
        <v>85</v>
      </c>
      <c r="H82" s="30" t="s">
        <v>67</v>
      </c>
      <c r="I82" s="31" t="s">
        <v>57</v>
      </c>
      <c r="J82" s="55"/>
      <c r="K82" s="30" t="s">
        <v>243</v>
      </c>
      <c r="L82" s="30" t="s">
        <v>244</v>
      </c>
      <c r="M82" s="30"/>
      <c r="N82" s="30"/>
      <c r="O82" s="30" t="s">
        <v>175</v>
      </c>
      <c r="P82" s="30"/>
      <c r="Q82" s="30"/>
      <c r="R82" s="45" t="s">
        <v>167</v>
      </c>
      <c r="S82" s="30"/>
      <c r="T82" s="32" t="s">
        <v>177</v>
      </c>
      <c r="U82" s="32" t="str">
        <f t="shared" si="6"/>
        <v>cielo_sua música__aw_ins_nova-cielo_1200x320</v>
      </c>
    </row>
    <row r="83" spans="1:21" x14ac:dyDescent="0.2">
      <c r="A83" s="60">
        <v>43691</v>
      </c>
      <c r="B83" s="51" t="s">
        <v>53</v>
      </c>
      <c r="C83" s="61" t="s">
        <v>64</v>
      </c>
      <c r="D83" s="30" t="s">
        <v>173</v>
      </c>
      <c r="E83" s="30" t="s">
        <v>27</v>
      </c>
      <c r="F83" s="30" t="s">
        <v>28</v>
      </c>
      <c r="G83" s="30" t="s">
        <v>85</v>
      </c>
      <c r="H83" s="30" t="s">
        <v>67</v>
      </c>
      <c r="I83" s="31" t="s">
        <v>57</v>
      </c>
      <c r="J83" s="55"/>
      <c r="K83" s="30" t="s">
        <v>245</v>
      </c>
      <c r="L83" s="30" t="s">
        <v>246</v>
      </c>
      <c r="M83" s="30"/>
      <c r="N83" s="30"/>
      <c r="O83" s="30" t="s">
        <v>175</v>
      </c>
      <c r="P83" s="30"/>
      <c r="Q83" s="30"/>
      <c r="R83" s="45" t="s">
        <v>167</v>
      </c>
      <c r="S83" s="30"/>
      <c r="T83" s="32" t="s">
        <v>177</v>
      </c>
      <c r="U83" s="32" t="str">
        <f t="shared" si="6"/>
        <v>cielo_sua música__aw_ins_nova-cielo_350x890</v>
      </c>
    </row>
    <row r="84" spans="1:21" x14ac:dyDescent="0.2">
      <c r="A84" s="60">
        <v>43691</v>
      </c>
      <c r="B84" s="51" t="s">
        <v>53</v>
      </c>
      <c r="C84" s="61" t="s">
        <v>64</v>
      </c>
      <c r="D84" s="30" t="s">
        <v>173</v>
      </c>
      <c r="E84" s="30" t="s">
        <v>27</v>
      </c>
      <c r="F84" s="30" t="s">
        <v>28</v>
      </c>
      <c r="G84" s="30" t="s">
        <v>85</v>
      </c>
      <c r="H84" s="30" t="s">
        <v>67</v>
      </c>
      <c r="I84" s="31" t="s">
        <v>57</v>
      </c>
      <c r="J84" s="55"/>
      <c r="K84" s="30" t="s">
        <v>247</v>
      </c>
      <c r="L84" s="30" t="s">
        <v>248</v>
      </c>
      <c r="M84" s="30"/>
      <c r="N84" s="30"/>
      <c r="O84" s="30" t="s">
        <v>175</v>
      </c>
      <c r="P84" s="30"/>
      <c r="Q84" s="30"/>
      <c r="R84" s="45" t="s">
        <v>167</v>
      </c>
      <c r="S84" s="30"/>
      <c r="T84" s="32" t="s">
        <v>177</v>
      </c>
      <c r="U84" s="32" t="str">
        <f t="shared" si="6"/>
        <v>cielo_sua música__aw_ins_nova-cielo_1200x200</v>
      </c>
    </row>
    <row r="85" spans="1:21" x14ac:dyDescent="0.2">
      <c r="A85" s="60">
        <v>43691</v>
      </c>
      <c r="B85" s="51" t="s">
        <v>53</v>
      </c>
      <c r="C85" s="61" t="s">
        <v>64</v>
      </c>
      <c r="D85" s="30" t="s">
        <v>173</v>
      </c>
      <c r="E85" s="30" t="s">
        <v>27</v>
      </c>
      <c r="F85" s="30" t="s">
        <v>28</v>
      </c>
      <c r="G85" s="30" t="s">
        <v>85</v>
      </c>
      <c r="H85" s="30" t="s">
        <v>67</v>
      </c>
      <c r="I85" s="31" t="s">
        <v>57</v>
      </c>
      <c r="J85" s="55"/>
      <c r="K85" s="30" t="s">
        <v>178</v>
      </c>
      <c r="L85" s="30" t="s">
        <v>179</v>
      </c>
      <c r="M85" s="30"/>
      <c r="N85" s="30"/>
      <c r="O85" s="30" t="s">
        <v>180</v>
      </c>
      <c r="P85" s="30"/>
      <c r="Q85" s="30"/>
      <c r="R85" s="45" t="s">
        <v>90</v>
      </c>
      <c r="S85" s="30"/>
      <c r="T85" s="32"/>
      <c r="U85" s="32" t="str">
        <f t="shared" si="6"/>
        <v>cielo_sua música__aw_ins_nova-cielo_780x430</v>
      </c>
    </row>
    <row r="86" spans="1:21" s="44" customFormat="1" x14ac:dyDescent="0.2">
      <c r="A86" s="61">
        <v>43691</v>
      </c>
      <c r="B86" s="51" t="s">
        <v>53</v>
      </c>
      <c r="C86" s="61" t="s">
        <v>64</v>
      </c>
      <c r="D86" s="30" t="s">
        <v>173</v>
      </c>
      <c r="E86" s="30" t="s">
        <v>27</v>
      </c>
      <c r="F86" s="30" t="s">
        <v>28</v>
      </c>
      <c r="G86" s="30" t="s">
        <v>85</v>
      </c>
      <c r="H86" s="30" t="s">
        <v>67</v>
      </c>
      <c r="I86" s="31" t="s">
        <v>57</v>
      </c>
      <c r="J86" s="84"/>
      <c r="K86" s="30" t="s">
        <v>98</v>
      </c>
      <c r="L86" s="30" t="s">
        <v>181</v>
      </c>
      <c r="M86" s="30"/>
      <c r="N86" s="30"/>
      <c r="O86" s="30" t="s">
        <v>182</v>
      </c>
      <c r="P86" s="30"/>
      <c r="Q86" s="30"/>
      <c r="R86" s="45" t="s">
        <v>90</v>
      </c>
      <c r="S86" s="30"/>
      <c r="T86" s="32"/>
      <c r="U86" s="32" t="str">
        <f t="shared" si="6"/>
        <v>cielo_sua música__aw_ins_nova-cielo_500x500</v>
      </c>
    </row>
    <row r="87" spans="1:21" ht="12" customHeight="1" x14ac:dyDescent="0.2">
      <c r="A87" s="60">
        <v>43691</v>
      </c>
      <c r="B87" s="51" t="s">
        <v>53</v>
      </c>
      <c r="C87" s="61" t="s">
        <v>64</v>
      </c>
      <c r="D87" s="30" t="s">
        <v>173</v>
      </c>
      <c r="E87" s="30" t="s">
        <v>27</v>
      </c>
      <c r="F87" s="30" t="s">
        <v>28</v>
      </c>
      <c r="G87" s="30" t="s">
        <v>85</v>
      </c>
      <c r="H87" s="30" t="s">
        <v>67</v>
      </c>
      <c r="I87" s="31" t="s">
        <v>57</v>
      </c>
      <c r="J87" s="55"/>
      <c r="K87" s="30" t="s">
        <v>183</v>
      </c>
      <c r="L87" s="30" t="s">
        <v>184</v>
      </c>
      <c r="M87" s="30"/>
      <c r="N87" s="30"/>
      <c r="O87" s="30" t="s">
        <v>185</v>
      </c>
      <c r="P87" s="30"/>
      <c r="Q87" s="30"/>
      <c r="R87" s="45" t="s">
        <v>186</v>
      </c>
      <c r="S87" s="30"/>
      <c r="T87" s="32" t="s">
        <v>187</v>
      </c>
      <c r="U87" s="32" t="str">
        <f t="shared" si="6"/>
        <v>cielo_sua música__aw_ins_nova-cielo_320x480</v>
      </c>
    </row>
    <row r="88" spans="1:21" ht="12" customHeight="1" x14ac:dyDescent="0.2">
      <c r="A88" s="60">
        <v>43691</v>
      </c>
      <c r="B88" s="51" t="s">
        <v>53</v>
      </c>
      <c r="C88" s="61" t="s">
        <v>64</v>
      </c>
      <c r="D88" s="30" t="s">
        <v>173</v>
      </c>
      <c r="E88" s="30" t="s">
        <v>27</v>
      </c>
      <c r="F88" s="30" t="s">
        <v>28</v>
      </c>
      <c r="G88" s="30" t="s">
        <v>66</v>
      </c>
      <c r="H88" s="30" t="s">
        <v>67</v>
      </c>
      <c r="I88" s="31" t="s">
        <v>57</v>
      </c>
      <c r="J88" s="55"/>
      <c r="K88" s="30" t="s">
        <v>188</v>
      </c>
      <c r="L88" s="30" t="s">
        <v>75</v>
      </c>
      <c r="M88" s="30"/>
      <c r="N88" s="30"/>
      <c r="O88" s="30" t="s">
        <v>189</v>
      </c>
      <c r="P88" s="30" t="s">
        <v>191</v>
      </c>
      <c r="Q88" s="30" t="s">
        <v>29</v>
      </c>
      <c r="R88" s="45" t="s">
        <v>190</v>
      </c>
      <c r="S88" s="30"/>
      <c r="T88" s="32"/>
      <c r="U88" s="32" t="str">
        <f t="shared" ref="U88:U97" si="7">LOWER(CONCATENATE($N$3,"_",IF(E88="Adserver","Adserver",D88),"_",J88,"_",I88,"_",L88,))</f>
        <v>cielo_sua música__aw_ins_nova-cielo_300x600</v>
      </c>
    </row>
    <row r="89" spans="1:21" x14ac:dyDescent="0.2">
      <c r="A89" s="60">
        <v>43691</v>
      </c>
      <c r="B89" s="51" t="s">
        <v>53</v>
      </c>
      <c r="C89" s="61" t="s">
        <v>64</v>
      </c>
      <c r="D89" s="30" t="s">
        <v>173</v>
      </c>
      <c r="E89" s="30" t="s">
        <v>27</v>
      </c>
      <c r="F89" s="30" t="s">
        <v>28</v>
      </c>
      <c r="G89" s="30" t="s">
        <v>66</v>
      </c>
      <c r="H89" s="30" t="s">
        <v>67</v>
      </c>
      <c r="I89" s="31" t="s">
        <v>57</v>
      </c>
      <c r="J89" s="55"/>
      <c r="K89" s="30" t="s">
        <v>68</v>
      </c>
      <c r="L89" s="30" t="s">
        <v>69</v>
      </c>
      <c r="M89" s="55"/>
      <c r="N89" s="55"/>
      <c r="O89" s="30" t="s">
        <v>185</v>
      </c>
      <c r="P89" s="30" t="s">
        <v>191</v>
      </c>
      <c r="Q89" s="30" t="s">
        <v>29</v>
      </c>
      <c r="R89" s="45" t="s">
        <v>190</v>
      </c>
      <c r="S89" s="30"/>
      <c r="T89" s="32"/>
      <c r="U89" s="32" t="str">
        <f t="shared" si="7"/>
        <v>cielo_sua música__aw_ins_nova-cielo_300x250</v>
      </c>
    </row>
    <row r="90" spans="1:21" x14ac:dyDescent="0.2">
      <c r="A90" s="60">
        <v>43691</v>
      </c>
      <c r="B90" s="51" t="s">
        <v>53</v>
      </c>
      <c r="C90" s="61" t="s">
        <v>64</v>
      </c>
      <c r="D90" s="30" t="s">
        <v>173</v>
      </c>
      <c r="E90" s="30" t="s">
        <v>27</v>
      </c>
      <c r="F90" s="30" t="s">
        <v>28</v>
      </c>
      <c r="G90" s="30" t="s">
        <v>66</v>
      </c>
      <c r="H90" s="30" t="s">
        <v>67</v>
      </c>
      <c r="I90" s="31" t="s">
        <v>57</v>
      </c>
      <c r="J90" s="55"/>
      <c r="K90" s="30" t="s">
        <v>110</v>
      </c>
      <c r="L90" s="30" t="s">
        <v>83</v>
      </c>
      <c r="M90" s="55"/>
      <c r="N90" s="55"/>
      <c r="O90" s="30" t="s">
        <v>185</v>
      </c>
      <c r="P90" s="30" t="s">
        <v>191</v>
      </c>
      <c r="Q90" s="30" t="s">
        <v>29</v>
      </c>
      <c r="R90" s="45" t="s">
        <v>190</v>
      </c>
      <c r="S90" s="55"/>
      <c r="T90" s="55"/>
      <c r="U90" s="32" t="str">
        <f t="shared" si="7"/>
        <v>cielo_sua música__aw_ins_nova-cielo_728x90</v>
      </c>
    </row>
    <row r="91" spans="1:21" x14ac:dyDescent="0.2">
      <c r="A91" s="60">
        <v>43691</v>
      </c>
      <c r="B91" s="51" t="s">
        <v>53</v>
      </c>
      <c r="C91" s="61" t="s">
        <v>64</v>
      </c>
      <c r="D91" s="30" t="s">
        <v>173</v>
      </c>
      <c r="E91" s="30" t="s">
        <v>27</v>
      </c>
      <c r="F91" s="30" t="s">
        <v>28</v>
      </c>
      <c r="G91" s="30" t="s">
        <v>66</v>
      </c>
      <c r="H91" s="30" t="s">
        <v>67</v>
      </c>
      <c r="I91" s="31" t="s">
        <v>57</v>
      </c>
      <c r="J91" s="55"/>
      <c r="K91" s="30" t="s">
        <v>82</v>
      </c>
      <c r="L91" s="30" t="s">
        <v>192</v>
      </c>
      <c r="M91" s="55"/>
      <c r="N91" s="55"/>
      <c r="O91" s="30" t="s">
        <v>180</v>
      </c>
      <c r="P91" s="30" t="s">
        <v>191</v>
      </c>
      <c r="Q91" s="30" t="s">
        <v>29</v>
      </c>
      <c r="R91" s="45" t="s">
        <v>190</v>
      </c>
      <c r="S91" s="55"/>
      <c r="T91" s="55"/>
      <c r="U91" s="32" t="str">
        <f t="shared" si="7"/>
        <v>cielo_sua música__aw_ins_nova-cielo_970x90</v>
      </c>
    </row>
    <row r="92" spans="1:21" x14ac:dyDescent="0.2">
      <c r="A92" s="60">
        <v>43691</v>
      </c>
      <c r="B92" s="51" t="s">
        <v>53</v>
      </c>
      <c r="C92" s="61" t="s">
        <v>64</v>
      </c>
      <c r="D92" s="30" t="s">
        <v>173</v>
      </c>
      <c r="E92" s="30" t="s">
        <v>27</v>
      </c>
      <c r="F92" s="30" t="s">
        <v>28</v>
      </c>
      <c r="G92" s="30" t="s">
        <v>66</v>
      </c>
      <c r="H92" s="30" t="s">
        <v>67</v>
      </c>
      <c r="I92" s="31" t="s">
        <v>57</v>
      </c>
      <c r="J92" s="55"/>
      <c r="K92" s="30" t="s">
        <v>104</v>
      </c>
      <c r="L92" s="30" t="s">
        <v>105</v>
      </c>
      <c r="M92" s="55"/>
      <c r="N92" s="55"/>
      <c r="O92" s="30" t="s">
        <v>180</v>
      </c>
      <c r="P92" s="30" t="s">
        <v>191</v>
      </c>
      <c r="Q92" s="30" t="s">
        <v>29</v>
      </c>
      <c r="R92" s="45" t="s">
        <v>190</v>
      </c>
      <c r="S92" s="55"/>
      <c r="T92" s="55"/>
      <c r="U92" s="32" t="str">
        <f t="shared" si="7"/>
        <v>cielo_sua música__aw_ins_nova-cielo_970x250</v>
      </c>
    </row>
    <row r="93" spans="1:21" x14ac:dyDescent="0.2">
      <c r="A93" s="60">
        <v>43691</v>
      </c>
      <c r="B93" s="51" t="s">
        <v>53</v>
      </c>
      <c r="C93" s="61" t="s">
        <v>64</v>
      </c>
      <c r="D93" s="30" t="s">
        <v>173</v>
      </c>
      <c r="E93" s="30" t="s">
        <v>27</v>
      </c>
      <c r="F93" s="30" t="s">
        <v>28</v>
      </c>
      <c r="G93" s="30" t="s">
        <v>66</v>
      </c>
      <c r="H93" s="30" t="s">
        <v>67</v>
      </c>
      <c r="I93" s="31" t="s">
        <v>57</v>
      </c>
      <c r="J93" s="55"/>
      <c r="K93" s="30" t="s">
        <v>193</v>
      </c>
      <c r="L93" s="30" t="s">
        <v>77</v>
      </c>
      <c r="M93" s="55"/>
      <c r="N93" s="55"/>
      <c r="O93" s="56" t="s">
        <v>194</v>
      </c>
      <c r="P93" s="55"/>
      <c r="Q93" s="55"/>
      <c r="R93" s="45" t="s">
        <v>190</v>
      </c>
      <c r="S93" s="55"/>
      <c r="T93" s="55" t="s">
        <v>195</v>
      </c>
      <c r="U93" s="32" t="str">
        <f t="shared" si="7"/>
        <v>cielo_sua música__aw_ins_nova-cielo_320x100</v>
      </c>
    </row>
    <row r="94" spans="1:21" x14ac:dyDescent="0.2">
      <c r="A94" s="60">
        <v>43691</v>
      </c>
      <c r="B94" s="51" t="s">
        <v>53</v>
      </c>
      <c r="C94" s="61" t="s">
        <v>64</v>
      </c>
      <c r="D94" s="30" t="s">
        <v>173</v>
      </c>
      <c r="E94" s="30" t="s">
        <v>27</v>
      </c>
      <c r="F94" s="30" t="s">
        <v>28</v>
      </c>
      <c r="G94" s="30" t="s">
        <v>66</v>
      </c>
      <c r="H94" s="30" t="s">
        <v>67</v>
      </c>
      <c r="I94" s="31" t="s">
        <v>57</v>
      </c>
      <c r="J94" s="55"/>
      <c r="K94" s="30" t="s">
        <v>196</v>
      </c>
      <c r="L94" s="30" t="s">
        <v>69</v>
      </c>
      <c r="M94" s="55"/>
      <c r="N94" s="55"/>
      <c r="O94" s="56" t="s">
        <v>194</v>
      </c>
      <c r="P94" s="30" t="s">
        <v>191</v>
      </c>
      <c r="Q94" s="30" t="s">
        <v>29</v>
      </c>
      <c r="R94" s="45" t="s">
        <v>190</v>
      </c>
      <c r="S94" s="55"/>
      <c r="T94" s="55" t="s">
        <v>195</v>
      </c>
      <c r="U94" s="32" t="str">
        <f t="shared" si="7"/>
        <v>cielo_sua música__aw_ins_nova-cielo_300x250</v>
      </c>
    </row>
    <row r="95" spans="1:21" x14ac:dyDescent="0.2">
      <c r="A95" s="60">
        <v>43691</v>
      </c>
      <c r="B95" s="51" t="s">
        <v>53</v>
      </c>
      <c r="C95" s="61" t="s">
        <v>64</v>
      </c>
      <c r="D95" s="30" t="s">
        <v>173</v>
      </c>
      <c r="E95" s="30" t="s">
        <v>27</v>
      </c>
      <c r="F95" s="30" t="s">
        <v>28</v>
      </c>
      <c r="G95" s="30" t="s">
        <v>66</v>
      </c>
      <c r="H95" s="30" t="s">
        <v>67</v>
      </c>
      <c r="I95" s="31" t="s">
        <v>57</v>
      </c>
      <c r="J95" s="55"/>
      <c r="K95" s="30" t="s">
        <v>197</v>
      </c>
      <c r="L95" s="30" t="s">
        <v>184</v>
      </c>
      <c r="M95" s="55"/>
      <c r="N95" s="55"/>
      <c r="O95" s="30" t="s">
        <v>185</v>
      </c>
      <c r="P95" s="55"/>
      <c r="Q95" s="55"/>
      <c r="R95" s="45" t="s">
        <v>186</v>
      </c>
      <c r="S95" s="55"/>
      <c r="T95" s="32" t="s">
        <v>187</v>
      </c>
      <c r="U95" s="32" t="str">
        <f t="shared" si="7"/>
        <v>cielo_sua música__aw_ins_nova-cielo_320x480</v>
      </c>
    </row>
    <row r="96" spans="1:21" ht="25.5" x14ac:dyDescent="0.2">
      <c r="A96" s="60">
        <v>43691</v>
      </c>
      <c r="B96" s="51" t="s">
        <v>53</v>
      </c>
      <c r="C96" s="61" t="s">
        <v>64</v>
      </c>
      <c r="D96" s="30" t="s">
        <v>173</v>
      </c>
      <c r="E96" s="30" t="s">
        <v>27</v>
      </c>
      <c r="F96" s="30" t="s">
        <v>28</v>
      </c>
      <c r="G96" s="30" t="s">
        <v>55</v>
      </c>
      <c r="H96" s="30" t="s">
        <v>67</v>
      </c>
      <c r="I96" s="31" t="s">
        <v>57</v>
      </c>
      <c r="J96" s="55"/>
      <c r="K96" s="30" t="s">
        <v>198</v>
      </c>
      <c r="L96" s="30" t="s">
        <v>152</v>
      </c>
      <c r="M96" s="55"/>
      <c r="N96" s="55"/>
      <c r="O96" s="30" t="s">
        <v>199</v>
      </c>
      <c r="P96" s="30" t="s">
        <v>200</v>
      </c>
      <c r="Q96" s="30" t="s">
        <v>201</v>
      </c>
      <c r="R96" s="45" t="s">
        <v>202</v>
      </c>
      <c r="S96" s="55"/>
      <c r="T96" s="32" t="s">
        <v>177</v>
      </c>
      <c r="U96" s="32" t="str">
        <f t="shared" si="7"/>
        <v>cielo_sua música__aw_ins_nova-cielo_640x480</v>
      </c>
    </row>
    <row r="97" spans="1:22" x14ac:dyDescent="0.2">
      <c r="A97" s="60">
        <v>43691</v>
      </c>
      <c r="B97" s="51" t="s">
        <v>53</v>
      </c>
      <c r="C97" s="61" t="s">
        <v>64</v>
      </c>
      <c r="D97" s="30" t="s">
        <v>173</v>
      </c>
      <c r="E97" s="30" t="s">
        <v>27</v>
      </c>
      <c r="F97" s="30" t="s">
        <v>28</v>
      </c>
      <c r="G97" s="30" t="s">
        <v>66</v>
      </c>
      <c r="H97" s="30" t="s">
        <v>67</v>
      </c>
      <c r="I97" s="31" t="s">
        <v>57</v>
      </c>
      <c r="J97" s="55"/>
      <c r="K97" s="30" t="s">
        <v>204</v>
      </c>
      <c r="L97" s="30" t="s">
        <v>69</v>
      </c>
      <c r="M97" s="55"/>
      <c r="N97" s="55"/>
      <c r="O97" s="30" t="s">
        <v>205</v>
      </c>
      <c r="P97" s="30"/>
      <c r="Q97" s="30"/>
      <c r="R97" s="45" t="s">
        <v>186</v>
      </c>
      <c r="S97" s="55"/>
      <c r="T97" s="32" t="s">
        <v>177</v>
      </c>
      <c r="U97" s="32" t="str">
        <f t="shared" si="7"/>
        <v>cielo_sua música__aw_ins_nova-cielo_300x250</v>
      </c>
    </row>
    <row r="98" spans="1:22" s="44" customFormat="1" ht="25.5" x14ac:dyDescent="0.2">
      <c r="A98" s="61">
        <v>43691</v>
      </c>
      <c r="B98" s="51" t="s">
        <v>53</v>
      </c>
      <c r="C98" s="61" t="s">
        <v>64</v>
      </c>
      <c r="D98" s="30" t="s">
        <v>173</v>
      </c>
      <c r="E98" s="30" t="s">
        <v>27</v>
      </c>
      <c r="F98" s="30" t="s">
        <v>28</v>
      </c>
      <c r="G98" s="30" t="s">
        <v>203</v>
      </c>
      <c r="H98" s="30" t="s">
        <v>67</v>
      </c>
      <c r="I98" s="31" t="s">
        <v>57</v>
      </c>
      <c r="J98" s="84"/>
      <c r="K98" s="30" t="s">
        <v>206</v>
      </c>
      <c r="L98" s="30" t="s">
        <v>210</v>
      </c>
      <c r="M98" s="84"/>
      <c r="N98" s="84"/>
      <c r="O98" s="30" t="s">
        <v>207</v>
      </c>
      <c r="P98" s="30" t="s">
        <v>200</v>
      </c>
      <c r="Q98" s="30"/>
      <c r="R98" s="45" t="s">
        <v>208</v>
      </c>
      <c r="S98" s="84"/>
      <c r="T98" s="32" t="s">
        <v>209</v>
      </c>
      <c r="U98" s="32" t="str">
        <f t="shared" ref="U98:U108" si="8">LOWER(CONCATENATE($N$3,"_",IF(E98="Adserver","Adserver",D98),"_",J98,"_",I98,"_",L98,))</f>
        <v>cielo_sua música__aw_ins_nova-cielo_mp3</v>
      </c>
    </row>
    <row r="99" spans="1:22" x14ac:dyDescent="0.2">
      <c r="A99" s="60">
        <v>43691</v>
      </c>
      <c r="B99" s="51" t="s">
        <v>53</v>
      </c>
      <c r="C99" s="61" t="s">
        <v>119</v>
      </c>
      <c r="D99" s="30" t="s">
        <v>65</v>
      </c>
      <c r="E99" s="30" t="s">
        <v>30</v>
      </c>
      <c r="F99" s="30" t="s">
        <v>31</v>
      </c>
      <c r="G99" s="30" t="s">
        <v>66</v>
      </c>
      <c r="H99" s="30" t="s">
        <v>67</v>
      </c>
      <c r="I99" s="75" t="s">
        <v>120</v>
      </c>
      <c r="J99" s="55"/>
      <c r="K99" s="30" t="s">
        <v>68</v>
      </c>
      <c r="L99" s="30" t="s">
        <v>69</v>
      </c>
      <c r="M99" s="45"/>
      <c r="N99" s="30" t="s">
        <v>70</v>
      </c>
      <c r="O99" s="30" t="s">
        <v>71</v>
      </c>
      <c r="P99" s="30" t="s">
        <v>72</v>
      </c>
      <c r="Q99" s="30" t="s">
        <v>29</v>
      </c>
      <c r="R99" s="45" t="s">
        <v>73</v>
      </c>
      <c r="S99" s="30"/>
      <c r="T99" s="34"/>
      <c r="U99" s="32" t="str">
        <f t="shared" si="8"/>
        <v>cielo_adserver__fre_ins_nova-cielo_300x250</v>
      </c>
    </row>
    <row r="100" spans="1:22" x14ac:dyDescent="0.2">
      <c r="A100" s="60">
        <v>43691</v>
      </c>
      <c r="B100" s="51" t="s">
        <v>53</v>
      </c>
      <c r="C100" s="61" t="s">
        <v>119</v>
      </c>
      <c r="D100" s="30" t="s">
        <v>65</v>
      </c>
      <c r="E100" s="30" t="s">
        <v>30</v>
      </c>
      <c r="F100" s="30" t="s">
        <v>31</v>
      </c>
      <c r="G100" s="30" t="s">
        <v>66</v>
      </c>
      <c r="H100" s="30" t="s">
        <v>67</v>
      </c>
      <c r="I100" s="75" t="s">
        <v>120</v>
      </c>
      <c r="J100" s="55"/>
      <c r="K100" s="30" t="s">
        <v>74</v>
      </c>
      <c r="L100" s="30" t="s">
        <v>75</v>
      </c>
      <c r="M100" s="45"/>
      <c r="N100" s="30" t="s">
        <v>70</v>
      </c>
      <c r="O100" s="30" t="s">
        <v>71</v>
      </c>
      <c r="P100" s="30" t="s">
        <v>72</v>
      </c>
      <c r="Q100" s="30" t="s">
        <v>29</v>
      </c>
      <c r="R100" s="45" t="s">
        <v>73</v>
      </c>
      <c r="S100" s="30"/>
      <c r="T100" s="34"/>
      <c r="U100" s="32" t="str">
        <f t="shared" si="8"/>
        <v>cielo_adserver__fre_ins_nova-cielo_300x600</v>
      </c>
    </row>
    <row r="101" spans="1:22" x14ac:dyDescent="0.2">
      <c r="A101" s="60">
        <v>43691</v>
      </c>
      <c r="B101" s="51" t="s">
        <v>53</v>
      </c>
      <c r="C101" s="61" t="s">
        <v>119</v>
      </c>
      <c r="D101" s="30" t="s">
        <v>65</v>
      </c>
      <c r="E101" s="30" t="s">
        <v>30</v>
      </c>
      <c r="F101" s="30" t="s">
        <v>31</v>
      </c>
      <c r="G101" s="30" t="s">
        <v>66</v>
      </c>
      <c r="H101" s="30" t="s">
        <v>67</v>
      </c>
      <c r="I101" s="75" t="s">
        <v>120</v>
      </c>
      <c r="J101" s="55"/>
      <c r="K101" s="30" t="s">
        <v>76</v>
      </c>
      <c r="L101" s="30" t="s">
        <v>77</v>
      </c>
      <c r="M101" s="45"/>
      <c r="N101" s="30" t="s">
        <v>78</v>
      </c>
      <c r="O101" s="30" t="s">
        <v>79</v>
      </c>
      <c r="P101" s="30" t="s">
        <v>72</v>
      </c>
      <c r="Q101" s="30" t="s">
        <v>29</v>
      </c>
      <c r="R101" s="45" t="s">
        <v>73</v>
      </c>
      <c r="S101" s="30"/>
      <c r="T101" s="34"/>
      <c r="U101" s="32" t="str">
        <f t="shared" si="8"/>
        <v>cielo_adserver__fre_ins_nova-cielo_320x100</v>
      </c>
    </row>
    <row r="102" spans="1:22" x14ac:dyDescent="0.2">
      <c r="A102" s="60">
        <v>43691</v>
      </c>
      <c r="B102" s="51" t="s">
        <v>53</v>
      </c>
      <c r="C102" s="61" t="s">
        <v>119</v>
      </c>
      <c r="D102" s="30" t="s">
        <v>65</v>
      </c>
      <c r="E102" s="30" t="s">
        <v>30</v>
      </c>
      <c r="F102" s="30" t="s">
        <v>31</v>
      </c>
      <c r="G102" s="30" t="s">
        <v>66</v>
      </c>
      <c r="H102" s="30" t="s">
        <v>67</v>
      </c>
      <c r="I102" s="75" t="s">
        <v>120</v>
      </c>
      <c r="J102" s="55"/>
      <c r="K102" s="30" t="s">
        <v>80</v>
      </c>
      <c r="L102" s="30" t="s">
        <v>81</v>
      </c>
      <c r="M102" s="45"/>
      <c r="N102" s="30" t="s">
        <v>78</v>
      </c>
      <c r="O102" s="30" t="s">
        <v>79</v>
      </c>
      <c r="P102" s="30" t="s">
        <v>72</v>
      </c>
      <c r="Q102" s="30" t="s">
        <v>29</v>
      </c>
      <c r="R102" s="45" t="s">
        <v>73</v>
      </c>
      <c r="S102" s="30"/>
      <c r="T102" s="35"/>
      <c r="U102" s="32" t="str">
        <f t="shared" si="8"/>
        <v>cielo_adserver__fre_ins_nova-cielo_320x50</v>
      </c>
    </row>
    <row r="103" spans="1:22" x14ac:dyDescent="0.2">
      <c r="A103" s="60">
        <v>43691</v>
      </c>
      <c r="B103" s="51" t="s">
        <v>53</v>
      </c>
      <c r="C103" s="61" t="s">
        <v>119</v>
      </c>
      <c r="D103" s="30" t="s">
        <v>65</v>
      </c>
      <c r="E103" s="30" t="s">
        <v>30</v>
      </c>
      <c r="F103" s="30" t="s">
        <v>31</v>
      </c>
      <c r="G103" s="30" t="s">
        <v>66</v>
      </c>
      <c r="H103" s="30" t="s">
        <v>67</v>
      </c>
      <c r="I103" s="75" t="s">
        <v>120</v>
      </c>
      <c r="J103" s="55"/>
      <c r="K103" s="30" t="s">
        <v>82</v>
      </c>
      <c r="L103" s="30" t="s">
        <v>83</v>
      </c>
      <c r="M103" s="45"/>
      <c r="N103" s="30" t="s">
        <v>70</v>
      </c>
      <c r="O103" s="30" t="s">
        <v>71</v>
      </c>
      <c r="P103" s="30" t="s">
        <v>72</v>
      </c>
      <c r="Q103" s="30" t="s">
        <v>29</v>
      </c>
      <c r="R103" s="45" t="s">
        <v>73</v>
      </c>
      <c r="S103" s="30"/>
      <c r="T103" s="35"/>
      <c r="U103" s="32" t="str">
        <f t="shared" si="8"/>
        <v>cielo_adserver__fre_ins_nova-cielo_728x90</v>
      </c>
    </row>
    <row r="104" spans="1:22" x14ac:dyDescent="0.2">
      <c r="A104" s="60">
        <v>43691</v>
      </c>
      <c r="B104" s="51" t="s">
        <v>53</v>
      </c>
      <c r="C104" s="61" t="s">
        <v>119</v>
      </c>
      <c r="D104" s="30" t="s">
        <v>65</v>
      </c>
      <c r="E104" s="30" t="s">
        <v>30</v>
      </c>
      <c r="F104" s="30" t="s">
        <v>31</v>
      </c>
      <c r="G104" s="30" t="s">
        <v>66</v>
      </c>
      <c r="H104" s="30" t="s">
        <v>67</v>
      </c>
      <c r="I104" s="75" t="s">
        <v>120</v>
      </c>
      <c r="J104" s="55"/>
      <c r="K104" s="30" t="s">
        <v>214</v>
      </c>
      <c r="L104" s="30" t="s">
        <v>215</v>
      </c>
      <c r="M104" s="64" t="s">
        <v>28</v>
      </c>
      <c r="N104" s="64" t="s">
        <v>88</v>
      </c>
      <c r="O104" s="30" t="s">
        <v>89</v>
      </c>
      <c r="P104" s="64" t="s">
        <v>28</v>
      </c>
      <c r="Q104" s="64" t="s">
        <v>29</v>
      </c>
      <c r="R104" s="45" t="s">
        <v>216</v>
      </c>
      <c r="S104" s="55"/>
      <c r="T104" s="55"/>
      <c r="U104" s="32" t="str">
        <f t="shared" si="8"/>
        <v xml:space="preserve">cielo_adserver__fre_ins_nova-cielo_648x648 </v>
      </c>
    </row>
    <row r="105" spans="1:22" x14ac:dyDescent="0.2">
      <c r="A105" s="60">
        <v>43691</v>
      </c>
      <c r="B105" s="51" t="s">
        <v>53</v>
      </c>
      <c r="C105" s="61" t="s">
        <v>119</v>
      </c>
      <c r="D105" s="30" t="s">
        <v>65</v>
      </c>
      <c r="E105" s="30" t="s">
        <v>30</v>
      </c>
      <c r="F105" s="30" t="s">
        <v>31</v>
      </c>
      <c r="G105" s="30" t="s">
        <v>66</v>
      </c>
      <c r="H105" s="30" t="s">
        <v>67</v>
      </c>
      <c r="I105" s="75" t="s">
        <v>120</v>
      </c>
      <c r="J105" s="55"/>
      <c r="K105" s="30" t="s">
        <v>217</v>
      </c>
      <c r="L105" s="30" t="s">
        <v>87</v>
      </c>
      <c r="M105" s="30" t="s">
        <v>28</v>
      </c>
      <c r="N105" s="30" t="s">
        <v>88</v>
      </c>
      <c r="O105" s="30" t="s">
        <v>89</v>
      </c>
      <c r="P105" s="30" t="s">
        <v>28</v>
      </c>
      <c r="Q105" s="30" t="s">
        <v>29</v>
      </c>
      <c r="R105" s="45" t="s">
        <v>216</v>
      </c>
      <c r="S105" s="55"/>
      <c r="T105" s="55"/>
      <c r="U105" s="32" t="str">
        <f t="shared" si="8"/>
        <v>cielo_adserver__fre_ins_nova-cielo_1200x628</v>
      </c>
    </row>
    <row r="106" spans="1:22" x14ac:dyDescent="0.2">
      <c r="A106" s="60">
        <v>43691</v>
      </c>
      <c r="B106" s="51" t="s">
        <v>53</v>
      </c>
      <c r="C106" s="61" t="s">
        <v>119</v>
      </c>
      <c r="D106" s="30" t="s">
        <v>65</v>
      </c>
      <c r="E106" s="30" t="s">
        <v>30</v>
      </c>
      <c r="F106" s="30" t="s">
        <v>31</v>
      </c>
      <c r="G106" s="30" t="s">
        <v>55</v>
      </c>
      <c r="H106" s="30" t="s">
        <v>67</v>
      </c>
      <c r="I106" s="75" t="s">
        <v>120</v>
      </c>
      <c r="J106" s="55"/>
      <c r="K106" s="30" t="s">
        <v>137</v>
      </c>
      <c r="L106" s="30" t="s">
        <v>218</v>
      </c>
      <c r="M106" s="45"/>
      <c r="N106" s="30" t="s">
        <v>88</v>
      </c>
      <c r="O106" s="30" t="s">
        <v>89</v>
      </c>
      <c r="P106" s="30" t="s">
        <v>28</v>
      </c>
      <c r="Q106" s="30" t="s">
        <v>29</v>
      </c>
      <c r="R106" s="76" t="s">
        <v>59</v>
      </c>
      <c r="S106" s="30" t="s">
        <v>28</v>
      </c>
      <c r="T106" s="34" t="s">
        <v>28</v>
      </c>
      <c r="U106" s="32" t="str">
        <f t="shared" si="8"/>
        <v>cielo_adserver__fre_ins_nova-cielo_360x480</v>
      </c>
    </row>
    <row r="107" spans="1:22" x14ac:dyDescent="0.2">
      <c r="A107" s="33">
        <v>43691</v>
      </c>
      <c r="B107" s="51" t="s">
        <v>53</v>
      </c>
      <c r="C107" s="61" t="s">
        <v>142</v>
      </c>
      <c r="D107" s="30" t="s">
        <v>94</v>
      </c>
      <c r="E107" s="30" t="s">
        <v>30</v>
      </c>
      <c r="F107" s="30" t="s">
        <v>28</v>
      </c>
      <c r="G107" s="30" t="s">
        <v>85</v>
      </c>
      <c r="H107" s="30" t="s">
        <v>67</v>
      </c>
      <c r="I107" s="30" t="s">
        <v>162</v>
      </c>
      <c r="J107" s="30"/>
      <c r="K107" s="30" t="s">
        <v>96</v>
      </c>
      <c r="L107" s="30" t="s">
        <v>83</v>
      </c>
      <c r="M107" s="30" t="s">
        <v>28</v>
      </c>
      <c r="N107" s="30" t="s">
        <v>28</v>
      </c>
      <c r="O107" s="30"/>
      <c r="P107" s="30" t="s">
        <v>28</v>
      </c>
      <c r="Q107" s="30" t="s">
        <v>28</v>
      </c>
      <c r="R107" s="45" t="s">
        <v>97</v>
      </c>
      <c r="S107" s="30"/>
      <c r="T107" s="55"/>
      <c r="U107" s="32" t="str">
        <f t="shared" si="8"/>
        <v>cielo_adserver__seg_ins_mob_728x90</v>
      </c>
    </row>
    <row r="108" spans="1:22" x14ac:dyDescent="0.2">
      <c r="A108" s="33">
        <v>43691</v>
      </c>
      <c r="B108" s="51" t="s">
        <v>53</v>
      </c>
      <c r="C108" s="61" t="s">
        <v>142</v>
      </c>
      <c r="D108" s="30" t="s">
        <v>94</v>
      </c>
      <c r="E108" s="30" t="s">
        <v>30</v>
      </c>
      <c r="F108" s="30" t="s">
        <v>28</v>
      </c>
      <c r="G108" s="30" t="s">
        <v>85</v>
      </c>
      <c r="H108" s="30" t="s">
        <v>67</v>
      </c>
      <c r="I108" s="30" t="s">
        <v>162</v>
      </c>
      <c r="J108" s="30"/>
      <c r="K108" s="30" t="s">
        <v>96</v>
      </c>
      <c r="L108" s="30" t="s">
        <v>69</v>
      </c>
      <c r="M108" s="30" t="s">
        <v>28</v>
      </c>
      <c r="N108" s="30" t="s">
        <v>28</v>
      </c>
      <c r="O108" s="30" t="s">
        <v>78</v>
      </c>
      <c r="P108" s="30" t="s">
        <v>28</v>
      </c>
      <c r="Q108" s="30" t="s">
        <v>28</v>
      </c>
      <c r="R108" s="45" t="s">
        <v>97</v>
      </c>
      <c r="S108" s="30" t="s">
        <v>28</v>
      </c>
      <c r="T108" s="55"/>
      <c r="U108" s="32" t="str">
        <f t="shared" si="8"/>
        <v>cielo_adserver__seg_ins_mob_300x250</v>
      </c>
    </row>
    <row r="109" spans="1:22" x14ac:dyDescent="0.2">
      <c r="A109" s="33">
        <v>43691</v>
      </c>
      <c r="B109" s="51" t="s">
        <v>53</v>
      </c>
      <c r="C109" s="61" t="s">
        <v>142</v>
      </c>
      <c r="D109" s="30" t="s">
        <v>94</v>
      </c>
      <c r="E109" s="30" t="s">
        <v>30</v>
      </c>
      <c r="F109" s="30" t="s">
        <v>28</v>
      </c>
      <c r="G109" s="30" t="s">
        <v>85</v>
      </c>
      <c r="H109" s="30" t="s">
        <v>67</v>
      </c>
      <c r="I109" s="30" t="s">
        <v>161</v>
      </c>
      <c r="J109" s="30"/>
      <c r="K109" s="30" t="s">
        <v>96</v>
      </c>
      <c r="L109" s="30" t="s">
        <v>83</v>
      </c>
      <c r="M109" s="30" t="s">
        <v>28</v>
      </c>
      <c r="N109" s="30" t="s">
        <v>28</v>
      </c>
      <c r="O109" s="30"/>
      <c r="P109" s="30" t="s">
        <v>28</v>
      </c>
      <c r="Q109" s="30" t="s">
        <v>28</v>
      </c>
      <c r="R109" s="45" t="s">
        <v>97</v>
      </c>
      <c r="S109" s="30"/>
      <c r="T109" s="55"/>
      <c r="U109" s="32" t="str">
        <f>LOWER(CONCATENATE($N$3,"_",IF(E109="Adserver","Adserver",D109),"_",J109,"_",I109,"_",L109,))</f>
        <v>cielo_adserver__seg_ins_minizip_728x90</v>
      </c>
    </row>
    <row r="110" spans="1:22" x14ac:dyDescent="0.2">
      <c r="A110" s="33">
        <v>43691</v>
      </c>
      <c r="B110" s="51" t="s">
        <v>53</v>
      </c>
      <c r="C110" s="61" t="s">
        <v>142</v>
      </c>
      <c r="D110" s="30" t="s">
        <v>94</v>
      </c>
      <c r="E110" s="30" t="s">
        <v>30</v>
      </c>
      <c r="F110" s="30" t="s">
        <v>28</v>
      </c>
      <c r="G110" s="30" t="s">
        <v>85</v>
      </c>
      <c r="H110" s="30" t="s">
        <v>67</v>
      </c>
      <c r="I110" s="30" t="s">
        <v>161</v>
      </c>
      <c r="J110" s="30"/>
      <c r="K110" s="30" t="s">
        <v>96</v>
      </c>
      <c r="L110" s="30" t="s">
        <v>69</v>
      </c>
      <c r="M110" s="30" t="s">
        <v>28</v>
      </c>
      <c r="N110" s="30" t="s">
        <v>28</v>
      </c>
      <c r="O110" s="30" t="s">
        <v>78</v>
      </c>
      <c r="P110" s="30" t="s">
        <v>28</v>
      </c>
      <c r="Q110" s="30" t="s">
        <v>28</v>
      </c>
      <c r="R110" s="45" t="s">
        <v>97</v>
      </c>
      <c r="S110" s="30" t="s">
        <v>28</v>
      </c>
      <c r="T110" s="55"/>
      <c r="U110" s="32" t="str">
        <f>LOWER(CONCATENATE($N$3,"_",IF(E110="Adserver","Adserver",D110),"_",J110,"_",I110,"_",L110,))</f>
        <v>cielo_adserver__seg_ins_minizip_300x250</v>
      </c>
    </row>
    <row r="111" spans="1:22" x14ac:dyDescent="0.2">
      <c r="A111" s="33">
        <v>43691</v>
      </c>
      <c r="B111" s="51" t="s">
        <v>53</v>
      </c>
      <c r="C111" s="61" t="s">
        <v>142</v>
      </c>
      <c r="D111" s="30" t="s">
        <v>94</v>
      </c>
      <c r="E111" s="30" t="s">
        <v>30</v>
      </c>
      <c r="F111" s="30" t="s">
        <v>28</v>
      </c>
      <c r="G111" s="30" t="s">
        <v>85</v>
      </c>
      <c r="H111" s="30" t="s">
        <v>67</v>
      </c>
      <c r="I111" s="30" t="s">
        <v>163</v>
      </c>
      <c r="J111" s="30"/>
      <c r="K111" s="30" t="s">
        <v>96</v>
      </c>
      <c r="L111" s="30" t="s">
        <v>83</v>
      </c>
      <c r="M111" s="30" t="s">
        <v>28</v>
      </c>
      <c r="N111" s="30" t="s">
        <v>28</v>
      </c>
      <c r="O111" s="30"/>
      <c r="P111" s="30" t="s">
        <v>28</v>
      </c>
      <c r="Q111" s="30" t="s">
        <v>28</v>
      </c>
      <c r="R111" s="45" t="s">
        <v>97</v>
      </c>
      <c r="S111" s="30"/>
      <c r="T111" s="55"/>
      <c r="U111" s="32" t="str">
        <f>LOWER(CONCATENATE($N$3,"_",IF(E111="Adserver","Adserver",D111),"_",J111,"_",I111,"_",L111,))</f>
        <v>cielo_adserver__seg_ins_zip_728x90</v>
      </c>
      <c r="V111" s="78"/>
    </row>
    <row r="112" spans="1:22" x14ac:dyDescent="0.2">
      <c r="A112" s="33">
        <v>43691</v>
      </c>
      <c r="B112" s="51" t="s">
        <v>53</v>
      </c>
      <c r="C112" s="61" t="s">
        <v>142</v>
      </c>
      <c r="D112" s="30" t="s">
        <v>94</v>
      </c>
      <c r="E112" s="30" t="s">
        <v>30</v>
      </c>
      <c r="F112" s="30" t="s">
        <v>28</v>
      </c>
      <c r="G112" s="30" t="s">
        <v>85</v>
      </c>
      <c r="H112" s="30" t="s">
        <v>67</v>
      </c>
      <c r="I112" s="30" t="s">
        <v>163</v>
      </c>
      <c r="J112" s="30"/>
      <c r="K112" s="30" t="s">
        <v>96</v>
      </c>
      <c r="L112" s="30" t="s">
        <v>69</v>
      </c>
      <c r="M112" s="30" t="s">
        <v>28</v>
      </c>
      <c r="N112" s="30" t="s">
        <v>28</v>
      </c>
      <c r="O112" s="30" t="s">
        <v>78</v>
      </c>
      <c r="P112" s="30" t="s">
        <v>28</v>
      </c>
      <c r="Q112" s="30" t="s">
        <v>28</v>
      </c>
      <c r="R112" s="45" t="s">
        <v>97</v>
      </c>
      <c r="S112" s="30" t="s">
        <v>28</v>
      </c>
      <c r="T112" s="55"/>
      <c r="U112" s="32" t="str">
        <f>LOWER(CONCATENATE($N$3,"_",IF(E112="Adserver","Adserver",D112),"_",J112,"_",I112,"_",L112,))</f>
        <v>cielo_adserver__seg_ins_zip_300x250</v>
      </c>
      <c r="V112" s="78"/>
    </row>
    <row r="113" spans="1:22" x14ac:dyDescent="0.2">
      <c r="A113" s="33">
        <v>43691</v>
      </c>
      <c r="B113" s="51" t="s">
        <v>53</v>
      </c>
      <c r="C113" s="61" t="s">
        <v>142</v>
      </c>
      <c r="D113" s="30" t="s">
        <v>94</v>
      </c>
      <c r="E113" s="30" t="s">
        <v>30</v>
      </c>
      <c r="F113" s="30" t="s">
        <v>28</v>
      </c>
      <c r="G113" s="30" t="s">
        <v>85</v>
      </c>
      <c r="H113" s="30" t="s">
        <v>67</v>
      </c>
      <c r="I113" s="30" t="s">
        <v>164</v>
      </c>
      <c r="J113" s="30"/>
      <c r="K113" s="30" t="s">
        <v>96</v>
      </c>
      <c r="L113" s="30" t="s">
        <v>83</v>
      </c>
      <c r="M113" s="30" t="s">
        <v>28</v>
      </c>
      <c r="N113" s="30" t="s">
        <v>28</v>
      </c>
      <c r="O113" s="30"/>
      <c r="P113" s="30" t="s">
        <v>28</v>
      </c>
      <c r="Q113" s="30" t="s">
        <v>28</v>
      </c>
      <c r="R113" s="45" t="s">
        <v>97</v>
      </c>
      <c r="S113" s="30"/>
      <c r="T113" s="55"/>
      <c r="U113" s="32" t="str">
        <f t="shared" ref="U113:U120" si="9">LOWER(CONCATENATE($N$3,"_",IF(E113="Adserver","Adserver",D113),"_",J113,"_",I113,"_",L113,))</f>
        <v>cielo_adserver__seg_ins_flash_728x90</v>
      </c>
      <c r="V113" s="78"/>
    </row>
    <row r="114" spans="1:22" x14ac:dyDescent="0.2">
      <c r="A114" s="33">
        <v>43691</v>
      </c>
      <c r="B114" s="51" t="s">
        <v>53</v>
      </c>
      <c r="C114" s="61" t="s">
        <v>142</v>
      </c>
      <c r="D114" s="30" t="s">
        <v>94</v>
      </c>
      <c r="E114" s="30" t="s">
        <v>30</v>
      </c>
      <c r="F114" s="30" t="s">
        <v>28</v>
      </c>
      <c r="G114" s="30" t="s">
        <v>85</v>
      </c>
      <c r="H114" s="30" t="s">
        <v>67</v>
      </c>
      <c r="I114" s="30" t="s">
        <v>164</v>
      </c>
      <c r="J114" s="30"/>
      <c r="K114" s="30" t="s">
        <v>96</v>
      </c>
      <c r="L114" s="30" t="s">
        <v>69</v>
      </c>
      <c r="M114" s="30" t="s">
        <v>28</v>
      </c>
      <c r="N114" s="30" t="s">
        <v>28</v>
      </c>
      <c r="O114" s="30" t="s">
        <v>78</v>
      </c>
      <c r="P114" s="30" t="s">
        <v>28</v>
      </c>
      <c r="Q114" s="30" t="s">
        <v>28</v>
      </c>
      <c r="R114" s="45" t="s">
        <v>97</v>
      </c>
      <c r="S114" s="30" t="s">
        <v>28</v>
      </c>
      <c r="T114" s="55"/>
      <c r="U114" s="32" t="str">
        <f t="shared" si="9"/>
        <v>cielo_adserver__seg_ins_flash_300x250</v>
      </c>
      <c r="V114" s="78"/>
    </row>
    <row r="115" spans="1:22" x14ac:dyDescent="0.2">
      <c r="A115" s="33">
        <v>43675</v>
      </c>
      <c r="B115" s="51" t="s">
        <v>53</v>
      </c>
      <c r="C115" s="61" t="s">
        <v>142</v>
      </c>
      <c r="D115" s="30" t="s">
        <v>102</v>
      </c>
      <c r="E115" s="30" t="s">
        <v>30</v>
      </c>
      <c r="F115" s="30" t="s">
        <v>28</v>
      </c>
      <c r="G115" s="30" t="s">
        <v>95</v>
      </c>
      <c r="H115" s="30" t="s">
        <v>67</v>
      </c>
      <c r="I115" s="31" t="s">
        <v>162</v>
      </c>
      <c r="J115" s="30"/>
      <c r="K115" s="30" t="s">
        <v>99</v>
      </c>
      <c r="L115" s="30" t="s">
        <v>100</v>
      </c>
      <c r="M115" s="30" t="s">
        <v>28</v>
      </c>
      <c r="N115" s="30" t="s">
        <v>28</v>
      </c>
      <c r="O115" s="30" t="s">
        <v>70</v>
      </c>
      <c r="P115" s="30" t="s">
        <v>28</v>
      </c>
      <c r="Q115" s="30" t="s">
        <v>28</v>
      </c>
      <c r="R115" s="45" t="s">
        <v>97</v>
      </c>
      <c r="S115" s="30" t="s">
        <v>28</v>
      </c>
      <c r="T115" s="30" t="s">
        <v>28</v>
      </c>
      <c r="U115" s="30" t="str">
        <f t="shared" si="9"/>
        <v>cielo_adserver__seg_ins_mob_120x600</v>
      </c>
      <c r="V115" s="34"/>
    </row>
    <row r="116" spans="1:22" x14ac:dyDescent="0.2">
      <c r="A116" s="60">
        <v>43691</v>
      </c>
      <c r="B116" s="51" t="s">
        <v>53</v>
      </c>
      <c r="C116" s="61" t="s">
        <v>142</v>
      </c>
      <c r="D116" s="30" t="s">
        <v>102</v>
      </c>
      <c r="E116" s="30" t="s">
        <v>30</v>
      </c>
      <c r="F116" s="30" t="s">
        <v>28</v>
      </c>
      <c r="G116" s="30" t="s">
        <v>95</v>
      </c>
      <c r="H116" s="30" t="s">
        <v>67</v>
      </c>
      <c r="I116" s="31" t="s">
        <v>162</v>
      </c>
      <c r="J116" s="30"/>
      <c r="K116" s="30" t="s">
        <v>103</v>
      </c>
      <c r="L116" s="30" t="s">
        <v>69</v>
      </c>
      <c r="M116" s="30" t="s">
        <v>28</v>
      </c>
      <c r="N116" s="30" t="s">
        <v>28</v>
      </c>
      <c r="O116" s="30" t="s">
        <v>70</v>
      </c>
      <c r="P116" s="30" t="s">
        <v>28</v>
      </c>
      <c r="Q116" s="30" t="s">
        <v>28</v>
      </c>
      <c r="R116" s="45" t="s">
        <v>97</v>
      </c>
      <c r="S116" s="30" t="s">
        <v>28</v>
      </c>
      <c r="T116" s="30" t="s">
        <v>28</v>
      </c>
      <c r="U116" s="30" t="str">
        <f t="shared" si="9"/>
        <v>cielo_adserver__seg_ins_mob_300x250</v>
      </c>
      <c r="V116" s="34"/>
    </row>
    <row r="117" spans="1:22" x14ac:dyDescent="0.2">
      <c r="A117" s="60">
        <v>43691</v>
      </c>
      <c r="B117" s="51" t="s">
        <v>53</v>
      </c>
      <c r="C117" s="61" t="s">
        <v>142</v>
      </c>
      <c r="D117" s="30" t="s">
        <v>102</v>
      </c>
      <c r="E117" s="30" t="s">
        <v>30</v>
      </c>
      <c r="F117" s="30" t="s">
        <v>28</v>
      </c>
      <c r="G117" s="30" t="s">
        <v>95</v>
      </c>
      <c r="H117" s="30" t="s">
        <v>67</v>
      </c>
      <c r="I117" s="31" t="s">
        <v>162</v>
      </c>
      <c r="J117" s="30"/>
      <c r="K117" s="30" t="s">
        <v>104</v>
      </c>
      <c r="L117" s="30" t="s">
        <v>105</v>
      </c>
      <c r="M117" s="30" t="s">
        <v>28</v>
      </c>
      <c r="N117" s="30" t="s">
        <v>28</v>
      </c>
      <c r="O117" s="30" t="s">
        <v>70</v>
      </c>
      <c r="P117" s="30" t="s">
        <v>28</v>
      </c>
      <c r="Q117" s="30" t="s">
        <v>28</v>
      </c>
      <c r="R117" s="45" t="s">
        <v>97</v>
      </c>
      <c r="S117" s="30" t="s">
        <v>28</v>
      </c>
      <c r="T117" s="30" t="s">
        <v>28</v>
      </c>
      <c r="U117" s="30" t="str">
        <f t="shared" si="9"/>
        <v>cielo_adserver__seg_ins_mob_970x250</v>
      </c>
      <c r="V117" s="34"/>
    </row>
    <row r="118" spans="1:22" x14ac:dyDescent="0.2">
      <c r="A118" s="60">
        <v>43691</v>
      </c>
      <c r="B118" s="51" t="s">
        <v>53</v>
      </c>
      <c r="C118" s="61" t="s">
        <v>142</v>
      </c>
      <c r="D118" s="30" t="s">
        <v>102</v>
      </c>
      <c r="E118" s="30" t="s">
        <v>30</v>
      </c>
      <c r="F118" s="30" t="s">
        <v>28</v>
      </c>
      <c r="G118" s="30" t="s">
        <v>95</v>
      </c>
      <c r="H118" s="30" t="s">
        <v>67</v>
      </c>
      <c r="I118" s="31" t="s">
        <v>162</v>
      </c>
      <c r="J118" s="30"/>
      <c r="K118" s="30" t="s">
        <v>106</v>
      </c>
      <c r="L118" s="30" t="s">
        <v>107</v>
      </c>
      <c r="M118" s="30" t="s">
        <v>28</v>
      </c>
      <c r="N118" s="30" t="s">
        <v>28</v>
      </c>
      <c r="O118" s="30" t="s">
        <v>70</v>
      </c>
      <c r="P118" s="30" t="s">
        <v>28</v>
      </c>
      <c r="Q118" s="30" t="s">
        <v>28</v>
      </c>
      <c r="R118" s="45" t="s">
        <v>97</v>
      </c>
      <c r="S118" s="30" t="s">
        <v>28</v>
      </c>
      <c r="T118" s="30" t="s">
        <v>28</v>
      </c>
      <c r="U118" s="30" t="str">
        <f t="shared" si="9"/>
        <v>cielo_adserver__seg_ins_mob_468x60</v>
      </c>
      <c r="V118" s="34"/>
    </row>
    <row r="119" spans="1:22" x14ac:dyDescent="0.2">
      <c r="A119" s="60">
        <v>43691</v>
      </c>
      <c r="B119" s="51" t="s">
        <v>53</v>
      </c>
      <c r="C119" s="61" t="s">
        <v>142</v>
      </c>
      <c r="D119" s="30" t="s">
        <v>102</v>
      </c>
      <c r="E119" s="30" t="s">
        <v>30</v>
      </c>
      <c r="F119" s="30" t="s">
        <v>28</v>
      </c>
      <c r="G119" s="30" t="s">
        <v>95</v>
      </c>
      <c r="H119" s="30" t="s">
        <v>67</v>
      </c>
      <c r="I119" s="31" t="s">
        <v>162</v>
      </c>
      <c r="J119" s="30"/>
      <c r="K119" s="30" t="s">
        <v>108</v>
      </c>
      <c r="L119" s="30" t="s">
        <v>109</v>
      </c>
      <c r="M119" s="30" t="s">
        <v>28</v>
      </c>
      <c r="N119" s="30" t="s">
        <v>28</v>
      </c>
      <c r="O119" s="30" t="s">
        <v>70</v>
      </c>
      <c r="P119" s="30" t="s">
        <v>28</v>
      </c>
      <c r="Q119" s="30" t="s">
        <v>28</v>
      </c>
      <c r="R119" s="45" t="s">
        <v>97</v>
      </c>
      <c r="S119" s="30" t="s">
        <v>28</v>
      </c>
      <c r="T119" s="30" t="s">
        <v>28</v>
      </c>
      <c r="U119" s="30" t="str">
        <f t="shared" si="9"/>
        <v>cielo_adserver__seg_ins_mob_336x280</v>
      </c>
      <c r="V119" s="34"/>
    </row>
    <row r="120" spans="1:22" x14ac:dyDescent="0.2">
      <c r="A120" s="60">
        <v>43691</v>
      </c>
      <c r="B120" s="51" t="s">
        <v>53</v>
      </c>
      <c r="C120" s="61" t="s">
        <v>142</v>
      </c>
      <c r="D120" s="30" t="s">
        <v>102</v>
      </c>
      <c r="E120" s="30" t="s">
        <v>30</v>
      </c>
      <c r="F120" s="30" t="s">
        <v>28</v>
      </c>
      <c r="G120" s="30" t="s">
        <v>95</v>
      </c>
      <c r="H120" s="30" t="s">
        <v>67</v>
      </c>
      <c r="I120" s="31" t="s">
        <v>162</v>
      </c>
      <c r="J120" s="30"/>
      <c r="K120" s="30" t="s">
        <v>110</v>
      </c>
      <c r="L120" s="30" t="s">
        <v>83</v>
      </c>
      <c r="M120" s="30" t="s">
        <v>28</v>
      </c>
      <c r="N120" s="30" t="s">
        <v>28</v>
      </c>
      <c r="O120" s="30" t="s">
        <v>70</v>
      </c>
      <c r="P120" s="30" t="s">
        <v>28</v>
      </c>
      <c r="Q120" s="30" t="s">
        <v>28</v>
      </c>
      <c r="R120" s="45" t="s">
        <v>97</v>
      </c>
      <c r="S120" s="30" t="s">
        <v>28</v>
      </c>
      <c r="T120" s="30" t="s">
        <v>28</v>
      </c>
      <c r="U120" s="30" t="str">
        <f t="shared" si="9"/>
        <v>cielo_adserver__seg_ins_mob_728x90</v>
      </c>
      <c r="V120" s="34"/>
    </row>
    <row r="121" spans="1:22" x14ac:dyDescent="0.2">
      <c r="A121" s="60">
        <v>43691</v>
      </c>
      <c r="B121" s="51" t="s">
        <v>53</v>
      </c>
      <c r="C121" s="61" t="s">
        <v>142</v>
      </c>
      <c r="D121" s="30" t="s">
        <v>102</v>
      </c>
      <c r="E121" s="30" t="s">
        <v>30</v>
      </c>
      <c r="F121" s="30" t="s">
        <v>28</v>
      </c>
      <c r="G121" s="30" t="s">
        <v>95</v>
      </c>
      <c r="H121" s="30" t="s">
        <v>67</v>
      </c>
      <c r="I121" s="31" t="s">
        <v>161</v>
      </c>
      <c r="J121" s="30"/>
      <c r="K121" s="30" t="s">
        <v>99</v>
      </c>
      <c r="L121" s="30" t="s">
        <v>100</v>
      </c>
      <c r="M121" s="30" t="s">
        <v>28</v>
      </c>
      <c r="N121" s="30" t="s">
        <v>28</v>
      </c>
      <c r="O121" s="30" t="s">
        <v>70</v>
      </c>
      <c r="P121" s="30" t="s">
        <v>28</v>
      </c>
      <c r="Q121" s="30" t="s">
        <v>28</v>
      </c>
      <c r="R121" s="45" t="s">
        <v>97</v>
      </c>
      <c r="S121" s="30" t="s">
        <v>28</v>
      </c>
      <c r="T121" s="30" t="s">
        <v>28</v>
      </c>
      <c r="U121" s="30" t="str">
        <f t="shared" ref="U121:U128" si="10">LOWER(CONCATENATE($N$3,"_",IF(E121="Adserver","Adserver",D121),"_",J121,"_",I121,"_",L121,))</f>
        <v>cielo_adserver__seg_ins_minizip_120x600</v>
      </c>
      <c r="V121" s="34"/>
    </row>
    <row r="122" spans="1:22" x14ac:dyDescent="0.2">
      <c r="A122" s="60">
        <v>43691</v>
      </c>
      <c r="B122" s="51" t="s">
        <v>53</v>
      </c>
      <c r="C122" s="61" t="s">
        <v>142</v>
      </c>
      <c r="D122" s="30" t="s">
        <v>102</v>
      </c>
      <c r="E122" s="30" t="s">
        <v>30</v>
      </c>
      <c r="F122" s="30" t="s">
        <v>28</v>
      </c>
      <c r="G122" s="30" t="s">
        <v>95</v>
      </c>
      <c r="H122" s="30" t="s">
        <v>67</v>
      </c>
      <c r="I122" s="31" t="s">
        <v>161</v>
      </c>
      <c r="J122" s="30"/>
      <c r="K122" s="30" t="s">
        <v>103</v>
      </c>
      <c r="L122" s="30" t="s">
        <v>69</v>
      </c>
      <c r="M122" s="30" t="s">
        <v>28</v>
      </c>
      <c r="N122" s="30" t="s">
        <v>28</v>
      </c>
      <c r="O122" s="30" t="s">
        <v>70</v>
      </c>
      <c r="P122" s="30" t="s">
        <v>28</v>
      </c>
      <c r="Q122" s="30" t="s">
        <v>28</v>
      </c>
      <c r="R122" s="45" t="s">
        <v>97</v>
      </c>
      <c r="S122" s="30" t="s">
        <v>28</v>
      </c>
      <c r="T122" s="30" t="s">
        <v>28</v>
      </c>
      <c r="U122" s="30" t="str">
        <f t="shared" si="10"/>
        <v>cielo_adserver__seg_ins_minizip_300x250</v>
      </c>
      <c r="V122" s="34"/>
    </row>
    <row r="123" spans="1:22" x14ac:dyDescent="0.2">
      <c r="A123" s="60">
        <v>43691</v>
      </c>
      <c r="B123" s="51" t="s">
        <v>53</v>
      </c>
      <c r="C123" s="61" t="s">
        <v>142</v>
      </c>
      <c r="D123" s="30" t="s">
        <v>102</v>
      </c>
      <c r="E123" s="30" t="s">
        <v>30</v>
      </c>
      <c r="F123" s="30" t="s">
        <v>28</v>
      </c>
      <c r="G123" s="30" t="s">
        <v>95</v>
      </c>
      <c r="H123" s="30" t="s">
        <v>67</v>
      </c>
      <c r="I123" s="31" t="s">
        <v>161</v>
      </c>
      <c r="J123" s="30"/>
      <c r="K123" s="30" t="s">
        <v>104</v>
      </c>
      <c r="L123" s="30" t="s">
        <v>105</v>
      </c>
      <c r="M123" s="30" t="s">
        <v>28</v>
      </c>
      <c r="N123" s="30" t="s">
        <v>28</v>
      </c>
      <c r="O123" s="30" t="s">
        <v>70</v>
      </c>
      <c r="P123" s="30" t="s">
        <v>28</v>
      </c>
      <c r="Q123" s="30" t="s">
        <v>28</v>
      </c>
      <c r="R123" s="45" t="s">
        <v>97</v>
      </c>
      <c r="S123" s="30" t="s">
        <v>28</v>
      </c>
      <c r="T123" s="30" t="s">
        <v>28</v>
      </c>
      <c r="U123" s="30" t="str">
        <f t="shared" si="10"/>
        <v>cielo_adserver__seg_ins_minizip_970x250</v>
      </c>
      <c r="V123" s="34"/>
    </row>
    <row r="124" spans="1:22" x14ac:dyDescent="0.2">
      <c r="A124" s="60">
        <v>43691</v>
      </c>
      <c r="B124" s="51" t="s">
        <v>53</v>
      </c>
      <c r="C124" s="61" t="s">
        <v>142</v>
      </c>
      <c r="D124" s="30" t="s">
        <v>102</v>
      </c>
      <c r="E124" s="30" t="s">
        <v>30</v>
      </c>
      <c r="F124" s="30" t="s">
        <v>28</v>
      </c>
      <c r="G124" s="30" t="s">
        <v>95</v>
      </c>
      <c r="H124" s="30" t="s">
        <v>67</v>
      </c>
      <c r="I124" s="31" t="s">
        <v>161</v>
      </c>
      <c r="J124" s="30"/>
      <c r="K124" s="30" t="s">
        <v>106</v>
      </c>
      <c r="L124" s="30" t="s">
        <v>107</v>
      </c>
      <c r="M124" s="30" t="s">
        <v>28</v>
      </c>
      <c r="N124" s="30" t="s">
        <v>28</v>
      </c>
      <c r="O124" s="30" t="s">
        <v>70</v>
      </c>
      <c r="P124" s="30" t="s">
        <v>28</v>
      </c>
      <c r="Q124" s="30" t="s">
        <v>28</v>
      </c>
      <c r="R124" s="45" t="s">
        <v>97</v>
      </c>
      <c r="S124" s="30" t="s">
        <v>28</v>
      </c>
      <c r="T124" s="30" t="s">
        <v>28</v>
      </c>
      <c r="U124" s="30" t="str">
        <f t="shared" si="10"/>
        <v>cielo_adserver__seg_ins_minizip_468x60</v>
      </c>
      <c r="V124" s="34"/>
    </row>
    <row r="125" spans="1:22" x14ac:dyDescent="0.2">
      <c r="A125" s="60">
        <v>43691</v>
      </c>
      <c r="B125" s="51" t="s">
        <v>53</v>
      </c>
      <c r="C125" s="61" t="s">
        <v>142</v>
      </c>
      <c r="D125" s="30" t="s">
        <v>102</v>
      </c>
      <c r="E125" s="30" t="s">
        <v>30</v>
      </c>
      <c r="F125" s="30" t="s">
        <v>28</v>
      </c>
      <c r="G125" s="30" t="s">
        <v>95</v>
      </c>
      <c r="H125" s="30" t="s">
        <v>67</v>
      </c>
      <c r="I125" s="31" t="s">
        <v>161</v>
      </c>
      <c r="J125" s="30"/>
      <c r="K125" s="30" t="s">
        <v>108</v>
      </c>
      <c r="L125" s="30" t="s">
        <v>109</v>
      </c>
      <c r="M125" s="30" t="s">
        <v>28</v>
      </c>
      <c r="N125" s="30" t="s">
        <v>28</v>
      </c>
      <c r="O125" s="30" t="s">
        <v>70</v>
      </c>
      <c r="P125" s="30" t="s">
        <v>28</v>
      </c>
      <c r="Q125" s="30" t="s">
        <v>28</v>
      </c>
      <c r="R125" s="45" t="s">
        <v>97</v>
      </c>
      <c r="S125" s="30" t="s">
        <v>28</v>
      </c>
      <c r="T125" s="30" t="s">
        <v>28</v>
      </c>
      <c r="U125" s="30" t="str">
        <f t="shared" si="10"/>
        <v>cielo_adserver__seg_ins_minizip_336x280</v>
      </c>
      <c r="V125" s="34"/>
    </row>
    <row r="126" spans="1:22" x14ac:dyDescent="0.2">
      <c r="A126" s="60">
        <v>43691</v>
      </c>
      <c r="B126" s="51" t="s">
        <v>53</v>
      </c>
      <c r="C126" s="61" t="s">
        <v>142</v>
      </c>
      <c r="D126" s="30" t="s">
        <v>102</v>
      </c>
      <c r="E126" s="30" t="s">
        <v>30</v>
      </c>
      <c r="F126" s="30" t="s">
        <v>28</v>
      </c>
      <c r="G126" s="30" t="s">
        <v>95</v>
      </c>
      <c r="H126" s="30" t="s">
        <v>67</v>
      </c>
      <c r="I126" s="31" t="s">
        <v>161</v>
      </c>
      <c r="J126" s="30"/>
      <c r="K126" s="30" t="s">
        <v>110</v>
      </c>
      <c r="L126" s="30" t="s">
        <v>83</v>
      </c>
      <c r="M126" s="30" t="s">
        <v>28</v>
      </c>
      <c r="N126" s="30" t="s">
        <v>28</v>
      </c>
      <c r="O126" s="30" t="s">
        <v>70</v>
      </c>
      <c r="P126" s="30" t="s">
        <v>28</v>
      </c>
      <c r="Q126" s="30" t="s">
        <v>28</v>
      </c>
      <c r="R126" s="45" t="s">
        <v>97</v>
      </c>
      <c r="S126" s="30" t="s">
        <v>28</v>
      </c>
      <c r="T126" s="30" t="s">
        <v>28</v>
      </c>
      <c r="U126" s="30" t="str">
        <f t="shared" si="10"/>
        <v>cielo_adserver__seg_ins_minizip_728x90</v>
      </c>
      <c r="V126" s="34"/>
    </row>
    <row r="127" spans="1:22" x14ac:dyDescent="0.2">
      <c r="A127" s="60">
        <v>43691</v>
      </c>
      <c r="B127" s="51" t="s">
        <v>53</v>
      </c>
      <c r="C127" s="61" t="s">
        <v>142</v>
      </c>
      <c r="D127" s="30" t="s">
        <v>102</v>
      </c>
      <c r="E127" s="30" t="s">
        <v>30</v>
      </c>
      <c r="F127" s="30" t="s">
        <v>28</v>
      </c>
      <c r="G127" s="30" t="s">
        <v>95</v>
      </c>
      <c r="H127" s="30" t="s">
        <v>67</v>
      </c>
      <c r="I127" s="31" t="s">
        <v>163</v>
      </c>
      <c r="J127" s="30"/>
      <c r="K127" s="30" t="s">
        <v>99</v>
      </c>
      <c r="L127" s="30" t="s">
        <v>100</v>
      </c>
      <c r="M127" s="30" t="s">
        <v>28</v>
      </c>
      <c r="N127" s="30" t="s">
        <v>28</v>
      </c>
      <c r="O127" s="30" t="s">
        <v>70</v>
      </c>
      <c r="P127" s="30" t="s">
        <v>28</v>
      </c>
      <c r="Q127" s="30" t="s">
        <v>28</v>
      </c>
      <c r="R127" s="45" t="s">
        <v>97</v>
      </c>
      <c r="S127" s="30" t="s">
        <v>28</v>
      </c>
      <c r="T127" s="30" t="s">
        <v>28</v>
      </c>
      <c r="U127" s="30" t="str">
        <f t="shared" si="10"/>
        <v>cielo_adserver__seg_ins_zip_120x600</v>
      </c>
      <c r="V127" s="34"/>
    </row>
    <row r="128" spans="1:22" x14ac:dyDescent="0.2">
      <c r="A128" s="60">
        <v>43691</v>
      </c>
      <c r="B128" s="51" t="s">
        <v>53</v>
      </c>
      <c r="C128" s="61" t="s">
        <v>142</v>
      </c>
      <c r="D128" s="30" t="s">
        <v>102</v>
      </c>
      <c r="E128" s="30" t="s">
        <v>30</v>
      </c>
      <c r="F128" s="30" t="s">
        <v>28</v>
      </c>
      <c r="G128" s="30" t="s">
        <v>95</v>
      </c>
      <c r="H128" s="30" t="s">
        <v>67</v>
      </c>
      <c r="I128" s="31" t="s">
        <v>163</v>
      </c>
      <c r="J128" s="30"/>
      <c r="K128" s="30" t="s">
        <v>103</v>
      </c>
      <c r="L128" s="30" t="s">
        <v>69</v>
      </c>
      <c r="M128" s="30" t="s">
        <v>28</v>
      </c>
      <c r="N128" s="30" t="s">
        <v>28</v>
      </c>
      <c r="O128" s="30" t="s">
        <v>70</v>
      </c>
      <c r="P128" s="30" t="s">
        <v>28</v>
      </c>
      <c r="Q128" s="30" t="s">
        <v>28</v>
      </c>
      <c r="R128" s="45" t="s">
        <v>97</v>
      </c>
      <c r="S128" s="30" t="s">
        <v>28</v>
      </c>
      <c r="T128" s="30" t="s">
        <v>28</v>
      </c>
      <c r="U128" s="30" t="str">
        <f t="shared" si="10"/>
        <v>cielo_adserver__seg_ins_zip_300x250</v>
      </c>
      <c r="V128" s="34"/>
    </row>
    <row r="129" spans="1:22" x14ac:dyDescent="0.2">
      <c r="A129" s="60">
        <v>43691</v>
      </c>
      <c r="B129" s="51" t="s">
        <v>53</v>
      </c>
      <c r="C129" s="61" t="s">
        <v>142</v>
      </c>
      <c r="D129" s="30" t="s">
        <v>102</v>
      </c>
      <c r="E129" s="30" t="s">
        <v>30</v>
      </c>
      <c r="F129" s="30" t="s">
        <v>28</v>
      </c>
      <c r="G129" s="30" t="s">
        <v>95</v>
      </c>
      <c r="H129" s="30" t="s">
        <v>67</v>
      </c>
      <c r="I129" s="31" t="s">
        <v>163</v>
      </c>
      <c r="J129" s="30"/>
      <c r="K129" s="30" t="s">
        <v>104</v>
      </c>
      <c r="L129" s="30" t="s">
        <v>105</v>
      </c>
      <c r="M129" s="30" t="s">
        <v>28</v>
      </c>
      <c r="N129" s="30" t="s">
        <v>28</v>
      </c>
      <c r="O129" s="30" t="s">
        <v>70</v>
      </c>
      <c r="P129" s="30" t="s">
        <v>28</v>
      </c>
      <c r="Q129" s="30" t="s">
        <v>28</v>
      </c>
      <c r="R129" s="45" t="s">
        <v>97</v>
      </c>
      <c r="S129" s="30" t="s">
        <v>28</v>
      </c>
      <c r="T129" s="30" t="s">
        <v>28</v>
      </c>
      <c r="U129" s="30" t="str">
        <f t="shared" ref="U129:U134" si="11">LOWER(CONCATENATE($N$3,"_",IF(E129="Adserver","Adserver",D129),"_",J129,"_",I129,"_",L129,))</f>
        <v>cielo_adserver__seg_ins_zip_970x250</v>
      </c>
      <c r="V129" s="34"/>
    </row>
    <row r="130" spans="1:22" x14ac:dyDescent="0.2">
      <c r="A130" s="60">
        <v>43691</v>
      </c>
      <c r="B130" s="51" t="s">
        <v>53</v>
      </c>
      <c r="C130" s="61" t="s">
        <v>142</v>
      </c>
      <c r="D130" s="30" t="s">
        <v>102</v>
      </c>
      <c r="E130" s="30" t="s">
        <v>30</v>
      </c>
      <c r="F130" s="30" t="s">
        <v>28</v>
      </c>
      <c r="G130" s="30" t="s">
        <v>95</v>
      </c>
      <c r="H130" s="30" t="s">
        <v>67</v>
      </c>
      <c r="I130" s="31" t="s">
        <v>163</v>
      </c>
      <c r="J130" s="30"/>
      <c r="K130" s="30" t="s">
        <v>106</v>
      </c>
      <c r="L130" s="30" t="s">
        <v>107</v>
      </c>
      <c r="M130" s="30" t="s">
        <v>28</v>
      </c>
      <c r="N130" s="30" t="s">
        <v>28</v>
      </c>
      <c r="O130" s="30" t="s">
        <v>70</v>
      </c>
      <c r="P130" s="30" t="s">
        <v>28</v>
      </c>
      <c r="Q130" s="30" t="s">
        <v>28</v>
      </c>
      <c r="R130" s="45" t="s">
        <v>97</v>
      </c>
      <c r="S130" s="30" t="s">
        <v>28</v>
      </c>
      <c r="T130" s="30" t="s">
        <v>28</v>
      </c>
      <c r="U130" s="30" t="str">
        <f t="shared" si="11"/>
        <v>cielo_adserver__seg_ins_zip_468x60</v>
      </c>
      <c r="V130" s="34"/>
    </row>
    <row r="131" spans="1:22" x14ac:dyDescent="0.2">
      <c r="A131" s="60">
        <v>43691</v>
      </c>
      <c r="B131" s="51" t="s">
        <v>53</v>
      </c>
      <c r="C131" s="61" t="s">
        <v>142</v>
      </c>
      <c r="D131" s="30" t="s">
        <v>102</v>
      </c>
      <c r="E131" s="30" t="s">
        <v>30</v>
      </c>
      <c r="F131" s="30" t="s">
        <v>28</v>
      </c>
      <c r="G131" s="30" t="s">
        <v>95</v>
      </c>
      <c r="H131" s="30" t="s">
        <v>67</v>
      </c>
      <c r="I131" s="31" t="s">
        <v>163</v>
      </c>
      <c r="J131" s="30"/>
      <c r="K131" s="30" t="s">
        <v>108</v>
      </c>
      <c r="L131" s="30" t="s">
        <v>109</v>
      </c>
      <c r="M131" s="30" t="s">
        <v>28</v>
      </c>
      <c r="N131" s="30" t="s">
        <v>28</v>
      </c>
      <c r="O131" s="30" t="s">
        <v>70</v>
      </c>
      <c r="P131" s="30" t="s">
        <v>28</v>
      </c>
      <c r="Q131" s="30" t="s">
        <v>28</v>
      </c>
      <c r="R131" s="45" t="s">
        <v>97</v>
      </c>
      <c r="S131" s="30" t="s">
        <v>28</v>
      </c>
      <c r="T131" s="30" t="s">
        <v>28</v>
      </c>
      <c r="U131" s="30" t="str">
        <f t="shared" si="11"/>
        <v>cielo_adserver__seg_ins_zip_336x280</v>
      </c>
      <c r="V131" s="34"/>
    </row>
    <row r="132" spans="1:22" x14ac:dyDescent="0.2">
      <c r="A132" s="60">
        <v>43691</v>
      </c>
      <c r="B132" s="51" t="s">
        <v>53</v>
      </c>
      <c r="C132" s="61" t="s">
        <v>142</v>
      </c>
      <c r="D132" s="30" t="s">
        <v>102</v>
      </c>
      <c r="E132" s="30" t="s">
        <v>30</v>
      </c>
      <c r="F132" s="30" t="s">
        <v>28</v>
      </c>
      <c r="G132" s="30" t="s">
        <v>95</v>
      </c>
      <c r="H132" s="30" t="s">
        <v>67</v>
      </c>
      <c r="I132" s="31" t="s">
        <v>163</v>
      </c>
      <c r="J132" s="30"/>
      <c r="K132" s="30" t="s">
        <v>110</v>
      </c>
      <c r="L132" s="30" t="s">
        <v>83</v>
      </c>
      <c r="M132" s="30" t="s">
        <v>28</v>
      </c>
      <c r="N132" s="30" t="s">
        <v>28</v>
      </c>
      <c r="O132" s="30" t="s">
        <v>70</v>
      </c>
      <c r="P132" s="30" t="s">
        <v>28</v>
      </c>
      <c r="Q132" s="30" t="s">
        <v>28</v>
      </c>
      <c r="R132" s="45" t="s">
        <v>97</v>
      </c>
      <c r="S132" s="30" t="s">
        <v>28</v>
      </c>
      <c r="T132" s="30" t="s">
        <v>28</v>
      </c>
      <c r="U132" s="30" t="str">
        <f t="shared" si="11"/>
        <v>cielo_adserver__seg_ins_zip_728x90</v>
      </c>
      <c r="V132" s="34"/>
    </row>
    <row r="133" spans="1:22" x14ac:dyDescent="0.2">
      <c r="A133" s="60">
        <v>43691</v>
      </c>
      <c r="B133" s="51" t="s">
        <v>53</v>
      </c>
      <c r="C133" s="61" t="s">
        <v>142</v>
      </c>
      <c r="D133" s="30" t="s">
        <v>102</v>
      </c>
      <c r="E133" s="30" t="s">
        <v>30</v>
      </c>
      <c r="F133" s="30" t="s">
        <v>28</v>
      </c>
      <c r="G133" s="30" t="s">
        <v>95</v>
      </c>
      <c r="H133" s="30" t="s">
        <v>67</v>
      </c>
      <c r="I133" s="31" t="s">
        <v>164</v>
      </c>
      <c r="J133" s="30"/>
      <c r="K133" s="30" t="s">
        <v>99</v>
      </c>
      <c r="L133" s="30" t="s">
        <v>100</v>
      </c>
      <c r="M133" s="30" t="s">
        <v>28</v>
      </c>
      <c r="N133" s="30" t="s">
        <v>28</v>
      </c>
      <c r="O133" s="30" t="s">
        <v>70</v>
      </c>
      <c r="P133" s="30" t="s">
        <v>28</v>
      </c>
      <c r="Q133" s="30" t="s">
        <v>28</v>
      </c>
      <c r="R133" s="45" t="s">
        <v>97</v>
      </c>
      <c r="S133" s="30" t="s">
        <v>28</v>
      </c>
      <c r="T133" s="30" t="s">
        <v>28</v>
      </c>
      <c r="U133" s="30" t="str">
        <f t="shared" si="11"/>
        <v>cielo_adserver__seg_ins_flash_120x600</v>
      </c>
      <c r="V133" s="34"/>
    </row>
    <row r="134" spans="1:22" x14ac:dyDescent="0.2">
      <c r="A134" s="60">
        <v>43691</v>
      </c>
      <c r="B134" s="51" t="s">
        <v>53</v>
      </c>
      <c r="C134" s="61" t="s">
        <v>142</v>
      </c>
      <c r="D134" s="30" t="s">
        <v>102</v>
      </c>
      <c r="E134" s="30" t="s">
        <v>30</v>
      </c>
      <c r="F134" s="30" t="s">
        <v>28</v>
      </c>
      <c r="G134" s="30" t="s">
        <v>95</v>
      </c>
      <c r="H134" s="30" t="s">
        <v>67</v>
      </c>
      <c r="I134" s="31" t="s">
        <v>164</v>
      </c>
      <c r="J134" s="30"/>
      <c r="K134" s="30" t="s">
        <v>103</v>
      </c>
      <c r="L134" s="30" t="s">
        <v>69</v>
      </c>
      <c r="M134" s="30" t="s">
        <v>28</v>
      </c>
      <c r="N134" s="30" t="s">
        <v>28</v>
      </c>
      <c r="O134" s="30" t="s">
        <v>70</v>
      </c>
      <c r="P134" s="30" t="s">
        <v>28</v>
      </c>
      <c r="Q134" s="30" t="s">
        <v>28</v>
      </c>
      <c r="R134" s="45" t="s">
        <v>97</v>
      </c>
      <c r="S134" s="30" t="s">
        <v>28</v>
      </c>
      <c r="T134" s="30" t="s">
        <v>28</v>
      </c>
      <c r="U134" s="30" t="str">
        <f t="shared" si="11"/>
        <v>cielo_adserver__seg_ins_flash_300x250</v>
      </c>
      <c r="V134" s="34"/>
    </row>
    <row r="135" spans="1:22" x14ac:dyDescent="0.2">
      <c r="A135" s="60">
        <v>43691</v>
      </c>
      <c r="B135" s="51" t="s">
        <v>53</v>
      </c>
      <c r="C135" s="61" t="s">
        <v>142</v>
      </c>
      <c r="D135" s="30" t="s">
        <v>102</v>
      </c>
      <c r="E135" s="30" t="s">
        <v>30</v>
      </c>
      <c r="F135" s="30" t="s">
        <v>28</v>
      </c>
      <c r="G135" s="30" t="s">
        <v>95</v>
      </c>
      <c r="H135" s="30" t="s">
        <v>67</v>
      </c>
      <c r="I135" s="31" t="s">
        <v>164</v>
      </c>
      <c r="J135" s="30"/>
      <c r="K135" s="30" t="s">
        <v>104</v>
      </c>
      <c r="L135" s="30" t="s">
        <v>105</v>
      </c>
      <c r="M135" s="30" t="s">
        <v>28</v>
      </c>
      <c r="N135" s="30" t="s">
        <v>28</v>
      </c>
      <c r="O135" s="30" t="s">
        <v>70</v>
      </c>
      <c r="P135" s="30" t="s">
        <v>28</v>
      </c>
      <c r="Q135" s="30" t="s">
        <v>28</v>
      </c>
      <c r="R135" s="45" t="s">
        <v>97</v>
      </c>
      <c r="S135" s="30" t="s">
        <v>28</v>
      </c>
      <c r="T135" s="30" t="s">
        <v>28</v>
      </c>
      <c r="U135" s="30" t="str">
        <f t="shared" ref="U135:U150" si="12">LOWER(CONCATENATE($N$3,"_",IF(E135="Adserver","Adserver",D135),"_",J135,"_",I135,"_",L135,))</f>
        <v>cielo_adserver__seg_ins_flash_970x250</v>
      </c>
      <c r="V135" s="34"/>
    </row>
    <row r="136" spans="1:22" x14ac:dyDescent="0.2">
      <c r="A136" s="60">
        <v>43691</v>
      </c>
      <c r="B136" s="51" t="s">
        <v>53</v>
      </c>
      <c r="C136" s="61" t="s">
        <v>142</v>
      </c>
      <c r="D136" s="30" t="s">
        <v>102</v>
      </c>
      <c r="E136" s="30" t="s">
        <v>30</v>
      </c>
      <c r="F136" s="30" t="s">
        <v>28</v>
      </c>
      <c r="G136" s="30" t="s">
        <v>95</v>
      </c>
      <c r="H136" s="30" t="s">
        <v>67</v>
      </c>
      <c r="I136" s="31" t="s">
        <v>164</v>
      </c>
      <c r="J136" s="30"/>
      <c r="K136" s="30" t="s">
        <v>106</v>
      </c>
      <c r="L136" s="30" t="s">
        <v>107</v>
      </c>
      <c r="M136" s="30" t="s">
        <v>28</v>
      </c>
      <c r="N136" s="30" t="s">
        <v>28</v>
      </c>
      <c r="O136" s="30" t="s">
        <v>70</v>
      </c>
      <c r="P136" s="30" t="s">
        <v>28</v>
      </c>
      <c r="Q136" s="30" t="s">
        <v>28</v>
      </c>
      <c r="R136" s="45" t="s">
        <v>97</v>
      </c>
      <c r="S136" s="30" t="s">
        <v>28</v>
      </c>
      <c r="T136" s="30" t="s">
        <v>28</v>
      </c>
      <c r="U136" s="30" t="str">
        <f t="shared" si="12"/>
        <v>cielo_adserver__seg_ins_flash_468x60</v>
      </c>
      <c r="V136" s="34"/>
    </row>
    <row r="137" spans="1:22" x14ac:dyDescent="0.2">
      <c r="A137" s="60">
        <v>43691</v>
      </c>
      <c r="B137" s="51" t="s">
        <v>53</v>
      </c>
      <c r="C137" s="61" t="s">
        <v>142</v>
      </c>
      <c r="D137" s="30" t="s">
        <v>102</v>
      </c>
      <c r="E137" s="30" t="s">
        <v>30</v>
      </c>
      <c r="F137" s="30" t="s">
        <v>28</v>
      </c>
      <c r="G137" s="30" t="s">
        <v>95</v>
      </c>
      <c r="H137" s="30" t="s">
        <v>67</v>
      </c>
      <c r="I137" s="31" t="s">
        <v>164</v>
      </c>
      <c r="J137" s="30"/>
      <c r="K137" s="30" t="s">
        <v>108</v>
      </c>
      <c r="L137" s="30" t="s">
        <v>109</v>
      </c>
      <c r="M137" s="30" t="s">
        <v>28</v>
      </c>
      <c r="N137" s="30" t="s">
        <v>28</v>
      </c>
      <c r="O137" s="30" t="s">
        <v>70</v>
      </c>
      <c r="P137" s="30" t="s">
        <v>28</v>
      </c>
      <c r="Q137" s="30" t="s">
        <v>28</v>
      </c>
      <c r="R137" s="45" t="s">
        <v>97</v>
      </c>
      <c r="S137" s="30" t="s">
        <v>28</v>
      </c>
      <c r="T137" s="30" t="s">
        <v>28</v>
      </c>
      <c r="U137" s="30" t="str">
        <f t="shared" si="12"/>
        <v>cielo_adserver__seg_ins_flash_336x280</v>
      </c>
      <c r="V137" s="34"/>
    </row>
    <row r="138" spans="1:22" x14ac:dyDescent="0.2">
      <c r="A138" s="60">
        <v>43691</v>
      </c>
      <c r="B138" s="51" t="s">
        <v>53</v>
      </c>
      <c r="C138" s="61" t="s">
        <v>142</v>
      </c>
      <c r="D138" s="30" t="s">
        <v>102</v>
      </c>
      <c r="E138" s="30" t="s">
        <v>30</v>
      </c>
      <c r="F138" s="30" t="s">
        <v>28</v>
      </c>
      <c r="G138" s="30" t="s">
        <v>95</v>
      </c>
      <c r="H138" s="30" t="s">
        <v>67</v>
      </c>
      <c r="I138" s="31" t="s">
        <v>164</v>
      </c>
      <c r="J138" s="30"/>
      <c r="K138" s="30" t="s">
        <v>110</v>
      </c>
      <c r="L138" s="30" t="s">
        <v>83</v>
      </c>
      <c r="M138" s="30" t="s">
        <v>28</v>
      </c>
      <c r="N138" s="30" t="s">
        <v>28</v>
      </c>
      <c r="O138" s="30" t="s">
        <v>70</v>
      </c>
      <c r="P138" s="30" t="s">
        <v>28</v>
      </c>
      <c r="Q138" s="30" t="s">
        <v>28</v>
      </c>
      <c r="R138" s="45" t="s">
        <v>97</v>
      </c>
      <c r="S138" s="30" t="s">
        <v>28</v>
      </c>
      <c r="T138" s="30" t="s">
        <v>28</v>
      </c>
      <c r="U138" s="30" t="str">
        <f t="shared" si="12"/>
        <v>cielo_adserver__seg_ins_flash_728x90</v>
      </c>
      <c r="V138" s="34"/>
    </row>
    <row r="139" spans="1:22" x14ac:dyDescent="0.2">
      <c r="A139" s="60">
        <v>43691</v>
      </c>
      <c r="B139" s="51" t="s">
        <v>53</v>
      </c>
      <c r="C139" s="61" t="s">
        <v>54</v>
      </c>
      <c r="D139" s="30" t="s">
        <v>94</v>
      </c>
      <c r="E139" s="30" t="s">
        <v>30</v>
      </c>
      <c r="F139" s="30" t="s">
        <v>28</v>
      </c>
      <c r="G139" s="30" t="s">
        <v>85</v>
      </c>
      <c r="H139" s="30" t="s">
        <v>67</v>
      </c>
      <c r="I139" s="30" t="s">
        <v>57</v>
      </c>
      <c r="J139" s="30"/>
      <c r="K139" s="30" t="s">
        <v>219</v>
      </c>
      <c r="L139" s="30" t="s">
        <v>60</v>
      </c>
      <c r="M139" s="30" t="s">
        <v>28</v>
      </c>
      <c r="N139" s="30" t="s">
        <v>28</v>
      </c>
      <c r="O139" s="30" t="s">
        <v>220</v>
      </c>
      <c r="P139" s="30" t="s">
        <v>222</v>
      </c>
      <c r="Q139" s="30" t="s">
        <v>28</v>
      </c>
      <c r="R139" s="45" t="s">
        <v>221</v>
      </c>
      <c r="S139" s="30" t="s">
        <v>28</v>
      </c>
      <c r="T139" s="30"/>
      <c r="U139" s="30" t="str">
        <f t="shared" si="12"/>
        <v>cielo_adserver__aw_ins_nova-cielo_1920x1080</v>
      </c>
      <c r="V139" s="78"/>
    </row>
    <row r="140" spans="1:22" s="78" customFormat="1" ht="30" customHeight="1" x14ac:dyDescent="0.2">
      <c r="A140" s="77">
        <v>43691</v>
      </c>
      <c r="B140" s="51" t="s">
        <v>53</v>
      </c>
      <c r="C140" s="33" t="s">
        <v>235</v>
      </c>
      <c r="D140" s="30" t="s">
        <v>223</v>
      </c>
      <c r="E140" s="30" t="s">
        <v>27</v>
      </c>
      <c r="F140" s="30" t="s">
        <v>28</v>
      </c>
      <c r="G140" s="30" t="s">
        <v>55</v>
      </c>
      <c r="H140" s="30" t="s">
        <v>67</v>
      </c>
      <c r="I140" s="30" t="s">
        <v>57</v>
      </c>
      <c r="J140" s="30"/>
      <c r="K140" s="30" t="s">
        <v>224</v>
      </c>
      <c r="L140" s="30" t="s">
        <v>225</v>
      </c>
      <c r="M140" s="30" t="s">
        <v>28</v>
      </c>
      <c r="N140" s="30" t="s">
        <v>28</v>
      </c>
      <c r="O140" s="30" t="s">
        <v>159</v>
      </c>
      <c r="P140" s="30" t="s">
        <v>28</v>
      </c>
      <c r="Q140" s="30" t="s">
        <v>28</v>
      </c>
      <c r="R140" s="45" t="s">
        <v>226</v>
      </c>
      <c r="S140" s="79"/>
      <c r="T140" s="80" t="s">
        <v>227</v>
      </c>
      <c r="U140" s="32" t="str">
        <f t="shared" si="12"/>
        <v>cielo_youtube__aw_ins_nova-cielo_640x360</v>
      </c>
    </row>
    <row r="141" spans="1:22" x14ac:dyDescent="0.2">
      <c r="A141" s="77">
        <v>43691</v>
      </c>
      <c r="B141" s="51" t="s">
        <v>53</v>
      </c>
      <c r="C141" s="33" t="s">
        <v>235</v>
      </c>
      <c r="D141" s="30" t="s">
        <v>223</v>
      </c>
      <c r="E141" s="30" t="s">
        <v>27</v>
      </c>
      <c r="F141" s="30" t="s">
        <v>28</v>
      </c>
      <c r="G141" s="30" t="s">
        <v>55</v>
      </c>
      <c r="H141" s="30" t="s">
        <v>67</v>
      </c>
      <c r="I141" s="30" t="s">
        <v>57</v>
      </c>
      <c r="J141" s="30"/>
      <c r="K141" s="30" t="s">
        <v>228</v>
      </c>
      <c r="L141" s="30" t="s">
        <v>28</v>
      </c>
      <c r="M141" s="55"/>
      <c r="N141" s="55"/>
      <c r="O141" s="55"/>
      <c r="P141" s="55"/>
      <c r="Q141" s="55"/>
      <c r="R141" s="55"/>
      <c r="S141" s="55"/>
      <c r="T141" s="74" t="s">
        <v>229</v>
      </c>
      <c r="U141" s="32" t="str">
        <f t="shared" si="12"/>
        <v>cielo_youtube__aw_ins_nova-cielo_-</v>
      </c>
    </row>
    <row r="142" spans="1:22" s="78" customFormat="1" ht="30" customHeight="1" x14ac:dyDescent="0.2">
      <c r="A142" s="77">
        <v>43691</v>
      </c>
      <c r="B142" s="51" t="s">
        <v>53</v>
      </c>
      <c r="C142" s="33" t="s">
        <v>236</v>
      </c>
      <c r="D142" s="30" t="s">
        <v>223</v>
      </c>
      <c r="E142" s="30" t="s">
        <v>27</v>
      </c>
      <c r="F142" s="30" t="s">
        <v>28</v>
      </c>
      <c r="G142" s="30" t="s">
        <v>55</v>
      </c>
      <c r="H142" s="30" t="s">
        <v>67</v>
      </c>
      <c r="I142" s="30" t="s">
        <v>57</v>
      </c>
      <c r="J142" s="30"/>
      <c r="K142" s="30" t="s">
        <v>224</v>
      </c>
      <c r="L142" s="30" t="s">
        <v>225</v>
      </c>
      <c r="M142" s="30" t="s">
        <v>28</v>
      </c>
      <c r="N142" s="30" t="s">
        <v>28</v>
      </c>
      <c r="O142" s="30" t="s">
        <v>159</v>
      </c>
      <c r="P142" s="30" t="s">
        <v>28</v>
      </c>
      <c r="Q142" s="30" t="s">
        <v>28</v>
      </c>
      <c r="R142" s="45" t="s">
        <v>226</v>
      </c>
      <c r="S142" s="79"/>
      <c r="T142" s="80" t="s">
        <v>227</v>
      </c>
      <c r="U142" s="32" t="str">
        <f>LOWER(CONCATENATE($N$3,"_",IF(E142="Adserver","Adserver",D142),"_",J142,"_",I142,"_",L142,))</f>
        <v>cielo_youtube__aw_ins_nova-cielo_640x360</v>
      </c>
    </row>
    <row r="143" spans="1:22" x14ac:dyDescent="0.2">
      <c r="A143" s="77">
        <v>43691</v>
      </c>
      <c r="B143" s="51" t="s">
        <v>53</v>
      </c>
      <c r="C143" s="33" t="s">
        <v>236</v>
      </c>
      <c r="D143" s="30" t="s">
        <v>223</v>
      </c>
      <c r="E143" s="30" t="s">
        <v>27</v>
      </c>
      <c r="F143" s="30" t="s">
        <v>28</v>
      </c>
      <c r="G143" s="30" t="s">
        <v>55</v>
      </c>
      <c r="H143" s="30" t="s">
        <v>67</v>
      </c>
      <c r="I143" s="30" t="s">
        <v>57</v>
      </c>
      <c r="J143" s="30"/>
      <c r="K143" s="30" t="s">
        <v>228</v>
      </c>
      <c r="L143" s="30" t="s">
        <v>28</v>
      </c>
      <c r="M143" s="55"/>
      <c r="N143" s="55"/>
      <c r="O143" s="55"/>
      <c r="P143" s="55"/>
      <c r="Q143" s="55"/>
      <c r="R143" s="55"/>
      <c r="S143" s="55"/>
      <c r="T143" s="74" t="s">
        <v>229</v>
      </c>
      <c r="U143" s="32" t="str">
        <f>LOWER(CONCATENATE($N$3,"_",IF(E143="Adserver","Adserver",D143),"_",J143,"_",I143,"_",L143,))</f>
        <v>cielo_youtube__aw_ins_nova-cielo_-</v>
      </c>
    </row>
    <row r="144" spans="1:22" x14ac:dyDescent="0.2">
      <c r="A144" s="77">
        <v>43691</v>
      </c>
      <c r="B144" s="51" t="s">
        <v>53</v>
      </c>
      <c r="C144" s="33" t="s">
        <v>235</v>
      </c>
      <c r="D144" s="30" t="s">
        <v>230</v>
      </c>
      <c r="E144" s="30" t="s">
        <v>27</v>
      </c>
      <c r="F144" s="30" t="s">
        <v>28</v>
      </c>
      <c r="G144" s="30" t="s">
        <v>66</v>
      </c>
      <c r="H144" s="30" t="s">
        <v>67</v>
      </c>
      <c r="I144" s="30" t="s">
        <v>265</v>
      </c>
      <c r="J144" s="30"/>
      <c r="K144" s="30" t="s">
        <v>68</v>
      </c>
      <c r="L144" s="30" t="s">
        <v>69</v>
      </c>
      <c r="M144" s="45"/>
      <c r="N144" s="30" t="s">
        <v>70</v>
      </c>
      <c r="O144" s="30" t="s">
        <v>71</v>
      </c>
      <c r="P144" s="30" t="s">
        <v>72</v>
      </c>
      <c r="Q144" s="30" t="s">
        <v>29</v>
      </c>
      <c r="R144" s="45" t="s">
        <v>73</v>
      </c>
      <c r="S144" s="30"/>
      <c r="T144" s="34"/>
      <c r="U144" s="32" t="str">
        <f t="shared" si="12"/>
        <v>cielo_google ads__bla_ins_nova-cielo_300x250</v>
      </c>
    </row>
    <row r="145" spans="1:21" x14ac:dyDescent="0.2">
      <c r="A145" s="77">
        <v>43691</v>
      </c>
      <c r="B145" s="51" t="s">
        <v>53</v>
      </c>
      <c r="C145" s="33" t="s">
        <v>235</v>
      </c>
      <c r="D145" s="30" t="s">
        <v>230</v>
      </c>
      <c r="E145" s="30" t="s">
        <v>27</v>
      </c>
      <c r="F145" s="30" t="s">
        <v>28</v>
      </c>
      <c r="G145" s="30" t="s">
        <v>66</v>
      </c>
      <c r="H145" s="30" t="s">
        <v>67</v>
      </c>
      <c r="I145" s="30" t="s">
        <v>265</v>
      </c>
      <c r="J145" s="30"/>
      <c r="K145" s="30" t="s">
        <v>74</v>
      </c>
      <c r="L145" s="30" t="s">
        <v>75</v>
      </c>
      <c r="M145" s="45"/>
      <c r="N145" s="30" t="s">
        <v>70</v>
      </c>
      <c r="O145" s="30" t="s">
        <v>71</v>
      </c>
      <c r="P145" s="30" t="s">
        <v>72</v>
      </c>
      <c r="Q145" s="30" t="s">
        <v>29</v>
      </c>
      <c r="R145" s="45" t="s">
        <v>73</v>
      </c>
      <c r="S145" s="30"/>
      <c r="T145" s="34"/>
      <c r="U145" s="32" t="str">
        <f t="shared" si="12"/>
        <v>cielo_google ads__bla_ins_nova-cielo_300x600</v>
      </c>
    </row>
    <row r="146" spans="1:21" x14ac:dyDescent="0.2">
      <c r="A146" s="77">
        <v>43691</v>
      </c>
      <c r="B146" s="51" t="s">
        <v>53</v>
      </c>
      <c r="C146" s="33" t="s">
        <v>235</v>
      </c>
      <c r="D146" s="30" t="s">
        <v>230</v>
      </c>
      <c r="E146" s="30" t="s">
        <v>27</v>
      </c>
      <c r="F146" s="30" t="s">
        <v>28</v>
      </c>
      <c r="G146" s="30" t="s">
        <v>66</v>
      </c>
      <c r="H146" s="30" t="s">
        <v>67</v>
      </c>
      <c r="I146" s="30" t="s">
        <v>265</v>
      </c>
      <c r="J146" s="30"/>
      <c r="K146" s="30" t="s">
        <v>76</v>
      </c>
      <c r="L146" s="30" t="s">
        <v>77</v>
      </c>
      <c r="M146" s="45"/>
      <c r="N146" s="30" t="s">
        <v>78</v>
      </c>
      <c r="O146" s="30" t="s">
        <v>79</v>
      </c>
      <c r="P146" s="30" t="s">
        <v>72</v>
      </c>
      <c r="Q146" s="30" t="s">
        <v>29</v>
      </c>
      <c r="R146" s="45" t="s">
        <v>73</v>
      </c>
      <c r="S146" s="30"/>
      <c r="T146" s="34"/>
      <c r="U146" s="32" t="str">
        <f t="shared" si="12"/>
        <v>cielo_google ads__bla_ins_nova-cielo_320x100</v>
      </c>
    </row>
    <row r="147" spans="1:21" x14ac:dyDescent="0.2">
      <c r="A147" s="77">
        <v>43691</v>
      </c>
      <c r="B147" s="51" t="s">
        <v>53</v>
      </c>
      <c r="C147" s="33" t="s">
        <v>235</v>
      </c>
      <c r="D147" s="30" t="s">
        <v>230</v>
      </c>
      <c r="E147" s="30" t="s">
        <v>27</v>
      </c>
      <c r="F147" s="30" t="s">
        <v>28</v>
      </c>
      <c r="G147" s="30" t="s">
        <v>66</v>
      </c>
      <c r="H147" s="30" t="s">
        <v>67</v>
      </c>
      <c r="I147" s="30" t="s">
        <v>265</v>
      </c>
      <c r="J147" s="30"/>
      <c r="K147" s="30" t="s">
        <v>80</v>
      </c>
      <c r="L147" s="30" t="s">
        <v>81</v>
      </c>
      <c r="M147" s="45"/>
      <c r="N147" s="30" t="s">
        <v>78</v>
      </c>
      <c r="O147" s="30" t="s">
        <v>79</v>
      </c>
      <c r="P147" s="30" t="s">
        <v>72</v>
      </c>
      <c r="Q147" s="30" t="s">
        <v>29</v>
      </c>
      <c r="R147" s="45" t="s">
        <v>73</v>
      </c>
      <c r="S147" s="30"/>
      <c r="T147" s="35"/>
      <c r="U147" s="32" t="str">
        <f t="shared" si="12"/>
        <v>cielo_google ads__bla_ins_nova-cielo_320x50</v>
      </c>
    </row>
    <row r="148" spans="1:21" x14ac:dyDescent="0.2">
      <c r="A148" s="77">
        <v>43691</v>
      </c>
      <c r="B148" s="51" t="s">
        <v>53</v>
      </c>
      <c r="C148" s="33" t="s">
        <v>235</v>
      </c>
      <c r="D148" s="30" t="s">
        <v>230</v>
      </c>
      <c r="E148" s="30" t="s">
        <v>27</v>
      </c>
      <c r="F148" s="30" t="s">
        <v>28</v>
      </c>
      <c r="G148" s="30" t="s">
        <v>66</v>
      </c>
      <c r="H148" s="30" t="s">
        <v>67</v>
      </c>
      <c r="I148" s="30" t="s">
        <v>265</v>
      </c>
      <c r="J148" s="30"/>
      <c r="K148" s="30" t="s">
        <v>82</v>
      </c>
      <c r="L148" s="30" t="s">
        <v>83</v>
      </c>
      <c r="M148" s="45"/>
      <c r="N148" s="30" t="s">
        <v>70</v>
      </c>
      <c r="O148" s="30" t="s">
        <v>71</v>
      </c>
      <c r="P148" s="30" t="s">
        <v>72</v>
      </c>
      <c r="Q148" s="30" t="s">
        <v>29</v>
      </c>
      <c r="R148" s="45" t="s">
        <v>73</v>
      </c>
      <c r="S148" s="30"/>
      <c r="T148" s="35"/>
      <c r="U148" s="32" t="str">
        <f t="shared" si="12"/>
        <v>cielo_google ads__bla_ins_nova-cielo_728x90</v>
      </c>
    </row>
    <row r="149" spans="1:21" x14ac:dyDescent="0.2">
      <c r="A149" s="77">
        <v>43691</v>
      </c>
      <c r="B149" s="51" t="s">
        <v>53</v>
      </c>
      <c r="C149" s="33" t="s">
        <v>235</v>
      </c>
      <c r="D149" s="30" t="s">
        <v>230</v>
      </c>
      <c r="E149" s="30" t="s">
        <v>27</v>
      </c>
      <c r="F149" s="30" t="s">
        <v>28</v>
      </c>
      <c r="G149" s="30" t="s">
        <v>66</v>
      </c>
      <c r="H149" s="30" t="s">
        <v>67</v>
      </c>
      <c r="I149" s="30" t="s">
        <v>265</v>
      </c>
      <c r="J149" s="30"/>
      <c r="K149" s="30" t="s">
        <v>214</v>
      </c>
      <c r="L149" s="30" t="s">
        <v>215</v>
      </c>
      <c r="M149" s="64" t="s">
        <v>28</v>
      </c>
      <c r="N149" s="64" t="s">
        <v>88</v>
      </c>
      <c r="O149" s="30" t="s">
        <v>89</v>
      </c>
      <c r="P149" s="30" t="s">
        <v>72</v>
      </c>
      <c r="Q149" s="64" t="s">
        <v>29</v>
      </c>
      <c r="R149" s="45" t="s">
        <v>216</v>
      </c>
      <c r="S149" s="55"/>
      <c r="T149" s="55"/>
      <c r="U149" s="32" t="str">
        <f t="shared" si="12"/>
        <v xml:space="preserve">cielo_google ads__bla_ins_nova-cielo_648x648 </v>
      </c>
    </row>
    <row r="150" spans="1:21" x14ac:dyDescent="0.2">
      <c r="A150" s="77">
        <v>43691</v>
      </c>
      <c r="B150" s="51" t="s">
        <v>53</v>
      </c>
      <c r="C150" s="33" t="s">
        <v>235</v>
      </c>
      <c r="D150" s="30" t="s">
        <v>230</v>
      </c>
      <c r="E150" s="30" t="s">
        <v>27</v>
      </c>
      <c r="F150" s="30" t="s">
        <v>28</v>
      </c>
      <c r="G150" s="30" t="s">
        <v>66</v>
      </c>
      <c r="H150" s="30" t="s">
        <v>67</v>
      </c>
      <c r="I150" s="30" t="s">
        <v>265</v>
      </c>
      <c r="J150" s="30"/>
      <c r="K150" s="30" t="s">
        <v>217</v>
      </c>
      <c r="L150" s="30" t="s">
        <v>87</v>
      </c>
      <c r="M150" s="30" t="s">
        <v>28</v>
      </c>
      <c r="N150" s="30" t="s">
        <v>88</v>
      </c>
      <c r="O150" s="30" t="s">
        <v>89</v>
      </c>
      <c r="P150" s="30" t="s">
        <v>72</v>
      </c>
      <c r="Q150" s="30" t="s">
        <v>29</v>
      </c>
      <c r="R150" s="45" t="s">
        <v>216</v>
      </c>
      <c r="S150" s="55"/>
      <c r="T150" s="55"/>
      <c r="U150" s="32" t="str">
        <f t="shared" si="12"/>
        <v>cielo_google ads__bla_ins_nova-cielo_1200x628</v>
      </c>
    </row>
    <row r="151" spans="1:21" x14ac:dyDescent="0.2">
      <c r="A151" s="77">
        <v>43691</v>
      </c>
      <c r="B151" s="51" t="s">
        <v>53</v>
      </c>
      <c r="C151" s="33" t="s">
        <v>235</v>
      </c>
      <c r="D151" s="30" t="s">
        <v>230</v>
      </c>
      <c r="E151" s="30" t="s">
        <v>27</v>
      </c>
      <c r="F151" s="30" t="s">
        <v>28</v>
      </c>
      <c r="G151" s="30" t="s">
        <v>95</v>
      </c>
      <c r="H151" s="30" t="s">
        <v>67</v>
      </c>
      <c r="I151" s="30" t="s">
        <v>265</v>
      </c>
      <c r="J151" s="30"/>
      <c r="K151" s="30" t="s">
        <v>231</v>
      </c>
      <c r="L151" s="30" t="s">
        <v>266</v>
      </c>
      <c r="M151" s="45"/>
      <c r="N151" s="30"/>
      <c r="O151" s="30" t="s">
        <v>269</v>
      </c>
      <c r="P151" s="30" t="s">
        <v>28</v>
      </c>
      <c r="Q151" s="30" t="s">
        <v>28</v>
      </c>
      <c r="R151" s="45" t="s">
        <v>97</v>
      </c>
      <c r="S151" s="55"/>
      <c r="T151" s="55"/>
      <c r="U151" s="32" t="str">
        <f t="shared" ref="U151:U161" si="13">LOWER(CONCATENATE($N$3,"_",IF(E151="Adserver","Adserver",D151),"_",J151,"_",I151,"_",L151,))</f>
        <v>cielo_google ads__bla_ins_nova-cielo_1200x1200</v>
      </c>
    </row>
    <row r="152" spans="1:21" x14ac:dyDescent="0.2">
      <c r="A152" s="77">
        <v>43691</v>
      </c>
      <c r="B152" s="51" t="s">
        <v>53</v>
      </c>
      <c r="C152" s="33" t="s">
        <v>235</v>
      </c>
      <c r="D152" s="30" t="s">
        <v>230</v>
      </c>
      <c r="E152" s="30" t="s">
        <v>27</v>
      </c>
      <c r="F152" s="30" t="s">
        <v>28</v>
      </c>
      <c r="G152" s="30" t="s">
        <v>95</v>
      </c>
      <c r="H152" s="30" t="s">
        <v>67</v>
      </c>
      <c r="I152" s="30" t="s">
        <v>265</v>
      </c>
      <c r="J152" s="30"/>
      <c r="K152" s="30" t="s">
        <v>231</v>
      </c>
      <c r="L152" s="30" t="s">
        <v>267</v>
      </c>
      <c r="M152" s="45"/>
      <c r="N152" s="30"/>
      <c r="O152" s="30" t="s">
        <v>269</v>
      </c>
      <c r="P152" s="30"/>
      <c r="Q152" s="30"/>
      <c r="R152" s="45" t="s">
        <v>97</v>
      </c>
      <c r="S152" s="55"/>
      <c r="T152" s="55"/>
      <c r="U152" s="32" t="str">
        <f t="shared" si="13"/>
        <v>cielo_google ads__bla_ins_nova-cielo_1200x300</v>
      </c>
    </row>
    <row r="153" spans="1:21" x14ac:dyDescent="0.2">
      <c r="A153" s="77">
        <v>43691</v>
      </c>
      <c r="B153" s="51" t="s">
        <v>53</v>
      </c>
      <c r="C153" s="33" t="s">
        <v>235</v>
      </c>
      <c r="D153" s="30" t="s">
        <v>230</v>
      </c>
      <c r="E153" s="30" t="s">
        <v>27</v>
      </c>
      <c r="F153" s="30" t="s">
        <v>28</v>
      </c>
      <c r="G153" s="30" t="s">
        <v>95</v>
      </c>
      <c r="H153" s="30" t="s">
        <v>67</v>
      </c>
      <c r="I153" s="30" t="s">
        <v>265</v>
      </c>
      <c r="J153" s="30"/>
      <c r="K153" s="30" t="s">
        <v>231</v>
      </c>
      <c r="L153" s="30" t="s">
        <v>232</v>
      </c>
      <c r="M153" s="45"/>
      <c r="N153" s="30"/>
      <c r="O153" s="30" t="s">
        <v>269</v>
      </c>
      <c r="P153" s="30" t="s">
        <v>28</v>
      </c>
      <c r="Q153" s="30" t="s">
        <v>28</v>
      </c>
      <c r="R153" s="45" t="s">
        <v>97</v>
      </c>
      <c r="S153" s="55"/>
      <c r="T153" s="55"/>
      <c r="U153" s="32" t="str">
        <f t="shared" si="13"/>
        <v>cielo_google ads__bla_ins_nova-cielo_600x314</v>
      </c>
    </row>
    <row r="154" spans="1:21" x14ac:dyDescent="0.2">
      <c r="A154" s="77">
        <v>43691</v>
      </c>
      <c r="B154" s="51" t="s">
        <v>53</v>
      </c>
      <c r="C154" s="33" t="s">
        <v>235</v>
      </c>
      <c r="D154" s="30" t="s">
        <v>230</v>
      </c>
      <c r="E154" s="30" t="s">
        <v>27</v>
      </c>
      <c r="F154" s="30" t="s">
        <v>28</v>
      </c>
      <c r="G154" s="30" t="s">
        <v>95</v>
      </c>
      <c r="H154" s="30" t="s">
        <v>67</v>
      </c>
      <c r="I154" s="30" t="s">
        <v>265</v>
      </c>
      <c r="J154" s="30"/>
      <c r="K154" s="30" t="s">
        <v>231</v>
      </c>
      <c r="L154" s="30" t="s">
        <v>268</v>
      </c>
      <c r="M154" s="45"/>
      <c r="N154" s="30"/>
      <c r="O154" s="30" t="s">
        <v>269</v>
      </c>
      <c r="P154" s="30"/>
      <c r="Q154" s="30"/>
      <c r="R154" s="45" t="s">
        <v>97</v>
      </c>
      <c r="S154" s="55"/>
      <c r="T154" s="55"/>
      <c r="U154" s="32" t="str">
        <f t="shared" si="13"/>
        <v>cielo_google ads__bla_ins_nova-cielo_512x128</v>
      </c>
    </row>
    <row r="155" spans="1:21" x14ac:dyDescent="0.2">
      <c r="A155" s="77">
        <v>43691</v>
      </c>
      <c r="B155" s="51" t="s">
        <v>53</v>
      </c>
      <c r="C155" s="33" t="s">
        <v>235</v>
      </c>
      <c r="D155" s="30" t="s">
        <v>230</v>
      </c>
      <c r="E155" s="30" t="s">
        <v>27</v>
      </c>
      <c r="F155" s="30" t="s">
        <v>28</v>
      </c>
      <c r="G155" s="30" t="s">
        <v>95</v>
      </c>
      <c r="H155" s="30" t="s">
        <v>67</v>
      </c>
      <c r="I155" s="30" t="s">
        <v>265</v>
      </c>
      <c r="J155" s="30"/>
      <c r="K155" s="30" t="s">
        <v>231</v>
      </c>
      <c r="L155" s="30" t="s">
        <v>233</v>
      </c>
      <c r="M155" s="45"/>
      <c r="N155" s="30"/>
      <c r="O155" s="30" t="s">
        <v>269</v>
      </c>
      <c r="P155" s="30" t="s">
        <v>28</v>
      </c>
      <c r="Q155" s="30" t="s">
        <v>28</v>
      </c>
      <c r="R155" s="45" t="s">
        <v>97</v>
      </c>
      <c r="S155" s="55"/>
      <c r="T155" s="55"/>
      <c r="U155" s="32" t="str">
        <f t="shared" si="13"/>
        <v>cielo_google ads__bla_ins_nova-cielo_300x300</v>
      </c>
    </row>
    <row r="156" spans="1:21" x14ac:dyDescent="0.2">
      <c r="A156" s="77">
        <v>43691</v>
      </c>
      <c r="B156" s="51" t="s">
        <v>53</v>
      </c>
      <c r="C156" s="33" t="s">
        <v>235</v>
      </c>
      <c r="D156" s="30" t="s">
        <v>230</v>
      </c>
      <c r="E156" s="30" t="s">
        <v>27</v>
      </c>
      <c r="F156" s="30" t="s">
        <v>28</v>
      </c>
      <c r="G156" s="30" t="s">
        <v>95</v>
      </c>
      <c r="H156" s="30" t="s">
        <v>67</v>
      </c>
      <c r="I156" s="30" t="s">
        <v>265</v>
      </c>
      <c r="J156" s="30"/>
      <c r="K156" s="30" t="s">
        <v>231</v>
      </c>
      <c r="L156" s="30" t="s">
        <v>234</v>
      </c>
      <c r="M156" s="45"/>
      <c r="N156" s="30"/>
      <c r="O156" s="30" t="s">
        <v>269</v>
      </c>
      <c r="P156" s="30" t="s">
        <v>28</v>
      </c>
      <c r="Q156" s="30" t="s">
        <v>28</v>
      </c>
      <c r="R156" s="45" t="s">
        <v>97</v>
      </c>
      <c r="S156" s="55"/>
      <c r="T156" s="55"/>
      <c r="U156" s="32" t="str">
        <f t="shared" si="13"/>
        <v>cielo_google ads__bla_ins_nova-cielo_128x128</v>
      </c>
    </row>
    <row r="157" spans="1:21" x14ac:dyDescent="0.2">
      <c r="A157" s="57">
        <v>43691</v>
      </c>
      <c r="B157" s="51" t="s">
        <v>53</v>
      </c>
      <c r="C157" s="58" t="s">
        <v>142</v>
      </c>
      <c r="D157" s="30" t="s">
        <v>117</v>
      </c>
      <c r="E157" s="30" t="s">
        <v>30</v>
      </c>
      <c r="F157" s="30" t="s">
        <v>28</v>
      </c>
      <c r="G157" s="30" t="s">
        <v>66</v>
      </c>
      <c r="H157" s="30" t="s">
        <v>67</v>
      </c>
      <c r="I157" s="31" t="s">
        <v>143</v>
      </c>
      <c r="J157" s="55"/>
      <c r="K157" s="30" t="s">
        <v>118</v>
      </c>
      <c r="L157" s="30" t="s">
        <v>121</v>
      </c>
      <c r="M157" s="30" t="s">
        <v>28</v>
      </c>
      <c r="N157" s="30" t="s">
        <v>28</v>
      </c>
      <c r="O157" s="30" t="s">
        <v>122</v>
      </c>
      <c r="P157" s="30" t="s">
        <v>72</v>
      </c>
      <c r="Q157" s="30" t="s">
        <v>72</v>
      </c>
      <c r="R157" s="45" t="s">
        <v>123</v>
      </c>
      <c r="S157" s="30" t="s">
        <v>28</v>
      </c>
      <c r="T157" s="59"/>
      <c r="U157" s="32" t="str">
        <f t="shared" si="13"/>
        <v>cielo_adserver__seg_ins_nova-cielo_960x150</v>
      </c>
    </row>
    <row r="158" spans="1:21" x14ac:dyDescent="0.2">
      <c r="A158" s="57">
        <v>43691</v>
      </c>
      <c r="B158" s="51" t="s">
        <v>53</v>
      </c>
      <c r="C158" s="58" t="s">
        <v>142</v>
      </c>
      <c r="D158" s="30" t="s">
        <v>117</v>
      </c>
      <c r="E158" s="30" t="s">
        <v>30</v>
      </c>
      <c r="F158" s="30" t="s">
        <v>28</v>
      </c>
      <c r="G158" s="30" t="s">
        <v>66</v>
      </c>
      <c r="H158" s="30" t="s">
        <v>67</v>
      </c>
      <c r="I158" s="31" t="s">
        <v>143</v>
      </c>
      <c r="J158" s="55"/>
      <c r="K158" s="30" t="s">
        <v>124</v>
      </c>
      <c r="L158" s="30" t="s">
        <v>125</v>
      </c>
      <c r="M158" s="30" t="s">
        <v>28</v>
      </c>
      <c r="N158" s="30" t="s">
        <v>28</v>
      </c>
      <c r="O158" s="30" t="s">
        <v>122</v>
      </c>
      <c r="P158" s="30" t="s">
        <v>72</v>
      </c>
      <c r="Q158" s="30" t="s">
        <v>72</v>
      </c>
      <c r="R158" s="45" t="s">
        <v>123</v>
      </c>
      <c r="S158" s="30" t="s">
        <v>28</v>
      </c>
      <c r="T158" s="59"/>
      <c r="U158" s="32" t="str">
        <f t="shared" si="13"/>
        <v>cielo_adserver__seg_ins_nova-cielo_900x750</v>
      </c>
    </row>
    <row r="159" spans="1:21" x14ac:dyDescent="0.2">
      <c r="A159" s="57">
        <v>43691</v>
      </c>
      <c r="B159" s="51" t="s">
        <v>53</v>
      </c>
      <c r="C159" s="58" t="s">
        <v>142</v>
      </c>
      <c r="D159" s="30" t="s">
        <v>117</v>
      </c>
      <c r="E159" s="30" t="s">
        <v>30</v>
      </c>
      <c r="F159" s="30" t="s">
        <v>28</v>
      </c>
      <c r="G159" s="30" t="s">
        <v>66</v>
      </c>
      <c r="H159" s="30" t="s">
        <v>67</v>
      </c>
      <c r="I159" s="31" t="s">
        <v>143</v>
      </c>
      <c r="J159" s="55"/>
      <c r="K159" s="30" t="s">
        <v>126</v>
      </c>
      <c r="L159" s="30" t="s">
        <v>127</v>
      </c>
      <c r="M159" s="30" t="s">
        <v>130</v>
      </c>
      <c r="N159" s="30" t="s">
        <v>28</v>
      </c>
      <c r="O159" s="30" t="s">
        <v>122</v>
      </c>
      <c r="P159" s="30" t="s">
        <v>72</v>
      </c>
      <c r="Q159" s="30" t="s">
        <v>72</v>
      </c>
      <c r="R159" s="45" t="s">
        <v>123</v>
      </c>
      <c r="S159" s="30" t="s">
        <v>28</v>
      </c>
      <c r="T159" s="56"/>
      <c r="U159" s="32" t="str">
        <f t="shared" si="13"/>
        <v>cielo_adserver__seg_ins_nova-cielo_1200x627</v>
      </c>
    </row>
    <row r="160" spans="1:21" x14ac:dyDescent="0.2">
      <c r="A160" s="57">
        <v>43691</v>
      </c>
      <c r="B160" s="51" t="s">
        <v>53</v>
      </c>
      <c r="C160" s="58" t="s">
        <v>142</v>
      </c>
      <c r="D160" s="30" t="s">
        <v>117</v>
      </c>
      <c r="E160" s="30" t="s">
        <v>30</v>
      </c>
      <c r="F160" s="30" t="s">
        <v>28</v>
      </c>
      <c r="G160" s="30" t="s">
        <v>66</v>
      </c>
      <c r="H160" s="30" t="s">
        <v>67</v>
      </c>
      <c r="I160" s="31" t="s">
        <v>143</v>
      </c>
      <c r="J160" s="55"/>
      <c r="K160" s="30" t="s">
        <v>128</v>
      </c>
      <c r="L160" s="30" t="s">
        <v>131</v>
      </c>
      <c r="M160" s="30" t="s">
        <v>129</v>
      </c>
      <c r="N160" s="30" t="s">
        <v>28</v>
      </c>
      <c r="O160" s="30" t="s">
        <v>122</v>
      </c>
      <c r="P160" s="30" t="s">
        <v>72</v>
      </c>
      <c r="Q160" s="30" t="s">
        <v>72</v>
      </c>
      <c r="R160" s="45" t="s">
        <v>123</v>
      </c>
      <c r="S160" s="30" t="s">
        <v>28</v>
      </c>
      <c r="T160" s="59"/>
      <c r="U160" s="32" t="str">
        <f t="shared" si="13"/>
        <v xml:space="preserve">cielo_adserver__seg_ins_nova-cielo_960x1440 </v>
      </c>
    </row>
    <row r="161" spans="1:21" ht="18" customHeight="1" x14ac:dyDescent="0.2">
      <c r="A161" s="77">
        <v>43691</v>
      </c>
      <c r="B161" s="51" t="s">
        <v>53</v>
      </c>
      <c r="C161" s="33" t="s">
        <v>142</v>
      </c>
      <c r="D161" s="30" t="s">
        <v>101</v>
      </c>
      <c r="E161" s="30" t="s">
        <v>30</v>
      </c>
      <c r="F161" s="30" t="s">
        <v>28</v>
      </c>
      <c r="G161" s="30" t="s">
        <v>95</v>
      </c>
      <c r="H161" s="30" t="s">
        <v>67</v>
      </c>
      <c r="I161" s="31" t="s">
        <v>143</v>
      </c>
      <c r="J161" s="82"/>
      <c r="K161" s="30" t="s">
        <v>251</v>
      </c>
      <c r="L161" s="30" t="s">
        <v>127</v>
      </c>
      <c r="M161" s="82"/>
      <c r="N161" s="82"/>
      <c r="O161" s="30" t="s">
        <v>207</v>
      </c>
      <c r="P161" s="30" t="s">
        <v>28</v>
      </c>
      <c r="Q161" s="82"/>
      <c r="R161" s="45" t="s">
        <v>252</v>
      </c>
      <c r="S161" s="82"/>
      <c r="T161" s="80" t="s">
        <v>258</v>
      </c>
      <c r="U161" s="32" t="str">
        <f t="shared" si="13"/>
        <v>cielo_adserver__seg_ins_nova-cielo_1200x627</v>
      </c>
    </row>
    <row r="162" spans="1:21" ht="19.5" customHeight="1" x14ac:dyDescent="0.2">
      <c r="A162" s="77">
        <v>43691</v>
      </c>
      <c r="B162" s="51" t="s">
        <v>53</v>
      </c>
      <c r="C162" s="33" t="s">
        <v>142</v>
      </c>
      <c r="D162" s="30" t="s">
        <v>101</v>
      </c>
      <c r="E162" s="30" t="s">
        <v>30</v>
      </c>
      <c r="F162" s="30" t="s">
        <v>28</v>
      </c>
      <c r="G162" s="30" t="s">
        <v>95</v>
      </c>
      <c r="H162" s="30" t="s">
        <v>67</v>
      </c>
      <c r="I162" s="31" t="s">
        <v>143</v>
      </c>
      <c r="J162" s="82"/>
      <c r="K162" s="30" t="s">
        <v>251</v>
      </c>
      <c r="L162" s="30" t="s">
        <v>253</v>
      </c>
      <c r="M162" s="82"/>
      <c r="N162" s="82"/>
      <c r="O162" s="30" t="s">
        <v>207</v>
      </c>
      <c r="P162" s="30" t="s">
        <v>28</v>
      </c>
      <c r="Q162" s="82"/>
      <c r="R162" s="45" t="s">
        <v>252</v>
      </c>
      <c r="S162" s="82"/>
      <c r="T162" s="80" t="s">
        <v>259</v>
      </c>
      <c r="U162" s="32" t="str">
        <f>LOWER(CONCATENATE($N$3,"_",IF(E162="Adserver","Adserver",D162),"_",J162,"_",I162,"_",L162,))</f>
        <v>cielo_adserver__seg_ins_nova-cielo_627x627</v>
      </c>
    </row>
    <row r="163" spans="1:21" ht="13.5" customHeight="1" x14ac:dyDescent="0.2">
      <c r="A163" s="77">
        <v>43691</v>
      </c>
      <c r="B163" s="51" t="s">
        <v>53</v>
      </c>
      <c r="C163" s="33" t="s">
        <v>142</v>
      </c>
      <c r="D163" s="30" t="s">
        <v>101</v>
      </c>
      <c r="E163" s="30" t="s">
        <v>30</v>
      </c>
      <c r="F163" s="30" t="s">
        <v>28</v>
      </c>
      <c r="G163" s="30" t="s">
        <v>66</v>
      </c>
      <c r="H163" s="30" t="s">
        <v>67</v>
      </c>
      <c r="I163" s="31" t="s">
        <v>143</v>
      </c>
      <c r="J163" s="82"/>
      <c r="K163" s="30" t="s">
        <v>251</v>
      </c>
      <c r="L163" s="30" t="s">
        <v>254</v>
      </c>
      <c r="M163" s="82"/>
      <c r="N163" s="82"/>
      <c r="O163" s="30" t="s">
        <v>207</v>
      </c>
      <c r="P163" s="30" t="s">
        <v>28</v>
      </c>
      <c r="Q163" s="82"/>
      <c r="R163" s="45" t="s">
        <v>255</v>
      </c>
      <c r="S163" s="82"/>
      <c r="T163" s="80" t="s">
        <v>260</v>
      </c>
      <c r="U163" s="32" t="str">
        <f>LOWER(CONCATENATE($N$3,"_",IF(E163="Adserver","Adserver",D163),"_",J163,"_",I163,"_",L163,))</f>
        <v>cielo_adserver__seg_ins_nova-cielo_82x82</v>
      </c>
    </row>
    <row r="164" spans="1:21" ht="15" customHeight="1" x14ac:dyDescent="0.2">
      <c r="A164" s="77">
        <v>43691</v>
      </c>
      <c r="B164" s="51" t="s">
        <v>53</v>
      </c>
      <c r="C164" s="33" t="s">
        <v>142</v>
      </c>
      <c r="D164" s="30" t="s">
        <v>101</v>
      </c>
      <c r="E164" s="30" t="s">
        <v>30</v>
      </c>
      <c r="F164" s="30" t="s">
        <v>28</v>
      </c>
      <c r="G164" s="30" t="s">
        <v>55</v>
      </c>
      <c r="H164" s="30" t="s">
        <v>67</v>
      </c>
      <c r="I164" s="31" t="s">
        <v>143</v>
      </c>
      <c r="J164" s="82"/>
      <c r="K164" s="30" t="s">
        <v>251</v>
      </c>
      <c r="L164" s="30" t="s">
        <v>256</v>
      </c>
      <c r="M164" s="82"/>
      <c r="N164" s="82"/>
      <c r="O164" s="30" t="s">
        <v>159</v>
      </c>
      <c r="P164" s="30" t="s">
        <v>28</v>
      </c>
      <c r="Q164" s="82"/>
      <c r="R164" s="45" t="s">
        <v>257</v>
      </c>
      <c r="S164" s="82"/>
      <c r="T164" s="80" t="s">
        <v>261</v>
      </c>
      <c r="U164" s="32" t="str">
        <f>LOWER(CONCATENATE($N$3,"_",IF(E164="Adserver","Adserver",D164),"_",J164,"_",I164,"_",L164,))</f>
        <v>cielo_adserver__seg_ins_nova-cielo_640x80</v>
      </c>
    </row>
    <row r="165" spans="1:21" s="85" customFormat="1" ht="17.25" customHeight="1" x14ac:dyDescent="0.2">
      <c r="A165" s="77">
        <v>43691</v>
      </c>
      <c r="B165" s="51" t="s">
        <v>53</v>
      </c>
      <c r="C165" s="33" t="s">
        <v>54</v>
      </c>
      <c r="D165" s="30" t="s">
        <v>262</v>
      </c>
      <c r="E165" s="30" t="s">
        <v>30</v>
      </c>
      <c r="F165" s="30" t="s">
        <v>28</v>
      </c>
      <c r="G165" s="30" t="s">
        <v>95</v>
      </c>
      <c r="H165" s="30" t="s">
        <v>67</v>
      </c>
      <c r="I165" s="31" t="s">
        <v>57</v>
      </c>
      <c r="J165" s="82"/>
      <c r="K165" s="30" t="s">
        <v>263</v>
      </c>
      <c r="L165" s="30" t="s">
        <v>263</v>
      </c>
      <c r="M165" s="82"/>
      <c r="N165" s="82"/>
      <c r="O165" s="30" t="s">
        <v>28</v>
      </c>
      <c r="P165" s="30" t="s">
        <v>28</v>
      </c>
      <c r="Q165" s="82"/>
      <c r="R165" s="45" t="s">
        <v>28</v>
      </c>
      <c r="S165" s="82"/>
      <c r="T165" s="80" t="s">
        <v>264</v>
      </c>
      <c r="U165" s="32" t="str">
        <f t="shared" ref="U165:U171" si="14">LOWER(CONCATENATE($N$3,"_",IF(E165="Adserver","Adserver",D165),"_",J165,"_",I165,"_",L165,))</f>
        <v>cielo_adserver__aw_ins_nova-cielo_audio + companion banner</v>
      </c>
    </row>
    <row r="166" spans="1:21" x14ac:dyDescent="0.2">
      <c r="A166" s="77">
        <v>43691</v>
      </c>
      <c r="B166" s="51" t="s">
        <v>53</v>
      </c>
      <c r="C166" s="33" t="s">
        <v>119</v>
      </c>
      <c r="D166" s="30" t="s">
        <v>230</v>
      </c>
      <c r="E166" s="30" t="s">
        <v>27</v>
      </c>
      <c r="F166" s="30" t="s">
        <v>28</v>
      </c>
      <c r="G166" s="30" t="s">
        <v>95</v>
      </c>
      <c r="H166" s="30" t="s">
        <v>67</v>
      </c>
      <c r="I166" s="30" t="s">
        <v>120</v>
      </c>
      <c r="J166" s="30"/>
      <c r="K166" s="30" t="s">
        <v>231</v>
      </c>
      <c r="L166" s="30" t="s">
        <v>266</v>
      </c>
      <c r="M166" s="45"/>
      <c r="N166" s="30"/>
      <c r="O166" s="30" t="s">
        <v>269</v>
      </c>
      <c r="P166" s="30" t="s">
        <v>28</v>
      </c>
      <c r="Q166" s="30" t="s">
        <v>28</v>
      </c>
      <c r="R166" s="45" t="s">
        <v>97</v>
      </c>
      <c r="S166" s="55"/>
      <c r="T166" s="55"/>
      <c r="U166" s="32" t="str">
        <f t="shared" si="14"/>
        <v>cielo_google ads__fre_ins_nova-cielo_1200x1200</v>
      </c>
    </row>
    <row r="167" spans="1:21" x14ac:dyDescent="0.2">
      <c r="A167" s="77">
        <v>43691</v>
      </c>
      <c r="B167" s="51" t="s">
        <v>53</v>
      </c>
      <c r="C167" s="33" t="s">
        <v>119</v>
      </c>
      <c r="D167" s="30" t="s">
        <v>230</v>
      </c>
      <c r="E167" s="30" t="s">
        <v>27</v>
      </c>
      <c r="F167" s="30" t="s">
        <v>28</v>
      </c>
      <c r="G167" s="30" t="s">
        <v>95</v>
      </c>
      <c r="H167" s="30" t="s">
        <v>67</v>
      </c>
      <c r="I167" s="30" t="s">
        <v>120</v>
      </c>
      <c r="J167" s="30"/>
      <c r="K167" s="30" t="s">
        <v>231</v>
      </c>
      <c r="L167" s="30" t="s">
        <v>267</v>
      </c>
      <c r="M167" s="45"/>
      <c r="N167" s="30"/>
      <c r="O167" s="30" t="s">
        <v>269</v>
      </c>
      <c r="P167" s="30" t="s">
        <v>28</v>
      </c>
      <c r="Q167" s="30" t="s">
        <v>28</v>
      </c>
      <c r="R167" s="45" t="s">
        <v>97</v>
      </c>
      <c r="S167" s="55"/>
      <c r="T167" s="55"/>
      <c r="U167" s="32" t="str">
        <f>LOWER(CONCATENATE($N$3,"_",IF(E167="Adserver","Adserver",D167),"_",J167,"_",I167,"_",L167,))</f>
        <v>cielo_google ads__fre_ins_nova-cielo_1200x300</v>
      </c>
    </row>
    <row r="168" spans="1:21" x14ac:dyDescent="0.2">
      <c r="A168" s="77">
        <v>43691</v>
      </c>
      <c r="B168" s="51" t="s">
        <v>53</v>
      </c>
      <c r="C168" s="33" t="s">
        <v>119</v>
      </c>
      <c r="D168" s="30" t="s">
        <v>230</v>
      </c>
      <c r="E168" s="30" t="s">
        <v>27</v>
      </c>
      <c r="F168" s="30" t="s">
        <v>28</v>
      </c>
      <c r="G168" s="30" t="s">
        <v>95</v>
      </c>
      <c r="H168" s="30" t="s">
        <v>67</v>
      </c>
      <c r="I168" s="30" t="s">
        <v>120</v>
      </c>
      <c r="J168" s="30"/>
      <c r="K168" s="30" t="s">
        <v>231</v>
      </c>
      <c r="L168" s="30" t="s">
        <v>232</v>
      </c>
      <c r="M168" s="45"/>
      <c r="N168" s="30"/>
      <c r="O168" s="30" t="s">
        <v>269</v>
      </c>
      <c r="P168" s="30" t="s">
        <v>28</v>
      </c>
      <c r="Q168" s="30" t="s">
        <v>28</v>
      </c>
      <c r="R168" s="45" t="s">
        <v>97</v>
      </c>
      <c r="S168" s="55"/>
      <c r="T168" s="55"/>
      <c r="U168" s="32" t="str">
        <f t="shared" si="14"/>
        <v>cielo_google ads__fre_ins_nova-cielo_600x314</v>
      </c>
    </row>
    <row r="169" spans="1:21" x14ac:dyDescent="0.2">
      <c r="A169" s="77">
        <v>43691</v>
      </c>
      <c r="B169" s="51" t="s">
        <v>53</v>
      </c>
      <c r="C169" s="33" t="s">
        <v>119</v>
      </c>
      <c r="D169" s="30" t="s">
        <v>230</v>
      </c>
      <c r="E169" s="30" t="s">
        <v>27</v>
      </c>
      <c r="F169" s="30" t="s">
        <v>28</v>
      </c>
      <c r="G169" s="30" t="s">
        <v>95</v>
      </c>
      <c r="H169" s="30" t="s">
        <v>67</v>
      </c>
      <c r="I169" s="30" t="s">
        <v>120</v>
      </c>
      <c r="J169" s="30"/>
      <c r="K169" s="30" t="s">
        <v>231</v>
      </c>
      <c r="L169" s="30" t="s">
        <v>233</v>
      </c>
      <c r="M169" s="45"/>
      <c r="N169" s="30"/>
      <c r="O169" s="30" t="s">
        <v>269</v>
      </c>
      <c r="P169" s="30" t="s">
        <v>28</v>
      </c>
      <c r="Q169" s="30" t="s">
        <v>28</v>
      </c>
      <c r="R169" s="45" t="s">
        <v>97</v>
      </c>
      <c r="S169" s="55"/>
      <c r="T169" s="55"/>
      <c r="U169" s="32" t="str">
        <f t="shared" si="14"/>
        <v>cielo_google ads__fre_ins_nova-cielo_300x300</v>
      </c>
    </row>
    <row r="170" spans="1:21" x14ac:dyDescent="0.2">
      <c r="A170" s="77">
        <v>43691</v>
      </c>
      <c r="B170" s="51" t="s">
        <v>53</v>
      </c>
      <c r="C170" s="33" t="s">
        <v>119</v>
      </c>
      <c r="D170" s="30" t="s">
        <v>230</v>
      </c>
      <c r="E170" s="30" t="s">
        <v>27</v>
      </c>
      <c r="F170" s="30" t="s">
        <v>28</v>
      </c>
      <c r="G170" s="30" t="s">
        <v>95</v>
      </c>
      <c r="H170" s="30" t="s">
        <v>67</v>
      </c>
      <c r="I170" s="30" t="s">
        <v>120</v>
      </c>
      <c r="J170" s="30"/>
      <c r="K170" s="30" t="s">
        <v>231</v>
      </c>
      <c r="L170" s="30" t="s">
        <v>268</v>
      </c>
      <c r="M170" s="45"/>
      <c r="N170" s="30"/>
      <c r="O170" s="30" t="s">
        <v>269</v>
      </c>
      <c r="P170" s="30" t="s">
        <v>28</v>
      </c>
      <c r="Q170" s="30" t="s">
        <v>28</v>
      </c>
      <c r="R170" s="45" t="s">
        <v>97</v>
      </c>
      <c r="S170" s="55"/>
      <c r="T170" s="55"/>
      <c r="U170" s="32" t="str">
        <f>LOWER(CONCATENATE($N$3,"_",IF(E170="Adserver","Adserver",D170),"_",J170,"_",I170,"_",L170,))</f>
        <v>cielo_google ads__fre_ins_nova-cielo_512x128</v>
      </c>
    </row>
    <row r="171" spans="1:21" x14ac:dyDescent="0.2">
      <c r="A171" s="77">
        <v>43691</v>
      </c>
      <c r="B171" s="51" t="s">
        <v>53</v>
      </c>
      <c r="C171" s="33" t="s">
        <v>119</v>
      </c>
      <c r="D171" s="30" t="s">
        <v>230</v>
      </c>
      <c r="E171" s="30" t="s">
        <v>27</v>
      </c>
      <c r="F171" s="30" t="s">
        <v>28</v>
      </c>
      <c r="G171" s="30" t="s">
        <v>95</v>
      </c>
      <c r="H171" s="30" t="s">
        <v>67</v>
      </c>
      <c r="I171" s="30" t="s">
        <v>120</v>
      </c>
      <c r="J171" s="30"/>
      <c r="K171" s="30" t="s">
        <v>231</v>
      </c>
      <c r="L171" s="30" t="s">
        <v>234</v>
      </c>
      <c r="M171" s="45"/>
      <c r="N171" s="30"/>
      <c r="O171" s="30" t="s">
        <v>269</v>
      </c>
      <c r="P171" s="30" t="s">
        <v>28</v>
      </c>
      <c r="Q171" s="30" t="s">
        <v>28</v>
      </c>
      <c r="R171" s="45" t="s">
        <v>97</v>
      </c>
      <c r="S171" s="55"/>
      <c r="T171" s="55"/>
      <c r="U171" s="32" t="str">
        <f t="shared" si="14"/>
        <v>cielo_google ads__fre_ins_nova-cielo_128x128</v>
      </c>
    </row>
    <row r="1048554" spans="19:19" x14ac:dyDescent="0.2">
      <c r="S1048554" s="30" t="s">
        <v>28</v>
      </c>
    </row>
  </sheetData>
  <sheetProtection formatCells="0" formatColumns="0" formatRows="0" insertColumns="0" insertRows="0" insertHyperlinks="0" deleteColumns="0" deleteRows="0" sort="0" autoFilter="0" pivotTables="0"/>
  <autoFilter ref="A11:U171" xr:uid="{686176B9-17A3-478A-818B-902E979F4C19}"/>
  <mergeCells count="7">
    <mergeCell ref="A1:U1"/>
    <mergeCell ref="A2:K2"/>
    <mergeCell ref="A4:K4"/>
    <mergeCell ref="A5:K5"/>
    <mergeCell ref="A7:K7"/>
    <mergeCell ref="N4:O4"/>
    <mergeCell ref="N3:O3"/>
  </mergeCells>
  <hyperlinks>
    <hyperlink ref="T38" r:id="rId1" xr:uid="{21FE5AC7-B2A2-48E4-9C08-CBF3FFC6B379}"/>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A44C4C-3B06-4095-B49D-25CA031A042A}">
  <dimension ref="B37:B131"/>
  <sheetViews>
    <sheetView showGridLines="0" zoomScale="90" zoomScaleNormal="90" workbookViewId="0">
      <selection activeCell="M28" sqref="M28"/>
    </sheetView>
  </sheetViews>
  <sheetFormatPr defaultRowHeight="12.75" x14ac:dyDescent="0.2"/>
  <sheetData>
    <row r="37" spans="2:2" ht="41.25" x14ac:dyDescent="0.2">
      <c r="B37" s="95" t="s">
        <v>282</v>
      </c>
    </row>
    <row r="60" spans="2:2" ht="41.25" x14ac:dyDescent="0.2">
      <c r="B60" s="95" t="s">
        <v>283</v>
      </c>
    </row>
    <row r="83" spans="2:2" ht="41.25" x14ac:dyDescent="0.2">
      <c r="B83" s="95" t="s">
        <v>284</v>
      </c>
    </row>
    <row r="108" spans="2:2" ht="41.25" x14ac:dyDescent="0.2">
      <c r="B108" s="95" t="s">
        <v>285</v>
      </c>
    </row>
    <row r="131" spans="2:2" ht="41.25" x14ac:dyDescent="0.2">
      <c r="B131" s="95" t="s">
        <v>286</v>
      </c>
    </row>
  </sheetData>
  <pageMargins left="0.511811024" right="0.511811024" top="0.78740157499999996" bottom="0.78740157499999996" header="0.31496062000000002" footer="0.31496062000000002"/>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4AA0E6-AB2F-4D38-8FB8-E62A5E0CEB17}">
  <dimension ref="A1"/>
  <sheetViews>
    <sheetView showGridLines="0" workbookViewId="0">
      <selection activeCell="V41" sqref="V41"/>
    </sheetView>
  </sheetViews>
  <sheetFormatPr defaultRowHeight="12.75" x14ac:dyDescent="0.2"/>
  <sheetData/>
  <pageMargins left="0.511811024" right="0.511811024" top="0.78740157499999996" bottom="0.78740157499999996" header="0.31496062000000002" footer="0.31496062000000002"/>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8"/>
  <sheetViews>
    <sheetView zoomScale="90" zoomScaleNormal="90" workbookViewId="0">
      <selection activeCell="B4" sqref="B4"/>
    </sheetView>
  </sheetViews>
  <sheetFormatPr defaultColWidth="9.140625" defaultRowHeight="12.75" x14ac:dyDescent="0.2"/>
  <cols>
    <col min="1" max="2" width="11.85546875" customWidth="1"/>
    <col min="3" max="5" width="19.140625" customWidth="1"/>
    <col min="6" max="6" width="21.28515625" bestFit="1" customWidth="1"/>
    <col min="7" max="8" width="21.28515625" customWidth="1"/>
    <col min="9" max="11" width="16.85546875" customWidth="1"/>
    <col min="12" max="12" width="4.85546875" bestFit="1" customWidth="1"/>
    <col min="13" max="16" width="21.28515625" customWidth="1"/>
    <col min="17" max="34" width="25" customWidth="1"/>
  </cols>
  <sheetData>
    <row r="1" spans="1:16" s="11" customFormat="1" ht="25.5" x14ac:dyDescent="0.2">
      <c r="A1" s="13" t="s">
        <v>11</v>
      </c>
      <c r="B1" s="17" t="s">
        <v>34</v>
      </c>
      <c r="C1" s="14" t="s">
        <v>35</v>
      </c>
      <c r="D1" s="14" t="s">
        <v>15</v>
      </c>
      <c r="E1" s="14" t="s">
        <v>36</v>
      </c>
      <c r="F1" s="13" t="s">
        <v>37</v>
      </c>
      <c r="G1" s="15" t="s">
        <v>18</v>
      </c>
      <c r="H1" s="15" t="s">
        <v>38</v>
      </c>
      <c r="I1" s="16" t="s">
        <v>39</v>
      </c>
      <c r="J1" s="16" t="s">
        <v>20</v>
      </c>
      <c r="K1" s="16" t="s">
        <v>40</v>
      </c>
      <c r="L1" s="16" t="s">
        <v>41</v>
      </c>
      <c r="M1" s="16" t="s">
        <v>23</v>
      </c>
      <c r="N1" s="15" t="s">
        <v>42</v>
      </c>
      <c r="O1" s="16" t="s">
        <v>43</v>
      </c>
      <c r="P1" s="16" t="s">
        <v>44</v>
      </c>
    </row>
    <row r="2" spans="1:16" s="2" customFormat="1" ht="12.75" customHeight="1" x14ac:dyDescent="0.2">
      <c r="A2" s="4"/>
      <c r="B2" s="4" t="s">
        <v>30</v>
      </c>
      <c r="C2" s="4"/>
      <c r="D2" s="4"/>
      <c r="E2" s="4"/>
      <c r="F2" s="4"/>
      <c r="G2" s="4"/>
      <c r="H2" s="4"/>
      <c r="I2" s="4"/>
      <c r="J2" s="4"/>
      <c r="K2" s="4"/>
      <c r="L2" s="4"/>
      <c r="M2" s="4" t="s">
        <v>45</v>
      </c>
      <c r="N2" s="4" t="s">
        <v>33</v>
      </c>
    </row>
    <row r="3" spans="1:16" s="2" customFormat="1" x14ac:dyDescent="0.2">
      <c r="A3" s="4"/>
      <c r="B3" s="4" t="s">
        <v>27</v>
      </c>
      <c r="C3" s="4"/>
      <c r="D3" s="4"/>
      <c r="E3" s="4"/>
      <c r="F3" s="4"/>
      <c r="G3" s="4"/>
      <c r="H3" s="4"/>
      <c r="I3" s="4"/>
      <c r="J3" s="4"/>
      <c r="K3" s="4"/>
      <c r="L3" s="4"/>
      <c r="M3" s="4" t="s">
        <v>32</v>
      </c>
      <c r="N3" s="4" t="s">
        <v>46</v>
      </c>
    </row>
    <row r="4" spans="1:16" s="2" customFormat="1" x14ac:dyDescent="0.2">
      <c r="A4" s="4"/>
      <c r="B4" s="4"/>
      <c r="C4" s="4"/>
      <c r="D4" s="4"/>
      <c r="E4" s="4"/>
      <c r="F4" s="4"/>
      <c r="G4" s="4"/>
      <c r="H4" s="4"/>
      <c r="I4" s="4"/>
      <c r="J4" s="4"/>
      <c r="K4" s="4"/>
      <c r="L4" s="4"/>
      <c r="M4" s="4" t="s">
        <v>47</v>
      </c>
      <c r="N4" s="4" t="s">
        <v>48</v>
      </c>
    </row>
    <row r="5" spans="1:16" s="19" customFormat="1" x14ac:dyDescent="0.2">
      <c r="A5" s="18"/>
      <c r="B5" s="18"/>
      <c r="C5" s="18"/>
      <c r="D5" s="18"/>
      <c r="E5" s="18"/>
      <c r="F5" s="18"/>
      <c r="G5" s="18"/>
      <c r="H5" s="18"/>
      <c r="I5" s="18"/>
      <c r="J5" s="18"/>
      <c r="K5" s="18"/>
      <c r="L5" s="18"/>
      <c r="M5" s="18" t="s">
        <v>49</v>
      </c>
      <c r="N5" s="18"/>
    </row>
    <row r="6" spans="1:16" s="19" customFormat="1" x14ac:dyDescent="0.2">
      <c r="A6" s="18"/>
      <c r="B6" s="18"/>
      <c r="C6" s="18"/>
      <c r="D6" s="18"/>
      <c r="E6" s="18"/>
      <c r="F6" s="18"/>
      <c r="G6" s="18"/>
      <c r="H6" s="18"/>
      <c r="I6" s="18"/>
      <c r="J6" s="18"/>
      <c r="K6" s="18"/>
      <c r="L6" s="18"/>
      <c r="M6" s="18" t="s">
        <v>50</v>
      </c>
      <c r="N6" s="18"/>
    </row>
    <row r="7" spans="1:16" ht="18" customHeight="1" x14ac:dyDescent="0.2">
      <c r="A7" s="1"/>
      <c r="B7" s="1"/>
      <c r="C7" s="1"/>
      <c r="D7" s="1"/>
      <c r="E7" s="1"/>
      <c r="F7" s="1"/>
      <c r="G7" s="1"/>
      <c r="H7" s="1"/>
      <c r="I7" s="1"/>
      <c r="J7" s="1"/>
      <c r="K7" s="1"/>
      <c r="L7" s="1"/>
      <c r="M7" s="1"/>
      <c r="N7" s="1"/>
      <c r="O7" s="1"/>
      <c r="P7" s="1"/>
    </row>
    <row r="8" spans="1:16" ht="18" customHeight="1" x14ac:dyDescent="0.2">
      <c r="A8" s="1"/>
      <c r="B8" s="1"/>
      <c r="C8" s="1"/>
      <c r="D8" s="1"/>
      <c r="E8" s="1"/>
      <c r="F8" s="1"/>
      <c r="G8" s="1"/>
      <c r="H8" s="1"/>
      <c r="I8" s="1"/>
      <c r="J8" s="1"/>
      <c r="K8" s="1"/>
      <c r="L8" s="1"/>
      <c r="M8" s="1"/>
      <c r="N8" s="1"/>
      <c r="O8" s="1"/>
      <c r="P8" s="1"/>
    </row>
  </sheetData>
  <sheetProtection formatCells="0" formatColumns="0" formatRows="0" insertColumns="0" insertRows="0" insertHyperlinks="0" deleteColumns="0" deleteRows="0" sort="0" autoFilter="0" pivotTables="0"/>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_ip_UnifiedCompliancePolicyProperties xmlns="http://schemas.microsoft.com/sharepoint/v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59BB9182BA47184C92FADEC3E48F3133" ma:contentTypeVersion="12" ma:contentTypeDescription="Crie um novo documento." ma:contentTypeScope="" ma:versionID="0908ef0826c26f102854fcc9b8f710a2">
  <xsd:schema xmlns:xsd="http://www.w3.org/2001/XMLSchema" xmlns:xs="http://www.w3.org/2001/XMLSchema" xmlns:p="http://schemas.microsoft.com/office/2006/metadata/properties" xmlns:ns1="http://schemas.microsoft.com/sharepoint/v3" xmlns:ns2="407cb199-2cef-4830-98e5-aabe0e72dc87" xmlns:ns3="e2d88b42-df94-4e81-962d-ef8879c89c3e" targetNamespace="http://schemas.microsoft.com/office/2006/metadata/properties" ma:root="true" ma:fieldsID="7fded4dbc7a9a5434be9303e4041b9ca" ns1:_="" ns2:_="" ns3:_="">
    <xsd:import namespace="http://schemas.microsoft.com/sharepoint/v3"/>
    <xsd:import namespace="407cb199-2cef-4830-98e5-aabe0e72dc87"/>
    <xsd:import namespace="e2d88b42-df94-4e81-962d-ef8879c89c3e"/>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DateTaken" minOccurs="0"/>
                <xsd:element ref="ns3:SharedWithUsers" minOccurs="0"/>
                <xsd:element ref="ns3:SharedWithDetails" minOccurs="0"/>
                <xsd:element ref="ns1:_ip_UnifiedCompliancePolicyProperties" minOccurs="0"/>
                <xsd:element ref="ns1:_ip_UnifiedCompliancePolicyUIAction" minOccurs="0"/>
                <xsd:element ref="ns2:MediaServiceOCR" minOccurs="0"/>
                <xsd:element ref="ns2:MediaServiceLocatio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4" nillable="true" ma:displayName="Propriedades da Política de Conformidade Unificada" ma:description="" ma:hidden="true" ma:internalName="_ip_UnifiedCompliancePolicyProperties">
      <xsd:simpleType>
        <xsd:restriction base="dms:Note"/>
      </xsd:simpleType>
    </xsd:element>
    <xsd:element name="_ip_UnifiedCompliancePolicyUIAction" ma:index="15" nillable="true" ma:displayName="Ação de Interface do Usuário da Política de Conformidade Unificada" ma:descrip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07cb199-2cef-4830-98e5-aabe0e72dc87" elementFormDefault="qualified">
    <xsd:import namespace="http://schemas.microsoft.com/office/2006/documentManagement/types"/>
    <xsd:import namespace="http://schemas.microsoft.com/office/infopath/2007/PartnerControls"/>
    <xsd:element name="MediaServiceMetadata" ma:index="8" nillable="true" ma:displayName="MediaServiceMetadata" ma:description="" ma:hidden="true" ma:internalName="MediaServiceMetadata" ma:readOnly="true">
      <xsd:simpleType>
        <xsd:restriction base="dms:Note"/>
      </xsd:simpleType>
    </xsd:element>
    <xsd:element name="MediaServiceFastMetadata" ma:index="9" nillable="true" ma:displayName="MediaServiceFastMetadata" ma:description="" ma:hidden="true" ma:internalName="MediaServiceFastMetadata" ma:readOnly="true">
      <xsd:simpleType>
        <xsd:restriction base="dms:Note"/>
      </xsd:simpleType>
    </xsd:element>
    <xsd:element name="MediaServiceAutoTags" ma:index="10" nillable="true" ma:displayName="MediaServiceAutoTags" ma:description="" ma:internalName="MediaServiceAutoTags" ma:readOnly="true">
      <xsd:simpleType>
        <xsd:restriction base="dms:Text"/>
      </xsd:simpleType>
    </xsd:element>
    <xsd:element name="MediaServiceDateTaken" ma:index="11" nillable="true" ma:displayName="MediaServiceDateTaken" ma:description="" ma:hidden="true" ma:internalName="MediaServiceDateTaken" ma:readOnly="true">
      <xsd:simpleType>
        <xsd:restriction base="dms:Text"/>
      </xsd:simpleType>
    </xsd:element>
    <xsd:element name="MediaServiceOCR" ma:index="16" nillable="true" ma:displayName="MediaServiceOCR" ma:internalName="MediaServiceOCR"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2d88b42-df94-4e81-962d-ef8879c89c3e" elementFormDefault="qualified">
    <xsd:import namespace="http://schemas.microsoft.com/office/2006/documentManagement/types"/>
    <xsd:import namespace="http://schemas.microsoft.com/office/infopath/2007/PartnerControls"/>
    <xsd:element name="SharedWithUsers" ma:index="12" nillable="true" ma:displayName="Compartilhado com" ma:descripti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Detalhes de Compartilhado Com" ma:description=""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4B24118-3079-4F83-9032-B21417EC88ED}">
  <ds:schemaRefs>
    <ds:schemaRef ds:uri="http://schemas.microsoft.com/sharepoint/v3/contenttype/forms"/>
  </ds:schemaRefs>
</ds:datastoreItem>
</file>

<file path=customXml/itemProps2.xml><?xml version="1.0" encoding="utf-8"?>
<ds:datastoreItem xmlns:ds="http://schemas.openxmlformats.org/officeDocument/2006/customXml" ds:itemID="{D31930BD-4369-4C4F-9AB9-A7B370E04569}">
  <ds:schemaRefs>
    <ds:schemaRef ds:uri="http://schemas.openxmlformats.org/package/2006/metadata/core-properties"/>
    <ds:schemaRef ds:uri="http://purl.org/dc/dcmitype/"/>
    <ds:schemaRef ds:uri="e2d88b42-df94-4e81-962d-ef8879c89c3e"/>
    <ds:schemaRef ds:uri="http://purl.org/dc/elements/1.1/"/>
    <ds:schemaRef ds:uri="http://schemas.microsoft.com/sharepoint/v3"/>
    <ds:schemaRef ds:uri="http://www.w3.org/XML/1998/namespace"/>
    <ds:schemaRef ds:uri="http://purl.org/dc/terms/"/>
    <ds:schemaRef ds:uri="http://schemas.microsoft.com/office/2006/documentManagement/types"/>
    <ds:schemaRef ds:uri="http://schemas.microsoft.com/office/infopath/2007/PartnerControls"/>
    <ds:schemaRef ds:uri="407cb199-2cef-4830-98e5-aabe0e72dc87"/>
    <ds:schemaRef ds:uri="http://schemas.microsoft.com/office/2006/metadata/properties"/>
  </ds:schemaRefs>
</ds:datastoreItem>
</file>

<file path=customXml/itemProps3.xml><?xml version="1.0" encoding="utf-8"?>
<ds:datastoreItem xmlns:ds="http://schemas.openxmlformats.org/officeDocument/2006/customXml" ds:itemID="{5D474AD1-E548-4C73-A103-B6064583573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407cb199-2cef-4830-98e5-aabe0e72dc87"/>
    <ds:schemaRef ds:uri="e2d88b42-df94-4e81-962d-ef8879c89c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Peças</vt:lpstr>
      <vt:lpstr>Base Especificacões</vt:lpstr>
      <vt:lpstr>Specs_Natives_Verizon</vt:lpstr>
      <vt:lpstr>Specs_Twitter</vt:lpstr>
      <vt:lpstr>Dados_base</vt:lpstr>
    </vt:vector>
  </TitlesOfParts>
  <Manager/>
  <Company>Microsoft Corporation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Sizmek Brasil - Especificacoes</dc:title>
  <dc:subject>Sizmek Brasil - Especificacoes</dc:subject>
  <dc:creator>Sizmek Brasil</dc:creator>
  <cp:keywords>Sizmek Brasil - Especificacoes</cp:keywords>
  <dc:description>Sizmek Brasil - Especificacoes</dc:description>
  <cp:lastModifiedBy>Wilson Santos Silva - Almap BBDO</cp:lastModifiedBy>
  <cp:revision/>
  <dcterms:created xsi:type="dcterms:W3CDTF">2016-10-19T18:02:30Z</dcterms:created>
  <dcterms:modified xsi:type="dcterms:W3CDTF">2020-05-29T21:32:04Z</dcterms:modified>
  <cp:category>Sizmek Brasil - Especificacoes</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0x01010059BB9182BA47184C92FADEC3E48F3133</vt:lpwstr>
  </property>
</Properties>
</file>